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org5216249-my.sharepoint.com/personal/s_majewski_kapcofutures_com/Documents/Spread-Project_4/"/>
    </mc:Choice>
  </mc:AlternateContent>
  <xr:revisionPtr revIDLastSave="909" documentId="13_ncr:1_{17C8D3B0-26CA-4C3B-A8B5-70498291F6C9}" xr6:coauthVersionLast="47" xr6:coauthVersionMax="47" xr10:uidLastSave="{0B016EB1-AA7B-421B-ACBA-A857ED0B5703}"/>
  <bookViews>
    <workbookView xWindow="-28920" yWindow="-2730" windowWidth="29040" windowHeight="15720" activeTab="3" xr2:uid="{00000000-000D-0000-FFFF-FFFF00000000}"/>
  </bookViews>
  <sheets>
    <sheet name="Fats Raw Data" sheetId="1" r:id="rId1"/>
    <sheet name="Feeders Raw Data" sheetId="2" r:id="rId2"/>
    <sheet name="Fat Spreads" sheetId="3" r:id="rId3"/>
    <sheet name="Feeder Spreads" sheetId="4" r:id="rId4"/>
    <sheet name="Spread Context.Signal" sheetId="5" r:id="rId5"/>
    <sheet name="Spread Calcs" sheetId="6" r:id="rId6"/>
    <sheet name="Contract Cal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K1" i="1" a="1"/>
  <c r="K1" i="1" s="1"/>
  <c r="BS1" i="2" a="1"/>
  <c r="BS1" i="2" s="1"/>
  <c r="BI1" i="2" a="1"/>
  <c r="BI1" i="2" s="1"/>
  <c r="AY1" i="2" a="1"/>
  <c r="AY1" i="2" s="1"/>
  <c r="AO1" i="2" a="1"/>
  <c r="AO1" i="2" s="1"/>
  <c r="AE1" i="2" a="1"/>
  <c r="AE1" i="2" s="1"/>
  <c r="U1" i="2" a="1"/>
  <c r="U1" i="2" s="1"/>
  <c r="K1" i="2" a="1"/>
  <c r="K1" i="2" s="1"/>
  <c r="A1" i="2" a="1"/>
  <c r="A1" i="2" s="1"/>
  <c r="AY1" i="1" a="1"/>
  <c r="AY1" i="1" s="1"/>
  <c r="AO1" i="1" a="1"/>
  <c r="AO1" i="1" s="1"/>
  <c r="U1" i="1" a="1"/>
  <c r="U1" i="1" s="1"/>
  <c r="AE1" i="1" a="1"/>
  <c r="AE1" i="1" s="1"/>
  <c r="BC120" i="4"/>
  <c r="BB120" i="4"/>
  <c r="BA120" i="4"/>
  <c r="AZ120" i="4"/>
  <c r="AY120" i="4"/>
  <c r="AX120" i="4"/>
  <c r="CK120" i="6" s="1"/>
  <c r="AV120" i="4"/>
  <c r="AU120" i="4"/>
  <c r="AT120" i="4"/>
  <c r="AS120" i="4"/>
  <c r="AR120" i="4"/>
  <c r="AQ120" i="4"/>
  <c r="EY120" i="6" s="1"/>
  <c r="AO120" i="4"/>
  <c r="AN120" i="4"/>
  <c r="AM120" i="4"/>
  <c r="AL120" i="4"/>
  <c r="AK120" i="4"/>
  <c r="AJ120" i="4"/>
  <c r="EN120" i="6" s="1"/>
  <c r="AH120" i="4"/>
  <c r="AG120" i="4"/>
  <c r="AF120" i="4"/>
  <c r="AE120" i="4"/>
  <c r="AD120" i="4"/>
  <c r="AC120" i="4"/>
  <c r="EC120" i="6" s="1"/>
  <c r="AA120" i="4"/>
  <c r="Z120" i="4"/>
  <c r="Y120" i="4"/>
  <c r="X120" i="4"/>
  <c r="W120" i="4"/>
  <c r="V120" i="4"/>
  <c r="DR120" i="6" s="1"/>
  <c r="T120" i="4"/>
  <c r="S120" i="4"/>
  <c r="R120" i="4"/>
  <c r="Q120" i="4"/>
  <c r="P120" i="4"/>
  <c r="O120" i="4"/>
  <c r="DG120" i="6" s="1"/>
  <c r="M120" i="4"/>
  <c r="L120" i="4"/>
  <c r="K120" i="4"/>
  <c r="J120" i="4"/>
  <c r="I120" i="4"/>
  <c r="H120" i="4"/>
  <c r="CV120" i="6" s="1"/>
  <c r="F120" i="4"/>
  <c r="E120" i="4"/>
  <c r="D120" i="4"/>
  <c r="C120" i="4"/>
  <c r="B120" i="4"/>
  <c r="A120" i="4"/>
  <c r="BZ120" i="6" s="1"/>
  <c r="BC119" i="4"/>
  <c r="BB119" i="4"/>
  <c r="BA119" i="4"/>
  <c r="AZ119" i="4"/>
  <c r="AY119" i="4"/>
  <c r="AX119" i="4"/>
  <c r="CK119" i="6" s="1"/>
  <c r="AV119" i="4"/>
  <c r="AU119" i="4"/>
  <c r="AT119" i="4"/>
  <c r="AS119" i="4"/>
  <c r="AR119" i="4"/>
  <c r="AQ119" i="4"/>
  <c r="EY119" i="6" s="1"/>
  <c r="AO119" i="4"/>
  <c r="AN119" i="4"/>
  <c r="AM119" i="4"/>
  <c r="AL119" i="4"/>
  <c r="AK119" i="4"/>
  <c r="AJ119" i="4"/>
  <c r="EN119" i="6" s="1"/>
  <c r="AH119" i="4"/>
  <c r="AG119" i="4"/>
  <c r="AF119" i="4"/>
  <c r="AE119" i="4"/>
  <c r="AD119" i="4"/>
  <c r="AC119" i="4"/>
  <c r="EC119" i="6" s="1"/>
  <c r="AA119" i="4"/>
  <c r="Z119" i="4"/>
  <c r="Y119" i="4"/>
  <c r="X119" i="4"/>
  <c r="W119" i="4"/>
  <c r="V119" i="4"/>
  <c r="DR119" i="6" s="1"/>
  <c r="T119" i="4"/>
  <c r="S119" i="4"/>
  <c r="R119" i="4"/>
  <c r="Q119" i="4"/>
  <c r="P119" i="4"/>
  <c r="O119" i="4"/>
  <c r="DG119" i="6" s="1"/>
  <c r="M119" i="4"/>
  <c r="L119" i="4"/>
  <c r="K119" i="4"/>
  <c r="J119" i="4"/>
  <c r="I119" i="4"/>
  <c r="H119" i="4"/>
  <c r="CV119" i="6" s="1"/>
  <c r="F119" i="4"/>
  <c r="E119" i="4"/>
  <c r="D119" i="4"/>
  <c r="C119" i="4"/>
  <c r="B119" i="4"/>
  <c r="A119" i="4"/>
  <c r="BZ119" i="6" s="1"/>
  <c r="BC118" i="4"/>
  <c r="BB118" i="4"/>
  <c r="BA118" i="4"/>
  <c r="AZ118" i="4"/>
  <c r="AY118" i="4"/>
  <c r="AX118" i="4"/>
  <c r="CK118" i="6" s="1"/>
  <c r="AV118" i="4"/>
  <c r="AU118" i="4"/>
  <c r="AT118" i="4"/>
  <c r="AS118" i="4"/>
  <c r="AR118" i="4"/>
  <c r="AQ118" i="4"/>
  <c r="EY118" i="6" s="1"/>
  <c r="AO118" i="4"/>
  <c r="AN118" i="4"/>
  <c r="AM118" i="4"/>
  <c r="AL118" i="4"/>
  <c r="AK118" i="4"/>
  <c r="AJ118" i="4"/>
  <c r="EN118" i="6" s="1"/>
  <c r="AH118" i="4"/>
  <c r="AG118" i="4"/>
  <c r="AF118" i="4"/>
  <c r="AE118" i="4"/>
  <c r="AD118" i="4"/>
  <c r="AC118" i="4"/>
  <c r="EC118" i="6" s="1"/>
  <c r="AA118" i="4"/>
  <c r="Z118" i="4"/>
  <c r="Y118" i="4"/>
  <c r="X118" i="4"/>
  <c r="W118" i="4"/>
  <c r="V118" i="4"/>
  <c r="DR118" i="6" s="1"/>
  <c r="T118" i="4"/>
  <c r="S118" i="4"/>
  <c r="R118" i="4"/>
  <c r="Q118" i="4"/>
  <c r="P118" i="4"/>
  <c r="O118" i="4"/>
  <c r="DG118" i="6" s="1"/>
  <c r="M118" i="4"/>
  <c r="L118" i="4"/>
  <c r="K118" i="4"/>
  <c r="J118" i="4"/>
  <c r="I118" i="4"/>
  <c r="H118" i="4"/>
  <c r="CV118" i="6" s="1"/>
  <c r="F118" i="4"/>
  <c r="E118" i="4"/>
  <c r="D118" i="4"/>
  <c r="C118" i="4"/>
  <c r="B118" i="4"/>
  <c r="A118" i="4"/>
  <c r="BZ118" i="6" s="1"/>
  <c r="BC117" i="4"/>
  <c r="BB117" i="4"/>
  <c r="BA117" i="4"/>
  <c r="AZ117" i="4"/>
  <c r="AY117" i="4"/>
  <c r="AX117" i="4"/>
  <c r="CK117" i="6" s="1"/>
  <c r="AV117" i="4"/>
  <c r="AU117" i="4"/>
  <c r="AT117" i="4"/>
  <c r="AS117" i="4"/>
  <c r="AR117" i="4"/>
  <c r="AQ117" i="4"/>
  <c r="EY117" i="6" s="1"/>
  <c r="AO117" i="4"/>
  <c r="AN117" i="4"/>
  <c r="AM117" i="4"/>
  <c r="AL117" i="4"/>
  <c r="AK117" i="4"/>
  <c r="AJ117" i="4"/>
  <c r="EN117" i="6" s="1"/>
  <c r="AH117" i="4"/>
  <c r="AG117" i="4"/>
  <c r="AF117" i="4"/>
  <c r="AE117" i="4"/>
  <c r="AD117" i="4"/>
  <c r="AC117" i="4"/>
  <c r="EC117" i="6" s="1"/>
  <c r="AA117" i="4"/>
  <c r="Z117" i="4"/>
  <c r="Y117" i="4"/>
  <c r="X117" i="4"/>
  <c r="W117" i="4"/>
  <c r="V117" i="4"/>
  <c r="DR117" i="6" s="1"/>
  <c r="T117" i="4"/>
  <c r="S117" i="4"/>
  <c r="R117" i="4"/>
  <c r="Q117" i="4"/>
  <c r="P117" i="4"/>
  <c r="O117" i="4"/>
  <c r="DG117" i="6" s="1"/>
  <c r="M117" i="4"/>
  <c r="L117" i="4"/>
  <c r="K117" i="4"/>
  <c r="J117" i="4"/>
  <c r="I117" i="4"/>
  <c r="H117" i="4"/>
  <c r="CV117" i="6" s="1"/>
  <c r="F117" i="4"/>
  <c r="E117" i="4"/>
  <c r="D117" i="4"/>
  <c r="C117" i="4"/>
  <c r="B117" i="4"/>
  <c r="A117" i="4"/>
  <c r="BZ117" i="6" s="1"/>
  <c r="BC116" i="4"/>
  <c r="BB116" i="4"/>
  <c r="BA116" i="4"/>
  <c r="AZ116" i="4"/>
  <c r="AY116" i="4"/>
  <c r="AX116" i="4"/>
  <c r="CK116" i="6" s="1"/>
  <c r="AV116" i="4"/>
  <c r="AU116" i="4"/>
  <c r="AT116" i="4"/>
  <c r="AS116" i="4"/>
  <c r="AR116" i="4"/>
  <c r="AQ116" i="4"/>
  <c r="EY116" i="6" s="1"/>
  <c r="AO116" i="4"/>
  <c r="AN116" i="4"/>
  <c r="AM116" i="4"/>
  <c r="AL116" i="4"/>
  <c r="AK116" i="4"/>
  <c r="AJ116" i="4"/>
  <c r="EN116" i="6" s="1"/>
  <c r="AH116" i="4"/>
  <c r="AG116" i="4"/>
  <c r="AF116" i="4"/>
  <c r="AE116" i="4"/>
  <c r="AD116" i="4"/>
  <c r="AC116" i="4"/>
  <c r="EC116" i="6" s="1"/>
  <c r="AA116" i="4"/>
  <c r="Z116" i="4"/>
  <c r="Y116" i="4"/>
  <c r="X116" i="4"/>
  <c r="W116" i="4"/>
  <c r="V116" i="4"/>
  <c r="DR116" i="6" s="1"/>
  <c r="T116" i="4"/>
  <c r="S116" i="4"/>
  <c r="R116" i="4"/>
  <c r="Q116" i="4"/>
  <c r="P116" i="4"/>
  <c r="O116" i="4"/>
  <c r="DG116" i="6" s="1"/>
  <c r="M116" i="4"/>
  <c r="L116" i="4"/>
  <c r="K116" i="4"/>
  <c r="J116" i="4"/>
  <c r="I116" i="4"/>
  <c r="H116" i="4"/>
  <c r="CV116" i="6" s="1"/>
  <c r="F116" i="4"/>
  <c r="E116" i="4"/>
  <c r="D116" i="4"/>
  <c r="C116" i="4"/>
  <c r="B116" i="4"/>
  <c r="A116" i="4"/>
  <c r="BZ116" i="6" s="1"/>
  <c r="BC115" i="4"/>
  <c r="BB115" i="4"/>
  <c r="BA115" i="4"/>
  <c r="AZ115" i="4"/>
  <c r="AY115" i="4"/>
  <c r="AX115" i="4"/>
  <c r="CK115" i="6" s="1"/>
  <c r="AV115" i="4"/>
  <c r="AU115" i="4"/>
  <c r="AT115" i="4"/>
  <c r="AS115" i="4"/>
  <c r="AR115" i="4"/>
  <c r="AQ115" i="4"/>
  <c r="EY115" i="6" s="1"/>
  <c r="AO115" i="4"/>
  <c r="AN115" i="4"/>
  <c r="AM115" i="4"/>
  <c r="AL115" i="4"/>
  <c r="AK115" i="4"/>
  <c r="AJ115" i="4"/>
  <c r="EN115" i="6" s="1"/>
  <c r="AH115" i="4"/>
  <c r="AG115" i="4"/>
  <c r="AF115" i="4"/>
  <c r="AE115" i="4"/>
  <c r="AD115" i="4"/>
  <c r="AC115" i="4"/>
  <c r="EC115" i="6" s="1"/>
  <c r="AA115" i="4"/>
  <c r="Z115" i="4"/>
  <c r="Y115" i="4"/>
  <c r="X115" i="4"/>
  <c r="W115" i="4"/>
  <c r="V115" i="4"/>
  <c r="DR115" i="6" s="1"/>
  <c r="T115" i="4"/>
  <c r="S115" i="4"/>
  <c r="R115" i="4"/>
  <c r="Q115" i="4"/>
  <c r="P115" i="4"/>
  <c r="O115" i="4"/>
  <c r="DG115" i="6" s="1"/>
  <c r="M115" i="4"/>
  <c r="L115" i="4"/>
  <c r="K115" i="4"/>
  <c r="J115" i="4"/>
  <c r="I115" i="4"/>
  <c r="H115" i="4"/>
  <c r="CV115" i="6" s="1"/>
  <c r="F115" i="4"/>
  <c r="E115" i="4"/>
  <c r="D115" i="4"/>
  <c r="C115" i="4"/>
  <c r="B115" i="4"/>
  <c r="A115" i="4"/>
  <c r="BZ115" i="6" s="1"/>
  <c r="BC114" i="4"/>
  <c r="BB114" i="4"/>
  <c r="BA114" i="4"/>
  <c r="AZ114" i="4"/>
  <c r="AY114" i="4"/>
  <c r="AX114" i="4"/>
  <c r="CK114" i="6" s="1"/>
  <c r="AV114" i="4"/>
  <c r="AU114" i="4"/>
  <c r="AT114" i="4"/>
  <c r="AS114" i="4"/>
  <c r="AR114" i="4"/>
  <c r="AQ114" i="4"/>
  <c r="EY114" i="6" s="1"/>
  <c r="AO114" i="4"/>
  <c r="AN114" i="4"/>
  <c r="AM114" i="4"/>
  <c r="AL114" i="4"/>
  <c r="AK114" i="4"/>
  <c r="AJ114" i="4"/>
  <c r="EN114" i="6" s="1"/>
  <c r="AH114" i="4"/>
  <c r="AG114" i="4"/>
  <c r="AF114" i="4"/>
  <c r="AE114" i="4"/>
  <c r="AD114" i="4"/>
  <c r="AC114" i="4"/>
  <c r="EC114" i="6" s="1"/>
  <c r="AA114" i="4"/>
  <c r="Z114" i="4"/>
  <c r="Y114" i="4"/>
  <c r="X114" i="4"/>
  <c r="W114" i="4"/>
  <c r="V114" i="4"/>
  <c r="DR114" i="6" s="1"/>
  <c r="T114" i="4"/>
  <c r="S114" i="4"/>
  <c r="R114" i="4"/>
  <c r="Q114" i="4"/>
  <c r="P114" i="4"/>
  <c r="O114" i="4"/>
  <c r="DG114" i="6" s="1"/>
  <c r="M114" i="4"/>
  <c r="L114" i="4"/>
  <c r="K114" i="4"/>
  <c r="J114" i="4"/>
  <c r="I114" i="4"/>
  <c r="H114" i="4"/>
  <c r="CV114" i="6" s="1"/>
  <c r="F114" i="4"/>
  <c r="E114" i="4"/>
  <c r="D114" i="4"/>
  <c r="C114" i="4"/>
  <c r="B114" i="4"/>
  <c r="A114" i="4"/>
  <c r="BZ114" i="6" s="1"/>
  <c r="BC113" i="4"/>
  <c r="BB113" i="4"/>
  <c r="BA113" i="4"/>
  <c r="AZ113" i="4"/>
  <c r="AY113" i="4"/>
  <c r="AX113" i="4"/>
  <c r="CK113" i="6" s="1"/>
  <c r="AV113" i="4"/>
  <c r="AU113" i="4"/>
  <c r="AT113" i="4"/>
  <c r="AS113" i="4"/>
  <c r="AR113" i="4"/>
  <c r="AQ113" i="4"/>
  <c r="EY113" i="6" s="1"/>
  <c r="AO113" i="4"/>
  <c r="AN113" i="4"/>
  <c r="AM113" i="4"/>
  <c r="AL113" i="4"/>
  <c r="AK113" i="4"/>
  <c r="AJ113" i="4"/>
  <c r="EN113" i="6" s="1"/>
  <c r="AH113" i="4"/>
  <c r="AG113" i="4"/>
  <c r="AF113" i="4"/>
  <c r="AE113" i="4"/>
  <c r="AD113" i="4"/>
  <c r="AC113" i="4"/>
  <c r="EC113" i="6" s="1"/>
  <c r="AA113" i="4"/>
  <c r="Z113" i="4"/>
  <c r="Y113" i="4"/>
  <c r="X113" i="4"/>
  <c r="W113" i="4"/>
  <c r="V113" i="4"/>
  <c r="DR113" i="6" s="1"/>
  <c r="T113" i="4"/>
  <c r="S113" i="4"/>
  <c r="R113" i="4"/>
  <c r="Q113" i="4"/>
  <c r="P113" i="4"/>
  <c r="O113" i="4"/>
  <c r="DG113" i="6" s="1"/>
  <c r="M113" i="4"/>
  <c r="L113" i="4"/>
  <c r="K113" i="4"/>
  <c r="J113" i="4"/>
  <c r="I113" i="4"/>
  <c r="H113" i="4"/>
  <c r="CV113" i="6" s="1"/>
  <c r="F113" i="4"/>
  <c r="E113" i="4"/>
  <c r="D113" i="4"/>
  <c r="C113" i="4"/>
  <c r="B113" i="4"/>
  <c r="A113" i="4"/>
  <c r="BZ113" i="6" s="1"/>
  <c r="BC112" i="4"/>
  <c r="BB112" i="4"/>
  <c r="BA112" i="4"/>
  <c r="AZ112" i="4"/>
  <c r="AY112" i="4"/>
  <c r="AX112" i="4"/>
  <c r="CK112" i="6" s="1"/>
  <c r="AV112" i="4"/>
  <c r="AU112" i="4"/>
  <c r="AT112" i="4"/>
  <c r="AS112" i="4"/>
  <c r="AR112" i="4"/>
  <c r="AQ112" i="4"/>
  <c r="EY112" i="6" s="1"/>
  <c r="AO112" i="4"/>
  <c r="AN112" i="4"/>
  <c r="AM112" i="4"/>
  <c r="AL112" i="4"/>
  <c r="AK112" i="4"/>
  <c r="AJ112" i="4"/>
  <c r="EN112" i="6" s="1"/>
  <c r="AH112" i="4"/>
  <c r="AG112" i="4"/>
  <c r="AF112" i="4"/>
  <c r="AE112" i="4"/>
  <c r="AD112" i="4"/>
  <c r="AC112" i="4"/>
  <c r="EC112" i="6" s="1"/>
  <c r="AA112" i="4"/>
  <c r="Z112" i="4"/>
  <c r="Y112" i="4"/>
  <c r="X112" i="4"/>
  <c r="W112" i="4"/>
  <c r="V112" i="4"/>
  <c r="DR112" i="6" s="1"/>
  <c r="T112" i="4"/>
  <c r="S112" i="4"/>
  <c r="R112" i="4"/>
  <c r="Q112" i="4"/>
  <c r="P112" i="4"/>
  <c r="O112" i="4"/>
  <c r="DG112" i="6" s="1"/>
  <c r="M112" i="4"/>
  <c r="L112" i="4"/>
  <c r="K112" i="4"/>
  <c r="J112" i="4"/>
  <c r="I112" i="4"/>
  <c r="H112" i="4"/>
  <c r="CV112" i="6" s="1"/>
  <c r="F112" i="4"/>
  <c r="E112" i="4"/>
  <c r="D112" i="4"/>
  <c r="C112" i="4"/>
  <c r="B112" i="4"/>
  <c r="A112" i="4"/>
  <c r="BZ112" i="6" s="1"/>
  <c r="BC111" i="4"/>
  <c r="BB111" i="4"/>
  <c r="BA111" i="4"/>
  <c r="AZ111" i="4"/>
  <c r="AY111" i="4"/>
  <c r="AX111" i="4"/>
  <c r="CK111" i="6" s="1"/>
  <c r="AV111" i="4"/>
  <c r="AU111" i="4"/>
  <c r="AT111" i="4"/>
  <c r="AS111" i="4"/>
  <c r="AR111" i="4"/>
  <c r="AQ111" i="4"/>
  <c r="EY111" i="6" s="1"/>
  <c r="AO111" i="4"/>
  <c r="AN111" i="4"/>
  <c r="AM111" i="4"/>
  <c r="AL111" i="4"/>
  <c r="AK111" i="4"/>
  <c r="AJ111" i="4"/>
  <c r="EN111" i="6" s="1"/>
  <c r="AH111" i="4"/>
  <c r="AG111" i="4"/>
  <c r="AF111" i="4"/>
  <c r="AE111" i="4"/>
  <c r="AD111" i="4"/>
  <c r="AC111" i="4"/>
  <c r="EC111" i="6" s="1"/>
  <c r="AA111" i="4"/>
  <c r="Z111" i="4"/>
  <c r="Y111" i="4"/>
  <c r="X111" i="4"/>
  <c r="W111" i="4"/>
  <c r="V111" i="4"/>
  <c r="DR111" i="6" s="1"/>
  <c r="T111" i="4"/>
  <c r="S111" i="4"/>
  <c r="R111" i="4"/>
  <c r="Q111" i="4"/>
  <c r="P111" i="4"/>
  <c r="O111" i="4"/>
  <c r="DG111" i="6" s="1"/>
  <c r="M111" i="4"/>
  <c r="L111" i="4"/>
  <c r="K111" i="4"/>
  <c r="J111" i="4"/>
  <c r="I111" i="4"/>
  <c r="H111" i="4"/>
  <c r="CV111" i="6" s="1"/>
  <c r="F111" i="4"/>
  <c r="E111" i="4"/>
  <c r="D111" i="4"/>
  <c r="C111" i="4"/>
  <c r="B111" i="4"/>
  <c r="A111" i="4"/>
  <c r="BZ111" i="6" s="1"/>
  <c r="BC110" i="4"/>
  <c r="BB110" i="4"/>
  <c r="BA110" i="4"/>
  <c r="AZ110" i="4"/>
  <c r="AY110" i="4"/>
  <c r="AX110" i="4"/>
  <c r="CK110" i="6" s="1"/>
  <c r="AV110" i="4"/>
  <c r="AU110" i="4"/>
  <c r="AT110" i="4"/>
  <c r="AS110" i="4"/>
  <c r="AR110" i="4"/>
  <c r="AQ110" i="4"/>
  <c r="EY110" i="6" s="1"/>
  <c r="AO110" i="4"/>
  <c r="AN110" i="4"/>
  <c r="AM110" i="4"/>
  <c r="AL110" i="4"/>
  <c r="AK110" i="4"/>
  <c r="AJ110" i="4"/>
  <c r="EN110" i="6" s="1"/>
  <c r="AH110" i="4"/>
  <c r="AG110" i="4"/>
  <c r="AF110" i="4"/>
  <c r="AE110" i="4"/>
  <c r="AD110" i="4"/>
  <c r="AC110" i="4"/>
  <c r="EC110" i="6" s="1"/>
  <c r="AA110" i="4"/>
  <c r="Z110" i="4"/>
  <c r="Y110" i="4"/>
  <c r="X110" i="4"/>
  <c r="W110" i="4"/>
  <c r="V110" i="4"/>
  <c r="DR110" i="6" s="1"/>
  <c r="T110" i="4"/>
  <c r="S110" i="4"/>
  <c r="R110" i="4"/>
  <c r="Q110" i="4"/>
  <c r="P110" i="4"/>
  <c r="O110" i="4"/>
  <c r="DG110" i="6" s="1"/>
  <c r="M110" i="4"/>
  <c r="L110" i="4"/>
  <c r="K110" i="4"/>
  <c r="J110" i="4"/>
  <c r="I110" i="4"/>
  <c r="H110" i="4"/>
  <c r="CV110" i="6" s="1"/>
  <c r="F110" i="4"/>
  <c r="E110" i="4"/>
  <c r="D110" i="4"/>
  <c r="C110" i="4"/>
  <c r="B110" i="4"/>
  <c r="A110" i="4"/>
  <c r="BZ110" i="6" s="1"/>
  <c r="BC109" i="4"/>
  <c r="BB109" i="4"/>
  <c r="BA109" i="4"/>
  <c r="AZ109" i="4"/>
  <c r="AY109" i="4"/>
  <c r="AX109" i="4"/>
  <c r="CK109" i="6" s="1"/>
  <c r="AV109" i="4"/>
  <c r="AU109" i="4"/>
  <c r="AT109" i="4"/>
  <c r="AS109" i="4"/>
  <c r="AR109" i="4"/>
  <c r="AQ109" i="4"/>
  <c r="EY109" i="6" s="1"/>
  <c r="AO109" i="4"/>
  <c r="AN109" i="4"/>
  <c r="AM109" i="4"/>
  <c r="AL109" i="4"/>
  <c r="AK109" i="4"/>
  <c r="AJ109" i="4"/>
  <c r="EN109" i="6" s="1"/>
  <c r="AH109" i="4"/>
  <c r="AG109" i="4"/>
  <c r="AF109" i="4"/>
  <c r="AE109" i="4"/>
  <c r="AD109" i="4"/>
  <c r="AC109" i="4"/>
  <c r="EC109" i="6" s="1"/>
  <c r="AA109" i="4"/>
  <c r="Z109" i="4"/>
  <c r="Y109" i="4"/>
  <c r="X109" i="4"/>
  <c r="W109" i="4"/>
  <c r="V109" i="4"/>
  <c r="DR109" i="6" s="1"/>
  <c r="T109" i="4"/>
  <c r="S109" i="4"/>
  <c r="R109" i="4"/>
  <c r="Q109" i="4"/>
  <c r="P109" i="4"/>
  <c r="O109" i="4"/>
  <c r="DG109" i="6" s="1"/>
  <c r="M109" i="4"/>
  <c r="L109" i="4"/>
  <c r="K109" i="4"/>
  <c r="J109" i="4"/>
  <c r="I109" i="4"/>
  <c r="H109" i="4"/>
  <c r="CV109" i="6" s="1"/>
  <c r="F109" i="4"/>
  <c r="E109" i="4"/>
  <c r="D109" i="4"/>
  <c r="C109" i="4"/>
  <c r="B109" i="4"/>
  <c r="A109" i="4"/>
  <c r="BZ109" i="6" s="1"/>
  <c r="BC108" i="4"/>
  <c r="BB108" i="4"/>
  <c r="BA108" i="4"/>
  <c r="AZ108" i="4"/>
  <c r="AY108" i="4"/>
  <c r="AX108" i="4"/>
  <c r="CK108" i="6" s="1"/>
  <c r="AV108" i="4"/>
  <c r="AU108" i="4"/>
  <c r="AT108" i="4"/>
  <c r="AS108" i="4"/>
  <c r="AR108" i="4"/>
  <c r="AQ108" i="4"/>
  <c r="EY108" i="6" s="1"/>
  <c r="AO108" i="4"/>
  <c r="AN108" i="4"/>
  <c r="AM108" i="4"/>
  <c r="AL108" i="4"/>
  <c r="AK108" i="4"/>
  <c r="AJ108" i="4"/>
  <c r="EN108" i="6" s="1"/>
  <c r="AH108" i="4"/>
  <c r="AG108" i="4"/>
  <c r="AF108" i="4"/>
  <c r="AE108" i="4"/>
  <c r="AD108" i="4"/>
  <c r="AC108" i="4"/>
  <c r="EC108" i="6" s="1"/>
  <c r="AA108" i="4"/>
  <c r="Z108" i="4"/>
  <c r="Y108" i="4"/>
  <c r="X108" i="4"/>
  <c r="W108" i="4"/>
  <c r="V108" i="4"/>
  <c r="DR108" i="6" s="1"/>
  <c r="T108" i="4"/>
  <c r="S108" i="4"/>
  <c r="R108" i="4"/>
  <c r="Q108" i="4"/>
  <c r="P108" i="4"/>
  <c r="O108" i="4"/>
  <c r="DG108" i="6" s="1"/>
  <c r="M108" i="4"/>
  <c r="L108" i="4"/>
  <c r="K108" i="4"/>
  <c r="J108" i="4"/>
  <c r="I108" i="4"/>
  <c r="H108" i="4"/>
  <c r="CV108" i="6" s="1"/>
  <c r="F108" i="4"/>
  <c r="E108" i="4"/>
  <c r="D108" i="4"/>
  <c r="C108" i="4"/>
  <c r="B108" i="4"/>
  <c r="A108" i="4"/>
  <c r="BZ108" i="6" s="1"/>
  <c r="BC107" i="4"/>
  <c r="BB107" i="4"/>
  <c r="BA107" i="4"/>
  <c r="AZ107" i="4"/>
  <c r="AY107" i="4"/>
  <c r="AX107" i="4"/>
  <c r="CK107" i="6" s="1"/>
  <c r="AV107" i="4"/>
  <c r="AU107" i="4"/>
  <c r="AT107" i="4"/>
  <c r="AS107" i="4"/>
  <c r="AR107" i="4"/>
  <c r="AQ107" i="4"/>
  <c r="EY107" i="6" s="1"/>
  <c r="AO107" i="4"/>
  <c r="AN107" i="4"/>
  <c r="AM107" i="4"/>
  <c r="AL107" i="4"/>
  <c r="AK107" i="4"/>
  <c r="AJ107" i="4"/>
  <c r="EN107" i="6" s="1"/>
  <c r="AH107" i="4"/>
  <c r="AG107" i="4"/>
  <c r="AF107" i="4"/>
  <c r="AE107" i="4"/>
  <c r="AD107" i="4"/>
  <c r="AC107" i="4"/>
  <c r="EC107" i="6" s="1"/>
  <c r="AA107" i="4"/>
  <c r="Z107" i="4"/>
  <c r="Y107" i="4"/>
  <c r="X107" i="4"/>
  <c r="W107" i="4"/>
  <c r="V107" i="4"/>
  <c r="DR107" i="6" s="1"/>
  <c r="T107" i="4"/>
  <c r="S107" i="4"/>
  <c r="R107" i="4"/>
  <c r="Q107" i="4"/>
  <c r="P107" i="4"/>
  <c r="O107" i="4"/>
  <c r="DG107" i="6" s="1"/>
  <c r="M107" i="4"/>
  <c r="L107" i="4"/>
  <c r="K107" i="4"/>
  <c r="J107" i="4"/>
  <c r="I107" i="4"/>
  <c r="H107" i="4"/>
  <c r="CV107" i="6" s="1"/>
  <c r="F107" i="4"/>
  <c r="E107" i="4"/>
  <c r="D107" i="4"/>
  <c r="C107" i="4"/>
  <c r="B107" i="4"/>
  <c r="A107" i="4"/>
  <c r="BZ107" i="6" s="1"/>
  <c r="BC106" i="4"/>
  <c r="BB106" i="4"/>
  <c r="BA106" i="4"/>
  <c r="AZ106" i="4"/>
  <c r="AY106" i="4"/>
  <c r="AX106" i="4"/>
  <c r="CK106" i="6" s="1"/>
  <c r="AV106" i="4"/>
  <c r="AU106" i="4"/>
  <c r="AT106" i="4"/>
  <c r="AS106" i="4"/>
  <c r="AR106" i="4"/>
  <c r="AQ106" i="4"/>
  <c r="EY106" i="6" s="1"/>
  <c r="AO106" i="4"/>
  <c r="AN106" i="4"/>
  <c r="AM106" i="4"/>
  <c r="AL106" i="4"/>
  <c r="AK106" i="4"/>
  <c r="AJ106" i="4"/>
  <c r="EN106" i="6" s="1"/>
  <c r="AH106" i="4"/>
  <c r="AG106" i="4"/>
  <c r="AF106" i="4"/>
  <c r="AE106" i="4"/>
  <c r="AD106" i="4"/>
  <c r="AC106" i="4"/>
  <c r="EC106" i="6" s="1"/>
  <c r="AA106" i="4"/>
  <c r="Z106" i="4"/>
  <c r="Y106" i="4"/>
  <c r="X106" i="4"/>
  <c r="W106" i="4"/>
  <c r="V106" i="4"/>
  <c r="DR106" i="6" s="1"/>
  <c r="T106" i="4"/>
  <c r="S106" i="4"/>
  <c r="R106" i="4"/>
  <c r="Q106" i="4"/>
  <c r="P106" i="4"/>
  <c r="O106" i="4"/>
  <c r="DG106" i="6" s="1"/>
  <c r="M106" i="4"/>
  <c r="L106" i="4"/>
  <c r="K106" i="4"/>
  <c r="J106" i="4"/>
  <c r="I106" i="4"/>
  <c r="H106" i="4"/>
  <c r="CV106" i="6" s="1"/>
  <c r="F106" i="4"/>
  <c r="E106" i="4"/>
  <c r="D106" i="4"/>
  <c r="C106" i="4"/>
  <c r="B106" i="4"/>
  <c r="A106" i="4"/>
  <c r="BZ106" i="6" s="1"/>
  <c r="BC105" i="4"/>
  <c r="BB105" i="4"/>
  <c r="BA105" i="4"/>
  <c r="AZ105" i="4"/>
  <c r="AY105" i="4"/>
  <c r="AX105" i="4"/>
  <c r="CK105" i="6" s="1"/>
  <c r="AV105" i="4"/>
  <c r="AU105" i="4"/>
  <c r="AT105" i="4"/>
  <c r="AS105" i="4"/>
  <c r="AR105" i="4"/>
  <c r="AQ105" i="4"/>
  <c r="EY105" i="6" s="1"/>
  <c r="AO105" i="4"/>
  <c r="AN105" i="4"/>
  <c r="AM105" i="4"/>
  <c r="AL105" i="4"/>
  <c r="AK105" i="4"/>
  <c r="AJ105" i="4"/>
  <c r="EN105" i="6" s="1"/>
  <c r="AH105" i="4"/>
  <c r="AG105" i="4"/>
  <c r="AF105" i="4"/>
  <c r="AE105" i="4"/>
  <c r="AD105" i="4"/>
  <c r="AC105" i="4"/>
  <c r="EC105" i="6" s="1"/>
  <c r="AA105" i="4"/>
  <c r="Z105" i="4"/>
  <c r="Y105" i="4"/>
  <c r="X105" i="4"/>
  <c r="W105" i="4"/>
  <c r="V105" i="4"/>
  <c r="DR105" i="6" s="1"/>
  <c r="T105" i="4"/>
  <c r="S105" i="4"/>
  <c r="R105" i="4"/>
  <c r="Q105" i="4"/>
  <c r="P105" i="4"/>
  <c r="O105" i="4"/>
  <c r="DG105" i="6" s="1"/>
  <c r="M105" i="4"/>
  <c r="L105" i="4"/>
  <c r="K105" i="4"/>
  <c r="J105" i="4"/>
  <c r="I105" i="4"/>
  <c r="H105" i="4"/>
  <c r="CV105" i="6" s="1"/>
  <c r="F105" i="4"/>
  <c r="E105" i="4"/>
  <c r="D105" i="4"/>
  <c r="C105" i="4"/>
  <c r="B105" i="4"/>
  <c r="A105" i="4"/>
  <c r="BZ105" i="6" s="1"/>
  <c r="BC104" i="4"/>
  <c r="BB104" i="4"/>
  <c r="BA104" i="4"/>
  <c r="AZ104" i="4"/>
  <c r="AY104" i="4"/>
  <c r="AX104" i="4"/>
  <c r="CK104" i="6" s="1"/>
  <c r="AV104" i="4"/>
  <c r="AU104" i="4"/>
  <c r="AT104" i="4"/>
  <c r="AS104" i="4"/>
  <c r="AR104" i="4"/>
  <c r="AQ104" i="4"/>
  <c r="EY104" i="6" s="1"/>
  <c r="AO104" i="4"/>
  <c r="AN104" i="4"/>
  <c r="AM104" i="4"/>
  <c r="AL104" i="4"/>
  <c r="AK104" i="4"/>
  <c r="AJ104" i="4"/>
  <c r="EN104" i="6" s="1"/>
  <c r="AH104" i="4"/>
  <c r="AG104" i="4"/>
  <c r="AF104" i="4"/>
  <c r="AE104" i="4"/>
  <c r="AD104" i="4"/>
  <c r="AC104" i="4"/>
  <c r="EC104" i="6" s="1"/>
  <c r="AA104" i="4"/>
  <c r="Z104" i="4"/>
  <c r="Y104" i="4"/>
  <c r="X104" i="4"/>
  <c r="W104" i="4"/>
  <c r="V104" i="4"/>
  <c r="DR104" i="6" s="1"/>
  <c r="T104" i="4"/>
  <c r="S104" i="4"/>
  <c r="R104" i="4"/>
  <c r="Q104" i="4"/>
  <c r="P104" i="4"/>
  <c r="O104" i="4"/>
  <c r="DG104" i="6" s="1"/>
  <c r="M104" i="4"/>
  <c r="L104" i="4"/>
  <c r="K104" i="4"/>
  <c r="J104" i="4"/>
  <c r="I104" i="4"/>
  <c r="H104" i="4"/>
  <c r="CV104" i="6" s="1"/>
  <c r="F104" i="4"/>
  <c r="E104" i="4"/>
  <c r="D104" i="4"/>
  <c r="C104" i="4"/>
  <c r="B104" i="4"/>
  <c r="A104" i="4"/>
  <c r="BZ104" i="6" s="1"/>
  <c r="BC103" i="4"/>
  <c r="BB103" i="4"/>
  <c r="BA103" i="4"/>
  <c r="AZ103" i="4"/>
  <c r="AY103" i="4"/>
  <c r="AX103" i="4"/>
  <c r="CK103" i="6" s="1"/>
  <c r="AV103" i="4"/>
  <c r="AU103" i="4"/>
  <c r="AT103" i="4"/>
  <c r="AS103" i="4"/>
  <c r="AR103" i="4"/>
  <c r="AQ103" i="4"/>
  <c r="EY103" i="6" s="1"/>
  <c r="AO103" i="4"/>
  <c r="AN103" i="4"/>
  <c r="AM103" i="4"/>
  <c r="AL103" i="4"/>
  <c r="AK103" i="4"/>
  <c r="AJ103" i="4"/>
  <c r="EN103" i="6" s="1"/>
  <c r="AH103" i="4"/>
  <c r="AG103" i="4"/>
  <c r="AF103" i="4"/>
  <c r="AE103" i="4"/>
  <c r="AD103" i="4"/>
  <c r="AC103" i="4"/>
  <c r="EC103" i="6" s="1"/>
  <c r="AA103" i="4"/>
  <c r="Z103" i="4"/>
  <c r="Y103" i="4"/>
  <c r="X103" i="4"/>
  <c r="W103" i="4"/>
  <c r="V103" i="4"/>
  <c r="DR103" i="6" s="1"/>
  <c r="T103" i="4"/>
  <c r="S103" i="4"/>
  <c r="R103" i="4"/>
  <c r="Q103" i="4"/>
  <c r="P103" i="4"/>
  <c r="O103" i="4"/>
  <c r="DG103" i="6" s="1"/>
  <c r="M103" i="4"/>
  <c r="L103" i="4"/>
  <c r="K103" i="4"/>
  <c r="J103" i="4"/>
  <c r="I103" i="4"/>
  <c r="H103" i="4"/>
  <c r="CV103" i="6" s="1"/>
  <c r="F103" i="4"/>
  <c r="E103" i="4"/>
  <c r="D103" i="4"/>
  <c r="C103" i="4"/>
  <c r="B103" i="4"/>
  <c r="A103" i="4"/>
  <c r="BZ103" i="6" s="1"/>
  <c r="BC102" i="4"/>
  <c r="BB102" i="4"/>
  <c r="BA102" i="4"/>
  <c r="AZ102" i="4"/>
  <c r="AY102" i="4"/>
  <c r="AX102" i="4"/>
  <c r="CK102" i="6" s="1"/>
  <c r="AV102" i="4"/>
  <c r="AU102" i="4"/>
  <c r="AT102" i="4"/>
  <c r="AS102" i="4"/>
  <c r="AR102" i="4"/>
  <c r="AQ102" i="4"/>
  <c r="EY102" i="6" s="1"/>
  <c r="AO102" i="4"/>
  <c r="AN102" i="4"/>
  <c r="AM102" i="4"/>
  <c r="AL102" i="4"/>
  <c r="AK102" i="4"/>
  <c r="AJ102" i="4"/>
  <c r="EN102" i="6" s="1"/>
  <c r="AH102" i="4"/>
  <c r="AG102" i="4"/>
  <c r="AF102" i="4"/>
  <c r="AE102" i="4"/>
  <c r="AD102" i="4"/>
  <c r="AC102" i="4"/>
  <c r="EC102" i="6" s="1"/>
  <c r="AA102" i="4"/>
  <c r="Z102" i="4"/>
  <c r="Y102" i="4"/>
  <c r="X102" i="4"/>
  <c r="W102" i="4"/>
  <c r="V102" i="4"/>
  <c r="DR102" i="6" s="1"/>
  <c r="T102" i="4"/>
  <c r="S102" i="4"/>
  <c r="R102" i="4"/>
  <c r="Q102" i="4"/>
  <c r="P102" i="4"/>
  <c r="O102" i="4"/>
  <c r="DG102" i="6" s="1"/>
  <c r="M102" i="4"/>
  <c r="L102" i="4"/>
  <c r="K102" i="4"/>
  <c r="J102" i="4"/>
  <c r="I102" i="4"/>
  <c r="H102" i="4"/>
  <c r="CV102" i="6" s="1"/>
  <c r="F102" i="4"/>
  <c r="E102" i="4"/>
  <c r="D102" i="4"/>
  <c r="C102" i="4"/>
  <c r="B102" i="4"/>
  <c r="A102" i="4"/>
  <c r="BZ102" i="6" s="1"/>
  <c r="BC101" i="4"/>
  <c r="BB101" i="4"/>
  <c r="BA101" i="4"/>
  <c r="AZ101" i="4"/>
  <c r="AY101" i="4"/>
  <c r="AX101" i="4"/>
  <c r="CK101" i="6" s="1"/>
  <c r="AV101" i="4"/>
  <c r="AU101" i="4"/>
  <c r="AT101" i="4"/>
  <c r="AS101" i="4"/>
  <c r="AR101" i="4"/>
  <c r="AQ101" i="4"/>
  <c r="EY101" i="6" s="1"/>
  <c r="AO101" i="4"/>
  <c r="AN101" i="4"/>
  <c r="AM101" i="4"/>
  <c r="AL101" i="4"/>
  <c r="AK101" i="4"/>
  <c r="AJ101" i="4"/>
  <c r="EN101" i="6" s="1"/>
  <c r="AH101" i="4"/>
  <c r="AG101" i="4"/>
  <c r="AF101" i="4"/>
  <c r="AE101" i="4"/>
  <c r="AD101" i="4"/>
  <c r="AC101" i="4"/>
  <c r="EC101" i="6" s="1"/>
  <c r="AA101" i="4"/>
  <c r="Z101" i="4"/>
  <c r="Y101" i="4"/>
  <c r="X101" i="4"/>
  <c r="W101" i="4"/>
  <c r="V101" i="4"/>
  <c r="DR101" i="6" s="1"/>
  <c r="T101" i="4"/>
  <c r="S101" i="4"/>
  <c r="R101" i="4"/>
  <c r="Q101" i="4"/>
  <c r="P101" i="4"/>
  <c r="O101" i="4"/>
  <c r="DG101" i="6" s="1"/>
  <c r="M101" i="4"/>
  <c r="L101" i="4"/>
  <c r="K101" i="4"/>
  <c r="J101" i="4"/>
  <c r="I101" i="4"/>
  <c r="H101" i="4"/>
  <c r="CV101" i="6" s="1"/>
  <c r="F101" i="4"/>
  <c r="E101" i="4"/>
  <c r="D101" i="4"/>
  <c r="C101" i="4"/>
  <c r="B101" i="4"/>
  <c r="A101" i="4"/>
  <c r="BZ101" i="6" s="1"/>
  <c r="BC100" i="4"/>
  <c r="BB100" i="4"/>
  <c r="BA100" i="4"/>
  <c r="AZ100" i="4"/>
  <c r="AY100" i="4"/>
  <c r="AX100" i="4"/>
  <c r="CK100" i="6" s="1"/>
  <c r="AV100" i="4"/>
  <c r="AU100" i="4"/>
  <c r="AT100" i="4"/>
  <c r="AS100" i="4"/>
  <c r="AR100" i="4"/>
  <c r="AQ100" i="4"/>
  <c r="EY100" i="6" s="1"/>
  <c r="AO100" i="4"/>
  <c r="AN100" i="4"/>
  <c r="AM100" i="4"/>
  <c r="AL100" i="4"/>
  <c r="AK100" i="4"/>
  <c r="AJ100" i="4"/>
  <c r="EN100" i="6" s="1"/>
  <c r="AH100" i="4"/>
  <c r="AG100" i="4"/>
  <c r="AF100" i="4"/>
  <c r="AE100" i="4"/>
  <c r="AD100" i="4"/>
  <c r="AC100" i="4"/>
  <c r="EC100" i="6" s="1"/>
  <c r="AA100" i="4"/>
  <c r="Z100" i="4"/>
  <c r="Y100" i="4"/>
  <c r="X100" i="4"/>
  <c r="W100" i="4"/>
  <c r="V100" i="4"/>
  <c r="DR100" i="6" s="1"/>
  <c r="T100" i="4"/>
  <c r="S100" i="4"/>
  <c r="R100" i="4"/>
  <c r="Q100" i="4"/>
  <c r="P100" i="4"/>
  <c r="O100" i="4"/>
  <c r="DG100" i="6" s="1"/>
  <c r="M100" i="4"/>
  <c r="L100" i="4"/>
  <c r="K100" i="4"/>
  <c r="J100" i="4"/>
  <c r="I100" i="4"/>
  <c r="H100" i="4"/>
  <c r="CV100" i="6" s="1"/>
  <c r="F100" i="4"/>
  <c r="E100" i="4"/>
  <c r="D100" i="4"/>
  <c r="C100" i="4"/>
  <c r="B100" i="4"/>
  <c r="A100" i="4"/>
  <c r="BZ100" i="6" s="1"/>
  <c r="BC99" i="4"/>
  <c r="BB99" i="4"/>
  <c r="BA99" i="4"/>
  <c r="AZ99" i="4"/>
  <c r="AY99" i="4"/>
  <c r="AX99" i="4"/>
  <c r="CK99" i="6" s="1"/>
  <c r="AV99" i="4"/>
  <c r="AU99" i="4"/>
  <c r="AT99" i="4"/>
  <c r="AS99" i="4"/>
  <c r="AR99" i="4"/>
  <c r="AQ99" i="4"/>
  <c r="EY99" i="6" s="1"/>
  <c r="AO99" i="4"/>
  <c r="AN99" i="4"/>
  <c r="AM99" i="4"/>
  <c r="AL99" i="4"/>
  <c r="AK99" i="4"/>
  <c r="AJ99" i="4"/>
  <c r="EN99" i="6" s="1"/>
  <c r="AH99" i="4"/>
  <c r="AG99" i="4"/>
  <c r="AF99" i="4"/>
  <c r="AE99" i="4"/>
  <c r="AD99" i="4"/>
  <c r="AC99" i="4"/>
  <c r="EC99" i="6" s="1"/>
  <c r="AA99" i="4"/>
  <c r="Z99" i="4"/>
  <c r="Y99" i="4"/>
  <c r="X99" i="4"/>
  <c r="W99" i="4"/>
  <c r="V99" i="4"/>
  <c r="DR99" i="6" s="1"/>
  <c r="T99" i="4"/>
  <c r="S99" i="4"/>
  <c r="R99" i="4"/>
  <c r="Q99" i="4"/>
  <c r="P99" i="4"/>
  <c r="O99" i="4"/>
  <c r="DG99" i="6" s="1"/>
  <c r="M99" i="4"/>
  <c r="L99" i="4"/>
  <c r="K99" i="4"/>
  <c r="J99" i="4"/>
  <c r="I99" i="4"/>
  <c r="H99" i="4"/>
  <c r="CV99" i="6" s="1"/>
  <c r="F99" i="4"/>
  <c r="E99" i="4"/>
  <c r="D99" i="4"/>
  <c r="C99" i="4"/>
  <c r="B99" i="4"/>
  <c r="A99" i="4"/>
  <c r="BZ99" i="6" s="1"/>
  <c r="BC98" i="4"/>
  <c r="BB98" i="4"/>
  <c r="BA98" i="4"/>
  <c r="AZ98" i="4"/>
  <c r="AY98" i="4"/>
  <c r="AX98" i="4"/>
  <c r="CK98" i="6" s="1"/>
  <c r="AV98" i="4"/>
  <c r="AU98" i="4"/>
  <c r="AT98" i="4"/>
  <c r="AS98" i="4"/>
  <c r="AR98" i="4"/>
  <c r="AQ98" i="4"/>
  <c r="EY98" i="6" s="1"/>
  <c r="AO98" i="4"/>
  <c r="AN98" i="4"/>
  <c r="AM98" i="4"/>
  <c r="AL98" i="4"/>
  <c r="AK98" i="4"/>
  <c r="AJ98" i="4"/>
  <c r="EN98" i="6" s="1"/>
  <c r="AH98" i="4"/>
  <c r="AG98" i="4"/>
  <c r="AF98" i="4"/>
  <c r="AE98" i="4"/>
  <c r="AD98" i="4"/>
  <c r="AC98" i="4"/>
  <c r="EC98" i="6" s="1"/>
  <c r="AA98" i="4"/>
  <c r="Z98" i="4"/>
  <c r="Y98" i="4"/>
  <c r="X98" i="4"/>
  <c r="W98" i="4"/>
  <c r="V98" i="4"/>
  <c r="DR98" i="6" s="1"/>
  <c r="T98" i="4"/>
  <c r="S98" i="4"/>
  <c r="R98" i="4"/>
  <c r="Q98" i="4"/>
  <c r="P98" i="4"/>
  <c r="O98" i="4"/>
  <c r="DG98" i="6" s="1"/>
  <c r="M98" i="4"/>
  <c r="L98" i="4"/>
  <c r="K98" i="4"/>
  <c r="J98" i="4"/>
  <c r="I98" i="4"/>
  <c r="H98" i="4"/>
  <c r="CV98" i="6" s="1"/>
  <c r="F98" i="4"/>
  <c r="E98" i="4"/>
  <c r="D98" i="4"/>
  <c r="C98" i="4"/>
  <c r="B98" i="4"/>
  <c r="A98" i="4"/>
  <c r="BZ98" i="6" s="1"/>
  <c r="BC97" i="4"/>
  <c r="BB97" i="4"/>
  <c r="BA97" i="4"/>
  <c r="AZ97" i="4"/>
  <c r="AY97" i="4"/>
  <c r="AX97" i="4"/>
  <c r="CK97" i="6" s="1"/>
  <c r="AV97" i="4"/>
  <c r="AU97" i="4"/>
  <c r="AT97" i="4"/>
  <c r="AS97" i="4"/>
  <c r="AR97" i="4"/>
  <c r="AQ97" i="4"/>
  <c r="EY97" i="6" s="1"/>
  <c r="AO97" i="4"/>
  <c r="AN97" i="4"/>
  <c r="AM97" i="4"/>
  <c r="AL97" i="4"/>
  <c r="AK97" i="4"/>
  <c r="AJ97" i="4"/>
  <c r="EN97" i="6" s="1"/>
  <c r="AH97" i="4"/>
  <c r="AG97" i="4"/>
  <c r="AF97" i="4"/>
  <c r="AE97" i="4"/>
  <c r="AD97" i="4"/>
  <c r="AC97" i="4"/>
  <c r="EC97" i="6" s="1"/>
  <c r="AA97" i="4"/>
  <c r="Z97" i="4"/>
  <c r="Y97" i="4"/>
  <c r="X97" i="4"/>
  <c r="W97" i="4"/>
  <c r="V97" i="4"/>
  <c r="DR97" i="6" s="1"/>
  <c r="T97" i="4"/>
  <c r="S97" i="4"/>
  <c r="R97" i="4"/>
  <c r="Q97" i="4"/>
  <c r="P97" i="4"/>
  <c r="O97" i="4"/>
  <c r="DG97" i="6" s="1"/>
  <c r="M97" i="4"/>
  <c r="L97" i="4"/>
  <c r="K97" i="4"/>
  <c r="J97" i="4"/>
  <c r="I97" i="4"/>
  <c r="H97" i="4"/>
  <c r="CV97" i="6" s="1"/>
  <c r="F97" i="4"/>
  <c r="E97" i="4"/>
  <c r="D97" i="4"/>
  <c r="C97" i="4"/>
  <c r="B97" i="4"/>
  <c r="A97" i="4"/>
  <c r="BZ97" i="6" s="1"/>
  <c r="BC96" i="4"/>
  <c r="BB96" i="4"/>
  <c r="BA96" i="4"/>
  <c r="AZ96" i="4"/>
  <c r="AY96" i="4"/>
  <c r="AX96" i="4"/>
  <c r="CK96" i="6" s="1"/>
  <c r="AV96" i="4"/>
  <c r="AU96" i="4"/>
  <c r="AT96" i="4"/>
  <c r="AS96" i="4"/>
  <c r="AR96" i="4"/>
  <c r="AQ96" i="4"/>
  <c r="EY96" i="6" s="1"/>
  <c r="AO96" i="4"/>
  <c r="AN96" i="4"/>
  <c r="AM96" i="4"/>
  <c r="AL96" i="4"/>
  <c r="AK96" i="4"/>
  <c r="AJ96" i="4"/>
  <c r="EN96" i="6" s="1"/>
  <c r="AH96" i="4"/>
  <c r="AG96" i="4"/>
  <c r="AF96" i="4"/>
  <c r="AE96" i="4"/>
  <c r="AD96" i="4"/>
  <c r="AC96" i="4"/>
  <c r="EC96" i="6" s="1"/>
  <c r="AA96" i="4"/>
  <c r="Z96" i="4"/>
  <c r="Y96" i="4"/>
  <c r="X96" i="4"/>
  <c r="W96" i="4"/>
  <c r="V96" i="4"/>
  <c r="DR96" i="6" s="1"/>
  <c r="T96" i="4"/>
  <c r="S96" i="4"/>
  <c r="R96" i="4"/>
  <c r="Q96" i="4"/>
  <c r="P96" i="4"/>
  <c r="O96" i="4"/>
  <c r="DG96" i="6" s="1"/>
  <c r="M96" i="4"/>
  <c r="L96" i="4"/>
  <c r="K96" i="4"/>
  <c r="J96" i="4"/>
  <c r="I96" i="4"/>
  <c r="H96" i="4"/>
  <c r="CV96" i="6" s="1"/>
  <c r="F96" i="4"/>
  <c r="E96" i="4"/>
  <c r="D96" i="4"/>
  <c r="C96" i="4"/>
  <c r="B96" i="4"/>
  <c r="A96" i="4"/>
  <c r="BZ96" i="6" s="1"/>
  <c r="BC95" i="4"/>
  <c r="BB95" i="4"/>
  <c r="BA95" i="4"/>
  <c r="AZ95" i="4"/>
  <c r="AY95" i="4"/>
  <c r="AX95" i="4"/>
  <c r="CK95" i="6" s="1"/>
  <c r="AV95" i="4"/>
  <c r="AU95" i="4"/>
  <c r="AT95" i="4"/>
  <c r="AS95" i="4"/>
  <c r="AR95" i="4"/>
  <c r="AQ95" i="4"/>
  <c r="EY95" i="6" s="1"/>
  <c r="AO95" i="4"/>
  <c r="AN95" i="4"/>
  <c r="AM95" i="4"/>
  <c r="AL95" i="4"/>
  <c r="AK95" i="4"/>
  <c r="AJ95" i="4"/>
  <c r="EN95" i="6" s="1"/>
  <c r="AH95" i="4"/>
  <c r="AG95" i="4"/>
  <c r="AF95" i="4"/>
  <c r="AE95" i="4"/>
  <c r="AD95" i="4"/>
  <c r="AC95" i="4"/>
  <c r="EC95" i="6" s="1"/>
  <c r="AA95" i="4"/>
  <c r="Z95" i="4"/>
  <c r="Y95" i="4"/>
  <c r="X95" i="4"/>
  <c r="W95" i="4"/>
  <c r="V95" i="4"/>
  <c r="DR95" i="6" s="1"/>
  <c r="T95" i="4"/>
  <c r="S95" i="4"/>
  <c r="R95" i="4"/>
  <c r="Q95" i="4"/>
  <c r="P95" i="4"/>
  <c r="O95" i="4"/>
  <c r="DG95" i="6" s="1"/>
  <c r="M95" i="4"/>
  <c r="L95" i="4"/>
  <c r="K95" i="4"/>
  <c r="J95" i="4"/>
  <c r="I95" i="4"/>
  <c r="H95" i="4"/>
  <c r="CV95" i="6" s="1"/>
  <c r="F95" i="4"/>
  <c r="E95" i="4"/>
  <c r="D95" i="4"/>
  <c r="C95" i="4"/>
  <c r="B95" i="4"/>
  <c r="A95" i="4"/>
  <c r="BZ95" i="6" s="1"/>
  <c r="BC94" i="4"/>
  <c r="BB94" i="4"/>
  <c r="BA94" i="4"/>
  <c r="AZ94" i="4"/>
  <c r="AY94" i="4"/>
  <c r="AX94" i="4"/>
  <c r="CK94" i="6" s="1"/>
  <c r="AV94" i="4"/>
  <c r="AU94" i="4"/>
  <c r="AT94" i="4"/>
  <c r="AS94" i="4"/>
  <c r="AR94" i="4"/>
  <c r="AQ94" i="4"/>
  <c r="EY94" i="6" s="1"/>
  <c r="AO94" i="4"/>
  <c r="AN94" i="4"/>
  <c r="AM94" i="4"/>
  <c r="AL94" i="4"/>
  <c r="AK94" i="4"/>
  <c r="AJ94" i="4"/>
  <c r="EN94" i="6" s="1"/>
  <c r="AH94" i="4"/>
  <c r="AG94" i="4"/>
  <c r="AF94" i="4"/>
  <c r="AE94" i="4"/>
  <c r="AD94" i="4"/>
  <c r="AC94" i="4"/>
  <c r="EC94" i="6" s="1"/>
  <c r="AA94" i="4"/>
  <c r="Z94" i="4"/>
  <c r="Y94" i="4"/>
  <c r="X94" i="4"/>
  <c r="W94" i="4"/>
  <c r="V94" i="4"/>
  <c r="DR94" i="6" s="1"/>
  <c r="T94" i="4"/>
  <c r="S94" i="4"/>
  <c r="R94" i="4"/>
  <c r="Q94" i="4"/>
  <c r="P94" i="4"/>
  <c r="O94" i="4"/>
  <c r="DG94" i="6" s="1"/>
  <c r="M94" i="4"/>
  <c r="L94" i="4"/>
  <c r="K94" i="4"/>
  <c r="J94" i="4"/>
  <c r="I94" i="4"/>
  <c r="H94" i="4"/>
  <c r="CV94" i="6" s="1"/>
  <c r="F94" i="4"/>
  <c r="E94" i="4"/>
  <c r="D94" i="4"/>
  <c r="C94" i="4"/>
  <c r="B94" i="4"/>
  <c r="A94" i="4"/>
  <c r="BZ94" i="6" s="1"/>
  <c r="BC93" i="4"/>
  <c r="BB93" i="4"/>
  <c r="BA93" i="4"/>
  <c r="AZ93" i="4"/>
  <c r="AY93" i="4"/>
  <c r="AX93" i="4"/>
  <c r="CK93" i="6" s="1"/>
  <c r="AV93" i="4"/>
  <c r="AU93" i="4"/>
  <c r="AT93" i="4"/>
  <c r="AS93" i="4"/>
  <c r="AR93" i="4"/>
  <c r="AQ93" i="4"/>
  <c r="EY93" i="6" s="1"/>
  <c r="AO93" i="4"/>
  <c r="AN93" i="4"/>
  <c r="AM93" i="4"/>
  <c r="AL93" i="4"/>
  <c r="AK93" i="4"/>
  <c r="AJ93" i="4"/>
  <c r="EN93" i="6" s="1"/>
  <c r="AH93" i="4"/>
  <c r="AG93" i="4"/>
  <c r="AF93" i="4"/>
  <c r="AE93" i="4"/>
  <c r="AD93" i="4"/>
  <c r="AC93" i="4"/>
  <c r="EC93" i="6" s="1"/>
  <c r="AA93" i="4"/>
  <c r="Z93" i="4"/>
  <c r="Y93" i="4"/>
  <c r="X93" i="4"/>
  <c r="W93" i="4"/>
  <c r="V93" i="4"/>
  <c r="DR93" i="6" s="1"/>
  <c r="T93" i="4"/>
  <c r="S93" i="4"/>
  <c r="R93" i="4"/>
  <c r="Q93" i="4"/>
  <c r="P93" i="4"/>
  <c r="O93" i="4"/>
  <c r="DG93" i="6" s="1"/>
  <c r="M93" i="4"/>
  <c r="L93" i="4"/>
  <c r="K93" i="4"/>
  <c r="J93" i="4"/>
  <c r="I93" i="4"/>
  <c r="H93" i="4"/>
  <c r="CV93" i="6" s="1"/>
  <c r="F93" i="4"/>
  <c r="E93" i="4"/>
  <c r="D93" i="4"/>
  <c r="C93" i="4"/>
  <c r="B93" i="4"/>
  <c r="A93" i="4"/>
  <c r="BZ93" i="6" s="1"/>
  <c r="BC92" i="4"/>
  <c r="BB92" i="4"/>
  <c r="BA92" i="4"/>
  <c r="AZ92" i="4"/>
  <c r="AY92" i="4"/>
  <c r="AX92" i="4"/>
  <c r="CK92" i="6" s="1"/>
  <c r="AV92" i="4"/>
  <c r="AU92" i="4"/>
  <c r="AT92" i="4"/>
  <c r="AS92" i="4"/>
  <c r="AR92" i="4"/>
  <c r="AQ92" i="4"/>
  <c r="EY92" i="6" s="1"/>
  <c r="AO92" i="4"/>
  <c r="AN92" i="4"/>
  <c r="AM92" i="4"/>
  <c r="AL92" i="4"/>
  <c r="AK92" i="4"/>
  <c r="AJ92" i="4"/>
  <c r="EN92" i="6" s="1"/>
  <c r="AH92" i="4"/>
  <c r="AG92" i="4"/>
  <c r="AF92" i="4"/>
  <c r="AE92" i="4"/>
  <c r="AD92" i="4"/>
  <c r="AC92" i="4"/>
  <c r="EC92" i="6" s="1"/>
  <c r="AA92" i="4"/>
  <c r="Z92" i="4"/>
  <c r="Y92" i="4"/>
  <c r="X92" i="4"/>
  <c r="W92" i="4"/>
  <c r="V92" i="4"/>
  <c r="DR92" i="6" s="1"/>
  <c r="T92" i="4"/>
  <c r="S92" i="4"/>
  <c r="R92" i="4"/>
  <c r="Q92" i="4"/>
  <c r="P92" i="4"/>
  <c r="O92" i="4"/>
  <c r="DG92" i="6" s="1"/>
  <c r="M92" i="4"/>
  <c r="L92" i="4"/>
  <c r="K92" i="4"/>
  <c r="J92" i="4"/>
  <c r="I92" i="4"/>
  <c r="H92" i="4"/>
  <c r="CV92" i="6" s="1"/>
  <c r="F92" i="4"/>
  <c r="E92" i="4"/>
  <c r="D92" i="4"/>
  <c r="C92" i="4"/>
  <c r="B92" i="4"/>
  <c r="A92" i="4"/>
  <c r="BZ92" i="6" s="1"/>
  <c r="BC91" i="4"/>
  <c r="BB91" i="4"/>
  <c r="BA91" i="4"/>
  <c r="AZ91" i="4"/>
  <c r="AY91" i="4"/>
  <c r="AX91" i="4"/>
  <c r="CK91" i="6" s="1"/>
  <c r="AV91" i="4"/>
  <c r="AU91" i="4"/>
  <c r="AT91" i="4"/>
  <c r="AS91" i="4"/>
  <c r="AR91" i="4"/>
  <c r="AQ91" i="4"/>
  <c r="EY91" i="6" s="1"/>
  <c r="AO91" i="4"/>
  <c r="AN91" i="4"/>
  <c r="AM91" i="4"/>
  <c r="AL91" i="4"/>
  <c r="AK91" i="4"/>
  <c r="AJ91" i="4"/>
  <c r="EN91" i="6" s="1"/>
  <c r="AH91" i="4"/>
  <c r="AG91" i="4"/>
  <c r="AF91" i="4"/>
  <c r="AE91" i="4"/>
  <c r="AD91" i="4"/>
  <c r="AC91" i="4"/>
  <c r="EC91" i="6" s="1"/>
  <c r="AA91" i="4"/>
  <c r="Z91" i="4"/>
  <c r="Y91" i="4"/>
  <c r="X91" i="4"/>
  <c r="W91" i="4"/>
  <c r="V91" i="4"/>
  <c r="DR91" i="6" s="1"/>
  <c r="T91" i="4"/>
  <c r="S91" i="4"/>
  <c r="R91" i="4"/>
  <c r="Q91" i="4"/>
  <c r="P91" i="4"/>
  <c r="O91" i="4"/>
  <c r="DG91" i="6" s="1"/>
  <c r="M91" i="4"/>
  <c r="L91" i="4"/>
  <c r="K91" i="4"/>
  <c r="J91" i="4"/>
  <c r="I91" i="4"/>
  <c r="H91" i="4"/>
  <c r="CV91" i="6" s="1"/>
  <c r="F91" i="4"/>
  <c r="E91" i="4"/>
  <c r="D91" i="4"/>
  <c r="C91" i="4"/>
  <c r="B91" i="4"/>
  <c r="A91" i="4"/>
  <c r="BZ91" i="6" s="1"/>
  <c r="BC90" i="4"/>
  <c r="BB90" i="4"/>
  <c r="BA90" i="4"/>
  <c r="AZ90" i="4"/>
  <c r="AY90" i="4"/>
  <c r="AX90" i="4"/>
  <c r="CK90" i="6" s="1"/>
  <c r="AV90" i="4"/>
  <c r="AU90" i="4"/>
  <c r="AT90" i="4"/>
  <c r="AS90" i="4"/>
  <c r="AR90" i="4"/>
  <c r="AQ90" i="4"/>
  <c r="EY90" i="6" s="1"/>
  <c r="AO90" i="4"/>
  <c r="AN90" i="4"/>
  <c r="AM90" i="4"/>
  <c r="AL90" i="4"/>
  <c r="AK90" i="4"/>
  <c r="AJ90" i="4"/>
  <c r="EN90" i="6" s="1"/>
  <c r="AH90" i="4"/>
  <c r="AG90" i="4"/>
  <c r="AF90" i="4"/>
  <c r="AE90" i="4"/>
  <c r="AD90" i="4"/>
  <c r="AC90" i="4"/>
  <c r="EC90" i="6" s="1"/>
  <c r="AA90" i="4"/>
  <c r="Z90" i="4"/>
  <c r="Y90" i="4"/>
  <c r="X90" i="4"/>
  <c r="W90" i="4"/>
  <c r="V90" i="4"/>
  <c r="DR90" i="6" s="1"/>
  <c r="T90" i="4"/>
  <c r="S90" i="4"/>
  <c r="R90" i="4"/>
  <c r="Q90" i="4"/>
  <c r="P90" i="4"/>
  <c r="O90" i="4"/>
  <c r="DG90" i="6" s="1"/>
  <c r="M90" i="4"/>
  <c r="L90" i="4"/>
  <c r="K90" i="4"/>
  <c r="J90" i="4"/>
  <c r="I90" i="4"/>
  <c r="H90" i="4"/>
  <c r="CV90" i="6" s="1"/>
  <c r="F90" i="4"/>
  <c r="E90" i="4"/>
  <c r="D90" i="4"/>
  <c r="C90" i="4"/>
  <c r="B90" i="4"/>
  <c r="A90" i="4"/>
  <c r="BZ90" i="6" s="1"/>
  <c r="BC89" i="4"/>
  <c r="BB89" i="4"/>
  <c r="BA89" i="4"/>
  <c r="AZ89" i="4"/>
  <c r="AY89" i="4"/>
  <c r="AX89" i="4"/>
  <c r="CK89" i="6" s="1"/>
  <c r="AV89" i="4"/>
  <c r="AU89" i="4"/>
  <c r="AT89" i="4"/>
  <c r="AS89" i="4"/>
  <c r="AR89" i="4"/>
  <c r="AQ89" i="4"/>
  <c r="EY89" i="6" s="1"/>
  <c r="AO89" i="4"/>
  <c r="AN89" i="4"/>
  <c r="AM89" i="4"/>
  <c r="AL89" i="4"/>
  <c r="AK89" i="4"/>
  <c r="AJ89" i="4"/>
  <c r="EN89" i="6" s="1"/>
  <c r="AH89" i="4"/>
  <c r="AG89" i="4"/>
  <c r="AF89" i="4"/>
  <c r="AE89" i="4"/>
  <c r="AD89" i="4"/>
  <c r="AC89" i="4"/>
  <c r="EC89" i="6" s="1"/>
  <c r="AA89" i="4"/>
  <c r="Z89" i="4"/>
  <c r="Y89" i="4"/>
  <c r="X89" i="4"/>
  <c r="W89" i="4"/>
  <c r="V89" i="4"/>
  <c r="DR89" i="6" s="1"/>
  <c r="T89" i="4"/>
  <c r="S89" i="4"/>
  <c r="R89" i="4"/>
  <c r="Q89" i="4"/>
  <c r="P89" i="4"/>
  <c r="O89" i="4"/>
  <c r="DG89" i="6" s="1"/>
  <c r="M89" i="4"/>
  <c r="L89" i="4"/>
  <c r="K89" i="4"/>
  <c r="J89" i="4"/>
  <c r="I89" i="4"/>
  <c r="H89" i="4"/>
  <c r="CV89" i="6" s="1"/>
  <c r="F89" i="4"/>
  <c r="E89" i="4"/>
  <c r="D89" i="4"/>
  <c r="C89" i="4"/>
  <c r="B89" i="4"/>
  <c r="A89" i="4"/>
  <c r="BZ89" i="6" s="1"/>
  <c r="BC88" i="4"/>
  <c r="BB88" i="4"/>
  <c r="BA88" i="4"/>
  <c r="AZ88" i="4"/>
  <c r="AY88" i="4"/>
  <c r="AX88" i="4"/>
  <c r="CK88" i="6" s="1"/>
  <c r="AV88" i="4"/>
  <c r="AU88" i="4"/>
  <c r="AT88" i="4"/>
  <c r="AS88" i="4"/>
  <c r="AR88" i="4"/>
  <c r="AQ88" i="4"/>
  <c r="EY88" i="6" s="1"/>
  <c r="AO88" i="4"/>
  <c r="AN88" i="4"/>
  <c r="AM88" i="4"/>
  <c r="AL88" i="4"/>
  <c r="AK88" i="4"/>
  <c r="AJ88" i="4"/>
  <c r="EN88" i="6" s="1"/>
  <c r="AH88" i="4"/>
  <c r="AG88" i="4"/>
  <c r="AF88" i="4"/>
  <c r="AE88" i="4"/>
  <c r="AD88" i="4"/>
  <c r="AC88" i="4"/>
  <c r="EC88" i="6" s="1"/>
  <c r="AA88" i="4"/>
  <c r="Z88" i="4"/>
  <c r="Y88" i="4"/>
  <c r="X88" i="4"/>
  <c r="W88" i="4"/>
  <c r="V88" i="4"/>
  <c r="DR88" i="6" s="1"/>
  <c r="T88" i="4"/>
  <c r="S88" i="4"/>
  <c r="R88" i="4"/>
  <c r="Q88" i="4"/>
  <c r="P88" i="4"/>
  <c r="O88" i="4"/>
  <c r="DG88" i="6" s="1"/>
  <c r="M88" i="4"/>
  <c r="L88" i="4"/>
  <c r="K88" i="4"/>
  <c r="J88" i="4"/>
  <c r="I88" i="4"/>
  <c r="H88" i="4"/>
  <c r="CV88" i="6" s="1"/>
  <c r="F88" i="4"/>
  <c r="E88" i="4"/>
  <c r="D88" i="4"/>
  <c r="C88" i="4"/>
  <c r="B88" i="4"/>
  <c r="A88" i="4"/>
  <c r="BZ88" i="6" s="1"/>
  <c r="BC87" i="4"/>
  <c r="BB87" i="4"/>
  <c r="BA87" i="4"/>
  <c r="AZ87" i="4"/>
  <c r="AY87" i="4"/>
  <c r="AX87" i="4"/>
  <c r="CK87" i="6" s="1"/>
  <c r="AV87" i="4"/>
  <c r="AU87" i="4"/>
  <c r="AT87" i="4"/>
  <c r="AS87" i="4"/>
  <c r="AR87" i="4"/>
  <c r="AQ87" i="4"/>
  <c r="EY87" i="6" s="1"/>
  <c r="AO87" i="4"/>
  <c r="AN87" i="4"/>
  <c r="AM87" i="4"/>
  <c r="AL87" i="4"/>
  <c r="AK87" i="4"/>
  <c r="AJ87" i="4"/>
  <c r="EN87" i="6" s="1"/>
  <c r="AH87" i="4"/>
  <c r="AG87" i="4"/>
  <c r="AF87" i="4"/>
  <c r="AE87" i="4"/>
  <c r="AD87" i="4"/>
  <c r="AC87" i="4"/>
  <c r="EC87" i="6" s="1"/>
  <c r="AA87" i="4"/>
  <c r="Z87" i="4"/>
  <c r="Y87" i="4"/>
  <c r="X87" i="4"/>
  <c r="W87" i="4"/>
  <c r="V87" i="4"/>
  <c r="DR87" i="6" s="1"/>
  <c r="T87" i="4"/>
  <c r="S87" i="4"/>
  <c r="R87" i="4"/>
  <c r="Q87" i="4"/>
  <c r="P87" i="4"/>
  <c r="O87" i="4"/>
  <c r="DG87" i="6" s="1"/>
  <c r="M87" i="4"/>
  <c r="L87" i="4"/>
  <c r="K87" i="4"/>
  <c r="J87" i="4"/>
  <c r="I87" i="4"/>
  <c r="H87" i="4"/>
  <c r="CV87" i="6" s="1"/>
  <c r="F87" i="4"/>
  <c r="E87" i="4"/>
  <c r="D87" i="4"/>
  <c r="C87" i="4"/>
  <c r="B87" i="4"/>
  <c r="A87" i="4"/>
  <c r="BZ87" i="6" s="1"/>
  <c r="BC86" i="4"/>
  <c r="BB86" i="4"/>
  <c r="BA86" i="4"/>
  <c r="AZ86" i="4"/>
  <c r="AY86" i="4"/>
  <c r="AX86" i="4"/>
  <c r="CK86" i="6" s="1"/>
  <c r="AV86" i="4"/>
  <c r="AU86" i="4"/>
  <c r="AT86" i="4"/>
  <c r="AS86" i="4"/>
  <c r="AR86" i="4"/>
  <c r="AQ86" i="4"/>
  <c r="EY86" i="6" s="1"/>
  <c r="AO86" i="4"/>
  <c r="AN86" i="4"/>
  <c r="AM86" i="4"/>
  <c r="AL86" i="4"/>
  <c r="AK86" i="4"/>
  <c r="AJ86" i="4"/>
  <c r="EN86" i="6" s="1"/>
  <c r="AH86" i="4"/>
  <c r="AG86" i="4"/>
  <c r="AF86" i="4"/>
  <c r="AE86" i="4"/>
  <c r="AD86" i="4"/>
  <c r="AC86" i="4"/>
  <c r="EC86" i="6" s="1"/>
  <c r="AA86" i="4"/>
  <c r="Z86" i="4"/>
  <c r="Y86" i="4"/>
  <c r="X86" i="4"/>
  <c r="W86" i="4"/>
  <c r="V86" i="4"/>
  <c r="DR86" i="6" s="1"/>
  <c r="T86" i="4"/>
  <c r="S86" i="4"/>
  <c r="R86" i="4"/>
  <c r="Q86" i="4"/>
  <c r="P86" i="4"/>
  <c r="O86" i="4"/>
  <c r="DG86" i="6" s="1"/>
  <c r="M86" i="4"/>
  <c r="L86" i="4"/>
  <c r="K86" i="4"/>
  <c r="J86" i="4"/>
  <c r="I86" i="4"/>
  <c r="H86" i="4"/>
  <c r="CV86" i="6" s="1"/>
  <c r="F86" i="4"/>
  <c r="E86" i="4"/>
  <c r="D86" i="4"/>
  <c r="C86" i="4"/>
  <c r="B86" i="4"/>
  <c r="A86" i="4"/>
  <c r="BZ86" i="6" s="1"/>
  <c r="BC85" i="4"/>
  <c r="BB85" i="4"/>
  <c r="BA85" i="4"/>
  <c r="AZ85" i="4"/>
  <c r="AY85" i="4"/>
  <c r="AX85" i="4"/>
  <c r="CK85" i="6" s="1"/>
  <c r="AV85" i="4"/>
  <c r="AU85" i="4"/>
  <c r="AT85" i="4"/>
  <c r="AS85" i="4"/>
  <c r="AR85" i="4"/>
  <c r="AQ85" i="4"/>
  <c r="EY85" i="6" s="1"/>
  <c r="AO85" i="4"/>
  <c r="AN85" i="4"/>
  <c r="AM85" i="4"/>
  <c r="AL85" i="4"/>
  <c r="AK85" i="4"/>
  <c r="AJ85" i="4"/>
  <c r="EN85" i="6" s="1"/>
  <c r="AH85" i="4"/>
  <c r="AG85" i="4"/>
  <c r="AF85" i="4"/>
  <c r="AE85" i="4"/>
  <c r="AD85" i="4"/>
  <c r="AC85" i="4"/>
  <c r="EC85" i="6" s="1"/>
  <c r="AA85" i="4"/>
  <c r="Z85" i="4"/>
  <c r="Y85" i="4"/>
  <c r="X85" i="4"/>
  <c r="W85" i="4"/>
  <c r="V85" i="4"/>
  <c r="DR85" i="6" s="1"/>
  <c r="T85" i="4"/>
  <c r="S85" i="4"/>
  <c r="R85" i="4"/>
  <c r="Q85" i="4"/>
  <c r="P85" i="4"/>
  <c r="O85" i="4"/>
  <c r="DG85" i="6" s="1"/>
  <c r="M85" i="4"/>
  <c r="L85" i="4"/>
  <c r="K85" i="4"/>
  <c r="J85" i="4"/>
  <c r="I85" i="4"/>
  <c r="H85" i="4"/>
  <c r="CV85" i="6" s="1"/>
  <c r="F85" i="4"/>
  <c r="E85" i="4"/>
  <c r="D85" i="4"/>
  <c r="C85" i="4"/>
  <c r="B85" i="4"/>
  <c r="A85" i="4"/>
  <c r="BZ85" i="6" s="1"/>
  <c r="BC84" i="4"/>
  <c r="BB84" i="4"/>
  <c r="BA84" i="4"/>
  <c r="AZ84" i="4"/>
  <c r="AY84" i="4"/>
  <c r="AX84" i="4"/>
  <c r="CK84" i="6" s="1"/>
  <c r="AV84" i="4"/>
  <c r="AU84" i="4"/>
  <c r="AT84" i="4"/>
  <c r="AS84" i="4"/>
  <c r="AR84" i="4"/>
  <c r="AQ84" i="4"/>
  <c r="EY84" i="6" s="1"/>
  <c r="AO84" i="4"/>
  <c r="AN84" i="4"/>
  <c r="AM84" i="4"/>
  <c r="AL84" i="4"/>
  <c r="AK84" i="4"/>
  <c r="AJ84" i="4"/>
  <c r="EN84" i="6" s="1"/>
  <c r="AH84" i="4"/>
  <c r="AG84" i="4"/>
  <c r="AF84" i="4"/>
  <c r="AE84" i="4"/>
  <c r="AD84" i="4"/>
  <c r="AC84" i="4"/>
  <c r="EC84" i="6" s="1"/>
  <c r="AA84" i="4"/>
  <c r="Z84" i="4"/>
  <c r="Y84" i="4"/>
  <c r="X84" i="4"/>
  <c r="W84" i="4"/>
  <c r="V84" i="4"/>
  <c r="DR84" i="6" s="1"/>
  <c r="T84" i="4"/>
  <c r="S84" i="4"/>
  <c r="R84" i="4"/>
  <c r="Q84" i="4"/>
  <c r="P84" i="4"/>
  <c r="O84" i="4"/>
  <c r="DG84" i="6" s="1"/>
  <c r="M84" i="4"/>
  <c r="L84" i="4"/>
  <c r="K84" i="4"/>
  <c r="J84" i="4"/>
  <c r="I84" i="4"/>
  <c r="H84" i="4"/>
  <c r="CV84" i="6" s="1"/>
  <c r="F84" i="4"/>
  <c r="E84" i="4"/>
  <c r="D84" i="4"/>
  <c r="C84" i="4"/>
  <c r="B84" i="4"/>
  <c r="A84" i="4"/>
  <c r="BZ84" i="6" s="1"/>
  <c r="BC83" i="4"/>
  <c r="BB83" i="4"/>
  <c r="BA83" i="4"/>
  <c r="AZ83" i="4"/>
  <c r="AY83" i="4"/>
  <c r="AX83" i="4"/>
  <c r="CK83" i="6" s="1"/>
  <c r="AV83" i="4"/>
  <c r="AU83" i="4"/>
  <c r="AT83" i="4"/>
  <c r="AS83" i="4"/>
  <c r="AR83" i="4"/>
  <c r="AQ83" i="4"/>
  <c r="EY83" i="6" s="1"/>
  <c r="AO83" i="4"/>
  <c r="AN83" i="4"/>
  <c r="AM83" i="4"/>
  <c r="AL83" i="4"/>
  <c r="AK83" i="4"/>
  <c r="AJ83" i="4"/>
  <c r="EN83" i="6" s="1"/>
  <c r="AH83" i="4"/>
  <c r="AG83" i="4"/>
  <c r="AF83" i="4"/>
  <c r="AE83" i="4"/>
  <c r="AD83" i="4"/>
  <c r="AC83" i="4"/>
  <c r="EC83" i="6" s="1"/>
  <c r="AA83" i="4"/>
  <c r="Z83" i="4"/>
  <c r="Y83" i="4"/>
  <c r="X83" i="4"/>
  <c r="W83" i="4"/>
  <c r="V83" i="4"/>
  <c r="DR83" i="6" s="1"/>
  <c r="T83" i="4"/>
  <c r="S83" i="4"/>
  <c r="R83" i="4"/>
  <c r="Q83" i="4"/>
  <c r="P83" i="4"/>
  <c r="O83" i="4"/>
  <c r="DG83" i="6" s="1"/>
  <c r="M83" i="4"/>
  <c r="L83" i="4"/>
  <c r="K83" i="4"/>
  <c r="J83" i="4"/>
  <c r="I83" i="4"/>
  <c r="H83" i="4"/>
  <c r="CV83" i="6" s="1"/>
  <c r="F83" i="4"/>
  <c r="E83" i="4"/>
  <c r="D83" i="4"/>
  <c r="C83" i="4"/>
  <c r="B83" i="4"/>
  <c r="A83" i="4"/>
  <c r="BZ83" i="6" s="1"/>
  <c r="BC82" i="4"/>
  <c r="BB82" i="4"/>
  <c r="BA82" i="4"/>
  <c r="AZ82" i="4"/>
  <c r="AY82" i="4"/>
  <c r="AX82" i="4"/>
  <c r="CK82" i="6" s="1"/>
  <c r="AV82" i="4"/>
  <c r="AU82" i="4"/>
  <c r="AT82" i="4"/>
  <c r="AS82" i="4"/>
  <c r="AR82" i="4"/>
  <c r="AQ82" i="4"/>
  <c r="EY82" i="6" s="1"/>
  <c r="AO82" i="4"/>
  <c r="AN82" i="4"/>
  <c r="AM82" i="4"/>
  <c r="AL82" i="4"/>
  <c r="AK82" i="4"/>
  <c r="AJ82" i="4"/>
  <c r="EN82" i="6" s="1"/>
  <c r="AH82" i="4"/>
  <c r="AG82" i="4"/>
  <c r="AF82" i="4"/>
  <c r="AE82" i="4"/>
  <c r="AD82" i="4"/>
  <c r="AC82" i="4"/>
  <c r="EC82" i="6" s="1"/>
  <c r="AA82" i="4"/>
  <c r="Z82" i="4"/>
  <c r="Y82" i="4"/>
  <c r="X82" i="4"/>
  <c r="W82" i="4"/>
  <c r="V82" i="4"/>
  <c r="DR82" i="6" s="1"/>
  <c r="T82" i="4"/>
  <c r="S82" i="4"/>
  <c r="R82" i="4"/>
  <c r="Q82" i="4"/>
  <c r="P82" i="4"/>
  <c r="O82" i="4"/>
  <c r="DG82" i="6" s="1"/>
  <c r="M82" i="4"/>
  <c r="L82" i="4"/>
  <c r="K82" i="4"/>
  <c r="J82" i="4"/>
  <c r="I82" i="4"/>
  <c r="H82" i="4"/>
  <c r="CV82" i="6" s="1"/>
  <c r="F82" i="4"/>
  <c r="E82" i="4"/>
  <c r="D82" i="4"/>
  <c r="C82" i="4"/>
  <c r="B82" i="4"/>
  <c r="A82" i="4"/>
  <c r="BZ82" i="6" s="1"/>
  <c r="BC81" i="4"/>
  <c r="BB81" i="4"/>
  <c r="BA81" i="4"/>
  <c r="AZ81" i="4"/>
  <c r="AY81" i="4"/>
  <c r="AX81" i="4"/>
  <c r="CK81" i="6" s="1"/>
  <c r="AV81" i="4"/>
  <c r="AU81" i="4"/>
  <c r="AT81" i="4"/>
  <c r="AS81" i="4"/>
  <c r="AR81" i="4"/>
  <c r="AQ81" i="4"/>
  <c r="EY81" i="6" s="1"/>
  <c r="AO81" i="4"/>
  <c r="AN81" i="4"/>
  <c r="AM81" i="4"/>
  <c r="AL81" i="4"/>
  <c r="AK81" i="4"/>
  <c r="AJ81" i="4"/>
  <c r="EN81" i="6" s="1"/>
  <c r="AH81" i="4"/>
  <c r="AG81" i="4"/>
  <c r="AF81" i="4"/>
  <c r="AE81" i="4"/>
  <c r="AD81" i="4"/>
  <c r="AC81" i="4"/>
  <c r="EC81" i="6" s="1"/>
  <c r="AA81" i="4"/>
  <c r="Z81" i="4"/>
  <c r="Y81" i="4"/>
  <c r="X81" i="4"/>
  <c r="W81" i="4"/>
  <c r="V81" i="4"/>
  <c r="DR81" i="6" s="1"/>
  <c r="T81" i="4"/>
  <c r="S81" i="4"/>
  <c r="R81" i="4"/>
  <c r="Q81" i="4"/>
  <c r="P81" i="4"/>
  <c r="O81" i="4"/>
  <c r="DG81" i="6" s="1"/>
  <c r="M81" i="4"/>
  <c r="L81" i="4"/>
  <c r="K81" i="4"/>
  <c r="J81" i="4"/>
  <c r="I81" i="4"/>
  <c r="H81" i="4"/>
  <c r="CV81" i="6" s="1"/>
  <c r="F81" i="4"/>
  <c r="E81" i="4"/>
  <c r="D81" i="4"/>
  <c r="C81" i="4"/>
  <c r="B81" i="4"/>
  <c r="A81" i="4"/>
  <c r="BZ81" i="6" s="1"/>
  <c r="BC80" i="4"/>
  <c r="BB80" i="4"/>
  <c r="BA80" i="4"/>
  <c r="AZ80" i="4"/>
  <c r="AY80" i="4"/>
  <c r="AX80" i="4"/>
  <c r="CK80" i="6" s="1"/>
  <c r="AV80" i="4"/>
  <c r="AU80" i="4"/>
  <c r="AT80" i="4"/>
  <c r="AS80" i="4"/>
  <c r="AR80" i="4"/>
  <c r="AQ80" i="4"/>
  <c r="EY80" i="6" s="1"/>
  <c r="AO80" i="4"/>
  <c r="AN80" i="4"/>
  <c r="AM80" i="4"/>
  <c r="AL80" i="4"/>
  <c r="AK80" i="4"/>
  <c r="AJ80" i="4"/>
  <c r="EN80" i="6" s="1"/>
  <c r="AH80" i="4"/>
  <c r="AG80" i="4"/>
  <c r="AF80" i="4"/>
  <c r="AE80" i="4"/>
  <c r="AD80" i="4"/>
  <c r="AC80" i="4"/>
  <c r="EC80" i="6" s="1"/>
  <c r="AA80" i="4"/>
  <c r="Z80" i="4"/>
  <c r="Y80" i="4"/>
  <c r="X80" i="4"/>
  <c r="W80" i="4"/>
  <c r="V80" i="4"/>
  <c r="DR80" i="6" s="1"/>
  <c r="T80" i="4"/>
  <c r="S80" i="4"/>
  <c r="R80" i="4"/>
  <c r="Q80" i="4"/>
  <c r="P80" i="4"/>
  <c r="O80" i="4"/>
  <c r="DG80" i="6" s="1"/>
  <c r="M80" i="4"/>
  <c r="L80" i="4"/>
  <c r="K80" i="4"/>
  <c r="J80" i="4"/>
  <c r="I80" i="4"/>
  <c r="H80" i="4"/>
  <c r="CV80" i="6" s="1"/>
  <c r="F80" i="4"/>
  <c r="E80" i="4"/>
  <c r="D80" i="4"/>
  <c r="C80" i="4"/>
  <c r="B80" i="4"/>
  <c r="A80" i="4"/>
  <c r="BZ80" i="6" s="1"/>
  <c r="BC79" i="4"/>
  <c r="BB79" i="4"/>
  <c r="BA79" i="4"/>
  <c r="AZ79" i="4"/>
  <c r="AY79" i="4"/>
  <c r="AX79" i="4"/>
  <c r="CK79" i="6" s="1"/>
  <c r="AV79" i="4"/>
  <c r="AU79" i="4"/>
  <c r="AT79" i="4"/>
  <c r="AS79" i="4"/>
  <c r="AR79" i="4"/>
  <c r="AQ79" i="4"/>
  <c r="EY79" i="6" s="1"/>
  <c r="AO79" i="4"/>
  <c r="AN79" i="4"/>
  <c r="AM79" i="4"/>
  <c r="AL79" i="4"/>
  <c r="AK79" i="4"/>
  <c r="AJ79" i="4"/>
  <c r="EN79" i="6" s="1"/>
  <c r="AH79" i="4"/>
  <c r="AG79" i="4"/>
  <c r="AF79" i="4"/>
  <c r="AE79" i="4"/>
  <c r="AD79" i="4"/>
  <c r="AC79" i="4"/>
  <c r="EC79" i="6" s="1"/>
  <c r="AA79" i="4"/>
  <c r="Z79" i="4"/>
  <c r="Y79" i="4"/>
  <c r="X79" i="4"/>
  <c r="W79" i="4"/>
  <c r="V79" i="4"/>
  <c r="DR79" i="6" s="1"/>
  <c r="T79" i="4"/>
  <c r="S79" i="4"/>
  <c r="R79" i="4"/>
  <c r="Q79" i="4"/>
  <c r="P79" i="4"/>
  <c r="O79" i="4"/>
  <c r="DG79" i="6" s="1"/>
  <c r="M79" i="4"/>
  <c r="L79" i="4"/>
  <c r="K79" i="4"/>
  <c r="J79" i="4"/>
  <c r="I79" i="4"/>
  <c r="H79" i="4"/>
  <c r="CV79" i="6" s="1"/>
  <c r="F79" i="4"/>
  <c r="E79" i="4"/>
  <c r="D79" i="4"/>
  <c r="C79" i="4"/>
  <c r="B79" i="4"/>
  <c r="A79" i="4"/>
  <c r="BZ79" i="6" s="1"/>
  <c r="BC78" i="4"/>
  <c r="BB78" i="4"/>
  <c r="BA78" i="4"/>
  <c r="AZ78" i="4"/>
  <c r="AY78" i="4"/>
  <c r="AX78" i="4"/>
  <c r="CK78" i="6" s="1"/>
  <c r="AV78" i="4"/>
  <c r="AU78" i="4"/>
  <c r="AT78" i="4"/>
  <c r="AS78" i="4"/>
  <c r="AR78" i="4"/>
  <c r="AQ78" i="4"/>
  <c r="EY78" i="6" s="1"/>
  <c r="AO78" i="4"/>
  <c r="AN78" i="4"/>
  <c r="AM78" i="4"/>
  <c r="AL78" i="4"/>
  <c r="AK78" i="4"/>
  <c r="AJ78" i="4"/>
  <c r="EN78" i="6" s="1"/>
  <c r="AH78" i="4"/>
  <c r="AG78" i="4"/>
  <c r="AF78" i="4"/>
  <c r="AE78" i="4"/>
  <c r="AD78" i="4"/>
  <c r="AC78" i="4"/>
  <c r="EC78" i="6" s="1"/>
  <c r="AA78" i="4"/>
  <c r="Z78" i="4"/>
  <c r="Y78" i="4"/>
  <c r="X78" i="4"/>
  <c r="W78" i="4"/>
  <c r="V78" i="4"/>
  <c r="DR78" i="6" s="1"/>
  <c r="T78" i="4"/>
  <c r="S78" i="4"/>
  <c r="R78" i="4"/>
  <c r="Q78" i="4"/>
  <c r="P78" i="4"/>
  <c r="O78" i="4"/>
  <c r="DG78" i="6" s="1"/>
  <c r="M78" i="4"/>
  <c r="L78" i="4"/>
  <c r="K78" i="4"/>
  <c r="J78" i="4"/>
  <c r="I78" i="4"/>
  <c r="H78" i="4"/>
  <c r="CV78" i="6" s="1"/>
  <c r="F78" i="4"/>
  <c r="E78" i="4"/>
  <c r="D78" i="4"/>
  <c r="C78" i="4"/>
  <c r="B78" i="4"/>
  <c r="A78" i="4"/>
  <c r="BZ78" i="6" s="1"/>
  <c r="BC77" i="4"/>
  <c r="BB77" i="4"/>
  <c r="BA77" i="4"/>
  <c r="AZ77" i="4"/>
  <c r="AY77" i="4"/>
  <c r="AX77" i="4"/>
  <c r="CK77" i="6" s="1"/>
  <c r="AV77" i="4"/>
  <c r="AU77" i="4"/>
  <c r="AT77" i="4"/>
  <c r="AS77" i="4"/>
  <c r="AR77" i="4"/>
  <c r="AQ77" i="4"/>
  <c r="EY77" i="6" s="1"/>
  <c r="AO77" i="4"/>
  <c r="AN77" i="4"/>
  <c r="AM77" i="4"/>
  <c r="AL77" i="4"/>
  <c r="AK77" i="4"/>
  <c r="AJ77" i="4"/>
  <c r="EN77" i="6" s="1"/>
  <c r="AH77" i="4"/>
  <c r="AG77" i="4"/>
  <c r="AF77" i="4"/>
  <c r="AE77" i="4"/>
  <c r="AD77" i="4"/>
  <c r="AC77" i="4"/>
  <c r="EC77" i="6" s="1"/>
  <c r="AA77" i="4"/>
  <c r="Z77" i="4"/>
  <c r="Y77" i="4"/>
  <c r="X77" i="4"/>
  <c r="W77" i="4"/>
  <c r="V77" i="4"/>
  <c r="DR77" i="6" s="1"/>
  <c r="T77" i="4"/>
  <c r="S77" i="4"/>
  <c r="R77" i="4"/>
  <c r="Q77" i="4"/>
  <c r="P77" i="4"/>
  <c r="O77" i="4"/>
  <c r="DG77" i="6" s="1"/>
  <c r="M77" i="4"/>
  <c r="L77" i="4"/>
  <c r="K77" i="4"/>
  <c r="J77" i="4"/>
  <c r="I77" i="4"/>
  <c r="H77" i="4"/>
  <c r="CV77" i="6" s="1"/>
  <c r="F77" i="4"/>
  <c r="E77" i="4"/>
  <c r="D77" i="4"/>
  <c r="C77" i="4"/>
  <c r="B77" i="4"/>
  <c r="A77" i="4"/>
  <c r="BZ77" i="6" s="1"/>
  <c r="BC76" i="4"/>
  <c r="BB76" i="4"/>
  <c r="BA76" i="4"/>
  <c r="AZ76" i="4"/>
  <c r="AY76" i="4"/>
  <c r="AX76" i="4"/>
  <c r="CK76" i="6" s="1"/>
  <c r="AV76" i="4"/>
  <c r="AU76" i="4"/>
  <c r="AT76" i="4"/>
  <c r="AS76" i="4"/>
  <c r="AR76" i="4"/>
  <c r="AQ76" i="4"/>
  <c r="EY76" i="6" s="1"/>
  <c r="AO76" i="4"/>
  <c r="AN76" i="4"/>
  <c r="AM76" i="4"/>
  <c r="AL76" i="4"/>
  <c r="AK76" i="4"/>
  <c r="AJ76" i="4"/>
  <c r="EN76" i="6" s="1"/>
  <c r="AH76" i="4"/>
  <c r="AG76" i="4"/>
  <c r="AF76" i="4"/>
  <c r="AE76" i="4"/>
  <c r="AD76" i="4"/>
  <c r="AC76" i="4"/>
  <c r="EC76" i="6" s="1"/>
  <c r="AA76" i="4"/>
  <c r="Z76" i="4"/>
  <c r="Y76" i="4"/>
  <c r="X76" i="4"/>
  <c r="W76" i="4"/>
  <c r="V76" i="4"/>
  <c r="DR76" i="6" s="1"/>
  <c r="T76" i="4"/>
  <c r="S76" i="4"/>
  <c r="R76" i="4"/>
  <c r="Q76" i="4"/>
  <c r="P76" i="4"/>
  <c r="O76" i="4"/>
  <c r="DG76" i="6" s="1"/>
  <c r="M76" i="4"/>
  <c r="L76" i="4"/>
  <c r="K76" i="4"/>
  <c r="J76" i="4"/>
  <c r="I76" i="4"/>
  <c r="H76" i="4"/>
  <c r="CV76" i="6" s="1"/>
  <c r="F76" i="4"/>
  <c r="E76" i="4"/>
  <c r="D76" i="4"/>
  <c r="C76" i="4"/>
  <c r="B76" i="4"/>
  <c r="A76" i="4"/>
  <c r="BZ76" i="6" s="1"/>
  <c r="BC75" i="4"/>
  <c r="BB75" i="4"/>
  <c r="BA75" i="4"/>
  <c r="AZ75" i="4"/>
  <c r="AY75" i="4"/>
  <c r="AX75" i="4"/>
  <c r="CK75" i="6" s="1"/>
  <c r="AV75" i="4"/>
  <c r="AU75" i="4"/>
  <c r="AT75" i="4"/>
  <c r="AS75" i="4"/>
  <c r="AR75" i="4"/>
  <c r="AQ75" i="4"/>
  <c r="EY75" i="6" s="1"/>
  <c r="AO75" i="4"/>
  <c r="AN75" i="4"/>
  <c r="AM75" i="4"/>
  <c r="AL75" i="4"/>
  <c r="AK75" i="4"/>
  <c r="AJ75" i="4"/>
  <c r="EN75" i="6" s="1"/>
  <c r="AH75" i="4"/>
  <c r="AG75" i="4"/>
  <c r="AF75" i="4"/>
  <c r="AE75" i="4"/>
  <c r="AD75" i="4"/>
  <c r="AC75" i="4"/>
  <c r="EC75" i="6" s="1"/>
  <c r="AA75" i="4"/>
  <c r="Z75" i="4"/>
  <c r="Y75" i="4"/>
  <c r="X75" i="4"/>
  <c r="W75" i="4"/>
  <c r="V75" i="4"/>
  <c r="DR75" i="6" s="1"/>
  <c r="T75" i="4"/>
  <c r="S75" i="4"/>
  <c r="R75" i="4"/>
  <c r="Q75" i="4"/>
  <c r="P75" i="4"/>
  <c r="O75" i="4"/>
  <c r="DG75" i="6" s="1"/>
  <c r="M75" i="4"/>
  <c r="L75" i="4"/>
  <c r="K75" i="4"/>
  <c r="J75" i="4"/>
  <c r="I75" i="4"/>
  <c r="H75" i="4"/>
  <c r="CV75" i="6" s="1"/>
  <c r="F75" i="4"/>
  <c r="E75" i="4"/>
  <c r="D75" i="4"/>
  <c r="C75" i="4"/>
  <c r="B75" i="4"/>
  <c r="A75" i="4"/>
  <c r="BZ75" i="6" s="1"/>
  <c r="BC74" i="4"/>
  <c r="BB74" i="4"/>
  <c r="BA74" i="4"/>
  <c r="AZ74" i="4"/>
  <c r="AY74" i="4"/>
  <c r="AX74" i="4"/>
  <c r="CK74" i="6" s="1"/>
  <c r="AV74" i="4"/>
  <c r="AU74" i="4"/>
  <c r="AT74" i="4"/>
  <c r="AS74" i="4"/>
  <c r="AR74" i="4"/>
  <c r="AQ74" i="4"/>
  <c r="EY74" i="6" s="1"/>
  <c r="AO74" i="4"/>
  <c r="AN74" i="4"/>
  <c r="AM74" i="4"/>
  <c r="AL74" i="4"/>
  <c r="AK74" i="4"/>
  <c r="AJ74" i="4"/>
  <c r="EN74" i="6" s="1"/>
  <c r="AH74" i="4"/>
  <c r="AG74" i="4"/>
  <c r="AF74" i="4"/>
  <c r="AE74" i="4"/>
  <c r="AD74" i="4"/>
  <c r="AC74" i="4"/>
  <c r="EC74" i="6" s="1"/>
  <c r="AA74" i="4"/>
  <c r="Z74" i="4"/>
  <c r="Y74" i="4"/>
  <c r="X74" i="4"/>
  <c r="W74" i="4"/>
  <c r="V74" i="4"/>
  <c r="DR74" i="6" s="1"/>
  <c r="T74" i="4"/>
  <c r="S74" i="4"/>
  <c r="R74" i="4"/>
  <c r="Q74" i="4"/>
  <c r="P74" i="4"/>
  <c r="O74" i="4"/>
  <c r="DG74" i="6" s="1"/>
  <c r="M74" i="4"/>
  <c r="L74" i="4"/>
  <c r="K74" i="4"/>
  <c r="J74" i="4"/>
  <c r="I74" i="4"/>
  <c r="H74" i="4"/>
  <c r="CV74" i="6" s="1"/>
  <c r="F74" i="4"/>
  <c r="E74" i="4"/>
  <c r="D74" i="4"/>
  <c r="C74" i="4"/>
  <c r="B74" i="4"/>
  <c r="A74" i="4"/>
  <c r="BZ74" i="6" s="1"/>
  <c r="BC73" i="4"/>
  <c r="BB73" i="4"/>
  <c r="BA73" i="4"/>
  <c r="AZ73" i="4"/>
  <c r="AY73" i="4"/>
  <c r="AX73" i="4"/>
  <c r="CK73" i="6" s="1"/>
  <c r="AV73" i="4"/>
  <c r="AU73" i="4"/>
  <c r="AT73" i="4"/>
  <c r="AS73" i="4"/>
  <c r="AR73" i="4"/>
  <c r="AQ73" i="4"/>
  <c r="EY73" i="6" s="1"/>
  <c r="AO73" i="4"/>
  <c r="AN73" i="4"/>
  <c r="AM73" i="4"/>
  <c r="AL73" i="4"/>
  <c r="AK73" i="4"/>
  <c r="AJ73" i="4"/>
  <c r="EN73" i="6" s="1"/>
  <c r="AH73" i="4"/>
  <c r="AG73" i="4"/>
  <c r="AF73" i="4"/>
  <c r="AE73" i="4"/>
  <c r="AD73" i="4"/>
  <c r="AC73" i="4"/>
  <c r="EC73" i="6" s="1"/>
  <c r="AA73" i="4"/>
  <c r="Z73" i="4"/>
  <c r="Y73" i="4"/>
  <c r="X73" i="4"/>
  <c r="W73" i="4"/>
  <c r="V73" i="4"/>
  <c r="DR73" i="6" s="1"/>
  <c r="T73" i="4"/>
  <c r="S73" i="4"/>
  <c r="R73" i="4"/>
  <c r="Q73" i="4"/>
  <c r="P73" i="4"/>
  <c r="O73" i="4"/>
  <c r="DG73" i="6" s="1"/>
  <c r="M73" i="4"/>
  <c r="L73" i="4"/>
  <c r="K73" i="4"/>
  <c r="J73" i="4"/>
  <c r="I73" i="4"/>
  <c r="H73" i="4"/>
  <c r="CV73" i="6" s="1"/>
  <c r="F73" i="4"/>
  <c r="E73" i="4"/>
  <c r="D73" i="4"/>
  <c r="C73" i="4"/>
  <c r="B73" i="4"/>
  <c r="A73" i="4"/>
  <c r="BZ73" i="6" s="1"/>
  <c r="BC72" i="4"/>
  <c r="BB72" i="4"/>
  <c r="BA72" i="4"/>
  <c r="AZ72" i="4"/>
  <c r="AY72" i="4"/>
  <c r="AX72" i="4"/>
  <c r="CK72" i="6" s="1"/>
  <c r="AV72" i="4"/>
  <c r="AU72" i="4"/>
  <c r="AT72" i="4"/>
  <c r="AS72" i="4"/>
  <c r="AR72" i="4"/>
  <c r="AQ72" i="4"/>
  <c r="EY72" i="6" s="1"/>
  <c r="AO72" i="4"/>
  <c r="AN72" i="4"/>
  <c r="AM72" i="4"/>
  <c r="AL72" i="4"/>
  <c r="AK72" i="4"/>
  <c r="AJ72" i="4"/>
  <c r="EN72" i="6" s="1"/>
  <c r="AH72" i="4"/>
  <c r="AG72" i="4"/>
  <c r="AF72" i="4"/>
  <c r="AE72" i="4"/>
  <c r="AD72" i="4"/>
  <c r="AC72" i="4"/>
  <c r="EC72" i="6" s="1"/>
  <c r="AA72" i="4"/>
  <c r="Z72" i="4"/>
  <c r="Y72" i="4"/>
  <c r="X72" i="4"/>
  <c r="W72" i="4"/>
  <c r="V72" i="4"/>
  <c r="DR72" i="6" s="1"/>
  <c r="T72" i="4"/>
  <c r="S72" i="4"/>
  <c r="R72" i="4"/>
  <c r="Q72" i="4"/>
  <c r="P72" i="4"/>
  <c r="O72" i="4"/>
  <c r="DG72" i="6" s="1"/>
  <c r="M72" i="4"/>
  <c r="L72" i="4"/>
  <c r="K72" i="4"/>
  <c r="J72" i="4"/>
  <c r="I72" i="4"/>
  <c r="H72" i="4"/>
  <c r="CV72" i="6" s="1"/>
  <c r="F72" i="4"/>
  <c r="E72" i="4"/>
  <c r="D72" i="4"/>
  <c r="C72" i="4"/>
  <c r="B72" i="4"/>
  <c r="A72" i="4"/>
  <c r="BZ72" i="6" s="1"/>
  <c r="BC71" i="4"/>
  <c r="BB71" i="4"/>
  <c r="BA71" i="4"/>
  <c r="AZ71" i="4"/>
  <c r="AY71" i="4"/>
  <c r="AX71" i="4"/>
  <c r="CK71" i="6" s="1"/>
  <c r="AV71" i="4"/>
  <c r="AU71" i="4"/>
  <c r="AT71" i="4"/>
  <c r="AS71" i="4"/>
  <c r="AR71" i="4"/>
  <c r="AQ71" i="4"/>
  <c r="EY71" i="6" s="1"/>
  <c r="AO71" i="4"/>
  <c r="AN71" i="4"/>
  <c r="AM71" i="4"/>
  <c r="AL71" i="4"/>
  <c r="AK71" i="4"/>
  <c r="AJ71" i="4"/>
  <c r="EN71" i="6" s="1"/>
  <c r="AH71" i="4"/>
  <c r="AG71" i="4"/>
  <c r="AF71" i="4"/>
  <c r="AE71" i="4"/>
  <c r="AD71" i="4"/>
  <c r="AC71" i="4"/>
  <c r="EC71" i="6" s="1"/>
  <c r="AA71" i="4"/>
  <c r="Z71" i="4"/>
  <c r="Y71" i="4"/>
  <c r="X71" i="4"/>
  <c r="W71" i="4"/>
  <c r="V71" i="4"/>
  <c r="DR71" i="6" s="1"/>
  <c r="T71" i="4"/>
  <c r="S71" i="4"/>
  <c r="R71" i="4"/>
  <c r="Q71" i="4"/>
  <c r="P71" i="4"/>
  <c r="O71" i="4"/>
  <c r="DG71" i="6" s="1"/>
  <c r="M71" i="4"/>
  <c r="L71" i="4"/>
  <c r="K71" i="4"/>
  <c r="J71" i="4"/>
  <c r="I71" i="4"/>
  <c r="H71" i="4"/>
  <c r="CV71" i="6" s="1"/>
  <c r="F71" i="4"/>
  <c r="E71" i="4"/>
  <c r="D71" i="4"/>
  <c r="C71" i="4"/>
  <c r="B71" i="4"/>
  <c r="A71" i="4"/>
  <c r="BZ71" i="6" s="1"/>
  <c r="BC70" i="4"/>
  <c r="BB70" i="4"/>
  <c r="BA70" i="4"/>
  <c r="AZ70" i="4"/>
  <c r="AY70" i="4"/>
  <c r="AX70" i="4"/>
  <c r="CK70" i="6" s="1"/>
  <c r="AV70" i="4"/>
  <c r="AU70" i="4"/>
  <c r="AT70" i="4"/>
  <c r="AS70" i="4"/>
  <c r="AR70" i="4"/>
  <c r="AQ70" i="4"/>
  <c r="EY70" i="6" s="1"/>
  <c r="AO70" i="4"/>
  <c r="AN70" i="4"/>
  <c r="AM70" i="4"/>
  <c r="AL70" i="4"/>
  <c r="AK70" i="4"/>
  <c r="AJ70" i="4"/>
  <c r="EN70" i="6" s="1"/>
  <c r="AH70" i="4"/>
  <c r="AG70" i="4"/>
  <c r="AF70" i="4"/>
  <c r="AE70" i="4"/>
  <c r="AD70" i="4"/>
  <c r="AC70" i="4"/>
  <c r="EC70" i="6" s="1"/>
  <c r="AA70" i="4"/>
  <c r="Z70" i="4"/>
  <c r="Y70" i="4"/>
  <c r="X70" i="4"/>
  <c r="W70" i="4"/>
  <c r="V70" i="4"/>
  <c r="DR70" i="6" s="1"/>
  <c r="T70" i="4"/>
  <c r="S70" i="4"/>
  <c r="R70" i="4"/>
  <c r="Q70" i="4"/>
  <c r="P70" i="4"/>
  <c r="O70" i="4"/>
  <c r="DG70" i="6" s="1"/>
  <c r="M70" i="4"/>
  <c r="L70" i="4"/>
  <c r="K70" i="4"/>
  <c r="J70" i="4"/>
  <c r="I70" i="4"/>
  <c r="H70" i="4"/>
  <c r="CV70" i="6" s="1"/>
  <c r="F70" i="4"/>
  <c r="E70" i="4"/>
  <c r="D70" i="4"/>
  <c r="C70" i="4"/>
  <c r="B70" i="4"/>
  <c r="A70" i="4"/>
  <c r="BZ70" i="6" s="1"/>
  <c r="BC69" i="4"/>
  <c r="BB69" i="4"/>
  <c r="BA69" i="4"/>
  <c r="AZ69" i="4"/>
  <c r="AY69" i="4"/>
  <c r="AX69" i="4"/>
  <c r="CK69" i="6" s="1"/>
  <c r="AV69" i="4"/>
  <c r="AU69" i="4"/>
  <c r="AT69" i="4"/>
  <c r="AS69" i="4"/>
  <c r="AR69" i="4"/>
  <c r="AQ69" i="4"/>
  <c r="EY69" i="6" s="1"/>
  <c r="AO69" i="4"/>
  <c r="AN69" i="4"/>
  <c r="AM69" i="4"/>
  <c r="AL69" i="4"/>
  <c r="AK69" i="4"/>
  <c r="AJ69" i="4"/>
  <c r="EN69" i="6" s="1"/>
  <c r="AH69" i="4"/>
  <c r="AG69" i="4"/>
  <c r="AF69" i="4"/>
  <c r="AE69" i="4"/>
  <c r="AD69" i="4"/>
  <c r="AC69" i="4"/>
  <c r="EC69" i="6" s="1"/>
  <c r="AA69" i="4"/>
  <c r="Z69" i="4"/>
  <c r="Y69" i="4"/>
  <c r="X69" i="4"/>
  <c r="W69" i="4"/>
  <c r="V69" i="4"/>
  <c r="DR69" i="6" s="1"/>
  <c r="T69" i="4"/>
  <c r="S69" i="4"/>
  <c r="R69" i="4"/>
  <c r="Q69" i="4"/>
  <c r="P69" i="4"/>
  <c r="O69" i="4"/>
  <c r="DG69" i="6" s="1"/>
  <c r="M69" i="4"/>
  <c r="L69" i="4"/>
  <c r="K69" i="4"/>
  <c r="J69" i="4"/>
  <c r="I69" i="4"/>
  <c r="H69" i="4"/>
  <c r="CV69" i="6" s="1"/>
  <c r="F69" i="4"/>
  <c r="E69" i="4"/>
  <c r="D69" i="4"/>
  <c r="C69" i="4"/>
  <c r="B69" i="4"/>
  <c r="A69" i="4"/>
  <c r="BZ69" i="6" s="1"/>
  <c r="BC68" i="4"/>
  <c r="BB68" i="4"/>
  <c r="BA68" i="4"/>
  <c r="AZ68" i="4"/>
  <c r="AY68" i="4"/>
  <c r="AX68" i="4"/>
  <c r="CK68" i="6" s="1"/>
  <c r="AV68" i="4"/>
  <c r="AU68" i="4"/>
  <c r="AT68" i="4"/>
  <c r="AS68" i="4"/>
  <c r="AR68" i="4"/>
  <c r="AQ68" i="4"/>
  <c r="EY68" i="6" s="1"/>
  <c r="AO68" i="4"/>
  <c r="AN68" i="4"/>
  <c r="AM68" i="4"/>
  <c r="AL68" i="4"/>
  <c r="AK68" i="4"/>
  <c r="AJ68" i="4"/>
  <c r="EN68" i="6" s="1"/>
  <c r="AH68" i="4"/>
  <c r="AG68" i="4"/>
  <c r="AF68" i="4"/>
  <c r="AE68" i="4"/>
  <c r="AD68" i="4"/>
  <c r="AC68" i="4"/>
  <c r="EC68" i="6" s="1"/>
  <c r="AA68" i="4"/>
  <c r="Z68" i="4"/>
  <c r="Y68" i="4"/>
  <c r="X68" i="4"/>
  <c r="W68" i="4"/>
  <c r="V68" i="4"/>
  <c r="DR68" i="6" s="1"/>
  <c r="T68" i="4"/>
  <c r="S68" i="4"/>
  <c r="R68" i="4"/>
  <c r="Q68" i="4"/>
  <c r="P68" i="4"/>
  <c r="O68" i="4"/>
  <c r="DG68" i="6" s="1"/>
  <c r="M68" i="4"/>
  <c r="L68" i="4"/>
  <c r="K68" i="4"/>
  <c r="J68" i="4"/>
  <c r="I68" i="4"/>
  <c r="H68" i="4"/>
  <c r="CV68" i="6" s="1"/>
  <c r="F68" i="4"/>
  <c r="E68" i="4"/>
  <c r="D68" i="4"/>
  <c r="C68" i="4"/>
  <c r="B68" i="4"/>
  <c r="A68" i="4"/>
  <c r="BZ68" i="6" s="1"/>
  <c r="BC67" i="4"/>
  <c r="BB67" i="4"/>
  <c r="BA67" i="4"/>
  <c r="AZ67" i="4"/>
  <c r="AY67" i="4"/>
  <c r="AX67" i="4"/>
  <c r="CK67" i="6" s="1"/>
  <c r="AV67" i="4"/>
  <c r="AU67" i="4"/>
  <c r="AT67" i="4"/>
  <c r="AS67" i="4"/>
  <c r="AR67" i="4"/>
  <c r="AQ67" i="4"/>
  <c r="EY67" i="6" s="1"/>
  <c r="AO67" i="4"/>
  <c r="AN67" i="4"/>
  <c r="AM67" i="4"/>
  <c r="AL67" i="4"/>
  <c r="AK67" i="4"/>
  <c r="AJ67" i="4"/>
  <c r="EN67" i="6" s="1"/>
  <c r="AH67" i="4"/>
  <c r="AG67" i="4"/>
  <c r="AF67" i="4"/>
  <c r="AE67" i="4"/>
  <c r="AD67" i="4"/>
  <c r="AC67" i="4"/>
  <c r="EC67" i="6" s="1"/>
  <c r="AA67" i="4"/>
  <c r="Z67" i="4"/>
  <c r="Y67" i="4"/>
  <c r="X67" i="4"/>
  <c r="W67" i="4"/>
  <c r="V67" i="4"/>
  <c r="DR67" i="6" s="1"/>
  <c r="T67" i="4"/>
  <c r="S67" i="4"/>
  <c r="R67" i="4"/>
  <c r="Q67" i="4"/>
  <c r="P67" i="4"/>
  <c r="O67" i="4"/>
  <c r="DG67" i="6" s="1"/>
  <c r="M67" i="4"/>
  <c r="L67" i="4"/>
  <c r="K67" i="4"/>
  <c r="J67" i="4"/>
  <c r="I67" i="4"/>
  <c r="H67" i="4"/>
  <c r="CV67" i="6" s="1"/>
  <c r="F67" i="4"/>
  <c r="E67" i="4"/>
  <c r="D67" i="4"/>
  <c r="C67" i="4"/>
  <c r="B67" i="4"/>
  <c r="A67" i="4"/>
  <c r="BZ67" i="6" s="1"/>
  <c r="BC66" i="4"/>
  <c r="BB66" i="4"/>
  <c r="BA66" i="4"/>
  <c r="AZ66" i="4"/>
  <c r="AY66" i="4"/>
  <c r="AX66" i="4"/>
  <c r="CK66" i="6" s="1"/>
  <c r="AV66" i="4"/>
  <c r="AU66" i="4"/>
  <c r="AT66" i="4"/>
  <c r="AS66" i="4"/>
  <c r="AR66" i="4"/>
  <c r="AQ66" i="4"/>
  <c r="EY66" i="6" s="1"/>
  <c r="AO66" i="4"/>
  <c r="AN66" i="4"/>
  <c r="AM66" i="4"/>
  <c r="AL66" i="4"/>
  <c r="AK66" i="4"/>
  <c r="AJ66" i="4"/>
  <c r="EN66" i="6" s="1"/>
  <c r="AH66" i="4"/>
  <c r="AG66" i="4"/>
  <c r="AF66" i="4"/>
  <c r="AE66" i="4"/>
  <c r="AD66" i="4"/>
  <c r="AC66" i="4"/>
  <c r="EC66" i="6" s="1"/>
  <c r="AA66" i="4"/>
  <c r="Z66" i="4"/>
  <c r="Y66" i="4"/>
  <c r="X66" i="4"/>
  <c r="W66" i="4"/>
  <c r="V66" i="4"/>
  <c r="DR66" i="6" s="1"/>
  <c r="T66" i="4"/>
  <c r="S66" i="4"/>
  <c r="R66" i="4"/>
  <c r="Q66" i="4"/>
  <c r="P66" i="4"/>
  <c r="O66" i="4"/>
  <c r="DG66" i="6" s="1"/>
  <c r="M66" i="4"/>
  <c r="L66" i="4"/>
  <c r="K66" i="4"/>
  <c r="J66" i="4"/>
  <c r="I66" i="4"/>
  <c r="H66" i="4"/>
  <c r="CV66" i="6" s="1"/>
  <c r="F66" i="4"/>
  <c r="E66" i="4"/>
  <c r="D66" i="4"/>
  <c r="C66" i="4"/>
  <c r="B66" i="4"/>
  <c r="A66" i="4"/>
  <c r="BZ66" i="6" s="1"/>
  <c r="BC65" i="4"/>
  <c r="BB65" i="4"/>
  <c r="BA65" i="4"/>
  <c r="AZ65" i="4"/>
  <c r="AY65" i="4"/>
  <c r="AX65" i="4"/>
  <c r="CK65" i="6" s="1"/>
  <c r="AV65" i="4"/>
  <c r="AU65" i="4"/>
  <c r="AT65" i="4"/>
  <c r="AS65" i="4"/>
  <c r="AR65" i="4"/>
  <c r="AQ65" i="4"/>
  <c r="EY65" i="6" s="1"/>
  <c r="AO65" i="4"/>
  <c r="AN65" i="4"/>
  <c r="AM65" i="4"/>
  <c r="AL65" i="4"/>
  <c r="AK65" i="4"/>
  <c r="AJ65" i="4"/>
  <c r="EN65" i="6" s="1"/>
  <c r="AH65" i="4"/>
  <c r="AG65" i="4"/>
  <c r="AF65" i="4"/>
  <c r="AE65" i="4"/>
  <c r="AD65" i="4"/>
  <c r="AC65" i="4"/>
  <c r="EC65" i="6" s="1"/>
  <c r="AA65" i="4"/>
  <c r="Z65" i="4"/>
  <c r="Y65" i="4"/>
  <c r="X65" i="4"/>
  <c r="W65" i="4"/>
  <c r="V65" i="4"/>
  <c r="DR65" i="6" s="1"/>
  <c r="T65" i="4"/>
  <c r="S65" i="4"/>
  <c r="R65" i="4"/>
  <c r="Q65" i="4"/>
  <c r="P65" i="4"/>
  <c r="O65" i="4"/>
  <c r="DG65" i="6" s="1"/>
  <c r="M65" i="4"/>
  <c r="L65" i="4"/>
  <c r="K65" i="4"/>
  <c r="J65" i="4"/>
  <c r="I65" i="4"/>
  <c r="H65" i="4"/>
  <c r="CV65" i="6" s="1"/>
  <c r="F65" i="4"/>
  <c r="E65" i="4"/>
  <c r="D65" i="4"/>
  <c r="C65" i="4"/>
  <c r="B65" i="4"/>
  <c r="A65" i="4"/>
  <c r="BZ65" i="6" s="1"/>
  <c r="BC64" i="4"/>
  <c r="BB64" i="4"/>
  <c r="BA64" i="4"/>
  <c r="AZ64" i="4"/>
  <c r="AY64" i="4"/>
  <c r="AX64" i="4"/>
  <c r="CK64" i="6" s="1"/>
  <c r="AV64" i="4"/>
  <c r="AU64" i="4"/>
  <c r="AT64" i="4"/>
  <c r="AS64" i="4"/>
  <c r="AR64" i="4"/>
  <c r="AQ64" i="4"/>
  <c r="EY64" i="6" s="1"/>
  <c r="AO64" i="4"/>
  <c r="AN64" i="4"/>
  <c r="AM64" i="4"/>
  <c r="AL64" i="4"/>
  <c r="AK64" i="4"/>
  <c r="AJ64" i="4"/>
  <c r="EN64" i="6" s="1"/>
  <c r="AH64" i="4"/>
  <c r="AG64" i="4"/>
  <c r="AF64" i="4"/>
  <c r="AE64" i="4"/>
  <c r="AD64" i="4"/>
  <c r="AC64" i="4"/>
  <c r="EC64" i="6" s="1"/>
  <c r="AA64" i="4"/>
  <c r="Z64" i="4"/>
  <c r="Y64" i="4"/>
  <c r="X64" i="4"/>
  <c r="W64" i="4"/>
  <c r="V64" i="4"/>
  <c r="DR64" i="6" s="1"/>
  <c r="T64" i="4"/>
  <c r="S64" i="4"/>
  <c r="R64" i="4"/>
  <c r="Q64" i="4"/>
  <c r="P64" i="4"/>
  <c r="O64" i="4"/>
  <c r="DG64" i="6" s="1"/>
  <c r="M64" i="4"/>
  <c r="L64" i="4"/>
  <c r="K64" i="4"/>
  <c r="J64" i="4"/>
  <c r="I64" i="4"/>
  <c r="H64" i="4"/>
  <c r="CV64" i="6" s="1"/>
  <c r="F64" i="4"/>
  <c r="E64" i="4"/>
  <c r="D64" i="4"/>
  <c r="C64" i="4"/>
  <c r="B64" i="4"/>
  <c r="A64" i="4"/>
  <c r="BZ64" i="6" s="1"/>
  <c r="BC63" i="4"/>
  <c r="BB63" i="4"/>
  <c r="BA63" i="4"/>
  <c r="AZ63" i="4"/>
  <c r="AY63" i="4"/>
  <c r="AX63" i="4"/>
  <c r="CK63" i="6" s="1"/>
  <c r="AV63" i="4"/>
  <c r="AU63" i="4"/>
  <c r="AT63" i="4"/>
  <c r="AS63" i="4"/>
  <c r="AR63" i="4"/>
  <c r="AQ63" i="4"/>
  <c r="EY63" i="6" s="1"/>
  <c r="AO63" i="4"/>
  <c r="AN63" i="4"/>
  <c r="AM63" i="4"/>
  <c r="AL63" i="4"/>
  <c r="AK63" i="4"/>
  <c r="AJ63" i="4"/>
  <c r="EN63" i="6" s="1"/>
  <c r="AH63" i="4"/>
  <c r="AG63" i="4"/>
  <c r="AF63" i="4"/>
  <c r="AE63" i="4"/>
  <c r="AD63" i="4"/>
  <c r="AC63" i="4"/>
  <c r="EC63" i="6" s="1"/>
  <c r="AA63" i="4"/>
  <c r="Z63" i="4"/>
  <c r="Y63" i="4"/>
  <c r="X63" i="4"/>
  <c r="W63" i="4"/>
  <c r="V63" i="4"/>
  <c r="DR63" i="6" s="1"/>
  <c r="T63" i="4"/>
  <c r="S63" i="4"/>
  <c r="R63" i="4"/>
  <c r="Q63" i="4"/>
  <c r="P63" i="4"/>
  <c r="O63" i="4"/>
  <c r="DG63" i="6" s="1"/>
  <c r="M63" i="4"/>
  <c r="L63" i="4"/>
  <c r="K63" i="4"/>
  <c r="J63" i="4"/>
  <c r="I63" i="4"/>
  <c r="H63" i="4"/>
  <c r="CV63" i="6" s="1"/>
  <c r="F63" i="4"/>
  <c r="E63" i="4"/>
  <c r="D63" i="4"/>
  <c r="C63" i="4"/>
  <c r="B63" i="4"/>
  <c r="A63" i="4"/>
  <c r="BZ63" i="6" s="1"/>
  <c r="BC62" i="4"/>
  <c r="BB62" i="4"/>
  <c r="BA62" i="4"/>
  <c r="AZ62" i="4"/>
  <c r="AY62" i="4"/>
  <c r="AX62" i="4"/>
  <c r="CK62" i="6" s="1"/>
  <c r="AV62" i="4"/>
  <c r="AU62" i="4"/>
  <c r="AT62" i="4"/>
  <c r="AS62" i="4"/>
  <c r="AR62" i="4"/>
  <c r="AQ62" i="4"/>
  <c r="EY62" i="6" s="1"/>
  <c r="AO62" i="4"/>
  <c r="AN62" i="4"/>
  <c r="AM62" i="4"/>
  <c r="AL62" i="4"/>
  <c r="AK62" i="4"/>
  <c r="AJ62" i="4"/>
  <c r="EN62" i="6" s="1"/>
  <c r="AH62" i="4"/>
  <c r="AG62" i="4"/>
  <c r="AF62" i="4"/>
  <c r="AE62" i="4"/>
  <c r="AD62" i="4"/>
  <c r="AC62" i="4"/>
  <c r="EC62" i="6" s="1"/>
  <c r="AA62" i="4"/>
  <c r="Z62" i="4"/>
  <c r="Y62" i="4"/>
  <c r="X62" i="4"/>
  <c r="W62" i="4"/>
  <c r="V62" i="4"/>
  <c r="DR62" i="6" s="1"/>
  <c r="T62" i="4"/>
  <c r="S62" i="4"/>
  <c r="R62" i="4"/>
  <c r="Q62" i="4"/>
  <c r="P62" i="4"/>
  <c r="O62" i="4"/>
  <c r="DG62" i="6" s="1"/>
  <c r="M62" i="4"/>
  <c r="L62" i="4"/>
  <c r="K62" i="4"/>
  <c r="J62" i="4"/>
  <c r="I62" i="4"/>
  <c r="H62" i="4"/>
  <c r="CV62" i="6" s="1"/>
  <c r="F62" i="4"/>
  <c r="E62" i="4"/>
  <c r="D62" i="4"/>
  <c r="C62" i="4"/>
  <c r="B62" i="4"/>
  <c r="A62" i="4"/>
  <c r="BZ62" i="6" s="1"/>
  <c r="BC61" i="4"/>
  <c r="BB61" i="4"/>
  <c r="BA61" i="4"/>
  <c r="AZ61" i="4"/>
  <c r="AY61" i="4"/>
  <c r="AX61" i="4"/>
  <c r="CK61" i="6" s="1"/>
  <c r="AV61" i="4"/>
  <c r="AU61" i="4"/>
  <c r="AT61" i="4"/>
  <c r="AS61" i="4"/>
  <c r="AR61" i="4"/>
  <c r="AQ61" i="4"/>
  <c r="EY61" i="6" s="1"/>
  <c r="AO61" i="4"/>
  <c r="AN61" i="4"/>
  <c r="AM61" i="4"/>
  <c r="AL61" i="4"/>
  <c r="AK61" i="4"/>
  <c r="AJ61" i="4"/>
  <c r="EN61" i="6" s="1"/>
  <c r="AH61" i="4"/>
  <c r="AG61" i="4"/>
  <c r="AF61" i="4"/>
  <c r="AE61" i="4"/>
  <c r="AD61" i="4"/>
  <c r="AC61" i="4"/>
  <c r="EC61" i="6" s="1"/>
  <c r="AA61" i="4"/>
  <c r="Z61" i="4"/>
  <c r="Y61" i="4"/>
  <c r="X61" i="4"/>
  <c r="W61" i="4"/>
  <c r="V61" i="4"/>
  <c r="DR61" i="6" s="1"/>
  <c r="T61" i="4"/>
  <c r="S61" i="4"/>
  <c r="R61" i="4"/>
  <c r="Q61" i="4"/>
  <c r="P61" i="4"/>
  <c r="O61" i="4"/>
  <c r="DG61" i="6" s="1"/>
  <c r="M61" i="4"/>
  <c r="L61" i="4"/>
  <c r="K61" i="4"/>
  <c r="J61" i="4"/>
  <c r="I61" i="4"/>
  <c r="H61" i="4"/>
  <c r="CV61" i="6" s="1"/>
  <c r="F61" i="4"/>
  <c r="E61" i="4"/>
  <c r="D61" i="4"/>
  <c r="C61" i="4"/>
  <c r="B61" i="4"/>
  <c r="A61" i="4"/>
  <c r="BZ61" i="6" s="1"/>
  <c r="BC60" i="4"/>
  <c r="BB60" i="4"/>
  <c r="BA60" i="4"/>
  <c r="AZ60" i="4"/>
  <c r="AY60" i="4"/>
  <c r="AX60" i="4"/>
  <c r="CK60" i="6" s="1"/>
  <c r="AV60" i="4"/>
  <c r="AU60" i="4"/>
  <c r="AT60" i="4"/>
  <c r="AS60" i="4"/>
  <c r="AR60" i="4"/>
  <c r="AQ60" i="4"/>
  <c r="EY60" i="6" s="1"/>
  <c r="AO60" i="4"/>
  <c r="AN60" i="4"/>
  <c r="AM60" i="4"/>
  <c r="AL60" i="4"/>
  <c r="AK60" i="4"/>
  <c r="AJ60" i="4"/>
  <c r="EN60" i="6" s="1"/>
  <c r="AH60" i="4"/>
  <c r="AG60" i="4"/>
  <c r="AF60" i="4"/>
  <c r="AE60" i="4"/>
  <c r="AD60" i="4"/>
  <c r="AC60" i="4"/>
  <c r="EC60" i="6" s="1"/>
  <c r="AA60" i="4"/>
  <c r="Z60" i="4"/>
  <c r="Y60" i="4"/>
  <c r="X60" i="4"/>
  <c r="W60" i="4"/>
  <c r="V60" i="4"/>
  <c r="DR60" i="6" s="1"/>
  <c r="T60" i="4"/>
  <c r="S60" i="4"/>
  <c r="R60" i="4"/>
  <c r="Q60" i="4"/>
  <c r="P60" i="4"/>
  <c r="O60" i="4"/>
  <c r="DG60" i="6" s="1"/>
  <c r="M60" i="4"/>
  <c r="L60" i="4"/>
  <c r="K60" i="4"/>
  <c r="J60" i="4"/>
  <c r="I60" i="4"/>
  <c r="H60" i="4"/>
  <c r="CV60" i="6" s="1"/>
  <c r="F60" i="4"/>
  <c r="E60" i="4"/>
  <c r="D60" i="4"/>
  <c r="C60" i="4"/>
  <c r="B60" i="4"/>
  <c r="A60" i="4"/>
  <c r="BZ60" i="6" s="1"/>
  <c r="BC59" i="4"/>
  <c r="BB59" i="4"/>
  <c r="BA59" i="4"/>
  <c r="AZ59" i="4"/>
  <c r="AY59" i="4"/>
  <c r="AX59" i="4"/>
  <c r="CK59" i="6" s="1"/>
  <c r="AV59" i="4"/>
  <c r="AU59" i="4"/>
  <c r="AT59" i="4"/>
  <c r="AS59" i="4"/>
  <c r="AR59" i="4"/>
  <c r="AQ59" i="4"/>
  <c r="EY59" i="6" s="1"/>
  <c r="AO59" i="4"/>
  <c r="AN59" i="4"/>
  <c r="AM59" i="4"/>
  <c r="AL59" i="4"/>
  <c r="AK59" i="4"/>
  <c r="AJ59" i="4"/>
  <c r="EN59" i="6" s="1"/>
  <c r="AH59" i="4"/>
  <c r="AG59" i="4"/>
  <c r="AF59" i="4"/>
  <c r="AE59" i="4"/>
  <c r="AD59" i="4"/>
  <c r="AC59" i="4"/>
  <c r="EC59" i="6" s="1"/>
  <c r="AA59" i="4"/>
  <c r="Z59" i="4"/>
  <c r="Y59" i="4"/>
  <c r="X59" i="4"/>
  <c r="W59" i="4"/>
  <c r="V59" i="4"/>
  <c r="DR59" i="6" s="1"/>
  <c r="T59" i="4"/>
  <c r="S59" i="4"/>
  <c r="R59" i="4"/>
  <c r="Q59" i="4"/>
  <c r="P59" i="4"/>
  <c r="O59" i="4"/>
  <c r="DG59" i="6" s="1"/>
  <c r="M59" i="4"/>
  <c r="L59" i="4"/>
  <c r="K59" i="4"/>
  <c r="J59" i="4"/>
  <c r="I59" i="4"/>
  <c r="H59" i="4"/>
  <c r="CV59" i="6" s="1"/>
  <c r="F59" i="4"/>
  <c r="E59" i="4"/>
  <c r="D59" i="4"/>
  <c r="C59" i="4"/>
  <c r="B59" i="4"/>
  <c r="A59" i="4"/>
  <c r="BZ59" i="6" s="1"/>
  <c r="BC58" i="4"/>
  <c r="BB58" i="4"/>
  <c r="BA58" i="4"/>
  <c r="AZ58" i="4"/>
  <c r="AY58" i="4"/>
  <c r="AX58" i="4"/>
  <c r="CK58" i="6" s="1"/>
  <c r="AV58" i="4"/>
  <c r="AU58" i="4"/>
  <c r="AT58" i="4"/>
  <c r="AS58" i="4"/>
  <c r="AR58" i="4"/>
  <c r="AQ58" i="4"/>
  <c r="EY58" i="6" s="1"/>
  <c r="AO58" i="4"/>
  <c r="AN58" i="4"/>
  <c r="AM58" i="4"/>
  <c r="AL58" i="4"/>
  <c r="AK58" i="4"/>
  <c r="AJ58" i="4"/>
  <c r="EN58" i="6" s="1"/>
  <c r="AH58" i="4"/>
  <c r="AG58" i="4"/>
  <c r="AF58" i="4"/>
  <c r="AE58" i="4"/>
  <c r="AD58" i="4"/>
  <c r="AC58" i="4"/>
  <c r="EC58" i="6" s="1"/>
  <c r="AA58" i="4"/>
  <c r="Z58" i="4"/>
  <c r="Y58" i="4"/>
  <c r="X58" i="4"/>
  <c r="W58" i="4"/>
  <c r="V58" i="4"/>
  <c r="DR58" i="6" s="1"/>
  <c r="T58" i="4"/>
  <c r="S58" i="4"/>
  <c r="R58" i="4"/>
  <c r="Q58" i="4"/>
  <c r="P58" i="4"/>
  <c r="O58" i="4"/>
  <c r="DG58" i="6" s="1"/>
  <c r="M58" i="4"/>
  <c r="L58" i="4"/>
  <c r="K58" i="4"/>
  <c r="J58" i="4"/>
  <c r="I58" i="4"/>
  <c r="H58" i="4"/>
  <c r="CV58" i="6" s="1"/>
  <c r="F58" i="4"/>
  <c r="E58" i="4"/>
  <c r="D58" i="4"/>
  <c r="C58" i="4"/>
  <c r="B58" i="4"/>
  <c r="A58" i="4"/>
  <c r="BZ58" i="6" s="1"/>
  <c r="BC57" i="4"/>
  <c r="BB57" i="4"/>
  <c r="BA57" i="4"/>
  <c r="AZ57" i="4"/>
  <c r="AY57" i="4"/>
  <c r="AX57" i="4"/>
  <c r="CK57" i="6" s="1"/>
  <c r="AV57" i="4"/>
  <c r="AU57" i="4"/>
  <c r="AT57" i="4"/>
  <c r="AS57" i="4"/>
  <c r="AR57" i="4"/>
  <c r="AQ57" i="4"/>
  <c r="EY57" i="6" s="1"/>
  <c r="AO57" i="4"/>
  <c r="AN57" i="4"/>
  <c r="AM57" i="4"/>
  <c r="AL57" i="4"/>
  <c r="AK57" i="4"/>
  <c r="AJ57" i="4"/>
  <c r="EN57" i="6" s="1"/>
  <c r="AH57" i="4"/>
  <c r="AG57" i="4"/>
  <c r="AF57" i="4"/>
  <c r="AE57" i="4"/>
  <c r="AD57" i="4"/>
  <c r="AC57" i="4"/>
  <c r="EC57" i="6" s="1"/>
  <c r="AA57" i="4"/>
  <c r="Z57" i="4"/>
  <c r="Y57" i="4"/>
  <c r="X57" i="4"/>
  <c r="W57" i="4"/>
  <c r="V57" i="4"/>
  <c r="DR57" i="6" s="1"/>
  <c r="T57" i="4"/>
  <c r="S57" i="4"/>
  <c r="R57" i="4"/>
  <c r="Q57" i="4"/>
  <c r="P57" i="4"/>
  <c r="O57" i="4"/>
  <c r="DG57" i="6" s="1"/>
  <c r="M57" i="4"/>
  <c r="L57" i="4"/>
  <c r="K57" i="4"/>
  <c r="J57" i="4"/>
  <c r="I57" i="4"/>
  <c r="H57" i="4"/>
  <c r="CV57" i="6" s="1"/>
  <c r="F57" i="4"/>
  <c r="E57" i="4"/>
  <c r="D57" i="4"/>
  <c r="C57" i="4"/>
  <c r="B57" i="4"/>
  <c r="A57" i="4"/>
  <c r="BZ57" i="6" s="1"/>
  <c r="BC56" i="4"/>
  <c r="BB56" i="4"/>
  <c r="BA56" i="4"/>
  <c r="AZ56" i="4"/>
  <c r="AY56" i="4"/>
  <c r="AX56" i="4"/>
  <c r="CK56" i="6" s="1"/>
  <c r="AV56" i="4"/>
  <c r="AU56" i="4"/>
  <c r="AT56" i="4"/>
  <c r="AS56" i="4"/>
  <c r="AR56" i="4"/>
  <c r="AQ56" i="4"/>
  <c r="EY56" i="6" s="1"/>
  <c r="AO56" i="4"/>
  <c r="AN56" i="4"/>
  <c r="AM56" i="4"/>
  <c r="AL56" i="4"/>
  <c r="AK56" i="4"/>
  <c r="AJ56" i="4"/>
  <c r="EN56" i="6" s="1"/>
  <c r="AH56" i="4"/>
  <c r="AG56" i="4"/>
  <c r="AF56" i="4"/>
  <c r="AE56" i="4"/>
  <c r="AD56" i="4"/>
  <c r="AC56" i="4"/>
  <c r="EC56" i="6" s="1"/>
  <c r="AA56" i="4"/>
  <c r="Z56" i="4"/>
  <c r="Y56" i="4"/>
  <c r="X56" i="4"/>
  <c r="W56" i="4"/>
  <c r="V56" i="4"/>
  <c r="DR56" i="6" s="1"/>
  <c r="T56" i="4"/>
  <c r="S56" i="4"/>
  <c r="R56" i="4"/>
  <c r="Q56" i="4"/>
  <c r="P56" i="4"/>
  <c r="O56" i="4"/>
  <c r="DG56" i="6" s="1"/>
  <c r="M56" i="4"/>
  <c r="L56" i="4"/>
  <c r="K56" i="4"/>
  <c r="J56" i="4"/>
  <c r="I56" i="4"/>
  <c r="H56" i="4"/>
  <c r="CV56" i="6" s="1"/>
  <c r="F56" i="4"/>
  <c r="E56" i="4"/>
  <c r="D56" i="4"/>
  <c r="C56" i="4"/>
  <c r="B56" i="4"/>
  <c r="A56" i="4"/>
  <c r="BZ56" i="6" s="1"/>
  <c r="BC55" i="4"/>
  <c r="BB55" i="4"/>
  <c r="BA55" i="4"/>
  <c r="AZ55" i="4"/>
  <c r="AY55" i="4"/>
  <c r="AX55" i="4"/>
  <c r="CK55" i="6" s="1"/>
  <c r="AV55" i="4"/>
  <c r="AU55" i="4"/>
  <c r="AT55" i="4"/>
  <c r="AS55" i="4"/>
  <c r="AR55" i="4"/>
  <c r="AQ55" i="4"/>
  <c r="EY55" i="6" s="1"/>
  <c r="AO55" i="4"/>
  <c r="AN55" i="4"/>
  <c r="AM55" i="4"/>
  <c r="AL55" i="4"/>
  <c r="AK55" i="4"/>
  <c r="AJ55" i="4"/>
  <c r="EN55" i="6" s="1"/>
  <c r="AH55" i="4"/>
  <c r="AG55" i="4"/>
  <c r="AF55" i="4"/>
  <c r="AE55" i="4"/>
  <c r="AD55" i="4"/>
  <c r="AC55" i="4"/>
  <c r="EC55" i="6" s="1"/>
  <c r="AA55" i="4"/>
  <c r="Z55" i="4"/>
  <c r="Y55" i="4"/>
  <c r="X55" i="4"/>
  <c r="W55" i="4"/>
  <c r="V55" i="4"/>
  <c r="DR55" i="6" s="1"/>
  <c r="T55" i="4"/>
  <c r="S55" i="4"/>
  <c r="R55" i="4"/>
  <c r="Q55" i="4"/>
  <c r="P55" i="4"/>
  <c r="O55" i="4"/>
  <c r="DG55" i="6" s="1"/>
  <c r="M55" i="4"/>
  <c r="L55" i="4"/>
  <c r="K55" i="4"/>
  <c r="J55" i="4"/>
  <c r="I55" i="4"/>
  <c r="H55" i="4"/>
  <c r="CV55" i="6" s="1"/>
  <c r="F55" i="4"/>
  <c r="E55" i="4"/>
  <c r="D55" i="4"/>
  <c r="C55" i="4"/>
  <c r="B55" i="4"/>
  <c r="A55" i="4"/>
  <c r="BZ55" i="6" s="1"/>
  <c r="BC54" i="4"/>
  <c r="BB54" i="4"/>
  <c r="BA54" i="4"/>
  <c r="AZ54" i="4"/>
  <c r="AY54" i="4"/>
  <c r="AX54" i="4"/>
  <c r="CK54" i="6" s="1"/>
  <c r="AV54" i="4"/>
  <c r="AU54" i="4"/>
  <c r="AT54" i="4"/>
  <c r="AS54" i="4"/>
  <c r="AR54" i="4"/>
  <c r="AQ54" i="4"/>
  <c r="EY54" i="6" s="1"/>
  <c r="AO54" i="4"/>
  <c r="AN54" i="4"/>
  <c r="AM54" i="4"/>
  <c r="AL54" i="4"/>
  <c r="AK54" i="4"/>
  <c r="AJ54" i="4"/>
  <c r="EN54" i="6" s="1"/>
  <c r="AH54" i="4"/>
  <c r="AG54" i="4"/>
  <c r="AF54" i="4"/>
  <c r="AE54" i="4"/>
  <c r="AD54" i="4"/>
  <c r="AC54" i="4"/>
  <c r="EC54" i="6" s="1"/>
  <c r="AA54" i="4"/>
  <c r="Z54" i="4"/>
  <c r="Y54" i="4"/>
  <c r="X54" i="4"/>
  <c r="W54" i="4"/>
  <c r="V54" i="4"/>
  <c r="DR54" i="6" s="1"/>
  <c r="T54" i="4"/>
  <c r="S54" i="4"/>
  <c r="R54" i="4"/>
  <c r="Q54" i="4"/>
  <c r="P54" i="4"/>
  <c r="O54" i="4"/>
  <c r="DG54" i="6" s="1"/>
  <c r="M54" i="4"/>
  <c r="L54" i="4"/>
  <c r="K54" i="4"/>
  <c r="J54" i="4"/>
  <c r="I54" i="4"/>
  <c r="H54" i="4"/>
  <c r="CV54" i="6" s="1"/>
  <c r="F54" i="4"/>
  <c r="E54" i="4"/>
  <c r="D54" i="4"/>
  <c r="C54" i="4"/>
  <c r="B54" i="4"/>
  <c r="A54" i="4"/>
  <c r="BZ54" i="6" s="1"/>
  <c r="BC53" i="4"/>
  <c r="BB53" i="4"/>
  <c r="BA53" i="4"/>
  <c r="AZ53" i="4"/>
  <c r="AY53" i="4"/>
  <c r="AX53" i="4"/>
  <c r="CK53" i="6" s="1"/>
  <c r="AV53" i="4"/>
  <c r="AU53" i="4"/>
  <c r="AT53" i="4"/>
  <c r="AS53" i="4"/>
  <c r="AR53" i="4"/>
  <c r="AQ53" i="4"/>
  <c r="EY53" i="6" s="1"/>
  <c r="AO53" i="4"/>
  <c r="AN53" i="4"/>
  <c r="AM53" i="4"/>
  <c r="AL53" i="4"/>
  <c r="AK53" i="4"/>
  <c r="AJ53" i="4"/>
  <c r="EN53" i="6" s="1"/>
  <c r="AH53" i="4"/>
  <c r="AG53" i="4"/>
  <c r="AF53" i="4"/>
  <c r="AE53" i="4"/>
  <c r="AD53" i="4"/>
  <c r="AC53" i="4"/>
  <c r="EC53" i="6" s="1"/>
  <c r="AA53" i="4"/>
  <c r="Z53" i="4"/>
  <c r="Y53" i="4"/>
  <c r="X53" i="4"/>
  <c r="W53" i="4"/>
  <c r="V53" i="4"/>
  <c r="DR53" i="6" s="1"/>
  <c r="T53" i="4"/>
  <c r="S53" i="4"/>
  <c r="R53" i="4"/>
  <c r="Q53" i="4"/>
  <c r="P53" i="4"/>
  <c r="O53" i="4"/>
  <c r="DG53" i="6" s="1"/>
  <c r="M53" i="4"/>
  <c r="L53" i="4"/>
  <c r="K53" i="4"/>
  <c r="J53" i="4"/>
  <c r="I53" i="4"/>
  <c r="H53" i="4"/>
  <c r="CV53" i="6" s="1"/>
  <c r="F53" i="4"/>
  <c r="E53" i="4"/>
  <c r="D53" i="4"/>
  <c r="C53" i="4"/>
  <c r="B53" i="4"/>
  <c r="A53" i="4"/>
  <c r="BZ53" i="6" s="1"/>
  <c r="BC52" i="4"/>
  <c r="BB52" i="4"/>
  <c r="BA52" i="4"/>
  <c r="AZ52" i="4"/>
  <c r="AY52" i="4"/>
  <c r="AX52" i="4"/>
  <c r="CK52" i="6" s="1"/>
  <c r="AV52" i="4"/>
  <c r="AU52" i="4"/>
  <c r="AT52" i="4"/>
  <c r="AS52" i="4"/>
  <c r="AR52" i="4"/>
  <c r="AQ52" i="4"/>
  <c r="EY52" i="6" s="1"/>
  <c r="AO52" i="4"/>
  <c r="AN52" i="4"/>
  <c r="AM52" i="4"/>
  <c r="AL52" i="4"/>
  <c r="AK52" i="4"/>
  <c r="AJ52" i="4"/>
  <c r="EN52" i="6" s="1"/>
  <c r="AH52" i="4"/>
  <c r="AG52" i="4"/>
  <c r="AF52" i="4"/>
  <c r="AE52" i="4"/>
  <c r="AD52" i="4"/>
  <c r="AC52" i="4"/>
  <c r="EC52" i="6" s="1"/>
  <c r="AA52" i="4"/>
  <c r="Z52" i="4"/>
  <c r="Y52" i="4"/>
  <c r="X52" i="4"/>
  <c r="W52" i="4"/>
  <c r="V52" i="4"/>
  <c r="DR52" i="6" s="1"/>
  <c r="T52" i="4"/>
  <c r="S52" i="4"/>
  <c r="R52" i="4"/>
  <c r="Q52" i="4"/>
  <c r="P52" i="4"/>
  <c r="O52" i="4"/>
  <c r="DG52" i="6" s="1"/>
  <c r="M52" i="4"/>
  <c r="L52" i="4"/>
  <c r="K52" i="4"/>
  <c r="J52" i="4"/>
  <c r="I52" i="4"/>
  <c r="H52" i="4"/>
  <c r="CV52" i="6" s="1"/>
  <c r="F52" i="4"/>
  <c r="E52" i="4"/>
  <c r="D52" i="4"/>
  <c r="C52" i="4"/>
  <c r="B52" i="4"/>
  <c r="A52" i="4"/>
  <c r="BZ52" i="6" s="1"/>
  <c r="BC51" i="4"/>
  <c r="BB51" i="4"/>
  <c r="BA51" i="4"/>
  <c r="AZ51" i="4"/>
  <c r="AY51" i="4"/>
  <c r="AX51" i="4"/>
  <c r="CK51" i="6" s="1"/>
  <c r="AV51" i="4"/>
  <c r="AU51" i="4"/>
  <c r="AT51" i="4"/>
  <c r="AS51" i="4"/>
  <c r="AR51" i="4"/>
  <c r="AQ51" i="4"/>
  <c r="EY51" i="6" s="1"/>
  <c r="AO51" i="4"/>
  <c r="AN51" i="4"/>
  <c r="AM51" i="4"/>
  <c r="AL51" i="4"/>
  <c r="AK51" i="4"/>
  <c r="AJ51" i="4"/>
  <c r="EN51" i="6" s="1"/>
  <c r="AH51" i="4"/>
  <c r="AG51" i="4"/>
  <c r="AF51" i="4"/>
  <c r="AE51" i="4"/>
  <c r="AD51" i="4"/>
  <c r="AC51" i="4"/>
  <c r="EC51" i="6" s="1"/>
  <c r="AA51" i="4"/>
  <c r="Z51" i="4"/>
  <c r="Y51" i="4"/>
  <c r="X51" i="4"/>
  <c r="W51" i="4"/>
  <c r="V51" i="4"/>
  <c r="DR51" i="6" s="1"/>
  <c r="T51" i="4"/>
  <c r="S51" i="4"/>
  <c r="R51" i="4"/>
  <c r="Q51" i="4"/>
  <c r="P51" i="4"/>
  <c r="O51" i="4"/>
  <c r="DG51" i="6" s="1"/>
  <c r="M51" i="4"/>
  <c r="L51" i="4"/>
  <c r="K51" i="4"/>
  <c r="J51" i="4"/>
  <c r="I51" i="4"/>
  <c r="H51" i="4"/>
  <c r="CV51" i="6" s="1"/>
  <c r="F51" i="4"/>
  <c r="E51" i="4"/>
  <c r="D51" i="4"/>
  <c r="C51" i="4"/>
  <c r="B51" i="4"/>
  <c r="A51" i="4"/>
  <c r="BZ51" i="6" s="1"/>
  <c r="BC50" i="4"/>
  <c r="BB50" i="4"/>
  <c r="BA50" i="4"/>
  <c r="AZ50" i="4"/>
  <c r="AY50" i="4"/>
  <c r="AX50" i="4"/>
  <c r="CK50" i="6" s="1"/>
  <c r="AV50" i="4"/>
  <c r="AU50" i="4"/>
  <c r="AT50" i="4"/>
  <c r="AS50" i="4"/>
  <c r="AR50" i="4"/>
  <c r="AQ50" i="4"/>
  <c r="EY50" i="6" s="1"/>
  <c r="AO50" i="4"/>
  <c r="AN50" i="4"/>
  <c r="AM50" i="4"/>
  <c r="AL50" i="4"/>
  <c r="AK50" i="4"/>
  <c r="AJ50" i="4"/>
  <c r="EN50" i="6" s="1"/>
  <c r="AH50" i="4"/>
  <c r="AG50" i="4"/>
  <c r="AF50" i="4"/>
  <c r="AE50" i="4"/>
  <c r="AD50" i="4"/>
  <c r="AC50" i="4"/>
  <c r="EC50" i="6" s="1"/>
  <c r="AA50" i="4"/>
  <c r="Z50" i="4"/>
  <c r="Y50" i="4"/>
  <c r="X50" i="4"/>
  <c r="W50" i="4"/>
  <c r="V50" i="4"/>
  <c r="DR50" i="6" s="1"/>
  <c r="T50" i="4"/>
  <c r="S50" i="4"/>
  <c r="R50" i="4"/>
  <c r="Q50" i="4"/>
  <c r="P50" i="4"/>
  <c r="O50" i="4"/>
  <c r="DG50" i="6" s="1"/>
  <c r="M50" i="4"/>
  <c r="L50" i="4"/>
  <c r="K50" i="4"/>
  <c r="J50" i="4"/>
  <c r="I50" i="4"/>
  <c r="H50" i="4"/>
  <c r="CV50" i="6" s="1"/>
  <c r="F50" i="4"/>
  <c r="E50" i="4"/>
  <c r="D50" i="4"/>
  <c r="C50" i="4"/>
  <c r="B50" i="4"/>
  <c r="A50" i="4"/>
  <c r="BZ50" i="6" s="1"/>
  <c r="BC49" i="4"/>
  <c r="BB49" i="4"/>
  <c r="BA49" i="4"/>
  <c r="AZ49" i="4"/>
  <c r="AY49" i="4"/>
  <c r="AX49" i="4"/>
  <c r="CK49" i="6" s="1"/>
  <c r="AV49" i="4"/>
  <c r="AU49" i="4"/>
  <c r="AT49" i="4"/>
  <c r="AS49" i="4"/>
  <c r="AR49" i="4"/>
  <c r="AQ49" i="4"/>
  <c r="EY49" i="6" s="1"/>
  <c r="AO49" i="4"/>
  <c r="AN49" i="4"/>
  <c r="AM49" i="4"/>
  <c r="AL49" i="4"/>
  <c r="AK49" i="4"/>
  <c r="AJ49" i="4"/>
  <c r="EN49" i="6" s="1"/>
  <c r="AH49" i="4"/>
  <c r="AG49" i="4"/>
  <c r="AF49" i="4"/>
  <c r="AE49" i="4"/>
  <c r="AD49" i="4"/>
  <c r="AC49" i="4"/>
  <c r="EC49" i="6" s="1"/>
  <c r="AA49" i="4"/>
  <c r="Z49" i="4"/>
  <c r="Y49" i="4"/>
  <c r="X49" i="4"/>
  <c r="W49" i="4"/>
  <c r="V49" i="4"/>
  <c r="DR49" i="6" s="1"/>
  <c r="T49" i="4"/>
  <c r="S49" i="4"/>
  <c r="R49" i="4"/>
  <c r="Q49" i="4"/>
  <c r="P49" i="4"/>
  <c r="O49" i="4"/>
  <c r="DG49" i="6" s="1"/>
  <c r="M49" i="4"/>
  <c r="L49" i="4"/>
  <c r="K49" i="4"/>
  <c r="J49" i="4"/>
  <c r="I49" i="4"/>
  <c r="H49" i="4"/>
  <c r="CV49" i="6" s="1"/>
  <c r="F49" i="4"/>
  <c r="E49" i="4"/>
  <c r="D49" i="4"/>
  <c r="C49" i="4"/>
  <c r="B49" i="4"/>
  <c r="A49" i="4"/>
  <c r="BZ49" i="6" s="1"/>
  <c r="BC48" i="4"/>
  <c r="BB48" i="4"/>
  <c r="BA48" i="4"/>
  <c r="AZ48" i="4"/>
  <c r="AY48" i="4"/>
  <c r="AX48" i="4"/>
  <c r="CK48" i="6" s="1"/>
  <c r="AV48" i="4"/>
  <c r="AU48" i="4"/>
  <c r="AT48" i="4"/>
  <c r="AS48" i="4"/>
  <c r="AR48" i="4"/>
  <c r="AQ48" i="4"/>
  <c r="EY48" i="6" s="1"/>
  <c r="AO48" i="4"/>
  <c r="AN48" i="4"/>
  <c r="AM48" i="4"/>
  <c r="AL48" i="4"/>
  <c r="AK48" i="4"/>
  <c r="AJ48" i="4"/>
  <c r="EN48" i="6" s="1"/>
  <c r="AH48" i="4"/>
  <c r="AG48" i="4"/>
  <c r="AF48" i="4"/>
  <c r="AE48" i="4"/>
  <c r="AD48" i="4"/>
  <c r="AC48" i="4"/>
  <c r="EC48" i="6" s="1"/>
  <c r="AA48" i="4"/>
  <c r="Z48" i="4"/>
  <c r="Y48" i="4"/>
  <c r="X48" i="4"/>
  <c r="W48" i="4"/>
  <c r="V48" i="4"/>
  <c r="DR48" i="6" s="1"/>
  <c r="T48" i="4"/>
  <c r="S48" i="4"/>
  <c r="R48" i="4"/>
  <c r="Q48" i="4"/>
  <c r="P48" i="4"/>
  <c r="O48" i="4"/>
  <c r="DG48" i="6" s="1"/>
  <c r="M48" i="4"/>
  <c r="L48" i="4"/>
  <c r="K48" i="4"/>
  <c r="J48" i="4"/>
  <c r="I48" i="4"/>
  <c r="H48" i="4"/>
  <c r="CV48" i="6" s="1"/>
  <c r="F48" i="4"/>
  <c r="E48" i="4"/>
  <c r="D48" i="4"/>
  <c r="C48" i="4"/>
  <c r="B48" i="4"/>
  <c r="A48" i="4"/>
  <c r="BZ48" i="6" s="1"/>
  <c r="BC47" i="4"/>
  <c r="BB47" i="4"/>
  <c r="BA47" i="4"/>
  <c r="AZ47" i="4"/>
  <c r="AY47" i="4"/>
  <c r="AX47" i="4"/>
  <c r="CK47" i="6" s="1"/>
  <c r="AV47" i="4"/>
  <c r="AU47" i="4"/>
  <c r="AT47" i="4"/>
  <c r="AS47" i="4"/>
  <c r="AR47" i="4"/>
  <c r="AQ47" i="4"/>
  <c r="EY47" i="6" s="1"/>
  <c r="AO47" i="4"/>
  <c r="AN47" i="4"/>
  <c r="AM47" i="4"/>
  <c r="AL47" i="4"/>
  <c r="AK47" i="4"/>
  <c r="AJ47" i="4"/>
  <c r="EN47" i="6" s="1"/>
  <c r="AH47" i="4"/>
  <c r="AG47" i="4"/>
  <c r="AF47" i="4"/>
  <c r="AE47" i="4"/>
  <c r="AD47" i="4"/>
  <c r="AC47" i="4"/>
  <c r="EC47" i="6" s="1"/>
  <c r="AA47" i="4"/>
  <c r="Z47" i="4"/>
  <c r="Y47" i="4"/>
  <c r="X47" i="4"/>
  <c r="W47" i="4"/>
  <c r="V47" i="4"/>
  <c r="DR47" i="6" s="1"/>
  <c r="T47" i="4"/>
  <c r="S47" i="4"/>
  <c r="R47" i="4"/>
  <c r="Q47" i="4"/>
  <c r="P47" i="4"/>
  <c r="O47" i="4"/>
  <c r="DG47" i="6" s="1"/>
  <c r="M47" i="4"/>
  <c r="L47" i="4"/>
  <c r="K47" i="4"/>
  <c r="J47" i="4"/>
  <c r="I47" i="4"/>
  <c r="H47" i="4"/>
  <c r="CV47" i="6" s="1"/>
  <c r="F47" i="4"/>
  <c r="E47" i="4"/>
  <c r="D47" i="4"/>
  <c r="C47" i="4"/>
  <c r="B47" i="4"/>
  <c r="A47" i="4"/>
  <c r="BZ47" i="6" s="1"/>
  <c r="BC46" i="4"/>
  <c r="BB46" i="4"/>
  <c r="BA46" i="4"/>
  <c r="AZ46" i="4"/>
  <c r="AY46" i="4"/>
  <c r="AX46" i="4"/>
  <c r="CK46" i="6" s="1"/>
  <c r="AV46" i="4"/>
  <c r="AU46" i="4"/>
  <c r="AT46" i="4"/>
  <c r="AS46" i="4"/>
  <c r="AR46" i="4"/>
  <c r="AQ46" i="4"/>
  <c r="EY46" i="6" s="1"/>
  <c r="AO46" i="4"/>
  <c r="AN46" i="4"/>
  <c r="AM46" i="4"/>
  <c r="AL46" i="4"/>
  <c r="AK46" i="4"/>
  <c r="AJ46" i="4"/>
  <c r="EN46" i="6" s="1"/>
  <c r="AH46" i="4"/>
  <c r="AG46" i="4"/>
  <c r="AF46" i="4"/>
  <c r="AE46" i="4"/>
  <c r="AD46" i="4"/>
  <c r="AC46" i="4"/>
  <c r="EC46" i="6" s="1"/>
  <c r="AA46" i="4"/>
  <c r="Z46" i="4"/>
  <c r="Y46" i="4"/>
  <c r="X46" i="4"/>
  <c r="W46" i="4"/>
  <c r="V46" i="4"/>
  <c r="DR46" i="6" s="1"/>
  <c r="T46" i="4"/>
  <c r="S46" i="4"/>
  <c r="R46" i="4"/>
  <c r="Q46" i="4"/>
  <c r="P46" i="4"/>
  <c r="O46" i="4"/>
  <c r="DG46" i="6" s="1"/>
  <c r="M46" i="4"/>
  <c r="L46" i="4"/>
  <c r="K46" i="4"/>
  <c r="J46" i="4"/>
  <c r="I46" i="4"/>
  <c r="H46" i="4"/>
  <c r="CV46" i="6" s="1"/>
  <c r="F46" i="4"/>
  <c r="E46" i="4"/>
  <c r="D46" i="4"/>
  <c r="C46" i="4"/>
  <c r="B46" i="4"/>
  <c r="A46" i="4"/>
  <c r="BZ46" i="6" s="1"/>
  <c r="BC45" i="4"/>
  <c r="BB45" i="4"/>
  <c r="BA45" i="4"/>
  <c r="AZ45" i="4"/>
  <c r="AY45" i="4"/>
  <c r="AX45" i="4"/>
  <c r="CK45" i="6" s="1"/>
  <c r="AV45" i="4"/>
  <c r="AU45" i="4"/>
  <c r="AT45" i="4"/>
  <c r="AS45" i="4"/>
  <c r="AR45" i="4"/>
  <c r="AQ45" i="4"/>
  <c r="EY45" i="6" s="1"/>
  <c r="AO45" i="4"/>
  <c r="AN45" i="4"/>
  <c r="AM45" i="4"/>
  <c r="AL45" i="4"/>
  <c r="AK45" i="4"/>
  <c r="AJ45" i="4"/>
  <c r="EN45" i="6" s="1"/>
  <c r="AH45" i="4"/>
  <c r="AG45" i="4"/>
  <c r="AF45" i="4"/>
  <c r="AE45" i="4"/>
  <c r="AD45" i="4"/>
  <c r="AC45" i="4"/>
  <c r="EC45" i="6" s="1"/>
  <c r="AA45" i="4"/>
  <c r="Z45" i="4"/>
  <c r="Y45" i="4"/>
  <c r="X45" i="4"/>
  <c r="W45" i="4"/>
  <c r="V45" i="4"/>
  <c r="DR45" i="6" s="1"/>
  <c r="T45" i="4"/>
  <c r="S45" i="4"/>
  <c r="R45" i="4"/>
  <c r="Q45" i="4"/>
  <c r="P45" i="4"/>
  <c r="O45" i="4"/>
  <c r="DG45" i="6" s="1"/>
  <c r="M45" i="4"/>
  <c r="L45" i="4"/>
  <c r="K45" i="4"/>
  <c r="J45" i="4"/>
  <c r="I45" i="4"/>
  <c r="H45" i="4"/>
  <c r="CV45" i="6" s="1"/>
  <c r="F45" i="4"/>
  <c r="E45" i="4"/>
  <c r="D45" i="4"/>
  <c r="C45" i="4"/>
  <c r="B45" i="4"/>
  <c r="A45" i="4"/>
  <c r="BZ45" i="6" s="1"/>
  <c r="BC44" i="4"/>
  <c r="BB44" i="4"/>
  <c r="BA44" i="4"/>
  <c r="AZ44" i="4"/>
  <c r="AY44" i="4"/>
  <c r="AX44" i="4"/>
  <c r="CK44" i="6" s="1"/>
  <c r="AV44" i="4"/>
  <c r="AU44" i="4"/>
  <c r="AT44" i="4"/>
  <c r="AS44" i="4"/>
  <c r="AR44" i="4"/>
  <c r="AQ44" i="4"/>
  <c r="EY44" i="6" s="1"/>
  <c r="AO44" i="4"/>
  <c r="AN44" i="4"/>
  <c r="AM44" i="4"/>
  <c r="AL44" i="4"/>
  <c r="AK44" i="4"/>
  <c r="AJ44" i="4"/>
  <c r="EN44" i="6" s="1"/>
  <c r="AH44" i="4"/>
  <c r="AG44" i="4"/>
  <c r="AF44" i="4"/>
  <c r="AE44" i="4"/>
  <c r="AD44" i="4"/>
  <c r="AC44" i="4"/>
  <c r="EC44" i="6" s="1"/>
  <c r="AA44" i="4"/>
  <c r="Z44" i="4"/>
  <c r="Y44" i="4"/>
  <c r="X44" i="4"/>
  <c r="W44" i="4"/>
  <c r="V44" i="4"/>
  <c r="DR44" i="6" s="1"/>
  <c r="T44" i="4"/>
  <c r="S44" i="4"/>
  <c r="R44" i="4"/>
  <c r="Q44" i="4"/>
  <c r="P44" i="4"/>
  <c r="O44" i="4"/>
  <c r="DG44" i="6" s="1"/>
  <c r="M44" i="4"/>
  <c r="L44" i="4"/>
  <c r="K44" i="4"/>
  <c r="J44" i="4"/>
  <c r="I44" i="4"/>
  <c r="H44" i="4"/>
  <c r="CV44" i="6" s="1"/>
  <c r="F44" i="4"/>
  <c r="E44" i="4"/>
  <c r="D44" i="4"/>
  <c r="C44" i="4"/>
  <c r="B44" i="4"/>
  <c r="A44" i="4"/>
  <c r="BZ44" i="6" s="1"/>
  <c r="BC43" i="4"/>
  <c r="BB43" i="4"/>
  <c r="BA43" i="4"/>
  <c r="AZ43" i="4"/>
  <c r="AY43" i="4"/>
  <c r="AX43" i="4"/>
  <c r="CK43" i="6" s="1"/>
  <c r="AV43" i="4"/>
  <c r="AU43" i="4"/>
  <c r="AT43" i="4"/>
  <c r="AS43" i="4"/>
  <c r="AR43" i="4"/>
  <c r="AQ43" i="4"/>
  <c r="EY43" i="6" s="1"/>
  <c r="AO43" i="4"/>
  <c r="AN43" i="4"/>
  <c r="AM43" i="4"/>
  <c r="AL43" i="4"/>
  <c r="AK43" i="4"/>
  <c r="AJ43" i="4"/>
  <c r="EN43" i="6" s="1"/>
  <c r="AH43" i="4"/>
  <c r="AG43" i="4"/>
  <c r="AF43" i="4"/>
  <c r="AE43" i="4"/>
  <c r="AD43" i="4"/>
  <c r="AC43" i="4"/>
  <c r="EC43" i="6" s="1"/>
  <c r="AA43" i="4"/>
  <c r="Z43" i="4"/>
  <c r="Y43" i="4"/>
  <c r="X43" i="4"/>
  <c r="W43" i="4"/>
  <c r="V43" i="4"/>
  <c r="DR43" i="6" s="1"/>
  <c r="T43" i="4"/>
  <c r="S43" i="4"/>
  <c r="R43" i="4"/>
  <c r="Q43" i="4"/>
  <c r="P43" i="4"/>
  <c r="O43" i="4"/>
  <c r="DG43" i="6" s="1"/>
  <c r="M43" i="4"/>
  <c r="L43" i="4"/>
  <c r="K43" i="4"/>
  <c r="J43" i="4"/>
  <c r="I43" i="4"/>
  <c r="H43" i="4"/>
  <c r="CV43" i="6" s="1"/>
  <c r="F43" i="4"/>
  <c r="E43" i="4"/>
  <c r="D43" i="4"/>
  <c r="C43" i="4"/>
  <c r="B43" i="4"/>
  <c r="A43" i="4"/>
  <c r="BZ43" i="6" s="1"/>
  <c r="BC42" i="4"/>
  <c r="BB42" i="4"/>
  <c r="BA42" i="4"/>
  <c r="AZ42" i="4"/>
  <c r="AY42" i="4"/>
  <c r="AX42" i="4"/>
  <c r="CK42" i="6" s="1"/>
  <c r="AV42" i="4"/>
  <c r="AU42" i="4"/>
  <c r="AT42" i="4"/>
  <c r="AS42" i="4"/>
  <c r="AR42" i="4"/>
  <c r="AQ42" i="4"/>
  <c r="EY42" i="6" s="1"/>
  <c r="AO42" i="4"/>
  <c r="AN42" i="4"/>
  <c r="AM42" i="4"/>
  <c r="AL42" i="4"/>
  <c r="AK42" i="4"/>
  <c r="AJ42" i="4"/>
  <c r="EN42" i="6" s="1"/>
  <c r="AH42" i="4"/>
  <c r="AG42" i="4"/>
  <c r="AF42" i="4"/>
  <c r="AE42" i="4"/>
  <c r="AD42" i="4"/>
  <c r="AC42" i="4"/>
  <c r="EC42" i="6" s="1"/>
  <c r="AA42" i="4"/>
  <c r="Z42" i="4"/>
  <c r="Y42" i="4"/>
  <c r="X42" i="4"/>
  <c r="W42" i="4"/>
  <c r="V42" i="4"/>
  <c r="DR42" i="6" s="1"/>
  <c r="T42" i="4"/>
  <c r="S42" i="4"/>
  <c r="R42" i="4"/>
  <c r="Q42" i="4"/>
  <c r="P42" i="4"/>
  <c r="O42" i="4"/>
  <c r="DG42" i="6" s="1"/>
  <c r="M42" i="4"/>
  <c r="L42" i="4"/>
  <c r="K42" i="4"/>
  <c r="J42" i="4"/>
  <c r="I42" i="4"/>
  <c r="H42" i="4"/>
  <c r="CV42" i="6" s="1"/>
  <c r="F42" i="4"/>
  <c r="E42" i="4"/>
  <c r="D42" i="4"/>
  <c r="C42" i="4"/>
  <c r="B42" i="4"/>
  <c r="A42" i="4"/>
  <c r="BZ42" i="6" s="1"/>
  <c r="BC41" i="4"/>
  <c r="BB41" i="4"/>
  <c r="BA41" i="4"/>
  <c r="AZ41" i="4"/>
  <c r="AY41" i="4"/>
  <c r="AX41" i="4"/>
  <c r="CK41" i="6" s="1"/>
  <c r="AV41" i="4"/>
  <c r="AU41" i="4"/>
  <c r="AT41" i="4"/>
  <c r="AS41" i="4"/>
  <c r="AR41" i="4"/>
  <c r="AQ41" i="4"/>
  <c r="EY41" i="6" s="1"/>
  <c r="AO41" i="4"/>
  <c r="AN41" i="4"/>
  <c r="AM41" i="4"/>
  <c r="AL41" i="4"/>
  <c r="AK41" i="4"/>
  <c r="AJ41" i="4"/>
  <c r="EN41" i="6" s="1"/>
  <c r="AH41" i="4"/>
  <c r="AG41" i="4"/>
  <c r="AF41" i="4"/>
  <c r="AE41" i="4"/>
  <c r="AD41" i="4"/>
  <c r="AC41" i="4"/>
  <c r="EC41" i="6" s="1"/>
  <c r="AA41" i="4"/>
  <c r="Z41" i="4"/>
  <c r="Y41" i="4"/>
  <c r="X41" i="4"/>
  <c r="W41" i="4"/>
  <c r="V41" i="4"/>
  <c r="DR41" i="6" s="1"/>
  <c r="T41" i="4"/>
  <c r="S41" i="4"/>
  <c r="R41" i="4"/>
  <c r="Q41" i="4"/>
  <c r="P41" i="4"/>
  <c r="O41" i="4"/>
  <c r="DG41" i="6" s="1"/>
  <c r="M41" i="4"/>
  <c r="L41" i="4"/>
  <c r="K41" i="4"/>
  <c r="J41" i="4"/>
  <c r="I41" i="4"/>
  <c r="H41" i="4"/>
  <c r="CV41" i="6" s="1"/>
  <c r="F41" i="4"/>
  <c r="E41" i="4"/>
  <c r="D41" i="4"/>
  <c r="C41" i="4"/>
  <c r="B41" i="4"/>
  <c r="A41" i="4"/>
  <c r="BZ41" i="6" s="1"/>
  <c r="BC40" i="4"/>
  <c r="BB40" i="4"/>
  <c r="BA40" i="4"/>
  <c r="AZ40" i="4"/>
  <c r="AY40" i="4"/>
  <c r="AX40" i="4"/>
  <c r="CK40" i="6" s="1"/>
  <c r="AV40" i="4"/>
  <c r="AU40" i="4"/>
  <c r="AT40" i="4"/>
  <c r="AS40" i="4"/>
  <c r="AR40" i="4"/>
  <c r="AQ40" i="4"/>
  <c r="EY40" i="6" s="1"/>
  <c r="AO40" i="4"/>
  <c r="AN40" i="4"/>
  <c r="AM40" i="4"/>
  <c r="AL40" i="4"/>
  <c r="AK40" i="4"/>
  <c r="AJ40" i="4"/>
  <c r="EN40" i="6" s="1"/>
  <c r="AH40" i="4"/>
  <c r="AG40" i="4"/>
  <c r="AF40" i="4"/>
  <c r="AE40" i="4"/>
  <c r="AD40" i="4"/>
  <c r="AC40" i="4"/>
  <c r="EC40" i="6" s="1"/>
  <c r="AA40" i="4"/>
  <c r="Z40" i="4"/>
  <c r="Y40" i="4"/>
  <c r="X40" i="4"/>
  <c r="W40" i="4"/>
  <c r="V40" i="4"/>
  <c r="DR40" i="6" s="1"/>
  <c r="T40" i="4"/>
  <c r="S40" i="4"/>
  <c r="R40" i="4"/>
  <c r="Q40" i="4"/>
  <c r="P40" i="4"/>
  <c r="O40" i="4"/>
  <c r="DG40" i="6" s="1"/>
  <c r="M40" i="4"/>
  <c r="L40" i="4"/>
  <c r="K40" i="4"/>
  <c r="J40" i="4"/>
  <c r="I40" i="4"/>
  <c r="H40" i="4"/>
  <c r="CV40" i="6" s="1"/>
  <c r="F40" i="4"/>
  <c r="E40" i="4"/>
  <c r="D40" i="4"/>
  <c r="C40" i="4"/>
  <c r="B40" i="4"/>
  <c r="A40" i="4"/>
  <c r="BZ40" i="6" s="1"/>
  <c r="BC39" i="4"/>
  <c r="BB39" i="4"/>
  <c r="BA39" i="4"/>
  <c r="AZ39" i="4"/>
  <c r="AY39" i="4"/>
  <c r="AX39" i="4"/>
  <c r="CK39" i="6" s="1"/>
  <c r="AV39" i="4"/>
  <c r="AU39" i="4"/>
  <c r="AT39" i="4"/>
  <c r="AS39" i="4"/>
  <c r="AR39" i="4"/>
  <c r="AQ39" i="4"/>
  <c r="EY39" i="6" s="1"/>
  <c r="AO39" i="4"/>
  <c r="AN39" i="4"/>
  <c r="AM39" i="4"/>
  <c r="AL39" i="4"/>
  <c r="AK39" i="4"/>
  <c r="AJ39" i="4"/>
  <c r="EN39" i="6" s="1"/>
  <c r="AH39" i="4"/>
  <c r="AG39" i="4"/>
  <c r="AF39" i="4"/>
  <c r="AE39" i="4"/>
  <c r="AD39" i="4"/>
  <c r="AC39" i="4"/>
  <c r="EC39" i="6" s="1"/>
  <c r="AA39" i="4"/>
  <c r="Z39" i="4"/>
  <c r="Y39" i="4"/>
  <c r="X39" i="4"/>
  <c r="W39" i="4"/>
  <c r="V39" i="4"/>
  <c r="DR39" i="6" s="1"/>
  <c r="T39" i="4"/>
  <c r="S39" i="4"/>
  <c r="R39" i="4"/>
  <c r="Q39" i="4"/>
  <c r="P39" i="4"/>
  <c r="O39" i="4"/>
  <c r="DG39" i="6" s="1"/>
  <c r="M39" i="4"/>
  <c r="L39" i="4"/>
  <c r="K39" i="4"/>
  <c r="J39" i="4"/>
  <c r="I39" i="4"/>
  <c r="H39" i="4"/>
  <c r="CV39" i="6" s="1"/>
  <c r="F39" i="4"/>
  <c r="E39" i="4"/>
  <c r="D39" i="4"/>
  <c r="C39" i="4"/>
  <c r="B39" i="4"/>
  <c r="A39" i="4"/>
  <c r="BZ39" i="6" s="1"/>
  <c r="BC38" i="4"/>
  <c r="BB38" i="4"/>
  <c r="BA38" i="4"/>
  <c r="AZ38" i="4"/>
  <c r="AY38" i="4"/>
  <c r="AX38" i="4"/>
  <c r="CK38" i="6" s="1"/>
  <c r="AV38" i="4"/>
  <c r="AU38" i="4"/>
  <c r="AT38" i="4"/>
  <c r="AS38" i="4"/>
  <c r="AR38" i="4"/>
  <c r="AQ38" i="4"/>
  <c r="EY38" i="6" s="1"/>
  <c r="AO38" i="4"/>
  <c r="AN38" i="4"/>
  <c r="AM38" i="4"/>
  <c r="AL38" i="4"/>
  <c r="AK38" i="4"/>
  <c r="AJ38" i="4"/>
  <c r="EN38" i="6" s="1"/>
  <c r="AH38" i="4"/>
  <c r="AG38" i="4"/>
  <c r="AF38" i="4"/>
  <c r="AE38" i="4"/>
  <c r="AD38" i="4"/>
  <c r="AC38" i="4"/>
  <c r="EC38" i="6" s="1"/>
  <c r="AA38" i="4"/>
  <c r="Z38" i="4"/>
  <c r="Y38" i="4"/>
  <c r="X38" i="4"/>
  <c r="W38" i="4"/>
  <c r="V38" i="4"/>
  <c r="DR38" i="6" s="1"/>
  <c r="T38" i="4"/>
  <c r="S38" i="4"/>
  <c r="R38" i="4"/>
  <c r="Q38" i="4"/>
  <c r="P38" i="4"/>
  <c r="O38" i="4"/>
  <c r="DG38" i="6" s="1"/>
  <c r="M38" i="4"/>
  <c r="L38" i="4"/>
  <c r="K38" i="4"/>
  <c r="J38" i="4"/>
  <c r="I38" i="4"/>
  <c r="H38" i="4"/>
  <c r="CV38" i="6" s="1"/>
  <c r="F38" i="4"/>
  <c r="E38" i="4"/>
  <c r="D38" i="4"/>
  <c r="C38" i="4"/>
  <c r="B38" i="4"/>
  <c r="A38" i="4"/>
  <c r="BZ38" i="6" s="1"/>
  <c r="BC37" i="4"/>
  <c r="BB37" i="4"/>
  <c r="BA37" i="4"/>
  <c r="AZ37" i="4"/>
  <c r="AY37" i="4"/>
  <c r="AX37" i="4"/>
  <c r="CK37" i="6" s="1"/>
  <c r="AV37" i="4"/>
  <c r="AU37" i="4"/>
  <c r="AT37" i="4"/>
  <c r="AS37" i="4"/>
  <c r="AR37" i="4"/>
  <c r="AQ37" i="4"/>
  <c r="EY37" i="6" s="1"/>
  <c r="AO37" i="4"/>
  <c r="AN37" i="4"/>
  <c r="AM37" i="4"/>
  <c r="AL37" i="4"/>
  <c r="AK37" i="4"/>
  <c r="AJ37" i="4"/>
  <c r="EN37" i="6" s="1"/>
  <c r="AH37" i="4"/>
  <c r="AG37" i="4"/>
  <c r="AF37" i="4"/>
  <c r="AE37" i="4"/>
  <c r="AD37" i="4"/>
  <c r="AC37" i="4"/>
  <c r="EC37" i="6" s="1"/>
  <c r="AA37" i="4"/>
  <c r="Z37" i="4"/>
  <c r="Y37" i="4"/>
  <c r="X37" i="4"/>
  <c r="W37" i="4"/>
  <c r="V37" i="4"/>
  <c r="DR37" i="6" s="1"/>
  <c r="T37" i="4"/>
  <c r="S37" i="4"/>
  <c r="R37" i="4"/>
  <c r="Q37" i="4"/>
  <c r="P37" i="4"/>
  <c r="O37" i="4"/>
  <c r="DG37" i="6" s="1"/>
  <c r="M37" i="4"/>
  <c r="L37" i="4"/>
  <c r="K37" i="4"/>
  <c r="J37" i="4"/>
  <c r="I37" i="4"/>
  <c r="H37" i="4"/>
  <c r="CV37" i="6" s="1"/>
  <c r="F37" i="4"/>
  <c r="E37" i="4"/>
  <c r="D37" i="4"/>
  <c r="C37" i="4"/>
  <c r="B37" i="4"/>
  <c r="A37" i="4"/>
  <c r="BZ37" i="6" s="1"/>
  <c r="BC36" i="4"/>
  <c r="BB36" i="4"/>
  <c r="BA36" i="4"/>
  <c r="AZ36" i="4"/>
  <c r="AY36" i="4"/>
  <c r="AX36" i="4"/>
  <c r="CK36" i="6" s="1"/>
  <c r="AV36" i="4"/>
  <c r="AU36" i="4"/>
  <c r="AT36" i="4"/>
  <c r="AS36" i="4"/>
  <c r="AR36" i="4"/>
  <c r="AQ36" i="4"/>
  <c r="EY36" i="6" s="1"/>
  <c r="AO36" i="4"/>
  <c r="AN36" i="4"/>
  <c r="AM36" i="4"/>
  <c r="AL36" i="4"/>
  <c r="AK36" i="4"/>
  <c r="AJ36" i="4"/>
  <c r="EN36" i="6" s="1"/>
  <c r="AH36" i="4"/>
  <c r="AG36" i="4"/>
  <c r="AF36" i="4"/>
  <c r="AE36" i="4"/>
  <c r="AD36" i="4"/>
  <c r="AC36" i="4"/>
  <c r="EC36" i="6" s="1"/>
  <c r="AA36" i="4"/>
  <c r="Z36" i="4"/>
  <c r="Y36" i="4"/>
  <c r="X36" i="4"/>
  <c r="W36" i="4"/>
  <c r="V36" i="4"/>
  <c r="DR36" i="6" s="1"/>
  <c r="T36" i="4"/>
  <c r="S36" i="4"/>
  <c r="R36" i="4"/>
  <c r="Q36" i="4"/>
  <c r="P36" i="4"/>
  <c r="O36" i="4"/>
  <c r="DG36" i="6" s="1"/>
  <c r="M36" i="4"/>
  <c r="L36" i="4"/>
  <c r="K36" i="4"/>
  <c r="J36" i="4"/>
  <c r="I36" i="4"/>
  <c r="H36" i="4"/>
  <c r="CV36" i="6" s="1"/>
  <c r="F36" i="4"/>
  <c r="E36" i="4"/>
  <c r="D36" i="4"/>
  <c r="C36" i="4"/>
  <c r="B36" i="4"/>
  <c r="A36" i="4"/>
  <c r="BZ36" i="6" s="1"/>
  <c r="BC35" i="4"/>
  <c r="BB35" i="4"/>
  <c r="BA35" i="4"/>
  <c r="AZ35" i="4"/>
  <c r="AY35" i="4"/>
  <c r="AX35" i="4"/>
  <c r="CK35" i="6" s="1"/>
  <c r="AV35" i="4"/>
  <c r="AU35" i="4"/>
  <c r="AT35" i="4"/>
  <c r="AS35" i="4"/>
  <c r="AR35" i="4"/>
  <c r="AQ35" i="4"/>
  <c r="EY35" i="6" s="1"/>
  <c r="AO35" i="4"/>
  <c r="AN35" i="4"/>
  <c r="AM35" i="4"/>
  <c r="AL35" i="4"/>
  <c r="AK35" i="4"/>
  <c r="AJ35" i="4"/>
  <c r="EN35" i="6" s="1"/>
  <c r="AH35" i="4"/>
  <c r="AG35" i="4"/>
  <c r="AF35" i="4"/>
  <c r="AE35" i="4"/>
  <c r="AD35" i="4"/>
  <c r="AC35" i="4"/>
  <c r="EC35" i="6" s="1"/>
  <c r="AA35" i="4"/>
  <c r="Z35" i="4"/>
  <c r="Y35" i="4"/>
  <c r="X35" i="4"/>
  <c r="W35" i="4"/>
  <c r="V35" i="4"/>
  <c r="DR35" i="6" s="1"/>
  <c r="T35" i="4"/>
  <c r="S35" i="4"/>
  <c r="R35" i="4"/>
  <c r="Q35" i="4"/>
  <c r="P35" i="4"/>
  <c r="O35" i="4"/>
  <c r="DG35" i="6" s="1"/>
  <c r="M35" i="4"/>
  <c r="L35" i="4"/>
  <c r="K35" i="4"/>
  <c r="J35" i="4"/>
  <c r="I35" i="4"/>
  <c r="H35" i="4"/>
  <c r="CV35" i="6" s="1"/>
  <c r="F35" i="4"/>
  <c r="E35" i="4"/>
  <c r="D35" i="4"/>
  <c r="C35" i="4"/>
  <c r="B35" i="4"/>
  <c r="A35" i="4"/>
  <c r="BZ35" i="6" s="1"/>
  <c r="BC34" i="4"/>
  <c r="BB34" i="4"/>
  <c r="BA34" i="4"/>
  <c r="AZ34" i="4"/>
  <c r="AY34" i="4"/>
  <c r="AX34" i="4"/>
  <c r="CK34" i="6" s="1"/>
  <c r="AV34" i="4"/>
  <c r="AU34" i="4"/>
  <c r="AT34" i="4"/>
  <c r="AS34" i="4"/>
  <c r="AR34" i="4"/>
  <c r="AQ34" i="4"/>
  <c r="EY34" i="6" s="1"/>
  <c r="AO34" i="4"/>
  <c r="AN34" i="4"/>
  <c r="AM34" i="4"/>
  <c r="AL34" i="4"/>
  <c r="AK34" i="4"/>
  <c r="AJ34" i="4"/>
  <c r="EN34" i="6" s="1"/>
  <c r="AH34" i="4"/>
  <c r="AG34" i="4"/>
  <c r="AF34" i="4"/>
  <c r="AE34" i="4"/>
  <c r="AD34" i="4"/>
  <c r="AC34" i="4"/>
  <c r="EC34" i="6" s="1"/>
  <c r="AA34" i="4"/>
  <c r="Z34" i="4"/>
  <c r="Y34" i="4"/>
  <c r="X34" i="4"/>
  <c r="W34" i="4"/>
  <c r="V34" i="4"/>
  <c r="DR34" i="6" s="1"/>
  <c r="T34" i="4"/>
  <c r="S34" i="4"/>
  <c r="R34" i="4"/>
  <c r="Q34" i="4"/>
  <c r="P34" i="4"/>
  <c r="O34" i="4"/>
  <c r="DG34" i="6" s="1"/>
  <c r="M34" i="4"/>
  <c r="L34" i="4"/>
  <c r="K34" i="4"/>
  <c r="J34" i="4"/>
  <c r="I34" i="4"/>
  <c r="H34" i="4"/>
  <c r="CV34" i="6" s="1"/>
  <c r="F34" i="4"/>
  <c r="E34" i="4"/>
  <c r="D34" i="4"/>
  <c r="C34" i="4"/>
  <c r="B34" i="4"/>
  <c r="A34" i="4"/>
  <c r="BZ34" i="6" s="1"/>
  <c r="BC33" i="4"/>
  <c r="BB33" i="4"/>
  <c r="BA33" i="4"/>
  <c r="AZ33" i="4"/>
  <c r="AY33" i="4"/>
  <c r="AX33" i="4"/>
  <c r="CK33" i="6" s="1"/>
  <c r="AV33" i="4"/>
  <c r="AU33" i="4"/>
  <c r="AT33" i="4"/>
  <c r="AS33" i="4"/>
  <c r="AR33" i="4"/>
  <c r="AQ33" i="4"/>
  <c r="EY33" i="6" s="1"/>
  <c r="AO33" i="4"/>
  <c r="AN33" i="4"/>
  <c r="AM33" i="4"/>
  <c r="AL33" i="4"/>
  <c r="AK33" i="4"/>
  <c r="AJ33" i="4"/>
  <c r="EN33" i="6" s="1"/>
  <c r="AH33" i="4"/>
  <c r="AG33" i="4"/>
  <c r="AF33" i="4"/>
  <c r="AE33" i="4"/>
  <c r="AD33" i="4"/>
  <c r="AC33" i="4"/>
  <c r="EC33" i="6" s="1"/>
  <c r="AA33" i="4"/>
  <c r="Z33" i="4"/>
  <c r="Y33" i="4"/>
  <c r="X33" i="4"/>
  <c r="W33" i="4"/>
  <c r="V33" i="4"/>
  <c r="DR33" i="6" s="1"/>
  <c r="T33" i="4"/>
  <c r="S33" i="4"/>
  <c r="R33" i="4"/>
  <c r="Q33" i="4"/>
  <c r="P33" i="4"/>
  <c r="O33" i="4"/>
  <c r="DG33" i="6" s="1"/>
  <c r="M33" i="4"/>
  <c r="L33" i="4"/>
  <c r="K33" i="4"/>
  <c r="J33" i="4"/>
  <c r="I33" i="4"/>
  <c r="H33" i="4"/>
  <c r="CV33" i="6" s="1"/>
  <c r="F33" i="4"/>
  <c r="E33" i="4"/>
  <c r="D33" i="4"/>
  <c r="C33" i="4"/>
  <c r="B33" i="4"/>
  <c r="A33" i="4"/>
  <c r="BZ33" i="6" s="1"/>
  <c r="BC32" i="4"/>
  <c r="BB32" i="4"/>
  <c r="BA32" i="4"/>
  <c r="AZ32" i="4"/>
  <c r="AY32" i="4"/>
  <c r="AX32" i="4"/>
  <c r="CK32" i="6" s="1"/>
  <c r="AV32" i="4"/>
  <c r="AU32" i="4"/>
  <c r="AT32" i="4"/>
  <c r="AS32" i="4"/>
  <c r="AR32" i="4"/>
  <c r="AQ32" i="4"/>
  <c r="EY32" i="6" s="1"/>
  <c r="AO32" i="4"/>
  <c r="AN32" i="4"/>
  <c r="AM32" i="4"/>
  <c r="AL32" i="4"/>
  <c r="AK32" i="4"/>
  <c r="AJ32" i="4"/>
  <c r="EN32" i="6" s="1"/>
  <c r="AH32" i="4"/>
  <c r="AG32" i="4"/>
  <c r="AF32" i="4"/>
  <c r="AE32" i="4"/>
  <c r="AD32" i="4"/>
  <c r="AC32" i="4"/>
  <c r="EC32" i="6" s="1"/>
  <c r="AA32" i="4"/>
  <c r="Z32" i="4"/>
  <c r="Y32" i="4"/>
  <c r="X32" i="4"/>
  <c r="W32" i="4"/>
  <c r="V32" i="4"/>
  <c r="DR32" i="6" s="1"/>
  <c r="T32" i="4"/>
  <c r="S32" i="4"/>
  <c r="R32" i="4"/>
  <c r="Q32" i="4"/>
  <c r="P32" i="4"/>
  <c r="O32" i="4"/>
  <c r="DG32" i="6" s="1"/>
  <c r="M32" i="4"/>
  <c r="L32" i="4"/>
  <c r="K32" i="4"/>
  <c r="J32" i="4"/>
  <c r="I32" i="4"/>
  <c r="H32" i="4"/>
  <c r="CV32" i="6" s="1"/>
  <c r="F32" i="4"/>
  <c r="E32" i="4"/>
  <c r="D32" i="4"/>
  <c r="C32" i="4"/>
  <c r="B32" i="4"/>
  <c r="A32" i="4"/>
  <c r="BZ32" i="6" s="1"/>
  <c r="BC31" i="4"/>
  <c r="BB31" i="4"/>
  <c r="BA31" i="4"/>
  <c r="AZ31" i="4"/>
  <c r="AY31" i="4"/>
  <c r="AX31" i="4"/>
  <c r="CK31" i="6" s="1"/>
  <c r="AV31" i="4"/>
  <c r="AU31" i="4"/>
  <c r="AT31" i="4"/>
  <c r="AS31" i="4"/>
  <c r="AR31" i="4"/>
  <c r="AQ31" i="4"/>
  <c r="EY31" i="6" s="1"/>
  <c r="AO31" i="4"/>
  <c r="AN31" i="4"/>
  <c r="AM31" i="4"/>
  <c r="AL31" i="4"/>
  <c r="AK31" i="4"/>
  <c r="AJ31" i="4"/>
  <c r="EN31" i="6" s="1"/>
  <c r="AH31" i="4"/>
  <c r="AG31" i="4"/>
  <c r="AF31" i="4"/>
  <c r="AE31" i="4"/>
  <c r="AD31" i="4"/>
  <c r="AC31" i="4"/>
  <c r="EC31" i="6" s="1"/>
  <c r="AA31" i="4"/>
  <c r="Z31" i="4"/>
  <c r="Y31" i="4"/>
  <c r="X31" i="4"/>
  <c r="W31" i="4"/>
  <c r="V31" i="4"/>
  <c r="DR31" i="6" s="1"/>
  <c r="T31" i="4"/>
  <c r="S31" i="4"/>
  <c r="R31" i="4"/>
  <c r="Q31" i="4"/>
  <c r="P31" i="4"/>
  <c r="O31" i="4"/>
  <c r="DG31" i="6" s="1"/>
  <c r="M31" i="4"/>
  <c r="L31" i="4"/>
  <c r="K31" i="4"/>
  <c r="J31" i="4"/>
  <c r="I31" i="4"/>
  <c r="H31" i="4"/>
  <c r="CV31" i="6" s="1"/>
  <c r="F31" i="4"/>
  <c r="E31" i="4"/>
  <c r="D31" i="4"/>
  <c r="C31" i="4"/>
  <c r="B31" i="4"/>
  <c r="A31" i="4"/>
  <c r="BZ31" i="6" s="1"/>
  <c r="BC30" i="4"/>
  <c r="BB30" i="4"/>
  <c r="BA30" i="4"/>
  <c r="AZ30" i="4"/>
  <c r="AY30" i="4"/>
  <c r="AX30" i="4"/>
  <c r="CK30" i="6" s="1"/>
  <c r="AV30" i="4"/>
  <c r="AU30" i="4"/>
  <c r="AT30" i="4"/>
  <c r="AS30" i="4"/>
  <c r="AR30" i="4"/>
  <c r="AQ30" i="4"/>
  <c r="EY30" i="6" s="1"/>
  <c r="AO30" i="4"/>
  <c r="AN30" i="4"/>
  <c r="AM30" i="4"/>
  <c r="AL30" i="4"/>
  <c r="AK30" i="4"/>
  <c r="AJ30" i="4"/>
  <c r="EN30" i="6" s="1"/>
  <c r="AH30" i="4"/>
  <c r="AG30" i="4"/>
  <c r="AF30" i="4"/>
  <c r="AE30" i="4"/>
  <c r="AD30" i="4"/>
  <c r="AC30" i="4"/>
  <c r="EC30" i="6" s="1"/>
  <c r="AA30" i="4"/>
  <c r="Z30" i="4"/>
  <c r="Y30" i="4"/>
  <c r="X30" i="4"/>
  <c r="W30" i="4"/>
  <c r="V30" i="4"/>
  <c r="DR30" i="6" s="1"/>
  <c r="T30" i="4"/>
  <c r="S30" i="4"/>
  <c r="R30" i="4"/>
  <c r="Q30" i="4"/>
  <c r="P30" i="4"/>
  <c r="O30" i="4"/>
  <c r="DG30" i="6" s="1"/>
  <c r="M30" i="4"/>
  <c r="L30" i="4"/>
  <c r="K30" i="4"/>
  <c r="J30" i="4"/>
  <c r="I30" i="4"/>
  <c r="H30" i="4"/>
  <c r="CV30" i="6" s="1"/>
  <c r="F30" i="4"/>
  <c r="E30" i="4"/>
  <c r="D30" i="4"/>
  <c r="C30" i="4"/>
  <c r="B30" i="4"/>
  <c r="A30" i="4"/>
  <c r="BZ30" i="6" s="1"/>
  <c r="BC29" i="4"/>
  <c r="BB29" i="4"/>
  <c r="BA29" i="4"/>
  <c r="AZ29" i="4"/>
  <c r="AY29" i="4"/>
  <c r="AX29" i="4"/>
  <c r="CK29" i="6" s="1"/>
  <c r="AV29" i="4"/>
  <c r="AU29" i="4"/>
  <c r="AT29" i="4"/>
  <c r="AS29" i="4"/>
  <c r="AR29" i="4"/>
  <c r="AQ29" i="4"/>
  <c r="EY29" i="6" s="1"/>
  <c r="AO29" i="4"/>
  <c r="AN29" i="4"/>
  <c r="AM29" i="4"/>
  <c r="AL29" i="4"/>
  <c r="AK29" i="4"/>
  <c r="AJ29" i="4"/>
  <c r="EN29" i="6" s="1"/>
  <c r="AH29" i="4"/>
  <c r="AG29" i="4"/>
  <c r="AF29" i="4"/>
  <c r="AE29" i="4"/>
  <c r="AD29" i="4"/>
  <c r="AC29" i="4"/>
  <c r="EC29" i="6" s="1"/>
  <c r="AA29" i="4"/>
  <c r="Z29" i="4"/>
  <c r="Y29" i="4"/>
  <c r="X29" i="4"/>
  <c r="W29" i="4"/>
  <c r="V29" i="4"/>
  <c r="DR29" i="6" s="1"/>
  <c r="T29" i="4"/>
  <c r="S29" i="4"/>
  <c r="R29" i="4"/>
  <c r="Q29" i="4"/>
  <c r="P29" i="4"/>
  <c r="O29" i="4"/>
  <c r="DG29" i="6" s="1"/>
  <c r="M29" i="4"/>
  <c r="L29" i="4"/>
  <c r="K29" i="4"/>
  <c r="J29" i="4"/>
  <c r="I29" i="4"/>
  <c r="H29" i="4"/>
  <c r="CV29" i="6" s="1"/>
  <c r="F29" i="4"/>
  <c r="E29" i="4"/>
  <c r="D29" i="4"/>
  <c r="C29" i="4"/>
  <c r="B29" i="4"/>
  <c r="A29" i="4"/>
  <c r="BZ29" i="6" s="1"/>
  <c r="BC28" i="4"/>
  <c r="BB28" i="4"/>
  <c r="BA28" i="4"/>
  <c r="AZ28" i="4"/>
  <c r="AY28" i="4"/>
  <c r="AX28" i="4"/>
  <c r="CK28" i="6" s="1"/>
  <c r="AV28" i="4"/>
  <c r="AU28" i="4"/>
  <c r="AT28" i="4"/>
  <c r="AS28" i="4"/>
  <c r="AR28" i="4"/>
  <c r="AQ28" i="4"/>
  <c r="EY28" i="6" s="1"/>
  <c r="AO28" i="4"/>
  <c r="AN28" i="4"/>
  <c r="AM28" i="4"/>
  <c r="AL28" i="4"/>
  <c r="AK28" i="4"/>
  <c r="AJ28" i="4"/>
  <c r="EN28" i="6" s="1"/>
  <c r="AH28" i="4"/>
  <c r="AG28" i="4"/>
  <c r="AF28" i="4"/>
  <c r="AE28" i="4"/>
  <c r="AD28" i="4"/>
  <c r="AC28" i="4"/>
  <c r="EC28" i="6" s="1"/>
  <c r="AA28" i="4"/>
  <c r="Z28" i="4"/>
  <c r="Y28" i="4"/>
  <c r="X28" i="4"/>
  <c r="W28" i="4"/>
  <c r="V28" i="4"/>
  <c r="DR28" i="6" s="1"/>
  <c r="T28" i="4"/>
  <c r="S28" i="4"/>
  <c r="R28" i="4"/>
  <c r="Q28" i="4"/>
  <c r="P28" i="4"/>
  <c r="O28" i="4"/>
  <c r="DG28" i="6" s="1"/>
  <c r="M28" i="4"/>
  <c r="L28" i="4"/>
  <c r="K28" i="4"/>
  <c r="J28" i="4"/>
  <c r="I28" i="4"/>
  <c r="H28" i="4"/>
  <c r="CV28" i="6" s="1"/>
  <c r="F28" i="4"/>
  <c r="E28" i="4"/>
  <c r="D28" i="4"/>
  <c r="C28" i="4"/>
  <c r="B28" i="4"/>
  <c r="A28" i="4"/>
  <c r="BZ28" i="6" s="1"/>
  <c r="BC27" i="4"/>
  <c r="BB27" i="4"/>
  <c r="BA27" i="4"/>
  <c r="AZ27" i="4"/>
  <c r="AY27" i="4"/>
  <c r="AX27" i="4"/>
  <c r="CK27" i="6" s="1"/>
  <c r="AV27" i="4"/>
  <c r="AU27" i="4"/>
  <c r="AT27" i="4"/>
  <c r="AS27" i="4"/>
  <c r="AR27" i="4"/>
  <c r="AQ27" i="4"/>
  <c r="EY27" i="6" s="1"/>
  <c r="AO27" i="4"/>
  <c r="AN27" i="4"/>
  <c r="AM27" i="4"/>
  <c r="AL27" i="4"/>
  <c r="AK27" i="4"/>
  <c r="AJ27" i="4"/>
  <c r="EN27" i="6" s="1"/>
  <c r="AH27" i="4"/>
  <c r="AG27" i="4"/>
  <c r="AF27" i="4"/>
  <c r="AE27" i="4"/>
  <c r="AD27" i="4"/>
  <c r="AC27" i="4"/>
  <c r="EC27" i="6" s="1"/>
  <c r="AA27" i="4"/>
  <c r="Z27" i="4"/>
  <c r="Y27" i="4"/>
  <c r="X27" i="4"/>
  <c r="W27" i="4"/>
  <c r="V27" i="4"/>
  <c r="DR27" i="6" s="1"/>
  <c r="T27" i="4"/>
  <c r="S27" i="4"/>
  <c r="R27" i="4"/>
  <c r="Q27" i="4"/>
  <c r="P27" i="4"/>
  <c r="O27" i="4"/>
  <c r="DG27" i="6" s="1"/>
  <c r="M27" i="4"/>
  <c r="L27" i="4"/>
  <c r="K27" i="4"/>
  <c r="J27" i="4"/>
  <c r="I27" i="4"/>
  <c r="H27" i="4"/>
  <c r="CV27" i="6" s="1"/>
  <c r="F27" i="4"/>
  <c r="E27" i="4"/>
  <c r="D27" i="4"/>
  <c r="C27" i="4"/>
  <c r="B27" i="4"/>
  <c r="A27" i="4"/>
  <c r="BZ27" i="6" s="1"/>
  <c r="BC26" i="4"/>
  <c r="BB26" i="4"/>
  <c r="BA26" i="4"/>
  <c r="AZ26" i="4"/>
  <c r="AY26" i="4"/>
  <c r="AX26" i="4"/>
  <c r="CK26" i="6" s="1"/>
  <c r="AV26" i="4"/>
  <c r="AU26" i="4"/>
  <c r="AT26" i="4"/>
  <c r="AS26" i="4"/>
  <c r="AR26" i="4"/>
  <c r="AQ26" i="4"/>
  <c r="EY26" i="6" s="1"/>
  <c r="AO26" i="4"/>
  <c r="AN26" i="4"/>
  <c r="AM26" i="4"/>
  <c r="AL26" i="4"/>
  <c r="AK26" i="4"/>
  <c r="AJ26" i="4"/>
  <c r="EN26" i="6" s="1"/>
  <c r="AH26" i="4"/>
  <c r="AG26" i="4"/>
  <c r="AF26" i="4"/>
  <c r="AE26" i="4"/>
  <c r="AD26" i="4"/>
  <c r="AC26" i="4"/>
  <c r="EC26" i="6" s="1"/>
  <c r="AA26" i="4"/>
  <c r="Z26" i="4"/>
  <c r="Y26" i="4"/>
  <c r="X26" i="4"/>
  <c r="W26" i="4"/>
  <c r="V26" i="4"/>
  <c r="DR26" i="6" s="1"/>
  <c r="T26" i="4"/>
  <c r="S26" i="4"/>
  <c r="R26" i="4"/>
  <c r="Q26" i="4"/>
  <c r="P26" i="4"/>
  <c r="O26" i="4"/>
  <c r="DG26" i="6" s="1"/>
  <c r="M26" i="4"/>
  <c r="L26" i="4"/>
  <c r="K26" i="4"/>
  <c r="J26" i="4"/>
  <c r="I26" i="4"/>
  <c r="H26" i="4"/>
  <c r="CV26" i="6" s="1"/>
  <c r="F26" i="4"/>
  <c r="E26" i="4"/>
  <c r="D26" i="4"/>
  <c r="C26" i="4"/>
  <c r="B26" i="4"/>
  <c r="A26" i="4"/>
  <c r="BZ26" i="6" s="1"/>
  <c r="BC25" i="4"/>
  <c r="BB25" i="4"/>
  <c r="BA25" i="4"/>
  <c r="AZ25" i="4"/>
  <c r="AY25" i="4"/>
  <c r="AX25" i="4"/>
  <c r="CK25" i="6" s="1"/>
  <c r="AV25" i="4"/>
  <c r="AU25" i="4"/>
  <c r="AT25" i="4"/>
  <c r="AS25" i="4"/>
  <c r="AR25" i="4"/>
  <c r="AQ25" i="4"/>
  <c r="EY25" i="6" s="1"/>
  <c r="AO25" i="4"/>
  <c r="AN25" i="4"/>
  <c r="AM25" i="4"/>
  <c r="AL25" i="4"/>
  <c r="AK25" i="4"/>
  <c r="AJ25" i="4"/>
  <c r="EN25" i="6" s="1"/>
  <c r="AH25" i="4"/>
  <c r="AG25" i="4"/>
  <c r="AF25" i="4"/>
  <c r="AE25" i="4"/>
  <c r="AD25" i="4"/>
  <c r="AC25" i="4"/>
  <c r="EC25" i="6" s="1"/>
  <c r="AA25" i="4"/>
  <c r="Z25" i="4"/>
  <c r="Y25" i="4"/>
  <c r="X25" i="4"/>
  <c r="W25" i="4"/>
  <c r="V25" i="4"/>
  <c r="DR25" i="6" s="1"/>
  <c r="T25" i="4"/>
  <c r="S25" i="4"/>
  <c r="R25" i="4"/>
  <c r="Q25" i="4"/>
  <c r="P25" i="4"/>
  <c r="O25" i="4"/>
  <c r="DG25" i="6" s="1"/>
  <c r="M25" i="4"/>
  <c r="L25" i="4"/>
  <c r="K25" i="4"/>
  <c r="J25" i="4"/>
  <c r="I25" i="4"/>
  <c r="H25" i="4"/>
  <c r="CV25" i="6" s="1"/>
  <c r="F25" i="4"/>
  <c r="E25" i="4"/>
  <c r="D25" i="4"/>
  <c r="C25" i="4"/>
  <c r="B25" i="4"/>
  <c r="A25" i="4"/>
  <c r="BZ25" i="6" s="1"/>
  <c r="BC24" i="4"/>
  <c r="BB24" i="4"/>
  <c r="BA24" i="4"/>
  <c r="AZ24" i="4"/>
  <c r="AY24" i="4"/>
  <c r="AX24" i="4"/>
  <c r="CK24" i="6" s="1"/>
  <c r="AV24" i="4"/>
  <c r="AU24" i="4"/>
  <c r="AT24" i="4"/>
  <c r="AS24" i="4"/>
  <c r="AR24" i="4"/>
  <c r="AQ24" i="4"/>
  <c r="EY24" i="6" s="1"/>
  <c r="AO24" i="4"/>
  <c r="AN24" i="4"/>
  <c r="AM24" i="4"/>
  <c r="AL24" i="4"/>
  <c r="AK24" i="4"/>
  <c r="AJ24" i="4"/>
  <c r="EN24" i="6" s="1"/>
  <c r="AH24" i="4"/>
  <c r="AG24" i="4"/>
  <c r="AF24" i="4"/>
  <c r="AE24" i="4"/>
  <c r="AD24" i="4"/>
  <c r="AC24" i="4"/>
  <c r="EC24" i="6" s="1"/>
  <c r="AA24" i="4"/>
  <c r="Z24" i="4"/>
  <c r="Y24" i="4"/>
  <c r="X24" i="4"/>
  <c r="W24" i="4"/>
  <c r="V24" i="4"/>
  <c r="DR24" i="6" s="1"/>
  <c r="T24" i="4"/>
  <c r="S24" i="4"/>
  <c r="R24" i="4"/>
  <c r="Q24" i="4"/>
  <c r="P24" i="4"/>
  <c r="O24" i="4"/>
  <c r="DG24" i="6" s="1"/>
  <c r="M24" i="4"/>
  <c r="L24" i="4"/>
  <c r="K24" i="4"/>
  <c r="J24" i="4"/>
  <c r="I24" i="4"/>
  <c r="H24" i="4"/>
  <c r="CV24" i="6" s="1"/>
  <c r="F24" i="4"/>
  <c r="E24" i="4"/>
  <c r="D24" i="4"/>
  <c r="C24" i="4"/>
  <c r="B24" i="4"/>
  <c r="A24" i="4"/>
  <c r="BZ24" i="6" s="1"/>
  <c r="BC23" i="4"/>
  <c r="BB23" i="4"/>
  <c r="BA23" i="4"/>
  <c r="AZ23" i="4"/>
  <c r="AY23" i="4"/>
  <c r="AX23" i="4"/>
  <c r="CK23" i="6" s="1"/>
  <c r="AV23" i="4"/>
  <c r="AU23" i="4"/>
  <c r="AT23" i="4"/>
  <c r="AS23" i="4"/>
  <c r="AR23" i="4"/>
  <c r="AQ23" i="4"/>
  <c r="EY23" i="6" s="1"/>
  <c r="AO23" i="4"/>
  <c r="AN23" i="4"/>
  <c r="AM23" i="4"/>
  <c r="AL23" i="4"/>
  <c r="AK23" i="4"/>
  <c r="AJ23" i="4"/>
  <c r="EN23" i="6" s="1"/>
  <c r="AH23" i="4"/>
  <c r="AG23" i="4"/>
  <c r="AF23" i="4"/>
  <c r="AE23" i="4"/>
  <c r="AD23" i="4"/>
  <c r="AC23" i="4"/>
  <c r="EC23" i="6" s="1"/>
  <c r="AA23" i="4"/>
  <c r="Z23" i="4"/>
  <c r="Y23" i="4"/>
  <c r="X23" i="4"/>
  <c r="W23" i="4"/>
  <c r="V23" i="4"/>
  <c r="DR23" i="6" s="1"/>
  <c r="T23" i="4"/>
  <c r="S23" i="4"/>
  <c r="R23" i="4"/>
  <c r="Q23" i="4"/>
  <c r="P23" i="4"/>
  <c r="O23" i="4"/>
  <c r="DG23" i="6" s="1"/>
  <c r="M23" i="4"/>
  <c r="L23" i="4"/>
  <c r="K23" i="4"/>
  <c r="J23" i="4"/>
  <c r="I23" i="4"/>
  <c r="H23" i="4"/>
  <c r="CV23" i="6" s="1"/>
  <c r="F23" i="4"/>
  <c r="E23" i="4"/>
  <c r="D23" i="4"/>
  <c r="C23" i="4"/>
  <c r="B23" i="4"/>
  <c r="A23" i="4"/>
  <c r="BZ23" i="6" s="1"/>
  <c r="BC22" i="4"/>
  <c r="BB22" i="4"/>
  <c r="BA22" i="4"/>
  <c r="AZ22" i="4"/>
  <c r="AY22" i="4"/>
  <c r="AX22" i="4"/>
  <c r="CK22" i="6" s="1"/>
  <c r="AV22" i="4"/>
  <c r="AU22" i="4"/>
  <c r="AT22" i="4"/>
  <c r="AS22" i="4"/>
  <c r="AR22" i="4"/>
  <c r="AQ22" i="4"/>
  <c r="EY22" i="6" s="1"/>
  <c r="AO22" i="4"/>
  <c r="AN22" i="4"/>
  <c r="AM22" i="4"/>
  <c r="AL22" i="4"/>
  <c r="AK22" i="4"/>
  <c r="AJ22" i="4"/>
  <c r="EN22" i="6" s="1"/>
  <c r="AH22" i="4"/>
  <c r="AG22" i="4"/>
  <c r="AF22" i="4"/>
  <c r="AE22" i="4"/>
  <c r="AD22" i="4"/>
  <c r="AC22" i="4"/>
  <c r="EC22" i="6" s="1"/>
  <c r="AA22" i="4"/>
  <c r="Z22" i="4"/>
  <c r="Y22" i="4"/>
  <c r="X22" i="4"/>
  <c r="W22" i="4"/>
  <c r="V22" i="4"/>
  <c r="DR22" i="6" s="1"/>
  <c r="T22" i="4"/>
  <c r="S22" i="4"/>
  <c r="R22" i="4"/>
  <c r="Q22" i="4"/>
  <c r="P22" i="4"/>
  <c r="O22" i="4"/>
  <c r="DG22" i="6" s="1"/>
  <c r="M22" i="4"/>
  <c r="L22" i="4"/>
  <c r="K22" i="4"/>
  <c r="J22" i="4"/>
  <c r="I22" i="4"/>
  <c r="H22" i="4"/>
  <c r="CV22" i="6" s="1"/>
  <c r="F22" i="4"/>
  <c r="E22" i="4"/>
  <c r="D22" i="4"/>
  <c r="C22" i="4"/>
  <c r="B22" i="4"/>
  <c r="A22" i="4"/>
  <c r="BZ22" i="6" s="1"/>
  <c r="BC21" i="4"/>
  <c r="BB21" i="4"/>
  <c r="BA21" i="4"/>
  <c r="AZ21" i="4"/>
  <c r="AY21" i="4"/>
  <c r="AX21" i="4"/>
  <c r="CK21" i="6" s="1"/>
  <c r="AV21" i="4"/>
  <c r="AU21" i="4"/>
  <c r="AT21" i="4"/>
  <c r="AS21" i="4"/>
  <c r="AR21" i="4"/>
  <c r="AQ21" i="4"/>
  <c r="EY21" i="6" s="1"/>
  <c r="AO21" i="4"/>
  <c r="AN21" i="4"/>
  <c r="AM21" i="4"/>
  <c r="AL21" i="4"/>
  <c r="AK21" i="4"/>
  <c r="AJ21" i="4"/>
  <c r="EN21" i="6" s="1"/>
  <c r="AH21" i="4"/>
  <c r="AG21" i="4"/>
  <c r="AF21" i="4"/>
  <c r="AE21" i="4"/>
  <c r="AD21" i="4"/>
  <c r="AC21" i="4"/>
  <c r="EC21" i="6" s="1"/>
  <c r="AA21" i="4"/>
  <c r="Z21" i="4"/>
  <c r="Y21" i="4"/>
  <c r="X21" i="4"/>
  <c r="W21" i="4"/>
  <c r="V21" i="4"/>
  <c r="DR21" i="6" s="1"/>
  <c r="T21" i="4"/>
  <c r="S21" i="4"/>
  <c r="R21" i="4"/>
  <c r="Q21" i="4"/>
  <c r="P21" i="4"/>
  <c r="O21" i="4"/>
  <c r="DG21" i="6" s="1"/>
  <c r="M21" i="4"/>
  <c r="L21" i="4"/>
  <c r="K21" i="4"/>
  <c r="J21" i="4"/>
  <c r="I21" i="4"/>
  <c r="H21" i="4"/>
  <c r="CV21" i="6" s="1"/>
  <c r="F21" i="4"/>
  <c r="E21" i="4"/>
  <c r="D21" i="4"/>
  <c r="C21" i="4"/>
  <c r="B21" i="4"/>
  <c r="A21" i="4"/>
  <c r="BZ21" i="6" s="1"/>
  <c r="BC20" i="4"/>
  <c r="BB20" i="4"/>
  <c r="BA20" i="4"/>
  <c r="AZ20" i="4"/>
  <c r="AY20" i="4"/>
  <c r="AX20" i="4"/>
  <c r="CK20" i="6" s="1"/>
  <c r="AV20" i="4"/>
  <c r="AU20" i="4"/>
  <c r="AT20" i="4"/>
  <c r="AS20" i="4"/>
  <c r="AR20" i="4"/>
  <c r="AQ20" i="4"/>
  <c r="EY20" i="6" s="1"/>
  <c r="AO20" i="4"/>
  <c r="AN20" i="4"/>
  <c r="AM20" i="4"/>
  <c r="AL20" i="4"/>
  <c r="AK20" i="4"/>
  <c r="AJ20" i="4"/>
  <c r="EN20" i="6" s="1"/>
  <c r="AH20" i="4"/>
  <c r="AG20" i="4"/>
  <c r="AF20" i="4"/>
  <c r="AE20" i="4"/>
  <c r="AD20" i="4"/>
  <c r="AC20" i="4"/>
  <c r="EC20" i="6" s="1"/>
  <c r="AA20" i="4"/>
  <c r="Z20" i="4"/>
  <c r="Y20" i="4"/>
  <c r="X20" i="4"/>
  <c r="W20" i="4"/>
  <c r="V20" i="4"/>
  <c r="DR20" i="6" s="1"/>
  <c r="T20" i="4"/>
  <c r="S20" i="4"/>
  <c r="R20" i="4"/>
  <c r="Q20" i="4"/>
  <c r="P20" i="4"/>
  <c r="O20" i="4"/>
  <c r="DG20" i="6" s="1"/>
  <c r="M20" i="4"/>
  <c r="L20" i="4"/>
  <c r="K20" i="4"/>
  <c r="J20" i="4"/>
  <c r="I20" i="4"/>
  <c r="H20" i="4"/>
  <c r="CV20" i="6" s="1"/>
  <c r="F20" i="4"/>
  <c r="E20" i="4"/>
  <c r="D20" i="4"/>
  <c r="C20" i="4"/>
  <c r="B20" i="4"/>
  <c r="A20" i="4"/>
  <c r="BZ20" i="6" s="1"/>
  <c r="BC19" i="4"/>
  <c r="BB19" i="4"/>
  <c r="BA19" i="4"/>
  <c r="AZ19" i="4"/>
  <c r="AY19" i="4"/>
  <c r="AX19" i="4"/>
  <c r="CK19" i="6" s="1"/>
  <c r="AV19" i="4"/>
  <c r="AU19" i="4"/>
  <c r="AT19" i="4"/>
  <c r="AS19" i="4"/>
  <c r="AR19" i="4"/>
  <c r="AQ19" i="4"/>
  <c r="EY19" i="6" s="1"/>
  <c r="AO19" i="4"/>
  <c r="AN19" i="4"/>
  <c r="AM19" i="4"/>
  <c r="AL19" i="4"/>
  <c r="AK19" i="4"/>
  <c r="AJ19" i="4"/>
  <c r="EN19" i="6" s="1"/>
  <c r="AH19" i="4"/>
  <c r="AG19" i="4"/>
  <c r="AF19" i="4"/>
  <c r="AE19" i="4"/>
  <c r="AD19" i="4"/>
  <c r="AC19" i="4"/>
  <c r="EC19" i="6" s="1"/>
  <c r="AA19" i="4"/>
  <c r="Z19" i="4"/>
  <c r="Y19" i="4"/>
  <c r="X19" i="4"/>
  <c r="W19" i="4"/>
  <c r="V19" i="4"/>
  <c r="DR19" i="6" s="1"/>
  <c r="T19" i="4"/>
  <c r="S19" i="4"/>
  <c r="R19" i="4"/>
  <c r="Q19" i="4"/>
  <c r="P19" i="4"/>
  <c r="O19" i="4"/>
  <c r="DG19" i="6" s="1"/>
  <c r="M19" i="4"/>
  <c r="L19" i="4"/>
  <c r="K19" i="4"/>
  <c r="J19" i="4"/>
  <c r="I19" i="4"/>
  <c r="H19" i="4"/>
  <c r="CV19" i="6" s="1"/>
  <c r="F19" i="4"/>
  <c r="E19" i="4"/>
  <c r="D19" i="4"/>
  <c r="C19" i="4"/>
  <c r="B19" i="4"/>
  <c r="A19" i="4"/>
  <c r="BZ19" i="6" s="1"/>
  <c r="BC18" i="4"/>
  <c r="BB18" i="4"/>
  <c r="BA18" i="4"/>
  <c r="AZ18" i="4"/>
  <c r="AY18" i="4"/>
  <c r="AX18" i="4"/>
  <c r="CK18" i="6" s="1"/>
  <c r="AV18" i="4"/>
  <c r="AU18" i="4"/>
  <c r="AT18" i="4"/>
  <c r="AS18" i="4"/>
  <c r="AR18" i="4"/>
  <c r="AQ18" i="4"/>
  <c r="EY18" i="6" s="1"/>
  <c r="AO18" i="4"/>
  <c r="AN18" i="4"/>
  <c r="AM18" i="4"/>
  <c r="AL18" i="4"/>
  <c r="AK18" i="4"/>
  <c r="AJ18" i="4"/>
  <c r="EN18" i="6" s="1"/>
  <c r="AH18" i="4"/>
  <c r="AG18" i="4"/>
  <c r="AF18" i="4"/>
  <c r="AE18" i="4"/>
  <c r="AD18" i="4"/>
  <c r="AC18" i="4"/>
  <c r="EC18" i="6" s="1"/>
  <c r="AA18" i="4"/>
  <c r="Z18" i="4"/>
  <c r="Y18" i="4"/>
  <c r="X18" i="4"/>
  <c r="W18" i="4"/>
  <c r="V18" i="4"/>
  <c r="DR18" i="6" s="1"/>
  <c r="T18" i="4"/>
  <c r="S18" i="4"/>
  <c r="R18" i="4"/>
  <c r="Q18" i="4"/>
  <c r="P18" i="4"/>
  <c r="O18" i="4"/>
  <c r="DG18" i="6" s="1"/>
  <c r="M18" i="4"/>
  <c r="L18" i="4"/>
  <c r="K18" i="4"/>
  <c r="J18" i="4"/>
  <c r="I18" i="4"/>
  <c r="H18" i="4"/>
  <c r="CV18" i="6" s="1"/>
  <c r="F18" i="4"/>
  <c r="E18" i="4"/>
  <c r="D18" i="4"/>
  <c r="C18" i="4"/>
  <c r="B18" i="4"/>
  <c r="A18" i="4"/>
  <c r="BZ18" i="6" s="1"/>
  <c r="BC17" i="4"/>
  <c r="BB17" i="4"/>
  <c r="BA17" i="4"/>
  <c r="AZ17" i="4"/>
  <c r="AY17" i="4"/>
  <c r="AX17" i="4"/>
  <c r="CK17" i="6" s="1"/>
  <c r="AV17" i="4"/>
  <c r="AU17" i="4"/>
  <c r="AT17" i="4"/>
  <c r="AS17" i="4"/>
  <c r="AR17" i="4"/>
  <c r="AQ17" i="4"/>
  <c r="EY17" i="6" s="1"/>
  <c r="AO17" i="4"/>
  <c r="AN17" i="4"/>
  <c r="AM17" i="4"/>
  <c r="AL17" i="4"/>
  <c r="AK17" i="4"/>
  <c r="AJ17" i="4"/>
  <c r="EN17" i="6" s="1"/>
  <c r="AH17" i="4"/>
  <c r="AG17" i="4"/>
  <c r="AF17" i="4"/>
  <c r="AE17" i="4"/>
  <c r="AD17" i="4"/>
  <c r="AC17" i="4"/>
  <c r="EC17" i="6" s="1"/>
  <c r="AA17" i="4"/>
  <c r="Z17" i="4"/>
  <c r="Y17" i="4"/>
  <c r="X17" i="4"/>
  <c r="W17" i="4"/>
  <c r="V17" i="4"/>
  <c r="DR17" i="6" s="1"/>
  <c r="T17" i="4"/>
  <c r="S17" i="4"/>
  <c r="R17" i="4"/>
  <c r="Q17" i="4"/>
  <c r="P17" i="4"/>
  <c r="O17" i="4"/>
  <c r="DG17" i="6" s="1"/>
  <c r="M17" i="4"/>
  <c r="L17" i="4"/>
  <c r="K17" i="4"/>
  <c r="J17" i="4"/>
  <c r="I17" i="4"/>
  <c r="H17" i="4"/>
  <c r="CV17" i="6" s="1"/>
  <c r="F17" i="4"/>
  <c r="E17" i="4"/>
  <c r="D17" i="4"/>
  <c r="C17" i="4"/>
  <c r="B17" i="4"/>
  <c r="A17" i="4"/>
  <c r="BZ17" i="6" s="1"/>
  <c r="BC16" i="4"/>
  <c r="BB16" i="4"/>
  <c r="BA16" i="4"/>
  <c r="AZ16" i="4"/>
  <c r="AY16" i="4"/>
  <c r="AX16" i="4"/>
  <c r="CK16" i="6" s="1"/>
  <c r="AV16" i="4"/>
  <c r="AU16" i="4"/>
  <c r="AT16" i="4"/>
  <c r="AS16" i="4"/>
  <c r="AR16" i="4"/>
  <c r="AQ16" i="4"/>
  <c r="EY16" i="6" s="1"/>
  <c r="AO16" i="4"/>
  <c r="AN16" i="4"/>
  <c r="AM16" i="4"/>
  <c r="AL16" i="4"/>
  <c r="AK16" i="4"/>
  <c r="AJ16" i="4"/>
  <c r="EN16" i="6" s="1"/>
  <c r="AH16" i="4"/>
  <c r="AG16" i="4"/>
  <c r="AF16" i="4"/>
  <c r="AE16" i="4"/>
  <c r="AD16" i="4"/>
  <c r="AC16" i="4"/>
  <c r="EC16" i="6" s="1"/>
  <c r="AA16" i="4"/>
  <c r="Z16" i="4"/>
  <c r="Y16" i="4"/>
  <c r="X16" i="4"/>
  <c r="W16" i="4"/>
  <c r="V16" i="4"/>
  <c r="DR16" i="6" s="1"/>
  <c r="T16" i="4"/>
  <c r="S16" i="4"/>
  <c r="R16" i="4"/>
  <c r="Q16" i="4"/>
  <c r="P16" i="4"/>
  <c r="O16" i="4"/>
  <c r="DG16" i="6" s="1"/>
  <c r="M16" i="4"/>
  <c r="L16" i="4"/>
  <c r="K16" i="4"/>
  <c r="J16" i="4"/>
  <c r="I16" i="4"/>
  <c r="H16" i="4"/>
  <c r="CV16" i="6" s="1"/>
  <c r="F16" i="4"/>
  <c r="E16" i="4"/>
  <c r="D16" i="4"/>
  <c r="C16" i="4"/>
  <c r="B16" i="4"/>
  <c r="A16" i="4"/>
  <c r="BZ16" i="6" s="1"/>
  <c r="BC15" i="4"/>
  <c r="BB15" i="4"/>
  <c r="BA15" i="4"/>
  <c r="AZ15" i="4"/>
  <c r="AY15" i="4"/>
  <c r="AX15" i="4"/>
  <c r="CK15" i="6" s="1"/>
  <c r="AV15" i="4"/>
  <c r="AU15" i="4"/>
  <c r="AT15" i="4"/>
  <c r="AS15" i="4"/>
  <c r="AR15" i="4"/>
  <c r="AQ15" i="4"/>
  <c r="EY15" i="6" s="1"/>
  <c r="AO15" i="4"/>
  <c r="AN15" i="4"/>
  <c r="AM15" i="4"/>
  <c r="AL15" i="4"/>
  <c r="AK15" i="4"/>
  <c r="AJ15" i="4"/>
  <c r="EN15" i="6" s="1"/>
  <c r="AH15" i="4"/>
  <c r="AG15" i="4"/>
  <c r="AF15" i="4"/>
  <c r="AE15" i="4"/>
  <c r="AD15" i="4"/>
  <c r="AC15" i="4"/>
  <c r="EC15" i="6" s="1"/>
  <c r="AA15" i="4"/>
  <c r="Z15" i="4"/>
  <c r="Y15" i="4"/>
  <c r="X15" i="4"/>
  <c r="W15" i="4"/>
  <c r="V15" i="4"/>
  <c r="DR15" i="6" s="1"/>
  <c r="T15" i="4"/>
  <c r="S15" i="4"/>
  <c r="R15" i="4"/>
  <c r="Q15" i="4"/>
  <c r="P15" i="4"/>
  <c r="O15" i="4"/>
  <c r="DG15" i="6" s="1"/>
  <c r="M15" i="4"/>
  <c r="L15" i="4"/>
  <c r="K15" i="4"/>
  <c r="J15" i="4"/>
  <c r="I15" i="4"/>
  <c r="H15" i="4"/>
  <c r="CV15" i="6" s="1"/>
  <c r="F15" i="4"/>
  <c r="E15" i="4"/>
  <c r="D15" i="4"/>
  <c r="C15" i="4"/>
  <c r="B15" i="4"/>
  <c r="A15" i="4"/>
  <c r="BZ15" i="6" s="1"/>
  <c r="BC14" i="4"/>
  <c r="BB14" i="4"/>
  <c r="BA14" i="4"/>
  <c r="AZ14" i="4"/>
  <c r="AY14" i="4"/>
  <c r="AX14" i="4"/>
  <c r="CK14" i="6" s="1"/>
  <c r="AV14" i="4"/>
  <c r="AU14" i="4"/>
  <c r="AT14" i="4"/>
  <c r="AS14" i="4"/>
  <c r="AR14" i="4"/>
  <c r="AQ14" i="4"/>
  <c r="EY14" i="6" s="1"/>
  <c r="AO14" i="4"/>
  <c r="AN14" i="4"/>
  <c r="AM14" i="4"/>
  <c r="AL14" i="4"/>
  <c r="AK14" i="4"/>
  <c r="AJ14" i="4"/>
  <c r="EN14" i="6" s="1"/>
  <c r="AH14" i="4"/>
  <c r="AG14" i="4"/>
  <c r="AF14" i="4"/>
  <c r="AE14" i="4"/>
  <c r="AD14" i="4"/>
  <c r="AC14" i="4"/>
  <c r="EC14" i="6" s="1"/>
  <c r="AA14" i="4"/>
  <c r="Z14" i="4"/>
  <c r="Y14" i="4"/>
  <c r="X14" i="4"/>
  <c r="W14" i="4"/>
  <c r="V14" i="4"/>
  <c r="DR14" i="6" s="1"/>
  <c r="T14" i="4"/>
  <c r="S14" i="4"/>
  <c r="R14" i="4"/>
  <c r="Q14" i="4"/>
  <c r="P14" i="4"/>
  <c r="O14" i="4"/>
  <c r="DG14" i="6" s="1"/>
  <c r="M14" i="4"/>
  <c r="L14" i="4"/>
  <c r="K14" i="4"/>
  <c r="J14" i="4"/>
  <c r="I14" i="4"/>
  <c r="H14" i="4"/>
  <c r="CV14" i="6" s="1"/>
  <c r="F14" i="4"/>
  <c r="E14" i="4"/>
  <c r="D14" i="4"/>
  <c r="C14" i="4"/>
  <c r="B14" i="4"/>
  <c r="A14" i="4"/>
  <c r="BZ14" i="6" s="1"/>
  <c r="BC13" i="4"/>
  <c r="BB13" i="4"/>
  <c r="BA13" i="4"/>
  <c r="AZ13" i="4"/>
  <c r="AY13" i="4"/>
  <c r="AX13" i="4"/>
  <c r="CK13" i="6" s="1"/>
  <c r="AV13" i="4"/>
  <c r="AU13" i="4"/>
  <c r="AT13" i="4"/>
  <c r="AS13" i="4"/>
  <c r="AR13" i="4"/>
  <c r="AQ13" i="4"/>
  <c r="EY13" i="6" s="1"/>
  <c r="AO13" i="4"/>
  <c r="AN13" i="4"/>
  <c r="AM13" i="4"/>
  <c r="AL13" i="4"/>
  <c r="AK13" i="4"/>
  <c r="AJ13" i="4"/>
  <c r="EN13" i="6" s="1"/>
  <c r="AH13" i="4"/>
  <c r="AG13" i="4"/>
  <c r="AF13" i="4"/>
  <c r="AE13" i="4"/>
  <c r="AD13" i="4"/>
  <c r="AC13" i="4"/>
  <c r="EC13" i="6" s="1"/>
  <c r="AA13" i="4"/>
  <c r="Z13" i="4"/>
  <c r="Y13" i="4"/>
  <c r="X13" i="4"/>
  <c r="W13" i="4"/>
  <c r="V13" i="4"/>
  <c r="DR13" i="6" s="1"/>
  <c r="T13" i="4"/>
  <c r="S13" i="4"/>
  <c r="R13" i="4"/>
  <c r="Q13" i="4"/>
  <c r="P13" i="4"/>
  <c r="O13" i="4"/>
  <c r="DG13" i="6" s="1"/>
  <c r="M13" i="4"/>
  <c r="L13" i="4"/>
  <c r="K13" i="4"/>
  <c r="J13" i="4"/>
  <c r="I13" i="4"/>
  <c r="H13" i="4"/>
  <c r="CV13" i="6" s="1"/>
  <c r="F13" i="4"/>
  <c r="E13" i="4"/>
  <c r="D13" i="4"/>
  <c r="C13" i="4"/>
  <c r="B13" i="4"/>
  <c r="A13" i="4"/>
  <c r="BZ13" i="6" s="1"/>
  <c r="BC12" i="4"/>
  <c r="BB12" i="4"/>
  <c r="BA12" i="4"/>
  <c r="AZ12" i="4"/>
  <c r="AY12" i="4"/>
  <c r="AX12" i="4"/>
  <c r="CK12" i="6" s="1"/>
  <c r="AV12" i="4"/>
  <c r="AU12" i="4"/>
  <c r="AT12" i="4"/>
  <c r="AS12" i="4"/>
  <c r="AR12" i="4"/>
  <c r="AQ12" i="4"/>
  <c r="EY12" i="6" s="1"/>
  <c r="AO12" i="4"/>
  <c r="AN12" i="4"/>
  <c r="AM12" i="4"/>
  <c r="AL12" i="4"/>
  <c r="AK12" i="4"/>
  <c r="AJ12" i="4"/>
  <c r="EN12" i="6" s="1"/>
  <c r="AH12" i="4"/>
  <c r="AG12" i="4"/>
  <c r="AF12" i="4"/>
  <c r="AE12" i="4"/>
  <c r="AD12" i="4"/>
  <c r="AC12" i="4"/>
  <c r="EC12" i="6" s="1"/>
  <c r="AA12" i="4"/>
  <c r="Z12" i="4"/>
  <c r="Y12" i="4"/>
  <c r="X12" i="4"/>
  <c r="W12" i="4"/>
  <c r="V12" i="4"/>
  <c r="DR12" i="6" s="1"/>
  <c r="T12" i="4"/>
  <c r="S12" i="4"/>
  <c r="R12" i="4"/>
  <c r="Q12" i="4"/>
  <c r="P12" i="4"/>
  <c r="O12" i="4"/>
  <c r="DG12" i="6" s="1"/>
  <c r="M12" i="4"/>
  <c r="L12" i="4"/>
  <c r="K12" i="4"/>
  <c r="J12" i="4"/>
  <c r="I12" i="4"/>
  <c r="H12" i="4"/>
  <c r="CV12" i="6" s="1"/>
  <c r="F12" i="4"/>
  <c r="E12" i="4"/>
  <c r="D12" i="4"/>
  <c r="C12" i="4"/>
  <c r="B12" i="4"/>
  <c r="A12" i="4"/>
  <c r="BZ12" i="6" s="1"/>
  <c r="BC11" i="4"/>
  <c r="BB11" i="4"/>
  <c r="BA11" i="4"/>
  <c r="AZ11" i="4"/>
  <c r="AY11" i="4"/>
  <c r="AX11" i="4"/>
  <c r="CK11" i="6" s="1"/>
  <c r="AV11" i="4"/>
  <c r="AU11" i="4"/>
  <c r="AT11" i="4"/>
  <c r="AS11" i="4"/>
  <c r="AR11" i="4"/>
  <c r="AQ11" i="4"/>
  <c r="EY11" i="6" s="1"/>
  <c r="AO11" i="4"/>
  <c r="AN11" i="4"/>
  <c r="AM11" i="4"/>
  <c r="AL11" i="4"/>
  <c r="AK11" i="4"/>
  <c r="AJ11" i="4"/>
  <c r="EN11" i="6" s="1"/>
  <c r="AH11" i="4"/>
  <c r="AG11" i="4"/>
  <c r="AF11" i="4"/>
  <c r="AE11" i="4"/>
  <c r="AD11" i="4"/>
  <c r="AC11" i="4"/>
  <c r="EC11" i="6" s="1"/>
  <c r="AA11" i="4"/>
  <c r="Z11" i="4"/>
  <c r="Y11" i="4"/>
  <c r="X11" i="4"/>
  <c r="W11" i="4"/>
  <c r="V11" i="4"/>
  <c r="DR11" i="6" s="1"/>
  <c r="T11" i="4"/>
  <c r="S11" i="4"/>
  <c r="R11" i="4"/>
  <c r="Q11" i="4"/>
  <c r="P11" i="4"/>
  <c r="O11" i="4"/>
  <c r="DG11" i="6" s="1"/>
  <c r="M11" i="4"/>
  <c r="L11" i="4"/>
  <c r="K11" i="4"/>
  <c r="J11" i="4"/>
  <c r="I11" i="4"/>
  <c r="H11" i="4"/>
  <c r="CV11" i="6" s="1"/>
  <c r="F11" i="4"/>
  <c r="E11" i="4"/>
  <c r="D11" i="4"/>
  <c r="C11" i="4"/>
  <c r="B11" i="4"/>
  <c r="A11" i="4"/>
  <c r="BZ11" i="6" s="1"/>
  <c r="BC10" i="4"/>
  <c r="BB10" i="4"/>
  <c r="BA10" i="4"/>
  <c r="AZ10" i="4"/>
  <c r="AY10" i="4"/>
  <c r="AX10" i="4"/>
  <c r="CK10" i="6" s="1"/>
  <c r="AV10" i="4"/>
  <c r="AU10" i="4"/>
  <c r="AT10" i="4"/>
  <c r="AS10" i="4"/>
  <c r="AR10" i="4"/>
  <c r="AQ10" i="4"/>
  <c r="EY10" i="6" s="1"/>
  <c r="AO10" i="4"/>
  <c r="AN10" i="4"/>
  <c r="AM10" i="4"/>
  <c r="AL10" i="4"/>
  <c r="AK10" i="4"/>
  <c r="AJ10" i="4"/>
  <c r="EN10" i="6" s="1"/>
  <c r="AH10" i="4"/>
  <c r="AG10" i="4"/>
  <c r="AF10" i="4"/>
  <c r="AE10" i="4"/>
  <c r="AD10" i="4"/>
  <c r="AC10" i="4"/>
  <c r="EC10" i="6" s="1"/>
  <c r="AA10" i="4"/>
  <c r="Z10" i="4"/>
  <c r="Y10" i="4"/>
  <c r="X10" i="4"/>
  <c r="W10" i="4"/>
  <c r="V10" i="4"/>
  <c r="DR10" i="6" s="1"/>
  <c r="T10" i="4"/>
  <c r="S10" i="4"/>
  <c r="R10" i="4"/>
  <c r="Q10" i="4"/>
  <c r="P10" i="4"/>
  <c r="O10" i="4"/>
  <c r="DG10" i="6" s="1"/>
  <c r="M10" i="4"/>
  <c r="L10" i="4"/>
  <c r="K10" i="4"/>
  <c r="J10" i="4"/>
  <c r="I10" i="4"/>
  <c r="H10" i="4"/>
  <c r="CV10" i="6" s="1"/>
  <c r="F10" i="4"/>
  <c r="E10" i="4"/>
  <c r="D10" i="4"/>
  <c r="C10" i="4"/>
  <c r="B10" i="4"/>
  <c r="A10" i="4"/>
  <c r="BZ10" i="6" s="1"/>
  <c r="BC9" i="4"/>
  <c r="BB9" i="4"/>
  <c r="BA9" i="4"/>
  <c r="AZ9" i="4"/>
  <c r="AY9" i="4"/>
  <c r="AX9" i="4"/>
  <c r="CK9" i="6" s="1"/>
  <c r="AV9" i="4"/>
  <c r="AU9" i="4"/>
  <c r="AT9" i="4"/>
  <c r="AS9" i="4"/>
  <c r="AR9" i="4"/>
  <c r="AQ9" i="4"/>
  <c r="EY9" i="6" s="1"/>
  <c r="AO9" i="4"/>
  <c r="AN9" i="4"/>
  <c r="AM9" i="4"/>
  <c r="AL9" i="4"/>
  <c r="AK9" i="4"/>
  <c r="AJ9" i="4"/>
  <c r="EN9" i="6" s="1"/>
  <c r="AH9" i="4"/>
  <c r="AG9" i="4"/>
  <c r="AF9" i="4"/>
  <c r="AE9" i="4"/>
  <c r="AD9" i="4"/>
  <c r="AC9" i="4"/>
  <c r="EC9" i="6" s="1"/>
  <c r="AA9" i="4"/>
  <c r="Z9" i="4"/>
  <c r="Y9" i="4"/>
  <c r="X9" i="4"/>
  <c r="W9" i="4"/>
  <c r="V9" i="4"/>
  <c r="DR9" i="6" s="1"/>
  <c r="T9" i="4"/>
  <c r="S9" i="4"/>
  <c r="R9" i="4"/>
  <c r="Q9" i="4"/>
  <c r="P9" i="4"/>
  <c r="O9" i="4"/>
  <c r="DG9" i="6" s="1"/>
  <c r="M9" i="4"/>
  <c r="L9" i="4"/>
  <c r="K9" i="4"/>
  <c r="J9" i="4"/>
  <c r="I9" i="4"/>
  <c r="H9" i="4"/>
  <c r="CV9" i="6" s="1"/>
  <c r="F9" i="4"/>
  <c r="E9" i="4"/>
  <c r="D9" i="4"/>
  <c r="C9" i="4"/>
  <c r="B9" i="4"/>
  <c r="A9" i="4"/>
  <c r="BZ9" i="6" s="1"/>
  <c r="BC8" i="4"/>
  <c r="BB8" i="4"/>
  <c r="BA8" i="4"/>
  <c r="AZ8" i="4"/>
  <c r="AY8" i="4"/>
  <c r="AX8" i="4"/>
  <c r="CK8" i="6" s="1"/>
  <c r="AV8" i="4"/>
  <c r="AU8" i="4"/>
  <c r="AT8" i="4"/>
  <c r="AS8" i="4"/>
  <c r="AR8" i="4"/>
  <c r="AQ8" i="4"/>
  <c r="EY8" i="6" s="1"/>
  <c r="AO8" i="4"/>
  <c r="AN8" i="4"/>
  <c r="AM8" i="4"/>
  <c r="AL8" i="4"/>
  <c r="AK8" i="4"/>
  <c r="AJ8" i="4"/>
  <c r="EN8" i="6" s="1"/>
  <c r="AH8" i="4"/>
  <c r="AG8" i="4"/>
  <c r="AF8" i="4"/>
  <c r="AE8" i="4"/>
  <c r="AD8" i="4"/>
  <c r="AC8" i="4"/>
  <c r="EC8" i="6" s="1"/>
  <c r="AA8" i="4"/>
  <c r="Z8" i="4"/>
  <c r="Y8" i="4"/>
  <c r="X8" i="4"/>
  <c r="W8" i="4"/>
  <c r="V8" i="4"/>
  <c r="DR8" i="6" s="1"/>
  <c r="T8" i="4"/>
  <c r="S8" i="4"/>
  <c r="R8" i="4"/>
  <c r="Q8" i="4"/>
  <c r="P8" i="4"/>
  <c r="O8" i="4"/>
  <c r="DG8" i="6" s="1"/>
  <c r="M8" i="4"/>
  <c r="L8" i="4"/>
  <c r="K8" i="4"/>
  <c r="J8" i="4"/>
  <c r="I8" i="4"/>
  <c r="H8" i="4"/>
  <c r="CV8" i="6" s="1"/>
  <c r="F8" i="4"/>
  <c r="E8" i="4"/>
  <c r="D8" i="4"/>
  <c r="C8" i="4"/>
  <c r="B8" i="4"/>
  <c r="A8" i="4"/>
  <c r="BZ8" i="6" s="1"/>
  <c r="BC7" i="4"/>
  <c r="BB7" i="4"/>
  <c r="BA7" i="4"/>
  <c r="AZ7" i="4"/>
  <c r="AY7" i="4"/>
  <c r="AX7" i="4"/>
  <c r="CK7" i="6" s="1"/>
  <c r="AV7" i="4"/>
  <c r="AU7" i="4"/>
  <c r="AT7" i="4"/>
  <c r="AS7" i="4"/>
  <c r="AR7" i="4"/>
  <c r="AQ7" i="4"/>
  <c r="EY7" i="6" s="1"/>
  <c r="AO7" i="4"/>
  <c r="AN7" i="4"/>
  <c r="AM7" i="4"/>
  <c r="AL7" i="4"/>
  <c r="AK7" i="4"/>
  <c r="AJ7" i="4"/>
  <c r="EN7" i="6" s="1"/>
  <c r="AH7" i="4"/>
  <c r="AG7" i="4"/>
  <c r="AF7" i="4"/>
  <c r="AE7" i="4"/>
  <c r="AD7" i="4"/>
  <c r="AC7" i="4"/>
  <c r="EC7" i="6" s="1"/>
  <c r="AA7" i="4"/>
  <c r="Z7" i="4"/>
  <c r="Y7" i="4"/>
  <c r="X7" i="4"/>
  <c r="W7" i="4"/>
  <c r="V7" i="4"/>
  <c r="DR7" i="6" s="1"/>
  <c r="T7" i="4"/>
  <c r="S7" i="4"/>
  <c r="R7" i="4"/>
  <c r="Q7" i="4"/>
  <c r="P7" i="4"/>
  <c r="O7" i="4"/>
  <c r="DG7" i="6" s="1"/>
  <c r="M7" i="4"/>
  <c r="L7" i="4"/>
  <c r="K7" i="4"/>
  <c r="J7" i="4"/>
  <c r="I7" i="4"/>
  <c r="H7" i="4"/>
  <c r="CV7" i="6" s="1"/>
  <c r="F7" i="4"/>
  <c r="E7" i="4"/>
  <c r="D7" i="4"/>
  <c r="C7" i="4"/>
  <c r="B7" i="4"/>
  <c r="A7" i="4"/>
  <c r="BZ7" i="6" s="1"/>
  <c r="BC6" i="4"/>
  <c r="BB6" i="4"/>
  <c r="BA6" i="4"/>
  <c r="AZ6" i="4"/>
  <c r="AY6" i="4"/>
  <c r="AX6" i="4"/>
  <c r="CK6" i="6" s="1"/>
  <c r="AV6" i="4"/>
  <c r="AU6" i="4"/>
  <c r="AT6" i="4"/>
  <c r="AS6" i="4"/>
  <c r="AR6" i="4"/>
  <c r="AQ6" i="4"/>
  <c r="EY6" i="6" s="1"/>
  <c r="AO6" i="4"/>
  <c r="AN6" i="4"/>
  <c r="AM6" i="4"/>
  <c r="AL6" i="4"/>
  <c r="AK6" i="4"/>
  <c r="AJ6" i="4"/>
  <c r="EN6" i="6" s="1"/>
  <c r="AH6" i="4"/>
  <c r="AG6" i="4"/>
  <c r="AF6" i="4"/>
  <c r="AE6" i="4"/>
  <c r="AD6" i="4"/>
  <c r="AC6" i="4"/>
  <c r="EC6" i="6" s="1"/>
  <c r="AA6" i="4"/>
  <c r="Z6" i="4"/>
  <c r="Y6" i="4"/>
  <c r="X6" i="4"/>
  <c r="W6" i="4"/>
  <c r="V6" i="4"/>
  <c r="DR6" i="6" s="1"/>
  <c r="T6" i="4"/>
  <c r="S6" i="4"/>
  <c r="R6" i="4"/>
  <c r="Q6" i="4"/>
  <c r="P6" i="4"/>
  <c r="O6" i="4"/>
  <c r="DG6" i="6" s="1"/>
  <c r="M6" i="4"/>
  <c r="L6" i="4"/>
  <c r="K6" i="4"/>
  <c r="J6" i="4"/>
  <c r="I6" i="4"/>
  <c r="H6" i="4"/>
  <c r="CV6" i="6" s="1"/>
  <c r="F6" i="4"/>
  <c r="E6" i="4"/>
  <c r="D6" i="4"/>
  <c r="C6" i="4"/>
  <c r="B6" i="4"/>
  <c r="A6" i="4"/>
  <c r="BZ6" i="6" s="1"/>
  <c r="BC5" i="4"/>
  <c r="BB5" i="4"/>
  <c r="BA5" i="4"/>
  <c r="AZ5" i="4"/>
  <c r="AY5" i="4"/>
  <c r="AX5" i="4"/>
  <c r="CK5" i="6" s="1"/>
  <c r="AV5" i="4"/>
  <c r="AU5" i="4"/>
  <c r="AT5" i="4"/>
  <c r="AS5" i="4"/>
  <c r="AR5" i="4"/>
  <c r="AQ5" i="4"/>
  <c r="EY5" i="6" s="1"/>
  <c r="AO5" i="4"/>
  <c r="AN5" i="4"/>
  <c r="AM5" i="4"/>
  <c r="AL5" i="4"/>
  <c r="AK5" i="4"/>
  <c r="AJ5" i="4"/>
  <c r="EN5" i="6" s="1"/>
  <c r="AH5" i="4"/>
  <c r="AG5" i="4"/>
  <c r="AF5" i="4"/>
  <c r="AE5" i="4"/>
  <c r="AD5" i="4"/>
  <c r="AC5" i="4"/>
  <c r="EC5" i="6" s="1"/>
  <c r="AA5" i="4"/>
  <c r="Z5" i="4"/>
  <c r="Y5" i="4"/>
  <c r="X5" i="4"/>
  <c r="W5" i="4"/>
  <c r="V5" i="4"/>
  <c r="DR5" i="6" s="1"/>
  <c r="T5" i="4"/>
  <c r="S5" i="4"/>
  <c r="R5" i="4"/>
  <c r="Q5" i="4"/>
  <c r="P5" i="4"/>
  <c r="O5" i="4"/>
  <c r="DG5" i="6" s="1"/>
  <c r="M5" i="4"/>
  <c r="L5" i="4"/>
  <c r="K5" i="4"/>
  <c r="J5" i="4"/>
  <c r="I5" i="4"/>
  <c r="H5" i="4"/>
  <c r="CV5" i="6" s="1"/>
  <c r="F5" i="4"/>
  <c r="E5" i="4"/>
  <c r="D5" i="4"/>
  <c r="C5" i="4"/>
  <c r="B5" i="4"/>
  <c r="A5" i="4"/>
  <c r="BZ5" i="6" s="1"/>
  <c r="BC4" i="4"/>
  <c r="BB4" i="4"/>
  <c r="BA4" i="4"/>
  <c r="AZ4" i="4"/>
  <c r="AY4" i="4"/>
  <c r="AX4" i="4"/>
  <c r="CK4" i="6" s="1"/>
  <c r="AV4" i="4"/>
  <c r="AU4" i="4"/>
  <c r="AT4" i="4"/>
  <c r="AS4" i="4"/>
  <c r="AR4" i="4"/>
  <c r="AQ4" i="4"/>
  <c r="EY4" i="6" s="1"/>
  <c r="AO4" i="4"/>
  <c r="AN4" i="4"/>
  <c r="AM4" i="4"/>
  <c r="AL4" i="4"/>
  <c r="AK4" i="4"/>
  <c r="AJ4" i="4"/>
  <c r="EN4" i="6" s="1"/>
  <c r="AH4" i="4"/>
  <c r="AG4" i="4"/>
  <c r="AF4" i="4"/>
  <c r="AE4" i="4"/>
  <c r="AD4" i="4"/>
  <c r="AC4" i="4"/>
  <c r="EC4" i="6" s="1"/>
  <c r="AA4" i="4"/>
  <c r="Z4" i="4"/>
  <c r="Y4" i="4"/>
  <c r="X4" i="4"/>
  <c r="W4" i="4"/>
  <c r="V4" i="4"/>
  <c r="DR4" i="6" s="1"/>
  <c r="T4" i="4"/>
  <c r="S4" i="4"/>
  <c r="R4" i="4"/>
  <c r="Q4" i="4"/>
  <c r="P4" i="4"/>
  <c r="O4" i="4"/>
  <c r="DG4" i="6" s="1"/>
  <c r="M4" i="4"/>
  <c r="L4" i="4"/>
  <c r="K4" i="4"/>
  <c r="J4" i="4"/>
  <c r="I4" i="4"/>
  <c r="H4" i="4"/>
  <c r="CV4" i="6" s="1"/>
  <c r="F4" i="4"/>
  <c r="E4" i="4"/>
  <c r="D4" i="4"/>
  <c r="C4" i="4"/>
  <c r="B4" i="4"/>
  <c r="A4" i="4"/>
  <c r="BZ4" i="6" s="1"/>
  <c r="BC3" i="4"/>
  <c r="BB3" i="4"/>
  <c r="BA3" i="4"/>
  <c r="AZ3" i="4"/>
  <c r="AY3" i="4"/>
  <c r="AX3" i="4"/>
  <c r="CK3" i="6" s="1"/>
  <c r="AV3" i="4"/>
  <c r="AU3" i="4"/>
  <c r="AT3" i="4"/>
  <c r="AS3" i="4"/>
  <c r="AR3" i="4"/>
  <c r="AQ3" i="4"/>
  <c r="EY3" i="6" s="1"/>
  <c r="AO3" i="4"/>
  <c r="AN3" i="4"/>
  <c r="AM3" i="4"/>
  <c r="AL3" i="4"/>
  <c r="AK3" i="4"/>
  <c r="AJ3" i="4"/>
  <c r="EN3" i="6" s="1"/>
  <c r="AH3" i="4"/>
  <c r="AG3" i="4"/>
  <c r="AF3" i="4"/>
  <c r="AE3" i="4"/>
  <c r="AD3" i="4"/>
  <c r="AC3" i="4"/>
  <c r="EC3" i="6" s="1"/>
  <c r="AA3" i="4"/>
  <c r="Z3" i="4"/>
  <c r="Y3" i="4"/>
  <c r="X3" i="4"/>
  <c r="W3" i="4"/>
  <c r="V3" i="4"/>
  <c r="DR3" i="6" s="1"/>
  <c r="T3" i="4"/>
  <c r="S3" i="4"/>
  <c r="R3" i="4"/>
  <c r="Q3" i="4"/>
  <c r="P3" i="4"/>
  <c r="O3" i="4"/>
  <c r="DG3" i="6" s="1"/>
  <c r="M3" i="4"/>
  <c r="L3" i="4"/>
  <c r="K3" i="4"/>
  <c r="J3" i="4"/>
  <c r="I3" i="4"/>
  <c r="H3" i="4"/>
  <c r="CV3" i="6" s="1"/>
  <c r="F3" i="4"/>
  <c r="E3" i="4"/>
  <c r="D3" i="4"/>
  <c r="C3" i="4"/>
  <c r="B3" i="4"/>
  <c r="A3" i="4"/>
  <c r="BZ3" i="6" s="1"/>
  <c r="BJ120" i="3"/>
  <c r="BI120" i="3"/>
  <c r="BH120" i="3"/>
  <c r="BG120" i="3"/>
  <c r="BF120" i="3"/>
  <c r="BE120" i="3"/>
  <c r="FU120" i="6" s="1"/>
  <c r="BC120" i="3"/>
  <c r="BB120" i="3"/>
  <c r="BA120" i="3"/>
  <c r="AZ120" i="3"/>
  <c r="AY120" i="3"/>
  <c r="AX120" i="3"/>
  <c r="FJ120" i="6" s="1"/>
  <c r="AV120" i="3"/>
  <c r="AU120" i="3"/>
  <c r="AT120" i="3"/>
  <c r="AS120" i="3"/>
  <c r="AR120" i="3"/>
  <c r="AQ120" i="3"/>
  <c r="W120" i="6" s="1"/>
  <c r="AO120" i="3"/>
  <c r="AN120" i="3"/>
  <c r="AM120" i="3"/>
  <c r="AL120" i="3"/>
  <c r="AK120" i="3"/>
  <c r="AJ120" i="3"/>
  <c r="AS120" i="6" s="1"/>
  <c r="AH120" i="3"/>
  <c r="AG120" i="3"/>
  <c r="AF120" i="3"/>
  <c r="AE120" i="3"/>
  <c r="AD120" i="3"/>
  <c r="AC120" i="3"/>
  <c r="AA120" i="3"/>
  <c r="Z120" i="3"/>
  <c r="Y120" i="3"/>
  <c r="X120" i="3"/>
  <c r="W120" i="3"/>
  <c r="V120" i="3"/>
  <c r="BD120" i="6" s="1"/>
  <c r="T120" i="3"/>
  <c r="S120" i="3"/>
  <c r="R120" i="3"/>
  <c r="Q120" i="3"/>
  <c r="P120" i="3"/>
  <c r="O120" i="3"/>
  <c r="AH120" i="6" s="1"/>
  <c r="M120" i="3"/>
  <c r="L120" i="3"/>
  <c r="K120" i="3"/>
  <c r="J120" i="3"/>
  <c r="I120" i="3"/>
  <c r="H120" i="3"/>
  <c r="L120" i="6" s="1"/>
  <c r="F120" i="3"/>
  <c r="E120" i="3"/>
  <c r="D120" i="3"/>
  <c r="C120" i="3"/>
  <c r="B120" i="3"/>
  <c r="A120" i="3"/>
  <c r="A120" i="6" s="1"/>
  <c r="BJ119" i="3"/>
  <c r="BI119" i="3"/>
  <c r="BH119" i="3"/>
  <c r="BG119" i="3"/>
  <c r="BF119" i="3"/>
  <c r="BE119" i="3"/>
  <c r="FU119" i="6" s="1"/>
  <c r="BC119" i="3"/>
  <c r="BB119" i="3"/>
  <c r="BA119" i="3"/>
  <c r="AZ119" i="3"/>
  <c r="AY119" i="3"/>
  <c r="AX119" i="3"/>
  <c r="FJ119" i="6" s="1"/>
  <c r="AV119" i="3"/>
  <c r="AU119" i="3"/>
  <c r="AT119" i="3"/>
  <c r="AS119" i="3"/>
  <c r="AR119" i="3"/>
  <c r="AQ119" i="3"/>
  <c r="W119" i="6" s="1"/>
  <c r="AO119" i="3"/>
  <c r="AN119" i="3"/>
  <c r="AM119" i="3"/>
  <c r="AL119" i="3"/>
  <c r="AK119" i="3"/>
  <c r="AJ119" i="3"/>
  <c r="AS119" i="6" s="1"/>
  <c r="AH119" i="3"/>
  <c r="AG119" i="3"/>
  <c r="AF119" i="3"/>
  <c r="AE119" i="3"/>
  <c r="AD119" i="3"/>
  <c r="AC119" i="3"/>
  <c r="AA119" i="3"/>
  <c r="Z119" i="3"/>
  <c r="Y119" i="3"/>
  <c r="X119" i="3"/>
  <c r="W119" i="3"/>
  <c r="V119" i="3"/>
  <c r="BD119" i="6" s="1"/>
  <c r="T119" i="3"/>
  <c r="S119" i="3"/>
  <c r="R119" i="3"/>
  <c r="Q119" i="3"/>
  <c r="P119" i="3"/>
  <c r="O119" i="3"/>
  <c r="AH119" i="6" s="1"/>
  <c r="M119" i="3"/>
  <c r="L119" i="3"/>
  <c r="K119" i="3"/>
  <c r="J119" i="3"/>
  <c r="I119" i="3"/>
  <c r="H119" i="3"/>
  <c r="L119" i="6" s="1"/>
  <c r="F119" i="3"/>
  <c r="E119" i="3"/>
  <c r="D119" i="3"/>
  <c r="C119" i="3"/>
  <c r="B119" i="3"/>
  <c r="A119" i="3"/>
  <c r="A119" i="6" s="1"/>
  <c r="BJ118" i="3"/>
  <c r="BI118" i="3"/>
  <c r="BH118" i="3"/>
  <c r="BG118" i="3"/>
  <c r="BF118" i="3"/>
  <c r="BE118" i="3"/>
  <c r="FU118" i="6" s="1"/>
  <c r="BC118" i="3"/>
  <c r="BB118" i="3"/>
  <c r="BA118" i="3"/>
  <c r="AZ118" i="3"/>
  <c r="AY118" i="3"/>
  <c r="AX118" i="3"/>
  <c r="FJ118" i="6" s="1"/>
  <c r="AV118" i="3"/>
  <c r="AU118" i="3"/>
  <c r="AT118" i="3"/>
  <c r="AS118" i="3"/>
  <c r="AR118" i="3"/>
  <c r="AQ118" i="3"/>
  <c r="W118" i="6" s="1"/>
  <c r="AO118" i="3"/>
  <c r="AN118" i="3"/>
  <c r="AM118" i="3"/>
  <c r="AL118" i="3"/>
  <c r="AK118" i="3"/>
  <c r="AJ118" i="3"/>
  <c r="AS118" i="6" s="1"/>
  <c r="AH118" i="3"/>
  <c r="AG118" i="3"/>
  <c r="AF118" i="3"/>
  <c r="AE118" i="3"/>
  <c r="AD118" i="3"/>
  <c r="AC118" i="3"/>
  <c r="AA118" i="3"/>
  <c r="Z118" i="3"/>
  <c r="Y118" i="3"/>
  <c r="X118" i="3"/>
  <c r="W118" i="3"/>
  <c r="V118" i="3"/>
  <c r="BD118" i="6" s="1"/>
  <c r="T118" i="3"/>
  <c r="S118" i="3"/>
  <c r="R118" i="3"/>
  <c r="Q118" i="3"/>
  <c r="P118" i="3"/>
  <c r="O118" i="3"/>
  <c r="AH118" i="6" s="1"/>
  <c r="M118" i="3"/>
  <c r="L118" i="3"/>
  <c r="K118" i="3"/>
  <c r="J118" i="3"/>
  <c r="I118" i="3"/>
  <c r="H118" i="3"/>
  <c r="L118" i="6" s="1"/>
  <c r="F118" i="3"/>
  <c r="E118" i="3"/>
  <c r="D118" i="3"/>
  <c r="C118" i="3"/>
  <c r="B118" i="3"/>
  <c r="A118" i="3"/>
  <c r="A118" i="6" s="1"/>
  <c r="BJ117" i="3"/>
  <c r="BI117" i="3"/>
  <c r="BH117" i="3"/>
  <c r="BG117" i="3"/>
  <c r="BF117" i="3"/>
  <c r="BE117" i="3"/>
  <c r="FU117" i="6" s="1"/>
  <c r="BC117" i="3"/>
  <c r="BB117" i="3"/>
  <c r="BA117" i="3"/>
  <c r="AZ117" i="3"/>
  <c r="AY117" i="3"/>
  <c r="AX117" i="3"/>
  <c r="FJ117" i="6" s="1"/>
  <c r="AV117" i="3"/>
  <c r="AU117" i="3"/>
  <c r="AT117" i="3"/>
  <c r="AS117" i="3"/>
  <c r="AR117" i="3"/>
  <c r="AQ117" i="3"/>
  <c r="W117" i="6" s="1"/>
  <c r="AO117" i="3"/>
  <c r="AN117" i="3"/>
  <c r="AM117" i="3"/>
  <c r="AL117" i="3"/>
  <c r="AK117" i="3"/>
  <c r="AJ117" i="3"/>
  <c r="AS117" i="6" s="1"/>
  <c r="AH117" i="3"/>
  <c r="AG117" i="3"/>
  <c r="AF117" i="3"/>
  <c r="AE117" i="3"/>
  <c r="AD117" i="3"/>
  <c r="AC117" i="3"/>
  <c r="AA117" i="3"/>
  <c r="Z117" i="3"/>
  <c r="Y117" i="3"/>
  <c r="X117" i="3"/>
  <c r="W117" i="3"/>
  <c r="V117" i="3"/>
  <c r="BD117" i="6" s="1"/>
  <c r="T117" i="3"/>
  <c r="S117" i="3"/>
  <c r="R117" i="3"/>
  <c r="Q117" i="3"/>
  <c r="P117" i="3"/>
  <c r="O117" i="3"/>
  <c r="AH117" i="6" s="1"/>
  <c r="M117" i="3"/>
  <c r="L117" i="3"/>
  <c r="K117" i="3"/>
  <c r="J117" i="3"/>
  <c r="I117" i="3"/>
  <c r="H117" i="3"/>
  <c r="L117" i="6" s="1"/>
  <c r="F117" i="3"/>
  <c r="E117" i="3"/>
  <c r="D117" i="3"/>
  <c r="C117" i="3"/>
  <c r="B117" i="3"/>
  <c r="A117" i="3"/>
  <c r="A117" i="6" s="1"/>
  <c r="BJ116" i="3"/>
  <c r="BI116" i="3"/>
  <c r="BH116" i="3"/>
  <c r="BG116" i="3"/>
  <c r="BF116" i="3"/>
  <c r="BE116" i="3"/>
  <c r="FU116" i="6" s="1"/>
  <c r="BC116" i="3"/>
  <c r="BB116" i="3"/>
  <c r="BA116" i="3"/>
  <c r="AZ116" i="3"/>
  <c r="AY116" i="3"/>
  <c r="AX116" i="3"/>
  <c r="FJ116" i="6" s="1"/>
  <c r="AV116" i="3"/>
  <c r="AU116" i="3"/>
  <c r="AT116" i="3"/>
  <c r="AS116" i="3"/>
  <c r="AR116" i="3"/>
  <c r="AQ116" i="3"/>
  <c r="W116" i="6" s="1"/>
  <c r="AO116" i="3"/>
  <c r="AN116" i="3"/>
  <c r="AM116" i="3"/>
  <c r="AL116" i="3"/>
  <c r="AK116" i="3"/>
  <c r="AJ116" i="3"/>
  <c r="AS116" i="6" s="1"/>
  <c r="AH116" i="3"/>
  <c r="AG116" i="3"/>
  <c r="AF116" i="3"/>
  <c r="AE116" i="3"/>
  <c r="AD116" i="3"/>
  <c r="AC116" i="3"/>
  <c r="AA116" i="3"/>
  <c r="Z116" i="3"/>
  <c r="Y116" i="3"/>
  <c r="X116" i="3"/>
  <c r="W116" i="3"/>
  <c r="V116" i="3"/>
  <c r="BD116" i="6" s="1"/>
  <c r="T116" i="3"/>
  <c r="S116" i="3"/>
  <c r="R116" i="3"/>
  <c r="Q116" i="3"/>
  <c r="P116" i="3"/>
  <c r="O116" i="3"/>
  <c r="AH116" i="6" s="1"/>
  <c r="M116" i="3"/>
  <c r="L116" i="3"/>
  <c r="K116" i="3"/>
  <c r="J116" i="3"/>
  <c r="I116" i="3"/>
  <c r="H116" i="3"/>
  <c r="L116" i="6" s="1"/>
  <c r="F116" i="3"/>
  <c r="E116" i="3"/>
  <c r="D116" i="3"/>
  <c r="C116" i="3"/>
  <c r="B116" i="3"/>
  <c r="A116" i="3"/>
  <c r="A116" i="6" s="1"/>
  <c r="BJ115" i="3"/>
  <c r="BI115" i="3"/>
  <c r="BH115" i="3"/>
  <c r="BG115" i="3"/>
  <c r="BF115" i="3"/>
  <c r="BE115" i="3"/>
  <c r="FU115" i="6" s="1"/>
  <c r="BC115" i="3"/>
  <c r="BB115" i="3"/>
  <c r="BA115" i="3"/>
  <c r="AZ115" i="3"/>
  <c r="AY115" i="3"/>
  <c r="AX115" i="3"/>
  <c r="FJ115" i="6" s="1"/>
  <c r="AV115" i="3"/>
  <c r="AU115" i="3"/>
  <c r="AT115" i="3"/>
  <c r="AS115" i="3"/>
  <c r="AR115" i="3"/>
  <c r="AQ115" i="3"/>
  <c r="W115" i="6" s="1"/>
  <c r="AO115" i="3"/>
  <c r="AN115" i="3"/>
  <c r="AM115" i="3"/>
  <c r="AL115" i="3"/>
  <c r="AK115" i="3"/>
  <c r="AJ115" i="3"/>
  <c r="AS115" i="6" s="1"/>
  <c r="AH115" i="3"/>
  <c r="AG115" i="3"/>
  <c r="AF115" i="3"/>
  <c r="AE115" i="3"/>
  <c r="AD115" i="3"/>
  <c r="AC115" i="3"/>
  <c r="AA115" i="3"/>
  <c r="Z115" i="3"/>
  <c r="Y115" i="3"/>
  <c r="X115" i="3"/>
  <c r="W115" i="3"/>
  <c r="V115" i="3"/>
  <c r="BD115" i="6" s="1"/>
  <c r="T115" i="3"/>
  <c r="S115" i="3"/>
  <c r="R115" i="3"/>
  <c r="Q115" i="3"/>
  <c r="P115" i="3"/>
  <c r="O115" i="3"/>
  <c r="AH115" i="6" s="1"/>
  <c r="M115" i="3"/>
  <c r="L115" i="3"/>
  <c r="K115" i="3"/>
  <c r="J115" i="3"/>
  <c r="I115" i="3"/>
  <c r="H115" i="3"/>
  <c r="L115" i="6" s="1"/>
  <c r="F115" i="3"/>
  <c r="E115" i="3"/>
  <c r="D115" i="3"/>
  <c r="C115" i="3"/>
  <c r="B115" i="3"/>
  <c r="A115" i="3"/>
  <c r="A115" i="6" s="1"/>
  <c r="BJ114" i="3"/>
  <c r="BI114" i="3"/>
  <c r="BH114" i="3"/>
  <c r="BG114" i="3"/>
  <c r="BF114" i="3"/>
  <c r="BE114" i="3"/>
  <c r="FU114" i="6" s="1"/>
  <c r="BC114" i="3"/>
  <c r="BB114" i="3"/>
  <c r="BA114" i="3"/>
  <c r="AZ114" i="3"/>
  <c r="AY114" i="3"/>
  <c r="AX114" i="3"/>
  <c r="FJ114" i="6" s="1"/>
  <c r="AV114" i="3"/>
  <c r="AU114" i="3"/>
  <c r="AT114" i="3"/>
  <c r="AS114" i="3"/>
  <c r="AR114" i="3"/>
  <c r="AQ114" i="3"/>
  <c r="W114" i="6" s="1"/>
  <c r="AO114" i="3"/>
  <c r="AN114" i="3"/>
  <c r="AM114" i="3"/>
  <c r="AL114" i="3"/>
  <c r="AK114" i="3"/>
  <c r="AJ114" i="3"/>
  <c r="AS114" i="6" s="1"/>
  <c r="AH114" i="3"/>
  <c r="AG114" i="3"/>
  <c r="AF114" i="3"/>
  <c r="AE114" i="3"/>
  <c r="AD114" i="3"/>
  <c r="AC114" i="3"/>
  <c r="AA114" i="3"/>
  <c r="Z114" i="3"/>
  <c r="Y114" i="3"/>
  <c r="X114" i="3"/>
  <c r="W114" i="3"/>
  <c r="V114" i="3"/>
  <c r="BD114" i="6" s="1"/>
  <c r="T114" i="3"/>
  <c r="S114" i="3"/>
  <c r="R114" i="3"/>
  <c r="Q114" i="3"/>
  <c r="P114" i="3"/>
  <c r="O114" i="3"/>
  <c r="AH114" i="6" s="1"/>
  <c r="M114" i="3"/>
  <c r="L114" i="3"/>
  <c r="K114" i="3"/>
  <c r="J114" i="3"/>
  <c r="I114" i="3"/>
  <c r="H114" i="3"/>
  <c r="L114" i="6" s="1"/>
  <c r="F114" i="3"/>
  <c r="E114" i="3"/>
  <c r="D114" i="3"/>
  <c r="C114" i="3"/>
  <c r="B114" i="3"/>
  <c r="A114" i="3"/>
  <c r="A114" i="6" s="1"/>
  <c r="BJ113" i="3"/>
  <c r="BI113" i="3"/>
  <c r="BH113" i="3"/>
  <c r="BG113" i="3"/>
  <c r="BF113" i="3"/>
  <c r="BE113" i="3"/>
  <c r="FU113" i="6" s="1"/>
  <c r="BC113" i="3"/>
  <c r="BB113" i="3"/>
  <c r="BA113" i="3"/>
  <c r="AZ113" i="3"/>
  <c r="AY113" i="3"/>
  <c r="AX113" i="3"/>
  <c r="FJ113" i="6" s="1"/>
  <c r="AV113" i="3"/>
  <c r="AU113" i="3"/>
  <c r="AT113" i="3"/>
  <c r="AS113" i="3"/>
  <c r="AR113" i="3"/>
  <c r="AQ113" i="3"/>
  <c r="W113" i="6" s="1"/>
  <c r="AO113" i="3"/>
  <c r="AN113" i="3"/>
  <c r="AM113" i="3"/>
  <c r="AL113" i="3"/>
  <c r="AK113" i="3"/>
  <c r="AJ113" i="3"/>
  <c r="AS113" i="6" s="1"/>
  <c r="AH113" i="3"/>
  <c r="AG113" i="3"/>
  <c r="AF113" i="3"/>
  <c r="AE113" i="3"/>
  <c r="AD113" i="3"/>
  <c r="AC113" i="3"/>
  <c r="AA113" i="3"/>
  <c r="Z113" i="3"/>
  <c r="Y113" i="3"/>
  <c r="X113" i="3"/>
  <c r="W113" i="3"/>
  <c r="V113" i="3"/>
  <c r="BD113" i="6" s="1"/>
  <c r="T113" i="3"/>
  <c r="S113" i="3"/>
  <c r="R113" i="3"/>
  <c r="Q113" i="3"/>
  <c r="P113" i="3"/>
  <c r="O113" i="3"/>
  <c r="AH113" i="6" s="1"/>
  <c r="M113" i="3"/>
  <c r="L113" i="3"/>
  <c r="K113" i="3"/>
  <c r="J113" i="3"/>
  <c r="I113" i="3"/>
  <c r="H113" i="3"/>
  <c r="L113" i="6" s="1"/>
  <c r="F113" i="3"/>
  <c r="E113" i="3"/>
  <c r="D113" i="3"/>
  <c r="C113" i="3"/>
  <c r="B113" i="3"/>
  <c r="A113" i="3"/>
  <c r="A113" i="6" s="1"/>
  <c r="BJ112" i="3"/>
  <c r="BI112" i="3"/>
  <c r="BH112" i="3"/>
  <c r="BG112" i="3"/>
  <c r="BF112" i="3"/>
  <c r="BE112" i="3"/>
  <c r="FU112" i="6" s="1"/>
  <c r="BC112" i="3"/>
  <c r="BB112" i="3"/>
  <c r="BA112" i="3"/>
  <c r="AZ112" i="3"/>
  <c r="AY112" i="3"/>
  <c r="AX112" i="3"/>
  <c r="FJ112" i="6" s="1"/>
  <c r="AV112" i="3"/>
  <c r="AU112" i="3"/>
  <c r="AT112" i="3"/>
  <c r="AS112" i="3"/>
  <c r="AR112" i="3"/>
  <c r="AQ112" i="3"/>
  <c r="W112" i="6" s="1"/>
  <c r="AO112" i="3"/>
  <c r="AN112" i="3"/>
  <c r="AM112" i="3"/>
  <c r="AL112" i="3"/>
  <c r="AK112" i="3"/>
  <c r="AJ112" i="3"/>
  <c r="AS112" i="6" s="1"/>
  <c r="AH112" i="3"/>
  <c r="AG112" i="3"/>
  <c r="AF112" i="3"/>
  <c r="AE112" i="3"/>
  <c r="AD112" i="3"/>
  <c r="AC112" i="3"/>
  <c r="AA112" i="3"/>
  <c r="Z112" i="3"/>
  <c r="Y112" i="3"/>
  <c r="X112" i="3"/>
  <c r="W112" i="3"/>
  <c r="V112" i="3"/>
  <c r="BD112" i="6" s="1"/>
  <c r="T112" i="3"/>
  <c r="S112" i="3"/>
  <c r="R112" i="3"/>
  <c r="Q112" i="3"/>
  <c r="P112" i="3"/>
  <c r="O112" i="3"/>
  <c r="AH112" i="6" s="1"/>
  <c r="M112" i="3"/>
  <c r="L112" i="3"/>
  <c r="K112" i="3"/>
  <c r="J112" i="3"/>
  <c r="I112" i="3"/>
  <c r="H112" i="3"/>
  <c r="L112" i="6" s="1"/>
  <c r="F112" i="3"/>
  <c r="E112" i="3"/>
  <c r="D112" i="3"/>
  <c r="C112" i="3"/>
  <c r="B112" i="3"/>
  <c r="A112" i="3"/>
  <c r="A112" i="6" s="1"/>
  <c r="BJ111" i="3"/>
  <c r="BI111" i="3"/>
  <c r="BH111" i="3"/>
  <c r="BG111" i="3"/>
  <c r="BF111" i="3"/>
  <c r="BE111" i="3"/>
  <c r="FU111" i="6" s="1"/>
  <c r="BC111" i="3"/>
  <c r="BB111" i="3"/>
  <c r="BA111" i="3"/>
  <c r="AZ111" i="3"/>
  <c r="AY111" i="3"/>
  <c r="AX111" i="3"/>
  <c r="FJ111" i="6" s="1"/>
  <c r="AV111" i="3"/>
  <c r="AU111" i="3"/>
  <c r="AT111" i="3"/>
  <c r="AS111" i="3"/>
  <c r="AR111" i="3"/>
  <c r="AQ111" i="3"/>
  <c r="W111" i="6" s="1"/>
  <c r="AO111" i="3"/>
  <c r="AN111" i="3"/>
  <c r="AM111" i="3"/>
  <c r="AL111" i="3"/>
  <c r="AK111" i="3"/>
  <c r="AJ111" i="3"/>
  <c r="AS111" i="6" s="1"/>
  <c r="AH111" i="3"/>
  <c r="AG111" i="3"/>
  <c r="AF111" i="3"/>
  <c r="AE111" i="3"/>
  <c r="AD111" i="3"/>
  <c r="AC111" i="3"/>
  <c r="AA111" i="3"/>
  <c r="Z111" i="3"/>
  <c r="Y111" i="3"/>
  <c r="X111" i="3"/>
  <c r="W111" i="3"/>
  <c r="V111" i="3"/>
  <c r="BD111" i="6" s="1"/>
  <c r="T111" i="3"/>
  <c r="S111" i="3"/>
  <c r="R111" i="3"/>
  <c r="Q111" i="3"/>
  <c r="P111" i="3"/>
  <c r="O111" i="3"/>
  <c r="AH111" i="6" s="1"/>
  <c r="M111" i="3"/>
  <c r="L111" i="3"/>
  <c r="K111" i="3"/>
  <c r="J111" i="3"/>
  <c r="I111" i="3"/>
  <c r="H111" i="3"/>
  <c r="L111" i="6" s="1"/>
  <c r="F111" i="3"/>
  <c r="E111" i="3"/>
  <c r="D111" i="3"/>
  <c r="C111" i="3"/>
  <c r="B111" i="3"/>
  <c r="A111" i="3"/>
  <c r="A111" i="6" s="1"/>
  <c r="BJ110" i="3"/>
  <c r="BI110" i="3"/>
  <c r="BH110" i="3"/>
  <c r="BG110" i="3"/>
  <c r="BF110" i="3"/>
  <c r="BE110" i="3"/>
  <c r="FU110" i="6" s="1"/>
  <c r="BC110" i="3"/>
  <c r="BB110" i="3"/>
  <c r="BA110" i="3"/>
  <c r="AZ110" i="3"/>
  <c r="AY110" i="3"/>
  <c r="AX110" i="3"/>
  <c r="FJ110" i="6" s="1"/>
  <c r="AV110" i="3"/>
  <c r="AU110" i="3"/>
  <c r="AT110" i="3"/>
  <c r="AS110" i="3"/>
  <c r="AR110" i="3"/>
  <c r="AQ110" i="3"/>
  <c r="W110" i="6" s="1"/>
  <c r="AO110" i="3"/>
  <c r="AN110" i="3"/>
  <c r="AM110" i="3"/>
  <c r="AL110" i="3"/>
  <c r="AK110" i="3"/>
  <c r="AJ110" i="3"/>
  <c r="AS110" i="6" s="1"/>
  <c r="AH110" i="3"/>
  <c r="AG110" i="3"/>
  <c r="AF110" i="3"/>
  <c r="AE110" i="3"/>
  <c r="AD110" i="3"/>
  <c r="AC110" i="3"/>
  <c r="AA110" i="3"/>
  <c r="Z110" i="3"/>
  <c r="Y110" i="3"/>
  <c r="X110" i="3"/>
  <c r="W110" i="3"/>
  <c r="V110" i="3"/>
  <c r="BD110" i="6" s="1"/>
  <c r="T110" i="3"/>
  <c r="S110" i="3"/>
  <c r="R110" i="3"/>
  <c r="Q110" i="3"/>
  <c r="P110" i="3"/>
  <c r="O110" i="3"/>
  <c r="AH110" i="6" s="1"/>
  <c r="M110" i="3"/>
  <c r="L110" i="3"/>
  <c r="K110" i="3"/>
  <c r="J110" i="3"/>
  <c r="I110" i="3"/>
  <c r="H110" i="3"/>
  <c r="L110" i="6" s="1"/>
  <c r="F110" i="3"/>
  <c r="E110" i="3"/>
  <c r="D110" i="3"/>
  <c r="C110" i="3"/>
  <c r="B110" i="3"/>
  <c r="A110" i="3"/>
  <c r="A110" i="6" s="1"/>
  <c r="BJ109" i="3"/>
  <c r="BI109" i="3"/>
  <c r="BH109" i="3"/>
  <c r="BG109" i="3"/>
  <c r="BF109" i="3"/>
  <c r="BE109" i="3"/>
  <c r="FU109" i="6" s="1"/>
  <c r="BC109" i="3"/>
  <c r="BB109" i="3"/>
  <c r="BA109" i="3"/>
  <c r="AZ109" i="3"/>
  <c r="AY109" i="3"/>
  <c r="AX109" i="3"/>
  <c r="FJ109" i="6" s="1"/>
  <c r="AV109" i="3"/>
  <c r="AU109" i="3"/>
  <c r="AT109" i="3"/>
  <c r="AS109" i="3"/>
  <c r="AR109" i="3"/>
  <c r="AQ109" i="3"/>
  <c r="W109" i="6" s="1"/>
  <c r="AO109" i="3"/>
  <c r="AN109" i="3"/>
  <c r="AM109" i="3"/>
  <c r="AL109" i="3"/>
  <c r="AK109" i="3"/>
  <c r="AJ109" i="3"/>
  <c r="AS109" i="6" s="1"/>
  <c r="AH109" i="3"/>
  <c r="AG109" i="3"/>
  <c r="AF109" i="3"/>
  <c r="AE109" i="3"/>
  <c r="AD109" i="3"/>
  <c r="AC109" i="3"/>
  <c r="AA109" i="3"/>
  <c r="Z109" i="3"/>
  <c r="Y109" i="3"/>
  <c r="X109" i="3"/>
  <c r="W109" i="3"/>
  <c r="V109" i="3"/>
  <c r="BD109" i="6" s="1"/>
  <c r="T109" i="3"/>
  <c r="S109" i="3"/>
  <c r="R109" i="3"/>
  <c r="Q109" i="3"/>
  <c r="P109" i="3"/>
  <c r="O109" i="3"/>
  <c r="AH109" i="6" s="1"/>
  <c r="M109" i="3"/>
  <c r="L109" i="3"/>
  <c r="K109" i="3"/>
  <c r="J109" i="3"/>
  <c r="I109" i="3"/>
  <c r="H109" i="3"/>
  <c r="L109" i="6" s="1"/>
  <c r="F109" i="3"/>
  <c r="E109" i="3"/>
  <c r="D109" i="3"/>
  <c r="C109" i="3"/>
  <c r="B109" i="3"/>
  <c r="A109" i="3"/>
  <c r="A109" i="6" s="1"/>
  <c r="BJ108" i="3"/>
  <c r="BI108" i="3"/>
  <c r="BH108" i="3"/>
  <c r="BG108" i="3"/>
  <c r="BF108" i="3"/>
  <c r="BE108" i="3"/>
  <c r="FU108" i="6" s="1"/>
  <c r="BC108" i="3"/>
  <c r="BB108" i="3"/>
  <c r="BA108" i="3"/>
  <c r="AZ108" i="3"/>
  <c r="AY108" i="3"/>
  <c r="AX108" i="3"/>
  <c r="FJ108" i="6" s="1"/>
  <c r="AV108" i="3"/>
  <c r="AU108" i="3"/>
  <c r="AT108" i="3"/>
  <c r="AS108" i="3"/>
  <c r="AR108" i="3"/>
  <c r="AQ108" i="3"/>
  <c r="W108" i="6" s="1"/>
  <c r="AO108" i="3"/>
  <c r="AN108" i="3"/>
  <c r="AM108" i="3"/>
  <c r="AL108" i="3"/>
  <c r="AK108" i="3"/>
  <c r="AJ108" i="3"/>
  <c r="AS108" i="6" s="1"/>
  <c r="AH108" i="3"/>
  <c r="AG108" i="3"/>
  <c r="AF108" i="3"/>
  <c r="AE108" i="3"/>
  <c r="AD108" i="3"/>
  <c r="AC108" i="3"/>
  <c r="AA108" i="3"/>
  <c r="Z108" i="3"/>
  <c r="Y108" i="3"/>
  <c r="X108" i="3"/>
  <c r="W108" i="3"/>
  <c r="V108" i="3"/>
  <c r="BD108" i="6" s="1"/>
  <c r="T108" i="3"/>
  <c r="S108" i="3"/>
  <c r="R108" i="3"/>
  <c r="Q108" i="3"/>
  <c r="P108" i="3"/>
  <c r="O108" i="3"/>
  <c r="AH108" i="6" s="1"/>
  <c r="M108" i="3"/>
  <c r="L108" i="3"/>
  <c r="K108" i="3"/>
  <c r="J108" i="3"/>
  <c r="I108" i="3"/>
  <c r="H108" i="3"/>
  <c r="L108" i="6" s="1"/>
  <c r="F108" i="3"/>
  <c r="E108" i="3"/>
  <c r="D108" i="3"/>
  <c r="C108" i="3"/>
  <c r="B108" i="3"/>
  <c r="A108" i="3"/>
  <c r="A108" i="6" s="1"/>
  <c r="BJ107" i="3"/>
  <c r="BI107" i="3"/>
  <c r="BH107" i="3"/>
  <c r="BG107" i="3"/>
  <c r="BF107" i="3"/>
  <c r="BE107" i="3"/>
  <c r="FU107" i="6" s="1"/>
  <c r="BC107" i="3"/>
  <c r="BB107" i="3"/>
  <c r="BA107" i="3"/>
  <c r="AZ107" i="3"/>
  <c r="AY107" i="3"/>
  <c r="AX107" i="3"/>
  <c r="FJ107" i="6" s="1"/>
  <c r="AV107" i="3"/>
  <c r="AU107" i="3"/>
  <c r="AT107" i="3"/>
  <c r="AS107" i="3"/>
  <c r="AR107" i="3"/>
  <c r="AQ107" i="3"/>
  <c r="W107" i="6" s="1"/>
  <c r="AO107" i="3"/>
  <c r="AN107" i="3"/>
  <c r="AM107" i="3"/>
  <c r="AL107" i="3"/>
  <c r="AK107" i="3"/>
  <c r="AJ107" i="3"/>
  <c r="AS107" i="6" s="1"/>
  <c r="AH107" i="3"/>
  <c r="AG107" i="3"/>
  <c r="AF107" i="3"/>
  <c r="AE107" i="3"/>
  <c r="AD107" i="3"/>
  <c r="AC107" i="3"/>
  <c r="AA107" i="3"/>
  <c r="Z107" i="3"/>
  <c r="Y107" i="3"/>
  <c r="X107" i="3"/>
  <c r="W107" i="3"/>
  <c r="V107" i="3"/>
  <c r="BD107" i="6" s="1"/>
  <c r="T107" i="3"/>
  <c r="S107" i="3"/>
  <c r="R107" i="3"/>
  <c r="Q107" i="3"/>
  <c r="P107" i="3"/>
  <c r="O107" i="3"/>
  <c r="AH107" i="6" s="1"/>
  <c r="M107" i="3"/>
  <c r="L107" i="3"/>
  <c r="K107" i="3"/>
  <c r="J107" i="3"/>
  <c r="I107" i="3"/>
  <c r="H107" i="3"/>
  <c r="L107" i="6" s="1"/>
  <c r="F107" i="3"/>
  <c r="E107" i="3"/>
  <c r="D107" i="3"/>
  <c r="C107" i="3"/>
  <c r="B107" i="3"/>
  <c r="A107" i="3"/>
  <c r="A107" i="6" s="1"/>
  <c r="BJ106" i="3"/>
  <c r="BI106" i="3"/>
  <c r="BH106" i="3"/>
  <c r="BG106" i="3"/>
  <c r="BF106" i="3"/>
  <c r="BE106" i="3"/>
  <c r="FU106" i="6" s="1"/>
  <c r="BC106" i="3"/>
  <c r="BB106" i="3"/>
  <c r="BA106" i="3"/>
  <c r="AZ106" i="3"/>
  <c r="AY106" i="3"/>
  <c r="AX106" i="3"/>
  <c r="FJ106" i="6" s="1"/>
  <c r="AV106" i="3"/>
  <c r="AU106" i="3"/>
  <c r="AT106" i="3"/>
  <c r="AS106" i="3"/>
  <c r="AR106" i="3"/>
  <c r="AQ106" i="3"/>
  <c r="W106" i="6" s="1"/>
  <c r="AO106" i="3"/>
  <c r="AN106" i="3"/>
  <c r="AM106" i="3"/>
  <c r="AL106" i="3"/>
  <c r="AK106" i="3"/>
  <c r="AJ106" i="3"/>
  <c r="AS106" i="6" s="1"/>
  <c r="AH106" i="3"/>
  <c r="AG106" i="3"/>
  <c r="AF106" i="3"/>
  <c r="AE106" i="3"/>
  <c r="AD106" i="3"/>
  <c r="AC106" i="3"/>
  <c r="AA106" i="3"/>
  <c r="Z106" i="3"/>
  <c r="Y106" i="3"/>
  <c r="X106" i="3"/>
  <c r="W106" i="3"/>
  <c r="V106" i="3"/>
  <c r="BD106" i="6" s="1"/>
  <c r="T106" i="3"/>
  <c r="S106" i="3"/>
  <c r="R106" i="3"/>
  <c r="Q106" i="3"/>
  <c r="P106" i="3"/>
  <c r="O106" i="3"/>
  <c r="AH106" i="6" s="1"/>
  <c r="M106" i="3"/>
  <c r="L106" i="3"/>
  <c r="K106" i="3"/>
  <c r="J106" i="3"/>
  <c r="I106" i="3"/>
  <c r="H106" i="3"/>
  <c r="L106" i="6" s="1"/>
  <c r="F106" i="3"/>
  <c r="E106" i="3"/>
  <c r="D106" i="3"/>
  <c r="C106" i="3"/>
  <c r="B106" i="3"/>
  <c r="A106" i="3"/>
  <c r="A106" i="6" s="1"/>
  <c r="BJ105" i="3"/>
  <c r="BI105" i="3"/>
  <c r="BH105" i="3"/>
  <c r="BG105" i="3"/>
  <c r="BF105" i="3"/>
  <c r="BE105" i="3"/>
  <c r="FU105" i="6" s="1"/>
  <c r="BC105" i="3"/>
  <c r="BB105" i="3"/>
  <c r="BA105" i="3"/>
  <c r="AZ105" i="3"/>
  <c r="AY105" i="3"/>
  <c r="AX105" i="3"/>
  <c r="FJ105" i="6" s="1"/>
  <c r="AV105" i="3"/>
  <c r="AU105" i="3"/>
  <c r="AT105" i="3"/>
  <c r="AS105" i="3"/>
  <c r="AR105" i="3"/>
  <c r="AQ105" i="3"/>
  <c r="W105" i="6" s="1"/>
  <c r="AO105" i="3"/>
  <c r="AN105" i="3"/>
  <c r="AM105" i="3"/>
  <c r="AL105" i="3"/>
  <c r="AK105" i="3"/>
  <c r="AJ105" i="3"/>
  <c r="AS105" i="6" s="1"/>
  <c r="AH105" i="3"/>
  <c r="AG105" i="3"/>
  <c r="AF105" i="3"/>
  <c r="AE105" i="3"/>
  <c r="AD105" i="3"/>
  <c r="AC105" i="3"/>
  <c r="AA105" i="3"/>
  <c r="Z105" i="3"/>
  <c r="Y105" i="3"/>
  <c r="X105" i="3"/>
  <c r="W105" i="3"/>
  <c r="V105" i="3"/>
  <c r="BD105" i="6" s="1"/>
  <c r="T105" i="3"/>
  <c r="S105" i="3"/>
  <c r="R105" i="3"/>
  <c r="Q105" i="3"/>
  <c r="P105" i="3"/>
  <c r="O105" i="3"/>
  <c r="AH105" i="6" s="1"/>
  <c r="M105" i="3"/>
  <c r="L105" i="3"/>
  <c r="K105" i="3"/>
  <c r="J105" i="3"/>
  <c r="I105" i="3"/>
  <c r="H105" i="3"/>
  <c r="L105" i="6" s="1"/>
  <c r="F105" i="3"/>
  <c r="E105" i="3"/>
  <c r="D105" i="3"/>
  <c r="C105" i="3"/>
  <c r="B105" i="3"/>
  <c r="A105" i="3"/>
  <c r="A105" i="6" s="1"/>
  <c r="BJ104" i="3"/>
  <c r="BI104" i="3"/>
  <c r="BH104" i="3"/>
  <c r="BG104" i="3"/>
  <c r="BF104" i="3"/>
  <c r="BE104" i="3"/>
  <c r="FU104" i="6" s="1"/>
  <c r="BC104" i="3"/>
  <c r="BB104" i="3"/>
  <c r="BA104" i="3"/>
  <c r="AZ104" i="3"/>
  <c r="AY104" i="3"/>
  <c r="AX104" i="3"/>
  <c r="FJ104" i="6" s="1"/>
  <c r="AV104" i="3"/>
  <c r="AU104" i="3"/>
  <c r="AT104" i="3"/>
  <c r="AS104" i="3"/>
  <c r="AR104" i="3"/>
  <c r="AQ104" i="3"/>
  <c r="W104" i="6" s="1"/>
  <c r="AO104" i="3"/>
  <c r="AN104" i="3"/>
  <c r="AM104" i="3"/>
  <c r="AL104" i="3"/>
  <c r="AK104" i="3"/>
  <c r="AJ104" i="3"/>
  <c r="AS104" i="6" s="1"/>
  <c r="AH104" i="3"/>
  <c r="AG104" i="3"/>
  <c r="AF104" i="3"/>
  <c r="AE104" i="3"/>
  <c r="AD104" i="3"/>
  <c r="AC104" i="3"/>
  <c r="AA104" i="3"/>
  <c r="Z104" i="3"/>
  <c r="Y104" i="3"/>
  <c r="X104" i="3"/>
  <c r="W104" i="3"/>
  <c r="V104" i="3"/>
  <c r="BD104" i="6" s="1"/>
  <c r="T104" i="3"/>
  <c r="S104" i="3"/>
  <c r="R104" i="3"/>
  <c r="Q104" i="3"/>
  <c r="P104" i="3"/>
  <c r="O104" i="3"/>
  <c r="AH104" i="6" s="1"/>
  <c r="M104" i="3"/>
  <c r="L104" i="3"/>
  <c r="K104" i="3"/>
  <c r="J104" i="3"/>
  <c r="I104" i="3"/>
  <c r="H104" i="3"/>
  <c r="L104" i="6" s="1"/>
  <c r="F104" i="3"/>
  <c r="E104" i="3"/>
  <c r="D104" i="3"/>
  <c r="C104" i="3"/>
  <c r="B104" i="3"/>
  <c r="A104" i="3"/>
  <c r="A104" i="6" s="1"/>
  <c r="BJ103" i="3"/>
  <c r="BI103" i="3"/>
  <c r="BH103" i="3"/>
  <c r="BG103" i="3"/>
  <c r="BF103" i="3"/>
  <c r="BE103" i="3"/>
  <c r="FU103" i="6" s="1"/>
  <c r="BC103" i="3"/>
  <c r="BB103" i="3"/>
  <c r="BA103" i="3"/>
  <c r="AZ103" i="3"/>
  <c r="AY103" i="3"/>
  <c r="AX103" i="3"/>
  <c r="FJ103" i="6" s="1"/>
  <c r="AV103" i="3"/>
  <c r="AU103" i="3"/>
  <c r="AT103" i="3"/>
  <c r="AS103" i="3"/>
  <c r="AR103" i="3"/>
  <c r="AQ103" i="3"/>
  <c r="W103" i="6" s="1"/>
  <c r="AO103" i="3"/>
  <c r="AN103" i="3"/>
  <c r="AM103" i="3"/>
  <c r="AL103" i="3"/>
  <c r="AK103" i="3"/>
  <c r="AJ103" i="3"/>
  <c r="AS103" i="6" s="1"/>
  <c r="AH103" i="3"/>
  <c r="AG103" i="3"/>
  <c r="AF103" i="3"/>
  <c r="AE103" i="3"/>
  <c r="AD103" i="3"/>
  <c r="AC103" i="3"/>
  <c r="AA103" i="3"/>
  <c r="Z103" i="3"/>
  <c r="Y103" i="3"/>
  <c r="X103" i="3"/>
  <c r="W103" i="3"/>
  <c r="V103" i="3"/>
  <c r="BD103" i="6" s="1"/>
  <c r="T103" i="3"/>
  <c r="S103" i="3"/>
  <c r="R103" i="3"/>
  <c r="Q103" i="3"/>
  <c r="P103" i="3"/>
  <c r="O103" i="3"/>
  <c r="AH103" i="6" s="1"/>
  <c r="M103" i="3"/>
  <c r="L103" i="3"/>
  <c r="K103" i="3"/>
  <c r="J103" i="3"/>
  <c r="I103" i="3"/>
  <c r="H103" i="3"/>
  <c r="L103" i="6" s="1"/>
  <c r="F103" i="3"/>
  <c r="E103" i="3"/>
  <c r="D103" i="3"/>
  <c r="C103" i="3"/>
  <c r="B103" i="3"/>
  <c r="A103" i="3"/>
  <c r="A103" i="6" s="1"/>
  <c r="BJ102" i="3"/>
  <c r="BI102" i="3"/>
  <c r="BH102" i="3"/>
  <c r="BG102" i="3"/>
  <c r="BF102" i="3"/>
  <c r="BE102" i="3"/>
  <c r="FU102" i="6" s="1"/>
  <c r="BC102" i="3"/>
  <c r="BB102" i="3"/>
  <c r="BA102" i="3"/>
  <c r="AZ102" i="3"/>
  <c r="AY102" i="3"/>
  <c r="AX102" i="3"/>
  <c r="FJ102" i="6" s="1"/>
  <c r="AV102" i="3"/>
  <c r="AU102" i="3"/>
  <c r="AT102" i="3"/>
  <c r="AS102" i="3"/>
  <c r="AR102" i="3"/>
  <c r="AQ102" i="3"/>
  <c r="W102" i="6" s="1"/>
  <c r="AO102" i="3"/>
  <c r="AN102" i="3"/>
  <c r="AM102" i="3"/>
  <c r="AL102" i="3"/>
  <c r="AK102" i="3"/>
  <c r="AJ102" i="3"/>
  <c r="AS102" i="6" s="1"/>
  <c r="AH102" i="3"/>
  <c r="AG102" i="3"/>
  <c r="AF102" i="3"/>
  <c r="AE102" i="3"/>
  <c r="AD102" i="3"/>
  <c r="AC102" i="3"/>
  <c r="AA102" i="3"/>
  <c r="Z102" i="3"/>
  <c r="Y102" i="3"/>
  <c r="X102" i="3"/>
  <c r="W102" i="3"/>
  <c r="V102" i="3"/>
  <c r="BD102" i="6" s="1"/>
  <c r="T102" i="3"/>
  <c r="S102" i="3"/>
  <c r="R102" i="3"/>
  <c r="Q102" i="3"/>
  <c r="P102" i="3"/>
  <c r="O102" i="3"/>
  <c r="AH102" i="6" s="1"/>
  <c r="M102" i="3"/>
  <c r="L102" i="3"/>
  <c r="K102" i="3"/>
  <c r="J102" i="3"/>
  <c r="I102" i="3"/>
  <c r="H102" i="3"/>
  <c r="L102" i="6" s="1"/>
  <c r="F102" i="3"/>
  <c r="E102" i="3"/>
  <c r="D102" i="3"/>
  <c r="C102" i="3"/>
  <c r="B102" i="3"/>
  <c r="A102" i="3"/>
  <c r="A102" i="6" s="1"/>
  <c r="BJ101" i="3"/>
  <c r="BI101" i="3"/>
  <c r="BH101" i="3"/>
  <c r="BG101" i="3"/>
  <c r="BF101" i="3"/>
  <c r="BE101" i="3"/>
  <c r="FU101" i="6" s="1"/>
  <c r="BC101" i="3"/>
  <c r="BB101" i="3"/>
  <c r="BA101" i="3"/>
  <c r="AZ101" i="3"/>
  <c r="AY101" i="3"/>
  <c r="AX101" i="3"/>
  <c r="FJ101" i="6" s="1"/>
  <c r="AV101" i="3"/>
  <c r="AU101" i="3"/>
  <c r="AT101" i="3"/>
  <c r="AS101" i="3"/>
  <c r="AR101" i="3"/>
  <c r="AQ101" i="3"/>
  <c r="W101" i="6" s="1"/>
  <c r="AO101" i="3"/>
  <c r="AN101" i="3"/>
  <c r="AM101" i="3"/>
  <c r="AL101" i="3"/>
  <c r="AK101" i="3"/>
  <c r="AJ101" i="3"/>
  <c r="AS101" i="6" s="1"/>
  <c r="AH101" i="3"/>
  <c r="AG101" i="3"/>
  <c r="AF101" i="3"/>
  <c r="AE101" i="3"/>
  <c r="AD101" i="3"/>
  <c r="AC101" i="3"/>
  <c r="AA101" i="3"/>
  <c r="Z101" i="3"/>
  <c r="Y101" i="3"/>
  <c r="X101" i="3"/>
  <c r="W101" i="3"/>
  <c r="V101" i="3"/>
  <c r="BD101" i="6" s="1"/>
  <c r="T101" i="3"/>
  <c r="S101" i="3"/>
  <c r="R101" i="3"/>
  <c r="Q101" i="3"/>
  <c r="P101" i="3"/>
  <c r="O101" i="3"/>
  <c r="AH101" i="6" s="1"/>
  <c r="M101" i="3"/>
  <c r="L101" i="3"/>
  <c r="K101" i="3"/>
  <c r="J101" i="3"/>
  <c r="I101" i="3"/>
  <c r="H101" i="3"/>
  <c r="L101" i="6" s="1"/>
  <c r="F101" i="3"/>
  <c r="E101" i="3"/>
  <c r="D101" i="3"/>
  <c r="C101" i="3"/>
  <c r="B101" i="3"/>
  <c r="A101" i="3"/>
  <c r="A101" i="6" s="1"/>
  <c r="BJ100" i="3"/>
  <c r="BI100" i="3"/>
  <c r="BH100" i="3"/>
  <c r="BG100" i="3"/>
  <c r="BF100" i="3"/>
  <c r="BE100" i="3"/>
  <c r="FU100" i="6" s="1"/>
  <c r="BC100" i="3"/>
  <c r="BB100" i="3"/>
  <c r="BA100" i="3"/>
  <c r="AZ100" i="3"/>
  <c r="AY100" i="3"/>
  <c r="AX100" i="3"/>
  <c r="FJ100" i="6" s="1"/>
  <c r="AV100" i="3"/>
  <c r="AU100" i="3"/>
  <c r="AT100" i="3"/>
  <c r="AS100" i="3"/>
  <c r="AR100" i="3"/>
  <c r="AQ100" i="3"/>
  <c r="W100" i="6" s="1"/>
  <c r="AO100" i="3"/>
  <c r="AN100" i="3"/>
  <c r="AM100" i="3"/>
  <c r="AL100" i="3"/>
  <c r="AK100" i="3"/>
  <c r="AJ100" i="3"/>
  <c r="AS100" i="6" s="1"/>
  <c r="AH100" i="3"/>
  <c r="AG100" i="3"/>
  <c r="AF100" i="3"/>
  <c r="AE100" i="3"/>
  <c r="AD100" i="3"/>
  <c r="AC100" i="3"/>
  <c r="AA100" i="3"/>
  <c r="Z100" i="3"/>
  <c r="Y100" i="3"/>
  <c r="X100" i="3"/>
  <c r="W100" i="3"/>
  <c r="V100" i="3"/>
  <c r="BD100" i="6" s="1"/>
  <c r="T100" i="3"/>
  <c r="S100" i="3"/>
  <c r="R100" i="3"/>
  <c r="Q100" i="3"/>
  <c r="P100" i="3"/>
  <c r="O100" i="3"/>
  <c r="AH100" i="6" s="1"/>
  <c r="M100" i="3"/>
  <c r="L100" i="3"/>
  <c r="K100" i="3"/>
  <c r="J100" i="3"/>
  <c r="I100" i="3"/>
  <c r="H100" i="3"/>
  <c r="L100" i="6" s="1"/>
  <c r="F100" i="3"/>
  <c r="E100" i="3"/>
  <c r="D100" i="3"/>
  <c r="C100" i="3"/>
  <c r="B100" i="3"/>
  <c r="A100" i="3"/>
  <c r="A100" i="6" s="1"/>
  <c r="BJ99" i="3"/>
  <c r="BI99" i="3"/>
  <c r="BH99" i="3"/>
  <c r="BG99" i="3"/>
  <c r="BF99" i="3"/>
  <c r="BE99" i="3"/>
  <c r="FU99" i="6" s="1"/>
  <c r="BC99" i="3"/>
  <c r="BB99" i="3"/>
  <c r="BA99" i="3"/>
  <c r="AZ99" i="3"/>
  <c r="AY99" i="3"/>
  <c r="AX99" i="3"/>
  <c r="FJ99" i="6" s="1"/>
  <c r="AV99" i="3"/>
  <c r="AU99" i="3"/>
  <c r="AT99" i="3"/>
  <c r="AS99" i="3"/>
  <c r="AR99" i="3"/>
  <c r="AQ99" i="3"/>
  <c r="W99" i="6" s="1"/>
  <c r="AO99" i="3"/>
  <c r="AN99" i="3"/>
  <c r="AM99" i="3"/>
  <c r="AL99" i="3"/>
  <c r="AK99" i="3"/>
  <c r="AJ99" i="3"/>
  <c r="AS99" i="6" s="1"/>
  <c r="AH99" i="3"/>
  <c r="AG99" i="3"/>
  <c r="AF99" i="3"/>
  <c r="AE99" i="3"/>
  <c r="AD99" i="3"/>
  <c r="AC99" i="3"/>
  <c r="AA99" i="3"/>
  <c r="Z99" i="3"/>
  <c r="Y99" i="3"/>
  <c r="X99" i="3"/>
  <c r="W99" i="3"/>
  <c r="V99" i="3"/>
  <c r="BD99" i="6" s="1"/>
  <c r="T99" i="3"/>
  <c r="S99" i="3"/>
  <c r="R99" i="3"/>
  <c r="Q99" i="3"/>
  <c r="P99" i="3"/>
  <c r="O99" i="3"/>
  <c r="AH99" i="6" s="1"/>
  <c r="M99" i="3"/>
  <c r="L99" i="3"/>
  <c r="K99" i="3"/>
  <c r="J99" i="3"/>
  <c r="I99" i="3"/>
  <c r="H99" i="3"/>
  <c r="L99" i="6" s="1"/>
  <c r="F99" i="3"/>
  <c r="E99" i="3"/>
  <c r="D99" i="3"/>
  <c r="C99" i="3"/>
  <c r="B99" i="3"/>
  <c r="A99" i="3"/>
  <c r="A99" i="6" s="1"/>
  <c r="BJ98" i="3"/>
  <c r="BI98" i="3"/>
  <c r="BH98" i="3"/>
  <c r="BG98" i="3"/>
  <c r="BF98" i="3"/>
  <c r="BE98" i="3"/>
  <c r="FU98" i="6" s="1"/>
  <c r="BC98" i="3"/>
  <c r="BB98" i="3"/>
  <c r="BA98" i="3"/>
  <c r="AZ98" i="3"/>
  <c r="AY98" i="3"/>
  <c r="AX98" i="3"/>
  <c r="FJ98" i="6" s="1"/>
  <c r="AV98" i="3"/>
  <c r="AU98" i="3"/>
  <c r="AT98" i="3"/>
  <c r="AS98" i="3"/>
  <c r="AR98" i="3"/>
  <c r="AQ98" i="3"/>
  <c r="W98" i="6" s="1"/>
  <c r="AO98" i="3"/>
  <c r="AN98" i="3"/>
  <c r="AM98" i="3"/>
  <c r="AL98" i="3"/>
  <c r="AK98" i="3"/>
  <c r="AJ98" i="3"/>
  <c r="AS98" i="6" s="1"/>
  <c r="AH98" i="3"/>
  <c r="AG98" i="3"/>
  <c r="AF98" i="3"/>
  <c r="AE98" i="3"/>
  <c r="AD98" i="3"/>
  <c r="AC98" i="3"/>
  <c r="AA98" i="3"/>
  <c r="Z98" i="3"/>
  <c r="Y98" i="3"/>
  <c r="X98" i="3"/>
  <c r="W98" i="3"/>
  <c r="V98" i="3"/>
  <c r="BD98" i="6" s="1"/>
  <c r="T98" i="3"/>
  <c r="S98" i="3"/>
  <c r="R98" i="3"/>
  <c r="Q98" i="3"/>
  <c r="P98" i="3"/>
  <c r="O98" i="3"/>
  <c r="AH98" i="6" s="1"/>
  <c r="M98" i="3"/>
  <c r="L98" i="3"/>
  <c r="K98" i="3"/>
  <c r="J98" i="3"/>
  <c r="I98" i="3"/>
  <c r="H98" i="3"/>
  <c r="L98" i="6" s="1"/>
  <c r="F98" i="3"/>
  <c r="E98" i="3"/>
  <c r="D98" i="3"/>
  <c r="C98" i="3"/>
  <c r="B98" i="3"/>
  <c r="A98" i="3"/>
  <c r="A98" i="6" s="1"/>
  <c r="BJ97" i="3"/>
  <c r="BI97" i="3"/>
  <c r="BH97" i="3"/>
  <c r="BG97" i="3"/>
  <c r="BF97" i="3"/>
  <c r="BE97" i="3"/>
  <c r="FU97" i="6" s="1"/>
  <c r="BC97" i="3"/>
  <c r="BB97" i="3"/>
  <c r="BA97" i="3"/>
  <c r="AZ97" i="3"/>
  <c r="AY97" i="3"/>
  <c r="AX97" i="3"/>
  <c r="FJ97" i="6" s="1"/>
  <c r="AV97" i="3"/>
  <c r="AU97" i="3"/>
  <c r="AT97" i="3"/>
  <c r="AS97" i="3"/>
  <c r="AR97" i="3"/>
  <c r="AQ97" i="3"/>
  <c r="W97" i="6" s="1"/>
  <c r="AO97" i="3"/>
  <c r="AN97" i="3"/>
  <c r="AM97" i="3"/>
  <c r="AL97" i="3"/>
  <c r="AK97" i="3"/>
  <c r="AJ97" i="3"/>
  <c r="AS97" i="6" s="1"/>
  <c r="AH97" i="3"/>
  <c r="AG97" i="3"/>
  <c r="AF97" i="3"/>
  <c r="AE97" i="3"/>
  <c r="AD97" i="3"/>
  <c r="AC97" i="3"/>
  <c r="AA97" i="3"/>
  <c r="Z97" i="3"/>
  <c r="Y97" i="3"/>
  <c r="X97" i="3"/>
  <c r="W97" i="3"/>
  <c r="V97" i="3"/>
  <c r="BD97" i="6" s="1"/>
  <c r="T97" i="3"/>
  <c r="S97" i="3"/>
  <c r="R97" i="3"/>
  <c r="Q97" i="3"/>
  <c r="P97" i="3"/>
  <c r="O97" i="3"/>
  <c r="AH97" i="6" s="1"/>
  <c r="M97" i="3"/>
  <c r="L97" i="3"/>
  <c r="K97" i="3"/>
  <c r="J97" i="3"/>
  <c r="I97" i="3"/>
  <c r="H97" i="3"/>
  <c r="L97" i="6" s="1"/>
  <c r="F97" i="3"/>
  <c r="E97" i="3"/>
  <c r="D97" i="3"/>
  <c r="C97" i="3"/>
  <c r="B97" i="3"/>
  <c r="A97" i="3"/>
  <c r="A97" i="6" s="1"/>
  <c r="BJ96" i="3"/>
  <c r="BI96" i="3"/>
  <c r="BH96" i="3"/>
  <c r="BG96" i="3"/>
  <c r="BF96" i="3"/>
  <c r="BE96" i="3"/>
  <c r="FU96" i="6" s="1"/>
  <c r="BC96" i="3"/>
  <c r="BB96" i="3"/>
  <c r="BA96" i="3"/>
  <c r="AZ96" i="3"/>
  <c r="AY96" i="3"/>
  <c r="AX96" i="3"/>
  <c r="FJ96" i="6" s="1"/>
  <c r="AV96" i="3"/>
  <c r="AU96" i="3"/>
  <c r="AT96" i="3"/>
  <c r="AS96" i="3"/>
  <c r="AR96" i="3"/>
  <c r="AQ96" i="3"/>
  <c r="W96" i="6" s="1"/>
  <c r="AO96" i="3"/>
  <c r="AN96" i="3"/>
  <c r="AM96" i="3"/>
  <c r="AL96" i="3"/>
  <c r="AK96" i="3"/>
  <c r="AJ96" i="3"/>
  <c r="AS96" i="6" s="1"/>
  <c r="AH96" i="3"/>
  <c r="AG96" i="3"/>
  <c r="AF96" i="3"/>
  <c r="AE96" i="3"/>
  <c r="AD96" i="3"/>
  <c r="AC96" i="3"/>
  <c r="AA96" i="3"/>
  <c r="Z96" i="3"/>
  <c r="Y96" i="3"/>
  <c r="X96" i="3"/>
  <c r="W96" i="3"/>
  <c r="V96" i="3"/>
  <c r="BD96" i="6" s="1"/>
  <c r="T96" i="3"/>
  <c r="S96" i="3"/>
  <c r="R96" i="3"/>
  <c r="Q96" i="3"/>
  <c r="P96" i="3"/>
  <c r="O96" i="3"/>
  <c r="AH96" i="6" s="1"/>
  <c r="M96" i="3"/>
  <c r="L96" i="3"/>
  <c r="K96" i="3"/>
  <c r="J96" i="3"/>
  <c r="I96" i="3"/>
  <c r="H96" i="3"/>
  <c r="L96" i="6" s="1"/>
  <c r="F96" i="3"/>
  <c r="E96" i="3"/>
  <c r="D96" i="3"/>
  <c r="C96" i="3"/>
  <c r="B96" i="3"/>
  <c r="A96" i="3"/>
  <c r="A96" i="6" s="1"/>
  <c r="BJ95" i="3"/>
  <c r="BI95" i="3"/>
  <c r="BH95" i="3"/>
  <c r="BG95" i="3"/>
  <c r="BF95" i="3"/>
  <c r="BE95" i="3"/>
  <c r="FU95" i="6" s="1"/>
  <c r="BC95" i="3"/>
  <c r="BB95" i="3"/>
  <c r="BA95" i="3"/>
  <c r="AZ95" i="3"/>
  <c r="AY95" i="3"/>
  <c r="AX95" i="3"/>
  <c r="FJ95" i="6" s="1"/>
  <c r="AV95" i="3"/>
  <c r="AU95" i="3"/>
  <c r="AT95" i="3"/>
  <c r="AS95" i="3"/>
  <c r="AR95" i="3"/>
  <c r="AQ95" i="3"/>
  <c r="W95" i="6" s="1"/>
  <c r="AO95" i="3"/>
  <c r="AN95" i="3"/>
  <c r="AM95" i="3"/>
  <c r="AL95" i="3"/>
  <c r="AK95" i="3"/>
  <c r="AJ95" i="3"/>
  <c r="AS95" i="6" s="1"/>
  <c r="AH95" i="3"/>
  <c r="AG95" i="3"/>
  <c r="AF95" i="3"/>
  <c r="AE95" i="3"/>
  <c r="AD95" i="3"/>
  <c r="AC95" i="3"/>
  <c r="AA95" i="3"/>
  <c r="Z95" i="3"/>
  <c r="Y95" i="3"/>
  <c r="X95" i="3"/>
  <c r="W95" i="3"/>
  <c r="V95" i="3"/>
  <c r="BD95" i="6" s="1"/>
  <c r="T95" i="3"/>
  <c r="S95" i="3"/>
  <c r="R95" i="3"/>
  <c r="Q95" i="3"/>
  <c r="P95" i="3"/>
  <c r="O95" i="3"/>
  <c r="AH95" i="6" s="1"/>
  <c r="M95" i="3"/>
  <c r="L95" i="3"/>
  <c r="K95" i="3"/>
  <c r="J95" i="3"/>
  <c r="I95" i="3"/>
  <c r="H95" i="3"/>
  <c r="L95" i="6" s="1"/>
  <c r="F95" i="3"/>
  <c r="E95" i="3"/>
  <c r="D95" i="3"/>
  <c r="C95" i="3"/>
  <c r="B95" i="3"/>
  <c r="A95" i="3"/>
  <c r="A95" i="6" s="1"/>
  <c r="BJ94" i="3"/>
  <c r="BI94" i="3"/>
  <c r="BH94" i="3"/>
  <c r="BG94" i="3"/>
  <c r="BF94" i="3"/>
  <c r="BE94" i="3"/>
  <c r="FU94" i="6" s="1"/>
  <c r="BC94" i="3"/>
  <c r="BB94" i="3"/>
  <c r="BA94" i="3"/>
  <c r="AZ94" i="3"/>
  <c r="AY94" i="3"/>
  <c r="AX94" i="3"/>
  <c r="FJ94" i="6" s="1"/>
  <c r="AV94" i="3"/>
  <c r="AU94" i="3"/>
  <c r="AT94" i="3"/>
  <c r="AS94" i="3"/>
  <c r="AR94" i="3"/>
  <c r="AQ94" i="3"/>
  <c r="W94" i="6" s="1"/>
  <c r="AO94" i="3"/>
  <c r="AN94" i="3"/>
  <c r="AM94" i="3"/>
  <c r="AL94" i="3"/>
  <c r="AK94" i="3"/>
  <c r="AJ94" i="3"/>
  <c r="AS94" i="6" s="1"/>
  <c r="AH94" i="3"/>
  <c r="AG94" i="3"/>
  <c r="AF94" i="3"/>
  <c r="AE94" i="3"/>
  <c r="AD94" i="3"/>
  <c r="AC94" i="3"/>
  <c r="AA94" i="3"/>
  <c r="Z94" i="3"/>
  <c r="Y94" i="3"/>
  <c r="X94" i="3"/>
  <c r="W94" i="3"/>
  <c r="V94" i="3"/>
  <c r="BD94" i="6" s="1"/>
  <c r="T94" i="3"/>
  <c r="S94" i="3"/>
  <c r="R94" i="3"/>
  <c r="Q94" i="3"/>
  <c r="P94" i="3"/>
  <c r="O94" i="3"/>
  <c r="AH94" i="6" s="1"/>
  <c r="M94" i="3"/>
  <c r="L94" i="3"/>
  <c r="K94" i="3"/>
  <c r="J94" i="3"/>
  <c r="I94" i="3"/>
  <c r="H94" i="3"/>
  <c r="L94" i="6" s="1"/>
  <c r="F94" i="3"/>
  <c r="E94" i="3"/>
  <c r="D94" i="3"/>
  <c r="C94" i="3"/>
  <c r="B94" i="3"/>
  <c r="A94" i="3"/>
  <c r="A94" i="6" s="1"/>
  <c r="BJ93" i="3"/>
  <c r="BI93" i="3"/>
  <c r="BH93" i="3"/>
  <c r="BG93" i="3"/>
  <c r="BF93" i="3"/>
  <c r="BE93" i="3"/>
  <c r="FU93" i="6" s="1"/>
  <c r="BC93" i="3"/>
  <c r="BB93" i="3"/>
  <c r="BA93" i="3"/>
  <c r="AZ93" i="3"/>
  <c r="AY93" i="3"/>
  <c r="AX93" i="3"/>
  <c r="FJ93" i="6" s="1"/>
  <c r="AV93" i="3"/>
  <c r="AU93" i="3"/>
  <c r="AT93" i="3"/>
  <c r="AS93" i="3"/>
  <c r="AR93" i="3"/>
  <c r="AQ93" i="3"/>
  <c r="W93" i="6" s="1"/>
  <c r="AO93" i="3"/>
  <c r="AN93" i="3"/>
  <c r="AM93" i="3"/>
  <c r="AL93" i="3"/>
  <c r="AK93" i="3"/>
  <c r="AJ93" i="3"/>
  <c r="AS93" i="6" s="1"/>
  <c r="AH93" i="3"/>
  <c r="AG93" i="3"/>
  <c r="AF93" i="3"/>
  <c r="AE93" i="3"/>
  <c r="AD93" i="3"/>
  <c r="AC93" i="3"/>
  <c r="AA93" i="3"/>
  <c r="Z93" i="3"/>
  <c r="Y93" i="3"/>
  <c r="X93" i="3"/>
  <c r="W93" i="3"/>
  <c r="V93" i="3"/>
  <c r="BD93" i="6" s="1"/>
  <c r="T93" i="3"/>
  <c r="S93" i="3"/>
  <c r="R93" i="3"/>
  <c r="Q93" i="3"/>
  <c r="P93" i="3"/>
  <c r="O93" i="3"/>
  <c r="AH93" i="6" s="1"/>
  <c r="M93" i="3"/>
  <c r="L93" i="3"/>
  <c r="K93" i="3"/>
  <c r="J93" i="3"/>
  <c r="I93" i="3"/>
  <c r="H93" i="3"/>
  <c r="L93" i="6" s="1"/>
  <c r="F93" i="3"/>
  <c r="E93" i="3"/>
  <c r="D93" i="3"/>
  <c r="C93" i="3"/>
  <c r="B93" i="3"/>
  <c r="A93" i="3"/>
  <c r="A93" i="6" s="1"/>
  <c r="BJ92" i="3"/>
  <c r="BI92" i="3"/>
  <c r="BH92" i="3"/>
  <c r="BG92" i="3"/>
  <c r="BF92" i="3"/>
  <c r="BE92" i="3"/>
  <c r="FU92" i="6" s="1"/>
  <c r="BC92" i="3"/>
  <c r="BB92" i="3"/>
  <c r="BA92" i="3"/>
  <c r="AZ92" i="3"/>
  <c r="AY92" i="3"/>
  <c r="AX92" i="3"/>
  <c r="FJ92" i="6" s="1"/>
  <c r="AV92" i="3"/>
  <c r="AU92" i="3"/>
  <c r="AT92" i="3"/>
  <c r="AS92" i="3"/>
  <c r="AR92" i="3"/>
  <c r="AQ92" i="3"/>
  <c r="W92" i="6" s="1"/>
  <c r="AO92" i="3"/>
  <c r="AN92" i="3"/>
  <c r="AM92" i="3"/>
  <c r="AL92" i="3"/>
  <c r="AK92" i="3"/>
  <c r="AJ92" i="3"/>
  <c r="AS92" i="6" s="1"/>
  <c r="AH92" i="3"/>
  <c r="AG92" i="3"/>
  <c r="AF92" i="3"/>
  <c r="AE92" i="3"/>
  <c r="AD92" i="3"/>
  <c r="AC92" i="3"/>
  <c r="AA92" i="3"/>
  <c r="Z92" i="3"/>
  <c r="Y92" i="3"/>
  <c r="X92" i="3"/>
  <c r="W92" i="3"/>
  <c r="V92" i="3"/>
  <c r="BD92" i="6" s="1"/>
  <c r="T92" i="3"/>
  <c r="S92" i="3"/>
  <c r="R92" i="3"/>
  <c r="Q92" i="3"/>
  <c r="P92" i="3"/>
  <c r="O92" i="3"/>
  <c r="AH92" i="6" s="1"/>
  <c r="M92" i="3"/>
  <c r="L92" i="3"/>
  <c r="K92" i="3"/>
  <c r="J92" i="3"/>
  <c r="I92" i="3"/>
  <c r="H92" i="3"/>
  <c r="L92" i="6" s="1"/>
  <c r="F92" i="3"/>
  <c r="E92" i="3"/>
  <c r="D92" i="3"/>
  <c r="C92" i="3"/>
  <c r="B92" i="3"/>
  <c r="A92" i="3"/>
  <c r="A92" i="6" s="1"/>
  <c r="BJ91" i="3"/>
  <c r="BI91" i="3"/>
  <c r="BH91" i="3"/>
  <c r="BG91" i="3"/>
  <c r="BF91" i="3"/>
  <c r="BE91" i="3"/>
  <c r="FU91" i="6" s="1"/>
  <c r="BC91" i="3"/>
  <c r="BB91" i="3"/>
  <c r="BA91" i="3"/>
  <c r="AZ91" i="3"/>
  <c r="AY91" i="3"/>
  <c r="AX91" i="3"/>
  <c r="FJ91" i="6" s="1"/>
  <c r="AV91" i="3"/>
  <c r="AU91" i="3"/>
  <c r="AT91" i="3"/>
  <c r="AS91" i="3"/>
  <c r="AR91" i="3"/>
  <c r="AQ91" i="3"/>
  <c r="W91" i="6" s="1"/>
  <c r="AO91" i="3"/>
  <c r="AN91" i="3"/>
  <c r="AM91" i="3"/>
  <c r="AL91" i="3"/>
  <c r="AK91" i="3"/>
  <c r="AJ91" i="3"/>
  <c r="AS91" i="6" s="1"/>
  <c r="AH91" i="3"/>
  <c r="AG91" i="3"/>
  <c r="AF91" i="3"/>
  <c r="AE91" i="3"/>
  <c r="AD91" i="3"/>
  <c r="AC91" i="3"/>
  <c r="AA91" i="3"/>
  <c r="Z91" i="3"/>
  <c r="Y91" i="3"/>
  <c r="X91" i="3"/>
  <c r="W91" i="3"/>
  <c r="V91" i="3"/>
  <c r="BD91" i="6" s="1"/>
  <c r="T91" i="3"/>
  <c r="S91" i="3"/>
  <c r="R91" i="3"/>
  <c r="Q91" i="3"/>
  <c r="P91" i="3"/>
  <c r="O91" i="3"/>
  <c r="AH91" i="6" s="1"/>
  <c r="M91" i="3"/>
  <c r="L91" i="3"/>
  <c r="K91" i="3"/>
  <c r="J91" i="3"/>
  <c r="I91" i="3"/>
  <c r="H91" i="3"/>
  <c r="L91" i="6" s="1"/>
  <c r="F91" i="3"/>
  <c r="E91" i="3"/>
  <c r="D91" i="3"/>
  <c r="C91" i="3"/>
  <c r="B91" i="3"/>
  <c r="A91" i="3"/>
  <c r="A91" i="6" s="1"/>
  <c r="BJ90" i="3"/>
  <c r="BI90" i="3"/>
  <c r="BH90" i="3"/>
  <c r="BG90" i="3"/>
  <c r="BF90" i="3"/>
  <c r="BE90" i="3"/>
  <c r="FU90" i="6" s="1"/>
  <c r="BC90" i="3"/>
  <c r="BB90" i="3"/>
  <c r="BA90" i="3"/>
  <c r="AZ90" i="3"/>
  <c r="AY90" i="3"/>
  <c r="AX90" i="3"/>
  <c r="FJ90" i="6" s="1"/>
  <c r="AV90" i="3"/>
  <c r="AU90" i="3"/>
  <c r="AT90" i="3"/>
  <c r="AS90" i="3"/>
  <c r="AR90" i="3"/>
  <c r="AQ90" i="3"/>
  <c r="W90" i="6" s="1"/>
  <c r="AO90" i="3"/>
  <c r="AN90" i="3"/>
  <c r="AM90" i="3"/>
  <c r="AL90" i="3"/>
  <c r="AK90" i="3"/>
  <c r="AJ90" i="3"/>
  <c r="AS90" i="6" s="1"/>
  <c r="AH90" i="3"/>
  <c r="AG90" i="3"/>
  <c r="AF90" i="3"/>
  <c r="AE90" i="3"/>
  <c r="AD90" i="3"/>
  <c r="AC90" i="3"/>
  <c r="AA90" i="3"/>
  <c r="Z90" i="3"/>
  <c r="Y90" i="3"/>
  <c r="X90" i="3"/>
  <c r="W90" i="3"/>
  <c r="V90" i="3"/>
  <c r="BD90" i="6" s="1"/>
  <c r="T90" i="3"/>
  <c r="S90" i="3"/>
  <c r="R90" i="3"/>
  <c r="Q90" i="3"/>
  <c r="P90" i="3"/>
  <c r="O90" i="3"/>
  <c r="AH90" i="6" s="1"/>
  <c r="M90" i="3"/>
  <c r="L90" i="3"/>
  <c r="K90" i="3"/>
  <c r="J90" i="3"/>
  <c r="I90" i="3"/>
  <c r="H90" i="3"/>
  <c r="L90" i="6" s="1"/>
  <c r="F90" i="3"/>
  <c r="E90" i="3"/>
  <c r="D90" i="3"/>
  <c r="C90" i="3"/>
  <c r="B90" i="3"/>
  <c r="A90" i="3"/>
  <c r="A90" i="6" s="1"/>
  <c r="BJ89" i="3"/>
  <c r="BI89" i="3"/>
  <c r="BH89" i="3"/>
  <c r="BG89" i="3"/>
  <c r="BF89" i="3"/>
  <c r="BE89" i="3"/>
  <c r="FU89" i="6" s="1"/>
  <c r="BC89" i="3"/>
  <c r="BB89" i="3"/>
  <c r="BA89" i="3"/>
  <c r="AZ89" i="3"/>
  <c r="AY89" i="3"/>
  <c r="AX89" i="3"/>
  <c r="FJ89" i="6" s="1"/>
  <c r="AV89" i="3"/>
  <c r="AU89" i="3"/>
  <c r="AT89" i="3"/>
  <c r="AS89" i="3"/>
  <c r="AR89" i="3"/>
  <c r="AQ89" i="3"/>
  <c r="W89" i="6" s="1"/>
  <c r="AO89" i="3"/>
  <c r="AN89" i="3"/>
  <c r="AM89" i="3"/>
  <c r="AL89" i="3"/>
  <c r="AK89" i="3"/>
  <c r="AJ89" i="3"/>
  <c r="AS89" i="6" s="1"/>
  <c r="AH89" i="3"/>
  <c r="AG89" i="3"/>
  <c r="AF89" i="3"/>
  <c r="AE89" i="3"/>
  <c r="AD89" i="3"/>
  <c r="AC89" i="3"/>
  <c r="AA89" i="3"/>
  <c r="Z89" i="3"/>
  <c r="Y89" i="3"/>
  <c r="X89" i="3"/>
  <c r="W89" i="3"/>
  <c r="V89" i="3"/>
  <c r="BD89" i="6" s="1"/>
  <c r="T89" i="3"/>
  <c r="S89" i="3"/>
  <c r="R89" i="3"/>
  <c r="Q89" i="3"/>
  <c r="P89" i="3"/>
  <c r="O89" i="3"/>
  <c r="AH89" i="6" s="1"/>
  <c r="M89" i="3"/>
  <c r="L89" i="3"/>
  <c r="K89" i="3"/>
  <c r="J89" i="3"/>
  <c r="I89" i="3"/>
  <c r="H89" i="3"/>
  <c r="L89" i="6" s="1"/>
  <c r="F89" i="3"/>
  <c r="E89" i="3"/>
  <c r="D89" i="3"/>
  <c r="C89" i="3"/>
  <c r="B89" i="3"/>
  <c r="A89" i="3"/>
  <c r="A89" i="6" s="1"/>
  <c r="BJ88" i="3"/>
  <c r="BI88" i="3"/>
  <c r="BH88" i="3"/>
  <c r="BG88" i="3"/>
  <c r="BF88" i="3"/>
  <c r="BE88" i="3"/>
  <c r="FU88" i="6" s="1"/>
  <c r="BC88" i="3"/>
  <c r="BB88" i="3"/>
  <c r="BA88" i="3"/>
  <c r="AZ88" i="3"/>
  <c r="AY88" i="3"/>
  <c r="AX88" i="3"/>
  <c r="FJ88" i="6" s="1"/>
  <c r="AV88" i="3"/>
  <c r="AU88" i="3"/>
  <c r="AT88" i="3"/>
  <c r="AS88" i="3"/>
  <c r="AR88" i="3"/>
  <c r="AQ88" i="3"/>
  <c r="W88" i="6" s="1"/>
  <c r="AO88" i="3"/>
  <c r="AN88" i="3"/>
  <c r="AM88" i="3"/>
  <c r="AL88" i="3"/>
  <c r="AK88" i="3"/>
  <c r="AJ88" i="3"/>
  <c r="AS88" i="6" s="1"/>
  <c r="AH88" i="3"/>
  <c r="AG88" i="3"/>
  <c r="AF88" i="3"/>
  <c r="AE88" i="3"/>
  <c r="AD88" i="3"/>
  <c r="AC88" i="3"/>
  <c r="AA88" i="3"/>
  <c r="Z88" i="3"/>
  <c r="Y88" i="3"/>
  <c r="X88" i="3"/>
  <c r="W88" i="3"/>
  <c r="V88" i="3"/>
  <c r="BD88" i="6" s="1"/>
  <c r="T88" i="3"/>
  <c r="S88" i="3"/>
  <c r="R88" i="3"/>
  <c r="Q88" i="3"/>
  <c r="P88" i="3"/>
  <c r="O88" i="3"/>
  <c r="AH88" i="6" s="1"/>
  <c r="M88" i="3"/>
  <c r="L88" i="3"/>
  <c r="K88" i="3"/>
  <c r="J88" i="3"/>
  <c r="I88" i="3"/>
  <c r="H88" i="3"/>
  <c r="L88" i="6" s="1"/>
  <c r="F88" i="3"/>
  <c r="E88" i="3"/>
  <c r="D88" i="3"/>
  <c r="C88" i="3"/>
  <c r="B88" i="3"/>
  <c r="A88" i="3"/>
  <c r="A88" i="6" s="1"/>
  <c r="BJ87" i="3"/>
  <c r="BI87" i="3"/>
  <c r="BH87" i="3"/>
  <c r="BG87" i="3"/>
  <c r="BF87" i="3"/>
  <c r="BE87" i="3"/>
  <c r="FU87" i="6" s="1"/>
  <c r="BC87" i="3"/>
  <c r="BB87" i="3"/>
  <c r="BA87" i="3"/>
  <c r="AZ87" i="3"/>
  <c r="AY87" i="3"/>
  <c r="AX87" i="3"/>
  <c r="FJ87" i="6" s="1"/>
  <c r="AV87" i="3"/>
  <c r="AU87" i="3"/>
  <c r="AT87" i="3"/>
  <c r="AS87" i="3"/>
  <c r="AR87" i="3"/>
  <c r="AQ87" i="3"/>
  <c r="W87" i="6" s="1"/>
  <c r="AO87" i="3"/>
  <c r="AN87" i="3"/>
  <c r="AM87" i="3"/>
  <c r="AL87" i="3"/>
  <c r="AK87" i="3"/>
  <c r="AJ87" i="3"/>
  <c r="AS87" i="6" s="1"/>
  <c r="AH87" i="3"/>
  <c r="AG87" i="3"/>
  <c r="AF87" i="3"/>
  <c r="AE87" i="3"/>
  <c r="AD87" i="3"/>
  <c r="AC87" i="3"/>
  <c r="AA87" i="3"/>
  <c r="Z87" i="3"/>
  <c r="Y87" i="3"/>
  <c r="X87" i="3"/>
  <c r="W87" i="3"/>
  <c r="V87" i="3"/>
  <c r="BD87" i="6" s="1"/>
  <c r="T87" i="3"/>
  <c r="S87" i="3"/>
  <c r="R87" i="3"/>
  <c r="Q87" i="3"/>
  <c r="P87" i="3"/>
  <c r="O87" i="3"/>
  <c r="AH87" i="6" s="1"/>
  <c r="M87" i="3"/>
  <c r="L87" i="3"/>
  <c r="K87" i="3"/>
  <c r="J87" i="3"/>
  <c r="I87" i="3"/>
  <c r="H87" i="3"/>
  <c r="L87" i="6" s="1"/>
  <c r="F87" i="3"/>
  <c r="E87" i="3"/>
  <c r="D87" i="3"/>
  <c r="C87" i="3"/>
  <c r="B87" i="3"/>
  <c r="A87" i="3"/>
  <c r="A87" i="6" s="1"/>
  <c r="BJ86" i="3"/>
  <c r="BI86" i="3"/>
  <c r="BH86" i="3"/>
  <c r="BG86" i="3"/>
  <c r="BF86" i="3"/>
  <c r="BE86" i="3"/>
  <c r="FU86" i="6" s="1"/>
  <c r="BC86" i="3"/>
  <c r="BB86" i="3"/>
  <c r="BA86" i="3"/>
  <c r="AZ86" i="3"/>
  <c r="AY86" i="3"/>
  <c r="AX86" i="3"/>
  <c r="FJ86" i="6" s="1"/>
  <c r="AV86" i="3"/>
  <c r="AU86" i="3"/>
  <c r="AT86" i="3"/>
  <c r="AS86" i="3"/>
  <c r="AR86" i="3"/>
  <c r="AQ86" i="3"/>
  <c r="W86" i="6" s="1"/>
  <c r="AO86" i="3"/>
  <c r="AN86" i="3"/>
  <c r="AM86" i="3"/>
  <c r="AL86" i="3"/>
  <c r="AK86" i="3"/>
  <c r="AJ86" i="3"/>
  <c r="AS86" i="6" s="1"/>
  <c r="AH86" i="3"/>
  <c r="AG86" i="3"/>
  <c r="AF86" i="3"/>
  <c r="AE86" i="3"/>
  <c r="AD86" i="3"/>
  <c r="AC86" i="3"/>
  <c r="AA86" i="3"/>
  <c r="Z86" i="3"/>
  <c r="Y86" i="3"/>
  <c r="X86" i="3"/>
  <c r="W86" i="3"/>
  <c r="V86" i="3"/>
  <c r="BD86" i="6" s="1"/>
  <c r="T86" i="3"/>
  <c r="S86" i="3"/>
  <c r="R86" i="3"/>
  <c r="Q86" i="3"/>
  <c r="P86" i="3"/>
  <c r="O86" i="3"/>
  <c r="AH86" i="6" s="1"/>
  <c r="M86" i="3"/>
  <c r="L86" i="3"/>
  <c r="K86" i="3"/>
  <c r="J86" i="3"/>
  <c r="I86" i="3"/>
  <c r="H86" i="3"/>
  <c r="L86" i="6" s="1"/>
  <c r="F86" i="3"/>
  <c r="E86" i="3"/>
  <c r="D86" i="3"/>
  <c r="C86" i="3"/>
  <c r="B86" i="3"/>
  <c r="A86" i="3"/>
  <c r="A86" i="6" s="1"/>
  <c r="BJ85" i="3"/>
  <c r="BI85" i="3"/>
  <c r="BH85" i="3"/>
  <c r="BG85" i="3"/>
  <c r="BF85" i="3"/>
  <c r="BE85" i="3"/>
  <c r="FU85" i="6" s="1"/>
  <c r="BC85" i="3"/>
  <c r="BB85" i="3"/>
  <c r="BA85" i="3"/>
  <c r="AZ85" i="3"/>
  <c r="AY85" i="3"/>
  <c r="AX85" i="3"/>
  <c r="FJ85" i="6" s="1"/>
  <c r="AV85" i="3"/>
  <c r="AU85" i="3"/>
  <c r="AT85" i="3"/>
  <c r="AS85" i="3"/>
  <c r="AR85" i="3"/>
  <c r="AQ85" i="3"/>
  <c r="W85" i="6" s="1"/>
  <c r="AO85" i="3"/>
  <c r="AN85" i="3"/>
  <c r="AM85" i="3"/>
  <c r="AL85" i="3"/>
  <c r="AK85" i="3"/>
  <c r="AJ85" i="3"/>
  <c r="AS85" i="6" s="1"/>
  <c r="AH85" i="3"/>
  <c r="AG85" i="3"/>
  <c r="AF85" i="3"/>
  <c r="AE85" i="3"/>
  <c r="AD85" i="3"/>
  <c r="AC85" i="3"/>
  <c r="AA85" i="3"/>
  <c r="Z85" i="3"/>
  <c r="Y85" i="3"/>
  <c r="X85" i="3"/>
  <c r="W85" i="3"/>
  <c r="V85" i="3"/>
  <c r="BD85" i="6" s="1"/>
  <c r="T85" i="3"/>
  <c r="S85" i="3"/>
  <c r="R85" i="3"/>
  <c r="Q85" i="3"/>
  <c r="P85" i="3"/>
  <c r="O85" i="3"/>
  <c r="AH85" i="6" s="1"/>
  <c r="M85" i="3"/>
  <c r="L85" i="3"/>
  <c r="K85" i="3"/>
  <c r="J85" i="3"/>
  <c r="I85" i="3"/>
  <c r="H85" i="3"/>
  <c r="L85" i="6" s="1"/>
  <c r="F85" i="3"/>
  <c r="E85" i="3"/>
  <c r="D85" i="3"/>
  <c r="C85" i="3"/>
  <c r="B85" i="3"/>
  <c r="A85" i="3"/>
  <c r="A85" i="6" s="1"/>
  <c r="BJ84" i="3"/>
  <c r="BI84" i="3"/>
  <c r="BH84" i="3"/>
  <c r="BG84" i="3"/>
  <c r="BF84" i="3"/>
  <c r="BE84" i="3"/>
  <c r="FU84" i="6" s="1"/>
  <c r="BC84" i="3"/>
  <c r="BB84" i="3"/>
  <c r="BA84" i="3"/>
  <c r="AZ84" i="3"/>
  <c r="AY84" i="3"/>
  <c r="AX84" i="3"/>
  <c r="FJ84" i="6" s="1"/>
  <c r="AV84" i="3"/>
  <c r="AU84" i="3"/>
  <c r="AT84" i="3"/>
  <c r="AS84" i="3"/>
  <c r="AR84" i="3"/>
  <c r="AQ84" i="3"/>
  <c r="W84" i="6" s="1"/>
  <c r="AO84" i="3"/>
  <c r="AN84" i="3"/>
  <c r="AM84" i="3"/>
  <c r="AL84" i="3"/>
  <c r="AK84" i="3"/>
  <c r="AJ84" i="3"/>
  <c r="AS84" i="6" s="1"/>
  <c r="AH84" i="3"/>
  <c r="AG84" i="3"/>
  <c r="AF84" i="3"/>
  <c r="AE84" i="3"/>
  <c r="AD84" i="3"/>
  <c r="AC84" i="3"/>
  <c r="AA84" i="3"/>
  <c r="Z84" i="3"/>
  <c r="Y84" i="3"/>
  <c r="X84" i="3"/>
  <c r="W84" i="3"/>
  <c r="V84" i="3"/>
  <c r="BD84" i="6" s="1"/>
  <c r="T84" i="3"/>
  <c r="S84" i="3"/>
  <c r="R84" i="3"/>
  <c r="Q84" i="3"/>
  <c r="P84" i="3"/>
  <c r="O84" i="3"/>
  <c r="AH84" i="6" s="1"/>
  <c r="M84" i="3"/>
  <c r="L84" i="3"/>
  <c r="K84" i="3"/>
  <c r="J84" i="3"/>
  <c r="I84" i="3"/>
  <c r="H84" i="3"/>
  <c r="L84" i="6" s="1"/>
  <c r="F84" i="3"/>
  <c r="E84" i="3"/>
  <c r="D84" i="3"/>
  <c r="C84" i="3"/>
  <c r="B84" i="3"/>
  <c r="A84" i="3"/>
  <c r="A84" i="6" s="1"/>
  <c r="BJ83" i="3"/>
  <c r="BI83" i="3"/>
  <c r="BH83" i="3"/>
  <c r="BG83" i="3"/>
  <c r="BF83" i="3"/>
  <c r="BE83" i="3"/>
  <c r="FU83" i="6" s="1"/>
  <c r="BC83" i="3"/>
  <c r="BB83" i="3"/>
  <c r="BA83" i="3"/>
  <c r="AZ83" i="3"/>
  <c r="AY83" i="3"/>
  <c r="AX83" i="3"/>
  <c r="FJ83" i="6" s="1"/>
  <c r="AV83" i="3"/>
  <c r="AU83" i="3"/>
  <c r="AT83" i="3"/>
  <c r="AS83" i="3"/>
  <c r="AR83" i="3"/>
  <c r="AQ83" i="3"/>
  <c r="W83" i="6" s="1"/>
  <c r="AO83" i="3"/>
  <c r="AN83" i="3"/>
  <c r="AM83" i="3"/>
  <c r="AL83" i="3"/>
  <c r="AK83" i="3"/>
  <c r="AJ83" i="3"/>
  <c r="AS83" i="6" s="1"/>
  <c r="AH83" i="3"/>
  <c r="AG83" i="3"/>
  <c r="AF83" i="3"/>
  <c r="AE83" i="3"/>
  <c r="AD83" i="3"/>
  <c r="AC83" i="3"/>
  <c r="AA83" i="3"/>
  <c r="Z83" i="3"/>
  <c r="Y83" i="3"/>
  <c r="X83" i="3"/>
  <c r="W83" i="3"/>
  <c r="V83" i="3"/>
  <c r="BD83" i="6" s="1"/>
  <c r="T83" i="3"/>
  <c r="S83" i="3"/>
  <c r="R83" i="3"/>
  <c r="Q83" i="3"/>
  <c r="P83" i="3"/>
  <c r="O83" i="3"/>
  <c r="AH83" i="6" s="1"/>
  <c r="M83" i="3"/>
  <c r="L83" i="3"/>
  <c r="K83" i="3"/>
  <c r="J83" i="3"/>
  <c r="I83" i="3"/>
  <c r="H83" i="3"/>
  <c r="L83" i="6" s="1"/>
  <c r="F83" i="3"/>
  <c r="E83" i="3"/>
  <c r="D83" i="3"/>
  <c r="C83" i="3"/>
  <c r="B83" i="3"/>
  <c r="A83" i="3"/>
  <c r="A83" i="6" s="1"/>
  <c r="BJ82" i="3"/>
  <c r="BI82" i="3"/>
  <c r="BH82" i="3"/>
  <c r="BG82" i="3"/>
  <c r="BF82" i="3"/>
  <c r="BE82" i="3"/>
  <c r="FU82" i="6" s="1"/>
  <c r="BC82" i="3"/>
  <c r="BB82" i="3"/>
  <c r="BA82" i="3"/>
  <c r="AZ82" i="3"/>
  <c r="AY82" i="3"/>
  <c r="AX82" i="3"/>
  <c r="FJ82" i="6" s="1"/>
  <c r="AV82" i="3"/>
  <c r="AU82" i="3"/>
  <c r="AT82" i="3"/>
  <c r="AS82" i="3"/>
  <c r="AR82" i="3"/>
  <c r="AQ82" i="3"/>
  <c r="W82" i="6" s="1"/>
  <c r="AO82" i="3"/>
  <c r="AN82" i="3"/>
  <c r="AM82" i="3"/>
  <c r="AL82" i="3"/>
  <c r="AK82" i="3"/>
  <c r="AJ82" i="3"/>
  <c r="AS82" i="6" s="1"/>
  <c r="AH82" i="3"/>
  <c r="AG82" i="3"/>
  <c r="AF82" i="3"/>
  <c r="AE82" i="3"/>
  <c r="AD82" i="3"/>
  <c r="AC82" i="3"/>
  <c r="AA82" i="3"/>
  <c r="Z82" i="3"/>
  <c r="Y82" i="3"/>
  <c r="X82" i="3"/>
  <c r="W82" i="3"/>
  <c r="V82" i="3"/>
  <c r="BD82" i="6" s="1"/>
  <c r="T82" i="3"/>
  <c r="S82" i="3"/>
  <c r="R82" i="3"/>
  <c r="Q82" i="3"/>
  <c r="P82" i="3"/>
  <c r="O82" i="3"/>
  <c r="AH82" i="6" s="1"/>
  <c r="M82" i="3"/>
  <c r="L82" i="3"/>
  <c r="K82" i="3"/>
  <c r="J82" i="3"/>
  <c r="I82" i="3"/>
  <c r="H82" i="3"/>
  <c r="L82" i="6" s="1"/>
  <c r="F82" i="3"/>
  <c r="E82" i="3"/>
  <c r="D82" i="3"/>
  <c r="C82" i="3"/>
  <c r="B82" i="3"/>
  <c r="A82" i="3"/>
  <c r="A82" i="6" s="1"/>
  <c r="BJ81" i="3"/>
  <c r="BI81" i="3"/>
  <c r="BH81" i="3"/>
  <c r="BG81" i="3"/>
  <c r="BF81" i="3"/>
  <c r="BE81" i="3"/>
  <c r="FU81" i="6" s="1"/>
  <c r="BC81" i="3"/>
  <c r="BB81" i="3"/>
  <c r="BA81" i="3"/>
  <c r="AZ81" i="3"/>
  <c r="AY81" i="3"/>
  <c r="AX81" i="3"/>
  <c r="FJ81" i="6" s="1"/>
  <c r="AV81" i="3"/>
  <c r="AU81" i="3"/>
  <c r="AT81" i="3"/>
  <c r="AS81" i="3"/>
  <c r="AR81" i="3"/>
  <c r="AQ81" i="3"/>
  <c r="W81" i="6" s="1"/>
  <c r="AO81" i="3"/>
  <c r="AN81" i="3"/>
  <c r="AM81" i="3"/>
  <c r="AL81" i="3"/>
  <c r="AK81" i="3"/>
  <c r="AJ81" i="3"/>
  <c r="AS81" i="6" s="1"/>
  <c r="AH81" i="3"/>
  <c r="AG81" i="3"/>
  <c r="AF81" i="3"/>
  <c r="AE81" i="3"/>
  <c r="AD81" i="3"/>
  <c r="AC81" i="3"/>
  <c r="AA81" i="3"/>
  <c r="Z81" i="3"/>
  <c r="Y81" i="3"/>
  <c r="X81" i="3"/>
  <c r="W81" i="3"/>
  <c r="V81" i="3"/>
  <c r="BD81" i="6" s="1"/>
  <c r="T81" i="3"/>
  <c r="S81" i="3"/>
  <c r="R81" i="3"/>
  <c r="Q81" i="3"/>
  <c r="P81" i="3"/>
  <c r="O81" i="3"/>
  <c r="AH81" i="6" s="1"/>
  <c r="M81" i="3"/>
  <c r="L81" i="3"/>
  <c r="K81" i="3"/>
  <c r="J81" i="3"/>
  <c r="I81" i="3"/>
  <c r="H81" i="3"/>
  <c r="L81" i="6" s="1"/>
  <c r="F81" i="3"/>
  <c r="E81" i="3"/>
  <c r="D81" i="3"/>
  <c r="C81" i="3"/>
  <c r="B81" i="3"/>
  <c r="A81" i="3"/>
  <c r="A81" i="6" s="1"/>
  <c r="BJ80" i="3"/>
  <c r="BI80" i="3"/>
  <c r="BH80" i="3"/>
  <c r="BG80" i="3"/>
  <c r="BF80" i="3"/>
  <c r="BE80" i="3"/>
  <c r="FU80" i="6" s="1"/>
  <c r="BC80" i="3"/>
  <c r="BB80" i="3"/>
  <c r="BA80" i="3"/>
  <c r="AZ80" i="3"/>
  <c r="AY80" i="3"/>
  <c r="AX80" i="3"/>
  <c r="FJ80" i="6" s="1"/>
  <c r="AV80" i="3"/>
  <c r="AU80" i="3"/>
  <c r="AT80" i="3"/>
  <c r="AS80" i="3"/>
  <c r="AR80" i="3"/>
  <c r="AQ80" i="3"/>
  <c r="W80" i="6" s="1"/>
  <c r="AO80" i="3"/>
  <c r="AN80" i="3"/>
  <c r="AM80" i="3"/>
  <c r="AL80" i="3"/>
  <c r="AK80" i="3"/>
  <c r="AJ80" i="3"/>
  <c r="AS80" i="6" s="1"/>
  <c r="AH80" i="3"/>
  <c r="AG80" i="3"/>
  <c r="AF80" i="3"/>
  <c r="AE80" i="3"/>
  <c r="AD80" i="3"/>
  <c r="AC80" i="3"/>
  <c r="AA80" i="3"/>
  <c r="Z80" i="3"/>
  <c r="Y80" i="3"/>
  <c r="X80" i="3"/>
  <c r="W80" i="3"/>
  <c r="V80" i="3"/>
  <c r="BD80" i="6" s="1"/>
  <c r="T80" i="3"/>
  <c r="S80" i="3"/>
  <c r="R80" i="3"/>
  <c r="Q80" i="3"/>
  <c r="P80" i="3"/>
  <c r="O80" i="3"/>
  <c r="AH80" i="6" s="1"/>
  <c r="M80" i="3"/>
  <c r="L80" i="3"/>
  <c r="K80" i="3"/>
  <c r="J80" i="3"/>
  <c r="I80" i="3"/>
  <c r="H80" i="3"/>
  <c r="L80" i="6" s="1"/>
  <c r="F80" i="3"/>
  <c r="E80" i="3"/>
  <c r="D80" i="3"/>
  <c r="C80" i="3"/>
  <c r="B80" i="3"/>
  <c r="A80" i="3"/>
  <c r="A80" i="6" s="1"/>
  <c r="BJ79" i="3"/>
  <c r="BI79" i="3"/>
  <c r="BH79" i="3"/>
  <c r="BG79" i="3"/>
  <c r="BF79" i="3"/>
  <c r="BE79" i="3"/>
  <c r="FU79" i="6" s="1"/>
  <c r="BC79" i="3"/>
  <c r="BB79" i="3"/>
  <c r="BA79" i="3"/>
  <c r="AZ79" i="3"/>
  <c r="AY79" i="3"/>
  <c r="AX79" i="3"/>
  <c r="FJ79" i="6" s="1"/>
  <c r="AV79" i="3"/>
  <c r="AU79" i="3"/>
  <c r="AT79" i="3"/>
  <c r="AS79" i="3"/>
  <c r="AR79" i="3"/>
  <c r="AQ79" i="3"/>
  <c r="W79" i="6" s="1"/>
  <c r="AO79" i="3"/>
  <c r="AN79" i="3"/>
  <c r="AM79" i="3"/>
  <c r="AL79" i="3"/>
  <c r="AK79" i="3"/>
  <c r="AJ79" i="3"/>
  <c r="AS79" i="6" s="1"/>
  <c r="AH79" i="3"/>
  <c r="AG79" i="3"/>
  <c r="AF79" i="3"/>
  <c r="AE79" i="3"/>
  <c r="AD79" i="3"/>
  <c r="AC79" i="3"/>
  <c r="AA79" i="3"/>
  <c r="Z79" i="3"/>
  <c r="Y79" i="3"/>
  <c r="X79" i="3"/>
  <c r="W79" i="3"/>
  <c r="V79" i="3"/>
  <c r="BD79" i="6" s="1"/>
  <c r="T79" i="3"/>
  <c r="S79" i="3"/>
  <c r="R79" i="3"/>
  <c r="Q79" i="3"/>
  <c r="P79" i="3"/>
  <c r="O79" i="3"/>
  <c r="AH79" i="6" s="1"/>
  <c r="M79" i="3"/>
  <c r="L79" i="3"/>
  <c r="K79" i="3"/>
  <c r="J79" i="3"/>
  <c r="I79" i="3"/>
  <c r="H79" i="3"/>
  <c r="L79" i="6" s="1"/>
  <c r="F79" i="3"/>
  <c r="E79" i="3"/>
  <c r="D79" i="3"/>
  <c r="C79" i="3"/>
  <c r="B79" i="3"/>
  <c r="A79" i="3"/>
  <c r="A79" i="6" s="1"/>
  <c r="BJ78" i="3"/>
  <c r="BI78" i="3"/>
  <c r="BH78" i="3"/>
  <c r="BG78" i="3"/>
  <c r="BF78" i="3"/>
  <c r="BE78" i="3"/>
  <c r="FU78" i="6" s="1"/>
  <c r="BC78" i="3"/>
  <c r="BB78" i="3"/>
  <c r="BA78" i="3"/>
  <c r="AZ78" i="3"/>
  <c r="AY78" i="3"/>
  <c r="AX78" i="3"/>
  <c r="FJ78" i="6" s="1"/>
  <c r="AV78" i="3"/>
  <c r="AU78" i="3"/>
  <c r="AT78" i="3"/>
  <c r="AS78" i="3"/>
  <c r="AR78" i="3"/>
  <c r="AQ78" i="3"/>
  <c r="W78" i="6" s="1"/>
  <c r="AO78" i="3"/>
  <c r="AN78" i="3"/>
  <c r="AM78" i="3"/>
  <c r="AL78" i="3"/>
  <c r="AK78" i="3"/>
  <c r="AJ78" i="3"/>
  <c r="AS78" i="6" s="1"/>
  <c r="AH78" i="3"/>
  <c r="AG78" i="3"/>
  <c r="AF78" i="3"/>
  <c r="AE78" i="3"/>
  <c r="AD78" i="3"/>
  <c r="AC78" i="3"/>
  <c r="AA78" i="3"/>
  <c r="Z78" i="3"/>
  <c r="Y78" i="3"/>
  <c r="X78" i="3"/>
  <c r="W78" i="3"/>
  <c r="V78" i="3"/>
  <c r="BD78" i="6" s="1"/>
  <c r="T78" i="3"/>
  <c r="S78" i="3"/>
  <c r="R78" i="3"/>
  <c r="Q78" i="3"/>
  <c r="P78" i="3"/>
  <c r="O78" i="3"/>
  <c r="AH78" i="6" s="1"/>
  <c r="M78" i="3"/>
  <c r="L78" i="3"/>
  <c r="K78" i="3"/>
  <c r="J78" i="3"/>
  <c r="I78" i="3"/>
  <c r="H78" i="3"/>
  <c r="L78" i="6" s="1"/>
  <c r="F78" i="3"/>
  <c r="E78" i="3"/>
  <c r="D78" i="3"/>
  <c r="C78" i="3"/>
  <c r="B78" i="3"/>
  <c r="A78" i="3"/>
  <c r="A78" i="6" s="1"/>
  <c r="BJ77" i="3"/>
  <c r="BI77" i="3"/>
  <c r="BH77" i="3"/>
  <c r="BG77" i="3"/>
  <c r="BF77" i="3"/>
  <c r="BE77" i="3"/>
  <c r="FU77" i="6" s="1"/>
  <c r="BC77" i="3"/>
  <c r="BB77" i="3"/>
  <c r="BA77" i="3"/>
  <c r="AZ77" i="3"/>
  <c r="AY77" i="3"/>
  <c r="AX77" i="3"/>
  <c r="FJ77" i="6" s="1"/>
  <c r="AV77" i="3"/>
  <c r="AU77" i="3"/>
  <c r="AT77" i="3"/>
  <c r="AS77" i="3"/>
  <c r="AR77" i="3"/>
  <c r="AQ77" i="3"/>
  <c r="W77" i="6" s="1"/>
  <c r="AO77" i="3"/>
  <c r="AN77" i="3"/>
  <c r="AM77" i="3"/>
  <c r="AL77" i="3"/>
  <c r="AK77" i="3"/>
  <c r="AJ77" i="3"/>
  <c r="AS77" i="6" s="1"/>
  <c r="AH77" i="3"/>
  <c r="AG77" i="3"/>
  <c r="AF77" i="3"/>
  <c r="AE77" i="3"/>
  <c r="AD77" i="3"/>
  <c r="AC77" i="3"/>
  <c r="AA77" i="3"/>
  <c r="Z77" i="3"/>
  <c r="Y77" i="3"/>
  <c r="X77" i="3"/>
  <c r="W77" i="3"/>
  <c r="V77" i="3"/>
  <c r="BD77" i="6" s="1"/>
  <c r="T77" i="3"/>
  <c r="S77" i="3"/>
  <c r="R77" i="3"/>
  <c r="Q77" i="3"/>
  <c r="P77" i="3"/>
  <c r="O77" i="3"/>
  <c r="AH77" i="6" s="1"/>
  <c r="M77" i="3"/>
  <c r="L77" i="3"/>
  <c r="K77" i="3"/>
  <c r="J77" i="3"/>
  <c r="I77" i="3"/>
  <c r="H77" i="3"/>
  <c r="L77" i="6" s="1"/>
  <c r="F77" i="3"/>
  <c r="E77" i="3"/>
  <c r="D77" i="3"/>
  <c r="C77" i="3"/>
  <c r="B77" i="3"/>
  <c r="A77" i="3"/>
  <c r="A77" i="6" s="1"/>
  <c r="BJ76" i="3"/>
  <c r="BI76" i="3"/>
  <c r="BH76" i="3"/>
  <c r="BG76" i="3"/>
  <c r="BF76" i="3"/>
  <c r="BE76" i="3"/>
  <c r="FU76" i="6" s="1"/>
  <c r="BC76" i="3"/>
  <c r="BB76" i="3"/>
  <c r="BA76" i="3"/>
  <c r="AZ76" i="3"/>
  <c r="AY76" i="3"/>
  <c r="AX76" i="3"/>
  <c r="FJ76" i="6" s="1"/>
  <c r="AV76" i="3"/>
  <c r="AU76" i="3"/>
  <c r="AT76" i="3"/>
  <c r="AS76" i="3"/>
  <c r="AR76" i="3"/>
  <c r="AQ76" i="3"/>
  <c r="W76" i="6" s="1"/>
  <c r="AO76" i="3"/>
  <c r="AN76" i="3"/>
  <c r="AM76" i="3"/>
  <c r="AL76" i="3"/>
  <c r="AK76" i="3"/>
  <c r="AJ76" i="3"/>
  <c r="AS76" i="6" s="1"/>
  <c r="AH76" i="3"/>
  <c r="AG76" i="3"/>
  <c r="AF76" i="3"/>
  <c r="AE76" i="3"/>
  <c r="AD76" i="3"/>
  <c r="AC76" i="3"/>
  <c r="AA76" i="3"/>
  <c r="Z76" i="3"/>
  <c r="Y76" i="3"/>
  <c r="X76" i="3"/>
  <c r="W76" i="3"/>
  <c r="V76" i="3"/>
  <c r="BD76" i="6" s="1"/>
  <c r="T76" i="3"/>
  <c r="S76" i="3"/>
  <c r="R76" i="3"/>
  <c r="Q76" i="3"/>
  <c r="P76" i="3"/>
  <c r="O76" i="3"/>
  <c r="AH76" i="6" s="1"/>
  <c r="M76" i="3"/>
  <c r="L76" i="3"/>
  <c r="K76" i="3"/>
  <c r="J76" i="3"/>
  <c r="I76" i="3"/>
  <c r="H76" i="3"/>
  <c r="L76" i="6" s="1"/>
  <c r="F76" i="3"/>
  <c r="E76" i="3"/>
  <c r="D76" i="3"/>
  <c r="C76" i="3"/>
  <c r="B76" i="3"/>
  <c r="A76" i="3"/>
  <c r="A76" i="6" s="1"/>
  <c r="BJ75" i="3"/>
  <c r="BI75" i="3"/>
  <c r="BH75" i="3"/>
  <c r="BG75" i="3"/>
  <c r="BF75" i="3"/>
  <c r="BE75" i="3"/>
  <c r="FU75" i="6" s="1"/>
  <c r="BC75" i="3"/>
  <c r="BB75" i="3"/>
  <c r="BA75" i="3"/>
  <c r="AZ75" i="3"/>
  <c r="AY75" i="3"/>
  <c r="AX75" i="3"/>
  <c r="FJ75" i="6" s="1"/>
  <c r="AV75" i="3"/>
  <c r="AU75" i="3"/>
  <c r="AT75" i="3"/>
  <c r="AS75" i="3"/>
  <c r="AR75" i="3"/>
  <c r="AQ75" i="3"/>
  <c r="W75" i="6" s="1"/>
  <c r="AO75" i="3"/>
  <c r="AN75" i="3"/>
  <c r="AM75" i="3"/>
  <c r="AL75" i="3"/>
  <c r="AK75" i="3"/>
  <c r="AJ75" i="3"/>
  <c r="AS75" i="6" s="1"/>
  <c r="AH75" i="3"/>
  <c r="AG75" i="3"/>
  <c r="AF75" i="3"/>
  <c r="AE75" i="3"/>
  <c r="AD75" i="3"/>
  <c r="AC75" i="3"/>
  <c r="AA75" i="3"/>
  <c r="Z75" i="3"/>
  <c r="Y75" i="3"/>
  <c r="X75" i="3"/>
  <c r="W75" i="3"/>
  <c r="V75" i="3"/>
  <c r="BD75" i="6" s="1"/>
  <c r="T75" i="3"/>
  <c r="S75" i="3"/>
  <c r="R75" i="3"/>
  <c r="Q75" i="3"/>
  <c r="P75" i="3"/>
  <c r="O75" i="3"/>
  <c r="AH75" i="6" s="1"/>
  <c r="M75" i="3"/>
  <c r="L75" i="3"/>
  <c r="K75" i="3"/>
  <c r="J75" i="3"/>
  <c r="I75" i="3"/>
  <c r="H75" i="3"/>
  <c r="L75" i="6" s="1"/>
  <c r="F75" i="3"/>
  <c r="E75" i="3"/>
  <c r="D75" i="3"/>
  <c r="C75" i="3"/>
  <c r="B75" i="3"/>
  <c r="A75" i="3"/>
  <c r="A75" i="6" s="1"/>
  <c r="BJ74" i="3"/>
  <c r="BI74" i="3"/>
  <c r="BH74" i="3"/>
  <c r="BG74" i="3"/>
  <c r="BF74" i="3"/>
  <c r="BE74" i="3"/>
  <c r="FU74" i="6" s="1"/>
  <c r="BC74" i="3"/>
  <c r="BB74" i="3"/>
  <c r="BA74" i="3"/>
  <c r="AZ74" i="3"/>
  <c r="AY74" i="3"/>
  <c r="AX74" i="3"/>
  <c r="FJ74" i="6" s="1"/>
  <c r="AV74" i="3"/>
  <c r="AU74" i="3"/>
  <c r="AT74" i="3"/>
  <c r="AS74" i="3"/>
  <c r="AR74" i="3"/>
  <c r="AQ74" i="3"/>
  <c r="W74" i="6" s="1"/>
  <c r="AO74" i="3"/>
  <c r="AN74" i="3"/>
  <c r="AM74" i="3"/>
  <c r="AL74" i="3"/>
  <c r="AK74" i="3"/>
  <c r="AJ74" i="3"/>
  <c r="AS74" i="6" s="1"/>
  <c r="AH74" i="3"/>
  <c r="AG74" i="3"/>
  <c r="AF74" i="3"/>
  <c r="AE74" i="3"/>
  <c r="AD74" i="3"/>
  <c r="AC74" i="3"/>
  <c r="AA74" i="3"/>
  <c r="Z74" i="3"/>
  <c r="Y74" i="3"/>
  <c r="X74" i="3"/>
  <c r="W74" i="3"/>
  <c r="V74" i="3"/>
  <c r="BD74" i="6" s="1"/>
  <c r="T74" i="3"/>
  <c r="S74" i="3"/>
  <c r="R74" i="3"/>
  <c r="Q74" i="3"/>
  <c r="P74" i="3"/>
  <c r="O74" i="3"/>
  <c r="AH74" i="6" s="1"/>
  <c r="M74" i="3"/>
  <c r="L74" i="3"/>
  <c r="K74" i="3"/>
  <c r="J74" i="3"/>
  <c r="I74" i="3"/>
  <c r="H74" i="3"/>
  <c r="L74" i="6" s="1"/>
  <c r="F74" i="3"/>
  <c r="E74" i="3"/>
  <c r="D74" i="3"/>
  <c r="C74" i="3"/>
  <c r="B74" i="3"/>
  <c r="A74" i="3"/>
  <c r="A74" i="6" s="1"/>
  <c r="BJ73" i="3"/>
  <c r="BI73" i="3"/>
  <c r="BH73" i="3"/>
  <c r="BG73" i="3"/>
  <c r="BF73" i="3"/>
  <c r="BE73" i="3"/>
  <c r="FU73" i="6" s="1"/>
  <c r="BC73" i="3"/>
  <c r="BB73" i="3"/>
  <c r="BA73" i="3"/>
  <c r="AZ73" i="3"/>
  <c r="AY73" i="3"/>
  <c r="AX73" i="3"/>
  <c r="FJ73" i="6" s="1"/>
  <c r="AV73" i="3"/>
  <c r="AU73" i="3"/>
  <c r="AT73" i="3"/>
  <c r="AS73" i="3"/>
  <c r="AR73" i="3"/>
  <c r="AQ73" i="3"/>
  <c r="W73" i="6" s="1"/>
  <c r="AO73" i="3"/>
  <c r="AN73" i="3"/>
  <c r="AM73" i="3"/>
  <c r="AL73" i="3"/>
  <c r="AK73" i="3"/>
  <c r="AJ73" i="3"/>
  <c r="AS73" i="6" s="1"/>
  <c r="AH73" i="3"/>
  <c r="AG73" i="3"/>
  <c r="AF73" i="3"/>
  <c r="AE73" i="3"/>
  <c r="AD73" i="3"/>
  <c r="AC73" i="3"/>
  <c r="AA73" i="3"/>
  <c r="Z73" i="3"/>
  <c r="Y73" i="3"/>
  <c r="X73" i="3"/>
  <c r="W73" i="3"/>
  <c r="V73" i="3"/>
  <c r="BD73" i="6" s="1"/>
  <c r="T73" i="3"/>
  <c r="S73" i="3"/>
  <c r="R73" i="3"/>
  <c r="Q73" i="3"/>
  <c r="P73" i="3"/>
  <c r="O73" i="3"/>
  <c r="AH73" i="6" s="1"/>
  <c r="M73" i="3"/>
  <c r="L73" i="3"/>
  <c r="K73" i="3"/>
  <c r="J73" i="3"/>
  <c r="I73" i="3"/>
  <c r="H73" i="3"/>
  <c r="L73" i="6" s="1"/>
  <c r="F73" i="3"/>
  <c r="E73" i="3"/>
  <c r="D73" i="3"/>
  <c r="C73" i="3"/>
  <c r="B73" i="3"/>
  <c r="A73" i="3"/>
  <c r="A73" i="6" s="1"/>
  <c r="BJ72" i="3"/>
  <c r="BI72" i="3"/>
  <c r="BH72" i="3"/>
  <c r="BG72" i="3"/>
  <c r="BF72" i="3"/>
  <c r="BE72" i="3"/>
  <c r="FU72" i="6" s="1"/>
  <c r="BC72" i="3"/>
  <c r="BB72" i="3"/>
  <c r="BA72" i="3"/>
  <c r="AZ72" i="3"/>
  <c r="AY72" i="3"/>
  <c r="AX72" i="3"/>
  <c r="FJ72" i="6" s="1"/>
  <c r="AV72" i="3"/>
  <c r="AU72" i="3"/>
  <c r="AT72" i="3"/>
  <c r="AS72" i="3"/>
  <c r="AR72" i="3"/>
  <c r="AQ72" i="3"/>
  <c r="W72" i="6" s="1"/>
  <c r="AO72" i="3"/>
  <c r="AN72" i="3"/>
  <c r="AM72" i="3"/>
  <c r="AL72" i="3"/>
  <c r="AK72" i="3"/>
  <c r="AJ72" i="3"/>
  <c r="AS72" i="6" s="1"/>
  <c r="AH72" i="3"/>
  <c r="AG72" i="3"/>
  <c r="AF72" i="3"/>
  <c r="AE72" i="3"/>
  <c r="AD72" i="3"/>
  <c r="AC72" i="3"/>
  <c r="AA72" i="3"/>
  <c r="Z72" i="3"/>
  <c r="Y72" i="3"/>
  <c r="X72" i="3"/>
  <c r="W72" i="3"/>
  <c r="V72" i="3"/>
  <c r="BD72" i="6" s="1"/>
  <c r="T72" i="3"/>
  <c r="S72" i="3"/>
  <c r="R72" i="3"/>
  <c r="Q72" i="3"/>
  <c r="P72" i="3"/>
  <c r="O72" i="3"/>
  <c r="AH72" i="6" s="1"/>
  <c r="M72" i="3"/>
  <c r="L72" i="3"/>
  <c r="K72" i="3"/>
  <c r="J72" i="3"/>
  <c r="I72" i="3"/>
  <c r="H72" i="3"/>
  <c r="L72" i="6" s="1"/>
  <c r="F72" i="3"/>
  <c r="E72" i="3"/>
  <c r="D72" i="3"/>
  <c r="C72" i="3"/>
  <c r="B72" i="3"/>
  <c r="A72" i="3"/>
  <c r="A72" i="6" s="1"/>
  <c r="BJ71" i="3"/>
  <c r="BI71" i="3"/>
  <c r="BH71" i="3"/>
  <c r="BG71" i="3"/>
  <c r="BF71" i="3"/>
  <c r="BE71" i="3"/>
  <c r="FU71" i="6" s="1"/>
  <c r="BC71" i="3"/>
  <c r="BB71" i="3"/>
  <c r="BA71" i="3"/>
  <c r="AZ71" i="3"/>
  <c r="AY71" i="3"/>
  <c r="AX71" i="3"/>
  <c r="FJ71" i="6" s="1"/>
  <c r="AV71" i="3"/>
  <c r="AU71" i="3"/>
  <c r="AT71" i="3"/>
  <c r="AS71" i="3"/>
  <c r="AR71" i="3"/>
  <c r="AQ71" i="3"/>
  <c r="W71" i="6" s="1"/>
  <c r="AO71" i="3"/>
  <c r="AN71" i="3"/>
  <c r="AM71" i="3"/>
  <c r="AL71" i="3"/>
  <c r="AK71" i="3"/>
  <c r="AJ71" i="3"/>
  <c r="AS71" i="6" s="1"/>
  <c r="AH71" i="3"/>
  <c r="AG71" i="3"/>
  <c r="AF71" i="3"/>
  <c r="AE71" i="3"/>
  <c r="AD71" i="3"/>
  <c r="AC71" i="3"/>
  <c r="AA71" i="3"/>
  <c r="Z71" i="3"/>
  <c r="Y71" i="3"/>
  <c r="X71" i="3"/>
  <c r="W71" i="3"/>
  <c r="V71" i="3"/>
  <c r="BD71" i="6" s="1"/>
  <c r="T71" i="3"/>
  <c r="S71" i="3"/>
  <c r="R71" i="3"/>
  <c r="Q71" i="3"/>
  <c r="P71" i="3"/>
  <c r="O71" i="3"/>
  <c r="AH71" i="6" s="1"/>
  <c r="M71" i="3"/>
  <c r="L71" i="3"/>
  <c r="K71" i="3"/>
  <c r="J71" i="3"/>
  <c r="I71" i="3"/>
  <c r="H71" i="3"/>
  <c r="L71" i="6" s="1"/>
  <c r="F71" i="3"/>
  <c r="E71" i="3"/>
  <c r="D71" i="3"/>
  <c r="C71" i="3"/>
  <c r="B71" i="3"/>
  <c r="A71" i="3"/>
  <c r="A71" i="6" s="1"/>
  <c r="BJ70" i="3"/>
  <c r="BI70" i="3"/>
  <c r="BH70" i="3"/>
  <c r="BG70" i="3"/>
  <c r="BF70" i="3"/>
  <c r="BE70" i="3"/>
  <c r="FU70" i="6" s="1"/>
  <c r="BC70" i="3"/>
  <c r="BB70" i="3"/>
  <c r="BA70" i="3"/>
  <c r="AZ70" i="3"/>
  <c r="AY70" i="3"/>
  <c r="AX70" i="3"/>
  <c r="FJ70" i="6" s="1"/>
  <c r="AV70" i="3"/>
  <c r="AU70" i="3"/>
  <c r="AT70" i="3"/>
  <c r="AS70" i="3"/>
  <c r="AR70" i="3"/>
  <c r="AQ70" i="3"/>
  <c r="W70" i="6" s="1"/>
  <c r="AO70" i="3"/>
  <c r="AN70" i="3"/>
  <c r="AM70" i="3"/>
  <c r="AL70" i="3"/>
  <c r="AK70" i="3"/>
  <c r="AJ70" i="3"/>
  <c r="AS70" i="6" s="1"/>
  <c r="AH70" i="3"/>
  <c r="AG70" i="3"/>
  <c r="AF70" i="3"/>
  <c r="AE70" i="3"/>
  <c r="AD70" i="3"/>
  <c r="AC70" i="3"/>
  <c r="AA70" i="3"/>
  <c r="Z70" i="3"/>
  <c r="Y70" i="3"/>
  <c r="X70" i="3"/>
  <c r="W70" i="3"/>
  <c r="V70" i="3"/>
  <c r="BD70" i="6" s="1"/>
  <c r="T70" i="3"/>
  <c r="S70" i="3"/>
  <c r="R70" i="3"/>
  <c r="Q70" i="3"/>
  <c r="P70" i="3"/>
  <c r="O70" i="3"/>
  <c r="AH70" i="6" s="1"/>
  <c r="M70" i="3"/>
  <c r="L70" i="3"/>
  <c r="K70" i="3"/>
  <c r="J70" i="3"/>
  <c r="I70" i="3"/>
  <c r="H70" i="3"/>
  <c r="L70" i="6" s="1"/>
  <c r="F70" i="3"/>
  <c r="E70" i="3"/>
  <c r="D70" i="3"/>
  <c r="C70" i="3"/>
  <c r="B70" i="3"/>
  <c r="A70" i="3"/>
  <c r="A70" i="6" s="1"/>
  <c r="BJ69" i="3"/>
  <c r="BI69" i="3"/>
  <c r="BH69" i="3"/>
  <c r="BG69" i="3"/>
  <c r="BF69" i="3"/>
  <c r="BE69" i="3"/>
  <c r="FU69" i="6" s="1"/>
  <c r="BC69" i="3"/>
  <c r="BB69" i="3"/>
  <c r="BA69" i="3"/>
  <c r="AZ69" i="3"/>
  <c r="AY69" i="3"/>
  <c r="AX69" i="3"/>
  <c r="FJ69" i="6" s="1"/>
  <c r="AV69" i="3"/>
  <c r="AU69" i="3"/>
  <c r="AT69" i="3"/>
  <c r="AS69" i="3"/>
  <c r="AR69" i="3"/>
  <c r="AQ69" i="3"/>
  <c r="W69" i="6" s="1"/>
  <c r="AO69" i="3"/>
  <c r="AN69" i="3"/>
  <c r="AM69" i="3"/>
  <c r="AL69" i="3"/>
  <c r="AK69" i="3"/>
  <c r="AJ69" i="3"/>
  <c r="AS69" i="6" s="1"/>
  <c r="AH69" i="3"/>
  <c r="AG69" i="3"/>
  <c r="AF69" i="3"/>
  <c r="AE69" i="3"/>
  <c r="AD69" i="3"/>
  <c r="AC69" i="3"/>
  <c r="AA69" i="3"/>
  <c r="Z69" i="3"/>
  <c r="Y69" i="3"/>
  <c r="X69" i="3"/>
  <c r="W69" i="3"/>
  <c r="V69" i="3"/>
  <c r="BD69" i="6" s="1"/>
  <c r="T69" i="3"/>
  <c r="S69" i="3"/>
  <c r="R69" i="3"/>
  <c r="Q69" i="3"/>
  <c r="P69" i="3"/>
  <c r="O69" i="3"/>
  <c r="AH69" i="6" s="1"/>
  <c r="M69" i="3"/>
  <c r="L69" i="3"/>
  <c r="K69" i="3"/>
  <c r="J69" i="3"/>
  <c r="I69" i="3"/>
  <c r="H69" i="3"/>
  <c r="L69" i="6" s="1"/>
  <c r="F69" i="3"/>
  <c r="E69" i="3"/>
  <c r="D69" i="3"/>
  <c r="C69" i="3"/>
  <c r="B69" i="3"/>
  <c r="A69" i="3"/>
  <c r="A69" i="6" s="1"/>
  <c r="BJ68" i="3"/>
  <c r="BI68" i="3"/>
  <c r="BH68" i="3"/>
  <c r="BG68" i="3"/>
  <c r="BF68" i="3"/>
  <c r="BE68" i="3"/>
  <c r="FU68" i="6" s="1"/>
  <c r="BC68" i="3"/>
  <c r="BB68" i="3"/>
  <c r="BA68" i="3"/>
  <c r="AZ68" i="3"/>
  <c r="AY68" i="3"/>
  <c r="AX68" i="3"/>
  <c r="FJ68" i="6" s="1"/>
  <c r="AV68" i="3"/>
  <c r="AU68" i="3"/>
  <c r="AT68" i="3"/>
  <c r="AS68" i="3"/>
  <c r="AR68" i="3"/>
  <c r="AQ68" i="3"/>
  <c r="W68" i="6" s="1"/>
  <c r="AO68" i="3"/>
  <c r="AN68" i="3"/>
  <c r="AM68" i="3"/>
  <c r="AL68" i="3"/>
  <c r="AK68" i="3"/>
  <c r="AJ68" i="3"/>
  <c r="AS68" i="6" s="1"/>
  <c r="AH68" i="3"/>
  <c r="AG68" i="3"/>
  <c r="AF68" i="3"/>
  <c r="AE68" i="3"/>
  <c r="AD68" i="3"/>
  <c r="AC68" i="3"/>
  <c r="AA68" i="3"/>
  <c r="Z68" i="3"/>
  <c r="Y68" i="3"/>
  <c r="X68" i="3"/>
  <c r="W68" i="3"/>
  <c r="V68" i="3"/>
  <c r="BD68" i="6" s="1"/>
  <c r="T68" i="3"/>
  <c r="S68" i="3"/>
  <c r="R68" i="3"/>
  <c r="Q68" i="3"/>
  <c r="P68" i="3"/>
  <c r="O68" i="3"/>
  <c r="AH68" i="6" s="1"/>
  <c r="M68" i="3"/>
  <c r="L68" i="3"/>
  <c r="K68" i="3"/>
  <c r="J68" i="3"/>
  <c r="I68" i="3"/>
  <c r="H68" i="3"/>
  <c r="L68" i="6" s="1"/>
  <c r="F68" i="3"/>
  <c r="E68" i="3"/>
  <c r="D68" i="3"/>
  <c r="C68" i="3"/>
  <c r="B68" i="3"/>
  <c r="A68" i="3"/>
  <c r="A68" i="6" s="1"/>
  <c r="BJ67" i="3"/>
  <c r="BI67" i="3"/>
  <c r="BH67" i="3"/>
  <c r="BG67" i="3"/>
  <c r="BF67" i="3"/>
  <c r="BE67" i="3"/>
  <c r="FU67" i="6" s="1"/>
  <c r="BC67" i="3"/>
  <c r="BB67" i="3"/>
  <c r="BA67" i="3"/>
  <c r="AZ67" i="3"/>
  <c r="AY67" i="3"/>
  <c r="AX67" i="3"/>
  <c r="FJ67" i="6" s="1"/>
  <c r="AV67" i="3"/>
  <c r="AU67" i="3"/>
  <c r="AT67" i="3"/>
  <c r="AS67" i="3"/>
  <c r="AR67" i="3"/>
  <c r="AQ67" i="3"/>
  <c r="W67" i="6" s="1"/>
  <c r="AO67" i="3"/>
  <c r="AN67" i="3"/>
  <c r="AM67" i="3"/>
  <c r="AL67" i="3"/>
  <c r="AK67" i="3"/>
  <c r="AJ67" i="3"/>
  <c r="AS67" i="6" s="1"/>
  <c r="AH67" i="3"/>
  <c r="AG67" i="3"/>
  <c r="AF67" i="3"/>
  <c r="AE67" i="3"/>
  <c r="AD67" i="3"/>
  <c r="AC67" i="3"/>
  <c r="AA67" i="3"/>
  <c r="Z67" i="3"/>
  <c r="Y67" i="3"/>
  <c r="X67" i="3"/>
  <c r="W67" i="3"/>
  <c r="V67" i="3"/>
  <c r="BD67" i="6" s="1"/>
  <c r="T67" i="3"/>
  <c r="S67" i="3"/>
  <c r="R67" i="3"/>
  <c r="Q67" i="3"/>
  <c r="P67" i="3"/>
  <c r="O67" i="3"/>
  <c r="AH67" i="6" s="1"/>
  <c r="M67" i="3"/>
  <c r="L67" i="3"/>
  <c r="K67" i="3"/>
  <c r="J67" i="3"/>
  <c r="I67" i="3"/>
  <c r="H67" i="3"/>
  <c r="L67" i="6" s="1"/>
  <c r="F67" i="3"/>
  <c r="E67" i="3"/>
  <c r="D67" i="3"/>
  <c r="C67" i="3"/>
  <c r="B67" i="3"/>
  <c r="A67" i="3"/>
  <c r="A67" i="6" s="1"/>
  <c r="BJ66" i="3"/>
  <c r="BI66" i="3"/>
  <c r="BH66" i="3"/>
  <c r="BG66" i="3"/>
  <c r="BF66" i="3"/>
  <c r="BE66" i="3"/>
  <c r="FU66" i="6" s="1"/>
  <c r="BC66" i="3"/>
  <c r="BB66" i="3"/>
  <c r="BA66" i="3"/>
  <c r="AZ66" i="3"/>
  <c r="AY66" i="3"/>
  <c r="AX66" i="3"/>
  <c r="FJ66" i="6" s="1"/>
  <c r="AV66" i="3"/>
  <c r="AU66" i="3"/>
  <c r="AT66" i="3"/>
  <c r="AS66" i="3"/>
  <c r="AR66" i="3"/>
  <c r="AQ66" i="3"/>
  <c r="W66" i="6" s="1"/>
  <c r="AO66" i="3"/>
  <c r="AN66" i="3"/>
  <c r="AM66" i="3"/>
  <c r="AL66" i="3"/>
  <c r="AK66" i="3"/>
  <c r="AJ66" i="3"/>
  <c r="AS66" i="6" s="1"/>
  <c r="AH66" i="3"/>
  <c r="AG66" i="3"/>
  <c r="AF66" i="3"/>
  <c r="AE66" i="3"/>
  <c r="AD66" i="3"/>
  <c r="AC66" i="3"/>
  <c r="AA66" i="3"/>
  <c r="Z66" i="3"/>
  <c r="Y66" i="3"/>
  <c r="X66" i="3"/>
  <c r="W66" i="3"/>
  <c r="V66" i="3"/>
  <c r="BD66" i="6" s="1"/>
  <c r="T66" i="3"/>
  <c r="S66" i="3"/>
  <c r="R66" i="3"/>
  <c r="Q66" i="3"/>
  <c r="P66" i="3"/>
  <c r="O66" i="3"/>
  <c r="AH66" i="6" s="1"/>
  <c r="M66" i="3"/>
  <c r="L66" i="3"/>
  <c r="K66" i="3"/>
  <c r="J66" i="3"/>
  <c r="I66" i="3"/>
  <c r="H66" i="3"/>
  <c r="L66" i="6" s="1"/>
  <c r="F66" i="3"/>
  <c r="E66" i="3"/>
  <c r="D66" i="3"/>
  <c r="C66" i="3"/>
  <c r="B66" i="3"/>
  <c r="A66" i="3"/>
  <c r="A66" i="6" s="1"/>
  <c r="BJ65" i="3"/>
  <c r="BI65" i="3"/>
  <c r="BH65" i="3"/>
  <c r="BG65" i="3"/>
  <c r="BF65" i="3"/>
  <c r="BE65" i="3"/>
  <c r="FU65" i="6" s="1"/>
  <c r="BC65" i="3"/>
  <c r="BB65" i="3"/>
  <c r="BA65" i="3"/>
  <c r="AZ65" i="3"/>
  <c r="AY65" i="3"/>
  <c r="AX65" i="3"/>
  <c r="FJ65" i="6" s="1"/>
  <c r="AV65" i="3"/>
  <c r="AU65" i="3"/>
  <c r="AT65" i="3"/>
  <c r="AS65" i="3"/>
  <c r="AR65" i="3"/>
  <c r="AQ65" i="3"/>
  <c r="W65" i="6" s="1"/>
  <c r="AO65" i="3"/>
  <c r="AN65" i="3"/>
  <c r="AM65" i="3"/>
  <c r="AL65" i="3"/>
  <c r="AK65" i="3"/>
  <c r="AJ65" i="3"/>
  <c r="AS65" i="6" s="1"/>
  <c r="AH65" i="3"/>
  <c r="AG65" i="3"/>
  <c r="AF65" i="3"/>
  <c r="AE65" i="3"/>
  <c r="AD65" i="3"/>
  <c r="AC65" i="3"/>
  <c r="AA65" i="3"/>
  <c r="Z65" i="3"/>
  <c r="Y65" i="3"/>
  <c r="X65" i="3"/>
  <c r="W65" i="3"/>
  <c r="V65" i="3"/>
  <c r="BD65" i="6" s="1"/>
  <c r="T65" i="3"/>
  <c r="S65" i="3"/>
  <c r="R65" i="3"/>
  <c r="Q65" i="3"/>
  <c r="P65" i="3"/>
  <c r="O65" i="3"/>
  <c r="AH65" i="6" s="1"/>
  <c r="M65" i="3"/>
  <c r="L65" i="3"/>
  <c r="K65" i="3"/>
  <c r="J65" i="3"/>
  <c r="I65" i="3"/>
  <c r="H65" i="3"/>
  <c r="L65" i="6" s="1"/>
  <c r="F65" i="3"/>
  <c r="E65" i="3"/>
  <c r="D65" i="3"/>
  <c r="C65" i="3"/>
  <c r="B65" i="3"/>
  <c r="A65" i="3"/>
  <c r="A65" i="6" s="1"/>
  <c r="BJ64" i="3"/>
  <c r="BI64" i="3"/>
  <c r="BH64" i="3"/>
  <c r="BG64" i="3"/>
  <c r="BF64" i="3"/>
  <c r="BE64" i="3"/>
  <c r="FU64" i="6" s="1"/>
  <c r="BC64" i="3"/>
  <c r="BB64" i="3"/>
  <c r="BA64" i="3"/>
  <c r="AZ64" i="3"/>
  <c r="AY64" i="3"/>
  <c r="AX64" i="3"/>
  <c r="FJ64" i="6" s="1"/>
  <c r="AV64" i="3"/>
  <c r="AU64" i="3"/>
  <c r="AT64" i="3"/>
  <c r="AS64" i="3"/>
  <c r="AR64" i="3"/>
  <c r="AQ64" i="3"/>
  <c r="W64" i="6" s="1"/>
  <c r="AO64" i="3"/>
  <c r="AN64" i="3"/>
  <c r="AM64" i="3"/>
  <c r="AL64" i="3"/>
  <c r="AK64" i="3"/>
  <c r="AJ64" i="3"/>
  <c r="AS64" i="6" s="1"/>
  <c r="AH64" i="3"/>
  <c r="AG64" i="3"/>
  <c r="AF64" i="3"/>
  <c r="AE64" i="3"/>
  <c r="AD64" i="3"/>
  <c r="AC64" i="3"/>
  <c r="AA64" i="3"/>
  <c r="Z64" i="3"/>
  <c r="Y64" i="3"/>
  <c r="X64" i="3"/>
  <c r="W64" i="3"/>
  <c r="V64" i="3"/>
  <c r="BD64" i="6" s="1"/>
  <c r="T64" i="3"/>
  <c r="S64" i="3"/>
  <c r="R64" i="3"/>
  <c r="Q64" i="3"/>
  <c r="P64" i="3"/>
  <c r="O64" i="3"/>
  <c r="AH64" i="6" s="1"/>
  <c r="M64" i="3"/>
  <c r="L64" i="3"/>
  <c r="K64" i="3"/>
  <c r="J64" i="3"/>
  <c r="I64" i="3"/>
  <c r="H64" i="3"/>
  <c r="L64" i="6" s="1"/>
  <c r="F64" i="3"/>
  <c r="E64" i="3"/>
  <c r="D64" i="3"/>
  <c r="C64" i="3"/>
  <c r="B64" i="3"/>
  <c r="A64" i="3"/>
  <c r="A64" i="6" s="1"/>
  <c r="BJ63" i="3"/>
  <c r="BI63" i="3"/>
  <c r="BH63" i="3"/>
  <c r="BG63" i="3"/>
  <c r="BF63" i="3"/>
  <c r="BE63" i="3"/>
  <c r="FU63" i="6" s="1"/>
  <c r="BC63" i="3"/>
  <c r="BB63" i="3"/>
  <c r="BA63" i="3"/>
  <c r="AZ63" i="3"/>
  <c r="AY63" i="3"/>
  <c r="AX63" i="3"/>
  <c r="FJ63" i="6" s="1"/>
  <c r="AV63" i="3"/>
  <c r="AU63" i="3"/>
  <c r="AT63" i="3"/>
  <c r="AS63" i="3"/>
  <c r="AR63" i="3"/>
  <c r="AQ63" i="3"/>
  <c r="W63" i="6" s="1"/>
  <c r="AO63" i="3"/>
  <c r="AN63" i="3"/>
  <c r="AM63" i="3"/>
  <c r="AL63" i="3"/>
  <c r="AK63" i="3"/>
  <c r="AJ63" i="3"/>
  <c r="AS63" i="6" s="1"/>
  <c r="AH63" i="3"/>
  <c r="AG63" i="3"/>
  <c r="AF63" i="3"/>
  <c r="AE63" i="3"/>
  <c r="AD63" i="3"/>
  <c r="AC63" i="3"/>
  <c r="AA63" i="3"/>
  <c r="Z63" i="3"/>
  <c r="Y63" i="3"/>
  <c r="X63" i="3"/>
  <c r="W63" i="3"/>
  <c r="V63" i="3"/>
  <c r="BD63" i="6" s="1"/>
  <c r="T63" i="3"/>
  <c r="S63" i="3"/>
  <c r="R63" i="3"/>
  <c r="Q63" i="3"/>
  <c r="P63" i="3"/>
  <c r="O63" i="3"/>
  <c r="AH63" i="6" s="1"/>
  <c r="M63" i="3"/>
  <c r="L63" i="3"/>
  <c r="K63" i="3"/>
  <c r="J63" i="3"/>
  <c r="I63" i="3"/>
  <c r="H63" i="3"/>
  <c r="L63" i="6" s="1"/>
  <c r="F63" i="3"/>
  <c r="E63" i="3"/>
  <c r="D63" i="3"/>
  <c r="C63" i="3"/>
  <c r="B63" i="3"/>
  <c r="A63" i="3"/>
  <c r="A63" i="6" s="1"/>
  <c r="BJ62" i="3"/>
  <c r="BI62" i="3"/>
  <c r="BH62" i="3"/>
  <c r="BG62" i="3"/>
  <c r="BF62" i="3"/>
  <c r="BE62" i="3"/>
  <c r="FU62" i="6" s="1"/>
  <c r="BC62" i="3"/>
  <c r="BB62" i="3"/>
  <c r="BA62" i="3"/>
  <c r="AZ62" i="3"/>
  <c r="AY62" i="3"/>
  <c r="AX62" i="3"/>
  <c r="FJ62" i="6" s="1"/>
  <c r="AV62" i="3"/>
  <c r="AU62" i="3"/>
  <c r="AT62" i="3"/>
  <c r="AS62" i="3"/>
  <c r="AR62" i="3"/>
  <c r="AQ62" i="3"/>
  <c r="W62" i="6" s="1"/>
  <c r="AO62" i="3"/>
  <c r="AN62" i="3"/>
  <c r="AM62" i="3"/>
  <c r="AL62" i="3"/>
  <c r="AK62" i="3"/>
  <c r="AJ62" i="3"/>
  <c r="AS62" i="6" s="1"/>
  <c r="AH62" i="3"/>
  <c r="AG62" i="3"/>
  <c r="AF62" i="3"/>
  <c r="AE62" i="3"/>
  <c r="AD62" i="3"/>
  <c r="AC62" i="3"/>
  <c r="AA62" i="3"/>
  <c r="Z62" i="3"/>
  <c r="Y62" i="3"/>
  <c r="X62" i="3"/>
  <c r="W62" i="3"/>
  <c r="V62" i="3"/>
  <c r="BD62" i="6" s="1"/>
  <c r="T62" i="3"/>
  <c r="S62" i="3"/>
  <c r="R62" i="3"/>
  <c r="Q62" i="3"/>
  <c r="P62" i="3"/>
  <c r="O62" i="3"/>
  <c r="AH62" i="6" s="1"/>
  <c r="M62" i="3"/>
  <c r="L62" i="3"/>
  <c r="K62" i="3"/>
  <c r="J62" i="3"/>
  <c r="I62" i="3"/>
  <c r="H62" i="3"/>
  <c r="L62" i="6" s="1"/>
  <c r="F62" i="3"/>
  <c r="E62" i="3"/>
  <c r="D62" i="3"/>
  <c r="C62" i="3"/>
  <c r="B62" i="3"/>
  <c r="A62" i="3"/>
  <c r="A62" i="6" s="1"/>
  <c r="BJ61" i="3"/>
  <c r="BI61" i="3"/>
  <c r="BH61" i="3"/>
  <c r="BG61" i="3"/>
  <c r="BF61" i="3"/>
  <c r="BE61" i="3"/>
  <c r="FU61" i="6" s="1"/>
  <c r="BC61" i="3"/>
  <c r="BB61" i="3"/>
  <c r="BA61" i="3"/>
  <c r="AZ61" i="3"/>
  <c r="AY61" i="3"/>
  <c r="AX61" i="3"/>
  <c r="FJ61" i="6" s="1"/>
  <c r="AV61" i="3"/>
  <c r="AU61" i="3"/>
  <c r="AT61" i="3"/>
  <c r="AS61" i="3"/>
  <c r="AR61" i="3"/>
  <c r="AQ61" i="3"/>
  <c r="W61" i="6" s="1"/>
  <c r="AO61" i="3"/>
  <c r="AN61" i="3"/>
  <c r="AM61" i="3"/>
  <c r="AL61" i="3"/>
  <c r="AK61" i="3"/>
  <c r="AJ61" i="3"/>
  <c r="AS61" i="6" s="1"/>
  <c r="AH61" i="3"/>
  <c r="AG61" i="3"/>
  <c r="AF61" i="3"/>
  <c r="AE61" i="3"/>
  <c r="AD61" i="3"/>
  <c r="AC61" i="3"/>
  <c r="AA61" i="3"/>
  <c r="Z61" i="3"/>
  <c r="Y61" i="3"/>
  <c r="X61" i="3"/>
  <c r="W61" i="3"/>
  <c r="V61" i="3"/>
  <c r="BD61" i="6" s="1"/>
  <c r="T61" i="3"/>
  <c r="S61" i="3"/>
  <c r="R61" i="3"/>
  <c r="Q61" i="3"/>
  <c r="P61" i="3"/>
  <c r="O61" i="3"/>
  <c r="AH61" i="6" s="1"/>
  <c r="M61" i="3"/>
  <c r="L61" i="3"/>
  <c r="K61" i="3"/>
  <c r="J61" i="3"/>
  <c r="I61" i="3"/>
  <c r="H61" i="3"/>
  <c r="L61" i="6" s="1"/>
  <c r="F61" i="3"/>
  <c r="E61" i="3"/>
  <c r="D61" i="3"/>
  <c r="C61" i="3"/>
  <c r="B61" i="3"/>
  <c r="A61" i="3"/>
  <c r="A61" i="6" s="1"/>
  <c r="BJ60" i="3"/>
  <c r="BI60" i="3"/>
  <c r="BH60" i="3"/>
  <c r="BG60" i="3"/>
  <c r="BF60" i="3"/>
  <c r="BE60" i="3"/>
  <c r="FU60" i="6" s="1"/>
  <c r="BC60" i="3"/>
  <c r="BB60" i="3"/>
  <c r="BA60" i="3"/>
  <c r="AZ60" i="3"/>
  <c r="AY60" i="3"/>
  <c r="AX60" i="3"/>
  <c r="FJ60" i="6" s="1"/>
  <c r="AV60" i="3"/>
  <c r="AU60" i="3"/>
  <c r="AT60" i="3"/>
  <c r="AS60" i="3"/>
  <c r="AR60" i="3"/>
  <c r="AQ60" i="3"/>
  <c r="W60" i="6" s="1"/>
  <c r="AO60" i="3"/>
  <c r="AN60" i="3"/>
  <c r="AM60" i="3"/>
  <c r="AL60" i="3"/>
  <c r="AK60" i="3"/>
  <c r="AJ60" i="3"/>
  <c r="AS60" i="6" s="1"/>
  <c r="AH60" i="3"/>
  <c r="AG60" i="3"/>
  <c r="AF60" i="3"/>
  <c r="AE60" i="3"/>
  <c r="AD60" i="3"/>
  <c r="AC60" i="3"/>
  <c r="AA60" i="3"/>
  <c r="Z60" i="3"/>
  <c r="Y60" i="3"/>
  <c r="X60" i="3"/>
  <c r="W60" i="3"/>
  <c r="V60" i="3"/>
  <c r="BD60" i="6" s="1"/>
  <c r="T60" i="3"/>
  <c r="S60" i="3"/>
  <c r="R60" i="3"/>
  <c r="Q60" i="3"/>
  <c r="P60" i="3"/>
  <c r="O60" i="3"/>
  <c r="AH60" i="6" s="1"/>
  <c r="M60" i="3"/>
  <c r="L60" i="3"/>
  <c r="K60" i="3"/>
  <c r="J60" i="3"/>
  <c r="I60" i="3"/>
  <c r="H60" i="3"/>
  <c r="L60" i="6" s="1"/>
  <c r="F60" i="3"/>
  <c r="E60" i="3"/>
  <c r="D60" i="3"/>
  <c r="C60" i="3"/>
  <c r="B60" i="3"/>
  <c r="A60" i="3"/>
  <c r="A60" i="6" s="1"/>
  <c r="BJ59" i="3"/>
  <c r="BI59" i="3"/>
  <c r="BH59" i="3"/>
  <c r="BG59" i="3"/>
  <c r="BF59" i="3"/>
  <c r="BE59" i="3"/>
  <c r="FU59" i="6" s="1"/>
  <c r="BC59" i="3"/>
  <c r="BB59" i="3"/>
  <c r="BA59" i="3"/>
  <c r="AZ59" i="3"/>
  <c r="AY59" i="3"/>
  <c r="AX59" i="3"/>
  <c r="FJ59" i="6" s="1"/>
  <c r="AV59" i="3"/>
  <c r="AU59" i="3"/>
  <c r="AT59" i="3"/>
  <c r="AS59" i="3"/>
  <c r="AR59" i="3"/>
  <c r="AQ59" i="3"/>
  <c r="W59" i="6" s="1"/>
  <c r="AO59" i="3"/>
  <c r="AN59" i="3"/>
  <c r="AM59" i="3"/>
  <c r="AL59" i="3"/>
  <c r="AK59" i="3"/>
  <c r="AJ59" i="3"/>
  <c r="AS59" i="6" s="1"/>
  <c r="AH59" i="3"/>
  <c r="AG59" i="3"/>
  <c r="AF59" i="3"/>
  <c r="AE59" i="3"/>
  <c r="AD59" i="3"/>
  <c r="AC59" i="3"/>
  <c r="AA59" i="3"/>
  <c r="Z59" i="3"/>
  <c r="Y59" i="3"/>
  <c r="X59" i="3"/>
  <c r="W59" i="3"/>
  <c r="V59" i="3"/>
  <c r="BD59" i="6" s="1"/>
  <c r="T59" i="3"/>
  <c r="S59" i="3"/>
  <c r="R59" i="3"/>
  <c r="Q59" i="3"/>
  <c r="P59" i="3"/>
  <c r="O59" i="3"/>
  <c r="AH59" i="6" s="1"/>
  <c r="M59" i="3"/>
  <c r="L59" i="3"/>
  <c r="K59" i="3"/>
  <c r="J59" i="3"/>
  <c r="I59" i="3"/>
  <c r="H59" i="3"/>
  <c r="L59" i="6" s="1"/>
  <c r="F59" i="3"/>
  <c r="E59" i="3"/>
  <c r="D59" i="3"/>
  <c r="C59" i="3"/>
  <c r="B59" i="3"/>
  <c r="A59" i="3"/>
  <c r="A59" i="6" s="1"/>
  <c r="BJ58" i="3"/>
  <c r="BI58" i="3"/>
  <c r="BH58" i="3"/>
  <c r="BG58" i="3"/>
  <c r="BF58" i="3"/>
  <c r="BE58" i="3"/>
  <c r="FU58" i="6" s="1"/>
  <c r="BC58" i="3"/>
  <c r="BB58" i="3"/>
  <c r="BA58" i="3"/>
  <c r="AZ58" i="3"/>
  <c r="AY58" i="3"/>
  <c r="AX58" i="3"/>
  <c r="FJ58" i="6" s="1"/>
  <c r="AV58" i="3"/>
  <c r="AU58" i="3"/>
  <c r="AT58" i="3"/>
  <c r="AS58" i="3"/>
  <c r="AR58" i="3"/>
  <c r="AQ58" i="3"/>
  <c r="W58" i="6" s="1"/>
  <c r="AO58" i="3"/>
  <c r="AN58" i="3"/>
  <c r="AM58" i="3"/>
  <c r="AL58" i="3"/>
  <c r="AK58" i="3"/>
  <c r="AJ58" i="3"/>
  <c r="AS58" i="6" s="1"/>
  <c r="AH58" i="3"/>
  <c r="AG58" i="3"/>
  <c r="AF58" i="3"/>
  <c r="AE58" i="3"/>
  <c r="AD58" i="3"/>
  <c r="AC58" i="3"/>
  <c r="AA58" i="3"/>
  <c r="Z58" i="3"/>
  <c r="Y58" i="3"/>
  <c r="X58" i="3"/>
  <c r="W58" i="3"/>
  <c r="V58" i="3"/>
  <c r="BD58" i="6" s="1"/>
  <c r="T58" i="3"/>
  <c r="S58" i="3"/>
  <c r="R58" i="3"/>
  <c r="Q58" i="3"/>
  <c r="P58" i="3"/>
  <c r="O58" i="3"/>
  <c r="AH58" i="6" s="1"/>
  <c r="M58" i="3"/>
  <c r="L58" i="3"/>
  <c r="K58" i="3"/>
  <c r="J58" i="3"/>
  <c r="I58" i="3"/>
  <c r="H58" i="3"/>
  <c r="L58" i="6" s="1"/>
  <c r="F58" i="3"/>
  <c r="E58" i="3"/>
  <c r="D58" i="3"/>
  <c r="C58" i="3"/>
  <c r="B58" i="3"/>
  <c r="A58" i="3"/>
  <c r="A58" i="6" s="1"/>
  <c r="BJ57" i="3"/>
  <c r="BI57" i="3"/>
  <c r="BH57" i="3"/>
  <c r="BG57" i="3"/>
  <c r="BF57" i="3"/>
  <c r="BE57" i="3"/>
  <c r="FU57" i="6" s="1"/>
  <c r="BC57" i="3"/>
  <c r="BB57" i="3"/>
  <c r="BA57" i="3"/>
  <c r="AZ57" i="3"/>
  <c r="AY57" i="3"/>
  <c r="AX57" i="3"/>
  <c r="FJ57" i="6" s="1"/>
  <c r="AV57" i="3"/>
  <c r="AU57" i="3"/>
  <c r="AT57" i="3"/>
  <c r="AS57" i="3"/>
  <c r="AR57" i="3"/>
  <c r="AQ57" i="3"/>
  <c r="W57" i="6" s="1"/>
  <c r="AO57" i="3"/>
  <c r="AN57" i="3"/>
  <c r="AM57" i="3"/>
  <c r="AL57" i="3"/>
  <c r="AK57" i="3"/>
  <c r="AJ57" i="3"/>
  <c r="AS57" i="6" s="1"/>
  <c r="AH57" i="3"/>
  <c r="AG57" i="3"/>
  <c r="AF57" i="3"/>
  <c r="AE57" i="3"/>
  <c r="AD57" i="3"/>
  <c r="AC57" i="3"/>
  <c r="AA57" i="3"/>
  <c r="Z57" i="3"/>
  <c r="Y57" i="3"/>
  <c r="X57" i="3"/>
  <c r="W57" i="3"/>
  <c r="V57" i="3"/>
  <c r="BD57" i="6" s="1"/>
  <c r="T57" i="3"/>
  <c r="S57" i="3"/>
  <c r="R57" i="3"/>
  <c r="Q57" i="3"/>
  <c r="P57" i="3"/>
  <c r="O57" i="3"/>
  <c r="AH57" i="6" s="1"/>
  <c r="M57" i="3"/>
  <c r="L57" i="3"/>
  <c r="K57" i="3"/>
  <c r="J57" i="3"/>
  <c r="I57" i="3"/>
  <c r="H57" i="3"/>
  <c r="L57" i="6" s="1"/>
  <c r="F57" i="3"/>
  <c r="E57" i="3"/>
  <c r="D57" i="3"/>
  <c r="C57" i="3"/>
  <c r="B57" i="3"/>
  <c r="A57" i="3"/>
  <c r="A57" i="6" s="1"/>
  <c r="BJ56" i="3"/>
  <c r="BI56" i="3"/>
  <c r="BH56" i="3"/>
  <c r="BG56" i="3"/>
  <c r="BF56" i="3"/>
  <c r="BE56" i="3"/>
  <c r="FU56" i="6" s="1"/>
  <c r="BC56" i="3"/>
  <c r="BB56" i="3"/>
  <c r="BA56" i="3"/>
  <c r="AZ56" i="3"/>
  <c r="AY56" i="3"/>
  <c r="AX56" i="3"/>
  <c r="FJ56" i="6" s="1"/>
  <c r="AV56" i="3"/>
  <c r="AU56" i="3"/>
  <c r="AT56" i="3"/>
  <c r="AS56" i="3"/>
  <c r="AR56" i="3"/>
  <c r="AQ56" i="3"/>
  <c r="W56" i="6" s="1"/>
  <c r="AO56" i="3"/>
  <c r="AN56" i="3"/>
  <c r="AM56" i="3"/>
  <c r="AL56" i="3"/>
  <c r="AK56" i="3"/>
  <c r="AJ56" i="3"/>
  <c r="AS56" i="6" s="1"/>
  <c r="AH56" i="3"/>
  <c r="AG56" i="3"/>
  <c r="AF56" i="3"/>
  <c r="AE56" i="3"/>
  <c r="AD56" i="3"/>
  <c r="AC56" i="3"/>
  <c r="AA56" i="3"/>
  <c r="Z56" i="3"/>
  <c r="Y56" i="3"/>
  <c r="X56" i="3"/>
  <c r="W56" i="3"/>
  <c r="V56" i="3"/>
  <c r="BD56" i="6" s="1"/>
  <c r="T56" i="3"/>
  <c r="S56" i="3"/>
  <c r="R56" i="3"/>
  <c r="Q56" i="3"/>
  <c r="P56" i="3"/>
  <c r="O56" i="3"/>
  <c r="AH56" i="6" s="1"/>
  <c r="M56" i="3"/>
  <c r="L56" i="3"/>
  <c r="K56" i="3"/>
  <c r="J56" i="3"/>
  <c r="I56" i="3"/>
  <c r="H56" i="3"/>
  <c r="L56" i="6" s="1"/>
  <c r="F56" i="3"/>
  <c r="E56" i="3"/>
  <c r="D56" i="3"/>
  <c r="C56" i="3"/>
  <c r="B56" i="3"/>
  <c r="A56" i="3"/>
  <c r="A56" i="6" s="1"/>
  <c r="BJ55" i="3"/>
  <c r="BI55" i="3"/>
  <c r="BH55" i="3"/>
  <c r="BG55" i="3"/>
  <c r="BF55" i="3"/>
  <c r="BE55" i="3"/>
  <c r="FU55" i="6" s="1"/>
  <c r="BC55" i="3"/>
  <c r="BB55" i="3"/>
  <c r="BA55" i="3"/>
  <c r="AZ55" i="3"/>
  <c r="AY55" i="3"/>
  <c r="AX55" i="3"/>
  <c r="FJ55" i="6" s="1"/>
  <c r="AV55" i="3"/>
  <c r="AU55" i="3"/>
  <c r="AT55" i="3"/>
  <c r="AS55" i="3"/>
  <c r="AR55" i="3"/>
  <c r="AQ55" i="3"/>
  <c r="W55" i="6" s="1"/>
  <c r="AO55" i="3"/>
  <c r="AN55" i="3"/>
  <c r="AM55" i="3"/>
  <c r="AL55" i="3"/>
  <c r="AK55" i="3"/>
  <c r="AJ55" i="3"/>
  <c r="AS55" i="6" s="1"/>
  <c r="AH55" i="3"/>
  <c r="AG55" i="3"/>
  <c r="AF55" i="3"/>
  <c r="AE55" i="3"/>
  <c r="AD55" i="3"/>
  <c r="AC55" i="3"/>
  <c r="AA55" i="3"/>
  <c r="Z55" i="3"/>
  <c r="Y55" i="3"/>
  <c r="X55" i="3"/>
  <c r="W55" i="3"/>
  <c r="V55" i="3"/>
  <c r="BD55" i="6" s="1"/>
  <c r="T55" i="3"/>
  <c r="S55" i="3"/>
  <c r="R55" i="3"/>
  <c r="Q55" i="3"/>
  <c r="P55" i="3"/>
  <c r="O55" i="3"/>
  <c r="AH55" i="6" s="1"/>
  <c r="M55" i="3"/>
  <c r="L55" i="3"/>
  <c r="K55" i="3"/>
  <c r="J55" i="3"/>
  <c r="I55" i="3"/>
  <c r="H55" i="3"/>
  <c r="L55" i="6" s="1"/>
  <c r="F55" i="3"/>
  <c r="E55" i="3"/>
  <c r="D55" i="3"/>
  <c r="C55" i="3"/>
  <c r="B55" i="3"/>
  <c r="A55" i="3"/>
  <c r="A55" i="6" s="1"/>
  <c r="BJ54" i="3"/>
  <c r="BI54" i="3"/>
  <c r="BH54" i="3"/>
  <c r="BG54" i="3"/>
  <c r="BF54" i="3"/>
  <c r="BE54" i="3"/>
  <c r="FU54" i="6" s="1"/>
  <c r="BC54" i="3"/>
  <c r="BB54" i="3"/>
  <c r="BA54" i="3"/>
  <c r="AZ54" i="3"/>
  <c r="AY54" i="3"/>
  <c r="AX54" i="3"/>
  <c r="FJ54" i="6" s="1"/>
  <c r="AV54" i="3"/>
  <c r="AU54" i="3"/>
  <c r="AT54" i="3"/>
  <c r="AS54" i="3"/>
  <c r="AR54" i="3"/>
  <c r="AQ54" i="3"/>
  <c r="W54" i="6" s="1"/>
  <c r="AO54" i="3"/>
  <c r="AN54" i="3"/>
  <c r="AM54" i="3"/>
  <c r="AL54" i="3"/>
  <c r="AK54" i="3"/>
  <c r="AJ54" i="3"/>
  <c r="AS54" i="6" s="1"/>
  <c r="AH54" i="3"/>
  <c r="AG54" i="3"/>
  <c r="AF54" i="3"/>
  <c r="AE54" i="3"/>
  <c r="AD54" i="3"/>
  <c r="AC54" i="3"/>
  <c r="AA54" i="3"/>
  <c r="Z54" i="3"/>
  <c r="Y54" i="3"/>
  <c r="X54" i="3"/>
  <c r="W54" i="3"/>
  <c r="V54" i="3"/>
  <c r="BD54" i="6" s="1"/>
  <c r="T54" i="3"/>
  <c r="S54" i="3"/>
  <c r="R54" i="3"/>
  <c r="Q54" i="3"/>
  <c r="P54" i="3"/>
  <c r="O54" i="3"/>
  <c r="AH54" i="6" s="1"/>
  <c r="M54" i="3"/>
  <c r="L54" i="3"/>
  <c r="K54" i="3"/>
  <c r="J54" i="3"/>
  <c r="I54" i="3"/>
  <c r="H54" i="3"/>
  <c r="L54" i="6" s="1"/>
  <c r="F54" i="3"/>
  <c r="E54" i="3"/>
  <c r="D54" i="3"/>
  <c r="C54" i="3"/>
  <c r="B54" i="3"/>
  <c r="A54" i="3"/>
  <c r="A54" i="6" s="1"/>
  <c r="BJ53" i="3"/>
  <c r="BI53" i="3"/>
  <c r="BH53" i="3"/>
  <c r="BG53" i="3"/>
  <c r="BF53" i="3"/>
  <c r="BE53" i="3"/>
  <c r="FU53" i="6" s="1"/>
  <c r="BC53" i="3"/>
  <c r="BB53" i="3"/>
  <c r="BA53" i="3"/>
  <c r="AZ53" i="3"/>
  <c r="AY53" i="3"/>
  <c r="AX53" i="3"/>
  <c r="FJ53" i="6" s="1"/>
  <c r="AV53" i="3"/>
  <c r="AU53" i="3"/>
  <c r="AT53" i="3"/>
  <c r="AS53" i="3"/>
  <c r="AR53" i="3"/>
  <c r="AQ53" i="3"/>
  <c r="W53" i="6" s="1"/>
  <c r="AO53" i="3"/>
  <c r="AN53" i="3"/>
  <c r="AM53" i="3"/>
  <c r="AL53" i="3"/>
  <c r="AK53" i="3"/>
  <c r="AJ53" i="3"/>
  <c r="AS53" i="6" s="1"/>
  <c r="AH53" i="3"/>
  <c r="AG53" i="3"/>
  <c r="AF53" i="3"/>
  <c r="AE53" i="3"/>
  <c r="AD53" i="3"/>
  <c r="AC53" i="3"/>
  <c r="AA53" i="3"/>
  <c r="Z53" i="3"/>
  <c r="Y53" i="3"/>
  <c r="X53" i="3"/>
  <c r="W53" i="3"/>
  <c r="V53" i="3"/>
  <c r="BD53" i="6" s="1"/>
  <c r="T53" i="3"/>
  <c r="S53" i="3"/>
  <c r="R53" i="3"/>
  <c r="Q53" i="3"/>
  <c r="P53" i="3"/>
  <c r="O53" i="3"/>
  <c r="AH53" i="6" s="1"/>
  <c r="M53" i="3"/>
  <c r="L53" i="3"/>
  <c r="K53" i="3"/>
  <c r="J53" i="3"/>
  <c r="I53" i="3"/>
  <c r="H53" i="3"/>
  <c r="L53" i="6" s="1"/>
  <c r="F53" i="3"/>
  <c r="E53" i="3"/>
  <c r="D53" i="3"/>
  <c r="C53" i="3"/>
  <c r="B53" i="3"/>
  <c r="A53" i="3"/>
  <c r="A53" i="6" s="1"/>
  <c r="BJ52" i="3"/>
  <c r="BI52" i="3"/>
  <c r="BH52" i="3"/>
  <c r="BG52" i="3"/>
  <c r="BF52" i="3"/>
  <c r="BE52" i="3"/>
  <c r="FU52" i="6" s="1"/>
  <c r="BC52" i="3"/>
  <c r="BB52" i="3"/>
  <c r="BA52" i="3"/>
  <c r="AZ52" i="3"/>
  <c r="AY52" i="3"/>
  <c r="AX52" i="3"/>
  <c r="FJ52" i="6" s="1"/>
  <c r="AV52" i="3"/>
  <c r="AU52" i="3"/>
  <c r="AT52" i="3"/>
  <c r="AS52" i="3"/>
  <c r="AR52" i="3"/>
  <c r="AQ52" i="3"/>
  <c r="W52" i="6" s="1"/>
  <c r="AO52" i="3"/>
  <c r="AN52" i="3"/>
  <c r="AM52" i="3"/>
  <c r="AL52" i="3"/>
  <c r="AK52" i="3"/>
  <c r="AJ52" i="3"/>
  <c r="AS52" i="6" s="1"/>
  <c r="AH52" i="3"/>
  <c r="AG52" i="3"/>
  <c r="AF52" i="3"/>
  <c r="AE52" i="3"/>
  <c r="AD52" i="3"/>
  <c r="AC52" i="3"/>
  <c r="AA52" i="3"/>
  <c r="Z52" i="3"/>
  <c r="Y52" i="3"/>
  <c r="X52" i="3"/>
  <c r="W52" i="3"/>
  <c r="V52" i="3"/>
  <c r="BD52" i="6" s="1"/>
  <c r="T52" i="3"/>
  <c r="S52" i="3"/>
  <c r="R52" i="3"/>
  <c r="Q52" i="3"/>
  <c r="P52" i="3"/>
  <c r="O52" i="3"/>
  <c r="AH52" i="6" s="1"/>
  <c r="M52" i="3"/>
  <c r="L52" i="3"/>
  <c r="K52" i="3"/>
  <c r="J52" i="3"/>
  <c r="I52" i="3"/>
  <c r="H52" i="3"/>
  <c r="L52" i="6" s="1"/>
  <c r="F52" i="3"/>
  <c r="E52" i="3"/>
  <c r="D52" i="3"/>
  <c r="C52" i="3"/>
  <c r="B52" i="3"/>
  <c r="A52" i="3"/>
  <c r="A52" i="6" s="1"/>
  <c r="BJ51" i="3"/>
  <c r="BI51" i="3"/>
  <c r="BH51" i="3"/>
  <c r="BG51" i="3"/>
  <c r="BF51" i="3"/>
  <c r="BE51" i="3"/>
  <c r="FU51" i="6" s="1"/>
  <c r="BC51" i="3"/>
  <c r="BB51" i="3"/>
  <c r="BA51" i="3"/>
  <c r="AZ51" i="3"/>
  <c r="AY51" i="3"/>
  <c r="AX51" i="3"/>
  <c r="FJ51" i="6" s="1"/>
  <c r="AV51" i="3"/>
  <c r="AU51" i="3"/>
  <c r="AT51" i="3"/>
  <c r="AS51" i="3"/>
  <c r="AR51" i="3"/>
  <c r="AQ51" i="3"/>
  <c r="W51" i="6" s="1"/>
  <c r="AO51" i="3"/>
  <c r="AN51" i="3"/>
  <c r="AM51" i="3"/>
  <c r="AL51" i="3"/>
  <c r="AK51" i="3"/>
  <c r="AJ51" i="3"/>
  <c r="AS51" i="6" s="1"/>
  <c r="AH51" i="3"/>
  <c r="AG51" i="3"/>
  <c r="AF51" i="3"/>
  <c r="AE51" i="3"/>
  <c r="AD51" i="3"/>
  <c r="AC51" i="3"/>
  <c r="AA51" i="3"/>
  <c r="Z51" i="3"/>
  <c r="Y51" i="3"/>
  <c r="X51" i="3"/>
  <c r="W51" i="3"/>
  <c r="V51" i="3"/>
  <c r="BD51" i="6" s="1"/>
  <c r="T51" i="3"/>
  <c r="S51" i="3"/>
  <c r="R51" i="3"/>
  <c r="Q51" i="3"/>
  <c r="P51" i="3"/>
  <c r="O51" i="3"/>
  <c r="AH51" i="6" s="1"/>
  <c r="M51" i="3"/>
  <c r="L51" i="3"/>
  <c r="K51" i="3"/>
  <c r="J51" i="3"/>
  <c r="I51" i="3"/>
  <c r="H51" i="3"/>
  <c r="L51" i="6" s="1"/>
  <c r="F51" i="3"/>
  <c r="E51" i="3"/>
  <c r="D51" i="3"/>
  <c r="C51" i="3"/>
  <c r="B51" i="3"/>
  <c r="A51" i="3"/>
  <c r="A51" i="6" s="1"/>
  <c r="BJ50" i="3"/>
  <c r="BI50" i="3"/>
  <c r="BH50" i="3"/>
  <c r="BG50" i="3"/>
  <c r="BF50" i="3"/>
  <c r="BE50" i="3"/>
  <c r="FU50" i="6" s="1"/>
  <c r="BC50" i="3"/>
  <c r="BB50" i="3"/>
  <c r="BA50" i="3"/>
  <c r="AZ50" i="3"/>
  <c r="AY50" i="3"/>
  <c r="AX50" i="3"/>
  <c r="FJ50" i="6" s="1"/>
  <c r="AV50" i="3"/>
  <c r="AU50" i="3"/>
  <c r="AT50" i="3"/>
  <c r="AS50" i="3"/>
  <c r="AR50" i="3"/>
  <c r="AQ50" i="3"/>
  <c r="W50" i="6" s="1"/>
  <c r="AO50" i="3"/>
  <c r="AN50" i="3"/>
  <c r="AM50" i="3"/>
  <c r="AL50" i="3"/>
  <c r="AK50" i="3"/>
  <c r="AJ50" i="3"/>
  <c r="AS50" i="6" s="1"/>
  <c r="AH50" i="3"/>
  <c r="AG50" i="3"/>
  <c r="AF50" i="3"/>
  <c r="AE50" i="3"/>
  <c r="AD50" i="3"/>
  <c r="AC50" i="3"/>
  <c r="AA50" i="3"/>
  <c r="Z50" i="3"/>
  <c r="Y50" i="3"/>
  <c r="X50" i="3"/>
  <c r="W50" i="3"/>
  <c r="V50" i="3"/>
  <c r="BD50" i="6" s="1"/>
  <c r="T50" i="3"/>
  <c r="S50" i="3"/>
  <c r="R50" i="3"/>
  <c r="Q50" i="3"/>
  <c r="P50" i="3"/>
  <c r="O50" i="3"/>
  <c r="AH50" i="6" s="1"/>
  <c r="M50" i="3"/>
  <c r="L50" i="3"/>
  <c r="K50" i="3"/>
  <c r="J50" i="3"/>
  <c r="I50" i="3"/>
  <c r="H50" i="3"/>
  <c r="L50" i="6" s="1"/>
  <c r="F50" i="3"/>
  <c r="E50" i="3"/>
  <c r="D50" i="3"/>
  <c r="C50" i="3"/>
  <c r="B50" i="3"/>
  <c r="A50" i="3"/>
  <c r="A50" i="6" s="1"/>
  <c r="BJ49" i="3"/>
  <c r="BI49" i="3"/>
  <c r="BH49" i="3"/>
  <c r="BG49" i="3"/>
  <c r="BF49" i="3"/>
  <c r="BE49" i="3"/>
  <c r="FU49" i="6" s="1"/>
  <c r="BC49" i="3"/>
  <c r="BB49" i="3"/>
  <c r="BA49" i="3"/>
  <c r="AZ49" i="3"/>
  <c r="AY49" i="3"/>
  <c r="AX49" i="3"/>
  <c r="FJ49" i="6" s="1"/>
  <c r="AV49" i="3"/>
  <c r="AU49" i="3"/>
  <c r="AT49" i="3"/>
  <c r="AS49" i="3"/>
  <c r="AR49" i="3"/>
  <c r="AQ49" i="3"/>
  <c r="W49" i="6" s="1"/>
  <c r="AO49" i="3"/>
  <c r="AN49" i="3"/>
  <c r="AM49" i="3"/>
  <c r="AL49" i="3"/>
  <c r="AK49" i="3"/>
  <c r="AJ49" i="3"/>
  <c r="AS49" i="6" s="1"/>
  <c r="AH49" i="3"/>
  <c r="AG49" i="3"/>
  <c r="AF49" i="3"/>
  <c r="AE49" i="3"/>
  <c r="AD49" i="3"/>
  <c r="AC49" i="3"/>
  <c r="AA49" i="3"/>
  <c r="Z49" i="3"/>
  <c r="Y49" i="3"/>
  <c r="X49" i="3"/>
  <c r="W49" i="3"/>
  <c r="V49" i="3"/>
  <c r="BD49" i="6" s="1"/>
  <c r="T49" i="3"/>
  <c r="S49" i="3"/>
  <c r="R49" i="3"/>
  <c r="Q49" i="3"/>
  <c r="P49" i="3"/>
  <c r="O49" i="3"/>
  <c r="AH49" i="6" s="1"/>
  <c r="M49" i="3"/>
  <c r="L49" i="3"/>
  <c r="K49" i="3"/>
  <c r="J49" i="3"/>
  <c r="I49" i="3"/>
  <c r="H49" i="3"/>
  <c r="L49" i="6" s="1"/>
  <c r="F49" i="3"/>
  <c r="E49" i="3"/>
  <c r="D49" i="3"/>
  <c r="C49" i="3"/>
  <c r="B49" i="3"/>
  <c r="A49" i="3"/>
  <c r="A49" i="6" s="1"/>
  <c r="BJ48" i="3"/>
  <c r="BI48" i="3"/>
  <c r="BH48" i="3"/>
  <c r="BG48" i="3"/>
  <c r="BF48" i="3"/>
  <c r="BE48" i="3"/>
  <c r="FU48" i="6" s="1"/>
  <c r="BC48" i="3"/>
  <c r="BB48" i="3"/>
  <c r="BA48" i="3"/>
  <c r="AZ48" i="3"/>
  <c r="AY48" i="3"/>
  <c r="AX48" i="3"/>
  <c r="FJ48" i="6" s="1"/>
  <c r="AV48" i="3"/>
  <c r="AU48" i="3"/>
  <c r="AT48" i="3"/>
  <c r="AS48" i="3"/>
  <c r="AR48" i="3"/>
  <c r="AQ48" i="3"/>
  <c r="W48" i="6" s="1"/>
  <c r="AO48" i="3"/>
  <c r="AN48" i="3"/>
  <c r="AM48" i="3"/>
  <c r="AL48" i="3"/>
  <c r="AK48" i="3"/>
  <c r="AJ48" i="3"/>
  <c r="AS48" i="6" s="1"/>
  <c r="AH48" i="3"/>
  <c r="AG48" i="3"/>
  <c r="AF48" i="3"/>
  <c r="AE48" i="3"/>
  <c r="AD48" i="3"/>
  <c r="AC48" i="3"/>
  <c r="AA48" i="3"/>
  <c r="Z48" i="3"/>
  <c r="Y48" i="3"/>
  <c r="X48" i="3"/>
  <c r="W48" i="3"/>
  <c r="V48" i="3"/>
  <c r="BD48" i="6" s="1"/>
  <c r="T48" i="3"/>
  <c r="S48" i="3"/>
  <c r="R48" i="3"/>
  <c r="Q48" i="3"/>
  <c r="P48" i="3"/>
  <c r="O48" i="3"/>
  <c r="AH48" i="6" s="1"/>
  <c r="M48" i="3"/>
  <c r="L48" i="3"/>
  <c r="K48" i="3"/>
  <c r="J48" i="3"/>
  <c r="I48" i="3"/>
  <c r="H48" i="3"/>
  <c r="L48" i="6" s="1"/>
  <c r="F48" i="3"/>
  <c r="E48" i="3"/>
  <c r="D48" i="3"/>
  <c r="C48" i="3"/>
  <c r="B48" i="3"/>
  <c r="A48" i="3"/>
  <c r="A48" i="6" s="1"/>
  <c r="BJ47" i="3"/>
  <c r="BI47" i="3"/>
  <c r="BH47" i="3"/>
  <c r="BG47" i="3"/>
  <c r="BF47" i="3"/>
  <c r="BE47" i="3"/>
  <c r="FU47" i="6" s="1"/>
  <c r="BC47" i="3"/>
  <c r="BB47" i="3"/>
  <c r="BA47" i="3"/>
  <c r="AZ47" i="3"/>
  <c r="AY47" i="3"/>
  <c r="AX47" i="3"/>
  <c r="FJ47" i="6" s="1"/>
  <c r="AV47" i="3"/>
  <c r="AU47" i="3"/>
  <c r="AT47" i="3"/>
  <c r="AS47" i="3"/>
  <c r="AR47" i="3"/>
  <c r="AQ47" i="3"/>
  <c r="W47" i="6" s="1"/>
  <c r="AO47" i="3"/>
  <c r="AN47" i="3"/>
  <c r="AM47" i="3"/>
  <c r="AL47" i="3"/>
  <c r="AK47" i="3"/>
  <c r="AJ47" i="3"/>
  <c r="AS47" i="6" s="1"/>
  <c r="AH47" i="3"/>
  <c r="AG47" i="3"/>
  <c r="AF47" i="3"/>
  <c r="AE47" i="3"/>
  <c r="AD47" i="3"/>
  <c r="AC47" i="3"/>
  <c r="AA47" i="3"/>
  <c r="Z47" i="3"/>
  <c r="Y47" i="3"/>
  <c r="X47" i="3"/>
  <c r="W47" i="3"/>
  <c r="V47" i="3"/>
  <c r="BD47" i="6" s="1"/>
  <c r="T47" i="3"/>
  <c r="S47" i="3"/>
  <c r="R47" i="3"/>
  <c r="Q47" i="3"/>
  <c r="P47" i="3"/>
  <c r="O47" i="3"/>
  <c r="AH47" i="6" s="1"/>
  <c r="M47" i="3"/>
  <c r="L47" i="3"/>
  <c r="K47" i="3"/>
  <c r="J47" i="3"/>
  <c r="I47" i="3"/>
  <c r="H47" i="3"/>
  <c r="L47" i="6" s="1"/>
  <c r="F47" i="3"/>
  <c r="E47" i="3"/>
  <c r="D47" i="3"/>
  <c r="C47" i="3"/>
  <c r="B47" i="3"/>
  <c r="A47" i="3"/>
  <c r="A47" i="6" s="1"/>
  <c r="BJ46" i="3"/>
  <c r="BI46" i="3"/>
  <c r="BH46" i="3"/>
  <c r="BG46" i="3"/>
  <c r="BF46" i="3"/>
  <c r="BE46" i="3"/>
  <c r="FU46" i="6" s="1"/>
  <c r="BC46" i="3"/>
  <c r="BB46" i="3"/>
  <c r="BA46" i="3"/>
  <c r="AZ46" i="3"/>
  <c r="AY46" i="3"/>
  <c r="AX46" i="3"/>
  <c r="FJ46" i="6" s="1"/>
  <c r="AV46" i="3"/>
  <c r="AU46" i="3"/>
  <c r="AT46" i="3"/>
  <c r="AS46" i="3"/>
  <c r="AR46" i="3"/>
  <c r="AQ46" i="3"/>
  <c r="W46" i="6" s="1"/>
  <c r="AO46" i="3"/>
  <c r="AN46" i="3"/>
  <c r="AM46" i="3"/>
  <c r="AL46" i="3"/>
  <c r="AK46" i="3"/>
  <c r="AJ46" i="3"/>
  <c r="AS46" i="6" s="1"/>
  <c r="AH46" i="3"/>
  <c r="AG46" i="3"/>
  <c r="AF46" i="3"/>
  <c r="AE46" i="3"/>
  <c r="AD46" i="3"/>
  <c r="AC46" i="3"/>
  <c r="AA46" i="3"/>
  <c r="Z46" i="3"/>
  <c r="Y46" i="3"/>
  <c r="X46" i="3"/>
  <c r="W46" i="3"/>
  <c r="V46" i="3"/>
  <c r="BD46" i="6" s="1"/>
  <c r="T46" i="3"/>
  <c r="S46" i="3"/>
  <c r="R46" i="3"/>
  <c r="Q46" i="3"/>
  <c r="P46" i="3"/>
  <c r="O46" i="3"/>
  <c r="AH46" i="6" s="1"/>
  <c r="M46" i="3"/>
  <c r="L46" i="3"/>
  <c r="K46" i="3"/>
  <c r="J46" i="3"/>
  <c r="I46" i="3"/>
  <c r="H46" i="3"/>
  <c r="L46" i="6" s="1"/>
  <c r="F46" i="3"/>
  <c r="E46" i="3"/>
  <c r="D46" i="3"/>
  <c r="C46" i="3"/>
  <c r="B46" i="3"/>
  <c r="A46" i="3"/>
  <c r="A46" i="6" s="1"/>
  <c r="BJ45" i="3"/>
  <c r="BI45" i="3"/>
  <c r="BH45" i="3"/>
  <c r="BG45" i="3"/>
  <c r="BF45" i="3"/>
  <c r="BE45" i="3"/>
  <c r="FU45" i="6" s="1"/>
  <c r="BC45" i="3"/>
  <c r="BB45" i="3"/>
  <c r="BA45" i="3"/>
  <c r="AZ45" i="3"/>
  <c r="AY45" i="3"/>
  <c r="AX45" i="3"/>
  <c r="FJ45" i="6" s="1"/>
  <c r="AV45" i="3"/>
  <c r="AU45" i="3"/>
  <c r="AT45" i="3"/>
  <c r="AS45" i="3"/>
  <c r="AR45" i="3"/>
  <c r="AQ45" i="3"/>
  <c r="W45" i="6" s="1"/>
  <c r="AO45" i="3"/>
  <c r="AN45" i="3"/>
  <c r="AM45" i="3"/>
  <c r="AL45" i="3"/>
  <c r="AK45" i="3"/>
  <c r="AJ45" i="3"/>
  <c r="AS45" i="6" s="1"/>
  <c r="AH45" i="3"/>
  <c r="AG45" i="3"/>
  <c r="AF45" i="3"/>
  <c r="AE45" i="3"/>
  <c r="AD45" i="3"/>
  <c r="AC45" i="3"/>
  <c r="AA45" i="3"/>
  <c r="Z45" i="3"/>
  <c r="Y45" i="3"/>
  <c r="X45" i="3"/>
  <c r="W45" i="3"/>
  <c r="V45" i="3"/>
  <c r="BD45" i="6" s="1"/>
  <c r="T45" i="3"/>
  <c r="S45" i="3"/>
  <c r="R45" i="3"/>
  <c r="Q45" i="3"/>
  <c r="P45" i="3"/>
  <c r="O45" i="3"/>
  <c r="AH45" i="6" s="1"/>
  <c r="M45" i="3"/>
  <c r="L45" i="3"/>
  <c r="K45" i="3"/>
  <c r="J45" i="3"/>
  <c r="I45" i="3"/>
  <c r="H45" i="3"/>
  <c r="L45" i="6" s="1"/>
  <c r="F45" i="3"/>
  <c r="E45" i="3"/>
  <c r="D45" i="3"/>
  <c r="C45" i="3"/>
  <c r="B45" i="3"/>
  <c r="A45" i="3"/>
  <c r="A45" i="6" s="1"/>
  <c r="BJ44" i="3"/>
  <c r="BI44" i="3"/>
  <c r="BH44" i="3"/>
  <c r="BG44" i="3"/>
  <c r="BF44" i="3"/>
  <c r="BE44" i="3"/>
  <c r="FU44" i="6" s="1"/>
  <c r="BC44" i="3"/>
  <c r="BB44" i="3"/>
  <c r="BA44" i="3"/>
  <c r="AZ44" i="3"/>
  <c r="AY44" i="3"/>
  <c r="AX44" i="3"/>
  <c r="FJ44" i="6" s="1"/>
  <c r="AV44" i="3"/>
  <c r="AU44" i="3"/>
  <c r="AT44" i="3"/>
  <c r="AS44" i="3"/>
  <c r="AR44" i="3"/>
  <c r="AQ44" i="3"/>
  <c r="W44" i="6" s="1"/>
  <c r="AO44" i="3"/>
  <c r="AN44" i="3"/>
  <c r="AM44" i="3"/>
  <c r="AL44" i="3"/>
  <c r="AK44" i="3"/>
  <c r="AJ44" i="3"/>
  <c r="AS44" i="6" s="1"/>
  <c r="AH44" i="3"/>
  <c r="AG44" i="3"/>
  <c r="AF44" i="3"/>
  <c r="AE44" i="3"/>
  <c r="AD44" i="3"/>
  <c r="AC44" i="3"/>
  <c r="AA44" i="3"/>
  <c r="Z44" i="3"/>
  <c r="Y44" i="3"/>
  <c r="X44" i="3"/>
  <c r="W44" i="3"/>
  <c r="V44" i="3"/>
  <c r="BD44" i="6" s="1"/>
  <c r="T44" i="3"/>
  <c r="S44" i="3"/>
  <c r="R44" i="3"/>
  <c r="Q44" i="3"/>
  <c r="P44" i="3"/>
  <c r="O44" i="3"/>
  <c r="AH44" i="6" s="1"/>
  <c r="M44" i="3"/>
  <c r="L44" i="3"/>
  <c r="K44" i="3"/>
  <c r="J44" i="3"/>
  <c r="I44" i="3"/>
  <c r="H44" i="3"/>
  <c r="L44" i="6" s="1"/>
  <c r="F44" i="3"/>
  <c r="E44" i="3"/>
  <c r="D44" i="3"/>
  <c r="C44" i="3"/>
  <c r="B44" i="3"/>
  <c r="A44" i="3"/>
  <c r="A44" i="6" s="1"/>
  <c r="BJ43" i="3"/>
  <c r="BI43" i="3"/>
  <c r="BH43" i="3"/>
  <c r="BG43" i="3"/>
  <c r="BF43" i="3"/>
  <c r="BE43" i="3"/>
  <c r="FU43" i="6" s="1"/>
  <c r="BC43" i="3"/>
  <c r="BB43" i="3"/>
  <c r="BA43" i="3"/>
  <c r="AZ43" i="3"/>
  <c r="AY43" i="3"/>
  <c r="AX43" i="3"/>
  <c r="FJ43" i="6" s="1"/>
  <c r="AV43" i="3"/>
  <c r="AU43" i="3"/>
  <c r="AT43" i="3"/>
  <c r="AS43" i="3"/>
  <c r="AR43" i="3"/>
  <c r="AQ43" i="3"/>
  <c r="W43" i="6" s="1"/>
  <c r="AO43" i="3"/>
  <c r="AN43" i="3"/>
  <c r="AM43" i="3"/>
  <c r="AL43" i="3"/>
  <c r="AK43" i="3"/>
  <c r="AJ43" i="3"/>
  <c r="AS43" i="6" s="1"/>
  <c r="AH43" i="3"/>
  <c r="AG43" i="3"/>
  <c r="AF43" i="3"/>
  <c r="AE43" i="3"/>
  <c r="AD43" i="3"/>
  <c r="AC43" i="3"/>
  <c r="AA43" i="3"/>
  <c r="Z43" i="3"/>
  <c r="Y43" i="3"/>
  <c r="X43" i="3"/>
  <c r="W43" i="3"/>
  <c r="V43" i="3"/>
  <c r="BD43" i="6" s="1"/>
  <c r="T43" i="3"/>
  <c r="S43" i="3"/>
  <c r="R43" i="3"/>
  <c r="Q43" i="3"/>
  <c r="P43" i="3"/>
  <c r="O43" i="3"/>
  <c r="AH43" i="6" s="1"/>
  <c r="M43" i="3"/>
  <c r="L43" i="3"/>
  <c r="K43" i="3"/>
  <c r="J43" i="3"/>
  <c r="I43" i="3"/>
  <c r="H43" i="3"/>
  <c r="L43" i="6" s="1"/>
  <c r="F43" i="3"/>
  <c r="E43" i="3"/>
  <c r="D43" i="3"/>
  <c r="C43" i="3"/>
  <c r="B43" i="3"/>
  <c r="A43" i="3"/>
  <c r="A43" i="6" s="1"/>
  <c r="BJ42" i="3"/>
  <c r="BI42" i="3"/>
  <c r="BH42" i="3"/>
  <c r="BG42" i="3"/>
  <c r="BF42" i="3"/>
  <c r="BE42" i="3"/>
  <c r="FU42" i="6" s="1"/>
  <c r="BC42" i="3"/>
  <c r="BB42" i="3"/>
  <c r="BA42" i="3"/>
  <c r="AZ42" i="3"/>
  <c r="AY42" i="3"/>
  <c r="AX42" i="3"/>
  <c r="FJ42" i="6" s="1"/>
  <c r="AV42" i="3"/>
  <c r="AU42" i="3"/>
  <c r="AT42" i="3"/>
  <c r="AS42" i="3"/>
  <c r="AR42" i="3"/>
  <c r="AQ42" i="3"/>
  <c r="W42" i="6" s="1"/>
  <c r="AO42" i="3"/>
  <c r="AN42" i="3"/>
  <c r="AM42" i="3"/>
  <c r="AL42" i="3"/>
  <c r="AK42" i="3"/>
  <c r="AJ42" i="3"/>
  <c r="AS42" i="6" s="1"/>
  <c r="AH42" i="3"/>
  <c r="AG42" i="3"/>
  <c r="AF42" i="3"/>
  <c r="AE42" i="3"/>
  <c r="AD42" i="3"/>
  <c r="AC42" i="3"/>
  <c r="AA42" i="3"/>
  <c r="Z42" i="3"/>
  <c r="Y42" i="3"/>
  <c r="X42" i="3"/>
  <c r="W42" i="3"/>
  <c r="V42" i="3"/>
  <c r="BD42" i="6" s="1"/>
  <c r="T42" i="3"/>
  <c r="S42" i="3"/>
  <c r="R42" i="3"/>
  <c r="Q42" i="3"/>
  <c r="P42" i="3"/>
  <c r="O42" i="3"/>
  <c r="AH42" i="6" s="1"/>
  <c r="M42" i="3"/>
  <c r="L42" i="3"/>
  <c r="K42" i="3"/>
  <c r="J42" i="3"/>
  <c r="I42" i="3"/>
  <c r="H42" i="3"/>
  <c r="L42" i="6" s="1"/>
  <c r="F42" i="3"/>
  <c r="E42" i="3"/>
  <c r="D42" i="3"/>
  <c r="C42" i="3"/>
  <c r="B42" i="3"/>
  <c r="A42" i="3"/>
  <c r="A42" i="6" s="1"/>
  <c r="BJ41" i="3"/>
  <c r="BI41" i="3"/>
  <c r="BH41" i="3"/>
  <c r="BG41" i="3"/>
  <c r="BF41" i="3"/>
  <c r="BE41" i="3"/>
  <c r="FU41" i="6" s="1"/>
  <c r="BC41" i="3"/>
  <c r="BB41" i="3"/>
  <c r="BA41" i="3"/>
  <c r="AZ41" i="3"/>
  <c r="AY41" i="3"/>
  <c r="AX41" i="3"/>
  <c r="FJ41" i="6" s="1"/>
  <c r="AV41" i="3"/>
  <c r="AU41" i="3"/>
  <c r="AT41" i="3"/>
  <c r="AS41" i="3"/>
  <c r="AR41" i="3"/>
  <c r="AQ41" i="3"/>
  <c r="W41" i="6" s="1"/>
  <c r="AO41" i="3"/>
  <c r="AN41" i="3"/>
  <c r="AM41" i="3"/>
  <c r="AL41" i="3"/>
  <c r="AK41" i="3"/>
  <c r="AJ41" i="3"/>
  <c r="AS41" i="6" s="1"/>
  <c r="AH41" i="3"/>
  <c r="AG41" i="3"/>
  <c r="AF41" i="3"/>
  <c r="AE41" i="3"/>
  <c r="AD41" i="3"/>
  <c r="AC41" i="3"/>
  <c r="AA41" i="3"/>
  <c r="Z41" i="3"/>
  <c r="Y41" i="3"/>
  <c r="X41" i="3"/>
  <c r="W41" i="3"/>
  <c r="V41" i="3"/>
  <c r="BD41" i="6" s="1"/>
  <c r="T41" i="3"/>
  <c r="S41" i="3"/>
  <c r="R41" i="3"/>
  <c r="Q41" i="3"/>
  <c r="P41" i="3"/>
  <c r="O41" i="3"/>
  <c r="AH41" i="6" s="1"/>
  <c r="M41" i="3"/>
  <c r="L41" i="3"/>
  <c r="K41" i="3"/>
  <c r="J41" i="3"/>
  <c r="I41" i="3"/>
  <c r="H41" i="3"/>
  <c r="L41" i="6" s="1"/>
  <c r="F41" i="3"/>
  <c r="E41" i="3"/>
  <c r="D41" i="3"/>
  <c r="C41" i="3"/>
  <c r="B41" i="3"/>
  <c r="A41" i="3"/>
  <c r="A41" i="6" s="1"/>
  <c r="BJ40" i="3"/>
  <c r="BI40" i="3"/>
  <c r="BH40" i="3"/>
  <c r="BG40" i="3"/>
  <c r="BF40" i="3"/>
  <c r="BE40" i="3"/>
  <c r="FU40" i="6" s="1"/>
  <c r="BC40" i="3"/>
  <c r="BB40" i="3"/>
  <c r="BA40" i="3"/>
  <c r="AZ40" i="3"/>
  <c r="AY40" i="3"/>
  <c r="AX40" i="3"/>
  <c r="FJ40" i="6" s="1"/>
  <c r="AV40" i="3"/>
  <c r="AU40" i="3"/>
  <c r="AT40" i="3"/>
  <c r="AS40" i="3"/>
  <c r="AR40" i="3"/>
  <c r="AQ40" i="3"/>
  <c r="W40" i="6" s="1"/>
  <c r="AO40" i="3"/>
  <c r="AN40" i="3"/>
  <c r="AM40" i="3"/>
  <c r="AL40" i="3"/>
  <c r="AK40" i="3"/>
  <c r="AJ40" i="3"/>
  <c r="AS40" i="6" s="1"/>
  <c r="AH40" i="3"/>
  <c r="AG40" i="3"/>
  <c r="AF40" i="3"/>
  <c r="AE40" i="3"/>
  <c r="AD40" i="3"/>
  <c r="AC40" i="3"/>
  <c r="AA40" i="3"/>
  <c r="Z40" i="3"/>
  <c r="Y40" i="3"/>
  <c r="X40" i="3"/>
  <c r="W40" i="3"/>
  <c r="V40" i="3"/>
  <c r="BD40" i="6" s="1"/>
  <c r="T40" i="3"/>
  <c r="S40" i="3"/>
  <c r="R40" i="3"/>
  <c r="Q40" i="3"/>
  <c r="P40" i="3"/>
  <c r="O40" i="3"/>
  <c r="AH40" i="6" s="1"/>
  <c r="M40" i="3"/>
  <c r="L40" i="3"/>
  <c r="K40" i="3"/>
  <c r="J40" i="3"/>
  <c r="I40" i="3"/>
  <c r="H40" i="3"/>
  <c r="L40" i="6" s="1"/>
  <c r="F40" i="3"/>
  <c r="E40" i="3"/>
  <c r="D40" i="3"/>
  <c r="C40" i="3"/>
  <c r="B40" i="3"/>
  <c r="A40" i="3"/>
  <c r="A40" i="6" s="1"/>
  <c r="BJ39" i="3"/>
  <c r="BI39" i="3"/>
  <c r="BH39" i="3"/>
  <c r="BG39" i="3"/>
  <c r="BF39" i="3"/>
  <c r="BE39" i="3"/>
  <c r="FU39" i="6" s="1"/>
  <c r="BC39" i="3"/>
  <c r="BB39" i="3"/>
  <c r="BA39" i="3"/>
  <c r="AZ39" i="3"/>
  <c r="AY39" i="3"/>
  <c r="AX39" i="3"/>
  <c r="FJ39" i="6" s="1"/>
  <c r="AV39" i="3"/>
  <c r="AU39" i="3"/>
  <c r="AT39" i="3"/>
  <c r="AS39" i="3"/>
  <c r="AR39" i="3"/>
  <c r="AQ39" i="3"/>
  <c r="W39" i="6" s="1"/>
  <c r="AO39" i="3"/>
  <c r="AN39" i="3"/>
  <c r="AM39" i="3"/>
  <c r="AL39" i="3"/>
  <c r="AK39" i="3"/>
  <c r="AJ39" i="3"/>
  <c r="AS39" i="6" s="1"/>
  <c r="AH39" i="3"/>
  <c r="AG39" i="3"/>
  <c r="AF39" i="3"/>
  <c r="AE39" i="3"/>
  <c r="AD39" i="3"/>
  <c r="AC39" i="3"/>
  <c r="AA39" i="3"/>
  <c r="Z39" i="3"/>
  <c r="Y39" i="3"/>
  <c r="X39" i="3"/>
  <c r="W39" i="3"/>
  <c r="V39" i="3"/>
  <c r="BD39" i="6" s="1"/>
  <c r="T39" i="3"/>
  <c r="S39" i="3"/>
  <c r="R39" i="3"/>
  <c r="Q39" i="3"/>
  <c r="P39" i="3"/>
  <c r="O39" i="3"/>
  <c r="AH39" i="6" s="1"/>
  <c r="M39" i="3"/>
  <c r="L39" i="3"/>
  <c r="K39" i="3"/>
  <c r="J39" i="3"/>
  <c r="I39" i="3"/>
  <c r="H39" i="3"/>
  <c r="L39" i="6" s="1"/>
  <c r="F39" i="3"/>
  <c r="E39" i="3"/>
  <c r="D39" i="3"/>
  <c r="C39" i="3"/>
  <c r="B39" i="3"/>
  <c r="A39" i="3"/>
  <c r="A39" i="6" s="1"/>
  <c r="BJ38" i="3"/>
  <c r="BI38" i="3"/>
  <c r="BH38" i="3"/>
  <c r="BG38" i="3"/>
  <c r="BF38" i="3"/>
  <c r="BE38" i="3"/>
  <c r="FU38" i="6" s="1"/>
  <c r="BC38" i="3"/>
  <c r="BB38" i="3"/>
  <c r="BA38" i="3"/>
  <c r="AZ38" i="3"/>
  <c r="AY38" i="3"/>
  <c r="AX38" i="3"/>
  <c r="FJ38" i="6" s="1"/>
  <c r="AV38" i="3"/>
  <c r="AU38" i="3"/>
  <c r="AT38" i="3"/>
  <c r="AS38" i="3"/>
  <c r="AR38" i="3"/>
  <c r="AQ38" i="3"/>
  <c r="W38" i="6" s="1"/>
  <c r="AO38" i="3"/>
  <c r="AN38" i="3"/>
  <c r="AM38" i="3"/>
  <c r="AL38" i="3"/>
  <c r="AK38" i="3"/>
  <c r="AJ38" i="3"/>
  <c r="AS38" i="6" s="1"/>
  <c r="AH38" i="3"/>
  <c r="AG38" i="3"/>
  <c r="AF38" i="3"/>
  <c r="AE38" i="3"/>
  <c r="AD38" i="3"/>
  <c r="AC38" i="3"/>
  <c r="AA38" i="3"/>
  <c r="Z38" i="3"/>
  <c r="Y38" i="3"/>
  <c r="X38" i="3"/>
  <c r="W38" i="3"/>
  <c r="V38" i="3"/>
  <c r="BD38" i="6" s="1"/>
  <c r="T38" i="3"/>
  <c r="S38" i="3"/>
  <c r="R38" i="3"/>
  <c r="Q38" i="3"/>
  <c r="P38" i="3"/>
  <c r="O38" i="3"/>
  <c r="AH38" i="6" s="1"/>
  <c r="M38" i="3"/>
  <c r="L38" i="3"/>
  <c r="K38" i="3"/>
  <c r="J38" i="3"/>
  <c r="I38" i="3"/>
  <c r="H38" i="3"/>
  <c r="L38" i="6" s="1"/>
  <c r="F38" i="3"/>
  <c r="E38" i="3"/>
  <c r="D38" i="3"/>
  <c r="C38" i="3"/>
  <c r="B38" i="3"/>
  <c r="A38" i="3"/>
  <c r="A38" i="6" s="1"/>
  <c r="BJ37" i="3"/>
  <c r="BI37" i="3"/>
  <c r="BH37" i="3"/>
  <c r="BG37" i="3"/>
  <c r="BF37" i="3"/>
  <c r="BE37" i="3"/>
  <c r="FU37" i="6" s="1"/>
  <c r="BC37" i="3"/>
  <c r="BB37" i="3"/>
  <c r="BA37" i="3"/>
  <c r="AZ37" i="3"/>
  <c r="AY37" i="3"/>
  <c r="AX37" i="3"/>
  <c r="FJ37" i="6" s="1"/>
  <c r="AV37" i="3"/>
  <c r="AU37" i="3"/>
  <c r="AT37" i="3"/>
  <c r="AS37" i="3"/>
  <c r="AR37" i="3"/>
  <c r="AQ37" i="3"/>
  <c r="W37" i="6" s="1"/>
  <c r="AO37" i="3"/>
  <c r="AN37" i="3"/>
  <c r="AM37" i="3"/>
  <c r="AL37" i="3"/>
  <c r="AK37" i="3"/>
  <c r="AJ37" i="3"/>
  <c r="AS37" i="6" s="1"/>
  <c r="AH37" i="3"/>
  <c r="AG37" i="3"/>
  <c r="AF37" i="3"/>
  <c r="AE37" i="3"/>
  <c r="AD37" i="3"/>
  <c r="AC37" i="3"/>
  <c r="AA37" i="3"/>
  <c r="Z37" i="3"/>
  <c r="Y37" i="3"/>
  <c r="X37" i="3"/>
  <c r="W37" i="3"/>
  <c r="V37" i="3"/>
  <c r="BD37" i="6" s="1"/>
  <c r="T37" i="3"/>
  <c r="S37" i="3"/>
  <c r="R37" i="3"/>
  <c r="Q37" i="3"/>
  <c r="P37" i="3"/>
  <c r="O37" i="3"/>
  <c r="AH37" i="6" s="1"/>
  <c r="M37" i="3"/>
  <c r="L37" i="3"/>
  <c r="K37" i="3"/>
  <c r="J37" i="3"/>
  <c r="I37" i="3"/>
  <c r="H37" i="3"/>
  <c r="L37" i="6" s="1"/>
  <c r="F37" i="3"/>
  <c r="E37" i="3"/>
  <c r="D37" i="3"/>
  <c r="C37" i="3"/>
  <c r="B37" i="3"/>
  <c r="A37" i="3"/>
  <c r="A37" i="6" s="1"/>
  <c r="BJ36" i="3"/>
  <c r="BI36" i="3"/>
  <c r="BH36" i="3"/>
  <c r="BG36" i="3"/>
  <c r="BF36" i="3"/>
  <c r="BE36" i="3"/>
  <c r="FU36" i="6" s="1"/>
  <c r="BC36" i="3"/>
  <c r="BB36" i="3"/>
  <c r="BA36" i="3"/>
  <c r="AZ36" i="3"/>
  <c r="AY36" i="3"/>
  <c r="AX36" i="3"/>
  <c r="FJ36" i="6" s="1"/>
  <c r="AV36" i="3"/>
  <c r="AU36" i="3"/>
  <c r="AT36" i="3"/>
  <c r="AS36" i="3"/>
  <c r="AR36" i="3"/>
  <c r="AQ36" i="3"/>
  <c r="W36" i="6" s="1"/>
  <c r="AO36" i="3"/>
  <c r="AN36" i="3"/>
  <c r="AM36" i="3"/>
  <c r="AL36" i="3"/>
  <c r="AK36" i="3"/>
  <c r="AJ36" i="3"/>
  <c r="AS36" i="6" s="1"/>
  <c r="AH36" i="3"/>
  <c r="AG36" i="3"/>
  <c r="AF36" i="3"/>
  <c r="AE36" i="3"/>
  <c r="AD36" i="3"/>
  <c r="AC36" i="3"/>
  <c r="AA36" i="3"/>
  <c r="Z36" i="3"/>
  <c r="Y36" i="3"/>
  <c r="X36" i="3"/>
  <c r="W36" i="3"/>
  <c r="V36" i="3"/>
  <c r="BD36" i="6" s="1"/>
  <c r="T36" i="3"/>
  <c r="S36" i="3"/>
  <c r="R36" i="3"/>
  <c r="Q36" i="3"/>
  <c r="P36" i="3"/>
  <c r="O36" i="3"/>
  <c r="AH36" i="6" s="1"/>
  <c r="M36" i="3"/>
  <c r="L36" i="3"/>
  <c r="K36" i="3"/>
  <c r="J36" i="3"/>
  <c r="I36" i="3"/>
  <c r="H36" i="3"/>
  <c r="L36" i="6" s="1"/>
  <c r="F36" i="3"/>
  <c r="E36" i="3"/>
  <c r="D36" i="3"/>
  <c r="C36" i="3"/>
  <c r="B36" i="3"/>
  <c r="A36" i="3"/>
  <c r="A36" i="6" s="1"/>
  <c r="BJ35" i="3"/>
  <c r="BI35" i="3"/>
  <c r="BH35" i="3"/>
  <c r="BG35" i="3"/>
  <c r="BF35" i="3"/>
  <c r="BE35" i="3"/>
  <c r="FU35" i="6" s="1"/>
  <c r="BC35" i="3"/>
  <c r="BB35" i="3"/>
  <c r="BA35" i="3"/>
  <c r="AZ35" i="3"/>
  <c r="AY35" i="3"/>
  <c r="AX35" i="3"/>
  <c r="FJ35" i="6" s="1"/>
  <c r="AV35" i="3"/>
  <c r="AU35" i="3"/>
  <c r="AT35" i="3"/>
  <c r="AS35" i="3"/>
  <c r="AR35" i="3"/>
  <c r="AQ35" i="3"/>
  <c r="W35" i="6" s="1"/>
  <c r="AO35" i="3"/>
  <c r="AN35" i="3"/>
  <c r="AM35" i="3"/>
  <c r="AL35" i="3"/>
  <c r="AK35" i="3"/>
  <c r="AJ35" i="3"/>
  <c r="AS35" i="6" s="1"/>
  <c r="AH35" i="3"/>
  <c r="AG35" i="3"/>
  <c r="AF35" i="3"/>
  <c r="AE35" i="3"/>
  <c r="AD35" i="3"/>
  <c r="AC35" i="3"/>
  <c r="AA35" i="3"/>
  <c r="Z35" i="3"/>
  <c r="Y35" i="3"/>
  <c r="X35" i="3"/>
  <c r="W35" i="3"/>
  <c r="V35" i="3"/>
  <c r="BD35" i="6" s="1"/>
  <c r="T35" i="3"/>
  <c r="S35" i="3"/>
  <c r="R35" i="3"/>
  <c r="Q35" i="3"/>
  <c r="P35" i="3"/>
  <c r="O35" i="3"/>
  <c r="AH35" i="6" s="1"/>
  <c r="M35" i="3"/>
  <c r="L35" i="3"/>
  <c r="K35" i="3"/>
  <c r="J35" i="3"/>
  <c r="I35" i="3"/>
  <c r="H35" i="3"/>
  <c r="L35" i="6" s="1"/>
  <c r="F35" i="3"/>
  <c r="E35" i="3"/>
  <c r="D35" i="3"/>
  <c r="C35" i="3"/>
  <c r="B35" i="3"/>
  <c r="A35" i="3"/>
  <c r="A35" i="6" s="1"/>
  <c r="BJ34" i="3"/>
  <c r="BI34" i="3"/>
  <c r="BH34" i="3"/>
  <c r="BG34" i="3"/>
  <c r="BF34" i="3"/>
  <c r="BE34" i="3"/>
  <c r="FU34" i="6" s="1"/>
  <c r="BC34" i="3"/>
  <c r="BB34" i="3"/>
  <c r="BA34" i="3"/>
  <c r="AZ34" i="3"/>
  <c r="AY34" i="3"/>
  <c r="AX34" i="3"/>
  <c r="FJ34" i="6" s="1"/>
  <c r="AV34" i="3"/>
  <c r="AU34" i="3"/>
  <c r="AT34" i="3"/>
  <c r="AS34" i="3"/>
  <c r="AR34" i="3"/>
  <c r="AQ34" i="3"/>
  <c r="W34" i="6" s="1"/>
  <c r="AO34" i="3"/>
  <c r="AN34" i="3"/>
  <c r="AM34" i="3"/>
  <c r="AL34" i="3"/>
  <c r="AK34" i="3"/>
  <c r="AJ34" i="3"/>
  <c r="AS34" i="6" s="1"/>
  <c r="AH34" i="3"/>
  <c r="AG34" i="3"/>
  <c r="AF34" i="3"/>
  <c r="AE34" i="3"/>
  <c r="AD34" i="3"/>
  <c r="AC34" i="3"/>
  <c r="AA34" i="3"/>
  <c r="Z34" i="3"/>
  <c r="Y34" i="3"/>
  <c r="X34" i="3"/>
  <c r="W34" i="3"/>
  <c r="V34" i="3"/>
  <c r="BD34" i="6" s="1"/>
  <c r="T34" i="3"/>
  <c r="S34" i="3"/>
  <c r="R34" i="3"/>
  <c r="Q34" i="3"/>
  <c r="P34" i="3"/>
  <c r="O34" i="3"/>
  <c r="AH34" i="6" s="1"/>
  <c r="M34" i="3"/>
  <c r="L34" i="3"/>
  <c r="K34" i="3"/>
  <c r="J34" i="3"/>
  <c r="I34" i="3"/>
  <c r="H34" i="3"/>
  <c r="L34" i="6" s="1"/>
  <c r="F34" i="3"/>
  <c r="E34" i="3"/>
  <c r="D34" i="3"/>
  <c r="C34" i="3"/>
  <c r="B34" i="3"/>
  <c r="A34" i="3"/>
  <c r="A34" i="6" s="1"/>
  <c r="BJ33" i="3"/>
  <c r="BI33" i="3"/>
  <c r="BH33" i="3"/>
  <c r="BG33" i="3"/>
  <c r="BF33" i="3"/>
  <c r="BE33" i="3"/>
  <c r="FU33" i="6" s="1"/>
  <c r="BC33" i="3"/>
  <c r="BB33" i="3"/>
  <c r="BA33" i="3"/>
  <c r="AZ33" i="3"/>
  <c r="AY33" i="3"/>
  <c r="AX33" i="3"/>
  <c r="FJ33" i="6" s="1"/>
  <c r="AV33" i="3"/>
  <c r="AU33" i="3"/>
  <c r="AT33" i="3"/>
  <c r="AS33" i="3"/>
  <c r="AR33" i="3"/>
  <c r="AQ33" i="3"/>
  <c r="W33" i="6" s="1"/>
  <c r="AO33" i="3"/>
  <c r="AN33" i="3"/>
  <c r="AM33" i="3"/>
  <c r="AL33" i="3"/>
  <c r="AK33" i="3"/>
  <c r="AJ33" i="3"/>
  <c r="AS33" i="6" s="1"/>
  <c r="AH33" i="3"/>
  <c r="AG33" i="3"/>
  <c r="AF33" i="3"/>
  <c r="AE33" i="3"/>
  <c r="AD33" i="3"/>
  <c r="AC33" i="3"/>
  <c r="AA33" i="3"/>
  <c r="Z33" i="3"/>
  <c r="Y33" i="3"/>
  <c r="X33" i="3"/>
  <c r="W33" i="3"/>
  <c r="V33" i="3"/>
  <c r="BD33" i="6" s="1"/>
  <c r="T33" i="3"/>
  <c r="S33" i="3"/>
  <c r="R33" i="3"/>
  <c r="Q33" i="3"/>
  <c r="P33" i="3"/>
  <c r="O33" i="3"/>
  <c r="AH33" i="6" s="1"/>
  <c r="M33" i="3"/>
  <c r="L33" i="3"/>
  <c r="K33" i="3"/>
  <c r="J33" i="3"/>
  <c r="I33" i="3"/>
  <c r="H33" i="3"/>
  <c r="L33" i="6" s="1"/>
  <c r="F33" i="3"/>
  <c r="E33" i="3"/>
  <c r="D33" i="3"/>
  <c r="C33" i="3"/>
  <c r="B33" i="3"/>
  <c r="A33" i="3"/>
  <c r="A33" i="6" s="1"/>
  <c r="BJ32" i="3"/>
  <c r="BI32" i="3"/>
  <c r="BH32" i="3"/>
  <c r="BG32" i="3"/>
  <c r="BF32" i="3"/>
  <c r="BE32" i="3"/>
  <c r="FU32" i="6" s="1"/>
  <c r="BC32" i="3"/>
  <c r="BB32" i="3"/>
  <c r="BA32" i="3"/>
  <c r="AZ32" i="3"/>
  <c r="AY32" i="3"/>
  <c r="AX32" i="3"/>
  <c r="FJ32" i="6" s="1"/>
  <c r="AV32" i="3"/>
  <c r="AU32" i="3"/>
  <c r="AT32" i="3"/>
  <c r="AS32" i="3"/>
  <c r="AR32" i="3"/>
  <c r="AQ32" i="3"/>
  <c r="W32" i="6" s="1"/>
  <c r="AO32" i="3"/>
  <c r="AN32" i="3"/>
  <c r="AM32" i="3"/>
  <c r="AL32" i="3"/>
  <c r="AK32" i="3"/>
  <c r="AJ32" i="3"/>
  <c r="AS32" i="6" s="1"/>
  <c r="AH32" i="3"/>
  <c r="AG32" i="3"/>
  <c r="AF32" i="3"/>
  <c r="AE32" i="3"/>
  <c r="AD32" i="3"/>
  <c r="AC32" i="3"/>
  <c r="AA32" i="3"/>
  <c r="Z32" i="3"/>
  <c r="Y32" i="3"/>
  <c r="X32" i="3"/>
  <c r="W32" i="3"/>
  <c r="V32" i="3"/>
  <c r="BD32" i="6" s="1"/>
  <c r="T32" i="3"/>
  <c r="S32" i="3"/>
  <c r="R32" i="3"/>
  <c r="Q32" i="3"/>
  <c r="P32" i="3"/>
  <c r="O32" i="3"/>
  <c r="AH32" i="6" s="1"/>
  <c r="M32" i="3"/>
  <c r="L32" i="3"/>
  <c r="K32" i="3"/>
  <c r="J32" i="3"/>
  <c r="I32" i="3"/>
  <c r="H32" i="3"/>
  <c r="L32" i="6" s="1"/>
  <c r="F32" i="3"/>
  <c r="E32" i="3"/>
  <c r="D32" i="3"/>
  <c r="C32" i="3"/>
  <c r="B32" i="3"/>
  <c r="A32" i="3"/>
  <c r="A32" i="6" s="1"/>
  <c r="BJ31" i="3"/>
  <c r="BI31" i="3"/>
  <c r="BH31" i="3"/>
  <c r="BG31" i="3"/>
  <c r="BF31" i="3"/>
  <c r="BE31" i="3"/>
  <c r="FU31" i="6" s="1"/>
  <c r="BC31" i="3"/>
  <c r="BB31" i="3"/>
  <c r="BA31" i="3"/>
  <c r="AZ31" i="3"/>
  <c r="AY31" i="3"/>
  <c r="AX31" i="3"/>
  <c r="FJ31" i="6" s="1"/>
  <c r="AV31" i="3"/>
  <c r="AU31" i="3"/>
  <c r="AT31" i="3"/>
  <c r="AS31" i="3"/>
  <c r="AR31" i="3"/>
  <c r="AQ31" i="3"/>
  <c r="W31" i="6" s="1"/>
  <c r="AO31" i="3"/>
  <c r="AN31" i="3"/>
  <c r="AM31" i="3"/>
  <c r="AL31" i="3"/>
  <c r="AK31" i="3"/>
  <c r="AJ31" i="3"/>
  <c r="AS31" i="6" s="1"/>
  <c r="AH31" i="3"/>
  <c r="AG31" i="3"/>
  <c r="AF31" i="3"/>
  <c r="AE31" i="3"/>
  <c r="AD31" i="3"/>
  <c r="AC31" i="3"/>
  <c r="AA31" i="3"/>
  <c r="Z31" i="3"/>
  <c r="Y31" i="3"/>
  <c r="X31" i="3"/>
  <c r="W31" i="3"/>
  <c r="V31" i="3"/>
  <c r="BD31" i="6" s="1"/>
  <c r="T31" i="3"/>
  <c r="S31" i="3"/>
  <c r="R31" i="3"/>
  <c r="Q31" i="3"/>
  <c r="P31" i="3"/>
  <c r="O31" i="3"/>
  <c r="AH31" i="6" s="1"/>
  <c r="M31" i="3"/>
  <c r="L31" i="3"/>
  <c r="K31" i="3"/>
  <c r="J31" i="3"/>
  <c r="I31" i="3"/>
  <c r="H31" i="3"/>
  <c r="L31" i="6" s="1"/>
  <c r="F31" i="3"/>
  <c r="E31" i="3"/>
  <c r="D31" i="3"/>
  <c r="C31" i="3"/>
  <c r="B31" i="3"/>
  <c r="A31" i="3"/>
  <c r="A31" i="6" s="1"/>
  <c r="BJ30" i="3"/>
  <c r="BI30" i="3"/>
  <c r="BH30" i="3"/>
  <c r="BG30" i="3"/>
  <c r="BF30" i="3"/>
  <c r="BE30" i="3"/>
  <c r="FU30" i="6" s="1"/>
  <c r="BC30" i="3"/>
  <c r="BB30" i="3"/>
  <c r="BA30" i="3"/>
  <c r="AZ30" i="3"/>
  <c r="AY30" i="3"/>
  <c r="AX30" i="3"/>
  <c r="FJ30" i="6" s="1"/>
  <c r="AV30" i="3"/>
  <c r="AU30" i="3"/>
  <c r="AT30" i="3"/>
  <c r="AS30" i="3"/>
  <c r="AR30" i="3"/>
  <c r="AQ30" i="3"/>
  <c r="W30" i="6" s="1"/>
  <c r="AO30" i="3"/>
  <c r="AN30" i="3"/>
  <c r="AM30" i="3"/>
  <c r="AL30" i="3"/>
  <c r="AK30" i="3"/>
  <c r="AJ30" i="3"/>
  <c r="AS30" i="6" s="1"/>
  <c r="AH30" i="3"/>
  <c r="AG30" i="3"/>
  <c r="AF30" i="3"/>
  <c r="AE30" i="3"/>
  <c r="AD30" i="3"/>
  <c r="AC30" i="3"/>
  <c r="AA30" i="3"/>
  <c r="Z30" i="3"/>
  <c r="Y30" i="3"/>
  <c r="X30" i="3"/>
  <c r="W30" i="3"/>
  <c r="V30" i="3"/>
  <c r="BD30" i="6" s="1"/>
  <c r="T30" i="3"/>
  <c r="S30" i="3"/>
  <c r="R30" i="3"/>
  <c r="Q30" i="3"/>
  <c r="P30" i="3"/>
  <c r="O30" i="3"/>
  <c r="AH30" i="6" s="1"/>
  <c r="M30" i="3"/>
  <c r="L30" i="3"/>
  <c r="K30" i="3"/>
  <c r="J30" i="3"/>
  <c r="I30" i="3"/>
  <c r="H30" i="3"/>
  <c r="L30" i="6" s="1"/>
  <c r="F30" i="3"/>
  <c r="E30" i="3"/>
  <c r="D30" i="3"/>
  <c r="C30" i="3"/>
  <c r="B30" i="3"/>
  <c r="A30" i="3"/>
  <c r="A30" i="6" s="1"/>
  <c r="BJ29" i="3"/>
  <c r="BI29" i="3"/>
  <c r="BH29" i="3"/>
  <c r="BG29" i="3"/>
  <c r="BF29" i="3"/>
  <c r="BE29" i="3"/>
  <c r="FU29" i="6" s="1"/>
  <c r="BC29" i="3"/>
  <c r="BB29" i="3"/>
  <c r="BA29" i="3"/>
  <c r="AZ29" i="3"/>
  <c r="AY29" i="3"/>
  <c r="AX29" i="3"/>
  <c r="FJ29" i="6" s="1"/>
  <c r="AV29" i="3"/>
  <c r="AU29" i="3"/>
  <c r="AT29" i="3"/>
  <c r="AS29" i="3"/>
  <c r="AR29" i="3"/>
  <c r="AQ29" i="3"/>
  <c r="W29" i="6" s="1"/>
  <c r="AO29" i="3"/>
  <c r="AN29" i="3"/>
  <c r="AM29" i="3"/>
  <c r="AL29" i="3"/>
  <c r="AK29" i="3"/>
  <c r="AJ29" i="3"/>
  <c r="AS29" i="6" s="1"/>
  <c r="AH29" i="3"/>
  <c r="AG29" i="3"/>
  <c r="AF29" i="3"/>
  <c r="AE29" i="3"/>
  <c r="AD29" i="3"/>
  <c r="AC29" i="3"/>
  <c r="AA29" i="3"/>
  <c r="Z29" i="3"/>
  <c r="Y29" i="3"/>
  <c r="X29" i="3"/>
  <c r="W29" i="3"/>
  <c r="V29" i="3"/>
  <c r="BD29" i="6" s="1"/>
  <c r="T29" i="3"/>
  <c r="S29" i="3"/>
  <c r="R29" i="3"/>
  <c r="Q29" i="3"/>
  <c r="P29" i="3"/>
  <c r="O29" i="3"/>
  <c r="AH29" i="6" s="1"/>
  <c r="M29" i="3"/>
  <c r="L29" i="3"/>
  <c r="K29" i="3"/>
  <c r="J29" i="3"/>
  <c r="I29" i="3"/>
  <c r="H29" i="3"/>
  <c r="L29" i="6" s="1"/>
  <c r="F29" i="3"/>
  <c r="E29" i="3"/>
  <c r="D29" i="3"/>
  <c r="C29" i="3"/>
  <c r="B29" i="3"/>
  <c r="A29" i="3"/>
  <c r="A29" i="6" s="1"/>
  <c r="BJ28" i="3"/>
  <c r="BI28" i="3"/>
  <c r="BH28" i="3"/>
  <c r="BG28" i="3"/>
  <c r="BF28" i="3"/>
  <c r="BE28" i="3"/>
  <c r="FU28" i="6" s="1"/>
  <c r="BC28" i="3"/>
  <c r="BB28" i="3"/>
  <c r="BA28" i="3"/>
  <c r="AZ28" i="3"/>
  <c r="AY28" i="3"/>
  <c r="AX28" i="3"/>
  <c r="FJ28" i="6" s="1"/>
  <c r="AV28" i="3"/>
  <c r="AU28" i="3"/>
  <c r="AT28" i="3"/>
  <c r="AS28" i="3"/>
  <c r="AR28" i="3"/>
  <c r="AQ28" i="3"/>
  <c r="W28" i="6" s="1"/>
  <c r="AO28" i="3"/>
  <c r="AN28" i="3"/>
  <c r="AM28" i="3"/>
  <c r="AL28" i="3"/>
  <c r="AK28" i="3"/>
  <c r="AJ28" i="3"/>
  <c r="AS28" i="6" s="1"/>
  <c r="AH28" i="3"/>
  <c r="AG28" i="3"/>
  <c r="AF28" i="3"/>
  <c r="AE28" i="3"/>
  <c r="AD28" i="3"/>
  <c r="AC28" i="3"/>
  <c r="AA28" i="3"/>
  <c r="Z28" i="3"/>
  <c r="Y28" i="3"/>
  <c r="X28" i="3"/>
  <c r="W28" i="3"/>
  <c r="V28" i="3"/>
  <c r="BD28" i="6" s="1"/>
  <c r="T28" i="3"/>
  <c r="S28" i="3"/>
  <c r="R28" i="3"/>
  <c r="Q28" i="3"/>
  <c r="P28" i="3"/>
  <c r="O28" i="3"/>
  <c r="AH28" i="6" s="1"/>
  <c r="M28" i="3"/>
  <c r="L28" i="3"/>
  <c r="K28" i="3"/>
  <c r="J28" i="3"/>
  <c r="I28" i="3"/>
  <c r="H28" i="3"/>
  <c r="L28" i="6" s="1"/>
  <c r="F28" i="3"/>
  <c r="E28" i="3"/>
  <c r="D28" i="3"/>
  <c r="C28" i="3"/>
  <c r="B28" i="3"/>
  <c r="A28" i="3"/>
  <c r="A28" i="6" s="1"/>
  <c r="BJ27" i="3"/>
  <c r="BI27" i="3"/>
  <c r="BH27" i="3"/>
  <c r="BG27" i="3"/>
  <c r="BF27" i="3"/>
  <c r="BE27" i="3"/>
  <c r="FU27" i="6" s="1"/>
  <c r="BC27" i="3"/>
  <c r="BB27" i="3"/>
  <c r="BA27" i="3"/>
  <c r="AZ27" i="3"/>
  <c r="AY27" i="3"/>
  <c r="AX27" i="3"/>
  <c r="FJ27" i="6" s="1"/>
  <c r="AV27" i="3"/>
  <c r="AU27" i="3"/>
  <c r="AT27" i="3"/>
  <c r="AS27" i="3"/>
  <c r="AR27" i="3"/>
  <c r="AQ27" i="3"/>
  <c r="W27" i="6" s="1"/>
  <c r="AO27" i="3"/>
  <c r="AN27" i="3"/>
  <c r="AM27" i="3"/>
  <c r="AL27" i="3"/>
  <c r="AK27" i="3"/>
  <c r="AJ27" i="3"/>
  <c r="AS27" i="6" s="1"/>
  <c r="AH27" i="3"/>
  <c r="AG27" i="3"/>
  <c r="AF27" i="3"/>
  <c r="AE27" i="3"/>
  <c r="AD27" i="3"/>
  <c r="AC27" i="3"/>
  <c r="AA27" i="3"/>
  <c r="Z27" i="3"/>
  <c r="Y27" i="3"/>
  <c r="X27" i="3"/>
  <c r="W27" i="3"/>
  <c r="V27" i="3"/>
  <c r="BD27" i="6" s="1"/>
  <c r="T27" i="3"/>
  <c r="S27" i="3"/>
  <c r="R27" i="3"/>
  <c r="Q27" i="3"/>
  <c r="P27" i="3"/>
  <c r="O27" i="3"/>
  <c r="AH27" i="6" s="1"/>
  <c r="M27" i="3"/>
  <c r="L27" i="3"/>
  <c r="K27" i="3"/>
  <c r="J27" i="3"/>
  <c r="I27" i="3"/>
  <c r="H27" i="3"/>
  <c r="L27" i="6" s="1"/>
  <c r="F27" i="3"/>
  <c r="E27" i="3"/>
  <c r="D27" i="3"/>
  <c r="C27" i="3"/>
  <c r="B27" i="3"/>
  <c r="A27" i="3"/>
  <c r="A27" i="6" s="1"/>
  <c r="BJ26" i="3"/>
  <c r="BI26" i="3"/>
  <c r="BH26" i="3"/>
  <c r="BG26" i="3"/>
  <c r="BF26" i="3"/>
  <c r="BE26" i="3"/>
  <c r="FU26" i="6" s="1"/>
  <c r="BC26" i="3"/>
  <c r="BB26" i="3"/>
  <c r="BA26" i="3"/>
  <c r="AZ26" i="3"/>
  <c r="AY26" i="3"/>
  <c r="AX26" i="3"/>
  <c r="FJ26" i="6" s="1"/>
  <c r="AV26" i="3"/>
  <c r="AU26" i="3"/>
  <c r="AT26" i="3"/>
  <c r="AS26" i="3"/>
  <c r="AR26" i="3"/>
  <c r="AQ26" i="3"/>
  <c r="W26" i="6" s="1"/>
  <c r="AO26" i="3"/>
  <c r="AN26" i="3"/>
  <c r="AM26" i="3"/>
  <c r="AL26" i="3"/>
  <c r="AK26" i="3"/>
  <c r="AJ26" i="3"/>
  <c r="AS26" i="6" s="1"/>
  <c r="AH26" i="3"/>
  <c r="AG26" i="3"/>
  <c r="AF26" i="3"/>
  <c r="AE26" i="3"/>
  <c r="AD26" i="3"/>
  <c r="AC26" i="3"/>
  <c r="AA26" i="3"/>
  <c r="Z26" i="3"/>
  <c r="Y26" i="3"/>
  <c r="X26" i="3"/>
  <c r="W26" i="3"/>
  <c r="V26" i="3"/>
  <c r="BD26" i="6" s="1"/>
  <c r="T26" i="3"/>
  <c r="S26" i="3"/>
  <c r="R26" i="3"/>
  <c r="Q26" i="3"/>
  <c r="P26" i="3"/>
  <c r="O26" i="3"/>
  <c r="AH26" i="6" s="1"/>
  <c r="M26" i="3"/>
  <c r="L26" i="3"/>
  <c r="K26" i="3"/>
  <c r="J26" i="3"/>
  <c r="I26" i="3"/>
  <c r="H26" i="3"/>
  <c r="L26" i="6" s="1"/>
  <c r="F26" i="3"/>
  <c r="E26" i="3"/>
  <c r="D26" i="3"/>
  <c r="C26" i="3"/>
  <c r="B26" i="3"/>
  <c r="A26" i="3"/>
  <c r="A26" i="6" s="1"/>
  <c r="BJ25" i="3"/>
  <c r="BI25" i="3"/>
  <c r="BH25" i="3"/>
  <c r="BG25" i="3"/>
  <c r="BF25" i="3"/>
  <c r="BE25" i="3"/>
  <c r="FU25" i="6" s="1"/>
  <c r="BC25" i="3"/>
  <c r="BB25" i="3"/>
  <c r="BA25" i="3"/>
  <c r="AZ25" i="3"/>
  <c r="AY25" i="3"/>
  <c r="AX25" i="3"/>
  <c r="FJ25" i="6" s="1"/>
  <c r="AV25" i="3"/>
  <c r="AU25" i="3"/>
  <c r="AT25" i="3"/>
  <c r="AS25" i="3"/>
  <c r="AR25" i="3"/>
  <c r="AQ25" i="3"/>
  <c r="W25" i="6" s="1"/>
  <c r="AO25" i="3"/>
  <c r="AN25" i="3"/>
  <c r="AM25" i="3"/>
  <c r="AL25" i="3"/>
  <c r="AK25" i="3"/>
  <c r="AJ25" i="3"/>
  <c r="AS25" i="6" s="1"/>
  <c r="AH25" i="3"/>
  <c r="AG25" i="3"/>
  <c r="AF25" i="3"/>
  <c r="AE25" i="3"/>
  <c r="AD25" i="3"/>
  <c r="AC25" i="3"/>
  <c r="AA25" i="3"/>
  <c r="Z25" i="3"/>
  <c r="Y25" i="3"/>
  <c r="X25" i="3"/>
  <c r="W25" i="3"/>
  <c r="V25" i="3"/>
  <c r="BD25" i="6" s="1"/>
  <c r="T25" i="3"/>
  <c r="S25" i="3"/>
  <c r="R25" i="3"/>
  <c r="Q25" i="3"/>
  <c r="P25" i="3"/>
  <c r="O25" i="3"/>
  <c r="AH25" i="6" s="1"/>
  <c r="M25" i="3"/>
  <c r="L25" i="3"/>
  <c r="K25" i="3"/>
  <c r="J25" i="3"/>
  <c r="I25" i="3"/>
  <c r="H25" i="3"/>
  <c r="L25" i="6" s="1"/>
  <c r="F25" i="3"/>
  <c r="E25" i="3"/>
  <c r="D25" i="3"/>
  <c r="C25" i="3"/>
  <c r="B25" i="3"/>
  <c r="A25" i="3"/>
  <c r="A25" i="6" s="1"/>
  <c r="BJ24" i="3"/>
  <c r="BI24" i="3"/>
  <c r="BH24" i="3"/>
  <c r="BG24" i="3"/>
  <c r="BF24" i="3"/>
  <c r="BE24" i="3"/>
  <c r="FU24" i="6" s="1"/>
  <c r="BC24" i="3"/>
  <c r="BB24" i="3"/>
  <c r="BA24" i="3"/>
  <c r="AZ24" i="3"/>
  <c r="AY24" i="3"/>
  <c r="AX24" i="3"/>
  <c r="FJ24" i="6" s="1"/>
  <c r="AV24" i="3"/>
  <c r="AU24" i="3"/>
  <c r="AT24" i="3"/>
  <c r="AS24" i="3"/>
  <c r="AR24" i="3"/>
  <c r="AQ24" i="3"/>
  <c r="W24" i="6" s="1"/>
  <c r="AO24" i="3"/>
  <c r="AN24" i="3"/>
  <c r="AM24" i="3"/>
  <c r="AL24" i="3"/>
  <c r="AK24" i="3"/>
  <c r="AJ24" i="3"/>
  <c r="AS24" i="6" s="1"/>
  <c r="AH24" i="3"/>
  <c r="AG24" i="3"/>
  <c r="AF24" i="3"/>
  <c r="AE24" i="3"/>
  <c r="AD24" i="3"/>
  <c r="AC24" i="3"/>
  <c r="AA24" i="3"/>
  <c r="Z24" i="3"/>
  <c r="Y24" i="3"/>
  <c r="X24" i="3"/>
  <c r="W24" i="3"/>
  <c r="V24" i="3"/>
  <c r="BD24" i="6" s="1"/>
  <c r="T24" i="3"/>
  <c r="S24" i="3"/>
  <c r="R24" i="3"/>
  <c r="Q24" i="3"/>
  <c r="P24" i="3"/>
  <c r="O24" i="3"/>
  <c r="AH24" i="6" s="1"/>
  <c r="M24" i="3"/>
  <c r="L24" i="3"/>
  <c r="K24" i="3"/>
  <c r="J24" i="3"/>
  <c r="I24" i="3"/>
  <c r="H24" i="3"/>
  <c r="L24" i="6" s="1"/>
  <c r="F24" i="3"/>
  <c r="E24" i="3"/>
  <c r="D24" i="3"/>
  <c r="C24" i="3"/>
  <c r="B24" i="3"/>
  <c r="A24" i="3"/>
  <c r="A24" i="6" s="1"/>
  <c r="BJ23" i="3"/>
  <c r="BI23" i="3"/>
  <c r="BH23" i="3"/>
  <c r="BG23" i="3"/>
  <c r="BF23" i="3"/>
  <c r="BE23" i="3"/>
  <c r="FU23" i="6" s="1"/>
  <c r="BC23" i="3"/>
  <c r="BB23" i="3"/>
  <c r="BA23" i="3"/>
  <c r="AZ23" i="3"/>
  <c r="AY23" i="3"/>
  <c r="AX23" i="3"/>
  <c r="FJ23" i="6" s="1"/>
  <c r="AV23" i="3"/>
  <c r="AU23" i="3"/>
  <c r="AT23" i="3"/>
  <c r="AS23" i="3"/>
  <c r="AR23" i="3"/>
  <c r="AQ23" i="3"/>
  <c r="W23" i="6" s="1"/>
  <c r="AO23" i="3"/>
  <c r="AN23" i="3"/>
  <c r="AM23" i="3"/>
  <c r="AL23" i="3"/>
  <c r="AK23" i="3"/>
  <c r="AJ23" i="3"/>
  <c r="AS23" i="6" s="1"/>
  <c r="AH23" i="3"/>
  <c r="AG23" i="3"/>
  <c r="AF23" i="3"/>
  <c r="AE23" i="3"/>
  <c r="AD23" i="3"/>
  <c r="AC23" i="3"/>
  <c r="AA23" i="3"/>
  <c r="Z23" i="3"/>
  <c r="Y23" i="3"/>
  <c r="X23" i="3"/>
  <c r="W23" i="3"/>
  <c r="V23" i="3"/>
  <c r="BD23" i="6" s="1"/>
  <c r="T23" i="3"/>
  <c r="S23" i="3"/>
  <c r="R23" i="3"/>
  <c r="Q23" i="3"/>
  <c r="P23" i="3"/>
  <c r="O23" i="3"/>
  <c r="AH23" i="6" s="1"/>
  <c r="M23" i="3"/>
  <c r="L23" i="3"/>
  <c r="K23" i="3"/>
  <c r="J23" i="3"/>
  <c r="I23" i="3"/>
  <c r="H23" i="3"/>
  <c r="L23" i="6" s="1"/>
  <c r="F23" i="3"/>
  <c r="E23" i="3"/>
  <c r="D23" i="3"/>
  <c r="C23" i="3"/>
  <c r="B23" i="3"/>
  <c r="A23" i="3"/>
  <c r="A23" i="6" s="1"/>
  <c r="BJ22" i="3"/>
  <c r="BI22" i="3"/>
  <c r="BH22" i="3"/>
  <c r="BG22" i="3"/>
  <c r="BF22" i="3"/>
  <c r="BE22" i="3"/>
  <c r="FU22" i="6" s="1"/>
  <c r="BC22" i="3"/>
  <c r="BB22" i="3"/>
  <c r="BA22" i="3"/>
  <c r="AZ22" i="3"/>
  <c r="AY22" i="3"/>
  <c r="AX22" i="3"/>
  <c r="FJ22" i="6" s="1"/>
  <c r="AV22" i="3"/>
  <c r="AU22" i="3"/>
  <c r="AT22" i="3"/>
  <c r="AS22" i="3"/>
  <c r="AR22" i="3"/>
  <c r="AQ22" i="3"/>
  <c r="W22" i="6" s="1"/>
  <c r="AO22" i="3"/>
  <c r="AN22" i="3"/>
  <c r="AM22" i="3"/>
  <c r="AL22" i="3"/>
  <c r="AK22" i="3"/>
  <c r="AJ22" i="3"/>
  <c r="AS22" i="6" s="1"/>
  <c r="AH22" i="3"/>
  <c r="AG22" i="3"/>
  <c r="AF22" i="3"/>
  <c r="AE22" i="3"/>
  <c r="AD22" i="3"/>
  <c r="AC22" i="3"/>
  <c r="AA22" i="3"/>
  <c r="Z22" i="3"/>
  <c r="Y22" i="3"/>
  <c r="X22" i="3"/>
  <c r="W22" i="3"/>
  <c r="V22" i="3"/>
  <c r="BD22" i="6" s="1"/>
  <c r="T22" i="3"/>
  <c r="S22" i="3"/>
  <c r="R22" i="3"/>
  <c r="Q22" i="3"/>
  <c r="P22" i="3"/>
  <c r="O22" i="3"/>
  <c r="AH22" i="6" s="1"/>
  <c r="M22" i="3"/>
  <c r="L22" i="3"/>
  <c r="K22" i="3"/>
  <c r="J22" i="3"/>
  <c r="I22" i="3"/>
  <c r="H22" i="3"/>
  <c r="L22" i="6" s="1"/>
  <c r="F22" i="3"/>
  <c r="E22" i="3"/>
  <c r="D22" i="3"/>
  <c r="C22" i="3"/>
  <c r="B22" i="3"/>
  <c r="A22" i="3"/>
  <c r="A22" i="6" s="1"/>
  <c r="BJ21" i="3"/>
  <c r="BI21" i="3"/>
  <c r="BH21" i="3"/>
  <c r="BG21" i="3"/>
  <c r="BF21" i="3"/>
  <c r="BE21" i="3"/>
  <c r="FU21" i="6" s="1"/>
  <c r="BC21" i="3"/>
  <c r="BB21" i="3"/>
  <c r="BA21" i="3"/>
  <c r="AZ21" i="3"/>
  <c r="AY21" i="3"/>
  <c r="AX21" i="3"/>
  <c r="FJ21" i="6" s="1"/>
  <c r="AV21" i="3"/>
  <c r="AU21" i="3"/>
  <c r="AT21" i="3"/>
  <c r="AS21" i="3"/>
  <c r="AR21" i="3"/>
  <c r="AQ21" i="3"/>
  <c r="W21" i="6" s="1"/>
  <c r="AO21" i="3"/>
  <c r="AN21" i="3"/>
  <c r="AM21" i="3"/>
  <c r="AL21" i="3"/>
  <c r="AK21" i="3"/>
  <c r="AJ21" i="3"/>
  <c r="AS21" i="6" s="1"/>
  <c r="AH21" i="3"/>
  <c r="AG21" i="3"/>
  <c r="AF21" i="3"/>
  <c r="AE21" i="3"/>
  <c r="AD21" i="3"/>
  <c r="AC21" i="3"/>
  <c r="AA21" i="3"/>
  <c r="Z21" i="3"/>
  <c r="Y21" i="3"/>
  <c r="X21" i="3"/>
  <c r="W21" i="3"/>
  <c r="V21" i="3"/>
  <c r="BD21" i="6" s="1"/>
  <c r="T21" i="3"/>
  <c r="S21" i="3"/>
  <c r="R21" i="3"/>
  <c r="Q21" i="3"/>
  <c r="P21" i="3"/>
  <c r="O21" i="3"/>
  <c r="AH21" i="6" s="1"/>
  <c r="M21" i="3"/>
  <c r="L21" i="3"/>
  <c r="K21" i="3"/>
  <c r="J21" i="3"/>
  <c r="I21" i="3"/>
  <c r="H21" i="3"/>
  <c r="L21" i="6" s="1"/>
  <c r="F21" i="3"/>
  <c r="E21" i="3"/>
  <c r="D21" i="3"/>
  <c r="C21" i="3"/>
  <c r="B21" i="3"/>
  <c r="A21" i="3"/>
  <c r="A21" i="6" s="1"/>
  <c r="BJ20" i="3"/>
  <c r="BI20" i="3"/>
  <c r="BH20" i="3"/>
  <c r="BG20" i="3"/>
  <c r="BF20" i="3"/>
  <c r="BE20" i="3"/>
  <c r="FU20" i="6" s="1"/>
  <c r="BC20" i="3"/>
  <c r="BB20" i="3"/>
  <c r="BA20" i="3"/>
  <c r="AZ20" i="3"/>
  <c r="AY20" i="3"/>
  <c r="AX20" i="3"/>
  <c r="FJ20" i="6" s="1"/>
  <c r="AV20" i="3"/>
  <c r="AU20" i="3"/>
  <c r="AT20" i="3"/>
  <c r="AS20" i="3"/>
  <c r="AR20" i="3"/>
  <c r="AQ20" i="3"/>
  <c r="W20" i="6" s="1"/>
  <c r="AO20" i="3"/>
  <c r="AN20" i="3"/>
  <c r="AM20" i="3"/>
  <c r="AL20" i="3"/>
  <c r="AK20" i="3"/>
  <c r="AJ20" i="3"/>
  <c r="AS20" i="6" s="1"/>
  <c r="AH20" i="3"/>
  <c r="AG20" i="3"/>
  <c r="AF20" i="3"/>
  <c r="AE20" i="3"/>
  <c r="AD20" i="3"/>
  <c r="AC20" i="3"/>
  <c r="AA20" i="3"/>
  <c r="Z20" i="3"/>
  <c r="Y20" i="3"/>
  <c r="X20" i="3"/>
  <c r="W20" i="3"/>
  <c r="V20" i="3"/>
  <c r="BD20" i="6" s="1"/>
  <c r="T20" i="3"/>
  <c r="S20" i="3"/>
  <c r="R20" i="3"/>
  <c r="Q20" i="3"/>
  <c r="P20" i="3"/>
  <c r="O20" i="3"/>
  <c r="AH20" i="6" s="1"/>
  <c r="M20" i="3"/>
  <c r="L20" i="3"/>
  <c r="K20" i="3"/>
  <c r="J20" i="3"/>
  <c r="I20" i="3"/>
  <c r="H20" i="3"/>
  <c r="L20" i="6" s="1"/>
  <c r="F20" i="3"/>
  <c r="E20" i="3"/>
  <c r="D20" i="3"/>
  <c r="C20" i="3"/>
  <c r="B20" i="3"/>
  <c r="A20" i="3"/>
  <c r="A20" i="6" s="1"/>
  <c r="BJ19" i="3"/>
  <c r="BI19" i="3"/>
  <c r="BH19" i="3"/>
  <c r="BG19" i="3"/>
  <c r="BF19" i="3"/>
  <c r="BE19" i="3"/>
  <c r="FU19" i="6" s="1"/>
  <c r="BC19" i="3"/>
  <c r="BB19" i="3"/>
  <c r="BA19" i="3"/>
  <c r="AZ19" i="3"/>
  <c r="AY19" i="3"/>
  <c r="AX19" i="3"/>
  <c r="FJ19" i="6" s="1"/>
  <c r="AV19" i="3"/>
  <c r="AU19" i="3"/>
  <c r="AT19" i="3"/>
  <c r="AS19" i="3"/>
  <c r="AR19" i="3"/>
  <c r="AQ19" i="3"/>
  <c r="W19" i="6" s="1"/>
  <c r="AO19" i="3"/>
  <c r="AN19" i="3"/>
  <c r="AM19" i="3"/>
  <c r="AL19" i="3"/>
  <c r="AK19" i="3"/>
  <c r="AJ19" i="3"/>
  <c r="AS19" i="6" s="1"/>
  <c r="AH19" i="3"/>
  <c r="AG19" i="3"/>
  <c r="AF19" i="3"/>
  <c r="AE19" i="3"/>
  <c r="AD19" i="3"/>
  <c r="AC19" i="3"/>
  <c r="AA19" i="3"/>
  <c r="Z19" i="3"/>
  <c r="Y19" i="3"/>
  <c r="X19" i="3"/>
  <c r="W19" i="3"/>
  <c r="V19" i="3"/>
  <c r="BD19" i="6" s="1"/>
  <c r="T19" i="3"/>
  <c r="S19" i="3"/>
  <c r="R19" i="3"/>
  <c r="Q19" i="3"/>
  <c r="P19" i="3"/>
  <c r="O19" i="3"/>
  <c r="AH19" i="6" s="1"/>
  <c r="M19" i="3"/>
  <c r="L19" i="3"/>
  <c r="K19" i="3"/>
  <c r="J19" i="3"/>
  <c r="I19" i="3"/>
  <c r="H19" i="3"/>
  <c r="L19" i="6" s="1"/>
  <c r="F19" i="3"/>
  <c r="E19" i="3"/>
  <c r="D19" i="3"/>
  <c r="C19" i="3"/>
  <c r="B19" i="3"/>
  <c r="A19" i="3"/>
  <c r="A19" i="6" s="1"/>
  <c r="BJ18" i="3"/>
  <c r="BI18" i="3"/>
  <c r="BH18" i="3"/>
  <c r="BG18" i="3"/>
  <c r="BF18" i="3"/>
  <c r="BE18" i="3"/>
  <c r="FU18" i="6" s="1"/>
  <c r="BC18" i="3"/>
  <c r="BB18" i="3"/>
  <c r="BA18" i="3"/>
  <c r="AZ18" i="3"/>
  <c r="AY18" i="3"/>
  <c r="AX18" i="3"/>
  <c r="FJ18" i="6" s="1"/>
  <c r="AV18" i="3"/>
  <c r="AU18" i="3"/>
  <c r="AT18" i="3"/>
  <c r="AS18" i="3"/>
  <c r="AR18" i="3"/>
  <c r="AQ18" i="3"/>
  <c r="W18" i="6" s="1"/>
  <c r="AO18" i="3"/>
  <c r="AN18" i="3"/>
  <c r="AM18" i="3"/>
  <c r="AL18" i="3"/>
  <c r="AK18" i="3"/>
  <c r="AJ18" i="3"/>
  <c r="AS18" i="6" s="1"/>
  <c r="AH18" i="3"/>
  <c r="AG18" i="3"/>
  <c r="AF18" i="3"/>
  <c r="AE18" i="3"/>
  <c r="AD18" i="3"/>
  <c r="AC18" i="3"/>
  <c r="AA18" i="3"/>
  <c r="Z18" i="3"/>
  <c r="Y18" i="3"/>
  <c r="X18" i="3"/>
  <c r="W18" i="3"/>
  <c r="V18" i="3"/>
  <c r="BD18" i="6" s="1"/>
  <c r="T18" i="3"/>
  <c r="S18" i="3"/>
  <c r="R18" i="3"/>
  <c r="Q18" i="3"/>
  <c r="P18" i="3"/>
  <c r="O18" i="3"/>
  <c r="AH18" i="6" s="1"/>
  <c r="M18" i="3"/>
  <c r="L18" i="3"/>
  <c r="K18" i="3"/>
  <c r="J18" i="3"/>
  <c r="I18" i="3"/>
  <c r="H18" i="3"/>
  <c r="L18" i="6" s="1"/>
  <c r="F18" i="3"/>
  <c r="E18" i="3"/>
  <c r="D18" i="3"/>
  <c r="C18" i="3"/>
  <c r="B18" i="3"/>
  <c r="A18" i="3"/>
  <c r="A18" i="6" s="1"/>
  <c r="BJ17" i="3"/>
  <c r="BI17" i="3"/>
  <c r="BH17" i="3"/>
  <c r="BG17" i="3"/>
  <c r="BF17" i="3"/>
  <c r="BE17" i="3"/>
  <c r="FU17" i="6" s="1"/>
  <c r="BC17" i="3"/>
  <c r="BB17" i="3"/>
  <c r="BA17" i="3"/>
  <c r="AZ17" i="3"/>
  <c r="AY17" i="3"/>
  <c r="AX17" i="3"/>
  <c r="FJ17" i="6" s="1"/>
  <c r="AV17" i="3"/>
  <c r="AU17" i="3"/>
  <c r="AT17" i="3"/>
  <c r="AS17" i="3"/>
  <c r="AR17" i="3"/>
  <c r="AQ17" i="3"/>
  <c r="W17" i="6" s="1"/>
  <c r="AO17" i="3"/>
  <c r="AN17" i="3"/>
  <c r="AM17" i="3"/>
  <c r="AL17" i="3"/>
  <c r="AK17" i="3"/>
  <c r="AJ17" i="3"/>
  <c r="AS17" i="6" s="1"/>
  <c r="AH17" i="3"/>
  <c r="AG17" i="3"/>
  <c r="AF17" i="3"/>
  <c r="AE17" i="3"/>
  <c r="AD17" i="3"/>
  <c r="AC17" i="3"/>
  <c r="AA17" i="3"/>
  <c r="Z17" i="3"/>
  <c r="Y17" i="3"/>
  <c r="X17" i="3"/>
  <c r="W17" i="3"/>
  <c r="V17" i="3"/>
  <c r="BD17" i="6" s="1"/>
  <c r="T17" i="3"/>
  <c r="S17" i="3"/>
  <c r="R17" i="3"/>
  <c r="Q17" i="3"/>
  <c r="P17" i="3"/>
  <c r="O17" i="3"/>
  <c r="AH17" i="6" s="1"/>
  <c r="M17" i="3"/>
  <c r="L17" i="3"/>
  <c r="K17" i="3"/>
  <c r="J17" i="3"/>
  <c r="I17" i="3"/>
  <c r="H17" i="3"/>
  <c r="L17" i="6" s="1"/>
  <c r="F17" i="3"/>
  <c r="E17" i="3"/>
  <c r="D17" i="3"/>
  <c r="C17" i="3"/>
  <c r="B17" i="3"/>
  <c r="A17" i="3"/>
  <c r="A17" i="6" s="1"/>
  <c r="BJ16" i="3"/>
  <c r="BI16" i="3"/>
  <c r="BH16" i="3"/>
  <c r="BG16" i="3"/>
  <c r="BF16" i="3"/>
  <c r="BE16" i="3"/>
  <c r="FU16" i="6" s="1"/>
  <c r="BC16" i="3"/>
  <c r="BB16" i="3"/>
  <c r="BA16" i="3"/>
  <c r="AZ16" i="3"/>
  <c r="AY16" i="3"/>
  <c r="AX16" i="3"/>
  <c r="FJ16" i="6" s="1"/>
  <c r="AV16" i="3"/>
  <c r="AU16" i="3"/>
  <c r="AT16" i="3"/>
  <c r="AS16" i="3"/>
  <c r="AR16" i="3"/>
  <c r="AQ16" i="3"/>
  <c r="W16" i="6" s="1"/>
  <c r="AO16" i="3"/>
  <c r="AN16" i="3"/>
  <c r="AM16" i="3"/>
  <c r="AL16" i="3"/>
  <c r="AK16" i="3"/>
  <c r="AJ16" i="3"/>
  <c r="AS16" i="6" s="1"/>
  <c r="AH16" i="3"/>
  <c r="AG16" i="3"/>
  <c r="AF16" i="3"/>
  <c r="AE16" i="3"/>
  <c r="AD16" i="3"/>
  <c r="AC16" i="3"/>
  <c r="AA16" i="3"/>
  <c r="Z16" i="3"/>
  <c r="Y16" i="3"/>
  <c r="X16" i="3"/>
  <c r="W16" i="3"/>
  <c r="V16" i="3"/>
  <c r="BD16" i="6" s="1"/>
  <c r="T16" i="3"/>
  <c r="S16" i="3"/>
  <c r="R16" i="3"/>
  <c r="Q16" i="3"/>
  <c r="P16" i="3"/>
  <c r="O16" i="3"/>
  <c r="AH16" i="6" s="1"/>
  <c r="M16" i="3"/>
  <c r="L16" i="3"/>
  <c r="K16" i="3"/>
  <c r="J16" i="3"/>
  <c r="I16" i="3"/>
  <c r="H16" i="3"/>
  <c r="L16" i="6" s="1"/>
  <c r="F16" i="3"/>
  <c r="E16" i="3"/>
  <c r="D16" i="3"/>
  <c r="C16" i="3"/>
  <c r="B16" i="3"/>
  <c r="A16" i="3"/>
  <c r="A16" i="6" s="1"/>
  <c r="BJ15" i="3"/>
  <c r="BI15" i="3"/>
  <c r="BH15" i="3"/>
  <c r="BG15" i="3"/>
  <c r="BF15" i="3"/>
  <c r="BE15" i="3"/>
  <c r="FU15" i="6" s="1"/>
  <c r="BC15" i="3"/>
  <c r="BB15" i="3"/>
  <c r="BA15" i="3"/>
  <c r="AZ15" i="3"/>
  <c r="AY15" i="3"/>
  <c r="AX15" i="3"/>
  <c r="FJ15" i="6" s="1"/>
  <c r="AV15" i="3"/>
  <c r="AU15" i="3"/>
  <c r="AT15" i="3"/>
  <c r="AS15" i="3"/>
  <c r="AR15" i="3"/>
  <c r="AQ15" i="3"/>
  <c r="W15" i="6" s="1"/>
  <c r="AO15" i="3"/>
  <c r="AN15" i="3"/>
  <c r="AM15" i="3"/>
  <c r="AL15" i="3"/>
  <c r="AK15" i="3"/>
  <c r="AJ15" i="3"/>
  <c r="AS15" i="6" s="1"/>
  <c r="AH15" i="3"/>
  <c r="AG15" i="3"/>
  <c r="AF15" i="3"/>
  <c r="AE15" i="3"/>
  <c r="AD15" i="3"/>
  <c r="AC15" i="3"/>
  <c r="AA15" i="3"/>
  <c r="Z15" i="3"/>
  <c r="Y15" i="3"/>
  <c r="X15" i="3"/>
  <c r="W15" i="3"/>
  <c r="V15" i="3"/>
  <c r="BD15" i="6" s="1"/>
  <c r="T15" i="3"/>
  <c r="S15" i="3"/>
  <c r="R15" i="3"/>
  <c r="Q15" i="3"/>
  <c r="P15" i="3"/>
  <c r="O15" i="3"/>
  <c r="AH15" i="6" s="1"/>
  <c r="M15" i="3"/>
  <c r="L15" i="3"/>
  <c r="K15" i="3"/>
  <c r="J15" i="3"/>
  <c r="I15" i="3"/>
  <c r="H15" i="3"/>
  <c r="L15" i="6" s="1"/>
  <c r="F15" i="3"/>
  <c r="E15" i="3"/>
  <c r="D15" i="3"/>
  <c r="C15" i="3"/>
  <c r="B15" i="3"/>
  <c r="A15" i="3"/>
  <c r="A15" i="6" s="1"/>
  <c r="BJ14" i="3"/>
  <c r="BI14" i="3"/>
  <c r="BH14" i="3"/>
  <c r="BG14" i="3"/>
  <c r="BF14" i="3"/>
  <c r="BE14" i="3"/>
  <c r="FU14" i="6" s="1"/>
  <c r="BC14" i="3"/>
  <c r="BB14" i="3"/>
  <c r="BA14" i="3"/>
  <c r="AZ14" i="3"/>
  <c r="AY14" i="3"/>
  <c r="AX14" i="3"/>
  <c r="FJ14" i="6" s="1"/>
  <c r="AV14" i="3"/>
  <c r="AU14" i="3"/>
  <c r="AT14" i="3"/>
  <c r="AS14" i="3"/>
  <c r="AR14" i="3"/>
  <c r="AQ14" i="3"/>
  <c r="W14" i="6" s="1"/>
  <c r="AO14" i="3"/>
  <c r="AN14" i="3"/>
  <c r="AM14" i="3"/>
  <c r="AL14" i="3"/>
  <c r="AK14" i="3"/>
  <c r="AJ14" i="3"/>
  <c r="AS14" i="6" s="1"/>
  <c r="AH14" i="3"/>
  <c r="AG14" i="3"/>
  <c r="AF14" i="3"/>
  <c r="AE14" i="3"/>
  <c r="AD14" i="3"/>
  <c r="AC14" i="3"/>
  <c r="AA14" i="3"/>
  <c r="Z14" i="3"/>
  <c r="Y14" i="3"/>
  <c r="X14" i="3"/>
  <c r="W14" i="3"/>
  <c r="V14" i="3"/>
  <c r="BD14" i="6" s="1"/>
  <c r="T14" i="3"/>
  <c r="S14" i="3"/>
  <c r="R14" i="3"/>
  <c r="Q14" i="3"/>
  <c r="P14" i="3"/>
  <c r="O14" i="3"/>
  <c r="AH14" i="6" s="1"/>
  <c r="M14" i="3"/>
  <c r="L14" i="3"/>
  <c r="K14" i="3"/>
  <c r="J14" i="3"/>
  <c r="I14" i="3"/>
  <c r="H14" i="3"/>
  <c r="L14" i="6" s="1"/>
  <c r="F14" i="3"/>
  <c r="E14" i="3"/>
  <c r="D14" i="3"/>
  <c r="C14" i="3"/>
  <c r="B14" i="3"/>
  <c r="A14" i="3"/>
  <c r="A14" i="6" s="1"/>
  <c r="BJ13" i="3"/>
  <c r="BI13" i="3"/>
  <c r="BH13" i="3"/>
  <c r="BG13" i="3"/>
  <c r="BF13" i="3"/>
  <c r="BE13" i="3"/>
  <c r="FU13" i="6" s="1"/>
  <c r="BC13" i="3"/>
  <c r="BB13" i="3"/>
  <c r="BA13" i="3"/>
  <c r="AZ13" i="3"/>
  <c r="AY13" i="3"/>
  <c r="AX13" i="3"/>
  <c r="FJ13" i="6" s="1"/>
  <c r="AV13" i="3"/>
  <c r="AU13" i="3"/>
  <c r="AT13" i="3"/>
  <c r="AS13" i="3"/>
  <c r="AR13" i="3"/>
  <c r="AQ13" i="3"/>
  <c r="W13" i="6" s="1"/>
  <c r="AO13" i="3"/>
  <c r="AN13" i="3"/>
  <c r="AM13" i="3"/>
  <c r="AL13" i="3"/>
  <c r="AK13" i="3"/>
  <c r="AJ13" i="3"/>
  <c r="AS13" i="6" s="1"/>
  <c r="AH13" i="3"/>
  <c r="AG13" i="3"/>
  <c r="AF13" i="3"/>
  <c r="AE13" i="3"/>
  <c r="AD13" i="3"/>
  <c r="AC13" i="3"/>
  <c r="AA13" i="3"/>
  <c r="Z13" i="3"/>
  <c r="Y13" i="3"/>
  <c r="X13" i="3"/>
  <c r="W13" i="3"/>
  <c r="V13" i="3"/>
  <c r="BD13" i="6" s="1"/>
  <c r="T13" i="3"/>
  <c r="S13" i="3"/>
  <c r="R13" i="3"/>
  <c r="Q13" i="3"/>
  <c r="P13" i="3"/>
  <c r="O13" i="3"/>
  <c r="AH13" i="6" s="1"/>
  <c r="M13" i="3"/>
  <c r="L13" i="3"/>
  <c r="K13" i="3"/>
  <c r="J13" i="3"/>
  <c r="I13" i="3"/>
  <c r="H13" i="3"/>
  <c r="L13" i="6" s="1"/>
  <c r="F13" i="3"/>
  <c r="E13" i="3"/>
  <c r="D13" i="3"/>
  <c r="C13" i="3"/>
  <c r="B13" i="3"/>
  <c r="A13" i="3"/>
  <c r="A13" i="6" s="1"/>
  <c r="BJ12" i="3"/>
  <c r="BI12" i="3"/>
  <c r="BH12" i="3"/>
  <c r="BG12" i="3"/>
  <c r="BF12" i="3"/>
  <c r="BE12" i="3"/>
  <c r="FU12" i="6" s="1"/>
  <c r="BC12" i="3"/>
  <c r="BB12" i="3"/>
  <c r="BA12" i="3"/>
  <c r="AZ12" i="3"/>
  <c r="AY12" i="3"/>
  <c r="AX12" i="3"/>
  <c r="FJ12" i="6" s="1"/>
  <c r="AV12" i="3"/>
  <c r="AU12" i="3"/>
  <c r="AT12" i="3"/>
  <c r="AS12" i="3"/>
  <c r="AR12" i="3"/>
  <c r="AQ12" i="3"/>
  <c r="W12" i="6" s="1"/>
  <c r="AO12" i="3"/>
  <c r="AN12" i="3"/>
  <c r="AM12" i="3"/>
  <c r="AL12" i="3"/>
  <c r="AK12" i="3"/>
  <c r="AJ12" i="3"/>
  <c r="AS12" i="6" s="1"/>
  <c r="AH12" i="3"/>
  <c r="AG12" i="3"/>
  <c r="AF12" i="3"/>
  <c r="AE12" i="3"/>
  <c r="AD12" i="3"/>
  <c r="AC12" i="3"/>
  <c r="AA12" i="3"/>
  <c r="Z12" i="3"/>
  <c r="Y12" i="3"/>
  <c r="X12" i="3"/>
  <c r="W12" i="3"/>
  <c r="V12" i="3"/>
  <c r="BD12" i="6" s="1"/>
  <c r="T12" i="3"/>
  <c r="S12" i="3"/>
  <c r="R12" i="3"/>
  <c r="Q12" i="3"/>
  <c r="P12" i="3"/>
  <c r="O12" i="3"/>
  <c r="AH12" i="6" s="1"/>
  <c r="M12" i="3"/>
  <c r="L12" i="3"/>
  <c r="K12" i="3"/>
  <c r="J12" i="3"/>
  <c r="I12" i="3"/>
  <c r="H12" i="3"/>
  <c r="L12" i="6" s="1"/>
  <c r="F12" i="3"/>
  <c r="E12" i="3"/>
  <c r="D12" i="3"/>
  <c r="C12" i="3"/>
  <c r="B12" i="3"/>
  <c r="A12" i="3"/>
  <c r="A12" i="6" s="1"/>
  <c r="BJ11" i="3"/>
  <c r="BI11" i="3"/>
  <c r="BH11" i="3"/>
  <c r="BG11" i="3"/>
  <c r="BF11" i="3"/>
  <c r="BE11" i="3"/>
  <c r="FU11" i="6" s="1"/>
  <c r="BC11" i="3"/>
  <c r="BB11" i="3"/>
  <c r="BA11" i="3"/>
  <c r="AZ11" i="3"/>
  <c r="AY11" i="3"/>
  <c r="AX11" i="3"/>
  <c r="FJ11" i="6" s="1"/>
  <c r="AV11" i="3"/>
  <c r="AU11" i="3"/>
  <c r="AT11" i="3"/>
  <c r="AS11" i="3"/>
  <c r="AR11" i="3"/>
  <c r="AQ11" i="3"/>
  <c r="W11" i="6" s="1"/>
  <c r="AO11" i="3"/>
  <c r="AN11" i="3"/>
  <c r="AM11" i="3"/>
  <c r="AL11" i="3"/>
  <c r="AK11" i="3"/>
  <c r="AJ11" i="3"/>
  <c r="AS11" i="6" s="1"/>
  <c r="AH11" i="3"/>
  <c r="AG11" i="3"/>
  <c r="AF11" i="3"/>
  <c r="AE11" i="3"/>
  <c r="AD11" i="3"/>
  <c r="AC11" i="3"/>
  <c r="AA11" i="3"/>
  <c r="Z11" i="3"/>
  <c r="Y11" i="3"/>
  <c r="X11" i="3"/>
  <c r="W11" i="3"/>
  <c r="V11" i="3"/>
  <c r="BD11" i="6" s="1"/>
  <c r="T11" i="3"/>
  <c r="S11" i="3"/>
  <c r="R11" i="3"/>
  <c r="Q11" i="3"/>
  <c r="P11" i="3"/>
  <c r="O11" i="3"/>
  <c r="AH11" i="6" s="1"/>
  <c r="M11" i="3"/>
  <c r="L11" i="3"/>
  <c r="K11" i="3"/>
  <c r="J11" i="3"/>
  <c r="I11" i="3"/>
  <c r="H11" i="3"/>
  <c r="L11" i="6" s="1"/>
  <c r="F11" i="3"/>
  <c r="E11" i="3"/>
  <c r="D11" i="3"/>
  <c r="C11" i="3"/>
  <c r="B11" i="3"/>
  <c r="A11" i="3"/>
  <c r="A11" i="6" s="1"/>
  <c r="BJ10" i="3"/>
  <c r="BI10" i="3"/>
  <c r="BH10" i="3"/>
  <c r="BG10" i="3"/>
  <c r="BF10" i="3"/>
  <c r="BE10" i="3"/>
  <c r="FU10" i="6" s="1"/>
  <c r="BC10" i="3"/>
  <c r="BB10" i="3"/>
  <c r="BA10" i="3"/>
  <c r="AZ10" i="3"/>
  <c r="AY10" i="3"/>
  <c r="AX10" i="3"/>
  <c r="FJ10" i="6" s="1"/>
  <c r="AV10" i="3"/>
  <c r="AU10" i="3"/>
  <c r="AT10" i="3"/>
  <c r="AS10" i="3"/>
  <c r="AR10" i="3"/>
  <c r="AQ10" i="3"/>
  <c r="W10" i="6" s="1"/>
  <c r="AO10" i="3"/>
  <c r="AN10" i="3"/>
  <c r="AM10" i="3"/>
  <c r="AL10" i="3"/>
  <c r="AK10" i="3"/>
  <c r="AJ10" i="3"/>
  <c r="AS10" i="6" s="1"/>
  <c r="AH10" i="3"/>
  <c r="AG10" i="3"/>
  <c r="AF10" i="3"/>
  <c r="AE10" i="3"/>
  <c r="AD10" i="3"/>
  <c r="AC10" i="3"/>
  <c r="AA10" i="3"/>
  <c r="Z10" i="3"/>
  <c r="Y10" i="3"/>
  <c r="X10" i="3"/>
  <c r="W10" i="3"/>
  <c r="V10" i="3"/>
  <c r="BD10" i="6" s="1"/>
  <c r="T10" i="3"/>
  <c r="S10" i="3"/>
  <c r="R10" i="3"/>
  <c r="Q10" i="3"/>
  <c r="P10" i="3"/>
  <c r="O10" i="3"/>
  <c r="AH10" i="6" s="1"/>
  <c r="M10" i="3"/>
  <c r="L10" i="3"/>
  <c r="K10" i="3"/>
  <c r="J10" i="3"/>
  <c r="I10" i="3"/>
  <c r="H10" i="3"/>
  <c r="L10" i="6" s="1"/>
  <c r="F10" i="3"/>
  <c r="E10" i="3"/>
  <c r="D10" i="3"/>
  <c r="C10" i="3"/>
  <c r="B10" i="3"/>
  <c r="A10" i="3"/>
  <c r="A10" i="6" s="1"/>
  <c r="BJ9" i="3"/>
  <c r="BI9" i="3"/>
  <c r="BH9" i="3"/>
  <c r="BG9" i="3"/>
  <c r="BF9" i="3"/>
  <c r="BE9" i="3"/>
  <c r="FU9" i="6" s="1"/>
  <c r="BC9" i="3"/>
  <c r="BB9" i="3"/>
  <c r="BA9" i="3"/>
  <c r="AZ9" i="3"/>
  <c r="AY9" i="3"/>
  <c r="AX9" i="3"/>
  <c r="FJ9" i="6" s="1"/>
  <c r="AV9" i="3"/>
  <c r="AU9" i="3"/>
  <c r="AT9" i="3"/>
  <c r="AS9" i="3"/>
  <c r="AR9" i="3"/>
  <c r="AQ9" i="3"/>
  <c r="W9" i="6" s="1"/>
  <c r="AO9" i="3"/>
  <c r="AN9" i="3"/>
  <c r="AM9" i="3"/>
  <c r="AL9" i="3"/>
  <c r="AK9" i="3"/>
  <c r="AJ9" i="3"/>
  <c r="AS9" i="6" s="1"/>
  <c r="AH9" i="3"/>
  <c r="AG9" i="3"/>
  <c r="AF9" i="3"/>
  <c r="AE9" i="3"/>
  <c r="AD9" i="3"/>
  <c r="AC9" i="3"/>
  <c r="AA9" i="3"/>
  <c r="Z9" i="3"/>
  <c r="Y9" i="3"/>
  <c r="X9" i="3"/>
  <c r="W9" i="3"/>
  <c r="V9" i="3"/>
  <c r="BD9" i="6" s="1"/>
  <c r="T9" i="3"/>
  <c r="S9" i="3"/>
  <c r="R9" i="3"/>
  <c r="Q9" i="3"/>
  <c r="P9" i="3"/>
  <c r="O9" i="3"/>
  <c r="AH9" i="6" s="1"/>
  <c r="M9" i="3"/>
  <c r="L9" i="3"/>
  <c r="K9" i="3"/>
  <c r="J9" i="3"/>
  <c r="I9" i="3"/>
  <c r="H9" i="3"/>
  <c r="L9" i="6" s="1"/>
  <c r="F9" i="3"/>
  <c r="E9" i="3"/>
  <c r="D9" i="3"/>
  <c r="C9" i="3"/>
  <c r="B9" i="3"/>
  <c r="A9" i="3"/>
  <c r="A9" i="6" s="1"/>
  <c r="BJ8" i="3"/>
  <c r="BI8" i="3"/>
  <c r="BH8" i="3"/>
  <c r="BG8" i="3"/>
  <c r="BF8" i="3"/>
  <c r="BE8" i="3"/>
  <c r="FU8" i="6" s="1"/>
  <c r="BC8" i="3"/>
  <c r="BB8" i="3"/>
  <c r="BA8" i="3"/>
  <c r="AZ8" i="3"/>
  <c r="AY8" i="3"/>
  <c r="AX8" i="3"/>
  <c r="FJ8" i="6" s="1"/>
  <c r="AV8" i="3"/>
  <c r="AU8" i="3"/>
  <c r="AT8" i="3"/>
  <c r="AS8" i="3"/>
  <c r="AR8" i="3"/>
  <c r="AQ8" i="3"/>
  <c r="W8" i="6" s="1"/>
  <c r="AO8" i="3"/>
  <c r="AN8" i="3"/>
  <c r="AM8" i="3"/>
  <c r="AL8" i="3"/>
  <c r="AK8" i="3"/>
  <c r="AJ8" i="3"/>
  <c r="AS8" i="6" s="1"/>
  <c r="AH8" i="3"/>
  <c r="AG8" i="3"/>
  <c r="AF8" i="3"/>
  <c r="AE8" i="3"/>
  <c r="AD8" i="3"/>
  <c r="AC8" i="3"/>
  <c r="AA8" i="3"/>
  <c r="Z8" i="3"/>
  <c r="Y8" i="3"/>
  <c r="X8" i="3"/>
  <c r="W8" i="3"/>
  <c r="V8" i="3"/>
  <c r="BD8" i="6" s="1"/>
  <c r="T8" i="3"/>
  <c r="S8" i="3"/>
  <c r="R8" i="3"/>
  <c r="Q8" i="3"/>
  <c r="P8" i="3"/>
  <c r="O8" i="3"/>
  <c r="AH8" i="6" s="1"/>
  <c r="M8" i="3"/>
  <c r="L8" i="3"/>
  <c r="K8" i="3"/>
  <c r="J8" i="3"/>
  <c r="I8" i="3"/>
  <c r="H8" i="3"/>
  <c r="L8" i="6" s="1"/>
  <c r="F8" i="3"/>
  <c r="E8" i="3"/>
  <c r="D8" i="3"/>
  <c r="C8" i="3"/>
  <c r="B8" i="3"/>
  <c r="A8" i="3"/>
  <c r="A8" i="6" s="1"/>
  <c r="BJ7" i="3"/>
  <c r="BI7" i="3"/>
  <c r="BH7" i="3"/>
  <c r="BG7" i="3"/>
  <c r="BF7" i="3"/>
  <c r="BE7" i="3"/>
  <c r="FU7" i="6" s="1"/>
  <c r="BC7" i="3"/>
  <c r="BB7" i="3"/>
  <c r="BA7" i="3"/>
  <c r="AZ7" i="3"/>
  <c r="AY7" i="3"/>
  <c r="AX7" i="3"/>
  <c r="FJ7" i="6" s="1"/>
  <c r="AV7" i="3"/>
  <c r="AU7" i="3"/>
  <c r="AT7" i="3"/>
  <c r="AS7" i="3"/>
  <c r="AR7" i="3"/>
  <c r="AQ7" i="3"/>
  <c r="W7" i="6" s="1"/>
  <c r="AO7" i="3"/>
  <c r="AN7" i="3"/>
  <c r="AM7" i="3"/>
  <c r="AL7" i="3"/>
  <c r="AK7" i="3"/>
  <c r="AJ7" i="3"/>
  <c r="AS7" i="6" s="1"/>
  <c r="AH7" i="3"/>
  <c r="AG7" i="3"/>
  <c r="AF7" i="3"/>
  <c r="AE7" i="3"/>
  <c r="AD7" i="3"/>
  <c r="AC7" i="3"/>
  <c r="AA7" i="3"/>
  <c r="Z7" i="3"/>
  <c r="Y7" i="3"/>
  <c r="X7" i="3"/>
  <c r="W7" i="3"/>
  <c r="V7" i="3"/>
  <c r="BD7" i="6" s="1"/>
  <c r="T7" i="3"/>
  <c r="S7" i="3"/>
  <c r="R7" i="3"/>
  <c r="Q7" i="3"/>
  <c r="P7" i="3"/>
  <c r="O7" i="3"/>
  <c r="AH7" i="6" s="1"/>
  <c r="M7" i="3"/>
  <c r="L7" i="3"/>
  <c r="K7" i="3"/>
  <c r="J7" i="3"/>
  <c r="I7" i="3"/>
  <c r="H7" i="3"/>
  <c r="L7" i="6" s="1"/>
  <c r="F7" i="3"/>
  <c r="E7" i="3"/>
  <c r="D7" i="3"/>
  <c r="C7" i="3"/>
  <c r="B7" i="3"/>
  <c r="A7" i="3"/>
  <c r="A7" i="6" s="1"/>
  <c r="BJ6" i="3"/>
  <c r="BI6" i="3"/>
  <c r="BH6" i="3"/>
  <c r="BG6" i="3"/>
  <c r="BF6" i="3"/>
  <c r="BE6" i="3"/>
  <c r="FU6" i="6" s="1"/>
  <c r="BC6" i="3"/>
  <c r="BB6" i="3"/>
  <c r="BA6" i="3"/>
  <c r="AZ6" i="3"/>
  <c r="AY6" i="3"/>
  <c r="AX6" i="3"/>
  <c r="FJ6" i="6" s="1"/>
  <c r="AV6" i="3"/>
  <c r="AU6" i="3"/>
  <c r="AT6" i="3"/>
  <c r="AS6" i="3"/>
  <c r="AR6" i="3"/>
  <c r="AQ6" i="3"/>
  <c r="W6" i="6" s="1"/>
  <c r="AO6" i="3"/>
  <c r="AN6" i="3"/>
  <c r="AM6" i="3"/>
  <c r="AL6" i="3"/>
  <c r="AK6" i="3"/>
  <c r="AJ6" i="3"/>
  <c r="AS6" i="6" s="1"/>
  <c r="AH6" i="3"/>
  <c r="AG6" i="3"/>
  <c r="AF6" i="3"/>
  <c r="AE6" i="3"/>
  <c r="AD6" i="3"/>
  <c r="AC6" i="3"/>
  <c r="AA6" i="3"/>
  <c r="Z6" i="3"/>
  <c r="Y6" i="3"/>
  <c r="X6" i="3"/>
  <c r="W6" i="3"/>
  <c r="V6" i="3"/>
  <c r="BD6" i="6" s="1"/>
  <c r="T6" i="3"/>
  <c r="S6" i="3"/>
  <c r="R6" i="3"/>
  <c r="Q6" i="3"/>
  <c r="P6" i="3"/>
  <c r="O6" i="3"/>
  <c r="AH6" i="6" s="1"/>
  <c r="M6" i="3"/>
  <c r="L6" i="3"/>
  <c r="K6" i="3"/>
  <c r="J6" i="3"/>
  <c r="I6" i="3"/>
  <c r="H6" i="3"/>
  <c r="L6" i="6" s="1"/>
  <c r="F6" i="3"/>
  <c r="E6" i="3"/>
  <c r="D6" i="3"/>
  <c r="C6" i="3"/>
  <c r="B6" i="3"/>
  <c r="A6" i="3"/>
  <c r="A6" i="6" s="1"/>
  <c r="BJ5" i="3"/>
  <c r="BI5" i="3"/>
  <c r="BH5" i="3"/>
  <c r="BG5" i="3"/>
  <c r="BF5" i="3"/>
  <c r="BE5" i="3"/>
  <c r="FU5" i="6" s="1"/>
  <c r="BC5" i="3"/>
  <c r="BB5" i="3"/>
  <c r="BA5" i="3"/>
  <c r="AZ5" i="3"/>
  <c r="AY5" i="3"/>
  <c r="AX5" i="3"/>
  <c r="FJ5" i="6" s="1"/>
  <c r="AV5" i="3"/>
  <c r="AU5" i="3"/>
  <c r="AT5" i="3"/>
  <c r="AS5" i="3"/>
  <c r="AR5" i="3"/>
  <c r="AQ5" i="3"/>
  <c r="W5" i="6" s="1"/>
  <c r="AO5" i="3"/>
  <c r="AN5" i="3"/>
  <c r="AM5" i="3"/>
  <c r="AL5" i="3"/>
  <c r="AK5" i="3"/>
  <c r="AJ5" i="3"/>
  <c r="AS5" i="6" s="1"/>
  <c r="AH5" i="3"/>
  <c r="AG5" i="3"/>
  <c r="AF5" i="3"/>
  <c r="AE5" i="3"/>
  <c r="AD5" i="3"/>
  <c r="AC5" i="3"/>
  <c r="AA5" i="3"/>
  <c r="Z5" i="3"/>
  <c r="Y5" i="3"/>
  <c r="X5" i="3"/>
  <c r="W5" i="3"/>
  <c r="V5" i="3"/>
  <c r="BD5" i="6" s="1"/>
  <c r="T5" i="3"/>
  <c r="S5" i="3"/>
  <c r="R5" i="3"/>
  <c r="Q5" i="3"/>
  <c r="P5" i="3"/>
  <c r="O5" i="3"/>
  <c r="AH5" i="6" s="1"/>
  <c r="M5" i="3"/>
  <c r="L5" i="3"/>
  <c r="K5" i="3"/>
  <c r="J5" i="3"/>
  <c r="I5" i="3"/>
  <c r="H5" i="3"/>
  <c r="L5" i="6" s="1"/>
  <c r="F5" i="3"/>
  <c r="E5" i="3"/>
  <c r="D5" i="3"/>
  <c r="C5" i="3"/>
  <c r="B5" i="3"/>
  <c r="A5" i="3"/>
  <c r="A5" i="6" s="1"/>
  <c r="BJ4" i="3"/>
  <c r="BI4" i="3"/>
  <c r="BH4" i="3"/>
  <c r="BG4" i="3"/>
  <c r="BF4" i="3"/>
  <c r="BE4" i="3"/>
  <c r="FU4" i="6" s="1"/>
  <c r="BC4" i="3"/>
  <c r="BB4" i="3"/>
  <c r="BA4" i="3"/>
  <c r="AZ4" i="3"/>
  <c r="AY4" i="3"/>
  <c r="AX4" i="3"/>
  <c r="FJ4" i="6" s="1"/>
  <c r="AV4" i="3"/>
  <c r="AU4" i="3"/>
  <c r="AT4" i="3"/>
  <c r="AS4" i="3"/>
  <c r="AR4" i="3"/>
  <c r="AQ4" i="3"/>
  <c r="W4" i="6" s="1"/>
  <c r="AO4" i="3"/>
  <c r="AN4" i="3"/>
  <c r="AM4" i="3"/>
  <c r="AL4" i="3"/>
  <c r="AK4" i="3"/>
  <c r="AJ4" i="3"/>
  <c r="AS4" i="6" s="1"/>
  <c r="AH4" i="3"/>
  <c r="AG4" i="3"/>
  <c r="AF4" i="3"/>
  <c r="AE4" i="3"/>
  <c r="AD4" i="3"/>
  <c r="AC4" i="3"/>
  <c r="AA4" i="3"/>
  <c r="Z4" i="3"/>
  <c r="Y4" i="3"/>
  <c r="X4" i="3"/>
  <c r="W4" i="3"/>
  <c r="V4" i="3"/>
  <c r="BD4" i="6" s="1"/>
  <c r="T4" i="3"/>
  <c r="S4" i="3"/>
  <c r="R4" i="3"/>
  <c r="Q4" i="3"/>
  <c r="P4" i="3"/>
  <c r="O4" i="3"/>
  <c r="AH4" i="6" s="1"/>
  <c r="M4" i="3"/>
  <c r="L4" i="3"/>
  <c r="K4" i="3"/>
  <c r="J4" i="3"/>
  <c r="I4" i="3"/>
  <c r="H4" i="3"/>
  <c r="L4" i="6" s="1"/>
  <c r="F4" i="3"/>
  <c r="E4" i="3"/>
  <c r="D4" i="3"/>
  <c r="C4" i="3"/>
  <c r="B4" i="3"/>
  <c r="A4" i="3"/>
  <c r="A4" i="6" s="1"/>
  <c r="BJ3" i="3"/>
  <c r="BI3" i="3"/>
  <c r="BH3" i="3"/>
  <c r="BG3" i="3"/>
  <c r="BF3" i="3"/>
  <c r="BE3" i="3"/>
  <c r="FU3" i="6" s="1"/>
  <c r="BC3" i="3"/>
  <c r="BB3" i="3"/>
  <c r="BA3" i="3"/>
  <c r="AZ3" i="3"/>
  <c r="AY3" i="3"/>
  <c r="AX3" i="3"/>
  <c r="FJ3" i="6" s="1"/>
  <c r="AV3" i="3"/>
  <c r="AU3" i="3"/>
  <c r="AT3" i="3"/>
  <c r="AS3" i="3"/>
  <c r="AR3" i="3"/>
  <c r="AQ3" i="3"/>
  <c r="W3" i="6" s="1"/>
  <c r="AO3" i="3"/>
  <c r="AN3" i="3"/>
  <c r="AM3" i="3"/>
  <c r="AL3" i="3"/>
  <c r="AK3" i="3"/>
  <c r="AJ3" i="3"/>
  <c r="AS3" i="6" s="1"/>
  <c r="AH3" i="3"/>
  <c r="AG3" i="3"/>
  <c r="AF3" i="3"/>
  <c r="AE3" i="3"/>
  <c r="AD3" i="3"/>
  <c r="AC3" i="3"/>
  <c r="AA3" i="3"/>
  <c r="Z3" i="3"/>
  <c r="Y3" i="3"/>
  <c r="X3" i="3"/>
  <c r="W3" i="3"/>
  <c r="V3" i="3"/>
  <c r="BD3" i="6" s="1"/>
  <c r="T3" i="3"/>
  <c r="S3" i="3"/>
  <c r="R3" i="3"/>
  <c r="Q3" i="3"/>
  <c r="P3" i="3"/>
  <c r="O3" i="3"/>
  <c r="AH3" i="6" s="1"/>
  <c r="M3" i="3"/>
  <c r="L3" i="3"/>
  <c r="K3" i="3"/>
  <c r="J3" i="3"/>
  <c r="I3" i="3"/>
  <c r="H3" i="3"/>
  <c r="L3" i="6" s="1"/>
  <c r="F3" i="3"/>
  <c r="E3" i="3"/>
  <c r="D3" i="3"/>
  <c r="C3" i="3"/>
  <c r="B3" i="3"/>
  <c r="A3" i="3"/>
  <c r="A3" i="6" s="1"/>
  <c r="CS120" i="7"/>
  <c r="CR120" i="7"/>
  <c r="CQ120" i="7"/>
  <c r="CP120" i="7"/>
  <c r="CO120" i="7"/>
  <c r="CN120" i="7"/>
  <c r="CL120" i="7"/>
  <c r="CK120" i="7"/>
  <c r="CJ120" i="7"/>
  <c r="CI120" i="7"/>
  <c r="CH120" i="7"/>
  <c r="CG120" i="7"/>
  <c r="CE120" i="7"/>
  <c r="CD120" i="7"/>
  <c r="CC120" i="7"/>
  <c r="CB120" i="7"/>
  <c r="CA120" i="7"/>
  <c r="BZ120" i="7"/>
  <c r="BX120" i="7"/>
  <c r="BW120" i="7"/>
  <c r="BV120" i="7"/>
  <c r="BU120" i="7"/>
  <c r="BT120" i="7"/>
  <c r="BS120" i="7"/>
  <c r="BQ120" i="7"/>
  <c r="BP120" i="7"/>
  <c r="BO120" i="7"/>
  <c r="BN120" i="7"/>
  <c r="BM120" i="7"/>
  <c r="BL120" i="7"/>
  <c r="BJ120" i="7"/>
  <c r="BI120" i="7"/>
  <c r="BH120" i="7"/>
  <c r="BG120" i="7"/>
  <c r="BF120" i="7"/>
  <c r="BE120" i="7"/>
  <c r="BC120" i="7"/>
  <c r="BB120" i="7"/>
  <c r="BA120" i="7"/>
  <c r="AZ120" i="7"/>
  <c r="AY120" i="7"/>
  <c r="AX120" i="7"/>
  <c r="AV120" i="7"/>
  <c r="AU120" i="7"/>
  <c r="AT120" i="7"/>
  <c r="AS120" i="7"/>
  <c r="AR120" i="7"/>
  <c r="AQ120" i="7"/>
  <c r="AO120" i="7"/>
  <c r="AN120" i="7"/>
  <c r="AM120" i="7"/>
  <c r="AL120" i="7"/>
  <c r="AK120" i="7"/>
  <c r="AJ120" i="7"/>
  <c r="AH120" i="7"/>
  <c r="AG120" i="7"/>
  <c r="AF120" i="7"/>
  <c r="AE120" i="7"/>
  <c r="AD120" i="7"/>
  <c r="AC120" i="7"/>
  <c r="AA120" i="7"/>
  <c r="Z120" i="7"/>
  <c r="Y120" i="7"/>
  <c r="X120" i="7"/>
  <c r="W120" i="7"/>
  <c r="V120" i="7"/>
  <c r="T120" i="7"/>
  <c r="S120" i="7"/>
  <c r="R120" i="7"/>
  <c r="Q120" i="7"/>
  <c r="P120" i="7"/>
  <c r="O120" i="7"/>
  <c r="M120" i="7"/>
  <c r="L120" i="7"/>
  <c r="K120" i="7"/>
  <c r="J120" i="7"/>
  <c r="I120" i="7"/>
  <c r="H120" i="7"/>
  <c r="F120" i="7"/>
  <c r="E120" i="7"/>
  <c r="D120" i="7"/>
  <c r="C120" i="7"/>
  <c r="B120" i="7"/>
  <c r="A120" i="7"/>
  <c r="CS119" i="7"/>
  <c r="CR119" i="7"/>
  <c r="CQ119" i="7"/>
  <c r="CP119" i="7"/>
  <c r="CO119" i="7"/>
  <c r="CN119" i="7"/>
  <c r="CL119" i="7"/>
  <c r="CK119" i="7"/>
  <c r="CJ119" i="7"/>
  <c r="CI119" i="7"/>
  <c r="CH119" i="7"/>
  <c r="CG119" i="7"/>
  <c r="CE119" i="7"/>
  <c r="CD119" i="7"/>
  <c r="CC119" i="7"/>
  <c r="CB119" i="7"/>
  <c r="CA119" i="7"/>
  <c r="BZ119" i="7"/>
  <c r="BX119" i="7"/>
  <c r="BW119" i="7"/>
  <c r="BV119" i="7"/>
  <c r="BU119" i="7"/>
  <c r="BT119" i="7"/>
  <c r="BS119" i="7"/>
  <c r="BQ119" i="7"/>
  <c r="BP119" i="7"/>
  <c r="BO119" i="7"/>
  <c r="BN119" i="7"/>
  <c r="BM119" i="7"/>
  <c r="BL119" i="7"/>
  <c r="BJ119" i="7"/>
  <c r="BI119" i="7"/>
  <c r="BH119" i="7"/>
  <c r="BG119" i="7"/>
  <c r="BF119" i="7"/>
  <c r="BE119" i="7"/>
  <c r="BC119" i="7"/>
  <c r="BB119" i="7"/>
  <c r="BA119" i="7"/>
  <c r="AZ119" i="7"/>
  <c r="AY119" i="7"/>
  <c r="AX119" i="7"/>
  <c r="AV119" i="7"/>
  <c r="AU119" i="7"/>
  <c r="AT119" i="7"/>
  <c r="AS119" i="7"/>
  <c r="AR119" i="7"/>
  <c r="AQ119" i="7"/>
  <c r="AO119" i="7"/>
  <c r="AN119" i="7"/>
  <c r="AM119" i="7"/>
  <c r="AL119" i="7"/>
  <c r="AK119" i="7"/>
  <c r="AJ119" i="7"/>
  <c r="AH119" i="7"/>
  <c r="AG119" i="7"/>
  <c r="AF119" i="7"/>
  <c r="AE119" i="7"/>
  <c r="AD119" i="7"/>
  <c r="AC119" i="7"/>
  <c r="AA119" i="7"/>
  <c r="Z119" i="7"/>
  <c r="Y119" i="7"/>
  <c r="X119" i="7"/>
  <c r="W119" i="7"/>
  <c r="V119" i="7"/>
  <c r="T119" i="7"/>
  <c r="S119" i="7"/>
  <c r="R119" i="7"/>
  <c r="Q119" i="7"/>
  <c r="P119" i="7"/>
  <c r="O119" i="7"/>
  <c r="M119" i="7"/>
  <c r="L119" i="7"/>
  <c r="K119" i="7"/>
  <c r="J119" i="7"/>
  <c r="I119" i="7"/>
  <c r="H119" i="7"/>
  <c r="F119" i="7"/>
  <c r="E119" i="7"/>
  <c r="D119" i="7"/>
  <c r="C119" i="7"/>
  <c r="B119" i="7"/>
  <c r="A119" i="7"/>
  <c r="CS118" i="7"/>
  <c r="CR118" i="7"/>
  <c r="CQ118" i="7"/>
  <c r="CP118" i="7"/>
  <c r="CO118" i="7"/>
  <c r="CN118" i="7"/>
  <c r="CL118" i="7"/>
  <c r="CK118" i="7"/>
  <c r="CJ118" i="7"/>
  <c r="CI118" i="7"/>
  <c r="CH118" i="7"/>
  <c r="CG118" i="7"/>
  <c r="CE118" i="7"/>
  <c r="CD118" i="7"/>
  <c r="CC118" i="7"/>
  <c r="CB118" i="7"/>
  <c r="CA118" i="7"/>
  <c r="BZ118" i="7"/>
  <c r="BX118" i="7"/>
  <c r="BW118" i="7"/>
  <c r="BV118" i="7"/>
  <c r="BU118" i="7"/>
  <c r="BT118" i="7"/>
  <c r="BS118" i="7"/>
  <c r="BQ118" i="7"/>
  <c r="BP118" i="7"/>
  <c r="BO118" i="7"/>
  <c r="BN118" i="7"/>
  <c r="BM118" i="7"/>
  <c r="BL118" i="7"/>
  <c r="BJ118" i="7"/>
  <c r="BI118" i="7"/>
  <c r="BH118" i="7"/>
  <c r="BG118" i="7"/>
  <c r="BF118" i="7"/>
  <c r="BE118" i="7"/>
  <c r="BC118" i="7"/>
  <c r="BB118" i="7"/>
  <c r="BA118" i="7"/>
  <c r="AZ118" i="7"/>
  <c r="AY118" i="7"/>
  <c r="AX118" i="7"/>
  <c r="AV118" i="7"/>
  <c r="AU118" i="7"/>
  <c r="AT118" i="7"/>
  <c r="AS118" i="7"/>
  <c r="AR118" i="7"/>
  <c r="AQ118" i="7"/>
  <c r="AO118" i="7"/>
  <c r="AN118" i="7"/>
  <c r="AM118" i="7"/>
  <c r="AL118" i="7"/>
  <c r="AK118" i="7"/>
  <c r="AJ118" i="7"/>
  <c r="AH118" i="7"/>
  <c r="AG118" i="7"/>
  <c r="AF118" i="7"/>
  <c r="AE118" i="7"/>
  <c r="AD118" i="7"/>
  <c r="AC118" i="7"/>
  <c r="AA118" i="7"/>
  <c r="Z118" i="7"/>
  <c r="Y118" i="7"/>
  <c r="X118" i="7"/>
  <c r="W118" i="7"/>
  <c r="V118" i="7"/>
  <c r="T118" i="7"/>
  <c r="S118" i="7"/>
  <c r="R118" i="7"/>
  <c r="Q118" i="7"/>
  <c r="P118" i="7"/>
  <c r="O118" i="7"/>
  <c r="M118" i="7"/>
  <c r="L118" i="7"/>
  <c r="K118" i="7"/>
  <c r="J118" i="7"/>
  <c r="I118" i="7"/>
  <c r="H118" i="7"/>
  <c r="F118" i="7"/>
  <c r="E118" i="7"/>
  <c r="D118" i="7"/>
  <c r="C118" i="7"/>
  <c r="B118" i="7"/>
  <c r="A118" i="7"/>
  <c r="CS117" i="7"/>
  <c r="CR117" i="7"/>
  <c r="CQ117" i="7"/>
  <c r="CP117" i="7"/>
  <c r="CO117" i="7"/>
  <c r="CN117" i="7"/>
  <c r="CL117" i="7"/>
  <c r="CK117" i="7"/>
  <c r="CJ117" i="7"/>
  <c r="CI117" i="7"/>
  <c r="CH117" i="7"/>
  <c r="CG117" i="7"/>
  <c r="CE117" i="7"/>
  <c r="CD117" i="7"/>
  <c r="CC117" i="7"/>
  <c r="CB117" i="7"/>
  <c r="CA117" i="7"/>
  <c r="BZ117" i="7"/>
  <c r="BX117" i="7"/>
  <c r="BW117" i="7"/>
  <c r="BV117" i="7"/>
  <c r="BU117" i="7"/>
  <c r="BT117" i="7"/>
  <c r="BS117" i="7"/>
  <c r="BQ117" i="7"/>
  <c r="BP117" i="7"/>
  <c r="BO117" i="7"/>
  <c r="BN117" i="7"/>
  <c r="BM117" i="7"/>
  <c r="BL117" i="7"/>
  <c r="BJ117" i="7"/>
  <c r="BI117" i="7"/>
  <c r="BH117" i="7"/>
  <c r="BG117" i="7"/>
  <c r="BF117" i="7"/>
  <c r="BE117" i="7"/>
  <c r="BC117" i="7"/>
  <c r="BB117" i="7"/>
  <c r="BA117" i="7"/>
  <c r="AZ117" i="7"/>
  <c r="AY117" i="7"/>
  <c r="AX117" i="7"/>
  <c r="AV117" i="7"/>
  <c r="AU117" i="7"/>
  <c r="AT117" i="7"/>
  <c r="AS117" i="7"/>
  <c r="AR117" i="7"/>
  <c r="AQ117" i="7"/>
  <c r="AO117" i="7"/>
  <c r="AN117" i="7"/>
  <c r="AM117" i="7"/>
  <c r="AL117" i="7"/>
  <c r="AK117" i="7"/>
  <c r="AJ117" i="7"/>
  <c r="AH117" i="7"/>
  <c r="AG117" i="7"/>
  <c r="AF117" i="7"/>
  <c r="AE117" i="7"/>
  <c r="AD117" i="7"/>
  <c r="AC117" i="7"/>
  <c r="AA117" i="7"/>
  <c r="Z117" i="7"/>
  <c r="Y117" i="7"/>
  <c r="X117" i="7"/>
  <c r="W117" i="7"/>
  <c r="V117" i="7"/>
  <c r="T117" i="7"/>
  <c r="S117" i="7"/>
  <c r="R117" i="7"/>
  <c r="Q117" i="7"/>
  <c r="P117" i="7"/>
  <c r="O117" i="7"/>
  <c r="M117" i="7"/>
  <c r="L117" i="7"/>
  <c r="K117" i="7"/>
  <c r="J117" i="7"/>
  <c r="I117" i="7"/>
  <c r="H117" i="7"/>
  <c r="F117" i="7"/>
  <c r="E117" i="7"/>
  <c r="D117" i="7"/>
  <c r="C117" i="7"/>
  <c r="B117" i="7"/>
  <c r="A117" i="7"/>
  <c r="CS116" i="7"/>
  <c r="CR116" i="7"/>
  <c r="CQ116" i="7"/>
  <c r="CP116" i="7"/>
  <c r="CO116" i="7"/>
  <c r="CN116" i="7"/>
  <c r="CL116" i="7"/>
  <c r="CK116" i="7"/>
  <c r="CJ116" i="7"/>
  <c r="CI116" i="7"/>
  <c r="CH116" i="7"/>
  <c r="CG116" i="7"/>
  <c r="CE116" i="7"/>
  <c r="CD116" i="7"/>
  <c r="CC116" i="7"/>
  <c r="CB116" i="7"/>
  <c r="CA116" i="7"/>
  <c r="BZ116" i="7"/>
  <c r="BX116" i="7"/>
  <c r="BW116" i="7"/>
  <c r="BV116" i="7"/>
  <c r="BU116" i="7"/>
  <c r="BT116" i="7"/>
  <c r="BS116" i="7"/>
  <c r="BQ116" i="7"/>
  <c r="BP116" i="7"/>
  <c r="BO116" i="7"/>
  <c r="BN116" i="7"/>
  <c r="BM116" i="7"/>
  <c r="BL116" i="7"/>
  <c r="BJ116" i="7"/>
  <c r="BI116" i="7"/>
  <c r="BH116" i="7"/>
  <c r="BG116" i="7"/>
  <c r="BF116" i="7"/>
  <c r="BE116" i="7"/>
  <c r="BC116" i="7"/>
  <c r="BB116" i="7"/>
  <c r="BA116" i="7"/>
  <c r="AZ116" i="7"/>
  <c r="AY116" i="7"/>
  <c r="AX116" i="7"/>
  <c r="AV116" i="7"/>
  <c r="AU116" i="7"/>
  <c r="AT116" i="7"/>
  <c r="AS116" i="7"/>
  <c r="AR116" i="7"/>
  <c r="AQ116" i="7"/>
  <c r="AO116" i="7"/>
  <c r="AN116" i="7"/>
  <c r="AM116" i="7"/>
  <c r="AL116" i="7"/>
  <c r="AK116" i="7"/>
  <c r="AJ116" i="7"/>
  <c r="AH116" i="7"/>
  <c r="AG116" i="7"/>
  <c r="AF116" i="7"/>
  <c r="AE116" i="7"/>
  <c r="AD116" i="7"/>
  <c r="AC116" i="7"/>
  <c r="AA116" i="7"/>
  <c r="Z116" i="7"/>
  <c r="Y116" i="7"/>
  <c r="X116" i="7"/>
  <c r="W116" i="7"/>
  <c r="V116" i="7"/>
  <c r="T116" i="7"/>
  <c r="S116" i="7"/>
  <c r="R116" i="7"/>
  <c r="Q116" i="7"/>
  <c r="P116" i="7"/>
  <c r="O116" i="7"/>
  <c r="M116" i="7"/>
  <c r="L116" i="7"/>
  <c r="K116" i="7"/>
  <c r="J116" i="7"/>
  <c r="I116" i="7"/>
  <c r="H116" i="7"/>
  <c r="F116" i="7"/>
  <c r="E116" i="7"/>
  <c r="D116" i="7"/>
  <c r="C116" i="7"/>
  <c r="B116" i="7"/>
  <c r="A116" i="7"/>
  <c r="CS115" i="7"/>
  <c r="CR115" i="7"/>
  <c r="CQ115" i="7"/>
  <c r="CP115" i="7"/>
  <c r="CO115" i="7"/>
  <c r="CN115" i="7"/>
  <c r="CL115" i="7"/>
  <c r="CK115" i="7"/>
  <c r="CJ115" i="7"/>
  <c r="CI115" i="7"/>
  <c r="CH115" i="7"/>
  <c r="CG115" i="7"/>
  <c r="CE115" i="7"/>
  <c r="CD115" i="7"/>
  <c r="CC115" i="7"/>
  <c r="CB115" i="7"/>
  <c r="CA115" i="7"/>
  <c r="BZ115" i="7"/>
  <c r="BX115" i="7"/>
  <c r="BW115" i="7"/>
  <c r="BV115" i="7"/>
  <c r="BU115" i="7"/>
  <c r="BT115" i="7"/>
  <c r="BS115" i="7"/>
  <c r="BQ115" i="7"/>
  <c r="BP115" i="7"/>
  <c r="BO115" i="7"/>
  <c r="BN115" i="7"/>
  <c r="BM115" i="7"/>
  <c r="BL115" i="7"/>
  <c r="BJ115" i="7"/>
  <c r="BI115" i="7"/>
  <c r="BH115" i="7"/>
  <c r="BG115" i="7"/>
  <c r="BF115" i="7"/>
  <c r="BE115" i="7"/>
  <c r="BC115" i="7"/>
  <c r="BB115" i="7"/>
  <c r="BA115" i="7"/>
  <c r="AZ115" i="7"/>
  <c r="AY115" i="7"/>
  <c r="AX115" i="7"/>
  <c r="AV115" i="7"/>
  <c r="AU115" i="7"/>
  <c r="AT115" i="7"/>
  <c r="AS115" i="7"/>
  <c r="AR115" i="7"/>
  <c r="AQ115" i="7"/>
  <c r="AO115" i="7"/>
  <c r="AN115" i="7"/>
  <c r="AM115" i="7"/>
  <c r="AL115" i="7"/>
  <c r="AK115" i="7"/>
  <c r="AJ115" i="7"/>
  <c r="AH115" i="7"/>
  <c r="AG115" i="7"/>
  <c r="AF115" i="7"/>
  <c r="AE115" i="7"/>
  <c r="AD115" i="7"/>
  <c r="AC115" i="7"/>
  <c r="AA115" i="7"/>
  <c r="Z115" i="7"/>
  <c r="Y115" i="7"/>
  <c r="X115" i="7"/>
  <c r="W115" i="7"/>
  <c r="V115" i="7"/>
  <c r="T115" i="7"/>
  <c r="S115" i="7"/>
  <c r="R115" i="7"/>
  <c r="Q115" i="7"/>
  <c r="P115" i="7"/>
  <c r="O115" i="7"/>
  <c r="M115" i="7"/>
  <c r="L115" i="7"/>
  <c r="K115" i="7"/>
  <c r="J115" i="7"/>
  <c r="I115" i="7"/>
  <c r="H115" i="7"/>
  <c r="F115" i="7"/>
  <c r="E115" i="7"/>
  <c r="D115" i="7"/>
  <c r="C115" i="7"/>
  <c r="B115" i="7"/>
  <c r="A115" i="7"/>
  <c r="CS114" i="7"/>
  <c r="CR114" i="7"/>
  <c r="CQ114" i="7"/>
  <c r="CP114" i="7"/>
  <c r="CO114" i="7"/>
  <c r="CN114" i="7"/>
  <c r="CL114" i="7"/>
  <c r="CK114" i="7"/>
  <c r="CJ114" i="7"/>
  <c r="CI114" i="7"/>
  <c r="CH114" i="7"/>
  <c r="CG114" i="7"/>
  <c r="CE114" i="7"/>
  <c r="CD114" i="7"/>
  <c r="CC114" i="7"/>
  <c r="CB114" i="7"/>
  <c r="CA114" i="7"/>
  <c r="BZ114" i="7"/>
  <c r="BX114" i="7"/>
  <c r="BW114" i="7"/>
  <c r="BV114" i="7"/>
  <c r="BU114" i="7"/>
  <c r="BT114" i="7"/>
  <c r="BS114" i="7"/>
  <c r="BQ114" i="7"/>
  <c r="BP114" i="7"/>
  <c r="BO114" i="7"/>
  <c r="BN114" i="7"/>
  <c r="BM114" i="7"/>
  <c r="BL114" i="7"/>
  <c r="BJ114" i="7"/>
  <c r="BI114" i="7"/>
  <c r="BH114" i="7"/>
  <c r="BG114" i="7"/>
  <c r="BF114" i="7"/>
  <c r="BE114" i="7"/>
  <c r="BC114" i="7"/>
  <c r="BB114" i="7"/>
  <c r="BA114" i="7"/>
  <c r="AZ114" i="7"/>
  <c r="AY114" i="7"/>
  <c r="AX114" i="7"/>
  <c r="AV114" i="7"/>
  <c r="AU114" i="7"/>
  <c r="AT114" i="7"/>
  <c r="AS114" i="7"/>
  <c r="AR114" i="7"/>
  <c r="AQ114" i="7"/>
  <c r="AO114" i="7"/>
  <c r="AN114" i="7"/>
  <c r="AM114" i="7"/>
  <c r="AL114" i="7"/>
  <c r="AK114" i="7"/>
  <c r="AJ114" i="7"/>
  <c r="AH114" i="7"/>
  <c r="AG114" i="7"/>
  <c r="AF114" i="7"/>
  <c r="AE114" i="7"/>
  <c r="AD114" i="7"/>
  <c r="AC114" i="7"/>
  <c r="AA114" i="7"/>
  <c r="Z114" i="7"/>
  <c r="Y114" i="7"/>
  <c r="X114" i="7"/>
  <c r="W114" i="7"/>
  <c r="V114" i="7"/>
  <c r="T114" i="7"/>
  <c r="S114" i="7"/>
  <c r="R114" i="7"/>
  <c r="Q114" i="7"/>
  <c r="P114" i="7"/>
  <c r="O114" i="7"/>
  <c r="M114" i="7"/>
  <c r="L114" i="7"/>
  <c r="K114" i="7"/>
  <c r="J114" i="7"/>
  <c r="I114" i="7"/>
  <c r="H114" i="7"/>
  <c r="F114" i="7"/>
  <c r="E114" i="7"/>
  <c r="D114" i="7"/>
  <c r="C114" i="7"/>
  <c r="B114" i="7"/>
  <c r="A114" i="7"/>
  <c r="CS113" i="7"/>
  <c r="CR113" i="7"/>
  <c r="CQ113" i="7"/>
  <c r="CP113" i="7"/>
  <c r="CO113" i="7"/>
  <c r="CN113" i="7"/>
  <c r="CL113" i="7"/>
  <c r="CK113" i="7"/>
  <c r="CJ113" i="7"/>
  <c r="CI113" i="7"/>
  <c r="CH113" i="7"/>
  <c r="CG113" i="7"/>
  <c r="CE113" i="7"/>
  <c r="CD113" i="7"/>
  <c r="CC113" i="7"/>
  <c r="CB113" i="7"/>
  <c r="CA113" i="7"/>
  <c r="BZ113" i="7"/>
  <c r="BX113" i="7"/>
  <c r="BW113" i="7"/>
  <c r="BV113" i="7"/>
  <c r="BU113" i="7"/>
  <c r="BT113" i="7"/>
  <c r="BS113" i="7"/>
  <c r="BQ113" i="7"/>
  <c r="BP113" i="7"/>
  <c r="BO113" i="7"/>
  <c r="BN113" i="7"/>
  <c r="BM113" i="7"/>
  <c r="BL113" i="7"/>
  <c r="BJ113" i="7"/>
  <c r="BI113" i="7"/>
  <c r="BH113" i="7"/>
  <c r="BG113" i="7"/>
  <c r="BF113" i="7"/>
  <c r="BE113" i="7"/>
  <c r="BC113" i="7"/>
  <c r="BB113" i="7"/>
  <c r="BA113" i="7"/>
  <c r="AZ113" i="7"/>
  <c r="AY113" i="7"/>
  <c r="AX113" i="7"/>
  <c r="AV113" i="7"/>
  <c r="AU113" i="7"/>
  <c r="AT113" i="7"/>
  <c r="AS113" i="7"/>
  <c r="AR113" i="7"/>
  <c r="AQ113" i="7"/>
  <c r="AO113" i="7"/>
  <c r="AN113" i="7"/>
  <c r="AM113" i="7"/>
  <c r="AL113" i="7"/>
  <c r="AK113" i="7"/>
  <c r="AJ113" i="7"/>
  <c r="AH113" i="7"/>
  <c r="AG113" i="7"/>
  <c r="AF113" i="7"/>
  <c r="AE113" i="7"/>
  <c r="AD113" i="7"/>
  <c r="AC113" i="7"/>
  <c r="AA113" i="7"/>
  <c r="Z113" i="7"/>
  <c r="Y113" i="7"/>
  <c r="X113" i="7"/>
  <c r="W113" i="7"/>
  <c r="V113" i="7"/>
  <c r="T113" i="7"/>
  <c r="S113" i="7"/>
  <c r="R113" i="7"/>
  <c r="Q113" i="7"/>
  <c r="P113" i="7"/>
  <c r="O113" i="7"/>
  <c r="M113" i="7"/>
  <c r="L113" i="7"/>
  <c r="K113" i="7"/>
  <c r="J113" i="7"/>
  <c r="I113" i="7"/>
  <c r="H113" i="7"/>
  <c r="F113" i="7"/>
  <c r="E113" i="7"/>
  <c r="D113" i="7"/>
  <c r="C113" i="7"/>
  <c r="B113" i="7"/>
  <c r="A113" i="7"/>
  <c r="CS112" i="7"/>
  <c r="CR112" i="7"/>
  <c r="CQ112" i="7"/>
  <c r="CP112" i="7"/>
  <c r="CO112" i="7"/>
  <c r="CN112" i="7"/>
  <c r="CL112" i="7"/>
  <c r="CK112" i="7"/>
  <c r="CJ112" i="7"/>
  <c r="CI112" i="7"/>
  <c r="CH112" i="7"/>
  <c r="CG112" i="7"/>
  <c r="CE112" i="7"/>
  <c r="CD112" i="7"/>
  <c r="CC112" i="7"/>
  <c r="CB112" i="7"/>
  <c r="CA112" i="7"/>
  <c r="BZ112" i="7"/>
  <c r="BX112" i="7"/>
  <c r="BW112" i="7"/>
  <c r="BV112" i="7"/>
  <c r="BU112" i="7"/>
  <c r="BT112" i="7"/>
  <c r="BS112" i="7"/>
  <c r="BQ112" i="7"/>
  <c r="BP112" i="7"/>
  <c r="BO112" i="7"/>
  <c r="BN112" i="7"/>
  <c r="BM112" i="7"/>
  <c r="BL112" i="7"/>
  <c r="BJ112" i="7"/>
  <c r="BI112" i="7"/>
  <c r="BH112" i="7"/>
  <c r="BG112" i="7"/>
  <c r="BF112" i="7"/>
  <c r="BE112" i="7"/>
  <c r="BC112" i="7"/>
  <c r="BB112" i="7"/>
  <c r="BA112" i="7"/>
  <c r="AZ112" i="7"/>
  <c r="AY112" i="7"/>
  <c r="AX112" i="7"/>
  <c r="AV112" i="7"/>
  <c r="AU112" i="7"/>
  <c r="AT112" i="7"/>
  <c r="AS112" i="7"/>
  <c r="AR112" i="7"/>
  <c r="AQ112" i="7"/>
  <c r="AO112" i="7"/>
  <c r="AN112" i="7"/>
  <c r="AM112" i="7"/>
  <c r="AL112" i="7"/>
  <c r="AK112" i="7"/>
  <c r="AJ112" i="7"/>
  <c r="AH112" i="7"/>
  <c r="AG112" i="7"/>
  <c r="AF112" i="7"/>
  <c r="AE112" i="7"/>
  <c r="AD112" i="7"/>
  <c r="AC112" i="7"/>
  <c r="AA112" i="7"/>
  <c r="Z112" i="7"/>
  <c r="Y112" i="7"/>
  <c r="X112" i="7"/>
  <c r="W112" i="7"/>
  <c r="V112" i="7"/>
  <c r="T112" i="7"/>
  <c r="S112" i="7"/>
  <c r="R112" i="7"/>
  <c r="Q112" i="7"/>
  <c r="P112" i="7"/>
  <c r="O112" i="7"/>
  <c r="M112" i="7"/>
  <c r="L112" i="7"/>
  <c r="K112" i="7"/>
  <c r="J112" i="7"/>
  <c r="I112" i="7"/>
  <c r="H112" i="7"/>
  <c r="F112" i="7"/>
  <c r="E112" i="7"/>
  <c r="D112" i="7"/>
  <c r="C112" i="7"/>
  <c r="B112" i="7"/>
  <c r="A112" i="7"/>
  <c r="CS111" i="7"/>
  <c r="CR111" i="7"/>
  <c r="CQ111" i="7"/>
  <c r="CP111" i="7"/>
  <c r="CO111" i="7"/>
  <c r="CN111" i="7"/>
  <c r="CL111" i="7"/>
  <c r="CK111" i="7"/>
  <c r="CJ111" i="7"/>
  <c r="CI111" i="7"/>
  <c r="CH111" i="7"/>
  <c r="CG111" i="7"/>
  <c r="CE111" i="7"/>
  <c r="CD111" i="7"/>
  <c r="CC111" i="7"/>
  <c r="CB111" i="7"/>
  <c r="CA111" i="7"/>
  <c r="BZ111" i="7"/>
  <c r="BX111" i="7"/>
  <c r="BW111" i="7"/>
  <c r="BV111" i="7"/>
  <c r="BU111" i="7"/>
  <c r="BT111" i="7"/>
  <c r="BS111" i="7"/>
  <c r="BQ111" i="7"/>
  <c r="BP111" i="7"/>
  <c r="BO111" i="7"/>
  <c r="BN111" i="7"/>
  <c r="BM111" i="7"/>
  <c r="BL111" i="7"/>
  <c r="BJ111" i="7"/>
  <c r="BI111" i="7"/>
  <c r="BH111" i="7"/>
  <c r="BG111" i="7"/>
  <c r="BF111" i="7"/>
  <c r="BE111" i="7"/>
  <c r="BC111" i="7"/>
  <c r="BB111" i="7"/>
  <c r="BA111" i="7"/>
  <c r="AZ111" i="7"/>
  <c r="AY111" i="7"/>
  <c r="AX111" i="7"/>
  <c r="AV111" i="7"/>
  <c r="AU111" i="7"/>
  <c r="AT111" i="7"/>
  <c r="AS111" i="7"/>
  <c r="AR111" i="7"/>
  <c r="AQ111" i="7"/>
  <c r="AO111" i="7"/>
  <c r="AN111" i="7"/>
  <c r="AM111" i="7"/>
  <c r="AL111" i="7"/>
  <c r="AK111" i="7"/>
  <c r="AJ111" i="7"/>
  <c r="AH111" i="7"/>
  <c r="AG111" i="7"/>
  <c r="AF111" i="7"/>
  <c r="AE111" i="7"/>
  <c r="AD111" i="7"/>
  <c r="AC111" i="7"/>
  <c r="AA111" i="7"/>
  <c r="Z111" i="7"/>
  <c r="Y111" i="7"/>
  <c r="X111" i="7"/>
  <c r="W111" i="7"/>
  <c r="V111" i="7"/>
  <c r="T111" i="7"/>
  <c r="S111" i="7"/>
  <c r="R111" i="7"/>
  <c r="Q111" i="7"/>
  <c r="P111" i="7"/>
  <c r="O111" i="7"/>
  <c r="M111" i="7"/>
  <c r="L111" i="7"/>
  <c r="K111" i="7"/>
  <c r="J111" i="7"/>
  <c r="I111" i="7"/>
  <c r="H111" i="7"/>
  <c r="F111" i="7"/>
  <c r="E111" i="7"/>
  <c r="D111" i="7"/>
  <c r="C111" i="7"/>
  <c r="B111" i="7"/>
  <c r="A111" i="7"/>
  <c r="CS110" i="7"/>
  <c r="CR110" i="7"/>
  <c r="CQ110" i="7"/>
  <c r="CP110" i="7"/>
  <c r="CO110" i="7"/>
  <c r="CN110" i="7"/>
  <c r="CL110" i="7"/>
  <c r="CK110" i="7"/>
  <c r="CJ110" i="7"/>
  <c r="CI110" i="7"/>
  <c r="CH110" i="7"/>
  <c r="CG110" i="7"/>
  <c r="CE110" i="7"/>
  <c r="CD110" i="7"/>
  <c r="CC110" i="7"/>
  <c r="CB110" i="7"/>
  <c r="CA110" i="7"/>
  <c r="BZ110" i="7"/>
  <c r="BX110" i="7"/>
  <c r="BW110" i="7"/>
  <c r="BV110" i="7"/>
  <c r="BU110" i="7"/>
  <c r="BT110" i="7"/>
  <c r="BS110" i="7"/>
  <c r="BQ110" i="7"/>
  <c r="BP110" i="7"/>
  <c r="BO110" i="7"/>
  <c r="BN110" i="7"/>
  <c r="BM110" i="7"/>
  <c r="BL110" i="7"/>
  <c r="BJ110" i="7"/>
  <c r="BI110" i="7"/>
  <c r="BH110" i="7"/>
  <c r="BG110" i="7"/>
  <c r="BF110" i="7"/>
  <c r="BE110" i="7"/>
  <c r="BC110" i="7"/>
  <c r="BB110" i="7"/>
  <c r="BA110" i="7"/>
  <c r="AZ110" i="7"/>
  <c r="AY110" i="7"/>
  <c r="AX110" i="7"/>
  <c r="AV110" i="7"/>
  <c r="AU110" i="7"/>
  <c r="AT110" i="7"/>
  <c r="AS110" i="7"/>
  <c r="AR110" i="7"/>
  <c r="AQ110" i="7"/>
  <c r="AO110" i="7"/>
  <c r="AN110" i="7"/>
  <c r="AM110" i="7"/>
  <c r="AL110" i="7"/>
  <c r="AK110" i="7"/>
  <c r="AJ110" i="7"/>
  <c r="AH110" i="7"/>
  <c r="AG110" i="7"/>
  <c r="AF110" i="7"/>
  <c r="AE110" i="7"/>
  <c r="AD110" i="7"/>
  <c r="AC110" i="7"/>
  <c r="AA110" i="7"/>
  <c r="Z110" i="7"/>
  <c r="Y110" i="7"/>
  <c r="X110" i="7"/>
  <c r="W110" i="7"/>
  <c r="V110" i="7"/>
  <c r="T110" i="7"/>
  <c r="S110" i="7"/>
  <c r="R110" i="7"/>
  <c r="Q110" i="7"/>
  <c r="P110" i="7"/>
  <c r="O110" i="7"/>
  <c r="M110" i="7"/>
  <c r="L110" i="7"/>
  <c r="K110" i="7"/>
  <c r="J110" i="7"/>
  <c r="I110" i="7"/>
  <c r="H110" i="7"/>
  <c r="F110" i="7"/>
  <c r="E110" i="7"/>
  <c r="D110" i="7"/>
  <c r="C110" i="7"/>
  <c r="B110" i="7"/>
  <c r="A110" i="7"/>
  <c r="CS109" i="7"/>
  <c r="CR109" i="7"/>
  <c r="CQ109" i="7"/>
  <c r="CP109" i="7"/>
  <c r="CO109" i="7"/>
  <c r="CN109" i="7"/>
  <c r="CL109" i="7"/>
  <c r="CK109" i="7"/>
  <c r="CJ109" i="7"/>
  <c r="CI109" i="7"/>
  <c r="CH109" i="7"/>
  <c r="CG109" i="7"/>
  <c r="CE109" i="7"/>
  <c r="CD109" i="7"/>
  <c r="CC109" i="7"/>
  <c r="CB109" i="7"/>
  <c r="CA109" i="7"/>
  <c r="BZ109" i="7"/>
  <c r="BX109" i="7"/>
  <c r="BW109" i="7"/>
  <c r="BV109" i="7"/>
  <c r="BU109" i="7"/>
  <c r="BT109" i="7"/>
  <c r="BS109" i="7"/>
  <c r="BQ109" i="7"/>
  <c r="BP109" i="7"/>
  <c r="BO109" i="7"/>
  <c r="BN109" i="7"/>
  <c r="BM109" i="7"/>
  <c r="BL109" i="7"/>
  <c r="BJ109" i="7"/>
  <c r="BI109" i="7"/>
  <c r="BH109" i="7"/>
  <c r="BG109" i="7"/>
  <c r="BF109" i="7"/>
  <c r="BE109" i="7"/>
  <c r="BC109" i="7"/>
  <c r="BB109" i="7"/>
  <c r="BA109" i="7"/>
  <c r="AZ109" i="7"/>
  <c r="AY109" i="7"/>
  <c r="AX109" i="7"/>
  <c r="AV109" i="7"/>
  <c r="AU109" i="7"/>
  <c r="AT109" i="7"/>
  <c r="AS109" i="7"/>
  <c r="AR109" i="7"/>
  <c r="AQ109" i="7"/>
  <c r="AO109" i="7"/>
  <c r="AN109" i="7"/>
  <c r="AM109" i="7"/>
  <c r="AL109" i="7"/>
  <c r="AK109" i="7"/>
  <c r="AJ109" i="7"/>
  <c r="AH109" i="7"/>
  <c r="AG109" i="7"/>
  <c r="AF109" i="7"/>
  <c r="AE109" i="7"/>
  <c r="AD109" i="7"/>
  <c r="AC109" i="7"/>
  <c r="AA109" i="7"/>
  <c r="Z109" i="7"/>
  <c r="Y109" i="7"/>
  <c r="X109" i="7"/>
  <c r="W109" i="7"/>
  <c r="V109" i="7"/>
  <c r="T109" i="7"/>
  <c r="S109" i="7"/>
  <c r="R109" i="7"/>
  <c r="Q109" i="7"/>
  <c r="P109" i="7"/>
  <c r="O109" i="7"/>
  <c r="M109" i="7"/>
  <c r="L109" i="7"/>
  <c r="K109" i="7"/>
  <c r="J109" i="7"/>
  <c r="I109" i="7"/>
  <c r="H109" i="7"/>
  <c r="F109" i="7"/>
  <c r="E109" i="7"/>
  <c r="D109" i="7"/>
  <c r="C109" i="7"/>
  <c r="B109" i="7"/>
  <c r="A109" i="7"/>
  <c r="CS108" i="7"/>
  <c r="CR108" i="7"/>
  <c r="CQ108" i="7"/>
  <c r="CP108" i="7"/>
  <c r="CO108" i="7"/>
  <c r="CN108" i="7"/>
  <c r="CL108" i="7"/>
  <c r="CK108" i="7"/>
  <c r="CJ108" i="7"/>
  <c r="CI108" i="7"/>
  <c r="CH108" i="7"/>
  <c r="CG108" i="7"/>
  <c r="CE108" i="7"/>
  <c r="CD108" i="7"/>
  <c r="CC108" i="7"/>
  <c r="CB108" i="7"/>
  <c r="CA108" i="7"/>
  <c r="BZ108" i="7"/>
  <c r="BX108" i="7"/>
  <c r="BW108" i="7"/>
  <c r="BV108" i="7"/>
  <c r="BU108" i="7"/>
  <c r="BT108" i="7"/>
  <c r="BS108" i="7"/>
  <c r="BQ108" i="7"/>
  <c r="BP108" i="7"/>
  <c r="BO108" i="7"/>
  <c r="BN108" i="7"/>
  <c r="BM108" i="7"/>
  <c r="BL108" i="7"/>
  <c r="BJ108" i="7"/>
  <c r="BI108" i="7"/>
  <c r="BH108" i="7"/>
  <c r="BG108" i="7"/>
  <c r="BF108" i="7"/>
  <c r="BE108" i="7"/>
  <c r="BC108" i="7"/>
  <c r="BB108" i="7"/>
  <c r="BA108" i="7"/>
  <c r="AZ108" i="7"/>
  <c r="AY108" i="7"/>
  <c r="AX108" i="7"/>
  <c r="AV108" i="7"/>
  <c r="AU108" i="7"/>
  <c r="AT108" i="7"/>
  <c r="AS108" i="7"/>
  <c r="AR108" i="7"/>
  <c r="AQ108" i="7"/>
  <c r="AO108" i="7"/>
  <c r="AN108" i="7"/>
  <c r="AM108" i="7"/>
  <c r="AL108" i="7"/>
  <c r="AK108" i="7"/>
  <c r="AJ108" i="7"/>
  <c r="AH108" i="7"/>
  <c r="AG108" i="7"/>
  <c r="AF108" i="7"/>
  <c r="AE108" i="7"/>
  <c r="AD108" i="7"/>
  <c r="AC108" i="7"/>
  <c r="AA108" i="7"/>
  <c r="Z108" i="7"/>
  <c r="Y108" i="7"/>
  <c r="X108" i="7"/>
  <c r="W108" i="7"/>
  <c r="V108" i="7"/>
  <c r="T108" i="7"/>
  <c r="S108" i="7"/>
  <c r="R108" i="7"/>
  <c r="Q108" i="7"/>
  <c r="P108" i="7"/>
  <c r="O108" i="7"/>
  <c r="M108" i="7"/>
  <c r="L108" i="7"/>
  <c r="K108" i="7"/>
  <c r="J108" i="7"/>
  <c r="I108" i="7"/>
  <c r="H108" i="7"/>
  <c r="F108" i="7"/>
  <c r="E108" i="7"/>
  <c r="D108" i="7"/>
  <c r="C108" i="7"/>
  <c r="B108" i="7"/>
  <c r="A108" i="7"/>
  <c r="CS107" i="7"/>
  <c r="CR107" i="7"/>
  <c r="CQ107" i="7"/>
  <c r="CP107" i="7"/>
  <c r="CO107" i="7"/>
  <c r="CN107" i="7"/>
  <c r="CL107" i="7"/>
  <c r="CK107" i="7"/>
  <c r="CJ107" i="7"/>
  <c r="CI107" i="7"/>
  <c r="CH107" i="7"/>
  <c r="CG107" i="7"/>
  <c r="CE107" i="7"/>
  <c r="CD107" i="7"/>
  <c r="CC107" i="7"/>
  <c r="CB107" i="7"/>
  <c r="CA107" i="7"/>
  <c r="BZ107" i="7"/>
  <c r="BX107" i="7"/>
  <c r="BW107" i="7"/>
  <c r="BV107" i="7"/>
  <c r="BU107" i="7"/>
  <c r="BT107" i="7"/>
  <c r="BS107" i="7"/>
  <c r="BQ107" i="7"/>
  <c r="BP107" i="7"/>
  <c r="BO107" i="7"/>
  <c r="BN107" i="7"/>
  <c r="BM107" i="7"/>
  <c r="BL107" i="7"/>
  <c r="BJ107" i="7"/>
  <c r="BI107" i="7"/>
  <c r="BH107" i="7"/>
  <c r="BG107" i="7"/>
  <c r="BF107" i="7"/>
  <c r="BE107" i="7"/>
  <c r="BC107" i="7"/>
  <c r="BB107" i="7"/>
  <c r="BA107" i="7"/>
  <c r="AZ107" i="7"/>
  <c r="AY107" i="7"/>
  <c r="AX107" i="7"/>
  <c r="AV107" i="7"/>
  <c r="AU107" i="7"/>
  <c r="AT107" i="7"/>
  <c r="AS107" i="7"/>
  <c r="AR107" i="7"/>
  <c r="AQ107" i="7"/>
  <c r="AO107" i="7"/>
  <c r="AN107" i="7"/>
  <c r="AM107" i="7"/>
  <c r="AL107" i="7"/>
  <c r="AK107" i="7"/>
  <c r="AJ107" i="7"/>
  <c r="AH107" i="7"/>
  <c r="AG107" i="7"/>
  <c r="AF107" i="7"/>
  <c r="AE107" i="7"/>
  <c r="AD107" i="7"/>
  <c r="AC107" i="7"/>
  <c r="AA107" i="7"/>
  <c r="Z107" i="7"/>
  <c r="Y107" i="7"/>
  <c r="X107" i="7"/>
  <c r="W107" i="7"/>
  <c r="V107" i="7"/>
  <c r="T107" i="7"/>
  <c r="S107" i="7"/>
  <c r="R107" i="7"/>
  <c r="Q107" i="7"/>
  <c r="P107" i="7"/>
  <c r="O107" i="7"/>
  <c r="M107" i="7"/>
  <c r="L107" i="7"/>
  <c r="K107" i="7"/>
  <c r="J107" i="7"/>
  <c r="I107" i="7"/>
  <c r="H107" i="7"/>
  <c r="F107" i="7"/>
  <c r="E107" i="7"/>
  <c r="D107" i="7"/>
  <c r="C107" i="7"/>
  <c r="B107" i="7"/>
  <c r="A107" i="7"/>
  <c r="CS106" i="7"/>
  <c r="CR106" i="7"/>
  <c r="CQ106" i="7"/>
  <c r="CP106" i="7"/>
  <c r="CO106" i="7"/>
  <c r="CN106" i="7"/>
  <c r="CL106" i="7"/>
  <c r="CK106" i="7"/>
  <c r="CJ106" i="7"/>
  <c r="CI106" i="7"/>
  <c r="CH106" i="7"/>
  <c r="CG106" i="7"/>
  <c r="CE106" i="7"/>
  <c r="CD106" i="7"/>
  <c r="CC106" i="7"/>
  <c r="CB106" i="7"/>
  <c r="CA106" i="7"/>
  <c r="BZ106" i="7"/>
  <c r="BX106" i="7"/>
  <c r="BW106" i="7"/>
  <c r="BV106" i="7"/>
  <c r="BU106" i="7"/>
  <c r="BT106" i="7"/>
  <c r="BS106" i="7"/>
  <c r="BQ106" i="7"/>
  <c r="BP106" i="7"/>
  <c r="BO106" i="7"/>
  <c r="BN106" i="7"/>
  <c r="BM106" i="7"/>
  <c r="BL106" i="7"/>
  <c r="BJ106" i="7"/>
  <c r="BI106" i="7"/>
  <c r="BH106" i="7"/>
  <c r="BG106" i="7"/>
  <c r="BF106" i="7"/>
  <c r="BE106" i="7"/>
  <c r="BC106" i="7"/>
  <c r="BB106" i="7"/>
  <c r="BA106" i="7"/>
  <c r="AZ106" i="7"/>
  <c r="AY106" i="7"/>
  <c r="AX106" i="7"/>
  <c r="AV106" i="7"/>
  <c r="AU106" i="7"/>
  <c r="AT106" i="7"/>
  <c r="AS106" i="7"/>
  <c r="AR106" i="7"/>
  <c r="AQ106" i="7"/>
  <c r="AO106" i="7"/>
  <c r="AN106" i="7"/>
  <c r="AM106" i="7"/>
  <c r="AL106" i="7"/>
  <c r="AK106" i="7"/>
  <c r="AJ106" i="7"/>
  <c r="AH106" i="7"/>
  <c r="AG106" i="7"/>
  <c r="AF106" i="7"/>
  <c r="AE106" i="7"/>
  <c r="AD106" i="7"/>
  <c r="AC106" i="7"/>
  <c r="AA106" i="7"/>
  <c r="Z106" i="7"/>
  <c r="Y106" i="7"/>
  <c r="X106" i="7"/>
  <c r="W106" i="7"/>
  <c r="V106" i="7"/>
  <c r="T106" i="7"/>
  <c r="S106" i="7"/>
  <c r="R106" i="7"/>
  <c r="Q106" i="7"/>
  <c r="P106" i="7"/>
  <c r="O106" i="7"/>
  <c r="M106" i="7"/>
  <c r="L106" i="7"/>
  <c r="K106" i="7"/>
  <c r="J106" i="7"/>
  <c r="I106" i="7"/>
  <c r="H106" i="7"/>
  <c r="F106" i="7"/>
  <c r="E106" i="7"/>
  <c r="D106" i="7"/>
  <c r="C106" i="7"/>
  <c r="B106" i="7"/>
  <c r="A106" i="7"/>
  <c r="CS105" i="7"/>
  <c r="CR105" i="7"/>
  <c r="CQ105" i="7"/>
  <c r="CP105" i="7"/>
  <c r="CO105" i="7"/>
  <c r="CN105" i="7"/>
  <c r="CL105" i="7"/>
  <c r="CK105" i="7"/>
  <c r="CJ105" i="7"/>
  <c r="CI105" i="7"/>
  <c r="CH105" i="7"/>
  <c r="CG105" i="7"/>
  <c r="CE105" i="7"/>
  <c r="CD105" i="7"/>
  <c r="CC105" i="7"/>
  <c r="CB105" i="7"/>
  <c r="CA105" i="7"/>
  <c r="BZ105" i="7"/>
  <c r="BX105" i="7"/>
  <c r="BW105" i="7"/>
  <c r="BV105" i="7"/>
  <c r="BU105" i="7"/>
  <c r="BT105" i="7"/>
  <c r="BS105" i="7"/>
  <c r="BQ105" i="7"/>
  <c r="BP105" i="7"/>
  <c r="BO105" i="7"/>
  <c r="BN105" i="7"/>
  <c r="BM105" i="7"/>
  <c r="BL105" i="7"/>
  <c r="BJ105" i="7"/>
  <c r="BI105" i="7"/>
  <c r="BH105" i="7"/>
  <c r="BG105" i="7"/>
  <c r="BF105" i="7"/>
  <c r="BE105" i="7"/>
  <c r="BC105" i="7"/>
  <c r="BB105" i="7"/>
  <c r="BA105" i="7"/>
  <c r="AZ105" i="7"/>
  <c r="AY105" i="7"/>
  <c r="AX105" i="7"/>
  <c r="AV105" i="7"/>
  <c r="AU105" i="7"/>
  <c r="AT105" i="7"/>
  <c r="AS105" i="7"/>
  <c r="AR105" i="7"/>
  <c r="AQ105" i="7"/>
  <c r="AO105" i="7"/>
  <c r="AN105" i="7"/>
  <c r="AM105" i="7"/>
  <c r="AL105" i="7"/>
  <c r="AK105" i="7"/>
  <c r="AJ105" i="7"/>
  <c r="AH105" i="7"/>
  <c r="AG105" i="7"/>
  <c r="AF105" i="7"/>
  <c r="AE105" i="7"/>
  <c r="AD105" i="7"/>
  <c r="AC105" i="7"/>
  <c r="AA105" i="7"/>
  <c r="Z105" i="7"/>
  <c r="Y105" i="7"/>
  <c r="X105" i="7"/>
  <c r="W105" i="7"/>
  <c r="V105" i="7"/>
  <c r="T105" i="7"/>
  <c r="S105" i="7"/>
  <c r="R105" i="7"/>
  <c r="Q105" i="7"/>
  <c r="P105" i="7"/>
  <c r="O105" i="7"/>
  <c r="M105" i="7"/>
  <c r="L105" i="7"/>
  <c r="K105" i="7"/>
  <c r="J105" i="7"/>
  <c r="I105" i="7"/>
  <c r="H105" i="7"/>
  <c r="F105" i="7"/>
  <c r="E105" i="7"/>
  <c r="D105" i="7"/>
  <c r="C105" i="7"/>
  <c r="B105" i="7"/>
  <c r="A105" i="7"/>
  <c r="CS104" i="7"/>
  <c r="CR104" i="7"/>
  <c r="CQ104" i="7"/>
  <c r="CP104" i="7"/>
  <c r="CO104" i="7"/>
  <c r="CN104" i="7"/>
  <c r="CL104" i="7"/>
  <c r="CK104" i="7"/>
  <c r="CJ104" i="7"/>
  <c r="CI104" i="7"/>
  <c r="CH104" i="7"/>
  <c r="CG104" i="7"/>
  <c r="CE104" i="7"/>
  <c r="CD104" i="7"/>
  <c r="CC104" i="7"/>
  <c r="CB104" i="7"/>
  <c r="CA104" i="7"/>
  <c r="BZ104" i="7"/>
  <c r="BX104" i="7"/>
  <c r="BW104" i="7"/>
  <c r="BV104" i="7"/>
  <c r="BU104" i="7"/>
  <c r="BT104" i="7"/>
  <c r="BS104" i="7"/>
  <c r="BQ104" i="7"/>
  <c r="BP104" i="7"/>
  <c r="BO104" i="7"/>
  <c r="BN104" i="7"/>
  <c r="BM104" i="7"/>
  <c r="BL104" i="7"/>
  <c r="BJ104" i="7"/>
  <c r="BI104" i="7"/>
  <c r="BH104" i="7"/>
  <c r="BG104" i="7"/>
  <c r="BF104" i="7"/>
  <c r="BE104" i="7"/>
  <c r="BC104" i="7"/>
  <c r="BB104" i="7"/>
  <c r="BA104" i="7"/>
  <c r="AZ104" i="7"/>
  <c r="AY104" i="7"/>
  <c r="AX104" i="7"/>
  <c r="AV104" i="7"/>
  <c r="AU104" i="7"/>
  <c r="AT104" i="7"/>
  <c r="AS104" i="7"/>
  <c r="AR104" i="7"/>
  <c r="AQ104" i="7"/>
  <c r="AO104" i="7"/>
  <c r="AN104" i="7"/>
  <c r="AM104" i="7"/>
  <c r="AL104" i="7"/>
  <c r="AK104" i="7"/>
  <c r="AJ104" i="7"/>
  <c r="AH104" i="7"/>
  <c r="AG104" i="7"/>
  <c r="AF104" i="7"/>
  <c r="AE104" i="7"/>
  <c r="AD104" i="7"/>
  <c r="AC104" i="7"/>
  <c r="AA104" i="7"/>
  <c r="Z104" i="7"/>
  <c r="Y104" i="7"/>
  <c r="X104" i="7"/>
  <c r="W104" i="7"/>
  <c r="V104" i="7"/>
  <c r="T104" i="7"/>
  <c r="S104" i="7"/>
  <c r="R104" i="7"/>
  <c r="Q104" i="7"/>
  <c r="P104" i="7"/>
  <c r="O104" i="7"/>
  <c r="M104" i="7"/>
  <c r="L104" i="7"/>
  <c r="K104" i="7"/>
  <c r="J104" i="7"/>
  <c r="I104" i="7"/>
  <c r="H104" i="7"/>
  <c r="F104" i="7"/>
  <c r="E104" i="7"/>
  <c r="D104" i="7"/>
  <c r="C104" i="7"/>
  <c r="B104" i="7"/>
  <c r="A104" i="7"/>
  <c r="CS103" i="7"/>
  <c r="CR103" i="7"/>
  <c r="CQ103" i="7"/>
  <c r="CP103" i="7"/>
  <c r="CO103" i="7"/>
  <c r="CN103" i="7"/>
  <c r="CL103" i="7"/>
  <c r="CK103" i="7"/>
  <c r="CJ103" i="7"/>
  <c r="CI103" i="7"/>
  <c r="CH103" i="7"/>
  <c r="CG103" i="7"/>
  <c r="CE103" i="7"/>
  <c r="CD103" i="7"/>
  <c r="CC103" i="7"/>
  <c r="CB103" i="7"/>
  <c r="CA103" i="7"/>
  <c r="BZ103" i="7"/>
  <c r="BX103" i="7"/>
  <c r="BW103" i="7"/>
  <c r="BV103" i="7"/>
  <c r="BU103" i="7"/>
  <c r="BT103" i="7"/>
  <c r="BS103" i="7"/>
  <c r="BQ103" i="7"/>
  <c r="BP103" i="7"/>
  <c r="BO103" i="7"/>
  <c r="BN103" i="7"/>
  <c r="BM103" i="7"/>
  <c r="BL103" i="7"/>
  <c r="BJ103" i="7"/>
  <c r="BI103" i="7"/>
  <c r="BH103" i="7"/>
  <c r="BG103" i="7"/>
  <c r="BF103" i="7"/>
  <c r="BE103" i="7"/>
  <c r="BC103" i="7"/>
  <c r="BB103" i="7"/>
  <c r="BA103" i="7"/>
  <c r="AZ103" i="7"/>
  <c r="AY103" i="7"/>
  <c r="AX103" i="7"/>
  <c r="AV103" i="7"/>
  <c r="AU103" i="7"/>
  <c r="AT103" i="7"/>
  <c r="AS103" i="7"/>
  <c r="AR103" i="7"/>
  <c r="AQ103" i="7"/>
  <c r="AO103" i="7"/>
  <c r="AN103" i="7"/>
  <c r="AM103" i="7"/>
  <c r="AL103" i="7"/>
  <c r="AK103" i="7"/>
  <c r="AJ103" i="7"/>
  <c r="AH103" i="7"/>
  <c r="AG103" i="7"/>
  <c r="AF103" i="7"/>
  <c r="AE103" i="7"/>
  <c r="AD103" i="7"/>
  <c r="AC103" i="7"/>
  <c r="AA103" i="7"/>
  <c r="Z103" i="7"/>
  <c r="Y103" i="7"/>
  <c r="X103" i="7"/>
  <c r="W103" i="7"/>
  <c r="V103" i="7"/>
  <c r="T103" i="7"/>
  <c r="S103" i="7"/>
  <c r="R103" i="7"/>
  <c r="Q103" i="7"/>
  <c r="P103" i="7"/>
  <c r="O103" i="7"/>
  <c r="M103" i="7"/>
  <c r="L103" i="7"/>
  <c r="K103" i="7"/>
  <c r="J103" i="7"/>
  <c r="I103" i="7"/>
  <c r="H103" i="7"/>
  <c r="F103" i="7"/>
  <c r="E103" i="7"/>
  <c r="D103" i="7"/>
  <c r="C103" i="7"/>
  <c r="B103" i="7"/>
  <c r="A103" i="7"/>
  <c r="CS102" i="7"/>
  <c r="CR102" i="7"/>
  <c r="CQ102" i="7"/>
  <c r="CP102" i="7"/>
  <c r="CO102" i="7"/>
  <c r="CN102" i="7"/>
  <c r="CL102" i="7"/>
  <c r="CK102" i="7"/>
  <c r="CJ102" i="7"/>
  <c r="CI102" i="7"/>
  <c r="CH102" i="7"/>
  <c r="CG102" i="7"/>
  <c r="CE102" i="7"/>
  <c r="CD102" i="7"/>
  <c r="CC102" i="7"/>
  <c r="CB102" i="7"/>
  <c r="CA102" i="7"/>
  <c r="BZ102" i="7"/>
  <c r="BX102" i="7"/>
  <c r="BW102" i="7"/>
  <c r="BV102" i="7"/>
  <c r="BU102" i="7"/>
  <c r="BT102" i="7"/>
  <c r="BS102" i="7"/>
  <c r="BQ102" i="7"/>
  <c r="BP102" i="7"/>
  <c r="BO102" i="7"/>
  <c r="BN102" i="7"/>
  <c r="BM102" i="7"/>
  <c r="BL102" i="7"/>
  <c r="BJ102" i="7"/>
  <c r="BI102" i="7"/>
  <c r="BH102" i="7"/>
  <c r="BG102" i="7"/>
  <c r="BF102" i="7"/>
  <c r="BE102" i="7"/>
  <c r="BC102" i="7"/>
  <c r="BB102" i="7"/>
  <c r="BA102" i="7"/>
  <c r="AZ102" i="7"/>
  <c r="AY102" i="7"/>
  <c r="AX102" i="7"/>
  <c r="AV102" i="7"/>
  <c r="AU102" i="7"/>
  <c r="AT102" i="7"/>
  <c r="AS102" i="7"/>
  <c r="AR102" i="7"/>
  <c r="AQ102" i="7"/>
  <c r="AO102" i="7"/>
  <c r="AN102" i="7"/>
  <c r="AM102" i="7"/>
  <c r="AL102" i="7"/>
  <c r="AK102" i="7"/>
  <c r="AJ102" i="7"/>
  <c r="AH102" i="7"/>
  <c r="AG102" i="7"/>
  <c r="AF102" i="7"/>
  <c r="AE102" i="7"/>
  <c r="AD102" i="7"/>
  <c r="AC102" i="7"/>
  <c r="AA102" i="7"/>
  <c r="Z102" i="7"/>
  <c r="Y102" i="7"/>
  <c r="X102" i="7"/>
  <c r="W102" i="7"/>
  <c r="V102" i="7"/>
  <c r="T102" i="7"/>
  <c r="S102" i="7"/>
  <c r="R102" i="7"/>
  <c r="Q102" i="7"/>
  <c r="P102" i="7"/>
  <c r="O102" i="7"/>
  <c r="M102" i="7"/>
  <c r="L102" i="7"/>
  <c r="K102" i="7"/>
  <c r="J102" i="7"/>
  <c r="I102" i="7"/>
  <c r="H102" i="7"/>
  <c r="F102" i="7"/>
  <c r="E102" i="7"/>
  <c r="D102" i="7"/>
  <c r="C102" i="7"/>
  <c r="B102" i="7"/>
  <c r="A102" i="7"/>
  <c r="CS101" i="7"/>
  <c r="CR101" i="7"/>
  <c r="CQ101" i="7"/>
  <c r="CP101" i="7"/>
  <c r="CO101" i="7"/>
  <c r="CN101" i="7"/>
  <c r="CL101" i="7"/>
  <c r="CK101" i="7"/>
  <c r="CJ101" i="7"/>
  <c r="CI101" i="7"/>
  <c r="CH101" i="7"/>
  <c r="CG101" i="7"/>
  <c r="CE101" i="7"/>
  <c r="CD101" i="7"/>
  <c r="CC101" i="7"/>
  <c r="CB101" i="7"/>
  <c r="CA101" i="7"/>
  <c r="BZ101" i="7"/>
  <c r="BX101" i="7"/>
  <c r="BW101" i="7"/>
  <c r="BV101" i="7"/>
  <c r="BU101" i="7"/>
  <c r="BT101" i="7"/>
  <c r="BS101" i="7"/>
  <c r="BQ101" i="7"/>
  <c r="BP101" i="7"/>
  <c r="BO101" i="7"/>
  <c r="BN101" i="7"/>
  <c r="BM101" i="7"/>
  <c r="BL101" i="7"/>
  <c r="BJ101" i="7"/>
  <c r="BI101" i="7"/>
  <c r="BH101" i="7"/>
  <c r="BG101" i="7"/>
  <c r="BF101" i="7"/>
  <c r="BE101" i="7"/>
  <c r="BC101" i="7"/>
  <c r="BB101" i="7"/>
  <c r="BA101" i="7"/>
  <c r="AZ101" i="7"/>
  <c r="AY101" i="7"/>
  <c r="AX101" i="7"/>
  <c r="AV101" i="7"/>
  <c r="AU101" i="7"/>
  <c r="AT101" i="7"/>
  <c r="AS101" i="7"/>
  <c r="AR101" i="7"/>
  <c r="AQ101" i="7"/>
  <c r="AO101" i="7"/>
  <c r="AN101" i="7"/>
  <c r="AM101" i="7"/>
  <c r="AL101" i="7"/>
  <c r="AK101" i="7"/>
  <c r="AJ101" i="7"/>
  <c r="AH101" i="7"/>
  <c r="AG101" i="7"/>
  <c r="AF101" i="7"/>
  <c r="AE101" i="7"/>
  <c r="AD101" i="7"/>
  <c r="AC101" i="7"/>
  <c r="AA101" i="7"/>
  <c r="Z101" i="7"/>
  <c r="Y101" i="7"/>
  <c r="X101" i="7"/>
  <c r="W101" i="7"/>
  <c r="V101" i="7"/>
  <c r="T101" i="7"/>
  <c r="S101" i="7"/>
  <c r="R101" i="7"/>
  <c r="Q101" i="7"/>
  <c r="P101" i="7"/>
  <c r="O101" i="7"/>
  <c r="M101" i="7"/>
  <c r="L101" i="7"/>
  <c r="K101" i="7"/>
  <c r="J101" i="7"/>
  <c r="I101" i="7"/>
  <c r="H101" i="7"/>
  <c r="F101" i="7"/>
  <c r="E101" i="7"/>
  <c r="D101" i="7"/>
  <c r="C101" i="7"/>
  <c r="B101" i="7"/>
  <c r="A101" i="7"/>
  <c r="CS100" i="7"/>
  <c r="CR100" i="7"/>
  <c r="CQ100" i="7"/>
  <c r="CP100" i="7"/>
  <c r="CO100" i="7"/>
  <c r="CN100" i="7"/>
  <c r="CL100" i="7"/>
  <c r="CK100" i="7"/>
  <c r="CJ100" i="7"/>
  <c r="CI100" i="7"/>
  <c r="CH100" i="7"/>
  <c r="CG100" i="7"/>
  <c r="CE100" i="7"/>
  <c r="CD100" i="7"/>
  <c r="CC100" i="7"/>
  <c r="CB100" i="7"/>
  <c r="CA100" i="7"/>
  <c r="BZ100" i="7"/>
  <c r="BX100" i="7"/>
  <c r="BW100" i="7"/>
  <c r="BV100" i="7"/>
  <c r="BU100" i="7"/>
  <c r="BT100" i="7"/>
  <c r="BS100" i="7"/>
  <c r="BQ100" i="7"/>
  <c r="BP100" i="7"/>
  <c r="BO100" i="7"/>
  <c r="BN100" i="7"/>
  <c r="BM100" i="7"/>
  <c r="BL100" i="7"/>
  <c r="BJ100" i="7"/>
  <c r="BI100" i="7"/>
  <c r="BH100" i="7"/>
  <c r="BG100" i="7"/>
  <c r="BF100" i="7"/>
  <c r="BE100" i="7"/>
  <c r="BC100" i="7"/>
  <c r="BB100" i="7"/>
  <c r="BA100" i="7"/>
  <c r="AZ100" i="7"/>
  <c r="AY100" i="7"/>
  <c r="AX100" i="7"/>
  <c r="AV100" i="7"/>
  <c r="AU100" i="7"/>
  <c r="AT100" i="7"/>
  <c r="AS100" i="7"/>
  <c r="AR100" i="7"/>
  <c r="AQ100" i="7"/>
  <c r="AO100" i="7"/>
  <c r="AN100" i="7"/>
  <c r="AM100" i="7"/>
  <c r="AL100" i="7"/>
  <c r="AK100" i="7"/>
  <c r="AJ100" i="7"/>
  <c r="AH100" i="7"/>
  <c r="AG100" i="7"/>
  <c r="AF100" i="7"/>
  <c r="AE100" i="7"/>
  <c r="AD100" i="7"/>
  <c r="AC100" i="7"/>
  <c r="AA100" i="7"/>
  <c r="Z100" i="7"/>
  <c r="Y100" i="7"/>
  <c r="X100" i="7"/>
  <c r="W100" i="7"/>
  <c r="V100" i="7"/>
  <c r="T100" i="7"/>
  <c r="S100" i="7"/>
  <c r="R100" i="7"/>
  <c r="Q100" i="7"/>
  <c r="P100" i="7"/>
  <c r="O100" i="7"/>
  <c r="M100" i="7"/>
  <c r="L100" i="7"/>
  <c r="K100" i="7"/>
  <c r="J100" i="7"/>
  <c r="I100" i="7"/>
  <c r="H100" i="7"/>
  <c r="F100" i="7"/>
  <c r="E100" i="7"/>
  <c r="D100" i="7"/>
  <c r="C100" i="7"/>
  <c r="B100" i="7"/>
  <c r="A100" i="7"/>
  <c r="CS99" i="7"/>
  <c r="CR99" i="7"/>
  <c r="CQ99" i="7"/>
  <c r="CP99" i="7"/>
  <c r="CO99" i="7"/>
  <c r="CN99" i="7"/>
  <c r="CL99" i="7"/>
  <c r="CK99" i="7"/>
  <c r="CJ99" i="7"/>
  <c r="CI99" i="7"/>
  <c r="CH99" i="7"/>
  <c r="CG99" i="7"/>
  <c r="CE99" i="7"/>
  <c r="CD99" i="7"/>
  <c r="CC99" i="7"/>
  <c r="CB99" i="7"/>
  <c r="CA99" i="7"/>
  <c r="BZ99" i="7"/>
  <c r="BX99" i="7"/>
  <c r="BW99" i="7"/>
  <c r="BV99" i="7"/>
  <c r="BU99" i="7"/>
  <c r="BT99" i="7"/>
  <c r="BS99" i="7"/>
  <c r="BQ99" i="7"/>
  <c r="BP99" i="7"/>
  <c r="BO99" i="7"/>
  <c r="BN99" i="7"/>
  <c r="BM99" i="7"/>
  <c r="BL99" i="7"/>
  <c r="BJ99" i="7"/>
  <c r="BI99" i="7"/>
  <c r="BH99" i="7"/>
  <c r="BG99" i="7"/>
  <c r="BF99" i="7"/>
  <c r="BE99" i="7"/>
  <c r="BC99" i="7"/>
  <c r="BB99" i="7"/>
  <c r="BA99" i="7"/>
  <c r="AZ99" i="7"/>
  <c r="AY99" i="7"/>
  <c r="AX99" i="7"/>
  <c r="AV99" i="7"/>
  <c r="AU99" i="7"/>
  <c r="AT99" i="7"/>
  <c r="AS99" i="7"/>
  <c r="AR99" i="7"/>
  <c r="AQ99" i="7"/>
  <c r="AO99" i="7"/>
  <c r="AN99" i="7"/>
  <c r="AM99" i="7"/>
  <c r="AL99" i="7"/>
  <c r="AK99" i="7"/>
  <c r="AJ99" i="7"/>
  <c r="AH99" i="7"/>
  <c r="AG99" i="7"/>
  <c r="AF99" i="7"/>
  <c r="AE99" i="7"/>
  <c r="AD99" i="7"/>
  <c r="AC99" i="7"/>
  <c r="AA99" i="7"/>
  <c r="Z99" i="7"/>
  <c r="Y99" i="7"/>
  <c r="X99" i="7"/>
  <c r="W99" i="7"/>
  <c r="V99" i="7"/>
  <c r="T99" i="7"/>
  <c r="S99" i="7"/>
  <c r="R99" i="7"/>
  <c r="Q99" i="7"/>
  <c r="P99" i="7"/>
  <c r="O99" i="7"/>
  <c r="M99" i="7"/>
  <c r="L99" i="7"/>
  <c r="K99" i="7"/>
  <c r="J99" i="7"/>
  <c r="I99" i="7"/>
  <c r="H99" i="7"/>
  <c r="F99" i="7"/>
  <c r="E99" i="7"/>
  <c r="D99" i="7"/>
  <c r="C99" i="7"/>
  <c r="B99" i="7"/>
  <c r="A99" i="7"/>
  <c r="CS98" i="7"/>
  <c r="CR98" i="7"/>
  <c r="CQ98" i="7"/>
  <c r="CP98" i="7"/>
  <c r="CO98" i="7"/>
  <c r="CN98" i="7"/>
  <c r="CL98" i="7"/>
  <c r="CK98" i="7"/>
  <c r="CJ98" i="7"/>
  <c r="CI98" i="7"/>
  <c r="CH98" i="7"/>
  <c r="CG98" i="7"/>
  <c r="CE98" i="7"/>
  <c r="CD98" i="7"/>
  <c r="CC98" i="7"/>
  <c r="CB98" i="7"/>
  <c r="CA98" i="7"/>
  <c r="BZ98" i="7"/>
  <c r="BX98" i="7"/>
  <c r="BW98" i="7"/>
  <c r="BV98" i="7"/>
  <c r="BU98" i="7"/>
  <c r="BT98" i="7"/>
  <c r="BS98" i="7"/>
  <c r="BQ98" i="7"/>
  <c r="BP98" i="7"/>
  <c r="BO98" i="7"/>
  <c r="BN98" i="7"/>
  <c r="BM98" i="7"/>
  <c r="BL98" i="7"/>
  <c r="BJ98" i="7"/>
  <c r="BI98" i="7"/>
  <c r="BH98" i="7"/>
  <c r="BG98" i="7"/>
  <c r="BF98" i="7"/>
  <c r="BE98" i="7"/>
  <c r="BC98" i="7"/>
  <c r="BB98" i="7"/>
  <c r="BA98" i="7"/>
  <c r="AZ98" i="7"/>
  <c r="AY98" i="7"/>
  <c r="AX98" i="7"/>
  <c r="AV98" i="7"/>
  <c r="AU98" i="7"/>
  <c r="AT98" i="7"/>
  <c r="AS98" i="7"/>
  <c r="AR98" i="7"/>
  <c r="AQ98" i="7"/>
  <c r="AO98" i="7"/>
  <c r="AN98" i="7"/>
  <c r="AM98" i="7"/>
  <c r="AL98" i="7"/>
  <c r="AK98" i="7"/>
  <c r="AJ98" i="7"/>
  <c r="AH98" i="7"/>
  <c r="AG98" i="7"/>
  <c r="AF98" i="7"/>
  <c r="AE98" i="7"/>
  <c r="AD98" i="7"/>
  <c r="AC98" i="7"/>
  <c r="AA98" i="7"/>
  <c r="Z98" i="7"/>
  <c r="Y98" i="7"/>
  <c r="X98" i="7"/>
  <c r="W98" i="7"/>
  <c r="V98" i="7"/>
  <c r="T98" i="7"/>
  <c r="S98" i="7"/>
  <c r="R98" i="7"/>
  <c r="Q98" i="7"/>
  <c r="P98" i="7"/>
  <c r="O98" i="7"/>
  <c r="M98" i="7"/>
  <c r="L98" i="7"/>
  <c r="K98" i="7"/>
  <c r="J98" i="7"/>
  <c r="I98" i="7"/>
  <c r="H98" i="7"/>
  <c r="F98" i="7"/>
  <c r="E98" i="7"/>
  <c r="D98" i="7"/>
  <c r="C98" i="7"/>
  <c r="B98" i="7"/>
  <c r="A98" i="7"/>
  <c r="CS97" i="7"/>
  <c r="CR97" i="7"/>
  <c r="CQ97" i="7"/>
  <c r="CP97" i="7"/>
  <c r="CO97" i="7"/>
  <c r="CN97" i="7"/>
  <c r="CL97" i="7"/>
  <c r="CK97" i="7"/>
  <c r="CJ97" i="7"/>
  <c r="CI97" i="7"/>
  <c r="CH97" i="7"/>
  <c r="CG97" i="7"/>
  <c r="CE97" i="7"/>
  <c r="CD97" i="7"/>
  <c r="CC97" i="7"/>
  <c r="CB97" i="7"/>
  <c r="CA97" i="7"/>
  <c r="BZ97" i="7"/>
  <c r="BX97" i="7"/>
  <c r="BW97" i="7"/>
  <c r="BV97" i="7"/>
  <c r="BU97" i="7"/>
  <c r="BT97" i="7"/>
  <c r="BS97" i="7"/>
  <c r="BQ97" i="7"/>
  <c r="BP97" i="7"/>
  <c r="BO97" i="7"/>
  <c r="BN97" i="7"/>
  <c r="BM97" i="7"/>
  <c r="BL97" i="7"/>
  <c r="BJ97" i="7"/>
  <c r="BI97" i="7"/>
  <c r="BH97" i="7"/>
  <c r="BG97" i="7"/>
  <c r="BF97" i="7"/>
  <c r="BE97" i="7"/>
  <c r="BC97" i="7"/>
  <c r="BB97" i="7"/>
  <c r="BA97" i="7"/>
  <c r="AZ97" i="7"/>
  <c r="AY97" i="7"/>
  <c r="AX97" i="7"/>
  <c r="AV97" i="7"/>
  <c r="AU97" i="7"/>
  <c r="AT97" i="7"/>
  <c r="AS97" i="7"/>
  <c r="AR97" i="7"/>
  <c r="AQ97" i="7"/>
  <c r="AO97" i="7"/>
  <c r="AN97" i="7"/>
  <c r="AM97" i="7"/>
  <c r="AL97" i="7"/>
  <c r="AK97" i="7"/>
  <c r="AJ97" i="7"/>
  <c r="AH97" i="7"/>
  <c r="AG97" i="7"/>
  <c r="AF97" i="7"/>
  <c r="AE97" i="7"/>
  <c r="AD97" i="7"/>
  <c r="AC97" i="7"/>
  <c r="AA97" i="7"/>
  <c r="Z97" i="7"/>
  <c r="Y97" i="7"/>
  <c r="X97" i="7"/>
  <c r="W97" i="7"/>
  <c r="V97" i="7"/>
  <c r="T97" i="7"/>
  <c r="S97" i="7"/>
  <c r="R97" i="7"/>
  <c r="Q97" i="7"/>
  <c r="P97" i="7"/>
  <c r="O97" i="7"/>
  <c r="M97" i="7"/>
  <c r="L97" i="7"/>
  <c r="K97" i="7"/>
  <c r="J97" i="7"/>
  <c r="I97" i="7"/>
  <c r="H97" i="7"/>
  <c r="F97" i="7"/>
  <c r="E97" i="7"/>
  <c r="D97" i="7"/>
  <c r="C97" i="7"/>
  <c r="B97" i="7"/>
  <c r="A97" i="7"/>
  <c r="CS96" i="7"/>
  <c r="CR96" i="7"/>
  <c r="CQ96" i="7"/>
  <c r="CP96" i="7"/>
  <c r="CO96" i="7"/>
  <c r="CN96" i="7"/>
  <c r="CL96" i="7"/>
  <c r="CK96" i="7"/>
  <c r="CJ96" i="7"/>
  <c r="CI96" i="7"/>
  <c r="CH96" i="7"/>
  <c r="CG96" i="7"/>
  <c r="CE96" i="7"/>
  <c r="CD96" i="7"/>
  <c r="CC96" i="7"/>
  <c r="CB96" i="7"/>
  <c r="CA96" i="7"/>
  <c r="BZ96" i="7"/>
  <c r="BX96" i="7"/>
  <c r="BW96" i="7"/>
  <c r="BV96" i="7"/>
  <c r="BU96" i="7"/>
  <c r="BT96" i="7"/>
  <c r="BS96" i="7"/>
  <c r="BQ96" i="7"/>
  <c r="BP96" i="7"/>
  <c r="BO96" i="7"/>
  <c r="BN96" i="7"/>
  <c r="BM96" i="7"/>
  <c r="BL96" i="7"/>
  <c r="BJ96" i="7"/>
  <c r="BI96" i="7"/>
  <c r="BH96" i="7"/>
  <c r="BG96" i="7"/>
  <c r="BF96" i="7"/>
  <c r="BE96" i="7"/>
  <c r="BC96" i="7"/>
  <c r="BB96" i="7"/>
  <c r="BA96" i="7"/>
  <c r="AZ96" i="7"/>
  <c r="AY96" i="7"/>
  <c r="AX96" i="7"/>
  <c r="AV96" i="7"/>
  <c r="AU96" i="7"/>
  <c r="AT96" i="7"/>
  <c r="AS96" i="7"/>
  <c r="AR96" i="7"/>
  <c r="AQ96" i="7"/>
  <c r="AO96" i="7"/>
  <c r="AN96" i="7"/>
  <c r="AM96" i="7"/>
  <c r="AL96" i="7"/>
  <c r="AK96" i="7"/>
  <c r="AJ96" i="7"/>
  <c r="AH96" i="7"/>
  <c r="AG96" i="7"/>
  <c r="AF96" i="7"/>
  <c r="AE96" i="7"/>
  <c r="AD96" i="7"/>
  <c r="AC96" i="7"/>
  <c r="AA96" i="7"/>
  <c r="Z96" i="7"/>
  <c r="Y96" i="7"/>
  <c r="X96" i="7"/>
  <c r="W96" i="7"/>
  <c r="V96" i="7"/>
  <c r="T96" i="7"/>
  <c r="S96" i="7"/>
  <c r="R96" i="7"/>
  <c r="Q96" i="7"/>
  <c r="P96" i="7"/>
  <c r="O96" i="7"/>
  <c r="M96" i="7"/>
  <c r="L96" i="7"/>
  <c r="K96" i="7"/>
  <c r="J96" i="7"/>
  <c r="I96" i="7"/>
  <c r="H96" i="7"/>
  <c r="F96" i="7"/>
  <c r="E96" i="7"/>
  <c r="D96" i="7"/>
  <c r="C96" i="7"/>
  <c r="B96" i="7"/>
  <c r="A96" i="7"/>
  <c r="CS95" i="7"/>
  <c r="CR95" i="7"/>
  <c r="CQ95" i="7"/>
  <c r="CP95" i="7"/>
  <c r="CO95" i="7"/>
  <c r="CN95" i="7"/>
  <c r="CL95" i="7"/>
  <c r="CK95" i="7"/>
  <c r="CJ95" i="7"/>
  <c r="CI95" i="7"/>
  <c r="CH95" i="7"/>
  <c r="CG95" i="7"/>
  <c r="CE95" i="7"/>
  <c r="CD95" i="7"/>
  <c r="CC95" i="7"/>
  <c r="CB95" i="7"/>
  <c r="CA95" i="7"/>
  <c r="BZ95" i="7"/>
  <c r="BX95" i="7"/>
  <c r="BW95" i="7"/>
  <c r="BV95" i="7"/>
  <c r="BU95" i="7"/>
  <c r="BT95" i="7"/>
  <c r="BS95" i="7"/>
  <c r="BQ95" i="7"/>
  <c r="BP95" i="7"/>
  <c r="BO95" i="7"/>
  <c r="BN95" i="7"/>
  <c r="BM95" i="7"/>
  <c r="BL95" i="7"/>
  <c r="BJ95" i="7"/>
  <c r="BI95" i="7"/>
  <c r="BH95" i="7"/>
  <c r="BG95" i="7"/>
  <c r="BF95" i="7"/>
  <c r="BE95" i="7"/>
  <c r="BC95" i="7"/>
  <c r="BB95" i="7"/>
  <c r="BA95" i="7"/>
  <c r="AZ95" i="7"/>
  <c r="AY95" i="7"/>
  <c r="AX95" i="7"/>
  <c r="AV95" i="7"/>
  <c r="AU95" i="7"/>
  <c r="AT95" i="7"/>
  <c r="AS95" i="7"/>
  <c r="AR95" i="7"/>
  <c r="AQ95" i="7"/>
  <c r="AO95" i="7"/>
  <c r="AN95" i="7"/>
  <c r="AM95" i="7"/>
  <c r="AL95" i="7"/>
  <c r="AK95" i="7"/>
  <c r="AJ95" i="7"/>
  <c r="AH95" i="7"/>
  <c r="AG95" i="7"/>
  <c r="AF95" i="7"/>
  <c r="AE95" i="7"/>
  <c r="AD95" i="7"/>
  <c r="AC95" i="7"/>
  <c r="AA95" i="7"/>
  <c r="Z95" i="7"/>
  <c r="Y95" i="7"/>
  <c r="X95" i="7"/>
  <c r="W95" i="7"/>
  <c r="V95" i="7"/>
  <c r="T95" i="7"/>
  <c r="S95" i="7"/>
  <c r="R95" i="7"/>
  <c r="Q95" i="7"/>
  <c r="P95" i="7"/>
  <c r="O95" i="7"/>
  <c r="M95" i="7"/>
  <c r="L95" i="7"/>
  <c r="K95" i="7"/>
  <c r="J95" i="7"/>
  <c r="I95" i="7"/>
  <c r="H95" i="7"/>
  <c r="F95" i="7"/>
  <c r="E95" i="7"/>
  <c r="D95" i="7"/>
  <c r="C95" i="7"/>
  <c r="B95" i="7"/>
  <c r="A95" i="7"/>
  <c r="CS94" i="7"/>
  <c r="CR94" i="7"/>
  <c r="CQ94" i="7"/>
  <c r="CP94" i="7"/>
  <c r="CO94" i="7"/>
  <c r="CN94" i="7"/>
  <c r="CL94" i="7"/>
  <c r="CK94" i="7"/>
  <c r="CJ94" i="7"/>
  <c r="CI94" i="7"/>
  <c r="CH94" i="7"/>
  <c r="CG94" i="7"/>
  <c r="CE94" i="7"/>
  <c r="CD94" i="7"/>
  <c r="CC94" i="7"/>
  <c r="CB94" i="7"/>
  <c r="CA94" i="7"/>
  <c r="BZ94" i="7"/>
  <c r="BX94" i="7"/>
  <c r="BW94" i="7"/>
  <c r="BV94" i="7"/>
  <c r="BU94" i="7"/>
  <c r="BT94" i="7"/>
  <c r="BS94" i="7"/>
  <c r="BQ94" i="7"/>
  <c r="BP94" i="7"/>
  <c r="BO94" i="7"/>
  <c r="BN94" i="7"/>
  <c r="BM94" i="7"/>
  <c r="BL94" i="7"/>
  <c r="BJ94" i="7"/>
  <c r="BI94" i="7"/>
  <c r="BH94" i="7"/>
  <c r="BG94" i="7"/>
  <c r="BF94" i="7"/>
  <c r="BE94" i="7"/>
  <c r="BC94" i="7"/>
  <c r="BB94" i="7"/>
  <c r="BA94" i="7"/>
  <c r="AZ94" i="7"/>
  <c r="AY94" i="7"/>
  <c r="AX94" i="7"/>
  <c r="AV94" i="7"/>
  <c r="AU94" i="7"/>
  <c r="AT94" i="7"/>
  <c r="AS94" i="7"/>
  <c r="AR94" i="7"/>
  <c r="AQ94" i="7"/>
  <c r="AO94" i="7"/>
  <c r="AN94" i="7"/>
  <c r="AM94" i="7"/>
  <c r="AL94" i="7"/>
  <c r="AK94" i="7"/>
  <c r="AJ94" i="7"/>
  <c r="AH94" i="7"/>
  <c r="AG94" i="7"/>
  <c r="AF94" i="7"/>
  <c r="AE94" i="7"/>
  <c r="AD94" i="7"/>
  <c r="AC94" i="7"/>
  <c r="AA94" i="7"/>
  <c r="Z94" i="7"/>
  <c r="Y94" i="7"/>
  <c r="X94" i="7"/>
  <c r="W94" i="7"/>
  <c r="V94" i="7"/>
  <c r="T94" i="7"/>
  <c r="S94" i="7"/>
  <c r="R94" i="7"/>
  <c r="Q94" i="7"/>
  <c r="P94" i="7"/>
  <c r="O94" i="7"/>
  <c r="M94" i="7"/>
  <c r="L94" i="7"/>
  <c r="K94" i="7"/>
  <c r="J94" i="7"/>
  <c r="I94" i="7"/>
  <c r="H94" i="7"/>
  <c r="F94" i="7"/>
  <c r="E94" i="7"/>
  <c r="D94" i="7"/>
  <c r="C94" i="7"/>
  <c r="B94" i="7"/>
  <c r="A94" i="7"/>
  <c r="CS93" i="7"/>
  <c r="CR93" i="7"/>
  <c r="CQ93" i="7"/>
  <c r="CP93" i="7"/>
  <c r="CO93" i="7"/>
  <c r="CN93" i="7"/>
  <c r="CL93" i="7"/>
  <c r="CK93" i="7"/>
  <c r="CJ93" i="7"/>
  <c r="CI93" i="7"/>
  <c r="CH93" i="7"/>
  <c r="CG93" i="7"/>
  <c r="CE93" i="7"/>
  <c r="CD93" i="7"/>
  <c r="CC93" i="7"/>
  <c r="CB93" i="7"/>
  <c r="CA93" i="7"/>
  <c r="BZ93" i="7"/>
  <c r="BX93" i="7"/>
  <c r="BW93" i="7"/>
  <c r="BV93" i="7"/>
  <c r="BU93" i="7"/>
  <c r="BT93" i="7"/>
  <c r="BS93" i="7"/>
  <c r="BQ93" i="7"/>
  <c r="BP93" i="7"/>
  <c r="BO93" i="7"/>
  <c r="BN93" i="7"/>
  <c r="BM93" i="7"/>
  <c r="BL93" i="7"/>
  <c r="BJ93" i="7"/>
  <c r="BI93" i="7"/>
  <c r="BH93" i="7"/>
  <c r="BG93" i="7"/>
  <c r="BF93" i="7"/>
  <c r="BE93" i="7"/>
  <c r="BC93" i="7"/>
  <c r="BB93" i="7"/>
  <c r="BA93" i="7"/>
  <c r="AZ93" i="7"/>
  <c r="AY93" i="7"/>
  <c r="AX93" i="7"/>
  <c r="AV93" i="7"/>
  <c r="AU93" i="7"/>
  <c r="AT93" i="7"/>
  <c r="AS93" i="7"/>
  <c r="AR93" i="7"/>
  <c r="AQ93" i="7"/>
  <c r="AO93" i="7"/>
  <c r="AN93" i="7"/>
  <c r="AM93" i="7"/>
  <c r="AL93" i="7"/>
  <c r="AK93" i="7"/>
  <c r="AJ93" i="7"/>
  <c r="AH93" i="7"/>
  <c r="AG93" i="7"/>
  <c r="AF93" i="7"/>
  <c r="AE93" i="7"/>
  <c r="AD93" i="7"/>
  <c r="AC93" i="7"/>
  <c r="AA93" i="7"/>
  <c r="Z93" i="7"/>
  <c r="Y93" i="7"/>
  <c r="X93" i="7"/>
  <c r="W93" i="7"/>
  <c r="V93" i="7"/>
  <c r="T93" i="7"/>
  <c r="S93" i="7"/>
  <c r="R93" i="7"/>
  <c r="Q93" i="7"/>
  <c r="P93" i="7"/>
  <c r="O93" i="7"/>
  <c r="M93" i="7"/>
  <c r="L93" i="7"/>
  <c r="K93" i="7"/>
  <c r="J93" i="7"/>
  <c r="I93" i="7"/>
  <c r="H93" i="7"/>
  <c r="F93" i="7"/>
  <c r="E93" i="7"/>
  <c r="D93" i="7"/>
  <c r="C93" i="7"/>
  <c r="B93" i="7"/>
  <c r="A93" i="7"/>
  <c r="CS92" i="7"/>
  <c r="CR92" i="7"/>
  <c r="CQ92" i="7"/>
  <c r="CP92" i="7"/>
  <c r="CO92" i="7"/>
  <c r="CN92" i="7"/>
  <c r="CL92" i="7"/>
  <c r="CK92" i="7"/>
  <c r="CJ92" i="7"/>
  <c r="CI92" i="7"/>
  <c r="CH92" i="7"/>
  <c r="CG92" i="7"/>
  <c r="CE92" i="7"/>
  <c r="CD92" i="7"/>
  <c r="CC92" i="7"/>
  <c r="CB92" i="7"/>
  <c r="CA92" i="7"/>
  <c r="BZ92" i="7"/>
  <c r="BX92" i="7"/>
  <c r="BW92" i="7"/>
  <c r="BV92" i="7"/>
  <c r="BU92" i="7"/>
  <c r="BT92" i="7"/>
  <c r="BS92" i="7"/>
  <c r="BQ92" i="7"/>
  <c r="BP92" i="7"/>
  <c r="BO92" i="7"/>
  <c r="BN92" i="7"/>
  <c r="BM92" i="7"/>
  <c r="BL92" i="7"/>
  <c r="BJ92" i="7"/>
  <c r="BI92" i="7"/>
  <c r="BH92" i="7"/>
  <c r="BG92" i="7"/>
  <c r="BF92" i="7"/>
  <c r="BE92" i="7"/>
  <c r="BC92" i="7"/>
  <c r="BB92" i="7"/>
  <c r="BA92" i="7"/>
  <c r="AZ92" i="7"/>
  <c r="AY92" i="7"/>
  <c r="AX92" i="7"/>
  <c r="AV92" i="7"/>
  <c r="AU92" i="7"/>
  <c r="AT92" i="7"/>
  <c r="AS92" i="7"/>
  <c r="AR92" i="7"/>
  <c r="AQ92" i="7"/>
  <c r="AO92" i="7"/>
  <c r="AN92" i="7"/>
  <c r="AM92" i="7"/>
  <c r="AL92" i="7"/>
  <c r="AK92" i="7"/>
  <c r="AJ92" i="7"/>
  <c r="AH92" i="7"/>
  <c r="AG92" i="7"/>
  <c r="AF92" i="7"/>
  <c r="AE92" i="7"/>
  <c r="AD92" i="7"/>
  <c r="AC92" i="7"/>
  <c r="AA92" i="7"/>
  <c r="Z92" i="7"/>
  <c r="Y92" i="7"/>
  <c r="X92" i="7"/>
  <c r="W92" i="7"/>
  <c r="V92" i="7"/>
  <c r="T92" i="7"/>
  <c r="S92" i="7"/>
  <c r="R92" i="7"/>
  <c r="Q92" i="7"/>
  <c r="P92" i="7"/>
  <c r="O92" i="7"/>
  <c r="M92" i="7"/>
  <c r="L92" i="7"/>
  <c r="K92" i="7"/>
  <c r="J92" i="7"/>
  <c r="I92" i="7"/>
  <c r="H92" i="7"/>
  <c r="F92" i="7"/>
  <c r="E92" i="7"/>
  <c r="D92" i="7"/>
  <c r="C92" i="7"/>
  <c r="B92" i="7"/>
  <c r="A92" i="7"/>
  <c r="CS91" i="7"/>
  <c r="CR91" i="7"/>
  <c r="CQ91" i="7"/>
  <c r="CP91" i="7"/>
  <c r="CO91" i="7"/>
  <c r="CN91" i="7"/>
  <c r="CL91" i="7"/>
  <c r="CK91" i="7"/>
  <c r="CJ91" i="7"/>
  <c r="CI91" i="7"/>
  <c r="CH91" i="7"/>
  <c r="CG91" i="7"/>
  <c r="CE91" i="7"/>
  <c r="CD91" i="7"/>
  <c r="CC91" i="7"/>
  <c r="CB91" i="7"/>
  <c r="CA91" i="7"/>
  <c r="BZ91" i="7"/>
  <c r="BX91" i="7"/>
  <c r="BW91" i="7"/>
  <c r="BV91" i="7"/>
  <c r="BU91" i="7"/>
  <c r="BT91" i="7"/>
  <c r="BS91" i="7"/>
  <c r="BQ91" i="7"/>
  <c r="BP91" i="7"/>
  <c r="BO91" i="7"/>
  <c r="BN91" i="7"/>
  <c r="BM91" i="7"/>
  <c r="BL91" i="7"/>
  <c r="BJ91" i="7"/>
  <c r="BI91" i="7"/>
  <c r="BH91" i="7"/>
  <c r="BG91" i="7"/>
  <c r="BF91" i="7"/>
  <c r="BE91" i="7"/>
  <c r="BC91" i="7"/>
  <c r="BB91" i="7"/>
  <c r="BA91" i="7"/>
  <c r="AZ91" i="7"/>
  <c r="AY91" i="7"/>
  <c r="AX91" i="7"/>
  <c r="AV91" i="7"/>
  <c r="AU91" i="7"/>
  <c r="AT91" i="7"/>
  <c r="AS91" i="7"/>
  <c r="AR91" i="7"/>
  <c r="AQ91" i="7"/>
  <c r="AO91" i="7"/>
  <c r="AN91" i="7"/>
  <c r="AM91" i="7"/>
  <c r="AL91" i="7"/>
  <c r="AK91" i="7"/>
  <c r="AJ91" i="7"/>
  <c r="AH91" i="7"/>
  <c r="AG91" i="7"/>
  <c r="AF91" i="7"/>
  <c r="AE91" i="7"/>
  <c r="AD91" i="7"/>
  <c r="AC91" i="7"/>
  <c r="AA91" i="7"/>
  <c r="Z91" i="7"/>
  <c r="Y91" i="7"/>
  <c r="X91" i="7"/>
  <c r="W91" i="7"/>
  <c r="V91" i="7"/>
  <c r="T91" i="7"/>
  <c r="S91" i="7"/>
  <c r="R91" i="7"/>
  <c r="Q91" i="7"/>
  <c r="P91" i="7"/>
  <c r="O91" i="7"/>
  <c r="M91" i="7"/>
  <c r="L91" i="7"/>
  <c r="K91" i="7"/>
  <c r="J91" i="7"/>
  <c r="I91" i="7"/>
  <c r="H91" i="7"/>
  <c r="F91" i="7"/>
  <c r="E91" i="7"/>
  <c r="D91" i="7"/>
  <c r="C91" i="7"/>
  <c r="B91" i="7"/>
  <c r="A91" i="7"/>
  <c r="CS90" i="7"/>
  <c r="CR90" i="7"/>
  <c r="CQ90" i="7"/>
  <c r="CP90" i="7"/>
  <c r="CO90" i="7"/>
  <c r="CN90" i="7"/>
  <c r="CL90" i="7"/>
  <c r="CK90" i="7"/>
  <c r="CJ90" i="7"/>
  <c r="CI90" i="7"/>
  <c r="CH90" i="7"/>
  <c r="CG90" i="7"/>
  <c r="CE90" i="7"/>
  <c r="CD90" i="7"/>
  <c r="CC90" i="7"/>
  <c r="CB90" i="7"/>
  <c r="CA90" i="7"/>
  <c r="BZ90" i="7"/>
  <c r="BX90" i="7"/>
  <c r="BW90" i="7"/>
  <c r="BV90" i="7"/>
  <c r="BU90" i="7"/>
  <c r="BT90" i="7"/>
  <c r="BS90" i="7"/>
  <c r="BQ90" i="7"/>
  <c r="BP90" i="7"/>
  <c r="BO90" i="7"/>
  <c r="BN90" i="7"/>
  <c r="BM90" i="7"/>
  <c r="BL90" i="7"/>
  <c r="BJ90" i="7"/>
  <c r="BI90" i="7"/>
  <c r="BH90" i="7"/>
  <c r="BG90" i="7"/>
  <c r="BF90" i="7"/>
  <c r="BE90" i="7"/>
  <c r="BC90" i="7"/>
  <c r="BB90" i="7"/>
  <c r="BA90" i="7"/>
  <c r="AZ90" i="7"/>
  <c r="AY90" i="7"/>
  <c r="AX90" i="7"/>
  <c r="AV90" i="7"/>
  <c r="AU90" i="7"/>
  <c r="AT90" i="7"/>
  <c r="AS90" i="7"/>
  <c r="AR90" i="7"/>
  <c r="AQ90" i="7"/>
  <c r="AO90" i="7"/>
  <c r="AN90" i="7"/>
  <c r="AM90" i="7"/>
  <c r="AL90" i="7"/>
  <c r="AK90" i="7"/>
  <c r="AJ90" i="7"/>
  <c r="AH90" i="7"/>
  <c r="AG90" i="7"/>
  <c r="AF90" i="7"/>
  <c r="AE90" i="7"/>
  <c r="AD90" i="7"/>
  <c r="AC90" i="7"/>
  <c r="AA90" i="7"/>
  <c r="Z90" i="7"/>
  <c r="Y90" i="7"/>
  <c r="X90" i="7"/>
  <c r="W90" i="7"/>
  <c r="V90" i="7"/>
  <c r="T90" i="7"/>
  <c r="S90" i="7"/>
  <c r="R90" i="7"/>
  <c r="Q90" i="7"/>
  <c r="P90" i="7"/>
  <c r="O90" i="7"/>
  <c r="M90" i="7"/>
  <c r="L90" i="7"/>
  <c r="K90" i="7"/>
  <c r="J90" i="7"/>
  <c r="I90" i="7"/>
  <c r="H90" i="7"/>
  <c r="F90" i="7"/>
  <c r="E90" i="7"/>
  <c r="D90" i="7"/>
  <c r="C90" i="7"/>
  <c r="B90" i="7"/>
  <c r="A90" i="7"/>
  <c r="CS89" i="7"/>
  <c r="CR89" i="7"/>
  <c r="CQ89" i="7"/>
  <c r="CP89" i="7"/>
  <c r="CO89" i="7"/>
  <c r="CN89" i="7"/>
  <c r="CL89" i="7"/>
  <c r="CK89" i="7"/>
  <c r="CJ89" i="7"/>
  <c r="CI89" i="7"/>
  <c r="CH89" i="7"/>
  <c r="CG89" i="7"/>
  <c r="CE89" i="7"/>
  <c r="CD89" i="7"/>
  <c r="CC89" i="7"/>
  <c r="CB89" i="7"/>
  <c r="CA89" i="7"/>
  <c r="BZ89" i="7"/>
  <c r="BX89" i="7"/>
  <c r="BW89" i="7"/>
  <c r="BV89" i="7"/>
  <c r="BU89" i="7"/>
  <c r="BT89" i="7"/>
  <c r="BS89" i="7"/>
  <c r="BQ89" i="7"/>
  <c r="BP89" i="7"/>
  <c r="BO89" i="7"/>
  <c r="BN89" i="7"/>
  <c r="BM89" i="7"/>
  <c r="BL89" i="7"/>
  <c r="BJ89" i="7"/>
  <c r="BI89" i="7"/>
  <c r="BH89" i="7"/>
  <c r="BG89" i="7"/>
  <c r="BF89" i="7"/>
  <c r="BE89" i="7"/>
  <c r="BC89" i="7"/>
  <c r="BB89" i="7"/>
  <c r="BA89" i="7"/>
  <c r="AZ89" i="7"/>
  <c r="AY89" i="7"/>
  <c r="AX89" i="7"/>
  <c r="AV89" i="7"/>
  <c r="AU89" i="7"/>
  <c r="AT89" i="7"/>
  <c r="AS89" i="7"/>
  <c r="AR89" i="7"/>
  <c r="AQ89" i="7"/>
  <c r="AO89" i="7"/>
  <c r="AN89" i="7"/>
  <c r="AM89" i="7"/>
  <c r="AL89" i="7"/>
  <c r="AK89" i="7"/>
  <c r="AJ89" i="7"/>
  <c r="AH89" i="7"/>
  <c r="AG89" i="7"/>
  <c r="AF89" i="7"/>
  <c r="AE89" i="7"/>
  <c r="AD89" i="7"/>
  <c r="AC89" i="7"/>
  <c r="AA89" i="7"/>
  <c r="Z89" i="7"/>
  <c r="Y89" i="7"/>
  <c r="X89" i="7"/>
  <c r="W89" i="7"/>
  <c r="V89" i="7"/>
  <c r="T89" i="7"/>
  <c r="S89" i="7"/>
  <c r="R89" i="7"/>
  <c r="Q89" i="7"/>
  <c r="P89" i="7"/>
  <c r="O89" i="7"/>
  <c r="M89" i="7"/>
  <c r="L89" i="7"/>
  <c r="K89" i="7"/>
  <c r="J89" i="7"/>
  <c r="I89" i="7"/>
  <c r="H89" i="7"/>
  <c r="F89" i="7"/>
  <c r="E89" i="7"/>
  <c r="D89" i="7"/>
  <c r="C89" i="7"/>
  <c r="B89" i="7"/>
  <c r="A89" i="7"/>
  <c r="CS88" i="7"/>
  <c r="CR88" i="7"/>
  <c r="CQ88" i="7"/>
  <c r="CP88" i="7"/>
  <c r="CO88" i="7"/>
  <c r="CN88" i="7"/>
  <c r="CL88" i="7"/>
  <c r="CK88" i="7"/>
  <c r="CJ88" i="7"/>
  <c r="CI88" i="7"/>
  <c r="CH88" i="7"/>
  <c r="CG88" i="7"/>
  <c r="CE88" i="7"/>
  <c r="CD88" i="7"/>
  <c r="CC88" i="7"/>
  <c r="CB88" i="7"/>
  <c r="CA88" i="7"/>
  <c r="BZ88" i="7"/>
  <c r="BX88" i="7"/>
  <c r="BW88" i="7"/>
  <c r="BV88" i="7"/>
  <c r="BU88" i="7"/>
  <c r="BT88" i="7"/>
  <c r="BS88" i="7"/>
  <c r="BQ88" i="7"/>
  <c r="BP88" i="7"/>
  <c r="BO88" i="7"/>
  <c r="BN88" i="7"/>
  <c r="BM88" i="7"/>
  <c r="BL88" i="7"/>
  <c r="BJ88" i="7"/>
  <c r="BI88" i="7"/>
  <c r="BH88" i="7"/>
  <c r="BG88" i="7"/>
  <c r="BF88" i="7"/>
  <c r="BE88" i="7"/>
  <c r="BC88" i="7"/>
  <c r="BB88" i="7"/>
  <c r="BA88" i="7"/>
  <c r="AZ88" i="7"/>
  <c r="AY88" i="7"/>
  <c r="AX88" i="7"/>
  <c r="AV88" i="7"/>
  <c r="AU88" i="7"/>
  <c r="AT88" i="7"/>
  <c r="AS88" i="7"/>
  <c r="AR88" i="7"/>
  <c r="AQ88" i="7"/>
  <c r="AO88" i="7"/>
  <c r="AN88" i="7"/>
  <c r="AM88" i="7"/>
  <c r="AL88" i="7"/>
  <c r="AK88" i="7"/>
  <c r="AJ88" i="7"/>
  <c r="AH88" i="7"/>
  <c r="AG88" i="7"/>
  <c r="AF88" i="7"/>
  <c r="AE88" i="7"/>
  <c r="AD88" i="7"/>
  <c r="AC88" i="7"/>
  <c r="AA88" i="7"/>
  <c r="Z88" i="7"/>
  <c r="Y88" i="7"/>
  <c r="X88" i="7"/>
  <c r="W88" i="7"/>
  <c r="V88" i="7"/>
  <c r="T88" i="7"/>
  <c r="S88" i="7"/>
  <c r="R88" i="7"/>
  <c r="Q88" i="7"/>
  <c r="P88" i="7"/>
  <c r="O88" i="7"/>
  <c r="M88" i="7"/>
  <c r="L88" i="7"/>
  <c r="K88" i="7"/>
  <c r="J88" i="7"/>
  <c r="I88" i="7"/>
  <c r="H88" i="7"/>
  <c r="F88" i="7"/>
  <c r="E88" i="7"/>
  <c r="D88" i="7"/>
  <c r="C88" i="7"/>
  <c r="B88" i="7"/>
  <c r="A88" i="7"/>
  <c r="CS87" i="7"/>
  <c r="CR87" i="7"/>
  <c r="CQ87" i="7"/>
  <c r="CP87" i="7"/>
  <c r="CO87" i="7"/>
  <c r="CN87" i="7"/>
  <c r="CL87" i="7"/>
  <c r="CK87" i="7"/>
  <c r="CJ87" i="7"/>
  <c r="CI87" i="7"/>
  <c r="CH87" i="7"/>
  <c r="CG87" i="7"/>
  <c r="CE87" i="7"/>
  <c r="CD87" i="7"/>
  <c r="CC87" i="7"/>
  <c r="CB87" i="7"/>
  <c r="CA87" i="7"/>
  <c r="BZ87" i="7"/>
  <c r="BX87" i="7"/>
  <c r="BW87" i="7"/>
  <c r="BV87" i="7"/>
  <c r="BU87" i="7"/>
  <c r="BT87" i="7"/>
  <c r="BS87" i="7"/>
  <c r="BQ87" i="7"/>
  <c r="BP87" i="7"/>
  <c r="BO87" i="7"/>
  <c r="BN87" i="7"/>
  <c r="BM87" i="7"/>
  <c r="BL87" i="7"/>
  <c r="BJ87" i="7"/>
  <c r="BI87" i="7"/>
  <c r="BH87" i="7"/>
  <c r="BG87" i="7"/>
  <c r="BF87" i="7"/>
  <c r="BE87" i="7"/>
  <c r="BC87" i="7"/>
  <c r="BB87" i="7"/>
  <c r="BA87" i="7"/>
  <c r="AZ87" i="7"/>
  <c r="AY87" i="7"/>
  <c r="AX87" i="7"/>
  <c r="AV87" i="7"/>
  <c r="AU87" i="7"/>
  <c r="AT87" i="7"/>
  <c r="AS87" i="7"/>
  <c r="AR87" i="7"/>
  <c r="AQ87" i="7"/>
  <c r="AO87" i="7"/>
  <c r="AN87" i="7"/>
  <c r="AM87" i="7"/>
  <c r="AL87" i="7"/>
  <c r="AK87" i="7"/>
  <c r="AJ87" i="7"/>
  <c r="AH87" i="7"/>
  <c r="AG87" i="7"/>
  <c r="AF87" i="7"/>
  <c r="AE87" i="7"/>
  <c r="AD87" i="7"/>
  <c r="AC87" i="7"/>
  <c r="AA87" i="7"/>
  <c r="Z87" i="7"/>
  <c r="Y87" i="7"/>
  <c r="X87" i="7"/>
  <c r="W87" i="7"/>
  <c r="V87" i="7"/>
  <c r="T87" i="7"/>
  <c r="S87" i="7"/>
  <c r="R87" i="7"/>
  <c r="Q87" i="7"/>
  <c r="P87" i="7"/>
  <c r="O87" i="7"/>
  <c r="M87" i="7"/>
  <c r="L87" i="7"/>
  <c r="K87" i="7"/>
  <c r="J87" i="7"/>
  <c r="I87" i="7"/>
  <c r="H87" i="7"/>
  <c r="F87" i="7"/>
  <c r="E87" i="7"/>
  <c r="D87" i="7"/>
  <c r="C87" i="7"/>
  <c r="B87" i="7"/>
  <c r="A87" i="7"/>
  <c r="CS86" i="7"/>
  <c r="CR86" i="7"/>
  <c r="CQ86" i="7"/>
  <c r="CP86" i="7"/>
  <c r="CO86" i="7"/>
  <c r="CN86" i="7"/>
  <c r="CL86" i="7"/>
  <c r="CK86" i="7"/>
  <c r="CJ86" i="7"/>
  <c r="CI86" i="7"/>
  <c r="CH86" i="7"/>
  <c r="CG86" i="7"/>
  <c r="CE86" i="7"/>
  <c r="CD86" i="7"/>
  <c r="CC86" i="7"/>
  <c r="CB86" i="7"/>
  <c r="CA86" i="7"/>
  <c r="BZ86" i="7"/>
  <c r="BX86" i="7"/>
  <c r="BW86" i="7"/>
  <c r="BV86" i="7"/>
  <c r="BU86" i="7"/>
  <c r="BT86" i="7"/>
  <c r="BS86" i="7"/>
  <c r="BQ86" i="7"/>
  <c r="BP86" i="7"/>
  <c r="BO86" i="7"/>
  <c r="BN86" i="7"/>
  <c r="BM86" i="7"/>
  <c r="BL86" i="7"/>
  <c r="BJ86" i="7"/>
  <c r="BI86" i="7"/>
  <c r="BH86" i="7"/>
  <c r="BG86" i="7"/>
  <c r="BF86" i="7"/>
  <c r="BE86" i="7"/>
  <c r="BC86" i="7"/>
  <c r="BB86" i="7"/>
  <c r="BA86" i="7"/>
  <c r="AZ86" i="7"/>
  <c r="AY86" i="7"/>
  <c r="AX86" i="7"/>
  <c r="AV86" i="7"/>
  <c r="AU86" i="7"/>
  <c r="AT86" i="7"/>
  <c r="AS86" i="7"/>
  <c r="AR86" i="7"/>
  <c r="AQ86" i="7"/>
  <c r="AO86" i="7"/>
  <c r="AN86" i="7"/>
  <c r="AM86" i="7"/>
  <c r="AL86" i="7"/>
  <c r="AK86" i="7"/>
  <c r="AJ86" i="7"/>
  <c r="AH86" i="7"/>
  <c r="AG86" i="7"/>
  <c r="AF86" i="7"/>
  <c r="AE86" i="7"/>
  <c r="AD86" i="7"/>
  <c r="AC86" i="7"/>
  <c r="AA86" i="7"/>
  <c r="Z86" i="7"/>
  <c r="Y86" i="7"/>
  <c r="X86" i="7"/>
  <c r="W86" i="7"/>
  <c r="V86" i="7"/>
  <c r="T86" i="7"/>
  <c r="S86" i="7"/>
  <c r="R86" i="7"/>
  <c r="Q86" i="7"/>
  <c r="P86" i="7"/>
  <c r="O86" i="7"/>
  <c r="M86" i="7"/>
  <c r="L86" i="7"/>
  <c r="K86" i="7"/>
  <c r="J86" i="7"/>
  <c r="I86" i="7"/>
  <c r="H86" i="7"/>
  <c r="F86" i="7"/>
  <c r="E86" i="7"/>
  <c r="D86" i="7"/>
  <c r="C86" i="7"/>
  <c r="B86" i="7"/>
  <c r="A86" i="7"/>
  <c r="CS85" i="7"/>
  <c r="CR85" i="7"/>
  <c r="CQ85" i="7"/>
  <c r="CP85" i="7"/>
  <c r="CO85" i="7"/>
  <c r="CN85" i="7"/>
  <c r="CL85" i="7"/>
  <c r="CK85" i="7"/>
  <c r="CJ85" i="7"/>
  <c r="CI85" i="7"/>
  <c r="CH85" i="7"/>
  <c r="CG85" i="7"/>
  <c r="CE85" i="7"/>
  <c r="CD85" i="7"/>
  <c r="CC85" i="7"/>
  <c r="CB85" i="7"/>
  <c r="CA85" i="7"/>
  <c r="BZ85" i="7"/>
  <c r="BX85" i="7"/>
  <c r="BW85" i="7"/>
  <c r="BV85" i="7"/>
  <c r="BU85" i="7"/>
  <c r="BT85" i="7"/>
  <c r="BS85" i="7"/>
  <c r="BQ85" i="7"/>
  <c r="BP85" i="7"/>
  <c r="BO85" i="7"/>
  <c r="BN85" i="7"/>
  <c r="BM85" i="7"/>
  <c r="BL85" i="7"/>
  <c r="BJ85" i="7"/>
  <c r="BI85" i="7"/>
  <c r="BH85" i="7"/>
  <c r="BG85" i="7"/>
  <c r="BF85" i="7"/>
  <c r="BE85" i="7"/>
  <c r="BC85" i="7"/>
  <c r="BB85" i="7"/>
  <c r="BA85" i="7"/>
  <c r="AZ85" i="7"/>
  <c r="AY85" i="7"/>
  <c r="AX85" i="7"/>
  <c r="AV85" i="7"/>
  <c r="AU85" i="7"/>
  <c r="AT85" i="7"/>
  <c r="AS85" i="7"/>
  <c r="AR85" i="7"/>
  <c r="AQ85" i="7"/>
  <c r="AO85" i="7"/>
  <c r="AN85" i="7"/>
  <c r="AM85" i="7"/>
  <c r="AL85" i="7"/>
  <c r="AK85" i="7"/>
  <c r="AJ85" i="7"/>
  <c r="AH85" i="7"/>
  <c r="AG85" i="7"/>
  <c r="AF85" i="7"/>
  <c r="AE85" i="7"/>
  <c r="AD85" i="7"/>
  <c r="AC85" i="7"/>
  <c r="AA85" i="7"/>
  <c r="Z85" i="7"/>
  <c r="Y85" i="7"/>
  <c r="X85" i="7"/>
  <c r="W85" i="7"/>
  <c r="V85" i="7"/>
  <c r="T85" i="7"/>
  <c r="S85" i="7"/>
  <c r="R85" i="7"/>
  <c r="Q85" i="7"/>
  <c r="P85" i="7"/>
  <c r="O85" i="7"/>
  <c r="M85" i="7"/>
  <c r="L85" i="7"/>
  <c r="K85" i="7"/>
  <c r="J85" i="7"/>
  <c r="I85" i="7"/>
  <c r="H85" i="7"/>
  <c r="F85" i="7"/>
  <c r="E85" i="7"/>
  <c r="D85" i="7"/>
  <c r="C85" i="7"/>
  <c r="B85" i="7"/>
  <c r="A85" i="7"/>
  <c r="CS84" i="7"/>
  <c r="CR84" i="7"/>
  <c r="CQ84" i="7"/>
  <c r="CP84" i="7"/>
  <c r="CO84" i="7"/>
  <c r="CN84" i="7"/>
  <c r="CL84" i="7"/>
  <c r="CK84" i="7"/>
  <c r="CJ84" i="7"/>
  <c r="CI84" i="7"/>
  <c r="CH84" i="7"/>
  <c r="CG84" i="7"/>
  <c r="CE84" i="7"/>
  <c r="CD84" i="7"/>
  <c r="CC84" i="7"/>
  <c r="CB84" i="7"/>
  <c r="CA84" i="7"/>
  <c r="BZ84" i="7"/>
  <c r="BX84" i="7"/>
  <c r="BW84" i="7"/>
  <c r="BV84" i="7"/>
  <c r="BU84" i="7"/>
  <c r="BT84" i="7"/>
  <c r="BS84" i="7"/>
  <c r="BQ84" i="7"/>
  <c r="BP84" i="7"/>
  <c r="BO84" i="7"/>
  <c r="BN84" i="7"/>
  <c r="BM84" i="7"/>
  <c r="BL84" i="7"/>
  <c r="BJ84" i="7"/>
  <c r="BI84" i="7"/>
  <c r="BH84" i="7"/>
  <c r="BG84" i="7"/>
  <c r="BF84" i="7"/>
  <c r="BE84" i="7"/>
  <c r="BC84" i="7"/>
  <c r="BB84" i="7"/>
  <c r="BA84" i="7"/>
  <c r="AZ84" i="7"/>
  <c r="AY84" i="7"/>
  <c r="AX84" i="7"/>
  <c r="AV84" i="7"/>
  <c r="AU84" i="7"/>
  <c r="AT84" i="7"/>
  <c r="AS84" i="7"/>
  <c r="AR84" i="7"/>
  <c r="AQ84" i="7"/>
  <c r="AO84" i="7"/>
  <c r="AN84" i="7"/>
  <c r="AM84" i="7"/>
  <c r="AL84" i="7"/>
  <c r="AK84" i="7"/>
  <c r="AJ84" i="7"/>
  <c r="AH84" i="7"/>
  <c r="AG84" i="7"/>
  <c r="AF84" i="7"/>
  <c r="AE84" i="7"/>
  <c r="AD84" i="7"/>
  <c r="AC84" i="7"/>
  <c r="AA84" i="7"/>
  <c r="Z84" i="7"/>
  <c r="Y84" i="7"/>
  <c r="X84" i="7"/>
  <c r="W84" i="7"/>
  <c r="V84" i="7"/>
  <c r="T84" i="7"/>
  <c r="S84" i="7"/>
  <c r="R84" i="7"/>
  <c r="Q84" i="7"/>
  <c r="P84" i="7"/>
  <c r="O84" i="7"/>
  <c r="M84" i="7"/>
  <c r="L84" i="7"/>
  <c r="K84" i="7"/>
  <c r="J84" i="7"/>
  <c r="I84" i="7"/>
  <c r="H84" i="7"/>
  <c r="F84" i="7"/>
  <c r="E84" i="7"/>
  <c r="D84" i="7"/>
  <c r="C84" i="7"/>
  <c r="B84" i="7"/>
  <c r="A84" i="7"/>
  <c r="CS83" i="7"/>
  <c r="CR83" i="7"/>
  <c r="CQ83" i="7"/>
  <c r="CP83" i="7"/>
  <c r="CO83" i="7"/>
  <c r="CN83" i="7"/>
  <c r="CL83" i="7"/>
  <c r="CK83" i="7"/>
  <c r="CJ83" i="7"/>
  <c r="CI83" i="7"/>
  <c r="CH83" i="7"/>
  <c r="CG83" i="7"/>
  <c r="CE83" i="7"/>
  <c r="CD83" i="7"/>
  <c r="CC83" i="7"/>
  <c r="CB83" i="7"/>
  <c r="CA83" i="7"/>
  <c r="BZ83" i="7"/>
  <c r="BX83" i="7"/>
  <c r="BW83" i="7"/>
  <c r="BV83" i="7"/>
  <c r="BU83" i="7"/>
  <c r="BT83" i="7"/>
  <c r="BS83" i="7"/>
  <c r="BQ83" i="7"/>
  <c r="BP83" i="7"/>
  <c r="BO83" i="7"/>
  <c r="BN83" i="7"/>
  <c r="BM83" i="7"/>
  <c r="BL83" i="7"/>
  <c r="BJ83" i="7"/>
  <c r="BI83" i="7"/>
  <c r="BH83" i="7"/>
  <c r="BG83" i="7"/>
  <c r="BF83" i="7"/>
  <c r="BE83" i="7"/>
  <c r="BC83" i="7"/>
  <c r="BB83" i="7"/>
  <c r="BA83" i="7"/>
  <c r="AZ83" i="7"/>
  <c r="AY83" i="7"/>
  <c r="AX83" i="7"/>
  <c r="AV83" i="7"/>
  <c r="AU83" i="7"/>
  <c r="AT83" i="7"/>
  <c r="AS83" i="7"/>
  <c r="AR83" i="7"/>
  <c r="AQ83" i="7"/>
  <c r="AO83" i="7"/>
  <c r="AN83" i="7"/>
  <c r="AM83" i="7"/>
  <c r="AL83" i="7"/>
  <c r="AK83" i="7"/>
  <c r="AJ83" i="7"/>
  <c r="AH83" i="7"/>
  <c r="AG83" i="7"/>
  <c r="AF83" i="7"/>
  <c r="AE83" i="7"/>
  <c r="AD83" i="7"/>
  <c r="AC83" i="7"/>
  <c r="AA83" i="7"/>
  <c r="Z83" i="7"/>
  <c r="Y83" i="7"/>
  <c r="X83" i="7"/>
  <c r="W83" i="7"/>
  <c r="V83" i="7"/>
  <c r="T83" i="7"/>
  <c r="S83" i="7"/>
  <c r="R83" i="7"/>
  <c r="Q83" i="7"/>
  <c r="P83" i="7"/>
  <c r="O83" i="7"/>
  <c r="M83" i="7"/>
  <c r="L83" i="7"/>
  <c r="K83" i="7"/>
  <c r="J83" i="7"/>
  <c r="I83" i="7"/>
  <c r="H83" i="7"/>
  <c r="F83" i="7"/>
  <c r="E83" i="7"/>
  <c r="D83" i="7"/>
  <c r="C83" i="7"/>
  <c r="B83" i="7"/>
  <c r="A83" i="7"/>
  <c r="CS82" i="7"/>
  <c r="CR82" i="7"/>
  <c r="CQ82" i="7"/>
  <c r="CP82" i="7"/>
  <c r="CO82" i="7"/>
  <c r="CN82" i="7"/>
  <c r="CL82" i="7"/>
  <c r="CK82" i="7"/>
  <c r="CJ82" i="7"/>
  <c r="CI82" i="7"/>
  <c r="CH82" i="7"/>
  <c r="CG82" i="7"/>
  <c r="CE82" i="7"/>
  <c r="CD82" i="7"/>
  <c r="CC82" i="7"/>
  <c r="CB82" i="7"/>
  <c r="CA82" i="7"/>
  <c r="BZ82" i="7"/>
  <c r="BX82" i="7"/>
  <c r="BW82" i="7"/>
  <c r="BV82" i="7"/>
  <c r="BU82" i="7"/>
  <c r="BT82" i="7"/>
  <c r="BS82" i="7"/>
  <c r="BQ82" i="7"/>
  <c r="BP82" i="7"/>
  <c r="BO82" i="7"/>
  <c r="BN82" i="7"/>
  <c r="BM82" i="7"/>
  <c r="BL82" i="7"/>
  <c r="BJ82" i="7"/>
  <c r="BI82" i="7"/>
  <c r="BH82" i="7"/>
  <c r="BG82" i="7"/>
  <c r="BF82" i="7"/>
  <c r="BE82" i="7"/>
  <c r="BC82" i="7"/>
  <c r="BB82" i="7"/>
  <c r="BA82" i="7"/>
  <c r="AZ82" i="7"/>
  <c r="AY82" i="7"/>
  <c r="AX82" i="7"/>
  <c r="AV82" i="7"/>
  <c r="AU82" i="7"/>
  <c r="AT82" i="7"/>
  <c r="AS82" i="7"/>
  <c r="AR82" i="7"/>
  <c r="AQ82" i="7"/>
  <c r="AO82" i="7"/>
  <c r="AN82" i="7"/>
  <c r="AM82" i="7"/>
  <c r="AL82" i="7"/>
  <c r="AK82" i="7"/>
  <c r="AJ82" i="7"/>
  <c r="AH82" i="7"/>
  <c r="AG82" i="7"/>
  <c r="AF82" i="7"/>
  <c r="AE82" i="7"/>
  <c r="AD82" i="7"/>
  <c r="AC82" i="7"/>
  <c r="AA82" i="7"/>
  <c r="Z82" i="7"/>
  <c r="Y82" i="7"/>
  <c r="X82" i="7"/>
  <c r="W82" i="7"/>
  <c r="V82" i="7"/>
  <c r="T82" i="7"/>
  <c r="S82" i="7"/>
  <c r="R82" i="7"/>
  <c r="Q82" i="7"/>
  <c r="P82" i="7"/>
  <c r="O82" i="7"/>
  <c r="M82" i="7"/>
  <c r="L82" i="7"/>
  <c r="K82" i="7"/>
  <c r="J82" i="7"/>
  <c r="I82" i="7"/>
  <c r="H82" i="7"/>
  <c r="F82" i="7"/>
  <c r="E82" i="7"/>
  <c r="D82" i="7"/>
  <c r="C82" i="7"/>
  <c r="B82" i="7"/>
  <c r="A82" i="7"/>
  <c r="CS81" i="7"/>
  <c r="CR81" i="7"/>
  <c r="CQ81" i="7"/>
  <c r="CP81" i="7"/>
  <c r="CO81" i="7"/>
  <c r="CN81" i="7"/>
  <c r="CL81" i="7"/>
  <c r="CK81" i="7"/>
  <c r="CJ81" i="7"/>
  <c r="CI81" i="7"/>
  <c r="CH81" i="7"/>
  <c r="CG81" i="7"/>
  <c r="CE81" i="7"/>
  <c r="CD81" i="7"/>
  <c r="CC81" i="7"/>
  <c r="CB81" i="7"/>
  <c r="CA81" i="7"/>
  <c r="BZ81" i="7"/>
  <c r="BX81" i="7"/>
  <c r="BW81" i="7"/>
  <c r="BV81" i="7"/>
  <c r="BU81" i="7"/>
  <c r="BT81" i="7"/>
  <c r="BS81" i="7"/>
  <c r="BQ81" i="7"/>
  <c r="BP81" i="7"/>
  <c r="BO81" i="7"/>
  <c r="BN81" i="7"/>
  <c r="BM81" i="7"/>
  <c r="BL81" i="7"/>
  <c r="BJ81" i="7"/>
  <c r="BI81" i="7"/>
  <c r="BH81" i="7"/>
  <c r="BG81" i="7"/>
  <c r="BF81" i="7"/>
  <c r="BE81" i="7"/>
  <c r="BC81" i="7"/>
  <c r="BB81" i="7"/>
  <c r="BA81" i="7"/>
  <c r="AZ81" i="7"/>
  <c r="AY81" i="7"/>
  <c r="AX81" i="7"/>
  <c r="AV81" i="7"/>
  <c r="AU81" i="7"/>
  <c r="AT81" i="7"/>
  <c r="AS81" i="7"/>
  <c r="AR81" i="7"/>
  <c r="AQ81" i="7"/>
  <c r="AO81" i="7"/>
  <c r="AN81" i="7"/>
  <c r="AM81" i="7"/>
  <c r="AL81" i="7"/>
  <c r="AK81" i="7"/>
  <c r="AJ81" i="7"/>
  <c r="AH81" i="7"/>
  <c r="AG81" i="7"/>
  <c r="AF81" i="7"/>
  <c r="AE81" i="7"/>
  <c r="AD81" i="7"/>
  <c r="AC81" i="7"/>
  <c r="AA81" i="7"/>
  <c r="Z81" i="7"/>
  <c r="Y81" i="7"/>
  <c r="X81" i="7"/>
  <c r="W81" i="7"/>
  <c r="V81" i="7"/>
  <c r="T81" i="7"/>
  <c r="S81" i="7"/>
  <c r="R81" i="7"/>
  <c r="Q81" i="7"/>
  <c r="P81" i="7"/>
  <c r="O81" i="7"/>
  <c r="M81" i="7"/>
  <c r="L81" i="7"/>
  <c r="K81" i="7"/>
  <c r="J81" i="7"/>
  <c r="I81" i="7"/>
  <c r="H81" i="7"/>
  <c r="F81" i="7"/>
  <c r="E81" i="7"/>
  <c r="D81" i="7"/>
  <c r="C81" i="7"/>
  <c r="B81" i="7"/>
  <c r="A81" i="7"/>
  <c r="CS80" i="7"/>
  <c r="CR80" i="7"/>
  <c r="CQ80" i="7"/>
  <c r="CP80" i="7"/>
  <c r="CO80" i="7"/>
  <c r="CN80" i="7"/>
  <c r="CL80" i="7"/>
  <c r="CK80" i="7"/>
  <c r="CJ80" i="7"/>
  <c r="CI80" i="7"/>
  <c r="CH80" i="7"/>
  <c r="CG80" i="7"/>
  <c r="CE80" i="7"/>
  <c r="CD80" i="7"/>
  <c r="CC80" i="7"/>
  <c r="CB80" i="7"/>
  <c r="CA80" i="7"/>
  <c r="BZ80" i="7"/>
  <c r="BX80" i="7"/>
  <c r="BW80" i="7"/>
  <c r="BV80" i="7"/>
  <c r="BU80" i="7"/>
  <c r="BT80" i="7"/>
  <c r="BS80" i="7"/>
  <c r="BQ80" i="7"/>
  <c r="BP80" i="7"/>
  <c r="BO80" i="7"/>
  <c r="BN80" i="7"/>
  <c r="BM80" i="7"/>
  <c r="BL80" i="7"/>
  <c r="BJ80" i="7"/>
  <c r="BI80" i="7"/>
  <c r="BH80" i="7"/>
  <c r="BG80" i="7"/>
  <c r="BF80" i="7"/>
  <c r="BE80" i="7"/>
  <c r="BC80" i="7"/>
  <c r="BB80" i="7"/>
  <c r="BA80" i="7"/>
  <c r="AZ80" i="7"/>
  <c r="AY80" i="7"/>
  <c r="AX80" i="7"/>
  <c r="AV80" i="7"/>
  <c r="AU80" i="7"/>
  <c r="AT80" i="7"/>
  <c r="AS80" i="7"/>
  <c r="AR80" i="7"/>
  <c r="AQ80" i="7"/>
  <c r="AO80" i="7"/>
  <c r="AN80" i="7"/>
  <c r="AM80" i="7"/>
  <c r="AL80" i="7"/>
  <c r="AK80" i="7"/>
  <c r="AJ80" i="7"/>
  <c r="AH80" i="7"/>
  <c r="AG80" i="7"/>
  <c r="AF80" i="7"/>
  <c r="AE80" i="7"/>
  <c r="AD80" i="7"/>
  <c r="AC80" i="7"/>
  <c r="AA80" i="7"/>
  <c r="Z80" i="7"/>
  <c r="Y80" i="7"/>
  <c r="X80" i="7"/>
  <c r="W80" i="7"/>
  <c r="V80" i="7"/>
  <c r="T80" i="7"/>
  <c r="S80" i="7"/>
  <c r="R80" i="7"/>
  <c r="Q80" i="7"/>
  <c r="P80" i="7"/>
  <c r="O80" i="7"/>
  <c r="M80" i="7"/>
  <c r="L80" i="7"/>
  <c r="K80" i="7"/>
  <c r="J80" i="7"/>
  <c r="I80" i="7"/>
  <c r="H80" i="7"/>
  <c r="F80" i="7"/>
  <c r="E80" i="7"/>
  <c r="D80" i="7"/>
  <c r="C80" i="7"/>
  <c r="B80" i="7"/>
  <c r="A80" i="7"/>
  <c r="CS79" i="7"/>
  <c r="CR79" i="7"/>
  <c r="CQ79" i="7"/>
  <c r="CP79" i="7"/>
  <c r="CO79" i="7"/>
  <c r="CN79" i="7"/>
  <c r="CL79" i="7"/>
  <c r="CK79" i="7"/>
  <c r="CJ79" i="7"/>
  <c r="CI79" i="7"/>
  <c r="CH79" i="7"/>
  <c r="CG79" i="7"/>
  <c r="CE79" i="7"/>
  <c r="CD79" i="7"/>
  <c r="CC79" i="7"/>
  <c r="CB79" i="7"/>
  <c r="CA79" i="7"/>
  <c r="BZ79" i="7"/>
  <c r="BX79" i="7"/>
  <c r="BW79" i="7"/>
  <c r="BV79" i="7"/>
  <c r="BU79" i="7"/>
  <c r="BT79" i="7"/>
  <c r="BS79" i="7"/>
  <c r="BQ79" i="7"/>
  <c r="BP79" i="7"/>
  <c r="BO79" i="7"/>
  <c r="BN79" i="7"/>
  <c r="BM79" i="7"/>
  <c r="BL79" i="7"/>
  <c r="BJ79" i="7"/>
  <c r="BI79" i="7"/>
  <c r="BH79" i="7"/>
  <c r="BG79" i="7"/>
  <c r="BF79" i="7"/>
  <c r="BE79" i="7"/>
  <c r="BC79" i="7"/>
  <c r="BB79" i="7"/>
  <c r="BA79" i="7"/>
  <c r="AZ79" i="7"/>
  <c r="AY79" i="7"/>
  <c r="AX79" i="7"/>
  <c r="AV79" i="7"/>
  <c r="AU79" i="7"/>
  <c r="AT79" i="7"/>
  <c r="AS79" i="7"/>
  <c r="AR79" i="7"/>
  <c r="AQ79" i="7"/>
  <c r="AO79" i="7"/>
  <c r="AN79" i="7"/>
  <c r="AM79" i="7"/>
  <c r="AL79" i="7"/>
  <c r="AK79" i="7"/>
  <c r="AJ79" i="7"/>
  <c r="AH79" i="7"/>
  <c r="AG79" i="7"/>
  <c r="AF79" i="7"/>
  <c r="AE79" i="7"/>
  <c r="AD79" i="7"/>
  <c r="AC79" i="7"/>
  <c r="AA79" i="7"/>
  <c r="Z79" i="7"/>
  <c r="Y79" i="7"/>
  <c r="X79" i="7"/>
  <c r="W79" i="7"/>
  <c r="V79" i="7"/>
  <c r="T79" i="7"/>
  <c r="S79" i="7"/>
  <c r="R79" i="7"/>
  <c r="Q79" i="7"/>
  <c r="P79" i="7"/>
  <c r="O79" i="7"/>
  <c r="M79" i="7"/>
  <c r="L79" i="7"/>
  <c r="K79" i="7"/>
  <c r="J79" i="7"/>
  <c r="I79" i="7"/>
  <c r="H79" i="7"/>
  <c r="F79" i="7"/>
  <c r="E79" i="7"/>
  <c r="D79" i="7"/>
  <c r="C79" i="7"/>
  <c r="B79" i="7"/>
  <c r="A79" i="7"/>
  <c r="CS78" i="7"/>
  <c r="CR78" i="7"/>
  <c r="CQ78" i="7"/>
  <c r="CP78" i="7"/>
  <c r="CO78" i="7"/>
  <c r="CN78" i="7"/>
  <c r="CL78" i="7"/>
  <c r="CK78" i="7"/>
  <c r="CJ78" i="7"/>
  <c r="CI78" i="7"/>
  <c r="CH78" i="7"/>
  <c r="CG78" i="7"/>
  <c r="CE78" i="7"/>
  <c r="CD78" i="7"/>
  <c r="CC78" i="7"/>
  <c r="CB78" i="7"/>
  <c r="CA78" i="7"/>
  <c r="BZ78" i="7"/>
  <c r="BX78" i="7"/>
  <c r="BW78" i="7"/>
  <c r="BV78" i="7"/>
  <c r="BU78" i="7"/>
  <c r="BT78" i="7"/>
  <c r="BS78" i="7"/>
  <c r="BQ78" i="7"/>
  <c r="BP78" i="7"/>
  <c r="BO78" i="7"/>
  <c r="BN78" i="7"/>
  <c r="BM78" i="7"/>
  <c r="BL78" i="7"/>
  <c r="BJ78" i="7"/>
  <c r="BI78" i="7"/>
  <c r="BH78" i="7"/>
  <c r="BG78" i="7"/>
  <c r="BF78" i="7"/>
  <c r="BE78" i="7"/>
  <c r="BC78" i="7"/>
  <c r="BB78" i="7"/>
  <c r="BA78" i="7"/>
  <c r="AZ78" i="7"/>
  <c r="AY78" i="7"/>
  <c r="AX78" i="7"/>
  <c r="AV78" i="7"/>
  <c r="AU78" i="7"/>
  <c r="AT78" i="7"/>
  <c r="AS78" i="7"/>
  <c r="AR78" i="7"/>
  <c r="AQ78" i="7"/>
  <c r="AO78" i="7"/>
  <c r="AN78" i="7"/>
  <c r="AM78" i="7"/>
  <c r="AL78" i="7"/>
  <c r="AK78" i="7"/>
  <c r="AJ78" i="7"/>
  <c r="AH78" i="7"/>
  <c r="AG78" i="7"/>
  <c r="AF78" i="7"/>
  <c r="AE78" i="7"/>
  <c r="AD78" i="7"/>
  <c r="AC78" i="7"/>
  <c r="AA78" i="7"/>
  <c r="Z78" i="7"/>
  <c r="Y78" i="7"/>
  <c r="X78" i="7"/>
  <c r="W78" i="7"/>
  <c r="V78" i="7"/>
  <c r="T78" i="7"/>
  <c r="S78" i="7"/>
  <c r="R78" i="7"/>
  <c r="Q78" i="7"/>
  <c r="P78" i="7"/>
  <c r="O78" i="7"/>
  <c r="M78" i="7"/>
  <c r="L78" i="7"/>
  <c r="K78" i="7"/>
  <c r="J78" i="7"/>
  <c r="I78" i="7"/>
  <c r="H78" i="7"/>
  <c r="F78" i="7"/>
  <c r="E78" i="7"/>
  <c r="D78" i="7"/>
  <c r="C78" i="7"/>
  <c r="B78" i="7"/>
  <c r="A78" i="7"/>
  <c r="CS77" i="7"/>
  <c r="CR77" i="7"/>
  <c r="CQ77" i="7"/>
  <c r="CP77" i="7"/>
  <c r="CO77" i="7"/>
  <c r="CN77" i="7"/>
  <c r="CL77" i="7"/>
  <c r="CK77" i="7"/>
  <c r="CJ77" i="7"/>
  <c r="CI77" i="7"/>
  <c r="CH77" i="7"/>
  <c r="CG77" i="7"/>
  <c r="CE77" i="7"/>
  <c r="CD77" i="7"/>
  <c r="CC77" i="7"/>
  <c r="CB77" i="7"/>
  <c r="CA77" i="7"/>
  <c r="BZ77" i="7"/>
  <c r="BX77" i="7"/>
  <c r="BW77" i="7"/>
  <c r="BV77" i="7"/>
  <c r="BU77" i="7"/>
  <c r="BT77" i="7"/>
  <c r="BS77" i="7"/>
  <c r="BQ77" i="7"/>
  <c r="BP77" i="7"/>
  <c r="BO77" i="7"/>
  <c r="BN77" i="7"/>
  <c r="BM77" i="7"/>
  <c r="BL77" i="7"/>
  <c r="BJ77" i="7"/>
  <c r="BI77" i="7"/>
  <c r="BH77" i="7"/>
  <c r="BG77" i="7"/>
  <c r="BF77" i="7"/>
  <c r="BE77" i="7"/>
  <c r="BC77" i="7"/>
  <c r="BB77" i="7"/>
  <c r="BA77" i="7"/>
  <c r="AZ77" i="7"/>
  <c r="AY77" i="7"/>
  <c r="AX77" i="7"/>
  <c r="AV77" i="7"/>
  <c r="AU77" i="7"/>
  <c r="AT77" i="7"/>
  <c r="AS77" i="7"/>
  <c r="AR77" i="7"/>
  <c r="AQ77" i="7"/>
  <c r="AO77" i="7"/>
  <c r="AN77" i="7"/>
  <c r="AM77" i="7"/>
  <c r="AL77" i="7"/>
  <c r="AK77" i="7"/>
  <c r="AJ77" i="7"/>
  <c r="AH77" i="7"/>
  <c r="AG77" i="7"/>
  <c r="AF77" i="7"/>
  <c r="AE77" i="7"/>
  <c r="AD77" i="7"/>
  <c r="AC77" i="7"/>
  <c r="AA77" i="7"/>
  <c r="Z77" i="7"/>
  <c r="Y77" i="7"/>
  <c r="X77" i="7"/>
  <c r="W77" i="7"/>
  <c r="V77" i="7"/>
  <c r="T77" i="7"/>
  <c r="S77" i="7"/>
  <c r="R77" i="7"/>
  <c r="Q77" i="7"/>
  <c r="P77" i="7"/>
  <c r="O77" i="7"/>
  <c r="M77" i="7"/>
  <c r="L77" i="7"/>
  <c r="K77" i="7"/>
  <c r="J77" i="7"/>
  <c r="I77" i="7"/>
  <c r="H77" i="7"/>
  <c r="F77" i="7"/>
  <c r="E77" i="7"/>
  <c r="D77" i="7"/>
  <c r="C77" i="7"/>
  <c r="B77" i="7"/>
  <c r="A77" i="7"/>
  <c r="CS76" i="7"/>
  <c r="CR76" i="7"/>
  <c r="CQ76" i="7"/>
  <c r="CP76" i="7"/>
  <c r="CO76" i="7"/>
  <c r="CN76" i="7"/>
  <c r="CL76" i="7"/>
  <c r="CK76" i="7"/>
  <c r="CJ76" i="7"/>
  <c r="CI76" i="7"/>
  <c r="CH76" i="7"/>
  <c r="CG76" i="7"/>
  <c r="CE76" i="7"/>
  <c r="CD76" i="7"/>
  <c r="CC76" i="7"/>
  <c r="CB76" i="7"/>
  <c r="CA76" i="7"/>
  <c r="BZ76" i="7"/>
  <c r="BX76" i="7"/>
  <c r="BW76" i="7"/>
  <c r="BV76" i="7"/>
  <c r="BU76" i="7"/>
  <c r="BT76" i="7"/>
  <c r="BS76" i="7"/>
  <c r="BQ76" i="7"/>
  <c r="BP76" i="7"/>
  <c r="BO76" i="7"/>
  <c r="BN76" i="7"/>
  <c r="BM76" i="7"/>
  <c r="BL76" i="7"/>
  <c r="BJ76" i="7"/>
  <c r="BI76" i="7"/>
  <c r="BH76" i="7"/>
  <c r="BG76" i="7"/>
  <c r="BF76" i="7"/>
  <c r="BE76" i="7"/>
  <c r="BC76" i="7"/>
  <c r="BB76" i="7"/>
  <c r="BA76" i="7"/>
  <c r="AZ76" i="7"/>
  <c r="AY76" i="7"/>
  <c r="AX76" i="7"/>
  <c r="AV76" i="7"/>
  <c r="AU76" i="7"/>
  <c r="AT76" i="7"/>
  <c r="AS76" i="7"/>
  <c r="AR76" i="7"/>
  <c r="AQ76" i="7"/>
  <c r="AO76" i="7"/>
  <c r="AN76" i="7"/>
  <c r="AM76" i="7"/>
  <c r="AL76" i="7"/>
  <c r="AK76" i="7"/>
  <c r="AJ76" i="7"/>
  <c r="AH76" i="7"/>
  <c r="AG76" i="7"/>
  <c r="AF76" i="7"/>
  <c r="AE76" i="7"/>
  <c r="AD76" i="7"/>
  <c r="AC76" i="7"/>
  <c r="AA76" i="7"/>
  <c r="Z76" i="7"/>
  <c r="Y76" i="7"/>
  <c r="X76" i="7"/>
  <c r="W76" i="7"/>
  <c r="V76" i="7"/>
  <c r="T76" i="7"/>
  <c r="S76" i="7"/>
  <c r="R76" i="7"/>
  <c r="Q76" i="7"/>
  <c r="P76" i="7"/>
  <c r="O76" i="7"/>
  <c r="M76" i="7"/>
  <c r="L76" i="7"/>
  <c r="K76" i="7"/>
  <c r="J76" i="7"/>
  <c r="I76" i="7"/>
  <c r="H76" i="7"/>
  <c r="F76" i="7"/>
  <c r="E76" i="7"/>
  <c r="D76" i="7"/>
  <c r="C76" i="7"/>
  <c r="B76" i="7"/>
  <c r="A76" i="7"/>
  <c r="CS75" i="7"/>
  <c r="CR75" i="7"/>
  <c r="CQ75" i="7"/>
  <c r="CP75" i="7"/>
  <c r="CO75" i="7"/>
  <c r="CN75" i="7"/>
  <c r="CL75" i="7"/>
  <c r="CK75" i="7"/>
  <c r="CJ75" i="7"/>
  <c r="CI75" i="7"/>
  <c r="CH75" i="7"/>
  <c r="CG75" i="7"/>
  <c r="CE75" i="7"/>
  <c r="CD75" i="7"/>
  <c r="CC75" i="7"/>
  <c r="CB75" i="7"/>
  <c r="CA75" i="7"/>
  <c r="BZ75" i="7"/>
  <c r="BX75" i="7"/>
  <c r="BW75" i="7"/>
  <c r="BV75" i="7"/>
  <c r="BU75" i="7"/>
  <c r="BT75" i="7"/>
  <c r="BS75" i="7"/>
  <c r="BQ75" i="7"/>
  <c r="BP75" i="7"/>
  <c r="BO75" i="7"/>
  <c r="BN75" i="7"/>
  <c r="BM75" i="7"/>
  <c r="BL75" i="7"/>
  <c r="BJ75" i="7"/>
  <c r="BI75" i="7"/>
  <c r="BH75" i="7"/>
  <c r="BG75" i="7"/>
  <c r="BF75" i="7"/>
  <c r="BE75" i="7"/>
  <c r="BC75" i="7"/>
  <c r="BB75" i="7"/>
  <c r="BA75" i="7"/>
  <c r="AZ75" i="7"/>
  <c r="AY75" i="7"/>
  <c r="AX75" i="7"/>
  <c r="AV75" i="7"/>
  <c r="AU75" i="7"/>
  <c r="AT75" i="7"/>
  <c r="AS75" i="7"/>
  <c r="AR75" i="7"/>
  <c r="AQ75" i="7"/>
  <c r="AO75" i="7"/>
  <c r="AN75" i="7"/>
  <c r="AM75" i="7"/>
  <c r="AL75" i="7"/>
  <c r="AK75" i="7"/>
  <c r="AJ75" i="7"/>
  <c r="AH75" i="7"/>
  <c r="AG75" i="7"/>
  <c r="AF75" i="7"/>
  <c r="AE75" i="7"/>
  <c r="AD75" i="7"/>
  <c r="AC75" i="7"/>
  <c r="AA75" i="7"/>
  <c r="Z75" i="7"/>
  <c r="Y75" i="7"/>
  <c r="X75" i="7"/>
  <c r="W75" i="7"/>
  <c r="V75" i="7"/>
  <c r="T75" i="7"/>
  <c r="S75" i="7"/>
  <c r="R75" i="7"/>
  <c r="Q75" i="7"/>
  <c r="P75" i="7"/>
  <c r="O75" i="7"/>
  <c r="M75" i="7"/>
  <c r="L75" i="7"/>
  <c r="K75" i="7"/>
  <c r="J75" i="7"/>
  <c r="I75" i="7"/>
  <c r="H75" i="7"/>
  <c r="F75" i="7"/>
  <c r="E75" i="7"/>
  <c r="D75" i="7"/>
  <c r="C75" i="7"/>
  <c r="B75" i="7"/>
  <c r="A75" i="7"/>
  <c r="CS74" i="7"/>
  <c r="CR74" i="7"/>
  <c r="CQ74" i="7"/>
  <c r="CP74" i="7"/>
  <c r="CO74" i="7"/>
  <c r="CN74" i="7"/>
  <c r="CL74" i="7"/>
  <c r="CK74" i="7"/>
  <c r="CJ74" i="7"/>
  <c r="CI74" i="7"/>
  <c r="CH74" i="7"/>
  <c r="CG74" i="7"/>
  <c r="CE74" i="7"/>
  <c r="CD74" i="7"/>
  <c r="CC74" i="7"/>
  <c r="CB74" i="7"/>
  <c r="CA74" i="7"/>
  <c r="BZ74" i="7"/>
  <c r="BX74" i="7"/>
  <c r="BW74" i="7"/>
  <c r="BV74" i="7"/>
  <c r="BU74" i="7"/>
  <c r="BT74" i="7"/>
  <c r="BS74" i="7"/>
  <c r="BQ74" i="7"/>
  <c r="BP74" i="7"/>
  <c r="BO74" i="7"/>
  <c r="BN74" i="7"/>
  <c r="BM74" i="7"/>
  <c r="BL74" i="7"/>
  <c r="BJ74" i="7"/>
  <c r="BI74" i="7"/>
  <c r="BH74" i="7"/>
  <c r="BG74" i="7"/>
  <c r="BF74" i="7"/>
  <c r="BE74" i="7"/>
  <c r="BC74" i="7"/>
  <c r="BB74" i="7"/>
  <c r="BA74" i="7"/>
  <c r="AZ74" i="7"/>
  <c r="AY74" i="7"/>
  <c r="AX74" i="7"/>
  <c r="AV74" i="7"/>
  <c r="AU74" i="7"/>
  <c r="AT74" i="7"/>
  <c r="AS74" i="7"/>
  <c r="AR74" i="7"/>
  <c r="AQ74" i="7"/>
  <c r="AO74" i="7"/>
  <c r="AN74" i="7"/>
  <c r="AM74" i="7"/>
  <c r="AL74" i="7"/>
  <c r="AK74" i="7"/>
  <c r="AJ74" i="7"/>
  <c r="AH74" i="7"/>
  <c r="AG74" i="7"/>
  <c r="AF74" i="7"/>
  <c r="AE74" i="7"/>
  <c r="AD74" i="7"/>
  <c r="AC74" i="7"/>
  <c r="AA74" i="7"/>
  <c r="Z74" i="7"/>
  <c r="Y74" i="7"/>
  <c r="X74" i="7"/>
  <c r="W74" i="7"/>
  <c r="V74" i="7"/>
  <c r="T74" i="7"/>
  <c r="S74" i="7"/>
  <c r="R74" i="7"/>
  <c r="Q74" i="7"/>
  <c r="P74" i="7"/>
  <c r="O74" i="7"/>
  <c r="M74" i="7"/>
  <c r="L74" i="7"/>
  <c r="K74" i="7"/>
  <c r="J74" i="7"/>
  <c r="I74" i="7"/>
  <c r="H74" i="7"/>
  <c r="F74" i="7"/>
  <c r="E74" i="7"/>
  <c r="D74" i="7"/>
  <c r="C74" i="7"/>
  <c r="B74" i="7"/>
  <c r="A74" i="7"/>
  <c r="CS73" i="7"/>
  <c r="CR73" i="7"/>
  <c r="CQ73" i="7"/>
  <c r="CP73" i="7"/>
  <c r="CO73" i="7"/>
  <c r="CN73" i="7"/>
  <c r="CL73" i="7"/>
  <c r="CK73" i="7"/>
  <c r="CJ73" i="7"/>
  <c r="CI73" i="7"/>
  <c r="CH73" i="7"/>
  <c r="CG73" i="7"/>
  <c r="CE73" i="7"/>
  <c r="CD73" i="7"/>
  <c r="CC73" i="7"/>
  <c r="CB73" i="7"/>
  <c r="CA73" i="7"/>
  <c r="BZ73" i="7"/>
  <c r="BX73" i="7"/>
  <c r="BW73" i="7"/>
  <c r="BV73" i="7"/>
  <c r="BU73" i="7"/>
  <c r="BT73" i="7"/>
  <c r="BS73" i="7"/>
  <c r="BQ73" i="7"/>
  <c r="BP73" i="7"/>
  <c r="BO73" i="7"/>
  <c r="BN73" i="7"/>
  <c r="BM73" i="7"/>
  <c r="BL73" i="7"/>
  <c r="BJ73" i="7"/>
  <c r="BI73" i="7"/>
  <c r="BH73" i="7"/>
  <c r="BG73" i="7"/>
  <c r="BF73" i="7"/>
  <c r="BE73" i="7"/>
  <c r="BC73" i="7"/>
  <c r="BB73" i="7"/>
  <c r="BA73" i="7"/>
  <c r="AZ73" i="7"/>
  <c r="AY73" i="7"/>
  <c r="AX73" i="7"/>
  <c r="AV73" i="7"/>
  <c r="AU73" i="7"/>
  <c r="AT73" i="7"/>
  <c r="AS73" i="7"/>
  <c r="AR73" i="7"/>
  <c r="AQ73" i="7"/>
  <c r="AO73" i="7"/>
  <c r="AN73" i="7"/>
  <c r="AM73" i="7"/>
  <c r="AL73" i="7"/>
  <c r="AK73" i="7"/>
  <c r="AJ73" i="7"/>
  <c r="AH73" i="7"/>
  <c r="AG73" i="7"/>
  <c r="AF73" i="7"/>
  <c r="AE73" i="7"/>
  <c r="AD73" i="7"/>
  <c r="AC73" i="7"/>
  <c r="AA73" i="7"/>
  <c r="Z73" i="7"/>
  <c r="Y73" i="7"/>
  <c r="X73" i="7"/>
  <c r="W73" i="7"/>
  <c r="V73" i="7"/>
  <c r="T73" i="7"/>
  <c r="S73" i="7"/>
  <c r="R73" i="7"/>
  <c r="Q73" i="7"/>
  <c r="P73" i="7"/>
  <c r="O73" i="7"/>
  <c r="M73" i="7"/>
  <c r="L73" i="7"/>
  <c r="K73" i="7"/>
  <c r="J73" i="7"/>
  <c r="I73" i="7"/>
  <c r="H73" i="7"/>
  <c r="F73" i="7"/>
  <c r="E73" i="7"/>
  <c r="D73" i="7"/>
  <c r="C73" i="7"/>
  <c r="B73" i="7"/>
  <c r="A73" i="7"/>
  <c r="CS72" i="7"/>
  <c r="CR72" i="7"/>
  <c r="CQ72" i="7"/>
  <c r="CP72" i="7"/>
  <c r="CO72" i="7"/>
  <c r="CN72" i="7"/>
  <c r="CL72" i="7"/>
  <c r="CK72" i="7"/>
  <c r="CJ72" i="7"/>
  <c r="CI72" i="7"/>
  <c r="CH72" i="7"/>
  <c r="CG72" i="7"/>
  <c r="CE72" i="7"/>
  <c r="CD72" i="7"/>
  <c r="CC72" i="7"/>
  <c r="CB72" i="7"/>
  <c r="CA72" i="7"/>
  <c r="BZ72" i="7"/>
  <c r="BX72" i="7"/>
  <c r="BW72" i="7"/>
  <c r="BV72" i="7"/>
  <c r="BU72" i="7"/>
  <c r="BT72" i="7"/>
  <c r="BS72" i="7"/>
  <c r="BQ72" i="7"/>
  <c r="BP72" i="7"/>
  <c r="BO72" i="7"/>
  <c r="BN72" i="7"/>
  <c r="BM72" i="7"/>
  <c r="BL72" i="7"/>
  <c r="BJ72" i="7"/>
  <c r="BI72" i="7"/>
  <c r="BH72" i="7"/>
  <c r="BG72" i="7"/>
  <c r="BF72" i="7"/>
  <c r="BE72" i="7"/>
  <c r="BC72" i="7"/>
  <c r="BB72" i="7"/>
  <c r="BA72" i="7"/>
  <c r="AZ72" i="7"/>
  <c r="AY72" i="7"/>
  <c r="AX72" i="7"/>
  <c r="AV72" i="7"/>
  <c r="AU72" i="7"/>
  <c r="AT72" i="7"/>
  <c r="AS72" i="7"/>
  <c r="AR72" i="7"/>
  <c r="AQ72" i="7"/>
  <c r="AO72" i="7"/>
  <c r="AN72" i="7"/>
  <c r="AM72" i="7"/>
  <c r="AL72" i="7"/>
  <c r="AK72" i="7"/>
  <c r="AJ72" i="7"/>
  <c r="AH72" i="7"/>
  <c r="AG72" i="7"/>
  <c r="AF72" i="7"/>
  <c r="AE72" i="7"/>
  <c r="AD72" i="7"/>
  <c r="AC72" i="7"/>
  <c r="AA72" i="7"/>
  <c r="Z72" i="7"/>
  <c r="Y72" i="7"/>
  <c r="X72" i="7"/>
  <c r="W72" i="7"/>
  <c r="V72" i="7"/>
  <c r="T72" i="7"/>
  <c r="S72" i="7"/>
  <c r="R72" i="7"/>
  <c r="Q72" i="7"/>
  <c r="P72" i="7"/>
  <c r="O72" i="7"/>
  <c r="M72" i="7"/>
  <c r="L72" i="7"/>
  <c r="K72" i="7"/>
  <c r="J72" i="7"/>
  <c r="I72" i="7"/>
  <c r="H72" i="7"/>
  <c r="F72" i="7"/>
  <c r="E72" i="7"/>
  <c r="D72" i="7"/>
  <c r="C72" i="7"/>
  <c r="B72" i="7"/>
  <c r="A72" i="7"/>
  <c r="CS71" i="7"/>
  <c r="CR71" i="7"/>
  <c r="CQ71" i="7"/>
  <c r="CP71" i="7"/>
  <c r="CO71" i="7"/>
  <c r="CN71" i="7"/>
  <c r="CL71" i="7"/>
  <c r="CK71" i="7"/>
  <c r="CJ71" i="7"/>
  <c r="CI71" i="7"/>
  <c r="CH71" i="7"/>
  <c r="CG71" i="7"/>
  <c r="CE71" i="7"/>
  <c r="CD71" i="7"/>
  <c r="CC71" i="7"/>
  <c r="CB71" i="7"/>
  <c r="CA71" i="7"/>
  <c r="BZ71" i="7"/>
  <c r="BX71" i="7"/>
  <c r="BW71" i="7"/>
  <c r="BV71" i="7"/>
  <c r="BU71" i="7"/>
  <c r="BT71" i="7"/>
  <c r="BS71" i="7"/>
  <c r="BQ71" i="7"/>
  <c r="BP71" i="7"/>
  <c r="BO71" i="7"/>
  <c r="BN71" i="7"/>
  <c r="BM71" i="7"/>
  <c r="BL71" i="7"/>
  <c r="BJ71" i="7"/>
  <c r="BI71" i="7"/>
  <c r="BH71" i="7"/>
  <c r="BG71" i="7"/>
  <c r="BF71" i="7"/>
  <c r="BE71" i="7"/>
  <c r="BC71" i="7"/>
  <c r="BB71" i="7"/>
  <c r="BA71" i="7"/>
  <c r="AZ71" i="7"/>
  <c r="AY71" i="7"/>
  <c r="AX71" i="7"/>
  <c r="AV71" i="7"/>
  <c r="AU71" i="7"/>
  <c r="AT71" i="7"/>
  <c r="AS71" i="7"/>
  <c r="AR71" i="7"/>
  <c r="AQ71" i="7"/>
  <c r="AO71" i="7"/>
  <c r="AN71" i="7"/>
  <c r="AM71" i="7"/>
  <c r="AL71" i="7"/>
  <c r="AK71" i="7"/>
  <c r="AJ71" i="7"/>
  <c r="AH71" i="7"/>
  <c r="AG71" i="7"/>
  <c r="AF71" i="7"/>
  <c r="AE71" i="7"/>
  <c r="AD71" i="7"/>
  <c r="AC71" i="7"/>
  <c r="AA71" i="7"/>
  <c r="Z71" i="7"/>
  <c r="Y71" i="7"/>
  <c r="X71" i="7"/>
  <c r="W71" i="7"/>
  <c r="V71" i="7"/>
  <c r="T71" i="7"/>
  <c r="S71" i="7"/>
  <c r="R71" i="7"/>
  <c r="Q71" i="7"/>
  <c r="P71" i="7"/>
  <c r="O71" i="7"/>
  <c r="M71" i="7"/>
  <c r="L71" i="7"/>
  <c r="K71" i="7"/>
  <c r="J71" i="7"/>
  <c r="I71" i="7"/>
  <c r="H71" i="7"/>
  <c r="F71" i="7"/>
  <c r="E71" i="7"/>
  <c r="D71" i="7"/>
  <c r="C71" i="7"/>
  <c r="B71" i="7"/>
  <c r="A71" i="7"/>
  <c r="CS70" i="7"/>
  <c r="CR70" i="7"/>
  <c r="CQ70" i="7"/>
  <c r="CP70" i="7"/>
  <c r="CO70" i="7"/>
  <c r="CN70" i="7"/>
  <c r="CL70" i="7"/>
  <c r="CK70" i="7"/>
  <c r="CJ70" i="7"/>
  <c r="CI70" i="7"/>
  <c r="CH70" i="7"/>
  <c r="CG70" i="7"/>
  <c r="CE70" i="7"/>
  <c r="CD70" i="7"/>
  <c r="CC70" i="7"/>
  <c r="CB70" i="7"/>
  <c r="CA70" i="7"/>
  <c r="BZ70" i="7"/>
  <c r="BX70" i="7"/>
  <c r="BW70" i="7"/>
  <c r="BV70" i="7"/>
  <c r="BU70" i="7"/>
  <c r="BT70" i="7"/>
  <c r="BS70" i="7"/>
  <c r="BQ70" i="7"/>
  <c r="BP70" i="7"/>
  <c r="BO70" i="7"/>
  <c r="BN70" i="7"/>
  <c r="BM70" i="7"/>
  <c r="BL70" i="7"/>
  <c r="BJ70" i="7"/>
  <c r="BI70" i="7"/>
  <c r="BH70" i="7"/>
  <c r="BG70" i="7"/>
  <c r="BF70" i="7"/>
  <c r="BE70" i="7"/>
  <c r="BC70" i="7"/>
  <c r="BB70" i="7"/>
  <c r="BA70" i="7"/>
  <c r="AZ70" i="7"/>
  <c r="AY70" i="7"/>
  <c r="AX70" i="7"/>
  <c r="AV70" i="7"/>
  <c r="AU70" i="7"/>
  <c r="AT70" i="7"/>
  <c r="AS70" i="7"/>
  <c r="AR70" i="7"/>
  <c r="AQ70" i="7"/>
  <c r="AO70" i="7"/>
  <c r="AN70" i="7"/>
  <c r="AM70" i="7"/>
  <c r="AL70" i="7"/>
  <c r="AK70" i="7"/>
  <c r="AJ70" i="7"/>
  <c r="AH70" i="7"/>
  <c r="AG70" i="7"/>
  <c r="AF70" i="7"/>
  <c r="AE70" i="7"/>
  <c r="AD70" i="7"/>
  <c r="AC70" i="7"/>
  <c r="AA70" i="7"/>
  <c r="Z70" i="7"/>
  <c r="Y70" i="7"/>
  <c r="X70" i="7"/>
  <c r="W70" i="7"/>
  <c r="V70" i="7"/>
  <c r="T70" i="7"/>
  <c r="S70" i="7"/>
  <c r="R70" i="7"/>
  <c r="Q70" i="7"/>
  <c r="P70" i="7"/>
  <c r="O70" i="7"/>
  <c r="M70" i="7"/>
  <c r="L70" i="7"/>
  <c r="K70" i="7"/>
  <c r="J70" i="7"/>
  <c r="I70" i="7"/>
  <c r="H70" i="7"/>
  <c r="F70" i="7"/>
  <c r="E70" i="7"/>
  <c r="D70" i="7"/>
  <c r="C70" i="7"/>
  <c r="B70" i="7"/>
  <c r="A70" i="7"/>
  <c r="CS69" i="7"/>
  <c r="CR69" i="7"/>
  <c r="CQ69" i="7"/>
  <c r="CP69" i="7"/>
  <c r="CO69" i="7"/>
  <c r="CN69" i="7"/>
  <c r="CL69" i="7"/>
  <c r="CK69" i="7"/>
  <c r="CJ69" i="7"/>
  <c r="CI69" i="7"/>
  <c r="CH69" i="7"/>
  <c r="CG69" i="7"/>
  <c r="CE69" i="7"/>
  <c r="CD69" i="7"/>
  <c r="CC69" i="7"/>
  <c r="CB69" i="7"/>
  <c r="CA69" i="7"/>
  <c r="BZ69" i="7"/>
  <c r="BX69" i="7"/>
  <c r="BW69" i="7"/>
  <c r="BV69" i="7"/>
  <c r="BU69" i="7"/>
  <c r="BT69" i="7"/>
  <c r="BS69" i="7"/>
  <c r="BQ69" i="7"/>
  <c r="BP69" i="7"/>
  <c r="BO69" i="7"/>
  <c r="BN69" i="7"/>
  <c r="BM69" i="7"/>
  <c r="BL69" i="7"/>
  <c r="BJ69" i="7"/>
  <c r="BI69" i="7"/>
  <c r="BH69" i="7"/>
  <c r="BG69" i="7"/>
  <c r="BF69" i="7"/>
  <c r="BE69" i="7"/>
  <c r="BC69" i="7"/>
  <c r="BB69" i="7"/>
  <c r="BA69" i="7"/>
  <c r="AZ69" i="7"/>
  <c r="AY69" i="7"/>
  <c r="AX69" i="7"/>
  <c r="AV69" i="7"/>
  <c r="AU69" i="7"/>
  <c r="AT69" i="7"/>
  <c r="AS69" i="7"/>
  <c r="AR69" i="7"/>
  <c r="AQ69" i="7"/>
  <c r="AO69" i="7"/>
  <c r="AN69" i="7"/>
  <c r="AM69" i="7"/>
  <c r="AL69" i="7"/>
  <c r="AK69" i="7"/>
  <c r="AJ69" i="7"/>
  <c r="AH69" i="7"/>
  <c r="AG69" i="7"/>
  <c r="AF69" i="7"/>
  <c r="AE69" i="7"/>
  <c r="AD69" i="7"/>
  <c r="AC69" i="7"/>
  <c r="AA69" i="7"/>
  <c r="Z69" i="7"/>
  <c r="Y69" i="7"/>
  <c r="X69" i="7"/>
  <c r="W69" i="7"/>
  <c r="V69" i="7"/>
  <c r="T69" i="7"/>
  <c r="S69" i="7"/>
  <c r="R69" i="7"/>
  <c r="Q69" i="7"/>
  <c r="P69" i="7"/>
  <c r="O69" i="7"/>
  <c r="M69" i="7"/>
  <c r="L69" i="7"/>
  <c r="K69" i="7"/>
  <c r="J69" i="7"/>
  <c r="I69" i="7"/>
  <c r="H69" i="7"/>
  <c r="F69" i="7"/>
  <c r="E69" i="7"/>
  <c r="D69" i="7"/>
  <c r="C69" i="7"/>
  <c r="B69" i="7"/>
  <c r="A69" i="7"/>
  <c r="CS68" i="7"/>
  <c r="CR68" i="7"/>
  <c r="CQ68" i="7"/>
  <c r="CP68" i="7"/>
  <c r="CO68" i="7"/>
  <c r="CN68" i="7"/>
  <c r="CL68" i="7"/>
  <c r="CK68" i="7"/>
  <c r="CJ68" i="7"/>
  <c r="CI68" i="7"/>
  <c r="CH68" i="7"/>
  <c r="CG68" i="7"/>
  <c r="CE68" i="7"/>
  <c r="CD68" i="7"/>
  <c r="CC68" i="7"/>
  <c r="CB68" i="7"/>
  <c r="CA68" i="7"/>
  <c r="BZ68" i="7"/>
  <c r="BX68" i="7"/>
  <c r="BW68" i="7"/>
  <c r="BV68" i="7"/>
  <c r="BU68" i="7"/>
  <c r="BT68" i="7"/>
  <c r="BS68" i="7"/>
  <c r="BQ68" i="7"/>
  <c r="BP68" i="7"/>
  <c r="BO68" i="7"/>
  <c r="BN68" i="7"/>
  <c r="BM68" i="7"/>
  <c r="BL68" i="7"/>
  <c r="BJ68" i="7"/>
  <c r="BI68" i="7"/>
  <c r="BH68" i="7"/>
  <c r="BG68" i="7"/>
  <c r="BF68" i="7"/>
  <c r="BE68" i="7"/>
  <c r="BC68" i="7"/>
  <c r="BB68" i="7"/>
  <c r="BA68" i="7"/>
  <c r="AZ68" i="7"/>
  <c r="AY68" i="7"/>
  <c r="AX68" i="7"/>
  <c r="AV68" i="7"/>
  <c r="AU68" i="7"/>
  <c r="AT68" i="7"/>
  <c r="AS68" i="7"/>
  <c r="AR68" i="7"/>
  <c r="AQ68" i="7"/>
  <c r="AO68" i="7"/>
  <c r="AN68" i="7"/>
  <c r="AM68" i="7"/>
  <c r="AL68" i="7"/>
  <c r="AK68" i="7"/>
  <c r="AJ68" i="7"/>
  <c r="AH68" i="7"/>
  <c r="AG68" i="7"/>
  <c r="AF68" i="7"/>
  <c r="AE68" i="7"/>
  <c r="AD68" i="7"/>
  <c r="AC68" i="7"/>
  <c r="AA68" i="7"/>
  <c r="Z68" i="7"/>
  <c r="Y68" i="7"/>
  <c r="X68" i="7"/>
  <c r="W68" i="7"/>
  <c r="V68" i="7"/>
  <c r="T68" i="7"/>
  <c r="S68" i="7"/>
  <c r="R68" i="7"/>
  <c r="Q68" i="7"/>
  <c r="P68" i="7"/>
  <c r="O68" i="7"/>
  <c r="M68" i="7"/>
  <c r="L68" i="7"/>
  <c r="K68" i="7"/>
  <c r="J68" i="7"/>
  <c r="I68" i="7"/>
  <c r="H68" i="7"/>
  <c r="F68" i="7"/>
  <c r="E68" i="7"/>
  <c r="D68" i="7"/>
  <c r="C68" i="7"/>
  <c r="B68" i="7"/>
  <c r="A68" i="7"/>
  <c r="CS67" i="7"/>
  <c r="CR67" i="7"/>
  <c r="CQ67" i="7"/>
  <c r="CP67" i="7"/>
  <c r="CO67" i="7"/>
  <c r="CN67" i="7"/>
  <c r="CL67" i="7"/>
  <c r="CK67" i="7"/>
  <c r="CJ67" i="7"/>
  <c r="CI67" i="7"/>
  <c r="CH67" i="7"/>
  <c r="CG67" i="7"/>
  <c r="CE67" i="7"/>
  <c r="CD67" i="7"/>
  <c r="CC67" i="7"/>
  <c r="CB67" i="7"/>
  <c r="CA67" i="7"/>
  <c r="BZ67" i="7"/>
  <c r="BX67" i="7"/>
  <c r="BW67" i="7"/>
  <c r="BV67" i="7"/>
  <c r="BU67" i="7"/>
  <c r="BT67" i="7"/>
  <c r="BS67" i="7"/>
  <c r="BQ67" i="7"/>
  <c r="BP67" i="7"/>
  <c r="BO67" i="7"/>
  <c r="BN67" i="7"/>
  <c r="BM67" i="7"/>
  <c r="BL67" i="7"/>
  <c r="BJ67" i="7"/>
  <c r="BI67" i="7"/>
  <c r="BH67" i="7"/>
  <c r="BG67" i="7"/>
  <c r="BF67" i="7"/>
  <c r="BE67" i="7"/>
  <c r="BC67" i="7"/>
  <c r="BB67" i="7"/>
  <c r="BA67" i="7"/>
  <c r="AZ67" i="7"/>
  <c r="AY67" i="7"/>
  <c r="AX67" i="7"/>
  <c r="AV67" i="7"/>
  <c r="AU67" i="7"/>
  <c r="AT67" i="7"/>
  <c r="AS67" i="7"/>
  <c r="AR67" i="7"/>
  <c r="AQ67" i="7"/>
  <c r="AO67" i="7"/>
  <c r="AN67" i="7"/>
  <c r="AM67" i="7"/>
  <c r="AL67" i="7"/>
  <c r="AK67" i="7"/>
  <c r="AJ67" i="7"/>
  <c r="AH67" i="7"/>
  <c r="AG67" i="7"/>
  <c r="AF67" i="7"/>
  <c r="AE67" i="7"/>
  <c r="AD67" i="7"/>
  <c r="AC67" i="7"/>
  <c r="AA67" i="7"/>
  <c r="Z67" i="7"/>
  <c r="Y67" i="7"/>
  <c r="X67" i="7"/>
  <c r="W67" i="7"/>
  <c r="V67" i="7"/>
  <c r="T67" i="7"/>
  <c r="S67" i="7"/>
  <c r="R67" i="7"/>
  <c r="Q67" i="7"/>
  <c r="P67" i="7"/>
  <c r="O67" i="7"/>
  <c r="M67" i="7"/>
  <c r="L67" i="7"/>
  <c r="K67" i="7"/>
  <c r="J67" i="7"/>
  <c r="I67" i="7"/>
  <c r="H67" i="7"/>
  <c r="F67" i="7"/>
  <c r="E67" i="7"/>
  <c r="D67" i="7"/>
  <c r="C67" i="7"/>
  <c r="B67" i="7"/>
  <c r="A67" i="7"/>
  <c r="CS66" i="7"/>
  <c r="CR66" i="7"/>
  <c r="CQ66" i="7"/>
  <c r="CP66" i="7"/>
  <c r="CO66" i="7"/>
  <c r="CN66" i="7"/>
  <c r="CL66" i="7"/>
  <c r="CK66" i="7"/>
  <c r="CJ66" i="7"/>
  <c r="CI66" i="7"/>
  <c r="CH66" i="7"/>
  <c r="CG66" i="7"/>
  <c r="CE66" i="7"/>
  <c r="CD66" i="7"/>
  <c r="CC66" i="7"/>
  <c r="CB66" i="7"/>
  <c r="CA66" i="7"/>
  <c r="BZ66" i="7"/>
  <c r="BX66" i="7"/>
  <c r="BW66" i="7"/>
  <c r="BV66" i="7"/>
  <c r="BU66" i="7"/>
  <c r="BT66" i="7"/>
  <c r="BS66" i="7"/>
  <c r="BQ66" i="7"/>
  <c r="BP66" i="7"/>
  <c r="BO66" i="7"/>
  <c r="BN66" i="7"/>
  <c r="BM66" i="7"/>
  <c r="BL66" i="7"/>
  <c r="BJ66" i="7"/>
  <c r="BI66" i="7"/>
  <c r="BH66" i="7"/>
  <c r="BG66" i="7"/>
  <c r="BF66" i="7"/>
  <c r="BE66" i="7"/>
  <c r="BC66" i="7"/>
  <c r="BB66" i="7"/>
  <c r="BA66" i="7"/>
  <c r="AZ66" i="7"/>
  <c r="AY66" i="7"/>
  <c r="AX66" i="7"/>
  <c r="AV66" i="7"/>
  <c r="AU66" i="7"/>
  <c r="AT66" i="7"/>
  <c r="AS66" i="7"/>
  <c r="AR66" i="7"/>
  <c r="AQ66" i="7"/>
  <c r="AO66" i="7"/>
  <c r="AN66" i="7"/>
  <c r="AM66" i="7"/>
  <c r="AL66" i="7"/>
  <c r="AK66" i="7"/>
  <c r="AJ66" i="7"/>
  <c r="AH66" i="7"/>
  <c r="AG66" i="7"/>
  <c r="AF66" i="7"/>
  <c r="AE66" i="7"/>
  <c r="AD66" i="7"/>
  <c r="AC66" i="7"/>
  <c r="AA66" i="7"/>
  <c r="Z66" i="7"/>
  <c r="Y66" i="7"/>
  <c r="X66" i="7"/>
  <c r="W66" i="7"/>
  <c r="V66" i="7"/>
  <c r="T66" i="7"/>
  <c r="S66" i="7"/>
  <c r="R66" i="7"/>
  <c r="Q66" i="7"/>
  <c r="P66" i="7"/>
  <c r="O66" i="7"/>
  <c r="M66" i="7"/>
  <c r="L66" i="7"/>
  <c r="K66" i="7"/>
  <c r="J66" i="7"/>
  <c r="I66" i="7"/>
  <c r="H66" i="7"/>
  <c r="F66" i="7"/>
  <c r="E66" i="7"/>
  <c r="D66" i="7"/>
  <c r="C66" i="7"/>
  <c r="B66" i="7"/>
  <c r="A66" i="7"/>
  <c r="CS65" i="7"/>
  <c r="CR65" i="7"/>
  <c r="CQ65" i="7"/>
  <c r="CP65" i="7"/>
  <c r="CO65" i="7"/>
  <c r="CN65" i="7"/>
  <c r="CL65" i="7"/>
  <c r="CK65" i="7"/>
  <c r="CJ65" i="7"/>
  <c r="CI65" i="7"/>
  <c r="CH65" i="7"/>
  <c r="CG65" i="7"/>
  <c r="CE65" i="7"/>
  <c r="CD65" i="7"/>
  <c r="CC65" i="7"/>
  <c r="CB65" i="7"/>
  <c r="CA65" i="7"/>
  <c r="BZ65" i="7"/>
  <c r="BX65" i="7"/>
  <c r="BW65" i="7"/>
  <c r="BV65" i="7"/>
  <c r="BU65" i="7"/>
  <c r="BT65" i="7"/>
  <c r="BS65" i="7"/>
  <c r="BQ65" i="7"/>
  <c r="BP65" i="7"/>
  <c r="BO65" i="7"/>
  <c r="BN65" i="7"/>
  <c r="BM65" i="7"/>
  <c r="BL65" i="7"/>
  <c r="BJ65" i="7"/>
  <c r="BI65" i="7"/>
  <c r="BH65" i="7"/>
  <c r="BG65" i="7"/>
  <c r="BF65" i="7"/>
  <c r="BE65" i="7"/>
  <c r="BC65" i="7"/>
  <c r="BB65" i="7"/>
  <c r="BA65" i="7"/>
  <c r="AZ65" i="7"/>
  <c r="AY65" i="7"/>
  <c r="AX65" i="7"/>
  <c r="AV65" i="7"/>
  <c r="AU65" i="7"/>
  <c r="AT65" i="7"/>
  <c r="AS65" i="7"/>
  <c r="AR65" i="7"/>
  <c r="AQ65" i="7"/>
  <c r="AO65" i="7"/>
  <c r="AN65" i="7"/>
  <c r="AM65" i="7"/>
  <c r="AL65" i="7"/>
  <c r="AK65" i="7"/>
  <c r="AJ65" i="7"/>
  <c r="AH65" i="7"/>
  <c r="AG65" i="7"/>
  <c r="AF65" i="7"/>
  <c r="AE65" i="7"/>
  <c r="AD65" i="7"/>
  <c r="AC65" i="7"/>
  <c r="AA65" i="7"/>
  <c r="Z65" i="7"/>
  <c r="Y65" i="7"/>
  <c r="X65" i="7"/>
  <c r="W65" i="7"/>
  <c r="V65" i="7"/>
  <c r="T65" i="7"/>
  <c r="S65" i="7"/>
  <c r="R65" i="7"/>
  <c r="Q65" i="7"/>
  <c r="P65" i="7"/>
  <c r="O65" i="7"/>
  <c r="M65" i="7"/>
  <c r="L65" i="7"/>
  <c r="K65" i="7"/>
  <c r="J65" i="7"/>
  <c r="I65" i="7"/>
  <c r="H65" i="7"/>
  <c r="F65" i="7"/>
  <c r="E65" i="7"/>
  <c r="D65" i="7"/>
  <c r="C65" i="7"/>
  <c r="B65" i="7"/>
  <c r="A65" i="7"/>
  <c r="CS64" i="7"/>
  <c r="CR64" i="7"/>
  <c r="CQ64" i="7"/>
  <c r="CP64" i="7"/>
  <c r="CO64" i="7"/>
  <c r="CN64" i="7"/>
  <c r="CL64" i="7"/>
  <c r="CK64" i="7"/>
  <c r="CJ64" i="7"/>
  <c r="CI64" i="7"/>
  <c r="CH64" i="7"/>
  <c r="CG64" i="7"/>
  <c r="CE64" i="7"/>
  <c r="CD64" i="7"/>
  <c r="CC64" i="7"/>
  <c r="CB64" i="7"/>
  <c r="CA64" i="7"/>
  <c r="BZ64" i="7"/>
  <c r="BX64" i="7"/>
  <c r="BW64" i="7"/>
  <c r="BV64" i="7"/>
  <c r="BU64" i="7"/>
  <c r="BT64" i="7"/>
  <c r="BS64" i="7"/>
  <c r="BQ64" i="7"/>
  <c r="BP64" i="7"/>
  <c r="BO64" i="7"/>
  <c r="BN64" i="7"/>
  <c r="BM64" i="7"/>
  <c r="BL64" i="7"/>
  <c r="BJ64" i="7"/>
  <c r="BI64" i="7"/>
  <c r="BH64" i="7"/>
  <c r="BG64" i="7"/>
  <c r="BF64" i="7"/>
  <c r="BE64" i="7"/>
  <c r="BC64" i="7"/>
  <c r="BB64" i="7"/>
  <c r="BA64" i="7"/>
  <c r="AZ64" i="7"/>
  <c r="AY64" i="7"/>
  <c r="AX64" i="7"/>
  <c r="AV64" i="7"/>
  <c r="AU64" i="7"/>
  <c r="AT64" i="7"/>
  <c r="AS64" i="7"/>
  <c r="AR64" i="7"/>
  <c r="AQ64" i="7"/>
  <c r="AO64" i="7"/>
  <c r="AN64" i="7"/>
  <c r="AM64" i="7"/>
  <c r="AL64" i="7"/>
  <c r="AK64" i="7"/>
  <c r="AJ64" i="7"/>
  <c r="AH64" i="7"/>
  <c r="AG64" i="7"/>
  <c r="AF64" i="7"/>
  <c r="AE64" i="7"/>
  <c r="AD64" i="7"/>
  <c r="AC64" i="7"/>
  <c r="AA64" i="7"/>
  <c r="Z64" i="7"/>
  <c r="Y64" i="7"/>
  <c r="X64" i="7"/>
  <c r="W64" i="7"/>
  <c r="V64" i="7"/>
  <c r="T64" i="7"/>
  <c r="S64" i="7"/>
  <c r="R64" i="7"/>
  <c r="Q64" i="7"/>
  <c r="P64" i="7"/>
  <c r="O64" i="7"/>
  <c r="M64" i="7"/>
  <c r="L64" i="7"/>
  <c r="K64" i="7"/>
  <c r="J64" i="7"/>
  <c r="I64" i="7"/>
  <c r="H64" i="7"/>
  <c r="F64" i="7"/>
  <c r="E64" i="7"/>
  <c r="D64" i="7"/>
  <c r="C64" i="7"/>
  <c r="B64" i="7"/>
  <c r="A64" i="7"/>
  <c r="CS63" i="7"/>
  <c r="CR63" i="7"/>
  <c r="CQ63" i="7"/>
  <c r="CP63" i="7"/>
  <c r="CO63" i="7"/>
  <c r="CN63" i="7"/>
  <c r="CL63" i="7"/>
  <c r="CK63" i="7"/>
  <c r="CJ63" i="7"/>
  <c r="CI63" i="7"/>
  <c r="CH63" i="7"/>
  <c r="CG63" i="7"/>
  <c r="CE63" i="7"/>
  <c r="CD63" i="7"/>
  <c r="CC63" i="7"/>
  <c r="CB63" i="7"/>
  <c r="CA63" i="7"/>
  <c r="BZ63" i="7"/>
  <c r="BX63" i="7"/>
  <c r="BW63" i="7"/>
  <c r="BV63" i="7"/>
  <c r="BU63" i="7"/>
  <c r="BT63" i="7"/>
  <c r="BS63" i="7"/>
  <c r="BQ63" i="7"/>
  <c r="BP63" i="7"/>
  <c r="BO63" i="7"/>
  <c r="BN63" i="7"/>
  <c r="BM63" i="7"/>
  <c r="BL63" i="7"/>
  <c r="BJ63" i="7"/>
  <c r="BI63" i="7"/>
  <c r="BH63" i="7"/>
  <c r="BG63" i="7"/>
  <c r="BF63" i="7"/>
  <c r="BE63" i="7"/>
  <c r="BC63" i="7"/>
  <c r="BB63" i="7"/>
  <c r="BA63" i="7"/>
  <c r="AZ63" i="7"/>
  <c r="AY63" i="7"/>
  <c r="AX63" i="7"/>
  <c r="AV63" i="7"/>
  <c r="AU63" i="7"/>
  <c r="AT63" i="7"/>
  <c r="AS63" i="7"/>
  <c r="AR63" i="7"/>
  <c r="AQ63" i="7"/>
  <c r="AO63" i="7"/>
  <c r="AN63" i="7"/>
  <c r="AM63" i="7"/>
  <c r="AL63" i="7"/>
  <c r="AK63" i="7"/>
  <c r="AJ63" i="7"/>
  <c r="AH63" i="7"/>
  <c r="AG63" i="7"/>
  <c r="AF63" i="7"/>
  <c r="AE63" i="7"/>
  <c r="AD63" i="7"/>
  <c r="AC63" i="7"/>
  <c r="AA63" i="7"/>
  <c r="Z63" i="7"/>
  <c r="Y63" i="7"/>
  <c r="X63" i="7"/>
  <c r="W63" i="7"/>
  <c r="V63" i="7"/>
  <c r="T63" i="7"/>
  <c r="S63" i="7"/>
  <c r="R63" i="7"/>
  <c r="Q63" i="7"/>
  <c r="P63" i="7"/>
  <c r="O63" i="7"/>
  <c r="M63" i="7"/>
  <c r="L63" i="7"/>
  <c r="K63" i="7"/>
  <c r="J63" i="7"/>
  <c r="I63" i="7"/>
  <c r="H63" i="7"/>
  <c r="F63" i="7"/>
  <c r="E63" i="7"/>
  <c r="D63" i="7"/>
  <c r="C63" i="7"/>
  <c r="B63" i="7"/>
  <c r="A63" i="7"/>
  <c r="CS62" i="7"/>
  <c r="CR62" i="7"/>
  <c r="CQ62" i="7"/>
  <c r="CP62" i="7"/>
  <c r="CO62" i="7"/>
  <c r="CN62" i="7"/>
  <c r="CL62" i="7"/>
  <c r="CK62" i="7"/>
  <c r="CJ62" i="7"/>
  <c r="CI62" i="7"/>
  <c r="CH62" i="7"/>
  <c r="CG62" i="7"/>
  <c r="CE62" i="7"/>
  <c r="CD62" i="7"/>
  <c r="CC62" i="7"/>
  <c r="CB62" i="7"/>
  <c r="CA62" i="7"/>
  <c r="BZ62" i="7"/>
  <c r="BX62" i="7"/>
  <c r="BW62" i="7"/>
  <c r="BV62" i="7"/>
  <c r="BU62" i="7"/>
  <c r="BT62" i="7"/>
  <c r="BS62" i="7"/>
  <c r="BQ62" i="7"/>
  <c r="BP62" i="7"/>
  <c r="BO62" i="7"/>
  <c r="BN62" i="7"/>
  <c r="BM62" i="7"/>
  <c r="BL62" i="7"/>
  <c r="BJ62" i="7"/>
  <c r="BI62" i="7"/>
  <c r="BH62" i="7"/>
  <c r="BG62" i="7"/>
  <c r="BF62" i="7"/>
  <c r="BE62" i="7"/>
  <c r="BC62" i="7"/>
  <c r="BB62" i="7"/>
  <c r="BA62" i="7"/>
  <c r="AZ62" i="7"/>
  <c r="AY62" i="7"/>
  <c r="AX62" i="7"/>
  <c r="AV62" i="7"/>
  <c r="AU62" i="7"/>
  <c r="AT62" i="7"/>
  <c r="AS62" i="7"/>
  <c r="AR62" i="7"/>
  <c r="AQ62" i="7"/>
  <c r="AO62" i="7"/>
  <c r="AN62" i="7"/>
  <c r="AM62" i="7"/>
  <c r="AL62" i="7"/>
  <c r="AK62" i="7"/>
  <c r="AJ62" i="7"/>
  <c r="AH62" i="7"/>
  <c r="AG62" i="7"/>
  <c r="AF62" i="7"/>
  <c r="AE62" i="7"/>
  <c r="AD62" i="7"/>
  <c r="AC62" i="7"/>
  <c r="AA62" i="7"/>
  <c r="Z62" i="7"/>
  <c r="Y62" i="7"/>
  <c r="X62" i="7"/>
  <c r="W62" i="7"/>
  <c r="V62" i="7"/>
  <c r="T62" i="7"/>
  <c r="S62" i="7"/>
  <c r="R62" i="7"/>
  <c r="Q62" i="7"/>
  <c r="P62" i="7"/>
  <c r="O62" i="7"/>
  <c r="M62" i="7"/>
  <c r="L62" i="7"/>
  <c r="K62" i="7"/>
  <c r="J62" i="7"/>
  <c r="I62" i="7"/>
  <c r="H62" i="7"/>
  <c r="F62" i="7"/>
  <c r="E62" i="7"/>
  <c r="D62" i="7"/>
  <c r="C62" i="7"/>
  <c r="B62" i="7"/>
  <c r="A62" i="7"/>
  <c r="CS61" i="7"/>
  <c r="CR61" i="7"/>
  <c r="CQ61" i="7"/>
  <c r="CP61" i="7"/>
  <c r="CO61" i="7"/>
  <c r="CN61" i="7"/>
  <c r="CL61" i="7"/>
  <c r="CK61" i="7"/>
  <c r="CJ61" i="7"/>
  <c r="CI61" i="7"/>
  <c r="CH61" i="7"/>
  <c r="CG61" i="7"/>
  <c r="CE61" i="7"/>
  <c r="CD61" i="7"/>
  <c r="CC61" i="7"/>
  <c r="CB61" i="7"/>
  <c r="CA61" i="7"/>
  <c r="BZ61" i="7"/>
  <c r="BX61" i="7"/>
  <c r="BW61" i="7"/>
  <c r="BV61" i="7"/>
  <c r="BU61" i="7"/>
  <c r="BT61" i="7"/>
  <c r="BS61" i="7"/>
  <c r="BQ61" i="7"/>
  <c r="BP61" i="7"/>
  <c r="BO61" i="7"/>
  <c r="BN61" i="7"/>
  <c r="BM61" i="7"/>
  <c r="BL61" i="7"/>
  <c r="BJ61" i="7"/>
  <c r="BI61" i="7"/>
  <c r="BH61" i="7"/>
  <c r="BG61" i="7"/>
  <c r="BF61" i="7"/>
  <c r="BE61" i="7"/>
  <c r="BC61" i="7"/>
  <c r="BB61" i="7"/>
  <c r="BA61" i="7"/>
  <c r="AZ61" i="7"/>
  <c r="AY61" i="7"/>
  <c r="AX61" i="7"/>
  <c r="AV61" i="7"/>
  <c r="AU61" i="7"/>
  <c r="AT61" i="7"/>
  <c r="AS61" i="7"/>
  <c r="AR61" i="7"/>
  <c r="AQ61" i="7"/>
  <c r="AO61" i="7"/>
  <c r="AN61" i="7"/>
  <c r="AM61" i="7"/>
  <c r="AL61" i="7"/>
  <c r="AK61" i="7"/>
  <c r="AJ61" i="7"/>
  <c r="AH61" i="7"/>
  <c r="AG61" i="7"/>
  <c r="AF61" i="7"/>
  <c r="AE61" i="7"/>
  <c r="AD61" i="7"/>
  <c r="AC61" i="7"/>
  <c r="AA61" i="7"/>
  <c r="Z61" i="7"/>
  <c r="Y61" i="7"/>
  <c r="X61" i="7"/>
  <c r="W61" i="7"/>
  <c r="V61" i="7"/>
  <c r="T61" i="7"/>
  <c r="S61" i="7"/>
  <c r="R61" i="7"/>
  <c r="Q61" i="7"/>
  <c r="P61" i="7"/>
  <c r="O61" i="7"/>
  <c r="M61" i="7"/>
  <c r="L61" i="7"/>
  <c r="K61" i="7"/>
  <c r="J61" i="7"/>
  <c r="I61" i="7"/>
  <c r="H61" i="7"/>
  <c r="F61" i="7"/>
  <c r="E61" i="7"/>
  <c r="D61" i="7"/>
  <c r="C61" i="7"/>
  <c r="B61" i="7"/>
  <c r="A61" i="7"/>
  <c r="CS60" i="7"/>
  <c r="CR60" i="7"/>
  <c r="CQ60" i="7"/>
  <c r="CP60" i="7"/>
  <c r="CO60" i="7"/>
  <c r="CN60" i="7"/>
  <c r="CL60" i="7"/>
  <c r="CK60" i="7"/>
  <c r="CJ60" i="7"/>
  <c r="CI60" i="7"/>
  <c r="CH60" i="7"/>
  <c r="CG60" i="7"/>
  <c r="CE60" i="7"/>
  <c r="CD60" i="7"/>
  <c r="CC60" i="7"/>
  <c r="CB60" i="7"/>
  <c r="CA60" i="7"/>
  <c r="BZ60" i="7"/>
  <c r="BX60" i="7"/>
  <c r="BW60" i="7"/>
  <c r="BV60" i="7"/>
  <c r="BU60" i="7"/>
  <c r="BT60" i="7"/>
  <c r="BS60" i="7"/>
  <c r="BQ60" i="7"/>
  <c r="BP60" i="7"/>
  <c r="BO60" i="7"/>
  <c r="BN60" i="7"/>
  <c r="BM60" i="7"/>
  <c r="BL60" i="7"/>
  <c r="BJ60" i="7"/>
  <c r="BI60" i="7"/>
  <c r="BH60" i="7"/>
  <c r="BG60" i="7"/>
  <c r="BF60" i="7"/>
  <c r="BE60" i="7"/>
  <c r="BC60" i="7"/>
  <c r="BB60" i="7"/>
  <c r="BA60" i="7"/>
  <c r="AZ60" i="7"/>
  <c r="AY60" i="7"/>
  <c r="AX60" i="7"/>
  <c r="AV60" i="7"/>
  <c r="AU60" i="7"/>
  <c r="AT60" i="7"/>
  <c r="AS60" i="7"/>
  <c r="AR60" i="7"/>
  <c r="AQ60" i="7"/>
  <c r="AO60" i="7"/>
  <c r="AN60" i="7"/>
  <c r="AM60" i="7"/>
  <c r="AL60" i="7"/>
  <c r="AK60" i="7"/>
  <c r="AJ60" i="7"/>
  <c r="AH60" i="7"/>
  <c r="AG60" i="7"/>
  <c r="AF60" i="7"/>
  <c r="AE60" i="7"/>
  <c r="AD60" i="7"/>
  <c r="AC60" i="7"/>
  <c r="AA60" i="7"/>
  <c r="Z60" i="7"/>
  <c r="Y60" i="7"/>
  <c r="X60" i="7"/>
  <c r="W60" i="7"/>
  <c r="V60" i="7"/>
  <c r="T60" i="7"/>
  <c r="S60" i="7"/>
  <c r="R60" i="7"/>
  <c r="Q60" i="7"/>
  <c r="P60" i="7"/>
  <c r="O60" i="7"/>
  <c r="M60" i="7"/>
  <c r="L60" i="7"/>
  <c r="K60" i="7"/>
  <c r="J60" i="7"/>
  <c r="I60" i="7"/>
  <c r="H60" i="7"/>
  <c r="F60" i="7"/>
  <c r="E60" i="7"/>
  <c r="D60" i="7"/>
  <c r="C60" i="7"/>
  <c r="B60" i="7"/>
  <c r="A60" i="7"/>
  <c r="CS59" i="7"/>
  <c r="CR59" i="7"/>
  <c r="CQ59" i="7"/>
  <c r="CP59" i="7"/>
  <c r="CO59" i="7"/>
  <c r="CN59" i="7"/>
  <c r="CL59" i="7"/>
  <c r="CK59" i="7"/>
  <c r="CJ59" i="7"/>
  <c r="CI59" i="7"/>
  <c r="CH59" i="7"/>
  <c r="CG59" i="7"/>
  <c r="CE59" i="7"/>
  <c r="CD59" i="7"/>
  <c r="CC59" i="7"/>
  <c r="CB59" i="7"/>
  <c r="CA59" i="7"/>
  <c r="BZ59" i="7"/>
  <c r="BX59" i="7"/>
  <c r="BW59" i="7"/>
  <c r="BV59" i="7"/>
  <c r="BU59" i="7"/>
  <c r="BT59" i="7"/>
  <c r="BS59" i="7"/>
  <c r="BQ59" i="7"/>
  <c r="BP59" i="7"/>
  <c r="BO59" i="7"/>
  <c r="BN59" i="7"/>
  <c r="BM59" i="7"/>
  <c r="BL59" i="7"/>
  <c r="BJ59" i="7"/>
  <c r="BI59" i="7"/>
  <c r="BH59" i="7"/>
  <c r="BG59" i="7"/>
  <c r="BF59" i="7"/>
  <c r="BE59" i="7"/>
  <c r="BC59" i="7"/>
  <c r="BB59" i="7"/>
  <c r="BA59" i="7"/>
  <c r="AZ59" i="7"/>
  <c r="AY59" i="7"/>
  <c r="AX59" i="7"/>
  <c r="AV59" i="7"/>
  <c r="AU59" i="7"/>
  <c r="AT59" i="7"/>
  <c r="AS59" i="7"/>
  <c r="AR59" i="7"/>
  <c r="AQ59" i="7"/>
  <c r="AO59" i="7"/>
  <c r="AN59" i="7"/>
  <c r="AM59" i="7"/>
  <c r="AL59" i="7"/>
  <c r="AK59" i="7"/>
  <c r="AJ59" i="7"/>
  <c r="AH59" i="7"/>
  <c r="AG59" i="7"/>
  <c r="AF59" i="7"/>
  <c r="AE59" i="7"/>
  <c r="AD59" i="7"/>
  <c r="AC59" i="7"/>
  <c r="AA59" i="7"/>
  <c r="Z59" i="7"/>
  <c r="Y59" i="7"/>
  <c r="X59" i="7"/>
  <c r="W59" i="7"/>
  <c r="V59" i="7"/>
  <c r="T59" i="7"/>
  <c r="S59" i="7"/>
  <c r="R59" i="7"/>
  <c r="Q59" i="7"/>
  <c r="P59" i="7"/>
  <c r="O59" i="7"/>
  <c r="M59" i="7"/>
  <c r="L59" i="7"/>
  <c r="K59" i="7"/>
  <c r="J59" i="7"/>
  <c r="I59" i="7"/>
  <c r="H59" i="7"/>
  <c r="F59" i="7"/>
  <c r="E59" i="7"/>
  <c r="D59" i="7"/>
  <c r="C59" i="7"/>
  <c r="B59" i="7"/>
  <c r="A59" i="7"/>
  <c r="CS58" i="7"/>
  <c r="CR58" i="7"/>
  <c r="CQ58" i="7"/>
  <c r="CP58" i="7"/>
  <c r="CO58" i="7"/>
  <c r="CN58" i="7"/>
  <c r="CL58" i="7"/>
  <c r="CK58" i="7"/>
  <c r="CJ58" i="7"/>
  <c r="CI58" i="7"/>
  <c r="CH58" i="7"/>
  <c r="CG58" i="7"/>
  <c r="CE58" i="7"/>
  <c r="CD58" i="7"/>
  <c r="CC58" i="7"/>
  <c r="CB58" i="7"/>
  <c r="CA58" i="7"/>
  <c r="BZ58" i="7"/>
  <c r="BX58" i="7"/>
  <c r="BW58" i="7"/>
  <c r="BV58" i="7"/>
  <c r="BU58" i="7"/>
  <c r="BT58" i="7"/>
  <c r="BS58" i="7"/>
  <c r="BQ58" i="7"/>
  <c r="BP58" i="7"/>
  <c r="BO58" i="7"/>
  <c r="BN58" i="7"/>
  <c r="BM58" i="7"/>
  <c r="BL58" i="7"/>
  <c r="BJ58" i="7"/>
  <c r="BI58" i="7"/>
  <c r="BH58" i="7"/>
  <c r="BG58" i="7"/>
  <c r="BF58" i="7"/>
  <c r="BE58" i="7"/>
  <c r="BC58" i="7"/>
  <c r="BB58" i="7"/>
  <c r="BA58" i="7"/>
  <c r="AZ58" i="7"/>
  <c r="AY58" i="7"/>
  <c r="AX58" i="7"/>
  <c r="AV58" i="7"/>
  <c r="AU58" i="7"/>
  <c r="AT58" i="7"/>
  <c r="AS58" i="7"/>
  <c r="AR58" i="7"/>
  <c r="AQ58" i="7"/>
  <c r="AO58" i="7"/>
  <c r="AN58" i="7"/>
  <c r="AM58" i="7"/>
  <c r="AL58" i="7"/>
  <c r="AK58" i="7"/>
  <c r="AJ58" i="7"/>
  <c r="AH58" i="7"/>
  <c r="AG58" i="7"/>
  <c r="AF58" i="7"/>
  <c r="AE58" i="7"/>
  <c r="AD58" i="7"/>
  <c r="AC58" i="7"/>
  <c r="AA58" i="7"/>
  <c r="Z58" i="7"/>
  <c r="Y58" i="7"/>
  <c r="X58" i="7"/>
  <c r="W58" i="7"/>
  <c r="V58" i="7"/>
  <c r="T58" i="7"/>
  <c r="S58" i="7"/>
  <c r="R58" i="7"/>
  <c r="Q58" i="7"/>
  <c r="P58" i="7"/>
  <c r="O58" i="7"/>
  <c r="M58" i="7"/>
  <c r="L58" i="7"/>
  <c r="K58" i="7"/>
  <c r="J58" i="7"/>
  <c r="I58" i="7"/>
  <c r="H58" i="7"/>
  <c r="F58" i="7"/>
  <c r="E58" i="7"/>
  <c r="D58" i="7"/>
  <c r="C58" i="7"/>
  <c r="B58" i="7"/>
  <c r="A58" i="7"/>
  <c r="CS57" i="7"/>
  <c r="CR57" i="7"/>
  <c r="CQ57" i="7"/>
  <c r="CP57" i="7"/>
  <c r="CO57" i="7"/>
  <c r="CN57" i="7"/>
  <c r="CL57" i="7"/>
  <c r="CK57" i="7"/>
  <c r="CJ57" i="7"/>
  <c r="CI57" i="7"/>
  <c r="CH57" i="7"/>
  <c r="CG57" i="7"/>
  <c r="CE57" i="7"/>
  <c r="CD57" i="7"/>
  <c r="CC57" i="7"/>
  <c r="CB57" i="7"/>
  <c r="CA57" i="7"/>
  <c r="BZ57" i="7"/>
  <c r="BX57" i="7"/>
  <c r="BW57" i="7"/>
  <c r="BV57" i="7"/>
  <c r="BU57" i="7"/>
  <c r="BT57" i="7"/>
  <c r="BS57" i="7"/>
  <c r="BQ57" i="7"/>
  <c r="BP57" i="7"/>
  <c r="BO57" i="7"/>
  <c r="BN57" i="7"/>
  <c r="BM57" i="7"/>
  <c r="BL57" i="7"/>
  <c r="BJ57" i="7"/>
  <c r="BI57" i="7"/>
  <c r="BH57" i="7"/>
  <c r="BG57" i="7"/>
  <c r="BF57" i="7"/>
  <c r="BE57" i="7"/>
  <c r="BC57" i="7"/>
  <c r="BB57" i="7"/>
  <c r="BA57" i="7"/>
  <c r="AZ57" i="7"/>
  <c r="AY57" i="7"/>
  <c r="AX57" i="7"/>
  <c r="AV57" i="7"/>
  <c r="AU57" i="7"/>
  <c r="AT57" i="7"/>
  <c r="AS57" i="7"/>
  <c r="AR57" i="7"/>
  <c r="AQ57" i="7"/>
  <c r="AO57" i="7"/>
  <c r="AN57" i="7"/>
  <c r="AM57" i="7"/>
  <c r="AL57" i="7"/>
  <c r="AK57" i="7"/>
  <c r="AJ57" i="7"/>
  <c r="AH57" i="7"/>
  <c r="AG57" i="7"/>
  <c r="AF57" i="7"/>
  <c r="AE57" i="7"/>
  <c r="AD57" i="7"/>
  <c r="AC57" i="7"/>
  <c r="AA57" i="7"/>
  <c r="Z57" i="7"/>
  <c r="Y57" i="7"/>
  <c r="X57" i="7"/>
  <c r="W57" i="7"/>
  <c r="V57" i="7"/>
  <c r="T57" i="7"/>
  <c r="S57" i="7"/>
  <c r="R57" i="7"/>
  <c r="Q57" i="7"/>
  <c r="P57" i="7"/>
  <c r="O57" i="7"/>
  <c r="M57" i="7"/>
  <c r="L57" i="7"/>
  <c r="K57" i="7"/>
  <c r="J57" i="7"/>
  <c r="I57" i="7"/>
  <c r="H57" i="7"/>
  <c r="F57" i="7"/>
  <c r="E57" i="7"/>
  <c r="D57" i="7"/>
  <c r="C57" i="7"/>
  <c r="B57" i="7"/>
  <c r="A57" i="7"/>
  <c r="CS56" i="7"/>
  <c r="CR56" i="7"/>
  <c r="CQ56" i="7"/>
  <c r="CP56" i="7"/>
  <c r="CO56" i="7"/>
  <c r="CN56" i="7"/>
  <c r="CL56" i="7"/>
  <c r="CK56" i="7"/>
  <c r="CJ56" i="7"/>
  <c r="CI56" i="7"/>
  <c r="CH56" i="7"/>
  <c r="CG56" i="7"/>
  <c r="CE56" i="7"/>
  <c r="CD56" i="7"/>
  <c r="CC56" i="7"/>
  <c r="CB56" i="7"/>
  <c r="CA56" i="7"/>
  <c r="BZ56" i="7"/>
  <c r="BX56" i="7"/>
  <c r="BW56" i="7"/>
  <c r="BV56" i="7"/>
  <c r="BU56" i="7"/>
  <c r="BT56" i="7"/>
  <c r="BS56" i="7"/>
  <c r="BQ56" i="7"/>
  <c r="BP56" i="7"/>
  <c r="BO56" i="7"/>
  <c r="BN56" i="7"/>
  <c r="BM56" i="7"/>
  <c r="BL56" i="7"/>
  <c r="BJ56" i="7"/>
  <c r="BI56" i="7"/>
  <c r="BH56" i="7"/>
  <c r="BG56" i="7"/>
  <c r="BF56" i="7"/>
  <c r="BE56" i="7"/>
  <c r="BC56" i="7"/>
  <c r="BB56" i="7"/>
  <c r="BA56" i="7"/>
  <c r="AZ56" i="7"/>
  <c r="AY56" i="7"/>
  <c r="AX56" i="7"/>
  <c r="AV56" i="7"/>
  <c r="AU56" i="7"/>
  <c r="AT56" i="7"/>
  <c r="AS56" i="7"/>
  <c r="AR56" i="7"/>
  <c r="AQ56" i="7"/>
  <c r="AO56" i="7"/>
  <c r="AN56" i="7"/>
  <c r="AM56" i="7"/>
  <c r="AL56" i="7"/>
  <c r="AK56" i="7"/>
  <c r="AJ56" i="7"/>
  <c r="AH56" i="7"/>
  <c r="AG56" i="7"/>
  <c r="AF56" i="7"/>
  <c r="AE56" i="7"/>
  <c r="AD56" i="7"/>
  <c r="AC56" i="7"/>
  <c r="AA56" i="7"/>
  <c r="Z56" i="7"/>
  <c r="Y56" i="7"/>
  <c r="X56" i="7"/>
  <c r="W56" i="7"/>
  <c r="V56" i="7"/>
  <c r="T56" i="7"/>
  <c r="S56" i="7"/>
  <c r="R56" i="7"/>
  <c r="Q56" i="7"/>
  <c r="P56" i="7"/>
  <c r="O56" i="7"/>
  <c r="M56" i="7"/>
  <c r="L56" i="7"/>
  <c r="K56" i="7"/>
  <c r="J56" i="7"/>
  <c r="I56" i="7"/>
  <c r="H56" i="7"/>
  <c r="F56" i="7"/>
  <c r="E56" i="7"/>
  <c r="D56" i="7"/>
  <c r="C56" i="7"/>
  <c r="B56" i="7"/>
  <c r="A56" i="7"/>
  <c r="CS55" i="7"/>
  <c r="CR55" i="7"/>
  <c r="CQ55" i="7"/>
  <c r="CP55" i="7"/>
  <c r="CO55" i="7"/>
  <c r="CN55" i="7"/>
  <c r="CL55" i="7"/>
  <c r="CK55" i="7"/>
  <c r="CJ55" i="7"/>
  <c r="CI55" i="7"/>
  <c r="CH55" i="7"/>
  <c r="CG55" i="7"/>
  <c r="CE55" i="7"/>
  <c r="CD55" i="7"/>
  <c r="CC55" i="7"/>
  <c r="CB55" i="7"/>
  <c r="CA55" i="7"/>
  <c r="BZ55" i="7"/>
  <c r="BX55" i="7"/>
  <c r="BW55" i="7"/>
  <c r="BV55" i="7"/>
  <c r="BU55" i="7"/>
  <c r="BT55" i="7"/>
  <c r="BS55" i="7"/>
  <c r="BQ55" i="7"/>
  <c r="BP55" i="7"/>
  <c r="BO55" i="7"/>
  <c r="BN55" i="7"/>
  <c r="BM55" i="7"/>
  <c r="BL55" i="7"/>
  <c r="BJ55" i="7"/>
  <c r="BI55" i="7"/>
  <c r="BH55" i="7"/>
  <c r="BG55" i="7"/>
  <c r="BF55" i="7"/>
  <c r="BE55" i="7"/>
  <c r="BC55" i="7"/>
  <c r="BB55" i="7"/>
  <c r="BA55" i="7"/>
  <c r="AZ55" i="7"/>
  <c r="AY55" i="7"/>
  <c r="AX55" i="7"/>
  <c r="AV55" i="7"/>
  <c r="AU55" i="7"/>
  <c r="AT55" i="7"/>
  <c r="AS55" i="7"/>
  <c r="AR55" i="7"/>
  <c r="AQ55" i="7"/>
  <c r="AO55" i="7"/>
  <c r="AN55" i="7"/>
  <c r="AM55" i="7"/>
  <c r="AL55" i="7"/>
  <c r="AK55" i="7"/>
  <c r="AJ55" i="7"/>
  <c r="AH55" i="7"/>
  <c r="AG55" i="7"/>
  <c r="AF55" i="7"/>
  <c r="AE55" i="7"/>
  <c r="AD55" i="7"/>
  <c r="AC55" i="7"/>
  <c r="AA55" i="7"/>
  <c r="Z55" i="7"/>
  <c r="Y55" i="7"/>
  <c r="X55" i="7"/>
  <c r="W55" i="7"/>
  <c r="V55" i="7"/>
  <c r="T55" i="7"/>
  <c r="S55" i="7"/>
  <c r="R55" i="7"/>
  <c r="Q55" i="7"/>
  <c r="P55" i="7"/>
  <c r="O55" i="7"/>
  <c r="M55" i="7"/>
  <c r="L55" i="7"/>
  <c r="K55" i="7"/>
  <c r="J55" i="7"/>
  <c r="I55" i="7"/>
  <c r="H55" i="7"/>
  <c r="F55" i="7"/>
  <c r="E55" i="7"/>
  <c r="D55" i="7"/>
  <c r="C55" i="7"/>
  <c r="B55" i="7"/>
  <c r="A55" i="7"/>
  <c r="CS54" i="7"/>
  <c r="CR54" i="7"/>
  <c r="CQ54" i="7"/>
  <c r="CP54" i="7"/>
  <c r="CO54" i="7"/>
  <c r="CN54" i="7"/>
  <c r="CL54" i="7"/>
  <c r="CK54" i="7"/>
  <c r="CJ54" i="7"/>
  <c r="CI54" i="7"/>
  <c r="CH54" i="7"/>
  <c r="CG54" i="7"/>
  <c r="CE54" i="7"/>
  <c r="CD54" i="7"/>
  <c r="CC54" i="7"/>
  <c r="CB54" i="7"/>
  <c r="CA54" i="7"/>
  <c r="BZ54" i="7"/>
  <c r="BX54" i="7"/>
  <c r="BW54" i="7"/>
  <c r="BV54" i="7"/>
  <c r="BU54" i="7"/>
  <c r="BT54" i="7"/>
  <c r="BS54" i="7"/>
  <c r="BQ54" i="7"/>
  <c r="BP54" i="7"/>
  <c r="BO54" i="7"/>
  <c r="BN54" i="7"/>
  <c r="BM54" i="7"/>
  <c r="BL54" i="7"/>
  <c r="BJ54" i="7"/>
  <c r="BI54" i="7"/>
  <c r="BH54" i="7"/>
  <c r="BG54" i="7"/>
  <c r="BF54" i="7"/>
  <c r="BE54" i="7"/>
  <c r="BC54" i="7"/>
  <c r="BB54" i="7"/>
  <c r="BA54" i="7"/>
  <c r="AZ54" i="7"/>
  <c r="AY54" i="7"/>
  <c r="AX54" i="7"/>
  <c r="AV54" i="7"/>
  <c r="AU54" i="7"/>
  <c r="AT54" i="7"/>
  <c r="AS54" i="7"/>
  <c r="AR54" i="7"/>
  <c r="AQ54" i="7"/>
  <c r="AO54" i="7"/>
  <c r="AN54" i="7"/>
  <c r="AM54" i="7"/>
  <c r="AL54" i="7"/>
  <c r="AK54" i="7"/>
  <c r="AJ54" i="7"/>
  <c r="AH54" i="7"/>
  <c r="AG54" i="7"/>
  <c r="AF54" i="7"/>
  <c r="AE54" i="7"/>
  <c r="AD54" i="7"/>
  <c r="AC54" i="7"/>
  <c r="AA54" i="7"/>
  <c r="Z54" i="7"/>
  <c r="Y54" i="7"/>
  <c r="X54" i="7"/>
  <c r="W54" i="7"/>
  <c r="V54" i="7"/>
  <c r="T54" i="7"/>
  <c r="S54" i="7"/>
  <c r="R54" i="7"/>
  <c r="Q54" i="7"/>
  <c r="P54" i="7"/>
  <c r="O54" i="7"/>
  <c r="M54" i="7"/>
  <c r="L54" i="7"/>
  <c r="K54" i="7"/>
  <c r="J54" i="7"/>
  <c r="I54" i="7"/>
  <c r="H54" i="7"/>
  <c r="F54" i="7"/>
  <c r="E54" i="7"/>
  <c r="D54" i="7"/>
  <c r="C54" i="7"/>
  <c r="B54" i="7"/>
  <c r="A54" i="7"/>
  <c r="CS53" i="7"/>
  <c r="CR53" i="7"/>
  <c r="CQ53" i="7"/>
  <c r="CP53" i="7"/>
  <c r="CO53" i="7"/>
  <c r="CN53" i="7"/>
  <c r="CL53" i="7"/>
  <c r="CK53" i="7"/>
  <c r="CJ53" i="7"/>
  <c r="CI53" i="7"/>
  <c r="CH53" i="7"/>
  <c r="CG53" i="7"/>
  <c r="CE53" i="7"/>
  <c r="CD53" i="7"/>
  <c r="CC53" i="7"/>
  <c r="CB53" i="7"/>
  <c r="CA53" i="7"/>
  <c r="BZ53" i="7"/>
  <c r="BX53" i="7"/>
  <c r="BW53" i="7"/>
  <c r="BV53" i="7"/>
  <c r="BU53" i="7"/>
  <c r="BT53" i="7"/>
  <c r="BS53" i="7"/>
  <c r="BQ53" i="7"/>
  <c r="BP53" i="7"/>
  <c r="BO53" i="7"/>
  <c r="BN53" i="7"/>
  <c r="BM53" i="7"/>
  <c r="BL53" i="7"/>
  <c r="BJ53" i="7"/>
  <c r="BI53" i="7"/>
  <c r="BH53" i="7"/>
  <c r="BG53" i="7"/>
  <c r="BF53" i="7"/>
  <c r="BE53" i="7"/>
  <c r="BC53" i="7"/>
  <c r="BB53" i="7"/>
  <c r="BA53" i="7"/>
  <c r="AZ53" i="7"/>
  <c r="AY53" i="7"/>
  <c r="AX53" i="7"/>
  <c r="AV53" i="7"/>
  <c r="AU53" i="7"/>
  <c r="AT53" i="7"/>
  <c r="AS53" i="7"/>
  <c r="AR53" i="7"/>
  <c r="AQ53" i="7"/>
  <c r="AO53" i="7"/>
  <c r="AN53" i="7"/>
  <c r="AM53" i="7"/>
  <c r="AL53" i="7"/>
  <c r="AK53" i="7"/>
  <c r="AJ53" i="7"/>
  <c r="AH53" i="7"/>
  <c r="AG53" i="7"/>
  <c r="AF53" i="7"/>
  <c r="AE53" i="7"/>
  <c r="AD53" i="7"/>
  <c r="AC53" i="7"/>
  <c r="AA53" i="7"/>
  <c r="Z53" i="7"/>
  <c r="Y53" i="7"/>
  <c r="X53" i="7"/>
  <c r="W53" i="7"/>
  <c r="V53" i="7"/>
  <c r="T53" i="7"/>
  <c r="S53" i="7"/>
  <c r="R53" i="7"/>
  <c r="Q53" i="7"/>
  <c r="P53" i="7"/>
  <c r="O53" i="7"/>
  <c r="M53" i="7"/>
  <c r="L53" i="7"/>
  <c r="K53" i="7"/>
  <c r="J53" i="7"/>
  <c r="I53" i="7"/>
  <c r="H53" i="7"/>
  <c r="F53" i="7"/>
  <c r="E53" i="7"/>
  <c r="D53" i="7"/>
  <c r="C53" i="7"/>
  <c r="B53" i="7"/>
  <c r="A53" i="7"/>
  <c r="CS52" i="7"/>
  <c r="CR52" i="7"/>
  <c r="CQ52" i="7"/>
  <c r="CP52" i="7"/>
  <c r="CO52" i="7"/>
  <c r="CN52" i="7"/>
  <c r="CL52" i="7"/>
  <c r="CK52" i="7"/>
  <c r="CJ52" i="7"/>
  <c r="CI52" i="7"/>
  <c r="CH52" i="7"/>
  <c r="CG52" i="7"/>
  <c r="CE52" i="7"/>
  <c r="CD52" i="7"/>
  <c r="CC52" i="7"/>
  <c r="CB52" i="7"/>
  <c r="CA52" i="7"/>
  <c r="BZ52" i="7"/>
  <c r="BX52" i="7"/>
  <c r="BW52" i="7"/>
  <c r="BV52" i="7"/>
  <c r="BU52" i="7"/>
  <c r="BT52" i="7"/>
  <c r="BS52" i="7"/>
  <c r="BQ52" i="7"/>
  <c r="BP52" i="7"/>
  <c r="BO52" i="7"/>
  <c r="BN52" i="7"/>
  <c r="BM52" i="7"/>
  <c r="BL52" i="7"/>
  <c r="BJ52" i="7"/>
  <c r="BI52" i="7"/>
  <c r="BH52" i="7"/>
  <c r="BG52" i="7"/>
  <c r="BF52" i="7"/>
  <c r="BE52" i="7"/>
  <c r="BC52" i="7"/>
  <c r="BB52" i="7"/>
  <c r="BA52" i="7"/>
  <c r="AZ52" i="7"/>
  <c r="AY52" i="7"/>
  <c r="AX52" i="7"/>
  <c r="AV52" i="7"/>
  <c r="AU52" i="7"/>
  <c r="AT52" i="7"/>
  <c r="AS52" i="7"/>
  <c r="AR52" i="7"/>
  <c r="AQ52" i="7"/>
  <c r="AO52" i="7"/>
  <c r="AN52" i="7"/>
  <c r="AM52" i="7"/>
  <c r="AL52" i="7"/>
  <c r="AK52" i="7"/>
  <c r="AJ52" i="7"/>
  <c r="AH52" i="7"/>
  <c r="AG52" i="7"/>
  <c r="AF52" i="7"/>
  <c r="AE52" i="7"/>
  <c r="AD52" i="7"/>
  <c r="AC52" i="7"/>
  <c r="AA52" i="7"/>
  <c r="Z52" i="7"/>
  <c r="Y52" i="7"/>
  <c r="X52" i="7"/>
  <c r="W52" i="7"/>
  <c r="V52" i="7"/>
  <c r="T52" i="7"/>
  <c r="S52" i="7"/>
  <c r="R52" i="7"/>
  <c r="Q52" i="7"/>
  <c r="P52" i="7"/>
  <c r="O52" i="7"/>
  <c r="M52" i="7"/>
  <c r="L52" i="7"/>
  <c r="K52" i="7"/>
  <c r="J52" i="7"/>
  <c r="I52" i="7"/>
  <c r="H52" i="7"/>
  <c r="F52" i="7"/>
  <c r="E52" i="7"/>
  <c r="D52" i="7"/>
  <c r="C52" i="7"/>
  <c r="B52" i="7"/>
  <c r="A52" i="7"/>
  <c r="CS51" i="7"/>
  <c r="CR51" i="7"/>
  <c r="CQ51" i="7"/>
  <c r="CP51" i="7"/>
  <c r="CO51" i="7"/>
  <c r="CN51" i="7"/>
  <c r="CL51" i="7"/>
  <c r="CK51" i="7"/>
  <c r="CJ51" i="7"/>
  <c r="CI51" i="7"/>
  <c r="CH51" i="7"/>
  <c r="CG51" i="7"/>
  <c r="CE51" i="7"/>
  <c r="CD51" i="7"/>
  <c r="CC51" i="7"/>
  <c r="CB51" i="7"/>
  <c r="CA51" i="7"/>
  <c r="BZ51" i="7"/>
  <c r="BX51" i="7"/>
  <c r="BW51" i="7"/>
  <c r="BV51" i="7"/>
  <c r="BU51" i="7"/>
  <c r="BT51" i="7"/>
  <c r="BS51" i="7"/>
  <c r="BQ51" i="7"/>
  <c r="BP51" i="7"/>
  <c r="BO51" i="7"/>
  <c r="BN51" i="7"/>
  <c r="BM51" i="7"/>
  <c r="BL51" i="7"/>
  <c r="BJ51" i="7"/>
  <c r="BI51" i="7"/>
  <c r="BH51" i="7"/>
  <c r="BG51" i="7"/>
  <c r="BF51" i="7"/>
  <c r="BE51" i="7"/>
  <c r="BC51" i="7"/>
  <c r="BB51" i="7"/>
  <c r="BA51" i="7"/>
  <c r="AZ51" i="7"/>
  <c r="AY51" i="7"/>
  <c r="AX51" i="7"/>
  <c r="AV51" i="7"/>
  <c r="AU51" i="7"/>
  <c r="AT51" i="7"/>
  <c r="AS51" i="7"/>
  <c r="AR51" i="7"/>
  <c r="AQ51" i="7"/>
  <c r="AO51" i="7"/>
  <c r="AN51" i="7"/>
  <c r="AM51" i="7"/>
  <c r="AL51" i="7"/>
  <c r="AK51" i="7"/>
  <c r="AJ51" i="7"/>
  <c r="AH51" i="7"/>
  <c r="AG51" i="7"/>
  <c r="AF51" i="7"/>
  <c r="AE51" i="7"/>
  <c r="AD51" i="7"/>
  <c r="AC51" i="7"/>
  <c r="AA51" i="7"/>
  <c r="Z51" i="7"/>
  <c r="Y51" i="7"/>
  <c r="X51" i="7"/>
  <c r="W51" i="7"/>
  <c r="V51" i="7"/>
  <c r="T51" i="7"/>
  <c r="S51" i="7"/>
  <c r="R51" i="7"/>
  <c r="Q51" i="7"/>
  <c r="P51" i="7"/>
  <c r="O51" i="7"/>
  <c r="M51" i="7"/>
  <c r="L51" i="7"/>
  <c r="K51" i="7"/>
  <c r="J51" i="7"/>
  <c r="I51" i="7"/>
  <c r="H51" i="7"/>
  <c r="F51" i="7"/>
  <c r="E51" i="7"/>
  <c r="D51" i="7"/>
  <c r="C51" i="7"/>
  <c r="B51" i="7"/>
  <c r="A51" i="7"/>
  <c r="CS50" i="7"/>
  <c r="CR50" i="7"/>
  <c r="CQ50" i="7"/>
  <c r="CP50" i="7"/>
  <c r="CO50" i="7"/>
  <c r="CN50" i="7"/>
  <c r="CL50" i="7"/>
  <c r="CK50" i="7"/>
  <c r="CJ50" i="7"/>
  <c r="CI50" i="7"/>
  <c r="CH50" i="7"/>
  <c r="CG50" i="7"/>
  <c r="CE50" i="7"/>
  <c r="CD50" i="7"/>
  <c r="CC50" i="7"/>
  <c r="CB50" i="7"/>
  <c r="CA50" i="7"/>
  <c r="BZ50" i="7"/>
  <c r="BX50" i="7"/>
  <c r="BW50" i="7"/>
  <c r="BV50" i="7"/>
  <c r="BU50" i="7"/>
  <c r="BT50" i="7"/>
  <c r="BS50" i="7"/>
  <c r="BQ50" i="7"/>
  <c r="BP50" i="7"/>
  <c r="BO50" i="7"/>
  <c r="BN50" i="7"/>
  <c r="BM50" i="7"/>
  <c r="BL50" i="7"/>
  <c r="BJ50" i="7"/>
  <c r="BI50" i="7"/>
  <c r="BH50" i="7"/>
  <c r="BG50" i="7"/>
  <c r="BF50" i="7"/>
  <c r="BE50" i="7"/>
  <c r="BC50" i="7"/>
  <c r="BB50" i="7"/>
  <c r="BA50" i="7"/>
  <c r="AZ50" i="7"/>
  <c r="AY50" i="7"/>
  <c r="AX50" i="7"/>
  <c r="AV50" i="7"/>
  <c r="AU50" i="7"/>
  <c r="AT50" i="7"/>
  <c r="AS50" i="7"/>
  <c r="AR50" i="7"/>
  <c r="AQ50" i="7"/>
  <c r="AO50" i="7"/>
  <c r="AN50" i="7"/>
  <c r="AM50" i="7"/>
  <c r="AL50" i="7"/>
  <c r="AK50" i="7"/>
  <c r="AJ50" i="7"/>
  <c r="AH50" i="7"/>
  <c r="AG50" i="7"/>
  <c r="AF50" i="7"/>
  <c r="AE50" i="7"/>
  <c r="AD50" i="7"/>
  <c r="AC50" i="7"/>
  <c r="AA50" i="7"/>
  <c r="Z50" i="7"/>
  <c r="Y50" i="7"/>
  <c r="X50" i="7"/>
  <c r="W50" i="7"/>
  <c r="V50" i="7"/>
  <c r="T50" i="7"/>
  <c r="S50" i="7"/>
  <c r="R50" i="7"/>
  <c r="Q50" i="7"/>
  <c r="P50" i="7"/>
  <c r="O50" i="7"/>
  <c r="M50" i="7"/>
  <c r="L50" i="7"/>
  <c r="K50" i="7"/>
  <c r="J50" i="7"/>
  <c r="I50" i="7"/>
  <c r="H50" i="7"/>
  <c r="F50" i="7"/>
  <c r="E50" i="7"/>
  <c r="D50" i="7"/>
  <c r="C50" i="7"/>
  <c r="B50" i="7"/>
  <c r="A50" i="7"/>
  <c r="CS49" i="7"/>
  <c r="CR49" i="7"/>
  <c r="CQ49" i="7"/>
  <c r="CP49" i="7"/>
  <c r="CO49" i="7"/>
  <c r="CN49" i="7"/>
  <c r="CL49" i="7"/>
  <c r="CK49" i="7"/>
  <c r="CJ49" i="7"/>
  <c r="CI49" i="7"/>
  <c r="CH49" i="7"/>
  <c r="CG49" i="7"/>
  <c r="CE49" i="7"/>
  <c r="CD49" i="7"/>
  <c r="CC49" i="7"/>
  <c r="CB49" i="7"/>
  <c r="CA49" i="7"/>
  <c r="BZ49" i="7"/>
  <c r="BX49" i="7"/>
  <c r="BW49" i="7"/>
  <c r="BV49" i="7"/>
  <c r="BU49" i="7"/>
  <c r="BT49" i="7"/>
  <c r="BS49" i="7"/>
  <c r="BQ49" i="7"/>
  <c r="BP49" i="7"/>
  <c r="BO49" i="7"/>
  <c r="BN49" i="7"/>
  <c r="BM49" i="7"/>
  <c r="BL49" i="7"/>
  <c r="BJ49" i="7"/>
  <c r="BI49" i="7"/>
  <c r="BH49" i="7"/>
  <c r="BG49" i="7"/>
  <c r="BF49" i="7"/>
  <c r="BE49" i="7"/>
  <c r="BC49" i="7"/>
  <c r="BB49" i="7"/>
  <c r="BA49" i="7"/>
  <c r="AZ49" i="7"/>
  <c r="AY49" i="7"/>
  <c r="AX49" i="7"/>
  <c r="AV49" i="7"/>
  <c r="AU49" i="7"/>
  <c r="AT49" i="7"/>
  <c r="AS49" i="7"/>
  <c r="AR49" i="7"/>
  <c r="AQ49" i="7"/>
  <c r="AO49" i="7"/>
  <c r="AN49" i="7"/>
  <c r="AM49" i="7"/>
  <c r="AL49" i="7"/>
  <c r="AK49" i="7"/>
  <c r="AJ49" i="7"/>
  <c r="AH49" i="7"/>
  <c r="AG49" i="7"/>
  <c r="AF49" i="7"/>
  <c r="AE49" i="7"/>
  <c r="AD49" i="7"/>
  <c r="AC49" i="7"/>
  <c r="AA49" i="7"/>
  <c r="Z49" i="7"/>
  <c r="Y49" i="7"/>
  <c r="X49" i="7"/>
  <c r="W49" i="7"/>
  <c r="V49" i="7"/>
  <c r="T49" i="7"/>
  <c r="S49" i="7"/>
  <c r="R49" i="7"/>
  <c r="Q49" i="7"/>
  <c r="P49" i="7"/>
  <c r="O49" i="7"/>
  <c r="M49" i="7"/>
  <c r="L49" i="7"/>
  <c r="K49" i="7"/>
  <c r="J49" i="7"/>
  <c r="I49" i="7"/>
  <c r="H49" i="7"/>
  <c r="F49" i="7"/>
  <c r="E49" i="7"/>
  <c r="D49" i="7"/>
  <c r="C49" i="7"/>
  <c r="B49" i="7"/>
  <c r="A49" i="7"/>
  <c r="CS48" i="7"/>
  <c r="CR48" i="7"/>
  <c r="CQ48" i="7"/>
  <c r="CP48" i="7"/>
  <c r="CO48" i="7"/>
  <c r="CN48" i="7"/>
  <c r="CL48" i="7"/>
  <c r="CK48" i="7"/>
  <c r="CJ48" i="7"/>
  <c r="CI48" i="7"/>
  <c r="CH48" i="7"/>
  <c r="CG48" i="7"/>
  <c r="CE48" i="7"/>
  <c r="CD48" i="7"/>
  <c r="CC48" i="7"/>
  <c r="CB48" i="7"/>
  <c r="CA48" i="7"/>
  <c r="BZ48" i="7"/>
  <c r="BX48" i="7"/>
  <c r="BW48" i="7"/>
  <c r="BV48" i="7"/>
  <c r="BU48" i="7"/>
  <c r="BT48" i="7"/>
  <c r="BS48" i="7"/>
  <c r="BQ48" i="7"/>
  <c r="BP48" i="7"/>
  <c r="BO48" i="7"/>
  <c r="BN48" i="7"/>
  <c r="BM48" i="7"/>
  <c r="BL48" i="7"/>
  <c r="BJ48" i="7"/>
  <c r="BI48" i="7"/>
  <c r="BH48" i="7"/>
  <c r="BG48" i="7"/>
  <c r="BF48" i="7"/>
  <c r="BE48" i="7"/>
  <c r="BC48" i="7"/>
  <c r="BB48" i="7"/>
  <c r="BA48" i="7"/>
  <c r="AZ48" i="7"/>
  <c r="AY48" i="7"/>
  <c r="AX48" i="7"/>
  <c r="AV48" i="7"/>
  <c r="AU48" i="7"/>
  <c r="AT48" i="7"/>
  <c r="AS48" i="7"/>
  <c r="AR48" i="7"/>
  <c r="AQ48" i="7"/>
  <c r="AO48" i="7"/>
  <c r="AN48" i="7"/>
  <c r="AM48" i="7"/>
  <c r="AL48" i="7"/>
  <c r="AK48" i="7"/>
  <c r="AJ48" i="7"/>
  <c r="AH48" i="7"/>
  <c r="AG48" i="7"/>
  <c r="AF48" i="7"/>
  <c r="AE48" i="7"/>
  <c r="AD48" i="7"/>
  <c r="AC48" i="7"/>
  <c r="AA48" i="7"/>
  <c r="Z48" i="7"/>
  <c r="Y48" i="7"/>
  <c r="X48" i="7"/>
  <c r="W48" i="7"/>
  <c r="V48" i="7"/>
  <c r="T48" i="7"/>
  <c r="S48" i="7"/>
  <c r="R48" i="7"/>
  <c r="Q48" i="7"/>
  <c r="P48" i="7"/>
  <c r="O48" i="7"/>
  <c r="M48" i="7"/>
  <c r="L48" i="7"/>
  <c r="K48" i="7"/>
  <c r="J48" i="7"/>
  <c r="I48" i="7"/>
  <c r="H48" i="7"/>
  <c r="F48" i="7"/>
  <c r="E48" i="7"/>
  <c r="D48" i="7"/>
  <c r="C48" i="7"/>
  <c r="B48" i="7"/>
  <c r="A48" i="7"/>
  <c r="CS47" i="7"/>
  <c r="CR47" i="7"/>
  <c r="CQ47" i="7"/>
  <c r="CP47" i="7"/>
  <c r="CO47" i="7"/>
  <c r="CN47" i="7"/>
  <c r="CL47" i="7"/>
  <c r="CK47" i="7"/>
  <c r="CJ47" i="7"/>
  <c r="CI47" i="7"/>
  <c r="CH47" i="7"/>
  <c r="CG47" i="7"/>
  <c r="CE47" i="7"/>
  <c r="CD47" i="7"/>
  <c r="CC47" i="7"/>
  <c r="CB47" i="7"/>
  <c r="CA47" i="7"/>
  <c r="BZ47" i="7"/>
  <c r="BX47" i="7"/>
  <c r="BW47" i="7"/>
  <c r="BV47" i="7"/>
  <c r="BU47" i="7"/>
  <c r="BT47" i="7"/>
  <c r="BS47" i="7"/>
  <c r="BQ47" i="7"/>
  <c r="BP47" i="7"/>
  <c r="BO47" i="7"/>
  <c r="BN47" i="7"/>
  <c r="BM47" i="7"/>
  <c r="BL47" i="7"/>
  <c r="BJ47" i="7"/>
  <c r="BI47" i="7"/>
  <c r="BH47" i="7"/>
  <c r="BG47" i="7"/>
  <c r="BF47" i="7"/>
  <c r="BE47" i="7"/>
  <c r="BC47" i="7"/>
  <c r="BB47" i="7"/>
  <c r="BA47" i="7"/>
  <c r="AZ47" i="7"/>
  <c r="AY47" i="7"/>
  <c r="AX47" i="7"/>
  <c r="AV47" i="7"/>
  <c r="AU47" i="7"/>
  <c r="AT47" i="7"/>
  <c r="AS47" i="7"/>
  <c r="AR47" i="7"/>
  <c r="AQ47" i="7"/>
  <c r="AO47" i="7"/>
  <c r="AN47" i="7"/>
  <c r="AM47" i="7"/>
  <c r="AL47" i="7"/>
  <c r="AK47" i="7"/>
  <c r="AJ47" i="7"/>
  <c r="AH47" i="7"/>
  <c r="AG47" i="7"/>
  <c r="AF47" i="7"/>
  <c r="AE47" i="7"/>
  <c r="AD47" i="7"/>
  <c r="AC47" i="7"/>
  <c r="AA47" i="7"/>
  <c r="Z47" i="7"/>
  <c r="Y47" i="7"/>
  <c r="X47" i="7"/>
  <c r="W47" i="7"/>
  <c r="V47" i="7"/>
  <c r="T47" i="7"/>
  <c r="S47" i="7"/>
  <c r="R47" i="7"/>
  <c r="Q47" i="7"/>
  <c r="P47" i="7"/>
  <c r="O47" i="7"/>
  <c r="M47" i="7"/>
  <c r="L47" i="7"/>
  <c r="K47" i="7"/>
  <c r="J47" i="7"/>
  <c r="I47" i="7"/>
  <c r="H47" i="7"/>
  <c r="F47" i="7"/>
  <c r="E47" i="7"/>
  <c r="D47" i="7"/>
  <c r="C47" i="7"/>
  <c r="B47" i="7"/>
  <c r="A47" i="7"/>
  <c r="CS46" i="7"/>
  <c r="CR46" i="7"/>
  <c r="CQ46" i="7"/>
  <c r="CP46" i="7"/>
  <c r="CO46" i="7"/>
  <c r="CN46" i="7"/>
  <c r="CL46" i="7"/>
  <c r="CK46" i="7"/>
  <c r="CJ46" i="7"/>
  <c r="CI46" i="7"/>
  <c r="CH46" i="7"/>
  <c r="CG46" i="7"/>
  <c r="CE46" i="7"/>
  <c r="CD46" i="7"/>
  <c r="CC46" i="7"/>
  <c r="CB46" i="7"/>
  <c r="CA46" i="7"/>
  <c r="BZ46" i="7"/>
  <c r="BX46" i="7"/>
  <c r="BW46" i="7"/>
  <c r="BV46" i="7"/>
  <c r="BU46" i="7"/>
  <c r="BT46" i="7"/>
  <c r="BS46" i="7"/>
  <c r="BQ46" i="7"/>
  <c r="BP46" i="7"/>
  <c r="BO46" i="7"/>
  <c r="BN46" i="7"/>
  <c r="BM46" i="7"/>
  <c r="BL46" i="7"/>
  <c r="BJ46" i="7"/>
  <c r="BI46" i="7"/>
  <c r="BH46" i="7"/>
  <c r="BG46" i="7"/>
  <c r="BF46" i="7"/>
  <c r="BE46" i="7"/>
  <c r="BC46" i="7"/>
  <c r="BB46" i="7"/>
  <c r="BA46" i="7"/>
  <c r="AZ46" i="7"/>
  <c r="AY46" i="7"/>
  <c r="AX46" i="7"/>
  <c r="AV46" i="7"/>
  <c r="AU46" i="7"/>
  <c r="AT46" i="7"/>
  <c r="AS46" i="7"/>
  <c r="AR46" i="7"/>
  <c r="AQ46" i="7"/>
  <c r="AO46" i="7"/>
  <c r="AN46" i="7"/>
  <c r="AM46" i="7"/>
  <c r="AL46" i="7"/>
  <c r="AK46" i="7"/>
  <c r="AJ46" i="7"/>
  <c r="AH46" i="7"/>
  <c r="AG46" i="7"/>
  <c r="AF46" i="7"/>
  <c r="AE46" i="7"/>
  <c r="AD46" i="7"/>
  <c r="AC46" i="7"/>
  <c r="AA46" i="7"/>
  <c r="Z46" i="7"/>
  <c r="Y46" i="7"/>
  <c r="X46" i="7"/>
  <c r="W46" i="7"/>
  <c r="V46" i="7"/>
  <c r="T46" i="7"/>
  <c r="S46" i="7"/>
  <c r="R46" i="7"/>
  <c r="Q46" i="7"/>
  <c r="P46" i="7"/>
  <c r="O46" i="7"/>
  <c r="M46" i="7"/>
  <c r="L46" i="7"/>
  <c r="K46" i="7"/>
  <c r="J46" i="7"/>
  <c r="I46" i="7"/>
  <c r="H46" i="7"/>
  <c r="F46" i="7"/>
  <c r="E46" i="7"/>
  <c r="D46" i="7"/>
  <c r="C46" i="7"/>
  <c r="B46" i="7"/>
  <c r="A46" i="7"/>
  <c r="CS45" i="7"/>
  <c r="CR45" i="7"/>
  <c r="CQ45" i="7"/>
  <c r="CP45" i="7"/>
  <c r="CO45" i="7"/>
  <c r="CN45" i="7"/>
  <c r="CL45" i="7"/>
  <c r="CK45" i="7"/>
  <c r="CJ45" i="7"/>
  <c r="CI45" i="7"/>
  <c r="CH45" i="7"/>
  <c r="CG45" i="7"/>
  <c r="CE45" i="7"/>
  <c r="CD45" i="7"/>
  <c r="CC45" i="7"/>
  <c r="CB45" i="7"/>
  <c r="CA45" i="7"/>
  <c r="BZ45" i="7"/>
  <c r="BX45" i="7"/>
  <c r="BW45" i="7"/>
  <c r="BV45" i="7"/>
  <c r="BU45" i="7"/>
  <c r="BT45" i="7"/>
  <c r="BS45" i="7"/>
  <c r="BQ45" i="7"/>
  <c r="BP45" i="7"/>
  <c r="BO45" i="7"/>
  <c r="BN45" i="7"/>
  <c r="BM45" i="7"/>
  <c r="BL45" i="7"/>
  <c r="BJ45" i="7"/>
  <c r="BI45" i="7"/>
  <c r="BH45" i="7"/>
  <c r="BG45" i="7"/>
  <c r="BF45" i="7"/>
  <c r="BE45" i="7"/>
  <c r="BC45" i="7"/>
  <c r="BB45" i="7"/>
  <c r="BA45" i="7"/>
  <c r="AZ45" i="7"/>
  <c r="AY45" i="7"/>
  <c r="AX45" i="7"/>
  <c r="AV45" i="7"/>
  <c r="AU45" i="7"/>
  <c r="AT45" i="7"/>
  <c r="AS45" i="7"/>
  <c r="AR45" i="7"/>
  <c r="AQ45" i="7"/>
  <c r="AO45" i="7"/>
  <c r="AN45" i="7"/>
  <c r="AM45" i="7"/>
  <c r="AL45" i="7"/>
  <c r="AK45" i="7"/>
  <c r="AJ45" i="7"/>
  <c r="AH45" i="7"/>
  <c r="AG45" i="7"/>
  <c r="AF45" i="7"/>
  <c r="AE45" i="7"/>
  <c r="AD45" i="7"/>
  <c r="AC45" i="7"/>
  <c r="AA45" i="7"/>
  <c r="Z45" i="7"/>
  <c r="Y45" i="7"/>
  <c r="X45" i="7"/>
  <c r="W45" i="7"/>
  <c r="V45" i="7"/>
  <c r="T45" i="7"/>
  <c r="S45" i="7"/>
  <c r="R45" i="7"/>
  <c r="Q45" i="7"/>
  <c r="P45" i="7"/>
  <c r="O45" i="7"/>
  <c r="M45" i="7"/>
  <c r="L45" i="7"/>
  <c r="K45" i="7"/>
  <c r="J45" i="7"/>
  <c r="I45" i="7"/>
  <c r="H45" i="7"/>
  <c r="F45" i="7"/>
  <c r="E45" i="7"/>
  <c r="D45" i="7"/>
  <c r="C45" i="7"/>
  <c r="B45" i="7"/>
  <c r="A45" i="7"/>
  <c r="CS44" i="7"/>
  <c r="CR44" i="7"/>
  <c r="CQ44" i="7"/>
  <c r="CP44" i="7"/>
  <c r="CO44" i="7"/>
  <c r="CN44" i="7"/>
  <c r="CL44" i="7"/>
  <c r="CK44" i="7"/>
  <c r="CJ44" i="7"/>
  <c r="CI44" i="7"/>
  <c r="CH44" i="7"/>
  <c r="CG44" i="7"/>
  <c r="CE44" i="7"/>
  <c r="CD44" i="7"/>
  <c r="CC44" i="7"/>
  <c r="CB44" i="7"/>
  <c r="CA44" i="7"/>
  <c r="BZ44" i="7"/>
  <c r="BX44" i="7"/>
  <c r="BW44" i="7"/>
  <c r="BV44" i="7"/>
  <c r="BU44" i="7"/>
  <c r="BT44" i="7"/>
  <c r="BS44" i="7"/>
  <c r="BQ44" i="7"/>
  <c r="BP44" i="7"/>
  <c r="BO44" i="7"/>
  <c r="BN44" i="7"/>
  <c r="BM44" i="7"/>
  <c r="BL44" i="7"/>
  <c r="BJ44" i="7"/>
  <c r="BI44" i="7"/>
  <c r="BH44" i="7"/>
  <c r="BG44" i="7"/>
  <c r="BF44" i="7"/>
  <c r="BE44" i="7"/>
  <c r="BC44" i="7"/>
  <c r="BB44" i="7"/>
  <c r="BA44" i="7"/>
  <c r="AZ44" i="7"/>
  <c r="AY44" i="7"/>
  <c r="AX44" i="7"/>
  <c r="AV44" i="7"/>
  <c r="AU44" i="7"/>
  <c r="AT44" i="7"/>
  <c r="AS44" i="7"/>
  <c r="AR44" i="7"/>
  <c r="AQ44" i="7"/>
  <c r="AO44" i="7"/>
  <c r="AN44" i="7"/>
  <c r="AM44" i="7"/>
  <c r="AL44" i="7"/>
  <c r="AK44" i="7"/>
  <c r="AJ44" i="7"/>
  <c r="AH44" i="7"/>
  <c r="AG44" i="7"/>
  <c r="AF44" i="7"/>
  <c r="AE44" i="7"/>
  <c r="AD44" i="7"/>
  <c r="AC44" i="7"/>
  <c r="AA44" i="7"/>
  <c r="Z44" i="7"/>
  <c r="Y44" i="7"/>
  <c r="X44" i="7"/>
  <c r="W44" i="7"/>
  <c r="V44" i="7"/>
  <c r="T44" i="7"/>
  <c r="S44" i="7"/>
  <c r="R44" i="7"/>
  <c r="Q44" i="7"/>
  <c r="P44" i="7"/>
  <c r="O44" i="7"/>
  <c r="M44" i="7"/>
  <c r="L44" i="7"/>
  <c r="K44" i="7"/>
  <c r="J44" i="7"/>
  <c r="I44" i="7"/>
  <c r="H44" i="7"/>
  <c r="F44" i="7"/>
  <c r="E44" i="7"/>
  <c r="D44" i="7"/>
  <c r="C44" i="7"/>
  <c r="B44" i="7"/>
  <c r="A44" i="7"/>
  <c r="CS43" i="7"/>
  <c r="CR43" i="7"/>
  <c r="CQ43" i="7"/>
  <c r="CP43" i="7"/>
  <c r="CO43" i="7"/>
  <c r="CN43" i="7"/>
  <c r="CL43" i="7"/>
  <c r="CK43" i="7"/>
  <c r="CJ43" i="7"/>
  <c r="CI43" i="7"/>
  <c r="CH43" i="7"/>
  <c r="CG43" i="7"/>
  <c r="CE43" i="7"/>
  <c r="CD43" i="7"/>
  <c r="CC43" i="7"/>
  <c r="CB43" i="7"/>
  <c r="CA43" i="7"/>
  <c r="BZ43" i="7"/>
  <c r="BX43" i="7"/>
  <c r="BW43" i="7"/>
  <c r="BV43" i="7"/>
  <c r="BU43" i="7"/>
  <c r="BT43" i="7"/>
  <c r="BS43" i="7"/>
  <c r="BQ43" i="7"/>
  <c r="BP43" i="7"/>
  <c r="BO43" i="7"/>
  <c r="BN43" i="7"/>
  <c r="BM43" i="7"/>
  <c r="BL43" i="7"/>
  <c r="BJ43" i="7"/>
  <c r="BI43" i="7"/>
  <c r="BH43" i="7"/>
  <c r="BG43" i="7"/>
  <c r="BF43" i="7"/>
  <c r="BE43" i="7"/>
  <c r="BC43" i="7"/>
  <c r="BB43" i="7"/>
  <c r="BA43" i="7"/>
  <c r="AZ43" i="7"/>
  <c r="AY43" i="7"/>
  <c r="AX43" i="7"/>
  <c r="AV43" i="7"/>
  <c r="AU43" i="7"/>
  <c r="AT43" i="7"/>
  <c r="AS43" i="7"/>
  <c r="AR43" i="7"/>
  <c r="AQ43" i="7"/>
  <c r="AO43" i="7"/>
  <c r="AN43" i="7"/>
  <c r="AM43" i="7"/>
  <c r="AL43" i="7"/>
  <c r="AK43" i="7"/>
  <c r="AJ43" i="7"/>
  <c r="AH43" i="7"/>
  <c r="AG43" i="7"/>
  <c r="AF43" i="7"/>
  <c r="AE43" i="7"/>
  <c r="AD43" i="7"/>
  <c r="AC43" i="7"/>
  <c r="AA43" i="7"/>
  <c r="Z43" i="7"/>
  <c r="Y43" i="7"/>
  <c r="X43" i="7"/>
  <c r="W43" i="7"/>
  <c r="V43" i="7"/>
  <c r="T43" i="7"/>
  <c r="S43" i="7"/>
  <c r="R43" i="7"/>
  <c r="Q43" i="7"/>
  <c r="P43" i="7"/>
  <c r="O43" i="7"/>
  <c r="M43" i="7"/>
  <c r="L43" i="7"/>
  <c r="K43" i="7"/>
  <c r="J43" i="7"/>
  <c r="I43" i="7"/>
  <c r="H43" i="7"/>
  <c r="F43" i="7"/>
  <c r="E43" i="7"/>
  <c r="D43" i="7"/>
  <c r="C43" i="7"/>
  <c r="B43" i="7"/>
  <c r="A43" i="7"/>
  <c r="CS42" i="7"/>
  <c r="CR42" i="7"/>
  <c r="CQ42" i="7"/>
  <c r="CP42" i="7"/>
  <c r="CO42" i="7"/>
  <c r="CN42" i="7"/>
  <c r="CL42" i="7"/>
  <c r="CK42" i="7"/>
  <c r="CJ42" i="7"/>
  <c r="CI42" i="7"/>
  <c r="CH42" i="7"/>
  <c r="CG42" i="7"/>
  <c r="CE42" i="7"/>
  <c r="CD42" i="7"/>
  <c r="CC42" i="7"/>
  <c r="CB42" i="7"/>
  <c r="CA42" i="7"/>
  <c r="BZ42" i="7"/>
  <c r="BX42" i="7"/>
  <c r="BW42" i="7"/>
  <c r="BV42" i="7"/>
  <c r="BU42" i="7"/>
  <c r="BT42" i="7"/>
  <c r="BS42" i="7"/>
  <c r="BQ42" i="7"/>
  <c r="BP42" i="7"/>
  <c r="BO42" i="7"/>
  <c r="BN42" i="7"/>
  <c r="BM42" i="7"/>
  <c r="BL42" i="7"/>
  <c r="BJ42" i="7"/>
  <c r="BI42" i="7"/>
  <c r="BH42" i="7"/>
  <c r="BG42" i="7"/>
  <c r="BF42" i="7"/>
  <c r="BE42" i="7"/>
  <c r="BC42" i="7"/>
  <c r="BB42" i="7"/>
  <c r="BA42" i="7"/>
  <c r="AZ42" i="7"/>
  <c r="AY42" i="7"/>
  <c r="AX42" i="7"/>
  <c r="AV42" i="7"/>
  <c r="AU42" i="7"/>
  <c r="AT42" i="7"/>
  <c r="AS42" i="7"/>
  <c r="AR42" i="7"/>
  <c r="AQ42" i="7"/>
  <c r="AO42" i="7"/>
  <c r="AN42" i="7"/>
  <c r="AM42" i="7"/>
  <c r="AL42" i="7"/>
  <c r="AK42" i="7"/>
  <c r="AJ42" i="7"/>
  <c r="AH42" i="7"/>
  <c r="AG42" i="7"/>
  <c r="AF42" i="7"/>
  <c r="AE42" i="7"/>
  <c r="AD42" i="7"/>
  <c r="AC42" i="7"/>
  <c r="AA42" i="7"/>
  <c r="Z42" i="7"/>
  <c r="Y42" i="7"/>
  <c r="X42" i="7"/>
  <c r="W42" i="7"/>
  <c r="V42" i="7"/>
  <c r="T42" i="7"/>
  <c r="S42" i="7"/>
  <c r="R42" i="7"/>
  <c r="Q42" i="7"/>
  <c r="P42" i="7"/>
  <c r="O42" i="7"/>
  <c r="M42" i="7"/>
  <c r="L42" i="7"/>
  <c r="K42" i="7"/>
  <c r="J42" i="7"/>
  <c r="I42" i="7"/>
  <c r="H42" i="7"/>
  <c r="F42" i="7"/>
  <c r="E42" i="7"/>
  <c r="D42" i="7"/>
  <c r="C42" i="7"/>
  <c r="B42" i="7"/>
  <c r="A42" i="7"/>
  <c r="CS41" i="7"/>
  <c r="CR41" i="7"/>
  <c r="CQ41" i="7"/>
  <c r="CP41" i="7"/>
  <c r="CO41" i="7"/>
  <c r="CN41" i="7"/>
  <c r="CL41" i="7"/>
  <c r="CK41" i="7"/>
  <c r="CJ41" i="7"/>
  <c r="CI41" i="7"/>
  <c r="CH41" i="7"/>
  <c r="CG41" i="7"/>
  <c r="CE41" i="7"/>
  <c r="CD41" i="7"/>
  <c r="CC41" i="7"/>
  <c r="CB41" i="7"/>
  <c r="CA41" i="7"/>
  <c r="BZ41" i="7"/>
  <c r="BX41" i="7"/>
  <c r="BW41" i="7"/>
  <c r="BV41" i="7"/>
  <c r="BU41" i="7"/>
  <c r="BT41" i="7"/>
  <c r="BS41" i="7"/>
  <c r="BQ41" i="7"/>
  <c r="BP41" i="7"/>
  <c r="BO41" i="7"/>
  <c r="BN41" i="7"/>
  <c r="BM41" i="7"/>
  <c r="BL41" i="7"/>
  <c r="BJ41" i="7"/>
  <c r="BI41" i="7"/>
  <c r="BH41" i="7"/>
  <c r="BG41" i="7"/>
  <c r="BF41" i="7"/>
  <c r="BE41" i="7"/>
  <c r="BC41" i="7"/>
  <c r="BB41" i="7"/>
  <c r="BA41" i="7"/>
  <c r="AZ41" i="7"/>
  <c r="AY41" i="7"/>
  <c r="AX41" i="7"/>
  <c r="AV41" i="7"/>
  <c r="AU41" i="7"/>
  <c r="AT41" i="7"/>
  <c r="AS41" i="7"/>
  <c r="AR41" i="7"/>
  <c r="AQ41" i="7"/>
  <c r="AO41" i="7"/>
  <c r="AN41" i="7"/>
  <c r="AM41" i="7"/>
  <c r="AL41" i="7"/>
  <c r="AK41" i="7"/>
  <c r="AJ41" i="7"/>
  <c r="AH41" i="7"/>
  <c r="AG41" i="7"/>
  <c r="AF41" i="7"/>
  <c r="AE41" i="7"/>
  <c r="AD41" i="7"/>
  <c r="AC41" i="7"/>
  <c r="AA41" i="7"/>
  <c r="Z41" i="7"/>
  <c r="Y41" i="7"/>
  <c r="X41" i="7"/>
  <c r="W41" i="7"/>
  <c r="V41" i="7"/>
  <c r="T41" i="7"/>
  <c r="S41" i="7"/>
  <c r="R41" i="7"/>
  <c r="Q41" i="7"/>
  <c r="P41" i="7"/>
  <c r="O41" i="7"/>
  <c r="M41" i="7"/>
  <c r="L41" i="7"/>
  <c r="K41" i="7"/>
  <c r="J41" i="7"/>
  <c r="I41" i="7"/>
  <c r="H41" i="7"/>
  <c r="F41" i="7"/>
  <c r="E41" i="7"/>
  <c r="D41" i="7"/>
  <c r="C41" i="7"/>
  <c r="B41" i="7"/>
  <c r="A41" i="7"/>
  <c r="CS40" i="7"/>
  <c r="CR40" i="7"/>
  <c r="CQ40" i="7"/>
  <c r="CP40" i="7"/>
  <c r="CO40" i="7"/>
  <c r="CN40" i="7"/>
  <c r="CL40" i="7"/>
  <c r="CK40" i="7"/>
  <c r="CJ40" i="7"/>
  <c r="CI40" i="7"/>
  <c r="CH40" i="7"/>
  <c r="CG40" i="7"/>
  <c r="CE40" i="7"/>
  <c r="CD40" i="7"/>
  <c r="CC40" i="7"/>
  <c r="CB40" i="7"/>
  <c r="CA40" i="7"/>
  <c r="BZ40" i="7"/>
  <c r="BX40" i="7"/>
  <c r="BW40" i="7"/>
  <c r="BV40" i="7"/>
  <c r="BU40" i="7"/>
  <c r="BT40" i="7"/>
  <c r="BS40" i="7"/>
  <c r="BQ40" i="7"/>
  <c r="BP40" i="7"/>
  <c r="BO40" i="7"/>
  <c r="BN40" i="7"/>
  <c r="BM40" i="7"/>
  <c r="BL40" i="7"/>
  <c r="BJ40" i="7"/>
  <c r="BI40" i="7"/>
  <c r="BH40" i="7"/>
  <c r="BG40" i="7"/>
  <c r="BF40" i="7"/>
  <c r="BE40" i="7"/>
  <c r="BC40" i="7"/>
  <c r="BB40" i="7"/>
  <c r="BA40" i="7"/>
  <c r="AZ40" i="7"/>
  <c r="AY40" i="7"/>
  <c r="AX40" i="7"/>
  <c r="AV40" i="7"/>
  <c r="AU40" i="7"/>
  <c r="AT40" i="7"/>
  <c r="AS40" i="7"/>
  <c r="AR40" i="7"/>
  <c r="AQ40" i="7"/>
  <c r="AO40" i="7"/>
  <c r="AN40" i="7"/>
  <c r="AM40" i="7"/>
  <c r="AL40" i="7"/>
  <c r="AK40" i="7"/>
  <c r="AJ40" i="7"/>
  <c r="AH40" i="7"/>
  <c r="AG40" i="7"/>
  <c r="AF40" i="7"/>
  <c r="AE40" i="7"/>
  <c r="AD40" i="7"/>
  <c r="AC40" i="7"/>
  <c r="AA40" i="7"/>
  <c r="Z40" i="7"/>
  <c r="Y40" i="7"/>
  <c r="X40" i="7"/>
  <c r="W40" i="7"/>
  <c r="V40" i="7"/>
  <c r="T40" i="7"/>
  <c r="S40" i="7"/>
  <c r="R40" i="7"/>
  <c r="Q40" i="7"/>
  <c r="P40" i="7"/>
  <c r="O40" i="7"/>
  <c r="M40" i="7"/>
  <c r="L40" i="7"/>
  <c r="K40" i="7"/>
  <c r="J40" i="7"/>
  <c r="I40" i="7"/>
  <c r="H40" i="7"/>
  <c r="F40" i="7"/>
  <c r="E40" i="7"/>
  <c r="D40" i="7"/>
  <c r="C40" i="7"/>
  <c r="B40" i="7"/>
  <c r="A40" i="7"/>
  <c r="CS39" i="7"/>
  <c r="CR39" i="7"/>
  <c r="CQ39" i="7"/>
  <c r="CP39" i="7"/>
  <c r="CO39" i="7"/>
  <c r="CN39" i="7"/>
  <c r="CL39" i="7"/>
  <c r="CK39" i="7"/>
  <c r="CJ39" i="7"/>
  <c r="CI39" i="7"/>
  <c r="CH39" i="7"/>
  <c r="CG39" i="7"/>
  <c r="CE39" i="7"/>
  <c r="CD39" i="7"/>
  <c r="CC39" i="7"/>
  <c r="CB39" i="7"/>
  <c r="CA39" i="7"/>
  <c r="BZ39" i="7"/>
  <c r="BX39" i="7"/>
  <c r="BW39" i="7"/>
  <c r="BV39" i="7"/>
  <c r="BU39" i="7"/>
  <c r="BT39" i="7"/>
  <c r="BS39" i="7"/>
  <c r="BQ39" i="7"/>
  <c r="BP39" i="7"/>
  <c r="BO39" i="7"/>
  <c r="BN39" i="7"/>
  <c r="BM39" i="7"/>
  <c r="BL39" i="7"/>
  <c r="BJ39" i="7"/>
  <c r="BI39" i="7"/>
  <c r="BH39" i="7"/>
  <c r="BG39" i="7"/>
  <c r="BF39" i="7"/>
  <c r="BE39" i="7"/>
  <c r="BC39" i="7"/>
  <c r="BB39" i="7"/>
  <c r="BA39" i="7"/>
  <c r="AZ39" i="7"/>
  <c r="AY39" i="7"/>
  <c r="AX39" i="7"/>
  <c r="AV39" i="7"/>
  <c r="AU39" i="7"/>
  <c r="AT39" i="7"/>
  <c r="AS39" i="7"/>
  <c r="AR39" i="7"/>
  <c r="AQ39" i="7"/>
  <c r="AO39" i="7"/>
  <c r="AN39" i="7"/>
  <c r="AM39" i="7"/>
  <c r="AL39" i="7"/>
  <c r="AK39" i="7"/>
  <c r="AJ39" i="7"/>
  <c r="AH39" i="7"/>
  <c r="AG39" i="7"/>
  <c r="AF39" i="7"/>
  <c r="AE39" i="7"/>
  <c r="AD39" i="7"/>
  <c r="AC39" i="7"/>
  <c r="AA39" i="7"/>
  <c r="Z39" i="7"/>
  <c r="Y39" i="7"/>
  <c r="X39" i="7"/>
  <c r="W39" i="7"/>
  <c r="V39" i="7"/>
  <c r="T39" i="7"/>
  <c r="S39" i="7"/>
  <c r="R39" i="7"/>
  <c r="Q39" i="7"/>
  <c r="P39" i="7"/>
  <c r="O39" i="7"/>
  <c r="M39" i="7"/>
  <c r="L39" i="7"/>
  <c r="K39" i="7"/>
  <c r="J39" i="7"/>
  <c r="I39" i="7"/>
  <c r="H39" i="7"/>
  <c r="F39" i="7"/>
  <c r="E39" i="7"/>
  <c r="D39" i="7"/>
  <c r="C39" i="7"/>
  <c r="B39" i="7"/>
  <c r="A39" i="7"/>
  <c r="CS38" i="7"/>
  <c r="CR38" i="7"/>
  <c r="CQ38" i="7"/>
  <c r="CP38" i="7"/>
  <c r="CO38" i="7"/>
  <c r="CN38" i="7"/>
  <c r="CL38" i="7"/>
  <c r="CK38" i="7"/>
  <c r="CJ38" i="7"/>
  <c r="CI38" i="7"/>
  <c r="CH38" i="7"/>
  <c r="CG38" i="7"/>
  <c r="CE38" i="7"/>
  <c r="CD38" i="7"/>
  <c r="CC38" i="7"/>
  <c r="CB38" i="7"/>
  <c r="CA38" i="7"/>
  <c r="BZ38" i="7"/>
  <c r="BX38" i="7"/>
  <c r="BW38" i="7"/>
  <c r="BV38" i="7"/>
  <c r="BU38" i="7"/>
  <c r="BT38" i="7"/>
  <c r="BS38" i="7"/>
  <c r="BQ38" i="7"/>
  <c r="BP38" i="7"/>
  <c r="BO38" i="7"/>
  <c r="BN38" i="7"/>
  <c r="BM38" i="7"/>
  <c r="BL38" i="7"/>
  <c r="BJ38" i="7"/>
  <c r="BI38" i="7"/>
  <c r="BH38" i="7"/>
  <c r="BG38" i="7"/>
  <c r="BF38" i="7"/>
  <c r="BE38" i="7"/>
  <c r="BC38" i="7"/>
  <c r="BB38" i="7"/>
  <c r="BA38" i="7"/>
  <c r="AZ38" i="7"/>
  <c r="AY38" i="7"/>
  <c r="AX38" i="7"/>
  <c r="AV38" i="7"/>
  <c r="AU38" i="7"/>
  <c r="AT38" i="7"/>
  <c r="AS38" i="7"/>
  <c r="AR38" i="7"/>
  <c r="AQ38" i="7"/>
  <c r="AO38" i="7"/>
  <c r="AN38" i="7"/>
  <c r="AM38" i="7"/>
  <c r="AL38" i="7"/>
  <c r="AK38" i="7"/>
  <c r="AJ38" i="7"/>
  <c r="AH38" i="7"/>
  <c r="AG38" i="7"/>
  <c r="AF38" i="7"/>
  <c r="AE38" i="7"/>
  <c r="AD38" i="7"/>
  <c r="AC38" i="7"/>
  <c r="AA38" i="7"/>
  <c r="Z38" i="7"/>
  <c r="Y38" i="7"/>
  <c r="X38" i="7"/>
  <c r="W38" i="7"/>
  <c r="V38" i="7"/>
  <c r="T38" i="7"/>
  <c r="S38" i="7"/>
  <c r="R38" i="7"/>
  <c r="Q38" i="7"/>
  <c r="P38" i="7"/>
  <c r="O38" i="7"/>
  <c r="M38" i="7"/>
  <c r="L38" i="7"/>
  <c r="K38" i="7"/>
  <c r="J38" i="7"/>
  <c r="I38" i="7"/>
  <c r="H38" i="7"/>
  <c r="F38" i="7"/>
  <c r="E38" i="7"/>
  <c r="D38" i="7"/>
  <c r="C38" i="7"/>
  <c r="B38" i="7"/>
  <c r="A38" i="7"/>
  <c r="CS37" i="7"/>
  <c r="CR37" i="7"/>
  <c r="CQ37" i="7"/>
  <c r="CP37" i="7"/>
  <c r="CO37" i="7"/>
  <c r="CN37" i="7"/>
  <c r="CL37" i="7"/>
  <c r="CK37" i="7"/>
  <c r="CJ37" i="7"/>
  <c r="CI37" i="7"/>
  <c r="CH37" i="7"/>
  <c r="CG37" i="7"/>
  <c r="CE37" i="7"/>
  <c r="CD37" i="7"/>
  <c r="CC37" i="7"/>
  <c r="CB37" i="7"/>
  <c r="CA37" i="7"/>
  <c r="BZ37" i="7"/>
  <c r="BX37" i="7"/>
  <c r="BW37" i="7"/>
  <c r="BV37" i="7"/>
  <c r="BU37" i="7"/>
  <c r="BT37" i="7"/>
  <c r="BS37" i="7"/>
  <c r="BQ37" i="7"/>
  <c r="BP37" i="7"/>
  <c r="BO37" i="7"/>
  <c r="BN37" i="7"/>
  <c r="BM37" i="7"/>
  <c r="BL37" i="7"/>
  <c r="BJ37" i="7"/>
  <c r="BI37" i="7"/>
  <c r="BH37" i="7"/>
  <c r="BG37" i="7"/>
  <c r="BF37" i="7"/>
  <c r="BE37" i="7"/>
  <c r="BC37" i="7"/>
  <c r="BB37" i="7"/>
  <c r="BA37" i="7"/>
  <c r="AZ37" i="7"/>
  <c r="AY37" i="7"/>
  <c r="AX37" i="7"/>
  <c r="AV37" i="7"/>
  <c r="AU37" i="7"/>
  <c r="AT37" i="7"/>
  <c r="AS37" i="7"/>
  <c r="AR37" i="7"/>
  <c r="AQ37" i="7"/>
  <c r="AO37" i="7"/>
  <c r="AN37" i="7"/>
  <c r="AM37" i="7"/>
  <c r="AL37" i="7"/>
  <c r="AK37" i="7"/>
  <c r="AJ37" i="7"/>
  <c r="AH37" i="7"/>
  <c r="AG37" i="7"/>
  <c r="AF37" i="7"/>
  <c r="AE37" i="7"/>
  <c r="AD37" i="7"/>
  <c r="AC37" i="7"/>
  <c r="AA37" i="7"/>
  <c r="Z37" i="7"/>
  <c r="Y37" i="7"/>
  <c r="X37" i="7"/>
  <c r="W37" i="7"/>
  <c r="V37" i="7"/>
  <c r="T37" i="7"/>
  <c r="S37" i="7"/>
  <c r="R37" i="7"/>
  <c r="Q37" i="7"/>
  <c r="P37" i="7"/>
  <c r="O37" i="7"/>
  <c r="M37" i="7"/>
  <c r="L37" i="7"/>
  <c r="K37" i="7"/>
  <c r="J37" i="7"/>
  <c r="I37" i="7"/>
  <c r="H37" i="7"/>
  <c r="F37" i="7"/>
  <c r="E37" i="7"/>
  <c r="D37" i="7"/>
  <c r="C37" i="7"/>
  <c r="B37" i="7"/>
  <c r="A37" i="7"/>
  <c r="CS36" i="7"/>
  <c r="CR36" i="7"/>
  <c r="CQ36" i="7"/>
  <c r="CP36" i="7"/>
  <c r="CO36" i="7"/>
  <c r="CN36" i="7"/>
  <c r="CL36" i="7"/>
  <c r="CK36" i="7"/>
  <c r="CJ36" i="7"/>
  <c r="CI36" i="7"/>
  <c r="CH36" i="7"/>
  <c r="CG36" i="7"/>
  <c r="CE36" i="7"/>
  <c r="CD36" i="7"/>
  <c r="CC36" i="7"/>
  <c r="CB36" i="7"/>
  <c r="CA36" i="7"/>
  <c r="BZ36" i="7"/>
  <c r="BX36" i="7"/>
  <c r="BW36" i="7"/>
  <c r="BV36" i="7"/>
  <c r="BU36" i="7"/>
  <c r="BT36" i="7"/>
  <c r="BS36" i="7"/>
  <c r="BQ36" i="7"/>
  <c r="BP36" i="7"/>
  <c r="BO36" i="7"/>
  <c r="BN36" i="7"/>
  <c r="BM36" i="7"/>
  <c r="BL36" i="7"/>
  <c r="BJ36" i="7"/>
  <c r="BI36" i="7"/>
  <c r="BH36" i="7"/>
  <c r="BG36" i="7"/>
  <c r="BF36" i="7"/>
  <c r="BE36" i="7"/>
  <c r="BC36" i="7"/>
  <c r="BB36" i="7"/>
  <c r="BA36" i="7"/>
  <c r="AZ36" i="7"/>
  <c r="AY36" i="7"/>
  <c r="AX36" i="7"/>
  <c r="AV36" i="7"/>
  <c r="AU36" i="7"/>
  <c r="AT36" i="7"/>
  <c r="AS36" i="7"/>
  <c r="AR36" i="7"/>
  <c r="AQ36" i="7"/>
  <c r="AO36" i="7"/>
  <c r="AN36" i="7"/>
  <c r="AM36" i="7"/>
  <c r="AL36" i="7"/>
  <c r="AK36" i="7"/>
  <c r="AJ36" i="7"/>
  <c r="AH36" i="7"/>
  <c r="AG36" i="7"/>
  <c r="AF36" i="7"/>
  <c r="AE36" i="7"/>
  <c r="AD36" i="7"/>
  <c r="AC36" i="7"/>
  <c r="AA36" i="7"/>
  <c r="Z36" i="7"/>
  <c r="Y36" i="7"/>
  <c r="X36" i="7"/>
  <c r="W36" i="7"/>
  <c r="V36" i="7"/>
  <c r="T36" i="7"/>
  <c r="S36" i="7"/>
  <c r="R36" i="7"/>
  <c r="Q36" i="7"/>
  <c r="P36" i="7"/>
  <c r="O36" i="7"/>
  <c r="M36" i="7"/>
  <c r="L36" i="7"/>
  <c r="K36" i="7"/>
  <c r="J36" i="7"/>
  <c r="I36" i="7"/>
  <c r="H36" i="7"/>
  <c r="F36" i="7"/>
  <c r="E36" i="7"/>
  <c r="D36" i="7"/>
  <c r="C36" i="7"/>
  <c r="B36" i="7"/>
  <c r="A36" i="7"/>
  <c r="CS35" i="7"/>
  <c r="CR35" i="7"/>
  <c r="CQ35" i="7"/>
  <c r="CP35" i="7"/>
  <c r="CO35" i="7"/>
  <c r="CN35" i="7"/>
  <c r="CL35" i="7"/>
  <c r="CK35" i="7"/>
  <c r="CJ35" i="7"/>
  <c r="CI35" i="7"/>
  <c r="CH35" i="7"/>
  <c r="CG35" i="7"/>
  <c r="CE35" i="7"/>
  <c r="CD35" i="7"/>
  <c r="CC35" i="7"/>
  <c r="CB35" i="7"/>
  <c r="CA35" i="7"/>
  <c r="BZ35" i="7"/>
  <c r="BX35" i="7"/>
  <c r="BW35" i="7"/>
  <c r="BV35" i="7"/>
  <c r="BU35" i="7"/>
  <c r="BT35" i="7"/>
  <c r="BS35" i="7"/>
  <c r="BQ35" i="7"/>
  <c r="BP35" i="7"/>
  <c r="BO35" i="7"/>
  <c r="BN35" i="7"/>
  <c r="BM35" i="7"/>
  <c r="BL35" i="7"/>
  <c r="BJ35" i="7"/>
  <c r="BI35" i="7"/>
  <c r="BH35" i="7"/>
  <c r="BG35" i="7"/>
  <c r="BF35" i="7"/>
  <c r="BE35" i="7"/>
  <c r="BC35" i="7"/>
  <c r="BB35" i="7"/>
  <c r="BA35" i="7"/>
  <c r="AZ35" i="7"/>
  <c r="AY35" i="7"/>
  <c r="AX35" i="7"/>
  <c r="AV35" i="7"/>
  <c r="AU35" i="7"/>
  <c r="AT35" i="7"/>
  <c r="AS35" i="7"/>
  <c r="AR35" i="7"/>
  <c r="AQ35" i="7"/>
  <c r="AO35" i="7"/>
  <c r="AN35" i="7"/>
  <c r="AM35" i="7"/>
  <c r="AL35" i="7"/>
  <c r="AK35" i="7"/>
  <c r="AJ35" i="7"/>
  <c r="AH35" i="7"/>
  <c r="AG35" i="7"/>
  <c r="AF35" i="7"/>
  <c r="AE35" i="7"/>
  <c r="AD35" i="7"/>
  <c r="AC35" i="7"/>
  <c r="AA35" i="7"/>
  <c r="Z35" i="7"/>
  <c r="Y35" i="7"/>
  <c r="X35" i="7"/>
  <c r="W35" i="7"/>
  <c r="V35" i="7"/>
  <c r="T35" i="7"/>
  <c r="S35" i="7"/>
  <c r="R35" i="7"/>
  <c r="Q35" i="7"/>
  <c r="P35" i="7"/>
  <c r="O35" i="7"/>
  <c r="M35" i="7"/>
  <c r="L35" i="7"/>
  <c r="K35" i="7"/>
  <c r="J35" i="7"/>
  <c r="I35" i="7"/>
  <c r="H35" i="7"/>
  <c r="F35" i="7"/>
  <c r="E35" i="7"/>
  <c r="D35" i="7"/>
  <c r="C35" i="7"/>
  <c r="B35" i="7"/>
  <c r="A35" i="7"/>
  <c r="CS34" i="7"/>
  <c r="CR34" i="7"/>
  <c r="CQ34" i="7"/>
  <c r="CP34" i="7"/>
  <c r="CO34" i="7"/>
  <c r="CN34" i="7"/>
  <c r="CL34" i="7"/>
  <c r="CK34" i="7"/>
  <c r="CJ34" i="7"/>
  <c r="CI34" i="7"/>
  <c r="CH34" i="7"/>
  <c r="CG34" i="7"/>
  <c r="CE34" i="7"/>
  <c r="CD34" i="7"/>
  <c r="CC34" i="7"/>
  <c r="CB34" i="7"/>
  <c r="CA34" i="7"/>
  <c r="BZ34" i="7"/>
  <c r="BX34" i="7"/>
  <c r="BW34" i="7"/>
  <c r="BV34" i="7"/>
  <c r="BU34" i="7"/>
  <c r="BT34" i="7"/>
  <c r="BS34" i="7"/>
  <c r="BQ34" i="7"/>
  <c r="BP34" i="7"/>
  <c r="BO34" i="7"/>
  <c r="BN34" i="7"/>
  <c r="BM34" i="7"/>
  <c r="BL34" i="7"/>
  <c r="BJ34" i="7"/>
  <c r="BI34" i="7"/>
  <c r="BH34" i="7"/>
  <c r="BG34" i="7"/>
  <c r="BF34" i="7"/>
  <c r="BE34" i="7"/>
  <c r="BC34" i="7"/>
  <c r="BB34" i="7"/>
  <c r="BA34" i="7"/>
  <c r="AZ34" i="7"/>
  <c r="AY34" i="7"/>
  <c r="AX34" i="7"/>
  <c r="AV34" i="7"/>
  <c r="AU34" i="7"/>
  <c r="AT34" i="7"/>
  <c r="AS34" i="7"/>
  <c r="AR34" i="7"/>
  <c r="AQ34" i="7"/>
  <c r="AO34" i="7"/>
  <c r="AN34" i="7"/>
  <c r="AM34" i="7"/>
  <c r="AL34" i="7"/>
  <c r="AK34" i="7"/>
  <c r="AJ34" i="7"/>
  <c r="AH34" i="7"/>
  <c r="AG34" i="7"/>
  <c r="AF34" i="7"/>
  <c r="AE34" i="7"/>
  <c r="AD34" i="7"/>
  <c r="AC34" i="7"/>
  <c r="AA34" i="7"/>
  <c r="Z34" i="7"/>
  <c r="Y34" i="7"/>
  <c r="X34" i="7"/>
  <c r="W34" i="7"/>
  <c r="V34" i="7"/>
  <c r="T34" i="7"/>
  <c r="S34" i="7"/>
  <c r="R34" i="7"/>
  <c r="Q34" i="7"/>
  <c r="P34" i="7"/>
  <c r="O34" i="7"/>
  <c r="M34" i="7"/>
  <c r="L34" i="7"/>
  <c r="K34" i="7"/>
  <c r="J34" i="7"/>
  <c r="I34" i="7"/>
  <c r="H34" i="7"/>
  <c r="F34" i="7"/>
  <c r="E34" i="7"/>
  <c r="D34" i="7"/>
  <c r="C34" i="7"/>
  <c r="B34" i="7"/>
  <c r="A34" i="7"/>
  <c r="CS33" i="7"/>
  <c r="CR33" i="7"/>
  <c r="CQ33" i="7"/>
  <c r="CP33" i="7"/>
  <c r="CO33" i="7"/>
  <c r="CN33" i="7"/>
  <c r="CL33" i="7"/>
  <c r="CK33" i="7"/>
  <c r="CJ33" i="7"/>
  <c r="CI33" i="7"/>
  <c r="CH33" i="7"/>
  <c r="CG33" i="7"/>
  <c r="CE33" i="7"/>
  <c r="CD33" i="7"/>
  <c r="CC33" i="7"/>
  <c r="CB33" i="7"/>
  <c r="CA33" i="7"/>
  <c r="BZ33" i="7"/>
  <c r="BX33" i="7"/>
  <c r="BW33" i="7"/>
  <c r="BV33" i="7"/>
  <c r="BU33" i="7"/>
  <c r="BT33" i="7"/>
  <c r="BS33" i="7"/>
  <c r="BQ33" i="7"/>
  <c r="BP33" i="7"/>
  <c r="BO33" i="7"/>
  <c r="BN33" i="7"/>
  <c r="BM33" i="7"/>
  <c r="BL33" i="7"/>
  <c r="BJ33" i="7"/>
  <c r="BI33" i="7"/>
  <c r="BH33" i="7"/>
  <c r="BG33" i="7"/>
  <c r="BF33" i="7"/>
  <c r="BE33" i="7"/>
  <c r="BC33" i="7"/>
  <c r="BB33" i="7"/>
  <c r="BA33" i="7"/>
  <c r="AZ33" i="7"/>
  <c r="AY33" i="7"/>
  <c r="AX33" i="7"/>
  <c r="AV33" i="7"/>
  <c r="AU33" i="7"/>
  <c r="AT33" i="7"/>
  <c r="AS33" i="7"/>
  <c r="AR33" i="7"/>
  <c r="AQ33" i="7"/>
  <c r="AO33" i="7"/>
  <c r="AN33" i="7"/>
  <c r="AM33" i="7"/>
  <c r="AL33" i="7"/>
  <c r="AK33" i="7"/>
  <c r="AJ33" i="7"/>
  <c r="AH33" i="7"/>
  <c r="AG33" i="7"/>
  <c r="AF33" i="7"/>
  <c r="AE33" i="7"/>
  <c r="AD33" i="7"/>
  <c r="AC33" i="7"/>
  <c r="AA33" i="7"/>
  <c r="Z33" i="7"/>
  <c r="Y33" i="7"/>
  <c r="X33" i="7"/>
  <c r="W33" i="7"/>
  <c r="V33" i="7"/>
  <c r="T33" i="7"/>
  <c r="S33" i="7"/>
  <c r="R33" i="7"/>
  <c r="Q33" i="7"/>
  <c r="P33" i="7"/>
  <c r="O33" i="7"/>
  <c r="M33" i="7"/>
  <c r="L33" i="7"/>
  <c r="K33" i="7"/>
  <c r="J33" i="7"/>
  <c r="I33" i="7"/>
  <c r="H33" i="7"/>
  <c r="F33" i="7"/>
  <c r="E33" i="7"/>
  <c r="D33" i="7"/>
  <c r="C33" i="7"/>
  <c r="B33" i="7"/>
  <c r="A33" i="7"/>
  <c r="CS32" i="7"/>
  <c r="CR32" i="7"/>
  <c r="CQ32" i="7"/>
  <c r="CP32" i="7"/>
  <c r="CO32" i="7"/>
  <c r="CN32" i="7"/>
  <c r="CL32" i="7"/>
  <c r="CK32" i="7"/>
  <c r="CJ32" i="7"/>
  <c r="CI32" i="7"/>
  <c r="CH32" i="7"/>
  <c r="CG32" i="7"/>
  <c r="CE32" i="7"/>
  <c r="CD32" i="7"/>
  <c r="CC32" i="7"/>
  <c r="CB32" i="7"/>
  <c r="CA32" i="7"/>
  <c r="BZ32" i="7"/>
  <c r="BX32" i="7"/>
  <c r="BW32" i="7"/>
  <c r="BV32" i="7"/>
  <c r="BU32" i="7"/>
  <c r="BT32" i="7"/>
  <c r="BS32" i="7"/>
  <c r="BQ32" i="7"/>
  <c r="BP32" i="7"/>
  <c r="BO32" i="7"/>
  <c r="BN32" i="7"/>
  <c r="BM32" i="7"/>
  <c r="BL32" i="7"/>
  <c r="BJ32" i="7"/>
  <c r="BI32" i="7"/>
  <c r="BH32" i="7"/>
  <c r="BG32" i="7"/>
  <c r="BF32" i="7"/>
  <c r="BE32" i="7"/>
  <c r="BC32" i="7"/>
  <c r="BB32" i="7"/>
  <c r="BA32" i="7"/>
  <c r="AZ32" i="7"/>
  <c r="AY32" i="7"/>
  <c r="AX32" i="7"/>
  <c r="AV32" i="7"/>
  <c r="AU32" i="7"/>
  <c r="AT32" i="7"/>
  <c r="AS32" i="7"/>
  <c r="AR32" i="7"/>
  <c r="AQ32" i="7"/>
  <c r="AO32" i="7"/>
  <c r="AN32" i="7"/>
  <c r="AM32" i="7"/>
  <c r="AL32" i="7"/>
  <c r="AK32" i="7"/>
  <c r="AJ32" i="7"/>
  <c r="AH32" i="7"/>
  <c r="AG32" i="7"/>
  <c r="AF32" i="7"/>
  <c r="AE32" i="7"/>
  <c r="AD32" i="7"/>
  <c r="AC32" i="7"/>
  <c r="AA32" i="7"/>
  <c r="Z32" i="7"/>
  <c r="Y32" i="7"/>
  <c r="X32" i="7"/>
  <c r="W32" i="7"/>
  <c r="V32" i="7"/>
  <c r="T32" i="7"/>
  <c r="S32" i="7"/>
  <c r="R32" i="7"/>
  <c r="Q32" i="7"/>
  <c r="P32" i="7"/>
  <c r="O32" i="7"/>
  <c r="M32" i="7"/>
  <c r="L32" i="7"/>
  <c r="K32" i="7"/>
  <c r="J32" i="7"/>
  <c r="I32" i="7"/>
  <c r="H32" i="7"/>
  <c r="F32" i="7"/>
  <c r="E32" i="7"/>
  <c r="D32" i="7"/>
  <c r="C32" i="7"/>
  <c r="B32" i="7"/>
  <c r="A32" i="7"/>
  <c r="CS31" i="7"/>
  <c r="CR31" i="7"/>
  <c r="CQ31" i="7"/>
  <c r="CP31" i="7"/>
  <c r="CO31" i="7"/>
  <c r="CN31" i="7"/>
  <c r="CL31" i="7"/>
  <c r="CK31" i="7"/>
  <c r="CJ31" i="7"/>
  <c r="CI31" i="7"/>
  <c r="CH31" i="7"/>
  <c r="CG31" i="7"/>
  <c r="CE31" i="7"/>
  <c r="CD31" i="7"/>
  <c r="CC31" i="7"/>
  <c r="CB31" i="7"/>
  <c r="CA31" i="7"/>
  <c r="BZ31" i="7"/>
  <c r="BX31" i="7"/>
  <c r="BW31" i="7"/>
  <c r="BV31" i="7"/>
  <c r="BU31" i="7"/>
  <c r="BT31" i="7"/>
  <c r="BS31" i="7"/>
  <c r="BQ31" i="7"/>
  <c r="BP31" i="7"/>
  <c r="BO31" i="7"/>
  <c r="BN31" i="7"/>
  <c r="BM31" i="7"/>
  <c r="BL31" i="7"/>
  <c r="BJ31" i="7"/>
  <c r="BI31" i="7"/>
  <c r="BH31" i="7"/>
  <c r="BG31" i="7"/>
  <c r="BF31" i="7"/>
  <c r="BE31" i="7"/>
  <c r="BC31" i="7"/>
  <c r="BB31" i="7"/>
  <c r="BA31" i="7"/>
  <c r="AZ31" i="7"/>
  <c r="AY31" i="7"/>
  <c r="AX31" i="7"/>
  <c r="AV31" i="7"/>
  <c r="AU31" i="7"/>
  <c r="AT31" i="7"/>
  <c r="AS31" i="7"/>
  <c r="AR31" i="7"/>
  <c r="AQ31" i="7"/>
  <c r="AO31" i="7"/>
  <c r="AN31" i="7"/>
  <c r="AM31" i="7"/>
  <c r="AL31" i="7"/>
  <c r="AK31" i="7"/>
  <c r="AJ31" i="7"/>
  <c r="AH31" i="7"/>
  <c r="AG31" i="7"/>
  <c r="AF31" i="7"/>
  <c r="AE31" i="7"/>
  <c r="AD31" i="7"/>
  <c r="AC31" i="7"/>
  <c r="AA31" i="7"/>
  <c r="Z31" i="7"/>
  <c r="Y31" i="7"/>
  <c r="X31" i="7"/>
  <c r="W31" i="7"/>
  <c r="V31" i="7"/>
  <c r="T31" i="7"/>
  <c r="S31" i="7"/>
  <c r="R31" i="7"/>
  <c r="Q31" i="7"/>
  <c r="P31" i="7"/>
  <c r="O31" i="7"/>
  <c r="M31" i="7"/>
  <c r="L31" i="7"/>
  <c r="K31" i="7"/>
  <c r="J31" i="7"/>
  <c r="I31" i="7"/>
  <c r="H31" i="7"/>
  <c r="F31" i="7"/>
  <c r="E31" i="7"/>
  <c r="D31" i="7"/>
  <c r="C31" i="7"/>
  <c r="B31" i="7"/>
  <c r="A31" i="7"/>
  <c r="CS30" i="7"/>
  <c r="CR30" i="7"/>
  <c r="CQ30" i="7"/>
  <c r="CP30" i="7"/>
  <c r="CO30" i="7"/>
  <c r="CN30" i="7"/>
  <c r="CL30" i="7"/>
  <c r="CK30" i="7"/>
  <c r="CJ30" i="7"/>
  <c r="CI30" i="7"/>
  <c r="CH30" i="7"/>
  <c r="CG30" i="7"/>
  <c r="CE30" i="7"/>
  <c r="CD30" i="7"/>
  <c r="CC30" i="7"/>
  <c r="CB30" i="7"/>
  <c r="CA30" i="7"/>
  <c r="BZ30" i="7"/>
  <c r="BX30" i="7"/>
  <c r="BW30" i="7"/>
  <c r="BV30" i="7"/>
  <c r="BU30" i="7"/>
  <c r="BT30" i="7"/>
  <c r="BS30" i="7"/>
  <c r="BQ30" i="7"/>
  <c r="BP30" i="7"/>
  <c r="BO30" i="7"/>
  <c r="BN30" i="7"/>
  <c r="BM30" i="7"/>
  <c r="BL30" i="7"/>
  <c r="BJ30" i="7"/>
  <c r="BI30" i="7"/>
  <c r="BH30" i="7"/>
  <c r="BG30" i="7"/>
  <c r="BF30" i="7"/>
  <c r="BE30" i="7"/>
  <c r="BC30" i="7"/>
  <c r="BB30" i="7"/>
  <c r="BA30" i="7"/>
  <c r="AZ30" i="7"/>
  <c r="AY30" i="7"/>
  <c r="AX30" i="7"/>
  <c r="AV30" i="7"/>
  <c r="AU30" i="7"/>
  <c r="AT30" i="7"/>
  <c r="AS30" i="7"/>
  <c r="AR30" i="7"/>
  <c r="AQ30" i="7"/>
  <c r="AO30" i="7"/>
  <c r="AN30" i="7"/>
  <c r="AM30" i="7"/>
  <c r="AL30" i="7"/>
  <c r="AK30" i="7"/>
  <c r="AJ30" i="7"/>
  <c r="AH30" i="7"/>
  <c r="AG30" i="7"/>
  <c r="AF30" i="7"/>
  <c r="AE30" i="7"/>
  <c r="AD30" i="7"/>
  <c r="AC30" i="7"/>
  <c r="AA30" i="7"/>
  <c r="Z30" i="7"/>
  <c r="Y30" i="7"/>
  <c r="X30" i="7"/>
  <c r="W30" i="7"/>
  <c r="V30" i="7"/>
  <c r="T30" i="7"/>
  <c r="S30" i="7"/>
  <c r="R30" i="7"/>
  <c r="Q30" i="7"/>
  <c r="P30" i="7"/>
  <c r="O30" i="7"/>
  <c r="M30" i="7"/>
  <c r="L30" i="7"/>
  <c r="K30" i="7"/>
  <c r="J30" i="7"/>
  <c r="I30" i="7"/>
  <c r="H30" i="7"/>
  <c r="F30" i="7"/>
  <c r="E30" i="7"/>
  <c r="D30" i="7"/>
  <c r="C30" i="7"/>
  <c r="B30" i="7"/>
  <c r="A30" i="7"/>
  <c r="CS29" i="7"/>
  <c r="CR29" i="7"/>
  <c r="CQ29" i="7"/>
  <c r="CP29" i="7"/>
  <c r="CO29" i="7"/>
  <c r="CN29" i="7"/>
  <c r="CL29" i="7"/>
  <c r="CK29" i="7"/>
  <c r="CJ29" i="7"/>
  <c r="CI29" i="7"/>
  <c r="CH29" i="7"/>
  <c r="CG29" i="7"/>
  <c r="CE29" i="7"/>
  <c r="CD29" i="7"/>
  <c r="CC29" i="7"/>
  <c r="CB29" i="7"/>
  <c r="CA29" i="7"/>
  <c r="BZ29" i="7"/>
  <c r="BX29" i="7"/>
  <c r="BW29" i="7"/>
  <c r="BV29" i="7"/>
  <c r="BU29" i="7"/>
  <c r="BT29" i="7"/>
  <c r="BS29" i="7"/>
  <c r="BQ29" i="7"/>
  <c r="BP29" i="7"/>
  <c r="BO29" i="7"/>
  <c r="BN29" i="7"/>
  <c r="BM29" i="7"/>
  <c r="BL29" i="7"/>
  <c r="BJ29" i="7"/>
  <c r="BI29" i="7"/>
  <c r="BH29" i="7"/>
  <c r="BG29" i="7"/>
  <c r="BF29" i="7"/>
  <c r="BE29" i="7"/>
  <c r="BC29" i="7"/>
  <c r="BB29" i="7"/>
  <c r="BA29" i="7"/>
  <c r="AZ29" i="7"/>
  <c r="AY29" i="7"/>
  <c r="AX29" i="7"/>
  <c r="AV29" i="7"/>
  <c r="AU29" i="7"/>
  <c r="AT29" i="7"/>
  <c r="AS29" i="7"/>
  <c r="AR29" i="7"/>
  <c r="AQ29" i="7"/>
  <c r="AO29" i="7"/>
  <c r="AN29" i="7"/>
  <c r="AM29" i="7"/>
  <c r="AL29" i="7"/>
  <c r="AK29" i="7"/>
  <c r="AJ29" i="7"/>
  <c r="AH29" i="7"/>
  <c r="AG29" i="7"/>
  <c r="AF29" i="7"/>
  <c r="AE29" i="7"/>
  <c r="AD29" i="7"/>
  <c r="AC29" i="7"/>
  <c r="AA29" i="7"/>
  <c r="Z29" i="7"/>
  <c r="Y29" i="7"/>
  <c r="X29" i="7"/>
  <c r="W29" i="7"/>
  <c r="V29" i="7"/>
  <c r="T29" i="7"/>
  <c r="S29" i="7"/>
  <c r="R29" i="7"/>
  <c r="Q29" i="7"/>
  <c r="P29" i="7"/>
  <c r="O29" i="7"/>
  <c r="M29" i="7"/>
  <c r="L29" i="7"/>
  <c r="K29" i="7"/>
  <c r="J29" i="7"/>
  <c r="I29" i="7"/>
  <c r="H29" i="7"/>
  <c r="F29" i="7"/>
  <c r="E29" i="7"/>
  <c r="D29" i="7"/>
  <c r="C29" i="7"/>
  <c r="B29" i="7"/>
  <c r="A29" i="7"/>
  <c r="CS28" i="7"/>
  <c r="CR28" i="7"/>
  <c r="CQ28" i="7"/>
  <c r="CP28" i="7"/>
  <c r="CO28" i="7"/>
  <c r="CN28" i="7"/>
  <c r="CL28" i="7"/>
  <c r="CK28" i="7"/>
  <c r="CJ28" i="7"/>
  <c r="CI28" i="7"/>
  <c r="CH28" i="7"/>
  <c r="CG28" i="7"/>
  <c r="CE28" i="7"/>
  <c r="CD28" i="7"/>
  <c r="CC28" i="7"/>
  <c r="CB28" i="7"/>
  <c r="CA28" i="7"/>
  <c r="BZ28" i="7"/>
  <c r="BX28" i="7"/>
  <c r="BW28" i="7"/>
  <c r="BV28" i="7"/>
  <c r="BU28" i="7"/>
  <c r="BT28" i="7"/>
  <c r="BS28" i="7"/>
  <c r="BQ28" i="7"/>
  <c r="BP28" i="7"/>
  <c r="BO28" i="7"/>
  <c r="BN28" i="7"/>
  <c r="BM28" i="7"/>
  <c r="BL28" i="7"/>
  <c r="BJ28" i="7"/>
  <c r="BI28" i="7"/>
  <c r="BH28" i="7"/>
  <c r="BG28" i="7"/>
  <c r="BF28" i="7"/>
  <c r="BE28" i="7"/>
  <c r="BC28" i="7"/>
  <c r="BB28" i="7"/>
  <c r="BA28" i="7"/>
  <c r="AZ28" i="7"/>
  <c r="AY28" i="7"/>
  <c r="AX28" i="7"/>
  <c r="AV28" i="7"/>
  <c r="AU28" i="7"/>
  <c r="AT28" i="7"/>
  <c r="AS28" i="7"/>
  <c r="AR28" i="7"/>
  <c r="AQ28" i="7"/>
  <c r="AO28" i="7"/>
  <c r="AN28" i="7"/>
  <c r="AM28" i="7"/>
  <c r="AL28" i="7"/>
  <c r="AK28" i="7"/>
  <c r="AJ28" i="7"/>
  <c r="AH28" i="7"/>
  <c r="AG28" i="7"/>
  <c r="AF28" i="7"/>
  <c r="AE28" i="7"/>
  <c r="AD28" i="7"/>
  <c r="AC28" i="7"/>
  <c r="AA28" i="7"/>
  <c r="Z28" i="7"/>
  <c r="Y28" i="7"/>
  <c r="X28" i="7"/>
  <c r="W28" i="7"/>
  <c r="V28" i="7"/>
  <c r="T28" i="7"/>
  <c r="S28" i="7"/>
  <c r="R28" i="7"/>
  <c r="Q28" i="7"/>
  <c r="P28" i="7"/>
  <c r="O28" i="7"/>
  <c r="M28" i="7"/>
  <c r="L28" i="7"/>
  <c r="K28" i="7"/>
  <c r="J28" i="7"/>
  <c r="I28" i="7"/>
  <c r="H28" i="7"/>
  <c r="F28" i="7"/>
  <c r="E28" i="7"/>
  <c r="D28" i="7"/>
  <c r="C28" i="7"/>
  <c r="B28" i="7"/>
  <c r="A28" i="7"/>
  <c r="CS27" i="7"/>
  <c r="CR27" i="7"/>
  <c r="CQ27" i="7"/>
  <c r="CP27" i="7"/>
  <c r="CO27" i="7"/>
  <c r="CN27" i="7"/>
  <c r="CL27" i="7"/>
  <c r="CK27" i="7"/>
  <c r="CJ27" i="7"/>
  <c r="CI27" i="7"/>
  <c r="CH27" i="7"/>
  <c r="CG27" i="7"/>
  <c r="CE27" i="7"/>
  <c r="CD27" i="7"/>
  <c r="CC27" i="7"/>
  <c r="CB27" i="7"/>
  <c r="CA27" i="7"/>
  <c r="BZ27" i="7"/>
  <c r="BX27" i="7"/>
  <c r="BW27" i="7"/>
  <c r="BV27" i="7"/>
  <c r="BU27" i="7"/>
  <c r="BT27" i="7"/>
  <c r="BS27" i="7"/>
  <c r="BQ27" i="7"/>
  <c r="BP27" i="7"/>
  <c r="BO27" i="7"/>
  <c r="BN27" i="7"/>
  <c r="BM27" i="7"/>
  <c r="BL27" i="7"/>
  <c r="BJ27" i="7"/>
  <c r="BI27" i="7"/>
  <c r="BH27" i="7"/>
  <c r="BG27" i="7"/>
  <c r="BF27" i="7"/>
  <c r="BE27" i="7"/>
  <c r="BC27" i="7"/>
  <c r="BB27" i="7"/>
  <c r="BA27" i="7"/>
  <c r="AZ27" i="7"/>
  <c r="AY27" i="7"/>
  <c r="AX27" i="7"/>
  <c r="AV27" i="7"/>
  <c r="AU27" i="7"/>
  <c r="AT27" i="7"/>
  <c r="AS27" i="7"/>
  <c r="AR27" i="7"/>
  <c r="AQ27" i="7"/>
  <c r="AO27" i="7"/>
  <c r="AN27" i="7"/>
  <c r="AM27" i="7"/>
  <c r="AL27" i="7"/>
  <c r="AK27" i="7"/>
  <c r="AJ27" i="7"/>
  <c r="AH27" i="7"/>
  <c r="AG27" i="7"/>
  <c r="AF27" i="7"/>
  <c r="AE27" i="7"/>
  <c r="AD27" i="7"/>
  <c r="AC27" i="7"/>
  <c r="AA27" i="7"/>
  <c r="Z27" i="7"/>
  <c r="Y27" i="7"/>
  <c r="X27" i="7"/>
  <c r="W27" i="7"/>
  <c r="V27" i="7"/>
  <c r="T27" i="7"/>
  <c r="S27" i="7"/>
  <c r="R27" i="7"/>
  <c r="Q27" i="7"/>
  <c r="P27" i="7"/>
  <c r="O27" i="7"/>
  <c r="M27" i="7"/>
  <c r="L27" i="7"/>
  <c r="K27" i="7"/>
  <c r="J27" i="7"/>
  <c r="I27" i="7"/>
  <c r="H27" i="7"/>
  <c r="F27" i="7"/>
  <c r="E27" i="7"/>
  <c r="D27" i="7"/>
  <c r="C27" i="7"/>
  <c r="B27" i="7"/>
  <c r="A27" i="7"/>
  <c r="CS26" i="7"/>
  <c r="CR26" i="7"/>
  <c r="CQ26" i="7"/>
  <c r="CP26" i="7"/>
  <c r="CO26" i="7"/>
  <c r="CN26" i="7"/>
  <c r="CL26" i="7"/>
  <c r="CK26" i="7"/>
  <c r="CJ26" i="7"/>
  <c r="CI26" i="7"/>
  <c r="CH26" i="7"/>
  <c r="CG26" i="7"/>
  <c r="CE26" i="7"/>
  <c r="CD26" i="7"/>
  <c r="CC26" i="7"/>
  <c r="CB26" i="7"/>
  <c r="CA26" i="7"/>
  <c r="BZ26" i="7"/>
  <c r="BX26" i="7"/>
  <c r="BW26" i="7"/>
  <c r="BV26" i="7"/>
  <c r="BU26" i="7"/>
  <c r="BT26" i="7"/>
  <c r="BS26" i="7"/>
  <c r="BQ26" i="7"/>
  <c r="BP26" i="7"/>
  <c r="BO26" i="7"/>
  <c r="BN26" i="7"/>
  <c r="BM26" i="7"/>
  <c r="BL26" i="7"/>
  <c r="BJ26" i="7"/>
  <c r="BI26" i="7"/>
  <c r="BH26" i="7"/>
  <c r="BG26" i="7"/>
  <c r="BF26" i="7"/>
  <c r="BE26" i="7"/>
  <c r="BC26" i="7"/>
  <c r="BB26" i="7"/>
  <c r="BA26" i="7"/>
  <c r="AZ26" i="7"/>
  <c r="AY26" i="7"/>
  <c r="AX26" i="7"/>
  <c r="AV26" i="7"/>
  <c r="AU26" i="7"/>
  <c r="AT26" i="7"/>
  <c r="AS26" i="7"/>
  <c r="AR26" i="7"/>
  <c r="AQ26" i="7"/>
  <c r="AO26" i="7"/>
  <c r="AN26" i="7"/>
  <c r="AM26" i="7"/>
  <c r="AL26" i="7"/>
  <c r="AK26" i="7"/>
  <c r="AJ26" i="7"/>
  <c r="AH26" i="7"/>
  <c r="AG26" i="7"/>
  <c r="AF26" i="7"/>
  <c r="AE26" i="7"/>
  <c r="AD26" i="7"/>
  <c r="AC26" i="7"/>
  <c r="AA26" i="7"/>
  <c r="Z26" i="7"/>
  <c r="Y26" i="7"/>
  <c r="X26" i="7"/>
  <c r="W26" i="7"/>
  <c r="V26" i="7"/>
  <c r="T26" i="7"/>
  <c r="S26" i="7"/>
  <c r="R26" i="7"/>
  <c r="Q26" i="7"/>
  <c r="P26" i="7"/>
  <c r="O26" i="7"/>
  <c r="M26" i="7"/>
  <c r="L26" i="7"/>
  <c r="K26" i="7"/>
  <c r="J26" i="7"/>
  <c r="I26" i="7"/>
  <c r="H26" i="7"/>
  <c r="F26" i="7"/>
  <c r="E26" i="7"/>
  <c r="D26" i="7"/>
  <c r="C26" i="7"/>
  <c r="B26" i="7"/>
  <c r="A26" i="7"/>
  <c r="CS25" i="7"/>
  <c r="CR25" i="7"/>
  <c r="CQ25" i="7"/>
  <c r="CP25" i="7"/>
  <c r="CO25" i="7"/>
  <c r="CN25" i="7"/>
  <c r="CL25" i="7"/>
  <c r="CK25" i="7"/>
  <c r="CJ25" i="7"/>
  <c r="CI25" i="7"/>
  <c r="CH25" i="7"/>
  <c r="CG25" i="7"/>
  <c r="CE25" i="7"/>
  <c r="CD25" i="7"/>
  <c r="CC25" i="7"/>
  <c r="CB25" i="7"/>
  <c r="CA25" i="7"/>
  <c r="BZ25" i="7"/>
  <c r="BX25" i="7"/>
  <c r="BW25" i="7"/>
  <c r="BV25" i="7"/>
  <c r="BU25" i="7"/>
  <c r="BT25" i="7"/>
  <c r="BS25" i="7"/>
  <c r="BQ25" i="7"/>
  <c r="BP25" i="7"/>
  <c r="BO25" i="7"/>
  <c r="BN25" i="7"/>
  <c r="BM25" i="7"/>
  <c r="BL25" i="7"/>
  <c r="BJ25" i="7"/>
  <c r="BI25" i="7"/>
  <c r="BH25" i="7"/>
  <c r="BG25" i="7"/>
  <c r="BF25" i="7"/>
  <c r="BE25" i="7"/>
  <c r="BC25" i="7"/>
  <c r="BB25" i="7"/>
  <c r="BA25" i="7"/>
  <c r="AZ25" i="7"/>
  <c r="AY25" i="7"/>
  <c r="AX25" i="7"/>
  <c r="AV25" i="7"/>
  <c r="AU25" i="7"/>
  <c r="AT25" i="7"/>
  <c r="AS25" i="7"/>
  <c r="AR25" i="7"/>
  <c r="AQ25" i="7"/>
  <c r="AO25" i="7"/>
  <c r="AN25" i="7"/>
  <c r="AM25" i="7"/>
  <c r="AL25" i="7"/>
  <c r="AK25" i="7"/>
  <c r="AJ25" i="7"/>
  <c r="AH25" i="7"/>
  <c r="AG25" i="7"/>
  <c r="AF25" i="7"/>
  <c r="AE25" i="7"/>
  <c r="AD25" i="7"/>
  <c r="AC25" i="7"/>
  <c r="AA25" i="7"/>
  <c r="Z25" i="7"/>
  <c r="Y25" i="7"/>
  <c r="X25" i="7"/>
  <c r="W25" i="7"/>
  <c r="V25" i="7"/>
  <c r="T25" i="7"/>
  <c r="S25" i="7"/>
  <c r="R25" i="7"/>
  <c r="Q25" i="7"/>
  <c r="P25" i="7"/>
  <c r="O25" i="7"/>
  <c r="M25" i="7"/>
  <c r="L25" i="7"/>
  <c r="K25" i="7"/>
  <c r="J25" i="7"/>
  <c r="I25" i="7"/>
  <c r="H25" i="7"/>
  <c r="F25" i="7"/>
  <c r="E25" i="7"/>
  <c r="D25" i="7"/>
  <c r="C25" i="7"/>
  <c r="B25" i="7"/>
  <c r="A25" i="7"/>
  <c r="CS24" i="7"/>
  <c r="CR24" i="7"/>
  <c r="CQ24" i="7"/>
  <c r="CP24" i="7"/>
  <c r="CO24" i="7"/>
  <c r="CN24" i="7"/>
  <c r="CL24" i="7"/>
  <c r="CK24" i="7"/>
  <c r="CJ24" i="7"/>
  <c r="CI24" i="7"/>
  <c r="CH24" i="7"/>
  <c r="CG24" i="7"/>
  <c r="CE24" i="7"/>
  <c r="CD24" i="7"/>
  <c r="CC24" i="7"/>
  <c r="CB24" i="7"/>
  <c r="CA24" i="7"/>
  <c r="BZ24" i="7"/>
  <c r="BX24" i="7"/>
  <c r="BW24" i="7"/>
  <c r="BV24" i="7"/>
  <c r="BU24" i="7"/>
  <c r="BT24" i="7"/>
  <c r="BS24" i="7"/>
  <c r="BQ24" i="7"/>
  <c r="BP24" i="7"/>
  <c r="BO24" i="7"/>
  <c r="BN24" i="7"/>
  <c r="BM24" i="7"/>
  <c r="BL24" i="7"/>
  <c r="BJ24" i="7"/>
  <c r="BI24" i="7"/>
  <c r="BH24" i="7"/>
  <c r="BG24" i="7"/>
  <c r="BF24" i="7"/>
  <c r="BE24" i="7"/>
  <c r="BC24" i="7"/>
  <c r="BB24" i="7"/>
  <c r="BA24" i="7"/>
  <c r="AZ24" i="7"/>
  <c r="AY24" i="7"/>
  <c r="AX24" i="7"/>
  <c r="AV24" i="7"/>
  <c r="AU24" i="7"/>
  <c r="AT24" i="7"/>
  <c r="AS24" i="7"/>
  <c r="AR24" i="7"/>
  <c r="AQ24" i="7"/>
  <c r="AO24" i="7"/>
  <c r="AN24" i="7"/>
  <c r="AM24" i="7"/>
  <c r="AL24" i="7"/>
  <c r="AK24" i="7"/>
  <c r="AJ24" i="7"/>
  <c r="AH24" i="7"/>
  <c r="AG24" i="7"/>
  <c r="AF24" i="7"/>
  <c r="AE24" i="7"/>
  <c r="AD24" i="7"/>
  <c r="AC24" i="7"/>
  <c r="AA24" i="7"/>
  <c r="Z24" i="7"/>
  <c r="Y24" i="7"/>
  <c r="X24" i="7"/>
  <c r="W24" i="7"/>
  <c r="V24" i="7"/>
  <c r="T24" i="7"/>
  <c r="S24" i="7"/>
  <c r="R24" i="7"/>
  <c r="Q24" i="7"/>
  <c r="P24" i="7"/>
  <c r="O24" i="7"/>
  <c r="M24" i="7"/>
  <c r="L24" i="7"/>
  <c r="K24" i="7"/>
  <c r="J24" i="7"/>
  <c r="I24" i="7"/>
  <c r="H24" i="7"/>
  <c r="F24" i="7"/>
  <c r="E24" i="7"/>
  <c r="D24" i="7"/>
  <c r="C24" i="7"/>
  <c r="B24" i="7"/>
  <c r="A24" i="7"/>
  <c r="CS23" i="7"/>
  <c r="CR23" i="7"/>
  <c r="CQ23" i="7"/>
  <c r="CP23" i="7"/>
  <c r="CO23" i="7"/>
  <c r="CN23" i="7"/>
  <c r="CL23" i="7"/>
  <c r="CK23" i="7"/>
  <c r="CJ23" i="7"/>
  <c r="CI23" i="7"/>
  <c r="CH23" i="7"/>
  <c r="CG23" i="7"/>
  <c r="CE23" i="7"/>
  <c r="CD23" i="7"/>
  <c r="CC23" i="7"/>
  <c r="CB23" i="7"/>
  <c r="CA23" i="7"/>
  <c r="BZ23" i="7"/>
  <c r="BX23" i="7"/>
  <c r="BW23" i="7"/>
  <c r="BV23" i="7"/>
  <c r="BU23" i="7"/>
  <c r="BT23" i="7"/>
  <c r="BS23" i="7"/>
  <c r="BQ23" i="7"/>
  <c r="BP23" i="7"/>
  <c r="BO23" i="7"/>
  <c r="BN23" i="7"/>
  <c r="BM23" i="7"/>
  <c r="BL23" i="7"/>
  <c r="BJ23" i="7"/>
  <c r="BI23" i="7"/>
  <c r="BH23" i="7"/>
  <c r="BG23" i="7"/>
  <c r="BF23" i="7"/>
  <c r="BE23" i="7"/>
  <c r="BC23" i="7"/>
  <c r="BB23" i="7"/>
  <c r="BA23" i="7"/>
  <c r="AZ23" i="7"/>
  <c r="AY23" i="7"/>
  <c r="AX23" i="7"/>
  <c r="AV23" i="7"/>
  <c r="AU23" i="7"/>
  <c r="AT23" i="7"/>
  <c r="AS23" i="7"/>
  <c r="AR23" i="7"/>
  <c r="AQ23" i="7"/>
  <c r="AO23" i="7"/>
  <c r="AN23" i="7"/>
  <c r="AM23" i="7"/>
  <c r="AL23" i="7"/>
  <c r="AK23" i="7"/>
  <c r="AJ23" i="7"/>
  <c r="AH23" i="7"/>
  <c r="AG23" i="7"/>
  <c r="AF23" i="7"/>
  <c r="AE23" i="7"/>
  <c r="AD23" i="7"/>
  <c r="AC23" i="7"/>
  <c r="AA23" i="7"/>
  <c r="Z23" i="7"/>
  <c r="Y23" i="7"/>
  <c r="X23" i="7"/>
  <c r="W23" i="7"/>
  <c r="V23" i="7"/>
  <c r="T23" i="7"/>
  <c r="S23" i="7"/>
  <c r="R23" i="7"/>
  <c r="Q23" i="7"/>
  <c r="P23" i="7"/>
  <c r="O23" i="7"/>
  <c r="M23" i="7"/>
  <c r="L23" i="7"/>
  <c r="K23" i="7"/>
  <c r="J23" i="7"/>
  <c r="I23" i="7"/>
  <c r="H23" i="7"/>
  <c r="F23" i="7"/>
  <c r="E23" i="7"/>
  <c r="D23" i="7"/>
  <c r="C23" i="7"/>
  <c r="B23" i="7"/>
  <c r="A23" i="7"/>
  <c r="CS22" i="7"/>
  <c r="CR22" i="7"/>
  <c r="CQ22" i="7"/>
  <c r="CP22" i="7"/>
  <c r="CO22" i="7"/>
  <c r="CN22" i="7"/>
  <c r="CL22" i="7"/>
  <c r="CK22" i="7"/>
  <c r="CJ22" i="7"/>
  <c r="CI22" i="7"/>
  <c r="CH22" i="7"/>
  <c r="CG22" i="7"/>
  <c r="CE22" i="7"/>
  <c r="CD22" i="7"/>
  <c r="CC22" i="7"/>
  <c r="CB22" i="7"/>
  <c r="CA22" i="7"/>
  <c r="BZ22" i="7"/>
  <c r="BX22" i="7"/>
  <c r="BW22" i="7"/>
  <c r="BV22" i="7"/>
  <c r="BU22" i="7"/>
  <c r="BT22" i="7"/>
  <c r="BS22" i="7"/>
  <c r="BQ22" i="7"/>
  <c r="BP22" i="7"/>
  <c r="BO22" i="7"/>
  <c r="BN22" i="7"/>
  <c r="BM22" i="7"/>
  <c r="BL22" i="7"/>
  <c r="BJ22" i="7"/>
  <c r="BI22" i="7"/>
  <c r="BH22" i="7"/>
  <c r="BG22" i="7"/>
  <c r="BF22" i="7"/>
  <c r="BE22" i="7"/>
  <c r="BC22" i="7"/>
  <c r="BB22" i="7"/>
  <c r="BA22" i="7"/>
  <c r="AZ22" i="7"/>
  <c r="AY22" i="7"/>
  <c r="AX22" i="7"/>
  <c r="AV22" i="7"/>
  <c r="AU22" i="7"/>
  <c r="AT22" i="7"/>
  <c r="AS22" i="7"/>
  <c r="AR22" i="7"/>
  <c r="AQ22" i="7"/>
  <c r="AO22" i="7"/>
  <c r="AN22" i="7"/>
  <c r="AM22" i="7"/>
  <c r="AL22" i="7"/>
  <c r="AK22" i="7"/>
  <c r="AJ22" i="7"/>
  <c r="AH22" i="7"/>
  <c r="AG22" i="7"/>
  <c r="AF22" i="7"/>
  <c r="AE22" i="7"/>
  <c r="AD22" i="7"/>
  <c r="AC22" i="7"/>
  <c r="AA22" i="7"/>
  <c r="Z22" i="7"/>
  <c r="Y22" i="7"/>
  <c r="X22" i="7"/>
  <c r="W22" i="7"/>
  <c r="V22" i="7"/>
  <c r="T22" i="7"/>
  <c r="S22" i="7"/>
  <c r="R22" i="7"/>
  <c r="Q22" i="7"/>
  <c r="P22" i="7"/>
  <c r="O22" i="7"/>
  <c r="M22" i="7"/>
  <c r="L22" i="7"/>
  <c r="K22" i="7"/>
  <c r="J22" i="7"/>
  <c r="I22" i="7"/>
  <c r="H22" i="7"/>
  <c r="F22" i="7"/>
  <c r="E22" i="7"/>
  <c r="D22" i="7"/>
  <c r="C22" i="7"/>
  <c r="B22" i="7"/>
  <c r="A22" i="7"/>
  <c r="CS21" i="7"/>
  <c r="CR21" i="7"/>
  <c r="CQ21" i="7"/>
  <c r="CP21" i="7"/>
  <c r="CO21" i="7"/>
  <c r="CN21" i="7"/>
  <c r="CL21" i="7"/>
  <c r="CK21" i="7"/>
  <c r="CJ21" i="7"/>
  <c r="CI21" i="7"/>
  <c r="CH21" i="7"/>
  <c r="CG21" i="7"/>
  <c r="CE21" i="7"/>
  <c r="CD21" i="7"/>
  <c r="CC21" i="7"/>
  <c r="CB21" i="7"/>
  <c r="CA21" i="7"/>
  <c r="BZ21" i="7"/>
  <c r="BX21" i="7"/>
  <c r="BW21" i="7"/>
  <c r="BV21" i="7"/>
  <c r="BU21" i="7"/>
  <c r="BT21" i="7"/>
  <c r="BS21" i="7"/>
  <c r="BQ21" i="7"/>
  <c r="BP21" i="7"/>
  <c r="BO21" i="7"/>
  <c r="BN21" i="7"/>
  <c r="BM21" i="7"/>
  <c r="BL21" i="7"/>
  <c r="BJ21" i="7"/>
  <c r="BI21" i="7"/>
  <c r="BH21" i="7"/>
  <c r="BG21" i="7"/>
  <c r="BF21" i="7"/>
  <c r="BE21" i="7"/>
  <c r="BC21" i="7"/>
  <c r="BB21" i="7"/>
  <c r="BA21" i="7"/>
  <c r="AZ21" i="7"/>
  <c r="AY21" i="7"/>
  <c r="AX21" i="7"/>
  <c r="AV21" i="7"/>
  <c r="AU21" i="7"/>
  <c r="AT21" i="7"/>
  <c r="AS21" i="7"/>
  <c r="AR21" i="7"/>
  <c r="AQ21" i="7"/>
  <c r="AO21" i="7"/>
  <c r="AN21" i="7"/>
  <c r="AM21" i="7"/>
  <c r="AL21" i="7"/>
  <c r="AK21" i="7"/>
  <c r="AJ21" i="7"/>
  <c r="AH21" i="7"/>
  <c r="AG21" i="7"/>
  <c r="AF21" i="7"/>
  <c r="AE21" i="7"/>
  <c r="AD21" i="7"/>
  <c r="AC21" i="7"/>
  <c r="AA21" i="7"/>
  <c r="Z21" i="7"/>
  <c r="Y21" i="7"/>
  <c r="X21" i="7"/>
  <c r="W21" i="7"/>
  <c r="V21" i="7"/>
  <c r="T21" i="7"/>
  <c r="S21" i="7"/>
  <c r="R21" i="7"/>
  <c r="Q21" i="7"/>
  <c r="P21" i="7"/>
  <c r="O21" i="7"/>
  <c r="M21" i="7"/>
  <c r="L21" i="7"/>
  <c r="K21" i="7"/>
  <c r="J21" i="7"/>
  <c r="I21" i="7"/>
  <c r="H21" i="7"/>
  <c r="F21" i="7"/>
  <c r="E21" i="7"/>
  <c r="D21" i="7"/>
  <c r="C21" i="7"/>
  <c r="B21" i="7"/>
  <c r="A21" i="7"/>
  <c r="CS20" i="7"/>
  <c r="CR20" i="7"/>
  <c r="CQ20" i="7"/>
  <c r="CP20" i="7"/>
  <c r="CO20" i="7"/>
  <c r="CN20" i="7"/>
  <c r="CL20" i="7"/>
  <c r="CK20" i="7"/>
  <c r="CJ20" i="7"/>
  <c r="CI20" i="7"/>
  <c r="CH20" i="7"/>
  <c r="CG20" i="7"/>
  <c r="CE20" i="7"/>
  <c r="CD20" i="7"/>
  <c r="CC20" i="7"/>
  <c r="CB20" i="7"/>
  <c r="CA20" i="7"/>
  <c r="BZ20" i="7"/>
  <c r="BX20" i="7"/>
  <c r="BW20" i="7"/>
  <c r="BV20" i="7"/>
  <c r="BU20" i="7"/>
  <c r="BT20" i="7"/>
  <c r="BS20" i="7"/>
  <c r="BQ20" i="7"/>
  <c r="BP20" i="7"/>
  <c r="BO20" i="7"/>
  <c r="BN20" i="7"/>
  <c r="BM20" i="7"/>
  <c r="BL20" i="7"/>
  <c r="BJ20" i="7"/>
  <c r="BI20" i="7"/>
  <c r="BH20" i="7"/>
  <c r="BG20" i="7"/>
  <c r="BF20" i="7"/>
  <c r="BE20" i="7"/>
  <c r="BC20" i="7"/>
  <c r="BB20" i="7"/>
  <c r="BA20" i="7"/>
  <c r="AZ20" i="7"/>
  <c r="AY20" i="7"/>
  <c r="AX20" i="7"/>
  <c r="AV20" i="7"/>
  <c r="AU20" i="7"/>
  <c r="AT20" i="7"/>
  <c r="AS20" i="7"/>
  <c r="AR20" i="7"/>
  <c r="AQ20" i="7"/>
  <c r="AO20" i="7"/>
  <c r="AN20" i="7"/>
  <c r="AM20" i="7"/>
  <c r="AL20" i="7"/>
  <c r="AK20" i="7"/>
  <c r="AJ20" i="7"/>
  <c r="AH20" i="7"/>
  <c r="AG20" i="7"/>
  <c r="AF20" i="7"/>
  <c r="AE20" i="7"/>
  <c r="AD20" i="7"/>
  <c r="AC20" i="7"/>
  <c r="AA20" i="7"/>
  <c r="Z20" i="7"/>
  <c r="Y20" i="7"/>
  <c r="X20" i="7"/>
  <c r="W20" i="7"/>
  <c r="V20" i="7"/>
  <c r="T20" i="7"/>
  <c r="S20" i="7"/>
  <c r="R20" i="7"/>
  <c r="Q20" i="7"/>
  <c r="P20" i="7"/>
  <c r="O20" i="7"/>
  <c r="M20" i="7"/>
  <c r="L20" i="7"/>
  <c r="K20" i="7"/>
  <c r="J20" i="7"/>
  <c r="I20" i="7"/>
  <c r="H20" i="7"/>
  <c r="F20" i="7"/>
  <c r="E20" i="7"/>
  <c r="D20" i="7"/>
  <c r="C20" i="7"/>
  <c r="B20" i="7"/>
  <c r="A20" i="7"/>
  <c r="CS19" i="7"/>
  <c r="CR19" i="7"/>
  <c r="CQ19" i="7"/>
  <c r="CP19" i="7"/>
  <c r="CO19" i="7"/>
  <c r="CN19" i="7"/>
  <c r="CL19" i="7"/>
  <c r="CK19" i="7"/>
  <c r="CJ19" i="7"/>
  <c r="CI19" i="7"/>
  <c r="CH19" i="7"/>
  <c r="CG19" i="7"/>
  <c r="CE19" i="7"/>
  <c r="CD19" i="7"/>
  <c r="CC19" i="7"/>
  <c r="CB19" i="7"/>
  <c r="CA19" i="7"/>
  <c r="BZ19" i="7"/>
  <c r="BX19" i="7"/>
  <c r="BW19" i="7"/>
  <c r="BV19" i="7"/>
  <c r="BU19" i="7"/>
  <c r="BT19" i="7"/>
  <c r="BS19" i="7"/>
  <c r="BQ19" i="7"/>
  <c r="BP19" i="7"/>
  <c r="BO19" i="7"/>
  <c r="BN19" i="7"/>
  <c r="BM19" i="7"/>
  <c r="BL19" i="7"/>
  <c r="BJ19" i="7"/>
  <c r="BI19" i="7"/>
  <c r="BH19" i="7"/>
  <c r="BG19" i="7"/>
  <c r="BF19" i="7"/>
  <c r="BE19" i="7"/>
  <c r="BC19" i="7"/>
  <c r="BB19" i="7"/>
  <c r="BA19" i="7"/>
  <c r="AZ19" i="7"/>
  <c r="AY19" i="7"/>
  <c r="AX19" i="7"/>
  <c r="AV19" i="7"/>
  <c r="AU19" i="7"/>
  <c r="AT19" i="7"/>
  <c r="AS19" i="7"/>
  <c r="AR19" i="7"/>
  <c r="AQ19" i="7"/>
  <c r="AO19" i="7"/>
  <c r="AN19" i="7"/>
  <c r="AM19" i="7"/>
  <c r="AL19" i="7"/>
  <c r="AK19" i="7"/>
  <c r="AJ19" i="7"/>
  <c r="AH19" i="7"/>
  <c r="AG19" i="7"/>
  <c r="AF19" i="7"/>
  <c r="AE19" i="7"/>
  <c r="AD19" i="7"/>
  <c r="AC19" i="7"/>
  <c r="AA19" i="7"/>
  <c r="Z19" i="7"/>
  <c r="Y19" i="7"/>
  <c r="X19" i="7"/>
  <c r="W19" i="7"/>
  <c r="V19" i="7"/>
  <c r="T19" i="7"/>
  <c r="S19" i="7"/>
  <c r="R19" i="7"/>
  <c r="Q19" i="7"/>
  <c r="P19" i="7"/>
  <c r="O19" i="7"/>
  <c r="M19" i="7"/>
  <c r="L19" i="7"/>
  <c r="K19" i="7"/>
  <c r="J19" i="7"/>
  <c r="I19" i="7"/>
  <c r="H19" i="7"/>
  <c r="F19" i="7"/>
  <c r="E19" i="7"/>
  <c r="D19" i="7"/>
  <c r="C19" i="7"/>
  <c r="B19" i="7"/>
  <c r="A19" i="7"/>
  <c r="CS18" i="7"/>
  <c r="CR18" i="7"/>
  <c r="CQ18" i="7"/>
  <c r="CP18" i="7"/>
  <c r="CO18" i="7"/>
  <c r="CN18" i="7"/>
  <c r="CL18" i="7"/>
  <c r="CK18" i="7"/>
  <c r="CJ18" i="7"/>
  <c r="CI18" i="7"/>
  <c r="CH18" i="7"/>
  <c r="CG18" i="7"/>
  <c r="CE18" i="7"/>
  <c r="CD18" i="7"/>
  <c r="CC18" i="7"/>
  <c r="CB18" i="7"/>
  <c r="CA18" i="7"/>
  <c r="BZ18" i="7"/>
  <c r="BX18" i="7"/>
  <c r="BW18" i="7"/>
  <c r="BV18" i="7"/>
  <c r="BU18" i="7"/>
  <c r="BT18" i="7"/>
  <c r="BS18" i="7"/>
  <c r="BQ18" i="7"/>
  <c r="BP18" i="7"/>
  <c r="BO18" i="7"/>
  <c r="BN18" i="7"/>
  <c r="BM18" i="7"/>
  <c r="BL18" i="7"/>
  <c r="BJ18" i="7"/>
  <c r="BI18" i="7"/>
  <c r="BH18" i="7"/>
  <c r="BG18" i="7"/>
  <c r="BF18" i="7"/>
  <c r="BE18" i="7"/>
  <c r="BC18" i="7"/>
  <c r="BB18" i="7"/>
  <c r="BA18" i="7"/>
  <c r="AZ18" i="7"/>
  <c r="AY18" i="7"/>
  <c r="AX18" i="7"/>
  <c r="AV18" i="7"/>
  <c r="AU18" i="7"/>
  <c r="AT18" i="7"/>
  <c r="AS18" i="7"/>
  <c r="AR18" i="7"/>
  <c r="AQ18" i="7"/>
  <c r="AO18" i="7"/>
  <c r="AN18" i="7"/>
  <c r="AM18" i="7"/>
  <c r="AL18" i="7"/>
  <c r="AK18" i="7"/>
  <c r="AJ18" i="7"/>
  <c r="AH18" i="7"/>
  <c r="AG18" i="7"/>
  <c r="AF18" i="7"/>
  <c r="AE18" i="7"/>
  <c r="AD18" i="7"/>
  <c r="AC18" i="7"/>
  <c r="AA18" i="7"/>
  <c r="Z18" i="7"/>
  <c r="Y18" i="7"/>
  <c r="X18" i="7"/>
  <c r="W18" i="7"/>
  <c r="V18" i="7"/>
  <c r="T18" i="7"/>
  <c r="S18" i="7"/>
  <c r="R18" i="7"/>
  <c r="Q18" i="7"/>
  <c r="P18" i="7"/>
  <c r="O18" i="7"/>
  <c r="M18" i="7"/>
  <c r="L18" i="7"/>
  <c r="K18" i="7"/>
  <c r="J18" i="7"/>
  <c r="I18" i="7"/>
  <c r="H18" i="7"/>
  <c r="F18" i="7"/>
  <c r="E18" i="7"/>
  <c r="D18" i="7"/>
  <c r="C18" i="7"/>
  <c r="B18" i="7"/>
  <c r="A18" i="7"/>
  <c r="CS17" i="7"/>
  <c r="CR17" i="7"/>
  <c r="CQ17" i="7"/>
  <c r="CP17" i="7"/>
  <c r="CO17" i="7"/>
  <c r="CN17" i="7"/>
  <c r="CL17" i="7"/>
  <c r="CK17" i="7"/>
  <c r="CJ17" i="7"/>
  <c r="CI17" i="7"/>
  <c r="CH17" i="7"/>
  <c r="CG17" i="7"/>
  <c r="CE17" i="7"/>
  <c r="CD17" i="7"/>
  <c r="CC17" i="7"/>
  <c r="CB17" i="7"/>
  <c r="CA17" i="7"/>
  <c r="BZ17" i="7"/>
  <c r="BX17" i="7"/>
  <c r="BW17" i="7"/>
  <c r="BV17" i="7"/>
  <c r="BU17" i="7"/>
  <c r="BT17" i="7"/>
  <c r="BS17" i="7"/>
  <c r="BQ17" i="7"/>
  <c r="BP17" i="7"/>
  <c r="BO17" i="7"/>
  <c r="BN17" i="7"/>
  <c r="BM17" i="7"/>
  <c r="BL17" i="7"/>
  <c r="BJ17" i="7"/>
  <c r="BI17" i="7"/>
  <c r="BH17" i="7"/>
  <c r="BG17" i="7"/>
  <c r="BF17" i="7"/>
  <c r="BE17" i="7"/>
  <c r="BC17" i="7"/>
  <c r="BB17" i="7"/>
  <c r="BA17" i="7"/>
  <c r="AZ17" i="7"/>
  <c r="AY17" i="7"/>
  <c r="AX17" i="7"/>
  <c r="AV17" i="7"/>
  <c r="AU17" i="7"/>
  <c r="AT17" i="7"/>
  <c r="AS17" i="7"/>
  <c r="AR17" i="7"/>
  <c r="AQ17" i="7"/>
  <c r="AO17" i="7"/>
  <c r="AN17" i="7"/>
  <c r="AM17" i="7"/>
  <c r="AL17" i="7"/>
  <c r="AK17" i="7"/>
  <c r="AJ17" i="7"/>
  <c r="AH17" i="7"/>
  <c r="AG17" i="7"/>
  <c r="AF17" i="7"/>
  <c r="AE17" i="7"/>
  <c r="AD17" i="7"/>
  <c r="AC17" i="7"/>
  <c r="AA17" i="7"/>
  <c r="Z17" i="7"/>
  <c r="Y17" i="7"/>
  <c r="X17" i="7"/>
  <c r="W17" i="7"/>
  <c r="V17" i="7"/>
  <c r="T17" i="7"/>
  <c r="S17" i="7"/>
  <c r="R17" i="7"/>
  <c r="Q17" i="7"/>
  <c r="P17" i="7"/>
  <c r="O17" i="7"/>
  <c r="M17" i="7"/>
  <c r="L17" i="7"/>
  <c r="K17" i="7"/>
  <c r="J17" i="7"/>
  <c r="I17" i="7"/>
  <c r="H17" i="7"/>
  <c r="F17" i="7"/>
  <c r="E17" i="7"/>
  <c r="D17" i="7"/>
  <c r="C17" i="7"/>
  <c r="B17" i="7"/>
  <c r="A17" i="7"/>
  <c r="CS16" i="7"/>
  <c r="CR16" i="7"/>
  <c r="CQ16" i="7"/>
  <c r="CP16" i="7"/>
  <c r="CO16" i="7"/>
  <c r="CN16" i="7"/>
  <c r="CL16" i="7"/>
  <c r="CK16" i="7"/>
  <c r="CJ16" i="7"/>
  <c r="CI16" i="7"/>
  <c r="CH16" i="7"/>
  <c r="CG16" i="7"/>
  <c r="CE16" i="7"/>
  <c r="CD16" i="7"/>
  <c r="CC16" i="7"/>
  <c r="CB16" i="7"/>
  <c r="CA16" i="7"/>
  <c r="BZ16" i="7"/>
  <c r="BX16" i="7"/>
  <c r="BW16" i="7"/>
  <c r="BV16" i="7"/>
  <c r="BU16" i="7"/>
  <c r="BT16" i="7"/>
  <c r="BS16" i="7"/>
  <c r="BQ16" i="7"/>
  <c r="BP16" i="7"/>
  <c r="BO16" i="7"/>
  <c r="BN16" i="7"/>
  <c r="BM16" i="7"/>
  <c r="BL16" i="7"/>
  <c r="BJ16" i="7"/>
  <c r="BI16" i="7"/>
  <c r="BH16" i="7"/>
  <c r="BG16" i="7"/>
  <c r="BF16" i="7"/>
  <c r="BE16" i="7"/>
  <c r="BC16" i="7"/>
  <c r="BB16" i="7"/>
  <c r="BA16" i="7"/>
  <c r="AZ16" i="7"/>
  <c r="AY16" i="7"/>
  <c r="AX16" i="7"/>
  <c r="AV16" i="7"/>
  <c r="AU16" i="7"/>
  <c r="AT16" i="7"/>
  <c r="AS16" i="7"/>
  <c r="AR16" i="7"/>
  <c r="AQ16" i="7"/>
  <c r="AO16" i="7"/>
  <c r="AN16" i="7"/>
  <c r="AM16" i="7"/>
  <c r="AL16" i="7"/>
  <c r="AK16" i="7"/>
  <c r="AJ16" i="7"/>
  <c r="AH16" i="7"/>
  <c r="AG16" i="7"/>
  <c r="AF16" i="7"/>
  <c r="AE16" i="7"/>
  <c r="AD16" i="7"/>
  <c r="AC16" i="7"/>
  <c r="AA16" i="7"/>
  <c r="Z16" i="7"/>
  <c r="Y16" i="7"/>
  <c r="X16" i="7"/>
  <c r="W16" i="7"/>
  <c r="V16" i="7"/>
  <c r="T16" i="7"/>
  <c r="S16" i="7"/>
  <c r="R16" i="7"/>
  <c r="Q16" i="7"/>
  <c r="P16" i="7"/>
  <c r="O16" i="7"/>
  <c r="M16" i="7"/>
  <c r="L16" i="7"/>
  <c r="K16" i="7"/>
  <c r="J16" i="7"/>
  <c r="I16" i="7"/>
  <c r="H16" i="7"/>
  <c r="F16" i="7"/>
  <c r="E16" i="7"/>
  <c r="D16" i="7"/>
  <c r="C16" i="7"/>
  <c r="B16" i="7"/>
  <c r="A16" i="7"/>
  <c r="CS15" i="7"/>
  <c r="CR15" i="7"/>
  <c r="CQ15" i="7"/>
  <c r="CP15" i="7"/>
  <c r="CO15" i="7"/>
  <c r="CN15" i="7"/>
  <c r="CL15" i="7"/>
  <c r="CK15" i="7"/>
  <c r="CJ15" i="7"/>
  <c r="CI15" i="7"/>
  <c r="CH15" i="7"/>
  <c r="CG15" i="7"/>
  <c r="CE15" i="7"/>
  <c r="CD15" i="7"/>
  <c r="CC15" i="7"/>
  <c r="CB15" i="7"/>
  <c r="CA15" i="7"/>
  <c r="BZ15" i="7"/>
  <c r="BX15" i="7"/>
  <c r="BW15" i="7"/>
  <c r="BV15" i="7"/>
  <c r="BU15" i="7"/>
  <c r="BT15" i="7"/>
  <c r="BS15" i="7"/>
  <c r="BQ15" i="7"/>
  <c r="BP15" i="7"/>
  <c r="BO15" i="7"/>
  <c r="BN15" i="7"/>
  <c r="BM15" i="7"/>
  <c r="BL15" i="7"/>
  <c r="BJ15" i="7"/>
  <c r="BI15" i="7"/>
  <c r="BH15" i="7"/>
  <c r="BG15" i="7"/>
  <c r="BF15" i="7"/>
  <c r="BE15" i="7"/>
  <c r="BC15" i="7"/>
  <c r="BB15" i="7"/>
  <c r="BA15" i="7"/>
  <c r="AZ15" i="7"/>
  <c r="AY15" i="7"/>
  <c r="AX15" i="7"/>
  <c r="AV15" i="7"/>
  <c r="AU15" i="7"/>
  <c r="AT15" i="7"/>
  <c r="AS15" i="7"/>
  <c r="AR15" i="7"/>
  <c r="AQ15" i="7"/>
  <c r="AO15" i="7"/>
  <c r="AN15" i="7"/>
  <c r="AM15" i="7"/>
  <c r="AL15" i="7"/>
  <c r="AK15" i="7"/>
  <c r="AJ15" i="7"/>
  <c r="AH15" i="7"/>
  <c r="AG15" i="7"/>
  <c r="AF15" i="7"/>
  <c r="AE15" i="7"/>
  <c r="AD15" i="7"/>
  <c r="AC15" i="7"/>
  <c r="AA15" i="7"/>
  <c r="Z15" i="7"/>
  <c r="Y15" i="7"/>
  <c r="X15" i="7"/>
  <c r="W15" i="7"/>
  <c r="V15" i="7"/>
  <c r="T15" i="7"/>
  <c r="S15" i="7"/>
  <c r="R15" i="7"/>
  <c r="Q15" i="7"/>
  <c r="P15" i="7"/>
  <c r="O15" i="7"/>
  <c r="M15" i="7"/>
  <c r="L15" i="7"/>
  <c r="K15" i="7"/>
  <c r="J15" i="7"/>
  <c r="I15" i="7"/>
  <c r="H15" i="7"/>
  <c r="F15" i="7"/>
  <c r="E15" i="7"/>
  <c r="D15" i="7"/>
  <c r="C15" i="7"/>
  <c r="B15" i="7"/>
  <c r="A15" i="7"/>
  <c r="CS14" i="7"/>
  <c r="CR14" i="7"/>
  <c r="CQ14" i="7"/>
  <c r="CP14" i="7"/>
  <c r="CO14" i="7"/>
  <c r="CN14" i="7"/>
  <c r="CL14" i="7"/>
  <c r="CK14" i="7"/>
  <c r="CJ14" i="7"/>
  <c r="CI14" i="7"/>
  <c r="CH14" i="7"/>
  <c r="CG14" i="7"/>
  <c r="CE14" i="7"/>
  <c r="CD14" i="7"/>
  <c r="CC14" i="7"/>
  <c r="CB14" i="7"/>
  <c r="CA14" i="7"/>
  <c r="BZ14" i="7"/>
  <c r="BX14" i="7"/>
  <c r="BW14" i="7"/>
  <c r="BV14" i="7"/>
  <c r="BU14" i="7"/>
  <c r="BT14" i="7"/>
  <c r="BS14" i="7"/>
  <c r="BQ14" i="7"/>
  <c r="BP14" i="7"/>
  <c r="BO14" i="7"/>
  <c r="BN14" i="7"/>
  <c r="BM14" i="7"/>
  <c r="BL14" i="7"/>
  <c r="BJ14" i="7"/>
  <c r="BI14" i="7"/>
  <c r="BH14" i="7"/>
  <c r="BG14" i="7"/>
  <c r="BF14" i="7"/>
  <c r="BE14" i="7"/>
  <c r="BC14" i="7"/>
  <c r="BB14" i="7"/>
  <c r="BA14" i="7"/>
  <c r="AZ14" i="7"/>
  <c r="AY14" i="7"/>
  <c r="AX14" i="7"/>
  <c r="AV14" i="7"/>
  <c r="AU14" i="7"/>
  <c r="AT14" i="7"/>
  <c r="AS14" i="7"/>
  <c r="AR14" i="7"/>
  <c r="AQ14" i="7"/>
  <c r="AO14" i="7"/>
  <c r="AN14" i="7"/>
  <c r="AM14" i="7"/>
  <c r="AL14" i="7"/>
  <c r="AK14" i="7"/>
  <c r="AJ14" i="7"/>
  <c r="AH14" i="7"/>
  <c r="AG14" i="7"/>
  <c r="AF14" i="7"/>
  <c r="AE14" i="7"/>
  <c r="AD14" i="7"/>
  <c r="AC14" i="7"/>
  <c r="AA14" i="7"/>
  <c r="Z14" i="7"/>
  <c r="Y14" i="7"/>
  <c r="X14" i="7"/>
  <c r="W14" i="7"/>
  <c r="V14" i="7"/>
  <c r="T14" i="7"/>
  <c r="S14" i="7"/>
  <c r="R14" i="7"/>
  <c r="Q14" i="7"/>
  <c r="P14" i="7"/>
  <c r="O14" i="7"/>
  <c r="M14" i="7"/>
  <c r="L14" i="7"/>
  <c r="K14" i="7"/>
  <c r="J14" i="7"/>
  <c r="I14" i="7"/>
  <c r="H14" i="7"/>
  <c r="F14" i="7"/>
  <c r="E14" i="7"/>
  <c r="D14" i="7"/>
  <c r="C14" i="7"/>
  <c r="B14" i="7"/>
  <c r="A14" i="7"/>
  <c r="CS13" i="7"/>
  <c r="CR13" i="7"/>
  <c r="CQ13" i="7"/>
  <c r="CP13" i="7"/>
  <c r="CO13" i="7"/>
  <c r="CN13" i="7"/>
  <c r="CL13" i="7"/>
  <c r="CK13" i="7"/>
  <c r="CJ13" i="7"/>
  <c r="CI13" i="7"/>
  <c r="CH13" i="7"/>
  <c r="CG13" i="7"/>
  <c r="CE13" i="7"/>
  <c r="CD13" i="7"/>
  <c r="CC13" i="7"/>
  <c r="CB13" i="7"/>
  <c r="CA13" i="7"/>
  <c r="BZ13" i="7"/>
  <c r="BX13" i="7"/>
  <c r="BW13" i="7"/>
  <c r="BV13" i="7"/>
  <c r="BU13" i="7"/>
  <c r="BT13" i="7"/>
  <c r="BS13" i="7"/>
  <c r="BQ13" i="7"/>
  <c r="BP13" i="7"/>
  <c r="BO13" i="7"/>
  <c r="BN13" i="7"/>
  <c r="BM13" i="7"/>
  <c r="BL13" i="7"/>
  <c r="BJ13" i="7"/>
  <c r="BI13" i="7"/>
  <c r="BH13" i="7"/>
  <c r="BG13" i="7"/>
  <c r="BF13" i="7"/>
  <c r="BE13" i="7"/>
  <c r="BC13" i="7"/>
  <c r="BB13" i="7"/>
  <c r="BA13" i="7"/>
  <c r="AZ13" i="7"/>
  <c r="AY13" i="7"/>
  <c r="AX13" i="7"/>
  <c r="AV13" i="7"/>
  <c r="AU13" i="7"/>
  <c r="AT13" i="7"/>
  <c r="AS13" i="7"/>
  <c r="AR13" i="7"/>
  <c r="AQ13" i="7"/>
  <c r="AO13" i="7"/>
  <c r="AN13" i="7"/>
  <c r="AM13" i="7"/>
  <c r="AL13" i="7"/>
  <c r="AK13" i="7"/>
  <c r="AJ13" i="7"/>
  <c r="AH13" i="7"/>
  <c r="AG13" i="7"/>
  <c r="AF13" i="7"/>
  <c r="AE13" i="7"/>
  <c r="AD13" i="7"/>
  <c r="AC13" i="7"/>
  <c r="AA13" i="7"/>
  <c r="Z13" i="7"/>
  <c r="Y13" i="7"/>
  <c r="X13" i="7"/>
  <c r="W13" i="7"/>
  <c r="V13" i="7"/>
  <c r="T13" i="7"/>
  <c r="S13" i="7"/>
  <c r="R13" i="7"/>
  <c r="Q13" i="7"/>
  <c r="P13" i="7"/>
  <c r="O13" i="7"/>
  <c r="M13" i="7"/>
  <c r="L13" i="7"/>
  <c r="K13" i="7"/>
  <c r="J13" i="7"/>
  <c r="I13" i="7"/>
  <c r="H13" i="7"/>
  <c r="F13" i="7"/>
  <c r="E13" i="7"/>
  <c r="D13" i="7"/>
  <c r="C13" i="7"/>
  <c r="B13" i="7"/>
  <c r="A13" i="7"/>
  <c r="CS12" i="7"/>
  <c r="CR12" i="7"/>
  <c r="CQ12" i="7"/>
  <c r="CP12" i="7"/>
  <c r="CO12" i="7"/>
  <c r="CN12" i="7"/>
  <c r="CL12" i="7"/>
  <c r="CK12" i="7"/>
  <c r="CJ12" i="7"/>
  <c r="CI12" i="7"/>
  <c r="CH12" i="7"/>
  <c r="CG12" i="7"/>
  <c r="CE12" i="7"/>
  <c r="CD12" i="7"/>
  <c r="CC12" i="7"/>
  <c r="CB12" i="7"/>
  <c r="CA12" i="7"/>
  <c r="BZ12" i="7"/>
  <c r="BX12" i="7"/>
  <c r="BW12" i="7"/>
  <c r="BV12" i="7"/>
  <c r="BU12" i="7"/>
  <c r="BT12" i="7"/>
  <c r="BS12" i="7"/>
  <c r="BQ12" i="7"/>
  <c r="BP12" i="7"/>
  <c r="BO12" i="7"/>
  <c r="BN12" i="7"/>
  <c r="BM12" i="7"/>
  <c r="BL12" i="7"/>
  <c r="BJ12" i="7"/>
  <c r="BI12" i="7"/>
  <c r="BH12" i="7"/>
  <c r="BG12" i="7"/>
  <c r="BF12" i="7"/>
  <c r="BE12" i="7"/>
  <c r="BC12" i="7"/>
  <c r="BB12" i="7"/>
  <c r="BA12" i="7"/>
  <c r="AZ12" i="7"/>
  <c r="AY12" i="7"/>
  <c r="AX12" i="7"/>
  <c r="AV12" i="7"/>
  <c r="AU12" i="7"/>
  <c r="AT12" i="7"/>
  <c r="AS12" i="7"/>
  <c r="AR12" i="7"/>
  <c r="AQ12" i="7"/>
  <c r="AO12" i="7"/>
  <c r="AN12" i="7"/>
  <c r="AM12" i="7"/>
  <c r="AL12" i="7"/>
  <c r="AK12" i="7"/>
  <c r="AJ12" i="7"/>
  <c r="AH12" i="7"/>
  <c r="AG12" i="7"/>
  <c r="AF12" i="7"/>
  <c r="AE12" i="7"/>
  <c r="AD12" i="7"/>
  <c r="AC12" i="7"/>
  <c r="AA12" i="7"/>
  <c r="Z12" i="7"/>
  <c r="Y12" i="7"/>
  <c r="X12" i="7"/>
  <c r="W12" i="7"/>
  <c r="V12" i="7"/>
  <c r="T12" i="7"/>
  <c r="S12" i="7"/>
  <c r="R12" i="7"/>
  <c r="Q12" i="7"/>
  <c r="P12" i="7"/>
  <c r="O12" i="7"/>
  <c r="M12" i="7"/>
  <c r="L12" i="7"/>
  <c r="K12" i="7"/>
  <c r="J12" i="7"/>
  <c r="I12" i="7"/>
  <c r="H12" i="7"/>
  <c r="F12" i="7"/>
  <c r="E12" i="7"/>
  <c r="D12" i="7"/>
  <c r="C12" i="7"/>
  <c r="B12" i="7"/>
  <c r="A12" i="7"/>
  <c r="CS11" i="7"/>
  <c r="CR11" i="7"/>
  <c r="CQ11" i="7"/>
  <c r="CP11" i="7"/>
  <c r="CO11" i="7"/>
  <c r="CN11" i="7"/>
  <c r="CL11" i="7"/>
  <c r="CK11" i="7"/>
  <c r="CJ11" i="7"/>
  <c r="CI11" i="7"/>
  <c r="CH11" i="7"/>
  <c r="CG11" i="7"/>
  <c r="CE11" i="7"/>
  <c r="CD11" i="7"/>
  <c r="CC11" i="7"/>
  <c r="CB11" i="7"/>
  <c r="CA11" i="7"/>
  <c r="BZ11" i="7"/>
  <c r="BX11" i="7"/>
  <c r="BW11" i="7"/>
  <c r="BV11" i="7"/>
  <c r="BU11" i="7"/>
  <c r="BT11" i="7"/>
  <c r="BS11" i="7"/>
  <c r="BQ11" i="7"/>
  <c r="BP11" i="7"/>
  <c r="BO11" i="7"/>
  <c r="BN11" i="7"/>
  <c r="BM11" i="7"/>
  <c r="BL11" i="7"/>
  <c r="BJ11" i="7"/>
  <c r="BI11" i="7"/>
  <c r="BH11" i="7"/>
  <c r="BG11" i="7"/>
  <c r="BF11" i="7"/>
  <c r="BE11" i="7"/>
  <c r="BC11" i="7"/>
  <c r="BB11" i="7"/>
  <c r="BA11" i="7"/>
  <c r="AZ11" i="7"/>
  <c r="AY11" i="7"/>
  <c r="AX11" i="7"/>
  <c r="AV11" i="7"/>
  <c r="AU11" i="7"/>
  <c r="AT11" i="7"/>
  <c r="AS11" i="7"/>
  <c r="AR11" i="7"/>
  <c r="AQ11" i="7"/>
  <c r="AO11" i="7"/>
  <c r="AN11" i="7"/>
  <c r="AM11" i="7"/>
  <c r="AL11" i="7"/>
  <c r="AK11" i="7"/>
  <c r="AJ11" i="7"/>
  <c r="AH11" i="7"/>
  <c r="AG11" i="7"/>
  <c r="AF11" i="7"/>
  <c r="AE11" i="7"/>
  <c r="AD11" i="7"/>
  <c r="AC11" i="7"/>
  <c r="AA11" i="7"/>
  <c r="Z11" i="7"/>
  <c r="Y11" i="7"/>
  <c r="X11" i="7"/>
  <c r="W11" i="7"/>
  <c r="V11" i="7"/>
  <c r="T11" i="7"/>
  <c r="S11" i="7"/>
  <c r="R11" i="7"/>
  <c r="Q11" i="7"/>
  <c r="P11" i="7"/>
  <c r="O11" i="7"/>
  <c r="M11" i="7"/>
  <c r="L11" i="7"/>
  <c r="K11" i="7"/>
  <c r="J11" i="7"/>
  <c r="I11" i="7"/>
  <c r="H11" i="7"/>
  <c r="F11" i="7"/>
  <c r="E11" i="7"/>
  <c r="D11" i="7"/>
  <c r="C11" i="7"/>
  <c r="B11" i="7"/>
  <c r="A11" i="7"/>
  <c r="CS10" i="7"/>
  <c r="CR10" i="7"/>
  <c r="CQ10" i="7"/>
  <c r="CP10" i="7"/>
  <c r="CO10" i="7"/>
  <c r="CN10" i="7"/>
  <c r="CL10" i="7"/>
  <c r="CK10" i="7"/>
  <c r="CJ10" i="7"/>
  <c r="CI10" i="7"/>
  <c r="CH10" i="7"/>
  <c r="CG10" i="7"/>
  <c r="CE10" i="7"/>
  <c r="CD10" i="7"/>
  <c r="CC10" i="7"/>
  <c r="CB10" i="7"/>
  <c r="CA10" i="7"/>
  <c r="BZ10" i="7"/>
  <c r="BX10" i="7"/>
  <c r="BW10" i="7"/>
  <c r="BV10" i="7"/>
  <c r="BU10" i="7"/>
  <c r="BT10" i="7"/>
  <c r="BS10" i="7"/>
  <c r="BQ10" i="7"/>
  <c r="BP10" i="7"/>
  <c r="BO10" i="7"/>
  <c r="BN10" i="7"/>
  <c r="BM10" i="7"/>
  <c r="BL10" i="7"/>
  <c r="BJ10" i="7"/>
  <c r="BI10" i="7"/>
  <c r="BH10" i="7"/>
  <c r="BG10" i="7"/>
  <c r="BF10" i="7"/>
  <c r="BE10" i="7"/>
  <c r="BC10" i="7"/>
  <c r="BB10" i="7"/>
  <c r="BA10" i="7"/>
  <c r="AZ10" i="7"/>
  <c r="AY10" i="7"/>
  <c r="AX10" i="7"/>
  <c r="AV10" i="7"/>
  <c r="AU10" i="7"/>
  <c r="AT10" i="7"/>
  <c r="AS10" i="7"/>
  <c r="AR10" i="7"/>
  <c r="AQ10" i="7"/>
  <c r="AO10" i="7"/>
  <c r="AN10" i="7"/>
  <c r="AM10" i="7"/>
  <c r="AL10" i="7"/>
  <c r="AK10" i="7"/>
  <c r="AJ10" i="7"/>
  <c r="AH10" i="7"/>
  <c r="AG10" i="7"/>
  <c r="AF10" i="7"/>
  <c r="AE10" i="7"/>
  <c r="AD10" i="7"/>
  <c r="AC10" i="7"/>
  <c r="AA10" i="7"/>
  <c r="Z10" i="7"/>
  <c r="Y10" i="7"/>
  <c r="X10" i="7"/>
  <c r="W10" i="7"/>
  <c r="V10" i="7"/>
  <c r="T10" i="7"/>
  <c r="S10" i="7"/>
  <c r="R10" i="7"/>
  <c r="Q10" i="7"/>
  <c r="P10" i="7"/>
  <c r="O10" i="7"/>
  <c r="M10" i="7"/>
  <c r="L10" i="7"/>
  <c r="K10" i="7"/>
  <c r="J10" i="7"/>
  <c r="I10" i="7"/>
  <c r="H10" i="7"/>
  <c r="F10" i="7"/>
  <c r="E10" i="7"/>
  <c r="D10" i="7"/>
  <c r="C10" i="7"/>
  <c r="B10" i="7"/>
  <c r="A10" i="7"/>
  <c r="CS9" i="7"/>
  <c r="CR9" i="7"/>
  <c r="CQ9" i="7"/>
  <c r="CP9" i="7"/>
  <c r="CO9" i="7"/>
  <c r="CN9" i="7"/>
  <c r="CL9" i="7"/>
  <c r="CK9" i="7"/>
  <c r="CJ9" i="7"/>
  <c r="CI9" i="7"/>
  <c r="CH9" i="7"/>
  <c r="CG9" i="7"/>
  <c r="CE9" i="7"/>
  <c r="CD9" i="7"/>
  <c r="CC9" i="7"/>
  <c r="CB9" i="7"/>
  <c r="CA9" i="7"/>
  <c r="BZ9" i="7"/>
  <c r="BX9" i="7"/>
  <c r="BW9" i="7"/>
  <c r="BV9" i="7"/>
  <c r="BU9" i="7"/>
  <c r="BT9" i="7"/>
  <c r="BS9" i="7"/>
  <c r="BQ9" i="7"/>
  <c r="BP9" i="7"/>
  <c r="BO9" i="7"/>
  <c r="BN9" i="7"/>
  <c r="BM9" i="7"/>
  <c r="BL9" i="7"/>
  <c r="BJ9" i="7"/>
  <c r="BI9" i="7"/>
  <c r="BH9" i="7"/>
  <c r="BG9" i="7"/>
  <c r="BF9" i="7"/>
  <c r="BE9" i="7"/>
  <c r="BC9" i="7"/>
  <c r="BB9" i="7"/>
  <c r="BA9" i="7"/>
  <c r="AZ9" i="7"/>
  <c r="AY9" i="7"/>
  <c r="AX9" i="7"/>
  <c r="AV9" i="7"/>
  <c r="AU9" i="7"/>
  <c r="AT9" i="7"/>
  <c r="AS9" i="7"/>
  <c r="AR9" i="7"/>
  <c r="AQ9" i="7"/>
  <c r="AO9" i="7"/>
  <c r="AN9" i="7"/>
  <c r="AM9" i="7"/>
  <c r="AL9" i="7"/>
  <c r="AK9" i="7"/>
  <c r="AJ9" i="7"/>
  <c r="AH9" i="7"/>
  <c r="AG9" i="7"/>
  <c r="AF9" i="7"/>
  <c r="AE9" i="7"/>
  <c r="AD9" i="7"/>
  <c r="AC9" i="7"/>
  <c r="AA9" i="7"/>
  <c r="Z9" i="7"/>
  <c r="Y9" i="7"/>
  <c r="X9" i="7"/>
  <c r="W9" i="7"/>
  <c r="V9" i="7"/>
  <c r="T9" i="7"/>
  <c r="S9" i="7"/>
  <c r="R9" i="7"/>
  <c r="Q9" i="7"/>
  <c r="P9" i="7"/>
  <c r="O9" i="7"/>
  <c r="M9" i="7"/>
  <c r="L9" i="7"/>
  <c r="K9" i="7"/>
  <c r="J9" i="7"/>
  <c r="I9" i="7"/>
  <c r="H9" i="7"/>
  <c r="F9" i="7"/>
  <c r="E9" i="7"/>
  <c r="D9" i="7"/>
  <c r="C9" i="7"/>
  <c r="B9" i="7"/>
  <c r="A9" i="7"/>
  <c r="CS8" i="7"/>
  <c r="CR8" i="7"/>
  <c r="CQ8" i="7"/>
  <c r="CP8" i="7"/>
  <c r="CO8" i="7"/>
  <c r="CN8" i="7"/>
  <c r="CL8" i="7"/>
  <c r="CK8" i="7"/>
  <c r="CJ8" i="7"/>
  <c r="CI8" i="7"/>
  <c r="CH8" i="7"/>
  <c r="CG8" i="7"/>
  <c r="CE8" i="7"/>
  <c r="CD8" i="7"/>
  <c r="CC8" i="7"/>
  <c r="CB8" i="7"/>
  <c r="CA8" i="7"/>
  <c r="BZ8" i="7"/>
  <c r="BX8" i="7"/>
  <c r="BW8" i="7"/>
  <c r="BV8" i="7"/>
  <c r="BU8" i="7"/>
  <c r="BT8" i="7"/>
  <c r="BS8" i="7"/>
  <c r="BQ8" i="7"/>
  <c r="BP8" i="7"/>
  <c r="BO8" i="7"/>
  <c r="BN8" i="7"/>
  <c r="BM8" i="7"/>
  <c r="BL8" i="7"/>
  <c r="BJ8" i="7"/>
  <c r="BI8" i="7"/>
  <c r="BH8" i="7"/>
  <c r="BG8" i="7"/>
  <c r="BF8" i="7"/>
  <c r="BE8" i="7"/>
  <c r="BC8" i="7"/>
  <c r="BB8" i="7"/>
  <c r="BA8" i="7"/>
  <c r="AZ8" i="7"/>
  <c r="AY8" i="7"/>
  <c r="AX8" i="7"/>
  <c r="AV8" i="7"/>
  <c r="AU8" i="7"/>
  <c r="AT8" i="7"/>
  <c r="AS8" i="7"/>
  <c r="AR8" i="7"/>
  <c r="AQ8" i="7"/>
  <c r="AO8" i="7"/>
  <c r="AN8" i="7"/>
  <c r="AM8" i="7"/>
  <c r="AL8" i="7"/>
  <c r="AK8" i="7"/>
  <c r="AJ8" i="7"/>
  <c r="AH8" i="7"/>
  <c r="AG8" i="7"/>
  <c r="AF8" i="7"/>
  <c r="AE8" i="7"/>
  <c r="AD8" i="7"/>
  <c r="AC8" i="7"/>
  <c r="AA8" i="7"/>
  <c r="Z8" i="7"/>
  <c r="Y8" i="7"/>
  <c r="X8" i="7"/>
  <c r="W8" i="7"/>
  <c r="V8" i="7"/>
  <c r="T8" i="7"/>
  <c r="S8" i="7"/>
  <c r="R8" i="7"/>
  <c r="Q8" i="7"/>
  <c r="P8" i="7"/>
  <c r="O8" i="7"/>
  <c r="M8" i="7"/>
  <c r="L8" i="7"/>
  <c r="K8" i="7"/>
  <c r="J8" i="7"/>
  <c r="I8" i="7"/>
  <c r="H8" i="7"/>
  <c r="F8" i="7"/>
  <c r="E8" i="7"/>
  <c r="D8" i="7"/>
  <c r="C8" i="7"/>
  <c r="B8" i="7"/>
  <c r="A8" i="7"/>
  <c r="CS7" i="7"/>
  <c r="CR7" i="7"/>
  <c r="CQ7" i="7"/>
  <c r="CP7" i="7"/>
  <c r="CO7" i="7"/>
  <c r="CN7" i="7"/>
  <c r="CL7" i="7"/>
  <c r="CK7" i="7"/>
  <c r="CJ7" i="7"/>
  <c r="CI7" i="7"/>
  <c r="CH7" i="7"/>
  <c r="CG7" i="7"/>
  <c r="CE7" i="7"/>
  <c r="CD7" i="7"/>
  <c r="CC7" i="7"/>
  <c r="CB7" i="7"/>
  <c r="CA7" i="7"/>
  <c r="BZ7" i="7"/>
  <c r="BX7" i="7"/>
  <c r="BW7" i="7"/>
  <c r="BV7" i="7"/>
  <c r="BU7" i="7"/>
  <c r="BT7" i="7"/>
  <c r="BS7" i="7"/>
  <c r="BQ7" i="7"/>
  <c r="BP7" i="7"/>
  <c r="BO7" i="7"/>
  <c r="BN7" i="7"/>
  <c r="BM7" i="7"/>
  <c r="BL7" i="7"/>
  <c r="BJ7" i="7"/>
  <c r="BI7" i="7"/>
  <c r="BH7" i="7"/>
  <c r="BG7" i="7"/>
  <c r="BF7" i="7"/>
  <c r="BE7" i="7"/>
  <c r="BC7" i="7"/>
  <c r="BB7" i="7"/>
  <c r="BA7" i="7"/>
  <c r="AZ7" i="7"/>
  <c r="AY7" i="7"/>
  <c r="AX7" i="7"/>
  <c r="AV7" i="7"/>
  <c r="AU7" i="7"/>
  <c r="AT7" i="7"/>
  <c r="AS7" i="7"/>
  <c r="AR7" i="7"/>
  <c r="AQ7" i="7"/>
  <c r="AO7" i="7"/>
  <c r="AN7" i="7"/>
  <c r="AM7" i="7"/>
  <c r="AL7" i="7"/>
  <c r="AK7" i="7"/>
  <c r="AJ7" i="7"/>
  <c r="AH7" i="7"/>
  <c r="AG7" i="7"/>
  <c r="AF7" i="7"/>
  <c r="AE7" i="7"/>
  <c r="AD7" i="7"/>
  <c r="AC7" i="7"/>
  <c r="AA7" i="7"/>
  <c r="Z7" i="7"/>
  <c r="Y7" i="7"/>
  <c r="X7" i="7"/>
  <c r="W7" i="7"/>
  <c r="V7" i="7"/>
  <c r="T7" i="7"/>
  <c r="S7" i="7"/>
  <c r="R7" i="7"/>
  <c r="Q7" i="7"/>
  <c r="P7" i="7"/>
  <c r="O7" i="7"/>
  <c r="M7" i="7"/>
  <c r="L7" i="7"/>
  <c r="K7" i="7"/>
  <c r="J7" i="7"/>
  <c r="I7" i="7"/>
  <c r="H7" i="7"/>
  <c r="F7" i="7"/>
  <c r="E7" i="7"/>
  <c r="D7" i="7"/>
  <c r="C7" i="7"/>
  <c r="B7" i="7"/>
  <c r="A7" i="7"/>
  <c r="CS6" i="7"/>
  <c r="CR6" i="7"/>
  <c r="CQ6" i="7"/>
  <c r="CP6" i="7"/>
  <c r="CO6" i="7"/>
  <c r="CN6" i="7"/>
  <c r="CL6" i="7"/>
  <c r="CK6" i="7"/>
  <c r="CJ6" i="7"/>
  <c r="CI6" i="7"/>
  <c r="CH6" i="7"/>
  <c r="CG6" i="7"/>
  <c r="CE6" i="7"/>
  <c r="CD6" i="7"/>
  <c r="CC6" i="7"/>
  <c r="CB6" i="7"/>
  <c r="CA6" i="7"/>
  <c r="BZ6" i="7"/>
  <c r="BX6" i="7"/>
  <c r="BW6" i="7"/>
  <c r="BV6" i="7"/>
  <c r="BU6" i="7"/>
  <c r="BT6" i="7"/>
  <c r="BS6" i="7"/>
  <c r="BQ6" i="7"/>
  <c r="BP6" i="7"/>
  <c r="BO6" i="7"/>
  <c r="BN6" i="7"/>
  <c r="BM6" i="7"/>
  <c r="BL6" i="7"/>
  <c r="BJ6" i="7"/>
  <c r="BI6" i="7"/>
  <c r="BH6" i="7"/>
  <c r="BG6" i="7"/>
  <c r="BF6" i="7"/>
  <c r="BE6" i="7"/>
  <c r="BC6" i="7"/>
  <c r="BB6" i="7"/>
  <c r="BA6" i="7"/>
  <c r="AZ6" i="7"/>
  <c r="AY6" i="7"/>
  <c r="AX6" i="7"/>
  <c r="AV6" i="7"/>
  <c r="AU6" i="7"/>
  <c r="AT6" i="7"/>
  <c r="AS6" i="7"/>
  <c r="AR6" i="7"/>
  <c r="AQ6" i="7"/>
  <c r="AO6" i="7"/>
  <c r="AN6" i="7"/>
  <c r="AM6" i="7"/>
  <c r="AL6" i="7"/>
  <c r="AK6" i="7"/>
  <c r="AJ6" i="7"/>
  <c r="AH6" i="7"/>
  <c r="AG6" i="7"/>
  <c r="AF6" i="7"/>
  <c r="AE6" i="7"/>
  <c r="AD6" i="7"/>
  <c r="AC6" i="7"/>
  <c r="AA6" i="7"/>
  <c r="Z6" i="7"/>
  <c r="Y6" i="7"/>
  <c r="X6" i="7"/>
  <c r="W6" i="7"/>
  <c r="V6" i="7"/>
  <c r="T6" i="7"/>
  <c r="S6" i="7"/>
  <c r="R6" i="7"/>
  <c r="Q6" i="7"/>
  <c r="P6" i="7"/>
  <c r="O6" i="7"/>
  <c r="M6" i="7"/>
  <c r="L6" i="7"/>
  <c r="K6" i="7"/>
  <c r="J6" i="7"/>
  <c r="I6" i="7"/>
  <c r="H6" i="7"/>
  <c r="F6" i="7"/>
  <c r="E6" i="7"/>
  <c r="D6" i="7"/>
  <c r="C6" i="7"/>
  <c r="B6" i="7"/>
  <c r="A6" i="7"/>
  <c r="CS5" i="7"/>
  <c r="CR5" i="7"/>
  <c r="CQ5" i="7"/>
  <c r="CP5" i="7"/>
  <c r="CO5" i="7"/>
  <c r="CN5" i="7"/>
  <c r="CL5" i="7"/>
  <c r="CK5" i="7"/>
  <c r="CJ5" i="7"/>
  <c r="CI5" i="7"/>
  <c r="CH5" i="7"/>
  <c r="CG5" i="7"/>
  <c r="CE5" i="7"/>
  <c r="CD5" i="7"/>
  <c r="CC5" i="7"/>
  <c r="CB5" i="7"/>
  <c r="CA5" i="7"/>
  <c r="BZ5" i="7"/>
  <c r="BX5" i="7"/>
  <c r="BW5" i="7"/>
  <c r="BV5" i="7"/>
  <c r="BU5" i="7"/>
  <c r="BT5" i="7"/>
  <c r="BS5" i="7"/>
  <c r="BQ5" i="7"/>
  <c r="BP5" i="7"/>
  <c r="BO5" i="7"/>
  <c r="BN5" i="7"/>
  <c r="BM5" i="7"/>
  <c r="BL5" i="7"/>
  <c r="BJ5" i="7"/>
  <c r="BI5" i="7"/>
  <c r="BH5" i="7"/>
  <c r="BG5" i="7"/>
  <c r="BF5" i="7"/>
  <c r="BE5" i="7"/>
  <c r="BC5" i="7"/>
  <c r="BB5" i="7"/>
  <c r="BA5" i="7"/>
  <c r="AZ5" i="7"/>
  <c r="AY5" i="7"/>
  <c r="AX5" i="7"/>
  <c r="AV5" i="7"/>
  <c r="AU5" i="7"/>
  <c r="AT5" i="7"/>
  <c r="AS5" i="7"/>
  <c r="AR5" i="7"/>
  <c r="AQ5" i="7"/>
  <c r="AO5" i="7"/>
  <c r="AN5" i="7"/>
  <c r="AM5" i="7"/>
  <c r="AL5" i="7"/>
  <c r="AK5" i="7"/>
  <c r="AJ5" i="7"/>
  <c r="AH5" i="7"/>
  <c r="AG5" i="7"/>
  <c r="AF5" i="7"/>
  <c r="AE5" i="7"/>
  <c r="AD5" i="7"/>
  <c r="AC5" i="7"/>
  <c r="AA5" i="7"/>
  <c r="Z5" i="7"/>
  <c r="Y5" i="7"/>
  <c r="X5" i="7"/>
  <c r="W5" i="7"/>
  <c r="V5" i="7"/>
  <c r="T5" i="7"/>
  <c r="S5" i="7"/>
  <c r="R5" i="7"/>
  <c r="Q5" i="7"/>
  <c r="P5" i="7"/>
  <c r="O5" i="7"/>
  <c r="M5" i="7"/>
  <c r="L5" i="7"/>
  <c r="K5" i="7"/>
  <c r="J5" i="7"/>
  <c r="I5" i="7"/>
  <c r="H5" i="7"/>
  <c r="F5" i="7"/>
  <c r="E5" i="7"/>
  <c r="D5" i="7"/>
  <c r="C5" i="7"/>
  <c r="B5" i="7"/>
  <c r="A5" i="7"/>
  <c r="CS4" i="7"/>
  <c r="CR4" i="7"/>
  <c r="CQ4" i="7"/>
  <c r="CP4" i="7"/>
  <c r="CO4" i="7"/>
  <c r="CN4" i="7"/>
  <c r="CL4" i="7"/>
  <c r="CK4" i="7"/>
  <c r="CJ4" i="7"/>
  <c r="CI4" i="7"/>
  <c r="CH4" i="7"/>
  <c r="CG4" i="7"/>
  <c r="CE4" i="7"/>
  <c r="CD4" i="7"/>
  <c r="CC4" i="7"/>
  <c r="CB4" i="7"/>
  <c r="CA4" i="7"/>
  <c r="BZ4" i="7"/>
  <c r="BX4" i="7"/>
  <c r="BW4" i="7"/>
  <c r="BV4" i="7"/>
  <c r="BU4" i="7"/>
  <c r="BT4" i="7"/>
  <c r="BS4" i="7"/>
  <c r="BQ4" i="7"/>
  <c r="BP4" i="7"/>
  <c r="BO4" i="7"/>
  <c r="BN4" i="7"/>
  <c r="BM4" i="7"/>
  <c r="BL4" i="7"/>
  <c r="BJ4" i="7"/>
  <c r="BI4" i="7"/>
  <c r="BH4" i="7"/>
  <c r="BG4" i="7"/>
  <c r="BF4" i="7"/>
  <c r="BE4" i="7"/>
  <c r="BC4" i="7"/>
  <c r="BB4" i="7"/>
  <c r="BA4" i="7"/>
  <c r="AZ4" i="7"/>
  <c r="AY4" i="7"/>
  <c r="AX4" i="7"/>
  <c r="AV4" i="7"/>
  <c r="AU4" i="7"/>
  <c r="AT4" i="7"/>
  <c r="AS4" i="7"/>
  <c r="AR4" i="7"/>
  <c r="AQ4" i="7"/>
  <c r="AO4" i="7"/>
  <c r="AN4" i="7"/>
  <c r="AM4" i="7"/>
  <c r="AL4" i="7"/>
  <c r="AK4" i="7"/>
  <c r="AJ4" i="7"/>
  <c r="AH4" i="7"/>
  <c r="AG4" i="7"/>
  <c r="AF4" i="7"/>
  <c r="AE4" i="7"/>
  <c r="AD4" i="7"/>
  <c r="AC4" i="7"/>
  <c r="AA4" i="7"/>
  <c r="Z4" i="7"/>
  <c r="Y4" i="7"/>
  <c r="X4" i="7"/>
  <c r="W4" i="7"/>
  <c r="V4" i="7"/>
  <c r="T4" i="7"/>
  <c r="S4" i="7"/>
  <c r="R4" i="7"/>
  <c r="Q4" i="7"/>
  <c r="P4" i="7"/>
  <c r="O4" i="7"/>
  <c r="M4" i="7"/>
  <c r="L4" i="7"/>
  <c r="K4" i="7"/>
  <c r="J4" i="7"/>
  <c r="I4" i="7"/>
  <c r="H4" i="7"/>
  <c r="F4" i="7"/>
  <c r="E4" i="7"/>
  <c r="D4" i="7"/>
  <c r="C4" i="7"/>
  <c r="B4" i="7"/>
  <c r="A4" i="7"/>
  <c r="CS3" i="7"/>
  <c r="CR3" i="7"/>
  <c r="CQ3" i="7"/>
  <c r="CP3" i="7"/>
  <c r="CO3" i="7"/>
  <c r="CN3" i="7"/>
  <c r="CL3" i="7"/>
  <c r="CK3" i="7"/>
  <c r="CJ3" i="7"/>
  <c r="CI3" i="7"/>
  <c r="CH3" i="7"/>
  <c r="CG3" i="7"/>
  <c r="CE3" i="7"/>
  <c r="CD3" i="7"/>
  <c r="CC3" i="7"/>
  <c r="CB3" i="7"/>
  <c r="CA3" i="7"/>
  <c r="BZ3" i="7"/>
  <c r="BX3" i="7"/>
  <c r="BW3" i="7"/>
  <c r="BV3" i="7"/>
  <c r="BU3" i="7"/>
  <c r="BT3" i="7"/>
  <c r="BS3" i="7"/>
  <c r="BQ3" i="7"/>
  <c r="BP3" i="7"/>
  <c r="BO3" i="7"/>
  <c r="BN3" i="7"/>
  <c r="BM3" i="7"/>
  <c r="BL3" i="7"/>
  <c r="BJ3" i="7"/>
  <c r="BI3" i="7"/>
  <c r="BH3" i="7"/>
  <c r="BG3" i="7"/>
  <c r="BF3" i="7"/>
  <c r="BE3" i="7"/>
  <c r="BC3" i="7"/>
  <c r="BB3" i="7"/>
  <c r="BA3" i="7"/>
  <c r="AZ3" i="7"/>
  <c r="AY3" i="7"/>
  <c r="AX3" i="7"/>
  <c r="AV3" i="7"/>
  <c r="AU3" i="7"/>
  <c r="AT3" i="7"/>
  <c r="AS3" i="7"/>
  <c r="AR3" i="7"/>
  <c r="AQ3" i="7"/>
  <c r="AO3" i="7"/>
  <c r="AN3" i="7"/>
  <c r="AM3" i="7"/>
  <c r="AL3" i="7"/>
  <c r="AK3" i="7"/>
  <c r="AJ3" i="7"/>
  <c r="AH3" i="7"/>
  <c r="AG3" i="7"/>
  <c r="AF3" i="7"/>
  <c r="AE3" i="7"/>
  <c r="AD3" i="7"/>
  <c r="AC3" i="7"/>
  <c r="AA3" i="7"/>
  <c r="Z3" i="7"/>
  <c r="Y3" i="7"/>
  <c r="X3" i="7"/>
  <c r="W3" i="7"/>
  <c r="V3" i="7"/>
  <c r="T3" i="7"/>
  <c r="S3" i="7"/>
  <c r="R3" i="7"/>
  <c r="Q3" i="7"/>
  <c r="P3" i="7"/>
  <c r="O3" i="7"/>
  <c r="M3" i="7"/>
  <c r="L3" i="7"/>
  <c r="K3" i="7"/>
  <c r="J3" i="7"/>
  <c r="I3" i="7"/>
  <c r="H3" i="7"/>
  <c r="F3" i="7"/>
  <c r="E3" i="7"/>
  <c r="D3" i="7"/>
  <c r="C3" i="7"/>
  <c r="B3" i="7"/>
  <c r="A3" i="7"/>
  <c r="BO6" i="6" l="1"/>
  <c r="BO10" i="6"/>
  <c r="BO14" i="6"/>
  <c r="BO18" i="6"/>
  <c r="BO22" i="6"/>
  <c r="BO26" i="6"/>
  <c r="BO30" i="6"/>
  <c r="BO34" i="6"/>
  <c r="BO38" i="6"/>
  <c r="BO42" i="6"/>
  <c r="BO46" i="6"/>
  <c r="BO50" i="6"/>
  <c r="BO54" i="6"/>
  <c r="BO58" i="6"/>
  <c r="BO62" i="6"/>
  <c r="BO66" i="6"/>
  <c r="BO70" i="6"/>
  <c r="BO74" i="6"/>
  <c r="BO78" i="6"/>
  <c r="BO82" i="6"/>
  <c r="BO86" i="6"/>
  <c r="BO90" i="6"/>
  <c r="BO94" i="6"/>
  <c r="BO98" i="6"/>
  <c r="BO102" i="6"/>
  <c r="BO106" i="6"/>
  <c r="BO110" i="6"/>
  <c r="BO114" i="6"/>
  <c r="BO118" i="6"/>
  <c r="BO5" i="6"/>
  <c r="BO9" i="6"/>
  <c r="BO13" i="6"/>
  <c r="BO17" i="6"/>
  <c r="BO21" i="6"/>
  <c r="BO25" i="6"/>
  <c r="BO29" i="6"/>
  <c r="BO33" i="6"/>
  <c r="BO37" i="6"/>
  <c r="BO41" i="6"/>
  <c r="BO45" i="6"/>
  <c r="BO49" i="6"/>
  <c r="BO53" i="6"/>
  <c r="BO57" i="6"/>
  <c r="BO61" i="6"/>
  <c r="BO65" i="6"/>
  <c r="BO69" i="6"/>
  <c r="BO73" i="6"/>
  <c r="BO77" i="6"/>
  <c r="BO81" i="6"/>
  <c r="BO85" i="6"/>
  <c r="BO89" i="6"/>
  <c r="BO93" i="6"/>
  <c r="BO97" i="6"/>
  <c r="BO101" i="6"/>
  <c r="BO105" i="6"/>
  <c r="BO109" i="6"/>
  <c r="BO113" i="6"/>
  <c r="BO117" i="6"/>
  <c r="BO4" i="6"/>
  <c r="BO8" i="6"/>
  <c r="BO12" i="6"/>
  <c r="BO16" i="6"/>
  <c r="BO20" i="6"/>
  <c r="BO24" i="6"/>
  <c r="BO28" i="6"/>
  <c r="BO32" i="6"/>
  <c r="BO36" i="6"/>
  <c r="BO40" i="6"/>
  <c r="BO44" i="6"/>
  <c r="BO48" i="6"/>
  <c r="BO52" i="6"/>
  <c r="BO56" i="6"/>
  <c r="BO60" i="6"/>
  <c r="BO64" i="6"/>
  <c r="BO68" i="6"/>
  <c r="BO72" i="6"/>
  <c r="BO76" i="6"/>
  <c r="BO80" i="6"/>
  <c r="BO84" i="6"/>
  <c r="BO88" i="6"/>
  <c r="BO92" i="6"/>
  <c r="BO96" i="6"/>
  <c r="BO100" i="6"/>
  <c r="BO104" i="6"/>
  <c r="BO108" i="6"/>
  <c r="BO112" i="6"/>
  <c r="BO116" i="6"/>
  <c r="BO120" i="6"/>
  <c r="BO3" i="6"/>
  <c r="BO7" i="6"/>
  <c r="BO11" i="6"/>
  <c r="BO15" i="6"/>
  <c r="BO19" i="6"/>
  <c r="BO23" i="6"/>
  <c r="BO27" i="6"/>
  <c r="BO31" i="6"/>
  <c r="BO35" i="6"/>
  <c r="BO39" i="6"/>
  <c r="BO43" i="6"/>
  <c r="BO47" i="6"/>
  <c r="BO51" i="6"/>
  <c r="BO55" i="6"/>
  <c r="BO59" i="6"/>
  <c r="BO63" i="6"/>
  <c r="BO67" i="6"/>
  <c r="BO71" i="6"/>
  <c r="BO75" i="6"/>
  <c r="BO79" i="6"/>
  <c r="BO83" i="6"/>
  <c r="BO87" i="6"/>
  <c r="BO91" i="6"/>
  <c r="BO95" i="6"/>
  <c r="BO99" i="6"/>
  <c r="BO103" i="6"/>
  <c r="BO107" i="6"/>
  <c r="BO111" i="6"/>
  <c r="BO115" i="6"/>
  <c r="BO119" i="6"/>
  <c r="AK3" i="6"/>
  <c r="AJ3" i="6"/>
  <c r="AI3" i="6"/>
  <c r="AQ3" i="6"/>
  <c r="AO3" i="6"/>
  <c r="AN3" i="6"/>
  <c r="AM3" i="6"/>
  <c r="AL3" i="6"/>
  <c r="AA3" i="6"/>
  <c r="Z3" i="6"/>
  <c r="Y3" i="6"/>
  <c r="X3" i="6"/>
  <c r="AF3" i="6"/>
  <c r="AD3" i="6"/>
  <c r="AC3" i="6"/>
  <c r="AB3" i="6"/>
  <c r="P4" i="6"/>
  <c r="O4" i="6"/>
  <c r="N4" i="6"/>
  <c r="M4" i="6"/>
  <c r="U4" i="6"/>
  <c r="S4" i="6"/>
  <c r="R4" i="6"/>
  <c r="Q4" i="6"/>
  <c r="AT4" i="6"/>
  <c r="BB4" i="6"/>
  <c r="AZ4" i="6"/>
  <c r="AY4" i="6"/>
  <c r="AX4" i="6"/>
  <c r="AW4" i="6"/>
  <c r="AV4" i="6"/>
  <c r="AU4" i="6"/>
  <c r="E5" i="6"/>
  <c r="D5" i="6"/>
  <c r="C5" i="6"/>
  <c r="B5" i="6"/>
  <c r="J5" i="6"/>
  <c r="H5" i="6"/>
  <c r="G5" i="6"/>
  <c r="F5" i="6"/>
  <c r="BU5" i="6"/>
  <c r="BT5" i="6"/>
  <c r="BS5" i="6"/>
  <c r="BR5" i="6"/>
  <c r="BQ5" i="6"/>
  <c r="BP5" i="6"/>
  <c r="BX5" i="6"/>
  <c r="BV5" i="6"/>
  <c r="FY5" i="6"/>
  <c r="FX5" i="6"/>
  <c r="FW5" i="6"/>
  <c r="FV5" i="6"/>
  <c r="GD5" i="6"/>
  <c r="GB5" i="6"/>
  <c r="GA5" i="6"/>
  <c r="FZ5" i="6"/>
  <c r="BJ6" i="6"/>
  <c r="BI6" i="6"/>
  <c r="BH6" i="6"/>
  <c r="BG6" i="6"/>
  <c r="BF6" i="6"/>
  <c r="BE6" i="6"/>
  <c r="BM6" i="6"/>
  <c r="BK6" i="6"/>
  <c r="FN6" i="6"/>
  <c r="FM6" i="6"/>
  <c r="FL6" i="6"/>
  <c r="FK6" i="6"/>
  <c r="FS6" i="6"/>
  <c r="FQ6" i="6"/>
  <c r="FP6" i="6"/>
  <c r="FO6" i="6"/>
  <c r="AO7" i="6"/>
  <c r="AN7" i="6"/>
  <c r="AM7" i="6"/>
  <c r="AL7" i="6"/>
  <c r="AK7" i="6"/>
  <c r="AJ7" i="6"/>
  <c r="AI7" i="6"/>
  <c r="AQ7" i="6"/>
  <c r="AF7" i="6"/>
  <c r="AD7" i="6"/>
  <c r="AC7" i="6"/>
  <c r="AB7" i="6"/>
  <c r="AA7" i="6"/>
  <c r="Z7" i="6"/>
  <c r="Y7" i="6"/>
  <c r="X7" i="6"/>
  <c r="U8" i="6"/>
  <c r="S8" i="6"/>
  <c r="R8" i="6"/>
  <c r="Q8" i="6"/>
  <c r="P8" i="6"/>
  <c r="O8" i="6"/>
  <c r="N8" i="6"/>
  <c r="M8" i="6"/>
  <c r="AX8" i="6"/>
  <c r="AW8" i="6"/>
  <c r="AV8" i="6"/>
  <c r="AU8" i="6"/>
  <c r="AT8" i="6"/>
  <c r="BB8" i="6"/>
  <c r="AZ8" i="6"/>
  <c r="AY8" i="6"/>
  <c r="J9" i="6"/>
  <c r="H9" i="6"/>
  <c r="G9" i="6"/>
  <c r="F9" i="6"/>
  <c r="E9" i="6"/>
  <c r="D9" i="6"/>
  <c r="C9" i="6"/>
  <c r="B9" i="6"/>
  <c r="BQ9" i="6"/>
  <c r="BP9" i="6"/>
  <c r="BX9" i="6"/>
  <c r="BV9" i="6"/>
  <c r="BU9" i="6"/>
  <c r="BT9" i="6"/>
  <c r="BS9" i="6"/>
  <c r="BR9" i="6"/>
  <c r="GD9" i="6"/>
  <c r="GB9" i="6"/>
  <c r="GA9" i="6"/>
  <c r="FZ9" i="6"/>
  <c r="FY9" i="6"/>
  <c r="FX9" i="6"/>
  <c r="FW9" i="6"/>
  <c r="FV9" i="6"/>
  <c r="BF10" i="6"/>
  <c r="BE10" i="6"/>
  <c r="BM10" i="6"/>
  <c r="BK10" i="6"/>
  <c r="BJ10" i="6"/>
  <c r="BI10" i="6"/>
  <c r="BH10" i="6"/>
  <c r="BG10" i="6"/>
  <c r="FS10" i="6"/>
  <c r="FQ10" i="6"/>
  <c r="FP10" i="6"/>
  <c r="FO10" i="6"/>
  <c r="FN10" i="6"/>
  <c r="FM10" i="6"/>
  <c r="FL10" i="6"/>
  <c r="FK10" i="6"/>
  <c r="AK11" i="6"/>
  <c r="AJ11" i="6"/>
  <c r="AI11" i="6"/>
  <c r="AQ11" i="6"/>
  <c r="AO11" i="6"/>
  <c r="AN11" i="6"/>
  <c r="AM11" i="6"/>
  <c r="AL11" i="6"/>
  <c r="AA11" i="6"/>
  <c r="Z11" i="6"/>
  <c r="Y11" i="6"/>
  <c r="X11" i="6"/>
  <c r="AF11" i="6"/>
  <c r="AD11" i="6"/>
  <c r="AC11" i="6"/>
  <c r="AB11" i="6"/>
  <c r="P12" i="6"/>
  <c r="O12" i="6"/>
  <c r="N12" i="6"/>
  <c r="M12" i="6"/>
  <c r="U12" i="6"/>
  <c r="S12" i="6"/>
  <c r="R12" i="6"/>
  <c r="Q12" i="6"/>
  <c r="AT12" i="6"/>
  <c r="BB12" i="6"/>
  <c r="AZ12" i="6"/>
  <c r="AY12" i="6"/>
  <c r="AX12" i="6"/>
  <c r="AW12" i="6"/>
  <c r="AV12" i="6"/>
  <c r="AU12" i="6"/>
  <c r="E13" i="6"/>
  <c r="D13" i="6"/>
  <c r="C13" i="6"/>
  <c r="B13" i="6"/>
  <c r="J13" i="6"/>
  <c r="H13" i="6"/>
  <c r="G13" i="6"/>
  <c r="F13" i="6"/>
  <c r="BU13" i="6"/>
  <c r="BT13" i="6"/>
  <c r="BS13" i="6"/>
  <c r="BR13" i="6"/>
  <c r="BQ13" i="6"/>
  <c r="BP13" i="6"/>
  <c r="BX13" i="6"/>
  <c r="BV13" i="6"/>
  <c r="FY13" i="6"/>
  <c r="FX13" i="6"/>
  <c r="FW13" i="6"/>
  <c r="FV13" i="6"/>
  <c r="GD13" i="6"/>
  <c r="GB13" i="6"/>
  <c r="GA13" i="6"/>
  <c r="FZ13" i="6"/>
  <c r="BJ14" i="6"/>
  <c r="BI14" i="6"/>
  <c r="BH14" i="6"/>
  <c r="BG14" i="6"/>
  <c r="BF14" i="6"/>
  <c r="BE14" i="6"/>
  <c r="BM14" i="6"/>
  <c r="BK14" i="6"/>
  <c r="FN14" i="6"/>
  <c r="FM14" i="6"/>
  <c r="FL14" i="6"/>
  <c r="FK14" i="6"/>
  <c r="FS14" i="6"/>
  <c r="FQ14" i="6"/>
  <c r="FP14" i="6"/>
  <c r="FO14" i="6"/>
  <c r="AO15" i="6"/>
  <c r="AN15" i="6"/>
  <c r="AM15" i="6"/>
  <c r="AL15" i="6"/>
  <c r="AK15" i="6"/>
  <c r="AJ15" i="6"/>
  <c r="AI15" i="6"/>
  <c r="AQ15" i="6"/>
  <c r="AF15" i="6"/>
  <c r="AD15" i="6"/>
  <c r="AC15" i="6"/>
  <c r="AB15" i="6"/>
  <c r="AA15" i="6"/>
  <c r="Z15" i="6"/>
  <c r="Y15" i="6"/>
  <c r="X15" i="6"/>
  <c r="U16" i="6"/>
  <c r="S16" i="6"/>
  <c r="R16" i="6"/>
  <c r="Q16" i="6"/>
  <c r="P16" i="6"/>
  <c r="O16" i="6"/>
  <c r="N16" i="6"/>
  <c r="M16" i="6"/>
  <c r="AX16" i="6"/>
  <c r="AW16" i="6"/>
  <c r="AV16" i="6"/>
  <c r="AU16" i="6"/>
  <c r="AT16" i="6"/>
  <c r="BB16" i="6"/>
  <c r="AZ16" i="6"/>
  <c r="AY16" i="6"/>
  <c r="J17" i="6"/>
  <c r="H17" i="6"/>
  <c r="G17" i="6"/>
  <c r="F17" i="6"/>
  <c r="E17" i="6"/>
  <c r="D17" i="6"/>
  <c r="C17" i="6"/>
  <c r="B17" i="6"/>
  <c r="BQ17" i="6"/>
  <c r="BP17" i="6"/>
  <c r="BX17" i="6"/>
  <c r="BV17" i="6"/>
  <c r="BU17" i="6"/>
  <c r="BT17" i="6"/>
  <c r="BS17" i="6"/>
  <c r="BR17" i="6"/>
  <c r="GD17" i="6"/>
  <c r="GB17" i="6"/>
  <c r="GA17" i="6"/>
  <c r="FZ17" i="6"/>
  <c r="FY17" i="6"/>
  <c r="FX17" i="6"/>
  <c r="FW17" i="6"/>
  <c r="FV17" i="6"/>
  <c r="BF18" i="6"/>
  <c r="BE18" i="6"/>
  <c r="BM18" i="6"/>
  <c r="BK18" i="6"/>
  <c r="BJ18" i="6"/>
  <c r="BI18" i="6"/>
  <c r="BH18" i="6"/>
  <c r="BG18" i="6"/>
  <c r="FS18" i="6"/>
  <c r="FQ18" i="6"/>
  <c r="FP18" i="6"/>
  <c r="FO18" i="6"/>
  <c r="FN18" i="6"/>
  <c r="FM18" i="6"/>
  <c r="FL18" i="6"/>
  <c r="FK18" i="6"/>
  <c r="AK19" i="6"/>
  <c r="AJ19" i="6"/>
  <c r="AI19" i="6"/>
  <c r="AQ19" i="6"/>
  <c r="AO19" i="6"/>
  <c r="AN19" i="6"/>
  <c r="AM19" i="6"/>
  <c r="AL19" i="6"/>
  <c r="AA19" i="6"/>
  <c r="Z19" i="6"/>
  <c r="Y19" i="6"/>
  <c r="X19" i="6"/>
  <c r="AF19" i="6"/>
  <c r="AD19" i="6"/>
  <c r="AC19" i="6"/>
  <c r="AB19" i="6"/>
  <c r="P20" i="6"/>
  <c r="O20" i="6"/>
  <c r="N20" i="6"/>
  <c r="M20" i="6"/>
  <c r="U20" i="6"/>
  <c r="S20" i="6"/>
  <c r="R20" i="6"/>
  <c r="Q20" i="6"/>
  <c r="AT20" i="6"/>
  <c r="BB20" i="6"/>
  <c r="AZ20" i="6"/>
  <c r="AY20" i="6"/>
  <c r="AX20" i="6"/>
  <c r="AW20" i="6"/>
  <c r="AV20" i="6"/>
  <c r="AU20" i="6"/>
  <c r="E21" i="6"/>
  <c r="D21" i="6"/>
  <c r="C21" i="6"/>
  <c r="B21" i="6"/>
  <c r="J21" i="6"/>
  <c r="H21" i="6"/>
  <c r="G21" i="6"/>
  <c r="F21" i="6"/>
  <c r="BU21" i="6"/>
  <c r="BT21" i="6"/>
  <c r="BS21" i="6"/>
  <c r="BR21" i="6"/>
  <c r="BQ21" i="6"/>
  <c r="BP21" i="6"/>
  <c r="BX21" i="6"/>
  <c r="BV21" i="6"/>
  <c r="FY21" i="6"/>
  <c r="FX21" i="6"/>
  <c r="FW21" i="6"/>
  <c r="FV21" i="6"/>
  <c r="GD21" i="6"/>
  <c r="GB21" i="6"/>
  <c r="GA21" i="6"/>
  <c r="FZ21" i="6"/>
  <c r="BJ22" i="6"/>
  <c r="BI22" i="6"/>
  <c r="BH22" i="6"/>
  <c r="BG22" i="6"/>
  <c r="BF22" i="6"/>
  <c r="BE22" i="6"/>
  <c r="BM22" i="6"/>
  <c r="BK22" i="6"/>
  <c r="FN22" i="6"/>
  <c r="FM22" i="6"/>
  <c r="FL22" i="6"/>
  <c r="FK22" i="6"/>
  <c r="FS22" i="6"/>
  <c r="FQ22" i="6"/>
  <c r="FP22" i="6"/>
  <c r="FO22" i="6"/>
  <c r="AO23" i="6"/>
  <c r="AN23" i="6"/>
  <c r="AM23" i="6"/>
  <c r="AL23" i="6"/>
  <c r="AK23" i="6"/>
  <c r="AJ23" i="6"/>
  <c r="AI23" i="6"/>
  <c r="AQ23" i="6"/>
  <c r="AF23" i="6"/>
  <c r="AD23" i="6"/>
  <c r="AC23" i="6"/>
  <c r="AB23" i="6"/>
  <c r="AA23" i="6"/>
  <c r="Z23" i="6"/>
  <c r="Y23" i="6"/>
  <c r="X23" i="6"/>
  <c r="U24" i="6"/>
  <c r="S24" i="6"/>
  <c r="R24" i="6"/>
  <c r="Q24" i="6"/>
  <c r="P24" i="6"/>
  <c r="O24" i="6"/>
  <c r="N24" i="6"/>
  <c r="M24" i="6"/>
  <c r="AX24" i="6"/>
  <c r="AW24" i="6"/>
  <c r="AV24" i="6"/>
  <c r="AU24" i="6"/>
  <c r="AT24" i="6"/>
  <c r="BB24" i="6"/>
  <c r="AZ24" i="6"/>
  <c r="AY24" i="6"/>
  <c r="J25" i="6"/>
  <c r="H25" i="6"/>
  <c r="G25" i="6"/>
  <c r="F25" i="6"/>
  <c r="E25" i="6"/>
  <c r="D25" i="6"/>
  <c r="C25" i="6"/>
  <c r="B25" i="6"/>
  <c r="BQ25" i="6"/>
  <c r="BP25" i="6"/>
  <c r="BX25" i="6"/>
  <c r="BV25" i="6"/>
  <c r="BU25" i="6"/>
  <c r="BT25" i="6"/>
  <c r="BS25" i="6"/>
  <c r="BR25" i="6"/>
  <c r="GD25" i="6"/>
  <c r="GB25" i="6"/>
  <c r="GA25" i="6"/>
  <c r="FZ25" i="6"/>
  <c r="FY25" i="6"/>
  <c r="FX25" i="6"/>
  <c r="FW25" i="6"/>
  <c r="FV25" i="6"/>
  <c r="BF26" i="6"/>
  <c r="BE26" i="6"/>
  <c r="BM26" i="6"/>
  <c r="BK26" i="6"/>
  <c r="BJ26" i="6"/>
  <c r="BI26" i="6"/>
  <c r="BH26" i="6"/>
  <c r="BG26" i="6"/>
  <c r="FS26" i="6"/>
  <c r="FQ26" i="6"/>
  <c r="FP26" i="6"/>
  <c r="FO26" i="6"/>
  <c r="FN26" i="6"/>
  <c r="FM26" i="6"/>
  <c r="FL26" i="6"/>
  <c r="FK26" i="6"/>
  <c r="AK27" i="6"/>
  <c r="AJ27" i="6"/>
  <c r="AI27" i="6"/>
  <c r="AQ27" i="6"/>
  <c r="AO27" i="6"/>
  <c r="AN27" i="6"/>
  <c r="AM27" i="6"/>
  <c r="AL27" i="6"/>
  <c r="AA27" i="6"/>
  <c r="Z27" i="6"/>
  <c r="Y27" i="6"/>
  <c r="X27" i="6"/>
  <c r="AF27" i="6"/>
  <c r="AD27" i="6"/>
  <c r="AC27" i="6"/>
  <c r="AB27" i="6"/>
  <c r="P28" i="6"/>
  <c r="O28" i="6"/>
  <c r="N28" i="6"/>
  <c r="M28" i="6"/>
  <c r="U28" i="6"/>
  <c r="S28" i="6"/>
  <c r="R28" i="6"/>
  <c r="Q28" i="6"/>
  <c r="AT28" i="6"/>
  <c r="BB28" i="6"/>
  <c r="AZ28" i="6"/>
  <c r="AY28" i="6"/>
  <c r="AX28" i="6"/>
  <c r="AW28" i="6"/>
  <c r="AV28" i="6"/>
  <c r="AU28" i="6"/>
  <c r="E29" i="6"/>
  <c r="D29" i="6"/>
  <c r="C29" i="6"/>
  <c r="B29" i="6"/>
  <c r="J29" i="6"/>
  <c r="H29" i="6"/>
  <c r="G29" i="6"/>
  <c r="F29" i="6"/>
  <c r="BU29" i="6"/>
  <c r="BT29" i="6"/>
  <c r="BS29" i="6"/>
  <c r="BR29" i="6"/>
  <c r="BQ29" i="6"/>
  <c r="BP29" i="6"/>
  <c r="BX29" i="6"/>
  <c r="BV29" i="6"/>
  <c r="FY29" i="6"/>
  <c r="FX29" i="6"/>
  <c r="FW29" i="6"/>
  <c r="FV29" i="6"/>
  <c r="GD29" i="6"/>
  <c r="GB29" i="6"/>
  <c r="GA29" i="6"/>
  <c r="FZ29" i="6"/>
  <c r="BJ30" i="6"/>
  <c r="BI30" i="6"/>
  <c r="BH30" i="6"/>
  <c r="BG30" i="6"/>
  <c r="BF30" i="6"/>
  <c r="BE30" i="6"/>
  <c r="BM30" i="6"/>
  <c r="BK30" i="6"/>
  <c r="FN30" i="6"/>
  <c r="FM30" i="6"/>
  <c r="FL30" i="6"/>
  <c r="FK30" i="6"/>
  <c r="FS30" i="6"/>
  <c r="FQ30" i="6"/>
  <c r="FP30" i="6"/>
  <c r="FO30" i="6"/>
  <c r="AO31" i="6"/>
  <c r="AN31" i="6"/>
  <c r="AM31" i="6"/>
  <c r="AL31" i="6"/>
  <c r="AK31" i="6"/>
  <c r="AJ31" i="6"/>
  <c r="AI31" i="6"/>
  <c r="AQ31" i="6"/>
  <c r="AF31" i="6"/>
  <c r="AD31" i="6"/>
  <c r="AC31" i="6"/>
  <c r="AB31" i="6"/>
  <c r="AA31" i="6"/>
  <c r="Z31" i="6"/>
  <c r="Y31" i="6"/>
  <c r="X31" i="6"/>
  <c r="U32" i="6"/>
  <c r="S32" i="6"/>
  <c r="R32" i="6"/>
  <c r="Q32" i="6"/>
  <c r="P32" i="6"/>
  <c r="O32" i="6"/>
  <c r="N32" i="6"/>
  <c r="M32" i="6"/>
  <c r="AX32" i="6"/>
  <c r="AW32" i="6"/>
  <c r="AV32" i="6"/>
  <c r="AU32" i="6"/>
  <c r="AT32" i="6"/>
  <c r="BB32" i="6"/>
  <c r="AZ32" i="6"/>
  <c r="AY32" i="6"/>
  <c r="J33" i="6"/>
  <c r="H33" i="6"/>
  <c r="G33" i="6"/>
  <c r="F33" i="6"/>
  <c r="E33" i="6"/>
  <c r="D33" i="6"/>
  <c r="C33" i="6"/>
  <c r="B33" i="6"/>
  <c r="BQ33" i="6"/>
  <c r="BP33" i="6"/>
  <c r="BX33" i="6"/>
  <c r="BV33" i="6"/>
  <c r="BU33" i="6"/>
  <c r="BT33" i="6"/>
  <c r="BS33" i="6"/>
  <c r="BR33" i="6"/>
  <c r="GD33" i="6"/>
  <c r="GB33" i="6"/>
  <c r="GA33" i="6"/>
  <c r="FZ33" i="6"/>
  <c r="FY33" i="6"/>
  <c r="FX33" i="6"/>
  <c r="FW33" i="6"/>
  <c r="FV33" i="6"/>
  <c r="BF34" i="6"/>
  <c r="BE34" i="6"/>
  <c r="BM34" i="6"/>
  <c r="BK34" i="6"/>
  <c r="BJ34" i="6"/>
  <c r="BI34" i="6"/>
  <c r="BH34" i="6"/>
  <c r="BG34" i="6"/>
  <c r="FS34" i="6"/>
  <c r="FQ34" i="6"/>
  <c r="FP34" i="6"/>
  <c r="FO34" i="6"/>
  <c r="FN34" i="6"/>
  <c r="FM34" i="6"/>
  <c r="FL34" i="6"/>
  <c r="FK34" i="6"/>
  <c r="AK35" i="6"/>
  <c r="AJ35" i="6"/>
  <c r="AI35" i="6"/>
  <c r="AQ35" i="6"/>
  <c r="AO35" i="6"/>
  <c r="AN35" i="6"/>
  <c r="AM35" i="6"/>
  <c r="AL35" i="6"/>
  <c r="AA35" i="6"/>
  <c r="Z35" i="6"/>
  <c r="Y35" i="6"/>
  <c r="X35" i="6"/>
  <c r="AF35" i="6"/>
  <c r="AD35" i="6"/>
  <c r="AC35" i="6"/>
  <c r="AB35" i="6"/>
  <c r="P36" i="6"/>
  <c r="O36" i="6"/>
  <c r="N36" i="6"/>
  <c r="M36" i="6"/>
  <c r="U36" i="6"/>
  <c r="S36" i="6"/>
  <c r="R36" i="6"/>
  <c r="Q36" i="6"/>
  <c r="AT36" i="6"/>
  <c r="BB36" i="6"/>
  <c r="AZ36" i="6"/>
  <c r="AY36" i="6"/>
  <c r="AX36" i="6"/>
  <c r="AW36" i="6"/>
  <c r="AV36" i="6"/>
  <c r="AU36" i="6"/>
  <c r="E37" i="6"/>
  <c r="D37" i="6"/>
  <c r="C37" i="6"/>
  <c r="B37" i="6"/>
  <c r="J37" i="6"/>
  <c r="H37" i="6"/>
  <c r="G37" i="6"/>
  <c r="F37" i="6"/>
  <c r="BU37" i="6"/>
  <c r="BT37" i="6"/>
  <c r="BS37" i="6"/>
  <c r="BR37" i="6"/>
  <c r="BQ37" i="6"/>
  <c r="BP37" i="6"/>
  <c r="BX37" i="6"/>
  <c r="BV37" i="6"/>
  <c r="FY37" i="6"/>
  <c r="FX37" i="6"/>
  <c r="FW37" i="6"/>
  <c r="FV37" i="6"/>
  <c r="GD37" i="6"/>
  <c r="GB37" i="6"/>
  <c r="GA37" i="6"/>
  <c r="FZ37" i="6"/>
  <c r="BJ38" i="6"/>
  <c r="BI38" i="6"/>
  <c r="BH38" i="6"/>
  <c r="BG38" i="6"/>
  <c r="BF38" i="6"/>
  <c r="BE38" i="6"/>
  <c r="BM38" i="6"/>
  <c r="BK38" i="6"/>
  <c r="FN38" i="6"/>
  <c r="FM38" i="6"/>
  <c r="FL38" i="6"/>
  <c r="FK38" i="6"/>
  <c r="FS38" i="6"/>
  <c r="FQ38" i="6"/>
  <c r="FP38" i="6"/>
  <c r="FO38" i="6"/>
  <c r="AO39" i="6"/>
  <c r="AN39" i="6"/>
  <c r="AM39" i="6"/>
  <c r="AL39" i="6"/>
  <c r="AK39" i="6"/>
  <c r="AJ39" i="6"/>
  <c r="AI39" i="6"/>
  <c r="AQ39" i="6"/>
  <c r="AF39" i="6"/>
  <c r="AD39" i="6"/>
  <c r="AC39" i="6"/>
  <c r="AB39" i="6"/>
  <c r="AA39" i="6"/>
  <c r="Z39" i="6"/>
  <c r="Y39" i="6"/>
  <c r="X39" i="6"/>
  <c r="U40" i="6"/>
  <c r="S40" i="6"/>
  <c r="R40" i="6"/>
  <c r="Q40" i="6"/>
  <c r="P40" i="6"/>
  <c r="O40" i="6"/>
  <c r="N40" i="6"/>
  <c r="M40" i="6"/>
  <c r="AX40" i="6"/>
  <c r="AW40" i="6"/>
  <c r="AV40" i="6"/>
  <c r="AU40" i="6"/>
  <c r="AT40" i="6"/>
  <c r="BB40" i="6"/>
  <c r="AZ40" i="6"/>
  <c r="AY40" i="6"/>
  <c r="J41" i="6"/>
  <c r="H41" i="6"/>
  <c r="G41" i="6"/>
  <c r="F41" i="6"/>
  <c r="E41" i="6"/>
  <c r="D41" i="6"/>
  <c r="C41" i="6"/>
  <c r="B41" i="6"/>
  <c r="BQ41" i="6"/>
  <c r="BP41" i="6"/>
  <c r="BX41" i="6"/>
  <c r="BV41" i="6"/>
  <c r="BU41" i="6"/>
  <c r="BT41" i="6"/>
  <c r="BS41" i="6"/>
  <c r="BR41" i="6"/>
  <c r="GD41" i="6"/>
  <c r="GB41" i="6"/>
  <c r="GA41" i="6"/>
  <c r="FZ41" i="6"/>
  <c r="FY41" i="6"/>
  <c r="FX41" i="6"/>
  <c r="FW41" i="6"/>
  <c r="FV41" i="6"/>
  <c r="BF42" i="6"/>
  <c r="BE42" i="6"/>
  <c r="BM42" i="6"/>
  <c r="BK42" i="6"/>
  <c r="BJ42" i="6"/>
  <c r="BI42" i="6"/>
  <c r="BH42" i="6"/>
  <c r="BG42" i="6"/>
  <c r="FS42" i="6"/>
  <c r="FQ42" i="6"/>
  <c r="FP42" i="6"/>
  <c r="FO42" i="6"/>
  <c r="FN42" i="6"/>
  <c r="FM42" i="6"/>
  <c r="FL42" i="6"/>
  <c r="FK42" i="6"/>
  <c r="AK43" i="6"/>
  <c r="AJ43" i="6"/>
  <c r="AI43" i="6"/>
  <c r="AQ43" i="6"/>
  <c r="AO43" i="6"/>
  <c r="AN43" i="6"/>
  <c r="AM43" i="6"/>
  <c r="AL43" i="6"/>
  <c r="AA43" i="6"/>
  <c r="Z43" i="6"/>
  <c r="Y43" i="6"/>
  <c r="X43" i="6"/>
  <c r="AF43" i="6"/>
  <c r="AD43" i="6"/>
  <c r="AC43" i="6"/>
  <c r="AB43" i="6"/>
  <c r="P44" i="6"/>
  <c r="O44" i="6"/>
  <c r="N44" i="6"/>
  <c r="M44" i="6"/>
  <c r="U44" i="6"/>
  <c r="S44" i="6"/>
  <c r="R44" i="6"/>
  <c r="Q44" i="6"/>
  <c r="AT44" i="6"/>
  <c r="BB44" i="6"/>
  <c r="AZ44" i="6"/>
  <c r="AY44" i="6"/>
  <c r="AX44" i="6"/>
  <c r="AW44" i="6"/>
  <c r="AV44" i="6"/>
  <c r="AU44" i="6"/>
  <c r="E45" i="6"/>
  <c r="D45" i="6"/>
  <c r="C45" i="6"/>
  <c r="B45" i="6"/>
  <c r="J45" i="6"/>
  <c r="H45" i="6"/>
  <c r="G45" i="6"/>
  <c r="F45" i="6"/>
  <c r="BU45" i="6"/>
  <c r="BT45" i="6"/>
  <c r="BS45" i="6"/>
  <c r="BR45" i="6"/>
  <c r="BQ45" i="6"/>
  <c r="BP45" i="6"/>
  <c r="BX45" i="6"/>
  <c r="BV45" i="6"/>
  <c r="FY45" i="6"/>
  <c r="FX45" i="6"/>
  <c r="FW45" i="6"/>
  <c r="FV45" i="6"/>
  <c r="GD45" i="6"/>
  <c r="GB45" i="6"/>
  <c r="GA45" i="6"/>
  <c r="FZ45" i="6"/>
  <c r="BJ46" i="6"/>
  <c r="BI46" i="6"/>
  <c r="BH46" i="6"/>
  <c r="BG46" i="6"/>
  <c r="BF46" i="6"/>
  <c r="BE46" i="6"/>
  <c r="BM46" i="6"/>
  <c r="BK46" i="6"/>
  <c r="FN46" i="6"/>
  <c r="FM46" i="6"/>
  <c r="FL46" i="6"/>
  <c r="FK46" i="6"/>
  <c r="FS46" i="6"/>
  <c r="FQ46" i="6"/>
  <c r="FP46" i="6"/>
  <c r="FO46" i="6"/>
  <c r="AO47" i="6"/>
  <c r="AN47" i="6"/>
  <c r="AM47" i="6"/>
  <c r="AL47" i="6"/>
  <c r="AK47" i="6"/>
  <c r="AJ47" i="6"/>
  <c r="AI47" i="6"/>
  <c r="AQ47" i="6"/>
  <c r="AF47" i="6"/>
  <c r="AD47" i="6"/>
  <c r="AC47" i="6"/>
  <c r="AB47" i="6"/>
  <c r="AA47" i="6"/>
  <c r="Z47" i="6"/>
  <c r="Y47" i="6"/>
  <c r="X47" i="6"/>
  <c r="U48" i="6"/>
  <c r="S48" i="6"/>
  <c r="R48" i="6"/>
  <c r="Q48" i="6"/>
  <c r="P48" i="6"/>
  <c r="O48" i="6"/>
  <c r="N48" i="6"/>
  <c r="M48" i="6"/>
  <c r="AX48" i="6"/>
  <c r="AW48" i="6"/>
  <c r="AV48" i="6"/>
  <c r="AU48" i="6"/>
  <c r="AT48" i="6"/>
  <c r="BB48" i="6"/>
  <c r="AZ48" i="6"/>
  <c r="AY48" i="6"/>
  <c r="J49" i="6"/>
  <c r="H49" i="6"/>
  <c r="G49" i="6"/>
  <c r="F49" i="6"/>
  <c r="E49" i="6"/>
  <c r="D49" i="6"/>
  <c r="C49" i="6"/>
  <c r="B49" i="6"/>
  <c r="BQ49" i="6"/>
  <c r="BP49" i="6"/>
  <c r="BX49" i="6"/>
  <c r="BV49" i="6"/>
  <c r="BU49" i="6"/>
  <c r="BT49" i="6"/>
  <c r="BS49" i="6"/>
  <c r="BR49" i="6"/>
  <c r="GD49" i="6"/>
  <c r="GB49" i="6"/>
  <c r="GA49" i="6"/>
  <c r="FZ49" i="6"/>
  <c r="FY49" i="6"/>
  <c r="FX49" i="6"/>
  <c r="FW49" i="6"/>
  <c r="FV49" i="6"/>
  <c r="BF50" i="6"/>
  <c r="BE50" i="6"/>
  <c r="BM50" i="6"/>
  <c r="BK50" i="6"/>
  <c r="BJ50" i="6"/>
  <c r="BI50" i="6"/>
  <c r="BH50" i="6"/>
  <c r="BG50" i="6"/>
  <c r="FS50" i="6"/>
  <c r="FQ50" i="6"/>
  <c r="FP50" i="6"/>
  <c r="FO50" i="6"/>
  <c r="FN50" i="6"/>
  <c r="FM50" i="6"/>
  <c r="FL50" i="6"/>
  <c r="FK50" i="6"/>
  <c r="AK51" i="6"/>
  <c r="AJ51" i="6"/>
  <c r="AI51" i="6"/>
  <c r="AQ51" i="6"/>
  <c r="AO51" i="6"/>
  <c r="AN51" i="6"/>
  <c r="AM51" i="6"/>
  <c r="AL51" i="6"/>
  <c r="AA51" i="6"/>
  <c r="Z51" i="6"/>
  <c r="Y51" i="6"/>
  <c r="X51" i="6"/>
  <c r="AF51" i="6"/>
  <c r="AD51" i="6"/>
  <c r="AC51" i="6"/>
  <c r="AB51" i="6"/>
  <c r="P52" i="6"/>
  <c r="O52" i="6"/>
  <c r="N52" i="6"/>
  <c r="M52" i="6"/>
  <c r="U52" i="6"/>
  <c r="S52" i="6"/>
  <c r="R52" i="6"/>
  <c r="Q52" i="6"/>
  <c r="AT52" i="6"/>
  <c r="BB52" i="6"/>
  <c r="AZ52" i="6"/>
  <c r="AY52" i="6"/>
  <c r="AX52" i="6"/>
  <c r="AW52" i="6"/>
  <c r="AV52" i="6"/>
  <c r="AU52" i="6"/>
  <c r="E53" i="6"/>
  <c r="D53" i="6"/>
  <c r="C53" i="6"/>
  <c r="B53" i="6"/>
  <c r="J53" i="6"/>
  <c r="H53" i="6"/>
  <c r="G53" i="6"/>
  <c r="F53" i="6"/>
  <c r="BU53" i="6"/>
  <c r="BT53" i="6"/>
  <c r="BS53" i="6"/>
  <c r="BR53" i="6"/>
  <c r="BQ53" i="6"/>
  <c r="BP53" i="6"/>
  <c r="BX53" i="6"/>
  <c r="BV53" i="6"/>
  <c r="FY53" i="6"/>
  <c r="FX53" i="6"/>
  <c r="FW53" i="6"/>
  <c r="FV53" i="6"/>
  <c r="GD53" i="6"/>
  <c r="GB53" i="6"/>
  <c r="GA53" i="6"/>
  <c r="FZ53" i="6"/>
  <c r="BJ54" i="6"/>
  <c r="BI54" i="6"/>
  <c r="BH54" i="6"/>
  <c r="BG54" i="6"/>
  <c r="BF54" i="6"/>
  <c r="BE54" i="6"/>
  <c r="BM54" i="6"/>
  <c r="BK54" i="6"/>
  <c r="FN54" i="6"/>
  <c r="FM54" i="6"/>
  <c r="FL54" i="6"/>
  <c r="FK54" i="6"/>
  <c r="FS54" i="6"/>
  <c r="FQ54" i="6"/>
  <c r="FP54" i="6"/>
  <c r="FO54" i="6"/>
  <c r="AO55" i="6"/>
  <c r="AN55" i="6"/>
  <c r="AM55" i="6"/>
  <c r="AL55" i="6"/>
  <c r="AK55" i="6"/>
  <c r="AJ55" i="6"/>
  <c r="AI55" i="6"/>
  <c r="AQ55" i="6"/>
  <c r="AF55" i="6"/>
  <c r="AD55" i="6"/>
  <c r="AC55" i="6"/>
  <c r="AB55" i="6"/>
  <c r="AA55" i="6"/>
  <c r="Z55" i="6"/>
  <c r="Y55" i="6"/>
  <c r="X55" i="6"/>
  <c r="U56" i="6"/>
  <c r="S56" i="6"/>
  <c r="R56" i="6"/>
  <c r="Q56" i="6"/>
  <c r="P56" i="6"/>
  <c r="O56" i="6"/>
  <c r="N56" i="6"/>
  <c r="M56" i="6"/>
  <c r="AX56" i="6"/>
  <c r="AW56" i="6"/>
  <c r="AV56" i="6"/>
  <c r="AU56" i="6"/>
  <c r="AT56" i="6"/>
  <c r="BB56" i="6"/>
  <c r="AZ56" i="6"/>
  <c r="AY56" i="6"/>
  <c r="J57" i="6"/>
  <c r="H57" i="6"/>
  <c r="G57" i="6"/>
  <c r="F57" i="6"/>
  <c r="E57" i="6"/>
  <c r="D57" i="6"/>
  <c r="C57" i="6"/>
  <c r="B57" i="6"/>
  <c r="BQ57" i="6"/>
  <c r="BP57" i="6"/>
  <c r="BX57" i="6"/>
  <c r="BV57" i="6"/>
  <c r="BU57" i="6"/>
  <c r="BT57" i="6"/>
  <c r="BS57" i="6"/>
  <c r="BR57" i="6"/>
  <c r="GD57" i="6"/>
  <c r="GB57" i="6"/>
  <c r="GA57" i="6"/>
  <c r="FZ57" i="6"/>
  <c r="FY57" i="6"/>
  <c r="FX57" i="6"/>
  <c r="FW57" i="6"/>
  <c r="FV57" i="6"/>
  <c r="BF58" i="6"/>
  <c r="BE58" i="6"/>
  <c r="BM58" i="6"/>
  <c r="BK58" i="6"/>
  <c r="BJ58" i="6"/>
  <c r="BI58" i="6"/>
  <c r="BH58" i="6"/>
  <c r="BG58" i="6"/>
  <c r="FS58" i="6"/>
  <c r="FQ58" i="6"/>
  <c r="FP58" i="6"/>
  <c r="FO58" i="6"/>
  <c r="FN58" i="6"/>
  <c r="FM58" i="6"/>
  <c r="FL58" i="6"/>
  <c r="FK58" i="6"/>
  <c r="AK59" i="6"/>
  <c r="AJ59" i="6"/>
  <c r="AI59" i="6"/>
  <c r="AQ59" i="6"/>
  <c r="AO59" i="6"/>
  <c r="AN59" i="6"/>
  <c r="AM59" i="6"/>
  <c r="AL59" i="6"/>
  <c r="AA59" i="6"/>
  <c r="Z59" i="6"/>
  <c r="Y59" i="6"/>
  <c r="X59" i="6"/>
  <c r="AF59" i="6"/>
  <c r="AD59" i="6"/>
  <c r="AC59" i="6"/>
  <c r="AB59" i="6"/>
  <c r="P60" i="6"/>
  <c r="O60" i="6"/>
  <c r="N60" i="6"/>
  <c r="M60" i="6"/>
  <c r="U60" i="6"/>
  <c r="S60" i="6"/>
  <c r="R60" i="6"/>
  <c r="Q60" i="6"/>
  <c r="AT60" i="6"/>
  <c r="BB60" i="6"/>
  <c r="AZ60" i="6"/>
  <c r="AY60" i="6"/>
  <c r="AX60" i="6"/>
  <c r="AW60" i="6"/>
  <c r="AV60" i="6"/>
  <c r="AU60" i="6"/>
  <c r="E61" i="6"/>
  <c r="D61" i="6"/>
  <c r="C61" i="6"/>
  <c r="B61" i="6"/>
  <c r="J61" i="6"/>
  <c r="H61" i="6"/>
  <c r="G61" i="6"/>
  <c r="F61" i="6"/>
  <c r="BU61" i="6"/>
  <c r="BT61" i="6"/>
  <c r="BS61" i="6"/>
  <c r="BR61" i="6"/>
  <c r="BQ61" i="6"/>
  <c r="BP61" i="6"/>
  <c r="BX61" i="6"/>
  <c r="BV61" i="6"/>
  <c r="FY61" i="6"/>
  <c r="FX61" i="6"/>
  <c r="FW61" i="6"/>
  <c r="FV61" i="6"/>
  <c r="GD61" i="6"/>
  <c r="GB61" i="6"/>
  <c r="GA61" i="6"/>
  <c r="FZ61" i="6"/>
  <c r="BJ62" i="6"/>
  <c r="BI62" i="6"/>
  <c r="BH62" i="6"/>
  <c r="BG62" i="6"/>
  <c r="BF62" i="6"/>
  <c r="BE62" i="6"/>
  <c r="BM62" i="6"/>
  <c r="BK62" i="6"/>
  <c r="FN62" i="6"/>
  <c r="FM62" i="6"/>
  <c r="FL62" i="6"/>
  <c r="FK62" i="6"/>
  <c r="FS62" i="6"/>
  <c r="FQ62" i="6"/>
  <c r="FP62" i="6"/>
  <c r="FO62" i="6"/>
  <c r="AO63" i="6"/>
  <c r="AN63" i="6"/>
  <c r="AM63" i="6"/>
  <c r="AL63" i="6"/>
  <c r="AK63" i="6"/>
  <c r="AJ63" i="6"/>
  <c r="AI63" i="6"/>
  <c r="AQ63" i="6"/>
  <c r="AF63" i="6"/>
  <c r="AD63" i="6"/>
  <c r="AC63" i="6"/>
  <c r="AB63" i="6"/>
  <c r="AA63" i="6"/>
  <c r="Z63" i="6"/>
  <c r="Y63" i="6"/>
  <c r="X63" i="6"/>
  <c r="U64" i="6"/>
  <c r="S64" i="6"/>
  <c r="R64" i="6"/>
  <c r="Q64" i="6"/>
  <c r="P64" i="6"/>
  <c r="O64" i="6"/>
  <c r="N64" i="6"/>
  <c r="M64" i="6"/>
  <c r="AX64" i="6"/>
  <c r="AW64" i="6"/>
  <c r="AV64" i="6"/>
  <c r="AU64" i="6"/>
  <c r="AT64" i="6"/>
  <c r="BB64" i="6"/>
  <c r="AZ64" i="6"/>
  <c r="AY64" i="6"/>
  <c r="J65" i="6"/>
  <c r="H65" i="6"/>
  <c r="G65" i="6"/>
  <c r="F65" i="6"/>
  <c r="E65" i="6"/>
  <c r="D65" i="6"/>
  <c r="C65" i="6"/>
  <c r="B65" i="6"/>
  <c r="BQ65" i="6"/>
  <c r="BP65" i="6"/>
  <c r="BX65" i="6"/>
  <c r="BV65" i="6"/>
  <c r="BU65" i="6"/>
  <c r="BT65" i="6"/>
  <c r="BS65" i="6"/>
  <c r="BR65" i="6"/>
  <c r="GD65" i="6"/>
  <c r="GB65" i="6"/>
  <c r="GA65" i="6"/>
  <c r="FZ65" i="6"/>
  <c r="FY65" i="6"/>
  <c r="FX65" i="6"/>
  <c r="FW65" i="6"/>
  <c r="FV65" i="6"/>
  <c r="BF66" i="6"/>
  <c r="BE66" i="6"/>
  <c r="BM66" i="6"/>
  <c r="BK66" i="6"/>
  <c r="BJ66" i="6"/>
  <c r="BI66" i="6"/>
  <c r="BH66" i="6"/>
  <c r="BG66" i="6"/>
  <c r="FS66" i="6"/>
  <c r="FQ66" i="6"/>
  <c r="FP66" i="6"/>
  <c r="FO66" i="6"/>
  <c r="FN66" i="6"/>
  <c r="FM66" i="6"/>
  <c r="FL66" i="6"/>
  <c r="FK66" i="6"/>
  <c r="AK67" i="6"/>
  <c r="AJ67" i="6"/>
  <c r="AI67" i="6"/>
  <c r="AQ67" i="6"/>
  <c r="AO67" i="6"/>
  <c r="AN67" i="6"/>
  <c r="AM67" i="6"/>
  <c r="AL67" i="6"/>
  <c r="AA67" i="6"/>
  <c r="Z67" i="6"/>
  <c r="Y67" i="6"/>
  <c r="X67" i="6"/>
  <c r="AF67" i="6"/>
  <c r="AD67" i="6"/>
  <c r="AC67" i="6"/>
  <c r="AB67" i="6"/>
  <c r="P68" i="6"/>
  <c r="O68" i="6"/>
  <c r="N68" i="6"/>
  <c r="M68" i="6"/>
  <c r="U68" i="6"/>
  <c r="S68" i="6"/>
  <c r="R68" i="6"/>
  <c r="Q68" i="6"/>
  <c r="AT68" i="6"/>
  <c r="BB68" i="6"/>
  <c r="AZ68" i="6"/>
  <c r="AY68" i="6"/>
  <c r="AX68" i="6"/>
  <c r="AW68" i="6"/>
  <c r="AV68" i="6"/>
  <c r="AU68" i="6"/>
  <c r="E69" i="6"/>
  <c r="D69" i="6"/>
  <c r="C69" i="6"/>
  <c r="B69" i="6"/>
  <c r="J69" i="6"/>
  <c r="H69" i="6"/>
  <c r="G69" i="6"/>
  <c r="F69" i="6"/>
  <c r="BU69" i="6"/>
  <c r="BT69" i="6"/>
  <c r="BS69" i="6"/>
  <c r="BR69" i="6"/>
  <c r="BQ69" i="6"/>
  <c r="BP69" i="6"/>
  <c r="BX69" i="6"/>
  <c r="BV69" i="6"/>
  <c r="FY69" i="6"/>
  <c r="FX69" i="6"/>
  <c r="FW69" i="6"/>
  <c r="FV69" i="6"/>
  <c r="GD69" i="6"/>
  <c r="GB69" i="6"/>
  <c r="GA69" i="6"/>
  <c r="FZ69" i="6"/>
  <c r="BJ70" i="6"/>
  <c r="BI70" i="6"/>
  <c r="BH70" i="6"/>
  <c r="BG70" i="6"/>
  <c r="BF70" i="6"/>
  <c r="BE70" i="6"/>
  <c r="BM70" i="6"/>
  <c r="BK70" i="6"/>
  <c r="FN70" i="6"/>
  <c r="FM70" i="6"/>
  <c r="FL70" i="6"/>
  <c r="FK70" i="6"/>
  <c r="FS70" i="6"/>
  <c r="FQ70" i="6"/>
  <c r="FP70" i="6"/>
  <c r="FO70" i="6"/>
  <c r="AO71" i="6"/>
  <c r="AN71" i="6"/>
  <c r="AM71" i="6"/>
  <c r="AL71" i="6"/>
  <c r="AK71" i="6"/>
  <c r="AJ71" i="6"/>
  <c r="AI71" i="6"/>
  <c r="AQ71" i="6"/>
  <c r="AF71" i="6"/>
  <c r="AD71" i="6"/>
  <c r="AC71" i="6"/>
  <c r="AB71" i="6"/>
  <c r="AA71" i="6"/>
  <c r="Z71" i="6"/>
  <c r="Y71" i="6"/>
  <c r="X71" i="6"/>
  <c r="U72" i="6"/>
  <c r="S72" i="6"/>
  <c r="R72" i="6"/>
  <c r="Q72" i="6"/>
  <c r="P72" i="6"/>
  <c r="O72" i="6"/>
  <c r="N72" i="6"/>
  <c r="M72" i="6"/>
  <c r="AX72" i="6"/>
  <c r="AW72" i="6"/>
  <c r="AV72" i="6"/>
  <c r="AU72" i="6"/>
  <c r="AT72" i="6"/>
  <c r="BB72" i="6"/>
  <c r="AZ72" i="6"/>
  <c r="AY72" i="6"/>
  <c r="J73" i="6"/>
  <c r="H73" i="6"/>
  <c r="G73" i="6"/>
  <c r="F73" i="6"/>
  <c r="E73" i="6"/>
  <c r="D73" i="6"/>
  <c r="C73" i="6"/>
  <c r="B73" i="6"/>
  <c r="BQ73" i="6"/>
  <c r="BP73" i="6"/>
  <c r="BX73" i="6"/>
  <c r="BV73" i="6"/>
  <c r="BU73" i="6"/>
  <c r="BT73" i="6"/>
  <c r="BS73" i="6"/>
  <c r="BR73" i="6"/>
  <c r="GD73" i="6"/>
  <c r="GB73" i="6"/>
  <c r="GA73" i="6"/>
  <c r="FZ73" i="6"/>
  <c r="FY73" i="6"/>
  <c r="FX73" i="6"/>
  <c r="FW73" i="6"/>
  <c r="FV73" i="6"/>
  <c r="BF74" i="6"/>
  <c r="BE74" i="6"/>
  <c r="BM74" i="6"/>
  <c r="BK74" i="6"/>
  <c r="BJ74" i="6"/>
  <c r="BI74" i="6"/>
  <c r="BH74" i="6"/>
  <c r="BG74" i="6"/>
  <c r="FS74" i="6"/>
  <c r="FQ74" i="6"/>
  <c r="FP74" i="6"/>
  <c r="FO74" i="6"/>
  <c r="FN74" i="6"/>
  <c r="FM74" i="6"/>
  <c r="FL74" i="6"/>
  <c r="FK74" i="6"/>
  <c r="AK75" i="6"/>
  <c r="AJ75" i="6"/>
  <c r="AI75" i="6"/>
  <c r="AQ75" i="6"/>
  <c r="AO75" i="6"/>
  <c r="AN75" i="6"/>
  <c r="AM75" i="6"/>
  <c r="AL75" i="6"/>
  <c r="AA75" i="6"/>
  <c r="Z75" i="6"/>
  <c r="Y75" i="6"/>
  <c r="X75" i="6"/>
  <c r="AF75" i="6"/>
  <c r="AD75" i="6"/>
  <c r="AC75" i="6"/>
  <c r="AB75" i="6"/>
  <c r="P76" i="6"/>
  <c r="O76" i="6"/>
  <c r="N76" i="6"/>
  <c r="M76" i="6"/>
  <c r="U76" i="6"/>
  <c r="S76" i="6"/>
  <c r="R76" i="6"/>
  <c r="Q76" i="6"/>
  <c r="AT76" i="6"/>
  <c r="BB76" i="6"/>
  <c r="AZ76" i="6"/>
  <c r="AY76" i="6"/>
  <c r="AX76" i="6"/>
  <c r="AW76" i="6"/>
  <c r="AV76" i="6"/>
  <c r="AU76" i="6"/>
  <c r="E77" i="6"/>
  <c r="D77" i="6"/>
  <c r="C77" i="6"/>
  <c r="B77" i="6"/>
  <c r="J77" i="6"/>
  <c r="H77" i="6"/>
  <c r="G77" i="6"/>
  <c r="F77" i="6"/>
  <c r="BU77" i="6"/>
  <c r="BT77" i="6"/>
  <c r="BS77" i="6"/>
  <c r="BR77" i="6"/>
  <c r="BQ77" i="6"/>
  <c r="BP77" i="6"/>
  <c r="BX77" i="6"/>
  <c r="BV77" i="6"/>
  <c r="FY77" i="6"/>
  <c r="FX77" i="6"/>
  <c r="FW77" i="6"/>
  <c r="FV77" i="6"/>
  <c r="GD77" i="6"/>
  <c r="GB77" i="6"/>
  <c r="GA77" i="6"/>
  <c r="FZ77" i="6"/>
  <c r="BJ78" i="6"/>
  <c r="BI78" i="6"/>
  <c r="BH78" i="6"/>
  <c r="BG78" i="6"/>
  <c r="BF78" i="6"/>
  <c r="BE78" i="6"/>
  <c r="BM78" i="6"/>
  <c r="BK78" i="6"/>
  <c r="FN78" i="6"/>
  <c r="FM78" i="6"/>
  <c r="FL78" i="6"/>
  <c r="FK78" i="6"/>
  <c r="FS78" i="6"/>
  <c r="FQ78" i="6"/>
  <c r="FP78" i="6"/>
  <c r="FO78" i="6"/>
  <c r="AO79" i="6"/>
  <c r="AN79" i="6"/>
  <c r="AM79" i="6"/>
  <c r="AL79" i="6"/>
  <c r="AK79" i="6"/>
  <c r="AJ79" i="6"/>
  <c r="AI79" i="6"/>
  <c r="AQ79" i="6"/>
  <c r="AF79" i="6"/>
  <c r="AD79" i="6"/>
  <c r="AC79" i="6"/>
  <c r="AB79" i="6"/>
  <c r="AA79" i="6"/>
  <c r="Z79" i="6"/>
  <c r="Y79" i="6"/>
  <c r="X79" i="6"/>
  <c r="U80" i="6"/>
  <c r="S80" i="6"/>
  <c r="R80" i="6"/>
  <c r="Q80" i="6"/>
  <c r="P80" i="6"/>
  <c r="O80" i="6"/>
  <c r="N80" i="6"/>
  <c r="M80" i="6"/>
  <c r="AX80" i="6"/>
  <c r="AW80" i="6"/>
  <c r="AV80" i="6"/>
  <c r="AU80" i="6"/>
  <c r="AT80" i="6"/>
  <c r="BB80" i="6"/>
  <c r="AZ80" i="6"/>
  <c r="AY80" i="6"/>
  <c r="J81" i="6"/>
  <c r="H81" i="6"/>
  <c r="G81" i="6"/>
  <c r="F81" i="6"/>
  <c r="E81" i="6"/>
  <c r="D81" i="6"/>
  <c r="C81" i="6"/>
  <c r="B81" i="6"/>
  <c r="BQ81" i="6"/>
  <c r="BP81" i="6"/>
  <c r="BX81" i="6"/>
  <c r="BV81" i="6"/>
  <c r="BU81" i="6"/>
  <c r="BT81" i="6"/>
  <c r="BS81" i="6"/>
  <c r="BR81" i="6"/>
  <c r="GD81" i="6"/>
  <c r="GB81" i="6"/>
  <c r="GA81" i="6"/>
  <c r="FZ81" i="6"/>
  <c r="FY81" i="6"/>
  <c r="FX81" i="6"/>
  <c r="FW81" i="6"/>
  <c r="FV81" i="6"/>
  <c r="BF82" i="6"/>
  <c r="BE82" i="6"/>
  <c r="BM82" i="6"/>
  <c r="BK82" i="6"/>
  <c r="BJ82" i="6"/>
  <c r="BI82" i="6"/>
  <c r="BH82" i="6"/>
  <c r="BG82" i="6"/>
  <c r="FS82" i="6"/>
  <c r="FQ82" i="6"/>
  <c r="FP82" i="6"/>
  <c r="FO82" i="6"/>
  <c r="FN82" i="6"/>
  <c r="FM82" i="6"/>
  <c r="FL82" i="6"/>
  <c r="FK82" i="6"/>
  <c r="AK83" i="6"/>
  <c r="AJ83" i="6"/>
  <c r="AI83" i="6"/>
  <c r="AQ83" i="6"/>
  <c r="AO83" i="6"/>
  <c r="AN83" i="6"/>
  <c r="AM83" i="6"/>
  <c r="AL83" i="6"/>
  <c r="AA83" i="6"/>
  <c r="Z83" i="6"/>
  <c r="Y83" i="6"/>
  <c r="X83" i="6"/>
  <c r="AF83" i="6"/>
  <c r="AD83" i="6"/>
  <c r="AC83" i="6"/>
  <c r="AB83" i="6"/>
  <c r="P84" i="6"/>
  <c r="O84" i="6"/>
  <c r="N84" i="6"/>
  <c r="M84" i="6"/>
  <c r="U84" i="6"/>
  <c r="S84" i="6"/>
  <c r="R84" i="6"/>
  <c r="Q84" i="6"/>
  <c r="AT84" i="6"/>
  <c r="BB84" i="6"/>
  <c r="AZ84" i="6"/>
  <c r="AY84" i="6"/>
  <c r="AX84" i="6"/>
  <c r="AW84" i="6"/>
  <c r="AV84" i="6"/>
  <c r="AU84" i="6"/>
  <c r="E85" i="6"/>
  <c r="D85" i="6"/>
  <c r="C85" i="6"/>
  <c r="B85" i="6"/>
  <c r="J85" i="6"/>
  <c r="H85" i="6"/>
  <c r="G85" i="6"/>
  <c r="F85" i="6"/>
  <c r="BU85" i="6"/>
  <c r="BT85" i="6"/>
  <c r="BS85" i="6"/>
  <c r="BR85" i="6"/>
  <c r="BQ85" i="6"/>
  <c r="BP85" i="6"/>
  <c r="BX85" i="6"/>
  <c r="BV85" i="6"/>
  <c r="FY85" i="6"/>
  <c r="FX85" i="6"/>
  <c r="FW85" i="6"/>
  <c r="FV85" i="6"/>
  <c r="GD85" i="6"/>
  <c r="GB85" i="6"/>
  <c r="GA85" i="6"/>
  <c r="FZ85" i="6"/>
  <c r="BJ86" i="6"/>
  <c r="BI86" i="6"/>
  <c r="BH86" i="6"/>
  <c r="BG86" i="6"/>
  <c r="BF86" i="6"/>
  <c r="BE86" i="6"/>
  <c r="BM86" i="6"/>
  <c r="BK86" i="6"/>
  <c r="FN86" i="6"/>
  <c r="FM86" i="6"/>
  <c r="FL86" i="6"/>
  <c r="FK86" i="6"/>
  <c r="FS86" i="6"/>
  <c r="FQ86" i="6"/>
  <c r="FP86" i="6"/>
  <c r="FO86" i="6"/>
  <c r="AO87" i="6"/>
  <c r="AN87" i="6"/>
  <c r="AM87" i="6"/>
  <c r="AL87" i="6"/>
  <c r="AK87" i="6"/>
  <c r="AJ87" i="6"/>
  <c r="AI87" i="6"/>
  <c r="AQ87" i="6"/>
  <c r="AF87" i="6"/>
  <c r="AD87" i="6"/>
  <c r="AC87" i="6"/>
  <c r="AB87" i="6"/>
  <c r="AA87" i="6"/>
  <c r="Z87" i="6"/>
  <c r="Y87" i="6"/>
  <c r="X87" i="6"/>
  <c r="U88" i="6"/>
  <c r="S88" i="6"/>
  <c r="R88" i="6"/>
  <c r="Q88" i="6"/>
  <c r="P88" i="6"/>
  <c r="O88" i="6"/>
  <c r="N88" i="6"/>
  <c r="M88" i="6"/>
  <c r="AX88" i="6"/>
  <c r="AW88" i="6"/>
  <c r="AV88" i="6"/>
  <c r="AU88" i="6"/>
  <c r="AT88" i="6"/>
  <c r="BB88" i="6"/>
  <c r="AZ88" i="6"/>
  <c r="AY88" i="6"/>
  <c r="J89" i="6"/>
  <c r="H89" i="6"/>
  <c r="G89" i="6"/>
  <c r="F89" i="6"/>
  <c r="E89" i="6"/>
  <c r="D89" i="6"/>
  <c r="C89" i="6"/>
  <c r="B89" i="6"/>
  <c r="BQ89" i="6"/>
  <c r="BP89" i="6"/>
  <c r="BX89" i="6"/>
  <c r="BV89" i="6"/>
  <c r="BU89" i="6"/>
  <c r="BT89" i="6"/>
  <c r="BS89" i="6"/>
  <c r="BR89" i="6"/>
  <c r="GD89" i="6"/>
  <c r="GB89" i="6"/>
  <c r="GA89" i="6"/>
  <c r="FZ89" i="6"/>
  <c r="FY89" i="6"/>
  <c r="FX89" i="6"/>
  <c r="FW89" i="6"/>
  <c r="FV89" i="6"/>
  <c r="BF90" i="6"/>
  <c r="BE90" i="6"/>
  <c r="BM90" i="6"/>
  <c r="BK90" i="6"/>
  <c r="BJ90" i="6"/>
  <c r="BI90" i="6"/>
  <c r="BH90" i="6"/>
  <c r="BG90" i="6"/>
  <c r="FS90" i="6"/>
  <c r="FQ90" i="6"/>
  <c r="FP90" i="6"/>
  <c r="FO90" i="6"/>
  <c r="FN90" i="6"/>
  <c r="FM90" i="6"/>
  <c r="FL90" i="6"/>
  <c r="FK90" i="6"/>
  <c r="AK91" i="6"/>
  <c r="AJ91" i="6"/>
  <c r="AI91" i="6"/>
  <c r="AQ91" i="6"/>
  <c r="AO91" i="6"/>
  <c r="AN91" i="6"/>
  <c r="AM91" i="6"/>
  <c r="AL91" i="6"/>
  <c r="AA91" i="6"/>
  <c r="Z91" i="6"/>
  <c r="Y91" i="6"/>
  <c r="X91" i="6"/>
  <c r="AF91" i="6"/>
  <c r="AD91" i="6"/>
  <c r="AC91" i="6"/>
  <c r="AB91" i="6"/>
  <c r="P92" i="6"/>
  <c r="O92" i="6"/>
  <c r="N92" i="6"/>
  <c r="M92" i="6"/>
  <c r="U92" i="6"/>
  <c r="S92" i="6"/>
  <c r="R92" i="6"/>
  <c r="Q92" i="6"/>
  <c r="AT92" i="6"/>
  <c r="BB92" i="6"/>
  <c r="AZ92" i="6"/>
  <c r="AY92" i="6"/>
  <c r="AX92" i="6"/>
  <c r="AW92" i="6"/>
  <c r="AV92" i="6"/>
  <c r="AU92" i="6"/>
  <c r="E93" i="6"/>
  <c r="D93" i="6"/>
  <c r="C93" i="6"/>
  <c r="B93" i="6"/>
  <c r="J93" i="6"/>
  <c r="H93" i="6"/>
  <c r="G93" i="6"/>
  <c r="F93" i="6"/>
  <c r="BU93" i="6"/>
  <c r="BT93" i="6"/>
  <c r="BS93" i="6"/>
  <c r="BR93" i="6"/>
  <c r="BQ93" i="6"/>
  <c r="BP93" i="6"/>
  <c r="BX93" i="6"/>
  <c r="BV93" i="6"/>
  <c r="FY93" i="6"/>
  <c r="FX93" i="6"/>
  <c r="FW93" i="6"/>
  <c r="FV93" i="6"/>
  <c r="GD93" i="6"/>
  <c r="GB93" i="6"/>
  <c r="GA93" i="6"/>
  <c r="FZ93" i="6"/>
  <c r="BJ94" i="6"/>
  <c r="BI94" i="6"/>
  <c r="BH94" i="6"/>
  <c r="BG94" i="6"/>
  <c r="BF94" i="6"/>
  <c r="BE94" i="6"/>
  <c r="BM94" i="6"/>
  <c r="BK94" i="6"/>
  <c r="FN94" i="6"/>
  <c r="FM94" i="6"/>
  <c r="FL94" i="6"/>
  <c r="FK94" i="6"/>
  <c r="FS94" i="6"/>
  <c r="FQ94" i="6"/>
  <c r="FP94" i="6"/>
  <c r="FO94" i="6"/>
  <c r="AO95" i="6"/>
  <c r="AN95" i="6"/>
  <c r="AM95" i="6"/>
  <c r="AL95" i="6"/>
  <c r="AK95" i="6"/>
  <c r="AJ95" i="6"/>
  <c r="AI95" i="6"/>
  <c r="AQ95" i="6"/>
  <c r="AF95" i="6"/>
  <c r="AD95" i="6"/>
  <c r="AC95" i="6"/>
  <c r="AB95" i="6"/>
  <c r="AA95" i="6"/>
  <c r="Z95" i="6"/>
  <c r="Y95" i="6"/>
  <c r="X95" i="6"/>
  <c r="U96" i="6"/>
  <c r="S96" i="6"/>
  <c r="R96" i="6"/>
  <c r="Q96" i="6"/>
  <c r="P96" i="6"/>
  <c r="O96" i="6"/>
  <c r="N96" i="6"/>
  <c r="M96" i="6"/>
  <c r="AX96" i="6"/>
  <c r="AW96" i="6"/>
  <c r="AV96" i="6"/>
  <c r="AU96" i="6"/>
  <c r="AT96" i="6"/>
  <c r="BB96" i="6"/>
  <c r="AZ96" i="6"/>
  <c r="AY96" i="6"/>
  <c r="J97" i="6"/>
  <c r="H97" i="6"/>
  <c r="G97" i="6"/>
  <c r="F97" i="6"/>
  <c r="E97" i="6"/>
  <c r="D97" i="6"/>
  <c r="C97" i="6"/>
  <c r="B97" i="6"/>
  <c r="BQ97" i="6"/>
  <c r="BP97" i="6"/>
  <c r="BX97" i="6"/>
  <c r="BV97" i="6"/>
  <c r="BU97" i="6"/>
  <c r="BT97" i="6"/>
  <c r="BS97" i="6"/>
  <c r="BR97" i="6"/>
  <c r="GD97" i="6"/>
  <c r="GB97" i="6"/>
  <c r="GA97" i="6"/>
  <c r="FZ97" i="6"/>
  <c r="FY97" i="6"/>
  <c r="FX97" i="6"/>
  <c r="FW97" i="6"/>
  <c r="FV97" i="6"/>
  <c r="BF98" i="6"/>
  <c r="BE98" i="6"/>
  <c r="BM98" i="6"/>
  <c r="BK98" i="6"/>
  <c r="BJ98" i="6"/>
  <c r="BI98" i="6"/>
  <c r="BH98" i="6"/>
  <c r="BG98" i="6"/>
  <c r="FS98" i="6"/>
  <c r="FQ98" i="6"/>
  <c r="FP98" i="6"/>
  <c r="FO98" i="6"/>
  <c r="FN98" i="6"/>
  <c r="FM98" i="6"/>
  <c r="FL98" i="6"/>
  <c r="FK98" i="6"/>
  <c r="AK99" i="6"/>
  <c r="AJ99" i="6"/>
  <c r="AI99" i="6"/>
  <c r="AQ99" i="6"/>
  <c r="AO99" i="6"/>
  <c r="AN99" i="6"/>
  <c r="AM99" i="6"/>
  <c r="AL99" i="6"/>
  <c r="AA99" i="6"/>
  <c r="Z99" i="6"/>
  <c r="Y99" i="6"/>
  <c r="X99" i="6"/>
  <c r="AF99" i="6"/>
  <c r="AD99" i="6"/>
  <c r="AC99" i="6"/>
  <c r="AB99" i="6"/>
  <c r="P100" i="6"/>
  <c r="O100" i="6"/>
  <c r="N100" i="6"/>
  <c r="M100" i="6"/>
  <c r="U100" i="6"/>
  <c r="S100" i="6"/>
  <c r="R100" i="6"/>
  <c r="Q100" i="6"/>
  <c r="AT100" i="6"/>
  <c r="BB100" i="6"/>
  <c r="AZ100" i="6"/>
  <c r="AY100" i="6"/>
  <c r="AX100" i="6"/>
  <c r="AW100" i="6"/>
  <c r="AV100" i="6"/>
  <c r="AU100" i="6"/>
  <c r="E101" i="6"/>
  <c r="D101" i="6"/>
  <c r="C101" i="6"/>
  <c r="B101" i="6"/>
  <c r="J101" i="6"/>
  <c r="H101" i="6"/>
  <c r="G101" i="6"/>
  <c r="F101" i="6"/>
  <c r="BU101" i="6"/>
  <c r="BT101" i="6"/>
  <c r="BS101" i="6"/>
  <c r="BR101" i="6"/>
  <c r="BQ101" i="6"/>
  <c r="BP101" i="6"/>
  <c r="BX101" i="6"/>
  <c r="BV101" i="6"/>
  <c r="FY101" i="6"/>
  <c r="FX101" i="6"/>
  <c r="FW101" i="6"/>
  <c r="FV101" i="6"/>
  <c r="GD101" i="6"/>
  <c r="GB101" i="6"/>
  <c r="GA101" i="6"/>
  <c r="FZ101" i="6"/>
  <c r="BJ102" i="6"/>
  <c r="BI102" i="6"/>
  <c r="BH102" i="6"/>
  <c r="BG102" i="6"/>
  <c r="BF102" i="6"/>
  <c r="BE102" i="6"/>
  <c r="BM102" i="6"/>
  <c r="BK102" i="6"/>
  <c r="FN102" i="6"/>
  <c r="FM102" i="6"/>
  <c r="FL102" i="6"/>
  <c r="FK102" i="6"/>
  <c r="FS102" i="6"/>
  <c r="FQ102" i="6"/>
  <c r="FP102" i="6"/>
  <c r="FO102" i="6"/>
  <c r="AO103" i="6"/>
  <c r="AN103" i="6"/>
  <c r="AM103" i="6"/>
  <c r="AL103" i="6"/>
  <c r="AK103" i="6"/>
  <c r="AJ103" i="6"/>
  <c r="AI103" i="6"/>
  <c r="AQ103" i="6"/>
  <c r="AF103" i="6"/>
  <c r="AD103" i="6"/>
  <c r="AC103" i="6"/>
  <c r="AB103" i="6"/>
  <c r="AA103" i="6"/>
  <c r="Z103" i="6"/>
  <c r="Y103" i="6"/>
  <c r="X103" i="6"/>
  <c r="U104" i="6"/>
  <c r="S104" i="6"/>
  <c r="R104" i="6"/>
  <c r="Q104" i="6"/>
  <c r="P104" i="6"/>
  <c r="O104" i="6"/>
  <c r="N104" i="6"/>
  <c r="M104" i="6"/>
  <c r="AX104" i="6"/>
  <c r="AW104" i="6"/>
  <c r="AV104" i="6"/>
  <c r="AU104" i="6"/>
  <c r="AT104" i="6"/>
  <c r="BB104" i="6"/>
  <c r="AZ104" i="6"/>
  <c r="AY104" i="6"/>
  <c r="J105" i="6"/>
  <c r="H105" i="6"/>
  <c r="G105" i="6"/>
  <c r="F105" i="6"/>
  <c r="E105" i="6"/>
  <c r="D105" i="6"/>
  <c r="C105" i="6"/>
  <c r="B105" i="6"/>
  <c r="BQ105" i="6"/>
  <c r="BP105" i="6"/>
  <c r="BX105" i="6"/>
  <c r="BV105" i="6"/>
  <c r="BU105" i="6"/>
  <c r="BT105" i="6"/>
  <c r="BS105" i="6"/>
  <c r="BR105" i="6"/>
  <c r="GD105" i="6"/>
  <c r="GB105" i="6"/>
  <c r="GA105" i="6"/>
  <c r="FZ105" i="6"/>
  <c r="FY105" i="6"/>
  <c r="FX105" i="6"/>
  <c r="FW105" i="6"/>
  <c r="FV105" i="6"/>
  <c r="BF106" i="6"/>
  <c r="BE106" i="6"/>
  <c r="BM106" i="6"/>
  <c r="BK106" i="6"/>
  <c r="BJ106" i="6"/>
  <c r="BI106" i="6"/>
  <c r="BH106" i="6"/>
  <c r="BG106" i="6"/>
  <c r="FS106" i="6"/>
  <c r="FQ106" i="6"/>
  <c r="FP106" i="6"/>
  <c r="FO106" i="6"/>
  <c r="FN106" i="6"/>
  <c r="FM106" i="6"/>
  <c r="FL106" i="6"/>
  <c r="FK106" i="6"/>
  <c r="AK107" i="6"/>
  <c r="AJ107" i="6"/>
  <c r="AI107" i="6"/>
  <c r="AQ107" i="6"/>
  <c r="AO107" i="6"/>
  <c r="AN107" i="6"/>
  <c r="AM107" i="6"/>
  <c r="AL107" i="6"/>
  <c r="AA107" i="6"/>
  <c r="Z107" i="6"/>
  <c r="Y107" i="6"/>
  <c r="X107" i="6"/>
  <c r="AF107" i="6"/>
  <c r="AD107" i="6"/>
  <c r="AC107" i="6"/>
  <c r="AB107" i="6"/>
  <c r="P108" i="6"/>
  <c r="O108" i="6"/>
  <c r="N108" i="6"/>
  <c r="M108" i="6"/>
  <c r="U108" i="6"/>
  <c r="S108" i="6"/>
  <c r="R108" i="6"/>
  <c r="Q108" i="6"/>
  <c r="AT108" i="6"/>
  <c r="BB108" i="6"/>
  <c r="AZ108" i="6"/>
  <c r="AY108" i="6"/>
  <c r="AX108" i="6"/>
  <c r="AW108" i="6"/>
  <c r="AV108" i="6"/>
  <c r="AU108" i="6"/>
  <c r="E109" i="6"/>
  <c r="D109" i="6"/>
  <c r="C109" i="6"/>
  <c r="B109" i="6"/>
  <c r="J109" i="6"/>
  <c r="H109" i="6"/>
  <c r="G109" i="6"/>
  <c r="F109" i="6"/>
  <c r="BU109" i="6"/>
  <c r="BT109" i="6"/>
  <c r="BS109" i="6"/>
  <c r="BR109" i="6"/>
  <c r="BQ109" i="6"/>
  <c r="BP109" i="6"/>
  <c r="BX109" i="6"/>
  <c r="BV109" i="6"/>
  <c r="FY109" i="6"/>
  <c r="FX109" i="6"/>
  <c r="FW109" i="6"/>
  <c r="FV109" i="6"/>
  <c r="GD109" i="6"/>
  <c r="GB109" i="6"/>
  <c r="GA109" i="6"/>
  <c r="FZ109" i="6"/>
  <c r="BJ110" i="6"/>
  <c r="BI110" i="6"/>
  <c r="BH110" i="6"/>
  <c r="BG110" i="6"/>
  <c r="BF110" i="6"/>
  <c r="BE110" i="6"/>
  <c r="BM110" i="6"/>
  <c r="BK110" i="6"/>
  <c r="FN110" i="6"/>
  <c r="FM110" i="6"/>
  <c r="FL110" i="6"/>
  <c r="FK110" i="6"/>
  <c r="FS110" i="6"/>
  <c r="FQ110" i="6"/>
  <c r="FP110" i="6"/>
  <c r="FO110" i="6"/>
  <c r="AO111" i="6"/>
  <c r="AN111" i="6"/>
  <c r="AM111" i="6"/>
  <c r="AL111" i="6"/>
  <c r="AK111" i="6"/>
  <c r="AJ111" i="6"/>
  <c r="AI111" i="6"/>
  <c r="AQ111" i="6"/>
  <c r="AF111" i="6"/>
  <c r="AD111" i="6"/>
  <c r="AC111" i="6"/>
  <c r="AB111" i="6"/>
  <c r="AA111" i="6"/>
  <c r="Z111" i="6"/>
  <c r="Y111" i="6"/>
  <c r="X111" i="6"/>
  <c r="U112" i="6"/>
  <c r="S112" i="6"/>
  <c r="R112" i="6"/>
  <c r="Q112" i="6"/>
  <c r="P112" i="6"/>
  <c r="O112" i="6"/>
  <c r="N112" i="6"/>
  <c r="M112" i="6"/>
  <c r="AX112" i="6"/>
  <c r="AW112" i="6"/>
  <c r="AV112" i="6"/>
  <c r="AU112" i="6"/>
  <c r="AT112" i="6"/>
  <c r="BB112" i="6"/>
  <c r="AZ112" i="6"/>
  <c r="AY112" i="6"/>
  <c r="J113" i="6"/>
  <c r="H113" i="6"/>
  <c r="G113" i="6"/>
  <c r="F113" i="6"/>
  <c r="E113" i="6"/>
  <c r="D113" i="6"/>
  <c r="C113" i="6"/>
  <c r="B113" i="6"/>
  <c r="BQ113" i="6"/>
  <c r="BP113" i="6"/>
  <c r="BX113" i="6"/>
  <c r="BV113" i="6"/>
  <c r="BU113" i="6"/>
  <c r="BT113" i="6"/>
  <c r="BS113" i="6"/>
  <c r="BR113" i="6"/>
  <c r="GD113" i="6"/>
  <c r="GB113" i="6"/>
  <c r="GA113" i="6"/>
  <c r="FZ113" i="6"/>
  <c r="FY113" i="6"/>
  <c r="FX113" i="6"/>
  <c r="FW113" i="6"/>
  <c r="FV113" i="6"/>
  <c r="BF114" i="6"/>
  <c r="BE114" i="6"/>
  <c r="BM114" i="6"/>
  <c r="BK114" i="6"/>
  <c r="BJ114" i="6"/>
  <c r="BI114" i="6"/>
  <c r="BH114" i="6"/>
  <c r="BG114" i="6"/>
  <c r="FS114" i="6"/>
  <c r="FQ114" i="6"/>
  <c r="FP114" i="6"/>
  <c r="FO114" i="6"/>
  <c r="FN114" i="6"/>
  <c r="FM114" i="6"/>
  <c r="FL114" i="6"/>
  <c r="FK114" i="6"/>
  <c r="AK115" i="6"/>
  <c r="AJ115" i="6"/>
  <c r="AI115" i="6"/>
  <c r="AQ115" i="6"/>
  <c r="AO115" i="6"/>
  <c r="AN115" i="6"/>
  <c r="AM115" i="6"/>
  <c r="AL115" i="6"/>
  <c r="AA115" i="6"/>
  <c r="Z115" i="6"/>
  <c r="Y115" i="6"/>
  <c r="X115" i="6"/>
  <c r="AF115" i="6"/>
  <c r="AD115" i="6"/>
  <c r="AC115" i="6"/>
  <c r="AB115" i="6"/>
  <c r="P116" i="6"/>
  <c r="O116" i="6"/>
  <c r="N116" i="6"/>
  <c r="M116" i="6"/>
  <c r="U116" i="6"/>
  <c r="S116" i="6"/>
  <c r="R116" i="6"/>
  <c r="Q116" i="6"/>
  <c r="AT116" i="6"/>
  <c r="BB116" i="6"/>
  <c r="AZ116" i="6"/>
  <c r="AY116" i="6"/>
  <c r="AX116" i="6"/>
  <c r="AW116" i="6"/>
  <c r="AV116" i="6"/>
  <c r="AU116" i="6"/>
  <c r="E117" i="6"/>
  <c r="D117" i="6"/>
  <c r="C117" i="6"/>
  <c r="B117" i="6"/>
  <c r="J117" i="6"/>
  <c r="H117" i="6"/>
  <c r="G117" i="6"/>
  <c r="F117" i="6"/>
  <c r="BU117" i="6"/>
  <c r="BT117" i="6"/>
  <c r="BS117" i="6"/>
  <c r="BR117" i="6"/>
  <c r="BQ117" i="6"/>
  <c r="BP117" i="6"/>
  <c r="BX117" i="6"/>
  <c r="BV117" i="6"/>
  <c r="FY117" i="6"/>
  <c r="FX117" i="6"/>
  <c r="FW117" i="6"/>
  <c r="FV117" i="6"/>
  <c r="GD117" i="6"/>
  <c r="GB117" i="6"/>
  <c r="GA117" i="6"/>
  <c r="FZ117" i="6"/>
  <c r="BJ118" i="6"/>
  <c r="BI118" i="6"/>
  <c r="BH118" i="6"/>
  <c r="BG118" i="6"/>
  <c r="BF118" i="6"/>
  <c r="BE118" i="6"/>
  <c r="BM118" i="6"/>
  <c r="BK118" i="6"/>
  <c r="FN118" i="6"/>
  <c r="FM118" i="6"/>
  <c r="FL118" i="6"/>
  <c r="FK118" i="6"/>
  <c r="FS118" i="6"/>
  <c r="FQ118" i="6"/>
  <c r="FP118" i="6"/>
  <c r="FO118" i="6"/>
  <c r="AO119" i="6"/>
  <c r="AN119" i="6"/>
  <c r="AM119" i="6"/>
  <c r="AL119" i="6"/>
  <c r="AK119" i="6"/>
  <c r="AJ119" i="6"/>
  <c r="AI119" i="6"/>
  <c r="AQ119" i="6"/>
  <c r="AF119" i="6"/>
  <c r="AD119" i="6"/>
  <c r="AC119" i="6"/>
  <c r="AB119" i="6"/>
  <c r="AA119" i="6"/>
  <c r="Z119" i="6"/>
  <c r="Y119" i="6"/>
  <c r="X119" i="6"/>
  <c r="U120" i="6"/>
  <c r="S120" i="6"/>
  <c r="R120" i="6"/>
  <c r="Q120" i="6"/>
  <c r="P120" i="6"/>
  <c r="O120" i="6"/>
  <c r="N120" i="6"/>
  <c r="M120" i="6"/>
  <c r="AX120" i="6"/>
  <c r="AW120" i="6"/>
  <c r="AV120" i="6"/>
  <c r="AU120" i="6"/>
  <c r="AT120" i="6"/>
  <c r="BB120" i="6"/>
  <c r="AZ120" i="6"/>
  <c r="AY120" i="6"/>
  <c r="CG3" i="6"/>
  <c r="CF3" i="6"/>
  <c r="CE3" i="6"/>
  <c r="CD3" i="6"/>
  <c r="CC3" i="6"/>
  <c r="CB3" i="6"/>
  <c r="CA3" i="6"/>
  <c r="CI3" i="6"/>
  <c r="EE3" i="6"/>
  <c r="ED3" i="6"/>
  <c r="EL3" i="6"/>
  <c r="EJ3" i="6"/>
  <c r="EI3" i="6"/>
  <c r="EH3" i="6"/>
  <c r="EG3" i="6"/>
  <c r="EF3" i="6"/>
  <c r="CF4" i="6"/>
  <c r="CE4" i="6"/>
  <c r="CD4" i="6"/>
  <c r="CC4" i="6"/>
  <c r="CB4" i="6"/>
  <c r="CA4" i="6"/>
  <c r="CI4" i="6"/>
  <c r="CG4" i="6"/>
  <c r="ED4" i="6"/>
  <c r="EL4" i="6"/>
  <c r="EJ4" i="6"/>
  <c r="EI4" i="6"/>
  <c r="EH4" i="6"/>
  <c r="EG4" i="6"/>
  <c r="EF4" i="6"/>
  <c r="EE4" i="6"/>
  <c r="CE5" i="6"/>
  <c r="CD5" i="6"/>
  <c r="CC5" i="6"/>
  <c r="CB5" i="6"/>
  <c r="CA5" i="6"/>
  <c r="CI5" i="6"/>
  <c r="CG5" i="6"/>
  <c r="CF5" i="6"/>
  <c r="EL5" i="6"/>
  <c r="EJ5" i="6"/>
  <c r="EI5" i="6"/>
  <c r="EH5" i="6"/>
  <c r="EG5" i="6"/>
  <c r="EF5" i="6"/>
  <c r="EE5" i="6"/>
  <c r="ED5" i="6"/>
  <c r="CD6" i="6"/>
  <c r="CC6" i="6"/>
  <c r="CB6" i="6"/>
  <c r="CA6" i="6"/>
  <c r="CI6" i="6"/>
  <c r="CG6" i="6"/>
  <c r="CF6" i="6"/>
  <c r="CE6" i="6"/>
  <c r="EJ6" i="6"/>
  <c r="EI6" i="6"/>
  <c r="EH6" i="6"/>
  <c r="EG6" i="6"/>
  <c r="EF6" i="6"/>
  <c r="EE6" i="6"/>
  <c r="ED6" i="6"/>
  <c r="EL6" i="6"/>
  <c r="CC7" i="6"/>
  <c r="CB7" i="6"/>
  <c r="CA7" i="6"/>
  <c r="CI7" i="6"/>
  <c r="CG7" i="6"/>
  <c r="CF7" i="6"/>
  <c r="CE7" i="6"/>
  <c r="CD7" i="6"/>
  <c r="EI7" i="6"/>
  <c r="EH7" i="6"/>
  <c r="EG7" i="6"/>
  <c r="EF7" i="6"/>
  <c r="EE7" i="6"/>
  <c r="ED7" i="6"/>
  <c r="EL7" i="6"/>
  <c r="EJ7" i="6"/>
  <c r="CB8" i="6"/>
  <c r="CA8" i="6"/>
  <c r="CI8" i="6"/>
  <c r="CG8" i="6"/>
  <c r="CF8" i="6"/>
  <c r="CE8" i="6"/>
  <c r="CD8" i="6"/>
  <c r="CC8" i="6"/>
  <c r="EH8" i="6"/>
  <c r="EG8" i="6"/>
  <c r="EF8" i="6"/>
  <c r="EE8" i="6"/>
  <c r="ED8" i="6"/>
  <c r="EL8" i="6"/>
  <c r="EJ8" i="6"/>
  <c r="EI8" i="6"/>
  <c r="CA9" i="6"/>
  <c r="CI9" i="6"/>
  <c r="CG9" i="6"/>
  <c r="CF9" i="6"/>
  <c r="CE9" i="6"/>
  <c r="CD9" i="6"/>
  <c r="CC9" i="6"/>
  <c r="CB9" i="6"/>
  <c r="EG9" i="6"/>
  <c r="EF9" i="6"/>
  <c r="EE9" i="6"/>
  <c r="ED9" i="6"/>
  <c r="EL9" i="6"/>
  <c r="EJ9" i="6"/>
  <c r="EI9" i="6"/>
  <c r="EH9" i="6"/>
  <c r="CI10" i="6"/>
  <c r="CG10" i="6"/>
  <c r="CF10" i="6"/>
  <c r="CE10" i="6"/>
  <c r="CD10" i="6"/>
  <c r="CC10" i="6"/>
  <c r="CB10" i="6"/>
  <c r="CA10" i="6"/>
  <c r="EF10" i="6"/>
  <c r="EE10" i="6"/>
  <c r="ED10" i="6"/>
  <c r="EL10" i="6"/>
  <c r="EJ10" i="6"/>
  <c r="EI10" i="6"/>
  <c r="EH10" i="6"/>
  <c r="EG10" i="6"/>
  <c r="CG11" i="6"/>
  <c r="CF11" i="6"/>
  <c r="CE11" i="6"/>
  <c r="CD11" i="6"/>
  <c r="CC11" i="6"/>
  <c r="CB11" i="6"/>
  <c r="CA11" i="6"/>
  <c r="CI11" i="6"/>
  <c r="EE11" i="6"/>
  <c r="ED11" i="6"/>
  <c r="EL11" i="6"/>
  <c r="EJ11" i="6"/>
  <c r="EI11" i="6"/>
  <c r="EH11" i="6"/>
  <c r="EG11" i="6"/>
  <c r="EF11" i="6"/>
  <c r="CF12" i="6"/>
  <c r="CE12" i="6"/>
  <c r="CD12" i="6"/>
  <c r="CC12" i="6"/>
  <c r="CB12" i="6"/>
  <c r="CA12" i="6"/>
  <c r="CI12" i="6"/>
  <c r="CG12" i="6"/>
  <c r="ED12" i="6"/>
  <c r="EL12" i="6"/>
  <c r="EJ12" i="6"/>
  <c r="EI12" i="6"/>
  <c r="EH12" i="6"/>
  <c r="EG12" i="6"/>
  <c r="EF12" i="6"/>
  <c r="EE12" i="6"/>
  <c r="CE13" i="6"/>
  <c r="CD13" i="6"/>
  <c r="CC13" i="6"/>
  <c r="CB13" i="6"/>
  <c r="CA13" i="6"/>
  <c r="CI13" i="6"/>
  <c r="CG13" i="6"/>
  <c r="CF13" i="6"/>
  <c r="EL13" i="6"/>
  <c r="EJ13" i="6"/>
  <c r="EI13" i="6"/>
  <c r="EH13" i="6"/>
  <c r="EG13" i="6"/>
  <c r="EF13" i="6"/>
  <c r="EE13" i="6"/>
  <c r="ED13" i="6"/>
  <c r="CD14" i="6"/>
  <c r="CC14" i="6"/>
  <c r="CB14" i="6"/>
  <c r="CA14" i="6"/>
  <c r="CI14" i="6"/>
  <c r="CG14" i="6"/>
  <c r="CF14" i="6"/>
  <c r="CE14" i="6"/>
  <c r="EJ14" i="6"/>
  <c r="EI14" i="6"/>
  <c r="EH14" i="6"/>
  <c r="EG14" i="6"/>
  <c r="EF14" i="6"/>
  <c r="EE14" i="6"/>
  <c r="ED14" i="6"/>
  <c r="EL14" i="6"/>
  <c r="CC15" i="6"/>
  <c r="CB15" i="6"/>
  <c r="CA15" i="6"/>
  <c r="CI15" i="6"/>
  <c r="CG15" i="6"/>
  <c r="CF15" i="6"/>
  <c r="CE15" i="6"/>
  <c r="CD15" i="6"/>
  <c r="EI15" i="6"/>
  <c r="EH15" i="6"/>
  <c r="EG15" i="6"/>
  <c r="EF15" i="6"/>
  <c r="EE15" i="6"/>
  <c r="ED15" i="6"/>
  <c r="EL15" i="6"/>
  <c r="EJ15" i="6"/>
  <c r="CB16" i="6"/>
  <c r="CA16" i="6"/>
  <c r="CI16" i="6"/>
  <c r="CG16" i="6"/>
  <c r="CF16" i="6"/>
  <c r="CE16" i="6"/>
  <c r="CD16" i="6"/>
  <c r="CC16" i="6"/>
  <c r="EH16" i="6"/>
  <c r="EG16" i="6"/>
  <c r="EF16" i="6"/>
  <c r="EE16" i="6"/>
  <c r="ED16" i="6"/>
  <c r="EL16" i="6"/>
  <c r="EJ16" i="6"/>
  <c r="EI16" i="6"/>
  <c r="CA17" i="6"/>
  <c r="CI17" i="6"/>
  <c r="CG17" i="6"/>
  <c r="CF17" i="6"/>
  <c r="CE17" i="6"/>
  <c r="CD17" i="6"/>
  <c r="CC17" i="6"/>
  <c r="CB17" i="6"/>
  <c r="EG17" i="6"/>
  <c r="EF17" i="6"/>
  <c r="EE17" i="6"/>
  <c r="ED17" i="6"/>
  <c r="EL17" i="6"/>
  <c r="EJ17" i="6"/>
  <c r="EI17" i="6"/>
  <c r="EH17" i="6"/>
  <c r="CI18" i="6"/>
  <c r="CG18" i="6"/>
  <c r="CF18" i="6"/>
  <c r="CE18" i="6"/>
  <c r="CD18" i="6"/>
  <c r="CC18" i="6"/>
  <c r="CB18" i="6"/>
  <c r="CA18" i="6"/>
  <c r="EF18" i="6"/>
  <c r="EE18" i="6"/>
  <c r="ED18" i="6"/>
  <c r="EL18" i="6"/>
  <c r="EJ18" i="6"/>
  <c r="EI18" i="6"/>
  <c r="EH18" i="6"/>
  <c r="EG18" i="6"/>
  <c r="CG19" i="6"/>
  <c r="CF19" i="6"/>
  <c r="CE19" i="6"/>
  <c r="CD19" i="6"/>
  <c r="CC19" i="6"/>
  <c r="CB19" i="6"/>
  <c r="CA19" i="6"/>
  <c r="CI19" i="6"/>
  <c r="EE19" i="6"/>
  <c r="ED19" i="6"/>
  <c r="EL19" i="6"/>
  <c r="EJ19" i="6"/>
  <c r="EI19" i="6"/>
  <c r="EH19" i="6"/>
  <c r="EG19" i="6"/>
  <c r="EF19" i="6"/>
  <c r="CF20" i="6"/>
  <c r="CE20" i="6"/>
  <c r="CD20" i="6"/>
  <c r="CC20" i="6"/>
  <c r="CB20" i="6"/>
  <c r="CA20" i="6"/>
  <c r="CI20" i="6"/>
  <c r="CG20" i="6"/>
  <c r="ED20" i="6"/>
  <c r="EL20" i="6"/>
  <c r="EJ20" i="6"/>
  <c r="EI20" i="6"/>
  <c r="EH20" i="6"/>
  <c r="EG20" i="6"/>
  <c r="EF20" i="6"/>
  <c r="EE20" i="6"/>
  <c r="CE21" i="6"/>
  <c r="CD21" i="6"/>
  <c r="CC21" i="6"/>
  <c r="CB21" i="6"/>
  <c r="CA21" i="6"/>
  <c r="CI21" i="6"/>
  <c r="CG21" i="6"/>
  <c r="CF21" i="6"/>
  <c r="EL21" i="6"/>
  <c r="EJ21" i="6"/>
  <c r="EI21" i="6"/>
  <c r="EH21" i="6"/>
  <c r="EG21" i="6"/>
  <c r="EF21" i="6"/>
  <c r="EE21" i="6"/>
  <c r="ED21" i="6"/>
  <c r="CD22" i="6"/>
  <c r="CC22" i="6"/>
  <c r="CB22" i="6"/>
  <c r="CA22" i="6"/>
  <c r="CI22" i="6"/>
  <c r="CG22" i="6"/>
  <c r="CF22" i="6"/>
  <c r="CE22" i="6"/>
  <c r="EJ22" i="6"/>
  <c r="EI22" i="6"/>
  <c r="EH22" i="6"/>
  <c r="EG22" i="6"/>
  <c r="EF22" i="6"/>
  <c r="EE22" i="6"/>
  <c r="ED22" i="6"/>
  <c r="EL22" i="6"/>
  <c r="CC23" i="6"/>
  <c r="CB23" i="6"/>
  <c r="CA23" i="6"/>
  <c r="CI23" i="6"/>
  <c r="CG23" i="6"/>
  <c r="CF23" i="6"/>
  <c r="CE23" i="6"/>
  <c r="CD23" i="6"/>
  <c r="EI23" i="6"/>
  <c r="EH23" i="6"/>
  <c r="EG23" i="6"/>
  <c r="EF23" i="6"/>
  <c r="EE23" i="6"/>
  <c r="ED23" i="6"/>
  <c r="EL23" i="6"/>
  <c r="EJ23" i="6"/>
  <c r="CB24" i="6"/>
  <c r="CA24" i="6"/>
  <c r="CI24" i="6"/>
  <c r="CG24" i="6"/>
  <c r="CF24" i="6"/>
  <c r="CE24" i="6"/>
  <c r="CD24" i="6"/>
  <c r="CC24" i="6"/>
  <c r="EH24" i="6"/>
  <c r="EG24" i="6"/>
  <c r="EF24" i="6"/>
  <c r="EE24" i="6"/>
  <c r="ED24" i="6"/>
  <c r="EL24" i="6"/>
  <c r="EJ24" i="6"/>
  <c r="EI24" i="6"/>
  <c r="CA25" i="6"/>
  <c r="CI25" i="6"/>
  <c r="CG25" i="6"/>
  <c r="CF25" i="6"/>
  <c r="CE25" i="6"/>
  <c r="CD25" i="6"/>
  <c r="CC25" i="6"/>
  <c r="CB25" i="6"/>
  <c r="EG25" i="6"/>
  <c r="EF25" i="6"/>
  <c r="EE25" i="6"/>
  <c r="ED25" i="6"/>
  <c r="EL25" i="6"/>
  <c r="EJ25" i="6"/>
  <c r="EI25" i="6"/>
  <c r="EH25" i="6"/>
  <c r="CI26" i="6"/>
  <c r="CG26" i="6"/>
  <c r="CF26" i="6"/>
  <c r="CE26" i="6"/>
  <c r="CD26" i="6"/>
  <c r="CC26" i="6"/>
  <c r="CB26" i="6"/>
  <c r="CA26" i="6"/>
  <c r="EF26" i="6"/>
  <c r="EE26" i="6"/>
  <c r="ED26" i="6"/>
  <c r="EL26" i="6"/>
  <c r="EJ26" i="6"/>
  <c r="EI26" i="6"/>
  <c r="EH26" i="6"/>
  <c r="EG26" i="6"/>
  <c r="CG27" i="6"/>
  <c r="CF27" i="6"/>
  <c r="CE27" i="6"/>
  <c r="CD27" i="6"/>
  <c r="CC27" i="6"/>
  <c r="CB27" i="6"/>
  <c r="CA27" i="6"/>
  <c r="CI27" i="6"/>
  <c r="EE27" i="6"/>
  <c r="ED27" i="6"/>
  <c r="EL27" i="6"/>
  <c r="EJ27" i="6"/>
  <c r="EI27" i="6"/>
  <c r="EH27" i="6"/>
  <c r="EG27" i="6"/>
  <c r="EF27" i="6"/>
  <c r="CF28" i="6"/>
  <c r="CE28" i="6"/>
  <c r="CD28" i="6"/>
  <c r="CC28" i="6"/>
  <c r="CB28" i="6"/>
  <c r="CA28" i="6"/>
  <c r="CI28" i="6"/>
  <c r="CG28" i="6"/>
  <c r="ED28" i="6"/>
  <c r="EL28" i="6"/>
  <c r="EJ28" i="6"/>
  <c r="EI28" i="6"/>
  <c r="EH28" i="6"/>
  <c r="EG28" i="6"/>
  <c r="EF28" i="6"/>
  <c r="EE28" i="6"/>
  <c r="CE29" i="6"/>
  <c r="CD29" i="6"/>
  <c r="CC29" i="6"/>
  <c r="CB29" i="6"/>
  <c r="CA29" i="6"/>
  <c r="CI29" i="6"/>
  <c r="CG29" i="6"/>
  <c r="CF29" i="6"/>
  <c r="EL29" i="6"/>
  <c r="EJ29" i="6"/>
  <c r="EI29" i="6"/>
  <c r="EH29" i="6"/>
  <c r="EG29" i="6"/>
  <c r="EF29" i="6"/>
  <c r="EE29" i="6"/>
  <c r="ED29" i="6"/>
  <c r="CD30" i="6"/>
  <c r="CC30" i="6"/>
  <c r="CB30" i="6"/>
  <c r="CA30" i="6"/>
  <c r="CI30" i="6"/>
  <c r="CG30" i="6"/>
  <c r="CF30" i="6"/>
  <c r="CE30" i="6"/>
  <c r="EJ30" i="6"/>
  <c r="EI30" i="6"/>
  <c r="EH30" i="6"/>
  <c r="EG30" i="6"/>
  <c r="EF30" i="6"/>
  <c r="EE30" i="6"/>
  <c r="ED30" i="6"/>
  <c r="EL30" i="6"/>
  <c r="CC31" i="6"/>
  <c r="CB31" i="6"/>
  <c r="CA31" i="6"/>
  <c r="CI31" i="6"/>
  <c r="CG31" i="6"/>
  <c r="CF31" i="6"/>
  <c r="CE31" i="6"/>
  <c r="CD31" i="6"/>
  <c r="EI31" i="6"/>
  <c r="EH31" i="6"/>
  <c r="EG31" i="6"/>
  <c r="EF31" i="6"/>
  <c r="EE31" i="6"/>
  <c r="ED31" i="6"/>
  <c r="EL31" i="6"/>
  <c r="EJ31" i="6"/>
  <c r="CB32" i="6"/>
  <c r="CA32" i="6"/>
  <c r="CI32" i="6"/>
  <c r="CG32" i="6"/>
  <c r="CF32" i="6"/>
  <c r="CE32" i="6"/>
  <c r="CD32" i="6"/>
  <c r="CC32" i="6"/>
  <c r="EH32" i="6"/>
  <c r="EG32" i="6"/>
  <c r="EF32" i="6"/>
  <c r="EE32" i="6"/>
  <c r="ED32" i="6"/>
  <c r="EL32" i="6"/>
  <c r="EJ32" i="6"/>
  <c r="EI32" i="6"/>
  <c r="CA33" i="6"/>
  <c r="CI33" i="6"/>
  <c r="CG33" i="6"/>
  <c r="CF33" i="6"/>
  <c r="CE33" i="6"/>
  <c r="CD33" i="6"/>
  <c r="CC33" i="6"/>
  <c r="CB33" i="6"/>
  <c r="EG33" i="6"/>
  <c r="EF33" i="6"/>
  <c r="EE33" i="6"/>
  <c r="ED33" i="6"/>
  <c r="EL33" i="6"/>
  <c r="EJ33" i="6"/>
  <c r="EI33" i="6"/>
  <c r="EH33" i="6"/>
  <c r="CI34" i="6"/>
  <c r="CG34" i="6"/>
  <c r="CF34" i="6"/>
  <c r="CE34" i="6"/>
  <c r="CD34" i="6"/>
  <c r="CC34" i="6"/>
  <c r="CB34" i="6"/>
  <c r="CA34" i="6"/>
  <c r="EF34" i="6"/>
  <c r="EE34" i="6"/>
  <c r="ED34" i="6"/>
  <c r="EL34" i="6"/>
  <c r="EJ34" i="6"/>
  <c r="EI34" i="6"/>
  <c r="EH34" i="6"/>
  <c r="EG34" i="6"/>
  <c r="CG35" i="6"/>
  <c r="CF35" i="6"/>
  <c r="CE35" i="6"/>
  <c r="CD35" i="6"/>
  <c r="CC35" i="6"/>
  <c r="CB35" i="6"/>
  <c r="CA35" i="6"/>
  <c r="CI35" i="6"/>
  <c r="EE35" i="6"/>
  <c r="ED35" i="6"/>
  <c r="EL35" i="6"/>
  <c r="EJ35" i="6"/>
  <c r="EI35" i="6"/>
  <c r="EH35" i="6"/>
  <c r="EG35" i="6"/>
  <c r="EF35" i="6"/>
  <c r="CF36" i="6"/>
  <c r="CE36" i="6"/>
  <c r="CD36" i="6"/>
  <c r="CC36" i="6"/>
  <c r="CB36" i="6"/>
  <c r="CA36" i="6"/>
  <c r="CI36" i="6"/>
  <c r="CG36" i="6"/>
  <c r="ED36" i="6"/>
  <c r="EL36" i="6"/>
  <c r="EJ36" i="6"/>
  <c r="EI36" i="6"/>
  <c r="EH36" i="6"/>
  <c r="EG36" i="6"/>
  <c r="EF36" i="6"/>
  <c r="EE36" i="6"/>
  <c r="CE37" i="6"/>
  <c r="CD37" i="6"/>
  <c r="CC37" i="6"/>
  <c r="CB37" i="6"/>
  <c r="CA37" i="6"/>
  <c r="CI37" i="6"/>
  <c r="CG37" i="6"/>
  <c r="CF37" i="6"/>
  <c r="EL37" i="6"/>
  <c r="EJ37" i="6"/>
  <c r="EI37" i="6"/>
  <c r="EH37" i="6"/>
  <c r="EG37" i="6"/>
  <c r="EF37" i="6"/>
  <c r="EE37" i="6"/>
  <c r="ED37" i="6"/>
  <c r="CD38" i="6"/>
  <c r="CC38" i="6"/>
  <c r="CB38" i="6"/>
  <c r="CA38" i="6"/>
  <c r="CI38" i="6"/>
  <c r="CG38" i="6"/>
  <c r="CF38" i="6"/>
  <c r="CE38" i="6"/>
  <c r="EJ38" i="6"/>
  <c r="EI38" i="6"/>
  <c r="EH38" i="6"/>
  <c r="EG38" i="6"/>
  <c r="EF38" i="6"/>
  <c r="EE38" i="6"/>
  <c r="ED38" i="6"/>
  <c r="EL38" i="6"/>
  <c r="CC39" i="6"/>
  <c r="CB39" i="6"/>
  <c r="CA39" i="6"/>
  <c r="CI39" i="6"/>
  <c r="CG39" i="6"/>
  <c r="CF39" i="6"/>
  <c r="CE39" i="6"/>
  <c r="CD39" i="6"/>
  <c r="EI39" i="6"/>
  <c r="EH39" i="6"/>
  <c r="EG39" i="6"/>
  <c r="EF39" i="6"/>
  <c r="EE39" i="6"/>
  <c r="ED39" i="6"/>
  <c r="EL39" i="6"/>
  <c r="EJ39" i="6"/>
  <c r="CB40" i="6"/>
  <c r="CA40" i="6"/>
  <c r="CI40" i="6"/>
  <c r="CG40" i="6"/>
  <c r="CF40" i="6"/>
  <c r="CE40" i="6"/>
  <c r="CD40" i="6"/>
  <c r="CC40" i="6"/>
  <c r="EH40" i="6"/>
  <c r="EG40" i="6"/>
  <c r="EF40" i="6"/>
  <c r="EE40" i="6"/>
  <c r="ED40" i="6"/>
  <c r="EL40" i="6"/>
  <c r="EJ40" i="6"/>
  <c r="EI40" i="6"/>
  <c r="CA41" i="6"/>
  <c r="CI41" i="6"/>
  <c r="CG41" i="6"/>
  <c r="CF41" i="6"/>
  <c r="CE41" i="6"/>
  <c r="CD41" i="6"/>
  <c r="CC41" i="6"/>
  <c r="CB41" i="6"/>
  <c r="EG41" i="6"/>
  <c r="EF41" i="6"/>
  <c r="EE41" i="6"/>
  <c r="ED41" i="6"/>
  <c r="EL41" i="6"/>
  <c r="EJ41" i="6"/>
  <c r="EI41" i="6"/>
  <c r="EH41" i="6"/>
  <c r="CI42" i="6"/>
  <c r="CG42" i="6"/>
  <c r="CF42" i="6"/>
  <c r="CE42" i="6"/>
  <c r="CD42" i="6"/>
  <c r="CC42" i="6"/>
  <c r="CB42" i="6"/>
  <c r="CA42" i="6"/>
  <c r="EF42" i="6"/>
  <c r="EE42" i="6"/>
  <c r="ED42" i="6"/>
  <c r="EL42" i="6"/>
  <c r="EJ42" i="6"/>
  <c r="EI42" i="6"/>
  <c r="EH42" i="6"/>
  <c r="EG42" i="6"/>
  <c r="CG43" i="6"/>
  <c r="CF43" i="6"/>
  <c r="CE43" i="6"/>
  <c r="CD43" i="6"/>
  <c r="CC43" i="6"/>
  <c r="CB43" i="6"/>
  <c r="CA43" i="6"/>
  <c r="CI43" i="6"/>
  <c r="EE43" i="6"/>
  <c r="ED43" i="6"/>
  <c r="EL43" i="6"/>
  <c r="EJ43" i="6"/>
  <c r="EI43" i="6"/>
  <c r="EH43" i="6"/>
  <c r="EG43" i="6"/>
  <c r="EF43" i="6"/>
  <c r="CF44" i="6"/>
  <c r="CE44" i="6"/>
  <c r="CD44" i="6"/>
  <c r="CC44" i="6"/>
  <c r="CB44" i="6"/>
  <c r="CA44" i="6"/>
  <c r="CI44" i="6"/>
  <c r="CG44" i="6"/>
  <c r="ED44" i="6"/>
  <c r="EL44" i="6"/>
  <c r="EJ44" i="6"/>
  <c r="EI44" i="6"/>
  <c r="EH44" i="6"/>
  <c r="EG44" i="6"/>
  <c r="EF44" i="6"/>
  <c r="EE44" i="6"/>
  <c r="CE45" i="6"/>
  <c r="CD45" i="6"/>
  <c r="CC45" i="6"/>
  <c r="CB45" i="6"/>
  <c r="CA45" i="6"/>
  <c r="CI45" i="6"/>
  <c r="CG45" i="6"/>
  <c r="CF45" i="6"/>
  <c r="EL45" i="6"/>
  <c r="EJ45" i="6"/>
  <c r="EI45" i="6"/>
  <c r="EH45" i="6"/>
  <c r="EG45" i="6"/>
  <c r="EF45" i="6"/>
  <c r="EE45" i="6"/>
  <c r="ED45" i="6"/>
  <c r="CD46" i="6"/>
  <c r="CC46" i="6"/>
  <c r="CB46" i="6"/>
  <c r="CA46" i="6"/>
  <c r="CI46" i="6"/>
  <c r="CG46" i="6"/>
  <c r="CF46" i="6"/>
  <c r="CE46" i="6"/>
  <c r="EJ46" i="6"/>
  <c r="EI46" i="6"/>
  <c r="EH46" i="6"/>
  <c r="EG46" i="6"/>
  <c r="EF46" i="6"/>
  <c r="EE46" i="6"/>
  <c r="ED46" i="6"/>
  <c r="EL46" i="6"/>
  <c r="CC47" i="6"/>
  <c r="CB47" i="6"/>
  <c r="CA47" i="6"/>
  <c r="CI47" i="6"/>
  <c r="CG47" i="6"/>
  <c r="CF47" i="6"/>
  <c r="CE47" i="6"/>
  <c r="CD47" i="6"/>
  <c r="EI47" i="6"/>
  <c r="EH47" i="6"/>
  <c r="EG47" i="6"/>
  <c r="EF47" i="6"/>
  <c r="EE47" i="6"/>
  <c r="ED47" i="6"/>
  <c r="EL47" i="6"/>
  <c r="EJ47" i="6"/>
  <c r="CB48" i="6"/>
  <c r="CA48" i="6"/>
  <c r="CI48" i="6"/>
  <c r="CG48" i="6"/>
  <c r="CF48" i="6"/>
  <c r="CE48" i="6"/>
  <c r="CD48" i="6"/>
  <c r="CC48" i="6"/>
  <c r="EH48" i="6"/>
  <c r="EG48" i="6"/>
  <c r="EF48" i="6"/>
  <c r="EE48" i="6"/>
  <c r="ED48" i="6"/>
  <c r="EL48" i="6"/>
  <c r="EJ48" i="6"/>
  <c r="EI48" i="6"/>
  <c r="CA49" i="6"/>
  <c r="CI49" i="6"/>
  <c r="CG49" i="6"/>
  <c r="CF49" i="6"/>
  <c r="CE49" i="6"/>
  <c r="CD49" i="6"/>
  <c r="CC49" i="6"/>
  <c r="CB49" i="6"/>
  <c r="EG49" i="6"/>
  <c r="EF49" i="6"/>
  <c r="EE49" i="6"/>
  <c r="ED49" i="6"/>
  <c r="EL49" i="6"/>
  <c r="EJ49" i="6"/>
  <c r="EI49" i="6"/>
  <c r="EH49" i="6"/>
  <c r="CI50" i="6"/>
  <c r="CG50" i="6"/>
  <c r="CF50" i="6"/>
  <c r="CE50" i="6"/>
  <c r="CD50" i="6"/>
  <c r="CC50" i="6"/>
  <c r="CB50" i="6"/>
  <c r="CA50" i="6"/>
  <c r="EF50" i="6"/>
  <c r="EE50" i="6"/>
  <c r="ED50" i="6"/>
  <c r="EL50" i="6"/>
  <c r="EJ50" i="6"/>
  <c r="EI50" i="6"/>
  <c r="EH50" i="6"/>
  <c r="EG50" i="6"/>
  <c r="CG51" i="6"/>
  <c r="CF51" i="6"/>
  <c r="CE51" i="6"/>
  <c r="CD51" i="6"/>
  <c r="CC51" i="6"/>
  <c r="CB51" i="6"/>
  <c r="CA51" i="6"/>
  <c r="CI51" i="6"/>
  <c r="EE51" i="6"/>
  <c r="ED51" i="6"/>
  <c r="EL51" i="6"/>
  <c r="EJ51" i="6"/>
  <c r="EI51" i="6"/>
  <c r="EH51" i="6"/>
  <c r="EG51" i="6"/>
  <c r="EF51" i="6"/>
  <c r="CF52" i="6"/>
  <c r="CE52" i="6"/>
  <c r="CD52" i="6"/>
  <c r="CC52" i="6"/>
  <c r="CB52" i="6"/>
  <c r="CA52" i="6"/>
  <c r="CI52" i="6"/>
  <c r="CG52" i="6"/>
  <c r="ED52" i="6"/>
  <c r="EL52" i="6"/>
  <c r="EJ52" i="6"/>
  <c r="EI52" i="6"/>
  <c r="EH52" i="6"/>
  <c r="EG52" i="6"/>
  <c r="EF52" i="6"/>
  <c r="EE52" i="6"/>
  <c r="CE53" i="6"/>
  <c r="CD53" i="6"/>
  <c r="CC53" i="6"/>
  <c r="CB53" i="6"/>
  <c r="CA53" i="6"/>
  <c r="CI53" i="6"/>
  <c r="CG53" i="6"/>
  <c r="CF53" i="6"/>
  <c r="EL53" i="6"/>
  <c r="EJ53" i="6"/>
  <c r="EI53" i="6"/>
  <c r="EH53" i="6"/>
  <c r="EG53" i="6"/>
  <c r="EF53" i="6"/>
  <c r="EE53" i="6"/>
  <c r="ED53" i="6"/>
  <c r="CD54" i="6"/>
  <c r="CC54" i="6"/>
  <c r="CB54" i="6"/>
  <c r="CA54" i="6"/>
  <c r="CI54" i="6"/>
  <c r="CG54" i="6"/>
  <c r="CF54" i="6"/>
  <c r="CE54" i="6"/>
  <c r="EJ54" i="6"/>
  <c r="EI54" i="6"/>
  <c r="EH54" i="6"/>
  <c r="EG54" i="6"/>
  <c r="EF54" i="6"/>
  <c r="EE54" i="6"/>
  <c r="ED54" i="6"/>
  <c r="EL54" i="6"/>
  <c r="CC55" i="6"/>
  <c r="CB55" i="6"/>
  <c r="CA55" i="6"/>
  <c r="CI55" i="6"/>
  <c r="CG55" i="6"/>
  <c r="CF55" i="6"/>
  <c r="CE55" i="6"/>
  <c r="CD55" i="6"/>
  <c r="EI55" i="6"/>
  <c r="EH55" i="6"/>
  <c r="EG55" i="6"/>
  <c r="EF55" i="6"/>
  <c r="EE55" i="6"/>
  <c r="ED55" i="6"/>
  <c r="EL55" i="6"/>
  <c r="EJ55" i="6"/>
  <c r="CB56" i="6"/>
  <c r="CA56" i="6"/>
  <c r="CI56" i="6"/>
  <c r="CG56" i="6"/>
  <c r="CF56" i="6"/>
  <c r="CE56" i="6"/>
  <c r="CD56" i="6"/>
  <c r="CC56" i="6"/>
  <c r="EH56" i="6"/>
  <c r="EG56" i="6"/>
  <c r="EF56" i="6"/>
  <c r="EE56" i="6"/>
  <c r="ED56" i="6"/>
  <c r="EL56" i="6"/>
  <c r="EJ56" i="6"/>
  <c r="EI56" i="6"/>
  <c r="CA57" i="6"/>
  <c r="CI57" i="6"/>
  <c r="CG57" i="6"/>
  <c r="CF57" i="6"/>
  <c r="CE57" i="6"/>
  <c r="CD57" i="6"/>
  <c r="CC57" i="6"/>
  <c r="CB57" i="6"/>
  <c r="EG57" i="6"/>
  <c r="EF57" i="6"/>
  <c r="EE57" i="6"/>
  <c r="ED57" i="6"/>
  <c r="EL57" i="6"/>
  <c r="EJ57" i="6"/>
  <c r="EI57" i="6"/>
  <c r="EH57" i="6"/>
  <c r="CI58" i="6"/>
  <c r="CG58" i="6"/>
  <c r="CF58" i="6"/>
  <c r="CE58" i="6"/>
  <c r="CD58" i="6"/>
  <c r="CC58" i="6"/>
  <c r="CB58" i="6"/>
  <c r="CA58" i="6"/>
  <c r="EF58" i="6"/>
  <c r="EE58" i="6"/>
  <c r="ED58" i="6"/>
  <c r="EL58" i="6"/>
  <c r="EJ58" i="6"/>
  <c r="EI58" i="6"/>
  <c r="EH58" i="6"/>
  <c r="EG58" i="6"/>
  <c r="CG59" i="6"/>
  <c r="CF59" i="6"/>
  <c r="CE59" i="6"/>
  <c r="CD59" i="6"/>
  <c r="CC59" i="6"/>
  <c r="CB59" i="6"/>
  <c r="CA59" i="6"/>
  <c r="CI59" i="6"/>
  <c r="EE59" i="6"/>
  <c r="ED59" i="6"/>
  <c r="EL59" i="6"/>
  <c r="EJ59" i="6"/>
  <c r="EI59" i="6"/>
  <c r="EH59" i="6"/>
  <c r="EG59" i="6"/>
  <c r="EF59" i="6"/>
  <c r="CF60" i="6"/>
  <c r="CE60" i="6"/>
  <c r="CD60" i="6"/>
  <c r="CC60" i="6"/>
  <c r="CB60" i="6"/>
  <c r="CA60" i="6"/>
  <c r="CI60" i="6"/>
  <c r="CG60" i="6"/>
  <c r="ED60" i="6"/>
  <c r="EL60" i="6"/>
  <c r="EJ60" i="6"/>
  <c r="EI60" i="6"/>
  <c r="EH60" i="6"/>
  <c r="EG60" i="6"/>
  <c r="EF60" i="6"/>
  <c r="EE60" i="6"/>
  <c r="CE61" i="6"/>
  <c r="CD61" i="6"/>
  <c r="CC61" i="6"/>
  <c r="CB61" i="6"/>
  <c r="CA61" i="6"/>
  <c r="CI61" i="6"/>
  <c r="CG61" i="6"/>
  <c r="CF61" i="6"/>
  <c r="EL61" i="6"/>
  <c r="EJ61" i="6"/>
  <c r="EI61" i="6"/>
  <c r="EH61" i="6"/>
  <c r="EG61" i="6"/>
  <c r="EF61" i="6"/>
  <c r="EE61" i="6"/>
  <c r="ED61" i="6"/>
  <c r="CD62" i="6"/>
  <c r="CC62" i="6"/>
  <c r="CB62" i="6"/>
  <c r="CA62" i="6"/>
  <c r="CI62" i="6"/>
  <c r="CG62" i="6"/>
  <c r="CF62" i="6"/>
  <c r="CE62" i="6"/>
  <c r="EJ62" i="6"/>
  <c r="EI62" i="6"/>
  <c r="EH62" i="6"/>
  <c r="EG62" i="6"/>
  <c r="EF62" i="6"/>
  <c r="EE62" i="6"/>
  <c r="ED62" i="6"/>
  <c r="EL62" i="6"/>
  <c r="CC63" i="6"/>
  <c r="CB63" i="6"/>
  <c r="CA63" i="6"/>
  <c r="CI63" i="6"/>
  <c r="CG63" i="6"/>
  <c r="CF63" i="6"/>
  <c r="CE63" i="6"/>
  <c r="CD63" i="6"/>
  <c r="EI63" i="6"/>
  <c r="EH63" i="6"/>
  <c r="EG63" i="6"/>
  <c r="EF63" i="6"/>
  <c r="EE63" i="6"/>
  <c r="ED63" i="6"/>
  <c r="EL63" i="6"/>
  <c r="EJ63" i="6"/>
  <c r="CB64" i="6"/>
  <c r="CA64" i="6"/>
  <c r="CI64" i="6"/>
  <c r="CG64" i="6"/>
  <c r="CF64" i="6"/>
  <c r="CE64" i="6"/>
  <c r="CD64" i="6"/>
  <c r="CC64" i="6"/>
  <c r="EH64" i="6"/>
  <c r="EG64" i="6"/>
  <c r="EF64" i="6"/>
  <c r="EE64" i="6"/>
  <c r="ED64" i="6"/>
  <c r="EL64" i="6"/>
  <c r="EJ64" i="6"/>
  <c r="EI64" i="6"/>
  <c r="CA65" i="6"/>
  <c r="CI65" i="6"/>
  <c r="CG65" i="6"/>
  <c r="CF65" i="6"/>
  <c r="CE65" i="6"/>
  <c r="CD65" i="6"/>
  <c r="CC65" i="6"/>
  <c r="CB65" i="6"/>
  <c r="EG65" i="6"/>
  <c r="EF65" i="6"/>
  <c r="EE65" i="6"/>
  <c r="ED65" i="6"/>
  <c r="EL65" i="6"/>
  <c r="EJ65" i="6"/>
  <c r="EI65" i="6"/>
  <c r="EH65" i="6"/>
  <c r="CI66" i="6"/>
  <c r="CG66" i="6"/>
  <c r="CF66" i="6"/>
  <c r="CE66" i="6"/>
  <c r="CD66" i="6"/>
  <c r="CC66" i="6"/>
  <c r="CB66" i="6"/>
  <c r="CA66" i="6"/>
  <c r="EF66" i="6"/>
  <c r="EE66" i="6"/>
  <c r="ED66" i="6"/>
  <c r="EL66" i="6"/>
  <c r="EJ66" i="6"/>
  <c r="EI66" i="6"/>
  <c r="EH66" i="6"/>
  <c r="EG66" i="6"/>
  <c r="CG67" i="6"/>
  <c r="CF67" i="6"/>
  <c r="CE67" i="6"/>
  <c r="CD67" i="6"/>
  <c r="CC67" i="6"/>
  <c r="CB67" i="6"/>
  <c r="CA67" i="6"/>
  <c r="CI67" i="6"/>
  <c r="EE67" i="6"/>
  <c r="ED67" i="6"/>
  <c r="EL67" i="6"/>
  <c r="EJ67" i="6"/>
  <c r="EI67" i="6"/>
  <c r="EH67" i="6"/>
  <c r="EG67" i="6"/>
  <c r="EF67" i="6"/>
  <c r="CF68" i="6"/>
  <c r="CE68" i="6"/>
  <c r="CD68" i="6"/>
  <c r="CC68" i="6"/>
  <c r="CB68" i="6"/>
  <c r="CA68" i="6"/>
  <c r="CI68" i="6"/>
  <c r="CG68" i="6"/>
  <c r="ED68" i="6"/>
  <c r="EL68" i="6"/>
  <c r="EJ68" i="6"/>
  <c r="EI68" i="6"/>
  <c r="EH68" i="6"/>
  <c r="EG68" i="6"/>
  <c r="EF68" i="6"/>
  <c r="EE68" i="6"/>
  <c r="CE69" i="6"/>
  <c r="CD69" i="6"/>
  <c r="CC69" i="6"/>
  <c r="CB69" i="6"/>
  <c r="CA69" i="6"/>
  <c r="CI69" i="6"/>
  <c r="CG69" i="6"/>
  <c r="CF69" i="6"/>
  <c r="EL69" i="6"/>
  <c r="EJ69" i="6"/>
  <c r="EI69" i="6"/>
  <c r="EH69" i="6"/>
  <c r="EG69" i="6"/>
  <c r="EF69" i="6"/>
  <c r="EE69" i="6"/>
  <c r="ED69" i="6"/>
  <c r="CD70" i="6"/>
  <c r="CC70" i="6"/>
  <c r="CB70" i="6"/>
  <c r="CA70" i="6"/>
  <c r="CI70" i="6"/>
  <c r="CG70" i="6"/>
  <c r="CF70" i="6"/>
  <c r="CE70" i="6"/>
  <c r="EJ70" i="6"/>
  <c r="EI70" i="6"/>
  <c r="EH70" i="6"/>
  <c r="EG70" i="6"/>
  <c r="EF70" i="6"/>
  <c r="EE70" i="6"/>
  <c r="ED70" i="6"/>
  <c r="EL70" i="6"/>
  <c r="CC71" i="6"/>
  <c r="CB71" i="6"/>
  <c r="CA71" i="6"/>
  <c r="CI71" i="6"/>
  <c r="CG71" i="6"/>
  <c r="CF71" i="6"/>
  <c r="CE71" i="6"/>
  <c r="CD71" i="6"/>
  <c r="EI71" i="6"/>
  <c r="EH71" i="6"/>
  <c r="EG71" i="6"/>
  <c r="EF71" i="6"/>
  <c r="EE71" i="6"/>
  <c r="ED71" i="6"/>
  <c r="EL71" i="6"/>
  <c r="EJ71" i="6"/>
  <c r="CB72" i="6"/>
  <c r="CA72" i="6"/>
  <c r="CI72" i="6"/>
  <c r="CG72" i="6"/>
  <c r="CF72" i="6"/>
  <c r="CE72" i="6"/>
  <c r="CD72" i="6"/>
  <c r="CC72" i="6"/>
  <c r="EH72" i="6"/>
  <c r="EG72" i="6"/>
  <c r="EF72" i="6"/>
  <c r="EE72" i="6"/>
  <c r="ED72" i="6"/>
  <c r="EL72" i="6"/>
  <c r="EJ72" i="6"/>
  <c r="EI72" i="6"/>
  <c r="CA73" i="6"/>
  <c r="CI73" i="6"/>
  <c r="CG73" i="6"/>
  <c r="CF73" i="6"/>
  <c r="CE73" i="6"/>
  <c r="CD73" i="6"/>
  <c r="CC73" i="6"/>
  <c r="CB73" i="6"/>
  <c r="EG73" i="6"/>
  <c r="EF73" i="6"/>
  <c r="EE73" i="6"/>
  <c r="ED73" i="6"/>
  <c r="EL73" i="6"/>
  <c r="EJ73" i="6"/>
  <c r="EI73" i="6"/>
  <c r="EH73" i="6"/>
  <c r="CI74" i="6"/>
  <c r="CG74" i="6"/>
  <c r="CF74" i="6"/>
  <c r="CE74" i="6"/>
  <c r="CD74" i="6"/>
  <c r="CC74" i="6"/>
  <c r="CB74" i="6"/>
  <c r="CA74" i="6"/>
  <c r="EF74" i="6"/>
  <c r="EE74" i="6"/>
  <c r="ED74" i="6"/>
  <c r="EL74" i="6"/>
  <c r="EJ74" i="6"/>
  <c r="EI74" i="6"/>
  <c r="EH74" i="6"/>
  <c r="EG74" i="6"/>
  <c r="CG75" i="6"/>
  <c r="CF75" i="6"/>
  <c r="CE75" i="6"/>
  <c r="CD75" i="6"/>
  <c r="CC75" i="6"/>
  <c r="CB75" i="6"/>
  <c r="CA75" i="6"/>
  <c r="CI75" i="6"/>
  <c r="EE75" i="6"/>
  <c r="ED75" i="6"/>
  <c r="EL75" i="6"/>
  <c r="EJ75" i="6"/>
  <c r="EI75" i="6"/>
  <c r="EH75" i="6"/>
  <c r="EG75" i="6"/>
  <c r="EF75" i="6"/>
  <c r="CF76" i="6"/>
  <c r="CE76" i="6"/>
  <c r="CD76" i="6"/>
  <c r="CC76" i="6"/>
  <c r="CB76" i="6"/>
  <c r="CA76" i="6"/>
  <c r="CI76" i="6"/>
  <c r="CG76" i="6"/>
  <c r="ED76" i="6"/>
  <c r="EL76" i="6"/>
  <c r="EJ76" i="6"/>
  <c r="EI76" i="6"/>
  <c r="EH76" i="6"/>
  <c r="EG76" i="6"/>
  <c r="EF76" i="6"/>
  <c r="EE76" i="6"/>
  <c r="CE77" i="6"/>
  <c r="CD77" i="6"/>
  <c r="CC77" i="6"/>
  <c r="CB77" i="6"/>
  <c r="CA77" i="6"/>
  <c r="CI77" i="6"/>
  <c r="CG77" i="6"/>
  <c r="CF77" i="6"/>
  <c r="EL77" i="6"/>
  <c r="EJ77" i="6"/>
  <c r="EI77" i="6"/>
  <c r="EH77" i="6"/>
  <c r="EG77" i="6"/>
  <c r="EF77" i="6"/>
  <c r="EE77" i="6"/>
  <c r="ED77" i="6"/>
  <c r="CD78" i="6"/>
  <c r="CC78" i="6"/>
  <c r="CB78" i="6"/>
  <c r="CA78" i="6"/>
  <c r="CI78" i="6"/>
  <c r="CG78" i="6"/>
  <c r="CF78" i="6"/>
  <c r="CE78" i="6"/>
  <c r="EJ78" i="6"/>
  <c r="EI78" i="6"/>
  <c r="EH78" i="6"/>
  <c r="EG78" i="6"/>
  <c r="EF78" i="6"/>
  <c r="EE78" i="6"/>
  <c r="ED78" i="6"/>
  <c r="EL78" i="6"/>
  <c r="CC79" i="6"/>
  <c r="CB79" i="6"/>
  <c r="CA79" i="6"/>
  <c r="CI79" i="6"/>
  <c r="CG79" i="6"/>
  <c r="CF79" i="6"/>
  <c r="CE79" i="6"/>
  <c r="CD79" i="6"/>
  <c r="EI79" i="6"/>
  <c r="EH79" i="6"/>
  <c r="EG79" i="6"/>
  <c r="EF79" i="6"/>
  <c r="EE79" i="6"/>
  <c r="ED79" i="6"/>
  <c r="EL79" i="6"/>
  <c r="EJ79" i="6"/>
  <c r="CB80" i="6"/>
  <c r="CA80" i="6"/>
  <c r="CI80" i="6"/>
  <c r="CG80" i="6"/>
  <c r="CF80" i="6"/>
  <c r="CE80" i="6"/>
  <c r="CD80" i="6"/>
  <c r="CC80" i="6"/>
  <c r="EH80" i="6"/>
  <c r="EG80" i="6"/>
  <c r="EF80" i="6"/>
  <c r="EE80" i="6"/>
  <c r="ED80" i="6"/>
  <c r="EL80" i="6"/>
  <c r="EJ80" i="6"/>
  <c r="EI80" i="6"/>
  <c r="CA81" i="6"/>
  <c r="CI81" i="6"/>
  <c r="CG81" i="6"/>
  <c r="CF81" i="6"/>
  <c r="CE81" i="6"/>
  <c r="CD81" i="6"/>
  <c r="CC81" i="6"/>
  <c r="CB81" i="6"/>
  <c r="EG81" i="6"/>
  <c r="EF81" i="6"/>
  <c r="EE81" i="6"/>
  <c r="ED81" i="6"/>
  <c r="EL81" i="6"/>
  <c r="EJ81" i="6"/>
  <c r="EI81" i="6"/>
  <c r="EH81" i="6"/>
  <c r="CI82" i="6"/>
  <c r="CG82" i="6"/>
  <c r="CF82" i="6"/>
  <c r="CE82" i="6"/>
  <c r="CD82" i="6"/>
  <c r="CC82" i="6"/>
  <c r="CB82" i="6"/>
  <c r="CA82" i="6"/>
  <c r="EF82" i="6"/>
  <c r="EE82" i="6"/>
  <c r="ED82" i="6"/>
  <c r="EL82" i="6"/>
  <c r="EJ82" i="6"/>
  <c r="EI82" i="6"/>
  <c r="EH82" i="6"/>
  <c r="EG82" i="6"/>
  <c r="CG83" i="6"/>
  <c r="CF83" i="6"/>
  <c r="CE83" i="6"/>
  <c r="CD83" i="6"/>
  <c r="CC83" i="6"/>
  <c r="CB83" i="6"/>
  <c r="CA83" i="6"/>
  <c r="CI83" i="6"/>
  <c r="EE83" i="6"/>
  <c r="ED83" i="6"/>
  <c r="EL83" i="6"/>
  <c r="EJ83" i="6"/>
  <c r="EI83" i="6"/>
  <c r="EH83" i="6"/>
  <c r="EG83" i="6"/>
  <c r="EF83" i="6"/>
  <c r="CF84" i="6"/>
  <c r="CE84" i="6"/>
  <c r="CD84" i="6"/>
  <c r="CC84" i="6"/>
  <c r="CB84" i="6"/>
  <c r="CA84" i="6"/>
  <c r="CI84" i="6"/>
  <c r="CG84" i="6"/>
  <c r="ED84" i="6"/>
  <c r="EL84" i="6"/>
  <c r="EJ84" i="6"/>
  <c r="EI84" i="6"/>
  <c r="EH84" i="6"/>
  <c r="EG84" i="6"/>
  <c r="EF84" i="6"/>
  <c r="EE84" i="6"/>
  <c r="CE85" i="6"/>
  <c r="CD85" i="6"/>
  <c r="CC85" i="6"/>
  <c r="CB85" i="6"/>
  <c r="CA85" i="6"/>
  <c r="CI85" i="6"/>
  <c r="CG85" i="6"/>
  <c r="CF85" i="6"/>
  <c r="EL85" i="6"/>
  <c r="EJ85" i="6"/>
  <c r="EI85" i="6"/>
  <c r="EH85" i="6"/>
  <c r="EG85" i="6"/>
  <c r="EF85" i="6"/>
  <c r="EE85" i="6"/>
  <c r="ED85" i="6"/>
  <c r="CD86" i="6"/>
  <c r="CC86" i="6"/>
  <c r="CB86" i="6"/>
  <c r="CA86" i="6"/>
  <c r="CI86" i="6"/>
  <c r="CG86" i="6"/>
  <c r="CF86" i="6"/>
  <c r="CE86" i="6"/>
  <c r="EJ86" i="6"/>
  <c r="EI86" i="6"/>
  <c r="EH86" i="6"/>
  <c r="EG86" i="6"/>
  <c r="EF86" i="6"/>
  <c r="EE86" i="6"/>
  <c r="ED86" i="6"/>
  <c r="EL86" i="6"/>
  <c r="CC87" i="6"/>
  <c r="CB87" i="6"/>
  <c r="CA87" i="6"/>
  <c r="CI87" i="6"/>
  <c r="CG87" i="6"/>
  <c r="CF87" i="6"/>
  <c r="CE87" i="6"/>
  <c r="CD87" i="6"/>
  <c r="EI87" i="6"/>
  <c r="EH87" i="6"/>
  <c r="EG87" i="6"/>
  <c r="EF87" i="6"/>
  <c r="EE87" i="6"/>
  <c r="ED87" i="6"/>
  <c r="EL87" i="6"/>
  <c r="EJ87" i="6"/>
  <c r="CB88" i="6"/>
  <c r="CA88" i="6"/>
  <c r="CI88" i="6"/>
  <c r="CG88" i="6"/>
  <c r="CF88" i="6"/>
  <c r="CE88" i="6"/>
  <c r="CD88" i="6"/>
  <c r="CC88" i="6"/>
  <c r="EH88" i="6"/>
  <c r="EG88" i="6"/>
  <c r="EF88" i="6"/>
  <c r="EE88" i="6"/>
  <c r="ED88" i="6"/>
  <c r="EL88" i="6"/>
  <c r="EJ88" i="6"/>
  <c r="EI88" i="6"/>
  <c r="CA89" i="6"/>
  <c r="CI89" i="6"/>
  <c r="CG89" i="6"/>
  <c r="CF89" i="6"/>
  <c r="CE89" i="6"/>
  <c r="CD89" i="6"/>
  <c r="CC89" i="6"/>
  <c r="CB89" i="6"/>
  <c r="EG89" i="6"/>
  <c r="EF89" i="6"/>
  <c r="EE89" i="6"/>
  <c r="ED89" i="6"/>
  <c r="EL89" i="6"/>
  <c r="EJ89" i="6"/>
  <c r="EI89" i="6"/>
  <c r="EH89" i="6"/>
  <c r="CI90" i="6"/>
  <c r="CG90" i="6"/>
  <c r="CF90" i="6"/>
  <c r="CE90" i="6"/>
  <c r="CD90" i="6"/>
  <c r="CC90" i="6"/>
  <c r="CB90" i="6"/>
  <c r="CA90" i="6"/>
  <c r="EF90" i="6"/>
  <c r="EE90" i="6"/>
  <c r="ED90" i="6"/>
  <c r="EL90" i="6"/>
  <c r="EJ90" i="6"/>
  <c r="EI90" i="6"/>
  <c r="EH90" i="6"/>
  <c r="EG90" i="6"/>
  <c r="CG91" i="6"/>
  <c r="CF91" i="6"/>
  <c r="CE91" i="6"/>
  <c r="CD91" i="6"/>
  <c r="CC91" i="6"/>
  <c r="CB91" i="6"/>
  <c r="CA91" i="6"/>
  <c r="CI91" i="6"/>
  <c r="EE91" i="6"/>
  <c r="ED91" i="6"/>
  <c r="EL91" i="6"/>
  <c r="EJ91" i="6"/>
  <c r="EI91" i="6"/>
  <c r="EH91" i="6"/>
  <c r="EG91" i="6"/>
  <c r="EF91" i="6"/>
  <c r="CF92" i="6"/>
  <c r="CE92" i="6"/>
  <c r="CD92" i="6"/>
  <c r="CC92" i="6"/>
  <c r="CB92" i="6"/>
  <c r="CA92" i="6"/>
  <c r="CI92" i="6"/>
  <c r="CG92" i="6"/>
  <c r="ED92" i="6"/>
  <c r="EL92" i="6"/>
  <c r="EJ92" i="6"/>
  <c r="EI92" i="6"/>
  <c r="EH92" i="6"/>
  <c r="EG92" i="6"/>
  <c r="EF92" i="6"/>
  <c r="EE92" i="6"/>
  <c r="CE93" i="6"/>
  <c r="CD93" i="6"/>
  <c r="CC93" i="6"/>
  <c r="CB93" i="6"/>
  <c r="CA93" i="6"/>
  <c r="CI93" i="6"/>
  <c r="CG93" i="6"/>
  <c r="CF93" i="6"/>
  <c r="EL93" i="6"/>
  <c r="EJ93" i="6"/>
  <c r="EI93" i="6"/>
  <c r="EH93" i="6"/>
  <c r="EG93" i="6"/>
  <c r="EF93" i="6"/>
  <c r="EE93" i="6"/>
  <c r="ED93" i="6"/>
  <c r="CD94" i="6"/>
  <c r="CC94" i="6"/>
  <c r="CB94" i="6"/>
  <c r="CA94" i="6"/>
  <c r="CI94" i="6"/>
  <c r="CG94" i="6"/>
  <c r="CF94" i="6"/>
  <c r="CE94" i="6"/>
  <c r="EJ94" i="6"/>
  <c r="EI94" i="6"/>
  <c r="EH94" i="6"/>
  <c r="EG94" i="6"/>
  <c r="EF94" i="6"/>
  <c r="EE94" i="6"/>
  <c r="ED94" i="6"/>
  <c r="EL94" i="6"/>
  <c r="CC95" i="6"/>
  <c r="CB95" i="6"/>
  <c r="CA95" i="6"/>
  <c r="CI95" i="6"/>
  <c r="CG95" i="6"/>
  <c r="CF95" i="6"/>
  <c r="CE95" i="6"/>
  <c r="CD95" i="6"/>
  <c r="EI95" i="6"/>
  <c r="EH95" i="6"/>
  <c r="EG95" i="6"/>
  <c r="EF95" i="6"/>
  <c r="EE95" i="6"/>
  <c r="ED95" i="6"/>
  <c r="EL95" i="6"/>
  <c r="EJ95" i="6"/>
  <c r="CB96" i="6"/>
  <c r="CA96" i="6"/>
  <c r="CI96" i="6"/>
  <c r="CG96" i="6"/>
  <c r="CF96" i="6"/>
  <c r="CE96" i="6"/>
  <c r="CD96" i="6"/>
  <c r="CC96" i="6"/>
  <c r="EH96" i="6"/>
  <c r="EG96" i="6"/>
  <c r="EF96" i="6"/>
  <c r="EE96" i="6"/>
  <c r="ED96" i="6"/>
  <c r="EL96" i="6"/>
  <c r="EJ96" i="6"/>
  <c r="EI96" i="6"/>
  <c r="CA97" i="6"/>
  <c r="CI97" i="6"/>
  <c r="CG97" i="6"/>
  <c r="CF97" i="6"/>
  <c r="CE97" i="6"/>
  <c r="CD97" i="6"/>
  <c r="CC97" i="6"/>
  <c r="CB97" i="6"/>
  <c r="EG97" i="6"/>
  <c r="EF97" i="6"/>
  <c r="EE97" i="6"/>
  <c r="ED97" i="6"/>
  <c r="EL97" i="6"/>
  <c r="EJ97" i="6"/>
  <c r="EI97" i="6"/>
  <c r="EH97" i="6"/>
  <c r="CI98" i="6"/>
  <c r="CG98" i="6"/>
  <c r="CF98" i="6"/>
  <c r="CE98" i="6"/>
  <c r="CD98" i="6"/>
  <c r="CC98" i="6"/>
  <c r="CB98" i="6"/>
  <c r="CA98" i="6"/>
  <c r="EF98" i="6"/>
  <c r="EE98" i="6"/>
  <c r="ED98" i="6"/>
  <c r="EL98" i="6"/>
  <c r="EJ98" i="6"/>
  <c r="EI98" i="6"/>
  <c r="EH98" i="6"/>
  <c r="EG98" i="6"/>
  <c r="CG99" i="6"/>
  <c r="CF99" i="6"/>
  <c r="CE99" i="6"/>
  <c r="CD99" i="6"/>
  <c r="CC99" i="6"/>
  <c r="CB99" i="6"/>
  <c r="CA99" i="6"/>
  <c r="CI99" i="6"/>
  <c r="EE99" i="6"/>
  <c r="ED99" i="6"/>
  <c r="EL99" i="6"/>
  <c r="EJ99" i="6"/>
  <c r="EI99" i="6"/>
  <c r="EH99" i="6"/>
  <c r="EG99" i="6"/>
  <c r="EF99" i="6"/>
  <c r="CF100" i="6"/>
  <c r="CE100" i="6"/>
  <c r="CD100" i="6"/>
  <c r="CC100" i="6"/>
  <c r="CB100" i="6"/>
  <c r="CA100" i="6"/>
  <c r="CI100" i="6"/>
  <c r="CG100" i="6"/>
  <c r="ED100" i="6"/>
  <c r="EL100" i="6"/>
  <c r="EJ100" i="6"/>
  <c r="EI100" i="6"/>
  <c r="EH100" i="6"/>
  <c r="EG100" i="6"/>
  <c r="EF100" i="6"/>
  <c r="EE100" i="6"/>
  <c r="CE101" i="6"/>
  <c r="CD101" i="6"/>
  <c r="CC101" i="6"/>
  <c r="CB101" i="6"/>
  <c r="CA101" i="6"/>
  <c r="CI101" i="6"/>
  <c r="CG101" i="6"/>
  <c r="CF101" i="6"/>
  <c r="EL101" i="6"/>
  <c r="EJ101" i="6"/>
  <c r="EI101" i="6"/>
  <c r="EH101" i="6"/>
  <c r="EG101" i="6"/>
  <c r="EF101" i="6"/>
  <c r="EE101" i="6"/>
  <c r="ED101" i="6"/>
  <c r="CD102" i="6"/>
  <c r="CC102" i="6"/>
  <c r="CB102" i="6"/>
  <c r="CA102" i="6"/>
  <c r="CI102" i="6"/>
  <c r="CG102" i="6"/>
  <c r="CF102" i="6"/>
  <c r="CE102" i="6"/>
  <c r="EJ102" i="6"/>
  <c r="EI102" i="6"/>
  <c r="EH102" i="6"/>
  <c r="EG102" i="6"/>
  <c r="EF102" i="6"/>
  <c r="EE102" i="6"/>
  <c r="ED102" i="6"/>
  <c r="EL102" i="6"/>
  <c r="CC103" i="6"/>
  <c r="CB103" i="6"/>
  <c r="CA103" i="6"/>
  <c r="CI103" i="6"/>
  <c r="CG103" i="6"/>
  <c r="CF103" i="6"/>
  <c r="CE103" i="6"/>
  <c r="CD103" i="6"/>
  <c r="EI103" i="6"/>
  <c r="EH103" i="6"/>
  <c r="EG103" i="6"/>
  <c r="EF103" i="6"/>
  <c r="EE103" i="6"/>
  <c r="ED103" i="6"/>
  <c r="EL103" i="6"/>
  <c r="EJ103" i="6"/>
  <c r="CB104" i="6"/>
  <c r="CA104" i="6"/>
  <c r="CI104" i="6"/>
  <c r="CG104" i="6"/>
  <c r="CF104" i="6"/>
  <c r="CE104" i="6"/>
  <c r="CD104" i="6"/>
  <c r="CC104" i="6"/>
  <c r="EH104" i="6"/>
  <c r="EG104" i="6"/>
  <c r="EF104" i="6"/>
  <c r="EE104" i="6"/>
  <c r="ED104" i="6"/>
  <c r="EL104" i="6"/>
  <c r="EJ104" i="6"/>
  <c r="EI104" i="6"/>
  <c r="CA105" i="6"/>
  <c r="CI105" i="6"/>
  <c r="CG105" i="6"/>
  <c r="CF105" i="6"/>
  <c r="CE105" i="6"/>
  <c r="CD105" i="6"/>
  <c r="CC105" i="6"/>
  <c r="CB105" i="6"/>
  <c r="EG105" i="6"/>
  <c r="EF105" i="6"/>
  <c r="EE105" i="6"/>
  <c r="ED105" i="6"/>
  <c r="EL105" i="6"/>
  <c r="EJ105" i="6"/>
  <c r="EI105" i="6"/>
  <c r="EH105" i="6"/>
  <c r="CI106" i="6"/>
  <c r="CG106" i="6"/>
  <c r="CF106" i="6"/>
  <c r="CE106" i="6"/>
  <c r="CD106" i="6"/>
  <c r="CC106" i="6"/>
  <c r="CB106" i="6"/>
  <c r="CA106" i="6"/>
  <c r="EF106" i="6"/>
  <c r="EE106" i="6"/>
  <c r="ED106" i="6"/>
  <c r="EL106" i="6"/>
  <c r="EJ106" i="6"/>
  <c r="EI106" i="6"/>
  <c r="EH106" i="6"/>
  <c r="EG106" i="6"/>
  <c r="CG107" i="6"/>
  <c r="CF107" i="6"/>
  <c r="CE107" i="6"/>
  <c r="CD107" i="6"/>
  <c r="CC107" i="6"/>
  <c r="CB107" i="6"/>
  <c r="CA107" i="6"/>
  <c r="CI107" i="6"/>
  <c r="EE107" i="6"/>
  <c r="ED107" i="6"/>
  <c r="EL107" i="6"/>
  <c r="EJ107" i="6"/>
  <c r="EI107" i="6"/>
  <c r="EH107" i="6"/>
  <c r="EG107" i="6"/>
  <c r="EF107" i="6"/>
  <c r="CF108" i="6"/>
  <c r="CE108" i="6"/>
  <c r="CD108" i="6"/>
  <c r="CC108" i="6"/>
  <c r="CB108" i="6"/>
  <c r="CA108" i="6"/>
  <c r="CI108" i="6"/>
  <c r="CG108" i="6"/>
  <c r="ED108" i="6"/>
  <c r="EL108" i="6"/>
  <c r="EJ108" i="6"/>
  <c r="EI108" i="6"/>
  <c r="EH108" i="6"/>
  <c r="EG108" i="6"/>
  <c r="EF108" i="6"/>
  <c r="EE108" i="6"/>
  <c r="CE109" i="6"/>
  <c r="CD109" i="6"/>
  <c r="CC109" i="6"/>
  <c r="CB109" i="6"/>
  <c r="CA109" i="6"/>
  <c r="CI109" i="6"/>
  <c r="CG109" i="6"/>
  <c r="CF109" i="6"/>
  <c r="EL109" i="6"/>
  <c r="EJ109" i="6"/>
  <c r="EI109" i="6"/>
  <c r="EH109" i="6"/>
  <c r="EG109" i="6"/>
  <c r="EF109" i="6"/>
  <c r="EE109" i="6"/>
  <c r="ED109" i="6"/>
  <c r="CD110" i="6"/>
  <c r="CC110" i="6"/>
  <c r="CB110" i="6"/>
  <c r="CA110" i="6"/>
  <c r="CI110" i="6"/>
  <c r="CG110" i="6"/>
  <c r="CF110" i="6"/>
  <c r="CE110" i="6"/>
  <c r="EJ110" i="6"/>
  <c r="EI110" i="6"/>
  <c r="EH110" i="6"/>
  <c r="EG110" i="6"/>
  <c r="EF110" i="6"/>
  <c r="EE110" i="6"/>
  <c r="ED110" i="6"/>
  <c r="EL110" i="6"/>
  <c r="CC111" i="6"/>
  <c r="CB111" i="6"/>
  <c r="CA111" i="6"/>
  <c r="CI111" i="6"/>
  <c r="CG111" i="6"/>
  <c r="CF111" i="6"/>
  <c r="CE111" i="6"/>
  <c r="CD111" i="6"/>
  <c r="EI111" i="6"/>
  <c r="EH111" i="6"/>
  <c r="EG111" i="6"/>
  <c r="EF111" i="6"/>
  <c r="EE111" i="6"/>
  <c r="ED111" i="6"/>
  <c r="EL111" i="6"/>
  <c r="EJ111" i="6"/>
  <c r="CB112" i="6"/>
  <c r="CA112" i="6"/>
  <c r="CI112" i="6"/>
  <c r="CG112" i="6"/>
  <c r="CF112" i="6"/>
  <c r="CE112" i="6"/>
  <c r="CD112" i="6"/>
  <c r="CC112" i="6"/>
  <c r="EH112" i="6"/>
  <c r="EG112" i="6"/>
  <c r="EF112" i="6"/>
  <c r="EE112" i="6"/>
  <c r="ED112" i="6"/>
  <c r="EL112" i="6"/>
  <c r="EJ112" i="6"/>
  <c r="EI112" i="6"/>
  <c r="CA113" i="6"/>
  <c r="CI113" i="6"/>
  <c r="CG113" i="6"/>
  <c r="CF113" i="6"/>
  <c r="CE113" i="6"/>
  <c r="CD113" i="6"/>
  <c r="CC113" i="6"/>
  <c r="CB113" i="6"/>
  <c r="EG113" i="6"/>
  <c r="EF113" i="6"/>
  <c r="EE113" i="6"/>
  <c r="ED113" i="6"/>
  <c r="EL113" i="6"/>
  <c r="EJ113" i="6"/>
  <c r="EI113" i="6"/>
  <c r="EH113" i="6"/>
  <c r="CI114" i="6"/>
  <c r="CG114" i="6"/>
  <c r="CF114" i="6"/>
  <c r="CE114" i="6"/>
  <c r="CD114" i="6"/>
  <c r="CC114" i="6"/>
  <c r="CB114" i="6"/>
  <c r="CA114" i="6"/>
  <c r="EF114" i="6"/>
  <c r="EE114" i="6"/>
  <c r="ED114" i="6"/>
  <c r="EL114" i="6"/>
  <c r="EJ114" i="6"/>
  <c r="EI114" i="6"/>
  <c r="EH114" i="6"/>
  <c r="EG114" i="6"/>
  <c r="CG115" i="6"/>
  <c r="CF115" i="6"/>
  <c r="CE115" i="6"/>
  <c r="CD115" i="6"/>
  <c r="CC115" i="6"/>
  <c r="CB115" i="6"/>
  <c r="CA115" i="6"/>
  <c r="CI115" i="6"/>
  <c r="EE115" i="6"/>
  <c r="ED115" i="6"/>
  <c r="EL115" i="6"/>
  <c r="EJ115" i="6"/>
  <c r="EI115" i="6"/>
  <c r="EH115" i="6"/>
  <c r="EG115" i="6"/>
  <c r="EF115" i="6"/>
  <c r="CF116" i="6"/>
  <c r="CE116" i="6"/>
  <c r="CD116" i="6"/>
  <c r="CC116" i="6"/>
  <c r="CB116" i="6"/>
  <c r="CA116" i="6"/>
  <c r="CI116" i="6"/>
  <c r="CG116" i="6"/>
  <c r="ED116" i="6"/>
  <c r="EL116" i="6"/>
  <c r="EJ116" i="6"/>
  <c r="EI116" i="6"/>
  <c r="EH116" i="6"/>
  <c r="EG116" i="6"/>
  <c r="EF116" i="6"/>
  <c r="EE116" i="6"/>
  <c r="CE117" i="6"/>
  <c r="CD117" i="6"/>
  <c r="CC117" i="6"/>
  <c r="CB117" i="6"/>
  <c r="CA117" i="6"/>
  <c r="CI117" i="6"/>
  <c r="CG117" i="6"/>
  <c r="CF117" i="6"/>
  <c r="EL117" i="6"/>
  <c r="EJ117" i="6"/>
  <c r="EI117" i="6"/>
  <c r="EH117" i="6"/>
  <c r="EG117" i="6"/>
  <c r="EF117" i="6"/>
  <c r="EE117" i="6"/>
  <c r="ED117" i="6"/>
  <c r="CD118" i="6"/>
  <c r="CC118" i="6"/>
  <c r="CB118" i="6"/>
  <c r="CA118" i="6"/>
  <c r="CI118" i="6"/>
  <c r="CG118" i="6"/>
  <c r="CF118" i="6"/>
  <c r="CE118" i="6"/>
  <c r="EJ118" i="6"/>
  <c r="EI118" i="6"/>
  <c r="EH118" i="6"/>
  <c r="EG118" i="6"/>
  <c r="EF118" i="6"/>
  <c r="EE118" i="6"/>
  <c r="ED118" i="6"/>
  <c r="EL118" i="6"/>
  <c r="CC119" i="6"/>
  <c r="CB119" i="6"/>
  <c r="CA119" i="6"/>
  <c r="CI119" i="6"/>
  <c r="CG119" i="6"/>
  <c r="CF119" i="6"/>
  <c r="CE119" i="6"/>
  <c r="CD119" i="6"/>
  <c r="EI119" i="6"/>
  <c r="EH119" i="6"/>
  <c r="EG119" i="6"/>
  <c r="EF119" i="6"/>
  <c r="EE119" i="6"/>
  <c r="ED119" i="6"/>
  <c r="EL119" i="6"/>
  <c r="EJ119" i="6"/>
  <c r="CB120" i="6"/>
  <c r="CA120" i="6"/>
  <c r="CI120" i="6"/>
  <c r="CG120" i="6"/>
  <c r="CF120" i="6"/>
  <c r="CE120" i="6"/>
  <c r="CD120" i="6"/>
  <c r="CC120" i="6"/>
  <c r="EH120" i="6"/>
  <c r="EG120" i="6"/>
  <c r="EF120" i="6"/>
  <c r="EE120" i="6"/>
  <c r="ED120" i="6"/>
  <c r="EL120" i="6"/>
  <c r="EJ120" i="6"/>
  <c r="EI120" i="6"/>
  <c r="Q3" i="6"/>
  <c r="P3" i="6"/>
  <c r="O3" i="6"/>
  <c r="N3" i="6"/>
  <c r="M3" i="6"/>
  <c r="U3" i="6"/>
  <c r="S3" i="6"/>
  <c r="R3" i="6"/>
  <c r="AU3" i="6"/>
  <c r="AT3" i="6"/>
  <c r="BB3" i="6"/>
  <c r="AZ3" i="6"/>
  <c r="AY3" i="6"/>
  <c r="AX3" i="6"/>
  <c r="AW3" i="6"/>
  <c r="AV3" i="6"/>
  <c r="F4" i="6"/>
  <c r="E4" i="6"/>
  <c r="D4" i="6"/>
  <c r="C4" i="6"/>
  <c r="B4" i="6"/>
  <c r="J4" i="6"/>
  <c r="H4" i="6"/>
  <c r="G4" i="6"/>
  <c r="BV4" i="6"/>
  <c r="BU4" i="6"/>
  <c r="BT4" i="6"/>
  <c r="BS4" i="6"/>
  <c r="BR4" i="6"/>
  <c r="BQ4" i="6"/>
  <c r="BP4" i="6"/>
  <c r="BX4" i="6"/>
  <c r="FZ4" i="6"/>
  <c r="FY4" i="6"/>
  <c r="FX4" i="6"/>
  <c r="FW4" i="6"/>
  <c r="FV4" i="6"/>
  <c r="GD4" i="6"/>
  <c r="GB4" i="6"/>
  <c r="GA4" i="6"/>
  <c r="BK5" i="6"/>
  <c r="BJ5" i="6"/>
  <c r="BI5" i="6"/>
  <c r="BH5" i="6"/>
  <c r="BG5" i="6"/>
  <c r="BF5" i="6"/>
  <c r="BE5" i="6"/>
  <c r="BM5" i="6"/>
  <c r="FO5" i="6"/>
  <c r="FN5" i="6"/>
  <c r="FM5" i="6"/>
  <c r="FL5" i="6"/>
  <c r="FK5" i="6"/>
  <c r="FS5" i="6"/>
  <c r="FQ5" i="6"/>
  <c r="FP5" i="6"/>
  <c r="AQ6" i="6"/>
  <c r="AO6" i="6"/>
  <c r="AN6" i="6"/>
  <c r="AM6" i="6"/>
  <c r="AL6" i="6"/>
  <c r="AK6" i="6"/>
  <c r="AJ6" i="6"/>
  <c r="AI6" i="6"/>
  <c r="X6" i="6"/>
  <c r="AF6" i="6"/>
  <c r="AD6" i="6"/>
  <c r="AC6" i="6"/>
  <c r="AB6" i="6"/>
  <c r="AA6" i="6"/>
  <c r="Z6" i="6"/>
  <c r="Y6" i="6"/>
  <c r="M7" i="6"/>
  <c r="U7" i="6"/>
  <c r="S7" i="6"/>
  <c r="R7" i="6"/>
  <c r="Q7" i="6"/>
  <c r="P7" i="6"/>
  <c r="O7" i="6"/>
  <c r="N7" i="6"/>
  <c r="AY7" i="6"/>
  <c r="AX7" i="6"/>
  <c r="AW7" i="6"/>
  <c r="AV7" i="6"/>
  <c r="AU7" i="6"/>
  <c r="AT7" i="6"/>
  <c r="BB7" i="6"/>
  <c r="AZ7" i="6"/>
  <c r="B8" i="6"/>
  <c r="J8" i="6"/>
  <c r="H8" i="6"/>
  <c r="G8" i="6"/>
  <c r="F8" i="6"/>
  <c r="E8" i="6"/>
  <c r="D8" i="6"/>
  <c r="C8" i="6"/>
  <c r="BR8" i="6"/>
  <c r="BQ8" i="6"/>
  <c r="BP8" i="6"/>
  <c r="BX8" i="6"/>
  <c r="BV8" i="6"/>
  <c r="BU8" i="6"/>
  <c r="BT8" i="6"/>
  <c r="BS8" i="6"/>
  <c r="FV8" i="6"/>
  <c r="GD8" i="6"/>
  <c r="GB8" i="6"/>
  <c r="GA8" i="6"/>
  <c r="FZ8" i="6"/>
  <c r="FY8" i="6"/>
  <c r="FX8" i="6"/>
  <c r="FW8" i="6"/>
  <c r="BG9" i="6"/>
  <c r="BF9" i="6"/>
  <c r="BE9" i="6"/>
  <c r="BM9" i="6"/>
  <c r="BK9" i="6"/>
  <c r="BJ9" i="6"/>
  <c r="BI9" i="6"/>
  <c r="BH9" i="6"/>
  <c r="FK9" i="6"/>
  <c r="FS9" i="6"/>
  <c r="FQ9" i="6"/>
  <c r="FP9" i="6"/>
  <c r="FO9" i="6"/>
  <c r="FN9" i="6"/>
  <c r="FM9" i="6"/>
  <c r="FL9" i="6"/>
  <c r="AL10" i="6"/>
  <c r="AK10" i="6"/>
  <c r="AJ10" i="6"/>
  <c r="AI10" i="6"/>
  <c r="AQ10" i="6"/>
  <c r="AO10" i="6"/>
  <c r="AN10" i="6"/>
  <c r="AM10" i="6"/>
  <c r="AB10" i="6"/>
  <c r="AA10" i="6"/>
  <c r="Z10" i="6"/>
  <c r="Y10" i="6"/>
  <c r="X10" i="6"/>
  <c r="AF10" i="6"/>
  <c r="AD10" i="6"/>
  <c r="AC10" i="6"/>
  <c r="Q11" i="6"/>
  <c r="P11" i="6"/>
  <c r="O11" i="6"/>
  <c r="N11" i="6"/>
  <c r="M11" i="6"/>
  <c r="U11" i="6"/>
  <c r="S11" i="6"/>
  <c r="R11" i="6"/>
  <c r="AU11" i="6"/>
  <c r="AT11" i="6"/>
  <c r="BB11" i="6"/>
  <c r="AZ11" i="6"/>
  <c r="AY11" i="6"/>
  <c r="AX11" i="6"/>
  <c r="AW11" i="6"/>
  <c r="AV11" i="6"/>
  <c r="F12" i="6"/>
  <c r="E12" i="6"/>
  <c r="D12" i="6"/>
  <c r="C12" i="6"/>
  <c r="B12" i="6"/>
  <c r="J12" i="6"/>
  <c r="H12" i="6"/>
  <c r="G12" i="6"/>
  <c r="BV12" i="6"/>
  <c r="BU12" i="6"/>
  <c r="BT12" i="6"/>
  <c r="BS12" i="6"/>
  <c r="BR12" i="6"/>
  <c r="BQ12" i="6"/>
  <c r="BP12" i="6"/>
  <c r="BX12" i="6"/>
  <c r="FZ12" i="6"/>
  <c r="FY12" i="6"/>
  <c r="FX12" i="6"/>
  <c r="FW12" i="6"/>
  <c r="FV12" i="6"/>
  <c r="GD12" i="6"/>
  <c r="GB12" i="6"/>
  <c r="GA12" i="6"/>
  <c r="BK13" i="6"/>
  <c r="BJ13" i="6"/>
  <c r="BI13" i="6"/>
  <c r="BH13" i="6"/>
  <c r="BG13" i="6"/>
  <c r="BF13" i="6"/>
  <c r="BE13" i="6"/>
  <c r="BM13" i="6"/>
  <c r="FO13" i="6"/>
  <c r="FN13" i="6"/>
  <c r="FM13" i="6"/>
  <c r="FL13" i="6"/>
  <c r="FK13" i="6"/>
  <c r="FS13" i="6"/>
  <c r="FQ13" i="6"/>
  <c r="FP13" i="6"/>
  <c r="AQ14" i="6"/>
  <c r="AO14" i="6"/>
  <c r="AN14" i="6"/>
  <c r="AM14" i="6"/>
  <c r="AL14" i="6"/>
  <c r="AK14" i="6"/>
  <c r="AJ14" i="6"/>
  <c r="AI14" i="6"/>
  <c r="X14" i="6"/>
  <c r="AF14" i="6"/>
  <c r="AD14" i="6"/>
  <c r="AC14" i="6"/>
  <c r="AB14" i="6"/>
  <c r="AA14" i="6"/>
  <c r="Z14" i="6"/>
  <c r="Y14" i="6"/>
  <c r="M15" i="6"/>
  <c r="U15" i="6"/>
  <c r="S15" i="6"/>
  <c r="R15" i="6"/>
  <c r="Q15" i="6"/>
  <c r="P15" i="6"/>
  <c r="O15" i="6"/>
  <c r="N15" i="6"/>
  <c r="AY15" i="6"/>
  <c r="AX15" i="6"/>
  <c r="AW15" i="6"/>
  <c r="AV15" i="6"/>
  <c r="AU15" i="6"/>
  <c r="AT15" i="6"/>
  <c r="BB15" i="6"/>
  <c r="AZ15" i="6"/>
  <c r="B16" i="6"/>
  <c r="J16" i="6"/>
  <c r="H16" i="6"/>
  <c r="G16" i="6"/>
  <c r="F16" i="6"/>
  <c r="E16" i="6"/>
  <c r="D16" i="6"/>
  <c r="C16" i="6"/>
  <c r="BR16" i="6"/>
  <c r="BQ16" i="6"/>
  <c r="BP16" i="6"/>
  <c r="BX16" i="6"/>
  <c r="BV16" i="6"/>
  <c r="BU16" i="6"/>
  <c r="BT16" i="6"/>
  <c r="BS16" i="6"/>
  <c r="FV16" i="6"/>
  <c r="GD16" i="6"/>
  <c r="GB16" i="6"/>
  <c r="GA16" i="6"/>
  <c r="FZ16" i="6"/>
  <c r="FY16" i="6"/>
  <c r="FX16" i="6"/>
  <c r="FW16" i="6"/>
  <c r="BG17" i="6"/>
  <c r="BF17" i="6"/>
  <c r="BE17" i="6"/>
  <c r="BM17" i="6"/>
  <c r="BK17" i="6"/>
  <c r="BJ17" i="6"/>
  <c r="BI17" i="6"/>
  <c r="BH17" i="6"/>
  <c r="FK17" i="6"/>
  <c r="FS17" i="6"/>
  <c r="FQ17" i="6"/>
  <c r="FP17" i="6"/>
  <c r="FO17" i="6"/>
  <c r="FN17" i="6"/>
  <c r="FM17" i="6"/>
  <c r="FL17" i="6"/>
  <c r="AL18" i="6"/>
  <c r="AK18" i="6"/>
  <c r="AJ18" i="6"/>
  <c r="AI18" i="6"/>
  <c r="AQ18" i="6"/>
  <c r="AO18" i="6"/>
  <c r="AN18" i="6"/>
  <c r="AM18" i="6"/>
  <c r="AB18" i="6"/>
  <c r="AA18" i="6"/>
  <c r="Z18" i="6"/>
  <c r="Y18" i="6"/>
  <c r="X18" i="6"/>
  <c r="AF18" i="6"/>
  <c r="AD18" i="6"/>
  <c r="AC18" i="6"/>
  <c r="Q19" i="6"/>
  <c r="P19" i="6"/>
  <c r="O19" i="6"/>
  <c r="N19" i="6"/>
  <c r="M19" i="6"/>
  <c r="U19" i="6"/>
  <c r="S19" i="6"/>
  <c r="R19" i="6"/>
  <c r="AU19" i="6"/>
  <c r="AT19" i="6"/>
  <c r="BB19" i="6"/>
  <c r="AZ19" i="6"/>
  <c r="AY19" i="6"/>
  <c r="AX19" i="6"/>
  <c r="AW19" i="6"/>
  <c r="AV19" i="6"/>
  <c r="F20" i="6"/>
  <c r="E20" i="6"/>
  <c r="D20" i="6"/>
  <c r="C20" i="6"/>
  <c r="B20" i="6"/>
  <c r="J20" i="6"/>
  <c r="H20" i="6"/>
  <c r="G20" i="6"/>
  <c r="BV20" i="6"/>
  <c r="BU20" i="6"/>
  <c r="BT20" i="6"/>
  <c r="BS20" i="6"/>
  <c r="BR20" i="6"/>
  <c r="BQ20" i="6"/>
  <c r="BP20" i="6"/>
  <c r="BX20" i="6"/>
  <c r="FZ20" i="6"/>
  <c r="FY20" i="6"/>
  <c r="FX20" i="6"/>
  <c r="FW20" i="6"/>
  <c r="FV20" i="6"/>
  <c r="GD20" i="6"/>
  <c r="GB20" i="6"/>
  <c r="GA20" i="6"/>
  <c r="BK21" i="6"/>
  <c r="BJ21" i="6"/>
  <c r="BI21" i="6"/>
  <c r="BH21" i="6"/>
  <c r="BG21" i="6"/>
  <c r="BF21" i="6"/>
  <c r="BE21" i="6"/>
  <c r="BM21" i="6"/>
  <c r="FO21" i="6"/>
  <c r="FN21" i="6"/>
  <c r="FM21" i="6"/>
  <c r="FL21" i="6"/>
  <c r="FK21" i="6"/>
  <c r="FS21" i="6"/>
  <c r="FQ21" i="6"/>
  <c r="FP21" i="6"/>
  <c r="AQ22" i="6"/>
  <c r="AO22" i="6"/>
  <c r="AN22" i="6"/>
  <c r="AM22" i="6"/>
  <c r="AL22" i="6"/>
  <c r="AK22" i="6"/>
  <c r="AJ22" i="6"/>
  <c r="AI22" i="6"/>
  <c r="X22" i="6"/>
  <c r="AF22" i="6"/>
  <c r="AD22" i="6"/>
  <c r="AC22" i="6"/>
  <c r="AB22" i="6"/>
  <c r="AA22" i="6"/>
  <c r="Z22" i="6"/>
  <c r="Y22" i="6"/>
  <c r="M23" i="6"/>
  <c r="U23" i="6"/>
  <c r="S23" i="6"/>
  <c r="R23" i="6"/>
  <c r="Q23" i="6"/>
  <c r="P23" i="6"/>
  <c r="O23" i="6"/>
  <c r="N23" i="6"/>
  <c r="AY23" i="6"/>
  <c r="AX23" i="6"/>
  <c r="AW23" i="6"/>
  <c r="AV23" i="6"/>
  <c r="AU23" i="6"/>
  <c r="AT23" i="6"/>
  <c r="BB23" i="6"/>
  <c r="AZ23" i="6"/>
  <c r="B24" i="6"/>
  <c r="J24" i="6"/>
  <c r="H24" i="6"/>
  <c r="G24" i="6"/>
  <c r="F24" i="6"/>
  <c r="E24" i="6"/>
  <c r="D24" i="6"/>
  <c r="C24" i="6"/>
  <c r="BR24" i="6"/>
  <c r="BQ24" i="6"/>
  <c r="BP24" i="6"/>
  <c r="BX24" i="6"/>
  <c r="BV24" i="6"/>
  <c r="BU24" i="6"/>
  <c r="BT24" i="6"/>
  <c r="BS24" i="6"/>
  <c r="FV24" i="6"/>
  <c r="GD24" i="6"/>
  <c r="GB24" i="6"/>
  <c r="GA24" i="6"/>
  <c r="FZ24" i="6"/>
  <c r="FY24" i="6"/>
  <c r="FX24" i="6"/>
  <c r="FW24" i="6"/>
  <c r="BG25" i="6"/>
  <c r="BF25" i="6"/>
  <c r="BE25" i="6"/>
  <c r="BM25" i="6"/>
  <c r="BK25" i="6"/>
  <c r="BJ25" i="6"/>
  <c r="BI25" i="6"/>
  <c r="BH25" i="6"/>
  <c r="FK25" i="6"/>
  <c r="FS25" i="6"/>
  <c r="FQ25" i="6"/>
  <c r="FP25" i="6"/>
  <c r="FO25" i="6"/>
  <c r="FN25" i="6"/>
  <c r="FM25" i="6"/>
  <c r="FL25" i="6"/>
  <c r="AL26" i="6"/>
  <c r="AK26" i="6"/>
  <c r="AJ26" i="6"/>
  <c r="AI26" i="6"/>
  <c r="AQ26" i="6"/>
  <c r="AO26" i="6"/>
  <c r="AN26" i="6"/>
  <c r="AM26" i="6"/>
  <c r="AB26" i="6"/>
  <c r="AA26" i="6"/>
  <c r="Z26" i="6"/>
  <c r="Y26" i="6"/>
  <c r="X26" i="6"/>
  <c r="AF26" i="6"/>
  <c r="AD26" i="6"/>
  <c r="AC26" i="6"/>
  <c r="Q27" i="6"/>
  <c r="P27" i="6"/>
  <c r="O27" i="6"/>
  <c r="N27" i="6"/>
  <c r="M27" i="6"/>
  <c r="U27" i="6"/>
  <c r="S27" i="6"/>
  <c r="R27" i="6"/>
  <c r="AU27" i="6"/>
  <c r="AT27" i="6"/>
  <c r="BB27" i="6"/>
  <c r="AZ27" i="6"/>
  <c r="AY27" i="6"/>
  <c r="AX27" i="6"/>
  <c r="AW27" i="6"/>
  <c r="AV27" i="6"/>
  <c r="F28" i="6"/>
  <c r="E28" i="6"/>
  <c r="D28" i="6"/>
  <c r="C28" i="6"/>
  <c r="B28" i="6"/>
  <c r="J28" i="6"/>
  <c r="H28" i="6"/>
  <c r="G28" i="6"/>
  <c r="BV28" i="6"/>
  <c r="BU28" i="6"/>
  <c r="BT28" i="6"/>
  <c r="BS28" i="6"/>
  <c r="BR28" i="6"/>
  <c r="BQ28" i="6"/>
  <c r="BP28" i="6"/>
  <c r="BX28" i="6"/>
  <c r="FZ28" i="6"/>
  <c r="FY28" i="6"/>
  <c r="FX28" i="6"/>
  <c r="FW28" i="6"/>
  <c r="FV28" i="6"/>
  <c r="GD28" i="6"/>
  <c r="GB28" i="6"/>
  <c r="GA28" i="6"/>
  <c r="BK29" i="6"/>
  <c r="BJ29" i="6"/>
  <c r="BI29" i="6"/>
  <c r="BH29" i="6"/>
  <c r="BG29" i="6"/>
  <c r="BF29" i="6"/>
  <c r="BE29" i="6"/>
  <c r="BM29" i="6"/>
  <c r="FO29" i="6"/>
  <c r="FN29" i="6"/>
  <c r="FM29" i="6"/>
  <c r="FL29" i="6"/>
  <c r="FK29" i="6"/>
  <c r="FS29" i="6"/>
  <c r="FQ29" i="6"/>
  <c r="FP29" i="6"/>
  <c r="AQ30" i="6"/>
  <c r="AO30" i="6"/>
  <c r="AN30" i="6"/>
  <c r="AM30" i="6"/>
  <c r="AL30" i="6"/>
  <c r="AK30" i="6"/>
  <c r="AJ30" i="6"/>
  <c r="AI30" i="6"/>
  <c r="X30" i="6"/>
  <c r="AF30" i="6"/>
  <c r="AD30" i="6"/>
  <c r="AC30" i="6"/>
  <c r="AB30" i="6"/>
  <c r="AA30" i="6"/>
  <c r="Z30" i="6"/>
  <c r="Y30" i="6"/>
  <c r="M31" i="6"/>
  <c r="U31" i="6"/>
  <c r="S31" i="6"/>
  <c r="R31" i="6"/>
  <c r="Q31" i="6"/>
  <c r="P31" i="6"/>
  <c r="O31" i="6"/>
  <c r="N31" i="6"/>
  <c r="AY31" i="6"/>
  <c r="AX31" i="6"/>
  <c r="AW31" i="6"/>
  <c r="AV31" i="6"/>
  <c r="AU31" i="6"/>
  <c r="AT31" i="6"/>
  <c r="BB31" i="6"/>
  <c r="AZ31" i="6"/>
  <c r="B32" i="6"/>
  <c r="J32" i="6"/>
  <c r="H32" i="6"/>
  <c r="G32" i="6"/>
  <c r="F32" i="6"/>
  <c r="E32" i="6"/>
  <c r="D32" i="6"/>
  <c r="C32" i="6"/>
  <c r="BR32" i="6"/>
  <c r="BQ32" i="6"/>
  <c r="BP32" i="6"/>
  <c r="BX32" i="6"/>
  <c r="BV32" i="6"/>
  <c r="BU32" i="6"/>
  <c r="BT32" i="6"/>
  <c r="BS32" i="6"/>
  <c r="FV32" i="6"/>
  <c r="GD32" i="6"/>
  <c r="GB32" i="6"/>
  <c r="GA32" i="6"/>
  <c r="FZ32" i="6"/>
  <c r="FY32" i="6"/>
  <c r="FX32" i="6"/>
  <c r="FW32" i="6"/>
  <c r="BG33" i="6"/>
  <c r="BF33" i="6"/>
  <c r="BE33" i="6"/>
  <c r="BM33" i="6"/>
  <c r="BK33" i="6"/>
  <c r="BJ33" i="6"/>
  <c r="BI33" i="6"/>
  <c r="BH33" i="6"/>
  <c r="FK33" i="6"/>
  <c r="FS33" i="6"/>
  <c r="FQ33" i="6"/>
  <c r="FP33" i="6"/>
  <c r="FO33" i="6"/>
  <c r="FN33" i="6"/>
  <c r="FM33" i="6"/>
  <c r="FL33" i="6"/>
  <c r="AL34" i="6"/>
  <c r="AK34" i="6"/>
  <c r="AJ34" i="6"/>
  <c r="AI34" i="6"/>
  <c r="AQ34" i="6"/>
  <c r="AO34" i="6"/>
  <c r="AN34" i="6"/>
  <c r="AM34" i="6"/>
  <c r="AB34" i="6"/>
  <c r="AA34" i="6"/>
  <c r="Z34" i="6"/>
  <c r="Y34" i="6"/>
  <c r="X34" i="6"/>
  <c r="AF34" i="6"/>
  <c r="AD34" i="6"/>
  <c r="AC34" i="6"/>
  <c r="Q35" i="6"/>
  <c r="P35" i="6"/>
  <c r="O35" i="6"/>
  <c r="N35" i="6"/>
  <c r="M35" i="6"/>
  <c r="U35" i="6"/>
  <c r="S35" i="6"/>
  <c r="R35" i="6"/>
  <c r="AU35" i="6"/>
  <c r="AT35" i="6"/>
  <c r="BB35" i="6"/>
  <c r="AZ35" i="6"/>
  <c r="AY35" i="6"/>
  <c r="AX35" i="6"/>
  <c r="AW35" i="6"/>
  <c r="AV35" i="6"/>
  <c r="F36" i="6"/>
  <c r="E36" i="6"/>
  <c r="D36" i="6"/>
  <c r="C36" i="6"/>
  <c r="B36" i="6"/>
  <c r="J36" i="6"/>
  <c r="H36" i="6"/>
  <c r="G36" i="6"/>
  <c r="BV36" i="6"/>
  <c r="BU36" i="6"/>
  <c r="BT36" i="6"/>
  <c r="BS36" i="6"/>
  <c r="BR36" i="6"/>
  <c r="BQ36" i="6"/>
  <c r="BP36" i="6"/>
  <c r="BX36" i="6"/>
  <c r="FZ36" i="6"/>
  <c r="FY36" i="6"/>
  <c r="FX36" i="6"/>
  <c r="FW36" i="6"/>
  <c r="FV36" i="6"/>
  <c r="GD36" i="6"/>
  <c r="GB36" i="6"/>
  <c r="GA36" i="6"/>
  <c r="BK37" i="6"/>
  <c r="BJ37" i="6"/>
  <c r="BI37" i="6"/>
  <c r="BH37" i="6"/>
  <c r="BG37" i="6"/>
  <c r="BF37" i="6"/>
  <c r="BE37" i="6"/>
  <c r="BM37" i="6"/>
  <c r="FO37" i="6"/>
  <c r="FN37" i="6"/>
  <c r="FM37" i="6"/>
  <c r="FL37" i="6"/>
  <c r="FK37" i="6"/>
  <c r="FS37" i="6"/>
  <c r="FQ37" i="6"/>
  <c r="FP37" i="6"/>
  <c r="AQ38" i="6"/>
  <c r="AO38" i="6"/>
  <c r="AN38" i="6"/>
  <c r="AM38" i="6"/>
  <c r="AL38" i="6"/>
  <c r="AK38" i="6"/>
  <c r="AJ38" i="6"/>
  <c r="AI38" i="6"/>
  <c r="X38" i="6"/>
  <c r="AF38" i="6"/>
  <c r="AD38" i="6"/>
  <c r="AC38" i="6"/>
  <c r="AB38" i="6"/>
  <c r="AA38" i="6"/>
  <c r="Z38" i="6"/>
  <c r="Y38" i="6"/>
  <c r="M39" i="6"/>
  <c r="U39" i="6"/>
  <c r="S39" i="6"/>
  <c r="R39" i="6"/>
  <c r="Q39" i="6"/>
  <c r="P39" i="6"/>
  <c r="O39" i="6"/>
  <c r="N39" i="6"/>
  <c r="AY39" i="6"/>
  <c r="AX39" i="6"/>
  <c r="AW39" i="6"/>
  <c r="AV39" i="6"/>
  <c r="AU39" i="6"/>
  <c r="AT39" i="6"/>
  <c r="BB39" i="6"/>
  <c r="AZ39" i="6"/>
  <c r="B40" i="6"/>
  <c r="J40" i="6"/>
  <c r="H40" i="6"/>
  <c r="G40" i="6"/>
  <c r="F40" i="6"/>
  <c r="E40" i="6"/>
  <c r="D40" i="6"/>
  <c r="C40" i="6"/>
  <c r="BR40" i="6"/>
  <c r="BQ40" i="6"/>
  <c r="BP40" i="6"/>
  <c r="BX40" i="6"/>
  <c r="BV40" i="6"/>
  <c r="BU40" i="6"/>
  <c r="BT40" i="6"/>
  <c r="BS40" i="6"/>
  <c r="FV40" i="6"/>
  <c r="GD40" i="6"/>
  <c r="GB40" i="6"/>
  <c r="GA40" i="6"/>
  <c r="FZ40" i="6"/>
  <c r="FY40" i="6"/>
  <c r="FX40" i="6"/>
  <c r="FW40" i="6"/>
  <c r="BG41" i="6"/>
  <c r="BF41" i="6"/>
  <c r="BE41" i="6"/>
  <c r="BM41" i="6"/>
  <c r="BK41" i="6"/>
  <c r="BJ41" i="6"/>
  <c r="BI41" i="6"/>
  <c r="BH41" i="6"/>
  <c r="FK41" i="6"/>
  <c r="FS41" i="6"/>
  <c r="FQ41" i="6"/>
  <c r="FP41" i="6"/>
  <c r="FO41" i="6"/>
  <c r="FN41" i="6"/>
  <c r="FM41" i="6"/>
  <c r="FL41" i="6"/>
  <c r="AL42" i="6"/>
  <c r="AK42" i="6"/>
  <c r="AJ42" i="6"/>
  <c r="AI42" i="6"/>
  <c r="AQ42" i="6"/>
  <c r="AO42" i="6"/>
  <c r="AN42" i="6"/>
  <c r="AM42" i="6"/>
  <c r="AB42" i="6"/>
  <c r="AA42" i="6"/>
  <c r="Z42" i="6"/>
  <c r="Y42" i="6"/>
  <c r="X42" i="6"/>
  <c r="AF42" i="6"/>
  <c r="AD42" i="6"/>
  <c r="AC42" i="6"/>
  <c r="Q43" i="6"/>
  <c r="P43" i="6"/>
  <c r="O43" i="6"/>
  <c r="N43" i="6"/>
  <c r="M43" i="6"/>
  <c r="U43" i="6"/>
  <c r="S43" i="6"/>
  <c r="R43" i="6"/>
  <c r="AU43" i="6"/>
  <c r="AT43" i="6"/>
  <c r="BB43" i="6"/>
  <c r="AZ43" i="6"/>
  <c r="AY43" i="6"/>
  <c r="AX43" i="6"/>
  <c r="AW43" i="6"/>
  <c r="AV43" i="6"/>
  <c r="F44" i="6"/>
  <c r="E44" i="6"/>
  <c r="D44" i="6"/>
  <c r="C44" i="6"/>
  <c r="B44" i="6"/>
  <c r="J44" i="6"/>
  <c r="H44" i="6"/>
  <c r="G44" i="6"/>
  <c r="BV44" i="6"/>
  <c r="BU44" i="6"/>
  <c r="BT44" i="6"/>
  <c r="BS44" i="6"/>
  <c r="BR44" i="6"/>
  <c r="BQ44" i="6"/>
  <c r="BP44" i="6"/>
  <c r="BX44" i="6"/>
  <c r="FZ44" i="6"/>
  <c r="FY44" i="6"/>
  <c r="FX44" i="6"/>
  <c r="FW44" i="6"/>
  <c r="FV44" i="6"/>
  <c r="GD44" i="6"/>
  <c r="GB44" i="6"/>
  <c r="GA44" i="6"/>
  <c r="BK45" i="6"/>
  <c r="BJ45" i="6"/>
  <c r="BI45" i="6"/>
  <c r="BH45" i="6"/>
  <c r="BG45" i="6"/>
  <c r="BF45" i="6"/>
  <c r="BE45" i="6"/>
  <c r="BM45" i="6"/>
  <c r="FO45" i="6"/>
  <c r="FN45" i="6"/>
  <c r="FM45" i="6"/>
  <c r="FL45" i="6"/>
  <c r="FK45" i="6"/>
  <c r="FS45" i="6"/>
  <c r="FQ45" i="6"/>
  <c r="FP45" i="6"/>
  <c r="AQ46" i="6"/>
  <c r="AO46" i="6"/>
  <c r="AN46" i="6"/>
  <c r="AM46" i="6"/>
  <c r="AL46" i="6"/>
  <c r="AK46" i="6"/>
  <c r="AJ46" i="6"/>
  <c r="AI46" i="6"/>
  <c r="X46" i="6"/>
  <c r="AF46" i="6"/>
  <c r="AD46" i="6"/>
  <c r="AC46" i="6"/>
  <c r="AB46" i="6"/>
  <c r="AA46" i="6"/>
  <c r="Z46" i="6"/>
  <c r="Y46" i="6"/>
  <c r="M47" i="6"/>
  <c r="U47" i="6"/>
  <c r="S47" i="6"/>
  <c r="R47" i="6"/>
  <c r="Q47" i="6"/>
  <c r="P47" i="6"/>
  <c r="O47" i="6"/>
  <c r="N47" i="6"/>
  <c r="AY47" i="6"/>
  <c r="AX47" i="6"/>
  <c r="AW47" i="6"/>
  <c r="AV47" i="6"/>
  <c r="AU47" i="6"/>
  <c r="AT47" i="6"/>
  <c r="BB47" i="6"/>
  <c r="AZ47" i="6"/>
  <c r="B48" i="6"/>
  <c r="J48" i="6"/>
  <c r="H48" i="6"/>
  <c r="G48" i="6"/>
  <c r="F48" i="6"/>
  <c r="E48" i="6"/>
  <c r="D48" i="6"/>
  <c r="C48" i="6"/>
  <c r="BR48" i="6"/>
  <c r="BQ48" i="6"/>
  <c r="BP48" i="6"/>
  <c r="BX48" i="6"/>
  <c r="BV48" i="6"/>
  <c r="BU48" i="6"/>
  <c r="BT48" i="6"/>
  <c r="BS48" i="6"/>
  <c r="FV48" i="6"/>
  <c r="GD48" i="6"/>
  <c r="GB48" i="6"/>
  <c r="GA48" i="6"/>
  <c r="FZ48" i="6"/>
  <c r="FY48" i="6"/>
  <c r="FX48" i="6"/>
  <c r="FW48" i="6"/>
  <c r="BG49" i="6"/>
  <c r="BF49" i="6"/>
  <c r="BE49" i="6"/>
  <c r="BM49" i="6"/>
  <c r="BK49" i="6"/>
  <c r="BJ49" i="6"/>
  <c r="BI49" i="6"/>
  <c r="BH49" i="6"/>
  <c r="FK49" i="6"/>
  <c r="FS49" i="6"/>
  <c r="FQ49" i="6"/>
  <c r="FP49" i="6"/>
  <c r="FO49" i="6"/>
  <c r="FN49" i="6"/>
  <c r="FM49" i="6"/>
  <c r="FL49" i="6"/>
  <c r="AL50" i="6"/>
  <c r="AK50" i="6"/>
  <c r="AJ50" i="6"/>
  <c r="AI50" i="6"/>
  <c r="AQ50" i="6"/>
  <c r="AO50" i="6"/>
  <c r="AN50" i="6"/>
  <c r="AM50" i="6"/>
  <c r="AB50" i="6"/>
  <c r="AA50" i="6"/>
  <c r="Z50" i="6"/>
  <c r="Y50" i="6"/>
  <c r="X50" i="6"/>
  <c r="AF50" i="6"/>
  <c r="AD50" i="6"/>
  <c r="AC50" i="6"/>
  <c r="Q51" i="6"/>
  <c r="P51" i="6"/>
  <c r="O51" i="6"/>
  <c r="N51" i="6"/>
  <c r="M51" i="6"/>
  <c r="U51" i="6"/>
  <c r="S51" i="6"/>
  <c r="R51" i="6"/>
  <c r="AU51" i="6"/>
  <c r="AT51" i="6"/>
  <c r="BB51" i="6"/>
  <c r="AZ51" i="6"/>
  <c r="AY51" i="6"/>
  <c r="AX51" i="6"/>
  <c r="AW51" i="6"/>
  <c r="AV51" i="6"/>
  <c r="F52" i="6"/>
  <c r="E52" i="6"/>
  <c r="D52" i="6"/>
  <c r="C52" i="6"/>
  <c r="B52" i="6"/>
  <c r="J52" i="6"/>
  <c r="H52" i="6"/>
  <c r="G52" i="6"/>
  <c r="BV52" i="6"/>
  <c r="BU52" i="6"/>
  <c r="BT52" i="6"/>
  <c r="BS52" i="6"/>
  <c r="BR52" i="6"/>
  <c r="BQ52" i="6"/>
  <c r="BP52" i="6"/>
  <c r="BX52" i="6"/>
  <c r="FZ52" i="6"/>
  <c r="FY52" i="6"/>
  <c r="FX52" i="6"/>
  <c r="FW52" i="6"/>
  <c r="FV52" i="6"/>
  <c r="GD52" i="6"/>
  <c r="GB52" i="6"/>
  <c r="GA52" i="6"/>
  <c r="BK53" i="6"/>
  <c r="BJ53" i="6"/>
  <c r="BI53" i="6"/>
  <c r="BH53" i="6"/>
  <c r="BG53" i="6"/>
  <c r="BF53" i="6"/>
  <c r="BE53" i="6"/>
  <c r="BM53" i="6"/>
  <c r="FO53" i="6"/>
  <c r="FN53" i="6"/>
  <c r="FM53" i="6"/>
  <c r="FL53" i="6"/>
  <c r="FK53" i="6"/>
  <c r="FS53" i="6"/>
  <c r="FQ53" i="6"/>
  <c r="FP53" i="6"/>
  <c r="AQ54" i="6"/>
  <c r="AO54" i="6"/>
  <c r="AN54" i="6"/>
  <c r="AM54" i="6"/>
  <c r="AL54" i="6"/>
  <c r="AK54" i="6"/>
  <c r="AJ54" i="6"/>
  <c r="AI54" i="6"/>
  <c r="X54" i="6"/>
  <c r="AF54" i="6"/>
  <c r="AD54" i="6"/>
  <c r="AC54" i="6"/>
  <c r="AB54" i="6"/>
  <c r="AA54" i="6"/>
  <c r="Z54" i="6"/>
  <c r="Y54" i="6"/>
  <c r="M55" i="6"/>
  <c r="U55" i="6"/>
  <c r="S55" i="6"/>
  <c r="R55" i="6"/>
  <c r="Q55" i="6"/>
  <c r="P55" i="6"/>
  <c r="O55" i="6"/>
  <c r="N55" i="6"/>
  <c r="AY55" i="6"/>
  <c r="AX55" i="6"/>
  <c r="AW55" i="6"/>
  <c r="AV55" i="6"/>
  <c r="AU55" i="6"/>
  <c r="AT55" i="6"/>
  <c r="BB55" i="6"/>
  <c r="AZ55" i="6"/>
  <c r="B56" i="6"/>
  <c r="J56" i="6"/>
  <c r="H56" i="6"/>
  <c r="G56" i="6"/>
  <c r="F56" i="6"/>
  <c r="E56" i="6"/>
  <c r="D56" i="6"/>
  <c r="C56" i="6"/>
  <c r="BR56" i="6"/>
  <c r="BQ56" i="6"/>
  <c r="BP56" i="6"/>
  <c r="BX56" i="6"/>
  <c r="BV56" i="6"/>
  <c r="BU56" i="6"/>
  <c r="BT56" i="6"/>
  <c r="BS56" i="6"/>
  <c r="FV56" i="6"/>
  <c r="GD56" i="6"/>
  <c r="GB56" i="6"/>
  <c r="GA56" i="6"/>
  <c r="FZ56" i="6"/>
  <c r="FY56" i="6"/>
  <c r="FX56" i="6"/>
  <c r="FW56" i="6"/>
  <c r="BG57" i="6"/>
  <c r="BF57" i="6"/>
  <c r="BE57" i="6"/>
  <c r="BM57" i="6"/>
  <c r="BK57" i="6"/>
  <c r="BJ57" i="6"/>
  <c r="BI57" i="6"/>
  <c r="BH57" i="6"/>
  <c r="FK57" i="6"/>
  <c r="FS57" i="6"/>
  <c r="FQ57" i="6"/>
  <c r="FP57" i="6"/>
  <c r="FO57" i="6"/>
  <c r="FN57" i="6"/>
  <c r="FM57" i="6"/>
  <c r="FL57" i="6"/>
  <c r="AL58" i="6"/>
  <c r="AK58" i="6"/>
  <c r="AJ58" i="6"/>
  <c r="AI58" i="6"/>
  <c r="AQ58" i="6"/>
  <c r="AO58" i="6"/>
  <c r="AN58" i="6"/>
  <c r="AM58" i="6"/>
  <c r="AB58" i="6"/>
  <c r="AA58" i="6"/>
  <c r="Z58" i="6"/>
  <c r="Y58" i="6"/>
  <c r="X58" i="6"/>
  <c r="AF58" i="6"/>
  <c r="AD58" i="6"/>
  <c r="AC58" i="6"/>
  <c r="Q59" i="6"/>
  <c r="P59" i="6"/>
  <c r="O59" i="6"/>
  <c r="N59" i="6"/>
  <c r="M59" i="6"/>
  <c r="U59" i="6"/>
  <c r="S59" i="6"/>
  <c r="R59" i="6"/>
  <c r="AU59" i="6"/>
  <c r="AT59" i="6"/>
  <c r="BB59" i="6"/>
  <c r="AZ59" i="6"/>
  <c r="AY59" i="6"/>
  <c r="AX59" i="6"/>
  <c r="AW59" i="6"/>
  <c r="AV59" i="6"/>
  <c r="F60" i="6"/>
  <c r="E60" i="6"/>
  <c r="D60" i="6"/>
  <c r="C60" i="6"/>
  <c r="B60" i="6"/>
  <c r="J60" i="6"/>
  <c r="H60" i="6"/>
  <c r="G60" i="6"/>
  <c r="BV60" i="6"/>
  <c r="BU60" i="6"/>
  <c r="BT60" i="6"/>
  <c r="BS60" i="6"/>
  <c r="BR60" i="6"/>
  <c r="BQ60" i="6"/>
  <c r="BP60" i="6"/>
  <c r="BX60" i="6"/>
  <c r="FZ60" i="6"/>
  <c r="FY60" i="6"/>
  <c r="FX60" i="6"/>
  <c r="FW60" i="6"/>
  <c r="FV60" i="6"/>
  <c r="GD60" i="6"/>
  <c r="GB60" i="6"/>
  <c r="GA60" i="6"/>
  <c r="BK61" i="6"/>
  <c r="BJ61" i="6"/>
  <c r="BI61" i="6"/>
  <c r="BH61" i="6"/>
  <c r="BG61" i="6"/>
  <c r="BF61" i="6"/>
  <c r="BE61" i="6"/>
  <c r="BM61" i="6"/>
  <c r="FO61" i="6"/>
  <c r="FN61" i="6"/>
  <c r="FM61" i="6"/>
  <c r="FL61" i="6"/>
  <c r="FK61" i="6"/>
  <c r="FS61" i="6"/>
  <c r="FQ61" i="6"/>
  <c r="FP61" i="6"/>
  <c r="AQ62" i="6"/>
  <c r="AO62" i="6"/>
  <c r="AN62" i="6"/>
  <c r="AM62" i="6"/>
  <c r="AL62" i="6"/>
  <c r="AK62" i="6"/>
  <c r="AJ62" i="6"/>
  <c r="AI62" i="6"/>
  <c r="X62" i="6"/>
  <c r="AF62" i="6"/>
  <c r="AD62" i="6"/>
  <c r="AC62" i="6"/>
  <c r="AB62" i="6"/>
  <c r="AA62" i="6"/>
  <c r="Z62" i="6"/>
  <c r="Y62" i="6"/>
  <c r="M63" i="6"/>
  <c r="U63" i="6"/>
  <c r="S63" i="6"/>
  <c r="R63" i="6"/>
  <c r="Q63" i="6"/>
  <c r="P63" i="6"/>
  <c r="O63" i="6"/>
  <c r="N63" i="6"/>
  <c r="AY63" i="6"/>
  <c r="AX63" i="6"/>
  <c r="AW63" i="6"/>
  <c r="AV63" i="6"/>
  <c r="AU63" i="6"/>
  <c r="AT63" i="6"/>
  <c r="BB63" i="6"/>
  <c r="AZ63" i="6"/>
  <c r="B64" i="6"/>
  <c r="J64" i="6"/>
  <c r="H64" i="6"/>
  <c r="G64" i="6"/>
  <c r="F64" i="6"/>
  <c r="E64" i="6"/>
  <c r="D64" i="6"/>
  <c r="C64" i="6"/>
  <c r="BR64" i="6"/>
  <c r="BQ64" i="6"/>
  <c r="BP64" i="6"/>
  <c r="BX64" i="6"/>
  <c r="BV64" i="6"/>
  <c r="BU64" i="6"/>
  <c r="BT64" i="6"/>
  <c r="BS64" i="6"/>
  <c r="FV64" i="6"/>
  <c r="GD64" i="6"/>
  <c r="GB64" i="6"/>
  <c r="GA64" i="6"/>
  <c r="FZ64" i="6"/>
  <c r="FY64" i="6"/>
  <c r="FX64" i="6"/>
  <c r="FW64" i="6"/>
  <c r="BG65" i="6"/>
  <c r="BF65" i="6"/>
  <c r="BE65" i="6"/>
  <c r="BM65" i="6"/>
  <c r="BK65" i="6"/>
  <c r="BJ65" i="6"/>
  <c r="BI65" i="6"/>
  <c r="BH65" i="6"/>
  <c r="FK65" i="6"/>
  <c r="FS65" i="6"/>
  <c r="FQ65" i="6"/>
  <c r="FP65" i="6"/>
  <c r="FO65" i="6"/>
  <c r="FN65" i="6"/>
  <c r="FM65" i="6"/>
  <c r="FL65" i="6"/>
  <c r="AL66" i="6"/>
  <c r="AK66" i="6"/>
  <c r="AJ66" i="6"/>
  <c r="AI66" i="6"/>
  <c r="AQ66" i="6"/>
  <c r="AO66" i="6"/>
  <c r="AN66" i="6"/>
  <c r="AM66" i="6"/>
  <c r="AB66" i="6"/>
  <c r="AA66" i="6"/>
  <c r="Z66" i="6"/>
  <c r="Y66" i="6"/>
  <c r="X66" i="6"/>
  <c r="AF66" i="6"/>
  <c r="AD66" i="6"/>
  <c r="AC66" i="6"/>
  <c r="Q67" i="6"/>
  <c r="P67" i="6"/>
  <c r="O67" i="6"/>
  <c r="N67" i="6"/>
  <c r="M67" i="6"/>
  <c r="U67" i="6"/>
  <c r="S67" i="6"/>
  <c r="R67" i="6"/>
  <c r="AU67" i="6"/>
  <c r="AT67" i="6"/>
  <c r="BB67" i="6"/>
  <c r="AZ67" i="6"/>
  <c r="AY67" i="6"/>
  <c r="AX67" i="6"/>
  <c r="AW67" i="6"/>
  <c r="AV67" i="6"/>
  <c r="F68" i="6"/>
  <c r="E68" i="6"/>
  <c r="D68" i="6"/>
  <c r="C68" i="6"/>
  <c r="B68" i="6"/>
  <c r="J68" i="6"/>
  <c r="H68" i="6"/>
  <c r="G68" i="6"/>
  <c r="BV68" i="6"/>
  <c r="BU68" i="6"/>
  <c r="BT68" i="6"/>
  <c r="BS68" i="6"/>
  <c r="BR68" i="6"/>
  <c r="BQ68" i="6"/>
  <c r="BP68" i="6"/>
  <c r="BX68" i="6"/>
  <c r="FZ68" i="6"/>
  <c r="FY68" i="6"/>
  <c r="FX68" i="6"/>
  <c r="FW68" i="6"/>
  <c r="FV68" i="6"/>
  <c r="GD68" i="6"/>
  <c r="GB68" i="6"/>
  <c r="GA68" i="6"/>
  <c r="BK69" i="6"/>
  <c r="BJ69" i="6"/>
  <c r="BI69" i="6"/>
  <c r="BH69" i="6"/>
  <c r="BG69" i="6"/>
  <c r="BF69" i="6"/>
  <c r="BE69" i="6"/>
  <c r="BM69" i="6"/>
  <c r="FO69" i="6"/>
  <c r="FN69" i="6"/>
  <c r="FM69" i="6"/>
  <c r="FL69" i="6"/>
  <c r="FK69" i="6"/>
  <c r="FS69" i="6"/>
  <c r="FQ69" i="6"/>
  <c r="FP69" i="6"/>
  <c r="AQ70" i="6"/>
  <c r="AO70" i="6"/>
  <c r="AN70" i="6"/>
  <c r="AM70" i="6"/>
  <c r="AL70" i="6"/>
  <c r="AK70" i="6"/>
  <c r="AJ70" i="6"/>
  <c r="AI70" i="6"/>
  <c r="X70" i="6"/>
  <c r="AF70" i="6"/>
  <c r="AD70" i="6"/>
  <c r="AC70" i="6"/>
  <c r="AB70" i="6"/>
  <c r="AA70" i="6"/>
  <c r="Z70" i="6"/>
  <c r="Y70" i="6"/>
  <c r="M71" i="6"/>
  <c r="U71" i="6"/>
  <c r="S71" i="6"/>
  <c r="R71" i="6"/>
  <c r="Q71" i="6"/>
  <c r="P71" i="6"/>
  <c r="O71" i="6"/>
  <c r="N71" i="6"/>
  <c r="AY71" i="6"/>
  <c r="AX71" i="6"/>
  <c r="AW71" i="6"/>
  <c r="AV71" i="6"/>
  <c r="AU71" i="6"/>
  <c r="AT71" i="6"/>
  <c r="BB71" i="6"/>
  <c r="AZ71" i="6"/>
  <c r="B72" i="6"/>
  <c r="J72" i="6"/>
  <c r="H72" i="6"/>
  <c r="G72" i="6"/>
  <c r="F72" i="6"/>
  <c r="E72" i="6"/>
  <c r="D72" i="6"/>
  <c r="C72" i="6"/>
  <c r="BR72" i="6"/>
  <c r="BQ72" i="6"/>
  <c r="BP72" i="6"/>
  <c r="BX72" i="6"/>
  <c r="BV72" i="6"/>
  <c r="BU72" i="6"/>
  <c r="BT72" i="6"/>
  <c r="BS72" i="6"/>
  <c r="FV72" i="6"/>
  <c r="GD72" i="6"/>
  <c r="GB72" i="6"/>
  <c r="GA72" i="6"/>
  <c r="FZ72" i="6"/>
  <c r="FY72" i="6"/>
  <c r="FX72" i="6"/>
  <c r="FW72" i="6"/>
  <c r="BG73" i="6"/>
  <c r="BF73" i="6"/>
  <c r="BE73" i="6"/>
  <c r="BM73" i="6"/>
  <c r="BK73" i="6"/>
  <c r="BJ73" i="6"/>
  <c r="BI73" i="6"/>
  <c r="BH73" i="6"/>
  <c r="FK73" i="6"/>
  <c r="FS73" i="6"/>
  <c r="FQ73" i="6"/>
  <c r="FP73" i="6"/>
  <c r="FO73" i="6"/>
  <c r="FN73" i="6"/>
  <c r="FM73" i="6"/>
  <c r="FL73" i="6"/>
  <c r="AL74" i="6"/>
  <c r="AK74" i="6"/>
  <c r="AJ74" i="6"/>
  <c r="AI74" i="6"/>
  <c r="AQ74" i="6"/>
  <c r="AO74" i="6"/>
  <c r="AN74" i="6"/>
  <c r="AM74" i="6"/>
  <c r="AB74" i="6"/>
  <c r="AA74" i="6"/>
  <c r="Z74" i="6"/>
  <c r="Y74" i="6"/>
  <c r="X74" i="6"/>
  <c r="AF74" i="6"/>
  <c r="AD74" i="6"/>
  <c r="AC74" i="6"/>
  <c r="Q75" i="6"/>
  <c r="P75" i="6"/>
  <c r="O75" i="6"/>
  <c r="N75" i="6"/>
  <c r="M75" i="6"/>
  <c r="U75" i="6"/>
  <c r="S75" i="6"/>
  <c r="R75" i="6"/>
  <c r="AU75" i="6"/>
  <c r="AT75" i="6"/>
  <c r="BB75" i="6"/>
  <c r="AZ75" i="6"/>
  <c r="AY75" i="6"/>
  <c r="AX75" i="6"/>
  <c r="AW75" i="6"/>
  <c r="AV75" i="6"/>
  <c r="F76" i="6"/>
  <c r="E76" i="6"/>
  <c r="D76" i="6"/>
  <c r="C76" i="6"/>
  <c r="B76" i="6"/>
  <c r="J76" i="6"/>
  <c r="H76" i="6"/>
  <c r="G76" i="6"/>
  <c r="BV76" i="6"/>
  <c r="BU76" i="6"/>
  <c r="BT76" i="6"/>
  <c r="BS76" i="6"/>
  <c r="BR76" i="6"/>
  <c r="BQ76" i="6"/>
  <c r="BP76" i="6"/>
  <c r="BX76" i="6"/>
  <c r="FZ76" i="6"/>
  <c r="FY76" i="6"/>
  <c r="FX76" i="6"/>
  <c r="FW76" i="6"/>
  <c r="FV76" i="6"/>
  <c r="GD76" i="6"/>
  <c r="GB76" i="6"/>
  <c r="GA76" i="6"/>
  <c r="BK77" i="6"/>
  <c r="BJ77" i="6"/>
  <c r="BI77" i="6"/>
  <c r="BH77" i="6"/>
  <c r="BG77" i="6"/>
  <c r="BF77" i="6"/>
  <c r="BE77" i="6"/>
  <c r="BM77" i="6"/>
  <c r="FO77" i="6"/>
  <c r="FN77" i="6"/>
  <c r="FM77" i="6"/>
  <c r="FL77" i="6"/>
  <c r="FK77" i="6"/>
  <c r="FS77" i="6"/>
  <c r="FQ77" i="6"/>
  <c r="FP77" i="6"/>
  <c r="AQ78" i="6"/>
  <c r="AO78" i="6"/>
  <c r="AN78" i="6"/>
  <c r="AM78" i="6"/>
  <c r="AL78" i="6"/>
  <c r="AK78" i="6"/>
  <c r="AJ78" i="6"/>
  <c r="AI78" i="6"/>
  <c r="X78" i="6"/>
  <c r="AF78" i="6"/>
  <c r="AD78" i="6"/>
  <c r="AC78" i="6"/>
  <c r="AB78" i="6"/>
  <c r="AA78" i="6"/>
  <c r="Z78" i="6"/>
  <c r="Y78" i="6"/>
  <c r="M79" i="6"/>
  <c r="U79" i="6"/>
  <c r="S79" i="6"/>
  <c r="R79" i="6"/>
  <c r="Q79" i="6"/>
  <c r="P79" i="6"/>
  <c r="O79" i="6"/>
  <c r="N79" i="6"/>
  <c r="AY79" i="6"/>
  <c r="AX79" i="6"/>
  <c r="AW79" i="6"/>
  <c r="AV79" i="6"/>
  <c r="AU79" i="6"/>
  <c r="AT79" i="6"/>
  <c r="BB79" i="6"/>
  <c r="AZ79" i="6"/>
  <c r="B80" i="6"/>
  <c r="J80" i="6"/>
  <c r="H80" i="6"/>
  <c r="G80" i="6"/>
  <c r="F80" i="6"/>
  <c r="E80" i="6"/>
  <c r="D80" i="6"/>
  <c r="C80" i="6"/>
  <c r="BR80" i="6"/>
  <c r="BQ80" i="6"/>
  <c r="BP80" i="6"/>
  <c r="BX80" i="6"/>
  <c r="BV80" i="6"/>
  <c r="BU80" i="6"/>
  <c r="BT80" i="6"/>
  <c r="BS80" i="6"/>
  <c r="FV80" i="6"/>
  <c r="GD80" i="6"/>
  <c r="GB80" i="6"/>
  <c r="GA80" i="6"/>
  <c r="FZ80" i="6"/>
  <c r="FY80" i="6"/>
  <c r="FX80" i="6"/>
  <c r="FW80" i="6"/>
  <c r="BG81" i="6"/>
  <c r="BF81" i="6"/>
  <c r="BE81" i="6"/>
  <c r="BM81" i="6"/>
  <c r="BK81" i="6"/>
  <c r="BJ81" i="6"/>
  <c r="BI81" i="6"/>
  <c r="BH81" i="6"/>
  <c r="FK81" i="6"/>
  <c r="FS81" i="6"/>
  <c r="FQ81" i="6"/>
  <c r="FP81" i="6"/>
  <c r="FO81" i="6"/>
  <c r="FN81" i="6"/>
  <c r="FM81" i="6"/>
  <c r="FL81" i="6"/>
  <c r="AL82" i="6"/>
  <c r="AK82" i="6"/>
  <c r="AJ82" i="6"/>
  <c r="AI82" i="6"/>
  <c r="AQ82" i="6"/>
  <c r="AO82" i="6"/>
  <c r="AN82" i="6"/>
  <c r="AM82" i="6"/>
  <c r="AB82" i="6"/>
  <c r="AA82" i="6"/>
  <c r="Z82" i="6"/>
  <c r="Y82" i="6"/>
  <c r="X82" i="6"/>
  <c r="AF82" i="6"/>
  <c r="AD82" i="6"/>
  <c r="AC82" i="6"/>
  <c r="Q83" i="6"/>
  <c r="P83" i="6"/>
  <c r="O83" i="6"/>
  <c r="N83" i="6"/>
  <c r="M83" i="6"/>
  <c r="U83" i="6"/>
  <c r="S83" i="6"/>
  <c r="R83" i="6"/>
  <c r="AU83" i="6"/>
  <c r="AT83" i="6"/>
  <c r="BB83" i="6"/>
  <c r="AZ83" i="6"/>
  <c r="AY83" i="6"/>
  <c r="AX83" i="6"/>
  <c r="AW83" i="6"/>
  <c r="AV83" i="6"/>
  <c r="F84" i="6"/>
  <c r="E84" i="6"/>
  <c r="D84" i="6"/>
  <c r="C84" i="6"/>
  <c r="B84" i="6"/>
  <c r="J84" i="6"/>
  <c r="H84" i="6"/>
  <c r="G84" i="6"/>
  <c r="BV84" i="6"/>
  <c r="BU84" i="6"/>
  <c r="BT84" i="6"/>
  <c r="BS84" i="6"/>
  <c r="BR84" i="6"/>
  <c r="BQ84" i="6"/>
  <c r="BP84" i="6"/>
  <c r="BX84" i="6"/>
  <c r="FZ84" i="6"/>
  <c r="FY84" i="6"/>
  <c r="FX84" i="6"/>
  <c r="FW84" i="6"/>
  <c r="FV84" i="6"/>
  <c r="GD84" i="6"/>
  <c r="GB84" i="6"/>
  <c r="GA84" i="6"/>
  <c r="BK85" i="6"/>
  <c r="BJ85" i="6"/>
  <c r="BI85" i="6"/>
  <c r="BH85" i="6"/>
  <c r="BG85" i="6"/>
  <c r="BF85" i="6"/>
  <c r="BE85" i="6"/>
  <c r="BM85" i="6"/>
  <c r="FO85" i="6"/>
  <c r="FN85" i="6"/>
  <c r="FM85" i="6"/>
  <c r="FL85" i="6"/>
  <c r="FK85" i="6"/>
  <c r="FS85" i="6"/>
  <c r="FQ85" i="6"/>
  <c r="FP85" i="6"/>
  <c r="AQ86" i="6"/>
  <c r="AO86" i="6"/>
  <c r="AN86" i="6"/>
  <c r="AM86" i="6"/>
  <c r="AL86" i="6"/>
  <c r="AK86" i="6"/>
  <c r="AJ86" i="6"/>
  <c r="AI86" i="6"/>
  <c r="X86" i="6"/>
  <c r="AF86" i="6"/>
  <c r="AD86" i="6"/>
  <c r="AC86" i="6"/>
  <c r="AB86" i="6"/>
  <c r="AA86" i="6"/>
  <c r="Z86" i="6"/>
  <c r="Y86" i="6"/>
  <c r="M87" i="6"/>
  <c r="U87" i="6"/>
  <c r="S87" i="6"/>
  <c r="R87" i="6"/>
  <c r="Q87" i="6"/>
  <c r="P87" i="6"/>
  <c r="O87" i="6"/>
  <c r="N87" i="6"/>
  <c r="AY87" i="6"/>
  <c r="AX87" i="6"/>
  <c r="AW87" i="6"/>
  <c r="AV87" i="6"/>
  <c r="AU87" i="6"/>
  <c r="AT87" i="6"/>
  <c r="BB87" i="6"/>
  <c r="AZ87" i="6"/>
  <c r="B88" i="6"/>
  <c r="J88" i="6"/>
  <c r="H88" i="6"/>
  <c r="G88" i="6"/>
  <c r="F88" i="6"/>
  <c r="E88" i="6"/>
  <c r="D88" i="6"/>
  <c r="C88" i="6"/>
  <c r="BR88" i="6"/>
  <c r="BQ88" i="6"/>
  <c r="BP88" i="6"/>
  <c r="BX88" i="6"/>
  <c r="BV88" i="6"/>
  <c r="BU88" i="6"/>
  <c r="BT88" i="6"/>
  <c r="BS88" i="6"/>
  <c r="FV88" i="6"/>
  <c r="GD88" i="6"/>
  <c r="GB88" i="6"/>
  <c r="GA88" i="6"/>
  <c r="FZ88" i="6"/>
  <c r="FY88" i="6"/>
  <c r="FX88" i="6"/>
  <c r="FW88" i="6"/>
  <c r="BG89" i="6"/>
  <c r="BF89" i="6"/>
  <c r="BE89" i="6"/>
  <c r="BM89" i="6"/>
  <c r="BK89" i="6"/>
  <c r="BJ89" i="6"/>
  <c r="BI89" i="6"/>
  <c r="BH89" i="6"/>
  <c r="FK89" i="6"/>
  <c r="FS89" i="6"/>
  <c r="FQ89" i="6"/>
  <c r="FP89" i="6"/>
  <c r="FO89" i="6"/>
  <c r="FN89" i="6"/>
  <c r="FM89" i="6"/>
  <c r="FL89" i="6"/>
  <c r="AL90" i="6"/>
  <c r="AK90" i="6"/>
  <c r="AJ90" i="6"/>
  <c r="AI90" i="6"/>
  <c r="AQ90" i="6"/>
  <c r="AO90" i="6"/>
  <c r="AN90" i="6"/>
  <c r="AM90" i="6"/>
  <c r="AB90" i="6"/>
  <c r="AA90" i="6"/>
  <c r="Z90" i="6"/>
  <c r="Y90" i="6"/>
  <c r="X90" i="6"/>
  <c r="AF90" i="6"/>
  <c r="AD90" i="6"/>
  <c r="AC90" i="6"/>
  <c r="Q91" i="6"/>
  <c r="P91" i="6"/>
  <c r="O91" i="6"/>
  <c r="N91" i="6"/>
  <c r="M91" i="6"/>
  <c r="U91" i="6"/>
  <c r="S91" i="6"/>
  <c r="R91" i="6"/>
  <c r="AU91" i="6"/>
  <c r="AT91" i="6"/>
  <c r="BB91" i="6"/>
  <c r="AZ91" i="6"/>
  <c r="AY91" i="6"/>
  <c r="AX91" i="6"/>
  <c r="AW91" i="6"/>
  <c r="AV91" i="6"/>
  <c r="F92" i="6"/>
  <c r="E92" i="6"/>
  <c r="D92" i="6"/>
  <c r="C92" i="6"/>
  <c r="B92" i="6"/>
  <c r="J92" i="6"/>
  <c r="H92" i="6"/>
  <c r="G92" i="6"/>
  <c r="BV92" i="6"/>
  <c r="BU92" i="6"/>
  <c r="BT92" i="6"/>
  <c r="BS92" i="6"/>
  <c r="BR92" i="6"/>
  <c r="BQ92" i="6"/>
  <c r="BP92" i="6"/>
  <c r="BX92" i="6"/>
  <c r="FZ92" i="6"/>
  <c r="FY92" i="6"/>
  <c r="FX92" i="6"/>
  <c r="FW92" i="6"/>
  <c r="FV92" i="6"/>
  <c r="GD92" i="6"/>
  <c r="GB92" i="6"/>
  <c r="GA92" i="6"/>
  <c r="BK93" i="6"/>
  <c r="BJ93" i="6"/>
  <c r="BI93" i="6"/>
  <c r="BH93" i="6"/>
  <c r="BG93" i="6"/>
  <c r="BF93" i="6"/>
  <c r="BE93" i="6"/>
  <c r="BM93" i="6"/>
  <c r="FO93" i="6"/>
  <c r="FN93" i="6"/>
  <c r="FM93" i="6"/>
  <c r="FL93" i="6"/>
  <c r="FK93" i="6"/>
  <c r="FS93" i="6"/>
  <c r="FQ93" i="6"/>
  <c r="FP93" i="6"/>
  <c r="AQ94" i="6"/>
  <c r="AO94" i="6"/>
  <c r="AN94" i="6"/>
  <c r="AM94" i="6"/>
  <c r="AL94" i="6"/>
  <c r="AK94" i="6"/>
  <c r="AJ94" i="6"/>
  <c r="AI94" i="6"/>
  <c r="X94" i="6"/>
  <c r="AF94" i="6"/>
  <c r="AD94" i="6"/>
  <c r="AC94" i="6"/>
  <c r="AB94" i="6"/>
  <c r="AA94" i="6"/>
  <c r="Z94" i="6"/>
  <c r="Y94" i="6"/>
  <c r="M95" i="6"/>
  <c r="U95" i="6"/>
  <c r="S95" i="6"/>
  <c r="R95" i="6"/>
  <c r="Q95" i="6"/>
  <c r="P95" i="6"/>
  <c r="O95" i="6"/>
  <c r="N95" i="6"/>
  <c r="AY95" i="6"/>
  <c r="AX95" i="6"/>
  <c r="AW95" i="6"/>
  <c r="AV95" i="6"/>
  <c r="AU95" i="6"/>
  <c r="AT95" i="6"/>
  <c r="BB95" i="6"/>
  <c r="AZ95" i="6"/>
  <c r="B96" i="6"/>
  <c r="J96" i="6"/>
  <c r="H96" i="6"/>
  <c r="G96" i="6"/>
  <c r="F96" i="6"/>
  <c r="E96" i="6"/>
  <c r="D96" i="6"/>
  <c r="C96" i="6"/>
  <c r="BR96" i="6"/>
  <c r="BQ96" i="6"/>
  <c r="BP96" i="6"/>
  <c r="BX96" i="6"/>
  <c r="BV96" i="6"/>
  <c r="BU96" i="6"/>
  <c r="BT96" i="6"/>
  <c r="BS96" i="6"/>
  <c r="FV96" i="6"/>
  <c r="GD96" i="6"/>
  <c r="GB96" i="6"/>
  <c r="GA96" i="6"/>
  <c r="FZ96" i="6"/>
  <c r="FY96" i="6"/>
  <c r="FX96" i="6"/>
  <c r="FW96" i="6"/>
  <c r="BG97" i="6"/>
  <c r="BF97" i="6"/>
  <c r="BE97" i="6"/>
  <c r="BM97" i="6"/>
  <c r="BK97" i="6"/>
  <c r="BJ97" i="6"/>
  <c r="BI97" i="6"/>
  <c r="BH97" i="6"/>
  <c r="FK97" i="6"/>
  <c r="FS97" i="6"/>
  <c r="FQ97" i="6"/>
  <c r="FP97" i="6"/>
  <c r="FO97" i="6"/>
  <c r="FN97" i="6"/>
  <c r="FM97" i="6"/>
  <c r="FL97" i="6"/>
  <c r="AL98" i="6"/>
  <c r="AK98" i="6"/>
  <c r="AJ98" i="6"/>
  <c r="AI98" i="6"/>
  <c r="AQ98" i="6"/>
  <c r="AO98" i="6"/>
  <c r="AN98" i="6"/>
  <c r="AM98" i="6"/>
  <c r="AB98" i="6"/>
  <c r="AA98" i="6"/>
  <c r="Z98" i="6"/>
  <c r="Y98" i="6"/>
  <c r="X98" i="6"/>
  <c r="AF98" i="6"/>
  <c r="AD98" i="6"/>
  <c r="AC98" i="6"/>
  <c r="Q99" i="6"/>
  <c r="P99" i="6"/>
  <c r="O99" i="6"/>
  <c r="N99" i="6"/>
  <c r="M99" i="6"/>
  <c r="U99" i="6"/>
  <c r="S99" i="6"/>
  <c r="R99" i="6"/>
  <c r="AU99" i="6"/>
  <c r="AT99" i="6"/>
  <c r="BB99" i="6"/>
  <c r="AZ99" i="6"/>
  <c r="AY99" i="6"/>
  <c r="AX99" i="6"/>
  <c r="AW99" i="6"/>
  <c r="AV99" i="6"/>
  <c r="F100" i="6"/>
  <c r="E100" i="6"/>
  <c r="D100" i="6"/>
  <c r="C100" i="6"/>
  <c r="B100" i="6"/>
  <c r="J100" i="6"/>
  <c r="H100" i="6"/>
  <c r="G100" i="6"/>
  <c r="BV100" i="6"/>
  <c r="BU100" i="6"/>
  <c r="BT100" i="6"/>
  <c r="BS100" i="6"/>
  <c r="BR100" i="6"/>
  <c r="BQ100" i="6"/>
  <c r="BP100" i="6"/>
  <c r="BX100" i="6"/>
  <c r="FZ100" i="6"/>
  <c r="FY100" i="6"/>
  <c r="FX100" i="6"/>
  <c r="FW100" i="6"/>
  <c r="FV100" i="6"/>
  <c r="GD100" i="6"/>
  <c r="GB100" i="6"/>
  <c r="GA100" i="6"/>
  <c r="BK101" i="6"/>
  <c r="BJ101" i="6"/>
  <c r="BI101" i="6"/>
  <c r="BH101" i="6"/>
  <c r="BG101" i="6"/>
  <c r="BF101" i="6"/>
  <c r="BE101" i="6"/>
  <c r="BM101" i="6"/>
  <c r="FO101" i="6"/>
  <c r="FN101" i="6"/>
  <c r="FM101" i="6"/>
  <c r="FL101" i="6"/>
  <c r="FK101" i="6"/>
  <c r="FS101" i="6"/>
  <c r="FQ101" i="6"/>
  <c r="FP101" i="6"/>
  <c r="AQ102" i="6"/>
  <c r="AO102" i="6"/>
  <c r="AN102" i="6"/>
  <c r="AM102" i="6"/>
  <c r="AL102" i="6"/>
  <c r="AK102" i="6"/>
  <c r="AJ102" i="6"/>
  <c r="AI102" i="6"/>
  <c r="X102" i="6"/>
  <c r="AF102" i="6"/>
  <c r="AD102" i="6"/>
  <c r="AC102" i="6"/>
  <c r="AB102" i="6"/>
  <c r="AA102" i="6"/>
  <c r="Z102" i="6"/>
  <c r="Y102" i="6"/>
  <c r="M103" i="6"/>
  <c r="U103" i="6"/>
  <c r="S103" i="6"/>
  <c r="R103" i="6"/>
  <c r="Q103" i="6"/>
  <c r="P103" i="6"/>
  <c r="O103" i="6"/>
  <c r="N103" i="6"/>
  <c r="AY103" i="6"/>
  <c r="AX103" i="6"/>
  <c r="AW103" i="6"/>
  <c r="AV103" i="6"/>
  <c r="AU103" i="6"/>
  <c r="AT103" i="6"/>
  <c r="BB103" i="6"/>
  <c r="AZ103" i="6"/>
  <c r="B104" i="6"/>
  <c r="J104" i="6"/>
  <c r="H104" i="6"/>
  <c r="G104" i="6"/>
  <c r="F104" i="6"/>
  <c r="E104" i="6"/>
  <c r="D104" i="6"/>
  <c r="C104" i="6"/>
  <c r="BR104" i="6"/>
  <c r="BQ104" i="6"/>
  <c r="BP104" i="6"/>
  <c r="BX104" i="6"/>
  <c r="BV104" i="6"/>
  <c r="BU104" i="6"/>
  <c r="BT104" i="6"/>
  <c r="BS104" i="6"/>
  <c r="FV104" i="6"/>
  <c r="GD104" i="6"/>
  <c r="GB104" i="6"/>
  <c r="GA104" i="6"/>
  <c r="FZ104" i="6"/>
  <c r="FY104" i="6"/>
  <c r="FX104" i="6"/>
  <c r="FW104" i="6"/>
  <c r="BG105" i="6"/>
  <c r="BF105" i="6"/>
  <c r="BE105" i="6"/>
  <c r="BM105" i="6"/>
  <c r="BK105" i="6"/>
  <c r="BJ105" i="6"/>
  <c r="BI105" i="6"/>
  <c r="BH105" i="6"/>
  <c r="FK105" i="6"/>
  <c r="FS105" i="6"/>
  <c r="FQ105" i="6"/>
  <c r="FP105" i="6"/>
  <c r="FO105" i="6"/>
  <c r="FN105" i="6"/>
  <c r="FM105" i="6"/>
  <c r="FL105" i="6"/>
  <c r="AL106" i="6"/>
  <c r="AK106" i="6"/>
  <c r="AJ106" i="6"/>
  <c r="AI106" i="6"/>
  <c r="AQ106" i="6"/>
  <c r="AO106" i="6"/>
  <c r="AN106" i="6"/>
  <c r="AM106" i="6"/>
  <c r="AB106" i="6"/>
  <c r="AA106" i="6"/>
  <c r="Z106" i="6"/>
  <c r="Y106" i="6"/>
  <c r="X106" i="6"/>
  <c r="AF106" i="6"/>
  <c r="AD106" i="6"/>
  <c r="AC106" i="6"/>
  <c r="Q107" i="6"/>
  <c r="P107" i="6"/>
  <c r="O107" i="6"/>
  <c r="N107" i="6"/>
  <c r="M107" i="6"/>
  <c r="U107" i="6"/>
  <c r="S107" i="6"/>
  <c r="R107" i="6"/>
  <c r="AU107" i="6"/>
  <c r="AT107" i="6"/>
  <c r="BB107" i="6"/>
  <c r="AZ107" i="6"/>
  <c r="AY107" i="6"/>
  <c r="AX107" i="6"/>
  <c r="AW107" i="6"/>
  <c r="AV107" i="6"/>
  <c r="F108" i="6"/>
  <c r="E108" i="6"/>
  <c r="D108" i="6"/>
  <c r="C108" i="6"/>
  <c r="B108" i="6"/>
  <c r="J108" i="6"/>
  <c r="H108" i="6"/>
  <c r="G108" i="6"/>
  <c r="BV108" i="6"/>
  <c r="BU108" i="6"/>
  <c r="BT108" i="6"/>
  <c r="BS108" i="6"/>
  <c r="BR108" i="6"/>
  <c r="BQ108" i="6"/>
  <c r="BP108" i="6"/>
  <c r="BX108" i="6"/>
  <c r="FZ108" i="6"/>
  <c r="FY108" i="6"/>
  <c r="FX108" i="6"/>
  <c r="FW108" i="6"/>
  <c r="FV108" i="6"/>
  <c r="GD108" i="6"/>
  <c r="GB108" i="6"/>
  <c r="GA108" i="6"/>
  <c r="BK109" i="6"/>
  <c r="BJ109" i="6"/>
  <c r="BI109" i="6"/>
  <c r="BH109" i="6"/>
  <c r="BG109" i="6"/>
  <c r="BF109" i="6"/>
  <c r="BE109" i="6"/>
  <c r="BM109" i="6"/>
  <c r="FO109" i="6"/>
  <c r="FN109" i="6"/>
  <c r="FM109" i="6"/>
  <c r="FL109" i="6"/>
  <c r="FK109" i="6"/>
  <c r="FS109" i="6"/>
  <c r="FQ109" i="6"/>
  <c r="FP109" i="6"/>
  <c r="AQ110" i="6"/>
  <c r="AO110" i="6"/>
  <c r="AN110" i="6"/>
  <c r="AM110" i="6"/>
  <c r="AL110" i="6"/>
  <c r="AK110" i="6"/>
  <c r="AJ110" i="6"/>
  <c r="AI110" i="6"/>
  <c r="X110" i="6"/>
  <c r="AF110" i="6"/>
  <c r="AD110" i="6"/>
  <c r="AC110" i="6"/>
  <c r="AB110" i="6"/>
  <c r="AA110" i="6"/>
  <c r="Z110" i="6"/>
  <c r="Y110" i="6"/>
  <c r="M111" i="6"/>
  <c r="U111" i="6"/>
  <c r="S111" i="6"/>
  <c r="R111" i="6"/>
  <c r="Q111" i="6"/>
  <c r="P111" i="6"/>
  <c r="O111" i="6"/>
  <c r="N111" i="6"/>
  <c r="AY111" i="6"/>
  <c r="AX111" i="6"/>
  <c r="AW111" i="6"/>
  <c r="AV111" i="6"/>
  <c r="AU111" i="6"/>
  <c r="AT111" i="6"/>
  <c r="BB111" i="6"/>
  <c r="AZ111" i="6"/>
  <c r="B112" i="6"/>
  <c r="J112" i="6"/>
  <c r="H112" i="6"/>
  <c r="G112" i="6"/>
  <c r="F112" i="6"/>
  <c r="E112" i="6"/>
  <c r="D112" i="6"/>
  <c r="C112" i="6"/>
  <c r="BR112" i="6"/>
  <c r="BQ112" i="6"/>
  <c r="BP112" i="6"/>
  <c r="BX112" i="6"/>
  <c r="BV112" i="6"/>
  <c r="BU112" i="6"/>
  <c r="BT112" i="6"/>
  <c r="BS112" i="6"/>
  <c r="FV112" i="6"/>
  <c r="GD112" i="6"/>
  <c r="GB112" i="6"/>
  <c r="GA112" i="6"/>
  <c r="FZ112" i="6"/>
  <c r="FY112" i="6"/>
  <c r="FX112" i="6"/>
  <c r="FW112" i="6"/>
  <c r="BG113" i="6"/>
  <c r="BF113" i="6"/>
  <c r="BE113" i="6"/>
  <c r="BM113" i="6"/>
  <c r="BK113" i="6"/>
  <c r="BJ113" i="6"/>
  <c r="BI113" i="6"/>
  <c r="BH113" i="6"/>
  <c r="FK113" i="6"/>
  <c r="FS113" i="6"/>
  <c r="FQ113" i="6"/>
  <c r="FP113" i="6"/>
  <c r="FO113" i="6"/>
  <c r="FN113" i="6"/>
  <c r="FM113" i="6"/>
  <c r="FL113" i="6"/>
  <c r="AL114" i="6"/>
  <c r="AK114" i="6"/>
  <c r="AJ114" i="6"/>
  <c r="AI114" i="6"/>
  <c r="AQ114" i="6"/>
  <c r="AO114" i="6"/>
  <c r="AN114" i="6"/>
  <c r="AM114" i="6"/>
  <c r="AB114" i="6"/>
  <c r="AA114" i="6"/>
  <c r="Z114" i="6"/>
  <c r="Y114" i="6"/>
  <c r="X114" i="6"/>
  <c r="AF114" i="6"/>
  <c r="AD114" i="6"/>
  <c r="AC114" i="6"/>
  <c r="Q115" i="6"/>
  <c r="P115" i="6"/>
  <c r="O115" i="6"/>
  <c r="N115" i="6"/>
  <c r="M115" i="6"/>
  <c r="U115" i="6"/>
  <c r="S115" i="6"/>
  <c r="R115" i="6"/>
  <c r="AU115" i="6"/>
  <c r="AT115" i="6"/>
  <c r="BB115" i="6"/>
  <c r="AZ115" i="6"/>
  <c r="AY115" i="6"/>
  <c r="AX115" i="6"/>
  <c r="AW115" i="6"/>
  <c r="AV115" i="6"/>
  <c r="F116" i="6"/>
  <c r="E116" i="6"/>
  <c r="D116" i="6"/>
  <c r="C116" i="6"/>
  <c r="B116" i="6"/>
  <c r="J116" i="6"/>
  <c r="H116" i="6"/>
  <c r="G116" i="6"/>
  <c r="BV116" i="6"/>
  <c r="BU116" i="6"/>
  <c r="BT116" i="6"/>
  <c r="BS116" i="6"/>
  <c r="BR116" i="6"/>
  <c r="BQ116" i="6"/>
  <c r="BP116" i="6"/>
  <c r="BX116" i="6"/>
  <c r="FZ116" i="6"/>
  <c r="FY116" i="6"/>
  <c r="FX116" i="6"/>
  <c r="FW116" i="6"/>
  <c r="FV116" i="6"/>
  <c r="GD116" i="6"/>
  <c r="GB116" i="6"/>
  <c r="GA116" i="6"/>
  <c r="BK117" i="6"/>
  <c r="BJ117" i="6"/>
  <c r="BI117" i="6"/>
  <c r="BH117" i="6"/>
  <c r="BG117" i="6"/>
  <c r="BF117" i="6"/>
  <c r="BE117" i="6"/>
  <c r="BM117" i="6"/>
  <c r="FO117" i="6"/>
  <c r="FN117" i="6"/>
  <c r="FM117" i="6"/>
  <c r="FL117" i="6"/>
  <c r="FK117" i="6"/>
  <c r="FS117" i="6"/>
  <c r="FQ117" i="6"/>
  <c r="FP117" i="6"/>
  <c r="AQ118" i="6"/>
  <c r="AO118" i="6"/>
  <c r="AN118" i="6"/>
  <c r="AM118" i="6"/>
  <c r="AL118" i="6"/>
  <c r="AK118" i="6"/>
  <c r="AJ118" i="6"/>
  <c r="AI118" i="6"/>
  <c r="X118" i="6"/>
  <c r="AF118" i="6"/>
  <c r="AD118" i="6"/>
  <c r="AC118" i="6"/>
  <c r="AB118" i="6"/>
  <c r="AA118" i="6"/>
  <c r="Z118" i="6"/>
  <c r="Y118" i="6"/>
  <c r="M119" i="6"/>
  <c r="U119" i="6"/>
  <c r="S119" i="6"/>
  <c r="R119" i="6"/>
  <c r="Q119" i="6"/>
  <c r="P119" i="6"/>
  <c r="O119" i="6"/>
  <c r="N119" i="6"/>
  <c r="AY119" i="6"/>
  <c r="AX119" i="6"/>
  <c r="AW119" i="6"/>
  <c r="AV119" i="6"/>
  <c r="AU119" i="6"/>
  <c r="AT119" i="6"/>
  <c r="BB119" i="6"/>
  <c r="AZ119" i="6"/>
  <c r="B120" i="6"/>
  <c r="J120" i="6"/>
  <c r="H120" i="6"/>
  <c r="G120" i="6"/>
  <c r="F120" i="6"/>
  <c r="E120" i="6"/>
  <c r="D120" i="6"/>
  <c r="C120" i="6"/>
  <c r="BR120" i="6"/>
  <c r="BQ120" i="6"/>
  <c r="BP120" i="6"/>
  <c r="BX120" i="6"/>
  <c r="BV120" i="6"/>
  <c r="BU120" i="6"/>
  <c r="BT120" i="6"/>
  <c r="BS120" i="6"/>
  <c r="FV120" i="6"/>
  <c r="GD120" i="6"/>
  <c r="GB120" i="6"/>
  <c r="GA120" i="6"/>
  <c r="FZ120" i="6"/>
  <c r="FY120" i="6"/>
  <c r="FX120" i="6"/>
  <c r="FW120" i="6"/>
  <c r="DU3" i="6"/>
  <c r="DT3" i="6"/>
  <c r="DS3" i="6"/>
  <c r="EA3" i="6"/>
  <c r="DY3" i="6"/>
  <c r="DX3" i="6"/>
  <c r="DW3" i="6"/>
  <c r="DV3" i="6"/>
  <c r="CQ3" i="6"/>
  <c r="CP3" i="6"/>
  <c r="CO3" i="6"/>
  <c r="CN3" i="6"/>
  <c r="CM3" i="6"/>
  <c r="CL3" i="6"/>
  <c r="CT3" i="6"/>
  <c r="CR3" i="6"/>
  <c r="DT4" i="6"/>
  <c r="DS4" i="6"/>
  <c r="EA4" i="6"/>
  <c r="DY4" i="6"/>
  <c r="DX4" i="6"/>
  <c r="DW4" i="6"/>
  <c r="DV4" i="6"/>
  <c r="DU4" i="6"/>
  <c r="CP4" i="6"/>
  <c r="CO4" i="6"/>
  <c r="CN4" i="6"/>
  <c r="CM4" i="6"/>
  <c r="CL4" i="6"/>
  <c r="CT4" i="6"/>
  <c r="CR4" i="6"/>
  <c r="CQ4" i="6"/>
  <c r="DS5" i="6"/>
  <c r="EA5" i="6"/>
  <c r="DY5" i="6"/>
  <c r="DX5" i="6"/>
  <c r="DW5" i="6"/>
  <c r="DV5" i="6"/>
  <c r="DU5" i="6"/>
  <c r="DT5" i="6"/>
  <c r="CO5" i="6"/>
  <c r="CN5" i="6"/>
  <c r="CM5" i="6"/>
  <c r="CL5" i="6"/>
  <c r="CT5" i="6"/>
  <c r="CR5" i="6"/>
  <c r="CQ5" i="6"/>
  <c r="CP5" i="6"/>
  <c r="EA6" i="6"/>
  <c r="DY6" i="6"/>
  <c r="DX6" i="6"/>
  <c r="DW6" i="6"/>
  <c r="DV6" i="6"/>
  <c r="DU6" i="6"/>
  <c r="DT6" i="6"/>
  <c r="DS6" i="6"/>
  <c r="CN6" i="6"/>
  <c r="CM6" i="6"/>
  <c r="CL6" i="6"/>
  <c r="CT6" i="6"/>
  <c r="CR6" i="6"/>
  <c r="CQ6" i="6"/>
  <c r="CP6" i="6"/>
  <c r="CO6" i="6"/>
  <c r="DY7" i="6"/>
  <c r="DX7" i="6"/>
  <c r="DW7" i="6"/>
  <c r="DV7" i="6"/>
  <c r="DU7" i="6"/>
  <c r="DT7" i="6"/>
  <c r="DS7" i="6"/>
  <c r="EA7" i="6"/>
  <c r="CM7" i="6"/>
  <c r="CL7" i="6"/>
  <c r="CT7" i="6"/>
  <c r="CR7" i="6"/>
  <c r="CQ7" i="6"/>
  <c r="CP7" i="6"/>
  <c r="CO7" i="6"/>
  <c r="CN7" i="6"/>
  <c r="DX8" i="6"/>
  <c r="DW8" i="6"/>
  <c r="DV8" i="6"/>
  <c r="DU8" i="6"/>
  <c r="DT8" i="6"/>
  <c r="DS8" i="6"/>
  <c r="EA8" i="6"/>
  <c r="DY8" i="6"/>
  <c r="CL8" i="6"/>
  <c r="CT8" i="6"/>
  <c r="CR8" i="6"/>
  <c r="CQ8" i="6"/>
  <c r="CP8" i="6"/>
  <c r="CO8" i="6"/>
  <c r="CN8" i="6"/>
  <c r="CM8" i="6"/>
  <c r="DW9" i="6"/>
  <c r="DV9" i="6"/>
  <c r="DU9" i="6"/>
  <c r="DT9" i="6"/>
  <c r="DS9" i="6"/>
  <c r="EA9" i="6"/>
  <c r="DY9" i="6"/>
  <c r="DX9" i="6"/>
  <c r="CT9" i="6"/>
  <c r="CR9" i="6"/>
  <c r="CQ9" i="6"/>
  <c r="CP9" i="6"/>
  <c r="CO9" i="6"/>
  <c r="CN9" i="6"/>
  <c r="CM9" i="6"/>
  <c r="CL9" i="6"/>
  <c r="DV10" i="6"/>
  <c r="DU10" i="6"/>
  <c r="DT10" i="6"/>
  <c r="DS10" i="6"/>
  <c r="EA10" i="6"/>
  <c r="DY10" i="6"/>
  <c r="DX10" i="6"/>
  <c r="DW10" i="6"/>
  <c r="CR10" i="6"/>
  <c r="CQ10" i="6"/>
  <c r="CP10" i="6"/>
  <c r="CO10" i="6"/>
  <c r="CN10" i="6"/>
  <c r="CM10" i="6"/>
  <c r="CL10" i="6"/>
  <c r="CT10" i="6"/>
  <c r="DU11" i="6"/>
  <c r="DT11" i="6"/>
  <c r="DS11" i="6"/>
  <c r="EA11" i="6"/>
  <c r="DY11" i="6"/>
  <c r="DX11" i="6"/>
  <c r="DW11" i="6"/>
  <c r="DV11" i="6"/>
  <c r="CQ11" i="6"/>
  <c r="CP11" i="6"/>
  <c r="CO11" i="6"/>
  <c r="CN11" i="6"/>
  <c r="CM11" i="6"/>
  <c r="CL11" i="6"/>
  <c r="CT11" i="6"/>
  <c r="CR11" i="6"/>
  <c r="DT12" i="6"/>
  <c r="DS12" i="6"/>
  <c r="EA12" i="6"/>
  <c r="DY12" i="6"/>
  <c r="DX12" i="6"/>
  <c r="DW12" i="6"/>
  <c r="DV12" i="6"/>
  <c r="DU12" i="6"/>
  <c r="CP12" i="6"/>
  <c r="CO12" i="6"/>
  <c r="CN12" i="6"/>
  <c r="CM12" i="6"/>
  <c r="CL12" i="6"/>
  <c r="CT12" i="6"/>
  <c r="CR12" i="6"/>
  <c r="CQ12" i="6"/>
  <c r="DS13" i="6"/>
  <c r="EA13" i="6"/>
  <c r="DY13" i="6"/>
  <c r="DX13" i="6"/>
  <c r="DW13" i="6"/>
  <c r="DV13" i="6"/>
  <c r="DU13" i="6"/>
  <c r="DT13" i="6"/>
  <c r="CO13" i="6"/>
  <c r="CN13" i="6"/>
  <c r="CM13" i="6"/>
  <c r="CL13" i="6"/>
  <c r="CT13" i="6"/>
  <c r="CR13" i="6"/>
  <c r="CQ13" i="6"/>
  <c r="CP13" i="6"/>
  <c r="EA14" i="6"/>
  <c r="DY14" i="6"/>
  <c r="DX14" i="6"/>
  <c r="DW14" i="6"/>
  <c r="DV14" i="6"/>
  <c r="DU14" i="6"/>
  <c r="DT14" i="6"/>
  <c r="DS14" i="6"/>
  <c r="CN14" i="6"/>
  <c r="CM14" i="6"/>
  <c r="CL14" i="6"/>
  <c r="CT14" i="6"/>
  <c r="CR14" i="6"/>
  <c r="CQ14" i="6"/>
  <c r="CP14" i="6"/>
  <c r="CO14" i="6"/>
  <c r="DY15" i="6"/>
  <c r="DX15" i="6"/>
  <c r="DW15" i="6"/>
  <c r="DV15" i="6"/>
  <c r="DU15" i="6"/>
  <c r="DT15" i="6"/>
  <c r="DS15" i="6"/>
  <c r="EA15" i="6"/>
  <c r="CM15" i="6"/>
  <c r="CL15" i="6"/>
  <c r="CT15" i="6"/>
  <c r="CR15" i="6"/>
  <c r="CQ15" i="6"/>
  <c r="CP15" i="6"/>
  <c r="CO15" i="6"/>
  <c r="CN15" i="6"/>
  <c r="DX16" i="6"/>
  <c r="DW16" i="6"/>
  <c r="DV16" i="6"/>
  <c r="DU16" i="6"/>
  <c r="DT16" i="6"/>
  <c r="DS16" i="6"/>
  <c r="EA16" i="6"/>
  <c r="DY16" i="6"/>
  <c r="CL16" i="6"/>
  <c r="CT16" i="6"/>
  <c r="CR16" i="6"/>
  <c r="CQ16" i="6"/>
  <c r="CP16" i="6"/>
  <c r="CO16" i="6"/>
  <c r="CN16" i="6"/>
  <c r="CM16" i="6"/>
  <c r="DW17" i="6"/>
  <c r="DV17" i="6"/>
  <c r="DU17" i="6"/>
  <c r="DT17" i="6"/>
  <c r="DS17" i="6"/>
  <c r="EA17" i="6"/>
  <c r="DY17" i="6"/>
  <c r="DX17" i="6"/>
  <c r="CT17" i="6"/>
  <c r="CR17" i="6"/>
  <c r="CQ17" i="6"/>
  <c r="CP17" i="6"/>
  <c r="CO17" i="6"/>
  <c r="CN17" i="6"/>
  <c r="CM17" i="6"/>
  <c r="CL17" i="6"/>
  <c r="DV18" i="6"/>
  <c r="DU18" i="6"/>
  <c r="DT18" i="6"/>
  <c r="DS18" i="6"/>
  <c r="EA18" i="6"/>
  <c r="DY18" i="6"/>
  <c r="DX18" i="6"/>
  <c r="DW18" i="6"/>
  <c r="CR18" i="6"/>
  <c r="CQ18" i="6"/>
  <c r="CP18" i="6"/>
  <c r="CO18" i="6"/>
  <c r="CN18" i="6"/>
  <c r="CM18" i="6"/>
  <c r="CL18" i="6"/>
  <c r="CT18" i="6"/>
  <c r="DU19" i="6"/>
  <c r="DT19" i="6"/>
  <c r="DS19" i="6"/>
  <c r="EA19" i="6"/>
  <c r="DY19" i="6"/>
  <c r="DX19" i="6"/>
  <c r="DW19" i="6"/>
  <c r="DV19" i="6"/>
  <c r="CQ19" i="6"/>
  <c r="CP19" i="6"/>
  <c r="CO19" i="6"/>
  <c r="CN19" i="6"/>
  <c r="CM19" i="6"/>
  <c r="CL19" i="6"/>
  <c r="CT19" i="6"/>
  <c r="CR19" i="6"/>
  <c r="DT20" i="6"/>
  <c r="DS20" i="6"/>
  <c r="EA20" i="6"/>
  <c r="DY20" i="6"/>
  <c r="DX20" i="6"/>
  <c r="DW20" i="6"/>
  <c r="DV20" i="6"/>
  <c r="DU20" i="6"/>
  <c r="CP20" i="6"/>
  <c r="CO20" i="6"/>
  <c r="CN20" i="6"/>
  <c r="CM20" i="6"/>
  <c r="CL20" i="6"/>
  <c r="CT20" i="6"/>
  <c r="CR20" i="6"/>
  <c r="CQ20" i="6"/>
  <c r="DS21" i="6"/>
  <c r="EA21" i="6"/>
  <c r="DY21" i="6"/>
  <c r="DX21" i="6"/>
  <c r="DW21" i="6"/>
  <c r="DV21" i="6"/>
  <c r="DU21" i="6"/>
  <c r="DT21" i="6"/>
  <c r="CO21" i="6"/>
  <c r="CN21" i="6"/>
  <c r="CM21" i="6"/>
  <c r="CL21" i="6"/>
  <c r="CT21" i="6"/>
  <c r="CR21" i="6"/>
  <c r="CQ21" i="6"/>
  <c r="CP21" i="6"/>
  <c r="EA22" i="6"/>
  <c r="DY22" i="6"/>
  <c r="DX22" i="6"/>
  <c r="DW22" i="6"/>
  <c r="DV22" i="6"/>
  <c r="DU22" i="6"/>
  <c r="DT22" i="6"/>
  <c r="DS22" i="6"/>
  <c r="CN22" i="6"/>
  <c r="CM22" i="6"/>
  <c r="CL22" i="6"/>
  <c r="CT22" i="6"/>
  <c r="CR22" i="6"/>
  <c r="CQ22" i="6"/>
  <c r="CP22" i="6"/>
  <c r="CO22" i="6"/>
  <c r="DY23" i="6"/>
  <c r="DX23" i="6"/>
  <c r="DW23" i="6"/>
  <c r="DV23" i="6"/>
  <c r="DU23" i="6"/>
  <c r="DT23" i="6"/>
  <c r="DS23" i="6"/>
  <c r="EA23" i="6"/>
  <c r="CM23" i="6"/>
  <c r="CL23" i="6"/>
  <c r="CT23" i="6"/>
  <c r="CR23" i="6"/>
  <c r="CQ23" i="6"/>
  <c r="CP23" i="6"/>
  <c r="CO23" i="6"/>
  <c r="CN23" i="6"/>
  <c r="DX24" i="6"/>
  <c r="DW24" i="6"/>
  <c r="DV24" i="6"/>
  <c r="DU24" i="6"/>
  <c r="DT24" i="6"/>
  <c r="DS24" i="6"/>
  <c r="EA24" i="6"/>
  <c r="DY24" i="6"/>
  <c r="CL24" i="6"/>
  <c r="CT24" i="6"/>
  <c r="CR24" i="6"/>
  <c r="CQ24" i="6"/>
  <c r="CP24" i="6"/>
  <c r="CO24" i="6"/>
  <c r="CN24" i="6"/>
  <c r="CM24" i="6"/>
  <c r="DW25" i="6"/>
  <c r="DV25" i="6"/>
  <c r="DU25" i="6"/>
  <c r="DT25" i="6"/>
  <c r="DS25" i="6"/>
  <c r="EA25" i="6"/>
  <c r="DY25" i="6"/>
  <c r="DX25" i="6"/>
  <c r="CT25" i="6"/>
  <c r="CR25" i="6"/>
  <c r="CQ25" i="6"/>
  <c r="CP25" i="6"/>
  <c r="CO25" i="6"/>
  <c r="CN25" i="6"/>
  <c r="CM25" i="6"/>
  <c r="CL25" i="6"/>
  <c r="DV26" i="6"/>
  <c r="DU26" i="6"/>
  <c r="DT26" i="6"/>
  <c r="DS26" i="6"/>
  <c r="EA26" i="6"/>
  <c r="DY26" i="6"/>
  <c r="DX26" i="6"/>
  <c r="DW26" i="6"/>
  <c r="CR26" i="6"/>
  <c r="CQ26" i="6"/>
  <c r="CP26" i="6"/>
  <c r="CO26" i="6"/>
  <c r="CN26" i="6"/>
  <c r="CM26" i="6"/>
  <c r="CL26" i="6"/>
  <c r="CT26" i="6"/>
  <c r="DU27" i="6"/>
  <c r="DT27" i="6"/>
  <c r="DS27" i="6"/>
  <c r="EA27" i="6"/>
  <c r="DY27" i="6"/>
  <c r="DX27" i="6"/>
  <c r="DW27" i="6"/>
  <c r="DV27" i="6"/>
  <c r="CQ27" i="6"/>
  <c r="CP27" i="6"/>
  <c r="CO27" i="6"/>
  <c r="CN27" i="6"/>
  <c r="CM27" i="6"/>
  <c r="CL27" i="6"/>
  <c r="CT27" i="6"/>
  <c r="CR27" i="6"/>
  <c r="DT28" i="6"/>
  <c r="DS28" i="6"/>
  <c r="EA28" i="6"/>
  <c r="DY28" i="6"/>
  <c r="DX28" i="6"/>
  <c r="DW28" i="6"/>
  <c r="DV28" i="6"/>
  <c r="DU28" i="6"/>
  <c r="CP28" i="6"/>
  <c r="CO28" i="6"/>
  <c r="CN28" i="6"/>
  <c r="CM28" i="6"/>
  <c r="CL28" i="6"/>
  <c r="CT28" i="6"/>
  <c r="CR28" i="6"/>
  <c r="CQ28" i="6"/>
  <c r="DS29" i="6"/>
  <c r="EA29" i="6"/>
  <c r="DY29" i="6"/>
  <c r="DX29" i="6"/>
  <c r="DW29" i="6"/>
  <c r="DV29" i="6"/>
  <c r="DU29" i="6"/>
  <c r="DT29" i="6"/>
  <c r="CO29" i="6"/>
  <c r="CN29" i="6"/>
  <c r="CM29" i="6"/>
  <c r="CL29" i="6"/>
  <c r="CT29" i="6"/>
  <c r="CR29" i="6"/>
  <c r="CQ29" i="6"/>
  <c r="CP29" i="6"/>
  <c r="EA30" i="6"/>
  <c r="DY30" i="6"/>
  <c r="DX30" i="6"/>
  <c r="DW30" i="6"/>
  <c r="DV30" i="6"/>
  <c r="DU30" i="6"/>
  <c r="DT30" i="6"/>
  <c r="DS30" i="6"/>
  <c r="CN30" i="6"/>
  <c r="CM30" i="6"/>
  <c r="CL30" i="6"/>
  <c r="CT30" i="6"/>
  <c r="CR30" i="6"/>
  <c r="CQ30" i="6"/>
  <c r="CP30" i="6"/>
  <c r="CO30" i="6"/>
  <c r="DY31" i="6"/>
  <c r="DX31" i="6"/>
  <c r="DW31" i="6"/>
  <c r="DV31" i="6"/>
  <c r="DU31" i="6"/>
  <c r="DT31" i="6"/>
  <c r="DS31" i="6"/>
  <c r="EA31" i="6"/>
  <c r="CM31" i="6"/>
  <c r="CL31" i="6"/>
  <c r="CT31" i="6"/>
  <c r="CR31" i="6"/>
  <c r="CQ31" i="6"/>
  <c r="CP31" i="6"/>
  <c r="CO31" i="6"/>
  <c r="CN31" i="6"/>
  <c r="DX32" i="6"/>
  <c r="DW32" i="6"/>
  <c r="DV32" i="6"/>
  <c r="DU32" i="6"/>
  <c r="DT32" i="6"/>
  <c r="DS32" i="6"/>
  <c r="EA32" i="6"/>
  <c r="DY32" i="6"/>
  <c r="CL32" i="6"/>
  <c r="CT32" i="6"/>
  <c r="CR32" i="6"/>
  <c r="CQ32" i="6"/>
  <c r="CP32" i="6"/>
  <c r="CO32" i="6"/>
  <c r="CN32" i="6"/>
  <c r="CM32" i="6"/>
  <c r="DW33" i="6"/>
  <c r="DV33" i="6"/>
  <c r="DU33" i="6"/>
  <c r="DT33" i="6"/>
  <c r="DS33" i="6"/>
  <c r="EA33" i="6"/>
  <c r="DY33" i="6"/>
  <c r="DX33" i="6"/>
  <c r="CT33" i="6"/>
  <c r="CR33" i="6"/>
  <c r="CQ33" i="6"/>
  <c r="CP33" i="6"/>
  <c r="CO33" i="6"/>
  <c r="CN33" i="6"/>
  <c r="CM33" i="6"/>
  <c r="CL33" i="6"/>
  <c r="DV34" i="6"/>
  <c r="DU34" i="6"/>
  <c r="DT34" i="6"/>
  <c r="DS34" i="6"/>
  <c r="EA34" i="6"/>
  <c r="DY34" i="6"/>
  <c r="DX34" i="6"/>
  <c r="DW34" i="6"/>
  <c r="CR34" i="6"/>
  <c r="CQ34" i="6"/>
  <c r="CP34" i="6"/>
  <c r="CO34" i="6"/>
  <c r="CN34" i="6"/>
  <c r="CM34" i="6"/>
  <c r="CL34" i="6"/>
  <c r="CT34" i="6"/>
  <c r="DU35" i="6"/>
  <c r="DT35" i="6"/>
  <c r="DS35" i="6"/>
  <c r="EA35" i="6"/>
  <c r="DY35" i="6"/>
  <c r="DX35" i="6"/>
  <c r="DW35" i="6"/>
  <c r="DV35" i="6"/>
  <c r="CQ35" i="6"/>
  <c r="CP35" i="6"/>
  <c r="CO35" i="6"/>
  <c r="CN35" i="6"/>
  <c r="CM35" i="6"/>
  <c r="CL35" i="6"/>
  <c r="CT35" i="6"/>
  <c r="CR35" i="6"/>
  <c r="DT36" i="6"/>
  <c r="DS36" i="6"/>
  <c r="EA36" i="6"/>
  <c r="DY36" i="6"/>
  <c r="DX36" i="6"/>
  <c r="DW36" i="6"/>
  <c r="DV36" i="6"/>
  <c r="DU36" i="6"/>
  <c r="CP36" i="6"/>
  <c r="CO36" i="6"/>
  <c r="CN36" i="6"/>
  <c r="CM36" i="6"/>
  <c r="CL36" i="6"/>
  <c r="CT36" i="6"/>
  <c r="CR36" i="6"/>
  <c r="CQ36" i="6"/>
  <c r="DS37" i="6"/>
  <c r="EA37" i="6"/>
  <c r="DY37" i="6"/>
  <c r="DX37" i="6"/>
  <c r="DW37" i="6"/>
  <c r="DV37" i="6"/>
  <c r="DU37" i="6"/>
  <c r="DT37" i="6"/>
  <c r="CO37" i="6"/>
  <c r="CN37" i="6"/>
  <c r="CM37" i="6"/>
  <c r="CL37" i="6"/>
  <c r="CT37" i="6"/>
  <c r="CR37" i="6"/>
  <c r="CQ37" i="6"/>
  <c r="CP37" i="6"/>
  <c r="EA38" i="6"/>
  <c r="DY38" i="6"/>
  <c r="DX38" i="6"/>
  <c r="DW38" i="6"/>
  <c r="DV38" i="6"/>
  <c r="DU38" i="6"/>
  <c r="DT38" i="6"/>
  <c r="DS38" i="6"/>
  <c r="CN38" i="6"/>
  <c r="CM38" i="6"/>
  <c r="CL38" i="6"/>
  <c r="CT38" i="6"/>
  <c r="CR38" i="6"/>
  <c r="CQ38" i="6"/>
  <c r="CP38" i="6"/>
  <c r="CO38" i="6"/>
  <c r="DY39" i="6"/>
  <c r="DX39" i="6"/>
  <c r="DW39" i="6"/>
  <c r="DV39" i="6"/>
  <c r="DU39" i="6"/>
  <c r="DT39" i="6"/>
  <c r="DS39" i="6"/>
  <c r="EA39" i="6"/>
  <c r="CM39" i="6"/>
  <c r="CL39" i="6"/>
  <c r="CT39" i="6"/>
  <c r="CR39" i="6"/>
  <c r="CQ39" i="6"/>
  <c r="CP39" i="6"/>
  <c r="CO39" i="6"/>
  <c r="CN39" i="6"/>
  <c r="DX40" i="6"/>
  <c r="DW40" i="6"/>
  <c r="DV40" i="6"/>
  <c r="DU40" i="6"/>
  <c r="DT40" i="6"/>
  <c r="DS40" i="6"/>
  <c r="EA40" i="6"/>
  <c r="DY40" i="6"/>
  <c r="CL40" i="6"/>
  <c r="CT40" i="6"/>
  <c r="CR40" i="6"/>
  <c r="CQ40" i="6"/>
  <c r="CP40" i="6"/>
  <c r="CO40" i="6"/>
  <c r="CN40" i="6"/>
  <c r="CM40" i="6"/>
  <c r="DW41" i="6"/>
  <c r="DV41" i="6"/>
  <c r="DU41" i="6"/>
  <c r="DT41" i="6"/>
  <c r="DS41" i="6"/>
  <c r="EA41" i="6"/>
  <c r="DY41" i="6"/>
  <c r="DX41" i="6"/>
  <c r="CT41" i="6"/>
  <c r="CR41" i="6"/>
  <c r="CQ41" i="6"/>
  <c r="CP41" i="6"/>
  <c r="CO41" i="6"/>
  <c r="CN41" i="6"/>
  <c r="CM41" i="6"/>
  <c r="CL41" i="6"/>
  <c r="DV42" i="6"/>
  <c r="DU42" i="6"/>
  <c r="DT42" i="6"/>
  <c r="DS42" i="6"/>
  <c r="EA42" i="6"/>
  <c r="DY42" i="6"/>
  <c r="DX42" i="6"/>
  <c r="DW42" i="6"/>
  <c r="CR42" i="6"/>
  <c r="CQ42" i="6"/>
  <c r="CP42" i="6"/>
  <c r="CO42" i="6"/>
  <c r="CN42" i="6"/>
  <c r="CM42" i="6"/>
  <c r="CL42" i="6"/>
  <c r="CT42" i="6"/>
  <c r="DU43" i="6"/>
  <c r="DT43" i="6"/>
  <c r="DS43" i="6"/>
  <c r="EA43" i="6"/>
  <c r="DY43" i="6"/>
  <c r="DX43" i="6"/>
  <c r="DW43" i="6"/>
  <c r="DV43" i="6"/>
  <c r="CQ43" i="6"/>
  <c r="CP43" i="6"/>
  <c r="CO43" i="6"/>
  <c r="CN43" i="6"/>
  <c r="CM43" i="6"/>
  <c r="CL43" i="6"/>
  <c r="CT43" i="6"/>
  <c r="CR43" i="6"/>
  <c r="DT44" i="6"/>
  <c r="DS44" i="6"/>
  <c r="EA44" i="6"/>
  <c r="DY44" i="6"/>
  <c r="DX44" i="6"/>
  <c r="DW44" i="6"/>
  <c r="DV44" i="6"/>
  <c r="DU44" i="6"/>
  <c r="CP44" i="6"/>
  <c r="CO44" i="6"/>
  <c r="CN44" i="6"/>
  <c r="CM44" i="6"/>
  <c r="CL44" i="6"/>
  <c r="CT44" i="6"/>
  <c r="CR44" i="6"/>
  <c r="CQ44" i="6"/>
  <c r="DS45" i="6"/>
  <c r="EA45" i="6"/>
  <c r="DY45" i="6"/>
  <c r="DX45" i="6"/>
  <c r="DW45" i="6"/>
  <c r="DV45" i="6"/>
  <c r="DU45" i="6"/>
  <c r="DT45" i="6"/>
  <c r="CO45" i="6"/>
  <c r="CN45" i="6"/>
  <c r="CM45" i="6"/>
  <c r="CL45" i="6"/>
  <c r="CT45" i="6"/>
  <c r="CR45" i="6"/>
  <c r="CQ45" i="6"/>
  <c r="CP45" i="6"/>
  <c r="EA46" i="6"/>
  <c r="DY46" i="6"/>
  <c r="DX46" i="6"/>
  <c r="DW46" i="6"/>
  <c r="DV46" i="6"/>
  <c r="DU46" i="6"/>
  <c r="DT46" i="6"/>
  <c r="DS46" i="6"/>
  <c r="CN46" i="6"/>
  <c r="CM46" i="6"/>
  <c r="CL46" i="6"/>
  <c r="CT46" i="6"/>
  <c r="CR46" i="6"/>
  <c r="CQ46" i="6"/>
  <c r="CP46" i="6"/>
  <c r="CO46" i="6"/>
  <c r="DY47" i="6"/>
  <c r="DX47" i="6"/>
  <c r="DW47" i="6"/>
  <c r="DV47" i="6"/>
  <c r="DU47" i="6"/>
  <c r="DT47" i="6"/>
  <c r="DS47" i="6"/>
  <c r="EA47" i="6"/>
  <c r="CM47" i="6"/>
  <c r="CL47" i="6"/>
  <c r="CT47" i="6"/>
  <c r="CR47" i="6"/>
  <c r="CQ47" i="6"/>
  <c r="CP47" i="6"/>
  <c r="CO47" i="6"/>
  <c r="CN47" i="6"/>
  <c r="DX48" i="6"/>
  <c r="DW48" i="6"/>
  <c r="DV48" i="6"/>
  <c r="DU48" i="6"/>
  <c r="DT48" i="6"/>
  <c r="DS48" i="6"/>
  <c r="EA48" i="6"/>
  <c r="DY48" i="6"/>
  <c r="CL48" i="6"/>
  <c r="CT48" i="6"/>
  <c r="CR48" i="6"/>
  <c r="CQ48" i="6"/>
  <c r="CP48" i="6"/>
  <c r="CO48" i="6"/>
  <c r="CN48" i="6"/>
  <c r="CM48" i="6"/>
  <c r="DW49" i="6"/>
  <c r="DV49" i="6"/>
  <c r="DU49" i="6"/>
  <c r="DT49" i="6"/>
  <c r="DS49" i="6"/>
  <c r="EA49" i="6"/>
  <c r="DY49" i="6"/>
  <c r="DX49" i="6"/>
  <c r="CT49" i="6"/>
  <c r="CR49" i="6"/>
  <c r="CQ49" i="6"/>
  <c r="CP49" i="6"/>
  <c r="CO49" i="6"/>
  <c r="CN49" i="6"/>
  <c r="CM49" i="6"/>
  <c r="CL49" i="6"/>
  <c r="DV50" i="6"/>
  <c r="DU50" i="6"/>
  <c r="DT50" i="6"/>
  <c r="DS50" i="6"/>
  <c r="EA50" i="6"/>
  <c r="DY50" i="6"/>
  <c r="DX50" i="6"/>
  <c r="DW50" i="6"/>
  <c r="CR50" i="6"/>
  <c r="CQ50" i="6"/>
  <c r="CP50" i="6"/>
  <c r="CO50" i="6"/>
  <c r="CN50" i="6"/>
  <c r="CM50" i="6"/>
  <c r="CL50" i="6"/>
  <c r="CT50" i="6"/>
  <c r="DU51" i="6"/>
  <c r="DT51" i="6"/>
  <c r="DS51" i="6"/>
  <c r="EA51" i="6"/>
  <c r="DY51" i="6"/>
  <c r="DX51" i="6"/>
  <c r="DW51" i="6"/>
  <c r="DV51" i="6"/>
  <c r="CQ51" i="6"/>
  <c r="CP51" i="6"/>
  <c r="CO51" i="6"/>
  <c r="CN51" i="6"/>
  <c r="CM51" i="6"/>
  <c r="CL51" i="6"/>
  <c r="CT51" i="6"/>
  <c r="CR51" i="6"/>
  <c r="DT52" i="6"/>
  <c r="DS52" i="6"/>
  <c r="EA52" i="6"/>
  <c r="DY52" i="6"/>
  <c r="DX52" i="6"/>
  <c r="DW52" i="6"/>
  <c r="DV52" i="6"/>
  <c r="DU52" i="6"/>
  <c r="CP52" i="6"/>
  <c r="CO52" i="6"/>
  <c r="CN52" i="6"/>
  <c r="CM52" i="6"/>
  <c r="CL52" i="6"/>
  <c r="CT52" i="6"/>
  <c r="CR52" i="6"/>
  <c r="CQ52" i="6"/>
  <c r="DS53" i="6"/>
  <c r="EA53" i="6"/>
  <c r="DY53" i="6"/>
  <c r="DX53" i="6"/>
  <c r="DW53" i="6"/>
  <c r="DV53" i="6"/>
  <c r="DU53" i="6"/>
  <c r="DT53" i="6"/>
  <c r="CO53" i="6"/>
  <c r="CN53" i="6"/>
  <c r="CM53" i="6"/>
  <c r="CL53" i="6"/>
  <c r="CT53" i="6"/>
  <c r="CR53" i="6"/>
  <c r="CQ53" i="6"/>
  <c r="CP53" i="6"/>
  <c r="EA54" i="6"/>
  <c r="DY54" i="6"/>
  <c r="DX54" i="6"/>
  <c r="DW54" i="6"/>
  <c r="DV54" i="6"/>
  <c r="DU54" i="6"/>
  <c r="DT54" i="6"/>
  <c r="DS54" i="6"/>
  <c r="CN54" i="6"/>
  <c r="CM54" i="6"/>
  <c r="CL54" i="6"/>
  <c r="CT54" i="6"/>
  <c r="CR54" i="6"/>
  <c r="CQ54" i="6"/>
  <c r="CP54" i="6"/>
  <c r="CO54" i="6"/>
  <c r="DY55" i="6"/>
  <c r="DX55" i="6"/>
  <c r="DW55" i="6"/>
  <c r="DV55" i="6"/>
  <c r="DU55" i="6"/>
  <c r="DT55" i="6"/>
  <c r="DS55" i="6"/>
  <c r="EA55" i="6"/>
  <c r="CM55" i="6"/>
  <c r="CL55" i="6"/>
  <c r="CT55" i="6"/>
  <c r="CR55" i="6"/>
  <c r="CQ55" i="6"/>
  <c r="CP55" i="6"/>
  <c r="CO55" i="6"/>
  <c r="CN55" i="6"/>
  <c r="DX56" i="6"/>
  <c r="DW56" i="6"/>
  <c r="DV56" i="6"/>
  <c r="DU56" i="6"/>
  <c r="DT56" i="6"/>
  <c r="DS56" i="6"/>
  <c r="EA56" i="6"/>
  <c r="DY56" i="6"/>
  <c r="CL56" i="6"/>
  <c r="CT56" i="6"/>
  <c r="CR56" i="6"/>
  <c r="CQ56" i="6"/>
  <c r="CP56" i="6"/>
  <c r="CO56" i="6"/>
  <c r="CN56" i="6"/>
  <c r="CM56" i="6"/>
  <c r="DW57" i="6"/>
  <c r="DV57" i="6"/>
  <c r="DU57" i="6"/>
  <c r="DT57" i="6"/>
  <c r="DS57" i="6"/>
  <c r="EA57" i="6"/>
  <c r="DY57" i="6"/>
  <c r="DX57" i="6"/>
  <c r="CT57" i="6"/>
  <c r="CR57" i="6"/>
  <c r="CQ57" i="6"/>
  <c r="CP57" i="6"/>
  <c r="CO57" i="6"/>
  <c r="CN57" i="6"/>
  <c r="CM57" i="6"/>
  <c r="CL57" i="6"/>
  <c r="DV58" i="6"/>
  <c r="DU58" i="6"/>
  <c r="DT58" i="6"/>
  <c r="DS58" i="6"/>
  <c r="EA58" i="6"/>
  <c r="DY58" i="6"/>
  <c r="DX58" i="6"/>
  <c r="DW58" i="6"/>
  <c r="CR58" i="6"/>
  <c r="CQ58" i="6"/>
  <c r="CP58" i="6"/>
  <c r="CO58" i="6"/>
  <c r="CN58" i="6"/>
  <c r="CM58" i="6"/>
  <c r="CL58" i="6"/>
  <c r="CT58" i="6"/>
  <c r="DU59" i="6"/>
  <c r="DT59" i="6"/>
  <c r="DS59" i="6"/>
  <c r="EA59" i="6"/>
  <c r="DY59" i="6"/>
  <c r="DX59" i="6"/>
  <c r="DW59" i="6"/>
  <c r="DV59" i="6"/>
  <c r="CQ59" i="6"/>
  <c r="CP59" i="6"/>
  <c r="CO59" i="6"/>
  <c r="CN59" i="6"/>
  <c r="CM59" i="6"/>
  <c r="CL59" i="6"/>
  <c r="CT59" i="6"/>
  <c r="CR59" i="6"/>
  <c r="DT60" i="6"/>
  <c r="DS60" i="6"/>
  <c r="EA60" i="6"/>
  <c r="DY60" i="6"/>
  <c r="DX60" i="6"/>
  <c r="DW60" i="6"/>
  <c r="DV60" i="6"/>
  <c r="DU60" i="6"/>
  <c r="CP60" i="6"/>
  <c r="CO60" i="6"/>
  <c r="CN60" i="6"/>
  <c r="CM60" i="6"/>
  <c r="CL60" i="6"/>
  <c r="CT60" i="6"/>
  <c r="CR60" i="6"/>
  <c r="CQ60" i="6"/>
  <c r="DS61" i="6"/>
  <c r="EA61" i="6"/>
  <c r="DY61" i="6"/>
  <c r="DX61" i="6"/>
  <c r="DW61" i="6"/>
  <c r="DV61" i="6"/>
  <c r="DU61" i="6"/>
  <c r="DT61" i="6"/>
  <c r="CO61" i="6"/>
  <c r="CN61" i="6"/>
  <c r="CM61" i="6"/>
  <c r="CL61" i="6"/>
  <c r="CT61" i="6"/>
  <c r="CR61" i="6"/>
  <c r="CQ61" i="6"/>
  <c r="CP61" i="6"/>
  <c r="EA62" i="6"/>
  <c r="DY62" i="6"/>
  <c r="DX62" i="6"/>
  <c r="DW62" i="6"/>
  <c r="DV62" i="6"/>
  <c r="DU62" i="6"/>
  <c r="DT62" i="6"/>
  <c r="DS62" i="6"/>
  <c r="CN62" i="6"/>
  <c r="CM62" i="6"/>
  <c r="CL62" i="6"/>
  <c r="CT62" i="6"/>
  <c r="CR62" i="6"/>
  <c r="CQ62" i="6"/>
  <c r="CP62" i="6"/>
  <c r="CO62" i="6"/>
  <c r="DY63" i="6"/>
  <c r="DX63" i="6"/>
  <c r="DW63" i="6"/>
  <c r="DV63" i="6"/>
  <c r="DU63" i="6"/>
  <c r="DT63" i="6"/>
  <c r="DS63" i="6"/>
  <c r="EA63" i="6"/>
  <c r="CM63" i="6"/>
  <c r="CL63" i="6"/>
  <c r="CT63" i="6"/>
  <c r="CR63" i="6"/>
  <c r="CQ63" i="6"/>
  <c r="CP63" i="6"/>
  <c r="CO63" i="6"/>
  <c r="CN63" i="6"/>
  <c r="DX64" i="6"/>
  <c r="DW64" i="6"/>
  <c r="DV64" i="6"/>
  <c r="DU64" i="6"/>
  <c r="DT64" i="6"/>
  <c r="DS64" i="6"/>
  <c r="EA64" i="6"/>
  <c r="DY64" i="6"/>
  <c r="CL64" i="6"/>
  <c r="CT64" i="6"/>
  <c r="CR64" i="6"/>
  <c r="CQ64" i="6"/>
  <c r="CP64" i="6"/>
  <c r="CO64" i="6"/>
  <c r="CN64" i="6"/>
  <c r="CM64" i="6"/>
  <c r="DW65" i="6"/>
  <c r="DV65" i="6"/>
  <c r="DU65" i="6"/>
  <c r="DT65" i="6"/>
  <c r="DS65" i="6"/>
  <c r="EA65" i="6"/>
  <c r="DY65" i="6"/>
  <c r="DX65" i="6"/>
  <c r="CT65" i="6"/>
  <c r="CR65" i="6"/>
  <c r="CQ65" i="6"/>
  <c r="CP65" i="6"/>
  <c r="CO65" i="6"/>
  <c r="CN65" i="6"/>
  <c r="CM65" i="6"/>
  <c r="CL65" i="6"/>
  <c r="DV66" i="6"/>
  <c r="DU66" i="6"/>
  <c r="DT66" i="6"/>
  <c r="DS66" i="6"/>
  <c r="EA66" i="6"/>
  <c r="DY66" i="6"/>
  <c r="DX66" i="6"/>
  <c r="DW66" i="6"/>
  <c r="CR66" i="6"/>
  <c r="CQ66" i="6"/>
  <c r="CP66" i="6"/>
  <c r="CO66" i="6"/>
  <c r="CN66" i="6"/>
  <c r="CM66" i="6"/>
  <c r="CL66" i="6"/>
  <c r="CT66" i="6"/>
  <c r="DU67" i="6"/>
  <c r="DT67" i="6"/>
  <c r="DS67" i="6"/>
  <c r="EA67" i="6"/>
  <c r="DY67" i="6"/>
  <c r="DX67" i="6"/>
  <c r="DW67" i="6"/>
  <c r="DV67" i="6"/>
  <c r="CQ67" i="6"/>
  <c r="CP67" i="6"/>
  <c r="CO67" i="6"/>
  <c r="CN67" i="6"/>
  <c r="CM67" i="6"/>
  <c r="CL67" i="6"/>
  <c r="CT67" i="6"/>
  <c r="CR67" i="6"/>
  <c r="DT68" i="6"/>
  <c r="DS68" i="6"/>
  <c r="EA68" i="6"/>
  <c r="DY68" i="6"/>
  <c r="DX68" i="6"/>
  <c r="DW68" i="6"/>
  <c r="DV68" i="6"/>
  <c r="DU68" i="6"/>
  <c r="CP68" i="6"/>
  <c r="CO68" i="6"/>
  <c r="CN68" i="6"/>
  <c r="CM68" i="6"/>
  <c r="CL68" i="6"/>
  <c r="CT68" i="6"/>
  <c r="CR68" i="6"/>
  <c r="CQ68" i="6"/>
  <c r="DS69" i="6"/>
  <c r="EA69" i="6"/>
  <c r="DY69" i="6"/>
  <c r="DX69" i="6"/>
  <c r="DW69" i="6"/>
  <c r="DV69" i="6"/>
  <c r="DU69" i="6"/>
  <c r="DT69" i="6"/>
  <c r="CO69" i="6"/>
  <c r="CN69" i="6"/>
  <c r="CM69" i="6"/>
  <c r="CL69" i="6"/>
  <c r="CT69" i="6"/>
  <c r="CR69" i="6"/>
  <c r="CQ69" i="6"/>
  <c r="CP69" i="6"/>
  <c r="EA70" i="6"/>
  <c r="DY70" i="6"/>
  <c r="DX70" i="6"/>
  <c r="DW70" i="6"/>
  <c r="DV70" i="6"/>
  <c r="DU70" i="6"/>
  <c r="DT70" i="6"/>
  <c r="DS70" i="6"/>
  <c r="CN70" i="6"/>
  <c r="CM70" i="6"/>
  <c r="CL70" i="6"/>
  <c r="CT70" i="6"/>
  <c r="CR70" i="6"/>
  <c r="CQ70" i="6"/>
  <c r="CP70" i="6"/>
  <c r="CO70" i="6"/>
  <c r="DY71" i="6"/>
  <c r="DX71" i="6"/>
  <c r="DW71" i="6"/>
  <c r="DV71" i="6"/>
  <c r="DU71" i="6"/>
  <c r="DT71" i="6"/>
  <c r="DS71" i="6"/>
  <c r="EA71" i="6"/>
  <c r="CM71" i="6"/>
  <c r="CL71" i="6"/>
  <c r="CT71" i="6"/>
  <c r="CR71" i="6"/>
  <c r="CQ71" i="6"/>
  <c r="CP71" i="6"/>
  <c r="CO71" i="6"/>
  <c r="CN71" i="6"/>
  <c r="DX72" i="6"/>
  <c r="DW72" i="6"/>
  <c r="DV72" i="6"/>
  <c r="DU72" i="6"/>
  <c r="DT72" i="6"/>
  <c r="DS72" i="6"/>
  <c r="EA72" i="6"/>
  <c r="DY72" i="6"/>
  <c r="CL72" i="6"/>
  <c r="CT72" i="6"/>
  <c r="CR72" i="6"/>
  <c r="CQ72" i="6"/>
  <c r="CP72" i="6"/>
  <c r="CO72" i="6"/>
  <c r="CN72" i="6"/>
  <c r="CM72" i="6"/>
  <c r="DW73" i="6"/>
  <c r="DV73" i="6"/>
  <c r="DU73" i="6"/>
  <c r="DT73" i="6"/>
  <c r="DS73" i="6"/>
  <c r="EA73" i="6"/>
  <c r="DY73" i="6"/>
  <c r="DX73" i="6"/>
  <c r="CT73" i="6"/>
  <c r="CR73" i="6"/>
  <c r="CQ73" i="6"/>
  <c r="CP73" i="6"/>
  <c r="CO73" i="6"/>
  <c r="CN73" i="6"/>
  <c r="CM73" i="6"/>
  <c r="CL73" i="6"/>
  <c r="DV74" i="6"/>
  <c r="DU74" i="6"/>
  <c r="DT74" i="6"/>
  <c r="DS74" i="6"/>
  <c r="EA74" i="6"/>
  <c r="DY74" i="6"/>
  <c r="DX74" i="6"/>
  <c r="DW74" i="6"/>
  <c r="CR74" i="6"/>
  <c r="CQ74" i="6"/>
  <c r="CP74" i="6"/>
  <c r="CO74" i="6"/>
  <c r="CN74" i="6"/>
  <c r="CM74" i="6"/>
  <c r="CL74" i="6"/>
  <c r="CT74" i="6"/>
  <c r="DU75" i="6"/>
  <c r="DT75" i="6"/>
  <c r="DS75" i="6"/>
  <c r="EA75" i="6"/>
  <c r="DY75" i="6"/>
  <c r="DX75" i="6"/>
  <c r="DW75" i="6"/>
  <c r="DV75" i="6"/>
  <c r="CQ75" i="6"/>
  <c r="CP75" i="6"/>
  <c r="CO75" i="6"/>
  <c r="CN75" i="6"/>
  <c r="CM75" i="6"/>
  <c r="CL75" i="6"/>
  <c r="CT75" i="6"/>
  <c r="CR75" i="6"/>
  <c r="DT76" i="6"/>
  <c r="DS76" i="6"/>
  <c r="EA76" i="6"/>
  <c r="DY76" i="6"/>
  <c r="DX76" i="6"/>
  <c r="DW76" i="6"/>
  <c r="DV76" i="6"/>
  <c r="DU76" i="6"/>
  <c r="CP76" i="6"/>
  <c r="CO76" i="6"/>
  <c r="CN76" i="6"/>
  <c r="CM76" i="6"/>
  <c r="CL76" i="6"/>
  <c r="CT76" i="6"/>
  <c r="CR76" i="6"/>
  <c r="CQ76" i="6"/>
  <c r="DS77" i="6"/>
  <c r="EA77" i="6"/>
  <c r="DY77" i="6"/>
  <c r="DX77" i="6"/>
  <c r="DW77" i="6"/>
  <c r="DV77" i="6"/>
  <c r="DU77" i="6"/>
  <c r="DT77" i="6"/>
  <c r="CO77" i="6"/>
  <c r="CN77" i="6"/>
  <c r="CM77" i="6"/>
  <c r="CL77" i="6"/>
  <c r="CT77" i="6"/>
  <c r="CR77" i="6"/>
  <c r="CQ77" i="6"/>
  <c r="CP77" i="6"/>
  <c r="EA78" i="6"/>
  <c r="DY78" i="6"/>
  <c r="DX78" i="6"/>
  <c r="DW78" i="6"/>
  <c r="DV78" i="6"/>
  <c r="DU78" i="6"/>
  <c r="DT78" i="6"/>
  <c r="DS78" i="6"/>
  <c r="CN78" i="6"/>
  <c r="CM78" i="6"/>
  <c r="CL78" i="6"/>
  <c r="CT78" i="6"/>
  <c r="CR78" i="6"/>
  <c r="CQ78" i="6"/>
  <c r="CP78" i="6"/>
  <c r="CO78" i="6"/>
  <c r="DY79" i="6"/>
  <c r="DX79" i="6"/>
  <c r="DW79" i="6"/>
  <c r="DV79" i="6"/>
  <c r="DU79" i="6"/>
  <c r="DT79" i="6"/>
  <c r="DS79" i="6"/>
  <c r="EA79" i="6"/>
  <c r="CM79" i="6"/>
  <c r="CL79" i="6"/>
  <c r="CT79" i="6"/>
  <c r="CR79" i="6"/>
  <c r="CQ79" i="6"/>
  <c r="CP79" i="6"/>
  <c r="CO79" i="6"/>
  <c r="CN79" i="6"/>
  <c r="DX80" i="6"/>
  <c r="DW80" i="6"/>
  <c r="DV80" i="6"/>
  <c r="DU80" i="6"/>
  <c r="DT80" i="6"/>
  <c r="DS80" i="6"/>
  <c r="EA80" i="6"/>
  <c r="DY80" i="6"/>
  <c r="CL80" i="6"/>
  <c r="CT80" i="6"/>
  <c r="CR80" i="6"/>
  <c r="CQ80" i="6"/>
  <c r="CP80" i="6"/>
  <c r="CO80" i="6"/>
  <c r="CN80" i="6"/>
  <c r="CM80" i="6"/>
  <c r="DW81" i="6"/>
  <c r="DV81" i="6"/>
  <c r="DU81" i="6"/>
  <c r="DT81" i="6"/>
  <c r="DS81" i="6"/>
  <c r="EA81" i="6"/>
  <c r="DY81" i="6"/>
  <c r="DX81" i="6"/>
  <c r="CT81" i="6"/>
  <c r="CR81" i="6"/>
  <c r="CQ81" i="6"/>
  <c r="CP81" i="6"/>
  <c r="CO81" i="6"/>
  <c r="CN81" i="6"/>
  <c r="CM81" i="6"/>
  <c r="CL81" i="6"/>
  <c r="DV82" i="6"/>
  <c r="DU82" i="6"/>
  <c r="DT82" i="6"/>
  <c r="DS82" i="6"/>
  <c r="EA82" i="6"/>
  <c r="DY82" i="6"/>
  <c r="DX82" i="6"/>
  <c r="DW82" i="6"/>
  <c r="CR82" i="6"/>
  <c r="CQ82" i="6"/>
  <c r="CP82" i="6"/>
  <c r="CO82" i="6"/>
  <c r="CN82" i="6"/>
  <c r="CM82" i="6"/>
  <c r="CL82" i="6"/>
  <c r="CT82" i="6"/>
  <c r="DU83" i="6"/>
  <c r="DT83" i="6"/>
  <c r="DS83" i="6"/>
  <c r="EA83" i="6"/>
  <c r="DY83" i="6"/>
  <c r="DX83" i="6"/>
  <c r="DW83" i="6"/>
  <c r="DV83" i="6"/>
  <c r="CQ83" i="6"/>
  <c r="CP83" i="6"/>
  <c r="CO83" i="6"/>
  <c r="CN83" i="6"/>
  <c r="CM83" i="6"/>
  <c r="CL83" i="6"/>
  <c r="CT83" i="6"/>
  <c r="CR83" i="6"/>
  <c r="DT84" i="6"/>
  <c r="DS84" i="6"/>
  <c r="EA84" i="6"/>
  <c r="DY84" i="6"/>
  <c r="DX84" i="6"/>
  <c r="DW84" i="6"/>
  <c r="DV84" i="6"/>
  <c r="DU84" i="6"/>
  <c r="CP84" i="6"/>
  <c r="CO84" i="6"/>
  <c r="CN84" i="6"/>
  <c r="CM84" i="6"/>
  <c r="CL84" i="6"/>
  <c r="CT84" i="6"/>
  <c r="CR84" i="6"/>
  <c r="CQ84" i="6"/>
  <c r="DS85" i="6"/>
  <c r="EA85" i="6"/>
  <c r="DY85" i="6"/>
  <c r="DX85" i="6"/>
  <c r="DW85" i="6"/>
  <c r="DV85" i="6"/>
  <c r="DU85" i="6"/>
  <c r="DT85" i="6"/>
  <c r="CO85" i="6"/>
  <c r="CN85" i="6"/>
  <c r="CM85" i="6"/>
  <c r="CL85" i="6"/>
  <c r="CT85" i="6"/>
  <c r="CR85" i="6"/>
  <c r="CQ85" i="6"/>
  <c r="CP85" i="6"/>
  <c r="EA86" i="6"/>
  <c r="DY86" i="6"/>
  <c r="DX86" i="6"/>
  <c r="DW86" i="6"/>
  <c r="DV86" i="6"/>
  <c r="DU86" i="6"/>
  <c r="DT86" i="6"/>
  <c r="DS86" i="6"/>
  <c r="CN86" i="6"/>
  <c r="CM86" i="6"/>
  <c r="CL86" i="6"/>
  <c r="CT86" i="6"/>
  <c r="CR86" i="6"/>
  <c r="CQ86" i="6"/>
  <c r="CP86" i="6"/>
  <c r="CO86" i="6"/>
  <c r="DY87" i="6"/>
  <c r="DX87" i="6"/>
  <c r="DW87" i="6"/>
  <c r="DV87" i="6"/>
  <c r="DU87" i="6"/>
  <c r="DT87" i="6"/>
  <c r="DS87" i="6"/>
  <c r="EA87" i="6"/>
  <c r="CM87" i="6"/>
  <c r="CL87" i="6"/>
  <c r="CT87" i="6"/>
  <c r="CR87" i="6"/>
  <c r="CQ87" i="6"/>
  <c r="CP87" i="6"/>
  <c r="CO87" i="6"/>
  <c r="CN87" i="6"/>
  <c r="DX88" i="6"/>
  <c r="DW88" i="6"/>
  <c r="DV88" i="6"/>
  <c r="DU88" i="6"/>
  <c r="DT88" i="6"/>
  <c r="DS88" i="6"/>
  <c r="EA88" i="6"/>
  <c r="DY88" i="6"/>
  <c r="CL88" i="6"/>
  <c r="CT88" i="6"/>
  <c r="CR88" i="6"/>
  <c r="CQ88" i="6"/>
  <c r="CP88" i="6"/>
  <c r="CO88" i="6"/>
  <c r="CN88" i="6"/>
  <c r="CM88" i="6"/>
  <c r="DW89" i="6"/>
  <c r="DV89" i="6"/>
  <c r="DU89" i="6"/>
  <c r="DT89" i="6"/>
  <c r="DS89" i="6"/>
  <c r="EA89" i="6"/>
  <c r="DY89" i="6"/>
  <c r="DX89" i="6"/>
  <c r="CT89" i="6"/>
  <c r="CR89" i="6"/>
  <c r="CQ89" i="6"/>
  <c r="CP89" i="6"/>
  <c r="CO89" i="6"/>
  <c r="CN89" i="6"/>
  <c r="CM89" i="6"/>
  <c r="CL89" i="6"/>
  <c r="DV90" i="6"/>
  <c r="DU90" i="6"/>
  <c r="DT90" i="6"/>
  <c r="DS90" i="6"/>
  <c r="EA90" i="6"/>
  <c r="DY90" i="6"/>
  <c r="DX90" i="6"/>
  <c r="DW90" i="6"/>
  <c r="CR90" i="6"/>
  <c r="CQ90" i="6"/>
  <c r="CP90" i="6"/>
  <c r="CO90" i="6"/>
  <c r="CN90" i="6"/>
  <c r="CM90" i="6"/>
  <c r="CL90" i="6"/>
  <c r="CT90" i="6"/>
  <c r="DU91" i="6"/>
  <c r="DT91" i="6"/>
  <c r="DS91" i="6"/>
  <c r="EA91" i="6"/>
  <c r="DY91" i="6"/>
  <c r="DX91" i="6"/>
  <c r="DW91" i="6"/>
  <c r="DV91" i="6"/>
  <c r="CQ91" i="6"/>
  <c r="CP91" i="6"/>
  <c r="CO91" i="6"/>
  <c r="CN91" i="6"/>
  <c r="CM91" i="6"/>
  <c r="CL91" i="6"/>
  <c r="CT91" i="6"/>
  <c r="CR91" i="6"/>
  <c r="DT92" i="6"/>
  <c r="DS92" i="6"/>
  <c r="EA92" i="6"/>
  <c r="DY92" i="6"/>
  <c r="DX92" i="6"/>
  <c r="DW92" i="6"/>
  <c r="DV92" i="6"/>
  <c r="DU92" i="6"/>
  <c r="CP92" i="6"/>
  <c r="CO92" i="6"/>
  <c r="CN92" i="6"/>
  <c r="CM92" i="6"/>
  <c r="CL92" i="6"/>
  <c r="CT92" i="6"/>
  <c r="CR92" i="6"/>
  <c r="CQ92" i="6"/>
  <c r="DS93" i="6"/>
  <c r="EA93" i="6"/>
  <c r="DY93" i="6"/>
  <c r="DX93" i="6"/>
  <c r="DW93" i="6"/>
  <c r="DV93" i="6"/>
  <c r="DU93" i="6"/>
  <c r="DT93" i="6"/>
  <c r="CO93" i="6"/>
  <c r="CN93" i="6"/>
  <c r="CM93" i="6"/>
  <c r="CL93" i="6"/>
  <c r="CT93" i="6"/>
  <c r="CR93" i="6"/>
  <c r="CQ93" i="6"/>
  <c r="CP93" i="6"/>
  <c r="EA94" i="6"/>
  <c r="DY94" i="6"/>
  <c r="DX94" i="6"/>
  <c r="DW94" i="6"/>
  <c r="DV94" i="6"/>
  <c r="DU94" i="6"/>
  <c r="DT94" i="6"/>
  <c r="DS94" i="6"/>
  <c r="CN94" i="6"/>
  <c r="CM94" i="6"/>
  <c r="CL94" i="6"/>
  <c r="CT94" i="6"/>
  <c r="CR94" i="6"/>
  <c r="CQ94" i="6"/>
  <c r="CP94" i="6"/>
  <c r="CO94" i="6"/>
  <c r="DY95" i="6"/>
  <c r="DX95" i="6"/>
  <c r="DW95" i="6"/>
  <c r="DV95" i="6"/>
  <c r="DU95" i="6"/>
  <c r="DT95" i="6"/>
  <c r="DS95" i="6"/>
  <c r="EA95" i="6"/>
  <c r="CM95" i="6"/>
  <c r="CL95" i="6"/>
  <c r="CT95" i="6"/>
  <c r="CR95" i="6"/>
  <c r="CQ95" i="6"/>
  <c r="CP95" i="6"/>
  <c r="CO95" i="6"/>
  <c r="CN95" i="6"/>
  <c r="DX96" i="6"/>
  <c r="DW96" i="6"/>
  <c r="DV96" i="6"/>
  <c r="DU96" i="6"/>
  <c r="DT96" i="6"/>
  <c r="DS96" i="6"/>
  <c r="EA96" i="6"/>
  <c r="DY96" i="6"/>
  <c r="CL96" i="6"/>
  <c r="CT96" i="6"/>
  <c r="CR96" i="6"/>
  <c r="CQ96" i="6"/>
  <c r="CP96" i="6"/>
  <c r="CO96" i="6"/>
  <c r="CN96" i="6"/>
  <c r="CM96" i="6"/>
  <c r="DW97" i="6"/>
  <c r="DV97" i="6"/>
  <c r="DU97" i="6"/>
  <c r="DT97" i="6"/>
  <c r="DS97" i="6"/>
  <c r="EA97" i="6"/>
  <c r="DY97" i="6"/>
  <c r="DX97" i="6"/>
  <c r="CT97" i="6"/>
  <c r="CR97" i="6"/>
  <c r="CQ97" i="6"/>
  <c r="CP97" i="6"/>
  <c r="CO97" i="6"/>
  <c r="CN97" i="6"/>
  <c r="CM97" i="6"/>
  <c r="CL97" i="6"/>
  <c r="DV98" i="6"/>
  <c r="DU98" i="6"/>
  <c r="DT98" i="6"/>
  <c r="DS98" i="6"/>
  <c r="EA98" i="6"/>
  <c r="DY98" i="6"/>
  <c r="DX98" i="6"/>
  <c r="DW98" i="6"/>
  <c r="CR98" i="6"/>
  <c r="CQ98" i="6"/>
  <c r="CP98" i="6"/>
  <c r="CO98" i="6"/>
  <c r="CN98" i="6"/>
  <c r="CM98" i="6"/>
  <c r="CL98" i="6"/>
  <c r="CT98" i="6"/>
  <c r="DU99" i="6"/>
  <c r="DT99" i="6"/>
  <c r="DS99" i="6"/>
  <c r="EA99" i="6"/>
  <c r="DY99" i="6"/>
  <c r="DX99" i="6"/>
  <c r="DW99" i="6"/>
  <c r="DV99" i="6"/>
  <c r="CQ99" i="6"/>
  <c r="CP99" i="6"/>
  <c r="CO99" i="6"/>
  <c r="CN99" i="6"/>
  <c r="CM99" i="6"/>
  <c r="CL99" i="6"/>
  <c r="CT99" i="6"/>
  <c r="CR99" i="6"/>
  <c r="DT100" i="6"/>
  <c r="DS100" i="6"/>
  <c r="EA100" i="6"/>
  <c r="DY100" i="6"/>
  <c r="DX100" i="6"/>
  <c r="DW100" i="6"/>
  <c r="DV100" i="6"/>
  <c r="DU100" i="6"/>
  <c r="CP100" i="6"/>
  <c r="CO100" i="6"/>
  <c r="CN100" i="6"/>
  <c r="CM100" i="6"/>
  <c r="CL100" i="6"/>
  <c r="CT100" i="6"/>
  <c r="CR100" i="6"/>
  <c r="CQ100" i="6"/>
  <c r="DS101" i="6"/>
  <c r="EA101" i="6"/>
  <c r="DY101" i="6"/>
  <c r="DX101" i="6"/>
  <c r="DW101" i="6"/>
  <c r="DV101" i="6"/>
  <c r="DU101" i="6"/>
  <c r="DT101" i="6"/>
  <c r="CO101" i="6"/>
  <c r="CN101" i="6"/>
  <c r="CM101" i="6"/>
  <c r="CL101" i="6"/>
  <c r="CT101" i="6"/>
  <c r="CR101" i="6"/>
  <c r="CQ101" i="6"/>
  <c r="CP101" i="6"/>
  <c r="EA102" i="6"/>
  <c r="DY102" i="6"/>
  <c r="DX102" i="6"/>
  <c r="DW102" i="6"/>
  <c r="DV102" i="6"/>
  <c r="DU102" i="6"/>
  <c r="DT102" i="6"/>
  <c r="DS102" i="6"/>
  <c r="CN102" i="6"/>
  <c r="CM102" i="6"/>
  <c r="CL102" i="6"/>
  <c r="CT102" i="6"/>
  <c r="CR102" i="6"/>
  <c r="CQ102" i="6"/>
  <c r="CP102" i="6"/>
  <c r="CO102" i="6"/>
  <c r="DY103" i="6"/>
  <c r="DX103" i="6"/>
  <c r="DW103" i="6"/>
  <c r="DV103" i="6"/>
  <c r="DU103" i="6"/>
  <c r="DT103" i="6"/>
  <c r="DS103" i="6"/>
  <c r="EA103" i="6"/>
  <c r="CM103" i="6"/>
  <c r="CL103" i="6"/>
  <c r="CT103" i="6"/>
  <c r="CR103" i="6"/>
  <c r="CQ103" i="6"/>
  <c r="CP103" i="6"/>
  <c r="CO103" i="6"/>
  <c r="CN103" i="6"/>
  <c r="DX104" i="6"/>
  <c r="DW104" i="6"/>
  <c r="DV104" i="6"/>
  <c r="DU104" i="6"/>
  <c r="DT104" i="6"/>
  <c r="DS104" i="6"/>
  <c r="EA104" i="6"/>
  <c r="DY104" i="6"/>
  <c r="CL104" i="6"/>
  <c r="CT104" i="6"/>
  <c r="CR104" i="6"/>
  <c r="CQ104" i="6"/>
  <c r="CP104" i="6"/>
  <c r="CO104" i="6"/>
  <c r="CN104" i="6"/>
  <c r="CM104" i="6"/>
  <c r="DW105" i="6"/>
  <c r="DV105" i="6"/>
  <c r="DU105" i="6"/>
  <c r="DT105" i="6"/>
  <c r="DS105" i="6"/>
  <c r="EA105" i="6"/>
  <c r="DY105" i="6"/>
  <c r="DX105" i="6"/>
  <c r="CT105" i="6"/>
  <c r="CR105" i="6"/>
  <c r="CQ105" i="6"/>
  <c r="CP105" i="6"/>
  <c r="CO105" i="6"/>
  <c r="CN105" i="6"/>
  <c r="CM105" i="6"/>
  <c r="CL105" i="6"/>
  <c r="DV106" i="6"/>
  <c r="DU106" i="6"/>
  <c r="DT106" i="6"/>
  <c r="DS106" i="6"/>
  <c r="EA106" i="6"/>
  <c r="DY106" i="6"/>
  <c r="DX106" i="6"/>
  <c r="DW106" i="6"/>
  <c r="CR106" i="6"/>
  <c r="CQ106" i="6"/>
  <c r="CP106" i="6"/>
  <c r="CO106" i="6"/>
  <c r="CN106" i="6"/>
  <c r="CM106" i="6"/>
  <c r="CL106" i="6"/>
  <c r="CT106" i="6"/>
  <c r="DU107" i="6"/>
  <c r="DT107" i="6"/>
  <c r="DS107" i="6"/>
  <c r="EA107" i="6"/>
  <c r="DY107" i="6"/>
  <c r="DX107" i="6"/>
  <c r="DW107" i="6"/>
  <c r="DV107" i="6"/>
  <c r="CQ107" i="6"/>
  <c r="CP107" i="6"/>
  <c r="CO107" i="6"/>
  <c r="CN107" i="6"/>
  <c r="CM107" i="6"/>
  <c r="CL107" i="6"/>
  <c r="CT107" i="6"/>
  <c r="CR107" i="6"/>
  <c r="DT108" i="6"/>
  <c r="DS108" i="6"/>
  <c r="EA108" i="6"/>
  <c r="DY108" i="6"/>
  <c r="DX108" i="6"/>
  <c r="DW108" i="6"/>
  <c r="DV108" i="6"/>
  <c r="DU108" i="6"/>
  <c r="CP108" i="6"/>
  <c r="CO108" i="6"/>
  <c r="CN108" i="6"/>
  <c r="CM108" i="6"/>
  <c r="CL108" i="6"/>
  <c r="CT108" i="6"/>
  <c r="CR108" i="6"/>
  <c r="CQ108" i="6"/>
  <c r="DS109" i="6"/>
  <c r="EA109" i="6"/>
  <c r="DY109" i="6"/>
  <c r="DX109" i="6"/>
  <c r="DW109" i="6"/>
  <c r="DV109" i="6"/>
  <c r="DU109" i="6"/>
  <c r="DT109" i="6"/>
  <c r="CO109" i="6"/>
  <c r="CN109" i="6"/>
  <c r="CM109" i="6"/>
  <c r="CL109" i="6"/>
  <c r="CT109" i="6"/>
  <c r="CR109" i="6"/>
  <c r="CQ109" i="6"/>
  <c r="CP109" i="6"/>
  <c r="EA110" i="6"/>
  <c r="DY110" i="6"/>
  <c r="DX110" i="6"/>
  <c r="DW110" i="6"/>
  <c r="DV110" i="6"/>
  <c r="DU110" i="6"/>
  <c r="DT110" i="6"/>
  <c r="DS110" i="6"/>
  <c r="CN110" i="6"/>
  <c r="CM110" i="6"/>
  <c r="CL110" i="6"/>
  <c r="CT110" i="6"/>
  <c r="CR110" i="6"/>
  <c r="CQ110" i="6"/>
  <c r="CP110" i="6"/>
  <c r="CO110" i="6"/>
  <c r="DY111" i="6"/>
  <c r="DX111" i="6"/>
  <c r="DW111" i="6"/>
  <c r="DV111" i="6"/>
  <c r="DU111" i="6"/>
  <c r="DT111" i="6"/>
  <c r="DS111" i="6"/>
  <c r="EA111" i="6"/>
  <c r="CM111" i="6"/>
  <c r="CL111" i="6"/>
  <c r="CT111" i="6"/>
  <c r="CR111" i="6"/>
  <c r="CQ111" i="6"/>
  <c r="CP111" i="6"/>
  <c r="CO111" i="6"/>
  <c r="CN111" i="6"/>
  <c r="DX112" i="6"/>
  <c r="DW112" i="6"/>
  <c r="DV112" i="6"/>
  <c r="DU112" i="6"/>
  <c r="DT112" i="6"/>
  <c r="DS112" i="6"/>
  <c r="EA112" i="6"/>
  <c r="DY112" i="6"/>
  <c r="CL112" i="6"/>
  <c r="CT112" i="6"/>
  <c r="CR112" i="6"/>
  <c r="CQ112" i="6"/>
  <c r="CP112" i="6"/>
  <c r="CO112" i="6"/>
  <c r="CN112" i="6"/>
  <c r="CM112" i="6"/>
  <c r="DW113" i="6"/>
  <c r="DV113" i="6"/>
  <c r="DU113" i="6"/>
  <c r="DT113" i="6"/>
  <c r="DS113" i="6"/>
  <c r="EA113" i="6"/>
  <c r="DY113" i="6"/>
  <c r="DX113" i="6"/>
  <c r="CT113" i="6"/>
  <c r="CR113" i="6"/>
  <c r="CQ113" i="6"/>
  <c r="CP113" i="6"/>
  <c r="CO113" i="6"/>
  <c r="CN113" i="6"/>
  <c r="CM113" i="6"/>
  <c r="CL113" i="6"/>
  <c r="DV114" i="6"/>
  <c r="DU114" i="6"/>
  <c r="DT114" i="6"/>
  <c r="DS114" i="6"/>
  <c r="EA114" i="6"/>
  <c r="DY114" i="6"/>
  <c r="DX114" i="6"/>
  <c r="DW114" i="6"/>
  <c r="CR114" i="6"/>
  <c r="CQ114" i="6"/>
  <c r="CP114" i="6"/>
  <c r="CO114" i="6"/>
  <c r="CN114" i="6"/>
  <c r="CM114" i="6"/>
  <c r="CL114" i="6"/>
  <c r="CT114" i="6"/>
  <c r="DU115" i="6"/>
  <c r="DT115" i="6"/>
  <c r="DS115" i="6"/>
  <c r="EA115" i="6"/>
  <c r="DY115" i="6"/>
  <c r="DX115" i="6"/>
  <c r="DW115" i="6"/>
  <c r="DV115" i="6"/>
  <c r="CQ115" i="6"/>
  <c r="CP115" i="6"/>
  <c r="CO115" i="6"/>
  <c r="CN115" i="6"/>
  <c r="CM115" i="6"/>
  <c r="CL115" i="6"/>
  <c r="CT115" i="6"/>
  <c r="CR115" i="6"/>
  <c r="DT116" i="6"/>
  <c r="DS116" i="6"/>
  <c r="EA116" i="6"/>
  <c r="DY116" i="6"/>
  <c r="DX116" i="6"/>
  <c r="DW116" i="6"/>
  <c r="DV116" i="6"/>
  <c r="DU116" i="6"/>
  <c r="CP116" i="6"/>
  <c r="CO116" i="6"/>
  <c r="CN116" i="6"/>
  <c r="CM116" i="6"/>
  <c r="CL116" i="6"/>
  <c r="CT116" i="6"/>
  <c r="CR116" i="6"/>
  <c r="CQ116" i="6"/>
  <c r="DS117" i="6"/>
  <c r="EA117" i="6"/>
  <c r="DY117" i="6"/>
  <c r="DX117" i="6"/>
  <c r="DW117" i="6"/>
  <c r="DV117" i="6"/>
  <c r="DU117" i="6"/>
  <c r="DT117" i="6"/>
  <c r="CO117" i="6"/>
  <c r="CN117" i="6"/>
  <c r="CM117" i="6"/>
  <c r="CL117" i="6"/>
  <c r="CT117" i="6"/>
  <c r="CR117" i="6"/>
  <c r="CQ117" i="6"/>
  <c r="CP117" i="6"/>
  <c r="EA118" i="6"/>
  <c r="DY118" i="6"/>
  <c r="DX118" i="6"/>
  <c r="DW118" i="6"/>
  <c r="DV118" i="6"/>
  <c r="DU118" i="6"/>
  <c r="DT118" i="6"/>
  <c r="DS118" i="6"/>
  <c r="CN118" i="6"/>
  <c r="CM118" i="6"/>
  <c r="CL118" i="6"/>
  <c r="CT118" i="6"/>
  <c r="CR118" i="6"/>
  <c r="CQ118" i="6"/>
  <c r="CP118" i="6"/>
  <c r="CO118" i="6"/>
  <c r="DY119" i="6"/>
  <c r="DX119" i="6"/>
  <c r="DW119" i="6"/>
  <c r="DV119" i="6"/>
  <c r="DU119" i="6"/>
  <c r="DT119" i="6"/>
  <c r="DS119" i="6"/>
  <c r="EA119" i="6"/>
  <c r="CM119" i="6"/>
  <c r="CL119" i="6"/>
  <c r="CT119" i="6"/>
  <c r="CR119" i="6"/>
  <c r="CQ119" i="6"/>
  <c r="CP119" i="6"/>
  <c r="CO119" i="6"/>
  <c r="CN119" i="6"/>
  <c r="DX120" i="6"/>
  <c r="DW120" i="6"/>
  <c r="DV120" i="6"/>
  <c r="DU120" i="6"/>
  <c r="DT120" i="6"/>
  <c r="DS120" i="6"/>
  <c r="EA120" i="6"/>
  <c r="DY120" i="6"/>
  <c r="CL120" i="6"/>
  <c r="CT120" i="6"/>
  <c r="CR120" i="6"/>
  <c r="CQ120" i="6"/>
  <c r="CP120" i="6"/>
  <c r="CO120" i="6"/>
  <c r="CN120" i="6"/>
  <c r="CM120" i="6"/>
  <c r="G3" i="6"/>
  <c r="F3" i="6"/>
  <c r="E3" i="6"/>
  <c r="D3" i="6"/>
  <c r="C3" i="6"/>
  <c r="B3" i="6"/>
  <c r="J3" i="6"/>
  <c r="H3" i="6"/>
  <c r="BX3" i="6"/>
  <c r="BV3" i="6"/>
  <c r="BU3" i="6"/>
  <c r="BT3" i="6"/>
  <c r="BS3" i="6"/>
  <c r="BR3" i="6"/>
  <c r="BQ3" i="6"/>
  <c r="BP3" i="6"/>
  <c r="GA3" i="6"/>
  <c r="FZ3" i="6"/>
  <c r="FY3" i="6"/>
  <c r="FX3" i="6"/>
  <c r="FW3" i="6"/>
  <c r="FV3" i="6"/>
  <c r="GD3" i="6"/>
  <c r="GB3" i="6"/>
  <c r="BM4" i="6"/>
  <c r="BK4" i="6"/>
  <c r="BJ4" i="6"/>
  <c r="BI4" i="6"/>
  <c r="BH4" i="6"/>
  <c r="BG4" i="6"/>
  <c r="BF4" i="6"/>
  <c r="BE4" i="6"/>
  <c r="FP4" i="6"/>
  <c r="FO4" i="6"/>
  <c r="FN4" i="6"/>
  <c r="FM4" i="6"/>
  <c r="FL4" i="6"/>
  <c r="FK4" i="6"/>
  <c r="FS4" i="6"/>
  <c r="FQ4" i="6"/>
  <c r="AI5" i="6"/>
  <c r="AQ5" i="6"/>
  <c r="AO5" i="6"/>
  <c r="AN5" i="6"/>
  <c r="AM5" i="6"/>
  <c r="AL5" i="6"/>
  <c r="AK5" i="6"/>
  <c r="AJ5" i="6"/>
  <c r="Y5" i="6"/>
  <c r="X5" i="6"/>
  <c r="AF5" i="6"/>
  <c r="AD5" i="6"/>
  <c r="AC5" i="6"/>
  <c r="AB5" i="6"/>
  <c r="AA5" i="6"/>
  <c r="Z5" i="6"/>
  <c r="N6" i="6"/>
  <c r="M6" i="6"/>
  <c r="U6" i="6"/>
  <c r="S6" i="6"/>
  <c r="R6" i="6"/>
  <c r="Q6" i="6"/>
  <c r="P6" i="6"/>
  <c r="O6" i="6"/>
  <c r="AZ6" i="6"/>
  <c r="AY6" i="6"/>
  <c r="AX6" i="6"/>
  <c r="AW6" i="6"/>
  <c r="AV6" i="6"/>
  <c r="AU6" i="6"/>
  <c r="AT6" i="6"/>
  <c r="BB6" i="6"/>
  <c r="C7" i="6"/>
  <c r="B7" i="6"/>
  <c r="J7" i="6"/>
  <c r="H7" i="6"/>
  <c r="G7" i="6"/>
  <c r="F7" i="6"/>
  <c r="E7" i="6"/>
  <c r="D7" i="6"/>
  <c r="BS7" i="6"/>
  <c r="BR7" i="6"/>
  <c r="BQ7" i="6"/>
  <c r="BP7" i="6"/>
  <c r="BX7" i="6"/>
  <c r="BV7" i="6"/>
  <c r="BU7" i="6"/>
  <c r="BT7" i="6"/>
  <c r="FW7" i="6"/>
  <c r="FV7" i="6"/>
  <c r="GD7" i="6"/>
  <c r="GB7" i="6"/>
  <c r="GA7" i="6"/>
  <c r="FZ7" i="6"/>
  <c r="FY7" i="6"/>
  <c r="FX7" i="6"/>
  <c r="BH8" i="6"/>
  <c r="BG8" i="6"/>
  <c r="BF8" i="6"/>
  <c r="BE8" i="6"/>
  <c r="BM8" i="6"/>
  <c r="BK8" i="6"/>
  <c r="BJ8" i="6"/>
  <c r="BI8" i="6"/>
  <c r="FL8" i="6"/>
  <c r="FK8" i="6"/>
  <c r="FS8" i="6"/>
  <c r="FQ8" i="6"/>
  <c r="FP8" i="6"/>
  <c r="FO8" i="6"/>
  <c r="FN8" i="6"/>
  <c r="FM8" i="6"/>
  <c r="AM9" i="6"/>
  <c r="AL9" i="6"/>
  <c r="AK9" i="6"/>
  <c r="AJ9" i="6"/>
  <c r="AI9" i="6"/>
  <c r="AQ9" i="6"/>
  <c r="AO9" i="6"/>
  <c r="AN9" i="6"/>
  <c r="AC9" i="6"/>
  <c r="AB9" i="6"/>
  <c r="AA9" i="6"/>
  <c r="Z9" i="6"/>
  <c r="Y9" i="6"/>
  <c r="X9" i="6"/>
  <c r="AF9" i="6"/>
  <c r="AD9" i="6"/>
  <c r="R10" i="6"/>
  <c r="Q10" i="6"/>
  <c r="P10" i="6"/>
  <c r="O10" i="6"/>
  <c r="N10" i="6"/>
  <c r="M10" i="6"/>
  <c r="U10" i="6"/>
  <c r="S10" i="6"/>
  <c r="AV10" i="6"/>
  <c r="AU10" i="6"/>
  <c r="AT10" i="6"/>
  <c r="BB10" i="6"/>
  <c r="AZ10" i="6"/>
  <c r="AY10" i="6"/>
  <c r="AX10" i="6"/>
  <c r="AW10" i="6"/>
  <c r="G11" i="6"/>
  <c r="F11" i="6"/>
  <c r="E11" i="6"/>
  <c r="D11" i="6"/>
  <c r="C11" i="6"/>
  <c r="B11" i="6"/>
  <c r="J11" i="6"/>
  <c r="H11" i="6"/>
  <c r="BX11" i="6"/>
  <c r="BV11" i="6"/>
  <c r="BU11" i="6"/>
  <c r="BT11" i="6"/>
  <c r="BS11" i="6"/>
  <c r="BR11" i="6"/>
  <c r="BQ11" i="6"/>
  <c r="BP11" i="6"/>
  <c r="GA11" i="6"/>
  <c r="FZ11" i="6"/>
  <c r="FY11" i="6"/>
  <c r="FX11" i="6"/>
  <c r="FW11" i="6"/>
  <c r="FV11" i="6"/>
  <c r="GD11" i="6"/>
  <c r="GB11" i="6"/>
  <c r="BM12" i="6"/>
  <c r="BK12" i="6"/>
  <c r="BJ12" i="6"/>
  <c r="BI12" i="6"/>
  <c r="BH12" i="6"/>
  <c r="BG12" i="6"/>
  <c r="BF12" i="6"/>
  <c r="BE12" i="6"/>
  <c r="FP12" i="6"/>
  <c r="FO12" i="6"/>
  <c r="FN12" i="6"/>
  <c r="FM12" i="6"/>
  <c r="FL12" i="6"/>
  <c r="FK12" i="6"/>
  <c r="FS12" i="6"/>
  <c r="FQ12" i="6"/>
  <c r="AI13" i="6"/>
  <c r="AQ13" i="6"/>
  <c r="AO13" i="6"/>
  <c r="AN13" i="6"/>
  <c r="AM13" i="6"/>
  <c r="AL13" i="6"/>
  <c r="AK13" i="6"/>
  <c r="AJ13" i="6"/>
  <c r="Y13" i="6"/>
  <c r="X13" i="6"/>
  <c r="AF13" i="6"/>
  <c r="AD13" i="6"/>
  <c r="AC13" i="6"/>
  <c r="AB13" i="6"/>
  <c r="AA13" i="6"/>
  <c r="Z13" i="6"/>
  <c r="N14" i="6"/>
  <c r="M14" i="6"/>
  <c r="U14" i="6"/>
  <c r="S14" i="6"/>
  <c r="R14" i="6"/>
  <c r="Q14" i="6"/>
  <c r="P14" i="6"/>
  <c r="O14" i="6"/>
  <c r="AZ14" i="6"/>
  <c r="AY14" i="6"/>
  <c r="AX14" i="6"/>
  <c r="AW14" i="6"/>
  <c r="AV14" i="6"/>
  <c r="AU14" i="6"/>
  <c r="AT14" i="6"/>
  <c r="BB14" i="6"/>
  <c r="C15" i="6"/>
  <c r="B15" i="6"/>
  <c r="J15" i="6"/>
  <c r="H15" i="6"/>
  <c r="G15" i="6"/>
  <c r="F15" i="6"/>
  <c r="E15" i="6"/>
  <c r="D15" i="6"/>
  <c r="BS15" i="6"/>
  <c r="BR15" i="6"/>
  <c r="BQ15" i="6"/>
  <c r="BP15" i="6"/>
  <c r="BX15" i="6"/>
  <c r="BV15" i="6"/>
  <c r="BU15" i="6"/>
  <c r="BT15" i="6"/>
  <c r="FW15" i="6"/>
  <c r="FV15" i="6"/>
  <c r="GD15" i="6"/>
  <c r="GB15" i="6"/>
  <c r="GA15" i="6"/>
  <c r="FZ15" i="6"/>
  <c r="FY15" i="6"/>
  <c r="FX15" i="6"/>
  <c r="BH16" i="6"/>
  <c r="BG16" i="6"/>
  <c r="BF16" i="6"/>
  <c r="BE16" i="6"/>
  <c r="BM16" i="6"/>
  <c r="BK16" i="6"/>
  <c r="BJ16" i="6"/>
  <c r="BI16" i="6"/>
  <c r="FL16" i="6"/>
  <c r="FK16" i="6"/>
  <c r="FS16" i="6"/>
  <c r="FQ16" i="6"/>
  <c r="FP16" i="6"/>
  <c r="FO16" i="6"/>
  <c r="FN16" i="6"/>
  <c r="FM16" i="6"/>
  <c r="AM17" i="6"/>
  <c r="AL17" i="6"/>
  <c r="AK17" i="6"/>
  <c r="AJ17" i="6"/>
  <c r="AI17" i="6"/>
  <c r="AQ17" i="6"/>
  <c r="AO17" i="6"/>
  <c r="AN17" i="6"/>
  <c r="AC17" i="6"/>
  <c r="AB17" i="6"/>
  <c r="AA17" i="6"/>
  <c r="Z17" i="6"/>
  <c r="Y17" i="6"/>
  <c r="X17" i="6"/>
  <c r="AF17" i="6"/>
  <c r="AD17" i="6"/>
  <c r="R18" i="6"/>
  <c r="Q18" i="6"/>
  <c r="P18" i="6"/>
  <c r="O18" i="6"/>
  <c r="N18" i="6"/>
  <c r="M18" i="6"/>
  <c r="U18" i="6"/>
  <c r="S18" i="6"/>
  <c r="AV18" i="6"/>
  <c r="AU18" i="6"/>
  <c r="AT18" i="6"/>
  <c r="BB18" i="6"/>
  <c r="AZ18" i="6"/>
  <c r="AY18" i="6"/>
  <c r="AX18" i="6"/>
  <c r="AW18" i="6"/>
  <c r="G19" i="6"/>
  <c r="F19" i="6"/>
  <c r="E19" i="6"/>
  <c r="D19" i="6"/>
  <c r="C19" i="6"/>
  <c r="B19" i="6"/>
  <c r="J19" i="6"/>
  <c r="H19" i="6"/>
  <c r="BX19" i="6"/>
  <c r="BV19" i="6"/>
  <c r="BU19" i="6"/>
  <c r="BT19" i="6"/>
  <c r="BS19" i="6"/>
  <c r="BR19" i="6"/>
  <c r="BQ19" i="6"/>
  <c r="BP19" i="6"/>
  <c r="GA19" i="6"/>
  <c r="FZ19" i="6"/>
  <c r="FY19" i="6"/>
  <c r="FX19" i="6"/>
  <c r="FW19" i="6"/>
  <c r="FV19" i="6"/>
  <c r="GD19" i="6"/>
  <c r="GB19" i="6"/>
  <c r="BM20" i="6"/>
  <c r="BK20" i="6"/>
  <c r="BJ20" i="6"/>
  <c r="BI20" i="6"/>
  <c r="BH20" i="6"/>
  <c r="BG20" i="6"/>
  <c r="BF20" i="6"/>
  <c r="BE20" i="6"/>
  <c r="FP20" i="6"/>
  <c r="FO20" i="6"/>
  <c r="FN20" i="6"/>
  <c r="FM20" i="6"/>
  <c r="FL20" i="6"/>
  <c r="FK20" i="6"/>
  <c r="FS20" i="6"/>
  <c r="FQ20" i="6"/>
  <c r="AI21" i="6"/>
  <c r="AQ21" i="6"/>
  <c r="AO21" i="6"/>
  <c r="AN21" i="6"/>
  <c r="AM21" i="6"/>
  <c r="AL21" i="6"/>
  <c r="AK21" i="6"/>
  <c r="AJ21" i="6"/>
  <c r="Y21" i="6"/>
  <c r="X21" i="6"/>
  <c r="AF21" i="6"/>
  <c r="AD21" i="6"/>
  <c r="AC21" i="6"/>
  <c r="AB21" i="6"/>
  <c r="AA21" i="6"/>
  <c r="Z21" i="6"/>
  <c r="N22" i="6"/>
  <c r="M22" i="6"/>
  <c r="U22" i="6"/>
  <c r="S22" i="6"/>
  <c r="R22" i="6"/>
  <c r="Q22" i="6"/>
  <c r="P22" i="6"/>
  <c r="O22" i="6"/>
  <c r="AZ22" i="6"/>
  <c r="AY22" i="6"/>
  <c r="AX22" i="6"/>
  <c r="AW22" i="6"/>
  <c r="AV22" i="6"/>
  <c r="AU22" i="6"/>
  <c r="AT22" i="6"/>
  <c r="BB22" i="6"/>
  <c r="C23" i="6"/>
  <c r="B23" i="6"/>
  <c r="J23" i="6"/>
  <c r="H23" i="6"/>
  <c r="G23" i="6"/>
  <c r="F23" i="6"/>
  <c r="E23" i="6"/>
  <c r="D23" i="6"/>
  <c r="BS23" i="6"/>
  <c r="BR23" i="6"/>
  <c r="BQ23" i="6"/>
  <c r="BP23" i="6"/>
  <c r="BX23" i="6"/>
  <c r="BV23" i="6"/>
  <c r="BU23" i="6"/>
  <c r="BT23" i="6"/>
  <c r="FW23" i="6"/>
  <c r="FV23" i="6"/>
  <c r="GD23" i="6"/>
  <c r="GB23" i="6"/>
  <c r="GA23" i="6"/>
  <c r="FZ23" i="6"/>
  <c r="FY23" i="6"/>
  <c r="FX23" i="6"/>
  <c r="BH24" i="6"/>
  <c r="BG24" i="6"/>
  <c r="BF24" i="6"/>
  <c r="BE24" i="6"/>
  <c r="BM24" i="6"/>
  <c r="BK24" i="6"/>
  <c r="BJ24" i="6"/>
  <c r="BI24" i="6"/>
  <c r="FL24" i="6"/>
  <c r="FK24" i="6"/>
  <c r="FS24" i="6"/>
  <c r="FQ24" i="6"/>
  <c r="FP24" i="6"/>
  <c r="FO24" i="6"/>
  <c r="FN24" i="6"/>
  <c r="FM24" i="6"/>
  <c r="AM25" i="6"/>
  <c r="AL25" i="6"/>
  <c r="AK25" i="6"/>
  <c r="AJ25" i="6"/>
  <c r="AI25" i="6"/>
  <c r="AQ25" i="6"/>
  <c r="AO25" i="6"/>
  <c r="AN25" i="6"/>
  <c r="AC25" i="6"/>
  <c r="AB25" i="6"/>
  <c r="AA25" i="6"/>
  <c r="Z25" i="6"/>
  <c r="Y25" i="6"/>
  <c r="X25" i="6"/>
  <c r="AF25" i="6"/>
  <c r="AD25" i="6"/>
  <c r="R26" i="6"/>
  <c r="Q26" i="6"/>
  <c r="P26" i="6"/>
  <c r="O26" i="6"/>
  <c r="N26" i="6"/>
  <c r="M26" i="6"/>
  <c r="U26" i="6"/>
  <c r="S26" i="6"/>
  <c r="AV26" i="6"/>
  <c r="AU26" i="6"/>
  <c r="AT26" i="6"/>
  <c r="BB26" i="6"/>
  <c r="AZ26" i="6"/>
  <c r="AY26" i="6"/>
  <c r="AX26" i="6"/>
  <c r="AW26" i="6"/>
  <c r="G27" i="6"/>
  <c r="F27" i="6"/>
  <c r="E27" i="6"/>
  <c r="D27" i="6"/>
  <c r="C27" i="6"/>
  <c r="B27" i="6"/>
  <c r="J27" i="6"/>
  <c r="H27" i="6"/>
  <c r="BX27" i="6"/>
  <c r="BV27" i="6"/>
  <c r="BU27" i="6"/>
  <c r="BT27" i="6"/>
  <c r="BS27" i="6"/>
  <c r="BR27" i="6"/>
  <c r="BQ27" i="6"/>
  <c r="BP27" i="6"/>
  <c r="GA27" i="6"/>
  <c r="FZ27" i="6"/>
  <c r="FY27" i="6"/>
  <c r="FX27" i="6"/>
  <c r="FW27" i="6"/>
  <c r="FV27" i="6"/>
  <c r="GD27" i="6"/>
  <c r="GB27" i="6"/>
  <c r="BM28" i="6"/>
  <c r="BK28" i="6"/>
  <c r="BJ28" i="6"/>
  <c r="BI28" i="6"/>
  <c r="BH28" i="6"/>
  <c r="BG28" i="6"/>
  <c r="BF28" i="6"/>
  <c r="BE28" i="6"/>
  <c r="FP28" i="6"/>
  <c r="FO28" i="6"/>
  <c r="FN28" i="6"/>
  <c r="FM28" i="6"/>
  <c r="FL28" i="6"/>
  <c r="FK28" i="6"/>
  <c r="FS28" i="6"/>
  <c r="FQ28" i="6"/>
  <c r="AI29" i="6"/>
  <c r="AQ29" i="6"/>
  <c r="AO29" i="6"/>
  <c r="AN29" i="6"/>
  <c r="AM29" i="6"/>
  <c r="AL29" i="6"/>
  <c r="AK29" i="6"/>
  <c r="AJ29" i="6"/>
  <c r="Y29" i="6"/>
  <c r="X29" i="6"/>
  <c r="AF29" i="6"/>
  <c r="AD29" i="6"/>
  <c r="AC29" i="6"/>
  <c r="AB29" i="6"/>
  <c r="AA29" i="6"/>
  <c r="Z29" i="6"/>
  <c r="N30" i="6"/>
  <c r="M30" i="6"/>
  <c r="U30" i="6"/>
  <c r="S30" i="6"/>
  <c r="R30" i="6"/>
  <c r="Q30" i="6"/>
  <c r="P30" i="6"/>
  <c r="O30" i="6"/>
  <c r="AZ30" i="6"/>
  <c r="AY30" i="6"/>
  <c r="AX30" i="6"/>
  <c r="AW30" i="6"/>
  <c r="AV30" i="6"/>
  <c r="AU30" i="6"/>
  <c r="AT30" i="6"/>
  <c r="BB30" i="6"/>
  <c r="C31" i="6"/>
  <c r="B31" i="6"/>
  <c r="J31" i="6"/>
  <c r="H31" i="6"/>
  <c r="G31" i="6"/>
  <c r="F31" i="6"/>
  <c r="E31" i="6"/>
  <c r="D31" i="6"/>
  <c r="BS31" i="6"/>
  <c r="BR31" i="6"/>
  <c r="BQ31" i="6"/>
  <c r="BP31" i="6"/>
  <c r="BX31" i="6"/>
  <c r="BV31" i="6"/>
  <c r="BU31" i="6"/>
  <c r="BT31" i="6"/>
  <c r="FW31" i="6"/>
  <c r="FV31" i="6"/>
  <c r="GD31" i="6"/>
  <c r="GB31" i="6"/>
  <c r="GA31" i="6"/>
  <c r="FZ31" i="6"/>
  <c r="FY31" i="6"/>
  <c r="FX31" i="6"/>
  <c r="BH32" i="6"/>
  <c r="BG32" i="6"/>
  <c r="BF32" i="6"/>
  <c r="BE32" i="6"/>
  <c r="BM32" i="6"/>
  <c r="BK32" i="6"/>
  <c r="BJ32" i="6"/>
  <c r="BI32" i="6"/>
  <c r="FL32" i="6"/>
  <c r="FK32" i="6"/>
  <c r="FS32" i="6"/>
  <c r="FQ32" i="6"/>
  <c r="FP32" i="6"/>
  <c r="FO32" i="6"/>
  <c r="FN32" i="6"/>
  <c r="FM32" i="6"/>
  <c r="AM33" i="6"/>
  <c r="AL33" i="6"/>
  <c r="AK33" i="6"/>
  <c r="AJ33" i="6"/>
  <c r="AI33" i="6"/>
  <c r="AQ33" i="6"/>
  <c r="AO33" i="6"/>
  <c r="AN33" i="6"/>
  <c r="AC33" i="6"/>
  <c r="AB33" i="6"/>
  <c r="AA33" i="6"/>
  <c r="Z33" i="6"/>
  <c r="Y33" i="6"/>
  <c r="X33" i="6"/>
  <c r="AF33" i="6"/>
  <c r="AD33" i="6"/>
  <c r="R34" i="6"/>
  <c r="Q34" i="6"/>
  <c r="P34" i="6"/>
  <c r="O34" i="6"/>
  <c r="N34" i="6"/>
  <c r="M34" i="6"/>
  <c r="U34" i="6"/>
  <c r="S34" i="6"/>
  <c r="AV34" i="6"/>
  <c r="AU34" i="6"/>
  <c r="AT34" i="6"/>
  <c r="BB34" i="6"/>
  <c r="AZ34" i="6"/>
  <c r="AY34" i="6"/>
  <c r="AX34" i="6"/>
  <c r="AW34" i="6"/>
  <c r="G35" i="6"/>
  <c r="F35" i="6"/>
  <c r="E35" i="6"/>
  <c r="D35" i="6"/>
  <c r="C35" i="6"/>
  <c r="B35" i="6"/>
  <c r="J35" i="6"/>
  <c r="H35" i="6"/>
  <c r="BX35" i="6"/>
  <c r="BV35" i="6"/>
  <c r="BU35" i="6"/>
  <c r="BT35" i="6"/>
  <c r="BS35" i="6"/>
  <c r="BR35" i="6"/>
  <c r="BQ35" i="6"/>
  <c r="BP35" i="6"/>
  <c r="GA35" i="6"/>
  <c r="FZ35" i="6"/>
  <c r="FY35" i="6"/>
  <c r="FX35" i="6"/>
  <c r="FW35" i="6"/>
  <c r="FV35" i="6"/>
  <c r="GD35" i="6"/>
  <c r="GB35" i="6"/>
  <c r="BM36" i="6"/>
  <c r="BK36" i="6"/>
  <c r="BJ36" i="6"/>
  <c r="BI36" i="6"/>
  <c r="BH36" i="6"/>
  <c r="BG36" i="6"/>
  <c r="BF36" i="6"/>
  <c r="BE36" i="6"/>
  <c r="FP36" i="6"/>
  <c r="FO36" i="6"/>
  <c r="FN36" i="6"/>
  <c r="FM36" i="6"/>
  <c r="FL36" i="6"/>
  <c r="FK36" i="6"/>
  <c r="FS36" i="6"/>
  <c r="FQ36" i="6"/>
  <c r="AI37" i="6"/>
  <c r="AQ37" i="6"/>
  <c r="AO37" i="6"/>
  <c r="AN37" i="6"/>
  <c r="AM37" i="6"/>
  <c r="AL37" i="6"/>
  <c r="AK37" i="6"/>
  <c r="AJ37" i="6"/>
  <c r="Y37" i="6"/>
  <c r="X37" i="6"/>
  <c r="AF37" i="6"/>
  <c r="AD37" i="6"/>
  <c r="AC37" i="6"/>
  <c r="AB37" i="6"/>
  <c r="AA37" i="6"/>
  <c r="Z37" i="6"/>
  <c r="N38" i="6"/>
  <c r="M38" i="6"/>
  <c r="U38" i="6"/>
  <c r="S38" i="6"/>
  <c r="R38" i="6"/>
  <c r="Q38" i="6"/>
  <c r="P38" i="6"/>
  <c r="O38" i="6"/>
  <c r="AZ38" i="6"/>
  <c r="AY38" i="6"/>
  <c r="AX38" i="6"/>
  <c r="AW38" i="6"/>
  <c r="AV38" i="6"/>
  <c r="AU38" i="6"/>
  <c r="AT38" i="6"/>
  <c r="BB38" i="6"/>
  <c r="C39" i="6"/>
  <c r="B39" i="6"/>
  <c r="J39" i="6"/>
  <c r="H39" i="6"/>
  <c r="G39" i="6"/>
  <c r="F39" i="6"/>
  <c r="E39" i="6"/>
  <c r="D39" i="6"/>
  <c r="BS39" i="6"/>
  <c r="BR39" i="6"/>
  <c r="BQ39" i="6"/>
  <c r="BP39" i="6"/>
  <c r="BX39" i="6"/>
  <c r="BV39" i="6"/>
  <c r="BU39" i="6"/>
  <c r="BT39" i="6"/>
  <c r="FW39" i="6"/>
  <c r="FV39" i="6"/>
  <c r="GD39" i="6"/>
  <c r="GB39" i="6"/>
  <c r="GA39" i="6"/>
  <c r="FZ39" i="6"/>
  <c r="FY39" i="6"/>
  <c r="FX39" i="6"/>
  <c r="BH40" i="6"/>
  <c r="BG40" i="6"/>
  <c r="BF40" i="6"/>
  <c r="BE40" i="6"/>
  <c r="BM40" i="6"/>
  <c r="BK40" i="6"/>
  <c r="BJ40" i="6"/>
  <c r="BI40" i="6"/>
  <c r="FL40" i="6"/>
  <c r="FK40" i="6"/>
  <c r="FS40" i="6"/>
  <c r="FQ40" i="6"/>
  <c r="FP40" i="6"/>
  <c r="FO40" i="6"/>
  <c r="FN40" i="6"/>
  <c r="FM40" i="6"/>
  <c r="AM41" i="6"/>
  <c r="AL41" i="6"/>
  <c r="AK41" i="6"/>
  <c r="AJ41" i="6"/>
  <c r="AI41" i="6"/>
  <c r="AQ41" i="6"/>
  <c r="AO41" i="6"/>
  <c r="AN41" i="6"/>
  <c r="AC41" i="6"/>
  <c r="AB41" i="6"/>
  <c r="AA41" i="6"/>
  <c r="Z41" i="6"/>
  <c r="Y41" i="6"/>
  <c r="X41" i="6"/>
  <c r="AF41" i="6"/>
  <c r="AD41" i="6"/>
  <c r="R42" i="6"/>
  <c r="Q42" i="6"/>
  <c r="P42" i="6"/>
  <c r="O42" i="6"/>
  <c r="N42" i="6"/>
  <c r="M42" i="6"/>
  <c r="U42" i="6"/>
  <c r="S42" i="6"/>
  <c r="AV42" i="6"/>
  <c r="AU42" i="6"/>
  <c r="AT42" i="6"/>
  <c r="BB42" i="6"/>
  <c r="AZ42" i="6"/>
  <c r="AY42" i="6"/>
  <c r="AX42" i="6"/>
  <c r="AW42" i="6"/>
  <c r="G43" i="6"/>
  <c r="F43" i="6"/>
  <c r="E43" i="6"/>
  <c r="D43" i="6"/>
  <c r="C43" i="6"/>
  <c r="B43" i="6"/>
  <c r="J43" i="6"/>
  <c r="H43" i="6"/>
  <c r="BX43" i="6"/>
  <c r="BV43" i="6"/>
  <c r="BU43" i="6"/>
  <c r="BT43" i="6"/>
  <c r="BS43" i="6"/>
  <c r="BR43" i="6"/>
  <c r="BQ43" i="6"/>
  <c r="BP43" i="6"/>
  <c r="GA43" i="6"/>
  <c r="FZ43" i="6"/>
  <c r="FY43" i="6"/>
  <c r="FX43" i="6"/>
  <c r="FW43" i="6"/>
  <c r="FV43" i="6"/>
  <c r="GD43" i="6"/>
  <c r="GB43" i="6"/>
  <c r="BM44" i="6"/>
  <c r="BK44" i="6"/>
  <c r="BJ44" i="6"/>
  <c r="BI44" i="6"/>
  <c r="BH44" i="6"/>
  <c r="BG44" i="6"/>
  <c r="BF44" i="6"/>
  <c r="BE44" i="6"/>
  <c r="FP44" i="6"/>
  <c r="FO44" i="6"/>
  <c r="FN44" i="6"/>
  <c r="FM44" i="6"/>
  <c r="FL44" i="6"/>
  <c r="FK44" i="6"/>
  <c r="FS44" i="6"/>
  <c r="FQ44" i="6"/>
  <c r="AI45" i="6"/>
  <c r="AQ45" i="6"/>
  <c r="AO45" i="6"/>
  <c r="AN45" i="6"/>
  <c r="AM45" i="6"/>
  <c r="AL45" i="6"/>
  <c r="AK45" i="6"/>
  <c r="AJ45" i="6"/>
  <c r="Y45" i="6"/>
  <c r="X45" i="6"/>
  <c r="AF45" i="6"/>
  <c r="AD45" i="6"/>
  <c r="AC45" i="6"/>
  <c r="AB45" i="6"/>
  <c r="AA45" i="6"/>
  <c r="Z45" i="6"/>
  <c r="N46" i="6"/>
  <c r="M46" i="6"/>
  <c r="U46" i="6"/>
  <c r="S46" i="6"/>
  <c r="R46" i="6"/>
  <c r="Q46" i="6"/>
  <c r="P46" i="6"/>
  <c r="O46" i="6"/>
  <c r="AZ46" i="6"/>
  <c r="AY46" i="6"/>
  <c r="AX46" i="6"/>
  <c r="AW46" i="6"/>
  <c r="AV46" i="6"/>
  <c r="AU46" i="6"/>
  <c r="AT46" i="6"/>
  <c r="BB46" i="6"/>
  <c r="C47" i="6"/>
  <c r="B47" i="6"/>
  <c r="J47" i="6"/>
  <c r="H47" i="6"/>
  <c r="G47" i="6"/>
  <c r="F47" i="6"/>
  <c r="E47" i="6"/>
  <c r="D47" i="6"/>
  <c r="BS47" i="6"/>
  <c r="BR47" i="6"/>
  <c r="BQ47" i="6"/>
  <c r="BP47" i="6"/>
  <c r="BX47" i="6"/>
  <c r="BV47" i="6"/>
  <c r="BU47" i="6"/>
  <c r="BT47" i="6"/>
  <c r="FW47" i="6"/>
  <c r="FV47" i="6"/>
  <c r="GD47" i="6"/>
  <c r="GB47" i="6"/>
  <c r="GA47" i="6"/>
  <c r="FZ47" i="6"/>
  <c r="FY47" i="6"/>
  <c r="FX47" i="6"/>
  <c r="BH48" i="6"/>
  <c r="BG48" i="6"/>
  <c r="BF48" i="6"/>
  <c r="BE48" i="6"/>
  <c r="BM48" i="6"/>
  <c r="BK48" i="6"/>
  <c r="BJ48" i="6"/>
  <c r="BI48" i="6"/>
  <c r="FL48" i="6"/>
  <c r="FK48" i="6"/>
  <c r="FS48" i="6"/>
  <c r="FQ48" i="6"/>
  <c r="FP48" i="6"/>
  <c r="FO48" i="6"/>
  <c r="FN48" i="6"/>
  <c r="FM48" i="6"/>
  <c r="AM49" i="6"/>
  <c r="AL49" i="6"/>
  <c r="AK49" i="6"/>
  <c r="AJ49" i="6"/>
  <c r="AI49" i="6"/>
  <c r="AQ49" i="6"/>
  <c r="AO49" i="6"/>
  <c r="AN49" i="6"/>
  <c r="AC49" i="6"/>
  <c r="AB49" i="6"/>
  <c r="AA49" i="6"/>
  <c r="Z49" i="6"/>
  <c r="Y49" i="6"/>
  <c r="X49" i="6"/>
  <c r="AF49" i="6"/>
  <c r="AD49" i="6"/>
  <c r="R50" i="6"/>
  <c r="Q50" i="6"/>
  <c r="P50" i="6"/>
  <c r="O50" i="6"/>
  <c r="N50" i="6"/>
  <c r="M50" i="6"/>
  <c r="U50" i="6"/>
  <c r="S50" i="6"/>
  <c r="AV50" i="6"/>
  <c r="AU50" i="6"/>
  <c r="AT50" i="6"/>
  <c r="BB50" i="6"/>
  <c r="AZ50" i="6"/>
  <c r="AY50" i="6"/>
  <c r="AX50" i="6"/>
  <c r="AW50" i="6"/>
  <c r="G51" i="6"/>
  <c r="F51" i="6"/>
  <c r="E51" i="6"/>
  <c r="D51" i="6"/>
  <c r="C51" i="6"/>
  <c r="B51" i="6"/>
  <c r="J51" i="6"/>
  <c r="H51" i="6"/>
  <c r="BX51" i="6"/>
  <c r="BV51" i="6"/>
  <c r="BU51" i="6"/>
  <c r="BT51" i="6"/>
  <c r="BS51" i="6"/>
  <c r="BR51" i="6"/>
  <c r="BQ51" i="6"/>
  <c r="BP51" i="6"/>
  <c r="GA51" i="6"/>
  <c r="FZ51" i="6"/>
  <c r="FY51" i="6"/>
  <c r="FX51" i="6"/>
  <c r="FW51" i="6"/>
  <c r="FV51" i="6"/>
  <c r="GD51" i="6"/>
  <c r="GB51" i="6"/>
  <c r="BM52" i="6"/>
  <c r="BK52" i="6"/>
  <c r="BJ52" i="6"/>
  <c r="BI52" i="6"/>
  <c r="BH52" i="6"/>
  <c r="BG52" i="6"/>
  <c r="BF52" i="6"/>
  <c r="BE52" i="6"/>
  <c r="FP52" i="6"/>
  <c r="FO52" i="6"/>
  <c r="FN52" i="6"/>
  <c r="FM52" i="6"/>
  <c r="FL52" i="6"/>
  <c r="FK52" i="6"/>
  <c r="FS52" i="6"/>
  <c r="FQ52" i="6"/>
  <c r="AI53" i="6"/>
  <c r="AQ53" i="6"/>
  <c r="AO53" i="6"/>
  <c r="AN53" i="6"/>
  <c r="AM53" i="6"/>
  <c r="AL53" i="6"/>
  <c r="AK53" i="6"/>
  <c r="AJ53" i="6"/>
  <c r="Y53" i="6"/>
  <c r="X53" i="6"/>
  <c r="AF53" i="6"/>
  <c r="AD53" i="6"/>
  <c r="AC53" i="6"/>
  <c r="AB53" i="6"/>
  <c r="AA53" i="6"/>
  <c r="Z53" i="6"/>
  <c r="N54" i="6"/>
  <c r="M54" i="6"/>
  <c r="U54" i="6"/>
  <c r="S54" i="6"/>
  <c r="R54" i="6"/>
  <c r="Q54" i="6"/>
  <c r="P54" i="6"/>
  <c r="O54" i="6"/>
  <c r="AZ54" i="6"/>
  <c r="AY54" i="6"/>
  <c r="AX54" i="6"/>
  <c r="AW54" i="6"/>
  <c r="AV54" i="6"/>
  <c r="AU54" i="6"/>
  <c r="AT54" i="6"/>
  <c r="BB54" i="6"/>
  <c r="C55" i="6"/>
  <c r="B55" i="6"/>
  <c r="J55" i="6"/>
  <c r="H55" i="6"/>
  <c r="G55" i="6"/>
  <c r="F55" i="6"/>
  <c r="E55" i="6"/>
  <c r="D55" i="6"/>
  <c r="BS55" i="6"/>
  <c r="BR55" i="6"/>
  <c r="BQ55" i="6"/>
  <c r="BP55" i="6"/>
  <c r="BX55" i="6"/>
  <c r="BV55" i="6"/>
  <c r="BU55" i="6"/>
  <c r="BT55" i="6"/>
  <c r="FW55" i="6"/>
  <c r="FV55" i="6"/>
  <c r="GD55" i="6"/>
  <c r="GB55" i="6"/>
  <c r="GA55" i="6"/>
  <c r="FZ55" i="6"/>
  <c r="FY55" i="6"/>
  <c r="FX55" i="6"/>
  <c r="BH56" i="6"/>
  <c r="BG56" i="6"/>
  <c r="BF56" i="6"/>
  <c r="BE56" i="6"/>
  <c r="BM56" i="6"/>
  <c r="BK56" i="6"/>
  <c r="BJ56" i="6"/>
  <c r="BI56" i="6"/>
  <c r="FL56" i="6"/>
  <c r="FK56" i="6"/>
  <c r="FS56" i="6"/>
  <c r="FQ56" i="6"/>
  <c r="FP56" i="6"/>
  <c r="FO56" i="6"/>
  <c r="FN56" i="6"/>
  <c r="FM56" i="6"/>
  <c r="AM57" i="6"/>
  <c r="AL57" i="6"/>
  <c r="AK57" i="6"/>
  <c r="AJ57" i="6"/>
  <c r="AI57" i="6"/>
  <c r="AQ57" i="6"/>
  <c r="AO57" i="6"/>
  <c r="AN57" i="6"/>
  <c r="AC57" i="6"/>
  <c r="AB57" i="6"/>
  <c r="AA57" i="6"/>
  <c r="Z57" i="6"/>
  <c r="Y57" i="6"/>
  <c r="X57" i="6"/>
  <c r="AF57" i="6"/>
  <c r="AD57" i="6"/>
  <c r="R58" i="6"/>
  <c r="Q58" i="6"/>
  <c r="P58" i="6"/>
  <c r="O58" i="6"/>
  <c r="N58" i="6"/>
  <c r="M58" i="6"/>
  <c r="U58" i="6"/>
  <c r="S58" i="6"/>
  <c r="AV58" i="6"/>
  <c r="AU58" i="6"/>
  <c r="AT58" i="6"/>
  <c r="BB58" i="6"/>
  <c r="AZ58" i="6"/>
  <c r="AY58" i="6"/>
  <c r="AX58" i="6"/>
  <c r="AW58" i="6"/>
  <c r="G59" i="6"/>
  <c r="F59" i="6"/>
  <c r="E59" i="6"/>
  <c r="D59" i="6"/>
  <c r="C59" i="6"/>
  <c r="B59" i="6"/>
  <c r="J59" i="6"/>
  <c r="H59" i="6"/>
  <c r="BX59" i="6"/>
  <c r="BV59" i="6"/>
  <c r="BU59" i="6"/>
  <c r="BT59" i="6"/>
  <c r="BS59" i="6"/>
  <c r="BR59" i="6"/>
  <c r="BQ59" i="6"/>
  <c r="BP59" i="6"/>
  <c r="GA59" i="6"/>
  <c r="FZ59" i="6"/>
  <c r="FY59" i="6"/>
  <c r="FX59" i="6"/>
  <c r="FW59" i="6"/>
  <c r="FV59" i="6"/>
  <c r="GD59" i="6"/>
  <c r="GB59" i="6"/>
  <c r="BM60" i="6"/>
  <c r="BK60" i="6"/>
  <c r="BJ60" i="6"/>
  <c r="BI60" i="6"/>
  <c r="BH60" i="6"/>
  <c r="BG60" i="6"/>
  <c r="BF60" i="6"/>
  <c r="BE60" i="6"/>
  <c r="FP60" i="6"/>
  <c r="FO60" i="6"/>
  <c r="FN60" i="6"/>
  <c r="FM60" i="6"/>
  <c r="FL60" i="6"/>
  <c r="FK60" i="6"/>
  <c r="FS60" i="6"/>
  <c r="FQ60" i="6"/>
  <c r="AI61" i="6"/>
  <c r="AQ61" i="6"/>
  <c r="AO61" i="6"/>
  <c r="AN61" i="6"/>
  <c r="AM61" i="6"/>
  <c r="AL61" i="6"/>
  <c r="AK61" i="6"/>
  <c r="AJ61" i="6"/>
  <c r="Y61" i="6"/>
  <c r="X61" i="6"/>
  <c r="AF61" i="6"/>
  <c r="AD61" i="6"/>
  <c r="AC61" i="6"/>
  <c r="AB61" i="6"/>
  <c r="AA61" i="6"/>
  <c r="Z61" i="6"/>
  <c r="N62" i="6"/>
  <c r="M62" i="6"/>
  <c r="U62" i="6"/>
  <c r="S62" i="6"/>
  <c r="R62" i="6"/>
  <c r="Q62" i="6"/>
  <c r="P62" i="6"/>
  <c r="O62" i="6"/>
  <c r="AZ62" i="6"/>
  <c r="AY62" i="6"/>
  <c r="AX62" i="6"/>
  <c r="AW62" i="6"/>
  <c r="AV62" i="6"/>
  <c r="AU62" i="6"/>
  <c r="AT62" i="6"/>
  <c r="BB62" i="6"/>
  <c r="C63" i="6"/>
  <c r="B63" i="6"/>
  <c r="J63" i="6"/>
  <c r="H63" i="6"/>
  <c r="G63" i="6"/>
  <c r="F63" i="6"/>
  <c r="E63" i="6"/>
  <c r="D63" i="6"/>
  <c r="BS63" i="6"/>
  <c r="BR63" i="6"/>
  <c r="BQ63" i="6"/>
  <c r="BP63" i="6"/>
  <c r="BX63" i="6"/>
  <c r="BV63" i="6"/>
  <c r="BU63" i="6"/>
  <c r="BT63" i="6"/>
  <c r="FW63" i="6"/>
  <c r="FV63" i="6"/>
  <c r="GD63" i="6"/>
  <c r="GB63" i="6"/>
  <c r="GA63" i="6"/>
  <c r="FZ63" i="6"/>
  <c r="FY63" i="6"/>
  <c r="FX63" i="6"/>
  <c r="BH64" i="6"/>
  <c r="BG64" i="6"/>
  <c r="BF64" i="6"/>
  <c r="BE64" i="6"/>
  <c r="BM64" i="6"/>
  <c r="BK64" i="6"/>
  <c r="BJ64" i="6"/>
  <c r="BI64" i="6"/>
  <c r="FL64" i="6"/>
  <c r="FK64" i="6"/>
  <c r="FS64" i="6"/>
  <c r="FQ64" i="6"/>
  <c r="FP64" i="6"/>
  <c r="FO64" i="6"/>
  <c r="FN64" i="6"/>
  <c r="FM64" i="6"/>
  <c r="AM65" i="6"/>
  <c r="AL65" i="6"/>
  <c r="AK65" i="6"/>
  <c r="AJ65" i="6"/>
  <c r="AI65" i="6"/>
  <c r="AQ65" i="6"/>
  <c r="AO65" i="6"/>
  <c r="AN65" i="6"/>
  <c r="AC65" i="6"/>
  <c r="AB65" i="6"/>
  <c r="AA65" i="6"/>
  <c r="Z65" i="6"/>
  <c r="Y65" i="6"/>
  <c r="X65" i="6"/>
  <c r="AF65" i="6"/>
  <c r="AD65" i="6"/>
  <c r="R66" i="6"/>
  <c r="Q66" i="6"/>
  <c r="P66" i="6"/>
  <c r="O66" i="6"/>
  <c r="N66" i="6"/>
  <c r="M66" i="6"/>
  <c r="U66" i="6"/>
  <c r="S66" i="6"/>
  <c r="AV66" i="6"/>
  <c r="AU66" i="6"/>
  <c r="AT66" i="6"/>
  <c r="BB66" i="6"/>
  <c r="AZ66" i="6"/>
  <c r="AY66" i="6"/>
  <c r="AX66" i="6"/>
  <c r="AW66" i="6"/>
  <c r="G67" i="6"/>
  <c r="F67" i="6"/>
  <c r="E67" i="6"/>
  <c r="D67" i="6"/>
  <c r="C67" i="6"/>
  <c r="B67" i="6"/>
  <c r="J67" i="6"/>
  <c r="H67" i="6"/>
  <c r="BX67" i="6"/>
  <c r="BV67" i="6"/>
  <c r="BU67" i="6"/>
  <c r="BT67" i="6"/>
  <c r="BS67" i="6"/>
  <c r="BR67" i="6"/>
  <c r="BQ67" i="6"/>
  <c r="BP67" i="6"/>
  <c r="GA67" i="6"/>
  <c r="FZ67" i="6"/>
  <c r="FY67" i="6"/>
  <c r="FX67" i="6"/>
  <c r="FW67" i="6"/>
  <c r="FV67" i="6"/>
  <c r="GD67" i="6"/>
  <c r="GB67" i="6"/>
  <c r="BM68" i="6"/>
  <c r="BK68" i="6"/>
  <c r="BJ68" i="6"/>
  <c r="BI68" i="6"/>
  <c r="BH68" i="6"/>
  <c r="BG68" i="6"/>
  <c r="BF68" i="6"/>
  <c r="BE68" i="6"/>
  <c r="FP68" i="6"/>
  <c r="FO68" i="6"/>
  <c r="FN68" i="6"/>
  <c r="FM68" i="6"/>
  <c r="FL68" i="6"/>
  <c r="FK68" i="6"/>
  <c r="FS68" i="6"/>
  <c r="FQ68" i="6"/>
  <c r="AI69" i="6"/>
  <c r="AQ69" i="6"/>
  <c r="AO69" i="6"/>
  <c r="AN69" i="6"/>
  <c r="AM69" i="6"/>
  <c r="AL69" i="6"/>
  <c r="AK69" i="6"/>
  <c r="AJ69" i="6"/>
  <c r="Y69" i="6"/>
  <c r="X69" i="6"/>
  <c r="AF69" i="6"/>
  <c r="AD69" i="6"/>
  <c r="AC69" i="6"/>
  <c r="AB69" i="6"/>
  <c r="AA69" i="6"/>
  <c r="Z69" i="6"/>
  <c r="N70" i="6"/>
  <c r="M70" i="6"/>
  <c r="U70" i="6"/>
  <c r="S70" i="6"/>
  <c r="R70" i="6"/>
  <c r="Q70" i="6"/>
  <c r="P70" i="6"/>
  <c r="O70" i="6"/>
  <c r="AZ70" i="6"/>
  <c r="AY70" i="6"/>
  <c r="AX70" i="6"/>
  <c r="AW70" i="6"/>
  <c r="AV70" i="6"/>
  <c r="AU70" i="6"/>
  <c r="AT70" i="6"/>
  <c r="BB70" i="6"/>
  <c r="C71" i="6"/>
  <c r="B71" i="6"/>
  <c r="J71" i="6"/>
  <c r="H71" i="6"/>
  <c r="G71" i="6"/>
  <c r="F71" i="6"/>
  <c r="E71" i="6"/>
  <c r="D71" i="6"/>
  <c r="BS71" i="6"/>
  <c r="BR71" i="6"/>
  <c r="BQ71" i="6"/>
  <c r="BP71" i="6"/>
  <c r="BX71" i="6"/>
  <c r="BV71" i="6"/>
  <c r="BU71" i="6"/>
  <c r="BT71" i="6"/>
  <c r="FW71" i="6"/>
  <c r="FV71" i="6"/>
  <c r="GD71" i="6"/>
  <c r="GB71" i="6"/>
  <c r="GA71" i="6"/>
  <c r="FZ71" i="6"/>
  <c r="FY71" i="6"/>
  <c r="FX71" i="6"/>
  <c r="BH72" i="6"/>
  <c r="BG72" i="6"/>
  <c r="BF72" i="6"/>
  <c r="BE72" i="6"/>
  <c r="BM72" i="6"/>
  <c r="BK72" i="6"/>
  <c r="BJ72" i="6"/>
  <c r="BI72" i="6"/>
  <c r="FL72" i="6"/>
  <c r="FK72" i="6"/>
  <c r="FS72" i="6"/>
  <c r="FQ72" i="6"/>
  <c r="FP72" i="6"/>
  <c r="FO72" i="6"/>
  <c r="FN72" i="6"/>
  <c r="FM72" i="6"/>
  <c r="AM73" i="6"/>
  <c r="AL73" i="6"/>
  <c r="AK73" i="6"/>
  <c r="AJ73" i="6"/>
  <c r="AI73" i="6"/>
  <c r="AQ73" i="6"/>
  <c r="AO73" i="6"/>
  <c r="AN73" i="6"/>
  <c r="AC73" i="6"/>
  <c r="AB73" i="6"/>
  <c r="AA73" i="6"/>
  <c r="Z73" i="6"/>
  <c r="Y73" i="6"/>
  <c r="X73" i="6"/>
  <c r="AF73" i="6"/>
  <c r="AD73" i="6"/>
  <c r="R74" i="6"/>
  <c r="Q74" i="6"/>
  <c r="P74" i="6"/>
  <c r="O74" i="6"/>
  <c r="N74" i="6"/>
  <c r="M74" i="6"/>
  <c r="U74" i="6"/>
  <c r="S74" i="6"/>
  <c r="AV74" i="6"/>
  <c r="AU74" i="6"/>
  <c r="AT74" i="6"/>
  <c r="BB74" i="6"/>
  <c r="AZ74" i="6"/>
  <c r="AY74" i="6"/>
  <c r="AX74" i="6"/>
  <c r="AW74" i="6"/>
  <c r="G75" i="6"/>
  <c r="F75" i="6"/>
  <c r="E75" i="6"/>
  <c r="D75" i="6"/>
  <c r="C75" i="6"/>
  <c r="B75" i="6"/>
  <c r="J75" i="6"/>
  <c r="H75" i="6"/>
  <c r="BX75" i="6"/>
  <c r="BV75" i="6"/>
  <c r="BU75" i="6"/>
  <c r="BT75" i="6"/>
  <c r="BS75" i="6"/>
  <c r="BR75" i="6"/>
  <c r="BQ75" i="6"/>
  <c r="BP75" i="6"/>
  <c r="GA75" i="6"/>
  <c r="FZ75" i="6"/>
  <c r="FY75" i="6"/>
  <c r="FX75" i="6"/>
  <c r="FW75" i="6"/>
  <c r="FV75" i="6"/>
  <c r="GD75" i="6"/>
  <c r="GB75" i="6"/>
  <c r="BM76" i="6"/>
  <c r="BK76" i="6"/>
  <c r="BJ76" i="6"/>
  <c r="BI76" i="6"/>
  <c r="BH76" i="6"/>
  <c r="BG76" i="6"/>
  <c r="BF76" i="6"/>
  <c r="BE76" i="6"/>
  <c r="FP76" i="6"/>
  <c r="FO76" i="6"/>
  <c r="FN76" i="6"/>
  <c r="FM76" i="6"/>
  <c r="FL76" i="6"/>
  <c r="FK76" i="6"/>
  <c r="FS76" i="6"/>
  <c r="FQ76" i="6"/>
  <c r="AI77" i="6"/>
  <c r="AQ77" i="6"/>
  <c r="AO77" i="6"/>
  <c r="AN77" i="6"/>
  <c r="AM77" i="6"/>
  <c r="AL77" i="6"/>
  <c r="AK77" i="6"/>
  <c r="AJ77" i="6"/>
  <c r="Y77" i="6"/>
  <c r="X77" i="6"/>
  <c r="AF77" i="6"/>
  <c r="AD77" i="6"/>
  <c r="AC77" i="6"/>
  <c r="AB77" i="6"/>
  <c r="AA77" i="6"/>
  <c r="Z77" i="6"/>
  <c r="N78" i="6"/>
  <c r="M78" i="6"/>
  <c r="U78" i="6"/>
  <c r="S78" i="6"/>
  <c r="R78" i="6"/>
  <c r="Q78" i="6"/>
  <c r="P78" i="6"/>
  <c r="O78" i="6"/>
  <c r="AZ78" i="6"/>
  <c r="AY78" i="6"/>
  <c r="AX78" i="6"/>
  <c r="AW78" i="6"/>
  <c r="AV78" i="6"/>
  <c r="AU78" i="6"/>
  <c r="AT78" i="6"/>
  <c r="BB78" i="6"/>
  <c r="C79" i="6"/>
  <c r="B79" i="6"/>
  <c r="J79" i="6"/>
  <c r="H79" i="6"/>
  <c r="G79" i="6"/>
  <c r="F79" i="6"/>
  <c r="E79" i="6"/>
  <c r="D79" i="6"/>
  <c r="BS79" i="6"/>
  <c r="BR79" i="6"/>
  <c r="BQ79" i="6"/>
  <c r="BP79" i="6"/>
  <c r="BX79" i="6"/>
  <c r="BV79" i="6"/>
  <c r="BU79" i="6"/>
  <c r="BT79" i="6"/>
  <c r="FW79" i="6"/>
  <c r="FV79" i="6"/>
  <c r="GD79" i="6"/>
  <c r="GB79" i="6"/>
  <c r="GA79" i="6"/>
  <c r="FZ79" i="6"/>
  <c r="FY79" i="6"/>
  <c r="FX79" i="6"/>
  <c r="BH80" i="6"/>
  <c r="BG80" i="6"/>
  <c r="BF80" i="6"/>
  <c r="BE80" i="6"/>
  <c r="BM80" i="6"/>
  <c r="BK80" i="6"/>
  <c r="BJ80" i="6"/>
  <c r="BI80" i="6"/>
  <c r="FL80" i="6"/>
  <c r="FK80" i="6"/>
  <c r="FS80" i="6"/>
  <c r="FQ80" i="6"/>
  <c r="FP80" i="6"/>
  <c r="FO80" i="6"/>
  <c r="FN80" i="6"/>
  <c r="FM80" i="6"/>
  <c r="AM81" i="6"/>
  <c r="AL81" i="6"/>
  <c r="AK81" i="6"/>
  <c r="AJ81" i="6"/>
  <c r="AI81" i="6"/>
  <c r="AQ81" i="6"/>
  <c r="AO81" i="6"/>
  <c r="AN81" i="6"/>
  <c r="AC81" i="6"/>
  <c r="AB81" i="6"/>
  <c r="AA81" i="6"/>
  <c r="Z81" i="6"/>
  <c r="Y81" i="6"/>
  <c r="X81" i="6"/>
  <c r="AF81" i="6"/>
  <c r="AD81" i="6"/>
  <c r="R82" i="6"/>
  <c r="Q82" i="6"/>
  <c r="P82" i="6"/>
  <c r="O82" i="6"/>
  <c r="N82" i="6"/>
  <c r="M82" i="6"/>
  <c r="U82" i="6"/>
  <c r="S82" i="6"/>
  <c r="AV82" i="6"/>
  <c r="AU82" i="6"/>
  <c r="AT82" i="6"/>
  <c r="BB82" i="6"/>
  <c r="AZ82" i="6"/>
  <c r="AY82" i="6"/>
  <c r="AX82" i="6"/>
  <c r="AW82" i="6"/>
  <c r="G83" i="6"/>
  <c r="F83" i="6"/>
  <c r="E83" i="6"/>
  <c r="D83" i="6"/>
  <c r="C83" i="6"/>
  <c r="B83" i="6"/>
  <c r="J83" i="6"/>
  <c r="H83" i="6"/>
  <c r="BX83" i="6"/>
  <c r="BV83" i="6"/>
  <c r="BU83" i="6"/>
  <c r="BT83" i="6"/>
  <c r="BS83" i="6"/>
  <c r="BR83" i="6"/>
  <c r="BQ83" i="6"/>
  <c r="BP83" i="6"/>
  <c r="GA83" i="6"/>
  <c r="FZ83" i="6"/>
  <c r="FY83" i="6"/>
  <c r="FX83" i="6"/>
  <c r="FW83" i="6"/>
  <c r="FV83" i="6"/>
  <c r="GD83" i="6"/>
  <c r="GB83" i="6"/>
  <c r="BM84" i="6"/>
  <c r="BK84" i="6"/>
  <c r="BJ84" i="6"/>
  <c r="BI84" i="6"/>
  <c r="BH84" i="6"/>
  <c r="BG84" i="6"/>
  <c r="BF84" i="6"/>
  <c r="BE84" i="6"/>
  <c r="FP84" i="6"/>
  <c r="FO84" i="6"/>
  <c r="FN84" i="6"/>
  <c r="FM84" i="6"/>
  <c r="FL84" i="6"/>
  <c r="FK84" i="6"/>
  <c r="FS84" i="6"/>
  <c r="FQ84" i="6"/>
  <c r="AI85" i="6"/>
  <c r="AQ85" i="6"/>
  <c r="AO85" i="6"/>
  <c r="AN85" i="6"/>
  <c r="AM85" i="6"/>
  <c r="AL85" i="6"/>
  <c r="AK85" i="6"/>
  <c r="AJ85" i="6"/>
  <c r="Y85" i="6"/>
  <c r="X85" i="6"/>
  <c r="AF85" i="6"/>
  <c r="AD85" i="6"/>
  <c r="AC85" i="6"/>
  <c r="AB85" i="6"/>
  <c r="AA85" i="6"/>
  <c r="Z85" i="6"/>
  <c r="N86" i="6"/>
  <c r="M86" i="6"/>
  <c r="U86" i="6"/>
  <c r="S86" i="6"/>
  <c r="R86" i="6"/>
  <c r="Q86" i="6"/>
  <c r="P86" i="6"/>
  <c r="O86" i="6"/>
  <c r="AZ86" i="6"/>
  <c r="AY86" i="6"/>
  <c r="AX86" i="6"/>
  <c r="AW86" i="6"/>
  <c r="AV86" i="6"/>
  <c r="AU86" i="6"/>
  <c r="AT86" i="6"/>
  <c r="BB86" i="6"/>
  <c r="C87" i="6"/>
  <c r="B87" i="6"/>
  <c r="J87" i="6"/>
  <c r="H87" i="6"/>
  <c r="G87" i="6"/>
  <c r="F87" i="6"/>
  <c r="E87" i="6"/>
  <c r="D87" i="6"/>
  <c r="BS87" i="6"/>
  <c r="BR87" i="6"/>
  <c r="BQ87" i="6"/>
  <c r="BP87" i="6"/>
  <c r="BX87" i="6"/>
  <c r="BV87" i="6"/>
  <c r="BU87" i="6"/>
  <c r="BT87" i="6"/>
  <c r="FW87" i="6"/>
  <c r="FV87" i="6"/>
  <c r="GD87" i="6"/>
  <c r="GB87" i="6"/>
  <c r="GA87" i="6"/>
  <c r="FZ87" i="6"/>
  <c r="FY87" i="6"/>
  <c r="FX87" i="6"/>
  <c r="BH88" i="6"/>
  <c r="BG88" i="6"/>
  <c r="BF88" i="6"/>
  <c r="BE88" i="6"/>
  <c r="BM88" i="6"/>
  <c r="BK88" i="6"/>
  <c r="BJ88" i="6"/>
  <c r="BI88" i="6"/>
  <c r="FL88" i="6"/>
  <c r="FK88" i="6"/>
  <c r="FS88" i="6"/>
  <c r="FQ88" i="6"/>
  <c r="FP88" i="6"/>
  <c r="FO88" i="6"/>
  <c r="FN88" i="6"/>
  <c r="FM88" i="6"/>
  <c r="AM89" i="6"/>
  <c r="AL89" i="6"/>
  <c r="AK89" i="6"/>
  <c r="AJ89" i="6"/>
  <c r="AI89" i="6"/>
  <c r="AQ89" i="6"/>
  <c r="AO89" i="6"/>
  <c r="AN89" i="6"/>
  <c r="AC89" i="6"/>
  <c r="AB89" i="6"/>
  <c r="AA89" i="6"/>
  <c r="Z89" i="6"/>
  <c r="Y89" i="6"/>
  <c r="X89" i="6"/>
  <c r="AF89" i="6"/>
  <c r="AD89" i="6"/>
  <c r="R90" i="6"/>
  <c r="Q90" i="6"/>
  <c r="P90" i="6"/>
  <c r="O90" i="6"/>
  <c r="N90" i="6"/>
  <c r="M90" i="6"/>
  <c r="U90" i="6"/>
  <c r="S90" i="6"/>
  <c r="AV90" i="6"/>
  <c r="AU90" i="6"/>
  <c r="AT90" i="6"/>
  <c r="BB90" i="6"/>
  <c r="AZ90" i="6"/>
  <c r="AY90" i="6"/>
  <c r="AX90" i="6"/>
  <c r="AW90" i="6"/>
  <c r="G91" i="6"/>
  <c r="F91" i="6"/>
  <c r="E91" i="6"/>
  <c r="D91" i="6"/>
  <c r="C91" i="6"/>
  <c r="B91" i="6"/>
  <c r="J91" i="6"/>
  <c r="H91" i="6"/>
  <c r="BX91" i="6"/>
  <c r="BV91" i="6"/>
  <c r="BU91" i="6"/>
  <c r="BT91" i="6"/>
  <c r="BS91" i="6"/>
  <c r="BR91" i="6"/>
  <c r="BQ91" i="6"/>
  <c r="BP91" i="6"/>
  <c r="GA91" i="6"/>
  <c r="FZ91" i="6"/>
  <c r="FY91" i="6"/>
  <c r="FX91" i="6"/>
  <c r="FW91" i="6"/>
  <c r="FV91" i="6"/>
  <c r="GD91" i="6"/>
  <c r="GB91" i="6"/>
  <c r="BM92" i="6"/>
  <c r="BK92" i="6"/>
  <c r="BJ92" i="6"/>
  <c r="BI92" i="6"/>
  <c r="BH92" i="6"/>
  <c r="BG92" i="6"/>
  <c r="BF92" i="6"/>
  <c r="BE92" i="6"/>
  <c r="FP92" i="6"/>
  <c r="FO92" i="6"/>
  <c r="FN92" i="6"/>
  <c r="FM92" i="6"/>
  <c r="FL92" i="6"/>
  <c r="FK92" i="6"/>
  <c r="FS92" i="6"/>
  <c r="FQ92" i="6"/>
  <c r="AI93" i="6"/>
  <c r="AQ93" i="6"/>
  <c r="AO93" i="6"/>
  <c r="AN93" i="6"/>
  <c r="AM93" i="6"/>
  <c r="AL93" i="6"/>
  <c r="AK93" i="6"/>
  <c r="AJ93" i="6"/>
  <c r="Y93" i="6"/>
  <c r="X93" i="6"/>
  <c r="AF93" i="6"/>
  <c r="AD93" i="6"/>
  <c r="AC93" i="6"/>
  <c r="AB93" i="6"/>
  <c r="AA93" i="6"/>
  <c r="Z93" i="6"/>
  <c r="N94" i="6"/>
  <c r="M94" i="6"/>
  <c r="U94" i="6"/>
  <c r="S94" i="6"/>
  <c r="R94" i="6"/>
  <c r="Q94" i="6"/>
  <c r="P94" i="6"/>
  <c r="O94" i="6"/>
  <c r="AZ94" i="6"/>
  <c r="AY94" i="6"/>
  <c r="AX94" i="6"/>
  <c r="AW94" i="6"/>
  <c r="AV94" i="6"/>
  <c r="AU94" i="6"/>
  <c r="AT94" i="6"/>
  <c r="BB94" i="6"/>
  <c r="C95" i="6"/>
  <c r="B95" i="6"/>
  <c r="J95" i="6"/>
  <c r="H95" i="6"/>
  <c r="G95" i="6"/>
  <c r="F95" i="6"/>
  <c r="E95" i="6"/>
  <c r="D95" i="6"/>
  <c r="BS95" i="6"/>
  <c r="BR95" i="6"/>
  <c r="BQ95" i="6"/>
  <c r="BP95" i="6"/>
  <c r="BX95" i="6"/>
  <c r="BV95" i="6"/>
  <c r="BU95" i="6"/>
  <c r="BT95" i="6"/>
  <c r="FW95" i="6"/>
  <c r="FV95" i="6"/>
  <c r="GD95" i="6"/>
  <c r="GB95" i="6"/>
  <c r="GA95" i="6"/>
  <c r="FZ95" i="6"/>
  <c r="FY95" i="6"/>
  <c r="FX95" i="6"/>
  <c r="BH96" i="6"/>
  <c r="BG96" i="6"/>
  <c r="BF96" i="6"/>
  <c r="BE96" i="6"/>
  <c r="BM96" i="6"/>
  <c r="BK96" i="6"/>
  <c r="BJ96" i="6"/>
  <c r="BI96" i="6"/>
  <c r="FL96" i="6"/>
  <c r="FK96" i="6"/>
  <c r="FS96" i="6"/>
  <c r="FQ96" i="6"/>
  <c r="FP96" i="6"/>
  <c r="FO96" i="6"/>
  <c r="FN96" i="6"/>
  <c r="FM96" i="6"/>
  <c r="AM97" i="6"/>
  <c r="AL97" i="6"/>
  <c r="AK97" i="6"/>
  <c r="AJ97" i="6"/>
  <c r="AI97" i="6"/>
  <c r="AQ97" i="6"/>
  <c r="AO97" i="6"/>
  <c r="AN97" i="6"/>
  <c r="AC97" i="6"/>
  <c r="AB97" i="6"/>
  <c r="AA97" i="6"/>
  <c r="Z97" i="6"/>
  <c r="Y97" i="6"/>
  <c r="X97" i="6"/>
  <c r="AF97" i="6"/>
  <c r="AD97" i="6"/>
  <c r="R98" i="6"/>
  <c r="Q98" i="6"/>
  <c r="P98" i="6"/>
  <c r="O98" i="6"/>
  <c r="N98" i="6"/>
  <c r="M98" i="6"/>
  <c r="U98" i="6"/>
  <c r="S98" i="6"/>
  <c r="AV98" i="6"/>
  <c r="AU98" i="6"/>
  <c r="AT98" i="6"/>
  <c r="BB98" i="6"/>
  <c r="AZ98" i="6"/>
  <c r="AY98" i="6"/>
  <c r="AX98" i="6"/>
  <c r="AW98" i="6"/>
  <c r="G99" i="6"/>
  <c r="F99" i="6"/>
  <c r="E99" i="6"/>
  <c r="D99" i="6"/>
  <c r="C99" i="6"/>
  <c r="B99" i="6"/>
  <c r="J99" i="6"/>
  <c r="H99" i="6"/>
  <c r="BX99" i="6"/>
  <c r="BV99" i="6"/>
  <c r="BU99" i="6"/>
  <c r="BT99" i="6"/>
  <c r="BS99" i="6"/>
  <c r="BR99" i="6"/>
  <c r="BQ99" i="6"/>
  <c r="BP99" i="6"/>
  <c r="GA99" i="6"/>
  <c r="FZ99" i="6"/>
  <c r="FY99" i="6"/>
  <c r="FX99" i="6"/>
  <c r="FW99" i="6"/>
  <c r="FV99" i="6"/>
  <c r="GD99" i="6"/>
  <c r="GB99" i="6"/>
  <c r="BM100" i="6"/>
  <c r="BK100" i="6"/>
  <c r="BJ100" i="6"/>
  <c r="BI100" i="6"/>
  <c r="BH100" i="6"/>
  <c r="BG100" i="6"/>
  <c r="BF100" i="6"/>
  <c r="BE100" i="6"/>
  <c r="FP100" i="6"/>
  <c r="FO100" i="6"/>
  <c r="FN100" i="6"/>
  <c r="FM100" i="6"/>
  <c r="FL100" i="6"/>
  <c r="FK100" i="6"/>
  <c r="FS100" i="6"/>
  <c r="FQ100" i="6"/>
  <c r="AI101" i="6"/>
  <c r="AQ101" i="6"/>
  <c r="AO101" i="6"/>
  <c r="AN101" i="6"/>
  <c r="AM101" i="6"/>
  <c r="AL101" i="6"/>
  <c r="AK101" i="6"/>
  <c r="AJ101" i="6"/>
  <c r="Y101" i="6"/>
  <c r="X101" i="6"/>
  <c r="AF101" i="6"/>
  <c r="AD101" i="6"/>
  <c r="AC101" i="6"/>
  <c r="AB101" i="6"/>
  <c r="AA101" i="6"/>
  <c r="Z101" i="6"/>
  <c r="N102" i="6"/>
  <c r="M102" i="6"/>
  <c r="U102" i="6"/>
  <c r="S102" i="6"/>
  <c r="R102" i="6"/>
  <c r="Q102" i="6"/>
  <c r="P102" i="6"/>
  <c r="O102" i="6"/>
  <c r="AZ102" i="6"/>
  <c r="AY102" i="6"/>
  <c r="AX102" i="6"/>
  <c r="AW102" i="6"/>
  <c r="AV102" i="6"/>
  <c r="AU102" i="6"/>
  <c r="AT102" i="6"/>
  <c r="BB102" i="6"/>
  <c r="C103" i="6"/>
  <c r="B103" i="6"/>
  <c r="J103" i="6"/>
  <c r="H103" i="6"/>
  <c r="G103" i="6"/>
  <c r="F103" i="6"/>
  <c r="E103" i="6"/>
  <c r="D103" i="6"/>
  <c r="BS103" i="6"/>
  <c r="BR103" i="6"/>
  <c r="BQ103" i="6"/>
  <c r="BP103" i="6"/>
  <c r="BX103" i="6"/>
  <c r="BV103" i="6"/>
  <c r="BU103" i="6"/>
  <c r="BT103" i="6"/>
  <c r="FW103" i="6"/>
  <c r="FV103" i="6"/>
  <c r="GD103" i="6"/>
  <c r="GB103" i="6"/>
  <c r="GA103" i="6"/>
  <c r="FZ103" i="6"/>
  <c r="FY103" i="6"/>
  <c r="FX103" i="6"/>
  <c r="BH104" i="6"/>
  <c r="BG104" i="6"/>
  <c r="BF104" i="6"/>
  <c r="BE104" i="6"/>
  <c r="BM104" i="6"/>
  <c r="BK104" i="6"/>
  <c r="BJ104" i="6"/>
  <c r="BI104" i="6"/>
  <c r="FL104" i="6"/>
  <c r="FK104" i="6"/>
  <c r="FS104" i="6"/>
  <c r="FQ104" i="6"/>
  <c r="FP104" i="6"/>
  <c r="FO104" i="6"/>
  <c r="FN104" i="6"/>
  <c r="FM104" i="6"/>
  <c r="AM105" i="6"/>
  <c r="AL105" i="6"/>
  <c r="AK105" i="6"/>
  <c r="AJ105" i="6"/>
  <c r="AI105" i="6"/>
  <c r="AQ105" i="6"/>
  <c r="AO105" i="6"/>
  <c r="AN105" i="6"/>
  <c r="AC105" i="6"/>
  <c r="AB105" i="6"/>
  <c r="AA105" i="6"/>
  <c r="Z105" i="6"/>
  <c r="Y105" i="6"/>
  <c r="X105" i="6"/>
  <c r="AF105" i="6"/>
  <c r="AD105" i="6"/>
  <c r="R106" i="6"/>
  <c r="Q106" i="6"/>
  <c r="P106" i="6"/>
  <c r="O106" i="6"/>
  <c r="N106" i="6"/>
  <c r="M106" i="6"/>
  <c r="U106" i="6"/>
  <c r="S106" i="6"/>
  <c r="AV106" i="6"/>
  <c r="AU106" i="6"/>
  <c r="AT106" i="6"/>
  <c r="BB106" i="6"/>
  <c r="AZ106" i="6"/>
  <c r="AY106" i="6"/>
  <c r="AX106" i="6"/>
  <c r="AW106" i="6"/>
  <c r="G107" i="6"/>
  <c r="F107" i="6"/>
  <c r="E107" i="6"/>
  <c r="D107" i="6"/>
  <c r="C107" i="6"/>
  <c r="B107" i="6"/>
  <c r="J107" i="6"/>
  <c r="H107" i="6"/>
  <c r="BX107" i="6"/>
  <c r="BV107" i="6"/>
  <c r="BU107" i="6"/>
  <c r="BT107" i="6"/>
  <c r="BS107" i="6"/>
  <c r="BR107" i="6"/>
  <c r="BQ107" i="6"/>
  <c r="BP107" i="6"/>
  <c r="GA107" i="6"/>
  <c r="FZ107" i="6"/>
  <c r="FY107" i="6"/>
  <c r="FX107" i="6"/>
  <c r="FW107" i="6"/>
  <c r="FV107" i="6"/>
  <c r="GD107" i="6"/>
  <c r="GB107" i="6"/>
  <c r="BM108" i="6"/>
  <c r="BK108" i="6"/>
  <c r="BJ108" i="6"/>
  <c r="BI108" i="6"/>
  <c r="BH108" i="6"/>
  <c r="BG108" i="6"/>
  <c r="BF108" i="6"/>
  <c r="BE108" i="6"/>
  <c r="FP108" i="6"/>
  <c r="FO108" i="6"/>
  <c r="FN108" i="6"/>
  <c r="FM108" i="6"/>
  <c r="FL108" i="6"/>
  <c r="FK108" i="6"/>
  <c r="FS108" i="6"/>
  <c r="FQ108" i="6"/>
  <c r="AI109" i="6"/>
  <c r="AQ109" i="6"/>
  <c r="AO109" i="6"/>
  <c r="AN109" i="6"/>
  <c r="AM109" i="6"/>
  <c r="AL109" i="6"/>
  <c r="AK109" i="6"/>
  <c r="AJ109" i="6"/>
  <c r="Y109" i="6"/>
  <c r="X109" i="6"/>
  <c r="AF109" i="6"/>
  <c r="AD109" i="6"/>
  <c r="AC109" i="6"/>
  <c r="AB109" i="6"/>
  <c r="AA109" i="6"/>
  <c r="Z109" i="6"/>
  <c r="N110" i="6"/>
  <c r="M110" i="6"/>
  <c r="U110" i="6"/>
  <c r="S110" i="6"/>
  <c r="R110" i="6"/>
  <c r="Q110" i="6"/>
  <c r="P110" i="6"/>
  <c r="O110" i="6"/>
  <c r="AZ110" i="6"/>
  <c r="AY110" i="6"/>
  <c r="AX110" i="6"/>
  <c r="AW110" i="6"/>
  <c r="AV110" i="6"/>
  <c r="AU110" i="6"/>
  <c r="AT110" i="6"/>
  <c r="BB110" i="6"/>
  <c r="C111" i="6"/>
  <c r="B111" i="6"/>
  <c r="J111" i="6"/>
  <c r="H111" i="6"/>
  <c r="G111" i="6"/>
  <c r="F111" i="6"/>
  <c r="E111" i="6"/>
  <c r="D111" i="6"/>
  <c r="BS111" i="6"/>
  <c r="BR111" i="6"/>
  <c r="BQ111" i="6"/>
  <c r="BP111" i="6"/>
  <c r="BX111" i="6"/>
  <c r="BV111" i="6"/>
  <c r="BU111" i="6"/>
  <c r="BT111" i="6"/>
  <c r="FW111" i="6"/>
  <c r="FV111" i="6"/>
  <c r="GD111" i="6"/>
  <c r="GB111" i="6"/>
  <c r="GA111" i="6"/>
  <c r="FZ111" i="6"/>
  <c r="FY111" i="6"/>
  <c r="FX111" i="6"/>
  <c r="BH112" i="6"/>
  <c r="BG112" i="6"/>
  <c r="BF112" i="6"/>
  <c r="BE112" i="6"/>
  <c r="BM112" i="6"/>
  <c r="BK112" i="6"/>
  <c r="BJ112" i="6"/>
  <c r="BI112" i="6"/>
  <c r="FL112" i="6"/>
  <c r="FK112" i="6"/>
  <c r="FS112" i="6"/>
  <c r="FQ112" i="6"/>
  <c r="FP112" i="6"/>
  <c r="FO112" i="6"/>
  <c r="FN112" i="6"/>
  <c r="FM112" i="6"/>
  <c r="AM113" i="6"/>
  <c r="AL113" i="6"/>
  <c r="AK113" i="6"/>
  <c r="AJ113" i="6"/>
  <c r="AI113" i="6"/>
  <c r="AQ113" i="6"/>
  <c r="AO113" i="6"/>
  <c r="AN113" i="6"/>
  <c r="AC113" i="6"/>
  <c r="AB113" i="6"/>
  <c r="AA113" i="6"/>
  <c r="Z113" i="6"/>
  <c r="Y113" i="6"/>
  <c r="X113" i="6"/>
  <c r="AF113" i="6"/>
  <c r="AD113" i="6"/>
  <c r="R114" i="6"/>
  <c r="Q114" i="6"/>
  <c r="P114" i="6"/>
  <c r="O114" i="6"/>
  <c r="N114" i="6"/>
  <c r="M114" i="6"/>
  <c r="U114" i="6"/>
  <c r="S114" i="6"/>
  <c r="AV114" i="6"/>
  <c r="AU114" i="6"/>
  <c r="AT114" i="6"/>
  <c r="BB114" i="6"/>
  <c r="AZ114" i="6"/>
  <c r="AY114" i="6"/>
  <c r="AX114" i="6"/>
  <c r="AW114" i="6"/>
  <c r="G115" i="6"/>
  <c r="F115" i="6"/>
  <c r="E115" i="6"/>
  <c r="D115" i="6"/>
  <c r="C115" i="6"/>
  <c r="B115" i="6"/>
  <c r="J115" i="6"/>
  <c r="H115" i="6"/>
  <c r="BX115" i="6"/>
  <c r="BV115" i="6"/>
  <c r="BU115" i="6"/>
  <c r="BT115" i="6"/>
  <c r="BS115" i="6"/>
  <c r="BR115" i="6"/>
  <c r="BQ115" i="6"/>
  <c r="BP115" i="6"/>
  <c r="GA115" i="6"/>
  <c r="FZ115" i="6"/>
  <c r="FY115" i="6"/>
  <c r="FX115" i="6"/>
  <c r="FW115" i="6"/>
  <c r="FV115" i="6"/>
  <c r="GD115" i="6"/>
  <c r="GB115" i="6"/>
  <c r="BM116" i="6"/>
  <c r="BK116" i="6"/>
  <c r="BJ116" i="6"/>
  <c r="BI116" i="6"/>
  <c r="BH116" i="6"/>
  <c r="BG116" i="6"/>
  <c r="BF116" i="6"/>
  <c r="BE116" i="6"/>
  <c r="FP116" i="6"/>
  <c r="FO116" i="6"/>
  <c r="FN116" i="6"/>
  <c r="FM116" i="6"/>
  <c r="FL116" i="6"/>
  <c r="FK116" i="6"/>
  <c r="FS116" i="6"/>
  <c r="FQ116" i="6"/>
  <c r="AI117" i="6"/>
  <c r="AQ117" i="6"/>
  <c r="AO117" i="6"/>
  <c r="AN117" i="6"/>
  <c r="AM117" i="6"/>
  <c r="AL117" i="6"/>
  <c r="AK117" i="6"/>
  <c r="AJ117" i="6"/>
  <c r="Y117" i="6"/>
  <c r="X117" i="6"/>
  <c r="AF117" i="6"/>
  <c r="AD117" i="6"/>
  <c r="AC117" i="6"/>
  <c r="AB117" i="6"/>
  <c r="AA117" i="6"/>
  <c r="Z117" i="6"/>
  <c r="N118" i="6"/>
  <c r="M118" i="6"/>
  <c r="U118" i="6"/>
  <c r="S118" i="6"/>
  <c r="R118" i="6"/>
  <c r="Q118" i="6"/>
  <c r="P118" i="6"/>
  <c r="O118" i="6"/>
  <c r="AZ118" i="6"/>
  <c r="AY118" i="6"/>
  <c r="AX118" i="6"/>
  <c r="AW118" i="6"/>
  <c r="AV118" i="6"/>
  <c r="AU118" i="6"/>
  <c r="AT118" i="6"/>
  <c r="BB118" i="6"/>
  <c r="C119" i="6"/>
  <c r="B119" i="6"/>
  <c r="J119" i="6"/>
  <c r="H119" i="6"/>
  <c r="G119" i="6"/>
  <c r="F119" i="6"/>
  <c r="E119" i="6"/>
  <c r="D119" i="6"/>
  <c r="BS119" i="6"/>
  <c r="BR119" i="6"/>
  <c r="BQ119" i="6"/>
  <c r="BP119" i="6"/>
  <c r="BX119" i="6"/>
  <c r="BV119" i="6"/>
  <c r="BU119" i="6"/>
  <c r="BT119" i="6"/>
  <c r="FW119" i="6"/>
  <c r="FV119" i="6"/>
  <c r="GD119" i="6"/>
  <c r="GB119" i="6"/>
  <c r="GA119" i="6"/>
  <c r="FZ119" i="6"/>
  <c r="FY119" i="6"/>
  <c r="FX119" i="6"/>
  <c r="BH120" i="6"/>
  <c r="BG120" i="6"/>
  <c r="BF120" i="6"/>
  <c r="BE120" i="6"/>
  <c r="BM120" i="6"/>
  <c r="BK120" i="6"/>
  <c r="BJ120" i="6"/>
  <c r="BI120" i="6"/>
  <c r="FL120" i="6"/>
  <c r="FK120" i="6"/>
  <c r="FS120" i="6"/>
  <c r="FQ120" i="6"/>
  <c r="FP120" i="6"/>
  <c r="FO120" i="6"/>
  <c r="FN120" i="6"/>
  <c r="FM120" i="6"/>
  <c r="DK3" i="6"/>
  <c r="DJ3" i="6"/>
  <c r="DI3" i="6"/>
  <c r="DH3" i="6"/>
  <c r="DP3" i="6"/>
  <c r="DN3" i="6"/>
  <c r="DM3" i="6"/>
  <c r="DL3" i="6"/>
  <c r="FH3" i="6"/>
  <c r="FF3" i="6"/>
  <c r="FE3" i="6"/>
  <c r="FD3" i="6"/>
  <c r="FC3" i="6"/>
  <c r="FB3" i="6"/>
  <c r="FA3" i="6"/>
  <c r="EZ3" i="6"/>
  <c r="DJ4" i="6"/>
  <c r="DI4" i="6"/>
  <c r="DH4" i="6"/>
  <c r="DP4" i="6"/>
  <c r="DN4" i="6"/>
  <c r="DM4" i="6"/>
  <c r="DL4" i="6"/>
  <c r="DK4" i="6"/>
  <c r="FF4" i="6"/>
  <c r="FE4" i="6"/>
  <c r="FD4" i="6"/>
  <c r="FC4" i="6"/>
  <c r="FB4" i="6"/>
  <c r="FA4" i="6"/>
  <c r="EZ4" i="6"/>
  <c r="FH4" i="6"/>
  <c r="DI5" i="6"/>
  <c r="DH5" i="6"/>
  <c r="DP5" i="6"/>
  <c r="DN5" i="6"/>
  <c r="DM5" i="6"/>
  <c r="DL5" i="6"/>
  <c r="DK5" i="6"/>
  <c r="DJ5" i="6"/>
  <c r="FE5" i="6"/>
  <c r="FD5" i="6"/>
  <c r="FC5" i="6"/>
  <c r="FB5" i="6"/>
  <c r="FA5" i="6"/>
  <c r="EZ5" i="6"/>
  <c r="FH5" i="6"/>
  <c r="FF5" i="6"/>
  <c r="DH6" i="6"/>
  <c r="DP6" i="6"/>
  <c r="DN6" i="6"/>
  <c r="DM6" i="6"/>
  <c r="DL6" i="6"/>
  <c r="DK6" i="6"/>
  <c r="DJ6" i="6"/>
  <c r="DI6" i="6"/>
  <c r="FD6" i="6"/>
  <c r="FC6" i="6"/>
  <c r="FB6" i="6"/>
  <c r="FA6" i="6"/>
  <c r="EZ6" i="6"/>
  <c r="FH6" i="6"/>
  <c r="FF6" i="6"/>
  <c r="FE6" i="6"/>
  <c r="DP7" i="6"/>
  <c r="DN7" i="6"/>
  <c r="DM7" i="6"/>
  <c r="DL7" i="6"/>
  <c r="DK7" i="6"/>
  <c r="DJ7" i="6"/>
  <c r="DI7" i="6"/>
  <c r="DH7" i="6"/>
  <c r="FC7" i="6"/>
  <c r="FB7" i="6"/>
  <c r="FA7" i="6"/>
  <c r="EZ7" i="6"/>
  <c r="FH7" i="6"/>
  <c r="FF7" i="6"/>
  <c r="FE7" i="6"/>
  <c r="FD7" i="6"/>
  <c r="DN8" i="6"/>
  <c r="DM8" i="6"/>
  <c r="DL8" i="6"/>
  <c r="DK8" i="6"/>
  <c r="DJ8" i="6"/>
  <c r="DI8" i="6"/>
  <c r="DH8" i="6"/>
  <c r="DP8" i="6"/>
  <c r="FB8" i="6"/>
  <c r="FA8" i="6"/>
  <c r="EZ8" i="6"/>
  <c r="FH8" i="6"/>
  <c r="FF8" i="6"/>
  <c r="FE8" i="6"/>
  <c r="FD8" i="6"/>
  <c r="FC8" i="6"/>
  <c r="DM9" i="6"/>
  <c r="DL9" i="6"/>
  <c r="DK9" i="6"/>
  <c r="DJ9" i="6"/>
  <c r="DI9" i="6"/>
  <c r="DH9" i="6"/>
  <c r="DP9" i="6"/>
  <c r="DN9" i="6"/>
  <c r="FA9" i="6"/>
  <c r="EZ9" i="6"/>
  <c r="FH9" i="6"/>
  <c r="FF9" i="6"/>
  <c r="FE9" i="6"/>
  <c r="FD9" i="6"/>
  <c r="FC9" i="6"/>
  <c r="FB9" i="6"/>
  <c r="DL10" i="6"/>
  <c r="DK10" i="6"/>
  <c r="DJ10" i="6"/>
  <c r="DI10" i="6"/>
  <c r="DH10" i="6"/>
  <c r="DP10" i="6"/>
  <c r="DN10" i="6"/>
  <c r="DM10" i="6"/>
  <c r="EZ10" i="6"/>
  <c r="FH10" i="6"/>
  <c r="FF10" i="6"/>
  <c r="FE10" i="6"/>
  <c r="FD10" i="6"/>
  <c r="FC10" i="6"/>
  <c r="FB10" i="6"/>
  <c r="FA10" i="6"/>
  <c r="DK11" i="6"/>
  <c r="DJ11" i="6"/>
  <c r="DI11" i="6"/>
  <c r="DH11" i="6"/>
  <c r="DP11" i="6"/>
  <c r="DN11" i="6"/>
  <c r="DM11" i="6"/>
  <c r="DL11" i="6"/>
  <c r="FH11" i="6"/>
  <c r="FF11" i="6"/>
  <c r="FE11" i="6"/>
  <c r="FD11" i="6"/>
  <c r="FC11" i="6"/>
  <c r="FB11" i="6"/>
  <c r="FA11" i="6"/>
  <c r="EZ11" i="6"/>
  <c r="DJ12" i="6"/>
  <c r="DI12" i="6"/>
  <c r="DH12" i="6"/>
  <c r="DP12" i="6"/>
  <c r="DN12" i="6"/>
  <c r="DM12" i="6"/>
  <c r="DL12" i="6"/>
  <c r="DK12" i="6"/>
  <c r="FF12" i="6"/>
  <c r="FE12" i="6"/>
  <c r="FD12" i="6"/>
  <c r="FC12" i="6"/>
  <c r="FB12" i="6"/>
  <c r="FA12" i="6"/>
  <c r="EZ12" i="6"/>
  <c r="FH12" i="6"/>
  <c r="DI13" i="6"/>
  <c r="DH13" i="6"/>
  <c r="DP13" i="6"/>
  <c r="DN13" i="6"/>
  <c r="DM13" i="6"/>
  <c r="DL13" i="6"/>
  <c r="DK13" i="6"/>
  <c r="DJ13" i="6"/>
  <c r="FE13" i="6"/>
  <c r="FD13" i="6"/>
  <c r="FC13" i="6"/>
  <c r="FB13" i="6"/>
  <c r="FA13" i="6"/>
  <c r="EZ13" i="6"/>
  <c r="FH13" i="6"/>
  <c r="FF13" i="6"/>
  <c r="DH14" i="6"/>
  <c r="DP14" i="6"/>
  <c r="DN14" i="6"/>
  <c r="DM14" i="6"/>
  <c r="DL14" i="6"/>
  <c r="DK14" i="6"/>
  <c r="DJ14" i="6"/>
  <c r="DI14" i="6"/>
  <c r="FD14" i="6"/>
  <c r="FC14" i="6"/>
  <c r="FB14" i="6"/>
  <c r="FA14" i="6"/>
  <c r="EZ14" i="6"/>
  <c r="FH14" i="6"/>
  <c r="FF14" i="6"/>
  <c r="FE14" i="6"/>
  <c r="DP15" i="6"/>
  <c r="DN15" i="6"/>
  <c r="DM15" i="6"/>
  <c r="DL15" i="6"/>
  <c r="DK15" i="6"/>
  <c r="DJ15" i="6"/>
  <c r="DI15" i="6"/>
  <c r="DH15" i="6"/>
  <c r="FC15" i="6"/>
  <c r="FB15" i="6"/>
  <c r="FA15" i="6"/>
  <c r="EZ15" i="6"/>
  <c r="FH15" i="6"/>
  <c r="FF15" i="6"/>
  <c r="FE15" i="6"/>
  <c r="FD15" i="6"/>
  <c r="DN16" i="6"/>
  <c r="DM16" i="6"/>
  <c r="DL16" i="6"/>
  <c r="DK16" i="6"/>
  <c r="DJ16" i="6"/>
  <c r="DI16" i="6"/>
  <c r="DH16" i="6"/>
  <c r="DP16" i="6"/>
  <c r="FB16" i="6"/>
  <c r="FA16" i="6"/>
  <c r="EZ16" i="6"/>
  <c r="FH16" i="6"/>
  <c r="FF16" i="6"/>
  <c r="FE16" i="6"/>
  <c r="FD16" i="6"/>
  <c r="FC16" i="6"/>
  <c r="DM17" i="6"/>
  <c r="DL17" i="6"/>
  <c r="DK17" i="6"/>
  <c r="DJ17" i="6"/>
  <c r="DI17" i="6"/>
  <c r="DH17" i="6"/>
  <c r="DP17" i="6"/>
  <c r="DN17" i="6"/>
  <c r="FA17" i="6"/>
  <c r="EZ17" i="6"/>
  <c r="FH17" i="6"/>
  <c r="FF17" i="6"/>
  <c r="FE17" i="6"/>
  <c r="FD17" i="6"/>
  <c r="FC17" i="6"/>
  <c r="FB17" i="6"/>
  <c r="DL18" i="6"/>
  <c r="DK18" i="6"/>
  <c r="DJ18" i="6"/>
  <c r="DI18" i="6"/>
  <c r="DH18" i="6"/>
  <c r="DP18" i="6"/>
  <c r="DN18" i="6"/>
  <c r="DM18" i="6"/>
  <c r="EZ18" i="6"/>
  <c r="FH18" i="6"/>
  <c r="FF18" i="6"/>
  <c r="FE18" i="6"/>
  <c r="FD18" i="6"/>
  <c r="FC18" i="6"/>
  <c r="FB18" i="6"/>
  <c r="FA18" i="6"/>
  <c r="DK19" i="6"/>
  <c r="DJ19" i="6"/>
  <c r="DI19" i="6"/>
  <c r="DH19" i="6"/>
  <c r="DP19" i="6"/>
  <c r="DN19" i="6"/>
  <c r="DM19" i="6"/>
  <c r="DL19" i="6"/>
  <c r="FH19" i="6"/>
  <c r="FF19" i="6"/>
  <c r="FE19" i="6"/>
  <c r="FD19" i="6"/>
  <c r="FC19" i="6"/>
  <c r="FB19" i="6"/>
  <c r="FA19" i="6"/>
  <c r="EZ19" i="6"/>
  <c r="DJ20" i="6"/>
  <c r="DI20" i="6"/>
  <c r="DH20" i="6"/>
  <c r="DP20" i="6"/>
  <c r="DN20" i="6"/>
  <c r="DM20" i="6"/>
  <c r="DL20" i="6"/>
  <c r="DK20" i="6"/>
  <c r="FF20" i="6"/>
  <c r="FE20" i="6"/>
  <c r="FD20" i="6"/>
  <c r="FC20" i="6"/>
  <c r="FB20" i="6"/>
  <c r="FA20" i="6"/>
  <c r="EZ20" i="6"/>
  <c r="FH20" i="6"/>
  <c r="DI21" i="6"/>
  <c r="DH21" i="6"/>
  <c r="DP21" i="6"/>
  <c r="DN21" i="6"/>
  <c r="DM21" i="6"/>
  <c r="DL21" i="6"/>
  <c r="DK21" i="6"/>
  <c r="DJ21" i="6"/>
  <c r="FE21" i="6"/>
  <c r="FD21" i="6"/>
  <c r="FC21" i="6"/>
  <c r="FB21" i="6"/>
  <c r="FA21" i="6"/>
  <c r="EZ21" i="6"/>
  <c r="FH21" i="6"/>
  <c r="FF21" i="6"/>
  <c r="DH22" i="6"/>
  <c r="DP22" i="6"/>
  <c r="DN22" i="6"/>
  <c r="DM22" i="6"/>
  <c r="DL22" i="6"/>
  <c r="DK22" i="6"/>
  <c r="DJ22" i="6"/>
  <c r="DI22" i="6"/>
  <c r="FD22" i="6"/>
  <c r="FC22" i="6"/>
  <c r="FB22" i="6"/>
  <c r="FA22" i="6"/>
  <c r="EZ22" i="6"/>
  <c r="FH22" i="6"/>
  <c r="FF22" i="6"/>
  <c r="FE22" i="6"/>
  <c r="DP23" i="6"/>
  <c r="DN23" i="6"/>
  <c r="DM23" i="6"/>
  <c r="DL23" i="6"/>
  <c r="DK23" i="6"/>
  <c r="DJ23" i="6"/>
  <c r="DI23" i="6"/>
  <c r="DH23" i="6"/>
  <c r="FC23" i="6"/>
  <c r="FB23" i="6"/>
  <c r="FA23" i="6"/>
  <c r="EZ23" i="6"/>
  <c r="FH23" i="6"/>
  <c r="FF23" i="6"/>
  <c r="FE23" i="6"/>
  <c r="FD23" i="6"/>
  <c r="DN24" i="6"/>
  <c r="DM24" i="6"/>
  <c r="DL24" i="6"/>
  <c r="DK24" i="6"/>
  <c r="DJ24" i="6"/>
  <c r="DI24" i="6"/>
  <c r="DH24" i="6"/>
  <c r="DP24" i="6"/>
  <c r="FB24" i="6"/>
  <c r="FA24" i="6"/>
  <c r="EZ24" i="6"/>
  <c r="FH24" i="6"/>
  <c r="FF24" i="6"/>
  <c r="FE24" i="6"/>
  <c r="FD24" i="6"/>
  <c r="FC24" i="6"/>
  <c r="DM25" i="6"/>
  <c r="DL25" i="6"/>
  <c r="DK25" i="6"/>
  <c r="DJ25" i="6"/>
  <c r="DI25" i="6"/>
  <c r="DH25" i="6"/>
  <c r="DP25" i="6"/>
  <c r="DN25" i="6"/>
  <c r="FA25" i="6"/>
  <c r="EZ25" i="6"/>
  <c r="FH25" i="6"/>
  <c r="FF25" i="6"/>
  <c r="FE25" i="6"/>
  <c r="FD25" i="6"/>
  <c r="FC25" i="6"/>
  <c r="FB25" i="6"/>
  <c r="DL26" i="6"/>
  <c r="DK26" i="6"/>
  <c r="DJ26" i="6"/>
  <c r="DI26" i="6"/>
  <c r="DH26" i="6"/>
  <c r="DP26" i="6"/>
  <c r="DN26" i="6"/>
  <c r="DM26" i="6"/>
  <c r="EZ26" i="6"/>
  <c r="FH26" i="6"/>
  <c r="FF26" i="6"/>
  <c r="FE26" i="6"/>
  <c r="FD26" i="6"/>
  <c r="FC26" i="6"/>
  <c r="FB26" i="6"/>
  <c r="FA26" i="6"/>
  <c r="DK27" i="6"/>
  <c r="DJ27" i="6"/>
  <c r="DI27" i="6"/>
  <c r="DH27" i="6"/>
  <c r="DP27" i="6"/>
  <c r="DN27" i="6"/>
  <c r="DM27" i="6"/>
  <c r="DL27" i="6"/>
  <c r="FH27" i="6"/>
  <c r="FF27" i="6"/>
  <c r="FE27" i="6"/>
  <c r="FD27" i="6"/>
  <c r="FC27" i="6"/>
  <c r="FB27" i="6"/>
  <c r="FA27" i="6"/>
  <c r="EZ27" i="6"/>
  <c r="DJ28" i="6"/>
  <c r="DI28" i="6"/>
  <c r="DH28" i="6"/>
  <c r="DP28" i="6"/>
  <c r="DN28" i="6"/>
  <c r="DM28" i="6"/>
  <c r="DL28" i="6"/>
  <c r="DK28" i="6"/>
  <c r="FF28" i="6"/>
  <c r="FE28" i="6"/>
  <c r="FD28" i="6"/>
  <c r="FC28" i="6"/>
  <c r="FB28" i="6"/>
  <c r="FA28" i="6"/>
  <c r="EZ28" i="6"/>
  <c r="FH28" i="6"/>
  <c r="DI29" i="6"/>
  <c r="DH29" i="6"/>
  <c r="DP29" i="6"/>
  <c r="DN29" i="6"/>
  <c r="DM29" i="6"/>
  <c r="DL29" i="6"/>
  <c r="DK29" i="6"/>
  <c r="DJ29" i="6"/>
  <c r="FE29" i="6"/>
  <c r="FD29" i="6"/>
  <c r="FC29" i="6"/>
  <c r="FB29" i="6"/>
  <c r="FA29" i="6"/>
  <c r="EZ29" i="6"/>
  <c r="FH29" i="6"/>
  <c r="FF29" i="6"/>
  <c r="DH30" i="6"/>
  <c r="DP30" i="6"/>
  <c r="DN30" i="6"/>
  <c r="DM30" i="6"/>
  <c r="DL30" i="6"/>
  <c r="DK30" i="6"/>
  <c r="DJ30" i="6"/>
  <c r="DI30" i="6"/>
  <c r="FD30" i="6"/>
  <c r="FC30" i="6"/>
  <c r="FB30" i="6"/>
  <c r="FA30" i="6"/>
  <c r="EZ30" i="6"/>
  <c r="FH30" i="6"/>
  <c r="FF30" i="6"/>
  <c r="FE30" i="6"/>
  <c r="DP31" i="6"/>
  <c r="DN31" i="6"/>
  <c r="DM31" i="6"/>
  <c r="DL31" i="6"/>
  <c r="DK31" i="6"/>
  <c r="DJ31" i="6"/>
  <c r="DI31" i="6"/>
  <c r="DH31" i="6"/>
  <c r="FC31" i="6"/>
  <c r="FB31" i="6"/>
  <c r="FA31" i="6"/>
  <c r="EZ31" i="6"/>
  <c r="FH31" i="6"/>
  <c r="FF31" i="6"/>
  <c r="FE31" i="6"/>
  <c r="FD31" i="6"/>
  <c r="DN32" i="6"/>
  <c r="DM32" i="6"/>
  <c r="DL32" i="6"/>
  <c r="DK32" i="6"/>
  <c r="DJ32" i="6"/>
  <c r="DI32" i="6"/>
  <c r="DH32" i="6"/>
  <c r="DP32" i="6"/>
  <c r="FB32" i="6"/>
  <c r="FA32" i="6"/>
  <c r="EZ32" i="6"/>
  <c r="FH32" i="6"/>
  <c r="FF32" i="6"/>
  <c r="FE32" i="6"/>
  <c r="FD32" i="6"/>
  <c r="FC32" i="6"/>
  <c r="DM33" i="6"/>
  <c r="DL33" i="6"/>
  <c r="DK33" i="6"/>
  <c r="DJ33" i="6"/>
  <c r="DI33" i="6"/>
  <c r="DH33" i="6"/>
  <c r="DP33" i="6"/>
  <c r="DN33" i="6"/>
  <c r="FA33" i="6"/>
  <c r="EZ33" i="6"/>
  <c r="FH33" i="6"/>
  <c r="FF33" i="6"/>
  <c r="FE33" i="6"/>
  <c r="FD33" i="6"/>
  <c r="FC33" i="6"/>
  <c r="FB33" i="6"/>
  <c r="DL34" i="6"/>
  <c r="DK34" i="6"/>
  <c r="DJ34" i="6"/>
  <c r="DI34" i="6"/>
  <c r="DH34" i="6"/>
  <c r="DP34" i="6"/>
  <c r="DN34" i="6"/>
  <c r="DM34" i="6"/>
  <c r="EZ34" i="6"/>
  <c r="FH34" i="6"/>
  <c r="FF34" i="6"/>
  <c r="FE34" i="6"/>
  <c r="FD34" i="6"/>
  <c r="FC34" i="6"/>
  <c r="FB34" i="6"/>
  <c r="FA34" i="6"/>
  <c r="DK35" i="6"/>
  <c r="DJ35" i="6"/>
  <c r="DI35" i="6"/>
  <c r="DH35" i="6"/>
  <c r="DP35" i="6"/>
  <c r="DN35" i="6"/>
  <c r="DM35" i="6"/>
  <c r="DL35" i="6"/>
  <c r="FH35" i="6"/>
  <c r="FF35" i="6"/>
  <c r="FE35" i="6"/>
  <c r="FD35" i="6"/>
  <c r="FC35" i="6"/>
  <c r="FB35" i="6"/>
  <c r="FA35" i="6"/>
  <c r="EZ35" i="6"/>
  <c r="DJ36" i="6"/>
  <c r="DI36" i="6"/>
  <c r="DH36" i="6"/>
  <c r="DP36" i="6"/>
  <c r="DN36" i="6"/>
  <c r="DM36" i="6"/>
  <c r="DL36" i="6"/>
  <c r="DK36" i="6"/>
  <c r="FF36" i="6"/>
  <c r="FE36" i="6"/>
  <c r="FD36" i="6"/>
  <c r="FC36" i="6"/>
  <c r="FB36" i="6"/>
  <c r="FA36" i="6"/>
  <c r="EZ36" i="6"/>
  <c r="FH36" i="6"/>
  <c r="DI37" i="6"/>
  <c r="DH37" i="6"/>
  <c r="DP37" i="6"/>
  <c r="DN37" i="6"/>
  <c r="DM37" i="6"/>
  <c r="DL37" i="6"/>
  <c r="DK37" i="6"/>
  <c r="DJ37" i="6"/>
  <c r="FE37" i="6"/>
  <c r="FD37" i="6"/>
  <c r="FC37" i="6"/>
  <c r="FB37" i="6"/>
  <c r="FA37" i="6"/>
  <c r="EZ37" i="6"/>
  <c r="FH37" i="6"/>
  <c r="FF37" i="6"/>
  <c r="DH38" i="6"/>
  <c r="DP38" i="6"/>
  <c r="DN38" i="6"/>
  <c r="DM38" i="6"/>
  <c r="DL38" i="6"/>
  <c r="DK38" i="6"/>
  <c r="DJ38" i="6"/>
  <c r="DI38" i="6"/>
  <c r="FD38" i="6"/>
  <c r="FC38" i="6"/>
  <c r="FB38" i="6"/>
  <c r="FA38" i="6"/>
  <c r="EZ38" i="6"/>
  <c r="FH38" i="6"/>
  <c r="FF38" i="6"/>
  <c r="FE38" i="6"/>
  <c r="DP39" i="6"/>
  <c r="DN39" i="6"/>
  <c r="DM39" i="6"/>
  <c r="DL39" i="6"/>
  <c r="DK39" i="6"/>
  <c r="DJ39" i="6"/>
  <c r="DI39" i="6"/>
  <c r="DH39" i="6"/>
  <c r="FC39" i="6"/>
  <c r="FB39" i="6"/>
  <c r="FA39" i="6"/>
  <c r="EZ39" i="6"/>
  <c r="FH39" i="6"/>
  <c r="FF39" i="6"/>
  <c r="FE39" i="6"/>
  <c r="FD39" i="6"/>
  <c r="DN40" i="6"/>
  <c r="DM40" i="6"/>
  <c r="DL40" i="6"/>
  <c r="DK40" i="6"/>
  <c r="DJ40" i="6"/>
  <c r="DI40" i="6"/>
  <c r="DH40" i="6"/>
  <c r="DP40" i="6"/>
  <c r="FB40" i="6"/>
  <c r="FA40" i="6"/>
  <c r="EZ40" i="6"/>
  <c r="FH40" i="6"/>
  <c r="FF40" i="6"/>
  <c r="FE40" i="6"/>
  <c r="FD40" i="6"/>
  <c r="FC40" i="6"/>
  <c r="DM41" i="6"/>
  <c r="DL41" i="6"/>
  <c r="DK41" i="6"/>
  <c r="DJ41" i="6"/>
  <c r="DI41" i="6"/>
  <c r="DH41" i="6"/>
  <c r="DP41" i="6"/>
  <c r="DN41" i="6"/>
  <c r="FA41" i="6"/>
  <c r="EZ41" i="6"/>
  <c r="FH41" i="6"/>
  <c r="FF41" i="6"/>
  <c r="FE41" i="6"/>
  <c r="FD41" i="6"/>
  <c r="FC41" i="6"/>
  <c r="FB41" i="6"/>
  <c r="DL42" i="6"/>
  <c r="DK42" i="6"/>
  <c r="DJ42" i="6"/>
  <c r="DI42" i="6"/>
  <c r="DH42" i="6"/>
  <c r="DP42" i="6"/>
  <c r="DN42" i="6"/>
  <c r="DM42" i="6"/>
  <c r="EZ42" i="6"/>
  <c r="FH42" i="6"/>
  <c r="FF42" i="6"/>
  <c r="FE42" i="6"/>
  <c r="FD42" i="6"/>
  <c r="FC42" i="6"/>
  <c r="FB42" i="6"/>
  <c r="FA42" i="6"/>
  <c r="DK43" i="6"/>
  <c r="DJ43" i="6"/>
  <c r="DI43" i="6"/>
  <c r="DH43" i="6"/>
  <c r="DP43" i="6"/>
  <c r="DN43" i="6"/>
  <c r="DM43" i="6"/>
  <c r="DL43" i="6"/>
  <c r="FH43" i="6"/>
  <c r="FF43" i="6"/>
  <c r="FE43" i="6"/>
  <c r="FD43" i="6"/>
  <c r="FC43" i="6"/>
  <c r="FB43" i="6"/>
  <c r="FA43" i="6"/>
  <c r="EZ43" i="6"/>
  <c r="DJ44" i="6"/>
  <c r="DI44" i="6"/>
  <c r="DH44" i="6"/>
  <c r="DP44" i="6"/>
  <c r="DN44" i="6"/>
  <c r="DM44" i="6"/>
  <c r="DL44" i="6"/>
  <c r="DK44" i="6"/>
  <c r="FF44" i="6"/>
  <c r="FE44" i="6"/>
  <c r="FD44" i="6"/>
  <c r="FC44" i="6"/>
  <c r="FB44" i="6"/>
  <c r="FA44" i="6"/>
  <c r="EZ44" i="6"/>
  <c r="FH44" i="6"/>
  <c r="DI45" i="6"/>
  <c r="DH45" i="6"/>
  <c r="DP45" i="6"/>
  <c r="DN45" i="6"/>
  <c r="DM45" i="6"/>
  <c r="DL45" i="6"/>
  <c r="DK45" i="6"/>
  <c r="DJ45" i="6"/>
  <c r="FE45" i="6"/>
  <c r="FD45" i="6"/>
  <c r="FC45" i="6"/>
  <c r="FB45" i="6"/>
  <c r="FA45" i="6"/>
  <c r="EZ45" i="6"/>
  <c r="FH45" i="6"/>
  <c r="FF45" i="6"/>
  <c r="DH46" i="6"/>
  <c r="DP46" i="6"/>
  <c r="DN46" i="6"/>
  <c r="DM46" i="6"/>
  <c r="DL46" i="6"/>
  <c r="DK46" i="6"/>
  <c r="DJ46" i="6"/>
  <c r="DI46" i="6"/>
  <c r="FD46" i="6"/>
  <c r="FC46" i="6"/>
  <c r="FB46" i="6"/>
  <c r="FA46" i="6"/>
  <c r="EZ46" i="6"/>
  <c r="FH46" i="6"/>
  <c r="FF46" i="6"/>
  <c r="FE46" i="6"/>
  <c r="DP47" i="6"/>
  <c r="DN47" i="6"/>
  <c r="DM47" i="6"/>
  <c r="DL47" i="6"/>
  <c r="DK47" i="6"/>
  <c r="DJ47" i="6"/>
  <c r="DI47" i="6"/>
  <c r="DH47" i="6"/>
  <c r="FC47" i="6"/>
  <c r="FB47" i="6"/>
  <c r="FA47" i="6"/>
  <c r="EZ47" i="6"/>
  <c r="FH47" i="6"/>
  <c r="FF47" i="6"/>
  <c r="FE47" i="6"/>
  <c r="FD47" i="6"/>
  <c r="DN48" i="6"/>
  <c r="DM48" i="6"/>
  <c r="DL48" i="6"/>
  <c r="DK48" i="6"/>
  <c r="DJ48" i="6"/>
  <c r="DI48" i="6"/>
  <c r="DH48" i="6"/>
  <c r="DP48" i="6"/>
  <c r="FB48" i="6"/>
  <c r="FA48" i="6"/>
  <c r="EZ48" i="6"/>
  <c r="FH48" i="6"/>
  <c r="FF48" i="6"/>
  <c r="FE48" i="6"/>
  <c r="FD48" i="6"/>
  <c r="FC48" i="6"/>
  <c r="DM49" i="6"/>
  <c r="DL49" i="6"/>
  <c r="DK49" i="6"/>
  <c r="DJ49" i="6"/>
  <c r="DI49" i="6"/>
  <c r="DH49" i="6"/>
  <c r="DP49" i="6"/>
  <c r="DN49" i="6"/>
  <c r="FA49" i="6"/>
  <c r="EZ49" i="6"/>
  <c r="FH49" i="6"/>
  <c r="FF49" i="6"/>
  <c r="FE49" i="6"/>
  <c r="FD49" i="6"/>
  <c r="FC49" i="6"/>
  <c r="FB49" i="6"/>
  <c r="DL50" i="6"/>
  <c r="DK50" i="6"/>
  <c r="DJ50" i="6"/>
  <c r="DI50" i="6"/>
  <c r="DH50" i="6"/>
  <c r="DP50" i="6"/>
  <c r="DN50" i="6"/>
  <c r="DM50" i="6"/>
  <c r="EZ50" i="6"/>
  <c r="FH50" i="6"/>
  <c r="FF50" i="6"/>
  <c r="FE50" i="6"/>
  <c r="FD50" i="6"/>
  <c r="FC50" i="6"/>
  <c r="FB50" i="6"/>
  <c r="FA50" i="6"/>
  <c r="DK51" i="6"/>
  <c r="DJ51" i="6"/>
  <c r="DI51" i="6"/>
  <c r="DH51" i="6"/>
  <c r="DP51" i="6"/>
  <c r="DN51" i="6"/>
  <c r="DM51" i="6"/>
  <c r="DL51" i="6"/>
  <c r="FH51" i="6"/>
  <c r="FF51" i="6"/>
  <c r="FE51" i="6"/>
  <c r="FD51" i="6"/>
  <c r="FC51" i="6"/>
  <c r="FB51" i="6"/>
  <c r="FA51" i="6"/>
  <c r="EZ51" i="6"/>
  <c r="DJ52" i="6"/>
  <c r="DI52" i="6"/>
  <c r="DH52" i="6"/>
  <c r="DP52" i="6"/>
  <c r="DN52" i="6"/>
  <c r="DM52" i="6"/>
  <c r="DL52" i="6"/>
  <c r="DK52" i="6"/>
  <c r="FF52" i="6"/>
  <c r="FE52" i="6"/>
  <c r="FD52" i="6"/>
  <c r="FC52" i="6"/>
  <c r="FB52" i="6"/>
  <c r="FA52" i="6"/>
  <c r="EZ52" i="6"/>
  <c r="FH52" i="6"/>
  <c r="DI53" i="6"/>
  <c r="DH53" i="6"/>
  <c r="DP53" i="6"/>
  <c r="DN53" i="6"/>
  <c r="DM53" i="6"/>
  <c r="DL53" i="6"/>
  <c r="DK53" i="6"/>
  <c r="DJ53" i="6"/>
  <c r="FE53" i="6"/>
  <c r="FD53" i="6"/>
  <c r="FC53" i="6"/>
  <c r="FB53" i="6"/>
  <c r="FA53" i="6"/>
  <c r="EZ53" i="6"/>
  <c r="FH53" i="6"/>
  <c r="FF53" i="6"/>
  <c r="DH54" i="6"/>
  <c r="DP54" i="6"/>
  <c r="DN54" i="6"/>
  <c r="DM54" i="6"/>
  <c r="DL54" i="6"/>
  <c r="DK54" i="6"/>
  <c r="DJ54" i="6"/>
  <c r="DI54" i="6"/>
  <c r="FD54" i="6"/>
  <c r="FC54" i="6"/>
  <c r="FB54" i="6"/>
  <c r="FA54" i="6"/>
  <c r="EZ54" i="6"/>
  <c r="FH54" i="6"/>
  <c r="FF54" i="6"/>
  <c r="FE54" i="6"/>
  <c r="DP55" i="6"/>
  <c r="DN55" i="6"/>
  <c r="DM55" i="6"/>
  <c r="DL55" i="6"/>
  <c r="DK55" i="6"/>
  <c r="DJ55" i="6"/>
  <c r="DI55" i="6"/>
  <c r="DH55" i="6"/>
  <c r="FC55" i="6"/>
  <c r="FB55" i="6"/>
  <c r="FA55" i="6"/>
  <c r="EZ55" i="6"/>
  <c r="FH55" i="6"/>
  <c r="FF55" i="6"/>
  <c r="FE55" i="6"/>
  <c r="FD55" i="6"/>
  <c r="DN56" i="6"/>
  <c r="DM56" i="6"/>
  <c r="DL56" i="6"/>
  <c r="DK56" i="6"/>
  <c r="DJ56" i="6"/>
  <c r="DI56" i="6"/>
  <c r="DH56" i="6"/>
  <c r="DP56" i="6"/>
  <c r="FB56" i="6"/>
  <c r="FA56" i="6"/>
  <c r="EZ56" i="6"/>
  <c r="FH56" i="6"/>
  <c r="FF56" i="6"/>
  <c r="FE56" i="6"/>
  <c r="FD56" i="6"/>
  <c r="FC56" i="6"/>
  <c r="DM57" i="6"/>
  <c r="DL57" i="6"/>
  <c r="DK57" i="6"/>
  <c r="DJ57" i="6"/>
  <c r="DI57" i="6"/>
  <c r="DH57" i="6"/>
  <c r="DP57" i="6"/>
  <c r="DN57" i="6"/>
  <c r="FA57" i="6"/>
  <c r="EZ57" i="6"/>
  <c r="FH57" i="6"/>
  <c r="FF57" i="6"/>
  <c r="FE57" i="6"/>
  <c r="FD57" i="6"/>
  <c r="FC57" i="6"/>
  <c r="FB57" i="6"/>
  <c r="DL58" i="6"/>
  <c r="DK58" i="6"/>
  <c r="DJ58" i="6"/>
  <c r="DI58" i="6"/>
  <c r="DH58" i="6"/>
  <c r="DP58" i="6"/>
  <c r="DN58" i="6"/>
  <c r="DM58" i="6"/>
  <c r="EZ58" i="6"/>
  <c r="FH58" i="6"/>
  <c r="FF58" i="6"/>
  <c r="FE58" i="6"/>
  <c r="FD58" i="6"/>
  <c r="FC58" i="6"/>
  <c r="FB58" i="6"/>
  <c r="FA58" i="6"/>
  <c r="DK59" i="6"/>
  <c r="DJ59" i="6"/>
  <c r="DI59" i="6"/>
  <c r="DH59" i="6"/>
  <c r="DP59" i="6"/>
  <c r="DN59" i="6"/>
  <c r="DM59" i="6"/>
  <c r="DL59" i="6"/>
  <c r="FH59" i="6"/>
  <c r="FF59" i="6"/>
  <c r="FE59" i="6"/>
  <c r="FD59" i="6"/>
  <c r="FC59" i="6"/>
  <c r="FB59" i="6"/>
  <c r="FA59" i="6"/>
  <c r="EZ59" i="6"/>
  <c r="DJ60" i="6"/>
  <c r="DI60" i="6"/>
  <c r="DH60" i="6"/>
  <c r="DP60" i="6"/>
  <c r="DN60" i="6"/>
  <c r="DM60" i="6"/>
  <c r="DL60" i="6"/>
  <c r="DK60" i="6"/>
  <c r="FF60" i="6"/>
  <c r="FE60" i="6"/>
  <c r="FD60" i="6"/>
  <c r="FC60" i="6"/>
  <c r="FB60" i="6"/>
  <c r="FA60" i="6"/>
  <c r="EZ60" i="6"/>
  <c r="FH60" i="6"/>
  <c r="DI61" i="6"/>
  <c r="DH61" i="6"/>
  <c r="DP61" i="6"/>
  <c r="DN61" i="6"/>
  <c r="DM61" i="6"/>
  <c r="DL61" i="6"/>
  <c r="DK61" i="6"/>
  <c r="DJ61" i="6"/>
  <c r="FE61" i="6"/>
  <c r="FD61" i="6"/>
  <c r="FC61" i="6"/>
  <c r="FB61" i="6"/>
  <c r="FA61" i="6"/>
  <c r="EZ61" i="6"/>
  <c r="FH61" i="6"/>
  <c r="FF61" i="6"/>
  <c r="DH62" i="6"/>
  <c r="DP62" i="6"/>
  <c r="DN62" i="6"/>
  <c r="DM62" i="6"/>
  <c r="DL62" i="6"/>
  <c r="DK62" i="6"/>
  <c r="DJ62" i="6"/>
  <c r="DI62" i="6"/>
  <c r="FD62" i="6"/>
  <c r="FC62" i="6"/>
  <c r="FB62" i="6"/>
  <c r="FA62" i="6"/>
  <c r="EZ62" i="6"/>
  <c r="FH62" i="6"/>
  <c r="FF62" i="6"/>
  <c r="FE62" i="6"/>
  <c r="DP63" i="6"/>
  <c r="DN63" i="6"/>
  <c r="DM63" i="6"/>
  <c r="DL63" i="6"/>
  <c r="DK63" i="6"/>
  <c r="DJ63" i="6"/>
  <c r="DI63" i="6"/>
  <c r="DH63" i="6"/>
  <c r="FC63" i="6"/>
  <c r="FB63" i="6"/>
  <c r="FA63" i="6"/>
  <c r="EZ63" i="6"/>
  <c r="FH63" i="6"/>
  <c r="FF63" i="6"/>
  <c r="FE63" i="6"/>
  <c r="FD63" i="6"/>
  <c r="DN64" i="6"/>
  <c r="DM64" i="6"/>
  <c r="DL64" i="6"/>
  <c r="DK64" i="6"/>
  <c r="DJ64" i="6"/>
  <c r="DI64" i="6"/>
  <c r="DH64" i="6"/>
  <c r="DP64" i="6"/>
  <c r="FB64" i="6"/>
  <c r="FA64" i="6"/>
  <c r="EZ64" i="6"/>
  <c r="FH64" i="6"/>
  <c r="FF64" i="6"/>
  <c r="FE64" i="6"/>
  <c r="FD64" i="6"/>
  <c r="FC64" i="6"/>
  <c r="DM65" i="6"/>
  <c r="DL65" i="6"/>
  <c r="DK65" i="6"/>
  <c r="DJ65" i="6"/>
  <c r="DI65" i="6"/>
  <c r="DH65" i="6"/>
  <c r="DP65" i="6"/>
  <c r="DN65" i="6"/>
  <c r="FA65" i="6"/>
  <c r="EZ65" i="6"/>
  <c r="FH65" i="6"/>
  <c r="FF65" i="6"/>
  <c r="FE65" i="6"/>
  <c r="FD65" i="6"/>
  <c r="FC65" i="6"/>
  <c r="FB65" i="6"/>
  <c r="DL66" i="6"/>
  <c r="DK66" i="6"/>
  <c r="DJ66" i="6"/>
  <c r="DI66" i="6"/>
  <c r="DH66" i="6"/>
  <c r="DP66" i="6"/>
  <c r="DN66" i="6"/>
  <c r="DM66" i="6"/>
  <c r="EZ66" i="6"/>
  <c r="FH66" i="6"/>
  <c r="FF66" i="6"/>
  <c r="FE66" i="6"/>
  <c r="FD66" i="6"/>
  <c r="FC66" i="6"/>
  <c r="FB66" i="6"/>
  <c r="FA66" i="6"/>
  <c r="DK67" i="6"/>
  <c r="DJ67" i="6"/>
  <c r="DI67" i="6"/>
  <c r="DH67" i="6"/>
  <c r="DP67" i="6"/>
  <c r="DN67" i="6"/>
  <c r="DM67" i="6"/>
  <c r="DL67" i="6"/>
  <c r="FH67" i="6"/>
  <c r="FF67" i="6"/>
  <c r="FE67" i="6"/>
  <c r="FD67" i="6"/>
  <c r="FC67" i="6"/>
  <c r="FB67" i="6"/>
  <c r="FA67" i="6"/>
  <c r="EZ67" i="6"/>
  <c r="DJ68" i="6"/>
  <c r="DI68" i="6"/>
  <c r="DH68" i="6"/>
  <c r="DP68" i="6"/>
  <c r="DN68" i="6"/>
  <c r="DM68" i="6"/>
  <c r="DL68" i="6"/>
  <c r="DK68" i="6"/>
  <c r="FF68" i="6"/>
  <c r="FE68" i="6"/>
  <c r="FD68" i="6"/>
  <c r="FC68" i="6"/>
  <c r="FB68" i="6"/>
  <c r="FA68" i="6"/>
  <c r="EZ68" i="6"/>
  <c r="FH68" i="6"/>
  <c r="DI69" i="6"/>
  <c r="DH69" i="6"/>
  <c r="DP69" i="6"/>
  <c r="DN69" i="6"/>
  <c r="DM69" i="6"/>
  <c r="DL69" i="6"/>
  <c r="DK69" i="6"/>
  <c r="DJ69" i="6"/>
  <c r="FE69" i="6"/>
  <c r="FD69" i="6"/>
  <c r="FC69" i="6"/>
  <c r="FB69" i="6"/>
  <c r="FA69" i="6"/>
  <c r="EZ69" i="6"/>
  <c r="FH69" i="6"/>
  <c r="FF69" i="6"/>
  <c r="DH70" i="6"/>
  <c r="DP70" i="6"/>
  <c r="DN70" i="6"/>
  <c r="DM70" i="6"/>
  <c r="DL70" i="6"/>
  <c r="DK70" i="6"/>
  <c r="DJ70" i="6"/>
  <c r="DI70" i="6"/>
  <c r="FD70" i="6"/>
  <c r="FC70" i="6"/>
  <c r="FB70" i="6"/>
  <c r="FA70" i="6"/>
  <c r="EZ70" i="6"/>
  <c r="FH70" i="6"/>
  <c r="FF70" i="6"/>
  <c r="FE70" i="6"/>
  <c r="DP71" i="6"/>
  <c r="DN71" i="6"/>
  <c r="DM71" i="6"/>
  <c r="DL71" i="6"/>
  <c r="DK71" i="6"/>
  <c r="DJ71" i="6"/>
  <c r="DI71" i="6"/>
  <c r="DH71" i="6"/>
  <c r="FC71" i="6"/>
  <c r="FB71" i="6"/>
  <c r="FA71" i="6"/>
  <c r="EZ71" i="6"/>
  <c r="FH71" i="6"/>
  <c r="FF71" i="6"/>
  <c r="FE71" i="6"/>
  <c r="FD71" i="6"/>
  <c r="DN72" i="6"/>
  <c r="DM72" i="6"/>
  <c r="DL72" i="6"/>
  <c r="DK72" i="6"/>
  <c r="DJ72" i="6"/>
  <c r="DI72" i="6"/>
  <c r="DH72" i="6"/>
  <c r="DP72" i="6"/>
  <c r="FB72" i="6"/>
  <c r="FA72" i="6"/>
  <c r="EZ72" i="6"/>
  <c r="FH72" i="6"/>
  <c r="FF72" i="6"/>
  <c r="FE72" i="6"/>
  <c r="FD72" i="6"/>
  <c r="FC72" i="6"/>
  <c r="DM73" i="6"/>
  <c r="DL73" i="6"/>
  <c r="DK73" i="6"/>
  <c r="DJ73" i="6"/>
  <c r="DI73" i="6"/>
  <c r="DH73" i="6"/>
  <c r="DP73" i="6"/>
  <c r="DN73" i="6"/>
  <c r="FA73" i="6"/>
  <c r="EZ73" i="6"/>
  <c r="FH73" i="6"/>
  <c r="FF73" i="6"/>
  <c r="FE73" i="6"/>
  <c r="FD73" i="6"/>
  <c r="FC73" i="6"/>
  <c r="FB73" i="6"/>
  <c r="DL74" i="6"/>
  <c r="DK74" i="6"/>
  <c r="DJ74" i="6"/>
  <c r="DI74" i="6"/>
  <c r="DH74" i="6"/>
  <c r="DP74" i="6"/>
  <c r="DN74" i="6"/>
  <c r="DM74" i="6"/>
  <c r="EZ74" i="6"/>
  <c r="FH74" i="6"/>
  <c r="FF74" i="6"/>
  <c r="FE74" i="6"/>
  <c r="FD74" i="6"/>
  <c r="FC74" i="6"/>
  <c r="FB74" i="6"/>
  <c r="FA74" i="6"/>
  <c r="DK75" i="6"/>
  <c r="DJ75" i="6"/>
  <c r="DI75" i="6"/>
  <c r="DH75" i="6"/>
  <c r="DP75" i="6"/>
  <c r="DN75" i="6"/>
  <c r="DM75" i="6"/>
  <c r="DL75" i="6"/>
  <c r="FH75" i="6"/>
  <c r="FF75" i="6"/>
  <c r="FE75" i="6"/>
  <c r="FD75" i="6"/>
  <c r="FC75" i="6"/>
  <c r="FB75" i="6"/>
  <c r="FA75" i="6"/>
  <c r="EZ75" i="6"/>
  <c r="DJ76" i="6"/>
  <c r="DI76" i="6"/>
  <c r="DH76" i="6"/>
  <c r="DP76" i="6"/>
  <c r="DN76" i="6"/>
  <c r="DM76" i="6"/>
  <c r="DL76" i="6"/>
  <c r="DK76" i="6"/>
  <c r="FF76" i="6"/>
  <c r="FE76" i="6"/>
  <c r="FD76" i="6"/>
  <c r="FC76" i="6"/>
  <c r="FB76" i="6"/>
  <c r="FA76" i="6"/>
  <c r="EZ76" i="6"/>
  <c r="FH76" i="6"/>
  <c r="DI77" i="6"/>
  <c r="DH77" i="6"/>
  <c r="DP77" i="6"/>
  <c r="DN77" i="6"/>
  <c r="DM77" i="6"/>
  <c r="DL77" i="6"/>
  <c r="DK77" i="6"/>
  <c r="DJ77" i="6"/>
  <c r="FE77" i="6"/>
  <c r="FD77" i="6"/>
  <c r="FC77" i="6"/>
  <c r="FB77" i="6"/>
  <c r="FA77" i="6"/>
  <c r="EZ77" i="6"/>
  <c r="FH77" i="6"/>
  <c r="FF77" i="6"/>
  <c r="DH78" i="6"/>
  <c r="DP78" i="6"/>
  <c r="DN78" i="6"/>
  <c r="DM78" i="6"/>
  <c r="DL78" i="6"/>
  <c r="DK78" i="6"/>
  <c r="DJ78" i="6"/>
  <c r="DI78" i="6"/>
  <c r="FD78" i="6"/>
  <c r="FC78" i="6"/>
  <c r="FB78" i="6"/>
  <c r="FA78" i="6"/>
  <c r="EZ78" i="6"/>
  <c r="FH78" i="6"/>
  <c r="FF78" i="6"/>
  <c r="FE78" i="6"/>
  <c r="DP79" i="6"/>
  <c r="DN79" i="6"/>
  <c r="DM79" i="6"/>
  <c r="DL79" i="6"/>
  <c r="DK79" i="6"/>
  <c r="DJ79" i="6"/>
  <c r="DI79" i="6"/>
  <c r="DH79" i="6"/>
  <c r="FC79" i="6"/>
  <c r="FB79" i="6"/>
  <c r="FA79" i="6"/>
  <c r="EZ79" i="6"/>
  <c r="FH79" i="6"/>
  <c r="FF79" i="6"/>
  <c r="FE79" i="6"/>
  <c r="FD79" i="6"/>
  <c r="DN80" i="6"/>
  <c r="DM80" i="6"/>
  <c r="DL80" i="6"/>
  <c r="DK80" i="6"/>
  <c r="DJ80" i="6"/>
  <c r="DI80" i="6"/>
  <c r="DH80" i="6"/>
  <c r="DP80" i="6"/>
  <c r="FB80" i="6"/>
  <c r="FA80" i="6"/>
  <c r="EZ80" i="6"/>
  <c r="FH80" i="6"/>
  <c r="FF80" i="6"/>
  <c r="FE80" i="6"/>
  <c r="FD80" i="6"/>
  <c r="FC80" i="6"/>
  <c r="DM81" i="6"/>
  <c r="DL81" i="6"/>
  <c r="DK81" i="6"/>
  <c r="DJ81" i="6"/>
  <c r="DI81" i="6"/>
  <c r="DH81" i="6"/>
  <c r="DP81" i="6"/>
  <c r="DN81" i="6"/>
  <c r="FA81" i="6"/>
  <c r="EZ81" i="6"/>
  <c r="FH81" i="6"/>
  <c r="FF81" i="6"/>
  <c r="FE81" i="6"/>
  <c r="FD81" i="6"/>
  <c r="FC81" i="6"/>
  <c r="FB81" i="6"/>
  <c r="DL82" i="6"/>
  <c r="DK82" i="6"/>
  <c r="DJ82" i="6"/>
  <c r="DI82" i="6"/>
  <c r="DH82" i="6"/>
  <c r="DP82" i="6"/>
  <c r="DN82" i="6"/>
  <c r="DM82" i="6"/>
  <c r="EZ82" i="6"/>
  <c r="FH82" i="6"/>
  <c r="FF82" i="6"/>
  <c r="FE82" i="6"/>
  <c r="FD82" i="6"/>
  <c r="FC82" i="6"/>
  <c r="FB82" i="6"/>
  <c r="FA82" i="6"/>
  <c r="DK83" i="6"/>
  <c r="DJ83" i="6"/>
  <c r="DI83" i="6"/>
  <c r="DH83" i="6"/>
  <c r="DP83" i="6"/>
  <c r="DN83" i="6"/>
  <c r="DM83" i="6"/>
  <c r="DL83" i="6"/>
  <c r="FH83" i="6"/>
  <c r="FF83" i="6"/>
  <c r="FE83" i="6"/>
  <c r="FD83" i="6"/>
  <c r="FC83" i="6"/>
  <c r="FB83" i="6"/>
  <c r="FA83" i="6"/>
  <c r="EZ83" i="6"/>
  <c r="DJ84" i="6"/>
  <c r="DI84" i="6"/>
  <c r="DH84" i="6"/>
  <c r="DP84" i="6"/>
  <c r="DN84" i="6"/>
  <c r="DM84" i="6"/>
  <c r="DL84" i="6"/>
  <c r="DK84" i="6"/>
  <c r="FF84" i="6"/>
  <c r="FE84" i="6"/>
  <c r="FD84" i="6"/>
  <c r="FC84" i="6"/>
  <c r="FB84" i="6"/>
  <c r="FA84" i="6"/>
  <c r="EZ84" i="6"/>
  <c r="FH84" i="6"/>
  <c r="DI85" i="6"/>
  <c r="DH85" i="6"/>
  <c r="DP85" i="6"/>
  <c r="DN85" i="6"/>
  <c r="DM85" i="6"/>
  <c r="DL85" i="6"/>
  <c r="DK85" i="6"/>
  <c r="DJ85" i="6"/>
  <c r="FE85" i="6"/>
  <c r="FD85" i="6"/>
  <c r="FC85" i="6"/>
  <c r="FB85" i="6"/>
  <c r="FA85" i="6"/>
  <c r="EZ85" i="6"/>
  <c r="FH85" i="6"/>
  <c r="FF85" i="6"/>
  <c r="DH86" i="6"/>
  <c r="DP86" i="6"/>
  <c r="DN86" i="6"/>
  <c r="DM86" i="6"/>
  <c r="DL86" i="6"/>
  <c r="DK86" i="6"/>
  <c r="DJ86" i="6"/>
  <c r="DI86" i="6"/>
  <c r="FD86" i="6"/>
  <c r="FC86" i="6"/>
  <c r="FB86" i="6"/>
  <c r="FA86" i="6"/>
  <c r="EZ86" i="6"/>
  <c r="FH86" i="6"/>
  <c r="FF86" i="6"/>
  <c r="FE86" i="6"/>
  <c r="DP87" i="6"/>
  <c r="DN87" i="6"/>
  <c r="DM87" i="6"/>
  <c r="DL87" i="6"/>
  <c r="DK87" i="6"/>
  <c r="DJ87" i="6"/>
  <c r="DI87" i="6"/>
  <c r="DH87" i="6"/>
  <c r="FC87" i="6"/>
  <c r="FB87" i="6"/>
  <c r="FA87" i="6"/>
  <c r="EZ87" i="6"/>
  <c r="FH87" i="6"/>
  <c r="FF87" i="6"/>
  <c r="FE87" i="6"/>
  <c r="FD87" i="6"/>
  <c r="DN88" i="6"/>
  <c r="DM88" i="6"/>
  <c r="DL88" i="6"/>
  <c r="DK88" i="6"/>
  <c r="DJ88" i="6"/>
  <c r="DI88" i="6"/>
  <c r="DH88" i="6"/>
  <c r="DP88" i="6"/>
  <c r="FB88" i="6"/>
  <c r="FA88" i="6"/>
  <c r="EZ88" i="6"/>
  <c r="FH88" i="6"/>
  <c r="FF88" i="6"/>
  <c r="FE88" i="6"/>
  <c r="FD88" i="6"/>
  <c r="FC88" i="6"/>
  <c r="DM89" i="6"/>
  <c r="DL89" i="6"/>
  <c r="DK89" i="6"/>
  <c r="DJ89" i="6"/>
  <c r="DI89" i="6"/>
  <c r="DH89" i="6"/>
  <c r="DP89" i="6"/>
  <c r="DN89" i="6"/>
  <c r="FA89" i="6"/>
  <c r="EZ89" i="6"/>
  <c r="FH89" i="6"/>
  <c r="FF89" i="6"/>
  <c r="FE89" i="6"/>
  <c r="FD89" i="6"/>
  <c r="FC89" i="6"/>
  <c r="FB89" i="6"/>
  <c r="DL90" i="6"/>
  <c r="DK90" i="6"/>
  <c r="DJ90" i="6"/>
  <c r="DI90" i="6"/>
  <c r="DH90" i="6"/>
  <c r="DP90" i="6"/>
  <c r="DN90" i="6"/>
  <c r="DM90" i="6"/>
  <c r="EZ90" i="6"/>
  <c r="FH90" i="6"/>
  <c r="FF90" i="6"/>
  <c r="FE90" i="6"/>
  <c r="FD90" i="6"/>
  <c r="FC90" i="6"/>
  <c r="FB90" i="6"/>
  <c r="FA90" i="6"/>
  <c r="DK91" i="6"/>
  <c r="DJ91" i="6"/>
  <c r="DI91" i="6"/>
  <c r="DH91" i="6"/>
  <c r="DP91" i="6"/>
  <c r="DN91" i="6"/>
  <c r="DM91" i="6"/>
  <c r="DL91" i="6"/>
  <c r="FH91" i="6"/>
  <c r="FF91" i="6"/>
  <c r="FE91" i="6"/>
  <c r="FD91" i="6"/>
  <c r="FC91" i="6"/>
  <c r="FB91" i="6"/>
  <c r="FA91" i="6"/>
  <c r="EZ91" i="6"/>
  <c r="DJ92" i="6"/>
  <c r="DI92" i="6"/>
  <c r="DH92" i="6"/>
  <c r="DP92" i="6"/>
  <c r="DN92" i="6"/>
  <c r="DM92" i="6"/>
  <c r="DL92" i="6"/>
  <c r="DK92" i="6"/>
  <c r="FF92" i="6"/>
  <c r="FE92" i="6"/>
  <c r="FD92" i="6"/>
  <c r="FC92" i="6"/>
  <c r="FB92" i="6"/>
  <c r="FA92" i="6"/>
  <c r="EZ92" i="6"/>
  <c r="FH92" i="6"/>
  <c r="DI93" i="6"/>
  <c r="DH93" i="6"/>
  <c r="DP93" i="6"/>
  <c r="DN93" i="6"/>
  <c r="DM93" i="6"/>
  <c r="DL93" i="6"/>
  <c r="DK93" i="6"/>
  <c r="DJ93" i="6"/>
  <c r="FE93" i="6"/>
  <c r="FD93" i="6"/>
  <c r="FC93" i="6"/>
  <c r="FB93" i="6"/>
  <c r="FA93" i="6"/>
  <c r="EZ93" i="6"/>
  <c r="FH93" i="6"/>
  <c r="FF93" i="6"/>
  <c r="DH94" i="6"/>
  <c r="DP94" i="6"/>
  <c r="DN94" i="6"/>
  <c r="DM94" i="6"/>
  <c r="DL94" i="6"/>
  <c r="DK94" i="6"/>
  <c r="DJ94" i="6"/>
  <c r="DI94" i="6"/>
  <c r="FD94" i="6"/>
  <c r="FC94" i="6"/>
  <c r="FB94" i="6"/>
  <c r="FA94" i="6"/>
  <c r="EZ94" i="6"/>
  <c r="FH94" i="6"/>
  <c r="FF94" i="6"/>
  <c r="FE94" i="6"/>
  <c r="DP95" i="6"/>
  <c r="DN95" i="6"/>
  <c r="DM95" i="6"/>
  <c r="DL95" i="6"/>
  <c r="DK95" i="6"/>
  <c r="DJ95" i="6"/>
  <c r="DI95" i="6"/>
  <c r="DH95" i="6"/>
  <c r="FC95" i="6"/>
  <c r="FB95" i="6"/>
  <c r="FA95" i="6"/>
  <c r="EZ95" i="6"/>
  <c r="FH95" i="6"/>
  <c r="FF95" i="6"/>
  <c r="FE95" i="6"/>
  <c r="FD95" i="6"/>
  <c r="DN96" i="6"/>
  <c r="DM96" i="6"/>
  <c r="DL96" i="6"/>
  <c r="DK96" i="6"/>
  <c r="DJ96" i="6"/>
  <c r="DI96" i="6"/>
  <c r="DH96" i="6"/>
  <c r="DP96" i="6"/>
  <c r="FB96" i="6"/>
  <c r="FA96" i="6"/>
  <c r="EZ96" i="6"/>
  <c r="FH96" i="6"/>
  <c r="FF96" i="6"/>
  <c r="FE96" i="6"/>
  <c r="FD96" i="6"/>
  <c r="FC96" i="6"/>
  <c r="DM97" i="6"/>
  <c r="DL97" i="6"/>
  <c r="DK97" i="6"/>
  <c r="DJ97" i="6"/>
  <c r="DI97" i="6"/>
  <c r="DH97" i="6"/>
  <c r="DP97" i="6"/>
  <c r="DN97" i="6"/>
  <c r="FA97" i="6"/>
  <c r="EZ97" i="6"/>
  <c r="FH97" i="6"/>
  <c r="FF97" i="6"/>
  <c r="FE97" i="6"/>
  <c r="FD97" i="6"/>
  <c r="FC97" i="6"/>
  <c r="FB97" i="6"/>
  <c r="DL98" i="6"/>
  <c r="DK98" i="6"/>
  <c r="DJ98" i="6"/>
  <c r="DI98" i="6"/>
  <c r="DH98" i="6"/>
  <c r="DP98" i="6"/>
  <c r="DN98" i="6"/>
  <c r="DM98" i="6"/>
  <c r="EZ98" i="6"/>
  <c r="FH98" i="6"/>
  <c r="FF98" i="6"/>
  <c r="FE98" i="6"/>
  <c r="FD98" i="6"/>
  <c r="FC98" i="6"/>
  <c r="FB98" i="6"/>
  <c r="FA98" i="6"/>
  <c r="DK99" i="6"/>
  <c r="DJ99" i="6"/>
  <c r="DI99" i="6"/>
  <c r="DH99" i="6"/>
  <c r="DP99" i="6"/>
  <c r="DN99" i="6"/>
  <c r="DM99" i="6"/>
  <c r="DL99" i="6"/>
  <c r="FH99" i="6"/>
  <c r="FF99" i="6"/>
  <c r="FE99" i="6"/>
  <c r="FD99" i="6"/>
  <c r="FC99" i="6"/>
  <c r="FB99" i="6"/>
  <c r="FA99" i="6"/>
  <c r="EZ99" i="6"/>
  <c r="DJ100" i="6"/>
  <c r="DI100" i="6"/>
  <c r="DH100" i="6"/>
  <c r="DP100" i="6"/>
  <c r="DN100" i="6"/>
  <c r="DM100" i="6"/>
  <c r="DL100" i="6"/>
  <c r="DK100" i="6"/>
  <c r="FF100" i="6"/>
  <c r="FE100" i="6"/>
  <c r="FD100" i="6"/>
  <c r="FC100" i="6"/>
  <c r="FB100" i="6"/>
  <c r="FA100" i="6"/>
  <c r="EZ100" i="6"/>
  <c r="FH100" i="6"/>
  <c r="DI101" i="6"/>
  <c r="DH101" i="6"/>
  <c r="DP101" i="6"/>
  <c r="DN101" i="6"/>
  <c r="DM101" i="6"/>
  <c r="DL101" i="6"/>
  <c r="DK101" i="6"/>
  <c r="DJ101" i="6"/>
  <c r="FE101" i="6"/>
  <c r="FD101" i="6"/>
  <c r="FC101" i="6"/>
  <c r="FB101" i="6"/>
  <c r="FA101" i="6"/>
  <c r="EZ101" i="6"/>
  <c r="FH101" i="6"/>
  <c r="FF101" i="6"/>
  <c r="DH102" i="6"/>
  <c r="DP102" i="6"/>
  <c r="DN102" i="6"/>
  <c r="DM102" i="6"/>
  <c r="DL102" i="6"/>
  <c r="DK102" i="6"/>
  <c r="DJ102" i="6"/>
  <c r="DI102" i="6"/>
  <c r="FD102" i="6"/>
  <c r="FC102" i="6"/>
  <c r="FB102" i="6"/>
  <c r="FA102" i="6"/>
  <c r="EZ102" i="6"/>
  <c r="FH102" i="6"/>
  <c r="FF102" i="6"/>
  <c r="FE102" i="6"/>
  <c r="DP103" i="6"/>
  <c r="DN103" i="6"/>
  <c r="DM103" i="6"/>
  <c r="DL103" i="6"/>
  <c r="DK103" i="6"/>
  <c r="DJ103" i="6"/>
  <c r="DI103" i="6"/>
  <c r="DH103" i="6"/>
  <c r="FC103" i="6"/>
  <c r="FB103" i="6"/>
  <c r="FA103" i="6"/>
  <c r="EZ103" i="6"/>
  <c r="FH103" i="6"/>
  <c r="FF103" i="6"/>
  <c r="FE103" i="6"/>
  <c r="FD103" i="6"/>
  <c r="DN104" i="6"/>
  <c r="DM104" i="6"/>
  <c r="DL104" i="6"/>
  <c r="DK104" i="6"/>
  <c r="DJ104" i="6"/>
  <c r="DI104" i="6"/>
  <c r="DH104" i="6"/>
  <c r="DP104" i="6"/>
  <c r="FB104" i="6"/>
  <c r="FA104" i="6"/>
  <c r="EZ104" i="6"/>
  <c r="FH104" i="6"/>
  <c r="FF104" i="6"/>
  <c r="FE104" i="6"/>
  <c r="FD104" i="6"/>
  <c r="FC104" i="6"/>
  <c r="DM105" i="6"/>
  <c r="DL105" i="6"/>
  <c r="DK105" i="6"/>
  <c r="DJ105" i="6"/>
  <c r="DI105" i="6"/>
  <c r="DH105" i="6"/>
  <c r="DP105" i="6"/>
  <c r="DN105" i="6"/>
  <c r="FA105" i="6"/>
  <c r="EZ105" i="6"/>
  <c r="FH105" i="6"/>
  <c r="FF105" i="6"/>
  <c r="FE105" i="6"/>
  <c r="FD105" i="6"/>
  <c r="FC105" i="6"/>
  <c r="FB105" i="6"/>
  <c r="DL106" i="6"/>
  <c r="DK106" i="6"/>
  <c r="DJ106" i="6"/>
  <c r="DI106" i="6"/>
  <c r="DH106" i="6"/>
  <c r="DP106" i="6"/>
  <c r="DN106" i="6"/>
  <c r="DM106" i="6"/>
  <c r="EZ106" i="6"/>
  <c r="FH106" i="6"/>
  <c r="FF106" i="6"/>
  <c r="FE106" i="6"/>
  <c r="FD106" i="6"/>
  <c r="FC106" i="6"/>
  <c r="FB106" i="6"/>
  <c r="FA106" i="6"/>
  <c r="DK107" i="6"/>
  <c r="DJ107" i="6"/>
  <c r="DI107" i="6"/>
  <c r="DH107" i="6"/>
  <c r="DP107" i="6"/>
  <c r="DN107" i="6"/>
  <c r="DM107" i="6"/>
  <c r="DL107" i="6"/>
  <c r="FH107" i="6"/>
  <c r="FF107" i="6"/>
  <c r="FE107" i="6"/>
  <c r="FD107" i="6"/>
  <c r="FC107" i="6"/>
  <c r="FB107" i="6"/>
  <c r="FA107" i="6"/>
  <c r="EZ107" i="6"/>
  <c r="DJ108" i="6"/>
  <c r="DI108" i="6"/>
  <c r="DH108" i="6"/>
  <c r="DP108" i="6"/>
  <c r="DN108" i="6"/>
  <c r="DM108" i="6"/>
  <c r="DL108" i="6"/>
  <c r="DK108" i="6"/>
  <c r="FF108" i="6"/>
  <c r="FE108" i="6"/>
  <c r="FD108" i="6"/>
  <c r="FC108" i="6"/>
  <c r="FB108" i="6"/>
  <c r="FA108" i="6"/>
  <c r="EZ108" i="6"/>
  <c r="FH108" i="6"/>
  <c r="DI109" i="6"/>
  <c r="DH109" i="6"/>
  <c r="DP109" i="6"/>
  <c r="DN109" i="6"/>
  <c r="DM109" i="6"/>
  <c r="DL109" i="6"/>
  <c r="DK109" i="6"/>
  <c r="DJ109" i="6"/>
  <c r="FE109" i="6"/>
  <c r="FD109" i="6"/>
  <c r="FC109" i="6"/>
  <c r="FB109" i="6"/>
  <c r="FA109" i="6"/>
  <c r="EZ109" i="6"/>
  <c r="FH109" i="6"/>
  <c r="FF109" i="6"/>
  <c r="DH110" i="6"/>
  <c r="DP110" i="6"/>
  <c r="DN110" i="6"/>
  <c r="DM110" i="6"/>
  <c r="DL110" i="6"/>
  <c r="DK110" i="6"/>
  <c r="DJ110" i="6"/>
  <c r="DI110" i="6"/>
  <c r="FD110" i="6"/>
  <c r="FC110" i="6"/>
  <c r="FB110" i="6"/>
  <c r="FA110" i="6"/>
  <c r="EZ110" i="6"/>
  <c r="FH110" i="6"/>
  <c r="FF110" i="6"/>
  <c r="FE110" i="6"/>
  <c r="DP111" i="6"/>
  <c r="DN111" i="6"/>
  <c r="DM111" i="6"/>
  <c r="DL111" i="6"/>
  <c r="DK111" i="6"/>
  <c r="DJ111" i="6"/>
  <c r="DI111" i="6"/>
  <c r="DH111" i="6"/>
  <c r="FC111" i="6"/>
  <c r="FB111" i="6"/>
  <c r="FA111" i="6"/>
  <c r="EZ111" i="6"/>
  <c r="FH111" i="6"/>
  <c r="FF111" i="6"/>
  <c r="FE111" i="6"/>
  <c r="FD111" i="6"/>
  <c r="DN112" i="6"/>
  <c r="DM112" i="6"/>
  <c r="DL112" i="6"/>
  <c r="DK112" i="6"/>
  <c r="DJ112" i="6"/>
  <c r="DI112" i="6"/>
  <c r="DH112" i="6"/>
  <c r="DP112" i="6"/>
  <c r="FB112" i="6"/>
  <c r="FA112" i="6"/>
  <c r="EZ112" i="6"/>
  <c r="FH112" i="6"/>
  <c r="FF112" i="6"/>
  <c r="FE112" i="6"/>
  <c r="FD112" i="6"/>
  <c r="FC112" i="6"/>
  <c r="DM113" i="6"/>
  <c r="DL113" i="6"/>
  <c r="DK113" i="6"/>
  <c r="DJ113" i="6"/>
  <c r="DI113" i="6"/>
  <c r="DH113" i="6"/>
  <c r="DP113" i="6"/>
  <c r="DN113" i="6"/>
  <c r="FA113" i="6"/>
  <c r="EZ113" i="6"/>
  <c r="FH113" i="6"/>
  <c r="FF113" i="6"/>
  <c r="FE113" i="6"/>
  <c r="FD113" i="6"/>
  <c r="FC113" i="6"/>
  <c r="FB113" i="6"/>
  <c r="DL114" i="6"/>
  <c r="DK114" i="6"/>
  <c r="DJ114" i="6"/>
  <c r="DI114" i="6"/>
  <c r="DH114" i="6"/>
  <c r="DP114" i="6"/>
  <c r="DN114" i="6"/>
  <c r="DM114" i="6"/>
  <c r="EZ114" i="6"/>
  <c r="FH114" i="6"/>
  <c r="FF114" i="6"/>
  <c r="FE114" i="6"/>
  <c r="FD114" i="6"/>
  <c r="FC114" i="6"/>
  <c r="FB114" i="6"/>
  <c r="FA114" i="6"/>
  <c r="DK115" i="6"/>
  <c r="DJ115" i="6"/>
  <c r="DI115" i="6"/>
  <c r="DH115" i="6"/>
  <c r="DP115" i="6"/>
  <c r="DN115" i="6"/>
  <c r="DM115" i="6"/>
  <c r="DL115" i="6"/>
  <c r="FH115" i="6"/>
  <c r="FF115" i="6"/>
  <c r="FE115" i="6"/>
  <c r="FD115" i="6"/>
  <c r="FC115" i="6"/>
  <c r="FB115" i="6"/>
  <c r="FA115" i="6"/>
  <c r="EZ115" i="6"/>
  <c r="DJ116" i="6"/>
  <c r="DI116" i="6"/>
  <c r="DH116" i="6"/>
  <c r="DP116" i="6"/>
  <c r="DN116" i="6"/>
  <c r="DM116" i="6"/>
  <c r="DL116" i="6"/>
  <c r="DK116" i="6"/>
  <c r="FF116" i="6"/>
  <c r="FE116" i="6"/>
  <c r="FD116" i="6"/>
  <c r="FC116" i="6"/>
  <c r="FB116" i="6"/>
  <c r="FA116" i="6"/>
  <c r="EZ116" i="6"/>
  <c r="FH116" i="6"/>
  <c r="DI117" i="6"/>
  <c r="DH117" i="6"/>
  <c r="DP117" i="6"/>
  <c r="DN117" i="6"/>
  <c r="DM117" i="6"/>
  <c r="DL117" i="6"/>
  <c r="DK117" i="6"/>
  <c r="DJ117" i="6"/>
  <c r="FE117" i="6"/>
  <c r="FD117" i="6"/>
  <c r="FC117" i="6"/>
  <c r="FB117" i="6"/>
  <c r="FA117" i="6"/>
  <c r="EZ117" i="6"/>
  <c r="FH117" i="6"/>
  <c r="FF117" i="6"/>
  <c r="DH118" i="6"/>
  <c r="DP118" i="6"/>
  <c r="DN118" i="6"/>
  <c r="DM118" i="6"/>
  <c r="DL118" i="6"/>
  <c r="DK118" i="6"/>
  <c r="DJ118" i="6"/>
  <c r="DI118" i="6"/>
  <c r="FD118" i="6"/>
  <c r="FC118" i="6"/>
  <c r="FB118" i="6"/>
  <c r="FA118" i="6"/>
  <c r="EZ118" i="6"/>
  <c r="FH118" i="6"/>
  <c r="FF118" i="6"/>
  <c r="FE118" i="6"/>
  <c r="DP119" i="6"/>
  <c r="DN119" i="6"/>
  <c r="DM119" i="6"/>
  <c r="DL119" i="6"/>
  <c r="DK119" i="6"/>
  <c r="DJ119" i="6"/>
  <c r="DI119" i="6"/>
  <c r="DH119" i="6"/>
  <c r="FC119" i="6"/>
  <c r="FB119" i="6"/>
  <c r="FA119" i="6"/>
  <c r="EZ119" i="6"/>
  <c r="FH119" i="6"/>
  <c r="FF119" i="6"/>
  <c r="FE119" i="6"/>
  <c r="FD119" i="6"/>
  <c r="DN120" i="6"/>
  <c r="DM120" i="6"/>
  <c r="DL120" i="6"/>
  <c r="DK120" i="6"/>
  <c r="DJ120" i="6"/>
  <c r="DI120" i="6"/>
  <c r="DH120" i="6"/>
  <c r="DP120" i="6"/>
  <c r="FB120" i="6"/>
  <c r="FA120" i="6"/>
  <c r="EZ120" i="6"/>
  <c r="FH120" i="6"/>
  <c r="FF120" i="6"/>
  <c r="FE120" i="6"/>
  <c r="FD120" i="6"/>
  <c r="FC120" i="6"/>
  <c r="BE3" i="6"/>
  <c r="BM3" i="6"/>
  <c r="BK3" i="6"/>
  <c r="BJ3" i="6"/>
  <c r="BI3" i="6"/>
  <c r="BH3" i="6"/>
  <c r="BG3" i="6"/>
  <c r="BF3" i="6"/>
  <c r="FQ3" i="6"/>
  <c r="FP3" i="6"/>
  <c r="FO3" i="6"/>
  <c r="FN3" i="6"/>
  <c r="FM3" i="6"/>
  <c r="FL3" i="6"/>
  <c r="FK3" i="6"/>
  <c r="FS3" i="6"/>
  <c r="AJ4" i="6"/>
  <c r="AI4" i="6"/>
  <c r="AQ4" i="6"/>
  <c r="AO4" i="6"/>
  <c r="AN4" i="6"/>
  <c r="AM4" i="6"/>
  <c r="AL4" i="6"/>
  <c r="AK4" i="6"/>
  <c r="Z4" i="6"/>
  <c r="Y4" i="6"/>
  <c r="X4" i="6"/>
  <c r="AF4" i="6"/>
  <c r="AD4" i="6"/>
  <c r="AC4" i="6"/>
  <c r="AB4" i="6"/>
  <c r="AA4" i="6"/>
  <c r="O5" i="6"/>
  <c r="N5" i="6"/>
  <c r="M5" i="6"/>
  <c r="U5" i="6"/>
  <c r="S5" i="6"/>
  <c r="R5" i="6"/>
  <c r="Q5" i="6"/>
  <c r="P5" i="6"/>
  <c r="BB5" i="6"/>
  <c r="AZ5" i="6"/>
  <c r="AY5" i="6"/>
  <c r="AX5" i="6"/>
  <c r="AW5" i="6"/>
  <c r="AV5" i="6"/>
  <c r="AU5" i="6"/>
  <c r="AT5" i="6"/>
  <c r="D6" i="6"/>
  <c r="C6" i="6"/>
  <c r="B6" i="6"/>
  <c r="J6" i="6"/>
  <c r="H6" i="6"/>
  <c r="G6" i="6"/>
  <c r="F6" i="6"/>
  <c r="E6" i="6"/>
  <c r="BT6" i="6"/>
  <c r="BS6" i="6"/>
  <c r="BR6" i="6"/>
  <c r="BQ6" i="6"/>
  <c r="BP6" i="6"/>
  <c r="BX6" i="6"/>
  <c r="BV6" i="6"/>
  <c r="BU6" i="6"/>
  <c r="FX6" i="6"/>
  <c r="FW6" i="6"/>
  <c r="FV6" i="6"/>
  <c r="GD6" i="6"/>
  <c r="GB6" i="6"/>
  <c r="GA6" i="6"/>
  <c r="FZ6" i="6"/>
  <c r="FY6" i="6"/>
  <c r="BI7" i="6"/>
  <c r="BH7" i="6"/>
  <c r="BG7" i="6"/>
  <c r="BF7" i="6"/>
  <c r="BE7" i="6"/>
  <c r="BM7" i="6"/>
  <c r="BK7" i="6"/>
  <c r="BJ7" i="6"/>
  <c r="FM7" i="6"/>
  <c r="FL7" i="6"/>
  <c r="FK7" i="6"/>
  <c r="FS7" i="6"/>
  <c r="FQ7" i="6"/>
  <c r="FP7" i="6"/>
  <c r="FO7" i="6"/>
  <c r="FN7" i="6"/>
  <c r="AN8" i="6"/>
  <c r="AM8" i="6"/>
  <c r="AL8" i="6"/>
  <c r="AK8" i="6"/>
  <c r="AJ8" i="6"/>
  <c r="AI8" i="6"/>
  <c r="AQ8" i="6"/>
  <c r="AO8" i="6"/>
  <c r="AD8" i="6"/>
  <c r="AC8" i="6"/>
  <c r="AB8" i="6"/>
  <c r="AA8" i="6"/>
  <c r="Z8" i="6"/>
  <c r="Y8" i="6"/>
  <c r="X8" i="6"/>
  <c r="AF8" i="6"/>
  <c r="S9" i="6"/>
  <c r="R9" i="6"/>
  <c r="Q9" i="6"/>
  <c r="P9" i="6"/>
  <c r="O9" i="6"/>
  <c r="N9" i="6"/>
  <c r="M9" i="6"/>
  <c r="U9" i="6"/>
  <c r="AW9" i="6"/>
  <c r="AV9" i="6"/>
  <c r="AU9" i="6"/>
  <c r="AT9" i="6"/>
  <c r="BB9" i="6"/>
  <c r="AZ9" i="6"/>
  <c r="AY9" i="6"/>
  <c r="AX9" i="6"/>
  <c r="H10" i="6"/>
  <c r="G10" i="6"/>
  <c r="F10" i="6"/>
  <c r="E10" i="6"/>
  <c r="D10" i="6"/>
  <c r="C10" i="6"/>
  <c r="B10" i="6"/>
  <c r="J10" i="6"/>
  <c r="BP10" i="6"/>
  <c r="BX10" i="6"/>
  <c r="BV10" i="6"/>
  <c r="BU10" i="6"/>
  <c r="BT10" i="6"/>
  <c r="BS10" i="6"/>
  <c r="BR10" i="6"/>
  <c r="BQ10" i="6"/>
  <c r="GB10" i="6"/>
  <c r="GA10" i="6"/>
  <c r="FZ10" i="6"/>
  <c r="FY10" i="6"/>
  <c r="FX10" i="6"/>
  <c r="FW10" i="6"/>
  <c r="FV10" i="6"/>
  <c r="GD10" i="6"/>
  <c r="BE11" i="6"/>
  <c r="BM11" i="6"/>
  <c r="BK11" i="6"/>
  <c r="BJ11" i="6"/>
  <c r="BI11" i="6"/>
  <c r="BH11" i="6"/>
  <c r="BG11" i="6"/>
  <c r="BF11" i="6"/>
  <c r="FQ11" i="6"/>
  <c r="FP11" i="6"/>
  <c r="FO11" i="6"/>
  <c r="FN11" i="6"/>
  <c r="FM11" i="6"/>
  <c r="FL11" i="6"/>
  <c r="FK11" i="6"/>
  <c r="FS11" i="6"/>
  <c r="AJ12" i="6"/>
  <c r="AI12" i="6"/>
  <c r="AQ12" i="6"/>
  <c r="AO12" i="6"/>
  <c r="AN12" i="6"/>
  <c r="AM12" i="6"/>
  <c r="AL12" i="6"/>
  <c r="AK12" i="6"/>
  <c r="Z12" i="6"/>
  <c r="Y12" i="6"/>
  <c r="X12" i="6"/>
  <c r="AF12" i="6"/>
  <c r="AD12" i="6"/>
  <c r="AC12" i="6"/>
  <c r="AB12" i="6"/>
  <c r="AA12" i="6"/>
  <c r="O13" i="6"/>
  <c r="N13" i="6"/>
  <c r="M13" i="6"/>
  <c r="U13" i="6"/>
  <c r="S13" i="6"/>
  <c r="R13" i="6"/>
  <c r="Q13" i="6"/>
  <c r="P13" i="6"/>
  <c r="BB13" i="6"/>
  <c r="AZ13" i="6"/>
  <c r="AY13" i="6"/>
  <c r="AX13" i="6"/>
  <c r="AW13" i="6"/>
  <c r="AV13" i="6"/>
  <c r="AU13" i="6"/>
  <c r="AT13" i="6"/>
  <c r="D14" i="6"/>
  <c r="C14" i="6"/>
  <c r="B14" i="6"/>
  <c r="J14" i="6"/>
  <c r="H14" i="6"/>
  <c r="G14" i="6"/>
  <c r="F14" i="6"/>
  <c r="E14" i="6"/>
  <c r="BT14" i="6"/>
  <c r="BS14" i="6"/>
  <c r="BR14" i="6"/>
  <c r="BQ14" i="6"/>
  <c r="BP14" i="6"/>
  <c r="BX14" i="6"/>
  <c r="BV14" i="6"/>
  <c r="BU14" i="6"/>
  <c r="FX14" i="6"/>
  <c r="FW14" i="6"/>
  <c r="FV14" i="6"/>
  <c r="GD14" i="6"/>
  <c r="GB14" i="6"/>
  <c r="GA14" i="6"/>
  <c r="FZ14" i="6"/>
  <c r="FY14" i="6"/>
  <c r="BI15" i="6"/>
  <c r="BH15" i="6"/>
  <c r="BG15" i="6"/>
  <c r="BF15" i="6"/>
  <c r="BE15" i="6"/>
  <c r="BM15" i="6"/>
  <c r="BK15" i="6"/>
  <c r="BJ15" i="6"/>
  <c r="FM15" i="6"/>
  <c r="FL15" i="6"/>
  <c r="FK15" i="6"/>
  <c r="FS15" i="6"/>
  <c r="FQ15" i="6"/>
  <c r="FP15" i="6"/>
  <c r="FO15" i="6"/>
  <c r="FN15" i="6"/>
  <c r="AN16" i="6"/>
  <c r="AM16" i="6"/>
  <c r="AL16" i="6"/>
  <c r="AK16" i="6"/>
  <c r="AJ16" i="6"/>
  <c r="AI16" i="6"/>
  <c r="AQ16" i="6"/>
  <c r="AO16" i="6"/>
  <c r="AD16" i="6"/>
  <c r="AC16" i="6"/>
  <c r="AB16" i="6"/>
  <c r="AA16" i="6"/>
  <c r="Z16" i="6"/>
  <c r="Y16" i="6"/>
  <c r="X16" i="6"/>
  <c r="AF16" i="6"/>
  <c r="S17" i="6"/>
  <c r="R17" i="6"/>
  <c r="Q17" i="6"/>
  <c r="P17" i="6"/>
  <c r="O17" i="6"/>
  <c r="N17" i="6"/>
  <c r="M17" i="6"/>
  <c r="U17" i="6"/>
  <c r="AW17" i="6"/>
  <c r="AV17" i="6"/>
  <c r="AU17" i="6"/>
  <c r="AT17" i="6"/>
  <c r="BB17" i="6"/>
  <c r="AZ17" i="6"/>
  <c r="AY17" i="6"/>
  <c r="AX17" i="6"/>
  <c r="H18" i="6"/>
  <c r="G18" i="6"/>
  <c r="F18" i="6"/>
  <c r="E18" i="6"/>
  <c r="D18" i="6"/>
  <c r="C18" i="6"/>
  <c r="B18" i="6"/>
  <c r="J18" i="6"/>
  <c r="BP18" i="6"/>
  <c r="BX18" i="6"/>
  <c r="BV18" i="6"/>
  <c r="BU18" i="6"/>
  <c r="BT18" i="6"/>
  <c r="BS18" i="6"/>
  <c r="BR18" i="6"/>
  <c r="BQ18" i="6"/>
  <c r="GB18" i="6"/>
  <c r="GA18" i="6"/>
  <c r="FZ18" i="6"/>
  <c r="FY18" i="6"/>
  <c r="FX18" i="6"/>
  <c r="FW18" i="6"/>
  <c r="FV18" i="6"/>
  <c r="GD18" i="6"/>
  <c r="BE19" i="6"/>
  <c r="BM19" i="6"/>
  <c r="BK19" i="6"/>
  <c r="BJ19" i="6"/>
  <c r="BI19" i="6"/>
  <c r="BH19" i="6"/>
  <c r="BG19" i="6"/>
  <c r="BF19" i="6"/>
  <c r="FQ19" i="6"/>
  <c r="FP19" i="6"/>
  <c r="FO19" i="6"/>
  <c r="FN19" i="6"/>
  <c r="FM19" i="6"/>
  <c r="FL19" i="6"/>
  <c r="FK19" i="6"/>
  <c r="FS19" i="6"/>
  <c r="AJ20" i="6"/>
  <c r="AI20" i="6"/>
  <c r="AQ20" i="6"/>
  <c r="AO20" i="6"/>
  <c r="AN20" i="6"/>
  <c r="AM20" i="6"/>
  <c r="AL20" i="6"/>
  <c r="AK20" i="6"/>
  <c r="Z20" i="6"/>
  <c r="Y20" i="6"/>
  <c r="X20" i="6"/>
  <c r="AF20" i="6"/>
  <c r="AD20" i="6"/>
  <c r="AC20" i="6"/>
  <c r="AB20" i="6"/>
  <c r="AA20" i="6"/>
  <c r="O21" i="6"/>
  <c r="N21" i="6"/>
  <c r="M21" i="6"/>
  <c r="U21" i="6"/>
  <c r="S21" i="6"/>
  <c r="R21" i="6"/>
  <c r="Q21" i="6"/>
  <c r="P21" i="6"/>
  <c r="BB21" i="6"/>
  <c r="AZ21" i="6"/>
  <c r="AY21" i="6"/>
  <c r="AX21" i="6"/>
  <c r="AW21" i="6"/>
  <c r="AV21" i="6"/>
  <c r="AU21" i="6"/>
  <c r="AT21" i="6"/>
  <c r="D22" i="6"/>
  <c r="C22" i="6"/>
  <c r="B22" i="6"/>
  <c r="J22" i="6"/>
  <c r="H22" i="6"/>
  <c r="G22" i="6"/>
  <c r="F22" i="6"/>
  <c r="E22" i="6"/>
  <c r="BT22" i="6"/>
  <c r="BS22" i="6"/>
  <c r="BR22" i="6"/>
  <c r="BQ22" i="6"/>
  <c r="BP22" i="6"/>
  <c r="BX22" i="6"/>
  <c r="BV22" i="6"/>
  <c r="BU22" i="6"/>
  <c r="FX22" i="6"/>
  <c r="FW22" i="6"/>
  <c r="FV22" i="6"/>
  <c r="GD22" i="6"/>
  <c r="GB22" i="6"/>
  <c r="GA22" i="6"/>
  <c r="FZ22" i="6"/>
  <c r="FY22" i="6"/>
  <c r="BI23" i="6"/>
  <c r="BH23" i="6"/>
  <c r="BG23" i="6"/>
  <c r="BF23" i="6"/>
  <c r="BE23" i="6"/>
  <c r="BM23" i="6"/>
  <c r="BK23" i="6"/>
  <c r="BJ23" i="6"/>
  <c r="FM23" i="6"/>
  <c r="FL23" i="6"/>
  <c r="FK23" i="6"/>
  <c r="FS23" i="6"/>
  <c r="FQ23" i="6"/>
  <c r="FP23" i="6"/>
  <c r="FO23" i="6"/>
  <c r="FN23" i="6"/>
  <c r="AN24" i="6"/>
  <c r="AM24" i="6"/>
  <c r="AL24" i="6"/>
  <c r="AK24" i="6"/>
  <c r="AJ24" i="6"/>
  <c r="AI24" i="6"/>
  <c r="AQ24" i="6"/>
  <c r="AO24" i="6"/>
  <c r="AD24" i="6"/>
  <c r="AC24" i="6"/>
  <c r="AB24" i="6"/>
  <c r="AA24" i="6"/>
  <c r="Z24" i="6"/>
  <c r="Y24" i="6"/>
  <c r="X24" i="6"/>
  <c r="AF24" i="6"/>
  <c r="S25" i="6"/>
  <c r="R25" i="6"/>
  <c r="Q25" i="6"/>
  <c r="P25" i="6"/>
  <c r="O25" i="6"/>
  <c r="N25" i="6"/>
  <c r="M25" i="6"/>
  <c r="U25" i="6"/>
  <c r="AW25" i="6"/>
  <c r="AV25" i="6"/>
  <c r="AU25" i="6"/>
  <c r="AT25" i="6"/>
  <c r="BB25" i="6"/>
  <c r="AZ25" i="6"/>
  <c r="AY25" i="6"/>
  <c r="AX25" i="6"/>
  <c r="H26" i="6"/>
  <c r="G26" i="6"/>
  <c r="F26" i="6"/>
  <c r="E26" i="6"/>
  <c r="D26" i="6"/>
  <c r="C26" i="6"/>
  <c r="B26" i="6"/>
  <c r="J26" i="6"/>
  <c r="BP26" i="6"/>
  <c r="BX26" i="6"/>
  <c r="BV26" i="6"/>
  <c r="BU26" i="6"/>
  <c r="BT26" i="6"/>
  <c r="BS26" i="6"/>
  <c r="BR26" i="6"/>
  <c r="BQ26" i="6"/>
  <c r="GB26" i="6"/>
  <c r="GA26" i="6"/>
  <c r="FZ26" i="6"/>
  <c r="FY26" i="6"/>
  <c r="FX26" i="6"/>
  <c r="FW26" i="6"/>
  <c r="FV26" i="6"/>
  <c r="GD26" i="6"/>
  <c r="BE27" i="6"/>
  <c r="BM27" i="6"/>
  <c r="BK27" i="6"/>
  <c r="BJ27" i="6"/>
  <c r="BI27" i="6"/>
  <c r="BH27" i="6"/>
  <c r="BG27" i="6"/>
  <c r="BF27" i="6"/>
  <c r="FQ27" i="6"/>
  <c r="FP27" i="6"/>
  <c r="FO27" i="6"/>
  <c r="FN27" i="6"/>
  <c r="FM27" i="6"/>
  <c r="FL27" i="6"/>
  <c r="FK27" i="6"/>
  <c r="FS27" i="6"/>
  <c r="AJ28" i="6"/>
  <c r="AI28" i="6"/>
  <c r="AQ28" i="6"/>
  <c r="AO28" i="6"/>
  <c r="AN28" i="6"/>
  <c r="AM28" i="6"/>
  <c r="AL28" i="6"/>
  <c r="AK28" i="6"/>
  <c r="Z28" i="6"/>
  <c r="Y28" i="6"/>
  <c r="X28" i="6"/>
  <c r="AF28" i="6"/>
  <c r="AD28" i="6"/>
  <c r="AC28" i="6"/>
  <c r="AB28" i="6"/>
  <c r="AA28" i="6"/>
  <c r="O29" i="6"/>
  <c r="N29" i="6"/>
  <c r="M29" i="6"/>
  <c r="U29" i="6"/>
  <c r="S29" i="6"/>
  <c r="R29" i="6"/>
  <c r="Q29" i="6"/>
  <c r="P29" i="6"/>
  <c r="BB29" i="6"/>
  <c r="AZ29" i="6"/>
  <c r="AY29" i="6"/>
  <c r="AX29" i="6"/>
  <c r="AW29" i="6"/>
  <c r="AV29" i="6"/>
  <c r="AU29" i="6"/>
  <c r="AT29" i="6"/>
  <c r="D30" i="6"/>
  <c r="C30" i="6"/>
  <c r="B30" i="6"/>
  <c r="J30" i="6"/>
  <c r="H30" i="6"/>
  <c r="G30" i="6"/>
  <c r="F30" i="6"/>
  <c r="E30" i="6"/>
  <c r="BT30" i="6"/>
  <c r="BS30" i="6"/>
  <c r="BR30" i="6"/>
  <c r="BQ30" i="6"/>
  <c r="BP30" i="6"/>
  <c r="BX30" i="6"/>
  <c r="BV30" i="6"/>
  <c r="BU30" i="6"/>
  <c r="FX30" i="6"/>
  <c r="FW30" i="6"/>
  <c r="FV30" i="6"/>
  <c r="GD30" i="6"/>
  <c r="GB30" i="6"/>
  <c r="GA30" i="6"/>
  <c r="FZ30" i="6"/>
  <c r="FY30" i="6"/>
  <c r="BI31" i="6"/>
  <c r="BH31" i="6"/>
  <c r="BG31" i="6"/>
  <c r="BF31" i="6"/>
  <c r="BE31" i="6"/>
  <c r="BM31" i="6"/>
  <c r="BK31" i="6"/>
  <c r="BJ31" i="6"/>
  <c r="FM31" i="6"/>
  <c r="FL31" i="6"/>
  <c r="FK31" i="6"/>
  <c r="FS31" i="6"/>
  <c r="FQ31" i="6"/>
  <c r="FP31" i="6"/>
  <c r="FO31" i="6"/>
  <c r="FN31" i="6"/>
  <c r="AN32" i="6"/>
  <c r="AM32" i="6"/>
  <c r="AL32" i="6"/>
  <c r="AK32" i="6"/>
  <c r="AJ32" i="6"/>
  <c r="AI32" i="6"/>
  <c r="AQ32" i="6"/>
  <c r="AO32" i="6"/>
  <c r="AD32" i="6"/>
  <c r="AC32" i="6"/>
  <c r="AB32" i="6"/>
  <c r="AA32" i="6"/>
  <c r="Z32" i="6"/>
  <c r="Y32" i="6"/>
  <c r="X32" i="6"/>
  <c r="AF32" i="6"/>
  <c r="S33" i="6"/>
  <c r="R33" i="6"/>
  <c r="Q33" i="6"/>
  <c r="P33" i="6"/>
  <c r="O33" i="6"/>
  <c r="N33" i="6"/>
  <c r="M33" i="6"/>
  <c r="U33" i="6"/>
  <c r="AW33" i="6"/>
  <c r="AV33" i="6"/>
  <c r="AU33" i="6"/>
  <c r="AT33" i="6"/>
  <c r="BB33" i="6"/>
  <c r="AZ33" i="6"/>
  <c r="AY33" i="6"/>
  <c r="AX33" i="6"/>
  <c r="H34" i="6"/>
  <c r="G34" i="6"/>
  <c r="F34" i="6"/>
  <c r="E34" i="6"/>
  <c r="D34" i="6"/>
  <c r="C34" i="6"/>
  <c r="B34" i="6"/>
  <c r="J34" i="6"/>
  <c r="BP34" i="6"/>
  <c r="BX34" i="6"/>
  <c r="BV34" i="6"/>
  <c r="BU34" i="6"/>
  <c r="BT34" i="6"/>
  <c r="BS34" i="6"/>
  <c r="BR34" i="6"/>
  <c r="BQ34" i="6"/>
  <c r="GB34" i="6"/>
  <c r="GA34" i="6"/>
  <c r="FZ34" i="6"/>
  <c r="FY34" i="6"/>
  <c r="FX34" i="6"/>
  <c r="FW34" i="6"/>
  <c r="FV34" i="6"/>
  <c r="GD34" i="6"/>
  <c r="BE35" i="6"/>
  <c r="BM35" i="6"/>
  <c r="BK35" i="6"/>
  <c r="BJ35" i="6"/>
  <c r="BI35" i="6"/>
  <c r="BH35" i="6"/>
  <c r="BG35" i="6"/>
  <c r="BF35" i="6"/>
  <c r="FQ35" i="6"/>
  <c r="FP35" i="6"/>
  <c r="FO35" i="6"/>
  <c r="FN35" i="6"/>
  <c r="FM35" i="6"/>
  <c r="FL35" i="6"/>
  <c r="FK35" i="6"/>
  <c r="FS35" i="6"/>
  <c r="AJ36" i="6"/>
  <c r="AI36" i="6"/>
  <c r="AQ36" i="6"/>
  <c r="AO36" i="6"/>
  <c r="AN36" i="6"/>
  <c r="AM36" i="6"/>
  <c r="AL36" i="6"/>
  <c r="AK36" i="6"/>
  <c r="Z36" i="6"/>
  <c r="Y36" i="6"/>
  <c r="X36" i="6"/>
  <c r="AF36" i="6"/>
  <c r="AD36" i="6"/>
  <c r="AC36" i="6"/>
  <c r="AB36" i="6"/>
  <c r="AA36" i="6"/>
  <c r="O37" i="6"/>
  <c r="N37" i="6"/>
  <c r="M37" i="6"/>
  <c r="U37" i="6"/>
  <c r="S37" i="6"/>
  <c r="R37" i="6"/>
  <c r="Q37" i="6"/>
  <c r="P37" i="6"/>
  <c r="BB37" i="6"/>
  <c r="AZ37" i="6"/>
  <c r="AY37" i="6"/>
  <c r="AX37" i="6"/>
  <c r="AW37" i="6"/>
  <c r="AV37" i="6"/>
  <c r="AU37" i="6"/>
  <c r="AT37" i="6"/>
  <c r="D38" i="6"/>
  <c r="C38" i="6"/>
  <c r="B38" i="6"/>
  <c r="J38" i="6"/>
  <c r="H38" i="6"/>
  <c r="G38" i="6"/>
  <c r="F38" i="6"/>
  <c r="E38" i="6"/>
  <c r="BT38" i="6"/>
  <c r="BS38" i="6"/>
  <c r="BR38" i="6"/>
  <c r="BQ38" i="6"/>
  <c r="BP38" i="6"/>
  <c r="BX38" i="6"/>
  <c r="BV38" i="6"/>
  <c r="BU38" i="6"/>
  <c r="FX38" i="6"/>
  <c r="FW38" i="6"/>
  <c r="FV38" i="6"/>
  <c r="GD38" i="6"/>
  <c r="GB38" i="6"/>
  <c r="GA38" i="6"/>
  <c r="FZ38" i="6"/>
  <c r="FY38" i="6"/>
  <c r="BI39" i="6"/>
  <c r="BH39" i="6"/>
  <c r="BG39" i="6"/>
  <c r="BF39" i="6"/>
  <c r="BE39" i="6"/>
  <c r="BM39" i="6"/>
  <c r="BK39" i="6"/>
  <c r="BJ39" i="6"/>
  <c r="FM39" i="6"/>
  <c r="FL39" i="6"/>
  <c r="FK39" i="6"/>
  <c r="FS39" i="6"/>
  <c r="FQ39" i="6"/>
  <c r="FP39" i="6"/>
  <c r="FO39" i="6"/>
  <c r="FN39" i="6"/>
  <c r="AN40" i="6"/>
  <c r="AM40" i="6"/>
  <c r="AL40" i="6"/>
  <c r="AK40" i="6"/>
  <c r="AJ40" i="6"/>
  <c r="AI40" i="6"/>
  <c r="AQ40" i="6"/>
  <c r="AO40" i="6"/>
  <c r="AD40" i="6"/>
  <c r="AC40" i="6"/>
  <c r="AB40" i="6"/>
  <c r="AA40" i="6"/>
  <c r="Z40" i="6"/>
  <c r="Y40" i="6"/>
  <c r="X40" i="6"/>
  <c r="AF40" i="6"/>
  <c r="S41" i="6"/>
  <c r="R41" i="6"/>
  <c r="Q41" i="6"/>
  <c r="P41" i="6"/>
  <c r="O41" i="6"/>
  <c r="N41" i="6"/>
  <c r="M41" i="6"/>
  <c r="U41" i="6"/>
  <c r="AW41" i="6"/>
  <c r="AV41" i="6"/>
  <c r="AU41" i="6"/>
  <c r="AT41" i="6"/>
  <c r="BB41" i="6"/>
  <c r="AZ41" i="6"/>
  <c r="AY41" i="6"/>
  <c r="AX41" i="6"/>
  <c r="H42" i="6"/>
  <c r="G42" i="6"/>
  <c r="F42" i="6"/>
  <c r="E42" i="6"/>
  <c r="D42" i="6"/>
  <c r="C42" i="6"/>
  <c r="B42" i="6"/>
  <c r="J42" i="6"/>
  <c r="BP42" i="6"/>
  <c r="BX42" i="6"/>
  <c r="BV42" i="6"/>
  <c r="BU42" i="6"/>
  <c r="BT42" i="6"/>
  <c r="BS42" i="6"/>
  <c r="BR42" i="6"/>
  <c r="BQ42" i="6"/>
  <c r="GB42" i="6"/>
  <c r="GA42" i="6"/>
  <c r="FZ42" i="6"/>
  <c r="FY42" i="6"/>
  <c r="FX42" i="6"/>
  <c r="FW42" i="6"/>
  <c r="FV42" i="6"/>
  <c r="GD42" i="6"/>
  <c r="BE43" i="6"/>
  <c r="BM43" i="6"/>
  <c r="BK43" i="6"/>
  <c r="BJ43" i="6"/>
  <c r="BI43" i="6"/>
  <c r="BH43" i="6"/>
  <c r="BG43" i="6"/>
  <c r="BF43" i="6"/>
  <c r="FQ43" i="6"/>
  <c r="FP43" i="6"/>
  <c r="FO43" i="6"/>
  <c r="FN43" i="6"/>
  <c r="FM43" i="6"/>
  <c r="FL43" i="6"/>
  <c r="FK43" i="6"/>
  <c r="FS43" i="6"/>
  <c r="AJ44" i="6"/>
  <c r="AI44" i="6"/>
  <c r="AQ44" i="6"/>
  <c r="AO44" i="6"/>
  <c r="AN44" i="6"/>
  <c r="AM44" i="6"/>
  <c r="AL44" i="6"/>
  <c r="AK44" i="6"/>
  <c r="Z44" i="6"/>
  <c r="Y44" i="6"/>
  <c r="X44" i="6"/>
  <c r="AF44" i="6"/>
  <c r="AD44" i="6"/>
  <c r="AC44" i="6"/>
  <c r="AB44" i="6"/>
  <c r="AA44" i="6"/>
  <c r="O45" i="6"/>
  <c r="N45" i="6"/>
  <c r="M45" i="6"/>
  <c r="U45" i="6"/>
  <c r="S45" i="6"/>
  <c r="R45" i="6"/>
  <c r="Q45" i="6"/>
  <c r="P45" i="6"/>
  <c r="BB45" i="6"/>
  <c r="AZ45" i="6"/>
  <c r="AY45" i="6"/>
  <c r="AX45" i="6"/>
  <c r="AW45" i="6"/>
  <c r="AV45" i="6"/>
  <c r="AU45" i="6"/>
  <c r="AT45" i="6"/>
  <c r="D46" i="6"/>
  <c r="C46" i="6"/>
  <c r="B46" i="6"/>
  <c r="J46" i="6"/>
  <c r="H46" i="6"/>
  <c r="G46" i="6"/>
  <c r="F46" i="6"/>
  <c r="E46" i="6"/>
  <c r="BT46" i="6"/>
  <c r="BS46" i="6"/>
  <c r="BR46" i="6"/>
  <c r="BQ46" i="6"/>
  <c r="BP46" i="6"/>
  <c r="BX46" i="6"/>
  <c r="BV46" i="6"/>
  <c r="BU46" i="6"/>
  <c r="FX46" i="6"/>
  <c r="FW46" i="6"/>
  <c r="FV46" i="6"/>
  <c r="GD46" i="6"/>
  <c r="GB46" i="6"/>
  <c r="GA46" i="6"/>
  <c r="FZ46" i="6"/>
  <c r="FY46" i="6"/>
  <c r="BI47" i="6"/>
  <c r="BH47" i="6"/>
  <c r="BG47" i="6"/>
  <c r="BF47" i="6"/>
  <c r="BE47" i="6"/>
  <c r="BM47" i="6"/>
  <c r="BK47" i="6"/>
  <c r="BJ47" i="6"/>
  <c r="FM47" i="6"/>
  <c r="FL47" i="6"/>
  <c r="FK47" i="6"/>
  <c r="FS47" i="6"/>
  <c r="FQ47" i="6"/>
  <c r="FP47" i="6"/>
  <c r="FO47" i="6"/>
  <c r="FN47" i="6"/>
  <c r="AN48" i="6"/>
  <c r="AM48" i="6"/>
  <c r="AL48" i="6"/>
  <c r="AK48" i="6"/>
  <c r="AJ48" i="6"/>
  <c r="AI48" i="6"/>
  <c r="AQ48" i="6"/>
  <c r="AO48" i="6"/>
  <c r="AD48" i="6"/>
  <c r="AC48" i="6"/>
  <c r="AB48" i="6"/>
  <c r="AA48" i="6"/>
  <c r="Z48" i="6"/>
  <c r="Y48" i="6"/>
  <c r="X48" i="6"/>
  <c r="AF48" i="6"/>
  <c r="S49" i="6"/>
  <c r="R49" i="6"/>
  <c r="Q49" i="6"/>
  <c r="P49" i="6"/>
  <c r="O49" i="6"/>
  <c r="N49" i="6"/>
  <c r="M49" i="6"/>
  <c r="U49" i="6"/>
  <c r="AW49" i="6"/>
  <c r="AV49" i="6"/>
  <c r="AU49" i="6"/>
  <c r="AT49" i="6"/>
  <c r="BB49" i="6"/>
  <c r="AZ49" i="6"/>
  <c r="AY49" i="6"/>
  <c r="AX49" i="6"/>
  <c r="H50" i="6"/>
  <c r="G50" i="6"/>
  <c r="F50" i="6"/>
  <c r="E50" i="6"/>
  <c r="D50" i="6"/>
  <c r="C50" i="6"/>
  <c r="B50" i="6"/>
  <c r="J50" i="6"/>
  <c r="BP50" i="6"/>
  <c r="BX50" i="6"/>
  <c r="BV50" i="6"/>
  <c r="BU50" i="6"/>
  <c r="BT50" i="6"/>
  <c r="BS50" i="6"/>
  <c r="BR50" i="6"/>
  <c r="BQ50" i="6"/>
  <c r="GB50" i="6"/>
  <c r="GA50" i="6"/>
  <c r="FZ50" i="6"/>
  <c r="FY50" i="6"/>
  <c r="FX50" i="6"/>
  <c r="FW50" i="6"/>
  <c r="FV50" i="6"/>
  <c r="GD50" i="6"/>
  <c r="BE51" i="6"/>
  <c r="BM51" i="6"/>
  <c r="BK51" i="6"/>
  <c r="BJ51" i="6"/>
  <c r="BI51" i="6"/>
  <c r="BH51" i="6"/>
  <c r="BG51" i="6"/>
  <c r="BF51" i="6"/>
  <c r="FQ51" i="6"/>
  <c r="FP51" i="6"/>
  <c r="FO51" i="6"/>
  <c r="FN51" i="6"/>
  <c r="FM51" i="6"/>
  <c r="FL51" i="6"/>
  <c r="FK51" i="6"/>
  <c r="FS51" i="6"/>
  <c r="AJ52" i="6"/>
  <c r="AI52" i="6"/>
  <c r="AQ52" i="6"/>
  <c r="AO52" i="6"/>
  <c r="AN52" i="6"/>
  <c r="AM52" i="6"/>
  <c r="AL52" i="6"/>
  <c r="AK52" i="6"/>
  <c r="Z52" i="6"/>
  <c r="Y52" i="6"/>
  <c r="X52" i="6"/>
  <c r="AF52" i="6"/>
  <c r="AD52" i="6"/>
  <c r="AC52" i="6"/>
  <c r="AB52" i="6"/>
  <c r="AA52" i="6"/>
  <c r="O53" i="6"/>
  <c r="N53" i="6"/>
  <c r="M53" i="6"/>
  <c r="U53" i="6"/>
  <c r="S53" i="6"/>
  <c r="R53" i="6"/>
  <c r="Q53" i="6"/>
  <c r="P53" i="6"/>
  <c r="BB53" i="6"/>
  <c r="AZ53" i="6"/>
  <c r="AY53" i="6"/>
  <c r="AX53" i="6"/>
  <c r="AW53" i="6"/>
  <c r="AV53" i="6"/>
  <c r="AU53" i="6"/>
  <c r="AT53" i="6"/>
  <c r="D54" i="6"/>
  <c r="C54" i="6"/>
  <c r="B54" i="6"/>
  <c r="J54" i="6"/>
  <c r="H54" i="6"/>
  <c r="G54" i="6"/>
  <c r="F54" i="6"/>
  <c r="E54" i="6"/>
  <c r="BT54" i="6"/>
  <c r="BS54" i="6"/>
  <c r="BR54" i="6"/>
  <c r="BQ54" i="6"/>
  <c r="BP54" i="6"/>
  <c r="BX54" i="6"/>
  <c r="BV54" i="6"/>
  <c r="BU54" i="6"/>
  <c r="FX54" i="6"/>
  <c r="FW54" i="6"/>
  <c r="FV54" i="6"/>
  <c r="GD54" i="6"/>
  <c r="GB54" i="6"/>
  <c r="GA54" i="6"/>
  <c r="FZ54" i="6"/>
  <c r="FY54" i="6"/>
  <c r="BI55" i="6"/>
  <c r="BH55" i="6"/>
  <c r="BG55" i="6"/>
  <c r="BF55" i="6"/>
  <c r="BE55" i="6"/>
  <c r="BM55" i="6"/>
  <c r="BK55" i="6"/>
  <c r="BJ55" i="6"/>
  <c r="FM55" i="6"/>
  <c r="FL55" i="6"/>
  <c r="FK55" i="6"/>
  <c r="FS55" i="6"/>
  <c r="FQ55" i="6"/>
  <c r="FP55" i="6"/>
  <c r="FO55" i="6"/>
  <c r="FN55" i="6"/>
  <c r="AN56" i="6"/>
  <c r="AM56" i="6"/>
  <c r="AL56" i="6"/>
  <c r="AK56" i="6"/>
  <c r="AJ56" i="6"/>
  <c r="AI56" i="6"/>
  <c r="AQ56" i="6"/>
  <c r="AO56" i="6"/>
  <c r="AD56" i="6"/>
  <c r="AC56" i="6"/>
  <c r="AB56" i="6"/>
  <c r="AA56" i="6"/>
  <c r="Z56" i="6"/>
  <c r="Y56" i="6"/>
  <c r="X56" i="6"/>
  <c r="AF56" i="6"/>
  <c r="S57" i="6"/>
  <c r="R57" i="6"/>
  <c r="Q57" i="6"/>
  <c r="P57" i="6"/>
  <c r="O57" i="6"/>
  <c r="N57" i="6"/>
  <c r="M57" i="6"/>
  <c r="U57" i="6"/>
  <c r="AW57" i="6"/>
  <c r="AV57" i="6"/>
  <c r="AU57" i="6"/>
  <c r="AT57" i="6"/>
  <c r="BB57" i="6"/>
  <c r="AZ57" i="6"/>
  <c r="AY57" i="6"/>
  <c r="AX57" i="6"/>
  <c r="H58" i="6"/>
  <c r="G58" i="6"/>
  <c r="F58" i="6"/>
  <c r="E58" i="6"/>
  <c r="D58" i="6"/>
  <c r="C58" i="6"/>
  <c r="B58" i="6"/>
  <c r="J58" i="6"/>
  <c r="BP58" i="6"/>
  <c r="BX58" i="6"/>
  <c r="BV58" i="6"/>
  <c r="BU58" i="6"/>
  <c r="BT58" i="6"/>
  <c r="BS58" i="6"/>
  <c r="BR58" i="6"/>
  <c r="BQ58" i="6"/>
  <c r="GB58" i="6"/>
  <c r="GA58" i="6"/>
  <c r="FZ58" i="6"/>
  <c r="FY58" i="6"/>
  <c r="FX58" i="6"/>
  <c r="FW58" i="6"/>
  <c r="FV58" i="6"/>
  <c r="GD58" i="6"/>
  <c r="BE59" i="6"/>
  <c r="BM59" i="6"/>
  <c r="BK59" i="6"/>
  <c r="BJ59" i="6"/>
  <c r="BI59" i="6"/>
  <c r="BH59" i="6"/>
  <c r="BG59" i="6"/>
  <c r="BF59" i="6"/>
  <c r="FQ59" i="6"/>
  <c r="FP59" i="6"/>
  <c r="FO59" i="6"/>
  <c r="FN59" i="6"/>
  <c r="FM59" i="6"/>
  <c r="FL59" i="6"/>
  <c r="FK59" i="6"/>
  <c r="FS59" i="6"/>
  <c r="AJ60" i="6"/>
  <c r="AI60" i="6"/>
  <c r="AQ60" i="6"/>
  <c r="AO60" i="6"/>
  <c r="AN60" i="6"/>
  <c r="AM60" i="6"/>
  <c r="AL60" i="6"/>
  <c r="AK60" i="6"/>
  <c r="Z60" i="6"/>
  <c r="Y60" i="6"/>
  <c r="X60" i="6"/>
  <c r="AF60" i="6"/>
  <c r="AD60" i="6"/>
  <c r="AC60" i="6"/>
  <c r="AB60" i="6"/>
  <c r="AA60" i="6"/>
  <c r="O61" i="6"/>
  <c r="N61" i="6"/>
  <c r="M61" i="6"/>
  <c r="U61" i="6"/>
  <c r="S61" i="6"/>
  <c r="R61" i="6"/>
  <c r="Q61" i="6"/>
  <c r="P61" i="6"/>
  <c r="BB61" i="6"/>
  <c r="AZ61" i="6"/>
  <c r="AY61" i="6"/>
  <c r="AX61" i="6"/>
  <c r="AW61" i="6"/>
  <c r="AV61" i="6"/>
  <c r="AU61" i="6"/>
  <c r="AT61" i="6"/>
  <c r="D62" i="6"/>
  <c r="C62" i="6"/>
  <c r="B62" i="6"/>
  <c r="J62" i="6"/>
  <c r="H62" i="6"/>
  <c r="G62" i="6"/>
  <c r="F62" i="6"/>
  <c r="E62" i="6"/>
  <c r="BT62" i="6"/>
  <c r="BS62" i="6"/>
  <c r="BR62" i="6"/>
  <c r="BQ62" i="6"/>
  <c r="BP62" i="6"/>
  <c r="BX62" i="6"/>
  <c r="BV62" i="6"/>
  <c r="BU62" i="6"/>
  <c r="FX62" i="6"/>
  <c r="FW62" i="6"/>
  <c r="FV62" i="6"/>
  <c r="GD62" i="6"/>
  <c r="GB62" i="6"/>
  <c r="GA62" i="6"/>
  <c r="FZ62" i="6"/>
  <c r="FY62" i="6"/>
  <c r="BI63" i="6"/>
  <c r="BH63" i="6"/>
  <c r="BG63" i="6"/>
  <c r="BF63" i="6"/>
  <c r="BE63" i="6"/>
  <c r="BM63" i="6"/>
  <c r="BK63" i="6"/>
  <c r="BJ63" i="6"/>
  <c r="FM63" i="6"/>
  <c r="FL63" i="6"/>
  <c r="FK63" i="6"/>
  <c r="FS63" i="6"/>
  <c r="FQ63" i="6"/>
  <c r="FP63" i="6"/>
  <c r="FO63" i="6"/>
  <c r="FN63" i="6"/>
  <c r="AN64" i="6"/>
  <c r="AM64" i="6"/>
  <c r="AL64" i="6"/>
  <c r="AK64" i="6"/>
  <c r="AJ64" i="6"/>
  <c r="AI64" i="6"/>
  <c r="AQ64" i="6"/>
  <c r="AO64" i="6"/>
  <c r="AD64" i="6"/>
  <c r="AC64" i="6"/>
  <c r="AB64" i="6"/>
  <c r="AA64" i="6"/>
  <c r="Z64" i="6"/>
  <c r="Y64" i="6"/>
  <c r="X64" i="6"/>
  <c r="AF64" i="6"/>
  <c r="S65" i="6"/>
  <c r="R65" i="6"/>
  <c r="Q65" i="6"/>
  <c r="P65" i="6"/>
  <c r="O65" i="6"/>
  <c r="N65" i="6"/>
  <c r="M65" i="6"/>
  <c r="U65" i="6"/>
  <c r="AW65" i="6"/>
  <c r="AV65" i="6"/>
  <c r="AU65" i="6"/>
  <c r="AT65" i="6"/>
  <c r="BB65" i="6"/>
  <c r="AZ65" i="6"/>
  <c r="AY65" i="6"/>
  <c r="AX65" i="6"/>
  <c r="H66" i="6"/>
  <c r="G66" i="6"/>
  <c r="F66" i="6"/>
  <c r="E66" i="6"/>
  <c r="D66" i="6"/>
  <c r="C66" i="6"/>
  <c r="B66" i="6"/>
  <c r="J66" i="6"/>
  <c r="BP66" i="6"/>
  <c r="BX66" i="6"/>
  <c r="BV66" i="6"/>
  <c r="BU66" i="6"/>
  <c r="BT66" i="6"/>
  <c r="BS66" i="6"/>
  <c r="BR66" i="6"/>
  <c r="BQ66" i="6"/>
  <c r="GB66" i="6"/>
  <c r="GA66" i="6"/>
  <c r="FZ66" i="6"/>
  <c r="FY66" i="6"/>
  <c r="FX66" i="6"/>
  <c r="FW66" i="6"/>
  <c r="FV66" i="6"/>
  <c r="GD66" i="6"/>
  <c r="BE67" i="6"/>
  <c r="BM67" i="6"/>
  <c r="BK67" i="6"/>
  <c r="BJ67" i="6"/>
  <c r="BI67" i="6"/>
  <c r="BH67" i="6"/>
  <c r="BG67" i="6"/>
  <c r="BF67" i="6"/>
  <c r="FQ67" i="6"/>
  <c r="FP67" i="6"/>
  <c r="FO67" i="6"/>
  <c r="FN67" i="6"/>
  <c r="FM67" i="6"/>
  <c r="FL67" i="6"/>
  <c r="FK67" i="6"/>
  <c r="FS67" i="6"/>
  <c r="AJ68" i="6"/>
  <c r="AI68" i="6"/>
  <c r="AQ68" i="6"/>
  <c r="AO68" i="6"/>
  <c r="AN68" i="6"/>
  <c r="AM68" i="6"/>
  <c r="AL68" i="6"/>
  <c r="AK68" i="6"/>
  <c r="Z68" i="6"/>
  <c r="Y68" i="6"/>
  <c r="X68" i="6"/>
  <c r="AF68" i="6"/>
  <c r="AD68" i="6"/>
  <c r="AC68" i="6"/>
  <c r="AB68" i="6"/>
  <c r="AA68" i="6"/>
  <c r="O69" i="6"/>
  <c r="N69" i="6"/>
  <c r="M69" i="6"/>
  <c r="U69" i="6"/>
  <c r="S69" i="6"/>
  <c r="R69" i="6"/>
  <c r="Q69" i="6"/>
  <c r="P69" i="6"/>
  <c r="BB69" i="6"/>
  <c r="AZ69" i="6"/>
  <c r="AY69" i="6"/>
  <c r="AX69" i="6"/>
  <c r="AW69" i="6"/>
  <c r="AV69" i="6"/>
  <c r="AU69" i="6"/>
  <c r="AT69" i="6"/>
  <c r="D70" i="6"/>
  <c r="C70" i="6"/>
  <c r="B70" i="6"/>
  <c r="J70" i="6"/>
  <c r="H70" i="6"/>
  <c r="G70" i="6"/>
  <c r="F70" i="6"/>
  <c r="E70" i="6"/>
  <c r="BT70" i="6"/>
  <c r="BS70" i="6"/>
  <c r="BR70" i="6"/>
  <c r="BQ70" i="6"/>
  <c r="BP70" i="6"/>
  <c r="BX70" i="6"/>
  <c r="BV70" i="6"/>
  <c r="BU70" i="6"/>
  <c r="FX70" i="6"/>
  <c r="FW70" i="6"/>
  <c r="FV70" i="6"/>
  <c r="GD70" i="6"/>
  <c r="GB70" i="6"/>
  <c r="GA70" i="6"/>
  <c r="FZ70" i="6"/>
  <c r="FY70" i="6"/>
  <c r="BI71" i="6"/>
  <c r="BH71" i="6"/>
  <c r="BG71" i="6"/>
  <c r="BF71" i="6"/>
  <c r="BE71" i="6"/>
  <c r="BM71" i="6"/>
  <c r="BK71" i="6"/>
  <c r="BJ71" i="6"/>
  <c r="FM71" i="6"/>
  <c r="FL71" i="6"/>
  <c r="FK71" i="6"/>
  <c r="FS71" i="6"/>
  <c r="FQ71" i="6"/>
  <c r="FP71" i="6"/>
  <c r="FO71" i="6"/>
  <c r="FN71" i="6"/>
  <c r="AN72" i="6"/>
  <c r="AM72" i="6"/>
  <c r="AL72" i="6"/>
  <c r="AK72" i="6"/>
  <c r="AJ72" i="6"/>
  <c r="AI72" i="6"/>
  <c r="AQ72" i="6"/>
  <c r="AO72" i="6"/>
  <c r="AD72" i="6"/>
  <c r="AC72" i="6"/>
  <c r="AB72" i="6"/>
  <c r="AA72" i="6"/>
  <c r="Z72" i="6"/>
  <c r="Y72" i="6"/>
  <c r="X72" i="6"/>
  <c r="AF72" i="6"/>
  <c r="S73" i="6"/>
  <c r="R73" i="6"/>
  <c r="Q73" i="6"/>
  <c r="P73" i="6"/>
  <c r="O73" i="6"/>
  <c r="N73" i="6"/>
  <c r="M73" i="6"/>
  <c r="U73" i="6"/>
  <c r="AW73" i="6"/>
  <c r="AV73" i="6"/>
  <c r="AU73" i="6"/>
  <c r="AT73" i="6"/>
  <c r="BB73" i="6"/>
  <c r="AZ73" i="6"/>
  <c r="AY73" i="6"/>
  <c r="AX73" i="6"/>
  <c r="H74" i="6"/>
  <c r="G74" i="6"/>
  <c r="F74" i="6"/>
  <c r="E74" i="6"/>
  <c r="D74" i="6"/>
  <c r="C74" i="6"/>
  <c r="B74" i="6"/>
  <c r="J74" i="6"/>
  <c r="BP74" i="6"/>
  <c r="BX74" i="6"/>
  <c r="BV74" i="6"/>
  <c r="BU74" i="6"/>
  <c r="BT74" i="6"/>
  <c r="BS74" i="6"/>
  <c r="BR74" i="6"/>
  <c r="BQ74" i="6"/>
  <c r="GB74" i="6"/>
  <c r="GA74" i="6"/>
  <c r="FZ74" i="6"/>
  <c r="FY74" i="6"/>
  <c r="FX74" i="6"/>
  <c r="FW74" i="6"/>
  <c r="FV74" i="6"/>
  <c r="GD74" i="6"/>
  <c r="BE75" i="6"/>
  <c r="BM75" i="6"/>
  <c r="BK75" i="6"/>
  <c r="BJ75" i="6"/>
  <c r="BI75" i="6"/>
  <c r="BH75" i="6"/>
  <c r="BG75" i="6"/>
  <c r="BF75" i="6"/>
  <c r="FQ75" i="6"/>
  <c r="FP75" i="6"/>
  <c r="FO75" i="6"/>
  <c r="FN75" i="6"/>
  <c r="FM75" i="6"/>
  <c r="FL75" i="6"/>
  <c r="FK75" i="6"/>
  <c r="FS75" i="6"/>
  <c r="AJ76" i="6"/>
  <c r="AI76" i="6"/>
  <c r="AQ76" i="6"/>
  <c r="AO76" i="6"/>
  <c r="AN76" i="6"/>
  <c r="AM76" i="6"/>
  <c r="AL76" i="6"/>
  <c r="AK76" i="6"/>
  <c r="Z76" i="6"/>
  <c r="Y76" i="6"/>
  <c r="X76" i="6"/>
  <c r="AF76" i="6"/>
  <c r="AD76" i="6"/>
  <c r="AC76" i="6"/>
  <c r="AB76" i="6"/>
  <c r="AA76" i="6"/>
  <c r="O77" i="6"/>
  <c r="N77" i="6"/>
  <c r="M77" i="6"/>
  <c r="U77" i="6"/>
  <c r="S77" i="6"/>
  <c r="R77" i="6"/>
  <c r="Q77" i="6"/>
  <c r="P77" i="6"/>
  <c r="BB77" i="6"/>
  <c r="AZ77" i="6"/>
  <c r="AY77" i="6"/>
  <c r="AX77" i="6"/>
  <c r="AW77" i="6"/>
  <c r="AV77" i="6"/>
  <c r="AU77" i="6"/>
  <c r="AT77" i="6"/>
  <c r="D78" i="6"/>
  <c r="C78" i="6"/>
  <c r="B78" i="6"/>
  <c r="J78" i="6"/>
  <c r="H78" i="6"/>
  <c r="G78" i="6"/>
  <c r="F78" i="6"/>
  <c r="E78" i="6"/>
  <c r="BT78" i="6"/>
  <c r="BS78" i="6"/>
  <c r="BR78" i="6"/>
  <c r="BQ78" i="6"/>
  <c r="BP78" i="6"/>
  <c r="BX78" i="6"/>
  <c r="BV78" i="6"/>
  <c r="BU78" i="6"/>
  <c r="FX78" i="6"/>
  <c r="FW78" i="6"/>
  <c r="FV78" i="6"/>
  <c r="GD78" i="6"/>
  <c r="GB78" i="6"/>
  <c r="GA78" i="6"/>
  <c r="FZ78" i="6"/>
  <c r="FY78" i="6"/>
  <c r="BI79" i="6"/>
  <c r="BH79" i="6"/>
  <c r="BG79" i="6"/>
  <c r="BF79" i="6"/>
  <c r="BE79" i="6"/>
  <c r="BM79" i="6"/>
  <c r="BK79" i="6"/>
  <c r="BJ79" i="6"/>
  <c r="FM79" i="6"/>
  <c r="FL79" i="6"/>
  <c r="FK79" i="6"/>
  <c r="FS79" i="6"/>
  <c r="FQ79" i="6"/>
  <c r="FP79" i="6"/>
  <c r="FO79" i="6"/>
  <c r="FN79" i="6"/>
  <c r="AN80" i="6"/>
  <c r="AM80" i="6"/>
  <c r="AL80" i="6"/>
  <c r="AK80" i="6"/>
  <c r="AJ80" i="6"/>
  <c r="AI80" i="6"/>
  <c r="AQ80" i="6"/>
  <c r="AO80" i="6"/>
  <c r="AD80" i="6"/>
  <c r="AC80" i="6"/>
  <c r="AB80" i="6"/>
  <c r="AA80" i="6"/>
  <c r="Z80" i="6"/>
  <c r="Y80" i="6"/>
  <c r="X80" i="6"/>
  <c r="AF80" i="6"/>
  <c r="S81" i="6"/>
  <c r="R81" i="6"/>
  <c r="Q81" i="6"/>
  <c r="P81" i="6"/>
  <c r="O81" i="6"/>
  <c r="N81" i="6"/>
  <c r="M81" i="6"/>
  <c r="U81" i="6"/>
  <c r="AW81" i="6"/>
  <c r="AV81" i="6"/>
  <c r="AU81" i="6"/>
  <c r="AT81" i="6"/>
  <c r="BB81" i="6"/>
  <c r="AZ81" i="6"/>
  <c r="AY81" i="6"/>
  <c r="AX81" i="6"/>
  <c r="H82" i="6"/>
  <c r="G82" i="6"/>
  <c r="F82" i="6"/>
  <c r="E82" i="6"/>
  <c r="D82" i="6"/>
  <c r="C82" i="6"/>
  <c r="B82" i="6"/>
  <c r="J82" i="6"/>
  <c r="BP82" i="6"/>
  <c r="BX82" i="6"/>
  <c r="BV82" i="6"/>
  <c r="BU82" i="6"/>
  <c r="BT82" i="6"/>
  <c r="BS82" i="6"/>
  <c r="BR82" i="6"/>
  <c r="BQ82" i="6"/>
  <c r="GB82" i="6"/>
  <c r="GA82" i="6"/>
  <c r="FZ82" i="6"/>
  <c r="FY82" i="6"/>
  <c r="FX82" i="6"/>
  <c r="FW82" i="6"/>
  <c r="FV82" i="6"/>
  <c r="GD82" i="6"/>
  <c r="BE83" i="6"/>
  <c r="BM83" i="6"/>
  <c r="BK83" i="6"/>
  <c r="BJ83" i="6"/>
  <c r="BI83" i="6"/>
  <c r="BH83" i="6"/>
  <c r="BG83" i="6"/>
  <c r="BF83" i="6"/>
  <c r="FQ83" i="6"/>
  <c r="FP83" i="6"/>
  <c r="FO83" i="6"/>
  <c r="FN83" i="6"/>
  <c r="FM83" i="6"/>
  <c r="FL83" i="6"/>
  <c r="FK83" i="6"/>
  <c r="FS83" i="6"/>
  <c r="AJ84" i="6"/>
  <c r="AI84" i="6"/>
  <c r="AQ84" i="6"/>
  <c r="AO84" i="6"/>
  <c r="AN84" i="6"/>
  <c r="AM84" i="6"/>
  <c r="AL84" i="6"/>
  <c r="AK84" i="6"/>
  <c r="Z84" i="6"/>
  <c r="Y84" i="6"/>
  <c r="X84" i="6"/>
  <c r="AF84" i="6"/>
  <c r="AD84" i="6"/>
  <c r="AC84" i="6"/>
  <c r="AB84" i="6"/>
  <c r="AA84" i="6"/>
  <c r="O85" i="6"/>
  <c r="N85" i="6"/>
  <c r="M85" i="6"/>
  <c r="U85" i="6"/>
  <c r="S85" i="6"/>
  <c r="R85" i="6"/>
  <c r="Q85" i="6"/>
  <c r="P85" i="6"/>
  <c r="BB85" i="6"/>
  <c r="AZ85" i="6"/>
  <c r="AY85" i="6"/>
  <c r="AX85" i="6"/>
  <c r="AW85" i="6"/>
  <c r="AV85" i="6"/>
  <c r="AU85" i="6"/>
  <c r="AT85" i="6"/>
  <c r="D86" i="6"/>
  <c r="C86" i="6"/>
  <c r="B86" i="6"/>
  <c r="J86" i="6"/>
  <c r="H86" i="6"/>
  <c r="G86" i="6"/>
  <c r="F86" i="6"/>
  <c r="E86" i="6"/>
  <c r="BT86" i="6"/>
  <c r="BS86" i="6"/>
  <c r="BR86" i="6"/>
  <c r="BQ86" i="6"/>
  <c r="BP86" i="6"/>
  <c r="BX86" i="6"/>
  <c r="BV86" i="6"/>
  <c r="BU86" i="6"/>
  <c r="FX86" i="6"/>
  <c r="FW86" i="6"/>
  <c r="FV86" i="6"/>
  <c r="GD86" i="6"/>
  <c r="GB86" i="6"/>
  <c r="GA86" i="6"/>
  <c r="FZ86" i="6"/>
  <c r="FY86" i="6"/>
  <c r="BI87" i="6"/>
  <c r="BH87" i="6"/>
  <c r="BG87" i="6"/>
  <c r="BF87" i="6"/>
  <c r="BE87" i="6"/>
  <c r="BM87" i="6"/>
  <c r="BK87" i="6"/>
  <c r="BJ87" i="6"/>
  <c r="FM87" i="6"/>
  <c r="FL87" i="6"/>
  <c r="FK87" i="6"/>
  <c r="FS87" i="6"/>
  <c r="FQ87" i="6"/>
  <c r="FP87" i="6"/>
  <c r="FO87" i="6"/>
  <c r="FN87" i="6"/>
  <c r="AN88" i="6"/>
  <c r="AM88" i="6"/>
  <c r="AL88" i="6"/>
  <c r="AK88" i="6"/>
  <c r="AJ88" i="6"/>
  <c r="AI88" i="6"/>
  <c r="AQ88" i="6"/>
  <c r="AO88" i="6"/>
  <c r="AD88" i="6"/>
  <c r="AC88" i="6"/>
  <c r="AB88" i="6"/>
  <c r="AA88" i="6"/>
  <c r="Z88" i="6"/>
  <c r="Y88" i="6"/>
  <c r="X88" i="6"/>
  <c r="AF88" i="6"/>
  <c r="S89" i="6"/>
  <c r="R89" i="6"/>
  <c r="Q89" i="6"/>
  <c r="P89" i="6"/>
  <c r="O89" i="6"/>
  <c r="N89" i="6"/>
  <c r="M89" i="6"/>
  <c r="U89" i="6"/>
  <c r="AW89" i="6"/>
  <c r="AV89" i="6"/>
  <c r="AU89" i="6"/>
  <c r="AT89" i="6"/>
  <c r="BB89" i="6"/>
  <c r="AZ89" i="6"/>
  <c r="AY89" i="6"/>
  <c r="AX89" i="6"/>
  <c r="H90" i="6"/>
  <c r="G90" i="6"/>
  <c r="F90" i="6"/>
  <c r="E90" i="6"/>
  <c r="D90" i="6"/>
  <c r="C90" i="6"/>
  <c r="B90" i="6"/>
  <c r="J90" i="6"/>
  <c r="BP90" i="6"/>
  <c r="BX90" i="6"/>
  <c r="BV90" i="6"/>
  <c r="BU90" i="6"/>
  <c r="BT90" i="6"/>
  <c r="BS90" i="6"/>
  <c r="BR90" i="6"/>
  <c r="BQ90" i="6"/>
  <c r="GB90" i="6"/>
  <c r="GA90" i="6"/>
  <c r="FZ90" i="6"/>
  <c r="FY90" i="6"/>
  <c r="FX90" i="6"/>
  <c r="FW90" i="6"/>
  <c r="FV90" i="6"/>
  <c r="GD90" i="6"/>
  <c r="BE91" i="6"/>
  <c r="BM91" i="6"/>
  <c r="BK91" i="6"/>
  <c r="BJ91" i="6"/>
  <c r="BI91" i="6"/>
  <c r="BH91" i="6"/>
  <c r="BG91" i="6"/>
  <c r="BF91" i="6"/>
  <c r="FQ91" i="6"/>
  <c r="FP91" i="6"/>
  <c r="FO91" i="6"/>
  <c r="FN91" i="6"/>
  <c r="FM91" i="6"/>
  <c r="FL91" i="6"/>
  <c r="FK91" i="6"/>
  <c r="FS91" i="6"/>
  <c r="AJ92" i="6"/>
  <c r="AI92" i="6"/>
  <c r="AQ92" i="6"/>
  <c r="AO92" i="6"/>
  <c r="AN92" i="6"/>
  <c r="AM92" i="6"/>
  <c r="AL92" i="6"/>
  <c r="AK92" i="6"/>
  <c r="Z92" i="6"/>
  <c r="Y92" i="6"/>
  <c r="X92" i="6"/>
  <c r="AF92" i="6"/>
  <c r="AD92" i="6"/>
  <c r="AC92" i="6"/>
  <c r="AB92" i="6"/>
  <c r="AA92" i="6"/>
  <c r="O93" i="6"/>
  <c r="N93" i="6"/>
  <c r="M93" i="6"/>
  <c r="U93" i="6"/>
  <c r="S93" i="6"/>
  <c r="R93" i="6"/>
  <c r="Q93" i="6"/>
  <c r="P93" i="6"/>
  <c r="BB93" i="6"/>
  <c r="AZ93" i="6"/>
  <c r="AY93" i="6"/>
  <c r="AX93" i="6"/>
  <c r="AW93" i="6"/>
  <c r="AV93" i="6"/>
  <c r="AU93" i="6"/>
  <c r="AT93" i="6"/>
  <c r="D94" i="6"/>
  <c r="C94" i="6"/>
  <c r="B94" i="6"/>
  <c r="J94" i="6"/>
  <c r="H94" i="6"/>
  <c r="G94" i="6"/>
  <c r="F94" i="6"/>
  <c r="E94" i="6"/>
  <c r="BT94" i="6"/>
  <c r="BS94" i="6"/>
  <c r="BR94" i="6"/>
  <c r="BQ94" i="6"/>
  <c r="BP94" i="6"/>
  <c r="BX94" i="6"/>
  <c r="BV94" i="6"/>
  <c r="BU94" i="6"/>
  <c r="FX94" i="6"/>
  <c r="FW94" i="6"/>
  <c r="FV94" i="6"/>
  <c r="GD94" i="6"/>
  <c r="GB94" i="6"/>
  <c r="GA94" i="6"/>
  <c r="FZ94" i="6"/>
  <c r="FY94" i="6"/>
  <c r="BI95" i="6"/>
  <c r="BH95" i="6"/>
  <c r="BG95" i="6"/>
  <c r="BF95" i="6"/>
  <c r="BE95" i="6"/>
  <c r="BM95" i="6"/>
  <c r="BK95" i="6"/>
  <c r="BJ95" i="6"/>
  <c r="FM95" i="6"/>
  <c r="FL95" i="6"/>
  <c r="FK95" i="6"/>
  <c r="FS95" i="6"/>
  <c r="FQ95" i="6"/>
  <c r="FP95" i="6"/>
  <c r="FO95" i="6"/>
  <c r="FN95" i="6"/>
  <c r="AN96" i="6"/>
  <c r="AM96" i="6"/>
  <c r="AL96" i="6"/>
  <c r="AK96" i="6"/>
  <c r="AJ96" i="6"/>
  <c r="AI96" i="6"/>
  <c r="AQ96" i="6"/>
  <c r="AO96" i="6"/>
  <c r="AD96" i="6"/>
  <c r="AC96" i="6"/>
  <c r="AB96" i="6"/>
  <c r="AA96" i="6"/>
  <c r="Z96" i="6"/>
  <c r="Y96" i="6"/>
  <c r="X96" i="6"/>
  <c r="AF96" i="6"/>
  <c r="S97" i="6"/>
  <c r="R97" i="6"/>
  <c r="Q97" i="6"/>
  <c r="P97" i="6"/>
  <c r="O97" i="6"/>
  <c r="N97" i="6"/>
  <c r="M97" i="6"/>
  <c r="U97" i="6"/>
  <c r="AW97" i="6"/>
  <c r="AV97" i="6"/>
  <c r="AU97" i="6"/>
  <c r="AT97" i="6"/>
  <c r="BB97" i="6"/>
  <c r="AZ97" i="6"/>
  <c r="AY97" i="6"/>
  <c r="AX97" i="6"/>
  <c r="H98" i="6"/>
  <c r="G98" i="6"/>
  <c r="F98" i="6"/>
  <c r="E98" i="6"/>
  <c r="D98" i="6"/>
  <c r="C98" i="6"/>
  <c r="B98" i="6"/>
  <c r="J98" i="6"/>
  <c r="BP98" i="6"/>
  <c r="BX98" i="6"/>
  <c r="BV98" i="6"/>
  <c r="BU98" i="6"/>
  <c r="BT98" i="6"/>
  <c r="BS98" i="6"/>
  <c r="BR98" i="6"/>
  <c r="BQ98" i="6"/>
  <c r="GB98" i="6"/>
  <c r="GA98" i="6"/>
  <c r="FZ98" i="6"/>
  <c r="FY98" i="6"/>
  <c r="FX98" i="6"/>
  <c r="FW98" i="6"/>
  <c r="FV98" i="6"/>
  <c r="GD98" i="6"/>
  <c r="BE99" i="6"/>
  <c r="BM99" i="6"/>
  <c r="BK99" i="6"/>
  <c r="BJ99" i="6"/>
  <c r="BI99" i="6"/>
  <c r="BH99" i="6"/>
  <c r="BG99" i="6"/>
  <c r="BF99" i="6"/>
  <c r="FQ99" i="6"/>
  <c r="FP99" i="6"/>
  <c r="FO99" i="6"/>
  <c r="FN99" i="6"/>
  <c r="FM99" i="6"/>
  <c r="FL99" i="6"/>
  <c r="FK99" i="6"/>
  <c r="FS99" i="6"/>
  <c r="AJ100" i="6"/>
  <c r="AI100" i="6"/>
  <c r="AQ100" i="6"/>
  <c r="AO100" i="6"/>
  <c r="AN100" i="6"/>
  <c r="AM100" i="6"/>
  <c r="AL100" i="6"/>
  <c r="AK100" i="6"/>
  <c r="Z100" i="6"/>
  <c r="Y100" i="6"/>
  <c r="X100" i="6"/>
  <c r="AF100" i="6"/>
  <c r="AD100" i="6"/>
  <c r="AC100" i="6"/>
  <c r="AB100" i="6"/>
  <c r="AA100" i="6"/>
  <c r="O101" i="6"/>
  <c r="N101" i="6"/>
  <c r="M101" i="6"/>
  <c r="U101" i="6"/>
  <c r="S101" i="6"/>
  <c r="R101" i="6"/>
  <c r="Q101" i="6"/>
  <c r="P101" i="6"/>
  <c r="BB101" i="6"/>
  <c r="AZ101" i="6"/>
  <c r="AY101" i="6"/>
  <c r="AX101" i="6"/>
  <c r="AW101" i="6"/>
  <c r="AV101" i="6"/>
  <c r="AU101" i="6"/>
  <c r="AT101" i="6"/>
  <c r="D102" i="6"/>
  <c r="C102" i="6"/>
  <c r="B102" i="6"/>
  <c r="J102" i="6"/>
  <c r="H102" i="6"/>
  <c r="G102" i="6"/>
  <c r="F102" i="6"/>
  <c r="E102" i="6"/>
  <c r="BT102" i="6"/>
  <c r="BS102" i="6"/>
  <c r="BR102" i="6"/>
  <c r="BQ102" i="6"/>
  <c r="BP102" i="6"/>
  <c r="BX102" i="6"/>
  <c r="BV102" i="6"/>
  <c r="BU102" i="6"/>
  <c r="FX102" i="6"/>
  <c r="FW102" i="6"/>
  <c r="FV102" i="6"/>
  <c r="GD102" i="6"/>
  <c r="GB102" i="6"/>
  <c r="GA102" i="6"/>
  <c r="FZ102" i="6"/>
  <c r="FY102" i="6"/>
  <c r="BI103" i="6"/>
  <c r="BH103" i="6"/>
  <c r="BG103" i="6"/>
  <c r="BF103" i="6"/>
  <c r="BE103" i="6"/>
  <c r="BM103" i="6"/>
  <c r="BK103" i="6"/>
  <c r="BJ103" i="6"/>
  <c r="FM103" i="6"/>
  <c r="FL103" i="6"/>
  <c r="FK103" i="6"/>
  <c r="FS103" i="6"/>
  <c r="FQ103" i="6"/>
  <c r="FP103" i="6"/>
  <c r="FO103" i="6"/>
  <c r="FN103" i="6"/>
  <c r="AN104" i="6"/>
  <c r="AM104" i="6"/>
  <c r="AL104" i="6"/>
  <c r="AK104" i="6"/>
  <c r="AJ104" i="6"/>
  <c r="AI104" i="6"/>
  <c r="AQ104" i="6"/>
  <c r="AO104" i="6"/>
  <c r="AD104" i="6"/>
  <c r="AC104" i="6"/>
  <c r="AB104" i="6"/>
  <c r="AA104" i="6"/>
  <c r="Z104" i="6"/>
  <c r="Y104" i="6"/>
  <c r="X104" i="6"/>
  <c r="AF104" i="6"/>
  <c r="S105" i="6"/>
  <c r="R105" i="6"/>
  <c r="Q105" i="6"/>
  <c r="P105" i="6"/>
  <c r="O105" i="6"/>
  <c r="N105" i="6"/>
  <c r="M105" i="6"/>
  <c r="U105" i="6"/>
  <c r="AW105" i="6"/>
  <c r="AV105" i="6"/>
  <c r="AU105" i="6"/>
  <c r="AT105" i="6"/>
  <c r="BB105" i="6"/>
  <c r="AZ105" i="6"/>
  <c r="AY105" i="6"/>
  <c r="AX105" i="6"/>
  <c r="H106" i="6"/>
  <c r="G106" i="6"/>
  <c r="F106" i="6"/>
  <c r="E106" i="6"/>
  <c r="D106" i="6"/>
  <c r="C106" i="6"/>
  <c r="B106" i="6"/>
  <c r="J106" i="6"/>
  <c r="BP106" i="6"/>
  <c r="BX106" i="6"/>
  <c r="BV106" i="6"/>
  <c r="BU106" i="6"/>
  <c r="BT106" i="6"/>
  <c r="BS106" i="6"/>
  <c r="BR106" i="6"/>
  <c r="BQ106" i="6"/>
  <c r="GB106" i="6"/>
  <c r="GA106" i="6"/>
  <c r="FZ106" i="6"/>
  <c r="FY106" i="6"/>
  <c r="FX106" i="6"/>
  <c r="FW106" i="6"/>
  <c r="FV106" i="6"/>
  <c r="GD106" i="6"/>
  <c r="BE107" i="6"/>
  <c r="BM107" i="6"/>
  <c r="BK107" i="6"/>
  <c r="BJ107" i="6"/>
  <c r="BI107" i="6"/>
  <c r="BH107" i="6"/>
  <c r="BG107" i="6"/>
  <c r="BF107" i="6"/>
  <c r="FQ107" i="6"/>
  <c r="FP107" i="6"/>
  <c r="FO107" i="6"/>
  <c r="FN107" i="6"/>
  <c r="FM107" i="6"/>
  <c r="FL107" i="6"/>
  <c r="FK107" i="6"/>
  <c r="FS107" i="6"/>
  <c r="AJ108" i="6"/>
  <c r="AI108" i="6"/>
  <c r="AQ108" i="6"/>
  <c r="AO108" i="6"/>
  <c r="AN108" i="6"/>
  <c r="AM108" i="6"/>
  <c r="AL108" i="6"/>
  <c r="AK108" i="6"/>
  <c r="Z108" i="6"/>
  <c r="Y108" i="6"/>
  <c r="X108" i="6"/>
  <c r="AF108" i="6"/>
  <c r="AD108" i="6"/>
  <c r="AC108" i="6"/>
  <c r="AB108" i="6"/>
  <c r="AA108" i="6"/>
  <c r="O109" i="6"/>
  <c r="N109" i="6"/>
  <c r="M109" i="6"/>
  <c r="U109" i="6"/>
  <c r="S109" i="6"/>
  <c r="R109" i="6"/>
  <c r="Q109" i="6"/>
  <c r="P109" i="6"/>
  <c r="BB109" i="6"/>
  <c r="AZ109" i="6"/>
  <c r="AY109" i="6"/>
  <c r="AX109" i="6"/>
  <c r="AW109" i="6"/>
  <c r="AV109" i="6"/>
  <c r="AU109" i="6"/>
  <c r="AT109" i="6"/>
  <c r="D110" i="6"/>
  <c r="C110" i="6"/>
  <c r="B110" i="6"/>
  <c r="J110" i="6"/>
  <c r="H110" i="6"/>
  <c r="G110" i="6"/>
  <c r="F110" i="6"/>
  <c r="E110" i="6"/>
  <c r="BT110" i="6"/>
  <c r="BS110" i="6"/>
  <c r="BR110" i="6"/>
  <c r="BQ110" i="6"/>
  <c r="BP110" i="6"/>
  <c r="BX110" i="6"/>
  <c r="BV110" i="6"/>
  <c r="BU110" i="6"/>
  <c r="FX110" i="6"/>
  <c r="FW110" i="6"/>
  <c r="FV110" i="6"/>
  <c r="GD110" i="6"/>
  <c r="GB110" i="6"/>
  <c r="GA110" i="6"/>
  <c r="FZ110" i="6"/>
  <c r="FY110" i="6"/>
  <c r="BI111" i="6"/>
  <c r="BH111" i="6"/>
  <c r="BG111" i="6"/>
  <c r="BF111" i="6"/>
  <c r="BE111" i="6"/>
  <c r="BM111" i="6"/>
  <c r="BK111" i="6"/>
  <c r="BJ111" i="6"/>
  <c r="FM111" i="6"/>
  <c r="FL111" i="6"/>
  <c r="FK111" i="6"/>
  <c r="FS111" i="6"/>
  <c r="FQ111" i="6"/>
  <c r="FP111" i="6"/>
  <c r="FO111" i="6"/>
  <c r="FN111" i="6"/>
  <c r="AN112" i="6"/>
  <c r="AM112" i="6"/>
  <c r="AL112" i="6"/>
  <c r="AK112" i="6"/>
  <c r="AJ112" i="6"/>
  <c r="AI112" i="6"/>
  <c r="AQ112" i="6"/>
  <c r="AO112" i="6"/>
  <c r="AD112" i="6"/>
  <c r="AC112" i="6"/>
  <c r="AB112" i="6"/>
  <c r="AA112" i="6"/>
  <c r="Z112" i="6"/>
  <c r="Y112" i="6"/>
  <c r="X112" i="6"/>
  <c r="AF112" i="6"/>
  <c r="S113" i="6"/>
  <c r="R113" i="6"/>
  <c r="Q113" i="6"/>
  <c r="P113" i="6"/>
  <c r="O113" i="6"/>
  <c r="N113" i="6"/>
  <c r="M113" i="6"/>
  <c r="U113" i="6"/>
  <c r="AW113" i="6"/>
  <c r="AV113" i="6"/>
  <c r="AU113" i="6"/>
  <c r="AT113" i="6"/>
  <c r="BB113" i="6"/>
  <c r="AZ113" i="6"/>
  <c r="AY113" i="6"/>
  <c r="AX113" i="6"/>
  <c r="H114" i="6"/>
  <c r="G114" i="6"/>
  <c r="F114" i="6"/>
  <c r="E114" i="6"/>
  <c r="D114" i="6"/>
  <c r="C114" i="6"/>
  <c r="B114" i="6"/>
  <c r="J114" i="6"/>
  <c r="BP114" i="6"/>
  <c r="BX114" i="6"/>
  <c r="BV114" i="6"/>
  <c r="BU114" i="6"/>
  <c r="BT114" i="6"/>
  <c r="BS114" i="6"/>
  <c r="BR114" i="6"/>
  <c r="BQ114" i="6"/>
  <c r="GB114" i="6"/>
  <c r="GA114" i="6"/>
  <c r="FZ114" i="6"/>
  <c r="FY114" i="6"/>
  <c r="FX114" i="6"/>
  <c r="FW114" i="6"/>
  <c r="FV114" i="6"/>
  <c r="GD114" i="6"/>
  <c r="BE115" i="6"/>
  <c r="BM115" i="6"/>
  <c r="BK115" i="6"/>
  <c r="BJ115" i="6"/>
  <c r="BI115" i="6"/>
  <c r="BH115" i="6"/>
  <c r="BG115" i="6"/>
  <c r="BF115" i="6"/>
  <c r="FQ115" i="6"/>
  <c r="FP115" i="6"/>
  <c r="FO115" i="6"/>
  <c r="FN115" i="6"/>
  <c r="FM115" i="6"/>
  <c r="FL115" i="6"/>
  <c r="FK115" i="6"/>
  <c r="FS115" i="6"/>
  <c r="AJ116" i="6"/>
  <c r="AI116" i="6"/>
  <c r="AQ116" i="6"/>
  <c r="AO116" i="6"/>
  <c r="AN116" i="6"/>
  <c r="AM116" i="6"/>
  <c r="AL116" i="6"/>
  <c r="AK116" i="6"/>
  <c r="Z116" i="6"/>
  <c r="Y116" i="6"/>
  <c r="X116" i="6"/>
  <c r="AF116" i="6"/>
  <c r="AD116" i="6"/>
  <c r="AC116" i="6"/>
  <c r="AB116" i="6"/>
  <c r="AA116" i="6"/>
  <c r="O117" i="6"/>
  <c r="N117" i="6"/>
  <c r="M117" i="6"/>
  <c r="U117" i="6"/>
  <c r="S117" i="6"/>
  <c r="R117" i="6"/>
  <c r="Q117" i="6"/>
  <c r="P117" i="6"/>
  <c r="BB117" i="6"/>
  <c r="AZ117" i="6"/>
  <c r="AY117" i="6"/>
  <c r="AX117" i="6"/>
  <c r="AW117" i="6"/>
  <c r="AV117" i="6"/>
  <c r="AU117" i="6"/>
  <c r="AT117" i="6"/>
  <c r="D118" i="6"/>
  <c r="C118" i="6"/>
  <c r="B118" i="6"/>
  <c r="J118" i="6"/>
  <c r="H118" i="6"/>
  <c r="G118" i="6"/>
  <c r="F118" i="6"/>
  <c r="E118" i="6"/>
  <c r="BT118" i="6"/>
  <c r="BS118" i="6"/>
  <c r="BR118" i="6"/>
  <c r="BQ118" i="6"/>
  <c r="BP118" i="6"/>
  <c r="BX118" i="6"/>
  <c r="BV118" i="6"/>
  <c r="BU118" i="6"/>
  <c r="FX118" i="6"/>
  <c r="FW118" i="6"/>
  <c r="FV118" i="6"/>
  <c r="GD118" i="6"/>
  <c r="GB118" i="6"/>
  <c r="GA118" i="6"/>
  <c r="FZ118" i="6"/>
  <c r="FY118" i="6"/>
  <c r="BI119" i="6"/>
  <c r="BH119" i="6"/>
  <c r="BG119" i="6"/>
  <c r="BF119" i="6"/>
  <c r="BE119" i="6"/>
  <c r="BM119" i="6"/>
  <c r="BK119" i="6"/>
  <c r="BJ119" i="6"/>
  <c r="FM119" i="6"/>
  <c r="FL119" i="6"/>
  <c r="FK119" i="6"/>
  <c r="FS119" i="6"/>
  <c r="FQ119" i="6"/>
  <c r="FP119" i="6"/>
  <c r="FO119" i="6"/>
  <c r="FN119" i="6"/>
  <c r="AN120" i="6"/>
  <c r="AM120" i="6"/>
  <c r="AL120" i="6"/>
  <c r="AK120" i="6"/>
  <c r="AJ120" i="6"/>
  <c r="AI120" i="6"/>
  <c r="AQ120" i="6"/>
  <c r="AO120" i="6"/>
  <c r="AD120" i="6"/>
  <c r="AC120" i="6"/>
  <c r="AB120" i="6"/>
  <c r="AA120" i="6"/>
  <c r="Z120" i="6"/>
  <c r="Y120" i="6"/>
  <c r="X120" i="6"/>
  <c r="AF120" i="6"/>
  <c r="DA3" i="6"/>
  <c r="CZ3" i="6"/>
  <c r="CY3" i="6"/>
  <c r="CX3" i="6"/>
  <c r="CW3" i="6"/>
  <c r="DE3" i="6"/>
  <c r="DC3" i="6"/>
  <c r="DB3" i="6"/>
  <c r="EO3" i="6"/>
  <c r="EW3" i="6"/>
  <c r="EU3" i="6"/>
  <c r="ET3" i="6"/>
  <c r="ES3" i="6"/>
  <c r="ER3" i="6"/>
  <c r="EQ3" i="6"/>
  <c r="EP3" i="6"/>
  <c r="CZ4" i="6"/>
  <c r="CY4" i="6"/>
  <c r="CX4" i="6"/>
  <c r="CW4" i="6"/>
  <c r="DE4" i="6"/>
  <c r="DC4" i="6"/>
  <c r="DB4" i="6"/>
  <c r="DA4" i="6"/>
  <c r="EW4" i="6"/>
  <c r="EU4" i="6"/>
  <c r="ET4" i="6"/>
  <c r="ES4" i="6"/>
  <c r="ER4" i="6"/>
  <c r="EQ4" i="6"/>
  <c r="EP4" i="6"/>
  <c r="EO4" i="6"/>
  <c r="CY5" i="6"/>
  <c r="CX5" i="6"/>
  <c r="CW5" i="6"/>
  <c r="DE5" i="6"/>
  <c r="DC5" i="6"/>
  <c r="DB5" i="6"/>
  <c r="DA5" i="6"/>
  <c r="CZ5" i="6"/>
  <c r="EU5" i="6"/>
  <c r="ET5" i="6"/>
  <c r="ES5" i="6"/>
  <c r="ER5" i="6"/>
  <c r="EQ5" i="6"/>
  <c r="EP5" i="6"/>
  <c r="EO5" i="6"/>
  <c r="EW5" i="6"/>
  <c r="CX6" i="6"/>
  <c r="CW6" i="6"/>
  <c r="DE6" i="6"/>
  <c r="DC6" i="6"/>
  <c r="DB6" i="6"/>
  <c r="DA6" i="6"/>
  <c r="CZ6" i="6"/>
  <c r="CY6" i="6"/>
  <c r="ET6" i="6"/>
  <c r="ES6" i="6"/>
  <c r="ER6" i="6"/>
  <c r="EQ6" i="6"/>
  <c r="EP6" i="6"/>
  <c r="EO6" i="6"/>
  <c r="EW6" i="6"/>
  <c r="EU6" i="6"/>
  <c r="CW7" i="6"/>
  <c r="DE7" i="6"/>
  <c r="DC7" i="6"/>
  <c r="DB7" i="6"/>
  <c r="DA7" i="6"/>
  <c r="CZ7" i="6"/>
  <c r="CY7" i="6"/>
  <c r="CX7" i="6"/>
  <c r="ES7" i="6"/>
  <c r="ER7" i="6"/>
  <c r="EQ7" i="6"/>
  <c r="EP7" i="6"/>
  <c r="EO7" i="6"/>
  <c r="EW7" i="6"/>
  <c r="EU7" i="6"/>
  <c r="ET7" i="6"/>
  <c r="DE8" i="6"/>
  <c r="DC8" i="6"/>
  <c r="DB8" i="6"/>
  <c r="DA8" i="6"/>
  <c r="CZ8" i="6"/>
  <c r="CY8" i="6"/>
  <c r="CX8" i="6"/>
  <c r="CW8" i="6"/>
  <c r="ER8" i="6"/>
  <c r="EQ8" i="6"/>
  <c r="EP8" i="6"/>
  <c r="EO8" i="6"/>
  <c r="EW8" i="6"/>
  <c r="EU8" i="6"/>
  <c r="ET8" i="6"/>
  <c r="ES8" i="6"/>
  <c r="DC9" i="6"/>
  <c r="DB9" i="6"/>
  <c r="DA9" i="6"/>
  <c r="CZ9" i="6"/>
  <c r="CY9" i="6"/>
  <c r="CX9" i="6"/>
  <c r="CW9" i="6"/>
  <c r="DE9" i="6"/>
  <c r="EQ9" i="6"/>
  <c r="EP9" i="6"/>
  <c r="EO9" i="6"/>
  <c r="EW9" i="6"/>
  <c r="EU9" i="6"/>
  <c r="ET9" i="6"/>
  <c r="ES9" i="6"/>
  <c r="ER9" i="6"/>
  <c r="DB10" i="6"/>
  <c r="DA10" i="6"/>
  <c r="CZ10" i="6"/>
  <c r="CY10" i="6"/>
  <c r="CX10" i="6"/>
  <c r="CW10" i="6"/>
  <c r="DE10" i="6"/>
  <c r="DC10" i="6"/>
  <c r="EP10" i="6"/>
  <c r="EO10" i="6"/>
  <c r="EW10" i="6"/>
  <c r="EU10" i="6"/>
  <c r="ET10" i="6"/>
  <c r="ES10" i="6"/>
  <c r="ER10" i="6"/>
  <c r="EQ10" i="6"/>
  <c r="DA11" i="6"/>
  <c r="CZ11" i="6"/>
  <c r="CY11" i="6"/>
  <c r="CX11" i="6"/>
  <c r="CW11" i="6"/>
  <c r="DE11" i="6"/>
  <c r="DC11" i="6"/>
  <c r="DB11" i="6"/>
  <c r="EO11" i="6"/>
  <c r="EW11" i="6"/>
  <c r="EU11" i="6"/>
  <c r="ET11" i="6"/>
  <c r="ES11" i="6"/>
  <c r="ER11" i="6"/>
  <c r="EQ11" i="6"/>
  <c r="EP11" i="6"/>
  <c r="CZ12" i="6"/>
  <c r="CY12" i="6"/>
  <c r="CX12" i="6"/>
  <c r="CW12" i="6"/>
  <c r="DE12" i="6"/>
  <c r="DC12" i="6"/>
  <c r="DB12" i="6"/>
  <c r="DA12" i="6"/>
  <c r="EW12" i="6"/>
  <c r="EU12" i="6"/>
  <c r="ET12" i="6"/>
  <c r="ES12" i="6"/>
  <c r="ER12" i="6"/>
  <c r="EQ12" i="6"/>
  <c r="EP12" i="6"/>
  <c r="EO12" i="6"/>
  <c r="CY13" i="6"/>
  <c r="CX13" i="6"/>
  <c r="CW13" i="6"/>
  <c r="DE13" i="6"/>
  <c r="DC13" i="6"/>
  <c r="DB13" i="6"/>
  <c r="DA13" i="6"/>
  <c r="CZ13" i="6"/>
  <c r="EU13" i="6"/>
  <c r="ET13" i="6"/>
  <c r="ES13" i="6"/>
  <c r="ER13" i="6"/>
  <c r="EQ13" i="6"/>
  <c r="EP13" i="6"/>
  <c r="EO13" i="6"/>
  <c r="EW13" i="6"/>
  <c r="CX14" i="6"/>
  <c r="CW14" i="6"/>
  <c r="DE14" i="6"/>
  <c r="DC14" i="6"/>
  <c r="DB14" i="6"/>
  <c r="DA14" i="6"/>
  <c r="CZ14" i="6"/>
  <c r="CY14" i="6"/>
  <c r="ET14" i="6"/>
  <c r="ES14" i="6"/>
  <c r="ER14" i="6"/>
  <c r="EQ14" i="6"/>
  <c r="EP14" i="6"/>
  <c r="EO14" i="6"/>
  <c r="EW14" i="6"/>
  <c r="EU14" i="6"/>
  <c r="CW15" i="6"/>
  <c r="DE15" i="6"/>
  <c r="DC15" i="6"/>
  <c r="DB15" i="6"/>
  <c r="DA15" i="6"/>
  <c r="CZ15" i="6"/>
  <c r="CY15" i="6"/>
  <c r="CX15" i="6"/>
  <c r="ES15" i="6"/>
  <c r="ER15" i="6"/>
  <c r="EQ15" i="6"/>
  <c r="EP15" i="6"/>
  <c r="EO15" i="6"/>
  <c r="EW15" i="6"/>
  <c r="EU15" i="6"/>
  <c r="ET15" i="6"/>
  <c r="DE16" i="6"/>
  <c r="DC16" i="6"/>
  <c r="DB16" i="6"/>
  <c r="DA16" i="6"/>
  <c r="CZ16" i="6"/>
  <c r="CY16" i="6"/>
  <c r="CX16" i="6"/>
  <c r="CW16" i="6"/>
  <c r="ER16" i="6"/>
  <c r="EQ16" i="6"/>
  <c r="EP16" i="6"/>
  <c r="EO16" i="6"/>
  <c r="EW16" i="6"/>
  <c r="EU16" i="6"/>
  <c r="ET16" i="6"/>
  <c r="ES16" i="6"/>
  <c r="DC17" i="6"/>
  <c r="DB17" i="6"/>
  <c r="DA17" i="6"/>
  <c r="CZ17" i="6"/>
  <c r="CY17" i="6"/>
  <c r="CX17" i="6"/>
  <c r="CW17" i="6"/>
  <c r="DE17" i="6"/>
  <c r="EQ17" i="6"/>
  <c r="EP17" i="6"/>
  <c r="EO17" i="6"/>
  <c r="EW17" i="6"/>
  <c r="EU17" i="6"/>
  <c r="ET17" i="6"/>
  <c r="ES17" i="6"/>
  <c r="ER17" i="6"/>
  <c r="DB18" i="6"/>
  <c r="DA18" i="6"/>
  <c r="CZ18" i="6"/>
  <c r="CY18" i="6"/>
  <c r="CX18" i="6"/>
  <c r="CW18" i="6"/>
  <c r="DE18" i="6"/>
  <c r="DC18" i="6"/>
  <c r="EP18" i="6"/>
  <c r="EO18" i="6"/>
  <c r="EW18" i="6"/>
  <c r="EU18" i="6"/>
  <c r="ET18" i="6"/>
  <c r="ES18" i="6"/>
  <c r="ER18" i="6"/>
  <c r="EQ18" i="6"/>
  <c r="DA19" i="6"/>
  <c r="CZ19" i="6"/>
  <c r="CY19" i="6"/>
  <c r="CX19" i="6"/>
  <c r="CW19" i="6"/>
  <c r="DE19" i="6"/>
  <c r="DC19" i="6"/>
  <c r="DB19" i="6"/>
  <c r="EO19" i="6"/>
  <c r="EW19" i="6"/>
  <c r="EU19" i="6"/>
  <c r="ET19" i="6"/>
  <c r="ES19" i="6"/>
  <c r="ER19" i="6"/>
  <c r="EQ19" i="6"/>
  <c r="EP19" i="6"/>
  <c r="CZ20" i="6"/>
  <c r="CY20" i="6"/>
  <c r="CX20" i="6"/>
  <c r="CW20" i="6"/>
  <c r="DE20" i="6"/>
  <c r="DC20" i="6"/>
  <c r="DB20" i="6"/>
  <c r="DA20" i="6"/>
  <c r="EW20" i="6"/>
  <c r="EU20" i="6"/>
  <c r="ET20" i="6"/>
  <c r="ES20" i="6"/>
  <c r="ER20" i="6"/>
  <c r="EQ20" i="6"/>
  <c r="EP20" i="6"/>
  <c r="EO20" i="6"/>
  <c r="CY21" i="6"/>
  <c r="CX21" i="6"/>
  <c r="CW21" i="6"/>
  <c r="DE21" i="6"/>
  <c r="DC21" i="6"/>
  <c r="DB21" i="6"/>
  <c r="DA21" i="6"/>
  <c r="CZ21" i="6"/>
  <c r="EU21" i="6"/>
  <c r="ET21" i="6"/>
  <c r="ES21" i="6"/>
  <c r="ER21" i="6"/>
  <c r="EQ21" i="6"/>
  <c r="EP21" i="6"/>
  <c r="EO21" i="6"/>
  <c r="EW21" i="6"/>
  <c r="CX22" i="6"/>
  <c r="CW22" i="6"/>
  <c r="DE22" i="6"/>
  <c r="DC22" i="6"/>
  <c r="DB22" i="6"/>
  <c r="DA22" i="6"/>
  <c r="CZ22" i="6"/>
  <c r="CY22" i="6"/>
  <c r="ET22" i="6"/>
  <c r="ES22" i="6"/>
  <c r="ER22" i="6"/>
  <c r="EQ22" i="6"/>
  <c r="EP22" i="6"/>
  <c r="EO22" i="6"/>
  <c r="EW22" i="6"/>
  <c r="EU22" i="6"/>
  <c r="CW23" i="6"/>
  <c r="DE23" i="6"/>
  <c r="DC23" i="6"/>
  <c r="DB23" i="6"/>
  <c r="DA23" i="6"/>
  <c r="CZ23" i="6"/>
  <c r="CY23" i="6"/>
  <c r="CX23" i="6"/>
  <c r="ES23" i="6"/>
  <c r="ER23" i="6"/>
  <c r="EQ23" i="6"/>
  <c r="EP23" i="6"/>
  <c r="EO23" i="6"/>
  <c r="EW23" i="6"/>
  <c r="EU23" i="6"/>
  <c r="ET23" i="6"/>
  <c r="DE24" i="6"/>
  <c r="DC24" i="6"/>
  <c r="DB24" i="6"/>
  <c r="DA24" i="6"/>
  <c r="CZ24" i="6"/>
  <c r="CY24" i="6"/>
  <c r="CX24" i="6"/>
  <c r="CW24" i="6"/>
  <c r="ER24" i="6"/>
  <c r="EQ24" i="6"/>
  <c r="EP24" i="6"/>
  <c r="EO24" i="6"/>
  <c r="EW24" i="6"/>
  <c r="EU24" i="6"/>
  <c r="ET24" i="6"/>
  <c r="ES24" i="6"/>
  <c r="DC25" i="6"/>
  <c r="DB25" i="6"/>
  <c r="DA25" i="6"/>
  <c r="CZ25" i="6"/>
  <c r="CY25" i="6"/>
  <c r="CX25" i="6"/>
  <c r="CW25" i="6"/>
  <c r="DE25" i="6"/>
  <c r="EQ25" i="6"/>
  <c r="EP25" i="6"/>
  <c r="EO25" i="6"/>
  <c r="EW25" i="6"/>
  <c r="EU25" i="6"/>
  <c r="ET25" i="6"/>
  <c r="ES25" i="6"/>
  <c r="ER25" i="6"/>
  <c r="DB26" i="6"/>
  <c r="DA26" i="6"/>
  <c r="CZ26" i="6"/>
  <c r="CY26" i="6"/>
  <c r="CX26" i="6"/>
  <c r="CW26" i="6"/>
  <c r="DE26" i="6"/>
  <c r="DC26" i="6"/>
  <c r="EP26" i="6"/>
  <c r="EO26" i="6"/>
  <c r="EW26" i="6"/>
  <c r="EU26" i="6"/>
  <c r="ET26" i="6"/>
  <c r="ES26" i="6"/>
  <c r="ER26" i="6"/>
  <c r="EQ26" i="6"/>
  <c r="DA27" i="6"/>
  <c r="CZ27" i="6"/>
  <c r="CY27" i="6"/>
  <c r="CX27" i="6"/>
  <c r="CW27" i="6"/>
  <c r="DE27" i="6"/>
  <c r="DC27" i="6"/>
  <c r="DB27" i="6"/>
  <c r="EO27" i="6"/>
  <c r="EW27" i="6"/>
  <c r="EU27" i="6"/>
  <c r="ET27" i="6"/>
  <c r="ES27" i="6"/>
  <c r="ER27" i="6"/>
  <c r="EQ27" i="6"/>
  <c r="EP27" i="6"/>
  <c r="CZ28" i="6"/>
  <c r="CY28" i="6"/>
  <c r="CX28" i="6"/>
  <c r="CW28" i="6"/>
  <c r="DE28" i="6"/>
  <c r="DC28" i="6"/>
  <c r="DB28" i="6"/>
  <c r="DA28" i="6"/>
  <c r="EW28" i="6"/>
  <c r="EU28" i="6"/>
  <c r="ET28" i="6"/>
  <c r="ES28" i="6"/>
  <c r="ER28" i="6"/>
  <c r="EQ28" i="6"/>
  <c r="EP28" i="6"/>
  <c r="EO28" i="6"/>
  <c r="CY29" i="6"/>
  <c r="CX29" i="6"/>
  <c r="CW29" i="6"/>
  <c r="DE29" i="6"/>
  <c r="DC29" i="6"/>
  <c r="DB29" i="6"/>
  <c r="DA29" i="6"/>
  <c r="CZ29" i="6"/>
  <c r="EU29" i="6"/>
  <c r="ET29" i="6"/>
  <c r="ES29" i="6"/>
  <c r="ER29" i="6"/>
  <c r="EQ29" i="6"/>
  <c r="EP29" i="6"/>
  <c r="EO29" i="6"/>
  <c r="EW29" i="6"/>
  <c r="CX30" i="6"/>
  <c r="CW30" i="6"/>
  <c r="DE30" i="6"/>
  <c r="DC30" i="6"/>
  <c r="DB30" i="6"/>
  <c r="DA30" i="6"/>
  <c r="CZ30" i="6"/>
  <c r="CY30" i="6"/>
  <c r="ET30" i="6"/>
  <c r="ES30" i="6"/>
  <c r="ER30" i="6"/>
  <c r="EQ30" i="6"/>
  <c r="EP30" i="6"/>
  <c r="EO30" i="6"/>
  <c r="EW30" i="6"/>
  <c r="EU30" i="6"/>
  <c r="CW31" i="6"/>
  <c r="DE31" i="6"/>
  <c r="DC31" i="6"/>
  <c r="DB31" i="6"/>
  <c r="DA31" i="6"/>
  <c r="CZ31" i="6"/>
  <c r="CY31" i="6"/>
  <c r="CX31" i="6"/>
  <c r="ES31" i="6"/>
  <c r="ER31" i="6"/>
  <c r="EQ31" i="6"/>
  <c r="EP31" i="6"/>
  <c r="EO31" i="6"/>
  <c r="EW31" i="6"/>
  <c r="EU31" i="6"/>
  <c r="ET31" i="6"/>
  <c r="DE32" i="6"/>
  <c r="DC32" i="6"/>
  <c r="DB32" i="6"/>
  <c r="DA32" i="6"/>
  <c r="CZ32" i="6"/>
  <c r="CY32" i="6"/>
  <c r="CX32" i="6"/>
  <c r="CW32" i="6"/>
  <c r="ER32" i="6"/>
  <c r="EQ32" i="6"/>
  <c r="EP32" i="6"/>
  <c r="EO32" i="6"/>
  <c r="EW32" i="6"/>
  <c r="EU32" i="6"/>
  <c r="ET32" i="6"/>
  <c r="ES32" i="6"/>
  <c r="DC33" i="6"/>
  <c r="DB33" i="6"/>
  <c r="DA33" i="6"/>
  <c r="CZ33" i="6"/>
  <c r="CY33" i="6"/>
  <c r="CX33" i="6"/>
  <c r="CW33" i="6"/>
  <c r="DE33" i="6"/>
  <c r="EQ33" i="6"/>
  <c r="EP33" i="6"/>
  <c r="EO33" i="6"/>
  <c r="EW33" i="6"/>
  <c r="EU33" i="6"/>
  <c r="ET33" i="6"/>
  <c r="ES33" i="6"/>
  <c r="ER33" i="6"/>
  <c r="DB34" i="6"/>
  <c r="DA34" i="6"/>
  <c r="CZ34" i="6"/>
  <c r="CY34" i="6"/>
  <c r="CX34" i="6"/>
  <c r="CW34" i="6"/>
  <c r="DE34" i="6"/>
  <c r="DC34" i="6"/>
  <c r="EP34" i="6"/>
  <c r="EO34" i="6"/>
  <c r="EW34" i="6"/>
  <c r="EU34" i="6"/>
  <c r="ET34" i="6"/>
  <c r="ES34" i="6"/>
  <c r="ER34" i="6"/>
  <c r="EQ34" i="6"/>
  <c r="DA35" i="6"/>
  <c r="CZ35" i="6"/>
  <c r="CY35" i="6"/>
  <c r="CX35" i="6"/>
  <c r="CW35" i="6"/>
  <c r="DE35" i="6"/>
  <c r="DC35" i="6"/>
  <c r="DB35" i="6"/>
  <c r="EO35" i="6"/>
  <c r="EW35" i="6"/>
  <c r="EU35" i="6"/>
  <c r="ET35" i="6"/>
  <c r="ES35" i="6"/>
  <c r="ER35" i="6"/>
  <c r="EQ35" i="6"/>
  <c r="EP35" i="6"/>
  <c r="CZ36" i="6"/>
  <c r="CY36" i="6"/>
  <c r="CX36" i="6"/>
  <c r="CW36" i="6"/>
  <c r="DE36" i="6"/>
  <c r="DC36" i="6"/>
  <c r="DB36" i="6"/>
  <c r="DA36" i="6"/>
  <c r="EW36" i="6"/>
  <c r="EU36" i="6"/>
  <c r="ET36" i="6"/>
  <c r="ES36" i="6"/>
  <c r="ER36" i="6"/>
  <c r="EQ36" i="6"/>
  <c r="EP36" i="6"/>
  <c r="EO36" i="6"/>
  <c r="CY37" i="6"/>
  <c r="CX37" i="6"/>
  <c r="CW37" i="6"/>
  <c r="DE37" i="6"/>
  <c r="DC37" i="6"/>
  <c r="DB37" i="6"/>
  <c r="DA37" i="6"/>
  <c r="CZ37" i="6"/>
  <c r="EU37" i="6"/>
  <c r="ET37" i="6"/>
  <c r="ES37" i="6"/>
  <c r="ER37" i="6"/>
  <c r="EQ37" i="6"/>
  <c r="EP37" i="6"/>
  <c r="EO37" i="6"/>
  <c r="EW37" i="6"/>
  <c r="CX38" i="6"/>
  <c r="CW38" i="6"/>
  <c r="DE38" i="6"/>
  <c r="DC38" i="6"/>
  <c r="DB38" i="6"/>
  <c r="DA38" i="6"/>
  <c r="CZ38" i="6"/>
  <c r="CY38" i="6"/>
  <c r="ET38" i="6"/>
  <c r="ES38" i="6"/>
  <c r="ER38" i="6"/>
  <c r="EQ38" i="6"/>
  <c r="EP38" i="6"/>
  <c r="EO38" i="6"/>
  <c r="EW38" i="6"/>
  <c r="EU38" i="6"/>
  <c r="CW39" i="6"/>
  <c r="DE39" i="6"/>
  <c r="DC39" i="6"/>
  <c r="DB39" i="6"/>
  <c r="DA39" i="6"/>
  <c r="CZ39" i="6"/>
  <c r="CY39" i="6"/>
  <c r="CX39" i="6"/>
  <c r="ES39" i="6"/>
  <c r="ER39" i="6"/>
  <c r="EQ39" i="6"/>
  <c r="EP39" i="6"/>
  <c r="EO39" i="6"/>
  <c r="EW39" i="6"/>
  <c r="EU39" i="6"/>
  <c r="ET39" i="6"/>
  <c r="DE40" i="6"/>
  <c r="DC40" i="6"/>
  <c r="DB40" i="6"/>
  <c r="DA40" i="6"/>
  <c r="CZ40" i="6"/>
  <c r="CY40" i="6"/>
  <c r="CX40" i="6"/>
  <c r="CW40" i="6"/>
  <c r="ER40" i="6"/>
  <c r="EQ40" i="6"/>
  <c r="EP40" i="6"/>
  <c r="EO40" i="6"/>
  <c r="EW40" i="6"/>
  <c r="EU40" i="6"/>
  <c r="ET40" i="6"/>
  <c r="ES40" i="6"/>
  <c r="DC41" i="6"/>
  <c r="DB41" i="6"/>
  <c r="DA41" i="6"/>
  <c r="CZ41" i="6"/>
  <c r="CY41" i="6"/>
  <c r="CX41" i="6"/>
  <c r="CW41" i="6"/>
  <c r="DE41" i="6"/>
  <c r="EQ41" i="6"/>
  <c r="EP41" i="6"/>
  <c r="EO41" i="6"/>
  <c r="EW41" i="6"/>
  <c r="EU41" i="6"/>
  <c r="ET41" i="6"/>
  <c r="ES41" i="6"/>
  <c r="ER41" i="6"/>
  <c r="DB42" i="6"/>
  <c r="DA42" i="6"/>
  <c r="CZ42" i="6"/>
  <c r="CY42" i="6"/>
  <c r="CX42" i="6"/>
  <c r="CW42" i="6"/>
  <c r="DE42" i="6"/>
  <c r="DC42" i="6"/>
  <c r="EP42" i="6"/>
  <c r="EO42" i="6"/>
  <c r="EW42" i="6"/>
  <c r="EU42" i="6"/>
  <c r="ET42" i="6"/>
  <c r="ES42" i="6"/>
  <c r="ER42" i="6"/>
  <c r="EQ42" i="6"/>
  <c r="DA43" i="6"/>
  <c r="CZ43" i="6"/>
  <c r="CY43" i="6"/>
  <c r="CX43" i="6"/>
  <c r="CW43" i="6"/>
  <c r="DE43" i="6"/>
  <c r="DC43" i="6"/>
  <c r="DB43" i="6"/>
  <c r="EO43" i="6"/>
  <c r="EW43" i="6"/>
  <c r="EU43" i="6"/>
  <c r="ET43" i="6"/>
  <c r="ES43" i="6"/>
  <c r="ER43" i="6"/>
  <c r="EQ43" i="6"/>
  <c r="EP43" i="6"/>
  <c r="CZ44" i="6"/>
  <c r="CY44" i="6"/>
  <c r="CX44" i="6"/>
  <c r="CW44" i="6"/>
  <c r="DE44" i="6"/>
  <c r="DC44" i="6"/>
  <c r="DB44" i="6"/>
  <c r="DA44" i="6"/>
  <c r="EW44" i="6"/>
  <c r="EU44" i="6"/>
  <c r="ET44" i="6"/>
  <c r="ES44" i="6"/>
  <c r="ER44" i="6"/>
  <c r="EQ44" i="6"/>
  <c r="EP44" i="6"/>
  <c r="EO44" i="6"/>
  <c r="CY45" i="6"/>
  <c r="CX45" i="6"/>
  <c r="CW45" i="6"/>
  <c r="DE45" i="6"/>
  <c r="DC45" i="6"/>
  <c r="DB45" i="6"/>
  <c r="DA45" i="6"/>
  <c r="CZ45" i="6"/>
  <c r="EU45" i="6"/>
  <c r="ET45" i="6"/>
  <c r="ES45" i="6"/>
  <c r="ER45" i="6"/>
  <c r="EQ45" i="6"/>
  <c r="EP45" i="6"/>
  <c r="EO45" i="6"/>
  <c r="EW45" i="6"/>
  <c r="CX46" i="6"/>
  <c r="CW46" i="6"/>
  <c r="DE46" i="6"/>
  <c r="DC46" i="6"/>
  <c r="DB46" i="6"/>
  <c r="DA46" i="6"/>
  <c r="CZ46" i="6"/>
  <c r="CY46" i="6"/>
  <c r="ET46" i="6"/>
  <c r="ES46" i="6"/>
  <c r="ER46" i="6"/>
  <c r="EQ46" i="6"/>
  <c r="EP46" i="6"/>
  <c r="EO46" i="6"/>
  <c r="EW46" i="6"/>
  <c r="EU46" i="6"/>
  <c r="CW47" i="6"/>
  <c r="DE47" i="6"/>
  <c r="DC47" i="6"/>
  <c r="DB47" i="6"/>
  <c r="DA47" i="6"/>
  <c r="CZ47" i="6"/>
  <c r="CY47" i="6"/>
  <c r="CX47" i="6"/>
  <c r="ES47" i="6"/>
  <c r="ER47" i="6"/>
  <c r="EQ47" i="6"/>
  <c r="EP47" i="6"/>
  <c r="EO47" i="6"/>
  <c r="EW47" i="6"/>
  <c r="EU47" i="6"/>
  <c r="ET47" i="6"/>
  <c r="DE48" i="6"/>
  <c r="DC48" i="6"/>
  <c r="DB48" i="6"/>
  <c r="DA48" i="6"/>
  <c r="CZ48" i="6"/>
  <c r="CY48" i="6"/>
  <c r="CX48" i="6"/>
  <c r="CW48" i="6"/>
  <c r="ER48" i="6"/>
  <c r="EQ48" i="6"/>
  <c r="EP48" i="6"/>
  <c r="EO48" i="6"/>
  <c r="EW48" i="6"/>
  <c r="EU48" i="6"/>
  <c r="ET48" i="6"/>
  <c r="ES48" i="6"/>
  <c r="DC49" i="6"/>
  <c r="DB49" i="6"/>
  <c r="DA49" i="6"/>
  <c r="CZ49" i="6"/>
  <c r="CY49" i="6"/>
  <c r="CX49" i="6"/>
  <c r="CW49" i="6"/>
  <c r="DE49" i="6"/>
  <c r="EQ49" i="6"/>
  <c r="EP49" i="6"/>
  <c r="EO49" i="6"/>
  <c r="EW49" i="6"/>
  <c r="EU49" i="6"/>
  <c r="ET49" i="6"/>
  <c r="ES49" i="6"/>
  <c r="ER49" i="6"/>
  <c r="DB50" i="6"/>
  <c r="DA50" i="6"/>
  <c r="CZ50" i="6"/>
  <c r="CY50" i="6"/>
  <c r="CX50" i="6"/>
  <c r="CW50" i="6"/>
  <c r="DE50" i="6"/>
  <c r="DC50" i="6"/>
  <c r="EP50" i="6"/>
  <c r="EO50" i="6"/>
  <c r="EW50" i="6"/>
  <c r="EU50" i="6"/>
  <c r="ET50" i="6"/>
  <c r="ES50" i="6"/>
  <c r="ER50" i="6"/>
  <c r="EQ50" i="6"/>
  <c r="DA51" i="6"/>
  <c r="CZ51" i="6"/>
  <c r="CY51" i="6"/>
  <c r="CX51" i="6"/>
  <c r="CW51" i="6"/>
  <c r="DE51" i="6"/>
  <c r="DC51" i="6"/>
  <c r="DB51" i="6"/>
  <c r="EO51" i="6"/>
  <c r="EW51" i="6"/>
  <c r="EU51" i="6"/>
  <c r="ET51" i="6"/>
  <c r="ES51" i="6"/>
  <c r="ER51" i="6"/>
  <c r="EQ51" i="6"/>
  <c r="EP51" i="6"/>
  <c r="CZ52" i="6"/>
  <c r="CY52" i="6"/>
  <c r="CX52" i="6"/>
  <c r="CW52" i="6"/>
  <c r="DE52" i="6"/>
  <c r="DC52" i="6"/>
  <c r="DB52" i="6"/>
  <c r="DA52" i="6"/>
  <c r="EW52" i="6"/>
  <c r="EU52" i="6"/>
  <c r="ET52" i="6"/>
  <c r="ES52" i="6"/>
  <c r="ER52" i="6"/>
  <c r="EQ52" i="6"/>
  <c r="EP52" i="6"/>
  <c r="EO52" i="6"/>
  <c r="CY53" i="6"/>
  <c r="CX53" i="6"/>
  <c r="CW53" i="6"/>
  <c r="DE53" i="6"/>
  <c r="DC53" i="6"/>
  <c r="DB53" i="6"/>
  <c r="DA53" i="6"/>
  <c r="CZ53" i="6"/>
  <c r="EU53" i="6"/>
  <c r="ET53" i="6"/>
  <c r="ES53" i="6"/>
  <c r="ER53" i="6"/>
  <c r="EQ53" i="6"/>
  <c r="EP53" i="6"/>
  <c r="EO53" i="6"/>
  <c r="EW53" i="6"/>
  <c r="CX54" i="6"/>
  <c r="CW54" i="6"/>
  <c r="DE54" i="6"/>
  <c r="DC54" i="6"/>
  <c r="DB54" i="6"/>
  <c r="DA54" i="6"/>
  <c r="CZ54" i="6"/>
  <c r="CY54" i="6"/>
  <c r="ET54" i="6"/>
  <c r="ES54" i="6"/>
  <c r="ER54" i="6"/>
  <c r="EQ54" i="6"/>
  <c r="EP54" i="6"/>
  <c r="EO54" i="6"/>
  <c r="EW54" i="6"/>
  <c r="EU54" i="6"/>
  <c r="CW55" i="6"/>
  <c r="DE55" i="6"/>
  <c r="DC55" i="6"/>
  <c r="DB55" i="6"/>
  <c r="DA55" i="6"/>
  <c r="CZ55" i="6"/>
  <c r="CY55" i="6"/>
  <c r="CX55" i="6"/>
  <c r="ES55" i="6"/>
  <c r="ER55" i="6"/>
  <c r="EQ55" i="6"/>
  <c r="EP55" i="6"/>
  <c r="EO55" i="6"/>
  <c r="EW55" i="6"/>
  <c r="EU55" i="6"/>
  <c r="ET55" i="6"/>
  <c r="DE56" i="6"/>
  <c r="DC56" i="6"/>
  <c r="DB56" i="6"/>
  <c r="DA56" i="6"/>
  <c r="CZ56" i="6"/>
  <c r="CY56" i="6"/>
  <c r="CX56" i="6"/>
  <c r="CW56" i="6"/>
  <c r="ER56" i="6"/>
  <c r="EQ56" i="6"/>
  <c r="EP56" i="6"/>
  <c r="EO56" i="6"/>
  <c r="EW56" i="6"/>
  <c r="EU56" i="6"/>
  <c r="ET56" i="6"/>
  <c r="ES56" i="6"/>
  <c r="DC57" i="6"/>
  <c r="DB57" i="6"/>
  <c r="DA57" i="6"/>
  <c r="CZ57" i="6"/>
  <c r="CY57" i="6"/>
  <c r="CX57" i="6"/>
  <c r="CW57" i="6"/>
  <c r="DE57" i="6"/>
  <c r="EQ57" i="6"/>
  <c r="EP57" i="6"/>
  <c r="EO57" i="6"/>
  <c r="EW57" i="6"/>
  <c r="EU57" i="6"/>
  <c r="ET57" i="6"/>
  <c r="ES57" i="6"/>
  <c r="ER57" i="6"/>
  <c r="DB58" i="6"/>
  <c r="DA58" i="6"/>
  <c r="CZ58" i="6"/>
  <c r="CY58" i="6"/>
  <c r="CX58" i="6"/>
  <c r="CW58" i="6"/>
  <c r="DE58" i="6"/>
  <c r="DC58" i="6"/>
  <c r="EP58" i="6"/>
  <c r="EO58" i="6"/>
  <c r="EW58" i="6"/>
  <c r="EU58" i="6"/>
  <c r="ET58" i="6"/>
  <c r="ES58" i="6"/>
  <c r="ER58" i="6"/>
  <c r="EQ58" i="6"/>
  <c r="DA59" i="6"/>
  <c r="CZ59" i="6"/>
  <c r="CY59" i="6"/>
  <c r="CX59" i="6"/>
  <c r="CW59" i="6"/>
  <c r="DE59" i="6"/>
  <c r="DC59" i="6"/>
  <c r="DB59" i="6"/>
  <c r="EO59" i="6"/>
  <c r="EW59" i="6"/>
  <c r="EU59" i="6"/>
  <c r="ET59" i="6"/>
  <c r="ES59" i="6"/>
  <c r="ER59" i="6"/>
  <c r="EQ59" i="6"/>
  <c r="EP59" i="6"/>
  <c r="CZ60" i="6"/>
  <c r="CY60" i="6"/>
  <c r="CX60" i="6"/>
  <c r="CW60" i="6"/>
  <c r="DE60" i="6"/>
  <c r="DC60" i="6"/>
  <c r="DB60" i="6"/>
  <c r="DA60" i="6"/>
  <c r="EW60" i="6"/>
  <c r="EU60" i="6"/>
  <c r="ET60" i="6"/>
  <c r="ES60" i="6"/>
  <c r="ER60" i="6"/>
  <c r="EQ60" i="6"/>
  <c r="EP60" i="6"/>
  <c r="EO60" i="6"/>
  <c r="CY61" i="6"/>
  <c r="CX61" i="6"/>
  <c r="CW61" i="6"/>
  <c r="DE61" i="6"/>
  <c r="DC61" i="6"/>
  <c r="DB61" i="6"/>
  <c r="DA61" i="6"/>
  <c r="CZ61" i="6"/>
  <c r="EU61" i="6"/>
  <c r="ET61" i="6"/>
  <c r="ES61" i="6"/>
  <c r="ER61" i="6"/>
  <c r="EQ61" i="6"/>
  <c r="EP61" i="6"/>
  <c r="EO61" i="6"/>
  <c r="EW61" i="6"/>
  <c r="CX62" i="6"/>
  <c r="CW62" i="6"/>
  <c r="DE62" i="6"/>
  <c r="DC62" i="6"/>
  <c r="DB62" i="6"/>
  <c r="DA62" i="6"/>
  <c r="CZ62" i="6"/>
  <c r="CY62" i="6"/>
  <c r="ET62" i="6"/>
  <c r="ES62" i="6"/>
  <c r="ER62" i="6"/>
  <c r="EQ62" i="6"/>
  <c r="EP62" i="6"/>
  <c r="EO62" i="6"/>
  <c r="EW62" i="6"/>
  <c r="EU62" i="6"/>
  <c r="CW63" i="6"/>
  <c r="DE63" i="6"/>
  <c r="DC63" i="6"/>
  <c r="DB63" i="6"/>
  <c r="DA63" i="6"/>
  <c r="CZ63" i="6"/>
  <c r="CY63" i="6"/>
  <c r="CX63" i="6"/>
  <c r="ES63" i="6"/>
  <c r="ER63" i="6"/>
  <c r="EQ63" i="6"/>
  <c r="EP63" i="6"/>
  <c r="EO63" i="6"/>
  <c r="EW63" i="6"/>
  <c r="EU63" i="6"/>
  <c r="ET63" i="6"/>
  <c r="DE64" i="6"/>
  <c r="DC64" i="6"/>
  <c r="DB64" i="6"/>
  <c r="DA64" i="6"/>
  <c r="CZ64" i="6"/>
  <c r="CY64" i="6"/>
  <c r="CX64" i="6"/>
  <c r="CW64" i="6"/>
  <c r="ER64" i="6"/>
  <c r="EQ64" i="6"/>
  <c r="EP64" i="6"/>
  <c r="EO64" i="6"/>
  <c r="EW64" i="6"/>
  <c r="EU64" i="6"/>
  <c r="ET64" i="6"/>
  <c r="ES64" i="6"/>
  <c r="DC65" i="6"/>
  <c r="DB65" i="6"/>
  <c r="DA65" i="6"/>
  <c r="CZ65" i="6"/>
  <c r="CY65" i="6"/>
  <c r="CX65" i="6"/>
  <c r="CW65" i="6"/>
  <c r="DE65" i="6"/>
  <c r="EQ65" i="6"/>
  <c r="EP65" i="6"/>
  <c r="EO65" i="6"/>
  <c r="EW65" i="6"/>
  <c r="EU65" i="6"/>
  <c r="ET65" i="6"/>
  <c r="ES65" i="6"/>
  <c r="ER65" i="6"/>
  <c r="DB66" i="6"/>
  <c r="DA66" i="6"/>
  <c r="CZ66" i="6"/>
  <c r="CY66" i="6"/>
  <c r="CX66" i="6"/>
  <c r="CW66" i="6"/>
  <c r="DE66" i="6"/>
  <c r="DC66" i="6"/>
  <c r="EP66" i="6"/>
  <c r="EO66" i="6"/>
  <c r="EW66" i="6"/>
  <c r="EU66" i="6"/>
  <c r="ET66" i="6"/>
  <c r="ES66" i="6"/>
  <c r="ER66" i="6"/>
  <c r="EQ66" i="6"/>
  <c r="DA67" i="6"/>
  <c r="CZ67" i="6"/>
  <c r="CY67" i="6"/>
  <c r="CX67" i="6"/>
  <c r="CW67" i="6"/>
  <c r="DE67" i="6"/>
  <c r="DC67" i="6"/>
  <c r="DB67" i="6"/>
  <c r="EO67" i="6"/>
  <c r="EW67" i="6"/>
  <c r="EU67" i="6"/>
  <c r="ET67" i="6"/>
  <c r="ES67" i="6"/>
  <c r="ER67" i="6"/>
  <c r="EQ67" i="6"/>
  <c r="EP67" i="6"/>
  <c r="CZ68" i="6"/>
  <c r="CY68" i="6"/>
  <c r="CX68" i="6"/>
  <c r="CW68" i="6"/>
  <c r="DE68" i="6"/>
  <c r="DC68" i="6"/>
  <c r="DB68" i="6"/>
  <c r="DA68" i="6"/>
  <c r="EW68" i="6"/>
  <c r="EU68" i="6"/>
  <c r="ET68" i="6"/>
  <c r="ES68" i="6"/>
  <c r="ER68" i="6"/>
  <c r="EQ68" i="6"/>
  <c r="EP68" i="6"/>
  <c r="EO68" i="6"/>
  <c r="CY69" i="6"/>
  <c r="CX69" i="6"/>
  <c r="CW69" i="6"/>
  <c r="DE69" i="6"/>
  <c r="DC69" i="6"/>
  <c r="DB69" i="6"/>
  <c r="DA69" i="6"/>
  <c r="CZ69" i="6"/>
  <c r="EU69" i="6"/>
  <c r="ET69" i="6"/>
  <c r="ES69" i="6"/>
  <c r="ER69" i="6"/>
  <c r="EQ69" i="6"/>
  <c r="EP69" i="6"/>
  <c r="EO69" i="6"/>
  <c r="EW69" i="6"/>
  <c r="CX70" i="6"/>
  <c r="CW70" i="6"/>
  <c r="DE70" i="6"/>
  <c r="DC70" i="6"/>
  <c r="DB70" i="6"/>
  <c r="DA70" i="6"/>
  <c r="CZ70" i="6"/>
  <c r="CY70" i="6"/>
  <c r="ET70" i="6"/>
  <c r="ES70" i="6"/>
  <c r="ER70" i="6"/>
  <c r="EQ70" i="6"/>
  <c r="EP70" i="6"/>
  <c r="EO70" i="6"/>
  <c r="EW70" i="6"/>
  <c r="EU70" i="6"/>
  <c r="CW71" i="6"/>
  <c r="DE71" i="6"/>
  <c r="DC71" i="6"/>
  <c r="DB71" i="6"/>
  <c r="DA71" i="6"/>
  <c r="CZ71" i="6"/>
  <c r="CY71" i="6"/>
  <c r="CX71" i="6"/>
  <c r="ES71" i="6"/>
  <c r="ER71" i="6"/>
  <c r="EQ71" i="6"/>
  <c r="EP71" i="6"/>
  <c r="EO71" i="6"/>
  <c r="EW71" i="6"/>
  <c r="EU71" i="6"/>
  <c r="ET71" i="6"/>
  <c r="DE72" i="6"/>
  <c r="DC72" i="6"/>
  <c r="DB72" i="6"/>
  <c r="DA72" i="6"/>
  <c r="CZ72" i="6"/>
  <c r="CY72" i="6"/>
  <c r="CX72" i="6"/>
  <c r="CW72" i="6"/>
  <c r="ER72" i="6"/>
  <c r="EQ72" i="6"/>
  <c r="EP72" i="6"/>
  <c r="EO72" i="6"/>
  <c r="EW72" i="6"/>
  <c r="EU72" i="6"/>
  <c r="ET72" i="6"/>
  <c r="ES72" i="6"/>
  <c r="DC73" i="6"/>
  <c r="DB73" i="6"/>
  <c r="DA73" i="6"/>
  <c r="CZ73" i="6"/>
  <c r="CY73" i="6"/>
  <c r="CX73" i="6"/>
  <c r="CW73" i="6"/>
  <c r="DE73" i="6"/>
  <c r="EQ73" i="6"/>
  <c r="EP73" i="6"/>
  <c r="EO73" i="6"/>
  <c r="EW73" i="6"/>
  <c r="EU73" i="6"/>
  <c r="ET73" i="6"/>
  <c r="ES73" i="6"/>
  <c r="ER73" i="6"/>
  <c r="DB74" i="6"/>
  <c r="DA74" i="6"/>
  <c r="CZ74" i="6"/>
  <c r="CY74" i="6"/>
  <c r="CX74" i="6"/>
  <c r="CW74" i="6"/>
  <c r="DE74" i="6"/>
  <c r="DC74" i="6"/>
  <c r="EP74" i="6"/>
  <c r="EO74" i="6"/>
  <c r="EW74" i="6"/>
  <c r="EU74" i="6"/>
  <c r="ET74" i="6"/>
  <c r="ES74" i="6"/>
  <c r="ER74" i="6"/>
  <c r="EQ74" i="6"/>
  <c r="DA75" i="6"/>
  <c r="CZ75" i="6"/>
  <c r="CY75" i="6"/>
  <c r="CX75" i="6"/>
  <c r="CW75" i="6"/>
  <c r="DE75" i="6"/>
  <c r="DC75" i="6"/>
  <c r="DB75" i="6"/>
  <c r="EO75" i="6"/>
  <c r="EW75" i="6"/>
  <c r="EU75" i="6"/>
  <c r="ET75" i="6"/>
  <c r="ES75" i="6"/>
  <c r="ER75" i="6"/>
  <c r="EQ75" i="6"/>
  <c r="EP75" i="6"/>
  <c r="CZ76" i="6"/>
  <c r="CY76" i="6"/>
  <c r="CX76" i="6"/>
  <c r="CW76" i="6"/>
  <c r="DE76" i="6"/>
  <c r="DC76" i="6"/>
  <c r="DB76" i="6"/>
  <c r="DA76" i="6"/>
  <c r="EW76" i="6"/>
  <c r="EU76" i="6"/>
  <c r="ET76" i="6"/>
  <c r="ES76" i="6"/>
  <c r="ER76" i="6"/>
  <c r="EQ76" i="6"/>
  <c r="EP76" i="6"/>
  <c r="EO76" i="6"/>
  <c r="CY77" i="6"/>
  <c r="CX77" i="6"/>
  <c r="CW77" i="6"/>
  <c r="DE77" i="6"/>
  <c r="DC77" i="6"/>
  <c r="DB77" i="6"/>
  <c r="DA77" i="6"/>
  <c r="CZ77" i="6"/>
  <c r="EU77" i="6"/>
  <c r="ET77" i="6"/>
  <c r="ES77" i="6"/>
  <c r="ER77" i="6"/>
  <c r="EQ77" i="6"/>
  <c r="EP77" i="6"/>
  <c r="EO77" i="6"/>
  <c r="EW77" i="6"/>
  <c r="CX78" i="6"/>
  <c r="CW78" i="6"/>
  <c r="DE78" i="6"/>
  <c r="DC78" i="6"/>
  <c r="DB78" i="6"/>
  <c r="DA78" i="6"/>
  <c r="CZ78" i="6"/>
  <c r="CY78" i="6"/>
  <c r="ET78" i="6"/>
  <c r="ES78" i="6"/>
  <c r="ER78" i="6"/>
  <c r="EQ78" i="6"/>
  <c r="EP78" i="6"/>
  <c r="EO78" i="6"/>
  <c r="EW78" i="6"/>
  <c r="EU78" i="6"/>
  <c r="CW79" i="6"/>
  <c r="DE79" i="6"/>
  <c r="DC79" i="6"/>
  <c r="DB79" i="6"/>
  <c r="DA79" i="6"/>
  <c r="CZ79" i="6"/>
  <c r="CY79" i="6"/>
  <c r="CX79" i="6"/>
  <c r="ES79" i="6"/>
  <c r="ER79" i="6"/>
  <c r="EQ79" i="6"/>
  <c r="EP79" i="6"/>
  <c r="EO79" i="6"/>
  <c r="EW79" i="6"/>
  <c r="EU79" i="6"/>
  <c r="ET79" i="6"/>
  <c r="DE80" i="6"/>
  <c r="DC80" i="6"/>
  <c r="DB80" i="6"/>
  <c r="DA80" i="6"/>
  <c r="CZ80" i="6"/>
  <c r="CY80" i="6"/>
  <c r="CX80" i="6"/>
  <c r="CW80" i="6"/>
  <c r="ER80" i="6"/>
  <c r="EQ80" i="6"/>
  <c r="EP80" i="6"/>
  <c r="EO80" i="6"/>
  <c r="EW80" i="6"/>
  <c r="EU80" i="6"/>
  <c r="ET80" i="6"/>
  <c r="ES80" i="6"/>
  <c r="DC81" i="6"/>
  <c r="DB81" i="6"/>
  <c r="DA81" i="6"/>
  <c r="CZ81" i="6"/>
  <c r="CY81" i="6"/>
  <c r="CX81" i="6"/>
  <c r="CW81" i="6"/>
  <c r="DE81" i="6"/>
  <c r="EQ81" i="6"/>
  <c r="EP81" i="6"/>
  <c r="EO81" i="6"/>
  <c r="EW81" i="6"/>
  <c r="EU81" i="6"/>
  <c r="ET81" i="6"/>
  <c r="ES81" i="6"/>
  <c r="ER81" i="6"/>
  <c r="DB82" i="6"/>
  <c r="DA82" i="6"/>
  <c r="CZ82" i="6"/>
  <c r="CY82" i="6"/>
  <c r="CX82" i="6"/>
  <c r="CW82" i="6"/>
  <c r="DE82" i="6"/>
  <c r="DC82" i="6"/>
  <c r="EP82" i="6"/>
  <c r="EO82" i="6"/>
  <c r="EW82" i="6"/>
  <c r="EU82" i="6"/>
  <c r="ET82" i="6"/>
  <c r="ES82" i="6"/>
  <c r="ER82" i="6"/>
  <c r="EQ82" i="6"/>
  <c r="DA83" i="6"/>
  <c r="CZ83" i="6"/>
  <c r="CY83" i="6"/>
  <c r="CX83" i="6"/>
  <c r="CW83" i="6"/>
  <c r="DE83" i="6"/>
  <c r="DC83" i="6"/>
  <c r="DB83" i="6"/>
  <c r="EO83" i="6"/>
  <c r="EW83" i="6"/>
  <c r="EU83" i="6"/>
  <c r="ET83" i="6"/>
  <c r="ES83" i="6"/>
  <c r="ER83" i="6"/>
  <c r="EQ83" i="6"/>
  <c r="EP83" i="6"/>
  <c r="CZ84" i="6"/>
  <c r="CY84" i="6"/>
  <c r="CX84" i="6"/>
  <c r="CW84" i="6"/>
  <c r="DE84" i="6"/>
  <c r="DC84" i="6"/>
  <c r="DB84" i="6"/>
  <c r="DA84" i="6"/>
  <c r="EW84" i="6"/>
  <c r="EU84" i="6"/>
  <c r="ET84" i="6"/>
  <c r="ES84" i="6"/>
  <c r="ER84" i="6"/>
  <c r="EQ84" i="6"/>
  <c r="EP84" i="6"/>
  <c r="EO84" i="6"/>
  <c r="CY85" i="6"/>
  <c r="CX85" i="6"/>
  <c r="CW85" i="6"/>
  <c r="DE85" i="6"/>
  <c r="DC85" i="6"/>
  <c r="DB85" i="6"/>
  <c r="DA85" i="6"/>
  <c r="CZ85" i="6"/>
  <c r="EU85" i="6"/>
  <c r="ET85" i="6"/>
  <c r="ES85" i="6"/>
  <c r="ER85" i="6"/>
  <c r="EQ85" i="6"/>
  <c r="EP85" i="6"/>
  <c r="EO85" i="6"/>
  <c r="EW85" i="6"/>
  <c r="CX86" i="6"/>
  <c r="CW86" i="6"/>
  <c r="DE86" i="6"/>
  <c r="DC86" i="6"/>
  <c r="DB86" i="6"/>
  <c r="DA86" i="6"/>
  <c r="CZ86" i="6"/>
  <c r="CY86" i="6"/>
  <c r="ET86" i="6"/>
  <c r="ES86" i="6"/>
  <c r="ER86" i="6"/>
  <c r="EQ86" i="6"/>
  <c r="EP86" i="6"/>
  <c r="EO86" i="6"/>
  <c r="EW86" i="6"/>
  <c r="EU86" i="6"/>
  <c r="CW87" i="6"/>
  <c r="DE87" i="6"/>
  <c r="DC87" i="6"/>
  <c r="DB87" i="6"/>
  <c r="DA87" i="6"/>
  <c r="CZ87" i="6"/>
  <c r="CY87" i="6"/>
  <c r="CX87" i="6"/>
  <c r="ES87" i="6"/>
  <c r="ER87" i="6"/>
  <c r="EQ87" i="6"/>
  <c r="EP87" i="6"/>
  <c r="EO87" i="6"/>
  <c r="EW87" i="6"/>
  <c r="EU87" i="6"/>
  <c r="ET87" i="6"/>
  <c r="DE88" i="6"/>
  <c r="DC88" i="6"/>
  <c r="DB88" i="6"/>
  <c r="DA88" i="6"/>
  <c r="CZ88" i="6"/>
  <c r="CY88" i="6"/>
  <c r="CX88" i="6"/>
  <c r="CW88" i="6"/>
  <c r="ER88" i="6"/>
  <c r="EQ88" i="6"/>
  <c r="EP88" i="6"/>
  <c r="EO88" i="6"/>
  <c r="EW88" i="6"/>
  <c r="EU88" i="6"/>
  <c r="ET88" i="6"/>
  <c r="ES88" i="6"/>
  <c r="DC89" i="6"/>
  <c r="DB89" i="6"/>
  <c r="DA89" i="6"/>
  <c r="CZ89" i="6"/>
  <c r="CY89" i="6"/>
  <c r="CX89" i="6"/>
  <c r="CW89" i="6"/>
  <c r="DE89" i="6"/>
  <c r="EQ89" i="6"/>
  <c r="EP89" i="6"/>
  <c r="EO89" i="6"/>
  <c r="EW89" i="6"/>
  <c r="EU89" i="6"/>
  <c r="ET89" i="6"/>
  <c r="ES89" i="6"/>
  <c r="ER89" i="6"/>
  <c r="DB90" i="6"/>
  <c r="DA90" i="6"/>
  <c r="CZ90" i="6"/>
  <c r="CY90" i="6"/>
  <c r="CX90" i="6"/>
  <c r="CW90" i="6"/>
  <c r="DE90" i="6"/>
  <c r="DC90" i="6"/>
  <c r="EP90" i="6"/>
  <c r="EO90" i="6"/>
  <c r="EW90" i="6"/>
  <c r="EU90" i="6"/>
  <c r="ET90" i="6"/>
  <c r="ES90" i="6"/>
  <c r="ER90" i="6"/>
  <c r="EQ90" i="6"/>
  <c r="DA91" i="6"/>
  <c r="CZ91" i="6"/>
  <c r="CY91" i="6"/>
  <c r="CX91" i="6"/>
  <c r="CW91" i="6"/>
  <c r="DE91" i="6"/>
  <c r="DC91" i="6"/>
  <c r="DB91" i="6"/>
  <c r="EO91" i="6"/>
  <c r="EW91" i="6"/>
  <c r="EU91" i="6"/>
  <c r="ET91" i="6"/>
  <c r="ES91" i="6"/>
  <c r="ER91" i="6"/>
  <c r="EQ91" i="6"/>
  <c r="EP91" i="6"/>
  <c r="CZ92" i="6"/>
  <c r="CY92" i="6"/>
  <c r="CX92" i="6"/>
  <c r="CW92" i="6"/>
  <c r="DE92" i="6"/>
  <c r="DC92" i="6"/>
  <c r="DB92" i="6"/>
  <c r="DA92" i="6"/>
  <c r="EW92" i="6"/>
  <c r="EU92" i="6"/>
  <c r="ET92" i="6"/>
  <c r="ES92" i="6"/>
  <c r="ER92" i="6"/>
  <c r="EQ92" i="6"/>
  <c r="EP92" i="6"/>
  <c r="EO92" i="6"/>
  <c r="CY93" i="6"/>
  <c r="CX93" i="6"/>
  <c r="CW93" i="6"/>
  <c r="DE93" i="6"/>
  <c r="DC93" i="6"/>
  <c r="DB93" i="6"/>
  <c r="DA93" i="6"/>
  <c r="CZ93" i="6"/>
  <c r="EU93" i="6"/>
  <c r="ET93" i="6"/>
  <c r="ES93" i="6"/>
  <c r="ER93" i="6"/>
  <c r="EQ93" i="6"/>
  <c r="EP93" i="6"/>
  <c r="EO93" i="6"/>
  <c r="EW93" i="6"/>
  <c r="CX94" i="6"/>
  <c r="CW94" i="6"/>
  <c r="DE94" i="6"/>
  <c r="DC94" i="6"/>
  <c r="DB94" i="6"/>
  <c r="DA94" i="6"/>
  <c r="CZ94" i="6"/>
  <c r="CY94" i="6"/>
  <c r="ET94" i="6"/>
  <c r="ES94" i="6"/>
  <c r="ER94" i="6"/>
  <c r="EQ94" i="6"/>
  <c r="EP94" i="6"/>
  <c r="EO94" i="6"/>
  <c r="EW94" i="6"/>
  <c r="EU94" i="6"/>
  <c r="CW95" i="6"/>
  <c r="DE95" i="6"/>
  <c r="DC95" i="6"/>
  <c r="DB95" i="6"/>
  <c r="DA95" i="6"/>
  <c r="CZ95" i="6"/>
  <c r="CY95" i="6"/>
  <c r="CX95" i="6"/>
  <c r="ES95" i="6"/>
  <c r="ER95" i="6"/>
  <c r="EQ95" i="6"/>
  <c r="EP95" i="6"/>
  <c r="EO95" i="6"/>
  <c r="EW95" i="6"/>
  <c r="EU95" i="6"/>
  <c r="ET95" i="6"/>
  <c r="DE96" i="6"/>
  <c r="DC96" i="6"/>
  <c r="DB96" i="6"/>
  <c r="DA96" i="6"/>
  <c r="CZ96" i="6"/>
  <c r="CY96" i="6"/>
  <c r="CX96" i="6"/>
  <c r="CW96" i="6"/>
  <c r="ER96" i="6"/>
  <c r="EQ96" i="6"/>
  <c r="EP96" i="6"/>
  <c r="EO96" i="6"/>
  <c r="EW96" i="6"/>
  <c r="EU96" i="6"/>
  <c r="ET96" i="6"/>
  <c r="ES96" i="6"/>
  <c r="DC97" i="6"/>
  <c r="DB97" i="6"/>
  <c r="DA97" i="6"/>
  <c r="CZ97" i="6"/>
  <c r="CY97" i="6"/>
  <c r="CX97" i="6"/>
  <c r="CW97" i="6"/>
  <c r="DE97" i="6"/>
  <c r="EQ97" i="6"/>
  <c r="EP97" i="6"/>
  <c r="EO97" i="6"/>
  <c r="EW97" i="6"/>
  <c r="EU97" i="6"/>
  <c r="ET97" i="6"/>
  <c r="ES97" i="6"/>
  <c r="ER97" i="6"/>
  <c r="DB98" i="6"/>
  <c r="DA98" i="6"/>
  <c r="CZ98" i="6"/>
  <c r="CY98" i="6"/>
  <c r="CX98" i="6"/>
  <c r="CW98" i="6"/>
  <c r="DE98" i="6"/>
  <c r="DC98" i="6"/>
  <c r="EP98" i="6"/>
  <c r="EO98" i="6"/>
  <c r="EW98" i="6"/>
  <c r="EU98" i="6"/>
  <c r="ET98" i="6"/>
  <c r="ES98" i="6"/>
  <c r="ER98" i="6"/>
  <c r="EQ98" i="6"/>
  <c r="DA99" i="6"/>
  <c r="CZ99" i="6"/>
  <c r="CY99" i="6"/>
  <c r="CX99" i="6"/>
  <c r="CW99" i="6"/>
  <c r="DE99" i="6"/>
  <c r="DC99" i="6"/>
  <c r="DB99" i="6"/>
  <c r="EO99" i="6"/>
  <c r="EW99" i="6"/>
  <c r="EU99" i="6"/>
  <c r="ET99" i="6"/>
  <c r="ES99" i="6"/>
  <c r="ER99" i="6"/>
  <c r="EQ99" i="6"/>
  <c r="EP99" i="6"/>
  <c r="CZ100" i="6"/>
  <c r="CY100" i="6"/>
  <c r="CX100" i="6"/>
  <c r="CW100" i="6"/>
  <c r="DE100" i="6"/>
  <c r="DC100" i="6"/>
  <c r="DB100" i="6"/>
  <c r="DA100" i="6"/>
  <c r="EW100" i="6"/>
  <c r="EU100" i="6"/>
  <c r="ET100" i="6"/>
  <c r="ES100" i="6"/>
  <c r="ER100" i="6"/>
  <c r="EQ100" i="6"/>
  <c r="EP100" i="6"/>
  <c r="EO100" i="6"/>
  <c r="CY101" i="6"/>
  <c r="CX101" i="6"/>
  <c r="CW101" i="6"/>
  <c r="DE101" i="6"/>
  <c r="DC101" i="6"/>
  <c r="DB101" i="6"/>
  <c r="DA101" i="6"/>
  <c r="CZ101" i="6"/>
  <c r="EU101" i="6"/>
  <c r="ET101" i="6"/>
  <c r="ES101" i="6"/>
  <c r="ER101" i="6"/>
  <c r="EQ101" i="6"/>
  <c r="EP101" i="6"/>
  <c r="EO101" i="6"/>
  <c r="EW101" i="6"/>
  <c r="CX102" i="6"/>
  <c r="CW102" i="6"/>
  <c r="DE102" i="6"/>
  <c r="DC102" i="6"/>
  <c r="DB102" i="6"/>
  <c r="DA102" i="6"/>
  <c r="CZ102" i="6"/>
  <c r="CY102" i="6"/>
  <c r="ET102" i="6"/>
  <c r="ES102" i="6"/>
  <c r="ER102" i="6"/>
  <c r="EQ102" i="6"/>
  <c r="EP102" i="6"/>
  <c r="EO102" i="6"/>
  <c r="EW102" i="6"/>
  <c r="EU102" i="6"/>
  <c r="CW103" i="6"/>
  <c r="DE103" i="6"/>
  <c r="DC103" i="6"/>
  <c r="DB103" i="6"/>
  <c r="DA103" i="6"/>
  <c r="CZ103" i="6"/>
  <c r="CY103" i="6"/>
  <c r="CX103" i="6"/>
  <c r="ES103" i="6"/>
  <c r="ER103" i="6"/>
  <c r="EQ103" i="6"/>
  <c r="EP103" i="6"/>
  <c r="EO103" i="6"/>
  <c r="EW103" i="6"/>
  <c r="EU103" i="6"/>
  <c r="ET103" i="6"/>
  <c r="DE104" i="6"/>
  <c r="DC104" i="6"/>
  <c r="DB104" i="6"/>
  <c r="DA104" i="6"/>
  <c r="CZ104" i="6"/>
  <c r="CY104" i="6"/>
  <c r="CX104" i="6"/>
  <c r="CW104" i="6"/>
  <c r="ER104" i="6"/>
  <c r="EQ104" i="6"/>
  <c r="EP104" i="6"/>
  <c r="EO104" i="6"/>
  <c r="EW104" i="6"/>
  <c r="EU104" i="6"/>
  <c r="ET104" i="6"/>
  <c r="ES104" i="6"/>
  <c r="DC105" i="6"/>
  <c r="DB105" i="6"/>
  <c r="DA105" i="6"/>
  <c r="CZ105" i="6"/>
  <c r="CY105" i="6"/>
  <c r="CX105" i="6"/>
  <c r="CW105" i="6"/>
  <c r="DE105" i="6"/>
  <c r="EQ105" i="6"/>
  <c r="EP105" i="6"/>
  <c r="EO105" i="6"/>
  <c r="EW105" i="6"/>
  <c r="EU105" i="6"/>
  <c r="ET105" i="6"/>
  <c r="ES105" i="6"/>
  <c r="ER105" i="6"/>
  <c r="DB106" i="6"/>
  <c r="DA106" i="6"/>
  <c r="CZ106" i="6"/>
  <c r="CY106" i="6"/>
  <c r="CX106" i="6"/>
  <c r="CW106" i="6"/>
  <c r="DE106" i="6"/>
  <c r="DC106" i="6"/>
  <c r="EP106" i="6"/>
  <c r="EO106" i="6"/>
  <c r="EW106" i="6"/>
  <c r="EU106" i="6"/>
  <c r="ET106" i="6"/>
  <c r="ES106" i="6"/>
  <c r="ER106" i="6"/>
  <c r="EQ106" i="6"/>
  <c r="DA107" i="6"/>
  <c r="CZ107" i="6"/>
  <c r="CY107" i="6"/>
  <c r="CX107" i="6"/>
  <c r="CW107" i="6"/>
  <c r="DE107" i="6"/>
  <c r="DC107" i="6"/>
  <c r="DB107" i="6"/>
  <c r="EO107" i="6"/>
  <c r="EW107" i="6"/>
  <c r="EU107" i="6"/>
  <c r="ET107" i="6"/>
  <c r="ES107" i="6"/>
  <c r="ER107" i="6"/>
  <c r="EQ107" i="6"/>
  <c r="EP107" i="6"/>
  <c r="CZ108" i="6"/>
  <c r="CY108" i="6"/>
  <c r="CX108" i="6"/>
  <c r="CW108" i="6"/>
  <c r="DE108" i="6"/>
  <c r="DC108" i="6"/>
  <c r="DB108" i="6"/>
  <c r="DA108" i="6"/>
  <c r="EW108" i="6"/>
  <c r="EU108" i="6"/>
  <c r="ET108" i="6"/>
  <c r="ES108" i="6"/>
  <c r="ER108" i="6"/>
  <c r="EQ108" i="6"/>
  <c r="EP108" i="6"/>
  <c r="EO108" i="6"/>
  <c r="CY109" i="6"/>
  <c r="CX109" i="6"/>
  <c r="CW109" i="6"/>
  <c r="DE109" i="6"/>
  <c r="DC109" i="6"/>
  <c r="DB109" i="6"/>
  <c r="DA109" i="6"/>
  <c r="CZ109" i="6"/>
  <c r="EU109" i="6"/>
  <c r="ET109" i="6"/>
  <c r="ES109" i="6"/>
  <c r="ER109" i="6"/>
  <c r="EQ109" i="6"/>
  <c r="EP109" i="6"/>
  <c r="EO109" i="6"/>
  <c r="EW109" i="6"/>
  <c r="CX110" i="6"/>
  <c r="CW110" i="6"/>
  <c r="DE110" i="6"/>
  <c r="DC110" i="6"/>
  <c r="DB110" i="6"/>
  <c r="DA110" i="6"/>
  <c r="CZ110" i="6"/>
  <c r="CY110" i="6"/>
  <c r="ET110" i="6"/>
  <c r="ES110" i="6"/>
  <c r="ER110" i="6"/>
  <c r="EQ110" i="6"/>
  <c r="EP110" i="6"/>
  <c r="EO110" i="6"/>
  <c r="EW110" i="6"/>
  <c r="EU110" i="6"/>
  <c r="CW111" i="6"/>
  <c r="DE111" i="6"/>
  <c r="DC111" i="6"/>
  <c r="DB111" i="6"/>
  <c r="DA111" i="6"/>
  <c r="CZ111" i="6"/>
  <c r="CY111" i="6"/>
  <c r="CX111" i="6"/>
  <c r="ES111" i="6"/>
  <c r="ER111" i="6"/>
  <c r="EQ111" i="6"/>
  <c r="EP111" i="6"/>
  <c r="EO111" i="6"/>
  <c r="EW111" i="6"/>
  <c r="EU111" i="6"/>
  <c r="ET111" i="6"/>
  <c r="DE112" i="6"/>
  <c r="DC112" i="6"/>
  <c r="DB112" i="6"/>
  <c r="DA112" i="6"/>
  <c r="CZ112" i="6"/>
  <c r="CY112" i="6"/>
  <c r="CX112" i="6"/>
  <c r="CW112" i="6"/>
  <c r="ER112" i="6"/>
  <c r="EQ112" i="6"/>
  <c r="EP112" i="6"/>
  <c r="EO112" i="6"/>
  <c r="EW112" i="6"/>
  <c r="EU112" i="6"/>
  <c r="ET112" i="6"/>
  <c r="ES112" i="6"/>
  <c r="DC113" i="6"/>
  <c r="DB113" i="6"/>
  <c r="DA113" i="6"/>
  <c r="CZ113" i="6"/>
  <c r="CY113" i="6"/>
  <c r="CX113" i="6"/>
  <c r="CW113" i="6"/>
  <c r="DE113" i="6"/>
  <c r="EQ113" i="6"/>
  <c r="EP113" i="6"/>
  <c r="EO113" i="6"/>
  <c r="EW113" i="6"/>
  <c r="EU113" i="6"/>
  <c r="ET113" i="6"/>
  <c r="ES113" i="6"/>
  <c r="ER113" i="6"/>
  <c r="DB114" i="6"/>
  <c r="DA114" i="6"/>
  <c r="CZ114" i="6"/>
  <c r="CY114" i="6"/>
  <c r="CX114" i="6"/>
  <c r="CW114" i="6"/>
  <c r="DE114" i="6"/>
  <c r="DC114" i="6"/>
  <c r="EP114" i="6"/>
  <c r="EO114" i="6"/>
  <c r="EW114" i="6"/>
  <c r="EU114" i="6"/>
  <c r="ET114" i="6"/>
  <c r="ES114" i="6"/>
  <c r="ER114" i="6"/>
  <c r="EQ114" i="6"/>
  <c r="DA115" i="6"/>
  <c r="CZ115" i="6"/>
  <c r="CY115" i="6"/>
  <c r="CX115" i="6"/>
  <c r="CW115" i="6"/>
  <c r="DE115" i="6"/>
  <c r="DC115" i="6"/>
  <c r="DB115" i="6"/>
  <c r="EO115" i="6"/>
  <c r="EW115" i="6"/>
  <c r="EU115" i="6"/>
  <c r="ET115" i="6"/>
  <c r="ES115" i="6"/>
  <c r="ER115" i="6"/>
  <c r="EQ115" i="6"/>
  <c r="EP115" i="6"/>
  <c r="CZ116" i="6"/>
  <c r="CY116" i="6"/>
  <c r="CX116" i="6"/>
  <c r="CW116" i="6"/>
  <c r="DE116" i="6"/>
  <c r="DC116" i="6"/>
  <c r="DB116" i="6"/>
  <c r="DA116" i="6"/>
  <c r="EW116" i="6"/>
  <c r="EU116" i="6"/>
  <c r="ET116" i="6"/>
  <c r="ES116" i="6"/>
  <c r="ER116" i="6"/>
  <c r="EQ116" i="6"/>
  <c r="EP116" i="6"/>
  <c r="EO116" i="6"/>
  <c r="CY117" i="6"/>
  <c r="CX117" i="6"/>
  <c r="CW117" i="6"/>
  <c r="DE117" i="6"/>
  <c r="DC117" i="6"/>
  <c r="DB117" i="6"/>
  <c r="DA117" i="6"/>
  <c r="CZ117" i="6"/>
  <c r="EU117" i="6"/>
  <c r="ET117" i="6"/>
  <c r="ES117" i="6"/>
  <c r="ER117" i="6"/>
  <c r="EQ117" i="6"/>
  <c r="EP117" i="6"/>
  <c r="EO117" i="6"/>
  <c r="EW117" i="6"/>
  <c r="CX118" i="6"/>
  <c r="CW118" i="6"/>
  <c r="DE118" i="6"/>
  <c r="DC118" i="6"/>
  <c r="DB118" i="6"/>
  <c r="DA118" i="6"/>
  <c r="CZ118" i="6"/>
  <c r="CY118" i="6"/>
  <c r="ET118" i="6"/>
  <c r="ES118" i="6"/>
  <c r="ER118" i="6"/>
  <c r="EQ118" i="6"/>
  <c r="EP118" i="6"/>
  <c r="EO118" i="6"/>
  <c r="EW118" i="6"/>
  <c r="EU118" i="6"/>
  <c r="CW119" i="6"/>
  <c r="DE119" i="6"/>
  <c r="DC119" i="6"/>
  <c r="DB119" i="6"/>
  <c r="DA119" i="6"/>
  <c r="CZ119" i="6"/>
  <c r="CY119" i="6"/>
  <c r="CX119" i="6"/>
  <c r="ES119" i="6"/>
  <c r="ER119" i="6"/>
  <c r="EQ119" i="6"/>
  <c r="EP119" i="6"/>
  <c r="EO119" i="6"/>
  <c r="EW119" i="6"/>
  <c r="EU119" i="6"/>
  <c r="ET119" i="6"/>
  <c r="DE120" i="6"/>
  <c r="DC120" i="6"/>
  <c r="DB120" i="6"/>
  <c r="DA120" i="6"/>
  <c r="CZ120" i="6"/>
  <c r="CY120" i="6"/>
  <c r="CX120" i="6"/>
  <c r="CW120" i="6"/>
  <c r="ER120" i="6"/>
  <c r="EQ120" i="6"/>
  <c r="EP120" i="6"/>
  <c r="EO120" i="6"/>
  <c r="EW120" i="6"/>
  <c r="EU120" i="6"/>
  <c r="ET120" i="6"/>
  <c r="ES120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<sst xmlns="http://schemas.openxmlformats.org/spreadsheetml/2006/main" count="636" uniqueCount="136">
  <si>
    <t>GFF27</t>
  </si>
  <si>
    <t>GFH27</t>
  </si>
  <si>
    <t>GFJ27</t>
  </si>
  <si>
    <t>GFK26</t>
  </si>
  <si>
    <t>GFQ26</t>
  </si>
  <si>
    <t>GFU26</t>
  </si>
  <si>
    <t>GFV26</t>
  </si>
  <si>
    <t>GFX26</t>
  </si>
  <si>
    <t>LEG27</t>
  </si>
  <si>
    <t>LEJ27</t>
  </si>
  <si>
    <t>LEM26</t>
  </si>
  <si>
    <t>LEQ26</t>
  </si>
  <si>
    <t>LEV26</t>
  </si>
  <si>
    <t>LEZ26</t>
  </si>
  <si>
    <t>Date</t>
  </si>
  <si>
    <t>Change_Ref</t>
  </si>
  <si>
    <t>OI_Change</t>
  </si>
  <si>
    <t>OI_5D_Avg</t>
  </si>
  <si>
    <t>VWAP_20D</t>
  </si>
  <si>
    <t>Vol_20D</t>
  </si>
  <si>
    <t>Close</t>
  </si>
  <si>
    <t>Open</t>
  </si>
  <si>
    <t>High</t>
  </si>
  <si>
    <t>Low</t>
  </si>
  <si>
    <t>Change</t>
  </si>
  <si>
    <t>Volume</t>
  </si>
  <si>
    <t>OpenInterest</t>
  </si>
  <si>
    <t>Symbol</t>
  </si>
  <si>
    <t>LEJ - LEM (16 Years)</t>
  </si>
  <si>
    <t>LEM - LEQ (16 Years)</t>
  </si>
  <si>
    <t>LEQ - LEV (16 Years)</t>
  </si>
  <si>
    <t>LEV - LEZ (16 Years)</t>
  </si>
  <si>
    <t>LEZ - LEG (16 Years)</t>
  </si>
  <si>
    <t>LEG - LEJ (16 Years)</t>
  </si>
  <si>
    <t>LEQ - LEZ (16 Years)</t>
  </si>
  <si>
    <t>LEG - LEM (16 Years)</t>
  </si>
  <si>
    <t>LEJ - LEQ (16 Years)</t>
  </si>
  <si>
    <t>Spread Year</t>
  </si>
  <si>
    <t>GFF - GFH (16 Years)</t>
  </si>
  <si>
    <t>GFK - GFQ (16 Years)</t>
  </si>
  <si>
    <t>GFV - GFX (16 Years)</t>
  </si>
  <si>
    <t>GFH - GFJ (16 Years)</t>
  </si>
  <si>
    <t>GFJ - GFK (16 Years)</t>
  </si>
  <si>
    <t>GFQ - GFU (16 Years)</t>
  </si>
  <si>
    <t>GFU - GFV (16 Years)</t>
  </si>
  <si>
    <t>GFX - GFF (16 Years)</t>
  </si>
  <si>
    <t>Live Cattle (LE) Calendar Spreads</t>
  </si>
  <si>
    <t>Spread Type</t>
  </si>
  <si>
    <t>Common Name</t>
  </si>
  <si>
    <t>Calculation (Nearby - Deferred)</t>
  </si>
  <si>
    <t>2026 Context/Signal</t>
  </si>
  <si>
    <t>Adjacent</t>
  </si>
  <si>
    <t>April/June</t>
  </si>
  <si>
    <t>LEJ2026 - LEM2026</t>
  </si>
  <si>
    <t>Signals if the spring peak is on schedule; LEJ settled at $258.475.</t>
  </si>
  <si>
    <t>June/August</t>
  </si>
  <si>
    <t>LEM2026 - LEQ2026</t>
  </si>
  <si>
    <t>Summer beef barometer; currently a $5.075 premium.</t>
  </si>
  <si>
    <t>August/October</t>
  </si>
  <si>
    <t>LEQ2026 - LEV2026</t>
  </si>
  <si>
    <t>"Fall run" barometer; currently well above 5-year highs.</t>
  </si>
  <si>
    <t>October/December</t>
  </si>
  <si>
    <t>LEV2026 - LEZ2026</t>
  </si>
  <si>
    <t>Powerful indicator of fall scarcity; inversion signals desperate packer bidding.</t>
  </si>
  <si>
    <t>December/February</t>
  </si>
  <si>
    <t>LEZ2026 - LEG2027</t>
  </si>
  <si>
    <t>Year-end roll driver; reconciles holiday demand with the Q1 pipeline.</t>
  </si>
  <si>
    <t>February/April</t>
  </si>
  <si>
    <t>LEG2027 - LEJ2027</t>
  </si>
  <si>
    <t>Winter-to-spring demand transition diagnostic.</t>
  </si>
  <si>
    <t>Skip-Month</t>
  </si>
  <si>
    <t>August/December</t>
  </si>
  <si>
    <t>LEQ2026 - LEZ2026</t>
  </si>
  <si>
    <t>CRITICAL: Most reliable regime-change indicator; expanded to a $6.20 inversion.</t>
  </si>
  <si>
    <t>February/June</t>
  </si>
  <si>
    <t>LEG2027 - LEM2027</t>
  </si>
  <si>
    <t>Long-term structural indicator for the 2027 rebuilding phase.</t>
  </si>
  <si>
    <t>April/August</t>
  </si>
  <si>
    <t>LEJ2026 - LEQ2026</t>
  </si>
  <si>
    <t>Used as a coarse indicator of multi-year regime shifts.</t>
  </si>
  <si>
    <t>Feeder Cattle (GF) Calendar Spreads</t>
  </si>
  <si>
    <t>Missing Link</t>
  </si>
  <si>
    <t>November/January</t>
  </si>
  <si>
    <t>GFX2026 - GFF2027</t>
  </si>
  <si>
    <t>Closes the annual cycle; holds a $5.93 November premium.</t>
  </si>
  <si>
    <t>Grass Fever</t>
  </si>
  <si>
    <t>January/March</t>
  </si>
  <si>
    <t>GFF2027 - GFH2027</t>
  </si>
  <si>
    <t>Diagnostic for spring grazing demand; reflects early pen filling.</t>
  </si>
  <si>
    <t>Cross-Seasonal</t>
  </si>
  <si>
    <t>May/August</t>
  </si>
  <si>
    <t>GFK2026 - GFQ2026</t>
  </si>
  <si>
    <t>Anomalous near-parity ($371.40 vs. $372.175).</t>
  </si>
  <si>
    <t>Peak Fall Run</t>
  </si>
  <si>
    <t>October/November</t>
  </si>
  <si>
    <t>GFV2026 - GFX2026</t>
  </si>
  <si>
    <t>Signals calf volume; currently a ~$3.00 November discount.</t>
  </si>
  <si>
    <t>Placement-Speed</t>
  </si>
  <si>
    <t>March/April</t>
  </si>
  <si>
    <t>GFH2027 - GFJ2027</t>
  </si>
  <si>
    <t>Tracks how quickly cattle move off winter backgrounding.</t>
  </si>
  <si>
    <t>April/May</t>
  </si>
  <si>
    <t>GFJ2027 - GFK2027</t>
  </si>
  <si>
    <t>Signals feedlot capacity and late-spring feeder demand.</t>
  </si>
  <si>
    <t>Yearling Run</t>
  </si>
  <si>
    <t>August/September</t>
  </si>
  <si>
    <t>GFQ2026 - GFU2026</t>
  </si>
  <si>
    <t>Late-summer yearling run; reflects cost-of-gain and corn volatility.</t>
  </si>
  <si>
    <t>September/October</t>
  </si>
  <si>
    <t>GFU2026 - GFV2026</t>
  </si>
  <si>
    <t>Transition from yearlings to freshly weaned calves.</t>
  </si>
  <si>
    <t>LEJ-LEM</t>
  </si>
  <si>
    <t>LEM-LEQ</t>
  </si>
  <si>
    <t>LEQ-LEZ</t>
  </si>
  <si>
    <t>LEQ-LEV</t>
  </si>
  <si>
    <t>LEG-LEJ</t>
  </si>
  <si>
    <t>LEV-LEZ</t>
  </si>
  <si>
    <t>LEZ-LEG</t>
  </si>
  <si>
    <t>GFF-GFH</t>
  </si>
  <si>
    <t>GFX-GFF</t>
  </si>
  <si>
    <t>GFK-GFQ</t>
  </si>
  <si>
    <t>GFV-GFX</t>
  </si>
  <si>
    <t>GFH-GFJ</t>
  </si>
  <si>
    <t>GFJ-GFK</t>
  </si>
  <si>
    <t>GFQ-GFU</t>
  </si>
  <si>
    <t>GFU-GFV</t>
  </si>
  <si>
    <t>LEG-LEM</t>
  </si>
  <si>
    <t>LEJ-LEQ</t>
  </si>
  <si>
    <t>ZScore_Full</t>
  </si>
  <si>
    <t>ROC_5D</t>
  </si>
  <si>
    <t>ROC_10D</t>
  </si>
  <si>
    <t>BB_Upper_20</t>
  </si>
  <si>
    <t>BB_Lower_20</t>
  </si>
  <si>
    <t>BB_PctB</t>
  </si>
  <si>
    <t>BB_Width</t>
  </si>
  <si>
    <t>RSI_14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</si>
</sst>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/d\/yyyy"/>
    <numFmt numFmtId="165" formatCode="[Color10]General;[Red]\-General;General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5937B5-3C83-4ABE-824D-7D89FBEAE704}">
  <we:reference id="wa200008223" version="6.0.0.0" store="en-US" storeType="OMEX"/>
  <we:alternateReferences>
    <we:reference id="WA200008223" version="6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_xldudf_BCF_ASK</we:customFunctionIds>
        <we:customFunctionIds>_xldudf_BCF_ASKSIZE</we:customFunctionIds>
        <we:customFunctionIds>_xldudf_BCF_BID</we:customFunctionIds>
        <we:customFunctionIds>_xldudf_BCF_BIDSIZE</we:customFunctionIds>
        <we:customFunctionIds>_xldudf_BCF_CHANGE</we:customFunctionIds>
        <we:customFunctionIds>_xldudf_BCF_CHANGEEXT</we:customFunctionIds>
        <we:customFunctionIds>_xldudf_BCF_CLOSE</we:customFunctionIds>
        <we:customFunctionIds>_xldudf_BCF_CONTRACTDATE</we:customFunctionIds>
        <we:customFunctionIds>_xldudf_BCF_EXCHANGENAME</we:customFunctionIds>
        <we:customFunctionIds>_xldudf_BCF_EXPIRATIONDATE</we:customFunctionIds>
        <we:customFunctionIds>_xldudf_BCF_HIGH</we:customFunctionIds>
        <we:customFunctionIds>_xldudf_BCF_LAST</we:customFunctionIds>
        <we:customFunctionIds>_xldudf_BCF_LASTEXT</we:customFunctionIds>
        <we:customFunctionIds>_xldudf_BCF_LASTSIZE</we:customFunctionIds>
        <we:customFunctionIds>_xldudf_BCF_LOW</we:customFunctionIds>
        <we:customFunctionIds>_xldudf_BCF_NAME</we:customFunctionIds>
        <we:customFunctionIds>_xldudf_BCF_OPEN</we:customFunctionIds>
        <we:customFunctionIds>_xldudf_BCF_OPENINTEREST</we:customFunctionIds>
        <we:customFunctionIds>_xldudf_BCF_PERCCHGEXT</we:customFunctionIds>
        <we:customFunctionIds>_xldudf_BCF_PERCENTCHANGE</we:customFunctionIds>
        <we:customFunctionIds>_xldudf_BCF_PREVIOUS</we:customFunctionIds>
        <we:customFunctionIds>_xldudf_BCF_PREVSETTLE</we:customFunctionIds>
        <we:customFunctionIds>_xldudf_BCF_SETTLE</we:customFunctionIds>
        <we:customFunctionIds>_xldudf_BCF_SIZEXASK</we:customFunctionIds>
        <we:customFunctionIds>_xldudf_BCF_SIZEXBID</we:customFunctionIds>
        <we:customFunctionIds>_xldudf_BCF_SYMBOL</we:customFunctionIds>
        <we:customFunctionIds>_xldudf_BCF_SYMBOLDESCRIPTION</we:customFunctionIds>
        <we:customFunctionIds>_xldudf_BCF_TICKDIRECTION</we:customFunctionIds>
        <we:customFunctionIds>_xldudf_BCF_TIMESTAMP</we:customFunctionIds>
        <we:customFunctionIds>_xldudf_BCF_UNDERLYINGFUTURE</we:customFunctionIds>
        <we:customFunctionIds>_xldudf_BCF_VOLUME</we:customFunctionIds>
        <we:customFunctionIds>_xldudf_BCF_VOLUMETIMESTAMP</we:customFunctionIds>
        <we:customFunctionIds>_xldudf_BCH_DAILY_CLOSE</we:customFunctionIds>
        <we:customFunctionIds>_xldudf_BCH_DAILY_HIGH</we:customFunctionIds>
        <we:customFunctionIds>_xldudf_BCH_DAILY_LOW</we:customFunctionIds>
        <we:customFunctionIds>_xldudf_BCH_DAILY_NAME</we:customFunctionIds>
        <we:customFunctionIds>_xldudf_BCH_DAILY_OPEN</we:customFunctionIds>
        <we:customFunctionIds>_xldudf_BCH_DAILY_OPENINTEREST</we:customFunctionIds>
        <we:customFunctionIds>_xldudf_BCH_DAILY_SYMBOL</we:customFunctionIds>
        <we:customFunctionIds>_xldudf_BCH_DAILY_VOLUME</we:customFunctionIds>
        <we:customFunctionIds>_xldudf_BCH_DAILY_CONTINUE_CLOSE</we:customFunctionIds>
        <we:customFunctionIds>_xldudf_BCH_DAILY_CONTINUE_HIGH</we:customFunctionIds>
        <we:customFunctionIds>_xldudf_BCH_DAILY_CONTINUE_LOW</we:customFunctionIds>
        <we:customFunctionIds>_xldudf_BCH_DAILY_CONTINUE_NAME</we:customFunctionIds>
        <we:customFunctionIds>_xldudf_BCH_DAILY_CONTINUE_OPEN</we:customFunctionIds>
        <we:customFunctionIds>_xldudf_BCH_DAILY_CONTINUE_OPENINTEREST</we:customFunctionIds>
        <we:customFunctionIds>_xldudf_BCH_DAILY_CONTINUE_SYMBOL</we:customFunctionIds>
        <we:customFunctionIds>_xldudf_BCH_DAILY_CONTINUE_VOLUME</we:customFunctionIds>
        <we:customFunctionIds>_xldudf_BCH_DAILY_NEAREST_CLOSE</we:customFunctionIds>
        <we:customFunctionIds>_xldudf_BCH_DAILY_NEAREST_HIGH</we:customFunctionIds>
        <we:customFunctionIds>_xldudf_BCH_DAILY_NEAREST_LOW</we:customFunctionIds>
        <we:customFunctionIds>_xldudf_BCH_DAILY_NEAREST_NAME</we:customFunctionIds>
        <we:customFunctionIds>_xldudf_BCH_DAILY_NEAREST_OPEN</we:customFunctionIds>
        <we:customFunctionIds>_xldudf_BCH_DAILY_NEAREST_OPENINTEREST</we:customFunctionIds>
        <we:customFunctionIds>_xldudf_BCH_DAILY_NEAREST_SYMBOL</we:customFunctionIds>
        <we:customFunctionIds>_xldudf_BCH_DAILY_NEAREST_VOLUME</we:customFunctionIds>
        <we:customFunctionIds>_xldudf_BCH_WEEKLY_CLOSE</we:customFunctionIds>
        <we:customFunctionIds>_xldudf_BCH_WEEKLY_HIGH</we:customFunctionIds>
        <we:customFunctionIds>_xldudf_BCH_WEEKLY_LOW</we:customFunctionIds>
        <we:customFunctionIds>_xldudf_BCH_WEEKLY_NAME</we:customFunctionIds>
        <we:customFunctionIds>_xldudf_BCH_WEEKLY_OPEN</we:customFunctionIds>
        <we:customFunctionIds>_xldudf_BCH_WEEKLY_OPENINTEREST</we:customFunctionIds>
        <we:customFunctionIds>_xldudf_BCH_WEEKLY_SYMBOL</we:customFunctionIds>
        <we:customFunctionIds>_xldudf_BCH_WEEKLY_VOLUME</we:customFunctionIds>
        <we:customFunctionIds>_xldudf_BCH_WEEKLY_CONTINUE_CLOSE</we:customFunctionIds>
        <we:customFunctionIds>_xldudf_BCH_WEEKLY_CONTINUE_HIGH</we:customFunctionIds>
        <we:customFunctionIds>_xldudf_BCH_WEEKLY_CONTINUE_LOW</we:customFunctionIds>
        <we:customFunctionIds>_xldudf_BCH_WEEKLY_CONTINUE_NAME</we:customFunctionIds>
        <we:customFunctionIds>_xldudf_BCH_WEEKLY_CONTINUE_OPEN</we:customFunctionIds>
        <we:customFunctionIds>_xldudf_BCH_WEEKLY_CONTINUE_OPENINTEREST</we:customFunctionIds>
        <we:customFunctionIds>_xldudf_BCH_WEEKLY_CONTINUE_SYMBOL</we:customFunctionIds>
        <we:customFunctionIds>_xldudf_BCH_WEEKLY_CONTINUE_VOLUME</we:customFunctionIds>
        <we:customFunctionIds>_xldudf_BCH_WEEKLY_NEAREST_CLOSE</we:customFunctionIds>
        <we:customFunctionIds>_xldudf_BCH_WEEKLY_NEAREST_HIGH</we:customFunctionIds>
        <we:customFunctionIds>_xldudf_BCH_WEEKLY_NEAREST_LOW</we:customFunctionIds>
        <we:customFunctionIds>_xldudf_BCH_WEEKLY_NEAREST_NAME</we:customFunctionIds>
        <we:customFunctionIds>_xldudf_BCH_WEEKLY_NEAREST_OPEN</we:customFunctionIds>
        <we:customFunctionIds>_xldudf_BCH_WEEKLY_NEAREST_OPENINTEREST</we:customFunctionIds>
        <we:customFunctionIds>_xldudf_BCH_WEEKLY_NEAREST_SYMBOL</we:customFunctionIds>
        <we:customFunctionIds>_xldudf_BCH_WEEKLY_NEAREST_VOLUME</we:customFunctionIds>
        <we:customFunctionIds>_xldudf_BCH_MONTHLY_CLOSE</we:customFunctionIds>
        <we:customFunctionIds>_xldudf_BCH_MONTHLY_HIGH</we:customFunctionIds>
        <we:customFunctionIds>_xldudf_BCH_MONTHLY_LOW</we:customFunctionIds>
        <we:customFunctionIds>_xldudf_BCH_MONTHLY_NAME</we:customFunctionIds>
        <we:customFunctionIds>_xldudf_BCH_MONTHLY_OPEN</we:customFunctionIds>
        <we:customFunctionIds>_xldudf_BCH_MONTHLY_OPENINTEREST</we:customFunctionIds>
        <we:customFunctionIds>_xldudf_BCH_MONTHLY_SYMBOL</we:customFunctionIds>
        <we:customFunctionIds>_xldudf_BCH_MONTHLY_VOLUME</we:customFunctionIds>
        <we:customFunctionIds>_xldudf_BCH_MONTHLY_CONTINUE_CLOSE</we:customFunctionIds>
        <we:customFunctionIds>_xldudf_BCH_MONTHLY_CONTINUE_HIGH</we:customFunctionIds>
        <we:customFunctionIds>_xldudf_BCH_MONTHLY_CONTINUE_LOW</we:customFunctionIds>
        <we:customFunctionIds>_xldudf_BCH_MONTHLY_CONTINUE_NAME</we:customFunctionIds>
        <we:customFunctionIds>_xldudf_BCH_MONTHLY_CONTINUE_OPEN</we:customFunctionIds>
        <we:customFunctionIds>_xldudf_BCH_MONTHLY_CONTINUE_OPENINTEREST</we:customFunctionIds>
        <we:customFunctionIds>_xldudf_BCH_MONTHLY_CONTINUE_SYMBOL</we:customFunctionIds>
        <we:customFunctionIds>_xldudf_BCH_MONTHLY_CONTINUE_VOLUME</we:customFunctionIds>
        <we:customFunctionIds>_xldudf_BCH_MONTHLY_NEAREST_CLOSE</we:customFunctionIds>
        <we:customFunctionIds>_xldudf_BCH_MONTHLY_NEAREST_HIGH</we:customFunctionIds>
        <we:customFunctionIds>_xldudf_BCH_MONTHLY_NEAREST_LOW</we:customFunctionIds>
        <we:customFunctionIds>_xldudf_BCH_MONTHLY_NEAREST_NAME</we:customFunctionIds>
        <we:customFunctionIds>_xldudf_BCH_MONTHLY_NEAREST_OPEN</we:customFunctionIds>
        <we:customFunctionIds>_xldudf_BCH_MONTHLY_NEAREST_OPENINTEREST</we:customFunctionIds>
        <we:customFunctionIds>_xldudf_BCH_MONTHLY_NEAREST_SYMBOL</we:customFunctionIds>
        <we:customFunctionIds>_xldudf_BCH_MONTHLY_NEAREST_VOLUME</we:customFunctionIds>
        <we:customFunctionIds>_xldudf_BCH_QUARTERLY_CLOSE</we:customFunctionIds>
        <we:customFunctionIds>_xldudf_BCH_QUARTERLY_HIGH</we:customFunctionIds>
        <we:customFunctionIds>_xldudf_BCH_QUARTERLY_LOW</we:customFunctionIds>
        <we:customFunctionIds>_xldudf_BCH_QUARTERLY_NAME</we:customFunctionIds>
        <we:customFunctionIds>_xldudf_BCH_QUARTERLY_OPEN</we:customFunctionIds>
        <we:customFunctionIds>_xldudf_BCH_QUARTERLY_OPENINTEREST</we:customFunctionIds>
        <we:customFunctionIds>_xldudf_BCH_QUARTERLY_SYMBOL</we:customFunctionIds>
        <we:customFunctionIds>_xldudf_BCH_QUARTERLY_VOLUME</we:customFunctionIds>
        <we:customFunctionIds>_xldudf_BCH_QUARTERLY_CONTINUE_CLOSE</we:customFunctionIds>
        <we:customFunctionIds>_xldudf_BCH_QUARTERLY_CONTINUE_HIGH</we:customFunctionIds>
        <we:customFunctionIds>_xldudf_BCH_QUARTERLY_CONTINUE_LOW</we:customFunctionIds>
        <we:customFunctionIds>_xldudf_BCH_QUARTERLY_CONTINUE_NAME</we:customFunctionIds>
        <we:customFunctionIds>_xldudf_BCH_QUARTERLY_CONTINUE_OPEN</we:customFunctionIds>
        <we:customFunctionIds>_xldudf_BCH_QUARTERLY_CONTINUE_OPENINTEREST</we:customFunctionIds>
        <we:customFunctionIds>_xldudf_BCH_QUARTERLY_CONTINUE_SYMBOL</we:customFunctionIds>
        <we:customFunctionIds>_xldudf_BCH_QUARTERLY_CONTINUE_VOLUME</we:customFunctionIds>
        <we:customFunctionIds>_xldudf_BCH_QUARTERLY_NEAREST_CLOSE</we:customFunctionIds>
        <we:customFunctionIds>_xldudf_BCH_QUARTERLY_NEAREST_HIGH</we:customFunctionIds>
        <we:customFunctionIds>_xldudf_BCH_QUARTERLY_NEAREST_LOW</we:customFunctionIds>
        <we:customFunctionIds>_xldudf_BCH_QUARTERLY_NEAREST_NAME</we:customFunctionIds>
        <we:customFunctionIds>_xldudf_BCH_QUARTERLY_NEAREST_OPEN</we:customFunctionIds>
        <we:customFunctionIds>_xldudf_BCH_QUARTERLY_NEAREST_OPENINTEREST</we:customFunctionIds>
        <we:customFunctionIds>_xldudf_BCH_QUARTERLY_NEAREST_SYMBOL</we:customFunctionIds>
        <we:customFunctionIds>_xldudf_BCH_QUARTERLY_NEAREST_VOLUME</we:customFunctionIds>
        <we:customFunctionIds>_xldudf_BCH_YEARLY_CLOSE</we:customFunctionIds>
        <we:customFunctionIds>_xldudf_BCH_YEARLY_HIGH</we:customFunctionIds>
        <we:customFunctionIds>_xldudf_BCH_YEARLY_LOW</we:customFunctionIds>
        <we:customFunctionIds>_xldudf_BCH_YEARLY_NAME</we:customFunctionIds>
        <we:customFunctionIds>_xldudf_BCH_YEARLY_OPEN</we:customFunctionIds>
        <we:customFunctionIds>_xldudf_BCH_YEARLY_OPENINTEREST</we:customFunctionIds>
        <we:customFunctionIds>_xldudf_BCH_YEARLY_SYMBOL</we:customFunctionIds>
        <we:customFunctionIds>_xldudf_BCH_YEARLY_VOLUME</we:customFunctionIds>
        <we:customFunctionIds>_xldudf_BCH_YEARLY_CONTINUE_CLOSE</we:customFunctionIds>
        <we:customFunctionIds>_xldudf_BCH_YEARLY_CONTINUE_HIGH</we:customFunctionIds>
        <we:customFunctionIds>_xldudf_BCH_YEARLY_CONTINUE_LOW</we:customFunctionIds>
        <we:customFunctionIds>_xldudf_BCH_YEARLY_CONTINUE_NAME</we:customFunctionIds>
        <we:customFunctionIds>_xldudf_BCH_YEARLY_CONTINUE_OPEN</we:customFunctionIds>
        <we:customFunctionIds>_xldudf_BCH_YEARLY_CONTINUE_OPENINTEREST</we:customFunctionIds>
        <we:customFunctionIds>_xldudf_BCH_YEARLY_CONTINUE_SYMBOL</we:customFunctionIds>
        <we:customFunctionIds>_xldudf_BCH_YEARLY_CONTINUE_VOLUME</we:customFunctionIds>
        <we:customFunctionIds>_xldudf_BCH_YEARLY_NEAREST_CLOSE</we:customFunctionIds>
        <we:customFunctionIds>_xldudf_BCH_YEARLY_NEAREST_HIGH</we:customFunctionIds>
        <we:customFunctionIds>_xldudf_BCH_YEARLY_NEAREST_LOW</we:customFunctionIds>
        <we:customFunctionIds>_xldudf_BCH_YEARLY_NEAREST_NAME</we:customFunctionIds>
        <we:customFunctionIds>_xldudf_BCH_YEARLY_NEAREST_OPEN</we:customFunctionIds>
        <we:customFunctionIds>_xldudf_BCH_YEARLY_NEAREST_OPENINTEREST</we:customFunctionIds>
        <we:customFunctionIds>_xldudf_BCH_YEARLY_NEAREST_SYMBOL</we:customFunctionIds>
        <we:customFunctionIds>_xldudf_BCH_YEARLY_NEAREST_VOLUME</we:customFunctionIds>
        <we:customFunctionIds>_xldudf_BCT_DAILY</we:customFunctionIds>
        <we:customFunctionIds>_xldudf_BCT_DAILY_CONTINUE</we:customFunctionIds>
        <we:customFunctionIds>_xldudf_BCT_DAILY_NEAREST</we:customFunctionIds>
        <we:customFunctionIds>_xldudf_BCT_WEEKLY</we:customFunctionIds>
        <we:customFunctionIds>_xldudf_BCT_WEEKLY_CONTINUE</we:customFunctionIds>
        <we:customFunctionIds>_xldudf_BCT_WEEKLY_NEAREST</we:customFunctionIds>
        <we:customFunctionIds>_xldudf_BCT_MONTHLY</we:customFunctionIds>
        <we:customFunctionIds>_xldudf_BCT_MONTHLY_CONTINUE</we:customFunctionIds>
        <we:customFunctionIds>_xldudf_BCT_MONTHLY_NEAREST</we:customFunctionIds>
        <we:customFunctionIds>_xldudf_BCT_QUARTERLY</we:customFunctionIds>
        <we:customFunctionIds>_xldudf_BCT_QUARTERLY_CONTINUE</we:customFunctionIds>
        <we:customFunctionIds>_xldudf_BCT_QUARTERLY_NEAREST</we:customFunctionIds>
        <we:customFunctionIds>_xldudf_BCT_YEARLY</we:customFunctionIds>
        <we:customFunctionIds>_xldudf_BCT_YEARLY_CONTINUE</we:customFunctionIds>
        <we:customFunctionIds>_xldudf_BCT_YEARLY_NEAREST</we:customFunctionIds>
        <we:customFunctionIds>_xldudf_BCS_ALLG_ALJAW</we:customFunctionIds>
        <we:customFunctionIds>_xldudf_BCS_ALLG_ALTEETH</we:customFunctionIds>
        <we:customFunctionIds>_xldudf_BCS_ALLG_ALLIPS</we:customFunctionIds>
        <we:customFunctionIds>_xldudf_BCS_AVWAP</we:customFunctionIds>
        <we:customFunctionIds>_xldudf_BCS_BBANDS_BOLLBU</we:customFunctionIds>
        <we:customFunctionIds>_xldudf_BCS_BBANDS_BOLLBM</we:customFunctionIds>
        <we:customFunctionIds>_xldudf_BCS_BBANDS_BOLLBL</we:customFunctionIds>
        <we:customFunctionIds>_xldudf_BCS_CPP_CPPH4</we:customFunctionIds>
        <we:customFunctionIds>_xldudf_BCS_CPP_CPPH3</we:customFunctionIds>
        <we:customFunctionIds>_xldudf_BCS_CPP_CPPH2</we:customFunctionIds>
        <we:customFunctionIds>_xldudf_BCS_CPP_CPPH1</we:customFunctionIds>
        <we:customFunctionIds>_xldudf_BCS_CPP_CPPL1</we:customFunctionIds>
        <we:customFunctionIds>_xldudf_BCS_CPP_CPPL2</we:customFunctionIds>
        <we:customFunctionIds>_xldudf_BCS_CPP_CPPL3</we:customFunctionIds>
        <we:customFunctionIds>_xldudf_BCS_CPP_CPPL4</we:customFunctionIds>
        <we:customFunctionIds>_xldudf_BCS_CSHO</we:customFunctionIds>
        <we:customFunctionIds>_xldudf_BCS_CHEXI_CHEXL</we:customFunctionIds>
        <we:customFunctionIds>_xldudf_BCS_CHEXI_CHEXS</we:customFunctionIds>
        <we:customFunctionIds>_xldudf_BCS_DONCHN_DONUP</we:customFunctionIds>
        <we:customFunctionIds>_xldudf_BCS_DONCHN_DONMID</we:customFunctionIds>
        <we:customFunctionIds>_xldudf_BCS_DONCHN_DONLOW</we:customFunctionIds>
        <we:customFunctionIds>_xldudf_BCS_GMMA_GMMA3</we:customFunctionIds>
        <we:customFunctionIds>_xldudf_BCS_GMMA_GMMA5</we:customFunctionIds>
        <we:customFunctionIds>_xldudf_BCS_GMMA_GMMA8</we:customFunctionIds>
        <we:customFunctionIds>_xldudf_BCS_GMMA_GMMA10</we:customFunctionIds>
        <we:customFunctionIds>_xldudf_BCS_GMMA_GMMA12</we:customFunctionIds>
        <we:customFunctionIds>_xldudf_BCS_GMMA_GMMA15</we:customFunctionIds>
        <we:customFunctionIds>_xldudf_BCS_GMMA_GMMA30</we:customFunctionIds>
        <we:customFunctionIds>_xldudf_BCS_GMMA_GMMA35</we:customFunctionIds>
        <we:customFunctionIds>_xldudf_BCS_GMMA_GMMA40</we:customFunctionIds>
        <we:customFunctionIds>_xldudf_BCS_GMMA_GMMA45</we:customFunctionIds>
        <we:customFunctionIds>_xldudf_BCS_GMMA_GMMA50</we:customFunctionIds>
        <we:customFunctionIds>_xldudf_BCS_GMMA_GMMA60</we:customFunctionIds>
        <we:customFunctionIds>_xldudf_BCS_HHLL_HH</we:customFunctionIds>
        <we:customFunctionIds>_xldudf_BCS_HHLL_LL</we:customFunctionIds>
        <we:customFunctionIds>_xldudf_BCS_HMA</we:customFunctionIds>
        <we:customFunctionIds>_xldudf_BCS_ICHCLD_CONVLN</we:customFunctionIds>
        <we:customFunctionIds>_xldudf_BCS_ICHCLD_BASELN</we:customFunctionIds>
        <we:customFunctionIds>_xldudf_BCS_ICHCLD_LAGGSP</we:customFunctionIds>
        <we:customFunctionIds>_xldudf_BCS_ICHCLD_LEADSP1</we:customFunctionIds>
        <we:customFunctionIds>_xldudf_BCS_ICHCLD_LEADSP2</we:customFunctionIds>
        <we:customFunctionIds>_xldudf_BCS_KELBND_KBUP</we:customFunctionIds>
        <we:customFunctionIds>_xldudf_BCS_KELBND_KBMID</we:customFunctionIds>
        <we:customFunctionIds>_xldudf_BCS_KELBND_KBLOW</we:customFunctionIds>
        <we:customFunctionIds>_xldudf_BCS_KELCHN_KCUP</we:customFunctionIds>
        <we:customFunctionIds>_xldudf_BCS_KELCHN_KCMID</we:customFunctionIds>
        <we:customFunctionIds>_xldudf_BCS_KELCHN_KCLOW</we:customFunctionIds>
        <we:customFunctionIds>_xldudf_BCS_KELEXP_KCEUP</we:customFunctionIds>
        <we:customFunctionIds>_xldudf_BCS_KELEXP_KCEMID</we:customFunctionIds>
        <we:customFunctionIds>_xldudf_BCS_KELEXP_KCELOW</we:customFunctionIds>
        <we:customFunctionIds>_xldudf_BCS_LINRCHN_LINRUP</we:customFunctionIds>
        <we:customFunctionIds>_xldudf_BCS_LINRCHN_LINRMID</we:customFunctionIds>
        <we:customFunctionIds>_xldudf_BCS_LINRCHN_LINRLOW</we:customFunctionIds>
        <we:customFunctionIds>_xldudf_BCS_MCGD</we:customFunctionIds>
        <we:customFunctionIds>_xldudf_BCS_MBBANDS_MBBUO</we:customFunctionIds>
        <we:customFunctionIds>_xldudf_BCS_MBBANDS_MBBUI</we:customFunctionIds>
        <we:customFunctionIds>_xldudf_BCS_MBBANDS_MBBM</we:customFunctionIds>
        <we:customFunctionIds>_xldudf_BCS_MBBANDS_MBBLI</we:customFunctionIds>
        <we:customFunctionIds>_xldudf_BCS_MBBANDS_MBBLO</we:customFunctionIds>
        <we:customFunctionIds>_xldudf_BCS_MA</we:customFunctionIds>
        <we:customFunctionIds>_xldudf_BCS_MACLD_MACLD1</we:customFunctionIds>
        <we:customFunctionIds>_xldudf_BCS_MACLD_MACLD2</we:customFunctionIds>
        <we:customFunctionIds>_xldudf_BCS_MAENV_ENVU</we:customFunctionIds>
        <we:customFunctionIds>_xldudf_BCS_MAENV_ENVD</we:customFunctionIds>
        <we:customFunctionIds>_xldudf_BCS_MAENVEXP_ENVEXPU</we:customFunctionIds>
        <we:customFunctionIds>_xldudf_BCS_MAENVEXP_ENVEXPD</we:customFunctionIds>
        <we:customFunctionIds>_xldudf_BCS_MAENVSMO_ENVSMOU</we:customFunctionIds>
        <we:customFunctionIds>_xldudf_BCS_MAENVSMO_ENVSMOD</we:customFunctionIds>
        <we:customFunctionIds>_xldudf_BCS_MAEXP</we:customFunctionIds>
        <we:customFunctionIds>_xldudf_BCS_DEMA</we:customFunctionIds>
        <we:customFunctionIds>_xldudf_BCS_TEMA</we:customFunctionIds>
        <we:customFunctionIds>_xldudf_BCS_MAHLC_MAHI</we:customFunctionIds>
        <we:customFunctionIds>_xldudf_BCS_MAHLC_MALO</we:customFunctionIds>
        <we:customFunctionIds>_xldudf_BCS_MARIB_MA1</we:customFunctionIds>
        <we:customFunctionIds>_xldudf_BCS_MARIB_MA2</we:customFunctionIds>
        <we:customFunctionIds>_xldudf_BCS_MARIB_MA3</we:customFunctionIds>
        <we:customFunctionIds>_xldudf_BCS_MARIB_MA4</we:customFunctionIds>
        <we:customFunctionIds>_xldudf_BCS_MARIB_MA5</we:customFunctionIds>
        <we:customFunctionIds>_xldudf_BCS_MARIB_MA6</we:customFunctionIds>
        <we:customFunctionIds>_xldudf_BCS_MARIB_MA7</we:customFunctionIds>
        <we:customFunctionIds>_xldudf_BCS_MARIB_MA8</we:customFunctionIds>
        <we:customFunctionIds>_xldudf_BCS_MARIB_MA9</we:customFunctionIds>
        <we:customFunctionIds>_xldudf_BCS_MARIB_MA10</we:customFunctionIds>
        <we:customFunctionIds>_xldudf_BCS_MASMO</we:customFunctionIds>
        <we:customFunctionIds>_xldudf_BCS_MATRI</we:customFunctionIds>
        <we:customFunctionIds>_xldudf_BCS_MAWEI</we:customFunctionIds>
        <we:customFunctionIds>_xldudf_BCS_MACROSS_MAS</we:customFunctionIds>
        <we:customFunctionIds>_xldudf_BCS_MACROSS_MAL</we:customFunctionIds>
        <we:customFunctionIds>_xldudf_BCS_MOVLR</we:customFunctionIds>
        <we:customFunctionIds>_xldudf_BCS_PARTP_PARSARS</we:customFunctionIds>
        <we:customFunctionIds>_xldudf_BCS_PARTP_PARSARL</we:customFunctionIds>
        <we:customFunctionIds>_xldudf_BCS_PIVPTS_PPTR3</we:customFunctionIds>
        <we:customFunctionIds>_xldudf_BCS_PIVPTS_PPTR2</we:customFunctionIds>
        <we:customFunctionIds>_xldudf_BCS_PIVPTS_PPTR1</we:customFunctionIds>
        <we:customFunctionIds>_xldudf_BCS_PIVPTS_PPTPIV</we:customFunctionIds>
        <we:customFunctionIds>_xldudf_BCS_PIVPTS_PPTS1</we:customFunctionIds>
        <we:customFunctionIds>_xldudf_BCS_PIVPTS_PPTS2</we:customFunctionIds>
        <we:customFunctionIds>_xldudf_BCS_PIVPTS_PPTS3</we:customFunctionIds>
        <we:customFunctionIds>_xldudf_BCS_PPMOV_PVPTR</we:customFunctionIds>
        <we:customFunctionIds>_xldudf_BCS_PPMOV_PVPT</we:customFunctionIds>
        <we:customFunctionIds>_xldudf_BCS_PPMOV_PVPTS</we:customFunctionIds>
        <we:customFunctionIds>_xldudf_BCS_PLTLN</we:customFunctionIds>
        <we:customFunctionIds>_xldudf_BCS_PACROSS</we:customFunctionIds>
        <we:customFunctionIds>_xldudf_BCS_PC_PCUP1</we:customFunctionIds>
        <we:customFunctionIds>_xldudf_BCS_PC_PCDN1</we:customFunctionIds>
        <we:customFunctionIds>_xldudf_BCS_PC_PCUP2</we:customFunctionIds>
        <we:customFunctionIds>_xldudf_BCS_PC_PCDN2</we:customFunctionIds>
        <we:customFunctionIds>_xldudf_BCS_PC_PCUP3</we:customFunctionIds>
        <we:customFunctionIds>_xldudf_BCS_PC_PCDN3</we:customFunctionIds>
        <we:customFunctionIds>_xldudf_BCS_PC_PCTD</we:customFunctionIds>
        <we:customFunctionIds>_xldudf_BCS_PC_PCTP</we:customFunctionIds>
        <we:customFunctionIds>_xldudf_BCS_REATRHI</we:customFunctionIds>
        <we:customFunctionIds>_xldudf_BCS_REATRLO</we:customFunctionIds>
        <we:customFunctionIds>_xldudf_BCS_SUPTR</we:customFunctionIds>
        <we:customFunctionIds>_xldudf_BCS_TRSP_TRSP1</we:customFunctionIds>
        <we:customFunctionIds>_xldudf_BCS_TRSP_TRSP2</we:customFunctionIds>
        <we:customFunctionIds>_xldudf_BCS_TCHN_TCHNUP</we:customFunctionIds>
        <we:customFunctionIds>_xldudf_BCS_TCHN_TCHNLOW</we:customFunctionIds>
        <we:customFunctionIds>_xldudf_BCS_TCHRE</we:customFunctionIds>
        <we:customFunctionIds>_xldudf_BCS_TP</we:customFunctionIds>
        <we:customFunctionIds>_xldudf_BCS_VSTOP_VSTOPUP</we:customFunctionIds>
        <we:customFunctionIds>_xldudf_BCS_VSTOP_VSTOPLOW</we:customFunctionIds>
        <we:customFunctionIds>_xldudf_BCS_VOL_VOLUME</we:customFunctionIds>
        <we:customFunctionIds>_xldudf_BCS_VOL_OPENINTEREST</we:customFunctionIds>
        <we:customFunctionIds>_xldudf_BCS_VWAP_VWAP</we:customFunctionIds>
        <we:customFunctionIds>_xldudf_BCS_VWAP_VWAPSD1U</we:customFunctionIds>
        <we:customFunctionIds>_xldudf_BCS_VWAP_VWAPSD1L</we:customFunctionIds>
        <we:customFunctionIds>_xldudf_BCS_VWAP_VWAPSD2U</we:customFunctionIds>
        <we:customFunctionIds>_xldudf_BCS_VWAP_VWAPSD2L</we:customFunctionIds>
        <we:customFunctionIds>_xldudf_BCS_WGCL</we:customFunctionIds>
        <we:customFunctionIds>_xldudf_BCS_WWVOL_WWVSARD</we:customFunctionIds>
        <we:customFunctionIds>_xldudf_BCS_WWVOL_WWVSARU</we:customFunctionIds>
        <we:customFunctionIds>_xldudf_BCS_ADWM_ADWM</we:customFunctionIds>
        <we:customFunctionIds>_xldudf_BCS_ADWM_ADWMMA</we:customFunctionIds>
        <we:customFunctionIds>_xldudf_BCS_ARNOSC</we:customFunctionIds>
        <we:customFunctionIds>_xldudf_BCS_ARNUPDW_ARNUP</we:customFunctionIds>
        <we:customFunctionIds>_xldudf_BCS_ARNUPDW_ARNLOW</we:customFunctionIds>
        <we:customFunctionIds>_xldudf_BCS_ADX_MDI</we:customFunctionIds>
        <we:customFunctionIds>_xldudf_BCS_ADX_PDI</we:customFunctionIds>
        <we:customFunctionIds>_xldudf_BCS_ADX_ADX</we:customFunctionIds>
        <we:customFunctionIds>_xldudf_BCS_ADXMOD_MDI</we:customFunctionIds>
        <we:customFunctionIds>_xldudf_BCS_ADXMOD_PDI</we:customFunctionIds>
        <we:customFunctionIds>_xldudf_BCS_ADXMOD_ADXM</we:customFunctionIds>
        <we:customFunctionIds>_xldudf_BCS_ATR_ATR</we:customFunctionIds>
        <we:customFunctionIds>_xldudf_BCS_ATR_ATRMA</we:customFunctionIds>
        <we:customFunctionIds>_xldudf_BCS_ADJATR</we:customFunctionIds>
        <we:customFunctionIds>_xldudf_BCS_ATRP</we:customFunctionIds>
        <we:customFunctionIds>_xldudf_BCS_AWEOSC_AWOS</we:customFunctionIds>
        <we:customFunctionIds>_xldudf_BCS_AWEOSC_AWOSMA</we:customFunctionIds>
        <we:customFunctionIds>_xldudf_BCS_BPERC</we:customFunctionIds>
        <we:customFunctionIds>_xldudf_BCS_BSQUEEZE</we:customFunctionIds>
        <we:customFunctionIds>_xldudf_BCS_BWIDTH</we:customFunctionIds>
        <we:customFunctionIds>_xldudf_BCS_BTI</we:customFunctionIds>
        <we:customFunctionIds>_xldudf_BCS_CSHB</we:customFunctionIds>
        <we:customFunctionIds>_xldudf_BCS_ADL</we:customFunctionIds>
        <we:customFunctionIds>_xldudf_BCS_CHAMF</we:customFunctionIds>
        <we:customFunctionIds>_xldudf_BCS_CHAOSC</we:customFunctionIds>
        <we:customFunctionIds>_xldudf_BCS_CHAVOL</we:customFunctionIds>
        <we:customFunctionIds>_xldudf_BCS_CHDMOMOSC</we:customFunctionIds>
        <we:customFunctionIds>_xldudf_BCS_COTR</we:customFunctionIds>
        <we:customFunctionIds>_xldudf_BCS_CHOP</we:customFunctionIds>
        <we:customFunctionIds>_xldudf_BCS_CLV</we:customFunctionIds>
        <we:customFunctionIds>_xldudf_BCS_COTLC_COTLCCMSP</we:customFunctionIds>
        <we:customFunctionIds>_xldudf_BCS_COTLC_COTLCLGSP</we:customFunctionIds>
        <we:customFunctionIds>_xldudf_BCS_COTLC_COTLCSMSP</we:customFunctionIds>
        <we:customFunctionIds>_xldudf_BCS_COTDAG_COTDAGPRO</we:customFunctionIds>
        <we:customFunctionIds>_xldudf_BCS_COTDAG_COTDAGSPD</we:customFunctionIds>
        <we:customFunctionIds>_xldudf_BCS_COTDAG_COTDAGMNM</we:customFunctionIds>
        <we:customFunctionIds>_xldudf_BCS_COTDAG_COTDAGOTH</we:customFunctionIds>
        <we:customFunctionIds>_xldudf_BCS_COTFTR_COTFTRDLI</we:customFunctionIds>
        <we:customFunctionIds>_xldudf_BCS_COTFTR_COTFTRASM</we:customFunctionIds>
        <we:customFunctionIds>_xldudf_BCS_COTFTR_COTFTRLVF</we:customFunctionIds>
        <we:customFunctionIds>_xldudf_BCS_COTFTR_COTFTROTH</we:customFunctionIds>
        <we:customFunctionIds>_xldudf_BCS_COTI</we:customFunctionIds>
        <we:customFunctionIds>_xldudf_BCS_CCI</we:customFunctionIds>
        <we:customFunctionIds>_xldudf_BCS_CRS_CRS</we:customFunctionIds>
        <we:customFunctionIds>_xldudf_BCS_CRS_CRSAVG</we:customFunctionIds>
        <we:customFunctionIds>_xldudf_BCS_CMBCI_CMBCI</we:customFunctionIds>
        <we:customFunctionIds>_xldudf_BCS_CMBCI_CMBCIF</we:customFunctionIds>
        <we:customFunctionIds>_xldudf_BCS_CMBCI_CMBCIS</we:customFunctionIds>
        <we:customFunctionIds>_xldudf_BCS_COPP</we:customFunctionIds>
        <we:customFunctionIds>_xldudf_BCS_DOSC_DOSCH</we:customFunctionIds>
        <we:customFunctionIds>_xldudf_BCS_DOSC_DOSCS</we:customFunctionIds>
        <we:customFunctionIds>_xldudf_BCS_DPO</we:customFunctionIds>
        <we:customFunctionIds>_xldudf_BCS_DIFA</we:customFunctionIds>
        <we:customFunctionIds>_xldudf_BCS_DONWIDTH</we:customFunctionIds>
        <we:customFunctionIds>_xldudf_BCS_DRS</we:customFunctionIds>
        <we:customFunctionIds>_xldudf_BCS_EMV_EMV</we:customFunctionIds>
        <we:customFunctionIds>_xldudf_BCS_EMV_EMVMA</we:customFunctionIds>
        <we:customFunctionIds>_xldudf_BCS_ERBRPOW</we:customFunctionIds>
        <we:customFunctionIds>_xldudf_BCS_ERBLPOW</we:customFunctionIds>
        <we:customFunctionIds>_xldudf_BCS_FI</we:customFunctionIds>
        <we:customFunctionIds>_xldudf_BCS_GREEKS_DELTA</we:customFunctionIds>
        <we:customFunctionIds>_xldudf_BCS_GREEKS_GAMMA</we:customFunctionIds>
        <we:customFunctionIds>_xldudf_BCS_GREEKS_THETA</we:customFunctionIds>
        <we:customFunctionIds>_xldudf_BCS_GREEKS_VEGA</we:customFunctionIds>
        <we:customFunctionIds>_xldudf_BCS_HV</we:customFunctionIds>
        <we:customFunctionIds>_xldudf_BCS_OPTIV_WEIGHIMPLVOLHIGH</we:customFunctionIds>
        <we:customFunctionIds>_xldudf_BCS_OPTIV_WEIGHIMPLVOL</we:customFunctionIds>
        <we:customFunctionIds>_xldudf_BCS_OPTIV_WEIGHIMPLVOLLOW</we:customFunctionIds>
        <we:customFunctionIds>_xldudf_BCS_IMPVOL</we:customFunctionIds>
        <we:customFunctionIds>_xldudf_BCS_IVPCTL</we:customFunctionIds>
        <we:customFunctionIds>_xldudf_BCS_IVRANK</we:customFunctionIds>
        <we:customFunctionIds>_xldudf_BCS_KST_KST</we:customFunctionIds>
        <we:customFunctionIds>_xldudf_BCS_KST_KSTSIG</we:customFunctionIds>
        <we:customFunctionIds>_xldudf_BCS_MACD_MACD</we:customFunctionIds>
        <we:customFunctionIds>_xldudf_BCS_MACD_MACDS</we:customFunctionIds>
        <we:customFunctionIds>_xldudf_BCS_MACD_MACDH</we:customFunctionIds>
        <we:customFunctionIds>_xldudf_BCS_MACDEXP_MACD</we:customFunctionIds>
        <we:customFunctionIds>_xldudf_BCS_MACDEXP_MACDS</we:customFunctionIds>
        <we:customFunctionIds>_xldudf_BCS_MACDEXP_MACDH</we:customFunctionIds>
        <we:customFunctionIds>_xldudf_BCS_MRS</we:customFunctionIds>
        <we:customFunctionIds>_xldudf_BCS_MI</we:customFunctionIds>
        <we:customFunctionIds>_xldudf_BCS_MCCLO</we:customFunctionIds>
        <we:customFunctionIds>_xldudf_BCS_MOM_MOM</we:customFunctionIds>
        <we:customFunctionIds>_xldudf_BCS_MOM_MOMMA</we:customFunctionIds>
        <we:customFunctionIds>_xldudf_BCS_MFI</we:customFunctionIds>
        <we:customFunctionIds>_xldudf_BCS_MSD</we:customFunctionIds>
        <we:customFunctionIds>_xldudf_BCS_NVI_NVI</we:customFunctionIds>
        <we:customFunctionIds>_xldudf_BCS_NVI_NVIEMA</we:customFunctionIds>
        <we:customFunctionIds>_xldudf_BCS_NHLAI</we:customFunctionIds>
        <we:customFunctionIds>_xldudf_BCS_OBVOL_OBVOL</we:customFunctionIds>
        <we:customFunctionIds>_xldudf_BCS_OBVOL_OBVOLAVG</we:customFunctionIds>
        <we:customFunctionIds>_xldudf_BCS_OPINT</we:customFunctionIds>
        <we:customFunctionIds>_xldudf_BCS_OPTOI_TOTALOPENINT</we:customFunctionIds>
        <we:customFunctionIds>_xldudf_BCS_OPTOI_PUTOPENINT</we:customFunctionIds>
        <we:customFunctionIds>_xldudf_BCS_OPTOI_CALLOPENINT</we:customFunctionIds>
        <we:customFunctionIds>_xldudf_BCS_OPTVOL_OPTTOTVOL</we:customFunctionIds>
        <we:customFunctionIds>_xldudf_BCS_OPTVOL_OPTPUTVOL</we:customFunctionIds>
        <we:customFunctionIds>_xldudf_BCS_OPTVOL_OPTCALLVOL</we:customFunctionIds>
        <we:customFunctionIds>_xldudf_BCS_OSCI</we:customFunctionIds>
        <we:customFunctionIds>_xldudf_BCS_PCTCHG</we:customFunctionIds>
        <we:customFunctionIds>_xldudf_BCS_PPO_PPO</we:customFunctionIds>
        <we:customFunctionIds>_xldudf_BCS_PPO_PPOS</we:customFunctionIds>
        <we:customFunctionIds>_xldudf_BCS_PPO_PPOH</we:customFunctionIds>
        <we:customFunctionIds>_xldudf_BCS_PVO_PVO</we:customFunctionIds>
        <we:customFunctionIds>_xldudf_BCS_PVO_PVOS</we:customFunctionIds>
        <we:customFunctionIds>_xldudf_BCS_PVO_PVOH</we:customFunctionIds>
        <we:customFunctionIds>_xldudf_BCS_PVI_PVI</we:customFunctionIds>
        <we:customFunctionIds>_xldudf_BCS_PVI_PVIEMA</we:customFunctionIds>
        <we:customFunctionIds>_xldudf_BCS_PMO_PMO</we:customFunctionIds>
        <we:customFunctionIds>_xldudf_BCS_PMO_PMOS</we:customFunctionIds>
        <we:customFunctionIds>_xldudf_BCS_PERF</we:customFunctionIds>
        <we:customFunctionIds>_xldudf_BCS_PVT</we:customFunctionIds>
        <we:customFunctionIds>_xldudf_BCS_OPTOIPC</we:customFunctionIds>
        <we:customFunctionIds>_xldudf_BCS_OPTVOLPC</we:customFunctionIds>
        <we:customFunctionIds>_xldudf_BCS_ROC</we:customFunctionIds>
        <we:customFunctionIds>_xldudf_BCS_RSI_RSI</we:customFunctionIds>
        <we:customFunctionIds>_xldudf_BCS_RSI_RSIAVG</we:customFunctionIds>
        <we:customFunctionIds>_xldudf_BCS_RSIMOD_RSI</we:customFunctionIds>
        <we:customFunctionIds>_xldudf_BCS_RSIMOD_RSIAVG</we:customFunctionIds>
        <we:customFunctionIds>_xldudf_BCS_RVOL</we:customFunctionIds>
        <we:customFunctionIds>_xldudf_BCS_STC</we:customFunctionIds>
        <we:customFunctionIds>_xldudf_BCS_STOMOMIX</we:customFunctionIds>
        <we:customFunctionIds>_xldudf_BCS_RSISTO_STORSI</we:customFunctionIds>
        <we:customFunctionIds>_xldudf_BCS_RSISTO_STORSIAVG</we:customFunctionIds>
        <we:customFunctionIds>_xldudf_BCS_STOCHF_PERCK</we:customFunctionIds>
        <we:customFunctionIds>_xldudf_BCS_STOCHF_PERCD</we:customFunctionIds>
        <we:customFunctionIds>_xldudf_BCS_STOCHS_PERCK</we:customFunctionIds>
        <we:customFunctionIds>_xldudf_BCS_STOCHS_PERCD</we:customFunctionIds>
        <we:customFunctionIds>_xldudf_BCS_TTMSQZ_TTMSQZOSC</we:customFunctionIds>
        <we:customFunctionIds>_xldudf_BCS_TTMSQZ_TTMSQZOFF</we:customFunctionIds>
        <we:customFunctionIds>_xldudf_BCS_TTMSQZ_TTMSQZON</we:customFunctionIds>
        <we:customFunctionIds>_xldudf_BCS_TRIX</we:customFunctionIds>
        <we:customFunctionIds>_xldudf_BCS_TSI_TSI</we:customFunctionIds>
        <we:customFunctionIds>_xldudf_BCS_TSI_TSISIG</we:customFunctionIds>
        <we:customFunctionIds>_xldudf_BCS_MAVOL_VOLMA</we:customFunctionIds>
        <we:customFunctionIds>_xldudf_BCS_MAVOL_VOLUME</we:customFunctionIds>
        <we:customFunctionIds>_xldudf_BCS_OSCIVOL</we:customFunctionIds>
        <we:customFunctionIds>_xldudf_BCS_VOIN_PLVI</we:customFunctionIds>
        <we:customFunctionIds>_xldudf_BCS_VOIN_MNVI</we:customFunctionIds>
        <we:customFunctionIds>_xldudf_BCS_WGALPH</we:customFunctionIds>
        <we:customFunctionIds>_xldudf_BCS_WASI</we:customFunctionIds>
        <we:customFunctionIds>_xldudf_BCS_WPERCR</we:customFunctionIds>
        <we:customFunctionIds>_xldudf_BCQ</we:customFunctionIds>
        <we:customFunctionIds>_xldudf_BCCH</we:customFunctionIds>
        <we:customFunctionIds>_xldudf_BCTS</we:customFunctionIds>
        <we:customFunctionIds>_xldudf_BCO</we:customFunctionIds>
        <we:customFunctionIds>_xldudf_BCFC</we:customFunctionIds>
        <we:customFunctionIds>_xldudf_BCOE</we:customFunctionIds>
        <we:customFunctionIds>_xldudf_BCOB</we:customFunctionIds>
        <we:customFunctionIds>_xldudf_BCOBSY</we:customFunctionIds>
        <we:customFunctionIds>_xldudf_BCCON</we:customFunctionIds>
        <we:customFunctionIds>_xldudf_BCD</we:customFunctionIds>
        <we:customFunctionIds>_xldudf_BCOST</we:customFunctionIds>
        <we:customFunctionIds>_xldudf_BCOSY</we:customFunctionIds>
        <we:customFunctionIds>_xldudf_BCOBS</we:customFunctionIds>
        <we:customFunctionIds>_xldudf_BCSTL</we:customFunctionIds>
        <we:customFunctionIds>_xldudf_BCFCF</we:customFunctionIds>
        <we:customFunctionIds>_xldudf_BCOBL</we:customFunctionIds>
        <we:customFunctionIds>_xldudf_BCCV</we:customFunctionIds>
        <we:customFunctionIds>_xldudf_BC_ADJ_DIVIDEND</we:customFunctionIds>
        <we:customFunctionIds>_xldudf_BC_ADJ_CONTINUATION</we:customFunctionIds>
        <we:customFunctionIds>_xldudf_BC_TOTAL_VOLUME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118"/>
  <sheetViews>
    <sheetView workbookViewId="0">
      <selection activeCell="B4" sqref="B4"/>
    </sheetView>
  </sheetViews>
  <sheetFormatPr defaultRowHeight="15" x14ac:dyDescent="0.25"/>
  <cols>
    <col min="1" max="1" width="10.42578125" style="4" bestFit="1" customWidth="1"/>
    <col min="11" max="11" width="10.42578125" style="4" bestFit="1" customWidth="1"/>
    <col min="21" max="21" width="10.42578125" style="4" bestFit="1" customWidth="1"/>
    <col min="31" max="31" width="10.42578125" style="4" bestFit="1" customWidth="1"/>
    <col min="41" max="41" width="10.42578125" style="4" bestFit="1" customWidth="1"/>
    <col min="51" max="51" width="10.42578125" style="4" bestFit="1" customWidth="1"/>
  </cols>
  <sheetData>
    <row r="1" spans="1:59" x14ac:dyDescent="0.25">
      <c r="A1" t="str" cm="1">
        <f t="array" ref="A1">_xldudf_BCTS(B1:I1,B2:I2,"Aggregation=Daily","AggSize=1","AggSpec=Continue",DATE(2026,5,8),,,,"Sort=Desc","Orientation=Vertical","Roll=1","Volume=Contract","Bars=1")</f>
        <v>History</v>
      </c>
      <c r="B1" t="s">
        <v>8</v>
      </c>
      <c r="K1" t="str" cm="1">
        <f t="array" ref="K1">_xldudf_BCTS(L1:S1,L2:S2,"Aggregation=Daily","AggSize=1","AggSpec=Continue",DATE(2026,5,8),,,,"Sort=Desc","Orientation=Vertical","Roll=1","Volume=Contract","Bars=1")</f>
        <v>History</v>
      </c>
      <c r="L1" t="s">
        <v>9</v>
      </c>
      <c r="U1" t="str" cm="1">
        <f t="array" ref="U1">_xldudf_BCTS(V1:AC1,V2:AC2,"Aggregation=Daily","AggSize=1","AggSpec=Continue",DATE(2026,5,8),,,,"Sort=Desc","Orientation=Vertical","Roll=1","Volume=Contract","Bars=1")</f>
        <v>History</v>
      </c>
      <c r="V1" t="s">
        <v>10</v>
      </c>
      <c r="AE1" t="str" cm="1">
        <f t="array" ref="AE1">_xldudf_BCTS(AF1:AM1,AF2:AM2,"Aggregation=Daily","AggSize=1","AggSpec=Continue",DATE(2026,5,8),,,,"Sort=Desc","Orientation=Vertical","Roll=1","Volume=Contract","Bars=1")</f>
        <v>History</v>
      </c>
      <c r="AF1" t="s">
        <v>11</v>
      </c>
      <c r="AO1" t="str" cm="1">
        <f t="array" ref="AO1">_xldudf_BCTS(AP1:AW1,AP2:AW2,"Aggregation=Daily","AggSize=1","AggSpec=Continue",DATE(2026,5,8),,,,"Sort=Desc","Orientation=Vertical","Roll=1","Volume=Contract","Bars=1")</f>
        <v>History</v>
      </c>
      <c r="AP1" t="s">
        <v>12</v>
      </c>
      <c r="AY1" t="str" cm="1">
        <f t="array" ref="AY1">_xldudf_BCTS(AZ1:BG1,AZ2:BG2,"Aggregation=Daily","AggSize=1","AggSpec=Continue",DATE(2026,5,8),,,,"Sort=Desc","Orientation=Vertical","Roll=1","Volume=Contract","Bars=1")</f>
        <v>History</v>
      </c>
      <c r="AZ1" t="s">
        <v>13</v>
      </c>
    </row>
    <row r="2" spans="1:59" x14ac:dyDescent="0.25">
      <c r="A2" t="s">
        <v>14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K2" t="s">
        <v>14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U2" t="s">
        <v>14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E2" t="s">
        <v>14</v>
      </c>
      <c r="AF2" t="s">
        <v>20</v>
      </c>
      <c r="AG2" t="s">
        <v>21</v>
      </c>
      <c r="AH2" t="s">
        <v>22</v>
      </c>
      <c r="AI2" t="s">
        <v>23</v>
      </c>
      <c r="AJ2" t="s">
        <v>24</v>
      </c>
      <c r="AK2" t="s">
        <v>25</v>
      </c>
      <c r="AL2" t="s">
        <v>26</v>
      </c>
      <c r="AM2" t="s">
        <v>27</v>
      </c>
      <c r="AO2" t="s">
        <v>14</v>
      </c>
      <c r="AP2" t="s">
        <v>20</v>
      </c>
      <c r="AQ2" t="s">
        <v>21</v>
      </c>
      <c r="AR2" t="s">
        <v>22</v>
      </c>
      <c r="AS2" t="s">
        <v>23</v>
      </c>
      <c r="AT2" t="s">
        <v>24</v>
      </c>
      <c r="AU2" t="s">
        <v>25</v>
      </c>
      <c r="AV2" t="s">
        <v>26</v>
      </c>
      <c r="AW2" t="s">
        <v>27</v>
      </c>
      <c r="AY2" t="s">
        <v>14</v>
      </c>
      <c r="AZ2" t="s">
        <v>20</v>
      </c>
      <c r="BA2" t="s">
        <v>21</v>
      </c>
      <c r="BB2" t="s">
        <v>22</v>
      </c>
      <c r="BC2" t="s">
        <v>23</v>
      </c>
      <c r="BD2" t="s">
        <v>24</v>
      </c>
      <c r="BE2" t="s">
        <v>25</v>
      </c>
      <c r="BF2" t="s">
        <v>26</v>
      </c>
      <c r="BG2" t="s">
        <v>27</v>
      </c>
    </row>
    <row r="3" spans="1:59" x14ac:dyDescent="0.25">
      <c r="A3" s="1">
        <v>46150</v>
      </c>
      <c r="B3">
        <v>237.45</v>
      </c>
      <c r="C3">
        <v>240.92500000000001</v>
      </c>
      <c r="D3">
        <v>241.625</v>
      </c>
      <c r="E3">
        <v>236.75</v>
      </c>
      <c r="F3" s="5">
        <v>0</v>
      </c>
      <c r="G3">
        <v>4095</v>
      </c>
      <c r="I3" t="s">
        <v>8</v>
      </c>
      <c r="K3" s="1">
        <v>46150</v>
      </c>
      <c r="L3">
        <v>236.82499999999999</v>
      </c>
      <c r="M3">
        <v>238.5</v>
      </c>
      <c r="N3">
        <v>241</v>
      </c>
      <c r="O3">
        <v>236.17500000000001</v>
      </c>
      <c r="P3" s="5">
        <v>0</v>
      </c>
      <c r="Q3">
        <v>1132</v>
      </c>
      <c r="S3" t="s">
        <v>9</v>
      </c>
      <c r="U3" s="1">
        <v>46150</v>
      </c>
      <c r="V3">
        <v>248.9</v>
      </c>
      <c r="W3">
        <v>251.6</v>
      </c>
      <c r="X3">
        <v>253.72499999999999</v>
      </c>
      <c r="Y3">
        <v>248.7</v>
      </c>
      <c r="Z3" s="5">
        <v>0</v>
      </c>
      <c r="AA3">
        <v>32463</v>
      </c>
      <c r="AC3" t="s">
        <v>10</v>
      </c>
      <c r="AE3" s="1">
        <v>46150</v>
      </c>
      <c r="AF3">
        <v>244.1</v>
      </c>
      <c r="AG3">
        <v>247.27500000000001</v>
      </c>
      <c r="AH3">
        <v>249.3</v>
      </c>
      <c r="AI3">
        <v>243.95</v>
      </c>
      <c r="AJ3" s="5">
        <v>0</v>
      </c>
      <c r="AK3">
        <v>29718</v>
      </c>
      <c r="AM3" t="s">
        <v>11</v>
      </c>
      <c r="AO3" s="1">
        <v>46150</v>
      </c>
      <c r="AP3">
        <v>238.3</v>
      </c>
      <c r="AQ3">
        <v>241.05</v>
      </c>
      <c r="AR3">
        <v>242.92500000000001</v>
      </c>
      <c r="AS3">
        <v>237.72499999999999</v>
      </c>
      <c r="AT3" s="5">
        <v>0</v>
      </c>
      <c r="AU3">
        <v>13679</v>
      </c>
      <c r="AW3" t="s">
        <v>12</v>
      </c>
      <c r="AY3" s="1">
        <v>46150</v>
      </c>
      <c r="AZ3">
        <v>237.52500000000001</v>
      </c>
      <c r="BA3">
        <v>239.97499999999999</v>
      </c>
      <c r="BB3">
        <v>242</v>
      </c>
      <c r="BC3">
        <v>236.8</v>
      </c>
      <c r="BD3" s="5">
        <v>0</v>
      </c>
      <c r="BE3">
        <v>9305</v>
      </c>
      <c r="BG3" t="s">
        <v>13</v>
      </c>
    </row>
    <row r="4" spans="1:59" x14ac:dyDescent="0.25">
      <c r="A4"/>
      <c r="K4"/>
      <c r="U4"/>
      <c r="AE4"/>
      <c r="AO4"/>
      <c r="AY4"/>
    </row>
    <row r="5" spans="1:59" x14ac:dyDescent="0.25">
      <c r="A5"/>
      <c r="K5"/>
      <c r="U5"/>
      <c r="AE5"/>
      <c r="AO5"/>
      <c r="AY5"/>
    </row>
    <row r="6" spans="1:59" x14ac:dyDescent="0.25">
      <c r="A6"/>
      <c r="K6"/>
      <c r="U6"/>
      <c r="AE6"/>
      <c r="AO6"/>
      <c r="AY6"/>
    </row>
    <row r="7" spans="1:59" x14ac:dyDescent="0.25">
      <c r="A7"/>
      <c r="K7"/>
      <c r="U7"/>
      <c r="AE7"/>
      <c r="AO7"/>
      <c r="AY7"/>
    </row>
    <row r="8" spans="1:59" x14ac:dyDescent="0.25">
      <c r="A8"/>
      <c r="K8"/>
      <c r="U8"/>
      <c r="AE8"/>
      <c r="AO8"/>
      <c r="AY8"/>
    </row>
    <row r="9" spans="1:59" x14ac:dyDescent="0.25">
      <c r="A9"/>
      <c r="K9"/>
      <c r="U9"/>
      <c r="AE9"/>
      <c r="AO9"/>
      <c r="AY9"/>
    </row>
    <row r="10" spans="1:59" x14ac:dyDescent="0.25">
      <c r="A10"/>
      <c r="K10"/>
      <c r="U10"/>
      <c r="AE10"/>
      <c r="AO10"/>
      <c r="AY10"/>
    </row>
    <row r="11" spans="1:59" x14ac:dyDescent="0.25">
      <c r="A11"/>
      <c r="K11"/>
      <c r="U11"/>
      <c r="AE11"/>
      <c r="AO11"/>
      <c r="AY11"/>
    </row>
    <row r="12" spans="1:59" x14ac:dyDescent="0.25">
      <c r="A12"/>
      <c r="K12"/>
      <c r="U12"/>
      <c r="AE12"/>
      <c r="AO12"/>
      <c r="AY12"/>
    </row>
    <row r="13" spans="1:59" x14ac:dyDescent="0.25">
      <c r="A13"/>
      <c r="K13"/>
      <c r="U13"/>
      <c r="AE13"/>
      <c r="AO13"/>
      <c r="AY13"/>
    </row>
    <row r="14" spans="1:59" x14ac:dyDescent="0.25">
      <c r="A14"/>
      <c r="K14"/>
      <c r="U14"/>
      <c r="AE14"/>
      <c r="AO14"/>
      <c r="AY14"/>
    </row>
    <row r="15" spans="1:59" x14ac:dyDescent="0.25">
      <c r="A15"/>
      <c r="K15"/>
      <c r="U15"/>
      <c r="AE15"/>
      <c r="AO15"/>
      <c r="AY15"/>
    </row>
    <row r="16" spans="1:59" x14ac:dyDescent="0.25">
      <c r="A16"/>
      <c r="K16"/>
      <c r="U16"/>
      <c r="AE16"/>
      <c r="AO16"/>
      <c r="AY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4118"/>
  <sheetViews>
    <sheetView workbookViewId="0">
      <selection activeCell="B3" sqref="B3"/>
    </sheetView>
  </sheetViews>
  <sheetFormatPr defaultRowHeight="15" x14ac:dyDescent="0.25"/>
  <cols>
    <col min="1" max="1" width="10.42578125" style="4" bestFit="1" customWidth="1"/>
    <col min="11" max="11" width="10.42578125" style="4" bestFit="1" customWidth="1"/>
    <col min="21" max="21" width="10.42578125" style="4" bestFit="1" customWidth="1"/>
    <col min="31" max="31" width="10.42578125" style="4" bestFit="1" customWidth="1"/>
    <col min="41" max="41" width="10.42578125" style="4" bestFit="1" customWidth="1"/>
    <col min="51" max="51" width="10.42578125" style="4" bestFit="1" customWidth="1"/>
    <col min="61" max="61" width="10.42578125" style="4" bestFit="1" customWidth="1"/>
    <col min="71" max="71" width="10.42578125" style="4" bestFit="1" customWidth="1"/>
  </cols>
  <sheetData>
    <row r="1" spans="1:79" x14ac:dyDescent="0.25">
      <c r="A1" t="str" cm="1">
        <f t="array" ref="A1">_xldudf_BCTS(B1:I1,B2:I2,"Aggregation=Daily","AggSize=1","AggSpec=Continue",DATE(2026,5,8),,,,"Sort=Desc","Orientation=Vertical","Roll=1","Volume=Contract","Bars=1")</f>
        <v>History</v>
      </c>
      <c r="B1" t="s">
        <v>0</v>
      </c>
      <c r="K1" t="str" cm="1">
        <f t="array" ref="K1">_xldudf_BCTS(L1:S1,L2:S2,"Aggregation=Daily","AggSize=1","AggSpec=Continue",DATE(2026,5,8),,,,"Sort=Desc","Orientation=Vertical","Roll=1","Volume=Contract","Bars=1")</f>
        <v>History</v>
      </c>
      <c r="L1" t="s">
        <v>1</v>
      </c>
      <c r="U1" t="str" cm="1">
        <f t="array" ref="U1">_xldudf_BCTS(V1:AC1,V2:AC2,"Aggregation=Daily","AggSize=1","AggSpec=Continue",DATE(2026,5,8),,,,"Sort=Desc","Orientation=Vertical","Roll=1","Volume=Contract","Bars=1")</f>
        <v>History</v>
      </c>
      <c r="V1" t="s">
        <v>2</v>
      </c>
      <c r="AE1" t="str" cm="1">
        <f t="array" ref="AE1">_xldudf_BCTS(AF1:AM1,AF2:AM2,"Aggregation=Daily","AggSize=1","AggSpec=Continue",DATE(2026,5,8),,,,"Sort=Desc","Orientation=Vertical","Roll=1","Volume=Contract","Bars=1")</f>
        <v>History</v>
      </c>
      <c r="AF1" t="s">
        <v>3</v>
      </c>
      <c r="AO1" t="str" cm="1">
        <f t="array" ref="AO1">_xldudf_BCTS(AP1:AW1,AP2:AW2,"Aggregation=Daily","AggSize=1","AggSpec=Continue",DATE(2026,5,8),,,,"Sort=Desc","Orientation=Vertical","Roll=1","Volume=Contract","Bars=1")</f>
        <v>History</v>
      </c>
      <c r="AP1" t="s">
        <v>4</v>
      </c>
      <c r="AY1" t="str" cm="1">
        <f t="array" ref="AY1">_xldudf_BCTS(AZ1:BG1,AZ2:BG2,"Aggregation=Daily","AggSize=1","AggSpec=Continue",DATE(2026,5,8),,,,"Sort=Desc","Orientation=Vertical","Roll=1","Volume=Contract","Bars=1")</f>
        <v>History</v>
      </c>
      <c r="AZ1" t="s">
        <v>5</v>
      </c>
      <c r="BI1" t="str" cm="1">
        <f t="array" ref="BI1">_xldudf_BCTS(BJ1:BQ1,BJ2:BQ2,"Aggregation=Daily","AggSize=1","AggSpec=Continue",DATE(2026,5,8),,,,"Sort=Desc","Orientation=Vertical","Roll=1","Volume=Contract","Bars=1")</f>
        <v>History</v>
      </c>
      <c r="BJ1" t="s">
        <v>6</v>
      </c>
      <c r="BS1" t="str" cm="1">
        <f t="array" ref="BS1">_xldudf_BCTS(BT1:CA1,BT2:CA2,"Aggregation=Daily","AggSize=1","AggSpec=Continue",DATE(2026,5,8),,,,"Sort=Desc","Orientation=Vertical","Roll=1","Volume=Contract","Bars=1")</f>
        <v>History</v>
      </c>
      <c r="BT1" t="s">
        <v>7</v>
      </c>
    </row>
    <row r="2" spans="1:79" x14ac:dyDescent="0.25">
      <c r="A2" t="s">
        <v>14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K2" t="s">
        <v>14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U2" t="s">
        <v>14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E2" t="s">
        <v>14</v>
      </c>
      <c r="AF2" t="s">
        <v>20</v>
      </c>
      <c r="AG2" t="s">
        <v>21</v>
      </c>
      <c r="AH2" t="s">
        <v>22</v>
      </c>
      <c r="AI2" t="s">
        <v>23</v>
      </c>
      <c r="AJ2" t="s">
        <v>24</v>
      </c>
      <c r="AK2" t="s">
        <v>25</v>
      </c>
      <c r="AL2" t="s">
        <v>26</v>
      </c>
      <c r="AM2" t="s">
        <v>27</v>
      </c>
      <c r="AO2" t="s">
        <v>14</v>
      </c>
      <c r="AP2" t="s">
        <v>20</v>
      </c>
      <c r="AQ2" t="s">
        <v>21</v>
      </c>
      <c r="AR2" t="s">
        <v>22</v>
      </c>
      <c r="AS2" t="s">
        <v>23</v>
      </c>
      <c r="AT2" t="s">
        <v>24</v>
      </c>
      <c r="AU2" t="s">
        <v>25</v>
      </c>
      <c r="AV2" t="s">
        <v>26</v>
      </c>
      <c r="AW2" t="s">
        <v>27</v>
      </c>
      <c r="AY2" t="s">
        <v>14</v>
      </c>
      <c r="AZ2" t="s">
        <v>20</v>
      </c>
      <c r="BA2" t="s">
        <v>21</v>
      </c>
      <c r="BB2" t="s">
        <v>22</v>
      </c>
      <c r="BC2" t="s">
        <v>23</v>
      </c>
      <c r="BD2" t="s">
        <v>24</v>
      </c>
      <c r="BE2" t="s">
        <v>25</v>
      </c>
      <c r="BF2" t="s">
        <v>26</v>
      </c>
      <c r="BG2" t="s">
        <v>27</v>
      </c>
      <c r="BI2" t="s">
        <v>14</v>
      </c>
      <c r="BJ2" t="s">
        <v>20</v>
      </c>
      <c r="BK2" t="s">
        <v>21</v>
      </c>
      <c r="BL2" t="s">
        <v>22</v>
      </c>
      <c r="BM2" t="s">
        <v>23</v>
      </c>
      <c r="BN2" t="s">
        <v>24</v>
      </c>
      <c r="BO2" t="s">
        <v>25</v>
      </c>
      <c r="BP2" t="s">
        <v>26</v>
      </c>
      <c r="BQ2" t="s">
        <v>27</v>
      </c>
      <c r="BS2" t="s">
        <v>14</v>
      </c>
      <c r="BT2" t="s">
        <v>20</v>
      </c>
      <c r="BU2" t="s">
        <v>21</v>
      </c>
      <c r="BV2" t="s">
        <v>22</v>
      </c>
      <c r="BW2" t="s">
        <v>23</v>
      </c>
      <c r="BX2" t="s">
        <v>24</v>
      </c>
      <c r="BY2" t="s">
        <v>25</v>
      </c>
      <c r="BZ2" t="s">
        <v>26</v>
      </c>
      <c r="CA2" t="s">
        <v>27</v>
      </c>
    </row>
    <row r="3" spans="1:79" x14ac:dyDescent="0.25">
      <c r="A3" s="1">
        <v>46150</v>
      </c>
      <c r="B3">
        <v>350.65</v>
      </c>
      <c r="C3">
        <v>357.1</v>
      </c>
      <c r="D3">
        <v>357.7</v>
      </c>
      <c r="E3">
        <v>348.85</v>
      </c>
      <c r="F3" s="5">
        <v>0</v>
      </c>
      <c r="G3">
        <v>246</v>
      </c>
      <c r="I3" t="s">
        <v>0</v>
      </c>
      <c r="K3" s="1">
        <v>46150</v>
      </c>
      <c r="L3">
        <v>346.2</v>
      </c>
      <c r="M3">
        <v>349.35</v>
      </c>
      <c r="N3">
        <v>352.02499999999998</v>
      </c>
      <c r="O3">
        <v>344.47500000000002</v>
      </c>
      <c r="P3" s="5">
        <v>0</v>
      </c>
      <c r="Q3">
        <v>74</v>
      </c>
      <c r="S3" t="s">
        <v>1</v>
      </c>
      <c r="U3" s="1">
        <v>46150</v>
      </c>
      <c r="V3">
        <v>344.52499999999998</v>
      </c>
      <c r="W3">
        <v>343.4</v>
      </c>
      <c r="X3">
        <v>349.8</v>
      </c>
      <c r="Y3">
        <v>342.65</v>
      </c>
      <c r="Z3" s="5">
        <v>0</v>
      </c>
      <c r="AA3">
        <v>20</v>
      </c>
      <c r="AC3" t="s">
        <v>2</v>
      </c>
      <c r="AE3" s="1">
        <v>46150</v>
      </c>
      <c r="AF3">
        <v>367.375</v>
      </c>
      <c r="AG3">
        <v>368.32499999999999</v>
      </c>
      <c r="AH3">
        <v>370.25</v>
      </c>
      <c r="AI3">
        <v>365.02499999999998</v>
      </c>
      <c r="AJ3" s="5">
        <v>0</v>
      </c>
      <c r="AK3">
        <v>3955</v>
      </c>
      <c r="AM3" t="s">
        <v>3</v>
      </c>
      <c r="AO3" s="1">
        <v>46150</v>
      </c>
      <c r="AP3">
        <v>364.22500000000002</v>
      </c>
      <c r="AQ3">
        <v>368.5</v>
      </c>
      <c r="AR3">
        <v>370.4</v>
      </c>
      <c r="AS3">
        <v>361.6</v>
      </c>
      <c r="AT3" s="5">
        <v>0</v>
      </c>
      <c r="AU3">
        <v>12055</v>
      </c>
      <c r="AW3" t="s">
        <v>4</v>
      </c>
      <c r="AY3" s="1">
        <v>46150</v>
      </c>
      <c r="AZ3">
        <v>362.22500000000002</v>
      </c>
      <c r="BA3">
        <v>367.22500000000002</v>
      </c>
      <c r="BB3">
        <v>369</v>
      </c>
      <c r="BC3">
        <v>359.85</v>
      </c>
      <c r="BD3" s="5">
        <v>0</v>
      </c>
      <c r="BE3">
        <v>4208</v>
      </c>
      <c r="BG3" t="s">
        <v>5</v>
      </c>
      <c r="BI3" s="1">
        <v>46150</v>
      </c>
      <c r="BJ3">
        <v>359.8</v>
      </c>
      <c r="BK3">
        <v>365.52499999999998</v>
      </c>
      <c r="BL3">
        <v>366.47500000000002</v>
      </c>
      <c r="BM3">
        <v>357.6</v>
      </c>
      <c r="BN3" s="5">
        <v>0</v>
      </c>
      <c r="BO3">
        <v>1969</v>
      </c>
      <c r="BQ3" t="s">
        <v>6</v>
      </c>
      <c r="BS3" s="1">
        <v>46150</v>
      </c>
      <c r="BT3">
        <v>356.72500000000002</v>
      </c>
      <c r="BU3">
        <v>361.47500000000002</v>
      </c>
      <c r="BV3">
        <v>363.7</v>
      </c>
      <c r="BW3">
        <v>354.75</v>
      </c>
      <c r="BX3" s="5">
        <v>0</v>
      </c>
      <c r="BY3">
        <v>824</v>
      </c>
      <c r="CA3" t="s">
        <v>7</v>
      </c>
    </row>
    <row r="4" spans="1:79" x14ac:dyDescent="0.25">
      <c r="A4"/>
      <c r="K4"/>
      <c r="U4"/>
      <c r="AE4"/>
      <c r="AO4"/>
      <c r="AY4"/>
      <c r="BI4"/>
      <c r="BS4"/>
    </row>
    <row r="5" spans="1:79" x14ac:dyDescent="0.25">
      <c r="A5"/>
      <c r="K5"/>
      <c r="U5"/>
      <c r="AE5"/>
      <c r="AO5"/>
      <c r="AY5"/>
      <c r="BI5"/>
      <c r="BS5"/>
    </row>
    <row r="6" spans="1:79" x14ac:dyDescent="0.25">
      <c r="A6"/>
      <c r="K6"/>
      <c r="U6"/>
      <c r="AE6"/>
      <c r="AO6"/>
      <c r="AY6"/>
      <c r="BI6"/>
      <c r="BS6"/>
    </row>
    <row r="7" spans="1:79" x14ac:dyDescent="0.25">
      <c r="A7"/>
      <c r="K7"/>
      <c r="U7"/>
      <c r="AE7"/>
      <c r="AO7"/>
      <c r="AY7"/>
      <c r="BI7"/>
      <c r="BS7"/>
    </row>
    <row r="8" spans="1:79" x14ac:dyDescent="0.25">
      <c r="A8"/>
      <c r="K8"/>
      <c r="U8"/>
      <c r="AE8"/>
      <c r="AO8"/>
      <c r="AY8"/>
      <c r="BI8"/>
      <c r="BS8"/>
    </row>
    <row r="9" spans="1:79" x14ac:dyDescent="0.25">
      <c r="A9"/>
      <c r="K9"/>
      <c r="U9"/>
      <c r="AE9"/>
      <c r="AO9"/>
      <c r="AY9"/>
      <c r="BI9"/>
      <c r="BS9"/>
    </row>
    <row r="10" spans="1:79" x14ac:dyDescent="0.25">
      <c r="A10"/>
      <c r="K10"/>
      <c r="U10"/>
      <c r="AE10"/>
      <c r="AO10"/>
      <c r="AY10"/>
      <c r="BI10"/>
      <c r="BS10"/>
    </row>
    <row r="11" spans="1:79" x14ac:dyDescent="0.25">
      <c r="A11"/>
      <c r="K11"/>
      <c r="U11"/>
      <c r="AE11"/>
      <c r="AO11"/>
      <c r="AY11"/>
      <c r="BI11"/>
      <c r="BS11"/>
    </row>
    <row r="12" spans="1:79" x14ac:dyDescent="0.25">
      <c r="A12"/>
      <c r="K12"/>
      <c r="U12"/>
      <c r="AE12"/>
      <c r="AO12"/>
      <c r="AY12"/>
      <c r="BI12"/>
      <c r="BS12"/>
    </row>
    <row r="13" spans="1:79" x14ac:dyDescent="0.25">
      <c r="A13"/>
      <c r="K13"/>
      <c r="U13"/>
      <c r="AE13"/>
      <c r="AO13"/>
      <c r="AY13"/>
      <c r="BI13"/>
      <c r="BS13"/>
    </row>
    <row r="14" spans="1:79" x14ac:dyDescent="0.25">
      <c r="A14"/>
      <c r="K14"/>
      <c r="U14"/>
      <c r="AE14"/>
      <c r="AO14"/>
      <c r="AY14"/>
      <c r="BI14"/>
      <c r="BS14"/>
    </row>
    <row r="15" spans="1:79" x14ac:dyDescent="0.25">
      <c r="A15"/>
      <c r="K15"/>
      <c r="U15"/>
      <c r="AE15"/>
      <c r="AO15"/>
      <c r="AY15"/>
      <c r="BI15"/>
      <c r="BS15"/>
    </row>
    <row r="16" spans="1:79" x14ac:dyDescent="0.25">
      <c r="A16"/>
      <c r="K16"/>
      <c r="U16"/>
      <c r="AE16"/>
      <c r="AO16"/>
      <c r="AY16"/>
      <c r="BI16"/>
      <c r="BS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spans="31:31" customFormat="1" x14ac:dyDescent="0.25"/>
    <row r="4098" spans="31:31" customFormat="1" x14ac:dyDescent="0.25"/>
    <row r="4099" spans="31:31" customFormat="1" x14ac:dyDescent="0.25"/>
    <row r="4100" spans="31:31" customFormat="1" x14ac:dyDescent="0.25"/>
    <row r="4101" spans="31:31" customFormat="1" x14ac:dyDescent="0.25"/>
    <row r="4102" spans="31:31" customFormat="1" x14ac:dyDescent="0.25"/>
    <row r="4103" spans="31:31" customFormat="1" x14ac:dyDescent="0.25"/>
    <row r="4104" spans="31:31" customFormat="1" x14ac:dyDescent="0.25"/>
    <row r="4105" spans="31:31" customFormat="1" x14ac:dyDescent="0.25"/>
    <row r="4106" spans="31:31" customFormat="1" x14ac:dyDescent="0.25"/>
    <row r="4107" spans="31:31" customFormat="1" x14ac:dyDescent="0.25"/>
    <row r="4108" spans="31:31" customFormat="1" x14ac:dyDescent="0.25"/>
    <row r="4109" spans="31:31" customFormat="1" x14ac:dyDescent="0.25">
      <c r="AE4109" s="4"/>
    </row>
    <row r="4110" spans="31:31" customFormat="1" x14ac:dyDescent="0.25">
      <c r="AE4110" s="4"/>
    </row>
    <row r="4111" spans="31:31" customFormat="1" x14ac:dyDescent="0.25">
      <c r="AE4111" s="4"/>
    </row>
    <row r="4112" spans="31:31" customFormat="1" x14ac:dyDescent="0.25">
      <c r="AE4112" s="4"/>
    </row>
    <row r="4113" spans="31:31" customFormat="1" x14ac:dyDescent="0.25">
      <c r="AE4113" s="4"/>
    </row>
    <row r="4114" spans="31:31" customFormat="1" x14ac:dyDescent="0.25">
      <c r="AE4114" s="4"/>
    </row>
    <row r="4115" spans="31:31" customFormat="1" x14ac:dyDescent="0.25">
      <c r="AE4115" s="4"/>
    </row>
    <row r="4116" spans="31:31" customFormat="1" x14ac:dyDescent="0.25">
      <c r="AE4116" s="4"/>
    </row>
    <row r="4117" spans="31:31" customFormat="1" x14ac:dyDescent="0.25">
      <c r="AE4117" s="4"/>
    </row>
    <row r="4118" spans="31:31" customFormat="1" x14ac:dyDescent="0.25">
      <c r="AE411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4108"/>
  <sheetViews>
    <sheetView workbookViewId="0">
      <selection activeCell="G4" sqref="G4"/>
    </sheetView>
  </sheetViews>
  <sheetFormatPr defaultRowHeight="15" x14ac:dyDescent="0.25"/>
  <cols>
    <col min="1" max="1" width="10.42578125" bestFit="1" customWidth="1"/>
    <col min="6" max="6" width="12.85546875" bestFit="1" customWidth="1"/>
    <col min="8" max="8" width="10.42578125" bestFit="1" customWidth="1"/>
    <col min="13" max="13" width="12.7109375" bestFit="1" customWidth="1"/>
    <col min="15" max="15" width="10.42578125" bestFit="1" customWidth="1"/>
    <col min="20" max="20" width="12.85546875" bestFit="1" customWidth="1"/>
    <col min="22" max="22" width="10.42578125" bestFit="1" customWidth="1"/>
    <col min="27" max="27" width="12.85546875" bestFit="1" customWidth="1"/>
    <col min="29" max="29" width="9.42578125" bestFit="1" customWidth="1"/>
    <col min="34" max="34" width="12.7109375" bestFit="1" customWidth="1"/>
    <col min="36" max="36" width="10.42578125" bestFit="1" customWidth="1"/>
    <col min="41" max="41" width="12.85546875" bestFit="1" customWidth="1"/>
    <col min="43" max="43" width="10.42578125" bestFit="1" customWidth="1"/>
    <col min="48" max="48" width="12.85546875" bestFit="1" customWidth="1"/>
    <col min="50" max="50" width="10.42578125" bestFit="1" customWidth="1"/>
    <col min="55" max="55" width="12.7109375" bestFit="1" customWidth="1"/>
    <col min="57" max="57" width="10.42578125" bestFit="1" customWidth="1"/>
    <col min="62" max="62" width="12.85546875" bestFit="1" customWidth="1"/>
  </cols>
  <sheetData>
    <row r="1" spans="1:62" x14ac:dyDescent="0.25">
      <c r="A1" s="6" t="s">
        <v>28</v>
      </c>
      <c r="B1" s="7"/>
      <c r="C1" s="7"/>
      <c r="D1" s="7"/>
      <c r="E1" s="7"/>
      <c r="F1" s="7"/>
      <c r="H1" s="6" t="s">
        <v>29</v>
      </c>
      <c r="I1" s="7"/>
      <c r="J1" s="7"/>
      <c r="K1" s="7"/>
      <c r="L1" s="7"/>
      <c r="M1" s="7"/>
      <c r="O1" s="6" t="s">
        <v>30</v>
      </c>
      <c r="P1" s="7"/>
      <c r="Q1" s="7"/>
      <c r="R1" s="7"/>
      <c r="S1" s="7"/>
      <c r="T1" s="7"/>
      <c r="V1" s="6" t="s">
        <v>31</v>
      </c>
      <c r="W1" s="7"/>
      <c r="X1" s="7"/>
      <c r="Y1" s="7"/>
      <c r="Z1" s="7"/>
      <c r="AA1" s="7"/>
      <c r="AC1" s="6" t="s">
        <v>32</v>
      </c>
      <c r="AD1" s="7"/>
      <c r="AE1" s="7"/>
      <c r="AF1" s="7"/>
      <c r="AG1" s="7"/>
      <c r="AH1" s="7"/>
      <c r="AJ1" s="6" t="s">
        <v>33</v>
      </c>
      <c r="AK1" s="7"/>
      <c r="AL1" s="7"/>
      <c r="AM1" s="7"/>
      <c r="AN1" s="7"/>
      <c r="AO1" s="7"/>
      <c r="AQ1" s="6" t="s">
        <v>34</v>
      </c>
      <c r="AR1" s="7"/>
      <c r="AS1" s="7"/>
      <c r="AT1" s="7"/>
      <c r="AU1" s="7"/>
      <c r="AV1" s="7"/>
      <c r="AX1" s="6" t="s">
        <v>35</v>
      </c>
      <c r="AY1" s="7"/>
      <c r="AZ1" s="7"/>
      <c r="BA1" s="7"/>
      <c r="BB1" s="7"/>
      <c r="BC1" s="7"/>
      <c r="BE1" s="6" t="s">
        <v>36</v>
      </c>
      <c r="BF1" s="7"/>
      <c r="BG1" s="7"/>
      <c r="BH1" s="7"/>
      <c r="BI1" s="7"/>
      <c r="BJ1" s="7"/>
    </row>
    <row r="2" spans="1:62" x14ac:dyDescent="0.25">
      <c r="A2" t="s">
        <v>14</v>
      </c>
      <c r="B2" t="s">
        <v>20</v>
      </c>
      <c r="C2" t="s">
        <v>21</v>
      </c>
      <c r="D2" t="s">
        <v>22</v>
      </c>
      <c r="E2" t="s">
        <v>23</v>
      </c>
      <c r="F2" t="s">
        <v>37</v>
      </c>
      <c r="H2" t="s">
        <v>14</v>
      </c>
      <c r="I2" t="s">
        <v>20</v>
      </c>
      <c r="J2" t="s">
        <v>21</v>
      </c>
      <c r="K2" t="s">
        <v>22</v>
      </c>
      <c r="L2" t="s">
        <v>23</v>
      </c>
      <c r="M2" t="s">
        <v>37</v>
      </c>
      <c r="O2" t="s">
        <v>14</v>
      </c>
      <c r="P2" t="s">
        <v>20</v>
      </c>
      <c r="Q2" t="s">
        <v>21</v>
      </c>
      <c r="R2" t="s">
        <v>22</v>
      </c>
      <c r="S2" t="s">
        <v>23</v>
      </c>
      <c r="T2" t="s">
        <v>37</v>
      </c>
      <c r="V2" t="s">
        <v>14</v>
      </c>
      <c r="W2" t="s">
        <v>20</v>
      </c>
      <c r="X2" t="s">
        <v>21</v>
      </c>
      <c r="Y2" t="s">
        <v>22</v>
      </c>
      <c r="Z2" t="s">
        <v>23</v>
      </c>
      <c r="AA2" t="s">
        <v>37</v>
      </c>
      <c r="AC2" t="s">
        <v>14</v>
      </c>
      <c r="AD2" t="s">
        <v>20</v>
      </c>
      <c r="AE2" t="s">
        <v>21</v>
      </c>
      <c r="AF2" t="s">
        <v>22</v>
      </c>
      <c r="AG2" t="s">
        <v>23</v>
      </c>
      <c r="AH2" t="s">
        <v>37</v>
      </c>
      <c r="AJ2" t="s">
        <v>14</v>
      </c>
      <c r="AK2" t="s">
        <v>20</v>
      </c>
      <c r="AL2" t="s">
        <v>21</v>
      </c>
      <c r="AM2" t="s">
        <v>22</v>
      </c>
      <c r="AN2" t="s">
        <v>23</v>
      </c>
      <c r="AO2" t="s">
        <v>37</v>
      </c>
      <c r="AQ2" t="s">
        <v>14</v>
      </c>
      <c r="AR2" t="s">
        <v>20</v>
      </c>
      <c r="AS2" t="s">
        <v>21</v>
      </c>
      <c r="AT2" t="s">
        <v>22</v>
      </c>
      <c r="AU2" t="s">
        <v>23</v>
      </c>
      <c r="AV2" t="s">
        <v>37</v>
      </c>
      <c r="AX2" t="s">
        <v>14</v>
      </c>
      <c r="AY2" t="s">
        <v>20</v>
      </c>
      <c r="AZ2" t="s">
        <v>21</v>
      </c>
      <c r="BA2" t="s">
        <v>22</v>
      </c>
      <c r="BB2" t="s">
        <v>23</v>
      </c>
      <c r="BC2" t="s">
        <v>37</v>
      </c>
      <c r="BE2" t="s">
        <v>14</v>
      </c>
      <c r="BF2" t="s">
        <v>20</v>
      </c>
      <c r="BG2" t="s">
        <v>21</v>
      </c>
      <c r="BH2" t="s">
        <v>22</v>
      </c>
      <c r="BI2" t="s">
        <v>23</v>
      </c>
      <c r="BJ2" t="s">
        <v>37</v>
      </c>
    </row>
    <row r="3" spans="1:62" x14ac:dyDescent="0.25">
      <c r="A3" s="1">
        <f>'Fats Raw Data'!K3</f>
        <v>46150</v>
      </c>
      <c r="B3">
        <f>'Fats Raw Data'!L3-'Fats Raw Data'!V3</f>
        <v>-12.075000000000017</v>
      </c>
      <c r="C3">
        <f>'Fats Raw Data'!M3-'Fats Raw Data'!W3</f>
        <v>-13.099999999999994</v>
      </c>
      <c r="D3">
        <f>'Fats Raw Data'!N3-'Fats Raw Data'!X3</f>
        <v>-12.724999999999994</v>
      </c>
      <c r="E3">
        <f>'Fats Raw Data'!O3-'Fats Raw Data'!Y3</f>
        <v>-12.524999999999977</v>
      </c>
      <c r="F3" t="str">
        <f>'Fats Raw Data'!S3&amp;" - "&amp;'Fats Raw Data'!AC3</f>
        <v>LEJ27 - LEM26</v>
      </c>
      <c r="H3" s="1">
        <f>'Fats Raw Data'!U3</f>
        <v>46150</v>
      </c>
      <c r="I3">
        <f>'Fats Raw Data'!V3-'Fats Raw Data'!AF3</f>
        <v>4.8000000000000114</v>
      </c>
      <c r="J3">
        <f>'Fats Raw Data'!W3-'Fats Raw Data'!AG3</f>
        <v>4.3249999999999886</v>
      </c>
      <c r="K3">
        <f>'Fats Raw Data'!X3-'Fats Raw Data'!AH3</f>
        <v>4.4249999999999829</v>
      </c>
      <c r="L3">
        <f>'Fats Raw Data'!Y3-'Fats Raw Data'!AI3</f>
        <v>4.75</v>
      </c>
      <c r="M3" t="str">
        <f>'Fats Raw Data'!AC3&amp;" - "&amp;'Fats Raw Data'!AM3</f>
        <v>LEM26 - LEQ26</v>
      </c>
      <c r="O3" s="1">
        <f>'Fats Raw Data'!AE3</f>
        <v>46150</v>
      </c>
      <c r="P3">
        <f>'Fats Raw Data'!AF3-'Fats Raw Data'!AP3</f>
        <v>5.7999999999999829</v>
      </c>
      <c r="Q3">
        <f>'Fats Raw Data'!AG3-'Fats Raw Data'!AQ3</f>
        <v>6.2249999999999943</v>
      </c>
      <c r="R3">
        <f>'Fats Raw Data'!AH3-'Fats Raw Data'!AR3</f>
        <v>6.375</v>
      </c>
      <c r="S3">
        <f>'Fats Raw Data'!AI3-'Fats Raw Data'!AS3</f>
        <v>6.2249999999999943</v>
      </c>
      <c r="T3" t="str">
        <f>'Fats Raw Data'!AM3&amp;" - "&amp;'Fats Raw Data'!AW3</f>
        <v>LEQ26 - LEV26</v>
      </c>
      <c r="V3" s="1">
        <f>'Fats Raw Data'!AO3</f>
        <v>46150</v>
      </c>
      <c r="W3">
        <f>'Fats Raw Data'!AP3-'Fats Raw Data'!AZ3</f>
        <v>0.77500000000000568</v>
      </c>
      <c r="X3">
        <f>'Fats Raw Data'!AQ3-'Fats Raw Data'!BA3</f>
        <v>1.0750000000000171</v>
      </c>
      <c r="Y3">
        <f>'Fats Raw Data'!AR3-'Fats Raw Data'!BB3</f>
        <v>0.92500000000001137</v>
      </c>
      <c r="Z3">
        <f>'Fats Raw Data'!AS3-'Fats Raw Data'!BC3</f>
        <v>0.92499999999998295</v>
      </c>
      <c r="AA3" t="str">
        <f>'Fats Raw Data'!AW3&amp;" - "&amp;'Fats Raw Data'!BG3</f>
        <v>LEV26 - LEZ26</v>
      </c>
      <c r="AC3" s="1">
        <f>'Fats Raw Data'!AY3</f>
        <v>46150</v>
      </c>
      <c r="AD3">
        <f>'Fats Raw Data'!AZ3-'Fats Raw Data'!B3</f>
        <v>7.5000000000017053E-2</v>
      </c>
      <c r="AE3">
        <f>'Fats Raw Data'!BA3-'Fats Raw Data'!C3</f>
        <v>-0.95000000000001705</v>
      </c>
      <c r="AF3">
        <f>'Fats Raw Data'!BB3-'Fats Raw Data'!D3</f>
        <v>0.375</v>
      </c>
      <c r="AG3">
        <f>'Fats Raw Data'!BC3-'Fats Raw Data'!E3</f>
        <v>5.0000000000011369E-2</v>
      </c>
      <c r="AH3" t="str">
        <f>'Fats Raw Data'!BG3&amp;" - "&amp;'Fats Raw Data'!I3</f>
        <v>LEZ26 - LEG27</v>
      </c>
      <c r="AJ3" s="1">
        <f>'Fats Raw Data'!A3</f>
        <v>46150</v>
      </c>
      <c r="AK3">
        <f>'Fats Raw Data'!B3-'Fats Raw Data'!L3</f>
        <v>0.625</v>
      </c>
      <c r="AL3">
        <f>'Fats Raw Data'!C3-'Fats Raw Data'!M3</f>
        <v>2.4250000000000114</v>
      </c>
      <c r="AM3">
        <f>'Fats Raw Data'!D3-'Fats Raw Data'!N3</f>
        <v>0.625</v>
      </c>
      <c r="AN3">
        <f>'Fats Raw Data'!E3-'Fats Raw Data'!O3</f>
        <v>0.57499999999998863</v>
      </c>
      <c r="AO3" t="str">
        <f>'Fats Raw Data'!I3&amp;" - "&amp;'Fats Raw Data'!S3</f>
        <v>LEG27 - LEJ27</v>
      </c>
      <c r="AQ3" s="1">
        <f>'Fats Raw Data'!AE3</f>
        <v>46150</v>
      </c>
      <c r="AR3">
        <f>'Fats Raw Data'!AF3-'Fats Raw Data'!AZ3</f>
        <v>6.5749999999999886</v>
      </c>
      <c r="AS3">
        <f>'Fats Raw Data'!AG3-'Fats Raw Data'!BA3</f>
        <v>7.3000000000000114</v>
      </c>
      <c r="AT3">
        <f>'Fats Raw Data'!AH3-'Fats Raw Data'!BB3</f>
        <v>7.3000000000000114</v>
      </c>
      <c r="AU3">
        <f>'Fats Raw Data'!AI3-'Fats Raw Data'!BC3</f>
        <v>7.1499999999999773</v>
      </c>
      <c r="AV3" t="str">
        <f>'Fats Raw Data'!AM3&amp;" - "&amp;'Fats Raw Data'!BG3</f>
        <v>LEQ26 - LEZ26</v>
      </c>
      <c r="AX3" s="1">
        <f>'Fats Raw Data'!A3</f>
        <v>46150</v>
      </c>
      <c r="AY3">
        <f>'Fats Raw Data'!B3-'Fats Raw Data'!V3</f>
        <v>-11.450000000000017</v>
      </c>
      <c r="AZ3">
        <f>'Fats Raw Data'!C3-'Fats Raw Data'!W3</f>
        <v>-10.674999999999983</v>
      </c>
      <c r="BA3">
        <f>'Fats Raw Data'!D3-'Fats Raw Data'!X3</f>
        <v>-12.099999999999994</v>
      </c>
      <c r="BB3">
        <f>'Fats Raw Data'!E3-'Fats Raw Data'!Y3</f>
        <v>-11.949999999999989</v>
      </c>
      <c r="BC3" t="str">
        <f>'Fats Raw Data'!I3&amp;" - "&amp;'Fats Raw Data'!AC3</f>
        <v>LEG27 - LEM26</v>
      </c>
      <c r="BE3" s="1">
        <f>'Fats Raw Data'!K3</f>
        <v>46150</v>
      </c>
      <c r="BF3">
        <f>'Fats Raw Data'!L3-'Fats Raw Data'!AF3</f>
        <v>-7.2750000000000057</v>
      </c>
      <c r="BG3">
        <f>'Fats Raw Data'!M3-'Fats Raw Data'!AG3</f>
        <v>-8.7750000000000057</v>
      </c>
      <c r="BH3">
        <f>'Fats Raw Data'!N3-'Fats Raw Data'!AH3</f>
        <v>-8.3000000000000114</v>
      </c>
      <c r="BI3">
        <f>'Fats Raw Data'!O3-'Fats Raw Data'!AI3</f>
        <v>-7.7749999999999773</v>
      </c>
      <c r="BJ3" t="str">
        <f>'Fats Raw Data'!S3&amp;" - "&amp;'Fats Raw Data'!AM3</f>
        <v>LEJ27 - LEQ26</v>
      </c>
    </row>
    <row r="4" spans="1:62" x14ac:dyDescent="0.25">
      <c r="A4" s="1">
        <f>'Fats Raw Data'!K4</f>
        <v>0</v>
      </c>
      <c r="B4">
        <f>'Fats Raw Data'!L4-'Fats Raw Data'!V4</f>
        <v>0</v>
      </c>
      <c r="C4">
        <f>'Fats Raw Data'!M4-'Fats Raw Data'!W4</f>
        <v>0</v>
      </c>
      <c r="D4">
        <f>'Fats Raw Data'!N4-'Fats Raw Data'!X4</f>
        <v>0</v>
      </c>
      <c r="E4">
        <f>'Fats Raw Data'!O4-'Fats Raw Data'!Y4</f>
        <v>0</v>
      </c>
      <c r="F4" t="str">
        <f>'Fats Raw Data'!S4&amp;" - "&amp;'Fats Raw Data'!AC4</f>
        <v xml:space="preserve"> - </v>
      </c>
      <c r="H4" s="1">
        <f>'Fats Raw Data'!U4</f>
        <v>0</v>
      </c>
      <c r="I4">
        <f>'Fats Raw Data'!V4-'Fats Raw Data'!AF4</f>
        <v>0</v>
      </c>
      <c r="J4">
        <f>'Fats Raw Data'!W4-'Fats Raw Data'!AG4</f>
        <v>0</v>
      </c>
      <c r="K4">
        <f>'Fats Raw Data'!X4-'Fats Raw Data'!AH4</f>
        <v>0</v>
      </c>
      <c r="L4">
        <f>'Fats Raw Data'!Y4-'Fats Raw Data'!AI4</f>
        <v>0</v>
      </c>
      <c r="M4" t="str">
        <f>'Fats Raw Data'!AC4&amp;" - "&amp;'Fats Raw Data'!AM4</f>
        <v xml:space="preserve"> - </v>
      </c>
      <c r="O4" s="1">
        <f>'Fats Raw Data'!AE4</f>
        <v>0</v>
      </c>
      <c r="P4">
        <f>'Fats Raw Data'!AF4-'Fats Raw Data'!AP4</f>
        <v>0</v>
      </c>
      <c r="Q4">
        <f>'Fats Raw Data'!AG4-'Fats Raw Data'!AQ4</f>
        <v>0</v>
      </c>
      <c r="R4">
        <f>'Fats Raw Data'!AH4-'Fats Raw Data'!AR4</f>
        <v>0</v>
      </c>
      <c r="S4">
        <f>'Fats Raw Data'!AI4-'Fats Raw Data'!AS4</f>
        <v>0</v>
      </c>
      <c r="T4" t="str">
        <f>'Fats Raw Data'!AM4&amp;" - "&amp;'Fats Raw Data'!AW4</f>
        <v xml:space="preserve"> - </v>
      </c>
      <c r="V4" s="1">
        <f>'Fats Raw Data'!AO4</f>
        <v>0</v>
      </c>
      <c r="W4">
        <f>'Fats Raw Data'!AP4-'Fats Raw Data'!AZ4</f>
        <v>0</v>
      </c>
      <c r="X4">
        <f>'Fats Raw Data'!AQ4-'Fats Raw Data'!BA4</f>
        <v>0</v>
      </c>
      <c r="Y4">
        <f>'Fats Raw Data'!AR4-'Fats Raw Data'!BB4</f>
        <v>0</v>
      </c>
      <c r="Z4">
        <f>'Fats Raw Data'!AS4-'Fats Raw Data'!BC4</f>
        <v>0</v>
      </c>
      <c r="AA4" t="str">
        <f>'Fats Raw Data'!AW4&amp;" - "&amp;'Fats Raw Data'!BG4</f>
        <v xml:space="preserve"> - </v>
      </c>
      <c r="AC4" s="1">
        <f>'Fats Raw Data'!AY4</f>
        <v>0</v>
      </c>
      <c r="AD4">
        <f>'Fats Raw Data'!AZ4-'Fats Raw Data'!B4</f>
        <v>0</v>
      </c>
      <c r="AE4">
        <f>'Fats Raw Data'!BA4-'Fats Raw Data'!C4</f>
        <v>0</v>
      </c>
      <c r="AF4">
        <f>'Fats Raw Data'!BB4-'Fats Raw Data'!D4</f>
        <v>0</v>
      </c>
      <c r="AG4">
        <f>'Fats Raw Data'!BC4-'Fats Raw Data'!E4</f>
        <v>0</v>
      </c>
      <c r="AH4" t="str">
        <f>'Fats Raw Data'!BG4&amp;" - "&amp;'Fats Raw Data'!I4</f>
        <v xml:space="preserve"> - </v>
      </c>
      <c r="AJ4" s="1">
        <f>'Fats Raw Data'!A4</f>
        <v>0</v>
      </c>
      <c r="AK4">
        <f>'Fats Raw Data'!B4-'Fats Raw Data'!L4</f>
        <v>0</v>
      </c>
      <c r="AL4">
        <f>'Fats Raw Data'!C4-'Fats Raw Data'!M4</f>
        <v>0</v>
      </c>
      <c r="AM4">
        <f>'Fats Raw Data'!D4-'Fats Raw Data'!N4</f>
        <v>0</v>
      </c>
      <c r="AN4">
        <f>'Fats Raw Data'!E4-'Fats Raw Data'!O4</f>
        <v>0</v>
      </c>
      <c r="AO4" t="str">
        <f>'Fats Raw Data'!I4&amp;" - "&amp;'Fats Raw Data'!S4</f>
        <v xml:space="preserve"> - </v>
      </c>
      <c r="AQ4" s="1">
        <f>'Fats Raw Data'!AE4</f>
        <v>0</v>
      </c>
      <c r="AR4">
        <f>'Fats Raw Data'!AF4-'Fats Raw Data'!AZ4</f>
        <v>0</v>
      </c>
      <c r="AS4">
        <f>'Fats Raw Data'!AG4-'Fats Raw Data'!BA4</f>
        <v>0</v>
      </c>
      <c r="AT4">
        <f>'Fats Raw Data'!AH4-'Fats Raw Data'!BB4</f>
        <v>0</v>
      </c>
      <c r="AU4">
        <f>'Fats Raw Data'!AI4-'Fats Raw Data'!BC4</f>
        <v>0</v>
      </c>
      <c r="AV4" t="str">
        <f>'Fats Raw Data'!AM4&amp;" - "&amp;'Fats Raw Data'!BG4</f>
        <v xml:space="preserve"> - </v>
      </c>
      <c r="AX4" s="1">
        <f>'Fats Raw Data'!A4</f>
        <v>0</v>
      </c>
      <c r="AY4">
        <f>'Fats Raw Data'!B4-'Fats Raw Data'!V4</f>
        <v>0</v>
      </c>
      <c r="AZ4">
        <f>'Fats Raw Data'!C4-'Fats Raw Data'!W4</f>
        <v>0</v>
      </c>
      <c r="BA4">
        <f>'Fats Raw Data'!D4-'Fats Raw Data'!X4</f>
        <v>0</v>
      </c>
      <c r="BB4">
        <f>'Fats Raw Data'!E4-'Fats Raw Data'!Y4</f>
        <v>0</v>
      </c>
      <c r="BC4" t="str">
        <f>'Fats Raw Data'!I4&amp;" - "&amp;'Fats Raw Data'!AC4</f>
        <v xml:space="preserve"> - </v>
      </c>
      <c r="BE4" s="1">
        <f>'Fats Raw Data'!K4</f>
        <v>0</v>
      </c>
      <c r="BF4">
        <f>'Fats Raw Data'!L4-'Fats Raw Data'!AF4</f>
        <v>0</v>
      </c>
      <c r="BG4">
        <f>'Fats Raw Data'!M4-'Fats Raw Data'!AG4</f>
        <v>0</v>
      </c>
      <c r="BH4">
        <f>'Fats Raw Data'!N4-'Fats Raw Data'!AH4</f>
        <v>0</v>
      </c>
      <c r="BI4">
        <f>'Fats Raw Data'!O4-'Fats Raw Data'!AI4</f>
        <v>0</v>
      </c>
      <c r="BJ4" t="str">
        <f>'Fats Raw Data'!S4&amp;" - "&amp;'Fats Raw Data'!AM4</f>
        <v xml:space="preserve"> - </v>
      </c>
    </row>
    <row r="5" spans="1:62" x14ac:dyDescent="0.25">
      <c r="A5" s="1">
        <f>'Fats Raw Data'!K5</f>
        <v>0</v>
      </c>
      <c r="B5">
        <f>'Fats Raw Data'!L5-'Fats Raw Data'!V5</f>
        <v>0</v>
      </c>
      <c r="C5">
        <f>'Fats Raw Data'!M5-'Fats Raw Data'!W5</f>
        <v>0</v>
      </c>
      <c r="D5">
        <f>'Fats Raw Data'!N5-'Fats Raw Data'!X5</f>
        <v>0</v>
      </c>
      <c r="E5">
        <f>'Fats Raw Data'!O5-'Fats Raw Data'!Y5</f>
        <v>0</v>
      </c>
      <c r="F5" t="str">
        <f>'Fats Raw Data'!S5&amp;" - "&amp;'Fats Raw Data'!AC5</f>
        <v xml:space="preserve"> - </v>
      </c>
      <c r="H5" s="1">
        <f>'Fats Raw Data'!U5</f>
        <v>0</v>
      </c>
      <c r="I5">
        <f>'Fats Raw Data'!V5-'Fats Raw Data'!AF5</f>
        <v>0</v>
      </c>
      <c r="J5">
        <f>'Fats Raw Data'!W5-'Fats Raw Data'!AG5</f>
        <v>0</v>
      </c>
      <c r="K5">
        <f>'Fats Raw Data'!X5-'Fats Raw Data'!AH5</f>
        <v>0</v>
      </c>
      <c r="L5">
        <f>'Fats Raw Data'!Y5-'Fats Raw Data'!AI5</f>
        <v>0</v>
      </c>
      <c r="M5" t="str">
        <f>'Fats Raw Data'!AC5&amp;" - "&amp;'Fats Raw Data'!AM5</f>
        <v xml:space="preserve"> - </v>
      </c>
      <c r="O5" s="1">
        <f>'Fats Raw Data'!AE5</f>
        <v>0</v>
      </c>
      <c r="P5">
        <f>'Fats Raw Data'!AF5-'Fats Raw Data'!AP5</f>
        <v>0</v>
      </c>
      <c r="Q5">
        <f>'Fats Raw Data'!AG5-'Fats Raw Data'!AQ5</f>
        <v>0</v>
      </c>
      <c r="R5">
        <f>'Fats Raw Data'!AH5-'Fats Raw Data'!AR5</f>
        <v>0</v>
      </c>
      <c r="S5">
        <f>'Fats Raw Data'!AI5-'Fats Raw Data'!AS5</f>
        <v>0</v>
      </c>
      <c r="T5" t="str">
        <f>'Fats Raw Data'!AM5&amp;" - "&amp;'Fats Raw Data'!AW5</f>
        <v xml:space="preserve"> - </v>
      </c>
      <c r="V5" s="1">
        <f>'Fats Raw Data'!AO5</f>
        <v>0</v>
      </c>
      <c r="W5">
        <f>'Fats Raw Data'!AP5-'Fats Raw Data'!AZ5</f>
        <v>0</v>
      </c>
      <c r="X5">
        <f>'Fats Raw Data'!AQ5-'Fats Raw Data'!BA5</f>
        <v>0</v>
      </c>
      <c r="Y5">
        <f>'Fats Raw Data'!AR5-'Fats Raw Data'!BB5</f>
        <v>0</v>
      </c>
      <c r="Z5">
        <f>'Fats Raw Data'!AS5-'Fats Raw Data'!BC5</f>
        <v>0</v>
      </c>
      <c r="AA5" t="str">
        <f>'Fats Raw Data'!AW5&amp;" - "&amp;'Fats Raw Data'!BG5</f>
        <v xml:space="preserve"> - </v>
      </c>
      <c r="AC5" s="1">
        <f>'Fats Raw Data'!AY5</f>
        <v>0</v>
      </c>
      <c r="AD5">
        <f>'Fats Raw Data'!AZ5-'Fats Raw Data'!B5</f>
        <v>0</v>
      </c>
      <c r="AE5">
        <f>'Fats Raw Data'!BA5-'Fats Raw Data'!C5</f>
        <v>0</v>
      </c>
      <c r="AF5">
        <f>'Fats Raw Data'!BB5-'Fats Raw Data'!D5</f>
        <v>0</v>
      </c>
      <c r="AG5">
        <f>'Fats Raw Data'!BC5-'Fats Raw Data'!E5</f>
        <v>0</v>
      </c>
      <c r="AH5" t="str">
        <f>'Fats Raw Data'!BG5&amp;" - "&amp;'Fats Raw Data'!I5</f>
        <v xml:space="preserve"> - </v>
      </c>
      <c r="AJ5" s="1">
        <f>'Fats Raw Data'!A5</f>
        <v>0</v>
      </c>
      <c r="AK5">
        <f>'Fats Raw Data'!B5-'Fats Raw Data'!L5</f>
        <v>0</v>
      </c>
      <c r="AL5">
        <f>'Fats Raw Data'!C5-'Fats Raw Data'!M5</f>
        <v>0</v>
      </c>
      <c r="AM5">
        <f>'Fats Raw Data'!D5-'Fats Raw Data'!N5</f>
        <v>0</v>
      </c>
      <c r="AN5">
        <f>'Fats Raw Data'!E5-'Fats Raw Data'!O5</f>
        <v>0</v>
      </c>
      <c r="AO5" t="str">
        <f>'Fats Raw Data'!I5&amp;" - "&amp;'Fats Raw Data'!S5</f>
        <v xml:space="preserve"> - </v>
      </c>
      <c r="AQ5" s="1">
        <f>'Fats Raw Data'!AE5</f>
        <v>0</v>
      </c>
      <c r="AR5">
        <f>'Fats Raw Data'!AF5-'Fats Raw Data'!AZ5</f>
        <v>0</v>
      </c>
      <c r="AS5">
        <f>'Fats Raw Data'!AG5-'Fats Raw Data'!BA5</f>
        <v>0</v>
      </c>
      <c r="AT5">
        <f>'Fats Raw Data'!AH5-'Fats Raw Data'!BB5</f>
        <v>0</v>
      </c>
      <c r="AU5">
        <f>'Fats Raw Data'!AI5-'Fats Raw Data'!BC5</f>
        <v>0</v>
      </c>
      <c r="AV5" t="str">
        <f>'Fats Raw Data'!AM5&amp;" - "&amp;'Fats Raw Data'!BG5</f>
        <v xml:space="preserve"> - </v>
      </c>
      <c r="AX5" s="1">
        <f>'Fats Raw Data'!A5</f>
        <v>0</v>
      </c>
      <c r="AY5">
        <f>'Fats Raw Data'!B5-'Fats Raw Data'!V5</f>
        <v>0</v>
      </c>
      <c r="AZ5">
        <f>'Fats Raw Data'!C5-'Fats Raw Data'!W5</f>
        <v>0</v>
      </c>
      <c r="BA5">
        <f>'Fats Raw Data'!D5-'Fats Raw Data'!X5</f>
        <v>0</v>
      </c>
      <c r="BB5">
        <f>'Fats Raw Data'!E5-'Fats Raw Data'!Y5</f>
        <v>0</v>
      </c>
      <c r="BC5" t="str">
        <f>'Fats Raw Data'!I5&amp;" - "&amp;'Fats Raw Data'!AC5</f>
        <v xml:space="preserve"> - </v>
      </c>
      <c r="BE5" s="1">
        <f>'Fats Raw Data'!K5</f>
        <v>0</v>
      </c>
      <c r="BF5">
        <f>'Fats Raw Data'!L5-'Fats Raw Data'!AF5</f>
        <v>0</v>
      </c>
      <c r="BG5">
        <f>'Fats Raw Data'!M5-'Fats Raw Data'!AG5</f>
        <v>0</v>
      </c>
      <c r="BH5">
        <f>'Fats Raw Data'!N5-'Fats Raw Data'!AH5</f>
        <v>0</v>
      </c>
      <c r="BI5">
        <f>'Fats Raw Data'!O5-'Fats Raw Data'!AI5</f>
        <v>0</v>
      </c>
      <c r="BJ5" t="str">
        <f>'Fats Raw Data'!S5&amp;" - "&amp;'Fats Raw Data'!AM5</f>
        <v xml:space="preserve"> - </v>
      </c>
    </row>
    <row r="6" spans="1:62" x14ac:dyDescent="0.25">
      <c r="A6" s="1">
        <f>'Fats Raw Data'!K6</f>
        <v>0</v>
      </c>
      <c r="B6">
        <f>'Fats Raw Data'!L6-'Fats Raw Data'!V6</f>
        <v>0</v>
      </c>
      <c r="C6">
        <f>'Fats Raw Data'!M6-'Fats Raw Data'!W6</f>
        <v>0</v>
      </c>
      <c r="D6">
        <f>'Fats Raw Data'!N6-'Fats Raw Data'!X6</f>
        <v>0</v>
      </c>
      <c r="E6">
        <f>'Fats Raw Data'!O6-'Fats Raw Data'!Y6</f>
        <v>0</v>
      </c>
      <c r="F6" t="str">
        <f>'Fats Raw Data'!S6&amp;" - "&amp;'Fats Raw Data'!AC6</f>
        <v xml:space="preserve"> - </v>
      </c>
      <c r="H6" s="1">
        <f>'Fats Raw Data'!U6</f>
        <v>0</v>
      </c>
      <c r="I6">
        <f>'Fats Raw Data'!V6-'Fats Raw Data'!AF6</f>
        <v>0</v>
      </c>
      <c r="J6">
        <f>'Fats Raw Data'!W6-'Fats Raw Data'!AG6</f>
        <v>0</v>
      </c>
      <c r="K6">
        <f>'Fats Raw Data'!X6-'Fats Raw Data'!AH6</f>
        <v>0</v>
      </c>
      <c r="L6">
        <f>'Fats Raw Data'!Y6-'Fats Raw Data'!AI6</f>
        <v>0</v>
      </c>
      <c r="M6" t="str">
        <f>'Fats Raw Data'!AC6&amp;" - "&amp;'Fats Raw Data'!AM6</f>
        <v xml:space="preserve"> - </v>
      </c>
      <c r="O6" s="1">
        <f>'Fats Raw Data'!AE6</f>
        <v>0</v>
      </c>
      <c r="P6">
        <f>'Fats Raw Data'!AF6-'Fats Raw Data'!AP6</f>
        <v>0</v>
      </c>
      <c r="Q6">
        <f>'Fats Raw Data'!AG6-'Fats Raw Data'!AQ6</f>
        <v>0</v>
      </c>
      <c r="R6">
        <f>'Fats Raw Data'!AH6-'Fats Raw Data'!AR6</f>
        <v>0</v>
      </c>
      <c r="S6">
        <f>'Fats Raw Data'!AI6-'Fats Raw Data'!AS6</f>
        <v>0</v>
      </c>
      <c r="T6" t="str">
        <f>'Fats Raw Data'!AM6&amp;" - "&amp;'Fats Raw Data'!AW6</f>
        <v xml:space="preserve"> - </v>
      </c>
      <c r="V6" s="1">
        <f>'Fats Raw Data'!AO6</f>
        <v>0</v>
      </c>
      <c r="W6">
        <f>'Fats Raw Data'!AP6-'Fats Raw Data'!AZ6</f>
        <v>0</v>
      </c>
      <c r="X6">
        <f>'Fats Raw Data'!AQ6-'Fats Raw Data'!BA6</f>
        <v>0</v>
      </c>
      <c r="Y6">
        <f>'Fats Raw Data'!AR6-'Fats Raw Data'!BB6</f>
        <v>0</v>
      </c>
      <c r="Z6">
        <f>'Fats Raw Data'!AS6-'Fats Raw Data'!BC6</f>
        <v>0</v>
      </c>
      <c r="AA6" t="str">
        <f>'Fats Raw Data'!AW6&amp;" - "&amp;'Fats Raw Data'!BG6</f>
        <v xml:space="preserve"> - </v>
      </c>
      <c r="AC6" s="1">
        <f>'Fats Raw Data'!AY6</f>
        <v>0</v>
      </c>
      <c r="AD6">
        <f>'Fats Raw Data'!AZ6-'Fats Raw Data'!B6</f>
        <v>0</v>
      </c>
      <c r="AE6">
        <f>'Fats Raw Data'!BA6-'Fats Raw Data'!C6</f>
        <v>0</v>
      </c>
      <c r="AF6">
        <f>'Fats Raw Data'!BB6-'Fats Raw Data'!D6</f>
        <v>0</v>
      </c>
      <c r="AG6">
        <f>'Fats Raw Data'!BC6-'Fats Raw Data'!E6</f>
        <v>0</v>
      </c>
      <c r="AH6" t="str">
        <f>'Fats Raw Data'!BG6&amp;" - "&amp;'Fats Raw Data'!I6</f>
        <v xml:space="preserve"> - </v>
      </c>
      <c r="AJ6" s="1">
        <f>'Fats Raw Data'!A6</f>
        <v>0</v>
      </c>
      <c r="AK6">
        <f>'Fats Raw Data'!B6-'Fats Raw Data'!L6</f>
        <v>0</v>
      </c>
      <c r="AL6">
        <f>'Fats Raw Data'!C6-'Fats Raw Data'!M6</f>
        <v>0</v>
      </c>
      <c r="AM6">
        <f>'Fats Raw Data'!D6-'Fats Raw Data'!N6</f>
        <v>0</v>
      </c>
      <c r="AN6">
        <f>'Fats Raw Data'!E6-'Fats Raw Data'!O6</f>
        <v>0</v>
      </c>
      <c r="AO6" t="str">
        <f>'Fats Raw Data'!I6&amp;" - "&amp;'Fats Raw Data'!S6</f>
        <v xml:space="preserve"> - </v>
      </c>
      <c r="AQ6" s="1">
        <f>'Fats Raw Data'!AE6</f>
        <v>0</v>
      </c>
      <c r="AR6">
        <f>'Fats Raw Data'!AF6-'Fats Raw Data'!AZ6</f>
        <v>0</v>
      </c>
      <c r="AS6">
        <f>'Fats Raw Data'!AG6-'Fats Raw Data'!BA6</f>
        <v>0</v>
      </c>
      <c r="AT6">
        <f>'Fats Raw Data'!AH6-'Fats Raw Data'!BB6</f>
        <v>0</v>
      </c>
      <c r="AU6">
        <f>'Fats Raw Data'!AI6-'Fats Raw Data'!BC6</f>
        <v>0</v>
      </c>
      <c r="AV6" t="str">
        <f>'Fats Raw Data'!AM6&amp;" - "&amp;'Fats Raw Data'!BG6</f>
        <v xml:space="preserve"> - </v>
      </c>
      <c r="AX6" s="1">
        <f>'Fats Raw Data'!A6</f>
        <v>0</v>
      </c>
      <c r="AY6">
        <f>'Fats Raw Data'!B6-'Fats Raw Data'!V6</f>
        <v>0</v>
      </c>
      <c r="AZ6">
        <f>'Fats Raw Data'!C6-'Fats Raw Data'!W6</f>
        <v>0</v>
      </c>
      <c r="BA6">
        <f>'Fats Raw Data'!D6-'Fats Raw Data'!X6</f>
        <v>0</v>
      </c>
      <c r="BB6">
        <f>'Fats Raw Data'!E6-'Fats Raw Data'!Y6</f>
        <v>0</v>
      </c>
      <c r="BC6" t="str">
        <f>'Fats Raw Data'!I6&amp;" - "&amp;'Fats Raw Data'!AC6</f>
        <v xml:space="preserve"> - </v>
      </c>
      <c r="BE6" s="1">
        <f>'Fats Raw Data'!K6</f>
        <v>0</v>
      </c>
      <c r="BF6">
        <f>'Fats Raw Data'!L6-'Fats Raw Data'!AF6</f>
        <v>0</v>
      </c>
      <c r="BG6">
        <f>'Fats Raw Data'!M6-'Fats Raw Data'!AG6</f>
        <v>0</v>
      </c>
      <c r="BH6">
        <f>'Fats Raw Data'!N6-'Fats Raw Data'!AH6</f>
        <v>0</v>
      </c>
      <c r="BI6">
        <f>'Fats Raw Data'!O6-'Fats Raw Data'!AI6</f>
        <v>0</v>
      </c>
      <c r="BJ6" t="str">
        <f>'Fats Raw Data'!S6&amp;" - "&amp;'Fats Raw Data'!AM6</f>
        <v xml:space="preserve"> - </v>
      </c>
    </row>
    <row r="7" spans="1:62" x14ac:dyDescent="0.25">
      <c r="A7" s="1">
        <f>'Fats Raw Data'!K7</f>
        <v>0</v>
      </c>
      <c r="B7">
        <f>'Fats Raw Data'!L7-'Fats Raw Data'!V7</f>
        <v>0</v>
      </c>
      <c r="C7">
        <f>'Fats Raw Data'!M7-'Fats Raw Data'!W7</f>
        <v>0</v>
      </c>
      <c r="D7">
        <f>'Fats Raw Data'!N7-'Fats Raw Data'!X7</f>
        <v>0</v>
      </c>
      <c r="E7">
        <f>'Fats Raw Data'!O7-'Fats Raw Data'!Y7</f>
        <v>0</v>
      </c>
      <c r="F7" t="str">
        <f>'Fats Raw Data'!S7&amp;" - "&amp;'Fats Raw Data'!AC7</f>
        <v xml:space="preserve"> - </v>
      </c>
      <c r="H7" s="1">
        <f>'Fats Raw Data'!U7</f>
        <v>0</v>
      </c>
      <c r="I7">
        <f>'Fats Raw Data'!V7-'Fats Raw Data'!AF7</f>
        <v>0</v>
      </c>
      <c r="J7">
        <f>'Fats Raw Data'!W7-'Fats Raw Data'!AG7</f>
        <v>0</v>
      </c>
      <c r="K7">
        <f>'Fats Raw Data'!X7-'Fats Raw Data'!AH7</f>
        <v>0</v>
      </c>
      <c r="L7">
        <f>'Fats Raw Data'!Y7-'Fats Raw Data'!AI7</f>
        <v>0</v>
      </c>
      <c r="M7" t="str">
        <f>'Fats Raw Data'!AC7&amp;" - "&amp;'Fats Raw Data'!AM7</f>
        <v xml:space="preserve"> - </v>
      </c>
      <c r="O7" s="1">
        <f>'Fats Raw Data'!AE7</f>
        <v>0</v>
      </c>
      <c r="P7">
        <f>'Fats Raw Data'!AF7-'Fats Raw Data'!AP7</f>
        <v>0</v>
      </c>
      <c r="Q7">
        <f>'Fats Raw Data'!AG7-'Fats Raw Data'!AQ7</f>
        <v>0</v>
      </c>
      <c r="R7">
        <f>'Fats Raw Data'!AH7-'Fats Raw Data'!AR7</f>
        <v>0</v>
      </c>
      <c r="S7">
        <f>'Fats Raw Data'!AI7-'Fats Raw Data'!AS7</f>
        <v>0</v>
      </c>
      <c r="T7" t="str">
        <f>'Fats Raw Data'!AM7&amp;" - "&amp;'Fats Raw Data'!AW7</f>
        <v xml:space="preserve"> - </v>
      </c>
      <c r="V7" s="1">
        <f>'Fats Raw Data'!AO7</f>
        <v>0</v>
      </c>
      <c r="W7">
        <f>'Fats Raw Data'!AP7-'Fats Raw Data'!AZ7</f>
        <v>0</v>
      </c>
      <c r="X7">
        <f>'Fats Raw Data'!AQ7-'Fats Raw Data'!BA7</f>
        <v>0</v>
      </c>
      <c r="Y7">
        <f>'Fats Raw Data'!AR7-'Fats Raw Data'!BB7</f>
        <v>0</v>
      </c>
      <c r="Z7">
        <f>'Fats Raw Data'!AS7-'Fats Raw Data'!BC7</f>
        <v>0</v>
      </c>
      <c r="AA7" t="str">
        <f>'Fats Raw Data'!AW7&amp;" - "&amp;'Fats Raw Data'!BG7</f>
        <v xml:space="preserve"> - </v>
      </c>
      <c r="AC7" s="1">
        <f>'Fats Raw Data'!AY7</f>
        <v>0</v>
      </c>
      <c r="AD7">
        <f>'Fats Raw Data'!AZ7-'Fats Raw Data'!B7</f>
        <v>0</v>
      </c>
      <c r="AE7">
        <f>'Fats Raw Data'!BA7-'Fats Raw Data'!C7</f>
        <v>0</v>
      </c>
      <c r="AF7">
        <f>'Fats Raw Data'!BB7-'Fats Raw Data'!D7</f>
        <v>0</v>
      </c>
      <c r="AG7">
        <f>'Fats Raw Data'!BC7-'Fats Raw Data'!E7</f>
        <v>0</v>
      </c>
      <c r="AH7" t="str">
        <f>'Fats Raw Data'!BG7&amp;" - "&amp;'Fats Raw Data'!I7</f>
        <v xml:space="preserve"> - </v>
      </c>
      <c r="AJ7" s="1">
        <f>'Fats Raw Data'!A7</f>
        <v>0</v>
      </c>
      <c r="AK7">
        <f>'Fats Raw Data'!B7-'Fats Raw Data'!L7</f>
        <v>0</v>
      </c>
      <c r="AL7">
        <f>'Fats Raw Data'!C7-'Fats Raw Data'!M7</f>
        <v>0</v>
      </c>
      <c r="AM7">
        <f>'Fats Raw Data'!D7-'Fats Raw Data'!N7</f>
        <v>0</v>
      </c>
      <c r="AN7">
        <f>'Fats Raw Data'!E7-'Fats Raw Data'!O7</f>
        <v>0</v>
      </c>
      <c r="AO7" t="str">
        <f>'Fats Raw Data'!I7&amp;" - "&amp;'Fats Raw Data'!S7</f>
        <v xml:space="preserve"> - </v>
      </c>
      <c r="AQ7" s="1">
        <f>'Fats Raw Data'!AE7</f>
        <v>0</v>
      </c>
      <c r="AR7">
        <f>'Fats Raw Data'!AF7-'Fats Raw Data'!AZ7</f>
        <v>0</v>
      </c>
      <c r="AS7">
        <f>'Fats Raw Data'!AG7-'Fats Raw Data'!BA7</f>
        <v>0</v>
      </c>
      <c r="AT7">
        <f>'Fats Raw Data'!AH7-'Fats Raw Data'!BB7</f>
        <v>0</v>
      </c>
      <c r="AU7">
        <f>'Fats Raw Data'!AI7-'Fats Raw Data'!BC7</f>
        <v>0</v>
      </c>
      <c r="AV7" t="str">
        <f>'Fats Raw Data'!AM7&amp;" - "&amp;'Fats Raw Data'!BG7</f>
        <v xml:space="preserve"> - </v>
      </c>
      <c r="AX7" s="1">
        <f>'Fats Raw Data'!A7</f>
        <v>0</v>
      </c>
      <c r="AY7">
        <f>'Fats Raw Data'!B7-'Fats Raw Data'!V7</f>
        <v>0</v>
      </c>
      <c r="AZ7">
        <f>'Fats Raw Data'!C7-'Fats Raw Data'!W7</f>
        <v>0</v>
      </c>
      <c r="BA7">
        <f>'Fats Raw Data'!D7-'Fats Raw Data'!X7</f>
        <v>0</v>
      </c>
      <c r="BB7">
        <f>'Fats Raw Data'!E7-'Fats Raw Data'!Y7</f>
        <v>0</v>
      </c>
      <c r="BC7" t="str">
        <f>'Fats Raw Data'!I7&amp;" - "&amp;'Fats Raw Data'!AC7</f>
        <v xml:space="preserve"> - </v>
      </c>
      <c r="BE7" s="1">
        <f>'Fats Raw Data'!K7</f>
        <v>0</v>
      </c>
      <c r="BF7">
        <f>'Fats Raw Data'!L7-'Fats Raw Data'!AF7</f>
        <v>0</v>
      </c>
      <c r="BG7">
        <f>'Fats Raw Data'!M7-'Fats Raw Data'!AG7</f>
        <v>0</v>
      </c>
      <c r="BH7">
        <f>'Fats Raw Data'!N7-'Fats Raw Data'!AH7</f>
        <v>0</v>
      </c>
      <c r="BI7">
        <f>'Fats Raw Data'!O7-'Fats Raw Data'!AI7</f>
        <v>0</v>
      </c>
      <c r="BJ7" t="str">
        <f>'Fats Raw Data'!S7&amp;" - "&amp;'Fats Raw Data'!AM7</f>
        <v xml:space="preserve"> - </v>
      </c>
    </row>
    <row r="8" spans="1:62" x14ac:dyDescent="0.25">
      <c r="A8" s="1">
        <f>'Fats Raw Data'!K8</f>
        <v>0</v>
      </c>
      <c r="B8">
        <f>'Fats Raw Data'!L8-'Fats Raw Data'!V8</f>
        <v>0</v>
      </c>
      <c r="C8">
        <f>'Fats Raw Data'!M8-'Fats Raw Data'!W8</f>
        <v>0</v>
      </c>
      <c r="D8">
        <f>'Fats Raw Data'!N8-'Fats Raw Data'!X8</f>
        <v>0</v>
      </c>
      <c r="E8">
        <f>'Fats Raw Data'!O8-'Fats Raw Data'!Y8</f>
        <v>0</v>
      </c>
      <c r="F8" t="str">
        <f>'Fats Raw Data'!S8&amp;" - "&amp;'Fats Raw Data'!AC8</f>
        <v xml:space="preserve"> - </v>
      </c>
      <c r="H8" s="1">
        <f>'Fats Raw Data'!U8</f>
        <v>0</v>
      </c>
      <c r="I8">
        <f>'Fats Raw Data'!V8-'Fats Raw Data'!AF8</f>
        <v>0</v>
      </c>
      <c r="J8">
        <f>'Fats Raw Data'!W8-'Fats Raw Data'!AG8</f>
        <v>0</v>
      </c>
      <c r="K8">
        <f>'Fats Raw Data'!X8-'Fats Raw Data'!AH8</f>
        <v>0</v>
      </c>
      <c r="L8">
        <f>'Fats Raw Data'!Y8-'Fats Raw Data'!AI8</f>
        <v>0</v>
      </c>
      <c r="M8" t="str">
        <f>'Fats Raw Data'!AC8&amp;" - "&amp;'Fats Raw Data'!AM8</f>
        <v xml:space="preserve"> - </v>
      </c>
      <c r="O8" s="1">
        <f>'Fats Raw Data'!AE8</f>
        <v>0</v>
      </c>
      <c r="P8">
        <f>'Fats Raw Data'!AF8-'Fats Raw Data'!AP8</f>
        <v>0</v>
      </c>
      <c r="Q8">
        <f>'Fats Raw Data'!AG8-'Fats Raw Data'!AQ8</f>
        <v>0</v>
      </c>
      <c r="R8">
        <f>'Fats Raw Data'!AH8-'Fats Raw Data'!AR8</f>
        <v>0</v>
      </c>
      <c r="S8">
        <f>'Fats Raw Data'!AI8-'Fats Raw Data'!AS8</f>
        <v>0</v>
      </c>
      <c r="T8" t="str">
        <f>'Fats Raw Data'!AM8&amp;" - "&amp;'Fats Raw Data'!AW8</f>
        <v xml:space="preserve"> - </v>
      </c>
      <c r="V8" s="1">
        <f>'Fats Raw Data'!AO8</f>
        <v>0</v>
      </c>
      <c r="W8">
        <f>'Fats Raw Data'!AP8-'Fats Raw Data'!AZ8</f>
        <v>0</v>
      </c>
      <c r="X8">
        <f>'Fats Raw Data'!AQ8-'Fats Raw Data'!BA8</f>
        <v>0</v>
      </c>
      <c r="Y8">
        <f>'Fats Raw Data'!AR8-'Fats Raw Data'!BB8</f>
        <v>0</v>
      </c>
      <c r="Z8">
        <f>'Fats Raw Data'!AS8-'Fats Raw Data'!BC8</f>
        <v>0</v>
      </c>
      <c r="AA8" t="str">
        <f>'Fats Raw Data'!AW8&amp;" - "&amp;'Fats Raw Data'!BG8</f>
        <v xml:space="preserve"> - </v>
      </c>
      <c r="AC8" s="1">
        <f>'Fats Raw Data'!AY8</f>
        <v>0</v>
      </c>
      <c r="AD8">
        <f>'Fats Raw Data'!AZ8-'Fats Raw Data'!B8</f>
        <v>0</v>
      </c>
      <c r="AE8">
        <f>'Fats Raw Data'!BA8-'Fats Raw Data'!C8</f>
        <v>0</v>
      </c>
      <c r="AF8">
        <f>'Fats Raw Data'!BB8-'Fats Raw Data'!D8</f>
        <v>0</v>
      </c>
      <c r="AG8">
        <f>'Fats Raw Data'!BC8-'Fats Raw Data'!E8</f>
        <v>0</v>
      </c>
      <c r="AH8" t="str">
        <f>'Fats Raw Data'!BG8&amp;" - "&amp;'Fats Raw Data'!I8</f>
        <v xml:space="preserve"> - </v>
      </c>
      <c r="AJ8" s="1">
        <f>'Fats Raw Data'!A8</f>
        <v>0</v>
      </c>
      <c r="AK8">
        <f>'Fats Raw Data'!B8-'Fats Raw Data'!L8</f>
        <v>0</v>
      </c>
      <c r="AL8">
        <f>'Fats Raw Data'!C8-'Fats Raw Data'!M8</f>
        <v>0</v>
      </c>
      <c r="AM8">
        <f>'Fats Raw Data'!D8-'Fats Raw Data'!N8</f>
        <v>0</v>
      </c>
      <c r="AN8">
        <f>'Fats Raw Data'!E8-'Fats Raw Data'!O8</f>
        <v>0</v>
      </c>
      <c r="AO8" t="str">
        <f>'Fats Raw Data'!I8&amp;" - "&amp;'Fats Raw Data'!S8</f>
        <v xml:space="preserve"> - </v>
      </c>
      <c r="AQ8" s="1">
        <f>'Fats Raw Data'!AE8</f>
        <v>0</v>
      </c>
      <c r="AR8">
        <f>'Fats Raw Data'!AF8-'Fats Raw Data'!AZ8</f>
        <v>0</v>
      </c>
      <c r="AS8">
        <f>'Fats Raw Data'!AG8-'Fats Raw Data'!BA8</f>
        <v>0</v>
      </c>
      <c r="AT8">
        <f>'Fats Raw Data'!AH8-'Fats Raw Data'!BB8</f>
        <v>0</v>
      </c>
      <c r="AU8">
        <f>'Fats Raw Data'!AI8-'Fats Raw Data'!BC8</f>
        <v>0</v>
      </c>
      <c r="AV8" t="str">
        <f>'Fats Raw Data'!AM8&amp;" - "&amp;'Fats Raw Data'!BG8</f>
        <v xml:space="preserve"> - </v>
      </c>
      <c r="AX8" s="1">
        <f>'Fats Raw Data'!A8</f>
        <v>0</v>
      </c>
      <c r="AY8">
        <f>'Fats Raw Data'!B8-'Fats Raw Data'!V8</f>
        <v>0</v>
      </c>
      <c r="AZ8">
        <f>'Fats Raw Data'!C8-'Fats Raw Data'!W8</f>
        <v>0</v>
      </c>
      <c r="BA8">
        <f>'Fats Raw Data'!D8-'Fats Raw Data'!X8</f>
        <v>0</v>
      </c>
      <c r="BB8">
        <f>'Fats Raw Data'!E8-'Fats Raw Data'!Y8</f>
        <v>0</v>
      </c>
      <c r="BC8" t="str">
        <f>'Fats Raw Data'!I8&amp;" - "&amp;'Fats Raw Data'!AC8</f>
        <v xml:space="preserve"> - </v>
      </c>
      <c r="BE8" s="1">
        <f>'Fats Raw Data'!K8</f>
        <v>0</v>
      </c>
      <c r="BF8">
        <f>'Fats Raw Data'!L8-'Fats Raw Data'!AF8</f>
        <v>0</v>
      </c>
      <c r="BG8">
        <f>'Fats Raw Data'!M8-'Fats Raw Data'!AG8</f>
        <v>0</v>
      </c>
      <c r="BH8">
        <f>'Fats Raw Data'!N8-'Fats Raw Data'!AH8</f>
        <v>0</v>
      </c>
      <c r="BI8">
        <f>'Fats Raw Data'!O8-'Fats Raw Data'!AI8</f>
        <v>0</v>
      </c>
      <c r="BJ8" t="str">
        <f>'Fats Raw Data'!S8&amp;" - "&amp;'Fats Raw Data'!AM8</f>
        <v xml:space="preserve"> - </v>
      </c>
    </row>
    <row r="9" spans="1:62" x14ac:dyDescent="0.25">
      <c r="A9" s="1">
        <f>'Fats Raw Data'!K9</f>
        <v>0</v>
      </c>
      <c r="B9">
        <f>'Fats Raw Data'!L9-'Fats Raw Data'!V9</f>
        <v>0</v>
      </c>
      <c r="C9">
        <f>'Fats Raw Data'!M9-'Fats Raw Data'!W9</f>
        <v>0</v>
      </c>
      <c r="D9">
        <f>'Fats Raw Data'!N9-'Fats Raw Data'!X9</f>
        <v>0</v>
      </c>
      <c r="E9">
        <f>'Fats Raw Data'!O9-'Fats Raw Data'!Y9</f>
        <v>0</v>
      </c>
      <c r="F9" t="str">
        <f>'Fats Raw Data'!S9&amp;" - "&amp;'Fats Raw Data'!AC9</f>
        <v xml:space="preserve"> - </v>
      </c>
      <c r="H9" s="1">
        <f>'Fats Raw Data'!U9</f>
        <v>0</v>
      </c>
      <c r="I9">
        <f>'Fats Raw Data'!V9-'Fats Raw Data'!AF9</f>
        <v>0</v>
      </c>
      <c r="J9">
        <f>'Fats Raw Data'!W9-'Fats Raw Data'!AG9</f>
        <v>0</v>
      </c>
      <c r="K9">
        <f>'Fats Raw Data'!X9-'Fats Raw Data'!AH9</f>
        <v>0</v>
      </c>
      <c r="L9">
        <f>'Fats Raw Data'!Y9-'Fats Raw Data'!AI9</f>
        <v>0</v>
      </c>
      <c r="M9" t="str">
        <f>'Fats Raw Data'!AC9&amp;" - "&amp;'Fats Raw Data'!AM9</f>
        <v xml:space="preserve"> - </v>
      </c>
      <c r="O9" s="1">
        <f>'Fats Raw Data'!AE9</f>
        <v>0</v>
      </c>
      <c r="P9">
        <f>'Fats Raw Data'!AF9-'Fats Raw Data'!AP9</f>
        <v>0</v>
      </c>
      <c r="Q9">
        <f>'Fats Raw Data'!AG9-'Fats Raw Data'!AQ9</f>
        <v>0</v>
      </c>
      <c r="R9">
        <f>'Fats Raw Data'!AH9-'Fats Raw Data'!AR9</f>
        <v>0</v>
      </c>
      <c r="S9">
        <f>'Fats Raw Data'!AI9-'Fats Raw Data'!AS9</f>
        <v>0</v>
      </c>
      <c r="T9" t="str">
        <f>'Fats Raw Data'!AM9&amp;" - "&amp;'Fats Raw Data'!AW9</f>
        <v xml:space="preserve"> - </v>
      </c>
      <c r="V9" s="1">
        <f>'Fats Raw Data'!AO9</f>
        <v>0</v>
      </c>
      <c r="W9">
        <f>'Fats Raw Data'!AP9-'Fats Raw Data'!AZ9</f>
        <v>0</v>
      </c>
      <c r="X9">
        <f>'Fats Raw Data'!AQ9-'Fats Raw Data'!BA9</f>
        <v>0</v>
      </c>
      <c r="Y9">
        <f>'Fats Raw Data'!AR9-'Fats Raw Data'!BB9</f>
        <v>0</v>
      </c>
      <c r="Z9">
        <f>'Fats Raw Data'!AS9-'Fats Raw Data'!BC9</f>
        <v>0</v>
      </c>
      <c r="AA9" t="str">
        <f>'Fats Raw Data'!AW9&amp;" - "&amp;'Fats Raw Data'!BG9</f>
        <v xml:space="preserve"> - </v>
      </c>
      <c r="AC9" s="1">
        <f>'Fats Raw Data'!AY9</f>
        <v>0</v>
      </c>
      <c r="AD9">
        <f>'Fats Raw Data'!AZ9-'Fats Raw Data'!B9</f>
        <v>0</v>
      </c>
      <c r="AE9">
        <f>'Fats Raw Data'!BA9-'Fats Raw Data'!C9</f>
        <v>0</v>
      </c>
      <c r="AF9">
        <f>'Fats Raw Data'!BB9-'Fats Raw Data'!D9</f>
        <v>0</v>
      </c>
      <c r="AG9">
        <f>'Fats Raw Data'!BC9-'Fats Raw Data'!E9</f>
        <v>0</v>
      </c>
      <c r="AH9" t="str">
        <f>'Fats Raw Data'!BG9&amp;" - "&amp;'Fats Raw Data'!I9</f>
        <v xml:space="preserve"> - </v>
      </c>
      <c r="AJ9" s="1">
        <f>'Fats Raw Data'!A9</f>
        <v>0</v>
      </c>
      <c r="AK9">
        <f>'Fats Raw Data'!B9-'Fats Raw Data'!L9</f>
        <v>0</v>
      </c>
      <c r="AL9">
        <f>'Fats Raw Data'!C9-'Fats Raw Data'!M9</f>
        <v>0</v>
      </c>
      <c r="AM9">
        <f>'Fats Raw Data'!D9-'Fats Raw Data'!N9</f>
        <v>0</v>
      </c>
      <c r="AN9">
        <f>'Fats Raw Data'!E9-'Fats Raw Data'!O9</f>
        <v>0</v>
      </c>
      <c r="AO9" t="str">
        <f>'Fats Raw Data'!I9&amp;" - "&amp;'Fats Raw Data'!S9</f>
        <v xml:space="preserve"> - </v>
      </c>
      <c r="AQ9" s="1">
        <f>'Fats Raw Data'!AE9</f>
        <v>0</v>
      </c>
      <c r="AR9">
        <f>'Fats Raw Data'!AF9-'Fats Raw Data'!AZ9</f>
        <v>0</v>
      </c>
      <c r="AS9">
        <f>'Fats Raw Data'!AG9-'Fats Raw Data'!BA9</f>
        <v>0</v>
      </c>
      <c r="AT9">
        <f>'Fats Raw Data'!AH9-'Fats Raw Data'!BB9</f>
        <v>0</v>
      </c>
      <c r="AU9">
        <f>'Fats Raw Data'!AI9-'Fats Raw Data'!BC9</f>
        <v>0</v>
      </c>
      <c r="AV9" t="str">
        <f>'Fats Raw Data'!AM9&amp;" - "&amp;'Fats Raw Data'!BG9</f>
        <v xml:space="preserve"> - </v>
      </c>
      <c r="AX9" s="1">
        <f>'Fats Raw Data'!A9</f>
        <v>0</v>
      </c>
      <c r="AY9">
        <f>'Fats Raw Data'!B9-'Fats Raw Data'!V9</f>
        <v>0</v>
      </c>
      <c r="AZ9">
        <f>'Fats Raw Data'!C9-'Fats Raw Data'!W9</f>
        <v>0</v>
      </c>
      <c r="BA9">
        <f>'Fats Raw Data'!D9-'Fats Raw Data'!X9</f>
        <v>0</v>
      </c>
      <c r="BB9">
        <f>'Fats Raw Data'!E9-'Fats Raw Data'!Y9</f>
        <v>0</v>
      </c>
      <c r="BC9" t="str">
        <f>'Fats Raw Data'!I9&amp;" - "&amp;'Fats Raw Data'!AC9</f>
        <v xml:space="preserve"> - </v>
      </c>
      <c r="BE9" s="1">
        <f>'Fats Raw Data'!K9</f>
        <v>0</v>
      </c>
      <c r="BF9">
        <f>'Fats Raw Data'!L9-'Fats Raw Data'!AF9</f>
        <v>0</v>
      </c>
      <c r="BG9">
        <f>'Fats Raw Data'!M9-'Fats Raw Data'!AG9</f>
        <v>0</v>
      </c>
      <c r="BH9">
        <f>'Fats Raw Data'!N9-'Fats Raw Data'!AH9</f>
        <v>0</v>
      </c>
      <c r="BI9">
        <f>'Fats Raw Data'!O9-'Fats Raw Data'!AI9</f>
        <v>0</v>
      </c>
      <c r="BJ9" t="str">
        <f>'Fats Raw Data'!S9&amp;" - "&amp;'Fats Raw Data'!AM9</f>
        <v xml:space="preserve"> - </v>
      </c>
    </row>
    <row r="10" spans="1:62" x14ac:dyDescent="0.25">
      <c r="A10" s="1">
        <f>'Fats Raw Data'!K10</f>
        <v>0</v>
      </c>
      <c r="B10">
        <f>'Fats Raw Data'!L10-'Fats Raw Data'!V10</f>
        <v>0</v>
      </c>
      <c r="C10">
        <f>'Fats Raw Data'!M10-'Fats Raw Data'!W10</f>
        <v>0</v>
      </c>
      <c r="D10">
        <f>'Fats Raw Data'!N10-'Fats Raw Data'!X10</f>
        <v>0</v>
      </c>
      <c r="E10">
        <f>'Fats Raw Data'!O10-'Fats Raw Data'!Y10</f>
        <v>0</v>
      </c>
      <c r="F10" t="str">
        <f>'Fats Raw Data'!S10&amp;" - "&amp;'Fats Raw Data'!AC10</f>
        <v xml:space="preserve"> - </v>
      </c>
      <c r="H10" s="1">
        <f>'Fats Raw Data'!U10</f>
        <v>0</v>
      </c>
      <c r="I10">
        <f>'Fats Raw Data'!V10-'Fats Raw Data'!AF10</f>
        <v>0</v>
      </c>
      <c r="J10">
        <f>'Fats Raw Data'!W10-'Fats Raw Data'!AG10</f>
        <v>0</v>
      </c>
      <c r="K10">
        <f>'Fats Raw Data'!X10-'Fats Raw Data'!AH10</f>
        <v>0</v>
      </c>
      <c r="L10">
        <f>'Fats Raw Data'!Y10-'Fats Raw Data'!AI10</f>
        <v>0</v>
      </c>
      <c r="M10" t="str">
        <f>'Fats Raw Data'!AC10&amp;" - "&amp;'Fats Raw Data'!AM10</f>
        <v xml:space="preserve"> - </v>
      </c>
      <c r="O10" s="1">
        <f>'Fats Raw Data'!AE10</f>
        <v>0</v>
      </c>
      <c r="P10">
        <f>'Fats Raw Data'!AF10-'Fats Raw Data'!AP10</f>
        <v>0</v>
      </c>
      <c r="Q10">
        <f>'Fats Raw Data'!AG10-'Fats Raw Data'!AQ10</f>
        <v>0</v>
      </c>
      <c r="R10">
        <f>'Fats Raw Data'!AH10-'Fats Raw Data'!AR10</f>
        <v>0</v>
      </c>
      <c r="S10">
        <f>'Fats Raw Data'!AI10-'Fats Raw Data'!AS10</f>
        <v>0</v>
      </c>
      <c r="T10" t="str">
        <f>'Fats Raw Data'!AM10&amp;" - "&amp;'Fats Raw Data'!AW10</f>
        <v xml:space="preserve"> - </v>
      </c>
      <c r="V10" s="1">
        <f>'Fats Raw Data'!AO10</f>
        <v>0</v>
      </c>
      <c r="W10">
        <f>'Fats Raw Data'!AP10-'Fats Raw Data'!AZ10</f>
        <v>0</v>
      </c>
      <c r="X10">
        <f>'Fats Raw Data'!AQ10-'Fats Raw Data'!BA10</f>
        <v>0</v>
      </c>
      <c r="Y10">
        <f>'Fats Raw Data'!AR10-'Fats Raw Data'!BB10</f>
        <v>0</v>
      </c>
      <c r="Z10">
        <f>'Fats Raw Data'!AS10-'Fats Raw Data'!BC10</f>
        <v>0</v>
      </c>
      <c r="AA10" t="str">
        <f>'Fats Raw Data'!AW10&amp;" - "&amp;'Fats Raw Data'!BG10</f>
        <v xml:space="preserve"> - </v>
      </c>
      <c r="AC10" s="1">
        <f>'Fats Raw Data'!AY10</f>
        <v>0</v>
      </c>
      <c r="AD10">
        <f>'Fats Raw Data'!AZ10-'Fats Raw Data'!B10</f>
        <v>0</v>
      </c>
      <c r="AE10">
        <f>'Fats Raw Data'!BA10-'Fats Raw Data'!C10</f>
        <v>0</v>
      </c>
      <c r="AF10">
        <f>'Fats Raw Data'!BB10-'Fats Raw Data'!D10</f>
        <v>0</v>
      </c>
      <c r="AG10">
        <f>'Fats Raw Data'!BC10-'Fats Raw Data'!E10</f>
        <v>0</v>
      </c>
      <c r="AH10" t="str">
        <f>'Fats Raw Data'!BG10&amp;" - "&amp;'Fats Raw Data'!I10</f>
        <v xml:space="preserve"> - </v>
      </c>
      <c r="AJ10" s="1">
        <f>'Fats Raw Data'!A10</f>
        <v>0</v>
      </c>
      <c r="AK10">
        <f>'Fats Raw Data'!B10-'Fats Raw Data'!L10</f>
        <v>0</v>
      </c>
      <c r="AL10">
        <f>'Fats Raw Data'!C10-'Fats Raw Data'!M10</f>
        <v>0</v>
      </c>
      <c r="AM10">
        <f>'Fats Raw Data'!D10-'Fats Raw Data'!N10</f>
        <v>0</v>
      </c>
      <c r="AN10">
        <f>'Fats Raw Data'!E10-'Fats Raw Data'!O10</f>
        <v>0</v>
      </c>
      <c r="AO10" t="str">
        <f>'Fats Raw Data'!I10&amp;" - "&amp;'Fats Raw Data'!S10</f>
        <v xml:space="preserve"> - </v>
      </c>
      <c r="AQ10" s="1">
        <f>'Fats Raw Data'!AE10</f>
        <v>0</v>
      </c>
      <c r="AR10">
        <f>'Fats Raw Data'!AF10-'Fats Raw Data'!AZ10</f>
        <v>0</v>
      </c>
      <c r="AS10">
        <f>'Fats Raw Data'!AG10-'Fats Raw Data'!BA10</f>
        <v>0</v>
      </c>
      <c r="AT10">
        <f>'Fats Raw Data'!AH10-'Fats Raw Data'!BB10</f>
        <v>0</v>
      </c>
      <c r="AU10">
        <f>'Fats Raw Data'!AI10-'Fats Raw Data'!BC10</f>
        <v>0</v>
      </c>
      <c r="AV10" t="str">
        <f>'Fats Raw Data'!AM10&amp;" - "&amp;'Fats Raw Data'!BG10</f>
        <v xml:space="preserve"> - </v>
      </c>
      <c r="AX10" s="1">
        <f>'Fats Raw Data'!A10</f>
        <v>0</v>
      </c>
      <c r="AY10">
        <f>'Fats Raw Data'!B10-'Fats Raw Data'!V10</f>
        <v>0</v>
      </c>
      <c r="AZ10">
        <f>'Fats Raw Data'!C10-'Fats Raw Data'!W10</f>
        <v>0</v>
      </c>
      <c r="BA10">
        <f>'Fats Raw Data'!D10-'Fats Raw Data'!X10</f>
        <v>0</v>
      </c>
      <c r="BB10">
        <f>'Fats Raw Data'!E10-'Fats Raw Data'!Y10</f>
        <v>0</v>
      </c>
      <c r="BC10" t="str">
        <f>'Fats Raw Data'!I10&amp;" - "&amp;'Fats Raw Data'!AC10</f>
        <v xml:space="preserve"> - </v>
      </c>
      <c r="BE10" s="1">
        <f>'Fats Raw Data'!K10</f>
        <v>0</v>
      </c>
      <c r="BF10">
        <f>'Fats Raw Data'!L10-'Fats Raw Data'!AF10</f>
        <v>0</v>
      </c>
      <c r="BG10">
        <f>'Fats Raw Data'!M10-'Fats Raw Data'!AG10</f>
        <v>0</v>
      </c>
      <c r="BH10">
        <f>'Fats Raw Data'!N10-'Fats Raw Data'!AH10</f>
        <v>0</v>
      </c>
      <c r="BI10">
        <f>'Fats Raw Data'!O10-'Fats Raw Data'!AI10</f>
        <v>0</v>
      </c>
      <c r="BJ10" t="str">
        <f>'Fats Raw Data'!S10&amp;" - "&amp;'Fats Raw Data'!AM10</f>
        <v xml:space="preserve"> - </v>
      </c>
    </row>
    <row r="11" spans="1:62" x14ac:dyDescent="0.25">
      <c r="A11" s="1">
        <f>'Fats Raw Data'!K11</f>
        <v>0</v>
      </c>
      <c r="B11">
        <f>'Fats Raw Data'!L11-'Fats Raw Data'!V11</f>
        <v>0</v>
      </c>
      <c r="C11">
        <f>'Fats Raw Data'!M11-'Fats Raw Data'!W11</f>
        <v>0</v>
      </c>
      <c r="D11">
        <f>'Fats Raw Data'!N11-'Fats Raw Data'!X11</f>
        <v>0</v>
      </c>
      <c r="E11">
        <f>'Fats Raw Data'!O11-'Fats Raw Data'!Y11</f>
        <v>0</v>
      </c>
      <c r="F11" t="str">
        <f>'Fats Raw Data'!S11&amp;" - "&amp;'Fats Raw Data'!AC11</f>
        <v xml:space="preserve"> - </v>
      </c>
      <c r="H11" s="1">
        <f>'Fats Raw Data'!U11</f>
        <v>0</v>
      </c>
      <c r="I11">
        <f>'Fats Raw Data'!V11-'Fats Raw Data'!AF11</f>
        <v>0</v>
      </c>
      <c r="J11">
        <f>'Fats Raw Data'!W11-'Fats Raw Data'!AG11</f>
        <v>0</v>
      </c>
      <c r="K11">
        <f>'Fats Raw Data'!X11-'Fats Raw Data'!AH11</f>
        <v>0</v>
      </c>
      <c r="L11">
        <f>'Fats Raw Data'!Y11-'Fats Raw Data'!AI11</f>
        <v>0</v>
      </c>
      <c r="M11" t="str">
        <f>'Fats Raw Data'!AC11&amp;" - "&amp;'Fats Raw Data'!AM11</f>
        <v xml:space="preserve"> - </v>
      </c>
      <c r="O11" s="1">
        <f>'Fats Raw Data'!AE11</f>
        <v>0</v>
      </c>
      <c r="P11">
        <f>'Fats Raw Data'!AF11-'Fats Raw Data'!AP11</f>
        <v>0</v>
      </c>
      <c r="Q11">
        <f>'Fats Raw Data'!AG11-'Fats Raw Data'!AQ11</f>
        <v>0</v>
      </c>
      <c r="R11">
        <f>'Fats Raw Data'!AH11-'Fats Raw Data'!AR11</f>
        <v>0</v>
      </c>
      <c r="S11">
        <f>'Fats Raw Data'!AI11-'Fats Raw Data'!AS11</f>
        <v>0</v>
      </c>
      <c r="T11" t="str">
        <f>'Fats Raw Data'!AM11&amp;" - "&amp;'Fats Raw Data'!AW11</f>
        <v xml:space="preserve"> - </v>
      </c>
      <c r="V11" s="1">
        <f>'Fats Raw Data'!AO11</f>
        <v>0</v>
      </c>
      <c r="W11">
        <f>'Fats Raw Data'!AP11-'Fats Raw Data'!AZ11</f>
        <v>0</v>
      </c>
      <c r="X11">
        <f>'Fats Raw Data'!AQ11-'Fats Raw Data'!BA11</f>
        <v>0</v>
      </c>
      <c r="Y11">
        <f>'Fats Raw Data'!AR11-'Fats Raw Data'!BB11</f>
        <v>0</v>
      </c>
      <c r="Z11">
        <f>'Fats Raw Data'!AS11-'Fats Raw Data'!BC11</f>
        <v>0</v>
      </c>
      <c r="AA11" t="str">
        <f>'Fats Raw Data'!AW11&amp;" - "&amp;'Fats Raw Data'!BG11</f>
        <v xml:space="preserve"> - </v>
      </c>
      <c r="AC11" s="1">
        <f>'Fats Raw Data'!AY11</f>
        <v>0</v>
      </c>
      <c r="AD11">
        <f>'Fats Raw Data'!AZ11-'Fats Raw Data'!B11</f>
        <v>0</v>
      </c>
      <c r="AE11">
        <f>'Fats Raw Data'!BA11-'Fats Raw Data'!C11</f>
        <v>0</v>
      </c>
      <c r="AF11">
        <f>'Fats Raw Data'!BB11-'Fats Raw Data'!D11</f>
        <v>0</v>
      </c>
      <c r="AG11">
        <f>'Fats Raw Data'!BC11-'Fats Raw Data'!E11</f>
        <v>0</v>
      </c>
      <c r="AH11" t="str">
        <f>'Fats Raw Data'!BG11&amp;" - "&amp;'Fats Raw Data'!I11</f>
        <v xml:space="preserve"> - </v>
      </c>
      <c r="AJ11" s="1">
        <f>'Fats Raw Data'!A11</f>
        <v>0</v>
      </c>
      <c r="AK11">
        <f>'Fats Raw Data'!B11-'Fats Raw Data'!L11</f>
        <v>0</v>
      </c>
      <c r="AL11">
        <f>'Fats Raw Data'!C11-'Fats Raw Data'!M11</f>
        <v>0</v>
      </c>
      <c r="AM11">
        <f>'Fats Raw Data'!D11-'Fats Raw Data'!N11</f>
        <v>0</v>
      </c>
      <c r="AN11">
        <f>'Fats Raw Data'!E11-'Fats Raw Data'!O11</f>
        <v>0</v>
      </c>
      <c r="AO11" t="str">
        <f>'Fats Raw Data'!I11&amp;" - "&amp;'Fats Raw Data'!S11</f>
        <v xml:space="preserve"> - </v>
      </c>
      <c r="AQ11" s="1">
        <f>'Fats Raw Data'!AE11</f>
        <v>0</v>
      </c>
      <c r="AR11">
        <f>'Fats Raw Data'!AF11-'Fats Raw Data'!AZ11</f>
        <v>0</v>
      </c>
      <c r="AS11">
        <f>'Fats Raw Data'!AG11-'Fats Raw Data'!BA11</f>
        <v>0</v>
      </c>
      <c r="AT11">
        <f>'Fats Raw Data'!AH11-'Fats Raw Data'!BB11</f>
        <v>0</v>
      </c>
      <c r="AU11">
        <f>'Fats Raw Data'!AI11-'Fats Raw Data'!BC11</f>
        <v>0</v>
      </c>
      <c r="AV11" t="str">
        <f>'Fats Raw Data'!AM11&amp;" - "&amp;'Fats Raw Data'!BG11</f>
        <v xml:space="preserve"> - </v>
      </c>
      <c r="AX11" s="1">
        <f>'Fats Raw Data'!A11</f>
        <v>0</v>
      </c>
      <c r="AY11">
        <f>'Fats Raw Data'!B11-'Fats Raw Data'!V11</f>
        <v>0</v>
      </c>
      <c r="AZ11">
        <f>'Fats Raw Data'!C11-'Fats Raw Data'!W11</f>
        <v>0</v>
      </c>
      <c r="BA11">
        <f>'Fats Raw Data'!D11-'Fats Raw Data'!X11</f>
        <v>0</v>
      </c>
      <c r="BB11">
        <f>'Fats Raw Data'!E11-'Fats Raw Data'!Y11</f>
        <v>0</v>
      </c>
      <c r="BC11" t="str">
        <f>'Fats Raw Data'!I11&amp;" - "&amp;'Fats Raw Data'!AC11</f>
        <v xml:space="preserve"> - </v>
      </c>
      <c r="BE11" s="1">
        <f>'Fats Raw Data'!K11</f>
        <v>0</v>
      </c>
      <c r="BF11">
        <f>'Fats Raw Data'!L11-'Fats Raw Data'!AF11</f>
        <v>0</v>
      </c>
      <c r="BG11">
        <f>'Fats Raw Data'!M11-'Fats Raw Data'!AG11</f>
        <v>0</v>
      </c>
      <c r="BH11">
        <f>'Fats Raw Data'!N11-'Fats Raw Data'!AH11</f>
        <v>0</v>
      </c>
      <c r="BI11">
        <f>'Fats Raw Data'!O11-'Fats Raw Data'!AI11</f>
        <v>0</v>
      </c>
      <c r="BJ11" t="str">
        <f>'Fats Raw Data'!S11&amp;" - "&amp;'Fats Raw Data'!AM11</f>
        <v xml:space="preserve"> - </v>
      </c>
    </row>
    <row r="12" spans="1:62" x14ac:dyDescent="0.25">
      <c r="A12" s="1">
        <f>'Fats Raw Data'!K12</f>
        <v>0</v>
      </c>
      <c r="B12">
        <f>'Fats Raw Data'!L12-'Fats Raw Data'!V12</f>
        <v>0</v>
      </c>
      <c r="C12">
        <f>'Fats Raw Data'!M12-'Fats Raw Data'!W12</f>
        <v>0</v>
      </c>
      <c r="D12">
        <f>'Fats Raw Data'!N12-'Fats Raw Data'!X12</f>
        <v>0</v>
      </c>
      <c r="E12">
        <f>'Fats Raw Data'!O12-'Fats Raw Data'!Y12</f>
        <v>0</v>
      </c>
      <c r="F12" t="str">
        <f>'Fats Raw Data'!S12&amp;" - "&amp;'Fats Raw Data'!AC12</f>
        <v xml:space="preserve"> - </v>
      </c>
      <c r="H12" s="1">
        <f>'Fats Raw Data'!U12</f>
        <v>0</v>
      </c>
      <c r="I12">
        <f>'Fats Raw Data'!V12-'Fats Raw Data'!AF12</f>
        <v>0</v>
      </c>
      <c r="J12">
        <f>'Fats Raw Data'!W12-'Fats Raw Data'!AG12</f>
        <v>0</v>
      </c>
      <c r="K12">
        <f>'Fats Raw Data'!X12-'Fats Raw Data'!AH12</f>
        <v>0</v>
      </c>
      <c r="L12">
        <f>'Fats Raw Data'!Y12-'Fats Raw Data'!AI12</f>
        <v>0</v>
      </c>
      <c r="M12" t="str">
        <f>'Fats Raw Data'!AC12&amp;" - "&amp;'Fats Raw Data'!AM12</f>
        <v xml:space="preserve"> - </v>
      </c>
      <c r="O12" s="1">
        <f>'Fats Raw Data'!AE12</f>
        <v>0</v>
      </c>
      <c r="P12">
        <f>'Fats Raw Data'!AF12-'Fats Raw Data'!AP12</f>
        <v>0</v>
      </c>
      <c r="Q12">
        <f>'Fats Raw Data'!AG12-'Fats Raw Data'!AQ12</f>
        <v>0</v>
      </c>
      <c r="R12">
        <f>'Fats Raw Data'!AH12-'Fats Raw Data'!AR12</f>
        <v>0</v>
      </c>
      <c r="S12">
        <f>'Fats Raw Data'!AI12-'Fats Raw Data'!AS12</f>
        <v>0</v>
      </c>
      <c r="T12" t="str">
        <f>'Fats Raw Data'!AM12&amp;" - "&amp;'Fats Raw Data'!AW12</f>
        <v xml:space="preserve"> - </v>
      </c>
      <c r="V12" s="1">
        <f>'Fats Raw Data'!AO12</f>
        <v>0</v>
      </c>
      <c r="W12">
        <f>'Fats Raw Data'!AP12-'Fats Raw Data'!AZ12</f>
        <v>0</v>
      </c>
      <c r="X12">
        <f>'Fats Raw Data'!AQ12-'Fats Raw Data'!BA12</f>
        <v>0</v>
      </c>
      <c r="Y12">
        <f>'Fats Raw Data'!AR12-'Fats Raw Data'!BB12</f>
        <v>0</v>
      </c>
      <c r="Z12">
        <f>'Fats Raw Data'!AS12-'Fats Raw Data'!BC12</f>
        <v>0</v>
      </c>
      <c r="AA12" t="str">
        <f>'Fats Raw Data'!AW12&amp;" - "&amp;'Fats Raw Data'!BG12</f>
        <v xml:space="preserve"> - </v>
      </c>
      <c r="AC12" s="1">
        <f>'Fats Raw Data'!AY12</f>
        <v>0</v>
      </c>
      <c r="AD12">
        <f>'Fats Raw Data'!AZ12-'Fats Raw Data'!B12</f>
        <v>0</v>
      </c>
      <c r="AE12">
        <f>'Fats Raw Data'!BA12-'Fats Raw Data'!C12</f>
        <v>0</v>
      </c>
      <c r="AF12">
        <f>'Fats Raw Data'!BB12-'Fats Raw Data'!D12</f>
        <v>0</v>
      </c>
      <c r="AG12">
        <f>'Fats Raw Data'!BC12-'Fats Raw Data'!E12</f>
        <v>0</v>
      </c>
      <c r="AH12" t="str">
        <f>'Fats Raw Data'!BG12&amp;" - "&amp;'Fats Raw Data'!I12</f>
        <v xml:space="preserve"> - </v>
      </c>
      <c r="AJ12" s="1">
        <f>'Fats Raw Data'!A12</f>
        <v>0</v>
      </c>
      <c r="AK12">
        <f>'Fats Raw Data'!B12-'Fats Raw Data'!L12</f>
        <v>0</v>
      </c>
      <c r="AL12">
        <f>'Fats Raw Data'!C12-'Fats Raw Data'!M12</f>
        <v>0</v>
      </c>
      <c r="AM12">
        <f>'Fats Raw Data'!D12-'Fats Raw Data'!N12</f>
        <v>0</v>
      </c>
      <c r="AN12">
        <f>'Fats Raw Data'!E12-'Fats Raw Data'!O12</f>
        <v>0</v>
      </c>
      <c r="AO12" t="str">
        <f>'Fats Raw Data'!I12&amp;" - "&amp;'Fats Raw Data'!S12</f>
        <v xml:space="preserve"> - </v>
      </c>
      <c r="AQ12" s="1">
        <f>'Fats Raw Data'!AE12</f>
        <v>0</v>
      </c>
      <c r="AR12">
        <f>'Fats Raw Data'!AF12-'Fats Raw Data'!AZ12</f>
        <v>0</v>
      </c>
      <c r="AS12">
        <f>'Fats Raw Data'!AG12-'Fats Raw Data'!BA12</f>
        <v>0</v>
      </c>
      <c r="AT12">
        <f>'Fats Raw Data'!AH12-'Fats Raw Data'!BB12</f>
        <v>0</v>
      </c>
      <c r="AU12">
        <f>'Fats Raw Data'!AI12-'Fats Raw Data'!BC12</f>
        <v>0</v>
      </c>
      <c r="AV12" t="str">
        <f>'Fats Raw Data'!AM12&amp;" - "&amp;'Fats Raw Data'!BG12</f>
        <v xml:space="preserve"> - </v>
      </c>
      <c r="AX12" s="1">
        <f>'Fats Raw Data'!A12</f>
        <v>0</v>
      </c>
      <c r="AY12">
        <f>'Fats Raw Data'!B12-'Fats Raw Data'!V12</f>
        <v>0</v>
      </c>
      <c r="AZ12">
        <f>'Fats Raw Data'!C12-'Fats Raw Data'!W12</f>
        <v>0</v>
      </c>
      <c r="BA12">
        <f>'Fats Raw Data'!D12-'Fats Raw Data'!X12</f>
        <v>0</v>
      </c>
      <c r="BB12">
        <f>'Fats Raw Data'!E12-'Fats Raw Data'!Y12</f>
        <v>0</v>
      </c>
      <c r="BC12" t="str">
        <f>'Fats Raw Data'!I12&amp;" - "&amp;'Fats Raw Data'!AC12</f>
        <v xml:space="preserve"> - </v>
      </c>
      <c r="BE12" s="1">
        <f>'Fats Raw Data'!K12</f>
        <v>0</v>
      </c>
      <c r="BF12">
        <f>'Fats Raw Data'!L12-'Fats Raw Data'!AF12</f>
        <v>0</v>
      </c>
      <c r="BG12">
        <f>'Fats Raw Data'!M12-'Fats Raw Data'!AG12</f>
        <v>0</v>
      </c>
      <c r="BH12">
        <f>'Fats Raw Data'!N12-'Fats Raw Data'!AH12</f>
        <v>0</v>
      </c>
      <c r="BI12">
        <f>'Fats Raw Data'!O12-'Fats Raw Data'!AI12</f>
        <v>0</v>
      </c>
      <c r="BJ12" t="str">
        <f>'Fats Raw Data'!S12&amp;" - "&amp;'Fats Raw Data'!AM12</f>
        <v xml:space="preserve"> - </v>
      </c>
    </row>
    <row r="13" spans="1:62" x14ac:dyDescent="0.25">
      <c r="A13" s="1">
        <f>'Fats Raw Data'!K13</f>
        <v>0</v>
      </c>
      <c r="B13">
        <f>'Fats Raw Data'!L13-'Fats Raw Data'!V13</f>
        <v>0</v>
      </c>
      <c r="C13">
        <f>'Fats Raw Data'!M13-'Fats Raw Data'!W13</f>
        <v>0</v>
      </c>
      <c r="D13">
        <f>'Fats Raw Data'!N13-'Fats Raw Data'!X13</f>
        <v>0</v>
      </c>
      <c r="E13">
        <f>'Fats Raw Data'!O13-'Fats Raw Data'!Y13</f>
        <v>0</v>
      </c>
      <c r="F13" t="str">
        <f>'Fats Raw Data'!S13&amp;" - "&amp;'Fats Raw Data'!AC13</f>
        <v xml:space="preserve"> - </v>
      </c>
      <c r="H13" s="1">
        <f>'Fats Raw Data'!U13</f>
        <v>0</v>
      </c>
      <c r="I13">
        <f>'Fats Raw Data'!V13-'Fats Raw Data'!AF13</f>
        <v>0</v>
      </c>
      <c r="J13">
        <f>'Fats Raw Data'!W13-'Fats Raw Data'!AG13</f>
        <v>0</v>
      </c>
      <c r="K13">
        <f>'Fats Raw Data'!X13-'Fats Raw Data'!AH13</f>
        <v>0</v>
      </c>
      <c r="L13">
        <f>'Fats Raw Data'!Y13-'Fats Raw Data'!AI13</f>
        <v>0</v>
      </c>
      <c r="M13" t="str">
        <f>'Fats Raw Data'!AC13&amp;" - "&amp;'Fats Raw Data'!AM13</f>
        <v xml:space="preserve"> - </v>
      </c>
      <c r="O13" s="1">
        <f>'Fats Raw Data'!AE13</f>
        <v>0</v>
      </c>
      <c r="P13">
        <f>'Fats Raw Data'!AF13-'Fats Raw Data'!AP13</f>
        <v>0</v>
      </c>
      <c r="Q13">
        <f>'Fats Raw Data'!AG13-'Fats Raw Data'!AQ13</f>
        <v>0</v>
      </c>
      <c r="R13">
        <f>'Fats Raw Data'!AH13-'Fats Raw Data'!AR13</f>
        <v>0</v>
      </c>
      <c r="S13">
        <f>'Fats Raw Data'!AI13-'Fats Raw Data'!AS13</f>
        <v>0</v>
      </c>
      <c r="T13" t="str">
        <f>'Fats Raw Data'!AM13&amp;" - "&amp;'Fats Raw Data'!AW13</f>
        <v xml:space="preserve"> - </v>
      </c>
      <c r="V13" s="1">
        <f>'Fats Raw Data'!AO13</f>
        <v>0</v>
      </c>
      <c r="W13">
        <f>'Fats Raw Data'!AP13-'Fats Raw Data'!AZ13</f>
        <v>0</v>
      </c>
      <c r="X13">
        <f>'Fats Raw Data'!AQ13-'Fats Raw Data'!BA13</f>
        <v>0</v>
      </c>
      <c r="Y13">
        <f>'Fats Raw Data'!AR13-'Fats Raw Data'!BB13</f>
        <v>0</v>
      </c>
      <c r="Z13">
        <f>'Fats Raw Data'!AS13-'Fats Raw Data'!BC13</f>
        <v>0</v>
      </c>
      <c r="AA13" t="str">
        <f>'Fats Raw Data'!AW13&amp;" - "&amp;'Fats Raw Data'!BG13</f>
        <v xml:space="preserve"> - </v>
      </c>
      <c r="AC13" s="1">
        <f>'Fats Raw Data'!AY13</f>
        <v>0</v>
      </c>
      <c r="AD13">
        <f>'Fats Raw Data'!AZ13-'Fats Raw Data'!B13</f>
        <v>0</v>
      </c>
      <c r="AE13">
        <f>'Fats Raw Data'!BA13-'Fats Raw Data'!C13</f>
        <v>0</v>
      </c>
      <c r="AF13">
        <f>'Fats Raw Data'!BB13-'Fats Raw Data'!D13</f>
        <v>0</v>
      </c>
      <c r="AG13">
        <f>'Fats Raw Data'!BC13-'Fats Raw Data'!E13</f>
        <v>0</v>
      </c>
      <c r="AH13" t="str">
        <f>'Fats Raw Data'!BG13&amp;" - "&amp;'Fats Raw Data'!I13</f>
        <v xml:space="preserve"> - </v>
      </c>
      <c r="AJ13" s="1">
        <f>'Fats Raw Data'!A13</f>
        <v>0</v>
      </c>
      <c r="AK13">
        <f>'Fats Raw Data'!B13-'Fats Raw Data'!L13</f>
        <v>0</v>
      </c>
      <c r="AL13">
        <f>'Fats Raw Data'!C13-'Fats Raw Data'!M13</f>
        <v>0</v>
      </c>
      <c r="AM13">
        <f>'Fats Raw Data'!D13-'Fats Raw Data'!N13</f>
        <v>0</v>
      </c>
      <c r="AN13">
        <f>'Fats Raw Data'!E13-'Fats Raw Data'!O13</f>
        <v>0</v>
      </c>
      <c r="AO13" t="str">
        <f>'Fats Raw Data'!I13&amp;" - "&amp;'Fats Raw Data'!S13</f>
        <v xml:space="preserve"> - </v>
      </c>
      <c r="AQ13" s="1">
        <f>'Fats Raw Data'!AE13</f>
        <v>0</v>
      </c>
      <c r="AR13">
        <f>'Fats Raw Data'!AF13-'Fats Raw Data'!AZ13</f>
        <v>0</v>
      </c>
      <c r="AS13">
        <f>'Fats Raw Data'!AG13-'Fats Raw Data'!BA13</f>
        <v>0</v>
      </c>
      <c r="AT13">
        <f>'Fats Raw Data'!AH13-'Fats Raw Data'!BB13</f>
        <v>0</v>
      </c>
      <c r="AU13">
        <f>'Fats Raw Data'!AI13-'Fats Raw Data'!BC13</f>
        <v>0</v>
      </c>
      <c r="AV13" t="str">
        <f>'Fats Raw Data'!AM13&amp;" - "&amp;'Fats Raw Data'!BG13</f>
        <v xml:space="preserve"> - </v>
      </c>
      <c r="AX13" s="1">
        <f>'Fats Raw Data'!A13</f>
        <v>0</v>
      </c>
      <c r="AY13">
        <f>'Fats Raw Data'!B13-'Fats Raw Data'!V13</f>
        <v>0</v>
      </c>
      <c r="AZ13">
        <f>'Fats Raw Data'!C13-'Fats Raw Data'!W13</f>
        <v>0</v>
      </c>
      <c r="BA13">
        <f>'Fats Raw Data'!D13-'Fats Raw Data'!X13</f>
        <v>0</v>
      </c>
      <c r="BB13">
        <f>'Fats Raw Data'!E13-'Fats Raw Data'!Y13</f>
        <v>0</v>
      </c>
      <c r="BC13" t="str">
        <f>'Fats Raw Data'!I13&amp;" - "&amp;'Fats Raw Data'!AC13</f>
        <v xml:space="preserve"> - </v>
      </c>
      <c r="BE13" s="1">
        <f>'Fats Raw Data'!K13</f>
        <v>0</v>
      </c>
      <c r="BF13">
        <f>'Fats Raw Data'!L13-'Fats Raw Data'!AF13</f>
        <v>0</v>
      </c>
      <c r="BG13">
        <f>'Fats Raw Data'!M13-'Fats Raw Data'!AG13</f>
        <v>0</v>
      </c>
      <c r="BH13">
        <f>'Fats Raw Data'!N13-'Fats Raw Data'!AH13</f>
        <v>0</v>
      </c>
      <c r="BI13">
        <f>'Fats Raw Data'!O13-'Fats Raw Data'!AI13</f>
        <v>0</v>
      </c>
      <c r="BJ13" t="str">
        <f>'Fats Raw Data'!S13&amp;" - "&amp;'Fats Raw Data'!AM13</f>
        <v xml:space="preserve"> - </v>
      </c>
    </row>
    <row r="14" spans="1:62" x14ac:dyDescent="0.25">
      <c r="A14" s="1">
        <f>'Fats Raw Data'!K14</f>
        <v>0</v>
      </c>
      <c r="B14">
        <f>'Fats Raw Data'!L14-'Fats Raw Data'!V14</f>
        <v>0</v>
      </c>
      <c r="C14">
        <f>'Fats Raw Data'!M14-'Fats Raw Data'!W14</f>
        <v>0</v>
      </c>
      <c r="D14">
        <f>'Fats Raw Data'!N14-'Fats Raw Data'!X14</f>
        <v>0</v>
      </c>
      <c r="E14">
        <f>'Fats Raw Data'!O14-'Fats Raw Data'!Y14</f>
        <v>0</v>
      </c>
      <c r="F14" t="str">
        <f>'Fats Raw Data'!S14&amp;" - "&amp;'Fats Raw Data'!AC14</f>
        <v xml:space="preserve"> - </v>
      </c>
      <c r="H14" s="1">
        <f>'Fats Raw Data'!U14</f>
        <v>0</v>
      </c>
      <c r="I14">
        <f>'Fats Raw Data'!V14-'Fats Raw Data'!AF14</f>
        <v>0</v>
      </c>
      <c r="J14">
        <f>'Fats Raw Data'!W14-'Fats Raw Data'!AG14</f>
        <v>0</v>
      </c>
      <c r="K14">
        <f>'Fats Raw Data'!X14-'Fats Raw Data'!AH14</f>
        <v>0</v>
      </c>
      <c r="L14">
        <f>'Fats Raw Data'!Y14-'Fats Raw Data'!AI14</f>
        <v>0</v>
      </c>
      <c r="M14" t="str">
        <f>'Fats Raw Data'!AC14&amp;" - "&amp;'Fats Raw Data'!AM14</f>
        <v xml:space="preserve"> - </v>
      </c>
      <c r="O14" s="1">
        <f>'Fats Raw Data'!AE14</f>
        <v>0</v>
      </c>
      <c r="P14">
        <f>'Fats Raw Data'!AF14-'Fats Raw Data'!AP14</f>
        <v>0</v>
      </c>
      <c r="Q14">
        <f>'Fats Raw Data'!AG14-'Fats Raw Data'!AQ14</f>
        <v>0</v>
      </c>
      <c r="R14">
        <f>'Fats Raw Data'!AH14-'Fats Raw Data'!AR14</f>
        <v>0</v>
      </c>
      <c r="S14">
        <f>'Fats Raw Data'!AI14-'Fats Raw Data'!AS14</f>
        <v>0</v>
      </c>
      <c r="T14" t="str">
        <f>'Fats Raw Data'!AM14&amp;" - "&amp;'Fats Raw Data'!AW14</f>
        <v xml:space="preserve"> - </v>
      </c>
      <c r="V14" s="1">
        <f>'Fats Raw Data'!AO14</f>
        <v>0</v>
      </c>
      <c r="W14">
        <f>'Fats Raw Data'!AP14-'Fats Raw Data'!AZ14</f>
        <v>0</v>
      </c>
      <c r="X14">
        <f>'Fats Raw Data'!AQ14-'Fats Raw Data'!BA14</f>
        <v>0</v>
      </c>
      <c r="Y14">
        <f>'Fats Raw Data'!AR14-'Fats Raw Data'!BB14</f>
        <v>0</v>
      </c>
      <c r="Z14">
        <f>'Fats Raw Data'!AS14-'Fats Raw Data'!BC14</f>
        <v>0</v>
      </c>
      <c r="AA14" t="str">
        <f>'Fats Raw Data'!AW14&amp;" - "&amp;'Fats Raw Data'!BG14</f>
        <v xml:space="preserve"> - </v>
      </c>
      <c r="AC14" s="1">
        <f>'Fats Raw Data'!AY14</f>
        <v>0</v>
      </c>
      <c r="AD14">
        <f>'Fats Raw Data'!AZ14-'Fats Raw Data'!B14</f>
        <v>0</v>
      </c>
      <c r="AE14">
        <f>'Fats Raw Data'!BA14-'Fats Raw Data'!C14</f>
        <v>0</v>
      </c>
      <c r="AF14">
        <f>'Fats Raw Data'!BB14-'Fats Raw Data'!D14</f>
        <v>0</v>
      </c>
      <c r="AG14">
        <f>'Fats Raw Data'!BC14-'Fats Raw Data'!E14</f>
        <v>0</v>
      </c>
      <c r="AH14" t="str">
        <f>'Fats Raw Data'!BG14&amp;" - "&amp;'Fats Raw Data'!I14</f>
        <v xml:space="preserve"> - </v>
      </c>
      <c r="AJ14" s="1">
        <f>'Fats Raw Data'!A14</f>
        <v>0</v>
      </c>
      <c r="AK14">
        <f>'Fats Raw Data'!B14-'Fats Raw Data'!L14</f>
        <v>0</v>
      </c>
      <c r="AL14">
        <f>'Fats Raw Data'!C14-'Fats Raw Data'!M14</f>
        <v>0</v>
      </c>
      <c r="AM14">
        <f>'Fats Raw Data'!D14-'Fats Raw Data'!N14</f>
        <v>0</v>
      </c>
      <c r="AN14">
        <f>'Fats Raw Data'!E14-'Fats Raw Data'!O14</f>
        <v>0</v>
      </c>
      <c r="AO14" t="str">
        <f>'Fats Raw Data'!I14&amp;" - "&amp;'Fats Raw Data'!S14</f>
        <v xml:space="preserve"> - </v>
      </c>
      <c r="AQ14" s="1">
        <f>'Fats Raw Data'!AE14</f>
        <v>0</v>
      </c>
      <c r="AR14">
        <f>'Fats Raw Data'!AF14-'Fats Raw Data'!AZ14</f>
        <v>0</v>
      </c>
      <c r="AS14">
        <f>'Fats Raw Data'!AG14-'Fats Raw Data'!BA14</f>
        <v>0</v>
      </c>
      <c r="AT14">
        <f>'Fats Raw Data'!AH14-'Fats Raw Data'!BB14</f>
        <v>0</v>
      </c>
      <c r="AU14">
        <f>'Fats Raw Data'!AI14-'Fats Raw Data'!BC14</f>
        <v>0</v>
      </c>
      <c r="AV14" t="str">
        <f>'Fats Raw Data'!AM14&amp;" - "&amp;'Fats Raw Data'!BG14</f>
        <v xml:space="preserve"> - </v>
      </c>
      <c r="AX14" s="1">
        <f>'Fats Raw Data'!A14</f>
        <v>0</v>
      </c>
      <c r="AY14">
        <f>'Fats Raw Data'!B14-'Fats Raw Data'!V14</f>
        <v>0</v>
      </c>
      <c r="AZ14">
        <f>'Fats Raw Data'!C14-'Fats Raw Data'!W14</f>
        <v>0</v>
      </c>
      <c r="BA14">
        <f>'Fats Raw Data'!D14-'Fats Raw Data'!X14</f>
        <v>0</v>
      </c>
      <c r="BB14">
        <f>'Fats Raw Data'!E14-'Fats Raw Data'!Y14</f>
        <v>0</v>
      </c>
      <c r="BC14" t="str">
        <f>'Fats Raw Data'!I14&amp;" - "&amp;'Fats Raw Data'!AC14</f>
        <v xml:space="preserve"> - </v>
      </c>
      <c r="BE14" s="1">
        <f>'Fats Raw Data'!K14</f>
        <v>0</v>
      </c>
      <c r="BF14">
        <f>'Fats Raw Data'!L14-'Fats Raw Data'!AF14</f>
        <v>0</v>
      </c>
      <c r="BG14">
        <f>'Fats Raw Data'!M14-'Fats Raw Data'!AG14</f>
        <v>0</v>
      </c>
      <c r="BH14">
        <f>'Fats Raw Data'!N14-'Fats Raw Data'!AH14</f>
        <v>0</v>
      </c>
      <c r="BI14">
        <f>'Fats Raw Data'!O14-'Fats Raw Data'!AI14</f>
        <v>0</v>
      </c>
      <c r="BJ14" t="str">
        <f>'Fats Raw Data'!S14&amp;" - "&amp;'Fats Raw Data'!AM14</f>
        <v xml:space="preserve"> - </v>
      </c>
    </row>
    <row r="15" spans="1:62" x14ac:dyDescent="0.25">
      <c r="A15" s="1">
        <f>'Fats Raw Data'!K15</f>
        <v>0</v>
      </c>
      <c r="B15">
        <f>'Fats Raw Data'!L15-'Fats Raw Data'!V15</f>
        <v>0</v>
      </c>
      <c r="C15">
        <f>'Fats Raw Data'!M15-'Fats Raw Data'!W15</f>
        <v>0</v>
      </c>
      <c r="D15">
        <f>'Fats Raw Data'!N15-'Fats Raw Data'!X15</f>
        <v>0</v>
      </c>
      <c r="E15">
        <f>'Fats Raw Data'!O15-'Fats Raw Data'!Y15</f>
        <v>0</v>
      </c>
      <c r="F15" t="str">
        <f>'Fats Raw Data'!S15&amp;" - "&amp;'Fats Raw Data'!AC15</f>
        <v xml:space="preserve"> - </v>
      </c>
      <c r="H15" s="1">
        <f>'Fats Raw Data'!U15</f>
        <v>0</v>
      </c>
      <c r="I15">
        <f>'Fats Raw Data'!V15-'Fats Raw Data'!AF15</f>
        <v>0</v>
      </c>
      <c r="J15">
        <f>'Fats Raw Data'!W15-'Fats Raw Data'!AG15</f>
        <v>0</v>
      </c>
      <c r="K15">
        <f>'Fats Raw Data'!X15-'Fats Raw Data'!AH15</f>
        <v>0</v>
      </c>
      <c r="L15">
        <f>'Fats Raw Data'!Y15-'Fats Raw Data'!AI15</f>
        <v>0</v>
      </c>
      <c r="M15" t="str">
        <f>'Fats Raw Data'!AC15&amp;" - "&amp;'Fats Raw Data'!AM15</f>
        <v xml:space="preserve"> - </v>
      </c>
      <c r="O15" s="1">
        <f>'Fats Raw Data'!AE15</f>
        <v>0</v>
      </c>
      <c r="P15">
        <f>'Fats Raw Data'!AF15-'Fats Raw Data'!AP15</f>
        <v>0</v>
      </c>
      <c r="Q15">
        <f>'Fats Raw Data'!AG15-'Fats Raw Data'!AQ15</f>
        <v>0</v>
      </c>
      <c r="R15">
        <f>'Fats Raw Data'!AH15-'Fats Raw Data'!AR15</f>
        <v>0</v>
      </c>
      <c r="S15">
        <f>'Fats Raw Data'!AI15-'Fats Raw Data'!AS15</f>
        <v>0</v>
      </c>
      <c r="T15" t="str">
        <f>'Fats Raw Data'!AM15&amp;" - "&amp;'Fats Raw Data'!AW15</f>
        <v xml:space="preserve"> - </v>
      </c>
      <c r="V15" s="1">
        <f>'Fats Raw Data'!AO15</f>
        <v>0</v>
      </c>
      <c r="W15">
        <f>'Fats Raw Data'!AP15-'Fats Raw Data'!AZ15</f>
        <v>0</v>
      </c>
      <c r="X15">
        <f>'Fats Raw Data'!AQ15-'Fats Raw Data'!BA15</f>
        <v>0</v>
      </c>
      <c r="Y15">
        <f>'Fats Raw Data'!AR15-'Fats Raw Data'!BB15</f>
        <v>0</v>
      </c>
      <c r="Z15">
        <f>'Fats Raw Data'!AS15-'Fats Raw Data'!BC15</f>
        <v>0</v>
      </c>
      <c r="AA15" t="str">
        <f>'Fats Raw Data'!AW15&amp;" - "&amp;'Fats Raw Data'!BG15</f>
        <v xml:space="preserve"> - </v>
      </c>
      <c r="AC15" s="1">
        <f>'Fats Raw Data'!AY15</f>
        <v>0</v>
      </c>
      <c r="AD15">
        <f>'Fats Raw Data'!AZ15-'Fats Raw Data'!B15</f>
        <v>0</v>
      </c>
      <c r="AE15">
        <f>'Fats Raw Data'!BA15-'Fats Raw Data'!C15</f>
        <v>0</v>
      </c>
      <c r="AF15">
        <f>'Fats Raw Data'!BB15-'Fats Raw Data'!D15</f>
        <v>0</v>
      </c>
      <c r="AG15">
        <f>'Fats Raw Data'!BC15-'Fats Raw Data'!E15</f>
        <v>0</v>
      </c>
      <c r="AH15" t="str">
        <f>'Fats Raw Data'!BG15&amp;" - "&amp;'Fats Raw Data'!I15</f>
        <v xml:space="preserve"> - </v>
      </c>
      <c r="AJ15" s="1">
        <f>'Fats Raw Data'!A15</f>
        <v>0</v>
      </c>
      <c r="AK15">
        <f>'Fats Raw Data'!B15-'Fats Raw Data'!L15</f>
        <v>0</v>
      </c>
      <c r="AL15">
        <f>'Fats Raw Data'!C15-'Fats Raw Data'!M15</f>
        <v>0</v>
      </c>
      <c r="AM15">
        <f>'Fats Raw Data'!D15-'Fats Raw Data'!N15</f>
        <v>0</v>
      </c>
      <c r="AN15">
        <f>'Fats Raw Data'!E15-'Fats Raw Data'!O15</f>
        <v>0</v>
      </c>
      <c r="AO15" t="str">
        <f>'Fats Raw Data'!I15&amp;" - "&amp;'Fats Raw Data'!S15</f>
        <v xml:space="preserve"> - </v>
      </c>
      <c r="AQ15" s="1">
        <f>'Fats Raw Data'!AE15</f>
        <v>0</v>
      </c>
      <c r="AR15">
        <f>'Fats Raw Data'!AF15-'Fats Raw Data'!AZ15</f>
        <v>0</v>
      </c>
      <c r="AS15">
        <f>'Fats Raw Data'!AG15-'Fats Raw Data'!BA15</f>
        <v>0</v>
      </c>
      <c r="AT15">
        <f>'Fats Raw Data'!AH15-'Fats Raw Data'!BB15</f>
        <v>0</v>
      </c>
      <c r="AU15">
        <f>'Fats Raw Data'!AI15-'Fats Raw Data'!BC15</f>
        <v>0</v>
      </c>
      <c r="AV15" t="str">
        <f>'Fats Raw Data'!AM15&amp;" - "&amp;'Fats Raw Data'!BG15</f>
        <v xml:space="preserve"> - </v>
      </c>
      <c r="AX15" s="1">
        <f>'Fats Raw Data'!A15</f>
        <v>0</v>
      </c>
      <c r="AY15">
        <f>'Fats Raw Data'!B15-'Fats Raw Data'!V15</f>
        <v>0</v>
      </c>
      <c r="AZ15">
        <f>'Fats Raw Data'!C15-'Fats Raw Data'!W15</f>
        <v>0</v>
      </c>
      <c r="BA15">
        <f>'Fats Raw Data'!D15-'Fats Raw Data'!X15</f>
        <v>0</v>
      </c>
      <c r="BB15">
        <f>'Fats Raw Data'!E15-'Fats Raw Data'!Y15</f>
        <v>0</v>
      </c>
      <c r="BC15" t="str">
        <f>'Fats Raw Data'!I15&amp;" - "&amp;'Fats Raw Data'!AC15</f>
        <v xml:space="preserve"> - </v>
      </c>
      <c r="BE15" s="1">
        <f>'Fats Raw Data'!K15</f>
        <v>0</v>
      </c>
      <c r="BF15">
        <f>'Fats Raw Data'!L15-'Fats Raw Data'!AF15</f>
        <v>0</v>
      </c>
      <c r="BG15">
        <f>'Fats Raw Data'!M15-'Fats Raw Data'!AG15</f>
        <v>0</v>
      </c>
      <c r="BH15">
        <f>'Fats Raw Data'!N15-'Fats Raw Data'!AH15</f>
        <v>0</v>
      </c>
      <c r="BI15">
        <f>'Fats Raw Data'!O15-'Fats Raw Data'!AI15</f>
        <v>0</v>
      </c>
      <c r="BJ15" t="str">
        <f>'Fats Raw Data'!S15&amp;" - "&amp;'Fats Raw Data'!AM15</f>
        <v xml:space="preserve"> - </v>
      </c>
    </row>
    <row r="16" spans="1:62" x14ac:dyDescent="0.25">
      <c r="A16" s="1">
        <f>'Fats Raw Data'!K16</f>
        <v>0</v>
      </c>
      <c r="B16">
        <f>'Fats Raw Data'!L16-'Fats Raw Data'!V16</f>
        <v>0</v>
      </c>
      <c r="C16">
        <f>'Fats Raw Data'!M16-'Fats Raw Data'!W16</f>
        <v>0</v>
      </c>
      <c r="D16">
        <f>'Fats Raw Data'!N16-'Fats Raw Data'!X16</f>
        <v>0</v>
      </c>
      <c r="E16">
        <f>'Fats Raw Data'!O16-'Fats Raw Data'!Y16</f>
        <v>0</v>
      </c>
      <c r="F16" t="str">
        <f>'Fats Raw Data'!S16&amp;" - "&amp;'Fats Raw Data'!AC16</f>
        <v xml:space="preserve"> - </v>
      </c>
      <c r="H16" s="1">
        <f>'Fats Raw Data'!U16</f>
        <v>0</v>
      </c>
      <c r="I16">
        <f>'Fats Raw Data'!V16-'Fats Raw Data'!AF16</f>
        <v>0</v>
      </c>
      <c r="J16">
        <f>'Fats Raw Data'!W16-'Fats Raw Data'!AG16</f>
        <v>0</v>
      </c>
      <c r="K16">
        <f>'Fats Raw Data'!X16-'Fats Raw Data'!AH16</f>
        <v>0</v>
      </c>
      <c r="L16">
        <f>'Fats Raw Data'!Y16-'Fats Raw Data'!AI16</f>
        <v>0</v>
      </c>
      <c r="M16" t="str">
        <f>'Fats Raw Data'!AC16&amp;" - "&amp;'Fats Raw Data'!AM16</f>
        <v xml:space="preserve"> - </v>
      </c>
      <c r="O16" s="1">
        <f>'Fats Raw Data'!AE16</f>
        <v>0</v>
      </c>
      <c r="P16">
        <f>'Fats Raw Data'!AF16-'Fats Raw Data'!AP16</f>
        <v>0</v>
      </c>
      <c r="Q16">
        <f>'Fats Raw Data'!AG16-'Fats Raw Data'!AQ16</f>
        <v>0</v>
      </c>
      <c r="R16">
        <f>'Fats Raw Data'!AH16-'Fats Raw Data'!AR16</f>
        <v>0</v>
      </c>
      <c r="S16">
        <f>'Fats Raw Data'!AI16-'Fats Raw Data'!AS16</f>
        <v>0</v>
      </c>
      <c r="T16" t="str">
        <f>'Fats Raw Data'!AM16&amp;" - "&amp;'Fats Raw Data'!AW16</f>
        <v xml:space="preserve"> - </v>
      </c>
      <c r="V16" s="1">
        <f>'Fats Raw Data'!AO16</f>
        <v>0</v>
      </c>
      <c r="W16">
        <f>'Fats Raw Data'!AP16-'Fats Raw Data'!AZ16</f>
        <v>0</v>
      </c>
      <c r="X16">
        <f>'Fats Raw Data'!AQ16-'Fats Raw Data'!BA16</f>
        <v>0</v>
      </c>
      <c r="Y16">
        <f>'Fats Raw Data'!AR16-'Fats Raw Data'!BB16</f>
        <v>0</v>
      </c>
      <c r="Z16">
        <f>'Fats Raw Data'!AS16-'Fats Raw Data'!BC16</f>
        <v>0</v>
      </c>
      <c r="AA16" t="str">
        <f>'Fats Raw Data'!AW16&amp;" - "&amp;'Fats Raw Data'!BG16</f>
        <v xml:space="preserve"> - </v>
      </c>
      <c r="AC16" s="1">
        <f>'Fats Raw Data'!AY16</f>
        <v>0</v>
      </c>
      <c r="AD16">
        <f>'Fats Raw Data'!AZ16-'Fats Raw Data'!B16</f>
        <v>0</v>
      </c>
      <c r="AE16">
        <f>'Fats Raw Data'!BA16-'Fats Raw Data'!C16</f>
        <v>0</v>
      </c>
      <c r="AF16">
        <f>'Fats Raw Data'!BB16-'Fats Raw Data'!D16</f>
        <v>0</v>
      </c>
      <c r="AG16">
        <f>'Fats Raw Data'!BC16-'Fats Raw Data'!E16</f>
        <v>0</v>
      </c>
      <c r="AH16" t="str">
        <f>'Fats Raw Data'!BG16&amp;" - "&amp;'Fats Raw Data'!I16</f>
        <v xml:space="preserve"> - </v>
      </c>
      <c r="AJ16" s="1">
        <f>'Fats Raw Data'!A16</f>
        <v>0</v>
      </c>
      <c r="AK16">
        <f>'Fats Raw Data'!B16-'Fats Raw Data'!L16</f>
        <v>0</v>
      </c>
      <c r="AL16">
        <f>'Fats Raw Data'!C16-'Fats Raw Data'!M16</f>
        <v>0</v>
      </c>
      <c r="AM16">
        <f>'Fats Raw Data'!D16-'Fats Raw Data'!N16</f>
        <v>0</v>
      </c>
      <c r="AN16">
        <f>'Fats Raw Data'!E16-'Fats Raw Data'!O16</f>
        <v>0</v>
      </c>
      <c r="AO16" t="str">
        <f>'Fats Raw Data'!I16&amp;" - "&amp;'Fats Raw Data'!S16</f>
        <v xml:space="preserve"> - </v>
      </c>
      <c r="AQ16" s="1">
        <f>'Fats Raw Data'!AE16</f>
        <v>0</v>
      </c>
      <c r="AR16">
        <f>'Fats Raw Data'!AF16-'Fats Raw Data'!AZ16</f>
        <v>0</v>
      </c>
      <c r="AS16">
        <f>'Fats Raw Data'!AG16-'Fats Raw Data'!BA16</f>
        <v>0</v>
      </c>
      <c r="AT16">
        <f>'Fats Raw Data'!AH16-'Fats Raw Data'!BB16</f>
        <v>0</v>
      </c>
      <c r="AU16">
        <f>'Fats Raw Data'!AI16-'Fats Raw Data'!BC16</f>
        <v>0</v>
      </c>
      <c r="AV16" t="str">
        <f>'Fats Raw Data'!AM16&amp;" - "&amp;'Fats Raw Data'!BG16</f>
        <v xml:space="preserve"> - </v>
      </c>
      <c r="AX16" s="1">
        <f>'Fats Raw Data'!A16</f>
        <v>0</v>
      </c>
      <c r="AY16">
        <f>'Fats Raw Data'!B16-'Fats Raw Data'!V16</f>
        <v>0</v>
      </c>
      <c r="AZ16">
        <f>'Fats Raw Data'!C16-'Fats Raw Data'!W16</f>
        <v>0</v>
      </c>
      <c r="BA16">
        <f>'Fats Raw Data'!D16-'Fats Raw Data'!X16</f>
        <v>0</v>
      </c>
      <c r="BB16">
        <f>'Fats Raw Data'!E16-'Fats Raw Data'!Y16</f>
        <v>0</v>
      </c>
      <c r="BC16" t="str">
        <f>'Fats Raw Data'!I16&amp;" - "&amp;'Fats Raw Data'!AC16</f>
        <v xml:space="preserve"> - </v>
      </c>
      <c r="BE16" s="1">
        <f>'Fats Raw Data'!K16</f>
        <v>0</v>
      </c>
      <c r="BF16">
        <f>'Fats Raw Data'!L16-'Fats Raw Data'!AF16</f>
        <v>0</v>
      </c>
      <c r="BG16">
        <f>'Fats Raw Data'!M16-'Fats Raw Data'!AG16</f>
        <v>0</v>
      </c>
      <c r="BH16">
        <f>'Fats Raw Data'!N16-'Fats Raw Data'!AH16</f>
        <v>0</v>
      </c>
      <c r="BI16">
        <f>'Fats Raw Data'!O16-'Fats Raw Data'!AI16</f>
        <v>0</v>
      </c>
      <c r="BJ16" t="str">
        <f>'Fats Raw Data'!S16&amp;" - "&amp;'Fats Raw Data'!AM16</f>
        <v xml:space="preserve"> - </v>
      </c>
    </row>
    <row r="17" spans="1:62" x14ac:dyDescent="0.25">
      <c r="A17" s="1">
        <f>'Fats Raw Data'!K17</f>
        <v>0</v>
      </c>
      <c r="B17">
        <f>'Fats Raw Data'!L17-'Fats Raw Data'!V17</f>
        <v>0</v>
      </c>
      <c r="C17">
        <f>'Fats Raw Data'!M17-'Fats Raw Data'!W17</f>
        <v>0</v>
      </c>
      <c r="D17">
        <f>'Fats Raw Data'!N17-'Fats Raw Data'!X17</f>
        <v>0</v>
      </c>
      <c r="E17">
        <f>'Fats Raw Data'!O17-'Fats Raw Data'!Y17</f>
        <v>0</v>
      </c>
      <c r="F17" t="str">
        <f>'Fats Raw Data'!S17&amp;" - "&amp;'Fats Raw Data'!AC17</f>
        <v xml:space="preserve"> - </v>
      </c>
      <c r="H17" s="1">
        <f>'Fats Raw Data'!U17</f>
        <v>0</v>
      </c>
      <c r="I17">
        <f>'Fats Raw Data'!V17-'Fats Raw Data'!AF17</f>
        <v>0</v>
      </c>
      <c r="J17">
        <f>'Fats Raw Data'!W17-'Fats Raw Data'!AG17</f>
        <v>0</v>
      </c>
      <c r="K17">
        <f>'Fats Raw Data'!X17-'Fats Raw Data'!AH17</f>
        <v>0</v>
      </c>
      <c r="L17">
        <f>'Fats Raw Data'!Y17-'Fats Raw Data'!AI17</f>
        <v>0</v>
      </c>
      <c r="M17" t="str">
        <f>'Fats Raw Data'!AC17&amp;" - "&amp;'Fats Raw Data'!AM17</f>
        <v xml:space="preserve"> - </v>
      </c>
      <c r="O17" s="1">
        <f>'Fats Raw Data'!AE17</f>
        <v>0</v>
      </c>
      <c r="P17">
        <f>'Fats Raw Data'!AF17-'Fats Raw Data'!AP17</f>
        <v>0</v>
      </c>
      <c r="Q17">
        <f>'Fats Raw Data'!AG17-'Fats Raw Data'!AQ17</f>
        <v>0</v>
      </c>
      <c r="R17">
        <f>'Fats Raw Data'!AH17-'Fats Raw Data'!AR17</f>
        <v>0</v>
      </c>
      <c r="S17">
        <f>'Fats Raw Data'!AI17-'Fats Raw Data'!AS17</f>
        <v>0</v>
      </c>
      <c r="T17" t="str">
        <f>'Fats Raw Data'!AM17&amp;" - "&amp;'Fats Raw Data'!AW17</f>
        <v xml:space="preserve"> - </v>
      </c>
      <c r="V17" s="1">
        <f>'Fats Raw Data'!AO17</f>
        <v>0</v>
      </c>
      <c r="W17">
        <f>'Fats Raw Data'!AP17-'Fats Raw Data'!AZ17</f>
        <v>0</v>
      </c>
      <c r="X17">
        <f>'Fats Raw Data'!AQ17-'Fats Raw Data'!BA17</f>
        <v>0</v>
      </c>
      <c r="Y17">
        <f>'Fats Raw Data'!AR17-'Fats Raw Data'!BB17</f>
        <v>0</v>
      </c>
      <c r="Z17">
        <f>'Fats Raw Data'!AS17-'Fats Raw Data'!BC17</f>
        <v>0</v>
      </c>
      <c r="AA17" t="str">
        <f>'Fats Raw Data'!AW17&amp;" - "&amp;'Fats Raw Data'!BG17</f>
        <v xml:space="preserve"> - </v>
      </c>
      <c r="AC17" s="1">
        <f>'Fats Raw Data'!AY17</f>
        <v>0</v>
      </c>
      <c r="AD17">
        <f>'Fats Raw Data'!AZ17-'Fats Raw Data'!B17</f>
        <v>0</v>
      </c>
      <c r="AE17">
        <f>'Fats Raw Data'!BA17-'Fats Raw Data'!C17</f>
        <v>0</v>
      </c>
      <c r="AF17">
        <f>'Fats Raw Data'!BB17-'Fats Raw Data'!D17</f>
        <v>0</v>
      </c>
      <c r="AG17">
        <f>'Fats Raw Data'!BC17-'Fats Raw Data'!E17</f>
        <v>0</v>
      </c>
      <c r="AH17" t="str">
        <f>'Fats Raw Data'!BG17&amp;" - "&amp;'Fats Raw Data'!I17</f>
        <v xml:space="preserve"> - </v>
      </c>
      <c r="AJ17" s="1">
        <f>'Fats Raw Data'!A17</f>
        <v>0</v>
      </c>
      <c r="AK17">
        <f>'Fats Raw Data'!B17-'Fats Raw Data'!L17</f>
        <v>0</v>
      </c>
      <c r="AL17">
        <f>'Fats Raw Data'!C17-'Fats Raw Data'!M17</f>
        <v>0</v>
      </c>
      <c r="AM17">
        <f>'Fats Raw Data'!D17-'Fats Raw Data'!N17</f>
        <v>0</v>
      </c>
      <c r="AN17">
        <f>'Fats Raw Data'!E17-'Fats Raw Data'!O17</f>
        <v>0</v>
      </c>
      <c r="AO17" t="str">
        <f>'Fats Raw Data'!I17&amp;" - "&amp;'Fats Raw Data'!S17</f>
        <v xml:space="preserve"> - </v>
      </c>
      <c r="AQ17" s="1">
        <f>'Fats Raw Data'!AE17</f>
        <v>0</v>
      </c>
      <c r="AR17">
        <f>'Fats Raw Data'!AF17-'Fats Raw Data'!AZ17</f>
        <v>0</v>
      </c>
      <c r="AS17">
        <f>'Fats Raw Data'!AG17-'Fats Raw Data'!BA17</f>
        <v>0</v>
      </c>
      <c r="AT17">
        <f>'Fats Raw Data'!AH17-'Fats Raw Data'!BB17</f>
        <v>0</v>
      </c>
      <c r="AU17">
        <f>'Fats Raw Data'!AI17-'Fats Raw Data'!BC17</f>
        <v>0</v>
      </c>
      <c r="AV17" t="str">
        <f>'Fats Raw Data'!AM17&amp;" - "&amp;'Fats Raw Data'!BG17</f>
        <v xml:space="preserve"> - </v>
      </c>
      <c r="AX17" s="1">
        <f>'Fats Raw Data'!A17</f>
        <v>0</v>
      </c>
      <c r="AY17">
        <f>'Fats Raw Data'!B17-'Fats Raw Data'!V17</f>
        <v>0</v>
      </c>
      <c r="AZ17">
        <f>'Fats Raw Data'!C17-'Fats Raw Data'!W17</f>
        <v>0</v>
      </c>
      <c r="BA17">
        <f>'Fats Raw Data'!D17-'Fats Raw Data'!X17</f>
        <v>0</v>
      </c>
      <c r="BB17">
        <f>'Fats Raw Data'!E17-'Fats Raw Data'!Y17</f>
        <v>0</v>
      </c>
      <c r="BC17" t="str">
        <f>'Fats Raw Data'!I17&amp;" - "&amp;'Fats Raw Data'!AC17</f>
        <v xml:space="preserve"> - </v>
      </c>
      <c r="BE17" s="1">
        <f>'Fats Raw Data'!K17</f>
        <v>0</v>
      </c>
      <c r="BF17">
        <f>'Fats Raw Data'!L17-'Fats Raw Data'!AF17</f>
        <v>0</v>
      </c>
      <c r="BG17">
        <f>'Fats Raw Data'!M17-'Fats Raw Data'!AG17</f>
        <v>0</v>
      </c>
      <c r="BH17">
        <f>'Fats Raw Data'!N17-'Fats Raw Data'!AH17</f>
        <v>0</v>
      </c>
      <c r="BI17">
        <f>'Fats Raw Data'!O17-'Fats Raw Data'!AI17</f>
        <v>0</v>
      </c>
      <c r="BJ17" t="str">
        <f>'Fats Raw Data'!S17&amp;" - "&amp;'Fats Raw Data'!AM17</f>
        <v xml:space="preserve"> - </v>
      </c>
    </row>
    <row r="18" spans="1:62" x14ac:dyDescent="0.25">
      <c r="A18" s="1">
        <f>'Fats Raw Data'!K18</f>
        <v>0</v>
      </c>
      <c r="B18">
        <f>'Fats Raw Data'!L18-'Fats Raw Data'!V18</f>
        <v>0</v>
      </c>
      <c r="C18">
        <f>'Fats Raw Data'!M18-'Fats Raw Data'!W18</f>
        <v>0</v>
      </c>
      <c r="D18">
        <f>'Fats Raw Data'!N18-'Fats Raw Data'!X18</f>
        <v>0</v>
      </c>
      <c r="E18">
        <f>'Fats Raw Data'!O18-'Fats Raw Data'!Y18</f>
        <v>0</v>
      </c>
      <c r="F18" t="str">
        <f>'Fats Raw Data'!S18&amp;" - "&amp;'Fats Raw Data'!AC18</f>
        <v xml:space="preserve"> - </v>
      </c>
      <c r="H18" s="1">
        <f>'Fats Raw Data'!U18</f>
        <v>0</v>
      </c>
      <c r="I18">
        <f>'Fats Raw Data'!V18-'Fats Raw Data'!AF18</f>
        <v>0</v>
      </c>
      <c r="J18">
        <f>'Fats Raw Data'!W18-'Fats Raw Data'!AG18</f>
        <v>0</v>
      </c>
      <c r="K18">
        <f>'Fats Raw Data'!X18-'Fats Raw Data'!AH18</f>
        <v>0</v>
      </c>
      <c r="L18">
        <f>'Fats Raw Data'!Y18-'Fats Raw Data'!AI18</f>
        <v>0</v>
      </c>
      <c r="M18" t="str">
        <f>'Fats Raw Data'!AC18&amp;" - "&amp;'Fats Raw Data'!AM18</f>
        <v xml:space="preserve"> - </v>
      </c>
      <c r="O18" s="1">
        <f>'Fats Raw Data'!AE18</f>
        <v>0</v>
      </c>
      <c r="P18">
        <f>'Fats Raw Data'!AF18-'Fats Raw Data'!AP18</f>
        <v>0</v>
      </c>
      <c r="Q18">
        <f>'Fats Raw Data'!AG18-'Fats Raw Data'!AQ18</f>
        <v>0</v>
      </c>
      <c r="R18">
        <f>'Fats Raw Data'!AH18-'Fats Raw Data'!AR18</f>
        <v>0</v>
      </c>
      <c r="S18">
        <f>'Fats Raw Data'!AI18-'Fats Raw Data'!AS18</f>
        <v>0</v>
      </c>
      <c r="T18" t="str">
        <f>'Fats Raw Data'!AM18&amp;" - "&amp;'Fats Raw Data'!AW18</f>
        <v xml:space="preserve"> - </v>
      </c>
      <c r="V18" s="1">
        <f>'Fats Raw Data'!AO18</f>
        <v>0</v>
      </c>
      <c r="W18">
        <f>'Fats Raw Data'!AP18-'Fats Raw Data'!AZ18</f>
        <v>0</v>
      </c>
      <c r="X18">
        <f>'Fats Raw Data'!AQ18-'Fats Raw Data'!BA18</f>
        <v>0</v>
      </c>
      <c r="Y18">
        <f>'Fats Raw Data'!AR18-'Fats Raw Data'!BB18</f>
        <v>0</v>
      </c>
      <c r="Z18">
        <f>'Fats Raw Data'!AS18-'Fats Raw Data'!BC18</f>
        <v>0</v>
      </c>
      <c r="AA18" t="str">
        <f>'Fats Raw Data'!AW18&amp;" - "&amp;'Fats Raw Data'!BG18</f>
        <v xml:space="preserve"> - </v>
      </c>
      <c r="AC18" s="1">
        <f>'Fats Raw Data'!AY18</f>
        <v>0</v>
      </c>
      <c r="AD18">
        <f>'Fats Raw Data'!AZ18-'Fats Raw Data'!B18</f>
        <v>0</v>
      </c>
      <c r="AE18">
        <f>'Fats Raw Data'!BA18-'Fats Raw Data'!C18</f>
        <v>0</v>
      </c>
      <c r="AF18">
        <f>'Fats Raw Data'!BB18-'Fats Raw Data'!D18</f>
        <v>0</v>
      </c>
      <c r="AG18">
        <f>'Fats Raw Data'!BC18-'Fats Raw Data'!E18</f>
        <v>0</v>
      </c>
      <c r="AH18" t="str">
        <f>'Fats Raw Data'!BG18&amp;" - "&amp;'Fats Raw Data'!I18</f>
        <v xml:space="preserve"> - </v>
      </c>
      <c r="AJ18" s="1">
        <f>'Fats Raw Data'!A18</f>
        <v>0</v>
      </c>
      <c r="AK18">
        <f>'Fats Raw Data'!B18-'Fats Raw Data'!L18</f>
        <v>0</v>
      </c>
      <c r="AL18">
        <f>'Fats Raw Data'!C18-'Fats Raw Data'!M18</f>
        <v>0</v>
      </c>
      <c r="AM18">
        <f>'Fats Raw Data'!D18-'Fats Raw Data'!N18</f>
        <v>0</v>
      </c>
      <c r="AN18">
        <f>'Fats Raw Data'!E18-'Fats Raw Data'!O18</f>
        <v>0</v>
      </c>
      <c r="AO18" t="str">
        <f>'Fats Raw Data'!I18&amp;" - "&amp;'Fats Raw Data'!S18</f>
        <v xml:space="preserve"> - </v>
      </c>
      <c r="AQ18" s="1">
        <f>'Fats Raw Data'!AE18</f>
        <v>0</v>
      </c>
      <c r="AR18">
        <f>'Fats Raw Data'!AF18-'Fats Raw Data'!AZ18</f>
        <v>0</v>
      </c>
      <c r="AS18">
        <f>'Fats Raw Data'!AG18-'Fats Raw Data'!BA18</f>
        <v>0</v>
      </c>
      <c r="AT18">
        <f>'Fats Raw Data'!AH18-'Fats Raw Data'!BB18</f>
        <v>0</v>
      </c>
      <c r="AU18">
        <f>'Fats Raw Data'!AI18-'Fats Raw Data'!BC18</f>
        <v>0</v>
      </c>
      <c r="AV18" t="str">
        <f>'Fats Raw Data'!AM18&amp;" - "&amp;'Fats Raw Data'!BG18</f>
        <v xml:space="preserve"> - </v>
      </c>
      <c r="AX18" s="1">
        <f>'Fats Raw Data'!A18</f>
        <v>0</v>
      </c>
      <c r="AY18">
        <f>'Fats Raw Data'!B18-'Fats Raw Data'!V18</f>
        <v>0</v>
      </c>
      <c r="AZ18">
        <f>'Fats Raw Data'!C18-'Fats Raw Data'!W18</f>
        <v>0</v>
      </c>
      <c r="BA18">
        <f>'Fats Raw Data'!D18-'Fats Raw Data'!X18</f>
        <v>0</v>
      </c>
      <c r="BB18">
        <f>'Fats Raw Data'!E18-'Fats Raw Data'!Y18</f>
        <v>0</v>
      </c>
      <c r="BC18" t="str">
        <f>'Fats Raw Data'!I18&amp;" - "&amp;'Fats Raw Data'!AC18</f>
        <v xml:space="preserve"> - </v>
      </c>
      <c r="BE18" s="1">
        <f>'Fats Raw Data'!K18</f>
        <v>0</v>
      </c>
      <c r="BF18">
        <f>'Fats Raw Data'!L18-'Fats Raw Data'!AF18</f>
        <v>0</v>
      </c>
      <c r="BG18">
        <f>'Fats Raw Data'!M18-'Fats Raw Data'!AG18</f>
        <v>0</v>
      </c>
      <c r="BH18">
        <f>'Fats Raw Data'!N18-'Fats Raw Data'!AH18</f>
        <v>0</v>
      </c>
      <c r="BI18">
        <f>'Fats Raw Data'!O18-'Fats Raw Data'!AI18</f>
        <v>0</v>
      </c>
      <c r="BJ18" t="str">
        <f>'Fats Raw Data'!S18&amp;" - "&amp;'Fats Raw Data'!AM18</f>
        <v xml:space="preserve"> - </v>
      </c>
    </row>
    <row r="19" spans="1:62" x14ac:dyDescent="0.25">
      <c r="A19" s="1">
        <f>'Fats Raw Data'!K19</f>
        <v>0</v>
      </c>
      <c r="B19">
        <f>'Fats Raw Data'!L19-'Fats Raw Data'!V19</f>
        <v>0</v>
      </c>
      <c r="C19">
        <f>'Fats Raw Data'!M19-'Fats Raw Data'!W19</f>
        <v>0</v>
      </c>
      <c r="D19">
        <f>'Fats Raw Data'!N19-'Fats Raw Data'!X19</f>
        <v>0</v>
      </c>
      <c r="E19">
        <f>'Fats Raw Data'!O19-'Fats Raw Data'!Y19</f>
        <v>0</v>
      </c>
      <c r="F19" t="str">
        <f>'Fats Raw Data'!S19&amp;" - "&amp;'Fats Raw Data'!AC19</f>
        <v xml:space="preserve"> - </v>
      </c>
      <c r="H19" s="1">
        <f>'Fats Raw Data'!U19</f>
        <v>0</v>
      </c>
      <c r="I19">
        <f>'Fats Raw Data'!V19-'Fats Raw Data'!AF19</f>
        <v>0</v>
      </c>
      <c r="J19">
        <f>'Fats Raw Data'!W19-'Fats Raw Data'!AG19</f>
        <v>0</v>
      </c>
      <c r="K19">
        <f>'Fats Raw Data'!X19-'Fats Raw Data'!AH19</f>
        <v>0</v>
      </c>
      <c r="L19">
        <f>'Fats Raw Data'!Y19-'Fats Raw Data'!AI19</f>
        <v>0</v>
      </c>
      <c r="M19" t="str">
        <f>'Fats Raw Data'!AC19&amp;" - "&amp;'Fats Raw Data'!AM19</f>
        <v xml:space="preserve"> - </v>
      </c>
      <c r="O19" s="1">
        <f>'Fats Raw Data'!AE19</f>
        <v>0</v>
      </c>
      <c r="P19">
        <f>'Fats Raw Data'!AF19-'Fats Raw Data'!AP19</f>
        <v>0</v>
      </c>
      <c r="Q19">
        <f>'Fats Raw Data'!AG19-'Fats Raw Data'!AQ19</f>
        <v>0</v>
      </c>
      <c r="R19">
        <f>'Fats Raw Data'!AH19-'Fats Raw Data'!AR19</f>
        <v>0</v>
      </c>
      <c r="S19">
        <f>'Fats Raw Data'!AI19-'Fats Raw Data'!AS19</f>
        <v>0</v>
      </c>
      <c r="T19" t="str">
        <f>'Fats Raw Data'!AM19&amp;" - "&amp;'Fats Raw Data'!AW19</f>
        <v xml:space="preserve"> - </v>
      </c>
      <c r="V19" s="1">
        <f>'Fats Raw Data'!AO19</f>
        <v>0</v>
      </c>
      <c r="W19">
        <f>'Fats Raw Data'!AP19-'Fats Raw Data'!AZ19</f>
        <v>0</v>
      </c>
      <c r="X19">
        <f>'Fats Raw Data'!AQ19-'Fats Raw Data'!BA19</f>
        <v>0</v>
      </c>
      <c r="Y19">
        <f>'Fats Raw Data'!AR19-'Fats Raw Data'!BB19</f>
        <v>0</v>
      </c>
      <c r="Z19">
        <f>'Fats Raw Data'!AS19-'Fats Raw Data'!BC19</f>
        <v>0</v>
      </c>
      <c r="AA19" t="str">
        <f>'Fats Raw Data'!AW19&amp;" - "&amp;'Fats Raw Data'!BG19</f>
        <v xml:space="preserve"> - </v>
      </c>
      <c r="AC19" s="1">
        <f>'Fats Raw Data'!AY19</f>
        <v>0</v>
      </c>
      <c r="AD19">
        <f>'Fats Raw Data'!AZ19-'Fats Raw Data'!B19</f>
        <v>0</v>
      </c>
      <c r="AE19">
        <f>'Fats Raw Data'!BA19-'Fats Raw Data'!C19</f>
        <v>0</v>
      </c>
      <c r="AF19">
        <f>'Fats Raw Data'!BB19-'Fats Raw Data'!D19</f>
        <v>0</v>
      </c>
      <c r="AG19">
        <f>'Fats Raw Data'!BC19-'Fats Raw Data'!E19</f>
        <v>0</v>
      </c>
      <c r="AH19" t="str">
        <f>'Fats Raw Data'!BG19&amp;" - "&amp;'Fats Raw Data'!I19</f>
        <v xml:space="preserve"> - </v>
      </c>
      <c r="AJ19" s="1">
        <f>'Fats Raw Data'!A19</f>
        <v>0</v>
      </c>
      <c r="AK19">
        <f>'Fats Raw Data'!B19-'Fats Raw Data'!L19</f>
        <v>0</v>
      </c>
      <c r="AL19">
        <f>'Fats Raw Data'!C19-'Fats Raw Data'!M19</f>
        <v>0</v>
      </c>
      <c r="AM19">
        <f>'Fats Raw Data'!D19-'Fats Raw Data'!N19</f>
        <v>0</v>
      </c>
      <c r="AN19">
        <f>'Fats Raw Data'!E19-'Fats Raw Data'!O19</f>
        <v>0</v>
      </c>
      <c r="AO19" t="str">
        <f>'Fats Raw Data'!I19&amp;" - "&amp;'Fats Raw Data'!S19</f>
        <v xml:space="preserve"> - </v>
      </c>
      <c r="AQ19" s="1">
        <f>'Fats Raw Data'!AE19</f>
        <v>0</v>
      </c>
      <c r="AR19">
        <f>'Fats Raw Data'!AF19-'Fats Raw Data'!AZ19</f>
        <v>0</v>
      </c>
      <c r="AS19">
        <f>'Fats Raw Data'!AG19-'Fats Raw Data'!BA19</f>
        <v>0</v>
      </c>
      <c r="AT19">
        <f>'Fats Raw Data'!AH19-'Fats Raw Data'!BB19</f>
        <v>0</v>
      </c>
      <c r="AU19">
        <f>'Fats Raw Data'!AI19-'Fats Raw Data'!BC19</f>
        <v>0</v>
      </c>
      <c r="AV19" t="str">
        <f>'Fats Raw Data'!AM19&amp;" - "&amp;'Fats Raw Data'!BG19</f>
        <v xml:space="preserve"> - </v>
      </c>
      <c r="AX19" s="1">
        <f>'Fats Raw Data'!A19</f>
        <v>0</v>
      </c>
      <c r="AY19">
        <f>'Fats Raw Data'!B19-'Fats Raw Data'!V19</f>
        <v>0</v>
      </c>
      <c r="AZ19">
        <f>'Fats Raw Data'!C19-'Fats Raw Data'!W19</f>
        <v>0</v>
      </c>
      <c r="BA19">
        <f>'Fats Raw Data'!D19-'Fats Raw Data'!X19</f>
        <v>0</v>
      </c>
      <c r="BB19">
        <f>'Fats Raw Data'!E19-'Fats Raw Data'!Y19</f>
        <v>0</v>
      </c>
      <c r="BC19" t="str">
        <f>'Fats Raw Data'!I19&amp;" - "&amp;'Fats Raw Data'!AC19</f>
        <v xml:space="preserve"> - </v>
      </c>
      <c r="BE19" s="1">
        <f>'Fats Raw Data'!K19</f>
        <v>0</v>
      </c>
      <c r="BF19">
        <f>'Fats Raw Data'!L19-'Fats Raw Data'!AF19</f>
        <v>0</v>
      </c>
      <c r="BG19">
        <f>'Fats Raw Data'!M19-'Fats Raw Data'!AG19</f>
        <v>0</v>
      </c>
      <c r="BH19">
        <f>'Fats Raw Data'!N19-'Fats Raw Data'!AH19</f>
        <v>0</v>
      </c>
      <c r="BI19">
        <f>'Fats Raw Data'!O19-'Fats Raw Data'!AI19</f>
        <v>0</v>
      </c>
      <c r="BJ19" t="str">
        <f>'Fats Raw Data'!S19&amp;" - "&amp;'Fats Raw Data'!AM19</f>
        <v xml:space="preserve"> - </v>
      </c>
    </row>
    <row r="20" spans="1:62" x14ac:dyDescent="0.25">
      <c r="A20" s="1">
        <f>'Fats Raw Data'!K20</f>
        <v>0</v>
      </c>
      <c r="B20">
        <f>'Fats Raw Data'!L20-'Fats Raw Data'!V20</f>
        <v>0</v>
      </c>
      <c r="C20">
        <f>'Fats Raw Data'!M20-'Fats Raw Data'!W20</f>
        <v>0</v>
      </c>
      <c r="D20">
        <f>'Fats Raw Data'!N20-'Fats Raw Data'!X20</f>
        <v>0</v>
      </c>
      <c r="E20">
        <f>'Fats Raw Data'!O20-'Fats Raw Data'!Y20</f>
        <v>0</v>
      </c>
      <c r="F20" t="str">
        <f>'Fats Raw Data'!S20&amp;" - "&amp;'Fats Raw Data'!AC20</f>
        <v xml:space="preserve"> - </v>
      </c>
      <c r="H20" s="1">
        <f>'Fats Raw Data'!U20</f>
        <v>0</v>
      </c>
      <c r="I20">
        <f>'Fats Raw Data'!V20-'Fats Raw Data'!AF20</f>
        <v>0</v>
      </c>
      <c r="J20">
        <f>'Fats Raw Data'!W20-'Fats Raw Data'!AG20</f>
        <v>0</v>
      </c>
      <c r="K20">
        <f>'Fats Raw Data'!X20-'Fats Raw Data'!AH20</f>
        <v>0</v>
      </c>
      <c r="L20">
        <f>'Fats Raw Data'!Y20-'Fats Raw Data'!AI20</f>
        <v>0</v>
      </c>
      <c r="M20" t="str">
        <f>'Fats Raw Data'!AC20&amp;" - "&amp;'Fats Raw Data'!AM20</f>
        <v xml:space="preserve"> - </v>
      </c>
      <c r="O20" s="1">
        <f>'Fats Raw Data'!AE20</f>
        <v>0</v>
      </c>
      <c r="P20">
        <f>'Fats Raw Data'!AF20-'Fats Raw Data'!AP20</f>
        <v>0</v>
      </c>
      <c r="Q20">
        <f>'Fats Raw Data'!AG20-'Fats Raw Data'!AQ20</f>
        <v>0</v>
      </c>
      <c r="R20">
        <f>'Fats Raw Data'!AH20-'Fats Raw Data'!AR20</f>
        <v>0</v>
      </c>
      <c r="S20">
        <f>'Fats Raw Data'!AI20-'Fats Raw Data'!AS20</f>
        <v>0</v>
      </c>
      <c r="T20" t="str">
        <f>'Fats Raw Data'!AM20&amp;" - "&amp;'Fats Raw Data'!AW20</f>
        <v xml:space="preserve"> - </v>
      </c>
      <c r="V20" s="1">
        <f>'Fats Raw Data'!AO20</f>
        <v>0</v>
      </c>
      <c r="W20">
        <f>'Fats Raw Data'!AP20-'Fats Raw Data'!AZ20</f>
        <v>0</v>
      </c>
      <c r="X20">
        <f>'Fats Raw Data'!AQ20-'Fats Raw Data'!BA20</f>
        <v>0</v>
      </c>
      <c r="Y20">
        <f>'Fats Raw Data'!AR20-'Fats Raw Data'!BB20</f>
        <v>0</v>
      </c>
      <c r="Z20">
        <f>'Fats Raw Data'!AS20-'Fats Raw Data'!BC20</f>
        <v>0</v>
      </c>
      <c r="AA20" t="str">
        <f>'Fats Raw Data'!AW20&amp;" - "&amp;'Fats Raw Data'!BG20</f>
        <v xml:space="preserve"> - </v>
      </c>
      <c r="AC20" s="1">
        <f>'Fats Raw Data'!AY20</f>
        <v>0</v>
      </c>
      <c r="AD20">
        <f>'Fats Raw Data'!AZ20-'Fats Raw Data'!B20</f>
        <v>0</v>
      </c>
      <c r="AE20">
        <f>'Fats Raw Data'!BA20-'Fats Raw Data'!C20</f>
        <v>0</v>
      </c>
      <c r="AF20">
        <f>'Fats Raw Data'!BB20-'Fats Raw Data'!D20</f>
        <v>0</v>
      </c>
      <c r="AG20">
        <f>'Fats Raw Data'!BC20-'Fats Raw Data'!E20</f>
        <v>0</v>
      </c>
      <c r="AH20" t="str">
        <f>'Fats Raw Data'!BG20&amp;" - "&amp;'Fats Raw Data'!I20</f>
        <v xml:space="preserve"> - </v>
      </c>
      <c r="AJ20" s="1">
        <f>'Fats Raw Data'!A20</f>
        <v>0</v>
      </c>
      <c r="AK20">
        <f>'Fats Raw Data'!B20-'Fats Raw Data'!L20</f>
        <v>0</v>
      </c>
      <c r="AL20">
        <f>'Fats Raw Data'!C20-'Fats Raw Data'!M20</f>
        <v>0</v>
      </c>
      <c r="AM20">
        <f>'Fats Raw Data'!D20-'Fats Raw Data'!N20</f>
        <v>0</v>
      </c>
      <c r="AN20">
        <f>'Fats Raw Data'!E20-'Fats Raw Data'!O20</f>
        <v>0</v>
      </c>
      <c r="AO20" t="str">
        <f>'Fats Raw Data'!I20&amp;" - "&amp;'Fats Raw Data'!S20</f>
        <v xml:space="preserve"> - </v>
      </c>
      <c r="AQ20" s="1">
        <f>'Fats Raw Data'!AE20</f>
        <v>0</v>
      </c>
      <c r="AR20">
        <f>'Fats Raw Data'!AF20-'Fats Raw Data'!AZ20</f>
        <v>0</v>
      </c>
      <c r="AS20">
        <f>'Fats Raw Data'!AG20-'Fats Raw Data'!BA20</f>
        <v>0</v>
      </c>
      <c r="AT20">
        <f>'Fats Raw Data'!AH20-'Fats Raw Data'!BB20</f>
        <v>0</v>
      </c>
      <c r="AU20">
        <f>'Fats Raw Data'!AI20-'Fats Raw Data'!BC20</f>
        <v>0</v>
      </c>
      <c r="AV20" t="str">
        <f>'Fats Raw Data'!AM20&amp;" - "&amp;'Fats Raw Data'!BG20</f>
        <v xml:space="preserve"> - </v>
      </c>
      <c r="AX20" s="1">
        <f>'Fats Raw Data'!A20</f>
        <v>0</v>
      </c>
      <c r="AY20">
        <f>'Fats Raw Data'!B20-'Fats Raw Data'!V20</f>
        <v>0</v>
      </c>
      <c r="AZ20">
        <f>'Fats Raw Data'!C20-'Fats Raw Data'!W20</f>
        <v>0</v>
      </c>
      <c r="BA20">
        <f>'Fats Raw Data'!D20-'Fats Raw Data'!X20</f>
        <v>0</v>
      </c>
      <c r="BB20">
        <f>'Fats Raw Data'!E20-'Fats Raw Data'!Y20</f>
        <v>0</v>
      </c>
      <c r="BC20" t="str">
        <f>'Fats Raw Data'!I20&amp;" - "&amp;'Fats Raw Data'!AC20</f>
        <v xml:space="preserve"> - </v>
      </c>
      <c r="BE20" s="1">
        <f>'Fats Raw Data'!K20</f>
        <v>0</v>
      </c>
      <c r="BF20">
        <f>'Fats Raw Data'!L20-'Fats Raw Data'!AF20</f>
        <v>0</v>
      </c>
      <c r="BG20">
        <f>'Fats Raw Data'!M20-'Fats Raw Data'!AG20</f>
        <v>0</v>
      </c>
      <c r="BH20">
        <f>'Fats Raw Data'!N20-'Fats Raw Data'!AH20</f>
        <v>0</v>
      </c>
      <c r="BI20">
        <f>'Fats Raw Data'!O20-'Fats Raw Data'!AI20</f>
        <v>0</v>
      </c>
      <c r="BJ20" t="str">
        <f>'Fats Raw Data'!S20&amp;" - "&amp;'Fats Raw Data'!AM20</f>
        <v xml:space="preserve"> - </v>
      </c>
    </row>
    <row r="21" spans="1:62" x14ac:dyDescent="0.25">
      <c r="A21" s="1">
        <f>'Fats Raw Data'!K21</f>
        <v>0</v>
      </c>
      <c r="B21">
        <f>'Fats Raw Data'!L21-'Fats Raw Data'!V21</f>
        <v>0</v>
      </c>
      <c r="C21">
        <f>'Fats Raw Data'!M21-'Fats Raw Data'!W21</f>
        <v>0</v>
      </c>
      <c r="D21">
        <f>'Fats Raw Data'!N21-'Fats Raw Data'!X21</f>
        <v>0</v>
      </c>
      <c r="E21">
        <f>'Fats Raw Data'!O21-'Fats Raw Data'!Y21</f>
        <v>0</v>
      </c>
      <c r="F21" t="str">
        <f>'Fats Raw Data'!S21&amp;" - "&amp;'Fats Raw Data'!AC21</f>
        <v xml:space="preserve"> - </v>
      </c>
      <c r="H21" s="1">
        <f>'Fats Raw Data'!U21</f>
        <v>0</v>
      </c>
      <c r="I21">
        <f>'Fats Raw Data'!V21-'Fats Raw Data'!AF21</f>
        <v>0</v>
      </c>
      <c r="J21">
        <f>'Fats Raw Data'!W21-'Fats Raw Data'!AG21</f>
        <v>0</v>
      </c>
      <c r="K21">
        <f>'Fats Raw Data'!X21-'Fats Raw Data'!AH21</f>
        <v>0</v>
      </c>
      <c r="L21">
        <f>'Fats Raw Data'!Y21-'Fats Raw Data'!AI21</f>
        <v>0</v>
      </c>
      <c r="M21" t="str">
        <f>'Fats Raw Data'!AC21&amp;" - "&amp;'Fats Raw Data'!AM21</f>
        <v xml:space="preserve"> - </v>
      </c>
      <c r="O21" s="1">
        <f>'Fats Raw Data'!AE21</f>
        <v>0</v>
      </c>
      <c r="P21">
        <f>'Fats Raw Data'!AF21-'Fats Raw Data'!AP21</f>
        <v>0</v>
      </c>
      <c r="Q21">
        <f>'Fats Raw Data'!AG21-'Fats Raw Data'!AQ21</f>
        <v>0</v>
      </c>
      <c r="R21">
        <f>'Fats Raw Data'!AH21-'Fats Raw Data'!AR21</f>
        <v>0</v>
      </c>
      <c r="S21">
        <f>'Fats Raw Data'!AI21-'Fats Raw Data'!AS21</f>
        <v>0</v>
      </c>
      <c r="T21" t="str">
        <f>'Fats Raw Data'!AM21&amp;" - "&amp;'Fats Raw Data'!AW21</f>
        <v xml:space="preserve"> - </v>
      </c>
      <c r="V21" s="1">
        <f>'Fats Raw Data'!AO21</f>
        <v>0</v>
      </c>
      <c r="W21">
        <f>'Fats Raw Data'!AP21-'Fats Raw Data'!AZ21</f>
        <v>0</v>
      </c>
      <c r="X21">
        <f>'Fats Raw Data'!AQ21-'Fats Raw Data'!BA21</f>
        <v>0</v>
      </c>
      <c r="Y21">
        <f>'Fats Raw Data'!AR21-'Fats Raw Data'!BB21</f>
        <v>0</v>
      </c>
      <c r="Z21">
        <f>'Fats Raw Data'!AS21-'Fats Raw Data'!BC21</f>
        <v>0</v>
      </c>
      <c r="AA21" t="str">
        <f>'Fats Raw Data'!AW21&amp;" - "&amp;'Fats Raw Data'!BG21</f>
        <v xml:space="preserve"> - </v>
      </c>
      <c r="AC21" s="1">
        <f>'Fats Raw Data'!AY21</f>
        <v>0</v>
      </c>
      <c r="AD21">
        <f>'Fats Raw Data'!AZ21-'Fats Raw Data'!B21</f>
        <v>0</v>
      </c>
      <c r="AE21">
        <f>'Fats Raw Data'!BA21-'Fats Raw Data'!C21</f>
        <v>0</v>
      </c>
      <c r="AF21">
        <f>'Fats Raw Data'!BB21-'Fats Raw Data'!D21</f>
        <v>0</v>
      </c>
      <c r="AG21">
        <f>'Fats Raw Data'!BC21-'Fats Raw Data'!E21</f>
        <v>0</v>
      </c>
      <c r="AH21" t="str">
        <f>'Fats Raw Data'!BG21&amp;" - "&amp;'Fats Raw Data'!I21</f>
        <v xml:space="preserve"> - </v>
      </c>
      <c r="AJ21" s="1">
        <f>'Fats Raw Data'!A21</f>
        <v>0</v>
      </c>
      <c r="AK21">
        <f>'Fats Raw Data'!B21-'Fats Raw Data'!L21</f>
        <v>0</v>
      </c>
      <c r="AL21">
        <f>'Fats Raw Data'!C21-'Fats Raw Data'!M21</f>
        <v>0</v>
      </c>
      <c r="AM21">
        <f>'Fats Raw Data'!D21-'Fats Raw Data'!N21</f>
        <v>0</v>
      </c>
      <c r="AN21">
        <f>'Fats Raw Data'!E21-'Fats Raw Data'!O21</f>
        <v>0</v>
      </c>
      <c r="AO21" t="str">
        <f>'Fats Raw Data'!I21&amp;" - "&amp;'Fats Raw Data'!S21</f>
        <v xml:space="preserve"> - </v>
      </c>
      <c r="AQ21" s="1">
        <f>'Fats Raw Data'!AE21</f>
        <v>0</v>
      </c>
      <c r="AR21">
        <f>'Fats Raw Data'!AF21-'Fats Raw Data'!AZ21</f>
        <v>0</v>
      </c>
      <c r="AS21">
        <f>'Fats Raw Data'!AG21-'Fats Raw Data'!BA21</f>
        <v>0</v>
      </c>
      <c r="AT21">
        <f>'Fats Raw Data'!AH21-'Fats Raw Data'!BB21</f>
        <v>0</v>
      </c>
      <c r="AU21">
        <f>'Fats Raw Data'!AI21-'Fats Raw Data'!BC21</f>
        <v>0</v>
      </c>
      <c r="AV21" t="str">
        <f>'Fats Raw Data'!AM21&amp;" - "&amp;'Fats Raw Data'!BG21</f>
        <v xml:space="preserve"> - </v>
      </c>
      <c r="AX21" s="1">
        <f>'Fats Raw Data'!A21</f>
        <v>0</v>
      </c>
      <c r="AY21">
        <f>'Fats Raw Data'!B21-'Fats Raw Data'!V21</f>
        <v>0</v>
      </c>
      <c r="AZ21">
        <f>'Fats Raw Data'!C21-'Fats Raw Data'!W21</f>
        <v>0</v>
      </c>
      <c r="BA21">
        <f>'Fats Raw Data'!D21-'Fats Raw Data'!X21</f>
        <v>0</v>
      </c>
      <c r="BB21">
        <f>'Fats Raw Data'!E21-'Fats Raw Data'!Y21</f>
        <v>0</v>
      </c>
      <c r="BC21" t="str">
        <f>'Fats Raw Data'!I21&amp;" - "&amp;'Fats Raw Data'!AC21</f>
        <v xml:space="preserve"> - </v>
      </c>
      <c r="BE21" s="1">
        <f>'Fats Raw Data'!K21</f>
        <v>0</v>
      </c>
      <c r="BF21">
        <f>'Fats Raw Data'!L21-'Fats Raw Data'!AF21</f>
        <v>0</v>
      </c>
      <c r="BG21">
        <f>'Fats Raw Data'!M21-'Fats Raw Data'!AG21</f>
        <v>0</v>
      </c>
      <c r="BH21">
        <f>'Fats Raw Data'!N21-'Fats Raw Data'!AH21</f>
        <v>0</v>
      </c>
      <c r="BI21">
        <f>'Fats Raw Data'!O21-'Fats Raw Data'!AI21</f>
        <v>0</v>
      </c>
      <c r="BJ21" t="str">
        <f>'Fats Raw Data'!S21&amp;" - "&amp;'Fats Raw Data'!AM21</f>
        <v xml:space="preserve"> - </v>
      </c>
    </row>
    <row r="22" spans="1:62" x14ac:dyDescent="0.25">
      <c r="A22" s="1">
        <f>'Fats Raw Data'!K22</f>
        <v>0</v>
      </c>
      <c r="B22">
        <f>'Fats Raw Data'!L22-'Fats Raw Data'!V22</f>
        <v>0</v>
      </c>
      <c r="C22">
        <f>'Fats Raw Data'!M22-'Fats Raw Data'!W22</f>
        <v>0</v>
      </c>
      <c r="D22">
        <f>'Fats Raw Data'!N22-'Fats Raw Data'!X22</f>
        <v>0</v>
      </c>
      <c r="E22">
        <f>'Fats Raw Data'!O22-'Fats Raw Data'!Y22</f>
        <v>0</v>
      </c>
      <c r="F22" t="str">
        <f>'Fats Raw Data'!S22&amp;" - "&amp;'Fats Raw Data'!AC22</f>
        <v xml:space="preserve"> - </v>
      </c>
      <c r="H22" s="1">
        <f>'Fats Raw Data'!U22</f>
        <v>0</v>
      </c>
      <c r="I22">
        <f>'Fats Raw Data'!V22-'Fats Raw Data'!AF22</f>
        <v>0</v>
      </c>
      <c r="J22">
        <f>'Fats Raw Data'!W22-'Fats Raw Data'!AG22</f>
        <v>0</v>
      </c>
      <c r="K22">
        <f>'Fats Raw Data'!X22-'Fats Raw Data'!AH22</f>
        <v>0</v>
      </c>
      <c r="L22">
        <f>'Fats Raw Data'!Y22-'Fats Raw Data'!AI22</f>
        <v>0</v>
      </c>
      <c r="M22" t="str">
        <f>'Fats Raw Data'!AC22&amp;" - "&amp;'Fats Raw Data'!AM22</f>
        <v xml:space="preserve"> - </v>
      </c>
      <c r="O22" s="1">
        <f>'Fats Raw Data'!AE22</f>
        <v>0</v>
      </c>
      <c r="P22">
        <f>'Fats Raw Data'!AF22-'Fats Raw Data'!AP22</f>
        <v>0</v>
      </c>
      <c r="Q22">
        <f>'Fats Raw Data'!AG22-'Fats Raw Data'!AQ22</f>
        <v>0</v>
      </c>
      <c r="R22">
        <f>'Fats Raw Data'!AH22-'Fats Raw Data'!AR22</f>
        <v>0</v>
      </c>
      <c r="S22">
        <f>'Fats Raw Data'!AI22-'Fats Raw Data'!AS22</f>
        <v>0</v>
      </c>
      <c r="T22" t="str">
        <f>'Fats Raw Data'!AM22&amp;" - "&amp;'Fats Raw Data'!AW22</f>
        <v xml:space="preserve"> - </v>
      </c>
      <c r="V22" s="1">
        <f>'Fats Raw Data'!AO22</f>
        <v>0</v>
      </c>
      <c r="W22">
        <f>'Fats Raw Data'!AP22-'Fats Raw Data'!AZ22</f>
        <v>0</v>
      </c>
      <c r="X22">
        <f>'Fats Raw Data'!AQ22-'Fats Raw Data'!BA22</f>
        <v>0</v>
      </c>
      <c r="Y22">
        <f>'Fats Raw Data'!AR22-'Fats Raw Data'!BB22</f>
        <v>0</v>
      </c>
      <c r="Z22">
        <f>'Fats Raw Data'!AS22-'Fats Raw Data'!BC22</f>
        <v>0</v>
      </c>
      <c r="AA22" t="str">
        <f>'Fats Raw Data'!AW22&amp;" - "&amp;'Fats Raw Data'!BG22</f>
        <v xml:space="preserve"> - </v>
      </c>
      <c r="AC22" s="1">
        <f>'Fats Raw Data'!AY22</f>
        <v>0</v>
      </c>
      <c r="AD22">
        <f>'Fats Raw Data'!AZ22-'Fats Raw Data'!B22</f>
        <v>0</v>
      </c>
      <c r="AE22">
        <f>'Fats Raw Data'!BA22-'Fats Raw Data'!C22</f>
        <v>0</v>
      </c>
      <c r="AF22">
        <f>'Fats Raw Data'!BB22-'Fats Raw Data'!D22</f>
        <v>0</v>
      </c>
      <c r="AG22">
        <f>'Fats Raw Data'!BC22-'Fats Raw Data'!E22</f>
        <v>0</v>
      </c>
      <c r="AH22" t="str">
        <f>'Fats Raw Data'!BG22&amp;" - "&amp;'Fats Raw Data'!I22</f>
        <v xml:space="preserve"> - </v>
      </c>
      <c r="AJ22" s="1">
        <f>'Fats Raw Data'!A22</f>
        <v>0</v>
      </c>
      <c r="AK22">
        <f>'Fats Raw Data'!B22-'Fats Raw Data'!L22</f>
        <v>0</v>
      </c>
      <c r="AL22">
        <f>'Fats Raw Data'!C22-'Fats Raw Data'!M22</f>
        <v>0</v>
      </c>
      <c r="AM22">
        <f>'Fats Raw Data'!D22-'Fats Raw Data'!N22</f>
        <v>0</v>
      </c>
      <c r="AN22">
        <f>'Fats Raw Data'!E22-'Fats Raw Data'!O22</f>
        <v>0</v>
      </c>
      <c r="AO22" t="str">
        <f>'Fats Raw Data'!I22&amp;" - "&amp;'Fats Raw Data'!S22</f>
        <v xml:space="preserve"> - </v>
      </c>
      <c r="AQ22" s="1">
        <f>'Fats Raw Data'!AE22</f>
        <v>0</v>
      </c>
      <c r="AR22">
        <f>'Fats Raw Data'!AF22-'Fats Raw Data'!AZ22</f>
        <v>0</v>
      </c>
      <c r="AS22">
        <f>'Fats Raw Data'!AG22-'Fats Raw Data'!BA22</f>
        <v>0</v>
      </c>
      <c r="AT22">
        <f>'Fats Raw Data'!AH22-'Fats Raw Data'!BB22</f>
        <v>0</v>
      </c>
      <c r="AU22">
        <f>'Fats Raw Data'!AI22-'Fats Raw Data'!BC22</f>
        <v>0</v>
      </c>
      <c r="AV22" t="str">
        <f>'Fats Raw Data'!AM22&amp;" - "&amp;'Fats Raw Data'!BG22</f>
        <v xml:space="preserve"> - </v>
      </c>
      <c r="AX22" s="1">
        <f>'Fats Raw Data'!A22</f>
        <v>0</v>
      </c>
      <c r="AY22">
        <f>'Fats Raw Data'!B22-'Fats Raw Data'!V22</f>
        <v>0</v>
      </c>
      <c r="AZ22">
        <f>'Fats Raw Data'!C22-'Fats Raw Data'!W22</f>
        <v>0</v>
      </c>
      <c r="BA22">
        <f>'Fats Raw Data'!D22-'Fats Raw Data'!X22</f>
        <v>0</v>
      </c>
      <c r="BB22">
        <f>'Fats Raw Data'!E22-'Fats Raw Data'!Y22</f>
        <v>0</v>
      </c>
      <c r="BC22" t="str">
        <f>'Fats Raw Data'!I22&amp;" - "&amp;'Fats Raw Data'!AC22</f>
        <v xml:space="preserve"> - </v>
      </c>
      <c r="BE22" s="1">
        <f>'Fats Raw Data'!K22</f>
        <v>0</v>
      </c>
      <c r="BF22">
        <f>'Fats Raw Data'!L22-'Fats Raw Data'!AF22</f>
        <v>0</v>
      </c>
      <c r="BG22">
        <f>'Fats Raw Data'!M22-'Fats Raw Data'!AG22</f>
        <v>0</v>
      </c>
      <c r="BH22">
        <f>'Fats Raw Data'!N22-'Fats Raw Data'!AH22</f>
        <v>0</v>
      </c>
      <c r="BI22">
        <f>'Fats Raw Data'!O22-'Fats Raw Data'!AI22</f>
        <v>0</v>
      </c>
      <c r="BJ22" t="str">
        <f>'Fats Raw Data'!S22&amp;" - "&amp;'Fats Raw Data'!AM22</f>
        <v xml:space="preserve"> - </v>
      </c>
    </row>
    <row r="23" spans="1:62" x14ac:dyDescent="0.25">
      <c r="A23" s="1">
        <f>'Fats Raw Data'!K23</f>
        <v>0</v>
      </c>
      <c r="B23">
        <f>'Fats Raw Data'!L23-'Fats Raw Data'!V23</f>
        <v>0</v>
      </c>
      <c r="C23">
        <f>'Fats Raw Data'!M23-'Fats Raw Data'!W23</f>
        <v>0</v>
      </c>
      <c r="D23">
        <f>'Fats Raw Data'!N23-'Fats Raw Data'!X23</f>
        <v>0</v>
      </c>
      <c r="E23">
        <f>'Fats Raw Data'!O23-'Fats Raw Data'!Y23</f>
        <v>0</v>
      </c>
      <c r="F23" t="str">
        <f>'Fats Raw Data'!S23&amp;" - "&amp;'Fats Raw Data'!AC23</f>
        <v xml:space="preserve"> - </v>
      </c>
      <c r="H23" s="1">
        <f>'Fats Raw Data'!U23</f>
        <v>0</v>
      </c>
      <c r="I23">
        <f>'Fats Raw Data'!V23-'Fats Raw Data'!AF23</f>
        <v>0</v>
      </c>
      <c r="J23">
        <f>'Fats Raw Data'!W23-'Fats Raw Data'!AG23</f>
        <v>0</v>
      </c>
      <c r="K23">
        <f>'Fats Raw Data'!X23-'Fats Raw Data'!AH23</f>
        <v>0</v>
      </c>
      <c r="L23">
        <f>'Fats Raw Data'!Y23-'Fats Raw Data'!AI23</f>
        <v>0</v>
      </c>
      <c r="M23" t="str">
        <f>'Fats Raw Data'!AC23&amp;" - "&amp;'Fats Raw Data'!AM23</f>
        <v xml:space="preserve"> - </v>
      </c>
      <c r="O23" s="1">
        <f>'Fats Raw Data'!AE23</f>
        <v>0</v>
      </c>
      <c r="P23">
        <f>'Fats Raw Data'!AF23-'Fats Raw Data'!AP23</f>
        <v>0</v>
      </c>
      <c r="Q23">
        <f>'Fats Raw Data'!AG23-'Fats Raw Data'!AQ23</f>
        <v>0</v>
      </c>
      <c r="R23">
        <f>'Fats Raw Data'!AH23-'Fats Raw Data'!AR23</f>
        <v>0</v>
      </c>
      <c r="S23">
        <f>'Fats Raw Data'!AI23-'Fats Raw Data'!AS23</f>
        <v>0</v>
      </c>
      <c r="T23" t="str">
        <f>'Fats Raw Data'!AM23&amp;" - "&amp;'Fats Raw Data'!AW23</f>
        <v xml:space="preserve"> - </v>
      </c>
      <c r="V23" s="1">
        <f>'Fats Raw Data'!AO23</f>
        <v>0</v>
      </c>
      <c r="W23">
        <f>'Fats Raw Data'!AP23-'Fats Raw Data'!AZ23</f>
        <v>0</v>
      </c>
      <c r="X23">
        <f>'Fats Raw Data'!AQ23-'Fats Raw Data'!BA23</f>
        <v>0</v>
      </c>
      <c r="Y23">
        <f>'Fats Raw Data'!AR23-'Fats Raw Data'!BB23</f>
        <v>0</v>
      </c>
      <c r="Z23">
        <f>'Fats Raw Data'!AS23-'Fats Raw Data'!BC23</f>
        <v>0</v>
      </c>
      <c r="AA23" t="str">
        <f>'Fats Raw Data'!AW23&amp;" - "&amp;'Fats Raw Data'!BG23</f>
        <v xml:space="preserve"> - </v>
      </c>
      <c r="AC23" s="1">
        <f>'Fats Raw Data'!AY23</f>
        <v>0</v>
      </c>
      <c r="AD23">
        <f>'Fats Raw Data'!AZ23-'Fats Raw Data'!B23</f>
        <v>0</v>
      </c>
      <c r="AE23">
        <f>'Fats Raw Data'!BA23-'Fats Raw Data'!C23</f>
        <v>0</v>
      </c>
      <c r="AF23">
        <f>'Fats Raw Data'!BB23-'Fats Raw Data'!D23</f>
        <v>0</v>
      </c>
      <c r="AG23">
        <f>'Fats Raw Data'!BC23-'Fats Raw Data'!E23</f>
        <v>0</v>
      </c>
      <c r="AH23" t="str">
        <f>'Fats Raw Data'!BG23&amp;" - "&amp;'Fats Raw Data'!I23</f>
        <v xml:space="preserve"> - </v>
      </c>
      <c r="AJ23" s="1">
        <f>'Fats Raw Data'!A23</f>
        <v>0</v>
      </c>
      <c r="AK23">
        <f>'Fats Raw Data'!B23-'Fats Raw Data'!L23</f>
        <v>0</v>
      </c>
      <c r="AL23">
        <f>'Fats Raw Data'!C23-'Fats Raw Data'!M23</f>
        <v>0</v>
      </c>
      <c r="AM23">
        <f>'Fats Raw Data'!D23-'Fats Raw Data'!N23</f>
        <v>0</v>
      </c>
      <c r="AN23">
        <f>'Fats Raw Data'!E23-'Fats Raw Data'!O23</f>
        <v>0</v>
      </c>
      <c r="AO23" t="str">
        <f>'Fats Raw Data'!I23&amp;" - "&amp;'Fats Raw Data'!S23</f>
        <v xml:space="preserve"> - </v>
      </c>
      <c r="AQ23" s="1">
        <f>'Fats Raw Data'!AE23</f>
        <v>0</v>
      </c>
      <c r="AR23">
        <f>'Fats Raw Data'!AF23-'Fats Raw Data'!AZ23</f>
        <v>0</v>
      </c>
      <c r="AS23">
        <f>'Fats Raw Data'!AG23-'Fats Raw Data'!BA23</f>
        <v>0</v>
      </c>
      <c r="AT23">
        <f>'Fats Raw Data'!AH23-'Fats Raw Data'!BB23</f>
        <v>0</v>
      </c>
      <c r="AU23">
        <f>'Fats Raw Data'!AI23-'Fats Raw Data'!BC23</f>
        <v>0</v>
      </c>
      <c r="AV23" t="str">
        <f>'Fats Raw Data'!AM23&amp;" - "&amp;'Fats Raw Data'!BG23</f>
        <v xml:space="preserve"> - </v>
      </c>
      <c r="AX23" s="1">
        <f>'Fats Raw Data'!A23</f>
        <v>0</v>
      </c>
      <c r="AY23">
        <f>'Fats Raw Data'!B23-'Fats Raw Data'!V23</f>
        <v>0</v>
      </c>
      <c r="AZ23">
        <f>'Fats Raw Data'!C23-'Fats Raw Data'!W23</f>
        <v>0</v>
      </c>
      <c r="BA23">
        <f>'Fats Raw Data'!D23-'Fats Raw Data'!X23</f>
        <v>0</v>
      </c>
      <c r="BB23">
        <f>'Fats Raw Data'!E23-'Fats Raw Data'!Y23</f>
        <v>0</v>
      </c>
      <c r="BC23" t="str">
        <f>'Fats Raw Data'!I23&amp;" - "&amp;'Fats Raw Data'!AC23</f>
        <v xml:space="preserve"> - </v>
      </c>
      <c r="BE23" s="1">
        <f>'Fats Raw Data'!K23</f>
        <v>0</v>
      </c>
      <c r="BF23">
        <f>'Fats Raw Data'!L23-'Fats Raw Data'!AF23</f>
        <v>0</v>
      </c>
      <c r="BG23">
        <f>'Fats Raw Data'!M23-'Fats Raw Data'!AG23</f>
        <v>0</v>
      </c>
      <c r="BH23">
        <f>'Fats Raw Data'!N23-'Fats Raw Data'!AH23</f>
        <v>0</v>
      </c>
      <c r="BI23">
        <f>'Fats Raw Data'!O23-'Fats Raw Data'!AI23</f>
        <v>0</v>
      </c>
      <c r="BJ23" t="str">
        <f>'Fats Raw Data'!S23&amp;" - "&amp;'Fats Raw Data'!AM23</f>
        <v xml:space="preserve"> - </v>
      </c>
    </row>
    <row r="24" spans="1:62" x14ac:dyDescent="0.25">
      <c r="A24" s="1">
        <f>'Fats Raw Data'!K24</f>
        <v>0</v>
      </c>
      <c r="B24">
        <f>'Fats Raw Data'!L24-'Fats Raw Data'!V24</f>
        <v>0</v>
      </c>
      <c r="C24">
        <f>'Fats Raw Data'!M24-'Fats Raw Data'!W24</f>
        <v>0</v>
      </c>
      <c r="D24">
        <f>'Fats Raw Data'!N24-'Fats Raw Data'!X24</f>
        <v>0</v>
      </c>
      <c r="E24">
        <f>'Fats Raw Data'!O24-'Fats Raw Data'!Y24</f>
        <v>0</v>
      </c>
      <c r="F24" t="str">
        <f>'Fats Raw Data'!S24&amp;" - "&amp;'Fats Raw Data'!AC24</f>
        <v xml:space="preserve"> - </v>
      </c>
      <c r="H24" s="1">
        <f>'Fats Raw Data'!U24</f>
        <v>0</v>
      </c>
      <c r="I24">
        <f>'Fats Raw Data'!V24-'Fats Raw Data'!AF24</f>
        <v>0</v>
      </c>
      <c r="J24">
        <f>'Fats Raw Data'!W24-'Fats Raw Data'!AG24</f>
        <v>0</v>
      </c>
      <c r="K24">
        <f>'Fats Raw Data'!X24-'Fats Raw Data'!AH24</f>
        <v>0</v>
      </c>
      <c r="L24">
        <f>'Fats Raw Data'!Y24-'Fats Raw Data'!AI24</f>
        <v>0</v>
      </c>
      <c r="M24" t="str">
        <f>'Fats Raw Data'!AC24&amp;" - "&amp;'Fats Raw Data'!AM24</f>
        <v xml:space="preserve"> - </v>
      </c>
      <c r="O24" s="1">
        <f>'Fats Raw Data'!AE24</f>
        <v>0</v>
      </c>
      <c r="P24">
        <f>'Fats Raw Data'!AF24-'Fats Raw Data'!AP24</f>
        <v>0</v>
      </c>
      <c r="Q24">
        <f>'Fats Raw Data'!AG24-'Fats Raw Data'!AQ24</f>
        <v>0</v>
      </c>
      <c r="R24">
        <f>'Fats Raw Data'!AH24-'Fats Raw Data'!AR24</f>
        <v>0</v>
      </c>
      <c r="S24">
        <f>'Fats Raw Data'!AI24-'Fats Raw Data'!AS24</f>
        <v>0</v>
      </c>
      <c r="T24" t="str">
        <f>'Fats Raw Data'!AM24&amp;" - "&amp;'Fats Raw Data'!AW24</f>
        <v xml:space="preserve"> - </v>
      </c>
      <c r="V24" s="1">
        <f>'Fats Raw Data'!AO24</f>
        <v>0</v>
      </c>
      <c r="W24">
        <f>'Fats Raw Data'!AP24-'Fats Raw Data'!AZ24</f>
        <v>0</v>
      </c>
      <c r="X24">
        <f>'Fats Raw Data'!AQ24-'Fats Raw Data'!BA24</f>
        <v>0</v>
      </c>
      <c r="Y24">
        <f>'Fats Raw Data'!AR24-'Fats Raw Data'!BB24</f>
        <v>0</v>
      </c>
      <c r="Z24">
        <f>'Fats Raw Data'!AS24-'Fats Raw Data'!BC24</f>
        <v>0</v>
      </c>
      <c r="AA24" t="str">
        <f>'Fats Raw Data'!AW24&amp;" - "&amp;'Fats Raw Data'!BG24</f>
        <v xml:space="preserve"> - </v>
      </c>
      <c r="AC24" s="1">
        <f>'Fats Raw Data'!AY24</f>
        <v>0</v>
      </c>
      <c r="AD24">
        <f>'Fats Raw Data'!AZ24-'Fats Raw Data'!B24</f>
        <v>0</v>
      </c>
      <c r="AE24">
        <f>'Fats Raw Data'!BA24-'Fats Raw Data'!C24</f>
        <v>0</v>
      </c>
      <c r="AF24">
        <f>'Fats Raw Data'!BB24-'Fats Raw Data'!D24</f>
        <v>0</v>
      </c>
      <c r="AG24">
        <f>'Fats Raw Data'!BC24-'Fats Raw Data'!E24</f>
        <v>0</v>
      </c>
      <c r="AH24" t="str">
        <f>'Fats Raw Data'!BG24&amp;" - "&amp;'Fats Raw Data'!I24</f>
        <v xml:space="preserve"> - </v>
      </c>
      <c r="AJ24" s="1">
        <f>'Fats Raw Data'!A24</f>
        <v>0</v>
      </c>
      <c r="AK24">
        <f>'Fats Raw Data'!B24-'Fats Raw Data'!L24</f>
        <v>0</v>
      </c>
      <c r="AL24">
        <f>'Fats Raw Data'!C24-'Fats Raw Data'!M24</f>
        <v>0</v>
      </c>
      <c r="AM24">
        <f>'Fats Raw Data'!D24-'Fats Raw Data'!N24</f>
        <v>0</v>
      </c>
      <c r="AN24">
        <f>'Fats Raw Data'!E24-'Fats Raw Data'!O24</f>
        <v>0</v>
      </c>
      <c r="AO24" t="str">
        <f>'Fats Raw Data'!I24&amp;" - "&amp;'Fats Raw Data'!S24</f>
        <v xml:space="preserve"> - </v>
      </c>
      <c r="AQ24" s="1">
        <f>'Fats Raw Data'!AE24</f>
        <v>0</v>
      </c>
      <c r="AR24">
        <f>'Fats Raw Data'!AF24-'Fats Raw Data'!AZ24</f>
        <v>0</v>
      </c>
      <c r="AS24">
        <f>'Fats Raw Data'!AG24-'Fats Raw Data'!BA24</f>
        <v>0</v>
      </c>
      <c r="AT24">
        <f>'Fats Raw Data'!AH24-'Fats Raw Data'!BB24</f>
        <v>0</v>
      </c>
      <c r="AU24">
        <f>'Fats Raw Data'!AI24-'Fats Raw Data'!BC24</f>
        <v>0</v>
      </c>
      <c r="AV24" t="str">
        <f>'Fats Raw Data'!AM24&amp;" - "&amp;'Fats Raw Data'!BG24</f>
        <v xml:space="preserve"> - </v>
      </c>
      <c r="AX24" s="1">
        <f>'Fats Raw Data'!A24</f>
        <v>0</v>
      </c>
      <c r="AY24">
        <f>'Fats Raw Data'!B24-'Fats Raw Data'!V24</f>
        <v>0</v>
      </c>
      <c r="AZ24">
        <f>'Fats Raw Data'!C24-'Fats Raw Data'!W24</f>
        <v>0</v>
      </c>
      <c r="BA24">
        <f>'Fats Raw Data'!D24-'Fats Raw Data'!X24</f>
        <v>0</v>
      </c>
      <c r="BB24">
        <f>'Fats Raw Data'!E24-'Fats Raw Data'!Y24</f>
        <v>0</v>
      </c>
      <c r="BC24" t="str">
        <f>'Fats Raw Data'!I24&amp;" - "&amp;'Fats Raw Data'!AC24</f>
        <v xml:space="preserve"> - </v>
      </c>
      <c r="BE24" s="1">
        <f>'Fats Raw Data'!K24</f>
        <v>0</v>
      </c>
      <c r="BF24">
        <f>'Fats Raw Data'!L24-'Fats Raw Data'!AF24</f>
        <v>0</v>
      </c>
      <c r="BG24">
        <f>'Fats Raw Data'!M24-'Fats Raw Data'!AG24</f>
        <v>0</v>
      </c>
      <c r="BH24">
        <f>'Fats Raw Data'!N24-'Fats Raw Data'!AH24</f>
        <v>0</v>
      </c>
      <c r="BI24">
        <f>'Fats Raw Data'!O24-'Fats Raw Data'!AI24</f>
        <v>0</v>
      </c>
      <c r="BJ24" t="str">
        <f>'Fats Raw Data'!S24&amp;" - "&amp;'Fats Raw Data'!AM24</f>
        <v xml:space="preserve"> - </v>
      </c>
    </row>
    <row r="25" spans="1:62" x14ac:dyDescent="0.25">
      <c r="A25" s="1">
        <f>'Fats Raw Data'!K25</f>
        <v>0</v>
      </c>
      <c r="B25">
        <f>'Fats Raw Data'!L25-'Fats Raw Data'!V25</f>
        <v>0</v>
      </c>
      <c r="C25">
        <f>'Fats Raw Data'!M25-'Fats Raw Data'!W25</f>
        <v>0</v>
      </c>
      <c r="D25">
        <f>'Fats Raw Data'!N25-'Fats Raw Data'!X25</f>
        <v>0</v>
      </c>
      <c r="E25">
        <f>'Fats Raw Data'!O25-'Fats Raw Data'!Y25</f>
        <v>0</v>
      </c>
      <c r="F25" t="str">
        <f>'Fats Raw Data'!S25&amp;" - "&amp;'Fats Raw Data'!AC25</f>
        <v xml:space="preserve"> - </v>
      </c>
      <c r="H25" s="1">
        <f>'Fats Raw Data'!U25</f>
        <v>0</v>
      </c>
      <c r="I25">
        <f>'Fats Raw Data'!V25-'Fats Raw Data'!AF25</f>
        <v>0</v>
      </c>
      <c r="J25">
        <f>'Fats Raw Data'!W25-'Fats Raw Data'!AG25</f>
        <v>0</v>
      </c>
      <c r="K25">
        <f>'Fats Raw Data'!X25-'Fats Raw Data'!AH25</f>
        <v>0</v>
      </c>
      <c r="L25">
        <f>'Fats Raw Data'!Y25-'Fats Raw Data'!AI25</f>
        <v>0</v>
      </c>
      <c r="M25" t="str">
        <f>'Fats Raw Data'!AC25&amp;" - "&amp;'Fats Raw Data'!AM25</f>
        <v xml:space="preserve"> - </v>
      </c>
      <c r="O25" s="1">
        <f>'Fats Raw Data'!AE25</f>
        <v>0</v>
      </c>
      <c r="P25">
        <f>'Fats Raw Data'!AF25-'Fats Raw Data'!AP25</f>
        <v>0</v>
      </c>
      <c r="Q25">
        <f>'Fats Raw Data'!AG25-'Fats Raw Data'!AQ25</f>
        <v>0</v>
      </c>
      <c r="R25">
        <f>'Fats Raw Data'!AH25-'Fats Raw Data'!AR25</f>
        <v>0</v>
      </c>
      <c r="S25">
        <f>'Fats Raw Data'!AI25-'Fats Raw Data'!AS25</f>
        <v>0</v>
      </c>
      <c r="T25" t="str">
        <f>'Fats Raw Data'!AM25&amp;" - "&amp;'Fats Raw Data'!AW25</f>
        <v xml:space="preserve"> - </v>
      </c>
      <c r="V25" s="1">
        <f>'Fats Raw Data'!AO25</f>
        <v>0</v>
      </c>
      <c r="W25">
        <f>'Fats Raw Data'!AP25-'Fats Raw Data'!AZ25</f>
        <v>0</v>
      </c>
      <c r="X25">
        <f>'Fats Raw Data'!AQ25-'Fats Raw Data'!BA25</f>
        <v>0</v>
      </c>
      <c r="Y25">
        <f>'Fats Raw Data'!AR25-'Fats Raw Data'!BB25</f>
        <v>0</v>
      </c>
      <c r="Z25">
        <f>'Fats Raw Data'!AS25-'Fats Raw Data'!BC25</f>
        <v>0</v>
      </c>
      <c r="AA25" t="str">
        <f>'Fats Raw Data'!AW25&amp;" - "&amp;'Fats Raw Data'!BG25</f>
        <v xml:space="preserve"> - </v>
      </c>
      <c r="AC25" s="1">
        <f>'Fats Raw Data'!AY25</f>
        <v>0</v>
      </c>
      <c r="AD25">
        <f>'Fats Raw Data'!AZ25-'Fats Raw Data'!B25</f>
        <v>0</v>
      </c>
      <c r="AE25">
        <f>'Fats Raw Data'!BA25-'Fats Raw Data'!C25</f>
        <v>0</v>
      </c>
      <c r="AF25">
        <f>'Fats Raw Data'!BB25-'Fats Raw Data'!D25</f>
        <v>0</v>
      </c>
      <c r="AG25">
        <f>'Fats Raw Data'!BC25-'Fats Raw Data'!E25</f>
        <v>0</v>
      </c>
      <c r="AH25" t="str">
        <f>'Fats Raw Data'!BG25&amp;" - "&amp;'Fats Raw Data'!I25</f>
        <v xml:space="preserve"> - </v>
      </c>
      <c r="AJ25" s="1">
        <f>'Fats Raw Data'!A25</f>
        <v>0</v>
      </c>
      <c r="AK25">
        <f>'Fats Raw Data'!B25-'Fats Raw Data'!L25</f>
        <v>0</v>
      </c>
      <c r="AL25">
        <f>'Fats Raw Data'!C25-'Fats Raw Data'!M25</f>
        <v>0</v>
      </c>
      <c r="AM25">
        <f>'Fats Raw Data'!D25-'Fats Raw Data'!N25</f>
        <v>0</v>
      </c>
      <c r="AN25">
        <f>'Fats Raw Data'!E25-'Fats Raw Data'!O25</f>
        <v>0</v>
      </c>
      <c r="AO25" t="str">
        <f>'Fats Raw Data'!I25&amp;" - "&amp;'Fats Raw Data'!S25</f>
        <v xml:space="preserve"> - </v>
      </c>
      <c r="AQ25" s="1">
        <f>'Fats Raw Data'!AE25</f>
        <v>0</v>
      </c>
      <c r="AR25">
        <f>'Fats Raw Data'!AF25-'Fats Raw Data'!AZ25</f>
        <v>0</v>
      </c>
      <c r="AS25">
        <f>'Fats Raw Data'!AG25-'Fats Raw Data'!BA25</f>
        <v>0</v>
      </c>
      <c r="AT25">
        <f>'Fats Raw Data'!AH25-'Fats Raw Data'!BB25</f>
        <v>0</v>
      </c>
      <c r="AU25">
        <f>'Fats Raw Data'!AI25-'Fats Raw Data'!BC25</f>
        <v>0</v>
      </c>
      <c r="AV25" t="str">
        <f>'Fats Raw Data'!AM25&amp;" - "&amp;'Fats Raw Data'!BG25</f>
        <v xml:space="preserve"> - </v>
      </c>
      <c r="AX25" s="1">
        <f>'Fats Raw Data'!A25</f>
        <v>0</v>
      </c>
      <c r="AY25">
        <f>'Fats Raw Data'!B25-'Fats Raw Data'!V25</f>
        <v>0</v>
      </c>
      <c r="AZ25">
        <f>'Fats Raw Data'!C25-'Fats Raw Data'!W25</f>
        <v>0</v>
      </c>
      <c r="BA25">
        <f>'Fats Raw Data'!D25-'Fats Raw Data'!X25</f>
        <v>0</v>
      </c>
      <c r="BB25">
        <f>'Fats Raw Data'!E25-'Fats Raw Data'!Y25</f>
        <v>0</v>
      </c>
      <c r="BC25" t="str">
        <f>'Fats Raw Data'!I25&amp;" - "&amp;'Fats Raw Data'!AC25</f>
        <v xml:space="preserve"> - </v>
      </c>
      <c r="BE25" s="1">
        <f>'Fats Raw Data'!K25</f>
        <v>0</v>
      </c>
      <c r="BF25">
        <f>'Fats Raw Data'!L25-'Fats Raw Data'!AF25</f>
        <v>0</v>
      </c>
      <c r="BG25">
        <f>'Fats Raw Data'!M25-'Fats Raw Data'!AG25</f>
        <v>0</v>
      </c>
      <c r="BH25">
        <f>'Fats Raw Data'!N25-'Fats Raw Data'!AH25</f>
        <v>0</v>
      </c>
      <c r="BI25">
        <f>'Fats Raw Data'!O25-'Fats Raw Data'!AI25</f>
        <v>0</v>
      </c>
      <c r="BJ25" t="str">
        <f>'Fats Raw Data'!S25&amp;" - "&amp;'Fats Raw Data'!AM25</f>
        <v xml:space="preserve"> - </v>
      </c>
    </row>
    <row r="26" spans="1:62" x14ac:dyDescent="0.25">
      <c r="A26" s="1">
        <f>'Fats Raw Data'!K26</f>
        <v>0</v>
      </c>
      <c r="B26">
        <f>'Fats Raw Data'!L26-'Fats Raw Data'!V26</f>
        <v>0</v>
      </c>
      <c r="C26">
        <f>'Fats Raw Data'!M26-'Fats Raw Data'!W26</f>
        <v>0</v>
      </c>
      <c r="D26">
        <f>'Fats Raw Data'!N26-'Fats Raw Data'!X26</f>
        <v>0</v>
      </c>
      <c r="E26">
        <f>'Fats Raw Data'!O26-'Fats Raw Data'!Y26</f>
        <v>0</v>
      </c>
      <c r="F26" t="str">
        <f>'Fats Raw Data'!S26&amp;" - "&amp;'Fats Raw Data'!AC26</f>
        <v xml:space="preserve"> - </v>
      </c>
      <c r="H26" s="1">
        <f>'Fats Raw Data'!U26</f>
        <v>0</v>
      </c>
      <c r="I26">
        <f>'Fats Raw Data'!V26-'Fats Raw Data'!AF26</f>
        <v>0</v>
      </c>
      <c r="J26">
        <f>'Fats Raw Data'!W26-'Fats Raw Data'!AG26</f>
        <v>0</v>
      </c>
      <c r="K26">
        <f>'Fats Raw Data'!X26-'Fats Raw Data'!AH26</f>
        <v>0</v>
      </c>
      <c r="L26">
        <f>'Fats Raw Data'!Y26-'Fats Raw Data'!AI26</f>
        <v>0</v>
      </c>
      <c r="M26" t="str">
        <f>'Fats Raw Data'!AC26&amp;" - "&amp;'Fats Raw Data'!AM26</f>
        <v xml:space="preserve"> - </v>
      </c>
      <c r="O26" s="1">
        <f>'Fats Raw Data'!AE26</f>
        <v>0</v>
      </c>
      <c r="P26">
        <f>'Fats Raw Data'!AF26-'Fats Raw Data'!AP26</f>
        <v>0</v>
      </c>
      <c r="Q26">
        <f>'Fats Raw Data'!AG26-'Fats Raw Data'!AQ26</f>
        <v>0</v>
      </c>
      <c r="R26">
        <f>'Fats Raw Data'!AH26-'Fats Raw Data'!AR26</f>
        <v>0</v>
      </c>
      <c r="S26">
        <f>'Fats Raw Data'!AI26-'Fats Raw Data'!AS26</f>
        <v>0</v>
      </c>
      <c r="T26" t="str">
        <f>'Fats Raw Data'!AM26&amp;" - "&amp;'Fats Raw Data'!AW26</f>
        <v xml:space="preserve"> - </v>
      </c>
      <c r="V26" s="1">
        <f>'Fats Raw Data'!AO26</f>
        <v>0</v>
      </c>
      <c r="W26">
        <f>'Fats Raw Data'!AP26-'Fats Raw Data'!AZ26</f>
        <v>0</v>
      </c>
      <c r="X26">
        <f>'Fats Raw Data'!AQ26-'Fats Raw Data'!BA26</f>
        <v>0</v>
      </c>
      <c r="Y26">
        <f>'Fats Raw Data'!AR26-'Fats Raw Data'!BB26</f>
        <v>0</v>
      </c>
      <c r="Z26">
        <f>'Fats Raw Data'!AS26-'Fats Raw Data'!BC26</f>
        <v>0</v>
      </c>
      <c r="AA26" t="str">
        <f>'Fats Raw Data'!AW26&amp;" - "&amp;'Fats Raw Data'!BG26</f>
        <v xml:space="preserve"> - </v>
      </c>
      <c r="AC26" s="1">
        <f>'Fats Raw Data'!AY26</f>
        <v>0</v>
      </c>
      <c r="AD26">
        <f>'Fats Raw Data'!AZ26-'Fats Raw Data'!B26</f>
        <v>0</v>
      </c>
      <c r="AE26">
        <f>'Fats Raw Data'!BA26-'Fats Raw Data'!C26</f>
        <v>0</v>
      </c>
      <c r="AF26">
        <f>'Fats Raw Data'!BB26-'Fats Raw Data'!D26</f>
        <v>0</v>
      </c>
      <c r="AG26">
        <f>'Fats Raw Data'!BC26-'Fats Raw Data'!E26</f>
        <v>0</v>
      </c>
      <c r="AH26" t="str">
        <f>'Fats Raw Data'!BG26&amp;" - "&amp;'Fats Raw Data'!I26</f>
        <v xml:space="preserve"> - </v>
      </c>
      <c r="AJ26" s="1">
        <f>'Fats Raw Data'!A26</f>
        <v>0</v>
      </c>
      <c r="AK26">
        <f>'Fats Raw Data'!B26-'Fats Raw Data'!L26</f>
        <v>0</v>
      </c>
      <c r="AL26">
        <f>'Fats Raw Data'!C26-'Fats Raw Data'!M26</f>
        <v>0</v>
      </c>
      <c r="AM26">
        <f>'Fats Raw Data'!D26-'Fats Raw Data'!N26</f>
        <v>0</v>
      </c>
      <c r="AN26">
        <f>'Fats Raw Data'!E26-'Fats Raw Data'!O26</f>
        <v>0</v>
      </c>
      <c r="AO26" t="str">
        <f>'Fats Raw Data'!I26&amp;" - "&amp;'Fats Raw Data'!S26</f>
        <v xml:space="preserve"> - </v>
      </c>
      <c r="AQ26" s="1">
        <f>'Fats Raw Data'!AE26</f>
        <v>0</v>
      </c>
      <c r="AR26">
        <f>'Fats Raw Data'!AF26-'Fats Raw Data'!AZ26</f>
        <v>0</v>
      </c>
      <c r="AS26">
        <f>'Fats Raw Data'!AG26-'Fats Raw Data'!BA26</f>
        <v>0</v>
      </c>
      <c r="AT26">
        <f>'Fats Raw Data'!AH26-'Fats Raw Data'!BB26</f>
        <v>0</v>
      </c>
      <c r="AU26">
        <f>'Fats Raw Data'!AI26-'Fats Raw Data'!BC26</f>
        <v>0</v>
      </c>
      <c r="AV26" t="str">
        <f>'Fats Raw Data'!AM26&amp;" - "&amp;'Fats Raw Data'!BG26</f>
        <v xml:space="preserve"> - </v>
      </c>
      <c r="AX26" s="1">
        <f>'Fats Raw Data'!A26</f>
        <v>0</v>
      </c>
      <c r="AY26">
        <f>'Fats Raw Data'!B26-'Fats Raw Data'!V26</f>
        <v>0</v>
      </c>
      <c r="AZ26">
        <f>'Fats Raw Data'!C26-'Fats Raw Data'!W26</f>
        <v>0</v>
      </c>
      <c r="BA26">
        <f>'Fats Raw Data'!D26-'Fats Raw Data'!X26</f>
        <v>0</v>
      </c>
      <c r="BB26">
        <f>'Fats Raw Data'!E26-'Fats Raw Data'!Y26</f>
        <v>0</v>
      </c>
      <c r="BC26" t="str">
        <f>'Fats Raw Data'!I26&amp;" - "&amp;'Fats Raw Data'!AC26</f>
        <v xml:space="preserve"> - </v>
      </c>
      <c r="BE26" s="1">
        <f>'Fats Raw Data'!K26</f>
        <v>0</v>
      </c>
      <c r="BF26">
        <f>'Fats Raw Data'!L26-'Fats Raw Data'!AF26</f>
        <v>0</v>
      </c>
      <c r="BG26">
        <f>'Fats Raw Data'!M26-'Fats Raw Data'!AG26</f>
        <v>0</v>
      </c>
      <c r="BH26">
        <f>'Fats Raw Data'!N26-'Fats Raw Data'!AH26</f>
        <v>0</v>
      </c>
      <c r="BI26">
        <f>'Fats Raw Data'!O26-'Fats Raw Data'!AI26</f>
        <v>0</v>
      </c>
      <c r="BJ26" t="str">
        <f>'Fats Raw Data'!S26&amp;" - "&amp;'Fats Raw Data'!AM26</f>
        <v xml:space="preserve"> - </v>
      </c>
    </row>
    <row r="27" spans="1:62" x14ac:dyDescent="0.25">
      <c r="A27" s="1">
        <f>'Fats Raw Data'!K27</f>
        <v>0</v>
      </c>
      <c r="B27">
        <f>'Fats Raw Data'!L27-'Fats Raw Data'!V27</f>
        <v>0</v>
      </c>
      <c r="C27">
        <f>'Fats Raw Data'!M27-'Fats Raw Data'!W27</f>
        <v>0</v>
      </c>
      <c r="D27">
        <f>'Fats Raw Data'!N27-'Fats Raw Data'!X27</f>
        <v>0</v>
      </c>
      <c r="E27">
        <f>'Fats Raw Data'!O27-'Fats Raw Data'!Y27</f>
        <v>0</v>
      </c>
      <c r="F27" t="str">
        <f>'Fats Raw Data'!S27&amp;" - "&amp;'Fats Raw Data'!AC27</f>
        <v xml:space="preserve"> - </v>
      </c>
      <c r="H27" s="1">
        <f>'Fats Raw Data'!U27</f>
        <v>0</v>
      </c>
      <c r="I27">
        <f>'Fats Raw Data'!V27-'Fats Raw Data'!AF27</f>
        <v>0</v>
      </c>
      <c r="J27">
        <f>'Fats Raw Data'!W27-'Fats Raw Data'!AG27</f>
        <v>0</v>
      </c>
      <c r="K27">
        <f>'Fats Raw Data'!X27-'Fats Raw Data'!AH27</f>
        <v>0</v>
      </c>
      <c r="L27">
        <f>'Fats Raw Data'!Y27-'Fats Raw Data'!AI27</f>
        <v>0</v>
      </c>
      <c r="M27" t="str">
        <f>'Fats Raw Data'!AC27&amp;" - "&amp;'Fats Raw Data'!AM27</f>
        <v xml:space="preserve"> - </v>
      </c>
      <c r="O27" s="1">
        <f>'Fats Raw Data'!AE27</f>
        <v>0</v>
      </c>
      <c r="P27">
        <f>'Fats Raw Data'!AF27-'Fats Raw Data'!AP27</f>
        <v>0</v>
      </c>
      <c r="Q27">
        <f>'Fats Raw Data'!AG27-'Fats Raw Data'!AQ27</f>
        <v>0</v>
      </c>
      <c r="R27">
        <f>'Fats Raw Data'!AH27-'Fats Raw Data'!AR27</f>
        <v>0</v>
      </c>
      <c r="S27">
        <f>'Fats Raw Data'!AI27-'Fats Raw Data'!AS27</f>
        <v>0</v>
      </c>
      <c r="T27" t="str">
        <f>'Fats Raw Data'!AM27&amp;" - "&amp;'Fats Raw Data'!AW27</f>
        <v xml:space="preserve"> - </v>
      </c>
      <c r="V27" s="1">
        <f>'Fats Raw Data'!AO27</f>
        <v>0</v>
      </c>
      <c r="W27">
        <f>'Fats Raw Data'!AP27-'Fats Raw Data'!AZ27</f>
        <v>0</v>
      </c>
      <c r="X27">
        <f>'Fats Raw Data'!AQ27-'Fats Raw Data'!BA27</f>
        <v>0</v>
      </c>
      <c r="Y27">
        <f>'Fats Raw Data'!AR27-'Fats Raw Data'!BB27</f>
        <v>0</v>
      </c>
      <c r="Z27">
        <f>'Fats Raw Data'!AS27-'Fats Raw Data'!BC27</f>
        <v>0</v>
      </c>
      <c r="AA27" t="str">
        <f>'Fats Raw Data'!AW27&amp;" - "&amp;'Fats Raw Data'!BG27</f>
        <v xml:space="preserve"> - </v>
      </c>
      <c r="AC27" s="1">
        <f>'Fats Raw Data'!AY27</f>
        <v>0</v>
      </c>
      <c r="AD27">
        <f>'Fats Raw Data'!AZ27-'Fats Raw Data'!B27</f>
        <v>0</v>
      </c>
      <c r="AE27">
        <f>'Fats Raw Data'!BA27-'Fats Raw Data'!C27</f>
        <v>0</v>
      </c>
      <c r="AF27">
        <f>'Fats Raw Data'!BB27-'Fats Raw Data'!D27</f>
        <v>0</v>
      </c>
      <c r="AG27">
        <f>'Fats Raw Data'!BC27-'Fats Raw Data'!E27</f>
        <v>0</v>
      </c>
      <c r="AH27" t="str">
        <f>'Fats Raw Data'!BG27&amp;" - "&amp;'Fats Raw Data'!I27</f>
        <v xml:space="preserve"> - </v>
      </c>
      <c r="AJ27" s="1">
        <f>'Fats Raw Data'!A27</f>
        <v>0</v>
      </c>
      <c r="AK27">
        <f>'Fats Raw Data'!B27-'Fats Raw Data'!L27</f>
        <v>0</v>
      </c>
      <c r="AL27">
        <f>'Fats Raw Data'!C27-'Fats Raw Data'!M27</f>
        <v>0</v>
      </c>
      <c r="AM27">
        <f>'Fats Raw Data'!D27-'Fats Raw Data'!N27</f>
        <v>0</v>
      </c>
      <c r="AN27">
        <f>'Fats Raw Data'!E27-'Fats Raw Data'!O27</f>
        <v>0</v>
      </c>
      <c r="AO27" t="str">
        <f>'Fats Raw Data'!I27&amp;" - "&amp;'Fats Raw Data'!S27</f>
        <v xml:space="preserve"> - </v>
      </c>
      <c r="AQ27" s="1">
        <f>'Fats Raw Data'!AE27</f>
        <v>0</v>
      </c>
      <c r="AR27">
        <f>'Fats Raw Data'!AF27-'Fats Raw Data'!AZ27</f>
        <v>0</v>
      </c>
      <c r="AS27">
        <f>'Fats Raw Data'!AG27-'Fats Raw Data'!BA27</f>
        <v>0</v>
      </c>
      <c r="AT27">
        <f>'Fats Raw Data'!AH27-'Fats Raw Data'!BB27</f>
        <v>0</v>
      </c>
      <c r="AU27">
        <f>'Fats Raw Data'!AI27-'Fats Raw Data'!BC27</f>
        <v>0</v>
      </c>
      <c r="AV27" t="str">
        <f>'Fats Raw Data'!AM27&amp;" - "&amp;'Fats Raw Data'!BG27</f>
        <v xml:space="preserve"> - </v>
      </c>
      <c r="AX27" s="1">
        <f>'Fats Raw Data'!A27</f>
        <v>0</v>
      </c>
      <c r="AY27">
        <f>'Fats Raw Data'!B27-'Fats Raw Data'!V27</f>
        <v>0</v>
      </c>
      <c r="AZ27">
        <f>'Fats Raw Data'!C27-'Fats Raw Data'!W27</f>
        <v>0</v>
      </c>
      <c r="BA27">
        <f>'Fats Raw Data'!D27-'Fats Raw Data'!X27</f>
        <v>0</v>
      </c>
      <c r="BB27">
        <f>'Fats Raw Data'!E27-'Fats Raw Data'!Y27</f>
        <v>0</v>
      </c>
      <c r="BC27" t="str">
        <f>'Fats Raw Data'!I27&amp;" - "&amp;'Fats Raw Data'!AC27</f>
        <v xml:space="preserve"> - </v>
      </c>
      <c r="BE27" s="1">
        <f>'Fats Raw Data'!K27</f>
        <v>0</v>
      </c>
      <c r="BF27">
        <f>'Fats Raw Data'!L27-'Fats Raw Data'!AF27</f>
        <v>0</v>
      </c>
      <c r="BG27">
        <f>'Fats Raw Data'!M27-'Fats Raw Data'!AG27</f>
        <v>0</v>
      </c>
      <c r="BH27">
        <f>'Fats Raw Data'!N27-'Fats Raw Data'!AH27</f>
        <v>0</v>
      </c>
      <c r="BI27">
        <f>'Fats Raw Data'!O27-'Fats Raw Data'!AI27</f>
        <v>0</v>
      </c>
      <c r="BJ27" t="str">
        <f>'Fats Raw Data'!S27&amp;" - "&amp;'Fats Raw Data'!AM27</f>
        <v xml:space="preserve"> - </v>
      </c>
    </row>
    <row r="28" spans="1:62" x14ac:dyDescent="0.25">
      <c r="A28" s="1">
        <f>'Fats Raw Data'!K28</f>
        <v>0</v>
      </c>
      <c r="B28">
        <f>'Fats Raw Data'!L28-'Fats Raw Data'!V28</f>
        <v>0</v>
      </c>
      <c r="C28">
        <f>'Fats Raw Data'!M28-'Fats Raw Data'!W28</f>
        <v>0</v>
      </c>
      <c r="D28">
        <f>'Fats Raw Data'!N28-'Fats Raw Data'!X28</f>
        <v>0</v>
      </c>
      <c r="E28">
        <f>'Fats Raw Data'!O28-'Fats Raw Data'!Y28</f>
        <v>0</v>
      </c>
      <c r="F28" t="str">
        <f>'Fats Raw Data'!S28&amp;" - "&amp;'Fats Raw Data'!AC28</f>
        <v xml:space="preserve"> - </v>
      </c>
      <c r="H28" s="1">
        <f>'Fats Raw Data'!U28</f>
        <v>0</v>
      </c>
      <c r="I28">
        <f>'Fats Raw Data'!V28-'Fats Raw Data'!AF28</f>
        <v>0</v>
      </c>
      <c r="J28">
        <f>'Fats Raw Data'!W28-'Fats Raw Data'!AG28</f>
        <v>0</v>
      </c>
      <c r="K28">
        <f>'Fats Raw Data'!X28-'Fats Raw Data'!AH28</f>
        <v>0</v>
      </c>
      <c r="L28">
        <f>'Fats Raw Data'!Y28-'Fats Raw Data'!AI28</f>
        <v>0</v>
      </c>
      <c r="M28" t="str">
        <f>'Fats Raw Data'!AC28&amp;" - "&amp;'Fats Raw Data'!AM28</f>
        <v xml:space="preserve"> - </v>
      </c>
      <c r="O28" s="1">
        <f>'Fats Raw Data'!AE28</f>
        <v>0</v>
      </c>
      <c r="P28">
        <f>'Fats Raw Data'!AF28-'Fats Raw Data'!AP28</f>
        <v>0</v>
      </c>
      <c r="Q28">
        <f>'Fats Raw Data'!AG28-'Fats Raw Data'!AQ28</f>
        <v>0</v>
      </c>
      <c r="R28">
        <f>'Fats Raw Data'!AH28-'Fats Raw Data'!AR28</f>
        <v>0</v>
      </c>
      <c r="S28">
        <f>'Fats Raw Data'!AI28-'Fats Raw Data'!AS28</f>
        <v>0</v>
      </c>
      <c r="T28" t="str">
        <f>'Fats Raw Data'!AM28&amp;" - "&amp;'Fats Raw Data'!AW28</f>
        <v xml:space="preserve"> - </v>
      </c>
      <c r="V28" s="1">
        <f>'Fats Raw Data'!AO28</f>
        <v>0</v>
      </c>
      <c r="W28">
        <f>'Fats Raw Data'!AP28-'Fats Raw Data'!AZ28</f>
        <v>0</v>
      </c>
      <c r="X28">
        <f>'Fats Raw Data'!AQ28-'Fats Raw Data'!BA28</f>
        <v>0</v>
      </c>
      <c r="Y28">
        <f>'Fats Raw Data'!AR28-'Fats Raw Data'!BB28</f>
        <v>0</v>
      </c>
      <c r="Z28">
        <f>'Fats Raw Data'!AS28-'Fats Raw Data'!BC28</f>
        <v>0</v>
      </c>
      <c r="AA28" t="str">
        <f>'Fats Raw Data'!AW28&amp;" - "&amp;'Fats Raw Data'!BG28</f>
        <v xml:space="preserve"> - </v>
      </c>
      <c r="AC28" s="1">
        <f>'Fats Raw Data'!AY28</f>
        <v>0</v>
      </c>
      <c r="AD28">
        <f>'Fats Raw Data'!AZ28-'Fats Raw Data'!B28</f>
        <v>0</v>
      </c>
      <c r="AE28">
        <f>'Fats Raw Data'!BA28-'Fats Raw Data'!C28</f>
        <v>0</v>
      </c>
      <c r="AF28">
        <f>'Fats Raw Data'!BB28-'Fats Raw Data'!D28</f>
        <v>0</v>
      </c>
      <c r="AG28">
        <f>'Fats Raw Data'!BC28-'Fats Raw Data'!E28</f>
        <v>0</v>
      </c>
      <c r="AH28" t="str">
        <f>'Fats Raw Data'!BG28&amp;" - "&amp;'Fats Raw Data'!I28</f>
        <v xml:space="preserve"> - </v>
      </c>
      <c r="AJ28" s="1">
        <f>'Fats Raw Data'!A28</f>
        <v>0</v>
      </c>
      <c r="AK28">
        <f>'Fats Raw Data'!B28-'Fats Raw Data'!L28</f>
        <v>0</v>
      </c>
      <c r="AL28">
        <f>'Fats Raw Data'!C28-'Fats Raw Data'!M28</f>
        <v>0</v>
      </c>
      <c r="AM28">
        <f>'Fats Raw Data'!D28-'Fats Raw Data'!N28</f>
        <v>0</v>
      </c>
      <c r="AN28">
        <f>'Fats Raw Data'!E28-'Fats Raw Data'!O28</f>
        <v>0</v>
      </c>
      <c r="AO28" t="str">
        <f>'Fats Raw Data'!I28&amp;" - "&amp;'Fats Raw Data'!S28</f>
        <v xml:space="preserve"> - </v>
      </c>
      <c r="AQ28" s="1">
        <f>'Fats Raw Data'!AE28</f>
        <v>0</v>
      </c>
      <c r="AR28">
        <f>'Fats Raw Data'!AF28-'Fats Raw Data'!AZ28</f>
        <v>0</v>
      </c>
      <c r="AS28">
        <f>'Fats Raw Data'!AG28-'Fats Raw Data'!BA28</f>
        <v>0</v>
      </c>
      <c r="AT28">
        <f>'Fats Raw Data'!AH28-'Fats Raw Data'!BB28</f>
        <v>0</v>
      </c>
      <c r="AU28">
        <f>'Fats Raw Data'!AI28-'Fats Raw Data'!BC28</f>
        <v>0</v>
      </c>
      <c r="AV28" t="str">
        <f>'Fats Raw Data'!AM28&amp;" - "&amp;'Fats Raw Data'!BG28</f>
        <v xml:space="preserve"> - </v>
      </c>
      <c r="AX28" s="1">
        <f>'Fats Raw Data'!A28</f>
        <v>0</v>
      </c>
      <c r="AY28">
        <f>'Fats Raw Data'!B28-'Fats Raw Data'!V28</f>
        <v>0</v>
      </c>
      <c r="AZ28">
        <f>'Fats Raw Data'!C28-'Fats Raw Data'!W28</f>
        <v>0</v>
      </c>
      <c r="BA28">
        <f>'Fats Raw Data'!D28-'Fats Raw Data'!X28</f>
        <v>0</v>
      </c>
      <c r="BB28">
        <f>'Fats Raw Data'!E28-'Fats Raw Data'!Y28</f>
        <v>0</v>
      </c>
      <c r="BC28" t="str">
        <f>'Fats Raw Data'!I28&amp;" - "&amp;'Fats Raw Data'!AC28</f>
        <v xml:space="preserve"> - </v>
      </c>
      <c r="BE28" s="1">
        <f>'Fats Raw Data'!K28</f>
        <v>0</v>
      </c>
      <c r="BF28">
        <f>'Fats Raw Data'!L28-'Fats Raw Data'!AF28</f>
        <v>0</v>
      </c>
      <c r="BG28">
        <f>'Fats Raw Data'!M28-'Fats Raw Data'!AG28</f>
        <v>0</v>
      </c>
      <c r="BH28">
        <f>'Fats Raw Data'!N28-'Fats Raw Data'!AH28</f>
        <v>0</v>
      </c>
      <c r="BI28">
        <f>'Fats Raw Data'!O28-'Fats Raw Data'!AI28</f>
        <v>0</v>
      </c>
      <c r="BJ28" t="str">
        <f>'Fats Raw Data'!S28&amp;" - "&amp;'Fats Raw Data'!AM28</f>
        <v xml:space="preserve"> - </v>
      </c>
    </row>
    <row r="29" spans="1:62" x14ac:dyDescent="0.25">
      <c r="A29" s="1">
        <f>'Fats Raw Data'!K29</f>
        <v>0</v>
      </c>
      <c r="B29">
        <f>'Fats Raw Data'!L29-'Fats Raw Data'!V29</f>
        <v>0</v>
      </c>
      <c r="C29">
        <f>'Fats Raw Data'!M29-'Fats Raw Data'!W29</f>
        <v>0</v>
      </c>
      <c r="D29">
        <f>'Fats Raw Data'!N29-'Fats Raw Data'!X29</f>
        <v>0</v>
      </c>
      <c r="E29">
        <f>'Fats Raw Data'!O29-'Fats Raw Data'!Y29</f>
        <v>0</v>
      </c>
      <c r="F29" t="str">
        <f>'Fats Raw Data'!S29&amp;" - "&amp;'Fats Raw Data'!AC29</f>
        <v xml:space="preserve"> - </v>
      </c>
      <c r="H29" s="1">
        <f>'Fats Raw Data'!U29</f>
        <v>0</v>
      </c>
      <c r="I29">
        <f>'Fats Raw Data'!V29-'Fats Raw Data'!AF29</f>
        <v>0</v>
      </c>
      <c r="J29">
        <f>'Fats Raw Data'!W29-'Fats Raw Data'!AG29</f>
        <v>0</v>
      </c>
      <c r="K29">
        <f>'Fats Raw Data'!X29-'Fats Raw Data'!AH29</f>
        <v>0</v>
      </c>
      <c r="L29">
        <f>'Fats Raw Data'!Y29-'Fats Raw Data'!AI29</f>
        <v>0</v>
      </c>
      <c r="M29" t="str">
        <f>'Fats Raw Data'!AC29&amp;" - "&amp;'Fats Raw Data'!AM29</f>
        <v xml:space="preserve"> - </v>
      </c>
      <c r="O29" s="1">
        <f>'Fats Raw Data'!AE29</f>
        <v>0</v>
      </c>
      <c r="P29">
        <f>'Fats Raw Data'!AF29-'Fats Raw Data'!AP29</f>
        <v>0</v>
      </c>
      <c r="Q29">
        <f>'Fats Raw Data'!AG29-'Fats Raw Data'!AQ29</f>
        <v>0</v>
      </c>
      <c r="R29">
        <f>'Fats Raw Data'!AH29-'Fats Raw Data'!AR29</f>
        <v>0</v>
      </c>
      <c r="S29">
        <f>'Fats Raw Data'!AI29-'Fats Raw Data'!AS29</f>
        <v>0</v>
      </c>
      <c r="T29" t="str">
        <f>'Fats Raw Data'!AM29&amp;" - "&amp;'Fats Raw Data'!AW29</f>
        <v xml:space="preserve"> - </v>
      </c>
      <c r="V29" s="1">
        <f>'Fats Raw Data'!AO29</f>
        <v>0</v>
      </c>
      <c r="W29">
        <f>'Fats Raw Data'!AP29-'Fats Raw Data'!AZ29</f>
        <v>0</v>
      </c>
      <c r="X29">
        <f>'Fats Raw Data'!AQ29-'Fats Raw Data'!BA29</f>
        <v>0</v>
      </c>
      <c r="Y29">
        <f>'Fats Raw Data'!AR29-'Fats Raw Data'!BB29</f>
        <v>0</v>
      </c>
      <c r="Z29">
        <f>'Fats Raw Data'!AS29-'Fats Raw Data'!BC29</f>
        <v>0</v>
      </c>
      <c r="AA29" t="str">
        <f>'Fats Raw Data'!AW29&amp;" - "&amp;'Fats Raw Data'!BG29</f>
        <v xml:space="preserve"> - </v>
      </c>
      <c r="AC29" s="1">
        <f>'Fats Raw Data'!AY29</f>
        <v>0</v>
      </c>
      <c r="AD29">
        <f>'Fats Raw Data'!AZ29-'Fats Raw Data'!B29</f>
        <v>0</v>
      </c>
      <c r="AE29">
        <f>'Fats Raw Data'!BA29-'Fats Raw Data'!C29</f>
        <v>0</v>
      </c>
      <c r="AF29">
        <f>'Fats Raw Data'!BB29-'Fats Raw Data'!D29</f>
        <v>0</v>
      </c>
      <c r="AG29">
        <f>'Fats Raw Data'!BC29-'Fats Raw Data'!E29</f>
        <v>0</v>
      </c>
      <c r="AH29" t="str">
        <f>'Fats Raw Data'!BG29&amp;" - "&amp;'Fats Raw Data'!I29</f>
        <v xml:space="preserve"> - </v>
      </c>
      <c r="AJ29" s="1">
        <f>'Fats Raw Data'!A29</f>
        <v>0</v>
      </c>
      <c r="AK29">
        <f>'Fats Raw Data'!B29-'Fats Raw Data'!L29</f>
        <v>0</v>
      </c>
      <c r="AL29">
        <f>'Fats Raw Data'!C29-'Fats Raw Data'!M29</f>
        <v>0</v>
      </c>
      <c r="AM29">
        <f>'Fats Raw Data'!D29-'Fats Raw Data'!N29</f>
        <v>0</v>
      </c>
      <c r="AN29">
        <f>'Fats Raw Data'!E29-'Fats Raw Data'!O29</f>
        <v>0</v>
      </c>
      <c r="AO29" t="str">
        <f>'Fats Raw Data'!I29&amp;" - "&amp;'Fats Raw Data'!S29</f>
        <v xml:space="preserve"> - </v>
      </c>
      <c r="AQ29" s="1">
        <f>'Fats Raw Data'!AE29</f>
        <v>0</v>
      </c>
      <c r="AR29">
        <f>'Fats Raw Data'!AF29-'Fats Raw Data'!AZ29</f>
        <v>0</v>
      </c>
      <c r="AS29">
        <f>'Fats Raw Data'!AG29-'Fats Raw Data'!BA29</f>
        <v>0</v>
      </c>
      <c r="AT29">
        <f>'Fats Raw Data'!AH29-'Fats Raw Data'!BB29</f>
        <v>0</v>
      </c>
      <c r="AU29">
        <f>'Fats Raw Data'!AI29-'Fats Raw Data'!BC29</f>
        <v>0</v>
      </c>
      <c r="AV29" t="str">
        <f>'Fats Raw Data'!AM29&amp;" - "&amp;'Fats Raw Data'!BG29</f>
        <v xml:space="preserve"> - </v>
      </c>
      <c r="AX29" s="1">
        <f>'Fats Raw Data'!A29</f>
        <v>0</v>
      </c>
      <c r="AY29">
        <f>'Fats Raw Data'!B29-'Fats Raw Data'!V29</f>
        <v>0</v>
      </c>
      <c r="AZ29">
        <f>'Fats Raw Data'!C29-'Fats Raw Data'!W29</f>
        <v>0</v>
      </c>
      <c r="BA29">
        <f>'Fats Raw Data'!D29-'Fats Raw Data'!X29</f>
        <v>0</v>
      </c>
      <c r="BB29">
        <f>'Fats Raw Data'!E29-'Fats Raw Data'!Y29</f>
        <v>0</v>
      </c>
      <c r="BC29" t="str">
        <f>'Fats Raw Data'!I29&amp;" - "&amp;'Fats Raw Data'!AC29</f>
        <v xml:space="preserve"> - </v>
      </c>
      <c r="BE29" s="1">
        <f>'Fats Raw Data'!K29</f>
        <v>0</v>
      </c>
      <c r="BF29">
        <f>'Fats Raw Data'!L29-'Fats Raw Data'!AF29</f>
        <v>0</v>
      </c>
      <c r="BG29">
        <f>'Fats Raw Data'!M29-'Fats Raw Data'!AG29</f>
        <v>0</v>
      </c>
      <c r="BH29">
        <f>'Fats Raw Data'!N29-'Fats Raw Data'!AH29</f>
        <v>0</v>
      </c>
      <c r="BI29">
        <f>'Fats Raw Data'!O29-'Fats Raw Data'!AI29</f>
        <v>0</v>
      </c>
      <c r="BJ29" t="str">
        <f>'Fats Raw Data'!S29&amp;" - "&amp;'Fats Raw Data'!AM29</f>
        <v xml:space="preserve"> - </v>
      </c>
    </row>
    <row r="30" spans="1:62" x14ac:dyDescent="0.25">
      <c r="A30" s="1">
        <f>'Fats Raw Data'!K30</f>
        <v>0</v>
      </c>
      <c r="B30">
        <f>'Fats Raw Data'!L30-'Fats Raw Data'!V30</f>
        <v>0</v>
      </c>
      <c r="C30">
        <f>'Fats Raw Data'!M30-'Fats Raw Data'!W30</f>
        <v>0</v>
      </c>
      <c r="D30">
        <f>'Fats Raw Data'!N30-'Fats Raw Data'!X30</f>
        <v>0</v>
      </c>
      <c r="E30">
        <f>'Fats Raw Data'!O30-'Fats Raw Data'!Y30</f>
        <v>0</v>
      </c>
      <c r="F30" t="str">
        <f>'Fats Raw Data'!S30&amp;" - "&amp;'Fats Raw Data'!AC30</f>
        <v xml:space="preserve"> - </v>
      </c>
      <c r="H30" s="1">
        <f>'Fats Raw Data'!U30</f>
        <v>0</v>
      </c>
      <c r="I30">
        <f>'Fats Raw Data'!V30-'Fats Raw Data'!AF30</f>
        <v>0</v>
      </c>
      <c r="J30">
        <f>'Fats Raw Data'!W30-'Fats Raw Data'!AG30</f>
        <v>0</v>
      </c>
      <c r="K30">
        <f>'Fats Raw Data'!X30-'Fats Raw Data'!AH30</f>
        <v>0</v>
      </c>
      <c r="L30">
        <f>'Fats Raw Data'!Y30-'Fats Raw Data'!AI30</f>
        <v>0</v>
      </c>
      <c r="M30" t="str">
        <f>'Fats Raw Data'!AC30&amp;" - "&amp;'Fats Raw Data'!AM30</f>
        <v xml:space="preserve"> - </v>
      </c>
      <c r="O30" s="1">
        <f>'Fats Raw Data'!AE30</f>
        <v>0</v>
      </c>
      <c r="P30">
        <f>'Fats Raw Data'!AF30-'Fats Raw Data'!AP30</f>
        <v>0</v>
      </c>
      <c r="Q30">
        <f>'Fats Raw Data'!AG30-'Fats Raw Data'!AQ30</f>
        <v>0</v>
      </c>
      <c r="R30">
        <f>'Fats Raw Data'!AH30-'Fats Raw Data'!AR30</f>
        <v>0</v>
      </c>
      <c r="S30">
        <f>'Fats Raw Data'!AI30-'Fats Raw Data'!AS30</f>
        <v>0</v>
      </c>
      <c r="T30" t="str">
        <f>'Fats Raw Data'!AM30&amp;" - "&amp;'Fats Raw Data'!AW30</f>
        <v xml:space="preserve"> - </v>
      </c>
      <c r="V30" s="1">
        <f>'Fats Raw Data'!AO30</f>
        <v>0</v>
      </c>
      <c r="W30">
        <f>'Fats Raw Data'!AP30-'Fats Raw Data'!AZ30</f>
        <v>0</v>
      </c>
      <c r="X30">
        <f>'Fats Raw Data'!AQ30-'Fats Raw Data'!BA30</f>
        <v>0</v>
      </c>
      <c r="Y30">
        <f>'Fats Raw Data'!AR30-'Fats Raw Data'!BB30</f>
        <v>0</v>
      </c>
      <c r="Z30">
        <f>'Fats Raw Data'!AS30-'Fats Raw Data'!BC30</f>
        <v>0</v>
      </c>
      <c r="AA30" t="str">
        <f>'Fats Raw Data'!AW30&amp;" - "&amp;'Fats Raw Data'!BG30</f>
        <v xml:space="preserve"> - </v>
      </c>
      <c r="AC30" s="1">
        <f>'Fats Raw Data'!AY30</f>
        <v>0</v>
      </c>
      <c r="AD30">
        <f>'Fats Raw Data'!AZ30-'Fats Raw Data'!B30</f>
        <v>0</v>
      </c>
      <c r="AE30">
        <f>'Fats Raw Data'!BA30-'Fats Raw Data'!C30</f>
        <v>0</v>
      </c>
      <c r="AF30">
        <f>'Fats Raw Data'!BB30-'Fats Raw Data'!D30</f>
        <v>0</v>
      </c>
      <c r="AG30">
        <f>'Fats Raw Data'!BC30-'Fats Raw Data'!E30</f>
        <v>0</v>
      </c>
      <c r="AH30" t="str">
        <f>'Fats Raw Data'!BG30&amp;" - "&amp;'Fats Raw Data'!I30</f>
        <v xml:space="preserve"> - </v>
      </c>
      <c r="AJ30" s="1">
        <f>'Fats Raw Data'!A30</f>
        <v>0</v>
      </c>
      <c r="AK30">
        <f>'Fats Raw Data'!B30-'Fats Raw Data'!L30</f>
        <v>0</v>
      </c>
      <c r="AL30">
        <f>'Fats Raw Data'!C30-'Fats Raw Data'!M30</f>
        <v>0</v>
      </c>
      <c r="AM30">
        <f>'Fats Raw Data'!D30-'Fats Raw Data'!N30</f>
        <v>0</v>
      </c>
      <c r="AN30">
        <f>'Fats Raw Data'!E30-'Fats Raw Data'!O30</f>
        <v>0</v>
      </c>
      <c r="AO30" t="str">
        <f>'Fats Raw Data'!I30&amp;" - "&amp;'Fats Raw Data'!S30</f>
        <v xml:space="preserve"> - </v>
      </c>
      <c r="AQ30" s="1">
        <f>'Fats Raw Data'!AE30</f>
        <v>0</v>
      </c>
      <c r="AR30">
        <f>'Fats Raw Data'!AF30-'Fats Raw Data'!AZ30</f>
        <v>0</v>
      </c>
      <c r="AS30">
        <f>'Fats Raw Data'!AG30-'Fats Raw Data'!BA30</f>
        <v>0</v>
      </c>
      <c r="AT30">
        <f>'Fats Raw Data'!AH30-'Fats Raw Data'!BB30</f>
        <v>0</v>
      </c>
      <c r="AU30">
        <f>'Fats Raw Data'!AI30-'Fats Raw Data'!BC30</f>
        <v>0</v>
      </c>
      <c r="AV30" t="str">
        <f>'Fats Raw Data'!AM30&amp;" - "&amp;'Fats Raw Data'!BG30</f>
        <v xml:space="preserve"> - </v>
      </c>
      <c r="AX30" s="1">
        <f>'Fats Raw Data'!A30</f>
        <v>0</v>
      </c>
      <c r="AY30">
        <f>'Fats Raw Data'!B30-'Fats Raw Data'!V30</f>
        <v>0</v>
      </c>
      <c r="AZ30">
        <f>'Fats Raw Data'!C30-'Fats Raw Data'!W30</f>
        <v>0</v>
      </c>
      <c r="BA30">
        <f>'Fats Raw Data'!D30-'Fats Raw Data'!X30</f>
        <v>0</v>
      </c>
      <c r="BB30">
        <f>'Fats Raw Data'!E30-'Fats Raw Data'!Y30</f>
        <v>0</v>
      </c>
      <c r="BC30" t="str">
        <f>'Fats Raw Data'!I30&amp;" - "&amp;'Fats Raw Data'!AC30</f>
        <v xml:space="preserve"> - </v>
      </c>
      <c r="BE30" s="1">
        <f>'Fats Raw Data'!K30</f>
        <v>0</v>
      </c>
      <c r="BF30">
        <f>'Fats Raw Data'!L30-'Fats Raw Data'!AF30</f>
        <v>0</v>
      </c>
      <c r="BG30">
        <f>'Fats Raw Data'!M30-'Fats Raw Data'!AG30</f>
        <v>0</v>
      </c>
      <c r="BH30">
        <f>'Fats Raw Data'!N30-'Fats Raw Data'!AH30</f>
        <v>0</v>
      </c>
      <c r="BI30">
        <f>'Fats Raw Data'!O30-'Fats Raw Data'!AI30</f>
        <v>0</v>
      </c>
      <c r="BJ30" t="str">
        <f>'Fats Raw Data'!S30&amp;" - "&amp;'Fats Raw Data'!AM30</f>
        <v xml:space="preserve"> - </v>
      </c>
    </row>
    <row r="31" spans="1:62" x14ac:dyDescent="0.25">
      <c r="A31" s="1">
        <f>'Fats Raw Data'!K31</f>
        <v>0</v>
      </c>
      <c r="B31">
        <f>'Fats Raw Data'!L31-'Fats Raw Data'!V31</f>
        <v>0</v>
      </c>
      <c r="C31">
        <f>'Fats Raw Data'!M31-'Fats Raw Data'!W31</f>
        <v>0</v>
      </c>
      <c r="D31">
        <f>'Fats Raw Data'!N31-'Fats Raw Data'!X31</f>
        <v>0</v>
      </c>
      <c r="E31">
        <f>'Fats Raw Data'!O31-'Fats Raw Data'!Y31</f>
        <v>0</v>
      </c>
      <c r="F31" t="str">
        <f>'Fats Raw Data'!S31&amp;" - "&amp;'Fats Raw Data'!AC31</f>
        <v xml:space="preserve"> - </v>
      </c>
      <c r="H31" s="1">
        <f>'Fats Raw Data'!U31</f>
        <v>0</v>
      </c>
      <c r="I31">
        <f>'Fats Raw Data'!V31-'Fats Raw Data'!AF31</f>
        <v>0</v>
      </c>
      <c r="J31">
        <f>'Fats Raw Data'!W31-'Fats Raw Data'!AG31</f>
        <v>0</v>
      </c>
      <c r="K31">
        <f>'Fats Raw Data'!X31-'Fats Raw Data'!AH31</f>
        <v>0</v>
      </c>
      <c r="L31">
        <f>'Fats Raw Data'!Y31-'Fats Raw Data'!AI31</f>
        <v>0</v>
      </c>
      <c r="M31" t="str">
        <f>'Fats Raw Data'!AC31&amp;" - "&amp;'Fats Raw Data'!AM31</f>
        <v xml:space="preserve"> - </v>
      </c>
      <c r="O31" s="1">
        <f>'Fats Raw Data'!AE31</f>
        <v>0</v>
      </c>
      <c r="P31">
        <f>'Fats Raw Data'!AF31-'Fats Raw Data'!AP31</f>
        <v>0</v>
      </c>
      <c r="Q31">
        <f>'Fats Raw Data'!AG31-'Fats Raw Data'!AQ31</f>
        <v>0</v>
      </c>
      <c r="R31">
        <f>'Fats Raw Data'!AH31-'Fats Raw Data'!AR31</f>
        <v>0</v>
      </c>
      <c r="S31">
        <f>'Fats Raw Data'!AI31-'Fats Raw Data'!AS31</f>
        <v>0</v>
      </c>
      <c r="T31" t="str">
        <f>'Fats Raw Data'!AM31&amp;" - "&amp;'Fats Raw Data'!AW31</f>
        <v xml:space="preserve"> - </v>
      </c>
      <c r="V31" s="1">
        <f>'Fats Raw Data'!AO31</f>
        <v>0</v>
      </c>
      <c r="W31">
        <f>'Fats Raw Data'!AP31-'Fats Raw Data'!AZ31</f>
        <v>0</v>
      </c>
      <c r="X31">
        <f>'Fats Raw Data'!AQ31-'Fats Raw Data'!BA31</f>
        <v>0</v>
      </c>
      <c r="Y31">
        <f>'Fats Raw Data'!AR31-'Fats Raw Data'!BB31</f>
        <v>0</v>
      </c>
      <c r="Z31">
        <f>'Fats Raw Data'!AS31-'Fats Raw Data'!BC31</f>
        <v>0</v>
      </c>
      <c r="AA31" t="str">
        <f>'Fats Raw Data'!AW31&amp;" - "&amp;'Fats Raw Data'!BG31</f>
        <v xml:space="preserve"> - </v>
      </c>
      <c r="AC31" s="1">
        <f>'Fats Raw Data'!AY31</f>
        <v>0</v>
      </c>
      <c r="AD31">
        <f>'Fats Raw Data'!AZ31-'Fats Raw Data'!B31</f>
        <v>0</v>
      </c>
      <c r="AE31">
        <f>'Fats Raw Data'!BA31-'Fats Raw Data'!C31</f>
        <v>0</v>
      </c>
      <c r="AF31">
        <f>'Fats Raw Data'!BB31-'Fats Raw Data'!D31</f>
        <v>0</v>
      </c>
      <c r="AG31">
        <f>'Fats Raw Data'!BC31-'Fats Raw Data'!E31</f>
        <v>0</v>
      </c>
      <c r="AH31" t="str">
        <f>'Fats Raw Data'!BG31&amp;" - "&amp;'Fats Raw Data'!I31</f>
        <v xml:space="preserve"> - </v>
      </c>
      <c r="AJ31" s="1">
        <f>'Fats Raw Data'!A31</f>
        <v>0</v>
      </c>
      <c r="AK31">
        <f>'Fats Raw Data'!B31-'Fats Raw Data'!L31</f>
        <v>0</v>
      </c>
      <c r="AL31">
        <f>'Fats Raw Data'!C31-'Fats Raw Data'!M31</f>
        <v>0</v>
      </c>
      <c r="AM31">
        <f>'Fats Raw Data'!D31-'Fats Raw Data'!N31</f>
        <v>0</v>
      </c>
      <c r="AN31">
        <f>'Fats Raw Data'!E31-'Fats Raw Data'!O31</f>
        <v>0</v>
      </c>
      <c r="AO31" t="str">
        <f>'Fats Raw Data'!I31&amp;" - "&amp;'Fats Raw Data'!S31</f>
        <v xml:space="preserve"> - </v>
      </c>
      <c r="AQ31" s="1">
        <f>'Fats Raw Data'!AE31</f>
        <v>0</v>
      </c>
      <c r="AR31">
        <f>'Fats Raw Data'!AF31-'Fats Raw Data'!AZ31</f>
        <v>0</v>
      </c>
      <c r="AS31">
        <f>'Fats Raw Data'!AG31-'Fats Raw Data'!BA31</f>
        <v>0</v>
      </c>
      <c r="AT31">
        <f>'Fats Raw Data'!AH31-'Fats Raw Data'!BB31</f>
        <v>0</v>
      </c>
      <c r="AU31">
        <f>'Fats Raw Data'!AI31-'Fats Raw Data'!BC31</f>
        <v>0</v>
      </c>
      <c r="AV31" t="str">
        <f>'Fats Raw Data'!AM31&amp;" - "&amp;'Fats Raw Data'!BG31</f>
        <v xml:space="preserve"> - </v>
      </c>
      <c r="AX31" s="1">
        <f>'Fats Raw Data'!A31</f>
        <v>0</v>
      </c>
      <c r="AY31">
        <f>'Fats Raw Data'!B31-'Fats Raw Data'!V31</f>
        <v>0</v>
      </c>
      <c r="AZ31">
        <f>'Fats Raw Data'!C31-'Fats Raw Data'!W31</f>
        <v>0</v>
      </c>
      <c r="BA31">
        <f>'Fats Raw Data'!D31-'Fats Raw Data'!X31</f>
        <v>0</v>
      </c>
      <c r="BB31">
        <f>'Fats Raw Data'!E31-'Fats Raw Data'!Y31</f>
        <v>0</v>
      </c>
      <c r="BC31" t="str">
        <f>'Fats Raw Data'!I31&amp;" - "&amp;'Fats Raw Data'!AC31</f>
        <v xml:space="preserve"> - </v>
      </c>
      <c r="BE31" s="1">
        <f>'Fats Raw Data'!K31</f>
        <v>0</v>
      </c>
      <c r="BF31">
        <f>'Fats Raw Data'!L31-'Fats Raw Data'!AF31</f>
        <v>0</v>
      </c>
      <c r="BG31">
        <f>'Fats Raw Data'!M31-'Fats Raw Data'!AG31</f>
        <v>0</v>
      </c>
      <c r="BH31">
        <f>'Fats Raw Data'!N31-'Fats Raw Data'!AH31</f>
        <v>0</v>
      </c>
      <c r="BI31">
        <f>'Fats Raw Data'!O31-'Fats Raw Data'!AI31</f>
        <v>0</v>
      </c>
      <c r="BJ31" t="str">
        <f>'Fats Raw Data'!S31&amp;" - "&amp;'Fats Raw Data'!AM31</f>
        <v xml:space="preserve"> - </v>
      </c>
    </row>
    <row r="32" spans="1:62" x14ac:dyDescent="0.25">
      <c r="A32" s="1">
        <f>'Fats Raw Data'!K32</f>
        <v>0</v>
      </c>
      <c r="B32">
        <f>'Fats Raw Data'!L32-'Fats Raw Data'!V32</f>
        <v>0</v>
      </c>
      <c r="C32">
        <f>'Fats Raw Data'!M32-'Fats Raw Data'!W32</f>
        <v>0</v>
      </c>
      <c r="D32">
        <f>'Fats Raw Data'!N32-'Fats Raw Data'!X32</f>
        <v>0</v>
      </c>
      <c r="E32">
        <f>'Fats Raw Data'!O32-'Fats Raw Data'!Y32</f>
        <v>0</v>
      </c>
      <c r="F32" t="str">
        <f>'Fats Raw Data'!S32&amp;" - "&amp;'Fats Raw Data'!AC32</f>
        <v xml:space="preserve"> - </v>
      </c>
      <c r="H32" s="1">
        <f>'Fats Raw Data'!U32</f>
        <v>0</v>
      </c>
      <c r="I32">
        <f>'Fats Raw Data'!V32-'Fats Raw Data'!AF32</f>
        <v>0</v>
      </c>
      <c r="J32">
        <f>'Fats Raw Data'!W32-'Fats Raw Data'!AG32</f>
        <v>0</v>
      </c>
      <c r="K32">
        <f>'Fats Raw Data'!X32-'Fats Raw Data'!AH32</f>
        <v>0</v>
      </c>
      <c r="L32">
        <f>'Fats Raw Data'!Y32-'Fats Raw Data'!AI32</f>
        <v>0</v>
      </c>
      <c r="M32" t="str">
        <f>'Fats Raw Data'!AC32&amp;" - "&amp;'Fats Raw Data'!AM32</f>
        <v xml:space="preserve"> - </v>
      </c>
      <c r="O32" s="1">
        <f>'Fats Raw Data'!AE32</f>
        <v>0</v>
      </c>
      <c r="P32">
        <f>'Fats Raw Data'!AF32-'Fats Raw Data'!AP32</f>
        <v>0</v>
      </c>
      <c r="Q32">
        <f>'Fats Raw Data'!AG32-'Fats Raw Data'!AQ32</f>
        <v>0</v>
      </c>
      <c r="R32">
        <f>'Fats Raw Data'!AH32-'Fats Raw Data'!AR32</f>
        <v>0</v>
      </c>
      <c r="S32">
        <f>'Fats Raw Data'!AI32-'Fats Raw Data'!AS32</f>
        <v>0</v>
      </c>
      <c r="T32" t="str">
        <f>'Fats Raw Data'!AM32&amp;" - "&amp;'Fats Raw Data'!AW32</f>
        <v xml:space="preserve"> - </v>
      </c>
      <c r="V32" s="1">
        <f>'Fats Raw Data'!AO32</f>
        <v>0</v>
      </c>
      <c r="W32">
        <f>'Fats Raw Data'!AP32-'Fats Raw Data'!AZ32</f>
        <v>0</v>
      </c>
      <c r="X32">
        <f>'Fats Raw Data'!AQ32-'Fats Raw Data'!BA32</f>
        <v>0</v>
      </c>
      <c r="Y32">
        <f>'Fats Raw Data'!AR32-'Fats Raw Data'!BB32</f>
        <v>0</v>
      </c>
      <c r="Z32">
        <f>'Fats Raw Data'!AS32-'Fats Raw Data'!BC32</f>
        <v>0</v>
      </c>
      <c r="AA32" t="str">
        <f>'Fats Raw Data'!AW32&amp;" - "&amp;'Fats Raw Data'!BG32</f>
        <v xml:space="preserve"> - </v>
      </c>
      <c r="AC32" s="1">
        <f>'Fats Raw Data'!AY32</f>
        <v>0</v>
      </c>
      <c r="AD32">
        <f>'Fats Raw Data'!AZ32-'Fats Raw Data'!B32</f>
        <v>0</v>
      </c>
      <c r="AE32">
        <f>'Fats Raw Data'!BA32-'Fats Raw Data'!C32</f>
        <v>0</v>
      </c>
      <c r="AF32">
        <f>'Fats Raw Data'!BB32-'Fats Raw Data'!D32</f>
        <v>0</v>
      </c>
      <c r="AG32">
        <f>'Fats Raw Data'!BC32-'Fats Raw Data'!E32</f>
        <v>0</v>
      </c>
      <c r="AH32" t="str">
        <f>'Fats Raw Data'!BG32&amp;" - "&amp;'Fats Raw Data'!I32</f>
        <v xml:space="preserve"> - </v>
      </c>
      <c r="AJ32" s="1">
        <f>'Fats Raw Data'!A32</f>
        <v>0</v>
      </c>
      <c r="AK32">
        <f>'Fats Raw Data'!B32-'Fats Raw Data'!L32</f>
        <v>0</v>
      </c>
      <c r="AL32">
        <f>'Fats Raw Data'!C32-'Fats Raw Data'!M32</f>
        <v>0</v>
      </c>
      <c r="AM32">
        <f>'Fats Raw Data'!D32-'Fats Raw Data'!N32</f>
        <v>0</v>
      </c>
      <c r="AN32">
        <f>'Fats Raw Data'!E32-'Fats Raw Data'!O32</f>
        <v>0</v>
      </c>
      <c r="AO32" t="str">
        <f>'Fats Raw Data'!I32&amp;" - "&amp;'Fats Raw Data'!S32</f>
        <v xml:space="preserve"> - </v>
      </c>
      <c r="AQ32" s="1">
        <f>'Fats Raw Data'!AE32</f>
        <v>0</v>
      </c>
      <c r="AR32">
        <f>'Fats Raw Data'!AF32-'Fats Raw Data'!AZ32</f>
        <v>0</v>
      </c>
      <c r="AS32">
        <f>'Fats Raw Data'!AG32-'Fats Raw Data'!BA32</f>
        <v>0</v>
      </c>
      <c r="AT32">
        <f>'Fats Raw Data'!AH32-'Fats Raw Data'!BB32</f>
        <v>0</v>
      </c>
      <c r="AU32">
        <f>'Fats Raw Data'!AI32-'Fats Raw Data'!BC32</f>
        <v>0</v>
      </c>
      <c r="AV32" t="str">
        <f>'Fats Raw Data'!AM32&amp;" - "&amp;'Fats Raw Data'!BG32</f>
        <v xml:space="preserve"> - </v>
      </c>
      <c r="AX32" s="1">
        <f>'Fats Raw Data'!A32</f>
        <v>0</v>
      </c>
      <c r="AY32">
        <f>'Fats Raw Data'!B32-'Fats Raw Data'!V32</f>
        <v>0</v>
      </c>
      <c r="AZ32">
        <f>'Fats Raw Data'!C32-'Fats Raw Data'!W32</f>
        <v>0</v>
      </c>
      <c r="BA32">
        <f>'Fats Raw Data'!D32-'Fats Raw Data'!X32</f>
        <v>0</v>
      </c>
      <c r="BB32">
        <f>'Fats Raw Data'!E32-'Fats Raw Data'!Y32</f>
        <v>0</v>
      </c>
      <c r="BC32" t="str">
        <f>'Fats Raw Data'!I32&amp;" - "&amp;'Fats Raw Data'!AC32</f>
        <v xml:space="preserve"> - </v>
      </c>
      <c r="BE32" s="1">
        <f>'Fats Raw Data'!K32</f>
        <v>0</v>
      </c>
      <c r="BF32">
        <f>'Fats Raw Data'!L32-'Fats Raw Data'!AF32</f>
        <v>0</v>
      </c>
      <c r="BG32">
        <f>'Fats Raw Data'!M32-'Fats Raw Data'!AG32</f>
        <v>0</v>
      </c>
      <c r="BH32">
        <f>'Fats Raw Data'!N32-'Fats Raw Data'!AH32</f>
        <v>0</v>
      </c>
      <c r="BI32">
        <f>'Fats Raw Data'!O32-'Fats Raw Data'!AI32</f>
        <v>0</v>
      </c>
      <c r="BJ32" t="str">
        <f>'Fats Raw Data'!S32&amp;" - "&amp;'Fats Raw Data'!AM32</f>
        <v xml:space="preserve"> - </v>
      </c>
    </row>
    <row r="33" spans="1:62" x14ac:dyDescent="0.25">
      <c r="A33" s="1">
        <f>'Fats Raw Data'!K33</f>
        <v>0</v>
      </c>
      <c r="B33">
        <f>'Fats Raw Data'!L33-'Fats Raw Data'!V33</f>
        <v>0</v>
      </c>
      <c r="C33">
        <f>'Fats Raw Data'!M33-'Fats Raw Data'!W33</f>
        <v>0</v>
      </c>
      <c r="D33">
        <f>'Fats Raw Data'!N33-'Fats Raw Data'!X33</f>
        <v>0</v>
      </c>
      <c r="E33">
        <f>'Fats Raw Data'!O33-'Fats Raw Data'!Y33</f>
        <v>0</v>
      </c>
      <c r="F33" t="str">
        <f>'Fats Raw Data'!S33&amp;" - "&amp;'Fats Raw Data'!AC33</f>
        <v xml:space="preserve"> - </v>
      </c>
      <c r="H33" s="1">
        <f>'Fats Raw Data'!U33</f>
        <v>0</v>
      </c>
      <c r="I33">
        <f>'Fats Raw Data'!V33-'Fats Raw Data'!AF33</f>
        <v>0</v>
      </c>
      <c r="J33">
        <f>'Fats Raw Data'!W33-'Fats Raw Data'!AG33</f>
        <v>0</v>
      </c>
      <c r="K33">
        <f>'Fats Raw Data'!X33-'Fats Raw Data'!AH33</f>
        <v>0</v>
      </c>
      <c r="L33">
        <f>'Fats Raw Data'!Y33-'Fats Raw Data'!AI33</f>
        <v>0</v>
      </c>
      <c r="M33" t="str">
        <f>'Fats Raw Data'!AC33&amp;" - "&amp;'Fats Raw Data'!AM33</f>
        <v xml:space="preserve"> - </v>
      </c>
      <c r="O33" s="1">
        <f>'Fats Raw Data'!AE33</f>
        <v>0</v>
      </c>
      <c r="P33">
        <f>'Fats Raw Data'!AF33-'Fats Raw Data'!AP33</f>
        <v>0</v>
      </c>
      <c r="Q33">
        <f>'Fats Raw Data'!AG33-'Fats Raw Data'!AQ33</f>
        <v>0</v>
      </c>
      <c r="R33">
        <f>'Fats Raw Data'!AH33-'Fats Raw Data'!AR33</f>
        <v>0</v>
      </c>
      <c r="S33">
        <f>'Fats Raw Data'!AI33-'Fats Raw Data'!AS33</f>
        <v>0</v>
      </c>
      <c r="T33" t="str">
        <f>'Fats Raw Data'!AM33&amp;" - "&amp;'Fats Raw Data'!AW33</f>
        <v xml:space="preserve"> - </v>
      </c>
      <c r="V33" s="1">
        <f>'Fats Raw Data'!AO33</f>
        <v>0</v>
      </c>
      <c r="W33">
        <f>'Fats Raw Data'!AP33-'Fats Raw Data'!AZ33</f>
        <v>0</v>
      </c>
      <c r="X33">
        <f>'Fats Raw Data'!AQ33-'Fats Raw Data'!BA33</f>
        <v>0</v>
      </c>
      <c r="Y33">
        <f>'Fats Raw Data'!AR33-'Fats Raw Data'!BB33</f>
        <v>0</v>
      </c>
      <c r="Z33">
        <f>'Fats Raw Data'!AS33-'Fats Raw Data'!BC33</f>
        <v>0</v>
      </c>
      <c r="AA33" t="str">
        <f>'Fats Raw Data'!AW33&amp;" - "&amp;'Fats Raw Data'!BG33</f>
        <v xml:space="preserve"> - </v>
      </c>
      <c r="AC33" s="1">
        <f>'Fats Raw Data'!AY33</f>
        <v>0</v>
      </c>
      <c r="AD33">
        <f>'Fats Raw Data'!AZ33-'Fats Raw Data'!B33</f>
        <v>0</v>
      </c>
      <c r="AE33">
        <f>'Fats Raw Data'!BA33-'Fats Raw Data'!C33</f>
        <v>0</v>
      </c>
      <c r="AF33">
        <f>'Fats Raw Data'!BB33-'Fats Raw Data'!D33</f>
        <v>0</v>
      </c>
      <c r="AG33">
        <f>'Fats Raw Data'!BC33-'Fats Raw Data'!E33</f>
        <v>0</v>
      </c>
      <c r="AH33" t="str">
        <f>'Fats Raw Data'!BG33&amp;" - "&amp;'Fats Raw Data'!I33</f>
        <v xml:space="preserve"> - </v>
      </c>
      <c r="AJ33" s="1">
        <f>'Fats Raw Data'!A33</f>
        <v>0</v>
      </c>
      <c r="AK33">
        <f>'Fats Raw Data'!B33-'Fats Raw Data'!L33</f>
        <v>0</v>
      </c>
      <c r="AL33">
        <f>'Fats Raw Data'!C33-'Fats Raw Data'!M33</f>
        <v>0</v>
      </c>
      <c r="AM33">
        <f>'Fats Raw Data'!D33-'Fats Raw Data'!N33</f>
        <v>0</v>
      </c>
      <c r="AN33">
        <f>'Fats Raw Data'!E33-'Fats Raw Data'!O33</f>
        <v>0</v>
      </c>
      <c r="AO33" t="str">
        <f>'Fats Raw Data'!I33&amp;" - "&amp;'Fats Raw Data'!S33</f>
        <v xml:space="preserve"> - </v>
      </c>
      <c r="AQ33" s="1">
        <f>'Fats Raw Data'!AE33</f>
        <v>0</v>
      </c>
      <c r="AR33">
        <f>'Fats Raw Data'!AF33-'Fats Raw Data'!AZ33</f>
        <v>0</v>
      </c>
      <c r="AS33">
        <f>'Fats Raw Data'!AG33-'Fats Raw Data'!BA33</f>
        <v>0</v>
      </c>
      <c r="AT33">
        <f>'Fats Raw Data'!AH33-'Fats Raw Data'!BB33</f>
        <v>0</v>
      </c>
      <c r="AU33">
        <f>'Fats Raw Data'!AI33-'Fats Raw Data'!BC33</f>
        <v>0</v>
      </c>
      <c r="AV33" t="str">
        <f>'Fats Raw Data'!AM33&amp;" - "&amp;'Fats Raw Data'!BG33</f>
        <v xml:space="preserve"> - </v>
      </c>
      <c r="AX33" s="1">
        <f>'Fats Raw Data'!A33</f>
        <v>0</v>
      </c>
      <c r="AY33">
        <f>'Fats Raw Data'!B33-'Fats Raw Data'!V33</f>
        <v>0</v>
      </c>
      <c r="AZ33">
        <f>'Fats Raw Data'!C33-'Fats Raw Data'!W33</f>
        <v>0</v>
      </c>
      <c r="BA33">
        <f>'Fats Raw Data'!D33-'Fats Raw Data'!X33</f>
        <v>0</v>
      </c>
      <c r="BB33">
        <f>'Fats Raw Data'!E33-'Fats Raw Data'!Y33</f>
        <v>0</v>
      </c>
      <c r="BC33" t="str">
        <f>'Fats Raw Data'!I33&amp;" - "&amp;'Fats Raw Data'!AC33</f>
        <v xml:space="preserve"> - </v>
      </c>
      <c r="BE33" s="1">
        <f>'Fats Raw Data'!K33</f>
        <v>0</v>
      </c>
      <c r="BF33">
        <f>'Fats Raw Data'!L33-'Fats Raw Data'!AF33</f>
        <v>0</v>
      </c>
      <c r="BG33">
        <f>'Fats Raw Data'!M33-'Fats Raw Data'!AG33</f>
        <v>0</v>
      </c>
      <c r="BH33">
        <f>'Fats Raw Data'!N33-'Fats Raw Data'!AH33</f>
        <v>0</v>
      </c>
      <c r="BI33">
        <f>'Fats Raw Data'!O33-'Fats Raw Data'!AI33</f>
        <v>0</v>
      </c>
      <c r="BJ33" t="str">
        <f>'Fats Raw Data'!S33&amp;" - "&amp;'Fats Raw Data'!AM33</f>
        <v xml:space="preserve"> - </v>
      </c>
    </row>
    <row r="34" spans="1:62" x14ac:dyDescent="0.25">
      <c r="A34" s="1">
        <f>'Fats Raw Data'!K34</f>
        <v>0</v>
      </c>
      <c r="B34">
        <f>'Fats Raw Data'!L34-'Fats Raw Data'!V34</f>
        <v>0</v>
      </c>
      <c r="C34">
        <f>'Fats Raw Data'!M34-'Fats Raw Data'!W34</f>
        <v>0</v>
      </c>
      <c r="D34">
        <f>'Fats Raw Data'!N34-'Fats Raw Data'!X34</f>
        <v>0</v>
      </c>
      <c r="E34">
        <f>'Fats Raw Data'!O34-'Fats Raw Data'!Y34</f>
        <v>0</v>
      </c>
      <c r="F34" t="str">
        <f>'Fats Raw Data'!S34&amp;" - "&amp;'Fats Raw Data'!AC34</f>
        <v xml:space="preserve"> - </v>
      </c>
      <c r="H34" s="1">
        <f>'Fats Raw Data'!U34</f>
        <v>0</v>
      </c>
      <c r="I34">
        <f>'Fats Raw Data'!V34-'Fats Raw Data'!AF34</f>
        <v>0</v>
      </c>
      <c r="J34">
        <f>'Fats Raw Data'!W34-'Fats Raw Data'!AG34</f>
        <v>0</v>
      </c>
      <c r="K34">
        <f>'Fats Raw Data'!X34-'Fats Raw Data'!AH34</f>
        <v>0</v>
      </c>
      <c r="L34">
        <f>'Fats Raw Data'!Y34-'Fats Raw Data'!AI34</f>
        <v>0</v>
      </c>
      <c r="M34" t="str">
        <f>'Fats Raw Data'!AC34&amp;" - "&amp;'Fats Raw Data'!AM34</f>
        <v xml:space="preserve"> - </v>
      </c>
      <c r="O34" s="1">
        <f>'Fats Raw Data'!AE34</f>
        <v>0</v>
      </c>
      <c r="P34">
        <f>'Fats Raw Data'!AF34-'Fats Raw Data'!AP34</f>
        <v>0</v>
      </c>
      <c r="Q34">
        <f>'Fats Raw Data'!AG34-'Fats Raw Data'!AQ34</f>
        <v>0</v>
      </c>
      <c r="R34">
        <f>'Fats Raw Data'!AH34-'Fats Raw Data'!AR34</f>
        <v>0</v>
      </c>
      <c r="S34">
        <f>'Fats Raw Data'!AI34-'Fats Raw Data'!AS34</f>
        <v>0</v>
      </c>
      <c r="T34" t="str">
        <f>'Fats Raw Data'!AM34&amp;" - "&amp;'Fats Raw Data'!AW34</f>
        <v xml:space="preserve"> - </v>
      </c>
      <c r="V34" s="1">
        <f>'Fats Raw Data'!AO34</f>
        <v>0</v>
      </c>
      <c r="W34">
        <f>'Fats Raw Data'!AP34-'Fats Raw Data'!AZ34</f>
        <v>0</v>
      </c>
      <c r="X34">
        <f>'Fats Raw Data'!AQ34-'Fats Raw Data'!BA34</f>
        <v>0</v>
      </c>
      <c r="Y34">
        <f>'Fats Raw Data'!AR34-'Fats Raw Data'!BB34</f>
        <v>0</v>
      </c>
      <c r="Z34">
        <f>'Fats Raw Data'!AS34-'Fats Raw Data'!BC34</f>
        <v>0</v>
      </c>
      <c r="AA34" t="str">
        <f>'Fats Raw Data'!AW34&amp;" - "&amp;'Fats Raw Data'!BG34</f>
        <v xml:space="preserve"> - </v>
      </c>
      <c r="AC34" s="1">
        <f>'Fats Raw Data'!AY34</f>
        <v>0</v>
      </c>
      <c r="AD34">
        <f>'Fats Raw Data'!AZ34-'Fats Raw Data'!B34</f>
        <v>0</v>
      </c>
      <c r="AE34">
        <f>'Fats Raw Data'!BA34-'Fats Raw Data'!C34</f>
        <v>0</v>
      </c>
      <c r="AF34">
        <f>'Fats Raw Data'!BB34-'Fats Raw Data'!D34</f>
        <v>0</v>
      </c>
      <c r="AG34">
        <f>'Fats Raw Data'!BC34-'Fats Raw Data'!E34</f>
        <v>0</v>
      </c>
      <c r="AH34" t="str">
        <f>'Fats Raw Data'!BG34&amp;" - "&amp;'Fats Raw Data'!I34</f>
        <v xml:space="preserve"> - </v>
      </c>
      <c r="AJ34" s="1">
        <f>'Fats Raw Data'!A34</f>
        <v>0</v>
      </c>
      <c r="AK34">
        <f>'Fats Raw Data'!B34-'Fats Raw Data'!L34</f>
        <v>0</v>
      </c>
      <c r="AL34">
        <f>'Fats Raw Data'!C34-'Fats Raw Data'!M34</f>
        <v>0</v>
      </c>
      <c r="AM34">
        <f>'Fats Raw Data'!D34-'Fats Raw Data'!N34</f>
        <v>0</v>
      </c>
      <c r="AN34">
        <f>'Fats Raw Data'!E34-'Fats Raw Data'!O34</f>
        <v>0</v>
      </c>
      <c r="AO34" t="str">
        <f>'Fats Raw Data'!I34&amp;" - "&amp;'Fats Raw Data'!S34</f>
        <v xml:space="preserve"> - </v>
      </c>
      <c r="AQ34" s="1">
        <f>'Fats Raw Data'!AE34</f>
        <v>0</v>
      </c>
      <c r="AR34">
        <f>'Fats Raw Data'!AF34-'Fats Raw Data'!AZ34</f>
        <v>0</v>
      </c>
      <c r="AS34">
        <f>'Fats Raw Data'!AG34-'Fats Raw Data'!BA34</f>
        <v>0</v>
      </c>
      <c r="AT34">
        <f>'Fats Raw Data'!AH34-'Fats Raw Data'!BB34</f>
        <v>0</v>
      </c>
      <c r="AU34">
        <f>'Fats Raw Data'!AI34-'Fats Raw Data'!BC34</f>
        <v>0</v>
      </c>
      <c r="AV34" t="str">
        <f>'Fats Raw Data'!AM34&amp;" - "&amp;'Fats Raw Data'!BG34</f>
        <v xml:space="preserve"> - </v>
      </c>
      <c r="AX34" s="1">
        <f>'Fats Raw Data'!A34</f>
        <v>0</v>
      </c>
      <c r="AY34">
        <f>'Fats Raw Data'!B34-'Fats Raw Data'!V34</f>
        <v>0</v>
      </c>
      <c r="AZ34">
        <f>'Fats Raw Data'!C34-'Fats Raw Data'!W34</f>
        <v>0</v>
      </c>
      <c r="BA34">
        <f>'Fats Raw Data'!D34-'Fats Raw Data'!X34</f>
        <v>0</v>
      </c>
      <c r="BB34">
        <f>'Fats Raw Data'!E34-'Fats Raw Data'!Y34</f>
        <v>0</v>
      </c>
      <c r="BC34" t="str">
        <f>'Fats Raw Data'!I34&amp;" - "&amp;'Fats Raw Data'!AC34</f>
        <v xml:space="preserve"> - </v>
      </c>
      <c r="BE34" s="1">
        <f>'Fats Raw Data'!K34</f>
        <v>0</v>
      </c>
      <c r="BF34">
        <f>'Fats Raw Data'!L34-'Fats Raw Data'!AF34</f>
        <v>0</v>
      </c>
      <c r="BG34">
        <f>'Fats Raw Data'!M34-'Fats Raw Data'!AG34</f>
        <v>0</v>
      </c>
      <c r="BH34">
        <f>'Fats Raw Data'!N34-'Fats Raw Data'!AH34</f>
        <v>0</v>
      </c>
      <c r="BI34">
        <f>'Fats Raw Data'!O34-'Fats Raw Data'!AI34</f>
        <v>0</v>
      </c>
      <c r="BJ34" t="str">
        <f>'Fats Raw Data'!S34&amp;" - "&amp;'Fats Raw Data'!AM34</f>
        <v xml:space="preserve"> - </v>
      </c>
    </row>
    <row r="35" spans="1:62" x14ac:dyDescent="0.25">
      <c r="A35" s="1">
        <f>'Fats Raw Data'!K35</f>
        <v>0</v>
      </c>
      <c r="B35">
        <f>'Fats Raw Data'!L35-'Fats Raw Data'!V35</f>
        <v>0</v>
      </c>
      <c r="C35">
        <f>'Fats Raw Data'!M35-'Fats Raw Data'!W35</f>
        <v>0</v>
      </c>
      <c r="D35">
        <f>'Fats Raw Data'!N35-'Fats Raw Data'!X35</f>
        <v>0</v>
      </c>
      <c r="E35">
        <f>'Fats Raw Data'!O35-'Fats Raw Data'!Y35</f>
        <v>0</v>
      </c>
      <c r="F35" t="str">
        <f>'Fats Raw Data'!S35&amp;" - "&amp;'Fats Raw Data'!AC35</f>
        <v xml:space="preserve"> - </v>
      </c>
      <c r="H35" s="1">
        <f>'Fats Raw Data'!U35</f>
        <v>0</v>
      </c>
      <c r="I35">
        <f>'Fats Raw Data'!V35-'Fats Raw Data'!AF35</f>
        <v>0</v>
      </c>
      <c r="J35">
        <f>'Fats Raw Data'!W35-'Fats Raw Data'!AG35</f>
        <v>0</v>
      </c>
      <c r="K35">
        <f>'Fats Raw Data'!X35-'Fats Raw Data'!AH35</f>
        <v>0</v>
      </c>
      <c r="L35">
        <f>'Fats Raw Data'!Y35-'Fats Raw Data'!AI35</f>
        <v>0</v>
      </c>
      <c r="M35" t="str">
        <f>'Fats Raw Data'!AC35&amp;" - "&amp;'Fats Raw Data'!AM35</f>
        <v xml:space="preserve"> - </v>
      </c>
      <c r="O35" s="1">
        <f>'Fats Raw Data'!AE35</f>
        <v>0</v>
      </c>
      <c r="P35">
        <f>'Fats Raw Data'!AF35-'Fats Raw Data'!AP35</f>
        <v>0</v>
      </c>
      <c r="Q35">
        <f>'Fats Raw Data'!AG35-'Fats Raw Data'!AQ35</f>
        <v>0</v>
      </c>
      <c r="R35">
        <f>'Fats Raw Data'!AH35-'Fats Raw Data'!AR35</f>
        <v>0</v>
      </c>
      <c r="S35">
        <f>'Fats Raw Data'!AI35-'Fats Raw Data'!AS35</f>
        <v>0</v>
      </c>
      <c r="T35" t="str">
        <f>'Fats Raw Data'!AM35&amp;" - "&amp;'Fats Raw Data'!AW35</f>
        <v xml:space="preserve"> - </v>
      </c>
      <c r="V35" s="1">
        <f>'Fats Raw Data'!AO35</f>
        <v>0</v>
      </c>
      <c r="W35">
        <f>'Fats Raw Data'!AP35-'Fats Raw Data'!AZ35</f>
        <v>0</v>
      </c>
      <c r="X35">
        <f>'Fats Raw Data'!AQ35-'Fats Raw Data'!BA35</f>
        <v>0</v>
      </c>
      <c r="Y35">
        <f>'Fats Raw Data'!AR35-'Fats Raw Data'!BB35</f>
        <v>0</v>
      </c>
      <c r="Z35">
        <f>'Fats Raw Data'!AS35-'Fats Raw Data'!BC35</f>
        <v>0</v>
      </c>
      <c r="AA35" t="str">
        <f>'Fats Raw Data'!AW35&amp;" - "&amp;'Fats Raw Data'!BG35</f>
        <v xml:space="preserve"> - </v>
      </c>
      <c r="AC35" s="1">
        <f>'Fats Raw Data'!AY35</f>
        <v>0</v>
      </c>
      <c r="AD35">
        <f>'Fats Raw Data'!AZ35-'Fats Raw Data'!B35</f>
        <v>0</v>
      </c>
      <c r="AE35">
        <f>'Fats Raw Data'!BA35-'Fats Raw Data'!C35</f>
        <v>0</v>
      </c>
      <c r="AF35">
        <f>'Fats Raw Data'!BB35-'Fats Raw Data'!D35</f>
        <v>0</v>
      </c>
      <c r="AG35">
        <f>'Fats Raw Data'!BC35-'Fats Raw Data'!E35</f>
        <v>0</v>
      </c>
      <c r="AH35" t="str">
        <f>'Fats Raw Data'!BG35&amp;" - "&amp;'Fats Raw Data'!I35</f>
        <v xml:space="preserve"> - </v>
      </c>
      <c r="AJ35" s="1">
        <f>'Fats Raw Data'!A35</f>
        <v>0</v>
      </c>
      <c r="AK35">
        <f>'Fats Raw Data'!B35-'Fats Raw Data'!L35</f>
        <v>0</v>
      </c>
      <c r="AL35">
        <f>'Fats Raw Data'!C35-'Fats Raw Data'!M35</f>
        <v>0</v>
      </c>
      <c r="AM35">
        <f>'Fats Raw Data'!D35-'Fats Raw Data'!N35</f>
        <v>0</v>
      </c>
      <c r="AN35">
        <f>'Fats Raw Data'!E35-'Fats Raw Data'!O35</f>
        <v>0</v>
      </c>
      <c r="AO35" t="str">
        <f>'Fats Raw Data'!I35&amp;" - "&amp;'Fats Raw Data'!S35</f>
        <v xml:space="preserve"> - </v>
      </c>
      <c r="AQ35" s="1">
        <f>'Fats Raw Data'!AE35</f>
        <v>0</v>
      </c>
      <c r="AR35">
        <f>'Fats Raw Data'!AF35-'Fats Raw Data'!AZ35</f>
        <v>0</v>
      </c>
      <c r="AS35">
        <f>'Fats Raw Data'!AG35-'Fats Raw Data'!BA35</f>
        <v>0</v>
      </c>
      <c r="AT35">
        <f>'Fats Raw Data'!AH35-'Fats Raw Data'!BB35</f>
        <v>0</v>
      </c>
      <c r="AU35">
        <f>'Fats Raw Data'!AI35-'Fats Raw Data'!BC35</f>
        <v>0</v>
      </c>
      <c r="AV35" t="str">
        <f>'Fats Raw Data'!AM35&amp;" - "&amp;'Fats Raw Data'!BG35</f>
        <v xml:space="preserve"> - </v>
      </c>
      <c r="AX35" s="1">
        <f>'Fats Raw Data'!A35</f>
        <v>0</v>
      </c>
      <c r="AY35">
        <f>'Fats Raw Data'!B35-'Fats Raw Data'!V35</f>
        <v>0</v>
      </c>
      <c r="AZ35">
        <f>'Fats Raw Data'!C35-'Fats Raw Data'!W35</f>
        <v>0</v>
      </c>
      <c r="BA35">
        <f>'Fats Raw Data'!D35-'Fats Raw Data'!X35</f>
        <v>0</v>
      </c>
      <c r="BB35">
        <f>'Fats Raw Data'!E35-'Fats Raw Data'!Y35</f>
        <v>0</v>
      </c>
      <c r="BC35" t="str">
        <f>'Fats Raw Data'!I35&amp;" - "&amp;'Fats Raw Data'!AC35</f>
        <v xml:space="preserve"> - </v>
      </c>
      <c r="BE35" s="1">
        <f>'Fats Raw Data'!K35</f>
        <v>0</v>
      </c>
      <c r="BF35">
        <f>'Fats Raw Data'!L35-'Fats Raw Data'!AF35</f>
        <v>0</v>
      </c>
      <c r="BG35">
        <f>'Fats Raw Data'!M35-'Fats Raw Data'!AG35</f>
        <v>0</v>
      </c>
      <c r="BH35">
        <f>'Fats Raw Data'!N35-'Fats Raw Data'!AH35</f>
        <v>0</v>
      </c>
      <c r="BI35">
        <f>'Fats Raw Data'!O35-'Fats Raw Data'!AI35</f>
        <v>0</v>
      </c>
      <c r="BJ35" t="str">
        <f>'Fats Raw Data'!S35&amp;" - "&amp;'Fats Raw Data'!AM35</f>
        <v xml:space="preserve"> - </v>
      </c>
    </row>
    <row r="36" spans="1:62" x14ac:dyDescent="0.25">
      <c r="A36" s="1">
        <f>'Fats Raw Data'!K36</f>
        <v>0</v>
      </c>
      <c r="B36">
        <f>'Fats Raw Data'!L36-'Fats Raw Data'!V36</f>
        <v>0</v>
      </c>
      <c r="C36">
        <f>'Fats Raw Data'!M36-'Fats Raw Data'!W36</f>
        <v>0</v>
      </c>
      <c r="D36">
        <f>'Fats Raw Data'!N36-'Fats Raw Data'!X36</f>
        <v>0</v>
      </c>
      <c r="E36">
        <f>'Fats Raw Data'!O36-'Fats Raw Data'!Y36</f>
        <v>0</v>
      </c>
      <c r="F36" t="str">
        <f>'Fats Raw Data'!S36&amp;" - "&amp;'Fats Raw Data'!AC36</f>
        <v xml:space="preserve"> - </v>
      </c>
      <c r="H36" s="1">
        <f>'Fats Raw Data'!U36</f>
        <v>0</v>
      </c>
      <c r="I36">
        <f>'Fats Raw Data'!V36-'Fats Raw Data'!AF36</f>
        <v>0</v>
      </c>
      <c r="J36">
        <f>'Fats Raw Data'!W36-'Fats Raw Data'!AG36</f>
        <v>0</v>
      </c>
      <c r="K36">
        <f>'Fats Raw Data'!X36-'Fats Raw Data'!AH36</f>
        <v>0</v>
      </c>
      <c r="L36">
        <f>'Fats Raw Data'!Y36-'Fats Raw Data'!AI36</f>
        <v>0</v>
      </c>
      <c r="M36" t="str">
        <f>'Fats Raw Data'!AC36&amp;" - "&amp;'Fats Raw Data'!AM36</f>
        <v xml:space="preserve"> - </v>
      </c>
      <c r="O36" s="1">
        <f>'Fats Raw Data'!AE36</f>
        <v>0</v>
      </c>
      <c r="P36">
        <f>'Fats Raw Data'!AF36-'Fats Raw Data'!AP36</f>
        <v>0</v>
      </c>
      <c r="Q36">
        <f>'Fats Raw Data'!AG36-'Fats Raw Data'!AQ36</f>
        <v>0</v>
      </c>
      <c r="R36">
        <f>'Fats Raw Data'!AH36-'Fats Raw Data'!AR36</f>
        <v>0</v>
      </c>
      <c r="S36">
        <f>'Fats Raw Data'!AI36-'Fats Raw Data'!AS36</f>
        <v>0</v>
      </c>
      <c r="T36" t="str">
        <f>'Fats Raw Data'!AM36&amp;" - "&amp;'Fats Raw Data'!AW36</f>
        <v xml:space="preserve"> - </v>
      </c>
      <c r="V36" s="1">
        <f>'Fats Raw Data'!AO36</f>
        <v>0</v>
      </c>
      <c r="W36">
        <f>'Fats Raw Data'!AP36-'Fats Raw Data'!AZ36</f>
        <v>0</v>
      </c>
      <c r="X36">
        <f>'Fats Raw Data'!AQ36-'Fats Raw Data'!BA36</f>
        <v>0</v>
      </c>
      <c r="Y36">
        <f>'Fats Raw Data'!AR36-'Fats Raw Data'!BB36</f>
        <v>0</v>
      </c>
      <c r="Z36">
        <f>'Fats Raw Data'!AS36-'Fats Raw Data'!BC36</f>
        <v>0</v>
      </c>
      <c r="AA36" t="str">
        <f>'Fats Raw Data'!AW36&amp;" - "&amp;'Fats Raw Data'!BG36</f>
        <v xml:space="preserve"> - </v>
      </c>
      <c r="AC36" s="1">
        <f>'Fats Raw Data'!AY36</f>
        <v>0</v>
      </c>
      <c r="AD36">
        <f>'Fats Raw Data'!AZ36-'Fats Raw Data'!B36</f>
        <v>0</v>
      </c>
      <c r="AE36">
        <f>'Fats Raw Data'!BA36-'Fats Raw Data'!C36</f>
        <v>0</v>
      </c>
      <c r="AF36">
        <f>'Fats Raw Data'!BB36-'Fats Raw Data'!D36</f>
        <v>0</v>
      </c>
      <c r="AG36">
        <f>'Fats Raw Data'!BC36-'Fats Raw Data'!E36</f>
        <v>0</v>
      </c>
      <c r="AH36" t="str">
        <f>'Fats Raw Data'!BG36&amp;" - "&amp;'Fats Raw Data'!I36</f>
        <v xml:space="preserve"> - </v>
      </c>
      <c r="AJ36" s="1">
        <f>'Fats Raw Data'!A36</f>
        <v>0</v>
      </c>
      <c r="AK36">
        <f>'Fats Raw Data'!B36-'Fats Raw Data'!L36</f>
        <v>0</v>
      </c>
      <c r="AL36">
        <f>'Fats Raw Data'!C36-'Fats Raw Data'!M36</f>
        <v>0</v>
      </c>
      <c r="AM36">
        <f>'Fats Raw Data'!D36-'Fats Raw Data'!N36</f>
        <v>0</v>
      </c>
      <c r="AN36">
        <f>'Fats Raw Data'!E36-'Fats Raw Data'!O36</f>
        <v>0</v>
      </c>
      <c r="AO36" t="str">
        <f>'Fats Raw Data'!I36&amp;" - "&amp;'Fats Raw Data'!S36</f>
        <v xml:space="preserve"> - </v>
      </c>
      <c r="AQ36" s="1">
        <f>'Fats Raw Data'!AE36</f>
        <v>0</v>
      </c>
      <c r="AR36">
        <f>'Fats Raw Data'!AF36-'Fats Raw Data'!AZ36</f>
        <v>0</v>
      </c>
      <c r="AS36">
        <f>'Fats Raw Data'!AG36-'Fats Raw Data'!BA36</f>
        <v>0</v>
      </c>
      <c r="AT36">
        <f>'Fats Raw Data'!AH36-'Fats Raw Data'!BB36</f>
        <v>0</v>
      </c>
      <c r="AU36">
        <f>'Fats Raw Data'!AI36-'Fats Raw Data'!BC36</f>
        <v>0</v>
      </c>
      <c r="AV36" t="str">
        <f>'Fats Raw Data'!AM36&amp;" - "&amp;'Fats Raw Data'!BG36</f>
        <v xml:space="preserve"> - </v>
      </c>
      <c r="AX36" s="1">
        <f>'Fats Raw Data'!A36</f>
        <v>0</v>
      </c>
      <c r="AY36">
        <f>'Fats Raw Data'!B36-'Fats Raw Data'!V36</f>
        <v>0</v>
      </c>
      <c r="AZ36">
        <f>'Fats Raw Data'!C36-'Fats Raw Data'!W36</f>
        <v>0</v>
      </c>
      <c r="BA36">
        <f>'Fats Raw Data'!D36-'Fats Raw Data'!X36</f>
        <v>0</v>
      </c>
      <c r="BB36">
        <f>'Fats Raw Data'!E36-'Fats Raw Data'!Y36</f>
        <v>0</v>
      </c>
      <c r="BC36" t="str">
        <f>'Fats Raw Data'!I36&amp;" - "&amp;'Fats Raw Data'!AC36</f>
        <v xml:space="preserve"> - </v>
      </c>
      <c r="BE36" s="1">
        <f>'Fats Raw Data'!K36</f>
        <v>0</v>
      </c>
      <c r="BF36">
        <f>'Fats Raw Data'!L36-'Fats Raw Data'!AF36</f>
        <v>0</v>
      </c>
      <c r="BG36">
        <f>'Fats Raw Data'!M36-'Fats Raw Data'!AG36</f>
        <v>0</v>
      </c>
      <c r="BH36">
        <f>'Fats Raw Data'!N36-'Fats Raw Data'!AH36</f>
        <v>0</v>
      </c>
      <c r="BI36">
        <f>'Fats Raw Data'!O36-'Fats Raw Data'!AI36</f>
        <v>0</v>
      </c>
      <c r="BJ36" t="str">
        <f>'Fats Raw Data'!S36&amp;" - "&amp;'Fats Raw Data'!AM36</f>
        <v xml:space="preserve"> - </v>
      </c>
    </row>
    <row r="37" spans="1:62" x14ac:dyDescent="0.25">
      <c r="A37" s="1">
        <f>'Fats Raw Data'!K37</f>
        <v>0</v>
      </c>
      <c r="B37">
        <f>'Fats Raw Data'!L37-'Fats Raw Data'!V37</f>
        <v>0</v>
      </c>
      <c r="C37">
        <f>'Fats Raw Data'!M37-'Fats Raw Data'!W37</f>
        <v>0</v>
      </c>
      <c r="D37">
        <f>'Fats Raw Data'!N37-'Fats Raw Data'!X37</f>
        <v>0</v>
      </c>
      <c r="E37">
        <f>'Fats Raw Data'!O37-'Fats Raw Data'!Y37</f>
        <v>0</v>
      </c>
      <c r="F37" t="str">
        <f>'Fats Raw Data'!S37&amp;" - "&amp;'Fats Raw Data'!AC37</f>
        <v xml:space="preserve"> - </v>
      </c>
      <c r="H37" s="1">
        <f>'Fats Raw Data'!U37</f>
        <v>0</v>
      </c>
      <c r="I37">
        <f>'Fats Raw Data'!V37-'Fats Raw Data'!AF37</f>
        <v>0</v>
      </c>
      <c r="J37">
        <f>'Fats Raw Data'!W37-'Fats Raw Data'!AG37</f>
        <v>0</v>
      </c>
      <c r="K37">
        <f>'Fats Raw Data'!X37-'Fats Raw Data'!AH37</f>
        <v>0</v>
      </c>
      <c r="L37">
        <f>'Fats Raw Data'!Y37-'Fats Raw Data'!AI37</f>
        <v>0</v>
      </c>
      <c r="M37" t="str">
        <f>'Fats Raw Data'!AC37&amp;" - "&amp;'Fats Raw Data'!AM37</f>
        <v xml:space="preserve"> - </v>
      </c>
      <c r="O37" s="1">
        <f>'Fats Raw Data'!AE37</f>
        <v>0</v>
      </c>
      <c r="P37">
        <f>'Fats Raw Data'!AF37-'Fats Raw Data'!AP37</f>
        <v>0</v>
      </c>
      <c r="Q37">
        <f>'Fats Raw Data'!AG37-'Fats Raw Data'!AQ37</f>
        <v>0</v>
      </c>
      <c r="R37">
        <f>'Fats Raw Data'!AH37-'Fats Raw Data'!AR37</f>
        <v>0</v>
      </c>
      <c r="S37">
        <f>'Fats Raw Data'!AI37-'Fats Raw Data'!AS37</f>
        <v>0</v>
      </c>
      <c r="T37" t="str">
        <f>'Fats Raw Data'!AM37&amp;" - "&amp;'Fats Raw Data'!AW37</f>
        <v xml:space="preserve"> - </v>
      </c>
      <c r="V37" s="1">
        <f>'Fats Raw Data'!AO37</f>
        <v>0</v>
      </c>
      <c r="W37">
        <f>'Fats Raw Data'!AP37-'Fats Raw Data'!AZ37</f>
        <v>0</v>
      </c>
      <c r="X37">
        <f>'Fats Raw Data'!AQ37-'Fats Raw Data'!BA37</f>
        <v>0</v>
      </c>
      <c r="Y37">
        <f>'Fats Raw Data'!AR37-'Fats Raw Data'!BB37</f>
        <v>0</v>
      </c>
      <c r="Z37">
        <f>'Fats Raw Data'!AS37-'Fats Raw Data'!BC37</f>
        <v>0</v>
      </c>
      <c r="AA37" t="str">
        <f>'Fats Raw Data'!AW37&amp;" - "&amp;'Fats Raw Data'!BG37</f>
        <v xml:space="preserve"> - </v>
      </c>
      <c r="AC37" s="1">
        <f>'Fats Raw Data'!AY37</f>
        <v>0</v>
      </c>
      <c r="AD37">
        <f>'Fats Raw Data'!AZ37-'Fats Raw Data'!B37</f>
        <v>0</v>
      </c>
      <c r="AE37">
        <f>'Fats Raw Data'!BA37-'Fats Raw Data'!C37</f>
        <v>0</v>
      </c>
      <c r="AF37">
        <f>'Fats Raw Data'!BB37-'Fats Raw Data'!D37</f>
        <v>0</v>
      </c>
      <c r="AG37">
        <f>'Fats Raw Data'!BC37-'Fats Raw Data'!E37</f>
        <v>0</v>
      </c>
      <c r="AH37" t="str">
        <f>'Fats Raw Data'!BG37&amp;" - "&amp;'Fats Raw Data'!I37</f>
        <v xml:space="preserve"> - </v>
      </c>
      <c r="AJ37" s="1">
        <f>'Fats Raw Data'!A37</f>
        <v>0</v>
      </c>
      <c r="AK37">
        <f>'Fats Raw Data'!B37-'Fats Raw Data'!L37</f>
        <v>0</v>
      </c>
      <c r="AL37">
        <f>'Fats Raw Data'!C37-'Fats Raw Data'!M37</f>
        <v>0</v>
      </c>
      <c r="AM37">
        <f>'Fats Raw Data'!D37-'Fats Raw Data'!N37</f>
        <v>0</v>
      </c>
      <c r="AN37">
        <f>'Fats Raw Data'!E37-'Fats Raw Data'!O37</f>
        <v>0</v>
      </c>
      <c r="AO37" t="str">
        <f>'Fats Raw Data'!I37&amp;" - "&amp;'Fats Raw Data'!S37</f>
        <v xml:space="preserve"> - </v>
      </c>
      <c r="AQ37" s="1">
        <f>'Fats Raw Data'!AE37</f>
        <v>0</v>
      </c>
      <c r="AR37">
        <f>'Fats Raw Data'!AF37-'Fats Raw Data'!AZ37</f>
        <v>0</v>
      </c>
      <c r="AS37">
        <f>'Fats Raw Data'!AG37-'Fats Raw Data'!BA37</f>
        <v>0</v>
      </c>
      <c r="AT37">
        <f>'Fats Raw Data'!AH37-'Fats Raw Data'!BB37</f>
        <v>0</v>
      </c>
      <c r="AU37">
        <f>'Fats Raw Data'!AI37-'Fats Raw Data'!BC37</f>
        <v>0</v>
      </c>
      <c r="AV37" t="str">
        <f>'Fats Raw Data'!AM37&amp;" - "&amp;'Fats Raw Data'!BG37</f>
        <v xml:space="preserve"> - </v>
      </c>
      <c r="AX37" s="1">
        <f>'Fats Raw Data'!A37</f>
        <v>0</v>
      </c>
      <c r="AY37">
        <f>'Fats Raw Data'!B37-'Fats Raw Data'!V37</f>
        <v>0</v>
      </c>
      <c r="AZ37">
        <f>'Fats Raw Data'!C37-'Fats Raw Data'!W37</f>
        <v>0</v>
      </c>
      <c r="BA37">
        <f>'Fats Raw Data'!D37-'Fats Raw Data'!X37</f>
        <v>0</v>
      </c>
      <c r="BB37">
        <f>'Fats Raw Data'!E37-'Fats Raw Data'!Y37</f>
        <v>0</v>
      </c>
      <c r="BC37" t="str">
        <f>'Fats Raw Data'!I37&amp;" - "&amp;'Fats Raw Data'!AC37</f>
        <v xml:space="preserve"> - </v>
      </c>
      <c r="BE37" s="1">
        <f>'Fats Raw Data'!K37</f>
        <v>0</v>
      </c>
      <c r="BF37">
        <f>'Fats Raw Data'!L37-'Fats Raw Data'!AF37</f>
        <v>0</v>
      </c>
      <c r="BG37">
        <f>'Fats Raw Data'!M37-'Fats Raw Data'!AG37</f>
        <v>0</v>
      </c>
      <c r="BH37">
        <f>'Fats Raw Data'!N37-'Fats Raw Data'!AH37</f>
        <v>0</v>
      </c>
      <c r="BI37">
        <f>'Fats Raw Data'!O37-'Fats Raw Data'!AI37</f>
        <v>0</v>
      </c>
      <c r="BJ37" t="str">
        <f>'Fats Raw Data'!S37&amp;" - "&amp;'Fats Raw Data'!AM37</f>
        <v xml:space="preserve"> - </v>
      </c>
    </row>
    <row r="38" spans="1:62" x14ac:dyDescent="0.25">
      <c r="A38" s="1">
        <f>'Fats Raw Data'!K38</f>
        <v>0</v>
      </c>
      <c r="B38">
        <f>'Fats Raw Data'!L38-'Fats Raw Data'!V38</f>
        <v>0</v>
      </c>
      <c r="C38">
        <f>'Fats Raw Data'!M38-'Fats Raw Data'!W38</f>
        <v>0</v>
      </c>
      <c r="D38">
        <f>'Fats Raw Data'!N38-'Fats Raw Data'!X38</f>
        <v>0</v>
      </c>
      <c r="E38">
        <f>'Fats Raw Data'!O38-'Fats Raw Data'!Y38</f>
        <v>0</v>
      </c>
      <c r="F38" t="str">
        <f>'Fats Raw Data'!S38&amp;" - "&amp;'Fats Raw Data'!AC38</f>
        <v xml:space="preserve"> - </v>
      </c>
      <c r="H38" s="1">
        <f>'Fats Raw Data'!U38</f>
        <v>0</v>
      </c>
      <c r="I38">
        <f>'Fats Raw Data'!V38-'Fats Raw Data'!AF38</f>
        <v>0</v>
      </c>
      <c r="J38">
        <f>'Fats Raw Data'!W38-'Fats Raw Data'!AG38</f>
        <v>0</v>
      </c>
      <c r="K38">
        <f>'Fats Raw Data'!X38-'Fats Raw Data'!AH38</f>
        <v>0</v>
      </c>
      <c r="L38">
        <f>'Fats Raw Data'!Y38-'Fats Raw Data'!AI38</f>
        <v>0</v>
      </c>
      <c r="M38" t="str">
        <f>'Fats Raw Data'!AC38&amp;" - "&amp;'Fats Raw Data'!AM38</f>
        <v xml:space="preserve"> - </v>
      </c>
      <c r="O38" s="1">
        <f>'Fats Raw Data'!AE38</f>
        <v>0</v>
      </c>
      <c r="P38">
        <f>'Fats Raw Data'!AF38-'Fats Raw Data'!AP38</f>
        <v>0</v>
      </c>
      <c r="Q38">
        <f>'Fats Raw Data'!AG38-'Fats Raw Data'!AQ38</f>
        <v>0</v>
      </c>
      <c r="R38">
        <f>'Fats Raw Data'!AH38-'Fats Raw Data'!AR38</f>
        <v>0</v>
      </c>
      <c r="S38">
        <f>'Fats Raw Data'!AI38-'Fats Raw Data'!AS38</f>
        <v>0</v>
      </c>
      <c r="T38" t="str">
        <f>'Fats Raw Data'!AM38&amp;" - "&amp;'Fats Raw Data'!AW38</f>
        <v xml:space="preserve"> - </v>
      </c>
      <c r="V38" s="1">
        <f>'Fats Raw Data'!AO38</f>
        <v>0</v>
      </c>
      <c r="W38">
        <f>'Fats Raw Data'!AP38-'Fats Raw Data'!AZ38</f>
        <v>0</v>
      </c>
      <c r="X38">
        <f>'Fats Raw Data'!AQ38-'Fats Raw Data'!BA38</f>
        <v>0</v>
      </c>
      <c r="Y38">
        <f>'Fats Raw Data'!AR38-'Fats Raw Data'!BB38</f>
        <v>0</v>
      </c>
      <c r="Z38">
        <f>'Fats Raw Data'!AS38-'Fats Raw Data'!BC38</f>
        <v>0</v>
      </c>
      <c r="AA38" t="str">
        <f>'Fats Raw Data'!AW38&amp;" - "&amp;'Fats Raw Data'!BG38</f>
        <v xml:space="preserve"> - </v>
      </c>
      <c r="AC38" s="1">
        <f>'Fats Raw Data'!AY38</f>
        <v>0</v>
      </c>
      <c r="AD38">
        <f>'Fats Raw Data'!AZ38-'Fats Raw Data'!B38</f>
        <v>0</v>
      </c>
      <c r="AE38">
        <f>'Fats Raw Data'!BA38-'Fats Raw Data'!C38</f>
        <v>0</v>
      </c>
      <c r="AF38">
        <f>'Fats Raw Data'!BB38-'Fats Raw Data'!D38</f>
        <v>0</v>
      </c>
      <c r="AG38">
        <f>'Fats Raw Data'!BC38-'Fats Raw Data'!E38</f>
        <v>0</v>
      </c>
      <c r="AH38" t="str">
        <f>'Fats Raw Data'!BG38&amp;" - "&amp;'Fats Raw Data'!I38</f>
        <v xml:space="preserve"> - </v>
      </c>
      <c r="AJ38" s="1">
        <f>'Fats Raw Data'!A38</f>
        <v>0</v>
      </c>
      <c r="AK38">
        <f>'Fats Raw Data'!B38-'Fats Raw Data'!L38</f>
        <v>0</v>
      </c>
      <c r="AL38">
        <f>'Fats Raw Data'!C38-'Fats Raw Data'!M38</f>
        <v>0</v>
      </c>
      <c r="AM38">
        <f>'Fats Raw Data'!D38-'Fats Raw Data'!N38</f>
        <v>0</v>
      </c>
      <c r="AN38">
        <f>'Fats Raw Data'!E38-'Fats Raw Data'!O38</f>
        <v>0</v>
      </c>
      <c r="AO38" t="str">
        <f>'Fats Raw Data'!I38&amp;" - "&amp;'Fats Raw Data'!S38</f>
        <v xml:space="preserve"> - </v>
      </c>
      <c r="AQ38" s="1">
        <f>'Fats Raw Data'!AE38</f>
        <v>0</v>
      </c>
      <c r="AR38">
        <f>'Fats Raw Data'!AF38-'Fats Raw Data'!AZ38</f>
        <v>0</v>
      </c>
      <c r="AS38">
        <f>'Fats Raw Data'!AG38-'Fats Raw Data'!BA38</f>
        <v>0</v>
      </c>
      <c r="AT38">
        <f>'Fats Raw Data'!AH38-'Fats Raw Data'!BB38</f>
        <v>0</v>
      </c>
      <c r="AU38">
        <f>'Fats Raw Data'!AI38-'Fats Raw Data'!BC38</f>
        <v>0</v>
      </c>
      <c r="AV38" t="str">
        <f>'Fats Raw Data'!AM38&amp;" - "&amp;'Fats Raw Data'!BG38</f>
        <v xml:space="preserve"> - </v>
      </c>
      <c r="AX38" s="1">
        <f>'Fats Raw Data'!A38</f>
        <v>0</v>
      </c>
      <c r="AY38">
        <f>'Fats Raw Data'!B38-'Fats Raw Data'!V38</f>
        <v>0</v>
      </c>
      <c r="AZ38">
        <f>'Fats Raw Data'!C38-'Fats Raw Data'!W38</f>
        <v>0</v>
      </c>
      <c r="BA38">
        <f>'Fats Raw Data'!D38-'Fats Raw Data'!X38</f>
        <v>0</v>
      </c>
      <c r="BB38">
        <f>'Fats Raw Data'!E38-'Fats Raw Data'!Y38</f>
        <v>0</v>
      </c>
      <c r="BC38" t="str">
        <f>'Fats Raw Data'!I38&amp;" - "&amp;'Fats Raw Data'!AC38</f>
        <v xml:space="preserve"> - </v>
      </c>
      <c r="BE38" s="1">
        <f>'Fats Raw Data'!K38</f>
        <v>0</v>
      </c>
      <c r="BF38">
        <f>'Fats Raw Data'!L38-'Fats Raw Data'!AF38</f>
        <v>0</v>
      </c>
      <c r="BG38">
        <f>'Fats Raw Data'!M38-'Fats Raw Data'!AG38</f>
        <v>0</v>
      </c>
      <c r="BH38">
        <f>'Fats Raw Data'!N38-'Fats Raw Data'!AH38</f>
        <v>0</v>
      </c>
      <c r="BI38">
        <f>'Fats Raw Data'!O38-'Fats Raw Data'!AI38</f>
        <v>0</v>
      </c>
      <c r="BJ38" t="str">
        <f>'Fats Raw Data'!S38&amp;" - "&amp;'Fats Raw Data'!AM38</f>
        <v xml:space="preserve"> - </v>
      </c>
    </row>
    <row r="39" spans="1:62" x14ac:dyDescent="0.25">
      <c r="A39" s="1">
        <f>'Fats Raw Data'!K39</f>
        <v>0</v>
      </c>
      <c r="B39">
        <f>'Fats Raw Data'!L39-'Fats Raw Data'!V39</f>
        <v>0</v>
      </c>
      <c r="C39">
        <f>'Fats Raw Data'!M39-'Fats Raw Data'!W39</f>
        <v>0</v>
      </c>
      <c r="D39">
        <f>'Fats Raw Data'!N39-'Fats Raw Data'!X39</f>
        <v>0</v>
      </c>
      <c r="E39">
        <f>'Fats Raw Data'!O39-'Fats Raw Data'!Y39</f>
        <v>0</v>
      </c>
      <c r="F39" t="str">
        <f>'Fats Raw Data'!S39&amp;" - "&amp;'Fats Raw Data'!AC39</f>
        <v xml:space="preserve"> - </v>
      </c>
      <c r="H39" s="1">
        <f>'Fats Raw Data'!U39</f>
        <v>0</v>
      </c>
      <c r="I39">
        <f>'Fats Raw Data'!V39-'Fats Raw Data'!AF39</f>
        <v>0</v>
      </c>
      <c r="J39">
        <f>'Fats Raw Data'!W39-'Fats Raw Data'!AG39</f>
        <v>0</v>
      </c>
      <c r="K39">
        <f>'Fats Raw Data'!X39-'Fats Raw Data'!AH39</f>
        <v>0</v>
      </c>
      <c r="L39">
        <f>'Fats Raw Data'!Y39-'Fats Raw Data'!AI39</f>
        <v>0</v>
      </c>
      <c r="M39" t="str">
        <f>'Fats Raw Data'!AC39&amp;" - "&amp;'Fats Raw Data'!AM39</f>
        <v xml:space="preserve"> - </v>
      </c>
      <c r="O39" s="1">
        <f>'Fats Raw Data'!AE39</f>
        <v>0</v>
      </c>
      <c r="P39">
        <f>'Fats Raw Data'!AF39-'Fats Raw Data'!AP39</f>
        <v>0</v>
      </c>
      <c r="Q39">
        <f>'Fats Raw Data'!AG39-'Fats Raw Data'!AQ39</f>
        <v>0</v>
      </c>
      <c r="R39">
        <f>'Fats Raw Data'!AH39-'Fats Raw Data'!AR39</f>
        <v>0</v>
      </c>
      <c r="S39">
        <f>'Fats Raw Data'!AI39-'Fats Raw Data'!AS39</f>
        <v>0</v>
      </c>
      <c r="T39" t="str">
        <f>'Fats Raw Data'!AM39&amp;" - "&amp;'Fats Raw Data'!AW39</f>
        <v xml:space="preserve"> - </v>
      </c>
      <c r="V39" s="1">
        <f>'Fats Raw Data'!AO39</f>
        <v>0</v>
      </c>
      <c r="W39">
        <f>'Fats Raw Data'!AP39-'Fats Raw Data'!AZ39</f>
        <v>0</v>
      </c>
      <c r="X39">
        <f>'Fats Raw Data'!AQ39-'Fats Raw Data'!BA39</f>
        <v>0</v>
      </c>
      <c r="Y39">
        <f>'Fats Raw Data'!AR39-'Fats Raw Data'!BB39</f>
        <v>0</v>
      </c>
      <c r="Z39">
        <f>'Fats Raw Data'!AS39-'Fats Raw Data'!BC39</f>
        <v>0</v>
      </c>
      <c r="AA39" t="str">
        <f>'Fats Raw Data'!AW39&amp;" - "&amp;'Fats Raw Data'!BG39</f>
        <v xml:space="preserve"> - </v>
      </c>
      <c r="AC39" s="1">
        <f>'Fats Raw Data'!AY39</f>
        <v>0</v>
      </c>
      <c r="AD39">
        <f>'Fats Raw Data'!AZ39-'Fats Raw Data'!B39</f>
        <v>0</v>
      </c>
      <c r="AE39">
        <f>'Fats Raw Data'!BA39-'Fats Raw Data'!C39</f>
        <v>0</v>
      </c>
      <c r="AF39">
        <f>'Fats Raw Data'!BB39-'Fats Raw Data'!D39</f>
        <v>0</v>
      </c>
      <c r="AG39">
        <f>'Fats Raw Data'!BC39-'Fats Raw Data'!E39</f>
        <v>0</v>
      </c>
      <c r="AH39" t="str">
        <f>'Fats Raw Data'!BG39&amp;" - "&amp;'Fats Raw Data'!I39</f>
        <v xml:space="preserve"> - </v>
      </c>
      <c r="AJ39" s="1">
        <f>'Fats Raw Data'!A39</f>
        <v>0</v>
      </c>
      <c r="AK39">
        <f>'Fats Raw Data'!B39-'Fats Raw Data'!L39</f>
        <v>0</v>
      </c>
      <c r="AL39">
        <f>'Fats Raw Data'!C39-'Fats Raw Data'!M39</f>
        <v>0</v>
      </c>
      <c r="AM39">
        <f>'Fats Raw Data'!D39-'Fats Raw Data'!N39</f>
        <v>0</v>
      </c>
      <c r="AN39">
        <f>'Fats Raw Data'!E39-'Fats Raw Data'!O39</f>
        <v>0</v>
      </c>
      <c r="AO39" t="str">
        <f>'Fats Raw Data'!I39&amp;" - "&amp;'Fats Raw Data'!S39</f>
        <v xml:space="preserve"> - </v>
      </c>
      <c r="AQ39" s="1">
        <f>'Fats Raw Data'!AE39</f>
        <v>0</v>
      </c>
      <c r="AR39">
        <f>'Fats Raw Data'!AF39-'Fats Raw Data'!AZ39</f>
        <v>0</v>
      </c>
      <c r="AS39">
        <f>'Fats Raw Data'!AG39-'Fats Raw Data'!BA39</f>
        <v>0</v>
      </c>
      <c r="AT39">
        <f>'Fats Raw Data'!AH39-'Fats Raw Data'!BB39</f>
        <v>0</v>
      </c>
      <c r="AU39">
        <f>'Fats Raw Data'!AI39-'Fats Raw Data'!BC39</f>
        <v>0</v>
      </c>
      <c r="AV39" t="str">
        <f>'Fats Raw Data'!AM39&amp;" - "&amp;'Fats Raw Data'!BG39</f>
        <v xml:space="preserve"> - </v>
      </c>
      <c r="AX39" s="1">
        <f>'Fats Raw Data'!A39</f>
        <v>0</v>
      </c>
      <c r="AY39">
        <f>'Fats Raw Data'!B39-'Fats Raw Data'!V39</f>
        <v>0</v>
      </c>
      <c r="AZ39">
        <f>'Fats Raw Data'!C39-'Fats Raw Data'!W39</f>
        <v>0</v>
      </c>
      <c r="BA39">
        <f>'Fats Raw Data'!D39-'Fats Raw Data'!X39</f>
        <v>0</v>
      </c>
      <c r="BB39">
        <f>'Fats Raw Data'!E39-'Fats Raw Data'!Y39</f>
        <v>0</v>
      </c>
      <c r="BC39" t="str">
        <f>'Fats Raw Data'!I39&amp;" - "&amp;'Fats Raw Data'!AC39</f>
        <v xml:space="preserve"> - </v>
      </c>
      <c r="BE39" s="1">
        <f>'Fats Raw Data'!K39</f>
        <v>0</v>
      </c>
      <c r="BF39">
        <f>'Fats Raw Data'!L39-'Fats Raw Data'!AF39</f>
        <v>0</v>
      </c>
      <c r="BG39">
        <f>'Fats Raw Data'!M39-'Fats Raw Data'!AG39</f>
        <v>0</v>
      </c>
      <c r="BH39">
        <f>'Fats Raw Data'!N39-'Fats Raw Data'!AH39</f>
        <v>0</v>
      </c>
      <c r="BI39">
        <f>'Fats Raw Data'!O39-'Fats Raw Data'!AI39</f>
        <v>0</v>
      </c>
      <c r="BJ39" t="str">
        <f>'Fats Raw Data'!S39&amp;" - "&amp;'Fats Raw Data'!AM39</f>
        <v xml:space="preserve"> - </v>
      </c>
    </row>
    <row r="40" spans="1:62" x14ac:dyDescent="0.25">
      <c r="A40" s="1">
        <f>'Fats Raw Data'!K40</f>
        <v>0</v>
      </c>
      <c r="B40">
        <f>'Fats Raw Data'!L40-'Fats Raw Data'!V40</f>
        <v>0</v>
      </c>
      <c r="C40">
        <f>'Fats Raw Data'!M40-'Fats Raw Data'!W40</f>
        <v>0</v>
      </c>
      <c r="D40">
        <f>'Fats Raw Data'!N40-'Fats Raw Data'!X40</f>
        <v>0</v>
      </c>
      <c r="E40">
        <f>'Fats Raw Data'!O40-'Fats Raw Data'!Y40</f>
        <v>0</v>
      </c>
      <c r="F40" t="str">
        <f>'Fats Raw Data'!S40&amp;" - "&amp;'Fats Raw Data'!AC40</f>
        <v xml:space="preserve"> - </v>
      </c>
      <c r="H40" s="1">
        <f>'Fats Raw Data'!U40</f>
        <v>0</v>
      </c>
      <c r="I40">
        <f>'Fats Raw Data'!V40-'Fats Raw Data'!AF40</f>
        <v>0</v>
      </c>
      <c r="J40">
        <f>'Fats Raw Data'!W40-'Fats Raw Data'!AG40</f>
        <v>0</v>
      </c>
      <c r="K40">
        <f>'Fats Raw Data'!X40-'Fats Raw Data'!AH40</f>
        <v>0</v>
      </c>
      <c r="L40">
        <f>'Fats Raw Data'!Y40-'Fats Raw Data'!AI40</f>
        <v>0</v>
      </c>
      <c r="M40" t="str">
        <f>'Fats Raw Data'!AC40&amp;" - "&amp;'Fats Raw Data'!AM40</f>
        <v xml:space="preserve"> - </v>
      </c>
      <c r="O40" s="1">
        <f>'Fats Raw Data'!AE40</f>
        <v>0</v>
      </c>
      <c r="P40">
        <f>'Fats Raw Data'!AF40-'Fats Raw Data'!AP40</f>
        <v>0</v>
      </c>
      <c r="Q40">
        <f>'Fats Raw Data'!AG40-'Fats Raw Data'!AQ40</f>
        <v>0</v>
      </c>
      <c r="R40">
        <f>'Fats Raw Data'!AH40-'Fats Raw Data'!AR40</f>
        <v>0</v>
      </c>
      <c r="S40">
        <f>'Fats Raw Data'!AI40-'Fats Raw Data'!AS40</f>
        <v>0</v>
      </c>
      <c r="T40" t="str">
        <f>'Fats Raw Data'!AM40&amp;" - "&amp;'Fats Raw Data'!AW40</f>
        <v xml:space="preserve"> - </v>
      </c>
      <c r="V40" s="1">
        <f>'Fats Raw Data'!AO40</f>
        <v>0</v>
      </c>
      <c r="W40">
        <f>'Fats Raw Data'!AP40-'Fats Raw Data'!AZ40</f>
        <v>0</v>
      </c>
      <c r="X40">
        <f>'Fats Raw Data'!AQ40-'Fats Raw Data'!BA40</f>
        <v>0</v>
      </c>
      <c r="Y40">
        <f>'Fats Raw Data'!AR40-'Fats Raw Data'!BB40</f>
        <v>0</v>
      </c>
      <c r="Z40">
        <f>'Fats Raw Data'!AS40-'Fats Raw Data'!BC40</f>
        <v>0</v>
      </c>
      <c r="AA40" t="str">
        <f>'Fats Raw Data'!AW40&amp;" - "&amp;'Fats Raw Data'!BG40</f>
        <v xml:space="preserve"> - </v>
      </c>
      <c r="AC40" s="1">
        <f>'Fats Raw Data'!AY40</f>
        <v>0</v>
      </c>
      <c r="AD40">
        <f>'Fats Raw Data'!AZ40-'Fats Raw Data'!B40</f>
        <v>0</v>
      </c>
      <c r="AE40">
        <f>'Fats Raw Data'!BA40-'Fats Raw Data'!C40</f>
        <v>0</v>
      </c>
      <c r="AF40">
        <f>'Fats Raw Data'!BB40-'Fats Raw Data'!D40</f>
        <v>0</v>
      </c>
      <c r="AG40">
        <f>'Fats Raw Data'!BC40-'Fats Raw Data'!E40</f>
        <v>0</v>
      </c>
      <c r="AH40" t="str">
        <f>'Fats Raw Data'!BG40&amp;" - "&amp;'Fats Raw Data'!I40</f>
        <v xml:space="preserve"> - </v>
      </c>
      <c r="AJ40" s="1">
        <f>'Fats Raw Data'!A40</f>
        <v>0</v>
      </c>
      <c r="AK40">
        <f>'Fats Raw Data'!B40-'Fats Raw Data'!L40</f>
        <v>0</v>
      </c>
      <c r="AL40">
        <f>'Fats Raw Data'!C40-'Fats Raw Data'!M40</f>
        <v>0</v>
      </c>
      <c r="AM40">
        <f>'Fats Raw Data'!D40-'Fats Raw Data'!N40</f>
        <v>0</v>
      </c>
      <c r="AN40">
        <f>'Fats Raw Data'!E40-'Fats Raw Data'!O40</f>
        <v>0</v>
      </c>
      <c r="AO40" t="str">
        <f>'Fats Raw Data'!I40&amp;" - "&amp;'Fats Raw Data'!S40</f>
        <v xml:space="preserve"> - </v>
      </c>
      <c r="AQ40" s="1">
        <f>'Fats Raw Data'!AE40</f>
        <v>0</v>
      </c>
      <c r="AR40">
        <f>'Fats Raw Data'!AF40-'Fats Raw Data'!AZ40</f>
        <v>0</v>
      </c>
      <c r="AS40">
        <f>'Fats Raw Data'!AG40-'Fats Raw Data'!BA40</f>
        <v>0</v>
      </c>
      <c r="AT40">
        <f>'Fats Raw Data'!AH40-'Fats Raw Data'!BB40</f>
        <v>0</v>
      </c>
      <c r="AU40">
        <f>'Fats Raw Data'!AI40-'Fats Raw Data'!BC40</f>
        <v>0</v>
      </c>
      <c r="AV40" t="str">
        <f>'Fats Raw Data'!AM40&amp;" - "&amp;'Fats Raw Data'!BG40</f>
        <v xml:space="preserve"> - </v>
      </c>
      <c r="AX40" s="1">
        <f>'Fats Raw Data'!A40</f>
        <v>0</v>
      </c>
      <c r="AY40">
        <f>'Fats Raw Data'!B40-'Fats Raw Data'!V40</f>
        <v>0</v>
      </c>
      <c r="AZ40">
        <f>'Fats Raw Data'!C40-'Fats Raw Data'!W40</f>
        <v>0</v>
      </c>
      <c r="BA40">
        <f>'Fats Raw Data'!D40-'Fats Raw Data'!X40</f>
        <v>0</v>
      </c>
      <c r="BB40">
        <f>'Fats Raw Data'!E40-'Fats Raw Data'!Y40</f>
        <v>0</v>
      </c>
      <c r="BC40" t="str">
        <f>'Fats Raw Data'!I40&amp;" - "&amp;'Fats Raw Data'!AC40</f>
        <v xml:space="preserve"> - </v>
      </c>
      <c r="BE40" s="1">
        <f>'Fats Raw Data'!K40</f>
        <v>0</v>
      </c>
      <c r="BF40">
        <f>'Fats Raw Data'!L40-'Fats Raw Data'!AF40</f>
        <v>0</v>
      </c>
      <c r="BG40">
        <f>'Fats Raw Data'!M40-'Fats Raw Data'!AG40</f>
        <v>0</v>
      </c>
      <c r="BH40">
        <f>'Fats Raw Data'!N40-'Fats Raw Data'!AH40</f>
        <v>0</v>
      </c>
      <c r="BI40">
        <f>'Fats Raw Data'!O40-'Fats Raw Data'!AI40</f>
        <v>0</v>
      </c>
      <c r="BJ40" t="str">
        <f>'Fats Raw Data'!S40&amp;" - "&amp;'Fats Raw Data'!AM40</f>
        <v xml:space="preserve"> - </v>
      </c>
    </row>
    <row r="41" spans="1:62" x14ac:dyDescent="0.25">
      <c r="A41" s="1">
        <f>'Fats Raw Data'!K41</f>
        <v>0</v>
      </c>
      <c r="B41">
        <f>'Fats Raw Data'!L41-'Fats Raw Data'!V41</f>
        <v>0</v>
      </c>
      <c r="C41">
        <f>'Fats Raw Data'!M41-'Fats Raw Data'!W41</f>
        <v>0</v>
      </c>
      <c r="D41">
        <f>'Fats Raw Data'!N41-'Fats Raw Data'!X41</f>
        <v>0</v>
      </c>
      <c r="E41">
        <f>'Fats Raw Data'!O41-'Fats Raw Data'!Y41</f>
        <v>0</v>
      </c>
      <c r="F41" t="str">
        <f>'Fats Raw Data'!S41&amp;" - "&amp;'Fats Raw Data'!AC41</f>
        <v xml:space="preserve"> - </v>
      </c>
      <c r="H41" s="1">
        <f>'Fats Raw Data'!U41</f>
        <v>0</v>
      </c>
      <c r="I41">
        <f>'Fats Raw Data'!V41-'Fats Raw Data'!AF41</f>
        <v>0</v>
      </c>
      <c r="J41">
        <f>'Fats Raw Data'!W41-'Fats Raw Data'!AG41</f>
        <v>0</v>
      </c>
      <c r="K41">
        <f>'Fats Raw Data'!X41-'Fats Raw Data'!AH41</f>
        <v>0</v>
      </c>
      <c r="L41">
        <f>'Fats Raw Data'!Y41-'Fats Raw Data'!AI41</f>
        <v>0</v>
      </c>
      <c r="M41" t="str">
        <f>'Fats Raw Data'!AC41&amp;" - "&amp;'Fats Raw Data'!AM41</f>
        <v xml:space="preserve"> - </v>
      </c>
      <c r="O41" s="1">
        <f>'Fats Raw Data'!AE41</f>
        <v>0</v>
      </c>
      <c r="P41">
        <f>'Fats Raw Data'!AF41-'Fats Raw Data'!AP41</f>
        <v>0</v>
      </c>
      <c r="Q41">
        <f>'Fats Raw Data'!AG41-'Fats Raw Data'!AQ41</f>
        <v>0</v>
      </c>
      <c r="R41">
        <f>'Fats Raw Data'!AH41-'Fats Raw Data'!AR41</f>
        <v>0</v>
      </c>
      <c r="S41">
        <f>'Fats Raw Data'!AI41-'Fats Raw Data'!AS41</f>
        <v>0</v>
      </c>
      <c r="T41" t="str">
        <f>'Fats Raw Data'!AM41&amp;" - "&amp;'Fats Raw Data'!AW41</f>
        <v xml:space="preserve"> - </v>
      </c>
      <c r="V41" s="1">
        <f>'Fats Raw Data'!AO41</f>
        <v>0</v>
      </c>
      <c r="W41">
        <f>'Fats Raw Data'!AP41-'Fats Raw Data'!AZ41</f>
        <v>0</v>
      </c>
      <c r="X41">
        <f>'Fats Raw Data'!AQ41-'Fats Raw Data'!BA41</f>
        <v>0</v>
      </c>
      <c r="Y41">
        <f>'Fats Raw Data'!AR41-'Fats Raw Data'!BB41</f>
        <v>0</v>
      </c>
      <c r="Z41">
        <f>'Fats Raw Data'!AS41-'Fats Raw Data'!BC41</f>
        <v>0</v>
      </c>
      <c r="AA41" t="str">
        <f>'Fats Raw Data'!AW41&amp;" - "&amp;'Fats Raw Data'!BG41</f>
        <v xml:space="preserve"> - </v>
      </c>
      <c r="AC41" s="1">
        <f>'Fats Raw Data'!AY41</f>
        <v>0</v>
      </c>
      <c r="AD41">
        <f>'Fats Raw Data'!AZ41-'Fats Raw Data'!B41</f>
        <v>0</v>
      </c>
      <c r="AE41">
        <f>'Fats Raw Data'!BA41-'Fats Raw Data'!C41</f>
        <v>0</v>
      </c>
      <c r="AF41">
        <f>'Fats Raw Data'!BB41-'Fats Raw Data'!D41</f>
        <v>0</v>
      </c>
      <c r="AG41">
        <f>'Fats Raw Data'!BC41-'Fats Raw Data'!E41</f>
        <v>0</v>
      </c>
      <c r="AH41" t="str">
        <f>'Fats Raw Data'!BG41&amp;" - "&amp;'Fats Raw Data'!I41</f>
        <v xml:space="preserve"> - </v>
      </c>
      <c r="AJ41" s="1">
        <f>'Fats Raw Data'!A41</f>
        <v>0</v>
      </c>
      <c r="AK41">
        <f>'Fats Raw Data'!B41-'Fats Raw Data'!L41</f>
        <v>0</v>
      </c>
      <c r="AL41">
        <f>'Fats Raw Data'!C41-'Fats Raw Data'!M41</f>
        <v>0</v>
      </c>
      <c r="AM41">
        <f>'Fats Raw Data'!D41-'Fats Raw Data'!N41</f>
        <v>0</v>
      </c>
      <c r="AN41">
        <f>'Fats Raw Data'!E41-'Fats Raw Data'!O41</f>
        <v>0</v>
      </c>
      <c r="AO41" t="str">
        <f>'Fats Raw Data'!I41&amp;" - "&amp;'Fats Raw Data'!S41</f>
        <v xml:space="preserve"> - </v>
      </c>
      <c r="AQ41" s="1">
        <f>'Fats Raw Data'!AE41</f>
        <v>0</v>
      </c>
      <c r="AR41">
        <f>'Fats Raw Data'!AF41-'Fats Raw Data'!AZ41</f>
        <v>0</v>
      </c>
      <c r="AS41">
        <f>'Fats Raw Data'!AG41-'Fats Raw Data'!BA41</f>
        <v>0</v>
      </c>
      <c r="AT41">
        <f>'Fats Raw Data'!AH41-'Fats Raw Data'!BB41</f>
        <v>0</v>
      </c>
      <c r="AU41">
        <f>'Fats Raw Data'!AI41-'Fats Raw Data'!BC41</f>
        <v>0</v>
      </c>
      <c r="AV41" t="str">
        <f>'Fats Raw Data'!AM41&amp;" - "&amp;'Fats Raw Data'!BG41</f>
        <v xml:space="preserve"> - </v>
      </c>
      <c r="AX41" s="1">
        <f>'Fats Raw Data'!A41</f>
        <v>0</v>
      </c>
      <c r="AY41">
        <f>'Fats Raw Data'!B41-'Fats Raw Data'!V41</f>
        <v>0</v>
      </c>
      <c r="AZ41">
        <f>'Fats Raw Data'!C41-'Fats Raw Data'!W41</f>
        <v>0</v>
      </c>
      <c r="BA41">
        <f>'Fats Raw Data'!D41-'Fats Raw Data'!X41</f>
        <v>0</v>
      </c>
      <c r="BB41">
        <f>'Fats Raw Data'!E41-'Fats Raw Data'!Y41</f>
        <v>0</v>
      </c>
      <c r="BC41" t="str">
        <f>'Fats Raw Data'!I41&amp;" - "&amp;'Fats Raw Data'!AC41</f>
        <v xml:space="preserve"> - </v>
      </c>
      <c r="BE41" s="1">
        <f>'Fats Raw Data'!K41</f>
        <v>0</v>
      </c>
      <c r="BF41">
        <f>'Fats Raw Data'!L41-'Fats Raw Data'!AF41</f>
        <v>0</v>
      </c>
      <c r="BG41">
        <f>'Fats Raw Data'!M41-'Fats Raw Data'!AG41</f>
        <v>0</v>
      </c>
      <c r="BH41">
        <f>'Fats Raw Data'!N41-'Fats Raw Data'!AH41</f>
        <v>0</v>
      </c>
      <c r="BI41">
        <f>'Fats Raw Data'!O41-'Fats Raw Data'!AI41</f>
        <v>0</v>
      </c>
      <c r="BJ41" t="str">
        <f>'Fats Raw Data'!S41&amp;" - "&amp;'Fats Raw Data'!AM41</f>
        <v xml:space="preserve"> - </v>
      </c>
    </row>
    <row r="42" spans="1:62" x14ac:dyDescent="0.25">
      <c r="A42" s="1">
        <f>'Fats Raw Data'!K42</f>
        <v>0</v>
      </c>
      <c r="B42">
        <f>'Fats Raw Data'!L42-'Fats Raw Data'!V42</f>
        <v>0</v>
      </c>
      <c r="C42">
        <f>'Fats Raw Data'!M42-'Fats Raw Data'!W42</f>
        <v>0</v>
      </c>
      <c r="D42">
        <f>'Fats Raw Data'!N42-'Fats Raw Data'!X42</f>
        <v>0</v>
      </c>
      <c r="E42">
        <f>'Fats Raw Data'!O42-'Fats Raw Data'!Y42</f>
        <v>0</v>
      </c>
      <c r="F42" t="str">
        <f>'Fats Raw Data'!S42&amp;" - "&amp;'Fats Raw Data'!AC42</f>
        <v xml:space="preserve"> - </v>
      </c>
      <c r="H42" s="1">
        <f>'Fats Raw Data'!U42</f>
        <v>0</v>
      </c>
      <c r="I42">
        <f>'Fats Raw Data'!V42-'Fats Raw Data'!AF42</f>
        <v>0</v>
      </c>
      <c r="J42">
        <f>'Fats Raw Data'!W42-'Fats Raw Data'!AG42</f>
        <v>0</v>
      </c>
      <c r="K42">
        <f>'Fats Raw Data'!X42-'Fats Raw Data'!AH42</f>
        <v>0</v>
      </c>
      <c r="L42">
        <f>'Fats Raw Data'!Y42-'Fats Raw Data'!AI42</f>
        <v>0</v>
      </c>
      <c r="M42" t="str">
        <f>'Fats Raw Data'!AC42&amp;" - "&amp;'Fats Raw Data'!AM42</f>
        <v xml:space="preserve"> - </v>
      </c>
      <c r="O42" s="1">
        <f>'Fats Raw Data'!AE42</f>
        <v>0</v>
      </c>
      <c r="P42">
        <f>'Fats Raw Data'!AF42-'Fats Raw Data'!AP42</f>
        <v>0</v>
      </c>
      <c r="Q42">
        <f>'Fats Raw Data'!AG42-'Fats Raw Data'!AQ42</f>
        <v>0</v>
      </c>
      <c r="R42">
        <f>'Fats Raw Data'!AH42-'Fats Raw Data'!AR42</f>
        <v>0</v>
      </c>
      <c r="S42">
        <f>'Fats Raw Data'!AI42-'Fats Raw Data'!AS42</f>
        <v>0</v>
      </c>
      <c r="T42" t="str">
        <f>'Fats Raw Data'!AM42&amp;" - "&amp;'Fats Raw Data'!AW42</f>
        <v xml:space="preserve"> - </v>
      </c>
      <c r="V42" s="1">
        <f>'Fats Raw Data'!AO42</f>
        <v>0</v>
      </c>
      <c r="W42">
        <f>'Fats Raw Data'!AP42-'Fats Raw Data'!AZ42</f>
        <v>0</v>
      </c>
      <c r="X42">
        <f>'Fats Raw Data'!AQ42-'Fats Raw Data'!BA42</f>
        <v>0</v>
      </c>
      <c r="Y42">
        <f>'Fats Raw Data'!AR42-'Fats Raw Data'!BB42</f>
        <v>0</v>
      </c>
      <c r="Z42">
        <f>'Fats Raw Data'!AS42-'Fats Raw Data'!BC42</f>
        <v>0</v>
      </c>
      <c r="AA42" t="str">
        <f>'Fats Raw Data'!AW42&amp;" - "&amp;'Fats Raw Data'!BG42</f>
        <v xml:space="preserve"> - </v>
      </c>
      <c r="AC42" s="1">
        <f>'Fats Raw Data'!AY42</f>
        <v>0</v>
      </c>
      <c r="AD42">
        <f>'Fats Raw Data'!AZ42-'Fats Raw Data'!B42</f>
        <v>0</v>
      </c>
      <c r="AE42">
        <f>'Fats Raw Data'!BA42-'Fats Raw Data'!C42</f>
        <v>0</v>
      </c>
      <c r="AF42">
        <f>'Fats Raw Data'!BB42-'Fats Raw Data'!D42</f>
        <v>0</v>
      </c>
      <c r="AG42">
        <f>'Fats Raw Data'!BC42-'Fats Raw Data'!E42</f>
        <v>0</v>
      </c>
      <c r="AH42" t="str">
        <f>'Fats Raw Data'!BG42&amp;" - "&amp;'Fats Raw Data'!I42</f>
        <v xml:space="preserve"> - </v>
      </c>
      <c r="AJ42" s="1">
        <f>'Fats Raw Data'!A42</f>
        <v>0</v>
      </c>
      <c r="AK42">
        <f>'Fats Raw Data'!B42-'Fats Raw Data'!L42</f>
        <v>0</v>
      </c>
      <c r="AL42">
        <f>'Fats Raw Data'!C42-'Fats Raw Data'!M42</f>
        <v>0</v>
      </c>
      <c r="AM42">
        <f>'Fats Raw Data'!D42-'Fats Raw Data'!N42</f>
        <v>0</v>
      </c>
      <c r="AN42">
        <f>'Fats Raw Data'!E42-'Fats Raw Data'!O42</f>
        <v>0</v>
      </c>
      <c r="AO42" t="str">
        <f>'Fats Raw Data'!I42&amp;" - "&amp;'Fats Raw Data'!S42</f>
        <v xml:space="preserve"> - </v>
      </c>
      <c r="AQ42" s="1">
        <f>'Fats Raw Data'!AE42</f>
        <v>0</v>
      </c>
      <c r="AR42">
        <f>'Fats Raw Data'!AF42-'Fats Raw Data'!AZ42</f>
        <v>0</v>
      </c>
      <c r="AS42">
        <f>'Fats Raw Data'!AG42-'Fats Raw Data'!BA42</f>
        <v>0</v>
      </c>
      <c r="AT42">
        <f>'Fats Raw Data'!AH42-'Fats Raw Data'!BB42</f>
        <v>0</v>
      </c>
      <c r="AU42">
        <f>'Fats Raw Data'!AI42-'Fats Raw Data'!BC42</f>
        <v>0</v>
      </c>
      <c r="AV42" t="str">
        <f>'Fats Raw Data'!AM42&amp;" - "&amp;'Fats Raw Data'!BG42</f>
        <v xml:space="preserve"> - </v>
      </c>
      <c r="AX42" s="1">
        <f>'Fats Raw Data'!A42</f>
        <v>0</v>
      </c>
      <c r="AY42">
        <f>'Fats Raw Data'!B42-'Fats Raw Data'!V42</f>
        <v>0</v>
      </c>
      <c r="AZ42">
        <f>'Fats Raw Data'!C42-'Fats Raw Data'!W42</f>
        <v>0</v>
      </c>
      <c r="BA42">
        <f>'Fats Raw Data'!D42-'Fats Raw Data'!X42</f>
        <v>0</v>
      </c>
      <c r="BB42">
        <f>'Fats Raw Data'!E42-'Fats Raw Data'!Y42</f>
        <v>0</v>
      </c>
      <c r="BC42" t="str">
        <f>'Fats Raw Data'!I42&amp;" - "&amp;'Fats Raw Data'!AC42</f>
        <v xml:space="preserve"> - </v>
      </c>
      <c r="BE42" s="1">
        <f>'Fats Raw Data'!K42</f>
        <v>0</v>
      </c>
      <c r="BF42">
        <f>'Fats Raw Data'!L42-'Fats Raw Data'!AF42</f>
        <v>0</v>
      </c>
      <c r="BG42">
        <f>'Fats Raw Data'!M42-'Fats Raw Data'!AG42</f>
        <v>0</v>
      </c>
      <c r="BH42">
        <f>'Fats Raw Data'!N42-'Fats Raw Data'!AH42</f>
        <v>0</v>
      </c>
      <c r="BI42">
        <f>'Fats Raw Data'!O42-'Fats Raw Data'!AI42</f>
        <v>0</v>
      </c>
      <c r="BJ42" t="str">
        <f>'Fats Raw Data'!S42&amp;" - "&amp;'Fats Raw Data'!AM42</f>
        <v xml:space="preserve"> - </v>
      </c>
    </row>
    <row r="43" spans="1:62" x14ac:dyDescent="0.25">
      <c r="A43" s="1">
        <f>'Fats Raw Data'!K43</f>
        <v>0</v>
      </c>
      <c r="B43">
        <f>'Fats Raw Data'!L43-'Fats Raw Data'!V43</f>
        <v>0</v>
      </c>
      <c r="C43">
        <f>'Fats Raw Data'!M43-'Fats Raw Data'!W43</f>
        <v>0</v>
      </c>
      <c r="D43">
        <f>'Fats Raw Data'!N43-'Fats Raw Data'!X43</f>
        <v>0</v>
      </c>
      <c r="E43">
        <f>'Fats Raw Data'!O43-'Fats Raw Data'!Y43</f>
        <v>0</v>
      </c>
      <c r="F43" t="str">
        <f>'Fats Raw Data'!S43&amp;" - "&amp;'Fats Raw Data'!AC43</f>
        <v xml:space="preserve"> - </v>
      </c>
      <c r="H43" s="1">
        <f>'Fats Raw Data'!U43</f>
        <v>0</v>
      </c>
      <c r="I43">
        <f>'Fats Raw Data'!V43-'Fats Raw Data'!AF43</f>
        <v>0</v>
      </c>
      <c r="J43">
        <f>'Fats Raw Data'!W43-'Fats Raw Data'!AG43</f>
        <v>0</v>
      </c>
      <c r="K43">
        <f>'Fats Raw Data'!X43-'Fats Raw Data'!AH43</f>
        <v>0</v>
      </c>
      <c r="L43">
        <f>'Fats Raw Data'!Y43-'Fats Raw Data'!AI43</f>
        <v>0</v>
      </c>
      <c r="M43" t="str">
        <f>'Fats Raw Data'!AC43&amp;" - "&amp;'Fats Raw Data'!AM43</f>
        <v xml:space="preserve"> - </v>
      </c>
      <c r="O43" s="1">
        <f>'Fats Raw Data'!AE43</f>
        <v>0</v>
      </c>
      <c r="P43">
        <f>'Fats Raw Data'!AF43-'Fats Raw Data'!AP43</f>
        <v>0</v>
      </c>
      <c r="Q43">
        <f>'Fats Raw Data'!AG43-'Fats Raw Data'!AQ43</f>
        <v>0</v>
      </c>
      <c r="R43">
        <f>'Fats Raw Data'!AH43-'Fats Raw Data'!AR43</f>
        <v>0</v>
      </c>
      <c r="S43">
        <f>'Fats Raw Data'!AI43-'Fats Raw Data'!AS43</f>
        <v>0</v>
      </c>
      <c r="T43" t="str">
        <f>'Fats Raw Data'!AM43&amp;" - "&amp;'Fats Raw Data'!AW43</f>
        <v xml:space="preserve"> - </v>
      </c>
      <c r="V43" s="1">
        <f>'Fats Raw Data'!AO43</f>
        <v>0</v>
      </c>
      <c r="W43">
        <f>'Fats Raw Data'!AP43-'Fats Raw Data'!AZ43</f>
        <v>0</v>
      </c>
      <c r="X43">
        <f>'Fats Raw Data'!AQ43-'Fats Raw Data'!BA43</f>
        <v>0</v>
      </c>
      <c r="Y43">
        <f>'Fats Raw Data'!AR43-'Fats Raw Data'!BB43</f>
        <v>0</v>
      </c>
      <c r="Z43">
        <f>'Fats Raw Data'!AS43-'Fats Raw Data'!BC43</f>
        <v>0</v>
      </c>
      <c r="AA43" t="str">
        <f>'Fats Raw Data'!AW43&amp;" - "&amp;'Fats Raw Data'!BG43</f>
        <v xml:space="preserve"> - </v>
      </c>
      <c r="AC43" s="1">
        <f>'Fats Raw Data'!AY43</f>
        <v>0</v>
      </c>
      <c r="AD43">
        <f>'Fats Raw Data'!AZ43-'Fats Raw Data'!B43</f>
        <v>0</v>
      </c>
      <c r="AE43">
        <f>'Fats Raw Data'!BA43-'Fats Raw Data'!C43</f>
        <v>0</v>
      </c>
      <c r="AF43">
        <f>'Fats Raw Data'!BB43-'Fats Raw Data'!D43</f>
        <v>0</v>
      </c>
      <c r="AG43">
        <f>'Fats Raw Data'!BC43-'Fats Raw Data'!E43</f>
        <v>0</v>
      </c>
      <c r="AH43" t="str">
        <f>'Fats Raw Data'!BG43&amp;" - "&amp;'Fats Raw Data'!I43</f>
        <v xml:space="preserve"> - </v>
      </c>
      <c r="AJ43" s="1">
        <f>'Fats Raw Data'!A43</f>
        <v>0</v>
      </c>
      <c r="AK43">
        <f>'Fats Raw Data'!B43-'Fats Raw Data'!L43</f>
        <v>0</v>
      </c>
      <c r="AL43">
        <f>'Fats Raw Data'!C43-'Fats Raw Data'!M43</f>
        <v>0</v>
      </c>
      <c r="AM43">
        <f>'Fats Raw Data'!D43-'Fats Raw Data'!N43</f>
        <v>0</v>
      </c>
      <c r="AN43">
        <f>'Fats Raw Data'!E43-'Fats Raw Data'!O43</f>
        <v>0</v>
      </c>
      <c r="AO43" t="str">
        <f>'Fats Raw Data'!I43&amp;" - "&amp;'Fats Raw Data'!S43</f>
        <v xml:space="preserve"> - </v>
      </c>
      <c r="AQ43" s="1">
        <f>'Fats Raw Data'!AE43</f>
        <v>0</v>
      </c>
      <c r="AR43">
        <f>'Fats Raw Data'!AF43-'Fats Raw Data'!AZ43</f>
        <v>0</v>
      </c>
      <c r="AS43">
        <f>'Fats Raw Data'!AG43-'Fats Raw Data'!BA43</f>
        <v>0</v>
      </c>
      <c r="AT43">
        <f>'Fats Raw Data'!AH43-'Fats Raw Data'!BB43</f>
        <v>0</v>
      </c>
      <c r="AU43">
        <f>'Fats Raw Data'!AI43-'Fats Raw Data'!BC43</f>
        <v>0</v>
      </c>
      <c r="AV43" t="str">
        <f>'Fats Raw Data'!AM43&amp;" - "&amp;'Fats Raw Data'!BG43</f>
        <v xml:space="preserve"> - </v>
      </c>
      <c r="AX43" s="1">
        <f>'Fats Raw Data'!A43</f>
        <v>0</v>
      </c>
      <c r="AY43">
        <f>'Fats Raw Data'!B43-'Fats Raw Data'!V43</f>
        <v>0</v>
      </c>
      <c r="AZ43">
        <f>'Fats Raw Data'!C43-'Fats Raw Data'!W43</f>
        <v>0</v>
      </c>
      <c r="BA43">
        <f>'Fats Raw Data'!D43-'Fats Raw Data'!X43</f>
        <v>0</v>
      </c>
      <c r="BB43">
        <f>'Fats Raw Data'!E43-'Fats Raw Data'!Y43</f>
        <v>0</v>
      </c>
      <c r="BC43" t="str">
        <f>'Fats Raw Data'!I43&amp;" - "&amp;'Fats Raw Data'!AC43</f>
        <v xml:space="preserve"> - </v>
      </c>
      <c r="BE43" s="1">
        <f>'Fats Raw Data'!K43</f>
        <v>0</v>
      </c>
      <c r="BF43">
        <f>'Fats Raw Data'!L43-'Fats Raw Data'!AF43</f>
        <v>0</v>
      </c>
      <c r="BG43">
        <f>'Fats Raw Data'!M43-'Fats Raw Data'!AG43</f>
        <v>0</v>
      </c>
      <c r="BH43">
        <f>'Fats Raw Data'!N43-'Fats Raw Data'!AH43</f>
        <v>0</v>
      </c>
      <c r="BI43">
        <f>'Fats Raw Data'!O43-'Fats Raw Data'!AI43</f>
        <v>0</v>
      </c>
      <c r="BJ43" t="str">
        <f>'Fats Raw Data'!S43&amp;" - "&amp;'Fats Raw Data'!AM43</f>
        <v xml:space="preserve"> - </v>
      </c>
    </row>
    <row r="44" spans="1:62" x14ac:dyDescent="0.25">
      <c r="A44" s="1">
        <f>'Fats Raw Data'!K44</f>
        <v>0</v>
      </c>
      <c r="B44">
        <f>'Fats Raw Data'!L44-'Fats Raw Data'!V44</f>
        <v>0</v>
      </c>
      <c r="C44">
        <f>'Fats Raw Data'!M44-'Fats Raw Data'!W44</f>
        <v>0</v>
      </c>
      <c r="D44">
        <f>'Fats Raw Data'!N44-'Fats Raw Data'!X44</f>
        <v>0</v>
      </c>
      <c r="E44">
        <f>'Fats Raw Data'!O44-'Fats Raw Data'!Y44</f>
        <v>0</v>
      </c>
      <c r="F44" t="str">
        <f>'Fats Raw Data'!S44&amp;" - "&amp;'Fats Raw Data'!AC44</f>
        <v xml:space="preserve"> - </v>
      </c>
      <c r="H44" s="1">
        <f>'Fats Raw Data'!U44</f>
        <v>0</v>
      </c>
      <c r="I44">
        <f>'Fats Raw Data'!V44-'Fats Raw Data'!AF44</f>
        <v>0</v>
      </c>
      <c r="J44">
        <f>'Fats Raw Data'!W44-'Fats Raw Data'!AG44</f>
        <v>0</v>
      </c>
      <c r="K44">
        <f>'Fats Raw Data'!X44-'Fats Raw Data'!AH44</f>
        <v>0</v>
      </c>
      <c r="L44">
        <f>'Fats Raw Data'!Y44-'Fats Raw Data'!AI44</f>
        <v>0</v>
      </c>
      <c r="M44" t="str">
        <f>'Fats Raw Data'!AC44&amp;" - "&amp;'Fats Raw Data'!AM44</f>
        <v xml:space="preserve"> - </v>
      </c>
      <c r="O44" s="1">
        <f>'Fats Raw Data'!AE44</f>
        <v>0</v>
      </c>
      <c r="P44">
        <f>'Fats Raw Data'!AF44-'Fats Raw Data'!AP44</f>
        <v>0</v>
      </c>
      <c r="Q44">
        <f>'Fats Raw Data'!AG44-'Fats Raw Data'!AQ44</f>
        <v>0</v>
      </c>
      <c r="R44">
        <f>'Fats Raw Data'!AH44-'Fats Raw Data'!AR44</f>
        <v>0</v>
      </c>
      <c r="S44">
        <f>'Fats Raw Data'!AI44-'Fats Raw Data'!AS44</f>
        <v>0</v>
      </c>
      <c r="T44" t="str">
        <f>'Fats Raw Data'!AM44&amp;" - "&amp;'Fats Raw Data'!AW44</f>
        <v xml:space="preserve"> - </v>
      </c>
      <c r="V44" s="1">
        <f>'Fats Raw Data'!AO44</f>
        <v>0</v>
      </c>
      <c r="W44">
        <f>'Fats Raw Data'!AP44-'Fats Raw Data'!AZ44</f>
        <v>0</v>
      </c>
      <c r="X44">
        <f>'Fats Raw Data'!AQ44-'Fats Raw Data'!BA44</f>
        <v>0</v>
      </c>
      <c r="Y44">
        <f>'Fats Raw Data'!AR44-'Fats Raw Data'!BB44</f>
        <v>0</v>
      </c>
      <c r="Z44">
        <f>'Fats Raw Data'!AS44-'Fats Raw Data'!BC44</f>
        <v>0</v>
      </c>
      <c r="AA44" t="str">
        <f>'Fats Raw Data'!AW44&amp;" - "&amp;'Fats Raw Data'!BG44</f>
        <v xml:space="preserve"> - </v>
      </c>
      <c r="AC44" s="1">
        <f>'Fats Raw Data'!AY44</f>
        <v>0</v>
      </c>
      <c r="AD44">
        <f>'Fats Raw Data'!AZ44-'Fats Raw Data'!B44</f>
        <v>0</v>
      </c>
      <c r="AE44">
        <f>'Fats Raw Data'!BA44-'Fats Raw Data'!C44</f>
        <v>0</v>
      </c>
      <c r="AF44">
        <f>'Fats Raw Data'!BB44-'Fats Raw Data'!D44</f>
        <v>0</v>
      </c>
      <c r="AG44">
        <f>'Fats Raw Data'!BC44-'Fats Raw Data'!E44</f>
        <v>0</v>
      </c>
      <c r="AH44" t="str">
        <f>'Fats Raw Data'!BG44&amp;" - "&amp;'Fats Raw Data'!I44</f>
        <v xml:space="preserve"> - </v>
      </c>
      <c r="AJ44" s="1">
        <f>'Fats Raw Data'!A44</f>
        <v>0</v>
      </c>
      <c r="AK44">
        <f>'Fats Raw Data'!B44-'Fats Raw Data'!L44</f>
        <v>0</v>
      </c>
      <c r="AL44">
        <f>'Fats Raw Data'!C44-'Fats Raw Data'!M44</f>
        <v>0</v>
      </c>
      <c r="AM44">
        <f>'Fats Raw Data'!D44-'Fats Raw Data'!N44</f>
        <v>0</v>
      </c>
      <c r="AN44">
        <f>'Fats Raw Data'!E44-'Fats Raw Data'!O44</f>
        <v>0</v>
      </c>
      <c r="AO44" t="str">
        <f>'Fats Raw Data'!I44&amp;" - "&amp;'Fats Raw Data'!S44</f>
        <v xml:space="preserve"> - </v>
      </c>
      <c r="AQ44" s="1">
        <f>'Fats Raw Data'!AE44</f>
        <v>0</v>
      </c>
      <c r="AR44">
        <f>'Fats Raw Data'!AF44-'Fats Raw Data'!AZ44</f>
        <v>0</v>
      </c>
      <c r="AS44">
        <f>'Fats Raw Data'!AG44-'Fats Raw Data'!BA44</f>
        <v>0</v>
      </c>
      <c r="AT44">
        <f>'Fats Raw Data'!AH44-'Fats Raw Data'!BB44</f>
        <v>0</v>
      </c>
      <c r="AU44">
        <f>'Fats Raw Data'!AI44-'Fats Raw Data'!BC44</f>
        <v>0</v>
      </c>
      <c r="AV44" t="str">
        <f>'Fats Raw Data'!AM44&amp;" - "&amp;'Fats Raw Data'!BG44</f>
        <v xml:space="preserve"> - </v>
      </c>
      <c r="AX44" s="1">
        <f>'Fats Raw Data'!A44</f>
        <v>0</v>
      </c>
      <c r="AY44">
        <f>'Fats Raw Data'!B44-'Fats Raw Data'!V44</f>
        <v>0</v>
      </c>
      <c r="AZ44">
        <f>'Fats Raw Data'!C44-'Fats Raw Data'!W44</f>
        <v>0</v>
      </c>
      <c r="BA44">
        <f>'Fats Raw Data'!D44-'Fats Raw Data'!X44</f>
        <v>0</v>
      </c>
      <c r="BB44">
        <f>'Fats Raw Data'!E44-'Fats Raw Data'!Y44</f>
        <v>0</v>
      </c>
      <c r="BC44" t="str">
        <f>'Fats Raw Data'!I44&amp;" - "&amp;'Fats Raw Data'!AC44</f>
        <v xml:space="preserve"> - </v>
      </c>
      <c r="BE44" s="1">
        <f>'Fats Raw Data'!K44</f>
        <v>0</v>
      </c>
      <c r="BF44">
        <f>'Fats Raw Data'!L44-'Fats Raw Data'!AF44</f>
        <v>0</v>
      </c>
      <c r="BG44">
        <f>'Fats Raw Data'!M44-'Fats Raw Data'!AG44</f>
        <v>0</v>
      </c>
      <c r="BH44">
        <f>'Fats Raw Data'!N44-'Fats Raw Data'!AH44</f>
        <v>0</v>
      </c>
      <c r="BI44">
        <f>'Fats Raw Data'!O44-'Fats Raw Data'!AI44</f>
        <v>0</v>
      </c>
      <c r="BJ44" t="str">
        <f>'Fats Raw Data'!S44&amp;" - "&amp;'Fats Raw Data'!AM44</f>
        <v xml:space="preserve"> - </v>
      </c>
    </row>
    <row r="45" spans="1:62" x14ac:dyDescent="0.25">
      <c r="A45" s="1">
        <f>'Fats Raw Data'!K45</f>
        <v>0</v>
      </c>
      <c r="B45">
        <f>'Fats Raw Data'!L45-'Fats Raw Data'!V45</f>
        <v>0</v>
      </c>
      <c r="C45">
        <f>'Fats Raw Data'!M45-'Fats Raw Data'!W45</f>
        <v>0</v>
      </c>
      <c r="D45">
        <f>'Fats Raw Data'!N45-'Fats Raw Data'!X45</f>
        <v>0</v>
      </c>
      <c r="E45">
        <f>'Fats Raw Data'!O45-'Fats Raw Data'!Y45</f>
        <v>0</v>
      </c>
      <c r="F45" t="str">
        <f>'Fats Raw Data'!S45&amp;" - "&amp;'Fats Raw Data'!AC45</f>
        <v xml:space="preserve"> - </v>
      </c>
      <c r="H45" s="1">
        <f>'Fats Raw Data'!U45</f>
        <v>0</v>
      </c>
      <c r="I45">
        <f>'Fats Raw Data'!V45-'Fats Raw Data'!AF45</f>
        <v>0</v>
      </c>
      <c r="J45">
        <f>'Fats Raw Data'!W45-'Fats Raw Data'!AG45</f>
        <v>0</v>
      </c>
      <c r="K45">
        <f>'Fats Raw Data'!X45-'Fats Raw Data'!AH45</f>
        <v>0</v>
      </c>
      <c r="L45">
        <f>'Fats Raw Data'!Y45-'Fats Raw Data'!AI45</f>
        <v>0</v>
      </c>
      <c r="M45" t="str">
        <f>'Fats Raw Data'!AC45&amp;" - "&amp;'Fats Raw Data'!AM45</f>
        <v xml:space="preserve"> - </v>
      </c>
      <c r="O45" s="1">
        <f>'Fats Raw Data'!AE45</f>
        <v>0</v>
      </c>
      <c r="P45">
        <f>'Fats Raw Data'!AF45-'Fats Raw Data'!AP45</f>
        <v>0</v>
      </c>
      <c r="Q45">
        <f>'Fats Raw Data'!AG45-'Fats Raw Data'!AQ45</f>
        <v>0</v>
      </c>
      <c r="R45">
        <f>'Fats Raw Data'!AH45-'Fats Raw Data'!AR45</f>
        <v>0</v>
      </c>
      <c r="S45">
        <f>'Fats Raw Data'!AI45-'Fats Raw Data'!AS45</f>
        <v>0</v>
      </c>
      <c r="T45" t="str">
        <f>'Fats Raw Data'!AM45&amp;" - "&amp;'Fats Raw Data'!AW45</f>
        <v xml:space="preserve"> - </v>
      </c>
      <c r="V45" s="1">
        <f>'Fats Raw Data'!AO45</f>
        <v>0</v>
      </c>
      <c r="W45">
        <f>'Fats Raw Data'!AP45-'Fats Raw Data'!AZ45</f>
        <v>0</v>
      </c>
      <c r="X45">
        <f>'Fats Raw Data'!AQ45-'Fats Raw Data'!BA45</f>
        <v>0</v>
      </c>
      <c r="Y45">
        <f>'Fats Raw Data'!AR45-'Fats Raw Data'!BB45</f>
        <v>0</v>
      </c>
      <c r="Z45">
        <f>'Fats Raw Data'!AS45-'Fats Raw Data'!BC45</f>
        <v>0</v>
      </c>
      <c r="AA45" t="str">
        <f>'Fats Raw Data'!AW45&amp;" - "&amp;'Fats Raw Data'!BG45</f>
        <v xml:space="preserve"> - </v>
      </c>
      <c r="AC45" s="1">
        <f>'Fats Raw Data'!AY45</f>
        <v>0</v>
      </c>
      <c r="AD45">
        <f>'Fats Raw Data'!AZ45-'Fats Raw Data'!B45</f>
        <v>0</v>
      </c>
      <c r="AE45">
        <f>'Fats Raw Data'!BA45-'Fats Raw Data'!C45</f>
        <v>0</v>
      </c>
      <c r="AF45">
        <f>'Fats Raw Data'!BB45-'Fats Raw Data'!D45</f>
        <v>0</v>
      </c>
      <c r="AG45">
        <f>'Fats Raw Data'!BC45-'Fats Raw Data'!E45</f>
        <v>0</v>
      </c>
      <c r="AH45" t="str">
        <f>'Fats Raw Data'!BG45&amp;" - "&amp;'Fats Raw Data'!I45</f>
        <v xml:space="preserve"> - </v>
      </c>
      <c r="AJ45" s="1">
        <f>'Fats Raw Data'!A45</f>
        <v>0</v>
      </c>
      <c r="AK45">
        <f>'Fats Raw Data'!B45-'Fats Raw Data'!L45</f>
        <v>0</v>
      </c>
      <c r="AL45">
        <f>'Fats Raw Data'!C45-'Fats Raw Data'!M45</f>
        <v>0</v>
      </c>
      <c r="AM45">
        <f>'Fats Raw Data'!D45-'Fats Raw Data'!N45</f>
        <v>0</v>
      </c>
      <c r="AN45">
        <f>'Fats Raw Data'!E45-'Fats Raw Data'!O45</f>
        <v>0</v>
      </c>
      <c r="AO45" t="str">
        <f>'Fats Raw Data'!I45&amp;" - "&amp;'Fats Raw Data'!S45</f>
        <v xml:space="preserve"> - </v>
      </c>
      <c r="AQ45" s="1">
        <f>'Fats Raw Data'!AE45</f>
        <v>0</v>
      </c>
      <c r="AR45">
        <f>'Fats Raw Data'!AF45-'Fats Raw Data'!AZ45</f>
        <v>0</v>
      </c>
      <c r="AS45">
        <f>'Fats Raw Data'!AG45-'Fats Raw Data'!BA45</f>
        <v>0</v>
      </c>
      <c r="AT45">
        <f>'Fats Raw Data'!AH45-'Fats Raw Data'!BB45</f>
        <v>0</v>
      </c>
      <c r="AU45">
        <f>'Fats Raw Data'!AI45-'Fats Raw Data'!BC45</f>
        <v>0</v>
      </c>
      <c r="AV45" t="str">
        <f>'Fats Raw Data'!AM45&amp;" - "&amp;'Fats Raw Data'!BG45</f>
        <v xml:space="preserve"> - </v>
      </c>
      <c r="AX45" s="1">
        <f>'Fats Raw Data'!A45</f>
        <v>0</v>
      </c>
      <c r="AY45">
        <f>'Fats Raw Data'!B45-'Fats Raw Data'!V45</f>
        <v>0</v>
      </c>
      <c r="AZ45">
        <f>'Fats Raw Data'!C45-'Fats Raw Data'!W45</f>
        <v>0</v>
      </c>
      <c r="BA45">
        <f>'Fats Raw Data'!D45-'Fats Raw Data'!X45</f>
        <v>0</v>
      </c>
      <c r="BB45">
        <f>'Fats Raw Data'!E45-'Fats Raw Data'!Y45</f>
        <v>0</v>
      </c>
      <c r="BC45" t="str">
        <f>'Fats Raw Data'!I45&amp;" - "&amp;'Fats Raw Data'!AC45</f>
        <v xml:space="preserve"> - </v>
      </c>
      <c r="BE45" s="1">
        <f>'Fats Raw Data'!K45</f>
        <v>0</v>
      </c>
      <c r="BF45">
        <f>'Fats Raw Data'!L45-'Fats Raw Data'!AF45</f>
        <v>0</v>
      </c>
      <c r="BG45">
        <f>'Fats Raw Data'!M45-'Fats Raw Data'!AG45</f>
        <v>0</v>
      </c>
      <c r="BH45">
        <f>'Fats Raw Data'!N45-'Fats Raw Data'!AH45</f>
        <v>0</v>
      </c>
      <c r="BI45">
        <f>'Fats Raw Data'!O45-'Fats Raw Data'!AI45</f>
        <v>0</v>
      </c>
      <c r="BJ45" t="str">
        <f>'Fats Raw Data'!S45&amp;" - "&amp;'Fats Raw Data'!AM45</f>
        <v xml:space="preserve"> - </v>
      </c>
    </row>
    <row r="46" spans="1:62" x14ac:dyDescent="0.25">
      <c r="A46" s="1">
        <f>'Fats Raw Data'!K46</f>
        <v>0</v>
      </c>
      <c r="B46">
        <f>'Fats Raw Data'!L46-'Fats Raw Data'!V46</f>
        <v>0</v>
      </c>
      <c r="C46">
        <f>'Fats Raw Data'!M46-'Fats Raw Data'!W46</f>
        <v>0</v>
      </c>
      <c r="D46">
        <f>'Fats Raw Data'!N46-'Fats Raw Data'!X46</f>
        <v>0</v>
      </c>
      <c r="E46">
        <f>'Fats Raw Data'!O46-'Fats Raw Data'!Y46</f>
        <v>0</v>
      </c>
      <c r="F46" t="str">
        <f>'Fats Raw Data'!S46&amp;" - "&amp;'Fats Raw Data'!AC46</f>
        <v xml:space="preserve"> - </v>
      </c>
      <c r="H46" s="1">
        <f>'Fats Raw Data'!U46</f>
        <v>0</v>
      </c>
      <c r="I46">
        <f>'Fats Raw Data'!V46-'Fats Raw Data'!AF46</f>
        <v>0</v>
      </c>
      <c r="J46">
        <f>'Fats Raw Data'!W46-'Fats Raw Data'!AG46</f>
        <v>0</v>
      </c>
      <c r="K46">
        <f>'Fats Raw Data'!X46-'Fats Raw Data'!AH46</f>
        <v>0</v>
      </c>
      <c r="L46">
        <f>'Fats Raw Data'!Y46-'Fats Raw Data'!AI46</f>
        <v>0</v>
      </c>
      <c r="M46" t="str">
        <f>'Fats Raw Data'!AC46&amp;" - "&amp;'Fats Raw Data'!AM46</f>
        <v xml:space="preserve"> - </v>
      </c>
      <c r="O46" s="1">
        <f>'Fats Raw Data'!AE46</f>
        <v>0</v>
      </c>
      <c r="P46">
        <f>'Fats Raw Data'!AF46-'Fats Raw Data'!AP46</f>
        <v>0</v>
      </c>
      <c r="Q46">
        <f>'Fats Raw Data'!AG46-'Fats Raw Data'!AQ46</f>
        <v>0</v>
      </c>
      <c r="R46">
        <f>'Fats Raw Data'!AH46-'Fats Raw Data'!AR46</f>
        <v>0</v>
      </c>
      <c r="S46">
        <f>'Fats Raw Data'!AI46-'Fats Raw Data'!AS46</f>
        <v>0</v>
      </c>
      <c r="T46" t="str">
        <f>'Fats Raw Data'!AM46&amp;" - "&amp;'Fats Raw Data'!AW46</f>
        <v xml:space="preserve"> - </v>
      </c>
      <c r="V46" s="1">
        <f>'Fats Raw Data'!AO46</f>
        <v>0</v>
      </c>
      <c r="W46">
        <f>'Fats Raw Data'!AP46-'Fats Raw Data'!AZ46</f>
        <v>0</v>
      </c>
      <c r="X46">
        <f>'Fats Raw Data'!AQ46-'Fats Raw Data'!BA46</f>
        <v>0</v>
      </c>
      <c r="Y46">
        <f>'Fats Raw Data'!AR46-'Fats Raw Data'!BB46</f>
        <v>0</v>
      </c>
      <c r="Z46">
        <f>'Fats Raw Data'!AS46-'Fats Raw Data'!BC46</f>
        <v>0</v>
      </c>
      <c r="AA46" t="str">
        <f>'Fats Raw Data'!AW46&amp;" - "&amp;'Fats Raw Data'!BG46</f>
        <v xml:space="preserve"> - </v>
      </c>
      <c r="AC46" s="1">
        <f>'Fats Raw Data'!AY46</f>
        <v>0</v>
      </c>
      <c r="AD46">
        <f>'Fats Raw Data'!AZ46-'Fats Raw Data'!B46</f>
        <v>0</v>
      </c>
      <c r="AE46">
        <f>'Fats Raw Data'!BA46-'Fats Raw Data'!C46</f>
        <v>0</v>
      </c>
      <c r="AF46">
        <f>'Fats Raw Data'!BB46-'Fats Raw Data'!D46</f>
        <v>0</v>
      </c>
      <c r="AG46">
        <f>'Fats Raw Data'!BC46-'Fats Raw Data'!E46</f>
        <v>0</v>
      </c>
      <c r="AH46" t="str">
        <f>'Fats Raw Data'!BG46&amp;" - "&amp;'Fats Raw Data'!I46</f>
        <v xml:space="preserve"> - </v>
      </c>
      <c r="AJ46" s="1">
        <f>'Fats Raw Data'!A46</f>
        <v>0</v>
      </c>
      <c r="AK46">
        <f>'Fats Raw Data'!B46-'Fats Raw Data'!L46</f>
        <v>0</v>
      </c>
      <c r="AL46">
        <f>'Fats Raw Data'!C46-'Fats Raw Data'!M46</f>
        <v>0</v>
      </c>
      <c r="AM46">
        <f>'Fats Raw Data'!D46-'Fats Raw Data'!N46</f>
        <v>0</v>
      </c>
      <c r="AN46">
        <f>'Fats Raw Data'!E46-'Fats Raw Data'!O46</f>
        <v>0</v>
      </c>
      <c r="AO46" t="str">
        <f>'Fats Raw Data'!I46&amp;" - "&amp;'Fats Raw Data'!S46</f>
        <v xml:space="preserve"> - </v>
      </c>
      <c r="AQ46" s="1">
        <f>'Fats Raw Data'!AE46</f>
        <v>0</v>
      </c>
      <c r="AR46">
        <f>'Fats Raw Data'!AF46-'Fats Raw Data'!AZ46</f>
        <v>0</v>
      </c>
      <c r="AS46">
        <f>'Fats Raw Data'!AG46-'Fats Raw Data'!BA46</f>
        <v>0</v>
      </c>
      <c r="AT46">
        <f>'Fats Raw Data'!AH46-'Fats Raw Data'!BB46</f>
        <v>0</v>
      </c>
      <c r="AU46">
        <f>'Fats Raw Data'!AI46-'Fats Raw Data'!BC46</f>
        <v>0</v>
      </c>
      <c r="AV46" t="str">
        <f>'Fats Raw Data'!AM46&amp;" - "&amp;'Fats Raw Data'!BG46</f>
        <v xml:space="preserve"> - </v>
      </c>
      <c r="AX46" s="1">
        <f>'Fats Raw Data'!A46</f>
        <v>0</v>
      </c>
      <c r="AY46">
        <f>'Fats Raw Data'!B46-'Fats Raw Data'!V46</f>
        <v>0</v>
      </c>
      <c r="AZ46">
        <f>'Fats Raw Data'!C46-'Fats Raw Data'!W46</f>
        <v>0</v>
      </c>
      <c r="BA46">
        <f>'Fats Raw Data'!D46-'Fats Raw Data'!X46</f>
        <v>0</v>
      </c>
      <c r="BB46">
        <f>'Fats Raw Data'!E46-'Fats Raw Data'!Y46</f>
        <v>0</v>
      </c>
      <c r="BC46" t="str">
        <f>'Fats Raw Data'!I46&amp;" - "&amp;'Fats Raw Data'!AC46</f>
        <v xml:space="preserve"> - </v>
      </c>
      <c r="BE46" s="1">
        <f>'Fats Raw Data'!K46</f>
        <v>0</v>
      </c>
      <c r="BF46">
        <f>'Fats Raw Data'!L46-'Fats Raw Data'!AF46</f>
        <v>0</v>
      </c>
      <c r="BG46">
        <f>'Fats Raw Data'!M46-'Fats Raw Data'!AG46</f>
        <v>0</v>
      </c>
      <c r="BH46">
        <f>'Fats Raw Data'!N46-'Fats Raw Data'!AH46</f>
        <v>0</v>
      </c>
      <c r="BI46">
        <f>'Fats Raw Data'!O46-'Fats Raw Data'!AI46</f>
        <v>0</v>
      </c>
      <c r="BJ46" t="str">
        <f>'Fats Raw Data'!S46&amp;" - "&amp;'Fats Raw Data'!AM46</f>
        <v xml:space="preserve"> - </v>
      </c>
    </row>
    <row r="47" spans="1:62" x14ac:dyDescent="0.25">
      <c r="A47" s="1">
        <f>'Fats Raw Data'!K47</f>
        <v>0</v>
      </c>
      <c r="B47">
        <f>'Fats Raw Data'!L47-'Fats Raw Data'!V47</f>
        <v>0</v>
      </c>
      <c r="C47">
        <f>'Fats Raw Data'!M47-'Fats Raw Data'!W47</f>
        <v>0</v>
      </c>
      <c r="D47">
        <f>'Fats Raw Data'!N47-'Fats Raw Data'!X47</f>
        <v>0</v>
      </c>
      <c r="E47">
        <f>'Fats Raw Data'!O47-'Fats Raw Data'!Y47</f>
        <v>0</v>
      </c>
      <c r="F47" t="str">
        <f>'Fats Raw Data'!S47&amp;" - "&amp;'Fats Raw Data'!AC47</f>
        <v xml:space="preserve"> - </v>
      </c>
      <c r="H47" s="1">
        <f>'Fats Raw Data'!U47</f>
        <v>0</v>
      </c>
      <c r="I47">
        <f>'Fats Raw Data'!V47-'Fats Raw Data'!AF47</f>
        <v>0</v>
      </c>
      <c r="J47">
        <f>'Fats Raw Data'!W47-'Fats Raw Data'!AG47</f>
        <v>0</v>
      </c>
      <c r="K47">
        <f>'Fats Raw Data'!X47-'Fats Raw Data'!AH47</f>
        <v>0</v>
      </c>
      <c r="L47">
        <f>'Fats Raw Data'!Y47-'Fats Raw Data'!AI47</f>
        <v>0</v>
      </c>
      <c r="M47" t="str">
        <f>'Fats Raw Data'!AC47&amp;" - "&amp;'Fats Raw Data'!AM47</f>
        <v xml:space="preserve"> - </v>
      </c>
      <c r="O47" s="1">
        <f>'Fats Raw Data'!AE47</f>
        <v>0</v>
      </c>
      <c r="P47">
        <f>'Fats Raw Data'!AF47-'Fats Raw Data'!AP47</f>
        <v>0</v>
      </c>
      <c r="Q47">
        <f>'Fats Raw Data'!AG47-'Fats Raw Data'!AQ47</f>
        <v>0</v>
      </c>
      <c r="R47">
        <f>'Fats Raw Data'!AH47-'Fats Raw Data'!AR47</f>
        <v>0</v>
      </c>
      <c r="S47">
        <f>'Fats Raw Data'!AI47-'Fats Raw Data'!AS47</f>
        <v>0</v>
      </c>
      <c r="T47" t="str">
        <f>'Fats Raw Data'!AM47&amp;" - "&amp;'Fats Raw Data'!AW47</f>
        <v xml:space="preserve"> - </v>
      </c>
      <c r="V47" s="1">
        <f>'Fats Raw Data'!AO47</f>
        <v>0</v>
      </c>
      <c r="W47">
        <f>'Fats Raw Data'!AP47-'Fats Raw Data'!AZ47</f>
        <v>0</v>
      </c>
      <c r="X47">
        <f>'Fats Raw Data'!AQ47-'Fats Raw Data'!BA47</f>
        <v>0</v>
      </c>
      <c r="Y47">
        <f>'Fats Raw Data'!AR47-'Fats Raw Data'!BB47</f>
        <v>0</v>
      </c>
      <c r="Z47">
        <f>'Fats Raw Data'!AS47-'Fats Raw Data'!BC47</f>
        <v>0</v>
      </c>
      <c r="AA47" t="str">
        <f>'Fats Raw Data'!AW47&amp;" - "&amp;'Fats Raw Data'!BG47</f>
        <v xml:space="preserve"> - </v>
      </c>
      <c r="AC47" s="1">
        <f>'Fats Raw Data'!AY47</f>
        <v>0</v>
      </c>
      <c r="AD47">
        <f>'Fats Raw Data'!AZ47-'Fats Raw Data'!B47</f>
        <v>0</v>
      </c>
      <c r="AE47">
        <f>'Fats Raw Data'!BA47-'Fats Raw Data'!C47</f>
        <v>0</v>
      </c>
      <c r="AF47">
        <f>'Fats Raw Data'!BB47-'Fats Raw Data'!D47</f>
        <v>0</v>
      </c>
      <c r="AG47">
        <f>'Fats Raw Data'!BC47-'Fats Raw Data'!E47</f>
        <v>0</v>
      </c>
      <c r="AH47" t="str">
        <f>'Fats Raw Data'!BG47&amp;" - "&amp;'Fats Raw Data'!I47</f>
        <v xml:space="preserve"> - </v>
      </c>
      <c r="AJ47" s="1">
        <f>'Fats Raw Data'!A47</f>
        <v>0</v>
      </c>
      <c r="AK47">
        <f>'Fats Raw Data'!B47-'Fats Raw Data'!L47</f>
        <v>0</v>
      </c>
      <c r="AL47">
        <f>'Fats Raw Data'!C47-'Fats Raw Data'!M47</f>
        <v>0</v>
      </c>
      <c r="AM47">
        <f>'Fats Raw Data'!D47-'Fats Raw Data'!N47</f>
        <v>0</v>
      </c>
      <c r="AN47">
        <f>'Fats Raw Data'!E47-'Fats Raw Data'!O47</f>
        <v>0</v>
      </c>
      <c r="AO47" t="str">
        <f>'Fats Raw Data'!I47&amp;" - "&amp;'Fats Raw Data'!S47</f>
        <v xml:space="preserve"> - </v>
      </c>
      <c r="AQ47" s="1">
        <f>'Fats Raw Data'!AE47</f>
        <v>0</v>
      </c>
      <c r="AR47">
        <f>'Fats Raw Data'!AF47-'Fats Raw Data'!AZ47</f>
        <v>0</v>
      </c>
      <c r="AS47">
        <f>'Fats Raw Data'!AG47-'Fats Raw Data'!BA47</f>
        <v>0</v>
      </c>
      <c r="AT47">
        <f>'Fats Raw Data'!AH47-'Fats Raw Data'!BB47</f>
        <v>0</v>
      </c>
      <c r="AU47">
        <f>'Fats Raw Data'!AI47-'Fats Raw Data'!BC47</f>
        <v>0</v>
      </c>
      <c r="AV47" t="str">
        <f>'Fats Raw Data'!AM47&amp;" - "&amp;'Fats Raw Data'!BG47</f>
        <v xml:space="preserve"> - </v>
      </c>
      <c r="AX47" s="1">
        <f>'Fats Raw Data'!A47</f>
        <v>0</v>
      </c>
      <c r="AY47">
        <f>'Fats Raw Data'!B47-'Fats Raw Data'!V47</f>
        <v>0</v>
      </c>
      <c r="AZ47">
        <f>'Fats Raw Data'!C47-'Fats Raw Data'!W47</f>
        <v>0</v>
      </c>
      <c r="BA47">
        <f>'Fats Raw Data'!D47-'Fats Raw Data'!X47</f>
        <v>0</v>
      </c>
      <c r="BB47">
        <f>'Fats Raw Data'!E47-'Fats Raw Data'!Y47</f>
        <v>0</v>
      </c>
      <c r="BC47" t="str">
        <f>'Fats Raw Data'!I47&amp;" - "&amp;'Fats Raw Data'!AC47</f>
        <v xml:space="preserve"> - </v>
      </c>
      <c r="BE47" s="1">
        <f>'Fats Raw Data'!K47</f>
        <v>0</v>
      </c>
      <c r="BF47">
        <f>'Fats Raw Data'!L47-'Fats Raw Data'!AF47</f>
        <v>0</v>
      </c>
      <c r="BG47">
        <f>'Fats Raw Data'!M47-'Fats Raw Data'!AG47</f>
        <v>0</v>
      </c>
      <c r="BH47">
        <f>'Fats Raw Data'!N47-'Fats Raw Data'!AH47</f>
        <v>0</v>
      </c>
      <c r="BI47">
        <f>'Fats Raw Data'!O47-'Fats Raw Data'!AI47</f>
        <v>0</v>
      </c>
      <c r="BJ47" t="str">
        <f>'Fats Raw Data'!S47&amp;" - "&amp;'Fats Raw Data'!AM47</f>
        <v xml:space="preserve"> - </v>
      </c>
    </row>
    <row r="48" spans="1:62" x14ac:dyDescent="0.25">
      <c r="A48" s="1">
        <f>'Fats Raw Data'!K48</f>
        <v>0</v>
      </c>
      <c r="B48">
        <f>'Fats Raw Data'!L48-'Fats Raw Data'!V48</f>
        <v>0</v>
      </c>
      <c r="C48">
        <f>'Fats Raw Data'!M48-'Fats Raw Data'!W48</f>
        <v>0</v>
      </c>
      <c r="D48">
        <f>'Fats Raw Data'!N48-'Fats Raw Data'!X48</f>
        <v>0</v>
      </c>
      <c r="E48">
        <f>'Fats Raw Data'!O48-'Fats Raw Data'!Y48</f>
        <v>0</v>
      </c>
      <c r="F48" t="str">
        <f>'Fats Raw Data'!S48&amp;" - "&amp;'Fats Raw Data'!AC48</f>
        <v xml:space="preserve"> - </v>
      </c>
      <c r="H48" s="1">
        <f>'Fats Raw Data'!U48</f>
        <v>0</v>
      </c>
      <c r="I48">
        <f>'Fats Raw Data'!V48-'Fats Raw Data'!AF48</f>
        <v>0</v>
      </c>
      <c r="J48">
        <f>'Fats Raw Data'!W48-'Fats Raw Data'!AG48</f>
        <v>0</v>
      </c>
      <c r="K48">
        <f>'Fats Raw Data'!X48-'Fats Raw Data'!AH48</f>
        <v>0</v>
      </c>
      <c r="L48">
        <f>'Fats Raw Data'!Y48-'Fats Raw Data'!AI48</f>
        <v>0</v>
      </c>
      <c r="M48" t="str">
        <f>'Fats Raw Data'!AC48&amp;" - "&amp;'Fats Raw Data'!AM48</f>
        <v xml:space="preserve"> - </v>
      </c>
      <c r="O48" s="1">
        <f>'Fats Raw Data'!AE48</f>
        <v>0</v>
      </c>
      <c r="P48">
        <f>'Fats Raw Data'!AF48-'Fats Raw Data'!AP48</f>
        <v>0</v>
      </c>
      <c r="Q48">
        <f>'Fats Raw Data'!AG48-'Fats Raw Data'!AQ48</f>
        <v>0</v>
      </c>
      <c r="R48">
        <f>'Fats Raw Data'!AH48-'Fats Raw Data'!AR48</f>
        <v>0</v>
      </c>
      <c r="S48">
        <f>'Fats Raw Data'!AI48-'Fats Raw Data'!AS48</f>
        <v>0</v>
      </c>
      <c r="T48" t="str">
        <f>'Fats Raw Data'!AM48&amp;" - "&amp;'Fats Raw Data'!AW48</f>
        <v xml:space="preserve"> - </v>
      </c>
      <c r="V48" s="1">
        <f>'Fats Raw Data'!AO48</f>
        <v>0</v>
      </c>
      <c r="W48">
        <f>'Fats Raw Data'!AP48-'Fats Raw Data'!AZ48</f>
        <v>0</v>
      </c>
      <c r="X48">
        <f>'Fats Raw Data'!AQ48-'Fats Raw Data'!BA48</f>
        <v>0</v>
      </c>
      <c r="Y48">
        <f>'Fats Raw Data'!AR48-'Fats Raw Data'!BB48</f>
        <v>0</v>
      </c>
      <c r="Z48">
        <f>'Fats Raw Data'!AS48-'Fats Raw Data'!BC48</f>
        <v>0</v>
      </c>
      <c r="AA48" t="str">
        <f>'Fats Raw Data'!AW48&amp;" - "&amp;'Fats Raw Data'!BG48</f>
        <v xml:space="preserve"> - </v>
      </c>
      <c r="AC48" s="1">
        <f>'Fats Raw Data'!AY48</f>
        <v>0</v>
      </c>
      <c r="AD48">
        <f>'Fats Raw Data'!AZ48-'Fats Raw Data'!B48</f>
        <v>0</v>
      </c>
      <c r="AE48">
        <f>'Fats Raw Data'!BA48-'Fats Raw Data'!C48</f>
        <v>0</v>
      </c>
      <c r="AF48">
        <f>'Fats Raw Data'!BB48-'Fats Raw Data'!D48</f>
        <v>0</v>
      </c>
      <c r="AG48">
        <f>'Fats Raw Data'!BC48-'Fats Raw Data'!E48</f>
        <v>0</v>
      </c>
      <c r="AH48" t="str">
        <f>'Fats Raw Data'!BG48&amp;" - "&amp;'Fats Raw Data'!I48</f>
        <v xml:space="preserve"> - </v>
      </c>
      <c r="AJ48" s="1">
        <f>'Fats Raw Data'!A48</f>
        <v>0</v>
      </c>
      <c r="AK48">
        <f>'Fats Raw Data'!B48-'Fats Raw Data'!L48</f>
        <v>0</v>
      </c>
      <c r="AL48">
        <f>'Fats Raw Data'!C48-'Fats Raw Data'!M48</f>
        <v>0</v>
      </c>
      <c r="AM48">
        <f>'Fats Raw Data'!D48-'Fats Raw Data'!N48</f>
        <v>0</v>
      </c>
      <c r="AN48">
        <f>'Fats Raw Data'!E48-'Fats Raw Data'!O48</f>
        <v>0</v>
      </c>
      <c r="AO48" t="str">
        <f>'Fats Raw Data'!I48&amp;" - "&amp;'Fats Raw Data'!S48</f>
        <v xml:space="preserve"> - </v>
      </c>
      <c r="AQ48" s="1">
        <f>'Fats Raw Data'!AE48</f>
        <v>0</v>
      </c>
      <c r="AR48">
        <f>'Fats Raw Data'!AF48-'Fats Raw Data'!AZ48</f>
        <v>0</v>
      </c>
      <c r="AS48">
        <f>'Fats Raw Data'!AG48-'Fats Raw Data'!BA48</f>
        <v>0</v>
      </c>
      <c r="AT48">
        <f>'Fats Raw Data'!AH48-'Fats Raw Data'!BB48</f>
        <v>0</v>
      </c>
      <c r="AU48">
        <f>'Fats Raw Data'!AI48-'Fats Raw Data'!BC48</f>
        <v>0</v>
      </c>
      <c r="AV48" t="str">
        <f>'Fats Raw Data'!AM48&amp;" - "&amp;'Fats Raw Data'!BG48</f>
        <v xml:space="preserve"> - </v>
      </c>
      <c r="AX48" s="1">
        <f>'Fats Raw Data'!A48</f>
        <v>0</v>
      </c>
      <c r="AY48">
        <f>'Fats Raw Data'!B48-'Fats Raw Data'!V48</f>
        <v>0</v>
      </c>
      <c r="AZ48">
        <f>'Fats Raw Data'!C48-'Fats Raw Data'!W48</f>
        <v>0</v>
      </c>
      <c r="BA48">
        <f>'Fats Raw Data'!D48-'Fats Raw Data'!X48</f>
        <v>0</v>
      </c>
      <c r="BB48">
        <f>'Fats Raw Data'!E48-'Fats Raw Data'!Y48</f>
        <v>0</v>
      </c>
      <c r="BC48" t="str">
        <f>'Fats Raw Data'!I48&amp;" - "&amp;'Fats Raw Data'!AC48</f>
        <v xml:space="preserve"> - </v>
      </c>
      <c r="BE48" s="1">
        <f>'Fats Raw Data'!K48</f>
        <v>0</v>
      </c>
      <c r="BF48">
        <f>'Fats Raw Data'!L48-'Fats Raw Data'!AF48</f>
        <v>0</v>
      </c>
      <c r="BG48">
        <f>'Fats Raw Data'!M48-'Fats Raw Data'!AG48</f>
        <v>0</v>
      </c>
      <c r="BH48">
        <f>'Fats Raw Data'!N48-'Fats Raw Data'!AH48</f>
        <v>0</v>
      </c>
      <c r="BI48">
        <f>'Fats Raw Data'!O48-'Fats Raw Data'!AI48</f>
        <v>0</v>
      </c>
      <c r="BJ48" t="str">
        <f>'Fats Raw Data'!S48&amp;" - "&amp;'Fats Raw Data'!AM48</f>
        <v xml:space="preserve"> - </v>
      </c>
    </row>
    <row r="49" spans="1:62" x14ac:dyDescent="0.25">
      <c r="A49" s="1">
        <f>'Fats Raw Data'!K49</f>
        <v>0</v>
      </c>
      <c r="B49">
        <f>'Fats Raw Data'!L49-'Fats Raw Data'!V49</f>
        <v>0</v>
      </c>
      <c r="C49">
        <f>'Fats Raw Data'!M49-'Fats Raw Data'!W49</f>
        <v>0</v>
      </c>
      <c r="D49">
        <f>'Fats Raw Data'!N49-'Fats Raw Data'!X49</f>
        <v>0</v>
      </c>
      <c r="E49">
        <f>'Fats Raw Data'!O49-'Fats Raw Data'!Y49</f>
        <v>0</v>
      </c>
      <c r="F49" t="str">
        <f>'Fats Raw Data'!S49&amp;" - "&amp;'Fats Raw Data'!AC49</f>
        <v xml:space="preserve"> - </v>
      </c>
      <c r="H49" s="1">
        <f>'Fats Raw Data'!U49</f>
        <v>0</v>
      </c>
      <c r="I49">
        <f>'Fats Raw Data'!V49-'Fats Raw Data'!AF49</f>
        <v>0</v>
      </c>
      <c r="J49">
        <f>'Fats Raw Data'!W49-'Fats Raw Data'!AG49</f>
        <v>0</v>
      </c>
      <c r="K49">
        <f>'Fats Raw Data'!X49-'Fats Raw Data'!AH49</f>
        <v>0</v>
      </c>
      <c r="L49">
        <f>'Fats Raw Data'!Y49-'Fats Raw Data'!AI49</f>
        <v>0</v>
      </c>
      <c r="M49" t="str">
        <f>'Fats Raw Data'!AC49&amp;" - "&amp;'Fats Raw Data'!AM49</f>
        <v xml:space="preserve"> - </v>
      </c>
      <c r="O49" s="1">
        <f>'Fats Raw Data'!AE49</f>
        <v>0</v>
      </c>
      <c r="P49">
        <f>'Fats Raw Data'!AF49-'Fats Raw Data'!AP49</f>
        <v>0</v>
      </c>
      <c r="Q49">
        <f>'Fats Raw Data'!AG49-'Fats Raw Data'!AQ49</f>
        <v>0</v>
      </c>
      <c r="R49">
        <f>'Fats Raw Data'!AH49-'Fats Raw Data'!AR49</f>
        <v>0</v>
      </c>
      <c r="S49">
        <f>'Fats Raw Data'!AI49-'Fats Raw Data'!AS49</f>
        <v>0</v>
      </c>
      <c r="T49" t="str">
        <f>'Fats Raw Data'!AM49&amp;" - "&amp;'Fats Raw Data'!AW49</f>
        <v xml:space="preserve"> - </v>
      </c>
      <c r="V49" s="1">
        <f>'Fats Raw Data'!AO49</f>
        <v>0</v>
      </c>
      <c r="W49">
        <f>'Fats Raw Data'!AP49-'Fats Raw Data'!AZ49</f>
        <v>0</v>
      </c>
      <c r="X49">
        <f>'Fats Raw Data'!AQ49-'Fats Raw Data'!BA49</f>
        <v>0</v>
      </c>
      <c r="Y49">
        <f>'Fats Raw Data'!AR49-'Fats Raw Data'!BB49</f>
        <v>0</v>
      </c>
      <c r="Z49">
        <f>'Fats Raw Data'!AS49-'Fats Raw Data'!BC49</f>
        <v>0</v>
      </c>
      <c r="AA49" t="str">
        <f>'Fats Raw Data'!AW49&amp;" - "&amp;'Fats Raw Data'!BG49</f>
        <v xml:space="preserve"> - </v>
      </c>
      <c r="AC49" s="1">
        <f>'Fats Raw Data'!AY49</f>
        <v>0</v>
      </c>
      <c r="AD49">
        <f>'Fats Raw Data'!AZ49-'Fats Raw Data'!B49</f>
        <v>0</v>
      </c>
      <c r="AE49">
        <f>'Fats Raw Data'!BA49-'Fats Raw Data'!C49</f>
        <v>0</v>
      </c>
      <c r="AF49">
        <f>'Fats Raw Data'!BB49-'Fats Raw Data'!D49</f>
        <v>0</v>
      </c>
      <c r="AG49">
        <f>'Fats Raw Data'!BC49-'Fats Raw Data'!E49</f>
        <v>0</v>
      </c>
      <c r="AH49" t="str">
        <f>'Fats Raw Data'!BG49&amp;" - "&amp;'Fats Raw Data'!I49</f>
        <v xml:space="preserve"> - </v>
      </c>
      <c r="AJ49" s="1">
        <f>'Fats Raw Data'!A49</f>
        <v>0</v>
      </c>
      <c r="AK49">
        <f>'Fats Raw Data'!B49-'Fats Raw Data'!L49</f>
        <v>0</v>
      </c>
      <c r="AL49">
        <f>'Fats Raw Data'!C49-'Fats Raw Data'!M49</f>
        <v>0</v>
      </c>
      <c r="AM49">
        <f>'Fats Raw Data'!D49-'Fats Raw Data'!N49</f>
        <v>0</v>
      </c>
      <c r="AN49">
        <f>'Fats Raw Data'!E49-'Fats Raw Data'!O49</f>
        <v>0</v>
      </c>
      <c r="AO49" t="str">
        <f>'Fats Raw Data'!I49&amp;" - "&amp;'Fats Raw Data'!S49</f>
        <v xml:space="preserve"> - </v>
      </c>
      <c r="AQ49" s="1">
        <f>'Fats Raw Data'!AE49</f>
        <v>0</v>
      </c>
      <c r="AR49">
        <f>'Fats Raw Data'!AF49-'Fats Raw Data'!AZ49</f>
        <v>0</v>
      </c>
      <c r="AS49">
        <f>'Fats Raw Data'!AG49-'Fats Raw Data'!BA49</f>
        <v>0</v>
      </c>
      <c r="AT49">
        <f>'Fats Raw Data'!AH49-'Fats Raw Data'!BB49</f>
        <v>0</v>
      </c>
      <c r="AU49">
        <f>'Fats Raw Data'!AI49-'Fats Raw Data'!BC49</f>
        <v>0</v>
      </c>
      <c r="AV49" t="str">
        <f>'Fats Raw Data'!AM49&amp;" - "&amp;'Fats Raw Data'!BG49</f>
        <v xml:space="preserve"> - </v>
      </c>
      <c r="AX49" s="1">
        <f>'Fats Raw Data'!A49</f>
        <v>0</v>
      </c>
      <c r="AY49">
        <f>'Fats Raw Data'!B49-'Fats Raw Data'!V49</f>
        <v>0</v>
      </c>
      <c r="AZ49">
        <f>'Fats Raw Data'!C49-'Fats Raw Data'!W49</f>
        <v>0</v>
      </c>
      <c r="BA49">
        <f>'Fats Raw Data'!D49-'Fats Raw Data'!X49</f>
        <v>0</v>
      </c>
      <c r="BB49">
        <f>'Fats Raw Data'!E49-'Fats Raw Data'!Y49</f>
        <v>0</v>
      </c>
      <c r="BC49" t="str">
        <f>'Fats Raw Data'!I49&amp;" - "&amp;'Fats Raw Data'!AC49</f>
        <v xml:space="preserve"> - </v>
      </c>
      <c r="BE49" s="1">
        <f>'Fats Raw Data'!K49</f>
        <v>0</v>
      </c>
      <c r="BF49">
        <f>'Fats Raw Data'!L49-'Fats Raw Data'!AF49</f>
        <v>0</v>
      </c>
      <c r="BG49">
        <f>'Fats Raw Data'!M49-'Fats Raw Data'!AG49</f>
        <v>0</v>
      </c>
      <c r="BH49">
        <f>'Fats Raw Data'!N49-'Fats Raw Data'!AH49</f>
        <v>0</v>
      </c>
      <c r="BI49">
        <f>'Fats Raw Data'!O49-'Fats Raw Data'!AI49</f>
        <v>0</v>
      </c>
      <c r="BJ49" t="str">
        <f>'Fats Raw Data'!S49&amp;" - "&amp;'Fats Raw Data'!AM49</f>
        <v xml:space="preserve"> - </v>
      </c>
    </row>
    <row r="50" spans="1:62" x14ac:dyDescent="0.25">
      <c r="A50" s="1">
        <f>'Fats Raw Data'!K50</f>
        <v>0</v>
      </c>
      <c r="B50">
        <f>'Fats Raw Data'!L50-'Fats Raw Data'!V50</f>
        <v>0</v>
      </c>
      <c r="C50">
        <f>'Fats Raw Data'!M50-'Fats Raw Data'!W50</f>
        <v>0</v>
      </c>
      <c r="D50">
        <f>'Fats Raw Data'!N50-'Fats Raw Data'!X50</f>
        <v>0</v>
      </c>
      <c r="E50">
        <f>'Fats Raw Data'!O50-'Fats Raw Data'!Y50</f>
        <v>0</v>
      </c>
      <c r="F50" t="str">
        <f>'Fats Raw Data'!S50&amp;" - "&amp;'Fats Raw Data'!AC50</f>
        <v xml:space="preserve"> - </v>
      </c>
      <c r="H50" s="1">
        <f>'Fats Raw Data'!U50</f>
        <v>0</v>
      </c>
      <c r="I50">
        <f>'Fats Raw Data'!V50-'Fats Raw Data'!AF50</f>
        <v>0</v>
      </c>
      <c r="J50">
        <f>'Fats Raw Data'!W50-'Fats Raw Data'!AG50</f>
        <v>0</v>
      </c>
      <c r="K50">
        <f>'Fats Raw Data'!X50-'Fats Raw Data'!AH50</f>
        <v>0</v>
      </c>
      <c r="L50">
        <f>'Fats Raw Data'!Y50-'Fats Raw Data'!AI50</f>
        <v>0</v>
      </c>
      <c r="M50" t="str">
        <f>'Fats Raw Data'!AC50&amp;" - "&amp;'Fats Raw Data'!AM50</f>
        <v xml:space="preserve"> - </v>
      </c>
      <c r="O50" s="1">
        <f>'Fats Raw Data'!AE50</f>
        <v>0</v>
      </c>
      <c r="P50">
        <f>'Fats Raw Data'!AF50-'Fats Raw Data'!AP50</f>
        <v>0</v>
      </c>
      <c r="Q50">
        <f>'Fats Raw Data'!AG50-'Fats Raw Data'!AQ50</f>
        <v>0</v>
      </c>
      <c r="R50">
        <f>'Fats Raw Data'!AH50-'Fats Raw Data'!AR50</f>
        <v>0</v>
      </c>
      <c r="S50">
        <f>'Fats Raw Data'!AI50-'Fats Raw Data'!AS50</f>
        <v>0</v>
      </c>
      <c r="T50" t="str">
        <f>'Fats Raw Data'!AM50&amp;" - "&amp;'Fats Raw Data'!AW50</f>
        <v xml:space="preserve"> - </v>
      </c>
      <c r="V50" s="1">
        <f>'Fats Raw Data'!AO50</f>
        <v>0</v>
      </c>
      <c r="W50">
        <f>'Fats Raw Data'!AP50-'Fats Raw Data'!AZ50</f>
        <v>0</v>
      </c>
      <c r="X50">
        <f>'Fats Raw Data'!AQ50-'Fats Raw Data'!BA50</f>
        <v>0</v>
      </c>
      <c r="Y50">
        <f>'Fats Raw Data'!AR50-'Fats Raw Data'!BB50</f>
        <v>0</v>
      </c>
      <c r="Z50">
        <f>'Fats Raw Data'!AS50-'Fats Raw Data'!BC50</f>
        <v>0</v>
      </c>
      <c r="AA50" t="str">
        <f>'Fats Raw Data'!AW50&amp;" - "&amp;'Fats Raw Data'!BG50</f>
        <v xml:space="preserve"> - </v>
      </c>
      <c r="AC50" s="1">
        <f>'Fats Raw Data'!AY50</f>
        <v>0</v>
      </c>
      <c r="AD50">
        <f>'Fats Raw Data'!AZ50-'Fats Raw Data'!B50</f>
        <v>0</v>
      </c>
      <c r="AE50">
        <f>'Fats Raw Data'!BA50-'Fats Raw Data'!C50</f>
        <v>0</v>
      </c>
      <c r="AF50">
        <f>'Fats Raw Data'!BB50-'Fats Raw Data'!D50</f>
        <v>0</v>
      </c>
      <c r="AG50">
        <f>'Fats Raw Data'!BC50-'Fats Raw Data'!E50</f>
        <v>0</v>
      </c>
      <c r="AH50" t="str">
        <f>'Fats Raw Data'!BG50&amp;" - "&amp;'Fats Raw Data'!I50</f>
        <v xml:space="preserve"> - </v>
      </c>
      <c r="AJ50" s="1">
        <f>'Fats Raw Data'!A50</f>
        <v>0</v>
      </c>
      <c r="AK50">
        <f>'Fats Raw Data'!B50-'Fats Raw Data'!L50</f>
        <v>0</v>
      </c>
      <c r="AL50">
        <f>'Fats Raw Data'!C50-'Fats Raw Data'!M50</f>
        <v>0</v>
      </c>
      <c r="AM50">
        <f>'Fats Raw Data'!D50-'Fats Raw Data'!N50</f>
        <v>0</v>
      </c>
      <c r="AN50">
        <f>'Fats Raw Data'!E50-'Fats Raw Data'!O50</f>
        <v>0</v>
      </c>
      <c r="AO50" t="str">
        <f>'Fats Raw Data'!I50&amp;" - "&amp;'Fats Raw Data'!S50</f>
        <v xml:space="preserve"> - </v>
      </c>
      <c r="AQ50" s="1">
        <f>'Fats Raw Data'!AE50</f>
        <v>0</v>
      </c>
      <c r="AR50">
        <f>'Fats Raw Data'!AF50-'Fats Raw Data'!AZ50</f>
        <v>0</v>
      </c>
      <c r="AS50">
        <f>'Fats Raw Data'!AG50-'Fats Raw Data'!BA50</f>
        <v>0</v>
      </c>
      <c r="AT50">
        <f>'Fats Raw Data'!AH50-'Fats Raw Data'!BB50</f>
        <v>0</v>
      </c>
      <c r="AU50">
        <f>'Fats Raw Data'!AI50-'Fats Raw Data'!BC50</f>
        <v>0</v>
      </c>
      <c r="AV50" t="str">
        <f>'Fats Raw Data'!AM50&amp;" - "&amp;'Fats Raw Data'!BG50</f>
        <v xml:space="preserve"> - </v>
      </c>
      <c r="AX50" s="1">
        <f>'Fats Raw Data'!A50</f>
        <v>0</v>
      </c>
      <c r="AY50">
        <f>'Fats Raw Data'!B50-'Fats Raw Data'!V50</f>
        <v>0</v>
      </c>
      <c r="AZ50">
        <f>'Fats Raw Data'!C50-'Fats Raw Data'!W50</f>
        <v>0</v>
      </c>
      <c r="BA50">
        <f>'Fats Raw Data'!D50-'Fats Raw Data'!X50</f>
        <v>0</v>
      </c>
      <c r="BB50">
        <f>'Fats Raw Data'!E50-'Fats Raw Data'!Y50</f>
        <v>0</v>
      </c>
      <c r="BC50" t="str">
        <f>'Fats Raw Data'!I50&amp;" - "&amp;'Fats Raw Data'!AC50</f>
        <v xml:space="preserve"> - </v>
      </c>
      <c r="BE50" s="1">
        <f>'Fats Raw Data'!K50</f>
        <v>0</v>
      </c>
      <c r="BF50">
        <f>'Fats Raw Data'!L50-'Fats Raw Data'!AF50</f>
        <v>0</v>
      </c>
      <c r="BG50">
        <f>'Fats Raw Data'!M50-'Fats Raw Data'!AG50</f>
        <v>0</v>
      </c>
      <c r="BH50">
        <f>'Fats Raw Data'!N50-'Fats Raw Data'!AH50</f>
        <v>0</v>
      </c>
      <c r="BI50">
        <f>'Fats Raw Data'!O50-'Fats Raw Data'!AI50</f>
        <v>0</v>
      </c>
      <c r="BJ50" t="str">
        <f>'Fats Raw Data'!S50&amp;" - "&amp;'Fats Raw Data'!AM50</f>
        <v xml:space="preserve"> - </v>
      </c>
    </row>
    <row r="51" spans="1:62" x14ac:dyDescent="0.25">
      <c r="A51" s="1">
        <f>'Fats Raw Data'!K51</f>
        <v>0</v>
      </c>
      <c r="B51">
        <f>'Fats Raw Data'!L51-'Fats Raw Data'!V51</f>
        <v>0</v>
      </c>
      <c r="C51">
        <f>'Fats Raw Data'!M51-'Fats Raw Data'!W51</f>
        <v>0</v>
      </c>
      <c r="D51">
        <f>'Fats Raw Data'!N51-'Fats Raw Data'!X51</f>
        <v>0</v>
      </c>
      <c r="E51">
        <f>'Fats Raw Data'!O51-'Fats Raw Data'!Y51</f>
        <v>0</v>
      </c>
      <c r="F51" t="str">
        <f>'Fats Raw Data'!S51&amp;" - "&amp;'Fats Raw Data'!AC51</f>
        <v xml:space="preserve"> - </v>
      </c>
      <c r="H51" s="1">
        <f>'Fats Raw Data'!U51</f>
        <v>0</v>
      </c>
      <c r="I51">
        <f>'Fats Raw Data'!V51-'Fats Raw Data'!AF51</f>
        <v>0</v>
      </c>
      <c r="J51">
        <f>'Fats Raw Data'!W51-'Fats Raw Data'!AG51</f>
        <v>0</v>
      </c>
      <c r="K51">
        <f>'Fats Raw Data'!X51-'Fats Raw Data'!AH51</f>
        <v>0</v>
      </c>
      <c r="L51">
        <f>'Fats Raw Data'!Y51-'Fats Raw Data'!AI51</f>
        <v>0</v>
      </c>
      <c r="M51" t="str">
        <f>'Fats Raw Data'!AC51&amp;" - "&amp;'Fats Raw Data'!AM51</f>
        <v xml:space="preserve"> - </v>
      </c>
      <c r="O51" s="1">
        <f>'Fats Raw Data'!AE51</f>
        <v>0</v>
      </c>
      <c r="P51">
        <f>'Fats Raw Data'!AF51-'Fats Raw Data'!AP51</f>
        <v>0</v>
      </c>
      <c r="Q51">
        <f>'Fats Raw Data'!AG51-'Fats Raw Data'!AQ51</f>
        <v>0</v>
      </c>
      <c r="R51">
        <f>'Fats Raw Data'!AH51-'Fats Raw Data'!AR51</f>
        <v>0</v>
      </c>
      <c r="S51">
        <f>'Fats Raw Data'!AI51-'Fats Raw Data'!AS51</f>
        <v>0</v>
      </c>
      <c r="T51" t="str">
        <f>'Fats Raw Data'!AM51&amp;" - "&amp;'Fats Raw Data'!AW51</f>
        <v xml:space="preserve"> - </v>
      </c>
      <c r="V51" s="1">
        <f>'Fats Raw Data'!AO51</f>
        <v>0</v>
      </c>
      <c r="W51">
        <f>'Fats Raw Data'!AP51-'Fats Raw Data'!AZ51</f>
        <v>0</v>
      </c>
      <c r="X51">
        <f>'Fats Raw Data'!AQ51-'Fats Raw Data'!BA51</f>
        <v>0</v>
      </c>
      <c r="Y51">
        <f>'Fats Raw Data'!AR51-'Fats Raw Data'!BB51</f>
        <v>0</v>
      </c>
      <c r="Z51">
        <f>'Fats Raw Data'!AS51-'Fats Raw Data'!BC51</f>
        <v>0</v>
      </c>
      <c r="AA51" t="str">
        <f>'Fats Raw Data'!AW51&amp;" - "&amp;'Fats Raw Data'!BG51</f>
        <v xml:space="preserve"> - </v>
      </c>
      <c r="AC51" s="1">
        <f>'Fats Raw Data'!AY51</f>
        <v>0</v>
      </c>
      <c r="AD51">
        <f>'Fats Raw Data'!AZ51-'Fats Raw Data'!B51</f>
        <v>0</v>
      </c>
      <c r="AE51">
        <f>'Fats Raw Data'!BA51-'Fats Raw Data'!C51</f>
        <v>0</v>
      </c>
      <c r="AF51">
        <f>'Fats Raw Data'!BB51-'Fats Raw Data'!D51</f>
        <v>0</v>
      </c>
      <c r="AG51">
        <f>'Fats Raw Data'!BC51-'Fats Raw Data'!E51</f>
        <v>0</v>
      </c>
      <c r="AH51" t="str">
        <f>'Fats Raw Data'!BG51&amp;" - "&amp;'Fats Raw Data'!I51</f>
        <v xml:space="preserve"> - </v>
      </c>
      <c r="AJ51" s="1">
        <f>'Fats Raw Data'!A51</f>
        <v>0</v>
      </c>
      <c r="AK51">
        <f>'Fats Raw Data'!B51-'Fats Raw Data'!L51</f>
        <v>0</v>
      </c>
      <c r="AL51">
        <f>'Fats Raw Data'!C51-'Fats Raw Data'!M51</f>
        <v>0</v>
      </c>
      <c r="AM51">
        <f>'Fats Raw Data'!D51-'Fats Raw Data'!N51</f>
        <v>0</v>
      </c>
      <c r="AN51">
        <f>'Fats Raw Data'!E51-'Fats Raw Data'!O51</f>
        <v>0</v>
      </c>
      <c r="AO51" t="str">
        <f>'Fats Raw Data'!I51&amp;" - "&amp;'Fats Raw Data'!S51</f>
        <v xml:space="preserve"> - </v>
      </c>
      <c r="AQ51" s="1">
        <f>'Fats Raw Data'!AE51</f>
        <v>0</v>
      </c>
      <c r="AR51">
        <f>'Fats Raw Data'!AF51-'Fats Raw Data'!AZ51</f>
        <v>0</v>
      </c>
      <c r="AS51">
        <f>'Fats Raw Data'!AG51-'Fats Raw Data'!BA51</f>
        <v>0</v>
      </c>
      <c r="AT51">
        <f>'Fats Raw Data'!AH51-'Fats Raw Data'!BB51</f>
        <v>0</v>
      </c>
      <c r="AU51">
        <f>'Fats Raw Data'!AI51-'Fats Raw Data'!BC51</f>
        <v>0</v>
      </c>
      <c r="AV51" t="str">
        <f>'Fats Raw Data'!AM51&amp;" - "&amp;'Fats Raw Data'!BG51</f>
        <v xml:space="preserve"> - </v>
      </c>
      <c r="AX51" s="1">
        <f>'Fats Raw Data'!A51</f>
        <v>0</v>
      </c>
      <c r="AY51">
        <f>'Fats Raw Data'!B51-'Fats Raw Data'!V51</f>
        <v>0</v>
      </c>
      <c r="AZ51">
        <f>'Fats Raw Data'!C51-'Fats Raw Data'!W51</f>
        <v>0</v>
      </c>
      <c r="BA51">
        <f>'Fats Raw Data'!D51-'Fats Raw Data'!X51</f>
        <v>0</v>
      </c>
      <c r="BB51">
        <f>'Fats Raw Data'!E51-'Fats Raw Data'!Y51</f>
        <v>0</v>
      </c>
      <c r="BC51" t="str">
        <f>'Fats Raw Data'!I51&amp;" - "&amp;'Fats Raw Data'!AC51</f>
        <v xml:space="preserve"> - </v>
      </c>
      <c r="BE51" s="1">
        <f>'Fats Raw Data'!K51</f>
        <v>0</v>
      </c>
      <c r="BF51">
        <f>'Fats Raw Data'!L51-'Fats Raw Data'!AF51</f>
        <v>0</v>
      </c>
      <c r="BG51">
        <f>'Fats Raw Data'!M51-'Fats Raw Data'!AG51</f>
        <v>0</v>
      </c>
      <c r="BH51">
        <f>'Fats Raw Data'!N51-'Fats Raw Data'!AH51</f>
        <v>0</v>
      </c>
      <c r="BI51">
        <f>'Fats Raw Data'!O51-'Fats Raw Data'!AI51</f>
        <v>0</v>
      </c>
      <c r="BJ51" t="str">
        <f>'Fats Raw Data'!S51&amp;" - "&amp;'Fats Raw Data'!AM51</f>
        <v xml:space="preserve"> - </v>
      </c>
    </row>
    <row r="52" spans="1:62" x14ac:dyDescent="0.25">
      <c r="A52" s="1">
        <f>'Fats Raw Data'!K52</f>
        <v>0</v>
      </c>
      <c r="B52">
        <f>'Fats Raw Data'!L52-'Fats Raw Data'!V52</f>
        <v>0</v>
      </c>
      <c r="C52">
        <f>'Fats Raw Data'!M52-'Fats Raw Data'!W52</f>
        <v>0</v>
      </c>
      <c r="D52">
        <f>'Fats Raw Data'!N52-'Fats Raw Data'!X52</f>
        <v>0</v>
      </c>
      <c r="E52">
        <f>'Fats Raw Data'!O52-'Fats Raw Data'!Y52</f>
        <v>0</v>
      </c>
      <c r="F52" t="str">
        <f>'Fats Raw Data'!S52&amp;" - "&amp;'Fats Raw Data'!AC52</f>
        <v xml:space="preserve"> - </v>
      </c>
      <c r="H52" s="1">
        <f>'Fats Raw Data'!U52</f>
        <v>0</v>
      </c>
      <c r="I52">
        <f>'Fats Raw Data'!V52-'Fats Raw Data'!AF52</f>
        <v>0</v>
      </c>
      <c r="J52">
        <f>'Fats Raw Data'!W52-'Fats Raw Data'!AG52</f>
        <v>0</v>
      </c>
      <c r="K52">
        <f>'Fats Raw Data'!X52-'Fats Raw Data'!AH52</f>
        <v>0</v>
      </c>
      <c r="L52">
        <f>'Fats Raw Data'!Y52-'Fats Raw Data'!AI52</f>
        <v>0</v>
      </c>
      <c r="M52" t="str">
        <f>'Fats Raw Data'!AC52&amp;" - "&amp;'Fats Raw Data'!AM52</f>
        <v xml:space="preserve"> - </v>
      </c>
      <c r="O52" s="1">
        <f>'Fats Raw Data'!AE52</f>
        <v>0</v>
      </c>
      <c r="P52">
        <f>'Fats Raw Data'!AF52-'Fats Raw Data'!AP52</f>
        <v>0</v>
      </c>
      <c r="Q52">
        <f>'Fats Raw Data'!AG52-'Fats Raw Data'!AQ52</f>
        <v>0</v>
      </c>
      <c r="R52">
        <f>'Fats Raw Data'!AH52-'Fats Raw Data'!AR52</f>
        <v>0</v>
      </c>
      <c r="S52">
        <f>'Fats Raw Data'!AI52-'Fats Raw Data'!AS52</f>
        <v>0</v>
      </c>
      <c r="T52" t="str">
        <f>'Fats Raw Data'!AM52&amp;" - "&amp;'Fats Raw Data'!AW52</f>
        <v xml:space="preserve"> - </v>
      </c>
      <c r="V52" s="1">
        <f>'Fats Raw Data'!AO52</f>
        <v>0</v>
      </c>
      <c r="W52">
        <f>'Fats Raw Data'!AP52-'Fats Raw Data'!AZ52</f>
        <v>0</v>
      </c>
      <c r="X52">
        <f>'Fats Raw Data'!AQ52-'Fats Raw Data'!BA52</f>
        <v>0</v>
      </c>
      <c r="Y52">
        <f>'Fats Raw Data'!AR52-'Fats Raw Data'!BB52</f>
        <v>0</v>
      </c>
      <c r="Z52">
        <f>'Fats Raw Data'!AS52-'Fats Raw Data'!BC52</f>
        <v>0</v>
      </c>
      <c r="AA52" t="str">
        <f>'Fats Raw Data'!AW52&amp;" - "&amp;'Fats Raw Data'!BG52</f>
        <v xml:space="preserve"> - </v>
      </c>
      <c r="AC52" s="1">
        <f>'Fats Raw Data'!AY52</f>
        <v>0</v>
      </c>
      <c r="AD52">
        <f>'Fats Raw Data'!AZ52-'Fats Raw Data'!B52</f>
        <v>0</v>
      </c>
      <c r="AE52">
        <f>'Fats Raw Data'!BA52-'Fats Raw Data'!C52</f>
        <v>0</v>
      </c>
      <c r="AF52">
        <f>'Fats Raw Data'!BB52-'Fats Raw Data'!D52</f>
        <v>0</v>
      </c>
      <c r="AG52">
        <f>'Fats Raw Data'!BC52-'Fats Raw Data'!E52</f>
        <v>0</v>
      </c>
      <c r="AH52" t="str">
        <f>'Fats Raw Data'!BG52&amp;" - "&amp;'Fats Raw Data'!I52</f>
        <v xml:space="preserve"> - </v>
      </c>
      <c r="AJ52" s="1">
        <f>'Fats Raw Data'!A52</f>
        <v>0</v>
      </c>
      <c r="AK52">
        <f>'Fats Raw Data'!B52-'Fats Raw Data'!L52</f>
        <v>0</v>
      </c>
      <c r="AL52">
        <f>'Fats Raw Data'!C52-'Fats Raw Data'!M52</f>
        <v>0</v>
      </c>
      <c r="AM52">
        <f>'Fats Raw Data'!D52-'Fats Raw Data'!N52</f>
        <v>0</v>
      </c>
      <c r="AN52">
        <f>'Fats Raw Data'!E52-'Fats Raw Data'!O52</f>
        <v>0</v>
      </c>
      <c r="AO52" t="str">
        <f>'Fats Raw Data'!I52&amp;" - "&amp;'Fats Raw Data'!S52</f>
        <v xml:space="preserve"> - </v>
      </c>
      <c r="AQ52" s="1">
        <f>'Fats Raw Data'!AE52</f>
        <v>0</v>
      </c>
      <c r="AR52">
        <f>'Fats Raw Data'!AF52-'Fats Raw Data'!AZ52</f>
        <v>0</v>
      </c>
      <c r="AS52">
        <f>'Fats Raw Data'!AG52-'Fats Raw Data'!BA52</f>
        <v>0</v>
      </c>
      <c r="AT52">
        <f>'Fats Raw Data'!AH52-'Fats Raw Data'!BB52</f>
        <v>0</v>
      </c>
      <c r="AU52">
        <f>'Fats Raw Data'!AI52-'Fats Raw Data'!BC52</f>
        <v>0</v>
      </c>
      <c r="AV52" t="str">
        <f>'Fats Raw Data'!AM52&amp;" - "&amp;'Fats Raw Data'!BG52</f>
        <v xml:space="preserve"> - </v>
      </c>
      <c r="AX52" s="1">
        <f>'Fats Raw Data'!A52</f>
        <v>0</v>
      </c>
      <c r="AY52">
        <f>'Fats Raw Data'!B52-'Fats Raw Data'!V52</f>
        <v>0</v>
      </c>
      <c r="AZ52">
        <f>'Fats Raw Data'!C52-'Fats Raw Data'!W52</f>
        <v>0</v>
      </c>
      <c r="BA52">
        <f>'Fats Raw Data'!D52-'Fats Raw Data'!X52</f>
        <v>0</v>
      </c>
      <c r="BB52">
        <f>'Fats Raw Data'!E52-'Fats Raw Data'!Y52</f>
        <v>0</v>
      </c>
      <c r="BC52" t="str">
        <f>'Fats Raw Data'!I52&amp;" - "&amp;'Fats Raw Data'!AC52</f>
        <v xml:space="preserve"> - </v>
      </c>
      <c r="BE52" s="1">
        <f>'Fats Raw Data'!K52</f>
        <v>0</v>
      </c>
      <c r="BF52">
        <f>'Fats Raw Data'!L52-'Fats Raw Data'!AF52</f>
        <v>0</v>
      </c>
      <c r="BG52">
        <f>'Fats Raw Data'!M52-'Fats Raw Data'!AG52</f>
        <v>0</v>
      </c>
      <c r="BH52">
        <f>'Fats Raw Data'!N52-'Fats Raw Data'!AH52</f>
        <v>0</v>
      </c>
      <c r="BI52">
        <f>'Fats Raw Data'!O52-'Fats Raw Data'!AI52</f>
        <v>0</v>
      </c>
      <c r="BJ52" t="str">
        <f>'Fats Raw Data'!S52&amp;" - "&amp;'Fats Raw Data'!AM52</f>
        <v xml:space="preserve"> - </v>
      </c>
    </row>
    <row r="53" spans="1:62" x14ac:dyDescent="0.25">
      <c r="A53" s="1">
        <f>'Fats Raw Data'!K53</f>
        <v>0</v>
      </c>
      <c r="B53">
        <f>'Fats Raw Data'!L53-'Fats Raw Data'!V53</f>
        <v>0</v>
      </c>
      <c r="C53">
        <f>'Fats Raw Data'!M53-'Fats Raw Data'!W53</f>
        <v>0</v>
      </c>
      <c r="D53">
        <f>'Fats Raw Data'!N53-'Fats Raw Data'!X53</f>
        <v>0</v>
      </c>
      <c r="E53">
        <f>'Fats Raw Data'!O53-'Fats Raw Data'!Y53</f>
        <v>0</v>
      </c>
      <c r="F53" t="str">
        <f>'Fats Raw Data'!S53&amp;" - "&amp;'Fats Raw Data'!AC53</f>
        <v xml:space="preserve"> - </v>
      </c>
      <c r="H53" s="1">
        <f>'Fats Raw Data'!U53</f>
        <v>0</v>
      </c>
      <c r="I53">
        <f>'Fats Raw Data'!V53-'Fats Raw Data'!AF53</f>
        <v>0</v>
      </c>
      <c r="J53">
        <f>'Fats Raw Data'!W53-'Fats Raw Data'!AG53</f>
        <v>0</v>
      </c>
      <c r="K53">
        <f>'Fats Raw Data'!X53-'Fats Raw Data'!AH53</f>
        <v>0</v>
      </c>
      <c r="L53">
        <f>'Fats Raw Data'!Y53-'Fats Raw Data'!AI53</f>
        <v>0</v>
      </c>
      <c r="M53" t="str">
        <f>'Fats Raw Data'!AC53&amp;" - "&amp;'Fats Raw Data'!AM53</f>
        <v xml:space="preserve"> - </v>
      </c>
      <c r="O53" s="1">
        <f>'Fats Raw Data'!AE53</f>
        <v>0</v>
      </c>
      <c r="P53">
        <f>'Fats Raw Data'!AF53-'Fats Raw Data'!AP53</f>
        <v>0</v>
      </c>
      <c r="Q53">
        <f>'Fats Raw Data'!AG53-'Fats Raw Data'!AQ53</f>
        <v>0</v>
      </c>
      <c r="R53">
        <f>'Fats Raw Data'!AH53-'Fats Raw Data'!AR53</f>
        <v>0</v>
      </c>
      <c r="S53">
        <f>'Fats Raw Data'!AI53-'Fats Raw Data'!AS53</f>
        <v>0</v>
      </c>
      <c r="T53" t="str">
        <f>'Fats Raw Data'!AM53&amp;" - "&amp;'Fats Raw Data'!AW53</f>
        <v xml:space="preserve"> - </v>
      </c>
      <c r="V53" s="1">
        <f>'Fats Raw Data'!AO53</f>
        <v>0</v>
      </c>
      <c r="W53">
        <f>'Fats Raw Data'!AP53-'Fats Raw Data'!AZ53</f>
        <v>0</v>
      </c>
      <c r="X53">
        <f>'Fats Raw Data'!AQ53-'Fats Raw Data'!BA53</f>
        <v>0</v>
      </c>
      <c r="Y53">
        <f>'Fats Raw Data'!AR53-'Fats Raw Data'!BB53</f>
        <v>0</v>
      </c>
      <c r="Z53">
        <f>'Fats Raw Data'!AS53-'Fats Raw Data'!BC53</f>
        <v>0</v>
      </c>
      <c r="AA53" t="str">
        <f>'Fats Raw Data'!AW53&amp;" - "&amp;'Fats Raw Data'!BG53</f>
        <v xml:space="preserve"> - </v>
      </c>
      <c r="AC53" s="1">
        <f>'Fats Raw Data'!AY53</f>
        <v>0</v>
      </c>
      <c r="AD53">
        <f>'Fats Raw Data'!AZ53-'Fats Raw Data'!B53</f>
        <v>0</v>
      </c>
      <c r="AE53">
        <f>'Fats Raw Data'!BA53-'Fats Raw Data'!C53</f>
        <v>0</v>
      </c>
      <c r="AF53">
        <f>'Fats Raw Data'!BB53-'Fats Raw Data'!D53</f>
        <v>0</v>
      </c>
      <c r="AG53">
        <f>'Fats Raw Data'!BC53-'Fats Raw Data'!E53</f>
        <v>0</v>
      </c>
      <c r="AH53" t="str">
        <f>'Fats Raw Data'!BG53&amp;" - "&amp;'Fats Raw Data'!I53</f>
        <v xml:space="preserve"> - </v>
      </c>
      <c r="AJ53" s="1">
        <f>'Fats Raw Data'!A53</f>
        <v>0</v>
      </c>
      <c r="AK53">
        <f>'Fats Raw Data'!B53-'Fats Raw Data'!L53</f>
        <v>0</v>
      </c>
      <c r="AL53">
        <f>'Fats Raw Data'!C53-'Fats Raw Data'!M53</f>
        <v>0</v>
      </c>
      <c r="AM53">
        <f>'Fats Raw Data'!D53-'Fats Raw Data'!N53</f>
        <v>0</v>
      </c>
      <c r="AN53">
        <f>'Fats Raw Data'!E53-'Fats Raw Data'!O53</f>
        <v>0</v>
      </c>
      <c r="AO53" t="str">
        <f>'Fats Raw Data'!I53&amp;" - "&amp;'Fats Raw Data'!S53</f>
        <v xml:space="preserve"> - </v>
      </c>
      <c r="AQ53" s="1">
        <f>'Fats Raw Data'!AE53</f>
        <v>0</v>
      </c>
      <c r="AR53">
        <f>'Fats Raw Data'!AF53-'Fats Raw Data'!AZ53</f>
        <v>0</v>
      </c>
      <c r="AS53">
        <f>'Fats Raw Data'!AG53-'Fats Raw Data'!BA53</f>
        <v>0</v>
      </c>
      <c r="AT53">
        <f>'Fats Raw Data'!AH53-'Fats Raw Data'!BB53</f>
        <v>0</v>
      </c>
      <c r="AU53">
        <f>'Fats Raw Data'!AI53-'Fats Raw Data'!BC53</f>
        <v>0</v>
      </c>
      <c r="AV53" t="str">
        <f>'Fats Raw Data'!AM53&amp;" - "&amp;'Fats Raw Data'!BG53</f>
        <v xml:space="preserve"> - </v>
      </c>
      <c r="AX53" s="1">
        <f>'Fats Raw Data'!A53</f>
        <v>0</v>
      </c>
      <c r="AY53">
        <f>'Fats Raw Data'!B53-'Fats Raw Data'!V53</f>
        <v>0</v>
      </c>
      <c r="AZ53">
        <f>'Fats Raw Data'!C53-'Fats Raw Data'!W53</f>
        <v>0</v>
      </c>
      <c r="BA53">
        <f>'Fats Raw Data'!D53-'Fats Raw Data'!X53</f>
        <v>0</v>
      </c>
      <c r="BB53">
        <f>'Fats Raw Data'!E53-'Fats Raw Data'!Y53</f>
        <v>0</v>
      </c>
      <c r="BC53" t="str">
        <f>'Fats Raw Data'!I53&amp;" - "&amp;'Fats Raw Data'!AC53</f>
        <v xml:space="preserve"> - </v>
      </c>
      <c r="BE53" s="1">
        <f>'Fats Raw Data'!K53</f>
        <v>0</v>
      </c>
      <c r="BF53">
        <f>'Fats Raw Data'!L53-'Fats Raw Data'!AF53</f>
        <v>0</v>
      </c>
      <c r="BG53">
        <f>'Fats Raw Data'!M53-'Fats Raw Data'!AG53</f>
        <v>0</v>
      </c>
      <c r="BH53">
        <f>'Fats Raw Data'!N53-'Fats Raw Data'!AH53</f>
        <v>0</v>
      </c>
      <c r="BI53">
        <f>'Fats Raw Data'!O53-'Fats Raw Data'!AI53</f>
        <v>0</v>
      </c>
      <c r="BJ53" t="str">
        <f>'Fats Raw Data'!S53&amp;" - "&amp;'Fats Raw Data'!AM53</f>
        <v xml:space="preserve"> - </v>
      </c>
    </row>
    <row r="54" spans="1:62" x14ac:dyDescent="0.25">
      <c r="A54" s="1">
        <f>'Fats Raw Data'!K54</f>
        <v>0</v>
      </c>
      <c r="B54">
        <f>'Fats Raw Data'!L54-'Fats Raw Data'!V54</f>
        <v>0</v>
      </c>
      <c r="C54">
        <f>'Fats Raw Data'!M54-'Fats Raw Data'!W54</f>
        <v>0</v>
      </c>
      <c r="D54">
        <f>'Fats Raw Data'!N54-'Fats Raw Data'!X54</f>
        <v>0</v>
      </c>
      <c r="E54">
        <f>'Fats Raw Data'!O54-'Fats Raw Data'!Y54</f>
        <v>0</v>
      </c>
      <c r="F54" t="str">
        <f>'Fats Raw Data'!S54&amp;" - "&amp;'Fats Raw Data'!AC54</f>
        <v xml:space="preserve"> - </v>
      </c>
      <c r="H54" s="1">
        <f>'Fats Raw Data'!U54</f>
        <v>0</v>
      </c>
      <c r="I54">
        <f>'Fats Raw Data'!V54-'Fats Raw Data'!AF54</f>
        <v>0</v>
      </c>
      <c r="J54">
        <f>'Fats Raw Data'!W54-'Fats Raw Data'!AG54</f>
        <v>0</v>
      </c>
      <c r="K54">
        <f>'Fats Raw Data'!X54-'Fats Raw Data'!AH54</f>
        <v>0</v>
      </c>
      <c r="L54">
        <f>'Fats Raw Data'!Y54-'Fats Raw Data'!AI54</f>
        <v>0</v>
      </c>
      <c r="M54" t="str">
        <f>'Fats Raw Data'!AC54&amp;" - "&amp;'Fats Raw Data'!AM54</f>
        <v xml:space="preserve"> - </v>
      </c>
      <c r="O54" s="1">
        <f>'Fats Raw Data'!AE54</f>
        <v>0</v>
      </c>
      <c r="P54">
        <f>'Fats Raw Data'!AF54-'Fats Raw Data'!AP54</f>
        <v>0</v>
      </c>
      <c r="Q54">
        <f>'Fats Raw Data'!AG54-'Fats Raw Data'!AQ54</f>
        <v>0</v>
      </c>
      <c r="R54">
        <f>'Fats Raw Data'!AH54-'Fats Raw Data'!AR54</f>
        <v>0</v>
      </c>
      <c r="S54">
        <f>'Fats Raw Data'!AI54-'Fats Raw Data'!AS54</f>
        <v>0</v>
      </c>
      <c r="T54" t="str">
        <f>'Fats Raw Data'!AM54&amp;" - "&amp;'Fats Raw Data'!AW54</f>
        <v xml:space="preserve"> - </v>
      </c>
      <c r="V54" s="1">
        <f>'Fats Raw Data'!AO54</f>
        <v>0</v>
      </c>
      <c r="W54">
        <f>'Fats Raw Data'!AP54-'Fats Raw Data'!AZ54</f>
        <v>0</v>
      </c>
      <c r="X54">
        <f>'Fats Raw Data'!AQ54-'Fats Raw Data'!BA54</f>
        <v>0</v>
      </c>
      <c r="Y54">
        <f>'Fats Raw Data'!AR54-'Fats Raw Data'!BB54</f>
        <v>0</v>
      </c>
      <c r="Z54">
        <f>'Fats Raw Data'!AS54-'Fats Raw Data'!BC54</f>
        <v>0</v>
      </c>
      <c r="AA54" t="str">
        <f>'Fats Raw Data'!AW54&amp;" - "&amp;'Fats Raw Data'!BG54</f>
        <v xml:space="preserve"> - </v>
      </c>
      <c r="AC54" s="1">
        <f>'Fats Raw Data'!AY54</f>
        <v>0</v>
      </c>
      <c r="AD54">
        <f>'Fats Raw Data'!AZ54-'Fats Raw Data'!B54</f>
        <v>0</v>
      </c>
      <c r="AE54">
        <f>'Fats Raw Data'!BA54-'Fats Raw Data'!C54</f>
        <v>0</v>
      </c>
      <c r="AF54">
        <f>'Fats Raw Data'!BB54-'Fats Raw Data'!D54</f>
        <v>0</v>
      </c>
      <c r="AG54">
        <f>'Fats Raw Data'!BC54-'Fats Raw Data'!E54</f>
        <v>0</v>
      </c>
      <c r="AH54" t="str">
        <f>'Fats Raw Data'!BG54&amp;" - "&amp;'Fats Raw Data'!I54</f>
        <v xml:space="preserve"> - </v>
      </c>
      <c r="AJ54" s="1">
        <f>'Fats Raw Data'!A54</f>
        <v>0</v>
      </c>
      <c r="AK54">
        <f>'Fats Raw Data'!B54-'Fats Raw Data'!L54</f>
        <v>0</v>
      </c>
      <c r="AL54">
        <f>'Fats Raw Data'!C54-'Fats Raw Data'!M54</f>
        <v>0</v>
      </c>
      <c r="AM54">
        <f>'Fats Raw Data'!D54-'Fats Raw Data'!N54</f>
        <v>0</v>
      </c>
      <c r="AN54">
        <f>'Fats Raw Data'!E54-'Fats Raw Data'!O54</f>
        <v>0</v>
      </c>
      <c r="AO54" t="str">
        <f>'Fats Raw Data'!I54&amp;" - "&amp;'Fats Raw Data'!S54</f>
        <v xml:space="preserve"> - </v>
      </c>
      <c r="AQ54" s="1">
        <f>'Fats Raw Data'!AE54</f>
        <v>0</v>
      </c>
      <c r="AR54">
        <f>'Fats Raw Data'!AF54-'Fats Raw Data'!AZ54</f>
        <v>0</v>
      </c>
      <c r="AS54">
        <f>'Fats Raw Data'!AG54-'Fats Raw Data'!BA54</f>
        <v>0</v>
      </c>
      <c r="AT54">
        <f>'Fats Raw Data'!AH54-'Fats Raw Data'!BB54</f>
        <v>0</v>
      </c>
      <c r="AU54">
        <f>'Fats Raw Data'!AI54-'Fats Raw Data'!BC54</f>
        <v>0</v>
      </c>
      <c r="AV54" t="str">
        <f>'Fats Raw Data'!AM54&amp;" - "&amp;'Fats Raw Data'!BG54</f>
        <v xml:space="preserve"> - </v>
      </c>
      <c r="AX54" s="1">
        <f>'Fats Raw Data'!A54</f>
        <v>0</v>
      </c>
      <c r="AY54">
        <f>'Fats Raw Data'!B54-'Fats Raw Data'!V54</f>
        <v>0</v>
      </c>
      <c r="AZ54">
        <f>'Fats Raw Data'!C54-'Fats Raw Data'!W54</f>
        <v>0</v>
      </c>
      <c r="BA54">
        <f>'Fats Raw Data'!D54-'Fats Raw Data'!X54</f>
        <v>0</v>
      </c>
      <c r="BB54">
        <f>'Fats Raw Data'!E54-'Fats Raw Data'!Y54</f>
        <v>0</v>
      </c>
      <c r="BC54" t="str">
        <f>'Fats Raw Data'!I54&amp;" - "&amp;'Fats Raw Data'!AC54</f>
        <v xml:space="preserve"> - </v>
      </c>
      <c r="BE54" s="1">
        <f>'Fats Raw Data'!K54</f>
        <v>0</v>
      </c>
      <c r="BF54">
        <f>'Fats Raw Data'!L54-'Fats Raw Data'!AF54</f>
        <v>0</v>
      </c>
      <c r="BG54">
        <f>'Fats Raw Data'!M54-'Fats Raw Data'!AG54</f>
        <v>0</v>
      </c>
      <c r="BH54">
        <f>'Fats Raw Data'!N54-'Fats Raw Data'!AH54</f>
        <v>0</v>
      </c>
      <c r="BI54">
        <f>'Fats Raw Data'!O54-'Fats Raw Data'!AI54</f>
        <v>0</v>
      </c>
      <c r="BJ54" t="str">
        <f>'Fats Raw Data'!S54&amp;" - "&amp;'Fats Raw Data'!AM54</f>
        <v xml:space="preserve"> - </v>
      </c>
    </row>
    <row r="55" spans="1:62" x14ac:dyDescent="0.25">
      <c r="A55" s="1">
        <f>'Fats Raw Data'!K55</f>
        <v>0</v>
      </c>
      <c r="B55">
        <f>'Fats Raw Data'!L55-'Fats Raw Data'!V55</f>
        <v>0</v>
      </c>
      <c r="C55">
        <f>'Fats Raw Data'!M55-'Fats Raw Data'!W55</f>
        <v>0</v>
      </c>
      <c r="D55">
        <f>'Fats Raw Data'!N55-'Fats Raw Data'!X55</f>
        <v>0</v>
      </c>
      <c r="E55">
        <f>'Fats Raw Data'!O55-'Fats Raw Data'!Y55</f>
        <v>0</v>
      </c>
      <c r="F55" t="str">
        <f>'Fats Raw Data'!S55&amp;" - "&amp;'Fats Raw Data'!AC55</f>
        <v xml:space="preserve"> - </v>
      </c>
      <c r="H55" s="1">
        <f>'Fats Raw Data'!U55</f>
        <v>0</v>
      </c>
      <c r="I55">
        <f>'Fats Raw Data'!V55-'Fats Raw Data'!AF55</f>
        <v>0</v>
      </c>
      <c r="J55">
        <f>'Fats Raw Data'!W55-'Fats Raw Data'!AG55</f>
        <v>0</v>
      </c>
      <c r="K55">
        <f>'Fats Raw Data'!X55-'Fats Raw Data'!AH55</f>
        <v>0</v>
      </c>
      <c r="L55">
        <f>'Fats Raw Data'!Y55-'Fats Raw Data'!AI55</f>
        <v>0</v>
      </c>
      <c r="M55" t="str">
        <f>'Fats Raw Data'!AC55&amp;" - "&amp;'Fats Raw Data'!AM55</f>
        <v xml:space="preserve"> - </v>
      </c>
      <c r="O55" s="1">
        <f>'Fats Raw Data'!AE55</f>
        <v>0</v>
      </c>
      <c r="P55">
        <f>'Fats Raw Data'!AF55-'Fats Raw Data'!AP55</f>
        <v>0</v>
      </c>
      <c r="Q55">
        <f>'Fats Raw Data'!AG55-'Fats Raw Data'!AQ55</f>
        <v>0</v>
      </c>
      <c r="R55">
        <f>'Fats Raw Data'!AH55-'Fats Raw Data'!AR55</f>
        <v>0</v>
      </c>
      <c r="S55">
        <f>'Fats Raw Data'!AI55-'Fats Raw Data'!AS55</f>
        <v>0</v>
      </c>
      <c r="T55" t="str">
        <f>'Fats Raw Data'!AM55&amp;" - "&amp;'Fats Raw Data'!AW55</f>
        <v xml:space="preserve"> - </v>
      </c>
      <c r="V55" s="1">
        <f>'Fats Raw Data'!AO55</f>
        <v>0</v>
      </c>
      <c r="W55">
        <f>'Fats Raw Data'!AP55-'Fats Raw Data'!AZ55</f>
        <v>0</v>
      </c>
      <c r="X55">
        <f>'Fats Raw Data'!AQ55-'Fats Raw Data'!BA55</f>
        <v>0</v>
      </c>
      <c r="Y55">
        <f>'Fats Raw Data'!AR55-'Fats Raw Data'!BB55</f>
        <v>0</v>
      </c>
      <c r="Z55">
        <f>'Fats Raw Data'!AS55-'Fats Raw Data'!BC55</f>
        <v>0</v>
      </c>
      <c r="AA55" t="str">
        <f>'Fats Raw Data'!AW55&amp;" - "&amp;'Fats Raw Data'!BG55</f>
        <v xml:space="preserve"> - </v>
      </c>
      <c r="AC55" s="1">
        <f>'Fats Raw Data'!AY55</f>
        <v>0</v>
      </c>
      <c r="AD55">
        <f>'Fats Raw Data'!AZ55-'Fats Raw Data'!B55</f>
        <v>0</v>
      </c>
      <c r="AE55">
        <f>'Fats Raw Data'!BA55-'Fats Raw Data'!C55</f>
        <v>0</v>
      </c>
      <c r="AF55">
        <f>'Fats Raw Data'!BB55-'Fats Raw Data'!D55</f>
        <v>0</v>
      </c>
      <c r="AG55">
        <f>'Fats Raw Data'!BC55-'Fats Raw Data'!E55</f>
        <v>0</v>
      </c>
      <c r="AH55" t="str">
        <f>'Fats Raw Data'!BG55&amp;" - "&amp;'Fats Raw Data'!I55</f>
        <v xml:space="preserve"> - </v>
      </c>
      <c r="AJ55" s="1">
        <f>'Fats Raw Data'!A55</f>
        <v>0</v>
      </c>
      <c r="AK55">
        <f>'Fats Raw Data'!B55-'Fats Raw Data'!L55</f>
        <v>0</v>
      </c>
      <c r="AL55">
        <f>'Fats Raw Data'!C55-'Fats Raw Data'!M55</f>
        <v>0</v>
      </c>
      <c r="AM55">
        <f>'Fats Raw Data'!D55-'Fats Raw Data'!N55</f>
        <v>0</v>
      </c>
      <c r="AN55">
        <f>'Fats Raw Data'!E55-'Fats Raw Data'!O55</f>
        <v>0</v>
      </c>
      <c r="AO55" t="str">
        <f>'Fats Raw Data'!I55&amp;" - "&amp;'Fats Raw Data'!S55</f>
        <v xml:space="preserve"> - </v>
      </c>
      <c r="AQ55" s="1">
        <f>'Fats Raw Data'!AE55</f>
        <v>0</v>
      </c>
      <c r="AR55">
        <f>'Fats Raw Data'!AF55-'Fats Raw Data'!AZ55</f>
        <v>0</v>
      </c>
      <c r="AS55">
        <f>'Fats Raw Data'!AG55-'Fats Raw Data'!BA55</f>
        <v>0</v>
      </c>
      <c r="AT55">
        <f>'Fats Raw Data'!AH55-'Fats Raw Data'!BB55</f>
        <v>0</v>
      </c>
      <c r="AU55">
        <f>'Fats Raw Data'!AI55-'Fats Raw Data'!BC55</f>
        <v>0</v>
      </c>
      <c r="AV55" t="str">
        <f>'Fats Raw Data'!AM55&amp;" - "&amp;'Fats Raw Data'!BG55</f>
        <v xml:space="preserve"> - </v>
      </c>
      <c r="AX55" s="1">
        <f>'Fats Raw Data'!A55</f>
        <v>0</v>
      </c>
      <c r="AY55">
        <f>'Fats Raw Data'!B55-'Fats Raw Data'!V55</f>
        <v>0</v>
      </c>
      <c r="AZ55">
        <f>'Fats Raw Data'!C55-'Fats Raw Data'!W55</f>
        <v>0</v>
      </c>
      <c r="BA55">
        <f>'Fats Raw Data'!D55-'Fats Raw Data'!X55</f>
        <v>0</v>
      </c>
      <c r="BB55">
        <f>'Fats Raw Data'!E55-'Fats Raw Data'!Y55</f>
        <v>0</v>
      </c>
      <c r="BC55" t="str">
        <f>'Fats Raw Data'!I55&amp;" - "&amp;'Fats Raw Data'!AC55</f>
        <v xml:space="preserve"> - </v>
      </c>
      <c r="BE55" s="1">
        <f>'Fats Raw Data'!K55</f>
        <v>0</v>
      </c>
      <c r="BF55">
        <f>'Fats Raw Data'!L55-'Fats Raw Data'!AF55</f>
        <v>0</v>
      </c>
      <c r="BG55">
        <f>'Fats Raw Data'!M55-'Fats Raw Data'!AG55</f>
        <v>0</v>
      </c>
      <c r="BH55">
        <f>'Fats Raw Data'!N55-'Fats Raw Data'!AH55</f>
        <v>0</v>
      </c>
      <c r="BI55">
        <f>'Fats Raw Data'!O55-'Fats Raw Data'!AI55</f>
        <v>0</v>
      </c>
      <c r="BJ55" t="str">
        <f>'Fats Raw Data'!S55&amp;" - "&amp;'Fats Raw Data'!AM55</f>
        <v xml:space="preserve"> - </v>
      </c>
    </row>
    <row r="56" spans="1:62" x14ac:dyDescent="0.25">
      <c r="A56" s="1">
        <f>'Fats Raw Data'!K56</f>
        <v>0</v>
      </c>
      <c r="B56">
        <f>'Fats Raw Data'!L56-'Fats Raw Data'!V56</f>
        <v>0</v>
      </c>
      <c r="C56">
        <f>'Fats Raw Data'!M56-'Fats Raw Data'!W56</f>
        <v>0</v>
      </c>
      <c r="D56">
        <f>'Fats Raw Data'!N56-'Fats Raw Data'!X56</f>
        <v>0</v>
      </c>
      <c r="E56">
        <f>'Fats Raw Data'!O56-'Fats Raw Data'!Y56</f>
        <v>0</v>
      </c>
      <c r="F56" t="str">
        <f>'Fats Raw Data'!S56&amp;" - "&amp;'Fats Raw Data'!AC56</f>
        <v xml:space="preserve"> - </v>
      </c>
      <c r="H56" s="1">
        <f>'Fats Raw Data'!U56</f>
        <v>0</v>
      </c>
      <c r="I56">
        <f>'Fats Raw Data'!V56-'Fats Raw Data'!AF56</f>
        <v>0</v>
      </c>
      <c r="J56">
        <f>'Fats Raw Data'!W56-'Fats Raw Data'!AG56</f>
        <v>0</v>
      </c>
      <c r="K56">
        <f>'Fats Raw Data'!X56-'Fats Raw Data'!AH56</f>
        <v>0</v>
      </c>
      <c r="L56">
        <f>'Fats Raw Data'!Y56-'Fats Raw Data'!AI56</f>
        <v>0</v>
      </c>
      <c r="M56" t="str">
        <f>'Fats Raw Data'!AC56&amp;" - "&amp;'Fats Raw Data'!AM56</f>
        <v xml:space="preserve"> - </v>
      </c>
      <c r="O56" s="1">
        <f>'Fats Raw Data'!AE56</f>
        <v>0</v>
      </c>
      <c r="P56">
        <f>'Fats Raw Data'!AF56-'Fats Raw Data'!AP56</f>
        <v>0</v>
      </c>
      <c r="Q56">
        <f>'Fats Raw Data'!AG56-'Fats Raw Data'!AQ56</f>
        <v>0</v>
      </c>
      <c r="R56">
        <f>'Fats Raw Data'!AH56-'Fats Raw Data'!AR56</f>
        <v>0</v>
      </c>
      <c r="S56">
        <f>'Fats Raw Data'!AI56-'Fats Raw Data'!AS56</f>
        <v>0</v>
      </c>
      <c r="T56" t="str">
        <f>'Fats Raw Data'!AM56&amp;" - "&amp;'Fats Raw Data'!AW56</f>
        <v xml:space="preserve"> - </v>
      </c>
      <c r="V56" s="1">
        <f>'Fats Raw Data'!AO56</f>
        <v>0</v>
      </c>
      <c r="W56">
        <f>'Fats Raw Data'!AP56-'Fats Raw Data'!AZ56</f>
        <v>0</v>
      </c>
      <c r="X56">
        <f>'Fats Raw Data'!AQ56-'Fats Raw Data'!BA56</f>
        <v>0</v>
      </c>
      <c r="Y56">
        <f>'Fats Raw Data'!AR56-'Fats Raw Data'!BB56</f>
        <v>0</v>
      </c>
      <c r="Z56">
        <f>'Fats Raw Data'!AS56-'Fats Raw Data'!BC56</f>
        <v>0</v>
      </c>
      <c r="AA56" t="str">
        <f>'Fats Raw Data'!AW56&amp;" - "&amp;'Fats Raw Data'!BG56</f>
        <v xml:space="preserve"> - </v>
      </c>
      <c r="AC56" s="1">
        <f>'Fats Raw Data'!AY56</f>
        <v>0</v>
      </c>
      <c r="AD56">
        <f>'Fats Raw Data'!AZ56-'Fats Raw Data'!B56</f>
        <v>0</v>
      </c>
      <c r="AE56">
        <f>'Fats Raw Data'!BA56-'Fats Raw Data'!C56</f>
        <v>0</v>
      </c>
      <c r="AF56">
        <f>'Fats Raw Data'!BB56-'Fats Raw Data'!D56</f>
        <v>0</v>
      </c>
      <c r="AG56">
        <f>'Fats Raw Data'!BC56-'Fats Raw Data'!E56</f>
        <v>0</v>
      </c>
      <c r="AH56" t="str">
        <f>'Fats Raw Data'!BG56&amp;" - "&amp;'Fats Raw Data'!I56</f>
        <v xml:space="preserve"> - </v>
      </c>
      <c r="AJ56" s="1">
        <f>'Fats Raw Data'!A56</f>
        <v>0</v>
      </c>
      <c r="AK56">
        <f>'Fats Raw Data'!B56-'Fats Raw Data'!L56</f>
        <v>0</v>
      </c>
      <c r="AL56">
        <f>'Fats Raw Data'!C56-'Fats Raw Data'!M56</f>
        <v>0</v>
      </c>
      <c r="AM56">
        <f>'Fats Raw Data'!D56-'Fats Raw Data'!N56</f>
        <v>0</v>
      </c>
      <c r="AN56">
        <f>'Fats Raw Data'!E56-'Fats Raw Data'!O56</f>
        <v>0</v>
      </c>
      <c r="AO56" t="str">
        <f>'Fats Raw Data'!I56&amp;" - "&amp;'Fats Raw Data'!S56</f>
        <v xml:space="preserve"> - </v>
      </c>
      <c r="AQ56" s="1">
        <f>'Fats Raw Data'!AE56</f>
        <v>0</v>
      </c>
      <c r="AR56">
        <f>'Fats Raw Data'!AF56-'Fats Raw Data'!AZ56</f>
        <v>0</v>
      </c>
      <c r="AS56">
        <f>'Fats Raw Data'!AG56-'Fats Raw Data'!BA56</f>
        <v>0</v>
      </c>
      <c r="AT56">
        <f>'Fats Raw Data'!AH56-'Fats Raw Data'!BB56</f>
        <v>0</v>
      </c>
      <c r="AU56">
        <f>'Fats Raw Data'!AI56-'Fats Raw Data'!BC56</f>
        <v>0</v>
      </c>
      <c r="AV56" t="str">
        <f>'Fats Raw Data'!AM56&amp;" - "&amp;'Fats Raw Data'!BG56</f>
        <v xml:space="preserve"> - </v>
      </c>
      <c r="AX56" s="1">
        <f>'Fats Raw Data'!A56</f>
        <v>0</v>
      </c>
      <c r="AY56">
        <f>'Fats Raw Data'!B56-'Fats Raw Data'!V56</f>
        <v>0</v>
      </c>
      <c r="AZ56">
        <f>'Fats Raw Data'!C56-'Fats Raw Data'!W56</f>
        <v>0</v>
      </c>
      <c r="BA56">
        <f>'Fats Raw Data'!D56-'Fats Raw Data'!X56</f>
        <v>0</v>
      </c>
      <c r="BB56">
        <f>'Fats Raw Data'!E56-'Fats Raw Data'!Y56</f>
        <v>0</v>
      </c>
      <c r="BC56" t="str">
        <f>'Fats Raw Data'!I56&amp;" - "&amp;'Fats Raw Data'!AC56</f>
        <v xml:space="preserve"> - </v>
      </c>
      <c r="BE56" s="1">
        <f>'Fats Raw Data'!K56</f>
        <v>0</v>
      </c>
      <c r="BF56">
        <f>'Fats Raw Data'!L56-'Fats Raw Data'!AF56</f>
        <v>0</v>
      </c>
      <c r="BG56">
        <f>'Fats Raw Data'!M56-'Fats Raw Data'!AG56</f>
        <v>0</v>
      </c>
      <c r="BH56">
        <f>'Fats Raw Data'!N56-'Fats Raw Data'!AH56</f>
        <v>0</v>
      </c>
      <c r="BI56">
        <f>'Fats Raw Data'!O56-'Fats Raw Data'!AI56</f>
        <v>0</v>
      </c>
      <c r="BJ56" t="str">
        <f>'Fats Raw Data'!S56&amp;" - "&amp;'Fats Raw Data'!AM56</f>
        <v xml:space="preserve"> - </v>
      </c>
    </row>
    <row r="57" spans="1:62" x14ac:dyDescent="0.25">
      <c r="A57" s="1">
        <f>'Fats Raw Data'!K57</f>
        <v>0</v>
      </c>
      <c r="B57">
        <f>'Fats Raw Data'!L57-'Fats Raw Data'!V57</f>
        <v>0</v>
      </c>
      <c r="C57">
        <f>'Fats Raw Data'!M57-'Fats Raw Data'!W57</f>
        <v>0</v>
      </c>
      <c r="D57">
        <f>'Fats Raw Data'!N57-'Fats Raw Data'!X57</f>
        <v>0</v>
      </c>
      <c r="E57">
        <f>'Fats Raw Data'!O57-'Fats Raw Data'!Y57</f>
        <v>0</v>
      </c>
      <c r="F57" t="str">
        <f>'Fats Raw Data'!S57&amp;" - "&amp;'Fats Raw Data'!AC57</f>
        <v xml:space="preserve"> - </v>
      </c>
      <c r="H57" s="1">
        <f>'Fats Raw Data'!U57</f>
        <v>0</v>
      </c>
      <c r="I57">
        <f>'Fats Raw Data'!V57-'Fats Raw Data'!AF57</f>
        <v>0</v>
      </c>
      <c r="J57">
        <f>'Fats Raw Data'!W57-'Fats Raw Data'!AG57</f>
        <v>0</v>
      </c>
      <c r="K57">
        <f>'Fats Raw Data'!X57-'Fats Raw Data'!AH57</f>
        <v>0</v>
      </c>
      <c r="L57">
        <f>'Fats Raw Data'!Y57-'Fats Raw Data'!AI57</f>
        <v>0</v>
      </c>
      <c r="M57" t="str">
        <f>'Fats Raw Data'!AC57&amp;" - "&amp;'Fats Raw Data'!AM57</f>
        <v xml:space="preserve"> - </v>
      </c>
      <c r="O57" s="1">
        <f>'Fats Raw Data'!AE57</f>
        <v>0</v>
      </c>
      <c r="P57">
        <f>'Fats Raw Data'!AF57-'Fats Raw Data'!AP57</f>
        <v>0</v>
      </c>
      <c r="Q57">
        <f>'Fats Raw Data'!AG57-'Fats Raw Data'!AQ57</f>
        <v>0</v>
      </c>
      <c r="R57">
        <f>'Fats Raw Data'!AH57-'Fats Raw Data'!AR57</f>
        <v>0</v>
      </c>
      <c r="S57">
        <f>'Fats Raw Data'!AI57-'Fats Raw Data'!AS57</f>
        <v>0</v>
      </c>
      <c r="T57" t="str">
        <f>'Fats Raw Data'!AM57&amp;" - "&amp;'Fats Raw Data'!AW57</f>
        <v xml:space="preserve"> - </v>
      </c>
      <c r="V57" s="1">
        <f>'Fats Raw Data'!AO57</f>
        <v>0</v>
      </c>
      <c r="W57">
        <f>'Fats Raw Data'!AP57-'Fats Raw Data'!AZ57</f>
        <v>0</v>
      </c>
      <c r="X57">
        <f>'Fats Raw Data'!AQ57-'Fats Raw Data'!BA57</f>
        <v>0</v>
      </c>
      <c r="Y57">
        <f>'Fats Raw Data'!AR57-'Fats Raw Data'!BB57</f>
        <v>0</v>
      </c>
      <c r="Z57">
        <f>'Fats Raw Data'!AS57-'Fats Raw Data'!BC57</f>
        <v>0</v>
      </c>
      <c r="AA57" t="str">
        <f>'Fats Raw Data'!AW57&amp;" - "&amp;'Fats Raw Data'!BG57</f>
        <v xml:space="preserve"> - </v>
      </c>
      <c r="AC57" s="1">
        <f>'Fats Raw Data'!AY57</f>
        <v>0</v>
      </c>
      <c r="AD57">
        <f>'Fats Raw Data'!AZ57-'Fats Raw Data'!B57</f>
        <v>0</v>
      </c>
      <c r="AE57">
        <f>'Fats Raw Data'!BA57-'Fats Raw Data'!C57</f>
        <v>0</v>
      </c>
      <c r="AF57">
        <f>'Fats Raw Data'!BB57-'Fats Raw Data'!D57</f>
        <v>0</v>
      </c>
      <c r="AG57">
        <f>'Fats Raw Data'!BC57-'Fats Raw Data'!E57</f>
        <v>0</v>
      </c>
      <c r="AH57" t="str">
        <f>'Fats Raw Data'!BG57&amp;" - "&amp;'Fats Raw Data'!I57</f>
        <v xml:space="preserve"> - </v>
      </c>
      <c r="AJ57" s="1">
        <f>'Fats Raw Data'!A57</f>
        <v>0</v>
      </c>
      <c r="AK57">
        <f>'Fats Raw Data'!B57-'Fats Raw Data'!L57</f>
        <v>0</v>
      </c>
      <c r="AL57">
        <f>'Fats Raw Data'!C57-'Fats Raw Data'!M57</f>
        <v>0</v>
      </c>
      <c r="AM57">
        <f>'Fats Raw Data'!D57-'Fats Raw Data'!N57</f>
        <v>0</v>
      </c>
      <c r="AN57">
        <f>'Fats Raw Data'!E57-'Fats Raw Data'!O57</f>
        <v>0</v>
      </c>
      <c r="AO57" t="str">
        <f>'Fats Raw Data'!I57&amp;" - "&amp;'Fats Raw Data'!S57</f>
        <v xml:space="preserve"> - </v>
      </c>
      <c r="AQ57" s="1">
        <f>'Fats Raw Data'!AE57</f>
        <v>0</v>
      </c>
      <c r="AR57">
        <f>'Fats Raw Data'!AF57-'Fats Raw Data'!AZ57</f>
        <v>0</v>
      </c>
      <c r="AS57">
        <f>'Fats Raw Data'!AG57-'Fats Raw Data'!BA57</f>
        <v>0</v>
      </c>
      <c r="AT57">
        <f>'Fats Raw Data'!AH57-'Fats Raw Data'!BB57</f>
        <v>0</v>
      </c>
      <c r="AU57">
        <f>'Fats Raw Data'!AI57-'Fats Raw Data'!BC57</f>
        <v>0</v>
      </c>
      <c r="AV57" t="str">
        <f>'Fats Raw Data'!AM57&amp;" - "&amp;'Fats Raw Data'!BG57</f>
        <v xml:space="preserve"> - </v>
      </c>
      <c r="AX57" s="1">
        <f>'Fats Raw Data'!A57</f>
        <v>0</v>
      </c>
      <c r="AY57">
        <f>'Fats Raw Data'!B57-'Fats Raw Data'!V57</f>
        <v>0</v>
      </c>
      <c r="AZ57">
        <f>'Fats Raw Data'!C57-'Fats Raw Data'!W57</f>
        <v>0</v>
      </c>
      <c r="BA57">
        <f>'Fats Raw Data'!D57-'Fats Raw Data'!X57</f>
        <v>0</v>
      </c>
      <c r="BB57">
        <f>'Fats Raw Data'!E57-'Fats Raw Data'!Y57</f>
        <v>0</v>
      </c>
      <c r="BC57" t="str">
        <f>'Fats Raw Data'!I57&amp;" - "&amp;'Fats Raw Data'!AC57</f>
        <v xml:space="preserve"> - </v>
      </c>
      <c r="BE57" s="1">
        <f>'Fats Raw Data'!K57</f>
        <v>0</v>
      </c>
      <c r="BF57">
        <f>'Fats Raw Data'!L57-'Fats Raw Data'!AF57</f>
        <v>0</v>
      </c>
      <c r="BG57">
        <f>'Fats Raw Data'!M57-'Fats Raw Data'!AG57</f>
        <v>0</v>
      </c>
      <c r="BH57">
        <f>'Fats Raw Data'!N57-'Fats Raw Data'!AH57</f>
        <v>0</v>
      </c>
      <c r="BI57">
        <f>'Fats Raw Data'!O57-'Fats Raw Data'!AI57</f>
        <v>0</v>
      </c>
      <c r="BJ57" t="str">
        <f>'Fats Raw Data'!S57&amp;" - "&amp;'Fats Raw Data'!AM57</f>
        <v xml:space="preserve"> - </v>
      </c>
    </row>
    <row r="58" spans="1:62" x14ac:dyDescent="0.25">
      <c r="A58" s="1">
        <f>'Fats Raw Data'!K58</f>
        <v>0</v>
      </c>
      <c r="B58">
        <f>'Fats Raw Data'!L58-'Fats Raw Data'!V58</f>
        <v>0</v>
      </c>
      <c r="C58">
        <f>'Fats Raw Data'!M58-'Fats Raw Data'!W58</f>
        <v>0</v>
      </c>
      <c r="D58">
        <f>'Fats Raw Data'!N58-'Fats Raw Data'!X58</f>
        <v>0</v>
      </c>
      <c r="E58">
        <f>'Fats Raw Data'!O58-'Fats Raw Data'!Y58</f>
        <v>0</v>
      </c>
      <c r="F58" t="str">
        <f>'Fats Raw Data'!S58&amp;" - "&amp;'Fats Raw Data'!AC58</f>
        <v xml:space="preserve"> - </v>
      </c>
      <c r="H58" s="1">
        <f>'Fats Raw Data'!U58</f>
        <v>0</v>
      </c>
      <c r="I58">
        <f>'Fats Raw Data'!V58-'Fats Raw Data'!AF58</f>
        <v>0</v>
      </c>
      <c r="J58">
        <f>'Fats Raw Data'!W58-'Fats Raw Data'!AG58</f>
        <v>0</v>
      </c>
      <c r="K58">
        <f>'Fats Raw Data'!X58-'Fats Raw Data'!AH58</f>
        <v>0</v>
      </c>
      <c r="L58">
        <f>'Fats Raw Data'!Y58-'Fats Raw Data'!AI58</f>
        <v>0</v>
      </c>
      <c r="M58" t="str">
        <f>'Fats Raw Data'!AC58&amp;" - "&amp;'Fats Raw Data'!AM58</f>
        <v xml:space="preserve"> - </v>
      </c>
      <c r="O58" s="1">
        <f>'Fats Raw Data'!AE58</f>
        <v>0</v>
      </c>
      <c r="P58">
        <f>'Fats Raw Data'!AF58-'Fats Raw Data'!AP58</f>
        <v>0</v>
      </c>
      <c r="Q58">
        <f>'Fats Raw Data'!AG58-'Fats Raw Data'!AQ58</f>
        <v>0</v>
      </c>
      <c r="R58">
        <f>'Fats Raw Data'!AH58-'Fats Raw Data'!AR58</f>
        <v>0</v>
      </c>
      <c r="S58">
        <f>'Fats Raw Data'!AI58-'Fats Raw Data'!AS58</f>
        <v>0</v>
      </c>
      <c r="T58" t="str">
        <f>'Fats Raw Data'!AM58&amp;" - "&amp;'Fats Raw Data'!AW58</f>
        <v xml:space="preserve"> - </v>
      </c>
      <c r="V58" s="1">
        <f>'Fats Raw Data'!AO58</f>
        <v>0</v>
      </c>
      <c r="W58">
        <f>'Fats Raw Data'!AP58-'Fats Raw Data'!AZ58</f>
        <v>0</v>
      </c>
      <c r="X58">
        <f>'Fats Raw Data'!AQ58-'Fats Raw Data'!BA58</f>
        <v>0</v>
      </c>
      <c r="Y58">
        <f>'Fats Raw Data'!AR58-'Fats Raw Data'!BB58</f>
        <v>0</v>
      </c>
      <c r="Z58">
        <f>'Fats Raw Data'!AS58-'Fats Raw Data'!BC58</f>
        <v>0</v>
      </c>
      <c r="AA58" t="str">
        <f>'Fats Raw Data'!AW58&amp;" - "&amp;'Fats Raw Data'!BG58</f>
        <v xml:space="preserve"> - </v>
      </c>
      <c r="AC58" s="1">
        <f>'Fats Raw Data'!AY58</f>
        <v>0</v>
      </c>
      <c r="AD58">
        <f>'Fats Raw Data'!AZ58-'Fats Raw Data'!B58</f>
        <v>0</v>
      </c>
      <c r="AE58">
        <f>'Fats Raw Data'!BA58-'Fats Raw Data'!C58</f>
        <v>0</v>
      </c>
      <c r="AF58">
        <f>'Fats Raw Data'!BB58-'Fats Raw Data'!D58</f>
        <v>0</v>
      </c>
      <c r="AG58">
        <f>'Fats Raw Data'!BC58-'Fats Raw Data'!E58</f>
        <v>0</v>
      </c>
      <c r="AH58" t="str">
        <f>'Fats Raw Data'!BG58&amp;" - "&amp;'Fats Raw Data'!I58</f>
        <v xml:space="preserve"> - </v>
      </c>
      <c r="AJ58" s="1">
        <f>'Fats Raw Data'!A58</f>
        <v>0</v>
      </c>
      <c r="AK58">
        <f>'Fats Raw Data'!B58-'Fats Raw Data'!L58</f>
        <v>0</v>
      </c>
      <c r="AL58">
        <f>'Fats Raw Data'!C58-'Fats Raw Data'!M58</f>
        <v>0</v>
      </c>
      <c r="AM58">
        <f>'Fats Raw Data'!D58-'Fats Raw Data'!N58</f>
        <v>0</v>
      </c>
      <c r="AN58">
        <f>'Fats Raw Data'!E58-'Fats Raw Data'!O58</f>
        <v>0</v>
      </c>
      <c r="AO58" t="str">
        <f>'Fats Raw Data'!I58&amp;" - "&amp;'Fats Raw Data'!S58</f>
        <v xml:space="preserve"> - </v>
      </c>
      <c r="AQ58" s="1">
        <f>'Fats Raw Data'!AE58</f>
        <v>0</v>
      </c>
      <c r="AR58">
        <f>'Fats Raw Data'!AF58-'Fats Raw Data'!AZ58</f>
        <v>0</v>
      </c>
      <c r="AS58">
        <f>'Fats Raw Data'!AG58-'Fats Raw Data'!BA58</f>
        <v>0</v>
      </c>
      <c r="AT58">
        <f>'Fats Raw Data'!AH58-'Fats Raw Data'!BB58</f>
        <v>0</v>
      </c>
      <c r="AU58">
        <f>'Fats Raw Data'!AI58-'Fats Raw Data'!BC58</f>
        <v>0</v>
      </c>
      <c r="AV58" t="str">
        <f>'Fats Raw Data'!AM58&amp;" - "&amp;'Fats Raw Data'!BG58</f>
        <v xml:space="preserve"> - </v>
      </c>
      <c r="AX58" s="1">
        <f>'Fats Raw Data'!A58</f>
        <v>0</v>
      </c>
      <c r="AY58">
        <f>'Fats Raw Data'!B58-'Fats Raw Data'!V58</f>
        <v>0</v>
      </c>
      <c r="AZ58">
        <f>'Fats Raw Data'!C58-'Fats Raw Data'!W58</f>
        <v>0</v>
      </c>
      <c r="BA58">
        <f>'Fats Raw Data'!D58-'Fats Raw Data'!X58</f>
        <v>0</v>
      </c>
      <c r="BB58">
        <f>'Fats Raw Data'!E58-'Fats Raw Data'!Y58</f>
        <v>0</v>
      </c>
      <c r="BC58" t="str">
        <f>'Fats Raw Data'!I58&amp;" - "&amp;'Fats Raw Data'!AC58</f>
        <v xml:space="preserve"> - </v>
      </c>
      <c r="BE58" s="1">
        <f>'Fats Raw Data'!K58</f>
        <v>0</v>
      </c>
      <c r="BF58">
        <f>'Fats Raw Data'!L58-'Fats Raw Data'!AF58</f>
        <v>0</v>
      </c>
      <c r="BG58">
        <f>'Fats Raw Data'!M58-'Fats Raw Data'!AG58</f>
        <v>0</v>
      </c>
      <c r="BH58">
        <f>'Fats Raw Data'!N58-'Fats Raw Data'!AH58</f>
        <v>0</v>
      </c>
      <c r="BI58">
        <f>'Fats Raw Data'!O58-'Fats Raw Data'!AI58</f>
        <v>0</v>
      </c>
      <c r="BJ58" t="str">
        <f>'Fats Raw Data'!S58&amp;" - "&amp;'Fats Raw Data'!AM58</f>
        <v xml:space="preserve"> - </v>
      </c>
    </row>
    <row r="59" spans="1:62" x14ac:dyDescent="0.25">
      <c r="A59" s="1">
        <f>'Fats Raw Data'!K59</f>
        <v>0</v>
      </c>
      <c r="B59">
        <f>'Fats Raw Data'!L59-'Fats Raw Data'!V59</f>
        <v>0</v>
      </c>
      <c r="C59">
        <f>'Fats Raw Data'!M59-'Fats Raw Data'!W59</f>
        <v>0</v>
      </c>
      <c r="D59">
        <f>'Fats Raw Data'!N59-'Fats Raw Data'!X59</f>
        <v>0</v>
      </c>
      <c r="E59">
        <f>'Fats Raw Data'!O59-'Fats Raw Data'!Y59</f>
        <v>0</v>
      </c>
      <c r="F59" t="str">
        <f>'Fats Raw Data'!S59&amp;" - "&amp;'Fats Raw Data'!AC59</f>
        <v xml:space="preserve"> - </v>
      </c>
      <c r="H59" s="1">
        <f>'Fats Raw Data'!U59</f>
        <v>0</v>
      </c>
      <c r="I59">
        <f>'Fats Raw Data'!V59-'Fats Raw Data'!AF59</f>
        <v>0</v>
      </c>
      <c r="J59">
        <f>'Fats Raw Data'!W59-'Fats Raw Data'!AG59</f>
        <v>0</v>
      </c>
      <c r="K59">
        <f>'Fats Raw Data'!X59-'Fats Raw Data'!AH59</f>
        <v>0</v>
      </c>
      <c r="L59">
        <f>'Fats Raw Data'!Y59-'Fats Raw Data'!AI59</f>
        <v>0</v>
      </c>
      <c r="M59" t="str">
        <f>'Fats Raw Data'!AC59&amp;" - "&amp;'Fats Raw Data'!AM59</f>
        <v xml:space="preserve"> - </v>
      </c>
      <c r="O59" s="1">
        <f>'Fats Raw Data'!AE59</f>
        <v>0</v>
      </c>
      <c r="P59">
        <f>'Fats Raw Data'!AF59-'Fats Raw Data'!AP59</f>
        <v>0</v>
      </c>
      <c r="Q59">
        <f>'Fats Raw Data'!AG59-'Fats Raw Data'!AQ59</f>
        <v>0</v>
      </c>
      <c r="R59">
        <f>'Fats Raw Data'!AH59-'Fats Raw Data'!AR59</f>
        <v>0</v>
      </c>
      <c r="S59">
        <f>'Fats Raw Data'!AI59-'Fats Raw Data'!AS59</f>
        <v>0</v>
      </c>
      <c r="T59" t="str">
        <f>'Fats Raw Data'!AM59&amp;" - "&amp;'Fats Raw Data'!AW59</f>
        <v xml:space="preserve"> - </v>
      </c>
      <c r="V59" s="1">
        <f>'Fats Raw Data'!AO59</f>
        <v>0</v>
      </c>
      <c r="W59">
        <f>'Fats Raw Data'!AP59-'Fats Raw Data'!AZ59</f>
        <v>0</v>
      </c>
      <c r="X59">
        <f>'Fats Raw Data'!AQ59-'Fats Raw Data'!BA59</f>
        <v>0</v>
      </c>
      <c r="Y59">
        <f>'Fats Raw Data'!AR59-'Fats Raw Data'!BB59</f>
        <v>0</v>
      </c>
      <c r="Z59">
        <f>'Fats Raw Data'!AS59-'Fats Raw Data'!BC59</f>
        <v>0</v>
      </c>
      <c r="AA59" t="str">
        <f>'Fats Raw Data'!AW59&amp;" - "&amp;'Fats Raw Data'!BG59</f>
        <v xml:space="preserve"> - </v>
      </c>
      <c r="AC59" s="1">
        <f>'Fats Raw Data'!AY59</f>
        <v>0</v>
      </c>
      <c r="AD59">
        <f>'Fats Raw Data'!AZ59-'Fats Raw Data'!B59</f>
        <v>0</v>
      </c>
      <c r="AE59">
        <f>'Fats Raw Data'!BA59-'Fats Raw Data'!C59</f>
        <v>0</v>
      </c>
      <c r="AF59">
        <f>'Fats Raw Data'!BB59-'Fats Raw Data'!D59</f>
        <v>0</v>
      </c>
      <c r="AG59">
        <f>'Fats Raw Data'!BC59-'Fats Raw Data'!E59</f>
        <v>0</v>
      </c>
      <c r="AH59" t="str">
        <f>'Fats Raw Data'!BG59&amp;" - "&amp;'Fats Raw Data'!I59</f>
        <v xml:space="preserve"> - </v>
      </c>
      <c r="AJ59" s="1">
        <f>'Fats Raw Data'!A59</f>
        <v>0</v>
      </c>
      <c r="AK59">
        <f>'Fats Raw Data'!B59-'Fats Raw Data'!L59</f>
        <v>0</v>
      </c>
      <c r="AL59">
        <f>'Fats Raw Data'!C59-'Fats Raw Data'!M59</f>
        <v>0</v>
      </c>
      <c r="AM59">
        <f>'Fats Raw Data'!D59-'Fats Raw Data'!N59</f>
        <v>0</v>
      </c>
      <c r="AN59">
        <f>'Fats Raw Data'!E59-'Fats Raw Data'!O59</f>
        <v>0</v>
      </c>
      <c r="AO59" t="str">
        <f>'Fats Raw Data'!I59&amp;" - "&amp;'Fats Raw Data'!S59</f>
        <v xml:space="preserve"> - </v>
      </c>
      <c r="AQ59" s="1">
        <f>'Fats Raw Data'!AE59</f>
        <v>0</v>
      </c>
      <c r="AR59">
        <f>'Fats Raw Data'!AF59-'Fats Raw Data'!AZ59</f>
        <v>0</v>
      </c>
      <c r="AS59">
        <f>'Fats Raw Data'!AG59-'Fats Raw Data'!BA59</f>
        <v>0</v>
      </c>
      <c r="AT59">
        <f>'Fats Raw Data'!AH59-'Fats Raw Data'!BB59</f>
        <v>0</v>
      </c>
      <c r="AU59">
        <f>'Fats Raw Data'!AI59-'Fats Raw Data'!BC59</f>
        <v>0</v>
      </c>
      <c r="AV59" t="str">
        <f>'Fats Raw Data'!AM59&amp;" - "&amp;'Fats Raw Data'!BG59</f>
        <v xml:space="preserve"> - </v>
      </c>
      <c r="AX59" s="1">
        <f>'Fats Raw Data'!A59</f>
        <v>0</v>
      </c>
      <c r="AY59">
        <f>'Fats Raw Data'!B59-'Fats Raw Data'!V59</f>
        <v>0</v>
      </c>
      <c r="AZ59">
        <f>'Fats Raw Data'!C59-'Fats Raw Data'!W59</f>
        <v>0</v>
      </c>
      <c r="BA59">
        <f>'Fats Raw Data'!D59-'Fats Raw Data'!X59</f>
        <v>0</v>
      </c>
      <c r="BB59">
        <f>'Fats Raw Data'!E59-'Fats Raw Data'!Y59</f>
        <v>0</v>
      </c>
      <c r="BC59" t="str">
        <f>'Fats Raw Data'!I59&amp;" - "&amp;'Fats Raw Data'!AC59</f>
        <v xml:space="preserve"> - </v>
      </c>
      <c r="BE59" s="1">
        <f>'Fats Raw Data'!K59</f>
        <v>0</v>
      </c>
      <c r="BF59">
        <f>'Fats Raw Data'!L59-'Fats Raw Data'!AF59</f>
        <v>0</v>
      </c>
      <c r="BG59">
        <f>'Fats Raw Data'!M59-'Fats Raw Data'!AG59</f>
        <v>0</v>
      </c>
      <c r="BH59">
        <f>'Fats Raw Data'!N59-'Fats Raw Data'!AH59</f>
        <v>0</v>
      </c>
      <c r="BI59">
        <f>'Fats Raw Data'!O59-'Fats Raw Data'!AI59</f>
        <v>0</v>
      </c>
      <c r="BJ59" t="str">
        <f>'Fats Raw Data'!S59&amp;" - "&amp;'Fats Raw Data'!AM59</f>
        <v xml:space="preserve"> - </v>
      </c>
    </row>
    <row r="60" spans="1:62" x14ac:dyDescent="0.25">
      <c r="A60" s="1">
        <f>'Fats Raw Data'!K60</f>
        <v>0</v>
      </c>
      <c r="B60">
        <f>'Fats Raw Data'!L60-'Fats Raw Data'!V60</f>
        <v>0</v>
      </c>
      <c r="C60">
        <f>'Fats Raw Data'!M60-'Fats Raw Data'!W60</f>
        <v>0</v>
      </c>
      <c r="D60">
        <f>'Fats Raw Data'!N60-'Fats Raw Data'!X60</f>
        <v>0</v>
      </c>
      <c r="E60">
        <f>'Fats Raw Data'!O60-'Fats Raw Data'!Y60</f>
        <v>0</v>
      </c>
      <c r="F60" t="str">
        <f>'Fats Raw Data'!S60&amp;" - "&amp;'Fats Raw Data'!AC60</f>
        <v xml:space="preserve"> - </v>
      </c>
      <c r="H60" s="1">
        <f>'Fats Raw Data'!U60</f>
        <v>0</v>
      </c>
      <c r="I60">
        <f>'Fats Raw Data'!V60-'Fats Raw Data'!AF60</f>
        <v>0</v>
      </c>
      <c r="J60">
        <f>'Fats Raw Data'!W60-'Fats Raw Data'!AG60</f>
        <v>0</v>
      </c>
      <c r="K60">
        <f>'Fats Raw Data'!X60-'Fats Raw Data'!AH60</f>
        <v>0</v>
      </c>
      <c r="L60">
        <f>'Fats Raw Data'!Y60-'Fats Raw Data'!AI60</f>
        <v>0</v>
      </c>
      <c r="M60" t="str">
        <f>'Fats Raw Data'!AC60&amp;" - "&amp;'Fats Raw Data'!AM60</f>
        <v xml:space="preserve"> - </v>
      </c>
      <c r="O60" s="1">
        <f>'Fats Raw Data'!AE60</f>
        <v>0</v>
      </c>
      <c r="P60">
        <f>'Fats Raw Data'!AF60-'Fats Raw Data'!AP60</f>
        <v>0</v>
      </c>
      <c r="Q60">
        <f>'Fats Raw Data'!AG60-'Fats Raw Data'!AQ60</f>
        <v>0</v>
      </c>
      <c r="R60">
        <f>'Fats Raw Data'!AH60-'Fats Raw Data'!AR60</f>
        <v>0</v>
      </c>
      <c r="S60">
        <f>'Fats Raw Data'!AI60-'Fats Raw Data'!AS60</f>
        <v>0</v>
      </c>
      <c r="T60" t="str">
        <f>'Fats Raw Data'!AM60&amp;" - "&amp;'Fats Raw Data'!AW60</f>
        <v xml:space="preserve"> - </v>
      </c>
      <c r="V60" s="1">
        <f>'Fats Raw Data'!AO60</f>
        <v>0</v>
      </c>
      <c r="W60">
        <f>'Fats Raw Data'!AP60-'Fats Raw Data'!AZ60</f>
        <v>0</v>
      </c>
      <c r="X60">
        <f>'Fats Raw Data'!AQ60-'Fats Raw Data'!BA60</f>
        <v>0</v>
      </c>
      <c r="Y60">
        <f>'Fats Raw Data'!AR60-'Fats Raw Data'!BB60</f>
        <v>0</v>
      </c>
      <c r="Z60">
        <f>'Fats Raw Data'!AS60-'Fats Raw Data'!BC60</f>
        <v>0</v>
      </c>
      <c r="AA60" t="str">
        <f>'Fats Raw Data'!AW60&amp;" - "&amp;'Fats Raw Data'!BG60</f>
        <v xml:space="preserve"> - </v>
      </c>
      <c r="AC60" s="1">
        <f>'Fats Raw Data'!AY60</f>
        <v>0</v>
      </c>
      <c r="AD60">
        <f>'Fats Raw Data'!AZ60-'Fats Raw Data'!B60</f>
        <v>0</v>
      </c>
      <c r="AE60">
        <f>'Fats Raw Data'!BA60-'Fats Raw Data'!C60</f>
        <v>0</v>
      </c>
      <c r="AF60">
        <f>'Fats Raw Data'!BB60-'Fats Raw Data'!D60</f>
        <v>0</v>
      </c>
      <c r="AG60">
        <f>'Fats Raw Data'!BC60-'Fats Raw Data'!E60</f>
        <v>0</v>
      </c>
      <c r="AH60" t="str">
        <f>'Fats Raw Data'!BG60&amp;" - "&amp;'Fats Raw Data'!I60</f>
        <v xml:space="preserve"> - </v>
      </c>
      <c r="AJ60" s="1">
        <f>'Fats Raw Data'!A60</f>
        <v>0</v>
      </c>
      <c r="AK60">
        <f>'Fats Raw Data'!B60-'Fats Raw Data'!L60</f>
        <v>0</v>
      </c>
      <c r="AL60">
        <f>'Fats Raw Data'!C60-'Fats Raw Data'!M60</f>
        <v>0</v>
      </c>
      <c r="AM60">
        <f>'Fats Raw Data'!D60-'Fats Raw Data'!N60</f>
        <v>0</v>
      </c>
      <c r="AN60">
        <f>'Fats Raw Data'!E60-'Fats Raw Data'!O60</f>
        <v>0</v>
      </c>
      <c r="AO60" t="str">
        <f>'Fats Raw Data'!I60&amp;" - "&amp;'Fats Raw Data'!S60</f>
        <v xml:space="preserve"> - </v>
      </c>
      <c r="AQ60" s="1">
        <f>'Fats Raw Data'!AE60</f>
        <v>0</v>
      </c>
      <c r="AR60">
        <f>'Fats Raw Data'!AF60-'Fats Raw Data'!AZ60</f>
        <v>0</v>
      </c>
      <c r="AS60">
        <f>'Fats Raw Data'!AG60-'Fats Raw Data'!BA60</f>
        <v>0</v>
      </c>
      <c r="AT60">
        <f>'Fats Raw Data'!AH60-'Fats Raw Data'!BB60</f>
        <v>0</v>
      </c>
      <c r="AU60">
        <f>'Fats Raw Data'!AI60-'Fats Raw Data'!BC60</f>
        <v>0</v>
      </c>
      <c r="AV60" t="str">
        <f>'Fats Raw Data'!AM60&amp;" - "&amp;'Fats Raw Data'!BG60</f>
        <v xml:space="preserve"> - </v>
      </c>
      <c r="AX60" s="1">
        <f>'Fats Raw Data'!A60</f>
        <v>0</v>
      </c>
      <c r="AY60">
        <f>'Fats Raw Data'!B60-'Fats Raw Data'!V60</f>
        <v>0</v>
      </c>
      <c r="AZ60">
        <f>'Fats Raw Data'!C60-'Fats Raw Data'!W60</f>
        <v>0</v>
      </c>
      <c r="BA60">
        <f>'Fats Raw Data'!D60-'Fats Raw Data'!X60</f>
        <v>0</v>
      </c>
      <c r="BB60">
        <f>'Fats Raw Data'!E60-'Fats Raw Data'!Y60</f>
        <v>0</v>
      </c>
      <c r="BC60" t="str">
        <f>'Fats Raw Data'!I60&amp;" - "&amp;'Fats Raw Data'!AC60</f>
        <v xml:space="preserve"> - </v>
      </c>
      <c r="BE60" s="1">
        <f>'Fats Raw Data'!K60</f>
        <v>0</v>
      </c>
      <c r="BF60">
        <f>'Fats Raw Data'!L60-'Fats Raw Data'!AF60</f>
        <v>0</v>
      </c>
      <c r="BG60">
        <f>'Fats Raw Data'!M60-'Fats Raw Data'!AG60</f>
        <v>0</v>
      </c>
      <c r="BH60">
        <f>'Fats Raw Data'!N60-'Fats Raw Data'!AH60</f>
        <v>0</v>
      </c>
      <c r="BI60">
        <f>'Fats Raw Data'!O60-'Fats Raw Data'!AI60</f>
        <v>0</v>
      </c>
      <c r="BJ60" t="str">
        <f>'Fats Raw Data'!S60&amp;" - "&amp;'Fats Raw Data'!AM60</f>
        <v xml:space="preserve"> - </v>
      </c>
    </row>
    <row r="61" spans="1:62" x14ac:dyDescent="0.25">
      <c r="A61" s="1">
        <f>'Fats Raw Data'!K61</f>
        <v>0</v>
      </c>
      <c r="B61">
        <f>'Fats Raw Data'!L61-'Fats Raw Data'!V61</f>
        <v>0</v>
      </c>
      <c r="C61">
        <f>'Fats Raw Data'!M61-'Fats Raw Data'!W61</f>
        <v>0</v>
      </c>
      <c r="D61">
        <f>'Fats Raw Data'!N61-'Fats Raw Data'!X61</f>
        <v>0</v>
      </c>
      <c r="E61">
        <f>'Fats Raw Data'!O61-'Fats Raw Data'!Y61</f>
        <v>0</v>
      </c>
      <c r="F61" t="str">
        <f>'Fats Raw Data'!S61&amp;" - "&amp;'Fats Raw Data'!AC61</f>
        <v xml:space="preserve"> - </v>
      </c>
      <c r="H61" s="1">
        <f>'Fats Raw Data'!U61</f>
        <v>0</v>
      </c>
      <c r="I61">
        <f>'Fats Raw Data'!V61-'Fats Raw Data'!AF61</f>
        <v>0</v>
      </c>
      <c r="J61">
        <f>'Fats Raw Data'!W61-'Fats Raw Data'!AG61</f>
        <v>0</v>
      </c>
      <c r="K61">
        <f>'Fats Raw Data'!X61-'Fats Raw Data'!AH61</f>
        <v>0</v>
      </c>
      <c r="L61">
        <f>'Fats Raw Data'!Y61-'Fats Raw Data'!AI61</f>
        <v>0</v>
      </c>
      <c r="M61" t="str">
        <f>'Fats Raw Data'!AC61&amp;" - "&amp;'Fats Raw Data'!AM61</f>
        <v xml:space="preserve"> - </v>
      </c>
      <c r="O61" s="1">
        <f>'Fats Raw Data'!AE61</f>
        <v>0</v>
      </c>
      <c r="P61">
        <f>'Fats Raw Data'!AF61-'Fats Raw Data'!AP61</f>
        <v>0</v>
      </c>
      <c r="Q61">
        <f>'Fats Raw Data'!AG61-'Fats Raw Data'!AQ61</f>
        <v>0</v>
      </c>
      <c r="R61">
        <f>'Fats Raw Data'!AH61-'Fats Raw Data'!AR61</f>
        <v>0</v>
      </c>
      <c r="S61">
        <f>'Fats Raw Data'!AI61-'Fats Raw Data'!AS61</f>
        <v>0</v>
      </c>
      <c r="T61" t="str">
        <f>'Fats Raw Data'!AM61&amp;" - "&amp;'Fats Raw Data'!AW61</f>
        <v xml:space="preserve"> - </v>
      </c>
      <c r="V61" s="1">
        <f>'Fats Raw Data'!AO61</f>
        <v>0</v>
      </c>
      <c r="W61">
        <f>'Fats Raw Data'!AP61-'Fats Raw Data'!AZ61</f>
        <v>0</v>
      </c>
      <c r="X61">
        <f>'Fats Raw Data'!AQ61-'Fats Raw Data'!BA61</f>
        <v>0</v>
      </c>
      <c r="Y61">
        <f>'Fats Raw Data'!AR61-'Fats Raw Data'!BB61</f>
        <v>0</v>
      </c>
      <c r="Z61">
        <f>'Fats Raw Data'!AS61-'Fats Raw Data'!BC61</f>
        <v>0</v>
      </c>
      <c r="AA61" t="str">
        <f>'Fats Raw Data'!AW61&amp;" - "&amp;'Fats Raw Data'!BG61</f>
        <v xml:space="preserve"> - </v>
      </c>
      <c r="AC61" s="1">
        <f>'Fats Raw Data'!AY61</f>
        <v>0</v>
      </c>
      <c r="AD61">
        <f>'Fats Raw Data'!AZ61-'Fats Raw Data'!B61</f>
        <v>0</v>
      </c>
      <c r="AE61">
        <f>'Fats Raw Data'!BA61-'Fats Raw Data'!C61</f>
        <v>0</v>
      </c>
      <c r="AF61">
        <f>'Fats Raw Data'!BB61-'Fats Raw Data'!D61</f>
        <v>0</v>
      </c>
      <c r="AG61">
        <f>'Fats Raw Data'!BC61-'Fats Raw Data'!E61</f>
        <v>0</v>
      </c>
      <c r="AH61" t="str">
        <f>'Fats Raw Data'!BG61&amp;" - "&amp;'Fats Raw Data'!I61</f>
        <v xml:space="preserve"> - </v>
      </c>
      <c r="AJ61" s="1">
        <f>'Fats Raw Data'!A61</f>
        <v>0</v>
      </c>
      <c r="AK61">
        <f>'Fats Raw Data'!B61-'Fats Raw Data'!L61</f>
        <v>0</v>
      </c>
      <c r="AL61">
        <f>'Fats Raw Data'!C61-'Fats Raw Data'!M61</f>
        <v>0</v>
      </c>
      <c r="AM61">
        <f>'Fats Raw Data'!D61-'Fats Raw Data'!N61</f>
        <v>0</v>
      </c>
      <c r="AN61">
        <f>'Fats Raw Data'!E61-'Fats Raw Data'!O61</f>
        <v>0</v>
      </c>
      <c r="AO61" t="str">
        <f>'Fats Raw Data'!I61&amp;" - "&amp;'Fats Raw Data'!S61</f>
        <v xml:space="preserve"> - </v>
      </c>
      <c r="AQ61" s="1">
        <f>'Fats Raw Data'!AE61</f>
        <v>0</v>
      </c>
      <c r="AR61">
        <f>'Fats Raw Data'!AF61-'Fats Raw Data'!AZ61</f>
        <v>0</v>
      </c>
      <c r="AS61">
        <f>'Fats Raw Data'!AG61-'Fats Raw Data'!BA61</f>
        <v>0</v>
      </c>
      <c r="AT61">
        <f>'Fats Raw Data'!AH61-'Fats Raw Data'!BB61</f>
        <v>0</v>
      </c>
      <c r="AU61">
        <f>'Fats Raw Data'!AI61-'Fats Raw Data'!BC61</f>
        <v>0</v>
      </c>
      <c r="AV61" t="str">
        <f>'Fats Raw Data'!AM61&amp;" - "&amp;'Fats Raw Data'!BG61</f>
        <v xml:space="preserve"> - </v>
      </c>
      <c r="AX61" s="1">
        <f>'Fats Raw Data'!A61</f>
        <v>0</v>
      </c>
      <c r="AY61">
        <f>'Fats Raw Data'!B61-'Fats Raw Data'!V61</f>
        <v>0</v>
      </c>
      <c r="AZ61">
        <f>'Fats Raw Data'!C61-'Fats Raw Data'!W61</f>
        <v>0</v>
      </c>
      <c r="BA61">
        <f>'Fats Raw Data'!D61-'Fats Raw Data'!X61</f>
        <v>0</v>
      </c>
      <c r="BB61">
        <f>'Fats Raw Data'!E61-'Fats Raw Data'!Y61</f>
        <v>0</v>
      </c>
      <c r="BC61" t="str">
        <f>'Fats Raw Data'!I61&amp;" - "&amp;'Fats Raw Data'!AC61</f>
        <v xml:space="preserve"> - </v>
      </c>
      <c r="BE61" s="1">
        <f>'Fats Raw Data'!K61</f>
        <v>0</v>
      </c>
      <c r="BF61">
        <f>'Fats Raw Data'!L61-'Fats Raw Data'!AF61</f>
        <v>0</v>
      </c>
      <c r="BG61">
        <f>'Fats Raw Data'!M61-'Fats Raw Data'!AG61</f>
        <v>0</v>
      </c>
      <c r="BH61">
        <f>'Fats Raw Data'!N61-'Fats Raw Data'!AH61</f>
        <v>0</v>
      </c>
      <c r="BI61">
        <f>'Fats Raw Data'!O61-'Fats Raw Data'!AI61</f>
        <v>0</v>
      </c>
      <c r="BJ61" t="str">
        <f>'Fats Raw Data'!S61&amp;" - "&amp;'Fats Raw Data'!AM61</f>
        <v xml:space="preserve"> - </v>
      </c>
    </row>
    <row r="62" spans="1:62" x14ac:dyDescent="0.25">
      <c r="A62" s="1">
        <f>'Fats Raw Data'!K62</f>
        <v>0</v>
      </c>
      <c r="B62">
        <f>'Fats Raw Data'!L62-'Fats Raw Data'!V62</f>
        <v>0</v>
      </c>
      <c r="C62">
        <f>'Fats Raw Data'!M62-'Fats Raw Data'!W62</f>
        <v>0</v>
      </c>
      <c r="D62">
        <f>'Fats Raw Data'!N62-'Fats Raw Data'!X62</f>
        <v>0</v>
      </c>
      <c r="E62">
        <f>'Fats Raw Data'!O62-'Fats Raw Data'!Y62</f>
        <v>0</v>
      </c>
      <c r="F62" t="str">
        <f>'Fats Raw Data'!S62&amp;" - "&amp;'Fats Raw Data'!AC62</f>
        <v xml:space="preserve"> - </v>
      </c>
      <c r="H62" s="1">
        <f>'Fats Raw Data'!U62</f>
        <v>0</v>
      </c>
      <c r="I62">
        <f>'Fats Raw Data'!V62-'Fats Raw Data'!AF62</f>
        <v>0</v>
      </c>
      <c r="J62">
        <f>'Fats Raw Data'!W62-'Fats Raw Data'!AG62</f>
        <v>0</v>
      </c>
      <c r="K62">
        <f>'Fats Raw Data'!X62-'Fats Raw Data'!AH62</f>
        <v>0</v>
      </c>
      <c r="L62">
        <f>'Fats Raw Data'!Y62-'Fats Raw Data'!AI62</f>
        <v>0</v>
      </c>
      <c r="M62" t="str">
        <f>'Fats Raw Data'!AC62&amp;" - "&amp;'Fats Raw Data'!AM62</f>
        <v xml:space="preserve"> - </v>
      </c>
      <c r="O62" s="1">
        <f>'Fats Raw Data'!AE62</f>
        <v>0</v>
      </c>
      <c r="P62">
        <f>'Fats Raw Data'!AF62-'Fats Raw Data'!AP62</f>
        <v>0</v>
      </c>
      <c r="Q62">
        <f>'Fats Raw Data'!AG62-'Fats Raw Data'!AQ62</f>
        <v>0</v>
      </c>
      <c r="R62">
        <f>'Fats Raw Data'!AH62-'Fats Raw Data'!AR62</f>
        <v>0</v>
      </c>
      <c r="S62">
        <f>'Fats Raw Data'!AI62-'Fats Raw Data'!AS62</f>
        <v>0</v>
      </c>
      <c r="T62" t="str">
        <f>'Fats Raw Data'!AM62&amp;" - "&amp;'Fats Raw Data'!AW62</f>
        <v xml:space="preserve"> - </v>
      </c>
      <c r="V62" s="1">
        <f>'Fats Raw Data'!AO62</f>
        <v>0</v>
      </c>
      <c r="W62">
        <f>'Fats Raw Data'!AP62-'Fats Raw Data'!AZ62</f>
        <v>0</v>
      </c>
      <c r="X62">
        <f>'Fats Raw Data'!AQ62-'Fats Raw Data'!BA62</f>
        <v>0</v>
      </c>
      <c r="Y62">
        <f>'Fats Raw Data'!AR62-'Fats Raw Data'!BB62</f>
        <v>0</v>
      </c>
      <c r="Z62">
        <f>'Fats Raw Data'!AS62-'Fats Raw Data'!BC62</f>
        <v>0</v>
      </c>
      <c r="AA62" t="str">
        <f>'Fats Raw Data'!AW62&amp;" - "&amp;'Fats Raw Data'!BG62</f>
        <v xml:space="preserve"> - </v>
      </c>
      <c r="AC62" s="1">
        <f>'Fats Raw Data'!AY62</f>
        <v>0</v>
      </c>
      <c r="AD62">
        <f>'Fats Raw Data'!AZ62-'Fats Raw Data'!B62</f>
        <v>0</v>
      </c>
      <c r="AE62">
        <f>'Fats Raw Data'!BA62-'Fats Raw Data'!C62</f>
        <v>0</v>
      </c>
      <c r="AF62">
        <f>'Fats Raw Data'!BB62-'Fats Raw Data'!D62</f>
        <v>0</v>
      </c>
      <c r="AG62">
        <f>'Fats Raw Data'!BC62-'Fats Raw Data'!E62</f>
        <v>0</v>
      </c>
      <c r="AH62" t="str">
        <f>'Fats Raw Data'!BG62&amp;" - "&amp;'Fats Raw Data'!I62</f>
        <v xml:space="preserve"> - </v>
      </c>
      <c r="AJ62" s="1">
        <f>'Fats Raw Data'!A62</f>
        <v>0</v>
      </c>
      <c r="AK62">
        <f>'Fats Raw Data'!B62-'Fats Raw Data'!L62</f>
        <v>0</v>
      </c>
      <c r="AL62">
        <f>'Fats Raw Data'!C62-'Fats Raw Data'!M62</f>
        <v>0</v>
      </c>
      <c r="AM62">
        <f>'Fats Raw Data'!D62-'Fats Raw Data'!N62</f>
        <v>0</v>
      </c>
      <c r="AN62">
        <f>'Fats Raw Data'!E62-'Fats Raw Data'!O62</f>
        <v>0</v>
      </c>
      <c r="AO62" t="str">
        <f>'Fats Raw Data'!I62&amp;" - "&amp;'Fats Raw Data'!S62</f>
        <v xml:space="preserve"> - </v>
      </c>
      <c r="AQ62" s="1">
        <f>'Fats Raw Data'!AE62</f>
        <v>0</v>
      </c>
      <c r="AR62">
        <f>'Fats Raw Data'!AF62-'Fats Raw Data'!AZ62</f>
        <v>0</v>
      </c>
      <c r="AS62">
        <f>'Fats Raw Data'!AG62-'Fats Raw Data'!BA62</f>
        <v>0</v>
      </c>
      <c r="AT62">
        <f>'Fats Raw Data'!AH62-'Fats Raw Data'!BB62</f>
        <v>0</v>
      </c>
      <c r="AU62">
        <f>'Fats Raw Data'!AI62-'Fats Raw Data'!BC62</f>
        <v>0</v>
      </c>
      <c r="AV62" t="str">
        <f>'Fats Raw Data'!AM62&amp;" - "&amp;'Fats Raw Data'!BG62</f>
        <v xml:space="preserve"> - </v>
      </c>
      <c r="AX62" s="1">
        <f>'Fats Raw Data'!A62</f>
        <v>0</v>
      </c>
      <c r="AY62">
        <f>'Fats Raw Data'!B62-'Fats Raw Data'!V62</f>
        <v>0</v>
      </c>
      <c r="AZ62">
        <f>'Fats Raw Data'!C62-'Fats Raw Data'!W62</f>
        <v>0</v>
      </c>
      <c r="BA62">
        <f>'Fats Raw Data'!D62-'Fats Raw Data'!X62</f>
        <v>0</v>
      </c>
      <c r="BB62">
        <f>'Fats Raw Data'!E62-'Fats Raw Data'!Y62</f>
        <v>0</v>
      </c>
      <c r="BC62" t="str">
        <f>'Fats Raw Data'!I62&amp;" - "&amp;'Fats Raw Data'!AC62</f>
        <v xml:space="preserve"> - </v>
      </c>
      <c r="BE62" s="1">
        <f>'Fats Raw Data'!K62</f>
        <v>0</v>
      </c>
      <c r="BF62">
        <f>'Fats Raw Data'!L62-'Fats Raw Data'!AF62</f>
        <v>0</v>
      </c>
      <c r="BG62">
        <f>'Fats Raw Data'!M62-'Fats Raw Data'!AG62</f>
        <v>0</v>
      </c>
      <c r="BH62">
        <f>'Fats Raw Data'!N62-'Fats Raw Data'!AH62</f>
        <v>0</v>
      </c>
      <c r="BI62">
        <f>'Fats Raw Data'!O62-'Fats Raw Data'!AI62</f>
        <v>0</v>
      </c>
      <c r="BJ62" t="str">
        <f>'Fats Raw Data'!S62&amp;" - "&amp;'Fats Raw Data'!AM62</f>
        <v xml:space="preserve"> - </v>
      </c>
    </row>
    <row r="63" spans="1:62" x14ac:dyDescent="0.25">
      <c r="A63" s="1">
        <f>'Fats Raw Data'!K63</f>
        <v>0</v>
      </c>
      <c r="B63">
        <f>'Fats Raw Data'!L63-'Fats Raw Data'!V63</f>
        <v>0</v>
      </c>
      <c r="C63">
        <f>'Fats Raw Data'!M63-'Fats Raw Data'!W63</f>
        <v>0</v>
      </c>
      <c r="D63">
        <f>'Fats Raw Data'!N63-'Fats Raw Data'!X63</f>
        <v>0</v>
      </c>
      <c r="E63">
        <f>'Fats Raw Data'!O63-'Fats Raw Data'!Y63</f>
        <v>0</v>
      </c>
      <c r="F63" t="str">
        <f>'Fats Raw Data'!S63&amp;" - "&amp;'Fats Raw Data'!AC63</f>
        <v xml:space="preserve"> - </v>
      </c>
      <c r="H63" s="1">
        <f>'Fats Raw Data'!U63</f>
        <v>0</v>
      </c>
      <c r="I63">
        <f>'Fats Raw Data'!V63-'Fats Raw Data'!AF63</f>
        <v>0</v>
      </c>
      <c r="J63">
        <f>'Fats Raw Data'!W63-'Fats Raw Data'!AG63</f>
        <v>0</v>
      </c>
      <c r="K63">
        <f>'Fats Raw Data'!X63-'Fats Raw Data'!AH63</f>
        <v>0</v>
      </c>
      <c r="L63">
        <f>'Fats Raw Data'!Y63-'Fats Raw Data'!AI63</f>
        <v>0</v>
      </c>
      <c r="M63" t="str">
        <f>'Fats Raw Data'!AC63&amp;" - "&amp;'Fats Raw Data'!AM63</f>
        <v xml:space="preserve"> - </v>
      </c>
      <c r="O63" s="1">
        <f>'Fats Raw Data'!AE63</f>
        <v>0</v>
      </c>
      <c r="P63">
        <f>'Fats Raw Data'!AF63-'Fats Raw Data'!AP63</f>
        <v>0</v>
      </c>
      <c r="Q63">
        <f>'Fats Raw Data'!AG63-'Fats Raw Data'!AQ63</f>
        <v>0</v>
      </c>
      <c r="R63">
        <f>'Fats Raw Data'!AH63-'Fats Raw Data'!AR63</f>
        <v>0</v>
      </c>
      <c r="S63">
        <f>'Fats Raw Data'!AI63-'Fats Raw Data'!AS63</f>
        <v>0</v>
      </c>
      <c r="T63" t="str">
        <f>'Fats Raw Data'!AM63&amp;" - "&amp;'Fats Raw Data'!AW63</f>
        <v xml:space="preserve"> - </v>
      </c>
      <c r="V63" s="1">
        <f>'Fats Raw Data'!AO63</f>
        <v>0</v>
      </c>
      <c r="W63">
        <f>'Fats Raw Data'!AP63-'Fats Raw Data'!AZ63</f>
        <v>0</v>
      </c>
      <c r="X63">
        <f>'Fats Raw Data'!AQ63-'Fats Raw Data'!BA63</f>
        <v>0</v>
      </c>
      <c r="Y63">
        <f>'Fats Raw Data'!AR63-'Fats Raw Data'!BB63</f>
        <v>0</v>
      </c>
      <c r="Z63">
        <f>'Fats Raw Data'!AS63-'Fats Raw Data'!BC63</f>
        <v>0</v>
      </c>
      <c r="AA63" t="str">
        <f>'Fats Raw Data'!AW63&amp;" - "&amp;'Fats Raw Data'!BG63</f>
        <v xml:space="preserve"> - </v>
      </c>
      <c r="AC63" s="1">
        <f>'Fats Raw Data'!AY63</f>
        <v>0</v>
      </c>
      <c r="AD63">
        <f>'Fats Raw Data'!AZ63-'Fats Raw Data'!B63</f>
        <v>0</v>
      </c>
      <c r="AE63">
        <f>'Fats Raw Data'!BA63-'Fats Raw Data'!C63</f>
        <v>0</v>
      </c>
      <c r="AF63">
        <f>'Fats Raw Data'!BB63-'Fats Raw Data'!D63</f>
        <v>0</v>
      </c>
      <c r="AG63">
        <f>'Fats Raw Data'!BC63-'Fats Raw Data'!E63</f>
        <v>0</v>
      </c>
      <c r="AH63" t="str">
        <f>'Fats Raw Data'!BG63&amp;" - "&amp;'Fats Raw Data'!I63</f>
        <v xml:space="preserve"> - </v>
      </c>
      <c r="AJ63" s="1">
        <f>'Fats Raw Data'!A63</f>
        <v>0</v>
      </c>
      <c r="AK63">
        <f>'Fats Raw Data'!B63-'Fats Raw Data'!L63</f>
        <v>0</v>
      </c>
      <c r="AL63">
        <f>'Fats Raw Data'!C63-'Fats Raw Data'!M63</f>
        <v>0</v>
      </c>
      <c r="AM63">
        <f>'Fats Raw Data'!D63-'Fats Raw Data'!N63</f>
        <v>0</v>
      </c>
      <c r="AN63">
        <f>'Fats Raw Data'!E63-'Fats Raw Data'!O63</f>
        <v>0</v>
      </c>
      <c r="AO63" t="str">
        <f>'Fats Raw Data'!I63&amp;" - "&amp;'Fats Raw Data'!S63</f>
        <v xml:space="preserve"> - </v>
      </c>
      <c r="AQ63" s="1">
        <f>'Fats Raw Data'!AE63</f>
        <v>0</v>
      </c>
      <c r="AR63">
        <f>'Fats Raw Data'!AF63-'Fats Raw Data'!AZ63</f>
        <v>0</v>
      </c>
      <c r="AS63">
        <f>'Fats Raw Data'!AG63-'Fats Raw Data'!BA63</f>
        <v>0</v>
      </c>
      <c r="AT63">
        <f>'Fats Raw Data'!AH63-'Fats Raw Data'!BB63</f>
        <v>0</v>
      </c>
      <c r="AU63">
        <f>'Fats Raw Data'!AI63-'Fats Raw Data'!BC63</f>
        <v>0</v>
      </c>
      <c r="AV63" t="str">
        <f>'Fats Raw Data'!AM63&amp;" - "&amp;'Fats Raw Data'!BG63</f>
        <v xml:space="preserve"> - </v>
      </c>
      <c r="AX63" s="1">
        <f>'Fats Raw Data'!A63</f>
        <v>0</v>
      </c>
      <c r="AY63">
        <f>'Fats Raw Data'!B63-'Fats Raw Data'!V63</f>
        <v>0</v>
      </c>
      <c r="AZ63">
        <f>'Fats Raw Data'!C63-'Fats Raw Data'!W63</f>
        <v>0</v>
      </c>
      <c r="BA63">
        <f>'Fats Raw Data'!D63-'Fats Raw Data'!X63</f>
        <v>0</v>
      </c>
      <c r="BB63">
        <f>'Fats Raw Data'!E63-'Fats Raw Data'!Y63</f>
        <v>0</v>
      </c>
      <c r="BC63" t="str">
        <f>'Fats Raw Data'!I63&amp;" - "&amp;'Fats Raw Data'!AC63</f>
        <v xml:space="preserve"> - </v>
      </c>
      <c r="BE63" s="1">
        <f>'Fats Raw Data'!K63</f>
        <v>0</v>
      </c>
      <c r="BF63">
        <f>'Fats Raw Data'!L63-'Fats Raw Data'!AF63</f>
        <v>0</v>
      </c>
      <c r="BG63">
        <f>'Fats Raw Data'!M63-'Fats Raw Data'!AG63</f>
        <v>0</v>
      </c>
      <c r="BH63">
        <f>'Fats Raw Data'!N63-'Fats Raw Data'!AH63</f>
        <v>0</v>
      </c>
      <c r="BI63">
        <f>'Fats Raw Data'!O63-'Fats Raw Data'!AI63</f>
        <v>0</v>
      </c>
      <c r="BJ63" t="str">
        <f>'Fats Raw Data'!S63&amp;" - "&amp;'Fats Raw Data'!AM63</f>
        <v xml:space="preserve"> - </v>
      </c>
    </row>
    <row r="64" spans="1:62" x14ac:dyDescent="0.25">
      <c r="A64" s="1">
        <f>'Fats Raw Data'!K64</f>
        <v>0</v>
      </c>
      <c r="B64">
        <f>'Fats Raw Data'!L64-'Fats Raw Data'!V64</f>
        <v>0</v>
      </c>
      <c r="C64">
        <f>'Fats Raw Data'!M64-'Fats Raw Data'!W64</f>
        <v>0</v>
      </c>
      <c r="D64">
        <f>'Fats Raw Data'!N64-'Fats Raw Data'!X64</f>
        <v>0</v>
      </c>
      <c r="E64">
        <f>'Fats Raw Data'!O64-'Fats Raw Data'!Y64</f>
        <v>0</v>
      </c>
      <c r="F64" t="str">
        <f>'Fats Raw Data'!S64&amp;" - "&amp;'Fats Raw Data'!AC64</f>
        <v xml:space="preserve"> - </v>
      </c>
      <c r="H64" s="1">
        <f>'Fats Raw Data'!U64</f>
        <v>0</v>
      </c>
      <c r="I64">
        <f>'Fats Raw Data'!V64-'Fats Raw Data'!AF64</f>
        <v>0</v>
      </c>
      <c r="J64">
        <f>'Fats Raw Data'!W64-'Fats Raw Data'!AG64</f>
        <v>0</v>
      </c>
      <c r="K64">
        <f>'Fats Raw Data'!X64-'Fats Raw Data'!AH64</f>
        <v>0</v>
      </c>
      <c r="L64">
        <f>'Fats Raw Data'!Y64-'Fats Raw Data'!AI64</f>
        <v>0</v>
      </c>
      <c r="M64" t="str">
        <f>'Fats Raw Data'!AC64&amp;" - "&amp;'Fats Raw Data'!AM64</f>
        <v xml:space="preserve"> - </v>
      </c>
      <c r="O64" s="1">
        <f>'Fats Raw Data'!AE64</f>
        <v>0</v>
      </c>
      <c r="P64">
        <f>'Fats Raw Data'!AF64-'Fats Raw Data'!AP64</f>
        <v>0</v>
      </c>
      <c r="Q64">
        <f>'Fats Raw Data'!AG64-'Fats Raw Data'!AQ64</f>
        <v>0</v>
      </c>
      <c r="R64">
        <f>'Fats Raw Data'!AH64-'Fats Raw Data'!AR64</f>
        <v>0</v>
      </c>
      <c r="S64">
        <f>'Fats Raw Data'!AI64-'Fats Raw Data'!AS64</f>
        <v>0</v>
      </c>
      <c r="T64" t="str">
        <f>'Fats Raw Data'!AM64&amp;" - "&amp;'Fats Raw Data'!AW64</f>
        <v xml:space="preserve"> - </v>
      </c>
      <c r="V64" s="1">
        <f>'Fats Raw Data'!AO64</f>
        <v>0</v>
      </c>
      <c r="W64">
        <f>'Fats Raw Data'!AP64-'Fats Raw Data'!AZ64</f>
        <v>0</v>
      </c>
      <c r="X64">
        <f>'Fats Raw Data'!AQ64-'Fats Raw Data'!BA64</f>
        <v>0</v>
      </c>
      <c r="Y64">
        <f>'Fats Raw Data'!AR64-'Fats Raw Data'!BB64</f>
        <v>0</v>
      </c>
      <c r="Z64">
        <f>'Fats Raw Data'!AS64-'Fats Raw Data'!BC64</f>
        <v>0</v>
      </c>
      <c r="AA64" t="str">
        <f>'Fats Raw Data'!AW64&amp;" - "&amp;'Fats Raw Data'!BG64</f>
        <v xml:space="preserve"> - </v>
      </c>
      <c r="AC64" s="1">
        <f>'Fats Raw Data'!AY64</f>
        <v>0</v>
      </c>
      <c r="AD64">
        <f>'Fats Raw Data'!AZ64-'Fats Raw Data'!B64</f>
        <v>0</v>
      </c>
      <c r="AE64">
        <f>'Fats Raw Data'!BA64-'Fats Raw Data'!C64</f>
        <v>0</v>
      </c>
      <c r="AF64">
        <f>'Fats Raw Data'!BB64-'Fats Raw Data'!D64</f>
        <v>0</v>
      </c>
      <c r="AG64">
        <f>'Fats Raw Data'!BC64-'Fats Raw Data'!E64</f>
        <v>0</v>
      </c>
      <c r="AH64" t="str">
        <f>'Fats Raw Data'!BG64&amp;" - "&amp;'Fats Raw Data'!I64</f>
        <v xml:space="preserve"> - </v>
      </c>
      <c r="AJ64" s="1">
        <f>'Fats Raw Data'!A64</f>
        <v>0</v>
      </c>
      <c r="AK64">
        <f>'Fats Raw Data'!B64-'Fats Raw Data'!L64</f>
        <v>0</v>
      </c>
      <c r="AL64">
        <f>'Fats Raw Data'!C64-'Fats Raw Data'!M64</f>
        <v>0</v>
      </c>
      <c r="AM64">
        <f>'Fats Raw Data'!D64-'Fats Raw Data'!N64</f>
        <v>0</v>
      </c>
      <c r="AN64">
        <f>'Fats Raw Data'!E64-'Fats Raw Data'!O64</f>
        <v>0</v>
      </c>
      <c r="AO64" t="str">
        <f>'Fats Raw Data'!I64&amp;" - "&amp;'Fats Raw Data'!S64</f>
        <v xml:space="preserve"> - </v>
      </c>
      <c r="AQ64" s="1">
        <f>'Fats Raw Data'!AE64</f>
        <v>0</v>
      </c>
      <c r="AR64">
        <f>'Fats Raw Data'!AF64-'Fats Raw Data'!AZ64</f>
        <v>0</v>
      </c>
      <c r="AS64">
        <f>'Fats Raw Data'!AG64-'Fats Raw Data'!BA64</f>
        <v>0</v>
      </c>
      <c r="AT64">
        <f>'Fats Raw Data'!AH64-'Fats Raw Data'!BB64</f>
        <v>0</v>
      </c>
      <c r="AU64">
        <f>'Fats Raw Data'!AI64-'Fats Raw Data'!BC64</f>
        <v>0</v>
      </c>
      <c r="AV64" t="str">
        <f>'Fats Raw Data'!AM64&amp;" - "&amp;'Fats Raw Data'!BG64</f>
        <v xml:space="preserve"> - </v>
      </c>
      <c r="AX64" s="1">
        <f>'Fats Raw Data'!A64</f>
        <v>0</v>
      </c>
      <c r="AY64">
        <f>'Fats Raw Data'!B64-'Fats Raw Data'!V64</f>
        <v>0</v>
      </c>
      <c r="AZ64">
        <f>'Fats Raw Data'!C64-'Fats Raw Data'!W64</f>
        <v>0</v>
      </c>
      <c r="BA64">
        <f>'Fats Raw Data'!D64-'Fats Raw Data'!X64</f>
        <v>0</v>
      </c>
      <c r="BB64">
        <f>'Fats Raw Data'!E64-'Fats Raw Data'!Y64</f>
        <v>0</v>
      </c>
      <c r="BC64" t="str">
        <f>'Fats Raw Data'!I64&amp;" - "&amp;'Fats Raw Data'!AC64</f>
        <v xml:space="preserve"> - </v>
      </c>
      <c r="BE64" s="1">
        <f>'Fats Raw Data'!K64</f>
        <v>0</v>
      </c>
      <c r="BF64">
        <f>'Fats Raw Data'!L64-'Fats Raw Data'!AF64</f>
        <v>0</v>
      </c>
      <c r="BG64">
        <f>'Fats Raw Data'!M64-'Fats Raw Data'!AG64</f>
        <v>0</v>
      </c>
      <c r="BH64">
        <f>'Fats Raw Data'!N64-'Fats Raw Data'!AH64</f>
        <v>0</v>
      </c>
      <c r="BI64">
        <f>'Fats Raw Data'!O64-'Fats Raw Data'!AI64</f>
        <v>0</v>
      </c>
      <c r="BJ64" t="str">
        <f>'Fats Raw Data'!S64&amp;" - "&amp;'Fats Raw Data'!AM64</f>
        <v xml:space="preserve"> - </v>
      </c>
    </row>
    <row r="65" spans="1:62" x14ac:dyDescent="0.25">
      <c r="A65" s="1">
        <f>'Fats Raw Data'!K65</f>
        <v>0</v>
      </c>
      <c r="B65">
        <f>'Fats Raw Data'!L65-'Fats Raw Data'!V65</f>
        <v>0</v>
      </c>
      <c r="C65">
        <f>'Fats Raw Data'!M65-'Fats Raw Data'!W65</f>
        <v>0</v>
      </c>
      <c r="D65">
        <f>'Fats Raw Data'!N65-'Fats Raw Data'!X65</f>
        <v>0</v>
      </c>
      <c r="E65">
        <f>'Fats Raw Data'!O65-'Fats Raw Data'!Y65</f>
        <v>0</v>
      </c>
      <c r="F65" t="str">
        <f>'Fats Raw Data'!S65&amp;" - "&amp;'Fats Raw Data'!AC65</f>
        <v xml:space="preserve"> - </v>
      </c>
      <c r="H65" s="1">
        <f>'Fats Raw Data'!U65</f>
        <v>0</v>
      </c>
      <c r="I65">
        <f>'Fats Raw Data'!V65-'Fats Raw Data'!AF65</f>
        <v>0</v>
      </c>
      <c r="J65">
        <f>'Fats Raw Data'!W65-'Fats Raw Data'!AG65</f>
        <v>0</v>
      </c>
      <c r="K65">
        <f>'Fats Raw Data'!X65-'Fats Raw Data'!AH65</f>
        <v>0</v>
      </c>
      <c r="L65">
        <f>'Fats Raw Data'!Y65-'Fats Raw Data'!AI65</f>
        <v>0</v>
      </c>
      <c r="M65" t="str">
        <f>'Fats Raw Data'!AC65&amp;" - "&amp;'Fats Raw Data'!AM65</f>
        <v xml:space="preserve"> - </v>
      </c>
      <c r="O65" s="1">
        <f>'Fats Raw Data'!AE65</f>
        <v>0</v>
      </c>
      <c r="P65">
        <f>'Fats Raw Data'!AF65-'Fats Raw Data'!AP65</f>
        <v>0</v>
      </c>
      <c r="Q65">
        <f>'Fats Raw Data'!AG65-'Fats Raw Data'!AQ65</f>
        <v>0</v>
      </c>
      <c r="R65">
        <f>'Fats Raw Data'!AH65-'Fats Raw Data'!AR65</f>
        <v>0</v>
      </c>
      <c r="S65">
        <f>'Fats Raw Data'!AI65-'Fats Raw Data'!AS65</f>
        <v>0</v>
      </c>
      <c r="T65" t="str">
        <f>'Fats Raw Data'!AM65&amp;" - "&amp;'Fats Raw Data'!AW65</f>
        <v xml:space="preserve"> - </v>
      </c>
      <c r="V65" s="1">
        <f>'Fats Raw Data'!AO65</f>
        <v>0</v>
      </c>
      <c r="W65">
        <f>'Fats Raw Data'!AP65-'Fats Raw Data'!AZ65</f>
        <v>0</v>
      </c>
      <c r="X65">
        <f>'Fats Raw Data'!AQ65-'Fats Raw Data'!BA65</f>
        <v>0</v>
      </c>
      <c r="Y65">
        <f>'Fats Raw Data'!AR65-'Fats Raw Data'!BB65</f>
        <v>0</v>
      </c>
      <c r="Z65">
        <f>'Fats Raw Data'!AS65-'Fats Raw Data'!BC65</f>
        <v>0</v>
      </c>
      <c r="AA65" t="str">
        <f>'Fats Raw Data'!AW65&amp;" - "&amp;'Fats Raw Data'!BG65</f>
        <v xml:space="preserve"> - </v>
      </c>
      <c r="AC65" s="1">
        <f>'Fats Raw Data'!AY65</f>
        <v>0</v>
      </c>
      <c r="AD65">
        <f>'Fats Raw Data'!AZ65-'Fats Raw Data'!B65</f>
        <v>0</v>
      </c>
      <c r="AE65">
        <f>'Fats Raw Data'!BA65-'Fats Raw Data'!C65</f>
        <v>0</v>
      </c>
      <c r="AF65">
        <f>'Fats Raw Data'!BB65-'Fats Raw Data'!D65</f>
        <v>0</v>
      </c>
      <c r="AG65">
        <f>'Fats Raw Data'!BC65-'Fats Raw Data'!E65</f>
        <v>0</v>
      </c>
      <c r="AH65" t="str">
        <f>'Fats Raw Data'!BG65&amp;" - "&amp;'Fats Raw Data'!I65</f>
        <v xml:space="preserve"> - </v>
      </c>
      <c r="AJ65" s="1">
        <f>'Fats Raw Data'!A65</f>
        <v>0</v>
      </c>
      <c r="AK65">
        <f>'Fats Raw Data'!B65-'Fats Raw Data'!L65</f>
        <v>0</v>
      </c>
      <c r="AL65">
        <f>'Fats Raw Data'!C65-'Fats Raw Data'!M65</f>
        <v>0</v>
      </c>
      <c r="AM65">
        <f>'Fats Raw Data'!D65-'Fats Raw Data'!N65</f>
        <v>0</v>
      </c>
      <c r="AN65">
        <f>'Fats Raw Data'!E65-'Fats Raw Data'!O65</f>
        <v>0</v>
      </c>
      <c r="AO65" t="str">
        <f>'Fats Raw Data'!I65&amp;" - "&amp;'Fats Raw Data'!S65</f>
        <v xml:space="preserve"> - </v>
      </c>
      <c r="AQ65" s="1">
        <f>'Fats Raw Data'!AE65</f>
        <v>0</v>
      </c>
      <c r="AR65">
        <f>'Fats Raw Data'!AF65-'Fats Raw Data'!AZ65</f>
        <v>0</v>
      </c>
      <c r="AS65">
        <f>'Fats Raw Data'!AG65-'Fats Raw Data'!BA65</f>
        <v>0</v>
      </c>
      <c r="AT65">
        <f>'Fats Raw Data'!AH65-'Fats Raw Data'!BB65</f>
        <v>0</v>
      </c>
      <c r="AU65">
        <f>'Fats Raw Data'!AI65-'Fats Raw Data'!BC65</f>
        <v>0</v>
      </c>
      <c r="AV65" t="str">
        <f>'Fats Raw Data'!AM65&amp;" - "&amp;'Fats Raw Data'!BG65</f>
        <v xml:space="preserve"> - </v>
      </c>
      <c r="AX65" s="1">
        <f>'Fats Raw Data'!A65</f>
        <v>0</v>
      </c>
      <c r="AY65">
        <f>'Fats Raw Data'!B65-'Fats Raw Data'!V65</f>
        <v>0</v>
      </c>
      <c r="AZ65">
        <f>'Fats Raw Data'!C65-'Fats Raw Data'!W65</f>
        <v>0</v>
      </c>
      <c r="BA65">
        <f>'Fats Raw Data'!D65-'Fats Raw Data'!X65</f>
        <v>0</v>
      </c>
      <c r="BB65">
        <f>'Fats Raw Data'!E65-'Fats Raw Data'!Y65</f>
        <v>0</v>
      </c>
      <c r="BC65" t="str">
        <f>'Fats Raw Data'!I65&amp;" - "&amp;'Fats Raw Data'!AC65</f>
        <v xml:space="preserve"> - </v>
      </c>
      <c r="BE65" s="1">
        <f>'Fats Raw Data'!K65</f>
        <v>0</v>
      </c>
      <c r="BF65">
        <f>'Fats Raw Data'!L65-'Fats Raw Data'!AF65</f>
        <v>0</v>
      </c>
      <c r="BG65">
        <f>'Fats Raw Data'!M65-'Fats Raw Data'!AG65</f>
        <v>0</v>
      </c>
      <c r="BH65">
        <f>'Fats Raw Data'!N65-'Fats Raw Data'!AH65</f>
        <v>0</v>
      </c>
      <c r="BI65">
        <f>'Fats Raw Data'!O65-'Fats Raw Data'!AI65</f>
        <v>0</v>
      </c>
      <c r="BJ65" t="str">
        <f>'Fats Raw Data'!S65&amp;" - "&amp;'Fats Raw Data'!AM65</f>
        <v xml:space="preserve"> - </v>
      </c>
    </row>
    <row r="66" spans="1:62" x14ac:dyDescent="0.25">
      <c r="A66" s="1">
        <f>'Fats Raw Data'!K66</f>
        <v>0</v>
      </c>
      <c r="B66">
        <f>'Fats Raw Data'!L66-'Fats Raw Data'!V66</f>
        <v>0</v>
      </c>
      <c r="C66">
        <f>'Fats Raw Data'!M66-'Fats Raw Data'!W66</f>
        <v>0</v>
      </c>
      <c r="D66">
        <f>'Fats Raw Data'!N66-'Fats Raw Data'!X66</f>
        <v>0</v>
      </c>
      <c r="E66">
        <f>'Fats Raw Data'!O66-'Fats Raw Data'!Y66</f>
        <v>0</v>
      </c>
      <c r="F66" t="str">
        <f>'Fats Raw Data'!S66&amp;" - "&amp;'Fats Raw Data'!AC66</f>
        <v xml:space="preserve"> - </v>
      </c>
      <c r="H66" s="1">
        <f>'Fats Raw Data'!U66</f>
        <v>0</v>
      </c>
      <c r="I66">
        <f>'Fats Raw Data'!V66-'Fats Raw Data'!AF66</f>
        <v>0</v>
      </c>
      <c r="J66">
        <f>'Fats Raw Data'!W66-'Fats Raw Data'!AG66</f>
        <v>0</v>
      </c>
      <c r="K66">
        <f>'Fats Raw Data'!X66-'Fats Raw Data'!AH66</f>
        <v>0</v>
      </c>
      <c r="L66">
        <f>'Fats Raw Data'!Y66-'Fats Raw Data'!AI66</f>
        <v>0</v>
      </c>
      <c r="M66" t="str">
        <f>'Fats Raw Data'!AC66&amp;" - "&amp;'Fats Raw Data'!AM66</f>
        <v xml:space="preserve"> - </v>
      </c>
      <c r="O66" s="1">
        <f>'Fats Raw Data'!AE66</f>
        <v>0</v>
      </c>
      <c r="P66">
        <f>'Fats Raw Data'!AF66-'Fats Raw Data'!AP66</f>
        <v>0</v>
      </c>
      <c r="Q66">
        <f>'Fats Raw Data'!AG66-'Fats Raw Data'!AQ66</f>
        <v>0</v>
      </c>
      <c r="R66">
        <f>'Fats Raw Data'!AH66-'Fats Raw Data'!AR66</f>
        <v>0</v>
      </c>
      <c r="S66">
        <f>'Fats Raw Data'!AI66-'Fats Raw Data'!AS66</f>
        <v>0</v>
      </c>
      <c r="T66" t="str">
        <f>'Fats Raw Data'!AM66&amp;" - "&amp;'Fats Raw Data'!AW66</f>
        <v xml:space="preserve"> - </v>
      </c>
      <c r="V66" s="1">
        <f>'Fats Raw Data'!AO66</f>
        <v>0</v>
      </c>
      <c r="W66">
        <f>'Fats Raw Data'!AP66-'Fats Raw Data'!AZ66</f>
        <v>0</v>
      </c>
      <c r="X66">
        <f>'Fats Raw Data'!AQ66-'Fats Raw Data'!BA66</f>
        <v>0</v>
      </c>
      <c r="Y66">
        <f>'Fats Raw Data'!AR66-'Fats Raw Data'!BB66</f>
        <v>0</v>
      </c>
      <c r="Z66">
        <f>'Fats Raw Data'!AS66-'Fats Raw Data'!BC66</f>
        <v>0</v>
      </c>
      <c r="AA66" t="str">
        <f>'Fats Raw Data'!AW66&amp;" - "&amp;'Fats Raw Data'!BG66</f>
        <v xml:space="preserve"> - </v>
      </c>
      <c r="AC66" s="1">
        <f>'Fats Raw Data'!AY66</f>
        <v>0</v>
      </c>
      <c r="AD66">
        <f>'Fats Raw Data'!AZ66-'Fats Raw Data'!B66</f>
        <v>0</v>
      </c>
      <c r="AE66">
        <f>'Fats Raw Data'!BA66-'Fats Raw Data'!C66</f>
        <v>0</v>
      </c>
      <c r="AF66">
        <f>'Fats Raw Data'!BB66-'Fats Raw Data'!D66</f>
        <v>0</v>
      </c>
      <c r="AG66">
        <f>'Fats Raw Data'!BC66-'Fats Raw Data'!E66</f>
        <v>0</v>
      </c>
      <c r="AH66" t="str">
        <f>'Fats Raw Data'!BG66&amp;" - "&amp;'Fats Raw Data'!I66</f>
        <v xml:space="preserve"> - </v>
      </c>
      <c r="AJ66" s="1">
        <f>'Fats Raw Data'!A66</f>
        <v>0</v>
      </c>
      <c r="AK66">
        <f>'Fats Raw Data'!B66-'Fats Raw Data'!L66</f>
        <v>0</v>
      </c>
      <c r="AL66">
        <f>'Fats Raw Data'!C66-'Fats Raw Data'!M66</f>
        <v>0</v>
      </c>
      <c r="AM66">
        <f>'Fats Raw Data'!D66-'Fats Raw Data'!N66</f>
        <v>0</v>
      </c>
      <c r="AN66">
        <f>'Fats Raw Data'!E66-'Fats Raw Data'!O66</f>
        <v>0</v>
      </c>
      <c r="AO66" t="str">
        <f>'Fats Raw Data'!I66&amp;" - "&amp;'Fats Raw Data'!S66</f>
        <v xml:space="preserve"> - </v>
      </c>
      <c r="AQ66" s="1">
        <f>'Fats Raw Data'!AE66</f>
        <v>0</v>
      </c>
      <c r="AR66">
        <f>'Fats Raw Data'!AF66-'Fats Raw Data'!AZ66</f>
        <v>0</v>
      </c>
      <c r="AS66">
        <f>'Fats Raw Data'!AG66-'Fats Raw Data'!BA66</f>
        <v>0</v>
      </c>
      <c r="AT66">
        <f>'Fats Raw Data'!AH66-'Fats Raw Data'!BB66</f>
        <v>0</v>
      </c>
      <c r="AU66">
        <f>'Fats Raw Data'!AI66-'Fats Raw Data'!BC66</f>
        <v>0</v>
      </c>
      <c r="AV66" t="str">
        <f>'Fats Raw Data'!AM66&amp;" - "&amp;'Fats Raw Data'!BG66</f>
        <v xml:space="preserve"> - </v>
      </c>
      <c r="AX66" s="1">
        <f>'Fats Raw Data'!A66</f>
        <v>0</v>
      </c>
      <c r="AY66">
        <f>'Fats Raw Data'!B66-'Fats Raw Data'!V66</f>
        <v>0</v>
      </c>
      <c r="AZ66">
        <f>'Fats Raw Data'!C66-'Fats Raw Data'!W66</f>
        <v>0</v>
      </c>
      <c r="BA66">
        <f>'Fats Raw Data'!D66-'Fats Raw Data'!X66</f>
        <v>0</v>
      </c>
      <c r="BB66">
        <f>'Fats Raw Data'!E66-'Fats Raw Data'!Y66</f>
        <v>0</v>
      </c>
      <c r="BC66" t="str">
        <f>'Fats Raw Data'!I66&amp;" - "&amp;'Fats Raw Data'!AC66</f>
        <v xml:space="preserve"> - </v>
      </c>
      <c r="BE66" s="1">
        <f>'Fats Raw Data'!K66</f>
        <v>0</v>
      </c>
      <c r="BF66">
        <f>'Fats Raw Data'!L66-'Fats Raw Data'!AF66</f>
        <v>0</v>
      </c>
      <c r="BG66">
        <f>'Fats Raw Data'!M66-'Fats Raw Data'!AG66</f>
        <v>0</v>
      </c>
      <c r="BH66">
        <f>'Fats Raw Data'!N66-'Fats Raw Data'!AH66</f>
        <v>0</v>
      </c>
      <c r="BI66">
        <f>'Fats Raw Data'!O66-'Fats Raw Data'!AI66</f>
        <v>0</v>
      </c>
      <c r="BJ66" t="str">
        <f>'Fats Raw Data'!S66&amp;" - "&amp;'Fats Raw Data'!AM66</f>
        <v xml:space="preserve"> - </v>
      </c>
    </row>
    <row r="67" spans="1:62" x14ac:dyDescent="0.25">
      <c r="A67" s="1">
        <f>'Fats Raw Data'!K67</f>
        <v>0</v>
      </c>
      <c r="B67">
        <f>'Fats Raw Data'!L67-'Fats Raw Data'!V67</f>
        <v>0</v>
      </c>
      <c r="C67">
        <f>'Fats Raw Data'!M67-'Fats Raw Data'!W67</f>
        <v>0</v>
      </c>
      <c r="D67">
        <f>'Fats Raw Data'!N67-'Fats Raw Data'!X67</f>
        <v>0</v>
      </c>
      <c r="E67">
        <f>'Fats Raw Data'!O67-'Fats Raw Data'!Y67</f>
        <v>0</v>
      </c>
      <c r="F67" t="str">
        <f>'Fats Raw Data'!S67&amp;" - "&amp;'Fats Raw Data'!AC67</f>
        <v xml:space="preserve"> - </v>
      </c>
      <c r="H67" s="1">
        <f>'Fats Raw Data'!U67</f>
        <v>0</v>
      </c>
      <c r="I67">
        <f>'Fats Raw Data'!V67-'Fats Raw Data'!AF67</f>
        <v>0</v>
      </c>
      <c r="J67">
        <f>'Fats Raw Data'!W67-'Fats Raw Data'!AG67</f>
        <v>0</v>
      </c>
      <c r="K67">
        <f>'Fats Raw Data'!X67-'Fats Raw Data'!AH67</f>
        <v>0</v>
      </c>
      <c r="L67">
        <f>'Fats Raw Data'!Y67-'Fats Raw Data'!AI67</f>
        <v>0</v>
      </c>
      <c r="M67" t="str">
        <f>'Fats Raw Data'!AC67&amp;" - "&amp;'Fats Raw Data'!AM67</f>
        <v xml:space="preserve"> - </v>
      </c>
      <c r="O67" s="1">
        <f>'Fats Raw Data'!AE67</f>
        <v>0</v>
      </c>
      <c r="P67">
        <f>'Fats Raw Data'!AF67-'Fats Raw Data'!AP67</f>
        <v>0</v>
      </c>
      <c r="Q67">
        <f>'Fats Raw Data'!AG67-'Fats Raw Data'!AQ67</f>
        <v>0</v>
      </c>
      <c r="R67">
        <f>'Fats Raw Data'!AH67-'Fats Raw Data'!AR67</f>
        <v>0</v>
      </c>
      <c r="S67">
        <f>'Fats Raw Data'!AI67-'Fats Raw Data'!AS67</f>
        <v>0</v>
      </c>
      <c r="T67" t="str">
        <f>'Fats Raw Data'!AM67&amp;" - "&amp;'Fats Raw Data'!AW67</f>
        <v xml:space="preserve"> - </v>
      </c>
      <c r="V67" s="1">
        <f>'Fats Raw Data'!AO67</f>
        <v>0</v>
      </c>
      <c r="W67">
        <f>'Fats Raw Data'!AP67-'Fats Raw Data'!AZ67</f>
        <v>0</v>
      </c>
      <c r="X67">
        <f>'Fats Raw Data'!AQ67-'Fats Raw Data'!BA67</f>
        <v>0</v>
      </c>
      <c r="Y67">
        <f>'Fats Raw Data'!AR67-'Fats Raw Data'!BB67</f>
        <v>0</v>
      </c>
      <c r="Z67">
        <f>'Fats Raw Data'!AS67-'Fats Raw Data'!BC67</f>
        <v>0</v>
      </c>
      <c r="AA67" t="str">
        <f>'Fats Raw Data'!AW67&amp;" - "&amp;'Fats Raw Data'!BG67</f>
        <v xml:space="preserve"> - </v>
      </c>
      <c r="AC67" s="1">
        <f>'Fats Raw Data'!AY67</f>
        <v>0</v>
      </c>
      <c r="AD67">
        <f>'Fats Raw Data'!AZ67-'Fats Raw Data'!B67</f>
        <v>0</v>
      </c>
      <c r="AE67">
        <f>'Fats Raw Data'!BA67-'Fats Raw Data'!C67</f>
        <v>0</v>
      </c>
      <c r="AF67">
        <f>'Fats Raw Data'!BB67-'Fats Raw Data'!D67</f>
        <v>0</v>
      </c>
      <c r="AG67">
        <f>'Fats Raw Data'!BC67-'Fats Raw Data'!E67</f>
        <v>0</v>
      </c>
      <c r="AH67" t="str">
        <f>'Fats Raw Data'!BG67&amp;" - "&amp;'Fats Raw Data'!I67</f>
        <v xml:space="preserve"> - </v>
      </c>
      <c r="AJ67" s="1">
        <f>'Fats Raw Data'!A67</f>
        <v>0</v>
      </c>
      <c r="AK67">
        <f>'Fats Raw Data'!B67-'Fats Raw Data'!L67</f>
        <v>0</v>
      </c>
      <c r="AL67">
        <f>'Fats Raw Data'!C67-'Fats Raw Data'!M67</f>
        <v>0</v>
      </c>
      <c r="AM67">
        <f>'Fats Raw Data'!D67-'Fats Raw Data'!N67</f>
        <v>0</v>
      </c>
      <c r="AN67">
        <f>'Fats Raw Data'!E67-'Fats Raw Data'!O67</f>
        <v>0</v>
      </c>
      <c r="AO67" t="str">
        <f>'Fats Raw Data'!I67&amp;" - "&amp;'Fats Raw Data'!S67</f>
        <v xml:space="preserve"> - </v>
      </c>
      <c r="AQ67" s="1">
        <f>'Fats Raw Data'!AE67</f>
        <v>0</v>
      </c>
      <c r="AR67">
        <f>'Fats Raw Data'!AF67-'Fats Raw Data'!AZ67</f>
        <v>0</v>
      </c>
      <c r="AS67">
        <f>'Fats Raw Data'!AG67-'Fats Raw Data'!BA67</f>
        <v>0</v>
      </c>
      <c r="AT67">
        <f>'Fats Raw Data'!AH67-'Fats Raw Data'!BB67</f>
        <v>0</v>
      </c>
      <c r="AU67">
        <f>'Fats Raw Data'!AI67-'Fats Raw Data'!BC67</f>
        <v>0</v>
      </c>
      <c r="AV67" t="str">
        <f>'Fats Raw Data'!AM67&amp;" - "&amp;'Fats Raw Data'!BG67</f>
        <v xml:space="preserve"> - </v>
      </c>
      <c r="AX67" s="1">
        <f>'Fats Raw Data'!A67</f>
        <v>0</v>
      </c>
      <c r="AY67">
        <f>'Fats Raw Data'!B67-'Fats Raw Data'!V67</f>
        <v>0</v>
      </c>
      <c r="AZ67">
        <f>'Fats Raw Data'!C67-'Fats Raw Data'!W67</f>
        <v>0</v>
      </c>
      <c r="BA67">
        <f>'Fats Raw Data'!D67-'Fats Raw Data'!X67</f>
        <v>0</v>
      </c>
      <c r="BB67">
        <f>'Fats Raw Data'!E67-'Fats Raw Data'!Y67</f>
        <v>0</v>
      </c>
      <c r="BC67" t="str">
        <f>'Fats Raw Data'!I67&amp;" - "&amp;'Fats Raw Data'!AC67</f>
        <v xml:space="preserve"> - </v>
      </c>
      <c r="BE67" s="1">
        <f>'Fats Raw Data'!K67</f>
        <v>0</v>
      </c>
      <c r="BF67">
        <f>'Fats Raw Data'!L67-'Fats Raw Data'!AF67</f>
        <v>0</v>
      </c>
      <c r="BG67">
        <f>'Fats Raw Data'!M67-'Fats Raw Data'!AG67</f>
        <v>0</v>
      </c>
      <c r="BH67">
        <f>'Fats Raw Data'!N67-'Fats Raw Data'!AH67</f>
        <v>0</v>
      </c>
      <c r="BI67">
        <f>'Fats Raw Data'!O67-'Fats Raw Data'!AI67</f>
        <v>0</v>
      </c>
      <c r="BJ67" t="str">
        <f>'Fats Raw Data'!S67&amp;" - "&amp;'Fats Raw Data'!AM67</f>
        <v xml:space="preserve"> - </v>
      </c>
    </row>
    <row r="68" spans="1:62" x14ac:dyDescent="0.25">
      <c r="A68" s="1">
        <f>'Fats Raw Data'!K68</f>
        <v>0</v>
      </c>
      <c r="B68">
        <f>'Fats Raw Data'!L68-'Fats Raw Data'!V68</f>
        <v>0</v>
      </c>
      <c r="C68">
        <f>'Fats Raw Data'!M68-'Fats Raw Data'!W68</f>
        <v>0</v>
      </c>
      <c r="D68">
        <f>'Fats Raw Data'!N68-'Fats Raw Data'!X68</f>
        <v>0</v>
      </c>
      <c r="E68">
        <f>'Fats Raw Data'!O68-'Fats Raw Data'!Y68</f>
        <v>0</v>
      </c>
      <c r="F68" t="str">
        <f>'Fats Raw Data'!S68&amp;" - "&amp;'Fats Raw Data'!AC68</f>
        <v xml:space="preserve"> - </v>
      </c>
      <c r="H68" s="1">
        <f>'Fats Raw Data'!U68</f>
        <v>0</v>
      </c>
      <c r="I68">
        <f>'Fats Raw Data'!V68-'Fats Raw Data'!AF68</f>
        <v>0</v>
      </c>
      <c r="J68">
        <f>'Fats Raw Data'!W68-'Fats Raw Data'!AG68</f>
        <v>0</v>
      </c>
      <c r="K68">
        <f>'Fats Raw Data'!X68-'Fats Raw Data'!AH68</f>
        <v>0</v>
      </c>
      <c r="L68">
        <f>'Fats Raw Data'!Y68-'Fats Raw Data'!AI68</f>
        <v>0</v>
      </c>
      <c r="M68" t="str">
        <f>'Fats Raw Data'!AC68&amp;" - "&amp;'Fats Raw Data'!AM68</f>
        <v xml:space="preserve"> - </v>
      </c>
      <c r="O68" s="1">
        <f>'Fats Raw Data'!AE68</f>
        <v>0</v>
      </c>
      <c r="P68">
        <f>'Fats Raw Data'!AF68-'Fats Raw Data'!AP68</f>
        <v>0</v>
      </c>
      <c r="Q68">
        <f>'Fats Raw Data'!AG68-'Fats Raw Data'!AQ68</f>
        <v>0</v>
      </c>
      <c r="R68">
        <f>'Fats Raw Data'!AH68-'Fats Raw Data'!AR68</f>
        <v>0</v>
      </c>
      <c r="S68">
        <f>'Fats Raw Data'!AI68-'Fats Raw Data'!AS68</f>
        <v>0</v>
      </c>
      <c r="T68" t="str">
        <f>'Fats Raw Data'!AM68&amp;" - "&amp;'Fats Raw Data'!AW68</f>
        <v xml:space="preserve"> - </v>
      </c>
      <c r="V68" s="1">
        <f>'Fats Raw Data'!AO68</f>
        <v>0</v>
      </c>
      <c r="W68">
        <f>'Fats Raw Data'!AP68-'Fats Raw Data'!AZ68</f>
        <v>0</v>
      </c>
      <c r="X68">
        <f>'Fats Raw Data'!AQ68-'Fats Raw Data'!BA68</f>
        <v>0</v>
      </c>
      <c r="Y68">
        <f>'Fats Raw Data'!AR68-'Fats Raw Data'!BB68</f>
        <v>0</v>
      </c>
      <c r="Z68">
        <f>'Fats Raw Data'!AS68-'Fats Raw Data'!BC68</f>
        <v>0</v>
      </c>
      <c r="AA68" t="str">
        <f>'Fats Raw Data'!AW68&amp;" - "&amp;'Fats Raw Data'!BG68</f>
        <v xml:space="preserve"> - </v>
      </c>
      <c r="AC68" s="1">
        <f>'Fats Raw Data'!AY68</f>
        <v>0</v>
      </c>
      <c r="AD68">
        <f>'Fats Raw Data'!AZ68-'Fats Raw Data'!B68</f>
        <v>0</v>
      </c>
      <c r="AE68">
        <f>'Fats Raw Data'!BA68-'Fats Raw Data'!C68</f>
        <v>0</v>
      </c>
      <c r="AF68">
        <f>'Fats Raw Data'!BB68-'Fats Raw Data'!D68</f>
        <v>0</v>
      </c>
      <c r="AG68">
        <f>'Fats Raw Data'!BC68-'Fats Raw Data'!E68</f>
        <v>0</v>
      </c>
      <c r="AH68" t="str">
        <f>'Fats Raw Data'!BG68&amp;" - "&amp;'Fats Raw Data'!I68</f>
        <v xml:space="preserve"> - </v>
      </c>
      <c r="AJ68" s="1">
        <f>'Fats Raw Data'!A68</f>
        <v>0</v>
      </c>
      <c r="AK68">
        <f>'Fats Raw Data'!B68-'Fats Raw Data'!L68</f>
        <v>0</v>
      </c>
      <c r="AL68">
        <f>'Fats Raw Data'!C68-'Fats Raw Data'!M68</f>
        <v>0</v>
      </c>
      <c r="AM68">
        <f>'Fats Raw Data'!D68-'Fats Raw Data'!N68</f>
        <v>0</v>
      </c>
      <c r="AN68">
        <f>'Fats Raw Data'!E68-'Fats Raw Data'!O68</f>
        <v>0</v>
      </c>
      <c r="AO68" t="str">
        <f>'Fats Raw Data'!I68&amp;" - "&amp;'Fats Raw Data'!S68</f>
        <v xml:space="preserve"> - </v>
      </c>
      <c r="AQ68" s="1">
        <f>'Fats Raw Data'!AE68</f>
        <v>0</v>
      </c>
      <c r="AR68">
        <f>'Fats Raw Data'!AF68-'Fats Raw Data'!AZ68</f>
        <v>0</v>
      </c>
      <c r="AS68">
        <f>'Fats Raw Data'!AG68-'Fats Raw Data'!BA68</f>
        <v>0</v>
      </c>
      <c r="AT68">
        <f>'Fats Raw Data'!AH68-'Fats Raw Data'!BB68</f>
        <v>0</v>
      </c>
      <c r="AU68">
        <f>'Fats Raw Data'!AI68-'Fats Raw Data'!BC68</f>
        <v>0</v>
      </c>
      <c r="AV68" t="str">
        <f>'Fats Raw Data'!AM68&amp;" - "&amp;'Fats Raw Data'!BG68</f>
        <v xml:space="preserve"> - </v>
      </c>
      <c r="AX68" s="1">
        <f>'Fats Raw Data'!A68</f>
        <v>0</v>
      </c>
      <c r="AY68">
        <f>'Fats Raw Data'!B68-'Fats Raw Data'!V68</f>
        <v>0</v>
      </c>
      <c r="AZ68">
        <f>'Fats Raw Data'!C68-'Fats Raw Data'!W68</f>
        <v>0</v>
      </c>
      <c r="BA68">
        <f>'Fats Raw Data'!D68-'Fats Raw Data'!X68</f>
        <v>0</v>
      </c>
      <c r="BB68">
        <f>'Fats Raw Data'!E68-'Fats Raw Data'!Y68</f>
        <v>0</v>
      </c>
      <c r="BC68" t="str">
        <f>'Fats Raw Data'!I68&amp;" - "&amp;'Fats Raw Data'!AC68</f>
        <v xml:space="preserve"> - </v>
      </c>
      <c r="BE68" s="1">
        <f>'Fats Raw Data'!K68</f>
        <v>0</v>
      </c>
      <c r="BF68">
        <f>'Fats Raw Data'!L68-'Fats Raw Data'!AF68</f>
        <v>0</v>
      </c>
      <c r="BG68">
        <f>'Fats Raw Data'!M68-'Fats Raw Data'!AG68</f>
        <v>0</v>
      </c>
      <c r="BH68">
        <f>'Fats Raw Data'!N68-'Fats Raw Data'!AH68</f>
        <v>0</v>
      </c>
      <c r="BI68">
        <f>'Fats Raw Data'!O68-'Fats Raw Data'!AI68</f>
        <v>0</v>
      </c>
      <c r="BJ68" t="str">
        <f>'Fats Raw Data'!S68&amp;" - "&amp;'Fats Raw Data'!AM68</f>
        <v xml:space="preserve"> - </v>
      </c>
    </row>
    <row r="69" spans="1:62" x14ac:dyDescent="0.25">
      <c r="A69" s="1">
        <f>'Fats Raw Data'!K69</f>
        <v>0</v>
      </c>
      <c r="B69">
        <f>'Fats Raw Data'!L69-'Fats Raw Data'!V69</f>
        <v>0</v>
      </c>
      <c r="C69">
        <f>'Fats Raw Data'!M69-'Fats Raw Data'!W69</f>
        <v>0</v>
      </c>
      <c r="D69">
        <f>'Fats Raw Data'!N69-'Fats Raw Data'!X69</f>
        <v>0</v>
      </c>
      <c r="E69">
        <f>'Fats Raw Data'!O69-'Fats Raw Data'!Y69</f>
        <v>0</v>
      </c>
      <c r="F69" t="str">
        <f>'Fats Raw Data'!S69&amp;" - "&amp;'Fats Raw Data'!AC69</f>
        <v xml:space="preserve"> - </v>
      </c>
      <c r="H69" s="1">
        <f>'Fats Raw Data'!U69</f>
        <v>0</v>
      </c>
      <c r="I69">
        <f>'Fats Raw Data'!V69-'Fats Raw Data'!AF69</f>
        <v>0</v>
      </c>
      <c r="J69">
        <f>'Fats Raw Data'!W69-'Fats Raw Data'!AG69</f>
        <v>0</v>
      </c>
      <c r="K69">
        <f>'Fats Raw Data'!X69-'Fats Raw Data'!AH69</f>
        <v>0</v>
      </c>
      <c r="L69">
        <f>'Fats Raw Data'!Y69-'Fats Raw Data'!AI69</f>
        <v>0</v>
      </c>
      <c r="M69" t="str">
        <f>'Fats Raw Data'!AC69&amp;" - "&amp;'Fats Raw Data'!AM69</f>
        <v xml:space="preserve"> - </v>
      </c>
      <c r="O69" s="1">
        <f>'Fats Raw Data'!AE69</f>
        <v>0</v>
      </c>
      <c r="P69">
        <f>'Fats Raw Data'!AF69-'Fats Raw Data'!AP69</f>
        <v>0</v>
      </c>
      <c r="Q69">
        <f>'Fats Raw Data'!AG69-'Fats Raw Data'!AQ69</f>
        <v>0</v>
      </c>
      <c r="R69">
        <f>'Fats Raw Data'!AH69-'Fats Raw Data'!AR69</f>
        <v>0</v>
      </c>
      <c r="S69">
        <f>'Fats Raw Data'!AI69-'Fats Raw Data'!AS69</f>
        <v>0</v>
      </c>
      <c r="T69" t="str">
        <f>'Fats Raw Data'!AM69&amp;" - "&amp;'Fats Raw Data'!AW69</f>
        <v xml:space="preserve"> - </v>
      </c>
      <c r="V69" s="1">
        <f>'Fats Raw Data'!AO69</f>
        <v>0</v>
      </c>
      <c r="W69">
        <f>'Fats Raw Data'!AP69-'Fats Raw Data'!AZ69</f>
        <v>0</v>
      </c>
      <c r="X69">
        <f>'Fats Raw Data'!AQ69-'Fats Raw Data'!BA69</f>
        <v>0</v>
      </c>
      <c r="Y69">
        <f>'Fats Raw Data'!AR69-'Fats Raw Data'!BB69</f>
        <v>0</v>
      </c>
      <c r="Z69">
        <f>'Fats Raw Data'!AS69-'Fats Raw Data'!BC69</f>
        <v>0</v>
      </c>
      <c r="AA69" t="str">
        <f>'Fats Raw Data'!AW69&amp;" - "&amp;'Fats Raw Data'!BG69</f>
        <v xml:space="preserve"> - </v>
      </c>
      <c r="AC69" s="1">
        <f>'Fats Raw Data'!AY69</f>
        <v>0</v>
      </c>
      <c r="AD69">
        <f>'Fats Raw Data'!AZ69-'Fats Raw Data'!B69</f>
        <v>0</v>
      </c>
      <c r="AE69">
        <f>'Fats Raw Data'!BA69-'Fats Raw Data'!C69</f>
        <v>0</v>
      </c>
      <c r="AF69">
        <f>'Fats Raw Data'!BB69-'Fats Raw Data'!D69</f>
        <v>0</v>
      </c>
      <c r="AG69">
        <f>'Fats Raw Data'!BC69-'Fats Raw Data'!E69</f>
        <v>0</v>
      </c>
      <c r="AH69" t="str">
        <f>'Fats Raw Data'!BG69&amp;" - "&amp;'Fats Raw Data'!I69</f>
        <v xml:space="preserve"> - </v>
      </c>
      <c r="AJ69" s="1">
        <f>'Fats Raw Data'!A69</f>
        <v>0</v>
      </c>
      <c r="AK69">
        <f>'Fats Raw Data'!B69-'Fats Raw Data'!L69</f>
        <v>0</v>
      </c>
      <c r="AL69">
        <f>'Fats Raw Data'!C69-'Fats Raw Data'!M69</f>
        <v>0</v>
      </c>
      <c r="AM69">
        <f>'Fats Raw Data'!D69-'Fats Raw Data'!N69</f>
        <v>0</v>
      </c>
      <c r="AN69">
        <f>'Fats Raw Data'!E69-'Fats Raw Data'!O69</f>
        <v>0</v>
      </c>
      <c r="AO69" t="str">
        <f>'Fats Raw Data'!I69&amp;" - "&amp;'Fats Raw Data'!S69</f>
        <v xml:space="preserve"> - </v>
      </c>
      <c r="AQ69" s="1">
        <f>'Fats Raw Data'!AE69</f>
        <v>0</v>
      </c>
      <c r="AR69">
        <f>'Fats Raw Data'!AF69-'Fats Raw Data'!AZ69</f>
        <v>0</v>
      </c>
      <c r="AS69">
        <f>'Fats Raw Data'!AG69-'Fats Raw Data'!BA69</f>
        <v>0</v>
      </c>
      <c r="AT69">
        <f>'Fats Raw Data'!AH69-'Fats Raw Data'!BB69</f>
        <v>0</v>
      </c>
      <c r="AU69">
        <f>'Fats Raw Data'!AI69-'Fats Raw Data'!BC69</f>
        <v>0</v>
      </c>
      <c r="AV69" t="str">
        <f>'Fats Raw Data'!AM69&amp;" - "&amp;'Fats Raw Data'!BG69</f>
        <v xml:space="preserve"> - </v>
      </c>
      <c r="AX69" s="1">
        <f>'Fats Raw Data'!A69</f>
        <v>0</v>
      </c>
      <c r="AY69">
        <f>'Fats Raw Data'!B69-'Fats Raw Data'!V69</f>
        <v>0</v>
      </c>
      <c r="AZ69">
        <f>'Fats Raw Data'!C69-'Fats Raw Data'!W69</f>
        <v>0</v>
      </c>
      <c r="BA69">
        <f>'Fats Raw Data'!D69-'Fats Raw Data'!X69</f>
        <v>0</v>
      </c>
      <c r="BB69">
        <f>'Fats Raw Data'!E69-'Fats Raw Data'!Y69</f>
        <v>0</v>
      </c>
      <c r="BC69" t="str">
        <f>'Fats Raw Data'!I69&amp;" - "&amp;'Fats Raw Data'!AC69</f>
        <v xml:space="preserve"> - </v>
      </c>
      <c r="BE69" s="1">
        <f>'Fats Raw Data'!K69</f>
        <v>0</v>
      </c>
      <c r="BF69">
        <f>'Fats Raw Data'!L69-'Fats Raw Data'!AF69</f>
        <v>0</v>
      </c>
      <c r="BG69">
        <f>'Fats Raw Data'!M69-'Fats Raw Data'!AG69</f>
        <v>0</v>
      </c>
      <c r="BH69">
        <f>'Fats Raw Data'!N69-'Fats Raw Data'!AH69</f>
        <v>0</v>
      </c>
      <c r="BI69">
        <f>'Fats Raw Data'!O69-'Fats Raw Data'!AI69</f>
        <v>0</v>
      </c>
      <c r="BJ69" t="str">
        <f>'Fats Raw Data'!S69&amp;" - "&amp;'Fats Raw Data'!AM69</f>
        <v xml:space="preserve"> - </v>
      </c>
    </row>
    <row r="70" spans="1:62" x14ac:dyDescent="0.25">
      <c r="A70" s="1">
        <f>'Fats Raw Data'!K70</f>
        <v>0</v>
      </c>
      <c r="B70">
        <f>'Fats Raw Data'!L70-'Fats Raw Data'!V70</f>
        <v>0</v>
      </c>
      <c r="C70">
        <f>'Fats Raw Data'!M70-'Fats Raw Data'!W70</f>
        <v>0</v>
      </c>
      <c r="D70">
        <f>'Fats Raw Data'!N70-'Fats Raw Data'!X70</f>
        <v>0</v>
      </c>
      <c r="E70">
        <f>'Fats Raw Data'!O70-'Fats Raw Data'!Y70</f>
        <v>0</v>
      </c>
      <c r="F70" t="str">
        <f>'Fats Raw Data'!S70&amp;" - "&amp;'Fats Raw Data'!AC70</f>
        <v xml:space="preserve"> - </v>
      </c>
      <c r="H70" s="1">
        <f>'Fats Raw Data'!U70</f>
        <v>0</v>
      </c>
      <c r="I70">
        <f>'Fats Raw Data'!V70-'Fats Raw Data'!AF70</f>
        <v>0</v>
      </c>
      <c r="J70">
        <f>'Fats Raw Data'!W70-'Fats Raw Data'!AG70</f>
        <v>0</v>
      </c>
      <c r="K70">
        <f>'Fats Raw Data'!X70-'Fats Raw Data'!AH70</f>
        <v>0</v>
      </c>
      <c r="L70">
        <f>'Fats Raw Data'!Y70-'Fats Raw Data'!AI70</f>
        <v>0</v>
      </c>
      <c r="M70" t="str">
        <f>'Fats Raw Data'!AC70&amp;" - "&amp;'Fats Raw Data'!AM70</f>
        <v xml:space="preserve"> - </v>
      </c>
      <c r="O70" s="1">
        <f>'Fats Raw Data'!AE70</f>
        <v>0</v>
      </c>
      <c r="P70">
        <f>'Fats Raw Data'!AF70-'Fats Raw Data'!AP70</f>
        <v>0</v>
      </c>
      <c r="Q70">
        <f>'Fats Raw Data'!AG70-'Fats Raw Data'!AQ70</f>
        <v>0</v>
      </c>
      <c r="R70">
        <f>'Fats Raw Data'!AH70-'Fats Raw Data'!AR70</f>
        <v>0</v>
      </c>
      <c r="S70">
        <f>'Fats Raw Data'!AI70-'Fats Raw Data'!AS70</f>
        <v>0</v>
      </c>
      <c r="T70" t="str">
        <f>'Fats Raw Data'!AM70&amp;" - "&amp;'Fats Raw Data'!AW70</f>
        <v xml:space="preserve"> - </v>
      </c>
      <c r="V70" s="1">
        <f>'Fats Raw Data'!AO70</f>
        <v>0</v>
      </c>
      <c r="W70">
        <f>'Fats Raw Data'!AP70-'Fats Raw Data'!AZ70</f>
        <v>0</v>
      </c>
      <c r="X70">
        <f>'Fats Raw Data'!AQ70-'Fats Raw Data'!BA70</f>
        <v>0</v>
      </c>
      <c r="Y70">
        <f>'Fats Raw Data'!AR70-'Fats Raw Data'!BB70</f>
        <v>0</v>
      </c>
      <c r="Z70">
        <f>'Fats Raw Data'!AS70-'Fats Raw Data'!BC70</f>
        <v>0</v>
      </c>
      <c r="AA70" t="str">
        <f>'Fats Raw Data'!AW70&amp;" - "&amp;'Fats Raw Data'!BG70</f>
        <v xml:space="preserve"> - </v>
      </c>
      <c r="AC70" s="1">
        <f>'Fats Raw Data'!AY70</f>
        <v>0</v>
      </c>
      <c r="AD70">
        <f>'Fats Raw Data'!AZ70-'Fats Raw Data'!B70</f>
        <v>0</v>
      </c>
      <c r="AE70">
        <f>'Fats Raw Data'!BA70-'Fats Raw Data'!C70</f>
        <v>0</v>
      </c>
      <c r="AF70">
        <f>'Fats Raw Data'!BB70-'Fats Raw Data'!D70</f>
        <v>0</v>
      </c>
      <c r="AG70">
        <f>'Fats Raw Data'!BC70-'Fats Raw Data'!E70</f>
        <v>0</v>
      </c>
      <c r="AH70" t="str">
        <f>'Fats Raw Data'!BG70&amp;" - "&amp;'Fats Raw Data'!I70</f>
        <v xml:space="preserve"> - </v>
      </c>
      <c r="AJ70" s="1">
        <f>'Fats Raw Data'!A70</f>
        <v>0</v>
      </c>
      <c r="AK70">
        <f>'Fats Raw Data'!B70-'Fats Raw Data'!L70</f>
        <v>0</v>
      </c>
      <c r="AL70">
        <f>'Fats Raw Data'!C70-'Fats Raw Data'!M70</f>
        <v>0</v>
      </c>
      <c r="AM70">
        <f>'Fats Raw Data'!D70-'Fats Raw Data'!N70</f>
        <v>0</v>
      </c>
      <c r="AN70">
        <f>'Fats Raw Data'!E70-'Fats Raw Data'!O70</f>
        <v>0</v>
      </c>
      <c r="AO70" t="str">
        <f>'Fats Raw Data'!I70&amp;" - "&amp;'Fats Raw Data'!S70</f>
        <v xml:space="preserve"> - </v>
      </c>
      <c r="AQ70" s="1">
        <f>'Fats Raw Data'!AE70</f>
        <v>0</v>
      </c>
      <c r="AR70">
        <f>'Fats Raw Data'!AF70-'Fats Raw Data'!AZ70</f>
        <v>0</v>
      </c>
      <c r="AS70">
        <f>'Fats Raw Data'!AG70-'Fats Raw Data'!BA70</f>
        <v>0</v>
      </c>
      <c r="AT70">
        <f>'Fats Raw Data'!AH70-'Fats Raw Data'!BB70</f>
        <v>0</v>
      </c>
      <c r="AU70">
        <f>'Fats Raw Data'!AI70-'Fats Raw Data'!BC70</f>
        <v>0</v>
      </c>
      <c r="AV70" t="str">
        <f>'Fats Raw Data'!AM70&amp;" - "&amp;'Fats Raw Data'!BG70</f>
        <v xml:space="preserve"> - </v>
      </c>
      <c r="AX70" s="1">
        <f>'Fats Raw Data'!A70</f>
        <v>0</v>
      </c>
      <c r="AY70">
        <f>'Fats Raw Data'!B70-'Fats Raw Data'!V70</f>
        <v>0</v>
      </c>
      <c r="AZ70">
        <f>'Fats Raw Data'!C70-'Fats Raw Data'!W70</f>
        <v>0</v>
      </c>
      <c r="BA70">
        <f>'Fats Raw Data'!D70-'Fats Raw Data'!X70</f>
        <v>0</v>
      </c>
      <c r="BB70">
        <f>'Fats Raw Data'!E70-'Fats Raw Data'!Y70</f>
        <v>0</v>
      </c>
      <c r="BC70" t="str">
        <f>'Fats Raw Data'!I70&amp;" - "&amp;'Fats Raw Data'!AC70</f>
        <v xml:space="preserve"> - </v>
      </c>
      <c r="BE70" s="1">
        <f>'Fats Raw Data'!K70</f>
        <v>0</v>
      </c>
      <c r="BF70">
        <f>'Fats Raw Data'!L70-'Fats Raw Data'!AF70</f>
        <v>0</v>
      </c>
      <c r="BG70">
        <f>'Fats Raw Data'!M70-'Fats Raw Data'!AG70</f>
        <v>0</v>
      </c>
      <c r="BH70">
        <f>'Fats Raw Data'!N70-'Fats Raw Data'!AH70</f>
        <v>0</v>
      </c>
      <c r="BI70">
        <f>'Fats Raw Data'!O70-'Fats Raw Data'!AI70</f>
        <v>0</v>
      </c>
      <c r="BJ70" t="str">
        <f>'Fats Raw Data'!S70&amp;" - "&amp;'Fats Raw Data'!AM70</f>
        <v xml:space="preserve"> - </v>
      </c>
    </row>
    <row r="71" spans="1:62" x14ac:dyDescent="0.25">
      <c r="A71" s="1">
        <f>'Fats Raw Data'!K71</f>
        <v>0</v>
      </c>
      <c r="B71">
        <f>'Fats Raw Data'!L71-'Fats Raw Data'!V71</f>
        <v>0</v>
      </c>
      <c r="C71">
        <f>'Fats Raw Data'!M71-'Fats Raw Data'!W71</f>
        <v>0</v>
      </c>
      <c r="D71">
        <f>'Fats Raw Data'!N71-'Fats Raw Data'!X71</f>
        <v>0</v>
      </c>
      <c r="E71">
        <f>'Fats Raw Data'!O71-'Fats Raw Data'!Y71</f>
        <v>0</v>
      </c>
      <c r="F71" t="str">
        <f>'Fats Raw Data'!S71&amp;" - "&amp;'Fats Raw Data'!AC71</f>
        <v xml:space="preserve"> - </v>
      </c>
      <c r="H71" s="1">
        <f>'Fats Raw Data'!U71</f>
        <v>0</v>
      </c>
      <c r="I71">
        <f>'Fats Raw Data'!V71-'Fats Raw Data'!AF71</f>
        <v>0</v>
      </c>
      <c r="J71">
        <f>'Fats Raw Data'!W71-'Fats Raw Data'!AG71</f>
        <v>0</v>
      </c>
      <c r="K71">
        <f>'Fats Raw Data'!X71-'Fats Raw Data'!AH71</f>
        <v>0</v>
      </c>
      <c r="L71">
        <f>'Fats Raw Data'!Y71-'Fats Raw Data'!AI71</f>
        <v>0</v>
      </c>
      <c r="M71" t="str">
        <f>'Fats Raw Data'!AC71&amp;" - "&amp;'Fats Raw Data'!AM71</f>
        <v xml:space="preserve"> - </v>
      </c>
      <c r="O71" s="1">
        <f>'Fats Raw Data'!AE71</f>
        <v>0</v>
      </c>
      <c r="P71">
        <f>'Fats Raw Data'!AF71-'Fats Raw Data'!AP71</f>
        <v>0</v>
      </c>
      <c r="Q71">
        <f>'Fats Raw Data'!AG71-'Fats Raw Data'!AQ71</f>
        <v>0</v>
      </c>
      <c r="R71">
        <f>'Fats Raw Data'!AH71-'Fats Raw Data'!AR71</f>
        <v>0</v>
      </c>
      <c r="S71">
        <f>'Fats Raw Data'!AI71-'Fats Raw Data'!AS71</f>
        <v>0</v>
      </c>
      <c r="T71" t="str">
        <f>'Fats Raw Data'!AM71&amp;" - "&amp;'Fats Raw Data'!AW71</f>
        <v xml:space="preserve"> - </v>
      </c>
      <c r="V71" s="1">
        <f>'Fats Raw Data'!AO71</f>
        <v>0</v>
      </c>
      <c r="W71">
        <f>'Fats Raw Data'!AP71-'Fats Raw Data'!AZ71</f>
        <v>0</v>
      </c>
      <c r="X71">
        <f>'Fats Raw Data'!AQ71-'Fats Raw Data'!BA71</f>
        <v>0</v>
      </c>
      <c r="Y71">
        <f>'Fats Raw Data'!AR71-'Fats Raw Data'!BB71</f>
        <v>0</v>
      </c>
      <c r="Z71">
        <f>'Fats Raw Data'!AS71-'Fats Raw Data'!BC71</f>
        <v>0</v>
      </c>
      <c r="AA71" t="str">
        <f>'Fats Raw Data'!AW71&amp;" - "&amp;'Fats Raw Data'!BG71</f>
        <v xml:space="preserve"> - </v>
      </c>
      <c r="AC71" s="1">
        <f>'Fats Raw Data'!AY71</f>
        <v>0</v>
      </c>
      <c r="AD71">
        <f>'Fats Raw Data'!AZ71-'Fats Raw Data'!B71</f>
        <v>0</v>
      </c>
      <c r="AE71">
        <f>'Fats Raw Data'!BA71-'Fats Raw Data'!C71</f>
        <v>0</v>
      </c>
      <c r="AF71">
        <f>'Fats Raw Data'!BB71-'Fats Raw Data'!D71</f>
        <v>0</v>
      </c>
      <c r="AG71">
        <f>'Fats Raw Data'!BC71-'Fats Raw Data'!E71</f>
        <v>0</v>
      </c>
      <c r="AH71" t="str">
        <f>'Fats Raw Data'!BG71&amp;" - "&amp;'Fats Raw Data'!I71</f>
        <v xml:space="preserve"> - </v>
      </c>
      <c r="AJ71" s="1">
        <f>'Fats Raw Data'!A71</f>
        <v>0</v>
      </c>
      <c r="AK71">
        <f>'Fats Raw Data'!B71-'Fats Raw Data'!L71</f>
        <v>0</v>
      </c>
      <c r="AL71">
        <f>'Fats Raw Data'!C71-'Fats Raw Data'!M71</f>
        <v>0</v>
      </c>
      <c r="AM71">
        <f>'Fats Raw Data'!D71-'Fats Raw Data'!N71</f>
        <v>0</v>
      </c>
      <c r="AN71">
        <f>'Fats Raw Data'!E71-'Fats Raw Data'!O71</f>
        <v>0</v>
      </c>
      <c r="AO71" t="str">
        <f>'Fats Raw Data'!I71&amp;" - "&amp;'Fats Raw Data'!S71</f>
        <v xml:space="preserve"> - </v>
      </c>
      <c r="AQ71" s="1">
        <f>'Fats Raw Data'!AE71</f>
        <v>0</v>
      </c>
      <c r="AR71">
        <f>'Fats Raw Data'!AF71-'Fats Raw Data'!AZ71</f>
        <v>0</v>
      </c>
      <c r="AS71">
        <f>'Fats Raw Data'!AG71-'Fats Raw Data'!BA71</f>
        <v>0</v>
      </c>
      <c r="AT71">
        <f>'Fats Raw Data'!AH71-'Fats Raw Data'!BB71</f>
        <v>0</v>
      </c>
      <c r="AU71">
        <f>'Fats Raw Data'!AI71-'Fats Raw Data'!BC71</f>
        <v>0</v>
      </c>
      <c r="AV71" t="str">
        <f>'Fats Raw Data'!AM71&amp;" - "&amp;'Fats Raw Data'!BG71</f>
        <v xml:space="preserve"> - </v>
      </c>
      <c r="AX71" s="1">
        <f>'Fats Raw Data'!A71</f>
        <v>0</v>
      </c>
      <c r="AY71">
        <f>'Fats Raw Data'!B71-'Fats Raw Data'!V71</f>
        <v>0</v>
      </c>
      <c r="AZ71">
        <f>'Fats Raw Data'!C71-'Fats Raw Data'!W71</f>
        <v>0</v>
      </c>
      <c r="BA71">
        <f>'Fats Raw Data'!D71-'Fats Raw Data'!X71</f>
        <v>0</v>
      </c>
      <c r="BB71">
        <f>'Fats Raw Data'!E71-'Fats Raw Data'!Y71</f>
        <v>0</v>
      </c>
      <c r="BC71" t="str">
        <f>'Fats Raw Data'!I71&amp;" - "&amp;'Fats Raw Data'!AC71</f>
        <v xml:space="preserve"> - </v>
      </c>
      <c r="BE71" s="1">
        <f>'Fats Raw Data'!K71</f>
        <v>0</v>
      </c>
      <c r="BF71">
        <f>'Fats Raw Data'!L71-'Fats Raw Data'!AF71</f>
        <v>0</v>
      </c>
      <c r="BG71">
        <f>'Fats Raw Data'!M71-'Fats Raw Data'!AG71</f>
        <v>0</v>
      </c>
      <c r="BH71">
        <f>'Fats Raw Data'!N71-'Fats Raw Data'!AH71</f>
        <v>0</v>
      </c>
      <c r="BI71">
        <f>'Fats Raw Data'!O71-'Fats Raw Data'!AI71</f>
        <v>0</v>
      </c>
      <c r="BJ71" t="str">
        <f>'Fats Raw Data'!S71&amp;" - "&amp;'Fats Raw Data'!AM71</f>
        <v xml:space="preserve"> - </v>
      </c>
    </row>
    <row r="72" spans="1:62" x14ac:dyDescent="0.25">
      <c r="A72" s="1">
        <f>'Fats Raw Data'!K72</f>
        <v>0</v>
      </c>
      <c r="B72">
        <f>'Fats Raw Data'!L72-'Fats Raw Data'!V72</f>
        <v>0</v>
      </c>
      <c r="C72">
        <f>'Fats Raw Data'!M72-'Fats Raw Data'!W72</f>
        <v>0</v>
      </c>
      <c r="D72">
        <f>'Fats Raw Data'!N72-'Fats Raw Data'!X72</f>
        <v>0</v>
      </c>
      <c r="E72">
        <f>'Fats Raw Data'!O72-'Fats Raw Data'!Y72</f>
        <v>0</v>
      </c>
      <c r="F72" t="str">
        <f>'Fats Raw Data'!S72&amp;" - "&amp;'Fats Raw Data'!AC72</f>
        <v xml:space="preserve"> - </v>
      </c>
      <c r="H72" s="1">
        <f>'Fats Raw Data'!U72</f>
        <v>0</v>
      </c>
      <c r="I72">
        <f>'Fats Raw Data'!V72-'Fats Raw Data'!AF72</f>
        <v>0</v>
      </c>
      <c r="J72">
        <f>'Fats Raw Data'!W72-'Fats Raw Data'!AG72</f>
        <v>0</v>
      </c>
      <c r="K72">
        <f>'Fats Raw Data'!X72-'Fats Raw Data'!AH72</f>
        <v>0</v>
      </c>
      <c r="L72">
        <f>'Fats Raw Data'!Y72-'Fats Raw Data'!AI72</f>
        <v>0</v>
      </c>
      <c r="M72" t="str">
        <f>'Fats Raw Data'!AC72&amp;" - "&amp;'Fats Raw Data'!AM72</f>
        <v xml:space="preserve"> - </v>
      </c>
      <c r="O72" s="1">
        <f>'Fats Raw Data'!AE72</f>
        <v>0</v>
      </c>
      <c r="P72">
        <f>'Fats Raw Data'!AF72-'Fats Raw Data'!AP72</f>
        <v>0</v>
      </c>
      <c r="Q72">
        <f>'Fats Raw Data'!AG72-'Fats Raw Data'!AQ72</f>
        <v>0</v>
      </c>
      <c r="R72">
        <f>'Fats Raw Data'!AH72-'Fats Raw Data'!AR72</f>
        <v>0</v>
      </c>
      <c r="S72">
        <f>'Fats Raw Data'!AI72-'Fats Raw Data'!AS72</f>
        <v>0</v>
      </c>
      <c r="T72" t="str">
        <f>'Fats Raw Data'!AM72&amp;" - "&amp;'Fats Raw Data'!AW72</f>
        <v xml:space="preserve"> - </v>
      </c>
      <c r="V72" s="1">
        <f>'Fats Raw Data'!AO72</f>
        <v>0</v>
      </c>
      <c r="W72">
        <f>'Fats Raw Data'!AP72-'Fats Raw Data'!AZ72</f>
        <v>0</v>
      </c>
      <c r="X72">
        <f>'Fats Raw Data'!AQ72-'Fats Raw Data'!BA72</f>
        <v>0</v>
      </c>
      <c r="Y72">
        <f>'Fats Raw Data'!AR72-'Fats Raw Data'!BB72</f>
        <v>0</v>
      </c>
      <c r="Z72">
        <f>'Fats Raw Data'!AS72-'Fats Raw Data'!BC72</f>
        <v>0</v>
      </c>
      <c r="AA72" t="str">
        <f>'Fats Raw Data'!AW72&amp;" - "&amp;'Fats Raw Data'!BG72</f>
        <v xml:space="preserve"> - </v>
      </c>
      <c r="AC72" s="1">
        <f>'Fats Raw Data'!AY72</f>
        <v>0</v>
      </c>
      <c r="AD72">
        <f>'Fats Raw Data'!AZ72-'Fats Raw Data'!B72</f>
        <v>0</v>
      </c>
      <c r="AE72">
        <f>'Fats Raw Data'!BA72-'Fats Raw Data'!C72</f>
        <v>0</v>
      </c>
      <c r="AF72">
        <f>'Fats Raw Data'!BB72-'Fats Raw Data'!D72</f>
        <v>0</v>
      </c>
      <c r="AG72">
        <f>'Fats Raw Data'!BC72-'Fats Raw Data'!E72</f>
        <v>0</v>
      </c>
      <c r="AH72" t="str">
        <f>'Fats Raw Data'!BG72&amp;" - "&amp;'Fats Raw Data'!I72</f>
        <v xml:space="preserve"> - </v>
      </c>
      <c r="AJ72" s="1">
        <f>'Fats Raw Data'!A72</f>
        <v>0</v>
      </c>
      <c r="AK72">
        <f>'Fats Raw Data'!B72-'Fats Raw Data'!L72</f>
        <v>0</v>
      </c>
      <c r="AL72">
        <f>'Fats Raw Data'!C72-'Fats Raw Data'!M72</f>
        <v>0</v>
      </c>
      <c r="AM72">
        <f>'Fats Raw Data'!D72-'Fats Raw Data'!N72</f>
        <v>0</v>
      </c>
      <c r="AN72">
        <f>'Fats Raw Data'!E72-'Fats Raw Data'!O72</f>
        <v>0</v>
      </c>
      <c r="AO72" t="str">
        <f>'Fats Raw Data'!I72&amp;" - "&amp;'Fats Raw Data'!S72</f>
        <v xml:space="preserve"> - </v>
      </c>
      <c r="AQ72" s="1">
        <f>'Fats Raw Data'!AE72</f>
        <v>0</v>
      </c>
      <c r="AR72">
        <f>'Fats Raw Data'!AF72-'Fats Raw Data'!AZ72</f>
        <v>0</v>
      </c>
      <c r="AS72">
        <f>'Fats Raw Data'!AG72-'Fats Raw Data'!BA72</f>
        <v>0</v>
      </c>
      <c r="AT72">
        <f>'Fats Raw Data'!AH72-'Fats Raw Data'!BB72</f>
        <v>0</v>
      </c>
      <c r="AU72">
        <f>'Fats Raw Data'!AI72-'Fats Raw Data'!BC72</f>
        <v>0</v>
      </c>
      <c r="AV72" t="str">
        <f>'Fats Raw Data'!AM72&amp;" - "&amp;'Fats Raw Data'!BG72</f>
        <v xml:space="preserve"> - </v>
      </c>
      <c r="AX72" s="1">
        <f>'Fats Raw Data'!A72</f>
        <v>0</v>
      </c>
      <c r="AY72">
        <f>'Fats Raw Data'!B72-'Fats Raw Data'!V72</f>
        <v>0</v>
      </c>
      <c r="AZ72">
        <f>'Fats Raw Data'!C72-'Fats Raw Data'!W72</f>
        <v>0</v>
      </c>
      <c r="BA72">
        <f>'Fats Raw Data'!D72-'Fats Raw Data'!X72</f>
        <v>0</v>
      </c>
      <c r="BB72">
        <f>'Fats Raw Data'!E72-'Fats Raw Data'!Y72</f>
        <v>0</v>
      </c>
      <c r="BC72" t="str">
        <f>'Fats Raw Data'!I72&amp;" - "&amp;'Fats Raw Data'!AC72</f>
        <v xml:space="preserve"> - </v>
      </c>
      <c r="BE72" s="1">
        <f>'Fats Raw Data'!K72</f>
        <v>0</v>
      </c>
      <c r="BF72">
        <f>'Fats Raw Data'!L72-'Fats Raw Data'!AF72</f>
        <v>0</v>
      </c>
      <c r="BG72">
        <f>'Fats Raw Data'!M72-'Fats Raw Data'!AG72</f>
        <v>0</v>
      </c>
      <c r="BH72">
        <f>'Fats Raw Data'!N72-'Fats Raw Data'!AH72</f>
        <v>0</v>
      </c>
      <c r="BI72">
        <f>'Fats Raw Data'!O72-'Fats Raw Data'!AI72</f>
        <v>0</v>
      </c>
      <c r="BJ72" t="str">
        <f>'Fats Raw Data'!S72&amp;" - "&amp;'Fats Raw Data'!AM72</f>
        <v xml:space="preserve"> - </v>
      </c>
    </row>
    <row r="73" spans="1:62" x14ac:dyDescent="0.25">
      <c r="A73" s="1">
        <f>'Fats Raw Data'!K73</f>
        <v>0</v>
      </c>
      <c r="B73">
        <f>'Fats Raw Data'!L73-'Fats Raw Data'!V73</f>
        <v>0</v>
      </c>
      <c r="C73">
        <f>'Fats Raw Data'!M73-'Fats Raw Data'!W73</f>
        <v>0</v>
      </c>
      <c r="D73">
        <f>'Fats Raw Data'!N73-'Fats Raw Data'!X73</f>
        <v>0</v>
      </c>
      <c r="E73">
        <f>'Fats Raw Data'!O73-'Fats Raw Data'!Y73</f>
        <v>0</v>
      </c>
      <c r="F73" t="str">
        <f>'Fats Raw Data'!S73&amp;" - "&amp;'Fats Raw Data'!AC73</f>
        <v xml:space="preserve"> - </v>
      </c>
      <c r="H73" s="1">
        <f>'Fats Raw Data'!U73</f>
        <v>0</v>
      </c>
      <c r="I73">
        <f>'Fats Raw Data'!V73-'Fats Raw Data'!AF73</f>
        <v>0</v>
      </c>
      <c r="J73">
        <f>'Fats Raw Data'!W73-'Fats Raw Data'!AG73</f>
        <v>0</v>
      </c>
      <c r="K73">
        <f>'Fats Raw Data'!X73-'Fats Raw Data'!AH73</f>
        <v>0</v>
      </c>
      <c r="L73">
        <f>'Fats Raw Data'!Y73-'Fats Raw Data'!AI73</f>
        <v>0</v>
      </c>
      <c r="M73" t="str">
        <f>'Fats Raw Data'!AC73&amp;" - "&amp;'Fats Raw Data'!AM73</f>
        <v xml:space="preserve"> - </v>
      </c>
      <c r="O73" s="1">
        <f>'Fats Raw Data'!AE73</f>
        <v>0</v>
      </c>
      <c r="P73">
        <f>'Fats Raw Data'!AF73-'Fats Raw Data'!AP73</f>
        <v>0</v>
      </c>
      <c r="Q73">
        <f>'Fats Raw Data'!AG73-'Fats Raw Data'!AQ73</f>
        <v>0</v>
      </c>
      <c r="R73">
        <f>'Fats Raw Data'!AH73-'Fats Raw Data'!AR73</f>
        <v>0</v>
      </c>
      <c r="S73">
        <f>'Fats Raw Data'!AI73-'Fats Raw Data'!AS73</f>
        <v>0</v>
      </c>
      <c r="T73" t="str">
        <f>'Fats Raw Data'!AM73&amp;" - "&amp;'Fats Raw Data'!AW73</f>
        <v xml:space="preserve"> - </v>
      </c>
      <c r="V73" s="1">
        <f>'Fats Raw Data'!AO73</f>
        <v>0</v>
      </c>
      <c r="W73">
        <f>'Fats Raw Data'!AP73-'Fats Raw Data'!AZ73</f>
        <v>0</v>
      </c>
      <c r="X73">
        <f>'Fats Raw Data'!AQ73-'Fats Raw Data'!BA73</f>
        <v>0</v>
      </c>
      <c r="Y73">
        <f>'Fats Raw Data'!AR73-'Fats Raw Data'!BB73</f>
        <v>0</v>
      </c>
      <c r="Z73">
        <f>'Fats Raw Data'!AS73-'Fats Raw Data'!BC73</f>
        <v>0</v>
      </c>
      <c r="AA73" t="str">
        <f>'Fats Raw Data'!AW73&amp;" - "&amp;'Fats Raw Data'!BG73</f>
        <v xml:space="preserve"> - </v>
      </c>
      <c r="AC73" s="1">
        <f>'Fats Raw Data'!AY73</f>
        <v>0</v>
      </c>
      <c r="AD73">
        <f>'Fats Raw Data'!AZ73-'Fats Raw Data'!B73</f>
        <v>0</v>
      </c>
      <c r="AE73">
        <f>'Fats Raw Data'!BA73-'Fats Raw Data'!C73</f>
        <v>0</v>
      </c>
      <c r="AF73">
        <f>'Fats Raw Data'!BB73-'Fats Raw Data'!D73</f>
        <v>0</v>
      </c>
      <c r="AG73">
        <f>'Fats Raw Data'!BC73-'Fats Raw Data'!E73</f>
        <v>0</v>
      </c>
      <c r="AH73" t="str">
        <f>'Fats Raw Data'!BG73&amp;" - "&amp;'Fats Raw Data'!I73</f>
        <v xml:space="preserve"> - </v>
      </c>
      <c r="AJ73" s="1">
        <f>'Fats Raw Data'!A73</f>
        <v>0</v>
      </c>
      <c r="AK73">
        <f>'Fats Raw Data'!B73-'Fats Raw Data'!L73</f>
        <v>0</v>
      </c>
      <c r="AL73">
        <f>'Fats Raw Data'!C73-'Fats Raw Data'!M73</f>
        <v>0</v>
      </c>
      <c r="AM73">
        <f>'Fats Raw Data'!D73-'Fats Raw Data'!N73</f>
        <v>0</v>
      </c>
      <c r="AN73">
        <f>'Fats Raw Data'!E73-'Fats Raw Data'!O73</f>
        <v>0</v>
      </c>
      <c r="AO73" t="str">
        <f>'Fats Raw Data'!I73&amp;" - "&amp;'Fats Raw Data'!S73</f>
        <v xml:space="preserve"> - </v>
      </c>
      <c r="AQ73" s="1">
        <f>'Fats Raw Data'!AE73</f>
        <v>0</v>
      </c>
      <c r="AR73">
        <f>'Fats Raw Data'!AF73-'Fats Raw Data'!AZ73</f>
        <v>0</v>
      </c>
      <c r="AS73">
        <f>'Fats Raw Data'!AG73-'Fats Raw Data'!BA73</f>
        <v>0</v>
      </c>
      <c r="AT73">
        <f>'Fats Raw Data'!AH73-'Fats Raw Data'!BB73</f>
        <v>0</v>
      </c>
      <c r="AU73">
        <f>'Fats Raw Data'!AI73-'Fats Raw Data'!BC73</f>
        <v>0</v>
      </c>
      <c r="AV73" t="str">
        <f>'Fats Raw Data'!AM73&amp;" - "&amp;'Fats Raw Data'!BG73</f>
        <v xml:space="preserve"> - </v>
      </c>
      <c r="AX73" s="1">
        <f>'Fats Raw Data'!A73</f>
        <v>0</v>
      </c>
      <c r="AY73">
        <f>'Fats Raw Data'!B73-'Fats Raw Data'!V73</f>
        <v>0</v>
      </c>
      <c r="AZ73">
        <f>'Fats Raw Data'!C73-'Fats Raw Data'!W73</f>
        <v>0</v>
      </c>
      <c r="BA73">
        <f>'Fats Raw Data'!D73-'Fats Raw Data'!X73</f>
        <v>0</v>
      </c>
      <c r="BB73">
        <f>'Fats Raw Data'!E73-'Fats Raw Data'!Y73</f>
        <v>0</v>
      </c>
      <c r="BC73" t="str">
        <f>'Fats Raw Data'!I73&amp;" - "&amp;'Fats Raw Data'!AC73</f>
        <v xml:space="preserve"> - </v>
      </c>
      <c r="BE73" s="1">
        <f>'Fats Raw Data'!K73</f>
        <v>0</v>
      </c>
      <c r="BF73">
        <f>'Fats Raw Data'!L73-'Fats Raw Data'!AF73</f>
        <v>0</v>
      </c>
      <c r="BG73">
        <f>'Fats Raw Data'!M73-'Fats Raw Data'!AG73</f>
        <v>0</v>
      </c>
      <c r="BH73">
        <f>'Fats Raw Data'!N73-'Fats Raw Data'!AH73</f>
        <v>0</v>
      </c>
      <c r="BI73">
        <f>'Fats Raw Data'!O73-'Fats Raw Data'!AI73</f>
        <v>0</v>
      </c>
      <c r="BJ73" t="str">
        <f>'Fats Raw Data'!S73&amp;" - "&amp;'Fats Raw Data'!AM73</f>
        <v xml:space="preserve"> - </v>
      </c>
    </row>
    <row r="74" spans="1:62" x14ac:dyDescent="0.25">
      <c r="A74" s="1">
        <f>'Fats Raw Data'!K74</f>
        <v>0</v>
      </c>
      <c r="B74">
        <f>'Fats Raw Data'!L74-'Fats Raw Data'!V74</f>
        <v>0</v>
      </c>
      <c r="C74">
        <f>'Fats Raw Data'!M74-'Fats Raw Data'!W74</f>
        <v>0</v>
      </c>
      <c r="D74">
        <f>'Fats Raw Data'!N74-'Fats Raw Data'!X74</f>
        <v>0</v>
      </c>
      <c r="E74">
        <f>'Fats Raw Data'!O74-'Fats Raw Data'!Y74</f>
        <v>0</v>
      </c>
      <c r="F74" t="str">
        <f>'Fats Raw Data'!S74&amp;" - "&amp;'Fats Raw Data'!AC74</f>
        <v xml:space="preserve"> - </v>
      </c>
      <c r="H74" s="1">
        <f>'Fats Raw Data'!U74</f>
        <v>0</v>
      </c>
      <c r="I74">
        <f>'Fats Raw Data'!V74-'Fats Raw Data'!AF74</f>
        <v>0</v>
      </c>
      <c r="J74">
        <f>'Fats Raw Data'!W74-'Fats Raw Data'!AG74</f>
        <v>0</v>
      </c>
      <c r="K74">
        <f>'Fats Raw Data'!X74-'Fats Raw Data'!AH74</f>
        <v>0</v>
      </c>
      <c r="L74">
        <f>'Fats Raw Data'!Y74-'Fats Raw Data'!AI74</f>
        <v>0</v>
      </c>
      <c r="M74" t="str">
        <f>'Fats Raw Data'!AC74&amp;" - "&amp;'Fats Raw Data'!AM74</f>
        <v xml:space="preserve"> - </v>
      </c>
      <c r="O74" s="1">
        <f>'Fats Raw Data'!AE74</f>
        <v>0</v>
      </c>
      <c r="P74">
        <f>'Fats Raw Data'!AF74-'Fats Raw Data'!AP74</f>
        <v>0</v>
      </c>
      <c r="Q74">
        <f>'Fats Raw Data'!AG74-'Fats Raw Data'!AQ74</f>
        <v>0</v>
      </c>
      <c r="R74">
        <f>'Fats Raw Data'!AH74-'Fats Raw Data'!AR74</f>
        <v>0</v>
      </c>
      <c r="S74">
        <f>'Fats Raw Data'!AI74-'Fats Raw Data'!AS74</f>
        <v>0</v>
      </c>
      <c r="T74" t="str">
        <f>'Fats Raw Data'!AM74&amp;" - "&amp;'Fats Raw Data'!AW74</f>
        <v xml:space="preserve"> - </v>
      </c>
      <c r="V74" s="1">
        <f>'Fats Raw Data'!AO74</f>
        <v>0</v>
      </c>
      <c r="W74">
        <f>'Fats Raw Data'!AP74-'Fats Raw Data'!AZ74</f>
        <v>0</v>
      </c>
      <c r="X74">
        <f>'Fats Raw Data'!AQ74-'Fats Raw Data'!BA74</f>
        <v>0</v>
      </c>
      <c r="Y74">
        <f>'Fats Raw Data'!AR74-'Fats Raw Data'!BB74</f>
        <v>0</v>
      </c>
      <c r="Z74">
        <f>'Fats Raw Data'!AS74-'Fats Raw Data'!BC74</f>
        <v>0</v>
      </c>
      <c r="AA74" t="str">
        <f>'Fats Raw Data'!AW74&amp;" - "&amp;'Fats Raw Data'!BG74</f>
        <v xml:space="preserve"> - </v>
      </c>
      <c r="AC74" s="1">
        <f>'Fats Raw Data'!AY74</f>
        <v>0</v>
      </c>
      <c r="AD74">
        <f>'Fats Raw Data'!AZ74-'Fats Raw Data'!B74</f>
        <v>0</v>
      </c>
      <c r="AE74">
        <f>'Fats Raw Data'!BA74-'Fats Raw Data'!C74</f>
        <v>0</v>
      </c>
      <c r="AF74">
        <f>'Fats Raw Data'!BB74-'Fats Raw Data'!D74</f>
        <v>0</v>
      </c>
      <c r="AG74">
        <f>'Fats Raw Data'!BC74-'Fats Raw Data'!E74</f>
        <v>0</v>
      </c>
      <c r="AH74" t="str">
        <f>'Fats Raw Data'!BG74&amp;" - "&amp;'Fats Raw Data'!I74</f>
        <v xml:space="preserve"> - </v>
      </c>
      <c r="AJ74" s="1">
        <f>'Fats Raw Data'!A74</f>
        <v>0</v>
      </c>
      <c r="AK74">
        <f>'Fats Raw Data'!B74-'Fats Raw Data'!L74</f>
        <v>0</v>
      </c>
      <c r="AL74">
        <f>'Fats Raw Data'!C74-'Fats Raw Data'!M74</f>
        <v>0</v>
      </c>
      <c r="AM74">
        <f>'Fats Raw Data'!D74-'Fats Raw Data'!N74</f>
        <v>0</v>
      </c>
      <c r="AN74">
        <f>'Fats Raw Data'!E74-'Fats Raw Data'!O74</f>
        <v>0</v>
      </c>
      <c r="AO74" t="str">
        <f>'Fats Raw Data'!I74&amp;" - "&amp;'Fats Raw Data'!S74</f>
        <v xml:space="preserve"> - </v>
      </c>
      <c r="AQ74" s="1">
        <f>'Fats Raw Data'!AE74</f>
        <v>0</v>
      </c>
      <c r="AR74">
        <f>'Fats Raw Data'!AF74-'Fats Raw Data'!AZ74</f>
        <v>0</v>
      </c>
      <c r="AS74">
        <f>'Fats Raw Data'!AG74-'Fats Raw Data'!BA74</f>
        <v>0</v>
      </c>
      <c r="AT74">
        <f>'Fats Raw Data'!AH74-'Fats Raw Data'!BB74</f>
        <v>0</v>
      </c>
      <c r="AU74">
        <f>'Fats Raw Data'!AI74-'Fats Raw Data'!BC74</f>
        <v>0</v>
      </c>
      <c r="AV74" t="str">
        <f>'Fats Raw Data'!AM74&amp;" - "&amp;'Fats Raw Data'!BG74</f>
        <v xml:space="preserve"> - </v>
      </c>
      <c r="AX74" s="1">
        <f>'Fats Raw Data'!A74</f>
        <v>0</v>
      </c>
      <c r="AY74">
        <f>'Fats Raw Data'!B74-'Fats Raw Data'!V74</f>
        <v>0</v>
      </c>
      <c r="AZ74">
        <f>'Fats Raw Data'!C74-'Fats Raw Data'!W74</f>
        <v>0</v>
      </c>
      <c r="BA74">
        <f>'Fats Raw Data'!D74-'Fats Raw Data'!X74</f>
        <v>0</v>
      </c>
      <c r="BB74">
        <f>'Fats Raw Data'!E74-'Fats Raw Data'!Y74</f>
        <v>0</v>
      </c>
      <c r="BC74" t="str">
        <f>'Fats Raw Data'!I74&amp;" - "&amp;'Fats Raw Data'!AC74</f>
        <v xml:space="preserve"> - </v>
      </c>
      <c r="BE74" s="1">
        <f>'Fats Raw Data'!K74</f>
        <v>0</v>
      </c>
      <c r="BF74">
        <f>'Fats Raw Data'!L74-'Fats Raw Data'!AF74</f>
        <v>0</v>
      </c>
      <c r="BG74">
        <f>'Fats Raw Data'!M74-'Fats Raw Data'!AG74</f>
        <v>0</v>
      </c>
      <c r="BH74">
        <f>'Fats Raw Data'!N74-'Fats Raw Data'!AH74</f>
        <v>0</v>
      </c>
      <c r="BI74">
        <f>'Fats Raw Data'!O74-'Fats Raw Data'!AI74</f>
        <v>0</v>
      </c>
      <c r="BJ74" t="str">
        <f>'Fats Raw Data'!S74&amp;" - "&amp;'Fats Raw Data'!AM74</f>
        <v xml:space="preserve"> - </v>
      </c>
    </row>
    <row r="75" spans="1:62" x14ac:dyDescent="0.25">
      <c r="A75" s="1">
        <f>'Fats Raw Data'!K75</f>
        <v>0</v>
      </c>
      <c r="B75">
        <f>'Fats Raw Data'!L75-'Fats Raw Data'!V75</f>
        <v>0</v>
      </c>
      <c r="C75">
        <f>'Fats Raw Data'!M75-'Fats Raw Data'!W75</f>
        <v>0</v>
      </c>
      <c r="D75">
        <f>'Fats Raw Data'!N75-'Fats Raw Data'!X75</f>
        <v>0</v>
      </c>
      <c r="E75">
        <f>'Fats Raw Data'!O75-'Fats Raw Data'!Y75</f>
        <v>0</v>
      </c>
      <c r="F75" t="str">
        <f>'Fats Raw Data'!S75&amp;" - "&amp;'Fats Raw Data'!AC75</f>
        <v xml:space="preserve"> - </v>
      </c>
      <c r="H75" s="1">
        <f>'Fats Raw Data'!U75</f>
        <v>0</v>
      </c>
      <c r="I75">
        <f>'Fats Raw Data'!V75-'Fats Raw Data'!AF75</f>
        <v>0</v>
      </c>
      <c r="J75">
        <f>'Fats Raw Data'!W75-'Fats Raw Data'!AG75</f>
        <v>0</v>
      </c>
      <c r="K75">
        <f>'Fats Raw Data'!X75-'Fats Raw Data'!AH75</f>
        <v>0</v>
      </c>
      <c r="L75">
        <f>'Fats Raw Data'!Y75-'Fats Raw Data'!AI75</f>
        <v>0</v>
      </c>
      <c r="M75" t="str">
        <f>'Fats Raw Data'!AC75&amp;" - "&amp;'Fats Raw Data'!AM75</f>
        <v xml:space="preserve"> - </v>
      </c>
      <c r="O75" s="1">
        <f>'Fats Raw Data'!AE75</f>
        <v>0</v>
      </c>
      <c r="P75">
        <f>'Fats Raw Data'!AF75-'Fats Raw Data'!AP75</f>
        <v>0</v>
      </c>
      <c r="Q75">
        <f>'Fats Raw Data'!AG75-'Fats Raw Data'!AQ75</f>
        <v>0</v>
      </c>
      <c r="R75">
        <f>'Fats Raw Data'!AH75-'Fats Raw Data'!AR75</f>
        <v>0</v>
      </c>
      <c r="S75">
        <f>'Fats Raw Data'!AI75-'Fats Raw Data'!AS75</f>
        <v>0</v>
      </c>
      <c r="T75" t="str">
        <f>'Fats Raw Data'!AM75&amp;" - "&amp;'Fats Raw Data'!AW75</f>
        <v xml:space="preserve"> - </v>
      </c>
      <c r="V75" s="1">
        <f>'Fats Raw Data'!AO75</f>
        <v>0</v>
      </c>
      <c r="W75">
        <f>'Fats Raw Data'!AP75-'Fats Raw Data'!AZ75</f>
        <v>0</v>
      </c>
      <c r="X75">
        <f>'Fats Raw Data'!AQ75-'Fats Raw Data'!BA75</f>
        <v>0</v>
      </c>
      <c r="Y75">
        <f>'Fats Raw Data'!AR75-'Fats Raw Data'!BB75</f>
        <v>0</v>
      </c>
      <c r="Z75">
        <f>'Fats Raw Data'!AS75-'Fats Raw Data'!BC75</f>
        <v>0</v>
      </c>
      <c r="AA75" t="str">
        <f>'Fats Raw Data'!AW75&amp;" - "&amp;'Fats Raw Data'!BG75</f>
        <v xml:space="preserve"> - </v>
      </c>
      <c r="AC75" s="1">
        <f>'Fats Raw Data'!AY75</f>
        <v>0</v>
      </c>
      <c r="AD75">
        <f>'Fats Raw Data'!AZ75-'Fats Raw Data'!B75</f>
        <v>0</v>
      </c>
      <c r="AE75">
        <f>'Fats Raw Data'!BA75-'Fats Raw Data'!C75</f>
        <v>0</v>
      </c>
      <c r="AF75">
        <f>'Fats Raw Data'!BB75-'Fats Raw Data'!D75</f>
        <v>0</v>
      </c>
      <c r="AG75">
        <f>'Fats Raw Data'!BC75-'Fats Raw Data'!E75</f>
        <v>0</v>
      </c>
      <c r="AH75" t="str">
        <f>'Fats Raw Data'!BG75&amp;" - "&amp;'Fats Raw Data'!I75</f>
        <v xml:space="preserve"> - </v>
      </c>
      <c r="AJ75" s="1">
        <f>'Fats Raw Data'!A75</f>
        <v>0</v>
      </c>
      <c r="AK75">
        <f>'Fats Raw Data'!B75-'Fats Raw Data'!L75</f>
        <v>0</v>
      </c>
      <c r="AL75">
        <f>'Fats Raw Data'!C75-'Fats Raw Data'!M75</f>
        <v>0</v>
      </c>
      <c r="AM75">
        <f>'Fats Raw Data'!D75-'Fats Raw Data'!N75</f>
        <v>0</v>
      </c>
      <c r="AN75">
        <f>'Fats Raw Data'!E75-'Fats Raw Data'!O75</f>
        <v>0</v>
      </c>
      <c r="AO75" t="str">
        <f>'Fats Raw Data'!I75&amp;" - "&amp;'Fats Raw Data'!S75</f>
        <v xml:space="preserve"> - </v>
      </c>
      <c r="AQ75" s="1">
        <f>'Fats Raw Data'!AE75</f>
        <v>0</v>
      </c>
      <c r="AR75">
        <f>'Fats Raw Data'!AF75-'Fats Raw Data'!AZ75</f>
        <v>0</v>
      </c>
      <c r="AS75">
        <f>'Fats Raw Data'!AG75-'Fats Raw Data'!BA75</f>
        <v>0</v>
      </c>
      <c r="AT75">
        <f>'Fats Raw Data'!AH75-'Fats Raw Data'!BB75</f>
        <v>0</v>
      </c>
      <c r="AU75">
        <f>'Fats Raw Data'!AI75-'Fats Raw Data'!BC75</f>
        <v>0</v>
      </c>
      <c r="AV75" t="str">
        <f>'Fats Raw Data'!AM75&amp;" - "&amp;'Fats Raw Data'!BG75</f>
        <v xml:space="preserve"> - </v>
      </c>
      <c r="AX75" s="1">
        <f>'Fats Raw Data'!A75</f>
        <v>0</v>
      </c>
      <c r="AY75">
        <f>'Fats Raw Data'!B75-'Fats Raw Data'!V75</f>
        <v>0</v>
      </c>
      <c r="AZ75">
        <f>'Fats Raw Data'!C75-'Fats Raw Data'!W75</f>
        <v>0</v>
      </c>
      <c r="BA75">
        <f>'Fats Raw Data'!D75-'Fats Raw Data'!X75</f>
        <v>0</v>
      </c>
      <c r="BB75">
        <f>'Fats Raw Data'!E75-'Fats Raw Data'!Y75</f>
        <v>0</v>
      </c>
      <c r="BC75" t="str">
        <f>'Fats Raw Data'!I75&amp;" - "&amp;'Fats Raw Data'!AC75</f>
        <v xml:space="preserve"> - </v>
      </c>
      <c r="BE75" s="1">
        <f>'Fats Raw Data'!K75</f>
        <v>0</v>
      </c>
      <c r="BF75">
        <f>'Fats Raw Data'!L75-'Fats Raw Data'!AF75</f>
        <v>0</v>
      </c>
      <c r="BG75">
        <f>'Fats Raw Data'!M75-'Fats Raw Data'!AG75</f>
        <v>0</v>
      </c>
      <c r="BH75">
        <f>'Fats Raw Data'!N75-'Fats Raw Data'!AH75</f>
        <v>0</v>
      </c>
      <c r="BI75">
        <f>'Fats Raw Data'!O75-'Fats Raw Data'!AI75</f>
        <v>0</v>
      </c>
      <c r="BJ75" t="str">
        <f>'Fats Raw Data'!S75&amp;" - "&amp;'Fats Raw Data'!AM75</f>
        <v xml:space="preserve"> - </v>
      </c>
    </row>
    <row r="76" spans="1:62" x14ac:dyDescent="0.25">
      <c r="A76" s="1">
        <f>'Fats Raw Data'!K76</f>
        <v>0</v>
      </c>
      <c r="B76">
        <f>'Fats Raw Data'!L76-'Fats Raw Data'!V76</f>
        <v>0</v>
      </c>
      <c r="C76">
        <f>'Fats Raw Data'!M76-'Fats Raw Data'!W76</f>
        <v>0</v>
      </c>
      <c r="D76">
        <f>'Fats Raw Data'!N76-'Fats Raw Data'!X76</f>
        <v>0</v>
      </c>
      <c r="E76">
        <f>'Fats Raw Data'!O76-'Fats Raw Data'!Y76</f>
        <v>0</v>
      </c>
      <c r="F76" t="str">
        <f>'Fats Raw Data'!S76&amp;" - "&amp;'Fats Raw Data'!AC76</f>
        <v xml:space="preserve"> - </v>
      </c>
      <c r="H76" s="1">
        <f>'Fats Raw Data'!U76</f>
        <v>0</v>
      </c>
      <c r="I76">
        <f>'Fats Raw Data'!V76-'Fats Raw Data'!AF76</f>
        <v>0</v>
      </c>
      <c r="J76">
        <f>'Fats Raw Data'!W76-'Fats Raw Data'!AG76</f>
        <v>0</v>
      </c>
      <c r="K76">
        <f>'Fats Raw Data'!X76-'Fats Raw Data'!AH76</f>
        <v>0</v>
      </c>
      <c r="L76">
        <f>'Fats Raw Data'!Y76-'Fats Raw Data'!AI76</f>
        <v>0</v>
      </c>
      <c r="M76" t="str">
        <f>'Fats Raw Data'!AC76&amp;" - "&amp;'Fats Raw Data'!AM76</f>
        <v xml:space="preserve"> - </v>
      </c>
      <c r="O76" s="1">
        <f>'Fats Raw Data'!AE76</f>
        <v>0</v>
      </c>
      <c r="P76">
        <f>'Fats Raw Data'!AF76-'Fats Raw Data'!AP76</f>
        <v>0</v>
      </c>
      <c r="Q76">
        <f>'Fats Raw Data'!AG76-'Fats Raw Data'!AQ76</f>
        <v>0</v>
      </c>
      <c r="R76">
        <f>'Fats Raw Data'!AH76-'Fats Raw Data'!AR76</f>
        <v>0</v>
      </c>
      <c r="S76">
        <f>'Fats Raw Data'!AI76-'Fats Raw Data'!AS76</f>
        <v>0</v>
      </c>
      <c r="T76" t="str">
        <f>'Fats Raw Data'!AM76&amp;" - "&amp;'Fats Raw Data'!AW76</f>
        <v xml:space="preserve"> - </v>
      </c>
      <c r="V76" s="1">
        <f>'Fats Raw Data'!AO76</f>
        <v>0</v>
      </c>
      <c r="W76">
        <f>'Fats Raw Data'!AP76-'Fats Raw Data'!AZ76</f>
        <v>0</v>
      </c>
      <c r="X76">
        <f>'Fats Raw Data'!AQ76-'Fats Raw Data'!BA76</f>
        <v>0</v>
      </c>
      <c r="Y76">
        <f>'Fats Raw Data'!AR76-'Fats Raw Data'!BB76</f>
        <v>0</v>
      </c>
      <c r="Z76">
        <f>'Fats Raw Data'!AS76-'Fats Raw Data'!BC76</f>
        <v>0</v>
      </c>
      <c r="AA76" t="str">
        <f>'Fats Raw Data'!AW76&amp;" - "&amp;'Fats Raw Data'!BG76</f>
        <v xml:space="preserve"> - </v>
      </c>
      <c r="AC76" s="1">
        <f>'Fats Raw Data'!AY76</f>
        <v>0</v>
      </c>
      <c r="AD76">
        <f>'Fats Raw Data'!AZ76-'Fats Raw Data'!B76</f>
        <v>0</v>
      </c>
      <c r="AE76">
        <f>'Fats Raw Data'!BA76-'Fats Raw Data'!C76</f>
        <v>0</v>
      </c>
      <c r="AF76">
        <f>'Fats Raw Data'!BB76-'Fats Raw Data'!D76</f>
        <v>0</v>
      </c>
      <c r="AG76">
        <f>'Fats Raw Data'!BC76-'Fats Raw Data'!E76</f>
        <v>0</v>
      </c>
      <c r="AH76" t="str">
        <f>'Fats Raw Data'!BG76&amp;" - "&amp;'Fats Raw Data'!I76</f>
        <v xml:space="preserve"> - </v>
      </c>
      <c r="AJ76" s="1">
        <f>'Fats Raw Data'!A76</f>
        <v>0</v>
      </c>
      <c r="AK76">
        <f>'Fats Raw Data'!B76-'Fats Raw Data'!L76</f>
        <v>0</v>
      </c>
      <c r="AL76">
        <f>'Fats Raw Data'!C76-'Fats Raw Data'!M76</f>
        <v>0</v>
      </c>
      <c r="AM76">
        <f>'Fats Raw Data'!D76-'Fats Raw Data'!N76</f>
        <v>0</v>
      </c>
      <c r="AN76">
        <f>'Fats Raw Data'!E76-'Fats Raw Data'!O76</f>
        <v>0</v>
      </c>
      <c r="AO76" t="str">
        <f>'Fats Raw Data'!I76&amp;" - "&amp;'Fats Raw Data'!S76</f>
        <v xml:space="preserve"> - </v>
      </c>
      <c r="AQ76" s="1">
        <f>'Fats Raw Data'!AE76</f>
        <v>0</v>
      </c>
      <c r="AR76">
        <f>'Fats Raw Data'!AF76-'Fats Raw Data'!AZ76</f>
        <v>0</v>
      </c>
      <c r="AS76">
        <f>'Fats Raw Data'!AG76-'Fats Raw Data'!BA76</f>
        <v>0</v>
      </c>
      <c r="AT76">
        <f>'Fats Raw Data'!AH76-'Fats Raw Data'!BB76</f>
        <v>0</v>
      </c>
      <c r="AU76">
        <f>'Fats Raw Data'!AI76-'Fats Raw Data'!BC76</f>
        <v>0</v>
      </c>
      <c r="AV76" t="str">
        <f>'Fats Raw Data'!AM76&amp;" - "&amp;'Fats Raw Data'!BG76</f>
        <v xml:space="preserve"> - </v>
      </c>
      <c r="AX76" s="1">
        <f>'Fats Raw Data'!A76</f>
        <v>0</v>
      </c>
      <c r="AY76">
        <f>'Fats Raw Data'!B76-'Fats Raw Data'!V76</f>
        <v>0</v>
      </c>
      <c r="AZ76">
        <f>'Fats Raw Data'!C76-'Fats Raw Data'!W76</f>
        <v>0</v>
      </c>
      <c r="BA76">
        <f>'Fats Raw Data'!D76-'Fats Raw Data'!X76</f>
        <v>0</v>
      </c>
      <c r="BB76">
        <f>'Fats Raw Data'!E76-'Fats Raw Data'!Y76</f>
        <v>0</v>
      </c>
      <c r="BC76" t="str">
        <f>'Fats Raw Data'!I76&amp;" - "&amp;'Fats Raw Data'!AC76</f>
        <v xml:space="preserve"> - </v>
      </c>
      <c r="BE76" s="1">
        <f>'Fats Raw Data'!K76</f>
        <v>0</v>
      </c>
      <c r="BF76">
        <f>'Fats Raw Data'!L76-'Fats Raw Data'!AF76</f>
        <v>0</v>
      </c>
      <c r="BG76">
        <f>'Fats Raw Data'!M76-'Fats Raw Data'!AG76</f>
        <v>0</v>
      </c>
      <c r="BH76">
        <f>'Fats Raw Data'!N76-'Fats Raw Data'!AH76</f>
        <v>0</v>
      </c>
      <c r="BI76">
        <f>'Fats Raw Data'!O76-'Fats Raw Data'!AI76</f>
        <v>0</v>
      </c>
      <c r="BJ76" t="str">
        <f>'Fats Raw Data'!S76&amp;" - "&amp;'Fats Raw Data'!AM76</f>
        <v xml:space="preserve"> - </v>
      </c>
    </row>
    <row r="77" spans="1:62" x14ac:dyDescent="0.25">
      <c r="A77" s="1">
        <f>'Fats Raw Data'!K77</f>
        <v>0</v>
      </c>
      <c r="B77">
        <f>'Fats Raw Data'!L77-'Fats Raw Data'!V77</f>
        <v>0</v>
      </c>
      <c r="C77">
        <f>'Fats Raw Data'!M77-'Fats Raw Data'!W77</f>
        <v>0</v>
      </c>
      <c r="D77">
        <f>'Fats Raw Data'!N77-'Fats Raw Data'!X77</f>
        <v>0</v>
      </c>
      <c r="E77">
        <f>'Fats Raw Data'!O77-'Fats Raw Data'!Y77</f>
        <v>0</v>
      </c>
      <c r="F77" t="str">
        <f>'Fats Raw Data'!S77&amp;" - "&amp;'Fats Raw Data'!AC77</f>
        <v xml:space="preserve"> - </v>
      </c>
      <c r="H77" s="1">
        <f>'Fats Raw Data'!U77</f>
        <v>0</v>
      </c>
      <c r="I77">
        <f>'Fats Raw Data'!V77-'Fats Raw Data'!AF77</f>
        <v>0</v>
      </c>
      <c r="J77">
        <f>'Fats Raw Data'!W77-'Fats Raw Data'!AG77</f>
        <v>0</v>
      </c>
      <c r="K77">
        <f>'Fats Raw Data'!X77-'Fats Raw Data'!AH77</f>
        <v>0</v>
      </c>
      <c r="L77">
        <f>'Fats Raw Data'!Y77-'Fats Raw Data'!AI77</f>
        <v>0</v>
      </c>
      <c r="M77" t="str">
        <f>'Fats Raw Data'!AC77&amp;" - "&amp;'Fats Raw Data'!AM77</f>
        <v xml:space="preserve"> - </v>
      </c>
      <c r="O77" s="1">
        <f>'Fats Raw Data'!AE77</f>
        <v>0</v>
      </c>
      <c r="P77">
        <f>'Fats Raw Data'!AF77-'Fats Raw Data'!AP77</f>
        <v>0</v>
      </c>
      <c r="Q77">
        <f>'Fats Raw Data'!AG77-'Fats Raw Data'!AQ77</f>
        <v>0</v>
      </c>
      <c r="R77">
        <f>'Fats Raw Data'!AH77-'Fats Raw Data'!AR77</f>
        <v>0</v>
      </c>
      <c r="S77">
        <f>'Fats Raw Data'!AI77-'Fats Raw Data'!AS77</f>
        <v>0</v>
      </c>
      <c r="T77" t="str">
        <f>'Fats Raw Data'!AM77&amp;" - "&amp;'Fats Raw Data'!AW77</f>
        <v xml:space="preserve"> - </v>
      </c>
      <c r="V77" s="1">
        <f>'Fats Raw Data'!AO77</f>
        <v>0</v>
      </c>
      <c r="W77">
        <f>'Fats Raw Data'!AP77-'Fats Raw Data'!AZ77</f>
        <v>0</v>
      </c>
      <c r="X77">
        <f>'Fats Raw Data'!AQ77-'Fats Raw Data'!BA77</f>
        <v>0</v>
      </c>
      <c r="Y77">
        <f>'Fats Raw Data'!AR77-'Fats Raw Data'!BB77</f>
        <v>0</v>
      </c>
      <c r="Z77">
        <f>'Fats Raw Data'!AS77-'Fats Raw Data'!BC77</f>
        <v>0</v>
      </c>
      <c r="AA77" t="str">
        <f>'Fats Raw Data'!AW77&amp;" - "&amp;'Fats Raw Data'!BG77</f>
        <v xml:space="preserve"> - </v>
      </c>
      <c r="AC77" s="1">
        <f>'Fats Raw Data'!AY77</f>
        <v>0</v>
      </c>
      <c r="AD77">
        <f>'Fats Raw Data'!AZ77-'Fats Raw Data'!B77</f>
        <v>0</v>
      </c>
      <c r="AE77">
        <f>'Fats Raw Data'!BA77-'Fats Raw Data'!C77</f>
        <v>0</v>
      </c>
      <c r="AF77">
        <f>'Fats Raw Data'!BB77-'Fats Raw Data'!D77</f>
        <v>0</v>
      </c>
      <c r="AG77">
        <f>'Fats Raw Data'!BC77-'Fats Raw Data'!E77</f>
        <v>0</v>
      </c>
      <c r="AH77" t="str">
        <f>'Fats Raw Data'!BG77&amp;" - "&amp;'Fats Raw Data'!I77</f>
        <v xml:space="preserve"> - </v>
      </c>
      <c r="AJ77" s="1">
        <f>'Fats Raw Data'!A77</f>
        <v>0</v>
      </c>
      <c r="AK77">
        <f>'Fats Raw Data'!B77-'Fats Raw Data'!L77</f>
        <v>0</v>
      </c>
      <c r="AL77">
        <f>'Fats Raw Data'!C77-'Fats Raw Data'!M77</f>
        <v>0</v>
      </c>
      <c r="AM77">
        <f>'Fats Raw Data'!D77-'Fats Raw Data'!N77</f>
        <v>0</v>
      </c>
      <c r="AN77">
        <f>'Fats Raw Data'!E77-'Fats Raw Data'!O77</f>
        <v>0</v>
      </c>
      <c r="AO77" t="str">
        <f>'Fats Raw Data'!I77&amp;" - "&amp;'Fats Raw Data'!S77</f>
        <v xml:space="preserve"> - </v>
      </c>
      <c r="AQ77" s="1">
        <f>'Fats Raw Data'!AE77</f>
        <v>0</v>
      </c>
      <c r="AR77">
        <f>'Fats Raw Data'!AF77-'Fats Raw Data'!AZ77</f>
        <v>0</v>
      </c>
      <c r="AS77">
        <f>'Fats Raw Data'!AG77-'Fats Raw Data'!BA77</f>
        <v>0</v>
      </c>
      <c r="AT77">
        <f>'Fats Raw Data'!AH77-'Fats Raw Data'!BB77</f>
        <v>0</v>
      </c>
      <c r="AU77">
        <f>'Fats Raw Data'!AI77-'Fats Raw Data'!BC77</f>
        <v>0</v>
      </c>
      <c r="AV77" t="str">
        <f>'Fats Raw Data'!AM77&amp;" - "&amp;'Fats Raw Data'!BG77</f>
        <v xml:space="preserve"> - </v>
      </c>
      <c r="AX77" s="1">
        <f>'Fats Raw Data'!A77</f>
        <v>0</v>
      </c>
      <c r="AY77">
        <f>'Fats Raw Data'!B77-'Fats Raw Data'!V77</f>
        <v>0</v>
      </c>
      <c r="AZ77">
        <f>'Fats Raw Data'!C77-'Fats Raw Data'!W77</f>
        <v>0</v>
      </c>
      <c r="BA77">
        <f>'Fats Raw Data'!D77-'Fats Raw Data'!X77</f>
        <v>0</v>
      </c>
      <c r="BB77">
        <f>'Fats Raw Data'!E77-'Fats Raw Data'!Y77</f>
        <v>0</v>
      </c>
      <c r="BC77" t="str">
        <f>'Fats Raw Data'!I77&amp;" - "&amp;'Fats Raw Data'!AC77</f>
        <v xml:space="preserve"> - </v>
      </c>
      <c r="BE77" s="1">
        <f>'Fats Raw Data'!K77</f>
        <v>0</v>
      </c>
      <c r="BF77">
        <f>'Fats Raw Data'!L77-'Fats Raw Data'!AF77</f>
        <v>0</v>
      </c>
      <c r="BG77">
        <f>'Fats Raw Data'!M77-'Fats Raw Data'!AG77</f>
        <v>0</v>
      </c>
      <c r="BH77">
        <f>'Fats Raw Data'!N77-'Fats Raw Data'!AH77</f>
        <v>0</v>
      </c>
      <c r="BI77">
        <f>'Fats Raw Data'!O77-'Fats Raw Data'!AI77</f>
        <v>0</v>
      </c>
      <c r="BJ77" t="str">
        <f>'Fats Raw Data'!S77&amp;" - "&amp;'Fats Raw Data'!AM77</f>
        <v xml:space="preserve"> - </v>
      </c>
    </row>
    <row r="78" spans="1:62" x14ac:dyDescent="0.25">
      <c r="A78" s="1">
        <f>'Fats Raw Data'!K78</f>
        <v>0</v>
      </c>
      <c r="B78">
        <f>'Fats Raw Data'!L78-'Fats Raw Data'!V78</f>
        <v>0</v>
      </c>
      <c r="C78">
        <f>'Fats Raw Data'!M78-'Fats Raw Data'!W78</f>
        <v>0</v>
      </c>
      <c r="D78">
        <f>'Fats Raw Data'!N78-'Fats Raw Data'!X78</f>
        <v>0</v>
      </c>
      <c r="E78">
        <f>'Fats Raw Data'!O78-'Fats Raw Data'!Y78</f>
        <v>0</v>
      </c>
      <c r="F78" t="str">
        <f>'Fats Raw Data'!S78&amp;" - "&amp;'Fats Raw Data'!AC78</f>
        <v xml:space="preserve"> - </v>
      </c>
      <c r="H78" s="1">
        <f>'Fats Raw Data'!U78</f>
        <v>0</v>
      </c>
      <c r="I78">
        <f>'Fats Raw Data'!V78-'Fats Raw Data'!AF78</f>
        <v>0</v>
      </c>
      <c r="J78">
        <f>'Fats Raw Data'!W78-'Fats Raw Data'!AG78</f>
        <v>0</v>
      </c>
      <c r="K78">
        <f>'Fats Raw Data'!X78-'Fats Raw Data'!AH78</f>
        <v>0</v>
      </c>
      <c r="L78">
        <f>'Fats Raw Data'!Y78-'Fats Raw Data'!AI78</f>
        <v>0</v>
      </c>
      <c r="M78" t="str">
        <f>'Fats Raw Data'!AC78&amp;" - "&amp;'Fats Raw Data'!AM78</f>
        <v xml:space="preserve"> - </v>
      </c>
      <c r="O78" s="1">
        <f>'Fats Raw Data'!AE78</f>
        <v>0</v>
      </c>
      <c r="P78">
        <f>'Fats Raw Data'!AF78-'Fats Raw Data'!AP78</f>
        <v>0</v>
      </c>
      <c r="Q78">
        <f>'Fats Raw Data'!AG78-'Fats Raw Data'!AQ78</f>
        <v>0</v>
      </c>
      <c r="R78">
        <f>'Fats Raw Data'!AH78-'Fats Raw Data'!AR78</f>
        <v>0</v>
      </c>
      <c r="S78">
        <f>'Fats Raw Data'!AI78-'Fats Raw Data'!AS78</f>
        <v>0</v>
      </c>
      <c r="T78" t="str">
        <f>'Fats Raw Data'!AM78&amp;" - "&amp;'Fats Raw Data'!AW78</f>
        <v xml:space="preserve"> - </v>
      </c>
      <c r="V78" s="1">
        <f>'Fats Raw Data'!AO78</f>
        <v>0</v>
      </c>
      <c r="W78">
        <f>'Fats Raw Data'!AP78-'Fats Raw Data'!AZ78</f>
        <v>0</v>
      </c>
      <c r="X78">
        <f>'Fats Raw Data'!AQ78-'Fats Raw Data'!BA78</f>
        <v>0</v>
      </c>
      <c r="Y78">
        <f>'Fats Raw Data'!AR78-'Fats Raw Data'!BB78</f>
        <v>0</v>
      </c>
      <c r="Z78">
        <f>'Fats Raw Data'!AS78-'Fats Raw Data'!BC78</f>
        <v>0</v>
      </c>
      <c r="AA78" t="str">
        <f>'Fats Raw Data'!AW78&amp;" - "&amp;'Fats Raw Data'!BG78</f>
        <v xml:space="preserve"> - </v>
      </c>
      <c r="AC78" s="1">
        <f>'Fats Raw Data'!AY78</f>
        <v>0</v>
      </c>
      <c r="AD78">
        <f>'Fats Raw Data'!AZ78-'Fats Raw Data'!B78</f>
        <v>0</v>
      </c>
      <c r="AE78">
        <f>'Fats Raw Data'!BA78-'Fats Raw Data'!C78</f>
        <v>0</v>
      </c>
      <c r="AF78">
        <f>'Fats Raw Data'!BB78-'Fats Raw Data'!D78</f>
        <v>0</v>
      </c>
      <c r="AG78">
        <f>'Fats Raw Data'!BC78-'Fats Raw Data'!E78</f>
        <v>0</v>
      </c>
      <c r="AH78" t="str">
        <f>'Fats Raw Data'!BG78&amp;" - "&amp;'Fats Raw Data'!I78</f>
        <v xml:space="preserve"> - </v>
      </c>
      <c r="AJ78" s="1">
        <f>'Fats Raw Data'!A78</f>
        <v>0</v>
      </c>
      <c r="AK78">
        <f>'Fats Raw Data'!B78-'Fats Raw Data'!L78</f>
        <v>0</v>
      </c>
      <c r="AL78">
        <f>'Fats Raw Data'!C78-'Fats Raw Data'!M78</f>
        <v>0</v>
      </c>
      <c r="AM78">
        <f>'Fats Raw Data'!D78-'Fats Raw Data'!N78</f>
        <v>0</v>
      </c>
      <c r="AN78">
        <f>'Fats Raw Data'!E78-'Fats Raw Data'!O78</f>
        <v>0</v>
      </c>
      <c r="AO78" t="str">
        <f>'Fats Raw Data'!I78&amp;" - "&amp;'Fats Raw Data'!S78</f>
        <v xml:space="preserve"> - </v>
      </c>
      <c r="AQ78" s="1">
        <f>'Fats Raw Data'!AE78</f>
        <v>0</v>
      </c>
      <c r="AR78">
        <f>'Fats Raw Data'!AF78-'Fats Raw Data'!AZ78</f>
        <v>0</v>
      </c>
      <c r="AS78">
        <f>'Fats Raw Data'!AG78-'Fats Raw Data'!BA78</f>
        <v>0</v>
      </c>
      <c r="AT78">
        <f>'Fats Raw Data'!AH78-'Fats Raw Data'!BB78</f>
        <v>0</v>
      </c>
      <c r="AU78">
        <f>'Fats Raw Data'!AI78-'Fats Raw Data'!BC78</f>
        <v>0</v>
      </c>
      <c r="AV78" t="str">
        <f>'Fats Raw Data'!AM78&amp;" - "&amp;'Fats Raw Data'!BG78</f>
        <v xml:space="preserve"> - </v>
      </c>
      <c r="AX78" s="1">
        <f>'Fats Raw Data'!A78</f>
        <v>0</v>
      </c>
      <c r="AY78">
        <f>'Fats Raw Data'!B78-'Fats Raw Data'!V78</f>
        <v>0</v>
      </c>
      <c r="AZ78">
        <f>'Fats Raw Data'!C78-'Fats Raw Data'!W78</f>
        <v>0</v>
      </c>
      <c r="BA78">
        <f>'Fats Raw Data'!D78-'Fats Raw Data'!X78</f>
        <v>0</v>
      </c>
      <c r="BB78">
        <f>'Fats Raw Data'!E78-'Fats Raw Data'!Y78</f>
        <v>0</v>
      </c>
      <c r="BC78" t="str">
        <f>'Fats Raw Data'!I78&amp;" - "&amp;'Fats Raw Data'!AC78</f>
        <v xml:space="preserve"> - </v>
      </c>
      <c r="BE78" s="1">
        <f>'Fats Raw Data'!K78</f>
        <v>0</v>
      </c>
      <c r="BF78">
        <f>'Fats Raw Data'!L78-'Fats Raw Data'!AF78</f>
        <v>0</v>
      </c>
      <c r="BG78">
        <f>'Fats Raw Data'!M78-'Fats Raw Data'!AG78</f>
        <v>0</v>
      </c>
      <c r="BH78">
        <f>'Fats Raw Data'!N78-'Fats Raw Data'!AH78</f>
        <v>0</v>
      </c>
      <c r="BI78">
        <f>'Fats Raw Data'!O78-'Fats Raw Data'!AI78</f>
        <v>0</v>
      </c>
      <c r="BJ78" t="str">
        <f>'Fats Raw Data'!S78&amp;" - "&amp;'Fats Raw Data'!AM78</f>
        <v xml:space="preserve"> - </v>
      </c>
    </row>
    <row r="79" spans="1:62" x14ac:dyDescent="0.25">
      <c r="A79" s="1">
        <f>'Fats Raw Data'!K79</f>
        <v>0</v>
      </c>
      <c r="B79">
        <f>'Fats Raw Data'!L79-'Fats Raw Data'!V79</f>
        <v>0</v>
      </c>
      <c r="C79">
        <f>'Fats Raw Data'!M79-'Fats Raw Data'!W79</f>
        <v>0</v>
      </c>
      <c r="D79">
        <f>'Fats Raw Data'!N79-'Fats Raw Data'!X79</f>
        <v>0</v>
      </c>
      <c r="E79">
        <f>'Fats Raw Data'!O79-'Fats Raw Data'!Y79</f>
        <v>0</v>
      </c>
      <c r="F79" t="str">
        <f>'Fats Raw Data'!S79&amp;" - "&amp;'Fats Raw Data'!AC79</f>
        <v xml:space="preserve"> - </v>
      </c>
      <c r="H79" s="1">
        <f>'Fats Raw Data'!U79</f>
        <v>0</v>
      </c>
      <c r="I79">
        <f>'Fats Raw Data'!V79-'Fats Raw Data'!AF79</f>
        <v>0</v>
      </c>
      <c r="J79">
        <f>'Fats Raw Data'!W79-'Fats Raw Data'!AG79</f>
        <v>0</v>
      </c>
      <c r="K79">
        <f>'Fats Raw Data'!X79-'Fats Raw Data'!AH79</f>
        <v>0</v>
      </c>
      <c r="L79">
        <f>'Fats Raw Data'!Y79-'Fats Raw Data'!AI79</f>
        <v>0</v>
      </c>
      <c r="M79" t="str">
        <f>'Fats Raw Data'!AC79&amp;" - "&amp;'Fats Raw Data'!AM79</f>
        <v xml:space="preserve"> - </v>
      </c>
      <c r="O79" s="1">
        <f>'Fats Raw Data'!AE79</f>
        <v>0</v>
      </c>
      <c r="P79">
        <f>'Fats Raw Data'!AF79-'Fats Raw Data'!AP79</f>
        <v>0</v>
      </c>
      <c r="Q79">
        <f>'Fats Raw Data'!AG79-'Fats Raw Data'!AQ79</f>
        <v>0</v>
      </c>
      <c r="R79">
        <f>'Fats Raw Data'!AH79-'Fats Raw Data'!AR79</f>
        <v>0</v>
      </c>
      <c r="S79">
        <f>'Fats Raw Data'!AI79-'Fats Raw Data'!AS79</f>
        <v>0</v>
      </c>
      <c r="T79" t="str">
        <f>'Fats Raw Data'!AM79&amp;" - "&amp;'Fats Raw Data'!AW79</f>
        <v xml:space="preserve"> - </v>
      </c>
      <c r="V79" s="1">
        <f>'Fats Raw Data'!AO79</f>
        <v>0</v>
      </c>
      <c r="W79">
        <f>'Fats Raw Data'!AP79-'Fats Raw Data'!AZ79</f>
        <v>0</v>
      </c>
      <c r="X79">
        <f>'Fats Raw Data'!AQ79-'Fats Raw Data'!BA79</f>
        <v>0</v>
      </c>
      <c r="Y79">
        <f>'Fats Raw Data'!AR79-'Fats Raw Data'!BB79</f>
        <v>0</v>
      </c>
      <c r="Z79">
        <f>'Fats Raw Data'!AS79-'Fats Raw Data'!BC79</f>
        <v>0</v>
      </c>
      <c r="AA79" t="str">
        <f>'Fats Raw Data'!AW79&amp;" - "&amp;'Fats Raw Data'!BG79</f>
        <v xml:space="preserve"> - </v>
      </c>
      <c r="AC79" s="1">
        <f>'Fats Raw Data'!AY79</f>
        <v>0</v>
      </c>
      <c r="AD79">
        <f>'Fats Raw Data'!AZ79-'Fats Raw Data'!B79</f>
        <v>0</v>
      </c>
      <c r="AE79">
        <f>'Fats Raw Data'!BA79-'Fats Raw Data'!C79</f>
        <v>0</v>
      </c>
      <c r="AF79">
        <f>'Fats Raw Data'!BB79-'Fats Raw Data'!D79</f>
        <v>0</v>
      </c>
      <c r="AG79">
        <f>'Fats Raw Data'!BC79-'Fats Raw Data'!E79</f>
        <v>0</v>
      </c>
      <c r="AH79" t="str">
        <f>'Fats Raw Data'!BG79&amp;" - "&amp;'Fats Raw Data'!I79</f>
        <v xml:space="preserve"> - </v>
      </c>
      <c r="AJ79" s="1">
        <f>'Fats Raw Data'!A79</f>
        <v>0</v>
      </c>
      <c r="AK79">
        <f>'Fats Raw Data'!B79-'Fats Raw Data'!L79</f>
        <v>0</v>
      </c>
      <c r="AL79">
        <f>'Fats Raw Data'!C79-'Fats Raw Data'!M79</f>
        <v>0</v>
      </c>
      <c r="AM79">
        <f>'Fats Raw Data'!D79-'Fats Raw Data'!N79</f>
        <v>0</v>
      </c>
      <c r="AN79">
        <f>'Fats Raw Data'!E79-'Fats Raw Data'!O79</f>
        <v>0</v>
      </c>
      <c r="AO79" t="str">
        <f>'Fats Raw Data'!I79&amp;" - "&amp;'Fats Raw Data'!S79</f>
        <v xml:space="preserve"> - </v>
      </c>
      <c r="AQ79" s="1">
        <f>'Fats Raw Data'!AE79</f>
        <v>0</v>
      </c>
      <c r="AR79">
        <f>'Fats Raw Data'!AF79-'Fats Raw Data'!AZ79</f>
        <v>0</v>
      </c>
      <c r="AS79">
        <f>'Fats Raw Data'!AG79-'Fats Raw Data'!BA79</f>
        <v>0</v>
      </c>
      <c r="AT79">
        <f>'Fats Raw Data'!AH79-'Fats Raw Data'!BB79</f>
        <v>0</v>
      </c>
      <c r="AU79">
        <f>'Fats Raw Data'!AI79-'Fats Raw Data'!BC79</f>
        <v>0</v>
      </c>
      <c r="AV79" t="str">
        <f>'Fats Raw Data'!AM79&amp;" - "&amp;'Fats Raw Data'!BG79</f>
        <v xml:space="preserve"> - </v>
      </c>
      <c r="AX79" s="1">
        <f>'Fats Raw Data'!A79</f>
        <v>0</v>
      </c>
      <c r="AY79">
        <f>'Fats Raw Data'!B79-'Fats Raw Data'!V79</f>
        <v>0</v>
      </c>
      <c r="AZ79">
        <f>'Fats Raw Data'!C79-'Fats Raw Data'!W79</f>
        <v>0</v>
      </c>
      <c r="BA79">
        <f>'Fats Raw Data'!D79-'Fats Raw Data'!X79</f>
        <v>0</v>
      </c>
      <c r="BB79">
        <f>'Fats Raw Data'!E79-'Fats Raw Data'!Y79</f>
        <v>0</v>
      </c>
      <c r="BC79" t="str">
        <f>'Fats Raw Data'!I79&amp;" - "&amp;'Fats Raw Data'!AC79</f>
        <v xml:space="preserve"> - </v>
      </c>
      <c r="BE79" s="1">
        <f>'Fats Raw Data'!K79</f>
        <v>0</v>
      </c>
      <c r="BF79">
        <f>'Fats Raw Data'!L79-'Fats Raw Data'!AF79</f>
        <v>0</v>
      </c>
      <c r="BG79">
        <f>'Fats Raw Data'!M79-'Fats Raw Data'!AG79</f>
        <v>0</v>
      </c>
      <c r="BH79">
        <f>'Fats Raw Data'!N79-'Fats Raw Data'!AH79</f>
        <v>0</v>
      </c>
      <c r="BI79">
        <f>'Fats Raw Data'!O79-'Fats Raw Data'!AI79</f>
        <v>0</v>
      </c>
      <c r="BJ79" t="str">
        <f>'Fats Raw Data'!S79&amp;" - "&amp;'Fats Raw Data'!AM79</f>
        <v xml:space="preserve"> - </v>
      </c>
    </row>
    <row r="80" spans="1:62" x14ac:dyDescent="0.25">
      <c r="A80" s="1">
        <f>'Fats Raw Data'!K80</f>
        <v>0</v>
      </c>
      <c r="B80">
        <f>'Fats Raw Data'!L80-'Fats Raw Data'!V80</f>
        <v>0</v>
      </c>
      <c r="C80">
        <f>'Fats Raw Data'!M80-'Fats Raw Data'!W80</f>
        <v>0</v>
      </c>
      <c r="D80">
        <f>'Fats Raw Data'!N80-'Fats Raw Data'!X80</f>
        <v>0</v>
      </c>
      <c r="E80">
        <f>'Fats Raw Data'!O80-'Fats Raw Data'!Y80</f>
        <v>0</v>
      </c>
      <c r="F80" t="str">
        <f>'Fats Raw Data'!S80&amp;" - "&amp;'Fats Raw Data'!AC80</f>
        <v xml:space="preserve"> - </v>
      </c>
      <c r="H80" s="1">
        <f>'Fats Raw Data'!U80</f>
        <v>0</v>
      </c>
      <c r="I80">
        <f>'Fats Raw Data'!V80-'Fats Raw Data'!AF80</f>
        <v>0</v>
      </c>
      <c r="J80">
        <f>'Fats Raw Data'!W80-'Fats Raw Data'!AG80</f>
        <v>0</v>
      </c>
      <c r="K80">
        <f>'Fats Raw Data'!X80-'Fats Raw Data'!AH80</f>
        <v>0</v>
      </c>
      <c r="L80">
        <f>'Fats Raw Data'!Y80-'Fats Raw Data'!AI80</f>
        <v>0</v>
      </c>
      <c r="M80" t="str">
        <f>'Fats Raw Data'!AC80&amp;" - "&amp;'Fats Raw Data'!AM80</f>
        <v xml:space="preserve"> - </v>
      </c>
      <c r="O80" s="1">
        <f>'Fats Raw Data'!AE80</f>
        <v>0</v>
      </c>
      <c r="P80">
        <f>'Fats Raw Data'!AF80-'Fats Raw Data'!AP80</f>
        <v>0</v>
      </c>
      <c r="Q80">
        <f>'Fats Raw Data'!AG80-'Fats Raw Data'!AQ80</f>
        <v>0</v>
      </c>
      <c r="R80">
        <f>'Fats Raw Data'!AH80-'Fats Raw Data'!AR80</f>
        <v>0</v>
      </c>
      <c r="S80">
        <f>'Fats Raw Data'!AI80-'Fats Raw Data'!AS80</f>
        <v>0</v>
      </c>
      <c r="T80" t="str">
        <f>'Fats Raw Data'!AM80&amp;" - "&amp;'Fats Raw Data'!AW80</f>
        <v xml:space="preserve"> - </v>
      </c>
      <c r="V80" s="1">
        <f>'Fats Raw Data'!AO80</f>
        <v>0</v>
      </c>
      <c r="W80">
        <f>'Fats Raw Data'!AP80-'Fats Raw Data'!AZ80</f>
        <v>0</v>
      </c>
      <c r="X80">
        <f>'Fats Raw Data'!AQ80-'Fats Raw Data'!BA80</f>
        <v>0</v>
      </c>
      <c r="Y80">
        <f>'Fats Raw Data'!AR80-'Fats Raw Data'!BB80</f>
        <v>0</v>
      </c>
      <c r="Z80">
        <f>'Fats Raw Data'!AS80-'Fats Raw Data'!BC80</f>
        <v>0</v>
      </c>
      <c r="AA80" t="str">
        <f>'Fats Raw Data'!AW80&amp;" - "&amp;'Fats Raw Data'!BG80</f>
        <v xml:space="preserve"> - </v>
      </c>
      <c r="AC80" s="1">
        <f>'Fats Raw Data'!AY80</f>
        <v>0</v>
      </c>
      <c r="AD80">
        <f>'Fats Raw Data'!AZ80-'Fats Raw Data'!B80</f>
        <v>0</v>
      </c>
      <c r="AE80">
        <f>'Fats Raw Data'!BA80-'Fats Raw Data'!C80</f>
        <v>0</v>
      </c>
      <c r="AF80">
        <f>'Fats Raw Data'!BB80-'Fats Raw Data'!D80</f>
        <v>0</v>
      </c>
      <c r="AG80">
        <f>'Fats Raw Data'!BC80-'Fats Raw Data'!E80</f>
        <v>0</v>
      </c>
      <c r="AH80" t="str">
        <f>'Fats Raw Data'!BG80&amp;" - "&amp;'Fats Raw Data'!I80</f>
        <v xml:space="preserve"> - </v>
      </c>
      <c r="AJ80" s="1">
        <f>'Fats Raw Data'!A80</f>
        <v>0</v>
      </c>
      <c r="AK80">
        <f>'Fats Raw Data'!B80-'Fats Raw Data'!L80</f>
        <v>0</v>
      </c>
      <c r="AL80">
        <f>'Fats Raw Data'!C80-'Fats Raw Data'!M80</f>
        <v>0</v>
      </c>
      <c r="AM80">
        <f>'Fats Raw Data'!D80-'Fats Raw Data'!N80</f>
        <v>0</v>
      </c>
      <c r="AN80">
        <f>'Fats Raw Data'!E80-'Fats Raw Data'!O80</f>
        <v>0</v>
      </c>
      <c r="AO80" t="str">
        <f>'Fats Raw Data'!I80&amp;" - "&amp;'Fats Raw Data'!S80</f>
        <v xml:space="preserve"> - </v>
      </c>
      <c r="AQ80" s="1">
        <f>'Fats Raw Data'!AE80</f>
        <v>0</v>
      </c>
      <c r="AR80">
        <f>'Fats Raw Data'!AF80-'Fats Raw Data'!AZ80</f>
        <v>0</v>
      </c>
      <c r="AS80">
        <f>'Fats Raw Data'!AG80-'Fats Raw Data'!BA80</f>
        <v>0</v>
      </c>
      <c r="AT80">
        <f>'Fats Raw Data'!AH80-'Fats Raw Data'!BB80</f>
        <v>0</v>
      </c>
      <c r="AU80">
        <f>'Fats Raw Data'!AI80-'Fats Raw Data'!BC80</f>
        <v>0</v>
      </c>
      <c r="AV80" t="str">
        <f>'Fats Raw Data'!AM80&amp;" - "&amp;'Fats Raw Data'!BG80</f>
        <v xml:space="preserve"> - </v>
      </c>
      <c r="AX80" s="1">
        <f>'Fats Raw Data'!A80</f>
        <v>0</v>
      </c>
      <c r="AY80">
        <f>'Fats Raw Data'!B80-'Fats Raw Data'!V80</f>
        <v>0</v>
      </c>
      <c r="AZ80">
        <f>'Fats Raw Data'!C80-'Fats Raw Data'!W80</f>
        <v>0</v>
      </c>
      <c r="BA80">
        <f>'Fats Raw Data'!D80-'Fats Raw Data'!X80</f>
        <v>0</v>
      </c>
      <c r="BB80">
        <f>'Fats Raw Data'!E80-'Fats Raw Data'!Y80</f>
        <v>0</v>
      </c>
      <c r="BC80" t="str">
        <f>'Fats Raw Data'!I80&amp;" - "&amp;'Fats Raw Data'!AC80</f>
        <v xml:space="preserve"> - </v>
      </c>
      <c r="BE80" s="1">
        <f>'Fats Raw Data'!K80</f>
        <v>0</v>
      </c>
      <c r="BF80">
        <f>'Fats Raw Data'!L80-'Fats Raw Data'!AF80</f>
        <v>0</v>
      </c>
      <c r="BG80">
        <f>'Fats Raw Data'!M80-'Fats Raw Data'!AG80</f>
        <v>0</v>
      </c>
      <c r="BH80">
        <f>'Fats Raw Data'!N80-'Fats Raw Data'!AH80</f>
        <v>0</v>
      </c>
      <c r="BI80">
        <f>'Fats Raw Data'!O80-'Fats Raw Data'!AI80</f>
        <v>0</v>
      </c>
      <c r="BJ80" t="str">
        <f>'Fats Raw Data'!S80&amp;" - "&amp;'Fats Raw Data'!AM80</f>
        <v xml:space="preserve"> - </v>
      </c>
    </row>
    <row r="81" spans="1:62" x14ac:dyDescent="0.25">
      <c r="A81" s="1">
        <f>'Fats Raw Data'!K81</f>
        <v>0</v>
      </c>
      <c r="B81">
        <f>'Fats Raw Data'!L81-'Fats Raw Data'!V81</f>
        <v>0</v>
      </c>
      <c r="C81">
        <f>'Fats Raw Data'!M81-'Fats Raw Data'!W81</f>
        <v>0</v>
      </c>
      <c r="D81">
        <f>'Fats Raw Data'!N81-'Fats Raw Data'!X81</f>
        <v>0</v>
      </c>
      <c r="E81">
        <f>'Fats Raw Data'!O81-'Fats Raw Data'!Y81</f>
        <v>0</v>
      </c>
      <c r="F81" t="str">
        <f>'Fats Raw Data'!S81&amp;" - "&amp;'Fats Raw Data'!AC81</f>
        <v xml:space="preserve"> - </v>
      </c>
      <c r="H81" s="1">
        <f>'Fats Raw Data'!U81</f>
        <v>0</v>
      </c>
      <c r="I81">
        <f>'Fats Raw Data'!V81-'Fats Raw Data'!AF81</f>
        <v>0</v>
      </c>
      <c r="J81">
        <f>'Fats Raw Data'!W81-'Fats Raw Data'!AG81</f>
        <v>0</v>
      </c>
      <c r="K81">
        <f>'Fats Raw Data'!X81-'Fats Raw Data'!AH81</f>
        <v>0</v>
      </c>
      <c r="L81">
        <f>'Fats Raw Data'!Y81-'Fats Raw Data'!AI81</f>
        <v>0</v>
      </c>
      <c r="M81" t="str">
        <f>'Fats Raw Data'!AC81&amp;" - "&amp;'Fats Raw Data'!AM81</f>
        <v xml:space="preserve"> - </v>
      </c>
      <c r="O81" s="1">
        <f>'Fats Raw Data'!AE81</f>
        <v>0</v>
      </c>
      <c r="P81">
        <f>'Fats Raw Data'!AF81-'Fats Raw Data'!AP81</f>
        <v>0</v>
      </c>
      <c r="Q81">
        <f>'Fats Raw Data'!AG81-'Fats Raw Data'!AQ81</f>
        <v>0</v>
      </c>
      <c r="R81">
        <f>'Fats Raw Data'!AH81-'Fats Raw Data'!AR81</f>
        <v>0</v>
      </c>
      <c r="S81">
        <f>'Fats Raw Data'!AI81-'Fats Raw Data'!AS81</f>
        <v>0</v>
      </c>
      <c r="T81" t="str">
        <f>'Fats Raw Data'!AM81&amp;" - "&amp;'Fats Raw Data'!AW81</f>
        <v xml:space="preserve"> - </v>
      </c>
      <c r="V81" s="1">
        <f>'Fats Raw Data'!AO81</f>
        <v>0</v>
      </c>
      <c r="W81">
        <f>'Fats Raw Data'!AP81-'Fats Raw Data'!AZ81</f>
        <v>0</v>
      </c>
      <c r="X81">
        <f>'Fats Raw Data'!AQ81-'Fats Raw Data'!BA81</f>
        <v>0</v>
      </c>
      <c r="Y81">
        <f>'Fats Raw Data'!AR81-'Fats Raw Data'!BB81</f>
        <v>0</v>
      </c>
      <c r="Z81">
        <f>'Fats Raw Data'!AS81-'Fats Raw Data'!BC81</f>
        <v>0</v>
      </c>
      <c r="AA81" t="str">
        <f>'Fats Raw Data'!AW81&amp;" - "&amp;'Fats Raw Data'!BG81</f>
        <v xml:space="preserve"> - </v>
      </c>
      <c r="AC81" s="1">
        <f>'Fats Raw Data'!AY81</f>
        <v>0</v>
      </c>
      <c r="AD81">
        <f>'Fats Raw Data'!AZ81-'Fats Raw Data'!B81</f>
        <v>0</v>
      </c>
      <c r="AE81">
        <f>'Fats Raw Data'!BA81-'Fats Raw Data'!C81</f>
        <v>0</v>
      </c>
      <c r="AF81">
        <f>'Fats Raw Data'!BB81-'Fats Raw Data'!D81</f>
        <v>0</v>
      </c>
      <c r="AG81">
        <f>'Fats Raw Data'!BC81-'Fats Raw Data'!E81</f>
        <v>0</v>
      </c>
      <c r="AH81" t="str">
        <f>'Fats Raw Data'!BG81&amp;" - "&amp;'Fats Raw Data'!I81</f>
        <v xml:space="preserve"> - </v>
      </c>
      <c r="AJ81" s="1">
        <f>'Fats Raw Data'!A81</f>
        <v>0</v>
      </c>
      <c r="AK81">
        <f>'Fats Raw Data'!B81-'Fats Raw Data'!L81</f>
        <v>0</v>
      </c>
      <c r="AL81">
        <f>'Fats Raw Data'!C81-'Fats Raw Data'!M81</f>
        <v>0</v>
      </c>
      <c r="AM81">
        <f>'Fats Raw Data'!D81-'Fats Raw Data'!N81</f>
        <v>0</v>
      </c>
      <c r="AN81">
        <f>'Fats Raw Data'!E81-'Fats Raw Data'!O81</f>
        <v>0</v>
      </c>
      <c r="AO81" t="str">
        <f>'Fats Raw Data'!I81&amp;" - "&amp;'Fats Raw Data'!S81</f>
        <v xml:space="preserve"> - </v>
      </c>
      <c r="AQ81" s="1">
        <f>'Fats Raw Data'!AE81</f>
        <v>0</v>
      </c>
      <c r="AR81">
        <f>'Fats Raw Data'!AF81-'Fats Raw Data'!AZ81</f>
        <v>0</v>
      </c>
      <c r="AS81">
        <f>'Fats Raw Data'!AG81-'Fats Raw Data'!BA81</f>
        <v>0</v>
      </c>
      <c r="AT81">
        <f>'Fats Raw Data'!AH81-'Fats Raw Data'!BB81</f>
        <v>0</v>
      </c>
      <c r="AU81">
        <f>'Fats Raw Data'!AI81-'Fats Raw Data'!BC81</f>
        <v>0</v>
      </c>
      <c r="AV81" t="str">
        <f>'Fats Raw Data'!AM81&amp;" - "&amp;'Fats Raw Data'!BG81</f>
        <v xml:space="preserve"> - </v>
      </c>
      <c r="AX81" s="1">
        <f>'Fats Raw Data'!A81</f>
        <v>0</v>
      </c>
      <c r="AY81">
        <f>'Fats Raw Data'!B81-'Fats Raw Data'!V81</f>
        <v>0</v>
      </c>
      <c r="AZ81">
        <f>'Fats Raw Data'!C81-'Fats Raw Data'!W81</f>
        <v>0</v>
      </c>
      <c r="BA81">
        <f>'Fats Raw Data'!D81-'Fats Raw Data'!X81</f>
        <v>0</v>
      </c>
      <c r="BB81">
        <f>'Fats Raw Data'!E81-'Fats Raw Data'!Y81</f>
        <v>0</v>
      </c>
      <c r="BC81" t="str">
        <f>'Fats Raw Data'!I81&amp;" - "&amp;'Fats Raw Data'!AC81</f>
        <v xml:space="preserve"> - </v>
      </c>
      <c r="BE81" s="1">
        <f>'Fats Raw Data'!K81</f>
        <v>0</v>
      </c>
      <c r="BF81">
        <f>'Fats Raw Data'!L81-'Fats Raw Data'!AF81</f>
        <v>0</v>
      </c>
      <c r="BG81">
        <f>'Fats Raw Data'!M81-'Fats Raw Data'!AG81</f>
        <v>0</v>
      </c>
      <c r="BH81">
        <f>'Fats Raw Data'!N81-'Fats Raw Data'!AH81</f>
        <v>0</v>
      </c>
      <c r="BI81">
        <f>'Fats Raw Data'!O81-'Fats Raw Data'!AI81</f>
        <v>0</v>
      </c>
      <c r="BJ81" t="str">
        <f>'Fats Raw Data'!S81&amp;" - "&amp;'Fats Raw Data'!AM81</f>
        <v xml:space="preserve"> - </v>
      </c>
    </row>
    <row r="82" spans="1:62" x14ac:dyDescent="0.25">
      <c r="A82" s="1">
        <f>'Fats Raw Data'!K82</f>
        <v>0</v>
      </c>
      <c r="B82">
        <f>'Fats Raw Data'!L82-'Fats Raw Data'!V82</f>
        <v>0</v>
      </c>
      <c r="C82">
        <f>'Fats Raw Data'!M82-'Fats Raw Data'!W82</f>
        <v>0</v>
      </c>
      <c r="D82">
        <f>'Fats Raw Data'!N82-'Fats Raw Data'!X82</f>
        <v>0</v>
      </c>
      <c r="E82">
        <f>'Fats Raw Data'!O82-'Fats Raw Data'!Y82</f>
        <v>0</v>
      </c>
      <c r="F82" t="str">
        <f>'Fats Raw Data'!S82&amp;" - "&amp;'Fats Raw Data'!AC82</f>
        <v xml:space="preserve"> - </v>
      </c>
      <c r="H82" s="1">
        <f>'Fats Raw Data'!U82</f>
        <v>0</v>
      </c>
      <c r="I82">
        <f>'Fats Raw Data'!V82-'Fats Raw Data'!AF82</f>
        <v>0</v>
      </c>
      <c r="J82">
        <f>'Fats Raw Data'!W82-'Fats Raw Data'!AG82</f>
        <v>0</v>
      </c>
      <c r="K82">
        <f>'Fats Raw Data'!X82-'Fats Raw Data'!AH82</f>
        <v>0</v>
      </c>
      <c r="L82">
        <f>'Fats Raw Data'!Y82-'Fats Raw Data'!AI82</f>
        <v>0</v>
      </c>
      <c r="M82" t="str">
        <f>'Fats Raw Data'!AC82&amp;" - "&amp;'Fats Raw Data'!AM82</f>
        <v xml:space="preserve"> - </v>
      </c>
      <c r="O82" s="1">
        <f>'Fats Raw Data'!AE82</f>
        <v>0</v>
      </c>
      <c r="P82">
        <f>'Fats Raw Data'!AF82-'Fats Raw Data'!AP82</f>
        <v>0</v>
      </c>
      <c r="Q82">
        <f>'Fats Raw Data'!AG82-'Fats Raw Data'!AQ82</f>
        <v>0</v>
      </c>
      <c r="R82">
        <f>'Fats Raw Data'!AH82-'Fats Raw Data'!AR82</f>
        <v>0</v>
      </c>
      <c r="S82">
        <f>'Fats Raw Data'!AI82-'Fats Raw Data'!AS82</f>
        <v>0</v>
      </c>
      <c r="T82" t="str">
        <f>'Fats Raw Data'!AM82&amp;" - "&amp;'Fats Raw Data'!AW82</f>
        <v xml:space="preserve"> - </v>
      </c>
      <c r="V82" s="1">
        <f>'Fats Raw Data'!AO82</f>
        <v>0</v>
      </c>
      <c r="W82">
        <f>'Fats Raw Data'!AP82-'Fats Raw Data'!AZ82</f>
        <v>0</v>
      </c>
      <c r="X82">
        <f>'Fats Raw Data'!AQ82-'Fats Raw Data'!BA82</f>
        <v>0</v>
      </c>
      <c r="Y82">
        <f>'Fats Raw Data'!AR82-'Fats Raw Data'!BB82</f>
        <v>0</v>
      </c>
      <c r="Z82">
        <f>'Fats Raw Data'!AS82-'Fats Raw Data'!BC82</f>
        <v>0</v>
      </c>
      <c r="AA82" t="str">
        <f>'Fats Raw Data'!AW82&amp;" - "&amp;'Fats Raw Data'!BG82</f>
        <v xml:space="preserve"> - </v>
      </c>
      <c r="AC82" s="1">
        <f>'Fats Raw Data'!AY82</f>
        <v>0</v>
      </c>
      <c r="AD82">
        <f>'Fats Raw Data'!AZ82-'Fats Raw Data'!B82</f>
        <v>0</v>
      </c>
      <c r="AE82">
        <f>'Fats Raw Data'!BA82-'Fats Raw Data'!C82</f>
        <v>0</v>
      </c>
      <c r="AF82">
        <f>'Fats Raw Data'!BB82-'Fats Raw Data'!D82</f>
        <v>0</v>
      </c>
      <c r="AG82">
        <f>'Fats Raw Data'!BC82-'Fats Raw Data'!E82</f>
        <v>0</v>
      </c>
      <c r="AH82" t="str">
        <f>'Fats Raw Data'!BG82&amp;" - "&amp;'Fats Raw Data'!I82</f>
        <v xml:space="preserve"> - </v>
      </c>
      <c r="AJ82" s="1">
        <f>'Fats Raw Data'!A82</f>
        <v>0</v>
      </c>
      <c r="AK82">
        <f>'Fats Raw Data'!B82-'Fats Raw Data'!L82</f>
        <v>0</v>
      </c>
      <c r="AL82">
        <f>'Fats Raw Data'!C82-'Fats Raw Data'!M82</f>
        <v>0</v>
      </c>
      <c r="AM82">
        <f>'Fats Raw Data'!D82-'Fats Raw Data'!N82</f>
        <v>0</v>
      </c>
      <c r="AN82">
        <f>'Fats Raw Data'!E82-'Fats Raw Data'!O82</f>
        <v>0</v>
      </c>
      <c r="AO82" t="str">
        <f>'Fats Raw Data'!I82&amp;" - "&amp;'Fats Raw Data'!S82</f>
        <v xml:space="preserve"> - </v>
      </c>
      <c r="AQ82" s="1">
        <f>'Fats Raw Data'!AE82</f>
        <v>0</v>
      </c>
      <c r="AR82">
        <f>'Fats Raw Data'!AF82-'Fats Raw Data'!AZ82</f>
        <v>0</v>
      </c>
      <c r="AS82">
        <f>'Fats Raw Data'!AG82-'Fats Raw Data'!BA82</f>
        <v>0</v>
      </c>
      <c r="AT82">
        <f>'Fats Raw Data'!AH82-'Fats Raw Data'!BB82</f>
        <v>0</v>
      </c>
      <c r="AU82">
        <f>'Fats Raw Data'!AI82-'Fats Raw Data'!BC82</f>
        <v>0</v>
      </c>
      <c r="AV82" t="str">
        <f>'Fats Raw Data'!AM82&amp;" - "&amp;'Fats Raw Data'!BG82</f>
        <v xml:space="preserve"> - </v>
      </c>
      <c r="AX82" s="1">
        <f>'Fats Raw Data'!A82</f>
        <v>0</v>
      </c>
      <c r="AY82">
        <f>'Fats Raw Data'!B82-'Fats Raw Data'!V82</f>
        <v>0</v>
      </c>
      <c r="AZ82">
        <f>'Fats Raw Data'!C82-'Fats Raw Data'!W82</f>
        <v>0</v>
      </c>
      <c r="BA82">
        <f>'Fats Raw Data'!D82-'Fats Raw Data'!X82</f>
        <v>0</v>
      </c>
      <c r="BB82">
        <f>'Fats Raw Data'!E82-'Fats Raw Data'!Y82</f>
        <v>0</v>
      </c>
      <c r="BC82" t="str">
        <f>'Fats Raw Data'!I82&amp;" - "&amp;'Fats Raw Data'!AC82</f>
        <v xml:space="preserve"> - </v>
      </c>
      <c r="BE82" s="1">
        <f>'Fats Raw Data'!K82</f>
        <v>0</v>
      </c>
      <c r="BF82">
        <f>'Fats Raw Data'!L82-'Fats Raw Data'!AF82</f>
        <v>0</v>
      </c>
      <c r="BG82">
        <f>'Fats Raw Data'!M82-'Fats Raw Data'!AG82</f>
        <v>0</v>
      </c>
      <c r="BH82">
        <f>'Fats Raw Data'!N82-'Fats Raw Data'!AH82</f>
        <v>0</v>
      </c>
      <c r="BI82">
        <f>'Fats Raw Data'!O82-'Fats Raw Data'!AI82</f>
        <v>0</v>
      </c>
      <c r="BJ82" t="str">
        <f>'Fats Raw Data'!S82&amp;" - "&amp;'Fats Raw Data'!AM82</f>
        <v xml:space="preserve"> - </v>
      </c>
    </row>
    <row r="83" spans="1:62" x14ac:dyDescent="0.25">
      <c r="A83" s="1">
        <f>'Fats Raw Data'!K83</f>
        <v>0</v>
      </c>
      <c r="B83">
        <f>'Fats Raw Data'!L83-'Fats Raw Data'!V83</f>
        <v>0</v>
      </c>
      <c r="C83">
        <f>'Fats Raw Data'!M83-'Fats Raw Data'!W83</f>
        <v>0</v>
      </c>
      <c r="D83">
        <f>'Fats Raw Data'!N83-'Fats Raw Data'!X83</f>
        <v>0</v>
      </c>
      <c r="E83">
        <f>'Fats Raw Data'!O83-'Fats Raw Data'!Y83</f>
        <v>0</v>
      </c>
      <c r="F83" t="str">
        <f>'Fats Raw Data'!S83&amp;" - "&amp;'Fats Raw Data'!AC83</f>
        <v xml:space="preserve"> - </v>
      </c>
      <c r="H83" s="1">
        <f>'Fats Raw Data'!U83</f>
        <v>0</v>
      </c>
      <c r="I83">
        <f>'Fats Raw Data'!V83-'Fats Raw Data'!AF83</f>
        <v>0</v>
      </c>
      <c r="J83">
        <f>'Fats Raw Data'!W83-'Fats Raw Data'!AG83</f>
        <v>0</v>
      </c>
      <c r="K83">
        <f>'Fats Raw Data'!X83-'Fats Raw Data'!AH83</f>
        <v>0</v>
      </c>
      <c r="L83">
        <f>'Fats Raw Data'!Y83-'Fats Raw Data'!AI83</f>
        <v>0</v>
      </c>
      <c r="M83" t="str">
        <f>'Fats Raw Data'!AC83&amp;" - "&amp;'Fats Raw Data'!AM83</f>
        <v xml:space="preserve"> - </v>
      </c>
      <c r="O83" s="1">
        <f>'Fats Raw Data'!AE83</f>
        <v>0</v>
      </c>
      <c r="P83">
        <f>'Fats Raw Data'!AF83-'Fats Raw Data'!AP83</f>
        <v>0</v>
      </c>
      <c r="Q83">
        <f>'Fats Raw Data'!AG83-'Fats Raw Data'!AQ83</f>
        <v>0</v>
      </c>
      <c r="R83">
        <f>'Fats Raw Data'!AH83-'Fats Raw Data'!AR83</f>
        <v>0</v>
      </c>
      <c r="S83">
        <f>'Fats Raw Data'!AI83-'Fats Raw Data'!AS83</f>
        <v>0</v>
      </c>
      <c r="T83" t="str">
        <f>'Fats Raw Data'!AM83&amp;" - "&amp;'Fats Raw Data'!AW83</f>
        <v xml:space="preserve"> - </v>
      </c>
      <c r="V83" s="1">
        <f>'Fats Raw Data'!AO83</f>
        <v>0</v>
      </c>
      <c r="W83">
        <f>'Fats Raw Data'!AP83-'Fats Raw Data'!AZ83</f>
        <v>0</v>
      </c>
      <c r="X83">
        <f>'Fats Raw Data'!AQ83-'Fats Raw Data'!BA83</f>
        <v>0</v>
      </c>
      <c r="Y83">
        <f>'Fats Raw Data'!AR83-'Fats Raw Data'!BB83</f>
        <v>0</v>
      </c>
      <c r="Z83">
        <f>'Fats Raw Data'!AS83-'Fats Raw Data'!BC83</f>
        <v>0</v>
      </c>
      <c r="AA83" t="str">
        <f>'Fats Raw Data'!AW83&amp;" - "&amp;'Fats Raw Data'!BG83</f>
        <v xml:space="preserve"> - </v>
      </c>
      <c r="AC83" s="1">
        <f>'Fats Raw Data'!AY83</f>
        <v>0</v>
      </c>
      <c r="AD83">
        <f>'Fats Raw Data'!AZ83-'Fats Raw Data'!B83</f>
        <v>0</v>
      </c>
      <c r="AE83">
        <f>'Fats Raw Data'!BA83-'Fats Raw Data'!C83</f>
        <v>0</v>
      </c>
      <c r="AF83">
        <f>'Fats Raw Data'!BB83-'Fats Raw Data'!D83</f>
        <v>0</v>
      </c>
      <c r="AG83">
        <f>'Fats Raw Data'!BC83-'Fats Raw Data'!E83</f>
        <v>0</v>
      </c>
      <c r="AH83" t="str">
        <f>'Fats Raw Data'!BG83&amp;" - "&amp;'Fats Raw Data'!I83</f>
        <v xml:space="preserve"> - </v>
      </c>
      <c r="AJ83" s="1">
        <f>'Fats Raw Data'!A83</f>
        <v>0</v>
      </c>
      <c r="AK83">
        <f>'Fats Raw Data'!B83-'Fats Raw Data'!L83</f>
        <v>0</v>
      </c>
      <c r="AL83">
        <f>'Fats Raw Data'!C83-'Fats Raw Data'!M83</f>
        <v>0</v>
      </c>
      <c r="AM83">
        <f>'Fats Raw Data'!D83-'Fats Raw Data'!N83</f>
        <v>0</v>
      </c>
      <c r="AN83">
        <f>'Fats Raw Data'!E83-'Fats Raw Data'!O83</f>
        <v>0</v>
      </c>
      <c r="AO83" t="str">
        <f>'Fats Raw Data'!I83&amp;" - "&amp;'Fats Raw Data'!S83</f>
        <v xml:space="preserve"> - </v>
      </c>
      <c r="AQ83" s="1">
        <f>'Fats Raw Data'!AE83</f>
        <v>0</v>
      </c>
      <c r="AR83">
        <f>'Fats Raw Data'!AF83-'Fats Raw Data'!AZ83</f>
        <v>0</v>
      </c>
      <c r="AS83">
        <f>'Fats Raw Data'!AG83-'Fats Raw Data'!BA83</f>
        <v>0</v>
      </c>
      <c r="AT83">
        <f>'Fats Raw Data'!AH83-'Fats Raw Data'!BB83</f>
        <v>0</v>
      </c>
      <c r="AU83">
        <f>'Fats Raw Data'!AI83-'Fats Raw Data'!BC83</f>
        <v>0</v>
      </c>
      <c r="AV83" t="str">
        <f>'Fats Raw Data'!AM83&amp;" - "&amp;'Fats Raw Data'!BG83</f>
        <v xml:space="preserve"> - </v>
      </c>
      <c r="AX83" s="1">
        <f>'Fats Raw Data'!A83</f>
        <v>0</v>
      </c>
      <c r="AY83">
        <f>'Fats Raw Data'!B83-'Fats Raw Data'!V83</f>
        <v>0</v>
      </c>
      <c r="AZ83">
        <f>'Fats Raw Data'!C83-'Fats Raw Data'!W83</f>
        <v>0</v>
      </c>
      <c r="BA83">
        <f>'Fats Raw Data'!D83-'Fats Raw Data'!X83</f>
        <v>0</v>
      </c>
      <c r="BB83">
        <f>'Fats Raw Data'!E83-'Fats Raw Data'!Y83</f>
        <v>0</v>
      </c>
      <c r="BC83" t="str">
        <f>'Fats Raw Data'!I83&amp;" - "&amp;'Fats Raw Data'!AC83</f>
        <v xml:space="preserve"> - </v>
      </c>
      <c r="BE83" s="1">
        <f>'Fats Raw Data'!K83</f>
        <v>0</v>
      </c>
      <c r="BF83">
        <f>'Fats Raw Data'!L83-'Fats Raw Data'!AF83</f>
        <v>0</v>
      </c>
      <c r="BG83">
        <f>'Fats Raw Data'!M83-'Fats Raw Data'!AG83</f>
        <v>0</v>
      </c>
      <c r="BH83">
        <f>'Fats Raw Data'!N83-'Fats Raw Data'!AH83</f>
        <v>0</v>
      </c>
      <c r="BI83">
        <f>'Fats Raw Data'!O83-'Fats Raw Data'!AI83</f>
        <v>0</v>
      </c>
      <c r="BJ83" t="str">
        <f>'Fats Raw Data'!S83&amp;" - "&amp;'Fats Raw Data'!AM83</f>
        <v xml:space="preserve"> - </v>
      </c>
    </row>
    <row r="84" spans="1:62" x14ac:dyDescent="0.25">
      <c r="A84" s="1">
        <f>'Fats Raw Data'!K84</f>
        <v>0</v>
      </c>
      <c r="B84">
        <f>'Fats Raw Data'!L84-'Fats Raw Data'!V84</f>
        <v>0</v>
      </c>
      <c r="C84">
        <f>'Fats Raw Data'!M84-'Fats Raw Data'!W84</f>
        <v>0</v>
      </c>
      <c r="D84">
        <f>'Fats Raw Data'!N84-'Fats Raw Data'!X84</f>
        <v>0</v>
      </c>
      <c r="E84">
        <f>'Fats Raw Data'!O84-'Fats Raw Data'!Y84</f>
        <v>0</v>
      </c>
      <c r="F84" t="str">
        <f>'Fats Raw Data'!S84&amp;" - "&amp;'Fats Raw Data'!AC84</f>
        <v xml:space="preserve"> - </v>
      </c>
      <c r="H84" s="1">
        <f>'Fats Raw Data'!U84</f>
        <v>0</v>
      </c>
      <c r="I84">
        <f>'Fats Raw Data'!V84-'Fats Raw Data'!AF84</f>
        <v>0</v>
      </c>
      <c r="J84">
        <f>'Fats Raw Data'!W84-'Fats Raw Data'!AG84</f>
        <v>0</v>
      </c>
      <c r="K84">
        <f>'Fats Raw Data'!X84-'Fats Raw Data'!AH84</f>
        <v>0</v>
      </c>
      <c r="L84">
        <f>'Fats Raw Data'!Y84-'Fats Raw Data'!AI84</f>
        <v>0</v>
      </c>
      <c r="M84" t="str">
        <f>'Fats Raw Data'!AC84&amp;" - "&amp;'Fats Raw Data'!AM84</f>
        <v xml:space="preserve"> - </v>
      </c>
      <c r="O84" s="1">
        <f>'Fats Raw Data'!AE84</f>
        <v>0</v>
      </c>
      <c r="P84">
        <f>'Fats Raw Data'!AF84-'Fats Raw Data'!AP84</f>
        <v>0</v>
      </c>
      <c r="Q84">
        <f>'Fats Raw Data'!AG84-'Fats Raw Data'!AQ84</f>
        <v>0</v>
      </c>
      <c r="R84">
        <f>'Fats Raw Data'!AH84-'Fats Raw Data'!AR84</f>
        <v>0</v>
      </c>
      <c r="S84">
        <f>'Fats Raw Data'!AI84-'Fats Raw Data'!AS84</f>
        <v>0</v>
      </c>
      <c r="T84" t="str">
        <f>'Fats Raw Data'!AM84&amp;" - "&amp;'Fats Raw Data'!AW84</f>
        <v xml:space="preserve"> - </v>
      </c>
      <c r="V84" s="1">
        <f>'Fats Raw Data'!AO84</f>
        <v>0</v>
      </c>
      <c r="W84">
        <f>'Fats Raw Data'!AP84-'Fats Raw Data'!AZ84</f>
        <v>0</v>
      </c>
      <c r="X84">
        <f>'Fats Raw Data'!AQ84-'Fats Raw Data'!BA84</f>
        <v>0</v>
      </c>
      <c r="Y84">
        <f>'Fats Raw Data'!AR84-'Fats Raw Data'!BB84</f>
        <v>0</v>
      </c>
      <c r="Z84">
        <f>'Fats Raw Data'!AS84-'Fats Raw Data'!BC84</f>
        <v>0</v>
      </c>
      <c r="AA84" t="str">
        <f>'Fats Raw Data'!AW84&amp;" - "&amp;'Fats Raw Data'!BG84</f>
        <v xml:space="preserve"> - </v>
      </c>
      <c r="AC84" s="1">
        <f>'Fats Raw Data'!AY84</f>
        <v>0</v>
      </c>
      <c r="AD84">
        <f>'Fats Raw Data'!AZ84-'Fats Raw Data'!B84</f>
        <v>0</v>
      </c>
      <c r="AE84">
        <f>'Fats Raw Data'!BA84-'Fats Raw Data'!C84</f>
        <v>0</v>
      </c>
      <c r="AF84">
        <f>'Fats Raw Data'!BB84-'Fats Raw Data'!D84</f>
        <v>0</v>
      </c>
      <c r="AG84">
        <f>'Fats Raw Data'!BC84-'Fats Raw Data'!E84</f>
        <v>0</v>
      </c>
      <c r="AH84" t="str">
        <f>'Fats Raw Data'!BG84&amp;" - "&amp;'Fats Raw Data'!I84</f>
        <v xml:space="preserve"> - </v>
      </c>
      <c r="AJ84" s="1">
        <f>'Fats Raw Data'!A84</f>
        <v>0</v>
      </c>
      <c r="AK84">
        <f>'Fats Raw Data'!B84-'Fats Raw Data'!L84</f>
        <v>0</v>
      </c>
      <c r="AL84">
        <f>'Fats Raw Data'!C84-'Fats Raw Data'!M84</f>
        <v>0</v>
      </c>
      <c r="AM84">
        <f>'Fats Raw Data'!D84-'Fats Raw Data'!N84</f>
        <v>0</v>
      </c>
      <c r="AN84">
        <f>'Fats Raw Data'!E84-'Fats Raw Data'!O84</f>
        <v>0</v>
      </c>
      <c r="AO84" t="str">
        <f>'Fats Raw Data'!I84&amp;" - "&amp;'Fats Raw Data'!S84</f>
        <v xml:space="preserve"> - </v>
      </c>
      <c r="AQ84" s="1">
        <f>'Fats Raw Data'!AE84</f>
        <v>0</v>
      </c>
      <c r="AR84">
        <f>'Fats Raw Data'!AF84-'Fats Raw Data'!AZ84</f>
        <v>0</v>
      </c>
      <c r="AS84">
        <f>'Fats Raw Data'!AG84-'Fats Raw Data'!BA84</f>
        <v>0</v>
      </c>
      <c r="AT84">
        <f>'Fats Raw Data'!AH84-'Fats Raw Data'!BB84</f>
        <v>0</v>
      </c>
      <c r="AU84">
        <f>'Fats Raw Data'!AI84-'Fats Raw Data'!BC84</f>
        <v>0</v>
      </c>
      <c r="AV84" t="str">
        <f>'Fats Raw Data'!AM84&amp;" - "&amp;'Fats Raw Data'!BG84</f>
        <v xml:space="preserve"> - </v>
      </c>
      <c r="AX84" s="1">
        <f>'Fats Raw Data'!A84</f>
        <v>0</v>
      </c>
      <c r="AY84">
        <f>'Fats Raw Data'!B84-'Fats Raw Data'!V84</f>
        <v>0</v>
      </c>
      <c r="AZ84">
        <f>'Fats Raw Data'!C84-'Fats Raw Data'!W84</f>
        <v>0</v>
      </c>
      <c r="BA84">
        <f>'Fats Raw Data'!D84-'Fats Raw Data'!X84</f>
        <v>0</v>
      </c>
      <c r="BB84">
        <f>'Fats Raw Data'!E84-'Fats Raw Data'!Y84</f>
        <v>0</v>
      </c>
      <c r="BC84" t="str">
        <f>'Fats Raw Data'!I84&amp;" - "&amp;'Fats Raw Data'!AC84</f>
        <v xml:space="preserve"> - </v>
      </c>
      <c r="BE84" s="1">
        <f>'Fats Raw Data'!K84</f>
        <v>0</v>
      </c>
      <c r="BF84">
        <f>'Fats Raw Data'!L84-'Fats Raw Data'!AF84</f>
        <v>0</v>
      </c>
      <c r="BG84">
        <f>'Fats Raw Data'!M84-'Fats Raw Data'!AG84</f>
        <v>0</v>
      </c>
      <c r="BH84">
        <f>'Fats Raw Data'!N84-'Fats Raw Data'!AH84</f>
        <v>0</v>
      </c>
      <c r="BI84">
        <f>'Fats Raw Data'!O84-'Fats Raw Data'!AI84</f>
        <v>0</v>
      </c>
      <c r="BJ84" t="str">
        <f>'Fats Raw Data'!S84&amp;" - "&amp;'Fats Raw Data'!AM84</f>
        <v xml:space="preserve"> - </v>
      </c>
    </row>
    <row r="85" spans="1:62" x14ac:dyDescent="0.25">
      <c r="A85" s="1">
        <f>'Fats Raw Data'!K85</f>
        <v>0</v>
      </c>
      <c r="B85">
        <f>'Fats Raw Data'!L85-'Fats Raw Data'!V85</f>
        <v>0</v>
      </c>
      <c r="C85">
        <f>'Fats Raw Data'!M85-'Fats Raw Data'!W85</f>
        <v>0</v>
      </c>
      <c r="D85">
        <f>'Fats Raw Data'!N85-'Fats Raw Data'!X85</f>
        <v>0</v>
      </c>
      <c r="E85">
        <f>'Fats Raw Data'!O85-'Fats Raw Data'!Y85</f>
        <v>0</v>
      </c>
      <c r="F85" t="str">
        <f>'Fats Raw Data'!S85&amp;" - "&amp;'Fats Raw Data'!AC85</f>
        <v xml:space="preserve"> - </v>
      </c>
      <c r="H85" s="1">
        <f>'Fats Raw Data'!U85</f>
        <v>0</v>
      </c>
      <c r="I85">
        <f>'Fats Raw Data'!V85-'Fats Raw Data'!AF85</f>
        <v>0</v>
      </c>
      <c r="J85">
        <f>'Fats Raw Data'!W85-'Fats Raw Data'!AG85</f>
        <v>0</v>
      </c>
      <c r="K85">
        <f>'Fats Raw Data'!X85-'Fats Raw Data'!AH85</f>
        <v>0</v>
      </c>
      <c r="L85">
        <f>'Fats Raw Data'!Y85-'Fats Raw Data'!AI85</f>
        <v>0</v>
      </c>
      <c r="M85" t="str">
        <f>'Fats Raw Data'!AC85&amp;" - "&amp;'Fats Raw Data'!AM85</f>
        <v xml:space="preserve"> - </v>
      </c>
      <c r="O85" s="1">
        <f>'Fats Raw Data'!AE85</f>
        <v>0</v>
      </c>
      <c r="P85">
        <f>'Fats Raw Data'!AF85-'Fats Raw Data'!AP85</f>
        <v>0</v>
      </c>
      <c r="Q85">
        <f>'Fats Raw Data'!AG85-'Fats Raw Data'!AQ85</f>
        <v>0</v>
      </c>
      <c r="R85">
        <f>'Fats Raw Data'!AH85-'Fats Raw Data'!AR85</f>
        <v>0</v>
      </c>
      <c r="S85">
        <f>'Fats Raw Data'!AI85-'Fats Raw Data'!AS85</f>
        <v>0</v>
      </c>
      <c r="T85" t="str">
        <f>'Fats Raw Data'!AM85&amp;" - "&amp;'Fats Raw Data'!AW85</f>
        <v xml:space="preserve"> - </v>
      </c>
      <c r="V85" s="1">
        <f>'Fats Raw Data'!AO85</f>
        <v>0</v>
      </c>
      <c r="W85">
        <f>'Fats Raw Data'!AP85-'Fats Raw Data'!AZ85</f>
        <v>0</v>
      </c>
      <c r="X85">
        <f>'Fats Raw Data'!AQ85-'Fats Raw Data'!BA85</f>
        <v>0</v>
      </c>
      <c r="Y85">
        <f>'Fats Raw Data'!AR85-'Fats Raw Data'!BB85</f>
        <v>0</v>
      </c>
      <c r="Z85">
        <f>'Fats Raw Data'!AS85-'Fats Raw Data'!BC85</f>
        <v>0</v>
      </c>
      <c r="AA85" t="str">
        <f>'Fats Raw Data'!AW85&amp;" - "&amp;'Fats Raw Data'!BG85</f>
        <v xml:space="preserve"> - </v>
      </c>
      <c r="AC85" s="1">
        <f>'Fats Raw Data'!AY85</f>
        <v>0</v>
      </c>
      <c r="AD85">
        <f>'Fats Raw Data'!AZ85-'Fats Raw Data'!B85</f>
        <v>0</v>
      </c>
      <c r="AE85">
        <f>'Fats Raw Data'!BA85-'Fats Raw Data'!C85</f>
        <v>0</v>
      </c>
      <c r="AF85">
        <f>'Fats Raw Data'!BB85-'Fats Raw Data'!D85</f>
        <v>0</v>
      </c>
      <c r="AG85">
        <f>'Fats Raw Data'!BC85-'Fats Raw Data'!E85</f>
        <v>0</v>
      </c>
      <c r="AH85" t="str">
        <f>'Fats Raw Data'!BG85&amp;" - "&amp;'Fats Raw Data'!I85</f>
        <v xml:space="preserve"> - </v>
      </c>
      <c r="AJ85" s="1">
        <f>'Fats Raw Data'!A85</f>
        <v>0</v>
      </c>
      <c r="AK85">
        <f>'Fats Raw Data'!B85-'Fats Raw Data'!L85</f>
        <v>0</v>
      </c>
      <c r="AL85">
        <f>'Fats Raw Data'!C85-'Fats Raw Data'!M85</f>
        <v>0</v>
      </c>
      <c r="AM85">
        <f>'Fats Raw Data'!D85-'Fats Raw Data'!N85</f>
        <v>0</v>
      </c>
      <c r="AN85">
        <f>'Fats Raw Data'!E85-'Fats Raw Data'!O85</f>
        <v>0</v>
      </c>
      <c r="AO85" t="str">
        <f>'Fats Raw Data'!I85&amp;" - "&amp;'Fats Raw Data'!S85</f>
        <v xml:space="preserve"> - </v>
      </c>
      <c r="AQ85" s="1">
        <f>'Fats Raw Data'!AE85</f>
        <v>0</v>
      </c>
      <c r="AR85">
        <f>'Fats Raw Data'!AF85-'Fats Raw Data'!AZ85</f>
        <v>0</v>
      </c>
      <c r="AS85">
        <f>'Fats Raw Data'!AG85-'Fats Raw Data'!BA85</f>
        <v>0</v>
      </c>
      <c r="AT85">
        <f>'Fats Raw Data'!AH85-'Fats Raw Data'!BB85</f>
        <v>0</v>
      </c>
      <c r="AU85">
        <f>'Fats Raw Data'!AI85-'Fats Raw Data'!BC85</f>
        <v>0</v>
      </c>
      <c r="AV85" t="str">
        <f>'Fats Raw Data'!AM85&amp;" - "&amp;'Fats Raw Data'!BG85</f>
        <v xml:space="preserve"> - </v>
      </c>
      <c r="AX85" s="1">
        <f>'Fats Raw Data'!A85</f>
        <v>0</v>
      </c>
      <c r="AY85">
        <f>'Fats Raw Data'!B85-'Fats Raw Data'!V85</f>
        <v>0</v>
      </c>
      <c r="AZ85">
        <f>'Fats Raw Data'!C85-'Fats Raw Data'!W85</f>
        <v>0</v>
      </c>
      <c r="BA85">
        <f>'Fats Raw Data'!D85-'Fats Raw Data'!X85</f>
        <v>0</v>
      </c>
      <c r="BB85">
        <f>'Fats Raw Data'!E85-'Fats Raw Data'!Y85</f>
        <v>0</v>
      </c>
      <c r="BC85" t="str">
        <f>'Fats Raw Data'!I85&amp;" - "&amp;'Fats Raw Data'!AC85</f>
        <v xml:space="preserve"> - </v>
      </c>
      <c r="BE85" s="1">
        <f>'Fats Raw Data'!K85</f>
        <v>0</v>
      </c>
      <c r="BF85">
        <f>'Fats Raw Data'!L85-'Fats Raw Data'!AF85</f>
        <v>0</v>
      </c>
      <c r="BG85">
        <f>'Fats Raw Data'!M85-'Fats Raw Data'!AG85</f>
        <v>0</v>
      </c>
      <c r="BH85">
        <f>'Fats Raw Data'!N85-'Fats Raw Data'!AH85</f>
        <v>0</v>
      </c>
      <c r="BI85">
        <f>'Fats Raw Data'!O85-'Fats Raw Data'!AI85</f>
        <v>0</v>
      </c>
      <c r="BJ85" t="str">
        <f>'Fats Raw Data'!S85&amp;" - "&amp;'Fats Raw Data'!AM85</f>
        <v xml:space="preserve"> - </v>
      </c>
    </row>
    <row r="86" spans="1:62" x14ac:dyDescent="0.25">
      <c r="A86" s="1">
        <f>'Fats Raw Data'!K86</f>
        <v>0</v>
      </c>
      <c r="B86">
        <f>'Fats Raw Data'!L86-'Fats Raw Data'!V86</f>
        <v>0</v>
      </c>
      <c r="C86">
        <f>'Fats Raw Data'!M86-'Fats Raw Data'!W86</f>
        <v>0</v>
      </c>
      <c r="D86">
        <f>'Fats Raw Data'!N86-'Fats Raw Data'!X86</f>
        <v>0</v>
      </c>
      <c r="E86">
        <f>'Fats Raw Data'!O86-'Fats Raw Data'!Y86</f>
        <v>0</v>
      </c>
      <c r="F86" t="str">
        <f>'Fats Raw Data'!S86&amp;" - "&amp;'Fats Raw Data'!AC86</f>
        <v xml:space="preserve"> - </v>
      </c>
      <c r="H86" s="1">
        <f>'Fats Raw Data'!U86</f>
        <v>0</v>
      </c>
      <c r="I86">
        <f>'Fats Raw Data'!V86-'Fats Raw Data'!AF86</f>
        <v>0</v>
      </c>
      <c r="J86">
        <f>'Fats Raw Data'!W86-'Fats Raw Data'!AG86</f>
        <v>0</v>
      </c>
      <c r="K86">
        <f>'Fats Raw Data'!X86-'Fats Raw Data'!AH86</f>
        <v>0</v>
      </c>
      <c r="L86">
        <f>'Fats Raw Data'!Y86-'Fats Raw Data'!AI86</f>
        <v>0</v>
      </c>
      <c r="M86" t="str">
        <f>'Fats Raw Data'!AC86&amp;" - "&amp;'Fats Raw Data'!AM86</f>
        <v xml:space="preserve"> - </v>
      </c>
      <c r="O86" s="1">
        <f>'Fats Raw Data'!AE86</f>
        <v>0</v>
      </c>
      <c r="P86">
        <f>'Fats Raw Data'!AF86-'Fats Raw Data'!AP86</f>
        <v>0</v>
      </c>
      <c r="Q86">
        <f>'Fats Raw Data'!AG86-'Fats Raw Data'!AQ86</f>
        <v>0</v>
      </c>
      <c r="R86">
        <f>'Fats Raw Data'!AH86-'Fats Raw Data'!AR86</f>
        <v>0</v>
      </c>
      <c r="S86">
        <f>'Fats Raw Data'!AI86-'Fats Raw Data'!AS86</f>
        <v>0</v>
      </c>
      <c r="T86" t="str">
        <f>'Fats Raw Data'!AM86&amp;" - "&amp;'Fats Raw Data'!AW86</f>
        <v xml:space="preserve"> - </v>
      </c>
      <c r="V86" s="1">
        <f>'Fats Raw Data'!AO86</f>
        <v>0</v>
      </c>
      <c r="W86">
        <f>'Fats Raw Data'!AP86-'Fats Raw Data'!AZ86</f>
        <v>0</v>
      </c>
      <c r="X86">
        <f>'Fats Raw Data'!AQ86-'Fats Raw Data'!BA86</f>
        <v>0</v>
      </c>
      <c r="Y86">
        <f>'Fats Raw Data'!AR86-'Fats Raw Data'!BB86</f>
        <v>0</v>
      </c>
      <c r="Z86">
        <f>'Fats Raw Data'!AS86-'Fats Raw Data'!BC86</f>
        <v>0</v>
      </c>
      <c r="AA86" t="str">
        <f>'Fats Raw Data'!AW86&amp;" - "&amp;'Fats Raw Data'!BG86</f>
        <v xml:space="preserve"> - </v>
      </c>
      <c r="AC86" s="1">
        <f>'Fats Raw Data'!AY86</f>
        <v>0</v>
      </c>
      <c r="AD86">
        <f>'Fats Raw Data'!AZ86-'Fats Raw Data'!B86</f>
        <v>0</v>
      </c>
      <c r="AE86">
        <f>'Fats Raw Data'!BA86-'Fats Raw Data'!C86</f>
        <v>0</v>
      </c>
      <c r="AF86">
        <f>'Fats Raw Data'!BB86-'Fats Raw Data'!D86</f>
        <v>0</v>
      </c>
      <c r="AG86">
        <f>'Fats Raw Data'!BC86-'Fats Raw Data'!E86</f>
        <v>0</v>
      </c>
      <c r="AH86" t="str">
        <f>'Fats Raw Data'!BG86&amp;" - "&amp;'Fats Raw Data'!I86</f>
        <v xml:space="preserve"> - </v>
      </c>
      <c r="AJ86" s="1">
        <f>'Fats Raw Data'!A86</f>
        <v>0</v>
      </c>
      <c r="AK86">
        <f>'Fats Raw Data'!B86-'Fats Raw Data'!L86</f>
        <v>0</v>
      </c>
      <c r="AL86">
        <f>'Fats Raw Data'!C86-'Fats Raw Data'!M86</f>
        <v>0</v>
      </c>
      <c r="AM86">
        <f>'Fats Raw Data'!D86-'Fats Raw Data'!N86</f>
        <v>0</v>
      </c>
      <c r="AN86">
        <f>'Fats Raw Data'!E86-'Fats Raw Data'!O86</f>
        <v>0</v>
      </c>
      <c r="AO86" t="str">
        <f>'Fats Raw Data'!I86&amp;" - "&amp;'Fats Raw Data'!S86</f>
        <v xml:space="preserve"> - </v>
      </c>
      <c r="AQ86" s="1">
        <f>'Fats Raw Data'!AE86</f>
        <v>0</v>
      </c>
      <c r="AR86">
        <f>'Fats Raw Data'!AF86-'Fats Raw Data'!AZ86</f>
        <v>0</v>
      </c>
      <c r="AS86">
        <f>'Fats Raw Data'!AG86-'Fats Raw Data'!BA86</f>
        <v>0</v>
      </c>
      <c r="AT86">
        <f>'Fats Raw Data'!AH86-'Fats Raw Data'!BB86</f>
        <v>0</v>
      </c>
      <c r="AU86">
        <f>'Fats Raw Data'!AI86-'Fats Raw Data'!BC86</f>
        <v>0</v>
      </c>
      <c r="AV86" t="str">
        <f>'Fats Raw Data'!AM86&amp;" - "&amp;'Fats Raw Data'!BG86</f>
        <v xml:space="preserve"> - </v>
      </c>
      <c r="AX86" s="1">
        <f>'Fats Raw Data'!A86</f>
        <v>0</v>
      </c>
      <c r="AY86">
        <f>'Fats Raw Data'!B86-'Fats Raw Data'!V86</f>
        <v>0</v>
      </c>
      <c r="AZ86">
        <f>'Fats Raw Data'!C86-'Fats Raw Data'!W86</f>
        <v>0</v>
      </c>
      <c r="BA86">
        <f>'Fats Raw Data'!D86-'Fats Raw Data'!X86</f>
        <v>0</v>
      </c>
      <c r="BB86">
        <f>'Fats Raw Data'!E86-'Fats Raw Data'!Y86</f>
        <v>0</v>
      </c>
      <c r="BC86" t="str">
        <f>'Fats Raw Data'!I86&amp;" - "&amp;'Fats Raw Data'!AC86</f>
        <v xml:space="preserve"> - </v>
      </c>
      <c r="BE86" s="1">
        <f>'Fats Raw Data'!K86</f>
        <v>0</v>
      </c>
      <c r="BF86">
        <f>'Fats Raw Data'!L86-'Fats Raw Data'!AF86</f>
        <v>0</v>
      </c>
      <c r="BG86">
        <f>'Fats Raw Data'!M86-'Fats Raw Data'!AG86</f>
        <v>0</v>
      </c>
      <c r="BH86">
        <f>'Fats Raw Data'!N86-'Fats Raw Data'!AH86</f>
        <v>0</v>
      </c>
      <c r="BI86">
        <f>'Fats Raw Data'!O86-'Fats Raw Data'!AI86</f>
        <v>0</v>
      </c>
      <c r="BJ86" t="str">
        <f>'Fats Raw Data'!S86&amp;" - "&amp;'Fats Raw Data'!AM86</f>
        <v xml:space="preserve"> - </v>
      </c>
    </row>
    <row r="87" spans="1:62" x14ac:dyDescent="0.25">
      <c r="A87" s="1">
        <f>'Fats Raw Data'!K87</f>
        <v>0</v>
      </c>
      <c r="B87">
        <f>'Fats Raw Data'!L87-'Fats Raw Data'!V87</f>
        <v>0</v>
      </c>
      <c r="C87">
        <f>'Fats Raw Data'!M87-'Fats Raw Data'!W87</f>
        <v>0</v>
      </c>
      <c r="D87">
        <f>'Fats Raw Data'!N87-'Fats Raw Data'!X87</f>
        <v>0</v>
      </c>
      <c r="E87">
        <f>'Fats Raw Data'!O87-'Fats Raw Data'!Y87</f>
        <v>0</v>
      </c>
      <c r="F87" t="str">
        <f>'Fats Raw Data'!S87&amp;" - "&amp;'Fats Raw Data'!AC87</f>
        <v xml:space="preserve"> - </v>
      </c>
      <c r="H87" s="1">
        <f>'Fats Raw Data'!U87</f>
        <v>0</v>
      </c>
      <c r="I87">
        <f>'Fats Raw Data'!V87-'Fats Raw Data'!AF87</f>
        <v>0</v>
      </c>
      <c r="J87">
        <f>'Fats Raw Data'!W87-'Fats Raw Data'!AG87</f>
        <v>0</v>
      </c>
      <c r="K87">
        <f>'Fats Raw Data'!X87-'Fats Raw Data'!AH87</f>
        <v>0</v>
      </c>
      <c r="L87">
        <f>'Fats Raw Data'!Y87-'Fats Raw Data'!AI87</f>
        <v>0</v>
      </c>
      <c r="M87" t="str">
        <f>'Fats Raw Data'!AC87&amp;" - "&amp;'Fats Raw Data'!AM87</f>
        <v xml:space="preserve"> - </v>
      </c>
      <c r="O87" s="1">
        <f>'Fats Raw Data'!AE87</f>
        <v>0</v>
      </c>
      <c r="P87">
        <f>'Fats Raw Data'!AF87-'Fats Raw Data'!AP87</f>
        <v>0</v>
      </c>
      <c r="Q87">
        <f>'Fats Raw Data'!AG87-'Fats Raw Data'!AQ87</f>
        <v>0</v>
      </c>
      <c r="R87">
        <f>'Fats Raw Data'!AH87-'Fats Raw Data'!AR87</f>
        <v>0</v>
      </c>
      <c r="S87">
        <f>'Fats Raw Data'!AI87-'Fats Raw Data'!AS87</f>
        <v>0</v>
      </c>
      <c r="T87" t="str">
        <f>'Fats Raw Data'!AM87&amp;" - "&amp;'Fats Raw Data'!AW87</f>
        <v xml:space="preserve"> - </v>
      </c>
      <c r="V87" s="1">
        <f>'Fats Raw Data'!AO87</f>
        <v>0</v>
      </c>
      <c r="W87">
        <f>'Fats Raw Data'!AP87-'Fats Raw Data'!AZ87</f>
        <v>0</v>
      </c>
      <c r="X87">
        <f>'Fats Raw Data'!AQ87-'Fats Raw Data'!BA87</f>
        <v>0</v>
      </c>
      <c r="Y87">
        <f>'Fats Raw Data'!AR87-'Fats Raw Data'!BB87</f>
        <v>0</v>
      </c>
      <c r="Z87">
        <f>'Fats Raw Data'!AS87-'Fats Raw Data'!BC87</f>
        <v>0</v>
      </c>
      <c r="AA87" t="str">
        <f>'Fats Raw Data'!AW87&amp;" - "&amp;'Fats Raw Data'!BG87</f>
        <v xml:space="preserve"> - </v>
      </c>
      <c r="AC87" s="1">
        <f>'Fats Raw Data'!AY87</f>
        <v>0</v>
      </c>
      <c r="AD87">
        <f>'Fats Raw Data'!AZ87-'Fats Raw Data'!B87</f>
        <v>0</v>
      </c>
      <c r="AE87">
        <f>'Fats Raw Data'!BA87-'Fats Raw Data'!C87</f>
        <v>0</v>
      </c>
      <c r="AF87">
        <f>'Fats Raw Data'!BB87-'Fats Raw Data'!D87</f>
        <v>0</v>
      </c>
      <c r="AG87">
        <f>'Fats Raw Data'!BC87-'Fats Raw Data'!E87</f>
        <v>0</v>
      </c>
      <c r="AH87" t="str">
        <f>'Fats Raw Data'!BG87&amp;" - "&amp;'Fats Raw Data'!I87</f>
        <v xml:space="preserve"> - </v>
      </c>
      <c r="AJ87" s="1">
        <f>'Fats Raw Data'!A87</f>
        <v>0</v>
      </c>
      <c r="AK87">
        <f>'Fats Raw Data'!B87-'Fats Raw Data'!L87</f>
        <v>0</v>
      </c>
      <c r="AL87">
        <f>'Fats Raw Data'!C87-'Fats Raw Data'!M87</f>
        <v>0</v>
      </c>
      <c r="AM87">
        <f>'Fats Raw Data'!D87-'Fats Raw Data'!N87</f>
        <v>0</v>
      </c>
      <c r="AN87">
        <f>'Fats Raw Data'!E87-'Fats Raw Data'!O87</f>
        <v>0</v>
      </c>
      <c r="AO87" t="str">
        <f>'Fats Raw Data'!I87&amp;" - "&amp;'Fats Raw Data'!S87</f>
        <v xml:space="preserve"> - </v>
      </c>
      <c r="AQ87" s="1">
        <f>'Fats Raw Data'!AE87</f>
        <v>0</v>
      </c>
      <c r="AR87">
        <f>'Fats Raw Data'!AF87-'Fats Raw Data'!AZ87</f>
        <v>0</v>
      </c>
      <c r="AS87">
        <f>'Fats Raw Data'!AG87-'Fats Raw Data'!BA87</f>
        <v>0</v>
      </c>
      <c r="AT87">
        <f>'Fats Raw Data'!AH87-'Fats Raw Data'!BB87</f>
        <v>0</v>
      </c>
      <c r="AU87">
        <f>'Fats Raw Data'!AI87-'Fats Raw Data'!BC87</f>
        <v>0</v>
      </c>
      <c r="AV87" t="str">
        <f>'Fats Raw Data'!AM87&amp;" - "&amp;'Fats Raw Data'!BG87</f>
        <v xml:space="preserve"> - </v>
      </c>
      <c r="AX87" s="1">
        <f>'Fats Raw Data'!A87</f>
        <v>0</v>
      </c>
      <c r="AY87">
        <f>'Fats Raw Data'!B87-'Fats Raw Data'!V87</f>
        <v>0</v>
      </c>
      <c r="AZ87">
        <f>'Fats Raw Data'!C87-'Fats Raw Data'!W87</f>
        <v>0</v>
      </c>
      <c r="BA87">
        <f>'Fats Raw Data'!D87-'Fats Raw Data'!X87</f>
        <v>0</v>
      </c>
      <c r="BB87">
        <f>'Fats Raw Data'!E87-'Fats Raw Data'!Y87</f>
        <v>0</v>
      </c>
      <c r="BC87" t="str">
        <f>'Fats Raw Data'!I87&amp;" - "&amp;'Fats Raw Data'!AC87</f>
        <v xml:space="preserve"> - </v>
      </c>
      <c r="BE87" s="1">
        <f>'Fats Raw Data'!K87</f>
        <v>0</v>
      </c>
      <c r="BF87">
        <f>'Fats Raw Data'!L87-'Fats Raw Data'!AF87</f>
        <v>0</v>
      </c>
      <c r="BG87">
        <f>'Fats Raw Data'!M87-'Fats Raw Data'!AG87</f>
        <v>0</v>
      </c>
      <c r="BH87">
        <f>'Fats Raw Data'!N87-'Fats Raw Data'!AH87</f>
        <v>0</v>
      </c>
      <c r="BI87">
        <f>'Fats Raw Data'!O87-'Fats Raw Data'!AI87</f>
        <v>0</v>
      </c>
      <c r="BJ87" t="str">
        <f>'Fats Raw Data'!S87&amp;" - "&amp;'Fats Raw Data'!AM87</f>
        <v xml:space="preserve"> - </v>
      </c>
    </row>
    <row r="88" spans="1:62" x14ac:dyDescent="0.25">
      <c r="A88" s="1">
        <f>'Fats Raw Data'!K88</f>
        <v>0</v>
      </c>
      <c r="B88">
        <f>'Fats Raw Data'!L88-'Fats Raw Data'!V88</f>
        <v>0</v>
      </c>
      <c r="C88">
        <f>'Fats Raw Data'!M88-'Fats Raw Data'!W88</f>
        <v>0</v>
      </c>
      <c r="D88">
        <f>'Fats Raw Data'!N88-'Fats Raw Data'!X88</f>
        <v>0</v>
      </c>
      <c r="E88">
        <f>'Fats Raw Data'!O88-'Fats Raw Data'!Y88</f>
        <v>0</v>
      </c>
      <c r="F88" t="str">
        <f>'Fats Raw Data'!S88&amp;" - "&amp;'Fats Raw Data'!AC88</f>
        <v xml:space="preserve"> - </v>
      </c>
      <c r="H88" s="1">
        <f>'Fats Raw Data'!U88</f>
        <v>0</v>
      </c>
      <c r="I88">
        <f>'Fats Raw Data'!V88-'Fats Raw Data'!AF88</f>
        <v>0</v>
      </c>
      <c r="J88">
        <f>'Fats Raw Data'!W88-'Fats Raw Data'!AG88</f>
        <v>0</v>
      </c>
      <c r="K88">
        <f>'Fats Raw Data'!X88-'Fats Raw Data'!AH88</f>
        <v>0</v>
      </c>
      <c r="L88">
        <f>'Fats Raw Data'!Y88-'Fats Raw Data'!AI88</f>
        <v>0</v>
      </c>
      <c r="M88" t="str">
        <f>'Fats Raw Data'!AC88&amp;" - "&amp;'Fats Raw Data'!AM88</f>
        <v xml:space="preserve"> - </v>
      </c>
      <c r="O88" s="1">
        <f>'Fats Raw Data'!AE88</f>
        <v>0</v>
      </c>
      <c r="P88">
        <f>'Fats Raw Data'!AF88-'Fats Raw Data'!AP88</f>
        <v>0</v>
      </c>
      <c r="Q88">
        <f>'Fats Raw Data'!AG88-'Fats Raw Data'!AQ88</f>
        <v>0</v>
      </c>
      <c r="R88">
        <f>'Fats Raw Data'!AH88-'Fats Raw Data'!AR88</f>
        <v>0</v>
      </c>
      <c r="S88">
        <f>'Fats Raw Data'!AI88-'Fats Raw Data'!AS88</f>
        <v>0</v>
      </c>
      <c r="T88" t="str">
        <f>'Fats Raw Data'!AM88&amp;" - "&amp;'Fats Raw Data'!AW88</f>
        <v xml:space="preserve"> - </v>
      </c>
      <c r="V88" s="1">
        <f>'Fats Raw Data'!AO88</f>
        <v>0</v>
      </c>
      <c r="W88">
        <f>'Fats Raw Data'!AP88-'Fats Raw Data'!AZ88</f>
        <v>0</v>
      </c>
      <c r="X88">
        <f>'Fats Raw Data'!AQ88-'Fats Raw Data'!BA88</f>
        <v>0</v>
      </c>
      <c r="Y88">
        <f>'Fats Raw Data'!AR88-'Fats Raw Data'!BB88</f>
        <v>0</v>
      </c>
      <c r="Z88">
        <f>'Fats Raw Data'!AS88-'Fats Raw Data'!BC88</f>
        <v>0</v>
      </c>
      <c r="AA88" t="str">
        <f>'Fats Raw Data'!AW88&amp;" - "&amp;'Fats Raw Data'!BG88</f>
        <v xml:space="preserve"> - </v>
      </c>
      <c r="AC88" s="1">
        <f>'Fats Raw Data'!AY88</f>
        <v>0</v>
      </c>
      <c r="AD88">
        <f>'Fats Raw Data'!AZ88-'Fats Raw Data'!B88</f>
        <v>0</v>
      </c>
      <c r="AE88">
        <f>'Fats Raw Data'!BA88-'Fats Raw Data'!C88</f>
        <v>0</v>
      </c>
      <c r="AF88">
        <f>'Fats Raw Data'!BB88-'Fats Raw Data'!D88</f>
        <v>0</v>
      </c>
      <c r="AG88">
        <f>'Fats Raw Data'!BC88-'Fats Raw Data'!E88</f>
        <v>0</v>
      </c>
      <c r="AH88" t="str">
        <f>'Fats Raw Data'!BG88&amp;" - "&amp;'Fats Raw Data'!I88</f>
        <v xml:space="preserve"> - </v>
      </c>
      <c r="AJ88" s="1">
        <f>'Fats Raw Data'!A88</f>
        <v>0</v>
      </c>
      <c r="AK88">
        <f>'Fats Raw Data'!B88-'Fats Raw Data'!L88</f>
        <v>0</v>
      </c>
      <c r="AL88">
        <f>'Fats Raw Data'!C88-'Fats Raw Data'!M88</f>
        <v>0</v>
      </c>
      <c r="AM88">
        <f>'Fats Raw Data'!D88-'Fats Raw Data'!N88</f>
        <v>0</v>
      </c>
      <c r="AN88">
        <f>'Fats Raw Data'!E88-'Fats Raw Data'!O88</f>
        <v>0</v>
      </c>
      <c r="AO88" t="str">
        <f>'Fats Raw Data'!I88&amp;" - "&amp;'Fats Raw Data'!S88</f>
        <v xml:space="preserve"> - </v>
      </c>
      <c r="AQ88" s="1">
        <f>'Fats Raw Data'!AE88</f>
        <v>0</v>
      </c>
      <c r="AR88">
        <f>'Fats Raw Data'!AF88-'Fats Raw Data'!AZ88</f>
        <v>0</v>
      </c>
      <c r="AS88">
        <f>'Fats Raw Data'!AG88-'Fats Raw Data'!BA88</f>
        <v>0</v>
      </c>
      <c r="AT88">
        <f>'Fats Raw Data'!AH88-'Fats Raw Data'!BB88</f>
        <v>0</v>
      </c>
      <c r="AU88">
        <f>'Fats Raw Data'!AI88-'Fats Raw Data'!BC88</f>
        <v>0</v>
      </c>
      <c r="AV88" t="str">
        <f>'Fats Raw Data'!AM88&amp;" - "&amp;'Fats Raw Data'!BG88</f>
        <v xml:space="preserve"> - </v>
      </c>
      <c r="AX88" s="1">
        <f>'Fats Raw Data'!A88</f>
        <v>0</v>
      </c>
      <c r="AY88">
        <f>'Fats Raw Data'!B88-'Fats Raw Data'!V88</f>
        <v>0</v>
      </c>
      <c r="AZ88">
        <f>'Fats Raw Data'!C88-'Fats Raw Data'!W88</f>
        <v>0</v>
      </c>
      <c r="BA88">
        <f>'Fats Raw Data'!D88-'Fats Raw Data'!X88</f>
        <v>0</v>
      </c>
      <c r="BB88">
        <f>'Fats Raw Data'!E88-'Fats Raw Data'!Y88</f>
        <v>0</v>
      </c>
      <c r="BC88" t="str">
        <f>'Fats Raw Data'!I88&amp;" - "&amp;'Fats Raw Data'!AC88</f>
        <v xml:space="preserve"> - </v>
      </c>
      <c r="BE88" s="1">
        <f>'Fats Raw Data'!K88</f>
        <v>0</v>
      </c>
      <c r="BF88">
        <f>'Fats Raw Data'!L88-'Fats Raw Data'!AF88</f>
        <v>0</v>
      </c>
      <c r="BG88">
        <f>'Fats Raw Data'!M88-'Fats Raw Data'!AG88</f>
        <v>0</v>
      </c>
      <c r="BH88">
        <f>'Fats Raw Data'!N88-'Fats Raw Data'!AH88</f>
        <v>0</v>
      </c>
      <c r="BI88">
        <f>'Fats Raw Data'!O88-'Fats Raw Data'!AI88</f>
        <v>0</v>
      </c>
      <c r="BJ88" t="str">
        <f>'Fats Raw Data'!S88&amp;" - "&amp;'Fats Raw Data'!AM88</f>
        <v xml:space="preserve"> - </v>
      </c>
    </row>
    <row r="89" spans="1:62" x14ac:dyDescent="0.25">
      <c r="A89" s="1">
        <f>'Fats Raw Data'!K89</f>
        <v>0</v>
      </c>
      <c r="B89">
        <f>'Fats Raw Data'!L89-'Fats Raw Data'!V89</f>
        <v>0</v>
      </c>
      <c r="C89">
        <f>'Fats Raw Data'!M89-'Fats Raw Data'!W89</f>
        <v>0</v>
      </c>
      <c r="D89">
        <f>'Fats Raw Data'!N89-'Fats Raw Data'!X89</f>
        <v>0</v>
      </c>
      <c r="E89">
        <f>'Fats Raw Data'!O89-'Fats Raw Data'!Y89</f>
        <v>0</v>
      </c>
      <c r="F89" t="str">
        <f>'Fats Raw Data'!S89&amp;" - "&amp;'Fats Raw Data'!AC89</f>
        <v xml:space="preserve"> - </v>
      </c>
      <c r="H89" s="1">
        <f>'Fats Raw Data'!U89</f>
        <v>0</v>
      </c>
      <c r="I89">
        <f>'Fats Raw Data'!V89-'Fats Raw Data'!AF89</f>
        <v>0</v>
      </c>
      <c r="J89">
        <f>'Fats Raw Data'!W89-'Fats Raw Data'!AG89</f>
        <v>0</v>
      </c>
      <c r="K89">
        <f>'Fats Raw Data'!X89-'Fats Raw Data'!AH89</f>
        <v>0</v>
      </c>
      <c r="L89">
        <f>'Fats Raw Data'!Y89-'Fats Raw Data'!AI89</f>
        <v>0</v>
      </c>
      <c r="M89" t="str">
        <f>'Fats Raw Data'!AC89&amp;" - "&amp;'Fats Raw Data'!AM89</f>
        <v xml:space="preserve"> - </v>
      </c>
      <c r="O89" s="1">
        <f>'Fats Raw Data'!AE89</f>
        <v>0</v>
      </c>
      <c r="P89">
        <f>'Fats Raw Data'!AF89-'Fats Raw Data'!AP89</f>
        <v>0</v>
      </c>
      <c r="Q89">
        <f>'Fats Raw Data'!AG89-'Fats Raw Data'!AQ89</f>
        <v>0</v>
      </c>
      <c r="R89">
        <f>'Fats Raw Data'!AH89-'Fats Raw Data'!AR89</f>
        <v>0</v>
      </c>
      <c r="S89">
        <f>'Fats Raw Data'!AI89-'Fats Raw Data'!AS89</f>
        <v>0</v>
      </c>
      <c r="T89" t="str">
        <f>'Fats Raw Data'!AM89&amp;" - "&amp;'Fats Raw Data'!AW89</f>
        <v xml:space="preserve"> - </v>
      </c>
      <c r="V89" s="1">
        <f>'Fats Raw Data'!AO89</f>
        <v>0</v>
      </c>
      <c r="W89">
        <f>'Fats Raw Data'!AP89-'Fats Raw Data'!AZ89</f>
        <v>0</v>
      </c>
      <c r="X89">
        <f>'Fats Raw Data'!AQ89-'Fats Raw Data'!BA89</f>
        <v>0</v>
      </c>
      <c r="Y89">
        <f>'Fats Raw Data'!AR89-'Fats Raw Data'!BB89</f>
        <v>0</v>
      </c>
      <c r="Z89">
        <f>'Fats Raw Data'!AS89-'Fats Raw Data'!BC89</f>
        <v>0</v>
      </c>
      <c r="AA89" t="str">
        <f>'Fats Raw Data'!AW89&amp;" - "&amp;'Fats Raw Data'!BG89</f>
        <v xml:space="preserve"> - </v>
      </c>
      <c r="AC89" s="1">
        <f>'Fats Raw Data'!AY89</f>
        <v>0</v>
      </c>
      <c r="AD89">
        <f>'Fats Raw Data'!AZ89-'Fats Raw Data'!B89</f>
        <v>0</v>
      </c>
      <c r="AE89">
        <f>'Fats Raw Data'!BA89-'Fats Raw Data'!C89</f>
        <v>0</v>
      </c>
      <c r="AF89">
        <f>'Fats Raw Data'!BB89-'Fats Raw Data'!D89</f>
        <v>0</v>
      </c>
      <c r="AG89">
        <f>'Fats Raw Data'!BC89-'Fats Raw Data'!E89</f>
        <v>0</v>
      </c>
      <c r="AH89" t="str">
        <f>'Fats Raw Data'!BG89&amp;" - "&amp;'Fats Raw Data'!I89</f>
        <v xml:space="preserve"> - </v>
      </c>
      <c r="AJ89" s="1">
        <f>'Fats Raw Data'!A89</f>
        <v>0</v>
      </c>
      <c r="AK89">
        <f>'Fats Raw Data'!B89-'Fats Raw Data'!L89</f>
        <v>0</v>
      </c>
      <c r="AL89">
        <f>'Fats Raw Data'!C89-'Fats Raw Data'!M89</f>
        <v>0</v>
      </c>
      <c r="AM89">
        <f>'Fats Raw Data'!D89-'Fats Raw Data'!N89</f>
        <v>0</v>
      </c>
      <c r="AN89">
        <f>'Fats Raw Data'!E89-'Fats Raw Data'!O89</f>
        <v>0</v>
      </c>
      <c r="AO89" t="str">
        <f>'Fats Raw Data'!I89&amp;" - "&amp;'Fats Raw Data'!S89</f>
        <v xml:space="preserve"> - </v>
      </c>
      <c r="AQ89" s="1">
        <f>'Fats Raw Data'!AE89</f>
        <v>0</v>
      </c>
      <c r="AR89">
        <f>'Fats Raw Data'!AF89-'Fats Raw Data'!AZ89</f>
        <v>0</v>
      </c>
      <c r="AS89">
        <f>'Fats Raw Data'!AG89-'Fats Raw Data'!BA89</f>
        <v>0</v>
      </c>
      <c r="AT89">
        <f>'Fats Raw Data'!AH89-'Fats Raw Data'!BB89</f>
        <v>0</v>
      </c>
      <c r="AU89">
        <f>'Fats Raw Data'!AI89-'Fats Raw Data'!BC89</f>
        <v>0</v>
      </c>
      <c r="AV89" t="str">
        <f>'Fats Raw Data'!AM89&amp;" - "&amp;'Fats Raw Data'!BG89</f>
        <v xml:space="preserve"> - </v>
      </c>
      <c r="AX89" s="1">
        <f>'Fats Raw Data'!A89</f>
        <v>0</v>
      </c>
      <c r="AY89">
        <f>'Fats Raw Data'!B89-'Fats Raw Data'!V89</f>
        <v>0</v>
      </c>
      <c r="AZ89">
        <f>'Fats Raw Data'!C89-'Fats Raw Data'!W89</f>
        <v>0</v>
      </c>
      <c r="BA89">
        <f>'Fats Raw Data'!D89-'Fats Raw Data'!X89</f>
        <v>0</v>
      </c>
      <c r="BB89">
        <f>'Fats Raw Data'!E89-'Fats Raw Data'!Y89</f>
        <v>0</v>
      </c>
      <c r="BC89" t="str">
        <f>'Fats Raw Data'!I89&amp;" - "&amp;'Fats Raw Data'!AC89</f>
        <v xml:space="preserve"> - </v>
      </c>
      <c r="BE89" s="1">
        <f>'Fats Raw Data'!K89</f>
        <v>0</v>
      </c>
      <c r="BF89">
        <f>'Fats Raw Data'!L89-'Fats Raw Data'!AF89</f>
        <v>0</v>
      </c>
      <c r="BG89">
        <f>'Fats Raw Data'!M89-'Fats Raw Data'!AG89</f>
        <v>0</v>
      </c>
      <c r="BH89">
        <f>'Fats Raw Data'!N89-'Fats Raw Data'!AH89</f>
        <v>0</v>
      </c>
      <c r="BI89">
        <f>'Fats Raw Data'!O89-'Fats Raw Data'!AI89</f>
        <v>0</v>
      </c>
      <c r="BJ89" t="str">
        <f>'Fats Raw Data'!S89&amp;" - "&amp;'Fats Raw Data'!AM89</f>
        <v xml:space="preserve"> - </v>
      </c>
    </row>
    <row r="90" spans="1:62" x14ac:dyDescent="0.25">
      <c r="A90" s="1">
        <f>'Fats Raw Data'!K90</f>
        <v>0</v>
      </c>
      <c r="B90">
        <f>'Fats Raw Data'!L90-'Fats Raw Data'!V90</f>
        <v>0</v>
      </c>
      <c r="C90">
        <f>'Fats Raw Data'!M90-'Fats Raw Data'!W90</f>
        <v>0</v>
      </c>
      <c r="D90">
        <f>'Fats Raw Data'!N90-'Fats Raw Data'!X90</f>
        <v>0</v>
      </c>
      <c r="E90">
        <f>'Fats Raw Data'!O90-'Fats Raw Data'!Y90</f>
        <v>0</v>
      </c>
      <c r="F90" t="str">
        <f>'Fats Raw Data'!S90&amp;" - "&amp;'Fats Raw Data'!AC90</f>
        <v xml:space="preserve"> - </v>
      </c>
      <c r="H90" s="1">
        <f>'Fats Raw Data'!U90</f>
        <v>0</v>
      </c>
      <c r="I90">
        <f>'Fats Raw Data'!V90-'Fats Raw Data'!AF90</f>
        <v>0</v>
      </c>
      <c r="J90">
        <f>'Fats Raw Data'!W90-'Fats Raw Data'!AG90</f>
        <v>0</v>
      </c>
      <c r="K90">
        <f>'Fats Raw Data'!X90-'Fats Raw Data'!AH90</f>
        <v>0</v>
      </c>
      <c r="L90">
        <f>'Fats Raw Data'!Y90-'Fats Raw Data'!AI90</f>
        <v>0</v>
      </c>
      <c r="M90" t="str">
        <f>'Fats Raw Data'!AC90&amp;" - "&amp;'Fats Raw Data'!AM90</f>
        <v xml:space="preserve"> - </v>
      </c>
      <c r="O90" s="1">
        <f>'Fats Raw Data'!AE90</f>
        <v>0</v>
      </c>
      <c r="P90">
        <f>'Fats Raw Data'!AF90-'Fats Raw Data'!AP90</f>
        <v>0</v>
      </c>
      <c r="Q90">
        <f>'Fats Raw Data'!AG90-'Fats Raw Data'!AQ90</f>
        <v>0</v>
      </c>
      <c r="R90">
        <f>'Fats Raw Data'!AH90-'Fats Raw Data'!AR90</f>
        <v>0</v>
      </c>
      <c r="S90">
        <f>'Fats Raw Data'!AI90-'Fats Raw Data'!AS90</f>
        <v>0</v>
      </c>
      <c r="T90" t="str">
        <f>'Fats Raw Data'!AM90&amp;" - "&amp;'Fats Raw Data'!AW90</f>
        <v xml:space="preserve"> - </v>
      </c>
      <c r="V90" s="1">
        <f>'Fats Raw Data'!AO90</f>
        <v>0</v>
      </c>
      <c r="W90">
        <f>'Fats Raw Data'!AP90-'Fats Raw Data'!AZ90</f>
        <v>0</v>
      </c>
      <c r="X90">
        <f>'Fats Raw Data'!AQ90-'Fats Raw Data'!BA90</f>
        <v>0</v>
      </c>
      <c r="Y90">
        <f>'Fats Raw Data'!AR90-'Fats Raw Data'!BB90</f>
        <v>0</v>
      </c>
      <c r="Z90">
        <f>'Fats Raw Data'!AS90-'Fats Raw Data'!BC90</f>
        <v>0</v>
      </c>
      <c r="AA90" t="str">
        <f>'Fats Raw Data'!AW90&amp;" - "&amp;'Fats Raw Data'!BG90</f>
        <v xml:space="preserve"> - </v>
      </c>
      <c r="AC90" s="1">
        <f>'Fats Raw Data'!AY90</f>
        <v>0</v>
      </c>
      <c r="AD90">
        <f>'Fats Raw Data'!AZ90-'Fats Raw Data'!B90</f>
        <v>0</v>
      </c>
      <c r="AE90">
        <f>'Fats Raw Data'!BA90-'Fats Raw Data'!C90</f>
        <v>0</v>
      </c>
      <c r="AF90">
        <f>'Fats Raw Data'!BB90-'Fats Raw Data'!D90</f>
        <v>0</v>
      </c>
      <c r="AG90">
        <f>'Fats Raw Data'!BC90-'Fats Raw Data'!E90</f>
        <v>0</v>
      </c>
      <c r="AH90" t="str">
        <f>'Fats Raw Data'!BG90&amp;" - "&amp;'Fats Raw Data'!I90</f>
        <v xml:space="preserve"> - </v>
      </c>
      <c r="AJ90" s="1">
        <f>'Fats Raw Data'!A90</f>
        <v>0</v>
      </c>
      <c r="AK90">
        <f>'Fats Raw Data'!B90-'Fats Raw Data'!L90</f>
        <v>0</v>
      </c>
      <c r="AL90">
        <f>'Fats Raw Data'!C90-'Fats Raw Data'!M90</f>
        <v>0</v>
      </c>
      <c r="AM90">
        <f>'Fats Raw Data'!D90-'Fats Raw Data'!N90</f>
        <v>0</v>
      </c>
      <c r="AN90">
        <f>'Fats Raw Data'!E90-'Fats Raw Data'!O90</f>
        <v>0</v>
      </c>
      <c r="AO90" t="str">
        <f>'Fats Raw Data'!I90&amp;" - "&amp;'Fats Raw Data'!S90</f>
        <v xml:space="preserve"> - </v>
      </c>
      <c r="AQ90" s="1">
        <f>'Fats Raw Data'!AE90</f>
        <v>0</v>
      </c>
      <c r="AR90">
        <f>'Fats Raw Data'!AF90-'Fats Raw Data'!AZ90</f>
        <v>0</v>
      </c>
      <c r="AS90">
        <f>'Fats Raw Data'!AG90-'Fats Raw Data'!BA90</f>
        <v>0</v>
      </c>
      <c r="AT90">
        <f>'Fats Raw Data'!AH90-'Fats Raw Data'!BB90</f>
        <v>0</v>
      </c>
      <c r="AU90">
        <f>'Fats Raw Data'!AI90-'Fats Raw Data'!BC90</f>
        <v>0</v>
      </c>
      <c r="AV90" t="str">
        <f>'Fats Raw Data'!AM90&amp;" - "&amp;'Fats Raw Data'!BG90</f>
        <v xml:space="preserve"> - </v>
      </c>
      <c r="AX90" s="1">
        <f>'Fats Raw Data'!A90</f>
        <v>0</v>
      </c>
      <c r="AY90">
        <f>'Fats Raw Data'!B90-'Fats Raw Data'!V90</f>
        <v>0</v>
      </c>
      <c r="AZ90">
        <f>'Fats Raw Data'!C90-'Fats Raw Data'!W90</f>
        <v>0</v>
      </c>
      <c r="BA90">
        <f>'Fats Raw Data'!D90-'Fats Raw Data'!X90</f>
        <v>0</v>
      </c>
      <c r="BB90">
        <f>'Fats Raw Data'!E90-'Fats Raw Data'!Y90</f>
        <v>0</v>
      </c>
      <c r="BC90" t="str">
        <f>'Fats Raw Data'!I90&amp;" - "&amp;'Fats Raw Data'!AC90</f>
        <v xml:space="preserve"> - </v>
      </c>
      <c r="BE90" s="1">
        <f>'Fats Raw Data'!K90</f>
        <v>0</v>
      </c>
      <c r="BF90">
        <f>'Fats Raw Data'!L90-'Fats Raw Data'!AF90</f>
        <v>0</v>
      </c>
      <c r="BG90">
        <f>'Fats Raw Data'!M90-'Fats Raw Data'!AG90</f>
        <v>0</v>
      </c>
      <c r="BH90">
        <f>'Fats Raw Data'!N90-'Fats Raw Data'!AH90</f>
        <v>0</v>
      </c>
      <c r="BI90">
        <f>'Fats Raw Data'!O90-'Fats Raw Data'!AI90</f>
        <v>0</v>
      </c>
      <c r="BJ90" t="str">
        <f>'Fats Raw Data'!S90&amp;" - "&amp;'Fats Raw Data'!AM90</f>
        <v xml:space="preserve"> - </v>
      </c>
    </row>
    <row r="91" spans="1:62" x14ac:dyDescent="0.25">
      <c r="A91" s="1">
        <f>'Fats Raw Data'!K91</f>
        <v>0</v>
      </c>
      <c r="B91">
        <f>'Fats Raw Data'!L91-'Fats Raw Data'!V91</f>
        <v>0</v>
      </c>
      <c r="C91">
        <f>'Fats Raw Data'!M91-'Fats Raw Data'!W91</f>
        <v>0</v>
      </c>
      <c r="D91">
        <f>'Fats Raw Data'!N91-'Fats Raw Data'!X91</f>
        <v>0</v>
      </c>
      <c r="E91">
        <f>'Fats Raw Data'!O91-'Fats Raw Data'!Y91</f>
        <v>0</v>
      </c>
      <c r="F91" t="str">
        <f>'Fats Raw Data'!S91&amp;" - "&amp;'Fats Raw Data'!AC91</f>
        <v xml:space="preserve"> - </v>
      </c>
      <c r="H91" s="1">
        <f>'Fats Raw Data'!U91</f>
        <v>0</v>
      </c>
      <c r="I91">
        <f>'Fats Raw Data'!V91-'Fats Raw Data'!AF91</f>
        <v>0</v>
      </c>
      <c r="J91">
        <f>'Fats Raw Data'!W91-'Fats Raw Data'!AG91</f>
        <v>0</v>
      </c>
      <c r="K91">
        <f>'Fats Raw Data'!X91-'Fats Raw Data'!AH91</f>
        <v>0</v>
      </c>
      <c r="L91">
        <f>'Fats Raw Data'!Y91-'Fats Raw Data'!AI91</f>
        <v>0</v>
      </c>
      <c r="M91" t="str">
        <f>'Fats Raw Data'!AC91&amp;" - "&amp;'Fats Raw Data'!AM91</f>
        <v xml:space="preserve"> - </v>
      </c>
      <c r="O91" s="1">
        <f>'Fats Raw Data'!AE91</f>
        <v>0</v>
      </c>
      <c r="P91">
        <f>'Fats Raw Data'!AF91-'Fats Raw Data'!AP91</f>
        <v>0</v>
      </c>
      <c r="Q91">
        <f>'Fats Raw Data'!AG91-'Fats Raw Data'!AQ91</f>
        <v>0</v>
      </c>
      <c r="R91">
        <f>'Fats Raw Data'!AH91-'Fats Raw Data'!AR91</f>
        <v>0</v>
      </c>
      <c r="S91">
        <f>'Fats Raw Data'!AI91-'Fats Raw Data'!AS91</f>
        <v>0</v>
      </c>
      <c r="T91" t="str">
        <f>'Fats Raw Data'!AM91&amp;" - "&amp;'Fats Raw Data'!AW91</f>
        <v xml:space="preserve"> - </v>
      </c>
      <c r="V91" s="1">
        <f>'Fats Raw Data'!AO91</f>
        <v>0</v>
      </c>
      <c r="W91">
        <f>'Fats Raw Data'!AP91-'Fats Raw Data'!AZ91</f>
        <v>0</v>
      </c>
      <c r="X91">
        <f>'Fats Raw Data'!AQ91-'Fats Raw Data'!BA91</f>
        <v>0</v>
      </c>
      <c r="Y91">
        <f>'Fats Raw Data'!AR91-'Fats Raw Data'!BB91</f>
        <v>0</v>
      </c>
      <c r="Z91">
        <f>'Fats Raw Data'!AS91-'Fats Raw Data'!BC91</f>
        <v>0</v>
      </c>
      <c r="AA91" t="str">
        <f>'Fats Raw Data'!AW91&amp;" - "&amp;'Fats Raw Data'!BG91</f>
        <v xml:space="preserve"> - </v>
      </c>
      <c r="AC91" s="1">
        <f>'Fats Raw Data'!AY91</f>
        <v>0</v>
      </c>
      <c r="AD91">
        <f>'Fats Raw Data'!AZ91-'Fats Raw Data'!B91</f>
        <v>0</v>
      </c>
      <c r="AE91">
        <f>'Fats Raw Data'!BA91-'Fats Raw Data'!C91</f>
        <v>0</v>
      </c>
      <c r="AF91">
        <f>'Fats Raw Data'!BB91-'Fats Raw Data'!D91</f>
        <v>0</v>
      </c>
      <c r="AG91">
        <f>'Fats Raw Data'!BC91-'Fats Raw Data'!E91</f>
        <v>0</v>
      </c>
      <c r="AH91" t="str">
        <f>'Fats Raw Data'!BG91&amp;" - "&amp;'Fats Raw Data'!I91</f>
        <v xml:space="preserve"> - </v>
      </c>
      <c r="AJ91" s="1">
        <f>'Fats Raw Data'!A91</f>
        <v>0</v>
      </c>
      <c r="AK91">
        <f>'Fats Raw Data'!B91-'Fats Raw Data'!L91</f>
        <v>0</v>
      </c>
      <c r="AL91">
        <f>'Fats Raw Data'!C91-'Fats Raw Data'!M91</f>
        <v>0</v>
      </c>
      <c r="AM91">
        <f>'Fats Raw Data'!D91-'Fats Raw Data'!N91</f>
        <v>0</v>
      </c>
      <c r="AN91">
        <f>'Fats Raw Data'!E91-'Fats Raw Data'!O91</f>
        <v>0</v>
      </c>
      <c r="AO91" t="str">
        <f>'Fats Raw Data'!I91&amp;" - "&amp;'Fats Raw Data'!S91</f>
        <v xml:space="preserve"> - </v>
      </c>
      <c r="AQ91" s="1">
        <f>'Fats Raw Data'!AE91</f>
        <v>0</v>
      </c>
      <c r="AR91">
        <f>'Fats Raw Data'!AF91-'Fats Raw Data'!AZ91</f>
        <v>0</v>
      </c>
      <c r="AS91">
        <f>'Fats Raw Data'!AG91-'Fats Raw Data'!BA91</f>
        <v>0</v>
      </c>
      <c r="AT91">
        <f>'Fats Raw Data'!AH91-'Fats Raw Data'!BB91</f>
        <v>0</v>
      </c>
      <c r="AU91">
        <f>'Fats Raw Data'!AI91-'Fats Raw Data'!BC91</f>
        <v>0</v>
      </c>
      <c r="AV91" t="str">
        <f>'Fats Raw Data'!AM91&amp;" - "&amp;'Fats Raw Data'!BG91</f>
        <v xml:space="preserve"> - </v>
      </c>
      <c r="AX91" s="1">
        <f>'Fats Raw Data'!A91</f>
        <v>0</v>
      </c>
      <c r="AY91">
        <f>'Fats Raw Data'!B91-'Fats Raw Data'!V91</f>
        <v>0</v>
      </c>
      <c r="AZ91">
        <f>'Fats Raw Data'!C91-'Fats Raw Data'!W91</f>
        <v>0</v>
      </c>
      <c r="BA91">
        <f>'Fats Raw Data'!D91-'Fats Raw Data'!X91</f>
        <v>0</v>
      </c>
      <c r="BB91">
        <f>'Fats Raw Data'!E91-'Fats Raw Data'!Y91</f>
        <v>0</v>
      </c>
      <c r="BC91" t="str">
        <f>'Fats Raw Data'!I91&amp;" - "&amp;'Fats Raw Data'!AC91</f>
        <v xml:space="preserve"> - </v>
      </c>
      <c r="BE91" s="1">
        <f>'Fats Raw Data'!K91</f>
        <v>0</v>
      </c>
      <c r="BF91">
        <f>'Fats Raw Data'!L91-'Fats Raw Data'!AF91</f>
        <v>0</v>
      </c>
      <c r="BG91">
        <f>'Fats Raw Data'!M91-'Fats Raw Data'!AG91</f>
        <v>0</v>
      </c>
      <c r="BH91">
        <f>'Fats Raw Data'!N91-'Fats Raw Data'!AH91</f>
        <v>0</v>
      </c>
      <c r="BI91">
        <f>'Fats Raw Data'!O91-'Fats Raw Data'!AI91</f>
        <v>0</v>
      </c>
      <c r="BJ91" t="str">
        <f>'Fats Raw Data'!S91&amp;" - "&amp;'Fats Raw Data'!AM91</f>
        <v xml:space="preserve"> - </v>
      </c>
    </row>
    <row r="92" spans="1:62" x14ac:dyDescent="0.25">
      <c r="A92" s="1">
        <f>'Fats Raw Data'!K92</f>
        <v>0</v>
      </c>
      <c r="B92">
        <f>'Fats Raw Data'!L92-'Fats Raw Data'!V92</f>
        <v>0</v>
      </c>
      <c r="C92">
        <f>'Fats Raw Data'!M92-'Fats Raw Data'!W92</f>
        <v>0</v>
      </c>
      <c r="D92">
        <f>'Fats Raw Data'!N92-'Fats Raw Data'!X92</f>
        <v>0</v>
      </c>
      <c r="E92">
        <f>'Fats Raw Data'!O92-'Fats Raw Data'!Y92</f>
        <v>0</v>
      </c>
      <c r="F92" t="str">
        <f>'Fats Raw Data'!S92&amp;" - "&amp;'Fats Raw Data'!AC92</f>
        <v xml:space="preserve"> - </v>
      </c>
      <c r="H92" s="1">
        <f>'Fats Raw Data'!U92</f>
        <v>0</v>
      </c>
      <c r="I92">
        <f>'Fats Raw Data'!V92-'Fats Raw Data'!AF92</f>
        <v>0</v>
      </c>
      <c r="J92">
        <f>'Fats Raw Data'!W92-'Fats Raw Data'!AG92</f>
        <v>0</v>
      </c>
      <c r="K92">
        <f>'Fats Raw Data'!X92-'Fats Raw Data'!AH92</f>
        <v>0</v>
      </c>
      <c r="L92">
        <f>'Fats Raw Data'!Y92-'Fats Raw Data'!AI92</f>
        <v>0</v>
      </c>
      <c r="M92" t="str">
        <f>'Fats Raw Data'!AC92&amp;" - "&amp;'Fats Raw Data'!AM92</f>
        <v xml:space="preserve"> - </v>
      </c>
      <c r="O92" s="1">
        <f>'Fats Raw Data'!AE92</f>
        <v>0</v>
      </c>
      <c r="P92">
        <f>'Fats Raw Data'!AF92-'Fats Raw Data'!AP92</f>
        <v>0</v>
      </c>
      <c r="Q92">
        <f>'Fats Raw Data'!AG92-'Fats Raw Data'!AQ92</f>
        <v>0</v>
      </c>
      <c r="R92">
        <f>'Fats Raw Data'!AH92-'Fats Raw Data'!AR92</f>
        <v>0</v>
      </c>
      <c r="S92">
        <f>'Fats Raw Data'!AI92-'Fats Raw Data'!AS92</f>
        <v>0</v>
      </c>
      <c r="T92" t="str">
        <f>'Fats Raw Data'!AM92&amp;" - "&amp;'Fats Raw Data'!AW92</f>
        <v xml:space="preserve"> - </v>
      </c>
      <c r="V92" s="1">
        <f>'Fats Raw Data'!AO92</f>
        <v>0</v>
      </c>
      <c r="W92">
        <f>'Fats Raw Data'!AP92-'Fats Raw Data'!AZ92</f>
        <v>0</v>
      </c>
      <c r="X92">
        <f>'Fats Raw Data'!AQ92-'Fats Raw Data'!BA92</f>
        <v>0</v>
      </c>
      <c r="Y92">
        <f>'Fats Raw Data'!AR92-'Fats Raw Data'!BB92</f>
        <v>0</v>
      </c>
      <c r="Z92">
        <f>'Fats Raw Data'!AS92-'Fats Raw Data'!BC92</f>
        <v>0</v>
      </c>
      <c r="AA92" t="str">
        <f>'Fats Raw Data'!AW92&amp;" - "&amp;'Fats Raw Data'!BG92</f>
        <v xml:space="preserve"> - </v>
      </c>
      <c r="AC92" s="1">
        <f>'Fats Raw Data'!AY92</f>
        <v>0</v>
      </c>
      <c r="AD92">
        <f>'Fats Raw Data'!AZ92-'Fats Raw Data'!B92</f>
        <v>0</v>
      </c>
      <c r="AE92">
        <f>'Fats Raw Data'!BA92-'Fats Raw Data'!C92</f>
        <v>0</v>
      </c>
      <c r="AF92">
        <f>'Fats Raw Data'!BB92-'Fats Raw Data'!D92</f>
        <v>0</v>
      </c>
      <c r="AG92">
        <f>'Fats Raw Data'!BC92-'Fats Raw Data'!E92</f>
        <v>0</v>
      </c>
      <c r="AH92" t="str">
        <f>'Fats Raw Data'!BG92&amp;" - "&amp;'Fats Raw Data'!I92</f>
        <v xml:space="preserve"> - </v>
      </c>
      <c r="AJ92" s="1">
        <f>'Fats Raw Data'!A92</f>
        <v>0</v>
      </c>
      <c r="AK92">
        <f>'Fats Raw Data'!B92-'Fats Raw Data'!L92</f>
        <v>0</v>
      </c>
      <c r="AL92">
        <f>'Fats Raw Data'!C92-'Fats Raw Data'!M92</f>
        <v>0</v>
      </c>
      <c r="AM92">
        <f>'Fats Raw Data'!D92-'Fats Raw Data'!N92</f>
        <v>0</v>
      </c>
      <c r="AN92">
        <f>'Fats Raw Data'!E92-'Fats Raw Data'!O92</f>
        <v>0</v>
      </c>
      <c r="AO92" t="str">
        <f>'Fats Raw Data'!I92&amp;" - "&amp;'Fats Raw Data'!S92</f>
        <v xml:space="preserve"> - </v>
      </c>
      <c r="AQ92" s="1">
        <f>'Fats Raw Data'!AE92</f>
        <v>0</v>
      </c>
      <c r="AR92">
        <f>'Fats Raw Data'!AF92-'Fats Raw Data'!AZ92</f>
        <v>0</v>
      </c>
      <c r="AS92">
        <f>'Fats Raw Data'!AG92-'Fats Raw Data'!BA92</f>
        <v>0</v>
      </c>
      <c r="AT92">
        <f>'Fats Raw Data'!AH92-'Fats Raw Data'!BB92</f>
        <v>0</v>
      </c>
      <c r="AU92">
        <f>'Fats Raw Data'!AI92-'Fats Raw Data'!BC92</f>
        <v>0</v>
      </c>
      <c r="AV92" t="str">
        <f>'Fats Raw Data'!AM92&amp;" - "&amp;'Fats Raw Data'!BG92</f>
        <v xml:space="preserve"> - </v>
      </c>
      <c r="AX92" s="1">
        <f>'Fats Raw Data'!A92</f>
        <v>0</v>
      </c>
      <c r="AY92">
        <f>'Fats Raw Data'!B92-'Fats Raw Data'!V92</f>
        <v>0</v>
      </c>
      <c r="AZ92">
        <f>'Fats Raw Data'!C92-'Fats Raw Data'!W92</f>
        <v>0</v>
      </c>
      <c r="BA92">
        <f>'Fats Raw Data'!D92-'Fats Raw Data'!X92</f>
        <v>0</v>
      </c>
      <c r="BB92">
        <f>'Fats Raw Data'!E92-'Fats Raw Data'!Y92</f>
        <v>0</v>
      </c>
      <c r="BC92" t="str">
        <f>'Fats Raw Data'!I92&amp;" - "&amp;'Fats Raw Data'!AC92</f>
        <v xml:space="preserve"> - </v>
      </c>
      <c r="BE92" s="1">
        <f>'Fats Raw Data'!K92</f>
        <v>0</v>
      </c>
      <c r="BF92">
        <f>'Fats Raw Data'!L92-'Fats Raw Data'!AF92</f>
        <v>0</v>
      </c>
      <c r="BG92">
        <f>'Fats Raw Data'!M92-'Fats Raw Data'!AG92</f>
        <v>0</v>
      </c>
      <c r="BH92">
        <f>'Fats Raw Data'!N92-'Fats Raw Data'!AH92</f>
        <v>0</v>
      </c>
      <c r="BI92">
        <f>'Fats Raw Data'!O92-'Fats Raw Data'!AI92</f>
        <v>0</v>
      </c>
      <c r="BJ92" t="str">
        <f>'Fats Raw Data'!S92&amp;" - "&amp;'Fats Raw Data'!AM92</f>
        <v xml:space="preserve"> - </v>
      </c>
    </row>
    <row r="93" spans="1:62" x14ac:dyDescent="0.25">
      <c r="A93" s="1">
        <f>'Fats Raw Data'!K93</f>
        <v>0</v>
      </c>
      <c r="B93">
        <f>'Fats Raw Data'!L93-'Fats Raw Data'!V93</f>
        <v>0</v>
      </c>
      <c r="C93">
        <f>'Fats Raw Data'!M93-'Fats Raw Data'!W93</f>
        <v>0</v>
      </c>
      <c r="D93">
        <f>'Fats Raw Data'!N93-'Fats Raw Data'!X93</f>
        <v>0</v>
      </c>
      <c r="E93">
        <f>'Fats Raw Data'!O93-'Fats Raw Data'!Y93</f>
        <v>0</v>
      </c>
      <c r="F93" t="str">
        <f>'Fats Raw Data'!S93&amp;" - "&amp;'Fats Raw Data'!AC93</f>
        <v xml:space="preserve"> - </v>
      </c>
      <c r="H93" s="1">
        <f>'Fats Raw Data'!U93</f>
        <v>0</v>
      </c>
      <c r="I93">
        <f>'Fats Raw Data'!V93-'Fats Raw Data'!AF93</f>
        <v>0</v>
      </c>
      <c r="J93">
        <f>'Fats Raw Data'!W93-'Fats Raw Data'!AG93</f>
        <v>0</v>
      </c>
      <c r="K93">
        <f>'Fats Raw Data'!X93-'Fats Raw Data'!AH93</f>
        <v>0</v>
      </c>
      <c r="L93">
        <f>'Fats Raw Data'!Y93-'Fats Raw Data'!AI93</f>
        <v>0</v>
      </c>
      <c r="M93" t="str">
        <f>'Fats Raw Data'!AC93&amp;" - "&amp;'Fats Raw Data'!AM93</f>
        <v xml:space="preserve"> - </v>
      </c>
      <c r="O93" s="1">
        <f>'Fats Raw Data'!AE93</f>
        <v>0</v>
      </c>
      <c r="P93">
        <f>'Fats Raw Data'!AF93-'Fats Raw Data'!AP93</f>
        <v>0</v>
      </c>
      <c r="Q93">
        <f>'Fats Raw Data'!AG93-'Fats Raw Data'!AQ93</f>
        <v>0</v>
      </c>
      <c r="R93">
        <f>'Fats Raw Data'!AH93-'Fats Raw Data'!AR93</f>
        <v>0</v>
      </c>
      <c r="S93">
        <f>'Fats Raw Data'!AI93-'Fats Raw Data'!AS93</f>
        <v>0</v>
      </c>
      <c r="T93" t="str">
        <f>'Fats Raw Data'!AM93&amp;" - "&amp;'Fats Raw Data'!AW93</f>
        <v xml:space="preserve"> - </v>
      </c>
      <c r="V93" s="1">
        <f>'Fats Raw Data'!AO93</f>
        <v>0</v>
      </c>
      <c r="W93">
        <f>'Fats Raw Data'!AP93-'Fats Raw Data'!AZ93</f>
        <v>0</v>
      </c>
      <c r="X93">
        <f>'Fats Raw Data'!AQ93-'Fats Raw Data'!BA93</f>
        <v>0</v>
      </c>
      <c r="Y93">
        <f>'Fats Raw Data'!AR93-'Fats Raw Data'!BB93</f>
        <v>0</v>
      </c>
      <c r="Z93">
        <f>'Fats Raw Data'!AS93-'Fats Raw Data'!BC93</f>
        <v>0</v>
      </c>
      <c r="AA93" t="str">
        <f>'Fats Raw Data'!AW93&amp;" - "&amp;'Fats Raw Data'!BG93</f>
        <v xml:space="preserve"> - </v>
      </c>
      <c r="AC93" s="1">
        <f>'Fats Raw Data'!AY93</f>
        <v>0</v>
      </c>
      <c r="AD93">
        <f>'Fats Raw Data'!AZ93-'Fats Raw Data'!B93</f>
        <v>0</v>
      </c>
      <c r="AE93">
        <f>'Fats Raw Data'!BA93-'Fats Raw Data'!C93</f>
        <v>0</v>
      </c>
      <c r="AF93">
        <f>'Fats Raw Data'!BB93-'Fats Raw Data'!D93</f>
        <v>0</v>
      </c>
      <c r="AG93">
        <f>'Fats Raw Data'!BC93-'Fats Raw Data'!E93</f>
        <v>0</v>
      </c>
      <c r="AH93" t="str">
        <f>'Fats Raw Data'!BG93&amp;" - "&amp;'Fats Raw Data'!I93</f>
        <v xml:space="preserve"> - </v>
      </c>
      <c r="AJ93" s="1">
        <f>'Fats Raw Data'!A93</f>
        <v>0</v>
      </c>
      <c r="AK93">
        <f>'Fats Raw Data'!B93-'Fats Raw Data'!L93</f>
        <v>0</v>
      </c>
      <c r="AL93">
        <f>'Fats Raw Data'!C93-'Fats Raw Data'!M93</f>
        <v>0</v>
      </c>
      <c r="AM93">
        <f>'Fats Raw Data'!D93-'Fats Raw Data'!N93</f>
        <v>0</v>
      </c>
      <c r="AN93">
        <f>'Fats Raw Data'!E93-'Fats Raw Data'!O93</f>
        <v>0</v>
      </c>
      <c r="AO93" t="str">
        <f>'Fats Raw Data'!I93&amp;" - "&amp;'Fats Raw Data'!S93</f>
        <v xml:space="preserve"> - </v>
      </c>
      <c r="AQ93" s="1">
        <f>'Fats Raw Data'!AE93</f>
        <v>0</v>
      </c>
      <c r="AR93">
        <f>'Fats Raw Data'!AF93-'Fats Raw Data'!AZ93</f>
        <v>0</v>
      </c>
      <c r="AS93">
        <f>'Fats Raw Data'!AG93-'Fats Raw Data'!BA93</f>
        <v>0</v>
      </c>
      <c r="AT93">
        <f>'Fats Raw Data'!AH93-'Fats Raw Data'!BB93</f>
        <v>0</v>
      </c>
      <c r="AU93">
        <f>'Fats Raw Data'!AI93-'Fats Raw Data'!BC93</f>
        <v>0</v>
      </c>
      <c r="AV93" t="str">
        <f>'Fats Raw Data'!AM93&amp;" - "&amp;'Fats Raw Data'!BG93</f>
        <v xml:space="preserve"> - </v>
      </c>
      <c r="AX93" s="1">
        <f>'Fats Raw Data'!A93</f>
        <v>0</v>
      </c>
      <c r="AY93">
        <f>'Fats Raw Data'!B93-'Fats Raw Data'!V93</f>
        <v>0</v>
      </c>
      <c r="AZ93">
        <f>'Fats Raw Data'!C93-'Fats Raw Data'!W93</f>
        <v>0</v>
      </c>
      <c r="BA93">
        <f>'Fats Raw Data'!D93-'Fats Raw Data'!X93</f>
        <v>0</v>
      </c>
      <c r="BB93">
        <f>'Fats Raw Data'!E93-'Fats Raw Data'!Y93</f>
        <v>0</v>
      </c>
      <c r="BC93" t="str">
        <f>'Fats Raw Data'!I93&amp;" - "&amp;'Fats Raw Data'!AC93</f>
        <v xml:space="preserve"> - </v>
      </c>
      <c r="BE93" s="1">
        <f>'Fats Raw Data'!K93</f>
        <v>0</v>
      </c>
      <c r="BF93">
        <f>'Fats Raw Data'!L93-'Fats Raw Data'!AF93</f>
        <v>0</v>
      </c>
      <c r="BG93">
        <f>'Fats Raw Data'!M93-'Fats Raw Data'!AG93</f>
        <v>0</v>
      </c>
      <c r="BH93">
        <f>'Fats Raw Data'!N93-'Fats Raw Data'!AH93</f>
        <v>0</v>
      </c>
      <c r="BI93">
        <f>'Fats Raw Data'!O93-'Fats Raw Data'!AI93</f>
        <v>0</v>
      </c>
      <c r="BJ93" t="str">
        <f>'Fats Raw Data'!S93&amp;" - "&amp;'Fats Raw Data'!AM93</f>
        <v xml:space="preserve"> - </v>
      </c>
    </row>
    <row r="94" spans="1:62" x14ac:dyDescent="0.25">
      <c r="A94" s="1">
        <f>'Fats Raw Data'!K94</f>
        <v>0</v>
      </c>
      <c r="B94">
        <f>'Fats Raw Data'!L94-'Fats Raw Data'!V94</f>
        <v>0</v>
      </c>
      <c r="C94">
        <f>'Fats Raw Data'!M94-'Fats Raw Data'!W94</f>
        <v>0</v>
      </c>
      <c r="D94">
        <f>'Fats Raw Data'!N94-'Fats Raw Data'!X94</f>
        <v>0</v>
      </c>
      <c r="E94">
        <f>'Fats Raw Data'!O94-'Fats Raw Data'!Y94</f>
        <v>0</v>
      </c>
      <c r="F94" t="str">
        <f>'Fats Raw Data'!S94&amp;" - "&amp;'Fats Raw Data'!AC94</f>
        <v xml:space="preserve"> - </v>
      </c>
      <c r="H94" s="1">
        <f>'Fats Raw Data'!U94</f>
        <v>0</v>
      </c>
      <c r="I94">
        <f>'Fats Raw Data'!V94-'Fats Raw Data'!AF94</f>
        <v>0</v>
      </c>
      <c r="J94">
        <f>'Fats Raw Data'!W94-'Fats Raw Data'!AG94</f>
        <v>0</v>
      </c>
      <c r="K94">
        <f>'Fats Raw Data'!X94-'Fats Raw Data'!AH94</f>
        <v>0</v>
      </c>
      <c r="L94">
        <f>'Fats Raw Data'!Y94-'Fats Raw Data'!AI94</f>
        <v>0</v>
      </c>
      <c r="M94" t="str">
        <f>'Fats Raw Data'!AC94&amp;" - "&amp;'Fats Raw Data'!AM94</f>
        <v xml:space="preserve"> - </v>
      </c>
      <c r="O94" s="1">
        <f>'Fats Raw Data'!AE94</f>
        <v>0</v>
      </c>
      <c r="P94">
        <f>'Fats Raw Data'!AF94-'Fats Raw Data'!AP94</f>
        <v>0</v>
      </c>
      <c r="Q94">
        <f>'Fats Raw Data'!AG94-'Fats Raw Data'!AQ94</f>
        <v>0</v>
      </c>
      <c r="R94">
        <f>'Fats Raw Data'!AH94-'Fats Raw Data'!AR94</f>
        <v>0</v>
      </c>
      <c r="S94">
        <f>'Fats Raw Data'!AI94-'Fats Raw Data'!AS94</f>
        <v>0</v>
      </c>
      <c r="T94" t="str">
        <f>'Fats Raw Data'!AM94&amp;" - "&amp;'Fats Raw Data'!AW94</f>
        <v xml:space="preserve"> - </v>
      </c>
      <c r="V94" s="1">
        <f>'Fats Raw Data'!AO94</f>
        <v>0</v>
      </c>
      <c r="W94">
        <f>'Fats Raw Data'!AP94-'Fats Raw Data'!AZ94</f>
        <v>0</v>
      </c>
      <c r="X94">
        <f>'Fats Raw Data'!AQ94-'Fats Raw Data'!BA94</f>
        <v>0</v>
      </c>
      <c r="Y94">
        <f>'Fats Raw Data'!AR94-'Fats Raw Data'!BB94</f>
        <v>0</v>
      </c>
      <c r="Z94">
        <f>'Fats Raw Data'!AS94-'Fats Raw Data'!BC94</f>
        <v>0</v>
      </c>
      <c r="AA94" t="str">
        <f>'Fats Raw Data'!AW94&amp;" - "&amp;'Fats Raw Data'!BG94</f>
        <v xml:space="preserve"> - </v>
      </c>
      <c r="AC94" s="1">
        <f>'Fats Raw Data'!AY94</f>
        <v>0</v>
      </c>
      <c r="AD94">
        <f>'Fats Raw Data'!AZ94-'Fats Raw Data'!B94</f>
        <v>0</v>
      </c>
      <c r="AE94">
        <f>'Fats Raw Data'!BA94-'Fats Raw Data'!C94</f>
        <v>0</v>
      </c>
      <c r="AF94">
        <f>'Fats Raw Data'!BB94-'Fats Raw Data'!D94</f>
        <v>0</v>
      </c>
      <c r="AG94">
        <f>'Fats Raw Data'!BC94-'Fats Raw Data'!E94</f>
        <v>0</v>
      </c>
      <c r="AH94" t="str">
        <f>'Fats Raw Data'!BG94&amp;" - "&amp;'Fats Raw Data'!I94</f>
        <v xml:space="preserve"> - </v>
      </c>
      <c r="AJ94" s="1">
        <f>'Fats Raw Data'!A94</f>
        <v>0</v>
      </c>
      <c r="AK94">
        <f>'Fats Raw Data'!B94-'Fats Raw Data'!L94</f>
        <v>0</v>
      </c>
      <c r="AL94">
        <f>'Fats Raw Data'!C94-'Fats Raw Data'!M94</f>
        <v>0</v>
      </c>
      <c r="AM94">
        <f>'Fats Raw Data'!D94-'Fats Raw Data'!N94</f>
        <v>0</v>
      </c>
      <c r="AN94">
        <f>'Fats Raw Data'!E94-'Fats Raw Data'!O94</f>
        <v>0</v>
      </c>
      <c r="AO94" t="str">
        <f>'Fats Raw Data'!I94&amp;" - "&amp;'Fats Raw Data'!S94</f>
        <v xml:space="preserve"> - </v>
      </c>
      <c r="AQ94" s="1">
        <f>'Fats Raw Data'!AE94</f>
        <v>0</v>
      </c>
      <c r="AR94">
        <f>'Fats Raw Data'!AF94-'Fats Raw Data'!AZ94</f>
        <v>0</v>
      </c>
      <c r="AS94">
        <f>'Fats Raw Data'!AG94-'Fats Raw Data'!BA94</f>
        <v>0</v>
      </c>
      <c r="AT94">
        <f>'Fats Raw Data'!AH94-'Fats Raw Data'!BB94</f>
        <v>0</v>
      </c>
      <c r="AU94">
        <f>'Fats Raw Data'!AI94-'Fats Raw Data'!BC94</f>
        <v>0</v>
      </c>
      <c r="AV94" t="str">
        <f>'Fats Raw Data'!AM94&amp;" - "&amp;'Fats Raw Data'!BG94</f>
        <v xml:space="preserve"> - </v>
      </c>
      <c r="AX94" s="1">
        <f>'Fats Raw Data'!A94</f>
        <v>0</v>
      </c>
      <c r="AY94">
        <f>'Fats Raw Data'!B94-'Fats Raw Data'!V94</f>
        <v>0</v>
      </c>
      <c r="AZ94">
        <f>'Fats Raw Data'!C94-'Fats Raw Data'!W94</f>
        <v>0</v>
      </c>
      <c r="BA94">
        <f>'Fats Raw Data'!D94-'Fats Raw Data'!X94</f>
        <v>0</v>
      </c>
      <c r="BB94">
        <f>'Fats Raw Data'!E94-'Fats Raw Data'!Y94</f>
        <v>0</v>
      </c>
      <c r="BC94" t="str">
        <f>'Fats Raw Data'!I94&amp;" - "&amp;'Fats Raw Data'!AC94</f>
        <v xml:space="preserve"> - </v>
      </c>
      <c r="BE94" s="1">
        <f>'Fats Raw Data'!K94</f>
        <v>0</v>
      </c>
      <c r="BF94">
        <f>'Fats Raw Data'!L94-'Fats Raw Data'!AF94</f>
        <v>0</v>
      </c>
      <c r="BG94">
        <f>'Fats Raw Data'!M94-'Fats Raw Data'!AG94</f>
        <v>0</v>
      </c>
      <c r="BH94">
        <f>'Fats Raw Data'!N94-'Fats Raw Data'!AH94</f>
        <v>0</v>
      </c>
      <c r="BI94">
        <f>'Fats Raw Data'!O94-'Fats Raw Data'!AI94</f>
        <v>0</v>
      </c>
      <c r="BJ94" t="str">
        <f>'Fats Raw Data'!S94&amp;" - "&amp;'Fats Raw Data'!AM94</f>
        <v xml:space="preserve"> - </v>
      </c>
    </row>
    <row r="95" spans="1:62" x14ac:dyDescent="0.25">
      <c r="A95" s="1">
        <f>'Fats Raw Data'!K95</f>
        <v>0</v>
      </c>
      <c r="B95">
        <f>'Fats Raw Data'!L95-'Fats Raw Data'!V95</f>
        <v>0</v>
      </c>
      <c r="C95">
        <f>'Fats Raw Data'!M95-'Fats Raw Data'!W95</f>
        <v>0</v>
      </c>
      <c r="D95">
        <f>'Fats Raw Data'!N95-'Fats Raw Data'!X95</f>
        <v>0</v>
      </c>
      <c r="E95">
        <f>'Fats Raw Data'!O95-'Fats Raw Data'!Y95</f>
        <v>0</v>
      </c>
      <c r="F95" t="str">
        <f>'Fats Raw Data'!S95&amp;" - "&amp;'Fats Raw Data'!AC95</f>
        <v xml:space="preserve"> - </v>
      </c>
      <c r="H95" s="1">
        <f>'Fats Raw Data'!U95</f>
        <v>0</v>
      </c>
      <c r="I95">
        <f>'Fats Raw Data'!V95-'Fats Raw Data'!AF95</f>
        <v>0</v>
      </c>
      <c r="J95">
        <f>'Fats Raw Data'!W95-'Fats Raw Data'!AG95</f>
        <v>0</v>
      </c>
      <c r="K95">
        <f>'Fats Raw Data'!X95-'Fats Raw Data'!AH95</f>
        <v>0</v>
      </c>
      <c r="L95">
        <f>'Fats Raw Data'!Y95-'Fats Raw Data'!AI95</f>
        <v>0</v>
      </c>
      <c r="M95" t="str">
        <f>'Fats Raw Data'!AC95&amp;" - "&amp;'Fats Raw Data'!AM95</f>
        <v xml:space="preserve"> - </v>
      </c>
      <c r="O95" s="1">
        <f>'Fats Raw Data'!AE95</f>
        <v>0</v>
      </c>
      <c r="P95">
        <f>'Fats Raw Data'!AF95-'Fats Raw Data'!AP95</f>
        <v>0</v>
      </c>
      <c r="Q95">
        <f>'Fats Raw Data'!AG95-'Fats Raw Data'!AQ95</f>
        <v>0</v>
      </c>
      <c r="R95">
        <f>'Fats Raw Data'!AH95-'Fats Raw Data'!AR95</f>
        <v>0</v>
      </c>
      <c r="S95">
        <f>'Fats Raw Data'!AI95-'Fats Raw Data'!AS95</f>
        <v>0</v>
      </c>
      <c r="T95" t="str">
        <f>'Fats Raw Data'!AM95&amp;" - "&amp;'Fats Raw Data'!AW95</f>
        <v xml:space="preserve"> - </v>
      </c>
      <c r="V95" s="1">
        <f>'Fats Raw Data'!AO95</f>
        <v>0</v>
      </c>
      <c r="W95">
        <f>'Fats Raw Data'!AP95-'Fats Raw Data'!AZ95</f>
        <v>0</v>
      </c>
      <c r="X95">
        <f>'Fats Raw Data'!AQ95-'Fats Raw Data'!BA95</f>
        <v>0</v>
      </c>
      <c r="Y95">
        <f>'Fats Raw Data'!AR95-'Fats Raw Data'!BB95</f>
        <v>0</v>
      </c>
      <c r="Z95">
        <f>'Fats Raw Data'!AS95-'Fats Raw Data'!BC95</f>
        <v>0</v>
      </c>
      <c r="AA95" t="str">
        <f>'Fats Raw Data'!AW95&amp;" - "&amp;'Fats Raw Data'!BG95</f>
        <v xml:space="preserve"> - </v>
      </c>
      <c r="AC95" s="1">
        <f>'Fats Raw Data'!AY95</f>
        <v>0</v>
      </c>
      <c r="AD95">
        <f>'Fats Raw Data'!AZ95-'Fats Raw Data'!B95</f>
        <v>0</v>
      </c>
      <c r="AE95">
        <f>'Fats Raw Data'!BA95-'Fats Raw Data'!C95</f>
        <v>0</v>
      </c>
      <c r="AF95">
        <f>'Fats Raw Data'!BB95-'Fats Raw Data'!D95</f>
        <v>0</v>
      </c>
      <c r="AG95">
        <f>'Fats Raw Data'!BC95-'Fats Raw Data'!E95</f>
        <v>0</v>
      </c>
      <c r="AH95" t="str">
        <f>'Fats Raw Data'!BG95&amp;" - "&amp;'Fats Raw Data'!I95</f>
        <v xml:space="preserve"> - </v>
      </c>
      <c r="AJ95" s="1">
        <f>'Fats Raw Data'!A95</f>
        <v>0</v>
      </c>
      <c r="AK95">
        <f>'Fats Raw Data'!B95-'Fats Raw Data'!L95</f>
        <v>0</v>
      </c>
      <c r="AL95">
        <f>'Fats Raw Data'!C95-'Fats Raw Data'!M95</f>
        <v>0</v>
      </c>
      <c r="AM95">
        <f>'Fats Raw Data'!D95-'Fats Raw Data'!N95</f>
        <v>0</v>
      </c>
      <c r="AN95">
        <f>'Fats Raw Data'!E95-'Fats Raw Data'!O95</f>
        <v>0</v>
      </c>
      <c r="AO95" t="str">
        <f>'Fats Raw Data'!I95&amp;" - "&amp;'Fats Raw Data'!S95</f>
        <v xml:space="preserve"> - </v>
      </c>
      <c r="AQ95" s="1">
        <f>'Fats Raw Data'!AE95</f>
        <v>0</v>
      </c>
      <c r="AR95">
        <f>'Fats Raw Data'!AF95-'Fats Raw Data'!AZ95</f>
        <v>0</v>
      </c>
      <c r="AS95">
        <f>'Fats Raw Data'!AG95-'Fats Raw Data'!BA95</f>
        <v>0</v>
      </c>
      <c r="AT95">
        <f>'Fats Raw Data'!AH95-'Fats Raw Data'!BB95</f>
        <v>0</v>
      </c>
      <c r="AU95">
        <f>'Fats Raw Data'!AI95-'Fats Raw Data'!BC95</f>
        <v>0</v>
      </c>
      <c r="AV95" t="str">
        <f>'Fats Raw Data'!AM95&amp;" - "&amp;'Fats Raw Data'!BG95</f>
        <v xml:space="preserve"> - </v>
      </c>
      <c r="AX95" s="1">
        <f>'Fats Raw Data'!A95</f>
        <v>0</v>
      </c>
      <c r="AY95">
        <f>'Fats Raw Data'!B95-'Fats Raw Data'!V95</f>
        <v>0</v>
      </c>
      <c r="AZ95">
        <f>'Fats Raw Data'!C95-'Fats Raw Data'!W95</f>
        <v>0</v>
      </c>
      <c r="BA95">
        <f>'Fats Raw Data'!D95-'Fats Raw Data'!X95</f>
        <v>0</v>
      </c>
      <c r="BB95">
        <f>'Fats Raw Data'!E95-'Fats Raw Data'!Y95</f>
        <v>0</v>
      </c>
      <c r="BC95" t="str">
        <f>'Fats Raw Data'!I95&amp;" - "&amp;'Fats Raw Data'!AC95</f>
        <v xml:space="preserve"> - </v>
      </c>
      <c r="BE95" s="1">
        <f>'Fats Raw Data'!K95</f>
        <v>0</v>
      </c>
      <c r="BF95">
        <f>'Fats Raw Data'!L95-'Fats Raw Data'!AF95</f>
        <v>0</v>
      </c>
      <c r="BG95">
        <f>'Fats Raw Data'!M95-'Fats Raw Data'!AG95</f>
        <v>0</v>
      </c>
      <c r="BH95">
        <f>'Fats Raw Data'!N95-'Fats Raw Data'!AH95</f>
        <v>0</v>
      </c>
      <c r="BI95">
        <f>'Fats Raw Data'!O95-'Fats Raw Data'!AI95</f>
        <v>0</v>
      </c>
      <c r="BJ95" t="str">
        <f>'Fats Raw Data'!S95&amp;" - "&amp;'Fats Raw Data'!AM95</f>
        <v xml:space="preserve"> - </v>
      </c>
    </row>
    <row r="96" spans="1:62" x14ac:dyDescent="0.25">
      <c r="A96" s="1">
        <f>'Fats Raw Data'!K96</f>
        <v>0</v>
      </c>
      <c r="B96">
        <f>'Fats Raw Data'!L96-'Fats Raw Data'!V96</f>
        <v>0</v>
      </c>
      <c r="C96">
        <f>'Fats Raw Data'!M96-'Fats Raw Data'!W96</f>
        <v>0</v>
      </c>
      <c r="D96">
        <f>'Fats Raw Data'!N96-'Fats Raw Data'!X96</f>
        <v>0</v>
      </c>
      <c r="E96">
        <f>'Fats Raw Data'!O96-'Fats Raw Data'!Y96</f>
        <v>0</v>
      </c>
      <c r="F96" t="str">
        <f>'Fats Raw Data'!S96&amp;" - "&amp;'Fats Raw Data'!AC96</f>
        <v xml:space="preserve"> - </v>
      </c>
      <c r="H96" s="1">
        <f>'Fats Raw Data'!U96</f>
        <v>0</v>
      </c>
      <c r="I96">
        <f>'Fats Raw Data'!V96-'Fats Raw Data'!AF96</f>
        <v>0</v>
      </c>
      <c r="J96">
        <f>'Fats Raw Data'!W96-'Fats Raw Data'!AG96</f>
        <v>0</v>
      </c>
      <c r="K96">
        <f>'Fats Raw Data'!X96-'Fats Raw Data'!AH96</f>
        <v>0</v>
      </c>
      <c r="L96">
        <f>'Fats Raw Data'!Y96-'Fats Raw Data'!AI96</f>
        <v>0</v>
      </c>
      <c r="M96" t="str">
        <f>'Fats Raw Data'!AC96&amp;" - "&amp;'Fats Raw Data'!AM96</f>
        <v xml:space="preserve"> - </v>
      </c>
      <c r="O96" s="1">
        <f>'Fats Raw Data'!AE96</f>
        <v>0</v>
      </c>
      <c r="P96">
        <f>'Fats Raw Data'!AF96-'Fats Raw Data'!AP96</f>
        <v>0</v>
      </c>
      <c r="Q96">
        <f>'Fats Raw Data'!AG96-'Fats Raw Data'!AQ96</f>
        <v>0</v>
      </c>
      <c r="R96">
        <f>'Fats Raw Data'!AH96-'Fats Raw Data'!AR96</f>
        <v>0</v>
      </c>
      <c r="S96">
        <f>'Fats Raw Data'!AI96-'Fats Raw Data'!AS96</f>
        <v>0</v>
      </c>
      <c r="T96" t="str">
        <f>'Fats Raw Data'!AM96&amp;" - "&amp;'Fats Raw Data'!AW96</f>
        <v xml:space="preserve"> - </v>
      </c>
      <c r="V96" s="1">
        <f>'Fats Raw Data'!AO96</f>
        <v>0</v>
      </c>
      <c r="W96">
        <f>'Fats Raw Data'!AP96-'Fats Raw Data'!AZ96</f>
        <v>0</v>
      </c>
      <c r="X96">
        <f>'Fats Raw Data'!AQ96-'Fats Raw Data'!BA96</f>
        <v>0</v>
      </c>
      <c r="Y96">
        <f>'Fats Raw Data'!AR96-'Fats Raw Data'!BB96</f>
        <v>0</v>
      </c>
      <c r="Z96">
        <f>'Fats Raw Data'!AS96-'Fats Raw Data'!BC96</f>
        <v>0</v>
      </c>
      <c r="AA96" t="str">
        <f>'Fats Raw Data'!AW96&amp;" - "&amp;'Fats Raw Data'!BG96</f>
        <v xml:space="preserve"> - </v>
      </c>
      <c r="AC96" s="1">
        <f>'Fats Raw Data'!AY96</f>
        <v>0</v>
      </c>
      <c r="AD96">
        <f>'Fats Raw Data'!AZ96-'Fats Raw Data'!B96</f>
        <v>0</v>
      </c>
      <c r="AE96">
        <f>'Fats Raw Data'!BA96-'Fats Raw Data'!C96</f>
        <v>0</v>
      </c>
      <c r="AF96">
        <f>'Fats Raw Data'!BB96-'Fats Raw Data'!D96</f>
        <v>0</v>
      </c>
      <c r="AG96">
        <f>'Fats Raw Data'!BC96-'Fats Raw Data'!E96</f>
        <v>0</v>
      </c>
      <c r="AH96" t="str">
        <f>'Fats Raw Data'!BG96&amp;" - "&amp;'Fats Raw Data'!I96</f>
        <v xml:space="preserve"> - </v>
      </c>
      <c r="AJ96" s="1">
        <f>'Fats Raw Data'!A96</f>
        <v>0</v>
      </c>
      <c r="AK96">
        <f>'Fats Raw Data'!B96-'Fats Raw Data'!L96</f>
        <v>0</v>
      </c>
      <c r="AL96">
        <f>'Fats Raw Data'!C96-'Fats Raw Data'!M96</f>
        <v>0</v>
      </c>
      <c r="AM96">
        <f>'Fats Raw Data'!D96-'Fats Raw Data'!N96</f>
        <v>0</v>
      </c>
      <c r="AN96">
        <f>'Fats Raw Data'!E96-'Fats Raw Data'!O96</f>
        <v>0</v>
      </c>
      <c r="AO96" t="str">
        <f>'Fats Raw Data'!I96&amp;" - "&amp;'Fats Raw Data'!S96</f>
        <v xml:space="preserve"> - </v>
      </c>
      <c r="AQ96" s="1">
        <f>'Fats Raw Data'!AE96</f>
        <v>0</v>
      </c>
      <c r="AR96">
        <f>'Fats Raw Data'!AF96-'Fats Raw Data'!AZ96</f>
        <v>0</v>
      </c>
      <c r="AS96">
        <f>'Fats Raw Data'!AG96-'Fats Raw Data'!BA96</f>
        <v>0</v>
      </c>
      <c r="AT96">
        <f>'Fats Raw Data'!AH96-'Fats Raw Data'!BB96</f>
        <v>0</v>
      </c>
      <c r="AU96">
        <f>'Fats Raw Data'!AI96-'Fats Raw Data'!BC96</f>
        <v>0</v>
      </c>
      <c r="AV96" t="str">
        <f>'Fats Raw Data'!AM96&amp;" - "&amp;'Fats Raw Data'!BG96</f>
        <v xml:space="preserve"> - </v>
      </c>
      <c r="AX96" s="1">
        <f>'Fats Raw Data'!A96</f>
        <v>0</v>
      </c>
      <c r="AY96">
        <f>'Fats Raw Data'!B96-'Fats Raw Data'!V96</f>
        <v>0</v>
      </c>
      <c r="AZ96">
        <f>'Fats Raw Data'!C96-'Fats Raw Data'!W96</f>
        <v>0</v>
      </c>
      <c r="BA96">
        <f>'Fats Raw Data'!D96-'Fats Raw Data'!X96</f>
        <v>0</v>
      </c>
      <c r="BB96">
        <f>'Fats Raw Data'!E96-'Fats Raw Data'!Y96</f>
        <v>0</v>
      </c>
      <c r="BC96" t="str">
        <f>'Fats Raw Data'!I96&amp;" - "&amp;'Fats Raw Data'!AC96</f>
        <v xml:space="preserve"> - </v>
      </c>
      <c r="BE96" s="1">
        <f>'Fats Raw Data'!K96</f>
        <v>0</v>
      </c>
      <c r="BF96">
        <f>'Fats Raw Data'!L96-'Fats Raw Data'!AF96</f>
        <v>0</v>
      </c>
      <c r="BG96">
        <f>'Fats Raw Data'!M96-'Fats Raw Data'!AG96</f>
        <v>0</v>
      </c>
      <c r="BH96">
        <f>'Fats Raw Data'!N96-'Fats Raw Data'!AH96</f>
        <v>0</v>
      </c>
      <c r="BI96">
        <f>'Fats Raw Data'!O96-'Fats Raw Data'!AI96</f>
        <v>0</v>
      </c>
      <c r="BJ96" t="str">
        <f>'Fats Raw Data'!S96&amp;" - "&amp;'Fats Raw Data'!AM96</f>
        <v xml:space="preserve"> - </v>
      </c>
    </row>
    <row r="97" spans="1:62" x14ac:dyDescent="0.25">
      <c r="A97" s="1">
        <f>'Fats Raw Data'!K97</f>
        <v>0</v>
      </c>
      <c r="B97">
        <f>'Fats Raw Data'!L97-'Fats Raw Data'!V97</f>
        <v>0</v>
      </c>
      <c r="C97">
        <f>'Fats Raw Data'!M97-'Fats Raw Data'!W97</f>
        <v>0</v>
      </c>
      <c r="D97">
        <f>'Fats Raw Data'!N97-'Fats Raw Data'!X97</f>
        <v>0</v>
      </c>
      <c r="E97">
        <f>'Fats Raw Data'!O97-'Fats Raw Data'!Y97</f>
        <v>0</v>
      </c>
      <c r="F97" t="str">
        <f>'Fats Raw Data'!S97&amp;" - "&amp;'Fats Raw Data'!AC97</f>
        <v xml:space="preserve"> - </v>
      </c>
      <c r="H97" s="1">
        <f>'Fats Raw Data'!U97</f>
        <v>0</v>
      </c>
      <c r="I97">
        <f>'Fats Raw Data'!V97-'Fats Raw Data'!AF97</f>
        <v>0</v>
      </c>
      <c r="J97">
        <f>'Fats Raw Data'!W97-'Fats Raw Data'!AG97</f>
        <v>0</v>
      </c>
      <c r="K97">
        <f>'Fats Raw Data'!X97-'Fats Raw Data'!AH97</f>
        <v>0</v>
      </c>
      <c r="L97">
        <f>'Fats Raw Data'!Y97-'Fats Raw Data'!AI97</f>
        <v>0</v>
      </c>
      <c r="M97" t="str">
        <f>'Fats Raw Data'!AC97&amp;" - "&amp;'Fats Raw Data'!AM97</f>
        <v xml:space="preserve"> - </v>
      </c>
      <c r="O97" s="1">
        <f>'Fats Raw Data'!AE97</f>
        <v>0</v>
      </c>
      <c r="P97">
        <f>'Fats Raw Data'!AF97-'Fats Raw Data'!AP97</f>
        <v>0</v>
      </c>
      <c r="Q97">
        <f>'Fats Raw Data'!AG97-'Fats Raw Data'!AQ97</f>
        <v>0</v>
      </c>
      <c r="R97">
        <f>'Fats Raw Data'!AH97-'Fats Raw Data'!AR97</f>
        <v>0</v>
      </c>
      <c r="S97">
        <f>'Fats Raw Data'!AI97-'Fats Raw Data'!AS97</f>
        <v>0</v>
      </c>
      <c r="T97" t="str">
        <f>'Fats Raw Data'!AM97&amp;" - "&amp;'Fats Raw Data'!AW97</f>
        <v xml:space="preserve"> - </v>
      </c>
      <c r="V97" s="1">
        <f>'Fats Raw Data'!AO97</f>
        <v>0</v>
      </c>
      <c r="W97">
        <f>'Fats Raw Data'!AP97-'Fats Raw Data'!AZ97</f>
        <v>0</v>
      </c>
      <c r="X97">
        <f>'Fats Raw Data'!AQ97-'Fats Raw Data'!BA97</f>
        <v>0</v>
      </c>
      <c r="Y97">
        <f>'Fats Raw Data'!AR97-'Fats Raw Data'!BB97</f>
        <v>0</v>
      </c>
      <c r="Z97">
        <f>'Fats Raw Data'!AS97-'Fats Raw Data'!BC97</f>
        <v>0</v>
      </c>
      <c r="AA97" t="str">
        <f>'Fats Raw Data'!AW97&amp;" - "&amp;'Fats Raw Data'!BG97</f>
        <v xml:space="preserve"> - </v>
      </c>
      <c r="AC97" s="1">
        <f>'Fats Raw Data'!AY97</f>
        <v>0</v>
      </c>
      <c r="AD97">
        <f>'Fats Raw Data'!AZ97-'Fats Raw Data'!B97</f>
        <v>0</v>
      </c>
      <c r="AE97">
        <f>'Fats Raw Data'!BA97-'Fats Raw Data'!C97</f>
        <v>0</v>
      </c>
      <c r="AF97">
        <f>'Fats Raw Data'!BB97-'Fats Raw Data'!D97</f>
        <v>0</v>
      </c>
      <c r="AG97">
        <f>'Fats Raw Data'!BC97-'Fats Raw Data'!E97</f>
        <v>0</v>
      </c>
      <c r="AH97" t="str">
        <f>'Fats Raw Data'!BG97&amp;" - "&amp;'Fats Raw Data'!I97</f>
        <v xml:space="preserve"> - </v>
      </c>
      <c r="AJ97" s="1">
        <f>'Fats Raw Data'!A97</f>
        <v>0</v>
      </c>
      <c r="AK97">
        <f>'Fats Raw Data'!B97-'Fats Raw Data'!L97</f>
        <v>0</v>
      </c>
      <c r="AL97">
        <f>'Fats Raw Data'!C97-'Fats Raw Data'!M97</f>
        <v>0</v>
      </c>
      <c r="AM97">
        <f>'Fats Raw Data'!D97-'Fats Raw Data'!N97</f>
        <v>0</v>
      </c>
      <c r="AN97">
        <f>'Fats Raw Data'!E97-'Fats Raw Data'!O97</f>
        <v>0</v>
      </c>
      <c r="AO97" t="str">
        <f>'Fats Raw Data'!I97&amp;" - "&amp;'Fats Raw Data'!S97</f>
        <v xml:space="preserve"> - </v>
      </c>
      <c r="AQ97" s="1">
        <f>'Fats Raw Data'!AE97</f>
        <v>0</v>
      </c>
      <c r="AR97">
        <f>'Fats Raw Data'!AF97-'Fats Raw Data'!AZ97</f>
        <v>0</v>
      </c>
      <c r="AS97">
        <f>'Fats Raw Data'!AG97-'Fats Raw Data'!BA97</f>
        <v>0</v>
      </c>
      <c r="AT97">
        <f>'Fats Raw Data'!AH97-'Fats Raw Data'!BB97</f>
        <v>0</v>
      </c>
      <c r="AU97">
        <f>'Fats Raw Data'!AI97-'Fats Raw Data'!BC97</f>
        <v>0</v>
      </c>
      <c r="AV97" t="str">
        <f>'Fats Raw Data'!AM97&amp;" - "&amp;'Fats Raw Data'!BG97</f>
        <v xml:space="preserve"> - </v>
      </c>
      <c r="AX97" s="1">
        <f>'Fats Raw Data'!A97</f>
        <v>0</v>
      </c>
      <c r="AY97">
        <f>'Fats Raw Data'!B97-'Fats Raw Data'!V97</f>
        <v>0</v>
      </c>
      <c r="AZ97">
        <f>'Fats Raw Data'!C97-'Fats Raw Data'!W97</f>
        <v>0</v>
      </c>
      <c r="BA97">
        <f>'Fats Raw Data'!D97-'Fats Raw Data'!X97</f>
        <v>0</v>
      </c>
      <c r="BB97">
        <f>'Fats Raw Data'!E97-'Fats Raw Data'!Y97</f>
        <v>0</v>
      </c>
      <c r="BC97" t="str">
        <f>'Fats Raw Data'!I97&amp;" - "&amp;'Fats Raw Data'!AC97</f>
        <v xml:space="preserve"> - </v>
      </c>
      <c r="BE97" s="1">
        <f>'Fats Raw Data'!K97</f>
        <v>0</v>
      </c>
      <c r="BF97">
        <f>'Fats Raw Data'!L97-'Fats Raw Data'!AF97</f>
        <v>0</v>
      </c>
      <c r="BG97">
        <f>'Fats Raw Data'!M97-'Fats Raw Data'!AG97</f>
        <v>0</v>
      </c>
      <c r="BH97">
        <f>'Fats Raw Data'!N97-'Fats Raw Data'!AH97</f>
        <v>0</v>
      </c>
      <c r="BI97">
        <f>'Fats Raw Data'!O97-'Fats Raw Data'!AI97</f>
        <v>0</v>
      </c>
      <c r="BJ97" t="str">
        <f>'Fats Raw Data'!S97&amp;" - "&amp;'Fats Raw Data'!AM97</f>
        <v xml:space="preserve"> - </v>
      </c>
    </row>
    <row r="98" spans="1:62" x14ac:dyDescent="0.25">
      <c r="A98" s="1">
        <f>'Fats Raw Data'!K98</f>
        <v>0</v>
      </c>
      <c r="B98">
        <f>'Fats Raw Data'!L98-'Fats Raw Data'!V98</f>
        <v>0</v>
      </c>
      <c r="C98">
        <f>'Fats Raw Data'!M98-'Fats Raw Data'!W98</f>
        <v>0</v>
      </c>
      <c r="D98">
        <f>'Fats Raw Data'!N98-'Fats Raw Data'!X98</f>
        <v>0</v>
      </c>
      <c r="E98">
        <f>'Fats Raw Data'!O98-'Fats Raw Data'!Y98</f>
        <v>0</v>
      </c>
      <c r="F98" t="str">
        <f>'Fats Raw Data'!S98&amp;" - "&amp;'Fats Raw Data'!AC98</f>
        <v xml:space="preserve"> - </v>
      </c>
      <c r="H98" s="1">
        <f>'Fats Raw Data'!U98</f>
        <v>0</v>
      </c>
      <c r="I98">
        <f>'Fats Raw Data'!V98-'Fats Raw Data'!AF98</f>
        <v>0</v>
      </c>
      <c r="J98">
        <f>'Fats Raw Data'!W98-'Fats Raw Data'!AG98</f>
        <v>0</v>
      </c>
      <c r="K98">
        <f>'Fats Raw Data'!X98-'Fats Raw Data'!AH98</f>
        <v>0</v>
      </c>
      <c r="L98">
        <f>'Fats Raw Data'!Y98-'Fats Raw Data'!AI98</f>
        <v>0</v>
      </c>
      <c r="M98" t="str">
        <f>'Fats Raw Data'!AC98&amp;" - "&amp;'Fats Raw Data'!AM98</f>
        <v xml:space="preserve"> - </v>
      </c>
      <c r="O98" s="1">
        <f>'Fats Raw Data'!AE98</f>
        <v>0</v>
      </c>
      <c r="P98">
        <f>'Fats Raw Data'!AF98-'Fats Raw Data'!AP98</f>
        <v>0</v>
      </c>
      <c r="Q98">
        <f>'Fats Raw Data'!AG98-'Fats Raw Data'!AQ98</f>
        <v>0</v>
      </c>
      <c r="R98">
        <f>'Fats Raw Data'!AH98-'Fats Raw Data'!AR98</f>
        <v>0</v>
      </c>
      <c r="S98">
        <f>'Fats Raw Data'!AI98-'Fats Raw Data'!AS98</f>
        <v>0</v>
      </c>
      <c r="T98" t="str">
        <f>'Fats Raw Data'!AM98&amp;" - "&amp;'Fats Raw Data'!AW98</f>
        <v xml:space="preserve"> - </v>
      </c>
      <c r="V98" s="1">
        <f>'Fats Raw Data'!AO98</f>
        <v>0</v>
      </c>
      <c r="W98">
        <f>'Fats Raw Data'!AP98-'Fats Raw Data'!AZ98</f>
        <v>0</v>
      </c>
      <c r="X98">
        <f>'Fats Raw Data'!AQ98-'Fats Raw Data'!BA98</f>
        <v>0</v>
      </c>
      <c r="Y98">
        <f>'Fats Raw Data'!AR98-'Fats Raw Data'!BB98</f>
        <v>0</v>
      </c>
      <c r="Z98">
        <f>'Fats Raw Data'!AS98-'Fats Raw Data'!BC98</f>
        <v>0</v>
      </c>
      <c r="AA98" t="str">
        <f>'Fats Raw Data'!AW98&amp;" - "&amp;'Fats Raw Data'!BG98</f>
        <v xml:space="preserve"> - </v>
      </c>
      <c r="AC98" s="1">
        <f>'Fats Raw Data'!AY98</f>
        <v>0</v>
      </c>
      <c r="AD98">
        <f>'Fats Raw Data'!AZ98-'Fats Raw Data'!B98</f>
        <v>0</v>
      </c>
      <c r="AE98">
        <f>'Fats Raw Data'!BA98-'Fats Raw Data'!C98</f>
        <v>0</v>
      </c>
      <c r="AF98">
        <f>'Fats Raw Data'!BB98-'Fats Raw Data'!D98</f>
        <v>0</v>
      </c>
      <c r="AG98">
        <f>'Fats Raw Data'!BC98-'Fats Raw Data'!E98</f>
        <v>0</v>
      </c>
      <c r="AH98" t="str">
        <f>'Fats Raw Data'!BG98&amp;" - "&amp;'Fats Raw Data'!I98</f>
        <v xml:space="preserve"> - </v>
      </c>
      <c r="AJ98" s="1">
        <f>'Fats Raw Data'!A98</f>
        <v>0</v>
      </c>
      <c r="AK98">
        <f>'Fats Raw Data'!B98-'Fats Raw Data'!L98</f>
        <v>0</v>
      </c>
      <c r="AL98">
        <f>'Fats Raw Data'!C98-'Fats Raw Data'!M98</f>
        <v>0</v>
      </c>
      <c r="AM98">
        <f>'Fats Raw Data'!D98-'Fats Raw Data'!N98</f>
        <v>0</v>
      </c>
      <c r="AN98">
        <f>'Fats Raw Data'!E98-'Fats Raw Data'!O98</f>
        <v>0</v>
      </c>
      <c r="AO98" t="str">
        <f>'Fats Raw Data'!I98&amp;" - "&amp;'Fats Raw Data'!S98</f>
        <v xml:space="preserve"> - </v>
      </c>
      <c r="AQ98" s="1">
        <f>'Fats Raw Data'!AE98</f>
        <v>0</v>
      </c>
      <c r="AR98">
        <f>'Fats Raw Data'!AF98-'Fats Raw Data'!AZ98</f>
        <v>0</v>
      </c>
      <c r="AS98">
        <f>'Fats Raw Data'!AG98-'Fats Raw Data'!BA98</f>
        <v>0</v>
      </c>
      <c r="AT98">
        <f>'Fats Raw Data'!AH98-'Fats Raw Data'!BB98</f>
        <v>0</v>
      </c>
      <c r="AU98">
        <f>'Fats Raw Data'!AI98-'Fats Raw Data'!BC98</f>
        <v>0</v>
      </c>
      <c r="AV98" t="str">
        <f>'Fats Raw Data'!AM98&amp;" - "&amp;'Fats Raw Data'!BG98</f>
        <v xml:space="preserve"> - </v>
      </c>
      <c r="AX98" s="1">
        <f>'Fats Raw Data'!A98</f>
        <v>0</v>
      </c>
      <c r="AY98">
        <f>'Fats Raw Data'!B98-'Fats Raw Data'!V98</f>
        <v>0</v>
      </c>
      <c r="AZ98">
        <f>'Fats Raw Data'!C98-'Fats Raw Data'!W98</f>
        <v>0</v>
      </c>
      <c r="BA98">
        <f>'Fats Raw Data'!D98-'Fats Raw Data'!X98</f>
        <v>0</v>
      </c>
      <c r="BB98">
        <f>'Fats Raw Data'!E98-'Fats Raw Data'!Y98</f>
        <v>0</v>
      </c>
      <c r="BC98" t="str">
        <f>'Fats Raw Data'!I98&amp;" - "&amp;'Fats Raw Data'!AC98</f>
        <v xml:space="preserve"> - </v>
      </c>
      <c r="BE98" s="1">
        <f>'Fats Raw Data'!K98</f>
        <v>0</v>
      </c>
      <c r="BF98">
        <f>'Fats Raw Data'!L98-'Fats Raw Data'!AF98</f>
        <v>0</v>
      </c>
      <c r="BG98">
        <f>'Fats Raw Data'!M98-'Fats Raw Data'!AG98</f>
        <v>0</v>
      </c>
      <c r="BH98">
        <f>'Fats Raw Data'!N98-'Fats Raw Data'!AH98</f>
        <v>0</v>
      </c>
      <c r="BI98">
        <f>'Fats Raw Data'!O98-'Fats Raw Data'!AI98</f>
        <v>0</v>
      </c>
      <c r="BJ98" t="str">
        <f>'Fats Raw Data'!S98&amp;" - "&amp;'Fats Raw Data'!AM98</f>
        <v xml:space="preserve"> - </v>
      </c>
    </row>
    <row r="99" spans="1:62" x14ac:dyDescent="0.25">
      <c r="A99" s="1">
        <f>'Fats Raw Data'!K99</f>
        <v>0</v>
      </c>
      <c r="B99">
        <f>'Fats Raw Data'!L99-'Fats Raw Data'!V99</f>
        <v>0</v>
      </c>
      <c r="C99">
        <f>'Fats Raw Data'!M99-'Fats Raw Data'!W99</f>
        <v>0</v>
      </c>
      <c r="D99">
        <f>'Fats Raw Data'!N99-'Fats Raw Data'!X99</f>
        <v>0</v>
      </c>
      <c r="E99">
        <f>'Fats Raw Data'!O99-'Fats Raw Data'!Y99</f>
        <v>0</v>
      </c>
      <c r="F99" t="str">
        <f>'Fats Raw Data'!S99&amp;" - "&amp;'Fats Raw Data'!AC99</f>
        <v xml:space="preserve"> - </v>
      </c>
      <c r="H99" s="1">
        <f>'Fats Raw Data'!U99</f>
        <v>0</v>
      </c>
      <c r="I99">
        <f>'Fats Raw Data'!V99-'Fats Raw Data'!AF99</f>
        <v>0</v>
      </c>
      <c r="J99">
        <f>'Fats Raw Data'!W99-'Fats Raw Data'!AG99</f>
        <v>0</v>
      </c>
      <c r="K99">
        <f>'Fats Raw Data'!X99-'Fats Raw Data'!AH99</f>
        <v>0</v>
      </c>
      <c r="L99">
        <f>'Fats Raw Data'!Y99-'Fats Raw Data'!AI99</f>
        <v>0</v>
      </c>
      <c r="M99" t="str">
        <f>'Fats Raw Data'!AC99&amp;" - "&amp;'Fats Raw Data'!AM99</f>
        <v xml:space="preserve"> - </v>
      </c>
      <c r="O99" s="1">
        <f>'Fats Raw Data'!AE99</f>
        <v>0</v>
      </c>
      <c r="P99">
        <f>'Fats Raw Data'!AF99-'Fats Raw Data'!AP99</f>
        <v>0</v>
      </c>
      <c r="Q99">
        <f>'Fats Raw Data'!AG99-'Fats Raw Data'!AQ99</f>
        <v>0</v>
      </c>
      <c r="R99">
        <f>'Fats Raw Data'!AH99-'Fats Raw Data'!AR99</f>
        <v>0</v>
      </c>
      <c r="S99">
        <f>'Fats Raw Data'!AI99-'Fats Raw Data'!AS99</f>
        <v>0</v>
      </c>
      <c r="T99" t="str">
        <f>'Fats Raw Data'!AM99&amp;" - "&amp;'Fats Raw Data'!AW99</f>
        <v xml:space="preserve"> - </v>
      </c>
      <c r="V99" s="1">
        <f>'Fats Raw Data'!AO99</f>
        <v>0</v>
      </c>
      <c r="W99">
        <f>'Fats Raw Data'!AP99-'Fats Raw Data'!AZ99</f>
        <v>0</v>
      </c>
      <c r="X99">
        <f>'Fats Raw Data'!AQ99-'Fats Raw Data'!BA99</f>
        <v>0</v>
      </c>
      <c r="Y99">
        <f>'Fats Raw Data'!AR99-'Fats Raw Data'!BB99</f>
        <v>0</v>
      </c>
      <c r="Z99">
        <f>'Fats Raw Data'!AS99-'Fats Raw Data'!BC99</f>
        <v>0</v>
      </c>
      <c r="AA99" t="str">
        <f>'Fats Raw Data'!AW99&amp;" - "&amp;'Fats Raw Data'!BG99</f>
        <v xml:space="preserve"> - </v>
      </c>
      <c r="AC99" s="1">
        <f>'Fats Raw Data'!AY99</f>
        <v>0</v>
      </c>
      <c r="AD99">
        <f>'Fats Raw Data'!AZ99-'Fats Raw Data'!B99</f>
        <v>0</v>
      </c>
      <c r="AE99">
        <f>'Fats Raw Data'!BA99-'Fats Raw Data'!C99</f>
        <v>0</v>
      </c>
      <c r="AF99">
        <f>'Fats Raw Data'!BB99-'Fats Raw Data'!D99</f>
        <v>0</v>
      </c>
      <c r="AG99">
        <f>'Fats Raw Data'!BC99-'Fats Raw Data'!E99</f>
        <v>0</v>
      </c>
      <c r="AH99" t="str">
        <f>'Fats Raw Data'!BG99&amp;" - "&amp;'Fats Raw Data'!I99</f>
        <v xml:space="preserve"> - </v>
      </c>
      <c r="AJ99" s="1">
        <f>'Fats Raw Data'!A99</f>
        <v>0</v>
      </c>
      <c r="AK99">
        <f>'Fats Raw Data'!B99-'Fats Raw Data'!L99</f>
        <v>0</v>
      </c>
      <c r="AL99">
        <f>'Fats Raw Data'!C99-'Fats Raw Data'!M99</f>
        <v>0</v>
      </c>
      <c r="AM99">
        <f>'Fats Raw Data'!D99-'Fats Raw Data'!N99</f>
        <v>0</v>
      </c>
      <c r="AN99">
        <f>'Fats Raw Data'!E99-'Fats Raw Data'!O99</f>
        <v>0</v>
      </c>
      <c r="AO99" t="str">
        <f>'Fats Raw Data'!I99&amp;" - "&amp;'Fats Raw Data'!S99</f>
        <v xml:space="preserve"> - </v>
      </c>
      <c r="AQ99" s="1">
        <f>'Fats Raw Data'!AE99</f>
        <v>0</v>
      </c>
      <c r="AR99">
        <f>'Fats Raw Data'!AF99-'Fats Raw Data'!AZ99</f>
        <v>0</v>
      </c>
      <c r="AS99">
        <f>'Fats Raw Data'!AG99-'Fats Raw Data'!BA99</f>
        <v>0</v>
      </c>
      <c r="AT99">
        <f>'Fats Raw Data'!AH99-'Fats Raw Data'!BB99</f>
        <v>0</v>
      </c>
      <c r="AU99">
        <f>'Fats Raw Data'!AI99-'Fats Raw Data'!BC99</f>
        <v>0</v>
      </c>
      <c r="AV99" t="str">
        <f>'Fats Raw Data'!AM99&amp;" - "&amp;'Fats Raw Data'!BG99</f>
        <v xml:space="preserve"> - </v>
      </c>
      <c r="AX99" s="1">
        <f>'Fats Raw Data'!A99</f>
        <v>0</v>
      </c>
      <c r="AY99">
        <f>'Fats Raw Data'!B99-'Fats Raw Data'!V99</f>
        <v>0</v>
      </c>
      <c r="AZ99">
        <f>'Fats Raw Data'!C99-'Fats Raw Data'!W99</f>
        <v>0</v>
      </c>
      <c r="BA99">
        <f>'Fats Raw Data'!D99-'Fats Raw Data'!X99</f>
        <v>0</v>
      </c>
      <c r="BB99">
        <f>'Fats Raw Data'!E99-'Fats Raw Data'!Y99</f>
        <v>0</v>
      </c>
      <c r="BC99" t="str">
        <f>'Fats Raw Data'!I99&amp;" - "&amp;'Fats Raw Data'!AC99</f>
        <v xml:space="preserve"> - </v>
      </c>
      <c r="BE99" s="1">
        <f>'Fats Raw Data'!K99</f>
        <v>0</v>
      </c>
      <c r="BF99">
        <f>'Fats Raw Data'!L99-'Fats Raw Data'!AF99</f>
        <v>0</v>
      </c>
      <c r="BG99">
        <f>'Fats Raw Data'!M99-'Fats Raw Data'!AG99</f>
        <v>0</v>
      </c>
      <c r="BH99">
        <f>'Fats Raw Data'!N99-'Fats Raw Data'!AH99</f>
        <v>0</v>
      </c>
      <c r="BI99">
        <f>'Fats Raw Data'!O99-'Fats Raw Data'!AI99</f>
        <v>0</v>
      </c>
      <c r="BJ99" t="str">
        <f>'Fats Raw Data'!S99&amp;" - "&amp;'Fats Raw Data'!AM99</f>
        <v xml:space="preserve"> - </v>
      </c>
    </row>
    <row r="100" spans="1:62" x14ac:dyDescent="0.25">
      <c r="A100" s="1">
        <f>'Fats Raw Data'!K100</f>
        <v>0</v>
      </c>
      <c r="B100">
        <f>'Fats Raw Data'!L100-'Fats Raw Data'!V100</f>
        <v>0</v>
      </c>
      <c r="C100">
        <f>'Fats Raw Data'!M100-'Fats Raw Data'!W100</f>
        <v>0</v>
      </c>
      <c r="D100">
        <f>'Fats Raw Data'!N100-'Fats Raw Data'!X100</f>
        <v>0</v>
      </c>
      <c r="E100">
        <f>'Fats Raw Data'!O100-'Fats Raw Data'!Y100</f>
        <v>0</v>
      </c>
      <c r="F100" t="str">
        <f>'Fats Raw Data'!S100&amp;" - "&amp;'Fats Raw Data'!AC100</f>
        <v xml:space="preserve"> - </v>
      </c>
      <c r="H100" s="1">
        <f>'Fats Raw Data'!U100</f>
        <v>0</v>
      </c>
      <c r="I100">
        <f>'Fats Raw Data'!V100-'Fats Raw Data'!AF100</f>
        <v>0</v>
      </c>
      <c r="J100">
        <f>'Fats Raw Data'!W100-'Fats Raw Data'!AG100</f>
        <v>0</v>
      </c>
      <c r="K100">
        <f>'Fats Raw Data'!X100-'Fats Raw Data'!AH100</f>
        <v>0</v>
      </c>
      <c r="L100">
        <f>'Fats Raw Data'!Y100-'Fats Raw Data'!AI100</f>
        <v>0</v>
      </c>
      <c r="M100" t="str">
        <f>'Fats Raw Data'!AC100&amp;" - "&amp;'Fats Raw Data'!AM100</f>
        <v xml:space="preserve"> - </v>
      </c>
      <c r="O100" s="1">
        <f>'Fats Raw Data'!AE100</f>
        <v>0</v>
      </c>
      <c r="P100">
        <f>'Fats Raw Data'!AF100-'Fats Raw Data'!AP100</f>
        <v>0</v>
      </c>
      <c r="Q100">
        <f>'Fats Raw Data'!AG100-'Fats Raw Data'!AQ100</f>
        <v>0</v>
      </c>
      <c r="R100">
        <f>'Fats Raw Data'!AH100-'Fats Raw Data'!AR100</f>
        <v>0</v>
      </c>
      <c r="S100">
        <f>'Fats Raw Data'!AI100-'Fats Raw Data'!AS100</f>
        <v>0</v>
      </c>
      <c r="T100" t="str">
        <f>'Fats Raw Data'!AM100&amp;" - "&amp;'Fats Raw Data'!AW100</f>
        <v xml:space="preserve"> - </v>
      </c>
      <c r="V100" s="1">
        <f>'Fats Raw Data'!AO100</f>
        <v>0</v>
      </c>
      <c r="W100">
        <f>'Fats Raw Data'!AP100-'Fats Raw Data'!AZ100</f>
        <v>0</v>
      </c>
      <c r="X100">
        <f>'Fats Raw Data'!AQ100-'Fats Raw Data'!BA100</f>
        <v>0</v>
      </c>
      <c r="Y100">
        <f>'Fats Raw Data'!AR100-'Fats Raw Data'!BB100</f>
        <v>0</v>
      </c>
      <c r="Z100">
        <f>'Fats Raw Data'!AS100-'Fats Raw Data'!BC100</f>
        <v>0</v>
      </c>
      <c r="AA100" t="str">
        <f>'Fats Raw Data'!AW100&amp;" - "&amp;'Fats Raw Data'!BG100</f>
        <v xml:space="preserve"> - </v>
      </c>
      <c r="AC100" s="1">
        <f>'Fats Raw Data'!AY100</f>
        <v>0</v>
      </c>
      <c r="AD100">
        <f>'Fats Raw Data'!AZ100-'Fats Raw Data'!B100</f>
        <v>0</v>
      </c>
      <c r="AE100">
        <f>'Fats Raw Data'!BA100-'Fats Raw Data'!C100</f>
        <v>0</v>
      </c>
      <c r="AF100">
        <f>'Fats Raw Data'!BB100-'Fats Raw Data'!D100</f>
        <v>0</v>
      </c>
      <c r="AG100">
        <f>'Fats Raw Data'!BC100-'Fats Raw Data'!E100</f>
        <v>0</v>
      </c>
      <c r="AH100" t="str">
        <f>'Fats Raw Data'!BG100&amp;" - "&amp;'Fats Raw Data'!I100</f>
        <v xml:space="preserve"> - </v>
      </c>
      <c r="AJ100" s="1">
        <f>'Fats Raw Data'!A100</f>
        <v>0</v>
      </c>
      <c r="AK100">
        <f>'Fats Raw Data'!B100-'Fats Raw Data'!L100</f>
        <v>0</v>
      </c>
      <c r="AL100">
        <f>'Fats Raw Data'!C100-'Fats Raw Data'!M100</f>
        <v>0</v>
      </c>
      <c r="AM100">
        <f>'Fats Raw Data'!D100-'Fats Raw Data'!N100</f>
        <v>0</v>
      </c>
      <c r="AN100">
        <f>'Fats Raw Data'!E100-'Fats Raw Data'!O100</f>
        <v>0</v>
      </c>
      <c r="AO100" t="str">
        <f>'Fats Raw Data'!I100&amp;" - "&amp;'Fats Raw Data'!S100</f>
        <v xml:space="preserve"> - </v>
      </c>
      <c r="AQ100" s="1">
        <f>'Fats Raw Data'!AE100</f>
        <v>0</v>
      </c>
      <c r="AR100">
        <f>'Fats Raw Data'!AF100-'Fats Raw Data'!AZ100</f>
        <v>0</v>
      </c>
      <c r="AS100">
        <f>'Fats Raw Data'!AG100-'Fats Raw Data'!BA100</f>
        <v>0</v>
      </c>
      <c r="AT100">
        <f>'Fats Raw Data'!AH100-'Fats Raw Data'!BB100</f>
        <v>0</v>
      </c>
      <c r="AU100">
        <f>'Fats Raw Data'!AI100-'Fats Raw Data'!BC100</f>
        <v>0</v>
      </c>
      <c r="AV100" t="str">
        <f>'Fats Raw Data'!AM100&amp;" - "&amp;'Fats Raw Data'!BG100</f>
        <v xml:space="preserve"> - </v>
      </c>
      <c r="AX100" s="1">
        <f>'Fats Raw Data'!A100</f>
        <v>0</v>
      </c>
      <c r="AY100">
        <f>'Fats Raw Data'!B100-'Fats Raw Data'!V100</f>
        <v>0</v>
      </c>
      <c r="AZ100">
        <f>'Fats Raw Data'!C100-'Fats Raw Data'!W100</f>
        <v>0</v>
      </c>
      <c r="BA100">
        <f>'Fats Raw Data'!D100-'Fats Raw Data'!X100</f>
        <v>0</v>
      </c>
      <c r="BB100">
        <f>'Fats Raw Data'!E100-'Fats Raw Data'!Y100</f>
        <v>0</v>
      </c>
      <c r="BC100" t="str">
        <f>'Fats Raw Data'!I100&amp;" - "&amp;'Fats Raw Data'!AC100</f>
        <v xml:space="preserve"> - </v>
      </c>
      <c r="BE100" s="1">
        <f>'Fats Raw Data'!K100</f>
        <v>0</v>
      </c>
      <c r="BF100">
        <f>'Fats Raw Data'!L100-'Fats Raw Data'!AF100</f>
        <v>0</v>
      </c>
      <c r="BG100">
        <f>'Fats Raw Data'!M100-'Fats Raw Data'!AG100</f>
        <v>0</v>
      </c>
      <c r="BH100">
        <f>'Fats Raw Data'!N100-'Fats Raw Data'!AH100</f>
        <v>0</v>
      </c>
      <c r="BI100">
        <f>'Fats Raw Data'!O100-'Fats Raw Data'!AI100</f>
        <v>0</v>
      </c>
      <c r="BJ100" t="str">
        <f>'Fats Raw Data'!S100&amp;" - "&amp;'Fats Raw Data'!AM100</f>
        <v xml:space="preserve"> - </v>
      </c>
    </row>
    <row r="101" spans="1:62" x14ac:dyDescent="0.25">
      <c r="A101" s="1">
        <f>'Fats Raw Data'!K101</f>
        <v>0</v>
      </c>
      <c r="B101">
        <f>'Fats Raw Data'!L101-'Fats Raw Data'!V101</f>
        <v>0</v>
      </c>
      <c r="C101">
        <f>'Fats Raw Data'!M101-'Fats Raw Data'!W101</f>
        <v>0</v>
      </c>
      <c r="D101">
        <f>'Fats Raw Data'!N101-'Fats Raw Data'!X101</f>
        <v>0</v>
      </c>
      <c r="E101">
        <f>'Fats Raw Data'!O101-'Fats Raw Data'!Y101</f>
        <v>0</v>
      </c>
      <c r="F101" t="str">
        <f>'Fats Raw Data'!S101&amp;" - "&amp;'Fats Raw Data'!AC101</f>
        <v xml:space="preserve"> - </v>
      </c>
      <c r="H101" s="1">
        <f>'Fats Raw Data'!U101</f>
        <v>0</v>
      </c>
      <c r="I101">
        <f>'Fats Raw Data'!V101-'Fats Raw Data'!AF101</f>
        <v>0</v>
      </c>
      <c r="J101">
        <f>'Fats Raw Data'!W101-'Fats Raw Data'!AG101</f>
        <v>0</v>
      </c>
      <c r="K101">
        <f>'Fats Raw Data'!X101-'Fats Raw Data'!AH101</f>
        <v>0</v>
      </c>
      <c r="L101">
        <f>'Fats Raw Data'!Y101-'Fats Raw Data'!AI101</f>
        <v>0</v>
      </c>
      <c r="M101" t="str">
        <f>'Fats Raw Data'!AC101&amp;" - "&amp;'Fats Raw Data'!AM101</f>
        <v xml:space="preserve"> - </v>
      </c>
      <c r="O101" s="1">
        <f>'Fats Raw Data'!AE101</f>
        <v>0</v>
      </c>
      <c r="P101">
        <f>'Fats Raw Data'!AF101-'Fats Raw Data'!AP101</f>
        <v>0</v>
      </c>
      <c r="Q101">
        <f>'Fats Raw Data'!AG101-'Fats Raw Data'!AQ101</f>
        <v>0</v>
      </c>
      <c r="R101">
        <f>'Fats Raw Data'!AH101-'Fats Raw Data'!AR101</f>
        <v>0</v>
      </c>
      <c r="S101">
        <f>'Fats Raw Data'!AI101-'Fats Raw Data'!AS101</f>
        <v>0</v>
      </c>
      <c r="T101" t="str">
        <f>'Fats Raw Data'!AM101&amp;" - "&amp;'Fats Raw Data'!AW101</f>
        <v xml:space="preserve"> - </v>
      </c>
      <c r="V101" s="1">
        <f>'Fats Raw Data'!AO101</f>
        <v>0</v>
      </c>
      <c r="W101">
        <f>'Fats Raw Data'!AP101-'Fats Raw Data'!AZ101</f>
        <v>0</v>
      </c>
      <c r="X101">
        <f>'Fats Raw Data'!AQ101-'Fats Raw Data'!BA101</f>
        <v>0</v>
      </c>
      <c r="Y101">
        <f>'Fats Raw Data'!AR101-'Fats Raw Data'!BB101</f>
        <v>0</v>
      </c>
      <c r="Z101">
        <f>'Fats Raw Data'!AS101-'Fats Raw Data'!BC101</f>
        <v>0</v>
      </c>
      <c r="AA101" t="str">
        <f>'Fats Raw Data'!AW101&amp;" - "&amp;'Fats Raw Data'!BG101</f>
        <v xml:space="preserve"> - </v>
      </c>
      <c r="AC101" s="1">
        <f>'Fats Raw Data'!AY101</f>
        <v>0</v>
      </c>
      <c r="AD101">
        <f>'Fats Raw Data'!AZ101-'Fats Raw Data'!B101</f>
        <v>0</v>
      </c>
      <c r="AE101">
        <f>'Fats Raw Data'!BA101-'Fats Raw Data'!C101</f>
        <v>0</v>
      </c>
      <c r="AF101">
        <f>'Fats Raw Data'!BB101-'Fats Raw Data'!D101</f>
        <v>0</v>
      </c>
      <c r="AG101">
        <f>'Fats Raw Data'!BC101-'Fats Raw Data'!E101</f>
        <v>0</v>
      </c>
      <c r="AH101" t="str">
        <f>'Fats Raw Data'!BG101&amp;" - "&amp;'Fats Raw Data'!I101</f>
        <v xml:space="preserve"> - </v>
      </c>
      <c r="AJ101" s="1">
        <f>'Fats Raw Data'!A101</f>
        <v>0</v>
      </c>
      <c r="AK101">
        <f>'Fats Raw Data'!B101-'Fats Raw Data'!L101</f>
        <v>0</v>
      </c>
      <c r="AL101">
        <f>'Fats Raw Data'!C101-'Fats Raw Data'!M101</f>
        <v>0</v>
      </c>
      <c r="AM101">
        <f>'Fats Raw Data'!D101-'Fats Raw Data'!N101</f>
        <v>0</v>
      </c>
      <c r="AN101">
        <f>'Fats Raw Data'!E101-'Fats Raw Data'!O101</f>
        <v>0</v>
      </c>
      <c r="AO101" t="str">
        <f>'Fats Raw Data'!I101&amp;" - "&amp;'Fats Raw Data'!S101</f>
        <v xml:space="preserve"> - </v>
      </c>
      <c r="AQ101" s="1">
        <f>'Fats Raw Data'!AE101</f>
        <v>0</v>
      </c>
      <c r="AR101">
        <f>'Fats Raw Data'!AF101-'Fats Raw Data'!AZ101</f>
        <v>0</v>
      </c>
      <c r="AS101">
        <f>'Fats Raw Data'!AG101-'Fats Raw Data'!BA101</f>
        <v>0</v>
      </c>
      <c r="AT101">
        <f>'Fats Raw Data'!AH101-'Fats Raw Data'!BB101</f>
        <v>0</v>
      </c>
      <c r="AU101">
        <f>'Fats Raw Data'!AI101-'Fats Raw Data'!BC101</f>
        <v>0</v>
      </c>
      <c r="AV101" t="str">
        <f>'Fats Raw Data'!AM101&amp;" - "&amp;'Fats Raw Data'!BG101</f>
        <v xml:space="preserve"> - </v>
      </c>
      <c r="AX101" s="1">
        <f>'Fats Raw Data'!A101</f>
        <v>0</v>
      </c>
      <c r="AY101">
        <f>'Fats Raw Data'!B101-'Fats Raw Data'!V101</f>
        <v>0</v>
      </c>
      <c r="AZ101">
        <f>'Fats Raw Data'!C101-'Fats Raw Data'!W101</f>
        <v>0</v>
      </c>
      <c r="BA101">
        <f>'Fats Raw Data'!D101-'Fats Raw Data'!X101</f>
        <v>0</v>
      </c>
      <c r="BB101">
        <f>'Fats Raw Data'!E101-'Fats Raw Data'!Y101</f>
        <v>0</v>
      </c>
      <c r="BC101" t="str">
        <f>'Fats Raw Data'!I101&amp;" - "&amp;'Fats Raw Data'!AC101</f>
        <v xml:space="preserve"> - </v>
      </c>
      <c r="BE101" s="1">
        <f>'Fats Raw Data'!K101</f>
        <v>0</v>
      </c>
      <c r="BF101">
        <f>'Fats Raw Data'!L101-'Fats Raw Data'!AF101</f>
        <v>0</v>
      </c>
      <c r="BG101">
        <f>'Fats Raw Data'!M101-'Fats Raw Data'!AG101</f>
        <v>0</v>
      </c>
      <c r="BH101">
        <f>'Fats Raw Data'!N101-'Fats Raw Data'!AH101</f>
        <v>0</v>
      </c>
      <c r="BI101">
        <f>'Fats Raw Data'!O101-'Fats Raw Data'!AI101</f>
        <v>0</v>
      </c>
      <c r="BJ101" t="str">
        <f>'Fats Raw Data'!S101&amp;" - "&amp;'Fats Raw Data'!AM101</f>
        <v xml:space="preserve"> - </v>
      </c>
    </row>
    <row r="102" spans="1:62" x14ac:dyDescent="0.25">
      <c r="A102" s="1">
        <f>'Fats Raw Data'!K102</f>
        <v>0</v>
      </c>
      <c r="B102">
        <f>'Fats Raw Data'!L102-'Fats Raw Data'!V102</f>
        <v>0</v>
      </c>
      <c r="C102">
        <f>'Fats Raw Data'!M102-'Fats Raw Data'!W102</f>
        <v>0</v>
      </c>
      <c r="D102">
        <f>'Fats Raw Data'!N102-'Fats Raw Data'!X102</f>
        <v>0</v>
      </c>
      <c r="E102">
        <f>'Fats Raw Data'!O102-'Fats Raw Data'!Y102</f>
        <v>0</v>
      </c>
      <c r="F102" t="str">
        <f>'Fats Raw Data'!S102&amp;" - "&amp;'Fats Raw Data'!AC102</f>
        <v xml:space="preserve"> - </v>
      </c>
      <c r="H102" s="1">
        <f>'Fats Raw Data'!U102</f>
        <v>0</v>
      </c>
      <c r="I102">
        <f>'Fats Raw Data'!V102-'Fats Raw Data'!AF102</f>
        <v>0</v>
      </c>
      <c r="J102">
        <f>'Fats Raw Data'!W102-'Fats Raw Data'!AG102</f>
        <v>0</v>
      </c>
      <c r="K102">
        <f>'Fats Raw Data'!X102-'Fats Raw Data'!AH102</f>
        <v>0</v>
      </c>
      <c r="L102">
        <f>'Fats Raw Data'!Y102-'Fats Raw Data'!AI102</f>
        <v>0</v>
      </c>
      <c r="M102" t="str">
        <f>'Fats Raw Data'!AC102&amp;" - "&amp;'Fats Raw Data'!AM102</f>
        <v xml:space="preserve"> - </v>
      </c>
      <c r="O102" s="1">
        <f>'Fats Raw Data'!AE102</f>
        <v>0</v>
      </c>
      <c r="P102">
        <f>'Fats Raw Data'!AF102-'Fats Raw Data'!AP102</f>
        <v>0</v>
      </c>
      <c r="Q102">
        <f>'Fats Raw Data'!AG102-'Fats Raw Data'!AQ102</f>
        <v>0</v>
      </c>
      <c r="R102">
        <f>'Fats Raw Data'!AH102-'Fats Raw Data'!AR102</f>
        <v>0</v>
      </c>
      <c r="S102">
        <f>'Fats Raw Data'!AI102-'Fats Raw Data'!AS102</f>
        <v>0</v>
      </c>
      <c r="T102" t="str">
        <f>'Fats Raw Data'!AM102&amp;" - "&amp;'Fats Raw Data'!AW102</f>
        <v xml:space="preserve"> - </v>
      </c>
      <c r="V102" s="1">
        <f>'Fats Raw Data'!AO102</f>
        <v>0</v>
      </c>
      <c r="W102">
        <f>'Fats Raw Data'!AP102-'Fats Raw Data'!AZ102</f>
        <v>0</v>
      </c>
      <c r="X102">
        <f>'Fats Raw Data'!AQ102-'Fats Raw Data'!BA102</f>
        <v>0</v>
      </c>
      <c r="Y102">
        <f>'Fats Raw Data'!AR102-'Fats Raw Data'!BB102</f>
        <v>0</v>
      </c>
      <c r="Z102">
        <f>'Fats Raw Data'!AS102-'Fats Raw Data'!BC102</f>
        <v>0</v>
      </c>
      <c r="AA102" t="str">
        <f>'Fats Raw Data'!AW102&amp;" - "&amp;'Fats Raw Data'!BG102</f>
        <v xml:space="preserve"> - </v>
      </c>
      <c r="AC102" s="1">
        <f>'Fats Raw Data'!AY102</f>
        <v>0</v>
      </c>
      <c r="AD102">
        <f>'Fats Raw Data'!AZ102-'Fats Raw Data'!B102</f>
        <v>0</v>
      </c>
      <c r="AE102">
        <f>'Fats Raw Data'!BA102-'Fats Raw Data'!C102</f>
        <v>0</v>
      </c>
      <c r="AF102">
        <f>'Fats Raw Data'!BB102-'Fats Raw Data'!D102</f>
        <v>0</v>
      </c>
      <c r="AG102">
        <f>'Fats Raw Data'!BC102-'Fats Raw Data'!E102</f>
        <v>0</v>
      </c>
      <c r="AH102" t="str">
        <f>'Fats Raw Data'!BG102&amp;" - "&amp;'Fats Raw Data'!I102</f>
        <v xml:space="preserve"> - </v>
      </c>
      <c r="AJ102" s="1">
        <f>'Fats Raw Data'!A102</f>
        <v>0</v>
      </c>
      <c r="AK102">
        <f>'Fats Raw Data'!B102-'Fats Raw Data'!L102</f>
        <v>0</v>
      </c>
      <c r="AL102">
        <f>'Fats Raw Data'!C102-'Fats Raw Data'!M102</f>
        <v>0</v>
      </c>
      <c r="AM102">
        <f>'Fats Raw Data'!D102-'Fats Raw Data'!N102</f>
        <v>0</v>
      </c>
      <c r="AN102">
        <f>'Fats Raw Data'!E102-'Fats Raw Data'!O102</f>
        <v>0</v>
      </c>
      <c r="AO102" t="str">
        <f>'Fats Raw Data'!I102&amp;" - "&amp;'Fats Raw Data'!S102</f>
        <v xml:space="preserve"> - </v>
      </c>
      <c r="AQ102" s="1">
        <f>'Fats Raw Data'!AE102</f>
        <v>0</v>
      </c>
      <c r="AR102">
        <f>'Fats Raw Data'!AF102-'Fats Raw Data'!AZ102</f>
        <v>0</v>
      </c>
      <c r="AS102">
        <f>'Fats Raw Data'!AG102-'Fats Raw Data'!BA102</f>
        <v>0</v>
      </c>
      <c r="AT102">
        <f>'Fats Raw Data'!AH102-'Fats Raw Data'!BB102</f>
        <v>0</v>
      </c>
      <c r="AU102">
        <f>'Fats Raw Data'!AI102-'Fats Raw Data'!BC102</f>
        <v>0</v>
      </c>
      <c r="AV102" t="str">
        <f>'Fats Raw Data'!AM102&amp;" - "&amp;'Fats Raw Data'!BG102</f>
        <v xml:space="preserve"> - </v>
      </c>
      <c r="AX102" s="1">
        <f>'Fats Raw Data'!A102</f>
        <v>0</v>
      </c>
      <c r="AY102">
        <f>'Fats Raw Data'!B102-'Fats Raw Data'!V102</f>
        <v>0</v>
      </c>
      <c r="AZ102">
        <f>'Fats Raw Data'!C102-'Fats Raw Data'!W102</f>
        <v>0</v>
      </c>
      <c r="BA102">
        <f>'Fats Raw Data'!D102-'Fats Raw Data'!X102</f>
        <v>0</v>
      </c>
      <c r="BB102">
        <f>'Fats Raw Data'!E102-'Fats Raw Data'!Y102</f>
        <v>0</v>
      </c>
      <c r="BC102" t="str">
        <f>'Fats Raw Data'!I102&amp;" - "&amp;'Fats Raw Data'!AC102</f>
        <v xml:space="preserve"> - </v>
      </c>
      <c r="BE102" s="1">
        <f>'Fats Raw Data'!K102</f>
        <v>0</v>
      </c>
      <c r="BF102">
        <f>'Fats Raw Data'!L102-'Fats Raw Data'!AF102</f>
        <v>0</v>
      </c>
      <c r="BG102">
        <f>'Fats Raw Data'!M102-'Fats Raw Data'!AG102</f>
        <v>0</v>
      </c>
      <c r="BH102">
        <f>'Fats Raw Data'!N102-'Fats Raw Data'!AH102</f>
        <v>0</v>
      </c>
      <c r="BI102">
        <f>'Fats Raw Data'!O102-'Fats Raw Data'!AI102</f>
        <v>0</v>
      </c>
      <c r="BJ102" t="str">
        <f>'Fats Raw Data'!S102&amp;" - "&amp;'Fats Raw Data'!AM102</f>
        <v xml:space="preserve"> - </v>
      </c>
    </row>
    <row r="103" spans="1:62" x14ac:dyDescent="0.25">
      <c r="A103" s="1">
        <f>'Fats Raw Data'!K103</f>
        <v>0</v>
      </c>
      <c r="B103">
        <f>'Fats Raw Data'!L103-'Fats Raw Data'!V103</f>
        <v>0</v>
      </c>
      <c r="C103">
        <f>'Fats Raw Data'!M103-'Fats Raw Data'!W103</f>
        <v>0</v>
      </c>
      <c r="D103">
        <f>'Fats Raw Data'!N103-'Fats Raw Data'!X103</f>
        <v>0</v>
      </c>
      <c r="E103">
        <f>'Fats Raw Data'!O103-'Fats Raw Data'!Y103</f>
        <v>0</v>
      </c>
      <c r="F103" t="str">
        <f>'Fats Raw Data'!S103&amp;" - "&amp;'Fats Raw Data'!AC103</f>
        <v xml:space="preserve"> - </v>
      </c>
      <c r="H103" s="1">
        <f>'Fats Raw Data'!U103</f>
        <v>0</v>
      </c>
      <c r="I103">
        <f>'Fats Raw Data'!V103-'Fats Raw Data'!AF103</f>
        <v>0</v>
      </c>
      <c r="J103">
        <f>'Fats Raw Data'!W103-'Fats Raw Data'!AG103</f>
        <v>0</v>
      </c>
      <c r="K103">
        <f>'Fats Raw Data'!X103-'Fats Raw Data'!AH103</f>
        <v>0</v>
      </c>
      <c r="L103">
        <f>'Fats Raw Data'!Y103-'Fats Raw Data'!AI103</f>
        <v>0</v>
      </c>
      <c r="M103" t="str">
        <f>'Fats Raw Data'!AC103&amp;" - "&amp;'Fats Raw Data'!AM103</f>
        <v xml:space="preserve"> - </v>
      </c>
      <c r="O103" s="1">
        <f>'Fats Raw Data'!AE103</f>
        <v>0</v>
      </c>
      <c r="P103">
        <f>'Fats Raw Data'!AF103-'Fats Raw Data'!AP103</f>
        <v>0</v>
      </c>
      <c r="Q103">
        <f>'Fats Raw Data'!AG103-'Fats Raw Data'!AQ103</f>
        <v>0</v>
      </c>
      <c r="R103">
        <f>'Fats Raw Data'!AH103-'Fats Raw Data'!AR103</f>
        <v>0</v>
      </c>
      <c r="S103">
        <f>'Fats Raw Data'!AI103-'Fats Raw Data'!AS103</f>
        <v>0</v>
      </c>
      <c r="T103" t="str">
        <f>'Fats Raw Data'!AM103&amp;" - "&amp;'Fats Raw Data'!AW103</f>
        <v xml:space="preserve"> - </v>
      </c>
      <c r="V103" s="1">
        <f>'Fats Raw Data'!AO103</f>
        <v>0</v>
      </c>
      <c r="W103">
        <f>'Fats Raw Data'!AP103-'Fats Raw Data'!AZ103</f>
        <v>0</v>
      </c>
      <c r="X103">
        <f>'Fats Raw Data'!AQ103-'Fats Raw Data'!BA103</f>
        <v>0</v>
      </c>
      <c r="Y103">
        <f>'Fats Raw Data'!AR103-'Fats Raw Data'!BB103</f>
        <v>0</v>
      </c>
      <c r="Z103">
        <f>'Fats Raw Data'!AS103-'Fats Raw Data'!BC103</f>
        <v>0</v>
      </c>
      <c r="AA103" t="str">
        <f>'Fats Raw Data'!AW103&amp;" - "&amp;'Fats Raw Data'!BG103</f>
        <v xml:space="preserve"> - </v>
      </c>
      <c r="AC103" s="1">
        <f>'Fats Raw Data'!AY103</f>
        <v>0</v>
      </c>
      <c r="AD103">
        <f>'Fats Raw Data'!AZ103-'Fats Raw Data'!B103</f>
        <v>0</v>
      </c>
      <c r="AE103">
        <f>'Fats Raw Data'!BA103-'Fats Raw Data'!C103</f>
        <v>0</v>
      </c>
      <c r="AF103">
        <f>'Fats Raw Data'!BB103-'Fats Raw Data'!D103</f>
        <v>0</v>
      </c>
      <c r="AG103">
        <f>'Fats Raw Data'!BC103-'Fats Raw Data'!E103</f>
        <v>0</v>
      </c>
      <c r="AH103" t="str">
        <f>'Fats Raw Data'!BG103&amp;" - "&amp;'Fats Raw Data'!I103</f>
        <v xml:space="preserve"> - </v>
      </c>
      <c r="AJ103" s="1">
        <f>'Fats Raw Data'!A103</f>
        <v>0</v>
      </c>
      <c r="AK103">
        <f>'Fats Raw Data'!B103-'Fats Raw Data'!L103</f>
        <v>0</v>
      </c>
      <c r="AL103">
        <f>'Fats Raw Data'!C103-'Fats Raw Data'!M103</f>
        <v>0</v>
      </c>
      <c r="AM103">
        <f>'Fats Raw Data'!D103-'Fats Raw Data'!N103</f>
        <v>0</v>
      </c>
      <c r="AN103">
        <f>'Fats Raw Data'!E103-'Fats Raw Data'!O103</f>
        <v>0</v>
      </c>
      <c r="AO103" t="str">
        <f>'Fats Raw Data'!I103&amp;" - "&amp;'Fats Raw Data'!S103</f>
        <v xml:space="preserve"> - </v>
      </c>
      <c r="AQ103" s="1">
        <f>'Fats Raw Data'!AE103</f>
        <v>0</v>
      </c>
      <c r="AR103">
        <f>'Fats Raw Data'!AF103-'Fats Raw Data'!AZ103</f>
        <v>0</v>
      </c>
      <c r="AS103">
        <f>'Fats Raw Data'!AG103-'Fats Raw Data'!BA103</f>
        <v>0</v>
      </c>
      <c r="AT103">
        <f>'Fats Raw Data'!AH103-'Fats Raw Data'!BB103</f>
        <v>0</v>
      </c>
      <c r="AU103">
        <f>'Fats Raw Data'!AI103-'Fats Raw Data'!BC103</f>
        <v>0</v>
      </c>
      <c r="AV103" t="str">
        <f>'Fats Raw Data'!AM103&amp;" - "&amp;'Fats Raw Data'!BG103</f>
        <v xml:space="preserve"> - </v>
      </c>
      <c r="AX103" s="1">
        <f>'Fats Raw Data'!A103</f>
        <v>0</v>
      </c>
      <c r="AY103">
        <f>'Fats Raw Data'!B103-'Fats Raw Data'!V103</f>
        <v>0</v>
      </c>
      <c r="AZ103">
        <f>'Fats Raw Data'!C103-'Fats Raw Data'!W103</f>
        <v>0</v>
      </c>
      <c r="BA103">
        <f>'Fats Raw Data'!D103-'Fats Raw Data'!X103</f>
        <v>0</v>
      </c>
      <c r="BB103">
        <f>'Fats Raw Data'!E103-'Fats Raw Data'!Y103</f>
        <v>0</v>
      </c>
      <c r="BC103" t="str">
        <f>'Fats Raw Data'!I103&amp;" - "&amp;'Fats Raw Data'!AC103</f>
        <v xml:space="preserve"> - </v>
      </c>
      <c r="BE103" s="1">
        <f>'Fats Raw Data'!K103</f>
        <v>0</v>
      </c>
      <c r="BF103">
        <f>'Fats Raw Data'!L103-'Fats Raw Data'!AF103</f>
        <v>0</v>
      </c>
      <c r="BG103">
        <f>'Fats Raw Data'!M103-'Fats Raw Data'!AG103</f>
        <v>0</v>
      </c>
      <c r="BH103">
        <f>'Fats Raw Data'!N103-'Fats Raw Data'!AH103</f>
        <v>0</v>
      </c>
      <c r="BI103">
        <f>'Fats Raw Data'!O103-'Fats Raw Data'!AI103</f>
        <v>0</v>
      </c>
      <c r="BJ103" t="str">
        <f>'Fats Raw Data'!S103&amp;" - "&amp;'Fats Raw Data'!AM103</f>
        <v xml:space="preserve"> - </v>
      </c>
    </row>
    <row r="104" spans="1:62" x14ac:dyDescent="0.25">
      <c r="A104" s="1">
        <f>'Fats Raw Data'!K104</f>
        <v>0</v>
      </c>
      <c r="B104">
        <f>'Fats Raw Data'!L104-'Fats Raw Data'!V104</f>
        <v>0</v>
      </c>
      <c r="C104">
        <f>'Fats Raw Data'!M104-'Fats Raw Data'!W104</f>
        <v>0</v>
      </c>
      <c r="D104">
        <f>'Fats Raw Data'!N104-'Fats Raw Data'!X104</f>
        <v>0</v>
      </c>
      <c r="E104">
        <f>'Fats Raw Data'!O104-'Fats Raw Data'!Y104</f>
        <v>0</v>
      </c>
      <c r="F104" t="str">
        <f>'Fats Raw Data'!S104&amp;" - "&amp;'Fats Raw Data'!AC104</f>
        <v xml:space="preserve"> - </v>
      </c>
      <c r="H104" s="1">
        <f>'Fats Raw Data'!U104</f>
        <v>0</v>
      </c>
      <c r="I104">
        <f>'Fats Raw Data'!V104-'Fats Raw Data'!AF104</f>
        <v>0</v>
      </c>
      <c r="J104">
        <f>'Fats Raw Data'!W104-'Fats Raw Data'!AG104</f>
        <v>0</v>
      </c>
      <c r="K104">
        <f>'Fats Raw Data'!X104-'Fats Raw Data'!AH104</f>
        <v>0</v>
      </c>
      <c r="L104">
        <f>'Fats Raw Data'!Y104-'Fats Raw Data'!AI104</f>
        <v>0</v>
      </c>
      <c r="M104" t="str">
        <f>'Fats Raw Data'!AC104&amp;" - "&amp;'Fats Raw Data'!AM104</f>
        <v xml:space="preserve"> - </v>
      </c>
      <c r="O104" s="1">
        <f>'Fats Raw Data'!AE104</f>
        <v>0</v>
      </c>
      <c r="P104">
        <f>'Fats Raw Data'!AF104-'Fats Raw Data'!AP104</f>
        <v>0</v>
      </c>
      <c r="Q104">
        <f>'Fats Raw Data'!AG104-'Fats Raw Data'!AQ104</f>
        <v>0</v>
      </c>
      <c r="R104">
        <f>'Fats Raw Data'!AH104-'Fats Raw Data'!AR104</f>
        <v>0</v>
      </c>
      <c r="S104">
        <f>'Fats Raw Data'!AI104-'Fats Raw Data'!AS104</f>
        <v>0</v>
      </c>
      <c r="T104" t="str">
        <f>'Fats Raw Data'!AM104&amp;" - "&amp;'Fats Raw Data'!AW104</f>
        <v xml:space="preserve"> - </v>
      </c>
      <c r="V104" s="1">
        <f>'Fats Raw Data'!AO104</f>
        <v>0</v>
      </c>
      <c r="W104">
        <f>'Fats Raw Data'!AP104-'Fats Raw Data'!AZ104</f>
        <v>0</v>
      </c>
      <c r="X104">
        <f>'Fats Raw Data'!AQ104-'Fats Raw Data'!BA104</f>
        <v>0</v>
      </c>
      <c r="Y104">
        <f>'Fats Raw Data'!AR104-'Fats Raw Data'!BB104</f>
        <v>0</v>
      </c>
      <c r="Z104">
        <f>'Fats Raw Data'!AS104-'Fats Raw Data'!BC104</f>
        <v>0</v>
      </c>
      <c r="AA104" t="str">
        <f>'Fats Raw Data'!AW104&amp;" - "&amp;'Fats Raw Data'!BG104</f>
        <v xml:space="preserve"> - </v>
      </c>
      <c r="AC104" s="1">
        <f>'Fats Raw Data'!AY104</f>
        <v>0</v>
      </c>
      <c r="AD104">
        <f>'Fats Raw Data'!AZ104-'Fats Raw Data'!B104</f>
        <v>0</v>
      </c>
      <c r="AE104">
        <f>'Fats Raw Data'!BA104-'Fats Raw Data'!C104</f>
        <v>0</v>
      </c>
      <c r="AF104">
        <f>'Fats Raw Data'!BB104-'Fats Raw Data'!D104</f>
        <v>0</v>
      </c>
      <c r="AG104">
        <f>'Fats Raw Data'!BC104-'Fats Raw Data'!E104</f>
        <v>0</v>
      </c>
      <c r="AH104" t="str">
        <f>'Fats Raw Data'!BG104&amp;" - "&amp;'Fats Raw Data'!I104</f>
        <v xml:space="preserve"> - </v>
      </c>
      <c r="AJ104" s="1">
        <f>'Fats Raw Data'!A104</f>
        <v>0</v>
      </c>
      <c r="AK104">
        <f>'Fats Raw Data'!B104-'Fats Raw Data'!L104</f>
        <v>0</v>
      </c>
      <c r="AL104">
        <f>'Fats Raw Data'!C104-'Fats Raw Data'!M104</f>
        <v>0</v>
      </c>
      <c r="AM104">
        <f>'Fats Raw Data'!D104-'Fats Raw Data'!N104</f>
        <v>0</v>
      </c>
      <c r="AN104">
        <f>'Fats Raw Data'!E104-'Fats Raw Data'!O104</f>
        <v>0</v>
      </c>
      <c r="AO104" t="str">
        <f>'Fats Raw Data'!I104&amp;" - "&amp;'Fats Raw Data'!S104</f>
        <v xml:space="preserve"> - </v>
      </c>
      <c r="AQ104" s="1">
        <f>'Fats Raw Data'!AE104</f>
        <v>0</v>
      </c>
      <c r="AR104">
        <f>'Fats Raw Data'!AF104-'Fats Raw Data'!AZ104</f>
        <v>0</v>
      </c>
      <c r="AS104">
        <f>'Fats Raw Data'!AG104-'Fats Raw Data'!BA104</f>
        <v>0</v>
      </c>
      <c r="AT104">
        <f>'Fats Raw Data'!AH104-'Fats Raw Data'!BB104</f>
        <v>0</v>
      </c>
      <c r="AU104">
        <f>'Fats Raw Data'!AI104-'Fats Raw Data'!BC104</f>
        <v>0</v>
      </c>
      <c r="AV104" t="str">
        <f>'Fats Raw Data'!AM104&amp;" - "&amp;'Fats Raw Data'!BG104</f>
        <v xml:space="preserve"> - </v>
      </c>
      <c r="AX104" s="1">
        <f>'Fats Raw Data'!A104</f>
        <v>0</v>
      </c>
      <c r="AY104">
        <f>'Fats Raw Data'!B104-'Fats Raw Data'!V104</f>
        <v>0</v>
      </c>
      <c r="AZ104">
        <f>'Fats Raw Data'!C104-'Fats Raw Data'!W104</f>
        <v>0</v>
      </c>
      <c r="BA104">
        <f>'Fats Raw Data'!D104-'Fats Raw Data'!X104</f>
        <v>0</v>
      </c>
      <c r="BB104">
        <f>'Fats Raw Data'!E104-'Fats Raw Data'!Y104</f>
        <v>0</v>
      </c>
      <c r="BC104" t="str">
        <f>'Fats Raw Data'!I104&amp;" - "&amp;'Fats Raw Data'!AC104</f>
        <v xml:space="preserve"> - </v>
      </c>
      <c r="BE104" s="1">
        <f>'Fats Raw Data'!K104</f>
        <v>0</v>
      </c>
      <c r="BF104">
        <f>'Fats Raw Data'!L104-'Fats Raw Data'!AF104</f>
        <v>0</v>
      </c>
      <c r="BG104">
        <f>'Fats Raw Data'!M104-'Fats Raw Data'!AG104</f>
        <v>0</v>
      </c>
      <c r="BH104">
        <f>'Fats Raw Data'!N104-'Fats Raw Data'!AH104</f>
        <v>0</v>
      </c>
      <c r="BI104">
        <f>'Fats Raw Data'!O104-'Fats Raw Data'!AI104</f>
        <v>0</v>
      </c>
      <c r="BJ104" t="str">
        <f>'Fats Raw Data'!S104&amp;" - "&amp;'Fats Raw Data'!AM104</f>
        <v xml:space="preserve"> - </v>
      </c>
    </row>
    <row r="105" spans="1:62" x14ac:dyDescent="0.25">
      <c r="A105" s="1">
        <f>'Fats Raw Data'!K105</f>
        <v>0</v>
      </c>
      <c r="B105">
        <f>'Fats Raw Data'!L105-'Fats Raw Data'!V105</f>
        <v>0</v>
      </c>
      <c r="C105">
        <f>'Fats Raw Data'!M105-'Fats Raw Data'!W105</f>
        <v>0</v>
      </c>
      <c r="D105">
        <f>'Fats Raw Data'!N105-'Fats Raw Data'!X105</f>
        <v>0</v>
      </c>
      <c r="E105">
        <f>'Fats Raw Data'!O105-'Fats Raw Data'!Y105</f>
        <v>0</v>
      </c>
      <c r="F105" t="str">
        <f>'Fats Raw Data'!S105&amp;" - "&amp;'Fats Raw Data'!AC105</f>
        <v xml:space="preserve"> - </v>
      </c>
      <c r="H105" s="1">
        <f>'Fats Raw Data'!U105</f>
        <v>0</v>
      </c>
      <c r="I105">
        <f>'Fats Raw Data'!V105-'Fats Raw Data'!AF105</f>
        <v>0</v>
      </c>
      <c r="J105">
        <f>'Fats Raw Data'!W105-'Fats Raw Data'!AG105</f>
        <v>0</v>
      </c>
      <c r="K105">
        <f>'Fats Raw Data'!X105-'Fats Raw Data'!AH105</f>
        <v>0</v>
      </c>
      <c r="L105">
        <f>'Fats Raw Data'!Y105-'Fats Raw Data'!AI105</f>
        <v>0</v>
      </c>
      <c r="M105" t="str">
        <f>'Fats Raw Data'!AC105&amp;" - "&amp;'Fats Raw Data'!AM105</f>
        <v xml:space="preserve"> - </v>
      </c>
      <c r="O105" s="1">
        <f>'Fats Raw Data'!AE105</f>
        <v>0</v>
      </c>
      <c r="P105">
        <f>'Fats Raw Data'!AF105-'Fats Raw Data'!AP105</f>
        <v>0</v>
      </c>
      <c r="Q105">
        <f>'Fats Raw Data'!AG105-'Fats Raw Data'!AQ105</f>
        <v>0</v>
      </c>
      <c r="R105">
        <f>'Fats Raw Data'!AH105-'Fats Raw Data'!AR105</f>
        <v>0</v>
      </c>
      <c r="S105">
        <f>'Fats Raw Data'!AI105-'Fats Raw Data'!AS105</f>
        <v>0</v>
      </c>
      <c r="T105" t="str">
        <f>'Fats Raw Data'!AM105&amp;" - "&amp;'Fats Raw Data'!AW105</f>
        <v xml:space="preserve"> - </v>
      </c>
      <c r="V105" s="1">
        <f>'Fats Raw Data'!AO105</f>
        <v>0</v>
      </c>
      <c r="W105">
        <f>'Fats Raw Data'!AP105-'Fats Raw Data'!AZ105</f>
        <v>0</v>
      </c>
      <c r="X105">
        <f>'Fats Raw Data'!AQ105-'Fats Raw Data'!BA105</f>
        <v>0</v>
      </c>
      <c r="Y105">
        <f>'Fats Raw Data'!AR105-'Fats Raw Data'!BB105</f>
        <v>0</v>
      </c>
      <c r="Z105">
        <f>'Fats Raw Data'!AS105-'Fats Raw Data'!BC105</f>
        <v>0</v>
      </c>
      <c r="AA105" t="str">
        <f>'Fats Raw Data'!AW105&amp;" - "&amp;'Fats Raw Data'!BG105</f>
        <v xml:space="preserve"> - </v>
      </c>
      <c r="AC105" s="1">
        <f>'Fats Raw Data'!AY105</f>
        <v>0</v>
      </c>
      <c r="AD105">
        <f>'Fats Raw Data'!AZ105-'Fats Raw Data'!B105</f>
        <v>0</v>
      </c>
      <c r="AE105">
        <f>'Fats Raw Data'!BA105-'Fats Raw Data'!C105</f>
        <v>0</v>
      </c>
      <c r="AF105">
        <f>'Fats Raw Data'!BB105-'Fats Raw Data'!D105</f>
        <v>0</v>
      </c>
      <c r="AG105">
        <f>'Fats Raw Data'!BC105-'Fats Raw Data'!E105</f>
        <v>0</v>
      </c>
      <c r="AH105" t="str">
        <f>'Fats Raw Data'!BG105&amp;" - "&amp;'Fats Raw Data'!I105</f>
        <v xml:space="preserve"> - </v>
      </c>
      <c r="AJ105" s="1">
        <f>'Fats Raw Data'!A105</f>
        <v>0</v>
      </c>
      <c r="AK105">
        <f>'Fats Raw Data'!B105-'Fats Raw Data'!L105</f>
        <v>0</v>
      </c>
      <c r="AL105">
        <f>'Fats Raw Data'!C105-'Fats Raw Data'!M105</f>
        <v>0</v>
      </c>
      <c r="AM105">
        <f>'Fats Raw Data'!D105-'Fats Raw Data'!N105</f>
        <v>0</v>
      </c>
      <c r="AN105">
        <f>'Fats Raw Data'!E105-'Fats Raw Data'!O105</f>
        <v>0</v>
      </c>
      <c r="AO105" t="str">
        <f>'Fats Raw Data'!I105&amp;" - "&amp;'Fats Raw Data'!S105</f>
        <v xml:space="preserve"> - </v>
      </c>
      <c r="AQ105" s="1">
        <f>'Fats Raw Data'!AE105</f>
        <v>0</v>
      </c>
      <c r="AR105">
        <f>'Fats Raw Data'!AF105-'Fats Raw Data'!AZ105</f>
        <v>0</v>
      </c>
      <c r="AS105">
        <f>'Fats Raw Data'!AG105-'Fats Raw Data'!BA105</f>
        <v>0</v>
      </c>
      <c r="AT105">
        <f>'Fats Raw Data'!AH105-'Fats Raw Data'!BB105</f>
        <v>0</v>
      </c>
      <c r="AU105">
        <f>'Fats Raw Data'!AI105-'Fats Raw Data'!BC105</f>
        <v>0</v>
      </c>
      <c r="AV105" t="str">
        <f>'Fats Raw Data'!AM105&amp;" - "&amp;'Fats Raw Data'!BG105</f>
        <v xml:space="preserve"> - </v>
      </c>
      <c r="AX105" s="1">
        <f>'Fats Raw Data'!A105</f>
        <v>0</v>
      </c>
      <c r="AY105">
        <f>'Fats Raw Data'!B105-'Fats Raw Data'!V105</f>
        <v>0</v>
      </c>
      <c r="AZ105">
        <f>'Fats Raw Data'!C105-'Fats Raw Data'!W105</f>
        <v>0</v>
      </c>
      <c r="BA105">
        <f>'Fats Raw Data'!D105-'Fats Raw Data'!X105</f>
        <v>0</v>
      </c>
      <c r="BB105">
        <f>'Fats Raw Data'!E105-'Fats Raw Data'!Y105</f>
        <v>0</v>
      </c>
      <c r="BC105" t="str">
        <f>'Fats Raw Data'!I105&amp;" - "&amp;'Fats Raw Data'!AC105</f>
        <v xml:space="preserve"> - </v>
      </c>
      <c r="BE105" s="1">
        <f>'Fats Raw Data'!K105</f>
        <v>0</v>
      </c>
      <c r="BF105">
        <f>'Fats Raw Data'!L105-'Fats Raw Data'!AF105</f>
        <v>0</v>
      </c>
      <c r="BG105">
        <f>'Fats Raw Data'!M105-'Fats Raw Data'!AG105</f>
        <v>0</v>
      </c>
      <c r="BH105">
        <f>'Fats Raw Data'!N105-'Fats Raw Data'!AH105</f>
        <v>0</v>
      </c>
      <c r="BI105">
        <f>'Fats Raw Data'!O105-'Fats Raw Data'!AI105</f>
        <v>0</v>
      </c>
      <c r="BJ105" t="str">
        <f>'Fats Raw Data'!S105&amp;" - "&amp;'Fats Raw Data'!AM105</f>
        <v xml:space="preserve"> - </v>
      </c>
    </row>
    <row r="106" spans="1:62" x14ac:dyDescent="0.25">
      <c r="A106" s="1">
        <f>'Fats Raw Data'!K106</f>
        <v>0</v>
      </c>
      <c r="B106">
        <f>'Fats Raw Data'!L106-'Fats Raw Data'!V106</f>
        <v>0</v>
      </c>
      <c r="C106">
        <f>'Fats Raw Data'!M106-'Fats Raw Data'!W106</f>
        <v>0</v>
      </c>
      <c r="D106">
        <f>'Fats Raw Data'!N106-'Fats Raw Data'!X106</f>
        <v>0</v>
      </c>
      <c r="E106">
        <f>'Fats Raw Data'!O106-'Fats Raw Data'!Y106</f>
        <v>0</v>
      </c>
      <c r="F106" t="str">
        <f>'Fats Raw Data'!S106&amp;" - "&amp;'Fats Raw Data'!AC106</f>
        <v xml:space="preserve"> - </v>
      </c>
      <c r="H106" s="1">
        <f>'Fats Raw Data'!U106</f>
        <v>0</v>
      </c>
      <c r="I106">
        <f>'Fats Raw Data'!V106-'Fats Raw Data'!AF106</f>
        <v>0</v>
      </c>
      <c r="J106">
        <f>'Fats Raw Data'!W106-'Fats Raw Data'!AG106</f>
        <v>0</v>
      </c>
      <c r="K106">
        <f>'Fats Raw Data'!X106-'Fats Raw Data'!AH106</f>
        <v>0</v>
      </c>
      <c r="L106">
        <f>'Fats Raw Data'!Y106-'Fats Raw Data'!AI106</f>
        <v>0</v>
      </c>
      <c r="M106" t="str">
        <f>'Fats Raw Data'!AC106&amp;" - "&amp;'Fats Raw Data'!AM106</f>
        <v xml:space="preserve"> - </v>
      </c>
      <c r="O106" s="1">
        <f>'Fats Raw Data'!AE106</f>
        <v>0</v>
      </c>
      <c r="P106">
        <f>'Fats Raw Data'!AF106-'Fats Raw Data'!AP106</f>
        <v>0</v>
      </c>
      <c r="Q106">
        <f>'Fats Raw Data'!AG106-'Fats Raw Data'!AQ106</f>
        <v>0</v>
      </c>
      <c r="R106">
        <f>'Fats Raw Data'!AH106-'Fats Raw Data'!AR106</f>
        <v>0</v>
      </c>
      <c r="S106">
        <f>'Fats Raw Data'!AI106-'Fats Raw Data'!AS106</f>
        <v>0</v>
      </c>
      <c r="T106" t="str">
        <f>'Fats Raw Data'!AM106&amp;" - "&amp;'Fats Raw Data'!AW106</f>
        <v xml:space="preserve"> - </v>
      </c>
      <c r="V106" s="1">
        <f>'Fats Raw Data'!AO106</f>
        <v>0</v>
      </c>
      <c r="W106">
        <f>'Fats Raw Data'!AP106-'Fats Raw Data'!AZ106</f>
        <v>0</v>
      </c>
      <c r="X106">
        <f>'Fats Raw Data'!AQ106-'Fats Raw Data'!BA106</f>
        <v>0</v>
      </c>
      <c r="Y106">
        <f>'Fats Raw Data'!AR106-'Fats Raw Data'!BB106</f>
        <v>0</v>
      </c>
      <c r="Z106">
        <f>'Fats Raw Data'!AS106-'Fats Raw Data'!BC106</f>
        <v>0</v>
      </c>
      <c r="AA106" t="str">
        <f>'Fats Raw Data'!AW106&amp;" - "&amp;'Fats Raw Data'!BG106</f>
        <v xml:space="preserve"> - </v>
      </c>
      <c r="AC106" s="1">
        <f>'Fats Raw Data'!AY106</f>
        <v>0</v>
      </c>
      <c r="AD106">
        <f>'Fats Raw Data'!AZ106-'Fats Raw Data'!B106</f>
        <v>0</v>
      </c>
      <c r="AE106">
        <f>'Fats Raw Data'!BA106-'Fats Raw Data'!C106</f>
        <v>0</v>
      </c>
      <c r="AF106">
        <f>'Fats Raw Data'!BB106-'Fats Raw Data'!D106</f>
        <v>0</v>
      </c>
      <c r="AG106">
        <f>'Fats Raw Data'!BC106-'Fats Raw Data'!E106</f>
        <v>0</v>
      </c>
      <c r="AH106" t="str">
        <f>'Fats Raw Data'!BG106&amp;" - "&amp;'Fats Raw Data'!I106</f>
        <v xml:space="preserve"> - </v>
      </c>
      <c r="AJ106" s="1">
        <f>'Fats Raw Data'!A106</f>
        <v>0</v>
      </c>
      <c r="AK106">
        <f>'Fats Raw Data'!B106-'Fats Raw Data'!L106</f>
        <v>0</v>
      </c>
      <c r="AL106">
        <f>'Fats Raw Data'!C106-'Fats Raw Data'!M106</f>
        <v>0</v>
      </c>
      <c r="AM106">
        <f>'Fats Raw Data'!D106-'Fats Raw Data'!N106</f>
        <v>0</v>
      </c>
      <c r="AN106">
        <f>'Fats Raw Data'!E106-'Fats Raw Data'!O106</f>
        <v>0</v>
      </c>
      <c r="AO106" t="str">
        <f>'Fats Raw Data'!I106&amp;" - "&amp;'Fats Raw Data'!S106</f>
        <v xml:space="preserve"> - </v>
      </c>
      <c r="AQ106" s="1">
        <f>'Fats Raw Data'!AE106</f>
        <v>0</v>
      </c>
      <c r="AR106">
        <f>'Fats Raw Data'!AF106-'Fats Raw Data'!AZ106</f>
        <v>0</v>
      </c>
      <c r="AS106">
        <f>'Fats Raw Data'!AG106-'Fats Raw Data'!BA106</f>
        <v>0</v>
      </c>
      <c r="AT106">
        <f>'Fats Raw Data'!AH106-'Fats Raw Data'!BB106</f>
        <v>0</v>
      </c>
      <c r="AU106">
        <f>'Fats Raw Data'!AI106-'Fats Raw Data'!BC106</f>
        <v>0</v>
      </c>
      <c r="AV106" t="str">
        <f>'Fats Raw Data'!AM106&amp;" - "&amp;'Fats Raw Data'!BG106</f>
        <v xml:space="preserve"> - </v>
      </c>
      <c r="AX106" s="1">
        <f>'Fats Raw Data'!A106</f>
        <v>0</v>
      </c>
      <c r="AY106">
        <f>'Fats Raw Data'!B106-'Fats Raw Data'!V106</f>
        <v>0</v>
      </c>
      <c r="AZ106">
        <f>'Fats Raw Data'!C106-'Fats Raw Data'!W106</f>
        <v>0</v>
      </c>
      <c r="BA106">
        <f>'Fats Raw Data'!D106-'Fats Raw Data'!X106</f>
        <v>0</v>
      </c>
      <c r="BB106">
        <f>'Fats Raw Data'!E106-'Fats Raw Data'!Y106</f>
        <v>0</v>
      </c>
      <c r="BC106" t="str">
        <f>'Fats Raw Data'!I106&amp;" - "&amp;'Fats Raw Data'!AC106</f>
        <v xml:space="preserve"> - </v>
      </c>
      <c r="BE106" s="1">
        <f>'Fats Raw Data'!K106</f>
        <v>0</v>
      </c>
      <c r="BF106">
        <f>'Fats Raw Data'!L106-'Fats Raw Data'!AF106</f>
        <v>0</v>
      </c>
      <c r="BG106">
        <f>'Fats Raw Data'!M106-'Fats Raw Data'!AG106</f>
        <v>0</v>
      </c>
      <c r="BH106">
        <f>'Fats Raw Data'!N106-'Fats Raw Data'!AH106</f>
        <v>0</v>
      </c>
      <c r="BI106">
        <f>'Fats Raw Data'!O106-'Fats Raw Data'!AI106</f>
        <v>0</v>
      </c>
      <c r="BJ106" t="str">
        <f>'Fats Raw Data'!S106&amp;" - "&amp;'Fats Raw Data'!AM106</f>
        <v xml:space="preserve"> - </v>
      </c>
    </row>
    <row r="107" spans="1:62" x14ac:dyDescent="0.25">
      <c r="A107" s="1">
        <f>'Fats Raw Data'!K107</f>
        <v>0</v>
      </c>
      <c r="B107">
        <f>'Fats Raw Data'!L107-'Fats Raw Data'!V107</f>
        <v>0</v>
      </c>
      <c r="C107">
        <f>'Fats Raw Data'!M107-'Fats Raw Data'!W107</f>
        <v>0</v>
      </c>
      <c r="D107">
        <f>'Fats Raw Data'!N107-'Fats Raw Data'!X107</f>
        <v>0</v>
      </c>
      <c r="E107">
        <f>'Fats Raw Data'!O107-'Fats Raw Data'!Y107</f>
        <v>0</v>
      </c>
      <c r="F107" t="str">
        <f>'Fats Raw Data'!S107&amp;" - "&amp;'Fats Raw Data'!AC107</f>
        <v xml:space="preserve"> - </v>
      </c>
      <c r="H107" s="1">
        <f>'Fats Raw Data'!U107</f>
        <v>0</v>
      </c>
      <c r="I107">
        <f>'Fats Raw Data'!V107-'Fats Raw Data'!AF107</f>
        <v>0</v>
      </c>
      <c r="J107">
        <f>'Fats Raw Data'!W107-'Fats Raw Data'!AG107</f>
        <v>0</v>
      </c>
      <c r="K107">
        <f>'Fats Raw Data'!X107-'Fats Raw Data'!AH107</f>
        <v>0</v>
      </c>
      <c r="L107">
        <f>'Fats Raw Data'!Y107-'Fats Raw Data'!AI107</f>
        <v>0</v>
      </c>
      <c r="M107" t="str">
        <f>'Fats Raw Data'!AC107&amp;" - "&amp;'Fats Raw Data'!AM107</f>
        <v xml:space="preserve"> - </v>
      </c>
      <c r="O107" s="1">
        <f>'Fats Raw Data'!AE107</f>
        <v>0</v>
      </c>
      <c r="P107">
        <f>'Fats Raw Data'!AF107-'Fats Raw Data'!AP107</f>
        <v>0</v>
      </c>
      <c r="Q107">
        <f>'Fats Raw Data'!AG107-'Fats Raw Data'!AQ107</f>
        <v>0</v>
      </c>
      <c r="R107">
        <f>'Fats Raw Data'!AH107-'Fats Raw Data'!AR107</f>
        <v>0</v>
      </c>
      <c r="S107">
        <f>'Fats Raw Data'!AI107-'Fats Raw Data'!AS107</f>
        <v>0</v>
      </c>
      <c r="T107" t="str">
        <f>'Fats Raw Data'!AM107&amp;" - "&amp;'Fats Raw Data'!AW107</f>
        <v xml:space="preserve"> - </v>
      </c>
      <c r="V107" s="1">
        <f>'Fats Raw Data'!AO107</f>
        <v>0</v>
      </c>
      <c r="W107">
        <f>'Fats Raw Data'!AP107-'Fats Raw Data'!AZ107</f>
        <v>0</v>
      </c>
      <c r="X107">
        <f>'Fats Raw Data'!AQ107-'Fats Raw Data'!BA107</f>
        <v>0</v>
      </c>
      <c r="Y107">
        <f>'Fats Raw Data'!AR107-'Fats Raw Data'!BB107</f>
        <v>0</v>
      </c>
      <c r="Z107">
        <f>'Fats Raw Data'!AS107-'Fats Raw Data'!BC107</f>
        <v>0</v>
      </c>
      <c r="AA107" t="str">
        <f>'Fats Raw Data'!AW107&amp;" - "&amp;'Fats Raw Data'!BG107</f>
        <v xml:space="preserve"> - </v>
      </c>
      <c r="AC107" s="1">
        <f>'Fats Raw Data'!AY107</f>
        <v>0</v>
      </c>
      <c r="AD107">
        <f>'Fats Raw Data'!AZ107-'Fats Raw Data'!B107</f>
        <v>0</v>
      </c>
      <c r="AE107">
        <f>'Fats Raw Data'!BA107-'Fats Raw Data'!C107</f>
        <v>0</v>
      </c>
      <c r="AF107">
        <f>'Fats Raw Data'!BB107-'Fats Raw Data'!D107</f>
        <v>0</v>
      </c>
      <c r="AG107">
        <f>'Fats Raw Data'!BC107-'Fats Raw Data'!E107</f>
        <v>0</v>
      </c>
      <c r="AH107" t="str">
        <f>'Fats Raw Data'!BG107&amp;" - "&amp;'Fats Raw Data'!I107</f>
        <v xml:space="preserve"> - </v>
      </c>
      <c r="AJ107" s="1">
        <f>'Fats Raw Data'!A107</f>
        <v>0</v>
      </c>
      <c r="AK107">
        <f>'Fats Raw Data'!B107-'Fats Raw Data'!L107</f>
        <v>0</v>
      </c>
      <c r="AL107">
        <f>'Fats Raw Data'!C107-'Fats Raw Data'!M107</f>
        <v>0</v>
      </c>
      <c r="AM107">
        <f>'Fats Raw Data'!D107-'Fats Raw Data'!N107</f>
        <v>0</v>
      </c>
      <c r="AN107">
        <f>'Fats Raw Data'!E107-'Fats Raw Data'!O107</f>
        <v>0</v>
      </c>
      <c r="AO107" t="str">
        <f>'Fats Raw Data'!I107&amp;" - "&amp;'Fats Raw Data'!S107</f>
        <v xml:space="preserve"> - </v>
      </c>
      <c r="AQ107" s="1">
        <f>'Fats Raw Data'!AE107</f>
        <v>0</v>
      </c>
      <c r="AR107">
        <f>'Fats Raw Data'!AF107-'Fats Raw Data'!AZ107</f>
        <v>0</v>
      </c>
      <c r="AS107">
        <f>'Fats Raw Data'!AG107-'Fats Raw Data'!BA107</f>
        <v>0</v>
      </c>
      <c r="AT107">
        <f>'Fats Raw Data'!AH107-'Fats Raw Data'!BB107</f>
        <v>0</v>
      </c>
      <c r="AU107">
        <f>'Fats Raw Data'!AI107-'Fats Raw Data'!BC107</f>
        <v>0</v>
      </c>
      <c r="AV107" t="str">
        <f>'Fats Raw Data'!AM107&amp;" - "&amp;'Fats Raw Data'!BG107</f>
        <v xml:space="preserve"> - </v>
      </c>
      <c r="AX107" s="1">
        <f>'Fats Raw Data'!A107</f>
        <v>0</v>
      </c>
      <c r="AY107">
        <f>'Fats Raw Data'!B107-'Fats Raw Data'!V107</f>
        <v>0</v>
      </c>
      <c r="AZ107">
        <f>'Fats Raw Data'!C107-'Fats Raw Data'!W107</f>
        <v>0</v>
      </c>
      <c r="BA107">
        <f>'Fats Raw Data'!D107-'Fats Raw Data'!X107</f>
        <v>0</v>
      </c>
      <c r="BB107">
        <f>'Fats Raw Data'!E107-'Fats Raw Data'!Y107</f>
        <v>0</v>
      </c>
      <c r="BC107" t="str">
        <f>'Fats Raw Data'!I107&amp;" - "&amp;'Fats Raw Data'!AC107</f>
        <v xml:space="preserve"> - </v>
      </c>
      <c r="BE107" s="1">
        <f>'Fats Raw Data'!K107</f>
        <v>0</v>
      </c>
      <c r="BF107">
        <f>'Fats Raw Data'!L107-'Fats Raw Data'!AF107</f>
        <v>0</v>
      </c>
      <c r="BG107">
        <f>'Fats Raw Data'!M107-'Fats Raw Data'!AG107</f>
        <v>0</v>
      </c>
      <c r="BH107">
        <f>'Fats Raw Data'!N107-'Fats Raw Data'!AH107</f>
        <v>0</v>
      </c>
      <c r="BI107">
        <f>'Fats Raw Data'!O107-'Fats Raw Data'!AI107</f>
        <v>0</v>
      </c>
      <c r="BJ107" t="str">
        <f>'Fats Raw Data'!S107&amp;" - "&amp;'Fats Raw Data'!AM107</f>
        <v xml:space="preserve"> - </v>
      </c>
    </row>
    <row r="108" spans="1:62" x14ac:dyDescent="0.25">
      <c r="A108" s="1">
        <f>'Fats Raw Data'!K108</f>
        <v>0</v>
      </c>
      <c r="B108">
        <f>'Fats Raw Data'!L108-'Fats Raw Data'!V108</f>
        <v>0</v>
      </c>
      <c r="C108">
        <f>'Fats Raw Data'!M108-'Fats Raw Data'!W108</f>
        <v>0</v>
      </c>
      <c r="D108">
        <f>'Fats Raw Data'!N108-'Fats Raw Data'!X108</f>
        <v>0</v>
      </c>
      <c r="E108">
        <f>'Fats Raw Data'!O108-'Fats Raw Data'!Y108</f>
        <v>0</v>
      </c>
      <c r="F108" t="str">
        <f>'Fats Raw Data'!S108&amp;" - "&amp;'Fats Raw Data'!AC108</f>
        <v xml:space="preserve"> - </v>
      </c>
      <c r="H108" s="1">
        <f>'Fats Raw Data'!U108</f>
        <v>0</v>
      </c>
      <c r="I108">
        <f>'Fats Raw Data'!V108-'Fats Raw Data'!AF108</f>
        <v>0</v>
      </c>
      <c r="J108">
        <f>'Fats Raw Data'!W108-'Fats Raw Data'!AG108</f>
        <v>0</v>
      </c>
      <c r="K108">
        <f>'Fats Raw Data'!X108-'Fats Raw Data'!AH108</f>
        <v>0</v>
      </c>
      <c r="L108">
        <f>'Fats Raw Data'!Y108-'Fats Raw Data'!AI108</f>
        <v>0</v>
      </c>
      <c r="M108" t="str">
        <f>'Fats Raw Data'!AC108&amp;" - "&amp;'Fats Raw Data'!AM108</f>
        <v xml:space="preserve"> - </v>
      </c>
      <c r="O108" s="1">
        <f>'Fats Raw Data'!AE108</f>
        <v>0</v>
      </c>
      <c r="P108">
        <f>'Fats Raw Data'!AF108-'Fats Raw Data'!AP108</f>
        <v>0</v>
      </c>
      <c r="Q108">
        <f>'Fats Raw Data'!AG108-'Fats Raw Data'!AQ108</f>
        <v>0</v>
      </c>
      <c r="R108">
        <f>'Fats Raw Data'!AH108-'Fats Raw Data'!AR108</f>
        <v>0</v>
      </c>
      <c r="S108">
        <f>'Fats Raw Data'!AI108-'Fats Raw Data'!AS108</f>
        <v>0</v>
      </c>
      <c r="T108" t="str">
        <f>'Fats Raw Data'!AM108&amp;" - "&amp;'Fats Raw Data'!AW108</f>
        <v xml:space="preserve"> - </v>
      </c>
      <c r="V108" s="1">
        <f>'Fats Raw Data'!AO108</f>
        <v>0</v>
      </c>
      <c r="W108">
        <f>'Fats Raw Data'!AP108-'Fats Raw Data'!AZ108</f>
        <v>0</v>
      </c>
      <c r="X108">
        <f>'Fats Raw Data'!AQ108-'Fats Raw Data'!BA108</f>
        <v>0</v>
      </c>
      <c r="Y108">
        <f>'Fats Raw Data'!AR108-'Fats Raw Data'!BB108</f>
        <v>0</v>
      </c>
      <c r="Z108">
        <f>'Fats Raw Data'!AS108-'Fats Raw Data'!BC108</f>
        <v>0</v>
      </c>
      <c r="AA108" t="str">
        <f>'Fats Raw Data'!AW108&amp;" - "&amp;'Fats Raw Data'!BG108</f>
        <v xml:space="preserve"> - </v>
      </c>
      <c r="AC108" s="1">
        <f>'Fats Raw Data'!AY108</f>
        <v>0</v>
      </c>
      <c r="AD108">
        <f>'Fats Raw Data'!AZ108-'Fats Raw Data'!B108</f>
        <v>0</v>
      </c>
      <c r="AE108">
        <f>'Fats Raw Data'!BA108-'Fats Raw Data'!C108</f>
        <v>0</v>
      </c>
      <c r="AF108">
        <f>'Fats Raw Data'!BB108-'Fats Raw Data'!D108</f>
        <v>0</v>
      </c>
      <c r="AG108">
        <f>'Fats Raw Data'!BC108-'Fats Raw Data'!E108</f>
        <v>0</v>
      </c>
      <c r="AH108" t="str">
        <f>'Fats Raw Data'!BG108&amp;" - "&amp;'Fats Raw Data'!I108</f>
        <v xml:space="preserve"> - </v>
      </c>
      <c r="AJ108" s="1">
        <f>'Fats Raw Data'!A108</f>
        <v>0</v>
      </c>
      <c r="AK108">
        <f>'Fats Raw Data'!B108-'Fats Raw Data'!L108</f>
        <v>0</v>
      </c>
      <c r="AL108">
        <f>'Fats Raw Data'!C108-'Fats Raw Data'!M108</f>
        <v>0</v>
      </c>
      <c r="AM108">
        <f>'Fats Raw Data'!D108-'Fats Raw Data'!N108</f>
        <v>0</v>
      </c>
      <c r="AN108">
        <f>'Fats Raw Data'!E108-'Fats Raw Data'!O108</f>
        <v>0</v>
      </c>
      <c r="AO108" t="str">
        <f>'Fats Raw Data'!I108&amp;" - "&amp;'Fats Raw Data'!S108</f>
        <v xml:space="preserve"> - </v>
      </c>
      <c r="AQ108" s="1">
        <f>'Fats Raw Data'!AE108</f>
        <v>0</v>
      </c>
      <c r="AR108">
        <f>'Fats Raw Data'!AF108-'Fats Raw Data'!AZ108</f>
        <v>0</v>
      </c>
      <c r="AS108">
        <f>'Fats Raw Data'!AG108-'Fats Raw Data'!BA108</f>
        <v>0</v>
      </c>
      <c r="AT108">
        <f>'Fats Raw Data'!AH108-'Fats Raw Data'!BB108</f>
        <v>0</v>
      </c>
      <c r="AU108">
        <f>'Fats Raw Data'!AI108-'Fats Raw Data'!BC108</f>
        <v>0</v>
      </c>
      <c r="AV108" t="str">
        <f>'Fats Raw Data'!AM108&amp;" - "&amp;'Fats Raw Data'!BG108</f>
        <v xml:space="preserve"> - </v>
      </c>
      <c r="AX108" s="1">
        <f>'Fats Raw Data'!A108</f>
        <v>0</v>
      </c>
      <c r="AY108">
        <f>'Fats Raw Data'!B108-'Fats Raw Data'!V108</f>
        <v>0</v>
      </c>
      <c r="AZ108">
        <f>'Fats Raw Data'!C108-'Fats Raw Data'!W108</f>
        <v>0</v>
      </c>
      <c r="BA108">
        <f>'Fats Raw Data'!D108-'Fats Raw Data'!X108</f>
        <v>0</v>
      </c>
      <c r="BB108">
        <f>'Fats Raw Data'!E108-'Fats Raw Data'!Y108</f>
        <v>0</v>
      </c>
      <c r="BC108" t="str">
        <f>'Fats Raw Data'!I108&amp;" - "&amp;'Fats Raw Data'!AC108</f>
        <v xml:space="preserve"> - </v>
      </c>
      <c r="BE108" s="1">
        <f>'Fats Raw Data'!K108</f>
        <v>0</v>
      </c>
      <c r="BF108">
        <f>'Fats Raw Data'!L108-'Fats Raw Data'!AF108</f>
        <v>0</v>
      </c>
      <c r="BG108">
        <f>'Fats Raw Data'!M108-'Fats Raw Data'!AG108</f>
        <v>0</v>
      </c>
      <c r="BH108">
        <f>'Fats Raw Data'!N108-'Fats Raw Data'!AH108</f>
        <v>0</v>
      </c>
      <c r="BI108">
        <f>'Fats Raw Data'!O108-'Fats Raw Data'!AI108</f>
        <v>0</v>
      </c>
      <c r="BJ108" t="str">
        <f>'Fats Raw Data'!S108&amp;" - "&amp;'Fats Raw Data'!AM108</f>
        <v xml:space="preserve"> - </v>
      </c>
    </row>
    <row r="109" spans="1:62" x14ac:dyDescent="0.25">
      <c r="A109" s="1">
        <f>'Fats Raw Data'!K109</f>
        <v>0</v>
      </c>
      <c r="B109">
        <f>'Fats Raw Data'!L109-'Fats Raw Data'!V109</f>
        <v>0</v>
      </c>
      <c r="C109">
        <f>'Fats Raw Data'!M109-'Fats Raw Data'!W109</f>
        <v>0</v>
      </c>
      <c r="D109">
        <f>'Fats Raw Data'!N109-'Fats Raw Data'!X109</f>
        <v>0</v>
      </c>
      <c r="E109">
        <f>'Fats Raw Data'!O109-'Fats Raw Data'!Y109</f>
        <v>0</v>
      </c>
      <c r="F109" t="str">
        <f>'Fats Raw Data'!S109&amp;" - "&amp;'Fats Raw Data'!AC109</f>
        <v xml:space="preserve"> - </v>
      </c>
      <c r="H109" s="1">
        <f>'Fats Raw Data'!U109</f>
        <v>0</v>
      </c>
      <c r="I109">
        <f>'Fats Raw Data'!V109-'Fats Raw Data'!AF109</f>
        <v>0</v>
      </c>
      <c r="J109">
        <f>'Fats Raw Data'!W109-'Fats Raw Data'!AG109</f>
        <v>0</v>
      </c>
      <c r="K109">
        <f>'Fats Raw Data'!X109-'Fats Raw Data'!AH109</f>
        <v>0</v>
      </c>
      <c r="L109">
        <f>'Fats Raw Data'!Y109-'Fats Raw Data'!AI109</f>
        <v>0</v>
      </c>
      <c r="M109" t="str">
        <f>'Fats Raw Data'!AC109&amp;" - "&amp;'Fats Raw Data'!AM109</f>
        <v xml:space="preserve"> - </v>
      </c>
      <c r="O109" s="1">
        <f>'Fats Raw Data'!AE109</f>
        <v>0</v>
      </c>
      <c r="P109">
        <f>'Fats Raw Data'!AF109-'Fats Raw Data'!AP109</f>
        <v>0</v>
      </c>
      <c r="Q109">
        <f>'Fats Raw Data'!AG109-'Fats Raw Data'!AQ109</f>
        <v>0</v>
      </c>
      <c r="R109">
        <f>'Fats Raw Data'!AH109-'Fats Raw Data'!AR109</f>
        <v>0</v>
      </c>
      <c r="S109">
        <f>'Fats Raw Data'!AI109-'Fats Raw Data'!AS109</f>
        <v>0</v>
      </c>
      <c r="T109" t="str">
        <f>'Fats Raw Data'!AM109&amp;" - "&amp;'Fats Raw Data'!AW109</f>
        <v xml:space="preserve"> - </v>
      </c>
      <c r="V109" s="1">
        <f>'Fats Raw Data'!AO109</f>
        <v>0</v>
      </c>
      <c r="W109">
        <f>'Fats Raw Data'!AP109-'Fats Raw Data'!AZ109</f>
        <v>0</v>
      </c>
      <c r="X109">
        <f>'Fats Raw Data'!AQ109-'Fats Raw Data'!BA109</f>
        <v>0</v>
      </c>
      <c r="Y109">
        <f>'Fats Raw Data'!AR109-'Fats Raw Data'!BB109</f>
        <v>0</v>
      </c>
      <c r="Z109">
        <f>'Fats Raw Data'!AS109-'Fats Raw Data'!BC109</f>
        <v>0</v>
      </c>
      <c r="AA109" t="str">
        <f>'Fats Raw Data'!AW109&amp;" - "&amp;'Fats Raw Data'!BG109</f>
        <v xml:space="preserve"> - </v>
      </c>
      <c r="AC109" s="1">
        <f>'Fats Raw Data'!AY109</f>
        <v>0</v>
      </c>
      <c r="AD109">
        <f>'Fats Raw Data'!AZ109-'Fats Raw Data'!B109</f>
        <v>0</v>
      </c>
      <c r="AE109">
        <f>'Fats Raw Data'!BA109-'Fats Raw Data'!C109</f>
        <v>0</v>
      </c>
      <c r="AF109">
        <f>'Fats Raw Data'!BB109-'Fats Raw Data'!D109</f>
        <v>0</v>
      </c>
      <c r="AG109">
        <f>'Fats Raw Data'!BC109-'Fats Raw Data'!E109</f>
        <v>0</v>
      </c>
      <c r="AH109" t="str">
        <f>'Fats Raw Data'!BG109&amp;" - "&amp;'Fats Raw Data'!I109</f>
        <v xml:space="preserve"> - </v>
      </c>
      <c r="AJ109" s="1">
        <f>'Fats Raw Data'!A109</f>
        <v>0</v>
      </c>
      <c r="AK109">
        <f>'Fats Raw Data'!B109-'Fats Raw Data'!L109</f>
        <v>0</v>
      </c>
      <c r="AL109">
        <f>'Fats Raw Data'!C109-'Fats Raw Data'!M109</f>
        <v>0</v>
      </c>
      <c r="AM109">
        <f>'Fats Raw Data'!D109-'Fats Raw Data'!N109</f>
        <v>0</v>
      </c>
      <c r="AN109">
        <f>'Fats Raw Data'!E109-'Fats Raw Data'!O109</f>
        <v>0</v>
      </c>
      <c r="AO109" t="str">
        <f>'Fats Raw Data'!I109&amp;" - "&amp;'Fats Raw Data'!S109</f>
        <v xml:space="preserve"> - </v>
      </c>
      <c r="AQ109" s="1">
        <f>'Fats Raw Data'!AE109</f>
        <v>0</v>
      </c>
      <c r="AR109">
        <f>'Fats Raw Data'!AF109-'Fats Raw Data'!AZ109</f>
        <v>0</v>
      </c>
      <c r="AS109">
        <f>'Fats Raw Data'!AG109-'Fats Raw Data'!BA109</f>
        <v>0</v>
      </c>
      <c r="AT109">
        <f>'Fats Raw Data'!AH109-'Fats Raw Data'!BB109</f>
        <v>0</v>
      </c>
      <c r="AU109">
        <f>'Fats Raw Data'!AI109-'Fats Raw Data'!BC109</f>
        <v>0</v>
      </c>
      <c r="AV109" t="str">
        <f>'Fats Raw Data'!AM109&amp;" - "&amp;'Fats Raw Data'!BG109</f>
        <v xml:space="preserve"> - </v>
      </c>
      <c r="AX109" s="1">
        <f>'Fats Raw Data'!A109</f>
        <v>0</v>
      </c>
      <c r="AY109">
        <f>'Fats Raw Data'!B109-'Fats Raw Data'!V109</f>
        <v>0</v>
      </c>
      <c r="AZ109">
        <f>'Fats Raw Data'!C109-'Fats Raw Data'!W109</f>
        <v>0</v>
      </c>
      <c r="BA109">
        <f>'Fats Raw Data'!D109-'Fats Raw Data'!X109</f>
        <v>0</v>
      </c>
      <c r="BB109">
        <f>'Fats Raw Data'!E109-'Fats Raw Data'!Y109</f>
        <v>0</v>
      </c>
      <c r="BC109" t="str">
        <f>'Fats Raw Data'!I109&amp;" - "&amp;'Fats Raw Data'!AC109</f>
        <v xml:space="preserve"> - </v>
      </c>
      <c r="BE109" s="1">
        <f>'Fats Raw Data'!K109</f>
        <v>0</v>
      </c>
      <c r="BF109">
        <f>'Fats Raw Data'!L109-'Fats Raw Data'!AF109</f>
        <v>0</v>
      </c>
      <c r="BG109">
        <f>'Fats Raw Data'!M109-'Fats Raw Data'!AG109</f>
        <v>0</v>
      </c>
      <c r="BH109">
        <f>'Fats Raw Data'!N109-'Fats Raw Data'!AH109</f>
        <v>0</v>
      </c>
      <c r="BI109">
        <f>'Fats Raw Data'!O109-'Fats Raw Data'!AI109</f>
        <v>0</v>
      </c>
      <c r="BJ109" t="str">
        <f>'Fats Raw Data'!S109&amp;" - "&amp;'Fats Raw Data'!AM109</f>
        <v xml:space="preserve"> - </v>
      </c>
    </row>
    <row r="110" spans="1:62" x14ac:dyDescent="0.25">
      <c r="A110" s="1">
        <f>'Fats Raw Data'!K110</f>
        <v>0</v>
      </c>
      <c r="B110">
        <f>'Fats Raw Data'!L110-'Fats Raw Data'!V110</f>
        <v>0</v>
      </c>
      <c r="C110">
        <f>'Fats Raw Data'!M110-'Fats Raw Data'!W110</f>
        <v>0</v>
      </c>
      <c r="D110">
        <f>'Fats Raw Data'!N110-'Fats Raw Data'!X110</f>
        <v>0</v>
      </c>
      <c r="E110">
        <f>'Fats Raw Data'!O110-'Fats Raw Data'!Y110</f>
        <v>0</v>
      </c>
      <c r="F110" t="str">
        <f>'Fats Raw Data'!S110&amp;" - "&amp;'Fats Raw Data'!AC110</f>
        <v xml:space="preserve"> - </v>
      </c>
      <c r="H110" s="1">
        <f>'Fats Raw Data'!U110</f>
        <v>0</v>
      </c>
      <c r="I110">
        <f>'Fats Raw Data'!V110-'Fats Raw Data'!AF110</f>
        <v>0</v>
      </c>
      <c r="J110">
        <f>'Fats Raw Data'!W110-'Fats Raw Data'!AG110</f>
        <v>0</v>
      </c>
      <c r="K110">
        <f>'Fats Raw Data'!X110-'Fats Raw Data'!AH110</f>
        <v>0</v>
      </c>
      <c r="L110">
        <f>'Fats Raw Data'!Y110-'Fats Raw Data'!AI110</f>
        <v>0</v>
      </c>
      <c r="M110" t="str">
        <f>'Fats Raw Data'!AC110&amp;" - "&amp;'Fats Raw Data'!AM110</f>
        <v xml:space="preserve"> - </v>
      </c>
      <c r="O110" s="1">
        <f>'Fats Raw Data'!AE110</f>
        <v>0</v>
      </c>
      <c r="P110">
        <f>'Fats Raw Data'!AF110-'Fats Raw Data'!AP110</f>
        <v>0</v>
      </c>
      <c r="Q110">
        <f>'Fats Raw Data'!AG110-'Fats Raw Data'!AQ110</f>
        <v>0</v>
      </c>
      <c r="R110">
        <f>'Fats Raw Data'!AH110-'Fats Raw Data'!AR110</f>
        <v>0</v>
      </c>
      <c r="S110">
        <f>'Fats Raw Data'!AI110-'Fats Raw Data'!AS110</f>
        <v>0</v>
      </c>
      <c r="T110" t="str">
        <f>'Fats Raw Data'!AM110&amp;" - "&amp;'Fats Raw Data'!AW110</f>
        <v xml:space="preserve"> - </v>
      </c>
      <c r="V110" s="1">
        <f>'Fats Raw Data'!AO110</f>
        <v>0</v>
      </c>
      <c r="W110">
        <f>'Fats Raw Data'!AP110-'Fats Raw Data'!AZ110</f>
        <v>0</v>
      </c>
      <c r="X110">
        <f>'Fats Raw Data'!AQ110-'Fats Raw Data'!BA110</f>
        <v>0</v>
      </c>
      <c r="Y110">
        <f>'Fats Raw Data'!AR110-'Fats Raw Data'!BB110</f>
        <v>0</v>
      </c>
      <c r="Z110">
        <f>'Fats Raw Data'!AS110-'Fats Raw Data'!BC110</f>
        <v>0</v>
      </c>
      <c r="AA110" t="str">
        <f>'Fats Raw Data'!AW110&amp;" - "&amp;'Fats Raw Data'!BG110</f>
        <v xml:space="preserve"> - </v>
      </c>
      <c r="AC110" s="1">
        <f>'Fats Raw Data'!AY110</f>
        <v>0</v>
      </c>
      <c r="AD110">
        <f>'Fats Raw Data'!AZ110-'Fats Raw Data'!B110</f>
        <v>0</v>
      </c>
      <c r="AE110">
        <f>'Fats Raw Data'!BA110-'Fats Raw Data'!C110</f>
        <v>0</v>
      </c>
      <c r="AF110">
        <f>'Fats Raw Data'!BB110-'Fats Raw Data'!D110</f>
        <v>0</v>
      </c>
      <c r="AG110">
        <f>'Fats Raw Data'!BC110-'Fats Raw Data'!E110</f>
        <v>0</v>
      </c>
      <c r="AH110" t="str">
        <f>'Fats Raw Data'!BG110&amp;" - "&amp;'Fats Raw Data'!I110</f>
        <v xml:space="preserve"> - </v>
      </c>
      <c r="AJ110" s="1">
        <f>'Fats Raw Data'!A110</f>
        <v>0</v>
      </c>
      <c r="AK110">
        <f>'Fats Raw Data'!B110-'Fats Raw Data'!L110</f>
        <v>0</v>
      </c>
      <c r="AL110">
        <f>'Fats Raw Data'!C110-'Fats Raw Data'!M110</f>
        <v>0</v>
      </c>
      <c r="AM110">
        <f>'Fats Raw Data'!D110-'Fats Raw Data'!N110</f>
        <v>0</v>
      </c>
      <c r="AN110">
        <f>'Fats Raw Data'!E110-'Fats Raw Data'!O110</f>
        <v>0</v>
      </c>
      <c r="AO110" t="str">
        <f>'Fats Raw Data'!I110&amp;" - "&amp;'Fats Raw Data'!S110</f>
        <v xml:space="preserve"> - </v>
      </c>
      <c r="AQ110" s="1">
        <f>'Fats Raw Data'!AE110</f>
        <v>0</v>
      </c>
      <c r="AR110">
        <f>'Fats Raw Data'!AF110-'Fats Raw Data'!AZ110</f>
        <v>0</v>
      </c>
      <c r="AS110">
        <f>'Fats Raw Data'!AG110-'Fats Raw Data'!BA110</f>
        <v>0</v>
      </c>
      <c r="AT110">
        <f>'Fats Raw Data'!AH110-'Fats Raw Data'!BB110</f>
        <v>0</v>
      </c>
      <c r="AU110">
        <f>'Fats Raw Data'!AI110-'Fats Raw Data'!BC110</f>
        <v>0</v>
      </c>
      <c r="AV110" t="str">
        <f>'Fats Raw Data'!AM110&amp;" - "&amp;'Fats Raw Data'!BG110</f>
        <v xml:space="preserve"> - </v>
      </c>
      <c r="AX110" s="1">
        <f>'Fats Raw Data'!A110</f>
        <v>0</v>
      </c>
      <c r="AY110">
        <f>'Fats Raw Data'!B110-'Fats Raw Data'!V110</f>
        <v>0</v>
      </c>
      <c r="AZ110">
        <f>'Fats Raw Data'!C110-'Fats Raw Data'!W110</f>
        <v>0</v>
      </c>
      <c r="BA110">
        <f>'Fats Raw Data'!D110-'Fats Raw Data'!X110</f>
        <v>0</v>
      </c>
      <c r="BB110">
        <f>'Fats Raw Data'!E110-'Fats Raw Data'!Y110</f>
        <v>0</v>
      </c>
      <c r="BC110" t="str">
        <f>'Fats Raw Data'!I110&amp;" - "&amp;'Fats Raw Data'!AC110</f>
        <v xml:space="preserve"> - </v>
      </c>
      <c r="BE110" s="1">
        <f>'Fats Raw Data'!K110</f>
        <v>0</v>
      </c>
      <c r="BF110">
        <f>'Fats Raw Data'!L110-'Fats Raw Data'!AF110</f>
        <v>0</v>
      </c>
      <c r="BG110">
        <f>'Fats Raw Data'!M110-'Fats Raw Data'!AG110</f>
        <v>0</v>
      </c>
      <c r="BH110">
        <f>'Fats Raw Data'!N110-'Fats Raw Data'!AH110</f>
        <v>0</v>
      </c>
      <c r="BI110">
        <f>'Fats Raw Data'!O110-'Fats Raw Data'!AI110</f>
        <v>0</v>
      </c>
      <c r="BJ110" t="str">
        <f>'Fats Raw Data'!S110&amp;" - "&amp;'Fats Raw Data'!AM110</f>
        <v xml:space="preserve"> - </v>
      </c>
    </row>
    <row r="111" spans="1:62" x14ac:dyDescent="0.25">
      <c r="A111" s="1">
        <f>'Fats Raw Data'!K111</f>
        <v>0</v>
      </c>
      <c r="B111">
        <f>'Fats Raw Data'!L111-'Fats Raw Data'!V111</f>
        <v>0</v>
      </c>
      <c r="C111">
        <f>'Fats Raw Data'!M111-'Fats Raw Data'!W111</f>
        <v>0</v>
      </c>
      <c r="D111">
        <f>'Fats Raw Data'!N111-'Fats Raw Data'!X111</f>
        <v>0</v>
      </c>
      <c r="E111">
        <f>'Fats Raw Data'!O111-'Fats Raw Data'!Y111</f>
        <v>0</v>
      </c>
      <c r="F111" t="str">
        <f>'Fats Raw Data'!S111&amp;" - "&amp;'Fats Raw Data'!AC111</f>
        <v xml:space="preserve"> - </v>
      </c>
      <c r="H111" s="1">
        <f>'Fats Raw Data'!U111</f>
        <v>0</v>
      </c>
      <c r="I111">
        <f>'Fats Raw Data'!V111-'Fats Raw Data'!AF111</f>
        <v>0</v>
      </c>
      <c r="J111">
        <f>'Fats Raw Data'!W111-'Fats Raw Data'!AG111</f>
        <v>0</v>
      </c>
      <c r="K111">
        <f>'Fats Raw Data'!X111-'Fats Raw Data'!AH111</f>
        <v>0</v>
      </c>
      <c r="L111">
        <f>'Fats Raw Data'!Y111-'Fats Raw Data'!AI111</f>
        <v>0</v>
      </c>
      <c r="M111" t="str">
        <f>'Fats Raw Data'!AC111&amp;" - "&amp;'Fats Raw Data'!AM111</f>
        <v xml:space="preserve"> - </v>
      </c>
      <c r="O111" s="1">
        <f>'Fats Raw Data'!AE111</f>
        <v>0</v>
      </c>
      <c r="P111">
        <f>'Fats Raw Data'!AF111-'Fats Raw Data'!AP111</f>
        <v>0</v>
      </c>
      <c r="Q111">
        <f>'Fats Raw Data'!AG111-'Fats Raw Data'!AQ111</f>
        <v>0</v>
      </c>
      <c r="R111">
        <f>'Fats Raw Data'!AH111-'Fats Raw Data'!AR111</f>
        <v>0</v>
      </c>
      <c r="S111">
        <f>'Fats Raw Data'!AI111-'Fats Raw Data'!AS111</f>
        <v>0</v>
      </c>
      <c r="T111" t="str">
        <f>'Fats Raw Data'!AM111&amp;" - "&amp;'Fats Raw Data'!AW111</f>
        <v xml:space="preserve"> - </v>
      </c>
      <c r="V111" s="1">
        <f>'Fats Raw Data'!AO111</f>
        <v>0</v>
      </c>
      <c r="W111">
        <f>'Fats Raw Data'!AP111-'Fats Raw Data'!AZ111</f>
        <v>0</v>
      </c>
      <c r="X111">
        <f>'Fats Raw Data'!AQ111-'Fats Raw Data'!BA111</f>
        <v>0</v>
      </c>
      <c r="Y111">
        <f>'Fats Raw Data'!AR111-'Fats Raw Data'!BB111</f>
        <v>0</v>
      </c>
      <c r="Z111">
        <f>'Fats Raw Data'!AS111-'Fats Raw Data'!BC111</f>
        <v>0</v>
      </c>
      <c r="AA111" t="str">
        <f>'Fats Raw Data'!AW111&amp;" - "&amp;'Fats Raw Data'!BG111</f>
        <v xml:space="preserve"> - </v>
      </c>
      <c r="AC111" s="1">
        <f>'Fats Raw Data'!AY111</f>
        <v>0</v>
      </c>
      <c r="AD111">
        <f>'Fats Raw Data'!AZ111-'Fats Raw Data'!B111</f>
        <v>0</v>
      </c>
      <c r="AE111">
        <f>'Fats Raw Data'!BA111-'Fats Raw Data'!C111</f>
        <v>0</v>
      </c>
      <c r="AF111">
        <f>'Fats Raw Data'!BB111-'Fats Raw Data'!D111</f>
        <v>0</v>
      </c>
      <c r="AG111">
        <f>'Fats Raw Data'!BC111-'Fats Raw Data'!E111</f>
        <v>0</v>
      </c>
      <c r="AH111" t="str">
        <f>'Fats Raw Data'!BG111&amp;" - "&amp;'Fats Raw Data'!I111</f>
        <v xml:space="preserve"> - </v>
      </c>
      <c r="AJ111" s="1">
        <f>'Fats Raw Data'!A111</f>
        <v>0</v>
      </c>
      <c r="AK111">
        <f>'Fats Raw Data'!B111-'Fats Raw Data'!L111</f>
        <v>0</v>
      </c>
      <c r="AL111">
        <f>'Fats Raw Data'!C111-'Fats Raw Data'!M111</f>
        <v>0</v>
      </c>
      <c r="AM111">
        <f>'Fats Raw Data'!D111-'Fats Raw Data'!N111</f>
        <v>0</v>
      </c>
      <c r="AN111">
        <f>'Fats Raw Data'!E111-'Fats Raw Data'!O111</f>
        <v>0</v>
      </c>
      <c r="AO111" t="str">
        <f>'Fats Raw Data'!I111&amp;" - "&amp;'Fats Raw Data'!S111</f>
        <v xml:space="preserve"> - </v>
      </c>
      <c r="AQ111" s="1">
        <f>'Fats Raw Data'!AE111</f>
        <v>0</v>
      </c>
      <c r="AR111">
        <f>'Fats Raw Data'!AF111-'Fats Raw Data'!AZ111</f>
        <v>0</v>
      </c>
      <c r="AS111">
        <f>'Fats Raw Data'!AG111-'Fats Raw Data'!BA111</f>
        <v>0</v>
      </c>
      <c r="AT111">
        <f>'Fats Raw Data'!AH111-'Fats Raw Data'!BB111</f>
        <v>0</v>
      </c>
      <c r="AU111">
        <f>'Fats Raw Data'!AI111-'Fats Raw Data'!BC111</f>
        <v>0</v>
      </c>
      <c r="AV111" t="str">
        <f>'Fats Raw Data'!AM111&amp;" - "&amp;'Fats Raw Data'!BG111</f>
        <v xml:space="preserve"> - </v>
      </c>
      <c r="AX111" s="1">
        <f>'Fats Raw Data'!A111</f>
        <v>0</v>
      </c>
      <c r="AY111">
        <f>'Fats Raw Data'!B111-'Fats Raw Data'!V111</f>
        <v>0</v>
      </c>
      <c r="AZ111">
        <f>'Fats Raw Data'!C111-'Fats Raw Data'!W111</f>
        <v>0</v>
      </c>
      <c r="BA111">
        <f>'Fats Raw Data'!D111-'Fats Raw Data'!X111</f>
        <v>0</v>
      </c>
      <c r="BB111">
        <f>'Fats Raw Data'!E111-'Fats Raw Data'!Y111</f>
        <v>0</v>
      </c>
      <c r="BC111" t="str">
        <f>'Fats Raw Data'!I111&amp;" - "&amp;'Fats Raw Data'!AC111</f>
        <v xml:space="preserve"> - </v>
      </c>
      <c r="BE111" s="1">
        <f>'Fats Raw Data'!K111</f>
        <v>0</v>
      </c>
      <c r="BF111">
        <f>'Fats Raw Data'!L111-'Fats Raw Data'!AF111</f>
        <v>0</v>
      </c>
      <c r="BG111">
        <f>'Fats Raw Data'!M111-'Fats Raw Data'!AG111</f>
        <v>0</v>
      </c>
      <c r="BH111">
        <f>'Fats Raw Data'!N111-'Fats Raw Data'!AH111</f>
        <v>0</v>
      </c>
      <c r="BI111">
        <f>'Fats Raw Data'!O111-'Fats Raw Data'!AI111</f>
        <v>0</v>
      </c>
      <c r="BJ111" t="str">
        <f>'Fats Raw Data'!S111&amp;" - "&amp;'Fats Raw Data'!AM111</f>
        <v xml:space="preserve"> - </v>
      </c>
    </row>
    <row r="112" spans="1:62" x14ac:dyDescent="0.25">
      <c r="A112" s="1">
        <f>'Fats Raw Data'!K112</f>
        <v>0</v>
      </c>
      <c r="B112">
        <f>'Fats Raw Data'!L112-'Fats Raw Data'!V112</f>
        <v>0</v>
      </c>
      <c r="C112">
        <f>'Fats Raw Data'!M112-'Fats Raw Data'!W112</f>
        <v>0</v>
      </c>
      <c r="D112">
        <f>'Fats Raw Data'!N112-'Fats Raw Data'!X112</f>
        <v>0</v>
      </c>
      <c r="E112">
        <f>'Fats Raw Data'!O112-'Fats Raw Data'!Y112</f>
        <v>0</v>
      </c>
      <c r="F112" t="str">
        <f>'Fats Raw Data'!S112&amp;" - "&amp;'Fats Raw Data'!AC112</f>
        <v xml:space="preserve"> - </v>
      </c>
      <c r="H112" s="1">
        <f>'Fats Raw Data'!U112</f>
        <v>0</v>
      </c>
      <c r="I112">
        <f>'Fats Raw Data'!V112-'Fats Raw Data'!AF112</f>
        <v>0</v>
      </c>
      <c r="J112">
        <f>'Fats Raw Data'!W112-'Fats Raw Data'!AG112</f>
        <v>0</v>
      </c>
      <c r="K112">
        <f>'Fats Raw Data'!X112-'Fats Raw Data'!AH112</f>
        <v>0</v>
      </c>
      <c r="L112">
        <f>'Fats Raw Data'!Y112-'Fats Raw Data'!AI112</f>
        <v>0</v>
      </c>
      <c r="M112" t="str">
        <f>'Fats Raw Data'!AC112&amp;" - "&amp;'Fats Raw Data'!AM112</f>
        <v xml:space="preserve"> - </v>
      </c>
      <c r="O112" s="1">
        <f>'Fats Raw Data'!AE112</f>
        <v>0</v>
      </c>
      <c r="P112">
        <f>'Fats Raw Data'!AF112-'Fats Raw Data'!AP112</f>
        <v>0</v>
      </c>
      <c r="Q112">
        <f>'Fats Raw Data'!AG112-'Fats Raw Data'!AQ112</f>
        <v>0</v>
      </c>
      <c r="R112">
        <f>'Fats Raw Data'!AH112-'Fats Raw Data'!AR112</f>
        <v>0</v>
      </c>
      <c r="S112">
        <f>'Fats Raw Data'!AI112-'Fats Raw Data'!AS112</f>
        <v>0</v>
      </c>
      <c r="T112" t="str">
        <f>'Fats Raw Data'!AM112&amp;" - "&amp;'Fats Raw Data'!AW112</f>
        <v xml:space="preserve"> - </v>
      </c>
      <c r="V112" s="1">
        <f>'Fats Raw Data'!AO112</f>
        <v>0</v>
      </c>
      <c r="W112">
        <f>'Fats Raw Data'!AP112-'Fats Raw Data'!AZ112</f>
        <v>0</v>
      </c>
      <c r="X112">
        <f>'Fats Raw Data'!AQ112-'Fats Raw Data'!BA112</f>
        <v>0</v>
      </c>
      <c r="Y112">
        <f>'Fats Raw Data'!AR112-'Fats Raw Data'!BB112</f>
        <v>0</v>
      </c>
      <c r="Z112">
        <f>'Fats Raw Data'!AS112-'Fats Raw Data'!BC112</f>
        <v>0</v>
      </c>
      <c r="AA112" t="str">
        <f>'Fats Raw Data'!AW112&amp;" - "&amp;'Fats Raw Data'!BG112</f>
        <v xml:space="preserve"> - </v>
      </c>
      <c r="AC112" s="1">
        <f>'Fats Raw Data'!AY112</f>
        <v>0</v>
      </c>
      <c r="AD112">
        <f>'Fats Raw Data'!AZ112-'Fats Raw Data'!B112</f>
        <v>0</v>
      </c>
      <c r="AE112">
        <f>'Fats Raw Data'!BA112-'Fats Raw Data'!C112</f>
        <v>0</v>
      </c>
      <c r="AF112">
        <f>'Fats Raw Data'!BB112-'Fats Raw Data'!D112</f>
        <v>0</v>
      </c>
      <c r="AG112">
        <f>'Fats Raw Data'!BC112-'Fats Raw Data'!E112</f>
        <v>0</v>
      </c>
      <c r="AH112" t="str">
        <f>'Fats Raw Data'!BG112&amp;" - "&amp;'Fats Raw Data'!I112</f>
        <v xml:space="preserve"> - </v>
      </c>
      <c r="AJ112" s="1">
        <f>'Fats Raw Data'!A112</f>
        <v>0</v>
      </c>
      <c r="AK112">
        <f>'Fats Raw Data'!B112-'Fats Raw Data'!L112</f>
        <v>0</v>
      </c>
      <c r="AL112">
        <f>'Fats Raw Data'!C112-'Fats Raw Data'!M112</f>
        <v>0</v>
      </c>
      <c r="AM112">
        <f>'Fats Raw Data'!D112-'Fats Raw Data'!N112</f>
        <v>0</v>
      </c>
      <c r="AN112">
        <f>'Fats Raw Data'!E112-'Fats Raw Data'!O112</f>
        <v>0</v>
      </c>
      <c r="AO112" t="str">
        <f>'Fats Raw Data'!I112&amp;" - "&amp;'Fats Raw Data'!S112</f>
        <v xml:space="preserve"> - </v>
      </c>
      <c r="AQ112" s="1">
        <f>'Fats Raw Data'!AE112</f>
        <v>0</v>
      </c>
      <c r="AR112">
        <f>'Fats Raw Data'!AF112-'Fats Raw Data'!AZ112</f>
        <v>0</v>
      </c>
      <c r="AS112">
        <f>'Fats Raw Data'!AG112-'Fats Raw Data'!BA112</f>
        <v>0</v>
      </c>
      <c r="AT112">
        <f>'Fats Raw Data'!AH112-'Fats Raw Data'!BB112</f>
        <v>0</v>
      </c>
      <c r="AU112">
        <f>'Fats Raw Data'!AI112-'Fats Raw Data'!BC112</f>
        <v>0</v>
      </c>
      <c r="AV112" t="str">
        <f>'Fats Raw Data'!AM112&amp;" - "&amp;'Fats Raw Data'!BG112</f>
        <v xml:space="preserve"> - </v>
      </c>
      <c r="AX112" s="1">
        <f>'Fats Raw Data'!A112</f>
        <v>0</v>
      </c>
      <c r="AY112">
        <f>'Fats Raw Data'!B112-'Fats Raw Data'!V112</f>
        <v>0</v>
      </c>
      <c r="AZ112">
        <f>'Fats Raw Data'!C112-'Fats Raw Data'!W112</f>
        <v>0</v>
      </c>
      <c r="BA112">
        <f>'Fats Raw Data'!D112-'Fats Raw Data'!X112</f>
        <v>0</v>
      </c>
      <c r="BB112">
        <f>'Fats Raw Data'!E112-'Fats Raw Data'!Y112</f>
        <v>0</v>
      </c>
      <c r="BC112" t="str">
        <f>'Fats Raw Data'!I112&amp;" - "&amp;'Fats Raw Data'!AC112</f>
        <v xml:space="preserve"> - </v>
      </c>
      <c r="BE112" s="1">
        <f>'Fats Raw Data'!K112</f>
        <v>0</v>
      </c>
      <c r="BF112">
        <f>'Fats Raw Data'!L112-'Fats Raw Data'!AF112</f>
        <v>0</v>
      </c>
      <c r="BG112">
        <f>'Fats Raw Data'!M112-'Fats Raw Data'!AG112</f>
        <v>0</v>
      </c>
      <c r="BH112">
        <f>'Fats Raw Data'!N112-'Fats Raw Data'!AH112</f>
        <v>0</v>
      </c>
      <c r="BI112">
        <f>'Fats Raw Data'!O112-'Fats Raw Data'!AI112</f>
        <v>0</v>
      </c>
      <c r="BJ112" t="str">
        <f>'Fats Raw Data'!S112&amp;" - "&amp;'Fats Raw Data'!AM112</f>
        <v xml:space="preserve"> - </v>
      </c>
    </row>
    <row r="113" spans="1:62" x14ac:dyDescent="0.25">
      <c r="A113" s="1">
        <f>'Fats Raw Data'!K113</f>
        <v>0</v>
      </c>
      <c r="B113">
        <f>'Fats Raw Data'!L113-'Fats Raw Data'!V113</f>
        <v>0</v>
      </c>
      <c r="C113">
        <f>'Fats Raw Data'!M113-'Fats Raw Data'!W113</f>
        <v>0</v>
      </c>
      <c r="D113">
        <f>'Fats Raw Data'!N113-'Fats Raw Data'!X113</f>
        <v>0</v>
      </c>
      <c r="E113">
        <f>'Fats Raw Data'!O113-'Fats Raw Data'!Y113</f>
        <v>0</v>
      </c>
      <c r="F113" t="str">
        <f>'Fats Raw Data'!S113&amp;" - "&amp;'Fats Raw Data'!AC113</f>
        <v xml:space="preserve"> - </v>
      </c>
      <c r="H113" s="1">
        <f>'Fats Raw Data'!U113</f>
        <v>0</v>
      </c>
      <c r="I113">
        <f>'Fats Raw Data'!V113-'Fats Raw Data'!AF113</f>
        <v>0</v>
      </c>
      <c r="J113">
        <f>'Fats Raw Data'!W113-'Fats Raw Data'!AG113</f>
        <v>0</v>
      </c>
      <c r="K113">
        <f>'Fats Raw Data'!X113-'Fats Raw Data'!AH113</f>
        <v>0</v>
      </c>
      <c r="L113">
        <f>'Fats Raw Data'!Y113-'Fats Raw Data'!AI113</f>
        <v>0</v>
      </c>
      <c r="M113" t="str">
        <f>'Fats Raw Data'!AC113&amp;" - "&amp;'Fats Raw Data'!AM113</f>
        <v xml:space="preserve"> - </v>
      </c>
      <c r="O113" s="1">
        <f>'Fats Raw Data'!AE113</f>
        <v>0</v>
      </c>
      <c r="P113">
        <f>'Fats Raw Data'!AF113-'Fats Raw Data'!AP113</f>
        <v>0</v>
      </c>
      <c r="Q113">
        <f>'Fats Raw Data'!AG113-'Fats Raw Data'!AQ113</f>
        <v>0</v>
      </c>
      <c r="R113">
        <f>'Fats Raw Data'!AH113-'Fats Raw Data'!AR113</f>
        <v>0</v>
      </c>
      <c r="S113">
        <f>'Fats Raw Data'!AI113-'Fats Raw Data'!AS113</f>
        <v>0</v>
      </c>
      <c r="T113" t="str">
        <f>'Fats Raw Data'!AM113&amp;" - "&amp;'Fats Raw Data'!AW113</f>
        <v xml:space="preserve"> - </v>
      </c>
      <c r="V113" s="1">
        <f>'Fats Raw Data'!AO113</f>
        <v>0</v>
      </c>
      <c r="W113">
        <f>'Fats Raw Data'!AP113-'Fats Raw Data'!AZ113</f>
        <v>0</v>
      </c>
      <c r="X113">
        <f>'Fats Raw Data'!AQ113-'Fats Raw Data'!BA113</f>
        <v>0</v>
      </c>
      <c r="Y113">
        <f>'Fats Raw Data'!AR113-'Fats Raw Data'!BB113</f>
        <v>0</v>
      </c>
      <c r="Z113">
        <f>'Fats Raw Data'!AS113-'Fats Raw Data'!BC113</f>
        <v>0</v>
      </c>
      <c r="AA113" t="str">
        <f>'Fats Raw Data'!AW113&amp;" - "&amp;'Fats Raw Data'!BG113</f>
        <v xml:space="preserve"> - </v>
      </c>
      <c r="AC113" s="1">
        <f>'Fats Raw Data'!AY113</f>
        <v>0</v>
      </c>
      <c r="AD113">
        <f>'Fats Raw Data'!AZ113-'Fats Raw Data'!B113</f>
        <v>0</v>
      </c>
      <c r="AE113">
        <f>'Fats Raw Data'!BA113-'Fats Raw Data'!C113</f>
        <v>0</v>
      </c>
      <c r="AF113">
        <f>'Fats Raw Data'!BB113-'Fats Raw Data'!D113</f>
        <v>0</v>
      </c>
      <c r="AG113">
        <f>'Fats Raw Data'!BC113-'Fats Raw Data'!E113</f>
        <v>0</v>
      </c>
      <c r="AH113" t="str">
        <f>'Fats Raw Data'!BG113&amp;" - "&amp;'Fats Raw Data'!I113</f>
        <v xml:space="preserve"> - </v>
      </c>
      <c r="AJ113" s="1">
        <f>'Fats Raw Data'!A113</f>
        <v>0</v>
      </c>
      <c r="AK113">
        <f>'Fats Raw Data'!B113-'Fats Raw Data'!L113</f>
        <v>0</v>
      </c>
      <c r="AL113">
        <f>'Fats Raw Data'!C113-'Fats Raw Data'!M113</f>
        <v>0</v>
      </c>
      <c r="AM113">
        <f>'Fats Raw Data'!D113-'Fats Raw Data'!N113</f>
        <v>0</v>
      </c>
      <c r="AN113">
        <f>'Fats Raw Data'!E113-'Fats Raw Data'!O113</f>
        <v>0</v>
      </c>
      <c r="AO113" t="str">
        <f>'Fats Raw Data'!I113&amp;" - "&amp;'Fats Raw Data'!S113</f>
        <v xml:space="preserve"> - </v>
      </c>
      <c r="AQ113" s="1">
        <f>'Fats Raw Data'!AE113</f>
        <v>0</v>
      </c>
      <c r="AR113">
        <f>'Fats Raw Data'!AF113-'Fats Raw Data'!AZ113</f>
        <v>0</v>
      </c>
      <c r="AS113">
        <f>'Fats Raw Data'!AG113-'Fats Raw Data'!BA113</f>
        <v>0</v>
      </c>
      <c r="AT113">
        <f>'Fats Raw Data'!AH113-'Fats Raw Data'!BB113</f>
        <v>0</v>
      </c>
      <c r="AU113">
        <f>'Fats Raw Data'!AI113-'Fats Raw Data'!BC113</f>
        <v>0</v>
      </c>
      <c r="AV113" t="str">
        <f>'Fats Raw Data'!AM113&amp;" - "&amp;'Fats Raw Data'!BG113</f>
        <v xml:space="preserve"> - </v>
      </c>
      <c r="AX113" s="1">
        <f>'Fats Raw Data'!A113</f>
        <v>0</v>
      </c>
      <c r="AY113">
        <f>'Fats Raw Data'!B113-'Fats Raw Data'!V113</f>
        <v>0</v>
      </c>
      <c r="AZ113">
        <f>'Fats Raw Data'!C113-'Fats Raw Data'!W113</f>
        <v>0</v>
      </c>
      <c r="BA113">
        <f>'Fats Raw Data'!D113-'Fats Raw Data'!X113</f>
        <v>0</v>
      </c>
      <c r="BB113">
        <f>'Fats Raw Data'!E113-'Fats Raw Data'!Y113</f>
        <v>0</v>
      </c>
      <c r="BC113" t="str">
        <f>'Fats Raw Data'!I113&amp;" - "&amp;'Fats Raw Data'!AC113</f>
        <v xml:space="preserve"> - </v>
      </c>
      <c r="BE113" s="1">
        <f>'Fats Raw Data'!K113</f>
        <v>0</v>
      </c>
      <c r="BF113">
        <f>'Fats Raw Data'!L113-'Fats Raw Data'!AF113</f>
        <v>0</v>
      </c>
      <c r="BG113">
        <f>'Fats Raw Data'!M113-'Fats Raw Data'!AG113</f>
        <v>0</v>
      </c>
      <c r="BH113">
        <f>'Fats Raw Data'!N113-'Fats Raw Data'!AH113</f>
        <v>0</v>
      </c>
      <c r="BI113">
        <f>'Fats Raw Data'!O113-'Fats Raw Data'!AI113</f>
        <v>0</v>
      </c>
      <c r="BJ113" t="str">
        <f>'Fats Raw Data'!S113&amp;" - "&amp;'Fats Raw Data'!AM113</f>
        <v xml:space="preserve"> - </v>
      </c>
    </row>
    <row r="114" spans="1:62" x14ac:dyDescent="0.25">
      <c r="A114" s="1">
        <f>'Fats Raw Data'!K114</f>
        <v>0</v>
      </c>
      <c r="B114">
        <f>'Fats Raw Data'!L114-'Fats Raw Data'!V114</f>
        <v>0</v>
      </c>
      <c r="C114">
        <f>'Fats Raw Data'!M114-'Fats Raw Data'!W114</f>
        <v>0</v>
      </c>
      <c r="D114">
        <f>'Fats Raw Data'!N114-'Fats Raw Data'!X114</f>
        <v>0</v>
      </c>
      <c r="E114">
        <f>'Fats Raw Data'!O114-'Fats Raw Data'!Y114</f>
        <v>0</v>
      </c>
      <c r="F114" t="str">
        <f>'Fats Raw Data'!S114&amp;" - "&amp;'Fats Raw Data'!AC114</f>
        <v xml:space="preserve"> - </v>
      </c>
      <c r="H114" s="1">
        <f>'Fats Raw Data'!U114</f>
        <v>0</v>
      </c>
      <c r="I114">
        <f>'Fats Raw Data'!V114-'Fats Raw Data'!AF114</f>
        <v>0</v>
      </c>
      <c r="J114">
        <f>'Fats Raw Data'!W114-'Fats Raw Data'!AG114</f>
        <v>0</v>
      </c>
      <c r="K114">
        <f>'Fats Raw Data'!X114-'Fats Raw Data'!AH114</f>
        <v>0</v>
      </c>
      <c r="L114">
        <f>'Fats Raw Data'!Y114-'Fats Raw Data'!AI114</f>
        <v>0</v>
      </c>
      <c r="M114" t="str">
        <f>'Fats Raw Data'!AC114&amp;" - "&amp;'Fats Raw Data'!AM114</f>
        <v xml:space="preserve"> - </v>
      </c>
      <c r="O114" s="1">
        <f>'Fats Raw Data'!AE114</f>
        <v>0</v>
      </c>
      <c r="P114">
        <f>'Fats Raw Data'!AF114-'Fats Raw Data'!AP114</f>
        <v>0</v>
      </c>
      <c r="Q114">
        <f>'Fats Raw Data'!AG114-'Fats Raw Data'!AQ114</f>
        <v>0</v>
      </c>
      <c r="R114">
        <f>'Fats Raw Data'!AH114-'Fats Raw Data'!AR114</f>
        <v>0</v>
      </c>
      <c r="S114">
        <f>'Fats Raw Data'!AI114-'Fats Raw Data'!AS114</f>
        <v>0</v>
      </c>
      <c r="T114" t="str">
        <f>'Fats Raw Data'!AM114&amp;" - "&amp;'Fats Raw Data'!AW114</f>
        <v xml:space="preserve"> - </v>
      </c>
      <c r="V114" s="1">
        <f>'Fats Raw Data'!AO114</f>
        <v>0</v>
      </c>
      <c r="W114">
        <f>'Fats Raw Data'!AP114-'Fats Raw Data'!AZ114</f>
        <v>0</v>
      </c>
      <c r="X114">
        <f>'Fats Raw Data'!AQ114-'Fats Raw Data'!BA114</f>
        <v>0</v>
      </c>
      <c r="Y114">
        <f>'Fats Raw Data'!AR114-'Fats Raw Data'!BB114</f>
        <v>0</v>
      </c>
      <c r="Z114">
        <f>'Fats Raw Data'!AS114-'Fats Raw Data'!BC114</f>
        <v>0</v>
      </c>
      <c r="AA114" t="str">
        <f>'Fats Raw Data'!AW114&amp;" - "&amp;'Fats Raw Data'!BG114</f>
        <v xml:space="preserve"> - </v>
      </c>
      <c r="AC114" s="1">
        <f>'Fats Raw Data'!AY114</f>
        <v>0</v>
      </c>
      <c r="AD114">
        <f>'Fats Raw Data'!AZ114-'Fats Raw Data'!B114</f>
        <v>0</v>
      </c>
      <c r="AE114">
        <f>'Fats Raw Data'!BA114-'Fats Raw Data'!C114</f>
        <v>0</v>
      </c>
      <c r="AF114">
        <f>'Fats Raw Data'!BB114-'Fats Raw Data'!D114</f>
        <v>0</v>
      </c>
      <c r="AG114">
        <f>'Fats Raw Data'!BC114-'Fats Raw Data'!E114</f>
        <v>0</v>
      </c>
      <c r="AH114" t="str">
        <f>'Fats Raw Data'!BG114&amp;" - "&amp;'Fats Raw Data'!I114</f>
        <v xml:space="preserve"> - </v>
      </c>
      <c r="AJ114" s="1">
        <f>'Fats Raw Data'!A114</f>
        <v>0</v>
      </c>
      <c r="AK114">
        <f>'Fats Raw Data'!B114-'Fats Raw Data'!L114</f>
        <v>0</v>
      </c>
      <c r="AL114">
        <f>'Fats Raw Data'!C114-'Fats Raw Data'!M114</f>
        <v>0</v>
      </c>
      <c r="AM114">
        <f>'Fats Raw Data'!D114-'Fats Raw Data'!N114</f>
        <v>0</v>
      </c>
      <c r="AN114">
        <f>'Fats Raw Data'!E114-'Fats Raw Data'!O114</f>
        <v>0</v>
      </c>
      <c r="AO114" t="str">
        <f>'Fats Raw Data'!I114&amp;" - "&amp;'Fats Raw Data'!S114</f>
        <v xml:space="preserve"> - </v>
      </c>
      <c r="AQ114" s="1">
        <f>'Fats Raw Data'!AE114</f>
        <v>0</v>
      </c>
      <c r="AR114">
        <f>'Fats Raw Data'!AF114-'Fats Raw Data'!AZ114</f>
        <v>0</v>
      </c>
      <c r="AS114">
        <f>'Fats Raw Data'!AG114-'Fats Raw Data'!BA114</f>
        <v>0</v>
      </c>
      <c r="AT114">
        <f>'Fats Raw Data'!AH114-'Fats Raw Data'!BB114</f>
        <v>0</v>
      </c>
      <c r="AU114">
        <f>'Fats Raw Data'!AI114-'Fats Raw Data'!BC114</f>
        <v>0</v>
      </c>
      <c r="AV114" t="str">
        <f>'Fats Raw Data'!AM114&amp;" - "&amp;'Fats Raw Data'!BG114</f>
        <v xml:space="preserve"> - </v>
      </c>
      <c r="AX114" s="1">
        <f>'Fats Raw Data'!A114</f>
        <v>0</v>
      </c>
      <c r="AY114">
        <f>'Fats Raw Data'!B114-'Fats Raw Data'!V114</f>
        <v>0</v>
      </c>
      <c r="AZ114">
        <f>'Fats Raw Data'!C114-'Fats Raw Data'!W114</f>
        <v>0</v>
      </c>
      <c r="BA114">
        <f>'Fats Raw Data'!D114-'Fats Raw Data'!X114</f>
        <v>0</v>
      </c>
      <c r="BB114">
        <f>'Fats Raw Data'!E114-'Fats Raw Data'!Y114</f>
        <v>0</v>
      </c>
      <c r="BC114" t="str">
        <f>'Fats Raw Data'!I114&amp;" - "&amp;'Fats Raw Data'!AC114</f>
        <v xml:space="preserve"> - </v>
      </c>
      <c r="BE114" s="1">
        <f>'Fats Raw Data'!K114</f>
        <v>0</v>
      </c>
      <c r="BF114">
        <f>'Fats Raw Data'!L114-'Fats Raw Data'!AF114</f>
        <v>0</v>
      </c>
      <c r="BG114">
        <f>'Fats Raw Data'!M114-'Fats Raw Data'!AG114</f>
        <v>0</v>
      </c>
      <c r="BH114">
        <f>'Fats Raw Data'!N114-'Fats Raw Data'!AH114</f>
        <v>0</v>
      </c>
      <c r="BI114">
        <f>'Fats Raw Data'!O114-'Fats Raw Data'!AI114</f>
        <v>0</v>
      </c>
      <c r="BJ114" t="str">
        <f>'Fats Raw Data'!S114&amp;" - "&amp;'Fats Raw Data'!AM114</f>
        <v xml:space="preserve"> - </v>
      </c>
    </row>
    <row r="115" spans="1:62" x14ac:dyDescent="0.25">
      <c r="A115" s="1">
        <f>'Fats Raw Data'!K115</f>
        <v>0</v>
      </c>
      <c r="B115">
        <f>'Fats Raw Data'!L115-'Fats Raw Data'!V115</f>
        <v>0</v>
      </c>
      <c r="C115">
        <f>'Fats Raw Data'!M115-'Fats Raw Data'!W115</f>
        <v>0</v>
      </c>
      <c r="D115">
        <f>'Fats Raw Data'!N115-'Fats Raw Data'!X115</f>
        <v>0</v>
      </c>
      <c r="E115">
        <f>'Fats Raw Data'!O115-'Fats Raw Data'!Y115</f>
        <v>0</v>
      </c>
      <c r="F115" t="str">
        <f>'Fats Raw Data'!S115&amp;" - "&amp;'Fats Raw Data'!AC115</f>
        <v xml:space="preserve"> - </v>
      </c>
      <c r="H115" s="1">
        <f>'Fats Raw Data'!U115</f>
        <v>0</v>
      </c>
      <c r="I115">
        <f>'Fats Raw Data'!V115-'Fats Raw Data'!AF115</f>
        <v>0</v>
      </c>
      <c r="J115">
        <f>'Fats Raw Data'!W115-'Fats Raw Data'!AG115</f>
        <v>0</v>
      </c>
      <c r="K115">
        <f>'Fats Raw Data'!X115-'Fats Raw Data'!AH115</f>
        <v>0</v>
      </c>
      <c r="L115">
        <f>'Fats Raw Data'!Y115-'Fats Raw Data'!AI115</f>
        <v>0</v>
      </c>
      <c r="M115" t="str">
        <f>'Fats Raw Data'!AC115&amp;" - "&amp;'Fats Raw Data'!AM115</f>
        <v xml:space="preserve"> - </v>
      </c>
      <c r="O115" s="1">
        <f>'Fats Raw Data'!AE115</f>
        <v>0</v>
      </c>
      <c r="P115">
        <f>'Fats Raw Data'!AF115-'Fats Raw Data'!AP115</f>
        <v>0</v>
      </c>
      <c r="Q115">
        <f>'Fats Raw Data'!AG115-'Fats Raw Data'!AQ115</f>
        <v>0</v>
      </c>
      <c r="R115">
        <f>'Fats Raw Data'!AH115-'Fats Raw Data'!AR115</f>
        <v>0</v>
      </c>
      <c r="S115">
        <f>'Fats Raw Data'!AI115-'Fats Raw Data'!AS115</f>
        <v>0</v>
      </c>
      <c r="T115" t="str">
        <f>'Fats Raw Data'!AM115&amp;" - "&amp;'Fats Raw Data'!AW115</f>
        <v xml:space="preserve"> - </v>
      </c>
      <c r="V115" s="1">
        <f>'Fats Raw Data'!AO115</f>
        <v>0</v>
      </c>
      <c r="W115">
        <f>'Fats Raw Data'!AP115-'Fats Raw Data'!AZ115</f>
        <v>0</v>
      </c>
      <c r="X115">
        <f>'Fats Raw Data'!AQ115-'Fats Raw Data'!BA115</f>
        <v>0</v>
      </c>
      <c r="Y115">
        <f>'Fats Raw Data'!AR115-'Fats Raw Data'!BB115</f>
        <v>0</v>
      </c>
      <c r="Z115">
        <f>'Fats Raw Data'!AS115-'Fats Raw Data'!BC115</f>
        <v>0</v>
      </c>
      <c r="AA115" t="str">
        <f>'Fats Raw Data'!AW115&amp;" - "&amp;'Fats Raw Data'!BG115</f>
        <v xml:space="preserve"> - </v>
      </c>
      <c r="AC115" s="1">
        <f>'Fats Raw Data'!AY115</f>
        <v>0</v>
      </c>
      <c r="AD115">
        <f>'Fats Raw Data'!AZ115-'Fats Raw Data'!B115</f>
        <v>0</v>
      </c>
      <c r="AE115">
        <f>'Fats Raw Data'!BA115-'Fats Raw Data'!C115</f>
        <v>0</v>
      </c>
      <c r="AF115">
        <f>'Fats Raw Data'!BB115-'Fats Raw Data'!D115</f>
        <v>0</v>
      </c>
      <c r="AG115">
        <f>'Fats Raw Data'!BC115-'Fats Raw Data'!E115</f>
        <v>0</v>
      </c>
      <c r="AH115" t="str">
        <f>'Fats Raw Data'!BG115&amp;" - "&amp;'Fats Raw Data'!I115</f>
        <v xml:space="preserve"> - </v>
      </c>
      <c r="AJ115" s="1">
        <f>'Fats Raw Data'!A115</f>
        <v>0</v>
      </c>
      <c r="AK115">
        <f>'Fats Raw Data'!B115-'Fats Raw Data'!L115</f>
        <v>0</v>
      </c>
      <c r="AL115">
        <f>'Fats Raw Data'!C115-'Fats Raw Data'!M115</f>
        <v>0</v>
      </c>
      <c r="AM115">
        <f>'Fats Raw Data'!D115-'Fats Raw Data'!N115</f>
        <v>0</v>
      </c>
      <c r="AN115">
        <f>'Fats Raw Data'!E115-'Fats Raw Data'!O115</f>
        <v>0</v>
      </c>
      <c r="AO115" t="str">
        <f>'Fats Raw Data'!I115&amp;" - "&amp;'Fats Raw Data'!S115</f>
        <v xml:space="preserve"> - </v>
      </c>
      <c r="AQ115" s="1">
        <f>'Fats Raw Data'!AE115</f>
        <v>0</v>
      </c>
      <c r="AR115">
        <f>'Fats Raw Data'!AF115-'Fats Raw Data'!AZ115</f>
        <v>0</v>
      </c>
      <c r="AS115">
        <f>'Fats Raw Data'!AG115-'Fats Raw Data'!BA115</f>
        <v>0</v>
      </c>
      <c r="AT115">
        <f>'Fats Raw Data'!AH115-'Fats Raw Data'!BB115</f>
        <v>0</v>
      </c>
      <c r="AU115">
        <f>'Fats Raw Data'!AI115-'Fats Raw Data'!BC115</f>
        <v>0</v>
      </c>
      <c r="AV115" t="str">
        <f>'Fats Raw Data'!AM115&amp;" - "&amp;'Fats Raw Data'!BG115</f>
        <v xml:space="preserve"> - </v>
      </c>
      <c r="AX115" s="1">
        <f>'Fats Raw Data'!A115</f>
        <v>0</v>
      </c>
      <c r="AY115">
        <f>'Fats Raw Data'!B115-'Fats Raw Data'!V115</f>
        <v>0</v>
      </c>
      <c r="AZ115">
        <f>'Fats Raw Data'!C115-'Fats Raw Data'!W115</f>
        <v>0</v>
      </c>
      <c r="BA115">
        <f>'Fats Raw Data'!D115-'Fats Raw Data'!X115</f>
        <v>0</v>
      </c>
      <c r="BB115">
        <f>'Fats Raw Data'!E115-'Fats Raw Data'!Y115</f>
        <v>0</v>
      </c>
      <c r="BC115" t="str">
        <f>'Fats Raw Data'!I115&amp;" - "&amp;'Fats Raw Data'!AC115</f>
        <v xml:space="preserve"> - </v>
      </c>
      <c r="BE115" s="1">
        <f>'Fats Raw Data'!K115</f>
        <v>0</v>
      </c>
      <c r="BF115">
        <f>'Fats Raw Data'!L115-'Fats Raw Data'!AF115</f>
        <v>0</v>
      </c>
      <c r="BG115">
        <f>'Fats Raw Data'!M115-'Fats Raw Data'!AG115</f>
        <v>0</v>
      </c>
      <c r="BH115">
        <f>'Fats Raw Data'!N115-'Fats Raw Data'!AH115</f>
        <v>0</v>
      </c>
      <c r="BI115">
        <f>'Fats Raw Data'!O115-'Fats Raw Data'!AI115</f>
        <v>0</v>
      </c>
      <c r="BJ115" t="str">
        <f>'Fats Raw Data'!S115&amp;" - "&amp;'Fats Raw Data'!AM115</f>
        <v xml:space="preserve"> - </v>
      </c>
    </row>
    <row r="116" spans="1:62" x14ac:dyDescent="0.25">
      <c r="A116" s="1">
        <f>'Fats Raw Data'!K116</f>
        <v>0</v>
      </c>
      <c r="B116">
        <f>'Fats Raw Data'!L116-'Fats Raw Data'!V116</f>
        <v>0</v>
      </c>
      <c r="C116">
        <f>'Fats Raw Data'!M116-'Fats Raw Data'!W116</f>
        <v>0</v>
      </c>
      <c r="D116">
        <f>'Fats Raw Data'!N116-'Fats Raw Data'!X116</f>
        <v>0</v>
      </c>
      <c r="E116">
        <f>'Fats Raw Data'!O116-'Fats Raw Data'!Y116</f>
        <v>0</v>
      </c>
      <c r="F116" t="str">
        <f>'Fats Raw Data'!S116&amp;" - "&amp;'Fats Raw Data'!AC116</f>
        <v xml:space="preserve"> - </v>
      </c>
      <c r="H116" s="1">
        <f>'Fats Raw Data'!U116</f>
        <v>0</v>
      </c>
      <c r="I116">
        <f>'Fats Raw Data'!V116-'Fats Raw Data'!AF116</f>
        <v>0</v>
      </c>
      <c r="J116">
        <f>'Fats Raw Data'!W116-'Fats Raw Data'!AG116</f>
        <v>0</v>
      </c>
      <c r="K116">
        <f>'Fats Raw Data'!X116-'Fats Raw Data'!AH116</f>
        <v>0</v>
      </c>
      <c r="L116">
        <f>'Fats Raw Data'!Y116-'Fats Raw Data'!AI116</f>
        <v>0</v>
      </c>
      <c r="M116" t="str">
        <f>'Fats Raw Data'!AC116&amp;" - "&amp;'Fats Raw Data'!AM116</f>
        <v xml:space="preserve"> - </v>
      </c>
      <c r="O116" s="1">
        <f>'Fats Raw Data'!AE116</f>
        <v>0</v>
      </c>
      <c r="P116">
        <f>'Fats Raw Data'!AF116-'Fats Raw Data'!AP116</f>
        <v>0</v>
      </c>
      <c r="Q116">
        <f>'Fats Raw Data'!AG116-'Fats Raw Data'!AQ116</f>
        <v>0</v>
      </c>
      <c r="R116">
        <f>'Fats Raw Data'!AH116-'Fats Raw Data'!AR116</f>
        <v>0</v>
      </c>
      <c r="S116">
        <f>'Fats Raw Data'!AI116-'Fats Raw Data'!AS116</f>
        <v>0</v>
      </c>
      <c r="T116" t="str">
        <f>'Fats Raw Data'!AM116&amp;" - "&amp;'Fats Raw Data'!AW116</f>
        <v xml:space="preserve"> - </v>
      </c>
      <c r="V116" s="1">
        <f>'Fats Raw Data'!AO116</f>
        <v>0</v>
      </c>
      <c r="W116">
        <f>'Fats Raw Data'!AP116-'Fats Raw Data'!AZ116</f>
        <v>0</v>
      </c>
      <c r="X116">
        <f>'Fats Raw Data'!AQ116-'Fats Raw Data'!BA116</f>
        <v>0</v>
      </c>
      <c r="Y116">
        <f>'Fats Raw Data'!AR116-'Fats Raw Data'!BB116</f>
        <v>0</v>
      </c>
      <c r="Z116">
        <f>'Fats Raw Data'!AS116-'Fats Raw Data'!BC116</f>
        <v>0</v>
      </c>
      <c r="AA116" t="str">
        <f>'Fats Raw Data'!AW116&amp;" - "&amp;'Fats Raw Data'!BG116</f>
        <v xml:space="preserve"> - </v>
      </c>
      <c r="AC116" s="1">
        <f>'Fats Raw Data'!AY116</f>
        <v>0</v>
      </c>
      <c r="AD116">
        <f>'Fats Raw Data'!AZ116-'Fats Raw Data'!B116</f>
        <v>0</v>
      </c>
      <c r="AE116">
        <f>'Fats Raw Data'!BA116-'Fats Raw Data'!C116</f>
        <v>0</v>
      </c>
      <c r="AF116">
        <f>'Fats Raw Data'!BB116-'Fats Raw Data'!D116</f>
        <v>0</v>
      </c>
      <c r="AG116">
        <f>'Fats Raw Data'!BC116-'Fats Raw Data'!E116</f>
        <v>0</v>
      </c>
      <c r="AH116" t="str">
        <f>'Fats Raw Data'!BG116&amp;" - "&amp;'Fats Raw Data'!I116</f>
        <v xml:space="preserve"> - </v>
      </c>
      <c r="AJ116" s="1">
        <f>'Fats Raw Data'!A116</f>
        <v>0</v>
      </c>
      <c r="AK116">
        <f>'Fats Raw Data'!B116-'Fats Raw Data'!L116</f>
        <v>0</v>
      </c>
      <c r="AL116">
        <f>'Fats Raw Data'!C116-'Fats Raw Data'!M116</f>
        <v>0</v>
      </c>
      <c r="AM116">
        <f>'Fats Raw Data'!D116-'Fats Raw Data'!N116</f>
        <v>0</v>
      </c>
      <c r="AN116">
        <f>'Fats Raw Data'!E116-'Fats Raw Data'!O116</f>
        <v>0</v>
      </c>
      <c r="AO116" t="str">
        <f>'Fats Raw Data'!I116&amp;" - "&amp;'Fats Raw Data'!S116</f>
        <v xml:space="preserve"> - </v>
      </c>
      <c r="AQ116" s="1">
        <f>'Fats Raw Data'!AE116</f>
        <v>0</v>
      </c>
      <c r="AR116">
        <f>'Fats Raw Data'!AF116-'Fats Raw Data'!AZ116</f>
        <v>0</v>
      </c>
      <c r="AS116">
        <f>'Fats Raw Data'!AG116-'Fats Raw Data'!BA116</f>
        <v>0</v>
      </c>
      <c r="AT116">
        <f>'Fats Raw Data'!AH116-'Fats Raw Data'!BB116</f>
        <v>0</v>
      </c>
      <c r="AU116">
        <f>'Fats Raw Data'!AI116-'Fats Raw Data'!BC116</f>
        <v>0</v>
      </c>
      <c r="AV116" t="str">
        <f>'Fats Raw Data'!AM116&amp;" - "&amp;'Fats Raw Data'!BG116</f>
        <v xml:space="preserve"> - </v>
      </c>
      <c r="AX116" s="1">
        <f>'Fats Raw Data'!A116</f>
        <v>0</v>
      </c>
      <c r="AY116">
        <f>'Fats Raw Data'!B116-'Fats Raw Data'!V116</f>
        <v>0</v>
      </c>
      <c r="AZ116">
        <f>'Fats Raw Data'!C116-'Fats Raw Data'!W116</f>
        <v>0</v>
      </c>
      <c r="BA116">
        <f>'Fats Raw Data'!D116-'Fats Raw Data'!X116</f>
        <v>0</v>
      </c>
      <c r="BB116">
        <f>'Fats Raw Data'!E116-'Fats Raw Data'!Y116</f>
        <v>0</v>
      </c>
      <c r="BC116" t="str">
        <f>'Fats Raw Data'!I116&amp;" - "&amp;'Fats Raw Data'!AC116</f>
        <v xml:space="preserve"> - </v>
      </c>
      <c r="BE116" s="1">
        <f>'Fats Raw Data'!K116</f>
        <v>0</v>
      </c>
      <c r="BF116">
        <f>'Fats Raw Data'!L116-'Fats Raw Data'!AF116</f>
        <v>0</v>
      </c>
      <c r="BG116">
        <f>'Fats Raw Data'!M116-'Fats Raw Data'!AG116</f>
        <v>0</v>
      </c>
      <c r="BH116">
        <f>'Fats Raw Data'!N116-'Fats Raw Data'!AH116</f>
        <v>0</v>
      </c>
      <c r="BI116">
        <f>'Fats Raw Data'!O116-'Fats Raw Data'!AI116</f>
        <v>0</v>
      </c>
      <c r="BJ116" t="str">
        <f>'Fats Raw Data'!S116&amp;" - "&amp;'Fats Raw Data'!AM116</f>
        <v xml:space="preserve"> - </v>
      </c>
    </row>
    <row r="117" spans="1:62" x14ac:dyDescent="0.25">
      <c r="A117" s="1">
        <f>'Fats Raw Data'!K117</f>
        <v>0</v>
      </c>
      <c r="B117">
        <f>'Fats Raw Data'!L117-'Fats Raw Data'!V117</f>
        <v>0</v>
      </c>
      <c r="C117">
        <f>'Fats Raw Data'!M117-'Fats Raw Data'!W117</f>
        <v>0</v>
      </c>
      <c r="D117">
        <f>'Fats Raw Data'!N117-'Fats Raw Data'!X117</f>
        <v>0</v>
      </c>
      <c r="E117">
        <f>'Fats Raw Data'!O117-'Fats Raw Data'!Y117</f>
        <v>0</v>
      </c>
      <c r="F117" t="str">
        <f>'Fats Raw Data'!S117&amp;" - "&amp;'Fats Raw Data'!AC117</f>
        <v xml:space="preserve"> - </v>
      </c>
      <c r="H117" s="1">
        <f>'Fats Raw Data'!U117</f>
        <v>0</v>
      </c>
      <c r="I117">
        <f>'Fats Raw Data'!V117-'Fats Raw Data'!AF117</f>
        <v>0</v>
      </c>
      <c r="J117">
        <f>'Fats Raw Data'!W117-'Fats Raw Data'!AG117</f>
        <v>0</v>
      </c>
      <c r="K117">
        <f>'Fats Raw Data'!X117-'Fats Raw Data'!AH117</f>
        <v>0</v>
      </c>
      <c r="L117">
        <f>'Fats Raw Data'!Y117-'Fats Raw Data'!AI117</f>
        <v>0</v>
      </c>
      <c r="M117" t="str">
        <f>'Fats Raw Data'!AC117&amp;" - "&amp;'Fats Raw Data'!AM117</f>
        <v xml:space="preserve"> - </v>
      </c>
      <c r="O117" s="1">
        <f>'Fats Raw Data'!AE117</f>
        <v>0</v>
      </c>
      <c r="P117">
        <f>'Fats Raw Data'!AF117-'Fats Raw Data'!AP117</f>
        <v>0</v>
      </c>
      <c r="Q117">
        <f>'Fats Raw Data'!AG117-'Fats Raw Data'!AQ117</f>
        <v>0</v>
      </c>
      <c r="R117">
        <f>'Fats Raw Data'!AH117-'Fats Raw Data'!AR117</f>
        <v>0</v>
      </c>
      <c r="S117">
        <f>'Fats Raw Data'!AI117-'Fats Raw Data'!AS117</f>
        <v>0</v>
      </c>
      <c r="T117" t="str">
        <f>'Fats Raw Data'!AM117&amp;" - "&amp;'Fats Raw Data'!AW117</f>
        <v xml:space="preserve"> - </v>
      </c>
      <c r="V117" s="1">
        <f>'Fats Raw Data'!AO117</f>
        <v>0</v>
      </c>
      <c r="W117">
        <f>'Fats Raw Data'!AP117-'Fats Raw Data'!AZ117</f>
        <v>0</v>
      </c>
      <c r="X117">
        <f>'Fats Raw Data'!AQ117-'Fats Raw Data'!BA117</f>
        <v>0</v>
      </c>
      <c r="Y117">
        <f>'Fats Raw Data'!AR117-'Fats Raw Data'!BB117</f>
        <v>0</v>
      </c>
      <c r="Z117">
        <f>'Fats Raw Data'!AS117-'Fats Raw Data'!BC117</f>
        <v>0</v>
      </c>
      <c r="AA117" t="str">
        <f>'Fats Raw Data'!AW117&amp;" - "&amp;'Fats Raw Data'!BG117</f>
        <v xml:space="preserve"> - </v>
      </c>
      <c r="AC117" s="1">
        <f>'Fats Raw Data'!AY117</f>
        <v>0</v>
      </c>
      <c r="AD117">
        <f>'Fats Raw Data'!AZ117-'Fats Raw Data'!B117</f>
        <v>0</v>
      </c>
      <c r="AE117">
        <f>'Fats Raw Data'!BA117-'Fats Raw Data'!C117</f>
        <v>0</v>
      </c>
      <c r="AF117">
        <f>'Fats Raw Data'!BB117-'Fats Raw Data'!D117</f>
        <v>0</v>
      </c>
      <c r="AG117">
        <f>'Fats Raw Data'!BC117-'Fats Raw Data'!E117</f>
        <v>0</v>
      </c>
      <c r="AH117" t="str">
        <f>'Fats Raw Data'!BG117&amp;" - "&amp;'Fats Raw Data'!I117</f>
        <v xml:space="preserve"> - </v>
      </c>
      <c r="AJ117" s="1">
        <f>'Fats Raw Data'!A117</f>
        <v>0</v>
      </c>
      <c r="AK117">
        <f>'Fats Raw Data'!B117-'Fats Raw Data'!L117</f>
        <v>0</v>
      </c>
      <c r="AL117">
        <f>'Fats Raw Data'!C117-'Fats Raw Data'!M117</f>
        <v>0</v>
      </c>
      <c r="AM117">
        <f>'Fats Raw Data'!D117-'Fats Raw Data'!N117</f>
        <v>0</v>
      </c>
      <c r="AN117">
        <f>'Fats Raw Data'!E117-'Fats Raw Data'!O117</f>
        <v>0</v>
      </c>
      <c r="AO117" t="str">
        <f>'Fats Raw Data'!I117&amp;" - "&amp;'Fats Raw Data'!S117</f>
        <v xml:space="preserve"> - </v>
      </c>
      <c r="AQ117" s="1">
        <f>'Fats Raw Data'!AE117</f>
        <v>0</v>
      </c>
      <c r="AR117">
        <f>'Fats Raw Data'!AF117-'Fats Raw Data'!AZ117</f>
        <v>0</v>
      </c>
      <c r="AS117">
        <f>'Fats Raw Data'!AG117-'Fats Raw Data'!BA117</f>
        <v>0</v>
      </c>
      <c r="AT117">
        <f>'Fats Raw Data'!AH117-'Fats Raw Data'!BB117</f>
        <v>0</v>
      </c>
      <c r="AU117">
        <f>'Fats Raw Data'!AI117-'Fats Raw Data'!BC117</f>
        <v>0</v>
      </c>
      <c r="AV117" t="str">
        <f>'Fats Raw Data'!AM117&amp;" - "&amp;'Fats Raw Data'!BG117</f>
        <v xml:space="preserve"> - </v>
      </c>
      <c r="AX117" s="1">
        <f>'Fats Raw Data'!A117</f>
        <v>0</v>
      </c>
      <c r="AY117">
        <f>'Fats Raw Data'!B117-'Fats Raw Data'!V117</f>
        <v>0</v>
      </c>
      <c r="AZ117">
        <f>'Fats Raw Data'!C117-'Fats Raw Data'!W117</f>
        <v>0</v>
      </c>
      <c r="BA117">
        <f>'Fats Raw Data'!D117-'Fats Raw Data'!X117</f>
        <v>0</v>
      </c>
      <c r="BB117">
        <f>'Fats Raw Data'!E117-'Fats Raw Data'!Y117</f>
        <v>0</v>
      </c>
      <c r="BC117" t="str">
        <f>'Fats Raw Data'!I117&amp;" - "&amp;'Fats Raw Data'!AC117</f>
        <v xml:space="preserve"> - </v>
      </c>
      <c r="BE117" s="1">
        <f>'Fats Raw Data'!K117</f>
        <v>0</v>
      </c>
      <c r="BF117">
        <f>'Fats Raw Data'!L117-'Fats Raw Data'!AF117</f>
        <v>0</v>
      </c>
      <c r="BG117">
        <f>'Fats Raw Data'!M117-'Fats Raw Data'!AG117</f>
        <v>0</v>
      </c>
      <c r="BH117">
        <f>'Fats Raw Data'!N117-'Fats Raw Data'!AH117</f>
        <v>0</v>
      </c>
      <c r="BI117">
        <f>'Fats Raw Data'!O117-'Fats Raw Data'!AI117</f>
        <v>0</v>
      </c>
      <c r="BJ117" t="str">
        <f>'Fats Raw Data'!S117&amp;" - "&amp;'Fats Raw Data'!AM117</f>
        <v xml:space="preserve"> - </v>
      </c>
    </row>
    <row r="118" spans="1:62" x14ac:dyDescent="0.25">
      <c r="A118" s="1">
        <f>'Fats Raw Data'!K118</f>
        <v>0</v>
      </c>
      <c r="B118">
        <f>'Fats Raw Data'!L118-'Fats Raw Data'!V118</f>
        <v>0</v>
      </c>
      <c r="C118">
        <f>'Fats Raw Data'!M118-'Fats Raw Data'!W118</f>
        <v>0</v>
      </c>
      <c r="D118">
        <f>'Fats Raw Data'!N118-'Fats Raw Data'!X118</f>
        <v>0</v>
      </c>
      <c r="E118">
        <f>'Fats Raw Data'!O118-'Fats Raw Data'!Y118</f>
        <v>0</v>
      </c>
      <c r="F118" t="str">
        <f>'Fats Raw Data'!S118&amp;" - "&amp;'Fats Raw Data'!AC118</f>
        <v xml:space="preserve"> - </v>
      </c>
      <c r="H118" s="1">
        <f>'Fats Raw Data'!U118</f>
        <v>0</v>
      </c>
      <c r="I118">
        <f>'Fats Raw Data'!V118-'Fats Raw Data'!AF118</f>
        <v>0</v>
      </c>
      <c r="J118">
        <f>'Fats Raw Data'!W118-'Fats Raw Data'!AG118</f>
        <v>0</v>
      </c>
      <c r="K118">
        <f>'Fats Raw Data'!X118-'Fats Raw Data'!AH118</f>
        <v>0</v>
      </c>
      <c r="L118">
        <f>'Fats Raw Data'!Y118-'Fats Raw Data'!AI118</f>
        <v>0</v>
      </c>
      <c r="M118" t="str">
        <f>'Fats Raw Data'!AC118&amp;" - "&amp;'Fats Raw Data'!AM118</f>
        <v xml:space="preserve"> - </v>
      </c>
      <c r="O118" s="1">
        <f>'Fats Raw Data'!AE118</f>
        <v>0</v>
      </c>
      <c r="P118">
        <f>'Fats Raw Data'!AF118-'Fats Raw Data'!AP118</f>
        <v>0</v>
      </c>
      <c r="Q118">
        <f>'Fats Raw Data'!AG118-'Fats Raw Data'!AQ118</f>
        <v>0</v>
      </c>
      <c r="R118">
        <f>'Fats Raw Data'!AH118-'Fats Raw Data'!AR118</f>
        <v>0</v>
      </c>
      <c r="S118">
        <f>'Fats Raw Data'!AI118-'Fats Raw Data'!AS118</f>
        <v>0</v>
      </c>
      <c r="T118" t="str">
        <f>'Fats Raw Data'!AM118&amp;" - "&amp;'Fats Raw Data'!AW118</f>
        <v xml:space="preserve"> - </v>
      </c>
      <c r="V118" s="1">
        <f>'Fats Raw Data'!AO118</f>
        <v>0</v>
      </c>
      <c r="W118">
        <f>'Fats Raw Data'!AP118-'Fats Raw Data'!AZ118</f>
        <v>0</v>
      </c>
      <c r="X118">
        <f>'Fats Raw Data'!AQ118-'Fats Raw Data'!BA118</f>
        <v>0</v>
      </c>
      <c r="Y118">
        <f>'Fats Raw Data'!AR118-'Fats Raw Data'!BB118</f>
        <v>0</v>
      </c>
      <c r="Z118">
        <f>'Fats Raw Data'!AS118-'Fats Raw Data'!BC118</f>
        <v>0</v>
      </c>
      <c r="AA118" t="str">
        <f>'Fats Raw Data'!AW118&amp;" - "&amp;'Fats Raw Data'!BG118</f>
        <v xml:space="preserve"> - </v>
      </c>
      <c r="AC118" s="1">
        <f>'Fats Raw Data'!AY118</f>
        <v>0</v>
      </c>
      <c r="AD118">
        <f>'Fats Raw Data'!AZ118-'Fats Raw Data'!B118</f>
        <v>0</v>
      </c>
      <c r="AE118">
        <f>'Fats Raw Data'!BA118-'Fats Raw Data'!C118</f>
        <v>0</v>
      </c>
      <c r="AF118">
        <f>'Fats Raw Data'!BB118-'Fats Raw Data'!D118</f>
        <v>0</v>
      </c>
      <c r="AG118">
        <f>'Fats Raw Data'!BC118-'Fats Raw Data'!E118</f>
        <v>0</v>
      </c>
      <c r="AH118" t="str">
        <f>'Fats Raw Data'!BG118&amp;" - "&amp;'Fats Raw Data'!I118</f>
        <v xml:space="preserve"> - </v>
      </c>
      <c r="AJ118" s="1">
        <f>'Fats Raw Data'!A118</f>
        <v>0</v>
      </c>
      <c r="AK118">
        <f>'Fats Raw Data'!B118-'Fats Raw Data'!L118</f>
        <v>0</v>
      </c>
      <c r="AL118">
        <f>'Fats Raw Data'!C118-'Fats Raw Data'!M118</f>
        <v>0</v>
      </c>
      <c r="AM118">
        <f>'Fats Raw Data'!D118-'Fats Raw Data'!N118</f>
        <v>0</v>
      </c>
      <c r="AN118">
        <f>'Fats Raw Data'!E118-'Fats Raw Data'!O118</f>
        <v>0</v>
      </c>
      <c r="AO118" t="str">
        <f>'Fats Raw Data'!I118&amp;" - "&amp;'Fats Raw Data'!S118</f>
        <v xml:space="preserve"> - </v>
      </c>
      <c r="AQ118" s="1">
        <f>'Fats Raw Data'!AE118</f>
        <v>0</v>
      </c>
      <c r="AR118">
        <f>'Fats Raw Data'!AF118-'Fats Raw Data'!AZ118</f>
        <v>0</v>
      </c>
      <c r="AS118">
        <f>'Fats Raw Data'!AG118-'Fats Raw Data'!BA118</f>
        <v>0</v>
      </c>
      <c r="AT118">
        <f>'Fats Raw Data'!AH118-'Fats Raw Data'!BB118</f>
        <v>0</v>
      </c>
      <c r="AU118">
        <f>'Fats Raw Data'!AI118-'Fats Raw Data'!BC118</f>
        <v>0</v>
      </c>
      <c r="AV118" t="str">
        <f>'Fats Raw Data'!AM118&amp;" - "&amp;'Fats Raw Data'!BG118</f>
        <v xml:space="preserve"> - </v>
      </c>
      <c r="AX118" s="1">
        <f>'Fats Raw Data'!A118</f>
        <v>0</v>
      </c>
      <c r="AY118">
        <f>'Fats Raw Data'!B118-'Fats Raw Data'!V118</f>
        <v>0</v>
      </c>
      <c r="AZ118">
        <f>'Fats Raw Data'!C118-'Fats Raw Data'!W118</f>
        <v>0</v>
      </c>
      <c r="BA118">
        <f>'Fats Raw Data'!D118-'Fats Raw Data'!X118</f>
        <v>0</v>
      </c>
      <c r="BB118">
        <f>'Fats Raw Data'!E118-'Fats Raw Data'!Y118</f>
        <v>0</v>
      </c>
      <c r="BC118" t="str">
        <f>'Fats Raw Data'!I118&amp;" - "&amp;'Fats Raw Data'!AC118</f>
        <v xml:space="preserve"> - </v>
      </c>
      <c r="BE118" s="1">
        <f>'Fats Raw Data'!K118</f>
        <v>0</v>
      </c>
      <c r="BF118">
        <f>'Fats Raw Data'!L118-'Fats Raw Data'!AF118</f>
        <v>0</v>
      </c>
      <c r="BG118">
        <f>'Fats Raw Data'!M118-'Fats Raw Data'!AG118</f>
        <v>0</v>
      </c>
      <c r="BH118">
        <f>'Fats Raw Data'!N118-'Fats Raw Data'!AH118</f>
        <v>0</v>
      </c>
      <c r="BI118">
        <f>'Fats Raw Data'!O118-'Fats Raw Data'!AI118</f>
        <v>0</v>
      </c>
      <c r="BJ118" t="str">
        <f>'Fats Raw Data'!S118&amp;" - "&amp;'Fats Raw Data'!AM118</f>
        <v xml:space="preserve"> - </v>
      </c>
    </row>
    <row r="119" spans="1:62" x14ac:dyDescent="0.25">
      <c r="A119" s="1">
        <f>'Fats Raw Data'!K119</f>
        <v>0</v>
      </c>
      <c r="B119">
        <f>'Fats Raw Data'!L119-'Fats Raw Data'!V119</f>
        <v>0</v>
      </c>
      <c r="C119">
        <f>'Fats Raw Data'!M119-'Fats Raw Data'!W119</f>
        <v>0</v>
      </c>
      <c r="D119">
        <f>'Fats Raw Data'!N119-'Fats Raw Data'!X119</f>
        <v>0</v>
      </c>
      <c r="E119">
        <f>'Fats Raw Data'!O119-'Fats Raw Data'!Y119</f>
        <v>0</v>
      </c>
      <c r="F119" t="str">
        <f>'Fats Raw Data'!S119&amp;" - "&amp;'Fats Raw Data'!AC119</f>
        <v xml:space="preserve"> - </v>
      </c>
      <c r="H119" s="1">
        <f>'Fats Raw Data'!U119</f>
        <v>0</v>
      </c>
      <c r="I119">
        <f>'Fats Raw Data'!V119-'Fats Raw Data'!AF119</f>
        <v>0</v>
      </c>
      <c r="J119">
        <f>'Fats Raw Data'!W119-'Fats Raw Data'!AG119</f>
        <v>0</v>
      </c>
      <c r="K119">
        <f>'Fats Raw Data'!X119-'Fats Raw Data'!AH119</f>
        <v>0</v>
      </c>
      <c r="L119">
        <f>'Fats Raw Data'!Y119-'Fats Raw Data'!AI119</f>
        <v>0</v>
      </c>
      <c r="M119" t="str">
        <f>'Fats Raw Data'!AC119&amp;" - "&amp;'Fats Raw Data'!AM119</f>
        <v xml:space="preserve"> - </v>
      </c>
      <c r="O119" s="1">
        <f>'Fats Raw Data'!AE119</f>
        <v>0</v>
      </c>
      <c r="P119">
        <f>'Fats Raw Data'!AF119-'Fats Raw Data'!AP119</f>
        <v>0</v>
      </c>
      <c r="Q119">
        <f>'Fats Raw Data'!AG119-'Fats Raw Data'!AQ119</f>
        <v>0</v>
      </c>
      <c r="R119">
        <f>'Fats Raw Data'!AH119-'Fats Raw Data'!AR119</f>
        <v>0</v>
      </c>
      <c r="S119">
        <f>'Fats Raw Data'!AI119-'Fats Raw Data'!AS119</f>
        <v>0</v>
      </c>
      <c r="T119" t="str">
        <f>'Fats Raw Data'!AM119&amp;" - "&amp;'Fats Raw Data'!AW119</f>
        <v xml:space="preserve"> - </v>
      </c>
      <c r="V119" s="1">
        <f>'Fats Raw Data'!AO119</f>
        <v>0</v>
      </c>
      <c r="W119">
        <f>'Fats Raw Data'!AP119-'Fats Raw Data'!AZ119</f>
        <v>0</v>
      </c>
      <c r="X119">
        <f>'Fats Raw Data'!AQ119-'Fats Raw Data'!BA119</f>
        <v>0</v>
      </c>
      <c r="Y119">
        <f>'Fats Raw Data'!AR119-'Fats Raw Data'!BB119</f>
        <v>0</v>
      </c>
      <c r="Z119">
        <f>'Fats Raw Data'!AS119-'Fats Raw Data'!BC119</f>
        <v>0</v>
      </c>
      <c r="AA119" t="str">
        <f>'Fats Raw Data'!AW119&amp;" - "&amp;'Fats Raw Data'!BG119</f>
        <v xml:space="preserve"> - </v>
      </c>
      <c r="AC119" s="1">
        <f>'Fats Raw Data'!AY119</f>
        <v>0</v>
      </c>
      <c r="AD119">
        <f>'Fats Raw Data'!AZ119-'Fats Raw Data'!B119</f>
        <v>0</v>
      </c>
      <c r="AE119">
        <f>'Fats Raw Data'!BA119-'Fats Raw Data'!C119</f>
        <v>0</v>
      </c>
      <c r="AF119">
        <f>'Fats Raw Data'!BB119-'Fats Raw Data'!D119</f>
        <v>0</v>
      </c>
      <c r="AG119">
        <f>'Fats Raw Data'!BC119-'Fats Raw Data'!E119</f>
        <v>0</v>
      </c>
      <c r="AH119" t="str">
        <f>'Fats Raw Data'!BG119&amp;" - "&amp;'Fats Raw Data'!I119</f>
        <v xml:space="preserve"> - </v>
      </c>
      <c r="AJ119" s="1">
        <f>'Fats Raw Data'!A119</f>
        <v>0</v>
      </c>
      <c r="AK119">
        <f>'Fats Raw Data'!B119-'Fats Raw Data'!L119</f>
        <v>0</v>
      </c>
      <c r="AL119">
        <f>'Fats Raw Data'!C119-'Fats Raw Data'!M119</f>
        <v>0</v>
      </c>
      <c r="AM119">
        <f>'Fats Raw Data'!D119-'Fats Raw Data'!N119</f>
        <v>0</v>
      </c>
      <c r="AN119">
        <f>'Fats Raw Data'!E119-'Fats Raw Data'!O119</f>
        <v>0</v>
      </c>
      <c r="AO119" t="str">
        <f>'Fats Raw Data'!I119&amp;" - "&amp;'Fats Raw Data'!S119</f>
        <v xml:space="preserve"> - </v>
      </c>
      <c r="AQ119" s="1">
        <f>'Fats Raw Data'!AE119</f>
        <v>0</v>
      </c>
      <c r="AR119">
        <f>'Fats Raw Data'!AF119-'Fats Raw Data'!AZ119</f>
        <v>0</v>
      </c>
      <c r="AS119">
        <f>'Fats Raw Data'!AG119-'Fats Raw Data'!BA119</f>
        <v>0</v>
      </c>
      <c r="AT119">
        <f>'Fats Raw Data'!AH119-'Fats Raw Data'!BB119</f>
        <v>0</v>
      </c>
      <c r="AU119">
        <f>'Fats Raw Data'!AI119-'Fats Raw Data'!BC119</f>
        <v>0</v>
      </c>
      <c r="AV119" t="str">
        <f>'Fats Raw Data'!AM119&amp;" - "&amp;'Fats Raw Data'!BG119</f>
        <v xml:space="preserve"> - </v>
      </c>
      <c r="AX119" s="1">
        <f>'Fats Raw Data'!A119</f>
        <v>0</v>
      </c>
      <c r="AY119">
        <f>'Fats Raw Data'!B119-'Fats Raw Data'!V119</f>
        <v>0</v>
      </c>
      <c r="AZ119">
        <f>'Fats Raw Data'!C119-'Fats Raw Data'!W119</f>
        <v>0</v>
      </c>
      <c r="BA119">
        <f>'Fats Raw Data'!D119-'Fats Raw Data'!X119</f>
        <v>0</v>
      </c>
      <c r="BB119">
        <f>'Fats Raw Data'!E119-'Fats Raw Data'!Y119</f>
        <v>0</v>
      </c>
      <c r="BC119" t="str">
        <f>'Fats Raw Data'!I119&amp;" - "&amp;'Fats Raw Data'!AC119</f>
        <v xml:space="preserve"> - </v>
      </c>
      <c r="BE119" s="1">
        <f>'Fats Raw Data'!K119</f>
        <v>0</v>
      </c>
      <c r="BF119">
        <f>'Fats Raw Data'!L119-'Fats Raw Data'!AF119</f>
        <v>0</v>
      </c>
      <c r="BG119">
        <f>'Fats Raw Data'!M119-'Fats Raw Data'!AG119</f>
        <v>0</v>
      </c>
      <c r="BH119">
        <f>'Fats Raw Data'!N119-'Fats Raw Data'!AH119</f>
        <v>0</v>
      </c>
      <c r="BI119">
        <f>'Fats Raw Data'!O119-'Fats Raw Data'!AI119</f>
        <v>0</v>
      </c>
      <c r="BJ119" t="str">
        <f>'Fats Raw Data'!S119&amp;" - "&amp;'Fats Raw Data'!AM119</f>
        <v xml:space="preserve"> - </v>
      </c>
    </row>
    <row r="120" spans="1:62" x14ac:dyDescent="0.25">
      <c r="A120" s="1">
        <f>'Fats Raw Data'!K120</f>
        <v>0</v>
      </c>
      <c r="B120">
        <f>'Fats Raw Data'!L120-'Fats Raw Data'!V120</f>
        <v>0</v>
      </c>
      <c r="C120">
        <f>'Fats Raw Data'!M120-'Fats Raw Data'!W120</f>
        <v>0</v>
      </c>
      <c r="D120">
        <f>'Fats Raw Data'!N120-'Fats Raw Data'!X120</f>
        <v>0</v>
      </c>
      <c r="E120">
        <f>'Fats Raw Data'!O120-'Fats Raw Data'!Y120</f>
        <v>0</v>
      </c>
      <c r="F120" t="str">
        <f>'Fats Raw Data'!S120&amp;" - "&amp;'Fats Raw Data'!AC120</f>
        <v xml:space="preserve"> - </v>
      </c>
      <c r="H120" s="1">
        <f>'Fats Raw Data'!U120</f>
        <v>0</v>
      </c>
      <c r="I120">
        <f>'Fats Raw Data'!V120-'Fats Raw Data'!AF120</f>
        <v>0</v>
      </c>
      <c r="J120">
        <f>'Fats Raw Data'!W120-'Fats Raw Data'!AG120</f>
        <v>0</v>
      </c>
      <c r="K120">
        <f>'Fats Raw Data'!X120-'Fats Raw Data'!AH120</f>
        <v>0</v>
      </c>
      <c r="L120">
        <f>'Fats Raw Data'!Y120-'Fats Raw Data'!AI120</f>
        <v>0</v>
      </c>
      <c r="M120" t="str">
        <f>'Fats Raw Data'!AC120&amp;" - "&amp;'Fats Raw Data'!AM120</f>
        <v xml:space="preserve"> - </v>
      </c>
      <c r="O120" s="1">
        <f>'Fats Raw Data'!AE120</f>
        <v>0</v>
      </c>
      <c r="P120">
        <f>'Fats Raw Data'!AF120-'Fats Raw Data'!AP120</f>
        <v>0</v>
      </c>
      <c r="Q120">
        <f>'Fats Raw Data'!AG120-'Fats Raw Data'!AQ120</f>
        <v>0</v>
      </c>
      <c r="R120">
        <f>'Fats Raw Data'!AH120-'Fats Raw Data'!AR120</f>
        <v>0</v>
      </c>
      <c r="S120">
        <f>'Fats Raw Data'!AI120-'Fats Raw Data'!AS120</f>
        <v>0</v>
      </c>
      <c r="T120" t="str">
        <f>'Fats Raw Data'!AM120&amp;" - "&amp;'Fats Raw Data'!AW120</f>
        <v xml:space="preserve"> - </v>
      </c>
      <c r="V120" s="1">
        <f>'Fats Raw Data'!AO120</f>
        <v>0</v>
      </c>
      <c r="W120">
        <f>'Fats Raw Data'!AP120-'Fats Raw Data'!AZ120</f>
        <v>0</v>
      </c>
      <c r="X120">
        <f>'Fats Raw Data'!AQ120-'Fats Raw Data'!BA120</f>
        <v>0</v>
      </c>
      <c r="Y120">
        <f>'Fats Raw Data'!AR120-'Fats Raw Data'!BB120</f>
        <v>0</v>
      </c>
      <c r="Z120">
        <f>'Fats Raw Data'!AS120-'Fats Raw Data'!BC120</f>
        <v>0</v>
      </c>
      <c r="AA120" t="str">
        <f>'Fats Raw Data'!AW120&amp;" - "&amp;'Fats Raw Data'!BG120</f>
        <v xml:space="preserve"> - </v>
      </c>
      <c r="AC120" s="1">
        <f>'Fats Raw Data'!AY120</f>
        <v>0</v>
      </c>
      <c r="AD120">
        <f>'Fats Raw Data'!AZ120-'Fats Raw Data'!B120</f>
        <v>0</v>
      </c>
      <c r="AE120">
        <f>'Fats Raw Data'!BA120-'Fats Raw Data'!C120</f>
        <v>0</v>
      </c>
      <c r="AF120">
        <f>'Fats Raw Data'!BB120-'Fats Raw Data'!D120</f>
        <v>0</v>
      </c>
      <c r="AG120">
        <f>'Fats Raw Data'!BC120-'Fats Raw Data'!E120</f>
        <v>0</v>
      </c>
      <c r="AH120" t="str">
        <f>'Fats Raw Data'!BG120&amp;" - "&amp;'Fats Raw Data'!I120</f>
        <v xml:space="preserve"> - </v>
      </c>
      <c r="AJ120" s="1">
        <f>'Fats Raw Data'!A120</f>
        <v>0</v>
      </c>
      <c r="AK120">
        <f>'Fats Raw Data'!B120-'Fats Raw Data'!L120</f>
        <v>0</v>
      </c>
      <c r="AL120">
        <f>'Fats Raw Data'!C120-'Fats Raw Data'!M120</f>
        <v>0</v>
      </c>
      <c r="AM120">
        <f>'Fats Raw Data'!D120-'Fats Raw Data'!N120</f>
        <v>0</v>
      </c>
      <c r="AN120">
        <f>'Fats Raw Data'!E120-'Fats Raw Data'!O120</f>
        <v>0</v>
      </c>
      <c r="AO120" t="str">
        <f>'Fats Raw Data'!I120&amp;" - "&amp;'Fats Raw Data'!S120</f>
        <v xml:space="preserve"> - </v>
      </c>
      <c r="AQ120" s="1">
        <f>'Fats Raw Data'!AE120</f>
        <v>0</v>
      </c>
      <c r="AR120">
        <f>'Fats Raw Data'!AF120-'Fats Raw Data'!AZ120</f>
        <v>0</v>
      </c>
      <c r="AS120">
        <f>'Fats Raw Data'!AG120-'Fats Raw Data'!BA120</f>
        <v>0</v>
      </c>
      <c r="AT120">
        <f>'Fats Raw Data'!AH120-'Fats Raw Data'!BB120</f>
        <v>0</v>
      </c>
      <c r="AU120">
        <f>'Fats Raw Data'!AI120-'Fats Raw Data'!BC120</f>
        <v>0</v>
      </c>
      <c r="AV120" t="str">
        <f>'Fats Raw Data'!AM120&amp;" - "&amp;'Fats Raw Data'!BG120</f>
        <v xml:space="preserve"> - </v>
      </c>
      <c r="AX120" s="1">
        <f>'Fats Raw Data'!A120</f>
        <v>0</v>
      </c>
      <c r="AY120">
        <f>'Fats Raw Data'!B120-'Fats Raw Data'!V120</f>
        <v>0</v>
      </c>
      <c r="AZ120">
        <f>'Fats Raw Data'!C120-'Fats Raw Data'!W120</f>
        <v>0</v>
      </c>
      <c r="BA120">
        <f>'Fats Raw Data'!D120-'Fats Raw Data'!X120</f>
        <v>0</v>
      </c>
      <c r="BB120">
        <f>'Fats Raw Data'!E120-'Fats Raw Data'!Y120</f>
        <v>0</v>
      </c>
      <c r="BC120" t="str">
        <f>'Fats Raw Data'!I120&amp;" - "&amp;'Fats Raw Data'!AC120</f>
        <v xml:space="preserve"> - </v>
      </c>
      <c r="BE120" s="1">
        <f>'Fats Raw Data'!K120</f>
        <v>0</v>
      </c>
      <c r="BF120">
        <f>'Fats Raw Data'!L120-'Fats Raw Data'!AF120</f>
        <v>0</v>
      </c>
      <c r="BG120">
        <f>'Fats Raw Data'!M120-'Fats Raw Data'!AG120</f>
        <v>0</v>
      </c>
      <c r="BH120">
        <f>'Fats Raw Data'!N120-'Fats Raw Data'!AH120</f>
        <v>0</v>
      </c>
      <c r="BI120">
        <f>'Fats Raw Data'!O120-'Fats Raw Data'!AI120</f>
        <v>0</v>
      </c>
      <c r="BJ120" t="str">
        <f>'Fats Raw Data'!S120&amp;" - "&amp;'Fats Raw Data'!AM120</f>
        <v xml:space="preserve"> - </v>
      </c>
    </row>
    <row r="121" spans="1:62" x14ac:dyDescent="0.25">
      <c r="A121" s="1"/>
      <c r="H121" s="1"/>
      <c r="O121" s="1"/>
      <c r="V121" s="1"/>
      <c r="AC121" s="1"/>
      <c r="AJ121" s="1"/>
      <c r="AQ121" s="1"/>
      <c r="AX121" s="1"/>
      <c r="BE121" s="1"/>
    </row>
    <row r="122" spans="1:62" x14ac:dyDescent="0.25">
      <c r="A122" s="1"/>
      <c r="H122" s="1"/>
      <c r="O122" s="1"/>
      <c r="V122" s="1"/>
      <c r="AC122" s="1"/>
      <c r="AJ122" s="1"/>
      <c r="AQ122" s="1"/>
      <c r="AX122" s="1"/>
      <c r="BE122" s="1"/>
    </row>
    <row r="123" spans="1:62" x14ac:dyDescent="0.25">
      <c r="A123" s="1"/>
      <c r="H123" s="1"/>
      <c r="O123" s="1"/>
      <c r="V123" s="1"/>
      <c r="AC123" s="1"/>
      <c r="AJ123" s="1"/>
      <c r="AQ123" s="1"/>
      <c r="AX123" s="1"/>
      <c r="BE123" s="1"/>
    </row>
    <row r="124" spans="1:62" x14ac:dyDescent="0.25">
      <c r="A124" s="1"/>
      <c r="H124" s="1"/>
      <c r="O124" s="1"/>
      <c r="V124" s="1"/>
      <c r="AC124" s="1"/>
      <c r="AJ124" s="1"/>
      <c r="AQ124" s="1"/>
      <c r="AX124" s="1"/>
      <c r="BE124" s="1"/>
    </row>
    <row r="125" spans="1:62" x14ac:dyDescent="0.25">
      <c r="A125" s="1"/>
      <c r="H125" s="1"/>
      <c r="O125" s="1"/>
      <c r="V125" s="1"/>
      <c r="AC125" s="1"/>
      <c r="AJ125" s="1"/>
      <c r="AQ125" s="1"/>
      <c r="AX125" s="1"/>
      <c r="BE125" s="1"/>
    </row>
    <row r="126" spans="1:62" x14ac:dyDescent="0.25">
      <c r="A126" s="1"/>
      <c r="H126" s="1"/>
      <c r="O126" s="1"/>
      <c r="V126" s="1"/>
      <c r="AC126" s="1"/>
      <c r="AJ126" s="1"/>
      <c r="AQ126" s="1"/>
      <c r="AX126" s="1"/>
      <c r="BE126" s="1"/>
    </row>
    <row r="127" spans="1:62" x14ac:dyDescent="0.25">
      <c r="A127" s="1"/>
      <c r="H127" s="1"/>
      <c r="O127" s="1"/>
      <c r="V127" s="1"/>
      <c r="AC127" s="1"/>
      <c r="AJ127" s="1"/>
      <c r="AQ127" s="1"/>
      <c r="AX127" s="1"/>
      <c r="BE127" s="1"/>
    </row>
    <row r="128" spans="1:62" x14ac:dyDescent="0.25">
      <c r="A128" s="1"/>
      <c r="H128" s="1"/>
      <c r="O128" s="1"/>
      <c r="V128" s="1"/>
      <c r="AC128" s="1"/>
      <c r="AJ128" s="1"/>
      <c r="AQ128" s="1"/>
      <c r="AX128" s="1"/>
      <c r="BE128" s="1"/>
    </row>
    <row r="129" spans="1:57" x14ac:dyDescent="0.25">
      <c r="A129" s="1"/>
      <c r="H129" s="1"/>
      <c r="O129" s="1"/>
      <c r="V129" s="1"/>
      <c r="AC129" s="1"/>
      <c r="AJ129" s="1"/>
      <c r="AQ129" s="1"/>
      <c r="AX129" s="1"/>
      <c r="BE129" s="1"/>
    </row>
    <row r="130" spans="1:57" x14ac:dyDescent="0.25">
      <c r="A130" s="1"/>
      <c r="H130" s="1"/>
      <c r="O130" s="1"/>
      <c r="V130" s="1"/>
      <c r="AC130" s="1"/>
      <c r="AJ130" s="1"/>
      <c r="AQ130" s="1"/>
      <c r="AX130" s="1"/>
      <c r="BE130" s="1"/>
    </row>
    <row r="131" spans="1:57" x14ac:dyDescent="0.25">
      <c r="A131" s="1"/>
      <c r="H131" s="1"/>
      <c r="O131" s="1"/>
      <c r="V131" s="1"/>
      <c r="AC131" s="1"/>
      <c r="AJ131" s="1"/>
      <c r="AQ131" s="1"/>
      <c r="AX131" s="1"/>
      <c r="BE131" s="1"/>
    </row>
    <row r="132" spans="1:57" x14ac:dyDescent="0.25">
      <c r="A132" s="1"/>
      <c r="H132" s="1"/>
      <c r="O132" s="1"/>
      <c r="V132" s="1"/>
      <c r="AC132" s="1"/>
      <c r="AJ132" s="1"/>
      <c r="AQ132" s="1"/>
      <c r="AX132" s="1"/>
      <c r="BE132" s="1"/>
    </row>
    <row r="133" spans="1:57" x14ac:dyDescent="0.25">
      <c r="A133" s="1"/>
      <c r="H133" s="1"/>
      <c r="O133" s="1"/>
      <c r="V133" s="1"/>
      <c r="AC133" s="1"/>
      <c r="AJ133" s="1"/>
      <c r="AQ133" s="1"/>
      <c r="AX133" s="1"/>
      <c r="BE133" s="1"/>
    </row>
    <row r="134" spans="1:57" x14ac:dyDescent="0.25">
      <c r="A134" s="1"/>
      <c r="H134" s="1"/>
      <c r="O134" s="1"/>
      <c r="V134" s="1"/>
      <c r="AC134" s="1"/>
      <c r="AJ134" s="1"/>
      <c r="AQ134" s="1"/>
      <c r="AX134" s="1"/>
      <c r="BE134" s="1"/>
    </row>
    <row r="135" spans="1:57" x14ac:dyDescent="0.25">
      <c r="A135" s="1"/>
      <c r="H135" s="1"/>
      <c r="O135" s="1"/>
      <c r="V135" s="1"/>
      <c r="AC135" s="1"/>
      <c r="AJ135" s="1"/>
      <c r="AQ135" s="1"/>
      <c r="AX135" s="1"/>
      <c r="BE135" s="1"/>
    </row>
    <row r="136" spans="1:57" x14ac:dyDescent="0.25">
      <c r="A136" s="1"/>
      <c r="H136" s="1"/>
      <c r="O136" s="1"/>
      <c r="V136" s="1"/>
      <c r="AC136" s="1"/>
      <c r="AJ136" s="1"/>
      <c r="AQ136" s="1"/>
      <c r="AX136" s="1"/>
      <c r="BE136" s="1"/>
    </row>
    <row r="137" spans="1:57" x14ac:dyDescent="0.25">
      <c r="A137" s="1"/>
      <c r="H137" s="1"/>
      <c r="O137" s="1"/>
      <c r="V137" s="1"/>
      <c r="AC137" s="1"/>
      <c r="AJ137" s="1"/>
      <c r="AQ137" s="1"/>
      <c r="AX137" s="1"/>
      <c r="BE137" s="1"/>
    </row>
    <row r="138" spans="1:57" x14ac:dyDescent="0.25">
      <c r="A138" s="1"/>
      <c r="H138" s="1"/>
      <c r="O138" s="1"/>
      <c r="V138" s="1"/>
      <c r="AC138" s="1"/>
      <c r="AJ138" s="1"/>
      <c r="AQ138" s="1"/>
      <c r="AX138" s="1"/>
      <c r="BE138" s="1"/>
    </row>
    <row r="139" spans="1:57" x14ac:dyDescent="0.25">
      <c r="A139" s="1"/>
      <c r="H139" s="1"/>
      <c r="O139" s="1"/>
      <c r="V139" s="1"/>
      <c r="AC139" s="1"/>
      <c r="AJ139" s="1"/>
      <c r="AQ139" s="1"/>
      <c r="AX139" s="1"/>
      <c r="BE139" s="1"/>
    </row>
    <row r="140" spans="1:57" x14ac:dyDescent="0.25">
      <c r="A140" s="1"/>
      <c r="H140" s="1"/>
      <c r="O140" s="1"/>
      <c r="V140" s="1"/>
      <c r="AC140" s="1"/>
      <c r="AJ140" s="1"/>
      <c r="AQ140" s="1"/>
      <c r="AX140" s="1"/>
      <c r="BE140" s="1"/>
    </row>
    <row r="141" spans="1:57" x14ac:dyDescent="0.25">
      <c r="A141" s="1"/>
      <c r="H141" s="1"/>
      <c r="O141" s="1"/>
      <c r="V141" s="1"/>
      <c r="AC141" s="1"/>
      <c r="AJ141" s="1"/>
      <c r="AQ141" s="1"/>
      <c r="AX141" s="1"/>
      <c r="BE141" s="1"/>
    </row>
    <row r="142" spans="1:57" x14ac:dyDescent="0.25">
      <c r="A142" s="1"/>
      <c r="H142" s="1"/>
      <c r="O142" s="1"/>
      <c r="V142" s="1"/>
      <c r="AC142" s="1"/>
      <c r="AJ142" s="1"/>
      <c r="AQ142" s="1"/>
      <c r="AX142" s="1"/>
      <c r="BE142" s="1"/>
    </row>
    <row r="143" spans="1:57" x14ac:dyDescent="0.25">
      <c r="A143" s="1"/>
      <c r="H143" s="1"/>
      <c r="O143" s="1"/>
      <c r="V143" s="1"/>
      <c r="AC143" s="1"/>
      <c r="AJ143" s="1"/>
      <c r="AQ143" s="1"/>
      <c r="AX143" s="1"/>
      <c r="BE143" s="1"/>
    </row>
    <row r="144" spans="1:57" x14ac:dyDescent="0.25">
      <c r="A144" s="1"/>
      <c r="H144" s="1"/>
      <c r="O144" s="1"/>
      <c r="V144" s="1"/>
      <c r="AC144" s="1"/>
      <c r="AJ144" s="1"/>
      <c r="AQ144" s="1"/>
      <c r="AX144" s="1"/>
      <c r="BE144" s="1"/>
    </row>
    <row r="145" spans="1:57" x14ac:dyDescent="0.25">
      <c r="A145" s="1"/>
      <c r="H145" s="1"/>
      <c r="O145" s="1"/>
      <c r="V145" s="1"/>
      <c r="AC145" s="1"/>
      <c r="AJ145" s="1"/>
      <c r="AQ145" s="1"/>
      <c r="AX145" s="1"/>
      <c r="BE145" s="1"/>
    </row>
    <row r="146" spans="1:57" x14ac:dyDescent="0.25">
      <c r="A146" s="1"/>
      <c r="H146" s="1"/>
      <c r="O146" s="1"/>
      <c r="V146" s="1"/>
      <c r="AC146" s="1"/>
      <c r="AJ146" s="1"/>
      <c r="AQ146" s="1"/>
      <c r="AX146" s="1"/>
      <c r="BE146" s="1"/>
    </row>
    <row r="147" spans="1:57" x14ac:dyDescent="0.25">
      <c r="A147" s="1"/>
      <c r="H147" s="1"/>
      <c r="O147" s="1"/>
      <c r="V147" s="1"/>
      <c r="AC147" s="1"/>
      <c r="AJ147" s="1"/>
      <c r="AQ147" s="1"/>
      <c r="AX147" s="1"/>
      <c r="BE147" s="1"/>
    </row>
    <row r="148" spans="1:57" x14ac:dyDescent="0.25">
      <c r="A148" s="1"/>
      <c r="H148" s="1"/>
      <c r="O148" s="1"/>
      <c r="V148" s="1"/>
      <c r="AC148" s="1"/>
      <c r="AJ148" s="1"/>
      <c r="AQ148" s="1"/>
      <c r="AX148" s="1"/>
      <c r="BE148" s="1"/>
    </row>
    <row r="149" spans="1:57" x14ac:dyDescent="0.25">
      <c r="A149" s="1"/>
      <c r="H149" s="1"/>
      <c r="O149" s="1"/>
      <c r="V149" s="1"/>
      <c r="AC149" s="1"/>
      <c r="AJ149" s="1"/>
      <c r="AQ149" s="1"/>
      <c r="AX149" s="1"/>
      <c r="BE149" s="1"/>
    </row>
    <row r="150" spans="1:57" x14ac:dyDescent="0.25">
      <c r="A150" s="1"/>
      <c r="H150" s="1"/>
      <c r="O150" s="1"/>
      <c r="V150" s="1"/>
      <c r="AC150" s="1"/>
      <c r="AJ150" s="1"/>
      <c r="AQ150" s="1"/>
      <c r="AX150" s="1"/>
      <c r="BE150" s="1"/>
    </row>
    <row r="151" spans="1:57" x14ac:dyDescent="0.25">
      <c r="A151" s="1"/>
      <c r="H151" s="1"/>
      <c r="O151" s="1"/>
      <c r="V151" s="1"/>
      <c r="AC151" s="1"/>
      <c r="AJ151" s="1"/>
      <c r="AQ151" s="1"/>
      <c r="AX151" s="1"/>
      <c r="BE151" s="1"/>
    </row>
    <row r="152" spans="1:57" x14ac:dyDescent="0.25">
      <c r="A152" s="1"/>
      <c r="H152" s="1"/>
      <c r="O152" s="1"/>
      <c r="V152" s="1"/>
      <c r="AC152" s="1"/>
      <c r="AJ152" s="1"/>
      <c r="AQ152" s="1"/>
      <c r="AX152" s="1"/>
      <c r="BE152" s="1"/>
    </row>
    <row r="153" spans="1:57" x14ac:dyDescent="0.25">
      <c r="A153" s="1"/>
      <c r="H153" s="1"/>
      <c r="O153" s="1"/>
      <c r="V153" s="1"/>
      <c r="AC153" s="1"/>
      <c r="AJ153" s="1"/>
      <c r="AQ153" s="1"/>
      <c r="AX153" s="1"/>
      <c r="BE153" s="1"/>
    </row>
    <row r="154" spans="1:57" x14ac:dyDescent="0.25">
      <c r="A154" s="1"/>
      <c r="H154" s="1"/>
      <c r="O154" s="1"/>
      <c r="V154" s="1"/>
      <c r="AC154" s="1"/>
      <c r="AJ154" s="1"/>
      <c r="AQ154" s="1"/>
      <c r="AX154" s="1"/>
      <c r="BE154" s="1"/>
    </row>
    <row r="155" spans="1:57" x14ac:dyDescent="0.25">
      <c r="A155" s="1"/>
      <c r="H155" s="1"/>
      <c r="O155" s="1"/>
      <c r="V155" s="1"/>
      <c r="AC155" s="1"/>
      <c r="AJ155" s="1"/>
      <c r="AQ155" s="1"/>
      <c r="AX155" s="1"/>
      <c r="BE155" s="1"/>
    </row>
    <row r="156" spans="1:57" x14ac:dyDescent="0.25">
      <c r="A156" s="1"/>
      <c r="H156" s="1"/>
      <c r="O156" s="1"/>
      <c r="V156" s="1"/>
      <c r="AC156" s="1"/>
      <c r="AJ156" s="1"/>
      <c r="AQ156" s="1"/>
      <c r="AX156" s="1"/>
      <c r="BE156" s="1"/>
    </row>
    <row r="157" spans="1:57" x14ac:dyDescent="0.25">
      <c r="A157" s="1"/>
      <c r="H157" s="1"/>
      <c r="O157" s="1"/>
      <c r="V157" s="1"/>
      <c r="AC157" s="1"/>
      <c r="AJ157" s="1"/>
      <c r="AQ157" s="1"/>
      <c r="AX157" s="1"/>
      <c r="BE157" s="1"/>
    </row>
    <row r="158" spans="1:57" x14ac:dyDescent="0.25">
      <c r="A158" s="1"/>
      <c r="H158" s="1"/>
      <c r="O158" s="1"/>
      <c r="V158" s="1"/>
      <c r="AC158" s="1"/>
      <c r="AJ158" s="1"/>
      <c r="AQ158" s="1"/>
      <c r="AX158" s="1"/>
      <c r="BE158" s="1"/>
    </row>
    <row r="159" spans="1:57" x14ac:dyDescent="0.25">
      <c r="A159" s="1"/>
      <c r="H159" s="1"/>
      <c r="O159" s="1"/>
      <c r="V159" s="1"/>
      <c r="AC159" s="1"/>
      <c r="AJ159" s="1"/>
      <c r="AQ159" s="1"/>
      <c r="AX159" s="1"/>
      <c r="BE159" s="1"/>
    </row>
    <row r="160" spans="1:57" x14ac:dyDescent="0.25">
      <c r="A160" s="1"/>
      <c r="H160" s="1"/>
      <c r="O160" s="1"/>
      <c r="V160" s="1"/>
      <c r="AC160" s="1"/>
      <c r="AJ160" s="1"/>
      <c r="AQ160" s="1"/>
      <c r="AX160" s="1"/>
      <c r="BE160" s="1"/>
    </row>
    <row r="161" spans="1:57" x14ac:dyDescent="0.25">
      <c r="A161" s="1"/>
      <c r="H161" s="1"/>
      <c r="O161" s="1"/>
      <c r="V161" s="1"/>
      <c r="AC161" s="1"/>
      <c r="AJ161" s="1"/>
      <c r="AQ161" s="1"/>
      <c r="AX161" s="1"/>
      <c r="BE161" s="1"/>
    </row>
    <row r="162" spans="1:57" x14ac:dyDescent="0.25">
      <c r="A162" s="1"/>
      <c r="H162" s="1"/>
      <c r="O162" s="1"/>
      <c r="V162" s="1"/>
      <c r="AC162" s="1"/>
      <c r="AJ162" s="1"/>
      <c r="AQ162" s="1"/>
      <c r="AX162" s="1"/>
      <c r="BE162" s="1"/>
    </row>
    <row r="163" spans="1:57" x14ac:dyDescent="0.25">
      <c r="A163" s="1"/>
      <c r="H163" s="1"/>
      <c r="O163" s="1"/>
      <c r="V163" s="1"/>
      <c r="AC163" s="1"/>
      <c r="AJ163" s="1"/>
      <c r="AQ163" s="1"/>
      <c r="AX163" s="1"/>
      <c r="BE163" s="1"/>
    </row>
    <row r="164" spans="1:57" x14ac:dyDescent="0.25">
      <c r="A164" s="1"/>
      <c r="H164" s="1"/>
      <c r="O164" s="1"/>
      <c r="V164" s="1"/>
      <c r="AC164" s="1"/>
      <c r="AJ164" s="1"/>
      <c r="AQ164" s="1"/>
      <c r="AX164" s="1"/>
      <c r="BE164" s="1"/>
    </row>
    <row r="165" spans="1:57" x14ac:dyDescent="0.25">
      <c r="A165" s="1"/>
      <c r="H165" s="1"/>
      <c r="O165" s="1"/>
      <c r="V165" s="1"/>
      <c r="AC165" s="1"/>
      <c r="AJ165" s="1"/>
      <c r="AQ165" s="1"/>
      <c r="AX165" s="1"/>
      <c r="BE165" s="1"/>
    </row>
    <row r="166" spans="1:57" x14ac:dyDescent="0.25">
      <c r="A166" s="1"/>
      <c r="H166" s="1"/>
      <c r="O166" s="1"/>
      <c r="V166" s="1"/>
      <c r="AC166" s="1"/>
      <c r="AJ166" s="1"/>
      <c r="AQ166" s="1"/>
      <c r="AX166" s="1"/>
      <c r="BE166" s="1"/>
    </row>
    <row r="167" spans="1:57" x14ac:dyDescent="0.25">
      <c r="A167" s="1"/>
      <c r="H167" s="1"/>
      <c r="O167" s="1"/>
      <c r="V167" s="1"/>
      <c r="AC167" s="1"/>
      <c r="AJ167" s="1"/>
      <c r="AQ167" s="1"/>
      <c r="AX167" s="1"/>
      <c r="BE167" s="1"/>
    </row>
    <row r="168" spans="1:57" x14ac:dyDescent="0.25">
      <c r="A168" s="1"/>
      <c r="H168" s="1"/>
      <c r="O168" s="1"/>
      <c r="V168" s="1"/>
      <c r="AC168" s="1"/>
      <c r="AJ168" s="1"/>
      <c r="AQ168" s="1"/>
      <c r="AX168" s="1"/>
      <c r="BE168" s="1"/>
    </row>
    <row r="169" spans="1:57" x14ac:dyDescent="0.25">
      <c r="A169" s="1"/>
      <c r="H169" s="1"/>
      <c r="O169" s="1"/>
      <c r="V169" s="1"/>
      <c r="AC169" s="1"/>
      <c r="AJ169" s="1"/>
      <c r="AQ169" s="1"/>
      <c r="AX169" s="1"/>
      <c r="BE169" s="1"/>
    </row>
    <row r="170" spans="1:57" x14ac:dyDescent="0.25">
      <c r="A170" s="1"/>
      <c r="H170" s="1"/>
      <c r="O170" s="1"/>
      <c r="V170" s="1"/>
      <c r="AC170" s="1"/>
      <c r="AJ170" s="1"/>
      <c r="AQ170" s="1"/>
      <c r="AX170" s="1"/>
      <c r="BE170" s="1"/>
    </row>
    <row r="171" spans="1:57" x14ac:dyDescent="0.25">
      <c r="A171" s="1"/>
      <c r="H171" s="1"/>
      <c r="O171" s="1"/>
      <c r="V171" s="1"/>
      <c r="AC171" s="1"/>
      <c r="AJ171" s="1"/>
      <c r="AQ171" s="1"/>
      <c r="AX171" s="1"/>
      <c r="BE171" s="1"/>
    </row>
    <row r="172" spans="1:57" x14ac:dyDescent="0.25">
      <c r="A172" s="1"/>
      <c r="H172" s="1"/>
      <c r="O172" s="1"/>
      <c r="V172" s="1"/>
      <c r="AC172" s="1"/>
      <c r="AJ172" s="1"/>
      <c r="AQ172" s="1"/>
      <c r="AX172" s="1"/>
      <c r="BE172" s="1"/>
    </row>
    <row r="173" spans="1:57" x14ac:dyDescent="0.25">
      <c r="A173" s="1"/>
      <c r="H173" s="1"/>
      <c r="O173" s="1"/>
      <c r="V173" s="1"/>
      <c r="AC173" s="1"/>
      <c r="AJ173" s="1"/>
      <c r="AQ173" s="1"/>
      <c r="AX173" s="1"/>
      <c r="BE173" s="1"/>
    </row>
    <row r="174" spans="1:57" x14ac:dyDescent="0.25">
      <c r="A174" s="1"/>
      <c r="H174" s="1"/>
      <c r="O174" s="1"/>
      <c r="V174" s="1"/>
      <c r="AC174" s="1"/>
      <c r="AJ174" s="1"/>
      <c r="AQ174" s="1"/>
      <c r="AX174" s="1"/>
      <c r="BE174" s="1"/>
    </row>
    <row r="175" spans="1:57" x14ac:dyDescent="0.25">
      <c r="A175" s="1"/>
      <c r="H175" s="1"/>
      <c r="O175" s="1"/>
      <c r="V175" s="1"/>
      <c r="AC175" s="1"/>
      <c r="AJ175" s="1"/>
      <c r="AQ175" s="1"/>
      <c r="AX175" s="1"/>
      <c r="BE175" s="1"/>
    </row>
    <row r="176" spans="1:57" x14ac:dyDescent="0.25">
      <c r="A176" s="1"/>
      <c r="H176" s="1"/>
      <c r="O176" s="1"/>
      <c r="V176" s="1"/>
      <c r="AC176" s="1"/>
      <c r="AJ176" s="1"/>
      <c r="AQ176" s="1"/>
      <c r="AX176" s="1"/>
      <c r="BE176" s="1"/>
    </row>
    <row r="177" spans="1:57" x14ac:dyDescent="0.25">
      <c r="A177" s="1"/>
      <c r="H177" s="1"/>
      <c r="O177" s="1"/>
      <c r="V177" s="1"/>
      <c r="AC177" s="1"/>
      <c r="AJ177" s="1"/>
      <c r="AQ177" s="1"/>
      <c r="AX177" s="1"/>
      <c r="BE177" s="1"/>
    </row>
    <row r="178" spans="1:57" x14ac:dyDescent="0.25">
      <c r="A178" s="1"/>
      <c r="H178" s="1"/>
      <c r="O178" s="1"/>
      <c r="V178" s="1"/>
      <c r="AC178" s="1"/>
      <c r="AJ178" s="1"/>
      <c r="AQ178" s="1"/>
      <c r="AX178" s="1"/>
      <c r="BE178" s="1"/>
    </row>
    <row r="179" spans="1:57" x14ac:dyDescent="0.25">
      <c r="A179" s="1"/>
      <c r="H179" s="1"/>
      <c r="O179" s="1"/>
      <c r="V179" s="1"/>
      <c r="AC179" s="1"/>
      <c r="AJ179" s="1"/>
      <c r="AQ179" s="1"/>
      <c r="AX179" s="1"/>
      <c r="BE179" s="1"/>
    </row>
    <row r="180" spans="1:57" x14ac:dyDescent="0.25">
      <c r="A180" s="1"/>
      <c r="H180" s="1"/>
      <c r="O180" s="1"/>
      <c r="V180" s="1"/>
      <c r="AC180" s="1"/>
      <c r="AJ180" s="1"/>
      <c r="AQ180" s="1"/>
      <c r="AX180" s="1"/>
      <c r="BE180" s="1"/>
    </row>
    <row r="181" spans="1:57" x14ac:dyDescent="0.25">
      <c r="A181" s="1"/>
      <c r="H181" s="1"/>
      <c r="O181" s="1"/>
      <c r="V181" s="1"/>
      <c r="AC181" s="1"/>
      <c r="AJ181" s="1"/>
      <c r="AQ181" s="1"/>
      <c r="AX181" s="1"/>
      <c r="BE181" s="1"/>
    </row>
    <row r="182" spans="1:57" x14ac:dyDescent="0.25">
      <c r="A182" s="1"/>
      <c r="H182" s="1"/>
      <c r="O182" s="1"/>
      <c r="V182" s="1"/>
      <c r="AC182" s="1"/>
      <c r="AJ182" s="1"/>
      <c r="AQ182" s="1"/>
      <c r="AX182" s="1"/>
      <c r="BE182" s="1"/>
    </row>
    <row r="183" spans="1:57" x14ac:dyDescent="0.25">
      <c r="A183" s="1"/>
      <c r="H183" s="1"/>
      <c r="O183" s="1"/>
      <c r="V183" s="1"/>
      <c r="AC183" s="1"/>
      <c r="AJ183" s="1"/>
      <c r="AQ183" s="1"/>
      <c r="AX183" s="1"/>
      <c r="BE183" s="1"/>
    </row>
    <row r="184" spans="1:57" x14ac:dyDescent="0.25">
      <c r="A184" s="1"/>
      <c r="H184" s="1"/>
      <c r="O184" s="1"/>
      <c r="V184" s="1"/>
      <c r="AC184" s="1"/>
      <c r="AJ184" s="1"/>
      <c r="AQ184" s="1"/>
      <c r="AX184" s="1"/>
      <c r="BE184" s="1"/>
    </row>
    <row r="185" spans="1:57" x14ac:dyDescent="0.25">
      <c r="A185" s="1"/>
      <c r="H185" s="1"/>
      <c r="O185" s="1"/>
      <c r="V185" s="1"/>
      <c r="AC185" s="1"/>
      <c r="AJ185" s="1"/>
      <c r="AQ185" s="1"/>
      <c r="AX185" s="1"/>
      <c r="BE185" s="1"/>
    </row>
    <row r="186" spans="1:57" x14ac:dyDescent="0.25">
      <c r="A186" s="1"/>
      <c r="H186" s="1"/>
      <c r="O186" s="1"/>
      <c r="V186" s="1"/>
      <c r="AC186" s="1"/>
      <c r="AJ186" s="1"/>
      <c r="AQ186" s="1"/>
      <c r="AX186" s="1"/>
      <c r="BE186" s="1"/>
    </row>
    <row r="187" spans="1:57" x14ac:dyDescent="0.25">
      <c r="A187" s="1"/>
      <c r="H187" s="1"/>
      <c r="O187" s="1"/>
      <c r="V187" s="1"/>
      <c r="AC187" s="1"/>
      <c r="AJ187" s="1"/>
      <c r="AQ187" s="1"/>
      <c r="AX187" s="1"/>
      <c r="BE187" s="1"/>
    </row>
    <row r="188" spans="1:57" x14ac:dyDescent="0.25">
      <c r="A188" s="1"/>
      <c r="H188" s="1"/>
      <c r="O188" s="1"/>
      <c r="V188" s="1"/>
      <c r="AC188" s="1"/>
      <c r="AJ188" s="1"/>
      <c r="AQ188" s="1"/>
      <c r="AX188" s="1"/>
      <c r="BE188" s="1"/>
    </row>
    <row r="189" spans="1:57" x14ac:dyDescent="0.25">
      <c r="A189" s="1"/>
      <c r="H189" s="1"/>
      <c r="O189" s="1"/>
      <c r="V189" s="1"/>
      <c r="AC189" s="1"/>
      <c r="AJ189" s="1"/>
      <c r="AQ189" s="1"/>
      <c r="AX189" s="1"/>
      <c r="BE189" s="1"/>
    </row>
    <row r="190" spans="1:57" x14ac:dyDescent="0.25">
      <c r="A190" s="1"/>
      <c r="H190" s="1"/>
      <c r="O190" s="1"/>
      <c r="V190" s="1"/>
      <c r="AC190" s="1"/>
      <c r="AJ190" s="1"/>
      <c r="AQ190" s="1"/>
      <c r="AX190" s="1"/>
      <c r="BE190" s="1"/>
    </row>
    <row r="191" spans="1:57" x14ac:dyDescent="0.25">
      <c r="A191" s="1"/>
      <c r="H191" s="1"/>
      <c r="O191" s="1"/>
      <c r="V191" s="1"/>
      <c r="AC191" s="1"/>
      <c r="AJ191" s="1"/>
      <c r="AQ191" s="1"/>
      <c r="AX191" s="1"/>
      <c r="BE191" s="1"/>
    </row>
    <row r="192" spans="1:57" x14ac:dyDescent="0.25">
      <c r="A192" s="1"/>
      <c r="H192" s="1"/>
      <c r="O192" s="1"/>
      <c r="V192" s="1"/>
      <c r="AC192" s="1"/>
      <c r="AJ192" s="1"/>
      <c r="AQ192" s="1"/>
      <c r="AX192" s="1"/>
      <c r="BE192" s="1"/>
    </row>
    <row r="193" spans="1:57" x14ac:dyDescent="0.25">
      <c r="A193" s="1"/>
      <c r="H193" s="1"/>
      <c r="O193" s="1"/>
      <c r="V193" s="1"/>
      <c r="AC193" s="1"/>
      <c r="AJ193" s="1"/>
      <c r="AQ193" s="1"/>
      <c r="AX193" s="1"/>
      <c r="BE193" s="1"/>
    </row>
    <row r="194" spans="1:57" x14ac:dyDescent="0.25">
      <c r="A194" s="1"/>
      <c r="H194" s="1"/>
      <c r="O194" s="1"/>
      <c r="V194" s="1"/>
      <c r="AC194" s="1"/>
      <c r="AJ194" s="1"/>
      <c r="AQ194" s="1"/>
      <c r="AX194" s="1"/>
      <c r="BE194" s="1"/>
    </row>
    <row r="195" spans="1:57" x14ac:dyDescent="0.25">
      <c r="A195" s="1"/>
      <c r="H195" s="1"/>
      <c r="O195" s="1"/>
      <c r="V195" s="1"/>
      <c r="AC195" s="1"/>
      <c r="AJ195" s="1"/>
      <c r="AQ195" s="1"/>
      <c r="AX195" s="1"/>
      <c r="BE195" s="1"/>
    </row>
    <row r="196" spans="1:57" x14ac:dyDescent="0.25">
      <c r="A196" s="1"/>
      <c r="H196" s="1"/>
      <c r="O196" s="1"/>
      <c r="V196" s="1"/>
      <c r="AC196" s="1"/>
      <c r="AJ196" s="1"/>
      <c r="AQ196" s="1"/>
      <c r="AX196" s="1"/>
      <c r="BE196" s="1"/>
    </row>
    <row r="197" spans="1:57" x14ac:dyDescent="0.25">
      <c r="A197" s="1"/>
      <c r="H197" s="1"/>
      <c r="O197" s="1"/>
      <c r="V197" s="1"/>
      <c r="AC197" s="1"/>
      <c r="AJ197" s="1"/>
      <c r="AQ197" s="1"/>
      <c r="AX197" s="1"/>
      <c r="BE197" s="1"/>
    </row>
    <row r="198" spans="1:57" x14ac:dyDescent="0.25">
      <c r="A198" s="1"/>
      <c r="H198" s="1"/>
      <c r="O198" s="1"/>
      <c r="V198" s="1"/>
      <c r="AC198" s="1"/>
      <c r="AJ198" s="1"/>
      <c r="AQ198" s="1"/>
      <c r="AX198" s="1"/>
      <c r="BE198" s="1"/>
    </row>
    <row r="199" spans="1:57" x14ac:dyDescent="0.25">
      <c r="A199" s="1"/>
      <c r="H199" s="1"/>
      <c r="O199" s="1"/>
      <c r="V199" s="1"/>
      <c r="AC199" s="1"/>
      <c r="AJ199" s="1"/>
      <c r="AQ199" s="1"/>
      <c r="AX199" s="1"/>
      <c r="BE199" s="1"/>
    </row>
    <row r="200" spans="1:57" x14ac:dyDescent="0.25">
      <c r="A200" s="1"/>
      <c r="H200" s="1"/>
      <c r="O200" s="1"/>
      <c r="V200" s="1"/>
      <c r="AC200" s="1"/>
      <c r="AJ200" s="1"/>
      <c r="AQ200" s="1"/>
      <c r="AX200" s="1"/>
      <c r="BE200" s="1"/>
    </row>
    <row r="201" spans="1:57" x14ac:dyDescent="0.25">
      <c r="A201" s="1"/>
      <c r="H201" s="1"/>
      <c r="O201" s="1"/>
      <c r="V201" s="1"/>
      <c r="AC201" s="1"/>
      <c r="AJ201" s="1"/>
      <c r="AQ201" s="1"/>
      <c r="AX201" s="1"/>
      <c r="BE201" s="1"/>
    </row>
    <row r="202" spans="1:57" x14ac:dyDescent="0.25">
      <c r="A202" s="1"/>
      <c r="H202" s="1"/>
      <c r="O202" s="1"/>
      <c r="V202" s="1"/>
      <c r="AC202" s="1"/>
      <c r="AJ202" s="1"/>
      <c r="AQ202" s="1"/>
      <c r="AX202" s="1"/>
      <c r="BE202" s="1"/>
    </row>
    <row r="203" spans="1:57" x14ac:dyDescent="0.25">
      <c r="A203" s="1"/>
      <c r="H203" s="1"/>
      <c r="O203" s="1"/>
      <c r="V203" s="1"/>
      <c r="AC203" s="1"/>
      <c r="AJ203" s="1"/>
      <c r="AQ203" s="1"/>
      <c r="AX203" s="1"/>
      <c r="BE203" s="1"/>
    </row>
    <row r="204" spans="1:57" x14ac:dyDescent="0.25">
      <c r="A204" s="1"/>
      <c r="H204" s="1"/>
      <c r="O204" s="1"/>
      <c r="V204" s="1"/>
      <c r="AC204" s="1"/>
      <c r="AJ204" s="1"/>
      <c r="AQ204" s="1"/>
      <c r="AX204" s="1"/>
      <c r="BE204" s="1"/>
    </row>
    <row r="205" spans="1:57" x14ac:dyDescent="0.25">
      <c r="A205" s="1"/>
      <c r="H205" s="1"/>
      <c r="O205" s="1"/>
      <c r="V205" s="1"/>
      <c r="AC205" s="1"/>
      <c r="AJ205" s="1"/>
      <c r="AQ205" s="1"/>
      <c r="AX205" s="1"/>
      <c r="BE205" s="1"/>
    </row>
    <row r="206" spans="1:57" x14ac:dyDescent="0.25">
      <c r="A206" s="1"/>
      <c r="H206" s="1"/>
      <c r="O206" s="1"/>
      <c r="V206" s="1"/>
      <c r="AC206" s="1"/>
      <c r="AJ206" s="1"/>
      <c r="AQ206" s="1"/>
      <c r="AX206" s="1"/>
      <c r="BE206" s="1"/>
    </row>
    <row r="207" spans="1:57" x14ac:dyDescent="0.25">
      <c r="A207" s="1"/>
      <c r="H207" s="1"/>
      <c r="O207" s="1"/>
      <c r="V207" s="1"/>
      <c r="AC207" s="1"/>
      <c r="AJ207" s="1"/>
      <c r="AQ207" s="1"/>
      <c r="AX207" s="1"/>
      <c r="BE207" s="1"/>
    </row>
    <row r="208" spans="1:57" x14ac:dyDescent="0.25">
      <c r="A208" s="1"/>
      <c r="H208" s="1"/>
      <c r="O208" s="1"/>
      <c r="V208" s="1"/>
      <c r="AC208" s="1"/>
      <c r="AJ208" s="1"/>
      <c r="AQ208" s="1"/>
      <c r="AX208" s="1"/>
      <c r="BE208" s="1"/>
    </row>
    <row r="209" spans="1:57" x14ac:dyDescent="0.25">
      <c r="A209" s="1"/>
      <c r="H209" s="1"/>
      <c r="O209" s="1"/>
      <c r="V209" s="1"/>
      <c r="AC209" s="1"/>
      <c r="AJ209" s="1"/>
      <c r="AQ209" s="1"/>
      <c r="AX209" s="1"/>
      <c r="BE209" s="1"/>
    </row>
    <row r="210" spans="1:57" x14ac:dyDescent="0.25">
      <c r="A210" s="1"/>
      <c r="H210" s="1"/>
      <c r="O210" s="1"/>
      <c r="V210" s="1"/>
      <c r="AC210" s="1"/>
      <c r="AJ210" s="1"/>
      <c r="AQ210" s="1"/>
      <c r="AX210" s="1"/>
      <c r="BE210" s="1"/>
    </row>
    <row r="211" spans="1:57" x14ac:dyDescent="0.25">
      <c r="A211" s="1"/>
      <c r="H211" s="1"/>
      <c r="O211" s="1"/>
      <c r="V211" s="1"/>
      <c r="AC211" s="1"/>
      <c r="AJ211" s="1"/>
      <c r="AQ211" s="1"/>
      <c r="AX211" s="1"/>
      <c r="BE211" s="1"/>
    </row>
    <row r="212" spans="1:57" x14ac:dyDescent="0.25">
      <c r="A212" s="1"/>
      <c r="H212" s="1"/>
      <c r="O212" s="1"/>
      <c r="V212" s="1"/>
      <c r="AC212" s="1"/>
      <c r="AJ212" s="1"/>
      <c r="AQ212" s="1"/>
      <c r="AX212" s="1"/>
      <c r="BE212" s="1"/>
    </row>
    <row r="213" spans="1:57" x14ac:dyDescent="0.25">
      <c r="A213" s="1"/>
      <c r="H213" s="1"/>
      <c r="O213" s="1"/>
      <c r="V213" s="1"/>
      <c r="AC213" s="1"/>
      <c r="AJ213" s="1"/>
      <c r="AQ213" s="1"/>
      <c r="AX213" s="1"/>
      <c r="BE213" s="1"/>
    </row>
    <row r="214" spans="1:57" x14ac:dyDescent="0.25">
      <c r="A214" s="1"/>
      <c r="H214" s="1"/>
      <c r="O214" s="1"/>
      <c r="V214" s="1"/>
      <c r="AC214" s="1"/>
      <c r="AJ214" s="1"/>
      <c r="AQ214" s="1"/>
      <c r="AX214" s="1"/>
      <c r="BE214" s="1"/>
    </row>
    <row r="215" spans="1:57" x14ac:dyDescent="0.25">
      <c r="A215" s="1"/>
      <c r="H215" s="1"/>
      <c r="O215" s="1"/>
      <c r="V215" s="1"/>
      <c r="AC215" s="1"/>
      <c r="AJ215" s="1"/>
      <c r="AQ215" s="1"/>
      <c r="AX215" s="1"/>
      <c r="BE215" s="1"/>
    </row>
    <row r="216" spans="1:57" x14ac:dyDescent="0.25">
      <c r="A216" s="1"/>
      <c r="H216" s="1"/>
      <c r="O216" s="1"/>
      <c r="V216" s="1"/>
      <c r="AC216" s="1"/>
      <c r="AJ216" s="1"/>
      <c r="AQ216" s="1"/>
      <c r="AX216" s="1"/>
      <c r="BE216" s="1"/>
    </row>
    <row r="217" spans="1:57" x14ac:dyDescent="0.25">
      <c r="A217" s="1"/>
      <c r="H217" s="1"/>
      <c r="O217" s="1"/>
      <c r="V217" s="1"/>
      <c r="AC217" s="1"/>
      <c r="AJ217" s="1"/>
      <c r="AQ217" s="1"/>
      <c r="AX217" s="1"/>
      <c r="BE217" s="1"/>
    </row>
    <row r="218" spans="1:57" x14ac:dyDescent="0.25">
      <c r="A218" s="1"/>
      <c r="H218" s="1"/>
      <c r="O218" s="1"/>
      <c r="V218" s="1"/>
      <c r="AC218" s="1"/>
      <c r="AJ218" s="1"/>
      <c r="AQ218" s="1"/>
      <c r="AX218" s="1"/>
      <c r="BE218" s="1"/>
    </row>
    <row r="219" spans="1:57" x14ac:dyDescent="0.25">
      <c r="A219" s="1"/>
      <c r="H219" s="1"/>
      <c r="O219" s="1"/>
      <c r="V219" s="1"/>
      <c r="AC219" s="1"/>
      <c r="AJ219" s="1"/>
      <c r="AQ219" s="1"/>
      <c r="AX219" s="1"/>
      <c r="BE219" s="1"/>
    </row>
    <row r="220" spans="1:57" x14ac:dyDescent="0.25">
      <c r="A220" s="1"/>
      <c r="H220" s="1"/>
      <c r="O220" s="1"/>
      <c r="V220" s="1"/>
      <c r="AC220" s="1"/>
      <c r="AJ220" s="1"/>
      <c r="AQ220" s="1"/>
      <c r="AX220" s="1"/>
      <c r="BE220" s="1"/>
    </row>
    <row r="221" spans="1:57" x14ac:dyDescent="0.25">
      <c r="A221" s="1"/>
      <c r="H221" s="1"/>
      <c r="O221" s="1"/>
      <c r="V221" s="1"/>
      <c r="AC221" s="1"/>
      <c r="AJ221" s="1"/>
      <c r="AQ221" s="1"/>
      <c r="AX221" s="1"/>
      <c r="BE221" s="1"/>
    </row>
    <row r="222" spans="1:57" x14ac:dyDescent="0.25">
      <c r="A222" s="1"/>
      <c r="H222" s="1"/>
      <c r="O222" s="1"/>
      <c r="V222" s="1"/>
      <c r="AC222" s="1"/>
      <c r="AJ222" s="1"/>
      <c r="AQ222" s="1"/>
      <c r="AX222" s="1"/>
      <c r="BE222" s="1"/>
    </row>
    <row r="223" spans="1:57" x14ac:dyDescent="0.25">
      <c r="A223" s="1"/>
      <c r="H223" s="1"/>
      <c r="O223" s="1"/>
      <c r="V223" s="1"/>
      <c r="AC223" s="1"/>
      <c r="AJ223" s="1"/>
      <c r="AQ223" s="1"/>
      <c r="AX223" s="1"/>
      <c r="BE223" s="1"/>
    </row>
    <row r="224" spans="1:57" x14ac:dyDescent="0.25">
      <c r="A224" s="1"/>
      <c r="H224" s="1"/>
      <c r="O224" s="1"/>
      <c r="V224" s="1"/>
      <c r="AC224" s="1"/>
      <c r="AJ224" s="1"/>
      <c r="AQ224" s="1"/>
      <c r="AX224" s="1"/>
      <c r="BE224" s="1"/>
    </row>
    <row r="225" spans="1:57" x14ac:dyDescent="0.25">
      <c r="A225" s="1"/>
      <c r="H225" s="1"/>
      <c r="O225" s="1"/>
      <c r="V225" s="1"/>
      <c r="AC225" s="1"/>
      <c r="AJ225" s="1"/>
      <c r="AQ225" s="1"/>
      <c r="AX225" s="1"/>
      <c r="BE225" s="1"/>
    </row>
    <row r="226" spans="1:57" x14ac:dyDescent="0.25">
      <c r="A226" s="1"/>
      <c r="H226" s="1"/>
      <c r="O226" s="1"/>
      <c r="V226" s="1"/>
      <c r="AC226" s="1"/>
      <c r="AJ226" s="1"/>
      <c r="AQ226" s="1"/>
      <c r="AX226" s="1"/>
      <c r="BE226" s="1"/>
    </row>
    <row r="227" spans="1:57" x14ac:dyDescent="0.25">
      <c r="A227" s="1"/>
      <c r="H227" s="1"/>
      <c r="O227" s="1"/>
      <c r="V227" s="1"/>
      <c r="AC227" s="1"/>
      <c r="AJ227" s="1"/>
      <c r="AQ227" s="1"/>
      <c r="AX227" s="1"/>
      <c r="BE227" s="1"/>
    </row>
    <row r="228" spans="1:57" x14ac:dyDescent="0.25">
      <c r="A228" s="1"/>
      <c r="H228" s="1"/>
      <c r="O228" s="1"/>
      <c r="V228" s="1"/>
      <c r="AC228" s="1"/>
      <c r="AJ228" s="1"/>
      <c r="AQ228" s="1"/>
      <c r="AX228" s="1"/>
      <c r="BE228" s="1"/>
    </row>
    <row r="229" spans="1:57" x14ac:dyDescent="0.25">
      <c r="A229" s="1"/>
      <c r="H229" s="1"/>
      <c r="O229" s="1"/>
      <c r="V229" s="1"/>
      <c r="AC229" s="1"/>
      <c r="AJ229" s="1"/>
      <c r="AQ229" s="1"/>
      <c r="AX229" s="1"/>
      <c r="BE229" s="1"/>
    </row>
    <row r="230" spans="1:57" x14ac:dyDescent="0.25">
      <c r="A230" s="1"/>
      <c r="H230" s="1"/>
      <c r="O230" s="1"/>
      <c r="V230" s="1"/>
      <c r="AC230" s="1"/>
      <c r="AJ230" s="1"/>
      <c r="AQ230" s="1"/>
      <c r="AX230" s="1"/>
      <c r="BE230" s="1"/>
    </row>
    <row r="231" spans="1:57" x14ac:dyDescent="0.25">
      <c r="A231" s="1"/>
      <c r="H231" s="1"/>
      <c r="O231" s="1"/>
      <c r="V231" s="1"/>
      <c r="AC231" s="1"/>
      <c r="AJ231" s="1"/>
      <c r="AQ231" s="1"/>
      <c r="AX231" s="1"/>
      <c r="BE231" s="1"/>
    </row>
    <row r="232" spans="1:57" x14ac:dyDescent="0.25">
      <c r="A232" s="1"/>
      <c r="H232" s="1"/>
      <c r="O232" s="1"/>
      <c r="V232" s="1"/>
      <c r="AC232" s="1"/>
      <c r="AJ232" s="1"/>
      <c r="AQ232" s="1"/>
      <c r="AX232" s="1"/>
      <c r="BE232" s="1"/>
    </row>
    <row r="233" spans="1:57" x14ac:dyDescent="0.25">
      <c r="A233" s="1"/>
      <c r="H233" s="1"/>
      <c r="O233" s="1"/>
      <c r="V233" s="1"/>
      <c r="AC233" s="1"/>
      <c r="AJ233" s="1"/>
      <c r="AQ233" s="1"/>
      <c r="AX233" s="1"/>
      <c r="BE233" s="1"/>
    </row>
    <row r="234" spans="1:57" x14ac:dyDescent="0.25">
      <c r="A234" s="1"/>
      <c r="H234" s="1"/>
      <c r="O234" s="1"/>
      <c r="V234" s="1"/>
      <c r="AC234" s="1"/>
      <c r="AJ234" s="1"/>
      <c r="AQ234" s="1"/>
      <c r="AX234" s="1"/>
      <c r="BE234" s="1"/>
    </row>
    <row r="235" spans="1:57" x14ac:dyDescent="0.25">
      <c r="A235" s="1"/>
      <c r="H235" s="1"/>
      <c r="O235" s="1"/>
      <c r="V235" s="1"/>
      <c r="AC235" s="1"/>
      <c r="AJ235" s="1"/>
      <c r="AQ235" s="1"/>
      <c r="AX235" s="1"/>
      <c r="BE235" s="1"/>
    </row>
    <row r="236" spans="1:57" x14ac:dyDescent="0.25">
      <c r="A236" s="1"/>
      <c r="H236" s="1"/>
      <c r="O236" s="1"/>
      <c r="V236" s="1"/>
      <c r="AC236" s="1"/>
      <c r="AJ236" s="1"/>
      <c r="AQ236" s="1"/>
      <c r="AX236" s="1"/>
      <c r="BE236" s="1"/>
    </row>
    <row r="237" spans="1:57" x14ac:dyDescent="0.25">
      <c r="A237" s="1"/>
      <c r="H237" s="1"/>
      <c r="O237" s="1"/>
      <c r="V237" s="1"/>
      <c r="AC237" s="1"/>
      <c r="AJ237" s="1"/>
      <c r="AQ237" s="1"/>
      <c r="AX237" s="1"/>
      <c r="BE237" s="1"/>
    </row>
    <row r="238" spans="1:57" x14ac:dyDescent="0.25">
      <c r="A238" s="1"/>
      <c r="H238" s="1"/>
      <c r="O238" s="1"/>
      <c r="V238" s="1"/>
      <c r="AC238" s="1"/>
      <c r="AJ238" s="1"/>
      <c r="AQ238" s="1"/>
      <c r="AX238" s="1"/>
      <c r="BE238" s="1"/>
    </row>
    <row r="239" spans="1:57" x14ac:dyDescent="0.25">
      <c r="A239" s="1"/>
      <c r="H239" s="1"/>
      <c r="O239" s="1"/>
      <c r="V239" s="1"/>
      <c r="AC239" s="1"/>
      <c r="AJ239" s="1"/>
      <c r="AQ239" s="1"/>
      <c r="AX239" s="1"/>
      <c r="BE239" s="1"/>
    </row>
    <row r="240" spans="1:57" x14ac:dyDescent="0.25">
      <c r="A240" s="1"/>
      <c r="H240" s="1"/>
      <c r="O240" s="1"/>
      <c r="V240" s="1"/>
      <c r="AC240" s="1"/>
      <c r="AJ240" s="1"/>
      <c r="AQ240" s="1"/>
      <c r="AX240" s="1"/>
      <c r="BE240" s="1"/>
    </row>
    <row r="241" spans="1:57" x14ac:dyDescent="0.25">
      <c r="A241" s="1"/>
      <c r="H241" s="1"/>
      <c r="O241" s="1"/>
      <c r="V241" s="1"/>
      <c r="AC241" s="1"/>
      <c r="AJ241" s="1"/>
      <c r="AQ241" s="1"/>
      <c r="AX241" s="1"/>
      <c r="BE241" s="1"/>
    </row>
    <row r="242" spans="1:57" x14ac:dyDescent="0.25">
      <c r="A242" s="1"/>
      <c r="H242" s="1"/>
      <c r="O242" s="1"/>
      <c r="V242" s="1"/>
      <c r="AC242" s="1"/>
      <c r="AJ242" s="1"/>
      <c r="AQ242" s="1"/>
      <c r="AX242" s="1"/>
      <c r="BE242" s="1"/>
    </row>
    <row r="243" spans="1:57" x14ac:dyDescent="0.25">
      <c r="A243" s="1"/>
      <c r="H243" s="1"/>
      <c r="O243" s="1"/>
      <c r="V243" s="1"/>
      <c r="AC243" s="1"/>
      <c r="AJ243" s="1"/>
      <c r="AQ243" s="1"/>
      <c r="AX243" s="1"/>
      <c r="BE243" s="1"/>
    </row>
    <row r="244" spans="1:57" x14ac:dyDescent="0.25">
      <c r="A244" s="1"/>
      <c r="H244" s="1"/>
      <c r="O244" s="1"/>
      <c r="V244" s="1"/>
      <c r="AC244" s="1"/>
      <c r="AJ244" s="1"/>
      <c r="AQ244" s="1"/>
      <c r="AX244" s="1"/>
      <c r="BE244" s="1"/>
    </row>
    <row r="245" spans="1:57" x14ac:dyDescent="0.25">
      <c r="A245" s="1"/>
      <c r="H245" s="1"/>
      <c r="O245" s="1"/>
      <c r="V245" s="1"/>
      <c r="AC245" s="1"/>
      <c r="AJ245" s="1"/>
      <c r="AQ245" s="1"/>
      <c r="AX245" s="1"/>
      <c r="BE245" s="1"/>
    </row>
    <row r="246" spans="1:57" x14ac:dyDescent="0.25">
      <c r="A246" s="1"/>
      <c r="H246" s="1"/>
      <c r="O246" s="1"/>
      <c r="V246" s="1"/>
      <c r="AC246" s="1"/>
      <c r="AJ246" s="1"/>
      <c r="AQ246" s="1"/>
      <c r="AX246" s="1"/>
      <c r="BE246" s="1"/>
    </row>
    <row r="247" spans="1:57" x14ac:dyDescent="0.25">
      <c r="A247" s="1"/>
      <c r="H247" s="1"/>
      <c r="O247" s="1"/>
      <c r="V247" s="1"/>
      <c r="AC247" s="1"/>
      <c r="AJ247" s="1"/>
      <c r="AQ247" s="1"/>
      <c r="AX247" s="1"/>
      <c r="BE247" s="1"/>
    </row>
    <row r="248" spans="1:57" x14ac:dyDescent="0.25">
      <c r="A248" s="1"/>
      <c r="H248" s="1"/>
      <c r="O248" s="1"/>
      <c r="V248" s="1"/>
      <c r="AC248" s="1"/>
      <c r="AJ248" s="1"/>
      <c r="AQ248" s="1"/>
      <c r="AX248" s="1"/>
      <c r="BE248" s="1"/>
    </row>
    <row r="249" spans="1:57" x14ac:dyDescent="0.25">
      <c r="A249" s="1"/>
      <c r="H249" s="1"/>
      <c r="O249" s="1"/>
      <c r="V249" s="1"/>
      <c r="AC249" s="1"/>
      <c r="AJ249" s="1"/>
      <c r="AQ249" s="1"/>
      <c r="AX249" s="1"/>
      <c r="BE249" s="1"/>
    </row>
    <row r="250" spans="1:57" x14ac:dyDescent="0.25">
      <c r="A250" s="1"/>
      <c r="H250" s="1"/>
      <c r="O250" s="1"/>
      <c r="V250" s="1"/>
      <c r="AC250" s="1"/>
      <c r="AJ250" s="1"/>
      <c r="AQ250" s="1"/>
      <c r="AX250" s="1"/>
      <c r="BE250" s="1"/>
    </row>
    <row r="251" spans="1:57" x14ac:dyDescent="0.25">
      <c r="A251" s="1"/>
      <c r="H251" s="1"/>
      <c r="O251" s="1"/>
      <c r="V251" s="1"/>
      <c r="AC251" s="1"/>
      <c r="AJ251" s="1"/>
      <c r="AQ251" s="1"/>
      <c r="AX251" s="1"/>
      <c r="BE251" s="1"/>
    </row>
    <row r="252" spans="1:57" x14ac:dyDescent="0.25">
      <c r="A252" s="1"/>
      <c r="H252" s="1"/>
      <c r="O252" s="1"/>
      <c r="V252" s="1"/>
      <c r="AC252" s="1"/>
      <c r="AJ252" s="1"/>
      <c r="AQ252" s="1"/>
      <c r="AX252" s="1"/>
      <c r="BE252" s="1"/>
    </row>
    <row r="253" spans="1:57" x14ac:dyDescent="0.25">
      <c r="A253" s="1"/>
      <c r="H253" s="1"/>
      <c r="O253" s="1"/>
      <c r="V253" s="1"/>
      <c r="AC253" s="1"/>
      <c r="AJ253" s="1"/>
      <c r="AQ253" s="1"/>
      <c r="AX253" s="1"/>
      <c r="BE253" s="1"/>
    </row>
    <row r="254" spans="1:57" x14ac:dyDescent="0.25">
      <c r="A254" s="1"/>
      <c r="H254" s="1"/>
      <c r="O254" s="1"/>
      <c r="V254" s="1"/>
      <c r="AC254" s="1"/>
      <c r="AJ254" s="1"/>
      <c r="AQ254" s="1"/>
      <c r="AX254" s="1"/>
      <c r="BE254" s="1"/>
    </row>
    <row r="255" spans="1:57" x14ac:dyDescent="0.25">
      <c r="A255" s="1"/>
      <c r="H255" s="1"/>
      <c r="O255" s="1"/>
      <c r="V255" s="1"/>
      <c r="AC255" s="1"/>
      <c r="AJ255" s="1"/>
      <c r="AQ255" s="1"/>
      <c r="AX255" s="1"/>
      <c r="BE255" s="1"/>
    </row>
    <row r="256" spans="1:57" x14ac:dyDescent="0.25">
      <c r="A256" s="1"/>
      <c r="H256" s="1"/>
      <c r="O256" s="1"/>
      <c r="V256" s="1"/>
      <c r="AC256" s="1"/>
      <c r="AJ256" s="1"/>
      <c r="AQ256" s="1"/>
      <c r="AX256" s="1"/>
      <c r="BE256" s="1"/>
    </row>
    <row r="257" spans="1:57" x14ac:dyDescent="0.25">
      <c r="A257" s="1"/>
      <c r="H257" s="1"/>
      <c r="O257" s="1"/>
      <c r="V257" s="1"/>
      <c r="AC257" s="1"/>
      <c r="AJ257" s="1"/>
      <c r="AQ257" s="1"/>
      <c r="AX257" s="1"/>
      <c r="BE257" s="1"/>
    </row>
    <row r="258" spans="1:57" x14ac:dyDescent="0.25">
      <c r="A258" s="1"/>
      <c r="H258" s="1"/>
      <c r="O258" s="1"/>
      <c r="V258" s="1"/>
      <c r="AC258" s="1"/>
      <c r="AJ258" s="1"/>
      <c r="AQ258" s="1"/>
      <c r="AX258" s="1"/>
      <c r="BE258" s="1"/>
    </row>
    <row r="259" spans="1:57" x14ac:dyDescent="0.25">
      <c r="A259" s="1"/>
      <c r="H259" s="1"/>
      <c r="O259" s="1"/>
      <c r="V259" s="1"/>
      <c r="AC259" s="1"/>
      <c r="AJ259" s="1"/>
      <c r="AQ259" s="1"/>
      <c r="AX259" s="1"/>
      <c r="BE259" s="1"/>
    </row>
    <row r="260" spans="1:57" x14ac:dyDescent="0.25">
      <c r="A260" s="1"/>
      <c r="H260" s="1"/>
      <c r="O260" s="1"/>
      <c r="V260" s="1"/>
      <c r="AC260" s="1"/>
      <c r="AJ260" s="1"/>
      <c r="AQ260" s="1"/>
      <c r="AX260" s="1"/>
      <c r="BE260" s="1"/>
    </row>
    <row r="261" spans="1:57" x14ac:dyDescent="0.25">
      <c r="A261" s="1"/>
      <c r="H261" s="1"/>
      <c r="O261" s="1"/>
      <c r="V261" s="1"/>
      <c r="AC261" s="1"/>
      <c r="AJ261" s="1"/>
      <c r="AQ261" s="1"/>
      <c r="AX261" s="1"/>
      <c r="BE261" s="1"/>
    </row>
    <row r="262" spans="1:57" x14ac:dyDescent="0.25">
      <c r="A262" s="1"/>
      <c r="H262" s="1"/>
      <c r="O262" s="1"/>
      <c r="V262" s="1"/>
      <c r="AC262" s="1"/>
      <c r="AJ262" s="1"/>
      <c r="AQ262" s="1"/>
      <c r="AX262" s="1"/>
      <c r="BE262" s="1"/>
    </row>
    <row r="263" spans="1:57" x14ac:dyDescent="0.25">
      <c r="A263" s="1"/>
      <c r="H263" s="1"/>
      <c r="O263" s="1"/>
      <c r="V263" s="1"/>
      <c r="AC263" s="1"/>
      <c r="AJ263" s="1"/>
      <c r="AQ263" s="1"/>
      <c r="AX263" s="1"/>
      <c r="BE263" s="1"/>
    </row>
    <row r="264" spans="1:57" x14ac:dyDescent="0.25">
      <c r="A264" s="1"/>
      <c r="H264" s="1"/>
      <c r="O264" s="1"/>
      <c r="V264" s="1"/>
      <c r="AC264" s="1"/>
      <c r="AJ264" s="1"/>
      <c r="AQ264" s="1"/>
      <c r="AX264" s="1"/>
      <c r="BE264" s="1"/>
    </row>
    <row r="265" spans="1:57" x14ac:dyDescent="0.25">
      <c r="A265" s="1"/>
      <c r="H265" s="1"/>
      <c r="O265" s="1"/>
      <c r="V265" s="1"/>
      <c r="AC265" s="1"/>
      <c r="AJ265" s="1"/>
      <c r="AQ265" s="1"/>
      <c r="AX265" s="1"/>
      <c r="BE265" s="1"/>
    </row>
    <row r="266" spans="1:57" x14ac:dyDescent="0.25">
      <c r="A266" s="1"/>
      <c r="H266" s="1"/>
      <c r="O266" s="1"/>
      <c r="V266" s="1"/>
      <c r="AC266" s="1"/>
      <c r="AJ266" s="1"/>
      <c r="AQ266" s="1"/>
      <c r="AX266" s="1"/>
      <c r="BE266" s="1"/>
    </row>
    <row r="267" spans="1:57" x14ac:dyDescent="0.25">
      <c r="A267" s="1"/>
      <c r="H267" s="1"/>
      <c r="O267" s="1"/>
      <c r="V267" s="1"/>
      <c r="AC267" s="1"/>
      <c r="AJ267" s="1"/>
      <c r="AQ267" s="1"/>
      <c r="AX267" s="1"/>
      <c r="BE267" s="1"/>
    </row>
    <row r="268" spans="1:57" x14ac:dyDescent="0.25">
      <c r="A268" s="1"/>
      <c r="H268" s="1"/>
      <c r="O268" s="1"/>
      <c r="V268" s="1"/>
      <c r="AC268" s="1"/>
      <c r="AJ268" s="1"/>
      <c r="AQ268" s="1"/>
      <c r="AX268" s="1"/>
      <c r="BE268" s="1"/>
    </row>
    <row r="269" spans="1:57" x14ac:dyDescent="0.25">
      <c r="A269" s="1"/>
      <c r="H269" s="1"/>
      <c r="O269" s="1"/>
      <c r="V269" s="1"/>
      <c r="AC269" s="1"/>
      <c r="AJ269" s="1"/>
      <c r="AQ269" s="1"/>
      <c r="AX269" s="1"/>
      <c r="BE269" s="1"/>
    </row>
    <row r="270" spans="1:57" x14ac:dyDescent="0.25">
      <c r="A270" s="1"/>
      <c r="H270" s="1"/>
      <c r="O270" s="1"/>
      <c r="V270" s="1"/>
      <c r="AC270" s="1"/>
      <c r="AJ270" s="1"/>
      <c r="AQ270" s="1"/>
      <c r="AX270" s="1"/>
      <c r="BE270" s="1"/>
    </row>
    <row r="271" spans="1:57" x14ac:dyDescent="0.25">
      <c r="A271" s="1"/>
      <c r="H271" s="1"/>
      <c r="O271" s="1"/>
      <c r="V271" s="1"/>
      <c r="AC271" s="1"/>
      <c r="AJ271" s="1"/>
      <c r="AQ271" s="1"/>
      <c r="AX271" s="1"/>
      <c r="BE271" s="1"/>
    </row>
    <row r="272" spans="1:57" x14ac:dyDescent="0.25">
      <c r="A272" s="1"/>
      <c r="H272" s="1"/>
      <c r="O272" s="1"/>
      <c r="V272" s="1"/>
      <c r="AC272" s="1"/>
      <c r="AJ272" s="1"/>
      <c r="AQ272" s="1"/>
      <c r="AX272" s="1"/>
      <c r="BE272" s="1"/>
    </row>
    <row r="273" spans="1:57" x14ac:dyDescent="0.25">
      <c r="A273" s="1"/>
      <c r="H273" s="1"/>
      <c r="O273" s="1"/>
      <c r="V273" s="1"/>
      <c r="AC273" s="1"/>
      <c r="AJ273" s="1"/>
      <c r="AQ273" s="1"/>
      <c r="AX273" s="1"/>
      <c r="BE273" s="1"/>
    </row>
    <row r="274" spans="1:57" x14ac:dyDescent="0.25">
      <c r="A274" s="1"/>
      <c r="H274" s="1"/>
      <c r="O274" s="1"/>
      <c r="V274" s="1"/>
      <c r="AC274" s="1"/>
      <c r="AJ274" s="1"/>
      <c r="AQ274" s="1"/>
      <c r="AX274" s="1"/>
      <c r="BE274" s="1"/>
    </row>
    <row r="275" spans="1:57" x14ac:dyDescent="0.25">
      <c r="A275" s="1"/>
      <c r="H275" s="1"/>
      <c r="O275" s="1"/>
      <c r="V275" s="1"/>
      <c r="AC275" s="1"/>
      <c r="AJ275" s="1"/>
      <c r="AQ275" s="1"/>
      <c r="AX275" s="1"/>
      <c r="BE275" s="1"/>
    </row>
    <row r="276" spans="1:57" x14ac:dyDescent="0.25">
      <c r="A276" s="1"/>
      <c r="H276" s="1"/>
      <c r="O276" s="1"/>
      <c r="V276" s="1"/>
      <c r="AC276" s="1"/>
      <c r="AJ276" s="1"/>
      <c r="AQ276" s="1"/>
      <c r="AX276" s="1"/>
      <c r="BE276" s="1"/>
    </row>
    <row r="277" spans="1:57" x14ac:dyDescent="0.25">
      <c r="A277" s="1"/>
      <c r="H277" s="1"/>
      <c r="O277" s="1"/>
      <c r="V277" s="1"/>
      <c r="AC277" s="1"/>
      <c r="AJ277" s="1"/>
      <c r="AQ277" s="1"/>
      <c r="AX277" s="1"/>
      <c r="BE277" s="1"/>
    </row>
    <row r="278" spans="1:57" x14ac:dyDescent="0.25">
      <c r="A278" s="1"/>
      <c r="H278" s="1"/>
      <c r="O278" s="1"/>
      <c r="V278" s="1"/>
      <c r="AC278" s="1"/>
      <c r="AJ278" s="1"/>
      <c r="AQ278" s="1"/>
      <c r="AX278" s="1"/>
      <c r="BE278" s="1"/>
    </row>
    <row r="279" spans="1:57" x14ac:dyDescent="0.25">
      <c r="A279" s="1"/>
      <c r="H279" s="1"/>
      <c r="O279" s="1"/>
      <c r="V279" s="1"/>
      <c r="AC279" s="1"/>
      <c r="AJ279" s="1"/>
      <c r="AQ279" s="1"/>
      <c r="AX279" s="1"/>
      <c r="BE279" s="1"/>
    </row>
    <row r="280" spans="1:57" x14ac:dyDescent="0.25">
      <c r="A280" s="1"/>
      <c r="H280" s="1"/>
      <c r="O280" s="1"/>
      <c r="V280" s="1"/>
      <c r="AC280" s="1"/>
      <c r="AJ280" s="1"/>
      <c r="AQ280" s="1"/>
      <c r="AX280" s="1"/>
      <c r="BE280" s="1"/>
    </row>
    <row r="281" spans="1:57" x14ac:dyDescent="0.25">
      <c r="A281" s="1"/>
      <c r="H281" s="1"/>
      <c r="O281" s="1"/>
      <c r="V281" s="1"/>
      <c r="AC281" s="1"/>
      <c r="AJ281" s="1"/>
      <c r="AQ281" s="1"/>
      <c r="AX281" s="1"/>
      <c r="BE281" s="1"/>
    </row>
    <row r="282" spans="1:57" x14ac:dyDescent="0.25">
      <c r="A282" s="1"/>
      <c r="H282" s="1"/>
      <c r="O282" s="1"/>
      <c r="V282" s="1"/>
      <c r="AC282" s="1"/>
      <c r="AJ282" s="1"/>
      <c r="AQ282" s="1"/>
      <c r="AX282" s="1"/>
      <c r="BE282" s="1"/>
    </row>
    <row r="283" spans="1:57" x14ac:dyDescent="0.25">
      <c r="A283" s="1"/>
      <c r="H283" s="1"/>
      <c r="O283" s="1"/>
      <c r="V283" s="1"/>
      <c r="AC283" s="1"/>
      <c r="AJ283" s="1"/>
      <c r="AQ283" s="1"/>
      <c r="AX283" s="1"/>
      <c r="BE283" s="1"/>
    </row>
    <row r="284" spans="1:57" x14ac:dyDescent="0.25">
      <c r="A284" s="1"/>
      <c r="H284" s="1"/>
      <c r="O284" s="1"/>
      <c r="V284" s="1"/>
      <c r="AC284" s="1"/>
      <c r="AJ284" s="1"/>
      <c r="AQ284" s="1"/>
      <c r="AX284" s="1"/>
      <c r="BE284" s="1"/>
    </row>
    <row r="285" spans="1:57" x14ac:dyDescent="0.25">
      <c r="A285" s="1"/>
      <c r="H285" s="1"/>
      <c r="O285" s="1"/>
      <c r="V285" s="1"/>
      <c r="AC285" s="1"/>
      <c r="AJ285" s="1"/>
      <c r="AQ285" s="1"/>
      <c r="AX285" s="1"/>
      <c r="BE285" s="1"/>
    </row>
    <row r="286" spans="1:57" x14ac:dyDescent="0.25">
      <c r="A286" s="1"/>
      <c r="H286" s="1"/>
      <c r="O286" s="1"/>
      <c r="V286" s="1"/>
      <c r="AC286" s="1"/>
      <c r="AJ286" s="1"/>
      <c r="AQ286" s="1"/>
      <c r="AX286" s="1"/>
      <c r="BE286" s="1"/>
    </row>
    <row r="287" spans="1:57" x14ac:dyDescent="0.25">
      <c r="A287" s="1"/>
      <c r="H287" s="1"/>
      <c r="O287" s="1"/>
      <c r="V287" s="1"/>
      <c r="AC287" s="1"/>
      <c r="AJ287" s="1"/>
      <c r="AQ287" s="1"/>
      <c r="AX287" s="1"/>
      <c r="BE287" s="1"/>
    </row>
    <row r="288" spans="1:57" x14ac:dyDescent="0.25">
      <c r="A288" s="1"/>
      <c r="H288" s="1"/>
      <c r="O288" s="1"/>
      <c r="V288" s="1"/>
      <c r="AC288" s="1"/>
      <c r="AJ288" s="1"/>
      <c r="AQ288" s="1"/>
      <c r="AX288" s="1"/>
      <c r="BE288" s="1"/>
    </row>
    <row r="289" spans="1:57" x14ac:dyDescent="0.25">
      <c r="A289" s="1"/>
      <c r="H289" s="1"/>
      <c r="O289" s="1"/>
      <c r="V289" s="1"/>
      <c r="AC289" s="1"/>
      <c r="AJ289" s="1"/>
      <c r="AQ289" s="1"/>
      <c r="AX289" s="1"/>
      <c r="BE289" s="1"/>
    </row>
    <row r="290" spans="1:57" x14ac:dyDescent="0.25">
      <c r="A290" s="1"/>
      <c r="H290" s="1"/>
      <c r="O290" s="1"/>
      <c r="V290" s="1"/>
      <c r="AC290" s="1"/>
      <c r="AJ290" s="1"/>
      <c r="AQ290" s="1"/>
      <c r="AX290" s="1"/>
      <c r="BE290" s="1"/>
    </row>
    <row r="291" spans="1:57" x14ac:dyDescent="0.25">
      <c r="A291" s="1"/>
      <c r="H291" s="1"/>
      <c r="O291" s="1"/>
      <c r="V291" s="1"/>
      <c r="AC291" s="1"/>
      <c r="AJ291" s="1"/>
      <c r="AQ291" s="1"/>
      <c r="AX291" s="1"/>
      <c r="BE291" s="1"/>
    </row>
    <row r="292" spans="1:57" x14ac:dyDescent="0.25">
      <c r="A292" s="1"/>
      <c r="H292" s="1"/>
      <c r="O292" s="1"/>
      <c r="V292" s="1"/>
      <c r="AC292" s="1"/>
      <c r="AJ292" s="1"/>
      <c r="AQ292" s="1"/>
      <c r="AX292" s="1"/>
      <c r="BE292" s="1"/>
    </row>
    <row r="293" spans="1:57" x14ac:dyDescent="0.25">
      <c r="A293" s="1"/>
      <c r="H293" s="1"/>
      <c r="O293" s="1"/>
      <c r="V293" s="1"/>
      <c r="AC293" s="1"/>
      <c r="AJ293" s="1"/>
      <c r="AQ293" s="1"/>
      <c r="AX293" s="1"/>
      <c r="BE293" s="1"/>
    </row>
    <row r="294" spans="1:57" x14ac:dyDescent="0.25">
      <c r="A294" s="1"/>
      <c r="H294" s="1"/>
      <c r="O294" s="1"/>
      <c r="V294" s="1"/>
      <c r="AC294" s="1"/>
      <c r="AJ294" s="1"/>
      <c r="AQ294" s="1"/>
      <c r="AX294" s="1"/>
      <c r="BE294" s="1"/>
    </row>
    <row r="295" spans="1:57" x14ac:dyDescent="0.25">
      <c r="A295" s="1"/>
      <c r="H295" s="1"/>
      <c r="O295" s="1"/>
      <c r="V295" s="1"/>
      <c r="AC295" s="1"/>
      <c r="AJ295" s="1"/>
      <c r="AQ295" s="1"/>
      <c r="AX295" s="1"/>
      <c r="BE295" s="1"/>
    </row>
    <row r="296" spans="1:57" x14ac:dyDescent="0.25">
      <c r="A296" s="1"/>
      <c r="H296" s="1"/>
      <c r="O296" s="1"/>
      <c r="V296" s="1"/>
      <c r="AC296" s="1"/>
      <c r="AJ296" s="1"/>
      <c r="AQ296" s="1"/>
      <c r="AX296" s="1"/>
      <c r="BE296" s="1"/>
    </row>
    <row r="297" spans="1:57" x14ac:dyDescent="0.25">
      <c r="A297" s="1"/>
      <c r="H297" s="1"/>
      <c r="O297" s="1"/>
      <c r="V297" s="1"/>
      <c r="AC297" s="1"/>
      <c r="AJ297" s="1"/>
      <c r="AQ297" s="1"/>
      <c r="AX297" s="1"/>
      <c r="BE297" s="1"/>
    </row>
    <row r="298" spans="1:57" x14ac:dyDescent="0.25">
      <c r="A298" s="1"/>
      <c r="H298" s="1"/>
      <c r="O298" s="1"/>
      <c r="V298" s="1"/>
      <c r="AC298" s="1"/>
      <c r="AJ298" s="1"/>
      <c r="AQ298" s="1"/>
      <c r="AX298" s="1"/>
      <c r="BE298" s="1"/>
    </row>
    <row r="299" spans="1:57" x14ac:dyDescent="0.25">
      <c r="A299" s="1"/>
      <c r="H299" s="1"/>
      <c r="O299" s="1"/>
      <c r="V299" s="1"/>
      <c r="AC299" s="1"/>
      <c r="AJ299" s="1"/>
      <c r="AQ299" s="1"/>
      <c r="AX299" s="1"/>
      <c r="BE299" s="1"/>
    </row>
    <row r="300" spans="1:57" x14ac:dyDescent="0.25">
      <c r="A300" s="1"/>
      <c r="H300" s="1"/>
      <c r="O300" s="1"/>
      <c r="V300" s="1"/>
      <c r="AC300" s="1"/>
      <c r="AJ300" s="1"/>
      <c r="AQ300" s="1"/>
      <c r="AX300" s="1"/>
      <c r="BE300" s="1"/>
    </row>
    <row r="301" spans="1:57" x14ac:dyDescent="0.25">
      <c r="A301" s="1"/>
      <c r="H301" s="1"/>
      <c r="O301" s="1"/>
      <c r="V301" s="1"/>
      <c r="AC301" s="1"/>
      <c r="AJ301" s="1"/>
      <c r="AQ301" s="1"/>
      <c r="AX301" s="1"/>
      <c r="BE301" s="1"/>
    </row>
    <row r="302" spans="1:57" x14ac:dyDescent="0.25">
      <c r="A302" s="1"/>
      <c r="H302" s="1"/>
      <c r="O302" s="1"/>
      <c r="V302" s="1"/>
      <c r="AC302" s="1"/>
      <c r="AJ302" s="1"/>
      <c r="AQ302" s="1"/>
      <c r="AX302" s="1"/>
      <c r="BE302" s="1"/>
    </row>
    <row r="303" spans="1:57" x14ac:dyDescent="0.25">
      <c r="A303" s="1"/>
      <c r="H303" s="1"/>
      <c r="O303" s="1"/>
      <c r="V303" s="1"/>
      <c r="AC303" s="1"/>
      <c r="AJ303" s="1"/>
      <c r="AQ303" s="1"/>
      <c r="AX303" s="1"/>
      <c r="BE303" s="1"/>
    </row>
    <row r="304" spans="1:57" x14ac:dyDescent="0.25">
      <c r="A304" s="1"/>
      <c r="H304" s="1"/>
      <c r="O304" s="1"/>
      <c r="V304" s="1"/>
      <c r="AC304" s="1"/>
      <c r="AJ304" s="1"/>
      <c r="AQ304" s="1"/>
      <c r="AX304" s="1"/>
      <c r="BE304" s="1"/>
    </row>
    <row r="305" spans="1:57" x14ac:dyDescent="0.25">
      <c r="A305" s="1"/>
      <c r="H305" s="1"/>
      <c r="O305" s="1"/>
      <c r="V305" s="1"/>
      <c r="AC305" s="1"/>
      <c r="AJ305" s="1"/>
      <c r="AQ305" s="1"/>
      <c r="AX305" s="1"/>
      <c r="BE305" s="1"/>
    </row>
    <row r="306" spans="1:57" x14ac:dyDescent="0.25">
      <c r="A306" s="1"/>
      <c r="H306" s="1"/>
      <c r="O306" s="1"/>
      <c r="V306" s="1"/>
      <c r="AC306" s="1"/>
      <c r="AJ306" s="1"/>
      <c r="AQ306" s="1"/>
      <c r="AX306" s="1"/>
      <c r="BE306" s="1"/>
    </row>
    <row r="307" spans="1:57" x14ac:dyDescent="0.25">
      <c r="A307" s="1"/>
      <c r="H307" s="1"/>
      <c r="O307" s="1"/>
      <c r="V307" s="1"/>
      <c r="AC307" s="1"/>
      <c r="AJ307" s="1"/>
      <c r="AQ307" s="1"/>
      <c r="AX307" s="1"/>
      <c r="BE307" s="1"/>
    </row>
    <row r="308" spans="1:57" x14ac:dyDescent="0.25">
      <c r="A308" s="1"/>
      <c r="H308" s="1"/>
      <c r="O308" s="1"/>
      <c r="V308" s="1"/>
      <c r="AC308" s="1"/>
      <c r="AJ308" s="1"/>
      <c r="AQ308" s="1"/>
      <c r="AX308" s="1"/>
      <c r="BE308" s="1"/>
    </row>
    <row r="309" spans="1:57" x14ac:dyDescent="0.25">
      <c r="A309" s="1"/>
      <c r="H309" s="1"/>
      <c r="O309" s="1"/>
      <c r="V309" s="1"/>
      <c r="AC309" s="1"/>
      <c r="AJ309" s="1"/>
      <c r="AQ309" s="1"/>
      <c r="AX309" s="1"/>
      <c r="BE309" s="1"/>
    </row>
    <row r="310" spans="1:57" x14ac:dyDescent="0.25">
      <c r="A310" s="1"/>
      <c r="H310" s="1"/>
      <c r="O310" s="1"/>
      <c r="V310" s="1"/>
      <c r="AC310" s="1"/>
      <c r="AJ310" s="1"/>
      <c r="AQ310" s="1"/>
      <c r="AX310" s="1"/>
      <c r="BE310" s="1"/>
    </row>
    <row r="311" spans="1:57" x14ac:dyDescent="0.25">
      <c r="A311" s="1"/>
      <c r="H311" s="1"/>
      <c r="O311" s="1"/>
      <c r="V311" s="1"/>
      <c r="AC311" s="1"/>
      <c r="AJ311" s="1"/>
      <c r="AQ311" s="1"/>
      <c r="AX311" s="1"/>
      <c r="BE311" s="1"/>
    </row>
    <row r="312" spans="1:57" x14ac:dyDescent="0.25">
      <c r="A312" s="1"/>
      <c r="H312" s="1"/>
      <c r="O312" s="1"/>
      <c r="V312" s="1"/>
      <c r="AC312" s="1"/>
      <c r="AJ312" s="1"/>
      <c r="AQ312" s="1"/>
      <c r="AX312" s="1"/>
      <c r="BE312" s="1"/>
    </row>
    <row r="313" spans="1:57" x14ac:dyDescent="0.25">
      <c r="A313" s="1"/>
      <c r="H313" s="1"/>
      <c r="O313" s="1"/>
      <c r="V313" s="1"/>
      <c r="AC313" s="1"/>
      <c r="AJ313" s="1"/>
      <c r="AQ313" s="1"/>
      <c r="AX313" s="1"/>
      <c r="BE313" s="1"/>
    </row>
    <row r="314" spans="1:57" x14ac:dyDescent="0.25">
      <c r="A314" s="1"/>
      <c r="H314" s="1"/>
      <c r="O314" s="1"/>
      <c r="V314" s="1"/>
      <c r="AC314" s="1"/>
      <c r="AJ314" s="1"/>
      <c r="AQ314" s="1"/>
      <c r="AX314" s="1"/>
      <c r="BE314" s="1"/>
    </row>
    <row r="315" spans="1:57" x14ac:dyDescent="0.25">
      <c r="A315" s="1"/>
      <c r="H315" s="1"/>
      <c r="O315" s="1"/>
      <c r="V315" s="1"/>
      <c r="AC315" s="1"/>
      <c r="AJ315" s="1"/>
      <c r="AQ315" s="1"/>
      <c r="AX315" s="1"/>
      <c r="BE315" s="1"/>
    </row>
    <row r="316" spans="1:57" x14ac:dyDescent="0.25">
      <c r="A316" s="1"/>
      <c r="H316" s="1"/>
      <c r="O316" s="1"/>
      <c r="V316" s="1"/>
      <c r="AC316" s="1"/>
      <c r="AJ316" s="1"/>
      <c r="AQ316" s="1"/>
      <c r="AX316" s="1"/>
      <c r="BE316" s="1"/>
    </row>
    <row r="317" spans="1:57" x14ac:dyDescent="0.25">
      <c r="A317" s="1"/>
      <c r="H317" s="1"/>
      <c r="O317" s="1"/>
      <c r="V317" s="1"/>
      <c r="AC317" s="1"/>
      <c r="AJ317" s="1"/>
      <c r="AQ317" s="1"/>
      <c r="AX317" s="1"/>
      <c r="BE317" s="1"/>
    </row>
    <row r="318" spans="1:57" x14ac:dyDescent="0.25">
      <c r="A318" s="1"/>
      <c r="H318" s="1"/>
      <c r="O318" s="1"/>
      <c r="V318" s="1"/>
      <c r="AC318" s="1"/>
      <c r="AJ318" s="1"/>
      <c r="AQ318" s="1"/>
      <c r="AX318" s="1"/>
      <c r="BE318" s="1"/>
    </row>
    <row r="319" spans="1:57" x14ac:dyDescent="0.25">
      <c r="A319" s="1"/>
      <c r="H319" s="1"/>
      <c r="O319" s="1"/>
      <c r="V319" s="1"/>
      <c r="AC319" s="1"/>
      <c r="AJ319" s="1"/>
      <c r="AQ319" s="1"/>
      <c r="AX319" s="1"/>
      <c r="BE319" s="1"/>
    </row>
    <row r="320" spans="1:57" x14ac:dyDescent="0.25">
      <c r="A320" s="1"/>
      <c r="H320" s="1"/>
      <c r="O320" s="1"/>
      <c r="V320" s="1"/>
      <c r="AC320" s="1"/>
      <c r="AJ320" s="1"/>
      <c r="AQ320" s="1"/>
      <c r="AX320" s="1"/>
      <c r="BE320" s="1"/>
    </row>
    <row r="321" spans="1:57" x14ac:dyDescent="0.25">
      <c r="A321" s="1"/>
      <c r="H321" s="1"/>
      <c r="O321" s="1"/>
      <c r="V321" s="1"/>
      <c r="AC321" s="1"/>
      <c r="AJ321" s="1"/>
      <c r="AQ321" s="1"/>
      <c r="AX321" s="1"/>
      <c r="BE321" s="1"/>
    </row>
    <row r="322" spans="1:57" x14ac:dyDescent="0.25">
      <c r="A322" s="1"/>
      <c r="H322" s="1"/>
      <c r="O322" s="1"/>
      <c r="V322" s="1"/>
      <c r="AC322" s="1"/>
      <c r="AJ322" s="1"/>
      <c r="AQ322" s="1"/>
      <c r="AX322" s="1"/>
      <c r="BE322" s="1"/>
    </row>
    <row r="323" spans="1:57" x14ac:dyDescent="0.25">
      <c r="A323" s="1"/>
      <c r="H323" s="1"/>
      <c r="O323" s="1"/>
      <c r="V323" s="1"/>
      <c r="AC323" s="1"/>
      <c r="AJ323" s="1"/>
      <c r="AQ323" s="1"/>
      <c r="AX323" s="1"/>
      <c r="BE323" s="1"/>
    </row>
    <row r="324" spans="1:57" x14ac:dyDescent="0.25">
      <c r="A324" s="1"/>
      <c r="H324" s="1"/>
      <c r="O324" s="1"/>
      <c r="V324" s="1"/>
      <c r="AC324" s="1"/>
      <c r="AJ324" s="1"/>
      <c r="AQ324" s="1"/>
      <c r="AX324" s="1"/>
      <c r="BE324" s="1"/>
    </row>
    <row r="325" spans="1:57" x14ac:dyDescent="0.25">
      <c r="A325" s="1"/>
      <c r="H325" s="1"/>
      <c r="O325" s="1"/>
      <c r="V325" s="1"/>
      <c r="AC325" s="1"/>
      <c r="AJ325" s="1"/>
      <c r="AQ325" s="1"/>
      <c r="AX325" s="1"/>
      <c r="BE325" s="1"/>
    </row>
    <row r="326" spans="1:57" x14ac:dyDescent="0.25">
      <c r="A326" s="1"/>
      <c r="H326" s="1"/>
      <c r="O326" s="1"/>
      <c r="V326" s="1"/>
      <c r="AC326" s="1"/>
      <c r="AJ326" s="1"/>
      <c r="AQ326" s="1"/>
      <c r="AX326" s="1"/>
      <c r="BE326" s="1"/>
    </row>
    <row r="327" spans="1:57" x14ac:dyDescent="0.25">
      <c r="A327" s="1"/>
      <c r="H327" s="1"/>
      <c r="O327" s="1"/>
      <c r="V327" s="1"/>
      <c r="AC327" s="1"/>
      <c r="AJ327" s="1"/>
      <c r="AQ327" s="1"/>
      <c r="AX327" s="1"/>
      <c r="BE327" s="1"/>
    </row>
    <row r="328" spans="1:57" x14ac:dyDescent="0.25">
      <c r="A328" s="1"/>
      <c r="H328" s="1"/>
      <c r="O328" s="1"/>
      <c r="V328" s="1"/>
      <c r="AC328" s="1"/>
      <c r="AJ328" s="1"/>
      <c r="AQ328" s="1"/>
      <c r="AX328" s="1"/>
      <c r="BE328" s="1"/>
    </row>
    <row r="329" spans="1:57" x14ac:dyDescent="0.25">
      <c r="A329" s="1"/>
      <c r="H329" s="1"/>
      <c r="O329" s="1"/>
      <c r="V329" s="1"/>
      <c r="AC329" s="1"/>
      <c r="AJ329" s="1"/>
      <c r="AQ329" s="1"/>
      <c r="AX329" s="1"/>
      <c r="BE329" s="1"/>
    </row>
    <row r="330" spans="1:57" x14ac:dyDescent="0.25">
      <c r="A330" s="1"/>
      <c r="H330" s="1"/>
      <c r="O330" s="1"/>
      <c r="V330" s="1"/>
      <c r="AC330" s="1"/>
      <c r="AJ330" s="1"/>
      <c r="AQ330" s="1"/>
      <c r="AX330" s="1"/>
      <c r="BE330" s="1"/>
    </row>
    <row r="331" spans="1:57" x14ac:dyDescent="0.25">
      <c r="A331" s="1"/>
      <c r="H331" s="1"/>
      <c r="O331" s="1"/>
      <c r="V331" s="1"/>
      <c r="AC331" s="1"/>
      <c r="AJ331" s="1"/>
      <c r="AQ331" s="1"/>
      <c r="AX331" s="1"/>
      <c r="BE331" s="1"/>
    </row>
    <row r="332" spans="1:57" x14ac:dyDescent="0.25">
      <c r="A332" s="1"/>
      <c r="H332" s="1"/>
      <c r="O332" s="1"/>
      <c r="V332" s="1"/>
      <c r="AC332" s="1"/>
      <c r="AJ332" s="1"/>
      <c r="AQ332" s="1"/>
      <c r="AX332" s="1"/>
      <c r="BE332" s="1"/>
    </row>
    <row r="333" spans="1:57" x14ac:dyDescent="0.25">
      <c r="A333" s="1"/>
      <c r="H333" s="1"/>
      <c r="O333" s="1"/>
      <c r="V333" s="1"/>
      <c r="AC333" s="1"/>
      <c r="AJ333" s="1"/>
      <c r="AQ333" s="1"/>
      <c r="AX333" s="1"/>
      <c r="BE333" s="1"/>
    </row>
    <row r="334" spans="1:57" x14ac:dyDescent="0.25">
      <c r="A334" s="1"/>
      <c r="H334" s="1"/>
      <c r="O334" s="1"/>
      <c r="V334" s="1"/>
      <c r="AC334" s="1"/>
      <c r="AJ334" s="1"/>
      <c r="AQ334" s="1"/>
      <c r="AX334" s="1"/>
      <c r="BE334" s="1"/>
    </row>
    <row r="335" spans="1:57" x14ac:dyDescent="0.25">
      <c r="A335" s="1"/>
      <c r="H335" s="1"/>
      <c r="O335" s="1"/>
      <c r="V335" s="1"/>
      <c r="AC335" s="1"/>
      <c r="AJ335" s="1"/>
      <c r="AQ335" s="1"/>
      <c r="AX335" s="1"/>
      <c r="BE335" s="1"/>
    </row>
    <row r="336" spans="1:57" x14ac:dyDescent="0.25">
      <c r="A336" s="1"/>
      <c r="H336" s="1"/>
      <c r="O336" s="1"/>
      <c r="V336" s="1"/>
      <c r="AC336" s="1"/>
      <c r="AJ336" s="1"/>
      <c r="AQ336" s="1"/>
      <c r="AX336" s="1"/>
      <c r="BE336" s="1"/>
    </row>
    <row r="337" spans="1:57" x14ac:dyDescent="0.25">
      <c r="A337" s="1"/>
      <c r="H337" s="1"/>
      <c r="O337" s="1"/>
      <c r="V337" s="1"/>
      <c r="AC337" s="1"/>
      <c r="AJ337" s="1"/>
      <c r="AQ337" s="1"/>
      <c r="AX337" s="1"/>
      <c r="BE337" s="1"/>
    </row>
    <row r="338" spans="1:57" x14ac:dyDescent="0.25">
      <c r="A338" s="1"/>
      <c r="H338" s="1"/>
      <c r="O338" s="1"/>
      <c r="V338" s="1"/>
      <c r="AC338" s="1"/>
      <c r="AJ338" s="1"/>
      <c r="AQ338" s="1"/>
      <c r="AX338" s="1"/>
      <c r="BE338" s="1"/>
    </row>
    <row r="339" spans="1:57" x14ac:dyDescent="0.25">
      <c r="A339" s="1"/>
      <c r="H339" s="1"/>
      <c r="O339" s="1"/>
      <c r="V339" s="1"/>
      <c r="AC339" s="1"/>
      <c r="AJ339" s="1"/>
      <c r="AQ339" s="1"/>
      <c r="AX339" s="1"/>
      <c r="BE339" s="1"/>
    </row>
    <row r="340" spans="1:57" x14ac:dyDescent="0.25">
      <c r="A340" s="1"/>
      <c r="H340" s="1"/>
      <c r="O340" s="1"/>
      <c r="V340" s="1"/>
      <c r="AC340" s="1"/>
      <c r="AJ340" s="1"/>
      <c r="AQ340" s="1"/>
      <c r="AX340" s="1"/>
      <c r="BE340" s="1"/>
    </row>
    <row r="341" spans="1:57" x14ac:dyDescent="0.25">
      <c r="A341" s="1"/>
      <c r="H341" s="1"/>
      <c r="O341" s="1"/>
      <c r="V341" s="1"/>
      <c r="AC341" s="1"/>
      <c r="AJ341" s="1"/>
      <c r="AQ341" s="1"/>
      <c r="AX341" s="1"/>
      <c r="BE341" s="1"/>
    </row>
    <row r="342" spans="1:57" x14ac:dyDescent="0.25">
      <c r="A342" s="1"/>
      <c r="H342" s="1"/>
      <c r="O342" s="1"/>
      <c r="V342" s="1"/>
      <c r="AC342" s="1"/>
      <c r="AJ342" s="1"/>
      <c r="AQ342" s="1"/>
      <c r="AX342" s="1"/>
      <c r="BE342" s="1"/>
    </row>
    <row r="343" spans="1:57" x14ac:dyDescent="0.25">
      <c r="A343" s="1"/>
      <c r="H343" s="1"/>
      <c r="O343" s="1"/>
      <c r="V343" s="1"/>
      <c r="AC343" s="1"/>
      <c r="AJ343" s="1"/>
      <c r="AQ343" s="1"/>
      <c r="AX343" s="1"/>
      <c r="BE343" s="1"/>
    </row>
    <row r="344" spans="1:57" x14ac:dyDescent="0.25">
      <c r="A344" s="1"/>
      <c r="H344" s="1"/>
      <c r="O344" s="1"/>
      <c r="V344" s="1"/>
      <c r="AC344" s="1"/>
      <c r="AJ344" s="1"/>
      <c r="AQ344" s="1"/>
      <c r="AX344" s="1"/>
      <c r="BE344" s="1"/>
    </row>
    <row r="345" spans="1:57" x14ac:dyDescent="0.25">
      <c r="A345" s="1"/>
      <c r="H345" s="1"/>
      <c r="O345" s="1"/>
      <c r="V345" s="1"/>
      <c r="AC345" s="1"/>
      <c r="AJ345" s="1"/>
      <c r="AQ345" s="1"/>
      <c r="AX345" s="1"/>
      <c r="BE345" s="1"/>
    </row>
    <row r="346" spans="1:57" x14ac:dyDescent="0.25">
      <c r="A346" s="1"/>
      <c r="H346" s="1"/>
      <c r="O346" s="1"/>
      <c r="V346" s="1"/>
      <c r="AC346" s="1"/>
      <c r="AJ346" s="1"/>
      <c r="AQ346" s="1"/>
      <c r="AX346" s="1"/>
      <c r="BE346" s="1"/>
    </row>
    <row r="347" spans="1:57" x14ac:dyDescent="0.25">
      <c r="A347" s="1"/>
      <c r="H347" s="1"/>
      <c r="O347" s="1"/>
      <c r="V347" s="1"/>
      <c r="AC347" s="1"/>
      <c r="AJ347" s="1"/>
      <c r="AQ347" s="1"/>
      <c r="AX347" s="1"/>
      <c r="BE347" s="1"/>
    </row>
    <row r="348" spans="1:57" x14ac:dyDescent="0.25">
      <c r="A348" s="1"/>
      <c r="H348" s="1"/>
      <c r="O348" s="1"/>
      <c r="V348" s="1"/>
      <c r="AC348" s="1"/>
      <c r="AJ348" s="1"/>
      <c r="AQ348" s="1"/>
      <c r="AX348" s="1"/>
      <c r="BE348" s="1"/>
    </row>
    <row r="349" spans="1:57" x14ac:dyDescent="0.25">
      <c r="A349" s="1"/>
      <c r="H349" s="1"/>
      <c r="O349" s="1"/>
      <c r="V349" s="1"/>
      <c r="AC349" s="1"/>
      <c r="AJ349" s="1"/>
      <c r="AQ349" s="1"/>
      <c r="AX349" s="1"/>
      <c r="BE349" s="1"/>
    </row>
    <row r="350" spans="1:57" x14ac:dyDescent="0.25">
      <c r="A350" s="1"/>
      <c r="H350" s="1"/>
      <c r="O350" s="1"/>
      <c r="V350" s="1"/>
      <c r="AC350" s="1"/>
      <c r="AJ350" s="1"/>
      <c r="AQ350" s="1"/>
      <c r="AX350" s="1"/>
      <c r="BE350" s="1"/>
    </row>
    <row r="351" spans="1:57" x14ac:dyDescent="0.25">
      <c r="A351" s="1"/>
      <c r="H351" s="1"/>
      <c r="O351" s="1"/>
      <c r="V351" s="1"/>
      <c r="AC351" s="1"/>
      <c r="AJ351" s="1"/>
      <c r="AQ351" s="1"/>
      <c r="AX351" s="1"/>
      <c r="BE351" s="1"/>
    </row>
    <row r="352" spans="1:57" x14ac:dyDescent="0.25">
      <c r="A352" s="1"/>
      <c r="H352" s="1"/>
      <c r="O352" s="1"/>
      <c r="V352" s="1"/>
      <c r="AC352" s="1"/>
      <c r="AJ352" s="1"/>
      <c r="AQ352" s="1"/>
      <c r="AX352" s="1"/>
      <c r="BE352" s="1"/>
    </row>
    <row r="353" spans="1:57" x14ac:dyDescent="0.25">
      <c r="A353" s="1"/>
      <c r="H353" s="1"/>
      <c r="O353" s="1"/>
      <c r="V353" s="1"/>
      <c r="AC353" s="1"/>
      <c r="AJ353" s="1"/>
      <c r="AQ353" s="1"/>
      <c r="AX353" s="1"/>
      <c r="BE353" s="1"/>
    </row>
    <row r="354" spans="1:57" x14ac:dyDescent="0.25">
      <c r="A354" s="1"/>
      <c r="H354" s="1"/>
      <c r="O354" s="1"/>
      <c r="V354" s="1"/>
      <c r="AC354" s="1"/>
      <c r="AJ354" s="1"/>
      <c r="AQ354" s="1"/>
      <c r="AX354" s="1"/>
      <c r="BE354" s="1"/>
    </row>
    <row r="355" spans="1:57" x14ac:dyDescent="0.25">
      <c r="A355" s="1"/>
      <c r="H355" s="1"/>
      <c r="O355" s="1"/>
      <c r="V355" s="1"/>
      <c r="AC355" s="1"/>
      <c r="AJ355" s="1"/>
      <c r="AQ355" s="1"/>
      <c r="AX355" s="1"/>
      <c r="BE355" s="1"/>
    </row>
    <row r="356" spans="1:57" x14ac:dyDescent="0.25">
      <c r="A356" s="1"/>
      <c r="H356" s="1"/>
      <c r="O356" s="1"/>
      <c r="V356" s="1"/>
      <c r="AC356" s="1"/>
      <c r="AJ356" s="1"/>
      <c r="AQ356" s="1"/>
      <c r="AX356" s="1"/>
      <c r="BE356" s="1"/>
    </row>
    <row r="357" spans="1:57" x14ac:dyDescent="0.25">
      <c r="A357" s="1"/>
      <c r="H357" s="1"/>
      <c r="O357" s="1"/>
      <c r="V357" s="1"/>
      <c r="AC357" s="1"/>
      <c r="AJ357" s="1"/>
      <c r="AQ357" s="1"/>
      <c r="AX357" s="1"/>
      <c r="BE357" s="1"/>
    </row>
    <row r="358" spans="1:57" x14ac:dyDescent="0.25">
      <c r="A358" s="1"/>
      <c r="H358" s="1"/>
      <c r="O358" s="1"/>
      <c r="V358" s="1"/>
      <c r="AC358" s="1"/>
      <c r="AJ358" s="1"/>
      <c r="AQ358" s="1"/>
      <c r="AX358" s="1"/>
      <c r="BE358" s="1"/>
    </row>
    <row r="359" spans="1:57" x14ac:dyDescent="0.25">
      <c r="A359" s="1"/>
      <c r="H359" s="1"/>
      <c r="O359" s="1"/>
      <c r="V359" s="1"/>
      <c r="AC359" s="1"/>
      <c r="AJ359" s="1"/>
      <c r="AQ359" s="1"/>
      <c r="AX359" s="1"/>
      <c r="BE359" s="1"/>
    </row>
    <row r="360" spans="1:57" x14ac:dyDescent="0.25">
      <c r="A360" s="1"/>
      <c r="H360" s="1"/>
      <c r="O360" s="1"/>
      <c r="V360" s="1"/>
      <c r="AC360" s="1"/>
      <c r="AJ360" s="1"/>
      <c r="AQ360" s="1"/>
      <c r="AX360" s="1"/>
      <c r="BE360" s="1"/>
    </row>
    <row r="361" spans="1:57" x14ac:dyDescent="0.25">
      <c r="A361" s="1"/>
      <c r="H361" s="1"/>
      <c r="O361" s="1"/>
      <c r="V361" s="1"/>
      <c r="AC361" s="1"/>
      <c r="AJ361" s="1"/>
      <c r="AQ361" s="1"/>
      <c r="AX361" s="1"/>
      <c r="BE361" s="1"/>
    </row>
    <row r="362" spans="1:57" x14ac:dyDescent="0.25">
      <c r="A362" s="1"/>
      <c r="H362" s="1"/>
      <c r="O362" s="1"/>
      <c r="V362" s="1"/>
      <c r="AC362" s="1"/>
      <c r="AJ362" s="1"/>
      <c r="AQ362" s="1"/>
      <c r="AX362" s="1"/>
      <c r="BE362" s="1"/>
    </row>
    <row r="363" spans="1:57" x14ac:dyDescent="0.25">
      <c r="A363" s="1"/>
      <c r="H363" s="1"/>
      <c r="O363" s="1"/>
      <c r="V363" s="1"/>
      <c r="AC363" s="1"/>
      <c r="AJ363" s="1"/>
      <c r="AQ363" s="1"/>
      <c r="AX363" s="1"/>
      <c r="BE363" s="1"/>
    </row>
    <row r="364" spans="1:57" x14ac:dyDescent="0.25">
      <c r="A364" s="1"/>
      <c r="H364" s="1"/>
      <c r="O364" s="1"/>
      <c r="V364" s="1"/>
      <c r="AC364" s="1"/>
      <c r="AJ364" s="1"/>
      <c r="AQ364" s="1"/>
      <c r="AX364" s="1"/>
      <c r="BE364" s="1"/>
    </row>
    <row r="365" spans="1:57" x14ac:dyDescent="0.25">
      <c r="A365" s="1"/>
      <c r="H365" s="1"/>
      <c r="O365" s="1"/>
      <c r="V365" s="1"/>
      <c r="AC365" s="1"/>
      <c r="AJ365" s="1"/>
      <c r="AQ365" s="1"/>
      <c r="AX365" s="1"/>
      <c r="BE365" s="1"/>
    </row>
    <row r="366" spans="1:57" x14ac:dyDescent="0.25">
      <c r="A366" s="1"/>
      <c r="H366" s="1"/>
      <c r="O366" s="1"/>
      <c r="V366" s="1"/>
      <c r="AC366" s="1"/>
      <c r="AJ366" s="1"/>
      <c r="AQ366" s="1"/>
      <c r="AX366" s="1"/>
      <c r="BE366" s="1"/>
    </row>
    <row r="367" spans="1:57" x14ac:dyDescent="0.25">
      <c r="A367" s="1"/>
      <c r="H367" s="1"/>
      <c r="O367" s="1"/>
      <c r="V367" s="1"/>
      <c r="AC367" s="1"/>
      <c r="AJ367" s="1"/>
      <c r="AQ367" s="1"/>
      <c r="AX367" s="1"/>
      <c r="BE367" s="1"/>
    </row>
    <row r="368" spans="1:57" x14ac:dyDescent="0.25">
      <c r="A368" s="1"/>
      <c r="H368" s="1"/>
      <c r="O368" s="1"/>
      <c r="V368" s="1"/>
      <c r="AC368" s="1"/>
      <c r="AJ368" s="1"/>
      <c r="AQ368" s="1"/>
      <c r="AX368" s="1"/>
      <c r="BE368" s="1"/>
    </row>
    <row r="369" spans="1:57" x14ac:dyDescent="0.25">
      <c r="A369" s="1"/>
      <c r="H369" s="1"/>
      <c r="O369" s="1"/>
      <c r="V369" s="1"/>
      <c r="AC369" s="1"/>
      <c r="AJ369" s="1"/>
      <c r="AQ369" s="1"/>
      <c r="AX369" s="1"/>
      <c r="BE369" s="1"/>
    </row>
    <row r="370" spans="1:57" x14ac:dyDescent="0.25">
      <c r="A370" s="1"/>
      <c r="H370" s="1"/>
      <c r="O370" s="1"/>
      <c r="V370" s="1"/>
      <c r="AC370" s="1"/>
      <c r="AJ370" s="1"/>
      <c r="AQ370" s="1"/>
      <c r="AX370" s="1"/>
      <c r="BE370" s="1"/>
    </row>
    <row r="371" spans="1:57" x14ac:dyDescent="0.25">
      <c r="A371" s="1"/>
      <c r="H371" s="1"/>
      <c r="O371" s="1"/>
      <c r="V371" s="1"/>
      <c r="AC371" s="1"/>
      <c r="AJ371" s="1"/>
      <c r="AQ371" s="1"/>
      <c r="AX371" s="1"/>
      <c r="BE371" s="1"/>
    </row>
    <row r="372" spans="1:57" x14ac:dyDescent="0.25">
      <c r="A372" s="1"/>
      <c r="H372" s="1"/>
      <c r="O372" s="1"/>
      <c r="V372" s="1"/>
      <c r="AC372" s="1"/>
      <c r="AJ372" s="1"/>
      <c r="AQ372" s="1"/>
      <c r="AX372" s="1"/>
      <c r="BE372" s="1"/>
    </row>
    <row r="373" spans="1:57" x14ac:dyDescent="0.25">
      <c r="A373" s="1"/>
      <c r="H373" s="1"/>
      <c r="O373" s="1"/>
      <c r="V373" s="1"/>
      <c r="AC373" s="1"/>
      <c r="AJ373" s="1"/>
      <c r="AQ373" s="1"/>
      <c r="AX373" s="1"/>
      <c r="BE373" s="1"/>
    </row>
    <row r="374" spans="1:57" x14ac:dyDescent="0.25">
      <c r="A374" s="1"/>
      <c r="H374" s="1"/>
      <c r="O374" s="1"/>
      <c r="V374" s="1"/>
      <c r="AC374" s="1"/>
      <c r="AJ374" s="1"/>
      <c r="AQ374" s="1"/>
      <c r="AX374" s="1"/>
      <c r="BE374" s="1"/>
    </row>
    <row r="375" spans="1:57" x14ac:dyDescent="0.25">
      <c r="A375" s="1"/>
      <c r="H375" s="1"/>
      <c r="O375" s="1"/>
      <c r="V375" s="1"/>
      <c r="AC375" s="1"/>
      <c r="AJ375" s="1"/>
      <c r="AQ375" s="1"/>
      <c r="AX375" s="1"/>
      <c r="BE375" s="1"/>
    </row>
    <row r="376" spans="1:57" x14ac:dyDescent="0.25">
      <c r="A376" s="1"/>
      <c r="H376" s="1"/>
      <c r="O376" s="1"/>
      <c r="V376" s="1"/>
      <c r="AC376" s="1"/>
      <c r="AJ376" s="1"/>
      <c r="AQ376" s="1"/>
      <c r="AX376" s="1"/>
      <c r="BE376" s="1"/>
    </row>
    <row r="377" spans="1:57" x14ac:dyDescent="0.25">
      <c r="A377" s="1"/>
      <c r="H377" s="1"/>
      <c r="O377" s="1"/>
      <c r="V377" s="1"/>
      <c r="AC377" s="1"/>
      <c r="AJ377" s="1"/>
      <c r="AQ377" s="1"/>
      <c r="AX377" s="1"/>
      <c r="BE377" s="1"/>
    </row>
    <row r="378" spans="1:57" x14ac:dyDescent="0.25">
      <c r="A378" s="1"/>
      <c r="H378" s="1"/>
      <c r="O378" s="1"/>
      <c r="V378" s="1"/>
      <c r="AC378" s="1"/>
      <c r="AJ378" s="1"/>
      <c r="AQ378" s="1"/>
      <c r="AX378" s="1"/>
      <c r="BE378" s="1"/>
    </row>
    <row r="379" spans="1:57" x14ac:dyDescent="0.25">
      <c r="A379" s="1"/>
      <c r="H379" s="1"/>
      <c r="O379" s="1"/>
      <c r="V379" s="1"/>
      <c r="AC379" s="1"/>
      <c r="AJ379" s="1"/>
      <c r="AQ379" s="1"/>
      <c r="AX379" s="1"/>
      <c r="BE379" s="1"/>
    </row>
    <row r="380" spans="1:57" x14ac:dyDescent="0.25">
      <c r="A380" s="1"/>
      <c r="H380" s="1"/>
      <c r="O380" s="1"/>
      <c r="V380" s="1"/>
      <c r="AC380" s="1"/>
      <c r="AJ380" s="1"/>
      <c r="AQ380" s="1"/>
      <c r="AX380" s="1"/>
      <c r="BE380" s="1"/>
    </row>
    <row r="381" spans="1:57" x14ac:dyDescent="0.25">
      <c r="A381" s="1"/>
      <c r="H381" s="1"/>
      <c r="O381" s="1"/>
      <c r="V381" s="1"/>
      <c r="AC381" s="1"/>
      <c r="AJ381" s="1"/>
      <c r="AQ381" s="1"/>
      <c r="AX381" s="1"/>
      <c r="BE381" s="1"/>
    </row>
    <row r="382" spans="1:57" x14ac:dyDescent="0.25">
      <c r="A382" s="1"/>
      <c r="H382" s="1"/>
      <c r="O382" s="1"/>
      <c r="V382" s="1"/>
      <c r="AC382" s="1"/>
      <c r="AJ382" s="1"/>
      <c r="AQ382" s="1"/>
      <c r="AX382" s="1"/>
      <c r="BE382" s="1"/>
    </row>
    <row r="383" spans="1:57" x14ac:dyDescent="0.25">
      <c r="A383" s="1"/>
      <c r="H383" s="1"/>
      <c r="O383" s="1"/>
      <c r="V383" s="1"/>
      <c r="AC383" s="1"/>
      <c r="AJ383" s="1"/>
      <c r="AQ383" s="1"/>
      <c r="AX383" s="1"/>
      <c r="BE383" s="1"/>
    </row>
    <row r="384" spans="1:57" x14ac:dyDescent="0.25">
      <c r="A384" s="1"/>
      <c r="H384" s="1"/>
      <c r="O384" s="1"/>
      <c r="V384" s="1"/>
      <c r="AC384" s="1"/>
      <c r="AJ384" s="1"/>
      <c r="AQ384" s="1"/>
      <c r="AX384" s="1"/>
      <c r="BE384" s="1"/>
    </row>
    <row r="385" spans="1:57" x14ac:dyDescent="0.25">
      <c r="A385" s="1"/>
      <c r="H385" s="1"/>
      <c r="O385" s="1"/>
      <c r="V385" s="1"/>
      <c r="AC385" s="1"/>
      <c r="AJ385" s="1"/>
      <c r="AQ385" s="1"/>
      <c r="AX385" s="1"/>
      <c r="BE385" s="1"/>
    </row>
    <row r="386" spans="1:57" x14ac:dyDescent="0.25">
      <c r="A386" s="1"/>
      <c r="H386" s="1"/>
      <c r="O386" s="1"/>
      <c r="V386" s="1"/>
      <c r="AC386" s="1"/>
      <c r="AJ386" s="1"/>
      <c r="AQ386" s="1"/>
      <c r="AX386" s="1"/>
      <c r="BE386" s="1"/>
    </row>
    <row r="387" spans="1:57" x14ac:dyDescent="0.25">
      <c r="A387" s="1"/>
      <c r="H387" s="1"/>
      <c r="O387" s="1"/>
      <c r="V387" s="1"/>
      <c r="AC387" s="1"/>
      <c r="AJ387" s="1"/>
      <c r="AQ387" s="1"/>
      <c r="AX387" s="1"/>
      <c r="BE387" s="1"/>
    </row>
    <row r="388" spans="1:57" x14ac:dyDescent="0.25">
      <c r="A388" s="1"/>
      <c r="H388" s="1"/>
      <c r="O388" s="1"/>
      <c r="V388" s="1"/>
      <c r="AC388" s="1"/>
      <c r="AJ388" s="1"/>
      <c r="AQ388" s="1"/>
      <c r="AX388" s="1"/>
      <c r="BE388" s="1"/>
    </row>
    <row r="389" spans="1:57" x14ac:dyDescent="0.25">
      <c r="A389" s="1"/>
      <c r="H389" s="1"/>
      <c r="O389" s="1"/>
      <c r="V389" s="1"/>
      <c r="AC389" s="1"/>
      <c r="AJ389" s="1"/>
      <c r="AQ389" s="1"/>
      <c r="AX389" s="1"/>
      <c r="BE389" s="1"/>
    </row>
    <row r="390" spans="1:57" x14ac:dyDescent="0.25">
      <c r="A390" s="1"/>
      <c r="H390" s="1"/>
      <c r="O390" s="1"/>
      <c r="V390" s="1"/>
      <c r="AC390" s="1"/>
      <c r="AJ390" s="1"/>
      <c r="AQ390" s="1"/>
      <c r="AX390" s="1"/>
      <c r="BE390" s="1"/>
    </row>
    <row r="391" spans="1:57" x14ac:dyDescent="0.25">
      <c r="A391" s="1"/>
      <c r="H391" s="1"/>
      <c r="O391" s="1"/>
      <c r="V391" s="1"/>
      <c r="AC391" s="1"/>
      <c r="AJ391" s="1"/>
      <c r="AQ391" s="1"/>
      <c r="AX391" s="1"/>
      <c r="BE391" s="1"/>
    </row>
    <row r="392" spans="1:57" x14ac:dyDescent="0.25">
      <c r="A392" s="1"/>
      <c r="H392" s="1"/>
      <c r="O392" s="1"/>
      <c r="V392" s="1"/>
      <c r="AC392" s="1"/>
      <c r="AJ392" s="1"/>
      <c r="AQ392" s="1"/>
      <c r="AX392" s="1"/>
      <c r="BE392" s="1"/>
    </row>
    <row r="393" spans="1:57" x14ac:dyDescent="0.25">
      <c r="A393" s="1"/>
      <c r="H393" s="1"/>
      <c r="O393" s="1"/>
      <c r="V393" s="1"/>
      <c r="AC393" s="1"/>
      <c r="AJ393" s="1"/>
      <c r="AQ393" s="1"/>
      <c r="AX393" s="1"/>
      <c r="BE393" s="1"/>
    </row>
    <row r="394" spans="1:57" x14ac:dyDescent="0.25">
      <c r="A394" s="1"/>
      <c r="H394" s="1"/>
      <c r="O394" s="1"/>
      <c r="V394" s="1"/>
      <c r="AC394" s="1"/>
      <c r="AJ394" s="1"/>
      <c r="AQ394" s="1"/>
      <c r="AX394" s="1"/>
      <c r="BE394" s="1"/>
    </row>
    <row r="395" spans="1:57" x14ac:dyDescent="0.25">
      <c r="A395" s="1"/>
      <c r="H395" s="1"/>
      <c r="O395" s="1"/>
      <c r="V395" s="1"/>
      <c r="AC395" s="1"/>
      <c r="AJ395" s="1"/>
      <c r="AQ395" s="1"/>
      <c r="AX395" s="1"/>
      <c r="BE395" s="1"/>
    </row>
    <row r="396" spans="1:57" x14ac:dyDescent="0.25">
      <c r="A396" s="1"/>
      <c r="H396" s="1"/>
      <c r="O396" s="1"/>
      <c r="V396" s="1"/>
      <c r="AC396" s="1"/>
      <c r="AJ396" s="1"/>
      <c r="AQ396" s="1"/>
      <c r="AX396" s="1"/>
      <c r="BE396" s="1"/>
    </row>
    <row r="397" spans="1:57" x14ac:dyDescent="0.25">
      <c r="A397" s="1"/>
      <c r="H397" s="1"/>
      <c r="O397" s="1"/>
      <c r="V397" s="1"/>
      <c r="AC397" s="1"/>
      <c r="AJ397" s="1"/>
      <c r="AQ397" s="1"/>
      <c r="AX397" s="1"/>
      <c r="BE397" s="1"/>
    </row>
    <row r="398" spans="1:57" x14ac:dyDescent="0.25">
      <c r="A398" s="1"/>
      <c r="H398" s="1"/>
      <c r="O398" s="1"/>
      <c r="V398" s="1"/>
      <c r="AC398" s="1"/>
      <c r="AJ398" s="1"/>
      <c r="AQ398" s="1"/>
      <c r="AX398" s="1"/>
      <c r="BE398" s="1"/>
    </row>
    <row r="399" spans="1:57" x14ac:dyDescent="0.25">
      <c r="A399" s="1"/>
      <c r="H399" s="1"/>
      <c r="O399" s="1"/>
      <c r="V399" s="1"/>
      <c r="AC399" s="1"/>
      <c r="AJ399" s="1"/>
      <c r="AQ399" s="1"/>
      <c r="AX399" s="1"/>
      <c r="BE399" s="1"/>
    </row>
    <row r="400" spans="1:57" x14ac:dyDescent="0.25">
      <c r="A400" s="1"/>
      <c r="H400" s="1"/>
      <c r="O400" s="1"/>
      <c r="V400" s="1"/>
      <c r="AC400" s="1"/>
      <c r="AJ400" s="1"/>
      <c r="AQ400" s="1"/>
      <c r="AX400" s="1"/>
      <c r="BE400" s="1"/>
    </row>
    <row r="401" spans="1:57" x14ac:dyDescent="0.25">
      <c r="A401" s="1"/>
      <c r="H401" s="1"/>
      <c r="O401" s="1"/>
      <c r="V401" s="1"/>
      <c r="AC401" s="1"/>
      <c r="AJ401" s="1"/>
      <c r="AQ401" s="1"/>
      <c r="AX401" s="1"/>
      <c r="BE401" s="1"/>
    </row>
    <row r="402" spans="1:57" x14ac:dyDescent="0.25">
      <c r="A402" s="1"/>
      <c r="H402" s="1"/>
      <c r="O402" s="1"/>
      <c r="V402" s="1"/>
      <c r="AC402" s="1"/>
      <c r="AJ402" s="1"/>
      <c r="AQ402" s="1"/>
      <c r="AX402" s="1"/>
      <c r="BE402" s="1"/>
    </row>
    <row r="403" spans="1:57" x14ac:dyDescent="0.25">
      <c r="A403" s="1"/>
      <c r="H403" s="1"/>
      <c r="O403" s="1"/>
      <c r="V403" s="1"/>
      <c r="AC403" s="1"/>
      <c r="AJ403" s="1"/>
      <c r="AQ403" s="1"/>
      <c r="AX403" s="1"/>
      <c r="BE403" s="1"/>
    </row>
    <row r="404" spans="1:57" x14ac:dyDescent="0.25">
      <c r="A404" s="1"/>
      <c r="H404" s="1"/>
      <c r="O404" s="1"/>
      <c r="V404" s="1"/>
      <c r="AC404" s="1"/>
      <c r="AJ404" s="1"/>
      <c r="AQ404" s="1"/>
      <c r="AX404" s="1"/>
      <c r="BE404" s="1"/>
    </row>
    <row r="405" spans="1:57" x14ac:dyDescent="0.25">
      <c r="A405" s="1"/>
      <c r="H405" s="1"/>
      <c r="O405" s="1"/>
      <c r="V405" s="1"/>
      <c r="AC405" s="1"/>
      <c r="AJ405" s="1"/>
      <c r="AQ405" s="1"/>
      <c r="AX405" s="1"/>
      <c r="BE405" s="1"/>
    </row>
    <row r="406" spans="1:57" x14ac:dyDescent="0.25">
      <c r="A406" s="1"/>
      <c r="H406" s="1"/>
      <c r="O406" s="1"/>
      <c r="V406" s="1"/>
      <c r="AC406" s="1"/>
      <c r="AJ406" s="1"/>
      <c r="AQ406" s="1"/>
      <c r="AX406" s="1"/>
      <c r="BE406" s="1"/>
    </row>
    <row r="407" spans="1:57" x14ac:dyDescent="0.25">
      <c r="A407" s="1"/>
      <c r="H407" s="1"/>
      <c r="O407" s="1"/>
      <c r="V407" s="1"/>
      <c r="AC407" s="1"/>
      <c r="AJ407" s="1"/>
      <c r="AQ407" s="1"/>
      <c r="AX407" s="1"/>
      <c r="BE407" s="1"/>
    </row>
    <row r="408" spans="1:57" x14ac:dyDescent="0.25">
      <c r="A408" s="1"/>
      <c r="H408" s="1"/>
      <c r="O408" s="1"/>
      <c r="V408" s="1"/>
      <c r="AC408" s="1"/>
      <c r="AJ408" s="1"/>
      <c r="AQ408" s="1"/>
      <c r="AX408" s="1"/>
      <c r="BE408" s="1"/>
    </row>
    <row r="409" spans="1:57" x14ac:dyDescent="0.25">
      <c r="A409" s="1"/>
      <c r="H409" s="1"/>
      <c r="O409" s="1"/>
      <c r="V409" s="1"/>
      <c r="AC409" s="1"/>
      <c r="AJ409" s="1"/>
      <c r="AQ409" s="1"/>
      <c r="AX409" s="1"/>
      <c r="BE409" s="1"/>
    </row>
    <row r="410" spans="1:57" x14ac:dyDescent="0.25">
      <c r="A410" s="1"/>
      <c r="H410" s="1"/>
      <c r="O410" s="1"/>
      <c r="V410" s="1"/>
      <c r="AC410" s="1"/>
      <c r="AJ410" s="1"/>
      <c r="AQ410" s="1"/>
      <c r="AX410" s="1"/>
      <c r="BE410" s="1"/>
    </row>
    <row r="411" spans="1:57" x14ac:dyDescent="0.25">
      <c r="A411" s="1"/>
      <c r="H411" s="1"/>
      <c r="O411" s="1"/>
      <c r="V411" s="1"/>
      <c r="AC411" s="1"/>
      <c r="AJ411" s="1"/>
      <c r="AQ411" s="1"/>
      <c r="AX411" s="1"/>
      <c r="BE411" s="1"/>
    </row>
    <row r="412" spans="1:57" x14ac:dyDescent="0.25">
      <c r="A412" s="1"/>
      <c r="H412" s="1"/>
      <c r="O412" s="1"/>
      <c r="V412" s="1"/>
      <c r="AC412" s="1"/>
      <c r="AJ412" s="1"/>
      <c r="AQ412" s="1"/>
      <c r="AX412" s="1"/>
      <c r="BE412" s="1"/>
    </row>
    <row r="413" spans="1:57" x14ac:dyDescent="0.25">
      <c r="A413" s="1"/>
      <c r="H413" s="1"/>
      <c r="O413" s="1"/>
      <c r="V413" s="1"/>
      <c r="AC413" s="1"/>
      <c r="AJ413" s="1"/>
      <c r="AQ413" s="1"/>
      <c r="AX413" s="1"/>
      <c r="BE413" s="1"/>
    </row>
    <row r="414" spans="1:57" x14ac:dyDescent="0.25">
      <c r="A414" s="1"/>
      <c r="H414" s="1"/>
      <c r="O414" s="1"/>
      <c r="V414" s="1"/>
      <c r="AC414" s="1"/>
      <c r="AJ414" s="1"/>
      <c r="AQ414" s="1"/>
      <c r="AX414" s="1"/>
      <c r="BE414" s="1"/>
    </row>
    <row r="415" spans="1:57" x14ac:dyDescent="0.25">
      <c r="A415" s="1"/>
      <c r="H415" s="1"/>
      <c r="O415" s="1"/>
      <c r="V415" s="1"/>
      <c r="AC415" s="1"/>
      <c r="AJ415" s="1"/>
      <c r="AQ415" s="1"/>
      <c r="AX415" s="1"/>
      <c r="BE415" s="1"/>
    </row>
    <row r="416" spans="1:57" x14ac:dyDescent="0.25">
      <c r="A416" s="1"/>
      <c r="H416" s="1"/>
      <c r="O416" s="1"/>
      <c r="V416" s="1"/>
      <c r="AC416" s="1"/>
      <c r="AJ416" s="1"/>
      <c r="AQ416" s="1"/>
      <c r="AX416" s="1"/>
      <c r="BE416" s="1"/>
    </row>
    <row r="417" spans="1:57" x14ac:dyDescent="0.25">
      <c r="A417" s="1"/>
      <c r="H417" s="1"/>
      <c r="O417" s="1"/>
      <c r="V417" s="1"/>
      <c r="AC417" s="1"/>
      <c r="AJ417" s="1"/>
      <c r="AQ417" s="1"/>
      <c r="AX417" s="1"/>
      <c r="BE417" s="1"/>
    </row>
    <row r="418" spans="1:57" x14ac:dyDescent="0.25">
      <c r="A418" s="1"/>
      <c r="H418" s="1"/>
      <c r="O418" s="1"/>
      <c r="V418" s="1"/>
      <c r="AC418" s="1"/>
      <c r="AJ418" s="1"/>
      <c r="AQ418" s="1"/>
      <c r="AX418" s="1"/>
      <c r="BE418" s="1"/>
    </row>
    <row r="419" spans="1:57" x14ac:dyDescent="0.25">
      <c r="A419" s="1"/>
      <c r="H419" s="1"/>
      <c r="O419" s="1"/>
      <c r="V419" s="1"/>
      <c r="AC419" s="1"/>
      <c r="AJ419" s="1"/>
      <c r="AQ419" s="1"/>
      <c r="AX419" s="1"/>
      <c r="BE419" s="1"/>
    </row>
    <row r="420" spans="1:57" x14ac:dyDescent="0.25">
      <c r="A420" s="1"/>
      <c r="H420" s="1"/>
      <c r="O420" s="1"/>
      <c r="V420" s="1"/>
      <c r="AC420" s="1"/>
      <c r="AJ420" s="1"/>
      <c r="AQ420" s="1"/>
      <c r="AX420" s="1"/>
      <c r="BE420" s="1"/>
    </row>
    <row r="421" spans="1:57" x14ac:dyDescent="0.25">
      <c r="A421" s="1"/>
      <c r="H421" s="1"/>
      <c r="O421" s="1"/>
      <c r="V421" s="1"/>
      <c r="AC421" s="1"/>
      <c r="AJ421" s="1"/>
      <c r="AQ421" s="1"/>
      <c r="AX421" s="1"/>
      <c r="BE421" s="1"/>
    </row>
    <row r="422" spans="1:57" x14ac:dyDescent="0.25">
      <c r="A422" s="1"/>
      <c r="H422" s="1"/>
      <c r="O422" s="1"/>
      <c r="V422" s="1"/>
      <c r="AC422" s="1"/>
      <c r="AJ422" s="1"/>
      <c r="AQ422" s="1"/>
      <c r="AX422" s="1"/>
      <c r="BE422" s="1"/>
    </row>
    <row r="423" spans="1:57" x14ac:dyDescent="0.25">
      <c r="A423" s="1"/>
      <c r="H423" s="1"/>
      <c r="O423" s="1"/>
      <c r="V423" s="1"/>
      <c r="AC423" s="1"/>
      <c r="AJ423" s="1"/>
      <c r="AQ423" s="1"/>
      <c r="AX423" s="1"/>
      <c r="BE423" s="1"/>
    </row>
    <row r="424" spans="1:57" x14ac:dyDescent="0.25">
      <c r="A424" s="1"/>
      <c r="H424" s="1"/>
      <c r="O424" s="1"/>
      <c r="V424" s="1"/>
      <c r="AC424" s="1"/>
      <c r="AJ424" s="1"/>
      <c r="AQ424" s="1"/>
      <c r="AX424" s="1"/>
      <c r="BE424" s="1"/>
    </row>
    <row r="425" spans="1:57" x14ac:dyDescent="0.25">
      <c r="A425" s="1"/>
      <c r="H425" s="1"/>
      <c r="O425" s="1"/>
      <c r="V425" s="1"/>
      <c r="AC425" s="1"/>
      <c r="AJ425" s="1"/>
      <c r="AQ425" s="1"/>
      <c r="AX425" s="1"/>
      <c r="BE425" s="1"/>
    </row>
    <row r="426" spans="1:57" x14ac:dyDescent="0.25">
      <c r="A426" s="1"/>
      <c r="H426" s="1"/>
      <c r="O426" s="1"/>
      <c r="V426" s="1"/>
      <c r="AC426" s="1"/>
      <c r="AJ426" s="1"/>
      <c r="AQ426" s="1"/>
      <c r="AX426" s="1"/>
      <c r="BE426" s="1"/>
    </row>
    <row r="427" spans="1:57" x14ac:dyDescent="0.25">
      <c r="A427" s="1"/>
      <c r="H427" s="1"/>
      <c r="O427" s="1"/>
      <c r="V427" s="1"/>
      <c r="AC427" s="1"/>
      <c r="AJ427" s="1"/>
      <c r="AQ427" s="1"/>
      <c r="AX427" s="1"/>
      <c r="BE427" s="1"/>
    </row>
    <row r="428" spans="1:57" x14ac:dyDescent="0.25">
      <c r="A428" s="1"/>
      <c r="H428" s="1"/>
      <c r="O428" s="1"/>
      <c r="V428" s="1"/>
      <c r="AC428" s="1"/>
      <c r="AJ428" s="1"/>
      <c r="AQ428" s="1"/>
      <c r="AX428" s="1"/>
      <c r="BE428" s="1"/>
    </row>
    <row r="429" spans="1:57" x14ac:dyDescent="0.25">
      <c r="A429" s="1"/>
      <c r="H429" s="1"/>
      <c r="O429" s="1"/>
      <c r="V429" s="1"/>
      <c r="AC429" s="1"/>
      <c r="AJ429" s="1"/>
      <c r="AQ429" s="1"/>
      <c r="AX429" s="1"/>
      <c r="BE429" s="1"/>
    </row>
    <row r="430" spans="1:57" x14ac:dyDescent="0.25">
      <c r="A430" s="1"/>
      <c r="H430" s="1"/>
      <c r="O430" s="1"/>
      <c r="V430" s="1"/>
      <c r="AC430" s="1"/>
      <c r="AJ430" s="1"/>
      <c r="AQ430" s="1"/>
      <c r="AX430" s="1"/>
      <c r="BE430" s="1"/>
    </row>
    <row r="431" spans="1:57" x14ac:dyDescent="0.25">
      <c r="A431" s="1"/>
      <c r="H431" s="1"/>
      <c r="O431" s="1"/>
      <c r="V431" s="1"/>
      <c r="AC431" s="1"/>
      <c r="AJ431" s="1"/>
      <c r="AQ431" s="1"/>
      <c r="AX431" s="1"/>
      <c r="BE431" s="1"/>
    </row>
    <row r="432" spans="1:57" x14ac:dyDescent="0.25">
      <c r="A432" s="1"/>
      <c r="H432" s="1"/>
      <c r="O432" s="1"/>
      <c r="V432" s="1"/>
      <c r="AC432" s="1"/>
      <c r="AJ432" s="1"/>
      <c r="AQ432" s="1"/>
      <c r="AX432" s="1"/>
      <c r="BE432" s="1"/>
    </row>
    <row r="433" spans="1:57" x14ac:dyDescent="0.25">
      <c r="A433" s="1"/>
      <c r="H433" s="1"/>
      <c r="O433" s="1"/>
      <c r="V433" s="1"/>
      <c r="AC433" s="1"/>
      <c r="AJ433" s="1"/>
      <c r="AQ433" s="1"/>
      <c r="AX433" s="1"/>
      <c r="BE433" s="1"/>
    </row>
    <row r="434" spans="1:57" x14ac:dyDescent="0.25">
      <c r="A434" s="1"/>
      <c r="H434" s="1"/>
      <c r="O434" s="1"/>
      <c r="V434" s="1"/>
      <c r="AC434" s="1"/>
      <c r="AJ434" s="1"/>
      <c r="AQ434" s="1"/>
      <c r="AX434" s="1"/>
      <c r="BE434" s="1"/>
    </row>
    <row r="435" spans="1:57" x14ac:dyDescent="0.25">
      <c r="A435" s="1"/>
      <c r="H435" s="1"/>
      <c r="O435" s="1"/>
      <c r="V435" s="1"/>
      <c r="AC435" s="1"/>
      <c r="AJ435" s="1"/>
      <c r="AQ435" s="1"/>
      <c r="AX435" s="1"/>
      <c r="BE435" s="1"/>
    </row>
    <row r="436" spans="1:57" x14ac:dyDescent="0.25">
      <c r="A436" s="1"/>
      <c r="H436" s="1"/>
      <c r="O436" s="1"/>
      <c r="V436" s="1"/>
      <c r="AC436" s="1"/>
      <c r="AJ436" s="1"/>
      <c r="AQ436" s="1"/>
      <c r="AX436" s="1"/>
      <c r="BE436" s="1"/>
    </row>
    <row r="437" spans="1:57" x14ac:dyDescent="0.25">
      <c r="A437" s="1"/>
      <c r="H437" s="1"/>
      <c r="O437" s="1"/>
      <c r="V437" s="1"/>
      <c r="AC437" s="1"/>
      <c r="AJ437" s="1"/>
      <c r="AQ437" s="1"/>
      <c r="AX437" s="1"/>
      <c r="BE437" s="1"/>
    </row>
    <row r="438" spans="1:57" x14ac:dyDescent="0.25">
      <c r="A438" s="1"/>
      <c r="H438" s="1"/>
      <c r="O438" s="1"/>
      <c r="V438" s="1"/>
      <c r="AC438" s="1"/>
      <c r="AJ438" s="1"/>
      <c r="AQ438" s="1"/>
      <c r="AX438" s="1"/>
      <c r="BE438" s="1"/>
    </row>
    <row r="439" spans="1:57" x14ac:dyDescent="0.25">
      <c r="A439" s="1"/>
      <c r="H439" s="1"/>
      <c r="O439" s="1"/>
      <c r="V439" s="1"/>
      <c r="AC439" s="1"/>
      <c r="AJ439" s="1"/>
      <c r="AQ439" s="1"/>
      <c r="AX439" s="1"/>
      <c r="BE439" s="1"/>
    </row>
    <row r="440" spans="1:57" x14ac:dyDescent="0.25">
      <c r="A440" s="1"/>
      <c r="H440" s="1"/>
      <c r="O440" s="1"/>
      <c r="V440" s="1"/>
      <c r="AC440" s="1"/>
      <c r="AJ440" s="1"/>
      <c r="AQ440" s="1"/>
      <c r="AX440" s="1"/>
      <c r="BE440" s="1"/>
    </row>
    <row r="441" spans="1:57" x14ac:dyDescent="0.25">
      <c r="A441" s="1"/>
      <c r="H441" s="1"/>
      <c r="O441" s="1"/>
      <c r="V441" s="1"/>
      <c r="AC441" s="1"/>
      <c r="AJ441" s="1"/>
      <c r="AQ441" s="1"/>
      <c r="AX441" s="1"/>
      <c r="BE441" s="1"/>
    </row>
    <row r="442" spans="1:57" x14ac:dyDescent="0.25">
      <c r="A442" s="1"/>
      <c r="H442" s="1"/>
      <c r="O442" s="1"/>
      <c r="V442" s="1"/>
      <c r="AC442" s="1"/>
      <c r="AJ442" s="1"/>
      <c r="AQ442" s="1"/>
      <c r="AX442" s="1"/>
      <c r="BE442" s="1"/>
    </row>
    <row r="443" spans="1:57" x14ac:dyDescent="0.25">
      <c r="A443" s="1"/>
      <c r="H443" s="1"/>
      <c r="O443" s="1"/>
      <c r="V443" s="1"/>
      <c r="AC443" s="1"/>
      <c r="AJ443" s="1"/>
      <c r="AQ443" s="1"/>
      <c r="AX443" s="1"/>
      <c r="BE443" s="1"/>
    </row>
    <row r="444" spans="1:57" x14ac:dyDescent="0.25">
      <c r="A444" s="1"/>
      <c r="H444" s="1"/>
      <c r="O444" s="1"/>
      <c r="V444" s="1"/>
      <c r="AC444" s="1"/>
      <c r="AJ444" s="1"/>
      <c r="AQ444" s="1"/>
      <c r="AX444" s="1"/>
      <c r="BE444" s="1"/>
    </row>
    <row r="445" spans="1:57" x14ac:dyDescent="0.25">
      <c r="A445" s="1"/>
      <c r="H445" s="1"/>
      <c r="O445" s="1"/>
      <c r="V445" s="1"/>
      <c r="AC445" s="1"/>
      <c r="AJ445" s="1"/>
      <c r="AQ445" s="1"/>
      <c r="AX445" s="1"/>
      <c r="BE445" s="1"/>
    </row>
    <row r="446" spans="1:57" x14ac:dyDescent="0.25">
      <c r="A446" s="1"/>
      <c r="H446" s="1"/>
      <c r="O446" s="1"/>
      <c r="V446" s="1"/>
      <c r="AC446" s="1"/>
      <c r="AJ446" s="1"/>
      <c r="AQ446" s="1"/>
      <c r="AX446" s="1"/>
      <c r="BE446" s="1"/>
    </row>
    <row r="447" spans="1:57" x14ac:dyDescent="0.25">
      <c r="A447" s="1"/>
      <c r="H447" s="1"/>
      <c r="O447" s="1"/>
      <c r="V447" s="1"/>
      <c r="AC447" s="1"/>
      <c r="AJ447" s="1"/>
      <c r="AQ447" s="1"/>
      <c r="AX447" s="1"/>
      <c r="BE447" s="1"/>
    </row>
    <row r="448" spans="1:57" x14ac:dyDescent="0.25">
      <c r="A448" s="1"/>
      <c r="H448" s="1"/>
      <c r="O448" s="1"/>
      <c r="V448" s="1"/>
      <c r="AC448" s="1"/>
      <c r="AJ448" s="1"/>
      <c r="AQ448" s="1"/>
      <c r="AX448" s="1"/>
      <c r="BE448" s="1"/>
    </row>
    <row r="449" spans="1:57" x14ac:dyDescent="0.25">
      <c r="A449" s="1"/>
      <c r="H449" s="1"/>
      <c r="O449" s="1"/>
      <c r="V449" s="1"/>
      <c r="AC449" s="1"/>
      <c r="AJ449" s="1"/>
      <c r="AQ449" s="1"/>
      <c r="AX449" s="1"/>
      <c r="BE449" s="1"/>
    </row>
    <row r="450" spans="1:57" x14ac:dyDescent="0.25">
      <c r="A450" s="1"/>
      <c r="H450" s="1"/>
      <c r="O450" s="1"/>
      <c r="V450" s="1"/>
      <c r="AC450" s="1"/>
      <c r="AJ450" s="1"/>
      <c r="AQ450" s="1"/>
      <c r="AX450" s="1"/>
      <c r="BE450" s="1"/>
    </row>
    <row r="451" spans="1:57" x14ac:dyDescent="0.25">
      <c r="A451" s="1"/>
      <c r="H451" s="1"/>
      <c r="O451" s="1"/>
      <c r="V451" s="1"/>
      <c r="AC451" s="1"/>
      <c r="AJ451" s="1"/>
      <c r="AQ451" s="1"/>
      <c r="AX451" s="1"/>
      <c r="BE451" s="1"/>
    </row>
    <row r="452" spans="1:57" x14ac:dyDescent="0.25">
      <c r="A452" s="1"/>
      <c r="H452" s="1"/>
      <c r="O452" s="1"/>
      <c r="V452" s="1"/>
      <c r="AC452" s="1"/>
      <c r="AJ452" s="1"/>
      <c r="AQ452" s="1"/>
      <c r="AX452" s="1"/>
      <c r="BE452" s="1"/>
    </row>
    <row r="453" spans="1:57" x14ac:dyDescent="0.25">
      <c r="A453" s="1"/>
      <c r="H453" s="1"/>
      <c r="O453" s="1"/>
      <c r="V453" s="1"/>
      <c r="AC453" s="1"/>
      <c r="AJ453" s="1"/>
      <c r="AQ453" s="1"/>
      <c r="AX453" s="1"/>
      <c r="BE453" s="1"/>
    </row>
    <row r="454" spans="1:57" x14ac:dyDescent="0.25">
      <c r="A454" s="1"/>
      <c r="H454" s="1"/>
      <c r="O454" s="1"/>
      <c r="V454" s="1"/>
      <c r="AC454" s="1"/>
      <c r="AJ454" s="1"/>
      <c r="AQ454" s="1"/>
      <c r="AX454" s="1"/>
      <c r="BE454" s="1"/>
    </row>
    <row r="455" spans="1:57" x14ac:dyDescent="0.25">
      <c r="A455" s="1"/>
      <c r="H455" s="1"/>
      <c r="O455" s="1"/>
      <c r="V455" s="1"/>
      <c r="AC455" s="1"/>
      <c r="AJ455" s="1"/>
      <c r="AQ455" s="1"/>
      <c r="AX455" s="1"/>
      <c r="BE455" s="1"/>
    </row>
    <row r="456" spans="1:57" x14ac:dyDescent="0.25">
      <c r="A456" s="1"/>
      <c r="H456" s="1"/>
      <c r="O456" s="1"/>
      <c r="V456" s="1"/>
      <c r="AC456" s="1"/>
      <c r="AJ456" s="1"/>
      <c r="AQ456" s="1"/>
      <c r="AX456" s="1"/>
      <c r="BE456" s="1"/>
    </row>
    <row r="457" spans="1:57" x14ac:dyDescent="0.25">
      <c r="A457" s="1"/>
      <c r="H457" s="1"/>
      <c r="O457" s="1"/>
      <c r="V457" s="1"/>
      <c r="AC457" s="1"/>
      <c r="AJ457" s="1"/>
      <c r="AQ457" s="1"/>
      <c r="AX457" s="1"/>
      <c r="BE457" s="1"/>
    </row>
    <row r="458" spans="1:57" x14ac:dyDescent="0.25">
      <c r="A458" s="1"/>
      <c r="H458" s="1"/>
      <c r="O458" s="1"/>
      <c r="V458" s="1"/>
      <c r="AC458" s="1"/>
      <c r="AJ458" s="1"/>
      <c r="AQ458" s="1"/>
      <c r="AX458" s="1"/>
      <c r="BE458" s="1"/>
    </row>
    <row r="459" spans="1:57" x14ac:dyDescent="0.25">
      <c r="A459" s="1"/>
      <c r="H459" s="1"/>
      <c r="O459" s="1"/>
      <c r="V459" s="1"/>
      <c r="AC459" s="1"/>
      <c r="AJ459" s="1"/>
      <c r="AQ459" s="1"/>
      <c r="AX459" s="1"/>
      <c r="BE459" s="1"/>
    </row>
    <row r="460" spans="1:57" x14ac:dyDescent="0.25">
      <c r="A460" s="1"/>
      <c r="H460" s="1"/>
      <c r="O460" s="1"/>
      <c r="V460" s="1"/>
      <c r="AC460" s="1"/>
      <c r="AJ460" s="1"/>
      <c r="AQ460" s="1"/>
      <c r="AX460" s="1"/>
      <c r="BE460" s="1"/>
    </row>
    <row r="461" spans="1:57" x14ac:dyDescent="0.25">
      <c r="A461" s="1"/>
      <c r="H461" s="1"/>
      <c r="O461" s="1"/>
      <c r="V461" s="1"/>
      <c r="AC461" s="1"/>
      <c r="AJ461" s="1"/>
      <c r="AQ461" s="1"/>
      <c r="AX461" s="1"/>
      <c r="BE461" s="1"/>
    </row>
    <row r="462" spans="1:57" x14ac:dyDescent="0.25">
      <c r="A462" s="1"/>
      <c r="H462" s="1"/>
      <c r="O462" s="1"/>
      <c r="V462" s="1"/>
      <c r="AC462" s="1"/>
      <c r="AJ462" s="1"/>
      <c r="AQ462" s="1"/>
      <c r="AX462" s="1"/>
      <c r="BE462" s="1"/>
    </row>
    <row r="463" spans="1:57" x14ac:dyDescent="0.25">
      <c r="A463" s="1"/>
      <c r="H463" s="1"/>
      <c r="O463" s="1"/>
      <c r="V463" s="1"/>
      <c r="AC463" s="1"/>
      <c r="AJ463" s="1"/>
      <c r="AQ463" s="1"/>
      <c r="AX463" s="1"/>
      <c r="BE463" s="1"/>
    </row>
    <row r="464" spans="1:57" x14ac:dyDescent="0.25">
      <c r="A464" s="1"/>
      <c r="H464" s="1"/>
      <c r="O464" s="1"/>
      <c r="V464" s="1"/>
      <c r="AC464" s="1"/>
      <c r="AJ464" s="1"/>
      <c r="AQ464" s="1"/>
      <c r="AX464" s="1"/>
      <c r="BE464" s="1"/>
    </row>
    <row r="465" spans="1:57" x14ac:dyDescent="0.25">
      <c r="A465" s="1"/>
      <c r="H465" s="1"/>
      <c r="O465" s="1"/>
      <c r="V465" s="1"/>
      <c r="AC465" s="1"/>
      <c r="AJ465" s="1"/>
      <c r="AQ465" s="1"/>
      <c r="AX465" s="1"/>
      <c r="BE465" s="1"/>
    </row>
    <row r="466" spans="1:57" x14ac:dyDescent="0.25">
      <c r="A466" s="1"/>
      <c r="H466" s="1"/>
      <c r="O466" s="1"/>
      <c r="V466" s="1"/>
      <c r="AC466" s="1"/>
      <c r="AJ466" s="1"/>
      <c r="AQ466" s="1"/>
      <c r="AX466" s="1"/>
      <c r="BE466" s="1"/>
    </row>
    <row r="467" spans="1:57" x14ac:dyDescent="0.25">
      <c r="A467" s="1"/>
      <c r="H467" s="1"/>
      <c r="O467" s="1"/>
      <c r="V467" s="1"/>
      <c r="AC467" s="1"/>
      <c r="AJ467" s="1"/>
      <c r="AQ467" s="1"/>
      <c r="AX467" s="1"/>
      <c r="BE467" s="1"/>
    </row>
    <row r="468" spans="1:57" x14ac:dyDescent="0.25">
      <c r="A468" s="1"/>
      <c r="H468" s="1"/>
      <c r="O468" s="1"/>
      <c r="V468" s="1"/>
      <c r="AC468" s="1"/>
      <c r="AJ468" s="1"/>
      <c r="AQ468" s="1"/>
      <c r="AX468" s="1"/>
      <c r="BE468" s="1"/>
    </row>
    <row r="469" spans="1:57" x14ac:dyDescent="0.25">
      <c r="A469" s="1"/>
      <c r="H469" s="1"/>
      <c r="O469" s="1"/>
      <c r="V469" s="1"/>
      <c r="AC469" s="1"/>
      <c r="AJ469" s="1"/>
      <c r="AQ469" s="1"/>
      <c r="AX469" s="1"/>
      <c r="BE469" s="1"/>
    </row>
    <row r="470" spans="1:57" x14ac:dyDescent="0.25">
      <c r="A470" s="1"/>
      <c r="H470" s="1"/>
      <c r="O470" s="1"/>
      <c r="V470" s="1"/>
      <c r="AC470" s="1"/>
      <c r="AJ470" s="1"/>
      <c r="AQ470" s="1"/>
      <c r="AX470" s="1"/>
      <c r="BE470" s="1"/>
    </row>
    <row r="471" spans="1:57" x14ac:dyDescent="0.25">
      <c r="A471" s="1"/>
      <c r="H471" s="1"/>
      <c r="O471" s="1"/>
      <c r="V471" s="1"/>
      <c r="AC471" s="1"/>
      <c r="AJ471" s="1"/>
      <c r="AQ471" s="1"/>
      <c r="AX471" s="1"/>
      <c r="BE471" s="1"/>
    </row>
    <row r="472" spans="1:57" x14ac:dyDescent="0.25">
      <c r="A472" s="1"/>
      <c r="H472" s="1"/>
      <c r="O472" s="1"/>
      <c r="V472" s="1"/>
      <c r="AC472" s="1"/>
      <c r="AJ472" s="1"/>
      <c r="AQ472" s="1"/>
      <c r="AX472" s="1"/>
      <c r="BE472" s="1"/>
    </row>
    <row r="473" spans="1:57" x14ac:dyDescent="0.25">
      <c r="A473" s="1"/>
      <c r="H473" s="1"/>
      <c r="O473" s="1"/>
      <c r="V473" s="1"/>
      <c r="AC473" s="1"/>
      <c r="AJ473" s="1"/>
      <c r="AQ473" s="1"/>
      <c r="AX473" s="1"/>
      <c r="BE473" s="1"/>
    </row>
    <row r="474" spans="1:57" x14ac:dyDescent="0.25">
      <c r="A474" s="1"/>
      <c r="H474" s="1"/>
      <c r="O474" s="1"/>
      <c r="V474" s="1"/>
      <c r="AC474" s="1"/>
      <c r="AJ474" s="1"/>
      <c r="AQ474" s="1"/>
      <c r="AX474" s="1"/>
      <c r="BE474" s="1"/>
    </row>
    <row r="475" spans="1:57" x14ac:dyDescent="0.25">
      <c r="A475" s="1"/>
      <c r="H475" s="1"/>
      <c r="O475" s="1"/>
      <c r="V475" s="1"/>
      <c r="AC475" s="1"/>
      <c r="AJ475" s="1"/>
      <c r="AQ475" s="1"/>
      <c r="AX475" s="1"/>
      <c r="BE475" s="1"/>
    </row>
    <row r="476" spans="1:57" x14ac:dyDescent="0.25">
      <c r="A476" s="1"/>
      <c r="H476" s="1"/>
      <c r="O476" s="1"/>
      <c r="V476" s="1"/>
      <c r="AC476" s="1"/>
      <c r="AJ476" s="1"/>
      <c r="AQ476" s="1"/>
      <c r="AX476" s="1"/>
      <c r="BE476" s="1"/>
    </row>
    <row r="477" spans="1:57" x14ac:dyDescent="0.25">
      <c r="A477" s="1"/>
      <c r="H477" s="1"/>
      <c r="O477" s="1"/>
      <c r="V477" s="1"/>
      <c r="AC477" s="1"/>
      <c r="AJ477" s="1"/>
      <c r="AQ477" s="1"/>
      <c r="AX477" s="1"/>
      <c r="BE477" s="1"/>
    </row>
    <row r="478" spans="1:57" x14ac:dyDescent="0.25">
      <c r="A478" s="1"/>
      <c r="H478" s="1"/>
      <c r="O478" s="1"/>
      <c r="V478" s="1"/>
      <c r="AC478" s="1"/>
      <c r="AJ478" s="1"/>
      <c r="AQ478" s="1"/>
      <c r="AX478" s="1"/>
      <c r="BE478" s="1"/>
    </row>
    <row r="479" spans="1:57" x14ac:dyDescent="0.25">
      <c r="A479" s="1"/>
      <c r="H479" s="1"/>
      <c r="O479" s="1"/>
      <c r="V479" s="1"/>
      <c r="AC479" s="1"/>
      <c r="AJ479" s="1"/>
      <c r="AQ479" s="1"/>
      <c r="AX479" s="1"/>
      <c r="BE479" s="1"/>
    </row>
    <row r="480" spans="1:57" x14ac:dyDescent="0.25">
      <c r="A480" s="1"/>
      <c r="H480" s="1"/>
      <c r="O480" s="1"/>
      <c r="V480" s="1"/>
      <c r="AC480" s="1"/>
      <c r="AJ480" s="1"/>
      <c r="AQ480" s="1"/>
      <c r="AX480" s="1"/>
      <c r="BE480" s="1"/>
    </row>
    <row r="481" spans="1:57" x14ac:dyDescent="0.25">
      <c r="A481" s="1"/>
      <c r="H481" s="1"/>
      <c r="O481" s="1"/>
      <c r="V481" s="1"/>
      <c r="AC481" s="1"/>
      <c r="AJ481" s="1"/>
      <c r="AQ481" s="1"/>
      <c r="AX481" s="1"/>
      <c r="BE481" s="1"/>
    </row>
    <row r="482" spans="1:57" x14ac:dyDescent="0.25">
      <c r="A482" s="1"/>
      <c r="H482" s="1"/>
      <c r="O482" s="1"/>
      <c r="V482" s="1"/>
      <c r="AC482" s="1"/>
      <c r="AJ482" s="1"/>
      <c r="AQ482" s="1"/>
      <c r="AX482" s="1"/>
      <c r="BE482" s="1"/>
    </row>
    <row r="483" spans="1:57" x14ac:dyDescent="0.25">
      <c r="A483" s="1"/>
      <c r="H483" s="1"/>
      <c r="O483" s="1"/>
      <c r="V483" s="1"/>
      <c r="AC483" s="1"/>
      <c r="AJ483" s="1"/>
      <c r="AQ483" s="1"/>
      <c r="AX483" s="1"/>
      <c r="BE483" s="1"/>
    </row>
    <row r="484" spans="1:57" x14ac:dyDescent="0.25">
      <c r="A484" s="1"/>
      <c r="H484" s="1"/>
      <c r="O484" s="1"/>
      <c r="V484" s="1"/>
      <c r="AC484" s="1"/>
      <c r="AJ484" s="1"/>
      <c r="AQ484" s="1"/>
      <c r="AX484" s="1"/>
      <c r="BE484" s="1"/>
    </row>
    <row r="485" spans="1:57" x14ac:dyDescent="0.25">
      <c r="A485" s="1"/>
      <c r="H485" s="1"/>
      <c r="O485" s="1"/>
      <c r="V485" s="1"/>
      <c r="AC485" s="1"/>
      <c r="AJ485" s="1"/>
      <c r="AQ485" s="1"/>
      <c r="AX485" s="1"/>
      <c r="BE485" s="1"/>
    </row>
    <row r="486" spans="1:57" x14ac:dyDescent="0.25">
      <c r="A486" s="1"/>
      <c r="H486" s="1"/>
      <c r="O486" s="1"/>
      <c r="V486" s="1"/>
      <c r="AC486" s="1"/>
      <c r="AJ486" s="1"/>
      <c r="AQ486" s="1"/>
      <c r="AX486" s="1"/>
      <c r="BE486" s="1"/>
    </row>
    <row r="487" spans="1:57" x14ac:dyDescent="0.25">
      <c r="A487" s="1"/>
      <c r="H487" s="1"/>
      <c r="O487" s="1"/>
      <c r="V487" s="1"/>
      <c r="AC487" s="1"/>
      <c r="AJ487" s="1"/>
      <c r="AQ487" s="1"/>
      <c r="AX487" s="1"/>
      <c r="BE487" s="1"/>
    </row>
    <row r="488" spans="1:57" x14ac:dyDescent="0.25">
      <c r="A488" s="1"/>
      <c r="H488" s="1"/>
      <c r="O488" s="1"/>
      <c r="V488" s="1"/>
      <c r="AC488" s="1"/>
      <c r="AJ488" s="1"/>
      <c r="AQ488" s="1"/>
      <c r="AX488" s="1"/>
      <c r="BE488" s="1"/>
    </row>
    <row r="489" spans="1:57" x14ac:dyDescent="0.25">
      <c r="A489" s="1"/>
      <c r="H489" s="1"/>
      <c r="O489" s="1"/>
      <c r="V489" s="1"/>
      <c r="AC489" s="1"/>
      <c r="AJ489" s="1"/>
      <c r="AQ489" s="1"/>
      <c r="AX489" s="1"/>
      <c r="BE489" s="1"/>
    </row>
    <row r="490" spans="1:57" x14ac:dyDescent="0.25">
      <c r="A490" s="1"/>
      <c r="H490" s="1"/>
      <c r="O490" s="1"/>
      <c r="V490" s="1"/>
      <c r="AC490" s="1"/>
      <c r="AJ490" s="1"/>
      <c r="AQ490" s="1"/>
      <c r="AX490" s="1"/>
      <c r="BE490" s="1"/>
    </row>
    <row r="491" spans="1:57" x14ac:dyDescent="0.25">
      <c r="A491" s="1"/>
      <c r="H491" s="1"/>
      <c r="O491" s="1"/>
      <c r="V491" s="1"/>
      <c r="AC491" s="1"/>
      <c r="AJ491" s="1"/>
      <c r="AQ491" s="1"/>
      <c r="AX491" s="1"/>
      <c r="BE491" s="1"/>
    </row>
    <row r="492" spans="1:57" x14ac:dyDescent="0.25">
      <c r="A492" s="1"/>
      <c r="H492" s="1"/>
      <c r="O492" s="1"/>
      <c r="V492" s="1"/>
      <c r="AC492" s="1"/>
      <c r="AJ492" s="1"/>
      <c r="AQ492" s="1"/>
      <c r="AX492" s="1"/>
      <c r="BE492" s="1"/>
    </row>
    <row r="493" spans="1:57" x14ac:dyDescent="0.25">
      <c r="A493" s="1"/>
      <c r="H493" s="1"/>
      <c r="O493" s="1"/>
      <c r="V493" s="1"/>
      <c r="AC493" s="1"/>
      <c r="AJ493" s="1"/>
      <c r="AQ493" s="1"/>
      <c r="AX493" s="1"/>
      <c r="BE493" s="1"/>
    </row>
    <row r="494" spans="1:57" x14ac:dyDescent="0.25">
      <c r="A494" s="1"/>
      <c r="H494" s="1"/>
      <c r="O494" s="1"/>
      <c r="V494" s="1"/>
      <c r="AC494" s="1"/>
      <c r="AJ494" s="1"/>
      <c r="AQ494" s="1"/>
      <c r="AX494" s="1"/>
      <c r="BE494" s="1"/>
    </row>
    <row r="495" spans="1:57" x14ac:dyDescent="0.25">
      <c r="A495" s="1"/>
      <c r="H495" s="1"/>
      <c r="O495" s="1"/>
      <c r="V495" s="1"/>
      <c r="AC495" s="1"/>
      <c r="AJ495" s="1"/>
      <c r="AQ495" s="1"/>
      <c r="AX495" s="1"/>
      <c r="BE495" s="1"/>
    </row>
    <row r="496" spans="1:57" x14ac:dyDescent="0.25">
      <c r="A496" s="1"/>
      <c r="H496" s="1"/>
      <c r="O496" s="1"/>
      <c r="V496" s="1"/>
      <c r="AC496" s="1"/>
      <c r="AJ496" s="1"/>
      <c r="AQ496" s="1"/>
      <c r="AX496" s="1"/>
      <c r="BE496" s="1"/>
    </row>
    <row r="497" spans="1:57" x14ac:dyDescent="0.25">
      <c r="A497" s="1"/>
      <c r="H497" s="1"/>
      <c r="O497" s="1"/>
      <c r="V497" s="1"/>
      <c r="AC497" s="1"/>
      <c r="AJ497" s="1"/>
      <c r="AQ497" s="1"/>
      <c r="AX497" s="1"/>
      <c r="BE497" s="1"/>
    </row>
    <row r="498" spans="1:57" x14ac:dyDescent="0.25">
      <c r="A498" s="1"/>
      <c r="H498" s="1"/>
      <c r="O498" s="1"/>
      <c r="V498" s="1"/>
      <c r="AC498" s="1"/>
      <c r="AJ498" s="1"/>
      <c r="AQ498" s="1"/>
      <c r="AX498" s="1"/>
      <c r="BE498" s="1"/>
    </row>
    <row r="499" spans="1:57" x14ac:dyDescent="0.25">
      <c r="A499" s="1"/>
      <c r="H499" s="1"/>
      <c r="O499" s="1"/>
      <c r="V499" s="1"/>
      <c r="AC499" s="1"/>
      <c r="AJ499" s="1"/>
      <c r="AQ499" s="1"/>
      <c r="AX499" s="1"/>
      <c r="BE499" s="1"/>
    </row>
    <row r="500" spans="1:57" x14ac:dyDescent="0.25">
      <c r="A500" s="1"/>
      <c r="H500" s="1"/>
      <c r="O500" s="1"/>
      <c r="V500" s="1"/>
      <c r="AC500" s="1"/>
      <c r="AJ500" s="1"/>
      <c r="AQ500" s="1"/>
      <c r="AX500" s="1"/>
      <c r="BE500" s="1"/>
    </row>
    <row r="501" spans="1:57" x14ac:dyDescent="0.25">
      <c r="A501" s="1"/>
      <c r="H501" s="1"/>
      <c r="O501" s="1"/>
      <c r="V501" s="1"/>
      <c r="AC501" s="1"/>
      <c r="AJ501" s="1"/>
      <c r="AQ501" s="1"/>
      <c r="AX501" s="1"/>
      <c r="BE501" s="1"/>
    </row>
    <row r="502" spans="1:57" x14ac:dyDescent="0.25">
      <c r="A502" s="1"/>
      <c r="H502" s="1"/>
      <c r="O502" s="1"/>
      <c r="V502" s="1"/>
      <c r="AC502" s="1"/>
      <c r="AJ502" s="1"/>
      <c r="AQ502" s="1"/>
      <c r="AX502" s="1"/>
      <c r="BE502" s="1"/>
    </row>
    <row r="503" spans="1:57" x14ac:dyDescent="0.25">
      <c r="A503" s="1"/>
      <c r="H503" s="1"/>
      <c r="O503" s="1"/>
      <c r="V503" s="1"/>
      <c r="AC503" s="1"/>
      <c r="AJ503" s="1"/>
      <c r="AQ503" s="1"/>
      <c r="AX503" s="1"/>
      <c r="BE503" s="1"/>
    </row>
    <row r="504" spans="1:57" x14ac:dyDescent="0.25">
      <c r="A504" s="1"/>
      <c r="H504" s="1"/>
      <c r="O504" s="1"/>
      <c r="V504" s="1"/>
      <c r="AC504" s="1"/>
      <c r="AJ504" s="1"/>
      <c r="AQ504" s="1"/>
      <c r="AX504" s="1"/>
      <c r="BE504" s="1"/>
    </row>
    <row r="505" spans="1:57" x14ac:dyDescent="0.25">
      <c r="A505" s="1"/>
      <c r="H505" s="1"/>
      <c r="O505" s="1"/>
      <c r="V505" s="1"/>
      <c r="AC505" s="1"/>
      <c r="AJ505" s="1"/>
      <c r="AQ505" s="1"/>
      <c r="AX505" s="1"/>
      <c r="BE505" s="1"/>
    </row>
    <row r="506" spans="1:57" x14ac:dyDescent="0.25">
      <c r="A506" s="1"/>
      <c r="H506" s="1"/>
      <c r="O506" s="1"/>
      <c r="V506" s="1"/>
      <c r="AC506" s="1"/>
      <c r="AJ506" s="1"/>
      <c r="AQ506" s="1"/>
      <c r="AX506" s="1"/>
      <c r="BE506" s="1"/>
    </row>
    <row r="507" spans="1:57" x14ac:dyDescent="0.25">
      <c r="A507" s="1"/>
      <c r="H507" s="1"/>
      <c r="O507" s="1"/>
      <c r="V507" s="1"/>
      <c r="AC507" s="1"/>
      <c r="AJ507" s="1"/>
      <c r="AQ507" s="1"/>
      <c r="AX507" s="1"/>
      <c r="BE507" s="1"/>
    </row>
    <row r="508" spans="1:57" x14ac:dyDescent="0.25">
      <c r="A508" s="1"/>
      <c r="H508" s="1"/>
      <c r="O508" s="1"/>
      <c r="V508" s="1"/>
      <c r="AC508" s="1"/>
      <c r="AJ508" s="1"/>
      <c r="AQ508" s="1"/>
      <c r="AX508" s="1"/>
      <c r="BE508" s="1"/>
    </row>
    <row r="509" spans="1:57" x14ac:dyDescent="0.25">
      <c r="A509" s="1"/>
      <c r="H509" s="1"/>
      <c r="O509" s="1"/>
      <c r="V509" s="1"/>
      <c r="AC509" s="1"/>
      <c r="AJ509" s="1"/>
      <c r="AQ509" s="1"/>
      <c r="AX509" s="1"/>
      <c r="BE509" s="1"/>
    </row>
    <row r="510" spans="1:57" x14ac:dyDescent="0.25">
      <c r="A510" s="1"/>
      <c r="H510" s="1"/>
      <c r="O510" s="1"/>
      <c r="V510" s="1"/>
      <c r="AC510" s="1"/>
      <c r="AJ510" s="1"/>
      <c r="AQ510" s="1"/>
      <c r="AX510" s="1"/>
      <c r="BE510" s="1"/>
    </row>
    <row r="511" spans="1:57" x14ac:dyDescent="0.25">
      <c r="A511" s="1"/>
      <c r="H511" s="1"/>
      <c r="O511" s="1"/>
      <c r="V511" s="1"/>
      <c r="AC511" s="1"/>
      <c r="AJ511" s="1"/>
      <c r="AQ511" s="1"/>
      <c r="AX511" s="1"/>
      <c r="BE511" s="1"/>
    </row>
    <row r="512" spans="1:57" x14ac:dyDescent="0.25">
      <c r="A512" s="1"/>
      <c r="H512" s="1"/>
      <c r="O512" s="1"/>
      <c r="V512" s="1"/>
      <c r="AC512" s="1"/>
      <c r="AJ512" s="1"/>
      <c r="AQ512" s="1"/>
      <c r="AX512" s="1"/>
      <c r="BE512" s="1"/>
    </row>
    <row r="513" spans="1:57" x14ac:dyDescent="0.25">
      <c r="A513" s="1"/>
      <c r="H513" s="1"/>
      <c r="O513" s="1"/>
      <c r="V513" s="1"/>
      <c r="AC513" s="1"/>
      <c r="AJ513" s="1"/>
      <c r="AQ513" s="1"/>
      <c r="AX513" s="1"/>
      <c r="BE513" s="1"/>
    </row>
    <row r="514" spans="1:57" x14ac:dyDescent="0.25">
      <c r="A514" s="1"/>
      <c r="H514" s="1"/>
      <c r="O514" s="1"/>
      <c r="V514" s="1"/>
      <c r="AC514" s="1"/>
      <c r="AJ514" s="1"/>
      <c r="AQ514" s="1"/>
      <c r="AX514" s="1"/>
      <c r="BE514" s="1"/>
    </row>
    <row r="515" spans="1:57" x14ac:dyDescent="0.25">
      <c r="A515" s="1"/>
      <c r="H515" s="1"/>
      <c r="O515" s="1"/>
      <c r="V515" s="1"/>
      <c r="AC515" s="1"/>
      <c r="AJ515" s="1"/>
      <c r="AQ515" s="1"/>
      <c r="AX515" s="1"/>
      <c r="BE515" s="1"/>
    </row>
    <row r="516" spans="1:57" x14ac:dyDescent="0.25">
      <c r="A516" s="1"/>
      <c r="H516" s="1"/>
      <c r="O516" s="1"/>
      <c r="V516" s="1"/>
      <c r="AC516" s="1"/>
      <c r="AJ516" s="1"/>
      <c r="AQ516" s="1"/>
      <c r="AX516" s="1"/>
      <c r="BE516" s="1"/>
    </row>
    <row r="517" spans="1:57" x14ac:dyDescent="0.25">
      <c r="A517" s="1"/>
      <c r="H517" s="1"/>
      <c r="O517" s="1"/>
      <c r="V517" s="1"/>
      <c r="AC517" s="1"/>
      <c r="AJ517" s="1"/>
      <c r="AQ517" s="1"/>
      <c r="AX517" s="1"/>
      <c r="BE517" s="1"/>
    </row>
    <row r="518" spans="1:57" x14ac:dyDescent="0.25">
      <c r="A518" s="1"/>
      <c r="H518" s="1"/>
      <c r="O518" s="1"/>
      <c r="V518" s="1"/>
      <c r="AC518" s="1"/>
      <c r="AJ518" s="1"/>
      <c r="AQ518" s="1"/>
      <c r="AX518" s="1"/>
      <c r="BE518" s="1"/>
    </row>
    <row r="519" spans="1:57" x14ac:dyDescent="0.25">
      <c r="A519" s="1"/>
      <c r="H519" s="1"/>
      <c r="O519" s="1"/>
      <c r="V519" s="1"/>
      <c r="AC519" s="1"/>
      <c r="AJ519" s="1"/>
      <c r="AQ519" s="1"/>
      <c r="AX519" s="1"/>
      <c r="BE519" s="1"/>
    </row>
    <row r="520" spans="1:57" x14ac:dyDescent="0.25">
      <c r="A520" s="1"/>
      <c r="H520" s="1"/>
      <c r="O520" s="1"/>
      <c r="V520" s="1"/>
      <c r="AC520" s="1"/>
      <c r="AJ520" s="1"/>
      <c r="AQ520" s="1"/>
      <c r="AX520" s="1"/>
      <c r="BE520" s="1"/>
    </row>
    <row r="521" spans="1:57" x14ac:dyDescent="0.25">
      <c r="A521" s="1"/>
      <c r="H521" s="1"/>
      <c r="O521" s="1"/>
      <c r="V521" s="1"/>
      <c r="AC521" s="1"/>
      <c r="AJ521" s="1"/>
      <c r="AQ521" s="1"/>
      <c r="AX521" s="1"/>
      <c r="BE521" s="1"/>
    </row>
    <row r="522" spans="1:57" x14ac:dyDescent="0.25">
      <c r="A522" s="1"/>
      <c r="H522" s="1"/>
      <c r="O522" s="1"/>
      <c r="V522" s="1"/>
      <c r="AC522" s="1"/>
      <c r="AJ522" s="1"/>
      <c r="AQ522" s="1"/>
      <c r="AX522" s="1"/>
      <c r="BE522" s="1"/>
    </row>
    <row r="523" spans="1:57" x14ac:dyDescent="0.25">
      <c r="A523" s="1"/>
      <c r="H523" s="1"/>
      <c r="O523" s="1"/>
      <c r="V523" s="1"/>
      <c r="AC523" s="1"/>
      <c r="AJ523" s="1"/>
      <c r="AQ523" s="1"/>
      <c r="AX523" s="1"/>
      <c r="BE523" s="1"/>
    </row>
    <row r="524" spans="1:57" x14ac:dyDescent="0.25">
      <c r="A524" s="1"/>
      <c r="H524" s="1"/>
      <c r="O524" s="1"/>
      <c r="V524" s="1"/>
      <c r="AC524" s="1"/>
      <c r="AJ524" s="1"/>
      <c r="AQ524" s="1"/>
      <c r="AX524" s="1"/>
      <c r="BE524" s="1"/>
    </row>
    <row r="525" spans="1:57" x14ac:dyDescent="0.25">
      <c r="A525" s="1"/>
      <c r="H525" s="1"/>
      <c r="O525" s="1"/>
      <c r="V525" s="1"/>
      <c r="AC525" s="1"/>
      <c r="AJ525" s="1"/>
      <c r="AQ525" s="1"/>
      <c r="AX525" s="1"/>
      <c r="BE525" s="1"/>
    </row>
    <row r="526" spans="1:57" x14ac:dyDescent="0.25">
      <c r="A526" s="1"/>
      <c r="H526" s="1"/>
      <c r="O526" s="1"/>
      <c r="V526" s="1"/>
      <c r="AC526" s="1"/>
      <c r="AJ526" s="1"/>
      <c r="AQ526" s="1"/>
      <c r="AX526" s="1"/>
      <c r="BE526" s="1"/>
    </row>
    <row r="527" spans="1:57" x14ac:dyDescent="0.25">
      <c r="A527" s="1"/>
      <c r="H527" s="1"/>
      <c r="O527" s="1"/>
      <c r="V527" s="1"/>
      <c r="AC527" s="1"/>
      <c r="AJ527" s="1"/>
      <c r="AQ527" s="1"/>
      <c r="AX527" s="1"/>
      <c r="BE527" s="1"/>
    </row>
    <row r="528" spans="1:57" x14ac:dyDescent="0.25">
      <c r="A528" s="1"/>
      <c r="H528" s="1"/>
      <c r="O528" s="1"/>
      <c r="V528" s="1"/>
      <c r="AC528" s="1"/>
      <c r="AJ528" s="1"/>
      <c r="AQ528" s="1"/>
      <c r="AX528" s="1"/>
      <c r="BE528" s="1"/>
    </row>
    <row r="529" spans="1:57" x14ac:dyDescent="0.25">
      <c r="A529" s="1"/>
      <c r="H529" s="1"/>
      <c r="O529" s="1"/>
      <c r="V529" s="1"/>
      <c r="AC529" s="1"/>
      <c r="AJ529" s="1"/>
      <c r="AQ529" s="1"/>
      <c r="AX529" s="1"/>
      <c r="BE529" s="1"/>
    </row>
    <row r="530" spans="1:57" x14ac:dyDescent="0.25">
      <c r="A530" s="1"/>
      <c r="H530" s="1"/>
      <c r="O530" s="1"/>
      <c r="V530" s="1"/>
      <c r="AC530" s="1"/>
      <c r="AJ530" s="1"/>
      <c r="AQ530" s="1"/>
      <c r="AX530" s="1"/>
      <c r="BE530" s="1"/>
    </row>
    <row r="531" spans="1:57" x14ac:dyDescent="0.25">
      <c r="A531" s="1"/>
      <c r="H531" s="1"/>
      <c r="O531" s="1"/>
      <c r="V531" s="1"/>
      <c r="AC531" s="1"/>
      <c r="AJ531" s="1"/>
      <c r="AQ531" s="1"/>
      <c r="AX531" s="1"/>
      <c r="BE531" s="1"/>
    </row>
    <row r="532" spans="1:57" x14ac:dyDescent="0.25">
      <c r="A532" s="1"/>
      <c r="H532" s="1"/>
      <c r="O532" s="1"/>
      <c r="V532" s="1"/>
      <c r="AC532" s="1"/>
      <c r="AJ532" s="1"/>
      <c r="AQ532" s="1"/>
      <c r="AX532" s="1"/>
      <c r="BE532" s="1"/>
    </row>
    <row r="533" spans="1:57" x14ac:dyDescent="0.25">
      <c r="A533" s="1"/>
      <c r="H533" s="1"/>
      <c r="O533" s="1"/>
      <c r="V533" s="1"/>
      <c r="AC533" s="1"/>
      <c r="AJ533" s="1"/>
      <c r="AQ533" s="1"/>
      <c r="AX533" s="1"/>
      <c r="BE533" s="1"/>
    </row>
    <row r="534" spans="1:57" x14ac:dyDescent="0.25">
      <c r="A534" s="1"/>
      <c r="H534" s="1"/>
      <c r="O534" s="1"/>
      <c r="V534" s="1"/>
      <c r="AC534" s="1"/>
      <c r="AJ534" s="1"/>
      <c r="AQ534" s="1"/>
      <c r="AX534" s="1"/>
      <c r="BE534" s="1"/>
    </row>
    <row r="535" spans="1:57" x14ac:dyDescent="0.25">
      <c r="A535" s="1"/>
      <c r="H535" s="1"/>
      <c r="O535" s="1"/>
      <c r="V535" s="1"/>
      <c r="AC535" s="1"/>
      <c r="AJ535" s="1"/>
      <c r="AQ535" s="1"/>
      <c r="AX535" s="1"/>
      <c r="BE535" s="1"/>
    </row>
    <row r="536" spans="1:57" x14ac:dyDescent="0.25">
      <c r="A536" s="1"/>
      <c r="H536" s="1"/>
      <c r="O536" s="1"/>
      <c r="V536" s="1"/>
      <c r="AC536" s="1"/>
      <c r="AJ536" s="1"/>
      <c r="AQ536" s="1"/>
      <c r="AX536" s="1"/>
      <c r="BE536" s="1"/>
    </row>
    <row r="537" spans="1:57" x14ac:dyDescent="0.25">
      <c r="A537" s="1"/>
      <c r="H537" s="1"/>
      <c r="O537" s="1"/>
      <c r="V537" s="1"/>
      <c r="AC537" s="1"/>
      <c r="AJ537" s="1"/>
      <c r="AQ537" s="1"/>
      <c r="AX537" s="1"/>
      <c r="BE537" s="1"/>
    </row>
    <row r="538" spans="1:57" x14ac:dyDescent="0.25">
      <c r="A538" s="1"/>
      <c r="H538" s="1"/>
      <c r="O538" s="1"/>
      <c r="V538" s="1"/>
      <c r="AC538" s="1"/>
      <c r="AJ538" s="1"/>
      <c r="AQ538" s="1"/>
      <c r="AX538" s="1"/>
      <c r="BE538" s="1"/>
    </row>
    <row r="539" spans="1:57" x14ac:dyDescent="0.25">
      <c r="A539" s="1"/>
      <c r="H539" s="1"/>
      <c r="O539" s="1"/>
      <c r="V539" s="1"/>
      <c r="AC539" s="1"/>
      <c r="AJ539" s="1"/>
      <c r="AQ539" s="1"/>
      <c r="AX539" s="1"/>
      <c r="BE539" s="1"/>
    </row>
    <row r="540" spans="1:57" x14ac:dyDescent="0.25">
      <c r="A540" s="1"/>
      <c r="H540" s="1"/>
      <c r="O540" s="1"/>
      <c r="V540" s="1"/>
      <c r="AC540" s="1"/>
      <c r="AJ540" s="1"/>
      <c r="AQ540" s="1"/>
      <c r="AX540" s="1"/>
      <c r="BE540" s="1"/>
    </row>
    <row r="541" spans="1:57" x14ac:dyDescent="0.25">
      <c r="A541" s="1"/>
      <c r="H541" s="1"/>
      <c r="O541" s="1"/>
      <c r="V541" s="1"/>
      <c r="AC541" s="1"/>
      <c r="AJ541" s="1"/>
      <c r="AQ541" s="1"/>
      <c r="AX541" s="1"/>
      <c r="BE541" s="1"/>
    </row>
    <row r="542" spans="1:57" x14ac:dyDescent="0.25">
      <c r="A542" s="1"/>
      <c r="H542" s="1"/>
      <c r="O542" s="1"/>
      <c r="V542" s="1"/>
      <c r="AC542" s="1"/>
      <c r="AJ542" s="1"/>
      <c r="AQ542" s="1"/>
      <c r="AX542" s="1"/>
      <c r="BE542" s="1"/>
    </row>
    <row r="543" spans="1:57" x14ac:dyDescent="0.25">
      <c r="A543" s="1"/>
      <c r="H543" s="1"/>
      <c r="O543" s="1"/>
      <c r="V543" s="1"/>
      <c r="AC543" s="1"/>
      <c r="AJ543" s="1"/>
      <c r="AQ543" s="1"/>
      <c r="AX543" s="1"/>
      <c r="BE543" s="1"/>
    </row>
    <row r="544" spans="1:57" x14ac:dyDescent="0.25">
      <c r="A544" s="1"/>
      <c r="H544" s="1"/>
      <c r="O544" s="1"/>
      <c r="V544" s="1"/>
      <c r="AC544" s="1"/>
      <c r="AJ544" s="1"/>
      <c r="AQ544" s="1"/>
      <c r="AX544" s="1"/>
      <c r="BE544" s="1"/>
    </row>
    <row r="545" spans="1:57" x14ac:dyDescent="0.25">
      <c r="A545" s="1"/>
      <c r="H545" s="1"/>
      <c r="O545" s="1"/>
      <c r="V545" s="1"/>
      <c r="AC545" s="1"/>
      <c r="AJ545" s="1"/>
      <c r="AQ545" s="1"/>
      <c r="AX545" s="1"/>
      <c r="BE545" s="1"/>
    </row>
    <row r="546" spans="1:57" x14ac:dyDescent="0.25">
      <c r="A546" s="1"/>
      <c r="H546" s="1"/>
      <c r="O546" s="1"/>
      <c r="V546" s="1"/>
      <c r="AC546" s="1"/>
      <c r="AJ546" s="1"/>
      <c r="AQ546" s="1"/>
      <c r="AX546" s="1"/>
      <c r="BE546" s="1"/>
    </row>
    <row r="547" spans="1:57" x14ac:dyDescent="0.25">
      <c r="A547" s="1"/>
      <c r="H547" s="1"/>
      <c r="O547" s="1"/>
      <c r="V547" s="1"/>
      <c r="AC547" s="1"/>
      <c r="AJ547" s="1"/>
      <c r="AQ547" s="1"/>
      <c r="AX547" s="1"/>
      <c r="BE547" s="1"/>
    </row>
    <row r="548" spans="1:57" x14ac:dyDescent="0.25">
      <c r="A548" s="1"/>
      <c r="H548" s="1"/>
      <c r="O548" s="1"/>
      <c r="V548" s="1"/>
      <c r="AC548" s="1"/>
      <c r="AJ548" s="1"/>
      <c r="AQ548" s="1"/>
      <c r="AX548" s="1"/>
      <c r="BE548" s="1"/>
    </row>
    <row r="549" spans="1:57" x14ac:dyDescent="0.25">
      <c r="A549" s="1"/>
      <c r="H549" s="1"/>
      <c r="O549" s="1"/>
      <c r="V549" s="1"/>
      <c r="AC549" s="1"/>
      <c r="AJ549" s="1"/>
      <c r="AQ549" s="1"/>
      <c r="AX549" s="1"/>
      <c r="BE549" s="1"/>
    </row>
    <row r="550" spans="1:57" x14ac:dyDescent="0.25">
      <c r="A550" s="1"/>
      <c r="H550" s="1"/>
      <c r="O550" s="1"/>
      <c r="V550" s="1"/>
      <c r="AC550" s="1"/>
      <c r="AJ550" s="1"/>
      <c r="AQ550" s="1"/>
      <c r="AX550" s="1"/>
      <c r="BE550" s="1"/>
    </row>
    <row r="551" spans="1:57" x14ac:dyDescent="0.25">
      <c r="A551" s="1"/>
      <c r="H551" s="1"/>
      <c r="O551" s="1"/>
      <c r="V551" s="1"/>
      <c r="AC551" s="1"/>
      <c r="AJ551" s="1"/>
      <c r="AQ551" s="1"/>
      <c r="AX551" s="1"/>
      <c r="BE551" s="1"/>
    </row>
    <row r="552" spans="1:57" x14ac:dyDescent="0.25">
      <c r="A552" s="1"/>
      <c r="H552" s="1"/>
      <c r="O552" s="1"/>
      <c r="V552" s="1"/>
      <c r="AC552" s="1"/>
      <c r="AJ552" s="1"/>
      <c r="AQ552" s="1"/>
      <c r="AX552" s="1"/>
      <c r="BE552" s="1"/>
    </row>
    <row r="553" spans="1:57" x14ac:dyDescent="0.25">
      <c r="A553" s="1"/>
      <c r="H553" s="1"/>
      <c r="O553" s="1"/>
      <c r="V553" s="1"/>
      <c r="AC553" s="1"/>
      <c r="AJ553" s="1"/>
      <c r="AQ553" s="1"/>
      <c r="AX553" s="1"/>
      <c r="BE553" s="1"/>
    </row>
    <row r="554" spans="1:57" x14ac:dyDescent="0.25">
      <c r="A554" s="1"/>
      <c r="H554" s="1"/>
      <c r="O554" s="1"/>
      <c r="V554" s="1"/>
      <c r="AC554" s="1"/>
      <c r="AJ554" s="1"/>
      <c r="AQ554" s="1"/>
      <c r="AX554" s="1"/>
      <c r="BE554" s="1"/>
    </row>
    <row r="555" spans="1:57" x14ac:dyDescent="0.25">
      <c r="A555" s="1"/>
      <c r="H555" s="1"/>
      <c r="O555" s="1"/>
      <c r="V555" s="1"/>
      <c r="AC555" s="1"/>
      <c r="AJ555" s="1"/>
      <c r="AQ555" s="1"/>
      <c r="AX555" s="1"/>
      <c r="BE555" s="1"/>
    </row>
    <row r="556" spans="1:57" x14ac:dyDescent="0.25">
      <c r="A556" s="1"/>
      <c r="H556" s="1"/>
      <c r="O556" s="1"/>
      <c r="V556" s="1"/>
      <c r="AC556" s="1"/>
      <c r="AJ556" s="1"/>
      <c r="AQ556" s="1"/>
      <c r="AX556" s="1"/>
      <c r="BE556" s="1"/>
    </row>
    <row r="557" spans="1:57" x14ac:dyDescent="0.25">
      <c r="A557" s="1"/>
      <c r="H557" s="1"/>
      <c r="O557" s="1"/>
      <c r="V557" s="1"/>
      <c r="AC557" s="1"/>
      <c r="AJ557" s="1"/>
      <c r="AQ557" s="1"/>
      <c r="AX557" s="1"/>
      <c r="BE557" s="1"/>
    </row>
    <row r="558" spans="1:57" x14ac:dyDescent="0.25">
      <c r="A558" s="1"/>
      <c r="H558" s="1"/>
      <c r="O558" s="1"/>
      <c r="V558" s="1"/>
      <c r="AC558" s="1"/>
      <c r="AJ558" s="1"/>
      <c r="AQ558" s="1"/>
      <c r="AX558" s="1"/>
      <c r="BE558" s="1"/>
    </row>
    <row r="559" spans="1:57" x14ac:dyDescent="0.25">
      <c r="A559" s="1"/>
      <c r="H559" s="1"/>
      <c r="O559" s="1"/>
      <c r="V559" s="1"/>
      <c r="AC559" s="1"/>
      <c r="AJ559" s="1"/>
      <c r="AQ559" s="1"/>
      <c r="AX559" s="1"/>
      <c r="BE559" s="1"/>
    </row>
    <row r="560" spans="1:57" x14ac:dyDescent="0.25">
      <c r="A560" s="1"/>
      <c r="H560" s="1"/>
      <c r="O560" s="1"/>
      <c r="V560" s="1"/>
      <c r="AC560" s="1"/>
      <c r="AJ560" s="1"/>
      <c r="AQ560" s="1"/>
      <c r="AX560" s="1"/>
      <c r="BE560" s="1"/>
    </row>
    <row r="561" spans="1:57" x14ac:dyDescent="0.25">
      <c r="A561" s="1"/>
      <c r="H561" s="1"/>
      <c r="O561" s="1"/>
      <c r="V561" s="1"/>
      <c r="AC561" s="1"/>
      <c r="AJ561" s="1"/>
      <c r="AQ561" s="1"/>
      <c r="AX561" s="1"/>
      <c r="BE561" s="1"/>
    </row>
    <row r="562" spans="1:57" x14ac:dyDescent="0.25">
      <c r="A562" s="1"/>
      <c r="H562" s="1"/>
      <c r="O562" s="1"/>
      <c r="V562" s="1"/>
      <c r="AC562" s="1"/>
      <c r="AJ562" s="1"/>
      <c r="AQ562" s="1"/>
      <c r="AX562" s="1"/>
      <c r="BE562" s="1"/>
    </row>
    <row r="563" spans="1:57" x14ac:dyDescent="0.25">
      <c r="A563" s="1"/>
      <c r="H563" s="1"/>
      <c r="O563" s="1"/>
      <c r="V563" s="1"/>
      <c r="AC563" s="1"/>
      <c r="AJ563" s="1"/>
      <c r="AQ563" s="1"/>
      <c r="AX563" s="1"/>
      <c r="BE563" s="1"/>
    </row>
    <row r="564" spans="1:57" x14ac:dyDescent="0.25">
      <c r="A564" s="1"/>
      <c r="H564" s="1"/>
      <c r="O564" s="1"/>
      <c r="V564" s="1"/>
      <c r="AC564" s="1"/>
      <c r="AJ564" s="1"/>
      <c r="AQ564" s="1"/>
      <c r="AX564" s="1"/>
      <c r="BE564" s="1"/>
    </row>
    <row r="565" spans="1:57" x14ac:dyDescent="0.25">
      <c r="A565" s="1"/>
      <c r="H565" s="1"/>
      <c r="O565" s="1"/>
      <c r="V565" s="1"/>
      <c r="AC565" s="1"/>
      <c r="AJ565" s="1"/>
      <c r="AQ565" s="1"/>
      <c r="AX565" s="1"/>
      <c r="BE565" s="1"/>
    </row>
    <row r="566" spans="1:57" x14ac:dyDescent="0.25">
      <c r="A566" s="1"/>
      <c r="H566" s="1"/>
      <c r="O566" s="1"/>
      <c r="V566" s="1"/>
      <c r="AC566" s="1"/>
      <c r="AJ566" s="1"/>
      <c r="AQ566" s="1"/>
      <c r="AX566" s="1"/>
      <c r="BE566" s="1"/>
    </row>
    <row r="567" spans="1:57" x14ac:dyDescent="0.25">
      <c r="A567" s="1"/>
      <c r="H567" s="1"/>
      <c r="O567" s="1"/>
      <c r="V567" s="1"/>
      <c r="AC567" s="1"/>
      <c r="AJ567" s="1"/>
      <c r="AQ567" s="1"/>
      <c r="AX567" s="1"/>
      <c r="BE567" s="1"/>
    </row>
    <row r="568" spans="1:57" x14ac:dyDescent="0.25">
      <c r="A568" s="1"/>
      <c r="H568" s="1"/>
      <c r="O568" s="1"/>
      <c r="V568" s="1"/>
      <c r="AC568" s="1"/>
      <c r="AJ568" s="1"/>
      <c r="AQ568" s="1"/>
      <c r="AX568" s="1"/>
      <c r="BE568" s="1"/>
    </row>
    <row r="569" spans="1:57" x14ac:dyDescent="0.25">
      <c r="A569" s="1"/>
      <c r="H569" s="1"/>
      <c r="O569" s="1"/>
      <c r="V569" s="1"/>
      <c r="AC569" s="1"/>
      <c r="AJ569" s="1"/>
      <c r="AQ569" s="1"/>
      <c r="AX569" s="1"/>
      <c r="BE569" s="1"/>
    </row>
    <row r="570" spans="1:57" x14ac:dyDescent="0.25">
      <c r="A570" s="1"/>
      <c r="H570" s="1"/>
      <c r="O570" s="1"/>
      <c r="V570" s="1"/>
      <c r="AC570" s="1"/>
      <c r="AJ570" s="1"/>
      <c r="AQ570" s="1"/>
      <c r="AX570" s="1"/>
      <c r="BE570" s="1"/>
    </row>
    <row r="571" spans="1:57" x14ac:dyDescent="0.25">
      <c r="A571" s="1"/>
      <c r="H571" s="1"/>
      <c r="O571" s="1"/>
      <c r="V571" s="1"/>
      <c r="AC571" s="1"/>
      <c r="AJ571" s="1"/>
      <c r="AQ571" s="1"/>
      <c r="AX571" s="1"/>
      <c r="BE571" s="1"/>
    </row>
    <row r="572" spans="1:57" x14ac:dyDescent="0.25">
      <c r="A572" s="1"/>
      <c r="H572" s="1"/>
      <c r="O572" s="1"/>
      <c r="V572" s="1"/>
      <c r="AC572" s="1"/>
      <c r="AJ572" s="1"/>
      <c r="AQ572" s="1"/>
      <c r="AX572" s="1"/>
      <c r="BE572" s="1"/>
    </row>
    <row r="573" spans="1:57" x14ac:dyDescent="0.25">
      <c r="A573" s="1"/>
      <c r="H573" s="1"/>
      <c r="O573" s="1"/>
      <c r="V573" s="1"/>
      <c r="AC573" s="1"/>
      <c r="AJ573" s="1"/>
      <c r="AQ573" s="1"/>
      <c r="AX573" s="1"/>
      <c r="BE573" s="1"/>
    </row>
    <row r="574" spans="1:57" x14ac:dyDescent="0.25">
      <c r="A574" s="1"/>
      <c r="H574" s="1"/>
      <c r="O574" s="1"/>
      <c r="V574" s="1"/>
      <c r="AC574" s="1"/>
      <c r="AJ574" s="1"/>
      <c r="AQ574" s="1"/>
      <c r="AX574" s="1"/>
      <c r="BE574" s="1"/>
    </row>
    <row r="575" spans="1:57" x14ac:dyDescent="0.25">
      <c r="A575" s="1"/>
      <c r="H575" s="1"/>
      <c r="O575" s="1"/>
      <c r="V575" s="1"/>
      <c r="AC575" s="1"/>
      <c r="AJ575" s="1"/>
      <c r="AQ575" s="1"/>
      <c r="AX575" s="1"/>
      <c r="BE575" s="1"/>
    </row>
    <row r="576" spans="1:57" x14ac:dyDescent="0.25">
      <c r="A576" s="1"/>
      <c r="H576" s="1"/>
      <c r="O576" s="1"/>
      <c r="V576" s="1"/>
      <c r="AC576" s="1"/>
      <c r="AJ576" s="1"/>
      <c r="AQ576" s="1"/>
      <c r="AX576" s="1"/>
      <c r="BE576" s="1"/>
    </row>
    <row r="577" spans="1:57" x14ac:dyDescent="0.25">
      <c r="A577" s="1"/>
      <c r="H577" s="1"/>
      <c r="O577" s="1"/>
      <c r="V577" s="1"/>
      <c r="AC577" s="1"/>
      <c r="AJ577" s="1"/>
      <c r="AQ577" s="1"/>
      <c r="AX577" s="1"/>
      <c r="BE577" s="1"/>
    </row>
    <row r="578" spans="1:57" x14ac:dyDescent="0.25">
      <c r="A578" s="1"/>
      <c r="H578" s="1"/>
      <c r="O578" s="1"/>
      <c r="V578" s="1"/>
      <c r="AC578" s="1"/>
      <c r="AJ578" s="1"/>
      <c r="AQ578" s="1"/>
      <c r="AX578" s="1"/>
      <c r="BE578" s="1"/>
    </row>
    <row r="579" spans="1:57" x14ac:dyDescent="0.25">
      <c r="A579" s="1"/>
      <c r="H579" s="1"/>
      <c r="O579" s="1"/>
      <c r="V579" s="1"/>
      <c r="AC579" s="1"/>
      <c r="AJ579" s="1"/>
      <c r="AQ579" s="1"/>
      <c r="AX579" s="1"/>
      <c r="BE579" s="1"/>
    </row>
    <row r="580" spans="1:57" x14ac:dyDescent="0.25">
      <c r="A580" s="1"/>
      <c r="H580" s="1"/>
      <c r="O580" s="1"/>
      <c r="V580" s="1"/>
      <c r="AC580" s="1"/>
      <c r="AJ580" s="1"/>
      <c r="AQ580" s="1"/>
      <c r="AX580" s="1"/>
      <c r="BE580" s="1"/>
    </row>
    <row r="581" spans="1:57" x14ac:dyDescent="0.25">
      <c r="A581" s="1"/>
      <c r="H581" s="1"/>
      <c r="O581" s="1"/>
      <c r="V581" s="1"/>
      <c r="AC581" s="1"/>
      <c r="AJ581" s="1"/>
      <c r="AQ581" s="1"/>
      <c r="AX581" s="1"/>
      <c r="BE581" s="1"/>
    </row>
    <row r="582" spans="1:57" x14ac:dyDescent="0.25">
      <c r="A582" s="1"/>
      <c r="H582" s="1"/>
      <c r="O582" s="1"/>
      <c r="V582" s="1"/>
      <c r="AC582" s="1"/>
      <c r="AJ582" s="1"/>
      <c r="AQ582" s="1"/>
      <c r="AX582" s="1"/>
      <c r="BE582" s="1"/>
    </row>
    <row r="583" spans="1:57" x14ac:dyDescent="0.25">
      <c r="A583" s="1"/>
      <c r="H583" s="1"/>
      <c r="O583" s="1"/>
      <c r="V583" s="1"/>
      <c r="AC583" s="1"/>
      <c r="AJ583" s="1"/>
      <c r="AQ583" s="1"/>
      <c r="AX583" s="1"/>
      <c r="BE583" s="1"/>
    </row>
    <row r="584" spans="1:57" x14ac:dyDescent="0.25">
      <c r="A584" s="1"/>
      <c r="H584" s="1"/>
      <c r="O584" s="1"/>
      <c r="V584" s="1"/>
      <c r="AC584" s="1"/>
      <c r="AJ584" s="1"/>
      <c r="AQ584" s="1"/>
      <c r="AX584" s="1"/>
      <c r="BE584" s="1"/>
    </row>
    <row r="585" spans="1:57" x14ac:dyDescent="0.25">
      <c r="A585" s="1"/>
      <c r="H585" s="1"/>
      <c r="O585" s="1"/>
      <c r="V585" s="1"/>
      <c r="AC585" s="1"/>
      <c r="AJ585" s="1"/>
      <c r="AQ585" s="1"/>
      <c r="AX585" s="1"/>
      <c r="BE585" s="1"/>
    </row>
    <row r="586" spans="1:57" x14ac:dyDescent="0.25">
      <c r="A586" s="1"/>
      <c r="H586" s="1"/>
      <c r="O586" s="1"/>
      <c r="V586" s="1"/>
      <c r="AC586" s="1"/>
      <c r="AJ586" s="1"/>
      <c r="AQ586" s="1"/>
      <c r="AX586" s="1"/>
      <c r="BE586" s="1"/>
    </row>
    <row r="587" spans="1:57" x14ac:dyDescent="0.25">
      <c r="A587" s="1"/>
      <c r="H587" s="1"/>
      <c r="O587" s="1"/>
      <c r="V587" s="1"/>
      <c r="AC587" s="1"/>
      <c r="AJ587" s="1"/>
      <c r="AQ587" s="1"/>
      <c r="AX587" s="1"/>
      <c r="BE587" s="1"/>
    </row>
    <row r="588" spans="1:57" x14ac:dyDescent="0.25">
      <c r="A588" s="1"/>
      <c r="H588" s="1"/>
      <c r="O588" s="1"/>
      <c r="V588" s="1"/>
      <c r="AC588" s="1"/>
      <c r="AJ588" s="1"/>
      <c r="AQ588" s="1"/>
      <c r="AX588" s="1"/>
      <c r="BE588" s="1"/>
    </row>
    <row r="589" spans="1:57" x14ac:dyDescent="0.25">
      <c r="A589" s="1"/>
      <c r="H589" s="1"/>
      <c r="O589" s="1"/>
      <c r="V589" s="1"/>
      <c r="AC589" s="1"/>
      <c r="AJ589" s="1"/>
      <c r="AQ589" s="1"/>
      <c r="AX589" s="1"/>
      <c r="BE589" s="1"/>
    </row>
    <row r="590" spans="1:57" x14ac:dyDescent="0.25">
      <c r="A590" s="1"/>
      <c r="H590" s="1"/>
      <c r="O590" s="1"/>
      <c r="V590" s="1"/>
      <c r="AC590" s="1"/>
      <c r="AJ590" s="1"/>
      <c r="AQ590" s="1"/>
      <c r="AX590" s="1"/>
      <c r="BE590" s="1"/>
    </row>
    <row r="591" spans="1:57" x14ac:dyDescent="0.25">
      <c r="A591" s="1"/>
      <c r="H591" s="1"/>
      <c r="O591" s="1"/>
      <c r="V591" s="1"/>
      <c r="AC591" s="1"/>
      <c r="AJ591" s="1"/>
      <c r="AQ591" s="1"/>
      <c r="AX591" s="1"/>
      <c r="BE591" s="1"/>
    </row>
    <row r="592" spans="1:57" x14ac:dyDescent="0.25">
      <c r="A592" s="1"/>
      <c r="H592" s="1"/>
      <c r="O592" s="1"/>
      <c r="V592" s="1"/>
      <c r="AC592" s="1"/>
      <c r="AJ592" s="1"/>
      <c r="AQ592" s="1"/>
      <c r="AX592" s="1"/>
      <c r="BE592" s="1"/>
    </row>
    <row r="593" spans="1:57" x14ac:dyDescent="0.25">
      <c r="A593" s="1"/>
      <c r="H593" s="1"/>
      <c r="O593" s="1"/>
      <c r="V593" s="1"/>
      <c r="AC593" s="1"/>
      <c r="AJ593" s="1"/>
      <c r="AQ593" s="1"/>
      <c r="AX593" s="1"/>
      <c r="BE593" s="1"/>
    </row>
    <row r="594" spans="1:57" x14ac:dyDescent="0.25">
      <c r="A594" s="1"/>
      <c r="H594" s="1"/>
      <c r="O594" s="1"/>
      <c r="V594" s="1"/>
      <c r="AC594" s="1"/>
      <c r="AJ594" s="1"/>
      <c r="AQ594" s="1"/>
      <c r="AX594" s="1"/>
      <c r="BE594" s="1"/>
    </row>
    <row r="595" spans="1:57" x14ac:dyDescent="0.25">
      <c r="A595" s="1"/>
      <c r="H595" s="1"/>
      <c r="O595" s="1"/>
      <c r="V595" s="1"/>
      <c r="AC595" s="1"/>
      <c r="AJ595" s="1"/>
      <c r="AQ595" s="1"/>
      <c r="AX595" s="1"/>
      <c r="BE595" s="1"/>
    </row>
    <row r="596" spans="1:57" x14ac:dyDescent="0.25">
      <c r="A596" s="1"/>
      <c r="H596" s="1"/>
      <c r="O596" s="1"/>
      <c r="V596" s="1"/>
      <c r="AC596" s="1"/>
      <c r="AJ596" s="1"/>
      <c r="AQ596" s="1"/>
      <c r="AX596" s="1"/>
      <c r="BE596" s="1"/>
    </row>
    <row r="597" spans="1:57" x14ac:dyDescent="0.25">
      <c r="A597" s="1"/>
      <c r="H597" s="1"/>
      <c r="O597" s="1"/>
      <c r="V597" s="1"/>
      <c r="AC597" s="1"/>
      <c r="AJ597" s="1"/>
      <c r="AQ597" s="1"/>
      <c r="AX597" s="1"/>
      <c r="BE597" s="1"/>
    </row>
    <row r="598" spans="1:57" x14ac:dyDescent="0.25">
      <c r="A598" s="1"/>
      <c r="H598" s="1"/>
      <c r="O598" s="1"/>
      <c r="V598" s="1"/>
      <c r="AC598" s="1"/>
      <c r="AJ598" s="1"/>
      <c r="AQ598" s="1"/>
      <c r="AX598" s="1"/>
      <c r="BE598" s="1"/>
    </row>
    <row r="599" spans="1:57" x14ac:dyDescent="0.25">
      <c r="A599" s="1"/>
      <c r="H599" s="1"/>
      <c r="O599" s="1"/>
      <c r="V599" s="1"/>
      <c r="AC599" s="1"/>
      <c r="AJ599" s="1"/>
      <c r="AQ599" s="1"/>
      <c r="AX599" s="1"/>
      <c r="BE599" s="1"/>
    </row>
    <row r="600" spans="1:57" x14ac:dyDescent="0.25">
      <c r="A600" s="1"/>
      <c r="H600" s="1"/>
      <c r="O600" s="1"/>
      <c r="V600" s="1"/>
      <c r="AC600" s="1"/>
      <c r="AJ600" s="1"/>
      <c r="AQ600" s="1"/>
      <c r="AX600" s="1"/>
      <c r="BE600" s="1"/>
    </row>
    <row r="601" spans="1:57" x14ac:dyDescent="0.25">
      <c r="A601" s="1"/>
      <c r="H601" s="1"/>
      <c r="O601" s="1"/>
      <c r="V601" s="1"/>
      <c r="AC601" s="1"/>
      <c r="AJ601" s="1"/>
      <c r="AQ601" s="1"/>
      <c r="AX601" s="1"/>
      <c r="BE601" s="1"/>
    </row>
    <row r="602" spans="1:57" x14ac:dyDescent="0.25">
      <c r="A602" s="1"/>
      <c r="H602" s="1"/>
      <c r="O602" s="1"/>
      <c r="V602" s="1"/>
      <c r="AC602" s="1"/>
      <c r="AJ602" s="1"/>
      <c r="AQ602" s="1"/>
      <c r="AX602" s="1"/>
      <c r="BE602" s="1"/>
    </row>
    <row r="603" spans="1:57" x14ac:dyDescent="0.25">
      <c r="A603" s="1"/>
      <c r="H603" s="1"/>
      <c r="O603" s="1"/>
      <c r="V603" s="1"/>
      <c r="AC603" s="1"/>
      <c r="AJ603" s="1"/>
      <c r="AQ603" s="1"/>
      <c r="AX603" s="1"/>
      <c r="BE603" s="1"/>
    </row>
    <row r="604" spans="1:57" x14ac:dyDescent="0.25">
      <c r="A604" s="1"/>
      <c r="H604" s="1"/>
      <c r="O604" s="1"/>
      <c r="V604" s="1"/>
      <c r="AC604" s="1"/>
      <c r="AJ604" s="1"/>
      <c r="AQ604" s="1"/>
      <c r="AX604" s="1"/>
      <c r="BE604" s="1"/>
    </row>
    <row r="605" spans="1:57" x14ac:dyDescent="0.25">
      <c r="A605" s="1"/>
      <c r="H605" s="1"/>
      <c r="O605" s="1"/>
      <c r="V605" s="1"/>
      <c r="AC605" s="1"/>
      <c r="AJ605" s="1"/>
      <c r="AQ605" s="1"/>
      <c r="AX605" s="1"/>
      <c r="BE605" s="1"/>
    </row>
    <row r="606" spans="1:57" x14ac:dyDescent="0.25">
      <c r="A606" s="1"/>
      <c r="H606" s="1"/>
      <c r="O606" s="1"/>
      <c r="V606" s="1"/>
      <c r="AC606" s="1"/>
      <c r="AJ606" s="1"/>
      <c r="AQ606" s="1"/>
      <c r="AX606" s="1"/>
      <c r="BE606" s="1"/>
    </row>
    <row r="607" spans="1:57" x14ac:dyDescent="0.25">
      <c r="A607" s="1"/>
      <c r="H607" s="1"/>
      <c r="O607" s="1"/>
      <c r="V607" s="1"/>
      <c r="AC607" s="1"/>
      <c r="AJ607" s="1"/>
      <c r="AQ607" s="1"/>
      <c r="AX607" s="1"/>
      <c r="BE607" s="1"/>
    </row>
    <row r="608" spans="1:57" x14ac:dyDescent="0.25">
      <c r="A608" s="1"/>
      <c r="H608" s="1"/>
      <c r="O608" s="1"/>
      <c r="V608" s="1"/>
      <c r="AC608" s="1"/>
      <c r="AJ608" s="1"/>
      <c r="AQ608" s="1"/>
      <c r="AX608" s="1"/>
      <c r="BE608" s="1"/>
    </row>
    <row r="609" spans="1:57" x14ac:dyDescent="0.25">
      <c r="A609" s="1"/>
      <c r="H609" s="1"/>
      <c r="O609" s="1"/>
      <c r="V609" s="1"/>
      <c r="AC609" s="1"/>
      <c r="AJ609" s="1"/>
      <c r="AQ609" s="1"/>
      <c r="AX609" s="1"/>
      <c r="BE609" s="1"/>
    </row>
    <row r="610" spans="1:57" x14ac:dyDescent="0.25">
      <c r="A610" s="1"/>
      <c r="H610" s="1"/>
      <c r="O610" s="1"/>
      <c r="V610" s="1"/>
      <c r="AC610" s="1"/>
      <c r="AJ610" s="1"/>
      <c r="AQ610" s="1"/>
      <c r="AX610" s="1"/>
      <c r="BE610" s="1"/>
    </row>
    <row r="611" spans="1:57" x14ac:dyDescent="0.25">
      <c r="A611" s="1"/>
      <c r="H611" s="1"/>
      <c r="O611" s="1"/>
      <c r="V611" s="1"/>
      <c r="AC611" s="1"/>
      <c r="AJ611" s="1"/>
      <c r="AQ611" s="1"/>
      <c r="AX611" s="1"/>
      <c r="BE611" s="1"/>
    </row>
    <row r="612" spans="1:57" x14ac:dyDescent="0.25">
      <c r="A612" s="1"/>
      <c r="H612" s="1"/>
      <c r="O612" s="1"/>
      <c r="V612" s="1"/>
      <c r="AC612" s="1"/>
      <c r="AJ612" s="1"/>
      <c r="AQ612" s="1"/>
      <c r="AX612" s="1"/>
      <c r="BE612" s="1"/>
    </row>
    <row r="613" spans="1:57" x14ac:dyDescent="0.25">
      <c r="A613" s="1"/>
      <c r="H613" s="1"/>
      <c r="O613" s="1"/>
      <c r="V613" s="1"/>
      <c r="AC613" s="1"/>
      <c r="AJ613" s="1"/>
      <c r="AQ613" s="1"/>
      <c r="AX613" s="1"/>
      <c r="BE613" s="1"/>
    </row>
    <row r="614" spans="1:57" x14ac:dyDescent="0.25">
      <c r="A614" s="1"/>
      <c r="H614" s="1"/>
      <c r="O614" s="1"/>
      <c r="V614" s="1"/>
      <c r="AC614" s="1"/>
      <c r="AJ614" s="1"/>
      <c r="AQ614" s="1"/>
      <c r="AX614" s="1"/>
      <c r="BE614" s="1"/>
    </row>
    <row r="615" spans="1:57" x14ac:dyDescent="0.25">
      <c r="A615" s="1"/>
      <c r="H615" s="1"/>
      <c r="O615" s="1"/>
      <c r="V615" s="1"/>
      <c r="AC615" s="1"/>
      <c r="AJ615" s="1"/>
      <c r="AQ615" s="1"/>
      <c r="AX615" s="1"/>
      <c r="BE615" s="1"/>
    </row>
    <row r="616" spans="1:57" x14ac:dyDescent="0.25">
      <c r="A616" s="1"/>
      <c r="H616" s="1"/>
      <c r="O616" s="1"/>
      <c r="V616" s="1"/>
      <c r="AC616" s="1"/>
      <c r="AJ616" s="1"/>
      <c r="AQ616" s="1"/>
      <c r="AX616" s="1"/>
      <c r="BE616" s="1"/>
    </row>
    <row r="617" spans="1:57" x14ac:dyDescent="0.25">
      <c r="A617" s="1"/>
      <c r="H617" s="1"/>
      <c r="O617" s="1"/>
      <c r="V617" s="1"/>
      <c r="AC617" s="1"/>
      <c r="AJ617" s="1"/>
      <c r="AQ617" s="1"/>
      <c r="AX617" s="1"/>
      <c r="BE617" s="1"/>
    </row>
    <row r="618" spans="1:57" x14ac:dyDescent="0.25">
      <c r="A618" s="1"/>
      <c r="H618" s="1"/>
      <c r="O618" s="1"/>
      <c r="V618" s="1"/>
      <c r="AC618" s="1"/>
      <c r="AJ618" s="1"/>
      <c r="AQ618" s="1"/>
      <c r="AX618" s="1"/>
      <c r="BE618" s="1"/>
    </row>
    <row r="619" spans="1:57" x14ac:dyDescent="0.25">
      <c r="A619" s="1"/>
      <c r="H619" s="1"/>
      <c r="O619" s="1"/>
      <c r="V619" s="1"/>
      <c r="AC619" s="1"/>
      <c r="AJ619" s="1"/>
      <c r="AQ619" s="1"/>
      <c r="AX619" s="1"/>
      <c r="BE619" s="1"/>
    </row>
    <row r="620" spans="1:57" x14ac:dyDescent="0.25">
      <c r="A620" s="1"/>
      <c r="H620" s="1"/>
      <c r="O620" s="1"/>
      <c r="V620" s="1"/>
      <c r="AC620" s="1"/>
      <c r="AJ620" s="1"/>
      <c r="AQ620" s="1"/>
      <c r="AX620" s="1"/>
      <c r="BE620" s="1"/>
    </row>
    <row r="621" spans="1:57" x14ac:dyDescent="0.25">
      <c r="A621" s="1"/>
      <c r="H621" s="1"/>
      <c r="O621" s="1"/>
      <c r="V621" s="1"/>
      <c r="AC621" s="1"/>
      <c r="AJ621" s="1"/>
      <c r="AQ621" s="1"/>
      <c r="AX621" s="1"/>
      <c r="BE621" s="1"/>
    </row>
    <row r="622" spans="1:57" x14ac:dyDescent="0.25">
      <c r="A622" s="1"/>
      <c r="H622" s="1"/>
      <c r="O622" s="1"/>
      <c r="V622" s="1"/>
      <c r="AC622" s="1"/>
      <c r="AJ622" s="1"/>
      <c r="AQ622" s="1"/>
      <c r="AX622" s="1"/>
      <c r="BE622" s="1"/>
    </row>
    <row r="623" spans="1:57" x14ac:dyDescent="0.25">
      <c r="A623" s="1"/>
      <c r="H623" s="1"/>
      <c r="O623" s="1"/>
      <c r="V623" s="1"/>
      <c r="AC623" s="1"/>
      <c r="AJ623" s="1"/>
      <c r="AQ623" s="1"/>
      <c r="AX623" s="1"/>
      <c r="BE623" s="1"/>
    </row>
    <row r="624" spans="1:57" x14ac:dyDescent="0.25">
      <c r="A624" s="1"/>
      <c r="H624" s="1"/>
      <c r="O624" s="1"/>
      <c r="V624" s="1"/>
      <c r="AC624" s="1"/>
      <c r="AJ624" s="1"/>
      <c r="AQ624" s="1"/>
      <c r="AX624" s="1"/>
      <c r="BE624" s="1"/>
    </row>
    <row r="625" spans="1:57" x14ac:dyDescent="0.25">
      <c r="A625" s="1"/>
      <c r="H625" s="1"/>
      <c r="O625" s="1"/>
      <c r="V625" s="1"/>
      <c r="AC625" s="1"/>
      <c r="AJ625" s="1"/>
      <c r="AQ625" s="1"/>
      <c r="AX625" s="1"/>
      <c r="BE625" s="1"/>
    </row>
    <row r="626" spans="1:57" x14ac:dyDescent="0.25">
      <c r="A626" s="1"/>
      <c r="H626" s="1"/>
      <c r="O626" s="1"/>
      <c r="V626" s="1"/>
      <c r="AC626" s="1"/>
      <c r="AJ626" s="1"/>
      <c r="AQ626" s="1"/>
      <c r="AX626" s="1"/>
      <c r="BE626" s="1"/>
    </row>
    <row r="627" spans="1:57" x14ac:dyDescent="0.25">
      <c r="A627" s="1"/>
      <c r="H627" s="1"/>
      <c r="O627" s="1"/>
      <c r="V627" s="1"/>
      <c r="AC627" s="1"/>
      <c r="AJ627" s="1"/>
      <c r="AQ627" s="1"/>
      <c r="AX627" s="1"/>
      <c r="BE627" s="1"/>
    </row>
    <row r="628" spans="1:57" x14ac:dyDescent="0.25">
      <c r="A628" s="1"/>
      <c r="H628" s="1"/>
      <c r="O628" s="1"/>
      <c r="V628" s="1"/>
      <c r="AC628" s="1"/>
      <c r="AJ628" s="1"/>
      <c r="AQ628" s="1"/>
      <c r="AX628" s="1"/>
      <c r="BE628" s="1"/>
    </row>
    <row r="629" spans="1:57" x14ac:dyDescent="0.25">
      <c r="A629" s="1"/>
      <c r="H629" s="1"/>
      <c r="O629" s="1"/>
      <c r="V629" s="1"/>
      <c r="AC629" s="1"/>
      <c r="AJ629" s="1"/>
      <c r="AQ629" s="1"/>
      <c r="AX629" s="1"/>
      <c r="BE629" s="1"/>
    </row>
    <row r="630" spans="1:57" x14ac:dyDescent="0.25">
      <c r="A630" s="1"/>
      <c r="H630" s="1"/>
      <c r="O630" s="1"/>
      <c r="V630" s="1"/>
      <c r="AC630" s="1"/>
      <c r="AJ630" s="1"/>
      <c r="AQ630" s="1"/>
      <c r="AX630" s="1"/>
      <c r="BE630" s="1"/>
    </row>
    <row r="631" spans="1:57" x14ac:dyDescent="0.25">
      <c r="A631" s="1"/>
      <c r="H631" s="1"/>
      <c r="O631" s="1"/>
      <c r="V631" s="1"/>
      <c r="AC631" s="1"/>
      <c r="AJ631" s="1"/>
      <c r="AQ631" s="1"/>
      <c r="AX631" s="1"/>
      <c r="BE631" s="1"/>
    </row>
    <row r="632" spans="1:57" x14ac:dyDescent="0.25">
      <c r="A632" s="1"/>
      <c r="H632" s="1"/>
      <c r="O632" s="1"/>
      <c r="V632" s="1"/>
      <c r="AC632" s="1"/>
      <c r="AJ632" s="1"/>
      <c r="AQ632" s="1"/>
      <c r="AX632" s="1"/>
      <c r="BE632" s="1"/>
    </row>
    <row r="633" spans="1:57" x14ac:dyDescent="0.25">
      <c r="A633" s="1"/>
      <c r="H633" s="1"/>
      <c r="O633" s="1"/>
      <c r="V633" s="1"/>
      <c r="AC633" s="1"/>
      <c r="AJ633" s="1"/>
      <c r="AQ633" s="1"/>
      <c r="AX633" s="1"/>
      <c r="BE633" s="1"/>
    </row>
    <row r="634" spans="1:57" x14ac:dyDescent="0.25">
      <c r="A634" s="1"/>
      <c r="H634" s="1"/>
      <c r="O634" s="1"/>
      <c r="V634" s="1"/>
      <c r="AC634" s="1"/>
      <c r="AJ634" s="1"/>
      <c r="AQ634" s="1"/>
      <c r="AX634" s="1"/>
      <c r="BE634" s="1"/>
    </row>
    <row r="635" spans="1:57" x14ac:dyDescent="0.25">
      <c r="A635" s="1"/>
      <c r="H635" s="1"/>
      <c r="O635" s="1"/>
      <c r="V635" s="1"/>
      <c r="AC635" s="1"/>
      <c r="AJ635" s="1"/>
      <c r="AQ635" s="1"/>
      <c r="AX635" s="1"/>
      <c r="BE635" s="1"/>
    </row>
    <row r="636" spans="1:57" x14ac:dyDescent="0.25">
      <c r="A636" s="1"/>
      <c r="H636" s="1"/>
      <c r="O636" s="1"/>
      <c r="V636" s="1"/>
      <c r="AC636" s="1"/>
      <c r="AJ636" s="1"/>
      <c r="AQ636" s="1"/>
      <c r="AX636" s="1"/>
      <c r="BE636" s="1"/>
    </row>
    <row r="637" spans="1:57" x14ac:dyDescent="0.25">
      <c r="A637" s="1"/>
      <c r="H637" s="1"/>
      <c r="O637" s="1"/>
      <c r="V637" s="1"/>
      <c r="AC637" s="1"/>
      <c r="AJ637" s="1"/>
      <c r="AQ637" s="1"/>
      <c r="AX637" s="1"/>
      <c r="BE637" s="1"/>
    </row>
    <row r="638" spans="1:57" x14ac:dyDescent="0.25">
      <c r="A638" s="1"/>
      <c r="H638" s="1"/>
      <c r="O638" s="1"/>
      <c r="V638" s="1"/>
      <c r="AC638" s="1"/>
      <c r="AJ638" s="1"/>
      <c r="AQ638" s="1"/>
      <c r="AX638" s="1"/>
      <c r="BE638" s="1"/>
    </row>
    <row r="639" spans="1:57" x14ac:dyDescent="0.25">
      <c r="A639" s="1"/>
      <c r="H639" s="1"/>
      <c r="O639" s="1"/>
      <c r="V639" s="1"/>
      <c r="AC639" s="1"/>
      <c r="AJ639" s="1"/>
      <c r="AQ639" s="1"/>
      <c r="AX639" s="1"/>
      <c r="BE639" s="1"/>
    </row>
    <row r="640" spans="1:57" x14ac:dyDescent="0.25">
      <c r="A640" s="1"/>
      <c r="H640" s="1"/>
      <c r="O640" s="1"/>
      <c r="V640" s="1"/>
      <c r="AC640" s="1"/>
      <c r="AJ640" s="1"/>
      <c r="AQ640" s="1"/>
      <c r="AX640" s="1"/>
      <c r="BE640" s="1"/>
    </row>
    <row r="641" spans="1:57" x14ac:dyDescent="0.25">
      <c r="A641" s="1"/>
      <c r="H641" s="1"/>
      <c r="O641" s="1"/>
      <c r="V641" s="1"/>
      <c r="AC641" s="1"/>
      <c r="AJ641" s="1"/>
      <c r="AQ641" s="1"/>
      <c r="AX641" s="1"/>
      <c r="BE641" s="1"/>
    </row>
    <row r="642" spans="1:57" x14ac:dyDescent="0.25">
      <c r="A642" s="1"/>
      <c r="H642" s="1"/>
      <c r="O642" s="1"/>
      <c r="V642" s="1"/>
      <c r="AC642" s="1"/>
      <c r="AJ642" s="1"/>
      <c r="AQ642" s="1"/>
      <c r="AX642" s="1"/>
      <c r="BE642" s="1"/>
    </row>
    <row r="643" spans="1:57" x14ac:dyDescent="0.25">
      <c r="A643" s="1"/>
      <c r="H643" s="1"/>
      <c r="O643" s="1"/>
      <c r="V643" s="1"/>
      <c r="AC643" s="1"/>
      <c r="AJ643" s="1"/>
      <c r="AQ643" s="1"/>
      <c r="AX643" s="1"/>
      <c r="BE643" s="1"/>
    </row>
    <row r="644" spans="1:57" x14ac:dyDescent="0.25">
      <c r="A644" s="1"/>
      <c r="H644" s="1"/>
      <c r="O644" s="1"/>
      <c r="V644" s="1"/>
      <c r="AC644" s="1"/>
      <c r="AJ644" s="1"/>
      <c r="AQ644" s="1"/>
      <c r="AX644" s="1"/>
      <c r="BE644" s="1"/>
    </row>
    <row r="645" spans="1:57" x14ac:dyDescent="0.25">
      <c r="A645" s="1"/>
      <c r="H645" s="1"/>
      <c r="O645" s="1"/>
      <c r="V645" s="1"/>
      <c r="AC645" s="1"/>
      <c r="AJ645" s="1"/>
      <c r="AQ645" s="1"/>
      <c r="AX645" s="1"/>
      <c r="BE645" s="1"/>
    </row>
    <row r="646" spans="1:57" x14ac:dyDescent="0.25">
      <c r="A646" s="1"/>
      <c r="H646" s="1"/>
      <c r="O646" s="1"/>
      <c r="V646" s="1"/>
      <c r="AC646" s="1"/>
      <c r="AJ646" s="1"/>
      <c r="AQ646" s="1"/>
      <c r="AX646" s="1"/>
      <c r="BE646" s="1"/>
    </row>
    <row r="647" spans="1:57" x14ac:dyDescent="0.25">
      <c r="A647" s="1"/>
      <c r="H647" s="1"/>
      <c r="O647" s="1"/>
      <c r="V647" s="1"/>
      <c r="AC647" s="1"/>
      <c r="AJ647" s="1"/>
      <c r="AQ647" s="1"/>
      <c r="AX647" s="1"/>
      <c r="BE647" s="1"/>
    </row>
    <row r="648" spans="1:57" x14ac:dyDescent="0.25">
      <c r="A648" s="1"/>
      <c r="H648" s="1"/>
      <c r="O648" s="1"/>
      <c r="V648" s="1"/>
      <c r="AC648" s="1"/>
      <c r="AJ648" s="1"/>
      <c r="AQ648" s="1"/>
      <c r="AX648" s="1"/>
      <c r="BE648" s="1"/>
    </row>
    <row r="649" spans="1:57" x14ac:dyDescent="0.25">
      <c r="A649" s="1"/>
      <c r="H649" s="1"/>
      <c r="O649" s="1"/>
      <c r="V649" s="1"/>
      <c r="AC649" s="1"/>
      <c r="AJ649" s="1"/>
      <c r="AQ649" s="1"/>
      <c r="AX649" s="1"/>
      <c r="BE649" s="1"/>
    </row>
    <row r="650" spans="1:57" x14ac:dyDescent="0.25">
      <c r="A650" s="1"/>
      <c r="H650" s="1"/>
      <c r="O650" s="1"/>
      <c r="V650" s="1"/>
      <c r="AC650" s="1"/>
      <c r="AJ650" s="1"/>
      <c r="AQ650" s="1"/>
      <c r="AX650" s="1"/>
      <c r="BE650" s="1"/>
    </row>
    <row r="651" spans="1:57" x14ac:dyDescent="0.25">
      <c r="A651" s="1"/>
      <c r="H651" s="1"/>
      <c r="O651" s="1"/>
      <c r="V651" s="1"/>
      <c r="AC651" s="1"/>
      <c r="AJ651" s="1"/>
      <c r="AQ651" s="1"/>
      <c r="AX651" s="1"/>
      <c r="BE651" s="1"/>
    </row>
    <row r="652" spans="1:57" x14ac:dyDescent="0.25">
      <c r="A652" s="1"/>
      <c r="H652" s="1"/>
      <c r="O652" s="1"/>
      <c r="V652" s="1"/>
      <c r="AC652" s="1"/>
      <c r="AJ652" s="1"/>
      <c r="AQ652" s="1"/>
      <c r="AX652" s="1"/>
      <c r="BE652" s="1"/>
    </row>
    <row r="653" spans="1:57" x14ac:dyDescent="0.25">
      <c r="A653" s="1"/>
      <c r="H653" s="1"/>
      <c r="O653" s="1"/>
      <c r="V653" s="1"/>
      <c r="AC653" s="1"/>
      <c r="AJ653" s="1"/>
      <c r="AQ653" s="1"/>
      <c r="AX653" s="1"/>
      <c r="BE653" s="1"/>
    </row>
    <row r="654" spans="1:57" x14ac:dyDescent="0.25">
      <c r="A654" s="1"/>
      <c r="H654" s="1"/>
      <c r="O654" s="1"/>
      <c r="V654" s="1"/>
      <c r="AC654" s="1"/>
      <c r="AJ654" s="1"/>
      <c r="AQ654" s="1"/>
      <c r="AX654" s="1"/>
      <c r="BE654" s="1"/>
    </row>
    <row r="655" spans="1:57" x14ac:dyDescent="0.25">
      <c r="A655" s="1"/>
      <c r="H655" s="1"/>
      <c r="O655" s="1"/>
      <c r="V655" s="1"/>
      <c r="AC655" s="1"/>
      <c r="AJ655" s="1"/>
      <c r="AQ655" s="1"/>
      <c r="AX655" s="1"/>
      <c r="BE655" s="1"/>
    </row>
    <row r="656" spans="1:57" x14ac:dyDescent="0.25">
      <c r="A656" s="1"/>
      <c r="H656" s="1"/>
      <c r="O656" s="1"/>
      <c r="V656" s="1"/>
      <c r="AC656" s="1"/>
      <c r="AJ656" s="1"/>
      <c r="AQ656" s="1"/>
      <c r="AX656" s="1"/>
      <c r="BE656" s="1"/>
    </row>
    <row r="657" spans="1:57" x14ac:dyDescent="0.25">
      <c r="A657" s="1"/>
      <c r="H657" s="1"/>
      <c r="O657" s="1"/>
      <c r="V657" s="1"/>
      <c r="AC657" s="1"/>
      <c r="AJ657" s="1"/>
      <c r="AQ657" s="1"/>
      <c r="AX657" s="1"/>
      <c r="BE657" s="1"/>
    </row>
    <row r="658" spans="1:57" x14ac:dyDescent="0.25">
      <c r="A658" s="1"/>
      <c r="H658" s="1"/>
      <c r="O658" s="1"/>
      <c r="V658" s="1"/>
      <c r="AC658" s="1"/>
      <c r="AJ658" s="1"/>
      <c r="AQ658" s="1"/>
      <c r="AX658" s="1"/>
      <c r="BE658" s="1"/>
    </row>
    <row r="659" spans="1:57" x14ac:dyDescent="0.25">
      <c r="A659" s="1"/>
      <c r="H659" s="1"/>
      <c r="O659" s="1"/>
      <c r="V659" s="1"/>
      <c r="AC659" s="1"/>
      <c r="AJ659" s="1"/>
      <c r="AQ659" s="1"/>
      <c r="AX659" s="1"/>
      <c r="BE659" s="1"/>
    </row>
    <row r="660" spans="1:57" x14ac:dyDescent="0.25">
      <c r="A660" s="1"/>
      <c r="H660" s="1"/>
      <c r="O660" s="1"/>
      <c r="V660" s="1"/>
      <c r="AC660" s="1"/>
      <c r="AJ660" s="1"/>
      <c r="AQ660" s="1"/>
      <c r="AX660" s="1"/>
      <c r="BE660" s="1"/>
    </row>
    <row r="661" spans="1:57" x14ac:dyDescent="0.25">
      <c r="A661" s="1"/>
      <c r="H661" s="1"/>
      <c r="O661" s="1"/>
      <c r="V661" s="1"/>
      <c r="AC661" s="1"/>
      <c r="AJ661" s="1"/>
      <c r="AQ661" s="1"/>
      <c r="AX661" s="1"/>
      <c r="BE661" s="1"/>
    </row>
    <row r="662" spans="1:57" x14ac:dyDescent="0.25">
      <c r="A662" s="1"/>
      <c r="H662" s="1"/>
      <c r="O662" s="1"/>
      <c r="V662" s="1"/>
      <c r="AC662" s="1"/>
      <c r="AJ662" s="1"/>
      <c r="AQ662" s="1"/>
      <c r="AX662" s="1"/>
      <c r="BE662" s="1"/>
    </row>
    <row r="663" spans="1:57" x14ac:dyDescent="0.25">
      <c r="A663" s="1"/>
      <c r="H663" s="1"/>
      <c r="O663" s="1"/>
      <c r="V663" s="1"/>
      <c r="AC663" s="1"/>
      <c r="AJ663" s="1"/>
      <c r="AQ663" s="1"/>
      <c r="AX663" s="1"/>
      <c r="BE663" s="1"/>
    </row>
    <row r="664" spans="1:57" x14ac:dyDescent="0.25">
      <c r="A664" s="1"/>
      <c r="H664" s="1"/>
      <c r="O664" s="1"/>
      <c r="V664" s="1"/>
      <c r="AC664" s="1"/>
      <c r="AJ664" s="1"/>
      <c r="AQ664" s="1"/>
      <c r="AX664" s="1"/>
      <c r="BE664" s="1"/>
    </row>
    <row r="665" spans="1:57" x14ac:dyDescent="0.25">
      <c r="A665" s="1"/>
      <c r="H665" s="1"/>
      <c r="O665" s="1"/>
      <c r="V665" s="1"/>
      <c r="AC665" s="1"/>
      <c r="AJ665" s="1"/>
      <c r="AQ665" s="1"/>
      <c r="AX665" s="1"/>
      <c r="BE665" s="1"/>
    </row>
    <row r="666" spans="1:57" x14ac:dyDescent="0.25">
      <c r="A666" s="1"/>
      <c r="H666" s="1"/>
      <c r="O666" s="1"/>
      <c r="V666" s="1"/>
      <c r="AC666" s="1"/>
      <c r="AJ666" s="1"/>
      <c r="AQ666" s="1"/>
      <c r="AX666" s="1"/>
      <c r="BE666" s="1"/>
    </row>
    <row r="667" spans="1:57" x14ac:dyDescent="0.25">
      <c r="A667" s="1"/>
      <c r="H667" s="1"/>
      <c r="O667" s="1"/>
      <c r="V667" s="1"/>
      <c r="AC667" s="1"/>
      <c r="AJ667" s="1"/>
      <c r="AQ667" s="1"/>
      <c r="AX667" s="1"/>
      <c r="BE667" s="1"/>
    </row>
    <row r="668" spans="1:57" x14ac:dyDescent="0.25">
      <c r="A668" s="1"/>
      <c r="H668" s="1"/>
      <c r="O668" s="1"/>
      <c r="V668" s="1"/>
      <c r="AC668" s="1"/>
      <c r="AJ668" s="1"/>
      <c r="AQ668" s="1"/>
      <c r="AX668" s="1"/>
      <c r="BE668" s="1"/>
    </row>
    <row r="669" spans="1:57" x14ac:dyDescent="0.25">
      <c r="A669" s="1"/>
      <c r="H669" s="1"/>
      <c r="O669" s="1"/>
      <c r="V669" s="1"/>
      <c r="AC669" s="1"/>
      <c r="AJ669" s="1"/>
      <c r="AQ669" s="1"/>
      <c r="AX669" s="1"/>
      <c r="BE669" s="1"/>
    </row>
    <row r="670" spans="1:57" x14ac:dyDescent="0.25">
      <c r="A670" s="1"/>
      <c r="H670" s="1"/>
      <c r="O670" s="1"/>
      <c r="V670" s="1"/>
      <c r="AC670" s="1"/>
      <c r="AJ670" s="1"/>
      <c r="AQ670" s="1"/>
      <c r="AX670" s="1"/>
      <c r="BE670" s="1"/>
    </row>
    <row r="671" spans="1:57" x14ac:dyDescent="0.25">
      <c r="A671" s="1"/>
      <c r="H671" s="1"/>
      <c r="O671" s="1"/>
      <c r="V671" s="1"/>
      <c r="AC671" s="1"/>
      <c r="AJ671" s="1"/>
      <c r="AQ671" s="1"/>
      <c r="AX671" s="1"/>
      <c r="BE671" s="1"/>
    </row>
    <row r="672" spans="1:57" x14ac:dyDescent="0.25">
      <c r="A672" s="1"/>
      <c r="H672" s="1"/>
      <c r="O672" s="1"/>
      <c r="V672" s="1"/>
      <c r="AC672" s="1"/>
      <c r="AJ672" s="1"/>
      <c r="AQ672" s="1"/>
      <c r="AX672" s="1"/>
      <c r="BE672" s="1"/>
    </row>
    <row r="673" spans="1:57" x14ac:dyDescent="0.25">
      <c r="A673" s="1"/>
      <c r="H673" s="1"/>
      <c r="O673" s="1"/>
      <c r="V673" s="1"/>
      <c r="AC673" s="1"/>
      <c r="AJ673" s="1"/>
      <c r="AQ673" s="1"/>
      <c r="AX673" s="1"/>
      <c r="BE673" s="1"/>
    </row>
    <row r="674" spans="1:57" x14ac:dyDescent="0.25">
      <c r="A674" s="1"/>
      <c r="H674" s="1"/>
      <c r="O674" s="1"/>
      <c r="V674" s="1"/>
      <c r="AC674" s="1"/>
      <c r="AJ674" s="1"/>
      <c r="AQ674" s="1"/>
      <c r="AX674" s="1"/>
      <c r="BE674" s="1"/>
    </row>
    <row r="675" spans="1:57" x14ac:dyDescent="0.25">
      <c r="A675" s="1"/>
      <c r="H675" s="1"/>
      <c r="O675" s="1"/>
      <c r="V675" s="1"/>
      <c r="AC675" s="1"/>
      <c r="AJ675" s="1"/>
      <c r="AQ675" s="1"/>
      <c r="AX675" s="1"/>
      <c r="BE675" s="1"/>
    </row>
    <row r="676" spans="1:57" x14ac:dyDescent="0.25">
      <c r="A676" s="1"/>
      <c r="H676" s="1"/>
      <c r="O676" s="1"/>
      <c r="V676" s="1"/>
      <c r="AC676" s="1"/>
      <c r="AJ676" s="1"/>
      <c r="AQ676" s="1"/>
      <c r="AX676" s="1"/>
      <c r="BE676" s="1"/>
    </row>
    <row r="677" spans="1:57" x14ac:dyDescent="0.25">
      <c r="A677" s="1"/>
      <c r="H677" s="1"/>
      <c r="O677" s="1"/>
      <c r="V677" s="1"/>
      <c r="AC677" s="1"/>
      <c r="AJ677" s="1"/>
      <c r="AQ677" s="1"/>
      <c r="AX677" s="1"/>
      <c r="BE677" s="1"/>
    </row>
    <row r="678" spans="1:57" x14ac:dyDescent="0.25">
      <c r="A678" s="1"/>
      <c r="H678" s="1"/>
      <c r="O678" s="1"/>
      <c r="V678" s="1"/>
      <c r="AC678" s="1"/>
      <c r="AJ678" s="1"/>
      <c r="AQ678" s="1"/>
      <c r="AX678" s="1"/>
      <c r="BE678" s="1"/>
    </row>
    <row r="679" spans="1:57" x14ac:dyDescent="0.25">
      <c r="A679" s="1"/>
      <c r="H679" s="1"/>
      <c r="O679" s="1"/>
      <c r="V679" s="1"/>
      <c r="AC679" s="1"/>
      <c r="AJ679" s="1"/>
      <c r="AQ679" s="1"/>
      <c r="AX679" s="1"/>
      <c r="BE679" s="1"/>
    </row>
    <row r="680" spans="1:57" x14ac:dyDescent="0.25">
      <c r="A680" s="1"/>
      <c r="H680" s="1"/>
      <c r="O680" s="1"/>
      <c r="V680" s="1"/>
      <c r="AC680" s="1"/>
      <c r="AJ680" s="1"/>
      <c r="AQ680" s="1"/>
      <c r="AX680" s="1"/>
      <c r="BE680" s="1"/>
    </row>
    <row r="681" spans="1:57" x14ac:dyDescent="0.25">
      <c r="A681" s="1"/>
      <c r="H681" s="1"/>
      <c r="O681" s="1"/>
      <c r="V681" s="1"/>
      <c r="AC681" s="1"/>
      <c r="AJ681" s="1"/>
      <c r="AQ681" s="1"/>
      <c r="AX681" s="1"/>
      <c r="BE681" s="1"/>
    </row>
    <row r="682" spans="1:57" x14ac:dyDescent="0.25">
      <c r="A682" s="1"/>
      <c r="H682" s="1"/>
      <c r="O682" s="1"/>
      <c r="V682" s="1"/>
      <c r="AC682" s="1"/>
      <c r="AJ682" s="1"/>
      <c r="AQ682" s="1"/>
      <c r="AX682" s="1"/>
      <c r="BE682" s="1"/>
    </row>
    <row r="683" spans="1:57" x14ac:dyDescent="0.25">
      <c r="A683" s="1"/>
      <c r="H683" s="1"/>
      <c r="O683" s="1"/>
      <c r="V683" s="1"/>
      <c r="AC683" s="1"/>
      <c r="AJ683" s="1"/>
      <c r="AQ683" s="1"/>
      <c r="AX683" s="1"/>
      <c r="BE683" s="1"/>
    </row>
    <row r="684" spans="1:57" x14ac:dyDescent="0.25">
      <c r="A684" s="1"/>
      <c r="H684" s="1"/>
      <c r="O684" s="1"/>
      <c r="V684" s="1"/>
      <c r="AC684" s="1"/>
      <c r="AJ684" s="1"/>
      <c r="AQ684" s="1"/>
      <c r="AX684" s="1"/>
      <c r="BE684" s="1"/>
    </row>
    <row r="685" spans="1:57" x14ac:dyDescent="0.25">
      <c r="A685" s="1"/>
      <c r="H685" s="1"/>
      <c r="O685" s="1"/>
      <c r="V685" s="1"/>
      <c r="AC685" s="1"/>
      <c r="AJ685" s="1"/>
      <c r="AQ685" s="1"/>
      <c r="AX685" s="1"/>
      <c r="BE685" s="1"/>
    </row>
    <row r="686" spans="1:57" x14ac:dyDescent="0.25">
      <c r="A686" s="1"/>
      <c r="H686" s="1"/>
      <c r="O686" s="1"/>
      <c r="V686" s="1"/>
      <c r="AC686" s="1"/>
      <c r="AJ686" s="1"/>
      <c r="AQ686" s="1"/>
      <c r="AX686" s="1"/>
      <c r="BE686" s="1"/>
    </row>
    <row r="687" spans="1:57" x14ac:dyDescent="0.25">
      <c r="A687" s="1"/>
      <c r="H687" s="1"/>
      <c r="O687" s="1"/>
      <c r="V687" s="1"/>
      <c r="AC687" s="1"/>
      <c r="AJ687" s="1"/>
      <c r="AQ687" s="1"/>
      <c r="AX687" s="1"/>
      <c r="BE687" s="1"/>
    </row>
    <row r="688" spans="1:57" x14ac:dyDescent="0.25">
      <c r="A688" s="1"/>
      <c r="H688" s="1"/>
      <c r="O688" s="1"/>
      <c r="V688" s="1"/>
      <c r="AC688" s="1"/>
      <c r="AJ688" s="1"/>
      <c r="AQ688" s="1"/>
      <c r="AX688" s="1"/>
      <c r="BE688" s="1"/>
    </row>
    <row r="689" spans="1:57" x14ac:dyDescent="0.25">
      <c r="A689" s="1"/>
      <c r="H689" s="1"/>
      <c r="O689" s="1"/>
      <c r="V689" s="1"/>
      <c r="AC689" s="1"/>
      <c r="AJ689" s="1"/>
      <c r="AQ689" s="1"/>
      <c r="AX689" s="1"/>
      <c r="BE689" s="1"/>
    </row>
    <row r="690" spans="1:57" x14ac:dyDescent="0.25">
      <c r="A690" s="1"/>
      <c r="H690" s="1"/>
      <c r="O690" s="1"/>
      <c r="V690" s="1"/>
      <c r="AC690" s="1"/>
      <c r="AJ690" s="1"/>
      <c r="AQ690" s="1"/>
      <c r="AX690" s="1"/>
      <c r="BE690" s="1"/>
    </row>
    <row r="691" spans="1:57" x14ac:dyDescent="0.25">
      <c r="A691" s="1"/>
      <c r="H691" s="1"/>
      <c r="O691" s="1"/>
      <c r="V691" s="1"/>
      <c r="AC691" s="1"/>
      <c r="AJ691" s="1"/>
      <c r="AQ691" s="1"/>
      <c r="AX691" s="1"/>
      <c r="BE691" s="1"/>
    </row>
    <row r="692" spans="1:57" x14ac:dyDescent="0.25">
      <c r="A692" s="1"/>
      <c r="H692" s="1"/>
      <c r="O692" s="1"/>
      <c r="V692" s="1"/>
      <c r="AC692" s="1"/>
      <c r="AJ692" s="1"/>
      <c r="AQ692" s="1"/>
      <c r="AX692" s="1"/>
      <c r="BE692" s="1"/>
    </row>
    <row r="693" spans="1:57" x14ac:dyDescent="0.25">
      <c r="A693" s="1"/>
      <c r="H693" s="1"/>
      <c r="O693" s="1"/>
      <c r="V693" s="1"/>
      <c r="AC693" s="1"/>
      <c r="AJ693" s="1"/>
      <c r="AQ693" s="1"/>
      <c r="AX693" s="1"/>
      <c r="BE693" s="1"/>
    </row>
    <row r="694" spans="1:57" x14ac:dyDescent="0.25">
      <c r="A694" s="1"/>
      <c r="H694" s="1"/>
      <c r="O694" s="1"/>
      <c r="V694" s="1"/>
      <c r="AC694" s="1"/>
      <c r="AJ694" s="1"/>
      <c r="AQ694" s="1"/>
      <c r="AX694" s="1"/>
      <c r="BE694" s="1"/>
    </row>
    <row r="695" spans="1:57" x14ac:dyDescent="0.25">
      <c r="A695" s="1"/>
      <c r="H695" s="1"/>
      <c r="O695" s="1"/>
      <c r="V695" s="1"/>
      <c r="AC695" s="1"/>
      <c r="AJ695" s="1"/>
      <c r="AQ695" s="1"/>
      <c r="AX695" s="1"/>
      <c r="BE695" s="1"/>
    </row>
    <row r="696" spans="1:57" x14ac:dyDescent="0.25">
      <c r="A696" s="1"/>
      <c r="H696" s="1"/>
      <c r="O696" s="1"/>
      <c r="V696" s="1"/>
      <c r="AC696" s="1"/>
      <c r="AJ696" s="1"/>
      <c r="AQ696" s="1"/>
      <c r="AX696" s="1"/>
      <c r="BE696" s="1"/>
    </row>
    <row r="697" spans="1:57" x14ac:dyDescent="0.25">
      <c r="A697" s="1"/>
      <c r="H697" s="1"/>
      <c r="O697" s="1"/>
      <c r="V697" s="1"/>
      <c r="AC697" s="1"/>
      <c r="AJ697" s="1"/>
      <c r="AQ697" s="1"/>
      <c r="AX697" s="1"/>
      <c r="BE697" s="1"/>
    </row>
    <row r="698" spans="1:57" x14ac:dyDescent="0.25">
      <c r="A698" s="1"/>
      <c r="H698" s="1"/>
      <c r="O698" s="1"/>
      <c r="V698" s="1"/>
      <c r="AC698" s="1"/>
      <c r="AJ698" s="1"/>
      <c r="AQ698" s="1"/>
      <c r="AX698" s="1"/>
      <c r="BE698" s="1"/>
    </row>
    <row r="699" spans="1:57" x14ac:dyDescent="0.25">
      <c r="A699" s="1"/>
      <c r="H699" s="1"/>
      <c r="O699" s="1"/>
      <c r="V699" s="1"/>
      <c r="AC699" s="1"/>
      <c r="AJ699" s="1"/>
      <c r="AQ699" s="1"/>
      <c r="AX699" s="1"/>
      <c r="BE699" s="1"/>
    </row>
    <row r="700" spans="1:57" x14ac:dyDescent="0.25">
      <c r="A700" s="1"/>
      <c r="H700" s="1"/>
      <c r="O700" s="1"/>
      <c r="V700" s="1"/>
      <c r="AC700" s="1"/>
      <c r="AJ700" s="1"/>
      <c r="AQ700" s="1"/>
      <c r="AX700" s="1"/>
      <c r="BE700" s="1"/>
    </row>
    <row r="701" spans="1:57" x14ac:dyDescent="0.25">
      <c r="A701" s="1"/>
      <c r="H701" s="1"/>
      <c r="O701" s="1"/>
      <c r="V701" s="1"/>
      <c r="AC701" s="1"/>
      <c r="AJ701" s="1"/>
      <c r="AQ701" s="1"/>
      <c r="AX701" s="1"/>
      <c r="BE701" s="1"/>
    </row>
    <row r="702" spans="1:57" x14ac:dyDescent="0.25">
      <c r="A702" s="1"/>
      <c r="H702" s="1"/>
      <c r="O702" s="1"/>
      <c r="V702" s="1"/>
      <c r="AC702" s="1"/>
      <c r="AJ702" s="1"/>
      <c r="AQ702" s="1"/>
      <c r="AX702" s="1"/>
      <c r="BE702" s="1"/>
    </row>
    <row r="703" spans="1:57" x14ac:dyDescent="0.25">
      <c r="A703" s="1"/>
      <c r="H703" s="1"/>
      <c r="O703" s="1"/>
      <c r="V703" s="1"/>
      <c r="AC703" s="1"/>
      <c r="AJ703" s="1"/>
      <c r="AQ703" s="1"/>
      <c r="AX703" s="1"/>
      <c r="BE703" s="1"/>
    </row>
    <row r="704" spans="1:57" x14ac:dyDescent="0.25">
      <c r="A704" s="1"/>
      <c r="H704" s="1"/>
      <c r="O704" s="1"/>
      <c r="V704" s="1"/>
      <c r="AC704" s="1"/>
      <c r="AJ704" s="1"/>
      <c r="AQ704" s="1"/>
      <c r="AX704" s="1"/>
      <c r="BE704" s="1"/>
    </row>
    <row r="705" spans="1:57" x14ac:dyDescent="0.25">
      <c r="A705" s="1"/>
      <c r="H705" s="1"/>
      <c r="O705" s="1"/>
      <c r="V705" s="1"/>
      <c r="AC705" s="1"/>
      <c r="AJ705" s="1"/>
      <c r="AQ705" s="1"/>
      <c r="AX705" s="1"/>
      <c r="BE705" s="1"/>
    </row>
    <row r="706" spans="1:57" x14ac:dyDescent="0.25">
      <c r="A706" s="1"/>
      <c r="H706" s="1"/>
      <c r="O706" s="1"/>
      <c r="V706" s="1"/>
      <c r="AC706" s="1"/>
      <c r="AJ706" s="1"/>
      <c r="AQ706" s="1"/>
      <c r="AX706" s="1"/>
      <c r="BE706" s="1"/>
    </row>
    <row r="707" spans="1:57" x14ac:dyDescent="0.25">
      <c r="A707" s="1"/>
      <c r="H707" s="1"/>
      <c r="O707" s="1"/>
      <c r="V707" s="1"/>
      <c r="AC707" s="1"/>
      <c r="AJ707" s="1"/>
      <c r="AQ707" s="1"/>
      <c r="AX707" s="1"/>
      <c r="BE707" s="1"/>
    </row>
    <row r="708" spans="1:57" x14ac:dyDescent="0.25">
      <c r="A708" s="1"/>
      <c r="H708" s="1"/>
      <c r="O708" s="1"/>
      <c r="V708" s="1"/>
      <c r="AC708" s="1"/>
      <c r="AJ708" s="1"/>
      <c r="AQ708" s="1"/>
      <c r="AX708" s="1"/>
      <c r="BE708" s="1"/>
    </row>
    <row r="709" spans="1:57" x14ac:dyDescent="0.25">
      <c r="A709" s="1"/>
      <c r="H709" s="1"/>
      <c r="O709" s="1"/>
      <c r="V709" s="1"/>
      <c r="AC709" s="1"/>
      <c r="AJ709" s="1"/>
      <c r="AQ709" s="1"/>
      <c r="AX709" s="1"/>
      <c r="BE709" s="1"/>
    </row>
    <row r="710" spans="1:57" x14ac:dyDescent="0.25">
      <c r="A710" s="1"/>
      <c r="H710" s="1"/>
      <c r="O710" s="1"/>
      <c r="V710" s="1"/>
      <c r="AC710" s="1"/>
      <c r="AJ710" s="1"/>
      <c r="AQ710" s="1"/>
      <c r="AX710" s="1"/>
      <c r="BE710" s="1"/>
    </row>
    <row r="711" spans="1:57" x14ac:dyDescent="0.25">
      <c r="A711" s="1"/>
      <c r="H711" s="1"/>
      <c r="O711" s="1"/>
      <c r="V711" s="1"/>
      <c r="AC711" s="1"/>
      <c r="AJ711" s="1"/>
      <c r="AQ711" s="1"/>
      <c r="AX711" s="1"/>
      <c r="BE711" s="1"/>
    </row>
    <row r="712" spans="1:57" x14ac:dyDescent="0.25">
      <c r="A712" s="1"/>
      <c r="H712" s="1"/>
      <c r="O712" s="1"/>
      <c r="V712" s="1"/>
      <c r="AC712" s="1"/>
      <c r="AJ712" s="1"/>
      <c r="AQ712" s="1"/>
      <c r="AX712" s="1"/>
      <c r="BE712" s="1"/>
    </row>
    <row r="713" spans="1:57" x14ac:dyDescent="0.25">
      <c r="A713" s="1"/>
      <c r="H713" s="1"/>
      <c r="O713" s="1"/>
      <c r="V713" s="1"/>
      <c r="AC713" s="1"/>
      <c r="AJ713" s="1"/>
      <c r="AQ713" s="1"/>
      <c r="AX713" s="1"/>
      <c r="BE713" s="1"/>
    </row>
    <row r="714" spans="1:57" x14ac:dyDescent="0.25">
      <c r="A714" s="1"/>
      <c r="H714" s="1"/>
      <c r="O714" s="1"/>
      <c r="V714" s="1"/>
      <c r="AC714" s="1"/>
      <c r="AJ714" s="1"/>
      <c r="AQ714" s="1"/>
      <c r="AX714" s="1"/>
      <c r="BE714" s="1"/>
    </row>
    <row r="715" spans="1:57" x14ac:dyDescent="0.25">
      <c r="A715" s="1"/>
      <c r="H715" s="1"/>
      <c r="O715" s="1"/>
      <c r="V715" s="1"/>
      <c r="AC715" s="1"/>
      <c r="AJ715" s="1"/>
      <c r="AQ715" s="1"/>
      <c r="AX715" s="1"/>
      <c r="BE715" s="1"/>
    </row>
    <row r="716" spans="1:57" x14ac:dyDescent="0.25">
      <c r="A716" s="1"/>
      <c r="H716" s="1"/>
      <c r="O716" s="1"/>
      <c r="V716" s="1"/>
      <c r="AC716" s="1"/>
      <c r="AJ716" s="1"/>
      <c r="AQ716" s="1"/>
      <c r="AX716" s="1"/>
      <c r="BE716" s="1"/>
    </row>
    <row r="717" spans="1:57" x14ac:dyDescent="0.25">
      <c r="A717" s="1"/>
      <c r="H717" s="1"/>
      <c r="O717" s="1"/>
      <c r="V717" s="1"/>
      <c r="AC717" s="1"/>
      <c r="AJ717" s="1"/>
      <c r="AQ717" s="1"/>
      <c r="AX717" s="1"/>
      <c r="BE717" s="1"/>
    </row>
    <row r="718" spans="1:57" x14ac:dyDescent="0.25">
      <c r="A718" s="1"/>
      <c r="H718" s="1"/>
      <c r="O718" s="1"/>
      <c r="V718" s="1"/>
      <c r="AC718" s="1"/>
      <c r="AJ718" s="1"/>
      <c r="AQ718" s="1"/>
      <c r="AX718" s="1"/>
      <c r="BE718" s="1"/>
    </row>
    <row r="719" spans="1:57" x14ac:dyDescent="0.25">
      <c r="A719" s="1"/>
      <c r="H719" s="1"/>
      <c r="O719" s="1"/>
      <c r="V719" s="1"/>
      <c r="AC719" s="1"/>
      <c r="AJ719" s="1"/>
      <c r="AQ719" s="1"/>
      <c r="AX719" s="1"/>
      <c r="BE719" s="1"/>
    </row>
    <row r="720" spans="1:57" x14ac:dyDescent="0.25">
      <c r="A720" s="1"/>
      <c r="H720" s="1"/>
      <c r="O720" s="1"/>
      <c r="V720" s="1"/>
      <c r="AC720" s="1"/>
      <c r="AJ720" s="1"/>
      <c r="AQ720" s="1"/>
      <c r="AX720" s="1"/>
      <c r="BE720" s="1"/>
    </row>
    <row r="721" spans="1:57" x14ac:dyDescent="0.25">
      <c r="A721" s="1"/>
      <c r="H721" s="1"/>
      <c r="O721" s="1"/>
      <c r="V721" s="1"/>
      <c r="AC721" s="1"/>
      <c r="AJ721" s="1"/>
      <c r="AQ721" s="1"/>
      <c r="AX721" s="1"/>
      <c r="BE721" s="1"/>
    </row>
    <row r="722" spans="1:57" x14ac:dyDescent="0.25">
      <c r="A722" s="1"/>
      <c r="H722" s="1"/>
      <c r="O722" s="1"/>
      <c r="V722" s="1"/>
      <c r="AC722" s="1"/>
      <c r="AJ722" s="1"/>
      <c r="AQ722" s="1"/>
      <c r="AX722" s="1"/>
      <c r="BE722" s="1"/>
    </row>
    <row r="723" spans="1:57" x14ac:dyDescent="0.25">
      <c r="A723" s="1"/>
      <c r="H723" s="1"/>
      <c r="O723" s="1"/>
      <c r="V723" s="1"/>
      <c r="AC723" s="1"/>
      <c r="AJ723" s="1"/>
      <c r="AQ723" s="1"/>
      <c r="AX723" s="1"/>
      <c r="BE723" s="1"/>
    </row>
    <row r="724" spans="1:57" x14ac:dyDescent="0.25">
      <c r="A724" s="1"/>
      <c r="H724" s="1"/>
      <c r="O724" s="1"/>
      <c r="V724" s="1"/>
      <c r="AC724" s="1"/>
      <c r="AJ724" s="1"/>
      <c r="AQ724" s="1"/>
      <c r="AX724" s="1"/>
      <c r="BE724" s="1"/>
    </row>
    <row r="725" spans="1:57" x14ac:dyDescent="0.25">
      <c r="A725" s="1"/>
      <c r="H725" s="1"/>
      <c r="O725" s="1"/>
      <c r="V725" s="1"/>
      <c r="AC725" s="1"/>
      <c r="AJ725" s="1"/>
      <c r="AQ725" s="1"/>
      <c r="AX725" s="1"/>
      <c r="BE725" s="1"/>
    </row>
    <row r="726" spans="1:57" x14ac:dyDescent="0.25">
      <c r="A726" s="1"/>
      <c r="H726" s="1"/>
      <c r="O726" s="1"/>
      <c r="V726" s="1"/>
      <c r="AC726" s="1"/>
      <c r="AJ726" s="1"/>
      <c r="AQ726" s="1"/>
      <c r="AX726" s="1"/>
      <c r="BE726" s="1"/>
    </row>
    <row r="727" spans="1:57" x14ac:dyDescent="0.25">
      <c r="A727" s="1"/>
      <c r="H727" s="1"/>
      <c r="O727" s="1"/>
      <c r="V727" s="1"/>
      <c r="AC727" s="1"/>
      <c r="AJ727" s="1"/>
      <c r="AQ727" s="1"/>
      <c r="AX727" s="1"/>
      <c r="BE727" s="1"/>
    </row>
    <row r="728" spans="1:57" x14ac:dyDescent="0.25">
      <c r="A728" s="1"/>
      <c r="H728" s="1"/>
      <c r="O728" s="1"/>
      <c r="V728" s="1"/>
      <c r="AC728" s="1"/>
      <c r="AJ728" s="1"/>
      <c r="AQ728" s="1"/>
      <c r="AX728" s="1"/>
      <c r="BE728" s="1"/>
    </row>
    <row r="729" spans="1:57" x14ac:dyDescent="0.25">
      <c r="A729" s="1"/>
      <c r="H729" s="1"/>
      <c r="O729" s="1"/>
      <c r="V729" s="1"/>
      <c r="AC729" s="1"/>
      <c r="AJ729" s="1"/>
      <c r="AQ729" s="1"/>
      <c r="AX729" s="1"/>
      <c r="BE729" s="1"/>
    </row>
    <row r="730" spans="1:57" x14ac:dyDescent="0.25">
      <c r="A730" s="1"/>
      <c r="H730" s="1"/>
      <c r="O730" s="1"/>
      <c r="V730" s="1"/>
      <c r="AC730" s="1"/>
      <c r="AJ730" s="1"/>
      <c r="AQ730" s="1"/>
      <c r="AX730" s="1"/>
      <c r="BE730" s="1"/>
    </row>
    <row r="731" spans="1:57" x14ac:dyDescent="0.25">
      <c r="A731" s="1"/>
      <c r="H731" s="1"/>
      <c r="O731" s="1"/>
      <c r="V731" s="1"/>
      <c r="AC731" s="1"/>
      <c r="AJ731" s="1"/>
      <c r="AQ731" s="1"/>
      <c r="AX731" s="1"/>
      <c r="BE731" s="1"/>
    </row>
    <row r="732" spans="1:57" x14ac:dyDescent="0.25">
      <c r="A732" s="1"/>
      <c r="H732" s="1"/>
      <c r="O732" s="1"/>
      <c r="V732" s="1"/>
      <c r="AC732" s="1"/>
      <c r="AJ732" s="1"/>
      <c r="AQ732" s="1"/>
      <c r="AX732" s="1"/>
      <c r="BE732" s="1"/>
    </row>
    <row r="733" spans="1:57" x14ac:dyDescent="0.25">
      <c r="A733" s="1"/>
      <c r="H733" s="1"/>
      <c r="O733" s="1"/>
      <c r="V733" s="1"/>
      <c r="AC733" s="1"/>
      <c r="AJ733" s="1"/>
      <c r="AQ733" s="1"/>
      <c r="AX733" s="1"/>
      <c r="BE733" s="1"/>
    </row>
    <row r="734" spans="1:57" x14ac:dyDescent="0.25">
      <c r="A734" s="1"/>
      <c r="H734" s="1"/>
      <c r="O734" s="1"/>
      <c r="V734" s="1"/>
      <c r="AC734" s="1"/>
      <c r="AJ734" s="1"/>
      <c r="AQ734" s="1"/>
      <c r="AX734" s="1"/>
      <c r="BE734" s="1"/>
    </row>
    <row r="735" spans="1:57" x14ac:dyDescent="0.25">
      <c r="A735" s="1"/>
      <c r="H735" s="1"/>
      <c r="O735" s="1"/>
      <c r="V735" s="1"/>
      <c r="AC735" s="1"/>
      <c r="AJ735" s="1"/>
      <c r="AQ735" s="1"/>
      <c r="AX735" s="1"/>
      <c r="BE735" s="1"/>
    </row>
    <row r="736" spans="1:57" x14ac:dyDescent="0.25">
      <c r="A736" s="1"/>
      <c r="H736" s="1"/>
      <c r="O736" s="1"/>
      <c r="V736" s="1"/>
      <c r="AC736" s="1"/>
      <c r="AJ736" s="1"/>
      <c r="AQ736" s="1"/>
      <c r="AX736" s="1"/>
      <c r="BE736" s="1"/>
    </row>
    <row r="737" spans="1:57" x14ac:dyDescent="0.25">
      <c r="A737" s="1"/>
      <c r="H737" s="1"/>
      <c r="O737" s="1"/>
      <c r="V737" s="1"/>
      <c r="AC737" s="1"/>
      <c r="AJ737" s="1"/>
      <c r="AQ737" s="1"/>
      <c r="AX737" s="1"/>
      <c r="BE737" s="1"/>
    </row>
    <row r="738" spans="1:57" x14ac:dyDescent="0.25">
      <c r="A738" s="1"/>
      <c r="H738" s="1"/>
      <c r="O738" s="1"/>
      <c r="V738" s="1"/>
      <c r="AC738" s="1"/>
      <c r="AJ738" s="1"/>
      <c r="AQ738" s="1"/>
      <c r="AX738" s="1"/>
      <c r="BE738" s="1"/>
    </row>
    <row r="739" spans="1:57" x14ac:dyDescent="0.25">
      <c r="A739" s="1"/>
      <c r="H739" s="1"/>
      <c r="O739" s="1"/>
      <c r="V739" s="1"/>
      <c r="AC739" s="1"/>
      <c r="AJ739" s="1"/>
      <c r="AQ739" s="1"/>
      <c r="AX739" s="1"/>
      <c r="BE739" s="1"/>
    </row>
    <row r="740" spans="1:57" x14ac:dyDescent="0.25">
      <c r="A740" s="1"/>
      <c r="H740" s="1"/>
      <c r="O740" s="1"/>
      <c r="V740" s="1"/>
      <c r="AC740" s="1"/>
      <c r="AJ740" s="1"/>
      <c r="AQ740" s="1"/>
      <c r="AX740" s="1"/>
      <c r="BE740" s="1"/>
    </row>
    <row r="741" spans="1:57" x14ac:dyDescent="0.25">
      <c r="A741" s="1"/>
      <c r="H741" s="1"/>
      <c r="O741" s="1"/>
      <c r="V741" s="1"/>
      <c r="AC741" s="1"/>
      <c r="AJ741" s="1"/>
      <c r="AQ741" s="1"/>
      <c r="AX741" s="1"/>
      <c r="BE741" s="1"/>
    </row>
    <row r="742" spans="1:57" x14ac:dyDescent="0.25">
      <c r="A742" s="1"/>
      <c r="H742" s="1"/>
      <c r="O742" s="1"/>
      <c r="V742" s="1"/>
      <c r="AC742" s="1"/>
      <c r="AJ742" s="1"/>
      <c r="AQ742" s="1"/>
      <c r="AX742" s="1"/>
      <c r="BE742" s="1"/>
    </row>
    <row r="743" spans="1:57" x14ac:dyDescent="0.25">
      <c r="A743" s="1"/>
      <c r="H743" s="1"/>
      <c r="O743" s="1"/>
      <c r="V743" s="1"/>
      <c r="AC743" s="1"/>
      <c r="AJ743" s="1"/>
      <c r="AQ743" s="1"/>
      <c r="AX743" s="1"/>
      <c r="BE743" s="1"/>
    </row>
    <row r="744" spans="1:57" x14ac:dyDescent="0.25">
      <c r="A744" s="1"/>
      <c r="H744" s="1"/>
      <c r="O744" s="1"/>
      <c r="V744" s="1"/>
      <c r="AC744" s="1"/>
      <c r="AJ744" s="1"/>
      <c r="AQ744" s="1"/>
      <c r="AX744" s="1"/>
      <c r="BE744" s="1"/>
    </row>
    <row r="745" spans="1:57" x14ac:dyDescent="0.25">
      <c r="A745" s="1"/>
      <c r="H745" s="1"/>
      <c r="O745" s="1"/>
      <c r="V745" s="1"/>
      <c r="AC745" s="1"/>
      <c r="AJ745" s="1"/>
      <c r="AQ745" s="1"/>
      <c r="AX745" s="1"/>
      <c r="BE745" s="1"/>
    </row>
    <row r="746" spans="1:57" x14ac:dyDescent="0.25">
      <c r="A746" s="1"/>
      <c r="H746" s="1"/>
      <c r="O746" s="1"/>
      <c r="V746" s="1"/>
      <c r="AC746" s="1"/>
      <c r="AJ746" s="1"/>
      <c r="AQ746" s="1"/>
      <c r="AX746" s="1"/>
      <c r="BE746" s="1"/>
    </row>
    <row r="747" spans="1:57" x14ac:dyDescent="0.25">
      <c r="A747" s="1"/>
      <c r="H747" s="1"/>
      <c r="O747" s="1"/>
      <c r="V747" s="1"/>
      <c r="AC747" s="1"/>
      <c r="AJ747" s="1"/>
      <c r="AQ747" s="1"/>
      <c r="AX747" s="1"/>
      <c r="BE747" s="1"/>
    </row>
    <row r="748" spans="1:57" x14ac:dyDescent="0.25">
      <c r="A748" s="1"/>
      <c r="H748" s="1"/>
      <c r="O748" s="1"/>
      <c r="V748" s="1"/>
      <c r="AC748" s="1"/>
      <c r="AJ748" s="1"/>
      <c r="AQ748" s="1"/>
      <c r="AX748" s="1"/>
      <c r="BE748" s="1"/>
    </row>
    <row r="749" spans="1:57" x14ac:dyDescent="0.25">
      <c r="A749" s="1"/>
      <c r="H749" s="1"/>
      <c r="O749" s="1"/>
      <c r="V749" s="1"/>
      <c r="AC749" s="1"/>
      <c r="AJ749" s="1"/>
      <c r="AQ749" s="1"/>
      <c r="AX749" s="1"/>
      <c r="BE749" s="1"/>
    </row>
    <row r="750" spans="1:57" x14ac:dyDescent="0.25">
      <c r="A750" s="1"/>
      <c r="H750" s="1"/>
      <c r="O750" s="1"/>
      <c r="V750" s="1"/>
      <c r="AC750" s="1"/>
      <c r="AJ750" s="1"/>
      <c r="AQ750" s="1"/>
      <c r="AX750" s="1"/>
      <c r="BE750" s="1"/>
    </row>
    <row r="751" spans="1:57" x14ac:dyDescent="0.25">
      <c r="A751" s="1"/>
      <c r="H751" s="1"/>
      <c r="O751" s="1"/>
      <c r="V751" s="1"/>
      <c r="AC751" s="1"/>
      <c r="AJ751" s="1"/>
      <c r="AQ751" s="1"/>
      <c r="AX751" s="1"/>
      <c r="BE751" s="1"/>
    </row>
    <row r="752" spans="1:57" x14ac:dyDescent="0.25">
      <c r="A752" s="1"/>
      <c r="H752" s="1"/>
      <c r="O752" s="1"/>
      <c r="V752" s="1"/>
      <c r="AC752" s="1"/>
      <c r="AJ752" s="1"/>
      <c r="AQ752" s="1"/>
      <c r="AX752" s="1"/>
      <c r="BE752" s="1"/>
    </row>
    <row r="753" spans="1:57" x14ac:dyDescent="0.25">
      <c r="A753" s="1"/>
      <c r="H753" s="1"/>
      <c r="O753" s="1"/>
      <c r="V753" s="1"/>
      <c r="AC753" s="1"/>
      <c r="AJ753" s="1"/>
      <c r="AQ753" s="1"/>
      <c r="AX753" s="1"/>
      <c r="BE753" s="1"/>
    </row>
    <row r="754" spans="1:57" x14ac:dyDescent="0.25">
      <c r="A754" s="1"/>
      <c r="H754" s="1"/>
      <c r="O754" s="1"/>
      <c r="V754" s="1"/>
      <c r="AC754" s="1"/>
      <c r="AJ754" s="1"/>
      <c r="AQ754" s="1"/>
      <c r="AX754" s="1"/>
      <c r="BE754" s="1"/>
    </row>
    <row r="755" spans="1:57" x14ac:dyDescent="0.25">
      <c r="A755" s="1"/>
      <c r="H755" s="1"/>
      <c r="O755" s="1"/>
      <c r="V755" s="1"/>
      <c r="AC755" s="1"/>
      <c r="AJ755" s="1"/>
      <c r="AQ755" s="1"/>
      <c r="AX755" s="1"/>
      <c r="BE755" s="1"/>
    </row>
    <row r="756" spans="1:57" x14ac:dyDescent="0.25">
      <c r="A756" s="1"/>
      <c r="H756" s="1"/>
      <c r="O756" s="1"/>
      <c r="V756" s="1"/>
      <c r="AC756" s="1"/>
      <c r="AJ756" s="1"/>
      <c r="AQ756" s="1"/>
      <c r="AX756" s="1"/>
      <c r="BE756" s="1"/>
    </row>
    <row r="757" spans="1:57" x14ac:dyDescent="0.25">
      <c r="A757" s="1"/>
      <c r="H757" s="1"/>
      <c r="O757" s="1"/>
      <c r="V757" s="1"/>
      <c r="AC757" s="1"/>
      <c r="AJ757" s="1"/>
      <c r="AQ757" s="1"/>
      <c r="AX757" s="1"/>
      <c r="BE757" s="1"/>
    </row>
    <row r="758" spans="1:57" x14ac:dyDescent="0.25">
      <c r="A758" s="1"/>
      <c r="H758" s="1"/>
      <c r="O758" s="1"/>
      <c r="V758" s="1"/>
      <c r="AC758" s="1"/>
      <c r="AJ758" s="1"/>
      <c r="AQ758" s="1"/>
      <c r="AX758" s="1"/>
      <c r="BE758" s="1"/>
    </row>
    <row r="759" spans="1:57" x14ac:dyDescent="0.25">
      <c r="A759" s="1"/>
      <c r="H759" s="1"/>
      <c r="O759" s="1"/>
      <c r="V759" s="1"/>
      <c r="AC759" s="1"/>
      <c r="AJ759" s="1"/>
      <c r="AQ759" s="1"/>
      <c r="AX759" s="1"/>
      <c r="BE759" s="1"/>
    </row>
    <row r="760" spans="1:57" x14ac:dyDescent="0.25">
      <c r="A760" s="1"/>
      <c r="H760" s="1"/>
      <c r="O760" s="1"/>
      <c r="V760" s="1"/>
      <c r="AC760" s="1"/>
      <c r="AJ760" s="1"/>
      <c r="AQ760" s="1"/>
      <c r="AX760" s="1"/>
      <c r="BE760" s="1"/>
    </row>
    <row r="761" spans="1:57" x14ac:dyDescent="0.25">
      <c r="A761" s="1"/>
      <c r="H761" s="1"/>
      <c r="O761" s="1"/>
      <c r="V761" s="1"/>
      <c r="AC761" s="1"/>
      <c r="AJ761" s="1"/>
      <c r="AQ761" s="1"/>
      <c r="AX761" s="1"/>
      <c r="BE761" s="1"/>
    </row>
    <row r="762" spans="1:57" x14ac:dyDescent="0.25">
      <c r="A762" s="1"/>
      <c r="H762" s="1"/>
      <c r="O762" s="1"/>
      <c r="V762" s="1"/>
      <c r="AC762" s="1"/>
      <c r="AJ762" s="1"/>
      <c r="AQ762" s="1"/>
      <c r="AX762" s="1"/>
      <c r="BE762" s="1"/>
    </row>
    <row r="763" spans="1:57" x14ac:dyDescent="0.25">
      <c r="A763" s="1"/>
      <c r="H763" s="1"/>
      <c r="O763" s="1"/>
      <c r="V763" s="1"/>
      <c r="AC763" s="1"/>
      <c r="AJ763" s="1"/>
      <c r="AQ763" s="1"/>
      <c r="AX763" s="1"/>
      <c r="BE763" s="1"/>
    </row>
    <row r="764" spans="1:57" x14ac:dyDescent="0.25">
      <c r="A764" s="1"/>
      <c r="H764" s="1"/>
      <c r="O764" s="1"/>
      <c r="V764" s="1"/>
      <c r="AC764" s="1"/>
      <c r="AJ764" s="1"/>
      <c r="AQ764" s="1"/>
      <c r="AX764" s="1"/>
      <c r="BE764" s="1"/>
    </row>
    <row r="765" spans="1:57" x14ac:dyDescent="0.25">
      <c r="A765" s="1"/>
      <c r="H765" s="1"/>
      <c r="O765" s="1"/>
      <c r="V765" s="1"/>
      <c r="AC765" s="1"/>
      <c r="AJ765" s="1"/>
      <c r="AQ765" s="1"/>
      <c r="AX765" s="1"/>
      <c r="BE765" s="1"/>
    </row>
    <row r="766" spans="1:57" x14ac:dyDescent="0.25">
      <c r="A766" s="1"/>
      <c r="H766" s="1"/>
      <c r="O766" s="1"/>
      <c r="V766" s="1"/>
      <c r="AC766" s="1"/>
      <c r="AJ766" s="1"/>
      <c r="AQ766" s="1"/>
      <c r="AX766" s="1"/>
      <c r="BE766" s="1"/>
    </row>
    <row r="767" spans="1:57" x14ac:dyDescent="0.25">
      <c r="A767" s="1"/>
      <c r="H767" s="1"/>
      <c r="O767" s="1"/>
      <c r="V767" s="1"/>
      <c r="AC767" s="1"/>
      <c r="AJ767" s="1"/>
      <c r="AQ767" s="1"/>
      <c r="AX767" s="1"/>
      <c r="BE767" s="1"/>
    </row>
    <row r="768" spans="1:57" x14ac:dyDescent="0.25">
      <c r="A768" s="1"/>
      <c r="H768" s="1"/>
      <c r="O768" s="1"/>
      <c r="V768" s="1"/>
      <c r="AC768" s="1"/>
      <c r="AJ768" s="1"/>
      <c r="AQ768" s="1"/>
      <c r="AX768" s="1"/>
      <c r="BE768" s="1"/>
    </row>
    <row r="769" spans="1:57" x14ac:dyDescent="0.25">
      <c r="A769" s="1"/>
      <c r="H769" s="1"/>
      <c r="O769" s="1"/>
      <c r="V769" s="1"/>
      <c r="AC769" s="1"/>
      <c r="AJ769" s="1"/>
      <c r="AQ769" s="1"/>
      <c r="AX769" s="1"/>
      <c r="BE769" s="1"/>
    </row>
    <row r="770" spans="1:57" x14ac:dyDescent="0.25">
      <c r="A770" s="1"/>
      <c r="H770" s="1"/>
      <c r="O770" s="1"/>
      <c r="V770" s="1"/>
      <c r="AC770" s="1"/>
      <c r="AJ770" s="1"/>
      <c r="AQ770" s="1"/>
      <c r="AX770" s="1"/>
      <c r="BE770" s="1"/>
    </row>
    <row r="771" spans="1:57" x14ac:dyDescent="0.25">
      <c r="A771" s="1"/>
      <c r="H771" s="1"/>
      <c r="O771" s="1"/>
      <c r="V771" s="1"/>
      <c r="AC771" s="1"/>
      <c r="AJ771" s="1"/>
      <c r="AQ771" s="1"/>
      <c r="AX771" s="1"/>
      <c r="BE771" s="1"/>
    </row>
    <row r="772" spans="1:57" x14ac:dyDescent="0.25">
      <c r="A772" s="1"/>
      <c r="H772" s="1"/>
      <c r="O772" s="1"/>
      <c r="V772" s="1"/>
      <c r="AC772" s="1"/>
      <c r="AJ772" s="1"/>
      <c r="AQ772" s="1"/>
      <c r="AX772" s="1"/>
      <c r="BE772" s="1"/>
    </row>
    <row r="773" spans="1:57" x14ac:dyDescent="0.25">
      <c r="A773" s="1"/>
      <c r="H773" s="1"/>
      <c r="O773" s="1"/>
      <c r="V773" s="1"/>
      <c r="AC773" s="1"/>
      <c r="AJ773" s="1"/>
      <c r="AQ773" s="1"/>
      <c r="AX773" s="1"/>
      <c r="BE773" s="1"/>
    </row>
    <row r="774" spans="1:57" x14ac:dyDescent="0.25">
      <c r="A774" s="1"/>
      <c r="H774" s="1"/>
      <c r="O774" s="1"/>
      <c r="V774" s="1"/>
      <c r="AC774" s="1"/>
      <c r="AJ774" s="1"/>
      <c r="AQ774" s="1"/>
      <c r="AX774" s="1"/>
      <c r="BE774" s="1"/>
    </row>
    <row r="775" spans="1:57" x14ac:dyDescent="0.25">
      <c r="A775" s="1"/>
      <c r="H775" s="1"/>
      <c r="O775" s="1"/>
      <c r="V775" s="1"/>
      <c r="AC775" s="1"/>
      <c r="AJ775" s="1"/>
      <c r="AQ775" s="1"/>
      <c r="AX775" s="1"/>
      <c r="BE775" s="1"/>
    </row>
    <row r="776" spans="1:57" x14ac:dyDescent="0.25">
      <c r="A776" s="1"/>
      <c r="H776" s="1"/>
      <c r="O776" s="1"/>
      <c r="V776" s="1"/>
      <c r="AC776" s="1"/>
      <c r="AJ776" s="1"/>
      <c r="AQ776" s="1"/>
      <c r="AX776" s="1"/>
      <c r="BE776" s="1"/>
    </row>
    <row r="777" spans="1:57" x14ac:dyDescent="0.25">
      <c r="A777" s="1"/>
      <c r="H777" s="1"/>
      <c r="O777" s="1"/>
      <c r="V777" s="1"/>
      <c r="AC777" s="1"/>
      <c r="AJ777" s="1"/>
      <c r="AQ777" s="1"/>
      <c r="AX777" s="1"/>
      <c r="BE777" s="1"/>
    </row>
    <row r="778" spans="1:57" x14ac:dyDescent="0.25">
      <c r="A778" s="1"/>
      <c r="H778" s="1"/>
      <c r="O778" s="1"/>
      <c r="V778" s="1"/>
      <c r="AC778" s="1"/>
      <c r="AJ778" s="1"/>
      <c r="AQ778" s="1"/>
      <c r="AX778" s="1"/>
      <c r="BE778" s="1"/>
    </row>
    <row r="779" spans="1:57" x14ac:dyDescent="0.25">
      <c r="A779" s="1"/>
      <c r="H779" s="1"/>
      <c r="O779" s="1"/>
      <c r="V779" s="1"/>
      <c r="AC779" s="1"/>
      <c r="AJ779" s="1"/>
      <c r="AQ779" s="1"/>
      <c r="AX779" s="1"/>
      <c r="BE779" s="1"/>
    </row>
    <row r="780" spans="1:57" x14ac:dyDescent="0.25">
      <c r="A780" s="1"/>
      <c r="H780" s="1"/>
      <c r="O780" s="1"/>
      <c r="V780" s="1"/>
      <c r="AC780" s="1"/>
      <c r="AJ780" s="1"/>
      <c r="AQ780" s="1"/>
      <c r="AX780" s="1"/>
      <c r="BE780" s="1"/>
    </row>
    <row r="781" spans="1:57" x14ac:dyDescent="0.25">
      <c r="A781" s="1"/>
      <c r="H781" s="1"/>
      <c r="O781" s="1"/>
      <c r="V781" s="1"/>
      <c r="AC781" s="1"/>
      <c r="AJ781" s="1"/>
      <c r="AQ781" s="1"/>
      <c r="AX781" s="1"/>
      <c r="BE781" s="1"/>
    </row>
    <row r="782" spans="1:57" x14ac:dyDescent="0.25">
      <c r="A782" s="1"/>
      <c r="H782" s="1"/>
      <c r="O782" s="1"/>
      <c r="V782" s="1"/>
      <c r="AC782" s="1"/>
      <c r="AJ782" s="1"/>
      <c r="AQ782" s="1"/>
      <c r="AX782" s="1"/>
      <c r="BE782" s="1"/>
    </row>
    <row r="783" spans="1:57" x14ac:dyDescent="0.25">
      <c r="A783" s="1"/>
      <c r="H783" s="1"/>
      <c r="O783" s="1"/>
      <c r="V783" s="1"/>
      <c r="AC783" s="1"/>
      <c r="AJ783" s="1"/>
      <c r="AQ783" s="1"/>
      <c r="AX783" s="1"/>
      <c r="BE783" s="1"/>
    </row>
    <row r="784" spans="1:57" x14ac:dyDescent="0.25">
      <c r="A784" s="1"/>
      <c r="H784" s="1"/>
      <c r="O784" s="1"/>
      <c r="V784" s="1"/>
      <c r="AC784" s="1"/>
      <c r="AJ784" s="1"/>
      <c r="AQ784" s="1"/>
      <c r="AX784" s="1"/>
      <c r="BE784" s="1"/>
    </row>
    <row r="785" spans="1:57" x14ac:dyDescent="0.25">
      <c r="A785" s="1"/>
      <c r="H785" s="1"/>
      <c r="O785" s="1"/>
      <c r="V785" s="1"/>
      <c r="AC785" s="1"/>
      <c r="AJ785" s="1"/>
      <c r="AQ785" s="1"/>
      <c r="AX785" s="1"/>
      <c r="BE785" s="1"/>
    </row>
    <row r="786" spans="1:57" x14ac:dyDescent="0.25">
      <c r="A786" s="1"/>
      <c r="H786" s="1"/>
      <c r="O786" s="1"/>
      <c r="V786" s="1"/>
      <c r="AC786" s="1"/>
      <c r="AJ786" s="1"/>
      <c r="AQ786" s="1"/>
      <c r="AX786" s="1"/>
      <c r="BE786" s="1"/>
    </row>
    <row r="787" spans="1:57" x14ac:dyDescent="0.25">
      <c r="A787" s="1"/>
      <c r="H787" s="1"/>
      <c r="O787" s="1"/>
      <c r="V787" s="1"/>
      <c r="AC787" s="1"/>
      <c r="AJ787" s="1"/>
      <c r="AQ787" s="1"/>
      <c r="AX787" s="1"/>
      <c r="BE787" s="1"/>
    </row>
    <row r="788" spans="1:57" x14ac:dyDescent="0.25">
      <c r="A788" s="1"/>
      <c r="H788" s="1"/>
      <c r="O788" s="1"/>
      <c r="V788" s="1"/>
      <c r="AC788" s="1"/>
      <c r="AJ788" s="1"/>
      <c r="AQ788" s="1"/>
      <c r="AX788" s="1"/>
      <c r="BE788" s="1"/>
    </row>
    <row r="789" spans="1:57" x14ac:dyDescent="0.25">
      <c r="A789" s="1"/>
      <c r="H789" s="1"/>
      <c r="O789" s="1"/>
      <c r="V789" s="1"/>
      <c r="AC789" s="1"/>
      <c r="AJ789" s="1"/>
      <c r="AQ789" s="1"/>
      <c r="AX789" s="1"/>
      <c r="BE789" s="1"/>
    </row>
    <row r="790" spans="1:57" x14ac:dyDescent="0.25">
      <c r="A790" s="1"/>
      <c r="H790" s="1"/>
      <c r="O790" s="1"/>
      <c r="V790" s="1"/>
      <c r="AC790" s="1"/>
      <c r="AJ790" s="1"/>
      <c r="AQ790" s="1"/>
      <c r="AX790" s="1"/>
      <c r="BE790" s="1"/>
    </row>
    <row r="791" spans="1:57" x14ac:dyDescent="0.25">
      <c r="A791" s="1"/>
      <c r="H791" s="1"/>
      <c r="O791" s="1"/>
      <c r="V791" s="1"/>
      <c r="AC791" s="1"/>
      <c r="AJ791" s="1"/>
      <c r="AQ791" s="1"/>
      <c r="AX791" s="1"/>
      <c r="BE791" s="1"/>
    </row>
    <row r="792" spans="1:57" x14ac:dyDescent="0.25">
      <c r="A792" s="1"/>
      <c r="H792" s="1"/>
      <c r="O792" s="1"/>
      <c r="V792" s="1"/>
      <c r="AC792" s="1"/>
      <c r="AJ792" s="1"/>
      <c r="AQ792" s="1"/>
      <c r="AX792" s="1"/>
      <c r="BE792" s="1"/>
    </row>
    <row r="793" spans="1:57" x14ac:dyDescent="0.25">
      <c r="A793" s="1"/>
      <c r="H793" s="1"/>
      <c r="O793" s="1"/>
      <c r="V793" s="1"/>
      <c r="AC793" s="1"/>
      <c r="AJ793" s="1"/>
      <c r="AQ793" s="1"/>
      <c r="AX793" s="1"/>
      <c r="BE793" s="1"/>
    </row>
    <row r="794" spans="1:57" x14ac:dyDescent="0.25">
      <c r="A794" s="1"/>
      <c r="H794" s="1"/>
      <c r="O794" s="1"/>
      <c r="V794" s="1"/>
      <c r="AC794" s="1"/>
      <c r="AJ794" s="1"/>
      <c r="AQ794" s="1"/>
      <c r="AX794" s="1"/>
      <c r="BE794" s="1"/>
    </row>
    <row r="795" spans="1:57" x14ac:dyDescent="0.25">
      <c r="A795" s="1"/>
      <c r="H795" s="1"/>
      <c r="O795" s="1"/>
      <c r="V795" s="1"/>
      <c r="AC795" s="1"/>
      <c r="AJ795" s="1"/>
      <c r="AQ795" s="1"/>
      <c r="AX795" s="1"/>
      <c r="BE795" s="1"/>
    </row>
    <row r="796" spans="1:57" x14ac:dyDescent="0.25">
      <c r="A796" s="1"/>
      <c r="H796" s="1"/>
      <c r="O796" s="1"/>
      <c r="V796" s="1"/>
      <c r="AC796" s="1"/>
      <c r="AJ796" s="1"/>
      <c r="AQ796" s="1"/>
      <c r="AX796" s="1"/>
      <c r="BE796" s="1"/>
    </row>
    <row r="797" spans="1:57" x14ac:dyDescent="0.25">
      <c r="A797" s="1"/>
      <c r="H797" s="1"/>
      <c r="O797" s="1"/>
      <c r="V797" s="1"/>
      <c r="AC797" s="1"/>
      <c r="AJ797" s="1"/>
      <c r="AQ797" s="1"/>
      <c r="AX797" s="1"/>
      <c r="BE797" s="1"/>
    </row>
    <row r="798" spans="1:57" x14ac:dyDescent="0.25">
      <c r="A798" s="1"/>
      <c r="H798" s="1"/>
      <c r="O798" s="1"/>
      <c r="V798" s="1"/>
      <c r="AC798" s="1"/>
      <c r="AJ798" s="1"/>
      <c r="AQ798" s="1"/>
      <c r="AX798" s="1"/>
      <c r="BE798" s="1"/>
    </row>
    <row r="799" spans="1:57" x14ac:dyDescent="0.25">
      <c r="A799" s="1"/>
      <c r="H799" s="1"/>
      <c r="O799" s="1"/>
      <c r="V799" s="1"/>
      <c r="AC799" s="1"/>
      <c r="AJ799" s="1"/>
      <c r="AQ799" s="1"/>
      <c r="AX799" s="1"/>
      <c r="BE799" s="1"/>
    </row>
    <row r="800" spans="1:57" x14ac:dyDescent="0.25">
      <c r="A800" s="1"/>
      <c r="H800" s="1"/>
      <c r="O800" s="1"/>
      <c r="V800" s="1"/>
      <c r="AC800" s="1"/>
      <c r="AJ800" s="1"/>
      <c r="AQ800" s="1"/>
      <c r="AX800" s="1"/>
      <c r="BE800" s="1"/>
    </row>
    <row r="801" spans="1:57" x14ac:dyDescent="0.25">
      <c r="A801" s="1"/>
      <c r="H801" s="1"/>
      <c r="O801" s="1"/>
      <c r="V801" s="1"/>
      <c r="AC801" s="1"/>
      <c r="AJ801" s="1"/>
      <c r="AQ801" s="1"/>
      <c r="AX801" s="1"/>
      <c r="BE801" s="1"/>
    </row>
    <row r="802" spans="1:57" x14ac:dyDescent="0.25">
      <c r="A802" s="1"/>
      <c r="H802" s="1"/>
      <c r="O802" s="1"/>
      <c r="V802" s="1"/>
      <c r="AC802" s="1"/>
      <c r="AJ802" s="1"/>
      <c r="AQ802" s="1"/>
      <c r="AX802" s="1"/>
      <c r="BE802" s="1"/>
    </row>
    <row r="803" spans="1:57" x14ac:dyDescent="0.25">
      <c r="A803" s="1"/>
      <c r="H803" s="1"/>
      <c r="O803" s="1"/>
      <c r="V803" s="1"/>
      <c r="AC803" s="1"/>
      <c r="AJ803" s="1"/>
      <c r="AQ803" s="1"/>
      <c r="AX803" s="1"/>
      <c r="BE803" s="1"/>
    </row>
    <row r="804" spans="1:57" x14ac:dyDescent="0.25">
      <c r="A804" s="1"/>
      <c r="H804" s="1"/>
      <c r="O804" s="1"/>
      <c r="V804" s="1"/>
      <c r="AC804" s="1"/>
      <c r="AJ804" s="1"/>
      <c r="AQ804" s="1"/>
      <c r="AX804" s="1"/>
      <c r="BE804" s="1"/>
    </row>
    <row r="805" spans="1:57" x14ac:dyDescent="0.25">
      <c r="A805" s="1"/>
      <c r="H805" s="1"/>
      <c r="O805" s="1"/>
      <c r="V805" s="1"/>
      <c r="AC805" s="1"/>
      <c r="AJ805" s="1"/>
      <c r="AQ805" s="1"/>
      <c r="AX805" s="1"/>
      <c r="BE805" s="1"/>
    </row>
    <row r="806" spans="1:57" x14ac:dyDescent="0.25">
      <c r="A806" s="1"/>
      <c r="H806" s="1"/>
      <c r="O806" s="1"/>
      <c r="V806" s="1"/>
      <c r="AC806" s="1"/>
      <c r="AJ806" s="1"/>
      <c r="AQ806" s="1"/>
      <c r="AX806" s="1"/>
      <c r="BE806" s="1"/>
    </row>
    <row r="807" spans="1:57" x14ac:dyDescent="0.25">
      <c r="A807" s="1"/>
      <c r="H807" s="1"/>
      <c r="O807" s="1"/>
      <c r="V807" s="1"/>
      <c r="AC807" s="1"/>
      <c r="AJ807" s="1"/>
      <c r="AQ807" s="1"/>
      <c r="AX807" s="1"/>
      <c r="BE807" s="1"/>
    </row>
    <row r="808" spans="1:57" x14ac:dyDescent="0.25">
      <c r="A808" s="1"/>
      <c r="H808" s="1"/>
      <c r="O808" s="1"/>
      <c r="V808" s="1"/>
      <c r="AC808" s="1"/>
      <c r="AJ808" s="1"/>
      <c r="AQ808" s="1"/>
      <c r="AX808" s="1"/>
      <c r="BE808" s="1"/>
    </row>
    <row r="809" spans="1:57" x14ac:dyDescent="0.25">
      <c r="A809" s="1"/>
      <c r="H809" s="1"/>
      <c r="O809" s="1"/>
      <c r="V809" s="1"/>
      <c r="AC809" s="1"/>
      <c r="AJ809" s="1"/>
      <c r="AQ809" s="1"/>
      <c r="AX809" s="1"/>
      <c r="BE809" s="1"/>
    </row>
    <row r="810" spans="1:57" x14ac:dyDescent="0.25">
      <c r="A810" s="1"/>
      <c r="H810" s="1"/>
      <c r="O810" s="1"/>
      <c r="V810" s="1"/>
      <c r="AC810" s="1"/>
      <c r="AJ810" s="1"/>
      <c r="AQ810" s="1"/>
      <c r="AX810" s="1"/>
      <c r="BE810" s="1"/>
    </row>
    <row r="811" spans="1:57" x14ac:dyDescent="0.25">
      <c r="A811" s="1"/>
      <c r="H811" s="1"/>
      <c r="O811" s="1"/>
      <c r="V811" s="1"/>
      <c r="AC811" s="1"/>
      <c r="AJ811" s="1"/>
      <c r="AQ811" s="1"/>
      <c r="AX811" s="1"/>
      <c r="BE811" s="1"/>
    </row>
    <row r="812" spans="1:57" x14ac:dyDescent="0.25">
      <c r="A812" s="1"/>
      <c r="H812" s="1"/>
      <c r="O812" s="1"/>
      <c r="V812" s="1"/>
      <c r="AC812" s="1"/>
      <c r="AJ812" s="1"/>
      <c r="AQ812" s="1"/>
      <c r="AX812" s="1"/>
      <c r="BE812" s="1"/>
    </row>
    <row r="813" spans="1:57" x14ac:dyDescent="0.25">
      <c r="A813" s="1"/>
      <c r="H813" s="1"/>
      <c r="O813" s="1"/>
      <c r="V813" s="1"/>
      <c r="AC813" s="1"/>
      <c r="AJ813" s="1"/>
      <c r="AQ813" s="1"/>
      <c r="AX813" s="1"/>
      <c r="BE813" s="1"/>
    </row>
    <row r="814" spans="1:57" x14ac:dyDescent="0.25">
      <c r="A814" s="1"/>
      <c r="H814" s="1"/>
      <c r="O814" s="1"/>
      <c r="V814" s="1"/>
      <c r="AC814" s="1"/>
      <c r="AJ814" s="1"/>
      <c r="AQ814" s="1"/>
      <c r="AX814" s="1"/>
      <c r="BE814" s="1"/>
    </row>
    <row r="815" spans="1:57" x14ac:dyDescent="0.25">
      <c r="A815" s="1"/>
      <c r="H815" s="1"/>
      <c r="O815" s="1"/>
      <c r="V815" s="1"/>
      <c r="AC815" s="1"/>
      <c r="AJ815" s="1"/>
      <c r="AQ815" s="1"/>
      <c r="AX815" s="1"/>
      <c r="BE815" s="1"/>
    </row>
    <row r="816" spans="1:57" x14ac:dyDescent="0.25">
      <c r="A816" s="1"/>
      <c r="H816" s="1"/>
      <c r="O816" s="1"/>
      <c r="V816" s="1"/>
      <c r="AC816" s="1"/>
      <c r="AJ816" s="1"/>
      <c r="AQ816" s="1"/>
      <c r="AX816" s="1"/>
      <c r="BE816" s="1"/>
    </row>
    <row r="817" spans="1:57" x14ac:dyDescent="0.25">
      <c r="A817" s="1"/>
      <c r="H817" s="1"/>
      <c r="O817" s="1"/>
      <c r="V817" s="1"/>
      <c r="AC817" s="1"/>
      <c r="AJ817" s="1"/>
      <c r="AQ817" s="1"/>
      <c r="AX817" s="1"/>
      <c r="BE817" s="1"/>
    </row>
    <row r="818" spans="1:57" x14ac:dyDescent="0.25">
      <c r="A818" s="1"/>
      <c r="H818" s="1"/>
      <c r="O818" s="1"/>
      <c r="V818" s="1"/>
      <c r="AC818" s="1"/>
      <c r="AJ818" s="1"/>
      <c r="AQ818" s="1"/>
      <c r="AX818" s="1"/>
      <c r="BE818" s="1"/>
    </row>
    <row r="819" spans="1:57" x14ac:dyDescent="0.25">
      <c r="A819" s="1"/>
      <c r="H819" s="1"/>
      <c r="O819" s="1"/>
      <c r="V819" s="1"/>
      <c r="AC819" s="1"/>
      <c r="AJ819" s="1"/>
      <c r="AQ819" s="1"/>
      <c r="AX819" s="1"/>
      <c r="BE819" s="1"/>
    </row>
    <row r="820" spans="1:57" x14ac:dyDescent="0.25">
      <c r="A820" s="1"/>
      <c r="H820" s="1"/>
      <c r="O820" s="1"/>
      <c r="V820" s="1"/>
      <c r="AC820" s="1"/>
      <c r="AJ820" s="1"/>
      <c r="AQ820" s="1"/>
      <c r="AX820" s="1"/>
      <c r="BE820" s="1"/>
    </row>
    <row r="821" spans="1:57" x14ac:dyDescent="0.25">
      <c r="A821" s="1"/>
      <c r="H821" s="1"/>
      <c r="O821" s="1"/>
      <c r="V821" s="1"/>
      <c r="AC821" s="1"/>
      <c r="AJ821" s="1"/>
      <c r="AQ821" s="1"/>
      <c r="AX821" s="1"/>
      <c r="BE821" s="1"/>
    </row>
    <row r="822" spans="1:57" x14ac:dyDescent="0.25">
      <c r="A822" s="1"/>
      <c r="H822" s="1"/>
      <c r="O822" s="1"/>
      <c r="V822" s="1"/>
      <c r="AC822" s="1"/>
      <c r="AJ822" s="1"/>
      <c r="AQ822" s="1"/>
      <c r="AX822" s="1"/>
      <c r="BE822" s="1"/>
    </row>
    <row r="823" spans="1:57" x14ac:dyDescent="0.25">
      <c r="A823" s="1"/>
      <c r="H823" s="1"/>
      <c r="O823" s="1"/>
      <c r="V823" s="1"/>
      <c r="AC823" s="1"/>
      <c r="AJ823" s="1"/>
      <c r="AQ823" s="1"/>
      <c r="AX823" s="1"/>
      <c r="BE823" s="1"/>
    </row>
    <row r="824" spans="1:57" x14ac:dyDescent="0.25">
      <c r="A824" s="1"/>
      <c r="H824" s="1"/>
      <c r="O824" s="1"/>
      <c r="V824" s="1"/>
      <c r="AC824" s="1"/>
      <c r="AJ824" s="1"/>
      <c r="AQ824" s="1"/>
      <c r="AX824" s="1"/>
      <c r="BE824" s="1"/>
    </row>
    <row r="825" spans="1:57" x14ac:dyDescent="0.25">
      <c r="A825" s="1"/>
      <c r="H825" s="1"/>
      <c r="O825" s="1"/>
      <c r="V825" s="1"/>
      <c r="AC825" s="1"/>
      <c r="AJ825" s="1"/>
      <c r="AQ825" s="1"/>
      <c r="AX825" s="1"/>
      <c r="BE825" s="1"/>
    </row>
    <row r="826" spans="1:57" x14ac:dyDescent="0.25">
      <c r="A826" s="1"/>
      <c r="H826" s="1"/>
      <c r="O826" s="1"/>
      <c r="V826" s="1"/>
      <c r="AC826" s="1"/>
      <c r="AJ826" s="1"/>
      <c r="AQ826" s="1"/>
      <c r="AX826" s="1"/>
      <c r="BE826" s="1"/>
    </row>
    <row r="827" spans="1:57" x14ac:dyDescent="0.25">
      <c r="A827" s="1"/>
      <c r="H827" s="1"/>
      <c r="O827" s="1"/>
      <c r="V827" s="1"/>
      <c r="AC827" s="1"/>
      <c r="AJ827" s="1"/>
      <c r="AQ827" s="1"/>
      <c r="AX827" s="1"/>
      <c r="BE827" s="1"/>
    </row>
    <row r="828" spans="1:57" x14ac:dyDescent="0.25">
      <c r="A828" s="1"/>
      <c r="H828" s="1"/>
      <c r="O828" s="1"/>
      <c r="V828" s="1"/>
      <c r="AC828" s="1"/>
      <c r="AJ828" s="1"/>
      <c r="AQ828" s="1"/>
      <c r="AX828" s="1"/>
      <c r="BE828" s="1"/>
    </row>
    <row r="829" spans="1:57" x14ac:dyDescent="0.25">
      <c r="A829" s="1"/>
      <c r="H829" s="1"/>
      <c r="O829" s="1"/>
      <c r="V829" s="1"/>
      <c r="AC829" s="1"/>
      <c r="AJ829" s="1"/>
      <c r="AQ829" s="1"/>
      <c r="AX829" s="1"/>
      <c r="BE829" s="1"/>
    </row>
    <row r="830" spans="1:57" x14ac:dyDescent="0.25">
      <c r="A830" s="1"/>
      <c r="H830" s="1"/>
      <c r="O830" s="1"/>
      <c r="V830" s="1"/>
      <c r="AC830" s="1"/>
      <c r="AJ830" s="1"/>
      <c r="AQ830" s="1"/>
      <c r="AX830" s="1"/>
      <c r="BE830" s="1"/>
    </row>
    <row r="831" spans="1:57" x14ac:dyDescent="0.25">
      <c r="A831" s="1"/>
      <c r="H831" s="1"/>
      <c r="O831" s="1"/>
      <c r="V831" s="1"/>
      <c r="AC831" s="1"/>
      <c r="AJ831" s="1"/>
      <c r="AQ831" s="1"/>
      <c r="AX831" s="1"/>
      <c r="BE831" s="1"/>
    </row>
    <row r="832" spans="1:57" x14ac:dyDescent="0.25">
      <c r="A832" s="1"/>
      <c r="H832" s="1"/>
      <c r="O832" s="1"/>
      <c r="V832" s="1"/>
      <c r="AC832" s="1"/>
      <c r="AJ832" s="1"/>
      <c r="AQ832" s="1"/>
      <c r="AX832" s="1"/>
      <c r="BE832" s="1"/>
    </row>
    <row r="833" spans="1:57" x14ac:dyDescent="0.25">
      <c r="A833" s="1"/>
      <c r="H833" s="1"/>
      <c r="O833" s="1"/>
      <c r="V833" s="1"/>
      <c r="AC833" s="1"/>
      <c r="AJ833" s="1"/>
      <c r="AQ833" s="1"/>
      <c r="AX833" s="1"/>
      <c r="BE833" s="1"/>
    </row>
    <row r="834" spans="1:57" x14ac:dyDescent="0.25">
      <c r="A834" s="1"/>
      <c r="H834" s="1"/>
      <c r="O834" s="1"/>
      <c r="V834" s="1"/>
      <c r="AC834" s="1"/>
      <c r="AJ834" s="1"/>
      <c r="AQ834" s="1"/>
      <c r="AX834" s="1"/>
      <c r="BE834" s="1"/>
    </row>
    <row r="835" spans="1:57" x14ac:dyDescent="0.25">
      <c r="A835" s="1"/>
      <c r="H835" s="1"/>
      <c r="O835" s="1"/>
      <c r="V835" s="1"/>
      <c r="AC835" s="1"/>
      <c r="AJ835" s="1"/>
      <c r="AQ835" s="1"/>
      <c r="AX835" s="1"/>
      <c r="BE835" s="1"/>
    </row>
    <row r="836" spans="1:57" x14ac:dyDescent="0.25">
      <c r="A836" s="1"/>
      <c r="H836" s="1"/>
      <c r="O836" s="1"/>
      <c r="V836" s="1"/>
      <c r="AC836" s="1"/>
      <c r="AJ836" s="1"/>
      <c r="AQ836" s="1"/>
      <c r="AX836" s="1"/>
      <c r="BE836" s="1"/>
    </row>
    <row r="837" spans="1:57" x14ac:dyDescent="0.25">
      <c r="A837" s="1"/>
      <c r="H837" s="1"/>
      <c r="O837" s="1"/>
      <c r="V837" s="1"/>
      <c r="AC837" s="1"/>
      <c r="AJ837" s="1"/>
      <c r="AQ837" s="1"/>
      <c r="AX837" s="1"/>
      <c r="BE837" s="1"/>
    </row>
    <row r="838" spans="1:57" x14ac:dyDescent="0.25">
      <c r="A838" s="1"/>
      <c r="H838" s="1"/>
      <c r="O838" s="1"/>
      <c r="V838" s="1"/>
      <c r="AC838" s="1"/>
      <c r="AJ838" s="1"/>
      <c r="AQ838" s="1"/>
      <c r="AX838" s="1"/>
      <c r="BE838" s="1"/>
    </row>
    <row r="839" spans="1:57" x14ac:dyDescent="0.25">
      <c r="A839" s="1"/>
      <c r="H839" s="1"/>
      <c r="O839" s="1"/>
      <c r="V839" s="1"/>
      <c r="AC839" s="1"/>
      <c r="AJ839" s="1"/>
      <c r="AQ839" s="1"/>
      <c r="AX839" s="1"/>
      <c r="BE839" s="1"/>
    </row>
    <row r="840" spans="1:57" x14ac:dyDescent="0.25">
      <c r="A840" s="1"/>
      <c r="H840" s="1"/>
      <c r="O840" s="1"/>
      <c r="V840" s="1"/>
      <c r="AC840" s="1"/>
      <c r="AJ840" s="1"/>
      <c r="AQ840" s="1"/>
      <c r="AX840" s="1"/>
      <c r="BE840" s="1"/>
    </row>
    <row r="841" spans="1:57" x14ac:dyDescent="0.25">
      <c r="A841" s="1"/>
      <c r="H841" s="1"/>
      <c r="O841" s="1"/>
      <c r="V841" s="1"/>
      <c r="AC841" s="1"/>
      <c r="AJ841" s="1"/>
      <c r="AQ841" s="1"/>
      <c r="AX841" s="1"/>
      <c r="BE841" s="1"/>
    </row>
    <row r="842" spans="1:57" x14ac:dyDescent="0.25">
      <c r="A842" s="1"/>
      <c r="H842" s="1"/>
      <c r="O842" s="1"/>
      <c r="V842" s="1"/>
      <c r="AC842" s="1"/>
      <c r="AJ842" s="1"/>
      <c r="AQ842" s="1"/>
      <c r="AX842" s="1"/>
      <c r="BE842" s="1"/>
    </row>
    <row r="843" spans="1:57" x14ac:dyDescent="0.25">
      <c r="A843" s="1"/>
      <c r="H843" s="1"/>
      <c r="O843" s="1"/>
      <c r="V843" s="1"/>
      <c r="AC843" s="1"/>
      <c r="AJ843" s="1"/>
      <c r="AQ843" s="1"/>
      <c r="AX843" s="1"/>
      <c r="BE843" s="1"/>
    </row>
    <row r="844" spans="1:57" x14ac:dyDescent="0.25">
      <c r="A844" s="1"/>
      <c r="H844" s="1"/>
      <c r="O844" s="1"/>
      <c r="V844" s="1"/>
      <c r="AC844" s="1"/>
      <c r="AJ844" s="1"/>
      <c r="AQ844" s="1"/>
      <c r="AX844" s="1"/>
      <c r="BE844" s="1"/>
    </row>
    <row r="845" spans="1:57" x14ac:dyDescent="0.25">
      <c r="A845" s="1"/>
      <c r="H845" s="1"/>
      <c r="O845" s="1"/>
      <c r="V845" s="1"/>
      <c r="AC845" s="1"/>
      <c r="AJ845" s="1"/>
      <c r="AQ845" s="1"/>
      <c r="AX845" s="1"/>
      <c r="BE845" s="1"/>
    </row>
    <row r="846" spans="1:57" x14ac:dyDescent="0.25">
      <c r="A846" s="1"/>
      <c r="H846" s="1"/>
      <c r="O846" s="1"/>
      <c r="V846" s="1"/>
      <c r="AC846" s="1"/>
      <c r="AJ846" s="1"/>
      <c r="AQ846" s="1"/>
      <c r="AX846" s="1"/>
      <c r="BE846" s="1"/>
    </row>
    <row r="847" spans="1:57" x14ac:dyDescent="0.25">
      <c r="A847" s="1"/>
      <c r="H847" s="1"/>
      <c r="O847" s="1"/>
      <c r="V847" s="1"/>
      <c r="AC847" s="1"/>
      <c r="AJ847" s="1"/>
      <c r="AQ847" s="1"/>
      <c r="AX847" s="1"/>
      <c r="BE847" s="1"/>
    </row>
    <row r="848" spans="1:57" x14ac:dyDescent="0.25">
      <c r="A848" s="1"/>
      <c r="H848" s="1"/>
      <c r="O848" s="1"/>
      <c r="V848" s="1"/>
      <c r="AC848" s="1"/>
      <c r="AJ848" s="1"/>
      <c r="AQ848" s="1"/>
      <c r="AX848" s="1"/>
      <c r="BE848" s="1"/>
    </row>
    <row r="849" spans="1:57" x14ac:dyDescent="0.25">
      <c r="A849" s="1"/>
      <c r="H849" s="1"/>
      <c r="O849" s="1"/>
      <c r="V849" s="1"/>
      <c r="AC849" s="1"/>
      <c r="AJ849" s="1"/>
      <c r="AQ849" s="1"/>
      <c r="AX849" s="1"/>
      <c r="BE849" s="1"/>
    </row>
    <row r="850" spans="1:57" x14ac:dyDescent="0.25">
      <c r="A850" s="1"/>
      <c r="H850" s="1"/>
      <c r="O850" s="1"/>
      <c r="V850" s="1"/>
      <c r="AC850" s="1"/>
      <c r="AJ850" s="1"/>
      <c r="AQ850" s="1"/>
      <c r="AX850" s="1"/>
      <c r="BE850" s="1"/>
    </row>
    <row r="851" spans="1:57" x14ac:dyDescent="0.25">
      <c r="A851" s="1"/>
      <c r="H851" s="1"/>
      <c r="O851" s="1"/>
      <c r="V851" s="1"/>
      <c r="AC851" s="1"/>
      <c r="AJ851" s="1"/>
      <c r="AQ851" s="1"/>
      <c r="AX851" s="1"/>
      <c r="BE851" s="1"/>
    </row>
    <row r="852" spans="1:57" x14ac:dyDescent="0.25">
      <c r="A852" s="1"/>
      <c r="H852" s="1"/>
      <c r="O852" s="1"/>
      <c r="V852" s="1"/>
      <c r="AC852" s="1"/>
      <c r="AJ852" s="1"/>
      <c r="AQ852" s="1"/>
      <c r="AX852" s="1"/>
      <c r="BE852" s="1"/>
    </row>
    <row r="853" spans="1:57" x14ac:dyDescent="0.25">
      <c r="A853" s="1"/>
      <c r="H853" s="1"/>
      <c r="O853" s="1"/>
      <c r="V853" s="1"/>
      <c r="AC853" s="1"/>
      <c r="AJ853" s="1"/>
      <c r="AQ853" s="1"/>
      <c r="AX853" s="1"/>
      <c r="BE853" s="1"/>
    </row>
    <row r="854" spans="1:57" x14ac:dyDescent="0.25">
      <c r="A854" s="1"/>
      <c r="H854" s="1"/>
      <c r="O854" s="1"/>
      <c r="V854" s="1"/>
      <c r="AC854" s="1"/>
      <c r="AJ854" s="1"/>
      <c r="AQ854" s="1"/>
      <c r="AX854" s="1"/>
      <c r="BE854" s="1"/>
    </row>
    <row r="855" spans="1:57" x14ac:dyDescent="0.25">
      <c r="A855" s="1"/>
      <c r="H855" s="1"/>
      <c r="O855" s="1"/>
      <c r="V855" s="1"/>
      <c r="AC855" s="1"/>
      <c r="AJ855" s="1"/>
      <c r="AQ855" s="1"/>
      <c r="AX855" s="1"/>
      <c r="BE855" s="1"/>
    </row>
    <row r="856" spans="1:57" x14ac:dyDescent="0.25">
      <c r="A856" s="1"/>
      <c r="H856" s="1"/>
      <c r="O856" s="1"/>
      <c r="V856" s="1"/>
      <c r="AC856" s="1"/>
      <c r="AJ856" s="1"/>
      <c r="AQ856" s="1"/>
      <c r="AX856" s="1"/>
      <c r="BE856" s="1"/>
    </row>
    <row r="857" spans="1:57" x14ac:dyDescent="0.25">
      <c r="A857" s="1"/>
      <c r="H857" s="1"/>
      <c r="O857" s="1"/>
      <c r="V857" s="1"/>
      <c r="AC857" s="1"/>
      <c r="AJ857" s="1"/>
      <c r="AQ857" s="1"/>
      <c r="AX857" s="1"/>
      <c r="BE857" s="1"/>
    </row>
    <row r="858" spans="1:57" x14ac:dyDescent="0.25">
      <c r="A858" s="1"/>
      <c r="H858" s="1"/>
      <c r="O858" s="1"/>
      <c r="V858" s="1"/>
      <c r="AC858" s="1"/>
      <c r="AJ858" s="1"/>
      <c r="AQ858" s="1"/>
      <c r="AX858" s="1"/>
      <c r="BE858" s="1"/>
    </row>
    <row r="859" spans="1:57" x14ac:dyDescent="0.25">
      <c r="A859" s="1"/>
      <c r="H859" s="1"/>
      <c r="O859" s="1"/>
      <c r="V859" s="1"/>
      <c r="AC859" s="1"/>
      <c r="AJ859" s="1"/>
      <c r="AQ859" s="1"/>
      <c r="AX859" s="1"/>
      <c r="BE859" s="1"/>
    </row>
    <row r="860" spans="1:57" x14ac:dyDescent="0.25">
      <c r="A860" s="1"/>
      <c r="H860" s="1"/>
      <c r="O860" s="1"/>
      <c r="V860" s="1"/>
      <c r="AC860" s="1"/>
      <c r="AJ860" s="1"/>
      <c r="AQ860" s="1"/>
      <c r="AX860" s="1"/>
      <c r="BE860" s="1"/>
    </row>
    <row r="861" spans="1:57" x14ac:dyDescent="0.25">
      <c r="A861" s="1"/>
      <c r="H861" s="1"/>
      <c r="O861" s="1"/>
      <c r="V861" s="1"/>
      <c r="AC861" s="1"/>
      <c r="AJ861" s="1"/>
      <c r="AQ861" s="1"/>
      <c r="AX861" s="1"/>
      <c r="BE861" s="1"/>
    </row>
    <row r="862" spans="1:57" x14ac:dyDescent="0.25">
      <c r="A862" s="1"/>
      <c r="H862" s="1"/>
      <c r="O862" s="1"/>
      <c r="V862" s="1"/>
      <c r="AC862" s="1"/>
      <c r="AJ862" s="1"/>
      <c r="AQ862" s="1"/>
      <c r="AX862" s="1"/>
      <c r="BE862" s="1"/>
    </row>
    <row r="863" spans="1:57" x14ac:dyDescent="0.25">
      <c r="A863" s="1"/>
      <c r="H863" s="1"/>
      <c r="O863" s="1"/>
      <c r="V863" s="1"/>
      <c r="AC863" s="1"/>
      <c r="AJ863" s="1"/>
      <c r="AQ863" s="1"/>
      <c r="AX863" s="1"/>
      <c r="BE863" s="1"/>
    </row>
    <row r="864" spans="1:57" x14ac:dyDescent="0.25">
      <c r="A864" s="1"/>
      <c r="H864" s="1"/>
      <c r="O864" s="1"/>
      <c r="V864" s="1"/>
      <c r="AC864" s="1"/>
      <c r="AJ864" s="1"/>
      <c r="AQ864" s="1"/>
      <c r="AX864" s="1"/>
      <c r="BE864" s="1"/>
    </row>
    <row r="865" spans="1:57" x14ac:dyDescent="0.25">
      <c r="A865" s="1"/>
      <c r="H865" s="1"/>
      <c r="O865" s="1"/>
      <c r="V865" s="1"/>
      <c r="AC865" s="1"/>
      <c r="AJ865" s="1"/>
      <c r="AQ865" s="1"/>
      <c r="AX865" s="1"/>
      <c r="BE865" s="1"/>
    </row>
    <row r="866" spans="1:57" x14ac:dyDescent="0.25">
      <c r="A866" s="1"/>
      <c r="H866" s="1"/>
      <c r="O866" s="1"/>
      <c r="V866" s="1"/>
      <c r="AC866" s="1"/>
      <c r="AJ866" s="1"/>
      <c r="AQ866" s="1"/>
      <c r="AX866" s="1"/>
      <c r="BE866" s="1"/>
    </row>
    <row r="867" spans="1:57" x14ac:dyDescent="0.25">
      <c r="A867" s="1"/>
      <c r="H867" s="1"/>
      <c r="O867" s="1"/>
      <c r="V867" s="1"/>
      <c r="AC867" s="1"/>
      <c r="AJ867" s="1"/>
      <c r="AQ867" s="1"/>
      <c r="AX867" s="1"/>
      <c r="BE867" s="1"/>
    </row>
    <row r="868" spans="1:57" x14ac:dyDescent="0.25">
      <c r="A868" s="1"/>
      <c r="H868" s="1"/>
      <c r="O868" s="1"/>
      <c r="V868" s="1"/>
      <c r="AC868" s="1"/>
      <c r="AJ868" s="1"/>
      <c r="AQ868" s="1"/>
      <c r="AX868" s="1"/>
      <c r="BE868" s="1"/>
    </row>
    <row r="869" spans="1:57" x14ac:dyDescent="0.25">
      <c r="A869" s="1"/>
      <c r="H869" s="1"/>
      <c r="O869" s="1"/>
      <c r="V869" s="1"/>
      <c r="AC869" s="1"/>
      <c r="AJ869" s="1"/>
      <c r="AQ869" s="1"/>
      <c r="AX869" s="1"/>
      <c r="BE869" s="1"/>
    </row>
    <row r="870" spans="1:57" x14ac:dyDescent="0.25">
      <c r="A870" s="1"/>
      <c r="H870" s="1"/>
      <c r="O870" s="1"/>
      <c r="V870" s="1"/>
      <c r="AC870" s="1"/>
      <c r="AJ870" s="1"/>
      <c r="AQ870" s="1"/>
      <c r="AX870" s="1"/>
      <c r="BE870" s="1"/>
    </row>
    <row r="871" spans="1:57" x14ac:dyDescent="0.25">
      <c r="A871" s="1"/>
      <c r="H871" s="1"/>
      <c r="O871" s="1"/>
      <c r="V871" s="1"/>
      <c r="AC871" s="1"/>
      <c r="AJ871" s="1"/>
      <c r="AQ871" s="1"/>
      <c r="AX871" s="1"/>
      <c r="BE871" s="1"/>
    </row>
    <row r="872" spans="1:57" x14ac:dyDescent="0.25">
      <c r="A872" s="1"/>
      <c r="H872" s="1"/>
      <c r="O872" s="1"/>
      <c r="V872" s="1"/>
      <c r="AC872" s="1"/>
      <c r="AJ872" s="1"/>
      <c r="AQ872" s="1"/>
      <c r="AX872" s="1"/>
      <c r="BE872" s="1"/>
    </row>
    <row r="873" spans="1:57" x14ac:dyDescent="0.25">
      <c r="A873" s="1"/>
      <c r="H873" s="1"/>
      <c r="O873" s="1"/>
      <c r="V873" s="1"/>
      <c r="AC873" s="1"/>
      <c r="AJ873" s="1"/>
      <c r="AQ873" s="1"/>
      <c r="AX873" s="1"/>
      <c r="BE873" s="1"/>
    </row>
    <row r="874" spans="1:57" x14ac:dyDescent="0.25">
      <c r="A874" s="1"/>
      <c r="H874" s="1"/>
      <c r="O874" s="1"/>
      <c r="V874" s="1"/>
      <c r="AC874" s="1"/>
      <c r="AJ874" s="1"/>
      <c r="AQ874" s="1"/>
      <c r="AX874" s="1"/>
      <c r="BE874" s="1"/>
    </row>
    <row r="875" spans="1:57" x14ac:dyDescent="0.25">
      <c r="A875" s="1"/>
      <c r="H875" s="1"/>
      <c r="O875" s="1"/>
      <c r="V875" s="1"/>
      <c r="AC875" s="1"/>
      <c r="AJ875" s="1"/>
      <c r="AQ875" s="1"/>
      <c r="AX875" s="1"/>
      <c r="BE875" s="1"/>
    </row>
    <row r="876" spans="1:57" x14ac:dyDescent="0.25">
      <c r="A876" s="1"/>
      <c r="H876" s="1"/>
      <c r="O876" s="1"/>
      <c r="V876" s="1"/>
      <c r="AC876" s="1"/>
      <c r="AJ876" s="1"/>
      <c r="AQ876" s="1"/>
      <c r="AX876" s="1"/>
      <c r="BE876" s="1"/>
    </row>
    <row r="877" spans="1:57" x14ac:dyDescent="0.25">
      <c r="A877" s="1"/>
      <c r="H877" s="1"/>
      <c r="O877" s="1"/>
      <c r="V877" s="1"/>
      <c r="AC877" s="1"/>
      <c r="AJ877" s="1"/>
      <c r="AQ877" s="1"/>
      <c r="AX877" s="1"/>
      <c r="BE877" s="1"/>
    </row>
    <row r="878" spans="1:57" x14ac:dyDescent="0.25">
      <c r="A878" s="1"/>
      <c r="H878" s="1"/>
      <c r="O878" s="1"/>
      <c r="V878" s="1"/>
      <c r="AC878" s="1"/>
      <c r="AJ878" s="1"/>
      <c r="AQ878" s="1"/>
      <c r="AX878" s="1"/>
      <c r="BE878" s="1"/>
    </row>
    <row r="879" spans="1:57" x14ac:dyDescent="0.25">
      <c r="A879" s="1"/>
      <c r="H879" s="1"/>
      <c r="O879" s="1"/>
      <c r="V879" s="1"/>
      <c r="AC879" s="1"/>
      <c r="AJ879" s="1"/>
      <c r="AQ879" s="1"/>
      <c r="AX879" s="1"/>
      <c r="BE879" s="1"/>
    </row>
    <row r="880" spans="1:57" x14ac:dyDescent="0.25">
      <c r="A880" s="1"/>
      <c r="H880" s="1"/>
      <c r="O880" s="1"/>
      <c r="V880" s="1"/>
      <c r="AC880" s="1"/>
      <c r="AJ880" s="1"/>
      <c r="AQ880" s="1"/>
      <c r="AX880" s="1"/>
      <c r="BE880" s="1"/>
    </row>
    <row r="881" spans="1:57" x14ac:dyDescent="0.25">
      <c r="A881" s="1"/>
      <c r="H881" s="1"/>
      <c r="O881" s="1"/>
      <c r="V881" s="1"/>
      <c r="AC881" s="1"/>
      <c r="AJ881" s="1"/>
      <c r="AQ881" s="1"/>
      <c r="AX881" s="1"/>
      <c r="BE881" s="1"/>
    </row>
    <row r="882" spans="1:57" x14ac:dyDescent="0.25">
      <c r="A882" s="1"/>
      <c r="H882" s="1"/>
      <c r="O882" s="1"/>
      <c r="V882" s="1"/>
      <c r="AC882" s="1"/>
      <c r="AJ882" s="1"/>
      <c r="AQ882" s="1"/>
      <c r="AX882" s="1"/>
      <c r="BE882" s="1"/>
    </row>
    <row r="883" spans="1:57" x14ac:dyDescent="0.25">
      <c r="A883" s="1"/>
      <c r="H883" s="1"/>
      <c r="O883" s="1"/>
      <c r="V883" s="1"/>
      <c r="AC883" s="1"/>
      <c r="AJ883" s="1"/>
      <c r="AQ883" s="1"/>
      <c r="AX883" s="1"/>
      <c r="BE883" s="1"/>
    </row>
    <row r="884" spans="1:57" x14ac:dyDescent="0.25">
      <c r="A884" s="1"/>
      <c r="H884" s="1"/>
      <c r="O884" s="1"/>
      <c r="V884" s="1"/>
      <c r="AC884" s="1"/>
      <c r="AJ884" s="1"/>
      <c r="AQ884" s="1"/>
      <c r="AX884" s="1"/>
      <c r="BE884" s="1"/>
    </row>
    <row r="885" spans="1:57" x14ac:dyDescent="0.25">
      <c r="A885" s="1"/>
      <c r="H885" s="1"/>
      <c r="O885" s="1"/>
      <c r="V885" s="1"/>
      <c r="AC885" s="1"/>
      <c r="AJ885" s="1"/>
      <c r="AQ885" s="1"/>
      <c r="AX885" s="1"/>
      <c r="BE885" s="1"/>
    </row>
    <row r="886" spans="1:57" x14ac:dyDescent="0.25">
      <c r="A886" s="1"/>
      <c r="H886" s="1"/>
      <c r="O886" s="1"/>
      <c r="V886" s="1"/>
      <c r="AC886" s="1"/>
      <c r="AJ886" s="1"/>
      <c r="AQ886" s="1"/>
      <c r="AX886" s="1"/>
      <c r="BE886" s="1"/>
    </row>
    <row r="887" spans="1:57" x14ac:dyDescent="0.25">
      <c r="A887" s="1"/>
      <c r="H887" s="1"/>
      <c r="O887" s="1"/>
      <c r="V887" s="1"/>
      <c r="AC887" s="1"/>
      <c r="AJ887" s="1"/>
      <c r="AQ887" s="1"/>
      <c r="AX887" s="1"/>
      <c r="BE887" s="1"/>
    </row>
    <row r="888" spans="1:57" x14ac:dyDescent="0.25">
      <c r="A888" s="1"/>
      <c r="H888" s="1"/>
      <c r="O888" s="1"/>
      <c r="V888" s="1"/>
      <c r="AC888" s="1"/>
      <c r="AJ888" s="1"/>
      <c r="AQ888" s="1"/>
      <c r="AX888" s="1"/>
      <c r="BE888" s="1"/>
    </row>
    <row r="889" spans="1:57" x14ac:dyDescent="0.25">
      <c r="A889" s="1"/>
      <c r="H889" s="1"/>
      <c r="O889" s="1"/>
      <c r="V889" s="1"/>
      <c r="AC889" s="1"/>
      <c r="AJ889" s="1"/>
      <c r="AQ889" s="1"/>
      <c r="AX889" s="1"/>
      <c r="BE889" s="1"/>
    </row>
    <row r="890" spans="1:57" x14ac:dyDescent="0.25">
      <c r="A890" s="1"/>
      <c r="H890" s="1"/>
      <c r="O890" s="1"/>
      <c r="V890" s="1"/>
      <c r="AC890" s="1"/>
      <c r="AJ890" s="1"/>
      <c r="AQ890" s="1"/>
      <c r="AX890" s="1"/>
      <c r="BE890" s="1"/>
    </row>
    <row r="891" spans="1:57" x14ac:dyDescent="0.25">
      <c r="A891" s="1"/>
      <c r="H891" s="1"/>
      <c r="O891" s="1"/>
      <c r="V891" s="1"/>
      <c r="AC891" s="1"/>
      <c r="AJ891" s="1"/>
      <c r="AQ891" s="1"/>
      <c r="AX891" s="1"/>
      <c r="BE891" s="1"/>
    </row>
    <row r="892" spans="1:57" x14ac:dyDescent="0.25">
      <c r="A892" s="1"/>
      <c r="H892" s="1"/>
      <c r="O892" s="1"/>
      <c r="V892" s="1"/>
      <c r="AC892" s="1"/>
      <c r="AJ892" s="1"/>
      <c r="AQ892" s="1"/>
      <c r="AX892" s="1"/>
      <c r="BE892" s="1"/>
    </row>
    <row r="893" spans="1:57" x14ac:dyDescent="0.25">
      <c r="A893" s="1"/>
      <c r="H893" s="1"/>
      <c r="O893" s="1"/>
      <c r="V893" s="1"/>
      <c r="AC893" s="1"/>
      <c r="AJ893" s="1"/>
      <c r="AQ893" s="1"/>
      <c r="AX893" s="1"/>
      <c r="BE893" s="1"/>
    </row>
    <row r="894" spans="1:57" x14ac:dyDescent="0.25">
      <c r="A894" s="1"/>
      <c r="H894" s="1"/>
      <c r="O894" s="1"/>
      <c r="V894" s="1"/>
      <c r="AC894" s="1"/>
      <c r="AJ894" s="1"/>
      <c r="AQ894" s="1"/>
      <c r="AX894" s="1"/>
      <c r="BE894" s="1"/>
    </row>
    <row r="895" spans="1:57" x14ac:dyDescent="0.25">
      <c r="A895" s="1"/>
      <c r="H895" s="1"/>
      <c r="O895" s="1"/>
      <c r="V895" s="1"/>
      <c r="AC895" s="1"/>
      <c r="AJ895" s="1"/>
      <c r="AQ895" s="1"/>
      <c r="AX895" s="1"/>
      <c r="BE895" s="1"/>
    </row>
    <row r="896" spans="1:57" x14ac:dyDescent="0.25">
      <c r="A896" s="1"/>
      <c r="H896" s="1"/>
      <c r="O896" s="1"/>
      <c r="V896" s="1"/>
      <c r="AC896" s="1"/>
      <c r="AJ896" s="1"/>
      <c r="AQ896" s="1"/>
      <c r="AX896" s="1"/>
      <c r="BE896" s="1"/>
    </row>
    <row r="897" spans="1:57" x14ac:dyDescent="0.25">
      <c r="A897" s="1"/>
      <c r="H897" s="1"/>
      <c r="O897" s="1"/>
      <c r="V897" s="1"/>
      <c r="AC897" s="1"/>
      <c r="AJ897" s="1"/>
      <c r="AQ897" s="1"/>
      <c r="AX897" s="1"/>
      <c r="BE897" s="1"/>
    </row>
    <row r="898" spans="1:57" x14ac:dyDescent="0.25">
      <c r="A898" s="1"/>
      <c r="H898" s="1"/>
      <c r="O898" s="1"/>
      <c r="V898" s="1"/>
      <c r="AC898" s="1"/>
      <c r="AJ898" s="1"/>
      <c r="AQ898" s="1"/>
      <c r="AX898" s="1"/>
      <c r="BE898" s="1"/>
    </row>
    <row r="899" spans="1:57" x14ac:dyDescent="0.25">
      <c r="A899" s="1"/>
      <c r="H899" s="1"/>
      <c r="O899" s="1"/>
      <c r="V899" s="1"/>
      <c r="AC899" s="1"/>
      <c r="AJ899" s="1"/>
      <c r="AQ899" s="1"/>
      <c r="AX899" s="1"/>
      <c r="BE899" s="1"/>
    </row>
    <row r="900" spans="1:57" x14ac:dyDescent="0.25">
      <c r="A900" s="1"/>
      <c r="H900" s="1"/>
      <c r="O900" s="1"/>
      <c r="V900" s="1"/>
      <c r="AC900" s="1"/>
      <c r="AJ900" s="1"/>
      <c r="AQ900" s="1"/>
      <c r="AX900" s="1"/>
      <c r="BE900" s="1"/>
    </row>
    <row r="901" spans="1:57" x14ac:dyDescent="0.25">
      <c r="A901" s="1"/>
      <c r="H901" s="1"/>
      <c r="O901" s="1"/>
      <c r="V901" s="1"/>
      <c r="AC901" s="1"/>
      <c r="AJ901" s="1"/>
      <c r="AQ901" s="1"/>
      <c r="AX901" s="1"/>
      <c r="BE901" s="1"/>
    </row>
    <row r="902" spans="1:57" x14ac:dyDescent="0.25">
      <c r="A902" s="1"/>
      <c r="H902" s="1"/>
      <c r="O902" s="1"/>
      <c r="V902" s="1"/>
      <c r="AC902" s="1"/>
      <c r="AJ902" s="1"/>
      <c r="AQ902" s="1"/>
      <c r="AX902" s="1"/>
      <c r="BE902" s="1"/>
    </row>
    <row r="903" spans="1:57" x14ac:dyDescent="0.25">
      <c r="A903" s="1"/>
      <c r="H903" s="1"/>
      <c r="O903" s="1"/>
      <c r="V903" s="1"/>
      <c r="AC903" s="1"/>
      <c r="AJ903" s="1"/>
      <c r="AQ903" s="1"/>
      <c r="AX903" s="1"/>
      <c r="BE903" s="1"/>
    </row>
    <row r="904" spans="1:57" x14ac:dyDescent="0.25">
      <c r="A904" s="1"/>
      <c r="H904" s="1"/>
      <c r="O904" s="1"/>
      <c r="V904" s="1"/>
      <c r="AC904" s="1"/>
      <c r="AJ904" s="1"/>
      <c r="AQ904" s="1"/>
      <c r="AX904" s="1"/>
      <c r="BE904" s="1"/>
    </row>
    <row r="905" spans="1:57" x14ac:dyDescent="0.25">
      <c r="A905" s="1"/>
      <c r="H905" s="1"/>
      <c r="O905" s="1"/>
      <c r="V905" s="1"/>
      <c r="AC905" s="1"/>
      <c r="AJ905" s="1"/>
      <c r="AQ905" s="1"/>
      <c r="AX905" s="1"/>
      <c r="BE905" s="1"/>
    </row>
    <row r="906" spans="1:57" x14ac:dyDescent="0.25">
      <c r="A906" s="1"/>
      <c r="H906" s="1"/>
      <c r="O906" s="1"/>
      <c r="V906" s="1"/>
      <c r="AC906" s="1"/>
      <c r="AJ906" s="1"/>
      <c r="AQ906" s="1"/>
      <c r="AX906" s="1"/>
      <c r="BE906" s="1"/>
    </row>
    <row r="907" spans="1:57" x14ac:dyDescent="0.25">
      <c r="A907" s="1"/>
      <c r="H907" s="1"/>
      <c r="O907" s="1"/>
      <c r="V907" s="1"/>
      <c r="AC907" s="1"/>
      <c r="AJ907" s="1"/>
      <c r="AQ907" s="1"/>
      <c r="AX907" s="1"/>
      <c r="BE907" s="1"/>
    </row>
    <row r="908" spans="1:57" x14ac:dyDescent="0.25">
      <c r="A908" s="1"/>
      <c r="H908" s="1"/>
      <c r="O908" s="1"/>
      <c r="V908" s="1"/>
      <c r="AC908" s="1"/>
      <c r="AJ908" s="1"/>
      <c r="AQ908" s="1"/>
      <c r="AX908" s="1"/>
      <c r="BE908" s="1"/>
    </row>
    <row r="909" spans="1:57" x14ac:dyDescent="0.25">
      <c r="A909" s="1"/>
      <c r="H909" s="1"/>
      <c r="O909" s="1"/>
      <c r="V909" s="1"/>
      <c r="AC909" s="1"/>
      <c r="AJ909" s="1"/>
      <c r="AQ909" s="1"/>
      <c r="AX909" s="1"/>
      <c r="BE909" s="1"/>
    </row>
    <row r="910" spans="1:57" x14ac:dyDescent="0.25">
      <c r="A910" s="1"/>
      <c r="H910" s="1"/>
      <c r="O910" s="1"/>
      <c r="V910" s="1"/>
      <c r="AC910" s="1"/>
      <c r="AJ910" s="1"/>
      <c r="AQ910" s="1"/>
      <c r="AX910" s="1"/>
      <c r="BE910" s="1"/>
    </row>
    <row r="911" spans="1:57" x14ac:dyDescent="0.25">
      <c r="A911" s="1"/>
      <c r="H911" s="1"/>
      <c r="O911" s="1"/>
      <c r="V911" s="1"/>
      <c r="AC911" s="1"/>
      <c r="AJ911" s="1"/>
      <c r="AQ911" s="1"/>
      <c r="AX911" s="1"/>
      <c r="BE911" s="1"/>
    </row>
    <row r="912" spans="1:57" x14ac:dyDescent="0.25">
      <c r="A912" s="1"/>
      <c r="H912" s="1"/>
      <c r="O912" s="1"/>
      <c r="V912" s="1"/>
      <c r="AC912" s="1"/>
      <c r="AJ912" s="1"/>
      <c r="AQ912" s="1"/>
      <c r="AX912" s="1"/>
      <c r="BE912" s="1"/>
    </row>
    <row r="913" spans="1:57" x14ac:dyDescent="0.25">
      <c r="A913" s="1"/>
      <c r="H913" s="1"/>
      <c r="O913" s="1"/>
      <c r="V913" s="1"/>
      <c r="AC913" s="1"/>
      <c r="AJ913" s="1"/>
      <c r="AQ913" s="1"/>
      <c r="AX913" s="1"/>
      <c r="BE913" s="1"/>
    </row>
    <row r="914" spans="1:57" x14ac:dyDescent="0.25">
      <c r="A914" s="1"/>
      <c r="H914" s="1"/>
      <c r="O914" s="1"/>
      <c r="V914" s="1"/>
      <c r="AC914" s="1"/>
      <c r="AJ914" s="1"/>
      <c r="AQ914" s="1"/>
      <c r="AX914" s="1"/>
      <c r="BE914" s="1"/>
    </row>
    <row r="915" spans="1:57" x14ac:dyDescent="0.25">
      <c r="A915" s="1"/>
      <c r="H915" s="1"/>
      <c r="O915" s="1"/>
      <c r="V915" s="1"/>
      <c r="AC915" s="1"/>
      <c r="AJ915" s="1"/>
      <c r="AQ915" s="1"/>
      <c r="AX915" s="1"/>
      <c r="BE915" s="1"/>
    </row>
    <row r="916" spans="1:57" x14ac:dyDescent="0.25">
      <c r="A916" s="1"/>
      <c r="H916" s="1"/>
      <c r="O916" s="1"/>
      <c r="V916" s="1"/>
      <c r="AC916" s="1"/>
      <c r="AJ916" s="1"/>
      <c r="AQ916" s="1"/>
      <c r="AX916" s="1"/>
      <c r="BE916" s="1"/>
    </row>
    <row r="917" spans="1:57" x14ac:dyDescent="0.25">
      <c r="A917" s="1"/>
      <c r="H917" s="1"/>
      <c r="O917" s="1"/>
      <c r="V917" s="1"/>
      <c r="AC917" s="1"/>
      <c r="AJ917" s="1"/>
      <c r="AQ917" s="1"/>
      <c r="AX917" s="1"/>
      <c r="BE917" s="1"/>
    </row>
    <row r="918" spans="1:57" x14ac:dyDescent="0.25">
      <c r="A918" s="1"/>
      <c r="H918" s="1"/>
      <c r="O918" s="1"/>
      <c r="V918" s="1"/>
      <c r="AC918" s="1"/>
      <c r="AJ918" s="1"/>
      <c r="AQ918" s="1"/>
      <c r="AX918" s="1"/>
      <c r="BE918" s="1"/>
    </row>
    <row r="919" spans="1:57" x14ac:dyDescent="0.25">
      <c r="A919" s="1"/>
      <c r="H919" s="1"/>
      <c r="O919" s="1"/>
      <c r="V919" s="1"/>
      <c r="AC919" s="1"/>
      <c r="AJ919" s="1"/>
      <c r="AQ919" s="1"/>
      <c r="AX919" s="1"/>
      <c r="BE919" s="1"/>
    </row>
    <row r="920" spans="1:57" x14ac:dyDescent="0.25">
      <c r="A920" s="1"/>
      <c r="H920" s="1"/>
      <c r="O920" s="1"/>
      <c r="V920" s="1"/>
      <c r="AC920" s="1"/>
      <c r="AJ920" s="1"/>
      <c r="AQ920" s="1"/>
      <c r="AX920" s="1"/>
      <c r="BE920" s="1"/>
    </row>
    <row r="921" spans="1:57" x14ac:dyDescent="0.25">
      <c r="A921" s="1"/>
      <c r="H921" s="1"/>
      <c r="O921" s="1"/>
      <c r="V921" s="1"/>
      <c r="AC921" s="1"/>
      <c r="AJ921" s="1"/>
      <c r="AQ921" s="1"/>
      <c r="AX921" s="1"/>
      <c r="BE921" s="1"/>
    </row>
    <row r="922" spans="1:57" x14ac:dyDescent="0.25">
      <c r="A922" s="1"/>
      <c r="H922" s="1"/>
      <c r="O922" s="1"/>
      <c r="V922" s="1"/>
      <c r="AC922" s="1"/>
      <c r="AJ922" s="1"/>
      <c r="AQ922" s="1"/>
      <c r="AX922" s="1"/>
      <c r="BE922" s="1"/>
    </row>
    <row r="923" spans="1:57" x14ac:dyDescent="0.25">
      <c r="A923" s="1"/>
      <c r="H923" s="1"/>
      <c r="O923" s="1"/>
      <c r="V923" s="1"/>
      <c r="AC923" s="1"/>
      <c r="AJ923" s="1"/>
      <c r="AQ923" s="1"/>
      <c r="AX923" s="1"/>
      <c r="BE923" s="1"/>
    </row>
    <row r="924" spans="1:57" x14ac:dyDescent="0.25">
      <c r="A924" s="1"/>
      <c r="H924" s="1"/>
      <c r="O924" s="1"/>
      <c r="V924" s="1"/>
      <c r="AC924" s="1"/>
      <c r="AJ924" s="1"/>
      <c r="AQ924" s="1"/>
      <c r="AX924" s="1"/>
      <c r="BE924" s="1"/>
    </row>
    <row r="925" spans="1:57" x14ac:dyDescent="0.25">
      <c r="A925" s="1"/>
      <c r="H925" s="1"/>
      <c r="O925" s="1"/>
      <c r="V925" s="1"/>
      <c r="AC925" s="1"/>
      <c r="AJ925" s="1"/>
      <c r="AQ925" s="1"/>
      <c r="AX925" s="1"/>
      <c r="BE925" s="1"/>
    </row>
    <row r="926" spans="1:57" x14ac:dyDescent="0.25">
      <c r="A926" s="1"/>
      <c r="H926" s="1"/>
      <c r="O926" s="1"/>
      <c r="V926" s="1"/>
      <c r="AC926" s="1"/>
      <c r="AJ926" s="1"/>
      <c r="AQ926" s="1"/>
      <c r="AX926" s="1"/>
      <c r="BE926" s="1"/>
    </row>
    <row r="927" spans="1:57" x14ac:dyDescent="0.25">
      <c r="A927" s="1"/>
      <c r="H927" s="1"/>
      <c r="O927" s="1"/>
      <c r="V927" s="1"/>
      <c r="AC927" s="1"/>
      <c r="AJ927" s="1"/>
      <c r="AQ927" s="1"/>
      <c r="AX927" s="1"/>
      <c r="BE927" s="1"/>
    </row>
    <row r="928" spans="1:57" x14ac:dyDescent="0.25">
      <c r="A928" s="1"/>
      <c r="H928" s="1"/>
      <c r="O928" s="1"/>
      <c r="V928" s="1"/>
      <c r="AC928" s="1"/>
      <c r="AJ928" s="1"/>
      <c r="AQ928" s="1"/>
      <c r="AX928" s="1"/>
      <c r="BE928" s="1"/>
    </row>
    <row r="929" spans="1:57" x14ac:dyDescent="0.25">
      <c r="A929" s="1"/>
      <c r="H929" s="1"/>
      <c r="O929" s="1"/>
      <c r="V929" s="1"/>
      <c r="AC929" s="1"/>
      <c r="AJ929" s="1"/>
      <c r="AQ929" s="1"/>
      <c r="AX929" s="1"/>
      <c r="BE929" s="1"/>
    </row>
    <row r="930" spans="1:57" x14ac:dyDescent="0.25">
      <c r="A930" s="1"/>
      <c r="H930" s="1"/>
      <c r="O930" s="1"/>
      <c r="V930" s="1"/>
      <c r="AC930" s="1"/>
      <c r="AJ930" s="1"/>
      <c r="AQ930" s="1"/>
      <c r="AX930" s="1"/>
      <c r="BE930" s="1"/>
    </row>
    <row r="931" spans="1:57" x14ac:dyDescent="0.25">
      <c r="A931" s="1"/>
      <c r="H931" s="1"/>
      <c r="O931" s="1"/>
      <c r="V931" s="1"/>
      <c r="AC931" s="1"/>
      <c r="AJ931" s="1"/>
      <c r="AQ931" s="1"/>
      <c r="AX931" s="1"/>
      <c r="BE931" s="1"/>
    </row>
    <row r="932" spans="1:57" x14ac:dyDescent="0.25">
      <c r="A932" s="1"/>
      <c r="H932" s="1"/>
      <c r="O932" s="1"/>
      <c r="V932" s="1"/>
      <c r="AC932" s="1"/>
      <c r="AJ932" s="1"/>
      <c r="AQ932" s="1"/>
      <c r="AX932" s="1"/>
      <c r="BE932" s="1"/>
    </row>
    <row r="933" spans="1:57" x14ac:dyDescent="0.25">
      <c r="A933" s="1"/>
      <c r="H933" s="1"/>
      <c r="O933" s="1"/>
      <c r="V933" s="1"/>
      <c r="AC933" s="1"/>
      <c r="AJ933" s="1"/>
      <c r="AQ933" s="1"/>
      <c r="AX933" s="1"/>
      <c r="BE933" s="1"/>
    </row>
    <row r="934" spans="1:57" x14ac:dyDescent="0.25">
      <c r="A934" s="1"/>
      <c r="H934" s="1"/>
      <c r="O934" s="1"/>
      <c r="V934" s="1"/>
      <c r="AC934" s="1"/>
      <c r="AJ934" s="1"/>
      <c r="AQ934" s="1"/>
      <c r="AX934" s="1"/>
      <c r="BE934" s="1"/>
    </row>
    <row r="935" spans="1:57" x14ac:dyDescent="0.25">
      <c r="A935" s="1"/>
      <c r="H935" s="1"/>
      <c r="O935" s="1"/>
      <c r="V935" s="1"/>
      <c r="AC935" s="1"/>
      <c r="AJ935" s="1"/>
      <c r="AQ935" s="1"/>
      <c r="AX935" s="1"/>
      <c r="BE935" s="1"/>
    </row>
    <row r="936" spans="1:57" x14ac:dyDescent="0.25">
      <c r="A936" s="1"/>
      <c r="H936" s="1"/>
      <c r="O936" s="1"/>
      <c r="V936" s="1"/>
      <c r="AC936" s="1"/>
      <c r="AJ936" s="1"/>
      <c r="AQ936" s="1"/>
      <c r="AX936" s="1"/>
      <c r="BE936" s="1"/>
    </row>
    <row r="937" spans="1:57" x14ac:dyDescent="0.25">
      <c r="A937" s="1"/>
      <c r="H937" s="1"/>
      <c r="O937" s="1"/>
      <c r="V937" s="1"/>
      <c r="AC937" s="1"/>
      <c r="AJ937" s="1"/>
      <c r="AQ937" s="1"/>
      <c r="AX937" s="1"/>
      <c r="BE937" s="1"/>
    </row>
    <row r="938" spans="1:57" x14ac:dyDescent="0.25">
      <c r="A938" s="1"/>
      <c r="H938" s="1"/>
      <c r="O938" s="1"/>
      <c r="V938" s="1"/>
      <c r="AC938" s="1"/>
      <c r="AJ938" s="1"/>
      <c r="AQ938" s="1"/>
      <c r="AX938" s="1"/>
      <c r="BE938" s="1"/>
    </row>
    <row r="939" spans="1:57" x14ac:dyDescent="0.25">
      <c r="A939" s="1"/>
      <c r="H939" s="1"/>
      <c r="O939" s="1"/>
      <c r="V939" s="1"/>
      <c r="AC939" s="1"/>
      <c r="AJ939" s="1"/>
      <c r="AQ939" s="1"/>
      <c r="AX939" s="1"/>
      <c r="BE939" s="1"/>
    </row>
    <row r="940" spans="1:57" x14ac:dyDescent="0.25">
      <c r="A940" s="1"/>
      <c r="H940" s="1"/>
      <c r="O940" s="1"/>
      <c r="V940" s="1"/>
      <c r="AC940" s="1"/>
      <c r="AJ940" s="1"/>
      <c r="AQ940" s="1"/>
      <c r="AX940" s="1"/>
      <c r="BE940" s="1"/>
    </row>
    <row r="941" spans="1:57" x14ac:dyDescent="0.25">
      <c r="A941" s="1"/>
      <c r="H941" s="1"/>
      <c r="O941" s="1"/>
      <c r="V941" s="1"/>
      <c r="AC941" s="1"/>
      <c r="AJ941" s="1"/>
      <c r="AQ941" s="1"/>
      <c r="AX941" s="1"/>
      <c r="BE941" s="1"/>
    </row>
    <row r="942" spans="1:57" x14ac:dyDescent="0.25">
      <c r="A942" s="1"/>
      <c r="H942" s="1"/>
      <c r="O942" s="1"/>
      <c r="V942" s="1"/>
      <c r="AC942" s="1"/>
      <c r="AJ942" s="1"/>
      <c r="AQ942" s="1"/>
      <c r="AX942" s="1"/>
      <c r="BE942" s="1"/>
    </row>
    <row r="943" spans="1:57" x14ac:dyDescent="0.25">
      <c r="A943" s="1"/>
      <c r="H943" s="1"/>
      <c r="O943" s="1"/>
      <c r="V943" s="1"/>
      <c r="AC943" s="1"/>
      <c r="AJ943" s="1"/>
      <c r="AQ943" s="1"/>
      <c r="AX943" s="1"/>
      <c r="BE943" s="1"/>
    </row>
    <row r="944" spans="1:57" x14ac:dyDescent="0.25">
      <c r="A944" s="1"/>
      <c r="H944" s="1"/>
      <c r="O944" s="1"/>
      <c r="V944" s="1"/>
      <c r="AC944" s="1"/>
      <c r="AJ944" s="1"/>
      <c r="AQ944" s="1"/>
      <c r="AX944" s="1"/>
      <c r="BE944" s="1"/>
    </row>
    <row r="945" spans="1:57" x14ac:dyDescent="0.25">
      <c r="A945" s="1"/>
      <c r="H945" s="1"/>
      <c r="O945" s="1"/>
      <c r="V945" s="1"/>
      <c r="AC945" s="1"/>
      <c r="AJ945" s="1"/>
      <c r="AQ945" s="1"/>
      <c r="AX945" s="1"/>
      <c r="BE945" s="1"/>
    </row>
    <row r="946" spans="1:57" x14ac:dyDescent="0.25">
      <c r="A946" s="1"/>
      <c r="H946" s="1"/>
      <c r="O946" s="1"/>
      <c r="V946" s="1"/>
      <c r="AC946" s="1"/>
      <c r="AJ946" s="1"/>
      <c r="AQ946" s="1"/>
      <c r="AX946" s="1"/>
      <c r="BE946" s="1"/>
    </row>
    <row r="947" spans="1:57" x14ac:dyDescent="0.25">
      <c r="A947" s="1"/>
      <c r="H947" s="1"/>
      <c r="O947" s="1"/>
      <c r="V947" s="1"/>
      <c r="AC947" s="1"/>
      <c r="AJ947" s="1"/>
      <c r="AQ947" s="1"/>
      <c r="AX947" s="1"/>
      <c r="BE947" s="1"/>
    </row>
    <row r="948" spans="1:57" x14ac:dyDescent="0.25">
      <c r="A948" s="1"/>
      <c r="H948" s="1"/>
      <c r="O948" s="1"/>
      <c r="V948" s="1"/>
      <c r="AC948" s="1"/>
      <c r="AJ948" s="1"/>
      <c r="AQ948" s="1"/>
      <c r="AX948" s="1"/>
      <c r="BE948" s="1"/>
    </row>
    <row r="949" spans="1:57" x14ac:dyDescent="0.25">
      <c r="A949" s="1"/>
      <c r="H949" s="1"/>
      <c r="O949" s="1"/>
      <c r="V949" s="1"/>
      <c r="AC949" s="1"/>
      <c r="AJ949" s="1"/>
      <c r="AQ949" s="1"/>
      <c r="AX949" s="1"/>
      <c r="BE949" s="1"/>
    </row>
    <row r="950" spans="1:57" x14ac:dyDescent="0.25">
      <c r="A950" s="1"/>
      <c r="H950" s="1"/>
      <c r="O950" s="1"/>
      <c r="V950" s="1"/>
      <c r="AC950" s="1"/>
      <c r="AJ950" s="1"/>
      <c r="AQ950" s="1"/>
      <c r="AX950" s="1"/>
      <c r="BE950" s="1"/>
    </row>
    <row r="951" spans="1:57" x14ac:dyDescent="0.25">
      <c r="A951" s="1"/>
      <c r="H951" s="1"/>
      <c r="O951" s="1"/>
      <c r="V951" s="1"/>
      <c r="AC951" s="1"/>
      <c r="AJ951" s="1"/>
      <c r="AQ951" s="1"/>
      <c r="AX951" s="1"/>
      <c r="BE951" s="1"/>
    </row>
    <row r="952" spans="1:57" x14ac:dyDescent="0.25">
      <c r="A952" s="1"/>
      <c r="H952" s="1"/>
      <c r="O952" s="1"/>
      <c r="V952" s="1"/>
      <c r="AC952" s="1"/>
      <c r="AJ952" s="1"/>
      <c r="AQ952" s="1"/>
      <c r="AX952" s="1"/>
      <c r="BE952" s="1"/>
    </row>
    <row r="953" spans="1:57" x14ac:dyDescent="0.25">
      <c r="A953" s="1"/>
      <c r="H953" s="1"/>
      <c r="O953" s="1"/>
      <c r="V953" s="1"/>
      <c r="AC953" s="1"/>
      <c r="AJ953" s="1"/>
      <c r="AQ953" s="1"/>
      <c r="AX953" s="1"/>
      <c r="BE953" s="1"/>
    </row>
    <row r="954" spans="1:57" x14ac:dyDescent="0.25">
      <c r="A954" s="1"/>
      <c r="H954" s="1"/>
      <c r="O954" s="1"/>
      <c r="V954" s="1"/>
      <c r="AC954" s="1"/>
      <c r="AJ954" s="1"/>
      <c r="AQ954" s="1"/>
      <c r="AX954" s="1"/>
      <c r="BE954" s="1"/>
    </row>
    <row r="955" spans="1:57" x14ac:dyDescent="0.25">
      <c r="A955" s="1"/>
      <c r="H955" s="1"/>
      <c r="O955" s="1"/>
      <c r="V955" s="1"/>
      <c r="AC955" s="1"/>
      <c r="AJ955" s="1"/>
      <c r="AQ955" s="1"/>
      <c r="AX955" s="1"/>
      <c r="BE955" s="1"/>
    </row>
    <row r="956" spans="1:57" x14ac:dyDescent="0.25">
      <c r="A956" s="1"/>
      <c r="H956" s="1"/>
      <c r="O956" s="1"/>
      <c r="V956" s="1"/>
      <c r="AC956" s="1"/>
      <c r="AJ956" s="1"/>
      <c r="AQ956" s="1"/>
      <c r="AX956" s="1"/>
      <c r="BE956" s="1"/>
    </row>
    <row r="957" spans="1:57" x14ac:dyDescent="0.25">
      <c r="A957" s="1"/>
      <c r="H957" s="1"/>
      <c r="O957" s="1"/>
      <c r="V957" s="1"/>
      <c r="AC957" s="1"/>
      <c r="AJ957" s="1"/>
      <c r="AQ957" s="1"/>
      <c r="AX957" s="1"/>
      <c r="BE957" s="1"/>
    </row>
    <row r="958" spans="1:57" x14ac:dyDescent="0.25">
      <c r="A958" s="1"/>
      <c r="H958" s="1"/>
      <c r="O958" s="1"/>
      <c r="V958" s="1"/>
      <c r="AC958" s="1"/>
      <c r="AJ958" s="1"/>
      <c r="AQ958" s="1"/>
      <c r="AX958" s="1"/>
      <c r="BE958" s="1"/>
    </row>
    <row r="959" spans="1:57" x14ac:dyDescent="0.25">
      <c r="A959" s="1"/>
      <c r="H959" s="1"/>
      <c r="O959" s="1"/>
      <c r="V959" s="1"/>
      <c r="AC959" s="1"/>
      <c r="AJ959" s="1"/>
      <c r="AQ959" s="1"/>
      <c r="AX959" s="1"/>
      <c r="BE959" s="1"/>
    </row>
    <row r="960" spans="1:57" x14ac:dyDescent="0.25">
      <c r="A960" s="1"/>
      <c r="H960" s="1"/>
      <c r="O960" s="1"/>
      <c r="V960" s="1"/>
      <c r="AC960" s="1"/>
      <c r="AJ960" s="1"/>
      <c r="AQ960" s="1"/>
      <c r="AX960" s="1"/>
      <c r="BE960" s="1"/>
    </row>
    <row r="961" spans="1:57" x14ac:dyDescent="0.25">
      <c r="A961" s="1"/>
      <c r="H961" s="1"/>
      <c r="O961" s="1"/>
      <c r="V961" s="1"/>
      <c r="AC961" s="1"/>
      <c r="AJ961" s="1"/>
      <c r="AQ961" s="1"/>
      <c r="AX961" s="1"/>
      <c r="BE961" s="1"/>
    </row>
    <row r="962" spans="1:57" x14ac:dyDescent="0.25">
      <c r="A962" s="1"/>
      <c r="H962" s="1"/>
      <c r="O962" s="1"/>
      <c r="V962" s="1"/>
      <c r="AC962" s="1"/>
      <c r="AJ962" s="1"/>
      <c r="AQ962" s="1"/>
      <c r="AX962" s="1"/>
      <c r="BE962" s="1"/>
    </row>
    <row r="963" spans="1:57" x14ac:dyDescent="0.25">
      <c r="A963" s="1"/>
      <c r="H963" s="1"/>
      <c r="O963" s="1"/>
      <c r="V963" s="1"/>
      <c r="AC963" s="1"/>
      <c r="AJ963" s="1"/>
      <c r="AQ963" s="1"/>
      <c r="AX963" s="1"/>
      <c r="BE963" s="1"/>
    </row>
    <row r="964" spans="1:57" x14ac:dyDescent="0.25">
      <c r="A964" s="1"/>
      <c r="H964" s="1"/>
      <c r="O964" s="1"/>
      <c r="V964" s="1"/>
      <c r="AC964" s="1"/>
      <c r="AJ964" s="1"/>
      <c r="AQ964" s="1"/>
      <c r="AX964" s="1"/>
      <c r="BE964" s="1"/>
    </row>
    <row r="965" spans="1:57" x14ac:dyDescent="0.25">
      <c r="A965" s="1"/>
      <c r="H965" s="1"/>
      <c r="O965" s="1"/>
      <c r="V965" s="1"/>
      <c r="AC965" s="1"/>
      <c r="AJ965" s="1"/>
      <c r="AQ965" s="1"/>
      <c r="AX965" s="1"/>
      <c r="BE965" s="1"/>
    </row>
    <row r="966" spans="1:57" x14ac:dyDescent="0.25">
      <c r="A966" s="1"/>
      <c r="H966" s="1"/>
      <c r="O966" s="1"/>
      <c r="V966" s="1"/>
      <c r="AC966" s="1"/>
      <c r="AJ966" s="1"/>
      <c r="AQ966" s="1"/>
      <c r="AX966" s="1"/>
      <c r="BE966" s="1"/>
    </row>
    <row r="967" spans="1:57" x14ac:dyDescent="0.25">
      <c r="A967" s="1"/>
      <c r="H967" s="1"/>
      <c r="O967" s="1"/>
      <c r="V967" s="1"/>
      <c r="AC967" s="1"/>
      <c r="AJ967" s="1"/>
      <c r="AQ967" s="1"/>
      <c r="AX967" s="1"/>
      <c r="BE967" s="1"/>
    </row>
    <row r="968" spans="1:57" x14ac:dyDescent="0.25">
      <c r="A968" s="1"/>
      <c r="H968" s="1"/>
      <c r="O968" s="1"/>
      <c r="V968" s="1"/>
      <c r="AC968" s="1"/>
      <c r="AJ968" s="1"/>
      <c r="AQ968" s="1"/>
      <c r="AX968" s="1"/>
      <c r="BE968" s="1"/>
    </row>
    <row r="969" spans="1:57" x14ac:dyDescent="0.25">
      <c r="A969" s="1"/>
      <c r="H969" s="1"/>
      <c r="O969" s="1"/>
      <c r="V969" s="1"/>
      <c r="AC969" s="1"/>
      <c r="AJ969" s="1"/>
      <c r="AQ969" s="1"/>
      <c r="AX969" s="1"/>
      <c r="BE969" s="1"/>
    </row>
    <row r="970" spans="1:57" x14ac:dyDescent="0.25">
      <c r="A970" s="1"/>
      <c r="H970" s="1"/>
      <c r="O970" s="1"/>
      <c r="V970" s="1"/>
      <c r="AC970" s="1"/>
      <c r="AJ970" s="1"/>
      <c r="AQ970" s="1"/>
      <c r="AX970" s="1"/>
      <c r="BE970" s="1"/>
    </row>
    <row r="971" spans="1:57" x14ac:dyDescent="0.25">
      <c r="A971" s="1"/>
      <c r="H971" s="1"/>
      <c r="O971" s="1"/>
      <c r="V971" s="1"/>
      <c r="AC971" s="1"/>
      <c r="AJ971" s="1"/>
      <c r="AQ971" s="1"/>
      <c r="AX971" s="1"/>
      <c r="BE971" s="1"/>
    </row>
    <row r="972" spans="1:57" x14ac:dyDescent="0.25">
      <c r="A972" s="1"/>
      <c r="H972" s="1"/>
      <c r="O972" s="1"/>
      <c r="V972" s="1"/>
      <c r="AC972" s="1"/>
      <c r="AJ972" s="1"/>
      <c r="AQ972" s="1"/>
      <c r="AX972" s="1"/>
      <c r="BE972" s="1"/>
    </row>
    <row r="973" spans="1:57" x14ac:dyDescent="0.25">
      <c r="A973" s="1"/>
      <c r="H973" s="1"/>
      <c r="O973" s="1"/>
      <c r="V973" s="1"/>
      <c r="AC973" s="1"/>
      <c r="AJ973" s="1"/>
      <c r="AQ973" s="1"/>
      <c r="AX973" s="1"/>
      <c r="BE973" s="1"/>
    </row>
    <row r="974" spans="1:57" x14ac:dyDescent="0.25">
      <c r="A974" s="1"/>
      <c r="H974" s="1"/>
      <c r="O974" s="1"/>
      <c r="V974" s="1"/>
      <c r="AC974" s="1"/>
      <c r="AJ974" s="1"/>
      <c r="AQ974" s="1"/>
      <c r="AX974" s="1"/>
      <c r="BE974" s="1"/>
    </row>
    <row r="975" spans="1:57" x14ac:dyDescent="0.25">
      <c r="A975" s="1"/>
      <c r="H975" s="1"/>
      <c r="O975" s="1"/>
      <c r="V975" s="1"/>
      <c r="AC975" s="1"/>
      <c r="AJ975" s="1"/>
      <c r="AQ975" s="1"/>
      <c r="AX975" s="1"/>
      <c r="BE975" s="1"/>
    </row>
    <row r="976" spans="1:57" x14ac:dyDescent="0.25">
      <c r="A976" s="1"/>
      <c r="H976" s="1"/>
      <c r="O976" s="1"/>
      <c r="V976" s="1"/>
      <c r="AC976" s="1"/>
      <c r="AJ976" s="1"/>
      <c r="AQ976" s="1"/>
      <c r="AX976" s="1"/>
      <c r="BE976" s="1"/>
    </row>
    <row r="977" spans="1:57" x14ac:dyDescent="0.25">
      <c r="A977" s="1"/>
      <c r="H977" s="1"/>
      <c r="O977" s="1"/>
      <c r="V977" s="1"/>
      <c r="AC977" s="1"/>
      <c r="AJ977" s="1"/>
      <c r="AQ977" s="1"/>
      <c r="AX977" s="1"/>
      <c r="BE977" s="1"/>
    </row>
    <row r="978" spans="1:57" x14ac:dyDescent="0.25">
      <c r="A978" s="1"/>
      <c r="H978" s="1"/>
      <c r="O978" s="1"/>
      <c r="V978" s="1"/>
      <c r="AC978" s="1"/>
      <c r="AJ978" s="1"/>
      <c r="AQ978" s="1"/>
      <c r="AX978" s="1"/>
      <c r="BE978" s="1"/>
    </row>
    <row r="979" spans="1:57" x14ac:dyDescent="0.25">
      <c r="A979" s="1"/>
      <c r="H979" s="1"/>
      <c r="O979" s="1"/>
      <c r="V979" s="1"/>
      <c r="AC979" s="1"/>
      <c r="AJ979" s="1"/>
      <c r="AQ979" s="1"/>
      <c r="AX979" s="1"/>
      <c r="BE979" s="1"/>
    </row>
    <row r="980" spans="1:57" x14ac:dyDescent="0.25">
      <c r="A980" s="1"/>
      <c r="H980" s="1"/>
      <c r="O980" s="1"/>
      <c r="V980" s="1"/>
      <c r="AC980" s="1"/>
      <c r="AJ980" s="1"/>
      <c r="AQ980" s="1"/>
      <c r="AX980" s="1"/>
      <c r="BE980" s="1"/>
    </row>
    <row r="981" spans="1:57" x14ac:dyDescent="0.25">
      <c r="A981" s="1"/>
      <c r="H981" s="1"/>
      <c r="O981" s="1"/>
      <c r="V981" s="1"/>
      <c r="AC981" s="1"/>
      <c r="AJ981" s="1"/>
      <c r="AQ981" s="1"/>
      <c r="AX981" s="1"/>
      <c r="BE981" s="1"/>
    </row>
    <row r="982" spans="1:57" x14ac:dyDescent="0.25">
      <c r="A982" s="1"/>
      <c r="H982" s="1"/>
      <c r="O982" s="1"/>
      <c r="V982" s="1"/>
      <c r="AC982" s="1"/>
      <c r="AJ982" s="1"/>
      <c r="AQ982" s="1"/>
      <c r="AX982" s="1"/>
      <c r="BE982" s="1"/>
    </row>
    <row r="983" spans="1:57" x14ac:dyDescent="0.25">
      <c r="A983" s="1"/>
      <c r="H983" s="1"/>
      <c r="O983" s="1"/>
      <c r="V983" s="1"/>
      <c r="AC983" s="1"/>
      <c r="AJ983" s="1"/>
      <c r="AQ983" s="1"/>
      <c r="AX983" s="1"/>
      <c r="BE983" s="1"/>
    </row>
    <row r="984" spans="1:57" x14ac:dyDescent="0.25">
      <c r="A984" s="1"/>
      <c r="H984" s="1"/>
      <c r="O984" s="1"/>
      <c r="V984" s="1"/>
      <c r="AC984" s="1"/>
      <c r="AJ984" s="1"/>
      <c r="AQ984" s="1"/>
      <c r="AX984" s="1"/>
      <c r="BE984" s="1"/>
    </row>
    <row r="985" spans="1:57" x14ac:dyDescent="0.25">
      <c r="A985" s="1"/>
      <c r="H985" s="1"/>
      <c r="O985" s="1"/>
      <c r="V985" s="1"/>
      <c r="AC985" s="1"/>
      <c r="AJ985" s="1"/>
      <c r="AQ985" s="1"/>
      <c r="AX985" s="1"/>
      <c r="BE985" s="1"/>
    </row>
    <row r="986" spans="1:57" x14ac:dyDescent="0.25">
      <c r="A986" s="1"/>
      <c r="H986" s="1"/>
      <c r="O986" s="1"/>
      <c r="V986" s="1"/>
      <c r="AC986" s="1"/>
      <c r="AJ986" s="1"/>
      <c r="AQ986" s="1"/>
      <c r="AX986" s="1"/>
      <c r="BE986" s="1"/>
    </row>
    <row r="987" spans="1:57" x14ac:dyDescent="0.25">
      <c r="A987" s="1"/>
      <c r="H987" s="1"/>
      <c r="O987" s="1"/>
      <c r="V987" s="1"/>
      <c r="AC987" s="1"/>
      <c r="AJ987" s="1"/>
      <c r="AQ987" s="1"/>
      <c r="AX987" s="1"/>
      <c r="BE987" s="1"/>
    </row>
    <row r="988" spans="1:57" x14ac:dyDescent="0.25">
      <c r="A988" s="1"/>
      <c r="H988" s="1"/>
      <c r="O988" s="1"/>
      <c r="V988" s="1"/>
      <c r="AC988" s="1"/>
      <c r="AJ988" s="1"/>
      <c r="AQ988" s="1"/>
      <c r="AX988" s="1"/>
      <c r="BE988" s="1"/>
    </row>
    <row r="989" spans="1:57" x14ac:dyDescent="0.25">
      <c r="A989" s="1"/>
      <c r="H989" s="1"/>
      <c r="O989" s="1"/>
      <c r="V989" s="1"/>
      <c r="AC989" s="1"/>
      <c r="AJ989" s="1"/>
      <c r="AQ989" s="1"/>
      <c r="AX989" s="1"/>
      <c r="BE989" s="1"/>
    </row>
    <row r="990" spans="1:57" x14ac:dyDescent="0.25">
      <c r="A990" s="1"/>
      <c r="H990" s="1"/>
      <c r="O990" s="1"/>
      <c r="V990" s="1"/>
      <c r="AC990" s="1"/>
      <c r="AJ990" s="1"/>
      <c r="AQ990" s="1"/>
      <c r="AX990" s="1"/>
      <c r="BE990" s="1"/>
    </row>
    <row r="991" spans="1:57" x14ac:dyDescent="0.25">
      <c r="A991" s="1"/>
      <c r="H991" s="1"/>
      <c r="O991" s="1"/>
      <c r="V991" s="1"/>
      <c r="AC991" s="1"/>
      <c r="AJ991" s="1"/>
      <c r="AQ991" s="1"/>
      <c r="AX991" s="1"/>
      <c r="BE991" s="1"/>
    </row>
    <row r="992" spans="1:57" x14ac:dyDescent="0.25">
      <c r="A992" s="1"/>
      <c r="H992" s="1"/>
      <c r="O992" s="1"/>
      <c r="V992" s="1"/>
      <c r="AC992" s="1"/>
      <c r="AJ992" s="1"/>
      <c r="AQ992" s="1"/>
      <c r="AX992" s="1"/>
      <c r="BE992" s="1"/>
    </row>
    <row r="993" spans="1:57" x14ac:dyDescent="0.25">
      <c r="A993" s="1"/>
      <c r="H993" s="1"/>
      <c r="O993" s="1"/>
      <c r="V993" s="1"/>
      <c r="AC993" s="1"/>
      <c r="AJ993" s="1"/>
      <c r="AQ993" s="1"/>
      <c r="AX993" s="1"/>
      <c r="BE993" s="1"/>
    </row>
    <row r="994" spans="1:57" x14ac:dyDescent="0.25">
      <c r="A994" s="1"/>
      <c r="H994" s="1"/>
      <c r="O994" s="1"/>
      <c r="V994" s="1"/>
      <c r="AC994" s="1"/>
      <c r="AJ994" s="1"/>
      <c r="AQ994" s="1"/>
      <c r="AX994" s="1"/>
      <c r="BE994" s="1"/>
    </row>
    <row r="995" spans="1:57" x14ac:dyDescent="0.25">
      <c r="A995" s="1"/>
      <c r="H995" s="1"/>
      <c r="O995" s="1"/>
      <c r="V995" s="1"/>
      <c r="AC995" s="1"/>
      <c r="AJ995" s="1"/>
      <c r="AQ995" s="1"/>
      <c r="AX995" s="1"/>
      <c r="BE995" s="1"/>
    </row>
    <row r="996" spans="1:57" x14ac:dyDescent="0.25">
      <c r="A996" s="1"/>
      <c r="H996" s="1"/>
      <c r="O996" s="1"/>
      <c r="V996" s="1"/>
      <c r="AC996" s="1"/>
      <c r="AJ996" s="1"/>
      <c r="AQ996" s="1"/>
      <c r="AX996" s="1"/>
      <c r="BE996" s="1"/>
    </row>
    <row r="997" spans="1:57" x14ac:dyDescent="0.25">
      <c r="A997" s="1"/>
      <c r="H997" s="1"/>
      <c r="O997" s="1"/>
      <c r="V997" s="1"/>
      <c r="AC997" s="1"/>
      <c r="AJ997" s="1"/>
      <c r="AQ997" s="1"/>
      <c r="AX997" s="1"/>
      <c r="BE997" s="1"/>
    </row>
    <row r="998" spans="1:57" x14ac:dyDescent="0.25">
      <c r="A998" s="1"/>
      <c r="H998" s="1"/>
      <c r="O998" s="1"/>
      <c r="V998" s="1"/>
      <c r="AC998" s="1"/>
      <c r="AJ998" s="1"/>
      <c r="AQ998" s="1"/>
      <c r="AX998" s="1"/>
      <c r="BE998" s="1"/>
    </row>
    <row r="999" spans="1:57" x14ac:dyDescent="0.25">
      <c r="A999" s="1"/>
      <c r="H999" s="1"/>
      <c r="O999" s="1"/>
      <c r="V999" s="1"/>
      <c r="AC999" s="1"/>
      <c r="AJ999" s="1"/>
      <c r="AQ999" s="1"/>
      <c r="AX999" s="1"/>
      <c r="BE999" s="1"/>
    </row>
    <row r="1000" spans="1:57" x14ac:dyDescent="0.25">
      <c r="A1000" s="1"/>
      <c r="H1000" s="1"/>
      <c r="O1000" s="1"/>
      <c r="V1000" s="1"/>
      <c r="AC1000" s="1"/>
      <c r="AJ1000" s="1"/>
      <c r="AQ1000" s="1"/>
      <c r="AX1000" s="1"/>
      <c r="BE1000" s="1"/>
    </row>
    <row r="1001" spans="1:57" x14ac:dyDescent="0.25">
      <c r="A1001" s="1"/>
      <c r="H1001" s="1"/>
      <c r="O1001" s="1"/>
      <c r="V1001" s="1"/>
      <c r="AC1001" s="1"/>
      <c r="AJ1001" s="1"/>
      <c r="AQ1001" s="1"/>
      <c r="AX1001" s="1"/>
      <c r="BE1001" s="1"/>
    </row>
    <row r="1002" spans="1:57" x14ac:dyDescent="0.25">
      <c r="A1002" s="1"/>
      <c r="H1002" s="1"/>
      <c r="O1002" s="1"/>
      <c r="V1002" s="1"/>
      <c r="AC1002" s="1"/>
      <c r="AJ1002" s="1"/>
      <c r="AQ1002" s="1"/>
      <c r="AX1002" s="1"/>
      <c r="BE1002" s="1"/>
    </row>
    <row r="1003" spans="1:57" x14ac:dyDescent="0.25">
      <c r="A1003" s="1"/>
      <c r="H1003" s="1"/>
      <c r="O1003" s="1"/>
      <c r="V1003" s="1"/>
      <c r="AC1003" s="1"/>
      <c r="AJ1003" s="1"/>
      <c r="AQ1003" s="1"/>
      <c r="AX1003" s="1"/>
      <c r="BE1003" s="1"/>
    </row>
    <row r="1004" spans="1:57" x14ac:dyDescent="0.25">
      <c r="A1004" s="1"/>
      <c r="H1004" s="1"/>
      <c r="O1004" s="1"/>
      <c r="V1004" s="1"/>
      <c r="AC1004" s="1"/>
      <c r="AJ1004" s="1"/>
      <c r="AQ1004" s="1"/>
      <c r="AX1004" s="1"/>
      <c r="BE1004" s="1"/>
    </row>
    <row r="1005" spans="1:57" x14ac:dyDescent="0.25">
      <c r="A1005" s="1"/>
      <c r="H1005" s="1"/>
      <c r="O1005" s="1"/>
      <c r="V1005" s="1"/>
      <c r="AC1005" s="1"/>
      <c r="AJ1005" s="1"/>
      <c r="AQ1005" s="1"/>
      <c r="AX1005" s="1"/>
      <c r="BE1005" s="1"/>
    </row>
    <row r="1006" spans="1:57" x14ac:dyDescent="0.25">
      <c r="A1006" s="1"/>
      <c r="H1006" s="1"/>
      <c r="O1006" s="1"/>
      <c r="V1006" s="1"/>
      <c r="AC1006" s="1"/>
      <c r="AJ1006" s="1"/>
      <c r="AQ1006" s="1"/>
      <c r="AX1006" s="1"/>
      <c r="BE1006" s="1"/>
    </row>
    <row r="1007" spans="1:57" x14ac:dyDescent="0.25">
      <c r="A1007" s="1"/>
      <c r="H1007" s="1"/>
      <c r="O1007" s="1"/>
      <c r="V1007" s="1"/>
      <c r="AC1007" s="1"/>
      <c r="AJ1007" s="1"/>
      <c r="AQ1007" s="1"/>
      <c r="AX1007" s="1"/>
      <c r="BE1007" s="1"/>
    </row>
    <row r="1008" spans="1:57" x14ac:dyDescent="0.25">
      <c r="A1008" s="1"/>
      <c r="H1008" s="1"/>
      <c r="O1008" s="1"/>
      <c r="V1008" s="1"/>
      <c r="AC1008" s="1"/>
      <c r="AJ1008" s="1"/>
      <c r="AQ1008" s="1"/>
      <c r="AX1008" s="1"/>
      <c r="BE1008" s="1"/>
    </row>
    <row r="1009" spans="1:57" x14ac:dyDescent="0.25">
      <c r="A1009" s="1"/>
      <c r="H1009" s="1"/>
      <c r="O1009" s="1"/>
      <c r="V1009" s="1"/>
      <c r="AC1009" s="1"/>
      <c r="AJ1009" s="1"/>
      <c r="AQ1009" s="1"/>
      <c r="AX1009" s="1"/>
      <c r="BE1009" s="1"/>
    </row>
    <row r="1010" spans="1:57" x14ac:dyDescent="0.25">
      <c r="A1010" s="1"/>
      <c r="H1010" s="1"/>
      <c r="O1010" s="1"/>
      <c r="V1010" s="1"/>
      <c r="AC1010" s="1"/>
      <c r="AJ1010" s="1"/>
      <c r="AQ1010" s="1"/>
      <c r="AX1010" s="1"/>
      <c r="BE1010" s="1"/>
    </row>
    <row r="1011" spans="1:57" x14ac:dyDescent="0.25">
      <c r="A1011" s="1"/>
      <c r="H1011" s="1"/>
      <c r="O1011" s="1"/>
      <c r="V1011" s="1"/>
      <c r="AC1011" s="1"/>
      <c r="AJ1011" s="1"/>
      <c r="AQ1011" s="1"/>
      <c r="AX1011" s="1"/>
      <c r="BE1011" s="1"/>
    </row>
    <row r="1012" spans="1:57" x14ac:dyDescent="0.25">
      <c r="A1012" s="1"/>
      <c r="H1012" s="1"/>
      <c r="O1012" s="1"/>
      <c r="V1012" s="1"/>
      <c r="AC1012" s="1"/>
      <c r="AJ1012" s="1"/>
      <c r="AQ1012" s="1"/>
      <c r="AX1012" s="1"/>
      <c r="BE1012" s="1"/>
    </row>
    <row r="1013" spans="1:57" x14ac:dyDescent="0.25">
      <c r="A1013" s="1"/>
      <c r="H1013" s="1"/>
      <c r="O1013" s="1"/>
      <c r="V1013" s="1"/>
      <c r="AC1013" s="1"/>
      <c r="AJ1013" s="1"/>
      <c r="AQ1013" s="1"/>
      <c r="AX1013" s="1"/>
      <c r="BE1013" s="1"/>
    </row>
    <row r="1014" spans="1:57" x14ac:dyDescent="0.25">
      <c r="A1014" s="1"/>
      <c r="H1014" s="1"/>
      <c r="O1014" s="1"/>
      <c r="V1014" s="1"/>
      <c r="AC1014" s="1"/>
      <c r="AJ1014" s="1"/>
      <c r="AQ1014" s="1"/>
      <c r="AX1014" s="1"/>
      <c r="BE1014" s="1"/>
    </row>
    <row r="1015" spans="1:57" x14ac:dyDescent="0.25">
      <c r="A1015" s="1"/>
      <c r="H1015" s="1"/>
      <c r="O1015" s="1"/>
      <c r="V1015" s="1"/>
      <c r="AC1015" s="1"/>
      <c r="AJ1015" s="1"/>
      <c r="AQ1015" s="1"/>
      <c r="AX1015" s="1"/>
      <c r="BE1015" s="1"/>
    </row>
    <row r="1016" spans="1:57" x14ac:dyDescent="0.25">
      <c r="A1016" s="1"/>
      <c r="H1016" s="1"/>
      <c r="O1016" s="1"/>
      <c r="V1016" s="1"/>
      <c r="AC1016" s="1"/>
      <c r="AJ1016" s="1"/>
      <c r="AQ1016" s="1"/>
      <c r="AX1016" s="1"/>
      <c r="BE1016" s="1"/>
    </row>
    <row r="1017" spans="1:57" x14ac:dyDescent="0.25">
      <c r="A1017" s="1"/>
      <c r="H1017" s="1"/>
      <c r="O1017" s="1"/>
      <c r="V1017" s="1"/>
      <c r="AC1017" s="1"/>
      <c r="AJ1017" s="1"/>
      <c r="AQ1017" s="1"/>
      <c r="AX1017" s="1"/>
      <c r="BE1017" s="1"/>
    </row>
    <row r="1018" spans="1:57" x14ac:dyDescent="0.25">
      <c r="A1018" s="1"/>
      <c r="H1018" s="1"/>
      <c r="O1018" s="1"/>
      <c r="V1018" s="1"/>
      <c r="AC1018" s="1"/>
      <c r="AJ1018" s="1"/>
      <c r="AQ1018" s="1"/>
      <c r="AX1018" s="1"/>
      <c r="BE1018" s="1"/>
    </row>
    <row r="1019" spans="1:57" x14ac:dyDescent="0.25">
      <c r="A1019" s="1"/>
      <c r="H1019" s="1"/>
      <c r="O1019" s="1"/>
      <c r="V1019" s="1"/>
      <c r="AC1019" s="1"/>
      <c r="AJ1019" s="1"/>
      <c r="AQ1019" s="1"/>
      <c r="AX1019" s="1"/>
      <c r="BE1019" s="1"/>
    </row>
    <row r="1020" spans="1:57" x14ac:dyDescent="0.25">
      <c r="A1020" s="1"/>
      <c r="H1020" s="1"/>
      <c r="O1020" s="1"/>
      <c r="V1020" s="1"/>
      <c r="AC1020" s="1"/>
      <c r="AJ1020" s="1"/>
      <c r="AQ1020" s="1"/>
      <c r="AX1020" s="1"/>
      <c r="BE1020" s="1"/>
    </row>
    <row r="1021" spans="1:57" x14ac:dyDescent="0.25">
      <c r="A1021" s="1"/>
      <c r="H1021" s="1"/>
      <c r="O1021" s="1"/>
      <c r="V1021" s="1"/>
      <c r="AC1021" s="1"/>
      <c r="AJ1021" s="1"/>
      <c r="AQ1021" s="1"/>
      <c r="AX1021" s="1"/>
      <c r="BE1021" s="1"/>
    </row>
    <row r="1022" spans="1:57" x14ac:dyDescent="0.25">
      <c r="A1022" s="1"/>
      <c r="H1022" s="1"/>
      <c r="O1022" s="1"/>
      <c r="V1022" s="1"/>
      <c r="AC1022" s="1"/>
      <c r="AJ1022" s="1"/>
      <c r="AQ1022" s="1"/>
      <c r="AX1022" s="1"/>
      <c r="BE1022" s="1"/>
    </row>
    <row r="1023" spans="1:57" x14ac:dyDescent="0.25">
      <c r="A1023" s="1"/>
      <c r="H1023" s="1"/>
      <c r="O1023" s="1"/>
      <c r="V1023" s="1"/>
      <c r="AC1023" s="1"/>
      <c r="AJ1023" s="1"/>
      <c r="AQ1023" s="1"/>
      <c r="AX1023" s="1"/>
      <c r="BE1023" s="1"/>
    </row>
    <row r="1024" spans="1:57" x14ac:dyDescent="0.25">
      <c r="A1024" s="1"/>
      <c r="H1024" s="1"/>
      <c r="O1024" s="1"/>
      <c r="V1024" s="1"/>
      <c r="AC1024" s="1"/>
      <c r="AJ1024" s="1"/>
      <c r="AQ1024" s="1"/>
      <c r="AX1024" s="1"/>
      <c r="BE1024" s="1"/>
    </row>
    <row r="1025" spans="1:57" x14ac:dyDescent="0.25">
      <c r="A1025" s="1"/>
      <c r="H1025" s="1"/>
      <c r="O1025" s="1"/>
      <c r="V1025" s="1"/>
      <c r="AC1025" s="1"/>
      <c r="AJ1025" s="1"/>
      <c r="AQ1025" s="1"/>
      <c r="AX1025" s="1"/>
      <c r="BE1025" s="1"/>
    </row>
    <row r="1026" spans="1:57" x14ac:dyDescent="0.25">
      <c r="A1026" s="1"/>
      <c r="H1026" s="1"/>
      <c r="O1026" s="1"/>
      <c r="V1026" s="1"/>
      <c r="AC1026" s="1"/>
      <c r="AJ1026" s="1"/>
      <c r="AQ1026" s="1"/>
      <c r="AX1026" s="1"/>
      <c r="BE1026" s="1"/>
    </row>
    <row r="1027" spans="1:57" x14ac:dyDescent="0.25">
      <c r="A1027" s="1"/>
      <c r="H1027" s="1"/>
      <c r="O1027" s="1"/>
      <c r="V1027" s="1"/>
      <c r="AC1027" s="1"/>
      <c r="AJ1027" s="1"/>
      <c r="AQ1027" s="1"/>
      <c r="AX1027" s="1"/>
      <c r="BE1027" s="1"/>
    </row>
    <row r="1028" spans="1:57" x14ac:dyDescent="0.25">
      <c r="A1028" s="1"/>
      <c r="H1028" s="1"/>
      <c r="O1028" s="1"/>
      <c r="V1028" s="1"/>
      <c r="AC1028" s="1"/>
      <c r="AJ1028" s="1"/>
      <c r="AQ1028" s="1"/>
      <c r="AX1028" s="1"/>
      <c r="BE1028" s="1"/>
    </row>
    <row r="1029" spans="1:57" x14ac:dyDescent="0.25">
      <c r="A1029" s="1"/>
      <c r="H1029" s="1"/>
      <c r="O1029" s="1"/>
      <c r="V1029" s="1"/>
      <c r="AC1029" s="1"/>
      <c r="AJ1029" s="1"/>
      <c r="AQ1029" s="1"/>
      <c r="AX1029" s="1"/>
      <c r="BE1029" s="1"/>
    </row>
    <row r="1030" spans="1:57" x14ac:dyDescent="0.25">
      <c r="A1030" s="1"/>
      <c r="H1030" s="1"/>
      <c r="O1030" s="1"/>
      <c r="V1030" s="1"/>
      <c r="AC1030" s="1"/>
      <c r="AJ1030" s="1"/>
      <c r="AQ1030" s="1"/>
      <c r="AX1030" s="1"/>
      <c r="BE1030" s="1"/>
    </row>
    <row r="1031" spans="1:57" x14ac:dyDescent="0.25">
      <c r="A1031" s="1"/>
      <c r="H1031" s="1"/>
      <c r="O1031" s="1"/>
      <c r="V1031" s="1"/>
      <c r="AC1031" s="1"/>
      <c r="AJ1031" s="1"/>
      <c r="AQ1031" s="1"/>
      <c r="AX1031" s="1"/>
      <c r="BE1031" s="1"/>
    </row>
    <row r="1032" spans="1:57" x14ac:dyDescent="0.25">
      <c r="A1032" s="1"/>
      <c r="H1032" s="1"/>
      <c r="O1032" s="1"/>
      <c r="V1032" s="1"/>
      <c r="AC1032" s="1"/>
      <c r="AJ1032" s="1"/>
      <c r="AQ1032" s="1"/>
      <c r="AX1032" s="1"/>
      <c r="BE1032" s="1"/>
    </row>
    <row r="1033" spans="1:57" x14ac:dyDescent="0.25">
      <c r="A1033" s="1"/>
      <c r="H1033" s="1"/>
      <c r="O1033" s="1"/>
      <c r="V1033" s="1"/>
      <c r="AC1033" s="1"/>
      <c r="AJ1033" s="1"/>
      <c r="AQ1033" s="1"/>
      <c r="AX1033" s="1"/>
      <c r="BE1033" s="1"/>
    </row>
    <row r="1034" spans="1:57" x14ac:dyDescent="0.25">
      <c r="A1034" s="1"/>
      <c r="H1034" s="1"/>
      <c r="O1034" s="1"/>
      <c r="V1034" s="1"/>
      <c r="AC1034" s="1"/>
      <c r="AJ1034" s="1"/>
      <c r="AQ1034" s="1"/>
      <c r="AX1034" s="1"/>
      <c r="BE1034" s="1"/>
    </row>
    <row r="1035" spans="1:57" x14ac:dyDescent="0.25">
      <c r="A1035" s="1"/>
      <c r="H1035" s="1"/>
      <c r="O1035" s="1"/>
      <c r="V1035" s="1"/>
      <c r="AC1035" s="1"/>
      <c r="AJ1035" s="1"/>
      <c r="AQ1035" s="1"/>
      <c r="AX1035" s="1"/>
      <c r="BE1035" s="1"/>
    </row>
    <row r="1036" spans="1:57" x14ac:dyDescent="0.25">
      <c r="A1036" s="1"/>
      <c r="H1036" s="1"/>
      <c r="O1036" s="1"/>
      <c r="V1036" s="1"/>
      <c r="AC1036" s="1"/>
      <c r="AJ1036" s="1"/>
      <c r="AQ1036" s="1"/>
      <c r="AX1036" s="1"/>
      <c r="BE1036" s="1"/>
    </row>
    <row r="1037" spans="1:57" x14ac:dyDescent="0.25">
      <c r="A1037" s="1"/>
      <c r="H1037" s="1"/>
      <c r="O1037" s="1"/>
      <c r="V1037" s="1"/>
      <c r="AC1037" s="1"/>
      <c r="AJ1037" s="1"/>
      <c r="AQ1037" s="1"/>
      <c r="AX1037" s="1"/>
      <c r="BE1037" s="1"/>
    </row>
    <row r="1038" spans="1:57" x14ac:dyDescent="0.25">
      <c r="A1038" s="1"/>
      <c r="H1038" s="1"/>
      <c r="O1038" s="1"/>
      <c r="V1038" s="1"/>
      <c r="AC1038" s="1"/>
      <c r="AJ1038" s="1"/>
      <c r="AQ1038" s="1"/>
      <c r="AX1038" s="1"/>
      <c r="BE1038" s="1"/>
    </row>
    <row r="1039" spans="1:57" x14ac:dyDescent="0.25">
      <c r="A1039" s="1"/>
      <c r="H1039" s="1"/>
      <c r="O1039" s="1"/>
      <c r="V1039" s="1"/>
      <c r="AC1039" s="1"/>
      <c r="AJ1039" s="1"/>
      <c r="AQ1039" s="1"/>
      <c r="AX1039" s="1"/>
      <c r="BE1039" s="1"/>
    </row>
    <row r="1040" spans="1:57" x14ac:dyDescent="0.25">
      <c r="A1040" s="1"/>
      <c r="H1040" s="1"/>
      <c r="O1040" s="1"/>
      <c r="V1040" s="1"/>
      <c r="AC1040" s="1"/>
      <c r="AJ1040" s="1"/>
      <c r="AQ1040" s="1"/>
      <c r="AX1040" s="1"/>
      <c r="BE1040" s="1"/>
    </row>
    <row r="1041" spans="1:57" x14ac:dyDescent="0.25">
      <c r="A1041" s="1"/>
      <c r="H1041" s="1"/>
      <c r="O1041" s="1"/>
      <c r="V1041" s="1"/>
      <c r="AC1041" s="1"/>
      <c r="AJ1041" s="1"/>
      <c r="AQ1041" s="1"/>
      <c r="AX1041" s="1"/>
      <c r="BE1041" s="1"/>
    </row>
    <row r="1042" spans="1:57" x14ac:dyDescent="0.25">
      <c r="A1042" s="1"/>
      <c r="H1042" s="1"/>
      <c r="O1042" s="1"/>
      <c r="V1042" s="1"/>
      <c r="AC1042" s="1"/>
      <c r="AJ1042" s="1"/>
      <c r="AQ1042" s="1"/>
      <c r="AX1042" s="1"/>
      <c r="BE1042" s="1"/>
    </row>
    <row r="1043" spans="1:57" x14ac:dyDescent="0.25">
      <c r="A1043" s="1"/>
      <c r="H1043" s="1"/>
      <c r="O1043" s="1"/>
      <c r="V1043" s="1"/>
      <c r="AC1043" s="1"/>
      <c r="AJ1043" s="1"/>
      <c r="AQ1043" s="1"/>
      <c r="AX1043" s="1"/>
      <c r="BE1043" s="1"/>
    </row>
    <row r="1044" spans="1:57" x14ac:dyDescent="0.25">
      <c r="A1044" s="1"/>
      <c r="H1044" s="1"/>
      <c r="O1044" s="1"/>
      <c r="V1044" s="1"/>
      <c r="AC1044" s="1"/>
      <c r="AJ1044" s="1"/>
      <c r="AQ1044" s="1"/>
      <c r="AX1044" s="1"/>
      <c r="BE1044" s="1"/>
    </row>
    <row r="1045" spans="1:57" x14ac:dyDescent="0.25">
      <c r="A1045" s="1"/>
      <c r="H1045" s="1"/>
      <c r="O1045" s="1"/>
      <c r="V1045" s="1"/>
      <c r="AC1045" s="1"/>
      <c r="AJ1045" s="1"/>
      <c r="AQ1045" s="1"/>
      <c r="AX1045" s="1"/>
      <c r="BE1045" s="1"/>
    </row>
    <row r="1046" spans="1:57" x14ac:dyDescent="0.25">
      <c r="A1046" s="1"/>
      <c r="H1046" s="1"/>
      <c r="O1046" s="1"/>
      <c r="V1046" s="1"/>
      <c r="AC1046" s="1"/>
      <c r="AJ1046" s="1"/>
      <c r="AQ1046" s="1"/>
      <c r="AX1046" s="1"/>
      <c r="BE1046" s="1"/>
    </row>
    <row r="1047" spans="1:57" x14ac:dyDescent="0.25">
      <c r="A1047" s="1"/>
      <c r="H1047" s="1"/>
      <c r="O1047" s="1"/>
      <c r="V1047" s="1"/>
      <c r="AC1047" s="1"/>
      <c r="AJ1047" s="1"/>
      <c r="AQ1047" s="1"/>
      <c r="AX1047" s="1"/>
      <c r="BE1047" s="1"/>
    </row>
    <row r="1048" spans="1:57" x14ac:dyDescent="0.25">
      <c r="A1048" s="1"/>
      <c r="H1048" s="1"/>
      <c r="O1048" s="1"/>
      <c r="V1048" s="1"/>
      <c r="AC1048" s="1"/>
      <c r="AJ1048" s="1"/>
      <c r="AQ1048" s="1"/>
      <c r="AX1048" s="1"/>
      <c r="BE1048" s="1"/>
    </row>
    <row r="1049" spans="1:57" x14ac:dyDescent="0.25">
      <c r="A1049" s="1"/>
      <c r="H1049" s="1"/>
      <c r="O1049" s="1"/>
      <c r="V1049" s="1"/>
      <c r="AC1049" s="1"/>
      <c r="AJ1049" s="1"/>
      <c r="AQ1049" s="1"/>
      <c r="AX1049" s="1"/>
      <c r="BE1049" s="1"/>
    </row>
    <row r="1050" spans="1:57" x14ac:dyDescent="0.25">
      <c r="A1050" s="1"/>
      <c r="H1050" s="1"/>
      <c r="O1050" s="1"/>
      <c r="V1050" s="1"/>
      <c r="AC1050" s="1"/>
      <c r="AJ1050" s="1"/>
      <c r="AQ1050" s="1"/>
      <c r="AX1050" s="1"/>
      <c r="BE1050" s="1"/>
    </row>
    <row r="1051" spans="1:57" x14ac:dyDescent="0.25">
      <c r="A1051" s="1"/>
      <c r="H1051" s="1"/>
      <c r="O1051" s="1"/>
      <c r="V1051" s="1"/>
      <c r="AC1051" s="1"/>
      <c r="AJ1051" s="1"/>
      <c r="AQ1051" s="1"/>
      <c r="AX1051" s="1"/>
      <c r="BE1051" s="1"/>
    </row>
    <row r="1052" spans="1:57" x14ac:dyDescent="0.25">
      <c r="A1052" s="1"/>
      <c r="H1052" s="1"/>
      <c r="O1052" s="1"/>
      <c r="V1052" s="1"/>
      <c r="AC1052" s="1"/>
      <c r="AJ1052" s="1"/>
      <c r="AQ1052" s="1"/>
      <c r="AX1052" s="1"/>
      <c r="BE1052" s="1"/>
    </row>
    <row r="1053" spans="1:57" x14ac:dyDescent="0.25">
      <c r="A1053" s="1"/>
      <c r="H1053" s="1"/>
      <c r="O1053" s="1"/>
      <c r="V1053" s="1"/>
      <c r="AC1053" s="1"/>
      <c r="AJ1053" s="1"/>
      <c r="AQ1053" s="1"/>
      <c r="AX1053" s="1"/>
      <c r="BE1053" s="1"/>
    </row>
    <row r="1054" spans="1:57" x14ac:dyDescent="0.25">
      <c r="A1054" s="1"/>
      <c r="H1054" s="1"/>
      <c r="O1054" s="1"/>
      <c r="V1054" s="1"/>
      <c r="AC1054" s="1"/>
      <c r="AJ1054" s="1"/>
      <c r="AQ1054" s="1"/>
      <c r="AX1054" s="1"/>
      <c r="BE1054" s="1"/>
    </row>
    <row r="1055" spans="1:57" x14ac:dyDescent="0.25">
      <c r="A1055" s="1"/>
      <c r="H1055" s="1"/>
      <c r="O1055" s="1"/>
      <c r="V1055" s="1"/>
      <c r="AC1055" s="1"/>
      <c r="AJ1055" s="1"/>
      <c r="AQ1055" s="1"/>
      <c r="AX1055" s="1"/>
      <c r="BE1055" s="1"/>
    </row>
    <row r="1056" spans="1:57" x14ac:dyDescent="0.25">
      <c r="A1056" s="1"/>
      <c r="H1056" s="1"/>
      <c r="O1056" s="1"/>
      <c r="V1056" s="1"/>
      <c r="AC1056" s="1"/>
      <c r="AJ1056" s="1"/>
      <c r="AQ1056" s="1"/>
      <c r="AX1056" s="1"/>
      <c r="BE1056" s="1"/>
    </row>
    <row r="1057" spans="1:57" x14ac:dyDescent="0.25">
      <c r="A1057" s="1"/>
      <c r="H1057" s="1"/>
      <c r="O1057" s="1"/>
      <c r="V1057" s="1"/>
      <c r="AC1057" s="1"/>
      <c r="AJ1057" s="1"/>
      <c r="AQ1057" s="1"/>
      <c r="AX1057" s="1"/>
      <c r="BE1057" s="1"/>
    </row>
    <row r="1058" spans="1:57" x14ac:dyDescent="0.25">
      <c r="A1058" s="1"/>
      <c r="H1058" s="1"/>
      <c r="O1058" s="1"/>
      <c r="V1058" s="1"/>
      <c r="AC1058" s="1"/>
      <c r="AJ1058" s="1"/>
      <c r="AQ1058" s="1"/>
      <c r="AX1058" s="1"/>
      <c r="BE1058" s="1"/>
    </row>
    <row r="1059" spans="1:57" x14ac:dyDescent="0.25">
      <c r="A1059" s="1"/>
      <c r="H1059" s="1"/>
      <c r="O1059" s="1"/>
      <c r="V1059" s="1"/>
      <c r="AC1059" s="1"/>
      <c r="AJ1059" s="1"/>
      <c r="AQ1059" s="1"/>
      <c r="AX1059" s="1"/>
      <c r="BE1059" s="1"/>
    </row>
    <row r="1060" spans="1:57" x14ac:dyDescent="0.25">
      <c r="A1060" s="1"/>
      <c r="H1060" s="1"/>
      <c r="O1060" s="1"/>
      <c r="V1060" s="1"/>
      <c r="AC1060" s="1"/>
      <c r="AJ1060" s="1"/>
      <c r="AQ1060" s="1"/>
      <c r="AX1060" s="1"/>
      <c r="BE1060" s="1"/>
    </row>
    <row r="1061" spans="1:57" x14ac:dyDescent="0.25">
      <c r="A1061" s="1"/>
      <c r="H1061" s="1"/>
      <c r="O1061" s="1"/>
      <c r="V1061" s="1"/>
      <c r="AC1061" s="1"/>
      <c r="AJ1061" s="1"/>
      <c r="AQ1061" s="1"/>
      <c r="AX1061" s="1"/>
      <c r="BE1061" s="1"/>
    </row>
    <row r="1062" spans="1:57" x14ac:dyDescent="0.25">
      <c r="A1062" s="1"/>
      <c r="H1062" s="1"/>
      <c r="O1062" s="1"/>
      <c r="V1062" s="1"/>
      <c r="AC1062" s="1"/>
      <c r="AJ1062" s="1"/>
      <c r="AQ1062" s="1"/>
      <c r="AX1062" s="1"/>
      <c r="BE1062" s="1"/>
    </row>
    <row r="1063" spans="1:57" x14ac:dyDescent="0.25">
      <c r="A1063" s="1"/>
      <c r="H1063" s="1"/>
      <c r="O1063" s="1"/>
      <c r="V1063" s="1"/>
      <c r="AC1063" s="1"/>
      <c r="AJ1063" s="1"/>
      <c r="AQ1063" s="1"/>
      <c r="AX1063" s="1"/>
      <c r="BE1063" s="1"/>
    </row>
    <row r="1064" spans="1:57" x14ac:dyDescent="0.25">
      <c r="A1064" s="1"/>
      <c r="H1064" s="1"/>
      <c r="O1064" s="1"/>
      <c r="V1064" s="1"/>
      <c r="AC1064" s="1"/>
      <c r="AJ1064" s="1"/>
      <c r="AQ1064" s="1"/>
      <c r="AX1064" s="1"/>
      <c r="BE1064" s="1"/>
    </row>
    <row r="1065" spans="1:57" x14ac:dyDescent="0.25">
      <c r="A1065" s="1"/>
      <c r="H1065" s="1"/>
      <c r="O1065" s="1"/>
      <c r="V1065" s="1"/>
      <c r="AC1065" s="1"/>
      <c r="AJ1065" s="1"/>
      <c r="AQ1065" s="1"/>
      <c r="AX1065" s="1"/>
      <c r="BE1065" s="1"/>
    </row>
    <row r="1066" spans="1:57" x14ac:dyDescent="0.25">
      <c r="A1066" s="1"/>
      <c r="H1066" s="1"/>
      <c r="O1066" s="1"/>
      <c r="V1066" s="1"/>
      <c r="AC1066" s="1"/>
      <c r="AJ1066" s="1"/>
      <c r="AQ1066" s="1"/>
      <c r="AX1066" s="1"/>
      <c r="BE1066" s="1"/>
    </row>
    <row r="1067" spans="1:57" x14ac:dyDescent="0.25">
      <c r="A1067" s="1"/>
      <c r="H1067" s="1"/>
      <c r="O1067" s="1"/>
      <c r="V1067" s="1"/>
      <c r="AC1067" s="1"/>
      <c r="AJ1067" s="1"/>
      <c r="AQ1067" s="1"/>
      <c r="AX1067" s="1"/>
      <c r="BE1067" s="1"/>
    </row>
    <row r="1068" spans="1:57" x14ac:dyDescent="0.25">
      <c r="A1068" s="1"/>
      <c r="H1068" s="1"/>
      <c r="O1068" s="1"/>
      <c r="V1068" s="1"/>
      <c r="AC1068" s="1"/>
      <c r="AJ1068" s="1"/>
      <c r="AQ1068" s="1"/>
      <c r="AX1068" s="1"/>
      <c r="BE1068" s="1"/>
    </row>
    <row r="1069" spans="1:57" x14ac:dyDescent="0.25">
      <c r="A1069" s="1"/>
      <c r="H1069" s="1"/>
      <c r="O1069" s="1"/>
      <c r="V1069" s="1"/>
      <c r="AC1069" s="1"/>
      <c r="AJ1069" s="1"/>
      <c r="AQ1069" s="1"/>
      <c r="AX1069" s="1"/>
      <c r="BE1069" s="1"/>
    </row>
    <row r="1070" spans="1:57" x14ac:dyDescent="0.25">
      <c r="A1070" s="1"/>
      <c r="H1070" s="1"/>
      <c r="O1070" s="1"/>
      <c r="V1070" s="1"/>
      <c r="AC1070" s="1"/>
      <c r="AJ1070" s="1"/>
      <c r="AQ1070" s="1"/>
      <c r="AX1070" s="1"/>
      <c r="BE1070" s="1"/>
    </row>
    <row r="1071" spans="1:57" x14ac:dyDescent="0.25">
      <c r="A1071" s="1"/>
      <c r="H1071" s="1"/>
      <c r="O1071" s="1"/>
      <c r="V1071" s="1"/>
      <c r="AC1071" s="1"/>
      <c r="AJ1071" s="1"/>
      <c r="AQ1071" s="1"/>
      <c r="AX1071" s="1"/>
      <c r="BE1071" s="1"/>
    </row>
    <row r="1072" spans="1:57" x14ac:dyDescent="0.25">
      <c r="A1072" s="1"/>
      <c r="H1072" s="1"/>
      <c r="O1072" s="1"/>
      <c r="V1072" s="1"/>
      <c r="AC1072" s="1"/>
      <c r="AJ1072" s="1"/>
      <c r="AQ1072" s="1"/>
      <c r="AX1072" s="1"/>
      <c r="BE1072" s="1"/>
    </row>
    <row r="1073" spans="1:57" x14ac:dyDescent="0.25">
      <c r="A1073" s="1"/>
      <c r="H1073" s="1"/>
      <c r="O1073" s="1"/>
      <c r="V1073" s="1"/>
      <c r="AC1073" s="1"/>
      <c r="AJ1073" s="1"/>
      <c r="AQ1073" s="1"/>
      <c r="AX1073" s="1"/>
      <c r="BE1073" s="1"/>
    </row>
    <row r="1074" spans="1:57" x14ac:dyDescent="0.25">
      <c r="A1074" s="1"/>
      <c r="H1074" s="1"/>
      <c r="O1074" s="1"/>
      <c r="V1074" s="1"/>
      <c r="AC1074" s="1"/>
      <c r="AJ1074" s="1"/>
      <c r="AQ1074" s="1"/>
      <c r="AX1074" s="1"/>
      <c r="BE1074" s="1"/>
    </row>
    <row r="1075" spans="1:57" x14ac:dyDescent="0.25">
      <c r="A1075" s="1"/>
      <c r="H1075" s="1"/>
      <c r="O1075" s="1"/>
      <c r="V1075" s="1"/>
      <c r="AC1075" s="1"/>
      <c r="AJ1075" s="1"/>
      <c r="AQ1075" s="1"/>
      <c r="AX1075" s="1"/>
      <c r="BE1075" s="1"/>
    </row>
    <row r="1076" spans="1:57" x14ac:dyDescent="0.25">
      <c r="A1076" s="1"/>
      <c r="H1076" s="1"/>
      <c r="O1076" s="1"/>
      <c r="V1076" s="1"/>
      <c r="AC1076" s="1"/>
      <c r="AJ1076" s="1"/>
      <c r="AQ1076" s="1"/>
      <c r="AX1076" s="1"/>
      <c r="BE1076" s="1"/>
    </row>
    <row r="1077" spans="1:57" x14ac:dyDescent="0.25">
      <c r="A1077" s="1"/>
      <c r="H1077" s="1"/>
      <c r="O1077" s="1"/>
      <c r="V1077" s="1"/>
      <c r="AC1077" s="1"/>
      <c r="AJ1077" s="1"/>
      <c r="AQ1077" s="1"/>
      <c r="AX1077" s="1"/>
      <c r="BE1077" s="1"/>
    </row>
    <row r="1078" spans="1:57" x14ac:dyDescent="0.25">
      <c r="A1078" s="1"/>
      <c r="H1078" s="1"/>
      <c r="O1078" s="1"/>
      <c r="V1078" s="1"/>
      <c r="AC1078" s="1"/>
      <c r="AJ1078" s="1"/>
      <c r="AQ1078" s="1"/>
      <c r="AX1078" s="1"/>
      <c r="BE1078" s="1"/>
    </row>
    <row r="1079" spans="1:57" x14ac:dyDescent="0.25">
      <c r="A1079" s="1"/>
      <c r="H1079" s="1"/>
      <c r="O1079" s="1"/>
      <c r="V1079" s="1"/>
      <c r="AC1079" s="1"/>
      <c r="AJ1079" s="1"/>
      <c r="AQ1079" s="1"/>
      <c r="AX1079" s="1"/>
      <c r="BE1079" s="1"/>
    </row>
    <row r="1080" spans="1:57" x14ac:dyDescent="0.25">
      <c r="A1080" s="1"/>
      <c r="H1080" s="1"/>
      <c r="O1080" s="1"/>
      <c r="V1080" s="1"/>
      <c r="AC1080" s="1"/>
      <c r="AJ1080" s="1"/>
      <c r="AQ1080" s="1"/>
      <c r="AX1080" s="1"/>
      <c r="BE1080" s="1"/>
    </row>
    <row r="1081" spans="1:57" x14ac:dyDescent="0.25">
      <c r="A1081" s="1"/>
      <c r="H1081" s="1"/>
      <c r="O1081" s="1"/>
      <c r="V1081" s="1"/>
      <c r="AC1081" s="1"/>
      <c r="AJ1081" s="1"/>
      <c r="AQ1081" s="1"/>
      <c r="AX1081" s="1"/>
      <c r="BE1081" s="1"/>
    </row>
    <row r="1082" spans="1:57" x14ac:dyDescent="0.25">
      <c r="A1082" s="1"/>
      <c r="H1082" s="1"/>
      <c r="O1082" s="1"/>
      <c r="V1082" s="1"/>
      <c r="AC1082" s="1"/>
      <c r="AJ1082" s="1"/>
      <c r="AQ1082" s="1"/>
      <c r="AX1082" s="1"/>
      <c r="BE1082" s="1"/>
    </row>
    <row r="1083" spans="1:57" x14ac:dyDescent="0.25">
      <c r="A1083" s="1"/>
      <c r="H1083" s="1"/>
      <c r="O1083" s="1"/>
      <c r="V1083" s="1"/>
      <c r="AC1083" s="1"/>
      <c r="AJ1083" s="1"/>
      <c r="AQ1083" s="1"/>
      <c r="AX1083" s="1"/>
      <c r="BE1083" s="1"/>
    </row>
    <row r="1084" spans="1:57" x14ac:dyDescent="0.25">
      <c r="A1084" s="1"/>
      <c r="H1084" s="1"/>
      <c r="O1084" s="1"/>
      <c r="V1084" s="1"/>
      <c r="AC1084" s="1"/>
      <c r="AJ1084" s="1"/>
      <c r="AQ1084" s="1"/>
      <c r="AX1084" s="1"/>
      <c r="BE1084" s="1"/>
    </row>
    <row r="1085" spans="1:57" x14ac:dyDescent="0.25">
      <c r="A1085" s="1"/>
      <c r="H1085" s="1"/>
      <c r="O1085" s="1"/>
      <c r="V1085" s="1"/>
      <c r="AC1085" s="1"/>
      <c r="AJ1085" s="1"/>
      <c r="AQ1085" s="1"/>
      <c r="AX1085" s="1"/>
      <c r="BE1085" s="1"/>
    </row>
    <row r="1086" spans="1:57" x14ac:dyDescent="0.25">
      <c r="A1086" s="1"/>
      <c r="H1086" s="1"/>
      <c r="O1086" s="1"/>
      <c r="V1086" s="1"/>
      <c r="AC1086" s="1"/>
      <c r="AJ1086" s="1"/>
      <c r="AQ1086" s="1"/>
      <c r="AX1086" s="1"/>
      <c r="BE1086" s="1"/>
    </row>
    <row r="1087" spans="1:57" x14ac:dyDescent="0.25">
      <c r="A1087" s="1"/>
      <c r="H1087" s="1"/>
      <c r="O1087" s="1"/>
      <c r="V1087" s="1"/>
      <c r="AC1087" s="1"/>
      <c r="AJ1087" s="1"/>
      <c r="AQ1087" s="1"/>
      <c r="AX1087" s="1"/>
      <c r="BE1087" s="1"/>
    </row>
    <row r="1088" spans="1:57" x14ac:dyDescent="0.25">
      <c r="A1088" s="1"/>
      <c r="H1088" s="1"/>
      <c r="O1088" s="1"/>
      <c r="V1088" s="1"/>
      <c r="AC1088" s="1"/>
      <c r="AJ1088" s="1"/>
      <c r="AQ1088" s="1"/>
      <c r="AX1088" s="1"/>
      <c r="BE1088" s="1"/>
    </row>
    <row r="1089" spans="1:57" x14ac:dyDescent="0.25">
      <c r="A1089" s="1"/>
      <c r="H1089" s="1"/>
      <c r="O1089" s="1"/>
      <c r="V1089" s="1"/>
      <c r="AC1089" s="1"/>
      <c r="AJ1089" s="1"/>
      <c r="AQ1089" s="1"/>
      <c r="AX1089" s="1"/>
      <c r="BE1089" s="1"/>
    </row>
    <row r="1090" spans="1:57" x14ac:dyDescent="0.25">
      <c r="A1090" s="1"/>
      <c r="H1090" s="1"/>
      <c r="O1090" s="1"/>
      <c r="V1090" s="1"/>
      <c r="AC1090" s="1"/>
      <c r="AJ1090" s="1"/>
      <c r="AQ1090" s="1"/>
      <c r="AX1090" s="1"/>
      <c r="BE1090" s="1"/>
    </row>
    <row r="1091" spans="1:57" x14ac:dyDescent="0.25">
      <c r="A1091" s="1"/>
      <c r="H1091" s="1"/>
      <c r="O1091" s="1"/>
      <c r="V1091" s="1"/>
      <c r="AC1091" s="1"/>
      <c r="AJ1091" s="1"/>
      <c r="AQ1091" s="1"/>
      <c r="AX1091" s="1"/>
      <c r="BE1091" s="1"/>
    </row>
    <row r="1092" spans="1:57" x14ac:dyDescent="0.25">
      <c r="A1092" s="1"/>
      <c r="H1092" s="1"/>
      <c r="O1092" s="1"/>
      <c r="V1092" s="1"/>
      <c r="AC1092" s="1"/>
      <c r="AJ1092" s="1"/>
      <c r="AQ1092" s="1"/>
      <c r="AX1092" s="1"/>
      <c r="BE1092" s="1"/>
    </row>
    <row r="1093" spans="1:57" x14ac:dyDescent="0.25">
      <c r="A1093" s="1"/>
      <c r="H1093" s="1"/>
      <c r="O1093" s="1"/>
      <c r="V1093" s="1"/>
      <c r="AC1093" s="1"/>
      <c r="AJ1093" s="1"/>
      <c r="AQ1093" s="1"/>
      <c r="AX1093" s="1"/>
      <c r="BE1093" s="1"/>
    </row>
    <row r="1094" spans="1:57" x14ac:dyDescent="0.25">
      <c r="A1094" s="1"/>
      <c r="H1094" s="1"/>
      <c r="O1094" s="1"/>
      <c r="V1094" s="1"/>
      <c r="AC1094" s="1"/>
      <c r="AJ1094" s="1"/>
      <c r="AQ1094" s="1"/>
      <c r="AX1094" s="1"/>
      <c r="BE1094" s="1"/>
    </row>
    <row r="1095" spans="1:57" x14ac:dyDescent="0.25">
      <c r="A1095" s="1"/>
      <c r="H1095" s="1"/>
      <c r="O1095" s="1"/>
      <c r="V1095" s="1"/>
      <c r="AC1095" s="1"/>
      <c r="AJ1095" s="1"/>
      <c r="AQ1095" s="1"/>
      <c r="AX1095" s="1"/>
      <c r="BE1095" s="1"/>
    </row>
    <row r="1096" spans="1:57" x14ac:dyDescent="0.25">
      <c r="A1096" s="1"/>
      <c r="H1096" s="1"/>
      <c r="O1096" s="1"/>
      <c r="V1096" s="1"/>
      <c r="AC1096" s="1"/>
      <c r="AJ1096" s="1"/>
      <c r="AQ1096" s="1"/>
      <c r="AX1096" s="1"/>
      <c r="BE1096" s="1"/>
    </row>
    <row r="1097" spans="1:57" x14ac:dyDescent="0.25">
      <c r="A1097" s="1"/>
      <c r="H1097" s="1"/>
      <c r="O1097" s="1"/>
      <c r="V1097" s="1"/>
      <c r="AC1097" s="1"/>
      <c r="AJ1097" s="1"/>
      <c r="AQ1097" s="1"/>
      <c r="AX1097" s="1"/>
      <c r="BE1097" s="1"/>
    </row>
    <row r="1098" spans="1:57" x14ac:dyDescent="0.25">
      <c r="A1098" s="1"/>
      <c r="H1098" s="1"/>
      <c r="O1098" s="1"/>
      <c r="V1098" s="1"/>
      <c r="AC1098" s="1"/>
      <c r="AJ1098" s="1"/>
      <c r="AQ1098" s="1"/>
      <c r="AX1098" s="1"/>
      <c r="BE1098" s="1"/>
    </row>
    <row r="1099" spans="1:57" x14ac:dyDescent="0.25">
      <c r="A1099" s="1"/>
      <c r="H1099" s="1"/>
      <c r="O1099" s="1"/>
      <c r="V1099" s="1"/>
      <c r="AC1099" s="1"/>
      <c r="AJ1099" s="1"/>
      <c r="AQ1099" s="1"/>
      <c r="AX1099" s="1"/>
      <c r="BE1099" s="1"/>
    </row>
    <row r="1100" spans="1:57" x14ac:dyDescent="0.25">
      <c r="A1100" s="1"/>
      <c r="H1100" s="1"/>
      <c r="O1100" s="1"/>
      <c r="V1100" s="1"/>
      <c r="AC1100" s="1"/>
      <c r="AJ1100" s="1"/>
      <c r="AQ1100" s="1"/>
      <c r="AX1100" s="1"/>
      <c r="BE1100" s="1"/>
    </row>
    <row r="1101" spans="1:57" x14ac:dyDescent="0.25">
      <c r="A1101" s="1"/>
      <c r="H1101" s="1"/>
      <c r="O1101" s="1"/>
      <c r="V1101" s="1"/>
      <c r="AC1101" s="1"/>
      <c r="AJ1101" s="1"/>
      <c r="AQ1101" s="1"/>
      <c r="AX1101" s="1"/>
      <c r="BE1101" s="1"/>
    </row>
    <row r="1102" spans="1:57" x14ac:dyDescent="0.25">
      <c r="A1102" s="1"/>
      <c r="H1102" s="1"/>
      <c r="O1102" s="1"/>
      <c r="V1102" s="1"/>
      <c r="AC1102" s="1"/>
      <c r="AJ1102" s="1"/>
      <c r="AQ1102" s="1"/>
      <c r="AX1102" s="1"/>
      <c r="BE1102" s="1"/>
    </row>
    <row r="1103" spans="1:57" x14ac:dyDescent="0.25">
      <c r="A1103" s="1"/>
      <c r="H1103" s="1"/>
      <c r="O1103" s="1"/>
      <c r="V1103" s="1"/>
      <c r="AC1103" s="1"/>
      <c r="AJ1103" s="1"/>
      <c r="AQ1103" s="1"/>
      <c r="AX1103" s="1"/>
      <c r="BE1103" s="1"/>
    </row>
    <row r="1104" spans="1:57" x14ac:dyDescent="0.25">
      <c r="A1104" s="1"/>
      <c r="H1104" s="1"/>
      <c r="O1104" s="1"/>
      <c r="V1104" s="1"/>
      <c r="AC1104" s="1"/>
      <c r="AJ1104" s="1"/>
      <c r="AQ1104" s="1"/>
      <c r="AX1104" s="1"/>
      <c r="BE1104" s="1"/>
    </row>
    <row r="1105" spans="1:57" x14ac:dyDescent="0.25">
      <c r="A1105" s="1"/>
      <c r="H1105" s="1"/>
      <c r="O1105" s="1"/>
      <c r="V1105" s="1"/>
      <c r="AC1105" s="1"/>
      <c r="AJ1105" s="1"/>
      <c r="AQ1105" s="1"/>
      <c r="AX1105" s="1"/>
      <c r="BE1105" s="1"/>
    </row>
    <row r="1106" spans="1:57" x14ac:dyDescent="0.25">
      <c r="A1106" s="1"/>
      <c r="H1106" s="1"/>
      <c r="O1106" s="1"/>
      <c r="V1106" s="1"/>
      <c r="AC1106" s="1"/>
      <c r="AJ1106" s="1"/>
      <c r="AQ1106" s="1"/>
      <c r="AX1106" s="1"/>
      <c r="BE1106" s="1"/>
    </row>
    <row r="1107" spans="1:57" x14ac:dyDescent="0.25">
      <c r="A1107" s="1"/>
      <c r="H1107" s="1"/>
      <c r="O1107" s="1"/>
      <c r="V1107" s="1"/>
      <c r="AC1107" s="1"/>
      <c r="AJ1107" s="1"/>
      <c r="AQ1107" s="1"/>
      <c r="AX1107" s="1"/>
      <c r="BE1107" s="1"/>
    </row>
    <row r="1108" spans="1:57" x14ac:dyDescent="0.25">
      <c r="A1108" s="1"/>
      <c r="H1108" s="1"/>
      <c r="O1108" s="1"/>
      <c r="V1108" s="1"/>
      <c r="AC1108" s="1"/>
      <c r="AJ1108" s="1"/>
      <c r="AQ1108" s="1"/>
      <c r="AX1108" s="1"/>
      <c r="BE1108" s="1"/>
    </row>
    <row r="1109" spans="1:57" x14ac:dyDescent="0.25">
      <c r="A1109" s="1"/>
      <c r="H1109" s="1"/>
      <c r="O1109" s="1"/>
      <c r="V1109" s="1"/>
      <c r="AC1109" s="1"/>
      <c r="AJ1109" s="1"/>
      <c r="AQ1109" s="1"/>
      <c r="AX1109" s="1"/>
      <c r="BE1109" s="1"/>
    </row>
    <row r="1110" spans="1:57" x14ac:dyDescent="0.25">
      <c r="A1110" s="1"/>
      <c r="H1110" s="1"/>
      <c r="O1110" s="1"/>
      <c r="V1110" s="1"/>
      <c r="AC1110" s="1"/>
      <c r="AJ1110" s="1"/>
      <c r="AQ1110" s="1"/>
      <c r="AX1110" s="1"/>
      <c r="BE1110" s="1"/>
    </row>
    <row r="1111" spans="1:57" x14ac:dyDescent="0.25">
      <c r="A1111" s="1"/>
      <c r="H1111" s="1"/>
      <c r="O1111" s="1"/>
      <c r="V1111" s="1"/>
      <c r="AC1111" s="1"/>
      <c r="AJ1111" s="1"/>
      <c r="AQ1111" s="1"/>
      <c r="AX1111" s="1"/>
      <c r="BE1111" s="1"/>
    </row>
    <row r="1112" spans="1:57" x14ac:dyDescent="0.25">
      <c r="A1112" s="1"/>
      <c r="H1112" s="1"/>
      <c r="O1112" s="1"/>
      <c r="V1112" s="1"/>
      <c r="AC1112" s="1"/>
      <c r="AJ1112" s="1"/>
      <c r="AQ1112" s="1"/>
      <c r="AX1112" s="1"/>
      <c r="BE1112" s="1"/>
    </row>
    <row r="1113" spans="1:57" x14ac:dyDescent="0.25">
      <c r="A1113" s="1"/>
      <c r="H1113" s="1"/>
      <c r="O1113" s="1"/>
      <c r="V1113" s="1"/>
      <c r="AC1113" s="1"/>
      <c r="AJ1113" s="1"/>
      <c r="AQ1113" s="1"/>
      <c r="AX1113" s="1"/>
      <c r="BE1113" s="1"/>
    </row>
    <row r="1114" spans="1:57" x14ac:dyDescent="0.25">
      <c r="A1114" s="1"/>
      <c r="H1114" s="1"/>
      <c r="O1114" s="1"/>
      <c r="V1114" s="1"/>
      <c r="AC1114" s="1"/>
      <c r="AJ1114" s="1"/>
      <c r="AQ1114" s="1"/>
      <c r="AX1114" s="1"/>
      <c r="BE1114" s="1"/>
    </row>
    <row r="1115" spans="1:57" x14ac:dyDescent="0.25">
      <c r="A1115" s="1"/>
      <c r="H1115" s="1"/>
      <c r="O1115" s="1"/>
      <c r="V1115" s="1"/>
      <c r="AC1115" s="1"/>
      <c r="AJ1115" s="1"/>
      <c r="AQ1115" s="1"/>
      <c r="AX1115" s="1"/>
      <c r="BE1115" s="1"/>
    </row>
    <row r="1116" spans="1:57" x14ac:dyDescent="0.25">
      <c r="A1116" s="1"/>
      <c r="H1116" s="1"/>
      <c r="O1116" s="1"/>
      <c r="V1116" s="1"/>
      <c r="AC1116" s="1"/>
      <c r="AJ1116" s="1"/>
      <c r="AQ1116" s="1"/>
      <c r="AX1116" s="1"/>
      <c r="BE1116" s="1"/>
    </row>
    <row r="1117" spans="1:57" x14ac:dyDescent="0.25">
      <c r="A1117" s="1"/>
      <c r="H1117" s="1"/>
      <c r="O1117" s="1"/>
      <c r="V1117" s="1"/>
      <c r="AC1117" s="1"/>
      <c r="AJ1117" s="1"/>
      <c r="AQ1117" s="1"/>
      <c r="AX1117" s="1"/>
      <c r="BE1117" s="1"/>
    </row>
    <row r="1118" spans="1:57" x14ac:dyDescent="0.25">
      <c r="A1118" s="1"/>
      <c r="H1118" s="1"/>
      <c r="O1118" s="1"/>
      <c r="V1118" s="1"/>
      <c r="AC1118" s="1"/>
      <c r="AJ1118" s="1"/>
      <c r="AQ1118" s="1"/>
      <c r="AX1118" s="1"/>
      <c r="BE1118" s="1"/>
    </row>
    <row r="1119" spans="1:57" x14ac:dyDescent="0.25">
      <c r="A1119" s="1"/>
      <c r="H1119" s="1"/>
      <c r="O1119" s="1"/>
      <c r="V1119" s="1"/>
      <c r="AC1119" s="1"/>
      <c r="AJ1119" s="1"/>
      <c r="AQ1119" s="1"/>
      <c r="AX1119" s="1"/>
      <c r="BE1119" s="1"/>
    </row>
    <row r="1120" spans="1:57" x14ac:dyDescent="0.25">
      <c r="A1120" s="1"/>
      <c r="H1120" s="1"/>
      <c r="O1120" s="1"/>
      <c r="V1120" s="1"/>
      <c r="AC1120" s="1"/>
      <c r="AJ1120" s="1"/>
      <c r="AQ1120" s="1"/>
      <c r="AX1120" s="1"/>
      <c r="BE1120" s="1"/>
    </row>
    <row r="1121" spans="1:57" x14ac:dyDescent="0.25">
      <c r="A1121" s="1"/>
      <c r="H1121" s="1"/>
      <c r="O1121" s="1"/>
      <c r="V1121" s="1"/>
      <c r="AC1121" s="1"/>
      <c r="AJ1121" s="1"/>
      <c r="AQ1121" s="1"/>
      <c r="AX1121" s="1"/>
      <c r="BE1121" s="1"/>
    </row>
    <row r="1122" spans="1:57" x14ac:dyDescent="0.25">
      <c r="A1122" s="1"/>
      <c r="H1122" s="1"/>
      <c r="O1122" s="1"/>
      <c r="V1122" s="1"/>
      <c r="AC1122" s="1"/>
      <c r="AJ1122" s="1"/>
      <c r="AQ1122" s="1"/>
      <c r="AX1122" s="1"/>
      <c r="BE1122" s="1"/>
    </row>
    <row r="1123" spans="1:57" x14ac:dyDescent="0.25">
      <c r="A1123" s="1"/>
      <c r="H1123" s="1"/>
      <c r="O1123" s="1"/>
      <c r="V1123" s="1"/>
      <c r="AC1123" s="1"/>
      <c r="AJ1123" s="1"/>
      <c r="AQ1123" s="1"/>
      <c r="AX1123" s="1"/>
      <c r="BE1123" s="1"/>
    </row>
    <row r="1124" spans="1:57" x14ac:dyDescent="0.25">
      <c r="A1124" s="1"/>
      <c r="H1124" s="1"/>
      <c r="O1124" s="1"/>
      <c r="V1124" s="1"/>
      <c r="AC1124" s="1"/>
      <c r="AJ1124" s="1"/>
      <c r="AQ1124" s="1"/>
      <c r="AX1124" s="1"/>
      <c r="BE1124" s="1"/>
    </row>
    <row r="1125" spans="1:57" x14ac:dyDescent="0.25">
      <c r="A1125" s="1"/>
      <c r="H1125" s="1"/>
      <c r="O1125" s="1"/>
      <c r="V1125" s="1"/>
      <c r="AC1125" s="1"/>
      <c r="AJ1125" s="1"/>
      <c r="AQ1125" s="1"/>
      <c r="AX1125" s="1"/>
      <c r="BE1125" s="1"/>
    </row>
    <row r="1126" spans="1:57" x14ac:dyDescent="0.25">
      <c r="A1126" s="1"/>
      <c r="H1126" s="1"/>
      <c r="O1126" s="1"/>
      <c r="V1126" s="1"/>
      <c r="AC1126" s="1"/>
      <c r="AJ1126" s="1"/>
      <c r="AQ1126" s="1"/>
      <c r="AX1126" s="1"/>
      <c r="BE1126" s="1"/>
    </row>
    <row r="1127" spans="1:57" x14ac:dyDescent="0.25">
      <c r="A1127" s="1"/>
      <c r="H1127" s="1"/>
      <c r="O1127" s="1"/>
      <c r="V1127" s="1"/>
      <c r="AC1127" s="1"/>
      <c r="AJ1127" s="1"/>
      <c r="AQ1127" s="1"/>
      <c r="AX1127" s="1"/>
      <c r="BE1127" s="1"/>
    </row>
    <row r="1128" spans="1:57" x14ac:dyDescent="0.25">
      <c r="A1128" s="1"/>
      <c r="H1128" s="1"/>
      <c r="O1128" s="1"/>
      <c r="V1128" s="1"/>
      <c r="AC1128" s="1"/>
      <c r="AJ1128" s="1"/>
      <c r="AQ1128" s="1"/>
      <c r="AX1128" s="1"/>
      <c r="BE1128" s="1"/>
    </row>
    <row r="1129" spans="1:57" x14ac:dyDescent="0.25">
      <c r="A1129" s="1"/>
      <c r="H1129" s="1"/>
      <c r="O1129" s="1"/>
      <c r="V1129" s="1"/>
      <c r="AC1129" s="1"/>
      <c r="AJ1129" s="1"/>
      <c r="AQ1129" s="1"/>
      <c r="AX1129" s="1"/>
      <c r="BE1129" s="1"/>
    </row>
    <row r="1130" spans="1:57" x14ac:dyDescent="0.25">
      <c r="A1130" s="1"/>
      <c r="H1130" s="1"/>
      <c r="O1130" s="1"/>
      <c r="V1130" s="1"/>
      <c r="AC1130" s="1"/>
      <c r="AJ1130" s="1"/>
      <c r="AQ1130" s="1"/>
      <c r="AX1130" s="1"/>
      <c r="BE1130" s="1"/>
    </row>
    <row r="1131" spans="1:57" x14ac:dyDescent="0.25">
      <c r="A1131" s="1"/>
      <c r="H1131" s="1"/>
      <c r="O1131" s="1"/>
      <c r="V1131" s="1"/>
      <c r="AC1131" s="1"/>
      <c r="AJ1131" s="1"/>
      <c r="AQ1131" s="1"/>
      <c r="AX1131" s="1"/>
      <c r="BE1131" s="1"/>
    </row>
    <row r="1132" spans="1:57" x14ac:dyDescent="0.25">
      <c r="A1132" s="1"/>
      <c r="H1132" s="1"/>
      <c r="O1132" s="1"/>
      <c r="V1132" s="1"/>
      <c r="AC1132" s="1"/>
      <c r="AJ1132" s="1"/>
      <c r="AQ1132" s="1"/>
      <c r="AX1132" s="1"/>
      <c r="BE1132" s="1"/>
    </row>
    <row r="1133" spans="1:57" x14ac:dyDescent="0.25">
      <c r="A1133" s="1"/>
      <c r="H1133" s="1"/>
      <c r="O1133" s="1"/>
      <c r="V1133" s="1"/>
      <c r="AC1133" s="1"/>
      <c r="AJ1133" s="1"/>
      <c r="AQ1133" s="1"/>
      <c r="AX1133" s="1"/>
      <c r="BE1133" s="1"/>
    </row>
    <row r="1134" spans="1:57" x14ac:dyDescent="0.25">
      <c r="A1134" s="1"/>
      <c r="H1134" s="1"/>
      <c r="O1134" s="1"/>
      <c r="V1134" s="1"/>
      <c r="AC1134" s="1"/>
      <c r="AJ1134" s="1"/>
      <c r="AQ1134" s="1"/>
      <c r="AX1134" s="1"/>
      <c r="BE1134" s="1"/>
    </row>
    <row r="1135" spans="1:57" x14ac:dyDescent="0.25">
      <c r="A1135" s="1"/>
      <c r="H1135" s="1"/>
      <c r="O1135" s="1"/>
      <c r="V1135" s="1"/>
      <c r="AC1135" s="1"/>
      <c r="AJ1135" s="1"/>
      <c r="AQ1135" s="1"/>
      <c r="AX1135" s="1"/>
      <c r="BE1135" s="1"/>
    </row>
    <row r="1136" spans="1:57" x14ac:dyDescent="0.25">
      <c r="A1136" s="1"/>
      <c r="H1136" s="1"/>
      <c r="O1136" s="1"/>
      <c r="V1136" s="1"/>
      <c r="AC1136" s="1"/>
      <c r="AJ1136" s="1"/>
      <c r="AQ1136" s="1"/>
      <c r="AX1136" s="1"/>
      <c r="BE1136" s="1"/>
    </row>
    <row r="1137" spans="1:57" x14ac:dyDescent="0.25">
      <c r="A1137" s="1"/>
      <c r="H1137" s="1"/>
      <c r="O1137" s="1"/>
      <c r="V1137" s="1"/>
      <c r="AC1137" s="1"/>
      <c r="AJ1137" s="1"/>
      <c r="AQ1137" s="1"/>
      <c r="AX1137" s="1"/>
      <c r="BE1137" s="1"/>
    </row>
    <row r="1138" spans="1:57" x14ac:dyDescent="0.25">
      <c r="A1138" s="1"/>
      <c r="H1138" s="1"/>
      <c r="O1138" s="1"/>
      <c r="V1138" s="1"/>
      <c r="AC1138" s="1"/>
      <c r="AJ1138" s="1"/>
      <c r="AQ1138" s="1"/>
      <c r="AX1138" s="1"/>
      <c r="BE1138" s="1"/>
    </row>
    <row r="1139" spans="1:57" x14ac:dyDescent="0.25">
      <c r="A1139" s="1"/>
      <c r="H1139" s="1"/>
      <c r="O1139" s="1"/>
      <c r="V1139" s="1"/>
      <c r="AC1139" s="1"/>
      <c r="AJ1139" s="1"/>
      <c r="AQ1139" s="1"/>
      <c r="AX1139" s="1"/>
      <c r="BE1139" s="1"/>
    </row>
    <row r="1140" spans="1:57" x14ac:dyDescent="0.25">
      <c r="A1140" s="1"/>
      <c r="H1140" s="1"/>
      <c r="O1140" s="1"/>
      <c r="V1140" s="1"/>
      <c r="AC1140" s="1"/>
      <c r="AJ1140" s="1"/>
      <c r="AQ1140" s="1"/>
      <c r="AX1140" s="1"/>
      <c r="BE1140" s="1"/>
    </row>
    <row r="1141" spans="1:57" x14ac:dyDescent="0.25">
      <c r="A1141" s="1"/>
      <c r="H1141" s="1"/>
      <c r="O1141" s="1"/>
      <c r="V1141" s="1"/>
      <c r="AC1141" s="1"/>
      <c r="AJ1141" s="1"/>
      <c r="AQ1141" s="1"/>
      <c r="AX1141" s="1"/>
      <c r="BE1141" s="1"/>
    </row>
    <row r="1142" spans="1:57" x14ac:dyDescent="0.25">
      <c r="A1142" s="1"/>
      <c r="H1142" s="1"/>
      <c r="O1142" s="1"/>
      <c r="V1142" s="1"/>
      <c r="AC1142" s="1"/>
      <c r="AJ1142" s="1"/>
      <c r="AQ1142" s="1"/>
      <c r="AX1142" s="1"/>
      <c r="BE1142" s="1"/>
    </row>
    <row r="1143" spans="1:57" x14ac:dyDescent="0.25">
      <c r="A1143" s="1"/>
      <c r="H1143" s="1"/>
      <c r="O1143" s="1"/>
      <c r="V1143" s="1"/>
      <c r="AC1143" s="1"/>
      <c r="AJ1143" s="1"/>
      <c r="AQ1143" s="1"/>
      <c r="AX1143" s="1"/>
      <c r="BE1143" s="1"/>
    </row>
    <row r="1144" spans="1:57" x14ac:dyDescent="0.25">
      <c r="A1144" s="1"/>
      <c r="H1144" s="1"/>
      <c r="O1144" s="1"/>
      <c r="V1144" s="1"/>
      <c r="AC1144" s="1"/>
      <c r="AJ1144" s="1"/>
      <c r="AQ1144" s="1"/>
      <c r="AX1144" s="1"/>
      <c r="BE1144" s="1"/>
    </row>
    <row r="1145" spans="1:57" x14ac:dyDescent="0.25">
      <c r="A1145" s="1"/>
      <c r="H1145" s="1"/>
      <c r="O1145" s="1"/>
      <c r="V1145" s="1"/>
      <c r="AC1145" s="1"/>
      <c r="AJ1145" s="1"/>
      <c r="AQ1145" s="1"/>
      <c r="AX1145" s="1"/>
      <c r="BE1145" s="1"/>
    </row>
    <row r="1146" spans="1:57" x14ac:dyDescent="0.25">
      <c r="A1146" s="1"/>
      <c r="H1146" s="1"/>
      <c r="O1146" s="1"/>
      <c r="V1146" s="1"/>
      <c r="AC1146" s="1"/>
      <c r="AJ1146" s="1"/>
      <c r="AQ1146" s="1"/>
      <c r="AX1146" s="1"/>
      <c r="BE1146" s="1"/>
    </row>
    <row r="1147" spans="1:57" x14ac:dyDescent="0.25">
      <c r="A1147" s="1"/>
      <c r="H1147" s="1"/>
      <c r="O1147" s="1"/>
      <c r="V1147" s="1"/>
      <c r="AC1147" s="1"/>
      <c r="AJ1147" s="1"/>
      <c r="AQ1147" s="1"/>
      <c r="AX1147" s="1"/>
      <c r="BE1147" s="1"/>
    </row>
    <row r="1148" spans="1:57" x14ac:dyDescent="0.25">
      <c r="A1148" s="1"/>
      <c r="H1148" s="1"/>
      <c r="O1148" s="1"/>
      <c r="V1148" s="1"/>
      <c r="AC1148" s="1"/>
      <c r="AJ1148" s="1"/>
      <c r="AQ1148" s="1"/>
      <c r="AX1148" s="1"/>
      <c r="BE1148" s="1"/>
    </row>
    <row r="1149" spans="1:57" x14ac:dyDescent="0.25">
      <c r="A1149" s="1"/>
      <c r="H1149" s="1"/>
      <c r="O1149" s="1"/>
      <c r="V1149" s="1"/>
      <c r="AC1149" s="1"/>
      <c r="AJ1149" s="1"/>
      <c r="AQ1149" s="1"/>
      <c r="AX1149" s="1"/>
      <c r="BE1149" s="1"/>
    </row>
    <row r="1150" spans="1:57" x14ac:dyDescent="0.25">
      <c r="A1150" s="1"/>
      <c r="H1150" s="1"/>
      <c r="O1150" s="1"/>
      <c r="V1150" s="1"/>
      <c r="AC1150" s="1"/>
      <c r="AJ1150" s="1"/>
      <c r="AQ1150" s="1"/>
      <c r="AX1150" s="1"/>
      <c r="BE1150" s="1"/>
    </row>
    <row r="1151" spans="1:57" x14ac:dyDescent="0.25">
      <c r="A1151" s="1"/>
      <c r="H1151" s="1"/>
      <c r="O1151" s="1"/>
      <c r="V1151" s="1"/>
      <c r="AC1151" s="1"/>
      <c r="AJ1151" s="1"/>
      <c r="AQ1151" s="1"/>
      <c r="AX1151" s="1"/>
      <c r="BE1151" s="1"/>
    </row>
    <row r="1152" spans="1:57" x14ac:dyDescent="0.25">
      <c r="A1152" s="1"/>
      <c r="H1152" s="1"/>
      <c r="O1152" s="1"/>
      <c r="V1152" s="1"/>
      <c r="AC1152" s="1"/>
      <c r="AJ1152" s="1"/>
      <c r="AQ1152" s="1"/>
      <c r="AX1152" s="1"/>
      <c r="BE1152" s="1"/>
    </row>
    <row r="1153" spans="1:57" x14ac:dyDescent="0.25">
      <c r="A1153" s="1"/>
      <c r="H1153" s="1"/>
      <c r="O1153" s="1"/>
      <c r="V1153" s="1"/>
      <c r="AC1153" s="1"/>
      <c r="AJ1153" s="1"/>
      <c r="AQ1153" s="1"/>
      <c r="AX1153" s="1"/>
      <c r="BE1153" s="1"/>
    </row>
    <row r="1154" spans="1:57" x14ac:dyDescent="0.25">
      <c r="A1154" s="1"/>
      <c r="H1154" s="1"/>
      <c r="O1154" s="1"/>
      <c r="V1154" s="1"/>
      <c r="AC1154" s="1"/>
      <c r="AJ1154" s="1"/>
      <c r="AQ1154" s="1"/>
      <c r="AX1154" s="1"/>
      <c r="BE1154" s="1"/>
    </row>
    <row r="1155" spans="1:57" x14ac:dyDescent="0.25">
      <c r="A1155" s="1"/>
      <c r="H1155" s="1"/>
      <c r="O1155" s="1"/>
      <c r="V1155" s="1"/>
      <c r="AC1155" s="1"/>
      <c r="AJ1155" s="1"/>
      <c r="AQ1155" s="1"/>
      <c r="AX1155" s="1"/>
      <c r="BE1155" s="1"/>
    </row>
    <row r="1156" spans="1:57" x14ac:dyDescent="0.25">
      <c r="A1156" s="1"/>
      <c r="H1156" s="1"/>
      <c r="O1156" s="1"/>
      <c r="V1156" s="1"/>
      <c r="AC1156" s="1"/>
      <c r="AJ1156" s="1"/>
      <c r="AQ1156" s="1"/>
      <c r="AX1156" s="1"/>
      <c r="BE1156" s="1"/>
    </row>
    <row r="1157" spans="1:57" x14ac:dyDescent="0.25">
      <c r="A1157" s="1"/>
      <c r="H1157" s="1"/>
      <c r="O1157" s="1"/>
      <c r="V1157" s="1"/>
      <c r="AC1157" s="1"/>
      <c r="AJ1157" s="1"/>
      <c r="AQ1157" s="1"/>
      <c r="AX1157" s="1"/>
      <c r="BE1157" s="1"/>
    </row>
    <row r="1158" spans="1:57" x14ac:dyDescent="0.25">
      <c r="A1158" s="1"/>
      <c r="H1158" s="1"/>
      <c r="O1158" s="1"/>
      <c r="V1158" s="1"/>
      <c r="AC1158" s="1"/>
      <c r="AJ1158" s="1"/>
      <c r="AQ1158" s="1"/>
      <c r="AX1158" s="1"/>
      <c r="BE1158" s="1"/>
    </row>
    <row r="1159" spans="1:57" x14ac:dyDescent="0.25">
      <c r="A1159" s="1"/>
      <c r="H1159" s="1"/>
      <c r="O1159" s="1"/>
      <c r="V1159" s="1"/>
      <c r="AC1159" s="1"/>
      <c r="AJ1159" s="1"/>
      <c r="AQ1159" s="1"/>
      <c r="AX1159" s="1"/>
      <c r="BE1159" s="1"/>
    </row>
    <row r="1160" spans="1:57" x14ac:dyDescent="0.25">
      <c r="A1160" s="1"/>
      <c r="H1160" s="1"/>
      <c r="O1160" s="1"/>
      <c r="V1160" s="1"/>
      <c r="AC1160" s="1"/>
      <c r="AJ1160" s="1"/>
      <c r="AQ1160" s="1"/>
      <c r="AX1160" s="1"/>
      <c r="BE1160" s="1"/>
    </row>
    <row r="1161" spans="1:57" x14ac:dyDescent="0.25">
      <c r="A1161" s="1"/>
      <c r="H1161" s="1"/>
      <c r="O1161" s="1"/>
      <c r="V1161" s="1"/>
      <c r="AC1161" s="1"/>
      <c r="AJ1161" s="1"/>
      <c r="AQ1161" s="1"/>
      <c r="AX1161" s="1"/>
      <c r="BE1161" s="1"/>
    </row>
    <row r="1162" spans="1:57" x14ac:dyDescent="0.25">
      <c r="A1162" s="1"/>
      <c r="H1162" s="1"/>
      <c r="O1162" s="1"/>
      <c r="V1162" s="1"/>
      <c r="AC1162" s="1"/>
      <c r="AJ1162" s="1"/>
      <c r="AQ1162" s="1"/>
      <c r="AX1162" s="1"/>
      <c r="BE1162" s="1"/>
    </row>
    <row r="1163" spans="1:57" x14ac:dyDescent="0.25">
      <c r="A1163" s="1"/>
      <c r="H1163" s="1"/>
      <c r="O1163" s="1"/>
      <c r="V1163" s="1"/>
      <c r="AC1163" s="1"/>
      <c r="AJ1163" s="1"/>
      <c r="AQ1163" s="1"/>
      <c r="AX1163" s="1"/>
      <c r="BE1163" s="1"/>
    </row>
    <row r="1164" spans="1:57" x14ac:dyDescent="0.25">
      <c r="A1164" s="1"/>
      <c r="H1164" s="1"/>
      <c r="O1164" s="1"/>
      <c r="V1164" s="1"/>
      <c r="AC1164" s="1"/>
      <c r="AJ1164" s="1"/>
      <c r="AQ1164" s="1"/>
      <c r="AX1164" s="1"/>
      <c r="BE1164" s="1"/>
    </row>
    <row r="1165" spans="1:57" x14ac:dyDescent="0.25">
      <c r="A1165" s="1"/>
      <c r="H1165" s="1"/>
      <c r="O1165" s="1"/>
      <c r="V1165" s="1"/>
      <c r="AC1165" s="1"/>
      <c r="AJ1165" s="1"/>
      <c r="AQ1165" s="1"/>
      <c r="AX1165" s="1"/>
      <c r="BE1165" s="1"/>
    </row>
    <row r="1166" spans="1:57" x14ac:dyDescent="0.25">
      <c r="A1166" s="1"/>
      <c r="H1166" s="1"/>
      <c r="O1166" s="1"/>
      <c r="V1166" s="1"/>
      <c r="AC1166" s="1"/>
      <c r="AJ1166" s="1"/>
      <c r="AQ1166" s="1"/>
      <c r="AX1166" s="1"/>
      <c r="BE1166" s="1"/>
    </row>
    <row r="1167" spans="1:57" x14ac:dyDescent="0.25">
      <c r="A1167" s="1"/>
      <c r="H1167" s="1"/>
      <c r="O1167" s="1"/>
      <c r="V1167" s="1"/>
      <c r="AC1167" s="1"/>
      <c r="AJ1167" s="1"/>
      <c r="AQ1167" s="1"/>
      <c r="AX1167" s="1"/>
      <c r="BE1167" s="1"/>
    </row>
    <row r="1168" spans="1:57" x14ac:dyDescent="0.25">
      <c r="A1168" s="1"/>
      <c r="H1168" s="1"/>
      <c r="O1168" s="1"/>
      <c r="V1168" s="1"/>
      <c r="AC1168" s="1"/>
      <c r="AJ1168" s="1"/>
      <c r="AQ1168" s="1"/>
      <c r="AX1168" s="1"/>
      <c r="BE1168" s="1"/>
    </row>
    <row r="1169" spans="1:57" x14ac:dyDescent="0.25">
      <c r="A1169" s="1"/>
      <c r="H1169" s="1"/>
      <c r="O1169" s="1"/>
      <c r="V1169" s="1"/>
      <c r="AC1169" s="1"/>
      <c r="AJ1169" s="1"/>
      <c r="AQ1169" s="1"/>
      <c r="AX1169" s="1"/>
      <c r="BE1169" s="1"/>
    </row>
    <row r="1170" spans="1:57" x14ac:dyDescent="0.25">
      <c r="A1170" s="1"/>
      <c r="H1170" s="1"/>
      <c r="O1170" s="1"/>
      <c r="V1170" s="1"/>
      <c r="AC1170" s="1"/>
      <c r="AJ1170" s="1"/>
      <c r="AQ1170" s="1"/>
      <c r="AX1170" s="1"/>
      <c r="BE1170" s="1"/>
    </row>
    <row r="1171" spans="1:57" x14ac:dyDescent="0.25">
      <c r="A1171" s="1"/>
      <c r="H1171" s="1"/>
      <c r="O1171" s="1"/>
      <c r="V1171" s="1"/>
      <c r="AC1171" s="1"/>
      <c r="AJ1171" s="1"/>
      <c r="AQ1171" s="1"/>
      <c r="AX1171" s="1"/>
      <c r="BE1171" s="1"/>
    </row>
    <row r="1172" spans="1:57" x14ac:dyDescent="0.25">
      <c r="A1172" s="1"/>
      <c r="H1172" s="1"/>
      <c r="O1172" s="1"/>
      <c r="V1172" s="1"/>
      <c r="AC1172" s="1"/>
      <c r="AJ1172" s="1"/>
      <c r="AQ1172" s="1"/>
      <c r="AX1172" s="1"/>
      <c r="BE1172" s="1"/>
    </row>
    <row r="1173" spans="1:57" x14ac:dyDescent="0.25">
      <c r="A1173" s="1"/>
      <c r="H1173" s="1"/>
      <c r="O1173" s="1"/>
      <c r="V1173" s="1"/>
      <c r="AC1173" s="1"/>
      <c r="AJ1173" s="1"/>
      <c r="AQ1173" s="1"/>
      <c r="AX1173" s="1"/>
      <c r="BE1173" s="1"/>
    </row>
    <row r="1174" spans="1:57" x14ac:dyDescent="0.25">
      <c r="A1174" s="1"/>
      <c r="H1174" s="1"/>
      <c r="O1174" s="1"/>
      <c r="V1174" s="1"/>
      <c r="AC1174" s="1"/>
      <c r="AJ1174" s="1"/>
      <c r="AQ1174" s="1"/>
      <c r="AX1174" s="1"/>
      <c r="BE1174" s="1"/>
    </row>
    <row r="1175" spans="1:57" x14ac:dyDescent="0.25">
      <c r="A1175" s="1"/>
      <c r="H1175" s="1"/>
      <c r="O1175" s="1"/>
      <c r="V1175" s="1"/>
      <c r="AC1175" s="1"/>
      <c r="AJ1175" s="1"/>
      <c r="AQ1175" s="1"/>
      <c r="AX1175" s="1"/>
      <c r="BE1175" s="1"/>
    </row>
    <row r="1176" spans="1:57" x14ac:dyDescent="0.25">
      <c r="A1176" s="1"/>
      <c r="H1176" s="1"/>
      <c r="O1176" s="1"/>
      <c r="V1176" s="1"/>
      <c r="AC1176" s="1"/>
      <c r="AJ1176" s="1"/>
      <c r="AQ1176" s="1"/>
      <c r="AX1176" s="1"/>
      <c r="BE1176" s="1"/>
    </row>
    <row r="1177" spans="1:57" x14ac:dyDescent="0.25">
      <c r="A1177" s="1"/>
      <c r="H1177" s="1"/>
      <c r="O1177" s="1"/>
      <c r="V1177" s="1"/>
      <c r="AC1177" s="1"/>
      <c r="AJ1177" s="1"/>
      <c r="AQ1177" s="1"/>
      <c r="AX1177" s="1"/>
      <c r="BE1177" s="1"/>
    </row>
    <row r="1178" spans="1:57" x14ac:dyDescent="0.25">
      <c r="A1178" s="1"/>
      <c r="H1178" s="1"/>
      <c r="O1178" s="1"/>
      <c r="V1178" s="1"/>
      <c r="AC1178" s="1"/>
      <c r="AJ1178" s="1"/>
      <c r="AQ1178" s="1"/>
      <c r="AX1178" s="1"/>
      <c r="BE1178" s="1"/>
    </row>
    <row r="1179" spans="1:57" x14ac:dyDescent="0.25">
      <c r="A1179" s="1"/>
      <c r="H1179" s="1"/>
      <c r="O1179" s="1"/>
      <c r="V1179" s="1"/>
      <c r="AC1179" s="1"/>
      <c r="AJ1179" s="1"/>
      <c r="AQ1179" s="1"/>
      <c r="AX1179" s="1"/>
      <c r="BE1179" s="1"/>
    </row>
    <row r="1180" spans="1:57" x14ac:dyDescent="0.25">
      <c r="A1180" s="1"/>
      <c r="H1180" s="1"/>
      <c r="O1180" s="1"/>
      <c r="V1180" s="1"/>
      <c r="AC1180" s="1"/>
      <c r="AJ1180" s="1"/>
      <c r="AQ1180" s="1"/>
      <c r="AX1180" s="1"/>
      <c r="BE1180" s="1"/>
    </row>
    <row r="1181" spans="1:57" x14ac:dyDescent="0.25">
      <c r="A1181" s="1"/>
      <c r="H1181" s="1"/>
      <c r="O1181" s="1"/>
      <c r="V1181" s="1"/>
      <c r="AC1181" s="1"/>
      <c r="AJ1181" s="1"/>
      <c r="AQ1181" s="1"/>
      <c r="AX1181" s="1"/>
      <c r="BE1181" s="1"/>
    </row>
    <row r="1182" spans="1:57" x14ac:dyDescent="0.25">
      <c r="A1182" s="1"/>
      <c r="H1182" s="1"/>
      <c r="O1182" s="1"/>
      <c r="V1182" s="1"/>
      <c r="AC1182" s="1"/>
      <c r="AJ1182" s="1"/>
      <c r="AQ1182" s="1"/>
      <c r="AX1182" s="1"/>
      <c r="BE1182" s="1"/>
    </row>
    <row r="1183" spans="1:57" x14ac:dyDescent="0.25">
      <c r="A1183" s="1"/>
      <c r="H1183" s="1"/>
      <c r="O1183" s="1"/>
      <c r="V1183" s="1"/>
      <c r="AC1183" s="1"/>
      <c r="AJ1183" s="1"/>
      <c r="AQ1183" s="1"/>
      <c r="AX1183" s="1"/>
      <c r="BE1183" s="1"/>
    </row>
    <row r="1184" spans="1:57" x14ac:dyDescent="0.25">
      <c r="A1184" s="1"/>
      <c r="H1184" s="1"/>
      <c r="O1184" s="1"/>
      <c r="V1184" s="1"/>
      <c r="AC1184" s="1"/>
      <c r="AJ1184" s="1"/>
      <c r="AQ1184" s="1"/>
      <c r="AX1184" s="1"/>
      <c r="BE1184" s="1"/>
    </row>
    <row r="1185" spans="1:57" x14ac:dyDescent="0.25">
      <c r="A1185" s="1"/>
      <c r="H1185" s="1"/>
      <c r="O1185" s="1"/>
      <c r="V1185" s="1"/>
      <c r="AC1185" s="1"/>
      <c r="AJ1185" s="1"/>
      <c r="AQ1185" s="1"/>
      <c r="AX1185" s="1"/>
      <c r="BE1185" s="1"/>
    </row>
    <row r="1186" spans="1:57" x14ac:dyDescent="0.25">
      <c r="A1186" s="1"/>
      <c r="H1186" s="1"/>
      <c r="O1186" s="1"/>
      <c r="V1186" s="1"/>
      <c r="AC1186" s="1"/>
      <c r="AJ1186" s="1"/>
      <c r="AQ1186" s="1"/>
      <c r="AX1186" s="1"/>
      <c r="BE1186" s="1"/>
    </row>
    <row r="1187" spans="1:57" x14ac:dyDescent="0.25">
      <c r="A1187" s="1"/>
      <c r="H1187" s="1"/>
      <c r="O1187" s="1"/>
      <c r="V1187" s="1"/>
      <c r="AC1187" s="1"/>
      <c r="AJ1187" s="1"/>
      <c r="AQ1187" s="1"/>
      <c r="AX1187" s="1"/>
      <c r="BE1187" s="1"/>
    </row>
    <row r="1188" spans="1:57" x14ac:dyDescent="0.25">
      <c r="A1188" s="1"/>
      <c r="H1188" s="1"/>
      <c r="O1188" s="1"/>
      <c r="V1188" s="1"/>
      <c r="AC1188" s="1"/>
      <c r="AJ1188" s="1"/>
      <c r="AQ1188" s="1"/>
      <c r="AX1188" s="1"/>
      <c r="BE1188" s="1"/>
    </row>
    <row r="1189" spans="1:57" x14ac:dyDescent="0.25">
      <c r="A1189" s="1"/>
      <c r="H1189" s="1"/>
      <c r="O1189" s="1"/>
      <c r="V1189" s="1"/>
      <c r="AC1189" s="1"/>
      <c r="AJ1189" s="1"/>
      <c r="AQ1189" s="1"/>
      <c r="AX1189" s="1"/>
      <c r="BE1189" s="1"/>
    </row>
    <row r="1190" spans="1:57" x14ac:dyDescent="0.25">
      <c r="A1190" s="1"/>
      <c r="H1190" s="1"/>
      <c r="O1190" s="1"/>
      <c r="V1190" s="1"/>
      <c r="AC1190" s="1"/>
      <c r="AJ1190" s="1"/>
      <c r="AQ1190" s="1"/>
      <c r="AX1190" s="1"/>
      <c r="BE1190" s="1"/>
    </row>
    <row r="1191" spans="1:57" x14ac:dyDescent="0.25">
      <c r="A1191" s="1"/>
      <c r="H1191" s="1"/>
      <c r="O1191" s="1"/>
      <c r="V1191" s="1"/>
      <c r="AC1191" s="1"/>
      <c r="AJ1191" s="1"/>
      <c r="AQ1191" s="1"/>
      <c r="AX1191" s="1"/>
      <c r="BE1191" s="1"/>
    </row>
    <row r="1192" spans="1:57" x14ac:dyDescent="0.25">
      <c r="A1192" s="1"/>
      <c r="H1192" s="1"/>
      <c r="O1192" s="1"/>
      <c r="V1192" s="1"/>
      <c r="AC1192" s="1"/>
      <c r="AJ1192" s="1"/>
      <c r="AQ1192" s="1"/>
      <c r="AX1192" s="1"/>
      <c r="BE1192" s="1"/>
    </row>
    <row r="1193" spans="1:57" x14ac:dyDescent="0.25">
      <c r="A1193" s="1"/>
      <c r="H1193" s="1"/>
      <c r="O1193" s="1"/>
      <c r="V1193" s="1"/>
      <c r="AC1193" s="1"/>
      <c r="AJ1193" s="1"/>
      <c r="AQ1193" s="1"/>
      <c r="AX1193" s="1"/>
      <c r="BE1193" s="1"/>
    </row>
    <row r="1194" spans="1:57" x14ac:dyDescent="0.25">
      <c r="A1194" s="1"/>
      <c r="H1194" s="1"/>
      <c r="O1194" s="1"/>
      <c r="V1194" s="1"/>
      <c r="AC1194" s="1"/>
      <c r="AJ1194" s="1"/>
      <c r="AQ1194" s="1"/>
      <c r="AX1194" s="1"/>
      <c r="BE1194" s="1"/>
    </row>
    <row r="1195" spans="1:57" x14ac:dyDescent="0.25">
      <c r="A1195" s="1"/>
      <c r="H1195" s="1"/>
      <c r="O1195" s="1"/>
      <c r="V1195" s="1"/>
      <c r="AC1195" s="1"/>
      <c r="AJ1195" s="1"/>
      <c r="AQ1195" s="1"/>
      <c r="AX1195" s="1"/>
      <c r="BE1195" s="1"/>
    </row>
    <row r="1196" spans="1:57" x14ac:dyDescent="0.25">
      <c r="A1196" s="1"/>
      <c r="H1196" s="1"/>
      <c r="O1196" s="1"/>
      <c r="V1196" s="1"/>
      <c r="AC1196" s="1"/>
      <c r="AJ1196" s="1"/>
      <c r="AQ1196" s="1"/>
      <c r="AX1196" s="1"/>
      <c r="BE1196" s="1"/>
    </row>
    <row r="1197" spans="1:57" x14ac:dyDescent="0.25">
      <c r="A1197" s="1"/>
      <c r="H1197" s="1"/>
      <c r="O1197" s="1"/>
      <c r="V1197" s="1"/>
      <c r="AC1197" s="1"/>
      <c r="AJ1197" s="1"/>
      <c r="AQ1197" s="1"/>
      <c r="AX1197" s="1"/>
      <c r="BE1197" s="1"/>
    </row>
    <row r="1198" spans="1:57" x14ac:dyDescent="0.25">
      <c r="A1198" s="1"/>
      <c r="H1198" s="1"/>
      <c r="O1198" s="1"/>
      <c r="V1198" s="1"/>
      <c r="AC1198" s="1"/>
      <c r="AJ1198" s="1"/>
      <c r="AQ1198" s="1"/>
      <c r="AX1198" s="1"/>
      <c r="BE1198" s="1"/>
    </row>
    <row r="1199" spans="1:57" x14ac:dyDescent="0.25">
      <c r="A1199" s="1"/>
      <c r="H1199" s="1"/>
      <c r="O1199" s="1"/>
      <c r="V1199" s="1"/>
      <c r="AC1199" s="1"/>
      <c r="AJ1199" s="1"/>
      <c r="AQ1199" s="1"/>
      <c r="AX1199" s="1"/>
      <c r="BE1199" s="1"/>
    </row>
    <row r="1200" spans="1:57" x14ac:dyDescent="0.25">
      <c r="A1200" s="1"/>
      <c r="H1200" s="1"/>
      <c r="O1200" s="1"/>
      <c r="V1200" s="1"/>
      <c r="AC1200" s="1"/>
      <c r="AJ1200" s="1"/>
      <c r="AQ1200" s="1"/>
      <c r="AX1200" s="1"/>
      <c r="BE1200" s="1"/>
    </row>
    <row r="1201" spans="1:57" x14ac:dyDescent="0.25">
      <c r="A1201" s="1"/>
      <c r="H1201" s="1"/>
      <c r="O1201" s="1"/>
      <c r="V1201" s="1"/>
      <c r="AC1201" s="1"/>
      <c r="AJ1201" s="1"/>
      <c r="AQ1201" s="1"/>
      <c r="AX1201" s="1"/>
      <c r="BE1201" s="1"/>
    </row>
    <row r="1202" spans="1:57" x14ac:dyDescent="0.25">
      <c r="A1202" s="1"/>
      <c r="H1202" s="1"/>
      <c r="O1202" s="1"/>
      <c r="V1202" s="1"/>
      <c r="AC1202" s="1"/>
      <c r="AJ1202" s="1"/>
      <c r="AQ1202" s="1"/>
      <c r="AX1202" s="1"/>
      <c r="BE1202" s="1"/>
    </row>
    <row r="1203" spans="1:57" x14ac:dyDescent="0.25">
      <c r="A1203" s="1"/>
      <c r="H1203" s="1"/>
      <c r="O1203" s="1"/>
      <c r="V1203" s="1"/>
      <c r="AC1203" s="1"/>
      <c r="AJ1203" s="1"/>
      <c r="AQ1203" s="1"/>
      <c r="AX1203" s="1"/>
      <c r="BE1203" s="1"/>
    </row>
    <row r="1204" spans="1:57" x14ac:dyDescent="0.25">
      <c r="A1204" s="1"/>
      <c r="H1204" s="1"/>
      <c r="O1204" s="1"/>
      <c r="V1204" s="1"/>
      <c r="AC1204" s="1"/>
      <c r="AJ1204" s="1"/>
      <c r="AQ1204" s="1"/>
      <c r="AX1204" s="1"/>
      <c r="BE1204" s="1"/>
    </row>
    <row r="1205" spans="1:57" x14ac:dyDescent="0.25">
      <c r="A1205" s="1"/>
      <c r="H1205" s="1"/>
      <c r="O1205" s="1"/>
      <c r="V1205" s="1"/>
      <c r="AC1205" s="1"/>
      <c r="AJ1205" s="1"/>
      <c r="AQ1205" s="1"/>
      <c r="AX1205" s="1"/>
      <c r="BE1205" s="1"/>
    </row>
    <row r="1206" spans="1:57" x14ac:dyDescent="0.25">
      <c r="A1206" s="1"/>
      <c r="H1206" s="1"/>
      <c r="O1206" s="1"/>
      <c r="V1206" s="1"/>
      <c r="AC1206" s="1"/>
      <c r="AJ1206" s="1"/>
      <c r="AQ1206" s="1"/>
      <c r="AX1206" s="1"/>
      <c r="BE1206" s="1"/>
    </row>
    <row r="1207" spans="1:57" x14ac:dyDescent="0.25">
      <c r="A1207" s="1"/>
      <c r="H1207" s="1"/>
      <c r="O1207" s="1"/>
      <c r="V1207" s="1"/>
      <c r="AC1207" s="1"/>
      <c r="AJ1207" s="1"/>
      <c r="AQ1207" s="1"/>
      <c r="AX1207" s="1"/>
      <c r="BE1207" s="1"/>
    </row>
    <row r="1208" spans="1:57" x14ac:dyDescent="0.25">
      <c r="A1208" s="1"/>
      <c r="H1208" s="1"/>
      <c r="O1208" s="1"/>
      <c r="V1208" s="1"/>
      <c r="AC1208" s="1"/>
      <c r="AJ1208" s="1"/>
      <c r="AQ1208" s="1"/>
      <c r="AX1208" s="1"/>
      <c r="BE1208" s="1"/>
    </row>
    <row r="1209" spans="1:57" x14ac:dyDescent="0.25">
      <c r="A1209" s="1"/>
      <c r="H1209" s="1"/>
      <c r="O1209" s="1"/>
      <c r="V1209" s="1"/>
      <c r="AC1209" s="1"/>
      <c r="AJ1209" s="1"/>
      <c r="AQ1209" s="1"/>
      <c r="AX1209" s="1"/>
      <c r="BE1209" s="1"/>
    </row>
    <row r="1210" spans="1:57" x14ac:dyDescent="0.25">
      <c r="A1210" s="1"/>
      <c r="H1210" s="1"/>
      <c r="O1210" s="1"/>
      <c r="V1210" s="1"/>
      <c r="AC1210" s="1"/>
      <c r="AJ1210" s="1"/>
      <c r="AQ1210" s="1"/>
      <c r="AX1210" s="1"/>
      <c r="BE1210" s="1"/>
    </row>
    <row r="1211" spans="1:57" x14ac:dyDescent="0.25">
      <c r="A1211" s="1"/>
      <c r="H1211" s="1"/>
      <c r="O1211" s="1"/>
      <c r="V1211" s="1"/>
      <c r="AC1211" s="1"/>
      <c r="AJ1211" s="1"/>
      <c r="AQ1211" s="1"/>
      <c r="AX1211" s="1"/>
      <c r="BE1211" s="1"/>
    </row>
    <row r="1212" spans="1:57" x14ac:dyDescent="0.25">
      <c r="A1212" s="1"/>
      <c r="H1212" s="1"/>
      <c r="O1212" s="1"/>
      <c r="V1212" s="1"/>
      <c r="AC1212" s="1"/>
      <c r="AJ1212" s="1"/>
      <c r="AQ1212" s="1"/>
      <c r="AX1212" s="1"/>
      <c r="BE1212" s="1"/>
    </row>
    <row r="1213" spans="1:57" x14ac:dyDescent="0.25">
      <c r="A1213" s="1"/>
      <c r="H1213" s="1"/>
      <c r="O1213" s="1"/>
      <c r="V1213" s="1"/>
      <c r="AC1213" s="1"/>
      <c r="AJ1213" s="1"/>
      <c r="AQ1213" s="1"/>
      <c r="AX1213" s="1"/>
      <c r="BE1213" s="1"/>
    </row>
    <row r="1214" spans="1:57" x14ac:dyDescent="0.25">
      <c r="A1214" s="1"/>
      <c r="H1214" s="1"/>
      <c r="O1214" s="1"/>
      <c r="V1214" s="1"/>
      <c r="AC1214" s="1"/>
      <c r="AJ1214" s="1"/>
      <c r="AQ1214" s="1"/>
      <c r="AX1214" s="1"/>
      <c r="BE1214" s="1"/>
    </row>
    <row r="1215" spans="1:57" x14ac:dyDescent="0.25">
      <c r="A1215" s="1"/>
      <c r="H1215" s="1"/>
      <c r="O1215" s="1"/>
      <c r="V1215" s="1"/>
      <c r="AC1215" s="1"/>
      <c r="AJ1215" s="1"/>
      <c r="AQ1215" s="1"/>
      <c r="AX1215" s="1"/>
      <c r="BE1215" s="1"/>
    </row>
    <row r="1216" spans="1:57" x14ac:dyDescent="0.25">
      <c r="A1216" s="1"/>
      <c r="H1216" s="1"/>
      <c r="O1216" s="1"/>
      <c r="V1216" s="1"/>
      <c r="AC1216" s="1"/>
      <c r="AJ1216" s="1"/>
      <c r="AQ1216" s="1"/>
      <c r="AX1216" s="1"/>
      <c r="BE1216" s="1"/>
    </row>
    <row r="1217" spans="1:57" x14ac:dyDescent="0.25">
      <c r="A1217" s="1"/>
      <c r="H1217" s="1"/>
      <c r="O1217" s="1"/>
      <c r="V1217" s="1"/>
      <c r="AC1217" s="1"/>
      <c r="AJ1217" s="1"/>
      <c r="AQ1217" s="1"/>
      <c r="AX1217" s="1"/>
      <c r="BE1217" s="1"/>
    </row>
    <row r="1218" spans="1:57" x14ac:dyDescent="0.25">
      <c r="A1218" s="1"/>
      <c r="H1218" s="1"/>
      <c r="O1218" s="1"/>
      <c r="V1218" s="1"/>
      <c r="AC1218" s="1"/>
      <c r="AJ1218" s="1"/>
      <c r="AQ1218" s="1"/>
      <c r="AX1218" s="1"/>
      <c r="BE1218" s="1"/>
    </row>
    <row r="1219" spans="1:57" x14ac:dyDescent="0.25">
      <c r="A1219" s="1"/>
      <c r="H1219" s="1"/>
      <c r="O1219" s="1"/>
      <c r="V1219" s="1"/>
      <c r="AC1219" s="1"/>
      <c r="AJ1219" s="1"/>
      <c r="AQ1219" s="1"/>
      <c r="AX1219" s="1"/>
      <c r="BE1219" s="1"/>
    </row>
    <row r="1220" spans="1:57" x14ac:dyDescent="0.25">
      <c r="A1220" s="1"/>
      <c r="H1220" s="1"/>
      <c r="O1220" s="1"/>
      <c r="V1220" s="1"/>
      <c r="AC1220" s="1"/>
      <c r="AJ1220" s="1"/>
      <c r="AQ1220" s="1"/>
      <c r="AX1220" s="1"/>
      <c r="BE1220" s="1"/>
    </row>
    <row r="1221" spans="1:57" x14ac:dyDescent="0.25">
      <c r="A1221" s="1"/>
      <c r="H1221" s="1"/>
      <c r="O1221" s="1"/>
      <c r="V1221" s="1"/>
      <c r="AC1221" s="1"/>
      <c r="AJ1221" s="1"/>
      <c r="AQ1221" s="1"/>
      <c r="AX1221" s="1"/>
      <c r="BE1221" s="1"/>
    </row>
    <row r="1222" spans="1:57" x14ac:dyDescent="0.25">
      <c r="A1222" s="1"/>
      <c r="H1222" s="1"/>
      <c r="O1222" s="1"/>
      <c r="V1222" s="1"/>
      <c r="AC1222" s="1"/>
      <c r="AJ1222" s="1"/>
      <c r="AQ1222" s="1"/>
      <c r="AX1222" s="1"/>
      <c r="BE1222" s="1"/>
    </row>
    <row r="1223" spans="1:57" x14ac:dyDescent="0.25">
      <c r="A1223" s="1"/>
      <c r="H1223" s="1"/>
      <c r="O1223" s="1"/>
      <c r="V1223" s="1"/>
      <c r="AC1223" s="1"/>
      <c r="AJ1223" s="1"/>
      <c r="AQ1223" s="1"/>
      <c r="AX1223" s="1"/>
      <c r="BE1223" s="1"/>
    </row>
    <row r="1224" spans="1:57" x14ac:dyDescent="0.25">
      <c r="A1224" s="1"/>
      <c r="H1224" s="1"/>
      <c r="O1224" s="1"/>
      <c r="V1224" s="1"/>
      <c r="AC1224" s="1"/>
      <c r="AJ1224" s="1"/>
      <c r="AQ1224" s="1"/>
      <c r="AX1224" s="1"/>
      <c r="BE1224" s="1"/>
    </row>
    <row r="1225" spans="1:57" x14ac:dyDescent="0.25">
      <c r="A1225" s="1"/>
      <c r="H1225" s="1"/>
      <c r="O1225" s="1"/>
      <c r="V1225" s="1"/>
      <c r="AC1225" s="1"/>
      <c r="AJ1225" s="1"/>
      <c r="AQ1225" s="1"/>
      <c r="AX1225" s="1"/>
      <c r="BE1225" s="1"/>
    </row>
    <row r="1226" spans="1:57" x14ac:dyDescent="0.25">
      <c r="A1226" s="1"/>
      <c r="H1226" s="1"/>
      <c r="O1226" s="1"/>
      <c r="V1226" s="1"/>
      <c r="AC1226" s="1"/>
      <c r="AJ1226" s="1"/>
      <c r="AQ1226" s="1"/>
      <c r="AX1226" s="1"/>
      <c r="BE1226" s="1"/>
    </row>
    <row r="1227" spans="1:57" x14ac:dyDescent="0.25">
      <c r="A1227" s="1"/>
      <c r="H1227" s="1"/>
      <c r="O1227" s="1"/>
      <c r="V1227" s="1"/>
      <c r="AC1227" s="1"/>
      <c r="AJ1227" s="1"/>
      <c r="AQ1227" s="1"/>
      <c r="AX1227" s="1"/>
      <c r="BE1227" s="1"/>
    </row>
    <row r="1228" spans="1:57" x14ac:dyDescent="0.25">
      <c r="A1228" s="1"/>
      <c r="H1228" s="1"/>
      <c r="O1228" s="1"/>
      <c r="V1228" s="1"/>
      <c r="AC1228" s="1"/>
      <c r="AJ1228" s="1"/>
      <c r="AQ1228" s="1"/>
      <c r="AX1228" s="1"/>
      <c r="BE1228" s="1"/>
    </row>
    <row r="1229" spans="1:57" x14ac:dyDescent="0.25">
      <c r="A1229" s="1"/>
      <c r="H1229" s="1"/>
      <c r="O1229" s="1"/>
      <c r="V1229" s="1"/>
      <c r="AC1229" s="1"/>
      <c r="AJ1229" s="1"/>
      <c r="AQ1229" s="1"/>
      <c r="AX1229" s="1"/>
      <c r="BE1229" s="1"/>
    </row>
    <row r="1230" spans="1:57" x14ac:dyDescent="0.25">
      <c r="A1230" s="1"/>
      <c r="H1230" s="1"/>
      <c r="O1230" s="1"/>
      <c r="V1230" s="1"/>
      <c r="AC1230" s="1"/>
      <c r="AJ1230" s="1"/>
      <c r="AQ1230" s="1"/>
      <c r="AX1230" s="1"/>
      <c r="BE1230" s="1"/>
    </row>
    <row r="1231" spans="1:57" x14ac:dyDescent="0.25">
      <c r="A1231" s="1"/>
      <c r="H1231" s="1"/>
      <c r="O1231" s="1"/>
      <c r="V1231" s="1"/>
      <c r="AC1231" s="1"/>
      <c r="AJ1231" s="1"/>
      <c r="AQ1231" s="1"/>
      <c r="AX1231" s="1"/>
      <c r="BE1231" s="1"/>
    </row>
    <row r="1232" spans="1:57" x14ac:dyDescent="0.25">
      <c r="A1232" s="1"/>
      <c r="H1232" s="1"/>
      <c r="O1232" s="1"/>
      <c r="V1232" s="1"/>
      <c r="AC1232" s="1"/>
      <c r="AJ1232" s="1"/>
      <c r="AQ1232" s="1"/>
      <c r="AX1232" s="1"/>
      <c r="BE1232" s="1"/>
    </row>
    <row r="1233" spans="1:57" x14ac:dyDescent="0.25">
      <c r="A1233" s="1"/>
      <c r="H1233" s="1"/>
      <c r="O1233" s="1"/>
      <c r="V1233" s="1"/>
      <c r="AC1233" s="1"/>
      <c r="AJ1233" s="1"/>
      <c r="AQ1233" s="1"/>
      <c r="AX1233" s="1"/>
      <c r="BE1233" s="1"/>
    </row>
    <row r="1234" spans="1:57" x14ac:dyDescent="0.25">
      <c r="A1234" s="1"/>
      <c r="H1234" s="1"/>
      <c r="O1234" s="1"/>
      <c r="V1234" s="1"/>
      <c r="AC1234" s="1"/>
      <c r="AJ1234" s="1"/>
      <c r="AQ1234" s="1"/>
      <c r="AX1234" s="1"/>
      <c r="BE1234" s="1"/>
    </row>
    <row r="1235" spans="1:57" x14ac:dyDescent="0.25">
      <c r="A1235" s="1"/>
      <c r="H1235" s="1"/>
      <c r="O1235" s="1"/>
      <c r="V1235" s="1"/>
      <c r="AC1235" s="1"/>
      <c r="AJ1235" s="1"/>
      <c r="AQ1235" s="1"/>
      <c r="AX1235" s="1"/>
      <c r="BE1235" s="1"/>
    </row>
    <row r="1236" spans="1:57" x14ac:dyDescent="0.25">
      <c r="A1236" s="1"/>
      <c r="H1236" s="1"/>
      <c r="O1236" s="1"/>
      <c r="V1236" s="1"/>
      <c r="AC1236" s="1"/>
      <c r="AJ1236" s="1"/>
      <c r="AQ1236" s="1"/>
      <c r="AX1236" s="1"/>
      <c r="BE1236" s="1"/>
    </row>
    <row r="1237" spans="1:57" x14ac:dyDescent="0.25">
      <c r="A1237" s="1"/>
      <c r="H1237" s="1"/>
      <c r="O1237" s="1"/>
      <c r="V1237" s="1"/>
      <c r="AC1237" s="1"/>
      <c r="AJ1237" s="1"/>
      <c r="AQ1237" s="1"/>
      <c r="AX1237" s="1"/>
      <c r="BE1237" s="1"/>
    </row>
    <row r="1238" spans="1:57" x14ac:dyDescent="0.25">
      <c r="A1238" s="1"/>
      <c r="H1238" s="1"/>
      <c r="O1238" s="1"/>
      <c r="V1238" s="1"/>
      <c r="AC1238" s="1"/>
      <c r="AJ1238" s="1"/>
      <c r="AQ1238" s="1"/>
      <c r="AX1238" s="1"/>
      <c r="BE1238" s="1"/>
    </row>
    <row r="1239" spans="1:57" x14ac:dyDescent="0.25">
      <c r="A1239" s="1"/>
      <c r="H1239" s="1"/>
      <c r="O1239" s="1"/>
      <c r="V1239" s="1"/>
      <c r="AC1239" s="1"/>
      <c r="AJ1239" s="1"/>
      <c r="AQ1239" s="1"/>
      <c r="AX1239" s="1"/>
      <c r="BE1239" s="1"/>
    </row>
    <row r="1240" spans="1:57" x14ac:dyDescent="0.25">
      <c r="A1240" s="1"/>
      <c r="H1240" s="1"/>
      <c r="O1240" s="1"/>
      <c r="V1240" s="1"/>
      <c r="AC1240" s="1"/>
      <c r="AJ1240" s="1"/>
      <c r="AQ1240" s="1"/>
      <c r="AX1240" s="1"/>
      <c r="BE1240" s="1"/>
    </row>
    <row r="1241" spans="1:57" x14ac:dyDescent="0.25">
      <c r="A1241" s="1"/>
      <c r="H1241" s="1"/>
      <c r="O1241" s="1"/>
      <c r="V1241" s="1"/>
      <c r="AC1241" s="1"/>
      <c r="AJ1241" s="1"/>
      <c r="AQ1241" s="1"/>
      <c r="AX1241" s="1"/>
      <c r="BE1241" s="1"/>
    </row>
    <row r="1242" spans="1:57" x14ac:dyDescent="0.25">
      <c r="A1242" s="1"/>
      <c r="H1242" s="1"/>
      <c r="O1242" s="1"/>
      <c r="V1242" s="1"/>
      <c r="AC1242" s="1"/>
      <c r="AJ1242" s="1"/>
      <c r="AQ1242" s="1"/>
      <c r="AX1242" s="1"/>
      <c r="BE1242" s="1"/>
    </row>
    <row r="1243" spans="1:57" x14ac:dyDescent="0.25">
      <c r="A1243" s="1"/>
      <c r="H1243" s="1"/>
      <c r="O1243" s="1"/>
      <c r="V1243" s="1"/>
      <c r="AC1243" s="1"/>
      <c r="AJ1243" s="1"/>
      <c r="AQ1243" s="1"/>
      <c r="AX1243" s="1"/>
      <c r="BE1243" s="1"/>
    </row>
    <row r="1244" spans="1:57" x14ac:dyDescent="0.25">
      <c r="A1244" s="1"/>
      <c r="H1244" s="1"/>
      <c r="O1244" s="1"/>
      <c r="V1244" s="1"/>
      <c r="AC1244" s="1"/>
      <c r="AJ1244" s="1"/>
      <c r="AQ1244" s="1"/>
      <c r="AX1244" s="1"/>
      <c r="BE1244" s="1"/>
    </row>
    <row r="1245" spans="1:57" x14ac:dyDescent="0.25">
      <c r="A1245" s="1"/>
      <c r="H1245" s="1"/>
      <c r="O1245" s="1"/>
      <c r="V1245" s="1"/>
      <c r="AC1245" s="1"/>
      <c r="AJ1245" s="1"/>
      <c r="AQ1245" s="1"/>
      <c r="AX1245" s="1"/>
      <c r="BE1245" s="1"/>
    </row>
    <row r="1246" spans="1:57" x14ac:dyDescent="0.25">
      <c r="A1246" s="1"/>
      <c r="H1246" s="1"/>
      <c r="O1246" s="1"/>
      <c r="V1246" s="1"/>
      <c r="AC1246" s="1"/>
      <c r="AJ1246" s="1"/>
      <c r="AQ1246" s="1"/>
      <c r="AX1246" s="1"/>
      <c r="BE1246" s="1"/>
    </row>
    <row r="1247" spans="1:57" x14ac:dyDescent="0.25">
      <c r="A1247" s="1"/>
      <c r="H1247" s="1"/>
      <c r="O1247" s="1"/>
      <c r="V1247" s="1"/>
      <c r="AC1247" s="1"/>
      <c r="AJ1247" s="1"/>
      <c r="AQ1247" s="1"/>
      <c r="AX1247" s="1"/>
      <c r="BE1247" s="1"/>
    </row>
    <row r="1248" spans="1:57" x14ac:dyDescent="0.25">
      <c r="A1248" s="1"/>
      <c r="H1248" s="1"/>
      <c r="O1248" s="1"/>
      <c r="V1248" s="1"/>
      <c r="AC1248" s="1"/>
      <c r="AJ1248" s="1"/>
      <c r="AQ1248" s="1"/>
      <c r="AX1248" s="1"/>
      <c r="BE1248" s="1"/>
    </row>
    <row r="1249" spans="1:57" x14ac:dyDescent="0.25">
      <c r="A1249" s="1"/>
      <c r="H1249" s="1"/>
      <c r="O1249" s="1"/>
      <c r="V1249" s="1"/>
      <c r="AC1249" s="1"/>
      <c r="AJ1249" s="1"/>
      <c r="AQ1249" s="1"/>
      <c r="AX1249" s="1"/>
      <c r="BE1249" s="1"/>
    </row>
    <row r="1250" spans="1:57" x14ac:dyDescent="0.25">
      <c r="A1250" s="1"/>
      <c r="H1250" s="1"/>
      <c r="O1250" s="1"/>
      <c r="V1250" s="1"/>
      <c r="AC1250" s="1"/>
      <c r="AJ1250" s="1"/>
      <c r="AQ1250" s="1"/>
      <c r="AX1250" s="1"/>
      <c r="BE1250" s="1"/>
    </row>
    <row r="1251" spans="1:57" x14ac:dyDescent="0.25">
      <c r="A1251" s="1"/>
      <c r="H1251" s="1"/>
      <c r="O1251" s="1"/>
      <c r="V1251" s="1"/>
      <c r="AC1251" s="1"/>
      <c r="AJ1251" s="1"/>
      <c r="AQ1251" s="1"/>
      <c r="AX1251" s="1"/>
      <c r="BE1251" s="1"/>
    </row>
    <row r="1252" spans="1:57" x14ac:dyDescent="0.25">
      <c r="A1252" s="1"/>
      <c r="H1252" s="1"/>
      <c r="O1252" s="1"/>
      <c r="V1252" s="1"/>
      <c r="AC1252" s="1"/>
      <c r="AJ1252" s="1"/>
      <c r="AQ1252" s="1"/>
      <c r="AX1252" s="1"/>
      <c r="BE1252" s="1"/>
    </row>
    <row r="1253" spans="1:57" x14ac:dyDescent="0.25">
      <c r="A1253" s="1"/>
      <c r="H1253" s="1"/>
      <c r="O1253" s="1"/>
      <c r="V1253" s="1"/>
      <c r="AC1253" s="1"/>
      <c r="AJ1253" s="1"/>
      <c r="AQ1253" s="1"/>
      <c r="AX1253" s="1"/>
      <c r="BE1253" s="1"/>
    </row>
    <row r="1254" spans="1:57" x14ac:dyDescent="0.25">
      <c r="A1254" s="1"/>
      <c r="H1254" s="1"/>
      <c r="O1254" s="1"/>
      <c r="V1254" s="1"/>
      <c r="AC1254" s="1"/>
      <c r="AJ1254" s="1"/>
      <c r="AQ1254" s="1"/>
      <c r="AX1254" s="1"/>
      <c r="BE1254" s="1"/>
    </row>
    <row r="1255" spans="1:57" x14ac:dyDescent="0.25">
      <c r="A1255" s="1"/>
      <c r="H1255" s="1"/>
      <c r="O1255" s="1"/>
      <c r="V1255" s="1"/>
      <c r="AC1255" s="1"/>
      <c r="AJ1255" s="1"/>
      <c r="AQ1255" s="1"/>
      <c r="AX1255" s="1"/>
      <c r="BE1255" s="1"/>
    </row>
    <row r="1256" spans="1:57" x14ac:dyDescent="0.25">
      <c r="A1256" s="1"/>
      <c r="H1256" s="1"/>
      <c r="O1256" s="1"/>
      <c r="V1256" s="1"/>
      <c r="AC1256" s="1"/>
      <c r="AJ1256" s="1"/>
      <c r="AQ1256" s="1"/>
      <c r="AX1256" s="1"/>
      <c r="BE1256" s="1"/>
    </row>
    <row r="1257" spans="1:57" x14ac:dyDescent="0.25">
      <c r="A1257" s="1"/>
      <c r="H1257" s="1"/>
      <c r="O1257" s="1"/>
      <c r="V1257" s="1"/>
      <c r="AC1257" s="1"/>
      <c r="AJ1257" s="1"/>
      <c r="AQ1257" s="1"/>
      <c r="AX1257" s="1"/>
      <c r="BE1257" s="1"/>
    </row>
    <row r="1258" spans="1:57" x14ac:dyDescent="0.25">
      <c r="A1258" s="1"/>
      <c r="H1258" s="1"/>
      <c r="O1258" s="1"/>
      <c r="V1258" s="1"/>
      <c r="AC1258" s="1"/>
      <c r="AJ1258" s="1"/>
      <c r="AQ1258" s="1"/>
      <c r="AX1258" s="1"/>
      <c r="BE1258" s="1"/>
    </row>
    <row r="1259" spans="1:57" x14ac:dyDescent="0.25">
      <c r="A1259" s="1"/>
      <c r="H1259" s="1"/>
      <c r="O1259" s="1"/>
      <c r="V1259" s="1"/>
      <c r="AC1259" s="1"/>
      <c r="AJ1259" s="1"/>
      <c r="AQ1259" s="1"/>
      <c r="AX1259" s="1"/>
      <c r="BE1259" s="1"/>
    </row>
    <row r="1260" spans="1:57" x14ac:dyDescent="0.25">
      <c r="A1260" s="1"/>
      <c r="H1260" s="1"/>
      <c r="O1260" s="1"/>
      <c r="V1260" s="1"/>
      <c r="AC1260" s="1"/>
      <c r="AJ1260" s="1"/>
      <c r="AQ1260" s="1"/>
      <c r="AX1260" s="1"/>
      <c r="BE1260" s="1"/>
    </row>
    <row r="1261" spans="1:57" x14ac:dyDescent="0.25">
      <c r="A1261" s="1"/>
      <c r="H1261" s="1"/>
      <c r="O1261" s="1"/>
      <c r="V1261" s="1"/>
      <c r="AC1261" s="1"/>
      <c r="AJ1261" s="1"/>
      <c r="AQ1261" s="1"/>
      <c r="AX1261" s="1"/>
      <c r="BE1261" s="1"/>
    </row>
    <row r="1262" spans="1:57" x14ac:dyDescent="0.25">
      <c r="A1262" s="1"/>
      <c r="H1262" s="1"/>
      <c r="O1262" s="1"/>
      <c r="V1262" s="1"/>
      <c r="AC1262" s="1"/>
      <c r="AJ1262" s="1"/>
      <c r="AQ1262" s="1"/>
      <c r="AX1262" s="1"/>
      <c r="BE1262" s="1"/>
    </row>
    <row r="1263" spans="1:57" x14ac:dyDescent="0.25">
      <c r="A1263" s="1"/>
      <c r="H1263" s="1"/>
      <c r="O1263" s="1"/>
      <c r="V1263" s="1"/>
      <c r="AC1263" s="1"/>
      <c r="AJ1263" s="1"/>
      <c r="AQ1263" s="1"/>
      <c r="AX1263" s="1"/>
      <c r="BE1263" s="1"/>
    </row>
    <row r="1264" spans="1:57" x14ac:dyDescent="0.25">
      <c r="A1264" s="1"/>
      <c r="H1264" s="1"/>
      <c r="O1264" s="1"/>
      <c r="V1264" s="1"/>
      <c r="AC1264" s="1"/>
      <c r="AJ1264" s="1"/>
      <c r="AQ1264" s="1"/>
      <c r="AX1264" s="1"/>
      <c r="BE1264" s="1"/>
    </row>
    <row r="1265" spans="1:57" x14ac:dyDescent="0.25">
      <c r="A1265" s="1"/>
      <c r="H1265" s="1"/>
      <c r="O1265" s="1"/>
      <c r="V1265" s="1"/>
      <c r="AC1265" s="1"/>
      <c r="AJ1265" s="1"/>
      <c r="AQ1265" s="1"/>
      <c r="AX1265" s="1"/>
      <c r="BE1265" s="1"/>
    </row>
    <row r="1266" spans="1:57" x14ac:dyDescent="0.25">
      <c r="A1266" s="1"/>
      <c r="H1266" s="1"/>
      <c r="O1266" s="1"/>
      <c r="V1266" s="1"/>
      <c r="AC1266" s="1"/>
      <c r="AJ1266" s="1"/>
      <c r="AQ1266" s="1"/>
      <c r="AX1266" s="1"/>
      <c r="BE1266" s="1"/>
    </row>
    <row r="1267" spans="1:57" x14ac:dyDescent="0.25">
      <c r="A1267" s="1"/>
      <c r="H1267" s="1"/>
      <c r="O1267" s="1"/>
      <c r="V1267" s="1"/>
      <c r="AC1267" s="1"/>
      <c r="AJ1267" s="1"/>
      <c r="AQ1267" s="1"/>
      <c r="AX1267" s="1"/>
      <c r="BE1267" s="1"/>
    </row>
    <row r="1268" spans="1:57" x14ac:dyDescent="0.25">
      <c r="A1268" s="1"/>
      <c r="H1268" s="1"/>
      <c r="O1268" s="1"/>
      <c r="V1268" s="1"/>
      <c r="AC1268" s="1"/>
      <c r="AJ1268" s="1"/>
      <c r="AQ1268" s="1"/>
      <c r="AX1268" s="1"/>
      <c r="BE1268" s="1"/>
    </row>
    <row r="1269" spans="1:57" x14ac:dyDescent="0.25">
      <c r="A1269" s="1"/>
      <c r="H1269" s="1"/>
      <c r="O1269" s="1"/>
      <c r="V1269" s="1"/>
      <c r="AC1269" s="1"/>
      <c r="AJ1269" s="1"/>
      <c r="AQ1269" s="1"/>
      <c r="AX1269" s="1"/>
      <c r="BE1269" s="1"/>
    </row>
    <row r="1270" spans="1:57" x14ac:dyDescent="0.25">
      <c r="A1270" s="1"/>
      <c r="H1270" s="1"/>
      <c r="O1270" s="1"/>
      <c r="V1270" s="1"/>
      <c r="AC1270" s="1"/>
      <c r="AJ1270" s="1"/>
      <c r="AQ1270" s="1"/>
      <c r="AX1270" s="1"/>
      <c r="BE1270" s="1"/>
    </row>
    <row r="1271" spans="1:57" x14ac:dyDescent="0.25">
      <c r="A1271" s="1"/>
      <c r="H1271" s="1"/>
      <c r="O1271" s="1"/>
      <c r="V1271" s="1"/>
      <c r="AC1271" s="1"/>
      <c r="AJ1271" s="1"/>
      <c r="AQ1271" s="1"/>
      <c r="AX1271" s="1"/>
      <c r="BE1271" s="1"/>
    </row>
    <row r="1272" spans="1:57" x14ac:dyDescent="0.25">
      <c r="A1272" s="1"/>
      <c r="H1272" s="1"/>
      <c r="O1272" s="1"/>
      <c r="V1272" s="1"/>
      <c r="AC1272" s="1"/>
      <c r="AJ1272" s="1"/>
      <c r="AQ1272" s="1"/>
      <c r="AX1272" s="1"/>
      <c r="BE1272" s="1"/>
    </row>
    <row r="1273" spans="1:57" x14ac:dyDescent="0.25">
      <c r="A1273" s="1"/>
      <c r="H1273" s="1"/>
      <c r="O1273" s="1"/>
      <c r="V1273" s="1"/>
      <c r="AC1273" s="1"/>
      <c r="AJ1273" s="1"/>
      <c r="AQ1273" s="1"/>
      <c r="AX1273" s="1"/>
      <c r="BE1273" s="1"/>
    </row>
    <row r="1274" spans="1:57" x14ac:dyDescent="0.25">
      <c r="A1274" s="1"/>
      <c r="H1274" s="1"/>
      <c r="O1274" s="1"/>
      <c r="V1274" s="1"/>
      <c r="AC1274" s="1"/>
      <c r="AJ1274" s="1"/>
      <c r="AQ1274" s="1"/>
      <c r="AX1274" s="1"/>
      <c r="BE1274" s="1"/>
    </row>
    <row r="1275" spans="1:57" x14ac:dyDescent="0.25">
      <c r="A1275" s="1"/>
      <c r="H1275" s="1"/>
      <c r="O1275" s="1"/>
      <c r="V1275" s="1"/>
      <c r="AC1275" s="1"/>
      <c r="AJ1275" s="1"/>
      <c r="AQ1275" s="1"/>
      <c r="AX1275" s="1"/>
      <c r="BE1275" s="1"/>
    </row>
    <row r="1276" spans="1:57" x14ac:dyDescent="0.25">
      <c r="A1276" s="1"/>
      <c r="H1276" s="1"/>
      <c r="O1276" s="1"/>
      <c r="V1276" s="1"/>
      <c r="AC1276" s="1"/>
      <c r="AJ1276" s="1"/>
      <c r="AQ1276" s="1"/>
      <c r="AX1276" s="1"/>
      <c r="BE1276" s="1"/>
    </row>
    <row r="1277" spans="1:57" x14ac:dyDescent="0.25">
      <c r="A1277" s="1"/>
      <c r="H1277" s="1"/>
      <c r="O1277" s="1"/>
      <c r="V1277" s="1"/>
      <c r="AC1277" s="1"/>
      <c r="AJ1277" s="1"/>
      <c r="AQ1277" s="1"/>
      <c r="AX1277" s="1"/>
      <c r="BE1277" s="1"/>
    </row>
    <row r="1278" spans="1:57" x14ac:dyDescent="0.25">
      <c r="A1278" s="1"/>
      <c r="H1278" s="1"/>
      <c r="O1278" s="1"/>
      <c r="V1278" s="1"/>
      <c r="AC1278" s="1"/>
      <c r="AJ1278" s="1"/>
      <c r="AQ1278" s="1"/>
      <c r="AX1278" s="1"/>
      <c r="BE1278" s="1"/>
    </row>
    <row r="1279" spans="1:57" x14ac:dyDescent="0.25">
      <c r="A1279" s="1"/>
      <c r="H1279" s="1"/>
      <c r="O1279" s="1"/>
      <c r="V1279" s="1"/>
      <c r="AC1279" s="1"/>
      <c r="AJ1279" s="1"/>
      <c r="AQ1279" s="1"/>
      <c r="AX1279" s="1"/>
      <c r="BE1279" s="1"/>
    </row>
    <row r="1280" spans="1:57" x14ac:dyDescent="0.25">
      <c r="A1280" s="1"/>
      <c r="H1280" s="1"/>
      <c r="O1280" s="1"/>
      <c r="V1280" s="1"/>
      <c r="AC1280" s="1"/>
      <c r="AJ1280" s="1"/>
      <c r="AQ1280" s="1"/>
      <c r="AX1280" s="1"/>
      <c r="BE1280" s="1"/>
    </row>
    <row r="1281" spans="1:57" x14ac:dyDescent="0.25">
      <c r="A1281" s="1"/>
      <c r="H1281" s="1"/>
      <c r="O1281" s="1"/>
      <c r="V1281" s="1"/>
      <c r="AC1281" s="1"/>
      <c r="AJ1281" s="1"/>
      <c r="AQ1281" s="1"/>
      <c r="AX1281" s="1"/>
      <c r="BE1281" s="1"/>
    </row>
    <row r="1282" spans="1:57" x14ac:dyDescent="0.25">
      <c r="A1282" s="1"/>
      <c r="H1282" s="1"/>
      <c r="O1282" s="1"/>
      <c r="V1282" s="1"/>
      <c r="AC1282" s="1"/>
      <c r="AJ1282" s="1"/>
      <c r="AQ1282" s="1"/>
      <c r="AX1282" s="1"/>
      <c r="BE1282" s="1"/>
    </row>
    <row r="1283" spans="1:57" x14ac:dyDescent="0.25">
      <c r="A1283" s="1"/>
      <c r="H1283" s="1"/>
      <c r="O1283" s="1"/>
      <c r="V1283" s="1"/>
      <c r="AC1283" s="1"/>
      <c r="AJ1283" s="1"/>
      <c r="AQ1283" s="1"/>
      <c r="AX1283" s="1"/>
      <c r="BE1283" s="1"/>
    </row>
    <row r="1284" spans="1:57" x14ac:dyDescent="0.25">
      <c r="A1284" s="1"/>
      <c r="H1284" s="1"/>
      <c r="O1284" s="1"/>
      <c r="V1284" s="1"/>
      <c r="AC1284" s="1"/>
      <c r="AJ1284" s="1"/>
      <c r="AQ1284" s="1"/>
      <c r="AX1284" s="1"/>
      <c r="BE1284" s="1"/>
    </row>
    <row r="1285" spans="1:57" x14ac:dyDescent="0.25">
      <c r="A1285" s="1"/>
      <c r="H1285" s="1"/>
      <c r="O1285" s="1"/>
      <c r="V1285" s="1"/>
      <c r="AC1285" s="1"/>
      <c r="AJ1285" s="1"/>
      <c r="AQ1285" s="1"/>
      <c r="AX1285" s="1"/>
      <c r="BE1285" s="1"/>
    </row>
    <row r="1286" spans="1:57" x14ac:dyDescent="0.25">
      <c r="A1286" s="1"/>
      <c r="H1286" s="1"/>
      <c r="O1286" s="1"/>
      <c r="V1286" s="1"/>
      <c r="AC1286" s="1"/>
      <c r="AJ1286" s="1"/>
      <c r="AQ1286" s="1"/>
      <c r="AX1286" s="1"/>
      <c r="BE1286" s="1"/>
    </row>
    <row r="1287" spans="1:57" x14ac:dyDescent="0.25">
      <c r="A1287" s="1"/>
      <c r="H1287" s="1"/>
      <c r="O1287" s="1"/>
      <c r="V1287" s="1"/>
      <c r="AC1287" s="1"/>
      <c r="AJ1287" s="1"/>
      <c r="AQ1287" s="1"/>
      <c r="AX1287" s="1"/>
      <c r="BE1287" s="1"/>
    </row>
    <row r="1288" spans="1:57" x14ac:dyDescent="0.25">
      <c r="A1288" s="1"/>
      <c r="H1288" s="1"/>
      <c r="O1288" s="1"/>
      <c r="V1288" s="1"/>
      <c r="AC1288" s="1"/>
      <c r="AJ1288" s="1"/>
      <c r="AQ1288" s="1"/>
      <c r="AX1288" s="1"/>
      <c r="BE1288" s="1"/>
    </row>
    <row r="1289" spans="1:57" x14ac:dyDescent="0.25">
      <c r="A1289" s="1"/>
      <c r="H1289" s="1"/>
      <c r="O1289" s="1"/>
      <c r="V1289" s="1"/>
      <c r="AC1289" s="1"/>
      <c r="AJ1289" s="1"/>
      <c r="AQ1289" s="1"/>
      <c r="AX1289" s="1"/>
      <c r="BE1289" s="1"/>
    </row>
    <row r="1290" spans="1:57" x14ac:dyDescent="0.25">
      <c r="A1290" s="1"/>
      <c r="H1290" s="1"/>
      <c r="O1290" s="1"/>
      <c r="V1290" s="1"/>
      <c r="AC1290" s="1"/>
      <c r="AJ1290" s="1"/>
      <c r="AQ1290" s="1"/>
      <c r="AX1290" s="1"/>
      <c r="BE1290" s="1"/>
    </row>
    <row r="1291" spans="1:57" x14ac:dyDescent="0.25">
      <c r="A1291" s="1"/>
      <c r="H1291" s="1"/>
      <c r="O1291" s="1"/>
      <c r="V1291" s="1"/>
      <c r="AC1291" s="1"/>
      <c r="AJ1291" s="1"/>
      <c r="AQ1291" s="1"/>
      <c r="AX1291" s="1"/>
      <c r="BE1291" s="1"/>
    </row>
    <row r="1292" spans="1:57" x14ac:dyDescent="0.25">
      <c r="A1292" s="1"/>
      <c r="H1292" s="1"/>
      <c r="O1292" s="1"/>
      <c r="V1292" s="1"/>
      <c r="AC1292" s="1"/>
      <c r="AJ1292" s="1"/>
      <c r="AQ1292" s="1"/>
      <c r="AX1292" s="1"/>
      <c r="BE1292" s="1"/>
    </row>
    <row r="1293" spans="1:57" x14ac:dyDescent="0.25">
      <c r="A1293" s="1"/>
      <c r="H1293" s="1"/>
      <c r="O1293" s="1"/>
      <c r="V1293" s="1"/>
      <c r="AC1293" s="1"/>
      <c r="AJ1293" s="1"/>
      <c r="AQ1293" s="1"/>
      <c r="AX1293" s="1"/>
      <c r="BE1293" s="1"/>
    </row>
    <row r="1294" spans="1:57" x14ac:dyDescent="0.25">
      <c r="A1294" s="1"/>
      <c r="H1294" s="1"/>
      <c r="O1294" s="1"/>
      <c r="V1294" s="1"/>
      <c r="AC1294" s="1"/>
      <c r="AJ1294" s="1"/>
      <c r="AQ1294" s="1"/>
      <c r="AX1294" s="1"/>
      <c r="BE1294" s="1"/>
    </row>
    <row r="1295" spans="1:57" x14ac:dyDescent="0.25">
      <c r="A1295" s="1"/>
      <c r="H1295" s="1"/>
      <c r="O1295" s="1"/>
      <c r="V1295" s="1"/>
      <c r="AC1295" s="1"/>
      <c r="AJ1295" s="1"/>
      <c r="AQ1295" s="1"/>
      <c r="AX1295" s="1"/>
      <c r="BE1295" s="1"/>
    </row>
    <row r="1296" spans="1:57" x14ac:dyDescent="0.25">
      <c r="A1296" s="1"/>
      <c r="H1296" s="1"/>
      <c r="O1296" s="1"/>
      <c r="V1296" s="1"/>
      <c r="AC1296" s="1"/>
      <c r="AJ1296" s="1"/>
      <c r="AQ1296" s="1"/>
      <c r="AX1296" s="1"/>
      <c r="BE1296" s="1"/>
    </row>
    <row r="1297" spans="1:57" x14ac:dyDescent="0.25">
      <c r="A1297" s="1"/>
      <c r="H1297" s="1"/>
      <c r="O1297" s="1"/>
      <c r="V1297" s="1"/>
      <c r="AC1297" s="1"/>
      <c r="AJ1297" s="1"/>
      <c r="AQ1297" s="1"/>
      <c r="AX1297" s="1"/>
      <c r="BE1297" s="1"/>
    </row>
    <row r="1298" spans="1:57" x14ac:dyDescent="0.25">
      <c r="A1298" s="1"/>
      <c r="H1298" s="1"/>
      <c r="O1298" s="1"/>
      <c r="V1298" s="1"/>
      <c r="AC1298" s="1"/>
      <c r="AJ1298" s="1"/>
      <c r="AQ1298" s="1"/>
      <c r="AX1298" s="1"/>
      <c r="BE1298" s="1"/>
    </row>
    <row r="1299" spans="1:57" x14ac:dyDescent="0.25">
      <c r="A1299" s="1"/>
      <c r="H1299" s="1"/>
      <c r="O1299" s="1"/>
      <c r="V1299" s="1"/>
      <c r="AC1299" s="1"/>
      <c r="AJ1299" s="1"/>
      <c r="AQ1299" s="1"/>
      <c r="AX1299" s="1"/>
      <c r="BE1299" s="1"/>
    </row>
    <row r="1300" spans="1:57" x14ac:dyDescent="0.25">
      <c r="A1300" s="1"/>
      <c r="H1300" s="1"/>
      <c r="O1300" s="1"/>
      <c r="V1300" s="1"/>
      <c r="AC1300" s="1"/>
      <c r="AJ1300" s="1"/>
      <c r="AQ1300" s="1"/>
      <c r="AX1300" s="1"/>
      <c r="BE1300" s="1"/>
    </row>
    <row r="1301" spans="1:57" x14ac:dyDescent="0.25">
      <c r="A1301" s="1"/>
      <c r="H1301" s="1"/>
      <c r="O1301" s="1"/>
      <c r="V1301" s="1"/>
      <c r="AC1301" s="1"/>
      <c r="AJ1301" s="1"/>
      <c r="AQ1301" s="1"/>
      <c r="AX1301" s="1"/>
      <c r="BE1301" s="1"/>
    </row>
    <row r="1302" spans="1:57" x14ac:dyDescent="0.25">
      <c r="A1302" s="1"/>
      <c r="H1302" s="1"/>
      <c r="O1302" s="1"/>
      <c r="V1302" s="1"/>
      <c r="AC1302" s="1"/>
      <c r="AJ1302" s="1"/>
      <c r="AQ1302" s="1"/>
      <c r="AX1302" s="1"/>
      <c r="BE1302" s="1"/>
    </row>
    <row r="1303" spans="1:57" x14ac:dyDescent="0.25">
      <c r="A1303" s="1"/>
      <c r="H1303" s="1"/>
      <c r="O1303" s="1"/>
      <c r="V1303" s="1"/>
      <c r="AC1303" s="1"/>
      <c r="AJ1303" s="1"/>
      <c r="AQ1303" s="1"/>
      <c r="AX1303" s="1"/>
      <c r="BE1303" s="1"/>
    </row>
    <row r="1304" spans="1:57" x14ac:dyDescent="0.25">
      <c r="A1304" s="1"/>
      <c r="H1304" s="1"/>
      <c r="O1304" s="1"/>
      <c r="V1304" s="1"/>
      <c r="AC1304" s="1"/>
      <c r="AJ1304" s="1"/>
      <c r="AQ1304" s="1"/>
      <c r="AX1304" s="1"/>
      <c r="BE1304" s="1"/>
    </row>
    <row r="1305" spans="1:57" x14ac:dyDescent="0.25">
      <c r="A1305" s="1"/>
      <c r="H1305" s="1"/>
      <c r="O1305" s="1"/>
      <c r="V1305" s="1"/>
      <c r="AC1305" s="1"/>
      <c r="AJ1305" s="1"/>
      <c r="AQ1305" s="1"/>
      <c r="AX1305" s="1"/>
      <c r="BE1305" s="1"/>
    </row>
    <row r="1306" spans="1:57" x14ac:dyDescent="0.25">
      <c r="A1306" s="1"/>
      <c r="H1306" s="1"/>
      <c r="O1306" s="1"/>
      <c r="V1306" s="1"/>
      <c r="AC1306" s="1"/>
      <c r="AJ1306" s="1"/>
      <c r="AQ1306" s="1"/>
      <c r="AX1306" s="1"/>
      <c r="BE1306" s="1"/>
    </row>
    <row r="1307" spans="1:57" x14ac:dyDescent="0.25">
      <c r="A1307" s="1"/>
      <c r="H1307" s="1"/>
      <c r="O1307" s="1"/>
      <c r="V1307" s="1"/>
      <c r="AC1307" s="1"/>
      <c r="AJ1307" s="1"/>
      <c r="AQ1307" s="1"/>
      <c r="AX1307" s="1"/>
      <c r="BE1307" s="1"/>
    </row>
    <row r="1308" spans="1:57" x14ac:dyDescent="0.25">
      <c r="A1308" s="1"/>
      <c r="H1308" s="1"/>
      <c r="O1308" s="1"/>
      <c r="V1308" s="1"/>
      <c r="AC1308" s="1"/>
      <c r="AJ1308" s="1"/>
      <c r="AQ1308" s="1"/>
      <c r="AX1308" s="1"/>
      <c r="BE1308" s="1"/>
    </row>
    <row r="1309" spans="1:57" x14ac:dyDescent="0.25">
      <c r="A1309" s="1"/>
      <c r="H1309" s="1"/>
      <c r="O1309" s="1"/>
      <c r="V1309" s="1"/>
      <c r="AC1309" s="1"/>
      <c r="AJ1309" s="1"/>
      <c r="AQ1309" s="1"/>
      <c r="AX1309" s="1"/>
      <c r="BE1309" s="1"/>
    </row>
    <row r="1310" spans="1:57" x14ac:dyDescent="0.25">
      <c r="A1310" s="1"/>
      <c r="H1310" s="1"/>
      <c r="O1310" s="1"/>
      <c r="V1310" s="1"/>
      <c r="AC1310" s="1"/>
      <c r="AJ1310" s="1"/>
      <c r="AQ1310" s="1"/>
      <c r="AX1310" s="1"/>
      <c r="BE1310" s="1"/>
    </row>
    <row r="1311" spans="1:57" x14ac:dyDescent="0.25">
      <c r="A1311" s="1"/>
      <c r="H1311" s="1"/>
      <c r="O1311" s="1"/>
      <c r="V1311" s="1"/>
      <c r="AC1311" s="1"/>
      <c r="AJ1311" s="1"/>
      <c r="AQ1311" s="1"/>
      <c r="AX1311" s="1"/>
      <c r="BE1311" s="1"/>
    </row>
    <row r="1312" spans="1:57" x14ac:dyDescent="0.25">
      <c r="A1312" s="1"/>
      <c r="H1312" s="1"/>
      <c r="O1312" s="1"/>
      <c r="V1312" s="1"/>
      <c r="AC1312" s="1"/>
      <c r="AJ1312" s="1"/>
      <c r="AQ1312" s="1"/>
      <c r="AX1312" s="1"/>
      <c r="BE1312" s="1"/>
    </row>
    <row r="1313" spans="1:57" x14ac:dyDescent="0.25">
      <c r="A1313" s="1"/>
      <c r="H1313" s="1"/>
      <c r="O1313" s="1"/>
      <c r="V1313" s="1"/>
      <c r="AC1313" s="1"/>
      <c r="AJ1313" s="1"/>
      <c r="AQ1313" s="1"/>
      <c r="AX1313" s="1"/>
      <c r="BE1313" s="1"/>
    </row>
    <row r="1314" spans="1:57" x14ac:dyDescent="0.25">
      <c r="A1314" s="1"/>
      <c r="H1314" s="1"/>
      <c r="O1314" s="1"/>
      <c r="V1314" s="1"/>
      <c r="AC1314" s="1"/>
      <c r="AJ1314" s="1"/>
      <c r="AQ1314" s="1"/>
      <c r="AX1314" s="1"/>
      <c r="BE1314" s="1"/>
    </row>
    <row r="1315" spans="1:57" x14ac:dyDescent="0.25">
      <c r="A1315" s="1"/>
      <c r="H1315" s="1"/>
      <c r="O1315" s="1"/>
      <c r="V1315" s="1"/>
      <c r="AC1315" s="1"/>
      <c r="AJ1315" s="1"/>
      <c r="AQ1315" s="1"/>
      <c r="AX1315" s="1"/>
      <c r="BE1315" s="1"/>
    </row>
    <row r="1316" spans="1:57" x14ac:dyDescent="0.25">
      <c r="A1316" s="1"/>
      <c r="H1316" s="1"/>
      <c r="O1316" s="1"/>
      <c r="V1316" s="1"/>
      <c r="AC1316" s="1"/>
      <c r="AJ1316" s="1"/>
      <c r="AQ1316" s="1"/>
      <c r="AX1316" s="1"/>
      <c r="BE1316" s="1"/>
    </row>
    <row r="1317" spans="1:57" x14ac:dyDescent="0.25">
      <c r="A1317" s="1"/>
      <c r="H1317" s="1"/>
      <c r="O1317" s="1"/>
      <c r="V1317" s="1"/>
      <c r="AC1317" s="1"/>
      <c r="AJ1317" s="1"/>
      <c r="AQ1317" s="1"/>
      <c r="AX1317" s="1"/>
      <c r="BE1317" s="1"/>
    </row>
    <row r="1318" spans="1:57" x14ac:dyDescent="0.25">
      <c r="A1318" s="1"/>
      <c r="H1318" s="1"/>
      <c r="O1318" s="1"/>
      <c r="V1318" s="1"/>
      <c r="AC1318" s="1"/>
      <c r="AJ1318" s="1"/>
      <c r="AQ1318" s="1"/>
      <c r="AX1318" s="1"/>
      <c r="BE1318" s="1"/>
    </row>
    <row r="1319" spans="1:57" x14ac:dyDescent="0.25">
      <c r="A1319" s="1"/>
      <c r="H1319" s="1"/>
      <c r="O1319" s="1"/>
      <c r="V1319" s="1"/>
      <c r="AC1319" s="1"/>
      <c r="AJ1319" s="1"/>
      <c r="AQ1319" s="1"/>
      <c r="AX1319" s="1"/>
      <c r="BE1319" s="1"/>
    </row>
    <row r="1320" spans="1:57" x14ac:dyDescent="0.25">
      <c r="A1320" s="1"/>
      <c r="H1320" s="1"/>
      <c r="O1320" s="1"/>
      <c r="V1320" s="1"/>
      <c r="AC1320" s="1"/>
      <c r="AJ1320" s="1"/>
      <c r="AQ1320" s="1"/>
      <c r="AX1320" s="1"/>
      <c r="BE1320" s="1"/>
    </row>
    <row r="1321" spans="1:57" x14ac:dyDescent="0.25">
      <c r="A1321" s="1"/>
      <c r="H1321" s="1"/>
      <c r="O1321" s="1"/>
      <c r="V1321" s="1"/>
      <c r="AC1321" s="1"/>
      <c r="AJ1321" s="1"/>
      <c r="AQ1321" s="1"/>
      <c r="AX1321" s="1"/>
      <c r="BE1321" s="1"/>
    </row>
    <row r="1322" spans="1:57" x14ac:dyDescent="0.25">
      <c r="A1322" s="1"/>
      <c r="H1322" s="1"/>
      <c r="O1322" s="1"/>
      <c r="V1322" s="1"/>
      <c r="AC1322" s="1"/>
      <c r="AJ1322" s="1"/>
      <c r="AQ1322" s="1"/>
      <c r="AX1322" s="1"/>
      <c r="BE1322" s="1"/>
    </row>
    <row r="1323" spans="1:57" x14ac:dyDescent="0.25">
      <c r="A1323" s="1"/>
      <c r="H1323" s="1"/>
      <c r="O1323" s="1"/>
      <c r="V1323" s="1"/>
      <c r="AC1323" s="1"/>
      <c r="AJ1323" s="1"/>
      <c r="AQ1323" s="1"/>
      <c r="AX1323" s="1"/>
      <c r="BE1323" s="1"/>
    </row>
    <row r="1324" spans="1:57" x14ac:dyDescent="0.25">
      <c r="A1324" s="1"/>
      <c r="H1324" s="1"/>
      <c r="O1324" s="1"/>
      <c r="V1324" s="1"/>
      <c r="AC1324" s="1"/>
      <c r="AJ1324" s="1"/>
      <c r="AQ1324" s="1"/>
      <c r="AX1324" s="1"/>
      <c r="BE1324" s="1"/>
    </row>
    <row r="1325" spans="1:57" x14ac:dyDescent="0.25">
      <c r="A1325" s="1"/>
      <c r="H1325" s="1"/>
      <c r="O1325" s="1"/>
      <c r="V1325" s="1"/>
      <c r="AC1325" s="1"/>
      <c r="AJ1325" s="1"/>
      <c r="AQ1325" s="1"/>
      <c r="AX1325" s="1"/>
      <c r="BE1325" s="1"/>
    </row>
    <row r="1326" spans="1:57" x14ac:dyDescent="0.25">
      <c r="A1326" s="1"/>
      <c r="H1326" s="1"/>
      <c r="O1326" s="1"/>
      <c r="V1326" s="1"/>
      <c r="AC1326" s="1"/>
      <c r="AJ1326" s="1"/>
      <c r="AQ1326" s="1"/>
      <c r="AX1326" s="1"/>
      <c r="BE1326" s="1"/>
    </row>
    <row r="1327" spans="1:57" x14ac:dyDescent="0.25">
      <c r="A1327" s="1"/>
      <c r="H1327" s="1"/>
      <c r="O1327" s="1"/>
      <c r="V1327" s="1"/>
      <c r="AC1327" s="1"/>
      <c r="AJ1327" s="1"/>
      <c r="AQ1327" s="1"/>
      <c r="AX1327" s="1"/>
      <c r="BE1327" s="1"/>
    </row>
    <row r="1328" spans="1:57" x14ac:dyDescent="0.25">
      <c r="A1328" s="1"/>
      <c r="H1328" s="1"/>
      <c r="O1328" s="1"/>
      <c r="V1328" s="1"/>
      <c r="AC1328" s="1"/>
      <c r="AJ1328" s="1"/>
      <c r="AQ1328" s="1"/>
      <c r="AX1328" s="1"/>
      <c r="BE1328" s="1"/>
    </row>
    <row r="1329" spans="1:57" x14ac:dyDescent="0.25">
      <c r="A1329" s="1"/>
      <c r="H1329" s="1"/>
      <c r="O1329" s="1"/>
      <c r="V1329" s="1"/>
      <c r="AC1329" s="1"/>
      <c r="AJ1329" s="1"/>
      <c r="AQ1329" s="1"/>
      <c r="AX1329" s="1"/>
      <c r="BE1329" s="1"/>
    </row>
    <row r="1330" spans="1:57" x14ac:dyDescent="0.25">
      <c r="A1330" s="1"/>
      <c r="H1330" s="1"/>
      <c r="O1330" s="1"/>
      <c r="V1330" s="1"/>
      <c r="AC1330" s="1"/>
      <c r="AJ1330" s="1"/>
      <c r="AQ1330" s="1"/>
      <c r="AX1330" s="1"/>
      <c r="BE1330" s="1"/>
    </row>
    <row r="1331" spans="1:57" x14ac:dyDescent="0.25">
      <c r="A1331" s="1"/>
      <c r="H1331" s="1"/>
      <c r="O1331" s="1"/>
      <c r="V1331" s="1"/>
      <c r="AC1331" s="1"/>
      <c r="AJ1331" s="1"/>
      <c r="AQ1331" s="1"/>
      <c r="AX1331" s="1"/>
      <c r="BE1331" s="1"/>
    </row>
    <row r="1332" spans="1:57" x14ac:dyDescent="0.25">
      <c r="A1332" s="1"/>
      <c r="H1332" s="1"/>
      <c r="O1332" s="1"/>
      <c r="V1332" s="1"/>
      <c r="AC1332" s="1"/>
      <c r="AJ1332" s="1"/>
      <c r="AQ1332" s="1"/>
      <c r="AX1332" s="1"/>
      <c r="BE1332" s="1"/>
    </row>
    <row r="1333" spans="1:57" x14ac:dyDescent="0.25">
      <c r="A1333" s="1"/>
      <c r="H1333" s="1"/>
      <c r="O1333" s="1"/>
      <c r="V1333" s="1"/>
      <c r="AC1333" s="1"/>
      <c r="AJ1333" s="1"/>
      <c r="AQ1333" s="1"/>
      <c r="AX1333" s="1"/>
      <c r="BE1333" s="1"/>
    </row>
    <row r="1334" spans="1:57" x14ac:dyDescent="0.25">
      <c r="A1334" s="1"/>
      <c r="H1334" s="1"/>
      <c r="O1334" s="1"/>
      <c r="V1334" s="1"/>
      <c r="AC1334" s="1"/>
      <c r="AJ1334" s="1"/>
      <c r="AQ1334" s="1"/>
      <c r="AX1334" s="1"/>
      <c r="BE1334" s="1"/>
    </row>
    <row r="1335" spans="1:57" x14ac:dyDescent="0.25">
      <c r="A1335" s="1"/>
      <c r="H1335" s="1"/>
      <c r="O1335" s="1"/>
      <c r="V1335" s="1"/>
      <c r="AC1335" s="1"/>
      <c r="AJ1335" s="1"/>
      <c r="AQ1335" s="1"/>
      <c r="AX1335" s="1"/>
      <c r="BE1335" s="1"/>
    </row>
    <row r="1336" spans="1:57" x14ac:dyDescent="0.25">
      <c r="A1336" s="1"/>
      <c r="H1336" s="1"/>
      <c r="O1336" s="1"/>
      <c r="V1336" s="1"/>
      <c r="AC1336" s="1"/>
      <c r="AJ1336" s="1"/>
      <c r="AQ1336" s="1"/>
      <c r="AX1336" s="1"/>
      <c r="BE1336" s="1"/>
    </row>
    <row r="1337" spans="1:57" x14ac:dyDescent="0.25">
      <c r="A1337" s="1"/>
      <c r="H1337" s="1"/>
      <c r="O1337" s="1"/>
      <c r="V1337" s="1"/>
      <c r="AC1337" s="1"/>
      <c r="AJ1337" s="1"/>
      <c r="AQ1337" s="1"/>
      <c r="AX1337" s="1"/>
      <c r="BE1337" s="1"/>
    </row>
    <row r="1338" spans="1:57" x14ac:dyDescent="0.25">
      <c r="A1338" s="1"/>
      <c r="H1338" s="1"/>
      <c r="O1338" s="1"/>
      <c r="V1338" s="1"/>
      <c r="AC1338" s="1"/>
      <c r="AJ1338" s="1"/>
      <c r="AQ1338" s="1"/>
      <c r="AX1338" s="1"/>
      <c r="BE1338" s="1"/>
    </row>
    <row r="1339" spans="1:57" x14ac:dyDescent="0.25">
      <c r="A1339" s="1"/>
      <c r="H1339" s="1"/>
      <c r="O1339" s="1"/>
      <c r="V1339" s="1"/>
      <c r="AC1339" s="1"/>
      <c r="AJ1339" s="1"/>
      <c r="AQ1339" s="1"/>
      <c r="AX1339" s="1"/>
      <c r="BE1339" s="1"/>
    </row>
    <row r="1340" spans="1:57" x14ac:dyDescent="0.25">
      <c r="A1340" s="1"/>
      <c r="H1340" s="1"/>
      <c r="O1340" s="1"/>
      <c r="V1340" s="1"/>
      <c r="AC1340" s="1"/>
      <c r="AJ1340" s="1"/>
      <c r="AQ1340" s="1"/>
      <c r="AX1340" s="1"/>
      <c r="BE1340" s="1"/>
    </row>
    <row r="1341" spans="1:57" x14ac:dyDescent="0.25">
      <c r="A1341" s="1"/>
      <c r="H1341" s="1"/>
      <c r="O1341" s="1"/>
      <c r="V1341" s="1"/>
      <c r="AC1341" s="1"/>
      <c r="AJ1341" s="1"/>
      <c r="AQ1341" s="1"/>
      <c r="AX1341" s="1"/>
      <c r="BE1341" s="1"/>
    </row>
    <row r="1342" spans="1:57" x14ac:dyDescent="0.25">
      <c r="A1342" s="1"/>
      <c r="H1342" s="1"/>
      <c r="O1342" s="1"/>
      <c r="V1342" s="1"/>
      <c r="AC1342" s="1"/>
      <c r="AJ1342" s="1"/>
      <c r="AQ1342" s="1"/>
      <c r="AX1342" s="1"/>
      <c r="BE1342" s="1"/>
    </row>
    <row r="1343" spans="1:57" x14ac:dyDescent="0.25">
      <c r="A1343" s="1"/>
      <c r="H1343" s="1"/>
      <c r="O1343" s="1"/>
      <c r="V1343" s="1"/>
      <c r="AC1343" s="1"/>
      <c r="AJ1343" s="1"/>
      <c r="AQ1343" s="1"/>
      <c r="AX1343" s="1"/>
      <c r="BE1343" s="1"/>
    </row>
    <row r="1344" spans="1:57" x14ac:dyDescent="0.25">
      <c r="A1344" s="1"/>
      <c r="H1344" s="1"/>
      <c r="O1344" s="1"/>
      <c r="V1344" s="1"/>
      <c r="AC1344" s="1"/>
      <c r="AJ1344" s="1"/>
      <c r="AQ1344" s="1"/>
      <c r="AX1344" s="1"/>
      <c r="BE1344" s="1"/>
    </row>
    <row r="1345" spans="1:57" x14ac:dyDescent="0.25">
      <c r="A1345" s="1"/>
      <c r="H1345" s="1"/>
      <c r="O1345" s="1"/>
      <c r="V1345" s="1"/>
      <c r="AC1345" s="1"/>
      <c r="AJ1345" s="1"/>
      <c r="AQ1345" s="1"/>
      <c r="AX1345" s="1"/>
      <c r="BE1345" s="1"/>
    </row>
    <row r="1346" spans="1:57" x14ac:dyDescent="0.25">
      <c r="A1346" s="1"/>
      <c r="H1346" s="1"/>
      <c r="O1346" s="1"/>
      <c r="V1346" s="1"/>
      <c r="AC1346" s="1"/>
      <c r="AJ1346" s="1"/>
      <c r="AQ1346" s="1"/>
      <c r="AX1346" s="1"/>
      <c r="BE1346" s="1"/>
    </row>
    <row r="1347" spans="1:57" x14ac:dyDescent="0.25">
      <c r="A1347" s="1"/>
      <c r="H1347" s="1"/>
      <c r="O1347" s="1"/>
      <c r="V1347" s="1"/>
      <c r="AC1347" s="1"/>
      <c r="AJ1347" s="1"/>
      <c r="AQ1347" s="1"/>
      <c r="AX1347" s="1"/>
      <c r="BE1347" s="1"/>
    </row>
    <row r="1348" spans="1:57" x14ac:dyDescent="0.25">
      <c r="A1348" s="1"/>
      <c r="H1348" s="1"/>
      <c r="O1348" s="1"/>
      <c r="V1348" s="1"/>
      <c r="AC1348" s="1"/>
      <c r="AJ1348" s="1"/>
      <c r="AQ1348" s="1"/>
      <c r="AX1348" s="1"/>
      <c r="BE1348" s="1"/>
    </row>
    <row r="1349" spans="1:57" x14ac:dyDescent="0.25">
      <c r="A1349" s="1"/>
      <c r="H1349" s="1"/>
      <c r="O1349" s="1"/>
      <c r="V1349" s="1"/>
      <c r="AC1349" s="1"/>
      <c r="AJ1349" s="1"/>
      <c r="AQ1349" s="1"/>
      <c r="AX1349" s="1"/>
      <c r="BE1349" s="1"/>
    </row>
    <row r="1350" spans="1:57" x14ac:dyDescent="0.25">
      <c r="A1350" s="1"/>
      <c r="H1350" s="1"/>
      <c r="O1350" s="1"/>
      <c r="V1350" s="1"/>
      <c r="AC1350" s="1"/>
      <c r="AJ1350" s="1"/>
      <c r="AQ1350" s="1"/>
      <c r="AX1350" s="1"/>
      <c r="BE1350" s="1"/>
    </row>
    <row r="1351" spans="1:57" x14ac:dyDescent="0.25">
      <c r="A1351" s="1"/>
      <c r="H1351" s="1"/>
      <c r="O1351" s="1"/>
      <c r="V1351" s="1"/>
      <c r="AC1351" s="1"/>
      <c r="AJ1351" s="1"/>
      <c r="AQ1351" s="1"/>
      <c r="AX1351" s="1"/>
      <c r="BE1351" s="1"/>
    </row>
    <row r="1352" spans="1:57" x14ac:dyDescent="0.25">
      <c r="A1352" s="1"/>
      <c r="H1352" s="1"/>
      <c r="O1352" s="1"/>
      <c r="V1352" s="1"/>
      <c r="AC1352" s="1"/>
      <c r="AJ1352" s="1"/>
      <c r="AQ1352" s="1"/>
      <c r="AX1352" s="1"/>
      <c r="BE1352" s="1"/>
    </row>
    <row r="1353" spans="1:57" x14ac:dyDescent="0.25">
      <c r="A1353" s="1"/>
      <c r="H1353" s="1"/>
      <c r="O1353" s="1"/>
      <c r="V1353" s="1"/>
      <c r="AC1353" s="1"/>
      <c r="AJ1353" s="1"/>
      <c r="AQ1353" s="1"/>
      <c r="AX1353" s="1"/>
      <c r="BE1353" s="1"/>
    </row>
    <row r="1354" spans="1:57" x14ac:dyDescent="0.25">
      <c r="A1354" s="1"/>
      <c r="H1354" s="1"/>
      <c r="O1354" s="1"/>
      <c r="V1354" s="1"/>
      <c r="AC1354" s="1"/>
      <c r="AJ1354" s="1"/>
      <c r="AQ1354" s="1"/>
      <c r="AX1354" s="1"/>
      <c r="BE1354" s="1"/>
    </row>
    <row r="1355" spans="1:57" x14ac:dyDescent="0.25">
      <c r="A1355" s="1"/>
      <c r="H1355" s="1"/>
      <c r="O1355" s="1"/>
      <c r="V1355" s="1"/>
      <c r="AC1355" s="1"/>
      <c r="AJ1355" s="1"/>
      <c r="AQ1355" s="1"/>
      <c r="AX1355" s="1"/>
      <c r="BE1355" s="1"/>
    </row>
    <row r="1356" spans="1:57" x14ac:dyDescent="0.25">
      <c r="A1356" s="1"/>
      <c r="H1356" s="1"/>
      <c r="O1356" s="1"/>
      <c r="V1356" s="1"/>
      <c r="AC1356" s="1"/>
      <c r="AJ1356" s="1"/>
      <c r="AQ1356" s="1"/>
      <c r="AX1356" s="1"/>
      <c r="BE1356" s="1"/>
    </row>
    <row r="1357" spans="1:57" x14ac:dyDescent="0.25">
      <c r="A1357" s="1"/>
      <c r="H1357" s="1"/>
      <c r="O1357" s="1"/>
      <c r="V1357" s="1"/>
      <c r="AC1357" s="1"/>
      <c r="AJ1357" s="1"/>
      <c r="AQ1357" s="1"/>
      <c r="AX1357" s="1"/>
      <c r="BE1357" s="1"/>
    </row>
    <row r="1358" spans="1:57" x14ac:dyDescent="0.25">
      <c r="A1358" s="1"/>
      <c r="H1358" s="1"/>
      <c r="O1358" s="1"/>
      <c r="V1358" s="1"/>
      <c r="AC1358" s="1"/>
      <c r="AJ1358" s="1"/>
      <c r="AQ1358" s="1"/>
      <c r="AX1358" s="1"/>
      <c r="BE1358" s="1"/>
    </row>
    <row r="1359" spans="1:57" x14ac:dyDescent="0.25">
      <c r="A1359" s="1"/>
      <c r="H1359" s="1"/>
      <c r="O1359" s="1"/>
      <c r="V1359" s="1"/>
      <c r="AC1359" s="1"/>
      <c r="AJ1359" s="1"/>
      <c r="AQ1359" s="1"/>
      <c r="AX1359" s="1"/>
      <c r="BE1359" s="1"/>
    </row>
    <row r="1360" spans="1:57" x14ac:dyDescent="0.25">
      <c r="A1360" s="1"/>
      <c r="H1360" s="1"/>
      <c r="O1360" s="1"/>
      <c r="V1360" s="1"/>
      <c r="AC1360" s="1"/>
      <c r="AJ1360" s="1"/>
      <c r="AQ1360" s="1"/>
      <c r="AX1360" s="1"/>
      <c r="BE1360" s="1"/>
    </row>
    <row r="1361" spans="1:57" x14ac:dyDescent="0.25">
      <c r="A1361" s="1"/>
      <c r="H1361" s="1"/>
      <c r="O1361" s="1"/>
      <c r="V1361" s="1"/>
      <c r="AC1361" s="1"/>
      <c r="AJ1361" s="1"/>
      <c r="AQ1361" s="1"/>
      <c r="AX1361" s="1"/>
      <c r="BE1361" s="1"/>
    </row>
    <row r="1362" spans="1:57" x14ac:dyDescent="0.25">
      <c r="A1362" s="1"/>
      <c r="H1362" s="1"/>
      <c r="O1362" s="1"/>
      <c r="V1362" s="1"/>
      <c r="AC1362" s="1"/>
      <c r="AJ1362" s="1"/>
      <c r="AQ1362" s="1"/>
      <c r="AX1362" s="1"/>
      <c r="BE1362" s="1"/>
    </row>
    <row r="1363" spans="1:57" x14ac:dyDescent="0.25">
      <c r="A1363" s="1"/>
      <c r="H1363" s="1"/>
      <c r="O1363" s="1"/>
      <c r="V1363" s="1"/>
      <c r="AC1363" s="1"/>
      <c r="AJ1363" s="1"/>
      <c r="AQ1363" s="1"/>
      <c r="AX1363" s="1"/>
      <c r="BE1363" s="1"/>
    </row>
    <row r="1364" spans="1:57" x14ac:dyDescent="0.25">
      <c r="A1364" s="1"/>
      <c r="H1364" s="1"/>
      <c r="O1364" s="1"/>
      <c r="V1364" s="1"/>
      <c r="AC1364" s="1"/>
      <c r="AJ1364" s="1"/>
      <c r="AQ1364" s="1"/>
      <c r="AX1364" s="1"/>
      <c r="BE1364" s="1"/>
    </row>
    <row r="1365" spans="1:57" x14ac:dyDescent="0.25">
      <c r="A1365" s="1"/>
      <c r="H1365" s="1"/>
      <c r="O1365" s="1"/>
      <c r="V1365" s="1"/>
      <c r="AC1365" s="1"/>
      <c r="AJ1365" s="1"/>
      <c r="AQ1365" s="1"/>
      <c r="AX1365" s="1"/>
      <c r="BE1365" s="1"/>
    </row>
    <row r="1366" spans="1:57" x14ac:dyDescent="0.25">
      <c r="A1366" s="1"/>
      <c r="H1366" s="1"/>
      <c r="O1366" s="1"/>
      <c r="V1366" s="1"/>
      <c r="AC1366" s="1"/>
      <c r="AJ1366" s="1"/>
      <c r="AQ1366" s="1"/>
      <c r="AX1366" s="1"/>
      <c r="BE1366" s="1"/>
    </row>
    <row r="1367" spans="1:57" x14ac:dyDescent="0.25">
      <c r="A1367" s="1"/>
      <c r="H1367" s="1"/>
      <c r="O1367" s="1"/>
      <c r="V1367" s="1"/>
      <c r="AC1367" s="1"/>
      <c r="AJ1367" s="1"/>
      <c r="AQ1367" s="1"/>
      <c r="AX1367" s="1"/>
      <c r="BE1367" s="1"/>
    </row>
    <row r="1368" spans="1:57" x14ac:dyDescent="0.25">
      <c r="A1368" s="1"/>
      <c r="H1368" s="1"/>
      <c r="O1368" s="1"/>
      <c r="V1368" s="1"/>
      <c r="AC1368" s="1"/>
      <c r="AJ1368" s="1"/>
      <c r="AQ1368" s="1"/>
      <c r="AX1368" s="1"/>
      <c r="BE1368" s="1"/>
    </row>
    <row r="1369" spans="1:57" x14ac:dyDescent="0.25">
      <c r="A1369" s="1"/>
      <c r="H1369" s="1"/>
      <c r="O1369" s="1"/>
      <c r="V1369" s="1"/>
      <c r="AC1369" s="1"/>
      <c r="AJ1369" s="1"/>
      <c r="AQ1369" s="1"/>
      <c r="AX1369" s="1"/>
      <c r="BE1369" s="1"/>
    </row>
    <row r="1370" spans="1:57" x14ac:dyDescent="0.25">
      <c r="A1370" s="1"/>
      <c r="H1370" s="1"/>
      <c r="O1370" s="1"/>
      <c r="V1370" s="1"/>
      <c r="AC1370" s="1"/>
      <c r="AJ1370" s="1"/>
      <c r="AQ1370" s="1"/>
      <c r="AX1370" s="1"/>
      <c r="BE1370" s="1"/>
    </row>
    <row r="1371" spans="1:57" x14ac:dyDescent="0.25">
      <c r="A1371" s="1"/>
      <c r="H1371" s="1"/>
      <c r="O1371" s="1"/>
      <c r="V1371" s="1"/>
      <c r="AC1371" s="1"/>
      <c r="AJ1371" s="1"/>
      <c r="AQ1371" s="1"/>
      <c r="AX1371" s="1"/>
      <c r="BE1371" s="1"/>
    </row>
    <row r="1372" spans="1:57" x14ac:dyDescent="0.25">
      <c r="A1372" s="1"/>
      <c r="H1372" s="1"/>
      <c r="O1372" s="1"/>
      <c r="V1372" s="1"/>
      <c r="AC1372" s="1"/>
      <c r="AJ1372" s="1"/>
      <c r="AQ1372" s="1"/>
      <c r="AX1372" s="1"/>
      <c r="BE1372" s="1"/>
    </row>
    <row r="1373" spans="1:57" x14ac:dyDescent="0.25">
      <c r="A1373" s="1"/>
      <c r="H1373" s="1"/>
      <c r="O1373" s="1"/>
      <c r="V1373" s="1"/>
      <c r="AC1373" s="1"/>
      <c r="AJ1373" s="1"/>
      <c r="AQ1373" s="1"/>
      <c r="AX1373" s="1"/>
      <c r="BE1373" s="1"/>
    </row>
    <row r="1374" spans="1:57" x14ac:dyDescent="0.25">
      <c r="A1374" s="1"/>
      <c r="H1374" s="1"/>
      <c r="O1374" s="1"/>
      <c r="V1374" s="1"/>
      <c r="AC1374" s="1"/>
      <c r="AJ1374" s="1"/>
      <c r="AQ1374" s="1"/>
      <c r="AX1374" s="1"/>
      <c r="BE1374" s="1"/>
    </row>
    <row r="1375" spans="1:57" x14ac:dyDescent="0.25">
      <c r="A1375" s="1"/>
      <c r="H1375" s="1"/>
      <c r="O1375" s="1"/>
      <c r="V1375" s="1"/>
      <c r="AC1375" s="1"/>
      <c r="AJ1375" s="1"/>
      <c r="AQ1375" s="1"/>
      <c r="AX1375" s="1"/>
      <c r="BE1375" s="1"/>
    </row>
    <row r="1376" spans="1:57" x14ac:dyDescent="0.25">
      <c r="A1376" s="1"/>
      <c r="H1376" s="1"/>
      <c r="O1376" s="1"/>
      <c r="V1376" s="1"/>
      <c r="AC1376" s="1"/>
      <c r="AJ1376" s="1"/>
      <c r="AQ1376" s="1"/>
      <c r="AX1376" s="1"/>
      <c r="BE1376" s="1"/>
    </row>
    <row r="1377" spans="1:57" x14ac:dyDescent="0.25">
      <c r="A1377" s="1"/>
      <c r="H1377" s="1"/>
      <c r="O1377" s="1"/>
      <c r="V1377" s="1"/>
      <c r="AC1377" s="1"/>
      <c r="AJ1377" s="1"/>
      <c r="AQ1377" s="1"/>
      <c r="AX1377" s="1"/>
      <c r="BE1377" s="1"/>
    </row>
    <row r="1378" spans="1:57" x14ac:dyDescent="0.25">
      <c r="A1378" s="1"/>
      <c r="H1378" s="1"/>
      <c r="O1378" s="1"/>
      <c r="V1378" s="1"/>
      <c r="AC1378" s="1"/>
      <c r="AJ1378" s="1"/>
      <c r="AQ1378" s="1"/>
      <c r="AX1378" s="1"/>
      <c r="BE1378" s="1"/>
    </row>
    <row r="1379" spans="1:57" x14ac:dyDescent="0.25">
      <c r="A1379" s="1"/>
      <c r="H1379" s="1"/>
      <c r="O1379" s="1"/>
      <c r="V1379" s="1"/>
      <c r="AC1379" s="1"/>
      <c r="AJ1379" s="1"/>
      <c r="AQ1379" s="1"/>
      <c r="AX1379" s="1"/>
      <c r="BE1379" s="1"/>
    </row>
    <row r="1380" spans="1:57" x14ac:dyDescent="0.25">
      <c r="A1380" s="1"/>
      <c r="H1380" s="1"/>
      <c r="O1380" s="1"/>
      <c r="V1380" s="1"/>
      <c r="AC1380" s="1"/>
      <c r="AJ1380" s="1"/>
      <c r="AQ1380" s="1"/>
      <c r="AX1380" s="1"/>
      <c r="BE1380" s="1"/>
    </row>
    <row r="1381" spans="1:57" x14ac:dyDescent="0.25">
      <c r="A1381" s="1"/>
      <c r="H1381" s="1"/>
      <c r="O1381" s="1"/>
      <c r="V1381" s="1"/>
      <c r="AC1381" s="1"/>
      <c r="AJ1381" s="1"/>
      <c r="AQ1381" s="1"/>
      <c r="AX1381" s="1"/>
      <c r="BE1381" s="1"/>
    </row>
    <row r="1382" spans="1:57" x14ac:dyDescent="0.25">
      <c r="A1382" s="1"/>
      <c r="H1382" s="1"/>
      <c r="O1382" s="1"/>
      <c r="V1382" s="1"/>
      <c r="AC1382" s="1"/>
      <c r="AJ1382" s="1"/>
      <c r="AQ1382" s="1"/>
      <c r="AX1382" s="1"/>
      <c r="BE1382" s="1"/>
    </row>
    <row r="1383" spans="1:57" x14ac:dyDescent="0.25">
      <c r="A1383" s="1"/>
      <c r="H1383" s="1"/>
      <c r="O1383" s="1"/>
      <c r="V1383" s="1"/>
      <c r="AC1383" s="1"/>
      <c r="AJ1383" s="1"/>
      <c r="AQ1383" s="1"/>
      <c r="AX1383" s="1"/>
      <c r="BE1383" s="1"/>
    </row>
    <row r="1384" spans="1:57" x14ac:dyDescent="0.25">
      <c r="A1384" s="1"/>
      <c r="H1384" s="1"/>
      <c r="O1384" s="1"/>
      <c r="V1384" s="1"/>
      <c r="AC1384" s="1"/>
      <c r="AJ1384" s="1"/>
      <c r="AQ1384" s="1"/>
      <c r="AX1384" s="1"/>
      <c r="BE1384" s="1"/>
    </row>
    <row r="1385" spans="1:57" x14ac:dyDescent="0.25">
      <c r="A1385" s="1"/>
      <c r="H1385" s="1"/>
      <c r="O1385" s="1"/>
      <c r="V1385" s="1"/>
      <c r="AC1385" s="1"/>
      <c r="AJ1385" s="1"/>
      <c r="AQ1385" s="1"/>
      <c r="AX1385" s="1"/>
      <c r="BE1385" s="1"/>
    </row>
    <row r="1386" spans="1:57" x14ac:dyDescent="0.25">
      <c r="A1386" s="1"/>
      <c r="H1386" s="1"/>
      <c r="O1386" s="1"/>
      <c r="V1386" s="1"/>
      <c r="AC1386" s="1"/>
      <c r="AJ1386" s="1"/>
      <c r="AQ1386" s="1"/>
      <c r="AX1386" s="1"/>
      <c r="BE1386" s="1"/>
    </row>
    <row r="1387" spans="1:57" x14ac:dyDescent="0.25">
      <c r="A1387" s="1"/>
      <c r="H1387" s="1"/>
      <c r="O1387" s="1"/>
      <c r="V1387" s="1"/>
      <c r="AC1387" s="1"/>
      <c r="AJ1387" s="1"/>
      <c r="AQ1387" s="1"/>
      <c r="AX1387" s="1"/>
      <c r="BE1387" s="1"/>
    </row>
    <row r="1388" spans="1:57" x14ac:dyDescent="0.25">
      <c r="A1388" s="1"/>
      <c r="H1388" s="1"/>
      <c r="O1388" s="1"/>
      <c r="V1388" s="1"/>
      <c r="AC1388" s="1"/>
      <c r="AJ1388" s="1"/>
      <c r="AQ1388" s="1"/>
      <c r="AX1388" s="1"/>
      <c r="BE1388" s="1"/>
    </row>
    <row r="1389" spans="1:57" x14ac:dyDescent="0.25">
      <c r="A1389" s="1"/>
      <c r="H1389" s="1"/>
      <c r="O1389" s="1"/>
      <c r="V1389" s="1"/>
      <c r="AC1389" s="1"/>
      <c r="AJ1389" s="1"/>
      <c r="AQ1389" s="1"/>
      <c r="AX1389" s="1"/>
      <c r="BE1389" s="1"/>
    </row>
    <row r="1390" spans="1:57" x14ac:dyDescent="0.25">
      <c r="A1390" s="1"/>
      <c r="H1390" s="1"/>
      <c r="O1390" s="1"/>
      <c r="V1390" s="1"/>
      <c r="AC1390" s="1"/>
      <c r="AJ1390" s="1"/>
      <c r="AQ1390" s="1"/>
      <c r="AX1390" s="1"/>
      <c r="BE1390" s="1"/>
    </row>
    <row r="1391" spans="1:57" x14ac:dyDescent="0.25">
      <c r="A1391" s="1"/>
      <c r="H1391" s="1"/>
      <c r="O1391" s="1"/>
      <c r="V1391" s="1"/>
      <c r="AC1391" s="1"/>
      <c r="AJ1391" s="1"/>
      <c r="AQ1391" s="1"/>
      <c r="AX1391" s="1"/>
      <c r="BE1391" s="1"/>
    </row>
    <row r="1392" spans="1:57" x14ac:dyDescent="0.25">
      <c r="A1392" s="1"/>
      <c r="H1392" s="1"/>
      <c r="O1392" s="1"/>
      <c r="V1392" s="1"/>
      <c r="AC1392" s="1"/>
      <c r="AJ1392" s="1"/>
      <c r="AQ1392" s="1"/>
      <c r="AX1392" s="1"/>
      <c r="BE1392" s="1"/>
    </row>
    <row r="1393" spans="1:57" x14ac:dyDescent="0.25">
      <c r="A1393" s="1"/>
      <c r="H1393" s="1"/>
      <c r="O1393" s="1"/>
      <c r="V1393" s="1"/>
      <c r="AC1393" s="1"/>
      <c r="AJ1393" s="1"/>
      <c r="AQ1393" s="1"/>
      <c r="AX1393" s="1"/>
      <c r="BE1393" s="1"/>
    </row>
    <row r="1394" spans="1:57" x14ac:dyDescent="0.25">
      <c r="A1394" s="1"/>
      <c r="H1394" s="1"/>
      <c r="O1394" s="1"/>
      <c r="V1394" s="1"/>
      <c r="AC1394" s="1"/>
      <c r="AJ1394" s="1"/>
      <c r="AQ1394" s="1"/>
      <c r="AX1394" s="1"/>
      <c r="BE1394" s="1"/>
    </row>
    <row r="1395" spans="1:57" x14ac:dyDescent="0.25">
      <c r="A1395" s="1"/>
      <c r="H1395" s="1"/>
      <c r="O1395" s="1"/>
      <c r="V1395" s="1"/>
      <c r="AC1395" s="1"/>
      <c r="AJ1395" s="1"/>
      <c r="AQ1395" s="1"/>
      <c r="AX1395" s="1"/>
      <c r="BE1395" s="1"/>
    </row>
    <row r="1396" spans="1:57" x14ac:dyDescent="0.25">
      <c r="A1396" s="1"/>
      <c r="H1396" s="1"/>
      <c r="O1396" s="1"/>
      <c r="V1396" s="1"/>
      <c r="AC1396" s="1"/>
      <c r="AJ1396" s="1"/>
      <c r="AQ1396" s="1"/>
      <c r="AX1396" s="1"/>
      <c r="BE1396" s="1"/>
    </row>
    <row r="1397" spans="1:57" x14ac:dyDescent="0.25">
      <c r="A1397" s="1"/>
      <c r="H1397" s="1"/>
      <c r="O1397" s="1"/>
      <c r="V1397" s="1"/>
      <c r="AC1397" s="1"/>
      <c r="AJ1397" s="1"/>
      <c r="AQ1397" s="1"/>
      <c r="AX1397" s="1"/>
      <c r="BE1397" s="1"/>
    </row>
    <row r="1398" spans="1:57" x14ac:dyDescent="0.25">
      <c r="A1398" s="1"/>
      <c r="H1398" s="1"/>
      <c r="O1398" s="1"/>
      <c r="V1398" s="1"/>
      <c r="AC1398" s="1"/>
      <c r="AJ1398" s="1"/>
      <c r="AQ1398" s="1"/>
      <c r="AX1398" s="1"/>
      <c r="BE1398" s="1"/>
    </row>
    <row r="1399" spans="1:57" x14ac:dyDescent="0.25">
      <c r="A1399" s="1"/>
      <c r="H1399" s="1"/>
      <c r="O1399" s="1"/>
      <c r="V1399" s="1"/>
      <c r="AC1399" s="1"/>
      <c r="AJ1399" s="1"/>
      <c r="AQ1399" s="1"/>
      <c r="AX1399" s="1"/>
      <c r="BE1399" s="1"/>
    </row>
    <row r="1400" spans="1:57" x14ac:dyDescent="0.25">
      <c r="A1400" s="1"/>
      <c r="H1400" s="1"/>
      <c r="O1400" s="1"/>
      <c r="V1400" s="1"/>
      <c r="AC1400" s="1"/>
      <c r="AJ1400" s="1"/>
      <c r="AQ1400" s="1"/>
      <c r="AX1400" s="1"/>
      <c r="BE1400" s="1"/>
    </row>
    <row r="1401" spans="1:57" x14ac:dyDescent="0.25">
      <c r="A1401" s="1"/>
      <c r="H1401" s="1"/>
      <c r="O1401" s="1"/>
      <c r="V1401" s="1"/>
      <c r="AC1401" s="1"/>
      <c r="AJ1401" s="1"/>
      <c r="AQ1401" s="1"/>
      <c r="AX1401" s="1"/>
      <c r="BE1401" s="1"/>
    </row>
    <row r="1402" spans="1:57" x14ac:dyDescent="0.25">
      <c r="A1402" s="1"/>
      <c r="H1402" s="1"/>
      <c r="O1402" s="1"/>
      <c r="V1402" s="1"/>
      <c r="AC1402" s="1"/>
      <c r="AJ1402" s="1"/>
      <c r="AQ1402" s="1"/>
      <c r="AX1402" s="1"/>
      <c r="BE1402" s="1"/>
    </row>
    <row r="1403" spans="1:57" x14ac:dyDescent="0.25">
      <c r="A1403" s="1"/>
      <c r="H1403" s="1"/>
      <c r="O1403" s="1"/>
      <c r="V1403" s="1"/>
      <c r="AC1403" s="1"/>
      <c r="AJ1403" s="1"/>
      <c r="AQ1403" s="1"/>
      <c r="AX1403" s="1"/>
      <c r="BE1403" s="1"/>
    </row>
    <row r="1404" spans="1:57" x14ac:dyDescent="0.25">
      <c r="A1404" s="1"/>
      <c r="H1404" s="1"/>
      <c r="O1404" s="1"/>
      <c r="V1404" s="1"/>
      <c r="AC1404" s="1"/>
      <c r="AJ1404" s="1"/>
      <c r="AQ1404" s="1"/>
      <c r="AX1404" s="1"/>
      <c r="BE1404" s="1"/>
    </row>
    <row r="1405" spans="1:57" x14ac:dyDescent="0.25">
      <c r="A1405" s="1"/>
      <c r="H1405" s="1"/>
      <c r="O1405" s="1"/>
      <c r="V1405" s="1"/>
      <c r="AC1405" s="1"/>
      <c r="AJ1405" s="1"/>
      <c r="AQ1405" s="1"/>
      <c r="AX1405" s="1"/>
      <c r="BE1405" s="1"/>
    </row>
    <row r="1406" spans="1:57" x14ac:dyDescent="0.25">
      <c r="A1406" s="1"/>
      <c r="H1406" s="1"/>
      <c r="O1406" s="1"/>
      <c r="V1406" s="1"/>
      <c r="AC1406" s="1"/>
      <c r="AJ1406" s="1"/>
      <c r="AQ1406" s="1"/>
      <c r="AX1406" s="1"/>
      <c r="BE1406" s="1"/>
    </row>
    <row r="1407" spans="1:57" x14ac:dyDescent="0.25">
      <c r="A1407" s="1"/>
      <c r="H1407" s="1"/>
      <c r="O1407" s="1"/>
      <c r="V1407" s="1"/>
      <c r="AC1407" s="1"/>
      <c r="AJ1407" s="1"/>
      <c r="AQ1407" s="1"/>
      <c r="AX1407" s="1"/>
      <c r="BE1407" s="1"/>
    </row>
    <row r="1408" spans="1:57" x14ac:dyDescent="0.25">
      <c r="A1408" s="1"/>
      <c r="H1408" s="1"/>
      <c r="O1408" s="1"/>
      <c r="V1408" s="1"/>
      <c r="AC1408" s="1"/>
      <c r="AJ1408" s="1"/>
      <c r="AQ1408" s="1"/>
      <c r="AX1408" s="1"/>
      <c r="BE1408" s="1"/>
    </row>
    <row r="1409" spans="1:57" x14ac:dyDescent="0.25">
      <c r="A1409" s="1"/>
      <c r="H1409" s="1"/>
      <c r="O1409" s="1"/>
      <c r="V1409" s="1"/>
      <c r="AC1409" s="1"/>
      <c r="AJ1409" s="1"/>
      <c r="AQ1409" s="1"/>
      <c r="AX1409" s="1"/>
      <c r="BE1409" s="1"/>
    </row>
    <row r="1410" spans="1:57" x14ac:dyDescent="0.25">
      <c r="A1410" s="1"/>
      <c r="H1410" s="1"/>
      <c r="O1410" s="1"/>
      <c r="V1410" s="1"/>
      <c r="AC1410" s="1"/>
      <c r="AJ1410" s="1"/>
      <c r="AQ1410" s="1"/>
      <c r="AX1410" s="1"/>
      <c r="BE1410" s="1"/>
    </row>
    <row r="1411" spans="1:57" x14ac:dyDescent="0.25">
      <c r="A1411" s="1"/>
      <c r="H1411" s="1"/>
      <c r="O1411" s="1"/>
      <c r="V1411" s="1"/>
      <c r="AC1411" s="1"/>
      <c r="AJ1411" s="1"/>
      <c r="AQ1411" s="1"/>
      <c r="AX1411" s="1"/>
      <c r="BE1411" s="1"/>
    </row>
    <row r="1412" spans="1:57" x14ac:dyDescent="0.25">
      <c r="A1412" s="1"/>
      <c r="H1412" s="1"/>
      <c r="O1412" s="1"/>
      <c r="V1412" s="1"/>
      <c r="AC1412" s="1"/>
      <c r="AJ1412" s="1"/>
      <c r="AQ1412" s="1"/>
      <c r="AX1412" s="1"/>
      <c r="BE1412" s="1"/>
    </row>
    <row r="1413" spans="1:57" x14ac:dyDescent="0.25">
      <c r="A1413" s="1"/>
      <c r="H1413" s="1"/>
      <c r="O1413" s="1"/>
      <c r="V1413" s="1"/>
      <c r="AC1413" s="1"/>
      <c r="AJ1413" s="1"/>
      <c r="AQ1413" s="1"/>
      <c r="AX1413" s="1"/>
      <c r="BE1413" s="1"/>
    </row>
    <row r="1414" spans="1:57" x14ac:dyDescent="0.25">
      <c r="A1414" s="1"/>
      <c r="H1414" s="1"/>
      <c r="O1414" s="1"/>
      <c r="V1414" s="1"/>
      <c r="AC1414" s="1"/>
      <c r="AJ1414" s="1"/>
      <c r="AQ1414" s="1"/>
      <c r="AX1414" s="1"/>
      <c r="BE1414" s="1"/>
    </row>
    <row r="1415" spans="1:57" x14ac:dyDescent="0.25">
      <c r="A1415" s="1"/>
      <c r="H1415" s="1"/>
      <c r="O1415" s="1"/>
      <c r="V1415" s="1"/>
      <c r="AC1415" s="1"/>
      <c r="AJ1415" s="1"/>
      <c r="AQ1415" s="1"/>
      <c r="AX1415" s="1"/>
      <c r="BE1415" s="1"/>
    </row>
    <row r="1416" spans="1:57" x14ac:dyDescent="0.25">
      <c r="A1416" s="1"/>
      <c r="H1416" s="1"/>
      <c r="O1416" s="1"/>
      <c r="V1416" s="1"/>
      <c r="AC1416" s="1"/>
      <c r="AJ1416" s="1"/>
      <c r="AQ1416" s="1"/>
      <c r="AX1416" s="1"/>
      <c r="BE1416" s="1"/>
    </row>
    <row r="1417" spans="1:57" x14ac:dyDescent="0.25">
      <c r="A1417" s="1"/>
      <c r="H1417" s="1"/>
      <c r="O1417" s="1"/>
      <c r="V1417" s="1"/>
      <c r="AC1417" s="1"/>
      <c r="AJ1417" s="1"/>
      <c r="AQ1417" s="1"/>
      <c r="AX1417" s="1"/>
      <c r="BE1417" s="1"/>
    </row>
    <row r="1418" spans="1:57" x14ac:dyDescent="0.25">
      <c r="A1418" s="1"/>
      <c r="H1418" s="1"/>
      <c r="O1418" s="1"/>
      <c r="V1418" s="1"/>
      <c r="AC1418" s="1"/>
      <c r="AJ1418" s="1"/>
      <c r="AQ1418" s="1"/>
      <c r="AX1418" s="1"/>
      <c r="BE1418" s="1"/>
    </row>
    <row r="1419" spans="1:57" x14ac:dyDescent="0.25">
      <c r="A1419" s="1"/>
      <c r="H1419" s="1"/>
      <c r="O1419" s="1"/>
      <c r="V1419" s="1"/>
      <c r="AC1419" s="1"/>
      <c r="AJ1419" s="1"/>
      <c r="AQ1419" s="1"/>
      <c r="AX1419" s="1"/>
      <c r="BE1419" s="1"/>
    </row>
    <row r="1420" spans="1:57" x14ac:dyDescent="0.25">
      <c r="A1420" s="1"/>
      <c r="H1420" s="1"/>
      <c r="O1420" s="1"/>
      <c r="V1420" s="1"/>
      <c r="AC1420" s="1"/>
      <c r="AJ1420" s="1"/>
      <c r="AQ1420" s="1"/>
      <c r="AX1420" s="1"/>
      <c r="BE1420" s="1"/>
    </row>
    <row r="1421" spans="1:57" x14ac:dyDescent="0.25">
      <c r="A1421" s="1"/>
      <c r="H1421" s="1"/>
      <c r="O1421" s="1"/>
      <c r="V1421" s="1"/>
      <c r="AC1421" s="1"/>
      <c r="AJ1421" s="1"/>
      <c r="AQ1421" s="1"/>
      <c r="AX1421" s="1"/>
      <c r="BE1421" s="1"/>
    </row>
    <row r="1422" spans="1:57" x14ac:dyDescent="0.25">
      <c r="A1422" s="1"/>
      <c r="H1422" s="1"/>
      <c r="O1422" s="1"/>
      <c r="V1422" s="1"/>
      <c r="AC1422" s="1"/>
      <c r="AJ1422" s="1"/>
      <c r="AQ1422" s="1"/>
      <c r="AX1422" s="1"/>
      <c r="BE1422" s="1"/>
    </row>
    <row r="1423" spans="1:57" x14ac:dyDescent="0.25">
      <c r="A1423" s="1"/>
      <c r="H1423" s="1"/>
      <c r="O1423" s="1"/>
      <c r="V1423" s="1"/>
      <c r="AC1423" s="1"/>
      <c r="AJ1423" s="1"/>
      <c r="AQ1423" s="1"/>
      <c r="AX1423" s="1"/>
      <c r="BE1423" s="1"/>
    </row>
    <row r="1424" spans="1:57" x14ac:dyDescent="0.25">
      <c r="A1424" s="1"/>
      <c r="H1424" s="1"/>
      <c r="O1424" s="1"/>
      <c r="V1424" s="1"/>
      <c r="AC1424" s="1"/>
      <c r="AJ1424" s="1"/>
      <c r="AQ1424" s="1"/>
      <c r="AX1424" s="1"/>
      <c r="BE1424" s="1"/>
    </row>
    <row r="1425" spans="1:57" x14ac:dyDescent="0.25">
      <c r="A1425" s="1"/>
      <c r="H1425" s="1"/>
      <c r="O1425" s="1"/>
      <c r="V1425" s="1"/>
      <c r="AC1425" s="1"/>
      <c r="AJ1425" s="1"/>
      <c r="AQ1425" s="1"/>
      <c r="AX1425" s="1"/>
      <c r="BE1425" s="1"/>
    </row>
    <row r="1426" spans="1:57" x14ac:dyDescent="0.25">
      <c r="A1426" s="1"/>
      <c r="H1426" s="1"/>
      <c r="O1426" s="1"/>
      <c r="V1426" s="1"/>
      <c r="AC1426" s="1"/>
      <c r="AJ1426" s="1"/>
      <c r="AQ1426" s="1"/>
      <c r="AX1426" s="1"/>
      <c r="BE1426" s="1"/>
    </row>
    <row r="1427" spans="1:57" x14ac:dyDescent="0.25">
      <c r="A1427" s="1"/>
      <c r="H1427" s="1"/>
      <c r="O1427" s="1"/>
      <c r="V1427" s="1"/>
      <c r="AC1427" s="1"/>
      <c r="AJ1427" s="1"/>
      <c r="AQ1427" s="1"/>
      <c r="AX1427" s="1"/>
      <c r="BE1427" s="1"/>
    </row>
    <row r="1428" spans="1:57" x14ac:dyDescent="0.25">
      <c r="A1428" s="1"/>
      <c r="H1428" s="1"/>
      <c r="O1428" s="1"/>
      <c r="V1428" s="1"/>
      <c r="AC1428" s="1"/>
      <c r="AJ1428" s="1"/>
      <c r="AQ1428" s="1"/>
      <c r="AX1428" s="1"/>
      <c r="BE1428" s="1"/>
    </row>
    <row r="1429" spans="1:57" x14ac:dyDescent="0.25">
      <c r="A1429" s="1"/>
      <c r="H1429" s="1"/>
      <c r="O1429" s="1"/>
      <c r="V1429" s="1"/>
      <c r="AC1429" s="1"/>
      <c r="AJ1429" s="1"/>
      <c r="AQ1429" s="1"/>
      <c r="AX1429" s="1"/>
      <c r="BE1429" s="1"/>
    </row>
    <row r="1430" spans="1:57" x14ac:dyDescent="0.25">
      <c r="A1430" s="1"/>
      <c r="H1430" s="1"/>
      <c r="O1430" s="1"/>
      <c r="V1430" s="1"/>
      <c r="AC1430" s="1"/>
      <c r="AJ1430" s="1"/>
      <c r="AQ1430" s="1"/>
      <c r="AX1430" s="1"/>
      <c r="BE1430" s="1"/>
    </row>
    <row r="1431" spans="1:57" x14ac:dyDescent="0.25">
      <c r="A1431" s="1"/>
      <c r="H1431" s="1"/>
      <c r="O1431" s="1"/>
      <c r="V1431" s="1"/>
      <c r="AC1431" s="1"/>
      <c r="AJ1431" s="1"/>
      <c r="AQ1431" s="1"/>
      <c r="AX1431" s="1"/>
      <c r="BE1431" s="1"/>
    </row>
    <row r="1432" spans="1:57" x14ac:dyDescent="0.25">
      <c r="A1432" s="1"/>
      <c r="H1432" s="1"/>
      <c r="O1432" s="1"/>
      <c r="V1432" s="1"/>
      <c r="AC1432" s="1"/>
      <c r="AJ1432" s="1"/>
      <c r="AQ1432" s="1"/>
      <c r="AX1432" s="1"/>
      <c r="BE1432" s="1"/>
    </row>
    <row r="1433" spans="1:57" x14ac:dyDescent="0.25">
      <c r="A1433" s="1"/>
      <c r="H1433" s="1"/>
      <c r="O1433" s="1"/>
      <c r="V1433" s="1"/>
      <c r="AC1433" s="1"/>
      <c r="AJ1433" s="1"/>
      <c r="AQ1433" s="1"/>
      <c r="AX1433" s="1"/>
      <c r="BE1433" s="1"/>
    </row>
    <row r="1434" spans="1:57" x14ac:dyDescent="0.25">
      <c r="A1434" s="1"/>
      <c r="H1434" s="1"/>
      <c r="O1434" s="1"/>
      <c r="V1434" s="1"/>
      <c r="AC1434" s="1"/>
      <c r="AJ1434" s="1"/>
      <c r="AQ1434" s="1"/>
      <c r="AX1434" s="1"/>
      <c r="BE1434" s="1"/>
    </row>
    <row r="1435" spans="1:57" x14ac:dyDescent="0.25">
      <c r="A1435" s="1"/>
      <c r="H1435" s="1"/>
      <c r="O1435" s="1"/>
      <c r="V1435" s="1"/>
      <c r="AC1435" s="1"/>
      <c r="AJ1435" s="1"/>
      <c r="AQ1435" s="1"/>
      <c r="AX1435" s="1"/>
      <c r="BE1435" s="1"/>
    </row>
    <row r="1436" spans="1:57" x14ac:dyDescent="0.25">
      <c r="A1436" s="1"/>
      <c r="H1436" s="1"/>
      <c r="O1436" s="1"/>
      <c r="V1436" s="1"/>
      <c r="AC1436" s="1"/>
      <c r="AJ1436" s="1"/>
      <c r="AQ1436" s="1"/>
      <c r="AX1436" s="1"/>
      <c r="BE1436" s="1"/>
    </row>
    <row r="1437" spans="1:57" x14ac:dyDescent="0.25">
      <c r="A1437" s="1"/>
      <c r="H1437" s="1"/>
      <c r="O1437" s="1"/>
      <c r="V1437" s="1"/>
      <c r="AC1437" s="1"/>
      <c r="AJ1437" s="1"/>
      <c r="AQ1437" s="1"/>
      <c r="AX1437" s="1"/>
      <c r="BE1437" s="1"/>
    </row>
    <row r="1438" spans="1:57" x14ac:dyDescent="0.25">
      <c r="A1438" s="1"/>
      <c r="H1438" s="1"/>
      <c r="O1438" s="1"/>
      <c r="V1438" s="1"/>
      <c r="AC1438" s="1"/>
      <c r="AJ1438" s="1"/>
      <c r="AQ1438" s="1"/>
      <c r="AX1438" s="1"/>
      <c r="BE1438" s="1"/>
    </row>
    <row r="1439" spans="1:57" x14ac:dyDescent="0.25">
      <c r="A1439" s="1"/>
      <c r="H1439" s="1"/>
      <c r="O1439" s="1"/>
      <c r="V1439" s="1"/>
      <c r="AC1439" s="1"/>
      <c r="AJ1439" s="1"/>
      <c r="AQ1439" s="1"/>
      <c r="AX1439" s="1"/>
      <c r="BE1439" s="1"/>
    </row>
    <row r="1440" spans="1:57" x14ac:dyDescent="0.25">
      <c r="A1440" s="1"/>
      <c r="H1440" s="1"/>
      <c r="O1440" s="1"/>
      <c r="V1440" s="1"/>
      <c r="AC1440" s="1"/>
      <c r="AJ1440" s="1"/>
      <c r="AQ1440" s="1"/>
      <c r="AX1440" s="1"/>
      <c r="BE1440" s="1"/>
    </row>
    <row r="1441" spans="1:57" x14ac:dyDescent="0.25">
      <c r="A1441" s="1"/>
      <c r="H1441" s="1"/>
      <c r="O1441" s="1"/>
      <c r="V1441" s="1"/>
      <c r="AC1441" s="1"/>
      <c r="AJ1441" s="1"/>
      <c r="AQ1441" s="1"/>
      <c r="AX1441" s="1"/>
      <c r="BE1441" s="1"/>
    </row>
    <row r="1442" spans="1:57" x14ac:dyDescent="0.25">
      <c r="A1442" s="1"/>
      <c r="H1442" s="1"/>
      <c r="O1442" s="1"/>
      <c r="V1442" s="1"/>
      <c r="AC1442" s="1"/>
      <c r="AJ1442" s="1"/>
      <c r="AQ1442" s="1"/>
      <c r="AX1442" s="1"/>
      <c r="BE1442" s="1"/>
    </row>
    <row r="1443" spans="1:57" x14ac:dyDescent="0.25">
      <c r="A1443" s="1"/>
      <c r="H1443" s="1"/>
      <c r="O1443" s="1"/>
      <c r="V1443" s="1"/>
      <c r="AC1443" s="1"/>
      <c r="AJ1443" s="1"/>
      <c r="AQ1443" s="1"/>
      <c r="AX1443" s="1"/>
      <c r="BE1443" s="1"/>
    </row>
    <row r="1444" spans="1:57" x14ac:dyDescent="0.25">
      <c r="A1444" s="1"/>
      <c r="H1444" s="1"/>
      <c r="O1444" s="1"/>
      <c r="V1444" s="1"/>
      <c r="AC1444" s="1"/>
      <c r="AJ1444" s="1"/>
      <c r="AQ1444" s="1"/>
      <c r="AX1444" s="1"/>
      <c r="BE1444" s="1"/>
    </row>
    <row r="1445" spans="1:57" x14ac:dyDescent="0.25">
      <c r="A1445" s="1"/>
      <c r="H1445" s="1"/>
      <c r="O1445" s="1"/>
      <c r="V1445" s="1"/>
      <c r="AC1445" s="1"/>
      <c r="AJ1445" s="1"/>
      <c r="AQ1445" s="1"/>
      <c r="AX1445" s="1"/>
      <c r="BE1445" s="1"/>
    </row>
    <row r="1446" spans="1:57" x14ac:dyDescent="0.25">
      <c r="A1446" s="1"/>
      <c r="H1446" s="1"/>
      <c r="O1446" s="1"/>
      <c r="V1446" s="1"/>
      <c r="AC1446" s="1"/>
      <c r="AJ1446" s="1"/>
      <c r="AQ1446" s="1"/>
      <c r="AX1446" s="1"/>
      <c r="BE1446" s="1"/>
    </row>
    <row r="1447" spans="1:57" x14ac:dyDescent="0.25">
      <c r="A1447" s="1"/>
      <c r="H1447" s="1"/>
      <c r="O1447" s="1"/>
      <c r="V1447" s="1"/>
      <c r="AC1447" s="1"/>
      <c r="AJ1447" s="1"/>
      <c r="AQ1447" s="1"/>
      <c r="AX1447" s="1"/>
      <c r="BE1447" s="1"/>
    </row>
    <row r="1448" spans="1:57" x14ac:dyDescent="0.25">
      <c r="A1448" s="1"/>
      <c r="H1448" s="1"/>
      <c r="O1448" s="1"/>
      <c r="V1448" s="1"/>
      <c r="AC1448" s="1"/>
      <c r="AJ1448" s="1"/>
      <c r="AQ1448" s="1"/>
      <c r="AX1448" s="1"/>
      <c r="BE1448" s="1"/>
    </row>
    <row r="1449" spans="1:57" x14ac:dyDescent="0.25">
      <c r="A1449" s="1"/>
      <c r="H1449" s="1"/>
      <c r="O1449" s="1"/>
      <c r="V1449" s="1"/>
      <c r="AC1449" s="1"/>
      <c r="AJ1449" s="1"/>
      <c r="AQ1449" s="1"/>
      <c r="AX1449" s="1"/>
      <c r="BE1449" s="1"/>
    </row>
    <row r="1450" spans="1:57" x14ac:dyDescent="0.25">
      <c r="A1450" s="1"/>
      <c r="H1450" s="1"/>
      <c r="O1450" s="1"/>
      <c r="V1450" s="1"/>
      <c r="AC1450" s="1"/>
      <c r="AJ1450" s="1"/>
      <c r="AQ1450" s="1"/>
      <c r="AX1450" s="1"/>
      <c r="BE1450" s="1"/>
    </row>
    <row r="1451" spans="1:57" x14ac:dyDescent="0.25">
      <c r="A1451" s="1"/>
      <c r="H1451" s="1"/>
      <c r="O1451" s="1"/>
      <c r="V1451" s="1"/>
      <c r="AC1451" s="1"/>
      <c r="AJ1451" s="1"/>
      <c r="AQ1451" s="1"/>
      <c r="AX1451" s="1"/>
      <c r="BE1451" s="1"/>
    </row>
    <row r="1452" spans="1:57" x14ac:dyDescent="0.25">
      <c r="A1452" s="1"/>
      <c r="H1452" s="1"/>
      <c r="O1452" s="1"/>
      <c r="V1452" s="1"/>
      <c r="AC1452" s="1"/>
      <c r="AJ1452" s="1"/>
      <c r="AQ1452" s="1"/>
      <c r="AX1452" s="1"/>
      <c r="BE1452" s="1"/>
    </row>
    <row r="1453" spans="1:57" x14ac:dyDescent="0.25">
      <c r="A1453" s="1"/>
      <c r="H1453" s="1"/>
      <c r="O1453" s="1"/>
      <c r="V1453" s="1"/>
      <c r="AC1453" s="1"/>
      <c r="AJ1453" s="1"/>
      <c r="AQ1453" s="1"/>
      <c r="AX1453" s="1"/>
      <c r="BE1453" s="1"/>
    </row>
    <row r="1454" spans="1:57" x14ac:dyDescent="0.25">
      <c r="A1454" s="1"/>
      <c r="H1454" s="1"/>
      <c r="O1454" s="1"/>
      <c r="V1454" s="1"/>
      <c r="AC1454" s="1"/>
      <c r="AJ1454" s="1"/>
      <c r="AQ1454" s="1"/>
      <c r="AX1454" s="1"/>
      <c r="BE1454" s="1"/>
    </row>
    <row r="1455" spans="1:57" x14ac:dyDescent="0.25">
      <c r="A1455" s="1"/>
      <c r="H1455" s="1"/>
      <c r="O1455" s="1"/>
      <c r="V1455" s="1"/>
      <c r="AC1455" s="1"/>
      <c r="AJ1455" s="1"/>
      <c r="AQ1455" s="1"/>
      <c r="AX1455" s="1"/>
      <c r="BE1455" s="1"/>
    </row>
    <row r="1456" spans="1:57" x14ac:dyDescent="0.25">
      <c r="A1456" s="1"/>
      <c r="H1456" s="1"/>
      <c r="O1456" s="1"/>
      <c r="V1456" s="1"/>
      <c r="AC1456" s="1"/>
      <c r="AJ1456" s="1"/>
      <c r="AQ1456" s="1"/>
      <c r="AX1456" s="1"/>
      <c r="BE1456" s="1"/>
    </row>
    <row r="1457" spans="1:57" x14ac:dyDescent="0.25">
      <c r="A1457" s="1"/>
      <c r="H1457" s="1"/>
      <c r="O1457" s="1"/>
      <c r="V1457" s="1"/>
      <c r="AC1457" s="1"/>
      <c r="AJ1457" s="1"/>
      <c r="AQ1457" s="1"/>
      <c r="AX1457" s="1"/>
      <c r="BE1457" s="1"/>
    </row>
    <row r="1458" spans="1:57" x14ac:dyDescent="0.25">
      <c r="A1458" s="1"/>
      <c r="H1458" s="1"/>
      <c r="O1458" s="1"/>
      <c r="V1458" s="1"/>
      <c r="AC1458" s="1"/>
      <c r="AJ1458" s="1"/>
      <c r="AQ1458" s="1"/>
      <c r="AX1458" s="1"/>
      <c r="BE1458" s="1"/>
    </row>
    <row r="1459" spans="1:57" x14ac:dyDescent="0.25">
      <c r="A1459" s="1"/>
      <c r="H1459" s="1"/>
      <c r="O1459" s="1"/>
      <c r="V1459" s="1"/>
      <c r="AC1459" s="1"/>
      <c r="AJ1459" s="1"/>
      <c r="AQ1459" s="1"/>
      <c r="AX1459" s="1"/>
      <c r="BE1459" s="1"/>
    </row>
    <row r="1460" spans="1:57" x14ac:dyDescent="0.25">
      <c r="A1460" s="1"/>
      <c r="H1460" s="1"/>
      <c r="O1460" s="1"/>
      <c r="V1460" s="1"/>
      <c r="AC1460" s="1"/>
      <c r="AJ1460" s="1"/>
      <c r="AQ1460" s="1"/>
      <c r="AX1460" s="1"/>
      <c r="BE1460" s="1"/>
    </row>
    <row r="1461" spans="1:57" x14ac:dyDescent="0.25">
      <c r="A1461" s="1"/>
      <c r="H1461" s="1"/>
      <c r="O1461" s="1"/>
      <c r="V1461" s="1"/>
      <c r="AC1461" s="1"/>
      <c r="AJ1461" s="1"/>
      <c r="AQ1461" s="1"/>
      <c r="AX1461" s="1"/>
      <c r="BE1461" s="1"/>
    </row>
    <row r="1462" spans="1:57" x14ac:dyDescent="0.25">
      <c r="A1462" s="1"/>
      <c r="H1462" s="1"/>
      <c r="O1462" s="1"/>
      <c r="V1462" s="1"/>
      <c r="AC1462" s="1"/>
      <c r="AJ1462" s="1"/>
      <c r="AQ1462" s="1"/>
      <c r="AX1462" s="1"/>
      <c r="BE1462" s="1"/>
    </row>
    <row r="1463" spans="1:57" x14ac:dyDescent="0.25">
      <c r="A1463" s="1"/>
      <c r="H1463" s="1"/>
      <c r="O1463" s="1"/>
      <c r="V1463" s="1"/>
      <c r="AC1463" s="1"/>
      <c r="AJ1463" s="1"/>
      <c r="AQ1463" s="1"/>
      <c r="AX1463" s="1"/>
      <c r="BE1463" s="1"/>
    </row>
    <row r="1464" spans="1:57" x14ac:dyDescent="0.25">
      <c r="A1464" s="1"/>
      <c r="H1464" s="1"/>
      <c r="O1464" s="1"/>
      <c r="V1464" s="1"/>
      <c r="AC1464" s="1"/>
      <c r="AJ1464" s="1"/>
      <c r="AQ1464" s="1"/>
      <c r="AX1464" s="1"/>
      <c r="BE1464" s="1"/>
    </row>
    <row r="1465" spans="1:57" x14ac:dyDescent="0.25">
      <c r="A1465" s="1"/>
      <c r="H1465" s="1"/>
      <c r="O1465" s="1"/>
      <c r="V1465" s="1"/>
      <c r="AC1465" s="1"/>
      <c r="AJ1465" s="1"/>
      <c r="AQ1465" s="1"/>
      <c r="AX1465" s="1"/>
      <c r="BE1465" s="1"/>
    </row>
    <row r="1466" spans="1:57" x14ac:dyDescent="0.25">
      <c r="A1466" s="1"/>
      <c r="H1466" s="1"/>
      <c r="O1466" s="1"/>
      <c r="V1466" s="1"/>
      <c r="AC1466" s="1"/>
      <c r="AJ1466" s="1"/>
      <c r="AQ1466" s="1"/>
      <c r="AX1466" s="1"/>
      <c r="BE1466" s="1"/>
    </row>
    <row r="1467" spans="1:57" x14ac:dyDescent="0.25">
      <c r="A1467" s="1"/>
      <c r="H1467" s="1"/>
      <c r="O1467" s="1"/>
      <c r="V1467" s="1"/>
      <c r="AC1467" s="1"/>
      <c r="AJ1467" s="1"/>
      <c r="AQ1467" s="1"/>
      <c r="AX1467" s="1"/>
      <c r="BE1467" s="1"/>
    </row>
    <row r="1468" spans="1:57" x14ac:dyDescent="0.25">
      <c r="A1468" s="1"/>
      <c r="H1468" s="1"/>
      <c r="O1468" s="1"/>
      <c r="V1468" s="1"/>
      <c r="AC1468" s="1"/>
      <c r="AJ1468" s="1"/>
      <c r="AQ1468" s="1"/>
      <c r="AX1468" s="1"/>
      <c r="BE1468" s="1"/>
    </row>
    <row r="1469" spans="1:57" x14ac:dyDescent="0.25">
      <c r="A1469" s="1"/>
      <c r="H1469" s="1"/>
      <c r="O1469" s="1"/>
      <c r="V1469" s="1"/>
      <c r="AC1469" s="1"/>
      <c r="AJ1469" s="1"/>
      <c r="AQ1469" s="1"/>
      <c r="AX1469" s="1"/>
      <c r="BE1469" s="1"/>
    </row>
    <row r="1470" spans="1:57" x14ac:dyDescent="0.25">
      <c r="A1470" s="1"/>
      <c r="H1470" s="1"/>
      <c r="O1470" s="1"/>
      <c r="V1470" s="1"/>
      <c r="AC1470" s="1"/>
      <c r="AJ1470" s="1"/>
      <c r="AQ1470" s="1"/>
      <c r="AX1470" s="1"/>
      <c r="BE1470" s="1"/>
    </row>
    <row r="1471" spans="1:57" x14ac:dyDescent="0.25">
      <c r="A1471" s="1"/>
      <c r="H1471" s="1"/>
      <c r="O1471" s="1"/>
      <c r="V1471" s="1"/>
      <c r="AC1471" s="1"/>
      <c r="AJ1471" s="1"/>
      <c r="AQ1471" s="1"/>
      <c r="AX1471" s="1"/>
      <c r="BE1471" s="1"/>
    </row>
    <row r="1472" spans="1:57" x14ac:dyDescent="0.25">
      <c r="A1472" s="1"/>
      <c r="H1472" s="1"/>
      <c r="O1472" s="1"/>
      <c r="V1472" s="1"/>
      <c r="AC1472" s="1"/>
      <c r="AJ1472" s="1"/>
      <c r="AQ1472" s="1"/>
      <c r="AX1472" s="1"/>
      <c r="BE1472" s="1"/>
    </row>
    <row r="1473" spans="1:57" x14ac:dyDescent="0.25">
      <c r="A1473" s="1"/>
      <c r="H1473" s="1"/>
      <c r="O1473" s="1"/>
      <c r="V1473" s="1"/>
      <c r="AC1473" s="1"/>
      <c r="AJ1473" s="1"/>
      <c r="AQ1473" s="1"/>
      <c r="AX1473" s="1"/>
      <c r="BE1473" s="1"/>
    </row>
    <row r="1474" spans="1:57" x14ac:dyDescent="0.25">
      <c r="A1474" s="1"/>
      <c r="H1474" s="1"/>
      <c r="O1474" s="1"/>
      <c r="V1474" s="1"/>
      <c r="AC1474" s="1"/>
      <c r="AJ1474" s="1"/>
      <c r="AQ1474" s="1"/>
      <c r="AX1474" s="1"/>
      <c r="BE1474" s="1"/>
    </row>
    <row r="1475" spans="1:57" x14ac:dyDescent="0.25">
      <c r="A1475" s="1"/>
      <c r="H1475" s="1"/>
      <c r="O1475" s="1"/>
      <c r="V1475" s="1"/>
      <c r="AC1475" s="1"/>
      <c r="AJ1475" s="1"/>
      <c r="AQ1475" s="1"/>
      <c r="AX1475" s="1"/>
      <c r="BE1475" s="1"/>
    </row>
    <row r="1476" spans="1:57" x14ac:dyDescent="0.25">
      <c r="A1476" s="1"/>
      <c r="H1476" s="1"/>
      <c r="O1476" s="1"/>
      <c r="V1476" s="1"/>
      <c r="AC1476" s="1"/>
      <c r="AJ1476" s="1"/>
      <c r="AQ1476" s="1"/>
      <c r="AX1476" s="1"/>
      <c r="BE1476" s="1"/>
    </row>
    <row r="1477" spans="1:57" x14ac:dyDescent="0.25">
      <c r="A1477" s="1"/>
      <c r="H1477" s="1"/>
      <c r="O1477" s="1"/>
      <c r="V1477" s="1"/>
      <c r="AC1477" s="1"/>
      <c r="AJ1477" s="1"/>
      <c r="AQ1477" s="1"/>
      <c r="AX1477" s="1"/>
      <c r="BE1477" s="1"/>
    </row>
    <row r="1478" spans="1:57" x14ac:dyDescent="0.25">
      <c r="A1478" s="1"/>
      <c r="H1478" s="1"/>
      <c r="O1478" s="1"/>
      <c r="V1478" s="1"/>
      <c r="AC1478" s="1"/>
      <c r="AJ1478" s="1"/>
      <c r="AQ1478" s="1"/>
      <c r="AX1478" s="1"/>
      <c r="BE1478" s="1"/>
    </row>
    <row r="1479" spans="1:57" x14ac:dyDescent="0.25">
      <c r="A1479" s="1"/>
      <c r="H1479" s="1"/>
      <c r="O1479" s="1"/>
      <c r="V1479" s="1"/>
      <c r="AC1479" s="1"/>
      <c r="AJ1479" s="1"/>
      <c r="AQ1479" s="1"/>
      <c r="AX1479" s="1"/>
      <c r="BE1479" s="1"/>
    </row>
    <row r="1480" spans="1:57" x14ac:dyDescent="0.25">
      <c r="A1480" s="1"/>
      <c r="H1480" s="1"/>
      <c r="O1480" s="1"/>
      <c r="V1480" s="1"/>
      <c r="AC1480" s="1"/>
      <c r="AJ1480" s="1"/>
      <c r="AQ1480" s="1"/>
      <c r="AX1480" s="1"/>
      <c r="BE1480" s="1"/>
    </row>
    <row r="1481" spans="1:57" x14ac:dyDescent="0.25">
      <c r="A1481" s="1"/>
      <c r="H1481" s="1"/>
      <c r="O1481" s="1"/>
      <c r="V1481" s="1"/>
      <c r="AC1481" s="1"/>
      <c r="AJ1481" s="1"/>
      <c r="AQ1481" s="1"/>
      <c r="AX1481" s="1"/>
      <c r="BE1481" s="1"/>
    </row>
    <row r="1482" spans="1:57" x14ac:dyDescent="0.25">
      <c r="A1482" s="1"/>
      <c r="H1482" s="1"/>
      <c r="O1482" s="1"/>
      <c r="V1482" s="1"/>
      <c r="AC1482" s="1"/>
      <c r="AJ1482" s="1"/>
      <c r="AQ1482" s="1"/>
      <c r="AX1482" s="1"/>
      <c r="BE1482" s="1"/>
    </row>
    <row r="1483" spans="1:57" x14ac:dyDescent="0.25">
      <c r="A1483" s="1"/>
      <c r="H1483" s="1"/>
      <c r="O1483" s="1"/>
      <c r="V1483" s="1"/>
      <c r="AC1483" s="1"/>
      <c r="AJ1483" s="1"/>
      <c r="AQ1483" s="1"/>
      <c r="AX1483" s="1"/>
      <c r="BE1483" s="1"/>
    </row>
    <row r="1484" spans="1:57" x14ac:dyDescent="0.25">
      <c r="A1484" s="1"/>
      <c r="H1484" s="1"/>
      <c r="O1484" s="1"/>
      <c r="V1484" s="1"/>
      <c r="AC1484" s="1"/>
      <c r="AJ1484" s="1"/>
      <c r="AQ1484" s="1"/>
      <c r="AX1484" s="1"/>
      <c r="BE1484" s="1"/>
    </row>
    <row r="1485" spans="1:57" x14ac:dyDescent="0.25">
      <c r="A1485" s="1"/>
      <c r="H1485" s="1"/>
      <c r="O1485" s="1"/>
      <c r="V1485" s="1"/>
      <c r="AC1485" s="1"/>
      <c r="AJ1485" s="1"/>
      <c r="AQ1485" s="1"/>
      <c r="AX1485" s="1"/>
      <c r="BE1485" s="1"/>
    </row>
    <row r="1486" spans="1:57" x14ac:dyDescent="0.25">
      <c r="A1486" s="1"/>
      <c r="H1486" s="1"/>
      <c r="O1486" s="1"/>
      <c r="V1486" s="1"/>
      <c r="AC1486" s="1"/>
      <c r="AJ1486" s="1"/>
      <c r="AQ1486" s="1"/>
      <c r="AX1486" s="1"/>
      <c r="BE1486" s="1"/>
    </row>
    <row r="1487" spans="1:57" x14ac:dyDescent="0.25">
      <c r="A1487" s="1"/>
      <c r="H1487" s="1"/>
      <c r="O1487" s="1"/>
      <c r="V1487" s="1"/>
      <c r="AC1487" s="1"/>
      <c r="AJ1487" s="1"/>
      <c r="AQ1487" s="1"/>
      <c r="AX1487" s="1"/>
      <c r="BE1487" s="1"/>
    </row>
    <row r="1488" spans="1:57" x14ac:dyDescent="0.25">
      <c r="A1488" s="1"/>
      <c r="H1488" s="1"/>
      <c r="O1488" s="1"/>
      <c r="V1488" s="1"/>
      <c r="AC1488" s="1"/>
      <c r="AJ1488" s="1"/>
      <c r="AQ1488" s="1"/>
      <c r="AX1488" s="1"/>
      <c r="BE1488" s="1"/>
    </row>
    <row r="1489" spans="1:57" x14ac:dyDescent="0.25">
      <c r="A1489" s="1"/>
      <c r="H1489" s="1"/>
      <c r="O1489" s="1"/>
      <c r="V1489" s="1"/>
      <c r="AC1489" s="1"/>
      <c r="AJ1489" s="1"/>
      <c r="AQ1489" s="1"/>
      <c r="AX1489" s="1"/>
      <c r="BE1489" s="1"/>
    </row>
    <row r="1490" spans="1:57" x14ac:dyDescent="0.25">
      <c r="A1490" s="1"/>
      <c r="H1490" s="1"/>
      <c r="O1490" s="1"/>
      <c r="V1490" s="1"/>
      <c r="AC1490" s="1"/>
      <c r="AJ1490" s="1"/>
      <c r="AQ1490" s="1"/>
      <c r="AX1490" s="1"/>
      <c r="BE1490" s="1"/>
    </row>
    <row r="1491" spans="1:57" x14ac:dyDescent="0.25">
      <c r="A1491" s="1"/>
      <c r="H1491" s="1"/>
      <c r="O1491" s="1"/>
      <c r="V1491" s="1"/>
      <c r="AC1491" s="1"/>
      <c r="AJ1491" s="1"/>
      <c r="AQ1491" s="1"/>
      <c r="AX1491" s="1"/>
      <c r="BE1491" s="1"/>
    </row>
    <row r="1492" spans="1:57" x14ac:dyDescent="0.25">
      <c r="A1492" s="1"/>
      <c r="H1492" s="1"/>
      <c r="O1492" s="1"/>
      <c r="V1492" s="1"/>
      <c r="AC1492" s="1"/>
      <c r="AJ1492" s="1"/>
      <c r="AQ1492" s="1"/>
      <c r="AX1492" s="1"/>
      <c r="BE1492" s="1"/>
    </row>
    <row r="1493" spans="1:57" x14ac:dyDescent="0.25">
      <c r="A1493" s="1"/>
      <c r="H1493" s="1"/>
      <c r="O1493" s="1"/>
      <c r="V1493" s="1"/>
      <c r="AC1493" s="1"/>
      <c r="AJ1493" s="1"/>
      <c r="AQ1493" s="1"/>
      <c r="AX1493" s="1"/>
      <c r="BE1493" s="1"/>
    </row>
    <row r="1494" spans="1:57" x14ac:dyDescent="0.25">
      <c r="A1494" s="1"/>
      <c r="H1494" s="1"/>
      <c r="O1494" s="1"/>
      <c r="V1494" s="1"/>
      <c r="AC1494" s="1"/>
      <c r="AJ1494" s="1"/>
      <c r="AQ1494" s="1"/>
      <c r="AX1494" s="1"/>
      <c r="BE1494" s="1"/>
    </row>
    <row r="1495" spans="1:57" x14ac:dyDescent="0.25">
      <c r="A1495" s="1"/>
      <c r="H1495" s="1"/>
      <c r="O1495" s="1"/>
      <c r="V1495" s="1"/>
      <c r="AC1495" s="1"/>
      <c r="AJ1495" s="1"/>
      <c r="AQ1495" s="1"/>
      <c r="AX1495" s="1"/>
      <c r="BE1495" s="1"/>
    </row>
    <row r="1496" spans="1:57" x14ac:dyDescent="0.25">
      <c r="A1496" s="1"/>
      <c r="H1496" s="1"/>
      <c r="O1496" s="1"/>
      <c r="V1496" s="1"/>
      <c r="AC1496" s="1"/>
      <c r="AJ1496" s="1"/>
      <c r="AQ1496" s="1"/>
      <c r="AX1496" s="1"/>
      <c r="BE1496" s="1"/>
    </row>
    <row r="1497" spans="1:57" x14ac:dyDescent="0.25">
      <c r="A1497" s="1"/>
      <c r="H1497" s="1"/>
      <c r="O1497" s="1"/>
      <c r="V1497" s="1"/>
      <c r="AC1497" s="1"/>
      <c r="AJ1497" s="1"/>
      <c r="AQ1497" s="1"/>
      <c r="AX1497" s="1"/>
      <c r="BE1497" s="1"/>
    </row>
    <row r="1498" spans="1:57" x14ac:dyDescent="0.25">
      <c r="A1498" s="1"/>
      <c r="H1498" s="1"/>
      <c r="O1498" s="1"/>
      <c r="V1498" s="1"/>
      <c r="AC1498" s="1"/>
      <c r="AJ1498" s="1"/>
      <c r="AQ1498" s="1"/>
      <c r="AX1498" s="1"/>
      <c r="BE1498" s="1"/>
    </row>
    <row r="1499" spans="1:57" x14ac:dyDescent="0.25">
      <c r="A1499" s="1"/>
      <c r="H1499" s="1"/>
      <c r="O1499" s="1"/>
      <c r="V1499" s="1"/>
      <c r="AC1499" s="1"/>
      <c r="AJ1499" s="1"/>
      <c r="AQ1499" s="1"/>
      <c r="AX1499" s="1"/>
      <c r="BE1499" s="1"/>
    </row>
    <row r="1500" spans="1:57" x14ac:dyDescent="0.25">
      <c r="A1500" s="1"/>
      <c r="H1500" s="1"/>
      <c r="O1500" s="1"/>
      <c r="V1500" s="1"/>
      <c r="AC1500" s="1"/>
      <c r="AJ1500" s="1"/>
      <c r="AQ1500" s="1"/>
      <c r="AX1500" s="1"/>
      <c r="BE1500" s="1"/>
    </row>
    <row r="1501" spans="1:57" x14ac:dyDescent="0.25">
      <c r="A1501" s="1"/>
      <c r="H1501" s="1"/>
      <c r="O1501" s="1"/>
      <c r="V1501" s="1"/>
      <c r="AC1501" s="1"/>
      <c r="AJ1501" s="1"/>
      <c r="AQ1501" s="1"/>
      <c r="AX1501" s="1"/>
      <c r="BE1501" s="1"/>
    </row>
    <row r="1502" spans="1:57" x14ac:dyDescent="0.25">
      <c r="A1502" s="1"/>
      <c r="H1502" s="1"/>
      <c r="O1502" s="1"/>
      <c r="V1502" s="1"/>
      <c r="AC1502" s="1"/>
      <c r="AJ1502" s="1"/>
      <c r="AQ1502" s="1"/>
      <c r="AX1502" s="1"/>
      <c r="BE1502" s="1"/>
    </row>
    <row r="1503" spans="1:57" x14ac:dyDescent="0.25">
      <c r="A1503" s="1"/>
      <c r="H1503" s="1"/>
      <c r="O1503" s="1"/>
      <c r="V1503" s="1"/>
      <c r="AC1503" s="1"/>
      <c r="AJ1503" s="1"/>
      <c r="AQ1503" s="1"/>
      <c r="AX1503" s="1"/>
      <c r="BE1503" s="1"/>
    </row>
    <row r="1504" spans="1:57" x14ac:dyDescent="0.25">
      <c r="A1504" s="1"/>
      <c r="H1504" s="1"/>
      <c r="O1504" s="1"/>
      <c r="V1504" s="1"/>
      <c r="AC1504" s="1"/>
      <c r="AJ1504" s="1"/>
      <c r="AQ1504" s="1"/>
      <c r="AX1504" s="1"/>
      <c r="BE1504" s="1"/>
    </row>
    <row r="1505" spans="1:57" x14ac:dyDescent="0.25">
      <c r="A1505" s="1"/>
      <c r="H1505" s="1"/>
      <c r="O1505" s="1"/>
      <c r="V1505" s="1"/>
      <c r="AC1505" s="1"/>
      <c r="AJ1505" s="1"/>
      <c r="AQ1505" s="1"/>
      <c r="AX1505" s="1"/>
      <c r="BE1505" s="1"/>
    </row>
    <row r="1506" spans="1:57" x14ac:dyDescent="0.25">
      <c r="A1506" s="1"/>
      <c r="H1506" s="1"/>
      <c r="O1506" s="1"/>
      <c r="V1506" s="1"/>
      <c r="AC1506" s="1"/>
      <c r="AJ1506" s="1"/>
      <c r="AQ1506" s="1"/>
      <c r="AX1506" s="1"/>
      <c r="BE1506" s="1"/>
    </row>
    <row r="1507" spans="1:57" x14ac:dyDescent="0.25">
      <c r="A1507" s="1"/>
      <c r="H1507" s="1"/>
      <c r="O1507" s="1"/>
      <c r="V1507" s="1"/>
      <c r="AC1507" s="1"/>
      <c r="AJ1507" s="1"/>
      <c r="AQ1507" s="1"/>
      <c r="AX1507" s="1"/>
      <c r="BE1507" s="1"/>
    </row>
    <row r="1508" spans="1:57" x14ac:dyDescent="0.25">
      <c r="A1508" s="1"/>
      <c r="H1508" s="1"/>
      <c r="O1508" s="1"/>
      <c r="V1508" s="1"/>
      <c r="AC1508" s="1"/>
      <c r="AJ1508" s="1"/>
      <c r="AQ1508" s="1"/>
      <c r="AX1508" s="1"/>
      <c r="BE1508" s="1"/>
    </row>
    <row r="1509" spans="1:57" x14ac:dyDescent="0.25">
      <c r="A1509" s="1"/>
      <c r="H1509" s="1"/>
      <c r="O1509" s="1"/>
      <c r="V1509" s="1"/>
      <c r="AC1509" s="1"/>
      <c r="AJ1509" s="1"/>
      <c r="AQ1509" s="1"/>
      <c r="AX1509" s="1"/>
      <c r="BE1509" s="1"/>
    </row>
    <row r="1510" spans="1:57" x14ac:dyDescent="0.25">
      <c r="A1510" s="1"/>
      <c r="H1510" s="1"/>
      <c r="O1510" s="1"/>
      <c r="V1510" s="1"/>
      <c r="AC1510" s="1"/>
      <c r="AJ1510" s="1"/>
      <c r="AQ1510" s="1"/>
      <c r="AX1510" s="1"/>
      <c r="BE1510" s="1"/>
    </row>
    <row r="1511" spans="1:57" x14ac:dyDescent="0.25">
      <c r="A1511" s="1"/>
      <c r="H1511" s="1"/>
      <c r="O1511" s="1"/>
      <c r="V1511" s="1"/>
      <c r="AC1511" s="1"/>
      <c r="AJ1511" s="1"/>
      <c r="AQ1511" s="1"/>
      <c r="AX1511" s="1"/>
      <c r="BE1511" s="1"/>
    </row>
    <row r="1512" spans="1:57" x14ac:dyDescent="0.25">
      <c r="A1512" s="1"/>
      <c r="H1512" s="1"/>
      <c r="O1512" s="1"/>
      <c r="V1512" s="1"/>
      <c r="AC1512" s="1"/>
      <c r="AJ1512" s="1"/>
      <c r="AQ1512" s="1"/>
      <c r="AX1512" s="1"/>
      <c r="BE1512" s="1"/>
    </row>
    <row r="1513" spans="1:57" x14ac:dyDescent="0.25">
      <c r="A1513" s="1"/>
      <c r="H1513" s="1"/>
      <c r="O1513" s="1"/>
      <c r="V1513" s="1"/>
      <c r="AC1513" s="1"/>
      <c r="AJ1513" s="1"/>
      <c r="AQ1513" s="1"/>
      <c r="AX1513" s="1"/>
      <c r="BE1513" s="1"/>
    </row>
    <row r="1514" spans="1:57" x14ac:dyDescent="0.25">
      <c r="A1514" s="1"/>
      <c r="H1514" s="1"/>
      <c r="O1514" s="1"/>
      <c r="V1514" s="1"/>
      <c r="AC1514" s="1"/>
      <c r="AJ1514" s="1"/>
      <c r="AQ1514" s="1"/>
      <c r="AX1514" s="1"/>
      <c r="BE1514" s="1"/>
    </row>
    <row r="1515" spans="1:57" x14ac:dyDescent="0.25">
      <c r="A1515" s="1"/>
      <c r="H1515" s="1"/>
      <c r="O1515" s="1"/>
      <c r="V1515" s="1"/>
      <c r="AC1515" s="1"/>
      <c r="AJ1515" s="1"/>
      <c r="AQ1515" s="1"/>
      <c r="AX1515" s="1"/>
      <c r="BE1515" s="1"/>
    </row>
    <row r="1516" spans="1:57" x14ac:dyDescent="0.25">
      <c r="A1516" s="1"/>
      <c r="H1516" s="1"/>
      <c r="O1516" s="1"/>
      <c r="V1516" s="1"/>
      <c r="AC1516" s="1"/>
      <c r="AJ1516" s="1"/>
      <c r="AQ1516" s="1"/>
      <c r="AX1516" s="1"/>
      <c r="BE1516" s="1"/>
    </row>
    <row r="1517" spans="1:57" x14ac:dyDescent="0.25">
      <c r="A1517" s="1"/>
      <c r="H1517" s="1"/>
      <c r="O1517" s="1"/>
      <c r="V1517" s="1"/>
      <c r="AC1517" s="1"/>
      <c r="AJ1517" s="1"/>
      <c r="AQ1517" s="1"/>
      <c r="AX1517" s="1"/>
      <c r="BE1517" s="1"/>
    </row>
    <row r="1518" spans="1:57" x14ac:dyDescent="0.25">
      <c r="A1518" s="1"/>
      <c r="H1518" s="1"/>
      <c r="O1518" s="1"/>
      <c r="V1518" s="1"/>
      <c r="AC1518" s="1"/>
      <c r="AJ1518" s="1"/>
      <c r="AQ1518" s="1"/>
      <c r="AX1518" s="1"/>
      <c r="BE1518" s="1"/>
    </row>
    <row r="1519" spans="1:57" x14ac:dyDescent="0.25">
      <c r="A1519" s="1"/>
      <c r="H1519" s="1"/>
      <c r="O1519" s="1"/>
      <c r="V1519" s="1"/>
      <c r="AC1519" s="1"/>
      <c r="AJ1519" s="1"/>
      <c r="AQ1519" s="1"/>
      <c r="AX1519" s="1"/>
      <c r="BE1519" s="1"/>
    </row>
    <row r="1520" spans="1:57" x14ac:dyDescent="0.25">
      <c r="A1520" s="1"/>
      <c r="H1520" s="1"/>
      <c r="O1520" s="1"/>
      <c r="V1520" s="1"/>
      <c r="AC1520" s="1"/>
      <c r="AJ1520" s="1"/>
      <c r="AQ1520" s="1"/>
      <c r="AX1520" s="1"/>
      <c r="BE1520" s="1"/>
    </row>
    <row r="1521" spans="1:57" x14ac:dyDescent="0.25">
      <c r="A1521" s="1"/>
      <c r="H1521" s="1"/>
      <c r="O1521" s="1"/>
      <c r="V1521" s="1"/>
      <c r="AC1521" s="1"/>
      <c r="AJ1521" s="1"/>
      <c r="AQ1521" s="1"/>
      <c r="AX1521" s="1"/>
      <c r="BE1521" s="1"/>
    </row>
    <row r="1522" spans="1:57" x14ac:dyDescent="0.25">
      <c r="A1522" s="1"/>
      <c r="H1522" s="1"/>
      <c r="O1522" s="1"/>
      <c r="V1522" s="1"/>
      <c r="AC1522" s="1"/>
      <c r="AJ1522" s="1"/>
      <c r="AQ1522" s="1"/>
      <c r="AX1522" s="1"/>
      <c r="BE1522" s="1"/>
    </row>
    <row r="1523" spans="1:57" x14ac:dyDescent="0.25">
      <c r="A1523" s="1"/>
      <c r="H1523" s="1"/>
      <c r="O1523" s="1"/>
      <c r="V1523" s="1"/>
      <c r="AC1523" s="1"/>
      <c r="AJ1523" s="1"/>
      <c r="AQ1523" s="1"/>
      <c r="AX1523" s="1"/>
      <c r="BE1523" s="1"/>
    </row>
    <row r="1524" spans="1:57" x14ac:dyDescent="0.25">
      <c r="A1524" s="1"/>
      <c r="H1524" s="1"/>
      <c r="O1524" s="1"/>
      <c r="V1524" s="1"/>
      <c r="AC1524" s="1"/>
      <c r="AJ1524" s="1"/>
      <c r="AQ1524" s="1"/>
      <c r="AX1524" s="1"/>
      <c r="BE1524" s="1"/>
    </row>
    <row r="1525" spans="1:57" x14ac:dyDescent="0.25">
      <c r="A1525" s="1"/>
      <c r="H1525" s="1"/>
      <c r="O1525" s="1"/>
      <c r="V1525" s="1"/>
      <c r="AC1525" s="1"/>
      <c r="AJ1525" s="1"/>
      <c r="AQ1525" s="1"/>
      <c r="AX1525" s="1"/>
      <c r="BE1525" s="1"/>
    </row>
    <row r="1526" spans="1:57" x14ac:dyDescent="0.25">
      <c r="A1526" s="1"/>
      <c r="H1526" s="1"/>
      <c r="O1526" s="1"/>
      <c r="V1526" s="1"/>
      <c r="AC1526" s="1"/>
      <c r="AJ1526" s="1"/>
      <c r="AQ1526" s="1"/>
      <c r="AX1526" s="1"/>
      <c r="BE1526" s="1"/>
    </row>
    <row r="1527" spans="1:57" x14ac:dyDescent="0.25">
      <c r="A1527" s="1"/>
      <c r="H1527" s="1"/>
      <c r="O1527" s="1"/>
      <c r="V1527" s="1"/>
      <c r="AC1527" s="1"/>
      <c r="AJ1527" s="1"/>
      <c r="AQ1527" s="1"/>
      <c r="AX1527" s="1"/>
      <c r="BE1527" s="1"/>
    </row>
    <row r="1528" spans="1:57" x14ac:dyDescent="0.25">
      <c r="A1528" s="1"/>
      <c r="H1528" s="1"/>
      <c r="O1528" s="1"/>
      <c r="V1528" s="1"/>
      <c r="AC1528" s="1"/>
      <c r="AJ1528" s="1"/>
      <c r="AQ1528" s="1"/>
      <c r="AX1528" s="1"/>
      <c r="BE1528" s="1"/>
    </row>
    <row r="1529" spans="1:57" x14ac:dyDescent="0.25">
      <c r="A1529" s="1"/>
      <c r="H1529" s="1"/>
      <c r="O1529" s="1"/>
      <c r="V1529" s="1"/>
      <c r="AC1529" s="1"/>
      <c r="AJ1529" s="1"/>
      <c r="AQ1529" s="1"/>
      <c r="AX1529" s="1"/>
      <c r="BE1529" s="1"/>
    </row>
    <row r="1530" spans="1:57" x14ac:dyDescent="0.25">
      <c r="A1530" s="1"/>
      <c r="H1530" s="1"/>
      <c r="O1530" s="1"/>
      <c r="V1530" s="1"/>
      <c r="AC1530" s="1"/>
      <c r="AJ1530" s="1"/>
      <c r="AQ1530" s="1"/>
      <c r="AX1530" s="1"/>
      <c r="BE1530" s="1"/>
    </row>
    <row r="1531" spans="1:57" x14ac:dyDescent="0.25">
      <c r="A1531" s="1"/>
      <c r="H1531" s="1"/>
      <c r="O1531" s="1"/>
      <c r="V1531" s="1"/>
      <c r="AC1531" s="1"/>
      <c r="AJ1531" s="1"/>
      <c r="AQ1531" s="1"/>
      <c r="AX1531" s="1"/>
      <c r="BE1531" s="1"/>
    </row>
    <row r="1532" spans="1:57" x14ac:dyDescent="0.25">
      <c r="A1532" s="1"/>
      <c r="H1532" s="1"/>
      <c r="O1532" s="1"/>
      <c r="V1532" s="1"/>
      <c r="AC1532" s="1"/>
      <c r="AJ1532" s="1"/>
      <c r="AQ1532" s="1"/>
      <c r="AX1532" s="1"/>
      <c r="BE1532" s="1"/>
    </row>
    <row r="1533" spans="1:57" x14ac:dyDescent="0.25">
      <c r="A1533" s="1"/>
      <c r="H1533" s="1"/>
      <c r="O1533" s="1"/>
      <c r="V1533" s="1"/>
      <c r="AC1533" s="1"/>
      <c r="AJ1533" s="1"/>
      <c r="AQ1533" s="1"/>
      <c r="AX1533" s="1"/>
      <c r="BE1533" s="1"/>
    </row>
    <row r="1534" spans="1:57" x14ac:dyDescent="0.25">
      <c r="A1534" s="1"/>
      <c r="H1534" s="1"/>
      <c r="O1534" s="1"/>
      <c r="V1534" s="1"/>
      <c r="AC1534" s="1"/>
      <c r="AJ1534" s="1"/>
      <c r="AQ1534" s="1"/>
      <c r="AX1534" s="1"/>
      <c r="BE1534" s="1"/>
    </row>
    <row r="1535" spans="1:57" x14ac:dyDescent="0.25">
      <c r="A1535" s="1"/>
      <c r="H1535" s="1"/>
      <c r="O1535" s="1"/>
      <c r="V1535" s="1"/>
      <c r="AC1535" s="1"/>
      <c r="AJ1535" s="1"/>
      <c r="AQ1535" s="1"/>
      <c r="AX1535" s="1"/>
      <c r="BE1535" s="1"/>
    </row>
    <row r="1536" spans="1:57" x14ac:dyDescent="0.25">
      <c r="A1536" s="1"/>
      <c r="H1536" s="1"/>
      <c r="O1536" s="1"/>
      <c r="V1536" s="1"/>
      <c r="AC1536" s="1"/>
      <c r="AJ1536" s="1"/>
      <c r="AQ1536" s="1"/>
      <c r="AX1536" s="1"/>
      <c r="BE1536" s="1"/>
    </row>
    <row r="1537" spans="1:57" x14ac:dyDescent="0.25">
      <c r="A1537" s="1"/>
      <c r="H1537" s="1"/>
      <c r="O1537" s="1"/>
      <c r="V1537" s="1"/>
      <c r="AC1537" s="1"/>
      <c r="AJ1537" s="1"/>
      <c r="AQ1537" s="1"/>
      <c r="AX1537" s="1"/>
      <c r="BE1537" s="1"/>
    </row>
    <row r="1538" spans="1:57" x14ac:dyDescent="0.25">
      <c r="A1538" s="1"/>
      <c r="H1538" s="1"/>
      <c r="O1538" s="1"/>
      <c r="V1538" s="1"/>
      <c r="AC1538" s="1"/>
      <c r="AJ1538" s="1"/>
      <c r="AQ1538" s="1"/>
      <c r="AX1538" s="1"/>
      <c r="BE1538" s="1"/>
    </row>
    <row r="1539" spans="1:57" x14ac:dyDescent="0.25">
      <c r="A1539" s="1"/>
      <c r="H1539" s="1"/>
      <c r="O1539" s="1"/>
      <c r="V1539" s="1"/>
      <c r="AC1539" s="1"/>
      <c r="AJ1539" s="1"/>
      <c r="AQ1539" s="1"/>
      <c r="AX1539" s="1"/>
      <c r="BE1539" s="1"/>
    </row>
    <row r="1540" spans="1:57" x14ac:dyDescent="0.25">
      <c r="A1540" s="1"/>
      <c r="H1540" s="1"/>
      <c r="O1540" s="1"/>
      <c r="V1540" s="1"/>
      <c r="AC1540" s="1"/>
      <c r="AJ1540" s="1"/>
      <c r="AQ1540" s="1"/>
      <c r="AX1540" s="1"/>
      <c r="BE1540" s="1"/>
    </row>
    <row r="1541" spans="1:57" x14ac:dyDescent="0.25">
      <c r="A1541" s="1"/>
      <c r="H1541" s="1"/>
      <c r="O1541" s="1"/>
      <c r="V1541" s="1"/>
      <c r="AC1541" s="1"/>
      <c r="AJ1541" s="1"/>
      <c r="AQ1541" s="1"/>
      <c r="AX1541" s="1"/>
      <c r="BE1541" s="1"/>
    </row>
    <row r="1542" spans="1:57" x14ac:dyDescent="0.25">
      <c r="A1542" s="1"/>
      <c r="H1542" s="1"/>
      <c r="O1542" s="1"/>
      <c r="V1542" s="1"/>
      <c r="AC1542" s="1"/>
      <c r="AJ1542" s="1"/>
      <c r="AQ1542" s="1"/>
      <c r="AX1542" s="1"/>
      <c r="BE1542" s="1"/>
    </row>
    <row r="1543" spans="1:57" x14ac:dyDescent="0.25">
      <c r="A1543" s="1"/>
      <c r="H1543" s="1"/>
      <c r="O1543" s="1"/>
      <c r="V1543" s="1"/>
      <c r="AC1543" s="1"/>
      <c r="AJ1543" s="1"/>
      <c r="AQ1543" s="1"/>
      <c r="AX1543" s="1"/>
      <c r="BE1543" s="1"/>
    </row>
    <row r="1544" spans="1:57" x14ac:dyDescent="0.25">
      <c r="A1544" s="1"/>
      <c r="H1544" s="1"/>
      <c r="O1544" s="1"/>
      <c r="V1544" s="1"/>
      <c r="AC1544" s="1"/>
      <c r="AJ1544" s="1"/>
      <c r="AQ1544" s="1"/>
      <c r="AX1544" s="1"/>
      <c r="BE1544" s="1"/>
    </row>
    <row r="1545" spans="1:57" x14ac:dyDescent="0.25">
      <c r="A1545" s="1"/>
      <c r="H1545" s="1"/>
      <c r="O1545" s="1"/>
      <c r="V1545" s="1"/>
      <c r="AC1545" s="1"/>
      <c r="AJ1545" s="1"/>
      <c r="AQ1545" s="1"/>
      <c r="AX1545" s="1"/>
      <c r="BE1545" s="1"/>
    </row>
    <row r="1546" spans="1:57" x14ac:dyDescent="0.25">
      <c r="A1546" s="1"/>
      <c r="H1546" s="1"/>
      <c r="O1546" s="1"/>
      <c r="V1546" s="1"/>
      <c r="AC1546" s="1"/>
      <c r="AJ1546" s="1"/>
      <c r="AQ1546" s="1"/>
      <c r="AX1546" s="1"/>
      <c r="BE1546" s="1"/>
    </row>
    <row r="1547" spans="1:57" x14ac:dyDescent="0.25">
      <c r="A1547" s="1"/>
      <c r="H1547" s="1"/>
      <c r="O1547" s="1"/>
      <c r="V1547" s="1"/>
      <c r="AC1547" s="1"/>
      <c r="AJ1547" s="1"/>
      <c r="AQ1547" s="1"/>
      <c r="AX1547" s="1"/>
      <c r="BE1547" s="1"/>
    </row>
    <row r="1548" spans="1:57" x14ac:dyDescent="0.25">
      <c r="A1548" s="1"/>
      <c r="H1548" s="1"/>
      <c r="O1548" s="1"/>
      <c r="V1548" s="1"/>
      <c r="AC1548" s="1"/>
      <c r="AJ1548" s="1"/>
      <c r="AQ1548" s="1"/>
      <c r="AX1548" s="1"/>
      <c r="BE1548" s="1"/>
    </row>
    <row r="1549" spans="1:57" x14ac:dyDescent="0.25">
      <c r="A1549" s="1"/>
      <c r="H1549" s="1"/>
      <c r="O1549" s="1"/>
      <c r="V1549" s="1"/>
      <c r="AC1549" s="1"/>
      <c r="AJ1549" s="1"/>
      <c r="AQ1549" s="1"/>
      <c r="AX1549" s="1"/>
      <c r="BE1549" s="1"/>
    </row>
    <row r="1550" spans="1:57" x14ac:dyDescent="0.25">
      <c r="A1550" s="1"/>
      <c r="H1550" s="1"/>
      <c r="O1550" s="1"/>
      <c r="V1550" s="1"/>
      <c r="AC1550" s="1"/>
      <c r="AJ1550" s="1"/>
      <c r="AQ1550" s="1"/>
      <c r="AX1550" s="1"/>
      <c r="BE1550" s="1"/>
    </row>
    <row r="1551" spans="1:57" x14ac:dyDescent="0.25">
      <c r="A1551" s="1"/>
      <c r="H1551" s="1"/>
      <c r="O1551" s="1"/>
      <c r="V1551" s="1"/>
      <c r="AC1551" s="1"/>
      <c r="AJ1551" s="1"/>
      <c r="AQ1551" s="1"/>
      <c r="AX1551" s="1"/>
      <c r="BE1551" s="1"/>
    </row>
    <row r="1552" spans="1:57" x14ac:dyDescent="0.25">
      <c r="A1552" s="1"/>
      <c r="H1552" s="1"/>
      <c r="O1552" s="1"/>
      <c r="V1552" s="1"/>
      <c r="AC1552" s="1"/>
      <c r="AJ1552" s="1"/>
      <c r="AQ1552" s="1"/>
      <c r="AX1552" s="1"/>
      <c r="BE1552" s="1"/>
    </row>
    <row r="1553" spans="1:57" x14ac:dyDescent="0.25">
      <c r="A1553" s="1"/>
      <c r="H1553" s="1"/>
      <c r="O1553" s="1"/>
      <c r="V1553" s="1"/>
      <c r="AC1553" s="1"/>
      <c r="AJ1553" s="1"/>
      <c r="AQ1553" s="1"/>
      <c r="AX1553" s="1"/>
      <c r="BE1553" s="1"/>
    </row>
    <row r="1554" spans="1:57" x14ac:dyDescent="0.25">
      <c r="A1554" s="1"/>
      <c r="H1554" s="1"/>
      <c r="O1554" s="1"/>
      <c r="V1554" s="1"/>
      <c r="AC1554" s="1"/>
      <c r="AJ1554" s="1"/>
      <c r="AQ1554" s="1"/>
      <c r="AX1554" s="1"/>
      <c r="BE1554" s="1"/>
    </row>
    <row r="1555" spans="1:57" x14ac:dyDescent="0.25">
      <c r="A1555" s="1"/>
      <c r="H1555" s="1"/>
      <c r="O1555" s="1"/>
      <c r="V1555" s="1"/>
      <c r="AC1555" s="1"/>
      <c r="AJ1555" s="1"/>
      <c r="AQ1555" s="1"/>
      <c r="AX1555" s="1"/>
      <c r="BE1555" s="1"/>
    </row>
    <row r="1556" spans="1:57" x14ac:dyDescent="0.25">
      <c r="A1556" s="1"/>
      <c r="H1556" s="1"/>
      <c r="O1556" s="1"/>
      <c r="V1556" s="1"/>
      <c r="AC1556" s="1"/>
      <c r="AJ1556" s="1"/>
      <c r="AQ1556" s="1"/>
      <c r="AX1556" s="1"/>
      <c r="BE1556" s="1"/>
    </row>
    <row r="1557" spans="1:57" x14ac:dyDescent="0.25">
      <c r="A1557" s="1"/>
      <c r="H1557" s="1"/>
      <c r="O1557" s="1"/>
      <c r="V1557" s="1"/>
      <c r="AC1557" s="1"/>
      <c r="AJ1557" s="1"/>
      <c r="AQ1557" s="1"/>
      <c r="AX1557" s="1"/>
      <c r="BE1557" s="1"/>
    </row>
    <row r="1558" spans="1:57" x14ac:dyDescent="0.25">
      <c r="A1558" s="1"/>
      <c r="H1558" s="1"/>
      <c r="O1558" s="1"/>
      <c r="V1558" s="1"/>
      <c r="AC1558" s="1"/>
      <c r="AJ1558" s="1"/>
      <c r="AQ1558" s="1"/>
      <c r="AX1558" s="1"/>
      <c r="BE1558" s="1"/>
    </row>
    <row r="1559" spans="1:57" x14ac:dyDescent="0.25">
      <c r="A1559" s="1"/>
      <c r="H1559" s="1"/>
      <c r="O1559" s="1"/>
      <c r="V1559" s="1"/>
      <c r="AC1559" s="1"/>
      <c r="AJ1559" s="1"/>
      <c r="AQ1559" s="1"/>
      <c r="AX1559" s="1"/>
      <c r="BE1559" s="1"/>
    </row>
    <row r="1560" spans="1:57" x14ac:dyDescent="0.25">
      <c r="A1560" s="1"/>
      <c r="H1560" s="1"/>
      <c r="O1560" s="1"/>
      <c r="V1560" s="1"/>
      <c r="AC1560" s="1"/>
      <c r="AJ1560" s="1"/>
      <c r="AQ1560" s="1"/>
      <c r="AX1560" s="1"/>
      <c r="BE1560" s="1"/>
    </row>
    <row r="1561" spans="1:57" x14ac:dyDescent="0.25">
      <c r="A1561" s="1"/>
      <c r="H1561" s="1"/>
      <c r="O1561" s="1"/>
      <c r="V1561" s="1"/>
      <c r="AC1561" s="1"/>
      <c r="AJ1561" s="1"/>
      <c r="AQ1561" s="1"/>
      <c r="AX1561" s="1"/>
      <c r="BE1561" s="1"/>
    </row>
    <row r="1562" spans="1:57" x14ac:dyDescent="0.25">
      <c r="A1562" s="1"/>
      <c r="H1562" s="1"/>
      <c r="O1562" s="1"/>
      <c r="V1562" s="1"/>
      <c r="AC1562" s="1"/>
      <c r="AJ1562" s="1"/>
      <c r="AQ1562" s="1"/>
      <c r="AX1562" s="1"/>
      <c r="BE1562" s="1"/>
    </row>
    <row r="1563" spans="1:57" x14ac:dyDescent="0.25">
      <c r="A1563" s="1"/>
      <c r="H1563" s="1"/>
      <c r="O1563" s="1"/>
      <c r="V1563" s="1"/>
      <c r="AC1563" s="1"/>
      <c r="AJ1563" s="1"/>
      <c r="AQ1563" s="1"/>
      <c r="AX1563" s="1"/>
      <c r="BE1563" s="1"/>
    </row>
    <row r="1564" spans="1:57" x14ac:dyDescent="0.25">
      <c r="A1564" s="1"/>
      <c r="H1564" s="1"/>
      <c r="O1564" s="1"/>
      <c r="V1564" s="1"/>
      <c r="AC1564" s="1"/>
      <c r="AJ1564" s="1"/>
      <c r="AQ1564" s="1"/>
      <c r="AX1564" s="1"/>
      <c r="BE1564" s="1"/>
    </row>
    <row r="1565" spans="1:57" x14ac:dyDescent="0.25">
      <c r="A1565" s="1"/>
      <c r="H1565" s="1"/>
      <c r="O1565" s="1"/>
      <c r="V1565" s="1"/>
      <c r="AC1565" s="1"/>
      <c r="AJ1565" s="1"/>
      <c r="AQ1565" s="1"/>
      <c r="AX1565" s="1"/>
      <c r="BE1565" s="1"/>
    </row>
    <row r="1566" spans="1:57" x14ac:dyDescent="0.25">
      <c r="A1566" s="1"/>
      <c r="H1566" s="1"/>
      <c r="O1566" s="1"/>
      <c r="V1566" s="1"/>
      <c r="AC1566" s="1"/>
      <c r="AJ1566" s="1"/>
      <c r="AQ1566" s="1"/>
      <c r="AX1566" s="1"/>
      <c r="BE1566" s="1"/>
    </row>
    <row r="1567" spans="1:57" x14ac:dyDescent="0.25">
      <c r="A1567" s="1"/>
      <c r="H1567" s="1"/>
      <c r="O1567" s="1"/>
      <c r="V1567" s="1"/>
      <c r="AC1567" s="1"/>
      <c r="AJ1567" s="1"/>
      <c r="AQ1567" s="1"/>
      <c r="AX1567" s="1"/>
      <c r="BE1567" s="1"/>
    </row>
    <row r="1568" spans="1:57" x14ac:dyDescent="0.25">
      <c r="A1568" s="1"/>
      <c r="H1568" s="1"/>
      <c r="O1568" s="1"/>
      <c r="V1568" s="1"/>
      <c r="AC1568" s="1"/>
      <c r="AJ1568" s="1"/>
      <c r="AQ1568" s="1"/>
      <c r="AX1568" s="1"/>
      <c r="BE1568" s="1"/>
    </row>
    <row r="1569" spans="1:57" x14ac:dyDescent="0.25">
      <c r="A1569" s="1"/>
      <c r="H1569" s="1"/>
      <c r="O1569" s="1"/>
      <c r="V1569" s="1"/>
      <c r="AC1569" s="1"/>
      <c r="AJ1569" s="1"/>
      <c r="AQ1569" s="1"/>
      <c r="AX1569" s="1"/>
      <c r="BE1569" s="1"/>
    </row>
    <row r="1570" spans="1:57" x14ac:dyDescent="0.25">
      <c r="A1570" s="1"/>
      <c r="H1570" s="1"/>
      <c r="O1570" s="1"/>
      <c r="V1570" s="1"/>
      <c r="AC1570" s="1"/>
      <c r="AJ1570" s="1"/>
      <c r="AQ1570" s="1"/>
      <c r="AX1570" s="1"/>
      <c r="BE1570" s="1"/>
    </row>
    <row r="1571" spans="1:57" x14ac:dyDescent="0.25">
      <c r="A1571" s="1"/>
      <c r="H1571" s="1"/>
      <c r="O1571" s="1"/>
      <c r="V1571" s="1"/>
      <c r="AC1571" s="1"/>
      <c r="AJ1571" s="1"/>
      <c r="AQ1571" s="1"/>
      <c r="AX1571" s="1"/>
      <c r="BE1571" s="1"/>
    </row>
    <row r="1572" spans="1:57" x14ac:dyDescent="0.25">
      <c r="A1572" s="1"/>
      <c r="H1572" s="1"/>
      <c r="O1572" s="1"/>
      <c r="V1572" s="1"/>
      <c r="AC1572" s="1"/>
      <c r="AJ1572" s="1"/>
      <c r="AQ1572" s="1"/>
      <c r="AX1572" s="1"/>
      <c r="BE1572" s="1"/>
    </row>
    <row r="1573" spans="1:57" x14ac:dyDescent="0.25">
      <c r="A1573" s="1"/>
      <c r="H1573" s="1"/>
      <c r="O1573" s="1"/>
      <c r="V1573" s="1"/>
      <c r="AC1573" s="1"/>
      <c r="AJ1573" s="1"/>
      <c r="AQ1573" s="1"/>
      <c r="AX1573" s="1"/>
      <c r="BE1573" s="1"/>
    </row>
    <row r="1574" spans="1:57" x14ac:dyDescent="0.25">
      <c r="A1574" s="1"/>
      <c r="H1574" s="1"/>
      <c r="O1574" s="1"/>
      <c r="V1574" s="1"/>
      <c r="AC1574" s="1"/>
      <c r="AJ1574" s="1"/>
      <c r="AQ1574" s="1"/>
      <c r="AX1574" s="1"/>
      <c r="BE1574" s="1"/>
    </row>
    <row r="1575" spans="1:57" x14ac:dyDescent="0.25">
      <c r="A1575" s="1"/>
      <c r="H1575" s="1"/>
      <c r="O1575" s="1"/>
      <c r="V1575" s="1"/>
      <c r="AC1575" s="1"/>
      <c r="AJ1575" s="1"/>
      <c r="AQ1575" s="1"/>
      <c r="AX1575" s="1"/>
      <c r="BE1575" s="1"/>
    </row>
    <row r="1576" spans="1:57" x14ac:dyDescent="0.25">
      <c r="A1576" s="1"/>
      <c r="H1576" s="1"/>
      <c r="O1576" s="1"/>
      <c r="V1576" s="1"/>
      <c r="AC1576" s="1"/>
      <c r="AJ1576" s="1"/>
      <c r="AQ1576" s="1"/>
      <c r="AX1576" s="1"/>
      <c r="BE1576" s="1"/>
    </row>
    <row r="1577" spans="1:57" x14ac:dyDescent="0.25">
      <c r="A1577" s="1"/>
      <c r="H1577" s="1"/>
      <c r="O1577" s="1"/>
      <c r="V1577" s="1"/>
      <c r="AC1577" s="1"/>
      <c r="AJ1577" s="1"/>
      <c r="AQ1577" s="1"/>
      <c r="AX1577" s="1"/>
      <c r="BE1577" s="1"/>
    </row>
    <row r="1578" spans="1:57" x14ac:dyDescent="0.25">
      <c r="A1578" s="1"/>
      <c r="H1578" s="1"/>
      <c r="O1578" s="1"/>
      <c r="V1578" s="1"/>
      <c r="AC1578" s="1"/>
      <c r="AJ1578" s="1"/>
      <c r="AQ1578" s="1"/>
      <c r="AX1578" s="1"/>
      <c r="BE1578" s="1"/>
    </row>
    <row r="1579" spans="1:57" x14ac:dyDescent="0.25">
      <c r="A1579" s="1"/>
      <c r="H1579" s="1"/>
      <c r="O1579" s="1"/>
      <c r="V1579" s="1"/>
      <c r="AC1579" s="1"/>
      <c r="AJ1579" s="1"/>
      <c r="AQ1579" s="1"/>
      <c r="AX1579" s="1"/>
      <c r="BE1579" s="1"/>
    </row>
    <row r="1580" spans="1:57" x14ac:dyDescent="0.25">
      <c r="A1580" s="1"/>
      <c r="H1580" s="1"/>
      <c r="O1580" s="1"/>
      <c r="V1580" s="1"/>
      <c r="AC1580" s="1"/>
      <c r="AJ1580" s="1"/>
      <c r="AQ1580" s="1"/>
      <c r="AX1580" s="1"/>
      <c r="BE1580" s="1"/>
    </row>
    <row r="1581" spans="1:57" x14ac:dyDescent="0.25">
      <c r="A1581" s="1"/>
      <c r="H1581" s="1"/>
      <c r="O1581" s="1"/>
      <c r="V1581" s="1"/>
      <c r="AC1581" s="1"/>
      <c r="AJ1581" s="1"/>
      <c r="AQ1581" s="1"/>
      <c r="AX1581" s="1"/>
      <c r="BE1581" s="1"/>
    </row>
    <row r="1582" spans="1:57" x14ac:dyDescent="0.25">
      <c r="A1582" s="1"/>
      <c r="H1582" s="1"/>
      <c r="O1582" s="1"/>
      <c r="V1582" s="1"/>
      <c r="AC1582" s="1"/>
      <c r="AJ1582" s="1"/>
      <c r="AQ1582" s="1"/>
      <c r="AX1582" s="1"/>
      <c r="BE1582" s="1"/>
    </row>
    <row r="1583" spans="1:57" x14ac:dyDescent="0.25">
      <c r="A1583" s="1"/>
      <c r="H1583" s="1"/>
      <c r="O1583" s="1"/>
      <c r="V1583" s="1"/>
      <c r="AC1583" s="1"/>
      <c r="AJ1583" s="1"/>
      <c r="AQ1583" s="1"/>
      <c r="AX1583" s="1"/>
      <c r="BE1583" s="1"/>
    </row>
    <row r="1584" spans="1:57" x14ac:dyDescent="0.25">
      <c r="A1584" s="1"/>
      <c r="H1584" s="1"/>
      <c r="O1584" s="1"/>
      <c r="V1584" s="1"/>
      <c r="AC1584" s="1"/>
      <c r="AJ1584" s="1"/>
      <c r="AQ1584" s="1"/>
      <c r="AX1584" s="1"/>
      <c r="BE1584" s="1"/>
    </row>
    <row r="1585" spans="1:57" x14ac:dyDescent="0.25">
      <c r="A1585" s="1"/>
      <c r="H1585" s="1"/>
      <c r="O1585" s="1"/>
      <c r="V1585" s="1"/>
      <c r="AC1585" s="1"/>
      <c r="AJ1585" s="1"/>
      <c r="AQ1585" s="1"/>
      <c r="AX1585" s="1"/>
      <c r="BE1585" s="1"/>
    </row>
    <row r="1586" spans="1:57" x14ac:dyDescent="0.25">
      <c r="A1586" s="1"/>
      <c r="H1586" s="1"/>
      <c r="O1586" s="1"/>
      <c r="V1586" s="1"/>
      <c r="AC1586" s="1"/>
      <c r="AJ1586" s="1"/>
      <c r="AQ1586" s="1"/>
      <c r="AX1586" s="1"/>
      <c r="BE1586" s="1"/>
    </row>
    <row r="1587" spans="1:57" x14ac:dyDescent="0.25">
      <c r="A1587" s="1"/>
      <c r="H1587" s="1"/>
      <c r="O1587" s="1"/>
      <c r="V1587" s="1"/>
      <c r="AC1587" s="1"/>
      <c r="AJ1587" s="1"/>
      <c r="AQ1587" s="1"/>
      <c r="AX1587" s="1"/>
      <c r="BE1587" s="1"/>
    </row>
    <row r="1588" spans="1:57" x14ac:dyDescent="0.25">
      <c r="A1588" s="1"/>
      <c r="H1588" s="1"/>
      <c r="O1588" s="1"/>
      <c r="V1588" s="1"/>
      <c r="AC1588" s="1"/>
      <c r="AJ1588" s="1"/>
      <c r="AQ1588" s="1"/>
      <c r="AX1588" s="1"/>
      <c r="BE1588" s="1"/>
    </row>
    <row r="1589" spans="1:57" x14ac:dyDescent="0.25">
      <c r="A1589" s="1"/>
      <c r="H1589" s="1"/>
      <c r="O1589" s="1"/>
      <c r="V1589" s="1"/>
      <c r="AC1589" s="1"/>
      <c r="AJ1589" s="1"/>
      <c r="AQ1589" s="1"/>
      <c r="AX1589" s="1"/>
      <c r="BE1589" s="1"/>
    </row>
    <row r="1590" spans="1:57" x14ac:dyDescent="0.25">
      <c r="A1590" s="1"/>
      <c r="H1590" s="1"/>
      <c r="O1590" s="1"/>
      <c r="V1590" s="1"/>
      <c r="AC1590" s="1"/>
      <c r="AJ1590" s="1"/>
      <c r="AQ1590" s="1"/>
      <c r="AX1590" s="1"/>
      <c r="BE1590" s="1"/>
    </row>
    <row r="1591" spans="1:57" x14ac:dyDescent="0.25">
      <c r="A1591" s="1"/>
      <c r="H1591" s="1"/>
      <c r="O1591" s="1"/>
      <c r="V1591" s="1"/>
      <c r="AC1591" s="1"/>
      <c r="AJ1591" s="1"/>
      <c r="AQ1591" s="1"/>
      <c r="AX1591" s="1"/>
      <c r="BE1591" s="1"/>
    </row>
    <row r="1592" spans="1:57" x14ac:dyDescent="0.25">
      <c r="A1592" s="1"/>
      <c r="H1592" s="1"/>
      <c r="O1592" s="1"/>
      <c r="V1592" s="1"/>
      <c r="AC1592" s="1"/>
      <c r="AJ1592" s="1"/>
      <c r="AQ1592" s="1"/>
      <c r="AX1592" s="1"/>
      <c r="BE1592" s="1"/>
    </row>
    <row r="1593" spans="1:57" x14ac:dyDescent="0.25">
      <c r="A1593" s="1"/>
      <c r="H1593" s="1"/>
      <c r="O1593" s="1"/>
      <c r="V1593" s="1"/>
      <c r="AC1593" s="1"/>
      <c r="AJ1593" s="1"/>
      <c r="AQ1593" s="1"/>
      <c r="AX1593" s="1"/>
      <c r="BE1593" s="1"/>
    </row>
    <row r="1594" spans="1:57" x14ac:dyDescent="0.25">
      <c r="A1594" s="1"/>
      <c r="H1594" s="1"/>
      <c r="O1594" s="1"/>
      <c r="V1594" s="1"/>
      <c r="AC1594" s="1"/>
      <c r="AJ1594" s="1"/>
      <c r="AQ1594" s="1"/>
      <c r="AX1594" s="1"/>
      <c r="BE1594" s="1"/>
    </row>
    <row r="1595" spans="1:57" x14ac:dyDescent="0.25">
      <c r="A1595" s="1"/>
      <c r="H1595" s="1"/>
      <c r="O1595" s="1"/>
      <c r="V1595" s="1"/>
      <c r="AC1595" s="1"/>
      <c r="AJ1595" s="1"/>
      <c r="AQ1595" s="1"/>
      <c r="AX1595" s="1"/>
      <c r="BE1595" s="1"/>
    </row>
    <row r="1596" spans="1:57" x14ac:dyDescent="0.25">
      <c r="A1596" s="1"/>
      <c r="H1596" s="1"/>
      <c r="O1596" s="1"/>
      <c r="V1596" s="1"/>
      <c r="AC1596" s="1"/>
      <c r="AJ1596" s="1"/>
      <c r="AQ1596" s="1"/>
      <c r="AX1596" s="1"/>
      <c r="BE1596" s="1"/>
    </row>
    <row r="1597" spans="1:57" x14ac:dyDescent="0.25">
      <c r="A1597" s="1"/>
      <c r="H1597" s="1"/>
      <c r="O1597" s="1"/>
      <c r="V1597" s="1"/>
      <c r="AC1597" s="1"/>
      <c r="AJ1597" s="1"/>
      <c r="AQ1597" s="1"/>
      <c r="AX1597" s="1"/>
      <c r="BE1597" s="1"/>
    </row>
    <row r="1598" spans="1:57" x14ac:dyDescent="0.25">
      <c r="A1598" s="1"/>
      <c r="H1598" s="1"/>
      <c r="O1598" s="1"/>
      <c r="V1598" s="1"/>
      <c r="AC1598" s="1"/>
      <c r="AJ1598" s="1"/>
      <c r="AQ1598" s="1"/>
      <c r="AX1598" s="1"/>
      <c r="BE1598" s="1"/>
    </row>
    <row r="1599" spans="1:57" x14ac:dyDescent="0.25">
      <c r="A1599" s="1"/>
      <c r="H1599" s="1"/>
      <c r="O1599" s="1"/>
      <c r="V1599" s="1"/>
      <c r="AC1599" s="1"/>
      <c r="AJ1599" s="1"/>
      <c r="AQ1599" s="1"/>
      <c r="AX1599" s="1"/>
      <c r="BE1599" s="1"/>
    </row>
    <row r="1600" spans="1:57" x14ac:dyDescent="0.25">
      <c r="A1600" s="1"/>
      <c r="H1600" s="1"/>
      <c r="O1600" s="1"/>
      <c r="V1600" s="1"/>
      <c r="AC1600" s="1"/>
      <c r="AJ1600" s="1"/>
      <c r="AQ1600" s="1"/>
      <c r="AX1600" s="1"/>
      <c r="BE1600" s="1"/>
    </row>
    <row r="1601" spans="1:57" x14ac:dyDescent="0.25">
      <c r="A1601" s="1"/>
      <c r="H1601" s="1"/>
      <c r="O1601" s="1"/>
      <c r="V1601" s="1"/>
      <c r="AC1601" s="1"/>
      <c r="AJ1601" s="1"/>
      <c r="AQ1601" s="1"/>
      <c r="AX1601" s="1"/>
      <c r="BE1601" s="1"/>
    </row>
    <row r="1602" spans="1:57" x14ac:dyDescent="0.25">
      <c r="A1602" s="1"/>
      <c r="H1602" s="1"/>
      <c r="O1602" s="1"/>
      <c r="V1602" s="1"/>
      <c r="AC1602" s="1"/>
      <c r="AJ1602" s="1"/>
      <c r="AQ1602" s="1"/>
      <c r="AX1602" s="1"/>
      <c r="BE1602" s="1"/>
    </row>
    <row r="1603" spans="1:57" x14ac:dyDescent="0.25">
      <c r="A1603" s="1"/>
      <c r="H1603" s="1"/>
      <c r="O1603" s="1"/>
      <c r="V1603" s="1"/>
      <c r="AC1603" s="1"/>
      <c r="AJ1603" s="1"/>
      <c r="AQ1603" s="1"/>
      <c r="AX1603" s="1"/>
      <c r="BE1603" s="1"/>
    </row>
    <row r="1604" spans="1:57" x14ac:dyDescent="0.25">
      <c r="A1604" s="1"/>
      <c r="H1604" s="1"/>
      <c r="O1604" s="1"/>
      <c r="V1604" s="1"/>
      <c r="AC1604" s="1"/>
      <c r="AJ1604" s="1"/>
      <c r="AQ1604" s="1"/>
      <c r="AX1604" s="1"/>
      <c r="BE1604" s="1"/>
    </row>
    <row r="1605" spans="1:57" x14ac:dyDescent="0.25">
      <c r="A1605" s="1"/>
      <c r="H1605" s="1"/>
      <c r="O1605" s="1"/>
      <c r="V1605" s="1"/>
      <c r="AC1605" s="1"/>
      <c r="AJ1605" s="1"/>
      <c r="AQ1605" s="1"/>
      <c r="AX1605" s="1"/>
      <c r="BE1605" s="1"/>
    </row>
    <row r="1606" spans="1:57" x14ac:dyDescent="0.25">
      <c r="A1606" s="1"/>
      <c r="H1606" s="1"/>
      <c r="O1606" s="1"/>
      <c r="V1606" s="1"/>
      <c r="AC1606" s="1"/>
      <c r="AJ1606" s="1"/>
      <c r="AQ1606" s="1"/>
      <c r="AX1606" s="1"/>
      <c r="BE1606" s="1"/>
    </row>
    <row r="1607" spans="1:57" x14ac:dyDescent="0.25">
      <c r="A1607" s="1"/>
      <c r="H1607" s="1"/>
      <c r="O1607" s="1"/>
      <c r="V1607" s="1"/>
      <c r="AC1607" s="1"/>
      <c r="AJ1607" s="1"/>
      <c r="AQ1607" s="1"/>
      <c r="AX1607" s="1"/>
      <c r="BE1607" s="1"/>
    </row>
    <row r="1608" spans="1:57" x14ac:dyDescent="0.25">
      <c r="A1608" s="1"/>
      <c r="H1608" s="1"/>
      <c r="O1608" s="1"/>
      <c r="V1608" s="1"/>
      <c r="AC1608" s="1"/>
      <c r="AJ1608" s="1"/>
      <c r="AQ1608" s="1"/>
      <c r="AX1608" s="1"/>
      <c r="BE1608" s="1"/>
    </row>
    <row r="1609" spans="1:57" x14ac:dyDescent="0.25">
      <c r="A1609" s="1"/>
      <c r="H1609" s="1"/>
      <c r="O1609" s="1"/>
      <c r="V1609" s="1"/>
      <c r="AC1609" s="1"/>
      <c r="AJ1609" s="1"/>
      <c r="AQ1609" s="1"/>
      <c r="AX1609" s="1"/>
      <c r="BE1609" s="1"/>
    </row>
    <row r="1610" spans="1:57" x14ac:dyDescent="0.25">
      <c r="A1610" s="1"/>
      <c r="H1610" s="1"/>
      <c r="O1610" s="1"/>
      <c r="V1610" s="1"/>
      <c r="AC1610" s="1"/>
      <c r="AJ1610" s="1"/>
      <c r="AQ1610" s="1"/>
      <c r="AX1610" s="1"/>
      <c r="BE1610" s="1"/>
    </row>
    <row r="1611" spans="1:57" x14ac:dyDescent="0.25">
      <c r="A1611" s="1"/>
      <c r="H1611" s="1"/>
      <c r="O1611" s="1"/>
      <c r="V1611" s="1"/>
      <c r="AC1611" s="1"/>
      <c r="AJ1611" s="1"/>
      <c r="AQ1611" s="1"/>
      <c r="AX1611" s="1"/>
      <c r="BE1611" s="1"/>
    </row>
    <row r="1612" spans="1:57" x14ac:dyDescent="0.25">
      <c r="A1612" s="1"/>
      <c r="H1612" s="1"/>
      <c r="O1612" s="1"/>
      <c r="V1612" s="1"/>
      <c r="AC1612" s="1"/>
      <c r="AJ1612" s="1"/>
      <c r="AQ1612" s="1"/>
      <c r="AX1612" s="1"/>
      <c r="BE1612" s="1"/>
    </row>
    <row r="1613" spans="1:57" x14ac:dyDescent="0.25">
      <c r="A1613" s="1"/>
      <c r="H1613" s="1"/>
      <c r="O1613" s="1"/>
      <c r="V1613" s="1"/>
      <c r="AC1613" s="1"/>
      <c r="AJ1613" s="1"/>
      <c r="AQ1613" s="1"/>
      <c r="AX1613" s="1"/>
      <c r="BE1613" s="1"/>
    </row>
    <row r="1614" spans="1:57" x14ac:dyDescent="0.25">
      <c r="A1614" s="1"/>
      <c r="H1614" s="1"/>
      <c r="O1614" s="1"/>
      <c r="V1614" s="1"/>
      <c r="AC1614" s="1"/>
      <c r="AJ1614" s="1"/>
      <c r="AQ1614" s="1"/>
      <c r="AX1614" s="1"/>
      <c r="BE1614" s="1"/>
    </row>
    <row r="1615" spans="1:57" x14ac:dyDescent="0.25">
      <c r="A1615" s="1"/>
      <c r="H1615" s="1"/>
      <c r="O1615" s="1"/>
      <c r="V1615" s="1"/>
      <c r="AC1615" s="1"/>
      <c r="AJ1615" s="1"/>
      <c r="AQ1615" s="1"/>
      <c r="AX1615" s="1"/>
      <c r="BE1615" s="1"/>
    </row>
    <row r="1616" spans="1:57" x14ac:dyDescent="0.25">
      <c r="A1616" s="1"/>
      <c r="H1616" s="1"/>
      <c r="O1616" s="1"/>
      <c r="V1616" s="1"/>
      <c r="AC1616" s="1"/>
      <c r="AJ1616" s="1"/>
      <c r="AQ1616" s="1"/>
      <c r="AX1616" s="1"/>
      <c r="BE1616" s="1"/>
    </row>
    <row r="1617" spans="1:57" x14ac:dyDescent="0.25">
      <c r="A1617" s="1"/>
      <c r="H1617" s="1"/>
      <c r="O1617" s="1"/>
      <c r="V1617" s="1"/>
      <c r="AC1617" s="1"/>
      <c r="AJ1617" s="1"/>
      <c r="AQ1617" s="1"/>
      <c r="AX1617" s="1"/>
      <c r="BE1617" s="1"/>
    </row>
    <row r="1618" spans="1:57" x14ac:dyDescent="0.25">
      <c r="A1618" s="1"/>
      <c r="H1618" s="1"/>
      <c r="O1618" s="1"/>
      <c r="V1618" s="1"/>
      <c r="AC1618" s="1"/>
      <c r="AJ1618" s="1"/>
      <c r="AQ1618" s="1"/>
      <c r="AX1618" s="1"/>
      <c r="BE1618" s="1"/>
    </row>
    <row r="1619" spans="1:57" x14ac:dyDescent="0.25">
      <c r="A1619" s="1"/>
      <c r="H1619" s="1"/>
      <c r="O1619" s="1"/>
      <c r="V1619" s="1"/>
      <c r="AC1619" s="1"/>
      <c r="AJ1619" s="1"/>
      <c r="AQ1619" s="1"/>
      <c r="AX1619" s="1"/>
      <c r="BE1619" s="1"/>
    </row>
    <row r="1620" spans="1:57" x14ac:dyDescent="0.25">
      <c r="A1620" s="1"/>
      <c r="H1620" s="1"/>
      <c r="O1620" s="1"/>
      <c r="V1620" s="1"/>
      <c r="AC1620" s="1"/>
      <c r="AJ1620" s="1"/>
      <c r="AQ1620" s="1"/>
      <c r="AX1620" s="1"/>
      <c r="BE1620" s="1"/>
    </row>
    <row r="1621" spans="1:57" x14ac:dyDescent="0.25">
      <c r="A1621" s="1"/>
      <c r="H1621" s="1"/>
      <c r="O1621" s="1"/>
      <c r="V1621" s="1"/>
      <c r="AC1621" s="1"/>
      <c r="AJ1621" s="1"/>
      <c r="AQ1621" s="1"/>
      <c r="AX1621" s="1"/>
      <c r="BE1621" s="1"/>
    </row>
    <row r="1622" spans="1:57" x14ac:dyDescent="0.25">
      <c r="A1622" s="1"/>
      <c r="H1622" s="1"/>
      <c r="O1622" s="1"/>
      <c r="V1622" s="1"/>
      <c r="AC1622" s="1"/>
      <c r="AJ1622" s="1"/>
      <c r="AQ1622" s="1"/>
      <c r="AX1622" s="1"/>
      <c r="BE1622" s="1"/>
    </row>
    <row r="1623" spans="1:57" x14ac:dyDescent="0.25">
      <c r="A1623" s="1"/>
      <c r="H1623" s="1"/>
      <c r="O1623" s="1"/>
      <c r="V1623" s="1"/>
      <c r="AC1623" s="1"/>
      <c r="AJ1623" s="1"/>
      <c r="AQ1623" s="1"/>
      <c r="AX1623" s="1"/>
      <c r="BE1623" s="1"/>
    </row>
    <row r="1624" spans="1:57" x14ac:dyDescent="0.25">
      <c r="A1624" s="1"/>
      <c r="H1624" s="1"/>
      <c r="O1624" s="1"/>
      <c r="V1624" s="1"/>
      <c r="AC1624" s="1"/>
      <c r="AJ1624" s="1"/>
      <c r="AQ1624" s="1"/>
      <c r="AX1624" s="1"/>
      <c r="BE1624" s="1"/>
    </row>
    <row r="1625" spans="1:57" x14ac:dyDescent="0.25">
      <c r="A1625" s="1"/>
      <c r="H1625" s="1"/>
      <c r="O1625" s="1"/>
      <c r="V1625" s="1"/>
      <c r="AC1625" s="1"/>
      <c r="AJ1625" s="1"/>
      <c r="AQ1625" s="1"/>
      <c r="AX1625" s="1"/>
      <c r="BE1625" s="1"/>
    </row>
    <row r="1626" spans="1:57" x14ac:dyDescent="0.25">
      <c r="A1626" s="1"/>
      <c r="H1626" s="1"/>
      <c r="O1626" s="1"/>
      <c r="V1626" s="1"/>
      <c r="AC1626" s="1"/>
      <c r="AJ1626" s="1"/>
      <c r="AQ1626" s="1"/>
      <c r="AX1626" s="1"/>
      <c r="BE1626" s="1"/>
    </row>
    <row r="1627" spans="1:57" x14ac:dyDescent="0.25">
      <c r="A1627" s="1"/>
      <c r="H1627" s="1"/>
      <c r="O1627" s="1"/>
      <c r="V1627" s="1"/>
      <c r="AC1627" s="1"/>
      <c r="AJ1627" s="1"/>
      <c r="AQ1627" s="1"/>
      <c r="AX1627" s="1"/>
      <c r="BE1627" s="1"/>
    </row>
    <row r="1628" spans="1:57" x14ac:dyDescent="0.25">
      <c r="A1628" s="1"/>
      <c r="H1628" s="1"/>
      <c r="O1628" s="1"/>
      <c r="V1628" s="1"/>
      <c r="AC1628" s="1"/>
      <c r="AJ1628" s="1"/>
      <c r="AQ1628" s="1"/>
      <c r="AX1628" s="1"/>
      <c r="BE1628" s="1"/>
    </row>
    <row r="1629" spans="1:57" x14ac:dyDescent="0.25">
      <c r="A1629" s="1"/>
      <c r="H1629" s="1"/>
      <c r="O1629" s="1"/>
      <c r="V1629" s="1"/>
      <c r="AC1629" s="1"/>
      <c r="AJ1629" s="1"/>
      <c r="AQ1629" s="1"/>
      <c r="AX1629" s="1"/>
      <c r="BE1629" s="1"/>
    </row>
    <row r="1630" spans="1:57" x14ac:dyDescent="0.25">
      <c r="A1630" s="1"/>
      <c r="H1630" s="1"/>
      <c r="O1630" s="1"/>
      <c r="V1630" s="1"/>
      <c r="AC1630" s="1"/>
      <c r="AJ1630" s="1"/>
      <c r="AQ1630" s="1"/>
      <c r="AX1630" s="1"/>
      <c r="BE1630" s="1"/>
    </row>
    <row r="1631" spans="1:57" x14ac:dyDescent="0.25">
      <c r="A1631" s="1"/>
      <c r="H1631" s="1"/>
      <c r="O1631" s="1"/>
      <c r="V1631" s="1"/>
      <c r="AC1631" s="1"/>
      <c r="AJ1631" s="1"/>
      <c r="AQ1631" s="1"/>
      <c r="AX1631" s="1"/>
      <c r="BE1631" s="1"/>
    </row>
    <row r="1632" spans="1:57" x14ac:dyDescent="0.25">
      <c r="A1632" s="1"/>
      <c r="H1632" s="1"/>
      <c r="O1632" s="1"/>
      <c r="V1632" s="1"/>
      <c r="AC1632" s="1"/>
      <c r="AJ1632" s="1"/>
      <c r="AQ1632" s="1"/>
      <c r="AX1632" s="1"/>
      <c r="BE1632" s="1"/>
    </row>
    <row r="1633" spans="1:57" x14ac:dyDescent="0.25">
      <c r="A1633" s="1"/>
      <c r="H1633" s="1"/>
      <c r="O1633" s="1"/>
      <c r="V1633" s="1"/>
      <c r="AC1633" s="1"/>
      <c r="AJ1633" s="1"/>
      <c r="AQ1633" s="1"/>
      <c r="AX1633" s="1"/>
      <c r="BE1633" s="1"/>
    </row>
    <row r="1634" spans="1:57" x14ac:dyDescent="0.25">
      <c r="A1634" s="1"/>
      <c r="H1634" s="1"/>
      <c r="O1634" s="1"/>
      <c r="V1634" s="1"/>
      <c r="AC1634" s="1"/>
      <c r="AJ1634" s="1"/>
      <c r="AQ1634" s="1"/>
      <c r="AX1634" s="1"/>
      <c r="BE1634" s="1"/>
    </row>
    <row r="1635" spans="1:57" x14ac:dyDescent="0.25">
      <c r="A1635" s="1"/>
      <c r="H1635" s="1"/>
      <c r="O1635" s="1"/>
      <c r="V1635" s="1"/>
      <c r="AC1635" s="1"/>
      <c r="AJ1635" s="1"/>
      <c r="AQ1635" s="1"/>
      <c r="AX1635" s="1"/>
      <c r="BE1635" s="1"/>
    </row>
    <row r="1636" spans="1:57" x14ac:dyDescent="0.25">
      <c r="A1636" s="1"/>
      <c r="H1636" s="1"/>
      <c r="O1636" s="1"/>
      <c r="V1636" s="1"/>
      <c r="AC1636" s="1"/>
      <c r="AJ1636" s="1"/>
      <c r="AQ1636" s="1"/>
      <c r="AX1636" s="1"/>
      <c r="BE1636" s="1"/>
    </row>
    <row r="1637" spans="1:57" x14ac:dyDescent="0.25">
      <c r="A1637" s="1"/>
      <c r="H1637" s="1"/>
      <c r="O1637" s="1"/>
      <c r="V1637" s="1"/>
      <c r="AC1637" s="1"/>
      <c r="AJ1637" s="1"/>
      <c r="AQ1637" s="1"/>
      <c r="AX1637" s="1"/>
      <c r="BE1637" s="1"/>
    </row>
    <row r="1638" spans="1:57" x14ac:dyDescent="0.25">
      <c r="A1638" s="1"/>
      <c r="H1638" s="1"/>
      <c r="O1638" s="1"/>
      <c r="V1638" s="1"/>
      <c r="AC1638" s="1"/>
      <c r="AJ1638" s="1"/>
      <c r="AQ1638" s="1"/>
      <c r="AX1638" s="1"/>
      <c r="BE1638" s="1"/>
    </row>
    <row r="1639" spans="1:57" x14ac:dyDescent="0.25">
      <c r="A1639" s="1"/>
      <c r="H1639" s="1"/>
      <c r="O1639" s="1"/>
      <c r="V1639" s="1"/>
      <c r="AC1639" s="1"/>
      <c r="AJ1639" s="1"/>
      <c r="AQ1639" s="1"/>
      <c r="AX1639" s="1"/>
      <c r="BE1639" s="1"/>
    </row>
    <row r="1640" spans="1:57" x14ac:dyDescent="0.25">
      <c r="A1640" s="1"/>
      <c r="H1640" s="1"/>
      <c r="O1640" s="1"/>
      <c r="V1640" s="1"/>
      <c r="AC1640" s="1"/>
      <c r="AJ1640" s="1"/>
      <c r="AQ1640" s="1"/>
      <c r="AX1640" s="1"/>
      <c r="BE1640" s="1"/>
    </row>
    <row r="1641" spans="1:57" x14ac:dyDescent="0.25">
      <c r="A1641" s="1"/>
      <c r="H1641" s="1"/>
      <c r="O1641" s="1"/>
      <c r="V1641" s="1"/>
      <c r="AC1641" s="1"/>
      <c r="AJ1641" s="1"/>
      <c r="AQ1641" s="1"/>
      <c r="AX1641" s="1"/>
      <c r="BE1641" s="1"/>
    </row>
    <row r="1642" spans="1:57" x14ac:dyDescent="0.25">
      <c r="A1642" s="1"/>
      <c r="H1642" s="1"/>
      <c r="O1642" s="1"/>
      <c r="V1642" s="1"/>
      <c r="AC1642" s="1"/>
      <c r="AJ1642" s="1"/>
      <c r="AQ1642" s="1"/>
      <c r="AX1642" s="1"/>
      <c r="BE1642" s="1"/>
    </row>
    <row r="1643" spans="1:57" x14ac:dyDescent="0.25">
      <c r="A1643" s="1"/>
      <c r="H1643" s="1"/>
      <c r="O1643" s="1"/>
      <c r="V1643" s="1"/>
      <c r="AC1643" s="1"/>
      <c r="AJ1643" s="1"/>
      <c r="AQ1643" s="1"/>
      <c r="AX1643" s="1"/>
      <c r="BE1643" s="1"/>
    </row>
    <row r="1644" spans="1:57" x14ac:dyDescent="0.25">
      <c r="A1644" s="1"/>
      <c r="H1644" s="1"/>
      <c r="O1644" s="1"/>
      <c r="V1644" s="1"/>
      <c r="AC1644" s="1"/>
      <c r="AJ1644" s="1"/>
      <c r="AQ1644" s="1"/>
      <c r="AX1644" s="1"/>
      <c r="BE1644" s="1"/>
    </row>
    <row r="1645" spans="1:57" x14ac:dyDescent="0.25">
      <c r="A1645" s="1"/>
      <c r="H1645" s="1"/>
      <c r="O1645" s="1"/>
      <c r="V1645" s="1"/>
      <c r="AC1645" s="1"/>
      <c r="AJ1645" s="1"/>
      <c r="AQ1645" s="1"/>
      <c r="AX1645" s="1"/>
      <c r="BE1645" s="1"/>
    </row>
    <row r="1646" spans="1:57" x14ac:dyDescent="0.25">
      <c r="A1646" s="1"/>
      <c r="H1646" s="1"/>
      <c r="O1646" s="1"/>
      <c r="V1646" s="1"/>
      <c r="AC1646" s="1"/>
      <c r="AJ1646" s="1"/>
      <c r="AQ1646" s="1"/>
      <c r="AX1646" s="1"/>
      <c r="BE1646" s="1"/>
    </row>
    <row r="1647" spans="1:57" x14ac:dyDescent="0.25">
      <c r="A1647" s="1"/>
      <c r="H1647" s="1"/>
      <c r="O1647" s="1"/>
      <c r="V1647" s="1"/>
      <c r="AC1647" s="1"/>
      <c r="AJ1647" s="1"/>
      <c r="AQ1647" s="1"/>
      <c r="AX1647" s="1"/>
      <c r="BE1647" s="1"/>
    </row>
    <row r="1648" spans="1:57" x14ac:dyDescent="0.25">
      <c r="A1648" s="1"/>
      <c r="H1648" s="1"/>
      <c r="O1648" s="1"/>
      <c r="V1648" s="1"/>
      <c r="AC1648" s="1"/>
      <c r="AJ1648" s="1"/>
      <c r="AQ1648" s="1"/>
      <c r="AX1648" s="1"/>
      <c r="BE1648" s="1"/>
    </row>
    <row r="1649" spans="1:57" x14ac:dyDescent="0.25">
      <c r="A1649" s="1"/>
      <c r="H1649" s="1"/>
      <c r="O1649" s="1"/>
      <c r="V1649" s="1"/>
      <c r="AC1649" s="1"/>
      <c r="AJ1649" s="1"/>
      <c r="AQ1649" s="1"/>
      <c r="AX1649" s="1"/>
      <c r="BE1649" s="1"/>
    </row>
    <row r="1650" spans="1:57" x14ac:dyDescent="0.25">
      <c r="A1650" s="1"/>
      <c r="H1650" s="1"/>
      <c r="O1650" s="1"/>
      <c r="V1650" s="1"/>
      <c r="AC1650" s="1"/>
      <c r="AJ1650" s="1"/>
      <c r="AQ1650" s="1"/>
      <c r="AX1650" s="1"/>
      <c r="BE1650" s="1"/>
    </row>
    <row r="1651" spans="1:57" x14ac:dyDescent="0.25">
      <c r="A1651" s="1"/>
      <c r="H1651" s="1"/>
      <c r="O1651" s="1"/>
      <c r="V1651" s="1"/>
      <c r="AC1651" s="1"/>
      <c r="AJ1651" s="1"/>
      <c r="AQ1651" s="1"/>
      <c r="AX1651" s="1"/>
      <c r="BE1651" s="1"/>
    </row>
    <row r="1652" spans="1:57" x14ac:dyDescent="0.25">
      <c r="A1652" s="1"/>
      <c r="H1652" s="1"/>
      <c r="O1652" s="1"/>
      <c r="V1652" s="1"/>
      <c r="AC1652" s="1"/>
      <c r="AJ1652" s="1"/>
      <c r="AQ1652" s="1"/>
      <c r="AX1652" s="1"/>
      <c r="BE1652" s="1"/>
    </row>
    <row r="1653" spans="1:57" x14ac:dyDescent="0.25">
      <c r="A1653" s="1"/>
      <c r="H1653" s="1"/>
      <c r="O1653" s="1"/>
      <c r="V1653" s="1"/>
      <c r="AC1653" s="1"/>
      <c r="AJ1653" s="1"/>
      <c r="AQ1653" s="1"/>
      <c r="AX1653" s="1"/>
      <c r="BE1653" s="1"/>
    </row>
    <row r="1654" spans="1:57" x14ac:dyDescent="0.25">
      <c r="A1654" s="1"/>
      <c r="H1654" s="1"/>
      <c r="O1654" s="1"/>
      <c r="V1654" s="1"/>
      <c r="AC1654" s="1"/>
      <c r="AJ1654" s="1"/>
      <c r="AQ1654" s="1"/>
      <c r="AX1654" s="1"/>
      <c r="BE1654" s="1"/>
    </row>
    <row r="1655" spans="1:57" x14ac:dyDescent="0.25">
      <c r="A1655" s="1"/>
      <c r="H1655" s="1"/>
      <c r="O1655" s="1"/>
      <c r="V1655" s="1"/>
      <c r="AC1655" s="1"/>
      <c r="AJ1655" s="1"/>
      <c r="AQ1655" s="1"/>
      <c r="AX1655" s="1"/>
      <c r="BE1655" s="1"/>
    </row>
    <row r="1656" spans="1:57" x14ac:dyDescent="0.25">
      <c r="A1656" s="1"/>
      <c r="H1656" s="1"/>
      <c r="O1656" s="1"/>
      <c r="V1656" s="1"/>
      <c r="AC1656" s="1"/>
      <c r="AJ1656" s="1"/>
      <c r="AQ1656" s="1"/>
      <c r="AX1656" s="1"/>
      <c r="BE1656" s="1"/>
    </row>
    <row r="1657" spans="1:57" x14ac:dyDescent="0.25">
      <c r="A1657" s="1"/>
      <c r="H1657" s="1"/>
      <c r="O1657" s="1"/>
      <c r="V1657" s="1"/>
      <c r="AC1657" s="1"/>
      <c r="AJ1657" s="1"/>
      <c r="AQ1657" s="1"/>
      <c r="AX1657" s="1"/>
      <c r="BE1657" s="1"/>
    </row>
    <row r="1658" spans="1:57" x14ac:dyDescent="0.25">
      <c r="A1658" s="1"/>
      <c r="H1658" s="1"/>
      <c r="O1658" s="1"/>
      <c r="V1658" s="1"/>
      <c r="AC1658" s="1"/>
      <c r="AJ1658" s="1"/>
      <c r="AQ1658" s="1"/>
      <c r="AX1658" s="1"/>
      <c r="BE1658" s="1"/>
    </row>
    <row r="1659" spans="1:57" x14ac:dyDescent="0.25">
      <c r="A1659" s="1"/>
      <c r="H1659" s="1"/>
      <c r="O1659" s="1"/>
      <c r="V1659" s="1"/>
      <c r="AC1659" s="1"/>
      <c r="AJ1659" s="1"/>
      <c r="AQ1659" s="1"/>
      <c r="AX1659" s="1"/>
      <c r="BE1659" s="1"/>
    </row>
    <row r="1660" spans="1:57" x14ac:dyDescent="0.25">
      <c r="A1660" s="1"/>
      <c r="H1660" s="1"/>
      <c r="O1660" s="1"/>
      <c r="V1660" s="1"/>
      <c r="AC1660" s="1"/>
      <c r="AJ1660" s="1"/>
      <c r="AQ1660" s="1"/>
      <c r="AX1660" s="1"/>
      <c r="BE1660" s="1"/>
    </row>
    <row r="1661" spans="1:57" x14ac:dyDescent="0.25">
      <c r="A1661" s="1"/>
      <c r="H1661" s="1"/>
      <c r="O1661" s="1"/>
      <c r="V1661" s="1"/>
      <c r="AC1661" s="1"/>
      <c r="AJ1661" s="1"/>
      <c r="AQ1661" s="1"/>
      <c r="AX1661" s="1"/>
      <c r="BE1661" s="1"/>
    </row>
    <row r="1662" spans="1:57" x14ac:dyDescent="0.25">
      <c r="A1662" s="1"/>
      <c r="H1662" s="1"/>
      <c r="O1662" s="1"/>
      <c r="V1662" s="1"/>
      <c r="AC1662" s="1"/>
      <c r="AJ1662" s="1"/>
      <c r="AQ1662" s="1"/>
      <c r="AX1662" s="1"/>
      <c r="BE1662" s="1"/>
    </row>
    <row r="1663" spans="1:57" x14ac:dyDescent="0.25">
      <c r="A1663" s="1"/>
      <c r="H1663" s="1"/>
      <c r="O1663" s="1"/>
      <c r="V1663" s="1"/>
      <c r="AC1663" s="1"/>
      <c r="AJ1663" s="1"/>
      <c r="AQ1663" s="1"/>
      <c r="AX1663" s="1"/>
      <c r="BE1663" s="1"/>
    </row>
    <row r="1664" spans="1:57" x14ac:dyDescent="0.25">
      <c r="A1664" s="1"/>
      <c r="H1664" s="1"/>
      <c r="O1664" s="1"/>
      <c r="V1664" s="1"/>
      <c r="AC1664" s="1"/>
      <c r="AJ1664" s="1"/>
      <c r="AQ1664" s="1"/>
      <c r="AX1664" s="1"/>
      <c r="BE1664" s="1"/>
    </row>
    <row r="1665" spans="1:57" x14ac:dyDescent="0.25">
      <c r="A1665" s="1"/>
      <c r="H1665" s="1"/>
      <c r="O1665" s="1"/>
      <c r="V1665" s="1"/>
      <c r="AC1665" s="1"/>
      <c r="AJ1665" s="1"/>
      <c r="AQ1665" s="1"/>
      <c r="AX1665" s="1"/>
      <c r="BE1665" s="1"/>
    </row>
    <row r="1666" spans="1:57" x14ac:dyDescent="0.25">
      <c r="A1666" s="1"/>
      <c r="H1666" s="1"/>
      <c r="O1666" s="1"/>
      <c r="V1666" s="1"/>
      <c r="AC1666" s="1"/>
      <c r="AJ1666" s="1"/>
      <c r="AQ1666" s="1"/>
      <c r="AX1666" s="1"/>
      <c r="BE1666" s="1"/>
    </row>
    <row r="1667" spans="1:57" x14ac:dyDescent="0.25">
      <c r="A1667" s="1"/>
      <c r="H1667" s="1"/>
      <c r="O1667" s="1"/>
      <c r="V1667" s="1"/>
      <c r="AC1667" s="1"/>
      <c r="AJ1667" s="1"/>
      <c r="AQ1667" s="1"/>
      <c r="AX1667" s="1"/>
      <c r="BE1667" s="1"/>
    </row>
    <row r="1668" spans="1:57" x14ac:dyDescent="0.25">
      <c r="A1668" s="1"/>
      <c r="H1668" s="1"/>
      <c r="O1668" s="1"/>
      <c r="V1668" s="1"/>
      <c r="AC1668" s="1"/>
      <c r="AJ1668" s="1"/>
      <c r="AQ1668" s="1"/>
      <c r="AX1668" s="1"/>
      <c r="BE1668" s="1"/>
    </row>
    <row r="1669" spans="1:57" x14ac:dyDescent="0.25">
      <c r="A1669" s="1"/>
      <c r="H1669" s="1"/>
      <c r="O1669" s="1"/>
      <c r="V1669" s="1"/>
      <c r="AC1669" s="1"/>
      <c r="AJ1669" s="1"/>
      <c r="AQ1669" s="1"/>
      <c r="AX1669" s="1"/>
      <c r="BE1669" s="1"/>
    </row>
    <row r="1670" spans="1:57" x14ac:dyDescent="0.25">
      <c r="A1670" s="1"/>
      <c r="H1670" s="1"/>
      <c r="O1670" s="1"/>
      <c r="V1670" s="1"/>
      <c r="AC1670" s="1"/>
      <c r="AJ1670" s="1"/>
      <c r="AQ1670" s="1"/>
      <c r="AX1670" s="1"/>
      <c r="BE1670" s="1"/>
    </row>
    <row r="1671" spans="1:57" x14ac:dyDescent="0.25">
      <c r="A1671" s="1"/>
      <c r="H1671" s="1"/>
      <c r="O1671" s="1"/>
      <c r="V1671" s="1"/>
      <c r="AC1671" s="1"/>
      <c r="AJ1671" s="1"/>
      <c r="AQ1671" s="1"/>
      <c r="AX1671" s="1"/>
      <c r="BE1671" s="1"/>
    </row>
    <row r="1672" spans="1:57" x14ac:dyDescent="0.25">
      <c r="A1672" s="1"/>
      <c r="H1672" s="1"/>
      <c r="O1672" s="1"/>
      <c r="V1672" s="1"/>
      <c r="AC1672" s="1"/>
      <c r="AJ1672" s="1"/>
      <c r="AQ1672" s="1"/>
      <c r="AX1672" s="1"/>
      <c r="BE1672" s="1"/>
    </row>
    <row r="1673" spans="1:57" x14ac:dyDescent="0.25">
      <c r="A1673" s="1"/>
      <c r="H1673" s="1"/>
      <c r="O1673" s="1"/>
      <c r="V1673" s="1"/>
      <c r="AC1673" s="1"/>
      <c r="AJ1673" s="1"/>
      <c r="AQ1673" s="1"/>
      <c r="AX1673" s="1"/>
      <c r="BE1673" s="1"/>
    </row>
    <row r="1674" spans="1:57" x14ac:dyDescent="0.25">
      <c r="A1674" s="1"/>
      <c r="H1674" s="1"/>
      <c r="O1674" s="1"/>
      <c r="V1674" s="1"/>
      <c r="AC1674" s="1"/>
      <c r="AJ1674" s="1"/>
      <c r="AQ1674" s="1"/>
      <c r="AX1674" s="1"/>
      <c r="BE1674" s="1"/>
    </row>
    <row r="1675" spans="1:57" x14ac:dyDescent="0.25">
      <c r="A1675" s="1"/>
      <c r="H1675" s="1"/>
      <c r="O1675" s="1"/>
      <c r="V1675" s="1"/>
      <c r="AC1675" s="1"/>
      <c r="AJ1675" s="1"/>
      <c r="AQ1675" s="1"/>
      <c r="AX1675" s="1"/>
      <c r="BE1675" s="1"/>
    </row>
    <row r="1676" spans="1:57" x14ac:dyDescent="0.25">
      <c r="A1676" s="1"/>
      <c r="H1676" s="1"/>
      <c r="O1676" s="1"/>
      <c r="V1676" s="1"/>
      <c r="AC1676" s="1"/>
      <c r="AJ1676" s="1"/>
      <c r="AQ1676" s="1"/>
      <c r="AX1676" s="1"/>
      <c r="BE1676" s="1"/>
    </row>
    <row r="1677" spans="1:57" x14ac:dyDescent="0.25">
      <c r="A1677" s="1"/>
      <c r="H1677" s="1"/>
      <c r="O1677" s="1"/>
      <c r="V1677" s="1"/>
      <c r="AC1677" s="1"/>
      <c r="AJ1677" s="1"/>
      <c r="AQ1677" s="1"/>
      <c r="AX1677" s="1"/>
      <c r="BE1677" s="1"/>
    </row>
    <row r="1678" spans="1:57" x14ac:dyDescent="0.25">
      <c r="A1678" s="1"/>
      <c r="H1678" s="1"/>
      <c r="O1678" s="1"/>
      <c r="V1678" s="1"/>
      <c r="AC1678" s="1"/>
      <c r="AJ1678" s="1"/>
      <c r="AQ1678" s="1"/>
      <c r="AX1678" s="1"/>
      <c r="BE1678" s="1"/>
    </row>
    <row r="1679" spans="1:57" x14ac:dyDescent="0.25">
      <c r="A1679" s="1"/>
      <c r="H1679" s="1"/>
      <c r="O1679" s="1"/>
      <c r="V1679" s="1"/>
      <c r="AC1679" s="1"/>
      <c r="AJ1679" s="1"/>
      <c r="AQ1679" s="1"/>
      <c r="AX1679" s="1"/>
      <c r="BE1679" s="1"/>
    </row>
    <row r="1680" spans="1:57" x14ac:dyDescent="0.25">
      <c r="A1680" s="1"/>
      <c r="H1680" s="1"/>
      <c r="O1680" s="1"/>
      <c r="V1680" s="1"/>
      <c r="AC1680" s="1"/>
      <c r="AJ1680" s="1"/>
      <c r="AQ1680" s="1"/>
      <c r="AX1680" s="1"/>
      <c r="BE1680" s="1"/>
    </row>
    <row r="1681" spans="1:57" x14ac:dyDescent="0.25">
      <c r="A1681" s="1"/>
      <c r="H1681" s="1"/>
      <c r="O1681" s="1"/>
      <c r="V1681" s="1"/>
      <c r="AC1681" s="1"/>
      <c r="AJ1681" s="1"/>
      <c r="AQ1681" s="1"/>
      <c r="AX1681" s="1"/>
      <c r="BE1681" s="1"/>
    </row>
    <row r="1682" spans="1:57" x14ac:dyDescent="0.25">
      <c r="A1682" s="1"/>
      <c r="H1682" s="1"/>
      <c r="O1682" s="1"/>
      <c r="V1682" s="1"/>
      <c r="AC1682" s="1"/>
      <c r="AJ1682" s="1"/>
      <c r="AQ1682" s="1"/>
      <c r="AX1682" s="1"/>
      <c r="BE1682" s="1"/>
    </row>
    <row r="1683" spans="1:57" x14ac:dyDescent="0.25">
      <c r="A1683" s="1"/>
      <c r="H1683" s="1"/>
      <c r="O1683" s="1"/>
      <c r="V1683" s="1"/>
      <c r="AC1683" s="1"/>
      <c r="AJ1683" s="1"/>
      <c r="AQ1683" s="1"/>
      <c r="AX1683" s="1"/>
      <c r="BE1683" s="1"/>
    </row>
    <row r="1684" spans="1:57" x14ac:dyDescent="0.25">
      <c r="A1684" s="1"/>
      <c r="H1684" s="1"/>
      <c r="O1684" s="1"/>
      <c r="V1684" s="1"/>
      <c r="AC1684" s="1"/>
      <c r="AJ1684" s="1"/>
      <c r="AQ1684" s="1"/>
      <c r="AX1684" s="1"/>
      <c r="BE1684" s="1"/>
    </row>
    <row r="1685" spans="1:57" x14ac:dyDescent="0.25">
      <c r="A1685" s="1"/>
      <c r="H1685" s="1"/>
      <c r="O1685" s="1"/>
      <c r="V1685" s="1"/>
      <c r="AC1685" s="1"/>
      <c r="AJ1685" s="1"/>
      <c r="AQ1685" s="1"/>
      <c r="AX1685" s="1"/>
      <c r="BE1685" s="1"/>
    </row>
    <row r="1686" spans="1:57" x14ac:dyDescent="0.25">
      <c r="A1686" s="1"/>
      <c r="H1686" s="1"/>
      <c r="O1686" s="1"/>
      <c r="V1686" s="1"/>
      <c r="AC1686" s="1"/>
      <c r="AJ1686" s="1"/>
      <c r="AQ1686" s="1"/>
      <c r="AX1686" s="1"/>
      <c r="BE1686" s="1"/>
    </row>
    <row r="1687" spans="1:57" x14ac:dyDescent="0.25">
      <c r="A1687" s="1"/>
      <c r="H1687" s="1"/>
      <c r="O1687" s="1"/>
      <c r="V1687" s="1"/>
      <c r="AC1687" s="1"/>
      <c r="AJ1687" s="1"/>
      <c r="AQ1687" s="1"/>
      <c r="AX1687" s="1"/>
      <c r="BE1687" s="1"/>
    </row>
    <row r="1688" spans="1:57" x14ac:dyDescent="0.25">
      <c r="A1688" s="1"/>
      <c r="H1688" s="1"/>
      <c r="O1688" s="1"/>
      <c r="V1688" s="1"/>
      <c r="AC1688" s="1"/>
      <c r="AJ1688" s="1"/>
      <c r="AQ1688" s="1"/>
      <c r="AX1688" s="1"/>
      <c r="BE1688" s="1"/>
    </row>
    <row r="1689" spans="1:57" x14ac:dyDescent="0.25">
      <c r="A1689" s="1"/>
      <c r="H1689" s="1"/>
      <c r="O1689" s="1"/>
      <c r="V1689" s="1"/>
      <c r="AC1689" s="1"/>
      <c r="AJ1689" s="1"/>
      <c r="AQ1689" s="1"/>
      <c r="AX1689" s="1"/>
      <c r="BE1689" s="1"/>
    </row>
    <row r="1690" spans="1:57" x14ac:dyDescent="0.25">
      <c r="A1690" s="1"/>
      <c r="H1690" s="1"/>
      <c r="O1690" s="1"/>
      <c r="V1690" s="1"/>
      <c r="AC1690" s="1"/>
      <c r="AJ1690" s="1"/>
      <c r="AQ1690" s="1"/>
      <c r="AX1690" s="1"/>
      <c r="BE1690" s="1"/>
    </row>
    <row r="1691" spans="1:57" x14ac:dyDescent="0.25">
      <c r="A1691" s="1"/>
      <c r="H1691" s="1"/>
      <c r="O1691" s="1"/>
      <c r="V1691" s="1"/>
      <c r="AC1691" s="1"/>
      <c r="AJ1691" s="1"/>
      <c r="AQ1691" s="1"/>
      <c r="AX1691" s="1"/>
      <c r="BE1691" s="1"/>
    </row>
    <row r="1692" spans="1:57" x14ac:dyDescent="0.25">
      <c r="A1692" s="1"/>
      <c r="H1692" s="1"/>
      <c r="O1692" s="1"/>
      <c r="V1692" s="1"/>
      <c r="AC1692" s="1"/>
      <c r="AJ1692" s="1"/>
      <c r="AQ1692" s="1"/>
      <c r="AX1692" s="1"/>
      <c r="BE1692" s="1"/>
    </row>
    <row r="1693" spans="1:57" x14ac:dyDescent="0.25">
      <c r="A1693" s="1"/>
      <c r="H1693" s="1"/>
      <c r="O1693" s="1"/>
      <c r="V1693" s="1"/>
      <c r="AC1693" s="1"/>
      <c r="AJ1693" s="1"/>
      <c r="AQ1693" s="1"/>
      <c r="AX1693" s="1"/>
      <c r="BE1693" s="1"/>
    </row>
    <row r="1694" spans="1:57" x14ac:dyDescent="0.25">
      <c r="A1694" s="1"/>
      <c r="H1694" s="1"/>
      <c r="O1694" s="1"/>
      <c r="V1694" s="1"/>
      <c r="AC1694" s="1"/>
      <c r="AJ1694" s="1"/>
      <c r="AQ1694" s="1"/>
      <c r="AX1694" s="1"/>
      <c r="BE1694" s="1"/>
    </row>
    <row r="1695" spans="1:57" x14ac:dyDescent="0.25">
      <c r="A1695" s="1"/>
      <c r="H1695" s="1"/>
      <c r="O1695" s="1"/>
      <c r="V1695" s="1"/>
      <c r="AC1695" s="1"/>
      <c r="AJ1695" s="1"/>
      <c r="AQ1695" s="1"/>
      <c r="AX1695" s="1"/>
      <c r="BE1695" s="1"/>
    </row>
    <row r="1696" spans="1:57" x14ac:dyDescent="0.25">
      <c r="A1696" s="1"/>
      <c r="H1696" s="1"/>
      <c r="O1696" s="1"/>
      <c r="V1696" s="1"/>
      <c r="AC1696" s="1"/>
      <c r="AJ1696" s="1"/>
      <c r="AQ1696" s="1"/>
      <c r="AX1696" s="1"/>
      <c r="BE1696" s="1"/>
    </row>
    <row r="1697" spans="1:57" x14ac:dyDescent="0.25">
      <c r="A1697" s="1"/>
      <c r="H1697" s="1"/>
      <c r="O1697" s="1"/>
      <c r="V1697" s="1"/>
      <c r="AC1697" s="1"/>
      <c r="AJ1697" s="1"/>
      <c r="AQ1697" s="1"/>
      <c r="AX1697" s="1"/>
      <c r="BE1697" s="1"/>
    </row>
    <row r="1698" spans="1:57" x14ac:dyDescent="0.25">
      <c r="A1698" s="1"/>
      <c r="H1698" s="1"/>
      <c r="O1698" s="1"/>
      <c r="V1698" s="1"/>
      <c r="AC1698" s="1"/>
      <c r="AJ1698" s="1"/>
      <c r="AQ1698" s="1"/>
      <c r="AX1698" s="1"/>
      <c r="BE1698" s="1"/>
    </row>
    <row r="1699" spans="1:57" x14ac:dyDescent="0.25">
      <c r="A1699" s="1"/>
      <c r="H1699" s="1"/>
      <c r="O1699" s="1"/>
      <c r="V1699" s="1"/>
      <c r="AC1699" s="1"/>
      <c r="AJ1699" s="1"/>
      <c r="AQ1699" s="1"/>
      <c r="AX1699" s="1"/>
      <c r="BE1699" s="1"/>
    </row>
    <row r="1700" spans="1:57" x14ac:dyDescent="0.25">
      <c r="A1700" s="1"/>
      <c r="H1700" s="1"/>
      <c r="O1700" s="1"/>
      <c r="V1700" s="1"/>
      <c r="AC1700" s="1"/>
      <c r="AJ1700" s="1"/>
      <c r="AQ1700" s="1"/>
      <c r="AX1700" s="1"/>
      <c r="BE1700" s="1"/>
    </row>
    <row r="1701" spans="1:57" x14ac:dyDescent="0.25">
      <c r="A1701" s="1"/>
      <c r="H1701" s="1"/>
      <c r="O1701" s="1"/>
      <c r="V1701" s="1"/>
      <c r="AC1701" s="1"/>
      <c r="AJ1701" s="1"/>
      <c r="AQ1701" s="1"/>
      <c r="AX1701" s="1"/>
      <c r="BE1701" s="1"/>
    </row>
    <row r="1702" spans="1:57" x14ac:dyDescent="0.25">
      <c r="A1702" s="1"/>
      <c r="H1702" s="1"/>
      <c r="O1702" s="1"/>
      <c r="V1702" s="1"/>
      <c r="AC1702" s="1"/>
      <c r="AJ1702" s="1"/>
      <c r="AQ1702" s="1"/>
      <c r="AX1702" s="1"/>
      <c r="BE1702" s="1"/>
    </row>
    <row r="1703" spans="1:57" x14ac:dyDescent="0.25">
      <c r="A1703" s="1"/>
      <c r="H1703" s="1"/>
      <c r="O1703" s="1"/>
      <c r="V1703" s="1"/>
      <c r="AC1703" s="1"/>
      <c r="AJ1703" s="1"/>
      <c r="AQ1703" s="1"/>
      <c r="AX1703" s="1"/>
      <c r="BE1703" s="1"/>
    </row>
    <row r="1704" spans="1:57" x14ac:dyDescent="0.25">
      <c r="A1704" s="1"/>
      <c r="H1704" s="1"/>
      <c r="O1704" s="1"/>
      <c r="V1704" s="1"/>
      <c r="AC1704" s="1"/>
      <c r="AJ1704" s="1"/>
      <c r="AQ1704" s="1"/>
      <c r="AX1704" s="1"/>
      <c r="BE1704" s="1"/>
    </row>
    <row r="1705" spans="1:57" x14ac:dyDescent="0.25">
      <c r="A1705" s="1"/>
      <c r="H1705" s="1"/>
      <c r="O1705" s="1"/>
      <c r="V1705" s="1"/>
      <c r="AC1705" s="1"/>
      <c r="AJ1705" s="1"/>
      <c r="AQ1705" s="1"/>
      <c r="AX1705" s="1"/>
      <c r="BE1705" s="1"/>
    </row>
    <row r="1706" spans="1:57" x14ac:dyDescent="0.25">
      <c r="A1706" s="1"/>
      <c r="H1706" s="1"/>
      <c r="O1706" s="1"/>
      <c r="V1706" s="1"/>
      <c r="AC1706" s="1"/>
      <c r="AJ1706" s="1"/>
      <c r="AQ1706" s="1"/>
      <c r="AX1706" s="1"/>
      <c r="BE1706" s="1"/>
    </row>
    <row r="1707" spans="1:57" x14ac:dyDescent="0.25">
      <c r="A1707" s="1"/>
      <c r="H1707" s="1"/>
      <c r="O1707" s="1"/>
      <c r="V1707" s="1"/>
      <c r="AC1707" s="1"/>
      <c r="AJ1707" s="1"/>
      <c r="AQ1707" s="1"/>
      <c r="AX1707" s="1"/>
      <c r="BE1707" s="1"/>
    </row>
    <row r="1708" spans="1:57" x14ac:dyDescent="0.25">
      <c r="A1708" s="1"/>
      <c r="H1708" s="1"/>
      <c r="O1708" s="1"/>
      <c r="V1708" s="1"/>
      <c r="AC1708" s="1"/>
      <c r="AJ1708" s="1"/>
      <c r="AQ1708" s="1"/>
      <c r="AX1708" s="1"/>
      <c r="BE1708" s="1"/>
    </row>
    <row r="1709" spans="1:57" x14ac:dyDescent="0.25">
      <c r="A1709" s="1"/>
      <c r="H1709" s="1"/>
      <c r="O1709" s="1"/>
      <c r="V1709" s="1"/>
      <c r="AC1709" s="1"/>
      <c r="AJ1709" s="1"/>
      <c r="AQ1709" s="1"/>
      <c r="AX1709" s="1"/>
      <c r="BE1709" s="1"/>
    </row>
    <row r="1710" spans="1:57" x14ac:dyDescent="0.25">
      <c r="A1710" s="1"/>
      <c r="H1710" s="1"/>
      <c r="O1710" s="1"/>
      <c r="V1710" s="1"/>
      <c r="AC1710" s="1"/>
      <c r="AJ1710" s="1"/>
      <c r="AQ1710" s="1"/>
      <c r="AX1710" s="1"/>
      <c r="BE1710" s="1"/>
    </row>
    <row r="1711" spans="1:57" x14ac:dyDescent="0.25">
      <c r="A1711" s="1"/>
      <c r="H1711" s="1"/>
      <c r="O1711" s="1"/>
      <c r="V1711" s="1"/>
      <c r="AC1711" s="1"/>
      <c r="AJ1711" s="1"/>
      <c r="AQ1711" s="1"/>
      <c r="AX1711" s="1"/>
      <c r="BE1711" s="1"/>
    </row>
    <row r="1712" spans="1:57" x14ac:dyDescent="0.25">
      <c r="A1712" s="1"/>
      <c r="H1712" s="1"/>
      <c r="O1712" s="1"/>
      <c r="V1712" s="1"/>
      <c r="AC1712" s="1"/>
      <c r="AJ1712" s="1"/>
      <c r="AQ1712" s="1"/>
      <c r="AX1712" s="1"/>
      <c r="BE1712" s="1"/>
    </row>
    <row r="1713" spans="1:57" x14ac:dyDescent="0.25">
      <c r="A1713" s="1"/>
      <c r="H1713" s="1"/>
      <c r="O1713" s="1"/>
      <c r="V1713" s="1"/>
      <c r="AC1713" s="1"/>
      <c r="AJ1713" s="1"/>
      <c r="AQ1713" s="1"/>
      <c r="AX1713" s="1"/>
      <c r="BE1713" s="1"/>
    </row>
    <row r="1714" spans="1:57" x14ac:dyDescent="0.25">
      <c r="A1714" s="1"/>
      <c r="H1714" s="1"/>
      <c r="O1714" s="1"/>
      <c r="V1714" s="1"/>
      <c r="AC1714" s="1"/>
      <c r="AJ1714" s="1"/>
      <c r="AQ1714" s="1"/>
      <c r="AX1714" s="1"/>
      <c r="BE1714" s="1"/>
    </row>
    <row r="1715" spans="1:57" x14ac:dyDescent="0.25">
      <c r="A1715" s="1"/>
      <c r="H1715" s="1"/>
      <c r="O1715" s="1"/>
      <c r="V1715" s="1"/>
      <c r="AC1715" s="1"/>
      <c r="AJ1715" s="1"/>
      <c r="AQ1715" s="1"/>
      <c r="AX1715" s="1"/>
      <c r="BE1715" s="1"/>
    </row>
    <row r="1716" spans="1:57" x14ac:dyDescent="0.25">
      <c r="A1716" s="1"/>
      <c r="H1716" s="1"/>
      <c r="O1716" s="1"/>
      <c r="V1716" s="1"/>
      <c r="AC1716" s="1"/>
      <c r="AJ1716" s="1"/>
      <c r="AQ1716" s="1"/>
      <c r="AX1716" s="1"/>
      <c r="BE1716" s="1"/>
    </row>
    <row r="1717" spans="1:57" x14ac:dyDescent="0.25">
      <c r="A1717" s="1"/>
      <c r="H1717" s="1"/>
      <c r="O1717" s="1"/>
      <c r="V1717" s="1"/>
      <c r="AC1717" s="1"/>
      <c r="AJ1717" s="1"/>
      <c r="AQ1717" s="1"/>
      <c r="AX1717" s="1"/>
      <c r="BE1717" s="1"/>
    </row>
    <row r="1718" spans="1:57" x14ac:dyDescent="0.25">
      <c r="A1718" s="1"/>
      <c r="H1718" s="1"/>
      <c r="O1718" s="1"/>
      <c r="V1718" s="1"/>
      <c r="AC1718" s="1"/>
      <c r="AJ1718" s="1"/>
      <c r="AQ1718" s="1"/>
      <c r="AX1718" s="1"/>
      <c r="BE1718" s="1"/>
    </row>
    <row r="1719" spans="1:57" x14ac:dyDescent="0.25">
      <c r="A1719" s="1"/>
      <c r="H1719" s="1"/>
      <c r="O1719" s="1"/>
      <c r="V1719" s="1"/>
      <c r="AC1719" s="1"/>
      <c r="AJ1719" s="1"/>
      <c r="AQ1719" s="1"/>
      <c r="AX1719" s="1"/>
      <c r="BE1719" s="1"/>
    </row>
    <row r="1720" spans="1:57" x14ac:dyDescent="0.25">
      <c r="A1720" s="1"/>
      <c r="H1720" s="1"/>
      <c r="O1720" s="1"/>
      <c r="V1720" s="1"/>
      <c r="AC1720" s="1"/>
      <c r="AJ1720" s="1"/>
      <c r="AQ1720" s="1"/>
      <c r="AX1720" s="1"/>
      <c r="BE1720" s="1"/>
    </row>
    <row r="1721" spans="1:57" x14ac:dyDescent="0.25">
      <c r="A1721" s="1"/>
      <c r="H1721" s="1"/>
      <c r="O1721" s="1"/>
      <c r="V1721" s="1"/>
      <c r="AC1721" s="1"/>
      <c r="AJ1721" s="1"/>
      <c r="AQ1721" s="1"/>
      <c r="AX1721" s="1"/>
      <c r="BE1721" s="1"/>
    </row>
    <row r="1722" spans="1:57" x14ac:dyDescent="0.25">
      <c r="A1722" s="1"/>
      <c r="H1722" s="1"/>
      <c r="O1722" s="1"/>
      <c r="V1722" s="1"/>
      <c r="AC1722" s="1"/>
      <c r="AJ1722" s="1"/>
      <c r="AQ1722" s="1"/>
      <c r="AX1722" s="1"/>
      <c r="BE1722" s="1"/>
    </row>
    <row r="1723" spans="1:57" x14ac:dyDescent="0.25">
      <c r="A1723" s="1"/>
      <c r="H1723" s="1"/>
      <c r="O1723" s="1"/>
      <c r="V1723" s="1"/>
      <c r="AC1723" s="1"/>
      <c r="AJ1723" s="1"/>
      <c r="AQ1723" s="1"/>
      <c r="AX1723" s="1"/>
      <c r="BE1723" s="1"/>
    </row>
    <row r="1724" spans="1:57" x14ac:dyDescent="0.25">
      <c r="A1724" s="1"/>
      <c r="H1724" s="1"/>
      <c r="O1724" s="1"/>
      <c r="V1724" s="1"/>
      <c r="AC1724" s="1"/>
      <c r="AJ1724" s="1"/>
      <c r="AQ1724" s="1"/>
      <c r="AX1724" s="1"/>
      <c r="BE1724" s="1"/>
    </row>
    <row r="1725" spans="1:57" x14ac:dyDescent="0.25">
      <c r="A1725" s="1"/>
      <c r="H1725" s="1"/>
      <c r="O1725" s="1"/>
      <c r="V1725" s="1"/>
      <c r="AC1725" s="1"/>
      <c r="AJ1725" s="1"/>
      <c r="AQ1725" s="1"/>
      <c r="AX1725" s="1"/>
      <c r="BE1725" s="1"/>
    </row>
    <row r="1726" spans="1:57" x14ac:dyDescent="0.25">
      <c r="A1726" s="1"/>
      <c r="H1726" s="1"/>
      <c r="O1726" s="1"/>
      <c r="V1726" s="1"/>
      <c r="AC1726" s="1"/>
      <c r="AJ1726" s="1"/>
      <c r="AQ1726" s="1"/>
      <c r="AX1726" s="1"/>
      <c r="BE1726" s="1"/>
    </row>
    <row r="1727" spans="1:57" x14ac:dyDescent="0.25">
      <c r="A1727" s="1"/>
      <c r="H1727" s="1"/>
      <c r="O1727" s="1"/>
      <c r="V1727" s="1"/>
      <c r="AC1727" s="1"/>
      <c r="AJ1727" s="1"/>
      <c r="AQ1727" s="1"/>
      <c r="AX1727" s="1"/>
      <c r="BE1727" s="1"/>
    </row>
    <row r="1728" spans="1:57" x14ac:dyDescent="0.25">
      <c r="A1728" s="1"/>
      <c r="H1728" s="1"/>
      <c r="O1728" s="1"/>
      <c r="V1728" s="1"/>
      <c r="AC1728" s="1"/>
      <c r="AJ1728" s="1"/>
      <c r="AQ1728" s="1"/>
      <c r="AX1728" s="1"/>
      <c r="BE1728" s="1"/>
    </row>
    <row r="1729" spans="1:57" x14ac:dyDescent="0.25">
      <c r="A1729" s="1"/>
      <c r="H1729" s="1"/>
      <c r="O1729" s="1"/>
      <c r="V1729" s="1"/>
      <c r="AC1729" s="1"/>
      <c r="AJ1729" s="1"/>
      <c r="AQ1729" s="1"/>
      <c r="AX1729" s="1"/>
      <c r="BE1729" s="1"/>
    </row>
    <row r="1730" spans="1:57" x14ac:dyDescent="0.25">
      <c r="A1730" s="1"/>
      <c r="H1730" s="1"/>
      <c r="O1730" s="1"/>
      <c r="V1730" s="1"/>
      <c r="AC1730" s="1"/>
      <c r="AJ1730" s="1"/>
      <c r="AQ1730" s="1"/>
      <c r="AX1730" s="1"/>
      <c r="BE1730" s="1"/>
    </row>
    <row r="1731" spans="1:57" x14ac:dyDescent="0.25">
      <c r="A1731" s="1"/>
      <c r="H1731" s="1"/>
      <c r="O1731" s="1"/>
      <c r="V1731" s="1"/>
      <c r="AC1731" s="1"/>
      <c r="AJ1731" s="1"/>
      <c r="AQ1731" s="1"/>
      <c r="AX1731" s="1"/>
      <c r="BE1731" s="1"/>
    </row>
    <row r="1732" spans="1:57" x14ac:dyDescent="0.25">
      <c r="A1732" s="1"/>
      <c r="H1732" s="1"/>
      <c r="O1732" s="1"/>
      <c r="V1732" s="1"/>
      <c r="AC1732" s="1"/>
      <c r="AJ1732" s="1"/>
      <c r="AQ1732" s="1"/>
      <c r="AX1732" s="1"/>
      <c r="BE1732" s="1"/>
    </row>
    <row r="1733" spans="1:57" x14ac:dyDescent="0.25">
      <c r="A1733" s="1"/>
      <c r="H1733" s="1"/>
      <c r="O1733" s="1"/>
      <c r="V1733" s="1"/>
      <c r="AC1733" s="1"/>
      <c r="AJ1733" s="1"/>
      <c r="AQ1733" s="1"/>
      <c r="AX1733" s="1"/>
      <c r="BE1733" s="1"/>
    </row>
    <row r="1734" spans="1:57" x14ac:dyDescent="0.25">
      <c r="A1734" s="1"/>
      <c r="H1734" s="1"/>
      <c r="O1734" s="1"/>
      <c r="V1734" s="1"/>
      <c r="AC1734" s="1"/>
      <c r="AJ1734" s="1"/>
      <c r="AQ1734" s="1"/>
      <c r="AX1734" s="1"/>
      <c r="BE1734" s="1"/>
    </row>
    <row r="1735" spans="1:57" x14ac:dyDescent="0.25">
      <c r="A1735" s="1"/>
      <c r="H1735" s="1"/>
      <c r="O1735" s="1"/>
      <c r="V1735" s="1"/>
      <c r="AC1735" s="1"/>
      <c r="AJ1735" s="1"/>
      <c r="AQ1735" s="1"/>
      <c r="AX1735" s="1"/>
      <c r="BE1735" s="1"/>
    </row>
    <row r="1736" spans="1:57" x14ac:dyDescent="0.25">
      <c r="A1736" s="1"/>
      <c r="H1736" s="1"/>
      <c r="O1736" s="1"/>
      <c r="V1736" s="1"/>
      <c r="AC1736" s="1"/>
      <c r="AJ1736" s="1"/>
      <c r="AQ1736" s="1"/>
      <c r="AX1736" s="1"/>
      <c r="BE1736" s="1"/>
    </row>
    <row r="1737" spans="1:57" x14ac:dyDescent="0.25">
      <c r="A1737" s="1"/>
      <c r="H1737" s="1"/>
      <c r="O1737" s="1"/>
      <c r="V1737" s="1"/>
      <c r="AC1737" s="1"/>
      <c r="AJ1737" s="1"/>
      <c r="AQ1737" s="1"/>
      <c r="AX1737" s="1"/>
      <c r="BE1737" s="1"/>
    </row>
    <row r="1738" spans="1:57" x14ac:dyDescent="0.25">
      <c r="A1738" s="1"/>
      <c r="H1738" s="1"/>
      <c r="O1738" s="1"/>
      <c r="V1738" s="1"/>
      <c r="AC1738" s="1"/>
      <c r="AJ1738" s="1"/>
      <c r="AQ1738" s="1"/>
      <c r="AX1738" s="1"/>
      <c r="BE1738" s="1"/>
    </row>
    <row r="1739" spans="1:57" x14ac:dyDescent="0.25">
      <c r="A1739" s="1"/>
      <c r="H1739" s="1"/>
      <c r="O1739" s="1"/>
      <c r="V1739" s="1"/>
      <c r="AC1739" s="1"/>
      <c r="AJ1739" s="1"/>
      <c r="AQ1739" s="1"/>
      <c r="AX1739" s="1"/>
      <c r="BE1739" s="1"/>
    </row>
    <row r="1740" spans="1:57" x14ac:dyDescent="0.25">
      <c r="A1740" s="1"/>
      <c r="H1740" s="1"/>
      <c r="O1740" s="1"/>
      <c r="V1740" s="1"/>
      <c r="AC1740" s="1"/>
      <c r="AJ1740" s="1"/>
      <c r="AQ1740" s="1"/>
      <c r="AX1740" s="1"/>
      <c r="BE1740" s="1"/>
    </row>
    <row r="1741" spans="1:57" x14ac:dyDescent="0.25">
      <c r="A1741" s="1"/>
      <c r="H1741" s="1"/>
      <c r="O1741" s="1"/>
      <c r="V1741" s="1"/>
      <c r="AC1741" s="1"/>
      <c r="AJ1741" s="1"/>
      <c r="AQ1741" s="1"/>
      <c r="AX1741" s="1"/>
      <c r="BE1741" s="1"/>
    </row>
    <row r="1742" spans="1:57" x14ac:dyDescent="0.25">
      <c r="A1742" s="1"/>
      <c r="H1742" s="1"/>
      <c r="O1742" s="1"/>
      <c r="V1742" s="1"/>
      <c r="AC1742" s="1"/>
      <c r="AJ1742" s="1"/>
      <c r="AQ1742" s="1"/>
      <c r="AX1742" s="1"/>
      <c r="BE1742" s="1"/>
    </row>
    <row r="1743" spans="1:57" x14ac:dyDescent="0.25">
      <c r="A1743" s="1"/>
      <c r="H1743" s="1"/>
      <c r="O1743" s="1"/>
      <c r="V1743" s="1"/>
      <c r="AC1743" s="1"/>
      <c r="AJ1743" s="1"/>
      <c r="AQ1743" s="1"/>
      <c r="AX1743" s="1"/>
      <c r="BE1743" s="1"/>
    </row>
    <row r="1744" spans="1:57" x14ac:dyDescent="0.25">
      <c r="A1744" s="1"/>
      <c r="H1744" s="1"/>
      <c r="O1744" s="1"/>
      <c r="V1744" s="1"/>
      <c r="AC1744" s="1"/>
      <c r="AJ1744" s="1"/>
      <c r="AQ1744" s="1"/>
      <c r="AX1744" s="1"/>
      <c r="BE1744" s="1"/>
    </row>
    <row r="1745" spans="1:57" x14ac:dyDescent="0.25">
      <c r="A1745" s="1"/>
      <c r="H1745" s="1"/>
      <c r="O1745" s="1"/>
      <c r="V1745" s="1"/>
      <c r="AC1745" s="1"/>
      <c r="AJ1745" s="1"/>
      <c r="AQ1745" s="1"/>
      <c r="AX1745" s="1"/>
      <c r="BE1745" s="1"/>
    </row>
    <row r="1746" spans="1:57" x14ac:dyDescent="0.25">
      <c r="A1746" s="1"/>
      <c r="H1746" s="1"/>
      <c r="O1746" s="1"/>
      <c r="V1746" s="1"/>
      <c r="AC1746" s="1"/>
      <c r="AJ1746" s="1"/>
      <c r="AQ1746" s="1"/>
      <c r="AX1746" s="1"/>
      <c r="BE1746" s="1"/>
    </row>
    <row r="1747" spans="1:57" x14ac:dyDescent="0.25">
      <c r="A1747" s="1"/>
      <c r="H1747" s="1"/>
      <c r="O1747" s="1"/>
      <c r="V1747" s="1"/>
      <c r="AC1747" s="1"/>
      <c r="AJ1747" s="1"/>
      <c r="AQ1747" s="1"/>
      <c r="AX1747" s="1"/>
      <c r="BE1747" s="1"/>
    </row>
    <row r="1748" spans="1:57" x14ac:dyDescent="0.25">
      <c r="A1748" s="1"/>
      <c r="H1748" s="1"/>
      <c r="O1748" s="1"/>
      <c r="V1748" s="1"/>
      <c r="AC1748" s="1"/>
      <c r="AJ1748" s="1"/>
      <c r="AQ1748" s="1"/>
      <c r="AX1748" s="1"/>
      <c r="BE1748" s="1"/>
    </row>
    <row r="1749" spans="1:57" x14ac:dyDescent="0.25">
      <c r="A1749" s="1"/>
      <c r="H1749" s="1"/>
      <c r="O1749" s="1"/>
      <c r="V1749" s="1"/>
      <c r="AC1749" s="1"/>
      <c r="AJ1749" s="1"/>
      <c r="AQ1749" s="1"/>
      <c r="AX1749" s="1"/>
      <c r="BE1749" s="1"/>
    </row>
    <row r="1750" spans="1:57" x14ac:dyDescent="0.25">
      <c r="A1750" s="1"/>
      <c r="H1750" s="1"/>
      <c r="O1750" s="1"/>
      <c r="V1750" s="1"/>
      <c r="AC1750" s="1"/>
      <c r="AJ1750" s="1"/>
      <c r="AQ1750" s="1"/>
      <c r="AX1750" s="1"/>
      <c r="BE1750" s="1"/>
    </row>
    <row r="1751" spans="1:57" x14ac:dyDescent="0.25">
      <c r="A1751" s="1"/>
      <c r="H1751" s="1"/>
      <c r="O1751" s="1"/>
      <c r="V1751" s="1"/>
      <c r="AC1751" s="1"/>
      <c r="AJ1751" s="1"/>
      <c r="AQ1751" s="1"/>
      <c r="AX1751" s="1"/>
      <c r="BE1751" s="1"/>
    </row>
    <row r="1752" spans="1:57" x14ac:dyDescent="0.25">
      <c r="A1752" s="1"/>
      <c r="H1752" s="1"/>
      <c r="O1752" s="1"/>
      <c r="V1752" s="1"/>
      <c r="AC1752" s="1"/>
      <c r="AJ1752" s="1"/>
      <c r="AQ1752" s="1"/>
      <c r="AX1752" s="1"/>
      <c r="BE1752" s="1"/>
    </row>
    <row r="1753" spans="1:57" x14ac:dyDescent="0.25">
      <c r="A1753" s="1"/>
      <c r="H1753" s="1"/>
      <c r="O1753" s="1"/>
      <c r="V1753" s="1"/>
      <c r="AC1753" s="1"/>
      <c r="AJ1753" s="1"/>
      <c r="AQ1753" s="1"/>
      <c r="AX1753" s="1"/>
      <c r="BE1753" s="1"/>
    </row>
    <row r="1754" spans="1:57" x14ac:dyDescent="0.25">
      <c r="A1754" s="1"/>
      <c r="H1754" s="1"/>
      <c r="O1754" s="1"/>
      <c r="V1754" s="1"/>
      <c r="AC1754" s="1"/>
      <c r="AJ1754" s="1"/>
      <c r="AQ1754" s="1"/>
      <c r="AX1754" s="1"/>
      <c r="BE1754" s="1"/>
    </row>
    <row r="1755" spans="1:57" x14ac:dyDescent="0.25">
      <c r="A1755" s="1"/>
      <c r="H1755" s="1"/>
      <c r="O1755" s="1"/>
      <c r="V1755" s="1"/>
      <c r="AC1755" s="1"/>
      <c r="AJ1755" s="1"/>
      <c r="AQ1755" s="1"/>
      <c r="AX1755" s="1"/>
      <c r="BE1755" s="1"/>
    </row>
    <row r="1756" spans="1:57" x14ac:dyDescent="0.25">
      <c r="A1756" s="1"/>
      <c r="H1756" s="1"/>
      <c r="O1756" s="1"/>
      <c r="V1756" s="1"/>
      <c r="AC1756" s="1"/>
      <c r="AJ1756" s="1"/>
      <c r="AQ1756" s="1"/>
      <c r="AX1756" s="1"/>
      <c r="BE1756" s="1"/>
    </row>
    <row r="1757" spans="1:57" x14ac:dyDescent="0.25">
      <c r="A1757" s="1"/>
      <c r="H1757" s="1"/>
      <c r="O1757" s="1"/>
      <c r="V1757" s="1"/>
      <c r="AC1757" s="1"/>
      <c r="AJ1757" s="1"/>
      <c r="AQ1757" s="1"/>
      <c r="AX1757" s="1"/>
      <c r="BE1757" s="1"/>
    </row>
    <row r="1758" spans="1:57" x14ac:dyDescent="0.25">
      <c r="A1758" s="1"/>
      <c r="H1758" s="1"/>
      <c r="O1758" s="1"/>
      <c r="V1758" s="1"/>
      <c r="AC1758" s="1"/>
      <c r="AJ1758" s="1"/>
      <c r="AQ1758" s="1"/>
      <c r="AX1758" s="1"/>
      <c r="BE1758" s="1"/>
    </row>
    <row r="1759" spans="1:57" x14ac:dyDescent="0.25">
      <c r="A1759" s="1"/>
      <c r="H1759" s="1"/>
      <c r="O1759" s="1"/>
      <c r="V1759" s="1"/>
      <c r="AC1759" s="1"/>
      <c r="AJ1759" s="1"/>
      <c r="AQ1759" s="1"/>
      <c r="AX1759" s="1"/>
      <c r="BE1759" s="1"/>
    </row>
    <row r="1760" spans="1:57" x14ac:dyDescent="0.25">
      <c r="A1760" s="1"/>
      <c r="H1760" s="1"/>
      <c r="O1760" s="1"/>
      <c r="V1760" s="1"/>
      <c r="AC1760" s="1"/>
      <c r="AJ1760" s="1"/>
      <c r="AQ1760" s="1"/>
      <c r="AX1760" s="1"/>
      <c r="BE1760" s="1"/>
    </row>
    <row r="1761" spans="1:57" x14ac:dyDescent="0.25">
      <c r="A1761" s="1"/>
      <c r="H1761" s="1"/>
      <c r="O1761" s="1"/>
      <c r="V1761" s="1"/>
      <c r="AC1761" s="1"/>
      <c r="AJ1761" s="1"/>
      <c r="AQ1761" s="1"/>
      <c r="AX1761" s="1"/>
      <c r="BE1761" s="1"/>
    </row>
    <row r="1762" spans="1:57" x14ac:dyDescent="0.25">
      <c r="A1762" s="1"/>
      <c r="H1762" s="1"/>
      <c r="O1762" s="1"/>
      <c r="V1762" s="1"/>
      <c r="AC1762" s="1"/>
      <c r="AJ1762" s="1"/>
      <c r="AQ1762" s="1"/>
      <c r="AX1762" s="1"/>
      <c r="BE1762" s="1"/>
    </row>
    <row r="1763" spans="1:57" x14ac:dyDescent="0.25">
      <c r="A1763" s="1"/>
      <c r="H1763" s="1"/>
      <c r="O1763" s="1"/>
      <c r="V1763" s="1"/>
      <c r="AC1763" s="1"/>
      <c r="AJ1763" s="1"/>
      <c r="AQ1763" s="1"/>
      <c r="AX1763" s="1"/>
      <c r="BE1763" s="1"/>
    </row>
    <row r="1764" spans="1:57" x14ac:dyDescent="0.25">
      <c r="A1764" s="1"/>
      <c r="H1764" s="1"/>
      <c r="O1764" s="1"/>
      <c r="V1764" s="1"/>
      <c r="AC1764" s="1"/>
      <c r="AJ1764" s="1"/>
      <c r="AQ1764" s="1"/>
      <c r="AX1764" s="1"/>
      <c r="BE1764" s="1"/>
    </row>
    <row r="1765" spans="1:57" x14ac:dyDescent="0.25">
      <c r="A1765" s="1"/>
      <c r="H1765" s="1"/>
      <c r="O1765" s="1"/>
      <c r="V1765" s="1"/>
      <c r="AC1765" s="1"/>
      <c r="AJ1765" s="1"/>
      <c r="AQ1765" s="1"/>
      <c r="AX1765" s="1"/>
      <c r="BE1765" s="1"/>
    </row>
    <row r="1766" spans="1:57" x14ac:dyDescent="0.25">
      <c r="A1766" s="1"/>
      <c r="H1766" s="1"/>
      <c r="O1766" s="1"/>
      <c r="V1766" s="1"/>
      <c r="AC1766" s="1"/>
      <c r="AJ1766" s="1"/>
      <c r="AQ1766" s="1"/>
      <c r="AX1766" s="1"/>
      <c r="BE1766" s="1"/>
    </row>
    <row r="1767" spans="1:57" x14ac:dyDescent="0.25">
      <c r="A1767" s="1"/>
      <c r="H1767" s="1"/>
      <c r="O1767" s="1"/>
      <c r="V1767" s="1"/>
      <c r="AC1767" s="1"/>
      <c r="AJ1767" s="1"/>
      <c r="AQ1767" s="1"/>
      <c r="AX1767" s="1"/>
      <c r="BE1767" s="1"/>
    </row>
    <row r="1768" spans="1:57" x14ac:dyDescent="0.25">
      <c r="A1768" s="1"/>
      <c r="H1768" s="1"/>
      <c r="O1768" s="1"/>
      <c r="V1768" s="1"/>
      <c r="AC1768" s="1"/>
      <c r="AJ1768" s="1"/>
      <c r="AQ1768" s="1"/>
      <c r="AX1768" s="1"/>
      <c r="BE1768" s="1"/>
    </row>
    <row r="1769" spans="1:57" x14ac:dyDescent="0.25">
      <c r="A1769" s="1"/>
      <c r="H1769" s="1"/>
      <c r="O1769" s="1"/>
      <c r="V1769" s="1"/>
      <c r="AC1769" s="1"/>
      <c r="AJ1769" s="1"/>
      <c r="AQ1769" s="1"/>
      <c r="AX1769" s="1"/>
      <c r="BE1769" s="1"/>
    </row>
    <row r="1770" spans="1:57" x14ac:dyDescent="0.25">
      <c r="A1770" s="1"/>
      <c r="H1770" s="1"/>
      <c r="O1770" s="1"/>
      <c r="V1770" s="1"/>
      <c r="AC1770" s="1"/>
      <c r="AJ1770" s="1"/>
      <c r="AQ1770" s="1"/>
      <c r="AX1770" s="1"/>
      <c r="BE1770" s="1"/>
    </row>
    <row r="1771" spans="1:57" x14ac:dyDescent="0.25">
      <c r="A1771" s="1"/>
      <c r="H1771" s="1"/>
      <c r="O1771" s="1"/>
      <c r="V1771" s="1"/>
      <c r="AC1771" s="1"/>
      <c r="AJ1771" s="1"/>
      <c r="AQ1771" s="1"/>
      <c r="AX1771" s="1"/>
      <c r="BE1771" s="1"/>
    </row>
    <row r="1772" spans="1:57" x14ac:dyDescent="0.25">
      <c r="A1772" s="1"/>
      <c r="H1772" s="1"/>
      <c r="O1772" s="1"/>
      <c r="V1772" s="1"/>
      <c r="AC1772" s="1"/>
      <c r="AJ1772" s="1"/>
      <c r="AQ1772" s="1"/>
      <c r="AX1772" s="1"/>
      <c r="BE1772" s="1"/>
    </row>
    <row r="1773" spans="1:57" x14ac:dyDescent="0.25">
      <c r="A1773" s="1"/>
      <c r="H1773" s="1"/>
      <c r="O1773" s="1"/>
      <c r="V1773" s="1"/>
      <c r="AC1773" s="1"/>
      <c r="AJ1773" s="1"/>
      <c r="AQ1773" s="1"/>
      <c r="AX1773" s="1"/>
      <c r="BE1773" s="1"/>
    </row>
    <row r="1774" spans="1:57" x14ac:dyDescent="0.25">
      <c r="A1774" s="1"/>
      <c r="H1774" s="1"/>
      <c r="O1774" s="1"/>
      <c r="V1774" s="1"/>
      <c r="AC1774" s="1"/>
      <c r="AJ1774" s="1"/>
      <c r="AQ1774" s="1"/>
      <c r="AX1774" s="1"/>
      <c r="BE1774" s="1"/>
    </row>
    <row r="1775" spans="1:57" x14ac:dyDescent="0.25">
      <c r="A1775" s="1"/>
      <c r="H1775" s="1"/>
      <c r="O1775" s="1"/>
      <c r="V1775" s="1"/>
      <c r="AC1775" s="1"/>
      <c r="AJ1775" s="1"/>
      <c r="AQ1775" s="1"/>
      <c r="AX1775" s="1"/>
      <c r="BE1775" s="1"/>
    </row>
    <row r="1776" spans="1:57" x14ac:dyDescent="0.25">
      <c r="A1776" s="1"/>
      <c r="H1776" s="1"/>
      <c r="O1776" s="1"/>
      <c r="V1776" s="1"/>
      <c r="AC1776" s="1"/>
      <c r="AJ1776" s="1"/>
      <c r="AQ1776" s="1"/>
      <c r="AX1776" s="1"/>
      <c r="BE1776" s="1"/>
    </row>
    <row r="1777" spans="1:57" x14ac:dyDescent="0.25">
      <c r="A1777" s="1"/>
      <c r="H1777" s="1"/>
      <c r="O1777" s="1"/>
      <c r="V1777" s="1"/>
      <c r="AC1777" s="1"/>
      <c r="AJ1777" s="1"/>
      <c r="AQ1777" s="1"/>
      <c r="AX1777" s="1"/>
      <c r="BE1777" s="1"/>
    </row>
    <row r="1778" spans="1:57" x14ac:dyDescent="0.25">
      <c r="A1778" s="1"/>
      <c r="H1778" s="1"/>
      <c r="O1778" s="1"/>
      <c r="V1778" s="1"/>
      <c r="AC1778" s="1"/>
      <c r="AJ1778" s="1"/>
      <c r="AQ1778" s="1"/>
      <c r="AX1778" s="1"/>
      <c r="BE1778" s="1"/>
    </row>
    <row r="1779" spans="1:57" x14ac:dyDescent="0.25">
      <c r="A1779" s="1"/>
      <c r="H1779" s="1"/>
      <c r="O1779" s="1"/>
      <c r="V1779" s="1"/>
      <c r="AC1779" s="1"/>
      <c r="AJ1779" s="1"/>
      <c r="AQ1779" s="1"/>
      <c r="AX1779" s="1"/>
      <c r="BE1779" s="1"/>
    </row>
    <row r="1780" spans="1:57" x14ac:dyDescent="0.25">
      <c r="A1780" s="1"/>
      <c r="H1780" s="1"/>
      <c r="O1780" s="1"/>
      <c r="V1780" s="1"/>
      <c r="AC1780" s="1"/>
      <c r="AJ1780" s="1"/>
      <c r="AQ1780" s="1"/>
      <c r="AX1780" s="1"/>
      <c r="BE1780" s="1"/>
    </row>
    <row r="1781" spans="1:57" x14ac:dyDescent="0.25">
      <c r="A1781" s="1"/>
      <c r="H1781" s="1"/>
      <c r="O1781" s="1"/>
      <c r="V1781" s="1"/>
      <c r="AC1781" s="1"/>
      <c r="AJ1781" s="1"/>
      <c r="AQ1781" s="1"/>
      <c r="AX1781" s="1"/>
      <c r="BE1781" s="1"/>
    </row>
    <row r="1782" spans="1:57" x14ac:dyDescent="0.25">
      <c r="A1782" s="1"/>
      <c r="H1782" s="1"/>
      <c r="O1782" s="1"/>
      <c r="V1782" s="1"/>
      <c r="AC1782" s="1"/>
      <c r="AJ1782" s="1"/>
      <c r="AQ1782" s="1"/>
      <c r="AX1782" s="1"/>
      <c r="BE1782" s="1"/>
    </row>
    <row r="1783" spans="1:57" x14ac:dyDescent="0.25">
      <c r="A1783" s="1"/>
      <c r="H1783" s="1"/>
      <c r="O1783" s="1"/>
      <c r="V1783" s="1"/>
      <c r="AC1783" s="1"/>
      <c r="AJ1783" s="1"/>
      <c r="AQ1783" s="1"/>
      <c r="AX1783" s="1"/>
      <c r="BE1783" s="1"/>
    </row>
    <row r="1784" spans="1:57" x14ac:dyDescent="0.25">
      <c r="A1784" s="1"/>
      <c r="H1784" s="1"/>
      <c r="O1784" s="1"/>
      <c r="V1784" s="1"/>
      <c r="AC1784" s="1"/>
      <c r="AJ1784" s="1"/>
      <c r="AQ1784" s="1"/>
      <c r="AX1784" s="1"/>
      <c r="BE1784" s="1"/>
    </row>
    <row r="1785" spans="1:57" x14ac:dyDescent="0.25">
      <c r="A1785" s="1"/>
      <c r="H1785" s="1"/>
      <c r="O1785" s="1"/>
      <c r="V1785" s="1"/>
      <c r="AC1785" s="1"/>
      <c r="AJ1785" s="1"/>
      <c r="AQ1785" s="1"/>
      <c r="AX1785" s="1"/>
      <c r="BE1785" s="1"/>
    </row>
    <row r="1786" spans="1:57" x14ac:dyDescent="0.25">
      <c r="A1786" s="1"/>
      <c r="H1786" s="1"/>
      <c r="O1786" s="1"/>
      <c r="V1786" s="1"/>
      <c r="AC1786" s="1"/>
      <c r="AJ1786" s="1"/>
      <c r="AQ1786" s="1"/>
      <c r="AX1786" s="1"/>
      <c r="BE1786" s="1"/>
    </row>
    <row r="1787" spans="1:57" x14ac:dyDescent="0.25">
      <c r="A1787" s="1"/>
      <c r="H1787" s="1"/>
      <c r="O1787" s="1"/>
      <c r="V1787" s="1"/>
      <c r="AC1787" s="1"/>
      <c r="AJ1787" s="1"/>
      <c r="AQ1787" s="1"/>
      <c r="AX1787" s="1"/>
      <c r="BE1787" s="1"/>
    </row>
    <row r="1788" spans="1:57" x14ac:dyDescent="0.25">
      <c r="A1788" s="1"/>
      <c r="H1788" s="1"/>
      <c r="O1788" s="1"/>
      <c r="V1788" s="1"/>
      <c r="AC1788" s="1"/>
      <c r="AJ1788" s="1"/>
      <c r="AQ1788" s="1"/>
      <c r="AX1788" s="1"/>
      <c r="BE1788" s="1"/>
    </row>
    <row r="1789" spans="1:57" x14ac:dyDescent="0.25">
      <c r="A1789" s="1"/>
      <c r="H1789" s="1"/>
      <c r="O1789" s="1"/>
      <c r="V1789" s="1"/>
      <c r="AC1789" s="1"/>
      <c r="AJ1789" s="1"/>
      <c r="AQ1789" s="1"/>
      <c r="AX1789" s="1"/>
      <c r="BE1789" s="1"/>
    </row>
    <row r="1790" spans="1:57" x14ac:dyDescent="0.25">
      <c r="A1790" s="1"/>
      <c r="H1790" s="1"/>
      <c r="O1790" s="1"/>
      <c r="V1790" s="1"/>
      <c r="AC1790" s="1"/>
      <c r="AJ1790" s="1"/>
      <c r="AQ1790" s="1"/>
      <c r="AX1790" s="1"/>
      <c r="BE1790" s="1"/>
    </row>
    <row r="1791" spans="1:57" x14ac:dyDescent="0.25">
      <c r="A1791" s="1"/>
      <c r="H1791" s="1"/>
      <c r="O1791" s="1"/>
      <c r="V1791" s="1"/>
      <c r="AC1791" s="1"/>
      <c r="AJ1791" s="1"/>
      <c r="AQ1791" s="1"/>
      <c r="AX1791" s="1"/>
      <c r="BE1791" s="1"/>
    </row>
    <row r="1792" spans="1:57" x14ac:dyDescent="0.25">
      <c r="A1792" s="1"/>
      <c r="H1792" s="1"/>
      <c r="O1792" s="1"/>
      <c r="V1792" s="1"/>
      <c r="AC1792" s="1"/>
      <c r="AJ1792" s="1"/>
      <c r="AQ1792" s="1"/>
      <c r="AX1792" s="1"/>
      <c r="BE1792" s="1"/>
    </row>
    <row r="1793" spans="1:57" x14ac:dyDescent="0.25">
      <c r="A1793" s="1"/>
      <c r="H1793" s="1"/>
      <c r="O1793" s="1"/>
      <c r="V1793" s="1"/>
      <c r="AC1793" s="1"/>
      <c r="AJ1793" s="1"/>
      <c r="AQ1793" s="1"/>
      <c r="AX1793" s="1"/>
      <c r="BE1793" s="1"/>
    </row>
    <row r="1794" spans="1:57" x14ac:dyDescent="0.25">
      <c r="A1794" s="1"/>
      <c r="H1794" s="1"/>
      <c r="O1794" s="1"/>
      <c r="V1794" s="1"/>
      <c r="AC1794" s="1"/>
      <c r="AJ1794" s="1"/>
      <c r="AQ1794" s="1"/>
      <c r="AX1794" s="1"/>
      <c r="BE1794" s="1"/>
    </row>
    <row r="1795" spans="1:57" x14ac:dyDescent="0.25">
      <c r="A1795" s="1"/>
      <c r="H1795" s="1"/>
      <c r="O1795" s="1"/>
      <c r="V1795" s="1"/>
      <c r="AC1795" s="1"/>
      <c r="AJ1795" s="1"/>
      <c r="AQ1795" s="1"/>
      <c r="AX1795" s="1"/>
      <c r="BE1795" s="1"/>
    </row>
    <row r="1796" spans="1:57" x14ac:dyDescent="0.25">
      <c r="A1796" s="1"/>
      <c r="H1796" s="1"/>
      <c r="O1796" s="1"/>
      <c r="V1796" s="1"/>
      <c r="AC1796" s="1"/>
      <c r="AJ1796" s="1"/>
      <c r="AQ1796" s="1"/>
      <c r="AX1796" s="1"/>
      <c r="BE1796" s="1"/>
    </row>
    <row r="1797" spans="1:57" x14ac:dyDescent="0.25">
      <c r="A1797" s="1"/>
      <c r="H1797" s="1"/>
      <c r="O1797" s="1"/>
      <c r="V1797" s="1"/>
      <c r="AC1797" s="1"/>
      <c r="AJ1797" s="1"/>
      <c r="AQ1797" s="1"/>
      <c r="AX1797" s="1"/>
      <c r="BE1797" s="1"/>
    </row>
    <row r="1798" spans="1:57" x14ac:dyDescent="0.25">
      <c r="A1798" s="1"/>
      <c r="H1798" s="1"/>
      <c r="O1798" s="1"/>
      <c r="V1798" s="1"/>
      <c r="AC1798" s="1"/>
      <c r="AJ1798" s="1"/>
      <c r="AQ1798" s="1"/>
      <c r="AX1798" s="1"/>
      <c r="BE1798" s="1"/>
    </row>
    <row r="1799" spans="1:57" x14ac:dyDescent="0.25">
      <c r="A1799" s="1"/>
      <c r="H1799" s="1"/>
      <c r="O1799" s="1"/>
      <c r="V1799" s="1"/>
      <c r="AC1799" s="1"/>
      <c r="AJ1799" s="1"/>
      <c r="AQ1799" s="1"/>
      <c r="AX1799" s="1"/>
      <c r="BE1799" s="1"/>
    </row>
    <row r="1800" spans="1:57" x14ac:dyDescent="0.25">
      <c r="A1800" s="1"/>
      <c r="H1800" s="1"/>
      <c r="O1800" s="1"/>
      <c r="V1800" s="1"/>
      <c r="AC1800" s="1"/>
      <c r="AJ1800" s="1"/>
      <c r="AQ1800" s="1"/>
      <c r="AX1800" s="1"/>
      <c r="BE1800" s="1"/>
    </row>
    <row r="1801" spans="1:57" x14ac:dyDescent="0.25">
      <c r="A1801" s="1"/>
      <c r="H1801" s="1"/>
      <c r="O1801" s="1"/>
      <c r="V1801" s="1"/>
      <c r="AC1801" s="1"/>
      <c r="AJ1801" s="1"/>
      <c r="AQ1801" s="1"/>
      <c r="AX1801" s="1"/>
      <c r="BE1801" s="1"/>
    </row>
    <row r="1802" spans="1:57" x14ac:dyDescent="0.25">
      <c r="A1802" s="1"/>
      <c r="H1802" s="1"/>
      <c r="O1802" s="1"/>
      <c r="V1802" s="1"/>
      <c r="AC1802" s="1"/>
      <c r="AJ1802" s="1"/>
      <c r="AQ1802" s="1"/>
      <c r="AX1802" s="1"/>
      <c r="BE1802" s="1"/>
    </row>
    <row r="1803" spans="1:57" x14ac:dyDescent="0.25">
      <c r="A1803" s="1"/>
      <c r="H1803" s="1"/>
      <c r="O1803" s="1"/>
      <c r="V1803" s="1"/>
      <c r="AC1803" s="1"/>
      <c r="AJ1803" s="1"/>
      <c r="AQ1803" s="1"/>
      <c r="AX1803" s="1"/>
      <c r="BE1803" s="1"/>
    </row>
    <row r="1804" spans="1:57" x14ac:dyDescent="0.25">
      <c r="A1804" s="1"/>
      <c r="H1804" s="1"/>
      <c r="O1804" s="1"/>
      <c r="V1804" s="1"/>
      <c r="AC1804" s="1"/>
      <c r="AJ1804" s="1"/>
      <c r="AQ1804" s="1"/>
      <c r="AX1804" s="1"/>
      <c r="BE1804" s="1"/>
    </row>
    <row r="1805" spans="1:57" x14ac:dyDescent="0.25">
      <c r="A1805" s="1"/>
      <c r="H1805" s="1"/>
      <c r="O1805" s="1"/>
      <c r="V1805" s="1"/>
      <c r="AC1805" s="1"/>
      <c r="AJ1805" s="1"/>
      <c r="AQ1805" s="1"/>
      <c r="AX1805" s="1"/>
      <c r="BE1805" s="1"/>
    </row>
    <row r="1806" spans="1:57" x14ac:dyDescent="0.25">
      <c r="A1806" s="1"/>
      <c r="H1806" s="1"/>
      <c r="O1806" s="1"/>
      <c r="V1806" s="1"/>
      <c r="AC1806" s="1"/>
      <c r="AJ1806" s="1"/>
      <c r="AQ1806" s="1"/>
      <c r="AX1806" s="1"/>
      <c r="BE1806" s="1"/>
    </row>
    <row r="1807" spans="1:57" x14ac:dyDescent="0.25">
      <c r="A1807" s="1"/>
      <c r="H1807" s="1"/>
      <c r="O1807" s="1"/>
      <c r="V1807" s="1"/>
      <c r="AC1807" s="1"/>
      <c r="AJ1807" s="1"/>
      <c r="AQ1807" s="1"/>
      <c r="AX1807" s="1"/>
      <c r="BE1807" s="1"/>
    </row>
    <row r="1808" spans="1:57" x14ac:dyDescent="0.25">
      <c r="A1808" s="1"/>
      <c r="H1808" s="1"/>
      <c r="O1808" s="1"/>
      <c r="V1808" s="1"/>
      <c r="AC1808" s="1"/>
      <c r="AJ1808" s="1"/>
      <c r="AQ1808" s="1"/>
      <c r="AX1808" s="1"/>
      <c r="BE1808" s="1"/>
    </row>
    <row r="1809" spans="1:57" x14ac:dyDescent="0.25">
      <c r="A1809" s="1"/>
      <c r="H1809" s="1"/>
      <c r="O1809" s="1"/>
      <c r="V1809" s="1"/>
      <c r="AC1809" s="1"/>
      <c r="AJ1809" s="1"/>
      <c r="AQ1809" s="1"/>
      <c r="AX1809" s="1"/>
      <c r="BE1809" s="1"/>
    </row>
    <row r="1810" spans="1:57" x14ac:dyDescent="0.25">
      <c r="A1810" s="1"/>
      <c r="H1810" s="1"/>
      <c r="O1810" s="1"/>
      <c r="V1810" s="1"/>
      <c r="AC1810" s="1"/>
      <c r="AJ1810" s="1"/>
      <c r="AQ1810" s="1"/>
      <c r="AX1810" s="1"/>
      <c r="BE1810" s="1"/>
    </row>
    <row r="1811" spans="1:57" x14ac:dyDescent="0.25">
      <c r="A1811" s="1"/>
      <c r="H1811" s="1"/>
      <c r="O1811" s="1"/>
      <c r="V1811" s="1"/>
      <c r="AC1811" s="1"/>
      <c r="AJ1811" s="1"/>
      <c r="AQ1811" s="1"/>
      <c r="AX1811" s="1"/>
      <c r="BE1811" s="1"/>
    </row>
    <row r="1812" spans="1:57" x14ac:dyDescent="0.25">
      <c r="A1812" s="1"/>
      <c r="H1812" s="1"/>
      <c r="O1812" s="1"/>
      <c r="V1812" s="1"/>
      <c r="AC1812" s="1"/>
      <c r="AJ1812" s="1"/>
      <c r="AQ1812" s="1"/>
      <c r="AX1812" s="1"/>
      <c r="BE1812" s="1"/>
    </row>
    <row r="1813" spans="1:57" x14ac:dyDescent="0.25">
      <c r="A1813" s="1"/>
      <c r="H1813" s="1"/>
      <c r="O1813" s="1"/>
      <c r="V1813" s="1"/>
      <c r="AC1813" s="1"/>
      <c r="AJ1813" s="1"/>
      <c r="AQ1813" s="1"/>
      <c r="AX1813" s="1"/>
      <c r="BE1813" s="1"/>
    </row>
    <row r="1814" spans="1:57" x14ac:dyDescent="0.25">
      <c r="A1814" s="1"/>
      <c r="H1814" s="1"/>
      <c r="O1814" s="1"/>
      <c r="V1814" s="1"/>
      <c r="AC1814" s="1"/>
      <c r="AJ1814" s="1"/>
      <c r="AQ1814" s="1"/>
      <c r="AX1814" s="1"/>
      <c r="BE1814" s="1"/>
    </row>
    <row r="1815" spans="1:57" x14ac:dyDescent="0.25">
      <c r="A1815" s="1"/>
      <c r="H1815" s="1"/>
      <c r="O1815" s="1"/>
      <c r="V1815" s="1"/>
      <c r="AC1815" s="1"/>
      <c r="AJ1815" s="1"/>
      <c r="AQ1815" s="1"/>
      <c r="AX1815" s="1"/>
      <c r="BE1815" s="1"/>
    </row>
    <row r="1816" spans="1:57" x14ac:dyDescent="0.25">
      <c r="A1816" s="1"/>
      <c r="H1816" s="1"/>
      <c r="O1816" s="1"/>
      <c r="V1816" s="1"/>
      <c r="AC1816" s="1"/>
      <c r="AJ1816" s="1"/>
      <c r="AQ1816" s="1"/>
      <c r="AX1816" s="1"/>
      <c r="BE1816" s="1"/>
    </row>
    <row r="1817" spans="1:57" x14ac:dyDescent="0.25">
      <c r="A1817" s="1"/>
      <c r="H1817" s="1"/>
      <c r="O1817" s="1"/>
      <c r="V1817" s="1"/>
      <c r="AC1817" s="1"/>
      <c r="AJ1817" s="1"/>
      <c r="AQ1817" s="1"/>
      <c r="AX1817" s="1"/>
      <c r="BE1817" s="1"/>
    </row>
    <row r="1818" spans="1:57" x14ac:dyDescent="0.25">
      <c r="A1818" s="1"/>
      <c r="H1818" s="1"/>
      <c r="O1818" s="1"/>
      <c r="V1818" s="1"/>
      <c r="AC1818" s="1"/>
      <c r="AJ1818" s="1"/>
      <c r="AQ1818" s="1"/>
      <c r="AX1818" s="1"/>
      <c r="BE1818" s="1"/>
    </row>
    <row r="1819" spans="1:57" x14ac:dyDescent="0.25">
      <c r="A1819" s="1"/>
      <c r="H1819" s="1"/>
      <c r="O1819" s="1"/>
      <c r="V1819" s="1"/>
      <c r="AC1819" s="1"/>
      <c r="AJ1819" s="1"/>
      <c r="AQ1819" s="1"/>
      <c r="AX1819" s="1"/>
      <c r="BE1819" s="1"/>
    </row>
    <row r="1820" spans="1:57" x14ac:dyDescent="0.25">
      <c r="A1820" s="1"/>
      <c r="H1820" s="1"/>
      <c r="O1820" s="1"/>
      <c r="V1820" s="1"/>
      <c r="AC1820" s="1"/>
      <c r="AJ1820" s="1"/>
      <c r="AQ1820" s="1"/>
      <c r="AX1820" s="1"/>
      <c r="BE1820" s="1"/>
    </row>
    <row r="1821" spans="1:57" x14ac:dyDescent="0.25">
      <c r="A1821" s="1"/>
      <c r="H1821" s="1"/>
      <c r="O1821" s="1"/>
      <c r="V1821" s="1"/>
      <c r="AC1821" s="1"/>
      <c r="AJ1821" s="1"/>
      <c r="AQ1821" s="1"/>
      <c r="AX1821" s="1"/>
      <c r="BE1821" s="1"/>
    </row>
    <row r="1822" spans="1:57" x14ac:dyDescent="0.25">
      <c r="A1822" s="1"/>
      <c r="H1822" s="1"/>
      <c r="O1822" s="1"/>
      <c r="V1822" s="1"/>
      <c r="AC1822" s="1"/>
      <c r="AJ1822" s="1"/>
      <c r="AQ1822" s="1"/>
      <c r="AX1822" s="1"/>
      <c r="BE1822" s="1"/>
    </row>
    <row r="1823" spans="1:57" x14ac:dyDescent="0.25">
      <c r="A1823" s="1"/>
      <c r="H1823" s="1"/>
      <c r="O1823" s="1"/>
      <c r="V1823" s="1"/>
      <c r="AC1823" s="1"/>
      <c r="AJ1823" s="1"/>
      <c r="AQ1823" s="1"/>
      <c r="AX1823" s="1"/>
      <c r="BE1823" s="1"/>
    </row>
    <row r="1824" spans="1:57" x14ac:dyDescent="0.25">
      <c r="A1824" s="1"/>
      <c r="H1824" s="1"/>
      <c r="O1824" s="1"/>
      <c r="V1824" s="1"/>
      <c r="AC1824" s="1"/>
      <c r="AJ1824" s="1"/>
      <c r="AQ1824" s="1"/>
      <c r="AX1824" s="1"/>
      <c r="BE1824" s="1"/>
    </row>
    <row r="1825" spans="1:57" x14ac:dyDescent="0.25">
      <c r="A1825" s="1"/>
      <c r="H1825" s="1"/>
      <c r="O1825" s="1"/>
      <c r="V1825" s="1"/>
      <c r="AC1825" s="1"/>
      <c r="AJ1825" s="1"/>
      <c r="AQ1825" s="1"/>
      <c r="AX1825" s="1"/>
      <c r="BE1825" s="1"/>
    </row>
    <row r="1826" spans="1:57" x14ac:dyDescent="0.25">
      <c r="A1826" s="1"/>
      <c r="H1826" s="1"/>
      <c r="O1826" s="1"/>
      <c r="V1826" s="1"/>
      <c r="AC1826" s="1"/>
      <c r="AJ1826" s="1"/>
      <c r="AQ1826" s="1"/>
      <c r="AX1826" s="1"/>
      <c r="BE1826" s="1"/>
    </row>
    <row r="1827" spans="1:57" x14ac:dyDescent="0.25">
      <c r="A1827" s="1"/>
      <c r="H1827" s="1"/>
      <c r="O1827" s="1"/>
      <c r="V1827" s="1"/>
      <c r="AC1827" s="1"/>
      <c r="AJ1827" s="1"/>
      <c r="AQ1827" s="1"/>
      <c r="AX1827" s="1"/>
      <c r="BE1827" s="1"/>
    </row>
    <row r="1828" spans="1:57" x14ac:dyDescent="0.25">
      <c r="A1828" s="1"/>
      <c r="H1828" s="1"/>
      <c r="O1828" s="1"/>
      <c r="V1828" s="1"/>
      <c r="AC1828" s="1"/>
      <c r="AJ1828" s="1"/>
      <c r="AQ1828" s="1"/>
      <c r="AX1828" s="1"/>
      <c r="BE1828" s="1"/>
    </row>
    <row r="1829" spans="1:57" x14ac:dyDescent="0.25">
      <c r="A1829" s="1"/>
      <c r="H1829" s="1"/>
      <c r="O1829" s="1"/>
      <c r="V1829" s="1"/>
      <c r="AC1829" s="1"/>
      <c r="AJ1829" s="1"/>
      <c r="AQ1829" s="1"/>
      <c r="AX1829" s="1"/>
      <c r="BE1829" s="1"/>
    </row>
    <row r="1830" spans="1:57" x14ac:dyDescent="0.25">
      <c r="A1830" s="1"/>
      <c r="H1830" s="1"/>
      <c r="O1830" s="1"/>
      <c r="V1830" s="1"/>
      <c r="AC1830" s="1"/>
      <c r="AJ1830" s="1"/>
      <c r="AQ1830" s="1"/>
      <c r="AX1830" s="1"/>
      <c r="BE1830" s="1"/>
    </row>
    <row r="1831" spans="1:57" x14ac:dyDescent="0.25">
      <c r="A1831" s="1"/>
      <c r="H1831" s="1"/>
      <c r="O1831" s="1"/>
      <c r="V1831" s="1"/>
      <c r="AC1831" s="1"/>
      <c r="AJ1831" s="1"/>
      <c r="AQ1831" s="1"/>
      <c r="AX1831" s="1"/>
      <c r="BE1831" s="1"/>
    </row>
    <row r="1832" spans="1:57" x14ac:dyDescent="0.25">
      <c r="A1832" s="1"/>
      <c r="H1832" s="1"/>
      <c r="O1832" s="1"/>
      <c r="V1832" s="1"/>
      <c r="AC1832" s="1"/>
      <c r="AJ1832" s="1"/>
      <c r="AQ1832" s="1"/>
      <c r="AX1832" s="1"/>
      <c r="BE1832" s="1"/>
    </row>
    <row r="1833" spans="1:57" x14ac:dyDescent="0.25">
      <c r="A1833" s="1"/>
      <c r="H1833" s="1"/>
      <c r="O1833" s="1"/>
      <c r="V1833" s="1"/>
      <c r="AC1833" s="1"/>
      <c r="AJ1833" s="1"/>
      <c r="AQ1833" s="1"/>
      <c r="AX1833" s="1"/>
      <c r="BE1833" s="1"/>
    </row>
    <row r="1834" spans="1:57" x14ac:dyDescent="0.25">
      <c r="A1834" s="1"/>
      <c r="H1834" s="1"/>
      <c r="O1834" s="1"/>
      <c r="V1834" s="1"/>
      <c r="AC1834" s="1"/>
      <c r="AJ1834" s="1"/>
      <c r="AQ1834" s="1"/>
      <c r="AX1834" s="1"/>
      <c r="BE1834" s="1"/>
    </row>
    <row r="1835" spans="1:57" x14ac:dyDescent="0.25">
      <c r="A1835" s="1"/>
      <c r="H1835" s="1"/>
      <c r="O1835" s="1"/>
      <c r="V1835" s="1"/>
      <c r="AC1835" s="1"/>
      <c r="AJ1835" s="1"/>
      <c r="AQ1835" s="1"/>
      <c r="AX1835" s="1"/>
      <c r="BE1835" s="1"/>
    </row>
    <row r="1836" spans="1:57" x14ac:dyDescent="0.25">
      <c r="A1836" s="1"/>
      <c r="H1836" s="1"/>
      <c r="O1836" s="1"/>
      <c r="V1836" s="1"/>
      <c r="AC1836" s="1"/>
      <c r="AJ1836" s="1"/>
      <c r="AQ1836" s="1"/>
      <c r="AX1836" s="1"/>
      <c r="BE1836" s="1"/>
    </row>
    <row r="1837" spans="1:57" x14ac:dyDescent="0.25">
      <c r="A1837" s="1"/>
      <c r="H1837" s="1"/>
      <c r="O1837" s="1"/>
      <c r="V1837" s="1"/>
      <c r="AC1837" s="1"/>
      <c r="AJ1837" s="1"/>
      <c r="AQ1837" s="1"/>
      <c r="AX1837" s="1"/>
      <c r="BE1837" s="1"/>
    </row>
    <row r="1838" spans="1:57" x14ac:dyDescent="0.25">
      <c r="A1838" s="1"/>
      <c r="H1838" s="1"/>
      <c r="O1838" s="1"/>
      <c r="V1838" s="1"/>
      <c r="AC1838" s="1"/>
      <c r="AJ1838" s="1"/>
      <c r="AQ1838" s="1"/>
      <c r="AX1838" s="1"/>
      <c r="BE1838" s="1"/>
    </row>
    <row r="1839" spans="1:57" x14ac:dyDescent="0.25">
      <c r="A1839" s="1"/>
      <c r="H1839" s="1"/>
      <c r="O1839" s="1"/>
      <c r="V1839" s="1"/>
      <c r="AC1839" s="1"/>
      <c r="AJ1839" s="1"/>
      <c r="AQ1839" s="1"/>
      <c r="AX1839" s="1"/>
      <c r="BE1839" s="1"/>
    </row>
    <row r="1840" spans="1:57" x14ac:dyDescent="0.25">
      <c r="A1840" s="1"/>
      <c r="H1840" s="1"/>
      <c r="O1840" s="1"/>
      <c r="V1840" s="1"/>
      <c r="AC1840" s="1"/>
      <c r="AJ1840" s="1"/>
      <c r="AQ1840" s="1"/>
      <c r="AX1840" s="1"/>
      <c r="BE1840" s="1"/>
    </row>
    <row r="1841" spans="1:57" x14ac:dyDescent="0.25">
      <c r="A1841" s="1"/>
      <c r="H1841" s="1"/>
      <c r="O1841" s="1"/>
      <c r="V1841" s="1"/>
      <c r="AC1841" s="1"/>
      <c r="AJ1841" s="1"/>
      <c r="AQ1841" s="1"/>
      <c r="AX1841" s="1"/>
      <c r="BE1841" s="1"/>
    </row>
    <row r="1842" spans="1:57" x14ac:dyDescent="0.25">
      <c r="A1842" s="1"/>
      <c r="H1842" s="1"/>
      <c r="O1842" s="1"/>
      <c r="V1842" s="1"/>
      <c r="AC1842" s="1"/>
      <c r="AJ1842" s="1"/>
      <c r="AQ1842" s="1"/>
      <c r="AX1842" s="1"/>
      <c r="BE1842" s="1"/>
    </row>
    <row r="1843" spans="1:57" x14ac:dyDescent="0.25">
      <c r="A1843" s="1"/>
      <c r="H1843" s="1"/>
      <c r="O1843" s="1"/>
      <c r="V1843" s="1"/>
      <c r="AC1843" s="1"/>
      <c r="AJ1843" s="1"/>
      <c r="AQ1843" s="1"/>
      <c r="AX1843" s="1"/>
      <c r="BE1843" s="1"/>
    </row>
    <row r="1844" spans="1:57" x14ac:dyDescent="0.25">
      <c r="A1844" s="1"/>
      <c r="H1844" s="1"/>
      <c r="O1844" s="1"/>
      <c r="V1844" s="1"/>
      <c r="AC1844" s="1"/>
      <c r="AJ1844" s="1"/>
      <c r="AQ1844" s="1"/>
      <c r="AX1844" s="1"/>
      <c r="BE1844" s="1"/>
    </row>
    <row r="1845" spans="1:57" x14ac:dyDescent="0.25">
      <c r="A1845" s="1"/>
      <c r="H1845" s="1"/>
      <c r="O1845" s="1"/>
      <c r="V1845" s="1"/>
      <c r="AC1845" s="1"/>
      <c r="AJ1845" s="1"/>
      <c r="AQ1845" s="1"/>
      <c r="AX1845" s="1"/>
      <c r="BE1845" s="1"/>
    </row>
    <row r="1846" spans="1:57" x14ac:dyDescent="0.25">
      <c r="A1846" s="1"/>
      <c r="H1846" s="1"/>
      <c r="O1846" s="1"/>
      <c r="V1846" s="1"/>
      <c r="AC1846" s="1"/>
      <c r="AJ1846" s="1"/>
      <c r="AQ1846" s="1"/>
      <c r="AX1846" s="1"/>
      <c r="BE1846" s="1"/>
    </row>
    <row r="1847" spans="1:57" x14ac:dyDescent="0.25">
      <c r="A1847" s="1"/>
      <c r="H1847" s="1"/>
      <c r="O1847" s="1"/>
      <c r="V1847" s="1"/>
      <c r="AC1847" s="1"/>
      <c r="AJ1847" s="1"/>
      <c r="AQ1847" s="1"/>
      <c r="AX1847" s="1"/>
      <c r="BE1847" s="1"/>
    </row>
    <row r="1848" spans="1:57" x14ac:dyDescent="0.25">
      <c r="A1848" s="1"/>
      <c r="H1848" s="1"/>
      <c r="O1848" s="1"/>
      <c r="V1848" s="1"/>
      <c r="AC1848" s="1"/>
      <c r="AJ1848" s="1"/>
      <c r="AQ1848" s="1"/>
      <c r="AX1848" s="1"/>
      <c r="BE1848" s="1"/>
    </row>
    <row r="1849" spans="1:57" x14ac:dyDescent="0.25">
      <c r="A1849" s="1"/>
      <c r="H1849" s="1"/>
      <c r="O1849" s="1"/>
      <c r="V1849" s="1"/>
      <c r="AC1849" s="1"/>
      <c r="AJ1849" s="1"/>
      <c r="AQ1849" s="1"/>
      <c r="AX1849" s="1"/>
      <c r="BE1849" s="1"/>
    </row>
    <row r="1850" spans="1:57" x14ac:dyDescent="0.25">
      <c r="A1850" s="1"/>
      <c r="H1850" s="1"/>
      <c r="O1850" s="1"/>
      <c r="V1850" s="1"/>
      <c r="AC1850" s="1"/>
      <c r="AJ1850" s="1"/>
      <c r="AQ1850" s="1"/>
      <c r="AX1850" s="1"/>
      <c r="BE1850" s="1"/>
    </row>
    <row r="1851" spans="1:57" x14ac:dyDescent="0.25">
      <c r="A1851" s="1"/>
      <c r="H1851" s="1"/>
      <c r="O1851" s="1"/>
      <c r="V1851" s="1"/>
      <c r="AC1851" s="1"/>
      <c r="AJ1851" s="1"/>
      <c r="AQ1851" s="1"/>
      <c r="AX1851" s="1"/>
      <c r="BE1851" s="1"/>
    </row>
    <row r="1852" spans="1:57" x14ac:dyDescent="0.25">
      <c r="A1852" s="1"/>
      <c r="H1852" s="1"/>
      <c r="O1852" s="1"/>
      <c r="V1852" s="1"/>
      <c r="AC1852" s="1"/>
      <c r="AJ1852" s="1"/>
      <c r="AQ1852" s="1"/>
      <c r="AX1852" s="1"/>
      <c r="BE1852" s="1"/>
    </row>
    <row r="1853" spans="1:57" x14ac:dyDescent="0.25">
      <c r="A1853" s="1"/>
      <c r="H1853" s="1"/>
      <c r="O1853" s="1"/>
      <c r="V1853" s="1"/>
      <c r="AC1853" s="1"/>
      <c r="AJ1853" s="1"/>
      <c r="AQ1853" s="1"/>
      <c r="AX1853" s="1"/>
      <c r="BE1853" s="1"/>
    </row>
    <row r="1854" spans="1:57" x14ac:dyDescent="0.25">
      <c r="A1854" s="1"/>
      <c r="H1854" s="1"/>
      <c r="O1854" s="1"/>
      <c r="V1854" s="1"/>
      <c r="AC1854" s="1"/>
      <c r="AJ1854" s="1"/>
      <c r="AQ1854" s="1"/>
      <c r="AX1854" s="1"/>
      <c r="BE1854" s="1"/>
    </row>
    <row r="1855" spans="1:57" x14ac:dyDescent="0.25">
      <c r="A1855" s="1"/>
      <c r="H1855" s="1"/>
      <c r="O1855" s="1"/>
      <c r="V1855" s="1"/>
      <c r="AC1855" s="1"/>
      <c r="AJ1855" s="1"/>
      <c r="AQ1855" s="1"/>
      <c r="AX1855" s="1"/>
      <c r="BE1855" s="1"/>
    </row>
    <row r="1856" spans="1:57" x14ac:dyDescent="0.25">
      <c r="A1856" s="1"/>
      <c r="H1856" s="1"/>
      <c r="O1856" s="1"/>
      <c r="V1856" s="1"/>
      <c r="AC1856" s="1"/>
      <c r="AJ1856" s="1"/>
      <c r="AQ1856" s="1"/>
      <c r="AX1856" s="1"/>
      <c r="BE1856" s="1"/>
    </row>
    <row r="1857" spans="1:57" x14ac:dyDescent="0.25">
      <c r="A1857" s="1"/>
      <c r="H1857" s="1"/>
      <c r="O1857" s="1"/>
      <c r="V1857" s="1"/>
      <c r="AC1857" s="1"/>
      <c r="AJ1857" s="1"/>
      <c r="AQ1857" s="1"/>
      <c r="AX1857" s="1"/>
      <c r="BE1857" s="1"/>
    </row>
    <row r="1858" spans="1:57" x14ac:dyDescent="0.25">
      <c r="A1858" s="1"/>
      <c r="H1858" s="1"/>
      <c r="O1858" s="1"/>
      <c r="V1858" s="1"/>
      <c r="AC1858" s="1"/>
      <c r="AJ1858" s="1"/>
      <c r="AQ1858" s="1"/>
      <c r="AX1858" s="1"/>
      <c r="BE1858" s="1"/>
    </row>
    <row r="1859" spans="1:57" x14ac:dyDescent="0.25">
      <c r="A1859" s="1"/>
      <c r="H1859" s="1"/>
      <c r="O1859" s="1"/>
      <c r="V1859" s="1"/>
      <c r="AC1859" s="1"/>
      <c r="AJ1859" s="1"/>
      <c r="AQ1859" s="1"/>
      <c r="AX1859" s="1"/>
      <c r="BE1859" s="1"/>
    </row>
    <row r="1860" spans="1:57" x14ac:dyDescent="0.25">
      <c r="A1860" s="1"/>
      <c r="H1860" s="1"/>
      <c r="O1860" s="1"/>
      <c r="V1860" s="1"/>
      <c r="AC1860" s="1"/>
      <c r="AJ1860" s="1"/>
      <c r="AQ1860" s="1"/>
      <c r="AX1860" s="1"/>
      <c r="BE1860" s="1"/>
    </row>
    <row r="1861" spans="1:57" x14ac:dyDescent="0.25">
      <c r="A1861" s="1"/>
      <c r="H1861" s="1"/>
      <c r="O1861" s="1"/>
      <c r="V1861" s="1"/>
      <c r="AC1861" s="1"/>
      <c r="AJ1861" s="1"/>
      <c r="AQ1861" s="1"/>
      <c r="AX1861" s="1"/>
      <c r="BE1861" s="1"/>
    </row>
    <row r="1862" spans="1:57" x14ac:dyDescent="0.25">
      <c r="A1862" s="1"/>
      <c r="H1862" s="1"/>
      <c r="O1862" s="1"/>
      <c r="V1862" s="1"/>
      <c r="AC1862" s="1"/>
      <c r="AJ1862" s="1"/>
      <c r="AQ1862" s="1"/>
      <c r="AX1862" s="1"/>
      <c r="BE1862" s="1"/>
    </row>
    <row r="1863" spans="1:57" x14ac:dyDescent="0.25">
      <c r="A1863" s="1"/>
      <c r="H1863" s="1"/>
      <c r="O1863" s="1"/>
      <c r="V1863" s="1"/>
      <c r="AC1863" s="1"/>
      <c r="AJ1863" s="1"/>
      <c r="AQ1863" s="1"/>
      <c r="AX1863" s="1"/>
      <c r="BE1863" s="1"/>
    </row>
    <row r="1864" spans="1:57" x14ac:dyDescent="0.25">
      <c r="A1864" s="1"/>
      <c r="H1864" s="1"/>
      <c r="O1864" s="1"/>
      <c r="V1864" s="1"/>
      <c r="AC1864" s="1"/>
      <c r="AJ1864" s="1"/>
      <c r="AQ1864" s="1"/>
      <c r="AX1864" s="1"/>
      <c r="BE1864" s="1"/>
    </row>
    <row r="1865" spans="1:57" x14ac:dyDescent="0.25">
      <c r="A1865" s="1"/>
      <c r="H1865" s="1"/>
      <c r="O1865" s="1"/>
      <c r="V1865" s="1"/>
      <c r="AC1865" s="1"/>
      <c r="AJ1865" s="1"/>
      <c r="AQ1865" s="1"/>
      <c r="AX1865" s="1"/>
      <c r="BE1865" s="1"/>
    </row>
    <row r="1866" spans="1:57" x14ac:dyDescent="0.25">
      <c r="A1866" s="1"/>
      <c r="H1866" s="1"/>
      <c r="O1866" s="1"/>
      <c r="V1866" s="1"/>
      <c r="AC1866" s="1"/>
      <c r="AJ1866" s="1"/>
      <c r="AQ1866" s="1"/>
      <c r="AX1866" s="1"/>
      <c r="BE1866" s="1"/>
    </row>
    <row r="1867" spans="1:57" x14ac:dyDescent="0.25">
      <c r="A1867" s="1"/>
      <c r="H1867" s="1"/>
      <c r="O1867" s="1"/>
      <c r="V1867" s="1"/>
      <c r="AC1867" s="1"/>
      <c r="AJ1867" s="1"/>
      <c r="AQ1867" s="1"/>
      <c r="AX1867" s="1"/>
      <c r="BE1867" s="1"/>
    </row>
    <row r="1868" spans="1:57" x14ac:dyDescent="0.25">
      <c r="A1868" s="1"/>
      <c r="H1868" s="1"/>
      <c r="O1868" s="1"/>
      <c r="V1868" s="1"/>
      <c r="AC1868" s="1"/>
      <c r="AJ1868" s="1"/>
      <c r="AQ1868" s="1"/>
      <c r="AX1868" s="1"/>
      <c r="BE1868" s="1"/>
    </row>
    <row r="1869" spans="1:57" x14ac:dyDescent="0.25">
      <c r="A1869" s="1"/>
      <c r="H1869" s="1"/>
      <c r="O1869" s="1"/>
      <c r="V1869" s="1"/>
      <c r="AC1869" s="1"/>
      <c r="AJ1869" s="1"/>
      <c r="AQ1869" s="1"/>
      <c r="AX1869" s="1"/>
      <c r="BE1869" s="1"/>
    </row>
    <row r="1870" spans="1:57" x14ac:dyDescent="0.25">
      <c r="A1870" s="1"/>
      <c r="H1870" s="1"/>
      <c r="O1870" s="1"/>
      <c r="V1870" s="1"/>
      <c r="AC1870" s="1"/>
      <c r="AJ1870" s="1"/>
      <c r="AQ1870" s="1"/>
      <c r="AX1870" s="1"/>
      <c r="BE1870" s="1"/>
    </row>
    <row r="1871" spans="1:57" x14ac:dyDescent="0.25">
      <c r="A1871" s="1"/>
      <c r="H1871" s="1"/>
      <c r="O1871" s="1"/>
      <c r="V1871" s="1"/>
      <c r="AC1871" s="1"/>
      <c r="AJ1871" s="1"/>
      <c r="AQ1871" s="1"/>
      <c r="AX1871" s="1"/>
      <c r="BE1871" s="1"/>
    </row>
    <row r="1872" spans="1:57" x14ac:dyDescent="0.25">
      <c r="A1872" s="1"/>
      <c r="H1872" s="1"/>
      <c r="O1872" s="1"/>
      <c r="V1872" s="1"/>
      <c r="AC1872" s="1"/>
      <c r="AJ1872" s="1"/>
      <c r="AQ1872" s="1"/>
      <c r="AX1872" s="1"/>
      <c r="BE1872" s="1"/>
    </row>
    <row r="1873" spans="1:57" x14ac:dyDescent="0.25">
      <c r="A1873" s="1"/>
      <c r="H1873" s="1"/>
      <c r="O1873" s="1"/>
      <c r="V1873" s="1"/>
      <c r="AC1873" s="1"/>
      <c r="AJ1873" s="1"/>
      <c r="AQ1873" s="1"/>
      <c r="AX1873" s="1"/>
      <c r="BE1873" s="1"/>
    </row>
    <row r="1874" spans="1:57" x14ac:dyDescent="0.25">
      <c r="A1874" s="1"/>
      <c r="H1874" s="1"/>
      <c r="O1874" s="1"/>
      <c r="V1874" s="1"/>
      <c r="AC1874" s="1"/>
      <c r="AJ1874" s="1"/>
      <c r="AQ1874" s="1"/>
      <c r="AX1874" s="1"/>
      <c r="BE1874" s="1"/>
    </row>
    <row r="1875" spans="1:57" x14ac:dyDescent="0.25">
      <c r="A1875" s="1"/>
      <c r="H1875" s="1"/>
      <c r="O1875" s="1"/>
      <c r="V1875" s="1"/>
      <c r="AC1875" s="1"/>
      <c r="AJ1875" s="1"/>
      <c r="AQ1875" s="1"/>
      <c r="AX1875" s="1"/>
      <c r="BE1875" s="1"/>
    </row>
    <row r="1876" spans="1:57" x14ac:dyDescent="0.25">
      <c r="A1876" s="1"/>
      <c r="H1876" s="1"/>
      <c r="O1876" s="1"/>
      <c r="V1876" s="1"/>
      <c r="AC1876" s="1"/>
      <c r="AJ1876" s="1"/>
      <c r="AQ1876" s="1"/>
      <c r="AX1876" s="1"/>
      <c r="BE1876" s="1"/>
    </row>
    <row r="1877" spans="1:57" x14ac:dyDescent="0.25">
      <c r="A1877" s="1"/>
      <c r="H1877" s="1"/>
      <c r="O1877" s="1"/>
      <c r="V1877" s="1"/>
      <c r="AC1877" s="1"/>
      <c r="AJ1877" s="1"/>
      <c r="AQ1877" s="1"/>
      <c r="AX1877" s="1"/>
      <c r="BE1877" s="1"/>
    </row>
    <row r="1878" spans="1:57" x14ac:dyDescent="0.25">
      <c r="A1878" s="1"/>
      <c r="H1878" s="1"/>
      <c r="O1878" s="1"/>
      <c r="V1878" s="1"/>
      <c r="AC1878" s="1"/>
      <c r="AJ1878" s="1"/>
      <c r="AQ1878" s="1"/>
      <c r="AX1878" s="1"/>
      <c r="BE1878" s="1"/>
    </row>
    <row r="1879" spans="1:57" x14ac:dyDescent="0.25">
      <c r="A1879" s="1"/>
      <c r="H1879" s="1"/>
      <c r="O1879" s="1"/>
      <c r="V1879" s="1"/>
      <c r="AC1879" s="1"/>
      <c r="AJ1879" s="1"/>
      <c r="AQ1879" s="1"/>
      <c r="AX1879" s="1"/>
      <c r="BE1879" s="1"/>
    </row>
    <row r="1880" spans="1:57" x14ac:dyDescent="0.25">
      <c r="A1880" s="1"/>
      <c r="H1880" s="1"/>
      <c r="O1880" s="1"/>
      <c r="V1880" s="1"/>
      <c r="AC1880" s="1"/>
      <c r="AJ1880" s="1"/>
      <c r="AQ1880" s="1"/>
      <c r="AX1880" s="1"/>
      <c r="BE1880" s="1"/>
    </row>
    <row r="1881" spans="1:57" x14ac:dyDescent="0.25">
      <c r="A1881" s="1"/>
      <c r="H1881" s="1"/>
      <c r="O1881" s="1"/>
      <c r="V1881" s="1"/>
      <c r="AC1881" s="1"/>
      <c r="AJ1881" s="1"/>
      <c r="AQ1881" s="1"/>
      <c r="AX1881" s="1"/>
      <c r="BE1881" s="1"/>
    </row>
    <row r="1882" spans="1:57" x14ac:dyDescent="0.25">
      <c r="A1882" s="1"/>
      <c r="H1882" s="1"/>
      <c r="O1882" s="1"/>
      <c r="V1882" s="1"/>
      <c r="AC1882" s="1"/>
      <c r="AJ1882" s="1"/>
      <c r="AQ1882" s="1"/>
      <c r="AX1882" s="1"/>
      <c r="BE1882" s="1"/>
    </row>
    <row r="1883" spans="1:57" x14ac:dyDescent="0.25">
      <c r="A1883" s="1"/>
      <c r="H1883" s="1"/>
      <c r="O1883" s="1"/>
      <c r="V1883" s="1"/>
      <c r="AC1883" s="1"/>
      <c r="AJ1883" s="1"/>
      <c r="AQ1883" s="1"/>
      <c r="AX1883" s="1"/>
      <c r="BE1883" s="1"/>
    </row>
    <row r="1884" spans="1:57" x14ac:dyDescent="0.25">
      <c r="A1884" s="1"/>
      <c r="H1884" s="1"/>
      <c r="O1884" s="1"/>
      <c r="V1884" s="1"/>
      <c r="AC1884" s="1"/>
      <c r="AJ1884" s="1"/>
      <c r="AQ1884" s="1"/>
      <c r="AX1884" s="1"/>
      <c r="BE1884" s="1"/>
    </row>
    <row r="1885" spans="1:57" x14ac:dyDescent="0.25">
      <c r="A1885" s="1"/>
      <c r="H1885" s="1"/>
      <c r="O1885" s="1"/>
      <c r="V1885" s="1"/>
      <c r="AC1885" s="1"/>
      <c r="AJ1885" s="1"/>
      <c r="AQ1885" s="1"/>
      <c r="AX1885" s="1"/>
      <c r="BE1885" s="1"/>
    </row>
    <row r="1886" spans="1:57" x14ac:dyDescent="0.25">
      <c r="A1886" s="1"/>
      <c r="H1886" s="1"/>
      <c r="O1886" s="1"/>
      <c r="V1886" s="1"/>
      <c r="AC1886" s="1"/>
      <c r="AJ1886" s="1"/>
      <c r="AQ1886" s="1"/>
      <c r="AX1886" s="1"/>
      <c r="BE1886" s="1"/>
    </row>
    <row r="1887" spans="1:57" x14ac:dyDescent="0.25">
      <c r="A1887" s="1"/>
      <c r="H1887" s="1"/>
      <c r="O1887" s="1"/>
      <c r="V1887" s="1"/>
      <c r="AC1887" s="1"/>
      <c r="AJ1887" s="1"/>
      <c r="AQ1887" s="1"/>
      <c r="AX1887" s="1"/>
      <c r="BE1887" s="1"/>
    </row>
    <row r="1888" spans="1:57" x14ac:dyDescent="0.25">
      <c r="A1888" s="1"/>
      <c r="H1888" s="1"/>
      <c r="O1888" s="1"/>
      <c r="V1888" s="1"/>
      <c r="AC1888" s="1"/>
      <c r="AJ1888" s="1"/>
      <c r="AQ1888" s="1"/>
      <c r="AX1888" s="1"/>
      <c r="BE1888" s="1"/>
    </row>
    <row r="1889" spans="1:57" x14ac:dyDescent="0.25">
      <c r="A1889" s="1"/>
      <c r="H1889" s="1"/>
      <c r="O1889" s="1"/>
      <c r="V1889" s="1"/>
      <c r="AC1889" s="1"/>
      <c r="AJ1889" s="1"/>
      <c r="AQ1889" s="1"/>
      <c r="AX1889" s="1"/>
      <c r="BE1889" s="1"/>
    </row>
    <row r="1890" spans="1:57" x14ac:dyDescent="0.25">
      <c r="A1890" s="1"/>
      <c r="H1890" s="1"/>
      <c r="O1890" s="1"/>
      <c r="V1890" s="1"/>
      <c r="AC1890" s="1"/>
      <c r="AJ1890" s="1"/>
      <c r="AQ1890" s="1"/>
      <c r="AX1890" s="1"/>
      <c r="BE1890" s="1"/>
    </row>
    <row r="1891" spans="1:57" x14ac:dyDescent="0.25">
      <c r="A1891" s="1"/>
      <c r="H1891" s="1"/>
      <c r="O1891" s="1"/>
      <c r="V1891" s="1"/>
      <c r="AC1891" s="1"/>
      <c r="AJ1891" s="1"/>
      <c r="AQ1891" s="1"/>
      <c r="AX1891" s="1"/>
      <c r="BE1891" s="1"/>
    </row>
    <row r="1892" spans="1:57" x14ac:dyDescent="0.25">
      <c r="A1892" s="1"/>
      <c r="H1892" s="1"/>
      <c r="O1892" s="1"/>
      <c r="V1892" s="1"/>
      <c r="AC1892" s="1"/>
      <c r="AJ1892" s="1"/>
      <c r="AQ1892" s="1"/>
      <c r="AX1892" s="1"/>
      <c r="BE1892" s="1"/>
    </row>
    <row r="1893" spans="1:57" x14ac:dyDescent="0.25">
      <c r="A1893" s="1"/>
      <c r="H1893" s="1"/>
      <c r="O1893" s="1"/>
      <c r="V1893" s="1"/>
      <c r="AC1893" s="1"/>
      <c r="AJ1893" s="1"/>
      <c r="AQ1893" s="1"/>
      <c r="AX1893" s="1"/>
      <c r="BE1893" s="1"/>
    </row>
    <row r="1894" spans="1:57" x14ac:dyDescent="0.25">
      <c r="A1894" s="1"/>
      <c r="H1894" s="1"/>
      <c r="O1894" s="1"/>
      <c r="V1894" s="1"/>
      <c r="AC1894" s="1"/>
      <c r="AJ1894" s="1"/>
      <c r="AQ1894" s="1"/>
      <c r="AX1894" s="1"/>
      <c r="BE1894" s="1"/>
    </row>
    <row r="1895" spans="1:57" x14ac:dyDescent="0.25">
      <c r="A1895" s="1"/>
      <c r="H1895" s="1"/>
      <c r="O1895" s="1"/>
      <c r="V1895" s="1"/>
      <c r="AC1895" s="1"/>
      <c r="AJ1895" s="1"/>
      <c r="AQ1895" s="1"/>
      <c r="AX1895" s="1"/>
      <c r="BE1895" s="1"/>
    </row>
    <row r="1896" spans="1:57" x14ac:dyDescent="0.25">
      <c r="A1896" s="1"/>
      <c r="H1896" s="1"/>
      <c r="O1896" s="1"/>
      <c r="V1896" s="1"/>
      <c r="AC1896" s="1"/>
      <c r="AJ1896" s="1"/>
      <c r="AQ1896" s="1"/>
      <c r="AX1896" s="1"/>
      <c r="BE1896" s="1"/>
    </row>
    <row r="1897" spans="1:57" x14ac:dyDescent="0.25">
      <c r="A1897" s="1"/>
      <c r="H1897" s="1"/>
      <c r="O1897" s="1"/>
      <c r="V1897" s="1"/>
      <c r="AC1897" s="1"/>
      <c r="AJ1897" s="1"/>
      <c r="AQ1897" s="1"/>
      <c r="AX1897" s="1"/>
      <c r="BE1897" s="1"/>
    </row>
    <row r="1898" spans="1:57" x14ac:dyDescent="0.25">
      <c r="A1898" s="1"/>
      <c r="H1898" s="1"/>
      <c r="O1898" s="1"/>
      <c r="V1898" s="1"/>
      <c r="AC1898" s="1"/>
      <c r="AJ1898" s="1"/>
      <c r="AQ1898" s="1"/>
      <c r="AX1898" s="1"/>
      <c r="BE1898" s="1"/>
    </row>
    <row r="1899" spans="1:57" x14ac:dyDescent="0.25">
      <c r="A1899" s="1"/>
      <c r="H1899" s="1"/>
      <c r="O1899" s="1"/>
      <c r="V1899" s="1"/>
      <c r="AC1899" s="1"/>
      <c r="AJ1899" s="1"/>
      <c r="AQ1899" s="1"/>
      <c r="AX1899" s="1"/>
      <c r="BE1899" s="1"/>
    </row>
    <row r="1900" spans="1:57" x14ac:dyDescent="0.25">
      <c r="A1900" s="1"/>
      <c r="H1900" s="1"/>
      <c r="O1900" s="1"/>
      <c r="V1900" s="1"/>
      <c r="AC1900" s="1"/>
      <c r="AJ1900" s="1"/>
      <c r="AQ1900" s="1"/>
      <c r="AX1900" s="1"/>
      <c r="BE1900" s="1"/>
    </row>
    <row r="1901" spans="1:57" x14ac:dyDescent="0.25">
      <c r="A1901" s="1"/>
      <c r="H1901" s="1"/>
      <c r="O1901" s="1"/>
      <c r="V1901" s="1"/>
      <c r="AC1901" s="1"/>
      <c r="AJ1901" s="1"/>
      <c r="AQ1901" s="1"/>
      <c r="AX1901" s="1"/>
      <c r="BE1901" s="1"/>
    </row>
    <row r="1902" spans="1:57" x14ac:dyDescent="0.25">
      <c r="A1902" s="1"/>
      <c r="H1902" s="1"/>
      <c r="O1902" s="1"/>
      <c r="V1902" s="1"/>
      <c r="AC1902" s="1"/>
      <c r="AJ1902" s="1"/>
      <c r="AQ1902" s="1"/>
      <c r="AX1902" s="1"/>
      <c r="BE1902" s="1"/>
    </row>
    <row r="1903" spans="1:57" x14ac:dyDescent="0.25">
      <c r="A1903" s="1"/>
      <c r="H1903" s="1"/>
      <c r="O1903" s="1"/>
      <c r="V1903" s="1"/>
      <c r="AC1903" s="1"/>
      <c r="AJ1903" s="1"/>
      <c r="AQ1903" s="1"/>
      <c r="AX1903" s="1"/>
      <c r="BE1903" s="1"/>
    </row>
    <row r="1904" spans="1:57" x14ac:dyDescent="0.25">
      <c r="A1904" s="1"/>
      <c r="H1904" s="1"/>
      <c r="O1904" s="1"/>
      <c r="V1904" s="1"/>
      <c r="AC1904" s="1"/>
      <c r="AJ1904" s="1"/>
      <c r="AQ1904" s="1"/>
      <c r="AX1904" s="1"/>
      <c r="BE1904" s="1"/>
    </row>
    <row r="1905" spans="1:57" x14ac:dyDescent="0.25">
      <c r="A1905" s="1"/>
      <c r="H1905" s="1"/>
      <c r="O1905" s="1"/>
      <c r="V1905" s="1"/>
      <c r="AC1905" s="1"/>
      <c r="AJ1905" s="1"/>
      <c r="AQ1905" s="1"/>
      <c r="AX1905" s="1"/>
      <c r="BE1905" s="1"/>
    </row>
    <row r="1906" spans="1:57" x14ac:dyDescent="0.25">
      <c r="A1906" s="1"/>
      <c r="H1906" s="1"/>
      <c r="O1906" s="1"/>
      <c r="V1906" s="1"/>
      <c r="AC1906" s="1"/>
      <c r="AJ1906" s="1"/>
      <c r="AQ1906" s="1"/>
      <c r="AX1906" s="1"/>
      <c r="BE1906" s="1"/>
    </row>
    <row r="1907" spans="1:57" x14ac:dyDescent="0.25">
      <c r="A1907" s="1"/>
      <c r="H1907" s="1"/>
      <c r="O1907" s="1"/>
      <c r="V1907" s="1"/>
      <c r="AC1907" s="1"/>
      <c r="AJ1907" s="1"/>
      <c r="AQ1907" s="1"/>
      <c r="AX1907" s="1"/>
      <c r="BE1907" s="1"/>
    </row>
    <row r="1908" spans="1:57" x14ac:dyDescent="0.25">
      <c r="A1908" s="1"/>
      <c r="H1908" s="1"/>
      <c r="O1908" s="1"/>
      <c r="V1908" s="1"/>
      <c r="AC1908" s="1"/>
      <c r="AJ1908" s="1"/>
      <c r="AQ1908" s="1"/>
      <c r="AX1908" s="1"/>
      <c r="BE1908" s="1"/>
    </row>
    <row r="1909" spans="1:57" x14ac:dyDescent="0.25">
      <c r="A1909" s="1"/>
      <c r="H1909" s="1"/>
      <c r="O1909" s="1"/>
      <c r="V1909" s="1"/>
      <c r="AC1909" s="1"/>
      <c r="AJ1909" s="1"/>
      <c r="AQ1909" s="1"/>
      <c r="AX1909" s="1"/>
      <c r="BE1909" s="1"/>
    </row>
    <row r="1910" spans="1:57" x14ac:dyDescent="0.25">
      <c r="A1910" s="1"/>
      <c r="H1910" s="1"/>
      <c r="O1910" s="1"/>
      <c r="V1910" s="1"/>
      <c r="AC1910" s="1"/>
      <c r="AJ1910" s="1"/>
      <c r="AQ1910" s="1"/>
      <c r="AX1910" s="1"/>
      <c r="BE1910" s="1"/>
    </row>
    <row r="1911" spans="1:57" x14ac:dyDescent="0.25">
      <c r="A1911" s="1"/>
      <c r="H1911" s="1"/>
      <c r="O1911" s="1"/>
      <c r="V1911" s="1"/>
      <c r="AC1911" s="1"/>
      <c r="AJ1911" s="1"/>
      <c r="AQ1911" s="1"/>
      <c r="AX1911" s="1"/>
      <c r="BE1911" s="1"/>
    </row>
    <row r="1912" spans="1:57" x14ac:dyDescent="0.25">
      <c r="A1912" s="1"/>
      <c r="H1912" s="1"/>
      <c r="O1912" s="1"/>
      <c r="V1912" s="1"/>
      <c r="AC1912" s="1"/>
      <c r="AJ1912" s="1"/>
      <c r="AQ1912" s="1"/>
      <c r="AX1912" s="1"/>
      <c r="BE1912" s="1"/>
    </row>
    <row r="1913" spans="1:57" x14ac:dyDescent="0.25">
      <c r="A1913" s="1"/>
      <c r="H1913" s="1"/>
      <c r="O1913" s="1"/>
      <c r="V1913" s="1"/>
      <c r="AC1913" s="1"/>
      <c r="AJ1913" s="1"/>
      <c r="AQ1913" s="1"/>
      <c r="AX1913" s="1"/>
      <c r="BE1913" s="1"/>
    </row>
    <row r="1914" spans="1:57" x14ac:dyDescent="0.25">
      <c r="A1914" s="1"/>
      <c r="H1914" s="1"/>
      <c r="O1914" s="1"/>
      <c r="V1914" s="1"/>
      <c r="AC1914" s="1"/>
      <c r="AJ1914" s="1"/>
      <c r="AQ1914" s="1"/>
      <c r="AX1914" s="1"/>
      <c r="BE1914" s="1"/>
    </row>
    <row r="1915" spans="1:57" x14ac:dyDescent="0.25">
      <c r="A1915" s="1"/>
      <c r="H1915" s="1"/>
      <c r="O1915" s="1"/>
      <c r="V1915" s="1"/>
      <c r="AC1915" s="1"/>
      <c r="AJ1915" s="1"/>
      <c r="AQ1915" s="1"/>
      <c r="AX1915" s="1"/>
      <c r="BE1915" s="1"/>
    </row>
    <row r="1916" spans="1:57" x14ac:dyDescent="0.25">
      <c r="A1916" s="1"/>
      <c r="H1916" s="1"/>
      <c r="O1916" s="1"/>
      <c r="V1916" s="1"/>
      <c r="AC1916" s="1"/>
      <c r="AJ1916" s="1"/>
      <c r="AQ1916" s="1"/>
      <c r="AX1916" s="1"/>
      <c r="BE1916" s="1"/>
    </row>
    <row r="1917" spans="1:57" x14ac:dyDescent="0.25">
      <c r="A1917" s="1"/>
      <c r="H1917" s="1"/>
      <c r="O1917" s="1"/>
      <c r="V1917" s="1"/>
      <c r="AC1917" s="1"/>
      <c r="AJ1917" s="1"/>
      <c r="AQ1917" s="1"/>
      <c r="AX1917" s="1"/>
      <c r="BE1917" s="1"/>
    </row>
    <row r="1918" spans="1:57" x14ac:dyDescent="0.25">
      <c r="A1918" s="1"/>
      <c r="H1918" s="1"/>
      <c r="O1918" s="1"/>
      <c r="V1918" s="1"/>
      <c r="AC1918" s="1"/>
      <c r="AJ1918" s="1"/>
      <c r="AQ1918" s="1"/>
      <c r="AX1918" s="1"/>
      <c r="BE1918" s="1"/>
    </row>
    <row r="1919" spans="1:57" x14ac:dyDescent="0.25">
      <c r="A1919" s="1"/>
      <c r="H1919" s="1"/>
      <c r="O1919" s="1"/>
      <c r="V1919" s="1"/>
      <c r="AC1919" s="1"/>
      <c r="AJ1919" s="1"/>
      <c r="AQ1919" s="1"/>
      <c r="AX1919" s="1"/>
      <c r="BE1919" s="1"/>
    </row>
    <row r="1920" spans="1:57" x14ac:dyDescent="0.25">
      <c r="A1920" s="1"/>
      <c r="H1920" s="1"/>
      <c r="O1920" s="1"/>
      <c r="V1920" s="1"/>
      <c r="AC1920" s="1"/>
      <c r="AJ1920" s="1"/>
      <c r="AQ1920" s="1"/>
      <c r="AX1920" s="1"/>
      <c r="BE1920" s="1"/>
    </row>
    <row r="1921" spans="1:57" x14ac:dyDescent="0.25">
      <c r="A1921" s="1"/>
      <c r="H1921" s="1"/>
      <c r="O1921" s="1"/>
      <c r="V1921" s="1"/>
      <c r="AC1921" s="1"/>
      <c r="AJ1921" s="1"/>
      <c r="AQ1921" s="1"/>
      <c r="AX1921" s="1"/>
      <c r="BE1921" s="1"/>
    </row>
    <row r="1922" spans="1:57" x14ac:dyDescent="0.25">
      <c r="A1922" s="1"/>
      <c r="H1922" s="1"/>
      <c r="O1922" s="1"/>
      <c r="V1922" s="1"/>
      <c r="AC1922" s="1"/>
      <c r="AJ1922" s="1"/>
      <c r="AQ1922" s="1"/>
      <c r="AX1922" s="1"/>
      <c r="BE1922" s="1"/>
    </row>
    <row r="1923" spans="1:57" x14ac:dyDescent="0.25">
      <c r="A1923" s="1"/>
      <c r="H1923" s="1"/>
      <c r="O1923" s="1"/>
      <c r="V1923" s="1"/>
      <c r="AC1923" s="1"/>
      <c r="AJ1923" s="1"/>
      <c r="AQ1923" s="1"/>
      <c r="AX1923" s="1"/>
      <c r="BE1923" s="1"/>
    </row>
    <row r="1924" spans="1:57" x14ac:dyDescent="0.25">
      <c r="A1924" s="1"/>
      <c r="H1924" s="1"/>
      <c r="O1924" s="1"/>
      <c r="V1924" s="1"/>
      <c r="AC1924" s="1"/>
      <c r="AJ1924" s="1"/>
      <c r="AQ1924" s="1"/>
      <c r="AX1924" s="1"/>
      <c r="BE1924" s="1"/>
    </row>
    <row r="1925" spans="1:57" x14ac:dyDescent="0.25">
      <c r="A1925" s="1"/>
      <c r="H1925" s="1"/>
      <c r="O1925" s="1"/>
      <c r="V1925" s="1"/>
      <c r="AC1925" s="1"/>
      <c r="AJ1925" s="1"/>
      <c r="AQ1925" s="1"/>
      <c r="AX1925" s="1"/>
      <c r="BE1925" s="1"/>
    </row>
    <row r="1926" spans="1:57" x14ac:dyDescent="0.25">
      <c r="A1926" s="1"/>
      <c r="H1926" s="1"/>
      <c r="O1926" s="1"/>
      <c r="V1926" s="1"/>
      <c r="AC1926" s="1"/>
      <c r="AJ1926" s="1"/>
      <c r="AQ1926" s="1"/>
      <c r="AX1926" s="1"/>
      <c r="BE1926" s="1"/>
    </row>
    <row r="1927" spans="1:57" x14ac:dyDescent="0.25">
      <c r="A1927" s="1"/>
      <c r="H1927" s="1"/>
      <c r="O1927" s="1"/>
      <c r="V1927" s="1"/>
      <c r="AC1927" s="1"/>
      <c r="AJ1927" s="1"/>
      <c r="AQ1927" s="1"/>
      <c r="AX1927" s="1"/>
      <c r="BE1927" s="1"/>
    </row>
    <row r="1928" spans="1:57" x14ac:dyDescent="0.25">
      <c r="A1928" s="1"/>
      <c r="H1928" s="1"/>
      <c r="O1928" s="1"/>
      <c r="V1928" s="1"/>
      <c r="AC1928" s="1"/>
      <c r="AJ1928" s="1"/>
      <c r="AQ1928" s="1"/>
      <c r="AX1928" s="1"/>
      <c r="BE1928" s="1"/>
    </row>
    <row r="1929" spans="1:57" x14ac:dyDescent="0.25">
      <c r="A1929" s="1"/>
      <c r="H1929" s="1"/>
      <c r="O1929" s="1"/>
      <c r="V1929" s="1"/>
      <c r="AC1929" s="1"/>
      <c r="AJ1929" s="1"/>
      <c r="AQ1929" s="1"/>
      <c r="AX1929" s="1"/>
      <c r="BE1929" s="1"/>
    </row>
    <row r="1930" spans="1:57" x14ac:dyDescent="0.25">
      <c r="A1930" s="1"/>
      <c r="H1930" s="1"/>
      <c r="O1930" s="1"/>
      <c r="V1930" s="1"/>
      <c r="AC1930" s="1"/>
      <c r="AJ1930" s="1"/>
      <c r="AQ1930" s="1"/>
      <c r="AX1930" s="1"/>
      <c r="BE1930" s="1"/>
    </row>
    <row r="1931" spans="1:57" x14ac:dyDescent="0.25">
      <c r="A1931" s="1"/>
      <c r="H1931" s="1"/>
      <c r="O1931" s="1"/>
      <c r="V1931" s="1"/>
      <c r="AC1931" s="1"/>
      <c r="AJ1931" s="1"/>
      <c r="AQ1931" s="1"/>
      <c r="AX1931" s="1"/>
      <c r="BE1931" s="1"/>
    </row>
    <row r="1932" spans="1:57" x14ac:dyDescent="0.25">
      <c r="A1932" s="1"/>
      <c r="H1932" s="1"/>
      <c r="O1932" s="1"/>
      <c r="V1932" s="1"/>
      <c r="AC1932" s="1"/>
      <c r="AJ1932" s="1"/>
      <c r="AQ1932" s="1"/>
      <c r="AX1932" s="1"/>
      <c r="BE1932" s="1"/>
    </row>
    <row r="1933" spans="1:57" x14ac:dyDescent="0.25">
      <c r="A1933" s="1"/>
      <c r="H1933" s="1"/>
      <c r="O1933" s="1"/>
      <c r="V1933" s="1"/>
      <c r="AC1933" s="1"/>
      <c r="AJ1933" s="1"/>
      <c r="AQ1933" s="1"/>
      <c r="AX1933" s="1"/>
      <c r="BE1933" s="1"/>
    </row>
    <row r="1934" spans="1:57" x14ac:dyDescent="0.25">
      <c r="A1934" s="1"/>
      <c r="H1934" s="1"/>
      <c r="O1934" s="1"/>
      <c r="V1934" s="1"/>
      <c r="AC1934" s="1"/>
      <c r="AJ1934" s="1"/>
      <c r="AQ1934" s="1"/>
      <c r="AX1934" s="1"/>
      <c r="BE1934" s="1"/>
    </row>
    <row r="1935" spans="1:57" x14ac:dyDescent="0.25">
      <c r="A1935" s="1"/>
      <c r="H1935" s="1"/>
      <c r="O1935" s="1"/>
      <c r="V1935" s="1"/>
      <c r="AC1935" s="1"/>
      <c r="AJ1935" s="1"/>
      <c r="AQ1935" s="1"/>
      <c r="AX1935" s="1"/>
      <c r="BE1935" s="1"/>
    </row>
    <row r="1936" spans="1:57" x14ac:dyDescent="0.25">
      <c r="A1936" s="1"/>
      <c r="H1936" s="1"/>
      <c r="O1936" s="1"/>
      <c r="V1936" s="1"/>
      <c r="AC1936" s="1"/>
      <c r="AJ1936" s="1"/>
      <c r="AQ1936" s="1"/>
      <c r="AX1936" s="1"/>
      <c r="BE1936" s="1"/>
    </row>
    <row r="1937" spans="1:57" x14ac:dyDescent="0.25">
      <c r="A1937" s="1"/>
      <c r="H1937" s="1"/>
      <c r="O1937" s="1"/>
      <c r="V1937" s="1"/>
      <c r="AC1937" s="1"/>
      <c r="AJ1937" s="1"/>
      <c r="AQ1937" s="1"/>
      <c r="AX1937" s="1"/>
      <c r="BE1937" s="1"/>
    </row>
    <row r="1938" spans="1:57" x14ac:dyDescent="0.25">
      <c r="A1938" s="1"/>
      <c r="H1938" s="1"/>
      <c r="O1938" s="1"/>
      <c r="V1938" s="1"/>
      <c r="AC1938" s="1"/>
      <c r="AJ1938" s="1"/>
      <c r="AQ1938" s="1"/>
      <c r="AX1938" s="1"/>
      <c r="BE1938" s="1"/>
    </row>
    <row r="1939" spans="1:57" x14ac:dyDescent="0.25">
      <c r="A1939" s="1"/>
      <c r="H1939" s="1"/>
      <c r="O1939" s="1"/>
      <c r="V1939" s="1"/>
      <c r="AC1939" s="1"/>
      <c r="AJ1939" s="1"/>
      <c r="AQ1939" s="1"/>
      <c r="AX1939" s="1"/>
      <c r="BE1939" s="1"/>
    </row>
    <row r="1940" spans="1:57" x14ac:dyDescent="0.25">
      <c r="A1940" s="1"/>
      <c r="H1940" s="1"/>
      <c r="O1940" s="1"/>
      <c r="V1940" s="1"/>
      <c r="AC1940" s="1"/>
      <c r="AJ1940" s="1"/>
      <c r="AQ1940" s="1"/>
      <c r="AX1940" s="1"/>
      <c r="BE1940" s="1"/>
    </row>
    <row r="1941" spans="1:57" x14ac:dyDescent="0.25">
      <c r="A1941" s="1"/>
      <c r="H1941" s="1"/>
      <c r="O1941" s="1"/>
      <c r="V1941" s="1"/>
      <c r="AC1941" s="1"/>
      <c r="AJ1941" s="1"/>
      <c r="AQ1941" s="1"/>
      <c r="AX1941" s="1"/>
      <c r="BE1941" s="1"/>
    </row>
    <row r="1942" spans="1:57" x14ac:dyDescent="0.25">
      <c r="A1942" s="1"/>
      <c r="H1942" s="1"/>
      <c r="O1942" s="1"/>
      <c r="V1942" s="1"/>
      <c r="AC1942" s="1"/>
      <c r="AJ1942" s="1"/>
      <c r="AQ1942" s="1"/>
      <c r="AX1942" s="1"/>
      <c r="BE1942" s="1"/>
    </row>
    <row r="1943" spans="1:57" x14ac:dyDescent="0.25">
      <c r="A1943" s="1"/>
      <c r="H1943" s="1"/>
      <c r="O1943" s="1"/>
      <c r="V1943" s="1"/>
      <c r="AC1943" s="1"/>
      <c r="AJ1943" s="1"/>
      <c r="AQ1943" s="1"/>
      <c r="AX1943" s="1"/>
      <c r="BE1943" s="1"/>
    </row>
    <row r="1944" spans="1:57" x14ac:dyDescent="0.25">
      <c r="A1944" s="1"/>
      <c r="H1944" s="1"/>
      <c r="O1944" s="1"/>
      <c r="V1944" s="1"/>
      <c r="AC1944" s="1"/>
      <c r="AJ1944" s="1"/>
      <c r="AQ1944" s="1"/>
      <c r="AX1944" s="1"/>
      <c r="BE1944" s="1"/>
    </row>
    <row r="1945" spans="1:57" x14ac:dyDescent="0.25">
      <c r="A1945" s="1"/>
      <c r="H1945" s="1"/>
      <c r="O1945" s="1"/>
      <c r="V1945" s="1"/>
      <c r="AC1945" s="1"/>
      <c r="AJ1945" s="1"/>
      <c r="AQ1945" s="1"/>
      <c r="AX1945" s="1"/>
      <c r="BE1945" s="1"/>
    </row>
    <row r="1946" spans="1:57" x14ac:dyDescent="0.25">
      <c r="A1946" s="1"/>
      <c r="H1946" s="1"/>
      <c r="O1946" s="1"/>
      <c r="V1946" s="1"/>
      <c r="AC1946" s="1"/>
      <c r="AJ1946" s="1"/>
      <c r="AQ1946" s="1"/>
      <c r="AX1946" s="1"/>
      <c r="BE1946" s="1"/>
    </row>
    <row r="1947" spans="1:57" x14ac:dyDescent="0.25">
      <c r="A1947" s="1"/>
      <c r="H1947" s="1"/>
      <c r="O1947" s="1"/>
      <c r="V1947" s="1"/>
      <c r="AC1947" s="1"/>
      <c r="AJ1947" s="1"/>
      <c r="AQ1947" s="1"/>
      <c r="AX1947" s="1"/>
      <c r="BE1947" s="1"/>
    </row>
    <row r="1948" spans="1:57" x14ac:dyDescent="0.25">
      <c r="A1948" s="1"/>
      <c r="H1948" s="1"/>
      <c r="O1948" s="1"/>
      <c r="V1948" s="1"/>
      <c r="AC1948" s="1"/>
      <c r="AJ1948" s="1"/>
      <c r="AQ1948" s="1"/>
      <c r="AX1948" s="1"/>
      <c r="BE1948" s="1"/>
    </row>
    <row r="1949" spans="1:57" x14ac:dyDescent="0.25">
      <c r="A1949" s="1"/>
      <c r="H1949" s="1"/>
      <c r="O1949" s="1"/>
      <c r="V1949" s="1"/>
      <c r="AC1949" s="1"/>
      <c r="AJ1949" s="1"/>
      <c r="AQ1949" s="1"/>
      <c r="AX1949" s="1"/>
      <c r="BE1949" s="1"/>
    </row>
    <row r="1950" spans="1:57" x14ac:dyDescent="0.25">
      <c r="A1950" s="1"/>
      <c r="H1950" s="1"/>
      <c r="O1950" s="1"/>
      <c r="V1950" s="1"/>
      <c r="AC1950" s="1"/>
      <c r="AJ1950" s="1"/>
      <c r="AQ1950" s="1"/>
      <c r="AX1950" s="1"/>
      <c r="BE1950" s="1"/>
    </row>
    <row r="1951" spans="1:57" x14ac:dyDescent="0.25">
      <c r="A1951" s="1"/>
      <c r="H1951" s="1"/>
      <c r="O1951" s="1"/>
      <c r="V1951" s="1"/>
      <c r="AC1951" s="1"/>
      <c r="AJ1951" s="1"/>
      <c r="AQ1951" s="1"/>
      <c r="AX1951" s="1"/>
      <c r="BE1951" s="1"/>
    </row>
    <row r="1952" spans="1:57" x14ac:dyDescent="0.25">
      <c r="A1952" s="1"/>
      <c r="H1952" s="1"/>
      <c r="O1952" s="1"/>
      <c r="V1952" s="1"/>
      <c r="AC1952" s="1"/>
      <c r="AJ1952" s="1"/>
      <c r="AQ1952" s="1"/>
      <c r="AX1952" s="1"/>
      <c r="BE1952" s="1"/>
    </row>
    <row r="1953" spans="1:57" x14ac:dyDescent="0.25">
      <c r="A1953" s="1"/>
      <c r="H1953" s="1"/>
      <c r="O1953" s="1"/>
      <c r="V1953" s="1"/>
      <c r="AC1953" s="1"/>
      <c r="AJ1953" s="1"/>
      <c r="AQ1953" s="1"/>
      <c r="AX1953" s="1"/>
      <c r="BE1953" s="1"/>
    </row>
    <row r="1954" spans="1:57" x14ac:dyDescent="0.25">
      <c r="A1954" s="1"/>
      <c r="H1954" s="1"/>
      <c r="O1954" s="1"/>
      <c r="V1954" s="1"/>
      <c r="AC1954" s="1"/>
      <c r="AJ1954" s="1"/>
      <c r="AQ1954" s="1"/>
      <c r="AX1954" s="1"/>
      <c r="BE1954" s="1"/>
    </row>
    <row r="1955" spans="1:57" x14ac:dyDescent="0.25">
      <c r="A1955" s="1"/>
      <c r="H1955" s="1"/>
      <c r="O1955" s="1"/>
      <c r="V1955" s="1"/>
      <c r="AC1955" s="1"/>
      <c r="AJ1955" s="1"/>
      <c r="AQ1955" s="1"/>
      <c r="AX1955" s="1"/>
      <c r="BE1955" s="1"/>
    </row>
    <row r="1956" spans="1:57" x14ac:dyDescent="0.25">
      <c r="A1956" s="1"/>
      <c r="H1956" s="1"/>
      <c r="O1956" s="1"/>
      <c r="V1956" s="1"/>
      <c r="AC1956" s="1"/>
      <c r="AJ1956" s="1"/>
      <c r="AQ1956" s="1"/>
      <c r="AX1956" s="1"/>
      <c r="BE1956" s="1"/>
    </row>
    <row r="1957" spans="1:57" x14ac:dyDescent="0.25">
      <c r="A1957" s="1"/>
      <c r="H1957" s="1"/>
      <c r="O1957" s="1"/>
      <c r="V1957" s="1"/>
      <c r="AC1957" s="1"/>
      <c r="AJ1957" s="1"/>
      <c r="AQ1957" s="1"/>
      <c r="AX1957" s="1"/>
      <c r="BE1957" s="1"/>
    </row>
    <row r="1958" spans="1:57" x14ac:dyDescent="0.25">
      <c r="A1958" s="1"/>
      <c r="H1958" s="1"/>
      <c r="O1958" s="1"/>
      <c r="V1958" s="1"/>
      <c r="AC1958" s="1"/>
      <c r="AJ1958" s="1"/>
      <c r="AQ1958" s="1"/>
      <c r="AX1958" s="1"/>
      <c r="BE1958" s="1"/>
    </row>
    <row r="1959" spans="1:57" x14ac:dyDescent="0.25">
      <c r="A1959" s="1"/>
      <c r="H1959" s="1"/>
      <c r="O1959" s="1"/>
      <c r="V1959" s="1"/>
      <c r="AC1959" s="1"/>
      <c r="AJ1959" s="1"/>
      <c r="AQ1959" s="1"/>
      <c r="AX1959" s="1"/>
      <c r="BE1959" s="1"/>
    </row>
    <row r="1960" spans="1:57" x14ac:dyDescent="0.25">
      <c r="A1960" s="1"/>
      <c r="H1960" s="1"/>
      <c r="O1960" s="1"/>
      <c r="V1960" s="1"/>
      <c r="AC1960" s="1"/>
      <c r="AJ1960" s="1"/>
      <c r="AQ1960" s="1"/>
      <c r="AX1960" s="1"/>
      <c r="BE1960" s="1"/>
    </row>
    <row r="1961" spans="1:57" x14ac:dyDescent="0.25">
      <c r="A1961" s="1"/>
      <c r="H1961" s="1"/>
      <c r="O1961" s="1"/>
      <c r="V1961" s="1"/>
      <c r="AC1961" s="1"/>
      <c r="AJ1961" s="1"/>
      <c r="AQ1961" s="1"/>
      <c r="AX1961" s="1"/>
      <c r="BE1961" s="1"/>
    </row>
    <row r="1962" spans="1:57" x14ac:dyDescent="0.25">
      <c r="A1962" s="1"/>
      <c r="H1962" s="1"/>
      <c r="O1962" s="1"/>
      <c r="V1962" s="1"/>
      <c r="AC1962" s="1"/>
      <c r="AJ1962" s="1"/>
      <c r="AQ1962" s="1"/>
      <c r="AX1962" s="1"/>
      <c r="BE1962" s="1"/>
    </row>
    <row r="1963" spans="1:57" x14ac:dyDescent="0.25">
      <c r="A1963" s="1"/>
      <c r="H1963" s="1"/>
      <c r="O1963" s="1"/>
      <c r="V1963" s="1"/>
      <c r="AC1963" s="1"/>
      <c r="AJ1963" s="1"/>
      <c r="AQ1963" s="1"/>
      <c r="AX1963" s="1"/>
      <c r="BE1963" s="1"/>
    </row>
    <row r="1964" spans="1:57" x14ac:dyDescent="0.25">
      <c r="A1964" s="1"/>
      <c r="H1964" s="1"/>
      <c r="O1964" s="1"/>
      <c r="V1964" s="1"/>
      <c r="AC1964" s="1"/>
      <c r="AJ1964" s="1"/>
      <c r="AQ1964" s="1"/>
      <c r="AX1964" s="1"/>
      <c r="BE1964" s="1"/>
    </row>
    <row r="1965" spans="1:57" x14ac:dyDescent="0.25">
      <c r="A1965" s="1"/>
      <c r="H1965" s="1"/>
      <c r="O1965" s="1"/>
      <c r="V1965" s="1"/>
      <c r="AC1965" s="1"/>
      <c r="AJ1965" s="1"/>
      <c r="AQ1965" s="1"/>
      <c r="AX1965" s="1"/>
      <c r="BE1965" s="1"/>
    </row>
    <row r="1966" spans="1:57" x14ac:dyDescent="0.25">
      <c r="A1966" s="1"/>
      <c r="H1966" s="1"/>
      <c r="O1966" s="1"/>
      <c r="V1966" s="1"/>
      <c r="AC1966" s="1"/>
      <c r="AJ1966" s="1"/>
      <c r="AQ1966" s="1"/>
      <c r="AX1966" s="1"/>
      <c r="BE1966" s="1"/>
    </row>
    <row r="1967" spans="1:57" x14ac:dyDescent="0.25">
      <c r="A1967" s="1"/>
      <c r="H1967" s="1"/>
      <c r="O1967" s="1"/>
      <c r="V1967" s="1"/>
      <c r="AC1967" s="1"/>
      <c r="AJ1967" s="1"/>
      <c r="AQ1967" s="1"/>
      <c r="AX1967" s="1"/>
      <c r="BE1967" s="1"/>
    </row>
    <row r="1968" spans="1:57" x14ac:dyDescent="0.25">
      <c r="A1968" s="1"/>
      <c r="H1968" s="1"/>
      <c r="O1968" s="1"/>
      <c r="V1968" s="1"/>
      <c r="AC1968" s="1"/>
      <c r="AJ1968" s="1"/>
      <c r="AQ1968" s="1"/>
      <c r="AX1968" s="1"/>
      <c r="BE1968" s="1"/>
    </row>
    <row r="1969" spans="1:57" x14ac:dyDescent="0.25">
      <c r="A1969" s="1"/>
      <c r="H1969" s="1"/>
      <c r="O1969" s="1"/>
      <c r="V1969" s="1"/>
      <c r="AC1969" s="1"/>
      <c r="AJ1969" s="1"/>
      <c r="AQ1969" s="1"/>
      <c r="AX1969" s="1"/>
      <c r="BE1969" s="1"/>
    </row>
    <row r="1970" spans="1:57" x14ac:dyDescent="0.25">
      <c r="A1970" s="1"/>
      <c r="H1970" s="1"/>
      <c r="O1970" s="1"/>
      <c r="V1970" s="1"/>
      <c r="AC1970" s="1"/>
      <c r="AJ1970" s="1"/>
      <c r="AQ1970" s="1"/>
      <c r="AX1970" s="1"/>
      <c r="BE1970" s="1"/>
    </row>
    <row r="1971" spans="1:57" x14ac:dyDescent="0.25">
      <c r="A1971" s="1"/>
      <c r="H1971" s="1"/>
      <c r="O1971" s="1"/>
      <c r="V1971" s="1"/>
      <c r="AC1971" s="1"/>
      <c r="AJ1971" s="1"/>
      <c r="AQ1971" s="1"/>
      <c r="AX1971" s="1"/>
      <c r="BE1971" s="1"/>
    </row>
    <row r="1972" spans="1:57" x14ac:dyDescent="0.25">
      <c r="A1972" s="1"/>
      <c r="H1972" s="1"/>
      <c r="O1972" s="1"/>
      <c r="V1972" s="1"/>
      <c r="AC1972" s="1"/>
      <c r="AJ1972" s="1"/>
      <c r="AQ1972" s="1"/>
      <c r="AX1972" s="1"/>
      <c r="BE1972" s="1"/>
    </row>
    <row r="1973" spans="1:57" x14ac:dyDescent="0.25">
      <c r="A1973" s="1"/>
      <c r="H1973" s="1"/>
      <c r="O1973" s="1"/>
      <c r="V1973" s="1"/>
      <c r="AC1973" s="1"/>
      <c r="AJ1973" s="1"/>
      <c r="AQ1973" s="1"/>
      <c r="AX1973" s="1"/>
      <c r="BE1973" s="1"/>
    </row>
    <row r="1974" spans="1:57" x14ac:dyDescent="0.25">
      <c r="A1974" s="1"/>
      <c r="H1974" s="1"/>
      <c r="O1974" s="1"/>
      <c r="V1974" s="1"/>
      <c r="AC1974" s="1"/>
      <c r="AJ1974" s="1"/>
      <c r="AQ1974" s="1"/>
      <c r="AX1974" s="1"/>
      <c r="BE1974" s="1"/>
    </row>
    <row r="1975" spans="1:57" x14ac:dyDescent="0.25">
      <c r="A1975" s="1"/>
      <c r="H1975" s="1"/>
      <c r="O1975" s="1"/>
      <c r="V1975" s="1"/>
      <c r="AC1975" s="1"/>
      <c r="AJ1975" s="1"/>
      <c r="AQ1975" s="1"/>
      <c r="AX1975" s="1"/>
      <c r="BE1975" s="1"/>
    </row>
    <row r="1976" spans="1:57" x14ac:dyDescent="0.25">
      <c r="A1976" s="1"/>
      <c r="H1976" s="1"/>
      <c r="O1976" s="1"/>
      <c r="V1976" s="1"/>
      <c r="AC1976" s="1"/>
      <c r="AJ1976" s="1"/>
      <c r="AQ1976" s="1"/>
      <c r="AX1976" s="1"/>
      <c r="BE1976" s="1"/>
    </row>
    <row r="1977" spans="1:57" x14ac:dyDescent="0.25">
      <c r="A1977" s="1"/>
      <c r="H1977" s="1"/>
      <c r="O1977" s="1"/>
      <c r="V1977" s="1"/>
      <c r="AC1977" s="1"/>
      <c r="AJ1977" s="1"/>
      <c r="AQ1977" s="1"/>
      <c r="AX1977" s="1"/>
      <c r="BE1977" s="1"/>
    </row>
    <row r="1978" spans="1:57" x14ac:dyDescent="0.25">
      <c r="A1978" s="1"/>
      <c r="H1978" s="1"/>
      <c r="O1978" s="1"/>
      <c r="V1978" s="1"/>
      <c r="AC1978" s="1"/>
      <c r="AJ1978" s="1"/>
      <c r="AQ1978" s="1"/>
      <c r="AX1978" s="1"/>
      <c r="BE1978" s="1"/>
    </row>
    <row r="1979" spans="1:57" x14ac:dyDescent="0.25">
      <c r="A1979" s="1"/>
      <c r="H1979" s="1"/>
      <c r="O1979" s="1"/>
      <c r="V1979" s="1"/>
      <c r="AC1979" s="1"/>
      <c r="AJ1979" s="1"/>
      <c r="AQ1979" s="1"/>
      <c r="AX1979" s="1"/>
      <c r="BE1979" s="1"/>
    </row>
    <row r="1980" spans="1:57" x14ac:dyDescent="0.25">
      <c r="A1980" s="1"/>
      <c r="H1980" s="1"/>
      <c r="O1980" s="1"/>
      <c r="V1980" s="1"/>
      <c r="AC1980" s="1"/>
      <c r="AJ1980" s="1"/>
      <c r="AQ1980" s="1"/>
      <c r="AX1980" s="1"/>
      <c r="BE1980" s="1"/>
    </row>
    <row r="1981" spans="1:57" x14ac:dyDescent="0.25">
      <c r="A1981" s="1"/>
      <c r="H1981" s="1"/>
      <c r="O1981" s="1"/>
      <c r="V1981" s="1"/>
      <c r="AC1981" s="1"/>
      <c r="AJ1981" s="1"/>
      <c r="AQ1981" s="1"/>
      <c r="AX1981" s="1"/>
      <c r="BE1981" s="1"/>
    </row>
    <row r="1982" spans="1:57" x14ac:dyDescent="0.25">
      <c r="A1982" s="1"/>
      <c r="H1982" s="1"/>
      <c r="O1982" s="1"/>
      <c r="V1982" s="1"/>
      <c r="AC1982" s="1"/>
      <c r="AJ1982" s="1"/>
      <c r="AQ1982" s="1"/>
      <c r="AX1982" s="1"/>
      <c r="BE1982" s="1"/>
    </row>
    <row r="1983" spans="1:57" x14ac:dyDescent="0.25">
      <c r="A1983" s="1"/>
      <c r="H1983" s="1"/>
      <c r="O1983" s="1"/>
      <c r="V1983" s="1"/>
      <c r="AC1983" s="1"/>
      <c r="AJ1983" s="1"/>
      <c r="AQ1983" s="1"/>
      <c r="AX1983" s="1"/>
      <c r="BE1983" s="1"/>
    </row>
    <row r="1984" spans="1:57" x14ac:dyDescent="0.25">
      <c r="A1984" s="1"/>
      <c r="H1984" s="1"/>
      <c r="O1984" s="1"/>
      <c r="V1984" s="1"/>
      <c r="AC1984" s="1"/>
      <c r="AJ1984" s="1"/>
      <c r="AQ1984" s="1"/>
      <c r="AX1984" s="1"/>
      <c r="BE1984" s="1"/>
    </row>
    <row r="1985" spans="1:57" x14ac:dyDescent="0.25">
      <c r="A1985" s="1"/>
      <c r="H1985" s="1"/>
      <c r="O1985" s="1"/>
      <c r="V1985" s="1"/>
      <c r="AC1985" s="1"/>
      <c r="AJ1985" s="1"/>
      <c r="AQ1985" s="1"/>
      <c r="AX1985" s="1"/>
      <c r="BE1985" s="1"/>
    </row>
    <row r="1986" spans="1:57" x14ac:dyDescent="0.25">
      <c r="A1986" s="1"/>
      <c r="H1986" s="1"/>
      <c r="O1986" s="1"/>
      <c r="V1986" s="1"/>
      <c r="AC1986" s="1"/>
      <c r="AJ1986" s="1"/>
      <c r="AQ1986" s="1"/>
      <c r="AX1986" s="1"/>
      <c r="BE1986" s="1"/>
    </row>
    <row r="1987" spans="1:57" x14ac:dyDescent="0.25">
      <c r="A1987" s="1"/>
      <c r="H1987" s="1"/>
      <c r="O1987" s="1"/>
      <c r="V1987" s="1"/>
      <c r="AC1987" s="1"/>
      <c r="AJ1987" s="1"/>
      <c r="AQ1987" s="1"/>
      <c r="AX1987" s="1"/>
      <c r="BE1987" s="1"/>
    </row>
    <row r="1988" spans="1:57" x14ac:dyDescent="0.25">
      <c r="A1988" s="1"/>
      <c r="H1988" s="1"/>
      <c r="O1988" s="1"/>
      <c r="V1988" s="1"/>
      <c r="AC1988" s="1"/>
      <c r="AJ1988" s="1"/>
      <c r="AQ1988" s="1"/>
      <c r="AX1988" s="1"/>
      <c r="BE1988" s="1"/>
    </row>
    <row r="1989" spans="1:57" x14ac:dyDescent="0.25">
      <c r="A1989" s="1"/>
      <c r="H1989" s="1"/>
      <c r="O1989" s="1"/>
      <c r="V1989" s="1"/>
      <c r="AC1989" s="1"/>
      <c r="AJ1989" s="1"/>
      <c r="AQ1989" s="1"/>
      <c r="AX1989" s="1"/>
      <c r="BE1989" s="1"/>
    </row>
    <row r="1990" spans="1:57" x14ac:dyDescent="0.25">
      <c r="A1990" s="1"/>
      <c r="H1990" s="1"/>
      <c r="O1990" s="1"/>
      <c r="V1990" s="1"/>
      <c r="AC1990" s="1"/>
      <c r="AJ1990" s="1"/>
      <c r="AQ1990" s="1"/>
      <c r="AX1990" s="1"/>
      <c r="BE1990" s="1"/>
    </row>
    <row r="1991" spans="1:57" x14ac:dyDescent="0.25">
      <c r="A1991" s="1"/>
      <c r="H1991" s="1"/>
      <c r="O1991" s="1"/>
      <c r="V1991" s="1"/>
      <c r="AC1991" s="1"/>
      <c r="AJ1991" s="1"/>
      <c r="AQ1991" s="1"/>
      <c r="AX1991" s="1"/>
      <c r="BE1991" s="1"/>
    </row>
    <row r="1992" spans="1:57" x14ac:dyDescent="0.25">
      <c r="A1992" s="1"/>
      <c r="H1992" s="1"/>
      <c r="O1992" s="1"/>
      <c r="V1992" s="1"/>
      <c r="AC1992" s="1"/>
      <c r="AJ1992" s="1"/>
      <c r="AQ1992" s="1"/>
      <c r="AX1992" s="1"/>
      <c r="BE1992" s="1"/>
    </row>
    <row r="1993" spans="1:57" x14ac:dyDescent="0.25">
      <c r="A1993" s="1"/>
      <c r="H1993" s="1"/>
      <c r="O1993" s="1"/>
      <c r="V1993" s="1"/>
      <c r="AC1993" s="1"/>
      <c r="AJ1993" s="1"/>
      <c r="AQ1993" s="1"/>
      <c r="AX1993" s="1"/>
      <c r="BE1993" s="1"/>
    </row>
    <row r="1994" spans="1:57" x14ac:dyDescent="0.25">
      <c r="A1994" s="1"/>
      <c r="H1994" s="1"/>
      <c r="O1994" s="1"/>
      <c r="V1994" s="1"/>
      <c r="AC1994" s="1"/>
      <c r="AJ1994" s="1"/>
      <c r="AQ1994" s="1"/>
      <c r="AX1994" s="1"/>
      <c r="BE1994" s="1"/>
    </row>
    <row r="1995" spans="1:57" x14ac:dyDescent="0.25">
      <c r="A1995" s="1"/>
      <c r="H1995" s="1"/>
      <c r="O1995" s="1"/>
      <c r="V1995" s="1"/>
      <c r="AC1995" s="1"/>
      <c r="AJ1995" s="1"/>
      <c r="AQ1995" s="1"/>
      <c r="AX1995" s="1"/>
      <c r="BE1995" s="1"/>
    </row>
    <row r="1996" spans="1:57" x14ac:dyDescent="0.25">
      <c r="A1996" s="1"/>
      <c r="H1996" s="1"/>
      <c r="O1996" s="1"/>
      <c r="V1996" s="1"/>
      <c r="AC1996" s="1"/>
      <c r="AJ1996" s="1"/>
      <c r="AQ1996" s="1"/>
      <c r="AX1996" s="1"/>
      <c r="BE1996" s="1"/>
    </row>
    <row r="1997" spans="1:57" x14ac:dyDescent="0.25">
      <c r="A1997" s="1"/>
      <c r="H1997" s="1"/>
      <c r="O1997" s="1"/>
      <c r="V1997" s="1"/>
      <c r="AC1997" s="1"/>
      <c r="AJ1997" s="1"/>
      <c r="AQ1997" s="1"/>
      <c r="AX1997" s="1"/>
      <c r="BE1997" s="1"/>
    </row>
    <row r="1998" spans="1:57" x14ac:dyDescent="0.25">
      <c r="A1998" s="1"/>
      <c r="H1998" s="1"/>
      <c r="O1998" s="1"/>
      <c r="V1998" s="1"/>
      <c r="AC1998" s="1"/>
      <c r="AJ1998" s="1"/>
      <c r="AQ1998" s="1"/>
      <c r="AX1998" s="1"/>
      <c r="BE1998" s="1"/>
    </row>
    <row r="1999" spans="1:57" x14ac:dyDescent="0.25">
      <c r="A1999" s="1"/>
      <c r="H1999" s="1"/>
      <c r="O1999" s="1"/>
      <c r="V1999" s="1"/>
      <c r="AC1999" s="1"/>
      <c r="AJ1999" s="1"/>
      <c r="AQ1999" s="1"/>
      <c r="AX1999" s="1"/>
      <c r="BE1999" s="1"/>
    </row>
    <row r="2000" spans="1:57" x14ac:dyDescent="0.25">
      <c r="A2000" s="1"/>
      <c r="H2000" s="1"/>
      <c r="O2000" s="1"/>
      <c r="V2000" s="1"/>
      <c r="AC2000" s="1"/>
      <c r="AJ2000" s="1"/>
      <c r="AQ2000" s="1"/>
      <c r="AX2000" s="1"/>
      <c r="BE2000" s="1"/>
    </row>
    <row r="2001" spans="1:57" x14ac:dyDescent="0.25">
      <c r="A2001" s="1"/>
      <c r="H2001" s="1"/>
      <c r="O2001" s="1"/>
      <c r="V2001" s="1"/>
      <c r="AC2001" s="1"/>
      <c r="AJ2001" s="1"/>
      <c r="AQ2001" s="1"/>
      <c r="AX2001" s="1"/>
      <c r="BE2001" s="1"/>
    </row>
    <row r="2002" spans="1:57" x14ac:dyDescent="0.25">
      <c r="A2002" s="1"/>
      <c r="H2002" s="1"/>
      <c r="O2002" s="1"/>
      <c r="V2002" s="1"/>
      <c r="AC2002" s="1"/>
      <c r="AJ2002" s="1"/>
      <c r="AQ2002" s="1"/>
      <c r="AX2002" s="1"/>
      <c r="BE2002" s="1"/>
    </row>
    <row r="2003" spans="1:57" x14ac:dyDescent="0.25">
      <c r="A2003" s="1"/>
      <c r="H2003" s="1"/>
      <c r="O2003" s="1"/>
      <c r="V2003" s="1"/>
      <c r="AC2003" s="1"/>
      <c r="AJ2003" s="1"/>
      <c r="AQ2003" s="1"/>
      <c r="AX2003" s="1"/>
      <c r="BE2003" s="1"/>
    </row>
    <row r="2004" spans="1:57" x14ac:dyDescent="0.25">
      <c r="A2004" s="1"/>
      <c r="H2004" s="1"/>
      <c r="O2004" s="1"/>
      <c r="V2004" s="1"/>
      <c r="AC2004" s="1"/>
      <c r="AJ2004" s="1"/>
      <c r="AQ2004" s="1"/>
      <c r="AX2004" s="1"/>
      <c r="BE2004" s="1"/>
    </row>
    <row r="2005" spans="1:57" x14ac:dyDescent="0.25">
      <c r="A2005" s="1"/>
      <c r="H2005" s="1"/>
      <c r="O2005" s="1"/>
      <c r="V2005" s="1"/>
      <c r="AC2005" s="1"/>
      <c r="AJ2005" s="1"/>
      <c r="AQ2005" s="1"/>
      <c r="AX2005" s="1"/>
      <c r="BE2005" s="1"/>
    </row>
    <row r="2006" spans="1:57" x14ac:dyDescent="0.25">
      <c r="A2006" s="1"/>
      <c r="H2006" s="1"/>
      <c r="O2006" s="1"/>
      <c r="V2006" s="1"/>
      <c r="AC2006" s="1"/>
      <c r="AJ2006" s="1"/>
      <c r="AQ2006" s="1"/>
      <c r="AX2006" s="1"/>
      <c r="BE2006" s="1"/>
    </row>
    <row r="2007" spans="1:57" x14ac:dyDescent="0.25">
      <c r="A2007" s="1"/>
      <c r="H2007" s="1"/>
      <c r="O2007" s="1"/>
      <c r="V2007" s="1"/>
      <c r="AC2007" s="1"/>
      <c r="AJ2007" s="1"/>
      <c r="AQ2007" s="1"/>
      <c r="AX2007" s="1"/>
      <c r="BE2007" s="1"/>
    </row>
    <row r="2008" spans="1:57" x14ac:dyDescent="0.25">
      <c r="A2008" s="1"/>
      <c r="H2008" s="1"/>
      <c r="O2008" s="1"/>
      <c r="V2008" s="1"/>
      <c r="AC2008" s="1"/>
      <c r="AJ2008" s="1"/>
      <c r="AQ2008" s="1"/>
      <c r="AX2008" s="1"/>
      <c r="BE2008" s="1"/>
    </row>
    <row r="2009" spans="1:57" x14ac:dyDescent="0.25">
      <c r="A2009" s="1"/>
      <c r="H2009" s="1"/>
      <c r="O2009" s="1"/>
      <c r="V2009" s="1"/>
      <c r="AC2009" s="1"/>
      <c r="AJ2009" s="1"/>
      <c r="AQ2009" s="1"/>
      <c r="AX2009" s="1"/>
      <c r="BE2009" s="1"/>
    </row>
    <row r="2010" spans="1:57" x14ac:dyDescent="0.25">
      <c r="A2010" s="1"/>
      <c r="H2010" s="1"/>
      <c r="O2010" s="1"/>
      <c r="V2010" s="1"/>
      <c r="AC2010" s="1"/>
      <c r="AJ2010" s="1"/>
      <c r="AQ2010" s="1"/>
      <c r="AX2010" s="1"/>
      <c r="BE2010" s="1"/>
    </row>
    <row r="2011" spans="1:57" x14ac:dyDescent="0.25">
      <c r="A2011" s="1"/>
      <c r="H2011" s="1"/>
      <c r="O2011" s="1"/>
      <c r="V2011" s="1"/>
      <c r="AC2011" s="1"/>
      <c r="AJ2011" s="1"/>
      <c r="AQ2011" s="1"/>
      <c r="AX2011" s="1"/>
      <c r="BE2011" s="1"/>
    </row>
    <row r="2012" spans="1:57" x14ac:dyDescent="0.25">
      <c r="A2012" s="1"/>
      <c r="H2012" s="1"/>
      <c r="O2012" s="1"/>
      <c r="V2012" s="1"/>
      <c r="AC2012" s="1"/>
      <c r="AJ2012" s="1"/>
      <c r="AQ2012" s="1"/>
      <c r="AX2012" s="1"/>
      <c r="BE2012" s="1"/>
    </row>
    <row r="2013" spans="1:57" x14ac:dyDescent="0.25">
      <c r="A2013" s="1"/>
      <c r="H2013" s="1"/>
      <c r="O2013" s="1"/>
      <c r="V2013" s="1"/>
      <c r="AC2013" s="1"/>
      <c r="AJ2013" s="1"/>
      <c r="AQ2013" s="1"/>
      <c r="AX2013" s="1"/>
      <c r="BE2013" s="1"/>
    </row>
    <row r="2014" spans="1:57" x14ac:dyDescent="0.25">
      <c r="A2014" s="1"/>
      <c r="H2014" s="1"/>
      <c r="O2014" s="1"/>
      <c r="V2014" s="1"/>
      <c r="AC2014" s="1"/>
      <c r="AJ2014" s="1"/>
      <c r="AQ2014" s="1"/>
      <c r="AX2014" s="1"/>
      <c r="BE2014" s="1"/>
    </row>
    <row r="2015" spans="1:57" x14ac:dyDescent="0.25">
      <c r="A2015" s="1"/>
      <c r="H2015" s="1"/>
      <c r="O2015" s="1"/>
      <c r="V2015" s="1"/>
      <c r="AC2015" s="1"/>
      <c r="AJ2015" s="1"/>
      <c r="AQ2015" s="1"/>
      <c r="AX2015" s="1"/>
      <c r="BE2015" s="1"/>
    </row>
    <row r="2016" spans="1:57" x14ac:dyDescent="0.25">
      <c r="A2016" s="1"/>
      <c r="H2016" s="1"/>
      <c r="O2016" s="1"/>
      <c r="V2016" s="1"/>
      <c r="AC2016" s="1"/>
      <c r="AJ2016" s="1"/>
      <c r="AQ2016" s="1"/>
      <c r="AX2016" s="1"/>
      <c r="BE2016" s="1"/>
    </row>
    <row r="2017" spans="1:57" x14ac:dyDescent="0.25">
      <c r="A2017" s="1"/>
      <c r="H2017" s="1"/>
      <c r="O2017" s="1"/>
      <c r="V2017" s="1"/>
      <c r="AC2017" s="1"/>
      <c r="AJ2017" s="1"/>
      <c r="AQ2017" s="1"/>
      <c r="AX2017" s="1"/>
      <c r="BE2017" s="1"/>
    </row>
    <row r="2018" spans="1:57" x14ac:dyDescent="0.25">
      <c r="A2018" s="1"/>
      <c r="H2018" s="1"/>
      <c r="O2018" s="1"/>
      <c r="V2018" s="1"/>
      <c r="AC2018" s="1"/>
      <c r="AJ2018" s="1"/>
      <c r="AQ2018" s="1"/>
      <c r="AX2018" s="1"/>
      <c r="BE2018" s="1"/>
    </row>
    <row r="2019" spans="1:57" x14ac:dyDescent="0.25">
      <c r="A2019" s="1"/>
      <c r="H2019" s="1"/>
      <c r="O2019" s="1"/>
      <c r="V2019" s="1"/>
      <c r="AC2019" s="1"/>
      <c r="AJ2019" s="1"/>
      <c r="AQ2019" s="1"/>
      <c r="AX2019" s="1"/>
      <c r="BE2019" s="1"/>
    </row>
    <row r="2020" spans="1:57" x14ac:dyDescent="0.25">
      <c r="A2020" s="1"/>
      <c r="H2020" s="1"/>
      <c r="O2020" s="1"/>
      <c r="V2020" s="1"/>
      <c r="AC2020" s="1"/>
      <c r="AJ2020" s="1"/>
      <c r="AQ2020" s="1"/>
      <c r="AX2020" s="1"/>
      <c r="BE2020" s="1"/>
    </row>
    <row r="2021" spans="1:57" x14ac:dyDescent="0.25">
      <c r="A2021" s="1"/>
      <c r="H2021" s="1"/>
      <c r="O2021" s="1"/>
      <c r="V2021" s="1"/>
      <c r="AC2021" s="1"/>
      <c r="AJ2021" s="1"/>
      <c r="AQ2021" s="1"/>
      <c r="AX2021" s="1"/>
      <c r="BE2021" s="1"/>
    </row>
    <row r="2022" spans="1:57" x14ac:dyDescent="0.25">
      <c r="A2022" s="1"/>
      <c r="H2022" s="1"/>
      <c r="O2022" s="1"/>
      <c r="V2022" s="1"/>
      <c r="AC2022" s="1"/>
      <c r="AJ2022" s="1"/>
      <c r="AQ2022" s="1"/>
      <c r="AX2022" s="1"/>
      <c r="BE2022" s="1"/>
    </row>
    <row r="2023" spans="1:57" x14ac:dyDescent="0.25">
      <c r="A2023" s="1"/>
      <c r="H2023" s="1"/>
      <c r="O2023" s="1"/>
      <c r="V2023" s="1"/>
      <c r="AC2023" s="1"/>
      <c r="AJ2023" s="1"/>
      <c r="AQ2023" s="1"/>
      <c r="AX2023" s="1"/>
      <c r="BE2023" s="1"/>
    </row>
    <row r="2024" spans="1:57" x14ac:dyDescent="0.25">
      <c r="A2024" s="1"/>
      <c r="H2024" s="1"/>
      <c r="O2024" s="1"/>
      <c r="V2024" s="1"/>
      <c r="AC2024" s="1"/>
      <c r="AJ2024" s="1"/>
      <c r="AQ2024" s="1"/>
      <c r="AX2024" s="1"/>
      <c r="BE2024" s="1"/>
    </row>
    <row r="2025" spans="1:57" x14ac:dyDescent="0.25">
      <c r="A2025" s="1"/>
      <c r="H2025" s="1"/>
      <c r="O2025" s="1"/>
      <c r="V2025" s="1"/>
      <c r="AC2025" s="1"/>
      <c r="AJ2025" s="1"/>
      <c r="AQ2025" s="1"/>
      <c r="AX2025" s="1"/>
      <c r="BE2025" s="1"/>
    </row>
    <row r="2026" spans="1:57" x14ac:dyDescent="0.25">
      <c r="A2026" s="1"/>
      <c r="H2026" s="1"/>
      <c r="O2026" s="1"/>
      <c r="V2026" s="1"/>
      <c r="AC2026" s="1"/>
      <c r="AJ2026" s="1"/>
      <c r="AQ2026" s="1"/>
      <c r="AX2026" s="1"/>
      <c r="BE2026" s="1"/>
    </row>
    <row r="2027" spans="1:57" x14ac:dyDescent="0.25">
      <c r="A2027" s="1"/>
      <c r="H2027" s="1"/>
      <c r="O2027" s="1"/>
      <c r="V2027" s="1"/>
      <c r="AC2027" s="1"/>
      <c r="AJ2027" s="1"/>
      <c r="AQ2027" s="1"/>
      <c r="AX2027" s="1"/>
      <c r="BE2027" s="1"/>
    </row>
    <row r="2028" spans="1:57" x14ac:dyDescent="0.25">
      <c r="A2028" s="1"/>
      <c r="H2028" s="1"/>
      <c r="O2028" s="1"/>
      <c r="V2028" s="1"/>
      <c r="AC2028" s="1"/>
      <c r="AJ2028" s="1"/>
      <c r="AQ2028" s="1"/>
      <c r="AX2028" s="1"/>
      <c r="BE2028" s="1"/>
    </row>
    <row r="2029" spans="1:57" x14ac:dyDescent="0.25">
      <c r="A2029" s="1"/>
      <c r="H2029" s="1"/>
      <c r="O2029" s="1"/>
      <c r="V2029" s="1"/>
      <c r="AC2029" s="1"/>
      <c r="AJ2029" s="1"/>
      <c r="AQ2029" s="1"/>
      <c r="AX2029" s="1"/>
      <c r="BE2029" s="1"/>
    </row>
    <row r="2030" spans="1:57" x14ac:dyDescent="0.25">
      <c r="A2030" s="1"/>
      <c r="H2030" s="1"/>
      <c r="O2030" s="1"/>
      <c r="V2030" s="1"/>
      <c r="AC2030" s="1"/>
      <c r="AJ2030" s="1"/>
      <c r="AQ2030" s="1"/>
      <c r="AX2030" s="1"/>
      <c r="BE2030" s="1"/>
    </row>
    <row r="2031" spans="1:57" x14ac:dyDescent="0.25">
      <c r="A2031" s="1"/>
      <c r="H2031" s="1"/>
      <c r="O2031" s="1"/>
      <c r="V2031" s="1"/>
      <c r="AC2031" s="1"/>
      <c r="AJ2031" s="1"/>
      <c r="AQ2031" s="1"/>
      <c r="AX2031" s="1"/>
      <c r="BE2031" s="1"/>
    </row>
    <row r="2032" spans="1:57" x14ac:dyDescent="0.25">
      <c r="A2032" s="1"/>
      <c r="H2032" s="1"/>
      <c r="O2032" s="1"/>
      <c r="V2032" s="1"/>
      <c r="AC2032" s="1"/>
      <c r="AJ2032" s="1"/>
      <c r="AQ2032" s="1"/>
      <c r="AX2032" s="1"/>
      <c r="BE2032" s="1"/>
    </row>
    <row r="2033" spans="1:57" x14ac:dyDescent="0.25">
      <c r="A2033" s="1"/>
      <c r="H2033" s="1"/>
      <c r="O2033" s="1"/>
      <c r="V2033" s="1"/>
      <c r="AC2033" s="1"/>
      <c r="AJ2033" s="1"/>
      <c r="AQ2033" s="1"/>
      <c r="AX2033" s="1"/>
      <c r="BE2033" s="1"/>
    </row>
    <row r="2034" spans="1:57" x14ac:dyDescent="0.25">
      <c r="A2034" s="1"/>
      <c r="H2034" s="1"/>
      <c r="O2034" s="1"/>
      <c r="V2034" s="1"/>
      <c r="AC2034" s="1"/>
      <c r="AJ2034" s="1"/>
      <c r="AQ2034" s="1"/>
      <c r="AX2034" s="1"/>
      <c r="BE2034" s="1"/>
    </row>
    <row r="2035" spans="1:57" x14ac:dyDescent="0.25">
      <c r="A2035" s="1"/>
      <c r="H2035" s="1"/>
      <c r="O2035" s="1"/>
      <c r="V2035" s="1"/>
      <c r="AC2035" s="1"/>
      <c r="AJ2035" s="1"/>
      <c r="AQ2035" s="1"/>
      <c r="AX2035" s="1"/>
      <c r="BE2035" s="1"/>
    </row>
    <row r="2036" spans="1:57" x14ac:dyDescent="0.25">
      <c r="A2036" s="1"/>
      <c r="H2036" s="1"/>
      <c r="O2036" s="1"/>
      <c r="V2036" s="1"/>
      <c r="AC2036" s="1"/>
      <c r="AJ2036" s="1"/>
      <c r="AQ2036" s="1"/>
      <c r="AX2036" s="1"/>
      <c r="BE2036" s="1"/>
    </row>
    <row r="2037" spans="1:57" x14ac:dyDescent="0.25">
      <c r="A2037" s="1"/>
      <c r="H2037" s="1"/>
      <c r="O2037" s="1"/>
      <c r="V2037" s="1"/>
      <c r="AC2037" s="1"/>
      <c r="AJ2037" s="1"/>
      <c r="AQ2037" s="1"/>
      <c r="AX2037" s="1"/>
      <c r="BE2037" s="1"/>
    </row>
    <row r="2038" spans="1:57" x14ac:dyDescent="0.25">
      <c r="A2038" s="1"/>
      <c r="H2038" s="1"/>
      <c r="O2038" s="1"/>
      <c r="V2038" s="1"/>
      <c r="AC2038" s="1"/>
      <c r="AJ2038" s="1"/>
      <c r="AQ2038" s="1"/>
      <c r="AX2038" s="1"/>
      <c r="BE2038" s="1"/>
    </row>
    <row r="2039" spans="1:57" x14ac:dyDescent="0.25">
      <c r="A2039" s="1"/>
      <c r="H2039" s="1"/>
      <c r="O2039" s="1"/>
      <c r="V2039" s="1"/>
      <c r="AC2039" s="1"/>
      <c r="AJ2039" s="1"/>
      <c r="AQ2039" s="1"/>
      <c r="AX2039" s="1"/>
      <c r="BE2039" s="1"/>
    </row>
    <row r="2040" spans="1:57" x14ac:dyDescent="0.25">
      <c r="A2040" s="1"/>
      <c r="H2040" s="1"/>
      <c r="O2040" s="1"/>
      <c r="V2040" s="1"/>
      <c r="AC2040" s="1"/>
      <c r="AJ2040" s="1"/>
      <c r="AQ2040" s="1"/>
      <c r="AX2040" s="1"/>
      <c r="BE2040" s="1"/>
    </row>
    <row r="2041" spans="1:57" x14ac:dyDescent="0.25">
      <c r="A2041" s="1"/>
      <c r="H2041" s="1"/>
      <c r="O2041" s="1"/>
      <c r="V2041" s="1"/>
      <c r="AC2041" s="1"/>
      <c r="AJ2041" s="1"/>
      <c r="AQ2041" s="1"/>
      <c r="AX2041" s="1"/>
      <c r="BE2041" s="1"/>
    </row>
    <row r="2042" spans="1:57" x14ac:dyDescent="0.25">
      <c r="A2042" s="1"/>
      <c r="H2042" s="1"/>
      <c r="O2042" s="1"/>
      <c r="V2042" s="1"/>
      <c r="AC2042" s="1"/>
      <c r="AJ2042" s="1"/>
      <c r="AQ2042" s="1"/>
      <c r="AX2042" s="1"/>
      <c r="BE2042" s="1"/>
    </row>
    <row r="2043" spans="1:57" x14ac:dyDescent="0.25">
      <c r="A2043" s="1"/>
      <c r="H2043" s="1"/>
      <c r="O2043" s="1"/>
      <c r="V2043" s="1"/>
      <c r="AC2043" s="1"/>
      <c r="AJ2043" s="1"/>
      <c r="AQ2043" s="1"/>
      <c r="AX2043" s="1"/>
      <c r="BE2043" s="1"/>
    </row>
    <row r="2044" spans="1:57" x14ac:dyDescent="0.25">
      <c r="A2044" s="1"/>
      <c r="H2044" s="1"/>
      <c r="O2044" s="1"/>
      <c r="V2044" s="1"/>
      <c r="AC2044" s="1"/>
      <c r="AJ2044" s="1"/>
      <c r="AQ2044" s="1"/>
      <c r="AX2044" s="1"/>
      <c r="BE2044" s="1"/>
    </row>
    <row r="2045" spans="1:57" x14ac:dyDescent="0.25">
      <c r="A2045" s="1"/>
      <c r="H2045" s="1"/>
      <c r="O2045" s="1"/>
      <c r="V2045" s="1"/>
      <c r="AC2045" s="1"/>
      <c r="AJ2045" s="1"/>
      <c r="AQ2045" s="1"/>
      <c r="AX2045" s="1"/>
      <c r="BE2045" s="1"/>
    </row>
    <row r="2046" spans="1:57" x14ac:dyDescent="0.25">
      <c r="A2046" s="1"/>
      <c r="H2046" s="1"/>
      <c r="O2046" s="1"/>
      <c r="V2046" s="1"/>
      <c r="AC2046" s="1"/>
      <c r="AJ2046" s="1"/>
      <c r="AQ2046" s="1"/>
      <c r="AX2046" s="1"/>
      <c r="BE2046" s="1"/>
    </row>
    <row r="2047" spans="1:57" x14ac:dyDescent="0.25">
      <c r="A2047" s="1"/>
      <c r="H2047" s="1"/>
      <c r="O2047" s="1"/>
      <c r="V2047" s="1"/>
      <c r="AC2047" s="1"/>
      <c r="AJ2047" s="1"/>
      <c r="AQ2047" s="1"/>
      <c r="AX2047" s="1"/>
      <c r="BE2047" s="1"/>
    </row>
    <row r="2048" spans="1:57" x14ac:dyDescent="0.25">
      <c r="A2048" s="1"/>
      <c r="H2048" s="1"/>
      <c r="O2048" s="1"/>
      <c r="V2048" s="1"/>
      <c r="AC2048" s="1"/>
      <c r="AJ2048" s="1"/>
      <c r="AQ2048" s="1"/>
      <c r="AX2048" s="1"/>
      <c r="BE2048" s="1"/>
    </row>
    <row r="2049" spans="1:57" x14ac:dyDescent="0.25">
      <c r="A2049" s="1"/>
      <c r="H2049" s="1"/>
      <c r="O2049" s="1"/>
      <c r="V2049" s="1"/>
      <c r="AC2049" s="1"/>
      <c r="AJ2049" s="1"/>
      <c r="AQ2049" s="1"/>
      <c r="AX2049" s="1"/>
      <c r="BE2049" s="1"/>
    </row>
    <row r="2050" spans="1:57" x14ac:dyDescent="0.25">
      <c r="A2050" s="1"/>
      <c r="H2050" s="1"/>
      <c r="O2050" s="1"/>
      <c r="V2050" s="1"/>
      <c r="AC2050" s="1"/>
      <c r="AJ2050" s="1"/>
      <c r="AQ2050" s="1"/>
      <c r="AX2050" s="1"/>
      <c r="BE2050" s="1"/>
    </row>
    <row r="2051" spans="1:57" x14ac:dyDescent="0.25">
      <c r="A2051" s="1"/>
      <c r="H2051" s="1"/>
      <c r="O2051" s="1"/>
      <c r="V2051" s="1"/>
      <c r="AC2051" s="1"/>
      <c r="AJ2051" s="1"/>
      <c r="AQ2051" s="1"/>
      <c r="AX2051" s="1"/>
      <c r="BE2051" s="1"/>
    </row>
    <row r="2052" spans="1:57" x14ac:dyDescent="0.25">
      <c r="A2052" s="1"/>
      <c r="H2052" s="1"/>
      <c r="O2052" s="1"/>
      <c r="V2052" s="1"/>
      <c r="AC2052" s="1"/>
      <c r="AJ2052" s="1"/>
      <c r="AQ2052" s="1"/>
      <c r="AX2052" s="1"/>
      <c r="BE2052" s="1"/>
    </row>
    <row r="2053" spans="1:57" x14ac:dyDescent="0.25">
      <c r="A2053" s="1"/>
      <c r="H2053" s="1"/>
      <c r="O2053" s="1"/>
      <c r="V2053" s="1"/>
      <c r="AC2053" s="1"/>
      <c r="AJ2053" s="1"/>
      <c r="AQ2053" s="1"/>
      <c r="AX2053" s="1"/>
      <c r="BE2053" s="1"/>
    </row>
    <row r="2054" spans="1:57" x14ac:dyDescent="0.25">
      <c r="A2054" s="1"/>
      <c r="H2054" s="1"/>
      <c r="O2054" s="1"/>
      <c r="V2054" s="1"/>
      <c r="AC2054" s="1"/>
      <c r="AJ2054" s="1"/>
      <c r="AQ2054" s="1"/>
      <c r="AX2054" s="1"/>
      <c r="BE2054" s="1"/>
    </row>
    <row r="2055" spans="1:57" x14ac:dyDescent="0.25">
      <c r="A2055" s="1"/>
      <c r="H2055" s="1"/>
      <c r="O2055" s="1"/>
      <c r="V2055" s="1"/>
      <c r="AC2055" s="1"/>
      <c r="AJ2055" s="1"/>
      <c r="AQ2055" s="1"/>
      <c r="AX2055" s="1"/>
      <c r="BE2055" s="1"/>
    </row>
    <row r="2056" spans="1:57" x14ac:dyDescent="0.25">
      <c r="A2056" s="1"/>
      <c r="H2056" s="1"/>
      <c r="O2056" s="1"/>
      <c r="V2056" s="1"/>
      <c r="AC2056" s="1"/>
      <c r="AJ2056" s="1"/>
      <c r="AQ2056" s="1"/>
      <c r="AX2056" s="1"/>
      <c r="BE2056" s="1"/>
    </row>
    <row r="2057" spans="1:57" x14ac:dyDescent="0.25">
      <c r="A2057" s="1"/>
      <c r="H2057" s="1"/>
      <c r="O2057" s="1"/>
      <c r="V2057" s="1"/>
      <c r="AC2057" s="1"/>
      <c r="AJ2057" s="1"/>
      <c r="AQ2057" s="1"/>
      <c r="AX2057" s="1"/>
      <c r="BE2057" s="1"/>
    </row>
    <row r="2058" spans="1:57" x14ac:dyDescent="0.25">
      <c r="A2058" s="1"/>
      <c r="H2058" s="1"/>
      <c r="O2058" s="1"/>
      <c r="V2058" s="1"/>
      <c r="AC2058" s="1"/>
      <c r="AJ2058" s="1"/>
      <c r="AQ2058" s="1"/>
      <c r="AX2058" s="1"/>
      <c r="BE2058" s="1"/>
    </row>
    <row r="2059" spans="1:57" x14ac:dyDescent="0.25">
      <c r="A2059" s="1"/>
      <c r="H2059" s="1"/>
      <c r="O2059" s="1"/>
      <c r="V2059" s="1"/>
      <c r="AC2059" s="1"/>
      <c r="AJ2059" s="1"/>
      <c r="AQ2059" s="1"/>
      <c r="AX2059" s="1"/>
      <c r="BE2059" s="1"/>
    </row>
    <row r="2060" spans="1:57" x14ac:dyDescent="0.25">
      <c r="A2060" s="1"/>
      <c r="H2060" s="1"/>
      <c r="O2060" s="1"/>
      <c r="V2060" s="1"/>
      <c r="AC2060" s="1"/>
      <c r="AJ2060" s="1"/>
      <c r="AQ2060" s="1"/>
      <c r="AX2060" s="1"/>
      <c r="BE2060" s="1"/>
    </row>
    <row r="2061" spans="1:57" x14ac:dyDescent="0.25">
      <c r="A2061" s="1"/>
      <c r="H2061" s="1"/>
      <c r="O2061" s="1"/>
      <c r="V2061" s="1"/>
      <c r="AC2061" s="1"/>
      <c r="AJ2061" s="1"/>
      <c r="AQ2061" s="1"/>
      <c r="AX2061" s="1"/>
      <c r="BE2061" s="1"/>
    </row>
    <row r="2062" spans="1:57" x14ac:dyDescent="0.25">
      <c r="A2062" s="1"/>
      <c r="H2062" s="1"/>
      <c r="O2062" s="1"/>
      <c r="V2062" s="1"/>
      <c r="AC2062" s="1"/>
      <c r="AJ2062" s="1"/>
      <c r="AQ2062" s="1"/>
      <c r="AX2062" s="1"/>
      <c r="BE2062" s="1"/>
    </row>
    <row r="2063" spans="1:57" x14ac:dyDescent="0.25">
      <c r="A2063" s="1"/>
      <c r="H2063" s="1"/>
      <c r="O2063" s="1"/>
      <c r="V2063" s="1"/>
      <c r="AC2063" s="1"/>
      <c r="AJ2063" s="1"/>
      <c r="AQ2063" s="1"/>
      <c r="AX2063" s="1"/>
      <c r="BE2063" s="1"/>
    </row>
    <row r="2064" spans="1:57" x14ac:dyDescent="0.25">
      <c r="A2064" s="1"/>
      <c r="H2064" s="1"/>
      <c r="O2064" s="1"/>
      <c r="V2064" s="1"/>
      <c r="AC2064" s="1"/>
      <c r="AJ2064" s="1"/>
      <c r="AQ2064" s="1"/>
      <c r="AX2064" s="1"/>
      <c r="BE2064" s="1"/>
    </row>
    <row r="2065" spans="1:57" x14ac:dyDescent="0.25">
      <c r="A2065" s="1"/>
      <c r="H2065" s="1"/>
      <c r="O2065" s="1"/>
      <c r="V2065" s="1"/>
      <c r="AC2065" s="1"/>
      <c r="AJ2065" s="1"/>
      <c r="AQ2065" s="1"/>
      <c r="AX2065" s="1"/>
      <c r="BE2065" s="1"/>
    </row>
    <row r="2066" spans="1:57" x14ac:dyDescent="0.25">
      <c r="A2066" s="1"/>
      <c r="H2066" s="1"/>
      <c r="O2066" s="1"/>
      <c r="V2066" s="1"/>
      <c r="AC2066" s="1"/>
      <c r="AJ2066" s="1"/>
      <c r="AQ2066" s="1"/>
      <c r="AX2066" s="1"/>
      <c r="BE2066" s="1"/>
    </row>
    <row r="2067" spans="1:57" x14ac:dyDescent="0.25">
      <c r="A2067" s="1"/>
      <c r="H2067" s="1"/>
      <c r="O2067" s="1"/>
      <c r="V2067" s="1"/>
      <c r="AC2067" s="1"/>
      <c r="AJ2067" s="1"/>
      <c r="AQ2067" s="1"/>
      <c r="AX2067" s="1"/>
      <c r="BE2067" s="1"/>
    </row>
    <row r="2068" spans="1:57" x14ac:dyDescent="0.25">
      <c r="A2068" s="1"/>
      <c r="H2068" s="1"/>
      <c r="O2068" s="1"/>
      <c r="V2068" s="1"/>
      <c r="AC2068" s="1"/>
      <c r="AJ2068" s="1"/>
      <c r="AQ2068" s="1"/>
      <c r="AX2068" s="1"/>
      <c r="BE2068" s="1"/>
    </row>
    <row r="2069" spans="1:57" x14ac:dyDescent="0.25">
      <c r="A2069" s="1"/>
      <c r="H2069" s="1"/>
      <c r="O2069" s="1"/>
      <c r="V2069" s="1"/>
      <c r="AC2069" s="1"/>
      <c r="AJ2069" s="1"/>
      <c r="AQ2069" s="1"/>
      <c r="AX2069" s="1"/>
      <c r="BE2069" s="1"/>
    </row>
    <row r="2070" spans="1:57" x14ac:dyDescent="0.25">
      <c r="A2070" s="1"/>
      <c r="H2070" s="1"/>
      <c r="O2070" s="1"/>
      <c r="V2070" s="1"/>
      <c r="AC2070" s="1"/>
      <c r="AJ2070" s="1"/>
      <c r="AQ2070" s="1"/>
      <c r="AX2070" s="1"/>
      <c r="BE2070" s="1"/>
    </row>
    <row r="2071" spans="1:57" x14ac:dyDescent="0.25">
      <c r="A2071" s="1"/>
      <c r="H2071" s="1"/>
      <c r="O2071" s="1"/>
      <c r="V2071" s="1"/>
      <c r="AC2071" s="1"/>
      <c r="AJ2071" s="1"/>
      <c r="AQ2071" s="1"/>
      <c r="AX2071" s="1"/>
      <c r="BE2071" s="1"/>
    </row>
    <row r="2072" spans="1:57" x14ac:dyDescent="0.25">
      <c r="A2072" s="1"/>
      <c r="H2072" s="1"/>
      <c r="O2072" s="1"/>
      <c r="V2072" s="1"/>
      <c r="AC2072" s="1"/>
      <c r="AJ2072" s="1"/>
      <c r="AQ2072" s="1"/>
      <c r="AX2072" s="1"/>
      <c r="BE2072" s="1"/>
    </row>
    <row r="2073" spans="1:57" x14ac:dyDescent="0.25">
      <c r="A2073" s="1"/>
      <c r="H2073" s="1"/>
      <c r="O2073" s="1"/>
      <c r="V2073" s="1"/>
      <c r="AC2073" s="1"/>
      <c r="AJ2073" s="1"/>
      <c r="AQ2073" s="1"/>
      <c r="AX2073" s="1"/>
      <c r="BE2073" s="1"/>
    </row>
    <row r="2074" spans="1:57" x14ac:dyDescent="0.25">
      <c r="A2074" s="1"/>
      <c r="H2074" s="1"/>
      <c r="O2074" s="1"/>
      <c r="V2074" s="1"/>
      <c r="AC2074" s="1"/>
      <c r="AJ2074" s="1"/>
      <c r="AQ2074" s="1"/>
      <c r="AX2074" s="1"/>
      <c r="BE2074" s="1"/>
    </row>
    <row r="2075" spans="1:57" x14ac:dyDescent="0.25">
      <c r="A2075" s="1"/>
      <c r="H2075" s="1"/>
      <c r="O2075" s="1"/>
      <c r="V2075" s="1"/>
      <c r="AC2075" s="1"/>
      <c r="AJ2075" s="1"/>
      <c r="AQ2075" s="1"/>
      <c r="AX2075" s="1"/>
      <c r="BE2075" s="1"/>
    </row>
    <row r="2076" spans="1:57" x14ac:dyDescent="0.25">
      <c r="A2076" s="1"/>
      <c r="H2076" s="1"/>
      <c r="O2076" s="1"/>
      <c r="V2076" s="1"/>
      <c r="AC2076" s="1"/>
      <c r="AJ2076" s="1"/>
      <c r="AQ2076" s="1"/>
      <c r="AX2076" s="1"/>
      <c r="BE2076" s="1"/>
    </row>
    <row r="2077" spans="1:57" x14ac:dyDescent="0.25">
      <c r="A2077" s="1"/>
      <c r="H2077" s="1"/>
      <c r="O2077" s="1"/>
      <c r="V2077" s="1"/>
      <c r="AC2077" s="1"/>
      <c r="AJ2077" s="1"/>
      <c r="AQ2077" s="1"/>
      <c r="AX2077" s="1"/>
      <c r="BE2077" s="1"/>
    </row>
    <row r="2078" spans="1:57" x14ac:dyDescent="0.25">
      <c r="A2078" s="1"/>
      <c r="H2078" s="1"/>
      <c r="O2078" s="1"/>
      <c r="V2078" s="1"/>
      <c r="AC2078" s="1"/>
      <c r="AJ2078" s="1"/>
      <c r="AQ2078" s="1"/>
      <c r="AX2078" s="1"/>
      <c r="BE2078" s="1"/>
    </row>
    <row r="2079" spans="1:57" x14ac:dyDescent="0.25">
      <c r="A2079" s="1"/>
      <c r="H2079" s="1"/>
      <c r="O2079" s="1"/>
      <c r="V2079" s="1"/>
      <c r="AC2079" s="1"/>
      <c r="AJ2079" s="1"/>
      <c r="AQ2079" s="1"/>
      <c r="AX2079" s="1"/>
      <c r="BE2079" s="1"/>
    </row>
    <row r="2080" spans="1:57" x14ac:dyDescent="0.25">
      <c r="A2080" s="1"/>
      <c r="H2080" s="1"/>
      <c r="O2080" s="1"/>
      <c r="V2080" s="1"/>
      <c r="AC2080" s="1"/>
      <c r="AJ2080" s="1"/>
      <c r="AQ2080" s="1"/>
      <c r="AX2080" s="1"/>
      <c r="BE2080" s="1"/>
    </row>
    <row r="2081" spans="1:57" x14ac:dyDescent="0.25">
      <c r="A2081" s="1"/>
      <c r="H2081" s="1"/>
      <c r="O2081" s="1"/>
      <c r="V2081" s="1"/>
      <c r="AC2081" s="1"/>
      <c r="AJ2081" s="1"/>
      <c r="AQ2081" s="1"/>
      <c r="AX2081" s="1"/>
      <c r="BE2081" s="1"/>
    </row>
    <row r="2082" spans="1:57" x14ac:dyDescent="0.25">
      <c r="A2082" s="1"/>
      <c r="H2082" s="1"/>
      <c r="O2082" s="1"/>
      <c r="V2082" s="1"/>
      <c r="AC2082" s="1"/>
      <c r="AJ2082" s="1"/>
      <c r="AQ2082" s="1"/>
      <c r="AX2082" s="1"/>
      <c r="BE2082" s="1"/>
    </row>
    <row r="2083" spans="1:57" x14ac:dyDescent="0.25">
      <c r="A2083" s="1"/>
      <c r="H2083" s="1"/>
      <c r="O2083" s="1"/>
      <c r="V2083" s="1"/>
      <c r="AC2083" s="1"/>
      <c r="AJ2083" s="1"/>
      <c r="AQ2083" s="1"/>
      <c r="AX2083" s="1"/>
      <c r="BE2083" s="1"/>
    </row>
    <row r="2084" spans="1:57" x14ac:dyDescent="0.25">
      <c r="A2084" s="1"/>
      <c r="H2084" s="1"/>
      <c r="O2084" s="1"/>
      <c r="V2084" s="1"/>
      <c r="AC2084" s="1"/>
      <c r="AJ2084" s="1"/>
      <c r="AQ2084" s="1"/>
      <c r="AX2084" s="1"/>
      <c r="BE2084" s="1"/>
    </row>
    <row r="2085" spans="1:57" x14ac:dyDescent="0.25">
      <c r="A2085" s="1"/>
      <c r="H2085" s="1"/>
      <c r="O2085" s="1"/>
      <c r="V2085" s="1"/>
      <c r="AC2085" s="1"/>
      <c r="AJ2085" s="1"/>
      <c r="AQ2085" s="1"/>
      <c r="AX2085" s="1"/>
      <c r="BE2085" s="1"/>
    </row>
    <row r="2086" spans="1:57" x14ac:dyDescent="0.25">
      <c r="A2086" s="1"/>
      <c r="H2086" s="1"/>
      <c r="O2086" s="1"/>
      <c r="V2086" s="1"/>
      <c r="AC2086" s="1"/>
      <c r="AJ2086" s="1"/>
      <c r="AQ2086" s="1"/>
      <c r="AX2086" s="1"/>
      <c r="BE2086" s="1"/>
    </row>
    <row r="2087" spans="1:57" x14ac:dyDescent="0.25">
      <c r="A2087" s="1"/>
      <c r="H2087" s="1"/>
      <c r="O2087" s="1"/>
      <c r="V2087" s="1"/>
      <c r="AC2087" s="1"/>
      <c r="AJ2087" s="1"/>
      <c r="AQ2087" s="1"/>
      <c r="AX2087" s="1"/>
      <c r="BE2087" s="1"/>
    </row>
    <row r="2088" spans="1:57" x14ac:dyDescent="0.25">
      <c r="A2088" s="1"/>
      <c r="H2088" s="1"/>
      <c r="O2088" s="1"/>
      <c r="V2088" s="1"/>
      <c r="AC2088" s="1"/>
      <c r="AJ2088" s="1"/>
      <c r="AQ2088" s="1"/>
      <c r="AX2088" s="1"/>
      <c r="BE2088" s="1"/>
    </row>
    <row r="2089" spans="1:57" x14ac:dyDescent="0.25">
      <c r="A2089" s="1"/>
      <c r="H2089" s="1"/>
      <c r="O2089" s="1"/>
      <c r="V2089" s="1"/>
      <c r="AC2089" s="1"/>
      <c r="AJ2089" s="1"/>
      <c r="AQ2089" s="1"/>
      <c r="AX2089" s="1"/>
      <c r="BE2089" s="1"/>
    </row>
    <row r="2090" spans="1:57" x14ac:dyDescent="0.25">
      <c r="A2090" s="1"/>
      <c r="H2090" s="1"/>
      <c r="O2090" s="1"/>
      <c r="V2090" s="1"/>
      <c r="AC2090" s="1"/>
      <c r="AJ2090" s="1"/>
      <c r="AQ2090" s="1"/>
      <c r="AX2090" s="1"/>
      <c r="BE2090" s="1"/>
    </row>
    <row r="2091" spans="1:57" x14ac:dyDescent="0.25">
      <c r="A2091" s="1"/>
      <c r="H2091" s="1"/>
      <c r="O2091" s="1"/>
      <c r="V2091" s="1"/>
      <c r="AC2091" s="1"/>
      <c r="AJ2091" s="1"/>
      <c r="AQ2091" s="1"/>
      <c r="AX2091" s="1"/>
      <c r="BE2091" s="1"/>
    </row>
    <row r="2092" spans="1:57" x14ac:dyDescent="0.25">
      <c r="A2092" s="1"/>
      <c r="H2092" s="1"/>
      <c r="O2092" s="1"/>
      <c r="V2092" s="1"/>
      <c r="AC2092" s="1"/>
      <c r="AJ2092" s="1"/>
      <c r="AQ2092" s="1"/>
      <c r="AX2092" s="1"/>
      <c r="BE2092" s="1"/>
    </row>
    <row r="2093" spans="1:57" x14ac:dyDescent="0.25">
      <c r="A2093" s="1"/>
      <c r="H2093" s="1"/>
      <c r="O2093" s="1"/>
      <c r="V2093" s="1"/>
      <c r="AC2093" s="1"/>
      <c r="AJ2093" s="1"/>
      <c r="AQ2093" s="1"/>
      <c r="AX2093" s="1"/>
      <c r="BE2093" s="1"/>
    </row>
    <row r="2094" spans="1:57" x14ac:dyDescent="0.25">
      <c r="A2094" s="1"/>
      <c r="H2094" s="1"/>
      <c r="O2094" s="1"/>
      <c r="V2094" s="1"/>
      <c r="AC2094" s="1"/>
      <c r="AJ2094" s="1"/>
      <c r="AQ2094" s="1"/>
      <c r="AX2094" s="1"/>
      <c r="BE2094" s="1"/>
    </row>
    <row r="2095" spans="1:57" x14ac:dyDescent="0.25">
      <c r="A2095" s="1"/>
      <c r="H2095" s="1"/>
      <c r="O2095" s="1"/>
      <c r="V2095" s="1"/>
      <c r="AC2095" s="1"/>
      <c r="AJ2095" s="1"/>
      <c r="AQ2095" s="1"/>
      <c r="AX2095" s="1"/>
      <c r="BE2095" s="1"/>
    </row>
    <row r="2096" spans="1:57" x14ac:dyDescent="0.25">
      <c r="A2096" s="1"/>
      <c r="H2096" s="1"/>
      <c r="O2096" s="1"/>
      <c r="V2096" s="1"/>
      <c r="AC2096" s="1"/>
      <c r="AJ2096" s="1"/>
      <c r="AQ2096" s="1"/>
      <c r="AX2096" s="1"/>
      <c r="BE2096" s="1"/>
    </row>
    <row r="2097" spans="1:57" x14ac:dyDescent="0.25">
      <c r="A2097" s="1"/>
      <c r="H2097" s="1"/>
      <c r="O2097" s="1"/>
      <c r="V2097" s="1"/>
      <c r="AC2097" s="1"/>
      <c r="AJ2097" s="1"/>
      <c r="AQ2097" s="1"/>
      <c r="AX2097" s="1"/>
      <c r="BE2097" s="1"/>
    </row>
    <row r="2098" spans="1:57" x14ac:dyDescent="0.25">
      <c r="A2098" s="1"/>
      <c r="H2098" s="1"/>
      <c r="O2098" s="1"/>
      <c r="V2098" s="1"/>
      <c r="AC2098" s="1"/>
      <c r="AJ2098" s="1"/>
      <c r="AQ2098" s="1"/>
      <c r="AX2098" s="1"/>
      <c r="BE2098" s="1"/>
    </row>
    <row r="2099" spans="1:57" x14ac:dyDescent="0.25">
      <c r="A2099" s="1"/>
      <c r="H2099" s="1"/>
      <c r="O2099" s="1"/>
      <c r="V2099" s="1"/>
      <c r="AC2099" s="1"/>
      <c r="AJ2099" s="1"/>
      <c r="AQ2099" s="1"/>
      <c r="AX2099" s="1"/>
      <c r="BE2099" s="1"/>
    </row>
    <row r="2100" spans="1:57" x14ac:dyDescent="0.25">
      <c r="A2100" s="1"/>
      <c r="H2100" s="1"/>
      <c r="O2100" s="1"/>
      <c r="V2100" s="1"/>
      <c r="AC2100" s="1"/>
      <c r="AJ2100" s="1"/>
      <c r="AQ2100" s="1"/>
      <c r="AX2100" s="1"/>
      <c r="BE2100" s="1"/>
    </row>
    <row r="2101" spans="1:57" x14ac:dyDescent="0.25">
      <c r="A2101" s="1"/>
      <c r="H2101" s="1"/>
      <c r="O2101" s="1"/>
      <c r="V2101" s="1"/>
      <c r="AC2101" s="1"/>
      <c r="AJ2101" s="1"/>
      <c r="AQ2101" s="1"/>
      <c r="AX2101" s="1"/>
      <c r="BE2101" s="1"/>
    </row>
    <row r="2102" spans="1:57" x14ac:dyDescent="0.25">
      <c r="A2102" s="1"/>
      <c r="H2102" s="1"/>
      <c r="O2102" s="1"/>
      <c r="V2102" s="1"/>
      <c r="AC2102" s="1"/>
      <c r="AJ2102" s="1"/>
      <c r="AQ2102" s="1"/>
      <c r="AX2102" s="1"/>
      <c r="BE2102" s="1"/>
    </row>
    <row r="2103" spans="1:57" x14ac:dyDescent="0.25">
      <c r="A2103" s="1"/>
      <c r="H2103" s="1"/>
      <c r="O2103" s="1"/>
      <c r="V2103" s="1"/>
      <c r="AC2103" s="1"/>
      <c r="AJ2103" s="1"/>
      <c r="AQ2103" s="1"/>
      <c r="AX2103" s="1"/>
      <c r="BE2103" s="1"/>
    </row>
    <row r="2104" spans="1:57" x14ac:dyDescent="0.25">
      <c r="A2104" s="1"/>
      <c r="H2104" s="1"/>
      <c r="O2104" s="1"/>
      <c r="V2104" s="1"/>
      <c r="AC2104" s="1"/>
      <c r="AJ2104" s="1"/>
      <c r="AQ2104" s="1"/>
      <c r="AX2104" s="1"/>
      <c r="BE2104" s="1"/>
    </row>
    <row r="2105" spans="1:57" x14ac:dyDescent="0.25">
      <c r="A2105" s="1"/>
      <c r="H2105" s="1"/>
      <c r="O2105" s="1"/>
      <c r="V2105" s="1"/>
      <c r="AC2105" s="1"/>
      <c r="AJ2105" s="1"/>
      <c r="AQ2105" s="1"/>
      <c r="AX2105" s="1"/>
      <c r="BE2105" s="1"/>
    </row>
    <row r="2106" spans="1:57" x14ac:dyDescent="0.25">
      <c r="A2106" s="1"/>
      <c r="H2106" s="1"/>
      <c r="O2106" s="1"/>
      <c r="V2106" s="1"/>
      <c r="AC2106" s="1"/>
      <c r="AJ2106" s="1"/>
      <c r="AQ2106" s="1"/>
      <c r="AX2106" s="1"/>
      <c r="BE2106" s="1"/>
    </row>
    <row r="2107" spans="1:57" x14ac:dyDescent="0.25">
      <c r="A2107" s="1"/>
      <c r="H2107" s="1"/>
      <c r="O2107" s="1"/>
      <c r="V2107" s="1"/>
      <c r="AC2107" s="1"/>
      <c r="AJ2107" s="1"/>
      <c r="AQ2107" s="1"/>
      <c r="AX2107" s="1"/>
      <c r="BE2107" s="1"/>
    </row>
    <row r="2108" spans="1:57" x14ac:dyDescent="0.25">
      <c r="A2108" s="1"/>
      <c r="H2108" s="1"/>
      <c r="O2108" s="1"/>
      <c r="V2108" s="1"/>
      <c r="AC2108" s="1"/>
      <c r="AJ2108" s="1"/>
      <c r="AQ2108" s="1"/>
      <c r="AX2108" s="1"/>
      <c r="BE2108" s="1"/>
    </row>
    <row r="2109" spans="1:57" x14ac:dyDescent="0.25">
      <c r="A2109" s="1"/>
      <c r="H2109" s="1"/>
      <c r="O2109" s="1"/>
      <c r="V2109" s="1"/>
      <c r="AC2109" s="1"/>
      <c r="AJ2109" s="1"/>
      <c r="AQ2109" s="1"/>
      <c r="AX2109" s="1"/>
      <c r="BE2109" s="1"/>
    </row>
    <row r="2110" spans="1:57" x14ac:dyDescent="0.25">
      <c r="A2110" s="1"/>
      <c r="H2110" s="1"/>
      <c r="O2110" s="1"/>
      <c r="V2110" s="1"/>
      <c r="AC2110" s="1"/>
      <c r="AJ2110" s="1"/>
      <c r="AQ2110" s="1"/>
      <c r="AX2110" s="1"/>
      <c r="BE2110" s="1"/>
    </row>
    <row r="2111" spans="1:57" x14ac:dyDescent="0.25">
      <c r="A2111" s="1"/>
      <c r="H2111" s="1"/>
      <c r="O2111" s="1"/>
      <c r="V2111" s="1"/>
      <c r="AC2111" s="1"/>
      <c r="AJ2111" s="1"/>
      <c r="AQ2111" s="1"/>
      <c r="AX2111" s="1"/>
      <c r="BE2111" s="1"/>
    </row>
    <row r="2112" spans="1:57" x14ac:dyDescent="0.25">
      <c r="A2112" s="1"/>
      <c r="H2112" s="1"/>
      <c r="O2112" s="1"/>
      <c r="V2112" s="1"/>
      <c r="AC2112" s="1"/>
      <c r="AJ2112" s="1"/>
      <c r="AQ2112" s="1"/>
      <c r="AX2112" s="1"/>
      <c r="BE2112" s="1"/>
    </row>
    <row r="2113" spans="1:57" x14ac:dyDescent="0.25">
      <c r="A2113" s="1"/>
      <c r="H2113" s="1"/>
      <c r="O2113" s="1"/>
      <c r="V2113" s="1"/>
      <c r="AC2113" s="1"/>
      <c r="AJ2113" s="1"/>
      <c r="AQ2113" s="1"/>
      <c r="AX2113" s="1"/>
      <c r="BE2113" s="1"/>
    </row>
    <row r="2114" spans="1:57" x14ac:dyDescent="0.25">
      <c r="A2114" s="1"/>
      <c r="H2114" s="1"/>
      <c r="O2114" s="1"/>
      <c r="V2114" s="1"/>
      <c r="AC2114" s="1"/>
      <c r="AJ2114" s="1"/>
      <c r="AQ2114" s="1"/>
      <c r="AX2114" s="1"/>
      <c r="BE2114" s="1"/>
    </row>
    <row r="2115" spans="1:57" x14ac:dyDescent="0.25">
      <c r="A2115" s="1"/>
      <c r="H2115" s="1"/>
      <c r="O2115" s="1"/>
      <c r="V2115" s="1"/>
      <c r="AC2115" s="1"/>
      <c r="AJ2115" s="1"/>
      <c r="AQ2115" s="1"/>
      <c r="AX2115" s="1"/>
      <c r="BE2115" s="1"/>
    </row>
    <row r="2116" spans="1:57" x14ac:dyDescent="0.25">
      <c r="A2116" s="1"/>
      <c r="H2116" s="1"/>
      <c r="O2116" s="1"/>
      <c r="V2116" s="1"/>
      <c r="AC2116" s="1"/>
      <c r="AJ2116" s="1"/>
      <c r="AQ2116" s="1"/>
      <c r="AX2116" s="1"/>
      <c r="BE2116" s="1"/>
    </row>
    <row r="2117" spans="1:57" x14ac:dyDescent="0.25">
      <c r="A2117" s="1"/>
      <c r="H2117" s="1"/>
      <c r="O2117" s="1"/>
      <c r="V2117" s="1"/>
      <c r="AC2117" s="1"/>
      <c r="AJ2117" s="1"/>
      <c r="AQ2117" s="1"/>
      <c r="AX2117" s="1"/>
      <c r="BE2117" s="1"/>
    </row>
    <row r="2118" spans="1:57" x14ac:dyDescent="0.25">
      <c r="A2118" s="1"/>
      <c r="H2118" s="1"/>
      <c r="O2118" s="1"/>
      <c r="V2118" s="1"/>
      <c r="AC2118" s="1"/>
      <c r="AJ2118" s="1"/>
      <c r="AQ2118" s="1"/>
      <c r="AX2118" s="1"/>
      <c r="BE2118" s="1"/>
    </row>
    <row r="2119" spans="1:57" x14ac:dyDescent="0.25">
      <c r="A2119" s="1"/>
      <c r="H2119" s="1"/>
      <c r="O2119" s="1"/>
      <c r="V2119" s="1"/>
      <c r="AC2119" s="1"/>
      <c r="AJ2119" s="1"/>
      <c r="AQ2119" s="1"/>
      <c r="AX2119" s="1"/>
      <c r="BE2119" s="1"/>
    </row>
    <row r="2120" spans="1:57" x14ac:dyDescent="0.25">
      <c r="A2120" s="1"/>
      <c r="H2120" s="1"/>
      <c r="O2120" s="1"/>
      <c r="V2120" s="1"/>
      <c r="AC2120" s="1"/>
      <c r="AJ2120" s="1"/>
      <c r="AQ2120" s="1"/>
      <c r="AX2120" s="1"/>
      <c r="BE2120" s="1"/>
    </row>
    <row r="2121" spans="1:57" x14ac:dyDescent="0.25">
      <c r="A2121" s="1"/>
      <c r="H2121" s="1"/>
      <c r="O2121" s="1"/>
      <c r="V2121" s="1"/>
      <c r="AC2121" s="1"/>
      <c r="AJ2121" s="1"/>
      <c r="AQ2121" s="1"/>
      <c r="AX2121" s="1"/>
      <c r="BE2121" s="1"/>
    </row>
    <row r="2122" spans="1:57" x14ac:dyDescent="0.25">
      <c r="A2122" s="1"/>
      <c r="H2122" s="1"/>
      <c r="O2122" s="1"/>
      <c r="V2122" s="1"/>
      <c r="AC2122" s="1"/>
      <c r="AJ2122" s="1"/>
      <c r="AQ2122" s="1"/>
      <c r="AX2122" s="1"/>
      <c r="BE2122" s="1"/>
    </row>
    <row r="2123" spans="1:57" x14ac:dyDescent="0.25">
      <c r="A2123" s="1"/>
      <c r="H2123" s="1"/>
      <c r="O2123" s="1"/>
      <c r="V2123" s="1"/>
      <c r="AC2123" s="1"/>
      <c r="AJ2123" s="1"/>
      <c r="AQ2123" s="1"/>
      <c r="AX2123" s="1"/>
      <c r="BE2123" s="1"/>
    </row>
    <row r="2124" spans="1:57" x14ac:dyDescent="0.25">
      <c r="A2124" s="1"/>
      <c r="H2124" s="1"/>
      <c r="O2124" s="1"/>
      <c r="V2124" s="1"/>
      <c r="AC2124" s="1"/>
      <c r="AJ2124" s="1"/>
      <c r="AQ2124" s="1"/>
      <c r="AX2124" s="1"/>
      <c r="BE2124" s="1"/>
    </row>
    <row r="2125" spans="1:57" x14ac:dyDescent="0.25">
      <c r="A2125" s="1"/>
      <c r="H2125" s="1"/>
      <c r="O2125" s="1"/>
      <c r="V2125" s="1"/>
      <c r="AC2125" s="1"/>
      <c r="AJ2125" s="1"/>
      <c r="AQ2125" s="1"/>
      <c r="AX2125" s="1"/>
      <c r="BE2125" s="1"/>
    </row>
    <row r="2126" spans="1:57" x14ac:dyDescent="0.25">
      <c r="A2126" s="1"/>
      <c r="H2126" s="1"/>
      <c r="O2126" s="1"/>
      <c r="V2126" s="1"/>
      <c r="AC2126" s="1"/>
      <c r="AJ2126" s="1"/>
      <c r="AQ2126" s="1"/>
      <c r="AX2126" s="1"/>
      <c r="BE2126" s="1"/>
    </row>
    <row r="2127" spans="1:57" x14ac:dyDescent="0.25">
      <c r="A2127" s="1"/>
      <c r="H2127" s="1"/>
      <c r="O2127" s="1"/>
      <c r="V2127" s="1"/>
      <c r="AC2127" s="1"/>
      <c r="AJ2127" s="1"/>
      <c r="AQ2127" s="1"/>
      <c r="AX2127" s="1"/>
      <c r="BE2127" s="1"/>
    </row>
    <row r="2128" spans="1:57" x14ac:dyDescent="0.25">
      <c r="A2128" s="1"/>
      <c r="H2128" s="1"/>
      <c r="O2128" s="1"/>
      <c r="V2128" s="1"/>
      <c r="AC2128" s="1"/>
      <c r="AJ2128" s="1"/>
      <c r="AQ2128" s="1"/>
      <c r="AX2128" s="1"/>
      <c r="BE2128" s="1"/>
    </row>
    <row r="2129" spans="1:57" x14ac:dyDescent="0.25">
      <c r="A2129" s="1"/>
      <c r="H2129" s="1"/>
      <c r="O2129" s="1"/>
      <c r="V2129" s="1"/>
      <c r="AC2129" s="1"/>
      <c r="AJ2129" s="1"/>
      <c r="AQ2129" s="1"/>
      <c r="AX2129" s="1"/>
      <c r="BE2129" s="1"/>
    </row>
    <row r="2130" spans="1:57" x14ac:dyDescent="0.25">
      <c r="A2130" s="1"/>
      <c r="H2130" s="1"/>
      <c r="O2130" s="1"/>
      <c r="V2130" s="1"/>
      <c r="AC2130" s="1"/>
      <c r="AJ2130" s="1"/>
      <c r="AQ2130" s="1"/>
      <c r="AX2130" s="1"/>
      <c r="BE2130" s="1"/>
    </row>
    <row r="2131" spans="1:57" x14ac:dyDescent="0.25">
      <c r="A2131" s="1"/>
      <c r="H2131" s="1"/>
      <c r="O2131" s="1"/>
      <c r="V2131" s="1"/>
      <c r="AC2131" s="1"/>
      <c r="AJ2131" s="1"/>
      <c r="AQ2131" s="1"/>
      <c r="AX2131" s="1"/>
      <c r="BE2131" s="1"/>
    </row>
    <row r="2132" spans="1:57" x14ac:dyDescent="0.25">
      <c r="A2132" s="1"/>
      <c r="H2132" s="1"/>
      <c r="O2132" s="1"/>
      <c r="V2132" s="1"/>
      <c r="AC2132" s="1"/>
      <c r="AJ2132" s="1"/>
      <c r="AQ2132" s="1"/>
      <c r="AX2132" s="1"/>
      <c r="BE2132" s="1"/>
    </row>
    <row r="2133" spans="1:57" x14ac:dyDescent="0.25">
      <c r="A2133" s="1"/>
      <c r="H2133" s="1"/>
      <c r="O2133" s="1"/>
      <c r="V2133" s="1"/>
      <c r="AC2133" s="1"/>
      <c r="AJ2133" s="1"/>
      <c r="AQ2133" s="1"/>
      <c r="AX2133" s="1"/>
      <c r="BE2133" s="1"/>
    </row>
    <row r="2134" spans="1:57" x14ac:dyDescent="0.25">
      <c r="A2134" s="1"/>
      <c r="H2134" s="1"/>
      <c r="O2134" s="1"/>
      <c r="V2134" s="1"/>
      <c r="AC2134" s="1"/>
      <c r="AJ2134" s="1"/>
      <c r="AQ2134" s="1"/>
      <c r="AX2134" s="1"/>
      <c r="BE2134" s="1"/>
    </row>
    <row r="2135" spans="1:57" x14ac:dyDescent="0.25">
      <c r="A2135" s="1"/>
      <c r="H2135" s="1"/>
      <c r="O2135" s="1"/>
      <c r="V2135" s="1"/>
      <c r="AC2135" s="1"/>
      <c r="AJ2135" s="1"/>
      <c r="AQ2135" s="1"/>
      <c r="AX2135" s="1"/>
      <c r="BE2135" s="1"/>
    </row>
    <row r="2136" spans="1:57" x14ac:dyDescent="0.25">
      <c r="A2136" s="1"/>
      <c r="H2136" s="1"/>
      <c r="O2136" s="1"/>
      <c r="V2136" s="1"/>
      <c r="AC2136" s="1"/>
      <c r="AJ2136" s="1"/>
      <c r="AQ2136" s="1"/>
      <c r="AX2136" s="1"/>
      <c r="BE2136" s="1"/>
    </row>
    <row r="2137" spans="1:57" x14ac:dyDescent="0.25">
      <c r="A2137" s="1"/>
      <c r="H2137" s="1"/>
      <c r="O2137" s="1"/>
      <c r="V2137" s="1"/>
      <c r="AC2137" s="1"/>
      <c r="AJ2137" s="1"/>
      <c r="AQ2137" s="1"/>
      <c r="AX2137" s="1"/>
      <c r="BE2137" s="1"/>
    </row>
    <row r="2138" spans="1:57" x14ac:dyDescent="0.25">
      <c r="A2138" s="1"/>
      <c r="H2138" s="1"/>
      <c r="O2138" s="1"/>
      <c r="V2138" s="1"/>
      <c r="AC2138" s="1"/>
      <c r="AJ2138" s="1"/>
      <c r="AQ2138" s="1"/>
      <c r="AX2138" s="1"/>
      <c r="BE2138" s="1"/>
    </row>
    <row r="2139" spans="1:57" x14ac:dyDescent="0.25">
      <c r="A2139" s="1"/>
      <c r="H2139" s="1"/>
      <c r="O2139" s="1"/>
      <c r="V2139" s="1"/>
      <c r="AC2139" s="1"/>
      <c r="AJ2139" s="1"/>
      <c r="AQ2139" s="1"/>
      <c r="AX2139" s="1"/>
      <c r="BE2139" s="1"/>
    </row>
    <row r="2140" spans="1:57" x14ac:dyDescent="0.25">
      <c r="A2140" s="1"/>
      <c r="H2140" s="1"/>
      <c r="O2140" s="1"/>
      <c r="V2140" s="1"/>
      <c r="AC2140" s="1"/>
      <c r="AJ2140" s="1"/>
      <c r="AQ2140" s="1"/>
      <c r="AX2140" s="1"/>
      <c r="BE2140" s="1"/>
    </row>
    <row r="2141" spans="1:57" x14ac:dyDescent="0.25">
      <c r="A2141" s="1"/>
      <c r="H2141" s="1"/>
      <c r="O2141" s="1"/>
      <c r="V2141" s="1"/>
      <c r="AC2141" s="1"/>
      <c r="AJ2141" s="1"/>
      <c r="AQ2141" s="1"/>
      <c r="AX2141" s="1"/>
      <c r="BE2141" s="1"/>
    </row>
    <row r="2142" spans="1:57" x14ac:dyDescent="0.25">
      <c r="A2142" s="1"/>
      <c r="H2142" s="1"/>
      <c r="O2142" s="1"/>
      <c r="V2142" s="1"/>
      <c r="AC2142" s="1"/>
      <c r="AJ2142" s="1"/>
      <c r="AQ2142" s="1"/>
      <c r="AX2142" s="1"/>
      <c r="BE2142" s="1"/>
    </row>
    <row r="2143" spans="1:57" x14ac:dyDescent="0.25">
      <c r="A2143" s="1"/>
      <c r="H2143" s="1"/>
      <c r="O2143" s="1"/>
      <c r="V2143" s="1"/>
      <c r="AC2143" s="1"/>
      <c r="AJ2143" s="1"/>
      <c r="AQ2143" s="1"/>
      <c r="AX2143" s="1"/>
      <c r="BE2143" s="1"/>
    </row>
    <row r="2144" spans="1:57" x14ac:dyDescent="0.25">
      <c r="A2144" s="1"/>
      <c r="H2144" s="1"/>
      <c r="O2144" s="1"/>
      <c r="V2144" s="1"/>
      <c r="AC2144" s="1"/>
      <c r="AJ2144" s="1"/>
      <c r="AQ2144" s="1"/>
      <c r="AX2144" s="1"/>
      <c r="BE2144" s="1"/>
    </row>
    <row r="2145" spans="1:57" x14ac:dyDescent="0.25">
      <c r="A2145" s="1"/>
      <c r="H2145" s="1"/>
      <c r="O2145" s="1"/>
      <c r="V2145" s="1"/>
      <c r="AC2145" s="1"/>
      <c r="AJ2145" s="1"/>
      <c r="AQ2145" s="1"/>
      <c r="AX2145" s="1"/>
      <c r="BE2145" s="1"/>
    </row>
    <row r="2146" spans="1:57" x14ac:dyDescent="0.25">
      <c r="A2146" s="1"/>
      <c r="H2146" s="1"/>
      <c r="O2146" s="1"/>
      <c r="V2146" s="1"/>
      <c r="AC2146" s="1"/>
      <c r="AJ2146" s="1"/>
      <c r="AQ2146" s="1"/>
      <c r="AX2146" s="1"/>
      <c r="BE2146" s="1"/>
    </row>
    <row r="2147" spans="1:57" x14ac:dyDescent="0.25">
      <c r="A2147" s="1"/>
      <c r="H2147" s="1"/>
      <c r="O2147" s="1"/>
      <c r="V2147" s="1"/>
      <c r="AC2147" s="1"/>
      <c r="AJ2147" s="1"/>
      <c r="AQ2147" s="1"/>
      <c r="AX2147" s="1"/>
      <c r="BE2147" s="1"/>
    </row>
    <row r="2148" spans="1:57" x14ac:dyDescent="0.25">
      <c r="A2148" s="1"/>
      <c r="H2148" s="1"/>
      <c r="O2148" s="1"/>
      <c r="V2148" s="1"/>
      <c r="AC2148" s="1"/>
      <c r="AJ2148" s="1"/>
      <c r="AQ2148" s="1"/>
      <c r="AX2148" s="1"/>
      <c r="BE2148" s="1"/>
    </row>
    <row r="2149" spans="1:57" x14ac:dyDescent="0.25">
      <c r="A2149" s="1"/>
      <c r="H2149" s="1"/>
      <c r="O2149" s="1"/>
      <c r="V2149" s="1"/>
      <c r="AC2149" s="1"/>
      <c r="AJ2149" s="1"/>
      <c r="AQ2149" s="1"/>
      <c r="AX2149" s="1"/>
      <c r="BE2149" s="1"/>
    </row>
    <row r="2150" spans="1:57" x14ac:dyDescent="0.25">
      <c r="A2150" s="1"/>
      <c r="H2150" s="1"/>
      <c r="O2150" s="1"/>
      <c r="V2150" s="1"/>
      <c r="AC2150" s="1"/>
      <c r="AJ2150" s="1"/>
      <c r="AQ2150" s="1"/>
      <c r="AX2150" s="1"/>
      <c r="BE2150" s="1"/>
    </row>
    <row r="2151" spans="1:57" x14ac:dyDescent="0.25">
      <c r="A2151" s="1"/>
      <c r="H2151" s="1"/>
      <c r="O2151" s="1"/>
      <c r="V2151" s="1"/>
      <c r="AC2151" s="1"/>
      <c r="AJ2151" s="1"/>
      <c r="AQ2151" s="1"/>
      <c r="AX2151" s="1"/>
      <c r="BE2151" s="1"/>
    </row>
    <row r="2152" spans="1:57" x14ac:dyDescent="0.25">
      <c r="A2152" s="1"/>
      <c r="H2152" s="1"/>
      <c r="O2152" s="1"/>
      <c r="V2152" s="1"/>
      <c r="AC2152" s="1"/>
      <c r="AJ2152" s="1"/>
      <c r="AQ2152" s="1"/>
      <c r="AX2152" s="1"/>
      <c r="BE2152" s="1"/>
    </row>
    <row r="2153" spans="1:57" x14ac:dyDescent="0.25">
      <c r="A2153" s="1"/>
      <c r="H2153" s="1"/>
      <c r="O2153" s="1"/>
      <c r="V2153" s="1"/>
      <c r="AC2153" s="1"/>
      <c r="AJ2153" s="1"/>
      <c r="AQ2153" s="1"/>
      <c r="AX2153" s="1"/>
      <c r="BE2153" s="1"/>
    </row>
    <row r="2154" spans="1:57" x14ac:dyDescent="0.25">
      <c r="A2154" s="1"/>
      <c r="H2154" s="1"/>
      <c r="O2154" s="1"/>
      <c r="V2154" s="1"/>
      <c r="AC2154" s="1"/>
      <c r="AJ2154" s="1"/>
      <c r="AQ2154" s="1"/>
      <c r="AX2154" s="1"/>
      <c r="BE2154" s="1"/>
    </row>
    <row r="2155" spans="1:57" x14ac:dyDescent="0.25">
      <c r="A2155" s="1"/>
      <c r="H2155" s="1"/>
      <c r="O2155" s="1"/>
      <c r="V2155" s="1"/>
      <c r="AC2155" s="1"/>
      <c r="AJ2155" s="1"/>
      <c r="AQ2155" s="1"/>
      <c r="AX2155" s="1"/>
      <c r="BE2155" s="1"/>
    </row>
    <row r="2156" spans="1:57" x14ac:dyDescent="0.25">
      <c r="A2156" s="1"/>
      <c r="H2156" s="1"/>
      <c r="O2156" s="1"/>
      <c r="V2156" s="1"/>
      <c r="AC2156" s="1"/>
      <c r="AJ2156" s="1"/>
      <c r="AQ2156" s="1"/>
      <c r="AX2156" s="1"/>
      <c r="BE2156" s="1"/>
    </row>
    <row r="2157" spans="1:57" x14ac:dyDescent="0.25">
      <c r="A2157" s="1"/>
      <c r="H2157" s="1"/>
      <c r="O2157" s="1"/>
      <c r="V2157" s="1"/>
      <c r="AC2157" s="1"/>
      <c r="AJ2157" s="1"/>
      <c r="AQ2157" s="1"/>
      <c r="AX2157" s="1"/>
      <c r="BE2157" s="1"/>
    </row>
    <row r="2158" spans="1:57" x14ac:dyDescent="0.25">
      <c r="A2158" s="1"/>
      <c r="H2158" s="1"/>
      <c r="O2158" s="1"/>
      <c r="V2158" s="1"/>
      <c r="AC2158" s="1"/>
      <c r="AJ2158" s="1"/>
      <c r="AQ2158" s="1"/>
      <c r="AX2158" s="1"/>
      <c r="BE2158" s="1"/>
    </row>
    <row r="2159" spans="1:57" x14ac:dyDescent="0.25">
      <c r="A2159" s="1"/>
      <c r="H2159" s="1"/>
      <c r="O2159" s="1"/>
      <c r="V2159" s="1"/>
      <c r="AC2159" s="1"/>
      <c r="AJ2159" s="1"/>
      <c r="AQ2159" s="1"/>
      <c r="AX2159" s="1"/>
      <c r="BE2159" s="1"/>
    </row>
    <row r="2160" spans="1:57" x14ac:dyDescent="0.25">
      <c r="A2160" s="1"/>
      <c r="H2160" s="1"/>
      <c r="O2160" s="1"/>
      <c r="V2160" s="1"/>
      <c r="AC2160" s="1"/>
      <c r="AJ2160" s="1"/>
      <c r="AQ2160" s="1"/>
      <c r="AX2160" s="1"/>
      <c r="BE2160" s="1"/>
    </row>
    <row r="2161" spans="1:57" x14ac:dyDescent="0.25">
      <c r="A2161" s="1"/>
      <c r="H2161" s="1"/>
      <c r="O2161" s="1"/>
      <c r="V2161" s="1"/>
      <c r="AC2161" s="1"/>
      <c r="AJ2161" s="1"/>
      <c r="AQ2161" s="1"/>
      <c r="AX2161" s="1"/>
      <c r="BE2161" s="1"/>
    </row>
    <row r="2162" spans="1:57" x14ac:dyDescent="0.25">
      <c r="A2162" s="1"/>
      <c r="H2162" s="1"/>
      <c r="O2162" s="1"/>
      <c r="V2162" s="1"/>
      <c r="AC2162" s="1"/>
      <c r="AJ2162" s="1"/>
      <c r="AQ2162" s="1"/>
      <c r="AX2162" s="1"/>
      <c r="BE2162" s="1"/>
    </row>
    <row r="2163" spans="1:57" x14ac:dyDescent="0.25">
      <c r="A2163" s="1"/>
      <c r="H2163" s="1"/>
      <c r="O2163" s="1"/>
      <c r="V2163" s="1"/>
      <c r="AC2163" s="1"/>
      <c r="AJ2163" s="1"/>
      <c r="AQ2163" s="1"/>
      <c r="AX2163" s="1"/>
      <c r="BE2163" s="1"/>
    </row>
    <row r="2164" spans="1:57" x14ac:dyDescent="0.25">
      <c r="A2164" s="1"/>
      <c r="H2164" s="1"/>
      <c r="O2164" s="1"/>
      <c r="V2164" s="1"/>
      <c r="AC2164" s="1"/>
      <c r="AJ2164" s="1"/>
      <c r="AQ2164" s="1"/>
      <c r="AX2164" s="1"/>
      <c r="BE2164" s="1"/>
    </row>
    <row r="2165" spans="1:57" x14ac:dyDescent="0.25">
      <c r="A2165" s="1"/>
      <c r="H2165" s="1"/>
      <c r="O2165" s="1"/>
      <c r="V2165" s="1"/>
      <c r="AC2165" s="1"/>
      <c r="AJ2165" s="1"/>
      <c r="AQ2165" s="1"/>
      <c r="AX2165" s="1"/>
      <c r="BE2165" s="1"/>
    </row>
    <row r="2166" spans="1:57" x14ac:dyDescent="0.25">
      <c r="A2166" s="1"/>
      <c r="H2166" s="1"/>
      <c r="O2166" s="1"/>
      <c r="V2166" s="1"/>
      <c r="AC2166" s="1"/>
      <c r="AJ2166" s="1"/>
      <c r="AQ2166" s="1"/>
      <c r="AX2166" s="1"/>
      <c r="BE2166" s="1"/>
    </row>
    <row r="2167" spans="1:57" x14ac:dyDescent="0.25">
      <c r="A2167" s="1"/>
      <c r="H2167" s="1"/>
      <c r="O2167" s="1"/>
      <c r="V2167" s="1"/>
      <c r="AC2167" s="1"/>
      <c r="AJ2167" s="1"/>
      <c r="AQ2167" s="1"/>
      <c r="AX2167" s="1"/>
      <c r="BE2167" s="1"/>
    </row>
    <row r="2168" spans="1:57" x14ac:dyDescent="0.25">
      <c r="A2168" s="1"/>
      <c r="H2168" s="1"/>
      <c r="O2168" s="1"/>
      <c r="V2168" s="1"/>
      <c r="AC2168" s="1"/>
      <c r="AJ2168" s="1"/>
      <c r="AQ2168" s="1"/>
      <c r="AX2168" s="1"/>
      <c r="BE2168" s="1"/>
    </row>
    <row r="2169" spans="1:57" x14ac:dyDescent="0.25">
      <c r="A2169" s="1"/>
      <c r="H2169" s="1"/>
      <c r="O2169" s="1"/>
      <c r="V2169" s="1"/>
      <c r="AC2169" s="1"/>
      <c r="AJ2169" s="1"/>
      <c r="AQ2169" s="1"/>
      <c r="AX2169" s="1"/>
      <c r="BE2169" s="1"/>
    </row>
    <row r="2170" spans="1:57" x14ac:dyDescent="0.25">
      <c r="A2170" s="1"/>
      <c r="H2170" s="1"/>
      <c r="O2170" s="1"/>
      <c r="V2170" s="1"/>
      <c r="AC2170" s="1"/>
      <c r="AJ2170" s="1"/>
      <c r="AQ2170" s="1"/>
      <c r="AX2170" s="1"/>
      <c r="BE2170" s="1"/>
    </row>
    <row r="2171" spans="1:57" x14ac:dyDescent="0.25">
      <c r="A2171" s="1"/>
      <c r="H2171" s="1"/>
      <c r="O2171" s="1"/>
      <c r="V2171" s="1"/>
      <c r="AC2171" s="1"/>
      <c r="AJ2171" s="1"/>
      <c r="AQ2171" s="1"/>
      <c r="AX2171" s="1"/>
      <c r="BE2171" s="1"/>
    </row>
    <row r="2172" spans="1:57" x14ac:dyDescent="0.25">
      <c r="A2172" s="1"/>
      <c r="H2172" s="1"/>
      <c r="O2172" s="1"/>
      <c r="V2172" s="1"/>
      <c r="AC2172" s="1"/>
      <c r="AJ2172" s="1"/>
      <c r="AQ2172" s="1"/>
      <c r="AX2172" s="1"/>
      <c r="BE2172" s="1"/>
    </row>
    <row r="2173" spans="1:57" x14ac:dyDescent="0.25">
      <c r="A2173" s="1"/>
      <c r="H2173" s="1"/>
      <c r="O2173" s="1"/>
      <c r="V2173" s="1"/>
      <c r="AC2173" s="1"/>
      <c r="AJ2173" s="1"/>
      <c r="AQ2173" s="1"/>
      <c r="AX2173" s="1"/>
      <c r="BE2173" s="1"/>
    </row>
    <row r="2174" spans="1:57" x14ac:dyDescent="0.25">
      <c r="A2174" s="1"/>
      <c r="H2174" s="1"/>
      <c r="O2174" s="1"/>
      <c r="V2174" s="1"/>
      <c r="AC2174" s="1"/>
      <c r="AJ2174" s="1"/>
      <c r="AQ2174" s="1"/>
      <c r="AX2174" s="1"/>
      <c r="BE2174" s="1"/>
    </row>
    <row r="2175" spans="1:57" x14ac:dyDescent="0.25">
      <c r="A2175" s="1"/>
      <c r="H2175" s="1"/>
      <c r="O2175" s="1"/>
      <c r="V2175" s="1"/>
      <c r="AC2175" s="1"/>
      <c r="AJ2175" s="1"/>
      <c r="AQ2175" s="1"/>
      <c r="AX2175" s="1"/>
      <c r="BE2175" s="1"/>
    </row>
    <row r="2176" spans="1:57" x14ac:dyDescent="0.25">
      <c r="A2176" s="1"/>
      <c r="H2176" s="1"/>
      <c r="O2176" s="1"/>
      <c r="V2176" s="1"/>
      <c r="AC2176" s="1"/>
      <c r="AJ2176" s="1"/>
      <c r="AQ2176" s="1"/>
      <c r="AX2176" s="1"/>
      <c r="BE2176" s="1"/>
    </row>
    <row r="2177" spans="1:57" x14ac:dyDescent="0.25">
      <c r="A2177" s="1"/>
      <c r="H2177" s="1"/>
      <c r="O2177" s="1"/>
      <c r="V2177" s="1"/>
      <c r="AC2177" s="1"/>
      <c r="AJ2177" s="1"/>
      <c r="AQ2177" s="1"/>
      <c r="AX2177" s="1"/>
      <c r="BE2177" s="1"/>
    </row>
    <row r="2178" spans="1:57" x14ac:dyDescent="0.25">
      <c r="A2178" s="1"/>
      <c r="H2178" s="1"/>
      <c r="O2178" s="1"/>
      <c r="V2178" s="1"/>
      <c r="AC2178" s="1"/>
      <c r="AJ2178" s="1"/>
      <c r="AQ2178" s="1"/>
      <c r="AX2178" s="1"/>
      <c r="BE2178" s="1"/>
    </row>
    <row r="2179" spans="1:57" x14ac:dyDescent="0.25">
      <c r="A2179" s="1"/>
      <c r="H2179" s="1"/>
      <c r="O2179" s="1"/>
      <c r="V2179" s="1"/>
      <c r="AC2179" s="1"/>
      <c r="AJ2179" s="1"/>
      <c r="AQ2179" s="1"/>
      <c r="AX2179" s="1"/>
      <c r="BE2179" s="1"/>
    </row>
    <row r="2180" spans="1:57" x14ac:dyDescent="0.25">
      <c r="A2180" s="1"/>
      <c r="H2180" s="1"/>
      <c r="O2180" s="1"/>
      <c r="V2180" s="1"/>
      <c r="AC2180" s="1"/>
      <c r="AJ2180" s="1"/>
      <c r="AQ2180" s="1"/>
      <c r="AX2180" s="1"/>
      <c r="BE2180" s="1"/>
    </row>
    <row r="2181" spans="1:57" x14ac:dyDescent="0.25">
      <c r="A2181" s="1"/>
      <c r="H2181" s="1"/>
      <c r="O2181" s="1"/>
      <c r="V2181" s="1"/>
      <c r="AC2181" s="1"/>
      <c r="AJ2181" s="1"/>
      <c r="AQ2181" s="1"/>
      <c r="AX2181" s="1"/>
      <c r="BE2181" s="1"/>
    </row>
    <row r="2182" spans="1:57" x14ac:dyDescent="0.25">
      <c r="A2182" s="1"/>
      <c r="H2182" s="1"/>
      <c r="O2182" s="1"/>
      <c r="V2182" s="1"/>
      <c r="AC2182" s="1"/>
      <c r="AJ2182" s="1"/>
      <c r="AQ2182" s="1"/>
      <c r="AX2182" s="1"/>
      <c r="BE2182" s="1"/>
    </row>
    <row r="2183" spans="1:57" x14ac:dyDescent="0.25">
      <c r="A2183" s="1"/>
      <c r="H2183" s="1"/>
      <c r="O2183" s="1"/>
      <c r="V2183" s="1"/>
      <c r="AC2183" s="1"/>
      <c r="AJ2183" s="1"/>
      <c r="AQ2183" s="1"/>
      <c r="AX2183" s="1"/>
      <c r="BE2183" s="1"/>
    </row>
    <row r="2184" spans="1:57" x14ac:dyDescent="0.25">
      <c r="A2184" s="1"/>
      <c r="H2184" s="1"/>
      <c r="O2184" s="1"/>
      <c r="V2184" s="1"/>
      <c r="AC2184" s="1"/>
      <c r="AJ2184" s="1"/>
      <c r="AQ2184" s="1"/>
      <c r="AX2184" s="1"/>
      <c r="BE2184" s="1"/>
    </row>
    <row r="2185" spans="1:57" x14ac:dyDescent="0.25">
      <c r="A2185" s="1"/>
      <c r="H2185" s="1"/>
      <c r="O2185" s="1"/>
      <c r="V2185" s="1"/>
      <c r="AC2185" s="1"/>
      <c r="AJ2185" s="1"/>
      <c r="AQ2185" s="1"/>
      <c r="AX2185" s="1"/>
      <c r="BE2185" s="1"/>
    </row>
    <row r="2186" spans="1:57" x14ac:dyDescent="0.25">
      <c r="A2186" s="1"/>
      <c r="H2186" s="1"/>
      <c r="O2186" s="1"/>
      <c r="V2186" s="1"/>
      <c r="AC2186" s="1"/>
      <c r="AJ2186" s="1"/>
      <c r="AQ2186" s="1"/>
      <c r="AX2186" s="1"/>
      <c r="BE2186" s="1"/>
    </row>
    <row r="2187" spans="1:57" x14ac:dyDescent="0.25">
      <c r="A2187" s="1"/>
      <c r="H2187" s="1"/>
      <c r="O2187" s="1"/>
      <c r="V2187" s="1"/>
      <c r="AC2187" s="1"/>
      <c r="AJ2187" s="1"/>
      <c r="AQ2187" s="1"/>
      <c r="AX2187" s="1"/>
      <c r="BE2187" s="1"/>
    </row>
    <row r="2188" spans="1:57" x14ac:dyDescent="0.25">
      <c r="A2188" s="1"/>
      <c r="H2188" s="1"/>
      <c r="O2188" s="1"/>
      <c r="V2188" s="1"/>
      <c r="AC2188" s="1"/>
      <c r="AJ2188" s="1"/>
      <c r="AQ2188" s="1"/>
      <c r="AX2188" s="1"/>
      <c r="BE2188" s="1"/>
    </row>
    <row r="2189" spans="1:57" x14ac:dyDescent="0.25">
      <c r="A2189" s="1"/>
      <c r="H2189" s="1"/>
      <c r="O2189" s="1"/>
      <c r="V2189" s="1"/>
      <c r="AC2189" s="1"/>
      <c r="AJ2189" s="1"/>
      <c r="AQ2189" s="1"/>
      <c r="AX2189" s="1"/>
      <c r="BE2189" s="1"/>
    </row>
    <row r="2190" spans="1:57" x14ac:dyDescent="0.25">
      <c r="A2190" s="1"/>
      <c r="H2190" s="1"/>
      <c r="O2190" s="1"/>
      <c r="V2190" s="1"/>
      <c r="AC2190" s="1"/>
      <c r="AJ2190" s="1"/>
      <c r="AQ2190" s="1"/>
      <c r="AX2190" s="1"/>
      <c r="BE2190" s="1"/>
    </row>
    <row r="2191" spans="1:57" x14ac:dyDescent="0.25">
      <c r="A2191" s="1"/>
      <c r="H2191" s="1"/>
      <c r="O2191" s="1"/>
      <c r="V2191" s="1"/>
      <c r="AC2191" s="1"/>
      <c r="AJ2191" s="1"/>
      <c r="AQ2191" s="1"/>
      <c r="AX2191" s="1"/>
      <c r="BE2191" s="1"/>
    </row>
    <row r="2192" spans="1:57" x14ac:dyDescent="0.25">
      <c r="A2192" s="1"/>
      <c r="H2192" s="1"/>
      <c r="O2192" s="1"/>
      <c r="V2192" s="1"/>
      <c r="AC2192" s="1"/>
      <c r="AJ2192" s="1"/>
      <c r="AQ2192" s="1"/>
      <c r="AX2192" s="1"/>
      <c r="BE2192" s="1"/>
    </row>
    <row r="2193" spans="1:57" x14ac:dyDescent="0.25">
      <c r="A2193" s="1"/>
      <c r="H2193" s="1"/>
      <c r="O2193" s="1"/>
      <c r="V2193" s="1"/>
      <c r="AC2193" s="1"/>
      <c r="AJ2193" s="1"/>
      <c r="AQ2193" s="1"/>
      <c r="AX2193" s="1"/>
      <c r="BE2193" s="1"/>
    </row>
    <row r="2194" spans="1:57" x14ac:dyDescent="0.25">
      <c r="A2194" s="1"/>
      <c r="H2194" s="1"/>
      <c r="O2194" s="1"/>
      <c r="V2194" s="1"/>
      <c r="AC2194" s="1"/>
      <c r="AJ2194" s="1"/>
      <c r="AQ2194" s="1"/>
      <c r="AX2194" s="1"/>
      <c r="BE2194" s="1"/>
    </row>
    <row r="2195" spans="1:57" x14ac:dyDescent="0.25">
      <c r="A2195" s="1"/>
      <c r="H2195" s="1"/>
      <c r="O2195" s="1"/>
      <c r="V2195" s="1"/>
      <c r="AC2195" s="1"/>
      <c r="AJ2195" s="1"/>
      <c r="AQ2195" s="1"/>
      <c r="AX2195" s="1"/>
      <c r="BE2195" s="1"/>
    </row>
    <row r="2196" spans="1:57" x14ac:dyDescent="0.25">
      <c r="A2196" s="1"/>
      <c r="H2196" s="1"/>
      <c r="O2196" s="1"/>
      <c r="V2196" s="1"/>
      <c r="AC2196" s="1"/>
      <c r="AJ2196" s="1"/>
      <c r="AQ2196" s="1"/>
      <c r="AX2196" s="1"/>
      <c r="BE2196" s="1"/>
    </row>
    <row r="2197" spans="1:57" x14ac:dyDescent="0.25">
      <c r="A2197" s="1"/>
      <c r="H2197" s="1"/>
      <c r="O2197" s="1"/>
      <c r="V2197" s="1"/>
      <c r="AC2197" s="1"/>
      <c r="AJ2197" s="1"/>
      <c r="AQ2197" s="1"/>
      <c r="AX2197" s="1"/>
      <c r="BE2197" s="1"/>
    </row>
    <row r="2198" spans="1:57" x14ac:dyDescent="0.25">
      <c r="A2198" s="1"/>
      <c r="H2198" s="1"/>
      <c r="O2198" s="1"/>
      <c r="V2198" s="1"/>
      <c r="AC2198" s="1"/>
      <c r="AJ2198" s="1"/>
      <c r="AQ2198" s="1"/>
      <c r="AX2198" s="1"/>
      <c r="BE2198" s="1"/>
    </row>
    <row r="2199" spans="1:57" x14ac:dyDescent="0.25">
      <c r="A2199" s="1"/>
      <c r="H2199" s="1"/>
      <c r="O2199" s="1"/>
      <c r="V2199" s="1"/>
      <c r="AC2199" s="1"/>
      <c r="AJ2199" s="1"/>
      <c r="AQ2199" s="1"/>
      <c r="AX2199" s="1"/>
      <c r="BE2199" s="1"/>
    </row>
    <row r="2200" spans="1:57" x14ac:dyDescent="0.25">
      <c r="A2200" s="1"/>
      <c r="H2200" s="1"/>
      <c r="O2200" s="1"/>
      <c r="V2200" s="1"/>
      <c r="AC2200" s="1"/>
      <c r="AJ2200" s="1"/>
      <c r="AQ2200" s="1"/>
      <c r="AX2200" s="1"/>
      <c r="BE2200" s="1"/>
    </row>
    <row r="2201" spans="1:57" x14ac:dyDescent="0.25">
      <c r="A2201" s="1"/>
      <c r="H2201" s="1"/>
      <c r="O2201" s="1"/>
      <c r="V2201" s="1"/>
      <c r="AC2201" s="1"/>
      <c r="AJ2201" s="1"/>
      <c r="AQ2201" s="1"/>
      <c r="AX2201" s="1"/>
      <c r="BE2201" s="1"/>
    </row>
    <row r="2202" spans="1:57" x14ac:dyDescent="0.25">
      <c r="A2202" s="1"/>
      <c r="H2202" s="1"/>
      <c r="O2202" s="1"/>
      <c r="V2202" s="1"/>
      <c r="AC2202" s="1"/>
      <c r="AJ2202" s="1"/>
      <c r="AQ2202" s="1"/>
      <c r="AX2202" s="1"/>
      <c r="BE2202" s="1"/>
    </row>
    <row r="2203" spans="1:57" x14ac:dyDescent="0.25">
      <c r="A2203" s="1"/>
      <c r="H2203" s="1"/>
      <c r="O2203" s="1"/>
      <c r="V2203" s="1"/>
      <c r="AC2203" s="1"/>
      <c r="AJ2203" s="1"/>
      <c r="AQ2203" s="1"/>
      <c r="AX2203" s="1"/>
      <c r="BE2203" s="1"/>
    </row>
    <row r="2204" spans="1:57" x14ac:dyDescent="0.25">
      <c r="A2204" s="1"/>
      <c r="H2204" s="1"/>
      <c r="O2204" s="1"/>
      <c r="V2204" s="1"/>
      <c r="AC2204" s="1"/>
      <c r="AJ2204" s="1"/>
      <c r="AQ2204" s="1"/>
      <c r="AX2204" s="1"/>
      <c r="BE2204" s="1"/>
    </row>
    <row r="2205" spans="1:57" x14ac:dyDescent="0.25">
      <c r="A2205" s="1"/>
      <c r="H2205" s="1"/>
      <c r="O2205" s="1"/>
      <c r="V2205" s="1"/>
      <c r="AC2205" s="1"/>
      <c r="AJ2205" s="1"/>
      <c r="AQ2205" s="1"/>
      <c r="AX2205" s="1"/>
      <c r="BE2205" s="1"/>
    </row>
    <row r="2206" spans="1:57" x14ac:dyDescent="0.25">
      <c r="A2206" s="1"/>
      <c r="H2206" s="1"/>
      <c r="O2206" s="1"/>
      <c r="V2206" s="1"/>
      <c r="AC2206" s="1"/>
      <c r="AJ2206" s="1"/>
      <c r="AQ2206" s="1"/>
      <c r="AX2206" s="1"/>
      <c r="BE2206" s="1"/>
    </row>
    <row r="2207" spans="1:57" x14ac:dyDescent="0.25">
      <c r="A2207" s="1"/>
      <c r="H2207" s="1"/>
      <c r="O2207" s="1"/>
      <c r="V2207" s="1"/>
      <c r="AC2207" s="1"/>
      <c r="AJ2207" s="1"/>
      <c r="AQ2207" s="1"/>
      <c r="AX2207" s="1"/>
      <c r="BE2207" s="1"/>
    </row>
    <row r="2208" spans="1:57" x14ac:dyDescent="0.25">
      <c r="A2208" s="1"/>
      <c r="H2208" s="1"/>
      <c r="O2208" s="1"/>
      <c r="V2208" s="1"/>
      <c r="AC2208" s="1"/>
      <c r="AJ2208" s="1"/>
      <c r="AQ2208" s="1"/>
      <c r="AX2208" s="1"/>
      <c r="BE2208" s="1"/>
    </row>
    <row r="2209" spans="1:57" x14ac:dyDescent="0.25">
      <c r="A2209" s="1"/>
      <c r="H2209" s="1"/>
      <c r="O2209" s="1"/>
      <c r="V2209" s="1"/>
      <c r="AC2209" s="1"/>
      <c r="AJ2209" s="1"/>
      <c r="AQ2209" s="1"/>
      <c r="AX2209" s="1"/>
      <c r="BE2209" s="1"/>
    </row>
    <row r="2210" spans="1:57" x14ac:dyDescent="0.25">
      <c r="A2210" s="1"/>
      <c r="H2210" s="1"/>
      <c r="O2210" s="1"/>
      <c r="V2210" s="1"/>
      <c r="AC2210" s="1"/>
      <c r="AJ2210" s="1"/>
      <c r="AQ2210" s="1"/>
      <c r="AX2210" s="1"/>
      <c r="BE2210" s="1"/>
    </row>
    <row r="2211" spans="1:57" x14ac:dyDescent="0.25">
      <c r="A2211" s="1"/>
      <c r="H2211" s="1"/>
      <c r="O2211" s="1"/>
      <c r="V2211" s="1"/>
      <c r="AC2211" s="1"/>
      <c r="AJ2211" s="1"/>
      <c r="AQ2211" s="1"/>
      <c r="AX2211" s="1"/>
      <c r="BE2211" s="1"/>
    </row>
    <row r="2212" spans="1:57" x14ac:dyDescent="0.25">
      <c r="A2212" s="1"/>
      <c r="H2212" s="1"/>
      <c r="O2212" s="1"/>
      <c r="V2212" s="1"/>
      <c r="AC2212" s="1"/>
      <c r="AJ2212" s="1"/>
      <c r="AQ2212" s="1"/>
      <c r="AX2212" s="1"/>
      <c r="BE2212" s="1"/>
    </row>
    <row r="2213" spans="1:57" x14ac:dyDescent="0.25">
      <c r="A2213" s="1"/>
      <c r="H2213" s="1"/>
      <c r="O2213" s="1"/>
      <c r="V2213" s="1"/>
      <c r="AC2213" s="1"/>
      <c r="AJ2213" s="1"/>
      <c r="AQ2213" s="1"/>
      <c r="AX2213" s="1"/>
      <c r="BE2213" s="1"/>
    </row>
    <row r="2214" spans="1:57" x14ac:dyDescent="0.25">
      <c r="A2214" s="1"/>
      <c r="H2214" s="1"/>
      <c r="O2214" s="1"/>
      <c r="V2214" s="1"/>
      <c r="AC2214" s="1"/>
      <c r="AJ2214" s="1"/>
      <c r="AQ2214" s="1"/>
      <c r="AX2214" s="1"/>
      <c r="BE2214" s="1"/>
    </row>
    <row r="2215" spans="1:57" x14ac:dyDescent="0.25">
      <c r="A2215" s="1"/>
      <c r="H2215" s="1"/>
      <c r="O2215" s="1"/>
      <c r="V2215" s="1"/>
      <c r="AC2215" s="1"/>
      <c r="AJ2215" s="1"/>
      <c r="AQ2215" s="1"/>
      <c r="AX2215" s="1"/>
      <c r="BE2215" s="1"/>
    </row>
    <row r="2216" spans="1:57" x14ac:dyDescent="0.25">
      <c r="A2216" s="1"/>
      <c r="H2216" s="1"/>
      <c r="O2216" s="1"/>
      <c r="V2216" s="1"/>
      <c r="AC2216" s="1"/>
      <c r="AJ2216" s="1"/>
      <c r="AQ2216" s="1"/>
      <c r="AX2216" s="1"/>
      <c r="BE2216" s="1"/>
    </row>
    <row r="2217" spans="1:57" x14ac:dyDescent="0.25">
      <c r="A2217" s="1"/>
      <c r="H2217" s="1"/>
      <c r="O2217" s="1"/>
      <c r="V2217" s="1"/>
      <c r="AC2217" s="1"/>
      <c r="AJ2217" s="1"/>
      <c r="AQ2217" s="1"/>
      <c r="AX2217" s="1"/>
      <c r="BE2217" s="1"/>
    </row>
    <row r="2218" spans="1:57" x14ac:dyDescent="0.25">
      <c r="A2218" s="1"/>
      <c r="H2218" s="1"/>
      <c r="O2218" s="1"/>
      <c r="V2218" s="1"/>
      <c r="AC2218" s="1"/>
      <c r="AJ2218" s="1"/>
      <c r="AQ2218" s="1"/>
      <c r="AX2218" s="1"/>
      <c r="BE2218" s="1"/>
    </row>
    <row r="2219" spans="1:57" x14ac:dyDescent="0.25">
      <c r="A2219" s="1"/>
      <c r="H2219" s="1"/>
      <c r="O2219" s="1"/>
      <c r="V2219" s="1"/>
      <c r="AC2219" s="1"/>
      <c r="AJ2219" s="1"/>
      <c r="AQ2219" s="1"/>
      <c r="AX2219" s="1"/>
      <c r="BE2219" s="1"/>
    </row>
    <row r="2220" spans="1:57" x14ac:dyDescent="0.25">
      <c r="A2220" s="1"/>
      <c r="H2220" s="1"/>
      <c r="O2220" s="1"/>
      <c r="V2220" s="1"/>
      <c r="AC2220" s="1"/>
      <c r="AJ2220" s="1"/>
      <c r="AQ2220" s="1"/>
      <c r="AX2220" s="1"/>
      <c r="BE2220" s="1"/>
    </row>
    <row r="2221" spans="1:57" x14ac:dyDescent="0.25">
      <c r="A2221" s="1"/>
      <c r="H2221" s="1"/>
      <c r="O2221" s="1"/>
      <c r="V2221" s="1"/>
      <c r="AC2221" s="1"/>
      <c r="AJ2221" s="1"/>
      <c r="AQ2221" s="1"/>
      <c r="AX2221" s="1"/>
      <c r="BE2221" s="1"/>
    </row>
    <row r="2222" spans="1:57" x14ac:dyDescent="0.25">
      <c r="A2222" s="1"/>
      <c r="H2222" s="1"/>
      <c r="O2222" s="1"/>
      <c r="V2222" s="1"/>
      <c r="AC2222" s="1"/>
      <c r="AJ2222" s="1"/>
      <c r="AQ2222" s="1"/>
      <c r="AX2222" s="1"/>
      <c r="BE2222" s="1"/>
    </row>
    <row r="2223" spans="1:57" x14ac:dyDescent="0.25">
      <c r="A2223" s="1"/>
      <c r="H2223" s="1"/>
      <c r="O2223" s="1"/>
      <c r="V2223" s="1"/>
      <c r="AC2223" s="1"/>
      <c r="AJ2223" s="1"/>
      <c r="AQ2223" s="1"/>
      <c r="AX2223" s="1"/>
      <c r="BE2223" s="1"/>
    </row>
    <row r="2224" spans="1:57" x14ac:dyDescent="0.25">
      <c r="A2224" s="1"/>
      <c r="H2224" s="1"/>
      <c r="O2224" s="1"/>
      <c r="V2224" s="1"/>
      <c r="AC2224" s="1"/>
      <c r="AJ2224" s="1"/>
      <c r="AQ2224" s="1"/>
      <c r="AX2224" s="1"/>
      <c r="BE2224" s="1"/>
    </row>
    <row r="2225" spans="1:57" x14ac:dyDescent="0.25">
      <c r="A2225" s="1"/>
      <c r="H2225" s="1"/>
      <c r="O2225" s="1"/>
      <c r="V2225" s="1"/>
      <c r="AC2225" s="1"/>
      <c r="AJ2225" s="1"/>
      <c r="AQ2225" s="1"/>
      <c r="AX2225" s="1"/>
      <c r="BE2225" s="1"/>
    </row>
    <row r="2226" spans="1:57" x14ac:dyDescent="0.25">
      <c r="A2226" s="1"/>
      <c r="H2226" s="1"/>
      <c r="O2226" s="1"/>
      <c r="V2226" s="1"/>
      <c r="AC2226" s="1"/>
      <c r="AJ2226" s="1"/>
      <c r="AQ2226" s="1"/>
      <c r="AX2226" s="1"/>
      <c r="BE2226" s="1"/>
    </row>
    <row r="2227" spans="1:57" x14ac:dyDescent="0.25">
      <c r="A2227" s="1"/>
      <c r="H2227" s="1"/>
      <c r="O2227" s="1"/>
      <c r="V2227" s="1"/>
      <c r="AC2227" s="1"/>
      <c r="AJ2227" s="1"/>
      <c r="AQ2227" s="1"/>
      <c r="AX2227" s="1"/>
      <c r="BE2227" s="1"/>
    </row>
    <row r="2228" spans="1:57" x14ac:dyDescent="0.25">
      <c r="A2228" s="1"/>
      <c r="H2228" s="1"/>
      <c r="O2228" s="1"/>
      <c r="V2228" s="1"/>
      <c r="AC2228" s="1"/>
      <c r="AJ2228" s="1"/>
      <c r="AQ2228" s="1"/>
      <c r="AX2228" s="1"/>
      <c r="BE2228" s="1"/>
    </row>
    <row r="2229" spans="1:57" x14ac:dyDescent="0.25">
      <c r="A2229" s="1"/>
      <c r="H2229" s="1"/>
      <c r="O2229" s="1"/>
      <c r="V2229" s="1"/>
      <c r="AC2229" s="1"/>
      <c r="AJ2229" s="1"/>
      <c r="AQ2229" s="1"/>
      <c r="AX2229" s="1"/>
      <c r="BE2229" s="1"/>
    </row>
    <row r="2230" spans="1:57" x14ac:dyDescent="0.25">
      <c r="A2230" s="1"/>
      <c r="H2230" s="1"/>
      <c r="O2230" s="1"/>
      <c r="V2230" s="1"/>
      <c r="AC2230" s="1"/>
      <c r="AJ2230" s="1"/>
      <c r="AQ2230" s="1"/>
      <c r="AX2230" s="1"/>
      <c r="BE2230" s="1"/>
    </row>
    <row r="2231" spans="1:57" x14ac:dyDescent="0.25">
      <c r="A2231" s="1"/>
      <c r="H2231" s="1"/>
      <c r="O2231" s="1"/>
      <c r="V2231" s="1"/>
      <c r="AC2231" s="1"/>
      <c r="AJ2231" s="1"/>
      <c r="AQ2231" s="1"/>
      <c r="AX2231" s="1"/>
      <c r="BE2231" s="1"/>
    </row>
    <row r="2232" spans="1:57" x14ac:dyDescent="0.25">
      <c r="A2232" s="1"/>
      <c r="H2232" s="1"/>
      <c r="O2232" s="1"/>
      <c r="V2232" s="1"/>
      <c r="AC2232" s="1"/>
      <c r="AJ2232" s="1"/>
      <c r="AQ2232" s="1"/>
      <c r="AX2232" s="1"/>
      <c r="BE2232" s="1"/>
    </row>
    <row r="2233" spans="1:57" x14ac:dyDescent="0.25">
      <c r="A2233" s="1"/>
      <c r="H2233" s="1"/>
      <c r="O2233" s="1"/>
      <c r="V2233" s="1"/>
      <c r="AC2233" s="1"/>
      <c r="AJ2233" s="1"/>
      <c r="AQ2233" s="1"/>
      <c r="AX2233" s="1"/>
      <c r="BE2233" s="1"/>
    </row>
    <row r="2234" spans="1:57" x14ac:dyDescent="0.25">
      <c r="A2234" s="1"/>
      <c r="H2234" s="1"/>
      <c r="O2234" s="1"/>
      <c r="V2234" s="1"/>
      <c r="AC2234" s="1"/>
      <c r="AJ2234" s="1"/>
      <c r="AQ2234" s="1"/>
      <c r="AX2234" s="1"/>
      <c r="BE2234" s="1"/>
    </row>
    <row r="2235" spans="1:57" x14ac:dyDescent="0.25">
      <c r="A2235" s="1"/>
      <c r="H2235" s="1"/>
      <c r="O2235" s="1"/>
      <c r="V2235" s="1"/>
      <c r="AC2235" s="1"/>
      <c r="AJ2235" s="1"/>
      <c r="AQ2235" s="1"/>
      <c r="AX2235" s="1"/>
      <c r="BE2235" s="1"/>
    </row>
    <row r="2236" spans="1:57" x14ac:dyDescent="0.25">
      <c r="A2236" s="1"/>
      <c r="H2236" s="1"/>
      <c r="O2236" s="1"/>
      <c r="V2236" s="1"/>
      <c r="AC2236" s="1"/>
      <c r="AJ2236" s="1"/>
      <c r="AQ2236" s="1"/>
      <c r="AX2236" s="1"/>
      <c r="BE2236" s="1"/>
    </row>
    <row r="2237" spans="1:57" x14ac:dyDescent="0.25">
      <c r="A2237" s="1"/>
      <c r="H2237" s="1"/>
      <c r="O2237" s="1"/>
      <c r="V2237" s="1"/>
      <c r="AC2237" s="1"/>
      <c r="AJ2237" s="1"/>
      <c r="AQ2237" s="1"/>
      <c r="AX2237" s="1"/>
      <c r="BE2237" s="1"/>
    </row>
    <row r="2238" spans="1:57" x14ac:dyDescent="0.25">
      <c r="A2238" s="1"/>
      <c r="H2238" s="1"/>
      <c r="O2238" s="1"/>
      <c r="V2238" s="1"/>
      <c r="AC2238" s="1"/>
      <c r="AJ2238" s="1"/>
      <c r="AQ2238" s="1"/>
      <c r="AX2238" s="1"/>
      <c r="BE2238" s="1"/>
    </row>
    <row r="2239" spans="1:57" x14ac:dyDescent="0.25">
      <c r="A2239" s="1"/>
      <c r="H2239" s="1"/>
      <c r="O2239" s="1"/>
      <c r="V2239" s="1"/>
      <c r="AC2239" s="1"/>
      <c r="AJ2239" s="1"/>
      <c r="AQ2239" s="1"/>
      <c r="AX2239" s="1"/>
      <c r="BE2239" s="1"/>
    </row>
    <row r="2240" spans="1:57" x14ac:dyDescent="0.25">
      <c r="A2240" s="1"/>
      <c r="H2240" s="1"/>
      <c r="O2240" s="1"/>
      <c r="V2240" s="1"/>
      <c r="AC2240" s="1"/>
      <c r="AJ2240" s="1"/>
      <c r="AQ2240" s="1"/>
      <c r="AX2240" s="1"/>
      <c r="BE2240" s="1"/>
    </row>
    <row r="2241" spans="1:57" x14ac:dyDescent="0.25">
      <c r="A2241" s="1"/>
      <c r="H2241" s="1"/>
      <c r="O2241" s="1"/>
      <c r="V2241" s="1"/>
      <c r="AC2241" s="1"/>
      <c r="AJ2241" s="1"/>
      <c r="AQ2241" s="1"/>
      <c r="AX2241" s="1"/>
      <c r="BE2241" s="1"/>
    </row>
    <row r="2242" spans="1:57" x14ac:dyDescent="0.25">
      <c r="A2242" s="1"/>
      <c r="H2242" s="1"/>
      <c r="O2242" s="1"/>
      <c r="V2242" s="1"/>
      <c r="AC2242" s="1"/>
      <c r="AJ2242" s="1"/>
      <c r="AQ2242" s="1"/>
      <c r="AX2242" s="1"/>
      <c r="BE2242" s="1"/>
    </row>
    <row r="2243" spans="1:57" x14ac:dyDescent="0.25">
      <c r="A2243" s="1"/>
      <c r="H2243" s="1"/>
      <c r="O2243" s="1"/>
      <c r="V2243" s="1"/>
      <c r="AC2243" s="1"/>
      <c r="AJ2243" s="1"/>
      <c r="AQ2243" s="1"/>
      <c r="AX2243" s="1"/>
      <c r="BE2243" s="1"/>
    </row>
    <row r="2244" spans="1:57" x14ac:dyDescent="0.25">
      <c r="A2244" s="1"/>
      <c r="H2244" s="1"/>
      <c r="O2244" s="1"/>
      <c r="V2244" s="1"/>
      <c r="AC2244" s="1"/>
      <c r="AJ2244" s="1"/>
      <c r="AQ2244" s="1"/>
      <c r="AX2244" s="1"/>
      <c r="BE2244" s="1"/>
    </row>
    <row r="2245" spans="1:57" x14ac:dyDescent="0.25">
      <c r="A2245" s="1"/>
      <c r="H2245" s="1"/>
      <c r="O2245" s="1"/>
      <c r="V2245" s="1"/>
      <c r="AC2245" s="1"/>
      <c r="AJ2245" s="1"/>
      <c r="AQ2245" s="1"/>
      <c r="AX2245" s="1"/>
      <c r="BE2245" s="1"/>
    </row>
    <row r="2246" spans="1:57" x14ac:dyDescent="0.25">
      <c r="A2246" s="1"/>
      <c r="H2246" s="1"/>
      <c r="O2246" s="1"/>
      <c r="V2246" s="1"/>
      <c r="AC2246" s="1"/>
      <c r="AJ2246" s="1"/>
      <c r="AQ2246" s="1"/>
      <c r="AX2246" s="1"/>
      <c r="BE2246" s="1"/>
    </row>
    <row r="2247" spans="1:57" x14ac:dyDescent="0.25">
      <c r="A2247" s="1"/>
      <c r="H2247" s="1"/>
      <c r="O2247" s="1"/>
      <c r="V2247" s="1"/>
      <c r="AC2247" s="1"/>
      <c r="AJ2247" s="1"/>
      <c r="AQ2247" s="1"/>
      <c r="AX2247" s="1"/>
      <c r="BE2247" s="1"/>
    </row>
    <row r="2248" spans="1:57" x14ac:dyDescent="0.25">
      <c r="A2248" s="1"/>
      <c r="H2248" s="1"/>
      <c r="O2248" s="1"/>
      <c r="V2248" s="1"/>
      <c r="AC2248" s="1"/>
      <c r="AJ2248" s="1"/>
      <c r="AQ2248" s="1"/>
      <c r="AX2248" s="1"/>
      <c r="BE2248" s="1"/>
    </row>
    <row r="2249" spans="1:57" x14ac:dyDescent="0.25">
      <c r="A2249" s="1"/>
      <c r="H2249" s="1"/>
      <c r="O2249" s="1"/>
      <c r="V2249" s="1"/>
      <c r="AC2249" s="1"/>
      <c r="AJ2249" s="1"/>
      <c r="AQ2249" s="1"/>
      <c r="AX2249" s="1"/>
      <c r="BE2249" s="1"/>
    </row>
    <row r="2250" spans="1:57" x14ac:dyDescent="0.25">
      <c r="A2250" s="1"/>
      <c r="H2250" s="1"/>
      <c r="O2250" s="1"/>
      <c r="V2250" s="1"/>
      <c r="AC2250" s="1"/>
      <c r="AJ2250" s="1"/>
      <c r="AQ2250" s="1"/>
      <c r="AX2250" s="1"/>
      <c r="BE2250" s="1"/>
    </row>
    <row r="2251" spans="1:57" x14ac:dyDescent="0.25">
      <c r="A2251" s="1"/>
      <c r="H2251" s="1"/>
      <c r="O2251" s="1"/>
      <c r="V2251" s="1"/>
      <c r="AC2251" s="1"/>
      <c r="AJ2251" s="1"/>
      <c r="AQ2251" s="1"/>
      <c r="AX2251" s="1"/>
      <c r="BE2251" s="1"/>
    </row>
    <row r="2252" spans="1:57" x14ac:dyDescent="0.25">
      <c r="A2252" s="1"/>
      <c r="H2252" s="1"/>
      <c r="O2252" s="1"/>
      <c r="V2252" s="1"/>
      <c r="AC2252" s="1"/>
      <c r="AJ2252" s="1"/>
      <c r="AQ2252" s="1"/>
      <c r="AX2252" s="1"/>
      <c r="BE2252" s="1"/>
    </row>
    <row r="2253" spans="1:57" x14ac:dyDescent="0.25">
      <c r="A2253" s="1"/>
      <c r="H2253" s="1"/>
      <c r="O2253" s="1"/>
      <c r="V2253" s="1"/>
      <c r="AC2253" s="1"/>
      <c r="AJ2253" s="1"/>
      <c r="AQ2253" s="1"/>
      <c r="AX2253" s="1"/>
      <c r="BE2253" s="1"/>
    </row>
    <row r="2254" spans="1:57" x14ac:dyDescent="0.25">
      <c r="A2254" s="1"/>
      <c r="H2254" s="1"/>
      <c r="O2254" s="1"/>
      <c r="V2254" s="1"/>
      <c r="AC2254" s="1"/>
      <c r="AJ2254" s="1"/>
      <c r="AQ2254" s="1"/>
      <c r="AX2254" s="1"/>
      <c r="BE2254" s="1"/>
    </row>
    <row r="2255" spans="1:57" x14ac:dyDescent="0.25">
      <c r="A2255" s="1"/>
      <c r="H2255" s="1"/>
      <c r="O2255" s="1"/>
      <c r="V2255" s="1"/>
      <c r="AC2255" s="1"/>
      <c r="AJ2255" s="1"/>
      <c r="AQ2255" s="1"/>
      <c r="AX2255" s="1"/>
      <c r="BE2255" s="1"/>
    </row>
    <row r="2256" spans="1:57" x14ac:dyDescent="0.25">
      <c r="A2256" s="1"/>
      <c r="H2256" s="1"/>
      <c r="O2256" s="1"/>
      <c r="V2256" s="1"/>
      <c r="AC2256" s="1"/>
      <c r="AJ2256" s="1"/>
      <c r="AQ2256" s="1"/>
      <c r="AX2256" s="1"/>
      <c r="BE2256" s="1"/>
    </row>
    <row r="2257" spans="1:57" x14ac:dyDescent="0.25">
      <c r="A2257" s="1"/>
      <c r="H2257" s="1"/>
      <c r="O2257" s="1"/>
      <c r="V2257" s="1"/>
      <c r="AC2257" s="1"/>
      <c r="AJ2257" s="1"/>
      <c r="AQ2257" s="1"/>
      <c r="AX2257" s="1"/>
      <c r="BE2257" s="1"/>
    </row>
    <row r="2258" spans="1:57" x14ac:dyDescent="0.25">
      <c r="A2258" s="1"/>
      <c r="H2258" s="1"/>
      <c r="O2258" s="1"/>
      <c r="V2258" s="1"/>
      <c r="AC2258" s="1"/>
      <c r="AJ2258" s="1"/>
      <c r="AQ2258" s="1"/>
      <c r="AX2258" s="1"/>
      <c r="BE2258" s="1"/>
    </row>
    <row r="2259" spans="1:57" x14ac:dyDescent="0.25">
      <c r="A2259" s="1"/>
      <c r="H2259" s="1"/>
      <c r="O2259" s="1"/>
      <c r="V2259" s="1"/>
      <c r="AC2259" s="1"/>
      <c r="AJ2259" s="1"/>
      <c r="AQ2259" s="1"/>
      <c r="AX2259" s="1"/>
      <c r="BE2259" s="1"/>
    </row>
    <row r="2260" spans="1:57" x14ac:dyDescent="0.25">
      <c r="A2260" s="1"/>
      <c r="H2260" s="1"/>
      <c r="O2260" s="1"/>
      <c r="V2260" s="1"/>
      <c r="AC2260" s="1"/>
      <c r="AJ2260" s="1"/>
      <c r="AQ2260" s="1"/>
      <c r="AX2260" s="1"/>
      <c r="BE2260" s="1"/>
    </row>
    <row r="2261" spans="1:57" x14ac:dyDescent="0.25">
      <c r="A2261" s="1"/>
      <c r="H2261" s="1"/>
      <c r="O2261" s="1"/>
      <c r="V2261" s="1"/>
      <c r="AC2261" s="1"/>
      <c r="AJ2261" s="1"/>
      <c r="AQ2261" s="1"/>
      <c r="AX2261" s="1"/>
      <c r="BE2261" s="1"/>
    </row>
    <row r="2262" spans="1:57" x14ac:dyDescent="0.25">
      <c r="A2262" s="1"/>
      <c r="H2262" s="1"/>
      <c r="O2262" s="1"/>
      <c r="V2262" s="1"/>
      <c r="AC2262" s="1"/>
      <c r="AJ2262" s="1"/>
      <c r="AQ2262" s="1"/>
      <c r="AX2262" s="1"/>
      <c r="BE2262" s="1"/>
    </row>
    <row r="2263" spans="1:57" x14ac:dyDescent="0.25">
      <c r="A2263" s="1"/>
      <c r="H2263" s="1"/>
      <c r="O2263" s="1"/>
      <c r="V2263" s="1"/>
      <c r="AC2263" s="1"/>
      <c r="AJ2263" s="1"/>
      <c r="AQ2263" s="1"/>
      <c r="AX2263" s="1"/>
      <c r="BE2263" s="1"/>
    </row>
    <row r="2264" spans="1:57" x14ac:dyDescent="0.25">
      <c r="A2264" s="1"/>
      <c r="H2264" s="1"/>
      <c r="O2264" s="1"/>
      <c r="V2264" s="1"/>
      <c r="AC2264" s="1"/>
      <c r="AJ2264" s="1"/>
      <c r="AQ2264" s="1"/>
      <c r="AX2264" s="1"/>
      <c r="BE2264" s="1"/>
    </row>
    <row r="2265" spans="1:57" x14ac:dyDescent="0.25">
      <c r="A2265" s="1"/>
      <c r="H2265" s="1"/>
      <c r="O2265" s="1"/>
      <c r="V2265" s="1"/>
      <c r="AC2265" s="1"/>
      <c r="AJ2265" s="1"/>
      <c r="AQ2265" s="1"/>
      <c r="AX2265" s="1"/>
      <c r="BE2265" s="1"/>
    </row>
    <row r="2266" spans="1:57" x14ac:dyDescent="0.25">
      <c r="A2266" s="1"/>
      <c r="H2266" s="1"/>
      <c r="O2266" s="1"/>
      <c r="V2266" s="1"/>
      <c r="AC2266" s="1"/>
      <c r="AJ2266" s="1"/>
      <c r="AQ2266" s="1"/>
      <c r="AX2266" s="1"/>
      <c r="BE2266" s="1"/>
    </row>
    <row r="2267" spans="1:57" x14ac:dyDescent="0.25">
      <c r="A2267" s="1"/>
      <c r="H2267" s="1"/>
      <c r="O2267" s="1"/>
      <c r="V2267" s="1"/>
      <c r="AC2267" s="1"/>
      <c r="AJ2267" s="1"/>
      <c r="AQ2267" s="1"/>
      <c r="AX2267" s="1"/>
      <c r="BE2267" s="1"/>
    </row>
    <row r="2268" spans="1:57" x14ac:dyDescent="0.25">
      <c r="A2268" s="1"/>
      <c r="H2268" s="1"/>
      <c r="O2268" s="1"/>
      <c r="V2268" s="1"/>
      <c r="AC2268" s="1"/>
      <c r="AJ2268" s="1"/>
      <c r="AQ2268" s="1"/>
      <c r="AX2268" s="1"/>
      <c r="BE2268" s="1"/>
    </row>
    <row r="2269" spans="1:57" x14ac:dyDescent="0.25">
      <c r="A2269" s="1"/>
      <c r="H2269" s="1"/>
      <c r="O2269" s="1"/>
      <c r="V2269" s="1"/>
      <c r="AC2269" s="1"/>
      <c r="AJ2269" s="1"/>
      <c r="AQ2269" s="1"/>
      <c r="AX2269" s="1"/>
      <c r="BE2269" s="1"/>
    </row>
    <row r="2270" spans="1:57" x14ac:dyDescent="0.25">
      <c r="A2270" s="1"/>
      <c r="H2270" s="1"/>
      <c r="O2270" s="1"/>
      <c r="V2270" s="1"/>
      <c r="AC2270" s="1"/>
      <c r="AJ2270" s="1"/>
      <c r="AQ2270" s="1"/>
      <c r="AX2270" s="1"/>
      <c r="BE2270" s="1"/>
    </row>
    <row r="2271" spans="1:57" x14ac:dyDescent="0.25">
      <c r="A2271" s="1"/>
      <c r="H2271" s="1"/>
      <c r="O2271" s="1"/>
      <c r="V2271" s="1"/>
      <c r="AC2271" s="1"/>
      <c r="AJ2271" s="1"/>
      <c r="AQ2271" s="1"/>
      <c r="AX2271" s="1"/>
      <c r="BE2271" s="1"/>
    </row>
    <row r="2272" spans="1:57" x14ac:dyDescent="0.25">
      <c r="A2272" s="1"/>
      <c r="H2272" s="1"/>
      <c r="O2272" s="1"/>
      <c r="V2272" s="1"/>
      <c r="AC2272" s="1"/>
      <c r="AJ2272" s="1"/>
      <c r="AQ2272" s="1"/>
      <c r="AX2272" s="1"/>
      <c r="BE2272" s="1"/>
    </row>
    <row r="2273" spans="1:57" x14ac:dyDescent="0.25">
      <c r="A2273" s="1"/>
      <c r="H2273" s="1"/>
      <c r="O2273" s="1"/>
      <c r="V2273" s="1"/>
      <c r="AC2273" s="1"/>
      <c r="AJ2273" s="1"/>
      <c r="AQ2273" s="1"/>
      <c r="AX2273" s="1"/>
      <c r="BE2273" s="1"/>
    </row>
    <row r="2274" spans="1:57" x14ac:dyDescent="0.25">
      <c r="A2274" s="1"/>
      <c r="H2274" s="1"/>
      <c r="O2274" s="1"/>
      <c r="V2274" s="1"/>
      <c r="AC2274" s="1"/>
      <c r="AJ2274" s="1"/>
      <c r="AQ2274" s="1"/>
      <c r="AX2274" s="1"/>
      <c r="BE2274" s="1"/>
    </row>
    <row r="2275" spans="1:57" x14ac:dyDescent="0.25">
      <c r="A2275" s="1"/>
      <c r="H2275" s="1"/>
      <c r="O2275" s="1"/>
      <c r="V2275" s="1"/>
      <c r="AC2275" s="1"/>
      <c r="AJ2275" s="1"/>
      <c r="AQ2275" s="1"/>
      <c r="AX2275" s="1"/>
      <c r="BE2275" s="1"/>
    </row>
    <row r="2276" spans="1:57" x14ac:dyDescent="0.25">
      <c r="A2276" s="1"/>
      <c r="H2276" s="1"/>
      <c r="O2276" s="1"/>
      <c r="V2276" s="1"/>
      <c r="AC2276" s="1"/>
      <c r="AJ2276" s="1"/>
      <c r="AQ2276" s="1"/>
      <c r="AX2276" s="1"/>
      <c r="BE2276" s="1"/>
    </row>
    <row r="2277" spans="1:57" x14ac:dyDescent="0.25">
      <c r="A2277" s="1"/>
      <c r="H2277" s="1"/>
      <c r="O2277" s="1"/>
      <c r="V2277" s="1"/>
      <c r="AC2277" s="1"/>
      <c r="AJ2277" s="1"/>
      <c r="AQ2277" s="1"/>
      <c r="AX2277" s="1"/>
      <c r="BE2277" s="1"/>
    </row>
    <row r="2278" spans="1:57" x14ac:dyDescent="0.25">
      <c r="A2278" s="1"/>
      <c r="H2278" s="1"/>
      <c r="O2278" s="1"/>
      <c r="V2278" s="1"/>
      <c r="AC2278" s="1"/>
      <c r="AJ2278" s="1"/>
      <c r="AQ2278" s="1"/>
      <c r="AX2278" s="1"/>
      <c r="BE2278" s="1"/>
    </row>
    <row r="2279" spans="1:57" x14ac:dyDescent="0.25">
      <c r="A2279" s="1"/>
      <c r="H2279" s="1"/>
      <c r="O2279" s="1"/>
      <c r="V2279" s="1"/>
      <c r="AC2279" s="1"/>
      <c r="AJ2279" s="1"/>
      <c r="AQ2279" s="1"/>
      <c r="AX2279" s="1"/>
      <c r="BE2279" s="1"/>
    </row>
    <row r="2280" spans="1:57" x14ac:dyDescent="0.25">
      <c r="A2280" s="1"/>
      <c r="H2280" s="1"/>
      <c r="O2280" s="1"/>
      <c r="V2280" s="1"/>
      <c r="AC2280" s="1"/>
      <c r="AJ2280" s="1"/>
      <c r="AQ2280" s="1"/>
      <c r="AX2280" s="1"/>
      <c r="BE2280" s="1"/>
    </row>
    <row r="2281" spans="1:57" x14ac:dyDescent="0.25">
      <c r="A2281" s="1"/>
      <c r="H2281" s="1"/>
      <c r="O2281" s="1"/>
      <c r="V2281" s="1"/>
      <c r="AC2281" s="1"/>
      <c r="AJ2281" s="1"/>
      <c r="AQ2281" s="1"/>
      <c r="AX2281" s="1"/>
      <c r="BE2281" s="1"/>
    </row>
    <row r="2282" spans="1:57" x14ac:dyDescent="0.25">
      <c r="A2282" s="1"/>
      <c r="H2282" s="1"/>
      <c r="O2282" s="1"/>
      <c r="V2282" s="1"/>
      <c r="AC2282" s="1"/>
      <c r="AJ2282" s="1"/>
      <c r="AQ2282" s="1"/>
      <c r="AX2282" s="1"/>
      <c r="BE2282" s="1"/>
    </row>
    <row r="2283" spans="1:57" x14ac:dyDescent="0.25">
      <c r="A2283" s="1"/>
      <c r="H2283" s="1"/>
      <c r="O2283" s="1"/>
      <c r="V2283" s="1"/>
      <c r="AC2283" s="1"/>
      <c r="AJ2283" s="1"/>
      <c r="AQ2283" s="1"/>
      <c r="AX2283" s="1"/>
      <c r="BE2283" s="1"/>
    </row>
    <row r="2284" spans="1:57" x14ac:dyDescent="0.25">
      <c r="A2284" s="1"/>
      <c r="H2284" s="1"/>
      <c r="O2284" s="1"/>
      <c r="V2284" s="1"/>
      <c r="AC2284" s="1"/>
      <c r="AJ2284" s="1"/>
      <c r="AQ2284" s="1"/>
      <c r="AX2284" s="1"/>
      <c r="BE2284" s="1"/>
    </row>
    <row r="2285" spans="1:57" x14ac:dyDescent="0.25">
      <c r="A2285" s="1"/>
      <c r="H2285" s="1"/>
      <c r="O2285" s="1"/>
      <c r="V2285" s="1"/>
      <c r="AC2285" s="1"/>
      <c r="AJ2285" s="1"/>
      <c r="AQ2285" s="1"/>
      <c r="AX2285" s="1"/>
      <c r="BE2285" s="1"/>
    </row>
    <row r="2286" spans="1:57" x14ac:dyDescent="0.25">
      <c r="A2286" s="1"/>
      <c r="H2286" s="1"/>
      <c r="O2286" s="1"/>
      <c r="V2286" s="1"/>
      <c r="AC2286" s="1"/>
      <c r="AJ2286" s="1"/>
      <c r="AQ2286" s="1"/>
      <c r="AX2286" s="1"/>
      <c r="BE2286" s="1"/>
    </row>
    <row r="2287" spans="1:57" x14ac:dyDescent="0.25">
      <c r="A2287" s="1"/>
      <c r="H2287" s="1"/>
      <c r="O2287" s="1"/>
      <c r="V2287" s="1"/>
      <c r="AC2287" s="1"/>
      <c r="AJ2287" s="1"/>
      <c r="AQ2287" s="1"/>
      <c r="AX2287" s="1"/>
      <c r="BE2287" s="1"/>
    </row>
    <row r="2288" spans="1:57" x14ac:dyDescent="0.25">
      <c r="A2288" s="1"/>
      <c r="H2288" s="1"/>
      <c r="O2288" s="1"/>
      <c r="V2288" s="1"/>
      <c r="AC2288" s="1"/>
      <c r="AJ2288" s="1"/>
      <c r="AQ2288" s="1"/>
      <c r="AX2288" s="1"/>
      <c r="BE2288" s="1"/>
    </row>
    <row r="2289" spans="1:57" x14ac:dyDescent="0.25">
      <c r="A2289" s="1"/>
      <c r="H2289" s="1"/>
      <c r="O2289" s="1"/>
      <c r="V2289" s="1"/>
      <c r="AC2289" s="1"/>
      <c r="AJ2289" s="1"/>
      <c r="AQ2289" s="1"/>
      <c r="AX2289" s="1"/>
      <c r="BE2289" s="1"/>
    </row>
    <row r="2290" spans="1:57" x14ac:dyDescent="0.25">
      <c r="A2290" s="1"/>
      <c r="H2290" s="1"/>
      <c r="O2290" s="1"/>
      <c r="V2290" s="1"/>
      <c r="AC2290" s="1"/>
      <c r="AJ2290" s="1"/>
      <c r="AQ2290" s="1"/>
      <c r="AX2290" s="1"/>
      <c r="BE2290" s="1"/>
    </row>
    <row r="2291" spans="1:57" x14ac:dyDescent="0.25">
      <c r="A2291" s="1"/>
      <c r="H2291" s="1"/>
      <c r="O2291" s="1"/>
      <c r="V2291" s="1"/>
      <c r="AC2291" s="1"/>
      <c r="AJ2291" s="1"/>
      <c r="AQ2291" s="1"/>
      <c r="AX2291" s="1"/>
      <c r="BE2291" s="1"/>
    </row>
    <row r="2292" spans="1:57" x14ac:dyDescent="0.25">
      <c r="A2292" s="1"/>
      <c r="H2292" s="1"/>
      <c r="O2292" s="1"/>
      <c r="V2292" s="1"/>
      <c r="AC2292" s="1"/>
      <c r="AJ2292" s="1"/>
      <c r="AQ2292" s="1"/>
      <c r="AX2292" s="1"/>
      <c r="BE2292" s="1"/>
    </row>
    <row r="2293" spans="1:57" x14ac:dyDescent="0.25">
      <c r="A2293" s="1"/>
      <c r="H2293" s="1"/>
      <c r="O2293" s="1"/>
      <c r="V2293" s="1"/>
      <c r="AC2293" s="1"/>
      <c r="AJ2293" s="1"/>
      <c r="AQ2293" s="1"/>
      <c r="AX2293" s="1"/>
      <c r="BE2293" s="1"/>
    </row>
    <row r="2294" spans="1:57" x14ac:dyDescent="0.25">
      <c r="A2294" s="1"/>
      <c r="H2294" s="1"/>
      <c r="O2294" s="1"/>
      <c r="V2294" s="1"/>
      <c r="AC2294" s="1"/>
      <c r="AJ2294" s="1"/>
      <c r="AQ2294" s="1"/>
      <c r="AX2294" s="1"/>
      <c r="BE2294" s="1"/>
    </row>
    <row r="2295" spans="1:57" x14ac:dyDescent="0.25">
      <c r="A2295" s="1"/>
      <c r="H2295" s="1"/>
      <c r="O2295" s="1"/>
      <c r="V2295" s="1"/>
      <c r="AC2295" s="1"/>
      <c r="AJ2295" s="1"/>
      <c r="AQ2295" s="1"/>
      <c r="AX2295" s="1"/>
      <c r="BE2295" s="1"/>
    </row>
    <row r="2296" spans="1:57" x14ac:dyDescent="0.25">
      <c r="A2296" s="1"/>
      <c r="H2296" s="1"/>
      <c r="O2296" s="1"/>
      <c r="V2296" s="1"/>
      <c r="AC2296" s="1"/>
      <c r="AJ2296" s="1"/>
      <c r="AQ2296" s="1"/>
      <c r="AX2296" s="1"/>
      <c r="BE2296" s="1"/>
    </row>
    <row r="2297" spans="1:57" x14ac:dyDescent="0.25">
      <c r="A2297" s="1"/>
      <c r="H2297" s="1"/>
      <c r="O2297" s="1"/>
      <c r="V2297" s="1"/>
      <c r="AC2297" s="1"/>
      <c r="AJ2297" s="1"/>
      <c r="AQ2297" s="1"/>
      <c r="AX2297" s="1"/>
      <c r="BE2297" s="1"/>
    </row>
    <row r="2298" spans="1:57" x14ac:dyDescent="0.25">
      <c r="A2298" s="1"/>
      <c r="H2298" s="1"/>
      <c r="O2298" s="1"/>
      <c r="V2298" s="1"/>
      <c r="AC2298" s="1"/>
      <c r="AJ2298" s="1"/>
      <c r="AQ2298" s="1"/>
      <c r="AX2298" s="1"/>
      <c r="BE2298" s="1"/>
    </row>
    <row r="2299" spans="1:57" x14ac:dyDescent="0.25">
      <c r="A2299" s="1"/>
      <c r="H2299" s="1"/>
      <c r="O2299" s="1"/>
      <c r="V2299" s="1"/>
      <c r="AC2299" s="1"/>
      <c r="AJ2299" s="1"/>
      <c r="AQ2299" s="1"/>
      <c r="AX2299" s="1"/>
      <c r="BE2299" s="1"/>
    </row>
    <row r="2300" spans="1:57" x14ac:dyDescent="0.25">
      <c r="A2300" s="1"/>
      <c r="H2300" s="1"/>
      <c r="O2300" s="1"/>
      <c r="V2300" s="1"/>
      <c r="AC2300" s="1"/>
      <c r="AJ2300" s="1"/>
      <c r="AQ2300" s="1"/>
      <c r="AX2300" s="1"/>
      <c r="BE2300" s="1"/>
    </row>
    <row r="2301" spans="1:57" x14ac:dyDescent="0.25">
      <c r="A2301" s="1"/>
      <c r="H2301" s="1"/>
      <c r="O2301" s="1"/>
      <c r="V2301" s="1"/>
      <c r="AC2301" s="1"/>
      <c r="AJ2301" s="1"/>
      <c r="AQ2301" s="1"/>
      <c r="AX2301" s="1"/>
      <c r="BE2301" s="1"/>
    </row>
    <row r="2302" spans="1:57" x14ac:dyDescent="0.25">
      <c r="A2302" s="1"/>
      <c r="H2302" s="1"/>
      <c r="O2302" s="1"/>
      <c r="V2302" s="1"/>
      <c r="AC2302" s="1"/>
      <c r="AJ2302" s="1"/>
      <c r="AQ2302" s="1"/>
      <c r="AX2302" s="1"/>
      <c r="BE2302" s="1"/>
    </row>
    <row r="2303" spans="1:57" x14ac:dyDescent="0.25">
      <c r="A2303" s="1"/>
      <c r="H2303" s="1"/>
      <c r="O2303" s="1"/>
      <c r="V2303" s="1"/>
      <c r="AC2303" s="1"/>
      <c r="AJ2303" s="1"/>
      <c r="AQ2303" s="1"/>
      <c r="AX2303" s="1"/>
      <c r="BE2303" s="1"/>
    </row>
    <row r="2304" spans="1:57" x14ac:dyDescent="0.25">
      <c r="A2304" s="1"/>
      <c r="H2304" s="1"/>
      <c r="O2304" s="1"/>
      <c r="V2304" s="1"/>
      <c r="AC2304" s="1"/>
      <c r="AJ2304" s="1"/>
      <c r="AQ2304" s="1"/>
      <c r="AX2304" s="1"/>
      <c r="BE2304" s="1"/>
    </row>
    <row r="2305" spans="1:57" x14ac:dyDescent="0.25">
      <c r="A2305" s="1"/>
      <c r="H2305" s="1"/>
      <c r="O2305" s="1"/>
      <c r="V2305" s="1"/>
      <c r="AC2305" s="1"/>
      <c r="AJ2305" s="1"/>
      <c r="AQ2305" s="1"/>
      <c r="AX2305" s="1"/>
      <c r="BE2305" s="1"/>
    </row>
    <row r="2306" spans="1:57" x14ac:dyDescent="0.25">
      <c r="A2306" s="1"/>
      <c r="H2306" s="1"/>
      <c r="O2306" s="1"/>
      <c r="V2306" s="1"/>
      <c r="AC2306" s="1"/>
      <c r="AJ2306" s="1"/>
      <c r="AQ2306" s="1"/>
      <c r="AX2306" s="1"/>
      <c r="BE2306" s="1"/>
    </row>
    <row r="2307" spans="1:57" x14ac:dyDescent="0.25">
      <c r="A2307" s="1"/>
      <c r="H2307" s="1"/>
      <c r="O2307" s="1"/>
      <c r="V2307" s="1"/>
      <c r="AC2307" s="1"/>
      <c r="AJ2307" s="1"/>
      <c r="AQ2307" s="1"/>
      <c r="AX2307" s="1"/>
      <c r="BE2307" s="1"/>
    </row>
    <row r="2308" spans="1:57" x14ac:dyDescent="0.25">
      <c r="A2308" s="1"/>
      <c r="H2308" s="1"/>
      <c r="O2308" s="1"/>
      <c r="V2308" s="1"/>
      <c r="AC2308" s="1"/>
      <c r="AJ2308" s="1"/>
      <c r="AQ2308" s="1"/>
      <c r="AX2308" s="1"/>
      <c r="BE2308" s="1"/>
    </row>
    <row r="2309" spans="1:57" x14ac:dyDescent="0.25">
      <c r="A2309" s="1"/>
      <c r="H2309" s="1"/>
      <c r="O2309" s="1"/>
      <c r="V2309" s="1"/>
      <c r="AC2309" s="1"/>
      <c r="AJ2309" s="1"/>
      <c r="AQ2309" s="1"/>
      <c r="AX2309" s="1"/>
      <c r="BE2309" s="1"/>
    </row>
    <row r="2310" spans="1:57" x14ac:dyDescent="0.25">
      <c r="A2310" s="1"/>
      <c r="H2310" s="1"/>
      <c r="O2310" s="1"/>
      <c r="V2310" s="1"/>
      <c r="AC2310" s="1"/>
      <c r="AJ2310" s="1"/>
      <c r="AQ2310" s="1"/>
      <c r="AX2310" s="1"/>
      <c r="BE2310" s="1"/>
    </row>
    <row r="2311" spans="1:57" x14ac:dyDescent="0.25">
      <c r="A2311" s="1"/>
      <c r="H2311" s="1"/>
      <c r="O2311" s="1"/>
      <c r="V2311" s="1"/>
      <c r="AC2311" s="1"/>
      <c r="AJ2311" s="1"/>
      <c r="AQ2311" s="1"/>
      <c r="AX2311" s="1"/>
      <c r="BE2311" s="1"/>
    </row>
    <row r="2312" spans="1:57" x14ac:dyDescent="0.25">
      <c r="A2312" s="1"/>
      <c r="H2312" s="1"/>
      <c r="O2312" s="1"/>
      <c r="V2312" s="1"/>
      <c r="AC2312" s="1"/>
      <c r="AJ2312" s="1"/>
      <c r="AQ2312" s="1"/>
      <c r="AX2312" s="1"/>
      <c r="BE2312" s="1"/>
    </row>
    <row r="2313" spans="1:57" x14ac:dyDescent="0.25">
      <c r="A2313" s="1"/>
      <c r="H2313" s="1"/>
      <c r="O2313" s="1"/>
      <c r="V2313" s="1"/>
      <c r="AC2313" s="1"/>
      <c r="AJ2313" s="1"/>
      <c r="AQ2313" s="1"/>
      <c r="AX2313" s="1"/>
      <c r="BE2313" s="1"/>
    </row>
    <row r="2314" spans="1:57" x14ac:dyDescent="0.25">
      <c r="A2314" s="1"/>
      <c r="H2314" s="1"/>
      <c r="O2314" s="1"/>
      <c r="V2314" s="1"/>
      <c r="AC2314" s="1"/>
      <c r="AJ2314" s="1"/>
      <c r="AQ2314" s="1"/>
      <c r="AX2314" s="1"/>
      <c r="BE2314" s="1"/>
    </row>
    <row r="2315" spans="1:57" x14ac:dyDescent="0.25">
      <c r="A2315" s="1"/>
      <c r="H2315" s="1"/>
      <c r="O2315" s="1"/>
      <c r="V2315" s="1"/>
      <c r="AC2315" s="1"/>
      <c r="AJ2315" s="1"/>
      <c r="AQ2315" s="1"/>
      <c r="AX2315" s="1"/>
      <c r="BE2315" s="1"/>
    </row>
    <row r="2316" spans="1:57" x14ac:dyDescent="0.25">
      <c r="A2316" s="1"/>
      <c r="H2316" s="1"/>
      <c r="O2316" s="1"/>
      <c r="V2316" s="1"/>
      <c r="AC2316" s="1"/>
      <c r="AJ2316" s="1"/>
      <c r="AQ2316" s="1"/>
      <c r="AX2316" s="1"/>
      <c r="BE2316" s="1"/>
    </row>
    <row r="2317" spans="1:57" x14ac:dyDescent="0.25">
      <c r="A2317" s="1"/>
      <c r="H2317" s="1"/>
      <c r="O2317" s="1"/>
      <c r="V2317" s="1"/>
      <c r="AC2317" s="1"/>
      <c r="AJ2317" s="1"/>
      <c r="AQ2317" s="1"/>
      <c r="AX2317" s="1"/>
      <c r="BE2317" s="1"/>
    </row>
    <row r="2318" spans="1:57" x14ac:dyDescent="0.25">
      <c r="A2318" s="1"/>
      <c r="H2318" s="1"/>
      <c r="O2318" s="1"/>
      <c r="V2318" s="1"/>
      <c r="AC2318" s="1"/>
      <c r="AJ2318" s="1"/>
      <c r="AQ2318" s="1"/>
      <c r="AX2318" s="1"/>
      <c r="BE2318" s="1"/>
    </row>
    <row r="2319" spans="1:57" x14ac:dyDescent="0.25">
      <c r="A2319" s="1"/>
      <c r="H2319" s="1"/>
      <c r="O2319" s="1"/>
      <c r="V2319" s="1"/>
      <c r="AC2319" s="1"/>
      <c r="AJ2319" s="1"/>
      <c r="AQ2319" s="1"/>
      <c r="AX2319" s="1"/>
      <c r="BE2319" s="1"/>
    </row>
    <row r="2320" spans="1:57" x14ac:dyDescent="0.25">
      <c r="A2320" s="1"/>
      <c r="H2320" s="1"/>
      <c r="O2320" s="1"/>
      <c r="V2320" s="1"/>
      <c r="AC2320" s="1"/>
      <c r="AJ2320" s="1"/>
      <c r="AQ2320" s="1"/>
      <c r="AX2320" s="1"/>
      <c r="BE2320" s="1"/>
    </row>
    <row r="2321" spans="1:57" x14ac:dyDescent="0.25">
      <c r="A2321" s="1"/>
      <c r="H2321" s="1"/>
      <c r="O2321" s="1"/>
      <c r="V2321" s="1"/>
      <c r="AC2321" s="1"/>
      <c r="AJ2321" s="1"/>
      <c r="AQ2321" s="1"/>
      <c r="AX2321" s="1"/>
      <c r="BE2321" s="1"/>
    </row>
    <row r="2322" spans="1:57" x14ac:dyDescent="0.25">
      <c r="A2322" s="1"/>
      <c r="H2322" s="1"/>
      <c r="O2322" s="1"/>
      <c r="V2322" s="1"/>
      <c r="AC2322" s="1"/>
      <c r="AJ2322" s="1"/>
      <c r="AQ2322" s="1"/>
      <c r="AX2322" s="1"/>
      <c r="BE2322" s="1"/>
    </row>
    <row r="2323" spans="1:57" x14ac:dyDescent="0.25">
      <c r="A2323" s="1"/>
      <c r="H2323" s="1"/>
      <c r="O2323" s="1"/>
      <c r="V2323" s="1"/>
      <c r="AC2323" s="1"/>
      <c r="AJ2323" s="1"/>
      <c r="AQ2323" s="1"/>
      <c r="AX2323" s="1"/>
      <c r="BE2323" s="1"/>
    </row>
    <row r="2324" spans="1:57" x14ac:dyDescent="0.25">
      <c r="A2324" s="1"/>
      <c r="H2324" s="1"/>
      <c r="O2324" s="1"/>
      <c r="V2324" s="1"/>
      <c r="AC2324" s="1"/>
      <c r="AJ2324" s="1"/>
      <c r="AQ2324" s="1"/>
      <c r="AX2324" s="1"/>
      <c r="BE2324" s="1"/>
    </row>
    <row r="2325" spans="1:57" x14ac:dyDescent="0.25">
      <c r="A2325" s="1"/>
      <c r="H2325" s="1"/>
      <c r="O2325" s="1"/>
      <c r="V2325" s="1"/>
      <c r="AC2325" s="1"/>
      <c r="AJ2325" s="1"/>
      <c r="AQ2325" s="1"/>
      <c r="AX2325" s="1"/>
      <c r="BE2325" s="1"/>
    </row>
    <row r="2326" spans="1:57" x14ac:dyDescent="0.25">
      <c r="A2326" s="1"/>
      <c r="H2326" s="1"/>
      <c r="O2326" s="1"/>
      <c r="V2326" s="1"/>
      <c r="AC2326" s="1"/>
      <c r="AJ2326" s="1"/>
      <c r="AQ2326" s="1"/>
      <c r="AX2326" s="1"/>
      <c r="BE2326" s="1"/>
    </row>
    <row r="2327" spans="1:57" x14ac:dyDescent="0.25">
      <c r="A2327" s="1"/>
      <c r="H2327" s="1"/>
      <c r="O2327" s="1"/>
      <c r="V2327" s="1"/>
      <c r="AC2327" s="1"/>
      <c r="AJ2327" s="1"/>
      <c r="AQ2327" s="1"/>
      <c r="AX2327" s="1"/>
      <c r="BE2327" s="1"/>
    </row>
    <row r="2328" spans="1:57" x14ac:dyDescent="0.25">
      <c r="A2328" s="1"/>
      <c r="H2328" s="1"/>
      <c r="O2328" s="1"/>
      <c r="V2328" s="1"/>
      <c r="AC2328" s="1"/>
      <c r="AJ2328" s="1"/>
      <c r="AQ2328" s="1"/>
      <c r="AX2328" s="1"/>
      <c r="BE2328" s="1"/>
    </row>
    <row r="2329" spans="1:57" x14ac:dyDescent="0.25">
      <c r="A2329" s="1"/>
      <c r="H2329" s="1"/>
      <c r="O2329" s="1"/>
      <c r="V2329" s="1"/>
      <c r="AC2329" s="1"/>
      <c r="AJ2329" s="1"/>
      <c r="AQ2329" s="1"/>
      <c r="AX2329" s="1"/>
      <c r="BE2329" s="1"/>
    </row>
    <row r="2330" spans="1:57" x14ac:dyDescent="0.25">
      <c r="A2330" s="1"/>
      <c r="H2330" s="1"/>
      <c r="O2330" s="1"/>
      <c r="V2330" s="1"/>
      <c r="AC2330" s="1"/>
      <c r="AJ2330" s="1"/>
      <c r="AQ2330" s="1"/>
      <c r="AX2330" s="1"/>
      <c r="BE2330" s="1"/>
    </row>
    <row r="2331" spans="1:57" x14ac:dyDescent="0.25">
      <c r="A2331" s="1"/>
      <c r="H2331" s="1"/>
      <c r="O2331" s="1"/>
      <c r="V2331" s="1"/>
      <c r="AC2331" s="1"/>
      <c r="AJ2331" s="1"/>
      <c r="AQ2331" s="1"/>
      <c r="AX2331" s="1"/>
      <c r="BE2331" s="1"/>
    </row>
    <row r="2332" spans="1:57" x14ac:dyDescent="0.25">
      <c r="A2332" s="1"/>
      <c r="H2332" s="1"/>
      <c r="O2332" s="1"/>
      <c r="V2332" s="1"/>
      <c r="AC2332" s="1"/>
      <c r="AJ2332" s="1"/>
      <c r="AQ2332" s="1"/>
      <c r="AX2332" s="1"/>
      <c r="BE2332" s="1"/>
    </row>
    <row r="2333" spans="1:57" x14ac:dyDescent="0.25">
      <c r="A2333" s="1"/>
      <c r="H2333" s="1"/>
      <c r="O2333" s="1"/>
      <c r="V2333" s="1"/>
      <c r="AC2333" s="1"/>
      <c r="AJ2333" s="1"/>
      <c r="AQ2333" s="1"/>
      <c r="AX2333" s="1"/>
      <c r="BE2333" s="1"/>
    </row>
    <row r="2334" spans="1:57" x14ac:dyDescent="0.25">
      <c r="A2334" s="1"/>
      <c r="H2334" s="1"/>
      <c r="O2334" s="1"/>
      <c r="V2334" s="1"/>
      <c r="AC2334" s="1"/>
      <c r="AJ2334" s="1"/>
      <c r="AQ2334" s="1"/>
      <c r="AX2334" s="1"/>
      <c r="BE2334" s="1"/>
    </row>
    <row r="2335" spans="1:57" x14ac:dyDescent="0.25">
      <c r="A2335" s="1"/>
      <c r="H2335" s="1"/>
      <c r="O2335" s="1"/>
      <c r="V2335" s="1"/>
      <c r="AC2335" s="1"/>
      <c r="AJ2335" s="1"/>
      <c r="AQ2335" s="1"/>
      <c r="AX2335" s="1"/>
      <c r="BE2335" s="1"/>
    </row>
    <row r="2336" spans="1:57" x14ac:dyDescent="0.25">
      <c r="A2336" s="1"/>
      <c r="H2336" s="1"/>
      <c r="O2336" s="1"/>
      <c r="V2336" s="1"/>
      <c r="AC2336" s="1"/>
      <c r="AJ2336" s="1"/>
      <c r="AQ2336" s="1"/>
      <c r="AX2336" s="1"/>
      <c r="BE2336" s="1"/>
    </row>
    <row r="2337" spans="1:57" x14ac:dyDescent="0.25">
      <c r="A2337" s="1"/>
      <c r="H2337" s="1"/>
      <c r="O2337" s="1"/>
      <c r="V2337" s="1"/>
      <c r="AC2337" s="1"/>
      <c r="AJ2337" s="1"/>
      <c r="AQ2337" s="1"/>
      <c r="AX2337" s="1"/>
      <c r="BE2337" s="1"/>
    </row>
    <row r="2338" spans="1:57" x14ac:dyDescent="0.25">
      <c r="A2338" s="1"/>
      <c r="H2338" s="1"/>
      <c r="O2338" s="1"/>
      <c r="V2338" s="1"/>
      <c r="AC2338" s="1"/>
      <c r="AJ2338" s="1"/>
      <c r="AQ2338" s="1"/>
      <c r="AX2338" s="1"/>
      <c r="BE2338" s="1"/>
    </row>
    <row r="2339" spans="1:57" x14ac:dyDescent="0.25">
      <c r="A2339" s="1"/>
      <c r="H2339" s="1"/>
      <c r="O2339" s="1"/>
      <c r="V2339" s="1"/>
      <c r="AC2339" s="1"/>
      <c r="AJ2339" s="1"/>
      <c r="AQ2339" s="1"/>
      <c r="AX2339" s="1"/>
      <c r="BE2339" s="1"/>
    </row>
    <row r="2340" spans="1:57" x14ac:dyDescent="0.25">
      <c r="A2340" s="1"/>
      <c r="H2340" s="1"/>
      <c r="O2340" s="1"/>
      <c r="V2340" s="1"/>
      <c r="AC2340" s="1"/>
      <c r="AJ2340" s="1"/>
      <c r="AQ2340" s="1"/>
      <c r="AX2340" s="1"/>
      <c r="BE2340" s="1"/>
    </row>
    <row r="2341" spans="1:57" x14ac:dyDescent="0.25">
      <c r="A2341" s="1"/>
      <c r="H2341" s="1"/>
      <c r="O2341" s="1"/>
      <c r="V2341" s="1"/>
      <c r="AC2341" s="1"/>
      <c r="AJ2341" s="1"/>
      <c r="AQ2341" s="1"/>
      <c r="AX2341" s="1"/>
      <c r="BE2341" s="1"/>
    </row>
    <row r="2342" spans="1:57" x14ac:dyDescent="0.25">
      <c r="A2342" s="1"/>
      <c r="H2342" s="1"/>
      <c r="O2342" s="1"/>
      <c r="V2342" s="1"/>
      <c r="AC2342" s="1"/>
      <c r="AJ2342" s="1"/>
      <c r="AQ2342" s="1"/>
      <c r="AX2342" s="1"/>
      <c r="BE2342" s="1"/>
    </row>
    <row r="2343" spans="1:57" x14ac:dyDescent="0.25">
      <c r="A2343" s="1"/>
      <c r="H2343" s="1"/>
      <c r="O2343" s="1"/>
      <c r="V2343" s="1"/>
      <c r="AC2343" s="1"/>
      <c r="AJ2343" s="1"/>
      <c r="AQ2343" s="1"/>
      <c r="AX2343" s="1"/>
      <c r="BE2343" s="1"/>
    </row>
    <row r="2344" spans="1:57" x14ac:dyDescent="0.25">
      <c r="A2344" s="1"/>
      <c r="H2344" s="1"/>
      <c r="O2344" s="1"/>
      <c r="V2344" s="1"/>
      <c r="AC2344" s="1"/>
      <c r="AJ2344" s="1"/>
      <c r="AQ2344" s="1"/>
      <c r="AX2344" s="1"/>
      <c r="BE2344" s="1"/>
    </row>
    <row r="2345" spans="1:57" x14ac:dyDescent="0.25">
      <c r="A2345" s="1"/>
      <c r="H2345" s="1"/>
      <c r="O2345" s="1"/>
      <c r="V2345" s="1"/>
      <c r="AC2345" s="1"/>
      <c r="AJ2345" s="1"/>
      <c r="AQ2345" s="1"/>
      <c r="AX2345" s="1"/>
      <c r="BE2345" s="1"/>
    </row>
    <row r="2346" spans="1:57" x14ac:dyDescent="0.25">
      <c r="A2346" s="1"/>
      <c r="H2346" s="1"/>
      <c r="O2346" s="1"/>
      <c r="V2346" s="1"/>
      <c r="AC2346" s="1"/>
      <c r="AJ2346" s="1"/>
      <c r="AQ2346" s="1"/>
      <c r="AX2346" s="1"/>
      <c r="BE2346" s="1"/>
    </row>
    <row r="2347" spans="1:57" x14ac:dyDescent="0.25">
      <c r="A2347" s="1"/>
      <c r="H2347" s="1"/>
      <c r="O2347" s="1"/>
      <c r="V2347" s="1"/>
      <c r="AC2347" s="1"/>
      <c r="AJ2347" s="1"/>
      <c r="AQ2347" s="1"/>
      <c r="AX2347" s="1"/>
      <c r="BE2347" s="1"/>
    </row>
    <row r="2348" spans="1:57" x14ac:dyDescent="0.25">
      <c r="A2348" s="1"/>
      <c r="H2348" s="1"/>
      <c r="O2348" s="1"/>
      <c r="V2348" s="1"/>
      <c r="AC2348" s="1"/>
      <c r="AJ2348" s="1"/>
      <c r="AQ2348" s="1"/>
      <c r="AX2348" s="1"/>
      <c r="BE2348" s="1"/>
    </row>
    <row r="2349" spans="1:57" x14ac:dyDescent="0.25">
      <c r="A2349" s="1"/>
      <c r="H2349" s="1"/>
      <c r="O2349" s="1"/>
      <c r="V2349" s="1"/>
      <c r="AC2349" s="1"/>
      <c r="AJ2349" s="1"/>
      <c r="AQ2349" s="1"/>
      <c r="AX2349" s="1"/>
      <c r="BE2349" s="1"/>
    </row>
    <row r="2350" spans="1:57" x14ac:dyDescent="0.25">
      <c r="A2350" s="1"/>
      <c r="H2350" s="1"/>
      <c r="O2350" s="1"/>
      <c r="V2350" s="1"/>
      <c r="AC2350" s="1"/>
      <c r="AJ2350" s="1"/>
      <c r="AQ2350" s="1"/>
      <c r="AX2350" s="1"/>
      <c r="BE2350" s="1"/>
    </row>
    <row r="2351" spans="1:57" x14ac:dyDescent="0.25">
      <c r="A2351" s="1"/>
      <c r="H2351" s="1"/>
      <c r="O2351" s="1"/>
      <c r="V2351" s="1"/>
      <c r="AC2351" s="1"/>
      <c r="AJ2351" s="1"/>
      <c r="AQ2351" s="1"/>
      <c r="AX2351" s="1"/>
      <c r="BE2351" s="1"/>
    </row>
    <row r="2352" spans="1:57" x14ac:dyDescent="0.25">
      <c r="A2352" s="1"/>
      <c r="H2352" s="1"/>
      <c r="O2352" s="1"/>
      <c r="V2352" s="1"/>
      <c r="AC2352" s="1"/>
      <c r="AJ2352" s="1"/>
      <c r="AQ2352" s="1"/>
      <c r="AX2352" s="1"/>
      <c r="BE2352" s="1"/>
    </row>
    <row r="2353" spans="1:57" x14ac:dyDescent="0.25">
      <c r="A2353" s="1"/>
      <c r="H2353" s="1"/>
      <c r="O2353" s="1"/>
      <c r="V2353" s="1"/>
      <c r="AC2353" s="1"/>
      <c r="AJ2353" s="1"/>
      <c r="AQ2353" s="1"/>
      <c r="AX2353" s="1"/>
      <c r="BE2353" s="1"/>
    </row>
    <row r="2354" spans="1:57" x14ac:dyDescent="0.25">
      <c r="A2354" s="1"/>
      <c r="H2354" s="1"/>
      <c r="O2354" s="1"/>
      <c r="V2354" s="1"/>
      <c r="AC2354" s="1"/>
      <c r="AJ2354" s="1"/>
      <c r="AQ2354" s="1"/>
      <c r="AX2354" s="1"/>
      <c r="BE2354" s="1"/>
    </row>
    <row r="2355" spans="1:57" x14ac:dyDescent="0.25">
      <c r="A2355" s="1"/>
      <c r="H2355" s="1"/>
      <c r="O2355" s="1"/>
      <c r="V2355" s="1"/>
      <c r="AC2355" s="1"/>
      <c r="AJ2355" s="1"/>
      <c r="AQ2355" s="1"/>
      <c r="AX2355" s="1"/>
      <c r="BE2355" s="1"/>
    </row>
    <row r="2356" spans="1:57" x14ac:dyDescent="0.25">
      <c r="A2356" s="1"/>
      <c r="H2356" s="1"/>
      <c r="O2356" s="1"/>
      <c r="V2356" s="1"/>
      <c r="AC2356" s="1"/>
      <c r="AJ2356" s="1"/>
      <c r="AQ2356" s="1"/>
      <c r="AX2356" s="1"/>
      <c r="BE2356" s="1"/>
    </row>
    <row r="2357" spans="1:57" x14ac:dyDescent="0.25">
      <c r="A2357" s="1"/>
      <c r="H2357" s="1"/>
      <c r="O2357" s="1"/>
      <c r="V2357" s="1"/>
      <c r="AC2357" s="1"/>
      <c r="AJ2357" s="1"/>
      <c r="AQ2357" s="1"/>
      <c r="AX2357" s="1"/>
      <c r="BE2357" s="1"/>
    </row>
    <row r="2358" spans="1:57" x14ac:dyDescent="0.25">
      <c r="A2358" s="1"/>
      <c r="H2358" s="1"/>
      <c r="O2358" s="1"/>
      <c r="V2358" s="1"/>
      <c r="AC2358" s="1"/>
      <c r="AJ2358" s="1"/>
      <c r="AQ2358" s="1"/>
      <c r="AX2358" s="1"/>
      <c r="BE2358" s="1"/>
    </row>
    <row r="2359" spans="1:57" x14ac:dyDescent="0.25">
      <c r="A2359" s="1"/>
      <c r="H2359" s="1"/>
      <c r="O2359" s="1"/>
      <c r="V2359" s="1"/>
      <c r="AC2359" s="1"/>
      <c r="AJ2359" s="1"/>
      <c r="AQ2359" s="1"/>
      <c r="AX2359" s="1"/>
      <c r="BE2359" s="1"/>
    </row>
    <row r="2360" spans="1:57" x14ac:dyDescent="0.25">
      <c r="A2360" s="1"/>
      <c r="H2360" s="1"/>
      <c r="O2360" s="1"/>
      <c r="V2360" s="1"/>
      <c r="AC2360" s="1"/>
      <c r="AJ2360" s="1"/>
      <c r="AQ2360" s="1"/>
      <c r="AX2360" s="1"/>
      <c r="BE2360" s="1"/>
    </row>
    <row r="2361" spans="1:57" x14ac:dyDescent="0.25">
      <c r="A2361" s="1"/>
      <c r="H2361" s="1"/>
      <c r="O2361" s="1"/>
      <c r="V2361" s="1"/>
      <c r="AC2361" s="1"/>
      <c r="AJ2361" s="1"/>
      <c r="AQ2361" s="1"/>
      <c r="AX2361" s="1"/>
      <c r="BE2361" s="1"/>
    </row>
    <row r="2362" spans="1:57" x14ac:dyDescent="0.25">
      <c r="A2362" s="1"/>
      <c r="H2362" s="1"/>
      <c r="O2362" s="1"/>
      <c r="V2362" s="1"/>
      <c r="AC2362" s="1"/>
      <c r="AJ2362" s="1"/>
      <c r="AQ2362" s="1"/>
      <c r="AX2362" s="1"/>
      <c r="BE2362" s="1"/>
    </row>
    <row r="2363" spans="1:57" x14ac:dyDescent="0.25">
      <c r="A2363" s="1"/>
      <c r="H2363" s="1"/>
      <c r="O2363" s="1"/>
      <c r="V2363" s="1"/>
      <c r="AC2363" s="1"/>
      <c r="AJ2363" s="1"/>
      <c r="AQ2363" s="1"/>
      <c r="AX2363" s="1"/>
      <c r="BE2363" s="1"/>
    </row>
    <row r="2364" spans="1:57" x14ac:dyDescent="0.25">
      <c r="A2364" s="1"/>
      <c r="H2364" s="1"/>
      <c r="O2364" s="1"/>
      <c r="V2364" s="1"/>
      <c r="AC2364" s="1"/>
      <c r="AJ2364" s="1"/>
      <c r="AQ2364" s="1"/>
      <c r="AX2364" s="1"/>
      <c r="BE2364" s="1"/>
    </row>
    <row r="2365" spans="1:57" x14ac:dyDescent="0.25">
      <c r="A2365" s="1"/>
      <c r="H2365" s="1"/>
      <c r="O2365" s="1"/>
      <c r="V2365" s="1"/>
      <c r="AC2365" s="1"/>
      <c r="AJ2365" s="1"/>
      <c r="AQ2365" s="1"/>
      <c r="AX2365" s="1"/>
      <c r="BE2365" s="1"/>
    </row>
    <row r="2366" spans="1:57" x14ac:dyDescent="0.25">
      <c r="A2366" s="1"/>
      <c r="H2366" s="1"/>
      <c r="O2366" s="1"/>
      <c r="V2366" s="1"/>
      <c r="AC2366" s="1"/>
      <c r="AJ2366" s="1"/>
      <c r="AQ2366" s="1"/>
      <c r="AX2366" s="1"/>
      <c r="BE2366" s="1"/>
    </row>
    <row r="2367" spans="1:57" x14ac:dyDescent="0.25">
      <c r="A2367" s="1"/>
      <c r="H2367" s="1"/>
      <c r="O2367" s="1"/>
      <c r="V2367" s="1"/>
      <c r="AC2367" s="1"/>
      <c r="AJ2367" s="1"/>
      <c r="AQ2367" s="1"/>
      <c r="AX2367" s="1"/>
      <c r="BE2367" s="1"/>
    </row>
    <row r="2368" spans="1:57" x14ac:dyDescent="0.25">
      <c r="A2368" s="1"/>
      <c r="H2368" s="1"/>
      <c r="O2368" s="1"/>
      <c r="V2368" s="1"/>
      <c r="AC2368" s="1"/>
      <c r="AJ2368" s="1"/>
      <c r="AQ2368" s="1"/>
      <c r="AX2368" s="1"/>
      <c r="BE2368" s="1"/>
    </row>
    <row r="2369" spans="1:57" x14ac:dyDescent="0.25">
      <c r="A2369" s="1"/>
      <c r="H2369" s="1"/>
      <c r="O2369" s="1"/>
      <c r="V2369" s="1"/>
      <c r="AC2369" s="1"/>
      <c r="AJ2369" s="1"/>
      <c r="AQ2369" s="1"/>
      <c r="AX2369" s="1"/>
      <c r="BE2369" s="1"/>
    </row>
    <row r="2370" spans="1:57" x14ac:dyDescent="0.25">
      <c r="A2370" s="1"/>
      <c r="H2370" s="1"/>
      <c r="O2370" s="1"/>
      <c r="V2370" s="1"/>
      <c r="AC2370" s="1"/>
      <c r="AJ2370" s="1"/>
      <c r="AQ2370" s="1"/>
      <c r="AX2370" s="1"/>
      <c r="BE2370" s="1"/>
    </row>
    <row r="2371" spans="1:57" x14ac:dyDescent="0.25">
      <c r="A2371" s="1"/>
      <c r="H2371" s="1"/>
      <c r="O2371" s="1"/>
      <c r="V2371" s="1"/>
      <c r="AC2371" s="1"/>
      <c r="AJ2371" s="1"/>
      <c r="AQ2371" s="1"/>
      <c r="AX2371" s="1"/>
      <c r="BE2371" s="1"/>
    </row>
    <row r="2372" spans="1:57" x14ac:dyDescent="0.25">
      <c r="A2372" s="1"/>
      <c r="H2372" s="1"/>
      <c r="O2372" s="1"/>
      <c r="V2372" s="1"/>
      <c r="AC2372" s="1"/>
      <c r="AJ2372" s="1"/>
      <c r="AQ2372" s="1"/>
      <c r="AX2372" s="1"/>
      <c r="BE2372" s="1"/>
    </row>
    <row r="2373" spans="1:57" x14ac:dyDescent="0.25">
      <c r="A2373" s="1"/>
      <c r="H2373" s="1"/>
      <c r="O2373" s="1"/>
      <c r="V2373" s="1"/>
      <c r="AC2373" s="1"/>
      <c r="AJ2373" s="1"/>
      <c r="AQ2373" s="1"/>
      <c r="AX2373" s="1"/>
      <c r="BE2373" s="1"/>
    </row>
    <row r="2374" spans="1:57" x14ac:dyDescent="0.25">
      <c r="A2374" s="1"/>
      <c r="H2374" s="1"/>
      <c r="O2374" s="1"/>
      <c r="V2374" s="1"/>
      <c r="AC2374" s="1"/>
      <c r="AJ2374" s="1"/>
      <c r="AQ2374" s="1"/>
      <c r="AX2374" s="1"/>
      <c r="BE2374" s="1"/>
    </row>
    <row r="2375" spans="1:57" x14ac:dyDescent="0.25">
      <c r="A2375" s="1"/>
      <c r="H2375" s="1"/>
      <c r="O2375" s="1"/>
      <c r="V2375" s="1"/>
      <c r="AC2375" s="1"/>
      <c r="AJ2375" s="1"/>
      <c r="AQ2375" s="1"/>
      <c r="AX2375" s="1"/>
      <c r="BE2375" s="1"/>
    </row>
    <row r="2376" spans="1:57" x14ac:dyDescent="0.25">
      <c r="A2376" s="1"/>
      <c r="H2376" s="1"/>
      <c r="O2376" s="1"/>
      <c r="V2376" s="1"/>
      <c r="AC2376" s="1"/>
      <c r="AJ2376" s="1"/>
      <c r="AQ2376" s="1"/>
      <c r="AX2376" s="1"/>
      <c r="BE2376" s="1"/>
    </row>
    <row r="2377" spans="1:57" x14ac:dyDescent="0.25">
      <c r="A2377" s="1"/>
      <c r="H2377" s="1"/>
      <c r="O2377" s="1"/>
      <c r="V2377" s="1"/>
      <c r="AC2377" s="1"/>
      <c r="AJ2377" s="1"/>
      <c r="AQ2377" s="1"/>
      <c r="AX2377" s="1"/>
      <c r="BE2377" s="1"/>
    </row>
    <row r="2378" spans="1:57" x14ac:dyDescent="0.25">
      <c r="A2378" s="1"/>
      <c r="H2378" s="1"/>
      <c r="O2378" s="1"/>
      <c r="V2378" s="1"/>
      <c r="AC2378" s="1"/>
      <c r="AJ2378" s="1"/>
      <c r="AQ2378" s="1"/>
      <c r="AX2378" s="1"/>
      <c r="BE2378" s="1"/>
    </row>
    <row r="2379" spans="1:57" x14ac:dyDescent="0.25">
      <c r="A2379" s="1"/>
      <c r="H2379" s="1"/>
      <c r="O2379" s="1"/>
      <c r="V2379" s="1"/>
      <c r="AC2379" s="1"/>
      <c r="AJ2379" s="1"/>
      <c r="AQ2379" s="1"/>
      <c r="AX2379" s="1"/>
      <c r="BE2379" s="1"/>
    </row>
    <row r="2380" spans="1:57" x14ac:dyDescent="0.25">
      <c r="A2380" s="1"/>
      <c r="H2380" s="1"/>
      <c r="O2380" s="1"/>
      <c r="V2380" s="1"/>
      <c r="AC2380" s="1"/>
      <c r="AJ2380" s="1"/>
      <c r="AQ2380" s="1"/>
      <c r="AX2380" s="1"/>
      <c r="BE2380" s="1"/>
    </row>
    <row r="2381" spans="1:57" x14ac:dyDescent="0.25">
      <c r="A2381" s="1"/>
      <c r="H2381" s="1"/>
      <c r="O2381" s="1"/>
      <c r="V2381" s="1"/>
      <c r="AC2381" s="1"/>
      <c r="AJ2381" s="1"/>
      <c r="AQ2381" s="1"/>
      <c r="AX2381" s="1"/>
      <c r="BE2381" s="1"/>
    </row>
    <row r="2382" spans="1:57" x14ac:dyDescent="0.25">
      <c r="A2382" s="1"/>
      <c r="H2382" s="1"/>
      <c r="O2382" s="1"/>
      <c r="V2382" s="1"/>
      <c r="AC2382" s="1"/>
      <c r="AJ2382" s="1"/>
      <c r="AQ2382" s="1"/>
      <c r="AX2382" s="1"/>
      <c r="BE2382" s="1"/>
    </row>
    <row r="2383" spans="1:57" x14ac:dyDescent="0.25">
      <c r="A2383" s="1"/>
      <c r="H2383" s="1"/>
      <c r="O2383" s="1"/>
      <c r="V2383" s="1"/>
      <c r="AC2383" s="1"/>
      <c r="AJ2383" s="1"/>
      <c r="AQ2383" s="1"/>
      <c r="AX2383" s="1"/>
      <c r="BE2383" s="1"/>
    </row>
    <row r="2384" spans="1:57" x14ac:dyDescent="0.25">
      <c r="A2384" s="1"/>
      <c r="H2384" s="1"/>
      <c r="O2384" s="1"/>
      <c r="V2384" s="1"/>
      <c r="AC2384" s="1"/>
      <c r="AJ2384" s="1"/>
      <c r="AQ2384" s="1"/>
      <c r="AX2384" s="1"/>
      <c r="BE2384" s="1"/>
    </row>
    <row r="2385" spans="1:57" x14ac:dyDescent="0.25">
      <c r="A2385" s="1"/>
      <c r="H2385" s="1"/>
      <c r="O2385" s="1"/>
      <c r="V2385" s="1"/>
      <c r="AC2385" s="1"/>
      <c r="AJ2385" s="1"/>
      <c r="AQ2385" s="1"/>
      <c r="AX2385" s="1"/>
      <c r="BE2385" s="1"/>
    </row>
    <row r="2386" spans="1:57" x14ac:dyDescent="0.25">
      <c r="A2386" s="1"/>
      <c r="H2386" s="1"/>
      <c r="O2386" s="1"/>
      <c r="V2386" s="1"/>
      <c r="AC2386" s="1"/>
      <c r="AJ2386" s="1"/>
      <c r="AQ2386" s="1"/>
      <c r="AX2386" s="1"/>
      <c r="BE2386" s="1"/>
    </row>
    <row r="2387" spans="1:57" x14ac:dyDescent="0.25">
      <c r="A2387" s="1"/>
      <c r="H2387" s="1"/>
      <c r="O2387" s="1"/>
      <c r="V2387" s="1"/>
      <c r="AC2387" s="1"/>
      <c r="AJ2387" s="1"/>
      <c r="AQ2387" s="1"/>
      <c r="AX2387" s="1"/>
      <c r="BE2387" s="1"/>
    </row>
    <row r="2388" spans="1:57" x14ac:dyDescent="0.25">
      <c r="A2388" s="1"/>
      <c r="H2388" s="1"/>
      <c r="O2388" s="1"/>
      <c r="V2388" s="1"/>
      <c r="AC2388" s="1"/>
      <c r="AJ2388" s="1"/>
      <c r="AQ2388" s="1"/>
      <c r="AX2388" s="1"/>
      <c r="BE2388" s="1"/>
    </row>
    <row r="2389" spans="1:57" x14ac:dyDescent="0.25">
      <c r="A2389" s="1"/>
      <c r="H2389" s="1"/>
      <c r="O2389" s="1"/>
      <c r="V2389" s="1"/>
      <c r="AC2389" s="1"/>
      <c r="AJ2389" s="1"/>
      <c r="AQ2389" s="1"/>
      <c r="AX2389" s="1"/>
      <c r="BE2389" s="1"/>
    </row>
    <row r="2390" spans="1:57" x14ac:dyDescent="0.25">
      <c r="A2390" s="1"/>
      <c r="H2390" s="1"/>
      <c r="O2390" s="1"/>
      <c r="V2390" s="1"/>
      <c r="AC2390" s="1"/>
      <c r="AJ2390" s="1"/>
      <c r="AQ2390" s="1"/>
      <c r="AX2390" s="1"/>
      <c r="BE2390" s="1"/>
    </row>
    <row r="2391" spans="1:57" x14ac:dyDescent="0.25">
      <c r="A2391" s="1"/>
      <c r="H2391" s="1"/>
      <c r="O2391" s="1"/>
      <c r="V2391" s="1"/>
      <c r="AC2391" s="1"/>
      <c r="AJ2391" s="1"/>
      <c r="AQ2391" s="1"/>
      <c r="AX2391" s="1"/>
      <c r="BE2391" s="1"/>
    </row>
    <row r="2392" spans="1:57" x14ac:dyDescent="0.25">
      <c r="A2392" s="1"/>
      <c r="H2392" s="1"/>
      <c r="O2392" s="1"/>
      <c r="V2392" s="1"/>
      <c r="AC2392" s="1"/>
      <c r="AJ2392" s="1"/>
      <c r="AQ2392" s="1"/>
      <c r="AX2392" s="1"/>
      <c r="BE2392" s="1"/>
    </row>
    <row r="2393" spans="1:57" x14ac:dyDescent="0.25">
      <c r="A2393" s="1"/>
      <c r="H2393" s="1"/>
      <c r="O2393" s="1"/>
      <c r="V2393" s="1"/>
      <c r="AC2393" s="1"/>
      <c r="AJ2393" s="1"/>
      <c r="AQ2393" s="1"/>
      <c r="AX2393" s="1"/>
      <c r="BE2393" s="1"/>
    </row>
    <row r="2394" spans="1:57" x14ac:dyDescent="0.25">
      <c r="A2394" s="1"/>
      <c r="H2394" s="1"/>
      <c r="O2394" s="1"/>
      <c r="V2394" s="1"/>
      <c r="AC2394" s="1"/>
      <c r="AJ2394" s="1"/>
      <c r="AQ2394" s="1"/>
      <c r="AX2394" s="1"/>
      <c r="BE2394" s="1"/>
    </row>
    <row r="2395" spans="1:57" x14ac:dyDescent="0.25">
      <c r="A2395" s="1"/>
      <c r="H2395" s="1"/>
      <c r="O2395" s="1"/>
      <c r="V2395" s="1"/>
      <c r="AC2395" s="1"/>
      <c r="AJ2395" s="1"/>
      <c r="AQ2395" s="1"/>
      <c r="AX2395" s="1"/>
      <c r="BE2395" s="1"/>
    </row>
    <row r="2396" spans="1:57" x14ac:dyDescent="0.25">
      <c r="A2396" s="1"/>
      <c r="H2396" s="1"/>
      <c r="O2396" s="1"/>
      <c r="V2396" s="1"/>
      <c r="AC2396" s="1"/>
      <c r="AJ2396" s="1"/>
      <c r="AQ2396" s="1"/>
      <c r="AX2396" s="1"/>
      <c r="BE2396" s="1"/>
    </row>
    <row r="2397" spans="1:57" x14ac:dyDescent="0.25">
      <c r="A2397" s="1"/>
      <c r="H2397" s="1"/>
      <c r="O2397" s="1"/>
      <c r="V2397" s="1"/>
      <c r="AC2397" s="1"/>
      <c r="AJ2397" s="1"/>
      <c r="AQ2397" s="1"/>
      <c r="AX2397" s="1"/>
      <c r="BE2397" s="1"/>
    </row>
    <row r="2398" spans="1:57" x14ac:dyDescent="0.25">
      <c r="A2398" s="1"/>
      <c r="H2398" s="1"/>
      <c r="O2398" s="1"/>
      <c r="V2398" s="1"/>
      <c r="AC2398" s="1"/>
      <c r="AJ2398" s="1"/>
      <c r="AQ2398" s="1"/>
      <c r="AX2398" s="1"/>
      <c r="BE2398" s="1"/>
    </row>
    <row r="2399" spans="1:57" x14ac:dyDescent="0.25">
      <c r="A2399" s="1"/>
      <c r="H2399" s="1"/>
      <c r="O2399" s="1"/>
      <c r="V2399" s="1"/>
      <c r="AC2399" s="1"/>
      <c r="AJ2399" s="1"/>
      <c r="AQ2399" s="1"/>
      <c r="AX2399" s="1"/>
      <c r="BE2399" s="1"/>
    </row>
    <row r="2400" spans="1:57" x14ac:dyDescent="0.25">
      <c r="A2400" s="1"/>
      <c r="H2400" s="1"/>
      <c r="O2400" s="1"/>
      <c r="V2400" s="1"/>
      <c r="AC2400" s="1"/>
      <c r="AJ2400" s="1"/>
      <c r="AQ2400" s="1"/>
      <c r="AX2400" s="1"/>
      <c r="BE2400" s="1"/>
    </row>
    <row r="2401" spans="1:57" x14ac:dyDescent="0.25">
      <c r="A2401" s="1"/>
      <c r="H2401" s="1"/>
      <c r="O2401" s="1"/>
      <c r="V2401" s="1"/>
      <c r="AC2401" s="1"/>
      <c r="AJ2401" s="1"/>
      <c r="AQ2401" s="1"/>
      <c r="AX2401" s="1"/>
      <c r="BE2401" s="1"/>
    </row>
    <row r="2402" spans="1:57" x14ac:dyDescent="0.25">
      <c r="A2402" s="1"/>
      <c r="H2402" s="1"/>
      <c r="O2402" s="1"/>
      <c r="V2402" s="1"/>
      <c r="AC2402" s="1"/>
      <c r="AJ2402" s="1"/>
      <c r="AQ2402" s="1"/>
      <c r="AX2402" s="1"/>
      <c r="BE2402" s="1"/>
    </row>
    <row r="2403" spans="1:57" x14ac:dyDescent="0.25">
      <c r="A2403" s="1"/>
      <c r="H2403" s="1"/>
      <c r="O2403" s="1"/>
      <c r="V2403" s="1"/>
      <c r="AC2403" s="1"/>
      <c r="AJ2403" s="1"/>
      <c r="AQ2403" s="1"/>
      <c r="AX2403" s="1"/>
      <c r="BE2403" s="1"/>
    </row>
    <row r="2404" spans="1:57" x14ac:dyDescent="0.25">
      <c r="A2404" s="1"/>
      <c r="H2404" s="1"/>
      <c r="O2404" s="1"/>
      <c r="V2404" s="1"/>
      <c r="AC2404" s="1"/>
      <c r="AJ2404" s="1"/>
      <c r="AQ2404" s="1"/>
      <c r="AX2404" s="1"/>
      <c r="BE2404" s="1"/>
    </row>
    <row r="2405" spans="1:57" x14ac:dyDescent="0.25">
      <c r="A2405" s="1"/>
      <c r="H2405" s="1"/>
      <c r="O2405" s="1"/>
      <c r="V2405" s="1"/>
      <c r="AC2405" s="1"/>
      <c r="AJ2405" s="1"/>
      <c r="AQ2405" s="1"/>
      <c r="AX2405" s="1"/>
      <c r="BE2405" s="1"/>
    </row>
    <row r="2406" spans="1:57" x14ac:dyDescent="0.25">
      <c r="A2406" s="1"/>
      <c r="H2406" s="1"/>
      <c r="O2406" s="1"/>
      <c r="V2406" s="1"/>
      <c r="AC2406" s="1"/>
      <c r="AJ2406" s="1"/>
      <c r="AQ2406" s="1"/>
      <c r="AX2406" s="1"/>
      <c r="BE2406" s="1"/>
    </row>
    <row r="2407" spans="1:57" x14ac:dyDescent="0.25">
      <c r="A2407" s="1"/>
      <c r="H2407" s="1"/>
      <c r="O2407" s="1"/>
      <c r="V2407" s="1"/>
      <c r="AC2407" s="1"/>
      <c r="AJ2407" s="1"/>
      <c r="AQ2407" s="1"/>
      <c r="AX2407" s="1"/>
      <c r="BE2407" s="1"/>
    </row>
    <row r="2408" spans="1:57" x14ac:dyDescent="0.25">
      <c r="A2408" s="1"/>
      <c r="H2408" s="1"/>
      <c r="O2408" s="1"/>
      <c r="V2408" s="1"/>
      <c r="AC2408" s="1"/>
      <c r="AJ2408" s="1"/>
      <c r="AQ2408" s="1"/>
      <c r="AX2408" s="1"/>
      <c r="BE2408" s="1"/>
    </row>
    <row r="2409" spans="1:57" x14ac:dyDescent="0.25">
      <c r="A2409" s="1"/>
      <c r="H2409" s="1"/>
      <c r="O2409" s="1"/>
      <c r="V2409" s="1"/>
      <c r="AC2409" s="1"/>
      <c r="AJ2409" s="1"/>
      <c r="AQ2409" s="1"/>
      <c r="AX2409" s="1"/>
      <c r="BE2409" s="1"/>
    </row>
    <row r="2410" spans="1:57" x14ac:dyDescent="0.25">
      <c r="A2410" s="1"/>
      <c r="H2410" s="1"/>
      <c r="O2410" s="1"/>
      <c r="V2410" s="1"/>
      <c r="AC2410" s="1"/>
      <c r="AJ2410" s="1"/>
      <c r="AQ2410" s="1"/>
      <c r="AX2410" s="1"/>
      <c r="BE2410" s="1"/>
    </row>
    <row r="2411" spans="1:57" x14ac:dyDescent="0.25">
      <c r="A2411" s="1"/>
      <c r="H2411" s="1"/>
      <c r="O2411" s="1"/>
      <c r="V2411" s="1"/>
      <c r="AC2411" s="1"/>
      <c r="AJ2411" s="1"/>
      <c r="AQ2411" s="1"/>
      <c r="AX2411" s="1"/>
      <c r="BE2411" s="1"/>
    </row>
    <row r="2412" spans="1:57" x14ac:dyDescent="0.25">
      <c r="A2412" s="1"/>
      <c r="H2412" s="1"/>
      <c r="O2412" s="1"/>
      <c r="V2412" s="1"/>
      <c r="AC2412" s="1"/>
      <c r="AJ2412" s="1"/>
      <c r="AQ2412" s="1"/>
      <c r="AX2412" s="1"/>
      <c r="BE2412" s="1"/>
    </row>
    <row r="2413" spans="1:57" x14ac:dyDescent="0.25">
      <c r="A2413" s="1"/>
      <c r="H2413" s="1"/>
      <c r="O2413" s="1"/>
      <c r="V2413" s="1"/>
      <c r="AC2413" s="1"/>
      <c r="AJ2413" s="1"/>
      <c r="AQ2413" s="1"/>
      <c r="AX2413" s="1"/>
      <c r="BE2413" s="1"/>
    </row>
    <row r="2414" spans="1:57" x14ac:dyDescent="0.25">
      <c r="A2414" s="1"/>
      <c r="H2414" s="1"/>
      <c r="O2414" s="1"/>
      <c r="V2414" s="1"/>
      <c r="AC2414" s="1"/>
      <c r="AJ2414" s="1"/>
      <c r="AQ2414" s="1"/>
      <c r="AX2414" s="1"/>
      <c r="BE2414" s="1"/>
    </row>
    <row r="2415" spans="1:57" x14ac:dyDescent="0.25">
      <c r="A2415" s="1"/>
      <c r="H2415" s="1"/>
      <c r="O2415" s="1"/>
      <c r="V2415" s="1"/>
      <c r="AC2415" s="1"/>
      <c r="AJ2415" s="1"/>
      <c r="AQ2415" s="1"/>
      <c r="AX2415" s="1"/>
      <c r="BE2415" s="1"/>
    </row>
    <row r="2416" spans="1:57" x14ac:dyDescent="0.25">
      <c r="A2416" s="1"/>
      <c r="H2416" s="1"/>
      <c r="O2416" s="1"/>
      <c r="V2416" s="1"/>
      <c r="AC2416" s="1"/>
      <c r="AJ2416" s="1"/>
      <c r="AQ2416" s="1"/>
      <c r="AX2416" s="1"/>
      <c r="BE2416" s="1"/>
    </row>
    <row r="2417" spans="1:57" x14ac:dyDescent="0.25">
      <c r="A2417" s="1"/>
      <c r="H2417" s="1"/>
      <c r="O2417" s="1"/>
      <c r="V2417" s="1"/>
      <c r="AC2417" s="1"/>
      <c r="AJ2417" s="1"/>
      <c r="AQ2417" s="1"/>
      <c r="AX2417" s="1"/>
      <c r="BE2417" s="1"/>
    </row>
    <row r="2418" spans="1:57" x14ac:dyDescent="0.25">
      <c r="A2418" s="1"/>
      <c r="H2418" s="1"/>
      <c r="O2418" s="1"/>
      <c r="V2418" s="1"/>
      <c r="AC2418" s="1"/>
      <c r="AJ2418" s="1"/>
      <c r="AQ2418" s="1"/>
      <c r="AX2418" s="1"/>
      <c r="BE2418" s="1"/>
    </row>
    <row r="2419" spans="1:57" x14ac:dyDescent="0.25">
      <c r="A2419" s="1"/>
      <c r="H2419" s="1"/>
      <c r="O2419" s="1"/>
      <c r="V2419" s="1"/>
      <c r="AC2419" s="1"/>
      <c r="AJ2419" s="1"/>
      <c r="AQ2419" s="1"/>
      <c r="AX2419" s="1"/>
      <c r="BE2419" s="1"/>
    </row>
    <row r="2420" spans="1:57" x14ac:dyDescent="0.25">
      <c r="A2420" s="1"/>
      <c r="H2420" s="1"/>
      <c r="O2420" s="1"/>
      <c r="V2420" s="1"/>
      <c r="AC2420" s="1"/>
      <c r="AJ2420" s="1"/>
      <c r="AQ2420" s="1"/>
      <c r="AX2420" s="1"/>
      <c r="BE2420" s="1"/>
    </row>
    <row r="2421" spans="1:57" x14ac:dyDescent="0.25">
      <c r="A2421" s="1"/>
      <c r="H2421" s="1"/>
      <c r="O2421" s="1"/>
      <c r="V2421" s="1"/>
      <c r="AC2421" s="1"/>
      <c r="AJ2421" s="1"/>
      <c r="AQ2421" s="1"/>
      <c r="AX2421" s="1"/>
      <c r="BE2421" s="1"/>
    </row>
    <row r="2422" spans="1:57" x14ac:dyDescent="0.25">
      <c r="A2422" s="1"/>
      <c r="H2422" s="1"/>
      <c r="O2422" s="1"/>
      <c r="V2422" s="1"/>
      <c r="AC2422" s="1"/>
      <c r="AJ2422" s="1"/>
      <c r="AQ2422" s="1"/>
      <c r="AX2422" s="1"/>
      <c r="BE2422" s="1"/>
    </row>
    <row r="2423" spans="1:57" x14ac:dyDescent="0.25">
      <c r="A2423" s="1"/>
      <c r="H2423" s="1"/>
      <c r="O2423" s="1"/>
      <c r="V2423" s="1"/>
      <c r="AC2423" s="1"/>
      <c r="AJ2423" s="1"/>
      <c r="AQ2423" s="1"/>
      <c r="AX2423" s="1"/>
      <c r="BE2423" s="1"/>
    </row>
    <row r="2424" spans="1:57" x14ac:dyDescent="0.25">
      <c r="A2424" s="1"/>
      <c r="H2424" s="1"/>
      <c r="O2424" s="1"/>
      <c r="V2424" s="1"/>
      <c r="AC2424" s="1"/>
      <c r="AJ2424" s="1"/>
      <c r="AQ2424" s="1"/>
      <c r="AX2424" s="1"/>
      <c r="BE2424" s="1"/>
    </row>
    <row r="2425" spans="1:57" x14ac:dyDescent="0.25">
      <c r="A2425" s="1"/>
      <c r="H2425" s="1"/>
      <c r="O2425" s="1"/>
      <c r="V2425" s="1"/>
      <c r="AC2425" s="1"/>
      <c r="AJ2425" s="1"/>
      <c r="AQ2425" s="1"/>
      <c r="AX2425" s="1"/>
      <c r="BE2425" s="1"/>
    </row>
    <row r="2426" spans="1:57" x14ac:dyDescent="0.25">
      <c r="A2426" s="1"/>
      <c r="H2426" s="1"/>
      <c r="O2426" s="1"/>
      <c r="V2426" s="1"/>
      <c r="AC2426" s="1"/>
      <c r="AJ2426" s="1"/>
      <c r="AQ2426" s="1"/>
      <c r="AX2426" s="1"/>
      <c r="BE2426" s="1"/>
    </row>
    <row r="2427" spans="1:57" x14ac:dyDescent="0.25">
      <c r="A2427" s="1"/>
      <c r="H2427" s="1"/>
      <c r="O2427" s="1"/>
      <c r="V2427" s="1"/>
      <c r="AC2427" s="1"/>
      <c r="AJ2427" s="1"/>
      <c r="AQ2427" s="1"/>
      <c r="AX2427" s="1"/>
      <c r="BE2427" s="1"/>
    </row>
    <row r="2428" spans="1:57" x14ac:dyDescent="0.25">
      <c r="A2428" s="1"/>
      <c r="H2428" s="1"/>
      <c r="O2428" s="1"/>
      <c r="V2428" s="1"/>
      <c r="AC2428" s="1"/>
      <c r="AJ2428" s="1"/>
      <c r="AQ2428" s="1"/>
      <c r="AX2428" s="1"/>
      <c r="BE2428" s="1"/>
    </row>
    <row r="2429" spans="1:57" x14ac:dyDescent="0.25">
      <c r="A2429" s="1"/>
      <c r="H2429" s="1"/>
      <c r="O2429" s="1"/>
      <c r="V2429" s="1"/>
      <c r="AC2429" s="1"/>
      <c r="AJ2429" s="1"/>
      <c r="AQ2429" s="1"/>
      <c r="AX2429" s="1"/>
      <c r="BE2429" s="1"/>
    </row>
    <row r="2430" spans="1:57" x14ac:dyDescent="0.25">
      <c r="A2430" s="1"/>
      <c r="H2430" s="1"/>
      <c r="O2430" s="1"/>
      <c r="V2430" s="1"/>
      <c r="AC2430" s="1"/>
      <c r="AJ2430" s="1"/>
      <c r="AQ2430" s="1"/>
      <c r="AX2430" s="1"/>
      <c r="BE2430" s="1"/>
    </row>
    <row r="2431" spans="1:57" x14ac:dyDescent="0.25">
      <c r="A2431" s="1"/>
      <c r="H2431" s="1"/>
      <c r="O2431" s="1"/>
      <c r="V2431" s="1"/>
      <c r="AC2431" s="1"/>
      <c r="AJ2431" s="1"/>
      <c r="AQ2431" s="1"/>
      <c r="AX2431" s="1"/>
      <c r="BE2431" s="1"/>
    </row>
    <row r="2432" spans="1:57" x14ac:dyDescent="0.25">
      <c r="A2432" s="1"/>
      <c r="H2432" s="1"/>
      <c r="O2432" s="1"/>
      <c r="V2432" s="1"/>
      <c r="AC2432" s="1"/>
      <c r="AJ2432" s="1"/>
      <c r="AQ2432" s="1"/>
      <c r="AX2432" s="1"/>
      <c r="BE2432" s="1"/>
    </row>
    <row r="2433" spans="1:57" x14ac:dyDescent="0.25">
      <c r="A2433" s="1"/>
      <c r="H2433" s="1"/>
      <c r="O2433" s="1"/>
      <c r="V2433" s="1"/>
      <c r="AC2433" s="1"/>
      <c r="AJ2433" s="1"/>
      <c r="AQ2433" s="1"/>
      <c r="AX2433" s="1"/>
      <c r="BE2433" s="1"/>
    </row>
    <row r="2434" spans="1:57" x14ac:dyDescent="0.25">
      <c r="A2434" s="1"/>
      <c r="H2434" s="1"/>
      <c r="O2434" s="1"/>
      <c r="V2434" s="1"/>
      <c r="AC2434" s="1"/>
      <c r="AJ2434" s="1"/>
      <c r="AQ2434" s="1"/>
      <c r="AX2434" s="1"/>
      <c r="BE2434" s="1"/>
    </row>
    <row r="2435" spans="1:57" x14ac:dyDescent="0.25">
      <c r="A2435" s="1"/>
      <c r="H2435" s="1"/>
      <c r="O2435" s="1"/>
      <c r="V2435" s="1"/>
      <c r="AC2435" s="1"/>
      <c r="AJ2435" s="1"/>
      <c r="AQ2435" s="1"/>
      <c r="AX2435" s="1"/>
      <c r="BE2435" s="1"/>
    </row>
    <row r="2436" spans="1:57" x14ac:dyDescent="0.25">
      <c r="A2436" s="1"/>
      <c r="H2436" s="1"/>
      <c r="O2436" s="1"/>
      <c r="V2436" s="1"/>
      <c r="AC2436" s="1"/>
      <c r="AJ2436" s="1"/>
      <c r="AQ2436" s="1"/>
      <c r="AX2436" s="1"/>
      <c r="BE2436" s="1"/>
    </row>
    <row r="2437" spans="1:57" x14ac:dyDescent="0.25">
      <c r="A2437" s="1"/>
      <c r="H2437" s="1"/>
      <c r="O2437" s="1"/>
      <c r="V2437" s="1"/>
      <c r="AC2437" s="1"/>
      <c r="AJ2437" s="1"/>
      <c r="AQ2437" s="1"/>
      <c r="AX2437" s="1"/>
      <c r="BE2437" s="1"/>
    </row>
    <row r="2438" spans="1:57" x14ac:dyDescent="0.25">
      <c r="A2438" s="1"/>
      <c r="H2438" s="1"/>
      <c r="O2438" s="1"/>
      <c r="V2438" s="1"/>
      <c r="AC2438" s="1"/>
      <c r="AJ2438" s="1"/>
      <c r="AQ2438" s="1"/>
      <c r="AX2438" s="1"/>
      <c r="BE2438" s="1"/>
    </row>
    <row r="2439" spans="1:57" x14ac:dyDescent="0.25">
      <c r="A2439" s="1"/>
      <c r="H2439" s="1"/>
      <c r="O2439" s="1"/>
      <c r="V2439" s="1"/>
      <c r="AC2439" s="1"/>
      <c r="AJ2439" s="1"/>
      <c r="AQ2439" s="1"/>
      <c r="AX2439" s="1"/>
      <c r="BE2439" s="1"/>
    </row>
    <row r="2440" spans="1:57" x14ac:dyDescent="0.25">
      <c r="A2440" s="1"/>
      <c r="H2440" s="1"/>
      <c r="O2440" s="1"/>
      <c r="V2440" s="1"/>
      <c r="AC2440" s="1"/>
      <c r="AJ2440" s="1"/>
      <c r="AQ2440" s="1"/>
      <c r="AX2440" s="1"/>
      <c r="BE2440" s="1"/>
    </row>
    <row r="2441" spans="1:57" x14ac:dyDescent="0.25">
      <c r="A2441" s="1"/>
      <c r="H2441" s="1"/>
      <c r="O2441" s="1"/>
      <c r="V2441" s="1"/>
      <c r="AC2441" s="1"/>
      <c r="AJ2441" s="1"/>
      <c r="AQ2441" s="1"/>
      <c r="AX2441" s="1"/>
      <c r="BE2441" s="1"/>
    </row>
    <row r="2442" spans="1:57" x14ac:dyDescent="0.25">
      <c r="A2442" s="1"/>
      <c r="H2442" s="1"/>
      <c r="O2442" s="1"/>
      <c r="V2442" s="1"/>
      <c r="AC2442" s="1"/>
      <c r="AJ2442" s="1"/>
      <c r="AQ2442" s="1"/>
      <c r="AX2442" s="1"/>
      <c r="BE2442" s="1"/>
    </row>
    <row r="2443" spans="1:57" x14ac:dyDescent="0.25">
      <c r="A2443" s="1"/>
      <c r="H2443" s="1"/>
      <c r="O2443" s="1"/>
      <c r="V2443" s="1"/>
      <c r="AC2443" s="1"/>
      <c r="AJ2443" s="1"/>
      <c r="AQ2443" s="1"/>
      <c r="AX2443" s="1"/>
      <c r="BE2443" s="1"/>
    </row>
    <row r="2444" spans="1:57" x14ac:dyDescent="0.25">
      <c r="A2444" s="1"/>
      <c r="H2444" s="1"/>
      <c r="O2444" s="1"/>
      <c r="V2444" s="1"/>
      <c r="AC2444" s="1"/>
      <c r="AJ2444" s="1"/>
      <c r="AQ2444" s="1"/>
      <c r="AX2444" s="1"/>
      <c r="BE2444" s="1"/>
    </row>
    <row r="2445" spans="1:57" x14ac:dyDescent="0.25">
      <c r="A2445" s="1"/>
      <c r="H2445" s="1"/>
      <c r="O2445" s="1"/>
      <c r="V2445" s="1"/>
      <c r="AC2445" s="1"/>
      <c r="AJ2445" s="1"/>
      <c r="AQ2445" s="1"/>
      <c r="AX2445" s="1"/>
      <c r="BE2445" s="1"/>
    </row>
    <row r="2446" spans="1:57" x14ac:dyDescent="0.25">
      <c r="A2446" s="1"/>
      <c r="H2446" s="1"/>
      <c r="O2446" s="1"/>
      <c r="V2446" s="1"/>
      <c r="AC2446" s="1"/>
      <c r="AJ2446" s="1"/>
      <c r="AQ2446" s="1"/>
      <c r="AX2446" s="1"/>
      <c r="BE2446" s="1"/>
    </row>
    <row r="2447" spans="1:57" x14ac:dyDescent="0.25">
      <c r="A2447" s="1"/>
      <c r="H2447" s="1"/>
      <c r="O2447" s="1"/>
      <c r="V2447" s="1"/>
      <c r="AC2447" s="1"/>
      <c r="AJ2447" s="1"/>
      <c r="AQ2447" s="1"/>
      <c r="AX2447" s="1"/>
      <c r="BE2447" s="1"/>
    </row>
    <row r="2448" spans="1:57" x14ac:dyDescent="0.25">
      <c r="A2448" s="1"/>
      <c r="H2448" s="1"/>
      <c r="O2448" s="1"/>
      <c r="V2448" s="1"/>
      <c r="AC2448" s="1"/>
      <c r="AJ2448" s="1"/>
      <c r="AQ2448" s="1"/>
      <c r="AX2448" s="1"/>
      <c r="BE2448" s="1"/>
    </row>
    <row r="2449" spans="1:57" x14ac:dyDescent="0.25">
      <c r="A2449" s="1"/>
      <c r="H2449" s="1"/>
      <c r="O2449" s="1"/>
      <c r="V2449" s="1"/>
      <c r="AC2449" s="1"/>
      <c r="AJ2449" s="1"/>
      <c r="AQ2449" s="1"/>
      <c r="AX2449" s="1"/>
      <c r="BE2449" s="1"/>
    </row>
    <row r="2450" spans="1:57" x14ac:dyDescent="0.25">
      <c r="A2450" s="1"/>
      <c r="H2450" s="1"/>
      <c r="O2450" s="1"/>
      <c r="V2450" s="1"/>
      <c r="AC2450" s="1"/>
      <c r="AJ2450" s="1"/>
      <c r="AQ2450" s="1"/>
      <c r="AX2450" s="1"/>
      <c r="BE2450" s="1"/>
    </row>
    <row r="2451" spans="1:57" x14ac:dyDescent="0.25">
      <c r="A2451" s="1"/>
      <c r="H2451" s="1"/>
      <c r="O2451" s="1"/>
      <c r="V2451" s="1"/>
      <c r="AC2451" s="1"/>
      <c r="AJ2451" s="1"/>
      <c r="AQ2451" s="1"/>
      <c r="AX2451" s="1"/>
      <c r="BE2451" s="1"/>
    </row>
    <row r="2452" spans="1:57" x14ac:dyDescent="0.25">
      <c r="A2452" s="1"/>
      <c r="H2452" s="1"/>
      <c r="O2452" s="1"/>
      <c r="V2452" s="1"/>
      <c r="AC2452" s="1"/>
      <c r="AJ2452" s="1"/>
      <c r="AQ2452" s="1"/>
      <c r="AX2452" s="1"/>
      <c r="BE2452" s="1"/>
    </row>
    <row r="2453" spans="1:57" x14ac:dyDescent="0.25">
      <c r="A2453" s="1"/>
      <c r="H2453" s="1"/>
      <c r="O2453" s="1"/>
      <c r="V2453" s="1"/>
      <c r="AC2453" s="1"/>
      <c r="AJ2453" s="1"/>
      <c r="AQ2453" s="1"/>
      <c r="AX2453" s="1"/>
      <c r="BE2453" s="1"/>
    </row>
    <row r="2454" spans="1:57" x14ac:dyDescent="0.25">
      <c r="A2454" s="1"/>
      <c r="H2454" s="1"/>
      <c r="O2454" s="1"/>
      <c r="V2454" s="1"/>
      <c r="AC2454" s="1"/>
      <c r="AJ2454" s="1"/>
      <c r="AQ2454" s="1"/>
      <c r="AX2454" s="1"/>
      <c r="BE2454" s="1"/>
    </row>
    <row r="2455" spans="1:57" x14ac:dyDescent="0.25">
      <c r="A2455" s="1"/>
      <c r="H2455" s="1"/>
      <c r="O2455" s="1"/>
      <c r="V2455" s="1"/>
      <c r="AC2455" s="1"/>
      <c r="AJ2455" s="1"/>
      <c r="AQ2455" s="1"/>
      <c r="AX2455" s="1"/>
      <c r="BE2455" s="1"/>
    </row>
    <row r="2456" spans="1:57" x14ac:dyDescent="0.25">
      <c r="A2456" s="1"/>
      <c r="H2456" s="1"/>
      <c r="O2456" s="1"/>
      <c r="V2456" s="1"/>
      <c r="AC2456" s="1"/>
      <c r="AJ2456" s="1"/>
      <c r="AQ2456" s="1"/>
      <c r="AX2456" s="1"/>
      <c r="BE2456" s="1"/>
    </row>
    <row r="2457" spans="1:57" x14ac:dyDescent="0.25">
      <c r="A2457" s="1"/>
      <c r="H2457" s="1"/>
      <c r="O2457" s="1"/>
      <c r="V2457" s="1"/>
      <c r="AC2457" s="1"/>
      <c r="AJ2457" s="1"/>
      <c r="AQ2457" s="1"/>
      <c r="AX2457" s="1"/>
      <c r="BE2457" s="1"/>
    </row>
    <row r="2458" spans="1:57" x14ac:dyDescent="0.25">
      <c r="A2458" s="1"/>
      <c r="H2458" s="1"/>
      <c r="O2458" s="1"/>
      <c r="V2458" s="1"/>
      <c r="AC2458" s="1"/>
      <c r="AJ2458" s="1"/>
      <c r="AQ2458" s="1"/>
      <c r="AX2458" s="1"/>
      <c r="BE2458" s="1"/>
    </row>
    <row r="2459" spans="1:57" x14ac:dyDescent="0.25">
      <c r="A2459" s="1"/>
      <c r="H2459" s="1"/>
      <c r="O2459" s="1"/>
      <c r="V2459" s="1"/>
      <c r="AC2459" s="1"/>
      <c r="AJ2459" s="1"/>
      <c r="AQ2459" s="1"/>
      <c r="AX2459" s="1"/>
      <c r="BE2459" s="1"/>
    </row>
    <row r="2460" spans="1:57" x14ac:dyDescent="0.25">
      <c r="A2460" s="1"/>
      <c r="H2460" s="1"/>
      <c r="O2460" s="1"/>
      <c r="V2460" s="1"/>
      <c r="AC2460" s="1"/>
      <c r="AJ2460" s="1"/>
      <c r="AQ2460" s="1"/>
      <c r="AX2460" s="1"/>
      <c r="BE2460" s="1"/>
    </row>
    <row r="2461" spans="1:57" x14ac:dyDescent="0.25">
      <c r="A2461" s="1"/>
      <c r="H2461" s="1"/>
      <c r="O2461" s="1"/>
      <c r="V2461" s="1"/>
      <c r="AC2461" s="1"/>
      <c r="AJ2461" s="1"/>
      <c r="AQ2461" s="1"/>
      <c r="AX2461" s="1"/>
      <c r="BE2461" s="1"/>
    </row>
    <row r="2462" spans="1:57" x14ac:dyDescent="0.25">
      <c r="A2462" s="1"/>
      <c r="H2462" s="1"/>
      <c r="O2462" s="1"/>
      <c r="V2462" s="1"/>
      <c r="AC2462" s="1"/>
      <c r="AJ2462" s="1"/>
      <c r="AQ2462" s="1"/>
      <c r="AX2462" s="1"/>
      <c r="BE2462" s="1"/>
    </row>
    <row r="2463" spans="1:57" x14ac:dyDescent="0.25">
      <c r="A2463" s="1"/>
      <c r="H2463" s="1"/>
      <c r="O2463" s="1"/>
      <c r="V2463" s="1"/>
      <c r="AC2463" s="1"/>
      <c r="AJ2463" s="1"/>
      <c r="AQ2463" s="1"/>
      <c r="AX2463" s="1"/>
      <c r="BE2463" s="1"/>
    </row>
    <row r="2464" spans="1:57" x14ac:dyDescent="0.25">
      <c r="A2464" s="1"/>
      <c r="H2464" s="1"/>
      <c r="O2464" s="1"/>
      <c r="V2464" s="1"/>
      <c r="AC2464" s="1"/>
      <c r="AJ2464" s="1"/>
      <c r="AQ2464" s="1"/>
      <c r="AX2464" s="1"/>
      <c r="BE2464" s="1"/>
    </row>
    <row r="2465" spans="1:57" x14ac:dyDescent="0.25">
      <c r="A2465" s="1"/>
      <c r="H2465" s="1"/>
      <c r="O2465" s="1"/>
      <c r="V2465" s="1"/>
      <c r="AC2465" s="1"/>
      <c r="AJ2465" s="1"/>
      <c r="AQ2465" s="1"/>
      <c r="AX2465" s="1"/>
      <c r="BE2465" s="1"/>
    </row>
    <row r="2466" spans="1:57" x14ac:dyDescent="0.25">
      <c r="A2466" s="1"/>
      <c r="H2466" s="1"/>
      <c r="O2466" s="1"/>
      <c r="V2466" s="1"/>
      <c r="AC2466" s="1"/>
      <c r="AJ2466" s="1"/>
      <c r="AQ2466" s="1"/>
      <c r="AX2466" s="1"/>
      <c r="BE2466" s="1"/>
    </row>
    <row r="2467" spans="1:57" x14ac:dyDescent="0.25">
      <c r="A2467" s="1"/>
      <c r="H2467" s="1"/>
      <c r="O2467" s="1"/>
      <c r="V2467" s="1"/>
      <c r="AC2467" s="1"/>
      <c r="AJ2467" s="1"/>
      <c r="AQ2467" s="1"/>
      <c r="AX2467" s="1"/>
      <c r="BE2467" s="1"/>
    </row>
    <row r="2468" spans="1:57" x14ac:dyDescent="0.25">
      <c r="A2468" s="1"/>
      <c r="H2468" s="1"/>
      <c r="O2468" s="1"/>
      <c r="V2468" s="1"/>
      <c r="AC2468" s="1"/>
      <c r="AJ2468" s="1"/>
      <c r="AQ2468" s="1"/>
      <c r="AX2468" s="1"/>
      <c r="BE2468" s="1"/>
    </row>
    <row r="2469" spans="1:57" x14ac:dyDescent="0.25">
      <c r="A2469" s="1"/>
      <c r="H2469" s="1"/>
      <c r="O2469" s="1"/>
      <c r="V2469" s="1"/>
      <c r="AC2469" s="1"/>
      <c r="AJ2469" s="1"/>
      <c r="AQ2469" s="1"/>
      <c r="AX2469" s="1"/>
      <c r="BE2469" s="1"/>
    </row>
    <row r="2470" spans="1:57" x14ac:dyDescent="0.25">
      <c r="A2470" s="1"/>
      <c r="H2470" s="1"/>
      <c r="O2470" s="1"/>
      <c r="V2470" s="1"/>
      <c r="AC2470" s="1"/>
      <c r="AJ2470" s="1"/>
      <c r="AQ2470" s="1"/>
      <c r="AX2470" s="1"/>
      <c r="BE2470" s="1"/>
    </row>
    <row r="2471" spans="1:57" x14ac:dyDescent="0.25">
      <c r="A2471" s="1"/>
      <c r="H2471" s="1"/>
      <c r="O2471" s="1"/>
      <c r="V2471" s="1"/>
      <c r="AC2471" s="1"/>
      <c r="AJ2471" s="1"/>
      <c r="AQ2471" s="1"/>
      <c r="AX2471" s="1"/>
      <c r="BE2471" s="1"/>
    </row>
    <row r="2472" spans="1:57" x14ac:dyDescent="0.25">
      <c r="A2472" s="1"/>
      <c r="H2472" s="1"/>
      <c r="O2472" s="1"/>
      <c r="V2472" s="1"/>
      <c r="AC2472" s="1"/>
      <c r="AJ2472" s="1"/>
      <c r="AQ2472" s="1"/>
      <c r="AX2472" s="1"/>
      <c r="BE2472" s="1"/>
    </row>
    <row r="2473" spans="1:57" x14ac:dyDescent="0.25">
      <c r="A2473" s="1"/>
      <c r="H2473" s="1"/>
      <c r="O2473" s="1"/>
      <c r="V2473" s="1"/>
      <c r="AC2473" s="1"/>
      <c r="AJ2473" s="1"/>
      <c r="AQ2473" s="1"/>
      <c r="AX2473" s="1"/>
      <c r="BE2473" s="1"/>
    </row>
    <row r="2474" spans="1:57" x14ac:dyDescent="0.25">
      <c r="A2474" s="1"/>
      <c r="H2474" s="1"/>
      <c r="O2474" s="1"/>
      <c r="V2474" s="1"/>
      <c r="AC2474" s="1"/>
      <c r="AJ2474" s="1"/>
      <c r="AQ2474" s="1"/>
      <c r="AX2474" s="1"/>
      <c r="BE2474" s="1"/>
    </row>
    <row r="2475" spans="1:57" x14ac:dyDescent="0.25">
      <c r="A2475" s="1"/>
      <c r="H2475" s="1"/>
      <c r="O2475" s="1"/>
      <c r="V2475" s="1"/>
      <c r="AC2475" s="1"/>
      <c r="AJ2475" s="1"/>
      <c r="AQ2475" s="1"/>
      <c r="AX2475" s="1"/>
      <c r="BE2475" s="1"/>
    </row>
    <row r="2476" spans="1:57" x14ac:dyDescent="0.25">
      <c r="A2476" s="1"/>
      <c r="H2476" s="1"/>
      <c r="O2476" s="1"/>
      <c r="V2476" s="1"/>
      <c r="AC2476" s="1"/>
      <c r="AJ2476" s="1"/>
      <c r="AQ2476" s="1"/>
      <c r="AX2476" s="1"/>
      <c r="BE2476" s="1"/>
    </row>
    <row r="2477" spans="1:57" x14ac:dyDescent="0.25">
      <c r="A2477" s="1"/>
      <c r="H2477" s="1"/>
      <c r="O2477" s="1"/>
      <c r="V2477" s="1"/>
      <c r="AC2477" s="1"/>
      <c r="AJ2477" s="1"/>
      <c r="AQ2477" s="1"/>
      <c r="AX2477" s="1"/>
      <c r="BE2477" s="1"/>
    </row>
    <row r="2478" spans="1:57" x14ac:dyDescent="0.25">
      <c r="A2478" s="1"/>
      <c r="H2478" s="1"/>
      <c r="O2478" s="1"/>
      <c r="V2478" s="1"/>
      <c r="AC2478" s="1"/>
      <c r="AJ2478" s="1"/>
      <c r="AQ2478" s="1"/>
      <c r="AX2478" s="1"/>
      <c r="BE2478" s="1"/>
    </row>
    <row r="2479" spans="1:57" x14ac:dyDescent="0.25">
      <c r="A2479" s="1"/>
      <c r="H2479" s="1"/>
      <c r="O2479" s="1"/>
      <c r="V2479" s="1"/>
      <c r="AC2479" s="1"/>
      <c r="AJ2479" s="1"/>
      <c r="AQ2479" s="1"/>
      <c r="AX2479" s="1"/>
      <c r="BE2479" s="1"/>
    </row>
    <row r="2480" spans="1:57" x14ac:dyDescent="0.25">
      <c r="A2480" s="1"/>
      <c r="H2480" s="1"/>
      <c r="O2480" s="1"/>
      <c r="V2480" s="1"/>
      <c r="AC2480" s="1"/>
      <c r="AJ2480" s="1"/>
      <c r="AQ2480" s="1"/>
      <c r="AX2480" s="1"/>
      <c r="BE2480" s="1"/>
    </row>
    <row r="2481" spans="1:57" x14ac:dyDescent="0.25">
      <c r="A2481" s="1"/>
      <c r="H2481" s="1"/>
      <c r="O2481" s="1"/>
      <c r="V2481" s="1"/>
      <c r="AC2481" s="1"/>
      <c r="AJ2481" s="1"/>
      <c r="AQ2481" s="1"/>
      <c r="AX2481" s="1"/>
      <c r="BE2481" s="1"/>
    </row>
    <row r="2482" spans="1:57" x14ac:dyDescent="0.25">
      <c r="A2482" s="1"/>
      <c r="H2482" s="1"/>
      <c r="O2482" s="1"/>
      <c r="V2482" s="1"/>
      <c r="AC2482" s="1"/>
      <c r="AJ2482" s="1"/>
      <c r="AQ2482" s="1"/>
      <c r="AX2482" s="1"/>
      <c r="BE2482" s="1"/>
    </row>
    <row r="2483" spans="1:57" x14ac:dyDescent="0.25">
      <c r="A2483" s="1"/>
      <c r="H2483" s="1"/>
      <c r="O2483" s="1"/>
      <c r="V2483" s="1"/>
      <c r="AC2483" s="1"/>
      <c r="AJ2483" s="1"/>
      <c r="AQ2483" s="1"/>
      <c r="AX2483" s="1"/>
      <c r="BE2483" s="1"/>
    </row>
    <row r="2484" spans="1:57" x14ac:dyDescent="0.25">
      <c r="A2484" s="1"/>
      <c r="H2484" s="1"/>
      <c r="O2484" s="1"/>
      <c r="V2484" s="1"/>
      <c r="AC2484" s="1"/>
      <c r="AJ2484" s="1"/>
      <c r="AQ2484" s="1"/>
      <c r="AX2484" s="1"/>
      <c r="BE2484" s="1"/>
    </row>
    <row r="2485" spans="1:57" x14ac:dyDescent="0.25">
      <c r="A2485" s="1"/>
      <c r="H2485" s="1"/>
      <c r="O2485" s="1"/>
      <c r="V2485" s="1"/>
      <c r="AC2485" s="1"/>
      <c r="AJ2485" s="1"/>
      <c r="AQ2485" s="1"/>
      <c r="AX2485" s="1"/>
      <c r="BE2485" s="1"/>
    </row>
    <row r="2486" spans="1:57" x14ac:dyDescent="0.25">
      <c r="A2486" s="1"/>
      <c r="H2486" s="1"/>
      <c r="O2486" s="1"/>
      <c r="V2486" s="1"/>
      <c r="AC2486" s="1"/>
      <c r="AJ2486" s="1"/>
      <c r="AQ2486" s="1"/>
      <c r="AX2486" s="1"/>
      <c r="BE2486" s="1"/>
    </row>
    <row r="2487" spans="1:57" x14ac:dyDescent="0.25">
      <c r="A2487" s="1"/>
      <c r="H2487" s="1"/>
      <c r="O2487" s="1"/>
      <c r="V2487" s="1"/>
      <c r="AC2487" s="1"/>
      <c r="AJ2487" s="1"/>
      <c r="AQ2487" s="1"/>
      <c r="AX2487" s="1"/>
      <c r="BE2487" s="1"/>
    </row>
    <row r="2488" spans="1:57" x14ac:dyDescent="0.25">
      <c r="A2488" s="1"/>
      <c r="H2488" s="1"/>
      <c r="O2488" s="1"/>
      <c r="V2488" s="1"/>
      <c r="AC2488" s="1"/>
      <c r="AJ2488" s="1"/>
      <c r="AQ2488" s="1"/>
      <c r="AX2488" s="1"/>
      <c r="BE2488" s="1"/>
    </row>
    <row r="2489" spans="1:57" x14ac:dyDescent="0.25">
      <c r="A2489" s="1"/>
      <c r="H2489" s="1"/>
      <c r="O2489" s="1"/>
      <c r="V2489" s="1"/>
      <c r="AC2489" s="1"/>
      <c r="AJ2489" s="1"/>
      <c r="AQ2489" s="1"/>
      <c r="AX2489" s="1"/>
      <c r="BE2489" s="1"/>
    </row>
    <row r="2490" spans="1:57" x14ac:dyDescent="0.25">
      <c r="A2490" s="1"/>
      <c r="H2490" s="1"/>
      <c r="O2490" s="1"/>
      <c r="V2490" s="1"/>
      <c r="AC2490" s="1"/>
      <c r="AJ2490" s="1"/>
      <c r="AQ2490" s="1"/>
      <c r="AX2490" s="1"/>
      <c r="BE2490" s="1"/>
    </row>
    <row r="2491" spans="1:57" x14ac:dyDescent="0.25">
      <c r="A2491" s="1"/>
      <c r="H2491" s="1"/>
      <c r="O2491" s="1"/>
      <c r="V2491" s="1"/>
      <c r="AC2491" s="1"/>
      <c r="AJ2491" s="1"/>
      <c r="AQ2491" s="1"/>
      <c r="AX2491" s="1"/>
      <c r="BE2491" s="1"/>
    </row>
    <row r="2492" spans="1:57" x14ac:dyDescent="0.25">
      <c r="A2492" s="1"/>
      <c r="H2492" s="1"/>
      <c r="O2492" s="1"/>
      <c r="V2492" s="1"/>
      <c r="AC2492" s="1"/>
      <c r="AJ2492" s="1"/>
      <c r="AQ2492" s="1"/>
      <c r="AX2492" s="1"/>
      <c r="BE2492" s="1"/>
    </row>
    <row r="2493" spans="1:57" x14ac:dyDescent="0.25">
      <c r="A2493" s="1"/>
      <c r="H2493" s="1"/>
      <c r="O2493" s="1"/>
      <c r="V2493" s="1"/>
      <c r="AC2493" s="1"/>
      <c r="AJ2493" s="1"/>
      <c r="AQ2493" s="1"/>
      <c r="AX2493" s="1"/>
      <c r="BE2493" s="1"/>
    </row>
    <row r="2494" spans="1:57" x14ac:dyDescent="0.25">
      <c r="A2494" s="1"/>
      <c r="H2494" s="1"/>
      <c r="O2494" s="1"/>
      <c r="V2494" s="1"/>
      <c r="AC2494" s="1"/>
      <c r="AJ2494" s="1"/>
      <c r="AQ2494" s="1"/>
      <c r="AX2494" s="1"/>
      <c r="BE2494" s="1"/>
    </row>
    <row r="2495" spans="1:57" x14ac:dyDescent="0.25">
      <c r="A2495" s="1"/>
      <c r="H2495" s="1"/>
      <c r="O2495" s="1"/>
      <c r="V2495" s="1"/>
      <c r="AC2495" s="1"/>
      <c r="AJ2495" s="1"/>
      <c r="AQ2495" s="1"/>
      <c r="AX2495" s="1"/>
      <c r="BE2495" s="1"/>
    </row>
    <row r="2496" spans="1:57" x14ac:dyDescent="0.25">
      <c r="A2496" s="1"/>
      <c r="H2496" s="1"/>
      <c r="O2496" s="1"/>
      <c r="V2496" s="1"/>
      <c r="AC2496" s="1"/>
      <c r="AJ2496" s="1"/>
      <c r="AQ2496" s="1"/>
      <c r="AX2496" s="1"/>
      <c r="BE2496" s="1"/>
    </row>
    <row r="2497" spans="1:57" x14ac:dyDescent="0.25">
      <c r="A2497" s="1"/>
      <c r="H2497" s="1"/>
      <c r="O2497" s="1"/>
      <c r="V2497" s="1"/>
      <c r="AC2497" s="1"/>
      <c r="AJ2497" s="1"/>
      <c r="AQ2497" s="1"/>
      <c r="AX2497" s="1"/>
      <c r="BE2497" s="1"/>
    </row>
    <row r="2498" spans="1:57" x14ac:dyDescent="0.25">
      <c r="A2498" s="1"/>
      <c r="H2498" s="1"/>
      <c r="O2498" s="1"/>
      <c r="V2498" s="1"/>
      <c r="AC2498" s="1"/>
      <c r="AJ2498" s="1"/>
      <c r="AQ2498" s="1"/>
      <c r="AX2498" s="1"/>
      <c r="BE2498" s="1"/>
    </row>
    <row r="2499" spans="1:57" x14ac:dyDescent="0.25">
      <c r="A2499" s="1"/>
      <c r="H2499" s="1"/>
      <c r="O2499" s="1"/>
      <c r="V2499" s="1"/>
      <c r="AC2499" s="1"/>
      <c r="AJ2499" s="1"/>
      <c r="AQ2499" s="1"/>
      <c r="AX2499" s="1"/>
      <c r="BE2499" s="1"/>
    </row>
    <row r="2500" spans="1:57" x14ac:dyDescent="0.25">
      <c r="A2500" s="1"/>
      <c r="H2500" s="1"/>
      <c r="O2500" s="1"/>
      <c r="V2500" s="1"/>
      <c r="AC2500" s="1"/>
      <c r="AJ2500" s="1"/>
      <c r="AQ2500" s="1"/>
      <c r="AX2500" s="1"/>
      <c r="BE2500" s="1"/>
    </row>
    <row r="2501" spans="1:57" x14ac:dyDescent="0.25">
      <c r="A2501" s="1"/>
      <c r="H2501" s="1"/>
      <c r="O2501" s="1"/>
      <c r="V2501" s="1"/>
      <c r="AC2501" s="1"/>
      <c r="AJ2501" s="1"/>
      <c r="AQ2501" s="1"/>
      <c r="AX2501" s="1"/>
      <c r="BE2501" s="1"/>
    </row>
    <row r="2502" spans="1:57" x14ac:dyDescent="0.25">
      <c r="A2502" s="1"/>
      <c r="H2502" s="1"/>
      <c r="O2502" s="1"/>
      <c r="V2502" s="1"/>
      <c r="AC2502" s="1"/>
      <c r="AJ2502" s="1"/>
      <c r="AQ2502" s="1"/>
      <c r="AX2502" s="1"/>
      <c r="BE2502" s="1"/>
    </row>
    <row r="2503" spans="1:57" x14ac:dyDescent="0.25">
      <c r="A2503" s="1"/>
      <c r="H2503" s="1"/>
      <c r="O2503" s="1"/>
      <c r="V2503" s="1"/>
      <c r="AC2503" s="1"/>
      <c r="AJ2503" s="1"/>
      <c r="AQ2503" s="1"/>
      <c r="AX2503" s="1"/>
      <c r="BE2503" s="1"/>
    </row>
    <row r="2504" spans="1:57" x14ac:dyDescent="0.25">
      <c r="A2504" s="1"/>
      <c r="H2504" s="1"/>
      <c r="O2504" s="1"/>
      <c r="V2504" s="1"/>
      <c r="AC2504" s="1"/>
      <c r="AJ2504" s="1"/>
      <c r="AQ2504" s="1"/>
      <c r="AX2504" s="1"/>
      <c r="BE2504" s="1"/>
    </row>
    <row r="2505" spans="1:57" x14ac:dyDescent="0.25">
      <c r="A2505" s="1"/>
      <c r="H2505" s="1"/>
      <c r="O2505" s="1"/>
      <c r="V2505" s="1"/>
      <c r="AC2505" s="1"/>
      <c r="AJ2505" s="1"/>
      <c r="AQ2505" s="1"/>
      <c r="AX2505" s="1"/>
      <c r="BE2505" s="1"/>
    </row>
    <row r="2506" spans="1:57" x14ac:dyDescent="0.25">
      <c r="A2506" s="1"/>
      <c r="H2506" s="1"/>
      <c r="O2506" s="1"/>
      <c r="V2506" s="1"/>
      <c r="AC2506" s="1"/>
      <c r="AJ2506" s="1"/>
      <c r="AQ2506" s="1"/>
      <c r="AX2506" s="1"/>
      <c r="BE2506" s="1"/>
    </row>
    <row r="2507" spans="1:57" x14ac:dyDescent="0.25">
      <c r="A2507" s="1"/>
      <c r="H2507" s="1"/>
      <c r="O2507" s="1"/>
      <c r="V2507" s="1"/>
      <c r="AC2507" s="1"/>
      <c r="AJ2507" s="1"/>
      <c r="AQ2507" s="1"/>
      <c r="AX2507" s="1"/>
      <c r="BE2507" s="1"/>
    </row>
    <row r="2508" spans="1:57" x14ac:dyDescent="0.25">
      <c r="A2508" s="1"/>
      <c r="H2508" s="1"/>
      <c r="O2508" s="1"/>
      <c r="V2508" s="1"/>
      <c r="AC2508" s="1"/>
      <c r="AJ2508" s="1"/>
      <c r="AQ2508" s="1"/>
      <c r="AX2508" s="1"/>
      <c r="BE2508" s="1"/>
    </row>
    <row r="2509" spans="1:57" x14ac:dyDescent="0.25">
      <c r="A2509" s="1"/>
      <c r="H2509" s="1"/>
      <c r="O2509" s="1"/>
      <c r="V2509" s="1"/>
      <c r="AC2509" s="1"/>
      <c r="AJ2509" s="1"/>
      <c r="AQ2509" s="1"/>
      <c r="AX2509" s="1"/>
      <c r="BE2509" s="1"/>
    </row>
    <row r="2510" spans="1:57" x14ac:dyDescent="0.25">
      <c r="A2510" s="1"/>
      <c r="H2510" s="1"/>
      <c r="O2510" s="1"/>
      <c r="V2510" s="1"/>
      <c r="AC2510" s="1"/>
      <c r="AJ2510" s="1"/>
      <c r="AQ2510" s="1"/>
      <c r="AX2510" s="1"/>
      <c r="BE2510" s="1"/>
    </row>
    <row r="2511" spans="1:57" x14ac:dyDescent="0.25">
      <c r="A2511" s="1"/>
      <c r="H2511" s="1"/>
      <c r="O2511" s="1"/>
      <c r="V2511" s="1"/>
      <c r="AC2511" s="1"/>
      <c r="AJ2511" s="1"/>
      <c r="AQ2511" s="1"/>
      <c r="AX2511" s="1"/>
      <c r="BE2511" s="1"/>
    </row>
    <row r="2512" spans="1:57" x14ac:dyDescent="0.25">
      <c r="A2512" s="1"/>
      <c r="H2512" s="1"/>
      <c r="O2512" s="1"/>
      <c r="V2512" s="1"/>
      <c r="AC2512" s="1"/>
      <c r="AJ2512" s="1"/>
      <c r="AQ2512" s="1"/>
      <c r="AX2512" s="1"/>
      <c r="BE2512" s="1"/>
    </row>
    <row r="2513" spans="1:57" x14ac:dyDescent="0.25">
      <c r="A2513" s="1"/>
      <c r="H2513" s="1"/>
      <c r="O2513" s="1"/>
      <c r="V2513" s="1"/>
      <c r="AC2513" s="1"/>
      <c r="AJ2513" s="1"/>
      <c r="AQ2513" s="1"/>
      <c r="AX2513" s="1"/>
      <c r="BE2513" s="1"/>
    </row>
    <row r="2514" spans="1:57" x14ac:dyDescent="0.25">
      <c r="A2514" s="1"/>
      <c r="H2514" s="1"/>
      <c r="O2514" s="1"/>
      <c r="V2514" s="1"/>
      <c r="AC2514" s="1"/>
      <c r="AJ2514" s="1"/>
      <c r="AQ2514" s="1"/>
      <c r="AX2514" s="1"/>
      <c r="BE2514" s="1"/>
    </row>
    <row r="2515" spans="1:57" x14ac:dyDescent="0.25">
      <c r="A2515" s="1"/>
      <c r="H2515" s="1"/>
      <c r="O2515" s="1"/>
      <c r="V2515" s="1"/>
      <c r="AC2515" s="1"/>
      <c r="AJ2515" s="1"/>
      <c r="AQ2515" s="1"/>
      <c r="AX2515" s="1"/>
      <c r="BE2515" s="1"/>
    </row>
    <row r="2516" spans="1:57" x14ac:dyDescent="0.25">
      <c r="A2516" s="1"/>
      <c r="H2516" s="1"/>
      <c r="O2516" s="1"/>
      <c r="V2516" s="1"/>
      <c r="AC2516" s="1"/>
      <c r="AJ2516" s="1"/>
      <c r="AQ2516" s="1"/>
      <c r="AX2516" s="1"/>
      <c r="BE2516" s="1"/>
    </row>
    <row r="2517" spans="1:57" x14ac:dyDescent="0.25">
      <c r="A2517" s="1"/>
      <c r="H2517" s="1"/>
      <c r="O2517" s="1"/>
      <c r="V2517" s="1"/>
      <c r="AC2517" s="1"/>
      <c r="AJ2517" s="1"/>
      <c r="AQ2517" s="1"/>
      <c r="AX2517" s="1"/>
      <c r="BE2517" s="1"/>
    </row>
    <row r="2518" spans="1:57" x14ac:dyDescent="0.25">
      <c r="A2518" s="1"/>
      <c r="H2518" s="1"/>
      <c r="O2518" s="1"/>
      <c r="V2518" s="1"/>
      <c r="AC2518" s="1"/>
      <c r="AJ2518" s="1"/>
      <c r="AQ2518" s="1"/>
      <c r="AX2518" s="1"/>
      <c r="BE2518" s="1"/>
    </row>
    <row r="2519" spans="1:57" x14ac:dyDescent="0.25">
      <c r="A2519" s="1"/>
      <c r="H2519" s="1"/>
      <c r="O2519" s="1"/>
      <c r="V2519" s="1"/>
      <c r="AC2519" s="1"/>
      <c r="AJ2519" s="1"/>
      <c r="AQ2519" s="1"/>
      <c r="AX2519" s="1"/>
      <c r="BE2519" s="1"/>
    </row>
    <row r="2520" spans="1:57" x14ac:dyDescent="0.25">
      <c r="A2520" s="1"/>
      <c r="H2520" s="1"/>
      <c r="O2520" s="1"/>
      <c r="V2520" s="1"/>
      <c r="AC2520" s="1"/>
      <c r="AJ2520" s="1"/>
      <c r="AQ2520" s="1"/>
      <c r="AX2520" s="1"/>
      <c r="BE2520" s="1"/>
    </row>
    <row r="2521" spans="1:57" x14ac:dyDescent="0.25">
      <c r="A2521" s="1"/>
      <c r="H2521" s="1"/>
      <c r="O2521" s="1"/>
      <c r="V2521" s="1"/>
      <c r="AC2521" s="1"/>
      <c r="AJ2521" s="1"/>
      <c r="AQ2521" s="1"/>
      <c r="AX2521" s="1"/>
      <c r="BE2521" s="1"/>
    </row>
    <row r="2522" spans="1:57" x14ac:dyDescent="0.25">
      <c r="A2522" s="1"/>
      <c r="H2522" s="1"/>
      <c r="O2522" s="1"/>
      <c r="V2522" s="1"/>
      <c r="AC2522" s="1"/>
      <c r="AJ2522" s="1"/>
      <c r="AQ2522" s="1"/>
      <c r="AX2522" s="1"/>
      <c r="BE2522" s="1"/>
    </row>
    <row r="2523" spans="1:57" x14ac:dyDescent="0.25">
      <c r="A2523" s="1"/>
      <c r="H2523" s="1"/>
      <c r="O2523" s="1"/>
      <c r="V2523" s="1"/>
      <c r="AC2523" s="1"/>
      <c r="AJ2523" s="1"/>
      <c r="AQ2523" s="1"/>
      <c r="AX2523" s="1"/>
      <c r="BE2523" s="1"/>
    </row>
    <row r="2524" spans="1:57" x14ac:dyDescent="0.25">
      <c r="A2524" s="1"/>
      <c r="H2524" s="1"/>
      <c r="O2524" s="1"/>
      <c r="V2524" s="1"/>
      <c r="AC2524" s="1"/>
      <c r="AJ2524" s="1"/>
      <c r="AQ2524" s="1"/>
      <c r="AX2524" s="1"/>
      <c r="BE2524" s="1"/>
    </row>
    <row r="2525" spans="1:57" x14ac:dyDescent="0.25">
      <c r="A2525" s="1"/>
      <c r="H2525" s="1"/>
      <c r="O2525" s="1"/>
      <c r="V2525" s="1"/>
      <c r="AC2525" s="1"/>
      <c r="AJ2525" s="1"/>
      <c r="AQ2525" s="1"/>
      <c r="AX2525" s="1"/>
      <c r="BE2525" s="1"/>
    </row>
    <row r="2526" spans="1:57" x14ac:dyDescent="0.25">
      <c r="A2526" s="1"/>
      <c r="H2526" s="1"/>
      <c r="O2526" s="1"/>
      <c r="V2526" s="1"/>
      <c r="AC2526" s="1"/>
      <c r="AJ2526" s="1"/>
      <c r="AQ2526" s="1"/>
      <c r="AX2526" s="1"/>
      <c r="BE2526" s="1"/>
    </row>
    <row r="2527" spans="1:57" x14ac:dyDescent="0.25">
      <c r="A2527" s="1"/>
      <c r="H2527" s="1"/>
      <c r="O2527" s="1"/>
      <c r="V2527" s="1"/>
      <c r="AC2527" s="1"/>
      <c r="AJ2527" s="1"/>
      <c r="AQ2527" s="1"/>
      <c r="AX2527" s="1"/>
      <c r="BE2527" s="1"/>
    </row>
    <row r="2528" spans="1:57" x14ac:dyDescent="0.25">
      <c r="A2528" s="1"/>
      <c r="H2528" s="1"/>
      <c r="O2528" s="1"/>
      <c r="V2528" s="1"/>
      <c r="AC2528" s="1"/>
      <c r="AJ2528" s="1"/>
      <c r="AQ2528" s="1"/>
      <c r="AX2528" s="1"/>
      <c r="BE2528" s="1"/>
    </row>
    <row r="2529" spans="1:57" x14ac:dyDescent="0.25">
      <c r="A2529" s="1"/>
      <c r="H2529" s="1"/>
      <c r="O2529" s="1"/>
      <c r="V2529" s="1"/>
      <c r="AC2529" s="1"/>
      <c r="AJ2529" s="1"/>
      <c r="AQ2529" s="1"/>
      <c r="AX2529" s="1"/>
      <c r="BE2529" s="1"/>
    </row>
    <row r="2530" spans="1:57" x14ac:dyDescent="0.25">
      <c r="A2530" s="1"/>
      <c r="H2530" s="1"/>
      <c r="O2530" s="1"/>
      <c r="V2530" s="1"/>
      <c r="AC2530" s="1"/>
      <c r="AJ2530" s="1"/>
      <c r="AQ2530" s="1"/>
      <c r="AX2530" s="1"/>
      <c r="BE2530" s="1"/>
    </row>
    <row r="2531" spans="1:57" x14ac:dyDescent="0.25">
      <c r="A2531" s="1"/>
      <c r="H2531" s="1"/>
      <c r="O2531" s="1"/>
      <c r="V2531" s="1"/>
      <c r="AC2531" s="1"/>
      <c r="AJ2531" s="1"/>
      <c r="AQ2531" s="1"/>
      <c r="AX2531" s="1"/>
      <c r="BE2531" s="1"/>
    </row>
    <row r="2532" spans="1:57" x14ac:dyDescent="0.25">
      <c r="A2532" s="1"/>
      <c r="H2532" s="1"/>
      <c r="O2532" s="1"/>
      <c r="V2532" s="1"/>
      <c r="AC2532" s="1"/>
      <c r="AJ2532" s="1"/>
      <c r="AQ2532" s="1"/>
      <c r="AX2532" s="1"/>
      <c r="BE2532" s="1"/>
    </row>
    <row r="2533" spans="1:57" x14ac:dyDescent="0.25">
      <c r="A2533" s="1"/>
      <c r="H2533" s="1"/>
      <c r="O2533" s="1"/>
      <c r="V2533" s="1"/>
      <c r="AC2533" s="1"/>
      <c r="AJ2533" s="1"/>
      <c r="AQ2533" s="1"/>
      <c r="AX2533" s="1"/>
      <c r="BE2533" s="1"/>
    </row>
    <row r="2534" spans="1:57" x14ac:dyDescent="0.25">
      <c r="A2534" s="1"/>
      <c r="H2534" s="1"/>
      <c r="O2534" s="1"/>
      <c r="V2534" s="1"/>
      <c r="AC2534" s="1"/>
      <c r="AJ2534" s="1"/>
      <c r="AQ2534" s="1"/>
      <c r="AX2534" s="1"/>
      <c r="BE2534" s="1"/>
    </row>
    <row r="2535" spans="1:57" x14ac:dyDescent="0.25">
      <c r="A2535" s="1"/>
      <c r="H2535" s="1"/>
      <c r="O2535" s="1"/>
      <c r="V2535" s="1"/>
      <c r="AC2535" s="1"/>
      <c r="AJ2535" s="1"/>
      <c r="AQ2535" s="1"/>
      <c r="AX2535" s="1"/>
      <c r="BE2535" s="1"/>
    </row>
    <row r="2536" spans="1:57" x14ac:dyDescent="0.25">
      <c r="A2536" s="1"/>
      <c r="H2536" s="1"/>
      <c r="O2536" s="1"/>
      <c r="V2536" s="1"/>
      <c r="AC2536" s="1"/>
      <c r="AJ2536" s="1"/>
      <c r="AQ2536" s="1"/>
      <c r="AX2536" s="1"/>
      <c r="BE2536" s="1"/>
    </row>
    <row r="2537" spans="1:57" x14ac:dyDescent="0.25">
      <c r="A2537" s="1"/>
      <c r="H2537" s="1"/>
      <c r="O2537" s="1"/>
      <c r="V2537" s="1"/>
      <c r="AC2537" s="1"/>
      <c r="AJ2537" s="1"/>
      <c r="AQ2537" s="1"/>
      <c r="AX2537" s="1"/>
      <c r="BE2537" s="1"/>
    </row>
    <row r="2538" spans="1:57" x14ac:dyDescent="0.25">
      <c r="A2538" s="1"/>
      <c r="H2538" s="1"/>
      <c r="O2538" s="1"/>
      <c r="V2538" s="1"/>
      <c r="AC2538" s="1"/>
      <c r="AJ2538" s="1"/>
      <c r="AQ2538" s="1"/>
      <c r="AX2538" s="1"/>
      <c r="BE2538" s="1"/>
    </row>
    <row r="2539" spans="1:57" x14ac:dyDescent="0.25">
      <c r="A2539" s="1"/>
      <c r="H2539" s="1"/>
      <c r="O2539" s="1"/>
      <c r="V2539" s="1"/>
      <c r="AC2539" s="1"/>
      <c r="AJ2539" s="1"/>
      <c r="AQ2539" s="1"/>
      <c r="AX2539" s="1"/>
      <c r="BE2539" s="1"/>
    </row>
    <row r="2540" spans="1:57" x14ac:dyDescent="0.25">
      <c r="A2540" s="1"/>
      <c r="H2540" s="1"/>
      <c r="O2540" s="1"/>
      <c r="V2540" s="1"/>
      <c r="AC2540" s="1"/>
      <c r="AJ2540" s="1"/>
      <c r="AQ2540" s="1"/>
      <c r="AX2540" s="1"/>
      <c r="BE2540" s="1"/>
    </row>
    <row r="2541" spans="1:57" x14ac:dyDescent="0.25">
      <c r="A2541" s="1"/>
      <c r="H2541" s="1"/>
      <c r="O2541" s="1"/>
      <c r="V2541" s="1"/>
      <c r="AC2541" s="1"/>
      <c r="AJ2541" s="1"/>
      <c r="AQ2541" s="1"/>
      <c r="AX2541" s="1"/>
      <c r="BE2541" s="1"/>
    </row>
    <row r="2542" spans="1:57" x14ac:dyDescent="0.25">
      <c r="A2542" s="1"/>
      <c r="H2542" s="1"/>
      <c r="O2542" s="1"/>
      <c r="V2542" s="1"/>
      <c r="AC2542" s="1"/>
      <c r="AJ2542" s="1"/>
      <c r="AQ2542" s="1"/>
      <c r="AX2542" s="1"/>
      <c r="BE2542" s="1"/>
    </row>
    <row r="2543" spans="1:57" x14ac:dyDescent="0.25">
      <c r="A2543" s="1"/>
      <c r="H2543" s="1"/>
      <c r="O2543" s="1"/>
      <c r="V2543" s="1"/>
      <c r="AC2543" s="1"/>
      <c r="AJ2543" s="1"/>
      <c r="AQ2543" s="1"/>
      <c r="AX2543" s="1"/>
      <c r="BE2543" s="1"/>
    </row>
    <row r="2544" spans="1:57" x14ac:dyDescent="0.25">
      <c r="A2544" s="1"/>
      <c r="H2544" s="1"/>
      <c r="O2544" s="1"/>
      <c r="V2544" s="1"/>
      <c r="AC2544" s="1"/>
      <c r="AJ2544" s="1"/>
      <c r="AQ2544" s="1"/>
      <c r="AX2544" s="1"/>
      <c r="BE2544" s="1"/>
    </row>
    <row r="2545" spans="1:57" x14ac:dyDescent="0.25">
      <c r="A2545" s="1"/>
      <c r="H2545" s="1"/>
      <c r="O2545" s="1"/>
      <c r="V2545" s="1"/>
      <c r="AC2545" s="1"/>
      <c r="AJ2545" s="1"/>
      <c r="AQ2545" s="1"/>
      <c r="AX2545" s="1"/>
      <c r="BE2545" s="1"/>
    </row>
    <row r="2546" spans="1:57" x14ac:dyDescent="0.25">
      <c r="A2546" s="1"/>
      <c r="H2546" s="1"/>
      <c r="O2546" s="1"/>
      <c r="V2546" s="1"/>
      <c r="AC2546" s="1"/>
      <c r="AJ2546" s="1"/>
      <c r="AQ2546" s="1"/>
      <c r="AX2546" s="1"/>
      <c r="BE2546" s="1"/>
    </row>
    <row r="2547" spans="1:57" x14ac:dyDescent="0.25">
      <c r="A2547" s="1"/>
      <c r="H2547" s="1"/>
      <c r="O2547" s="1"/>
      <c r="V2547" s="1"/>
      <c r="AC2547" s="1"/>
      <c r="AJ2547" s="1"/>
      <c r="AQ2547" s="1"/>
      <c r="AX2547" s="1"/>
      <c r="BE2547" s="1"/>
    </row>
    <row r="2548" spans="1:57" x14ac:dyDescent="0.25">
      <c r="A2548" s="1"/>
      <c r="H2548" s="1"/>
      <c r="O2548" s="1"/>
      <c r="V2548" s="1"/>
      <c r="AC2548" s="1"/>
      <c r="AJ2548" s="1"/>
      <c r="AQ2548" s="1"/>
      <c r="AX2548" s="1"/>
      <c r="BE2548" s="1"/>
    </row>
    <row r="2549" spans="1:57" x14ac:dyDescent="0.25">
      <c r="A2549" s="1"/>
      <c r="H2549" s="1"/>
      <c r="O2549" s="1"/>
      <c r="V2549" s="1"/>
      <c r="AC2549" s="1"/>
      <c r="AJ2549" s="1"/>
      <c r="AQ2549" s="1"/>
      <c r="AX2549" s="1"/>
      <c r="BE2549" s="1"/>
    </row>
    <row r="2550" spans="1:57" x14ac:dyDescent="0.25">
      <c r="A2550" s="1"/>
      <c r="H2550" s="1"/>
      <c r="O2550" s="1"/>
      <c r="V2550" s="1"/>
      <c r="AC2550" s="1"/>
      <c r="AJ2550" s="1"/>
      <c r="AQ2550" s="1"/>
      <c r="AX2550" s="1"/>
      <c r="BE2550" s="1"/>
    </row>
    <row r="2551" spans="1:57" x14ac:dyDescent="0.25">
      <c r="A2551" s="1"/>
      <c r="H2551" s="1"/>
      <c r="O2551" s="1"/>
      <c r="V2551" s="1"/>
      <c r="AC2551" s="1"/>
      <c r="AJ2551" s="1"/>
      <c r="AQ2551" s="1"/>
      <c r="AX2551" s="1"/>
      <c r="BE2551" s="1"/>
    </row>
    <row r="2552" spans="1:57" x14ac:dyDescent="0.25">
      <c r="A2552" s="1"/>
      <c r="H2552" s="1"/>
      <c r="O2552" s="1"/>
      <c r="V2552" s="1"/>
      <c r="AC2552" s="1"/>
      <c r="AJ2552" s="1"/>
      <c r="AQ2552" s="1"/>
      <c r="AX2552" s="1"/>
      <c r="BE2552" s="1"/>
    </row>
    <row r="2553" spans="1:57" x14ac:dyDescent="0.25">
      <c r="A2553" s="1"/>
      <c r="H2553" s="1"/>
      <c r="O2553" s="1"/>
      <c r="V2553" s="1"/>
      <c r="AC2553" s="1"/>
      <c r="AJ2553" s="1"/>
      <c r="AQ2553" s="1"/>
      <c r="AX2553" s="1"/>
      <c r="BE2553" s="1"/>
    </row>
    <row r="2554" spans="1:57" x14ac:dyDescent="0.25">
      <c r="A2554" s="1"/>
      <c r="H2554" s="1"/>
      <c r="O2554" s="1"/>
      <c r="V2554" s="1"/>
      <c r="AC2554" s="1"/>
      <c r="AJ2554" s="1"/>
      <c r="AQ2554" s="1"/>
      <c r="AX2554" s="1"/>
      <c r="BE2554" s="1"/>
    </row>
    <row r="2555" spans="1:57" x14ac:dyDescent="0.25">
      <c r="A2555" s="1"/>
      <c r="H2555" s="1"/>
      <c r="O2555" s="1"/>
      <c r="V2555" s="1"/>
      <c r="AC2555" s="1"/>
      <c r="AJ2555" s="1"/>
      <c r="AQ2555" s="1"/>
      <c r="AX2555" s="1"/>
      <c r="BE2555" s="1"/>
    </row>
    <row r="2556" spans="1:57" x14ac:dyDescent="0.25">
      <c r="A2556" s="1"/>
      <c r="H2556" s="1"/>
      <c r="O2556" s="1"/>
      <c r="V2556" s="1"/>
      <c r="AC2556" s="1"/>
      <c r="AJ2556" s="1"/>
      <c r="AQ2556" s="1"/>
      <c r="AX2556" s="1"/>
      <c r="BE2556" s="1"/>
    </row>
    <row r="2557" spans="1:57" x14ac:dyDescent="0.25">
      <c r="A2557" s="1"/>
      <c r="H2557" s="1"/>
      <c r="O2557" s="1"/>
      <c r="V2557" s="1"/>
      <c r="AC2557" s="1"/>
      <c r="AJ2557" s="1"/>
      <c r="AQ2557" s="1"/>
      <c r="AX2557" s="1"/>
      <c r="BE2557" s="1"/>
    </row>
    <row r="2558" spans="1:57" x14ac:dyDescent="0.25">
      <c r="A2558" s="1"/>
      <c r="H2558" s="1"/>
      <c r="O2558" s="1"/>
      <c r="V2558" s="1"/>
      <c r="AC2558" s="1"/>
      <c r="AJ2558" s="1"/>
      <c r="AQ2558" s="1"/>
      <c r="AX2558" s="1"/>
      <c r="BE2558" s="1"/>
    </row>
    <row r="2559" spans="1:57" x14ac:dyDescent="0.25">
      <c r="A2559" s="1"/>
      <c r="H2559" s="1"/>
      <c r="O2559" s="1"/>
      <c r="V2559" s="1"/>
      <c r="AC2559" s="1"/>
      <c r="AJ2559" s="1"/>
      <c r="AQ2559" s="1"/>
      <c r="AX2559" s="1"/>
      <c r="BE2559" s="1"/>
    </row>
    <row r="2560" spans="1:57" x14ac:dyDescent="0.25">
      <c r="A2560" s="1"/>
      <c r="H2560" s="1"/>
      <c r="O2560" s="1"/>
      <c r="V2560" s="1"/>
      <c r="AC2560" s="1"/>
      <c r="AJ2560" s="1"/>
      <c r="AQ2560" s="1"/>
      <c r="AX2560" s="1"/>
      <c r="BE2560" s="1"/>
    </row>
    <row r="2561" spans="1:57" x14ac:dyDescent="0.25">
      <c r="A2561" s="1"/>
      <c r="H2561" s="1"/>
      <c r="O2561" s="1"/>
      <c r="V2561" s="1"/>
      <c r="AC2561" s="1"/>
      <c r="AJ2561" s="1"/>
      <c r="AQ2561" s="1"/>
      <c r="AX2561" s="1"/>
      <c r="BE2561" s="1"/>
    </row>
    <row r="2562" spans="1:57" x14ac:dyDescent="0.25">
      <c r="A2562" s="1"/>
      <c r="H2562" s="1"/>
      <c r="O2562" s="1"/>
      <c r="V2562" s="1"/>
      <c r="AC2562" s="1"/>
      <c r="AJ2562" s="1"/>
      <c r="AQ2562" s="1"/>
      <c r="AX2562" s="1"/>
      <c r="BE2562" s="1"/>
    </row>
    <row r="2563" spans="1:57" x14ac:dyDescent="0.25">
      <c r="A2563" s="1"/>
      <c r="H2563" s="1"/>
      <c r="O2563" s="1"/>
      <c r="V2563" s="1"/>
      <c r="AC2563" s="1"/>
      <c r="AJ2563" s="1"/>
      <c r="AQ2563" s="1"/>
      <c r="AX2563" s="1"/>
      <c r="BE2563" s="1"/>
    </row>
    <row r="2564" spans="1:57" x14ac:dyDescent="0.25">
      <c r="A2564" s="1"/>
      <c r="H2564" s="1"/>
      <c r="O2564" s="1"/>
      <c r="V2564" s="1"/>
      <c r="AC2564" s="1"/>
      <c r="AJ2564" s="1"/>
      <c r="AQ2564" s="1"/>
      <c r="AX2564" s="1"/>
      <c r="BE2564" s="1"/>
    </row>
    <row r="2565" spans="1:57" x14ac:dyDescent="0.25">
      <c r="A2565" s="1"/>
      <c r="H2565" s="1"/>
      <c r="O2565" s="1"/>
      <c r="V2565" s="1"/>
      <c r="AC2565" s="1"/>
      <c r="AJ2565" s="1"/>
      <c r="AQ2565" s="1"/>
      <c r="AX2565" s="1"/>
      <c r="BE2565" s="1"/>
    </row>
    <row r="2566" spans="1:57" x14ac:dyDescent="0.25">
      <c r="A2566" s="1"/>
      <c r="H2566" s="1"/>
      <c r="O2566" s="1"/>
      <c r="V2566" s="1"/>
      <c r="AC2566" s="1"/>
      <c r="AJ2566" s="1"/>
      <c r="AQ2566" s="1"/>
      <c r="AX2566" s="1"/>
      <c r="BE2566" s="1"/>
    </row>
    <row r="2567" spans="1:57" x14ac:dyDescent="0.25">
      <c r="A2567" s="1"/>
      <c r="H2567" s="1"/>
      <c r="O2567" s="1"/>
      <c r="V2567" s="1"/>
      <c r="AC2567" s="1"/>
      <c r="AJ2567" s="1"/>
      <c r="AQ2567" s="1"/>
      <c r="AX2567" s="1"/>
      <c r="BE2567" s="1"/>
    </row>
    <row r="2568" spans="1:57" x14ac:dyDescent="0.25">
      <c r="A2568" s="1"/>
      <c r="H2568" s="1"/>
      <c r="O2568" s="1"/>
      <c r="V2568" s="1"/>
      <c r="AC2568" s="1"/>
      <c r="AJ2568" s="1"/>
      <c r="AQ2568" s="1"/>
      <c r="AX2568" s="1"/>
      <c r="BE2568" s="1"/>
    </row>
    <row r="2569" spans="1:57" x14ac:dyDescent="0.25">
      <c r="A2569" s="1"/>
      <c r="H2569" s="1"/>
      <c r="O2569" s="1"/>
      <c r="V2569" s="1"/>
      <c r="AC2569" s="1"/>
      <c r="AJ2569" s="1"/>
      <c r="AQ2569" s="1"/>
      <c r="AX2569" s="1"/>
      <c r="BE2569" s="1"/>
    </row>
    <row r="2570" spans="1:57" x14ac:dyDescent="0.25">
      <c r="A2570" s="1"/>
      <c r="H2570" s="1"/>
      <c r="O2570" s="1"/>
      <c r="V2570" s="1"/>
      <c r="AC2570" s="1"/>
      <c r="AJ2570" s="1"/>
      <c r="AQ2570" s="1"/>
      <c r="AX2570" s="1"/>
      <c r="BE2570" s="1"/>
    </row>
    <row r="2571" spans="1:57" x14ac:dyDescent="0.25">
      <c r="A2571" s="1"/>
      <c r="H2571" s="1"/>
      <c r="O2571" s="1"/>
      <c r="V2571" s="1"/>
      <c r="AC2571" s="1"/>
      <c r="AJ2571" s="1"/>
      <c r="AQ2571" s="1"/>
      <c r="AX2571" s="1"/>
      <c r="BE2571" s="1"/>
    </row>
    <row r="2572" spans="1:57" x14ac:dyDescent="0.25">
      <c r="A2572" s="1"/>
      <c r="H2572" s="1"/>
      <c r="O2572" s="1"/>
      <c r="V2572" s="1"/>
      <c r="AC2572" s="1"/>
      <c r="AJ2572" s="1"/>
      <c r="AQ2572" s="1"/>
      <c r="AX2572" s="1"/>
      <c r="BE2572" s="1"/>
    </row>
    <row r="2573" spans="1:57" x14ac:dyDescent="0.25">
      <c r="A2573" s="1"/>
      <c r="H2573" s="1"/>
      <c r="O2573" s="1"/>
      <c r="V2573" s="1"/>
      <c r="AC2573" s="1"/>
      <c r="AJ2573" s="1"/>
      <c r="AQ2573" s="1"/>
      <c r="AX2573" s="1"/>
      <c r="BE2573" s="1"/>
    </row>
    <row r="2574" spans="1:57" x14ac:dyDescent="0.25">
      <c r="A2574" s="1"/>
      <c r="H2574" s="1"/>
      <c r="O2574" s="1"/>
      <c r="V2574" s="1"/>
      <c r="AC2574" s="1"/>
      <c r="AJ2574" s="1"/>
      <c r="AQ2574" s="1"/>
      <c r="AX2574" s="1"/>
      <c r="BE2574" s="1"/>
    </row>
    <row r="2575" spans="1:57" x14ac:dyDescent="0.25">
      <c r="A2575" s="1"/>
      <c r="H2575" s="1"/>
      <c r="O2575" s="1"/>
      <c r="V2575" s="1"/>
      <c r="AC2575" s="1"/>
      <c r="AJ2575" s="1"/>
      <c r="AQ2575" s="1"/>
      <c r="AX2575" s="1"/>
      <c r="BE2575" s="1"/>
    </row>
    <row r="2576" spans="1:57" x14ac:dyDescent="0.25">
      <c r="A2576" s="1"/>
      <c r="H2576" s="1"/>
      <c r="O2576" s="1"/>
      <c r="V2576" s="1"/>
      <c r="AC2576" s="1"/>
      <c r="AJ2576" s="1"/>
      <c r="AQ2576" s="1"/>
      <c r="AX2576" s="1"/>
      <c r="BE2576" s="1"/>
    </row>
    <row r="2577" spans="1:57" x14ac:dyDescent="0.25">
      <c r="A2577" s="1"/>
      <c r="H2577" s="1"/>
      <c r="O2577" s="1"/>
      <c r="V2577" s="1"/>
      <c r="AC2577" s="1"/>
      <c r="AJ2577" s="1"/>
      <c r="AQ2577" s="1"/>
      <c r="AX2577" s="1"/>
      <c r="BE2577" s="1"/>
    </row>
    <row r="2578" spans="1:57" x14ac:dyDescent="0.25">
      <c r="A2578" s="1"/>
      <c r="H2578" s="1"/>
      <c r="O2578" s="1"/>
      <c r="V2578" s="1"/>
      <c r="AC2578" s="1"/>
      <c r="AJ2578" s="1"/>
      <c r="AQ2578" s="1"/>
      <c r="AX2578" s="1"/>
      <c r="BE2578" s="1"/>
    </row>
    <row r="2579" spans="1:57" x14ac:dyDescent="0.25">
      <c r="A2579" s="1"/>
      <c r="H2579" s="1"/>
      <c r="O2579" s="1"/>
      <c r="V2579" s="1"/>
      <c r="AC2579" s="1"/>
      <c r="AJ2579" s="1"/>
      <c r="AQ2579" s="1"/>
      <c r="AX2579" s="1"/>
      <c r="BE2579" s="1"/>
    </row>
    <row r="2580" spans="1:57" x14ac:dyDescent="0.25">
      <c r="A2580" s="1"/>
      <c r="H2580" s="1"/>
      <c r="O2580" s="1"/>
      <c r="V2580" s="1"/>
      <c r="AC2580" s="1"/>
      <c r="AJ2580" s="1"/>
      <c r="AQ2580" s="1"/>
      <c r="AX2580" s="1"/>
      <c r="BE2580" s="1"/>
    </row>
    <row r="2581" spans="1:57" x14ac:dyDescent="0.25">
      <c r="A2581" s="1"/>
      <c r="H2581" s="1"/>
      <c r="O2581" s="1"/>
      <c r="V2581" s="1"/>
      <c r="AC2581" s="1"/>
      <c r="AJ2581" s="1"/>
      <c r="AQ2581" s="1"/>
      <c r="AX2581" s="1"/>
      <c r="BE2581" s="1"/>
    </row>
    <row r="2582" spans="1:57" x14ac:dyDescent="0.25">
      <c r="A2582" s="1"/>
      <c r="H2582" s="1"/>
      <c r="O2582" s="1"/>
      <c r="V2582" s="1"/>
      <c r="AC2582" s="1"/>
      <c r="AJ2582" s="1"/>
      <c r="AQ2582" s="1"/>
      <c r="AX2582" s="1"/>
      <c r="BE2582" s="1"/>
    </row>
    <row r="2583" spans="1:57" x14ac:dyDescent="0.25">
      <c r="A2583" s="1"/>
      <c r="H2583" s="1"/>
      <c r="O2583" s="1"/>
      <c r="V2583" s="1"/>
      <c r="AC2583" s="1"/>
      <c r="AJ2583" s="1"/>
      <c r="AQ2583" s="1"/>
      <c r="AX2583" s="1"/>
      <c r="BE2583" s="1"/>
    </row>
    <row r="2584" spans="1:57" x14ac:dyDescent="0.25">
      <c r="A2584" s="1"/>
      <c r="H2584" s="1"/>
      <c r="O2584" s="1"/>
      <c r="V2584" s="1"/>
      <c r="AC2584" s="1"/>
      <c r="AJ2584" s="1"/>
      <c r="AQ2584" s="1"/>
      <c r="AX2584" s="1"/>
      <c r="BE2584" s="1"/>
    </row>
    <row r="2585" spans="1:57" x14ac:dyDescent="0.25">
      <c r="A2585" s="1"/>
      <c r="H2585" s="1"/>
      <c r="O2585" s="1"/>
      <c r="V2585" s="1"/>
      <c r="AC2585" s="1"/>
      <c r="AJ2585" s="1"/>
      <c r="AQ2585" s="1"/>
      <c r="AX2585" s="1"/>
      <c r="BE2585" s="1"/>
    </row>
    <row r="2586" spans="1:57" x14ac:dyDescent="0.25">
      <c r="A2586" s="1"/>
      <c r="H2586" s="1"/>
      <c r="O2586" s="1"/>
      <c r="V2586" s="1"/>
      <c r="AC2586" s="1"/>
      <c r="AJ2586" s="1"/>
      <c r="AQ2586" s="1"/>
      <c r="AX2586" s="1"/>
      <c r="BE2586" s="1"/>
    </row>
    <row r="2587" spans="1:57" x14ac:dyDescent="0.25">
      <c r="A2587" s="1"/>
      <c r="H2587" s="1"/>
      <c r="O2587" s="1"/>
      <c r="V2587" s="1"/>
      <c r="AC2587" s="1"/>
      <c r="AJ2587" s="1"/>
      <c r="AQ2587" s="1"/>
      <c r="AX2587" s="1"/>
      <c r="BE2587" s="1"/>
    </row>
    <row r="2588" spans="1:57" x14ac:dyDescent="0.25">
      <c r="A2588" s="1"/>
      <c r="H2588" s="1"/>
      <c r="O2588" s="1"/>
      <c r="V2588" s="1"/>
      <c r="AC2588" s="1"/>
      <c r="AJ2588" s="1"/>
      <c r="AQ2588" s="1"/>
      <c r="AX2588" s="1"/>
      <c r="BE2588" s="1"/>
    </row>
    <row r="2589" spans="1:57" x14ac:dyDescent="0.25">
      <c r="A2589" s="1"/>
      <c r="H2589" s="1"/>
      <c r="O2589" s="1"/>
      <c r="V2589" s="1"/>
      <c r="AC2589" s="1"/>
      <c r="AJ2589" s="1"/>
      <c r="AQ2589" s="1"/>
      <c r="AX2589" s="1"/>
      <c r="BE2589" s="1"/>
    </row>
    <row r="2590" spans="1:57" x14ac:dyDescent="0.25">
      <c r="A2590" s="1"/>
      <c r="H2590" s="1"/>
      <c r="O2590" s="1"/>
      <c r="V2590" s="1"/>
      <c r="AC2590" s="1"/>
      <c r="AJ2590" s="1"/>
      <c r="AQ2590" s="1"/>
      <c r="AX2590" s="1"/>
      <c r="BE2590" s="1"/>
    </row>
    <row r="2591" spans="1:57" x14ac:dyDescent="0.25">
      <c r="A2591" s="1"/>
      <c r="H2591" s="1"/>
      <c r="O2591" s="1"/>
      <c r="V2591" s="1"/>
      <c r="AC2591" s="1"/>
      <c r="AJ2591" s="1"/>
      <c r="AQ2591" s="1"/>
      <c r="AX2591" s="1"/>
      <c r="BE2591" s="1"/>
    </row>
    <row r="2592" spans="1:57" x14ac:dyDescent="0.25">
      <c r="A2592" s="1"/>
      <c r="H2592" s="1"/>
      <c r="O2592" s="1"/>
      <c r="V2592" s="1"/>
      <c r="AC2592" s="1"/>
      <c r="AJ2592" s="1"/>
      <c r="AQ2592" s="1"/>
      <c r="AX2592" s="1"/>
      <c r="BE2592" s="1"/>
    </row>
    <row r="2593" spans="1:57" x14ac:dyDescent="0.25">
      <c r="A2593" s="1"/>
      <c r="H2593" s="1"/>
      <c r="O2593" s="1"/>
      <c r="V2593" s="1"/>
      <c r="AC2593" s="1"/>
      <c r="AJ2593" s="1"/>
      <c r="AQ2593" s="1"/>
      <c r="AX2593" s="1"/>
      <c r="BE2593" s="1"/>
    </row>
    <row r="2594" spans="1:57" x14ac:dyDescent="0.25">
      <c r="A2594" s="1"/>
      <c r="H2594" s="1"/>
      <c r="O2594" s="1"/>
      <c r="V2594" s="1"/>
      <c r="AC2594" s="1"/>
      <c r="AJ2594" s="1"/>
      <c r="AQ2594" s="1"/>
      <c r="AX2594" s="1"/>
      <c r="BE2594" s="1"/>
    </row>
    <row r="2595" spans="1:57" x14ac:dyDescent="0.25">
      <c r="A2595" s="1"/>
      <c r="H2595" s="1"/>
      <c r="O2595" s="1"/>
      <c r="V2595" s="1"/>
      <c r="AC2595" s="1"/>
      <c r="AJ2595" s="1"/>
      <c r="AQ2595" s="1"/>
      <c r="AX2595" s="1"/>
      <c r="BE2595" s="1"/>
    </row>
    <row r="2596" spans="1:57" x14ac:dyDescent="0.25">
      <c r="A2596" s="1"/>
      <c r="H2596" s="1"/>
      <c r="O2596" s="1"/>
      <c r="V2596" s="1"/>
      <c r="AC2596" s="1"/>
      <c r="AJ2596" s="1"/>
      <c r="AQ2596" s="1"/>
      <c r="AX2596" s="1"/>
      <c r="BE2596" s="1"/>
    </row>
    <row r="2597" spans="1:57" x14ac:dyDescent="0.25">
      <c r="A2597" s="1"/>
      <c r="H2597" s="1"/>
      <c r="O2597" s="1"/>
      <c r="V2597" s="1"/>
      <c r="AC2597" s="1"/>
      <c r="AJ2597" s="1"/>
      <c r="AQ2597" s="1"/>
      <c r="AX2597" s="1"/>
      <c r="BE2597" s="1"/>
    </row>
    <row r="2598" spans="1:57" x14ac:dyDescent="0.25">
      <c r="A2598" s="1"/>
      <c r="H2598" s="1"/>
      <c r="O2598" s="1"/>
      <c r="V2598" s="1"/>
      <c r="AC2598" s="1"/>
      <c r="AJ2598" s="1"/>
      <c r="AQ2598" s="1"/>
      <c r="AX2598" s="1"/>
      <c r="BE2598" s="1"/>
    </row>
    <row r="2599" spans="1:57" x14ac:dyDescent="0.25">
      <c r="A2599" s="1"/>
      <c r="H2599" s="1"/>
      <c r="O2599" s="1"/>
      <c r="V2599" s="1"/>
      <c r="AC2599" s="1"/>
      <c r="AJ2599" s="1"/>
      <c r="AQ2599" s="1"/>
      <c r="AX2599" s="1"/>
      <c r="BE2599" s="1"/>
    </row>
    <row r="2600" spans="1:57" x14ac:dyDescent="0.25">
      <c r="A2600" s="1"/>
      <c r="H2600" s="1"/>
      <c r="O2600" s="1"/>
      <c r="V2600" s="1"/>
      <c r="AC2600" s="1"/>
      <c r="AJ2600" s="1"/>
      <c r="AQ2600" s="1"/>
      <c r="AX2600" s="1"/>
      <c r="BE2600" s="1"/>
    </row>
    <row r="2601" spans="1:57" x14ac:dyDescent="0.25">
      <c r="A2601" s="1"/>
      <c r="H2601" s="1"/>
      <c r="O2601" s="1"/>
      <c r="V2601" s="1"/>
      <c r="AC2601" s="1"/>
      <c r="AJ2601" s="1"/>
      <c r="AQ2601" s="1"/>
      <c r="AX2601" s="1"/>
      <c r="BE2601" s="1"/>
    </row>
    <row r="2602" spans="1:57" x14ac:dyDescent="0.25">
      <c r="A2602" s="1"/>
      <c r="H2602" s="1"/>
      <c r="O2602" s="1"/>
      <c r="V2602" s="1"/>
      <c r="AC2602" s="1"/>
      <c r="AJ2602" s="1"/>
      <c r="AQ2602" s="1"/>
      <c r="AX2602" s="1"/>
      <c r="BE2602" s="1"/>
    </row>
    <row r="2603" spans="1:57" x14ac:dyDescent="0.25">
      <c r="A2603" s="1"/>
      <c r="H2603" s="1"/>
      <c r="O2603" s="1"/>
      <c r="V2603" s="1"/>
      <c r="AC2603" s="1"/>
      <c r="AJ2603" s="1"/>
      <c r="AQ2603" s="1"/>
      <c r="AX2603" s="1"/>
      <c r="BE2603" s="1"/>
    </row>
    <row r="2604" spans="1:57" x14ac:dyDescent="0.25">
      <c r="A2604" s="1"/>
      <c r="H2604" s="1"/>
      <c r="O2604" s="1"/>
      <c r="V2604" s="1"/>
      <c r="AC2604" s="1"/>
      <c r="AJ2604" s="1"/>
      <c r="AQ2604" s="1"/>
      <c r="AX2604" s="1"/>
      <c r="BE2604" s="1"/>
    </row>
    <row r="2605" spans="1:57" x14ac:dyDescent="0.25">
      <c r="A2605" s="1"/>
      <c r="H2605" s="1"/>
      <c r="O2605" s="1"/>
      <c r="V2605" s="1"/>
      <c r="AC2605" s="1"/>
      <c r="AJ2605" s="1"/>
      <c r="AQ2605" s="1"/>
      <c r="AX2605" s="1"/>
      <c r="BE2605" s="1"/>
    </row>
    <row r="2606" spans="1:57" x14ac:dyDescent="0.25">
      <c r="A2606" s="1"/>
      <c r="H2606" s="1"/>
      <c r="O2606" s="1"/>
      <c r="V2606" s="1"/>
      <c r="AC2606" s="1"/>
      <c r="AJ2606" s="1"/>
      <c r="AQ2606" s="1"/>
      <c r="AX2606" s="1"/>
      <c r="BE2606" s="1"/>
    </row>
    <row r="2607" spans="1:57" x14ac:dyDescent="0.25">
      <c r="A2607" s="1"/>
      <c r="H2607" s="1"/>
      <c r="O2607" s="1"/>
      <c r="V2607" s="1"/>
      <c r="AC2607" s="1"/>
      <c r="AJ2607" s="1"/>
      <c r="AQ2607" s="1"/>
      <c r="AX2607" s="1"/>
      <c r="BE2607" s="1"/>
    </row>
    <row r="2608" spans="1:57" x14ac:dyDescent="0.25">
      <c r="A2608" s="1"/>
      <c r="H2608" s="1"/>
      <c r="O2608" s="1"/>
      <c r="V2608" s="1"/>
      <c r="AC2608" s="1"/>
      <c r="AJ2608" s="1"/>
      <c r="AQ2608" s="1"/>
      <c r="AX2608" s="1"/>
      <c r="BE2608" s="1"/>
    </row>
    <row r="2609" spans="1:57" x14ac:dyDescent="0.25">
      <c r="A2609" s="1"/>
      <c r="H2609" s="1"/>
      <c r="O2609" s="1"/>
      <c r="V2609" s="1"/>
      <c r="AC2609" s="1"/>
      <c r="AJ2609" s="1"/>
      <c r="AQ2609" s="1"/>
      <c r="AX2609" s="1"/>
      <c r="BE2609" s="1"/>
    </row>
    <row r="2610" spans="1:57" x14ac:dyDescent="0.25">
      <c r="A2610" s="1"/>
      <c r="H2610" s="1"/>
      <c r="O2610" s="1"/>
      <c r="V2610" s="1"/>
      <c r="AC2610" s="1"/>
      <c r="AJ2610" s="1"/>
      <c r="AQ2610" s="1"/>
      <c r="AX2610" s="1"/>
      <c r="BE2610" s="1"/>
    </row>
    <row r="2611" spans="1:57" x14ac:dyDescent="0.25">
      <c r="A2611" s="1"/>
      <c r="H2611" s="1"/>
      <c r="O2611" s="1"/>
      <c r="V2611" s="1"/>
      <c r="AC2611" s="1"/>
      <c r="AJ2611" s="1"/>
      <c r="AQ2611" s="1"/>
      <c r="AX2611" s="1"/>
      <c r="BE2611" s="1"/>
    </row>
    <row r="2612" spans="1:57" x14ac:dyDescent="0.25">
      <c r="A2612" s="1"/>
      <c r="H2612" s="1"/>
      <c r="O2612" s="1"/>
      <c r="V2612" s="1"/>
      <c r="AC2612" s="1"/>
      <c r="AJ2612" s="1"/>
      <c r="AQ2612" s="1"/>
      <c r="AX2612" s="1"/>
      <c r="BE2612" s="1"/>
    </row>
    <row r="2613" spans="1:57" x14ac:dyDescent="0.25">
      <c r="A2613" s="1"/>
      <c r="H2613" s="1"/>
      <c r="O2613" s="1"/>
      <c r="V2613" s="1"/>
      <c r="AC2613" s="1"/>
      <c r="AJ2613" s="1"/>
      <c r="AQ2613" s="1"/>
      <c r="AX2613" s="1"/>
      <c r="BE2613" s="1"/>
    </row>
    <row r="2614" spans="1:57" x14ac:dyDescent="0.25">
      <c r="A2614" s="1"/>
      <c r="H2614" s="1"/>
      <c r="O2614" s="1"/>
      <c r="V2614" s="1"/>
      <c r="AC2614" s="1"/>
      <c r="AJ2614" s="1"/>
      <c r="AQ2614" s="1"/>
      <c r="AX2614" s="1"/>
      <c r="BE2614" s="1"/>
    </row>
    <row r="2615" spans="1:57" x14ac:dyDescent="0.25">
      <c r="A2615" s="1"/>
      <c r="H2615" s="1"/>
      <c r="O2615" s="1"/>
      <c r="V2615" s="1"/>
      <c r="AC2615" s="1"/>
      <c r="AJ2615" s="1"/>
      <c r="AQ2615" s="1"/>
      <c r="AX2615" s="1"/>
      <c r="BE2615" s="1"/>
    </row>
    <row r="2616" spans="1:57" x14ac:dyDescent="0.25">
      <c r="A2616" s="1"/>
      <c r="H2616" s="1"/>
      <c r="O2616" s="1"/>
      <c r="V2616" s="1"/>
      <c r="AC2616" s="1"/>
      <c r="AJ2616" s="1"/>
      <c r="AQ2616" s="1"/>
      <c r="AX2616" s="1"/>
      <c r="BE2616" s="1"/>
    </row>
    <row r="2617" spans="1:57" x14ac:dyDescent="0.25">
      <c r="A2617" s="1"/>
      <c r="H2617" s="1"/>
      <c r="O2617" s="1"/>
      <c r="V2617" s="1"/>
      <c r="AC2617" s="1"/>
      <c r="AJ2617" s="1"/>
      <c r="AQ2617" s="1"/>
      <c r="AX2617" s="1"/>
      <c r="BE2617" s="1"/>
    </row>
    <row r="2618" spans="1:57" x14ac:dyDescent="0.25">
      <c r="A2618" s="1"/>
      <c r="H2618" s="1"/>
      <c r="O2618" s="1"/>
      <c r="V2618" s="1"/>
      <c r="AC2618" s="1"/>
      <c r="AJ2618" s="1"/>
      <c r="AQ2618" s="1"/>
      <c r="AX2618" s="1"/>
      <c r="BE2618" s="1"/>
    </row>
    <row r="2619" spans="1:57" x14ac:dyDescent="0.25">
      <c r="A2619" s="1"/>
      <c r="H2619" s="1"/>
      <c r="O2619" s="1"/>
      <c r="V2619" s="1"/>
      <c r="AC2619" s="1"/>
      <c r="AJ2619" s="1"/>
      <c r="AQ2619" s="1"/>
      <c r="AX2619" s="1"/>
      <c r="BE2619" s="1"/>
    </row>
    <row r="2620" spans="1:57" x14ac:dyDescent="0.25">
      <c r="A2620" s="1"/>
      <c r="H2620" s="1"/>
      <c r="O2620" s="1"/>
      <c r="V2620" s="1"/>
      <c r="AC2620" s="1"/>
      <c r="AJ2620" s="1"/>
      <c r="AQ2620" s="1"/>
      <c r="AX2620" s="1"/>
      <c r="BE2620" s="1"/>
    </row>
    <row r="2621" spans="1:57" x14ac:dyDescent="0.25">
      <c r="A2621" s="1"/>
      <c r="H2621" s="1"/>
      <c r="O2621" s="1"/>
      <c r="V2621" s="1"/>
      <c r="AC2621" s="1"/>
      <c r="AJ2621" s="1"/>
      <c r="AQ2621" s="1"/>
      <c r="AX2621" s="1"/>
      <c r="BE2621" s="1"/>
    </row>
    <row r="2622" spans="1:57" x14ac:dyDescent="0.25">
      <c r="A2622" s="1"/>
      <c r="H2622" s="1"/>
      <c r="O2622" s="1"/>
      <c r="V2622" s="1"/>
      <c r="AC2622" s="1"/>
      <c r="AJ2622" s="1"/>
      <c r="AQ2622" s="1"/>
      <c r="AX2622" s="1"/>
      <c r="BE2622" s="1"/>
    </row>
    <row r="2623" spans="1:57" x14ac:dyDescent="0.25">
      <c r="A2623" s="1"/>
      <c r="H2623" s="1"/>
      <c r="O2623" s="1"/>
      <c r="V2623" s="1"/>
      <c r="AC2623" s="1"/>
      <c r="AJ2623" s="1"/>
      <c r="AQ2623" s="1"/>
      <c r="AX2623" s="1"/>
      <c r="BE2623" s="1"/>
    </row>
    <row r="2624" spans="1:57" x14ac:dyDescent="0.25">
      <c r="A2624" s="1"/>
      <c r="H2624" s="1"/>
      <c r="O2624" s="1"/>
      <c r="V2624" s="1"/>
      <c r="AC2624" s="1"/>
      <c r="AJ2624" s="1"/>
      <c r="AQ2624" s="1"/>
      <c r="AX2624" s="1"/>
      <c r="BE2624" s="1"/>
    </row>
    <row r="2625" spans="1:57" x14ac:dyDescent="0.25">
      <c r="A2625" s="1"/>
      <c r="H2625" s="1"/>
      <c r="O2625" s="1"/>
      <c r="V2625" s="1"/>
      <c r="AC2625" s="1"/>
      <c r="AJ2625" s="1"/>
      <c r="AQ2625" s="1"/>
      <c r="AX2625" s="1"/>
      <c r="BE2625" s="1"/>
    </row>
    <row r="2626" spans="1:57" x14ac:dyDescent="0.25">
      <c r="A2626" s="1"/>
      <c r="H2626" s="1"/>
      <c r="O2626" s="1"/>
      <c r="V2626" s="1"/>
      <c r="AC2626" s="1"/>
      <c r="AJ2626" s="1"/>
      <c r="AQ2626" s="1"/>
      <c r="AX2626" s="1"/>
      <c r="BE2626" s="1"/>
    </row>
    <row r="2627" spans="1:57" x14ac:dyDescent="0.25">
      <c r="A2627" s="1"/>
      <c r="H2627" s="1"/>
      <c r="O2627" s="1"/>
      <c r="V2627" s="1"/>
      <c r="AC2627" s="1"/>
      <c r="AJ2627" s="1"/>
      <c r="AQ2627" s="1"/>
      <c r="AX2627" s="1"/>
      <c r="BE2627" s="1"/>
    </row>
    <row r="2628" spans="1:57" x14ac:dyDescent="0.25">
      <c r="A2628" s="1"/>
      <c r="H2628" s="1"/>
      <c r="O2628" s="1"/>
      <c r="V2628" s="1"/>
      <c r="AC2628" s="1"/>
      <c r="AJ2628" s="1"/>
      <c r="AQ2628" s="1"/>
      <c r="AX2628" s="1"/>
      <c r="BE2628" s="1"/>
    </row>
    <row r="2629" spans="1:57" x14ac:dyDescent="0.25">
      <c r="A2629" s="1"/>
      <c r="H2629" s="1"/>
      <c r="O2629" s="1"/>
      <c r="V2629" s="1"/>
      <c r="AC2629" s="1"/>
      <c r="AJ2629" s="1"/>
      <c r="AQ2629" s="1"/>
      <c r="AX2629" s="1"/>
      <c r="BE2629" s="1"/>
    </row>
    <row r="2630" spans="1:57" x14ac:dyDescent="0.25">
      <c r="A2630" s="1"/>
      <c r="H2630" s="1"/>
      <c r="O2630" s="1"/>
      <c r="V2630" s="1"/>
      <c r="AC2630" s="1"/>
      <c r="AJ2630" s="1"/>
      <c r="AQ2630" s="1"/>
      <c r="AX2630" s="1"/>
      <c r="BE2630" s="1"/>
    </row>
    <row r="2631" spans="1:57" x14ac:dyDescent="0.25">
      <c r="A2631" s="1"/>
      <c r="H2631" s="1"/>
      <c r="O2631" s="1"/>
      <c r="V2631" s="1"/>
      <c r="AC2631" s="1"/>
      <c r="AJ2631" s="1"/>
      <c r="AQ2631" s="1"/>
      <c r="AX2631" s="1"/>
      <c r="BE2631" s="1"/>
    </row>
    <row r="2632" spans="1:57" x14ac:dyDescent="0.25">
      <c r="A2632" s="1"/>
      <c r="H2632" s="1"/>
      <c r="O2632" s="1"/>
      <c r="V2632" s="1"/>
      <c r="AC2632" s="1"/>
      <c r="AJ2632" s="1"/>
      <c r="AQ2632" s="1"/>
      <c r="AX2632" s="1"/>
      <c r="BE2632" s="1"/>
    </row>
    <row r="2633" spans="1:57" x14ac:dyDescent="0.25">
      <c r="A2633" s="1"/>
      <c r="H2633" s="1"/>
      <c r="O2633" s="1"/>
      <c r="V2633" s="1"/>
      <c r="AC2633" s="1"/>
      <c r="AJ2633" s="1"/>
      <c r="AQ2633" s="1"/>
      <c r="AX2633" s="1"/>
      <c r="BE2633" s="1"/>
    </row>
    <row r="2634" spans="1:57" x14ac:dyDescent="0.25">
      <c r="A2634" s="1"/>
      <c r="H2634" s="1"/>
      <c r="O2634" s="1"/>
      <c r="V2634" s="1"/>
      <c r="AC2634" s="1"/>
      <c r="AJ2634" s="1"/>
      <c r="AQ2634" s="1"/>
      <c r="AX2634" s="1"/>
      <c r="BE2634" s="1"/>
    </row>
    <row r="2635" spans="1:57" x14ac:dyDescent="0.25">
      <c r="A2635" s="1"/>
      <c r="H2635" s="1"/>
      <c r="O2635" s="1"/>
      <c r="V2635" s="1"/>
      <c r="AC2635" s="1"/>
      <c r="AJ2635" s="1"/>
      <c r="AQ2635" s="1"/>
      <c r="AX2635" s="1"/>
      <c r="BE2635" s="1"/>
    </row>
    <row r="2636" spans="1:57" x14ac:dyDescent="0.25">
      <c r="A2636" s="1"/>
      <c r="H2636" s="1"/>
      <c r="O2636" s="1"/>
      <c r="V2636" s="1"/>
      <c r="AC2636" s="1"/>
      <c r="AJ2636" s="1"/>
      <c r="AQ2636" s="1"/>
      <c r="AX2636" s="1"/>
      <c r="BE2636" s="1"/>
    </row>
    <row r="2637" spans="1:57" x14ac:dyDescent="0.25">
      <c r="A2637" s="1"/>
      <c r="H2637" s="1"/>
      <c r="O2637" s="1"/>
      <c r="V2637" s="1"/>
      <c r="AC2637" s="1"/>
      <c r="AJ2637" s="1"/>
      <c r="AQ2637" s="1"/>
      <c r="AX2637" s="1"/>
      <c r="BE2637" s="1"/>
    </row>
    <row r="2638" spans="1:57" x14ac:dyDescent="0.25">
      <c r="A2638" s="1"/>
      <c r="H2638" s="1"/>
      <c r="O2638" s="1"/>
      <c r="V2638" s="1"/>
      <c r="AC2638" s="1"/>
      <c r="AJ2638" s="1"/>
      <c r="AQ2638" s="1"/>
      <c r="AX2638" s="1"/>
      <c r="BE2638" s="1"/>
    </row>
    <row r="2639" spans="1:57" x14ac:dyDescent="0.25">
      <c r="A2639" s="1"/>
      <c r="H2639" s="1"/>
      <c r="O2639" s="1"/>
      <c r="V2639" s="1"/>
      <c r="AC2639" s="1"/>
      <c r="AJ2639" s="1"/>
      <c r="AQ2639" s="1"/>
      <c r="AX2639" s="1"/>
      <c r="BE2639" s="1"/>
    </row>
    <row r="2640" spans="1:57" x14ac:dyDescent="0.25">
      <c r="A2640" s="1"/>
      <c r="H2640" s="1"/>
      <c r="O2640" s="1"/>
      <c r="V2640" s="1"/>
      <c r="AC2640" s="1"/>
      <c r="AJ2640" s="1"/>
      <c r="AQ2640" s="1"/>
      <c r="AX2640" s="1"/>
      <c r="BE2640" s="1"/>
    </row>
    <row r="2641" spans="1:57" x14ac:dyDescent="0.25">
      <c r="A2641" s="1"/>
      <c r="H2641" s="1"/>
      <c r="O2641" s="1"/>
      <c r="V2641" s="1"/>
      <c r="AC2641" s="1"/>
      <c r="AJ2641" s="1"/>
      <c r="AQ2641" s="1"/>
      <c r="AX2641" s="1"/>
      <c r="BE2641" s="1"/>
    </row>
    <row r="2642" spans="1:57" x14ac:dyDescent="0.25">
      <c r="A2642" s="1"/>
      <c r="H2642" s="1"/>
      <c r="O2642" s="1"/>
      <c r="V2642" s="1"/>
      <c r="AC2642" s="1"/>
      <c r="AJ2642" s="1"/>
      <c r="AQ2642" s="1"/>
      <c r="AX2642" s="1"/>
      <c r="BE2642" s="1"/>
    </row>
    <row r="2643" spans="1:57" x14ac:dyDescent="0.25">
      <c r="A2643" s="1"/>
      <c r="H2643" s="1"/>
      <c r="O2643" s="1"/>
      <c r="V2643" s="1"/>
      <c r="AC2643" s="1"/>
      <c r="AJ2643" s="1"/>
      <c r="AQ2643" s="1"/>
      <c r="AX2643" s="1"/>
      <c r="BE2643" s="1"/>
    </row>
    <row r="2644" spans="1:57" x14ac:dyDescent="0.25">
      <c r="A2644" s="1"/>
      <c r="H2644" s="1"/>
      <c r="O2644" s="1"/>
      <c r="V2644" s="1"/>
      <c r="AC2644" s="1"/>
      <c r="AJ2644" s="1"/>
      <c r="AQ2644" s="1"/>
      <c r="AX2644" s="1"/>
      <c r="BE2644" s="1"/>
    </row>
    <row r="2645" spans="1:57" x14ac:dyDescent="0.25">
      <c r="A2645" s="1"/>
      <c r="H2645" s="1"/>
      <c r="O2645" s="1"/>
      <c r="V2645" s="1"/>
      <c r="AC2645" s="1"/>
      <c r="AJ2645" s="1"/>
      <c r="AQ2645" s="1"/>
      <c r="AX2645" s="1"/>
      <c r="BE2645" s="1"/>
    </row>
    <row r="2646" spans="1:57" x14ac:dyDescent="0.25">
      <c r="A2646" s="1"/>
      <c r="H2646" s="1"/>
      <c r="O2646" s="1"/>
      <c r="V2646" s="1"/>
      <c r="AC2646" s="1"/>
      <c r="AJ2646" s="1"/>
      <c r="AQ2646" s="1"/>
      <c r="AX2646" s="1"/>
      <c r="BE2646" s="1"/>
    </row>
    <row r="2647" spans="1:57" x14ac:dyDescent="0.25">
      <c r="A2647" s="1"/>
      <c r="H2647" s="1"/>
      <c r="O2647" s="1"/>
      <c r="V2647" s="1"/>
      <c r="AC2647" s="1"/>
      <c r="AJ2647" s="1"/>
      <c r="AQ2647" s="1"/>
      <c r="AX2647" s="1"/>
      <c r="BE2647" s="1"/>
    </row>
    <row r="2648" spans="1:57" x14ac:dyDescent="0.25">
      <c r="A2648" s="1"/>
      <c r="H2648" s="1"/>
      <c r="O2648" s="1"/>
      <c r="V2648" s="1"/>
      <c r="AC2648" s="1"/>
      <c r="AJ2648" s="1"/>
      <c r="AQ2648" s="1"/>
      <c r="AX2648" s="1"/>
      <c r="BE2648" s="1"/>
    </row>
    <row r="2649" spans="1:57" x14ac:dyDescent="0.25">
      <c r="A2649" s="1"/>
      <c r="H2649" s="1"/>
      <c r="O2649" s="1"/>
      <c r="V2649" s="1"/>
      <c r="AC2649" s="1"/>
      <c r="AJ2649" s="1"/>
      <c r="AQ2649" s="1"/>
      <c r="AX2649" s="1"/>
      <c r="BE2649" s="1"/>
    </row>
    <row r="2650" spans="1:57" x14ac:dyDescent="0.25">
      <c r="A2650" s="1"/>
      <c r="H2650" s="1"/>
      <c r="O2650" s="1"/>
      <c r="V2650" s="1"/>
      <c r="AC2650" s="1"/>
      <c r="AJ2650" s="1"/>
      <c r="AQ2650" s="1"/>
      <c r="AX2650" s="1"/>
      <c r="BE2650" s="1"/>
    </row>
    <row r="2651" spans="1:57" x14ac:dyDescent="0.25">
      <c r="A2651" s="1"/>
      <c r="H2651" s="1"/>
      <c r="O2651" s="1"/>
      <c r="V2651" s="1"/>
      <c r="AC2651" s="1"/>
      <c r="AJ2651" s="1"/>
      <c r="AQ2651" s="1"/>
      <c r="AX2651" s="1"/>
      <c r="BE2651" s="1"/>
    </row>
    <row r="2652" spans="1:57" x14ac:dyDescent="0.25">
      <c r="A2652" s="1"/>
      <c r="H2652" s="1"/>
      <c r="O2652" s="1"/>
      <c r="V2652" s="1"/>
      <c r="AC2652" s="1"/>
      <c r="AJ2652" s="1"/>
      <c r="AQ2652" s="1"/>
      <c r="AX2652" s="1"/>
      <c r="BE2652" s="1"/>
    </row>
    <row r="2653" spans="1:57" x14ac:dyDescent="0.25">
      <c r="A2653" s="1"/>
      <c r="H2653" s="1"/>
      <c r="O2653" s="1"/>
      <c r="V2653" s="1"/>
      <c r="AC2653" s="1"/>
      <c r="AJ2653" s="1"/>
      <c r="AQ2653" s="1"/>
      <c r="AX2653" s="1"/>
      <c r="BE2653" s="1"/>
    </row>
    <row r="2654" spans="1:57" x14ac:dyDescent="0.25">
      <c r="A2654" s="1"/>
      <c r="H2654" s="1"/>
      <c r="O2654" s="1"/>
      <c r="V2654" s="1"/>
      <c r="AC2654" s="1"/>
      <c r="AJ2654" s="1"/>
      <c r="AQ2654" s="1"/>
      <c r="AX2654" s="1"/>
      <c r="BE2654" s="1"/>
    </row>
    <row r="2655" spans="1:57" x14ac:dyDescent="0.25">
      <c r="A2655" s="1"/>
      <c r="H2655" s="1"/>
      <c r="O2655" s="1"/>
      <c r="V2655" s="1"/>
      <c r="AC2655" s="1"/>
      <c r="AJ2655" s="1"/>
      <c r="AQ2655" s="1"/>
      <c r="AX2655" s="1"/>
      <c r="BE2655" s="1"/>
    </row>
    <row r="2656" spans="1:57" x14ac:dyDescent="0.25">
      <c r="A2656" s="1"/>
      <c r="H2656" s="1"/>
      <c r="O2656" s="1"/>
      <c r="V2656" s="1"/>
      <c r="AC2656" s="1"/>
      <c r="AJ2656" s="1"/>
      <c r="AQ2656" s="1"/>
      <c r="AX2656" s="1"/>
      <c r="BE2656" s="1"/>
    </row>
    <row r="2657" spans="1:57" x14ac:dyDescent="0.25">
      <c r="A2657" s="1"/>
      <c r="H2657" s="1"/>
      <c r="O2657" s="1"/>
      <c r="V2657" s="1"/>
      <c r="AC2657" s="1"/>
      <c r="AJ2657" s="1"/>
      <c r="AQ2657" s="1"/>
      <c r="AX2657" s="1"/>
      <c r="BE2657" s="1"/>
    </row>
    <row r="2658" spans="1:57" x14ac:dyDescent="0.25">
      <c r="A2658" s="1"/>
      <c r="H2658" s="1"/>
      <c r="O2658" s="1"/>
      <c r="V2658" s="1"/>
      <c r="AC2658" s="1"/>
      <c r="AJ2658" s="1"/>
      <c r="AQ2658" s="1"/>
      <c r="AX2658" s="1"/>
      <c r="BE2658" s="1"/>
    </row>
    <row r="2659" spans="1:57" x14ac:dyDescent="0.25">
      <c r="A2659" s="1"/>
      <c r="H2659" s="1"/>
      <c r="O2659" s="1"/>
      <c r="V2659" s="1"/>
      <c r="AC2659" s="1"/>
      <c r="AJ2659" s="1"/>
      <c r="AQ2659" s="1"/>
      <c r="AX2659" s="1"/>
      <c r="BE2659" s="1"/>
    </row>
    <row r="2660" spans="1:57" x14ac:dyDescent="0.25">
      <c r="A2660" s="1"/>
      <c r="H2660" s="1"/>
      <c r="O2660" s="1"/>
      <c r="V2660" s="1"/>
      <c r="AC2660" s="1"/>
      <c r="AJ2660" s="1"/>
      <c r="AQ2660" s="1"/>
      <c r="AX2660" s="1"/>
      <c r="BE2660" s="1"/>
    </row>
    <row r="2661" spans="1:57" x14ac:dyDescent="0.25">
      <c r="A2661" s="1"/>
      <c r="H2661" s="1"/>
      <c r="O2661" s="1"/>
      <c r="V2661" s="1"/>
      <c r="AC2661" s="1"/>
      <c r="AJ2661" s="1"/>
      <c r="AQ2661" s="1"/>
      <c r="AX2661" s="1"/>
      <c r="BE2661" s="1"/>
    </row>
    <row r="2662" spans="1:57" x14ac:dyDescent="0.25">
      <c r="A2662" s="1"/>
      <c r="H2662" s="1"/>
      <c r="O2662" s="1"/>
      <c r="V2662" s="1"/>
      <c r="AC2662" s="1"/>
      <c r="AJ2662" s="1"/>
      <c r="AQ2662" s="1"/>
      <c r="AX2662" s="1"/>
      <c r="BE2662" s="1"/>
    </row>
    <row r="2663" spans="1:57" x14ac:dyDescent="0.25">
      <c r="A2663" s="1"/>
      <c r="H2663" s="1"/>
      <c r="O2663" s="1"/>
      <c r="V2663" s="1"/>
      <c r="AC2663" s="1"/>
      <c r="AJ2663" s="1"/>
      <c r="AQ2663" s="1"/>
      <c r="AX2663" s="1"/>
      <c r="BE2663" s="1"/>
    </row>
    <row r="2664" spans="1:57" x14ac:dyDescent="0.25">
      <c r="A2664" s="1"/>
      <c r="H2664" s="1"/>
      <c r="O2664" s="1"/>
      <c r="V2664" s="1"/>
      <c r="AC2664" s="1"/>
      <c r="AJ2664" s="1"/>
      <c r="AQ2664" s="1"/>
      <c r="AX2664" s="1"/>
      <c r="BE2664" s="1"/>
    </row>
    <row r="2665" spans="1:57" x14ac:dyDescent="0.25">
      <c r="A2665" s="1"/>
      <c r="H2665" s="1"/>
      <c r="O2665" s="1"/>
      <c r="V2665" s="1"/>
      <c r="AC2665" s="1"/>
      <c r="AJ2665" s="1"/>
      <c r="AQ2665" s="1"/>
      <c r="AX2665" s="1"/>
      <c r="BE2665" s="1"/>
    </row>
    <row r="2666" spans="1:57" x14ac:dyDescent="0.25">
      <c r="A2666" s="1"/>
      <c r="H2666" s="1"/>
      <c r="O2666" s="1"/>
      <c r="V2666" s="1"/>
      <c r="AC2666" s="1"/>
      <c r="AJ2666" s="1"/>
      <c r="AQ2666" s="1"/>
      <c r="AX2666" s="1"/>
      <c r="BE2666" s="1"/>
    </row>
    <row r="2667" spans="1:57" x14ac:dyDescent="0.25">
      <c r="A2667" s="1"/>
      <c r="H2667" s="1"/>
      <c r="O2667" s="1"/>
      <c r="V2667" s="1"/>
      <c r="AC2667" s="1"/>
      <c r="AJ2667" s="1"/>
      <c r="AQ2667" s="1"/>
      <c r="AX2667" s="1"/>
      <c r="BE2667" s="1"/>
    </row>
    <row r="2668" spans="1:57" x14ac:dyDescent="0.25">
      <c r="A2668" s="1"/>
      <c r="H2668" s="1"/>
      <c r="O2668" s="1"/>
      <c r="V2668" s="1"/>
      <c r="AC2668" s="1"/>
      <c r="AJ2668" s="1"/>
      <c r="AQ2668" s="1"/>
      <c r="AX2668" s="1"/>
      <c r="BE2668" s="1"/>
    </row>
    <row r="2669" spans="1:57" x14ac:dyDescent="0.25">
      <c r="A2669" s="1"/>
      <c r="H2669" s="1"/>
      <c r="O2669" s="1"/>
      <c r="V2669" s="1"/>
      <c r="AC2669" s="1"/>
      <c r="AJ2669" s="1"/>
      <c r="AQ2669" s="1"/>
      <c r="AX2669" s="1"/>
      <c r="BE2669" s="1"/>
    </row>
    <row r="2670" spans="1:57" x14ac:dyDescent="0.25">
      <c r="A2670" s="1"/>
      <c r="H2670" s="1"/>
      <c r="O2670" s="1"/>
      <c r="V2670" s="1"/>
      <c r="AC2670" s="1"/>
      <c r="AJ2670" s="1"/>
      <c r="AQ2670" s="1"/>
      <c r="AX2670" s="1"/>
      <c r="BE2670" s="1"/>
    </row>
    <row r="2671" spans="1:57" x14ac:dyDescent="0.25">
      <c r="A2671" s="1"/>
      <c r="H2671" s="1"/>
      <c r="O2671" s="1"/>
      <c r="V2671" s="1"/>
      <c r="AC2671" s="1"/>
      <c r="AJ2671" s="1"/>
      <c r="AQ2671" s="1"/>
      <c r="AX2671" s="1"/>
      <c r="BE2671" s="1"/>
    </row>
    <row r="2672" spans="1:57" x14ac:dyDescent="0.25">
      <c r="A2672" s="1"/>
      <c r="H2672" s="1"/>
      <c r="O2672" s="1"/>
      <c r="V2672" s="1"/>
      <c r="AC2672" s="1"/>
      <c r="AJ2672" s="1"/>
      <c r="AQ2672" s="1"/>
      <c r="AX2672" s="1"/>
      <c r="BE2672" s="1"/>
    </row>
    <row r="2673" spans="1:57" x14ac:dyDescent="0.25">
      <c r="A2673" s="1"/>
      <c r="H2673" s="1"/>
      <c r="O2673" s="1"/>
      <c r="V2673" s="1"/>
      <c r="AC2673" s="1"/>
      <c r="AJ2673" s="1"/>
      <c r="AQ2673" s="1"/>
      <c r="AX2673" s="1"/>
      <c r="BE2673" s="1"/>
    </row>
    <row r="2674" spans="1:57" x14ac:dyDescent="0.25">
      <c r="A2674" s="1"/>
      <c r="H2674" s="1"/>
      <c r="O2674" s="1"/>
      <c r="V2674" s="1"/>
      <c r="AC2674" s="1"/>
      <c r="AJ2674" s="1"/>
      <c r="AQ2674" s="1"/>
      <c r="AX2674" s="1"/>
      <c r="BE2674" s="1"/>
    </row>
    <row r="2675" spans="1:57" x14ac:dyDescent="0.25">
      <c r="A2675" s="1"/>
      <c r="H2675" s="1"/>
      <c r="O2675" s="1"/>
      <c r="V2675" s="1"/>
      <c r="AC2675" s="1"/>
      <c r="AJ2675" s="1"/>
      <c r="AQ2675" s="1"/>
      <c r="AX2675" s="1"/>
      <c r="BE2675" s="1"/>
    </row>
    <row r="2676" spans="1:57" x14ac:dyDescent="0.25">
      <c r="A2676" s="1"/>
      <c r="H2676" s="1"/>
      <c r="O2676" s="1"/>
      <c r="V2676" s="1"/>
      <c r="AC2676" s="1"/>
      <c r="AJ2676" s="1"/>
      <c r="AQ2676" s="1"/>
      <c r="AX2676" s="1"/>
      <c r="BE2676" s="1"/>
    </row>
    <row r="2677" spans="1:57" x14ac:dyDescent="0.25">
      <c r="A2677" s="1"/>
      <c r="H2677" s="1"/>
      <c r="O2677" s="1"/>
      <c r="V2677" s="1"/>
      <c r="AC2677" s="1"/>
      <c r="AJ2677" s="1"/>
      <c r="AQ2677" s="1"/>
      <c r="AX2677" s="1"/>
      <c r="BE2677" s="1"/>
    </row>
    <row r="2678" spans="1:57" x14ac:dyDescent="0.25">
      <c r="A2678" s="1"/>
      <c r="H2678" s="1"/>
      <c r="O2678" s="1"/>
      <c r="V2678" s="1"/>
      <c r="AC2678" s="1"/>
      <c r="AJ2678" s="1"/>
      <c r="AQ2678" s="1"/>
      <c r="AX2678" s="1"/>
      <c r="BE2678" s="1"/>
    </row>
    <row r="2679" spans="1:57" x14ac:dyDescent="0.25">
      <c r="A2679" s="1"/>
      <c r="H2679" s="1"/>
      <c r="O2679" s="1"/>
      <c r="V2679" s="1"/>
      <c r="AC2679" s="1"/>
      <c r="AJ2679" s="1"/>
      <c r="AQ2679" s="1"/>
      <c r="AX2679" s="1"/>
      <c r="BE2679" s="1"/>
    </row>
    <row r="2680" spans="1:57" x14ac:dyDescent="0.25">
      <c r="A2680" s="1"/>
      <c r="H2680" s="1"/>
      <c r="O2680" s="1"/>
      <c r="V2680" s="1"/>
      <c r="AC2680" s="1"/>
      <c r="AJ2680" s="1"/>
      <c r="AQ2680" s="1"/>
      <c r="AX2680" s="1"/>
      <c r="BE2680" s="1"/>
    </row>
    <row r="2681" spans="1:57" x14ac:dyDescent="0.25">
      <c r="A2681" s="1"/>
      <c r="H2681" s="1"/>
      <c r="O2681" s="1"/>
      <c r="V2681" s="1"/>
      <c r="AC2681" s="1"/>
      <c r="AJ2681" s="1"/>
      <c r="AQ2681" s="1"/>
      <c r="AX2681" s="1"/>
      <c r="BE2681" s="1"/>
    </row>
    <row r="2682" spans="1:57" x14ac:dyDescent="0.25">
      <c r="A2682" s="1"/>
      <c r="H2682" s="1"/>
      <c r="O2682" s="1"/>
      <c r="V2682" s="1"/>
      <c r="AC2682" s="1"/>
      <c r="AJ2682" s="1"/>
      <c r="AQ2682" s="1"/>
      <c r="AX2682" s="1"/>
      <c r="BE2682" s="1"/>
    </row>
    <row r="2683" spans="1:57" x14ac:dyDescent="0.25">
      <c r="A2683" s="1"/>
      <c r="H2683" s="1"/>
      <c r="O2683" s="1"/>
      <c r="V2683" s="1"/>
      <c r="AC2683" s="1"/>
      <c r="AJ2683" s="1"/>
      <c r="AQ2683" s="1"/>
      <c r="AX2683" s="1"/>
      <c r="BE2683" s="1"/>
    </row>
    <row r="2684" spans="1:57" x14ac:dyDescent="0.25">
      <c r="A2684" s="1"/>
      <c r="H2684" s="1"/>
      <c r="O2684" s="1"/>
      <c r="V2684" s="1"/>
      <c r="AC2684" s="1"/>
      <c r="AJ2684" s="1"/>
      <c r="AQ2684" s="1"/>
      <c r="AX2684" s="1"/>
      <c r="BE2684" s="1"/>
    </row>
    <row r="2685" spans="1:57" x14ac:dyDescent="0.25">
      <c r="A2685" s="1"/>
      <c r="H2685" s="1"/>
      <c r="O2685" s="1"/>
      <c r="V2685" s="1"/>
      <c r="AC2685" s="1"/>
      <c r="AJ2685" s="1"/>
      <c r="AQ2685" s="1"/>
      <c r="AX2685" s="1"/>
      <c r="BE2685" s="1"/>
    </row>
    <row r="2686" spans="1:57" x14ac:dyDescent="0.25">
      <c r="A2686" s="1"/>
      <c r="H2686" s="1"/>
      <c r="O2686" s="1"/>
      <c r="V2686" s="1"/>
      <c r="AC2686" s="1"/>
      <c r="AJ2686" s="1"/>
      <c r="AQ2686" s="1"/>
      <c r="AX2686" s="1"/>
      <c r="BE2686" s="1"/>
    </row>
    <row r="2687" spans="1:57" x14ac:dyDescent="0.25">
      <c r="A2687" s="1"/>
      <c r="H2687" s="1"/>
      <c r="O2687" s="1"/>
      <c r="V2687" s="1"/>
      <c r="AC2687" s="1"/>
      <c r="AJ2687" s="1"/>
      <c r="AQ2687" s="1"/>
      <c r="AX2687" s="1"/>
      <c r="BE2687" s="1"/>
    </row>
    <row r="2688" spans="1:57" x14ac:dyDescent="0.25">
      <c r="A2688" s="1"/>
      <c r="H2688" s="1"/>
      <c r="O2688" s="1"/>
      <c r="V2688" s="1"/>
      <c r="AC2688" s="1"/>
      <c r="AJ2688" s="1"/>
      <c r="AQ2688" s="1"/>
      <c r="AX2688" s="1"/>
      <c r="BE2688" s="1"/>
    </row>
    <row r="2689" spans="1:57" x14ac:dyDescent="0.25">
      <c r="A2689" s="1"/>
      <c r="H2689" s="1"/>
      <c r="O2689" s="1"/>
      <c r="V2689" s="1"/>
      <c r="AC2689" s="1"/>
      <c r="AJ2689" s="1"/>
      <c r="AQ2689" s="1"/>
      <c r="AX2689" s="1"/>
      <c r="BE2689" s="1"/>
    </row>
    <row r="2690" spans="1:57" x14ac:dyDescent="0.25">
      <c r="A2690" s="1"/>
      <c r="H2690" s="1"/>
      <c r="O2690" s="1"/>
      <c r="V2690" s="1"/>
      <c r="AC2690" s="1"/>
      <c r="AJ2690" s="1"/>
      <c r="AQ2690" s="1"/>
      <c r="AX2690" s="1"/>
      <c r="BE2690" s="1"/>
    </row>
    <row r="2691" spans="1:57" x14ac:dyDescent="0.25">
      <c r="A2691" s="1"/>
      <c r="H2691" s="1"/>
      <c r="O2691" s="1"/>
      <c r="V2691" s="1"/>
      <c r="AC2691" s="1"/>
      <c r="AJ2691" s="1"/>
      <c r="AQ2691" s="1"/>
      <c r="AX2691" s="1"/>
      <c r="BE2691" s="1"/>
    </row>
    <row r="2692" spans="1:57" x14ac:dyDescent="0.25">
      <c r="A2692" s="1"/>
      <c r="H2692" s="1"/>
      <c r="O2692" s="1"/>
      <c r="V2692" s="1"/>
      <c r="AC2692" s="1"/>
      <c r="AJ2692" s="1"/>
      <c r="AQ2692" s="1"/>
      <c r="AX2692" s="1"/>
      <c r="BE2692" s="1"/>
    </row>
    <row r="2693" spans="1:57" x14ac:dyDescent="0.25">
      <c r="A2693" s="1"/>
      <c r="H2693" s="1"/>
      <c r="O2693" s="1"/>
      <c r="V2693" s="1"/>
      <c r="AC2693" s="1"/>
      <c r="AJ2693" s="1"/>
      <c r="AQ2693" s="1"/>
      <c r="AX2693" s="1"/>
      <c r="BE2693" s="1"/>
    </row>
    <row r="2694" spans="1:57" x14ac:dyDescent="0.25">
      <c r="A2694" s="1"/>
      <c r="H2694" s="1"/>
      <c r="O2694" s="1"/>
      <c r="V2694" s="1"/>
      <c r="AC2694" s="1"/>
      <c r="AJ2694" s="1"/>
      <c r="AQ2694" s="1"/>
      <c r="AX2694" s="1"/>
      <c r="BE2694" s="1"/>
    </row>
    <row r="2695" spans="1:57" x14ac:dyDescent="0.25">
      <c r="A2695" s="1"/>
      <c r="H2695" s="1"/>
      <c r="O2695" s="1"/>
      <c r="V2695" s="1"/>
      <c r="AC2695" s="1"/>
      <c r="AJ2695" s="1"/>
      <c r="AQ2695" s="1"/>
      <c r="AX2695" s="1"/>
      <c r="BE2695" s="1"/>
    </row>
    <row r="2696" spans="1:57" x14ac:dyDescent="0.25">
      <c r="A2696" s="1"/>
      <c r="H2696" s="1"/>
      <c r="O2696" s="1"/>
      <c r="V2696" s="1"/>
      <c r="AC2696" s="1"/>
      <c r="AJ2696" s="1"/>
      <c r="AQ2696" s="1"/>
      <c r="AX2696" s="1"/>
      <c r="BE2696" s="1"/>
    </row>
    <row r="2697" spans="1:57" x14ac:dyDescent="0.25">
      <c r="A2697" s="1"/>
      <c r="H2697" s="1"/>
      <c r="O2697" s="1"/>
      <c r="V2697" s="1"/>
      <c r="AC2697" s="1"/>
      <c r="AJ2697" s="1"/>
      <c r="AQ2697" s="1"/>
      <c r="AX2697" s="1"/>
      <c r="BE2697" s="1"/>
    </row>
    <row r="2698" spans="1:57" x14ac:dyDescent="0.25">
      <c r="A2698" s="1"/>
      <c r="H2698" s="1"/>
      <c r="O2698" s="1"/>
      <c r="V2698" s="1"/>
      <c r="AC2698" s="1"/>
      <c r="AJ2698" s="1"/>
      <c r="AQ2698" s="1"/>
      <c r="AX2698" s="1"/>
      <c r="BE2698" s="1"/>
    </row>
    <row r="2699" spans="1:57" x14ac:dyDescent="0.25">
      <c r="A2699" s="1"/>
      <c r="H2699" s="1"/>
      <c r="O2699" s="1"/>
      <c r="V2699" s="1"/>
      <c r="AC2699" s="1"/>
      <c r="AJ2699" s="1"/>
      <c r="AQ2699" s="1"/>
      <c r="AX2699" s="1"/>
      <c r="BE2699" s="1"/>
    </row>
    <row r="2700" spans="1:57" x14ac:dyDescent="0.25">
      <c r="A2700" s="1"/>
      <c r="H2700" s="1"/>
      <c r="O2700" s="1"/>
      <c r="V2700" s="1"/>
      <c r="AC2700" s="1"/>
      <c r="AJ2700" s="1"/>
      <c r="AQ2700" s="1"/>
      <c r="AX2700" s="1"/>
      <c r="BE2700" s="1"/>
    </row>
    <row r="2701" spans="1:57" x14ac:dyDescent="0.25">
      <c r="A2701" s="1"/>
      <c r="H2701" s="1"/>
      <c r="O2701" s="1"/>
      <c r="V2701" s="1"/>
      <c r="AC2701" s="1"/>
      <c r="AJ2701" s="1"/>
      <c r="AQ2701" s="1"/>
      <c r="AX2701" s="1"/>
      <c r="BE2701" s="1"/>
    </row>
    <row r="2702" spans="1:57" x14ac:dyDescent="0.25">
      <c r="A2702" s="1"/>
      <c r="H2702" s="1"/>
      <c r="O2702" s="1"/>
      <c r="V2702" s="1"/>
      <c r="AC2702" s="1"/>
      <c r="AJ2702" s="1"/>
      <c r="AQ2702" s="1"/>
      <c r="AX2702" s="1"/>
      <c r="BE2702" s="1"/>
    </row>
    <row r="2703" spans="1:57" x14ac:dyDescent="0.25">
      <c r="A2703" s="1"/>
      <c r="H2703" s="1"/>
      <c r="O2703" s="1"/>
      <c r="V2703" s="1"/>
      <c r="AC2703" s="1"/>
      <c r="AJ2703" s="1"/>
      <c r="AQ2703" s="1"/>
      <c r="AX2703" s="1"/>
      <c r="BE2703" s="1"/>
    </row>
    <row r="2704" spans="1:57" x14ac:dyDescent="0.25">
      <c r="A2704" s="1"/>
      <c r="H2704" s="1"/>
      <c r="O2704" s="1"/>
      <c r="V2704" s="1"/>
      <c r="AC2704" s="1"/>
      <c r="AJ2704" s="1"/>
      <c r="AQ2704" s="1"/>
      <c r="AX2704" s="1"/>
      <c r="BE2704" s="1"/>
    </row>
    <row r="2705" spans="1:57" x14ac:dyDescent="0.25">
      <c r="A2705" s="1"/>
      <c r="H2705" s="1"/>
      <c r="O2705" s="1"/>
      <c r="V2705" s="1"/>
      <c r="AC2705" s="1"/>
      <c r="AJ2705" s="1"/>
      <c r="AQ2705" s="1"/>
      <c r="AX2705" s="1"/>
      <c r="BE2705" s="1"/>
    </row>
    <row r="2706" spans="1:57" x14ac:dyDescent="0.25">
      <c r="A2706" s="1"/>
      <c r="H2706" s="1"/>
      <c r="O2706" s="1"/>
      <c r="V2706" s="1"/>
      <c r="AC2706" s="1"/>
      <c r="AJ2706" s="1"/>
      <c r="AQ2706" s="1"/>
      <c r="AX2706" s="1"/>
      <c r="BE2706" s="1"/>
    </row>
    <row r="2707" spans="1:57" x14ac:dyDescent="0.25">
      <c r="A2707" s="1"/>
      <c r="H2707" s="1"/>
      <c r="O2707" s="1"/>
      <c r="V2707" s="1"/>
      <c r="AC2707" s="1"/>
      <c r="AJ2707" s="1"/>
      <c r="AQ2707" s="1"/>
      <c r="AX2707" s="1"/>
      <c r="BE2707" s="1"/>
    </row>
    <row r="2708" spans="1:57" x14ac:dyDescent="0.25">
      <c r="A2708" s="1"/>
      <c r="H2708" s="1"/>
      <c r="O2708" s="1"/>
      <c r="V2708" s="1"/>
      <c r="AC2708" s="1"/>
      <c r="AJ2708" s="1"/>
      <c r="AQ2708" s="1"/>
      <c r="AX2708" s="1"/>
      <c r="BE2708" s="1"/>
    </row>
    <row r="2709" spans="1:57" x14ac:dyDescent="0.25">
      <c r="A2709" s="1"/>
      <c r="H2709" s="1"/>
      <c r="O2709" s="1"/>
      <c r="V2709" s="1"/>
      <c r="AC2709" s="1"/>
      <c r="AJ2709" s="1"/>
      <c r="AQ2709" s="1"/>
      <c r="AX2709" s="1"/>
      <c r="BE2709" s="1"/>
    </row>
    <row r="2710" spans="1:57" x14ac:dyDescent="0.25">
      <c r="A2710" s="1"/>
      <c r="H2710" s="1"/>
      <c r="O2710" s="1"/>
      <c r="V2710" s="1"/>
      <c r="AC2710" s="1"/>
      <c r="AJ2710" s="1"/>
      <c r="AQ2710" s="1"/>
      <c r="AX2710" s="1"/>
      <c r="BE2710" s="1"/>
    </row>
    <row r="2711" spans="1:57" x14ac:dyDescent="0.25">
      <c r="A2711" s="1"/>
      <c r="H2711" s="1"/>
      <c r="O2711" s="1"/>
      <c r="V2711" s="1"/>
      <c r="AC2711" s="1"/>
      <c r="AJ2711" s="1"/>
      <c r="AQ2711" s="1"/>
      <c r="AX2711" s="1"/>
      <c r="BE2711" s="1"/>
    </row>
    <row r="2712" spans="1:57" x14ac:dyDescent="0.25">
      <c r="A2712" s="1"/>
      <c r="H2712" s="1"/>
      <c r="O2712" s="1"/>
      <c r="V2712" s="1"/>
      <c r="AC2712" s="1"/>
      <c r="AJ2712" s="1"/>
      <c r="AQ2712" s="1"/>
      <c r="AX2712" s="1"/>
      <c r="BE2712" s="1"/>
    </row>
    <row r="2713" spans="1:57" x14ac:dyDescent="0.25">
      <c r="A2713" s="1"/>
      <c r="H2713" s="1"/>
      <c r="O2713" s="1"/>
      <c r="V2713" s="1"/>
      <c r="AC2713" s="1"/>
      <c r="AJ2713" s="1"/>
      <c r="AQ2713" s="1"/>
      <c r="AX2713" s="1"/>
      <c r="BE2713" s="1"/>
    </row>
    <row r="2714" spans="1:57" x14ac:dyDescent="0.25">
      <c r="A2714" s="1"/>
      <c r="H2714" s="1"/>
      <c r="O2714" s="1"/>
      <c r="V2714" s="1"/>
      <c r="AC2714" s="1"/>
      <c r="AJ2714" s="1"/>
      <c r="AQ2714" s="1"/>
      <c r="AX2714" s="1"/>
      <c r="BE2714" s="1"/>
    </row>
    <row r="2715" spans="1:57" x14ac:dyDescent="0.25">
      <c r="A2715" s="1"/>
      <c r="H2715" s="1"/>
      <c r="O2715" s="1"/>
      <c r="V2715" s="1"/>
      <c r="AC2715" s="1"/>
      <c r="AJ2715" s="1"/>
      <c r="AQ2715" s="1"/>
      <c r="AX2715" s="1"/>
      <c r="BE2715" s="1"/>
    </row>
    <row r="2716" spans="1:57" x14ac:dyDescent="0.25">
      <c r="A2716" s="1"/>
      <c r="H2716" s="1"/>
      <c r="O2716" s="1"/>
      <c r="V2716" s="1"/>
      <c r="AC2716" s="1"/>
      <c r="AJ2716" s="1"/>
      <c r="AQ2716" s="1"/>
      <c r="AX2716" s="1"/>
      <c r="BE2716" s="1"/>
    </row>
    <row r="2717" spans="1:57" x14ac:dyDescent="0.25">
      <c r="A2717" s="1"/>
      <c r="H2717" s="1"/>
      <c r="O2717" s="1"/>
      <c r="V2717" s="1"/>
      <c r="AC2717" s="1"/>
      <c r="AJ2717" s="1"/>
      <c r="AQ2717" s="1"/>
      <c r="AX2717" s="1"/>
      <c r="BE2717" s="1"/>
    </row>
    <row r="2718" spans="1:57" x14ac:dyDescent="0.25">
      <c r="A2718" s="1"/>
      <c r="H2718" s="1"/>
      <c r="O2718" s="1"/>
      <c r="V2718" s="1"/>
      <c r="AC2718" s="1"/>
      <c r="AJ2718" s="1"/>
      <c r="AQ2718" s="1"/>
      <c r="AX2718" s="1"/>
      <c r="BE2718" s="1"/>
    </row>
    <row r="2719" spans="1:57" x14ac:dyDescent="0.25">
      <c r="A2719" s="1"/>
      <c r="H2719" s="1"/>
      <c r="O2719" s="1"/>
      <c r="V2719" s="1"/>
      <c r="AC2719" s="1"/>
      <c r="AJ2719" s="1"/>
      <c r="AQ2719" s="1"/>
      <c r="AX2719" s="1"/>
      <c r="BE2719" s="1"/>
    </row>
    <row r="2720" spans="1:57" x14ac:dyDescent="0.25">
      <c r="A2720" s="1"/>
      <c r="H2720" s="1"/>
      <c r="O2720" s="1"/>
      <c r="V2720" s="1"/>
      <c r="AC2720" s="1"/>
      <c r="AJ2720" s="1"/>
      <c r="AQ2720" s="1"/>
      <c r="AX2720" s="1"/>
      <c r="BE2720" s="1"/>
    </row>
    <row r="2721" spans="1:57" x14ac:dyDescent="0.25">
      <c r="A2721" s="1"/>
      <c r="H2721" s="1"/>
      <c r="O2721" s="1"/>
      <c r="V2721" s="1"/>
      <c r="AC2721" s="1"/>
      <c r="AJ2721" s="1"/>
      <c r="AQ2721" s="1"/>
      <c r="AX2721" s="1"/>
      <c r="BE2721" s="1"/>
    </row>
    <row r="2722" spans="1:57" x14ac:dyDescent="0.25">
      <c r="A2722" s="1"/>
      <c r="H2722" s="1"/>
      <c r="O2722" s="1"/>
      <c r="V2722" s="1"/>
      <c r="AC2722" s="1"/>
      <c r="AJ2722" s="1"/>
      <c r="AQ2722" s="1"/>
      <c r="AX2722" s="1"/>
      <c r="BE2722" s="1"/>
    </row>
    <row r="2723" spans="1:57" x14ac:dyDescent="0.25">
      <c r="A2723" s="1"/>
      <c r="H2723" s="1"/>
      <c r="O2723" s="1"/>
      <c r="V2723" s="1"/>
      <c r="AC2723" s="1"/>
      <c r="AJ2723" s="1"/>
      <c r="AQ2723" s="1"/>
      <c r="AX2723" s="1"/>
      <c r="BE2723" s="1"/>
    </row>
    <row r="2724" spans="1:57" x14ac:dyDescent="0.25">
      <c r="A2724" s="1"/>
      <c r="H2724" s="1"/>
      <c r="O2724" s="1"/>
      <c r="V2724" s="1"/>
      <c r="AC2724" s="1"/>
      <c r="AJ2724" s="1"/>
      <c r="AQ2724" s="1"/>
      <c r="AX2724" s="1"/>
      <c r="BE2724" s="1"/>
    </row>
    <row r="2725" spans="1:57" x14ac:dyDescent="0.25">
      <c r="A2725" s="1"/>
      <c r="H2725" s="1"/>
      <c r="O2725" s="1"/>
      <c r="V2725" s="1"/>
      <c r="AC2725" s="1"/>
      <c r="AJ2725" s="1"/>
      <c r="AQ2725" s="1"/>
      <c r="AX2725" s="1"/>
      <c r="BE2725" s="1"/>
    </row>
    <row r="2726" spans="1:57" x14ac:dyDescent="0.25">
      <c r="A2726" s="1"/>
      <c r="H2726" s="1"/>
      <c r="O2726" s="1"/>
      <c r="V2726" s="1"/>
      <c r="AC2726" s="1"/>
      <c r="AJ2726" s="1"/>
      <c r="AQ2726" s="1"/>
      <c r="AX2726" s="1"/>
      <c r="BE2726" s="1"/>
    </row>
    <row r="2727" spans="1:57" x14ac:dyDescent="0.25">
      <c r="A2727" s="1"/>
      <c r="H2727" s="1"/>
      <c r="O2727" s="1"/>
      <c r="V2727" s="1"/>
      <c r="AC2727" s="1"/>
      <c r="AJ2727" s="1"/>
      <c r="AQ2727" s="1"/>
      <c r="AX2727" s="1"/>
      <c r="BE2727" s="1"/>
    </row>
    <row r="2728" spans="1:57" x14ac:dyDescent="0.25">
      <c r="A2728" s="1"/>
      <c r="H2728" s="1"/>
      <c r="O2728" s="1"/>
      <c r="V2728" s="1"/>
      <c r="AC2728" s="1"/>
      <c r="AJ2728" s="1"/>
      <c r="AQ2728" s="1"/>
      <c r="AX2728" s="1"/>
      <c r="BE2728" s="1"/>
    </row>
    <row r="2729" spans="1:57" x14ac:dyDescent="0.25">
      <c r="A2729" s="1"/>
      <c r="H2729" s="1"/>
      <c r="O2729" s="1"/>
      <c r="V2729" s="1"/>
      <c r="AC2729" s="1"/>
      <c r="AJ2729" s="1"/>
      <c r="AQ2729" s="1"/>
      <c r="AX2729" s="1"/>
      <c r="BE2729" s="1"/>
    </row>
    <row r="2730" spans="1:57" x14ac:dyDescent="0.25">
      <c r="A2730" s="1"/>
      <c r="H2730" s="1"/>
      <c r="O2730" s="1"/>
      <c r="V2730" s="1"/>
      <c r="AC2730" s="1"/>
      <c r="AJ2730" s="1"/>
      <c r="AQ2730" s="1"/>
      <c r="AX2730" s="1"/>
      <c r="BE2730" s="1"/>
    </row>
    <row r="2731" spans="1:57" x14ac:dyDescent="0.25">
      <c r="A2731" s="1"/>
      <c r="H2731" s="1"/>
      <c r="O2731" s="1"/>
      <c r="V2731" s="1"/>
      <c r="AC2731" s="1"/>
      <c r="AJ2731" s="1"/>
      <c r="AQ2731" s="1"/>
      <c r="AX2731" s="1"/>
      <c r="BE2731" s="1"/>
    </row>
    <row r="2732" spans="1:57" x14ac:dyDescent="0.25">
      <c r="A2732" s="1"/>
      <c r="H2732" s="1"/>
      <c r="O2732" s="1"/>
      <c r="V2732" s="1"/>
      <c r="AC2732" s="1"/>
      <c r="AJ2732" s="1"/>
      <c r="AQ2732" s="1"/>
      <c r="AX2732" s="1"/>
      <c r="BE2732" s="1"/>
    </row>
    <row r="2733" spans="1:57" x14ac:dyDescent="0.25">
      <c r="A2733" s="1"/>
      <c r="H2733" s="1"/>
      <c r="O2733" s="1"/>
      <c r="V2733" s="1"/>
      <c r="AC2733" s="1"/>
      <c r="AJ2733" s="1"/>
      <c r="AQ2733" s="1"/>
      <c r="AX2733" s="1"/>
      <c r="BE2733" s="1"/>
    </row>
    <row r="2734" spans="1:57" x14ac:dyDescent="0.25">
      <c r="A2734" s="1"/>
      <c r="H2734" s="1"/>
      <c r="O2734" s="1"/>
      <c r="V2734" s="1"/>
      <c r="AC2734" s="1"/>
      <c r="AJ2734" s="1"/>
      <c r="AQ2734" s="1"/>
      <c r="AX2734" s="1"/>
      <c r="BE2734" s="1"/>
    </row>
    <row r="2735" spans="1:57" x14ac:dyDescent="0.25">
      <c r="A2735" s="1"/>
      <c r="H2735" s="1"/>
      <c r="O2735" s="1"/>
      <c r="V2735" s="1"/>
      <c r="AC2735" s="1"/>
      <c r="AJ2735" s="1"/>
      <c r="AQ2735" s="1"/>
      <c r="AX2735" s="1"/>
      <c r="BE2735" s="1"/>
    </row>
    <row r="2736" spans="1:57" x14ac:dyDescent="0.25">
      <c r="A2736" s="1"/>
      <c r="H2736" s="1"/>
      <c r="O2736" s="1"/>
      <c r="V2736" s="1"/>
      <c r="AC2736" s="1"/>
      <c r="AJ2736" s="1"/>
      <c r="AQ2736" s="1"/>
      <c r="AX2736" s="1"/>
      <c r="BE2736" s="1"/>
    </row>
    <row r="2737" spans="1:57" x14ac:dyDescent="0.25">
      <c r="A2737" s="1"/>
      <c r="H2737" s="1"/>
      <c r="O2737" s="1"/>
      <c r="V2737" s="1"/>
      <c r="AC2737" s="1"/>
      <c r="AJ2737" s="1"/>
      <c r="AQ2737" s="1"/>
      <c r="AX2737" s="1"/>
      <c r="BE2737" s="1"/>
    </row>
    <row r="2738" spans="1:57" x14ac:dyDescent="0.25">
      <c r="A2738" s="1"/>
      <c r="H2738" s="1"/>
      <c r="O2738" s="1"/>
      <c r="V2738" s="1"/>
      <c r="AC2738" s="1"/>
      <c r="AJ2738" s="1"/>
      <c r="AQ2738" s="1"/>
      <c r="AX2738" s="1"/>
      <c r="BE2738" s="1"/>
    </row>
    <row r="2739" spans="1:57" x14ac:dyDescent="0.25">
      <c r="A2739" s="1"/>
      <c r="H2739" s="1"/>
      <c r="O2739" s="1"/>
      <c r="V2739" s="1"/>
      <c r="AC2739" s="1"/>
      <c r="AJ2739" s="1"/>
      <c r="AQ2739" s="1"/>
      <c r="AX2739" s="1"/>
      <c r="BE2739" s="1"/>
    </row>
    <row r="2740" spans="1:57" x14ac:dyDescent="0.25">
      <c r="A2740" s="1"/>
      <c r="H2740" s="1"/>
      <c r="O2740" s="1"/>
      <c r="V2740" s="1"/>
      <c r="AC2740" s="1"/>
      <c r="AJ2740" s="1"/>
      <c r="AQ2740" s="1"/>
      <c r="AX2740" s="1"/>
      <c r="BE2740" s="1"/>
    </row>
    <row r="2741" spans="1:57" x14ac:dyDescent="0.25">
      <c r="A2741" s="1"/>
      <c r="H2741" s="1"/>
      <c r="O2741" s="1"/>
      <c r="V2741" s="1"/>
      <c r="AC2741" s="1"/>
      <c r="AJ2741" s="1"/>
      <c r="AQ2741" s="1"/>
      <c r="AX2741" s="1"/>
      <c r="BE2741" s="1"/>
    </row>
    <row r="2742" spans="1:57" x14ac:dyDescent="0.25">
      <c r="A2742" s="1"/>
      <c r="H2742" s="1"/>
      <c r="O2742" s="1"/>
      <c r="V2742" s="1"/>
      <c r="AC2742" s="1"/>
      <c r="AJ2742" s="1"/>
      <c r="AQ2742" s="1"/>
      <c r="AX2742" s="1"/>
      <c r="BE2742" s="1"/>
    </row>
    <row r="2743" spans="1:57" x14ac:dyDescent="0.25">
      <c r="A2743" s="1"/>
      <c r="H2743" s="1"/>
      <c r="O2743" s="1"/>
      <c r="V2743" s="1"/>
      <c r="AC2743" s="1"/>
      <c r="AJ2743" s="1"/>
      <c r="AQ2743" s="1"/>
      <c r="AX2743" s="1"/>
      <c r="BE2743" s="1"/>
    </row>
    <row r="2744" spans="1:57" x14ac:dyDescent="0.25">
      <c r="A2744" s="1"/>
      <c r="H2744" s="1"/>
      <c r="O2744" s="1"/>
      <c r="V2744" s="1"/>
      <c r="AC2744" s="1"/>
      <c r="AJ2744" s="1"/>
      <c r="AQ2744" s="1"/>
      <c r="AX2744" s="1"/>
      <c r="BE2744" s="1"/>
    </row>
    <row r="2745" spans="1:57" x14ac:dyDescent="0.25">
      <c r="A2745" s="1"/>
      <c r="H2745" s="1"/>
      <c r="O2745" s="1"/>
      <c r="V2745" s="1"/>
      <c r="AC2745" s="1"/>
      <c r="AJ2745" s="1"/>
      <c r="AQ2745" s="1"/>
      <c r="AX2745" s="1"/>
      <c r="BE2745" s="1"/>
    </row>
    <row r="2746" spans="1:57" x14ac:dyDescent="0.25">
      <c r="A2746" s="1"/>
      <c r="H2746" s="1"/>
      <c r="O2746" s="1"/>
      <c r="V2746" s="1"/>
      <c r="AC2746" s="1"/>
      <c r="AJ2746" s="1"/>
      <c r="AQ2746" s="1"/>
      <c r="AX2746" s="1"/>
      <c r="BE2746" s="1"/>
    </row>
    <row r="2747" spans="1:57" x14ac:dyDescent="0.25">
      <c r="A2747" s="1"/>
      <c r="H2747" s="1"/>
      <c r="O2747" s="1"/>
      <c r="V2747" s="1"/>
      <c r="AC2747" s="1"/>
      <c r="AJ2747" s="1"/>
      <c r="AQ2747" s="1"/>
      <c r="AX2747" s="1"/>
      <c r="BE2747" s="1"/>
    </row>
    <row r="2748" spans="1:57" x14ac:dyDescent="0.25">
      <c r="A2748" s="1"/>
      <c r="H2748" s="1"/>
      <c r="O2748" s="1"/>
      <c r="V2748" s="1"/>
      <c r="AC2748" s="1"/>
      <c r="AJ2748" s="1"/>
      <c r="AQ2748" s="1"/>
      <c r="AX2748" s="1"/>
      <c r="BE2748" s="1"/>
    </row>
    <row r="2749" spans="1:57" x14ac:dyDescent="0.25">
      <c r="A2749" s="1"/>
      <c r="H2749" s="1"/>
      <c r="O2749" s="1"/>
      <c r="V2749" s="1"/>
      <c r="AC2749" s="1"/>
      <c r="AJ2749" s="1"/>
      <c r="AQ2749" s="1"/>
      <c r="AX2749" s="1"/>
      <c r="BE2749" s="1"/>
    </row>
    <row r="2750" spans="1:57" x14ac:dyDescent="0.25">
      <c r="A2750" s="1"/>
      <c r="H2750" s="1"/>
      <c r="O2750" s="1"/>
      <c r="V2750" s="1"/>
      <c r="AC2750" s="1"/>
      <c r="AJ2750" s="1"/>
      <c r="AQ2750" s="1"/>
      <c r="AX2750" s="1"/>
      <c r="BE2750" s="1"/>
    </row>
    <row r="2751" spans="1:57" x14ac:dyDescent="0.25">
      <c r="A2751" s="1"/>
      <c r="H2751" s="1"/>
      <c r="O2751" s="1"/>
      <c r="V2751" s="1"/>
      <c r="AC2751" s="1"/>
      <c r="AJ2751" s="1"/>
      <c r="AQ2751" s="1"/>
      <c r="AX2751" s="1"/>
      <c r="BE2751" s="1"/>
    </row>
    <row r="2752" spans="1:57" x14ac:dyDescent="0.25">
      <c r="A2752" s="1"/>
      <c r="H2752" s="1"/>
      <c r="O2752" s="1"/>
      <c r="V2752" s="1"/>
      <c r="AC2752" s="1"/>
      <c r="AJ2752" s="1"/>
      <c r="AQ2752" s="1"/>
      <c r="AX2752" s="1"/>
      <c r="BE2752" s="1"/>
    </row>
    <row r="2753" spans="1:57" x14ac:dyDescent="0.25">
      <c r="A2753" s="1"/>
      <c r="H2753" s="1"/>
      <c r="O2753" s="1"/>
      <c r="V2753" s="1"/>
      <c r="AC2753" s="1"/>
      <c r="AJ2753" s="1"/>
      <c r="AQ2753" s="1"/>
      <c r="AX2753" s="1"/>
      <c r="BE2753" s="1"/>
    </row>
    <row r="2754" spans="1:57" x14ac:dyDescent="0.25">
      <c r="A2754" s="1"/>
      <c r="H2754" s="1"/>
      <c r="O2754" s="1"/>
      <c r="V2754" s="1"/>
      <c r="AC2754" s="1"/>
      <c r="AJ2754" s="1"/>
      <c r="AQ2754" s="1"/>
      <c r="AX2754" s="1"/>
      <c r="BE2754" s="1"/>
    </row>
    <row r="2755" spans="1:57" x14ac:dyDescent="0.25">
      <c r="A2755" s="1"/>
      <c r="H2755" s="1"/>
      <c r="O2755" s="1"/>
      <c r="V2755" s="1"/>
      <c r="AC2755" s="1"/>
      <c r="AJ2755" s="1"/>
      <c r="AQ2755" s="1"/>
      <c r="AX2755" s="1"/>
      <c r="BE2755" s="1"/>
    </row>
    <row r="2756" spans="1:57" x14ac:dyDescent="0.25">
      <c r="A2756" s="1"/>
      <c r="H2756" s="1"/>
      <c r="O2756" s="1"/>
      <c r="V2756" s="1"/>
      <c r="AC2756" s="1"/>
      <c r="AJ2756" s="1"/>
      <c r="AQ2756" s="1"/>
      <c r="AX2756" s="1"/>
      <c r="BE2756" s="1"/>
    </row>
    <row r="2757" spans="1:57" x14ac:dyDescent="0.25">
      <c r="A2757" s="1"/>
      <c r="H2757" s="1"/>
      <c r="O2757" s="1"/>
      <c r="V2757" s="1"/>
      <c r="AC2757" s="1"/>
      <c r="AJ2757" s="1"/>
      <c r="AQ2757" s="1"/>
      <c r="AX2757" s="1"/>
      <c r="BE2757" s="1"/>
    </row>
    <row r="2758" spans="1:57" x14ac:dyDescent="0.25">
      <c r="A2758" s="1"/>
      <c r="H2758" s="1"/>
      <c r="O2758" s="1"/>
      <c r="V2758" s="1"/>
      <c r="AC2758" s="1"/>
      <c r="AJ2758" s="1"/>
      <c r="AQ2758" s="1"/>
      <c r="AX2758" s="1"/>
      <c r="BE2758" s="1"/>
    </row>
    <row r="2759" spans="1:57" x14ac:dyDescent="0.25">
      <c r="A2759" s="1"/>
      <c r="H2759" s="1"/>
      <c r="O2759" s="1"/>
      <c r="V2759" s="1"/>
      <c r="AC2759" s="1"/>
      <c r="AJ2759" s="1"/>
      <c r="AQ2759" s="1"/>
      <c r="AX2759" s="1"/>
      <c r="BE2759" s="1"/>
    </row>
    <row r="2760" spans="1:57" x14ac:dyDescent="0.25">
      <c r="A2760" s="1"/>
      <c r="H2760" s="1"/>
      <c r="O2760" s="1"/>
      <c r="V2760" s="1"/>
      <c r="AC2760" s="1"/>
      <c r="AJ2760" s="1"/>
      <c r="AQ2760" s="1"/>
      <c r="AX2760" s="1"/>
      <c r="BE2760" s="1"/>
    </row>
    <row r="2761" spans="1:57" x14ac:dyDescent="0.25">
      <c r="A2761" s="1"/>
      <c r="H2761" s="1"/>
      <c r="O2761" s="1"/>
      <c r="V2761" s="1"/>
      <c r="AC2761" s="1"/>
      <c r="AJ2761" s="1"/>
      <c r="AQ2761" s="1"/>
      <c r="AX2761" s="1"/>
      <c r="BE2761" s="1"/>
    </row>
    <row r="2762" spans="1:57" x14ac:dyDescent="0.25">
      <c r="A2762" s="1"/>
      <c r="H2762" s="1"/>
      <c r="O2762" s="1"/>
      <c r="V2762" s="1"/>
      <c r="AC2762" s="1"/>
      <c r="AJ2762" s="1"/>
      <c r="AQ2762" s="1"/>
      <c r="AX2762" s="1"/>
      <c r="BE2762" s="1"/>
    </row>
    <row r="2763" spans="1:57" x14ac:dyDescent="0.25">
      <c r="A2763" s="1"/>
      <c r="H2763" s="1"/>
      <c r="O2763" s="1"/>
      <c r="V2763" s="1"/>
      <c r="AC2763" s="1"/>
      <c r="AJ2763" s="1"/>
      <c r="AQ2763" s="1"/>
      <c r="AX2763" s="1"/>
      <c r="BE2763" s="1"/>
    </row>
    <row r="2764" spans="1:57" x14ac:dyDescent="0.25">
      <c r="A2764" s="1"/>
      <c r="H2764" s="1"/>
      <c r="O2764" s="1"/>
      <c r="V2764" s="1"/>
      <c r="AC2764" s="1"/>
      <c r="AJ2764" s="1"/>
      <c r="AQ2764" s="1"/>
      <c r="AX2764" s="1"/>
      <c r="BE2764" s="1"/>
    </row>
    <row r="2765" spans="1:57" x14ac:dyDescent="0.25">
      <c r="A2765" s="1"/>
      <c r="H2765" s="1"/>
      <c r="O2765" s="1"/>
      <c r="V2765" s="1"/>
      <c r="AC2765" s="1"/>
      <c r="AJ2765" s="1"/>
      <c r="AQ2765" s="1"/>
      <c r="AX2765" s="1"/>
      <c r="BE2765" s="1"/>
    </row>
    <row r="2766" spans="1:57" x14ac:dyDescent="0.25">
      <c r="A2766" s="1"/>
      <c r="H2766" s="1"/>
      <c r="O2766" s="1"/>
      <c r="V2766" s="1"/>
      <c r="AC2766" s="1"/>
      <c r="AJ2766" s="1"/>
      <c r="AQ2766" s="1"/>
      <c r="AX2766" s="1"/>
      <c r="BE2766" s="1"/>
    </row>
    <row r="2767" spans="1:57" x14ac:dyDescent="0.25">
      <c r="A2767" s="1"/>
      <c r="H2767" s="1"/>
      <c r="O2767" s="1"/>
      <c r="V2767" s="1"/>
      <c r="AC2767" s="1"/>
      <c r="AJ2767" s="1"/>
      <c r="AQ2767" s="1"/>
      <c r="AX2767" s="1"/>
      <c r="BE2767" s="1"/>
    </row>
    <row r="2768" spans="1:57" x14ac:dyDescent="0.25">
      <c r="A2768" s="1"/>
      <c r="H2768" s="1"/>
      <c r="O2768" s="1"/>
      <c r="V2768" s="1"/>
      <c r="AC2768" s="1"/>
      <c r="AJ2768" s="1"/>
      <c r="AQ2768" s="1"/>
      <c r="AX2768" s="1"/>
      <c r="BE2768" s="1"/>
    </row>
    <row r="2769" spans="1:57" x14ac:dyDescent="0.25">
      <c r="A2769" s="1"/>
      <c r="H2769" s="1"/>
      <c r="O2769" s="1"/>
      <c r="V2769" s="1"/>
      <c r="AC2769" s="1"/>
      <c r="AJ2769" s="1"/>
      <c r="AQ2769" s="1"/>
      <c r="AX2769" s="1"/>
      <c r="BE2769" s="1"/>
    </row>
    <row r="2770" spans="1:57" x14ac:dyDescent="0.25">
      <c r="A2770" s="1"/>
      <c r="H2770" s="1"/>
      <c r="O2770" s="1"/>
      <c r="V2770" s="1"/>
      <c r="AC2770" s="1"/>
      <c r="AJ2770" s="1"/>
      <c r="AQ2770" s="1"/>
      <c r="AX2770" s="1"/>
      <c r="BE2770" s="1"/>
    </row>
    <row r="2771" spans="1:57" x14ac:dyDescent="0.25">
      <c r="A2771" s="1"/>
      <c r="H2771" s="1"/>
      <c r="O2771" s="1"/>
      <c r="V2771" s="1"/>
      <c r="AC2771" s="1"/>
      <c r="AJ2771" s="1"/>
      <c r="AQ2771" s="1"/>
      <c r="AX2771" s="1"/>
      <c r="BE2771" s="1"/>
    </row>
    <row r="2772" spans="1:57" x14ac:dyDescent="0.25">
      <c r="A2772" s="1"/>
      <c r="H2772" s="1"/>
      <c r="O2772" s="1"/>
      <c r="V2772" s="1"/>
      <c r="AC2772" s="1"/>
      <c r="AJ2772" s="1"/>
      <c r="AQ2772" s="1"/>
      <c r="AX2772" s="1"/>
      <c r="BE2772" s="1"/>
    </row>
    <row r="2773" spans="1:57" x14ac:dyDescent="0.25">
      <c r="A2773" s="1"/>
      <c r="H2773" s="1"/>
      <c r="O2773" s="1"/>
      <c r="V2773" s="1"/>
      <c r="AC2773" s="1"/>
      <c r="AJ2773" s="1"/>
      <c r="AQ2773" s="1"/>
      <c r="AX2773" s="1"/>
      <c r="BE2773" s="1"/>
    </row>
    <row r="2774" spans="1:57" x14ac:dyDescent="0.25">
      <c r="A2774" s="1"/>
      <c r="H2774" s="1"/>
      <c r="O2774" s="1"/>
      <c r="V2774" s="1"/>
      <c r="AC2774" s="1"/>
      <c r="AJ2774" s="1"/>
      <c r="AQ2774" s="1"/>
      <c r="AX2774" s="1"/>
      <c r="BE2774" s="1"/>
    </row>
    <row r="2775" spans="1:57" x14ac:dyDescent="0.25">
      <c r="A2775" s="1"/>
      <c r="H2775" s="1"/>
      <c r="O2775" s="1"/>
      <c r="V2775" s="1"/>
      <c r="AC2775" s="1"/>
      <c r="AJ2775" s="1"/>
      <c r="AQ2775" s="1"/>
      <c r="AX2775" s="1"/>
      <c r="BE2775" s="1"/>
    </row>
    <row r="2776" spans="1:57" x14ac:dyDescent="0.25">
      <c r="A2776" s="1"/>
      <c r="H2776" s="1"/>
      <c r="O2776" s="1"/>
      <c r="V2776" s="1"/>
      <c r="AC2776" s="1"/>
      <c r="AJ2776" s="1"/>
      <c r="AQ2776" s="1"/>
      <c r="AX2776" s="1"/>
      <c r="BE2776" s="1"/>
    </row>
    <row r="2777" spans="1:57" x14ac:dyDescent="0.25">
      <c r="A2777" s="1"/>
      <c r="H2777" s="1"/>
      <c r="O2777" s="1"/>
      <c r="V2777" s="1"/>
      <c r="AC2777" s="1"/>
      <c r="AJ2777" s="1"/>
      <c r="AQ2777" s="1"/>
      <c r="AX2777" s="1"/>
      <c r="BE2777" s="1"/>
    </row>
    <row r="2778" spans="1:57" x14ac:dyDescent="0.25">
      <c r="A2778" s="1"/>
      <c r="H2778" s="1"/>
      <c r="O2778" s="1"/>
      <c r="V2778" s="1"/>
      <c r="AC2778" s="1"/>
      <c r="AJ2778" s="1"/>
      <c r="AQ2778" s="1"/>
      <c r="AX2778" s="1"/>
      <c r="BE2778" s="1"/>
    </row>
    <row r="2779" spans="1:57" x14ac:dyDescent="0.25">
      <c r="A2779" s="1"/>
      <c r="H2779" s="1"/>
      <c r="O2779" s="1"/>
      <c r="V2779" s="1"/>
      <c r="AC2779" s="1"/>
      <c r="AJ2779" s="1"/>
      <c r="AQ2779" s="1"/>
      <c r="AX2779" s="1"/>
      <c r="BE2779" s="1"/>
    </row>
    <row r="2780" spans="1:57" x14ac:dyDescent="0.25">
      <c r="A2780" s="1"/>
      <c r="H2780" s="1"/>
      <c r="O2780" s="1"/>
      <c r="V2780" s="1"/>
      <c r="AC2780" s="1"/>
      <c r="AJ2780" s="1"/>
      <c r="AQ2780" s="1"/>
      <c r="AX2780" s="1"/>
      <c r="BE2780" s="1"/>
    </row>
    <row r="2781" spans="1:57" x14ac:dyDescent="0.25">
      <c r="A2781" s="1"/>
      <c r="H2781" s="1"/>
      <c r="O2781" s="1"/>
      <c r="V2781" s="1"/>
      <c r="AC2781" s="1"/>
      <c r="AJ2781" s="1"/>
      <c r="AQ2781" s="1"/>
      <c r="AX2781" s="1"/>
      <c r="BE2781" s="1"/>
    </row>
    <row r="2782" spans="1:57" x14ac:dyDescent="0.25">
      <c r="A2782" s="1"/>
      <c r="H2782" s="1"/>
      <c r="O2782" s="1"/>
      <c r="V2782" s="1"/>
      <c r="AC2782" s="1"/>
      <c r="AJ2782" s="1"/>
      <c r="AQ2782" s="1"/>
      <c r="AX2782" s="1"/>
      <c r="BE2782" s="1"/>
    </row>
    <row r="2783" spans="1:57" x14ac:dyDescent="0.25">
      <c r="A2783" s="1"/>
      <c r="H2783" s="1"/>
      <c r="O2783" s="1"/>
      <c r="V2783" s="1"/>
      <c r="AC2783" s="1"/>
      <c r="AJ2783" s="1"/>
      <c r="AQ2783" s="1"/>
      <c r="AX2783" s="1"/>
      <c r="BE2783" s="1"/>
    </row>
    <row r="2784" spans="1:57" x14ac:dyDescent="0.25">
      <c r="A2784" s="1"/>
      <c r="H2784" s="1"/>
      <c r="O2784" s="1"/>
      <c r="V2784" s="1"/>
      <c r="AC2784" s="1"/>
      <c r="AJ2784" s="1"/>
      <c r="AQ2784" s="1"/>
      <c r="AX2784" s="1"/>
      <c r="BE2784" s="1"/>
    </row>
    <row r="2785" spans="1:57" x14ac:dyDescent="0.25">
      <c r="A2785" s="1"/>
      <c r="H2785" s="1"/>
      <c r="O2785" s="1"/>
      <c r="V2785" s="1"/>
      <c r="AC2785" s="1"/>
      <c r="AJ2785" s="1"/>
      <c r="AQ2785" s="1"/>
      <c r="AX2785" s="1"/>
      <c r="BE2785" s="1"/>
    </row>
    <row r="2786" spans="1:57" x14ac:dyDescent="0.25">
      <c r="A2786" s="1"/>
      <c r="H2786" s="1"/>
      <c r="O2786" s="1"/>
      <c r="V2786" s="1"/>
      <c r="AC2786" s="1"/>
      <c r="AJ2786" s="1"/>
      <c r="AQ2786" s="1"/>
      <c r="AX2786" s="1"/>
      <c r="BE2786" s="1"/>
    </row>
    <row r="2787" spans="1:57" x14ac:dyDescent="0.25">
      <c r="A2787" s="1"/>
      <c r="H2787" s="1"/>
      <c r="O2787" s="1"/>
      <c r="V2787" s="1"/>
      <c r="AC2787" s="1"/>
      <c r="AJ2787" s="1"/>
      <c r="AQ2787" s="1"/>
      <c r="AX2787" s="1"/>
      <c r="BE2787" s="1"/>
    </row>
    <row r="2788" spans="1:57" x14ac:dyDescent="0.25">
      <c r="A2788" s="1"/>
      <c r="H2788" s="1"/>
      <c r="O2788" s="1"/>
      <c r="V2788" s="1"/>
      <c r="AC2788" s="1"/>
      <c r="AJ2788" s="1"/>
      <c r="AQ2788" s="1"/>
      <c r="AX2788" s="1"/>
      <c r="BE2788" s="1"/>
    </row>
    <row r="2789" spans="1:57" x14ac:dyDescent="0.25">
      <c r="A2789" s="1"/>
      <c r="H2789" s="1"/>
      <c r="O2789" s="1"/>
      <c r="V2789" s="1"/>
      <c r="AC2789" s="1"/>
      <c r="AJ2789" s="1"/>
      <c r="AQ2789" s="1"/>
      <c r="AX2789" s="1"/>
      <c r="BE2789" s="1"/>
    </row>
    <row r="2790" spans="1:57" x14ac:dyDescent="0.25">
      <c r="A2790" s="1"/>
      <c r="H2790" s="1"/>
      <c r="O2790" s="1"/>
      <c r="V2790" s="1"/>
      <c r="AC2790" s="1"/>
      <c r="AJ2790" s="1"/>
      <c r="AQ2790" s="1"/>
      <c r="AX2790" s="1"/>
      <c r="BE2790" s="1"/>
    </row>
    <row r="2791" spans="1:57" x14ac:dyDescent="0.25">
      <c r="A2791" s="1"/>
      <c r="H2791" s="1"/>
      <c r="O2791" s="1"/>
      <c r="V2791" s="1"/>
      <c r="AC2791" s="1"/>
      <c r="AJ2791" s="1"/>
      <c r="AQ2791" s="1"/>
      <c r="AX2791" s="1"/>
      <c r="BE2791" s="1"/>
    </row>
    <row r="2792" spans="1:57" x14ac:dyDescent="0.25">
      <c r="A2792" s="1"/>
      <c r="H2792" s="1"/>
      <c r="O2792" s="1"/>
      <c r="V2792" s="1"/>
      <c r="AC2792" s="1"/>
      <c r="AJ2792" s="1"/>
      <c r="AQ2792" s="1"/>
      <c r="AX2792" s="1"/>
      <c r="BE2792" s="1"/>
    </row>
    <row r="2793" spans="1:57" x14ac:dyDescent="0.25">
      <c r="A2793" s="1"/>
      <c r="H2793" s="1"/>
      <c r="O2793" s="1"/>
      <c r="V2793" s="1"/>
      <c r="AC2793" s="1"/>
      <c r="AJ2793" s="1"/>
      <c r="AQ2793" s="1"/>
      <c r="AX2793" s="1"/>
      <c r="BE2793" s="1"/>
    </row>
    <row r="2794" spans="1:57" x14ac:dyDescent="0.25">
      <c r="A2794" s="1"/>
      <c r="H2794" s="1"/>
      <c r="O2794" s="1"/>
      <c r="V2794" s="1"/>
      <c r="AC2794" s="1"/>
      <c r="AJ2794" s="1"/>
      <c r="AQ2794" s="1"/>
      <c r="AX2794" s="1"/>
      <c r="BE2794" s="1"/>
    </row>
    <row r="2795" spans="1:57" x14ac:dyDescent="0.25">
      <c r="A2795" s="1"/>
      <c r="H2795" s="1"/>
      <c r="O2795" s="1"/>
      <c r="V2795" s="1"/>
      <c r="AC2795" s="1"/>
      <c r="AJ2795" s="1"/>
      <c r="AQ2795" s="1"/>
      <c r="AX2795" s="1"/>
      <c r="BE2795" s="1"/>
    </row>
    <row r="2796" spans="1:57" x14ac:dyDescent="0.25">
      <c r="A2796" s="1"/>
      <c r="H2796" s="1"/>
      <c r="O2796" s="1"/>
      <c r="V2796" s="1"/>
      <c r="AC2796" s="1"/>
      <c r="AJ2796" s="1"/>
      <c r="AQ2796" s="1"/>
      <c r="AX2796" s="1"/>
      <c r="BE2796" s="1"/>
    </row>
    <row r="2797" spans="1:57" x14ac:dyDescent="0.25">
      <c r="A2797" s="1"/>
      <c r="H2797" s="1"/>
      <c r="O2797" s="1"/>
      <c r="V2797" s="1"/>
      <c r="AC2797" s="1"/>
      <c r="AJ2797" s="1"/>
      <c r="AQ2797" s="1"/>
      <c r="AX2797" s="1"/>
      <c r="BE2797" s="1"/>
    </row>
    <row r="2798" spans="1:57" x14ac:dyDescent="0.25">
      <c r="A2798" s="1"/>
      <c r="H2798" s="1"/>
      <c r="O2798" s="1"/>
      <c r="V2798" s="1"/>
      <c r="AC2798" s="1"/>
      <c r="AJ2798" s="1"/>
      <c r="AQ2798" s="1"/>
      <c r="AX2798" s="1"/>
      <c r="BE2798" s="1"/>
    </row>
    <row r="2799" spans="1:57" x14ac:dyDescent="0.25">
      <c r="A2799" s="1"/>
      <c r="H2799" s="1"/>
      <c r="O2799" s="1"/>
      <c r="V2799" s="1"/>
      <c r="AC2799" s="1"/>
      <c r="AJ2799" s="1"/>
      <c r="AQ2799" s="1"/>
      <c r="AX2799" s="1"/>
      <c r="BE2799" s="1"/>
    </row>
    <row r="2800" spans="1:57" x14ac:dyDescent="0.25">
      <c r="A2800" s="1"/>
      <c r="H2800" s="1"/>
      <c r="O2800" s="1"/>
      <c r="V2800" s="1"/>
      <c r="AC2800" s="1"/>
      <c r="AJ2800" s="1"/>
      <c r="AQ2800" s="1"/>
      <c r="AX2800" s="1"/>
      <c r="BE2800" s="1"/>
    </row>
    <row r="2801" spans="1:57" x14ac:dyDescent="0.25">
      <c r="A2801" s="1"/>
      <c r="H2801" s="1"/>
      <c r="O2801" s="1"/>
      <c r="V2801" s="1"/>
      <c r="AC2801" s="1"/>
      <c r="AJ2801" s="1"/>
      <c r="AQ2801" s="1"/>
      <c r="AX2801" s="1"/>
      <c r="BE2801" s="1"/>
    </row>
    <row r="2802" spans="1:57" x14ac:dyDescent="0.25">
      <c r="A2802" s="1"/>
      <c r="H2802" s="1"/>
      <c r="O2802" s="1"/>
      <c r="V2802" s="1"/>
      <c r="AC2802" s="1"/>
      <c r="AJ2802" s="1"/>
      <c r="AQ2802" s="1"/>
      <c r="AX2802" s="1"/>
      <c r="BE2802" s="1"/>
    </row>
    <row r="2803" spans="1:57" x14ac:dyDescent="0.25">
      <c r="A2803" s="1"/>
      <c r="H2803" s="1"/>
      <c r="O2803" s="1"/>
      <c r="V2803" s="1"/>
      <c r="AC2803" s="1"/>
      <c r="AJ2803" s="1"/>
      <c r="AQ2803" s="1"/>
      <c r="AX2803" s="1"/>
      <c r="BE2803" s="1"/>
    </row>
    <row r="2804" spans="1:57" x14ac:dyDescent="0.25">
      <c r="A2804" s="1"/>
      <c r="H2804" s="1"/>
      <c r="O2804" s="1"/>
      <c r="V2804" s="1"/>
      <c r="AC2804" s="1"/>
      <c r="AJ2804" s="1"/>
      <c r="AQ2804" s="1"/>
      <c r="AX2804" s="1"/>
      <c r="BE2804" s="1"/>
    </row>
    <row r="2805" spans="1:57" x14ac:dyDescent="0.25">
      <c r="A2805" s="1"/>
      <c r="H2805" s="1"/>
      <c r="O2805" s="1"/>
      <c r="V2805" s="1"/>
      <c r="AC2805" s="1"/>
      <c r="AJ2805" s="1"/>
      <c r="AQ2805" s="1"/>
      <c r="AX2805" s="1"/>
      <c r="BE2805" s="1"/>
    </row>
    <row r="2806" spans="1:57" x14ac:dyDescent="0.25">
      <c r="A2806" s="1"/>
      <c r="H2806" s="1"/>
      <c r="O2806" s="1"/>
      <c r="V2806" s="1"/>
      <c r="AC2806" s="1"/>
      <c r="AJ2806" s="1"/>
      <c r="AQ2806" s="1"/>
      <c r="AX2806" s="1"/>
      <c r="BE2806" s="1"/>
    </row>
    <row r="2807" spans="1:57" x14ac:dyDescent="0.25">
      <c r="A2807" s="1"/>
      <c r="H2807" s="1"/>
      <c r="O2807" s="1"/>
      <c r="V2807" s="1"/>
      <c r="AC2807" s="1"/>
      <c r="AJ2807" s="1"/>
      <c r="AQ2807" s="1"/>
      <c r="AX2807" s="1"/>
      <c r="BE2807" s="1"/>
    </row>
    <row r="2808" spans="1:57" x14ac:dyDescent="0.25">
      <c r="A2808" s="1"/>
      <c r="H2808" s="1"/>
      <c r="O2808" s="1"/>
      <c r="V2808" s="1"/>
      <c r="AC2808" s="1"/>
      <c r="AJ2808" s="1"/>
      <c r="AQ2808" s="1"/>
      <c r="AX2808" s="1"/>
      <c r="BE2808" s="1"/>
    </row>
    <row r="2809" spans="1:57" x14ac:dyDescent="0.25">
      <c r="A2809" s="1"/>
      <c r="H2809" s="1"/>
      <c r="O2809" s="1"/>
      <c r="V2809" s="1"/>
      <c r="AC2809" s="1"/>
      <c r="AJ2809" s="1"/>
      <c r="AQ2809" s="1"/>
      <c r="AX2809" s="1"/>
      <c r="BE2809" s="1"/>
    </row>
    <row r="2810" spans="1:57" x14ac:dyDescent="0.25">
      <c r="A2810" s="1"/>
      <c r="H2810" s="1"/>
      <c r="O2810" s="1"/>
      <c r="V2810" s="1"/>
      <c r="AC2810" s="1"/>
      <c r="AJ2810" s="1"/>
      <c r="AQ2810" s="1"/>
      <c r="AX2810" s="1"/>
      <c r="BE2810" s="1"/>
    </row>
    <row r="2811" spans="1:57" x14ac:dyDescent="0.25">
      <c r="A2811" s="1"/>
      <c r="H2811" s="1"/>
      <c r="O2811" s="1"/>
      <c r="V2811" s="1"/>
      <c r="AC2811" s="1"/>
      <c r="AJ2811" s="1"/>
      <c r="AQ2811" s="1"/>
      <c r="AX2811" s="1"/>
      <c r="BE2811" s="1"/>
    </row>
    <row r="2812" spans="1:57" x14ac:dyDescent="0.25">
      <c r="A2812" s="1"/>
      <c r="H2812" s="1"/>
      <c r="O2812" s="1"/>
      <c r="V2812" s="1"/>
      <c r="AC2812" s="1"/>
      <c r="AJ2812" s="1"/>
      <c r="AQ2812" s="1"/>
      <c r="AX2812" s="1"/>
      <c r="BE2812" s="1"/>
    </row>
    <row r="2813" spans="1:57" x14ac:dyDescent="0.25">
      <c r="A2813" s="1"/>
      <c r="H2813" s="1"/>
      <c r="O2813" s="1"/>
      <c r="V2813" s="1"/>
      <c r="AC2813" s="1"/>
      <c r="AJ2813" s="1"/>
      <c r="AQ2813" s="1"/>
      <c r="AX2813" s="1"/>
      <c r="BE2813" s="1"/>
    </row>
    <row r="2814" spans="1:57" x14ac:dyDescent="0.25">
      <c r="A2814" s="1"/>
      <c r="H2814" s="1"/>
      <c r="O2814" s="1"/>
      <c r="V2814" s="1"/>
      <c r="AC2814" s="1"/>
      <c r="AJ2814" s="1"/>
      <c r="AQ2814" s="1"/>
      <c r="AX2814" s="1"/>
      <c r="BE2814" s="1"/>
    </row>
    <row r="2815" spans="1:57" x14ac:dyDescent="0.25">
      <c r="A2815" s="1"/>
      <c r="H2815" s="1"/>
      <c r="O2815" s="1"/>
      <c r="V2815" s="1"/>
      <c r="AC2815" s="1"/>
      <c r="AJ2815" s="1"/>
      <c r="AQ2815" s="1"/>
      <c r="AX2815" s="1"/>
      <c r="BE2815" s="1"/>
    </row>
    <row r="2816" spans="1:57" x14ac:dyDescent="0.25">
      <c r="A2816" s="1"/>
      <c r="H2816" s="1"/>
      <c r="O2816" s="1"/>
      <c r="V2816" s="1"/>
      <c r="AC2816" s="1"/>
      <c r="AJ2816" s="1"/>
      <c r="AQ2816" s="1"/>
      <c r="AX2816" s="1"/>
      <c r="BE2816" s="1"/>
    </row>
    <row r="2817" spans="1:57" x14ac:dyDescent="0.25">
      <c r="A2817" s="1"/>
      <c r="H2817" s="1"/>
      <c r="O2817" s="1"/>
      <c r="V2817" s="1"/>
      <c r="AC2817" s="1"/>
      <c r="AJ2817" s="1"/>
      <c r="AQ2817" s="1"/>
      <c r="AX2817" s="1"/>
      <c r="BE2817" s="1"/>
    </row>
    <row r="2818" spans="1:57" x14ac:dyDescent="0.25">
      <c r="A2818" s="1"/>
      <c r="H2818" s="1"/>
      <c r="O2818" s="1"/>
      <c r="V2818" s="1"/>
      <c r="AC2818" s="1"/>
      <c r="AJ2818" s="1"/>
      <c r="AQ2818" s="1"/>
      <c r="AX2818" s="1"/>
      <c r="BE2818" s="1"/>
    </row>
    <row r="2819" spans="1:57" x14ac:dyDescent="0.25">
      <c r="A2819" s="1"/>
      <c r="H2819" s="1"/>
      <c r="O2819" s="1"/>
      <c r="V2819" s="1"/>
      <c r="AC2819" s="1"/>
      <c r="AJ2819" s="1"/>
      <c r="AQ2819" s="1"/>
      <c r="AX2819" s="1"/>
      <c r="BE2819" s="1"/>
    </row>
    <row r="2820" spans="1:57" x14ac:dyDescent="0.25">
      <c r="A2820" s="1"/>
      <c r="H2820" s="1"/>
      <c r="O2820" s="1"/>
      <c r="V2820" s="1"/>
      <c r="AC2820" s="1"/>
      <c r="AJ2820" s="1"/>
      <c r="AQ2820" s="1"/>
      <c r="AX2820" s="1"/>
      <c r="BE2820" s="1"/>
    </row>
    <row r="2821" spans="1:57" x14ac:dyDescent="0.25">
      <c r="A2821" s="1"/>
      <c r="H2821" s="1"/>
      <c r="O2821" s="1"/>
      <c r="V2821" s="1"/>
      <c r="AC2821" s="1"/>
      <c r="AJ2821" s="1"/>
      <c r="AQ2821" s="1"/>
      <c r="AX2821" s="1"/>
      <c r="BE2821" s="1"/>
    </row>
    <row r="2822" spans="1:57" x14ac:dyDescent="0.25">
      <c r="A2822" s="1"/>
      <c r="H2822" s="1"/>
      <c r="O2822" s="1"/>
      <c r="V2822" s="1"/>
      <c r="AC2822" s="1"/>
      <c r="AJ2822" s="1"/>
      <c r="AQ2822" s="1"/>
      <c r="AX2822" s="1"/>
      <c r="BE2822" s="1"/>
    </row>
    <row r="2823" spans="1:57" x14ac:dyDescent="0.25">
      <c r="A2823" s="1"/>
      <c r="H2823" s="1"/>
      <c r="O2823" s="1"/>
      <c r="V2823" s="1"/>
      <c r="AC2823" s="1"/>
      <c r="AJ2823" s="1"/>
      <c r="AQ2823" s="1"/>
      <c r="AX2823" s="1"/>
      <c r="BE2823" s="1"/>
    </row>
    <row r="2824" spans="1:57" x14ac:dyDescent="0.25">
      <c r="A2824" s="1"/>
      <c r="H2824" s="1"/>
      <c r="O2824" s="1"/>
      <c r="V2824" s="1"/>
      <c r="AC2824" s="1"/>
      <c r="AJ2824" s="1"/>
      <c r="AQ2824" s="1"/>
      <c r="AX2824" s="1"/>
      <c r="BE2824" s="1"/>
    </row>
    <row r="2825" spans="1:57" x14ac:dyDescent="0.25">
      <c r="A2825" s="1"/>
      <c r="H2825" s="1"/>
      <c r="O2825" s="1"/>
      <c r="V2825" s="1"/>
      <c r="AC2825" s="1"/>
      <c r="AJ2825" s="1"/>
      <c r="AQ2825" s="1"/>
      <c r="AX2825" s="1"/>
      <c r="BE2825" s="1"/>
    </row>
    <row r="2826" spans="1:57" x14ac:dyDescent="0.25">
      <c r="A2826" s="1"/>
      <c r="H2826" s="1"/>
      <c r="O2826" s="1"/>
      <c r="V2826" s="1"/>
      <c r="AC2826" s="1"/>
      <c r="AJ2826" s="1"/>
      <c r="AQ2826" s="1"/>
      <c r="AX2826" s="1"/>
      <c r="BE2826" s="1"/>
    </row>
    <row r="2827" spans="1:57" x14ac:dyDescent="0.25">
      <c r="A2827" s="1"/>
      <c r="H2827" s="1"/>
      <c r="O2827" s="1"/>
      <c r="V2827" s="1"/>
      <c r="AC2827" s="1"/>
      <c r="AJ2827" s="1"/>
      <c r="AQ2827" s="1"/>
      <c r="AX2827" s="1"/>
      <c r="BE2827" s="1"/>
    </row>
    <row r="2828" spans="1:57" x14ac:dyDescent="0.25">
      <c r="A2828" s="1"/>
      <c r="H2828" s="1"/>
      <c r="O2828" s="1"/>
      <c r="V2828" s="1"/>
      <c r="AC2828" s="1"/>
      <c r="AJ2828" s="1"/>
      <c r="AQ2828" s="1"/>
      <c r="AX2828" s="1"/>
      <c r="BE2828" s="1"/>
    </row>
    <row r="2829" spans="1:57" x14ac:dyDescent="0.25">
      <c r="A2829" s="1"/>
      <c r="H2829" s="1"/>
      <c r="O2829" s="1"/>
      <c r="V2829" s="1"/>
      <c r="AC2829" s="1"/>
      <c r="AJ2829" s="1"/>
      <c r="AQ2829" s="1"/>
      <c r="AX2829" s="1"/>
      <c r="BE2829" s="1"/>
    </row>
    <row r="2830" spans="1:57" x14ac:dyDescent="0.25">
      <c r="A2830" s="1"/>
      <c r="H2830" s="1"/>
      <c r="O2830" s="1"/>
      <c r="V2830" s="1"/>
      <c r="AC2830" s="1"/>
      <c r="AJ2830" s="1"/>
      <c r="AQ2830" s="1"/>
      <c r="AX2830" s="1"/>
      <c r="BE2830" s="1"/>
    </row>
    <row r="2831" spans="1:57" x14ac:dyDescent="0.25">
      <c r="A2831" s="1"/>
      <c r="H2831" s="1"/>
      <c r="O2831" s="1"/>
      <c r="V2831" s="1"/>
      <c r="AC2831" s="1"/>
      <c r="AJ2831" s="1"/>
      <c r="AQ2831" s="1"/>
      <c r="AX2831" s="1"/>
      <c r="BE2831" s="1"/>
    </row>
    <row r="2832" spans="1:57" x14ac:dyDescent="0.25">
      <c r="A2832" s="1"/>
      <c r="H2832" s="1"/>
      <c r="O2832" s="1"/>
      <c r="V2832" s="1"/>
      <c r="AC2832" s="1"/>
      <c r="AJ2832" s="1"/>
      <c r="AQ2832" s="1"/>
      <c r="AX2832" s="1"/>
      <c r="BE2832" s="1"/>
    </row>
    <row r="2833" spans="1:57" x14ac:dyDescent="0.25">
      <c r="A2833" s="1"/>
      <c r="H2833" s="1"/>
      <c r="O2833" s="1"/>
      <c r="V2833" s="1"/>
      <c r="AC2833" s="1"/>
      <c r="AJ2833" s="1"/>
      <c r="AQ2833" s="1"/>
      <c r="AX2833" s="1"/>
      <c r="BE2833" s="1"/>
    </row>
    <row r="2834" spans="1:57" x14ac:dyDescent="0.25">
      <c r="A2834" s="1"/>
      <c r="H2834" s="1"/>
      <c r="O2834" s="1"/>
      <c r="V2834" s="1"/>
      <c r="AC2834" s="1"/>
      <c r="AJ2834" s="1"/>
      <c r="AQ2834" s="1"/>
      <c r="AX2834" s="1"/>
      <c r="BE2834" s="1"/>
    </row>
    <row r="2835" spans="1:57" x14ac:dyDescent="0.25">
      <c r="A2835" s="1"/>
      <c r="H2835" s="1"/>
      <c r="O2835" s="1"/>
      <c r="V2835" s="1"/>
      <c r="AC2835" s="1"/>
      <c r="AJ2835" s="1"/>
      <c r="AQ2835" s="1"/>
      <c r="AX2835" s="1"/>
      <c r="BE2835" s="1"/>
    </row>
    <row r="2836" spans="1:57" x14ac:dyDescent="0.25">
      <c r="A2836" s="1"/>
      <c r="H2836" s="1"/>
      <c r="O2836" s="1"/>
      <c r="V2836" s="1"/>
      <c r="AC2836" s="1"/>
      <c r="AJ2836" s="1"/>
      <c r="AQ2836" s="1"/>
      <c r="AX2836" s="1"/>
      <c r="BE2836" s="1"/>
    </row>
    <row r="2837" spans="1:57" x14ac:dyDescent="0.25">
      <c r="A2837" s="1"/>
      <c r="H2837" s="1"/>
      <c r="O2837" s="1"/>
      <c r="V2837" s="1"/>
      <c r="AC2837" s="1"/>
      <c r="AJ2837" s="1"/>
      <c r="AQ2837" s="1"/>
      <c r="AX2837" s="1"/>
      <c r="BE2837" s="1"/>
    </row>
    <row r="2838" spans="1:57" x14ac:dyDescent="0.25">
      <c r="A2838" s="1"/>
      <c r="H2838" s="1"/>
      <c r="O2838" s="1"/>
      <c r="V2838" s="1"/>
      <c r="AC2838" s="1"/>
      <c r="AJ2838" s="1"/>
      <c r="AQ2838" s="1"/>
      <c r="AX2838" s="1"/>
      <c r="BE2838" s="1"/>
    </row>
    <row r="2839" spans="1:57" x14ac:dyDescent="0.25">
      <c r="A2839" s="1"/>
      <c r="H2839" s="1"/>
      <c r="O2839" s="1"/>
      <c r="V2839" s="1"/>
      <c r="AC2839" s="1"/>
      <c r="AJ2839" s="1"/>
      <c r="AQ2839" s="1"/>
      <c r="AX2839" s="1"/>
      <c r="BE2839" s="1"/>
    </row>
    <row r="2840" spans="1:57" x14ac:dyDescent="0.25">
      <c r="A2840" s="1"/>
      <c r="H2840" s="1"/>
      <c r="O2840" s="1"/>
      <c r="V2840" s="1"/>
      <c r="AC2840" s="1"/>
      <c r="AJ2840" s="1"/>
      <c r="AQ2840" s="1"/>
      <c r="AX2840" s="1"/>
      <c r="BE2840" s="1"/>
    </row>
    <row r="2841" spans="1:57" x14ac:dyDescent="0.25">
      <c r="A2841" s="1"/>
      <c r="H2841" s="1"/>
      <c r="O2841" s="1"/>
      <c r="V2841" s="1"/>
      <c r="AC2841" s="1"/>
      <c r="AJ2841" s="1"/>
      <c r="AQ2841" s="1"/>
      <c r="AX2841" s="1"/>
      <c r="BE2841" s="1"/>
    </row>
    <row r="2842" spans="1:57" x14ac:dyDescent="0.25">
      <c r="A2842" s="1"/>
      <c r="H2842" s="1"/>
      <c r="O2842" s="1"/>
      <c r="V2842" s="1"/>
      <c r="AC2842" s="1"/>
      <c r="AJ2842" s="1"/>
      <c r="AQ2842" s="1"/>
      <c r="AX2842" s="1"/>
      <c r="BE2842" s="1"/>
    </row>
    <row r="2843" spans="1:57" x14ac:dyDescent="0.25">
      <c r="A2843" s="1"/>
      <c r="H2843" s="1"/>
      <c r="O2843" s="1"/>
      <c r="V2843" s="1"/>
      <c r="AC2843" s="1"/>
      <c r="AJ2843" s="1"/>
      <c r="AQ2843" s="1"/>
      <c r="AX2843" s="1"/>
      <c r="BE2843" s="1"/>
    </row>
    <row r="2844" spans="1:57" x14ac:dyDescent="0.25">
      <c r="A2844" s="1"/>
      <c r="H2844" s="1"/>
      <c r="O2844" s="1"/>
      <c r="V2844" s="1"/>
      <c r="AC2844" s="1"/>
      <c r="AJ2844" s="1"/>
      <c r="AQ2844" s="1"/>
      <c r="AX2844" s="1"/>
      <c r="BE2844" s="1"/>
    </row>
    <row r="2845" spans="1:57" x14ac:dyDescent="0.25">
      <c r="A2845" s="1"/>
      <c r="H2845" s="1"/>
      <c r="O2845" s="1"/>
      <c r="V2845" s="1"/>
      <c r="AC2845" s="1"/>
      <c r="AJ2845" s="1"/>
      <c r="AQ2845" s="1"/>
      <c r="AX2845" s="1"/>
      <c r="BE2845" s="1"/>
    </row>
    <row r="2846" spans="1:57" x14ac:dyDescent="0.25">
      <c r="A2846" s="1"/>
      <c r="H2846" s="1"/>
      <c r="O2846" s="1"/>
      <c r="V2846" s="1"/>
      <c r="AC2846" s="1"/>
      <c r="AJ2846" s="1"/>
      <c r="AQ2846" s="1"/>
      <c r="AX2846" s="1"/>
      <c r="BE2846" s="1"/>
    </row>
    <row r="2847" spans="1:57" x14ac:dyDescent="0.25">
      <c r="A2847" s="1"/>
      <c r="H2847" s="1"/>
      <c r="O2847" s="1"/>
      <c r="V2847" s="1"/>
      <c r="AC2847" s="1"/>
      <c r="AJ2847" s="1"/>
      <c r="AQ2847" s="1"/>
      <c r="AX2847" s="1"/>
      <c r="BE2847" s="1"/>
    </row>
    <row r="2848" spans="1:57" x14ac:dyDescent="0.25">
      <c r="A2848" s="1"/>
      <c r="H2848" s="1"/>
      <c r="O2848" s="1"/>
      <c r="V2848" s="1"/>
      <c r="AC2848" s="1"/>
      <c r="AJ2848" s="1"/>
      <c r="AQ2848" s="1"/>
      <c r="AX2848" s="1"/>
      <c r="BE2848" s="1"/>
    </row>
    <row r="2849" spans="1:57" x14ac:dyDescent="0.25">
      <c r="A2849" s="1"/>
      <c r="H2849" s="1"/>
      <c r="O2849" s="1"/>
      <c r="V2849" s="1"/>
      <c r="AC2849" s="1"/>
      <c r="AJ2849" s="1"/>
      <c r="AQ2849" s="1"/>
      <c r="AX2849" s="1"/>
      <c r="BE2849" s="1"/>
    </row>
    <row r="2850" spans="1:57" x14ac:dyDescent="0.25">
      <c r="A2850" s="1"/>
      <c r="H2850" s="1"/>
      <c r="O2850" s="1"/>
      <c r="V2850" s="1"/>
      <c r="AC2850" s="1"/>
      <c r="AJ2850" s="1"/>
      <c r="AQ2850" s="1"/>
      <c r="AX2850" s="1"/>
      <c r="BE2850" s="1"/>
    </row>
    <row r="2851" spans="1:57" x14ac:dyDescent="0.25">
      <c r="A2851" s="1"/>
      <c r="H2851" s="1"/>
      <c r="O2851" s="1"/>
      <c r="V2851" s="1"/>
      <c r="AC2851" s="1"/>
      <c r="AJ2851" s="1"/>
      <c r="AQ2851" s="1"/>
      <c r="AX2851" s="1"/>
      <c r="BE2851" s="1"/>
    </row>
    <row r="2852" spans="1:57" x14ac:dyDescent="0.25">
      <c r="A2852" s="1"/>
      <c r="H2852" s="1"/>
      <c r="O2852" s="1"/>
      <c r="V2852" s="1"/>
      <c r="AC2852" s="1"/>
      <c r="AJ2852" s="1"/>
      <c r="AQ2852" s="1"/>
      <c r="AX2852" s="1"/>
      <c r="BE2852" s="1"/>
    </row>
    <row r="2853" spans="1:57" x14ac:dyDescent="0.25">
      <c r="A2853" s="1"/>
      <c r="H2853" s="1"/>
      <c r="O2853" s="1"/>
      <c r="V2853" s="1"/>
      <c r="AC2853" s="1"/>
      <c r="AJ2853" s="1"/>
      <c r="AQ2853" s="1"/>
      <c r="AX2853" s="1"/>
      <c r="BE2853" s="1"/>
    </row>
    <row r="2854" spans="1:57" x14ac:dyDescent="0.25">
      <c r="A2854" s="1"/>
      <c r="H2854" s="1"/>
      <c r="O2854" s="1"/>
      <c r="V2854" s="1"/>
      <c r="AC2854" s="1"/>
      <c r="AJ2854" s="1"/>
      <c r="AQ2854" s="1"/>
      <c r="AX2854" s="1"/>
      <c r="BE2854" s="1"/>
    </row>
    <row r="2855" spans="1:57" x14ac:dyDescent="0.25">
      <c r="A2855" s="1"/>
      <c r="H2855" s="1"/>
      <c r="O2855" s="1"/>
      <c r="V2855" s="1"/>
      <c r="AC2855" s="1"/>
      <c r="AJ2855" s="1"/>
      <c r="AQ2855" s="1"/>
      <c r="AX2855" s="1"/>
      <c r="BE2855" s="1"/>
    </row>
    <row r="2856" spans="1:57" x14ac:dyDescent="0.25">
      <c r="A2856" s="1"/>
      <c r="H2856" s="1"/>
      <c r="O2856" s="1"/>
      <c r="V2856" s="1"/>
      <c r="AC2856" s="1"/>
      <c r="AJ2856" s="1"/>
      <c r="AQ2856" s="1"/>
      <c r="AX2856" s="1"/>
      <c r="BE2856" s="1"/>
    </row>
    <row r="2857" spans="1:57" x14ac:dyDescent="0.25">
      <c r="A2857" s="1"/>
      <c r="H2857" s="1"/>
      <c r="O2857" s="1"/>
      <c r="V2857" s="1"/>
      <c r="AC2857" s="1"/>
      <c r="AJ2857" s="1"/>
      <c r="AQ2857" s="1"/>
      <c r="AX2857" s="1"/>
      <c r="BE2857" s="1"/>
    </row>
    <row r="2858" spans="1:57" x14ac:dyDescent="0.25">
      <c r="A2858" s="1"/>
      <c r="H2858" s="1"/>
      <c r="O2858" s="1"/>
      <c r="V2858" s="1"/>
      <c r="AC2858" s="1"/>
      <c r="AJ2858" s="1"/>
      <c r="AQ2858" s="1"/>
      <c r="AX2858" s="1"/>
      <c r="BE2858" s="1"/>
    </row>
    <row r="2859" spans="1:57" x14ac:dyDescent="0.25">
      <c r="A2859" s="1"/>
      <c r="H2859" s="1"/>
      <c r="O2859" s="1"/>
      <c r="V2859" s="1"/>
      <c r="AC2859" s="1"/>
      <c r="AJ2859" s="1"/>
      <c r="AQ2859" s="1"/>
      <c r="AX2859" s="1"/>
      <c r="BE2859" s="1"/>
    </row>
    <row r="2860" spans="1:57" x14ac:dyDescent="0.25">
      <c r="A2860" s="1"/>
      <c r="H2860" s="1"/>
      <c r="O2860" s="1"/>
      <c r="V2860" s="1"/>
      <c r="AC2860" s="1"/>
      <c r="AJ2860" s="1"/>
      <c r="AQ2860" s="1"/>
      <c r="AX2860" s="1"/>
      <c r="BE2860" s="1"/>
    </row>
    <row r="2861" spans="1:57" x14ac:dyDescent="0.25">
      <c r="A2861" s="1"/>
      <c r="H2861" s="1"/>
      <c r="O2861" s="1"/>
      <c r="V2861" s="1"/>
      <c r="AC2861" s="1"/>
      <c r="AJ2861" s="1"/>
      <c r="AQ2861" s="1"/>
      <c r="AX2861" s="1"/>
      <c r="BE2861" s="1"/>
    </row>
    <row r="2862" spans="1:57" x14ac:dyDescent="0.25">
      <c r="A2862" s="1"/>
      <c r="H2862" s="1"/>
      <c r="O2862" s="1"/>
      <c r="V2862" s="1"/>
      <c r="AC2862" s="1"/>
      <c r="AJ2862" s="1"/>
      <c r="AQ2862" s="1"/>
      <c r="AX2862" s="1"/>
      <c r="BE2862" s="1"/>
    </row>
    <row r="2863" spans="1:57" x14ac:dyDescent="0.25">
      <c r="A2863" s="1"/>
      <c r="H2863" s="1"/>
      <c r="O2863" s="1"/>
      <c r="V2863" s="1"/>
      <c r="AC2863" s="1"/>
      <c r="AJ2863" s="1"/>
      <c r="AQ2863" s="1"/>
      <c r="AX2863" s="1"/>
      <c r="BE2863" s="1"/>
    </row>
    <row r="2864" spans="1:57" x14ac:dyDescent="0.25">
      <c r="A2864" s="1"/>
      <c r="H2864" s="1"/>
      <c r="O2864" s="1"/>
      <c r="V2864" s="1"/>
      <c r="AC2864" s="1"/>
      <c r="AJ2864" s="1"/>
      <c r="AQ2864" s="1"/>
      <c r="AX2864" s="1"/>
      <c r="BE2864" s="1"/>
    </row>
    <row r="2865" spans="1:57" x14ac:dyDescent="0.25">
      <c r="A2865" s="1"/>
      <c r="H2865" s="1"/>
      <c r="O2865" s="1"/>
      <c r="V2865" s="1"/>
      <c r="AC2865" s="1"/>
      <c r="AJ2865" s="1"/>
      <c r="AQ2865" s="1"/>
      <c r="AX2865" s="1"/>
      <c r="BE2865" s="1"/>
    </row>
    <row r="2866" spans="1:57" x14ac:dyDescent="0.25">
      <c r="A2866" s="1"/>
      <c r="H2866" s="1"/>
      <c r="O2866" s="1"/>
      <c r="V2866" s="1"/>
      <c r="AC2866" s="1"/>
      <c r="AJ2866" s="1"/>
      <c r="AQ2866" s="1"/>
      <c r="AX2866" s="1"/>
      <c r="BE2866" s="1"/>
    </row>
    <row r="2867" spans="1:57" x14ac:dyDescent="0.25">
      <c r="A2867" s="1"/>
      <c r="H2867" s="1"/>
      <c r="O2867" s="1"/>
      <c r="V2867" s="1"/>
      <c r="AC2867" s="1"/>
      <c r="AJ2867" s="1"/>
      <c r="AQ2867" s="1"/>
      <c r="AX2867" s="1"/>
      <c r="BE2867" s="1"/>
    </row>
    <row r="2868" spans="1:57" x14ac:dyDescent="0.25">
      <c r="A2868" s="1"/>
      <c r="H2868" s="1"/>
      <c r="O2868" s="1"/>
      <c r="V2868" s="1"/>
      <c r="AC2868" s="1"/>
      <c r="AJ2868" s="1"/>
      <c r="AQ2868" s="1"/>
      <c r="AX2868" s="1"/>
      <c r="BE2868" s="1"/>
    </row>
    <row r="2869" spans="1:57" x14ac:dyDescent="0.25">
      <c r="A2869" s="1"/>
      <c r="H2869" s="1"/>
      <c r="O2869" s="1"/>
      <c r="V2869" s="1"/>
      <c r="AC2869" s="1"/>
      <c r="AJ2869" s="1"/>
      <c r="AQ2869" s="1"/>
      <c r="AX2869" s="1"/>
      <c r="BE2869" s="1"/>
    </row>
    <row r="2870" spans="1:57" x14ac:dyDescent="0.25">
      <c r="A2870" s="1"/>
      <c r="H2870" s="1"/>
      <c r="O2870" s="1"/>
      <c r="V2870" s="1"/>
      <c r="AC2870" s="1"/>
      <c r="AJ2870" s="1"/>
      <c r="AQ2870" s="1"/>
      <c r="AX2870" s="1"/>
      <c r="BE2870" s="1"/>
    </row>
    <row r="2871" spans="1:57" x14ac:dyDescent="0.25">
      <c r="A2871" s="1"/>
      <c r="H2871" s="1"/>
      <c r="O2871" s="1"/>
      <c r="V2871" s="1"/>
      <c r="AC2871" s="1"/>
      <c r="AJ2871" s="1"/>
      <c r="AQ2871" s="1"/>
      <c r="AX2871" s="1"/>
      <c r="BE2871" s="1"/>
    </row>
    <row r="2872" spans="1:57" x14ac:dyDescent="0.25">
      <c r="A2872" s="1"/>
      <c r="H2872" s="1"/>
      <c r="O2872" s="1"/>
      <c r="V2872" s="1"/>
      <c r="AC2872" s="1"/>
      <c r="AJ2872" s="1"/>
      <c r="AQ2872" s="1"/>
      <c r="AX2872" s="1"/>
      <c r="BE2872" s="1"/>
    </row>
    <row r="2873" spans="1:57" x14ac:dyDescent="0.25">
      <c r="A2873" s="1"/>
      <c r="H2873" s="1"/>
      <c r="O2873" s="1"/>
      <c r="V2873" s="1"/>
      <c r="AC2873" s="1"/>
      <c r="AJ2873" s="1"/>
      <c r="AQ2873" s="1"/>
      <c r="AX2873" s="1"/>
      <c r="BE2873" s="1"/>
    </row>
    <row r="2874" spans="1:57" x14ac:dyDescent="0.25">
      <c r="A2874" s="1"/>
      <c r="H2874" s="1"/>
      <c r="O2874" s="1"/>
      <c r="V2874" s="1"/>
      <c r="AC2874" s="1"/>
      <c r="AJ2874" s="1"/>
      <c r="AQ2874" s="1"/>
      <c r="AX2874" s="1"/>
      <c r="BE2874" s="1"/>
    </row>
    <row r="2875" spans="1:57" x14ac:dyDescent="0.25">
      <c r="A2875" s="1"/>
      <c r="H2875" s="1"/>
      <c r="O2875" s="1"/>
      <c r="V2875" s="1"/>
      <c r="AC2875" s="1"/>
      <c r="AJ2875" s="1"/>
      <c r="AQ2875" s="1"/>
      <c r="AX2875" s="1"/>
      <c r="BE2875" s="1"/>
    </row>
    <row r="2876" spans="1:57" x14ac:dyDescent="0.25">
      <c r="A2876" s="1"/>
      <c r="H2876" s="1"/>
      <c r="O2876" s="1"/>
      <c r="V2876" s="1"/>
      <c r="AC2876" s="1"/>
      <c r="AJ2876" s="1"/>
      <c r="AQ2876" s="1"/>
      <c r="AX2876" s="1"/>
      <c r="BE2876" s="1"/>
    </row>
    <row r="2877" spans="1:57" x14ac:dyDescent="0.25">
      <c r="A2877" s="1"/>
      <c r="H2877" s="1"/>
      <c r="O2877" s="1"/>
      <c r="V2877" s="1"/>
      <c r="AC2877" s="1"/>
      <c r="AJ2877" s="1"/>
      <c r="AQ2877" s="1"/>
      <c r="AX2877" s="1"/>
      <c r="BE2877" s="1"/>
    </row>
    <row r="2878" spans="1:57" x14ac:dyDescent="0.25">
      <c r="A2878" s="1"/>
      <c r="H2878" s="1"/>
      <c r="O2878" s="1"/>
      <c r="V2878" s="1"/>
      <c r="AC2878" s="1"/>
      <c r="AJ2878" s="1"/>
      <c r="AQ2878" s="1"/>
      <c r="AX2878" s="1"/>
      <c r="BE2878" s="1"/>
    </row>
    <row r="2879" spans="1:57" x14ac:dyDescent="0.25">
      <c r="A2879" s="1"/>
      <c r="H2879" s="1"/>
      <c r="O2879" s="1"/>
      <c r="V2879" s="1"/>
      <c r="AC2879" s="1"/>
      <c r="AJ2879" s="1"/>
      <c r="AQ2879" s="1"/>
      <c r="AX2879" s="1"/>
      <c r="BE2879" s="1"/>
    </row>
    <row r="2880" spans="1:57" x14ac:dyDescent="0.25">
      <c r="A2880" s="1"/>
      <c r="H2880" s="1"/>
      <c r="O2880" s="1"/>
      <c r="V2880" s="1"/>
      <c r="AC2880" s="1"/>
      <c r="AJ2880" s="1"/>
      <c r="AQ2880" s="1"/>
      <c r="AX2880" s="1"/>
      <c r="BE2880" s="1"/>
    </row>
    <row r="2881" spans="1:57" x14ac:dyDescent="0.25">
      <c r="A2881" s="1"/>
      <c r="H2881" s="1"/>
      <c r="O2881" s="1"/>
      <c r="V2881" s="1"/>
      <c r="AC2881" s="1"/>
      <c r="AJ2881" s="1"/>
      <c r="AQ2881" s="1"/>
      <c r="AX2881" s="1"/>
      <c r="BE2881" s="1"/>
    </row>
    <row r="2882" spans="1:57" x14ac:dyDescent="0.25">
      <c r="A2882" s="1"/>
      <c r="H2882" s="1"/>
      <c r="O2882" s="1"/>
      <c r="V2882" s="1"/>
      <c r="AC2882" s="1"/>
      <c r="AJ2882" s="1"/>
      <c r="AQ2882" s="1"/>
      <c r="AX2882" s="1"/>
      <c r="BE2882" s="1"/>
    </row>
    <row r="2883" spans="1:57" x14ac:dyDescent="0.25">
      <c r="A2883" s="1"/>
      <c r="H2883" s="1"/>
      <c r="O2883" s="1"/>
      <c r="V2883" s="1"/>
      <c r="AC2883" s="1"/>
      <c r="AJ2883" s="1"/>
      <c r="AQ2883" s="1"/>
      <c r="AX2883" s="1"/>
      <c r="BE2883" s="1"/>
    </row>
    <row r="2884" spans="1:57" x14ac:dyDescent="0.25">
      <c r="A2884" s="1"/>
      <c r="H2884" s="1"/>
      <c r="O2884" s="1"/>
      <c r="V2884" s="1"/>
      <c r="AC2884" s="1"/>
      <c r="AJ2884" s="1"/>
      <c r="AQ2884" s="1"/>
      <c r="AX2884" s="1"/>
      <c r="BE2884" s="1"/>
    </row>
    <row r="2885" spans="1:57" x14ac:dyDescent="0.25">
      <c r="A2885" s="1"/>
      <c r="H2885" s="1"/>
      <c r="O2885" s="1"/>
      <c r="V2885" s="1"/>
      <c r="AC2885" s="1"/>
      <c r="AJ2885" s="1"/>
      <c r="AQ2885" s="1"/>
      <c r="AX2885" s="1"/>
      <c r="BE2885" s="1"/>
    </row>
    <row r="2886" spans="1:57" x14ac:dyDescent="0.25">
      <c r="A2886" s="1"/>
      <c r="H2886" s="1"/>
      <c r="O2886" s="1"/>
      <c r="V2886" s="1"/>
      <c r="AC2886" s="1"/>
      <c r="AJ2886" s="1"/>
      <c r="AQ2886" s="1"/>
      <c r="AX2886" s="1"/>
      <c r="BE2886" s="1"/>
    </row>
    <row r="2887" spans="1:57" x14ac:dyDescent="0.25">
      <c r="A2887" s="1"/>
      <c r="H2887" s="1"/>
      <c r="O2887" s="1"/>
      <c r="V2887" s="1"/>
      <c r="AC2887" s="1"/>
      <c r="AJ2887" s="1"/>
      <c r="AQ2887" s="1"/>
      <c r="AX2887" s="1"/>
      <c r="BE2887" s="1"/>
    </row>
    <row r="2888" spans="1:57" x14ac:dyDescent="0.25">
      <c r="A2888" s="1"/>
      <c r="H2888" s="1"/>
      <c r="O2888" s="1"/>
      <c r="V2888" s="1"/>
      <c r="AC2888" s="1"/>
      <c r="AJ2888" s="1"/>
      <c r="AQ2888" s="1"/>
      <c r="AX2888" s="1"/>
      <c r="BE2888" s="1"/>
    </row>
    <row r="2889" spans="1:57" x14ac:dyDescent="0.25">
      <c r="A2889" s="1"/>
      <c r="H2889" s="1"/>
      <c r="O2889" s="1"/>
      <c r="V2889" s="1"/>
      <c r="AC2889" s="1"/>
      <c r="AJ2889" s="1"/>
      <c r="AQ2889" s="1"/>
      <c r="AX2889" s="1"/>
      <c r="BE2889" s="1"/>
    </row>
    <row r="2890" spans="1:57" x14ac:dyDescent="0.25">
      <c r="A2890" s="1"/>
      <c r="H2890" s="1"/>
      <c r="O2890" s="1"/>
      <c r="V2890" s="1"/>
      <c r="AC2890" s="1"/>
      <c r="AJ2890" s="1"/>
      <c r="AQ2890" s="1"/>
      <c r="AX2890" s="1"/>
      <c r="BE2890" s="1"/>
    </row>
    <row r="2891" spans="1:57" x14ac:dyDescent="0.25">
      <c r="A2891" s="1"/>
      <c r="H2891" s="1"/>
      <c r="O2891" s="1"/>
      <c r="V2891" s="1"/>
      <c r="AC2891" s="1"/>
      <c r="AJ2891" s="1"/>
      <c r="AQ2891" s="1"/>
      <c r="AX2891" s="1"/>
      <c r="BE2891" s="1"/>
    </row>
    <row r="2892" spans="1:57" x14ac:dyDescent="0.25">
      <c r="A2892" s="1"/>
      <c r="H2892" s="1"/>
      <c r="O2892" s="1"/>
      <c r="V2892" s="1"/>
      <c r="AC2892" s="1"/>
      <c r="AJ2892" s="1"/>
      <c r="AQ2892" s="1"/>
      <c r="AX2892" s="1"/>
      <c r="BE2892" s="1"/>
    </row>
    <row r="2893" spans="1:57" x14ac:dyDescent="0.25">
      <c r="A2893" s="1"/>
      <c r="H2893" s="1"/>
      <c r="O2893" s="1"/>
      <c r="V2893" s="1"/>
      <c r="AC2893" s="1"/>
      <c r="AJ2893" s="1"/>
      <c r="AQ2893" s="1"/>
      <c r="AX2893" s="1"/>
      <c r="BE2893" s="1"/>
    </row>
    <row r="2894" spans="1:57" x14ac:dyDescent="0.25">
      <c r="A2894" s="1"/>
      <c r="H2894" s="1"/>
      <c r="O2894" s="1"/>
      <c r="V2894" s="1"/>
      <c r="AC2894" s="1"/>
      <c r="AJ2894" s="1"/>
      <c r="AQ2894" s="1"/>
      <c r="AX2894" s="1"/>
      <c r="BE2894" s="1"/>
    </row>
    <row r="2895" spans="1:57" x14ac:dyDescent="0.25">
      <c r="A2895" s="1"/>
      <c r="H2895" s="1"/>
      <c r="O2895" s="1"/>
      <c r="V2895" s="1"/>
      <c r="AC2895" s="1"/>
      <c r="AJ2895" s="1"/>
      <c r="AQ2895" s="1"/>
      <c r="AX2895" s="1"/>
      <c r="BE2895" s="1"/>
    </row>
    <row r="2896" spans="1:57" x14ac:dyDescent="0.25">
      <c r="A2896" s="1"/>
      <c r="H2896" s="1"/>
      <c r="O2896" s="1"/>
      <c r="V2896" s="1"/>
      <c r="AC2896" s="1"/>
      <c r="AJ2896" s="1"/>
      <c r="AQ2896" s="1"/>
      <c r="AX2896" s="1"/>
      <c r="BE2896" s="1"/>
    </row>
    <row r="2897" spans="1:57" x14ac:dyDescent="0.25">
      <c r="A2897" s="1"/>
      <c r="H2897" s="1"/>
      <c r="O2897" s="1"/>
      <c r="V2897" s="1"/>
      <c r="AC2897" s="1"/>
      <c r="AJ2897" s="1"/>
      <c r="AQ2897" s="1"/>
      <c r="AX2897" s="1"/>
      <c r="BE2897" s="1"/>
    </row>
    <row r="2898" spans="1:57" x14ac:dyDescent="0.25">
      <c r="A2898" s="1"/>
      <c r="H2898" s="1"/>
      <c r="O2898" s="1"/>
      <c r="V2898" s="1"/>
      <c r="AC2898" s="1"/>
      <c r="AJ2898" s="1"/>
      <c r="AQ2898" s="1"/>
      <c r="AX2898" s="1"/>
      <c r="BE2898" s="1"/>
    </row>
    <row r="2899" spans="1:57" x14ac:dyDescent="0.25">
      <c r="A2899" s="1"/>
      <c r="H2899" s="1"/>
      <c r="O2899" s="1"/>
      <c r="V2899" s="1"/>
      <c r="AC2899" s="1"/>
      <c r="AJ2899" s="1"/>
      <c r="AQ2899" s="1"/>
      <c r="AX2899" s="1"/>
      <c r="BE2899" s="1"/>
    </row>
    <row r="2900" spans="1:57" x14ac:dyDescent="0.25">
      <c r="A2900" s="1"/>
      <c r="H2900" s="1"/>
      <c r="O2900" s="1"/>
      <c r="V2900" s="1"/>
      <c r="AC2900" s="1"/>
      <c r="AJ2900" s="1"/>
      <c r="AQ2900" s="1"/>
      <c r="AX2900" s="1"/>
      <c r="BE2900" s="1"/>
    </row>
    <row r="2901" spans="1:57" x14ac:dyDescent="0.25">
      <c r="A2901" s="1"/>
      <c r="H2901" s="1"/>
      <c r="O2901" s="1"/>
      <c r="V2901" s="1"/>
      <c r="AC2901" s="1"/>
      <c r="AJ2901" s="1"/>
      <c r="AQ2901" s="1"/>
      <c r="AX2901" s="1"/>
      <c r="BE2901" s="1"/>
    </row>
    <row r="2902" spans="1:57" x14ac:dyDescent="0.25">
      <c r="A2902" s="1"/>
      <c r="H2902" s="1"/>
      <c r="O2902" s="1"/>
      <c r="V2902" s="1"/>
      <c r="AC2902" s="1"/>
      <c r="AJ2902" s="1"/>
      <c r="AQ2902" s="1"/>
      <c r="AX2902" s="1"/>
      <c r="BE2902" s="1"/>
    </row>
    <row r="2903" spans="1:57" x14ac:dyDescent="0.25">
      <c r="A2903" s="1"/>
      <c r="H2903" s="1"/>
      <c r="O2903" s="1"/>
      <c r="V2903" s="1"/>
      <c r="AC2903" s="1"/>
      <c r="AJ2903" s="1"/>
      <c r="AQ2903" s="1"/>
      <c r="AX2903" s="1"/>
      <c r="BE2903" s="1"/>
    </row>
    <row r="2904" spans="1:57" x14ac:dyDescent="0.25">
      <c r="A2904" s="1"/>
      <c r="H2904" s="1"/>
      <c r="O2904" s="1"/>
      <c r="V2904" s="1"/>
      <c r="AC2904" s="1"/>
      <c r="AJ2904" s="1"/>
      <c r="AQ2904" s="1"/>
      <c r="AX2904" s="1"/>
      <c r="BE2904" s="1"/>
    </row>
    <row r="2905" spans="1:57" x14ac:dyDescent="0.25">
      <c r="A2905" s="1"/>
      <c r="H2905" s="1"/>
      <c r="O2905" s="1"/>
      <c r="V2905" s="1"/>
      <c r="AC2905" s="1"/>
      <c r="AJ2905" s="1"/>
      <c r="AQ2905" s="1"/>
      <c r="AX2905" s="1"/>
      <c r="BE2905" s="1"/>
    </row>
    <row r="2906" spans="1:57" x14ac:dyDescent="0.25">
      <c r="A2906" s="1"/>
      <c r="H2906" s="1"/>
      <c r="O2906" s="1"/>
      <c r="V2906" s="1"/>
      <c r="AC2906" s="1"/>
      <c r="AJ2906" s="1"/>
      <c r="AQ2906" s="1"/>
      <c r="AX2906" s="1"/>
      <c r="BE2906" s="1"/>
    </row>
    <row r="2907" spans="1:57" x14ac:dyDescent="0.25">
      <c r="A2907" s="1"/>
      <c r="H2907" s="1"/>
      <c r="O2907" s="1"/>
      <c r="V2907" s="1"/>
      <c r="AC2907" s="1"/>
      <c r="AJ2907" s="1"/>
      <c r="AQ2907" s="1"/>
      <c r="AX2907" s="1"/>
      <c r="BE2907" s="1"/>
    </row>
    <row r="2908" spans="1:57" x14ac:dyDescent="0.25">
      <c r="A2908" s="1"/>
      <c r="H2908" s="1"/>
      <c r="O2908" s="1"/>
      <c r="V2908" s="1"/>
      <c r="AC2908" s="1"/>
      <c r="AJ2908" s="1"/>
      <c r="AQ2908" s="1"/>
      <c r="AX2908" s="1"/>
      <c r="BE2908" s="1"/>
    </row>
    <row r="2909" spans="1:57" x14ac:dyDescent="0.25">
      <c r="A2909" s="1"/>
      <c r="H2909" s="1"/>
      <c r="O2909" s="1"/>
      <c r="V2909" s="1"/>
      <c r="AC2909" s="1"/>
      <c r="AJ2909" s="1"/>
      <c r="AQ2909" s="1"/>
      <c r="AX2909" s="1"/>
      <c r="BE2909" s="1"/>
    </row>
    <row r="2910" spans="1:57" x14ac:dyDescent="0.25">
      <c r="A2910" s="1"/>
      <c r="H2910" s="1"/>
      <c r="O2910" s="1"/>
      <c r="V2910" s="1"/>
      <c r="AC2910" s="1"/>
      <c r="AJ2910" s="1"/>
      <c r="AQ2910" s="1"/>
      <c r="AX2910" s="1"/>
      <c r="BE2910" s="1"/>
    </row>
    <row r="2911" spans="1:57" x14ac:dyDescent="0.25">
      <c r="A2911" s="1"/>
      <c r="H2911" s="1"/>
      <c r="O2911" s="1"/>
      <c r="V2911" s="1"/>
      <c r="AC2911" s="1"/>
      <c r="AJ2911" s="1"/>
      <c r="AQ2911" s="1"/>
      <c r="AX2911" s="1"/>
      <c r="BE2911" s="1"/>
    </row>
    <row r="2912" spans="1:57" x14ac:dyDescent="0.25">
      <c r="A2912" s="1"/>
      <c r="H2912" s="1"/>
      <c r="O2912" s="1"/>
      <c r="V2912" s="1"/>
      <c r="AC2912" s="1"/>
      <c r="AJ2912" s="1"/>
      <c r="AQ2912" s="1"/>
      <c r="AX2912" s="1"/>
      <c r="BE2912" s="1"/>
    </row>
    <row r="2913" spans="1:57" x14ac:dyDescent="0.25">
      <c r="A2913" s="1"/>
      <c r="H2913" s="1"/>
      <c r="O2913" s="1"/>
      <c r="V2913" s="1"/>
      <c r="AC2913" s="1"/>
      <c r="AJ2913" s="1"/>
      <c r="AQ2913" s="1"/>
      <c r="AX2913" s="1"/>
      <c r="BE2913" s="1"/>
    </row>
    <row r="2914" spans="1:57" x14ac:dyDescent="0.25">
      <c r="A2914" s="1"/>
      <c r="H2914" s="1"/>
      <c r="O2914" s="1"/>
      <c r="V2914" s="1"/>
      <c r="AC2914" s="1"/>
      <c r="AJ2914" s="1"/>
      <c r="AQ2914" s="1"/>
      <c r="AX2914" s="1"/>
      <c r="BE2914" s="1"/>
    </row>
    <row r="2915" spans="1:57" x14ac:dyDescent="0.25">
      <c r="A2915" s="1"/>
      <c r="H2915" s="1"/>
      <c r="O2915" s="1"/>
      <c r="V2915" s="1"/>
      <c r="AC2915" s="1"/>
      <c r="AJ2915" s="1"/>
      <c r="AQ2915" s="1"/>
      <c r="AX2915" s="1"/>
      <c r="BE2915" s="1"/>
    </row>
    <row r="2916" spans="1:57" x14ac:dyDescent="0.25">
      <c r="A2916" s="1"/>
      <c r="H2916" s="1"/>
      <c r="O2916" s="1"/>
      <c r="V2916" s="1"/>
      <c r="AC2916" s="1"/>
      <c r="AJ2916" s="1"/>
      <c r="AQ2916" s="1"/>
      <c r="AX2916" s="1"/>
      <c r="BE2916" s="1"/>
    </row>
    <row r="2917" spans="1:57" x14ac:dyDescent="0.25">
      <c r="A2917" s="1"/>
      <c r="H2917" s="1"/>
      <c r="O2917" s="1"/>
      <c r="V2917" s="1"/>
      <c r="AC2917" s="1"/>
      <c r="AJ2917" s="1"/>
      <c r="AQ2917" s="1"/>
      <c r="AX2917" s="1"/>
      <c r="BE2917" s="1"/>
    </row>
    <row r="2918" spans="1:57" x14ac:dyDescent="0.25">
      <c r="A2918" s="1"/>
      <c r="H2918" s="1"/>
      <c r="O2918" s="1"/>
      <c r="V2918" s="1"/>
      <c r="AC2918" s="1"/>
      <c r="AJ2918" s="1"/>
      <c r="AQ2918" s="1"/>
      <c r="AX2918" s="1"/>
      <c r="BE2918" s="1"/>
    </row>
    <row r="2919" spans="1:57" x14ac:dyDescent="0.25">
      <c r="A2919" s="1"/>
      <c r="H2919" s="1"/>
      <c r="O2919" s="1"/>
      <c r="V2919" s="1"/>
      <c r="AC2919" s="1"/>
      <c r="AJ2919" s="1"/>
      <c r="AQ2919" s="1"/>
      <c r="AX2919" s="1"/>
      <c r="BE2919" s="1"/>
    </row>
    <row r="2920" spans="1:57" x14ac:dyDescent="0.25">
      <c r="A2920" s="1"/>
      <c r="H2920" s="1"/>
      <c r="O2920" s="1"/>
      <c r="V2920" s="1"/>
      <c r="AC2920" s="1"/>
      <c r="AJ2920" s="1"/>
      <c r="AQ2920" s="1"/>
      <c r="AX2920" s="1"/>
      <c r="BE2920" s="1"/>
    </row>
    <row r="2921" spans="1:57" x14ac:dyDescent="0.25">
      <c r="A2921" s="1"/>
      <c r="H2921" s="1"/>
      <c r="O2921" s="1"/>
      <c r="V2921" s="1"/>
      <c r="AC2921" s="1"/>
      <c r="AJ2921" s="1"/>
      <c r="AQ2921" s="1"/>
      <c r="AX2921" s="1"/>
      <c r="BE2921" s="1"/>
    </row>
    <row r="2922" spans="1:57" x14ac:dyDescent="0.25">
      <c r="A2922" s="1"/>
      <c r="H2922" s="1"/>
      <c r="O2922" s="1"/>
      <c r="V2922" s="1"/>
      <c r="AC2922" s="1"/>
      <c r="AJ2922" s="1"/>
      <c r="AQ2922" s="1"/>
      <c r="AX2922" s="1"/>
      <c r="BE2922" s="1"/>
    </row>
    <row r="2923" spans="1:57" x14ac:dyDescent="0.25">
      <c r="A2923" s="1"/>
      <c r="H2923" s="1"/>
      <c r="O2923" s="1"/>
      <c r="V2923" s="1"/>
      <c r="AC2923" s="1"/>
      <c r="AJ2923" s="1"/>
      <c r="AQ2923" s="1"/>
      <c r="AX2923" s="1"/>
      <c r="BE2923" s="1"/>
    </row>
    <row r="2924" spans="1:57" x14ac:dyDescent="0.25">
      <c r="A2924" s="1"/>
      <c r="H2924" s="1"/>
      <c r="O2924" s="1"/>
      <c r="V2924" s="1"/>
      <c r="AC2924" s="1"/>
      <c r="AJ2924" s="1"/>
      <c r="AQ2924" s="1"/>
      <c r="AX2924" s="1"/>
      <c r="BE2924" s="1"/>
    </row>
    <row r="2925" spans="1:57" x14ac:dyDescent="0.25">
      <c r="A2925" s="1"/>
      <c r="H2925" s="1"/>
      <c r="O2925" s="1"/>
      <c r="V2925" s="1"/>
      <c r="AC2925" s="1"/>
      <c r="AJ2925" s="1"/>
      <c r="AQ2925" s="1"/>
      <c r="AX2925" s="1"/>
      <c r="BE2925" s="1"/>
    </row>
    <row r="2926" spans="1:57" x14ac:dyDescent="0.25">
      <c r="A2926" s="1"/>
      <c r="H2926" s="1"/>
      <c r="O2926" s="1"/>
      <c r="V2926" s="1"/>
      <c r="AC2926" s="1"/>
      <c r="AJ2926" s="1"/>
      <c r="AQ2926" s="1"/>
      <c r="AX2926" s="1"/>
      <c r="BE2926" s="1"/>
    </row>
    <row r="2927" spans="1:57" x14ac:dyDescent="0.25">
      <c r="A2927" s="1"/>
      <c r="H2927" s="1"/>
      <c r="O2927" s="1"/>
      <c r="V2927" s="1"/>
      <c r="AC2927" s="1"/>
      <c r="AJ2927" s="1"/>
      <c r="AQ2927" s="1"/>
      <c r="AX2927" s="1"/>
      <c r="BE2927" s="1"/>
    </row>
    <row r="2928" spans="1:57" x14ac:dyDescent="0.25">
      <c r="A2928" s="1"/>
      <c r="H2928" s="1"/>
      <c r="O2928" s="1"/>
      <c r="V2928" s="1"/>
      <c r="AC2928" s="1"/>
      <c r="AJ2928" s="1"/>
      <c r="AQ2928" s="1"/>
      <c r="AX2928" s="1"/>
      <c r="BE2928" s="1"/>
    </row>
    <row r="2929" spans="1:57" x14ac:dyDescent="0.25">
      <c r="A2929" s="1"/>
      <c r="H2929" s="1"/>
      <c r="O2929" s="1"/>
      <c r="V2929" s="1"/>
      <c r="AC2929" s="1"/>
      <c r="AJ2929" s="1"/>
      <c r="AQ2929" s="1"/>
      <c r="AX2929" s="1"/>
      <c r="BE2929" s="1"/>
    </row>
    <row r="2930" spans="1:57" x14ac:dyDescent="0.25">
      <c r="A2930" s="1"/>
      <c r="H2930" s="1"/>
      <c r="O2930" s="1"/>
      <c r="V2930" s="1"/>
      <c r="AC2930" s="1"/>
      <c r="AJ2930" s="1"/>
      <c r="AQ2930" s="1"/>
      <c r="AX2930" s="1"/>
      <c r="BE2930" s="1"/>
    </row>
    <row r="2931" spans="1:57" x14ac:dyDescent="0.25">
      <c r="A2931" s="1"/>
      <c r="H2931" s="1"/>
      <c r="O2931" s="1"/>
      <c r="V2931" s="1"/>
      <c r="AC2931" s="1"/>
      <c r="AJ2931" s="1"/>
      <c r="AQ2931" s="1"/>
      <c r="AX2931" s="1"/>
      <c r="BE2931" s="1"/>
    </row>
    <row r="2932" spans="1:57" x14ac:dyDescent="0.25">
      <c r="A2932" s="1"/>
      <c r="H2932" s="1"/>
      <c r="O2932" s="1"/>
      <c r="V2932" s="1"/>
      <c r="AC2932" s="1"/>
      <c r="AJ2932" s="1"/>
      <c r="AQ2932" s="1"/>
      <c r="AX2932" s="1"/>
      <c r="BE2932" s="1"/>
    </row>
    <row r="2933" spans="1:57" x14ac:dyDescent="0.25">
      <c r="A2933" s="1"/>
      <c r="H2933" s="1"/>
      <c r="O2933" s="1"/>
      <c r="V2933" s="1"/>
      <c r="AC2933" s="1"/>
      <c r="AJ2933" s="1"/>
      <c r="AQ2933" s="1"/>
      <c r="AX2933" s="1"/>
      <c r="BE2933" s="1"/>
    </row>
    <row r="2934" spans="1:57" x14ac:dyDescent="0.25">
      <c r="A2934" s="1"/>
      <c r="H2934" s="1"/>
      <c r="O2934" s="1"/>
      <c r="V2934" s="1"/>
      <c r="AC2934" s="1"/>
      <c r="AJ2934" s="1"/>
      <c r="AQ2934" s="1"/>
      <c r="AX2934" s="1"/>
      <c r="BE2934" s="1"/>
    </row>
    <row r="2935" spans="1:57" x14ac:dyDescent="0.25">
      <c r="A2935" s="1"/>
      <c r="H2935" s="1"/>
      <c r="O2935" s="1"/>
      <c r="V2935" s="1"/>
      <c r="AC2935" s="1"/>
      <c r="AJ2935" s="1"/>
      <c r="AQ2935" s="1"/>
      <c r="AX2935" s="1"/>
      <c r="BE2935" s="1"/>
    </row>
    <row r="2936" spans="1:57" x14ac:dyDescent="0.25">
      <c r="A2936" s="1"/>
      <c r="H2936" s="1"/>
      <c r="O2936" s="1"/>
      <c r="V2936" s="1"/>
      <c r="AC2936" s="1"/>
      <c r="AJ2936" s="1"/>
      <c r="AQ2936" s="1"/>
      <c r="AX2936" s="1"/>
      <c r="BE2936" s="1"/>
    </row>
    <row r="2937" spans="1:57" x14ac:dyDescent="0.25">
      <c r="A2937" s="1"/>
      <c r="H2937" s="1"/>
      <c r="O2937" s="1"/>
      <c r="V2937" s="1"/>
      <c r="AC2937" s="1"/>
      <c r="AJ2937" s="1"/>
      <c r="AQ2937" s="1"/>
      <c r="AX2937" s="1"/>
      <c r="BE2937" s="1"/>
    </row>
    <row r="2938" spans="1:57" x14ac:dyDescent="0.25">
      <c r="A2938" s="1"/>
      <c r="H2938" s="1"/>
      <c r="O2938" s="1"/>
      <c r="V2938" s="1"/>
      <c r="AC2938" s="1"/>
      <c r="AJ2938" s="1"/>
      <c r="AQ2938" s="1"/>
      <c r="AX2938" s="1"/>
      <c r="BE2938" s="1"/>
    </row>
    <row r="2939" spans="1:57" x14ac:dyDescent="0.25">
      <c r="A2939" s="1"/>
      <c r="H2939" s="1"/>
      <c r="O2939" s="1"/>
      <c r="V2939" s="1"/>
      <c r="AC2939" s="1"/>
      <c r="AJ2939" s="1"/>
      <c r="AQ2939" s="1"/>
      <c r="AX2939" s="1"/>
      <c r="BE2939" s="1"/>
    </row>
    <row r="2940" spans="1:57" x14ac:dyDescent="0.25">
      <c r="A2940" s="1"/>
      <c r="H2940" s="1"/>
      <c r="O2940" s="1"/>
      <c r="V2940" s="1"/>
      <c r="AC2940" s="1"/>
      <c r="AJ2940" s="1"/>
      <c r="AQ2940" s="1"/>
      <c r="AX2940" s="1"/>
      <c r="BE2940" s="1"/>
    </row>
    <row r="2941" spans="1:57" x14ac:dyDescent="0.25">
      <c r="A2941" s="1"/>
      <c r="H2941" s="1"/>
      <c r="O2941" s="1"/>
      <c r="V2941" s="1"/>
      <c r="AC2941" s="1"/>
      <c r="AJ2941" s="1"/>
      <c r="AQ2941" s="1"/>
      <c r="AX2941" s="1"/>
      <c r="BE2941" s="1"/>
    </row>
    <row r="2942" spans="1:57" x14ac:dyDescent="0.25">
      <c r="A2942" s="1"/>
      <c r="H2942" s="1"/>
      <c r="O2942" s="1"/>
      <c r="V2942" s="1"/>
      <c r="AC2942" s="1"/>
      <c r="AJ2942" s="1"/>
      <c r="AQ2942" s="1"/>
      <c r="AX2942" s="1"/>
      <c r="BE2942" s="1"/>
    </row>
    <row r="2943" spans="1:57" x14ac:dyDescent="0.25">
      <c r="A2943" s="1"/>
      <c r="H2943" s="1"/>
      <c r="O2943" s="1"/>
      <c r="V2943" s="1"/>
      <c r="AC2943" s="1"/>
      <c r="AJ2943" s="1"/>
      <c r="AQ2943" s="1"/>
      <c r="AX2943" s="1"/>
      <c r="BE2943" s="1"/>
    </row>
    <row r="2944" spans="1:57" x14ac:dyDescent="0.25">
      <c r="A2944" s="1"/>
      <c r="H2944" s="1"/>
      <c r="O2944" s="1"/>
      <c r="V2944" s="1"/>
      <c r="AC2944" s="1"/>
      <c r="AJ2944" s="1"/>
      <c r="AQ2944" s="1"/>
      <c r="AX2944" s="1"/>
      <c r="BE2944" s="1"/>
    </row>
    <row r="2945" spans="1:57" x14ac:dyDescent="0.25">
      <c r="A2945" s="1"/>
      <c r="H2945" s="1"/>
      <c r="O2945" s="1"/>
      <c r="V2945" s="1"/>
      <c r="AC2945" s="1"/>
      <c r="AJ2945" s="1"/>
      <c r="AQ2945" s="1"/>
      <c r="AX2945" s="1"/>
      <c r="BE2945" s="1"/>
    </row>
    <row r="2946" spans="1:57" x14ac:dyDescent="0.25">
      <c r="A2946" s="1"/>
      <c r="H2946" s="1"/>
      <c r="O2946" s="1"/>
      <c r="V2946" s="1"/>
      <c r="AC2946" s="1"/>
      <c r="AJ2946" s="1"/>
      <c r="AQ2946" s="1"/>
      <c r="AX2946" s="1"/>
      <c r="BE2946" s="1"/>
    </row>
    <row r="2947" spans="1:57" x14ac:dyDescent="0.25">
      <c r="A2947" s="1"/>
      <c r="H2947" s="1"/>
      <c r="O2947" s="1"/>
      <c r="V2947" s="1"/>
      <c r="AC2947" s="1"/>
      <c r="AJ2947" s="1"/>
      <c r="AQ2947" s="1"/>
      <c r="AX2947" s="1"/>
      <c r="BE2947" s="1"/>
    </row>
    <row r="2948" spans="1:57" x14ac:dyDescent="0.25">
      <c r="A2948" s="1"/>
      <c r="H2948" s="1"/>
      <c r="O2948" s="1"/>
      <c r="V2948" s="1"/>
      <c r="AC2948" s="1"/>
      <c r="AJ2948" s="1"/>
      <c r="AQ2948" s="1"/>
      <c r="AX2948" s="1"/>
      <c r="BE2948" s="1"/>
    </row>
    <row r="2949" spans="1:57" x14ac:dyDescent="0.25">
      <c r="A2949" s="1"/>
      <c r="H2949" s="1"/>
      <c r="O2949" s="1"/>
      <c r="V2949" s="1"/>
      <c r="AC2949" s="1"/>
      <c r="AJ2949" s="1"/>
      <c r="AQ2949" s="1"/>
      <c r="AX2949" s="1"/>
      <c r="BE2949" s="1"/>
    </row>
    <row r="2950" spans="1:57" x14ac:dyDescent="0.25">
      <c r="A2950" s="1"/>
      <c r="H2950" s="1"/>
      <c r="O2950" s="1"/>
      <c r="V2950" s="1"/>
      <c r="AC2950" s="1"/>
      <c r="AJ2950" s="1"/>
      <c r="AQ2950" s="1"/>
      <c r="AX2950" s="1"/>
      <c r="BE2950" s="1"/>
    </row>
    <row r="2951" spans="1:57" x14ac:dyDescent="0.25">
      <c r="A2951" s="1"/>
      <c r="H2951" s="1"/>
      <c r="O2951" s="1"/>
      <c r="V2951" s="1"/>
      <c r="AC2951" s="1"/>
      <c r="AJ2951" s="1"/>
      <c r="AQ2951" s="1"/>
      <c r="AX2951" s="1"/>
      <c r="BE2951" s="1"/>
    </row>
    <row r="2952" spans="1:57" x14ac:dyDescent="0.25">
      <c r="A2952" s="1"/>
      <c r="H2952" s="1"/>
      <c r="O2952" s="1"/>
      <c r="V2952" s="1"/>
      <c r="AC2952" s="1"/>
      <c r="AJ2952" s="1"/>
      <c r="AQ2952" s="1"/>
      <c r="AX2952" s="1"/>
      <c r="BE2952" s="1"/>
    </row>
    <row r="2953" spans="1:57" x14ac:dyDescent="0.25">
      <c r="A2953" s="1"/>
      <c r="H2953" s="1"/>
      <c r="O2953" s="1"/>
      <c r="V2953" s="1"/>
      <c r="AC2953" s="1"/>
      <c r="AJ2953" s="1"/>
      <c r="AQ2953" s="1"/>
      <c r="AX2953" s="1"/>
      <c r="BE2953" s="1"/>
    </row>
    <row r="2954" spans="1:57" x14ac:dyDescent="0.25">
      <c r="A2954" s="1"/>
      <c r="H2954" s="1"/>
      <c r="O2954" s="1"/>
      <c r="V2954" s="1"/>
      <c r="AC2954" s="1"/>
      <c r="AJ2954" s="1"/>
      <c r="AQ2954" s="1"/>
      <c r="AX2954" s="1"/>
      <c r="BE2954" s="1"/>
    </row>
    <row r="2955" spans="1:57" x14ac:dyDescent="0.25">
      <c r="A2955" s="1"/>
      <c r="H2955" s="1"/>
      <c r="O2955" s="1"/>
      <c r="V2955" s="1"/>
      <c r="AC2955" s="1"/>
      <c r="AJ2955" s="1"/>
      <c r="AQ2955" s="1"/>
      <c r="AX2955" s="1"/>
      <c r="BE2955" s="1"/>
    </row>
    <row r="2956" spans="1:57" x14ac:dyDescent="0.25">
      <c r="A2956" s="1"/>
      <c r="H2956" s="1"/>
      <c r="O2956" s="1"/>
      <c r="V2956" s="1"/>
      <c r="AC2956" s="1"/>
      <c r="AJ2956" s="1"/>
      <c r="AQ2956" s="1"/>
      <c r="AX2956" s="1"/>
      <c r="BE2956" s="1"/>
    </row>
    <row r="2957" spans="1:57" x14ac:dyDescent="0.25">
      <c r="A2957" s="1"/>
      <c r="H2957" s="1"/>
      <c r="O2957" s="1"/>
      <c r="V2957" s="1"/>
      <c r="AC2957" s="1"/>
      <c r="AJ2957" s="1"/>
      <c r="AQ2957" s="1"/>
      <c r="AX2957" s="1"/>
      <c r="BE2957" s="1"/>
    </row>
    <row r="2958" spans="1:57" x14ac:dyDescent="0.25">
      <c r="A2958" s="1"/>
      <c r="H2958" s="1"/>
      <c r="O2958" s="1"/>
      <c r="V2958" s="1"/>
      <c r="AC2958" s="1"/>
      <c r="AJ2958" s="1"/>
      <c r="AQ2958" s="1"/>
      <c r="AX2958" s="1"/>
      <c r="BE2958" s="1"/>
    </row>
    <row r="2959" spans="1:57" x14ac:dyDescent="0.25">
      <c r="A2959" s="1"/>
      <c r="H2959" s="1"/>
      <c r="O2959" s="1"/>
      <c r="V2959" s="1"/>
      <c r="AC2959" s="1"/>
      <c r="AJ2959" s="1"/>
      <c r="AQ2959" s="1"/>
      <c r="AX2959" s="1"/>
      <c r="BE2959" s="1"/>
    </row>
    <row r="2960" spans="1:57" x14ac:dyDescent="0.25">
      <c r="A2960" s="1"/>
      <c r="H2960" s="1"/>
      <c r="O2960" s="1"/>
      <c r="V2960" s="1"/>
      <c r="AC2960" s="1"/>
      <c r="AJ2960" s="1"/>
      <c r="AQ2960" s="1"/>
      <c r="AX2960" s="1"/>
      <c r="BE2960" s="1"/>
    </row>
    <row r="2961" spans="1:57" x14ac:dyDescent="0.25">
      <c r="A2961" s="1"/>
      <c r="H2961" s="1"/>
      <c r="O2961" s="1"/>
      <c r="V2961" s="1"/>
      <c r="AC2961" s="1"/>
      <c r="AJ2961" s="1"/>
      <c r="AQ2961" s="1"/>
      <c r="AX2961" s="1"/>
      <c r="BE2961" s="1"/>
    </row>
    <row r="2962" spans="1:57" x14ac:dyDescent="0.25">
      <c r="A2962" s="1"/>
      <c r="H2962" s="1"/>
      <c r="O2962" s="1"/>
      <c r="V2962" s="1"/>
      <c r="AC2962" s="1"/>
      <c r="AJ2962" s="1"/>
      <c r="AQ2962" s="1"/>
      <c r="AX2962" s="1"/>
      <c r="BE2962" s="1"/>
    </row>
    <row r="2963" spans="1:57" x14ac:dyDescent="0.25">
      <c r="A2963" s="1"/>
      <c r="H2963" s="1"/>
      <c r="O2963" s="1"/>
      <c r="V2963" s="1"/>
      <c r="AC2963" s="1"/>
      <c r="AJ2963" s="1"/>
      <c r="AQ2963" s="1"/>
      <c r="AX2963" s="1"/>
      <c r="BE2963" s="1"/>
    </row>
    <row r="2964" spans="1:57" x14ac:dyDescent="0.25">
      <c r="A2964" s="1"/>
      <c r="H2964" s="1"/>
      <c r="O2964" s="1"/>
      <c r="V2964" s="1"/>
      <c r="AC2964" s="1"/>
      <c r="AJ2964" s="1"/>
      <c r="AQ2964" s="1"/>
      <c r="AX2964" s="1"/>
      <c r="BE2964" s="1"/>
    </row>
    <row r="2965" spans="1:57" x14ac:dyDescent="0.25">
      <c r="A2965" s="1"/>
      <c r="H2965" s="1"/>
      <c r="O2965" s="1"/>
      <c r="V2965" s="1"/>
      <c r="AC2965" s="1"/>
      <c r="AJ2965" s="1"/>
      <c r="AQ2965" s="1"/>
      <c r="AX2965" s="1"/>
      <c r="BE2965" s="1"/>
    </row>
    <row r="2966" spans="1:57" x14ac:dyDescent="0.25">
      <c r="A2966" s="1"/>
      <c r="H2966" s="1"/>
      <c r="O2966" s="1"/>
      <c r="V2966" s="1"/>
      <c r="AC2966" s="1"/>
      <c r="AJ2966" s="1"/>
      <c r="AQ2966" s="1"/>
      <c r="AX2966" s="1"/>
      <c r="BE2966" s="1"/>
    </row>
    <row r="2967" spans="1:57" x14ac:dyDescent="0.25">
      <c r="A2967" s="1"/>
      <c r="H2967" s="1"/>
      <c r="O2967" s="1"/>
      <c r="V2967" s="1"/>
      <c r="AC2967" s="1"/>
      <c r="AJ2967" s="1"/>
      <c r="AQ2967" s="1"/>
      <c r="AX2967" s="1"/>
      <c r="BE2967" s="1"/>
    </row>
    <row r="2968" spans="1:57" x14ac:dyDescent="0.25">
      <c r="A2968" s="1"/>
      <c r="H2968" s="1"/>
      <c r="O2968" s="1"/>
      <c r="V2968" s="1"/>
      <c r="AC2968" s="1"/>
      <c r="AJ2968" s="1"/>
      <c r="AQ2968" s="1"/>
      <c r="AX2968" s="1"/>
      <c r="BE2968" s="1"/>
    </row>
    <row r="2969" spans="1:57" x14ac:dyDescent="0.25">
      <c r="A2969" s="1"/>
      <c r="H2969" s="1"/>
      <c r="O2969" s="1"/>
      <c r="V2969" s="1"/>
      <c r="AC2969" s="1"/>
      <c r="AJ2969" s="1"/>
      <c r="AQ2969" s="1"/>
      <c r="AX2969" s="1"/>
      <c r="BE2969" s="1"/>
    </row>
    <row r="2970" spans="1:57" x14ac:dyDescent="0.25">
      <c r="A2970" s="1"/>
      <c r="H2970" s="1"/>
      <c r="O2970" s="1"/>
      <c r="V2970" s="1"/>
      <c r="AC2970" s="1"/>
      <c r="AJ2970" s="1"/>
      <c r="AQ2970" s="1"/>
      <c r="AX2970" s="1"/>
      <c r="BE2970" s="1"/>
    </row>
    <row r="2971" spans="1:57" x14ac:dyDescent="0.25">
      <c r="A2971" s="1"/>
      <c r="H2971" s="1"/>
      <c r="O2971" s="1"/>
      <c r="V2971" s="1"/>
      <c r="AC2971" s="1"/>
      <c r="AJ2971" s="1"/>
      <c r="AQ2971" s="1"/>
      <c r="AX2971" s="1"/>
      <c r="BE2971" s="1"/>
    </row>
    <row r="2972" spans="1:57" x14ac:dyDescent="0.25">
      <c r="A2972" s="1"/>
      <c r="H2972" s="1"/>
      <c r="O2972" s="1"/>
      <c r="V2972" s="1"/>
      <c r="AC2972" s="1"/>
      <c r="AJ2972" s="1"/>
      <c r="AQ2972" s="1"/>
      <c r="AX2972" s="1"/>
      <c r="BE2972" s="1"/>
    </row>
    <row r="2973" spans="1:57" x14ac:dyDescent="0.25">
      <c r="A2973" s="1"/>
      <c r="H2973" s="1"/>
      <c r="O2973" s="1"/>
      <c r="V2973" s="1"/>
      <c r="AC2973" s="1"/>
      <c r="AJ2973" s="1"/>
      <c r="AQ2973" s="1"/>
      <c r="AX2973" s="1"/>
      <c r="BE2973" s="1"/>
    </row>
    <row r="2974" spans="1:57" x14ac:dyDescent="0.25">
      <c r="A2974" s="1"/>
      <c r="H2974" s="1"/>
      <c r="O2974" s="1"/>
      <c r="V2974" s="1"/>
      <c r="AC2974" s="1"/>
      <c r="AJ2974" s="1"/>
      <c r="AQ2974" s="1"/>
      <c r="AX2974" s="1"/>
      <c r="BE2974" s="1"/>
    </row>
    <row r="2975" spans="1:57" x14ac:dyDescent="0.25">
      <c r="A2975" s="1"/>
      <c r="H2975" s="1"/>
      <c r="O2975" s="1"/>
      <c r="V2975" s="1"/>
      <c r="AC2975" s="1"/>
      <c r="AJ2975" s="1"/>
      <c r="AQ2975" s="1"/>
      <c r="AX2975" s="1"/>
      <c r="BE2975" s="1"/>
    </row>
    <row r="2976" spans="1:57" x14ac:dyDescent="0.25">
      <c r="A2976" s="1"/>
      <c r="H2976" s="1"/>
      <c r="O2976" s="1"/>
      <c r="V2976" s="1"/>
      <c r="AC2976" s="1"/>
      <c r="AJ2976" s="1"/>
      <c r="AQ2976" s="1"/>
      <c r="AX2976" s="1"/>
      <c r="BE2976" s="1"/>
    </row>
    <row r="2977" spans="1:57" x14ac:dyDescent="0.25">
      <c r="A2977" s="1"/>
      <c r="H2977" s="1"/>
      <c r="O2977" s="1"/>
      <c r="V2977" s="1"/>
      <c r="AC2977" s="1"/>
      <c r="AJ2977" s="1"/>
      <c r="AQ2977" s="1"/>
      <c r="AX2977" s="1"/>
      <c r="BE2977" s="1"/>
    </row>
    <row r="2978" spans="1:57" x14ac:dyDescent="0.25">
      <c r="A2978" s="1"/>
      <c r="H2978" s="1"/>
      <c r="O2978" s="1"/>
      <c r="V2978" s="1"/>
      <c r="AC2978" s="1"/>
      <c r="AJ2978" s="1"/>
      <c r="AQ2978" s="1"/>
      <c r="AX2978" s="1"/>
      <c r="BE2978" s="1"/>
    </row>
    <row r="2979" spans="1:57" x14ac:dyDescent="0.25">
      <c r="A2979" s="1"/>
      <c r="H2979" s="1"/>
      <c r="O2979" s="1"/>
      <c r="V2979" s="1"/>
      <c r="AC2979" s="1"/>
      <c r="AJ2979" s="1"/>
      <c r="AQ2979" s="1"/>
      <c r="AX2979" s="1"/>
      <c r="BE2979" s="1"/>
    </row>
    <row r="2980" spans="1:57" x14ac:dyDescent="0.25">
      <c r="A2980" s="1"/>
      <c r="H2980" s="1"/>
      <c r="O2980" s="1"/>
      <c r="V2980" s="1"/>
      <c r="AC2980" s="1"/>
      <c r="AJ2980" s="1"/>
      <c r="AQ2980" s="1"/>
      <c r="AX2980" s="1"/>
      <c r="BE2980" s="1"/>
    </row>
    <row r="2981" spans="1:57" x14ac:dyDescent="0.25">
      <c r="A2981" s="1"/>
      <c r="H2981" s="1"/>
      <c r="O2981" s="1"/>
      <c r="V2981" s="1"/>
      <c r="AC2981" s="1"/>
      <c r="AJ2981" s="1"/>
      <c r="AQ2981" s="1"/>
      <c r="AX2981" s="1"/>
      <c r="BE2981" s="1"/>
    </row>
    <row r="2982" spans="1:57" x14ac:dyDescent="0.25">
      <c r="A2982" s="1"/>
      <c r="H2982" s="1"/>
      <c r="O2982" s="1"/>
      <c r="V2982" s="1"/>
      <c r="AC2982" s="1"/>
      <c r="AJ2982" s="1"/>
      <c r="AQ2982" s="1"/>
      <c r="AX2982" s="1"/>
      <c r="BE2982" s="1"/>
    </row>
    <row r="2983" spans="1:57" x14ac:dyDescent="0.25">
      <c r="A2983" s="1"/>
      <c r="H2983" s="1"/>
      <c r="O2983" s="1"/>
      <c r="V2983" s="1"/>
      <c r="AC2983" s="1"/>
      <c r="AJ2983" s="1"/>
      <c r="AQ2983" s="1"/>
      <c r="AX2983" s="1"/>
      <c r="BE2983" s="1"/>
    </row>
    <row r="2984" spans="1:57" x14ac:dyDescent="0.25">
      <c r="A2984" s="1"/>
      <c r="H2984" s="1"/>
      <c r="O2984" s="1"/>
      <c r="V2984" s="1"/>
      <c r="AC2984" s="1"/>
      <c r="AJ2984" s="1"/>
      <c r="AQ2984" s="1"/>
      <c r="AX2984" s="1"/>
      <c r="BE2984" s="1"/>
    </row>
    <row r="2985" spans="1:57" x14ac:dyDescent="0.25">
      <c r="A2985" s="1"/>
      <c r="H2985" s="1"/>
      <c r="O2985" s="1"/>
      <c r="V2985" s="1"/>
      <c r="AC2985" s="1"/>
      <c r="AJ2985" s="1"/>
      <c r="AQ2985" s="1"/>
      <c r="AX2985" s="1"/>
      <c r="BE2985" s="1"/>
    </row>
    <row r="2986" spans="1:57" x14ac:dyDescent="0.25">
      <c r="A2986" s="1"/>
      <c r="H2986" s="1"/>
      <c r="O2986" s="1"/>
      <c r="V2986" s="1"/>
      <c r="AC2986" s="1"/>
      <c r="AJ2986" s="1"/>
      <c r="AQ2986" s="1"/>
      <c r="AX2986" s="1"/>
      <c r="BE2986" s="1"/>
    </row>
    <row r="2987" spans="1:57" x14ac:dyDescent="0.25">
      <c r="A2987" s="1"/>
      <c r="H2987" s="1"/>
      <c r="O2987" s="1"/>
      <c r="V2987" s="1"/>
      <c r="AC2987" s="1"/>
      <c r="AJ2987" s="1"/>
      <c r="AQ2987" s="1"/>
      <c r="AX2987" s="1"/>
      <c r="BE2987" s="1"/>
    </row>
    <row r="2988" spans="1:57" x14ac:dyDescent="0.25">
      <c r="A2988" s="1"/>
      <c r="H2988" s="1"/>
      <c r="O2988" s="1"/>
      <c r="V2988" s="1"/>
      <c r="AC2988" s="1"/>
      <c r="AJ2988" s="1"/>
      <c r="AQ2988" s="1"/>
      <c r="AX2988" s="1"/>
      <c r="BE2988" s="1"/>
    </row>
    <row r="2989" spans="1:57" x14ac:dyDescent="0.25">
      <c r="A2989" s="1"/>
      <c r="H2989" s="1"/>
      <c r="O2989" s="1"/>
      <c r="V2989" s="1"/>
      <c r="AC2989" s="1"/>
      <c r="AJ2989" s="1"/>
      <c r="AQ2989" s="1"/>
      <c r="AX2989" s="1"/>
      <c r="BE2989" s="1"/>
    </row>
    <row r="2990" spans="1:57" x14ac:dyDescent="0.25">
      <c r="A2990" s="1"/>
      <c r="H2990" s="1"/>
      <c r="O2990" s="1"/>
      <c r="V2990" s="1"/>
      <c r="AC2990" s="1"/>
      <c r="AJ2990" s="1"/>
      <c r="AQ2990" s="1"/>
      <c r="AX2990" s="1"/>
      <c r="BE2990" s="1"/>
    </row>
    <row r="2991" spans="1:57" x14ac:dyDescent="0.25">
      <c r="A2991" s="1"/>
      <c r="H2991" s="1"/>
      <c r="O2991" s="1"/>
      <c r="V2991" s="1"/>
      <c r="AC2991" s="1"/>
      <c r="AJ2991" s="1"/>
      <c r="AQ2991" s="1"/>
      <c r="AX2991" s="1"/>
      <c r="BE2991" s="1"/>
    </row>
    <row r="2992" spans="1:57" x14ac:dyDescent="0.25">
      <c r="A2992" s="1"/>
      <c r="H2992" s="1"/>
      <c r="O2992" s="1"/>
      <c r="V2992" s="1"/>
      <c r="AC2992" s="1"/>
      <c r="AJ2992" s="1"/>
      <c r="AQ2992" s="1"/>
      <c r="AX2992" s="1"/>
      <c r="BE2992" s="1"/>
    </row>
    <row r="2993" spans="1:57" x14ac:dyDescent="0.25">
      <c r="A2993" s="1"/>
      <c r="H2993" s="1"/>
      <c r="O2993" s="1"/>
      <c r="V2993" s="1"/>
      <c r="AC2993" s="1"/>
      <c r="AJ2993" s="1"/>
      <c r="AQ2993" s="1"/>
      <c r="AX2993" s="1"/>
      <c r="BE2993" s="1"/>
    </row>
    <row r="2994" spans="1:57" x14ac:dyDescent="0.25">
      <c r="A2994" s="1"/>
      <c r="H2994" s="1"/>
      <c r="O2994" s="1"/>
      <c r="V2994" s="1"/>
      <c r="AC2994" s="1"/>
      <c r="AJ2994" s="1"/>
      <c r="AQ2994" s="1"/>
      <c r="AX2994" s="1"/>
      <c r="BE2994" s="1"/>
    </row>
    <row r="2995" spans="1:57" x14ac:dyDescent="0.25">
      <c r="A2995" s="1"/>
      <c r="H2995" s="1"/>
      <c r="O2995" s="1"/>
      <c r="V2995" s="1"/>
      <c r="AC2995" s="1"/>
      <c r="AJ2995" s="1"/>
      <c r="AQ2995" s="1"/>
      <c r="AX2995" s="1"/>
      <c r="BE2995" s="1"/>
    </row>
    <row r="2996" spans="1:57" x14ac:dyDescent="0.25">
      <c r="A2996" s="1"/>
      <c r="H2996" s="1"/>
      <c r="O2996" s="1"/>
      <c r="V2996" s="1"/>
      <c r="AC2996" s="1"/>
      <c r="AJ2996" s="1"/>
      <c r="AQ2996" s="1"/>
      <c r="AX2996" s="1"/>
      <c r="BE2996" s="1"/>
    </row>
    <row r="2997" spans="1:57" x14ac:dyDescent="0.25">
      <c r="A2997" s="1"/>
      <c r="H2997" s="1"/>
      <c r="O2997" s="1"/>
      <c r="V2997" s="1"/>
      <c r="AC2997" s="1"/>
      <c r="AJ2997" s="1"/>
      <c r="AQ2997" s="1"/>
      <c r="AX2997" s="1"/>
      <c r="BE2997" s="1"/>
    </row>
    <row r="2998" spans="1:57" x14ac:dyDescent="0.25">
      <c r="A2998" s="1"/>
      <c r="H2998" s="1"/>
      <c r="O2998" s="1"/>
      <c r="V2998" s="1"/>
      <c r="AC2998" s="1"/>
      <c r="AJ2998" s="1"/>
      <c r="AQ2998" s="1"/>
      <c r="AX2998" s="1"/>
      <c r="BE2998" s="1"/>
    </row>
    <row r="2999" spans="1:57" x14ac:dyDescent="0.25">
      <c r="A2999" s="1"/>
      <c r="H2999" s="1"/>
      <c r="O2999" s="1"/>
      <c r="V2999" s="1"/>
      <c r="AC2999" s="1"/>
      <c r="AJ2999" s="1"/>
      <c r="AQ2999" s="1"/>
      <c r="AX2999" s="1"/>
      <c r="BE2999" s="1"/>
    </row>
    <row r="3000" spans="1:57" x14ac:dyDescent="0.25">
      <c r="A3000" s="1"/>
      <c r="H3000" s="1"/>
      <c r="O3000" s="1"/>
      <c r="V3000" s="1"/>
      <c r="AC3000" s="1"/>
      <c r="AJ3000" s="1"/>
      <c r="AQ3000" s="1"/>
      <c r="AX3000" s="1"/>
      <c r="BE3000" s="1"/>
    </row>
    <row r="3001" spans="1:57" x14ac:dyDescent="0.25">
      <c r="A3001" s="1"/>
      <c r="H3001" s="1"/>
      <c r="O3001" s="1"/>
      <c r="V3001" s="1"/>
      <c r="AC3001" s="1"/>
      <c r="AJ3001" s="1"/>
      <c r="AQ3001" s="1"/>
      <c r="AX3001" s="1"/>
      <c r="BE3001" s="1"/>
    </row>
    <row r="3002" spans="1:57" x14ac:dyDescent="0.25">
      <c r="A3002" s="1"/>
      <c r="H3002" s="1"/>
      <c r="O3002" s="1"/>
      <c r="V3002" s="1"/>
      <c r="AC3002" s="1"/>
      <c r="AJ3002" s="1"/>
      <c r="AQ3002" s="1"/>
      <c r="AX3002" s="1"/>
      <c r="BE3002" s="1"/>
    </row>
    <row r="3003" spans="1:57" x14ac:dyDescent="0.25">
      <c r="A3003" s="1"/>
      <c r="H3003" s="1"/>
      <c r="O3003" s="1"/>
      <c r="V3003" s="1"/>
      <c r="AC3003" s="1"/>
      <c r="AJ3003" s="1"/>
      <c r="AQ3003" s="1"/>
      <c r="AX3003" s="1"/>
      <c r="BE3003" s="1"/>
    </row>
    <row r="3004" spans="1:57" x14ac:dyDescent="0.25">
      <c r="A3004" s="1"/>
      <c r="H3004" s="1"/>
      <c r="O3004" s="1"/>
      <c r="V3004" s="1"/>
      <c r="AC3004" s="1"/>
      <c r="AJ3004" s="1"/>
      <c r="AQ3004" s="1"/>
      <c r="AX3004" s="1"/>
      <c r="BE3004" s="1"/>
    </row>
    <row r="3005" spans="1:57" x14ac:dyDescent="0.25">
      <c r="A3005" s="1"/>
      <c r="H3005" s="1"/>
      <c r="O3005" s="1"/>
      <c r="V3005" s="1"/>
      <c r="AC3005" s="1"/>
      <c r="AJ3005" s="1"/>
      <c r="AQ3005" s="1"/>
      <c r="AX3005" s="1"/>
      <c r="BE3005" s="1"/>
    </row>
    <row r="3006" spans="1:57" x14ac:dyDescent="0.25">
      <c r="A3006" s="1"/>
      <c r="H3006" s="1"/>
      <c r="O3006" s="1"/>
      <c r="V3006" s="1"/>
      <c r="AC3006" s="1"/>
      <c r="AJ3006" s="1"/>
      <c r="AQ3006" s="1"/>
      <c r="AX3006" s="1"/>
      <c r="BE3006" s="1"/>
    </row>
    <row r="3007" spans="1:57" x14ac:dyDescent="0.25">
      <c r="A3007" s="1"/>
      <c r="H3007" s="1"/>
      <c r="O3007" s="1"/>
      <c r="V3007" s="1"/>
      <c r="AC3007" s="1"/>
      <c r="AJ3007" s="1"/>
      <c r="AQ3007" s="1"/>
      <c r="AX3007" s="1"/>
      <c r="BE3007" s="1"/>
    </row>
    <row r="3008" spans="1:57" x14ac:dyDescent="0.25">
      <c r="A3008" s="1"/>
      <c r="H3008" s="1"/>
      <c r="O3008" s="1"/>
      <c r="V3008" s="1"/>
      <c r="AC3008" s="1"/>
      <c r="AJ3008" s="1"/>
      <c r="AQ3008" s="1"/>
      <c r="AX3008" s="1"/>
      <c r="BE3008" s="1"/>
    </row>
    <row r="3009" spans="1:57" x14ac:dyDescent="0.25">
      <c r="A3009" s="1"/>
      <c r="H3009" s="1"/>
      <c r="O3009" s="1"/>
      <c r="V3009" s="1"/>
      <c r="AC3009" s="1"/>
      <c r="AJ3009" s="1"/>
      <c r="AQ3009" s="1"/>
      <c r="AX3009" s="1"/>
      <c r="BE3009" s="1"/>
    </row>
    <row r="3010" spans="1:57" x14ac:dyDescent="0.25">
      <c r="A3010" s="1"/>
      <c r="H3010" s="1"/>
      <c r="O3010" s="1"/>
      <c r="V3010" s="1"/>
      <c r="AC3010" s="1"/>
      <c r="AJ3010" s="1"/>
      <c r="AQ3010" s="1"/>
      <c r="AX3010" s="1"/>
      <c r="BE3010" s="1"/>
    </row>
    <row r="3011" spans="1:57" x14ac:dyDescent="0.25">
      <c r="A3011" s="1"/>
      <c r="H3011" s="1"/>
      <c r="O3011" s="1"/>
      <c r="V3011" s="1"/>
      <c r="AC3011" s="1"/>
      <c r="AJ3011" s="1"/>
      <c r="AQ3011" s="1"/>
      <c r="AX3011" s="1"/>
      <c r="BE3011" s="1"/>
    </row>
    <row r="3012" spans="1:57" x14ac:dyDescent="0.25">
      <c r="A3012" s="1"/>
      <c r="H3012" s="1"/>
      <c r="O3012" s="1"/>
      <c r="V3012" s="1"/>
      <c r="AC3012" s="1"/>
      <c r="AJ3012" s="1"/>
      <c r="AQ3012" s="1"/>
      <c r="AX3012" s="1"/>
      <c r="BE3012" s="1"/>
    </row>
    <row r="3013" spans="1:57" x14ac:dyDescent="0.25">
      <c r="A3013" s="1"/>
      <c r="H3013" s="1"/>
      <c r="O3013" s="1"/>
      <c r="V3013" s="1"/>
      <c r="AC3013" s="1"/>
      <c r="AJ3013" s="1"/>
      <c r="AQ3013" s="1"/>
      <c r="AX3013" s="1"/>
      <c r="BE3013" s="1"/>
    </row>
    <row r="3014" spans="1:57" x14ac:dyDescent="0.25">
      <c r="A3014" s="1"/>
      <c r="H3014" s="1"/>
      <c r="O3014" s="1"/>
      <c r="V3014" s="1"/>
      <c r="AC3014" s="1"/>
      <c r="AJ3014" s="1"/>
      <c r="AQ3014" s="1"/>
      <c r="AX3014" s="1"/>
      <c r="BE3014" s="1"/>
    </row>
    <row r="3015" spans="1:57" x14ac:dyDescent="0.25">
      <c r="A3015" s="1"/>
      <c r="H3015" s="1"/>
      <c r="O3015" s="1"/>
      <c r="V3015" s="1"/>
      <c r="AC3015" s="1"/>
      <c r="AJ3015" s="1"/>
      <c r="AQ3015" s="1"/>
      <c r="AX3015" s="1"/>
      <c r="BE3015" s="1"/>
    </row>
    <row r="3016" spans="1:57" x14ac:dyDescent="0.25">
      <c r="A3016" s="1"/>
      <c r="H3016" s="1"/>
      <c r="O3016" s="1"/>
      <c r="V3016" s="1"/>
      <c r="AC3016" s="1"/>
      <c r="AJ3016" s="1"/>
      <c r="AQ3016" s="1"/>
      <c r="AX3016" s="1"/>
      <c r="BE3016" s="1"/>
    </row>
    <row r="3017" spans="1:57" x14ac:dyDescent="0.25">
      <c r="A3017" s="1"/>
      <c r="H3017" s="1"/>
      <c r="O3017" s="1"/>
      <c r="V3017" s="1"/>
      <c r="AC3017" s="1"/>
      <c r="AJ3017" s="1"/>
      <c r="AQ3017" s="1"/>
      <c r="AX3017" s="1"/>
      <c r="BE3017" s="1"/>
    </row>
    <row r="3018" spans="1:57" x14ac:dyDescent="0.25">
      <c r="A3018" s="1"/>
      <c r="H3018" s="1"/>
      <c r="O3018" s="1"/>
      <c r="V3018" s="1"/>
      <c r="AC3018" s="1"/>
      <c r="AJ3018" s="1"/>
      <c r="AQ3018" s="1"/>
      <c r="AX3018" s="1"/>
      <c r="BE3018" s="1"/>
    </row>
    <row r="3019" spans="1:57" x14ac:dyDescent="0.25">
      <c r="A3019" s="1"/>
      <c r="H3019" s="1"/>
      <c r="O3019" s="1"/>
      <c r="V3019" s="1"/>
      <c r="AC3019" s="1"/>
      <c r="AJ3019" s="1"/>
      <c r="AQ3019" s="1"/>
      <c r="AX3019" s="1"/>
      <c r="BE3019" s="1"/>
    </row>
    <row r="3020" spans="1:57" x14ac:dyDescent="0.25">
      <c r="A3020" s="1"/>
      <c r="H3020" s="1"/>
      <c r="O3020" s="1"/>
      <c r="V3020" s="1"/>
      <c r="AC3020" s="1"/>
      <c r="AJ3020" s="1"/>
      <c r="AQ3020" s="1"/>
      <c r="AX3020" s="1"/>
      <c r="BE3020" s="1"/>
    </row>
    <row r="3021" spans="1:57" x14ac:dyDescent="0.25">
      <c r="A3021" s="1"/>
      <c r="H3021" s="1"/>
      <c r="O3021" s="1"/>
      <c r="V3021" s="1"/>
      <c r="AC3021" s="1"/>
      <c r="AJ3021" s="1"/>
      <c r="AQ3021" s="1"/>
      <c r="AX3021" s="1"/>
      <c r="BE3021" s="1"/>
    </row>
    <row r="3022" spans="1:57" x14ac:dyDescent="0.25">
      <c r="A3022" s="1"/>
      <c r="H3022" s="1"/>
      <c r="O3022" s="1"/>
      <c r="V3022" s="1"/>
      <c r="AC3022" s="1"/>
      <c r="AJ3022" s="1"/>
      <c r="AQ3022" s="1"/>
      <c r="AX3022" s="1"/>
      <c r="BE3022" s="1"/>
    </row>
    <row r="3023" spans="1:57" x14ac:dyDescent="0.25">
      <c r="A3023" s="1"/>
      <c r="H3023" s="1"/>
      <c r="O3023" s="1"/>
      <c r="V3023" s="1"/>
      <c r="AC3023" s="1"/>
      <c r="AJ3023" s="1"/>
      <c r="AQ3023" s="1"/>
      <c r="AX3023" s="1"/>
      <c r="BE3023" s="1"/>
    </row>
    <row r="3024" spans="1:57" x14ac:dyDescent="0.25">
      <c r="A3024" s="1"/>
      <c r="H3024" s="1"/>
      <c r="O3024" s="1"/>
      <c r="V3024" s="1"/>
      <c r="AC3024" s="1"/>
      <c r="AJ3024" s="1"/>
      <c r="AQ3024" s="1"/>
      <c r="AX3024" s="1"/>
      <c r="BE3024" s="1"/>
    </row>
    <row r="3025" spans="1:57" x14ac:dyDescent="0.25">
      <c r="A3025" s="1"/>
      <c r="H3025" s="1"/>
      <c r="O3025" s="1"/>
      <c r="V3025" s="1"/>
      <c r="AC3025" s="1"/>
      <c r="AJ3025" s="1"/>
      <c r="AQ3025" s="1"/>
      <c r="AX3025" s="1"/>
      <c r="BE3025" s="1"/>
    </row>
    <row r="3026" spans="1:57" x14ac:dyDescent="0.25">
      <c r="A3026" s="1"/>
      <c r="H3026" s="1"/>
      <c r="O3026" s="1"/>
      <c r="V3026" s="1"/>
      <c r="AC3026" s="1"/>
      <c r="AJ3026" s="1"/>
      <c r="AQ3026" s="1"/>
      <c r="AX3026" s="1"/>
      <c r="BE3026" s="1"/>
    </row>
    <row r="3027" spans="1:57" x14ac:dyDescent="0.25">
      <c r="A3027" s="1"/>
      <c r="H3027" s="1"/>
      <c r="O3027" s="1"/>
      <c r="V3027" s="1"/>
      <c r="AC3027" s="1"/>
      <c r="AJ3027" s="1"/>
      <c r="AQ3027" s="1"/>
      <c r="AX3027" s="1"/>
      <c r="BE3027" s="1"/>
    </row>
    <row r="3028" spans="1:57" x14ac:dyDescent="0.25">
      <c r="A3028" s="1"/>
      <c r="H3028" s="1"/>
      <c r="O3028" s="1"/>
      <c r="V3028" s="1"/>
      <c r="AC3028" s="1"/>
      <c r="AJ3028" s="1"/>
      <c r="AQ3028" s="1"/>
      <c r="AX3028" s="1"/>
      <c r="BE3028" s="1"/>
    </row>
    <row r="3029" spans="1:57" x14ac:dyDescent="0.25">
      <c r="A3029" s="1"/>
      <c r="H3029" s="1"/>
      <c r="O3029" s="1"/>
      <c r="V3029" s="1"/>
      <c r="AC3029" s="1"/>
      <c r="AJ3029" s="1"/>
      <c r="AQ3029" s="1"/>
      <c r="AX3029" s="1"/>
      <c r="BE3029" s="1"/>
    </row>
    <row r="3030" spans="1:57" x14ac:dyDescent="0.25">
      <c r="A3030" s="1"/>
      <c r="H3030" s="1"/>
      <c r="O3030" s="1"/>
      <c r="V3030" s="1"/>
      <c r="AC3030" s="1"/>
      <c r="AJ3030" s="1"/>
      <c r="AQ3030" s="1"/>
      <c r="AX3030" s="1"/>
      <c r="BE3030" s="1"/>
    </row>
    <row r="3031" spans="1:57" x14ac:dyDescent="0.25">
      <c r="A3031" s="1"/>
      <c r="H3031" s="1"/>
      <c r="O3031" s="1"/>
      <c r="V3031" s="1"/>
      <c r="AC3031" s="1"/>
      <c r="AJ3031" s="1"/>
      <c r="AQ3031" s="1"/>
      <c r="AX3031" s="1"/>
      <c r="BE3031" s="1"/>
    </row>
    <row r="3032" spans="1:57" x14ac:dyDescent="0.25">
      <c r="A3032" s="1"/>
      <c r="H3032" s="1"/>
      <c r="O3032" s="1"/>
      <c r="V3032" s="1"/>
      <c r="AC3032" s="1"/>
      <c r="AJ3032" s="1"/>
      <c r="AQ3032" s="1"/>
      <c r="AX3032" s="1"/>
      <c r="BE3032" s="1"/>
    </row>
    <row r="3033" spans="1:57" x14ac:dyDescent="0.25">
      <c r="A3033" s="1"/>
      <c r="H3033" s="1"/>
      <c r="O3033" s="1"/>
      <c r="V3033" s="1"/>
      <c r="AC3033" s="1"/>
      <c r="AJ3033" s="1"/>
      <c r="AQ3033" s="1"/>
      <c r="AX3033" s="1"/>
      <c r="BE3033" s="1"/>
    </row>
    <row r="3034" spans="1:57" x14ac:dyDescent="0.25">
      <c r="A3034" s="1"/>
      <c r="H3034" s="1"/>
      <c r="O3034" s="1"/>
      <c r="V3034" s="1"/>
      <c r="AC3034" s="1"/>
      <c r="AJ3034" s="1"/>
      <c r="AQ3034" s="1"/>
      <c r="AX3034" s="1"/>
      <c r="BE3034" s="1"/>
    </row>
    <row r="3035" spans="1:57" x14ac:dyDescent="0.25">
      <c r="A3035" s="1"/>
      <c r="H3035" s="1"/>
      <c r="O3035" s="1"/>
      <c r="V3035" s="1"/>
      <c r="AC3035" s="1"/>
      <c r="AJ3035" s="1"/>
      <c r="AQ3035" s="1"/>
      <c r="AX3035" s="1"/>
      <c r="BE3035" s="1"/>
    </row>
    <row r="3036" spans="1:57" x14ac:dyDescent="0.25">
      <c r="A3036" s="1"/>
      <c r="H3036" s="1"/>
      <c r="O3036" s="1"/>
      <c r="V3036" s="1"/>
      <c r="AC3036" s="1"/>
      <c r="AJ3036" s="1"/>
      <c r="AQ3036" s="1"/>
      <c r="AX3036" s="1"/>
      <c r="BE3036" s="1"/>
    </row>
    <row r="3037" spans="1:57" x14ac:dyDescent="0.25">
      <c r="A3037" s="1"/>
      <c r="H3037" s="1"/>
      <c r="O3037" s="1"/>
      <c r="V3037" s="1"/>
      <c r="AC3037" s="1"/>
      <c r="AJ3037" s="1"/>
      <c r="AQ3037" s="1"/>
      <c r="AX3037" s="1"/>
      <c r="BE3037" s="1"/>
    </row>
    <row r="3038" spans="1:57" x14ac:dyDescent="0.25">
      <c r="A3038" s="1"/>
      <c r="H3038" s="1"/>
      <c r="O3038" s="1"/>
      <c r="V3038" s="1"/>
      <c r="AC3038" s="1"/>
      <c r="AJ3038" s="1"/>
      <c r="AQ3038" s="1"/>
      <c r="AX3038" s="1"/>
      <c r="BE3038" s="1"/>
    </row>
    <row r="3039" spans="1:57" x14ac:dyDescent="0.25">
      <c r="A3039" s="1"/>
      <c r="H3039" s="1"/>
      <c r="O3039" s="1"/>
      <c r="V3039" s="1"/>
      <c r="AC3039" s="1"/>
      <c r="AJ3039" s="1"/>
      <c r="AQ3039" s="1"/>
      <c r="AX3039" s="1"/>
      <c r="BE3039" s="1"/>
    </row>
    <row r="3040" spans="1:57" x14ac:dyDescent="0.25">
      <c r="A3040" s="1"/>
      <c r="H3040" s="1"/>
      <c r="O3040" s="1"/>
      <c r="V3040" s="1"/>
      <c r="AC3040" s="1"/>
      <c r="AJ3040" s="1"/>
      <c r="AQ3040" s="1"/>
      <c r="AX3040" s="1"/>
      <c r="BE3040" s="1"/>
    </row>
    <row r="3041" spans="1:57" x14ac:dyDescent="0.25">
      <c r="A3041" s="1"/>
      <c r="H3041" s="1"/>
      <c r="O3041" s="1"/>
      <c r="V3041" s="1"/>
      <c r="AC3041" s="1"/>
      <c r="AJ3041" s="1"/>
      <c r="AQ3041" s="1"/>
      <c r="AX3041" s="1"/>
      <c r="BE3041" s="1"/>
    </row>
    <row r="3042" spans="1:57" x14ac:dyDescent="0.25">
      <c r="A3042" s="1"/>
      <c r="H3042" s="1"/>
      <c r="O3042" s="1"/>
      <c r="V3042" s="1"/>
      <c r="AC3042" s="1"/>
      <c r="AJ3042" s="1"/>
      <c r="AQ3042" s="1"/>
      <c r="AX3042" s="1"/>
      <c r="BE3042" s="1"/>
    </row>
    <row r="3043" spans="1:57" x14ac:dyDescent="0.25">
      <c r="A3043" s="1"/>
      <c r="H3043" s="1"/>
      <c r="O3043" s="1"/>
      <c r="V3043" s="1"/>
      <c r="AC3043" s="1"/>
      <c r="AJ3043" s="1"/>
      <c r="AQ3043" s="1"/>
      <c r="AX3043" s="1"/>
      <c r="BE3043" s="1"/>
    </row>
    <row r="3044" spans="1:57" x14ac:dyDescent="0.25">
      <c r="A3044" s="1"/>
      <c r="H3044" s="1"/>
      <c r="O3044" s="1"/>
      <c r="V3044" s="1"/>
      <c r="AC3044" s="1"/>
      <c r="AJ3044" s="1"/>
      <c r="AQ3044" s="1"/>
      <c r="AX3044" s="1"/>
      <c r="BE3044" s="1"/>
    </row>
    <row r="3045" spans="1:57" x14ac:dyDescent="0.25">
      <c r="A3045" s="1"/>
      <c r="H3045" s="1"/>
      <c r="O3045" s="1"/>
      <c r="V3045" s="1"/>
      <c r="AC3045" s="1"/>
      <c r="AJ3045" s="1"/>
      <c r="AQ3045" s="1"/>
      <c r="AX3045" s="1"/>
      <c r="BE3045" s="1"/>
    </row>
    <row r="3046" spans="1:57" x14ac:dyDescent="0.25">
      <c r="A3046" s="1"/>
      <c r="H3046" s="1"/>
      <c r="O3046" s="1"/>
      <c r="V3046" s="1"/>
      <c r="AC3046" s="1"/>
      <c r="AJ3046" s="1"/>
      <c r="AQ3046" s="1"/>
      <c r="AX3046" s="1"/>
      <c r="BE3046" s="1"/>
    </row>
    <row r="3047" spans="1:57" x14ac:dyDescent="0.25">
      <c r="A3047" s="1"/>
      <c r="H3047" s="1"/>
      <c r="O3047" s="1"/>
      <c r="V3047" s="1"/>
      <c r="AC3047" s="1"/>
      <c r="AJ3047" s="1"/>
      <c r="AQ3047" s="1"/>
      <c r="AX3047" s="1"/>
      <c r="BE3047" s="1"/>
    </row>
    <row r="3048" spans="1:57" x14ac:dyDescent="0.25">
      <c r="A3048" s="1"/>
      <c r="H3048" s="1"/>
      <c r="O3048" s="1"/>
      <c r="V3048" s="1"/>
      <c r="AC3048" s="1"/>
      <c r="AJ3048" s="1"/>
      <c r="AQ3048" s="1"/>
      <c r="AX3048" s="1"/>
      <c r="BE3048" s="1"/>
    </row>
    <row r="3049" spans="1:57" x14ac:dyDescent="0.25">
      <c r="A3049" s="1"/>
      <c r="H3049" s="1"/>
      <c r="O3049" s="1"/>
      <c r="V3049" s="1"/>
      <c r="AC3049" s="1"/>
      <c r="AJ3049" s="1"/>
      <c r="AQ3049" s="1"/>
      <c r="AX3049" s="1"/>
      <c r="BE3049" s="1"/>
    </row>
    <row r="3050" spans="1:57" x14ac:dyDescent="0.25">
      <c r="A3050" s="1"/>
      <c r="H3050" s="1"/>
      <c r="O3050" s="1"/>
      <c r="V3050" s="1"/>
      <c r="AC3050" s="1"/>
      <c r="AJ3050" s="1"/>
      <c r="AQ3050" s="1"/>
      <c r="AX3050" s="1"/>
      <c r="BE3050" s="1"/>
    </row>
    <row r="3051" spans="1:57" x14ac:dyDescent="0.25">
      <c r="A3051" s="1"/>
      <c r="H3051" s="1"/>
      <c r="O3051" s="1"/>
      <c r="V3051" s="1"/>
      <c r="AC3051" s="1"/>
      <c r="AJ3051" s="1"/>
      <c r="AQ3051" s="1"/>
      <c r="AX3051" s="1"/>
      <c r="BE3051" s="1"/>
    </row>
    <row r="3052" spans="1:57" x14ac:dyDescent="0.25">
      <c r="A3052" s="1"/>
      <c r="H3052" s="1"/>
      <c r="O3052" s="1"/>
      <c r="V3052" s="1"/>
      <c r="AC3052" s="1"/>
      <c r="AJ3052" s="1"/>
      <c r="AQ3052" s="1"/>
      <c r="AX3052" s="1"/>
      <c r="BE3052" s="1"/>
    </row>
    <row r="3053" spans="1:57" x14ac:dyDescent="0.25">
      <c r="A3053" s="1"/>
      <c r="H3053" s="1"/>
      <c r="O3053" s="1"/>
      <c r="V3053" s="1"/>
      <c r="AC3053" s="1"/>
      <c r="AJ3053" s="1"/>
      <c r="AQ3053" s="1"/>
      <c r="AX3053" s="1"/>
      <c r="BE3053" s="1"/>
    </row>
    <row r="3054" spans="1:57" x14ac:dyDescent="0.25">
      <c r="A3054" s="1"/>
      <c r="H3054" s="1"/>
      <c r="O3054" s="1"/>
      <c r="V3054" s="1"/>
      <c r="AC3054" s="1"/>
      <c r="AJ3054" s="1"/>
      <c r="AQ3054" s="1"/>
      <c r="AX3054" s="1"/>
      <c r="BE3054" s="1"/>
    </row>
    <row r="3055" spans="1:57" x14ac:dyDescent="0.25">
      <c r="A3055" s="1"/>
      <c r="H3055" s="1"/>
      <c r="O3055" s="1"/>
      <c r="V3055" s="1"/>
      <c r="AC3055" s="1"/>
      <c r="AJ3055" s="1"/>
      <c r="AQ3055" s="1"/>
      <c r="AX3055" s="1"/>
      <c r="BE3055" s="1"/>
    </row>
    <row r="3056" spans="1:57" x14ac:dyDescent="0.25">
      <c r="A3056" s="1"/>
      <c r="H3056" s="1"/>
      <c r="O3056" s="1"/>
      <c r="V3056" s="1"/>
      <c r="AC3056" s="1"/>
      <c r="AJ3056" s="1"/>
      <c r="AQ3056" s="1"/>
      <c r="AX3056" s="1"/>
      <c r="BE3056" s="1"/>
    </row>
    <row r="3057" spans="1:57" x14ac:dyDescent="0.25">
      <c r="A3057" s="1"/>
      <c r="H3057" s="1"/>
      <c r="O3057" s="1"/>
      <c r="V3057" s="1"/>
      <c r="AC3057" s="1"/>
      <c r="AJ3057" s="1"/>
      <c r="AQ3057" s="1"/>
      <c r="AX3057" s="1"/>
      <c r="BE3057" s="1"/>
    </row>
    <row r="3058" spans="1:57" x14ac:dyDescent="0.25">
      <c r="A3058" s="1"/>
      <c r="H3058" s="1"/>
      <c r="O3058" s="1"/>
      <c r="V3058" s="1"/>
      <c r="AC3058" s="1"/>
      <c r="AJ3058" s="1"/>
      <c r="AQ3058" s="1"/>
      <c r="AX3058" s="1"/>
      <c r="BE3058" s="1"/>
    </row>
    <row r="3059" spans="1:57" x14ac:dyDescent="0.25">
      <c r="A3059" s="1"/>
      <c r="H3059" s="1"/>
      <c r="O3059" s="1"/>
      <c r="V3059" s="1"/>
      <c r="AC3059" s="1"/>
      <c r="AJ3059" s="1"/>
      <c r="AQ3059" s="1"/>
      <c r="AX3059" s="1"/>
      <c r="BE3059" s="1"/>
    </row>
    <row r="3060" spans="1:57" x14ac:dyDescent="0.25">
      <c r="A3060" s="1"/>
      <c r="H3060" s="1"/>
      <c r="O3060" s="1"/>
      <c r="V3060" s="1"/>
      <c r="AC3060" s="1"/>
      <c r="AJ3060" s="1"/>
      <c r="AQ3060" s="1"/>
      <c r="AX3060" s="1"/>
      <c r="BE3060" s="1"/>
    </row>
    <row r="3061" spans="1:57" x14ac:dyDescent="0.25">
      <c r="A3061" s="1"/>
      <c r="H3061" s="1"/>
      <c r="O3061" s="1"/>
      <c r="V3061" s="1"/>
      <c r="AC3061" s="1"/>
      <c r="AJ3061" s="1"/>
      <c r="AQ3061" s="1"/>
      <c r="AX3061" s="1"/>
      <c r="BE3061" s="1"/>
    </row>
    <row r="3062" spans="1:57" x14ac:dyDescent="0.25">
      <c r="A3062" s="1"/>
      <c r="H3062" s="1"/>
      <c r="O3062" s="1"/>
      <c r="V3062" s="1"/>
      <c r="AC3062" s="1"/>
      <c r="AJ3062" s="1"/>
      <c r="AQ3062" s="1"/>
      <c r="AX3062" s="1"/>
      <c r="BE3062" s="1"/>
    </row>
    <row r="3063" spans="1:57" x14ac:dyDescent="0.25">
      <c r="A3063" s="1"/>
      <c r="H3063" s="1"/>
      <c r="O3063" s="1"/>
      <c r="V3063" s="1"/>
      <c r="AC3063" s="1"/>
      <c r="AJ3063" s="1"/>
      <c r="AQ3063" s="1"/>
      <c r="AX3063" s="1"/>
      <c r="BE3063" s="1"/>
    </row>
    <row r="3064" spans="1:57" x14ac:dyDescent="0.25">
      <c r="A3064" s="1"/>
      <c r="H3064" s="1"/>
      <c r="O3064" s="1"/>
      <c r="V3064" s="1"/>
      <c r="AC3064" s="1"/>
      <c r="AJ3064" s="1"/>
      <c r="AQ3064" s="1"/>
      <c r="AX3064" s="1"/>
      <c r="BE3064" s="1"/>
    </row>
    <row r="3065" spans="1:57" x14ac:dyDescent="0.25">
      <c r="A3065" s="1"/>
      <c r="H3065" s="1"/>
      <c r="O3065" s="1"/>
      <c r="V3065" s="1"/>
      <c r="AC3065" s="1"/>
      <c r="AJ3065" s="1"/>
      <c r="AQ3065" s="1"/>
      <c r="AX3065" s="1"/>
      <c r="BE3065" s="1"/>
    </row>
    <row r="3066" spans="1:57" x14ac:dyDescent="0.25">
      <c r="A3066" s="1"/>
      <c r="H3066" s="1"/>
      <c r="O3066" s="1"/>
      <c r="V3066" s="1"/>
      <c r="AC3066" s="1"/>
      <c r="AJ3066" s="1"/>
      <c r="AQ3066" s="1"/>
      <c r="AX3066" s="1"/>
      <c r="BE3066" s="1"/>
    </row>
    <row r="3067" spans="1:57" x14ac:dyDescent="0.25">
      <c r="A3067" s="1"/>
      <c r="H3067" s="1"/>
      <c r="O3067" s="1"/>
      <c r="V3067" s="1"/>
      <c r="AC3067" s="1"/>
      <c r="AJ3067" s="1"/>
      <c r="AQ3067" s="1"/>
      <c r="AX3067" s="1"/>
      <c r="BE3067" s="1"/>
    </row>
    <row r="3068" spans="1:57" x14ac:dyDescent="0.25">
      <c r="A3068" s="1"/>
      <c r="H3068" s="1"/>
      <c r="O3068" s="1"/>
      <c r="V3068" s="1"/>
      <c r="AC3068" s="1"/>
      <c r="AJ3068" s="1"/>
      <c r="AQ3068" s="1"/>
      <c r="AX3068" s="1"/>
      <c r="BE3068" s="1"/>
    </row>
    <row r="3069" spans="1:57" x14ac:dyDescent="0.25">
      <c r="A3069" s="1"/>
      <c r="H3069" s="1"/>
      <c r="O3069" s="1"/>
      <c r="V3069" s="1"/>
      <c r="AC3069" s="1"/>
      <c r="AJ3069" s="1"/>
      <c r="AQ3069" s="1"/>
      <c r="AX3069" s="1"/>
      <c r="BE3069" s="1"/>
    </row>
    <row r="3070" spans="1:57" x14ac:dyDescent="0.25">
      <c r="A3070" s="1"/>
      <c r="H3070" s="1"/>
      <c r="O3070" s="1"/>
      <c r="V3070" s="1"/>
      <c r="AC3070" s="1"/>
      <c r="AJ3070" s="1"/>
      <c r="AQ3070" s="1"/>
      <c r="AX3070" s="1"/>
      <c r="BE3070" s="1"/>
    </row>
    <row r="3071" spans="1:57" x14ac:dyDescent="0.25">
      <c r="A3071" s="1"/>
      <c r="H3071" s="1"/>
      <c r="O3071" s="1"/>
      <c r="V3071" s="1"/>
      <c r="AC3071" s="1"/>
      <c r="AJ3071" s="1"/>
      <c r="AQ3071" s="1"/>
      <c r="AX3071" s="1"/>
      <c r="BE3071" s="1"/>
    </row>
    <row r="3072" spans="1:57" x14ac:dyDescent="0.25">
      <c r="A3072" s="1"/>
      <c r="H3072" s="1"/>
      <c r="O3072" s="1"/>
      <c r="V3072" s="1"/>
      <c r="AC3072" s="1"/>
      <c r="AJ3072" s="1"/>
      <c r="AQ3072" s="1"/>
      <c r="AX3072" s="1"/>
      <c r="BE3072" s="1"/>
    </row>
    <row r="3073" spans="1:57" x14ac:dyDescent="0.25">
      <c r="A3073" s="1"/>
      <c r="H3073" s="1"/>
      <c r="O3073" s="1"/>
      <c r="V3073" s="1"/>
      <c r="AC3073" s="1"/>
      <c r="AJ3073" s="1"/>
      <c r="AQ3073" s="1"/>
      <c r="AX3073" s="1"/>
      <c r="BE3073" s="1"/>
    </row>
    <row r="3074" spans="1:57" x14ac:dyDescent="0.25">
      <c r="A3074" s="1"/>
      <c r="H3074" s="1"/>
      <c r="O3074" s="1"/>
      <c r="V3074" s="1"/>
      <c r="AC3074" s="1"/>
      <c r="AJ3074" s="1"/>
      <c r="AQ3074" s="1"/>
      <c r="AX3074" s="1"/>
      <c r="BE3074" s="1"/>
    </row>
    <row r="3075" spans="1:57" x14ac:dyDescent="0.25">
      <c r="A3075" s="1"/>
      <c r="H3075" s="1"/>
      <c r="O3075" s="1"/>
      <c r="V3075" s="1"/>
      <c r="AC3075" s="1"/>
      <c r="AJ3075" s="1"/>
      <c r="AQ3075" s="1"/>
      <c r="AX3075" s="1"/>
      <c r="BE3075" s="1"/>
    </row>
    <row r="3076" spans="1:57" x14ac:dyDescent="0.25">
      <c r="A3076" s="1"/>
      <c r="H3076" s="1"/>
      <c r="O3076" s="1"/>
      <c r="V3076" s="1"/>
      <c r="AC3076" s="1"/>
      <c r="AJ3076" s="1"/>
      <c r="AQ3076" s="1"/>
      <c r="AX3076" s="1"/>
      <c r="BE3076" s="1"/>
    </row>
    <row r="3077" spans="1:57" x14ac:dyDescent="0.25">
      <c r="A3077" s="1"/>
      <c r="H3077" s="1"/>
      <c r="O3077" s="1"/>
      <c r="V3077" s="1"/>
      <c r="AC3077" s="1"/>
      <c r="AJ3077" s="1"/>
      <c r="AQ3077" s="1"/>
      <c r="AX3077" s="1"/>
      <c r="BE3077" s="1"/>
    </row>
    <row r="3078" spans="1:57" x14ac:dyDescent="0.25">
      <c r="A3078" s="1"/>
      <c r="H3078" s="1"/>
      <c r="O3078" s="1"/>
      <c r="V3078" s="1"/>
      <c r="AC3078" s="1"/>
      <c r="AJ3078" s="1"/>
      <c r="AQ3078" s="1"/>
      <c r="AX3078" s="1"/>
      <c r="BE3078" s="1"/>
    </row>
    <row r="3079" spans="1:57" x14ac:dyDescent="0.25">
      <c r="A3079" s="1"/>
      <c r="H3079" s="1"/>
      <c r="O3079" s="1"/>
      <c r="V3079" s="1"/>
      <c r="AC3079" s="1"/>
      <c r="AJ3079" s="1"/>
      <c r="AQ3079" s="1"/>
      <c r="AX3079" s="1"/>
      <c r="BE3079" s="1"/>
    </row>
    <row r="3080" spans="1:57" x14ac:dyDescent="0.25">
      <c r="A3080" s="1"/>
      <c r="H3080" s="1"/>
      <c r="O3080" s="1"/>
      <c r="V3080" s="1"/>
      <c r="AC3080" s="1"/>
      <c r="AJ3080" s="1"/>
      <c r="AQ3080" s="1"/>
      <c r="AX3080" s="1"/>
      <c r="BE3080" s="1"/>
    </row>
    <row r="3081" spans="1:57" x14ac:dyDescent="0.25">
      <c r="A3081" s="1"/>
      <c r="H3081" s="1"/>
      <c r="O3081" s="1"/>
      <c r="V3081" s="1"/>
      <c r="AC3081" s="1"/>
      <c r="AJ3081" s="1"/>
      <c r="AQ3081" s="1"/>
      <c r="AX3081" s="1"/>
      <c r="BE3081" s="1"/>
    </row>
    <row r="3082" spans="1:57" x14ac:dyDescent="0.25">
      <c r="A3082" s="1"/>
      <c r="H3082" s="1"/>
      <c r="O3082" s="1"/>
      <c r="V3082" s="1"/>
      <c r="AC3082" s="1"/>
      <c r="AJ3082" s="1"/>
      <c r="AQ3082" s="1"/>
      <c r="AX3082" s="1"/>
      <c r="BE3082" s="1"/>
    </row>
    <row r="3083" spans="1:57" x14ac:dyDescent="0.25">
      <c r="A3083" s="1"/>
      <c r="H3083" s="1"/>
      <c r="O3083" s="1"/>
      <c r="V3083" s="1"/>
      <c r="AC3083" s="1"/>
      <c r="AJ3083" s="1"/>
      <c r="AQ3083" s="1"/>
      <c r="AX3083" s="1"/>
      <c r="BE3083" s="1"/>
    </row>
    <row r="3084" spans="1:57" x14ac:dyDescent="0.25">
      <c r="A3084" s="1"/>
      <c r="H3084" s="1"/>
      <c r="O3084" s="1"/>
      <c r="V3084" s="1"/>
      <c r="AC3084" s="1"/>
      <c r="AJ3084" s="1"/>
      <c r="AQ3084" s="1"/>
      <c r="AX3084" s="1"/>
      <c r="BE3084" s="1"/>
    </row>
    <row r="3085" spans="1:57" x14ac:dyDescent="0.25">
      <c r="A3085" s="1"/>
      <c r="H3085" s="1"/>
      <c r="O3085" s="1"/>
      <c r="V3085" s="1"/>
      <c r="AC3085" s="1"/>
      <c r="AJ3085" s="1"/>
      <c r="AQ3085" s="1"/>
      <c r="AX3085" s="1"/>
      <c r="BE3085" s="1"/>
    </row>
    <row r="3086" spans="1:57" x14ac:dyDescent="0.25">
      <c r="A3086" s="1"/>
      <c r="H3086" s="1"/>
      <c r="O3086" s="1"/>
      <c r="V3086" s="1"/>
      <c r="AC3086" s="1"/>
      <c r="AJ3086" s="1"/>
      <c r="AQ3086" s="1"/>
      <c r="AX3086" s="1"/>
      <c r="BE3086" s="1"/>
    </row>
    <row r="3087" spans="1:57" x14ac:dyDescent="0.25">
      <c r="A3087" s="1"/>
      <c r="H3087" s="1"/>
      <c r="O3087" s="1"/>
      <c r="V3087" s="1"/>
      <c r="AC3087" s="1"/>
      <c r="AJ3087" s="1"/>
      <c r="AQ3087" s="1"/>
      <c r="AX3087" s="1"/>
      <c r="BE3087" s="1"/>
    </row>
    <row r="3088" spans="1:57" x14ac:dyDescent="0.25">
      <c r="A3088" s="1"/>
      <c r="H3088" s="1"/>
      <c r="O3088" s="1"/>
      <c r="V3088" s="1"/>
      <c r="AC3088" s="1"/>
      <c r="AJ3088" s="1"/>
      <c r="AQ3088" s="1"/>
      <c r="AX3088" s="1"/>
      <c r="BE3088" s="1"/>
    </row>
    <row r="3089" spans="1:57" x14ac:dyDescent="0.25">
      <c r="A3089" s="1"/>
      <c r="H3089" s="1"/>
      <c r="O3089" s="1"/>
      <c r="V3089" s="1"/>
      <c r="AC3089" s="1"/>
      <c r="AJ3089" s="1"/>
      <c r="AQ3089" s="1"/>
      <c r="AX3089" s="1"/>
      <c r="BE3089" s="1"/>
    </row>
    <row r="3090" spans="1:57" x14ac:dyDescent="0.25">
      <c r="A3090" s="1"/>
      <c r="H3090" s="1"/>
      <c r="O3090" s="1"/>
      <c r="V3090" s="1"/>
      <c r="AC3090" s="1"/>
      <c r="AJ3090" s="1"/>
      <c r="AQ3090" s="1"/>
      <c r="AX3090" s="1"/>
      <c r="BE3090" s="1"/>
    </row>
    <row r="3091" spans="1:57" x14ac:dyDescent="0.25">
      <c r="A3091" s="1"/>
      <c r="H3091" s="1"/>
      <c r="O3091" s="1"/>
      <c r="V3091" s="1"/>
      <c r="AC3091" s="1"/>
      <c r="AJ3091" s="1"/>
      <c r="AQ3091" s="1"/>
      <c r="AX3091" s="1"/>
      <c r="BE3091" s="1"/>
    </row>
    <row r="3092" spans="1:57" x14ac:dyDescent="0.25">
      <c r="A3092" s="1"/>
      <c r="H3092" s="1"/>
      <c r="O3092" s="1"/>
      <c r="V3092" s="1"/>
      <c r="AC3092" s="1"/>
      <c r="AJ3092" s="1"/>
      <c r="AQ3092" s="1"/>
      <c r="AX3092" s="1"/>
      <c r="BE3092" s="1"/>
    </row>
    <row r="3093" spans="1:57" x14ac:dyDescent="0.25">
      <c r="A3093" s="1"/>
      <c r="H3093" s="1"/>
      <c r="O3093" s="1"/>
      <c r="V3093" s="1"/>
      <c r="AC3093" s="1"/>
      <c r="AJ3093" s="1"/>
      <c r="AQ3093" s="1"/>
      <c r="AX3093" s="1"/>
      <c r="BE3093" s="1"/>
    </row>
    <row r="3094" spans="1:57" x14ac:dyDescent="0.25">
      <c r="A3094" s="1"/>
      <c r="H3094" s="1"/>
      <c r="O3094" s="1"/>
      <c r="V3094" s="1"/>
      <c r="AC3094" s="1"/>
      <c r="AJ3094" s="1"/>
      <c r="AQ3094" s="1"/>
      <c r="AX3094" s="1"/>
      <c r="BE3094" s="1"/>
    </row>
    <row r="3095" spans="1:57" x14ac:dyDescent="0.25">
      <c r="A3095" s="1"/>
      <c r="H3095" s="1"/>
      <c r="O3095" s="1"/>
      <c r="V3095" s="1"/>
      <c r="AC3095" s="1"/>
      <c r="AJ3095" s="1"/>
      <c r="AQ3095" s="1"/>
      <c r="AX3095" s="1"/>
      <c r="BE3095" s="1"/>
    </row>
    <row r="3096" spans="1:57" x14ac:dyDescent="0.25">
      <c r="A3096" s="1"/>
      <c r="H3096" s="1"/>
      <c r="O3096" s="1"/>
      <c r="V3096" s="1"/>
      <c r="AC3096" s="1"/>
      <c r="AJ3096" s="1"/>
      <c r="AQ3096" s="1"/>
      <c r="AX3096" s="1"/>
      <c r="BE3096" s="1"/>
    </row>
    <row r="3097" spans="1:57" x14ac:dyDescent="0.25">
      <c r="A3097" s="1"/>
      <c r="H3097" s="1"/>
      <c r="O3097" s="1"/>
      <c r="V3097" s="1"/>
      <c r="AC3097" s="1"/>
      <c r="AJ3097" s="1"/>
      <c r="AQ3097" s="1"/>
      <c r="AX3097" s="1"/>
      <c r="BE3097" s="1"/>
    </row>
    <row r="3098" spans="1:57" x14ac:dyDescent="0.25">
      <c r="A3098" s="1"/>
      <c r="H3098" s="1"/>
      <c r="O3098" s="1"/>
      <c r="V3098" s="1"/>
      <c r="AC3098" s="1"/>
      <c r="AJ3098" s="1"/>
      <c r="AQ3098" s="1"/>
      <c r="AX3098" s="1"/>
      <c r="BE3098" s="1"/>
    </row>
    <row r="3099" spans="1:57" x14ac:dyDescent="0.25">
      <c r="A3099" s="1"/>
      <c r="H3099" s="1"/>
      <c r="O3099" s="1"/>
      <c r="V3099" s="1"/>
      <c r="AC3099" s="1"/>
      <c r="AJ3099" s="1"/>
      <c r="AQ3099" s="1"/>
      <c r="AX3099" s="1"/>
      <c r="BE3099" s="1"/>
    </row>
    <row r="3100" spans="1:57" x14ac:dyDescent="0.25">
      <c r="A3100" s="1"/>
      <c r="H3100" s="1"/>
      <c r="O3100" s="1"/>
      <c r="V3100" s="1"/>
      <c r="AC3100" s="1"/>
      <c r="AJ3100" s="1"/>
      <c r="AQ3100" s="1"/>
      <c r="AX3100" s="1"/>
      <c r="BE3100" s="1"/>
    </row>
    <row r="3101" spans="1:57" x14ac:dyDescent="0.25">
      <c r="A3101" s="1"/>
      <c r="H3101" s="1"/>
      <c r="O3101" s="1"/>
      <c r="V3101" s="1"/>
      <c r="AC3101" s="1"/>
      <c r="AJ3101" s="1"/>
      <c r="AQ3101" s="1"/>
      <c r="AX3101" s="1"/>
      <c r="BE3101" s="1"/>
    </row>
    <row r="3102" spans="1:57" x14ac:dyDescent="0.25">
      <c r="A3102" s="1"/>
      <c r="H3102" s="1"/>
      <c r="O3102" s="1"/>
      <c r="V3102" s="1"/>
      <c r="AC3102" s="1"/>
      <c r="AJ3102" s="1"/>
      <c r="AQ3102" s="1"/>
      <c r="AX3102" s="1"/>
      <c r="BE3102" s="1"/>
    </row>
    <row r="3103" spans="1:57" x14ac:dyDescent="0.25">
      <c r="A3103" s="1"/>
      <c r="H3103" s="1"/>
      <c r="O3103" s="1"/>
      <c r="V3103" s="1"/>
      <c r="AC3103" s="1"/>
      <c r="AJ3103" s="1"/>
      <c r="AQ3103" s="1"/>
      <c r="AX3103" s="1"/>
      <c r="BE3103" s="1"/>
    </row>
    <row r="3104" spans="1:57" x14ac:dyDescent="0.25">
      <c r="A3104" s="1"/>
      <c r="H3104" s="1"/>
      <c r="O3104" s="1"/>
      <c r="V3104" s="1"/>
      <c r="AC3104" s="1"/>
      <c r="AJ3104" s="1"/>
      <c r="AQ3104" s="1"/>
      <c r="AX3104" s="1"/>
      <c r="BE3104" s="1"/>
    </row>
    <row r="3105" spans="1:57" x14ac:dyDescent="0.25">
      <c r="A3105" s="1"/>
      <c r="H3105" s="1"/>
      <c r="O3105" s="1"/>
      <c r="V3105" s="1"/>
      <c r="AC3105" s="1"/>
      <c r="AJ3105" s="1"/>
      <c r="AQ3105" s="1"/>
      <c r="AX3105" s="1"/>
      <c r="BE3105" s="1"/>
    </row>
    <row r="3106" spans="1:57" x14ac:dyDescent="0.25">
      <c r="A3106" s="1"/>
      <c r="H3106" s="1"/>
      <c r="O3106" s="1"/>
      <c r="V3106" s="1"/>
      <c r="AC3106" s="1"/>
      <c r="AJ3106" s="1"/>
      <c r="AQ3106" s="1"/>
      <c r="AX3106" s="1"/>
      <c r="BE3106" s="1"/>
    </row>
    <row r="3107" spans="1:57" x14ac:dyDescent="0.25">
      <c r="A3107" s="1"/>
      <c r="H3107" s="1"/>
      <c r="O3107" s="1"/>
      <c r="V3107" s="1"/>
      <c r="AC3107" s="1"/>
      <c r="AJ3107" s="1"/>
      <c r="AQ3107" s="1"/>
      <c r="AX3107" s="1"/>
      <c r="BE3107" s="1"/>
    </row>
    <row r="3108" spans="1:57" x14ac:dyDescent="0.25">
      <c r="A3108" s="1"/>
      <c r="H3108" s="1"/>
      <c r="O3108" s="1"/>
      <c r="V3108" s="1"/>
      <c r="AC3108" s="1"/>
      <c r="AJ3108" s="1"/>
      <c r="AQ3108" s="1"/>
      <c r="AX3108" s="1"/>
      <c r="BE3108" s="1"/>
    </row>
    <row r="3109" spans="1:57" x14ac:dyDescent="0.25">
      <c r="A3109" s="1"/>
      <c r="H3109" s="1"/>
      <c r="O3109" s="1"/>
      <c r="V3109" s="1"/>
      <c r="AC3109" s="1"/>
      <c r="AJ3109" s="1"/>
      <c r="AQ3109" s="1"/>
      <c r="AX3109" s="1"/>
      <c r="BE3109" s="1"/>
    </row>
    <row r="3110" spans="1:57" x14ac:dyDescent="0.25">
      <c r="A3110" s="1"/>
      <c r="H3110" s="1"/>
      <c r="O3110" s="1"/>
      <c r="V3110" s="1"/>
      <c r="AC3110" s="1"/>
      <c r="AJ3110" s="1"/>
      <c r="AQ3110" s="1"/>
      <c r="AX3110" s="1"/>
      <c r="BE3110" s="1"/>
    </row>
    <row r="3111" spans="1:57" x14ac:dyDescent="0.25">
      <c r="A3111" s="1"/>
      <c r="H3111" s="1"/>
      <c r="O3111" s="1"/>
      <c r="V3111" s="1"/>
      <c r="AC3111" s="1"/>
      <c r="AJ3111" s="1"/>
      <c r="AQ3111" s="1"/>
      <c r="AX3111" s="1"/>
      <c r="BE3111" s="1"/>
    </row>
    <row r="3112" spans="1:57" x14ac:dyDescent="0.25">
      <c r="A3112" s="1"/>
      <c r="H3112" s="1"/>
      <c r="O3112" s="1"/>
      <c r="V3112" s="1"/>
      <c r="AC3112" s="1"/>
      <c r="AJ3112" s="1"/>
      <c r="AQ3112" s="1"/>
      <c r="AX3112" s="1"/>
      <c r="BE3112" s="1"/>
    </row>
    <row r="3113" spans="1:57" x14ac:dyDescent="0.25">
      <c r="A3113" s="1"/>
      <c r="H3113" s="1"/>
      <c r="O3113" s="1"/>
      <c r="V3113" s="1"/>
      <c r="AC3113" s="1"/>
      <c r="AJ3113" s="1"/>
      <c r="AQ3113" s="1"/>
      <c r="AX3113" s="1"/>
      <c r="BE3113" s="1"/>
    </row>
    <row r="3114" spans="1:57" x14ac:dyDescent="0.25">
      <c r="A3114" s="1"/>
      <c r="H3114" s="1"/>
      <c r="O3114" s="1"/>
      <c r="V3114" s="1"/>
      <c r="AC3114" s="1"/>
      <c r="AJ3114" s="1"/>
      <c r="AQ3114" s="1"/>
      <c r="AX3114" s="1"/>
      <c r="BE3114" s="1"/>
    </row>
    <row r="3115" spans="1:57" x14ac:dyDescent="0.25">
      <c r="A3115" s="1"/>
      <c r="H3115" s="1"/>
      <c r="O3115" s="1"/>
      <c r="V3115" s="1"/>
      <c r="AC3115" s="1"/>
      <c r="AJ3115" s="1"/>
      <c r="AQ3115" s="1"/>
      <c r="AX3115" s="1"/>
      <c r="BE3115" s="1"/>
    </row>
    <row r="3116" spans="1:57" x14ac:dyDescent="0.25">
      <c r="A3116" s="1"/>
      <c r="H3116" s="1"/>
      <c r="O3116" s="1"/>
      <c r="V3116" s="1"/>
      <c r="AC3116" s="1"/>
      <c r="AJ3116" s="1"/>
      <c r="AQ3116" s="1"/>
      <c r="AX3116" s="1"/>
      <c r="BE3116" s="1"/>
    </row>
    <row r="3117" spans="1:57" x14ac:dyDescent="0.25">
      <c r="A3117" s="1"/>
      <c r="H3117" s="1"/>
      <c r="O3117" s="1"/>
      <c r="V3117" s="1"/>
      <c r="AC3117" s="1"/>
      <c r="AJ3117" s="1"/>
      <c r="AQ3117" s="1"/>
      <c r="AX3117" s="1"/>
      <c r="BE3117" s="1"/>
    </row>
    <row r="3118" spans="1:57" x14ac:dyDescent="0.25">
      <c r="A3118" s="1"/>
      <c r="H3118" s="1"/>
      <c r="O3118" s="1"/>
      <c r="V3118" s="1"/>
      <c r="AC3118" s="1"/>
      <c r="AJ3118" s="1"/>
      <c r="AQ3118" s="1"/>
      <c r="AX3118" s="1"/>
      <c r="BE3118" s="1"/>
    </row>
    <row r="3119" spans="1:57" x14ac:dyDescent="0.25">
      <c r="A3119" s="1"/>
      <c r="H3119" s="1"/>
      <c r="O3119" s="1"/>
      <c r="V3119" s="1"/>
      <c r="AC3119" s="1"/>
      <c r="AJ3119" s="1"/>
      <c r="AQ3119" s="1"/>
      <c r="AX3119" s="1"/>
      <c r="BE3119" s="1"/>
    </row>
    <row r="3120" spans="1:57" x14ac:dyDescent="0.25">
      <c r="A3120" s="1"/>
      <c r="H3120" s="1"/>
      <c r="O3120" s="1"/>
      <c r="V3120" s="1"/>
      <c r="AC3120" s="1"/>
      <c r="AJ3120" s="1"/>
      <c r="AQ3120" s="1"/>
      <c r="AX3120" s="1"/>
      <c r="BE3120" s="1"/>
    </row>
    <row r="3121" spans="1:57" x14ac:dyDescent="0.25">
      <c r="A3121" s="1"/>
      <c r="H3121" s="1"/>
      <c r="O3121" s="1"/>
      <c r="V3121" s="1"/>
      <c r="AC3121" s="1"/>
      <c r="AJ3121" s="1"/>
      <c r="AQ3121" s="1"/>
      <c r="AX3121" s="1"/>
      <c r="BE3121" s="1"/>
    </row>
    <row r="3122" spans="1:57" x14ac:dyDescent="0.25">
      <c r="A3122" s="1"/>
      <c r="H3122" s="1"/>
      <c r="O3122" s="1"/>
      <c r="V3122" s="1"/>
      <c r="AC3122" s="1"/>
      <c r="AJ3122" s="1"/>
      <c r="AQ3122" s="1"/>
      <c r="AX3122" s="1"/>
      <c r="BE3122" s="1"/>
    </row>
    <row r="3123" spans="1:57" x14ac:dyDescent="0.25">
      <c r="A3123" s="1"/>
      <c r="H3123" s="1"/>
      <c r="O3123" s="1"/>
      <c r="V3123" s="1"/>
      <c r="AC3123" s="1"/>
      <c r="AJ3123" s="1"/>
      <c r="AQ3123" s="1"/>
      <c r="AX3123" s="1"/>
      <c r="BE3123" s="1"/>
    </row>
    <row r="3124" spans="1:57" x14ac:dyDescent="0.25">
      <c r="A3124" s="1"/>
      <c r="H3124" s="1"/>
      <c r="O3124" s="1"/>
      <c r="V3124" s="1"/>
      <c r="AC3124" s="1"/>
      <c r="AJ3124" s="1"/>
      <c r="AQ3124" s="1"/>
      <c r="AX3124" s="1"/>
      <c r="BE3124" s="1"/>
    </row>
    <row r="3125" spans="1:57" x14ac:dyDescent="0.25">
      <c r="A3125" s="1"/>
      <c r="H3125" s="1"/>
      <c r="O3125" s="1"/>
      <c r="V3125" s="1"/>
      <c r="AC3125" s="1"/>
      <c r="AJ3125" s="1"/>
      <c r="AQ3125" s="1"/>
      <c r="AX3125" s="1"/>
      <c r="BE3125" s="1"/>
    </row>
    <row r="3126" spans="1:57" x14ac:dyDescent="0.25">
      <c r="A3126" s="1"/>
      <c r="H3126" s="1"/>
      <c r="O3126" s="1"/>
      <c r="V3126" s="1"/>
      <c r="AC3126" s="1"/>
      <c r="AJ3126" s="1"/>
      <c r="AQ3126" s="1"/>
      <c r="AX3126" s="1"/>
      <c r="BE3126" s="1"/>
    </row>
    <row r="3127" spans="1:57" x14ac:dyDescent="0.25">
      <c r="A3127" s="1"/>
      <c r="H3127" s="1"/>
      <c r="O3127" s="1"/>
      <c r="V3127" s="1"/>
      <c r="AC3127" s="1"/>
      <c r="AJ3127" s="1"/>
      <c r="AQ3127" s="1"/>
      <c r="AX3127" s="1"/>
      <c r="BE3127" s="1"/>
    </row>
    <row r="3128" spans="1:57" x14ac:dyDescent="0.25">
      <c r="A3128" s="1"/>
      <c r="H3128" s="1"/>
      <c r="O3128" s="1"/>
      <c r="V3128" s="1"/>
      <c r="AC3128" s="1"/>
      <c r="AJ3128" s="1"/>
      <c r="AQ3128" s="1"/>
      <c r="AX3128" s="1"/>
      <c r="BE3128" s="1"/>
    </row>
    <row r="3129" spans="1:57" x14ac:dyDescent="0.25">
      <c r="A3129" s="1"/>
      <c r="H3129" s="1"/>
      <c r="O3129" s="1"/>
      <c r="V3129" s="1"/>
      <c r="AC3129" s="1"/>
      <c r="AJ3129" s="1"/>
      <c r="AQ3129" s="1"/>
      <c r="AX3129" s="1"/>
      <c r="BE3129" s="1"/>
    </row>
    <row r="3130" spans="1:57" x14ac:dyDescent="0.25">
      <c r="A3130" s="1"/>
      <c r="H3130" s="1"/>
      <c r="O3130" s="1"/>
      <c r="V3130" s="1"/>
      <c r="AC3130" s="1"/>
      <c r="AJ3130" s="1"/>
      <c r="AQ3130" s="1"/>
      <c r="AX3130" s="1"/>
      <c r="BE3130" s="1"/>
    </row>
    <row r="3131" spans="1:57" x14ac:dyDescent="0.25">
      <c r="A3131" s="1"/>
      <c r="H3131" s="1"/>
      <c r="O3131" s="1"/>
      <c r="V3131" s="1"/>
      <c r="AC3131" s="1"/>
      <c r="AJ3131" s="1"/>
      <c r="AQ3131" s="1"/>
      <c r="AX3131" s="1"/>
      <c r="BE3131" s="1"/>
    </row>
    <row r="3132" spans="1:57" x14ac:dyDescent="0.25">
      <c r="A3132" s="1"/>
      <c r="H3132" s="1"/>
      <c r="O3132" s="1"/>
      <c r="V3132" s="1"/>
      <c r="AC3132" s="1"/>
      <c r="AJ3132" s="1"/>
      <c r="AQ3132" s="1"/>
      <c r="AX3132" s="1"/>
      <c r="BE3132" s="1"/>
    </row>
    <row r="3133" spans="1:57" x14ac:dyDescent="0.25">
      <c r="A3133" s="1"/>
      <c r="H3133" s="1"/>
      <c r="O3133" s="1"/>
      <c r="V3133" s="1"/>
      <c r="AC3133" s="1"/>
      <c r="AJ3133" s="1"/>
      <c r="AQ3133" s="1"/>
      <c r="AX3133" s="1"/>
      <c r="BE3133" s="1"/>
    </row>
    <row r="3134" spans="1:57" x14ac:dyDescent="0.25">
      <c r="A3134" s="1"/>
      <c r="H3134" s="1"/>
      <c r="O3134" s="1"/>
      <c r="V3134" s="1"/>
      <c r="AC3134" s="1"/>
      <c r="AJ3134" s="1"/>
      <c r="AQ3134" s="1"/>
      <c r="AX3134" s="1"/>
      <c r="BE3134" s="1"/>
    </row>
    <row r="3135" spans="1:57" x14ac:dyDescent="0.25">
      <c r="A3135" s="1"/>
      <c r="H3135" s="1"/>
      <c r="O3135" s="1"/>
      <c r="V3135" s="1"/>
      <c r="AC3135" s="1"/>
      <c r="AJ3135" s="1"/>
      <c r="AQ3135" s="1"/>
      <c r="AX3135" s="1"/>
      <c r="BE3135" s="1"/>
    </row>
    <row r="3136" spans="1:57" x14ac:dyDescent="0.25">
      <c r="A3136" s="1"/>
      <c r="H3136" s="1"/>
      <c r="O3136" s="1"/>
      <c r="V3136" s="1"/>
      <c r="AC3136" s="1"/>
      <c r="AJ3136" s="1"/>
      <c r="AQ3136" s="1"/>
      <c r="AX3136" s="1"/>
      <c r="BE3136" s="1"/>
    </row>
    <row r="3137" spans="1:57" x14ac:dyDescent="0.25">
      <c r="A3137" s="1"/>
      <c r="H3137" s="1"/>
      <c r="O3137" s="1"/>
      <c r="V3137" s="1"/>
      <c r="AC3137" s="1"/>
      <c r="AJ3137" s="1"/>
      <c r="AQ3137" s="1"/>
      <c r="AX3137" s="1"/>
      <c r="BE3137" s="1"/>
    </row>
    <row r="3138" spans="1:57" x14ac:dyDescent="0.25">
      <c r="A3138" s="1"/>
      <c r="H3138" s="1"/>
      <c r="O3138" s="1"/>
      <c r="V3138" s="1"/>
      <c r="AC3138" s="1"/>
      <c r="AJ3138" s="1"/>
      <c r="AQ3138" s="1"/>
      <c r="AX3138" s="1"/>
      <c r="BE3138" s="1"/>
    </row>
    <row r="3139" spans="1:57" x14ac:dyDescent="0.25">
      <c r="A3139" s="1"/>
      <c r="H3139" s="1"/>
      <c r="O3139" s="1"/>
      <c r="V3139" s="1"/>
      <c r="AC3139" s="1"/>
      <c r="AJ3139" s="1"/>
      <c r="AQ3139" s="1"/>
      <c r="AX3139" s="1"/>
      <c r="BE3139" s="1"/>
    </row>
    <row r="3140" spans="1:57" x14ac:dyDescent="0.25">
      <c r="A3140" s="1"/>
      <c r="H3140" s="1"/>
      <c r="O3140" s="1"/>
      <c r="V3140" s="1"/>
      <c r="AC3140" s="1"/>
      <c r="AJ3140" s="1"/>
      <c r="AQ3140" s="1"/>
      <c r="AX3140" s="1"/>
      <c r="BE3140" s="1"/>
    </row>
    <row r="3141" spans="1:57" x14ac:dyDescent="0.25">
      <c r="A3141" s="1"/>
      <c r="H3141" s="1"/>
      <c r="O3141" s="1"/>
      <c r="V3141" s="1"/>
      <c r="AC3141" s="1"/>
      <c r="AJ3141" s="1"/>
      <c r="AQ3141" s="1"/>
      <c r="AX3141" s="1"/>
      <c r="BE3141" s="1"/>
    </row>
    <row r="3142" spans="1:57" x14ac:dyDescent="0.25">
      <c r="A3142" s="1"/>
      <c r="H3142" s="1"/>
      <c r="O3142" s="1"/>
      <c r="V3142" s="1"/>
      <c r="AC3142" s="1"/>
      <c r="AJ3142" s="1"/>
      <c r="AQ3142" s="1"/>
      <c r="AX3142" s="1"/>
      <c r="BE3142" s="1"/>
    </row>
    <row r="3143" spans="1:57" x14ac:dyDescent="0.25">
      <c r="A3143" s="1"/>
      <c r="H3143" s="1"/>
      <c r="O3143" s="1"/>
      <c r="V3143" s="1"/>
      <c r="AC3143" s="1"/>
      <c r="AJ3143" s="1"/>
      <c r="AQ3143" s="1"/>
      <c r="AX3143" s="1"/>
      <c r="BE3143" s="1"/>
    </row>
    <row r="3144" spans="1:57" x14ac:dyDescent="0.25">
      <c r="A3144" s="1"/>
      <c r="H3144" s="1"/>
      <c r="O3144" s="1"/>
      <c r="V3144" s="1"/>
      <c r="AC3144" s="1"/>
      <c r="AJ3144" s="1"/>
      <c r="AQ3144" s="1"/>
      <c r="AX3144" s="1"/>
      <c r="BE3144" s="1"/>
    </row>
    <row r="3145" spans="1:57" x14ac:dyDescent="0.25">
      <c r="A3145" s="1"/>
      <c r="H3145" s="1"/>
      <c r="O3145" s="1"/>
      <c r="V3145" s="1"/>
      <c r="AC3145" s="1"/>
      <c r="AJ3145" s="1"/>
      <c r="AQ3145" s="1"/>
      <c r="AX3145" s="1"/>
      <c r="BE3145" s="1"/>
    </row>
    <row r="3146" spans="1:57" x14ac:dyDescent="0.25">
      <c r="A3146" s="1"/>
      <c r="H3146" s="1"/>
      <c r="O3146" s="1"/>
      <c r="V3146" s="1"/>
      <c r="AC3146" s="1"/>
      <c r="AJ3146" s="1"/>
      <c r="AQ3146" s="1"/>
      <c r="AX3146" s="1"/>
      <c r="BE3146" s="1"/>
    </row>
    <row r="3147" spans="1:57" x14ac:dyDescent="0.25">
      <c r="A3147" s="1"/>
      <c r="H3147" s="1"/>
      <c r="O3147" s="1"/>
      <c r="V3147" s="1"/>
      <c r="AC3147" s="1"/>
      <c r="AJ3147" s="1"/>
      <c r="AQ3147" s="1"/>
      <c r="AX3147" s="1"/>
      <c r="BE3147" s="1"/>
    </row>
    <row r="3148" spans="1:57" x14ac:dyDescent="0.25">
      <c r="A3148" s="1"/>
      <c r="H3148" s="1"/>
      <c r="O3148" s="1"/>
      <c r="V3148" s="1"/>
      <c r="AC3148" s="1"/>
      <c r="AJ3148" s="1"/>
      <c r="AQ3148" s="1"/>
      <c r="AX3148" s="1"/>
      <c r="BE3148" s="1"/>
    </row>
    <row r="3149" spans="1:57" x14ac:dyDescent="0.25">
      <c r="A3149" s="1"/>
      <c r="H3149" s="1"/>
      <c r="O3149" s="1"/>
      <c r="V3149" s="1"/>
      <c r="AC3149" s="1"/>
      <c r="AJ3149" s="1"/>
      <c r="AQ3149" s="1"/>
      <c r="AX3149" s="1"/>
      <c r="BE3149" s="1"/>
    </row>
    <row r="3150" spans="1:57" x14ac:dyDescent="0.25">
      <c r="A3150" s="1"/>
      <c r="H3150" s="1"/>
      <c r="O3150" s="1"/>
      <c r="V3150" s="1"/>
      <c r="AC3150" s="1"/>
      <c r="AJ3150" s="1"/>
      <c r="AQ3150" s="1"/>
      <c r="AX3150" s="1"/>
      <c r="BE3150" s="1"/>
    </row>
    <row r="3151" spans="1:57" x14ac:dyDescent="0.25">
      <c r="A3151" s="1"/>
      <c r="H3151" s="1"/>
      <c r="O3151" s="1"/>
      <c r="V3151" s="1"/>
      <c r="AC3151" s="1"/>
      <c r="AJ3151" s="1"/>
      <c r="AQ3151" s="1"/>
      <c r="AX3151" s="1"/>
      <c r="BE3151" s="1"/>
    </row>
    <row r="3152" spans="1:57" x14ac:dyDescent="0.25">
      <c r="A3152" s="1"/>
      <c r="H3152" s="1"/>
      <c r="O3152" s="1"/>
      <c r="V3152" s="1"/>
      <c r="AC3152" s="1"/>
      <c r="AJ3152" s="1"/>
      <c r="AQ3152" s="1"/>
      <c r="AX3152" s="1"/>
      <c r="BE3152" s="1"/>
    </row>
    <row r="3153" spans="1:57" x14ac:dyDescent="0.25">
      <c r="A3153" s="1"/>
      <c r="H3153" s="1"/>
      <c r="O3153" s="1"/>
      <c r="V3153" s="1"/>
      <c r="AC3153" s="1"/>
      <c r="AJ3153" s="1"/>
      <c r="AQ3153" s="1"/>
      <c r="AX3153" s="1"/>
      <c r="BE3153" s="1"/>
    </row>
    <row r="3154" spans="1:57" x14ac:dyDescent="0.25">
      <c r="A3154" s="1"/>
      <c r="H3154" s="1"/>
      <c r="O3154" s="1"/>
      <c r="V3154" s="1"/>
      <c r="AC3154" s="1"/>
      <c r="AJ3154" s="1"/>
      <c r="AQ3154" s="1"/>
      <c r="AX3154" s="1"/>
      <c r="BE3154" s="1"/>
    </row>
    <row r="3155" spans="1:57" x14ac:dyDescent="0.25">
      <c r="A3155" s="1"/>
      <c r="H3155" s="1"/>
      <c r="O3155" s="1"/>
      <c r="V3155" s="1"/>
      <c r="AC3155" s="1"/>
      <c r="AJ3155" s="1"/>
      <c r="AQ3155" s="1"/>
      <c r="AX3155" s="1"/>
      <c r="BE3155" s="1"/>
    </row>
    <row r="3156" spans="1:57" x14ac:dyDescent="0.25">
      <c r="A3156" s="1"/>
      <c r="H3156" s="1"/>
      <c r="O3156" s="1"/>
      <c r="V3156" s="1"/>
      <c r="AC3156" s="1"/>
      <c r="AJ3156" s="1"/>
      <c r="AQ3156" s="1"/>
      <c r="AX3156" s="1"/>
      <c r="BE3156" s="1"/>
    </row>
    <row r="3157" spans="1:57" x14ac:dyDescent="0.25">
      <c r="A3157" s="1"/>
      <c r="H3157" s="1"/>
      <c r="O3157" s="1"/>
      <c r="V3157" s="1"/>
      <c r="AC3157" s="1"/>
      <c r="AJ3157" s="1"/>
      <c r="AQ3157" s="1"/>
      <c r="AX3157" s="1"/>
      <c r="BE3157" s="1"/>
    </row>
    <row r="3158" spans="1:57" x14ac:dyDescent="0.25">
      <c r="A3158" s="1"/>
      <c r="H3158" s="1"/>
      <c r="O3158" s="1"/>
      <c r="V3158" s="1"/>
      <c r="AC3158" s="1"/>
      <c r="AJ3158" s="1"/>
      <c r="AQ3158" s="1"/>
      <c r="AX3158" s="1"/>
      <c r="BE3158" s="1"/>
    </row>
    <row r="3159" spans="1:57" x14ac:dyDescent="0.25">
      <c r="A3159" s="1"/>
      <c r="H3159" s="1"/>
      <c r="O3159" s="1"/>
      <c r="V3159" s="1"/>
      <c r="AC3159" s="1"/>
      <c r="AJ3159" s="1"/>
      <c r="AQ3159" s="1"/>
      <c r="AX3159" s="1"/>
      <c r="BE3159" s="1"/>
    </row>
    <row r="3160" spans="1:57" x14ac:dyDescent="0.25">
      <c r="A3160" s="1"/>
      <c r="H3160" s="1"/>
      <c r="O3160" s="1"/>
      <c r="V3160" s="1"/>
      <c r="AC3160" s="1"/>
      <c r="AJ3160" s="1"/>
      <c r="AQ3160" s="1"/>
      <c r="AX3160" s="1"/>
      <c r="BE3160" s="1"/>
    </row>
    <row r="3161" spans="1:57" x14ac:dyDescent="0.25">
      <c r="A3161" s="1"/>
      <c r="H3161" s="1"/>
      <c r="O3161" s="1"/>
      <c r="V3161" s="1"/>
      <c r="AC3161" s="1"/>
      <c r="AJ3161" s="1"/>
      <c r="AQ3161" s="1"/>
      <c r="AX3161" s="1"/>
      <c r="BE3161" s="1"/>
    </row>
    <row r="3162" spans="1:57" x14ac:dyDescent="0.25">
      <c r="A3162" s="1"/>
      <c r="H3162" s="1"/>
      <c r="O3162" s="1"/>
      <c r="V3162" s="1"/>
      <c r="AC3162" s="1"/>
      <c r="AJ3162" s="1"/>
      <c r="AQ3162" s="1"/>
      <c r="AX3162" s="1"/>
      <c r="BE3162" s="1"/>
    </row>
    <row r="3163" spans="1:57" x14ac:dyDescent="0.25">
      <c r="A3163" s="1"/>
      <c r="H3163" s="1"/>
      <c r="O3163" s="1"/>
      <c r="V3163" s="1"/>
      <c r="AC3163" s="1"/>
      <c r="AJ3163" s="1"/>
      <c r="AQ3163" s="1"/>
      <c r="AX3163" s="1"/>
      <c r="BE3163" s="1"/>
    </row>
    <row r="3164" spans="1:57" x14ac:dyDescent="0.25">
      <c r="A3164" s="1"/>
      <c r="H3164" s="1"/>
      <c r="O3164" s="1"/>
      <c r="V3164" s="1"/>
      <c r="AC3164" s="1"/>
      <c r="AJ3164" s="1"/>
      <c r="AQ3164" s="1"/>
      <c r="AX3164" s="1"/>
      <c r="BE3164" s="1"/>
    </row>
    <row r="3165" spans="1:57" x14ac:dyDescent="0.25">
      <c r="A3165" s="1"/>
      <c r="H3165" s="1"/>
      <c r="O3165" s="1"/>
      <c r="V3165" s="1"/>
      <c r="AC3165" s="1"/>
      <c r="AJ3165" s="1"/>
      <c r="AQ3165" s="1"/>
      <c r="AX3165" s="1"/>
      <c r="BE3165" s="1"/>
    </row>
    <row r="3166" spans="1:57" x14ac:dyDescent="0.25">
      <c r="A3166" s="1"/>
      <c r="H3166" s="1"/>
      <c r="O3166" s="1"/>
      <c r="V3166" s="1"/>
      <c r="AC3166" s="1"/>
      <c r="AJ3166" s="1"/>
      <c r="AQ3166" s="1"/>
      <c r="AX3166" s="1"/>
      <c r="BE3166" s="1"/>
    </row>
    <row r="3167" spans="1:57" x14ac:dyDescent="0.25">
      <c r="A3167" s="1"/>
      <c r="H3167" s="1"/>
      <c r="O3167" s="1"/>
      <c r="V3167" s="1"/>
      <c r="AC3167" s="1"/>
      <c r="AJ3167" s="1"/>
      <c r="AQ3167" s="1"/>
      <c r="AX3167" s="1"/>
      <c r="BE3167" s="1"/>
    </row>
    <row r="3168" spans="1:57" x14ac:dyDescent="0.25">
      <c r="A3168" s="1"/>
      <c r="H3168" s="1"/>
      <c r="O3168" s="1"/>
      <c r="V3168" s="1"/>
      <c r="AC3168" s="1"/>
      <c r="AJ3168" s="1"/>
      <c r="AQ3168" s="1"/>
      <c r="AX3168" s="1"/>
      <c r="BE3168" s="1"/>
    </row>
    <row r="3169" spans="1:57" x14ac:dyDescent="0.25">
      <c r="A3169" s="1"/>
      <c r="H3169" s="1"/>
      <c r="O3169" s="1"/>
      <c r="V3169" s="1"/>
      <c r="AC3169" s="1"/>
      <c r="AJ3169" s="1"/>
      <c r="AQ3169" s="1"/>
      <c r="AX3169" s="1"/>
      <c r="BE3169" s="1"/>
    </row>
    <row r="3170" spans="1:57" x14ac:dyDescent="0.25">
      <c r="A3170" s="1"/>
      <c r="H3170" s="1"/>
      <c r="O3170" s="1"/>
      <c r="V3170" s="1"/>
      <c r="AC3170" s="1"/>
      <c r="AJ3170" s="1"/>
      <c r="AQ3170" s="1"/>
      <c r="AX3170" s="1"/>
      <c r="BE3170" s="1"/>
    </row>
    <row r="3171" spans="1:57" x14ac:dyDescent="0.25">
      <c r="A3171" s="1"/>
      <c r="H3171" s="1"/>
      <c r="O3171" s="1"/>
      <c r="V3171" s="1"/>
      <c r="AC3171" s="1"/>
      <c r="AJ3171" s="1"/>
      <c r="AQ3171" s="1"/>
      <c r="AX3171" s="1"/>
      <c r="BE3171" s="1"/>
    </row>
    <row r="3172" spans="1:57" x14ac:dyDescent="0.25">
      <c r="A3172" s="1"/>
      <c r="H3172" s="1"/>
      <c r="O3172" s="1"/>
      <c r="V3172" s="1"/>
      <c r="AC3172" s="1"/>
      <c r="AJ3172" s="1"/>
      <c r="AQ3172" s="1"/>
      <c r="AX3172" s="1"/>
      <c r="BE3172" s="1"/>
    </row>
    <row r="3173" spans="1:57" x14ac:dyDescent="0.25">
      <c r="A3173" s="1"/>
      <c r="H3173" s="1"/>
      <c r="O3173" s="1"/>
      <c r="V3173" s="1"/>
      <c r="AC3173" s="1"/>
      <c r="AJ3173" s="1"/>
      <c r="AQ3173" s="1"/>
      <c r="AX3173" s="1"/>
      <c r="BE3173" s="1"/>
    </row>
    <row r="3174" spans="1:57" x14ac:dyDescent="0.25">
      <c r="A3174" s="1"/>
      <c r="H3174" s="1"/>
      <c r="O3174" s="1"/>
      <c r="V3174" s="1"/>
      <c r="AC3174" s="1"/>
      <c r="AJ3174" s="1"/>
      <c r="AQ3174" s="1"/>
      <c r="AX3174" s="1"/>
      <c r="BE3174" s="1"/>
    </row>
    <row r="3175" spans="1:57" x14ac:dyDescent="0.25">
      <c r="A3175" s="1"/>
      <c r="H3175" s="1"/>
      <c r="O3175" s="1"/>
      <c r="V3175" s="1"/>
      <c r="AC3175" s="1"/>
      <c r="AJ3175" s="1"/>
      <c r="AQ3175" s="1"/>
      <c r="AX3175" s="1"/>
      <c r="BE3175" s="1"/>
    </row>
    <row r="3176" spans="1:57" x14ac:dyDescent="0.25">
      <c r="A3176" s="1"/>
      <c r="H3176" s="1"/>
      <c r="O3176" s="1"/>
      <c r="V3176" s="1"/>
      <c r="AC3176" s="1"/>
      <c r="AJ3176" s="1"/>
      <c r="AQ3176" s="1"/>
      <c r="AX3176" s="1"/>
      <c r="BE3176" s="1"/>
    </row>
    <row r="3177" spans="1:57" x14ac:dyDescent="0.25">
      <c r="A3177" s="1"/>
      <c r="H3177" s="1"/>
      <c r="O3177" s="1"/>
      <c r="V3177" s="1"/>
      <c r="AC3177" s="1"/>
      <c r="AJ3177" s="1"/>
      <c r="AQ3177" s="1"/>
      <c r="AX3177" s="1"/>
      <c r="BE3177" s="1"/>
    </row>
    <row r="3178" spans="1:57" x14ac:dyDescent="0.25">
      <c r="A3178" s="1"/>
      <c r="H3178" s="1"/>
      <c r="O3178" s="1"/>
      <c r="V3178" s="1"/>
      <c r="AC3178" s="1"/>
      <c r="AJ3178" s="1"/>
      <c r="AQ3178" s="1"/>
      <c r="AX3178" s="1"/>
      <c r="BE3178" s="1"/>
    </row>
    <row r="3179" spans="1:57" x14ac:dyDescent="0.25">
      <c r="A3179" s="1"/>
      <c r="H3179" s="1"/>
      <c r="O3179" s="1"/>
      <c r="V3179" s="1"/>
      <c r="AC3179" s="1"/>
      <c r="AJ3179" s="1"/>
      <c r="AQ3179" s="1"/>
      <c r="AX3179" s="1"/>
      <c r="BE3179" s="1"/>
    </row>
    <row r="3180" spans="1:57" x14ac:dyDescent="0.25">
      <c r="A3180" s="1"/>
      <c r="H3180" s="1"/>
      <c r="O3180" s="1"/>
      <c r="V3180" s="1"/>
      <c r="AC3180" s="1"/>
      <c r="AJ3180" s="1"/>
      <c r="AQ3180" s="1"/>
      <c r="AX3180" s="1"/>
      <c r="BE3180" s="1"/>
    </row>
    <row r="3181" spans="1:57" x14ac:dyDescent="0.25">
      <c r="A3181" s="1"/>
      <c r="H3181" s="1"/>
      <c r="O3181" s="1"/>
      <c r="V3181" s="1"/>
      <c r="AC3181" s="1"/>
      <c r="AJ3181" s="1"/>
      <c r="AQ3181" s="1"/>
      <c r="AX3181" s="1"/>
      <c r="BE3181" s="1"/>
    </row>
    <row r="3182" spans="1:57" x14ac:dyDescent="0.25">
      <c r="A3182" s="1"/>
      <c r="H3182" s="1"/>
      <c r="O3182" s="1"/>
      <c r="V3182" s="1"/>
      <c r="AC3182" s="1"/>
      <c r="AJ3182" s="1"/>
      <c r="AQ3182" s="1"/>
      <c r="AX3182" s="1"/>
      <c r="BE3182" s="1"/>
    </row>
    <row r="3183" spans="1:57" x14ac:dyDescent="0.25">
      <c r="A3183" s="1"/>
      <c r="H3183" s="1"/>
      <c r="O3183" s="1"/>
      <c r="V3183" s="1"/>
      <c r="AC3183" s="1"/>
      <c r="AJ3183" s="1"/>
      <c r="AQ3183" s="1"/>
      <c r="AX3183" s="1"/>
      <c r="BE3183" s="1"/>
    </row>
    <row r="3184" spans="1:57" x14ac:dyDescent="0.25">
      <c r="A3184" s="1"/>
      <c r="H3184" s="1"/>
      <c r="O3184" s="1"/>
      <c r="V3184" s="1"/>
      <c r="AC3184" s="1"/>
      <c r="AJ3184" s="1"/>
      <c r="AQ3184" s="1"/>
      <c r="AX3184" s="1"/>
      <c r="BE3184" s="1"/>
    </row>
    <row r="3185" spans="1:57" x14ac:dyDescent="0.25">
      <c r="A3185" s="1"/>
      <c r="H3185" s="1"/>
      <c r="O3185" s="1"/>
      <c r="V3185" s="1"/>
      <c r="AC3185" s="1"/>
      <c r="AJ3185" s="1"/>
      <c r="AQ3185" s="1"/>
      <c r="AX3185" s="1"/>
      <c r="BE3185" s="1"/>
    </row>
    <row r="3186" spans="1:57" x14ac:dyDescent="0.25">
      <c r="A3186" s="1"/>
      <c r="H3186" s="1"/>
      <c r="O3186" s="1"/>
      <c r="V3186" s="1"/>
      <c r="AC3186" s="1"/>
      <c r="AJ3186" s="1"/>
      <c r="AQ3186" s="1"/>
      <c r="AX3186" s="1"/>
      <c r="BE3186" s="1"/>
    </row>
    <row r="3187" spans="1:57" x14ac:dyDescent="0.25">
      <c r="A3187" s="1"/>
      <c r="H3187" s="1"/>
      <c r="O3187" s="1"/>
      <c r="V3187" s="1"/>
      <c r="AC3187" s="1"/>
      <c r="AJ3187" s="1"/>
      <c r="AQ3187" s="1"/>
      <c r="AX3187" s="1"/>
      <c r="BE3187" s="1"/>
    </row>
    <row r="3188" spans="1:57" x14ac:dyDescent="0.25">
      <c r="A3188" s="1"/>
      <c r="H3188" s="1"/>
      <c r="O3188" s="1"/>
      <c r="V3188" s="1"/>
      <c r="AC3188" s="1"/>
      <c r="AJ3188" s="1"/>
      <c r="AQ3188" s="1"/>
      <c r="AX3188" s="1"/>
      <c r="BE3188" s="1"/>
    </row>
    <row r="3189" spans="1:57" x14ac:dyDescent="0.25">
      <c r="A3189" s="1"/>
      <c r="H3189" s="1"/>
      <c r="O3189" s="1"/>
      <c r="V3189" s="1"/>
      <c r="AC3189" s="1"/>
      <c r="AJ3189" s="1"/>
      <c r="AQ3189" s="1"/>
      <c r="AX3189" s="1"/>
      <c r="BE3189" s="1"/>
    </row>
    <row r="3190" spans="1:57" x14ac:dyDescent="0.25">
      <c r="A3190" s="1"/>
      <c r="H3190" s="1"/>
      <c r="O3190" s="1"/>
      <c r="V3190" s="1"/>
      <c r="AC3190" s="1"/>
      <c r="AJ3190" s="1"/>
      <c r="AQ3190" s="1"/>
      <c r="AX3190" s="1"/>
      <c r="BE3190" s="1"/>
    </row>
    <row r="3191" spans="1:57" x14ac:dyDescent="0.25">
      <c r="A3191" s="1"/>
      <c r="H3191" s="1"/>
      <c r="O3191" s="1"/>
      <c r="V3191" s="1"/>
      <c r="AC3191" s="1"/>
      <c r="AJ3191" s="1"/>
      <c r="AQ3191" s="1"/>
      <c r="AX3191" s="1"/>
      <c r="BE3191" s="1"/>
    </row>
    <row r="3192" spans="1:57" x14ac:dyDescent="0.25">
      <c r="A3192" s="1"/>
      <c r="H3192" s="1"/>
      <c r="O3192" s="1"/>
      <c r="V3192" s="1"/>
      <c r="AC3192" s="1"/>
      <c r="AJ3192" s="1"/>
      <c r="AQ3192" s="1"/>
      <c r="AX3192" s="1"/>
      <c r="BE3192" s="1"/>
    </row>
    <row r="3193" spans="1:57" x14ac:dyDescent="0.25">
      <c r="A3193" s="1"/>
      <c r="H3193" s="1"/>
      <c r="O3193" s="1"/>
      <c r="V3193" s="1"/>
      <c r="AC3193" s="1"/>
      <c r="AJ3193" s="1"/>
      <c r="AQ3193" s="1"/>
      <c r="AX3193" s="1"/>
      <c r="BE3193" s="1"/>
    </row>
    <row r="3194" spans="1:57" x14ac:dyDescent="0.25">
      <c r="A3194" s="1"/>
      <c r="H3194" s="1"/>
      <c r="O3194" s="1"/>
      <c r="V3194" s="1"/>
      <c r="AC3194" s="1"/>
      <c r="AJ3194" s="1"/>
      <c r="AQ3194" s="1"/>
      <c r="AX3194" s="1"/>
      <c r="BE3194" s="1"/>
    </row>
    <row r="3195" spans="1:57" x14ac:dyDescent="0.25">
      <c r="A3195" s="1"/>
      <c r="H3195" s="1"/>
      <c r="O3195" s="1"/>
      <c r="V3195" s="1"/>
      <c r="AC3195" s="1"/>
      <c r="AJ3195" s="1"/>
      <c r="AQ3195" s="1"/>
      <c r="AX3195" s="1"/>
      <c r="BE3195" s="1"/>
    </row>
    <row r="3196" spans="1:57" x14ac:dyDescent="0.25">
      <c r="A3196" s="1"/>
      <c r="H3196" s="1"/>
      <c r="O3196" s="1"/>
      <c r="V3196" s="1"/>
      <c r="AC3196" s="1"/>
      <c r="AJ3196" s="1"/>
      <c r="AQ3196" s="1"/>
      <c r="AX3196" s="1"/>
      <c r="BE3196" s="1"/>
    </row>
    <row r="3197" spans="1:57" x14ac:dyDescent="0.25">
      <c r="A3197" s="1"/>
      <c r="H3197" s="1"/>
      <c r="O3197" s="1"/>
      <c r="V3197" s="1"/>
      <c r="AC3197" s="1"/>
      <c r="AJ3197" s="1"/>
      <c r="AQ3197" s="1"/>
      <c r="AX3197" s="1"/>
      <c r="BE3197" s="1"/>
    </row>
    <row r="3198" spans="1:57" x14ac:dyDescent="0.25">
      <c r="A3198" s="1"/>
      <c r="H3198" s="1"/>
      <c r="O3198" s="1"/>
      <c r="V3198" s="1"/>
      <c r="AC3198" s="1"/>
      <c r="AJ3198" s="1"/>
      <c r="AQ3198" s="1"/>
      <c r="AX3198" s="1"/>
      <c r="BE3198" s="1"/>
    </row>
    <row r="3199" spans="1:57" x14ac:dyDescent="0.25">
      <c r="A3199" s="1"/>
      <c r="H3199" s="1"/>
      <c r="O3199" s="1"/>
      <c r="V3199" s="1"/>
      <c r="AC3199" s="1"/>
      <c r="AJ3199" s="1"/>
      <c r="AQ3199" s="1"/>
      <c r="AX3199" s="1"/>
      <c r="BE3199" s="1"/>
    </row>
    <row r="3200" spans="1:57" x14ac:dyDescent="0.25">
      <c r="A3200" s="1"/>
      <c r="H3200" s="1"/>
      <c r="O3200" s="1"/>
      <c r="V3200" s="1"/>
      <c r="AC3200" s="1"/>
      <c r="AJ3200" s="1"/>
      <c r="AQ3200" s="1"/>
      <c r="AX3200" s="1"/>
      <c r="BE3200" s="1"/>
    </row>
    <row r="3201" spans="1:57" x14ac:dyDescent="0.25">
      <c r="A3201" s="1"/>
      <c r="H3201" s="1"/>
      <c r="O3201" s="1"/>
      <c r="V3201" s="1"/>
      <c r="AC3201" s="1"/>
      <c r="AJ3201" s="1"/>
      <c r="AQ3201" s="1"/>
      <c r="AX3201" s="1"/>
      <c r="BE3201" s="1"/>
    </row>
    <row r="3202" spans="1:57" x14ac:dyDescent="0.25">
      <c r="A3202" s="1"/>
      <c r="H3202" s="1"/>
      <c r="O3202" s="1"/>
      <c r="V3202" s="1"/>
      <c r="AC3202" s="1"/>
      <c r="AJ3202" s="1"/>
      <c r="AQ3202" s="1"/>
      <c r="AX3202" s="1"/>
      <c r="BE3202" s="1"/>
    </row>
    <row r="3203" spans="1:57" x14ac:dyDescent="0.25">
      <c r="A3203" s="1"/>
      <c r="H3203" s="1"/>
      <c r="O3203" s="1"/>
      <c r="V3203" s="1"/>
      <c r="AC3203" s="1"/>
      <c r="AJ3203" s="1"/>
      <c r="AQ3203" s="1"/>
      <c r="AX3203" s="1"/>
      <c r="BE3203" s="1"/>
    </row>
    <row r="3204" spans="1:57" x14ac:dyDescent="0.25">
      <c r="A3204" s="1"/>
      <c r="H3204" s="1"/>
      <c r="O3204" s="1"/>
      <c r="V3204" s="1"/>
      <c r="AC3204" s="1"/>
      <c r="AJ3204" s="1"/>
      <c r="AQ3204" s="1"/>
      <c r="AX3204" s="1"/>
      <c r="BE3204" s="1"/>
    </row>
    <row r="3205" spans="1:57" x14ac:dyDescent="0.25">
      <c r="A3205" s="1"/>
      <c r="H3205" s="1"/>
      <c r="O3205" s="1"/>
      <c r="V3205" s="1"/>
      <c r="AC3205" s="1"/>
      <c r="AJ3205" s="1"/>
      <c r="AQ3205" s="1"/>
      <c r="AX3205" s="1"/>
      <c r="BE3205" s="1"/>
    </row>
    <row r="3206" spans="1:57" x14ac:dyDescent="0.25">
      <c r="A3206" s="1"/>
      <c r="H3206" s="1"/>
      <c r="O3206" s="1"/>
      <c r="V3206" s="1"/>
      <c r="AC3206" s="1"/>
      <c r="AJ3206" s="1"/>
      <c r="AQ3206" s="1"/>
      <c r="AX3206" s="1"/>
      <c r="BE3206" s="1"/>
    </row>
    <row r="3207" spans="1:57" x14ac:dyDescent="0.25">
      <c r="A3207" s="1"/>
      <c r="H3207" s="1"/>
      <c r="O3207" s="1"/>
      <c r="V3207" s="1"/>
      <c r="AC3207" s="1"/>
      <c r="AJ3207" s="1"/>
      <c r="AQ3207" s="1"/>
      <c r="AX3207" s="1"/>
      <c r="BE3207" s="1"/>
    </row>
    <row r="3208" spans="1:57" x14ac:dyDescent="0.25">
      <c r="A3208" s="1"/>
      <c r="H3208" s="1"/>
      <c r="O3208" s="1"/>
      <c r="V3208" s="1"/>
      <c r="AC3208" s="1"/>
      <c r="AJ3208" s="1"/>
      <c r="AQ3208" s="1"/>
      <c r="AX3208" s="1"/>
      <c r="BE3208" s="1"/>
    </row>
    <row r="3209" spans="1:57" x14ac:dyDescent="0.25">
      <c r="A3209" s="1"/>
      <c r="H3209" s="1"/>
      <c r="O3209" s="1"/>
      <c r="V3209" s="1"/>
      <c r="AC3209" s="1"/>
      <c r="AJ3209" s="1"/>
      <c r="AQ3209" s="1"/>
      <c r="AX3209" s="1"/>
      <c r="BE3209" s="1"/>
    </row>
    <row r="3210" spans="1:57" x14ac:dyDescent="0.25">
      <c r="A3210" s="1"/>
      <c r="H3210" s="1"/>
      <c r="O3210" s="1"/>
      <c r="V3210" s="1"/>
      <c r="AC3210" s="1"/>
      <c r="AJ3210" s="1"/>
      <c r="AQ3210" s="1"/>
      <c r="AX3210" s="1"/>
      <c r="BE3210" s="1"/>
    </row>
    <row r="3211" spans="1:57" x14ac:dyDescent="0.25">
      <c r="A3211" s="1"/>
      <c r="H3211" s="1"/>
      <c r="O3211" s="1"/>
      <c r="V3211" s="1"/>
      <c r="AC3211" s="1"/>
      <c r="AJ3211" s="1"/>
      <c r="AQ3211" s="1"/>
      <c r="AX3211" s="1"/>
      <c r="BE3211" s="1"/>
    </row>
    <row r="3212" spans="1:57" x14ac:dyDescent="0.25">
      <c r="A3212" s="1"/>
      <c r="H3212" s="1"/>
      <c r="O3212" s="1"/>
      <c r="V3212" s="1"/>
      <c r="AC3212" s="1"/>
      <c r="AJ3212" s="1"/>
      <c r="AQ3212" s="1"/>
      <c r="AX3212" s="1"/>
      <c r="BE3212" s="1"/>
    </row>
    <row r="3213" spans="1:57" x14ac:dyDescent="0.25">
      <c r="A3213" s="1"/>
      <c r="H3213" s="1"/>
      <c r="O3213" s="1"/>
      <c r="V3213" s="1"/>
      <c r="AC3213" s="1"/>
      <c r="AJ3213" s="1"/>
      <c r="AQ3213" s="1"/>
      <c r="AX3213" s="1"/>
      <c r="BE3213" s="1"/>
    </row>
    <row r="3214" spans="1:57" x14ac:dyDescent="0.25">
      <c r="A3214" s="1"/>
      <c r="H3214" s="1"/>
      <c r="O3214" s="1"/>
      <c r="V3214" s="1"/>
      <c r="AC3214" s="1"/>
      <c r="AJ3214" s="1"/>
      <c r="AQ3214" s="1"/>
      <c r="AX3214" s="1"/>
      <c r="BE3214" s="1"/>
    </row>
    <row r="3215" spans="1:57" x14ac:dyDescent="0.25">
      <c r="A3215" s="1"/>
      <c r="H3215" s="1"/>
      <c r="O3215" s="1"/>
      <c r="V3215" s="1"/>
      <c r="AC3215" s="1"/>
      <c r="AJ3215" s="1"/>
      <c r="AQ3215" s="1"/>
      <c r="AX3215" s="1"/>
      <c r="BE3215" s="1"/>
    </row>
    <row r="3216" spans="1:57" x14ac:dyDescent="0.25">
      <c r="A3216" s="1"/>
      <c r="H3216" s="1"/>
      <c r="O3216" s="1"/>
      <c r="V3216" s="1"/>
      <c r="AC3216" s="1"/>
      <c r="AJ3216" s="1"/>
      <c r="AQ3216" s="1"/>
      <c r="AX3216" s="1"/>
      <c r="BE3216" s="1"/>
    </row>
    <row r="3217" spans="1:57" x14ac:dyDescent="0.25">
      <c r="A3217" s="1"/>
      <c r="H3217" s="1"/>
      <c r="O3217" s="1"/>
      <c r="V3217" s="1"/>
      <c r="AC3217" s="1"/>
      <c r="AJ3217" s="1"/>
      <c r="AQ3217" s="1"/>
      <c r="AX3217" s="1"/>
      <c r="BE3217" s="1"/>
    </row>
    <row r="3218" spans="1:57" x14ac:dyDescent="0.25">
      <c r="A3218" s="1"/>
      <c r="H3218" s="1"/>
      <c r="O3218" s="1"/>
      <c r="V3218" s="1"/>
      <c r="AC3218" s="1"/>
      <c r="AJ3218" s="1"/>
      <c r="AQ3218" s="1"/>
      <c r="AX3218" s="1"/>
      <c r="BE3218" s="1"/>
    </row>
    <row r="3219" spans="1:57" x14ac:dyDescent="0.25">
      <c r="A3219" s="1"/>
      <c r="H3219" s="1"/>
      <c r="O3219" s="1"/>
      <c r="V3219" s="1"/>
      <c r="AC3219" s="1"/>
      <c r="AJ3219" s="1"/>
      <c r="AQ3219" s="1"/>
      <c r="AX3219" s="1"/>
      <c r="BE3219" s="1"/>
    </row>
    <row r="3220" spans="1:57" x14ac:dyDescent="0.25">
      <c r="A3220" s="1"/>
      <c r="H3220" s="1"/>
      <c r="O3220" s="1"/>
      <c r="V3220" s="1"/>
      <c r="AC3220" s="1"/>
      <c r="AJ3220" s="1"/>
      <c r="AQ3220" s="1"/>
      <c r="AX3220" s="1"/>
      <c r="BE3220" s="1"/>
    </row>
    <row r="3221" spans="1:57" x14ac:dyDescent="0.25">
      <c r="A3221" s="1"/>
      <c r="H3221" s="1"/>
      <c r="O3221" s="1"/>
      <c r="V3221" s="1"/>
      <c r="AC3221" s="1"/>
      <c r="AJ3221" s="1"/>
      <c r="AQ3221" s="1"/>
      <c r="AX3221" s="1"/>
      <c r="BE3221" s="1"/>
    </row>
    <row r="3222" spans="1:57" x14ac:dyDescent="0.25">
      <c r="A3222" s="1"/>
      <c r="H3222" s="1"/>
      <c r="O3222" s="1"/>
      <c r="V3222" s="1"/>
      <c r="AC3222" s="1"/>
      <c r="AJ3222" s="1"/>
      <c r="AQ3222" s="1"/>
      <c r="AX3222" s="1"/>
      <c r="BE3222" s="1"/>
    </row>
    <row r="3223" spans="1:57" x14ac:dyDescent="0.25">
      <c r="A3223" s="1"/>
      <c r="H3223" s="1"/>
      <c r="O3223" s="1"/>
      <c r="V3223" s="1"/>
      <c r="AC3223" s="1"/>
      <c r="AJ3223" s="1"/>
      <c r="AQ3223" s="1"/>
      <c r="AX3223" s="1"/>
      <c r="BE3223" s="1"/>
    </row>
    <row r="3224" spans="1:57" x14ac:dyDescent="0.25">
      <c r="A3224" s="1"/>
      <c r="H3224" s="1"/>
      <c r="O3224" s="1"/>
      <c r="V3224" s="1"/>
      <c r="AC3224" s="1"/>
      <c r="AJ3224" s="1"/>
      <c r="AQ3224" s="1"/>
      <c r="AX3224" s="1"/>
      <c r="BE3224" s="1"/>
    </row>
    <row r="3225" spans="1:57" x14ac:dyDescent="0.25">
      <c r="A3225" s="1"/>
      <c r="H3225" s="1"/>
      <c r="O3225" s="1"/>
      <c r="V3225" s="1"/>
      <c r="AC3225" s="1"/>
      <c r="AJ3225" s="1"/>
      <c r="AQ3225" s="1"/>
      <c r="AX3225" s="1"/>
      <c r="BE3225" s="1"/>
    </row>
    <row r="3226" spans="1:57" x14ac:dyDescent="0.25">
      <c r="A3226" s="1"/>
      <c r="H3226" s="1"/>
      <c r="O3226" s="1"/>
      <c r="V3226" s="1"/>
      <c r="AC3226" s="1"/>
      <c r="AJ3226" s="1"/>
      <c r="AQ3226" s="1"/>
      <c r="AX3226" s="1"/>
      <c r="BE3226" s="1"/>
    </row>
    <row r="3227" spans="1:57" x14ac:dyDescent="0.25">
      <c r="A3227" s="1"/>
      <c r="H3227" s="1"/>
      <c r="O3227" s="1"/>
      <c r="V3227" s="1"/>
      <c r="AC3227" s="1"/>
      <c r="AJ3227" s="1"/>
      <c r="AQ3227" s="1"/>
      <c r="AX3227" s="1"/>
      <c r="BE3227" s="1"/>
    </row>
    <row r="3228" spans="1:57" x14ac:dyDescent="0.25">
      <c r="A3228" s="1"/>
      <c r="H3228" s="1"/>
      <c r="O3228" s="1"/>
      <c r="V3228" s="1"/>
      <c r="AC3228" s="1"/>
      <c r="AJ3228" s="1"/>
      <c r="AQ3228" s="1"/>
      <c r="AX3228" s="1"/>
      <c r="BE3228" s="1"/>
    </row>
    <row r="3229" spans="1:57" x14ac:dyDescent="0.25">
      <c r="A3229" s="1"/>
      <c r="H3229" s="1"/>
      <c r="O3229" s="1"/>
      <c r="V3229" s="1"/>
      <c r="AC3229" s="1"/>
      <c r="AJ3229" s="1"/>
      <c r="AQ3229" s="1"/>
      <c r="AX3229" s="1"/>
      <c r="BE3229" s="1"/>
    </row>
    <row r="3230" spans="1:57" x14ac:dyDescent="0.25">
      <c r="A3230" s="1"/>
      <c r="H3230" s="1"/>
      <c r="O3230" s="1"/>
      <c r="V3230" s="1"/>
      <c r="AC3230" s="1"/>
      <c r="AJ3230" s="1"/>
      <c r="AQ3230" s="1"/>
      <c r="AX3230" s="1"/>
      <c r="BE3230" s="1"/>
    </row>
    <row r="3231" spans="1:57" x14ac:dyDescent="0.25">
      <c r="A3231" s="1"/>
      <c r="H3231" s="1"/>
      <c r="O3231" s="1"/>
      <c r="V3231" s="1"/>
      <c r="AC3231" s="1"/>
      <c r="AJ3231" s="1"/>
      <c r="AQ3231" s="1"/>
      <c r="AX3231" s="1"/>
      <c r="BE3231" s="1"/>
    </row>
    <row r="3232" spans="1:57" x14ac:dyDescent="0.25">
      <c r="A3232" s="1"/>
      <c r="H3232" s="1"/>
      <c r="O3232" s="1"/>
      <c r="V3232" s="1"/>
      <c r="AC3232" s="1"/>
      <c r="AJ3232" s="1"/>
      <c r="AQ3232" s="1"/>
      <c r="AX3232" s="1"/>
      <c r="BE3232" s="1"/>
    </row>
    <row r="3233" spans="1:57" x14ac:dyDescent="0.25">
      <c r="A3233" s="1"/>
      <c r="H3233" s="1"/>
      <c r="O3233" s="1"/>
      <c r="V3233" s="1"/>
      <c r="AC3233" s="1"/>
      <c r="AJ3233" s="1"/>
      <c r="AQ3233" s="1"/>
      <c r="AX3233" s="1"/>
      <c r="BE3233" s="1"/>
    </row>
    <row r="3234" spans="1:57" x14ac:dyDescent="0.25">
      <c r="A3234" s="1"/>
      <c r="H3234" s="1"/>
      <c r="O3234" s="1"/>
      <c r="V3234" s="1"/>
      <c r="AC3234" s="1"/>
      <c r="AJ3234" s="1"/>
      <c r="AQ3234" s="1"/>
      <c r="AX3234" s="1"/>
      <c r="BE3234" s="1"/>
    </row>
    <row r="3235" spans="1:57" x14ac:dyDescent="0.25">
      <c r="A3235" s="1"/>
      <c r="H3235" s="1"/>
      <c r="O3235" s="1"/>
      <c r="V3235" s="1"/>
      <c r="AC3235" s="1"/>
      <c r="AJ3235" s="1"/>
      <c r="AQ3235" s="1"/>
      <c r="AX3235" s="1"/>
      <c r="BE3235" s="1"/>
    </row>
    <row r="3236" spans="1:57" x14ac:dyDescent="0.25">
      <c r="A3236" s="1"/>
      <c r="H3236" s="1"/>
      <c r="O3236" s="1"/>
      <c r="V3236" s="1"/>
      <c r="AC3236" s="1"/>
      <c r="AJ3236" s="1"/>
      <c r="AQ3236" s="1"/>
      <c r="AX3236" s="1"/>
      <c r="BE3236" s="1"/>
    </row>
    <row r="3237" spans="1:57" x14ac:dyDescent="0.25">
      <c r="A3237" s="1"/>
      <c r="H3237" s="1"/>
      <c r="O3237" s="1"/>
      <c r="V3237" s="1"/>
      <c r="AC3237" s="1"/>
      <c r="AJ3237" s="1"/>
      <c r="AQ3237" s="1"/>
      <c r="AX3237" s="1"/>
      <c r="BE3237" s="1"/>
    </row>
    <row r="3238" spans="1:57" x14ac:dyDescent="0.25">
      <c r="A3238" s="1"/>
      <c r="H3238" s="1"/>
      <c r="O3238" s="1"/>
      <c r="V3238" s="1"/>
      <c r="AC3238" s="1"/>
      <c r="AJ3238" s="1"/>
      <c r="AQ3238" s="1"/>
      <c r="AX3238" s="1"/>
      <c r="BE3238" s="1"/>
    </row>
    <row r="3239" spans="1:57" x14ac:dyDescent="0.25">
      <c r="A3239" s="1"/>
      <c r="H3239" s="1"/>
      <c r="O3239" s="1"/>
      <c r="V3239" s="1"/>
      <c r="AC3239" s="1"/>
      <c r="AJ3239" s="1"/>
      <c r="AQ3239" s="1"/>
      <c r="AX3239" s="1"/>
      <c r="BE3239" s="1"/>
    </row>
    <row r="3240" spans="1:57" x14ac:dyDescent="0.25">
      <c r="A3240" s="1"/>
      <c r="H3240" s="1"/>
      <c r="O3240" s="1"/>
      <c r="V3240" s="1"/>
      <c r="AC3240" s="1"/>
      <c r="AJ3240" s="1"/>
      <c r="AQ3240" s="1"/>
      <c r="AX3240" s="1"/>
      <c r="BE3240" s="1"/>
    </row>
    <row r="3241" spans="1:57" x14ac:dyDescent="0.25">
      <c r="A3241" s="1"/>
      <c r="H3241" s="1"/>
      <c r="O3241" s="1"/>
      <c r="V3241" s="1"/>
      <c r="AC3241" s="1"/>
      <c r="AJ3241" s="1"/>
      <c r="AQ3241" s="1"/>
      <c r="AX3241" s="1"/>
      <c r="BE3241" s="1"/>
    </row>
    <row r="3242" spans="1:57" x14ac:dyDescent="0.25">
      <c r="A3242" s="1"/>
      <c r="H3242" s="1"/>
      <c r="O3242" s="1"/>
      <c r="V3242" s="1"/>
      <c r="AC3242" s="1"/>
      <c r="AJ3242" s="1"/>
      <c r="AQ3242" s="1"/>
      <c r="AX3242" s="1"/>
      <c r="BE3242" s="1"/>
    </row>
    <row r="3243" spans="1:57" x14ac:dyDescent="0.25">
      <c r="A3243" s="1"/>
      <c r="H3243" s="1"/>
      <c r="O3243" s="1"/>
      <c r="V3243" s="1"/>
      <c r="AC3243" s="1"/>
      <c r="AJ3243" s="1"/>
      <c r="AQ3243" s="1"/>
      <c r="AX3243" s="1"/>
      <c r="BE3243" s="1"/>
    </row>
    <row r="3244" spans="1:57" x14ac:dyDescent="0.25">
      <c r="A3244" s="1"/>
      <c r="H3244" s="1"/>
      <c r="O3244" s="1"/>
      <c r="V3244" s="1"/>
      <c r="AC3244" s="1"/>
      <c r="AJ3244" s="1"/>
      <c r="AQ3244" s="1"/>
      <c r="AX3244" s="1"/>
      <c r="BE3244" s="1"/>
    </row>
    <row r="3245" spans="1:57" x14ac:dyDescent="0.25">
      <c r="A3245" s="1"/>
      <c r="H3245" s="1"/>
      <c r="O3245" s="1"/>
      <c r="V3245" s="1"/>
      <c r="AC3245" s="1"/>
      <c r="AJ3245" s="1"/>
      <c r="AQ3245" s="1"/>
      <c r="AX3245" s="1"/>
      <c r="BE3245" s="1"/>
    </row>
    <row r="3246" spans="1:57" x14ac:dyDescent="0.25">
      <c r="A3246" s="1"/>
      <c r="H3246" s="1"/>
      <c r="O3246" s="1"/>
      <c r="V3246" s="1"/>
      <c r="AC3246" s="1"/>
      <c r="AJ3246" s="1"/>
      <c r="AQ3246" s="1"/>
      <c r="AX3246" s="1"/>
      <c r="BE3246" s="1"/>
    </row>
    <row r="3247" spans="1:57" x14ac:dyDescent="0.25">
      <c r="A3247" s="1"/>
      <c r="H3247" s="1"/>
      <c r="O3247" s="1"/>
      <c r="V3247" s="1"/>
      <c r="AC3247" s="1"/>
      <c r="AJ3247" s="1"/>
      <c r="AQ3247" s="1"/>
      <c r="AX3247" s="1"/>
      <c r="BE3247" s="1"/>
    </row>
    <row r="3248" spans="1:57" x14ac:dyDescent="0.25">
      <c r="A3248" s="1"/>
      <c r="H3248" s="1"/>
      <c r="O3248" s="1"/>
      <c r="V3248" s="1"/>
      <c r="AC3248" s="1"/>
      <c r="AJ3248" s="1"/>
      <c r="AQ3248" s="1"/>
      <c r="AX3248" s="1"/>
      <c r="BE3248" s="1"/>
    </row>
    <row r="3249" spans="1:57" x14ac:dyDescent="0.25">
      <c r="A3249" s="1"/>
      <c r="H3249" s="1"/>
      <c r="O3249" s="1"/>
      <c r="V3249" s="1"/>
      <c r="AC3249" s="1"/>
      <c r="AJ3249" s="1"/>
      <c r="AQ3249" s="1"/>
      <c r="AX3249" s="1"/>
      <c r="BE3249" s="1"/>
    </row>
    <row r="3250" spans="1:57" x14ac:dyDescent="0.25">
      <c r="A3250" s="1"/>
      <c r="H3250" s="1"/>
      <c r="O3250" s="1"/>
      <c r="V3250" s="1"/>
      <c r="AC3250" s="1"/>
      <c r="AJ3250" s="1"/>
      <c r="AQ3250" s="1"/>
      <c r="AX3250" s="1"/>
      <c r="BE3250" s="1"/>
    </row>
    <row r="3251" spans="1:57" x14ac:dyDescent="0.25">
      <c r="A3251" s="1"/>
      <c r="H3251" s="1"/>
      <c r="O3251" s="1"/>
      <c r="V3251" s="1"/>
      <c r="AC3251" s="1"/>
      <c r="AJ3251" s="1"/>
      <c r="AQ3251" s="1"/>
      <c r="AX3251" s="1"/>
      <c r="BE3251" s="1"/>
    </row>
    <row r="3252" spans="1:57" x14ac:dyDescent="0.25">
      <c r="A3252" s="1"/>
      <c r="H3252" s="1"/>
      <c r="O3252" s="1"/>
      <c r="V3252" s="1"/>
      <c r="AC3252" s="1"/>
      <c r="AJ3252" s="1"/>
      <c r="AQ3252" s="1"/>
      <c r="AX3252" s="1"/>
      <c r="BE3252" s="1"/>
    </row>
    <row r="3253" spans="1:57" x14ac:dyDescent="0.25">
      <c r="A3253" s="1"/>
      <c r="H3253" s="1"/>
      <c r="O3253" s="1"/>
      <c r="V3253" s="1"/>
      <c r="AC3253" s="1"/>
      <c r="AJ3253" s="1"/>
      <c r="AQ3253" s="1"/>
      <c r="AX3253" s="1"/>
      <c r="BE3253" s="1"/>
    </row>
    <row r="3254" spans="1:57" x14ac:dyDescent="0.25">
      <c r="A3254" s="1"/>
      <c r="H3254" s="1"/>
      <c r="O3254" s="1"/>
      <c r="V3254" s="1"/>
      <c r="AC3254" s="1"/>
      <c r="AJ3254" s="1"/>
      <c r="AQ3254" s="1"/>
      <c r="AX3254" s="1"/>
      <c r="BE3254" s="1"/>
    </row>
    <row r="3255" spans="1:57" x14ac:dyDescent="0.25">
      <c r="A3255" s="1"/>
      <c r="H3255" s="1"/>
      <c r="O3255" s="1"/>
      <c r="V3255" s="1"/>
      <c r="AC3255" s="1"/>
      <c r="AJ3255" s="1"/>
      <c r="AQ3255" s="1"/>
      <c r="AX3255" s="1"/>
      <c r="BE3255" s="1"/>
    </row>
    <row r="3256" spans="1:57" x14ac:dyDescent="0.25">
      <c r="A3256" s="1"/>
      <c r="H3256" s="1"/>
      <c r="O3256" s="1"/>
      <c r="V3256" s="1"/>
      <c r="AC3256" s="1"/>
      <c r="AJ3256" s="1"/>
      <c r="AQ3256" s="1"/>
      <c r="AX3256" s="1"/>
      <c r="BE3256" s="1"/>
    </row>
    <row r="3257" spans="1:57" x14ac:dyDescent="0.25">
      <c r="A3257" s="1"/>
      <c r="H3257" s="1"/>
      <c r="O3257" s="1"/>
      <c r="V3257" s="1"/>
      <c r="AC3257" s="1"/>
      <c r="AJ3257" s="1"/>
      <c r="AQ3257" s="1"/>
      <c r="AX3257" s="1"/>
      <c r="BE3257" s="1"/>
    </row>
    <row r="3258" spans="1:57" x14ac:dyDescent="0.25">
      <c r="A3258" s="1"/>
      <c r="H3258" s="1"/>
      <c r="O3258" s="1"/>
      <c r="V3258" s="1"/>
      <c r="AC3258" s="1"/>
      <c r="AJ3258" s="1"/>
      <c r="AQ3258" s="1"/>
      <c r="AX3258" s="1"/>
      <c r="BE3258" s="1"/>
    </row>
    <row r="3259" spans="1:57" x14ac:dyDescent="0.25">
      <c r="A3259" s="1"/>
      <c r="H3259" s="1"/>
      <c r="O3259" s="1"/>
      <c r="V3259" s="1"/>
      <c r="AC3259" s="1"/>
      <c r="AJ3259" s="1"/>
      <c r="AQ3259" s="1"/>
      <c r="AX3259" s="1"/>
      <c r="BE3259" s="1"/>
    </row>
    <row r="3260" spans="1:57" x14ac:dyDescent="0.25">
      <c r="A3260" s="1"/>
      <c r="H3260" s="1"/>
      <c r="O3260" s="1"/>
      <c r="V3260" s="1"/>
      <c r="AC3260" s="1"/>
      <c r="AJ3260" s="1"/>
      <c r="AQ3260" s="1"/>
      <c r="AX3260" s="1"/>
      <c r="BE3260" s="1"/>
    </row>
    <row r="3261" spans="1:57" x14ac:dyDescent="0.25">
      <c r="A3261" s="1"/>
      <c r="H3261" s="1"/>
      <c r="O3261" s="1"/>
      <c r="V3261" s="1"/>
      <c r="AC3261" s="1"/>
      <c r="AJ3261" s="1"/>
      <c r="AQ3261" s="1"/>
      <c r="AX3261" s="1"/>
      <c r="BE3261" s="1"/>
    </row>
    <row r="3262" spans="1:57" x14ac:dyDescent="0.25">
      <c r="A3262" s="1"/>
      <c r="H3262" s="1"/>
      <c r="O3262" s="1"/>
      <c r="V3262" s="1"/>
      <c r="AC3262" s="1"/>
      <c r="AJ3262" s="1"/>
      <c r="AQ3262" s="1"/>
      <c r="AX3262" s="1"/>
      <c r="BE3262" s="1"/>
    </row>
    <row r="3263" spans="1:57" x14ac:dyDescent="0.25">
      <c r="A3263" s="1"/>
      <c r="H3263" s="1"/>
      <c r="O3263" s="1"/>
      <c r="V3263" s="1"/>
      <c r="AC3263" s="1"/>
      <c r="AJ3263" s="1"/>
      <c r="AQ3263" s="1"/>
      <c r="AX3263" s="1"/>
      <c r="BE3263" s="1"/>
    </row>
    <row r="3264" spans="1:57" x14ac:dyDescent="0.25">
      <c r="A3264" s="1"/>
      <c r="H3264" s="1"/>
      <c r="O3264" s="1"/>
      <c r="V3264" s="1"/>
      <c r="AC3264" s="1"/>
      <c r="AJ3264" s="1"/>
      <c r="AQ3264" s="1"/>
      <c r="AX3264" s="1"/>
      <c r="BE3264" s="1"/>
    </row>
    <row r="3265" spans="1:57" x14ac:dyDescent="0.25">
      <c r="A3265" s="1"/>
      <c r="H3265" s="1"/>
      <c r="O3265" s="1"/>
      <c r="V3265" s="1"/>
      <c r="AC3265" s="1"/>
      <c r="AJ3265" s="1"/>
      <c r="AQ3265" s="1"/>
      <c r="AX3265" s="1"/>
      <c r="BE3265" s="1"/>
    </row>
    <row r="3266" spans="1:57" x14ac:dyDescent="0.25">
      <c r="A3266" s="1"/>
      <c r="H3266" s="1"/>
      <c r="O3266" s="1"/>
      <c r="V3266" s="1"/>
      <c r="AC3266" s="1"/>
      <c r="AJ3266" s="1"/>
      <c r="AQ3266" s="1"/>
      <c r="AX3266" s="1"/>
      <c r="BE3266" s="1"/>
    </row>
    <row r="3267" spans="1:57" x14ac:dyDescent="0.25">
      <c r="A3267" s="1"/>
      <c r="H3267" s="1"/>
      <c r="O3267" s="1"/>
      <c r="V3267" s="1"/>
      <c r="AC3267" s="1"/>
      <c r="AJ3267" s="1"/>
      <c r="AQ3267" s="1"/>
      <c r="AX3267" s="1"/>
      <c r="BE3267" s="1"/>
    </row>
    <row r="3268" spans="1:57" x14ac:dyDescent="0.25">
      <c r="A3268" s="1"/>
      <c r="H3268" s="1"/>
      <c r="O3268" s="1"/>
      <c r="V3268" s="1"/>
      <c r="AC3268" s="1"/>
      <c r="AJ3268" s="1"/>
      <c r="AQ3268" s="1"/>
      <c r="AX3268" s="1"/>
      <c r="BE3268" s="1"/>
    </row>
    <row r="3269" spans="1:57" x14ac:dyDescent="0.25">
      <c r="A3269" s="1"/>
      <c r="H3269" s="1"/>
      <c r="O3269" s="1"/>
      <c r="V3269" s="1"/>
      <c r="AC3269" s="1"/>
      <c r="AJ3269" s="1"/>
      <c r="AQ3269" s="1"/>
      <c r="AX3269" s="1"/>
      <c r="BE3269" s="1"/>
    </row>
    <row r="3270" spans="1:57" x14ac:dyDescent="0.25">
      <c r="A3270" s="1"/>
      <c r="H3270" s="1"/>
      <c r="O3270" s="1"/>
      <c r="V3270" s="1"/>
      <c r="AC3270" s="1"/>
      <c r="AJ3270" s="1"/>
      <c r="AQ3270" s="1"/>
      <c r="AX3270" s="1"/>
      <c r="BE3270" s="1"/>
    </row>
    <row r="3271" spans="1:57" x14ac:dyDescent="0.25">
      <c r="A3271" s="1"/>
      <c r="H3271" s="1"/>
      <c r="O3271" s="1"/>
      <c r="V3271" s="1"/>
      <c r="AC3271" s="1"/>
      <c r="AJ3271" s="1"/>
      <c r="AQ3271" s="1"/>
      <c r="AX3271" s="1"/>
      <c r="BE3271" s="1"/>
    </row>
    <row r="3272" spans="1:57" x14ac:dyDescent="0.25">
      <c r="A3272" s="1"/>
      <c r="H3272" s="1"/>
      <c r="O3272" s="1"/>
      <c r="V3272" s="1"/>
      <c r="AC3272" s="1"/>
      <c r="AJ3272" s="1"/>
      <c r="AQ3272" s="1"/>
      <c r="AX3272" s="1"/>
      <c r="BE3272" s="1"/>
    </row>
    <row r="3273" spans="1:57" x14ac:dyDescent="0.25">
      <c r="A3273" s="1"/>
      <c r="H3273" s="1"/>
      <c r="O3273" s="1"/>
      <c r="V3273" s="1"/>
      <c r="AC3273" s="1"/>
      <c r="AJ3273" s="1"/>
      <c r="AQ3273" s="1"/>
      <c r="AX3273" s="1"/>
      <c r="BE3273" s="1"/>
    </row>
    <row r="3274" spans="1:57" x14ac:dyDescent="0.25">
      <c r="A3274" s="1"/>
      <c r="H3274" s="1"/>
      <c r="O3274" s="1"/>
      <c r="V3274" s="1"/>
      <c r="AC3274" s="1"/>
      <c r="AJ3274" s="1"/>
      <c r="AQ3274" s="1"/>
      <c r="AX3274" s="1"/>
      <c r="BE3274" s="1"/>
    </row>
    <row r="3275" spans="1:57" x14ac:dyDescent="0.25">
      <c r="A3275" s="1"/>
      <c r="H3275" s="1"/>
      <c r="O3275" s="1"/>
      <c r="V3275" s="1"/>
      <c r="AC3275" s="1"/>
      <c r="AJ3275" s="1"/>
      <c r="AQ3275" s="1"/>
      <c r="AX3275" s="1"/>
      <c r="BE3275" s="1"/>
    </row>
    <row r="3276" spans="1:57" x14ac:dyDescent="0.25">
      <c r="A3276" s="1"/>
      <c r="H3276" s="1"/>
      <c r="O3276" s="1"/>
      <c r="V3276" s="1"/>
      <c r="AC3276" s="1"/>
      <c r="AJ3276" s="1"/>
      <c r="AQ3276" s="1"/>
      <c r="AX3276" s="1"/>
      <c r="BE3276" s="1"/>
    </row>
    <row r="3277" spans="1:57" x14ac:dyDescent="0.25">
      <c r="A3277" s="1"/>
      <c r="H3277" s="1"/>
      <c r="O3277" s="1"/>
      <c r="V3277" s="1"/>
      <c r="AC3277" s="1"/>
      <c r="AJ3277" s="1"/>
      <c r="AQ3277" s="1"/>
      <c r="AX3277" s="1"/>
      <c r="BE3277" s="1"/>
    </row>
    <row r="3278" spans="1:57" x14ac:dyDescent="0.25">
      <c r="A3278" s="1"/>
      <c r="H3278" s="1"/>
      <c r="O3278" s="1"/>
      <c r="V3278" s="1"/>
      <c r="AC3278" s="1"/>
      <c r="AJ3278" s="1"/>
      <c r="AQ3278" s="1"/>
      <c r="AX3278" s="1"/>
      <c r="BE3278" s="1"/>
    </row>
    <row r="3279" spans="1:57" x14ac:dyDescent="0.25">
      <c r="A3279" s="1"/>
      <c r="H3279" s="1"/>
      <c r="O3279" s="1"/>
      <c r="V3279" s="1"/>
      <c r="AC3279" s="1"/>
      <c r="AJ3279" s="1"/>
      <c r="AQ3279" s="1"/>
      <c r="AX3279" s="1"/>
      <c r="BE3279" s="1"/>
    </row>
    <row r="3280" spans="1:57" x14ac:dyDescent="0.25">
      <c r="A3280" s="1"/>
      <c r="H3280" s="1"/>
      <c r="O3280" s="1"/>
      <c r="V3280" s="1"/>
      <c r="AC3280" s="1"/>
      <c r="AJ3280" s="1"/>
      <c r="AQ3280" s="1"/>
      <c r="AX3280" s="1"/>
      <c r="BE3280" s="1"/>
    </row>
    <row r="3281" spans="1:57" x14ac:dyDescent="0.25">
      <c r="A3281" s="1"/>
      <c r="H3281" s="1"/>
      <c r="O3281" s="1"/>
      <c r="V3281" s="1"/>
      <c r="AC3281" s="1"/>
      <c r="AJ3281" s="1"/>
      <c r="AQ3281" s="1"/>
      <c r="AX3281" s="1"/>
      <c r="BE3281" s="1"/>
    </row>
    <row r="3282" spans="1:57" x14ac:dyDescent="0.25">
      <c r="A3282" s="1"/>
      <c r="H3282" s="1"/>
      <c r="O3282" s="1"/>
      <c r="V3282" s="1"/>
      <c r="AC3282" s="1"/>
      <c r="AJ3282" s="1"/>
      <c r="AQ3282" s="1"/>
      <c r="AX3282" s="1"/>
      <c r="BE3282" s="1"/>
    </row>
    <row r="3283" spans="1:57" x14ac:dyDescent="0.25">
      <c r="A3283" s="1"/>
      <c r="H3283" s="1"/>
      <c r="O3283" s="1"/>
      <c r="V3283" s="1"/>
      <c r="AC3283" s="1"/>
      <c r="AJ3283" s="1"/>
      <c r="AQ3283" s="1"/>
      <c r="AX3283" s="1"/>
      <c r="BE3283" s="1"/>
    </row>
    <row r="3284" spans="1:57" x14ac:dyDescent="0.25">
      <c r="A3284" s="1"/>
      <c r="H3284" s="1"/>
      <c r="O3284" s="1"/>
      <c r="V3284" s="1"/>
      <c r="AC3284" s="1"/>
      <c r="AJ3284" s="1"/>
      <c r="AQ3284" s="1"/>
      <c r="AX3284" s="1"/>
      <c r="BE3284" s="1"/>
    </row>
    <row r="3285" spans="1:57" x14ac:dyDescent="0.25">
      <c r="A3285" s="1"/>
      <c r="H3285" s="1"/>
      <c r="O3285" s="1"/>
      <c r="V3285" s="1"/>
      <c r="AC3285" s="1"/>
      <c r="AJ3285" s="1"/>
      <c r="AQ3285" s="1"/>
      <c r="AX3285" s="1"/>
      <c r="BE3285" s="1"/>
    </row>
    <row r="3286" spans="1:57" x14ac:dyDescent="0.25">
      <c r="A3286" s="1"/>
      <c r="H3286" s="1"/>
      <c r="O3286" s="1"/>
      <c r="V3286" s="1"/>
      <c r="AC3286" s="1"/>
      <c r="AJ3286" s="1"/>
      <c r="AQ3286" s="1"/>
      <c r="AX3286" s="1"/>
      <c r="BE3286" s="1"/>
    </row>
    <row r="3287" spans="1:57" x14ac:dyDescent="0.25">
      <c r="A3287" s="1"/>
      <c r="H3287" s="1"/>
      <c r="O3287" s="1"/>
      <c r="V3287" s="1"/>
      <c r="AC3287" s="1"/>
      <c r="AJ3287" s="1"/>
      <c r="AQ3287" s="1"/>
      <c r="AX3287" s="1"/>
      <c r="BE3287" s="1"/>
    </row>
    <row r="3288" spans="1:57" x14ac:dyDescent="0.25">
      <c r="A3288" s="1"/>
      <c r="H3288" s="1"/>
      <c r="O3288" s="1"/>
      <c r="V3288" s="1"/>
      <c r="AC3288" s="1"/>
      <c r="AJ3288" s="1"/>
      <c r="AQ3288" s="1"/>
      <c r="AX3288" s="1"/>
      <c r="BE3288" s="1"/>
    </row>
    <row r="3289" spans="1:57" x14ac:dyDescent="0.25">
      <c r="A3289" s="1"/>
      <c r="H3289" s="1"/>
      <c r="O3289" s="1"/>
      <c r="V3289" s="1"/>
      <c r="AC3289" s="1"/>
      <c r="AJ3289" s="1"/>
      <c r="AQ3289" s="1"/>
      <c r="AX3289" s="1"/>
      <c r="BE3289" s="1"/>
    </row>
    <row r="3290" spans="1:57" x14ac:dyDescent="0.25">
      <c r="A3290" s="1"/>
      <c r="H3290" s="1"/>
      <c r="O3290" s="1"/>
      <c r="V3290" s="1"/>
      <c r="AC3290" s="1"/>
      <c r="AJ3290" s="1"/>
      <c r="AQ3290" s="1"/>
      <c r="AX3290" s="1"/>
      <c r="BE3290" s="1"/>
    </row>
    <row r="3291" spans="1:57" x14ac:dyDescent="0.25">
      <c r="A3291" s="1"/>
      <c r="H3291" s="1"/>
      <c r="O3291" s="1"/>
      <c r="V3291" s="1"/>
      <c r="AC3291" s="1"/>
      <c r="AJ3291" s="1"/>
      <c r="AQ3291" s="1"/>
      <c r="AX3291" s="1"/>
      <c r="BE3291" s="1"/>
    </row>
    <row r="3292" spans="1:57" x14ac:dyDescent="0.25">
      <c r="A3292" s="1"/>
      <c r="H3292" s="1"/>
      <c r="O3292" s="1"/>
      <c r="V3292" s="1"/>
      <c r="AC3292" s="1"/>
      <c r="AJ3292" s="1"/>
      <c r="AQ3292" s="1"/>
      <c r="AX3292" s="1"/>
      <c r="BE3292" s="1"/>
    </row>
    <row r="3293" spans="1:57" x14ac:dyDescent="0.25">
      <c r="A3293" s="1"/>
      <c r="H3293" s="1"/>
      <c r="O3293" s="1"/>
      <c r="V3293" s="1"/>
      <c r="AC3293" s="1"/>
      <c r="AJ3293" s="1"/>
      <c r="AQ3293" s="1"/>
      <c r="AX3293" s="1"/>
      <c r="BE3293" s="1"/>
    </row>
    <row r="3294" spans="1:57" x14ac:dyDescent="0.25">
      <c r="A3294" s="1"/>
      <c r="H3294" s="1"/>
      <c r="O3294" s="1"/>
      <c r="V3294" s="1"/>
      <c r="AC3294" s="1"/>
      <c r="AJ3294" s="1"/>
      <c r="AQ3294" s="1"/>
      <c r="AX3294" s="1"/>
      <c r="BE3294" s="1"/>
    </row>
    <row r="3295" spans="1:57" x14ac:dyDescent="0.25">
      <c r="A3295" s="1"/>
      <c r="H3295" s="1"/>
      <c r="O3295" s="1"/>
      <c r="V3295" s="1"/>
      <c r="AC3295" s="1"/>
      <c r="AJ3295" s="1"/>
      <c r="AQ3295" s="1"/>
      <c r="AX3295" s="1"/>
      <c r="BE3295" s="1"/>
    </row>
    <row r="3296" spans="1:57" x14ac:dyDescent="0.25">
      <c r="A3296" s="1"/>
      <c r="H3296" s="1"/>
      <c r="O3296" s="1"/>
      <c r="V3296" s="1"/>
      <c r="AC3296" s="1"/>
      <c r="AJ3296" s="1"/>
      <c r="AQ3296" s="1"/>
      <c r="AX3296" s="1"/>
      <c r="BE3296" s="1"/>
    </row>
    <row r="3297" spans="1:57" x14ac:dyDescent="0.25">
      <c r="A3297" s="1"/>
      <c r="H3297" s="1"/>
      <c r="O3297" s="1"/>
      <c r="V3297" s="1"/>
      <c r="AC3297" s="1"/>
      <c r="AJ3297" s="1"/>
      <c r="AQ3297" s="1"/>
      <c r="AX3297" s="1"/>
      <c r="BE3297" s="1"/>
    </row>
    <row r="3298" spans="1:57" x14ac:dyDescent="0.25">
      <c r="A3298" s="1"/>
      <c r="H3298" s="1"/>
      <c r="O3298" s="1"/>
      <c r="V3298" s="1"/>
      <c r="AC3298" s="1"/>
      <c r="AJ3298" s="1"/>
      <c r="AQ3298" s="1"/>
      <c r="AX3298" s="1"/>
      <c r="BE3298" s="1"/>
    </row>
    <row r="3299" spans="1:57" x14ac:dyDescent="0.25">
      <c r="A3299" s="1"/>
      <c r="H3299" s="1"/>
      <c r="O3299" s="1"/>
      <c r="V3299" s="1"/>
      <c r="AC3299" s="1"/>
      <c r="AJ3299" s="1"/>
      <c r="AQ3299" s="1"/>
      <c r="AX3299" s="1"/>
      <c r="BE3299" s="1"/>
    </row>
    <row r="3300" spans="1:57" x14ac:dyDescent="0.25">
      <c r="A3300" s="1"/>
      <c r="H3300" s="1"/>
      <c r="O3300" s="1"/>
      <c r="V3300" s="1"/>
      <c r="AC3300" s="1"/>
      <c r="AJ3300" s="1"/>
      <c r="AQ3300" s="1"/>
      <c r="AX3300" s="1"/>
      <c r="BE3300" s="1"/>
    </row>
    <row r="3301" spans="1:57" x14ac:dyDescent="0.25">
      <c r="A3301" s="1"/>
      <c r="H3301" s="1"/>
      <c r="O3301" s="1"/>
      <c r="V3301" s="1"/>
      <c r="AC3301" s="1"/>
      <c r="AJ3301" s="1"/>
      <c r="AQ3301" s="1"/>
      <c r="AX3301" s="1"/>
      <c r="BE3301" s="1"/>
    </row>
    <row r="3302" spans="1:57" x14ac:dyDescent="0.25">
      <c r="A3302" s="1"/>
      <c r="H3302" s="1"/>
      <c r="O3302" s="1"/>
      <c r="V3302" s="1"/>
      <c r="AC3302" s="1"/>
      <c r="AJ3302" s="1"/>
      <c r="AQ3302" s="1"/>
      <c r="AX3302" s="1"/>
      <c r="BE3302" s="1"/>
    </row>
    <row r="3303" spans="1:57" x14ac:dyDescent="0.25">
      <c r="A3303" s="1"/>
      <c r="H3303" s="1"/>
      <c r="O3303" s="1"/>
      <c r="V3303" s="1"/>
      <c r="AC3303" s="1"/>
      <c r="AJ3303" s="1"/>
      <c r="AQ3303" s="1"/>
      <c r="AX3303" s="1"/>
      <c r="BE3303" s="1"/>
    </row>
    <row r="3304" spans="1:57" x14ac:dyDescent="0.25">
      <c r="A3304" s="1"/>
      <c r="H3304" s="1"/>
      <c r="O3304" s="1"/>
      <c r="V3304" s="1"/>
      <c r="AC3304" s="1"/>
      <c r="AJ3304" s="1"/>
      <c r="AQ3304" s="1"/>
      <c r="AX3304" s="1"/>
      <c r="BE3304" s="1"/>
    </row>
    <row r="3305" spans="1:57" x14ac:dyDescent="0.25">
      <c r="A3305" s="1"/>
      <c r="H3305" s="1"/>
      <c r="O3305" s="1"/>
      <c r="V3305" s="1"/>
      <c r="AC3305" s="1"/>
      <c r="AJ3305" s="1"/>
      <c r="AQ3305" s="1"/>
      <c r="AX3305" s="1"/>
      <c r="BE3305" s="1"/>
    </row>
    <row r="3306" spans="1:57" x14ac:dyDescent="0.25">
      <c r="A3306" s="1"/>
      <c r="H3306" s="1"/>
      <c r="O3306" s="1"/>
      <c r="V3306" s="1"/>
      <c r="AC3306" s="1"/>
      <c r="AJ3306" s="1"/>
      <c r="AQ3306" s="1"/>
      <c r="AX3306" s="1"/>
      <c r="BE3306" s="1"/>
    </row>
    <row r="3307" spans="1:57" x14ac:dyDescent="0.25">
      <c r="A3307" s="1"/>
      <c r="H3307" s="1"/>
      <c r="O3307" s="1"/>
      <c r="V3307" s="1"/>
      <c r="AC3307" s="1"/>
      <c r="AJ3307" s="1"/>
      <c r="AQ3307" s="1"/>
      <c r="AX3307" s="1"/>
      <c r="BE3307" s="1"/>
    </row>
    <row r="3308" spans="1:57" x14ac:dyDescent="0.25">
      <c r="A3308" s="1"/>
      <c r="H3308" s="1"/>
      <c r="O3308" s="1"/>
      <c r="V3308" s="1"/>
      <c r="AC3308" s="1"/>
      <c r="AJ3308" s="1"/>
      <c r="AQ3308" s="1"/>
      <c r="AX3308" s="1"/>
      <c r="BE3308" s="1"/>
    </row>
    <row r="3309" spans="1:57" x14ac:dyDescent="0.25">
      <c r="A3309" s="1"/>
      <c r="H3309" s="1"/>
      <c r="O3309" s="1"/>
      <c r="V3309" s="1"/>
      <c r="AC3309" s="1"/>
      <c r="AJ3309" s="1"/>
      <c r="AQ3309" s="1"/>
      <c r="AX3309" s="1"/>
      <c r="BE3309" s="1"/>
    </row>
    <row r="3310" spans="1:57" x14ac:dyDescent="0.25">
      <c r="A3310" s="1"/>
      <c r="H3310" s="1"/>
      <c r="O3310" s="1"/>
      <c r="V3310" s="1"/>
      <c r="AC3310" s="1"/>
      <c r="AJ3310" s="1"/>
      <c r="AQ3310" s="1"/>
      <c r="AX3310" s="1"/>
      <c r="BE3310" s="1"/>
    </row>
    <row r="3311" spans="1:57" x14ac:dyDescent="0.25">
      <c r="A3311" s="1"/>
      <c r="H3311" s="1"/>
      <c r="O3311" s="1"/>
      <c r="V3311" s="1"/>
      <c r="AC3311" s="1"/>
      <c r="AJ3311" s="1"/>
      <c r="AQ3311" s="1"/>
      <c r="AX3311" s="1"/>
      <c r="BE3311" s="1"/>
    </row>
    <row r="3312" spans="1:57" x14ac:dyDescent="0.25">
      <c r="A3312" s="1"/>
      <c r="H3312" s="1"/>
      <c r="O3312" s="1"/>
      <c r="V3312" s="1"/>
      <c r="AC3312" s="1"/>
      <c r="AJ3312" s="1"/>
      <c r="AQ3312" s="1"/>
      <c r="AX3312" s="1"/>
      <c r="BE3312" s="1"/>
    </row>
    <row r="3313" spans="1:57" x14ac:dyDescent="0.25">
      <c r="A3313" s="1"/>
      <c r="H3313" s="1"/>
      <c r="O3313" s="1"/>
      <c r="V3313" s="1"/>
      <c r="AC3313" s="1"/>
      <c r="AJ3313" s="1"/>
      <c r="AQ3313" s="1"/>
      <c r="AX3313" s="1"/>
      <c r="BE3313" s="1"/>
    </row>
    <row r="3314" spans="1:57" x14ac:dyDescent="0.25">
      <c r="A3314" s="1"/>
      <c r="H3314" s="1"/>
      <c r="O3314" s="1"/>
      <c r="V3314" s="1"/>
      <c r="AC3314" s="1"/>
      <c r="AJ3314" s="1"/>
      <c r="AQ3314" s="1"/>
      <c r="AX3314" s="1"/>
      <c r="BE3314" s="1"/>
    </row>
    <row r="3315" spans="1:57" x14ac:dyDescent="0.25">
      <c r="A3315" s="1"/>
      <c r="H3315" s="1"/>
      <c r="O3315" s="1"/>
      <c r="V3315" s="1"/>
      <c r="AC3315" s="1"/>
      <c r="AJ3315" s="1"/>
      <c r="AQ3315" s="1"/>
      <c r="AX3315" s="1"/>
      <c r="BE3315" s="1"/>
    </row>
    <row r="3316" spans="1:57" x14ac:dyDescent="0.25">
      <c r="A3316" s="1"/>
      <c r="H3316" s="1"/>
      <c r="O3316" s="1"/>
      <c r="V3316" s="1"/>
      <c r="AC3316" s="1"/>
      <c r="AJ3316" s="1"/>
      <c r="AQ3316" s="1"/>
      <c r="AX3316" s="1"/>
      <c r="BE3316" s="1"/>
    </row>
    <row r="3317" spans="1:57" x14ac:dyDescent="0.25">
      <c r="A3317" s="1"/>
      <c r="H3317" s="1"/>
      <c r="O3317" s="1"/>
      <c r="V3317" s="1"/>
      <c r="AC3317" s="1"/>
      <c r="AJ3317" s="1"/>
      <c r="AQ3317" s="1"/>
      <c r="AX3317" s="1"/>
      <c r="BE3317" s="1"/>
    </row>
    <row r="3318" spans="1:57" x14ac:dyDescent="0.25">
      <c r="A3318" s="1"/>
      <c r="H3318" s="1"/>
      <c r="O3318" s="1"/>
      <c r="V3318" s="1"/>
      <c r="AC3318" s="1"/>
      <c r="AJ3318" s="1"/>
      <c r="AQ3318" s="1"/>
      <c r="AX3318" s="1"/>
      <c r="BE3318" s="1"/>
    </row>
    <row r="3319" spans="1:57" x14ac:dyDescent="0.25">
      <c r="A3319" s="1"/>
      <c r="H3319" s="1"/>
      <c r="O3319" s="1"/>
      <c r="V3319" s="1"/>
      <c r="AC3319" s="1"/>
      <c r="AJ3319" s="1"/>
      <c r="AQ3319" s="1"/>
      <c r="AX3319" s="1"/>
      <c r="BE3319" s="1"/>
    </row>
    <row r="3320" spans="1:57" x14ac:dyDescent="0.25">
      <c r="A3320" s="1"/>
      <c r="H3320" s="1"/>
      <c r="O3320" s="1"/>
      <c r="V3320" s="1"/>
      <c r="AC3320" s="1"/>
      <c r="AJ3320" s="1"/>
      <c r="AQ3320" s="1"/>
      <c r="AX3320" s="1"/>
      <c r="BE3320" s="1"/>
    </row>
    <row r="3321" spans="1:57" x14ac:dyDescent="0.25">
      <c r="A3321" s="1"/>
      <c r="H3321" s="1"/>
      <c r="O3321" s="1"/>
      <c r="V3321" s="1"/>
      <c r="AC3321" s="1"/>
      <c r="AJ3321" s="1"/>
      <c r="AQ3321" s="1"/>
      <c r="AX3321" s="1"/>
      <c r="BE3321" s="1"/>
    </row>
    <row r="3322" spans="1:57" x14ac:dyDescent="0.25">
      <c r="A3322" s="1"/>
      <c r="H3322" s="1"/>
      <c r="O3322" s="1"/>
      <c r="V3322" s="1"/>
      <c r="AC3322" s="1"/>
      <c r="AJ3322" s="1"/>
      <c r="AQ3322" s="1"/>
      <c r="AX3322" s="1"/>
      <c r="BE3322" s="1"/>
    </row>
    <row r="3323" spans="1:57" x14ac:dyDescent="0.25">
      <c r="A3323" s="1"/>
      <c r="H3323" s="1"/>
      <c r="O3323" s="1"/>
      <c r="V3323" s="1"/>
      <c r="AC3323" s="1"/>
      <c r="AJ3323" s="1"/>
      <c r="AQ3323" s="1"/>
      <c r="AX3323" s="1"/>
      <c r="BE3323" s="1"/>
    </row>
    <row r="3324" spans="1:57" x14ac:dyDescent="0.25">
      <c r="A3324" s="1"/>
      <c r="H3324" s="1"/>
      <c r="O3324" s="1"/>
      <c r="V3324" s="1"/>
      <c r="AC3324" s="1"/>
      <c r="AJ3324" s="1"/>
      <c r="AQ3324" s="1"/>
      <c r="AX3324" s="1"/>
      <c r="BE3324" s="1"/>
    </row>
    <row r="3325" spans="1:57" x14ac:dyDescent="0.25">
      <c r="A3325" s="1"/>
      <c r="H3325" s="1"/>
      <c r="O3325" s="1"/>
      <c r="V3325" s="1"/>
      <c r="AC3325" s="1"/>
      <c r="AJ3325" s="1"/>
      <c r="AQ3325" s="1"/>
      <c r="AX3325" s="1"/>
      <c r="BE3325" s="1"/>
    </row>
    <row r="3326" spans="1:57" x14ac:dyDescent="0.25">
      <c r="A3326" s="1"/>
      <c r="H3326" s="1"/>
      <c r="O3326" s="1"/>
      <c r="V3326" s="1"/>
      <c r="AC3326" s="1"/>
      <c r="AJ3326" s="1"/>
      <c r="AQ3326" s="1"/>
      <c r="AX3326" s="1"/>
      <c r="BE3326" s="1"/>
    </row>
    <row r="3327" spans="1:57" x14ac:dyDescent="0.25">
      <c r="A3327" s="1"/>
      <c r="H3327" s="1"/>
      <c r="O3327" s="1"/>
      <c r="V3327" s="1"/>
      <c r="AC3327" s="1"/>
      <c r="AJ3327" s="1"/>
      <c r="AQ3327" s="1"/>
      <c r="AX3327" s="1"/>
      <c r="BE3327" s="1"/>
    </row>
    <row r="3328" spans="1:57" x14ac:dyDescent="0.25">
      <c r="A3328" s="1"/>
      <c r="H3328" s="1"/>
      <c r="O3328" s="1"/>
      <c r="V3328" s="1"/>
      <c r="AC3328" s="1"/>
      <c r="AJ3328" s="1"/>
      <c r="AQ3328" s="1"/>
      <c r="AX3328" s="1"/>
      <c r="BE3328" s="1"/>
    </row>
    <row r="3329" spans="1:57" x14ac:dyDescent="0.25">
      <c r="A3329" s="1"/>
      <c r="H3329" s="1"/>
      <c r="O3329" s="1"/>
      <c r="V3329" s="1"/>
      <c r="AC3329" s="1"/>
      <c r="AJ3329" s="1"/>
      <c r="AQ3329" s="1"/>
      <c r="AX3329" s="1"/>
      <c r="BE3329" s="1"/>
    </row>
    <row r="3330" spans="1:57" x14ac:dyDescent="0.25">
      <c r="A3330" s="1"/>
      <c r="H3330" s="1"/>
      <c r="O3330" s="1"/>
      <c r="V3330" s="1"/>
      <c r="AC3330" s="1"/>
      <c r="AJ3330" s="1"/>
      <c r="AQ3330" s="1"/>
      <c r="AX3330" s="1"/>
      <c r="BE3330" s="1"/>
    </row>
    <row r="3331" spans="1:57" x14ac:dyDescent="0.25">
      <c r="A3331" s="1"/>
      <c r="H3331" s="1"/>
      <c r="O3331" s="1"/>
      <c r="V3331" s="1"/>
      <c r="AC3331" s="1"/>
      <c r="AJ3331" s="1"/>
      <c r="AQ3331" s="1"/>
      <c r="AX3331" s="1"/>
      <c r="BE3331" s="1"/>
    </row>
    <row r="3332" spans="1:57" x14ac:dyDescent="0.25">
      <c r="A3332" s="1"/>
      <c r="H3332" s="1"/>
      <c r="O3332" s="1"/>
      <c r="V3332" s="1"/>
      <c r="AC3332" s="1"/>
      <c r="AJ3332" s="1"/>
      <c r="AQ3332" s="1"/>
      <c r="AX3332" s="1"/>
      <c r="BE3332" s="1"/>
    </row>
    <row r="3333" spans="1:57" x14ac:dyDescent="0.25">
      <c r="A3333" s="1"/>
      <c r="H3333" s="1"/>
      <c r="O3333" s="1"/>
      <c r="V3333" s="1"/>
      <c r="AC3333" s="1"/>
      <c r="AJ3333" s="1"/>
      <c r="AQ3333" s="1"/>
      <c r="AX3333" s="1"/>
      <c r="BE3333" s="1"/>
    </row>
    <row r="3334" spans="1:57" x14ac:dyDescent="0.25">
      <c r="A3334" s="1"/>
      <c r="H3334" s="1"/>
      <c r="O3334" s="1"/>
      <c r="V3334" s="1"/>
      <c r="AC3334" s="1"/>
      <c r="AJ3334" s="1"/>
      <c r="AQ3334" s="1"/>
      <c r="AX3334" s="1"/>
      <c r="BE3334" s="1"/>
    </row>
    <row r="3335" spans="1:57" x14ac:dyDescent="0.25">
      <c r="A3335" s="1"/>
      <c r="H3335" s="1"/>
      <c r="O3335" s="1"/>
      <c r="V3335" s="1"/>
      <c r="AC3335" s="1"/>
      <c r="AJ3335" s="1"/>
      <c r="AQ3335" s="1"/>
      <c r="AX3335" s="1"/>
      <c r="BE3335" s="1"/>
    </row>
    <row r="3336" spans="1:57" x14ac:dyDescent="0.25">
      <c r="A3336" s="1"/>
      <c r="H3336" s="1"/>
      <c r="O3336" s="1"/>
      <c r="V3336" s="1"/>
      <c r="AC3336" s="1"/>
      <c r="AJ3336" s="1"/>
      <c r="AQ3336" s="1"/>
      <c r="AX3336" s="1"/>
      <c r="BE3336" s="1"/>
    </row>
    <row r="3337" spans="1:57" x14ac:dyDescent="0.25">
      <c r="A3337" s="1"/>
      <c r="H3337" s="1"/>
      <c r="O3337" s="1"/>
      <c r="V3337" s="1"/>
      <c r="AC3337" s="1"/>
      <c r="AJ3337" s="1"/>
      <c r="AQ3337" s="1"/>
      <c r="AX3337" s="1"/>
      <c r="BE3337" s="1"/>
    </row>
    <row r="3338" spans="1:57" x14ac:dyDescent="0.25">
      <c r="A3338" s="1"/>
      <c r="H3338" s="1"/>
      <c r="O3338" s="1"/>
      <c r="V3338" s="1"/>
      <c r="AC3338" s="1"/>
      <c r="AJ3338" s="1"/>
      <c r="AQ3338" s="1"/>
      <c r="AX3338" s="1"/>
      <c r="BE3338" s="1"/>
    </row>
    <row r="3339" spans="1:57" x14ac:dyDescent="0.25">
      <c r="A3339" s="1"/>
      <c r="H3339" s="1"/>
      <c r="O3339" s="1"/>
      <c r="V3339" s="1"/>
      <c r="AC3339" s="1"/>
      <c r="AJ3339" s="1"/>
      <c r="AQ3339" s="1"/>
      <c r="AX3339" s="1"/>
      <c r="BE3339" s="1"/>
    </row>
    <row r="3340" spans="1:57" x14ac:dyDescent="0.25">
      <c r="A3340" s="1"/>
      <c r="H3340" s="1"/>
      <c r="O3340" s="1"/>
      <c r="V3340" s="1"/>
      <c r="AC3340" s="1"/>
      <c r="AJ3340" s="1"/>
      <c r="AQ3340" s="1"/>
      <c r="AX3340" s="1"/>
      <c r="BE3340" s="1"/>
    </row>
    <row r="3341" spans="1:57" x14ac:dyDescent="0.25">
      <c r="A3341" s="1"/>
      <c r="H3341" s="1"/>
      <c r="O3341" s="1"/>
      <c r="V3341" s="1"/>
      <c r="AC3341" s="1"/>
      <c r="AJ3341" s="1"/>
      <c r="AQ3341" s="1"/>
      <c r="AX3341" s="1"/>
      <c r="BE3341" s="1"/>
    </row>
    <row r="3342" spans="1:57" x14ac:dyDescent="0.25">
      <c r="A3342" s="1"/>
      <c r="H3342" s="1"/>
      <c r="O3342" s="1"/>
      <c r="V3342" s="1"/>
      <c r="AC3342" s="1"/>
      <c r="AJ3342" s="1"/>
      <c r="AQ3342" s="1"/>
      <c r="AX3342" s="1"/>
      <c r="BE3342" s="1"/>
    </row>
    <row r="3343" spans="1:57" x14ac:dyDescent="0.25">
      <c r="A3343" s="1"/>
      <c r="H3343" s="1"/>
      <c r="O3343" s="1"/>
      <c r="V3343" s="1"/>
      <c r="AC3343" s="1"/>
      <c r="AJ3343" s="1"/>
      <c r="AQ3343" s="1"/>
      <c r="AX3343" s="1"/>
      <c r="BE3343" s="1"/>
    </row>
    <row r="3344" spans="1:57" x14ac:dyDescent="0.25">
      <c r="A3344" s="1"/>
      <c r="H3344" s="1"/>
      <c r="O3344" s="1"/>
      <c r="V3344" s="1"/>
      <c r="AC3344" s="1"/>
      <c r="AJ3344" s="1"/>
      <c r="AQ3344" s="1"/>
      <c r="AX3344" s="1"/>
      <c r="BE3344" s="1"/>
    </row>
    <row r="3345" spans="1:57" x14ac:dyDescent="0.25">
      <c r="A3345" s="1"/>
      <c r="H3345" s="1"/>
      <c r="O3345" s="1"/>
      <c r="V3345" s="1"/>
      <c r="AC3345" s="1"/>
      <c r="AJ3345" s="1"/>
      <c r="AQ3345" s="1"/>
      <c r="AX3345" s="1"/>
      <c r="BE3345" s="1"/>
    </row>
    <row r="3346" spans="1:57" x14ac:dyDescent="0.25">
      <c r="A3346" s="1"/>
      <c r="H3346" s="1"/>
      <c r="O3346" s="1"/>
      <c r="V3346" s="1"/>
      <c r="AC3346" s="1"/>
      <c r="AJ3346" s="1"/>
      <c r="AQ3346" s="1"/>
      <c r="AX3346" s="1"/>
      <c r="BE3346" s="1"/>
    </row>
    <row r="3347" spans="1:57" x14ac:dyDescent="0.25">
      <c r="A3347" s="1"/>
      <c r="H3347" s="1"/>
      <c r="O3347" s="1"/>
      <c r="V3347" s="1"/>
      <c r="AC3347" s="1"/>
      <c r="AJ3347" s="1"/>
      <c r="AQ3347" s="1"/>
      <c r="AX3347" s="1"/>
      <c r="BE3347" s="1"/>
    </row>
    <row r="3348" spans="1:57" x14ac:dyDescent="0.25">
      <c r="A3348" s="1"/>
      <c r="H3348" s="1"/>
      <c r="O3348" s="1"/>
      <c r="V3348" s="1"/>
      <c r="AC3348" s="1"/>
      <c r="AJ3348" s="1"/>
      <c r="AQ3348" s="1"/>
      <c r="AX3348" s="1"/>
      <c r="BE3348" s="1"/>
    </row>
    <row r="3349" spans="1:57" x14ac:dyDescent="0.25">
      <c r="A3349" s="1"/>
      <c r="H3349" s="1"/>
      <c r="O3349" s="1"/>
      <c r="V3349" s="1"/>
      <c r="AC3349" s="1"/>
      <c r="AJ3349" s="1"/>
      <c r="AQ3349" s="1"/>
      <c r="AX3349" s="1"/>
      <c r="BE3349" s="1"/>
    </row>
    <row r="3350" spans="1:57" x14ac:dyDescent="0.25">
      <c r="A3350" s="1"/>
      <c r="H3350" s="1"/>
      <c r="O3350" s="1"/>
      <c r="V3350" s="1"/>
      <c r="AC3350" s="1"/>
      <c r="AJ3350" s="1"/>
      <c r="AQ3350" s="1"/>
      <c r="AX3350" s="1"/>
      <c r="BE3350" s="1"/>
    </row>
    <row r="3351" spans="1:57" x14ac:dyDescent="0.25">
      <c r="A3351" s="1"/>
      <c r="H3351" s="1"/>
      <c r="O3351" s="1"/>
      <c r="V3351" s="1"/>
      <c r="AC3351" s="1"/>
      <c r="AJ3351" s="1"/>
      <c r="AQ3351" s="1"/>
      <c r="AX3351" s="1"/>
      <c r="BE3351" s="1"/>
    </row>
    <row r="3352" spans="1:57" x14ac:dyDescent="0.25">
      <c r="A3352" s="1"/>
      <c r="H3352" s="1"/>
      <c r="O3352" s="1"/>
      <c r="V3352" s="1"/>
      <c r="AC3352" s="1"/>
      <c r="AJ3352" s="1"/>
      <c r="AQ3352" s="1"/>
      <c r="AX3352" s="1"/>
      <c r="BE3352" s="1"/>
    </row>
    <row r="3353" spans="1:57" x14ac:dyDescent="0.25">
      <c r="A3353" s="1"/>
      <c r="H3353" s="1"/>
      <c r="O3353" s="1"/>
      <c r="V3353" s="1"/>
      <c r="AC3353" s="1"/>
      <c r="AJ3353" s="1"/>
      <c r="AQ3353" s="1"/>
      <c r="AX3353" s="1"/>
      <c r="BE3353" s="1"/>
    </row>
    <row r="3354" spans="1:57" x14ac:dyDescent="0.25">
      <c r="A3354" s="1"/>
      <c r="H3354" s="1"/>
      <c r="O3354" s="1"/>
      <c r="V3354" s="1"/>
      <c r="AC3354" s="1"/>
      <c r="AJ3354" s="1"/>
      <c r="AQ3354" s="1"/>
      <c r="AX3354" s="1"/>
      <c r="BE3354" s="1"/>
    </row>
    <row r="3355" spans="1:57" x14ac:dyDescent="0.25">
      <c r="A3355" s="1"/>
      <c r="H3355" s="1"/>
      <c r="O3355" s="1"/>
      <c r="V3355" s="1"/>
      <c r="AC3355" s="1"/>
      <c r="AJ3355" s="1"/>
      <c r="AQ3355" s="1"/>
      <c r="AX3355" s="1"/>
      <c r="BE3355" s="1"/>
    </row>
    <row r="3356" spans="1:57" x14ac:dyDescent="0.25">
      <c r="A3356" s="1"/>
      <c r="H3356" s="1"/>
      <c r="O3356" s="1"/>
      <c r="V3356" s="1"/>
      <c r="AC3356" s="1"/>
      <c r="AJ3356" s="1"/>
      <c r="AQ3356" s="1"/>
      <c r="AX3356" s="1"/>
      <c r="BE3356" s="1"/>
    </row>
    <row r="3357" spans="1:57" x14ac:dyDescent="0.25">
      <c r="A3357" s="1"/>
      <c r="H3357" s="1"/>
      <c r="O3357" s="1"/>
      <c r="V3357" s="1"/>
      <c r="AC3357" s="1"/>
      <c r="AJ3357" s="1"/>
      <c r="AQ3357" s="1"/>
      <c r="AX3357" s="1"/>
      <c r="BE3357" s="1"/>
    </row>
    <row r="3358" spans="1:57" x14ac:dyDescent="0.25">
      <c r="A3358" s="1"/>
      <c r="H3358" s="1"/>
      <c r="O3358" s="1"/>
      <c r="V3358" s="1"/>
      <c r="AC3358" s="1"/>
      <c r="AJ3358" s="1"/>
      <c r="AQ3358" s="1"/>
      <c r="AX3358" s="1"/>
      <c r="BE3358" s="1"/>
    </row>
    <row r="3359" spans="1:57" x14ac:dyDescent="0.25">
      <c r="A3359" s="1"/>
      <c r="H3359" s="1"/>
      <c r="O3359" s="1"/>
      <c r="V3359" s="1"/>
      <c r="AC3359" s="1"/>
      <c r="AJ3359" s="1"/>
      <c r="AQ3359" s="1"/>
      <c r="AX3359" s="1"/>
      <c r="BE3359" s="1"/>
    </row>
    <row r="3360" spans="1:57" x14ac:dyDescent="0.25">
      <c r="A3360" s="1"/>
      <c r="H3360" s="1"/>
      <c r="O3360" s="1"/>
      <c r="V3360" s="1"/>
      <c r="AC3360" s="1"/>
      <c r="AJ3360" s="1"/>
      <c r="AQ3360" s="1"/>
      <c r="AX3360" s="1"/>
      <c r="BE3360" s="1"/>
    </row>
    <row r="3361" spans="1:57" x14ac:dyDescent="0.25">
      <c r="A3361" s="1"/>
      <c r="H3361" s="1"/>
      <c r="O3361" s="1"/>
      <c r="V3361" s="1"/>
      <c r="AC3361" s="1"/>
      <c r="AJ3361" s="1"/>
      <c r="AQ3361" s="1"/>
      <c r="AX3361" s="1"/>
      <c r="BE3361" s="1"/>
    </row>
    <row r="3362" spans="1:57" x14ac:dyDescent="0.25">
      <c r="A3362" s="1"/>
      <c r="H3362" s="1"/>
      <c r="O3362" s="1"/>
      <c r="V3362" s="1"/>
      <c r="AC3362" s="1"/>
      <c r="AJ3362" s="1"/>
      <c r="AQ3362" s="1"/>
      <c r="AX3362" s="1"/>
      <c r="BE3362" s="1"/>
    </row>
    <row r="3363" spans="1:57" x14ac:dyDescent="0.25">
      <c r="A3363" s="1"/>
      <c r="H3363" s="1"/>
      <c r="O3363" s="1"/>
      <c r="V3363" s="1"/>
      <c r="AC3363" s="1"/>
      <c r="AJ3363" s="1"/>
      <c r="AQ3363" s="1"/>
      <c r="AX3363" s="1"/>
      <c r="BE3363" s="1"/>
    </row>
    <row r="3364" spans="1:57" x14ac:dyDescent="0.25">
      <c r="A3364" s="1"/>
      <c r="H3364" s="1"/>
      <c r="O3364" s="1"/>
      <c r="V3364" s="1"/>
      <c r="AC3364" s="1"/>
      <c r="AJ3364" s="1"/>
      <c r="AQ3364" s="1"/>
      <c r="AX3364" s="1"/>
      <c r="BE3364" s="1"/>
    </row>
    <row r="3365" spans="1:57" x14ac:dyDescent="0.25">
      <c r="A3365" s="1"/>
      <c r="H3365" s="1"/>
      <c r="O3365" s="1"/>
      <c r="V3365" s="1"/>
      <c r="AC3365" s="1"/>
      <c r="AJ3365" s="1"/>
      <c r="AQ3365" s="1"/>
      <c r="AX3365" s="1"/>
      <c r="BE3365" s="1"/>
    </row>
    <row r="3366" spans="1:57" x14ac:dyDescent="0.25">
      <c r="A3366" s="1"/>
      <c r="H3366" s="1"/>
      <c r="O3366" s="1"/>
      <c r="V3366" s="1"/>
      <c r="AC3366" s="1"/>
      <c r="AJ3366" s="1"/>
      <c r="AQ3366" s="1"/>
      <c r="AX3366" s="1"/>
      <c r="BE3366" s="1"/>
    </row>
    <row r="3367" spans="1:57" x14ac:dyDescent="0.25">
      <c r="A3367" s="1"/>
      <c r="H3367" s="1"/>
      <c r="O3367" s="1"/>
      <c r="V3367" s="1"/>
      <c r="AC3367" s="1"/>
      <c r="AJ3367" s="1"/>
      <c r="AQ3367" s="1"/>
      <c r="AX3367" s="1"/>
      <c r="BE3367" s="1"/>
    </row>
    <row r="3368" spans="1:57" x14ac:dyDescent="0.25">
      <c r="A3368" s="1"/>
      <c r="H3368" s="1"/>
      <c r="O3368" s="1"/>
      <c r="V3368" s="1"/>
      <c r="AC3368" s="1"/>
      <c r="AJ3368" s="1"/>
      <c r="AQ3368" s="1"/>
      <c r="AX3368" s="1"/>
      <c r="BE3368" s="1"/>
    </row>
    <row r="3369" spans="1:57" x14ac:dyDescent="0.25">
      <c r="A3369" s="1"/>
      <c r="H3369" s="1"/>
      <c r="O3369" s="1"/>
      <c r="V3369" s="1"/>
      <c r="AC3369" s="1"/>
      <c r="AJ3369" s="1"/>
      <c r="AQ3369" s="1"/>
      <c r="AX3369" s="1"/>
      <c r="BE3369" s="1"/>
    </row>
    <row r="3370" spans="1:57" x14ac:dyDescent="0.25">
      <c r="A3370" s="1"/>
      <c r="H3370" s="1"/>
      <c r="O3370" s="1"/>
      <c r="V3370" s="1"/>
      <c r="AC3370" s="1"/>
      <c r="AJ3370" s="1"/>
      <c r="AQ3370" s="1"/>
      <c r="AX3370" s="1"/>
      <c r="BE3370" s="1"/>
    </row>
    <row r="3371" spans="1:57" x14ac:dyDescent="0.25">
      <c r="A3371" s="1"/>
      <c r="H3371" s="1"/>
      <c r="O3371" s="1"/>
      <c r="V3371" s="1"/>
      <c r="AC3371" s="1"/>
      <c r="AJ3371" s="1"/>
      <c r="AQ3371" s="1"/>
      <c r="AX3371" s="1"/>
      <c r="BE3371" s="1"/>
    </row>
    <row r="3372" spans="1:57" x14ac:dyDescent="0.25">
      <c r="A3372" s="1"/>
      <c r="H3372" s="1"/>
      <c r="O3372" s="1"/>
      <c r="V3372" s="1"/>
      <c r="AC3372" s="1"/>
      <c r="AJ3372" s="1"/>
      <c r="AQ3372" s="1"/>
      <c r="AX3372" s="1"/>
      <c r="BE3372" s="1"/>
    </row>
    <row r="3373" spans="1:57" x14ac:dyDescent="0.25">
      <c r="A3373" s="1"/>
      <c r="H3373" s="1"/>
      <c r="O3373" s="1"/>
      <c r="V3373" s="1"/>
      <c r="AC3373" s="1"/>
      <c r="AJ3373" s="1"/>
      <c r="AQ3373" s="1"/>
      <c r="AX3373" s="1"/>
      <c r="BE3373" s="1"/>
    </row>
    <row r="3374" spans="1:57" x14ac:dyDescent="0.25">
      <c r="A3374" s="1"/>
      <c r="H3374" s="1"/>
      <c r="O3374" s="1"/>
      <c r="V3374" s="1"/>
      <c r="AC3374" s="1"/>
      <c r="AJ3374" s="1"/>
      <c r="AQ3374" s="1"/>
      <c r="AX3374" s="1"/>
      <c r="BE3374" s="1"/>
    </row>
    <row r="3375" spans="1:57" x14ac:dyDescent="0.25">
      <c r="A3375" s="1"/>
      <c r="H3375" s="1"/>
      <c r="O3375" s="1"/>
      <c r="V3375" s="1"/>
      <c r="AC3375" s="1"/>
      <c r="AJ3375" s="1"/>
      <c r="AQ3375" s="1"/>
      <c r="AX3375" s="1"/>
      <c r="BE3375" s="1"/>
    </row>
    <row r="3376" spans="1:57" x14ac:dyDescent="0.25">
      <c r="A3376" s="1"/>
      <c r="H3376" s="1"/>
      <c r="O3376" s="1"/>
      <c r="V3376" s="1"/>
      <c r="AC3376" s="1"/>
      <c r="AJ3376" s="1"/>
      <c r="AQ3376" s="1"/>
      <c r="AX3376" s="1"/>
      <c r="BE3376" s="1"/>
    </row>
    <row r="3377" spans="1:57" x14ac:dyDescent="0.25">
      <c r="A3377" s="1"/>
      <c r="H3377" s="1"/>
      <c r="O3377" s="1"/>
      <c r="V3377" s="1"/>
      <c r="AC3377" s="1"/>
      <c r="AJ3377" s="1"/>
      <c r="AQ3377" s="1"/>
      <c r="AX3377" s="1"/>
      <c r="BE3377" s="1"/>
    </row>
    <row r="3378" spans="1:57" x14ac:dyDescent="0.25">
      <c r="A3378" s="1"/>
      <c r="H3378" s="1"/>
      <c r="O3378" s="1"/>
      <c r="V3378" s="1"/>
      <c r="AC3378" s="1"/>
      <c r="AJ3378" s="1"/>
      <c r="AQ3378" s="1"/>
      <c r="AX3378" s="1"/>
      <c r="BE3378" s="1"/>
    </row>
    <row r="3379" spans="1:57" x14ac:dyDescent="0.25">
      <c r="A3379" s="1"/>
      <c r="H3379" s="1"/>
      <c r="O3379" s="1"/>
      <c r="V3379" s="1"/>
      <c r="AC3379" s="1"/>
      <c r="AJ3379" s="1"/>
      <c r="AQ3379" s="1"/>
      <c r="AX3379" s="1"/>
      <c r="BE3379" s="1"/>
    </row>
    <row r="3380" spans="1:57" x14ac:dyDescent="0.25">
      <c r="A3380" s="1"/>
      <c r="H3380" s="1"/>
      <c r="O3380" s="1"/>
      <c r="V3380" s="1"/>
      <c r="AC3380" s="1"/>
      <c r="AJ3380" s="1"/>
      <c r="AQ3380" s="1"/>
      <c r="AX3380" s="1"/>
      <c r="BE3380" s="1"/>
    </row>
    <row r="3381" spans="1:57" x14ac:dyDescent="0.25">
      <c r="A3381" s="1"/>
      <c r="H3381" s="1"/>
      <c r="O3381" s="1"/>
      <c r="V3381" s="1"/>
      <c r="AC3381" s="1"/>
      <c r="AJ3381" s="1"/>
      <c r="AQ3381" s="1"/>
      <c r="AX3381" s="1"/>
      <c r="BE3381" s="1"/>
    </row>
    <row r="3382" spans="1:57" x14ac:dyDescent="0.25">
      <c r="A3382" s="1"/>
      <c r="H3382" s="1"/>
      <c r="O3382" s="1"/>
      <c r="V3382" s="1"/>
      <c r="AC3382" s="1"/>
      <c r="AJ3382" s="1"/>
      <c r="AQ3382" s="1"/>
      <c r="AX3382" s="1"/>
      <c r="BE3382" s="1"/>
    </row>
    <row r="3383" spans="1:57" x14ac:dyDescent="0.25">
      <c r="A3383" s="1"/>
      <c r="H3383" s="1"/>
      <c r="O3383" s="1"/>
      <c r="V3383" s="1"/>
      <c r="AC3383" s="1"/>
      <c r="AJ3383" s="1"/>
      <c r="AQ3383" s="1"/>
      <c r="AX3383" s="1"/>
      <c r="BE3383" s="1"/>
    </row>
    <row r="3384" spans="1:57" x14ac:dyDescent="0.25">
      <c r="A3384" s="1"/>
      <c r="H3384" s="1"/>
      <c r="O3384" s="1"/>
      <c r="V3384" s="1"/>
      <c r="AC3384" s="1"/>
      <c r="AJ3384" s="1"/>
      <c r="AQ3384" s="1"/>
      <c r="AX3384" s="1"/>
      <c r="BE3384" s="1"/>
    </row>
    <row r="3385" spans="1:57" x14ac:dyDescent="0.25">
      <c r="A3385" s="1"/>
      <c r="H3385" s="1"/>
      <c r="O3385" s="1"/>
      <c r="V3385" s="1"/>
      <c r="AC3385" s="1"/>
      <c r="AJ3385" s="1"/>
      <c r="AQ3385" s="1"/>
      <c r="AX3385" s="1"/>
      <c r="BE3385" s="1"/>
    </row>
    <row r="3386" spans="1:57" x14ac:dyDescent="0.25">
      <c r="A3386" s="1"/>
      <c r="H3386" s="1"/>
      <c r="O3386" s="1"/>
      <c r="V3386" s="1"/>
      <c r="AC3386" s="1"/>
      <c r="AJ3386" s="1"/>
      <c r="AQ3386" s="1"/>
      <c r="AX3386" s="1"/>
      <c r="BE3386" s="1"/>
    </row>
    <row r="3387" spans="1:57" x14ac:dyDescent="0.25">
      <c r="A3387" s="1"/>
      <c r="H3387" s="1"/>
      <c r="O3387" s="1"/>
      <c r="V3387" s="1"/>
      <c r="AC3387" s="1"/>
      <c r="AJ3387" s="1"/>
      <c r="AQ3387" s="1"/>
      <c r="AX3387" s="1"/>
      <c r="BE3387" s="1"/>
    </row>
    <row r="3388" spans="1:57" x14ac:dyDescent="0.25">
      <c r="A3388" s="1"/>
      <c r="H3388" s="1"/>
      <c r="O3388" s="1"/>
      <c r="V3388" s="1"/>
      <c r="AC3388" s="1"/>
      <c r="AJ3388" s="1"/>
      <c r="AQ3388" s="1"/>
      <c r="AX3388" s="1"/>
      <c r="BE3388" s="1"/>
    </row>
    <row r="3389" spans="1:57" x14ac:dyDescent="0.25">
      <c r="A3389" s="1"/>
      <c r="H3389" s="1"/>
      <c r="O3389" s="1"/>
      <c r="V3389" s="1"/>
      <c r="AC3389" s="1"/>
      <c r="AJ3389" s="1"/>
      <c r="AQ3389" s="1"/>
      <c r="AX3389" s="1"/>
      <c r="BE3389" s="1"/>
    </row>
    <row r="3390" spans="1:57" x14ac:dyDescent="0.25">
      <c r="A3390" s="1"/>
      <c r="H3390" s="1"/>
      <c r="O3390" s="1"/>
      <c r="V3390" s="1"/>
      <c r="AC3390" s="1"/>
      <c r="AJ3390" s="1"/>
      <c r="AQ3390" s="1"/>
      <c r="AX3390" s="1"/>
      <c r="BE3390" s="1"/>
    </row>
    <row r="3391" spans="1:57" x14ac:dyDescent="0.25">
      <c r="A3391" s="1"/>
      <c r="H3391" s="1"/>
      <c r="O3391" s="1"/>
      <c r="V3391" s="1"/>
      <c r="AC3391" s="1"/>
      <c r="AJ3391" s="1"/>
      <c r="AQ3391" s="1"/>
      <c r="AX3391" s="1"/>
      <c r="BE3391" s="1"/>
    </row>
    <row r="3392" spans="1:57" x14ac:dyDescent="0.25">
      <c r="A3392" s="1"/>
      <c r="H3392" s="1"/>
      <c r="O3392" s="1"/>
      <c r="V3392" s="1"/>
      <c r="AC3392" s="1"/>
      <c r="AJ3392" s="1"/>
      <c r="AQ3392" s="1"/>
      <c r="AX3392" s="1"/>
      <c r="BE3392" s="1"/>
    </row>
    <row r="3393" spans="1:57" x14ac:dyDescent="0.25">
      <c r="A3393" s="1"/>
      <c r="H3393" s="1"/>
      <c r="O3393" s="1"/>
      <c r="V3393" s="1"/>
      <c r="AC3393" s="1"/>
      <c r="AJ3393" s="1"/>
      <c r="AQ3393" s="1"/>
      <c r="AX3393" s="1"/>
      <c r="BE3393" s="1"/>
    </row>
    <row r="3394" spans="1:57" x14ac:dyDescent="0.25">
      <c r="A3394" s="1"/>
      <c r="H3394" s="1"/>
      <c r="O3394" s="1"/>
      <c r="V3394" s="1"/>
      <c r="AC3394" s="1"/>
      <c r="AJ3394" s="1"/>
      <c r="AQ3394" s="1"/>
      <c r="AX3394" s="1"/>
      <c r="BE3394" s="1"/>
    </row>
    <row r="3395" spans="1:57" x14ac:dyDescent="0.25">
      <c r="A3395" s="1"/>
      <c r="H3395" s="1"/>
      <c r="O3395" s="1"/>
      <c r="V3395" s="1"/>
      <c r="AC3395" s="1"/>
      <c r="AJ3395" s="1"/>
      <c r="AQ3395" s="1"/>
      <c r="AX3395" s="1"/>
      <c r="BE3395" s="1"/>
    </row>
    <row r="3396" spans="1:57" x14ac:dyDescent="0.25">
      <c r="A3396" s="1"/>
      <c r="H3396" s="1"/>
      <c r="O3396" s="1"/>
      <c r="V3396" s="1"/>
      <c r="AC3396" s="1"/>
      <c r="AJ3396" s="1"/>
      <c r="AQ3396" s="1"/>
      <c r="AX3396" s="1"/>
      <c r="BE3396" s="1"/>
    </row>
    <row r="3397" spans="1:57" x14ac:dyDescent="0.25">
      <c r="A3397" s="1"/>
      <c r="H3397" s="1"/>
      <c r="O3397" s="1"/>
      <c r="V3397" s="1"/>
      <c r="AC3397" s="1"/>
      <c r="AJ3397" s="1"/>
      <c r="AQ3397" s="1"/>
      <c r="AX3397" s="1"/>
      <c r="BE3397" s="1"/>
    </row>
    <row r="3398" spans="1:57" x14ac:dyDescent="0.25">
      <c r="A3398" s="1"/>
      <c r="H3398" s="1"/>
      <c r="O3398" s="1"/>
      <c r="V3398" s="1"/>
      <c r="AC3398" s="1"/>
      <c r="AJ3398" s="1"/>
      <c r="AQ3398" s="1"/>
      <c r="AX3398" s="1"/>
      <c r="BE3398" s="1"/>
    </row>
    <row r="3399" spans="1:57" x14ac:dyDescent="0.25">
      <c r="A3399" s="1"/>
      <c r="H3399" s="1"/>
      <c r="O3399" s="1"/>
      <c r="V3399" s="1"/>
      <c r="AC3399" s="1"/>
      <c r="AJ3399" s="1"/>
      <c r="AQ3399" s="1"/>
      <c r="AX3399" s="1"/>
      <c r="BE3399" s="1"/>
    </row>
    <row r="3400" spans="1:57" x14ac:dyDescent="0.25">
      <c r="A3400" s="1"/>
      <c r="H3400" s="1"/>
      <c r="O3400" s="1"/>
      <c r="V3400" s="1"/>
      <c r="AC3400" s="1"/>
      <c r="AJ3400" s="1"/>
      <c r="AQ3400" s="1"/>
      <c r="AX3400" s="1"/>
      <c r="BE3400" s="1"/>
    </row>
    <row r="3401" spans="1:57" x14ac:dyDescent="0.25">
      <c r="A3401" s="1"/>
      <c r="H3401" s="1"/>
      <c r="O3401" s="1"/>
      <c r="V3401" s="1"/>
      <c r="AC3401" s="1"/>
      <c r="AJ3401" s="1"/>
      <c r="AQ3401" s="1"/>
      <c r="AX3401" s="1"/>
      <c r="BE3401" s="1"/>
    </row>
    <row r="3402" spans="1:57" x14ac:dyDescent="0.25">
      <c r="A3402" s="1"/>
      <c r="H3402" s="1"/>
      <c r="O3402" s="1"/>
      <c r="V3402" s="1"/>
      <c r="AC3402" s="1"/>
      <c r="AJ3402" s="1"/>
      <c r="AQ3402" s="1"/>
      <c r="AX3402" s="1"/>
      <c r="BE3402" s="1"/>
    </row>
    <row r="3403" spans="1:57" x14ac:dyDescent="0.25">
      <c r="A3403" s="1"/>
      <c r="H3403" s="1"/>
      <c r="O3403" s="1"/>
      <c r="V3403" s="1"/>
      <c r="AC3403" s="1"/>
      <c r="AJ3403" s="1"/>
      <c r="AQ3403" s="1"/>
      <c r="AX3403" s="1"/>
      <c r="BE3403" s="1"/>
    </row>
    <row r="3404" spans="1:57" x14ac:dyDescent="0.25">
      <c r="A3404" s="1"/>
      <c r="H3404" s="1"/>
      <c r="O3404" s="1"/>
      <c r="V3404" s="1"/>
      <c r="AC3404" s="1"/>
      <c r="AJ3404" s="1"/>
      <c r="AQ3404" s="1"/>
      <c r="AX3404" s="1"/>
      <c r="BE3404" s="1"/>
    </row>
    <row r="3405" spans="1:57" x14ac:dyDescent="0.25">
      <c r="A3405" s="1"/>
      <c r="H3405" s="1"/>
      <c r="O3405" s="1"/>
      <c r="V3405" s="1"/>
      <c r="AC3405" s="1"/>
      <c r="AJ3405" s="1"/>
      <c r="AQ3405" s="1"/>
      <c r="AX3405" s="1"/>
      <c r="BE3405" s="1"/>
    </row>
    <row r="3406" spans="1:57" x14ac:dyDescent="0.25">
      <c r="A3406" s="1"/>
      <c r="H3406" s="1"/>
      <c r="O3406" s="1"/>
      <c r="V3406" s="1"/>
      <c r="AC3406" s="1"/>
      <c r="AJ3406" s="1"/>
      <c r="AQ3406" s="1"/>
      <c r="AX3406" s="1"/>
      <c r="BE3406" s="1"/>
    </row>
    <row r="3407" spans="1:57" x14ac:dyDescent="0.25">
      <c r="A3407" s="1"/>
      <c r="H3407" s="1"/>
      <c r="O3407" s="1"/>
      <c r="V3407" s="1"/>
      <c r="AC3407" s="1"/>
      <c r="AJ3407" s="1"/>
      <c r="AQ3407" s="1"/>
      <c r="AX3407" s="1"/>
      <c r="BE3407" s="1"/>
    </row>
    <row r="3408" spans="1:57" x14ac:dyDescent="0.25">
      <c r="A3408" s="1"/>
      <c r="H3408" s="1"/>
      <c r="O3408" s="1"/>
      <c r="V3408" s="1"/>
      <c r="AC3408" s="1"/>
      <c r="AJ3408" s="1"/>
      <c r="AQ3408" s="1"/>
      <c r="AX3408" s="1"/>
      <c r="BE3408" s="1"/>
    </row>
    <row r="3409" spans="1:57" x14ac:dyDescent="0.25">
      <c r="A3409" s="1"/>
      <c r="H3409" s="1"/>
      <c r="O3409" s="1"/>
      <c r="V3409" s="1"/>
      <c r="AC3409" s="1"/>
      <c r="AJ3409" s="1"/>
      <c r="AQ3409" s="1"/>
      <c r="AX3409" s="1"/>
      <c r="BE3409" s="1"/>
    </row>
    <row r="3410" spans="1:57" x14ac:dyDescent="0.25">
      <c r="A3410" s="1"/>
      <c r="H3410" s="1"/>
      <c r="O3410" s="1"/>
      <c r="V3410" s="1"/>
      <c r="AC3410" s="1"/>
      <c r="AJ3410" s="1"/>
      <c r="AQ3410" s="1"/>
      <c r="AX3410" s="1"/>
      <c r="BE3410" s="1"/>
    </row>
    <row r="3411" spans="1:57" x14ac:dyDescent="0.25">
      <c r="A3411" s="1"/>
      <c r="H3411" s="1"/>
      <c r="O3411" s="1"/>
      <c r="V3411" s="1"/>
      <c r="AC3411" s="1"/>
      <c r="AJ3411" s="1"/>
      <c r="AQ3411" s="1"/>
      <c r="AX3411" s="1"/>
      <c r="BE3411" s="1"/>
    </row>
    <row r="3412" spans="1:57" x14ac:dyDescent="0.25">
      <c r="A3412" s="1"/>
      <c r="H3412" s="1"/>
      <c r="O3412" s="1"/>
      <c r="V3412" s="1"/>
      <c r="AC3412" s="1"/>
      <c r="AJ3412" s="1"/>
      <c r="AQ3412" s="1"/>
      <c r="AX3412" s="1"/>
      <c r="BE3412" s="1"/>
    </row>
    <row r="3413" spans="1:57" x14ac:dyDescent="0.25">
      <c r="A3413" s="1"/>
      <c r="H3413" s="1"/>
      <c r="O3413" s="1"/>
      <c r="V3413" s="1"/>
      <c r="AC3413" s="1"/>
      <c r="AJ3413" s="1"/>
      <c r="AQ3413" s="1"/>
      <c r="AX3413" s="1"/>
      <c r="BE3413" s="1"/>
    </row>
    <row r="3414" spans="1:57" x14ac:dyDescent="0.25">
      <c r="A3414" s="1"/>
      <c r="H3414" s="1"/>
      <c r="O3414" s="1"/>
      <c r="V3414" s="1"/>
      <c r="AC3414" s="1"/>
      <c r="AJ3414" s="1"/>
      <c r="AQ3414" s="1"/>
      <c r="AX3414" s="1"/>
      <c r="BE3414" s="1"/>
    </row>
    <row r="3415" spans="1:57" x14ac:dyDescent="0.25">
      <c r="A3415" s="1"/>
      <c r="H3415" s="1"/>
      <c r="O3415" s="1"/>
      <c r="V3415" s="1"/>
      <c r="AC3415" s="1"/>
      <c r="AJ3415" s="1"/>
      <c r="AQ3415" s="1"/>
      <c r="AX3415" s="1"/>
      <c r="BE3415" s="1"/>
    </row>
    <row r="3416" spans="1:57" x14ac:dyDescent="0.25">
      <c r="A3416" s="1"/>
      <c r="H3416" s="1"/>
      <c r="O3416" s="1"/>
      <c r="V3416" s="1"/>
      <c r="AC3416" s="1"/>
      <c r="AJ3416" s="1"/>
      <c r="AQ3416" s="1"/>
      <c r="AX3416" s="1"/>
      <c r="BE3416" s="1"/>
    </row>
    <row r="3417" spans="1:57" x14ac:dyDescent="0.25">
      <c r="A3417" s="1"/>
      <c r="H3417" s="1"/>
      <c r="O3417" s="1"/>
      <c r="V3417" s="1"/>
      <c r="AC3417" s="1"/>
      <c r="AJ3417" s="1"/>
      <c r="AQ3417" s="1"/>
      <c r="AX3417" s="1"/>
      <c r="BE3417" s="1"/>
    </row>
    <row r="3418" spans="1:57" x14ac:dyDescent="0.25">
      <c r="A3418" s="1"/>
      <c r="H3418" s="1"/>
      <c r="O3418" s="1"/>
      <c r="V3418" s="1"/>
      <c r="AC3418" s="1"/>
      <c r="AJ3418" s="1"/>
      <c r="AQ3418" s="1"/>
      <c r="AX3418" s="1"/>
      <c r="BE3418" s="1"/>
    </row>
    <row r="3419" spans="1:57" x14ac:dyDescent="0.25">
      <c r="A3419" s="1"/>
      <c r="H3419" s="1"/>
      <c r="O3419" s="1"/>
      <c r="V3419" s="1"/>
      <c r="AC3419" s="1"/>
      <c r="AJ3419" s="1"/>
      <c r="AQ3419" s="1"/>
      <c r="AX3419" s="1"/>
      <c r="BE3419" s="1"/>
    </row>
    <row r="3420" spans="1:57" x14ac:dyDescent="0.25">
      <c r="A3420" s="1"/>
      <c r="H3420" s="1"/>
      <c r="O3420" s="1"/>
      <c r="V3420" s="1"/>
      <c r="AC3420" s="1"/>
      <c r="AJ3420" s="1"/>
      <c r="AQ3420" s="1"/>
      <c r="AX3420" s="1"/>
      <c r="BE3420" s="1"/>
    </row>
    <row r="3421" spans="1:57" x14ac:dyDescent="0.25">
      <c r="A3421" s="1"/>
      <c r="H3421" s="1"/>
      <c r="O3421" s="1"/>
      <c r="V3421" s="1"/>
      <c r="AC3421" s="1"/>
      <c r="AJ3421" s="1"/>
      <c r="AQ3421" s="1"/>
      <c r="AX3421" s="1"/>
      <c r="BE3421" s="1"/>
    </row>
    <row r="3422" spans="1:57" x14ac:dyDescent="0.25">
      <c r="A3422" s="1"/>
      <c r="H3422" s="1"/>
      <c r="O3422" s="1"/>
      <c r="V3422" s="1"/>
      <c r="AC3422" s="1"/>
      <c r="AJ3422" s="1"/>
      <c r="AQ3422" s="1"/>
      <c r="AX3422" s="1"/>
      <c r="BE3422" s="1"/>
    </row>
    <row r="3423" spans="1:57" x14ac:dyDescent="0.25">
      <c r="A3423" s="1"/>
      <c r="H3423" s="1"/>
      <c r="O3423" s="1"/>
      <c r="V3423" s="1"/>
      <c r="AC3423" s="1"/>
      <c r="AJ3423" s="1"/>
      <c r="AQ3423" s="1"/>
      <c r="AX3423" s="1"/>
      <c r="BE3423" s="1"/>
    </row>
    <row r="3424" spans="1:57" x14ac:dyDescent="0.25">
      <c r="A3424" s="1"/>
      <c r="H3424" s="1"/>
      <c r="O3424" s="1"/>
      <c r="V3424" s="1"/>
      <c r="AC3424" s="1"/>
      <c r="AJ3424" s="1"/>
      <c r="AQ3424" s="1"/>
      <c r="AX3424" s="1"/>
      <c r="BE3424" s="1"/>
    </row>
    <row r="3425" spans="1:57" x14ac:dyDescent="0.25">
      <c r="A3425" s="1"/>
      <c r="H3425" s="1"/>
      <c r="O3425" s="1"/>
      <c r="V3425" s="1"/>
      <c r="AC3425" s="1"/>
      <c r="AJ3425" s="1"/>
      <c r="AQ3425" s="1"/>
      <c r="AX3425" s="1"/>
      <c r="BE3425" s="1"/>
    </row>
    <row r="3426" spans="1:57" x14ac:dyDescent="0.25">
      <c r="A3426" s="1"/>
      <c r="H3426" s="1"/>
      <c r="O3426" s="1"/>
      <c r="V3426" s="1"/>
      <c r="AC3426" s="1"/>
      <c r="AJ3426" s="1"/>
      <c r="AQ3426" s="1"/>
      <c r="AX3426" s="1"/>
      <c r="BE3426" s="1"/>
    </row>
    <row r="3427" spans="1:57" x14ac:dyDescent="0.25">
      <c r="A3427" s="1"/>
      <c r="H3427" s="1"/>
      <c r="O3427" s="1"/>
      <c r="V3427" s="1"/>
      <c r="AC3427" s="1"/>
      <c r="AJ3427" s="1"/>
      <c r="AQ3427" s="1"/>
      <c r="AX3427" s="1"/>
      <c r="BE3427" s="1"/>
    </row>
    <row r="3428" spans="1:57" x14ac:dyDescent="0.25">
      <c r="A3428" s="1"/>
      <c r="H3428" s="1"/>
      <c r="O3428" s="1"/>
      <c r="V3428" s="1"/>
      <c r="AC3428" s="1"/>
      <c r="AJ3428" s="1"/>
      <c r="AQ3428" s="1"/>
      <c r="AX3428" s="1"/>
      <c r="BE3428" s="1"/>
    </row>
    <row r="3429" spans="1:57" x14ac:dyDescent="0.25">
      <c r="A3429" s="1"/>
      <c r="H3429" s="1"/>
      <c r="O3429" s="1"/>
      <c r="V3429" s="1"/>
      <c r="AC3429" s="1"/>
      <c r="AJ3429" s="1"/>
      <c r="AQ3429" s="1"/>
      <c r="AX3429" s="1"/>
      <c r="BE3429" s="1"/>
    </row>
    <row r="3430" spans="1:57" x14ac:dyDescent="0.25">
      <c r="A3430" s="1"/>
      <c r="H3430" s="1"/>
      <c r="O3430" s="1"/>
      <c r="V3430" s="1"/>
      <c r="AC3430" s="1"/>
      <c r="AJ3430" s="1"/>
      <c r="AQ3430" s="1"/>
      <c r="AX3430" s="1"/>
      <c r="BE3430" s="1"/>
    </row>
    <row r="3431" spans="1:57" x14ac:dyDescent="0.25">
      <c r="A3431" s="1"/>
      <c r="H3431" s="1"/>
      <c r="O3431" s="1"/>
      <c r="V3431" s="1"/>
      <c r="AC3431" s="1"/>
      <c r="AJ3431" s="1"/>
      <c r="AQ3431" s="1"/>
      <c r="AX3431" s="1"/>
      <c r="BE3431" s="1"/>
    </row>
    <row r="3432" spans="1:57" x14ac:dyDescent="0.25">
      <c r="A3432" s="1"/>
      <c r="H3432" s="1"/>
      <c r="O3432" s="1"/>
      <c r="V3432" s="1"/>
      <c r="AC3432" s="1"/>
      <c r="AJ3432" s="1"/>
      <c r="AQ3432" s="1"/>
      <c r="AX3432" s="1"/>
      <c r="BE3432" s="1"/>
    </row>
    <row r="3433" spans="1:57" x14ac:dyDescent="0.25">
      <c r="A3433" s="1"/>
      <c r="H3433" s="1"/>
      <c r="O3433" s="1"/>
      <c r="V3433" s="1"/>
      <c r="AC3433" s="1"/>
      <c r="AJ3433" s="1"/>
      <c r="AQ3433" s="1"/>
      <c r="AX3433" s="1"/>
      <c r="BE3433" s="1"/>
    </row>
    <row r="3434" spans="1:57" x14ac:dyDescent="0.25">
      <c r="A3434" s="1"/>
      <c r="H3434" s="1"/>
      <c r="O3434" s="1"/>
      <c r="V3434" s="1"/>
      <c r="AC3434" s="1"/>
      <c r="AJ3434" s="1"/>
      <c r="AQ3434" s="1"/>
      <c r="AX3434" s="1"/>
      <c r="BE3434" s="1"/>
    </row>
    <row r="3435" spans="1:57" x14ac:dyDescent="0.25">
      <c r="A3435" s="1"/>
      <c r="H3435" s="1"/>
      <c r="O3435" s="1"/>
      <c r="V3435" s="1"/>
      <c r="AC3435" s="1"/>
      <c r="AJ3435" s="1"/>
      <c r="AQ3435" s="1"/>
      <c r="AX3435" s="1"/>
      <c r="BE3435" s="1"/>
    </row>
    <row r="3436" spans="1:57" x14ac:dyDescent="0.25">
      <c r="A3436" s="1"/>
      <c r="H3436" s="1"/>
      <c r="O3436" s="1"/>
      <c r="V3436" s="1"/>
      <c r="AC3436" s="1"/>
      <c r="AJ3436" s="1"/>
      <c r="AQ3436" s="1"/>
      <c r="AX3436" s="1"/>
      <c r="BE3436" s="1"/>
    </row>
    <row r="3437" spans="1:57" x14ac:dyDescent="0.25">
      <c r="A3437" s="1"/>
      <c r="H3437" s="1"/>
      <c r="O3437" s="1"/>
      <c r="V3437" s="1"/>
      <c r="AC3437" s="1"/>
      <c r="AJ3437" s="1"/>
      <c r="AQ3437" s="1"/>
      <c r="AX3437" s="1"/>
      <c r="BE3437" s="1"/>
    </row>
    <row r="3438" spans="1:57" x14ac:dyDescent="0.25">
      <c r="A3438" s="1"/>
      <c r="H3438" s="1"/>
      <c r="O3438" s="1"/>
      <c r="V3438" s="1"/>
      <c r="AC3438" s="1"/>
      <c r="AJ3438" s="1"/>
      <c r="AQ3438" s="1"/>
      <c r="AX3438" s="1"/>
      <c r="BE3438" s="1"/>
    </row>
    <row r="3439" spans="1:57" x14ac:dyDescent="0.25">
      <c r="A3439" s="1"/>
      <c r="H3439" s="1"/>
      <c r="O3439" s="1"/>
      <c r="V3439" s="1"/>
      <c r="AC3439" s="1"/>
      <c r="AJ3439" s="1"/>
      <c r="AQ3439" s="1"/>
      <c r="AX3439" s="1"/>
      <c r="BE3439" s="1"/>
    </row>
    <row r="3440" spans="1:57" x14ac:dyDescent="0.25">
      <c r="A3440" s="1"/>
      <c r="H3440" s="1"/>
      <c r="O3440" s="1"/>
      <c r="V3440" s="1"/>
      <c r="AC3440" s="1"/>
      <c r="AJ3440" s="1"/>
      <c r="AQ3440" s="1"/>
      <c r="AX3440" s="1"/>
      <c r="BE3440" s="1"/>
    </row>
    <row r="3441" spans="1:57" x14ac:dyDescent="0.25">
      <c r="A3441" s="1"/>
      <c r="H3441" s="1"/>
      <c r="O3441" s="1"/>
      <c r="V3441" s="1"/>
      <c r="AC3441" s="1"/>
      <c r="AJ3441" s="1"/>
      <c r="AQ3441" s="1"/>
      <c r="AX3441" s="1"/>
      <c r="BE3441" s="1"/>
    </row>
    <row r="3442" spans="1:57" x14ac:dyDescent="0.25">
      <c r="A3442" s="1"/>
      <c r="H3442" s="1"/>
      <c r="O3442" s="1"/>
      <c r="V3442" s="1"/>
      <c r="AC3442" s="1"/>
      <c r="AJ3442" s="1"/>
      <c r="AQ3442" s="1"/>
      <c r="AX3442" s="1"/>
      <c r="BE3442" s="1"/>
    </row>
    <row r="3443" spans="1:57" x14ac:dyDescent="0.25">
      <c r="A3443" s="1"/>
      <c r="H3443" s="1"/>
      <c r="O3443" s="1"/>
      <c r="V3443" s="1"/>
      <c r="AC3443" s="1"/>
      <c r="AJ3443" s="1"/>
      <c r="AQ3443" s="1"/>
      <c r="AX3443" s="1"/>
      <c r="BE3443" s="1"/>
    </row>
    <row r="3444" spans="1:57" x14ac:dyDescent="0.25">
      <c r="A3444" s="1"/>
      <c r="H3444" s="1"/>
      <c r="O3444" s="1"/>
      <c r="V3444" s="1"/>
      <c r="AC3444" s="1"/>
      <c r="AJ3444" s="1"/>
      <c r="AQ3444" s="1"/>
      <c r="AX3444" s="1"/>
      <c r="BE3444" s="1"/>
    </row>
    <row r="3445" spans="1:57" x14ac:dyDescent="0.25">
      <c r="A3445" s="1"/>
      <c r="H3445" s="1"/>
      <c r="O3445" s="1"/>
      <c r="V3445" s="1"/>
      <c r="AC3445" s="1"/>
      <c r="AJ3445" s="1"/>
      <c r="AQ3445" s="1"/>
      <c r="AX3445" s="1"/>
      <c r="BE3445" s="1"/>
    </row>
    <row r="3446" spans="1:57" x14ac:dyDescent="0.25">
      <c r="A3446" s="1"/>
      <c r="H3446" s="1"/>
      <c r="O3446" s="1"/>
      <c r="V3446" s="1"/>
      <c r="AC3446" s="1"/>
      <c r="AJ3446" s="1"/>
      <c r="AQ3446" s="1"/>
      <c r="AX3446" s="1"/>
      <c r="BE3446" s="1"/>
    </row>
    <row r="3447" spans="1:57" x14ac:dyDescent="0.25">
      <c r="A3447" s="1"/>
      <c r="H3447" s="1"/>
      <c r="O3447" s="1"/>
      <c r="V3447" s="1"/>
      <c r="AC3447" s="1"/>
      <c r="AJ3447" s="1"/>
      <c r="AQ3447" s="1"/>
      <c r="AX3447" s="1"/>
      <c r="BE3447" s="1"/>
    </row>
    <row r="3448" spans="1:57" x14ac:dyDescent="0.25">
      <c r="A3448" s="1"/>
      <c r="H3448" s="1"/>
      <c r="O3448" s="1"/>
      <c r="V3448" s="1"/>
      <c r="AC3448" s="1"/>
      <c r="AJ3448" s="1"/>
      <c r="AQ3448" s="1"/>
      <c r="AX3448" s="1"/>
      <c r="BE3448" s="1"/>
    </row>
    <row r="3449" spans="1:57" x14ac:dyDescent="0.25">
      <c r="A3449" s="1"/>
      <c r="H3449" s="1"/>
      <c r="O3449" s="1"/>
      <c r="V3449" s="1"/>
      <c r="AC3449" s="1"/>
      <c r="AJ3449" s="1"/>
      <c r="AQ3449" s="1"/>
      <c r="AX3449" s="1"/>
      <c r="BE3449" s="1"/>
    </row>
    <row r="3450" spans="1:57" x14ac:dyDescent="0.25">
      <c r="A3450" s="1"/>
      <c r="H3450" s="1"/>
      <c r="O3450" s="1"/>
      <c r="V3450" s="1"/>
      <c r="AC3450" s="1"/>
      <c r="AJ3450" s="1"/>
      <c r="AQ3450" s="1"/>
      <c r="AX3450" s="1"/>
      <c r="BE3450" s="1"/>
    </row>
    <row r="3451" spans="1:57" x14ac:dyDescent="0.25">
      <c r="A3451" s="1"/>
      <c r="H3451" s="1"/>
      <c r="O3451" s="1"/>
      <c r="V3451" s="1"/>
      <c r="AC3451" s="1"/>
      <c r="AJ3451" s="1"/>
      <c r="AQ3451" s="1"/>
      <c r="AX3451" s="1"/>
      <c r="BE3451" s="1"/>
    </row>
    <row r="3452" spans="1:57" x14ac:dyDescent="0.25">
      <c r="A3452" s="1"/>
      <c r="H3452" s="1"/>
      <c r="O3452" s="1"/>
      <c r="V3452" s="1"/>
      <c r="AC3452" s="1"/>
      <c r="AJ3452" s="1"/>
      <c r="AQ3452" s="1"/>
      <c r="AX3452" s="1"/>
      <c r="BE3452" s="1"/>
    </row>
    <row r="3453" spans="1:57" x14ac:dyDescent="0.25">
      <c r="A3453" s="1"/>
      <c r="H3453" s="1"/>
      <c r="O3453" s="1"/>
      <c r="V3453" s="1"/>
      <c r="AC3453" s="1"/>
      <c r="AJ3453" s="1"/>
      <c r="AQ3453" s="1"/>
      <c r="AX3453" s="1"/>
      <c r="BE3453" s="1"/>
    </row>
    <row r="3454" spans="1:57" x14ac:dyDescent="0.25">
      <c r="A3454" s="1"/>
      <c r="H3454" s="1"/>
      <c r="O3454" s="1"/>
      <c r="V3454" s="1"/>
      <c r="AC3454" s="1"/>
      <c r="AJ3454" s="1"/>
      <c r="AQ3454" s="1"/>
      <c r="AX3454" s="1"/>
      <c r="BE3454" s="1"/>
    </row>
    <row r="3455" spans="1:57" x14ac:dyDescent="0.25">
      <c r="A3455" s="1"/>
      <c r="H3455" s="1"/>
      <c r="O3455" s="1"/>
      <c r="V3455" s="1"/>
      <c r="AC3455" s="1"/>
      <c r="AJ3455" s="1"/>
      <c r="AQ3455" s="1"/>
      <c r="AX3455" s="1"/>
      <c r="BE3455" s="1"/>
    </row>
    <row r="3456" spans="1:57" x14ac:dyDescent="0.25">
      <c r="A3456" s="1"/>
      <c r="H3456" s="1"/>
      <c r="O3456" s="1"/>
      <c r="V3456" s="1"/>
      <c r="AC3456" s="1"/>
      <c r="AJ3456" s="1"/>
      <c r="AQ3456" s="1"/>
      <c r="AX3456" s="1"/>
      <c r="BE3456" s="1"/>
    </row>
    <row r="3457" spans="1:57" x14ac:dyDescent="0.25">
      <c r="A3457" s="1"/>
      <c r="H3457" s="1"/>
      <c r="O3457" s="1"/>
      <c r="V3457" s="1"/>
      <c r="AC3457" s="1"/>
      <c r="AJ3457" s="1"/>
      <c r="AQ3457" s="1"/>
      <c r="AX3457" s="1"/>
      <c r="BE3457" s="1"/>
    </row>
    <row r="3458" spans="1:57" x14ac:dyDescent="0.25">
      <c r="A3458" s="1"/>
      <c r="H3458" s="1"/>
      <c r="O3458" s="1"/>
      <c r="V3458" s="1"/>
      <c r="AC3458" s="1"/>
      <c r="AJ3458" s="1"/>
      <c r="AQ3458" s="1"/>
      <c r="AX3458" s="1"/>
      <c r="BE3458" s="1"/>
    </row>
    <row r="3459" spans="1:57" x14ac:dyDescent="0.25">
      <c r="A3459" s="1"/>
      <c r="H3459" s="1"/>
      <c r="O3459" s="1"/>
      <c r="V3459" s="1"/>
      <c r="AC3459" s="1"/>
      <c r="AJ3459" s="1"/>
      <c r="AQ3459" s="1"/>
      <c r="AX3459" s="1"/>
      <c r="BE3459" s="1"/>
    </row>
    <row r="3460" spans="1:57" x14ac:dyDescent="0.25">
      <c r="A3460" s="1"/>
      <c r="H3460" s="1"/>
      <c r="O3460" s="1"/>
      <c r="V3460" s="1"/>
      <c r="AC3460" s="1"/>
      <c r="AJ3460" s="1"/>
      <c r="AQ3460" s="1"/>
      <c r="AX3460" s="1"/>
      <c r="BE3460" s="1"/>
    </row>
    <row r="3461" spans="1:57" x14ac:dyDescent="0.25">
      <c r="A3461" s="1"/>
      <c r="H3461" s="1"/>
      <c r="O3461" s="1"/>
      <c r="V3461" s="1"/>
      <c r="AC3461" s="1"/>
      <c r="AJ3461" s="1"/>
      <c r="AQ3461" s="1"/>
      <c r="AX3461" s="1"/>
      <c r="BE3461" s="1"/>
    </row>
    <row r="3462" spans="1:57" x14ac:dyDescent="0.25">
      <c r="A3462" s="1"/>
      <c r="H3462" s="1"/>
      <c r="O3462" s="1"/>
      <c r="V3462" s="1"/>
      <c r="AC3462" s="1"/>
      <c r="AJ3462" s="1"/>
      <c r="AQ3462" s="1"/>
      <c r="AX3462" s="1"/>
      <c r="BE3462" s="1"/>
    </row>
    <row r="3463" spans="1:57" x14ac:dyDescent="0.25">
      <c r="A3463" s="1"/>
      <c r="H3463" s="1"/>
      <c r="O3463" s="1"/>
      <c r="V3463" s="1"/>
      <c r="AC3463" s="1"/>
      <c r="AJ3463" s="1"/>
      <c r="AQ3463" s="1"/>
      <c r="AX3463" s="1"/>
      <c r="BE3463" s="1"/>
    </row>
    <row r="3464" spans="1:57" x14ac:dyDescent="0.25">
      <c r="A3464" s="1"/>
      <c r="H3464" s="1"/>
      <c r="O3464" s="1"/>
      <c r="V3464" s="1"/>
      <c r="AC3464" s="1"/>
      <c r="AJ3464" s="1"/>
      <c r="AQ3464" s="1"/>
      <c r="AX3464" s="1"/>
      <c r="BE3464" s="1"/>
    </row>
    <row r="3465" spans="1:57" x14ac:dyDescent="0.25">
      <c r="A3465" s="1"/>
      <c r="H3465" s="1"/>
      <c r="O3465" s="1"/>
      <c r="V3465" s="1"/>
      <c r="AC3465" s="1"/>
      <c r="AJ3465" s="1"/>
      <c r="AQ3465" s="1"/>
      <c r="AX3465" s="1"/>
      <c r="BE3465" s="1"/>
    </row>
    <row r="3466" spans="1:57" x14ac:dyDescent="0.25">
      <c r="A3466" s="1"/>
      <c r="H3466" s="1"/>
      <c r="O3466" s="1"/>
      <c r="V3466" s="1"/>
      <c r="AC3466" s="1"/>
      <c r="AJ3466" s="1"/>
      <c r="AQ3466" s="1"/>
      <c r="AX3466" s="1"/>
      <c r="BE3466" s="1"/>
    </row>
    <row r="3467" spans="1:57" x14ac:dyDescent="0.25">
      <c r="A3467" s="1"/>
      <c r="H3467" s="1"/>
      <c r="O3467" s="1"/>
      <c r="V3467" s="1"/>
      <c r="AC3467" s="1"/>
      <c r="AJ3467" s="1"/>
      <c r="AQ3467" s="1"/>
      <c r="AX3467" s="1"/>
      <c r="BE3467" s="1"/>
    </row>
    <row r="3468" spans="1:57" x14ac:dyDescent="0.25">
      <c r="A3468" s="1"/>
      <c r="H3468" s="1"/>
      <c r="O3468" s="1"/>
      <c r="V3468" s="1"/>
      <c r="AC3468" s="1"/>
      <c r="AJ3468" s="1"/>
      <c r="AQ3468" s="1"/>
      <c r="AX3468" s="1"/>
      <c r="BE3468" s="1"/>
    </row>
    <row r="3469" spans="1:57" x14ac:dyDescent="0.25">
      <c r="A3469" s="1"/>
      <c r="H3469" s="1"/>
      <c r="O3469" s="1"/>
      <c r="V3469" s="1"/>
      <c r="AC3469" s="1"/>
      <c r="AJ3469" s="1"/>
      <c r="AQ3469" s="1"/>
      <c r="AX3469" s="1"/>
      <c r="BE3469" s="1"/>
    </row>
    <row r="3470" spans="1:57" x14ac:dyDescent="0.25">
      <c r="A3470" s="1"/>
      <c r="H3470" s="1"/>
      <c r="O3470" s="1"/>
      <c r="V3470" s="1"/>
      <c r="AC3470" s="1"/>
      <c r="AJ3470" s="1"/>
      <c r="AQ3470" s="1"/>
      <c r="AX3470" s="1"/>
      <c r="BE3470" s="1"/>
    </row>
    <row r="3471" spans="1:57" x14ac:dyDescent="0.25">
      <c r="A3471" s="1"/>
      <c r="H3471" s="1"/>
      <c r="O3471" s="1"/>
      <c r="V3471" s="1"/>
      <c r="AC3471" s="1"/>
      <c r="AJ3471" s="1"/>
      <c r="AQ3471" s="1"/>
      <c r="AX3471" s="1"/>
      <c r="BE3471" s="1"/>
    </row>
    <row r="3472" spans="1:57" x14ac:dyDescent="0.25">
      <c r="A3472" s="1"/>
      <c r="H3472" s="1"/>
      <c r="O3472" s="1"/>
      <c r="V3472" s="1"/>
      <c r="AC3472" s="1"/>
      <c r="AJ3472" s="1"/>
      <c r="AQ3472" s="1"/>
      <c r="AX3472" s="1"/>
      <c r="BE3472" s="1"/>
    </row>
    <row r="3473" spans="1:57" x14ac:dyDescent="0.25">
      <c r="A3473" s="1"/>
      <c r="H3473" s="1"/>
      <c r="O3473" s="1"/>
      <c r="V3473" s="1"/>
      <c r="AC3473" s="1"/>
      <c r="AJ3473" s="1"/>
      <c r="AQ3473" s="1"/>
      <c r="AX3473" s="1"/>
      <c r="BE3473" s="1"/>
    </row>
    <row r="3474" spans="1:57" x14ac:dyDescent="0.25">
      <c r="A3474" s="1"/>
      <c r="H3474" s="1"/>
      <c r="O3474" s="1"/>
      <c r="V3474" s="1"/>
      <c r="AC3474" s="1"/>
      <c r="AJ3474" s="1"/>
      <c r="AQ3474" s="1"/>
      <c r="AX3474" s="1"/>
      <c r="BE3474" s="1"/>
    </row>
    <row r="3475" spans="1:57" x14ac:dyDescent="0.25">
      <c r="A3475" s="1"/>
      <c r="H3475" s="1"/>
      <c r="O3475" s="1"/>
      <c r="V3475" s="1"/>
      <c r="AC3475" s="1"/>
      <c r="AJ3475" s="1"/>
      <c r="AQ3475" s="1"/>
      <c r="AX3475" s="1"/>
      <c r="BE3475" s="1"/>
    </row>
    <row r="3476" spans="1:57" x14ac:dyDescent="0.25">
      <c r="A3476" s="1"/>
      <c r="H3476" s="1"/>
      <c r="O3476" s="1"/>
      <c r="V3476" s="1"/>
      <c r="AC3476" s="1"/>
      <c r="AJ3476" s="1"/>
      <c r="AQ3476" s="1"/>
      <c r="AX3476" s="1"/>
      <c r="BE3476" s="1"/>
    </row>
    <row r="3477" spans="1:57" x14ac:dyDescent="0.25">
      <c r="A3477" s="1"/>
      <c r="H3477" s="1"/>
      <c r="O3477" s="1"/>
      <c r="V3477" s="1"/>
      <c r="AC3477" s="1"/>
      <c r="AJ3477" s="1"/>
      <c r="AQ3477" s="1"/>
      <c r="AX3477" s="1"/>
      <c r="BE3477" s="1"/>
    </row>
    <row r="3478" spans="1:57" x14ac:dyDescent="0.25">
      <c r="A3478" s="1"/>
      <c r="H3478" s="1"/>
      <c r="O3478" s="1"/>
      <c r="V3478" s="1"/>
      <c r="AC3478" s="1"/>
      <c r="AJ3478" s="1"/>
      <c r="AQ3478" s="1"/>
      <c r="AX3478" s="1"/>
      <c r="BE3478" s="1"/>
    </row>
    <row r="3479" spans="1:57" x14ac:dyDescent="0.25">
      <c r="A3479" s="1"/>
      <c r="H3479" s="1"/>
      <c r="O3479" s="1"/>
      <c r="V3479" s="1"/>
      <c r="AC3479" s="1"/>
      <c r="AJ3479" s="1"/>
      <c r="AQ3479" s="1"/>
      <c r="AX3479" s="1"/>
      <c r="BE3479" s="1"/>
    </row>
    <row r="3480" spans="1:57" x14ac:dyDescent="0.25">
      <c r="A3480" s="1"/>
      <c r="H3480" s="1"/>
      <c r="O3480" s="1"/>
      <c r="V3480" s="1"/>
      <c r="AC3480" s="1"/>
      <c r="AJ3480" s="1"/>
      <c r="AQ3480" s="1"/>
      <c r="AX3480" s="1"/>
      <c r="BE3480" s="1"/>
    </row>
    <row r="3481" spans="1:57" x14ac:dyDescent="0.25">
      <c r="A3481" s="1"/>
      <c r="H3481" s="1"/>
      <c r="O3481" s="1"/>
      <c r="V3481" s="1"/>
      <c r="AC3481" s="1"/>
      <c r="AJ3481" s="1"/>
      <c r="AQ3481" s="1"/>
      <c r="AX3481" s="1"/>
      <c r="BE3481" s="1"/>
    </row>
    <row r="3482" spans="1:57" x14ac:dyDescent="0.25">
      <c r="A3482" s="1"/>
      <c r="H3482" s="1"/>
      <c r="O3482" s="1"/>
      <c r="V3482" s="1"/>
      <c r="AC3482" s="1"/>
      <c r="AJ3482" s="1"/>
      <c r="AQ3482" s="1"/>
      <c r="AX3482" s="1"/>
      <c r="BE3482" s="1"/>
    </row>
    <row r="3483" spans="1:57" x14ac:dyDescent="0.25">
      <c r="A3483" s="1"/>
      <c r="H3483" s="1"/>
      <c r="O3483" s="1"/>
      <c r="V3483" s="1"/>
      <c r="AC3483" s="1"/>
      <c r="AJ3483" s="1"/>
      <c r="AQ3483" s="1"/>
      <c r="AX3483" s="1"/>
      <c r="BE3483" s="1"/>
    </row>
    <row r="3484" spans="1:57" x14ac:dyDescent="0.25">
      <c r="A3484" s="1"/>
      <c r="H3484" s="1"/>
      <c r="O3484" s="1"/>
      <c r="V3484" s="1"/>
      <c r="AC3484" s="1"/>
      <c r="AJ3484" s="1"/>
      <c r="AQ3484" s="1"/>
      <c r="AX3484" s="1"/>
      <c r="BE3484" s="1"/>
    </row>
    <row r="3485" spans="1:57" x14ac:dyDescent="0.25">
      <c r="A3485" s="1"/>
      <c r="H3485" s="1"/>
      <c r="O3485" s="1"/>
      <c r="V3485" s="1"/>
      <c r="AC3485" s="1"/>
      <c r="AJ3485" s="1"/>
      <c r="AQ3485" s="1"/>
      <c r="AX3485" s="1"/>
      <c r="BE3485" s="1"/>
    </row>
    <row r="3486" spans="1:57" x14ac:dyDescent="0.25">
      <c r="A3486" s="1"/>
      <c r="H3486" s="1"/>
      <c r="O3486" s="1"/>
      <c r="V3486" s="1"/>
      <c r="AC3486" s="1"/>
      <c r="AJ3486" s="1"/>
      <c r="AQ3486" s="1"/>
      <c r="AX3486" s="1"/>
      <c r="BE3486" s="1"/>
    </row>
    <row r="3487" spans="1:57" x14ac:dyDescent="0.25">
      <c r="A3487" s="1"/>
      <c r="H3487" s="1"/>
      <c r="O3487" s="1"/>
      <c r="V3487" s="1"/>
      <c r="AC3487" s="1"/>
      <c r="AJ3487" s="1"/>
      <c r="AQ3487" s="1"/>
      <c r="AX3487" s="1"/>
      <c r="BE3487" s="1"/>
    </row>
    <row r="3488" spans="1:57" x14ac:dyDescent="0.25">
      <c r="A3488" s="1"/>
      <c r="H3488" s="1"/>
      <c r="O3488" s="1"/>
      <c r="V3488" s="1"/>
      <c r="AC3488" s="1"/>
      <c r="AJ3488" s="1"/>
      <c r="AQ3488" s="1"/>
      <c r="AX3488" s="1"/>
      <c r="BE3488" s="1"/>
    </row>
    <row r="3489" spans="1:57" x14ac:dyDescent="0.25">
      <c r="A3489" s="1"/>
      <c r="H3489" s="1"/>
      <c r="O3489" s="1"/>
      <c r="V3489" s="1"/>
      <c r="AC3489" s="1"/>
      <c r="AJ3489" s="1"/>
      <c r="AQ3489" s="1"/>
      <c r="AX3489" s="1"/>
      <c r="BE3489" s="1"/>
    </row>
    <row r="3490" spans="1:57" x14ac:dyDescent="0.25">
      <c r="A3490" s="1"/>
      <c r="H3490" s="1"/>
      <c r="O3490" s="1"/>
      <c r="V3490" s="1"/>
      <c r="AC3490" s="1"/>
      <c r="AJ3490" s="1"/>
      <c r="AQ3490" s="1"/>
      <c r="AX3490" s="1"/>
      <c r="BE3490" s="1"/>
    </row>
    <row r="3491" spans="1:57" x14ac:dyDescent="0.25">
      <c r="A3491" s="1"/>
      <c r="H3491" s="1"/>
      <c r="O3491" s="1"/>
      <c r="V3491" s="1"/>
      <c r="AC3491" s="1"/>
      <c r="AJ3491" s="1"/>
      <c r="AQ3491" s="1"/>
      <c r="AX3491" s="1"/>
      <c r="BE3491" s="1"/>
    </row>
    <row r="3492" spans="1:57" x14ac:dyDescent="0.25">
      <c r="A3492" s="1"/>
      <c r="H3492" s="1"/>
      <c r="O3492" s="1"/>
      <c r="V3492" s="1"/>
      <c r="AC3492" s="1"/>
      <c r="AJ3492" s="1"/>
      <c r="AQ3492" s="1"/>
      <c r="AX3492" s="1"/>
      <c r="BE3492" s="1"/>
    </row>
    <row r="3493" spans="1:57" x14ac:dyDescent="0.25">
      <c r="A3493" s="1"/>
      <c r="H3493" s="1"/>
      <c r="O3493" s="1"/>
      <c r="V3493" s="1"/>
      <c r="AC3493" s="1"/>
      <c r="AJ3493" s="1"/>
      <c r="AQ3493" s="1"/>
      <c r="AX3493" s="1"/>
      <c r="BE3493" s="1"/>
    </row>
    <row r="3494" spans="1:57" x14ac:dyDescent="0.25">
      <c r="A3494" s="1"/>
      <c r="H3494" s="1"/>
      <c r="O3494" s="1"/>
      <c r="V3494" s="1"/>
      <c r="AC3494" s="1"/>
      <c r="AJ3494" s="1"/>
      <c r="AQ3494" s="1"/>
      <c r="AX3494" s="1"/>
      <c r="BE3494" s="1"/>
    </row>
    <row r="3495" spans="1:57" x14ac:dyDescent="0.25">
      <c r="A3495" s="1"/>
      <c r="H3495" s="1"/>
      <c r="O3495" s="1"/>
      <c r="V3495" s="1"/>
      <c r="AC3495" s="1"/>
      <c r="AJ3495" s="1"/>
      <c r="AQ3495" s="1"/>
      <c r="AX3495" s="1"/>
      <c r="BE3495" s="1"/>
    </row>
    <row r="3496" spans="1:57" x14ac:dyDescent="0.25">
      <c r="A3496" s="1"/>
      <c r="H3496" s="1"/>
      <c r="O3496" s="1"/>
      <c r="V3496" s="1"/>
      <c r="AC3496" s="1"/>
      <c r="AJ3496" s="1"/>
      <c r="AQ3496" s="1"/>
      <c r="AX3496" s="1"/>
      <c r="BE3496" s="1"/>
    </row>
    <row r="3497" spans="1:57" x14ac:dyDescent="0.25">
      <c r="A3497" s="1"/>
      <c r="H3497" s="1"/>
      <c r="O3497" s="1"/>
      <c r="V3497" s="1"/>
      <c r="AC3497" s="1"/>
      <c r="AJ3497" s="1"/>
      <c r="AQ3497" s="1"/>
      <c r="AX3497" s="1"/>
      <c r="BE3497" s="1"/>
    </row>
    <row r="3498" spans="1:57" x14ac:dyDescent="0.25">
      <c r="A3498" s="1"/>
      <c r="H3498" s="1"/>
      <c r="O3498" s="1"/>
      <c r="V3498" s="1"/>
      <c r="AC3498" s="1"/>
      <c r="AJ3498" s="1"/>
      <c r="AQ3498" s="1"/>
      <c r="AX3498" s="1"/>
      <c r="BE3498" s="1"/>
    </row>
    <row r="3499" spans="1:57" x14ac:dyDescent="0.25">
      <c r="A3499" s="1"/>
      <c r="H3499" s="1"/>
      <c r="O3499" s="1"/>
      <c r="V3499" s="1"/>
      <c r="AC3499" s="1"/>
      <c r="AJ3499" s="1"/>
      <c r="AQ3499" s="1"/>
      <c r="AX3499" s="1"/>
      <c r="BE3499" s="1"/>
    </row>
    <row r="3500" spans="1:57" x14ac:dyDescent="0.25">
      <c r="A3500" s="1"/>
      <c r="H3500" s="1"/>
      <c r="O3500" s="1"/>
      <c r="V3500" s="1"/>
      <c r="AC3500" s="1"/>
      <c r="AJ3500" s="1"/>
      <c r="AQ3500" s="1"/>
      <c r="AX3500" s="1"/>
      <c r="BE3500" s="1"/>
    </row>
    <row r="3501" spans="1:57" x14ac:dyDescent="0.25">
      <c r="A3501" s="1"/>
      <c r="H3501" s="1"/>
      <c r="O3501" s="1"/>
      <c r="V3501" s="1"/>
      <c r="AC3501" s="1"/>
      <c r="AJ3501" s="1"/>
      <c r="AQ3501" s="1"/>
      <c r="AX3501" s="1"/>
      <c r="BE3501" s="1"/>
    </row>
    <row r="3502" spans="1:57" x14ac:dyDescent="0.25">
      <c r="A3502" s="1"/>
      <c r="H3502" s="1"/>
      <c r="O3502" s="1"/>
      <c r="V3502" s="1"/>
      <c r="AC3502" s="1"/>
      <c r="AJ3502" s="1"/>
      <c r="AQ3502" s="1"/>
      <c r="AX3502" s="1"/>
      <c r="BE3502" s="1"/>
    </row>
    <row r="3503" spans="1:57" x14ac:dyDescent="0.25">
      <c r="A3503" s="1"/>
      <c r="H3503" s="1"/>
      <c r="O3503" s="1"/>
      <c r="V3503" s="1"/>
      <c r="AC3503" s="1"/>
      <c r="AJ3503" s="1"/>
      <c r="AQ3503" s="1"/>
      <c r="AX3503" s="1"/>
      <c r="BE3503" s="1"/>
    </row>
    <row r="3504" spans="1:57" x14ac:dyDescent="0.25">
      <c r="A3504" s="1"/>
      <c r="H3504" s="1"/>
      <c r="O3504" s="1"/>
      <c r="V3504" s="1"/>
      <c r="AC3504" s="1"/>
      <c r="AJ3504" s="1"/>
      <c r="AQ3504" s="1"/>
      <c r="AX3504" s="1"/>
      <c r="BE3504" s="1"/>
    </row>
    <row r="3505" spans="1:57" x14ac:dyDescent="0.25">
      <c r="A3505" s="1"/>
      <c r="H3505" s="1"/>
      <c r="O3505" s="1"/>
      <c r="V3505" s="1"/>
      <c r="AC3505" s="1"/>
      <c r="AJ3505" s="1"/>
      <c r="AQ3505" s="1"/>
      <c r="AX3505" s="1"/>
      <c r="BE3505" s="1"/>
    </row>
    <row r="3506" spans="1:57" x14ac:dyDescent="0.25">
      <c r="A3506" s="1"/>
      <c r="H3506" s="1"/>
      <c r="O3506" s="1"/>
      <c r="V3506" s="1"/>
      <c r="AC3506" s="1"/>
      <c r="AJ3506" s="1"/>
      <c r="AQ3506" s="1"/>
      <c r="AX3506" s="1"/>
      <c r="BE3506" s="1"/>
    </row>
    <row r="3507" spans="1:57" x14ac:dyDescent="0.25">
      <c r="A3507" s="1"/>
      <c r="H3507" s="1"/>
      <c r="O3507" s="1"/>
      <c r="V3507" s="1"/>
      <c r="AC3507" s="1"/>
      <c r="AJ3507" s="1"/>
      <c r="AQ3507" s="1"/>
      <c r="AX3507" s="1"/>
      <c r="BE3507" s="1"/>
    </row>
    <row r="3508" spans="1:57" x14ac:dyDescent="0.25">
      <c r="A3508" s="1"/>
      <c r="H3508" s="1"/>
      <c r="O3508" s="1"/>
      <c r="V3508" s="1"/>
      <c r="AC3508" s="1"/>
      <c r="AJ3508" s="1"/>
      <c r="AQ3508" s="1"/>
      <c r="AX3508" s="1"/>
      <c r="BE3508" s="1"/>
    </row>
    <row r="3509" spans="1:57" x14ac:dyDescent="0.25">
      <c r="A3509" s="1"/>
      <c r="H3509" s="1"/>
      <c r="O3509" s="1"/>
      <c r="V3509" s="1"/>
      <c r="AC3509" s="1"/>
      <c r="AJ3509" s="1"/>
      <c r="AQ3509" s="1"/>
      <c r="AX3509" s="1"/>
      <c r="BE3509" s="1"/>
    </row>
    <row r="3510" spans="1:57" x14ac:dyDescent="0.25">
      <c r="A3510" s="1"/>
      <c r="H3510" s="1"/>
      <c r="O3510" s="1"/>
      <c r="V3510" s="1"/>
      <c r="AC3510" s="1"/>
      <c r="AJ3510" s="1"/>
      <c r="AQ3510" s="1"/>
      <c r="AX3510" s="1"/>
      <c r="BE3510" s="1"/>
    </row>
    <row r="3511" spans="1:57" x14ac:dyDescent="0.25">
      <c r="A3511" s="1"/>
      <c r="H3511" s="1"/>
      <c r="O3511" s="1"/>
      <c r="V3511" s="1"/>
      <c r="AC3511" s="1"/>
      <c r="AJ3511" s="1"/>
      <c r="AQ3511" s="1"/>
      <c r="AX3511" s="1"/>
      <c r="BE3511" s="1"/>
    </row>
    <row r="3512" spans="1:57" x14ac:dyDescent="0.25">
      <c r="A3512" s="1"/>
      <c r="H3512" s="1"/>
      <c r="O3512" s="1"/>
      <c r="V3512" s="1"/>
      <c r="AC3512" s="1"/>
      <c r="AJ3512" s="1"/>
      <c r="AQ3512" s="1"/>
      <c r="AX3512" s="1"/>
      <c r="BE3512" s="1"/>
    </row>
    <row r="3513" spans="1:57" x14ac:dyDescent="0.25">
      <c r="A3513" s="1"/>
      <c r="H3513" s="1"/>
      <c r="O3513" s="1"/>
      <c r="V3513" s="1"/>
      <c r="AC3513" s="1"/>
      <c r="AJ3513" s="1"/>
      <c r="AQ3513" s="1"/>
      <c r="AX3513" s="1"/>
      <c r="BE3513" s="1"/>
    </row>
    <row r="3514" spans="1:57" x14ac:dyDescent="0.25">
      <c r="A3514" s="1"/>
      <c r="H3514" s="1"/>
      <c r="O3514" s="1"/>
      <c r="V3514" s="1"/>
      <c r="AC3514" s="1"/>
      <c r="AJ3514" s="1"/>
      <c r="AQ3514" s="1"/>
      <c r="AX3514" s="1"/>
      <c r="BE3514" s="1"/>
    </row>
    <row r="3515" spans="1:57" x14ac:dyDescent="0.25">
      <c r="A3515" s="1"/>
      <c r="H3515" s="1"/>
      <c r="O3515" s="1"/>
      <c r="V3515" s="1"/>
      <c r="AC3515" s="1"/>
      <c r="AJ3515" s="1"/>
      <c r="AQ3515" s="1"/>
      <c r="AX3515" s="1"/>
      <c r="BE3515" s="1"/>
    </row>
    <row r="3516" spans="1:57" x14ac:dyDescent="0.25">
      <c r="A3516" s="1"/>
      <c r="H3516" s="1"/>
      <c r="O3516" s="1"/>
      <c r="V3516" s="1"/>
      <c r="AC3516" s="1"/>
      <c r="AJ3516" s="1"/>
      <c r="AQ3516" s="1"/>
      <c r="AX3516" s="1"/>
      <c r="BE3516" s="1"/>
    </row>
    <row r="3517" spans="1:57" x14ac:dyDescent="0.25">
      <c r="A3517" s="1"/>
      <c r="H3517" s="1"/>
      <c r="O3517" s="1"/>
      <c r="V3517" s="1"/>
      <c r="AC3517" s="1"/>
      <c r="AJ3517" s="1"/>
      <c r="AQ3517" s="1"/>
      <c r="AX3517" s="1"/>
      <c r="BE3517" s="1"/>
    </row>
    <row r="3518" spans="1:57" x14ac:dyDescent="0.25">
      <c r="A3518" s="1"/>
      <c r="H3518" s="1"/>
      <c r="O3518" s="1"/>
      <c r="V3518" s="1"/>
      <c r="AC3518" s="1"/>
      <c r="AJ3518" s="1"/>
      <c r="AQ3518" s="1"/>
      <c r="AX3518" s="1"/>
      <c r="BE3518" s="1"/>
    </row>
    <row r="3519" spans="1:57" x14ac:dyDescent="0.25">
      <c r="A3519" s="1"/>
      <c r="H3519" s="1"/>
      <c r="O3519" s="1"/>
      <c r="V3519" s="1"/>
      <c r="AC3519" s="1"/>
      <c r="AJ3519" s="1"/>
      <c r="AQ3519" s="1"/>
      <c r="AX3519" s="1"/>
      <c r="BE3519" s="1"/>
    </row>
    <row r="3520" spans="1:57" x14ac:dyDescent="0.25">
      <c r="A3520" s="1"/>
      <c r="H3520" s="1"/>
      <c r="O3520" s="1"/>
      <c r="V3520" s="1"/>
      <c r="AC3520" s="1"/>
      <c r="AJ3520" s="1"/>
      <c r="AQ3520" s="1"/>
      <c r="AX3520" s="1"/>
      <c r="BE3520" s="1"/>
    </row>
    <row r="3521" spans="1:57" x14ac:dyDescent="0.25">
      <c r="A3521" s="1"/>
      <c r="H3521" s="1"/>
      <c r="O3521" s="1"/>
      <c r="V3521" s="1"/>
      <c r="AC3521" s="1"/>
      <c r="AJ3521" s="1"/>
      <c r="AQ3521" s="1"/>
      <c r="AX3521" s="1"/>
      <c r="BE3521" s="1"/>
    </row>
    <row r="3522" spans="1:57" x14ac:dyDescent="0.25">
      <c r="A3522" s="1"/>
      <c r="H3522" s="1"/>
      <c r="O3522" s="1"/>
      <c r="V3522" s="1"/>
      <c r="AC3522" s="1"/>
      <c r="AJ3522" s="1"/>
      <c r="AQ3522" s="1"/>
      <c r="AX3522" s="1"/>
      <c r="BE3522" s="1"/>
    </row>
    <row r="3523" spans="1:57" x14ac:dyDescent="0.25">
      <c r="A3523" s="1"/>
      <c r="H3523" s="1"/>
      <c r="O3523" s="1"/>
      <c r="V3523" s="1"/>
      <c r="AC3523" s="1"/>
      <c r="AJ3523" s="1"/>
      <c r="AQ3523" s="1"/>
      <c r="AX3523" s="1"/>
      <c r="BE3523" s="1"/>
    </row>
    <row r="3524" spans="1:57" x14ac:dyDescent="0.25">
      <c r="A3524" s="1"/>
      <c r="H3524" s="1"/>
      <c r="O3524" s="1"/>
      <c r="V3524" s="1"/>
      <c r="AC3524" s="1"/>
      <c r="AJ3524" s="1"/>
      <c r="AQ3524" s="1"/>
      <c r="AX3524" s="1"/>
      <c r="BE3524" s="1"/>
    </row>
    <row r="3525" spans="1:57" x14ac:dyDescent="0.25">
      <c r="A3525" s="1"/>
      <c r="H3525" s="1"/>
      <c r="O3525" s="1"/>
      <c r="V3525" s="1"/>
      <c r="AC3525" s="1"/>
      <c r="AJ3525" s="1"/>
      <c r="AQ3525" s="1"/>
      <c r="AX3525" s="1"/>
      <c r="BE3525" s="1"/>
    </row>
    <row r="3526" spans="1:57" x14ac:dyDescent="0.25">
      <c r="A3526" s="1"/>
      <c r="H3526" s="1"/>
      <c r="O3526" s="1"/>
      <c r="V3526" s="1"/>
      <c r="AC3526" s="1"/>
      <c r="AJ3526" s="1"/>
      <c r="AQ3526" s="1"/>
      <c r="AX3526" s="1"/>
      <c r="BE3526" s="1"/>
    </row>
    <row r="3527" spans="1:57" x14ac:dyDescent="0.25">
      <c r="A3527" s="1"/>
      <c r="H3527" s="1"/>
      <c r="O3527" s="1"/>
      <c r="V3527" s="1"/>
      <c r="AC3527" s="1"/>
      <c r="AJ3527" s="1"/>
      <c r="AQ3527" s="1"/>
      <c r="AX3527" s="1"/>
      <c r="BE3527" s="1"/>
    </row>
    <row r="3528" spans="1:57" x14ac:dyDescent="0.25">
      <c r="A3528" s="1"/>
      <c r="H3528" s="1"/>
      <c r="O3528" s="1"/>
      <c r="V3528" s="1"/>
      <c r="AC3528" s="1"/>
      <c r="AJ3528" s="1"/>
      <c r="AQ3528" s="1"/>
      <c r="AX3528" s="1"/>
      <c r="BE3528" s="1"/>
    </row>
    <row r="3529" spans="1:57" x14ac:dyDescent="0.25">
      <c r="A3529" s="1"/>
      <c r="H3529" s="1"/>
      <c r="O3529" s="1"/>
      <c r="V3529" s="1"/>
      <c r="AC3529" s="1"/>
      <c r="AJ3529" s="1"/>
      <c r="AQ3529" s="1"/>
      <c r="AX3529" s="1"/>
      <c r="BE3529" s="1"/>
    </row>
    <row r="3530" spans="1:57" x14ac:dyDescent="0.25">
      <c r="A3530" s="1"/>
      <c r="H3530" s="1"/>
      <c r="O3530" s="1"/>
      <c r="V3530" s="1"/>
      <c r="AC3530" s="1"/>
      <c r="AJ3530" s="1"/>
      <c r="AQ3530" s="1"/>
      <c r="AX3530" s="1"/>
      <c r="BE3530" s="1"/>
    </row>
    <row r="3531" spans="1:57" x14ac:dyDescent="0.25">
      <c r="A3531" s="1"/>
      <c r="H3531" s="1"/>
      <c r="O3531" s="1"/>
      <c r="V3531" s="1"/>
      <c r="AC3531" s="1"/>
      <c r="AJ3531" s="1"/>
      <c r="AQ3531" s="1"/>
      <c r="AX3531" s="1"/>
      <c r="BE3531" s="1"/>
    </row>
    <row r="3532" spans="1:57" x14ac:dyDescent="0.25">
      <c r="A3532" s="1"/>
      <c r="H3532" s="1"/>
      <c r="O3532" s="1"/>
      <c r="V3532" s="1"/>
      <c r="AC3532" s="1"/>
      <c r="AJ3532" s="1"/>
      <c r="AQ3532" s="1"/>
      <c r="AX3532" s="1"/>
      <c r="BE3532" s="1"/>
    </row>
    <row r="3533" spans="1:57" x14ac:dyDescent="0.25">
      <c r="A3533" s="1"/>
      <c r="H3533" s="1"/>
      <c r="O3533" s="1"/>
      <c r="V3533" s="1"/>
      <c r="AC3533" s="1"/>
      <c r="AJ3533" s="1"/>
      <c r="AQ3533" s="1"/>
      <c r="AX3533" s="1"/>
      <c r="BE3533" s="1"/>
    </row>
    <row r="3534" spans="1:57" x14ac:dyDescent="0.25">
      <c r="A3534" s="1"/>
      <c r="H3534" s="1"/>
      <c r="O3534" s="1"/>
      <c r="V3534" s="1"/>
      <c r="AC3534" s="1"/>
      <c r="AJ3534" s="1"/>
      <c r="AQ3534" s="1"/>
      <c r="AX3534" s="1"/>
      <c r="BE3534" s="1"/>
    </row>
    <row r="3535" spans="1:57" x14ac:dyDescent="0.25">
      <c r="A3535" s="1"/>
      <c r="H3535" s="1"/>
      <c r="O3535" s="1"/>
      <c r="V3535" s="1"/>
      <c r="AC3535" s="1"/>
      <c r="AJ3535" s="1"/>
      <c r="AQ3535" s="1"/>
      <c r="AX3535" s="1"/>
      <c r="BE3535" s="1"/>
    </row>
    <row r="3536" spans="1:57" x14ac:dyDescent="0.25">
      <c r="A3536" s="1"/>
      <c r="H3536" s="1"/>
      <c r="O3536" s="1"/>
      <c r="V3536" s="1"/>
      <c r="AC3536" s="1"/>
      <c r="AJ3536" s="1"/>
      <c r="AQ3536" s="1"/>
      <c r="AX3536" s="1"/>
      <c r="BE3536" s="1"/>
    </row>
    <row r="3537" spans="1:57" x14ac:dyDescent="0.25">
      <c r="A3537" s="1"/>
      <c r="H3537" s="1"/>
      <c r="O3537" s="1"/>
      <c r="V3537" s="1"/>
      <c r="AC3537" s="1"/>
      <c r="AJ3537" s="1"/>
      <c r="AQ3537" s="1"/>
      <c r="AX3537" s="1"/>
      <c r="BE3537" s="1"/>
    </row>
    <row r="3538" spans="1:57" x14ac:dyDescent="0.25">
      <c r="A3538" s="1"/>
      <c r="H3538" s="1"/>
      <c r="O3538" s="1"/>
      <c r="V3538" s="1"/>
      <c r="AC3538" s="1"/>
      <c r="AJ3538" s="1"/>
      <c r="AQ3538" s="1"/>
      <c r="AX3538" s="1"/>
      <c r="BE3538" s="1"/>
    </row>
    <row r="3539" spans="1:57" x14ac:dyDescent="0.25">
      <c r="A3539" s="1"/>
      <c r="H3539" s="1"/>
      <c r="O3539" s="1"/>
      <c r="V3539" s="1"/>
      <c r="AC3539" s="1"/>
      <c r="AJ3539" s="1"/>
      <c r="AQ3539" s="1"/>
      <c r="AX3539" s="1"/>
      <c r="BE3539" s="1"/>
    </row>
    <row r="3540" spans="1:57" x14ac:dyDescent="0.25">
      <c r="A3540" s="1"/>
      <c r="H3540" s="1"/>
      <c r="O3540" s="1"/>
      <c r="V3540" s="1"/>
      <c r="AC3540" s="1"/>
      <c r="AJ3540" s="1"/>
      <c r="AQ3540" s="1"/>
      <c r="AX3540" s="1"/>
      <c r="BE3540" s="1"/>
    </row>
    <row r="3541" spans="1:57" x14ac:dyDescent="0.25">
      <c r="A3541" s="1"/>
      <c r="H3541" s="1"/>
      <c r="O3541" s="1"/>
      <c r="V3541" s="1"/>
      <c r="AC3541" s="1"/>
      <c r="AJ3541" s="1"/>
      <c r="AQ3541" s="1"/>
      <c r="AX3541" s="1"/>
      <c r="BE3541" s="1"/>
    </row>
    <row r="3542" spans="1:57" x14ac:dyDescent="0.25">
      <c r="A3542" s="1"/>
      <c r="H3542" s="1"/>
      <c r="O3542" s="1"/>
      <c r="V3542" s="1"/>
      <c r="AC3542" s="1"/>
      <c r="AJ3542" s="1"/>
      <c r="AQ3542" s="1"/>
      <c r="AX3542" s="1"/>
      <c r="BE3542" s="1"/>
    </row>
    <row r="3543" spans="1:57" x14ac:dyDescent="0.25">
      <c r="A3543" s="1"/>
      <c r="H3543" s="1"/>
      <c r="O3543" s="1"/>
      <c r="V3543" s="1"/>
      <c r="AC3543" s="1"/>
      <c r="AJ3543" s="1"/>
      <c r="AQ3543" s="1"/>
      <c r="AX3543" s="1"/>
      <c r="BE3543" s="1"/>
    </row>
    <row r="3544" spans="1:57" x14ac:dyDescent="0.25">
      <c r="A3544" s="1"/>
      <c r="H3544" s="1"/>
      <c r="O3544" s="1"/>
      <c r="V3544" s="1"/>
      <c r="AC3544" s="1"/>
      <c r="AJ3544" s="1"/>
      <c r="AQ3544" s="1"/>
      <c r="AX3544" s="1"/>
      <c r="BE3544" s="1"/>
    </row>
    <row r="3545" spans="1:57" x14ac:dyDescent="0.25">
      <c r="A3545" s="1"/>
      <c r="H3545" s="1"/>
      <c r="O3545" s="1"/>
      <c r="V3545" s="1"/>
      <c r="AC3545" s="1"/>
      <c r="AJ3545" s="1"/>
      <c r="AQ3545" s="1"/>
      <c r="AX3545" s="1"/>
      <c r="BE3545" s="1"/>
    </row>
    <row r="3546" spans="1:57" x14ac:dyDescent="0.25">
      <c r="A3546" s="1"/>
      <c r="H3546" s="1"/>
      <c r="O3546" s="1"/>
      <c r="V3546" s="1"/>
      <c r="AC3546" s="1"/>
      <c r="AJ3546" s="1"/>
      <c r="AQ3546" s="1"/>
      <c r="AX3546" s="1"/>
      <c r="BE3546" s="1"/>
    </row>
    <row r="3547" spans="1:57" x14ac:dyDescent="0.25">
      <c r="A3547" s="1"/>
      <c r="H3547" s="1"/>
      <c r="O3547" s="1"/>
      <c r="V3547" s="1"/>
      <c r="AC3547" s="1"/>
      <c r="AJ3547" s="1"/>
      <c r="AQ3547" s="1"/>
      <c r="AX3547" s="1"/>
      <c r="BE3547" s="1"/>
    </row>
    <row r="3548" spans="1:57" x14ac:dyDescent="0.25">
      <c r="A3548" s="1"/>
      <c r="H3548" s="1"/>
      <c r="O3548" s="1"/>
      <c r="V3548" s="1"/>
      <c r="AC3548" s="1"/>
      <c r="AJ3548" s="1"/>
      <c r="AQ3548" s="1"/>
      <c r="AX3548" s="1"/>
      <c r="BE3548" s="1"/>
    </row>
    <row r="3549" spans="1:57" x14ac:dyDescent="0.25">
      <c r="A3549" s="1"/>
      <c r="H3549" s="1"/>
      <c r="O3549" s="1"/>
      <c r="V3549" s="1"/>
      <c r="AC3549" s="1"/>
      <c r="AJ3549" s="1"/>
      <c r="AQ3549" s="1"/>
      <c r="AX3549" s="1"/>
      <c r="BE3549" s="1"/>
    </row>
    <row r="3550" spans="1:57" x14ac:dyDescent="0.25">
      <c r="A3550" s="1"/>
      <c r="H3550" s="1"/>
      <c r="O3550" s="1"/>
      <c r="V3550" s="1"/>
      <c r="AC3550" s="1"/>
      <c r="AJ3550" s="1"/>
      <c r="AQ3550" s="1"/>
      <c r="AX3550" s="1"/>
      <c r="BE3550" s="1"/>
    </row>
    <row r="3551" spans="1:57" x14ac:dyDescent="0.25">
      <c r="A3551" s="1"/>
      <c r="H3551" s="1"/>
      <c r="O3551" s="1"/>
      <c r="V3551" s="1"/>
      <c r="AC3551" s="1"/>
      <c r="AJ3551" s="1"/>
      <c r="AQ3551" s="1"/>
      <c r="AX3551" s="1"/>
      <c r="BE3551" s="1"/>
    </row>
    <row r="3552" spans="1:57" x14ac:dyDescent="0.25">
      <c r="A3552" s="1"/>
      <c r="H3552" s="1"/>
      <c r="O3552" s="1"/>
      <c r="V3552" s="1"/>
      <c r="AC3552" s="1"/>
      <c r="AJ3552" s="1"/>
      <c r="AQ3552" s="1"/>
      <c r="AX3552" s="1"/>
      <c r="BE3552" s="1"/>
    </row>
    <row r="3553" spans="1:57" x14ac:dyDescent="0.25">
      <c r="A3553" s="1"/>
      <c r="H3553" s="1"/>
      <c r="O3553" s="1"/>
      <c r="V3553" s="1"/>
      <c r="AC3553" s="1"/>
      <c r="AJ3553" s="1"/>
      <c r="AQ3553" s="1"/>
      <c r="AX3553" s="1"/>
      <c r="BE3553" s="1"/>
    </row>
    <row r="3554" spans="1:57" x14ac:dyDescent="0.25">
      <c r="A3554" s="1"/>
      <c r="H3554" s="1"/>
      <c r="O3554" s="1"/>
      <c r="V3554" s="1"/>
      <c r="AC3554" s="1"/>
      <c r="AJ3554" s="1"/>
      <c r="AQ3554" s="1"/>
      <c r="AX3554" s="1"/>
      <c r="BE3554" s="1"/>
    </row>
    <row r="3555" spans="1:57" x14ac:dyDescent="0.25">
      <c r="A3555" s="1"/>
      <c r="H3555" s="1"/>
      <c r="O3555" s="1"/>
      <c r="V3555" s="1"/>
      <c r="AC3555" s="1"/>
      <c r="AJ3555" s="1"/>
      <c r="AQ3555" s="1"/>
      <c r="AX3555" s="1"/>
      <c r="BE3555" s="1"/>
    </row>
    <row r="3556" spans="1:57" x14ac:dyDescent="0.25">
      <c r="A3556" s="1"/>
      <c r="H3556" s="1"/>
      <c r="O3556" s="1"/>
      <c r="V3556" s="1"/>
      <c r="AC3556" s="1"/>
      <c r="AJ3556" s="1"/>
      <c r="AQ3556" s="1"/>
      <c r="AX3556" s="1"/>
      <c r="BE3556" s="1"/>
    </row>
    <row r="3557" spans="1:57" x14ac:dyDescent="0.25">
      <c r="A3557" s="1"/>
      <c r="H3557" s="1"/>
      <c r="O3557" s="1"/>
      <c r="V3557" s="1"/>
      <c r="AC3557" s="1"/>
      <c r="AJ3557" s="1"/>
      <c r="AQ3557" s="1"/>
      <c r="AX3557" s="1"/>
      <c r="BE3557" s="1"/>
    </row>
    <row r="3558" spans="1:57" x14ac:dyDescent="0.25">
      <c r="A3558" s="1"/>
      <c r="H3558" s="1"/>
      <c r="O3558" s="1"/>
      <c r="V3558" s="1"/>
      <c r="AC3558" s="1"/>
      <c r="AJ3558" s="1"/>
      <c r="AQ3558" s="1"/>
      <c r="AX3558" s="1"/>
      <c r="BE3558" s="1"/>
    </row>
    <row r="3559" spans="1:57" x14ac:dyDescent="0.25">
      <c r="A3559" s="1"/>
      <c r="H3559" s="1"/>
      <c r="O3559" s="1"/>
      <c r="V3559" s="1"/>
      <c r="AC3559" s="1"/>
      <c r="AJ3559" s="1"/>
      <c r="AQ3559" s="1"/>
      <c r="AX3559" s="1"/>
      <c r="BE3559" s="1"/>
    </row>
    <row r="3560" spans="1:57" x14ac:dyDescent="0.25">
      <c r="A3560" s="1"/>
      <c r="H3560" s="1"/>
      <c r="O3560" s="1"/>
      <c r="V3560" s="1"/>
      <c r="AC3560" s="1"/>
      <c r="AJ3560" s="1"/>
      <c r="AQ3560" s="1"/>
      <c r="AX3560" s="1"/>
      <c r="BE3560" s="1"/>
    </row>
    <row r="3561" spans="1:57" x14ac:dyDescent="0.25">
      <c r="A3561" s="1"/>
      <c r="H3561" s="1"/>
      <c r="O3561" s="1"/>
      <c r="V3561" s="1"/>
      <c r="AC3561" s="1"/>
      <c r="AJ3561" s="1"/>
      <c r="AQ3561" s="1"/>
      <c r="AX3561" s="1"/>
      <c r="BE3561" s="1"/>
    </row>
    <row r="3562" spans="1:57" x14ac:dyDescent="0.25">
      <c r="A3562" s="1"/>
      <c r="H3562" s="1"/>
      <c r="O3562" s="1"/>
      <c r="V3562" s="1"/>
      <c r="AC3562" s="1"/>
      <c r="AJ3562" s="1"/>
      <c r="AQ3562" s="1"/>
      <c r="AX3562" s="1"/>
      <c r="BE3562" s="1"/>
    </row>
    <row r="3563" spans="1:57" x14ac:dyDescent="0.25">
      <c r="A3563" s="1"/>
      <c r="H3563" s="1"/>
      <c r="O3563" s="1"/>
      <c r="V3563" s="1"/>
      <c r="AC3563" s="1"/>
      <c r="AJ3563" s="1"/>
      <c r="AQ3563" s="1"/>
      <c r="AX3563" s="1"/>
      <c r="BE3563" s="1"/>
    </row>
    <row r="3564" spans="1:57" x14ac:dyDescent="0.25">
      <c r="A3564" s="1"/>
      <c r="H3564" s="1"/>
      <c r="O3564" s="1"/>
      <c r="V3564" s="1"/>
      <c r="AC3564" s="1"/>
      <c r="AJ3564" s="1"/>
      <c r="AQ3564" s="1"/>
      <c r="AX3564" s="1"/>
      <c r="BE3564" s="1"/>
    </row>
    <row r="3565" spans="1:57" x14ac:dyDescent="0.25">
      <c r="A3565" s="1"/>
      <c r="H3565" s="1"/>
      <c r="O3565" s="1"/>
      <c r="V3565" s="1"/>
      <c r="AC3565" s="1"/>
      <c r="AJ3565" s="1"/>
      <c r="AQ3565" s="1"/>
      <c r="AX3565" s="1"/>
      <c r="BE3565" s="1"/>
    </row>
    <row r="3566" spans="1:57" x14ac:dyDescent="0.25">
      <c r="A3566" s="1"/>
      <c r="H3566" s="1"/>
      <c r="O3566" s="1"/>
      <c r="V3566" s="1"/>
      <c r="AC3566" s="1"/>
      <c r="AJ3566" s="1"/>
      <c r="AQ3566" s="1"/>
      <c r="AX3566" s="1"/>
      <c r="BE3566" s="1"/>
    </row>
    <row r="3567" spans="1:57" x14ac:dyDescent="0.25">
      <c r="A3567" s="1"/>
      <c r="H3567" s="1"/>
      <c r="O3567" s="1"/>
      <c r="V3567" s="1"/>
      <c r="AC3567" s="1"/>
      <c r="AJ3567" s="1"/>
      <c r="AQ3567" s="1"/>
      <c r="AX3567" s="1"/>
      <c r="BE3567" s="1"/>
    </row>
    <row r="3568" spans="1:57" x14ac:dyDescent="0.25">
      <c r="A3568" s="1"/>
      <c r="H3568" s="1"/>
      <c r="O3568" s="1"/>
      <c r="V3568" s="1"/>
      <c r="AC3568" s="1"/>
      <c r="AJ3568" s="1"/>
      <c r="AQ3568" s="1"/>
      <c r="AX3568" s="1"/>
      <c r="BE3568" s="1"/>
    </row>
    <row r="3569" spans="1:57" x14ac:dyDescent="0.25">
      <c r="A3569" s="1"/>
      <c r="H3569" s="1"/>
      <c r="O3569" s="1"/>
      <c r="V3569" s="1"/>
      <c r="AC3569" s="1"/>
      <c r="AJ3569" s="1"/>
      <c r="AQ3569" s="1"/>
      <c r="AX3569" s="1"/>
      <c r="BE3569" s="1"/>
    </row>
    <row r="3570" spans="1:57" x14ac:dyDescent="0.25">
      <c r="A3570" s="1"/>
      <c r="H3570" s="1"/>
      <c r="O3570" s="1"/>
      <c r="V3570" s="1"/>
      <c r="AC3570" s="1"/>
      <c r="AJ3570" s="1"/>
      <c r="AQ3570" s="1"/>
      <c r="AX3570" s="1"/>
      <c r="BE3570" s="1"/>
    </row>
    <row r="3571" spans="1:57" x14ac:dyDescent="0.25">
      <c r="A3571" s="1"/>
      <c r="H3571" s="1"/>
      <c r="O3571" s="1"/>
      <c r="V3571" s="1"/>
      <c r="AC3571" s="1"/>
      <c r="AJ3571" s="1"/>
      <c r="AQ3571" s="1"/>
      <c r="AX3571" s="1"/>
      <c r="BE3571" s="1"/>
    </row>
    <row r="3572" spans="1:57" x14ac:dyDescent="0.25">
      <c r="A3572" s="1"/>
      <c r="H3572" s="1"/>
      <c r="O3572" s="1"/>
      <c r="V3572" s="1"/>
      <c r="AC3572" s="1"/>
      <c r="AJ3572" s="1"/>
      <c r="AQ3572" s="1"/>
      <c r="AX3572" s="1"/>
      <c r="BE3572" s="1"/>
    </row>
    <row r="3573" spans="1:57" x14ac:dyDescent="0.25">
      <c r="A3573" s="1"/>
      <c r="H3573" s="1"/>
      <c r="O3573" s="1"/>
      <c r="V3573" s="1"/>
      <c r="AC3573" s="1"/>
      <c r="AJ3573" s="1"/>
      <c r="AQ3573" s="1"/>
      <c r="AX3573" s="1"/>
      <c r="BE3573" s="1"/>
    </row>
    <row r="3574" spans="1:57" x14ac:dyDescent="0.25">
      <c r="A3574" s="1"/>
      <c r="H3574" s="1"/>
      <c r="O3574" s="1"/>
      <c r="V3574" s="1"/>
      <c r="AC3574" s="1"/>
      <c r="AJ3574" s="1"/>
      <c r="AQ3574" s="1"/>
      <c r="AX3574" s="1"/>
      <c r="BE3574" s="1"/>
    </row>
    <row r="3575" spans="1:57" x14ac:dyDescent="0.25">
      <c r="A3575" s="1"/>
      <c r="H3575" s="1"/>
      <c r="O3575" s="1"/>
      <c r="V3575" s="1"/>
      <c r="AC3575" s="1"/>
      <c r="AJ3575" s="1"/>
      <c r="AQ3575" s="1"/>
      <c r="AX3575" s="1"/>
      <c r="BE3575" s="1"/>
    </row>
    <row r="3576" spans="1:57" x14ac:dyDescent="0.25">
      <c r="A3576" s="1"/>
      <c r="H3576" s="1"/>
      <c r="O3576" s="1"/>
      <c r="V3576" s="1"/>
      <c r="AC3576" s="1"/>
      <c r="AJ3576" s="1"/>
      <c r="AQ3576" s="1"/>
      <c r="AX3576" s="1"/>
      <c r="BE3576" s="1"/>
    </row>
    <row r="3577" spans="1:57" x14ac:dyDescent="0.25">
      <c r="A3577" s="1"/>
      <c r="H3577" s="1"/>
      <c r="O3577" s="1"/>
      <c r="V3577" s="1"/>
      <c r="AC3577" s="1"/>
      <c r="AJ3577" s="1"/>
      <c r="AQ3577" s="1"/>
      <c r="AX3577" s="1"/>
      <c r="BE3577" s="1"/>
    </row>
    <row r="3578" spans="1:57" x14ac:dyDescent="0.25">
      <c r="A3578" s="1"/>
      <c r="H3578" s="1"/>
      <c r="O3578" s="1"/>
      <c r="V3578" s="1"/>
      <c r="AC3578" s="1"/>
      <c r="AJ3578" s="1"/>
      <c r="AQ3578" s="1"/>
      <c r="AX3578" s="1"/>
      <c r="BE3578" s="1"/>
    </row>
    <row r="3579" spans="1:57" x14ac:dyDescent="0.25">
      <c r="A3579" s="1"/>
      <c r="H3579" s="1"/>
      <c r="O3579" s="1"/>
      <c r="V3579" s="1"/>
      <c r="AC3579" s="1"/>
      <c r="AJ3579" s="1"/>
      <c r="AQ3579" s="1"/>
      <c r="AX3579" s="1"/>
      <c r="BE3579" s="1"/>
    </row>
    <row r="3580" spans="1:57" x14ac:dyDescent="0.25">
      <c r="A3580" s="1"/>
      <c r="H3580" s="1"/>
      <c r="O3580" s="1"/>
      <c r="V3580" s="1"/>
      <c r="AC3580" s="1"/>
      <c r="AJ3580" s="1"/>
      <c r="AQ3580" s="1"/>
      <c r="AX3580" s="1"/>
      <c r="BE3580" s="1"/>
    </row>
    <row r="3581" spans="1:57" x14ac:dyDescent="0.25">
      <c r="A3581" s="1"/>
      <c r="H3581" s="1"/>
      <c r="O3581" s="1"/>
      <c r="V3581" s="1"/>
      <c r="AC3581" s="1"/>
      <c r="AJ3581" s="1"/>
      <c r="AQ3581" s="1"/>
      <c r="AX3581" s="1"/>
      <c r="BE3581" s="1"/>
    </row>
    <row r="3582" spans="1:57" x14ac:dyDescent="0.25">
      <c r="A3582" s="1"/>
      <c r="H3582" s="1"/>
      <c r="O3582" s="1"/>
      <c r="V3582" s="1"/>
      <c r="AC3582" s="1"/>
      <c r="AJ3582" s="1"/>
      <c r="AQ3582" s="1"/>
      <c r="AX3582" s="1"/>
      <c r="BE3582" s="1"/>
    </row>
    <row r="3583" spans="1:57" x14ac:dyDescent="0.25">
      <c r="A3583" s="1"/>
      <c r="H3583" s="1"/>
      <c r="O3583" s="1"/>
      <c r="V3583" s="1"/>
      <c r="AC3583" s="1"/>
      <c r="AJ3583" s="1"/>
      <c r="AQ3583" s="1"/>
      <c r="AX3583" s="1"/>
      <c r="BE3583" s="1"/>
    </row>
    <row r="3584" spans="1:57" x14ac:dyDescent="0.25">
      <c r="A3584" s="1"/>
      <c r="H3584" s="1"/>
      <c r="O3584" s="1"/>
      <c r="V3584" s="1"/>
      <c r="AC3584" s="1"/>
      <c r="AJ3584" s="1"/>
      <c r="AQ3584" s="1"/>
      <c r="AX3584" s="1"/>
      <c r="BE3584" s="1"/>
    </row>
    <row r="3585" spans="1:57" x14ac:dyDescent="0.25">
      <c r="A3585" s="1"/>
      <c r="H3585" s="1"/>
      <c r="O3585" s="1"/>
      <c r="V3585" s="1"/>
      <c r="AC3585" s="1"/>
      <c r="AJ3585" s="1"/>
      <c r="AQ3585" s="1"/>
      <c r="AX3585" s="1"/>
      <c r="BE3585" s="1"/>
    </row>
    <row r="3586" spans="1:57" x14ac:dyDescent="0.25">
      <c r="A3586" s="1"/>
      <c r="H3586" s="1"/>
      <c r="O3586" s="1"/>
      <c r="V3586" s="1"/>
      <c r="AC3586" s="1"/>
      <c r="AJ3586" s="1"/>
      <c r="AQ3586" s="1"/>
      <c r="AX3586" s="1"/>
      <c r="BE3586" s="1"/>
    </row>
    <row r="3587" spans="1:57" x14ac:dyDescent="0.25">
      <c r="A3587" s="1"/>
      <c r="H3587" s="1"/>
      <c r="O3587" s="1"/>
      <c r="V3587" s="1"/>
      <c r="AC3587" s="1"/>
      <c r="AJ3587" s="1"/>
      <c r="AQ3587" s="1"/>
      <c r="AX3587" s="1"/>
      <c r="BE3587" s="1"/>
    </row>
    <row r="3588" spans="1:57" x14ac:dyDescent="0.25">
      <c r="A3588" s="1"/>
      <c r="H3588" s="1"/>
      <c r="O3588" s="1"/>
      <c r="V3588" s="1"/>
      <c r="AC3588" s="1"/>
      <c r="AJ3588" s="1"/>
      <c r="AQ3588" s="1"/>
      <c r="AX3588" s="1"/>
      <c r="BE3588" s="1"/>
    </row>
    <row r="3589" spans="1:57" x14ac:dyDescent="0.25">
      <c r="A3589" s="1"/>
      <c r="H3589" s="1"/>
      <c r="O3589" s="1"/>
      <c r="V3589" s="1"/>
      <c r="AC3589" s="1"/>
      <c r="AJ3589" s="1"/>
      <c r="AQ3589" s="1"/>
      <c r="AX3589" s="1"/>
      <c r="BE3589" s="1"/>
    </row>
    <row r="3590" spans="1:57" x14ac:dyDescent="0.25">
      <c r="A3590" s="1"/>
      <c r="H3590" s="1"/>
      <c r="O3590" s="1"/>
      <c r="V3590" s="1"/>
      <c r="AC3590" s="1"/>
      <c r="AJ3590" s="1"/>
      <c r="AQ3590" s="1"/>
      <c r="AX3590" s="1"/>
      <c r="BE3590" s="1"/>
    </row>
    <row r="3591" spans="1:57" x14ac:dyDescent="0.25">
      <c r="A3591" s="1"/>
      <c r="H3591" s="1"/>
      <c r="O3591" s="1"/>
      <c r="V3591" s="1"/>
      <c r="AC3591" s="1"/>
      <c r="AJ3591" s="1"/>
      <c r="AQ3591" s="1"/>
      <c r="AX3591" s="1"/>
      <c r="BE3591" s="1"/>
    </row>
    <row r="3592" spans="1:57" x14ac:dyDescent="0.25">
      <c r="A3592" s="1"/>
      <c r="H3592" s="1"/>
      <c r="O3592" s="1"/>
      <c r="V3592" s="1"/>
      <c r="AC3592" s="1"/>
      <c r="AJ3592" s="1"/>
      <c r="AQ3592" s="1"/>
      <c r="AX3592" s="1"/>
      <c r="BE3592" s="1"/>
    </row>
    <row r="3593" spans="1:57" x14ac:dyDescent="0.25">
      <c r="A3593" s="1"/>
      <c r="H3593" s="1"/>
      <c r="O3593" s="1"/>
      <c r="V3593" s="1"/>
      <c r="AC3593" s="1"/>
      <c r="AJ3593" s="1"/>
      <c r="AQ3593" s="1"/>
      <c r="AX3593" s="1"/>
      <c r="BE3593" s="1"/>
    </row>
    <row r="3594" spans="1:57" x14ac:dyDescent="0.25">
      <c r="A3594" s="1"/>
      <c r="H3594" s="1"/>
      <c r="O3594" s="1"/>
      <c r="V3594" s="1"/>
      <c r="AC3594" s="1"/>
      <c r="AJ3594" s="1"/>
      <c r="AQ3594" s="1"/>
      <c r="AX3594" s="1"/>
      <c r="BE3594" s="1"/>
    </row>
    <row r="3595" spans="1:57" x14ac:dyDescent="0.25">
      <c r="A3595" s="1"/>
      <c r="H3595" s="1"/>
      <c r="O3595" s="1"/>
      <c r="V3595" s="1"/>
      <c r="AC3595" s="1"/>
      <c r="AJ3595" s="1"/>
      <c r="AQ3595" s="1"/>
      <c r="AX3595" s="1"/>
      <c r="BE3595" s="1"/>
    </row>
    <row r="3596" spans="1:57" x14ac:dyDescent="0.25">
      <c r="A3596" s="1"/>
      <c r="H3596" s="1"/>
      <c r="O3596" s="1"/>
      <c r="V3596" s="1"/>
      <c r="AC3596" s="1"/>
      <c r="AJ3596" s="1"/>
      <c r="AQ3596" s="1"/>
      <c r="AX3596" s="1"/>
      <c r="BE3596" s="1"/>
    </row>
    <row r="3597" spans="1:57" x14ac:dyDescent="0.25">
      <c r="A3597" s="1"/>
      <c r="H3597" s="1"/>
      <c r="O3597" s="1"/>
      <c r="V3597" s="1"/>
      <c r="AC3597" s="1"/>
      <c r="AJ3597" s="1"/>
      <c r="AQ3597" s="1"/>
      <c r="AX3597" s="1"/>
      <c r="BE3597" s="1"/>
    </row>
    <row r="3598" spans="1:57" x14ac:dyDescent="0.25">
      <c r="A3598" s="1"/>
      <c r="H3598" s="1"/>
      <c r="O3598" s="1"/>
      <c r="V3598" s="1"/>
      <c r="AC3598" s="1"/>
      <c r="AJ3598" s="1"/>
      <c r="AQ3598" s="1"/>
      <c r="AX3598" s="1"/>
      <c r="BE3598" s="1"/>
    </row>
    <row r="3599" spans="1:57" x14ac:dyDescent="0.25">
      <c r="A3599" s="1"/>
      <c r="H3599" s="1"/>
      <c r="O3599" s="1"/>
      <c r="V3599" s="1"/>
      <c r="AC3599" s="1"/>
      <c r="AJ3599" s="1"/>
      <c r="AQ3599" s="1"/>
      <c r="AX3599" s="1"/>
      <c r="BE3599" s="1"/>
    </row>
    <row r="3600" spans="1:57" x14ac:dyDescent="0.25">
      <c r="A3600" s="1"/>
      <c r="H3600" s="1"/>
      <c r="O3600" s="1"/>
      <c r="V3600" s="1"/>
      <c r="AC3600" s="1"/>
      <c r="AJ3600" s="1"/>
      <c r="AQ3600" s="1"/>
      <c r="AX3600" s="1"/>
      <c r="BE3600" s="1"/>
    </row>
    <row r="3601" spans="1:57" x14ac:dyDescent="0.25">
      <c r="A3601" s="1"/>
      <c r="H3601" s="1"/>
      <c r="O3601" s="1"/>
      <c r="V3601" s="1"/>
      <c r="AC3601" s="1"/>
      <c r="AJ3601" s="1"/>
      <c r="AQ3601" s="1"/>
      <c r="AX3601" s="1"/>
      <c r="BE3601" s="1"/>
    </row>
    <row r="3602" spans="1:57" x14ac:dyDescent="0.25">
      <c r="A3602" s="1"/>
      <c r="H3602" s="1"/>
      <c r="O3602" s="1"/>
      <c r="V3602" s="1"/>
      <c r="AC3602" s="1"/>
      <c r="AJ3602" s="1"/>
      <c r="AQ3602" s="1"/>
      <c r="AX3602" s="1"/>
      <c r="BE3602" s="1"/>
    </row>
    <row r="3603" spans="1:57" x14ac:dyDescent="0.25">
      <c r="A3603" s="1"/>
      <c r="H3603" s="1"/>
      <c r="O3603" s="1"/>
      <c r="V3603" s="1"/>
      <c r="AC3603" s="1"/>
      <c r="AJ3603" s="1"/>
      <c r="AQ3603" s="1"/>
      <c r="AX3603" s="1"/>
      <c r="BE3603" s="1"/>
    </row>
    <row r="3604" spans="1:57" x14ac:dyDescent="0.25">
      <c r="A3604" s="1"/>
      <c r="H3604" s="1"/>
      <c r="O3604" s="1"/>
      <c r="V3604" s="1"/>
      <c r="AC3604" s="1"/>
      <c r="AJ3604" s="1"/>
      <c r="AQ3604" s="1"/>
      <c r="AX3604" s="1"/>
      <c r="BE3604" s="1"/>
    </row>
    <row r="3605" spans="1:57" x14ac:dyDescent="0.25">
      <c r="A3605" s="1"/>
      <c r="H3605" s="1"/>
      <c r="O3605" s="1"/>
      <c r="V3605" s="1"/>
      <c r="AC3605" s="1"/>
      <c r="AJ3605" s="1"/>
      <c r="AQ3605" s="1"/>
      <c r="AX3605" s="1"/>
      <c r="BE3605" s="1"/>
    </row>
    <row r="3606" spans="1:57" x14ac:dyDescent="0.25">
      <c r="A3606" s="1"/>
      <c r="H3606" s="1"/>
      <c r="O3606" s="1"/>
      <c r="V3606" s="1"/>
      <c r="AC3606" s="1"/>
      <c r="AJ3606" s="1"/>
      <c r="AQ3606" s="1"/>
      <c r="AX3606" s="1"/>
      <c r="BE3606" s="1"/>
    </row>
    <row r="3607" spans="1:57" x14ac:dyDescent="0.25">
      <c r="A3607" s="1"/>
      <c r="H3607" s="1"/>
      <c r="O3607" s="1"/>
      <c r="V3607" s="1"/>
      <c r="AC3607" s="1"/>
      <c r="AJ3607" s="1"/>
      <c r="AQ3607" s="1"/>
      <c r="AX3607" s="1"/>
      <c r="BE3607" s="1"/>
    </row>
    <row r="3608" spans="1:57" x14ac:dyDescent="0.25">
      <c r="A3608" s="1"/>
      <c r="H3608" s="1"/>
      <c r="O3608" s="1"/>
      <c r="V3608" s="1"/>
      <c r="AC3608" s="1"/>
      <c r="AJ3608" s="1"/>
      <c r="AQ3608" s="1"/>
      <c r="AX3608" s="1"/>
      <c r="BE3608" s="1"/>
    </row>
    <row r="3609" spans="1:57" x14ac:dyDescent="0.25">
      <c r="A3609" s="1"/>
      <c r="H3609" s="1"/>
      <c r="O3609" s="1"/>
      <c r="V3609" s="1"/>
      <c r="AC3609" s="1"/>
      <c r="AJ3609" s="1"/>
      <c r="AQ3609" s="1"/>
      <c r="AX3609" s="1"/>
      <c r="BE3609" s="1"/>
    </row>
    <row r="3610" spans="1:57" x14ac:dyDescent="0.25">
      <c r="A3610" s="1"/>
      <c r="H3610" s="1"/>
      <c r="O3610" s="1"/>
      <c r="V3610" s="1"/>
      <c r="AC3610" s="1"/>
      <c r="AJ3610" s="1"/>
      <c r="AQ3610" s="1"/>
      <c r="AX3610" s="1"/>
      <c r="BE3610" s="1"/>
    </row>
    <row r="3611" spans="1:57" x14ac:dyDescent="0.25">
      <c r="A3611" s="1"/>
      <c r="H3611" s="1"/>
      <c r="O3611" s="1"/>
      <c r="V3611" s="1"/>
      <c r="AC3611" s="1"/>
      <c r="AJ3611" s="1"/>
      <c r="AQ3611" s="1"/>
      <c r="AX3611" s="1"/>
      <c r="BE3611" s="1"/>
    </row>
    <row r="3612" spans="1:57" x14ac:dyDescent="0.25">
      <c r="A3612" s="1"/>
      <c r="H3612" s="1"/>
      <c r="O3612" s="1"/>
      <c r="V3612" s="1"/>
      <c r="AC3612" s="1"/>
      <c r="AJ3612" s="1"/>
      <c r="AQ3612" s="1"/>
      <c r="AX3612" s="1"/>
      <c r="BE3612" s="1"/>
    </row>
    <row r="3613" spans="1:57" x14ac:dyDescent="0.25">
      <c r="A3613" s="1"/>
      <c r="H3613" s="1"/>
      <c r="O3613" s="1"/>
      <c r="V3613" s="1"/>
      <c r="AC3613" s="1"/>
      <c r="AJ3613" s="1"/>
      <c r="AQ3613" s="1"/>
      <c r="AX3613" s="1"/>
      <c r="BE3613" s="1"/>
    </row>
    <row r="3614" spans="1:57" x14ac:dyDescent="0.25">
      <c r="A3614" s="1"/>
      <c r="H3614" s="1"/>
      <c r="O3614" s="1"/>
      <c r="V3614" s="1"/>
      <c r="AC3614" s="1"/>
      <c r="AJ3614" s="1"/>
      <c r="AQ3614" s="1"/>
      <c r="AX3614" s="1"/>
      <c r="BE3614" s="1"/>
    </row>
    <row r="3615" spans="1:57" x14ac:dyDescent="0.25">
      <c r="A3615" s="1"/>
      <c r="H3615" s="1"/>
      <c r="O3615" s="1"/>
      <c r="V3615" s="1"/>
      <c r="AC3615" s="1"/>
      <c r="AJ3615" s="1"/>
      <c r="AQ3615" s="1"/>
      <c r="AX3615" s="1"/>
      <c r="BE3615" s="1"/>
    </row>
    <row r="3616" spans="1:57" x14ac:dyDescent="0.25">
      <c r="A3616" s="1"/>
      <c r="H3616" s="1"/>
      <c r="O3616" s="1"/>
      <c r="V3616" s="1"/>
      <c r="AC3616" s="1"/>
      <c r="AJ3616" s="1"/>
      <c r="AQ3616" s="1"/>
      <c r="AX3616" s="1"/>
      <c r="BE3616" s="1"/>
    </row>
    <row r="3617" spans="1:57" x14ac:dyDescent="0.25">
      <c r="A3617" s="1"/>
      <c r="H3617" s="1"/>
      <c r="O3617" s="1"/>
      <c r="V3617" s="1"/>
      <c r="AC3617" s="1"/>
      <c r="AJ3617" s="1"/>
      <c r="AQ3617" s="1"/>
      <c r="AX3617" s="1"/>
      <c r="BE3617" s="1"/>
    </row>
    <row r="3618" spans="1:57" x14ac:dyDescent="0.25">
      <c r="A3618" s="1"/>
      <c r="H3618" s="1"/>
      <c r="O3618" s="1"/>
      <c r="V3618" s="1"/>
      <c r="AC3618" s="1"/>
      <c r="AJ3618" s="1"/>
      <c r="AQ3618" s="1"/>
      <c r="AX3618" s="1"/>
      <c r="BE3618" s="1"/>
    </row>
    <row r="3619" spans="1:57" x14ac:dyDescent="0.25">
      <c r="A3619" s="1"/>
      <c r="H3619" s="1"/>
      <c r="O3619" s="1"/>
      <c r="V3619" s="1"/>
      <c r="AC3619" s="1"/>
      <c r="AJ3619" s="1"/>
      <c r="AQ3619" s="1"/>
      <c r="AX3619" s="1"/>
      <c r="BE3619" s="1"/>
    </row>
    <row r="3620" spans="1:57" x14ac:dyDescent="0.25">
      <c r="A3620" s="1"/>
      <c r="H3620" s="1"/>
      <c r="O3620" s="1"/>
      <c r="V3620" s="1"/>
      <c r="AC3620" s="1"/>
      <c r="AJ3620" s="1"/>
      <c r="AQ3620" s="1"/>
      <c r="AX3620" s="1"/>
      <c r="BE3620" s="1"/>
    </row>
    <row r="3621" spans="1:57" x14ac:dyDescent="0.25">
      <c r="A3621" s="1"/>
      <c r="H3621" s="1"/>
      <c r="O3621" s="1"/>
      <c r="V3621" s="1"/>
      <c r="AC3621" s="1"/>
      <c r="AJ3621" s="1"/>
      <c r="AQ3621" s="1"/>
      <c r="AX3621" s="1"/>
      <c r="BE3621" s="1"/>
    </row>
    <row r="3622" spans="1:57" x14ac:dyDescent="0.25">
      <c r="A3622" s="1"/>
      <c r="H3622" s="1"/>
      <c r="O3622" s="1"/>
      <c r="V3622" s="1"/>
      <c r="AC3622" s="1"/>
      <c r="AJ3622" s="1"/>
      <c r="AQ3622" s="1"/>
      <c r="AX3622" s="1"/>
      <c r="BE3622" s="1"/>
    </row>
    <row r="3623" spans="1:57" x14ac:dyDescent="0.25">
      <c r="A3623" s="1"/>
      <c r="H3623" s="1"/>
      <c r="O3623" s="1"/>
      <c r="V3623" s="1"/>
      <c r="AC3623" s="1"/>
      <c r="AJ3623" s="1"/>
      <c r="AQ3623" s="1"/>
      <c r="AX3623" s="1"/>
      <c r="BE3623" s="1"/>
    </row>
    <row r="3624" spans="1:57" x14ac:dyDescent="0.25">
      <c r="A3624" s="1"/>
      <c r="H3624" s="1"/>
      <c r="O3624" s="1"/>
      <c r="V3624" s="1"/>
      <c r="AC3624" s="1"/>
      <c r="AJ3624" s="1"/>
      <c r="AQ3624" s="1"/>
      <c r="AX3624" s="1"/>
      <c r="BE3624" s="1"/>
    </row>
    <row r="3625" spans="1:57" x14ac:dyDescent="0.25">
      <c r="A3625" s="1"/>
      <c r="H3625" s="1"/>
      <c r="O3625" s="1"/>
      <c r="V3625" s="1"/>
      <c r="AC3625" s="1"/>
      <c r="AJ3625" s="1"/>
      <c r="AQ3625" s="1"/>
      <c r="AX3625" s="1"/>
      <c r="BE3625" s="1"/>
    </row>
    <row r="3626" spans="1:57" x14ac:dyDescent="0.25">
      <c r="A3626" s="1"/>
      <c r="H3626" s="1"/>
      <c r="O3626" s="1"/>
      <c r="V3626" s="1"/>
      <c r="AC3626" s="1"/>
      <c r="AJ3626" s="1"/>
      <c r="AQ3626" s="1"/>
      <c r="AX3626" s="1"/>
      <c r="BE3626" s="1"/>
    </row>
    <row r="3627" spans="1:57" x14ac:dyDescent="0.25">
      <c r="A3627" s="1"/>
      <c r="H3627" s="1"/>
      <c r="O3627" s="1"/>
      <c r="V3627" s="1"/>
      <c r="AC3627" s="1"/>
      <c r="AJ3627" s="1"/>
      <c r="AQ3627" s="1"/>
      <c r="AX3627" s="1"/>
      <c r="BE3627" s="1"/>
    </row>
    <row r="3628" spans="1:57" x14ac:dyDescent="0.25">
      <c r="A3628" s="1"/>
      <c r="H3628" s="1"/>
      <c r="O3628" s="1"/>
      <c r="V3628" s="1"/>
      <c r="AC3628" s="1"/>
      <c r="AJ3628" s="1"/>
      <c r="AQ3628" s="1"/>
      <c r="AX3628" s="1"/>
      <c r="BE3628" s="1"/>
    </row>
    <row r="3629" spans="1:57" x14ac:dyDescent="0.25">
      <c r="A3629" s="1"/>
      <c r="H3629" s="1"/>
      <c r="O3629" s="1"/>
      <c r="V3629" s="1"/>
      <c r="AC3629" s="1"/>
      <c r="AJ3629" s="1"/>
      <c r="AQ3629" s="1"/>
      <c r="AX3629" s="1"/>
      <c r="BE3629" s="1"/>
    </row>
    <row r="3630" spans="1:57" x14ac:dyDescent="0.25">
      <c r="A3630" s="1"/>
      <c r="H3630" s="1"/>
      <c r="O3630" s="1"/>
      <c r="V3630" s="1"/>
      <c r="AC3630" s="1"/>
      <c r="AJ3630" s="1"/>
      <c r="AQ3630" s="1"/>
      <c r="AX3630" s="1"/>
      <c r="BE3630" s="1"/>
    </row>
    <row r="3631" spans="1:57" x14ac:dyDescent="0.25">
      <c r="A3631" s="1"/>
      <c r="H3631" s="1"/>
      <c r="O3631" s="1"/>
      <c r="V3631" s="1"/>
      <c r="AC3631" s="1"/>
      <c r="AJ3631" s="1"/>
      <c r="AQ3631" s="1"/>
      <c r="AX3631" s="1"/>
      <c r="BE3631" s="1"/>
    </row>
    <row r="3632" spans="1:57" x14ac:dyDescent="0.25">
      <c r="A3632" s="1"/>
      <c r="H3632" s="1"/>
      <c r="O3632" s="1"/>
      <c r="V3632" s="1"/>
      <c r="AC3632" s="1"/>
      <c r="AJ3632" s="1"/>
      <c r="AQ3632" s="1"/>
      <c r="AX3632" s="1"/>
      <c r="BE3632" s="1"/>
    </row>
    <row r="3633" spans="1:57" x14ac:dyDescent="0.25">
      <c r="A3633" s="1"/>
      <c r="H3633" s="1"/>
      <c r="O3633" s="1"/>
      <c r="V3633" s="1"/>
      <c r="AC3633" s="1"/>
      <c r="AJ3633" s="1"/>
      <c r="AQ3633" s="1"/>
      <c r="AX3633" s="1"/>
      <c r="BE3633" s="1"/>
    </row>
    <row r="3634" spans="1:57" x14ac:dyDescent="0.25">
      <c r="A3634" s="1"/>
      <c r="H3634" s="1"/>
      <c r="O3634" s="1"/>
      <c r="V3634" s="1"/>
      <c r="AC3634" s="1"/>
      <c r="AJ3634" s="1"/>
      <c r="AQ3634" s="1"/>
      <c r="AX3634" s="1"/>
      <c r="BE3634" s="1"/>
    </row>
    <row r="3635" spans="1:57" x14ac:dyDescent="0.25">
      <c r="A3635" s="1"/>
      <c r="H3635" s="1"/>
      <c r="O3635" s="1"/>
      <c r="V3635" s="1"/>
      <c r="AC3635" s="1"/>
      <c r="AJ3635" s="1"/>
      <c r="AQ3635" s="1"/>
      <c r="AX3635" s="1"/>
      <c r="BE3635" s="1"/>
    </row>
    <row r="3636" spans="1:57" x14ac:dyDescent="0.25">
      <c r="A3636" s="1"/>
      <c r="H3636" s="1"/>
      <c r="O3636" s="1"/>
      <c r="V3636" s="1"/>
      <c r="AC3636" s="1"/>
      <c r="AJ3636" s="1"/>
      <c r="AQ3636" s="1"/>
      <c r="AX3636" s="1"/>
      <c r="BE3636" s="1"/>
    </row>
    <row r="3637" spans="1:57" x14ac:dyDescent="0.25">
      <c r="A3637" s="1"/>
      <c r="H3637" s="1"/>
      <c r="O3637" s="1"/>
      <c r="V3637" s="1"/>
      <c r="AC3637" s="1"/>
      <c r="AJ3637" s="1"/>
      <c r="AQ3637" s="1"/>
      <c r="AX3637" s="1"/>
      <c r="BE3637" s="1"/>
    </row>
    <row r="3638" spans="1:57" x14ac:dyDescent="0.25">
      <c r="A3638" s="1"/>
      <c r="H3638" s="1"/>
      <c r="O3638" s="1"/>
      <c r="V3638" s="1"/>
      <c r="AC3638" s="1"/>
      <c r="AJ3638" s="1"/>
      <c r="AQ3638" s="1"/>
      <c r="AX3638" s="1"/>
      <c r="BE3638" s="1"/>
    </row>
    <row r="3639" spans="1:57" x14ac:dyDescent="0.25">
      <c r="A3639" s="1"/>
      <c r="H3639" s="1"/>
      <c r="O3639" s="1"/>
      <c r="V3639" s="1"/>
      <c r="AC3639" s="1"/>
      <c r="AJ3639" s="1"/>
      <c r="AQ3639" s="1"/>
      <c r="AX3639" s="1"/>
      <c r="BE3639" s="1"/>
    </row>
    <row r="3640" spans="1:57" x14ac:dyDescent="0.25">
      <c r="A3640" s="1"/>
      <c r="H3640" s="1"/>
      <c r="O3640" s="1"/>
      <c r="V3640" s="1"/>
      <c r="AC3640" s="1"/>
      <c r="AJ3640" s="1"/>
      <c r="AQ3640" s="1"/>
      <c r="AX3640" s="1"/>
      <c r="BE3640" s="1"/>
    </row>
    <row r="3641" spans="1:57" x14ac:dyDescent="0.25">
      <c r="A3641" s="1"/>
      <c r="H3641" s="1"/>
      <c r="O3641" s="1"/>
      <c r="V3641" s="1"/>
      <c r="AC3641" s="1"/>
      <c r="AJ3641" s="1"/>
      <c r="AQ3641" s="1"/>
      <c r="AX3641" s="1"/>
      <c r="BE3641" s="1"/>
    </row>
    <row r="3642" spans="1:57" x14ac:dyDescent="0.25">
      <c r="A3642" s="1"/>
      <c r="H3642" s="1"/>
      <c r="O3642" s="1"/>
      <c r="V3642" s="1"/>
      <c r="AC3642" s="1"/>
      <c r="AJ3642" s="1"/>
      <c r="AQ3642" s="1"/>
      <c r="AX3642" s="1"/>
      <c r="BE3642" s="1"/>
    </row>
    <row r="3643" spans="1:57" x14ac:dyDescent="0.25">
      <c r="A3643" s="1"/>
      <c r="H3643" s="1"/>
      <c r="O3643" s="1"/>
      <c r="V3643" s="1"/>
      <c r="AC3643" s="1"/>
      <c r="AJ3643" s="1"/>
      <c r="AQ3643" s="1"/>
      <c r="AX3643" s="1"/>
      <c r="BE3643" s="1"/>
    </row>
    <row r="3644" spans="1:57" x14ac:dyDescent="0.25">
      <c r="A3644" s="1"/>
      <c r="H3644" s="1"/>
      <c r="O3644" s="1"/>
      <c r="V3644" s="1"/>
      <c r="AC3644" s="1"/>
      <c r="AJ3644" s="1"/>
      <c r="AQ3644" s="1"/>
      <c r="AX3644" s="1"/>
      <c r="BE3644" s="1"/>
    </row>
    <row r="3645" spans="1:57" x14ac:dyDescent="0.25">
      <c r="A3645" s="1"/>
      <c r="H3645" s="1"/>
      <c r="O3645" s="1"/>
      <c r="V3645" s="1"/>
      <c r="AC3645" s="1"/>
      <c r="AJ3645" s="1"/>
      <c r="AQ3645" s="1"/>
      <c r="AX3645" s="1"/>
      <c r="BE3645" s="1"/>
    </row>
    <row r="3646" spans="1:57" x14ac:dyDescent="0.25">
      <c r="A3646" s="1"/>
      <c r="H3646" s="1"/>
      <c r="O3646" s="1"/>
      <c r="V3646" s="1"/>
      <c r="AC3646" s="1"/>
      <c r="AJ3646" s="1"/>
      <c r="AQ3646" s="1"/>
      <c r="AX3646" s="1"/>
      <c r="BE3646" s="1"/>
    </row>
    <row r="3647" spans="1:57" x14ac:dyDescent="0.25">
      <c r="A3647" s="1"/>
      <c r="H3647" s="1"/>
      <c r="O3647" s="1"/>
      <c r="V3647" s="1"/>
      <c r="AC3647" s="1"/>
      <c r="AJ3647" s="1"/>
      <c r="AQ3647" s="1"/>
      <c r="AX3647" s="1"/>
      <c r="BE3647" s="1"/>
    </row>
    <row r="3648" spans="1:57" x14ac:dyDescent="0.25">
      <c r="A3648" s="1"/>
      <c r="H3648" s="1"/>
      <c r="O3648" s="1"/>
      <c r="V3648" s="1"/>
      <c r="AC3648" s="1"/>
      <c r="AJ3648" s="1"/>
      <c r="AQ3648" s="1"/>
      <c r="AX3648" s="1"/>
      <c r="BE3648" s="1"/>
    </row>
    <row r="3649" spans="1:57" x14ac:dyDescent="0.25">
      <c r="A3649" s="1"/>
      <c r="H3649" s="1"/>
      <c r="O3649" s="1"/>
      <c r="V3649" s="1"/>
      <c r="AC3649" s="1"/>
      <c r="AJ3649" s="1"/>
      <c r="AQ3649" s="1"/>
      <c r="AX3649" s="1"/>
      <c r="BE3649" s="1"/>
    </row>
    <row r="3650" spans="1:57" x14ac:dyDescent="0.25">
      <c r="A3650" s="1"/>
      <c r="H3650" s="1"/>
      <c r="O3650" s="1"/>
      <c r="V3650" s="1"/>
      <c r="AC3650" s="1"/>
      <c r="AJ3650" s="1"/>
      <c r="AQ3650" s="1"/>
      <c r="AX3650" s="1"/>
      <c r="BE3650" s="1"/>
    </row>
    <row r="3651" spans="1:57" x14ac:dyDescent="0.25">
      <c r="A3651" s="1"/>
      <c r="H3651" s="1"/>
      <c r="O3651" s="1"/>
      <c r="V3651" s="1"/>
      <c r="AC3651" s="1"/>
      <c r="AJ3651" s="1"/>
      <c r="AQ3651" s="1"/>
      <c r="AX3651" s="1"/>
      <c r="BE3651" s="1"/>
    </row>
    <row r="3652" spans="1:57" x14ac:dyDescent="0.25">
      <c r="A3652" s="1"/>
      <c r="H3652" s="1"/>
      <c r="O3652" s="1"/>
      <c r="V3652" s="1"/>
      <c r="AC3652" s="1"/>
      <c r="AJ3652" s="1"/>
      <c r="AQ3652" s="1"/>
      <c r="AX3652" s="1"/>
      <c r="BE3652" s="1"/>
    </row>
    <row r="3653" spans="1:57" x14ac:dyDescent="0.25">
      <c r="A3653" s="1"/>
      <c r="H3653" s="1"/>
      <c r="O3653" s="1"/>
      <c r="V3653" s="1"/>
      <c r="AC3653" s="1"/>
      <c r="AJ3653" s="1"/>
      <c r="AQ3653" s="1"/>
      <c r="AX3653" s="1"/>
      <c r="BE3653" s="1"/>
    </row>
    <row r="3654" spans="1:57" x14ac:dyDescent="0.25">
      <c r="A3654" s="1"/>
      <c r="H3654" s="1"/>
      <c r="O3654" s="1"/>
      <c r="V3654" s="1"/>
      <c r="AC3654" s="1"/>
      <c r="AJ3654" s="1"/>
      <c r="AQ3654" s="1"/>
      <c r="AX3654" s="1"/>
      <c r="BE3654" s="1"/>
    </row>
    <row r="3655" spans="1:57" x14ac:dyDescent="0.25">
      <c r="A3655" s="1"/>
      <c r="H3655" s="1"/>
      <c r="O3655" s="1"/>
      <c r="V3655" s="1"/>
      <c r="AC3655" s="1"/>
      <c r="AJ3655" s="1"/>
      <c r="AQ3655" s="1"/>
      <c r="AX3655" s="1"/>
      <c r="BE3655" s="1"/>
    </row>
    <row r="3656" spans="1:57" x14ac:dyDescent="0.25">
      <c r="A3656" s="1"/>
      <c r="H3656" s="1"/>
      <c r="O3656" s="1"/>
      <c r="V3656" s="1"/>
      <c r="AC3656" s="1"/>
      <c r="AJ3656" s="1"/>
      <c r="AQ3656" s="1"/>
      <c r="AX3656" s="1"/>
      <c r="BE3656" s="1"/>
    </row>
    <row r="3657" spans="1:57" x14ac:dyDescent="0.25">
      <c r="A3657" s="1"/>
      <c r="H3657" s="1"/>
      <c r="O3657" s="1"/>
      <c r="V3657" s="1"/>
      <c r="AC3657" s="1"/>
      <c r="AJ3657" s="1"/>
      <c r="AQ3657" s="1"/>
      <c r="AX3657" s="1"/>
      <c r="BE3657" s="1"/>
    </row>
    <row r="3658" spans="1:57" x14ac:dyDescent="0.25">
      <c r="A3658" s="1"/>
      <c r="H3658" s="1"/>
      <c r="O3658" s="1"/>
      <c r="V3658" s="1"/>
      <c r="AC3658" s="1"/>
      <c r="AJ3658" s="1"/>
      <c r="AQ3658" s="1"/>
      <c r="AX3658" s="1"/>
      <c r="BE3658" s="1"/>
    </row>
    <row r="3659" spans="1:57" x14ac:dyDescent="0.25">
      <c r="A3659" s="1"/>
      <c r="H3659" s="1"/>
      <c r="O3659" s="1"/>
      <c r="V3659" s="1"/>
      <c r="AC3659" s="1"/>
      <c r="AJ3659" s="1"/>
      <c r="AQ3659" s="1"/>
      <c r="AX3659" s="1"/>
      <c r="BE3659" s="1"/>
    </row>
    <row r="3660" spans="1:57" x14ac:dyDescent="0.25">
      <c r="A3660" s="1"/>
      <c r="H3660" s="1"/>
      <c r="O3660" s="1"/>
      <c r="V3660" s="1"/>
      <c r="AC3660" s="1"/>
      <c r="AJ3660" s="1"/>
      <c r="AQ3660" s="1"/>
      <c r="AX3660" s="1"/>
      <c r="BE3660" s="1"/>
    </row>
    <row r="3661" spans="1:57" x14ac:dyDescent="0.25">
      <c r="A3661" s="1"/>
      <c r="H3661" s="1"/>
      <c r="O3661" s="1"/>
      <c r="V3661" s="1"/>
      <c r="AC3661" s="1"/>
      <c r="AJ3661" s="1"/>
      <c r="AQ3661" s="1"/>
      <c r="AX3661" s="1"/>
      <c r="BE3661" s="1"/>
    </row>
    <row r="3662" spans="1:57" x14ac:dyDescent="0.25">
      <c r="A3662" s="1"/>
      <c r="H3662" s="1"/>
      <c r="O3662" s="1"/>
      <c r="V3662" s="1"/>
      <c r="AC3662" s="1"/>
      <c r="AJ3662" s="1"/>
      <c r="AQ3662" s="1"/>
      <c r="AX3662" s="1"/>
      <c r="BE3662" s="1"/>
    </row>
    <row r="3663" spans="1:57" x14ac:dyDescent="0.25">
      <c r="A3663" s="1"/>
      <c r="H3663" s="1"/>
      <c r="O3663" s="1"/>
      <c r="V3663" s="1"/>
      <c r="AC3663" s="1"/>
      <c r="AJ3663" s="1"/>
      <c r="AQ3663" s="1"/>
      <c r="AX3663" s="1"/>
      <c r="BE3663" s="1"/>
    </row>
    <row r="3664" spans="1:57" x14ac:dyDescent="0.25">
      <c r="A3664" s="1"/>
      <c r="H3664" s="1"/>
      <c r="O3664" s="1"/>
      <c r="V3664" s="1"/>
      <c r="AC3664" s="1"/>
      <c r="AJ3664" s="1"/>
      <c r="AQ3664" s="1"/>
      <c r="AX3664" s="1"/>
      <c r="BE3664" s="1"/>
    </row>
    <row r="3665" spans="1:57" x14ac:dyDescent="0.25">
      <c r="A3665" s="1"/>
      <c r="H3665" s="1"/>
      <c r="O3665" s="1"/>
      <c r="V3665" s="1"/>
      <c r="AC3665" s="1"/>
      <c r="AJ3665" s="1"/>
      <c r="AQ3665" s="1"/>
      <c r="AX3665" s="1"/>
      <c r="BE3665" s="1"/>
    </row>
    <row r="3666" spans="1:57" x14ac:dyDescent="0.25">
      <c r="A3666" s="1"/>
      <c r="H3666" s="1"/>
      <c r="O3666" s="1"/>
      <c r="V3666" s="1"/>
      <c r="AC3666" s="1"/>
      <c r="AJ3666" s="1"/>
      <c r="AQ3666" s="1"/>
      <c r="AX3666" s="1"/>
      <c r="BE3666" s="1"/>
    </row>
    <row r="3667" spans="1:57" x14ac:dyDescent="0.25">
      <c r="A3667" s="1"/>
      <c r="H3667" s="1"/>
      <c r="O3667" s="1"/>
      <c r="V3667" s="1"/>
      <c r="AC3667" s="1"/>
      <c r="AJ3667" s="1"/>
      <c r="AQ3667" s="1"/>
      <c r="AX3667" s="1"/>
      <c r="BE3667" s="1"/>
    </row>
    <row r="3668" spans="1:57" x14ac:dyDescent="0.25">
      <c r="A3668" s="1"/>
      <c r="H3668" s="1"/>
      <c r="O3668" s="1"/>
      <c r="V3668" s="1"/>
      <c r="AC3668" s="1"/>
      <c r="AJ3668" s="1"/>
      <c r="AQ3668" s="1"/>
      <c r="AX3668" s="1"/>
      <c r="BE3668" s="1"/>
    </row>
    <row r="3669" spans="1:57" x14ac:dyDescent="0.25">
      <c r="A3669" s="1"/>
      <c r="H3669" s="1"/>
      <c r="O3669" s="1"/>
      <c r="V3669" s="1"/>
      <c r="AC3669" s="1"/>
      <c r="AJ3669" s="1"/>
      <c r="AQ3669" s="1"/>
      <c r="AX3669" s="1"/>
      <c r="BE3669" s="1"/>
    </row>
    <row r="3670" spans="1:57" x14ac:dyDescent="0.25">
      <c r="A3670" s="1"/>
      <c r="H3670" s="1"/>
      <c r="O3670" s="1"/>
      <c r="V3670" s="1"/>
      <c r="AC3670" s="1"/>
      <c r="AJ3670" s="1"/>
      <c r="AQ3670" s="1"/>
      <c r="AX3670" s="1"/>
      <c r="BE3670" s="1"/>
    </row>
    <row r="3671" spans="1:57" x14ac:dyDescent="0.25">
      <c r="A3671" s="1"/>
      <c r="H3671" s="1"/>
      <c r="O3671" s="1"/>
      <c r="V3671" s="1"/>
      <c r="AC3671" s="1"/>
      <c r="AJ3671" s="1"/>
      <c r="AQ3671" s="1"/>
      <c r="AX3671" s="1"/>
      <c r="BE3671" s="1"/>
    </row>
    <row r="3672" spans="1:57" x14ac:dyDescent="0.25">
      <c r="A3672" s="1"/>
      <c r="H3672" s="1"/>
      <c r="O3672" s="1"/>
      <c r="V3672" s="1"/>
      <c r="AC3672" s="1"/>
      <c r="AJ3672" s="1"/>
      <c r="AQ3672" s="1"/>
      <c r="AX3672" s="1"/>
      <c r="BE3672" s="1"/>
    </row>
    <row r="3673" spans="1:57" x14ac:dyDescent="0.25">
      <c r="A3673" s="1"/>
      <c r="H3673" s="1"/>
      <c r="O3673" s="1"/>
      <c r="V3673" s="1"/>
      <c r="AC3673" s="1"/>
      <c r="AJ3673" s="1"/>
      <c r="AQ3673" s="1"/>
      <c r="AX3673" s="1"/>
      <c r="BE3673" s="1"/>
    </row>
    <row r="3674" spans="1:57" x14ac:dyDescent="0.25">
      <c r="A3674" s="1"/>
      <c r="H3674" s="1"/>
      <c r="O3674" s="1"/>
      <c r="V3674" s="1"/>
      <c r="AC3674" s="1"/>
      <c r="AJ3674" s="1"/>
      <c r="AQ3674" s="1"/>
      <c r="AX3674" s="1"/>
      <c r="BE3674" s="1"/>
    </row>
    <row r="3675" spans="1:57" x14ac:dyDescent="0.25">
      <c r="A3675" s="1"/>
      <c r="H3675" s="1"/>
      <c r="O3675" s="1"/>
      <c r="V3675" s="1"/>
      <c r="AC3675" s="1"/>
      <c r="AJ3675" s="1"/>
      <c r="AQ3675" s="1"/>
      <c r="AX3675" s="1"/>
      <c r="BE3675" s="1"/>
    </row>
    <row r="3676" spans="1:57" x14ac:dyDescent="0.25">
      <c r="A3676" s="1"/>
      <c r="H3676" s="1"/>
      <c r="O3676" s="1"/>
      <c r="V3676" s="1"/>
      <c r="AC3676" s="1"/>
      <c r="AJ3676" s="1"/>
      <c r="AQ3676" s="1"/>
      <c r="AX3676" s="1"/>
      <c r="BE3676" s="1"/>
    </row>
    <row r="3677" spans="1:57" x14ac:dyDescent="0.25">
      <c r="A3677" s="1"/>
      <c r="H3677" s="1"/>
      <c r="O3677" s="1"/>
      <c r="V3677" s="1"/>
      <c r="AC3677" s="1"/>
      <c r="AJ3677" s="1"/>
      <c r="AQ3677" s="1"/>
      <c r="AX3677" s="1"/>
      <c r="BE3677" s="1"/>
    </row>
    <row r="3678" spans="1:57" x14ac:dyDescent="0.25">
      <c r="A3678" s="1"/>
      <c r="H3678" s="1"/>
      <c r="O3678" s="1"/>
      <c r="V3678" s="1"/>
      <c r="AC3678" s="1"/>
      <c r="AJ3678" s="1"/>
      <c r="AQ3678" s="1"/>
      <c r="AX3678" s="1"/>
      <c r="BE3678" s="1"/>
    </row>
    <row r="3679" spans="1:57" x14ac:dyDescent="0.25">
      <c r="A3679" s="1"/>
      <c r="H3679" s="1"/>
      <c r="O3679" s="1"/>
      <c r="V3679" s="1"/>
      <c r="AC3679" s="1"/>
      <c r="AJ3679" s="1"/>
      <c r="AQ3679" s="1"/>
      <c r="AX3679" s="1"/>
      <c r="BE3679" s="1"/>
    </row>
    <row r="3680" spans="1:57" x14ac:dyDescent="0.25">
      <c r="A3680" s="1"/>
      <c r="H3680" s="1"/>
      <c r="O3680" s="1"/>
      <c r="V3680" s="1"/>
      <c r="AC3680" s="1"/>
      <c r="AJ3680" s="1"/>
      <c r="AQ3680" s="1"/>
      <c r="AX3680" s="1"/>
      <c r="BE3680" s="1"/>
    </row>
    <row r="3681" spans="1:57" x14ac:dyDescent="0.25">
      <c r="A3681" s="1"/>
      <c r="H3681" s="1"/>
      <c r="O3681" s="1"/>
      <c r="V3681" s="1"/>
      <c r="AC3681" s="1"/>
      <c r="AJ3681" s="1"/>
      <c r="AQ3681" s="1"/>
      <c r="AX3681" s="1"/>
      <c r="BE3681" s="1"/>
    </row>
    <row r="3682" spans="1:57" x14ac:dyDescent="0.25">
      <c r="A3682" s="1"/>
      <c r="H3682" s="1"/>
      <c r="O3682" s="1"/>
      <c r="V3682" s="1"/>
      <c r="AC3682" s="1"/>
      <c r="AJ3682" s="1"/>
      <c r="AQ3682" s="1"/>
      <c r="AX3682" s="1"/>
      <c r="BE3682" s="1"/>
    </row>
    <row r="3683" spans="1:57" x14ac:dyDescent="0.25">
      <c r="A3683" s="1"/>
      <c r="H3683" s="1"/>
      <c r="O3683" s="1"/>
      <c r="V3683" s="1"/>
      <c r="AC3683" s="1"/>
      <c r="AJ3683" s="1"/>
      <c r="AQ3683" s="1"/>
      <c r="AX3683" s="1"/>
      <c r="BE3683" s="1"/>
    </row>
    <row r="3684" spans="1:57" x14ac:dyDescent="0.25">
      <c r="A3684" s="1"/>
      <c r="H3684" s="1"/>
      <c r="O3684" s="1"/>
      <c r="V3684" s="1"/>
      <c r="AC3684" s="1"/>
      <c r="AJ3684" s="1"/>
      <c r="AQ3684" s="1"/>
      <c r="AX3684" s="1"/>
      <c r="BE3684" s="1"/>
    </row>
    <row r="3685" spans="1:57" x14ac:dyDescent="0.25">
      <c r="A3685" s="1"/>
      <c r="H3685" s="1"/>
      <c r="O3685" s="1"/>
      <c r="V3685" s="1"/>
      <c r="AC3685" s="1"/>
      <c r="AJ3685" s="1"/>
      <c r="AQ3685" s="1"/>
      <c r="AX3685" s="1"/>
      <c r="BE3685" s="1"/>
    </row>
    <row r="3686" spans="1:57" x14ac:dyDescent="0.25">
      <c r="A3686" s="1"/>
      <c r="H3686" s="1"/>
      <c r="O3686" s="1"/>
      <c r="V3686" s="1"/>
      <c r="AC3686" s="1"/>
      <c r="AJ3686" s="1"/>
      <c r="AQ3686" s="1"/>
      <c r="AX3686" s="1"/>
      <c r="BE3686" s="1"/>
    </row>
    <row r="3687" spans="1:57" x14ac:dyDescent="0.25">
      <c r="A3687" s="1"/>
      <c r="H3687" s="1"/>
      <c r="O3687" s="1"/>
      <c r="V3687" s="1"/>
      <c r="AC3687" s="1"/>
      <c r="AJ3687" s="1"/>
      <c r="AQ3687" s="1"/>
      <c r="AX3687" s="1"/>
      <c r="BE3687" s="1"/>
    </row>
    <row r="3688" spans="1:57" x14ac:dyDescent="0.25">
      <c r="A3688" s="1"/>
      <c r="H3688" s="1"/>
      <c r="O3688" s="1"/>
      <c r="V3688" s="1"/>
      <c r="AC3688" s="1"/>
      <c r="AJ3688" s="1"/>
      <c r="AQ3688" s="1"/>
      <c r="AX3688" s="1"/>
      <c r="BE3688" s="1"/>
    </row>
    <row r="3689" spans="1:57" x14ac:dyDescent="0.25">
      <c r="A3689" s="1"/>
      <c r="H3689" s="1"/>
      <c r="O3689" s="1"/>
      <c r="V3689" s="1"/>
      <c r="AC3689" s="1"/>
      <c r="AJ3689" s="1"/>
      <c r="AQ3689" s="1"/>
      <c r="AX3689" s="1"/>
      <c r="BE3689" s="1"/>
    </row>
    <row r="3690" spans="1:57" x14ac:dyDescent="0.25">
      <c r="A3690" s="1"/>
      <c r="H3690" s="1"/>
      <c r="O3690" s="1"/>
      <c r="V3690" s="1"/>
      <c r="AC3690" s="1"/>
      <c r="AJ3690" s="1"/>
      <c r="AQ3690" s="1"/>
      <c r="AX3690" s="1"/>
      <c r="BE3690" s="1"/>
    </row>
    <row r="3691" spans="1:57" x14ac:dyDescent="0.25">
      <c r="A3691" s="1"/>
      <c r="H3691" s="1"/>
      <c r="O3691" s="1"/>
      <c r="V3691" s="1"/>
      <c r="AC3691" s="1"/>
      <c r="AJ3691" s="1"/>
      <c r="AQ3691" s="1"/>
      <c r="AX3691" s="1"/>
      <c r="BE3691" s="1"/>
    </row>
    <row r="3692" spans="1:57" x14ac:dyDescent="0.25">
      <c r="A3692" s="1"/>
      <c r="H3692" s="1"/>
      <c r="O3692" s="1"/>
      <c r="V3692" s="1"/>
      <c r="AC3692" s="1"/>
      <c r="AJ3692" s="1"/>
      <c r="AQ3692" s="1"/>
      <c r="AX3692" s="1"/>
      <c r="BE3692" s="1"/>
    </row>
    <row r="3693" spans="1:57" x14ac:dyDescent="0.25">
      <c r="A3693" s="1"/>
      <c r="H3693" s="1"/>
      <c r="O3693" s="1"/>
      <c r="V3693" s="1"/>
      <c r="AC3693" s="1"/>
      <c r="AJ3693" s="1"/>
      <c r="AQ3693" s="1"/>
      <c r="AX3693" s="1"/>
      <c r="BE3693" s="1"/>
    </row>
    <row r="3694" spans="1:57" x14ac:dyDescent="0.25">
      <c r="A3694" s="1"/>
      <c r="H3694" s="1"/>
      <c r="O3694" s="1"/>
      <c r="V3694" s="1"/>
      <c r="AC3694" s="1"/>
      <c r="AJ3694" s="1"/>
      <c r="AQ3694" s="1"/>
      <c r="AX3694" s="1"/>
      <c r="BE3694" s="1"/>
    </row>
    <row r="3695" spans="1:57" x14ac:dyDescent="0.25">
      <c r="A3695" s="1"/>
      <c r="H3695" s="1"/>
      <c r="O3695" s="1"/>
      <c r="V3695" s="1"/>
      <c r="AC3695" s="1"/>
      <c r="AJ3695" s="1"/>
      <c r="AQ3695" s="1"/>
      <c r="AX3695" s="1"/>
      <c r="BE3695" s="1"/>
    </row>
    <row r="3696" spans="1:57" x14ac:dyDescent="0.25">
      <c r="A3696" s="1"/>
      <c r="H3696" s="1"/>
      <c r="O3696" s="1"/>
      <c r="V3696" s="1"/>
      <c r="AC3696" s="1"/>
      <c r="AJ3696" s="1"/>
      <c r="AQ3696" s="1"/>
      <c r="AX3696" s="1"/>
      <c r="BE3696" s="1"/>
    </row>
    <row r="3697" spans="1:57" x14ac:dyDescent="0.25">
      <c r="A3697" s="1"/>
      <c r="H3697" s="1"/>
      <c r="O3697" s="1"/>
      <c r="V3697" s="1"/>
      <c r="AC3697" s="1"/>
      <c r="AJ3697" s="1"/>
      <c r="AQ3697" s="1"/>
      <c r="AX3697" s="1"/>
      <c r="BE3697" s="1"/>
    </row>
    <row r="3698" spans="1:57" x14ac:dyDescent="0.25">
      <c r="A3698" s="1"/>
      <c r="H3698" s="1"/>
      <c r="O3698" s="1"/>
      <c r="V3698" s="1"/>
      <c r="AC3698" s="1"/>
      <c r="AJ3698" s="1"/>
      <c r="AQ3698" s="1"/>
      <c r="AX3698" s="1"/>
      <c r="BE3698" s="1"/>
    </row>
    <row r="3699" spans="1:57" x14ac:dyDescent="0.25">
      <c r="A3699" s="1"/>
      <c r="H3699" s="1"/>
      <c r="O3699" s="1"/>
      <c r="V3699" s="1"/>
      <c r="AC3699" s="1"/>
      <c r="AJ3699" s="1"/>
      <c r="AQ3699" s="1"/>
      <c r="AX3699" s="1"/>
      <c r="BE3699" s="1"/>
    </row>
    <row r="3700" spans="1:57" x14ac:dyDescent="0.25">
      <c r="A3700" s="1"/>
      <c r="H3700" s="1"/>
      <c r="O3700" s="1"/>
      <c r="V3700" s="1"/>
      <c r="AC3700" s="1"/>
      <c r="AJ3700" s="1"/>
      <c r="AQ3700" s="1"/>
      <c r="AX3700" s="1"/>
      <c r="BE3700" s="1"/>
    </row>
    <row r="3701" spans="1:57" x14ac:dyDescent="0.25">
      <c r="A3701" s="1"/>
      <c r="H3701" s="1"/>
      <c r="O3701" s="1"/>
      <c r="V3701" s="1"/>
      <c r="AC3701" s="1"/>
      <c r="AJ3701" s="1"/>
      <c r="AQ3701" s="1"/>
      <c r="AX3701" s="1"/>
      <c r="BE3701" s="1"/>
    </row>
    <row r="3702" spans="1:57" x14ac:dyDescent="0.25">
      <c r="A3702" s="1"/>
      <c r="H3702" s="1"/>
      <c r="O3702" s="1"/>
      <c r="V3702" s="1"/>
      <c r="AC3702" s="1"/>
      <c r="AJ3702" s="1"/>
      <c r="AQ3702" s="1"/>
      <c r="AX3702" s="1"/>
      <c r="BE3702" s="1"/>
    </row>
    <row r="3703" spans="1:57" x14ac:dyDescent="0.25">
      <c r="A3703" s="1"/>
      <c r="H3703" s="1"/>
      <c r="O3703" s="1"/>
      <c r="V3703" s="1"/>
      <c r="AC3703" s="1"/>
      <c r="AJ3703" s="1"/>
      <c r="AQ3703" s="1"/>
      <c r="AX3703" s="1"/>
      <c r="BE3703" s="1"/>
    </row>
    <row r="3704" spans="1:57" x14ac:dyDescent="0.25">
      <c r="A3704" s="1"/>
      <c r="H3704" s="1"/>
      <c r="O3704" s="1"/>
      <c r="V3704" s="1"/>
      <c r="AC3704" s="1"/>
      <c r="AJ3704" s="1"/>
      <c r="AQ3704" s="1"/>
      <c r="AX3704" s="1"/>
      <c r="BE3704" s="1"/>
    </row>
    <row r="3705" spans="1:57" x14ac:dyDescent="0.25">
      <c r="A3705" s="1"/>
      <c r="H3705" s="1"/>
      <c r="O3705" s="1"/>
      <c r="V3705" s="1"/>
      <c r="AC3705" s="1"/>
      <c r="AJ3705" s="1"/>
      <c r="AQ3705" s="1"/>
      <c r="AX3705" s="1"/>
      <c r="BE3705" s="1"/>
    </row>
    <row r="3706" spans="1:57" x14ac:dyDescent="0.25">
      <c r="A3706" s="1"/>
      <c r="H3706" s="1"/>
      <c r="O3706" s="1"/>
      <c r="V3706" s="1"/>
      <c r="AC3706" s="1"/>
      <c r="AJ3706" s="1"/>
      <c r="AQ3706" s="1"/>
      <c r="AX3706" s="1"/>
      <c r="BE3706" s="1"/>
    </row>
    <row r="3707" spans="1:57" x14ac:dyDescent="0.25">
      <c r="A3707" s="1"/>
      <c r="H3707" s="1"/>
      <c r="O3707" s="1"/>
      <c r="V3707" s="1"/>
      <c r="AC3707" s="1"/>
      <c r="AJ3707" s="1"/>
      <c r="AQ3707" s="1"/>
      <c r="AX3707" s="1"/>
      <c r="BE3707" s="1"/>
    </row>
    <row r="3708" spans="1:57" x14ac:dyDescent="0.25">
      <c r="A3708" s="1"/>
      <c r="H3708" s="1"/>
      <c r="O3708" s="1"/>
      <c r="V3708" s="1"/>
      <c r="AC3708" s="1"/>
      <c r="AJ3708" s="1"/>
      <c r="AQ3708" s="1"/>
      <c r="AX3708" s="1"/>
      <c r="BE3708" s="1"/>
    </row>
    <row r="3709" spans="1:57" x14ac:dyDescent="0.25">
      <c r="A3709" s="1"/>
      <c r="H3709" s="1"/>
      <c r="O3709" s="1"/>
      <c r="V3709" s="1"/>
      <c r="AC3709" s="1"/>
      <c r="AJ3709" s="1"/>
      <c r="AQ3709" s="1"/>
      <c r="AX3709" s="1"/>
      <c r="BE3709" s="1"/>
    </row>
    <row r="3710" spans="1:57" x14ac:dyDescent="0.25">
      <c r="A3710" s="1"/>
      <c r="H3710" s="1"/>
      <c r="O3710" s="1"/>
      <c r="V3710" s="1"/>
      <c r="AC3710" s="1"/>
      <c r="AJ3710" s="1"/>
      <c r="AQ3710" s="1"/>
      <c r="AX3710" s="1"/>
      <c r="BE3710" s="1"/>
    </row>
    <row r="3711" spans="1:57" x14ac:dyDescent="0.25">
      <c r="A3711" s="1"/>
      <c r="H3711" s="1"/>
      <c r="O3711" s="1"/>
      <c r="V3711" s="1"/>
      <c r="AC3711" s="1"/>
      <c r="AJ3711" s="1"/>
      <c r="AQ3711" s="1"/>
      <c r="AX3711" s="1"/>
      <c r="BE3711" s="1"/>
    </row>
    <row r="3712" spans="1:57" x14ac:dyDescent="0.25">
      <c r="A3712" s="1"/>
      <c r="H3712" s="1"/>
      <c r="O3712" s="1"/>
      <c r="V3712" s="1"/>
      <c r="AC3712" s="1"/>
      <c r="AJ3712" s="1"/>
      <c r="AQ3712" s="1"/>
      <c r="AX3712" s="1"/>
      <c r="BE3712" s="1"/>
    </row>
    <row r="3713" spans="1:57" x14ac:dyDescent="0.25">
      <c r="A3713" s="1"/>
      <c r="H3713" s="1"/>
      <c r="O3713" s="1"/>
      <c r="V3713" s="1"/>
      <c r="AC3713" s="1"/>
      <c r="AJ3713" s="1"/>
      <c r="AQ3713" s="1"/>
      <c r="AX3713" s="1"/>
      <c r="BE3713" s="1"/>
    </row>
    <row r="3714" spans="1:57" x14ac:dyDescent="0.25">
      <c r="A3714" s="1"/>
      <c r="H3714" s="1"/>
      <c r="O3714" s="1"/>
      <c r="V3714" s="1"/>
      <c r="AC3714" s="1"/>
      <c r="AJ3714" s="1"/>
      <c r="AQ3714" s="1"/>
      <c r="AX3714" s="1"/>
      <c r="BE3714" s="1"/>
    </row>
    <row r="3715" spans="1:57" x14ac:dyDescent="0.25">
      <c r="A3715" s="1"/>
      <c r="H3715" s="1"/>
      <c r="O3715" s="1"/>
      <c r="V3715" s="1"/>
      <c r="AC3715" s="1"/>
      <c r="AJ3715" s="1"/>
      <c r="AQ3715" s="1"/>
      <c r="AX3715" s="1"/>
      <c r="BE3715" s="1"/>
    </row>
    <row r="3716" spans="1:57" x14ac:dyDescent="0.25">
      <c r="A3716" s="1"/>
      <c r="H3716" s="1"/>
      <c r="O3716" s="1"/>
      <c r="V3716" s="1"/>
      <c r="AC3716" s="1"/>
      <c r="AJ3716" s="1"/>
      <c r="AQ3716" s="1"/>
      <c r="AX3716" s="1"/>
      <c r="BE3716" s="1"/>
    </row>
    <row r="3717" spans="1:57" x14ac:dyDescent="0.25">
      <c r="A3717" s="1"/>
      <c r="H3717" s="1"/>
      <c r="O3717" s="1"/>
      <c r="V3717" s="1"/>
      <c r="AC3717" s="1"/>
      <c r="AJ3717" s="1"/>
      <c r="AQ3717" s="1"/>
      <c r="AX3717" s="1"/>
      <c r="BE3717" s="1"/>
    </row>
    <row r="3718" spans="1:57" x14ac:dyDescent="0.25">
      <c r="A3718" s="1"/>
      <c r="H3718" s="1"/>
      <c r="O3718" s="1"/>
      <c r="V3718" s="1"/>
      <c r="AC3718" s="1"/>
      <c r="AJ3718" s="1"/>
      <c r="AQ3718" s="1"/>
      <c r="AX3718" s="1"/>
      <c r="BE3718" s="1"/>
    </row>
    <row r="3719" spans="1:57" x14ac:dyDescent="0.25">
      <c r="A3719" s="1"/>
      <c r="H3719" s="1"/>
      <c r="O3719" s="1"/>
      <c r="V3719" s="1"/>
      <c r="AC3719" s="1"/>
      <c r="AJ3719" s="1"/>
      <c r="AQ3719" s="1"/>
      <c r="AX3719" s="1"/>
      <c r="BE3719" s="1"/>
    </row>
    <row r="3720" spans="1:57" x14ac:dyDescent="0.25">
      <c r="A3720" s="1"/>
      <c r="H3720" s="1"/>
      <c r="O3720" s="1"/>
      <c r="V3720" s="1"/>
      <c r="AC3720" s="1"/>
      <c r="AJ3720" s="1"/>
      <c r="AQ3720" s="1"/>
      <c r="AX3720" s="1"/>
      <c r="BE3720" s="1"/>
    </row>
    <row r="3721" spans="1:57" x14ac:dyDescent="0.25">
      <c r="A3721" s="1"/>
      <c r="H3721" s="1"/>
      <c r="O3721" s="1"/>
      <c r="V3721" s="1"/>
      <c r="AC3721" s="1"/>
      <c r="AJ3721" s="1"/>
      <c r="AQ3721" s="1"/>
      <c r="AX3721" s="1"/>
      <c r="BE3721" s="1"/>
    </row>
    <row r="3722" spans="1:57" x14ac:dyDescent="0.25">
      <c r="A3722" s="1"/>
      <c r="H3722" s="1"/>
      <c r="O3722" s="1"/>
      <c r="V3722" s="1"/>
      <c r="AC3722" s="1"/>
      <c r="AJ3722" s="1"/>
      <c r="AQ3722" s="1"/>
      <c r="AX3722" s="1"/>
      <c r="BE3722" s="1"/>
    </row>
    <row r="3723" spans="1:57" x14ac:dyDescent="0.25">
      <c r="A3723" s="1"/>
      <c r="H3723" s="1"/>
      <c r="O3723" s="1"/>
      <c r="V3723" s="1"/>
      <c r="AC3723" s="1"/>
      <c r="AJ3723" s="1"/>
      <c r="AQ3723" s="1"/>
      <c r="AX3723" s="1"/>
      <c r="BE3723" s="1"/>
    </row>
    <row r="3724" spans="1:57" x14ac:dyDescent="0.25">
      <c r="A3724" s="1"/>
      <c r="H3724" s="1"/>
      <c r="O3724" s="1"/>
      <c r="V3724" s="1"/>
      <c r="AC3724" s="1"/>
      <c r="AJ3724" s="1"/>
      <c r="AQ3724" s="1"/>
      <c r="AX3724" s="1"/>
      <c r="BE3724" s="1"/>
    </row>
    <row r="3725" spans="1:57" x14ac:dyDescent="0.25">
      <c r="A3725" s="1"/>
      <c r="H3725" s="1"/>
      <c r="O3725" s="1"/>
      <c r="V3725" s="1"/>
      <c r="AC3725" s="1"/>
      <c r="AJ3725" s="1"/>
      <c r="AQ3725" s="1"/>
      <c r="AX3725" s="1"/>
      <c r="BE3725" s="1"/>
    </row>
    <row r="3726" spans="1:57" x14ac:dyDescent="0.25">
      <c r="A3726" s="1"/>
      <c r="H3726" s="1"/>
      <c r="O3726" s="1"/>
      <c r="V3726" s="1"/>
      <c r="AC3726" s="1"/>
      <c r="AJ3726" s="1"/>
      <c r="AQ3726" s="1"/>
      <c r="AX3726" s="1"/>
      <c r="BE3726" s="1"/>
    </row>
    <row r="3727" spans="1:57" x14ac:dyDescent="0.25">
      <c r="A3727" s="1"/>
      <c r="H3727" s="1"/>
      <c r="O3727" s="1"/>
      <c r="V3727" s="1"/>
      <c r="AC3727" s="1"/>
      <c r="AJ3727" s="1"/>
      <c r="AQ3727" s="1"/>
      <c r="AX3727" s="1"/>
      <c r="BE3727" s="1"/>
    </row>
    <row r="3728" spans="1:57" x14ac:dyDescent="0.25">
      <c r="A3728" s="1"/>
      <c r="H3728" s="1"/>
      <c r="O3728" s="1"/>
      <c r="V3728" s="1"/>
      <c r="AC3728" s="1"/>
      <c r="AJ3728" s="1"/>
      <c r="AQ3728" s="1"/>
      <c r="AX3728" s="1"/>
      <c r="BE3728" s="1"/>
    </row>
    <row r="3729" spans="1:57" x14ac:dyDescent="0.25">
      <c r="A3729" s="1"/>
      <c r="H3729" s="1"/>
      <c r="O3729" s="1"/>
      <c r="V3729" s="1"/>
      <c r="AC3729" s="1"/>
      <c r="AJ3729" s="1"/>
      <c r="AQ3729" s="1"/>
      <c r="AX3729" s="1"/>
      <c r="BE3729" s="1"/>
    </row>
    <row r="3730" spans="1:57" x14ac:dyDescent="0.25">
      <c r="A3730" s="1"/>
      <c r="H3730" s="1"/>
      <c r="O3730" s="1"/>
      <c r="V3730" s="1"/>
      <c r="AC3730" s="1"/>
      <c r="AJ3730" s="1"/>
      <c r="AQ3730" s="1"/>
      <c r="AX3730" s="1"/>
      <c r="BE3730" s="1"/>
    </row>
    <row r="3731" spans="1:57" x14ac:dyDescent="0.25">
      <c r="A3731" s="1"/>
      <c r="H3731" s="1"/>
      <c r="O3731" s="1"/>
      <c r="V3731" s="1"/>
      <c r="AC3731" s="1"/>
      <c r="AJ3731" s="1"/>
      <c r="AQ3731" s="1"/>
      <c r="AX3731" s="1"/>
      <c r="BE3731" s="1"/>
    </row>
    <row r="3732" spans="1:57" x14ac:dyDescent="0.25">
      <c r="A3732" s="1"/>
      <c r="H3732" s="1"/>
      <c r="O3732" s="1"/>
      <c r="V3732" s="1"/>
      <c r="AC3732" s="1"/>
      <c r="AJ3732" s="1"/>
      <c r="AQ3732" s="1"/>
      <c r="AX3732" s="1"/>
      <c r="BE3732" s="1"/>
    </row>
    <row r="3733" spans="1:57" x14ac:dyDescent="0.25">
      <c r="A3733" s="1"/>
      <c r="H3733" s="1"/>
      <c r="O3733" s="1"/>
      <c r="V3733" s="1"/>
      <c r="AC3733" s="1"/>
      <c r="AJ3733" s="1"/>
      <c r="AQ3733" s="1"/>
      <c r="AX3733" s="1"/>
      <c r="BE3733" s="1"/>
    </row>
    <row r="3734" spans="1:57" x14ac:dyDescent="0.25">
      <c r="A3734" s="1"/>
      <c r="H3734" s="1"/>
      <c r="O3734" s="1"/>
      <c r="V3734" s="1"/>
      <c r="AC3734" s="1"/>
      <c r="AJ3734" s="1"/>
      <c r="AQ3734" s="1"/>
      <c r="AX3734" s="1"/>
      <c r="BE3734" s="1"/>
    </row>
    <row r="3735" spans="1:57" x14ac:dyDescent="0.25">
      <c r="A3735" s="1"/>
      <c r="H3735" s="1"/>
      <c r="O3735" s="1"/>
      <c r="V3735" s="1"/>
      <c r="AC3735" s="1"/>
      <c r="AJ3735" s="1"/>
      <c r="AQ3735" s="1"/>
      <c r="AX3735" s="1"/>
      <c r="BE3735" s="1"/>
    </row>
    <row r="3736" spans="1:57" x14ac:dyDescent="0.25">
      <c r="A3736" s="1"/>
      <c r="H3736" s="1"/>
      <c r="O3736" s="1"/>
      <c r="V3736" s="1"/>
      <c r="AC3736" s="1"/>
      <c r="AJ3736" s="1"/>
      <c r="AQ3736" s="1"/>
      <c r="AX3736" s="1"/>
      <c r="BE3736" s="1"/>
    </row>
    <row r="3737" spans="1:57" x14ac:dyDescent="0.25">
      <c r="A3737" s="1"/>
      <c r="H3737" s="1"/>
      <c r="O3737" s="1"/>
      <c r="V3737" s="1"/>
      <c r="AC3737" s="1"/>
      <c r="AJ3737" s="1"/>
      <c r="AQ3737" s="1"/>
      <c r="AX3737" s="1"/>
      <c r="BE3737" s="1"/>
    </row>
    <row r="3738" spans="1:57" x14ac:dyDescent="0.25">
      <c r="A3738" s="1"/>
      <c r="H3738" s="1"/>
      <c r="O3738" s="1"/>
      <c r="V3738" s="1"/>
      <c r="AC3738" s="1"/>
      <c r="AJ3738" s="1"/>
      <c r="AQ3738" s="1"/>
      <c r="AX3738" s="1"/>
      <c r="BE3738" s="1"/>
    </row>
    <row r="3739" spans="1:57" x14ac:dyDescent="0.25">
      <c r="A3739" s="1"/>
      <c r="H3739" s="1"/>
      <c r="O3739" s="1"/>
      <c r="V3739" s="1"/>
      <c r="AC3739" s="1"/>
      <c r="AJ3739" s="1"/>
      <c r="AQ3739" s="1"/>
      <c r="AX3739" s="1"/>
      <c r="BE3739" s="1"/>
    </row>
    <row r="3740" spans="1:57" x14ac:dyDescent="0.25">
      <c r="A3740" s="1"/>
      <c r="H3740" s="1"/>
      <c r="O3740" s="1"/>
      <c r="V3740" s="1"/>
      <c r="AC3740" s="1"/>
      <c r="AJ3740" s="1"/>
      <c r="AQ3740" s="1"/>
      <c r="AX3740" s="1"/>
      <c r="BE3740" s="1"/>
    </row>
    <row r="3741" spans="1:57" x14ac:dyDescent="0.25">
      <c r="A3741" s="1"/>
      <c r="H3741" s="1"/>
      <c r="O3741" s="1"/>
      <c r="V3741" s="1"/>
      <c r="AC3741" s="1"/>
      <c r="AJ3741" s="1"/>
      <c r="AQ3741" s="1"/>
      <c r="AX3741" s="1"/>
      <c r="BE3741" s="1"/>
    </row>
    <row r="3742" spans="1:57" x14ac:dyDescent="0.25">
      <c r="A3742" s="1"/>
      <c r="H3742" s="1"/>
      <c r="O3742" s="1"/>
      <c r="V3742" s="1"/>
      <c r="AC3742" s="1"/>
      <c r="AJ3742" s="1"/>
      <c r="AQ3742" s="1"/>
      <c r="AX3742" s="1"/>
      <c r="BE3742" s="1"/>
    </row>
    <row r="3743" spans="1:57" x14ac:dyDescent="0.25">
      <c r="A3743" s="1"/>
      <c r="H3743" s="1"/>
      <c r="O3743" s="1"/>
      <c r="V3743" s="1"/>
      <c r="AC3743" s="1"/>
      <c r="AJ3743" s="1"/>
      <c r="AQ3743" s="1"/>
      <c r="AX3743" s="1"/>
      <c r="BE3743" s="1"/>
    </row>
    <row r="3744" spans="1:57" x14ac:dyDescent="0.25">
      <c r="A3744" s="1"/>
      <c r="H3744" s="1"/>
      <c r="O3744" s="1"/>
      <c r="V3744" s="1"/>
      <c r="AC3744" s="1"/>
      <c r="AJ3744" s="1"/>
      <c r="AQ3744" s="1"/>
      <c r="AX3744" s="1"/>
      <c r="BE3744" s="1"/>
    </row>
    <row r="3745" spans="1:57" x14ac:dyDescent="0.25">
      <c r="A3745" s="1"/>
      <c r="H3745" s="1"/>
      <c r="O3745" s="1"/>
      <c r="V3745" s="1"/>
      <c r="AC3745" s="1"/>
      <c r="AJ3745" s="1"/>
      <c r="AQ3745" s="1"/>
      <c r="AX3745" s="1"/>
      <c r="BE3745" s="1"/>
    </row>
    <row r="3746" spans="1:57" x14ac:dyDescent="0.25">
      <c r="A3746" s="1"/>
      <c r="H3746" s="1"/>
      <c r="O3746" s="1"/>
      <c r="V3746" s="1"/>
      <c r="AC3746" s="1"/>
      <c r="AJ3746" s="1"/>
      <c r="AQ3746" s="1"/>
      <c r="AX3746" s="1"/>
      <c r="BE3746" s="1"/>
    </row>
    <row r="3747" spans="1:57" x14ac:dyDescent="0.25">
      <c r="A3747" s="1"/>
      <c r="H3747" s="1"/>
      <c r="O3747" s="1"/>
      <c r="V3747" s="1"/>
      <c r="AC3747" s="1"/>
      <c r="AJ3747" s="1"/>
      <c r="AQ3747" s="1"/>
      <c r="AX3747" s="1"/>
      <c r="BE3747" s="1"/>
    </row>
    <row r="3748" spans="1:57" x14ac:dyDescent="0.25">
      <c r="A3748" s="1"/>
      <c r="H3748" s="1"/>
      <c r="O3748" s="1"/>
      <c r="V3748" s="1"/>
      <c r="AC3748" s="1"/>
      <c r="AJ3748" s="1"/>
      <c r="AQ3748" s="1"/>
      <c r="AX3748" s="1"/>
      <c r="BE3748" s="1"/>
    </row>
    <row r="3749" spans="1:57" x14ac:dyDescent="0.25">
      <c r="A3749" s="1"/>
      <c r="H3749" s="1"/>
      <c r="O3749" s="1"/>
      <c r="V3749" s="1"/>
      <c r="AC3749" s="1"/>
      <c r="AJ3749" s="1"/>
      <c r="AQ3749" s="1"/>
      <c r="AX3749" s="1"/>
      <c r="BE3749" s="1"/>
    </row>
    <row r="3750" spans="1:57" x14ac:dyDescent="0.25">
      <c r="A3750" s="1"/>
      <c r="H3750" s="1"/>
      <c r="O3750" s="1"/>
      <c r="V3750" s="1"/>
      <c r="AC3750" s="1"/>
      <c r="AJ3750" s="1"/>
      <c r="AQ3750" s="1"/>
      <c r="AX3750" s="1"/>
      <c r="BE3750" s="1"/>
    </row>
    <row r="3751" spans="1:57" x14ac:dyDescent="0.25">
      <c r="A3751" s="1"/>
      <c r="H3751" s="1"/>
      <c r="O3751" s="1"/>
      <c r="V3751" s="1"/>
      <c r="AC3751" s="1"/>
      <c r="AJ3751" s="1"/>
      <c r="AQ3751" s="1"/>
      <c r="AX3751" s="1"/>
      <c r="BE3751" s="1"/>
    </row>
    <row r="3752" spans="1:57" x14ac:dyDescent="0.25">
      <c r="A3752" s="1"/>
      <c r="H3752" s="1"/>
      <c r="O3752" s="1"/>
      <c r="V3752" s="1"/>
      <c r="AC3752" s="1"/>
      <c r="AJ3752" s="1"/>
      <c r="AQ3752" s="1"/>
      <c r="AX3752" s="1"/>
      <c r="BE3752" s="1"/>
    </row>
    <row r="3753" spans="1:57" x14ac:dyDescent="0.25">
      <c r="A3753" s="1"/>
      <c r="H3753" s="1"/>
      <c r="O3753" s="1"/>
      <c r="V3753" s="1"/>
      <c r="AC3753" s="1"/>
      <c r="AJ3753" s="1"/>
      <c r="AQ3753" s="1"/>
      <c r="AX3753" s="1"/>
      <c r="BE3753" s="1"/>
    </row>
    <row r="3754" spans="1:57" x14ac:dyDescent="0.25">
      <c r="A3754" s="1"/>
      <c r="H3754" s="1"/>
      <c r="O3754" s="1"/>
      <c r="V3754" s="1"/>
      <c r="AC3754" s="1"/>
      <c r="AJ3754" s="1"/>
      <c r="AQ3754" s="1"/>
      <c r="AX3754" s="1"/>
      <c r="BE3754" s="1"/>
    </row>
    <row r="3755" spans="1:57" x14ac:dyDescent="0.25">
      <c r="A3755" s="1"/>
      <c r="H3755" s="1"/>
      <c r="O3755" s="1"/>
      <c r="V3755" s="1"/>
      <c r="AC3755" s="1"/>
      <c r="AJ3755" s="1"/>
      <c r="AQ3755" s="1"/>
      <c r="AX3755" s="1"/>
      <c r="BE3755" s="1"/>
    </row>
    <row r="3756" spans="1:57" x14ac:dyDescent="0.25">
      <c r="A3756" s="1"/>
      <c r="H3756" s="1"/>
      <c r="O3756" s="1"/>
      <c r="V3756" s="1"/>
      <c r="AC3756" s="1"/>
      <c r="AJ3756" s="1"/>
      <c r="AQ3756" s="1"/>
      <c r="AX3756" s="1"/>
      <c r="BE3756" s="1"/>
    </row>
    <row r="3757" spans="1:57" x14ac:dyDescent="0.25">
      <c r="A3757" s="1"/>
      <c r="H3757" s="1"/>
      <c r="O3757" s="1"/>
      <c r="V3757" s="1"/>
      <c r="AC3757" s="1"/>
      <c r="AJ3757" s="1"/>
      <c r="AQ3757" s="1"/>
      <c r="AX3757" s="1"/>
      <c r="BE3757" s="1"/>
    </row>
    <row r="3758" spans="1:57" x14ac:dyDescent="0.25">
      <c r="A3758" s="1"/>
      <c r="H3758" s="1"/>
      <c r="O3758" s="1"/>
      <c r="V3758" s="1"/>
      <c r="AC3758" s="1"/>
      <c r="AJ3758" s="1"/>
      <c r="AQ3758" s="1"/>
      <c r="AX3758" s="1"/>
      <c r="BE3758" s="1"/>
    </row>
    <row r="3759" spans="1:57" x14ac:dyDescent="0.25">
      <c r="A3759" s="1"/>
      <c r="H3759" s="1"/>
      <c r="O3759" s="1"/>
      <c r="V3759" s="1"/>
      <c r="AC3759" s="1"/>
      <c r="AJ3759" s="1"/>
      <c r="AQ3759" s="1"/>
      <c r="AX3759" s="1"/>
      <c r="BE3759" s="1"/>
    </row>
    <row r="3760" spans="1:57" x14ac:dyDescent="0.25">
      <c r="A3760" s="1"/>
      <c r="H3760" s="1"/>
      <c r="O3760" s="1"/>
      <c r="V3760" s="1"/>
      <c r="AC3760" s="1"/>
      <c r="AJ3760" s="1"/>
      <c r="AQ3760" s="1"/>
      <c r="AX3760" s="1"/>
      <c r="BE3760" s="1"/>
    </row>
    <row r="3761" spans="1:57" x14ac:dyDescent="0.25">
      <c r="A3761" s="1"/>
      <c r="H3761" s="1"/>
      <c r="O3761" s="1"/>
      <c r="V3761" s="1"/>
      <c r="AC3761" s="1"/>
      <c r="AJ3761" s="1"/>
      <c r="AQ3761" s="1"/>
      <c r="AX3761" s="1"/>
      <c r="BE3761" s="1"/>
    </row>
    <row r="3762" spans="1:57" x14ac:dyDescent="0.25">
      <c r="A3762" s="1"/>
      <c r="H3762" s="1"/>
      <c r="O3762" s="1"/>
      <c r="V3762" s="1"/>
      <c r="AC3762" s="1"/>
      <c r="AJ3762" s="1"/>
      <c r="AQ3762" s="1"/>
      <c r="AX3762" s="1"/>
      <c r="BE3762" s="1"/>
    </row>
    <row r="3763" spans="1:57" x14ac:dyDescent="0.25">
      <c r="A3763" s="1"/>
      <c r="H3763" s="1"/>
      <c r="O3763" s="1"/>
      <c r="V3763" s="1"/>
      <c r="AC3763" s="1"/>
      <c r="AJ3763" s="1"/>
      <c r="AQ3763" s="1"/>
      <c r="AX3763" s="1"/>
      <c r="BE3763" s="1"/>
    </row>
    <row r="3764" spans="1:57" x14ac:dyDescent="0.25">
      <c r="A3764" s="1"/>
      <c r="H3764" s="1"/>
      <c r="O3764" s="1"/>
      <c r="V3764" s="1"/>
      <c r="AC3764" s="1"/>
      <c r="AJ3764" s="1"/>
      <c r="AQ3764" s="1"/>
      <c r="AX3764" s="1"/>
      <c r="BE3764" s="1"/>
    </row>
    <row r="3765" spans="1:57" x14ac:dyDescent="0.25">
      <c r="A3765" s="1"/>
      <c r="H3765" s="1"/>
      <c r="O3765" s="1"/>
      <c r="V3765" s="1"/>
      <c r="AC3765" s="1"/>
      <c r="AJ3765" s="1"/>
      <c r="AQ3765" s="1"/>
      <c r="AX3765" s="1"/>
      <c r="BE3765" s="1"/>
    </row>
    <row r="3766" spans="1:57" x14ac:dyDescent="0.25">
      <c r="A3766" s="1"/>
      <c r="H3766" s="1"/>
      <c r="O3766" s="1"/>
      <c r="V3766" s="1"/>
      <c r="AC3766" s="1"/>
      <c r="AJ3766" s="1"/>
      <c r="AQ3766" s="1"/>
      <c r="AX3766" s="1"/>
      <c r="BE3766" s="1"/>
    </row>
    <row r="3767" spans="1:57" x14ac:dyDescent="0.25">
      <c r="A3767" s="1"/>
      <c r="H3767" s="1"/>
      <c r="O3767" s="1"/>
      <c r="V3767" s="1"/>
      <c r="AC3767" s="1"/>
      <c r="AJ3767" s="1"/>
      <c r="AQ3767" s="1"/>
      <c r="AX3767" s="1"/>
      <c r="BE3767" s="1"/>
    </row>
    <row r="3768" spans="1:57" x14ac:dyDescent="0.25">
      <c r="A3768" s="1"/>
      <c r="H3768" s="1"/>
      <c r="O3768" s="1"/>
      <c r="V3768" s="1"/>
      <c r="AC3768" s="1"/>
      <c r="AJ3768" s="1"/>
      <c r="AQ3768" s="1"/>
      <c r="AX3768" s="1"/>
      <c r="BE3768" s="1"/>
    </row>
    <row r="3769" spans="1:57" x14ac:dyDescent="0.25">
      <c r="A3769" s="1"/>
      <c r="H3769" s="1"/>
      <c r="O3769" s="1"/>
      <c r="V3769" s="1"/>
      <c r="AC3769" s="1"/>
      <c r="AJ3769" s="1"/>
      <c r="AQ3769" s="1"/>
      <c r="AX3769" s="1"/>
      <c r="BE3769" s="1"/>
    </row>
    <row r="3770" spans="1:57" x14ac:dyDescent="0.25">
      <c r="A3770" s="1"/>
      <c r="H3770" s="1"/>
      <c r="O3770" s="1"/>
      <c r="V3770" s="1"/>
      <c r="AC3770" s="1"/>
      <c r="AJ3770" s="1"/>
      <c r="AQ3770" s="1"/>
      <c r="AX3770" s="1"/>
      <c r="BE3770" s="1"/>
    </row>
    <row r="3771" spans="1:57" x14ac:dyDescent="0.25">
      <c r="A3771" s="1"/>
      <c r="H3771" s="1"/>
      <c r="O3771" s="1"/>
      <c r="V3771" s="1"/>
      <c r="AC3771" s="1"/>
      <c r="AJ3771" s="1"/>
      <c r="AQ3771" s="1"/>
      <c r="AX3771" s="1"/>
      <c r="BE3771" s="1"/>
    </row>
    <row r="3772" spans="1:57" x14ac:dyDescent="0.25">
      <c r="A3772" s="1"/>
      <c r="H3772" s="1"/>
      <c r="O3772" s="1"/>
      <c r="V3772" s="1"/>
      <c r="AC3772" s="1"/>
      <c r="AJ3772" s="1"/>
      <c r="AQ3772" s="1"/>
      <c r="AX3772" s="1"/>
      <c r="BE3772" s="1"/>
    </row>
    <row r="3773" spans="1:57" x14ac:dyDescent="0.25">
      <c r="A3773" s="1"/>
      <c r="H3773" s="1"/>
      <c r="O3773" s="1"/>
      <c r="V3773" s="1"/>
      <c r="AC3773" s="1"/>
      <c r="AJ3773" s="1"/>
      <c r="AQ3773" s="1"/>
      <c r="AX3773" s="1"/>
      <c r="BE3773" s="1"/>
    </row>
    <row r="3774" spans="1:57" x14ac:dyDescent="0.25">
      <c r="A3774" s="1"/>
      <c r="H3774" s="1"/>
      <c r="O3774" s="1"/>
      <c r="V3774" s="1"/>
      <c r="AC3774" s="1"/>
      <c r="AJ3774" s="1"/>
      <c r="AQ3774" s="1"/>
      <c r="AX3774" s="1"/>
      <c r="BE3774" s="1"/>
    </row>
    <row r="3775" spans="1:57" x14ac:dyDescent="0.25">
      <c r="A3775" s="1"/>
      <c r="H3775" s="1"/>
      <c r="O3775" s="1"/>
      <c r="V3775" s="1"/>
      <c r="AC3775" s="1"/>
      <c r="AJ3775" s="1"/>
      <c r="AQ3775" s="1"/>
      <c r="AX3775" s="1"/>
      <c r="BE3775" s="1"/>
    </row>
    <row r="3776" spans="1:57" x14ac:dyDescent="0.25">
      <c r="A3776" s="1"/>
      <c r="H3776" s="1"/>
      <c r="O3776" s="1"/>
      <c r="V3776" s="1"/>
      <c r="AC3776" s="1"/>
      <c r="AJ3776" s="1"/>
      <c r="AQ3776" s="1"/>
      <c r="AX3776" s="1"/>
      <c r="BE3776" s="1"/>
    </row>
    <row r="3777" spans="1:57" x14ac:dyDescent="0.25">
      <c r="A3777" s="1"/>
      <c r="H3777" s="1"/>
      <c r="O3777" s="1"/>
      <c r="V3777" s="1"/>
      <c r="AC3777" s="1"/>
      <c r="AJ3777" s="1"/>
      <c r="AQ3777" s="1"/>
      <c r="AX3777" s="1"/>
      <c r="BE3777" s="1"/>
    </row>
    <row r="3778" spans="1:57" x14ac:dyDescent="0.25">
      <c r="A3778" s="1"/>
      <c r="H3778" s="1"/>
      <c r="O3778" s="1"/>
      <c r="V3778" s="1"/>
      <c r="AC3778" s="1"/>
      <c r="AJ3778" s="1"/>
      <c r="AQ3778" s="1"/>
      <c r="AX3778" s="1"/>
      <c r="BE3778" s="1"/>
    </row>
    <row r="3779" spans="1:57" x14ac:dyDescent="0.25">
      <c r="A3779" s="1"/>
      <c r="H3779" s="1"/>
      <c r="O3779" s="1"/>
      <c r="V3779" s="1"/>
      <c r="AC3779" s="1"/>
      <c r="AJ3779" s="1"/>
      <c r="AQ3779" s="1"/>
      <c r="AX3779" s="1"/>
      <c r="BE3779" s="1"/>
    </row>
    <row r="3780" spans="1:57" x14ac:dyDescent="0.25">
      <c r="A3780" s="1"/>
      <c r="H3780" s="1"/>
      <c r="O3780" s="1"/>
      <c r="V3780" s="1"/>
      <c r="AC3780" s="1"/>
      <c r="AJ3780" s="1"/>
      <c r="AQ3780" s="1"/>
      <c r="AX3780" s="1"/>
      <c r="BE3780" s="1"/>
    </row>
    <row r="3781" spans="1:57" x14ac:dyDescent="0.25">
      <c r="A3781" s="1"/>
      <c r="H3781" s="1"/>
      <c r="O3781" s="1"/>
      <c r="V3781" s="1"/>
      <c r="AC3781" s="1"/>
      <c r="AJ3781" s="1"/>
      <c r="AQ3781" s="1"/>
      <c r="AX3781" s="1"/>
      <c r="BE3781" s="1"/>
    </row>
    <row r="3782" spans="1:57" x14ac:dyDescent="0.25">
      <c r="A3782" s="1"/>
      <c r="H3782" s="1"/>
      <c r="O3782" s="1"/>
      <c r="V3782" s="1"/>
      <c r="AC3782" s="1"/>
      <c r="AJ3782" s="1"/>
      <c r="AQ3782" s="1"/>
      <c r="AX3782" s="1"/>
      <c r="BE3782" s="1"/>
    </row>
    <row r="3783" spans="1:57" x14ac:dyDescent="0.25">
      <c r="A3783" s="1"/>
      <c r="H3783" s="1"/>
      <c r="O3783" s="1"/>
      <c r="V3783" s="1"/>
      <c r="AC3783" s="1"/>
      <c r="AJ3783" s="1"/>
      <c r="AQ3783" s="1"/>
      <c r="AX3783" s="1"/>
      <c r="BE3783" s="1"/>
    </row>
    <row r="3784" spans="1:57" x14ac:dyDescent="0.25">
      <c r="A3784" s="1"/>
      <c r="H3784" s="1"/>
      <c r="O3784" s="1"/>
      <c r="V3784" s="1"/>
      <c r="AC3784" s="1"/>
      <c r="AJ3784" s="1"/>
      <c r="AQ3784" s="1"/>
      <c r="AX3784" s="1"/>
      <c r="BE3784" s="1"/>
    </row>
    <row r="3785" spans="1:57" x14ac:dyDescent="0.25">
      <c r="A3785" s="1"/>
      <c r="H3785" s="1"/>
      <c r="O3785" s="1"/>
      <c r="V3785" s="1"/>
      <c r="AC3785" s="1"/>
      <c r="AJ3785" s="1"/>
      <c r="AQ3785" s="1"/>
      <c r="AX3785" s="1"/>
      <c r="BE3785" s="1"/>
    </row>
    <row r="3786" spans="1:57" x14ac:dyDescent="0.25">
      <c r="A3786" s="1"/>
      <c r="H3786" s="1"/>
      <c r="O3786" s="1"/>
      <c r="V3786" s="1"/>
      <c r="AC3786" s="1"/>
      <c r="AJ3786" s="1"/>
      <c r="AQ3786" s="1"/>
      <c r="AX3786" s="1"/>
      <c r="BE3786" s="1"/>
    </row>
    <row r="3787" spans="1:57" x14ac:dyDescent="0.25">
      <c r="A3787" s="1"/>
      <c r="H3787" s="1"/>
      <c r="O3787" s="1"/>
      <c r="V3787" s="1"/>
      <c r="AC3787" s="1"/>
      <c r="AJ3787" s="1"/>
      <c r="AQ3787" s="1"/>
      <c r="AX3787" s="1"/>
      <c r="BE3787" s="1"/>
    </row>
    <row r="3788" spans="1:57" x14ac:dyDescent="0.25">
      <c r="A3788" s="1"/>
      <c r="H3788" s="1"/>
      <c r="O3788" s="1"/>
      <c r="V3788" s="1"/>
      <c r="AC3788" s="1"/>
      <c r="AJ3788" s="1"/>
      <c r="AQ3788" s="1"/>
      <c r="AX3788" s="1"/>
      <c r="BE3788" s="1"/>
    </row>
    <row r="3789" spans="1:57" x14ac:dyDescent="0.25">
      <c r="A3789" s="1"/>
      <c r="H3789" s="1"/>
      <c r="O3789" s="1"/>
      <c r="V3789" s="1"/>
      <c r="AC3789" s="1"/>
      <c r="AJ3789" s="1"/>
      <c r="AQ3789" s="1"/>
      <c r="AX3789" s="1"/>
      <c r="BE3789" s="1"/>
    </row>
    <row r="3790" spans="1:57" x14ac:dyDescent="0.25">
      <c r="A3790" s="1"/>
      <c r="H3790" s="1"/>
      <c r="O3790" s="1"/>
      <c r="V3790" s="1"/>
      <c r="AC3790" s="1"/>
      <c r="AJ3790" s="1"/>
      <c r="AQ3790" s="1"/>
      <c r="AX3790" s="1"/>
      <c r="BE3790" s="1"/>
    </row>
    <row r="3791" spans="1:57" x14ac:dyDescent="0.25">
      <c r="A3791" s="1"/>
      <c r="H3791" s="1"/>
      <c r="O3791" s="1"/>
      <c r="V3791" s="1"/>
      <c r="AC3791" s="1"/>
      <c r="AJ3791" s="1"/>
      <c r="AQ3791" s="1"/>
      <c r="AX3791" s="1"/>
      <c r="BE3791" s="1"/>
    </row>
    <row r="3792" spans="1:57" x14ac:dyDescent="0.25">
      <c r="A3792" s="1"/>
      <c r="H3792" s="1"/>
      <c r="O3792" s="1"/>
      <c r="V3792" s="1"/>
      <c r="AC3792" s="1"/>
      <c r="AJ3792" s="1"/>
      <c r="AQ3792" s="1"/>
      <c r="AX3792" s="1"/>
      <c r="BE3792" s="1"/>
    </row>
    <row r="3793" spans="1:57" x14ac:dyDescent="0.25">
      <c r="A3793" s="1"/>
      <c r="H3793" s="1"/>
      <c r="O3793" s="1"/>
      <c r="V3793" s="1"/>
      <c r="AC3793" s="1"/>
      <c r="AJ3793" s="1"/>
      <c r="AQ3793" s="1"/>
      <c r="AX3793" s="1"/>
      <c r="BE3793" s="1"/>
    </row>
    <row r="3794" spans="1:57" x14ac:dyDescent="0.25">
      <c r="A3794" s="1"/>
      <c r="H3794" s="1"/>
      <c r="O3794" s="1"/>
      <c r="V3794" s="1"/>
      <c r="AC3794" s="1"/>
      <c r="AJ3794" s="1"/>
      <c r="AQ3794" s="1"/>
      <c r="AX3794" s="1"/>
      <c r="BE3794" s="1"/>
    </row>
    <row r="3795" spans="1:57" x14ac:dyDescent="0.25">
      <c r="A3795" s="1"/>
      <c r="H3795" s="1"/>
      <c r="O3795" s="1"/>
      <c r="V3795" s="1"/>
      <c r="AC3795" s="1"/>
      <c r="AJ3795" s="1"/>
      <c r="AQ3795" s="1"/>
      <c r="AX3795" s="1"/>
      <c r="BE3795" s="1"/>
    </row>
    <row r="3796" spans="1:57" x14ac:dyDescent="0.25">
      <c r="A3796" s="1"/>
      <c r="H3796" s="1"/>
      <c r="O3796" s="1"/>
      <c r="V3796" s="1"/>
      <c r="AC3796" s="1"/>
      <c r="AJ3796" s="1"/>
      <c r="AQ3796" s="1"/>
      <c r="AX3796" s="1"/>
      <c r="BE3796" s="1"/>
    </row>
    <row r="3797" spans="1:57" x14ac:dyDescent="0.25">
      <c r="A3797" s="1"/>
      <c r="H3797" s="1"/>
      <c r="O3797" s="1"/>
      <c r="V3797" s="1"/>
      <c r="AC3797" s="1"/>
      <c r="AJ3797" s="1"/>
      <c r="AQ3797" s="1"/>
      <c r="AX3797" s="1"/>
      <c r="BE3797" s="1"/>
    </row>
    <row r="3798" spans="1:57" x14ac:dyDescent="0.25">
      <c r="A3798" s="1"/>
      <c r="H3798" s="1"/>
      <c r="O3798" s="1"/>
      <c r="V3798" s="1"/>
      <c r="AC3798" s="1"/>
      <c r="AJ3798" s="1"/>
      <c r="AQ3798" s="1"/>
      <c r="AX3798" s="1"/>
      <c r="BE3798" s="1"/>
    </row>
    <row r="3799" spans="1:57" x14ac:dyDescent="0.25">
      <c r="A3799" s="1"/>
      <c r="H3799" s="1"/>
      <c r="O3799" s="1"/>
      <c r="V3799" s="1"/>
      <c r="AC3799" s="1"/>
      <c r="AJ3799" s="1"/>
      <c r="AQ3799" s="1"/>
      <c r="AX3799" s="1"/>
      <c r="BE3799" s="1"/>
    </row>
    <row r="3800" spans="1:57" x14ac:dyDescent="0.25">
      <c r="A3800" s="1"/>
      <c r="H3800" s="1"/>
      <c r="O3800" s="1"/>
      <c r="V3800" s="1"/>
      <c r="AC3800" s="1"/>
      <c r="AJ3800" s="1"/>
      <c r="AQ3800" s="1"/>
      <c r="AX3800" s="1"/>
      <c r="BE3800" s="1"/>
    </row>
    <row r="3801" spans="1:57" x14ac:dyDescent="0.25">
      <c r="A3801" s="1"/>
      <c r="H3801" s="1"/>
      <c r="O3801" s="1"/>
      <c r="V3801" s="1"/>
      <c r="AC3801" s="1"/>
      <c r="AJ3801" s="1"/>
      <c r="AQ3801" s="1"/>
      <c r="AX3801" s="1"/>
      <c r="BE3801" s="1"/>
    </row>
    <row r="3802" spans="1:57" x14ac:dyDescent="0.25">
      <c r="A3802" s="1"/>
      <c r="H3802" s="1"/>
      <c r="O3802" s="1"/>
      <c r="V3802" s="1"/>
      <c r="AC3802" s="1"/>
      <c r="AJ3802" s="1"/>
      <c r="AQ3802" s="1"/>
      <c r="AX3802" s="1"/>
      <c r="BE3802" s="1"/>
    </row>
    <row r="3803" spans="1:57" x14ac:dyDescent="0.25">
      <c r="A3803" s="1"/>
      <c r="H3803" s="1"/>
      <c r="O3803" s="1"/>
      <c r="V3803" s="1"/>
      <c r="AC3803" s="1"/>
      <c r="AJ3803" s="1"/>
      <c r="AQ3803" s="1"/>
      <c r="AX3803" s="1"/>
      <c r="BE3803" s="1"/>
    </row>
    <row r="3804" spans="1:57" x14ac:dyDescent="0.25">
      <c r="A3804" s="1"/>
      <c r="H3804" s="1"/>
      <c r="O3804" s="1"/>
      <c r="V3804" s="1"/>
      <c r="AC3804" s="1"/>
      <c r="AJ3804" s="1"/>
      <c r="AQ3804" s="1"/>
      <c r="AX3804" s="1"/>
      <c r="BE3804" s="1"/>
    </row>
    <row r="3805" spans="1:57" x14ac:dyDescent="0.25">
      <c r="A3805" s="1"/>
      <c r="H3805" s="1"/>
      <c r="O3805" s="1"/>
      <c r="V3805" s="1"/>
      <c r="AC3805" s="1"/>
      <c r="AJ3805" s="1"/>
      <c r="AQ3805" s="1"/>
      <c r="AX3805" s="1"/>
      <c r="BE3805" s="1"/>
    </row>
    <row r="3806" spans="1:57" x14ac:dyDescent="0.25">
      <c r="A3806" s="1"/>
      <c r="H3806" s="1"/>
      <c r="O3806" s="1"/>
      <c r="V3806" s="1"/>
      <c r="AC3806" s="1"/>
      <c r="AJ3806" s="1"/>
      <c r="AQ3806" s="1"/>
      <c r="AX3806" s="1"/>
      <c r="BE3806" s="1"/>
    </row>
    <row r="3807" spans="1:57" x14ac:dyDescent="0.25">
      <c r="A3807" s="1"/>
      <c r="H3807" s="1"/>
      <c r="O3807" s="1"/>
      <c r="V3807" s="1"/>
      <c r="AC3807" s="1"/>
      <c r="AJ3807" s="1"/>
      <c r="AQ3807" s="1"/>
      <c r="AX3807" s="1"/>
      <c r="BE3807" s="1"/>
    </row>
    <row r="3808" spans="1:57" x14ac:dyDescent="0.25">
      <c r="A3808" s="1"/>
      <c r="H3808" s="1"/>
      <c r="O3808" s="1"/>
      <c r="V3808" s="1"/>
      <c r="AC3808" s="1"/>
      <c r="AJ3808" s="1"/>
      <c r="AQ3808" s="1"/>
      <c r="AX3808" s="1"/>
      <c r="BE3808" s="1"/>
    </row>
    <row r="3809" spans="1:57" x14ac:dyDescent="0.25">
      <c r="A3809" s="1"/>
      <c r="H3809" s="1"/>
      <c r="O3809" s="1"/>
      <c r="V3809" s="1"/>
      <c r="AC3809" s="1"/>
      <c r="AJ3809" s="1"/>
      <c r="AQ3809" s="1"/>
      <c r="AX3809" s="1"/>
      <c r="BE3809" s="1"/>
    </row>
    <row r="3810" spans="1:57" x14ac:dyDescent="0.25">
      <c r="A3810" s="1"/>
      <c r="H3810" s="1"/>
      <c r="O3810" s="1"/>
      <c r="V3810" s="1"/>
      <c r="AC3810" s="1"/>
      <c r="AJ3810" s="1"/>
      <c r="AQ3810" s="1"/>
      <c r="AX3810" s="1"/>
      <c r="BE3810" s="1"/>
    </row>
    <row r="3811" spans="1:57" x14ac:dyDescent="0.25">
      <c r="A3811" s="1"/>
      <c r="H3811" s="1"/>
      <c r="O3811" s="1"/>
      <c r="V3811" s="1"/>
      <c r="AC3811" s="1"/>
      <c r="AJ3811" s="1"/>
      <c r="AQ3811" s="1"/>
      <c r="AX3811" s="1"/>
      <c r="BE3811" s="1"/>
    </row>
    <row r="3812" spans="1:57" x14ac:dyDescent="0.25">
      <c r="A3812" s="1"/>
      <c r="H3812" s="1"/>
      <c r="O3812" s="1"/>
      <c r="V3812" s="1"/>
      <c r="AC3812" s="1"/>
      <c r="AJ3812" s="1"/>
      <c r="AQ3812" s="1"/>
      <c r="AX3812" s="1"/>
      <c r="BE3812" s="1"/>
    </row>
    <row r="3813" spans="1:57" x14ac:dyDescent="0.25">
      <c r="A3813" s="1"/>
      <c r="H3813" s="1"/>
      <c r="O3813" s="1"/>
      <c r="V3813" s="1"/>
      <c r="AC3813" s="1"/>
      <c r="AJ3813" s="1"/>
      <c r="AQ3813" s="1"/>
      <c r="AX3813" s="1"/>
      <c r="BE3813" s="1"/>
    </row>
    <row r="3814" spans="1:57" x14ac:dyDescent="0.25">
      <c r="A3814" s="1"/>
      <c r="H3814" s="1"/>
      <c r="O3814" s="1"/>
      <c r="V3814" s="1"/>
      <c r="AC3814" s="1"/>
      <c r="AJ3814" s="1"/>
      <c r="AQ3814" s="1"/>
      <c r="AX3814" s="1"/>
      <c r="BE3814" s="1"/>
    </row>
    <row r="3815" spans="1:57" x14ac:dyDescent="0.25">
      <c r="A3815" s="1"/>
      <c r="H3815" s="1"/>
      <c r="O3815" s="1"/>
      <c r="V3815" s="1"/>
      <c r="AC3815" s="1"/>
      <c r="AJ3815" s="1"/>
      <c r="AQ3815" s="1"/>
      <c r="AX3815" s="1"/>
      <c r="BE3815" s="1"/>
    </row>
    <row r="3816" spans="1:57" x14ac:dyDescent="0.25">
      <c r="A3816" s="1"/>
      <c r="H3816" s="1"/>
      <c r="O3816" s="1"/>
      <c r="V3816" s="1"/>
      <c r="AC3816" s="1"/>
      <c r="AJ3816" s="1"/>
      <c r="AQ3816" s="1"/>
      <c r="AX3816" s="1"/>
      <c r="BE3816" s="1"/>
    </row>
    <row r="3817" spans="1:57" x14ac:dyDescent="0.25">
      <c r="A3817" s="1"/>
      <c r="H3817" s="1"/>
      <c r="O3817" s="1"/>
      <c r="V3817" s="1"/>
      <c r="AC3817" s="1"/>
      <c r="AJ3817" s="1"/>
      <c r="AQ3817" s="1"/>
      <c r="AX3817" s="1"/>
      <c r="BE3817" s="1"/>
    </row>
    <row r="3818" spans="1:57" x14ac:dyDescent="0.25">
      <c r="A3818" s="1"/>
      <c r="H3818" s="1"/>
      <c r="O3818" s="1"/>
      <c r="V3818" s="1"/>
      <c r="AC3818" s="1"/>
      <c r="AJ3818" s="1"/>
      <c r="AQ3818" s="1"/>
      <c r="AX3818" s="1"/>
      <c r="BE3818" s="1"/>
    </row>
    <row r="3819" spans="1:57" x14ac:dyDescent="0.25">
      <c r="A3819" s="1"/>
      <c r="H3819" s="1"/>
      <c r="O3819" s="1"/>
      <c r="V3819" s="1"/>
      <c r="AC3819" s="1"/>
      <c r="AJ3819" s="1"/>
      <c r="AQ3819" s="1"/>
      <c r="AX3819" s="1"/>
      <c r="BE3819" s="1"/>
    </row>
    <row r="3820" spans="1:57" x14ac:dyDescent="0.25">
      <c r="A3820" s="1"/>
      <c r="H3820" s="1"/>
      <c r="O3820" s="1"/>
      <c r="V3820" s="1"/>
      <c r="AC3820" s="1"/>
      <c r="AJ3820" s="1"/>
      <c r="AQ3820" s="1"/>
      <c r="AX3820" s="1"/>
      <c r="BE3820" s="1"/>
    </row>
    <row r="3821" spans="1:57" x14ac:dyDescent="0.25">
      <c r="A3821" s="1"/>
      <c r="H3821" s="1"/>
      <c r="O3821" s="1"/>
      <c r="V3821" s="1"/>
      <c r="AC3821" s="1"/>
      <c r="AJ3821" s="1"/>
      <c r="AQ3821" s="1"/>
      <c r="AX3821" s="1"/>
      <c r="BE3821" s="1"/>
    </row>
    <row r="3822" spans="1:57" x14ac:dyDescent="0.25">
      <c r="A3822" s="1"/>
      <c r="H3822" s="1"/>
      <c r="O3822" s="1"/>
      <c r="V3822" s="1"/>
      <c r="AC3822" s="1"/>
      <c r="AJ3822" s="1"/>
      <c r="AQ3822" s="1"/>
      <c r="AX3822" s="1"/>
      <c r="BE3822" s="1"/>
    </row>
    <row r="3823" spans="1:57" x14ac:dyDescent="0.25">
      <c r="A3823" s="1"/>
      <c r="H3823" s="1"/>
      <c r="O3823" s="1"/>
      <c r="V3823" s="1"/>
      <c r="AC3823" s="1"/>
      <c r="AJ3823" s="1"/>
      <c r="AQ3823" s="1"/>
      <c r="AX3823" s="1"/>
      <c r="BE3823" s="1"/>
    </row>
    <row r="3824" spans="1:57" x14ac:dyDescent="0.25">
      <c r="A3824" s="1"/>
      <c r="H3824" s="1"/>
      <c r="O3824" s="1"/>
      <c r="V3824" s="1"/>
      <c r="AC3824" s="1"/>
      <c r="AJ3824" s="1"/>
      <c r="AQ3824" s="1"/>
      <c r="AX3824" s="1"/>
      <c r="BE3824" s="1"/>
    </row>
    <row r="3825" spans="1:57" x14ac:dyDescent="0.25">
      <c r="A3825" s="1"/>
      <c r="H3825" s="1"/>
      <c r="O3825" s="1"/>
      <c r="V3825" s="1"/>
      <c r="AC3825" s="1"/>
      <c r="AJ3825" s="1"/>
      <c r="AQ3825" s="1"/>
      <c r="AX3825" s="1"/>
      <c r="BE3825" s="1"/>
    </row>
    <row r="3826" spans="1:57" x14ac:dyDescent="0.25">
      <c r="A3826" s="1"/>
      <c r="H3826" s="1"/>
      <c r="O3826" s="1"/>
      <c r="V3826" s="1"/>
      <c r="AC3826" s="1"/>
      <c r="AJ3826" s="1"/>
      <c r="AQ3826" s="1"/>
      <c r="AX3826" s="1"/>
      <c r="BE3826" s="1"/>
    </row>
    <row r="3827" spans="1:57" x14ac:dyDescent="0.25">
      <c r="A3827" s="1"/>
      <c r="H3827" s="1"/>
      <c r="O3827" s="1"/>
      <c r="V3827" s="1"/>
      <c r="AC3827" s="1"/>
      <c r="AJ3827" s="1"/>
      <c r="AQ3827" s="1"/>
      <c r="AX3827" s="1"/>
      <c r="BE3827" s="1"/>
    </row>
    <row r="3828" spans="1:57" x14ac:dyDescent="0.25">
      <c r="A3828" s="1"/>
      <c r="H3828" s="1"/>
      <c r="O3828" s="1"/>
      <c r="V3828" s="1"/>
      <c r="AC3828" s="1"/>
      <c r="AJ3828" s="1"/>
      <c r="AQ3828" s="1"/>
      <c r="AX3828" s="1"/>
      <c r="BE3828" s="1"/>
    </row>
    <row r="3829" spans="1:57" x14ac:dyDescent="0.25">
      <c r="A3829" s="1"/>
      <c r="H3829" s="1"/>
      <c r="O3829" s="1"/>
      <c r="V3829" s="1"/>
      <c r="AC3829" s="1"/>
      <c r="AJ3829" s="1"/>
      <c r="AQ3829" s="1"/>
      <c r="AX3829" s="1"/>
      <c r="BE3829" s="1"/>
    </row>
    <row r="3830" spans="1:57" x14ac:dyDescent="0.25">
      <c r="A3830" s="1"/>
      <c r="H3830" s="1"/>
      <c r="O3830" s="1"/>
      <c r="V3830" s="1"/>
      <c r="AC3830" s="1"/>
      <c r="AJ3830" s="1"/>
      <c r="AQ3830" s="1"/>
      <c r="AX3830" s="1"/>
      <c r="BE3830" s="1"/>
    </row>
    <row r="3831" spans="1:57" x14ac:dyDescent="0.25">
      <c r="A3831" s="1"/>
      <c r="H3831" s="1"/>
      <c r="O3831" s="1"/>
      <c r="V3831" s="1"/>
      <c r="AC3831" s="1"/>
      <c r="AJ3831" s="1"/>
      <c r="AQ3831" s="1"/>
      <c r="AX3831" s="1"/>
      <c r="BE3831" s="1"/>
    </row>
    <row r="3832" spans="1:57" x14ac:dyDescent="0.25">
      <c r="A3832" s="1"/>
      <c r="H3832" s="1"/>
      <c r="O3832" s="1"/>
      <c r="V3832" s="1"/>
      <c r="AC3832" s="1"/>
      <c r="AJ3832" s="1"/>
      <c r="AQ3832" s="1"/>
      <c r="AX3832" s="1"/>
      <c r="BE3832" s="1"/>
    </row>
    <row r="3833" spans="1:57" x14ac:dyDescent="0.25">
      <c r="A3833" s="1"/>
      <c r="H3833" s="1"/>
      <c r="O3833" s="1"/>
      <c r="V3833" s="1"/>
      <c r="AC3833" s="1"/>
      <c r="AJ3833" s="1"/>
      <c r="AQ3833" s="1"/>
      <c r="AX3833" s="1"/>
      <c r="BE3833" s="1"/>
    </row>
    <row r="3834" spans="1:57" x14ac:dyDescent="0.25">
      <c r="A3834" s="1"/>
      <c r="H3834" s="1"/>
      <c r="O3834" s="1"/>
      <c r="V3834" s="1"/>
      <c r="AC3834" s="1"/>
      <c r="AJ3834" s="1"/>
      <c r="AQ3834" s="1"/>
      <c r="AX3834" s="1"/>
      <c r="BE3834" s="1"/>
    </row>
    <row r="3835" spans="1:57" x14ac:dyDescent="0.25">
      <c r="A3835" s="1"/>
      <c r="H3835" s="1"/>
      <c r="O3835" s="1"/>
      <c r="V3835" s="1"/>
      <c r="AC3835" s="1"/>
      <c r="AJ3835" s="1"/>
      <c r="AQ3835" s="1"/>
      <c r="AX3835" s="1"/>
      <c r="BE3835" s="1"/>
    </row>
    <row r="3836" spans="1:57" x14ac:dyDescent="0.25">
      <c r="A3836" s="1"/>
      <c r="H3836" s="1"/>
      <c r="O3836" s="1"/>
      <c r="V3836" s="1"/>
      <c r="AC3836" s="1"/>
      <c r="AJ3836" s="1"/>
      <c r="AQ3836" s="1"/>
      <c r="AX3836" s="1"/>
      <c r="BE3836" s="1"/>
    </row>
    <row r="3837" spans="1:57" x14ac:dyDescent="0.25">
      <c r="A3837" s="1"/>
      <c r="H3837" s="1"/>
      <c r="O3837" s="1"/>
      <c r="V3837" s="1"/>
      <c r="AC3837" s="1"/>
      <c r="AJ3837" s="1"/>
      <c r="AQ3837" s="1"/>
      <c r="AX3837" s="1"/>
      <c r="BE3837" s="1"/>
    </row>
    <row r="3838" spans="1:57" x14ac:dyDescent="0.25">
      <c r="A3838" s="1"/>
      <c r="H3838" s="1"/>
      <c r="O3838" s="1"/>
      <c r="V3838" s="1"/>
      <c r="AC3838" s="1"/>
      <c r="AJ3838" s="1"/>
      <c r="AQ3838" s="1"/>
      <c r="AX3838" s="1"/>
      <c r="BE3838" s="1"/>
    </row>
    <row r="3839" spans="1:57" x14ac:dyDescent="0.25">
      <c r="A3839" s="1"/>
      <c r="H3839" s="1"/>
      <c r="O3839" s="1"/>
      <c r="V3839" s="1"/>
      <c r="AC3839" s="1"/>
      <c r="AJ3839" s="1"/>
      <c r="AQ3839" s="1"/>
      <c r="AX3839" s="1"/>
      <c r="BE3839" s="1"/>
    </row>
    <row r="3840" spans="1:57" x14ac:dyDescent="0.25">
      <c r="A3840" s="1"/>
      <c r="H3840" s="1"/>
      <c r="O3840" s="1"/>
      <c r="V3840" s="1"/>
      <c r="AC3840" s="1"/>
      <c r="AJ3840" s="1"/>
      <c r="AQ3840" s="1"/>
      <c r="AX3840" s="1"/>
      <c r="BE3840" s="1"/>
    </row>
    <row r="3841" spans="1:57" x14ac:dyDescent="0.25">
      <c r="A3841" s="1"/>
      <c r="H3841" s="1"/>
      <c r="O3841" s="1"/>
      <c r="V3841" s="1"/>
      <c r="AC3841" s="1"/>
      <c r="AJ3841" s="1"/>
      <c r="AQ3841" s="1"/>
      <c r="AX3841" s="1"/>
      <c r="BE3841" s="1"/>
    </row>
    <row r="3842" spans="1:57" x14ac:dyDescent="0.25">
      <c r="A3842" s="1"/>
      <c r="H3842" s="1"/>
      <c r="O3842" s="1"/>
      <c r="V3842" s="1"/>
      <c r="AC3842" s="1"/>
      <c r="AJ3842" s="1"/>
      <c r="AQ3842" s="1"/>
      <c r="AX3842" s="1"/>
      <c r="BE3842" s="1"/>
    </row>
    <row r="3843" spans="1:57" x14ac:dyDescent="0.25">
      <c r="A3843" s="1"/>
      <c r="H3843" s="1"/>
      <c r="O3843" s="1"/>
      <c r="V3843" s="1"/>
      <c r="AC3843" s="1"/>
      <c r="AJ3843" s="1"/>
      <c r="AQ3843" s="1"/>
      <c r="AX3843" s="1"/>
      <c r="BE3843" s="1"/>
    </row>
    <row r="3844" spans="1:57" x14ac:dyDescent="0.25">
      <c r="A3844" s="1"/>
      <c r="H3844" s="1"/>
      <c r="O3844" s="1"/>
      <c r="V3844" s="1"/>
      <c r="AC3844" s="1"/>
      <c r="AJ3844" s="1"/>
      <c r="AQ3844" s="1"/>
      <c r="AX3844" s="1"/>
      <c r="BE3844" s="1"/>
    </row>
    <row r="3845" spans="1:57" x14ac:dyDescent="0.25">
      <c r="A3845" s="1"/>
      <c r="H3845" s="1"/>
      <c r="O3845" s="1"/>
      <c r="V3845" s="1"/>
      <c r="AC3845" s="1"/>
      <c r="AJ3845" s="1"/>
      <c r="AQ3845" s="1"/>
      <c r="AX3845" s="1"/>
      <c r="BE3845" s="1"/>
    </row>
    <row r="3846" spans="1:57" x14ac:dyDescent="0.25">
      <c r="A3846" s="1"/>
      <c r="H3846" s="1"/>
      <c r="O3846" s="1"/>
      <c r="V3846" s="1"/>
      <c r="AC3846" s="1"/>
      <c r="AJ3846" s="1"/>
      <c r="AQ3846" s="1"/>
      <c r="AX3846" s="1"/>
      <c r="BE3846" s="1"/>
    </row>
    <row r="3847" spans="1:57" x14ac:dyDescent="0.25">
      <c r="A3847" s="1"/>
      <c r="H3847" s="1"/>
      <c r="O3847" s="1"/>
      <c r="V3847" s="1"/>
      <c r="AC3847" s="1"/>
      <c r="AJ3847" s="1"/>
      <c r="AQ3847" s="1"/>
      <c r="AX3847" s="1"/>
      <c r="BE3847" s="1"/>
    </row>
    <row r="3848" spans="1:57" x14ac:dyDescent="0.25">
      <c r="A3848" s="1"/>
      <c r="H3848" s="1"/>
      <c r="O3848" s="1"/>
      <c r="V3848" s="1"/>
      <c r="AC3848" s="1"/>
      <c r="AJ3848" s="1"/>
      <c r="AQ3848" s="1"/>
      <c r="AX3848" s="1"/>
      <c r="BE3848" s="1"/>
    </row>
    <row r="3849" spans="1:57" x14ac:dyDescent="0.25">
      <c r="A3849" s="1"/>
      <c r="H3849" s="1"/>
      <c r="O3849" s="1"/>
      <c r="V3849" s="1"/>
      <c r="AC3849" s="1"/>
      <c r="AJ3849" s="1"/>
      <c r="AQ3849" s="1"/>
      <c r="AX3849" s="1"/>
      <c r="BE3849" s="1"/>
    </row>
    <row r="3850" spans="1:57" x14ac:dyDescent="0.25">
      <c r="A3850" s="1"/>
      <c r="H3850" s="1"/>
      <c r="O3850" s="1"/>
      <c r="V3850" s="1"/>
      <c r="AC3850" s="1"/>
      <c r="AJ3850" s="1"/>
      <c r="AQ3850" s="1"/>
      <c r="AX3850" s="1"/>
      <c r="BE3850" s="1"/>
    </row>
    <row r="3851" spans="1:57" x14ac:dyDescent="0.25">
      <c r="A3851" s="1"/>
      <c r="H3851" s="1"/>
      <c r="O3851" s="1"/>
      <c r="V3851" s="1"/>
      <c r="AC3851" s="1"/>
      <c r="AJ3851" s="1"/>
      <c r="AQ3851" s="1"/>
      <c r="AX3851" s="1"/>
      <c r="BE3851" s="1"/>
    </row>
    <row r="3852" spans="1:57" x14ac:dyDescent="0.25">
      <c r="A3852" s="1"/>
      <c r="H3852" s="1"/>
      <c r="O3852" s="1"/>
      <c r="V3852" s="1"/>
      <c r="AC3852" s="1"/>
      <c r="AJ3852" s="1"/>
      <c r="AQ3852" s="1"/>
      <c r="AX3852" s="1"/>
      <c r="BE3852" s="1"/>
    </row>
    <row r="3853" spans="1:57" x14ac:dyDescent="0.25">
      <c r="A3853" s="1"/>
      <c r="H3853" s="1"/>
      <c r="O3853" s="1"/>
      <c r="V3853" s="1"/>
      <c r="AC3853" s="1"/>
      <c r="AJ3853" s="1"/>
      <c r="AQ3853" s="1"/>
      <c r="AX3853" s="1"/>
      <c r="BE3853" s="1"/>
    </row>
    <row r="3854" spans="1:57" x14ac:dyDescent="0.25">
      <c r="A3854" s="1"/>
      <c r="H3854" s="1"/>
      <c r="O3854" s="1"/>
      <c r="V3854" s="1"/>
      <c r="AC3854" s="1"/>
      <c r="AJ3854" s="1"/>
      <c r="AQ3854" s="1"/>
      <c r="AX3854" s="1"/>
      <c r="BE3854" s="1"/>
    </row>
    <row r="3855" spans="1:57" x14ac:dyDescent="0.25">
      <c r="A3855" s="1"/>
      <c r="H3855" s="1"/>
      <c r="O3855" s="1"/>
      <c r="V3855" s="1"/>
      <c r="AC3855" s="1"/>
      <c r="AJ3855" s="1"/>
      <c r="AQ3855" s="1"/>
      <c r="AX3855" s="1"/>
      <c r="BE3855" s="1"/>
    </row>
    <row r="3856" spans="1:57" x14ac:dyDescent="0.25">
      <c r="A3856" s="1"/>
      <c r="H3856" s="1"/>
      <c r="O3856" s="1"/>
      <c r="V3856" s="1"/>
      <c r="AC3856" s="1"/>
      <c r="AJ3856" s="1"/>
      <c r="AQ3856" s="1"/>
      <c r="AX3856" s="1"/>
      <c r="BE3856" s="1"/>
    </row>
    <row r="3857" spans="1:57" x14ac:dyDescent="0.25">
      <c r="A3857" s="1"/>
      <c r="H3857" s="1"/>
      <c r="O3857" s="1"/>
      <c r="V3857" s="1"/>
      <c r="AC3857" s="1"/>
      <c r="AJ3857" s="1"/>
      <c r="AQ3857" s="1"/>
      <c r="AX3857" s="1"/>
      <c r="BE3857" s="1"/>
    </row>
    <row r="3858" spans="1:57" x14ac:dyDescent="0.25">
      <c r="A3858" s="1"/>
      <c r="H3858" s="1"/>
      <c r="O3858" s="1"/>
      <c r="V3858" s="1"/>
      <c r="AC3858" s="1"/>
      <c r="AJ3858" s="1"/>
      <c r="AQ3858" s="1"/>
      <c r="AX3858" s="1"/>
      <c r="BE3858" s="1"/>
    </row>
    <row r="3859" spans="1:57" x14ac:dyDescent="0.25">
      <c r="A3859" s="1"/>
      <c r="H3859" s="1"/>
      <c r="O3859" s="1"/>
      <c r="V3859" s="1"/>
      <c r="AC3859" s="1"/>
      <c r="AJ3859" s="1"/>
      <c r="AQ3859" s="1"/>
      <c r="AX3859" s="1"/>
      <c r="BE3859" s="1"/>
    </row>
    <row r="3860" spans="1:57" x14ac:dyDescent="0.25">
      <c r="A3860" s="1"/>
      <c r="H3860" s="1"/>
      <c r="O3860" s="1"/>
      <c r="V3860" s="1"/>
      <c r="AC3860" s="1"/>
      <c r="AJ3860" s="1"/>
      <c r="AQ3860" s="1"/>
      <c r="AX3860" s="1"/>
      <c r="BE3860" s="1"/>
    </row>
    <row r="3861" spans="1:57" x14ac:dyDescent="0.25">
      <c r="A3861" s="1"/>
      <c r="H3861" s="1"/>
      <c r="O3861" s="1"/>
      <c r="V3861" s="1"/>
      <c r="AC3861" s="1"/>
      <c r="AJ3861" s="1"/>
      <c r="AQ3861" s="1"/>
      <c r="AX3861" s="1"/>
      <c r="BE3861" s="1"/>
    </row>
    <row r="3862" spans="1:57" x14ac:dyDescent="0.25">
      <c r="A3862" s="1"/>
      <c r="H3862" s="1"/>
      <c r="O3862" s="1"/>
      <c r="V3862" s="1"/>
      <c r="AC3862" s="1"/>
      <c r="AJ3862" s="1"/>
      <c r="AQ3862" s="1"/>
      <c r="AX3862" s="1"/>
      <c r="BE3862" s="1"/>
    </row>
    <row r="3863" spans="1:57" x14ac:dyDescent="0.25">
      <c r="A3863" s="1"/>
      <c r="H3863" s="1"/>
      <c r="O3863" s="1"/>
      <c r="V3863" s="1"/>
      <c r="AC3863" s="1"/>
      <c r="AJ3863" s="1"/>
      <c r="AQ3863" s="1"/>
      <c r="AX3863" s="1"/>
      <c r="BE3863" s="1"/>
    </row>
    <row r="3864" spans="1:57" x14ac:dyDescent="0.25">
      <c r="A3864" s="1"/>
      <c r="H3864" s="1"/>
      <c r="O3864" s="1"/>
      <c r="V3864" s="1"/>
      <c r="AC3864" s="1"/>
      <c r="AJ3864" s="1"/>
      <c r="AQ3864" s="1"/>
      <c r="AX3864" s="1"/>
      <c r="BE3864" s="1"/>
    </row>
    <row r="3865" spans="1:57" x14ac:dyDescent="0.25">
      <c r="A3865" s="1"/>
      <c r="H3865" s="1"/>
      <c r="O3865" s="1"/>
      <c r="V3865" s="1"/>
      <c r="AC3865" s="1"/>
      <c r="AJ3865" s="1"/>
      <c r="AQ3865" s="1"/>
      <c r="AX3865" s="1"/>
      <c r="BE3865" s="1"/>
    </row>
    <row r="3866" spans="1:57" x14ac:dyDescent="0.25">
      <c r="A3866" s="1"/>
      <c r="H3866" s="1"/>
      <c r="O3866" s="1"/>
      <c r="V3866" s="1"/>
      <c r="AC3866" s="1"/>
      <c r="AJ3866" s="1"/>
      <c r="AQ3866" s="1"/>
      <c r="AX3866" s="1"/>
      <c r="BE3866" s="1"/>
    </row>
    <row r="3867" spans="1:57" x14ac:dyDescent="0.25">
      <c r="A3867" s="1"/>
      <c r="H3867" s="1"/>
      <c r="O3867" s="1"/>
      <c r="V3867" s="1"/>
      <c r="AC3867" s="1"/>
      <c r="AJ3867" s="1"/>
      <c r="AQ3867" s="1"/>
      <c r="AX3867" s="1"/>
      <c r="BE3867" s="1"/>
    </row>
    <row r="3868" spans="1:57" x14ac:dyDescent="0.25">
      <c r="A3868" s="1"/>
      <c r="H3868" s="1"/>
      <c r="O3868" s="1"/>
      <c r="V3868" s="1"/>
      <c r="AC3868" s="1"/>
      <c r="AJ3868" s="1"/>
      <c r="AQ3868" s="1"/>
      <c r="AX3868" s="1"/>
      <c r="BE3868" s="1"/>
    </row>
    <row r="3869" spans="1:57" x14ac:dyDescent="0.25">
      <c r="A3869" s="1"/>
      <c r="H3869" s="1"/>
      <c r="O3869" s="1"/>
      <c r="V3869" s="1"/>
      <c r="AC3869" s="1"/>
      <c r="AJ3869" s="1"/>
      <c r="AQ3869" s="1"/>
      <c r="AX3869" s="1"/>
      <c r="BE3869" s="1"/>
    </row>
    <row r="3870" spans="1:57" x14ac:dyDescent="0.25">
      <c r="A3870" s="1"/>
      <c r="H3870" s="1"/>
      <c r="O3870" s="1"/>
      <c r="V3870" s="1"/>
      <c r="AC3870" s="1"/>
      <c r="AJ3870" s="1"/>
      <c r="AQ3870" s="1"/>
      <c r="AX3870" s="1"/>
      <c r="BE3870" s="1"/>
    </row>
    <row r="3871" spans="1:57" x14ac:dyDescent="0.25">
      <c r="A3871" s="1"/>
      <c r="H3871" s="1"/>
      <c r="O3871" s="1"/>
      <c r="V3871" s="1"/>
      <c r="AC3871" s="1"/>
      <c r="AJ3871" s="1"/>
      <c r="AQ3871" s="1"/>
      <c r="AX3871" s="1"/>
      <c r="BE3871" s="1"/>
    </row>
    <row r="3872" spans="1:57" x14ac:dyDescent="0.25">
      <c r="A3872" s="1"/>
      <c r="H3872" s="1"/>
      <c r="O3872" s="1"/>
      <c r="V3872" s="1"/>
      <c r="AC3872" s="1"/>
      <c r="AJ3872" s="1"/>
      <c r="AQ3872" s="1"/>
      <c r="AX3872" s="1"/>
      <c r="BE3872" s="1"/>
    </row>
    <row r="3873" spans="1:57" x14ac:dyDescent="0.25">
      <c r="A3873" s="1"/>
      <c r="H3873" s="1"/>
      <c r="O3873" s="1"/>
      <c r="V3873" s="1"/>
      <c r="AC3873" s="1"/>
      <c r="AJ3873" s="1"/>
      <c r="AQ3873" s="1"/>
      <c r="AX3873" s="1"/>
      <c r="BE3873" s="1"/>
    </row>
    <row r="3874" spans="1:57" x14ac:dyDescent="0.25">
      <c r="A3874" s="1"/>
      <c r="H3874" s="1"/>
      <c r="O3874" s="1"/>
      <c r="V3874" s="1"/>
      <c r="AC3874" s="1"/>
      <c r="AJ3874" s="1"/>
      <c r="AQ3874" s="1"/>
      <c r="AX3874" s="1"/>
      <c r="BE3874" s="1"/>
    </row>
    <row r="3875" spans="1:57" x14ac:dyDescent="0.25">
      <c r="A3875" s="1"/>
      <c r="H3875" s="1"/>
      <c r="O3875" s="1"/>
      <c r="V3875" s="1"/>
      <c r="AC3875" s="1"/>
      <c r="AJ3875" s="1"/>
      <c r="AQ3875" s="1"/>
      <c r="AX3875" s="1"/>
      <c r="BE3875" s="1"/>
    </row>
    <row r="3876" spans="1:57" x14ac:dyDescent="0.25">
      <c r="A3876" s="1"/>
      <c r="H3876" s="1"/>
      <c r="O3876" s="1"/>
      <c r="V3876" s="1"/>
      <c r="AC3876" s="1"/>
      <c r="AJ3876" s="1"/>
      <c r="AQ3876" s="1"/>
      <c r="AX3876" s="1"/>
      <c r="BE3876" s="1"/>
    </row>
    <row r="3877" spans="1:57" x14ac:dyDescent="0.25">
      <c r="A3877" s="1"/>
      <c r="H3877" s="1"/>
      <c r="O3877" s="1"/>
      <c r="V3877" s="1"/>
      <c r="AC3877" s="1"/>
      <c r="AJ3877" s="1"/>
      <c r="AQ3877" s="1"/>
      <c r="AX3877" s="1"/>
      <c r="BE3877" s="1"/>
    </row>
    <row r="3878" spans="1:57" x14ac:dyDescent="0.25">
      <c r="A3878" s="1"/>
      <c r="H3878" s="1"/>
      <c r="O3878" s="1"/>
      <c r="V3878" s="1"/>
      <c r="AC3878" s="1"/>
      <c r="AJ3878" s="1"/>
      <c r="AQ3878" s="1"/>
      <c r="AX3878" s="1"/>
      <c r="BE3878" s="1"/>
    </row>
    <row r="3879" spans="1:57" x14ac:dyDescent="0.25">
      <c r="A3879" s="1"/>
      <c r="H3879" s="1"/>
      <c r="O3879" s="1"/>
      <c r="V3879" s="1"/>
      <c r="AC3879" s="1"/>
      <c r="AJ3879" s="1"/>
      <c r="AQ3879" s="1"/>
      <c r="AX3879" s="1"/>
      <c r="BE3879" s="1"/>
    </row>
    <row r="3880" spans="1:57" x14ac:dyDescent="0.25">
      <c r="A3880" s="1"/>
      <c r="H3880" s="1"/>
      <c r="O3880" s="1"/>
      <c r="V3880" s="1"/>
      <c r="AC3880" s="1"/>
      <c r="AJ3880" s="1"/>
      <c r="AQ3880" s="1"/>
      <c r="AX3880" s="1"/>
      <c r="BE3880" s="1"/>
    </row>
    <row r="3881" spans="1:57" x14ac:dyDescent="0.25">
      <c r="A3881" s="1"/>
      <c r="H3881" s="1"/>
      <c r="O3881" s="1"/>
      <c r="V3881" s="1"/>
      <c r="AC3881" s="1"/>
      <c r="AJ3881" s="1"/>
      <c r="AQ3881" s="1"/>
      <c r="AX3881" s="1"/>
      <c r="BE3881" s="1"/>
    </row>
    <row r="3882" spans="1:57" x14ac:dyDescent="0.25">
      <c r="A3882" s="1"/>
      <c r="H3882" s="1"/>
      <c r="O3882" s="1"/>
      <c r="V3882" s="1"/>
      <c r="AC3882" s="1"/>
      <c r="AJ3882" s="1"/>
      <c r="AQ3882" s="1"/>
      <c r="AX3882" s="1"/>
      <c r="BE3882" s="1"/>
    </row>
    <row r="3883" spans="1:57" x14ac:dyDescent="0.25">
      <c r="A3883" s="1"/>
      <c r="H3883" s="1"/>
      <c r="O3883" s="1"/>
      <c r="V3883" s="1"/>
      <c r="AC3883" s="1"/>
      <c r="AJ3883" s="1"/>
      <c r="AQ3883" s="1"/>
      <c r="AX3883" s="1"/>
      <c r="BE3883" s="1"/>
    </row>
    <row r="3884" spans="1:57" x14ac:dyDescent="0.25">
      <c r="A3884" s="1"/>
      <c r="H3884" s="1"/>
      <c r="O3884" s="1"/>
      <c r="V3884" s="1"/>
      <c r="AC3884" s="1"/>
      <c r="AJ3884" s="1"/>
      <c r="AQ3884" s="1"/>
      <c r="AX3884" s="1"/>
      <c r="BE3884" s="1"/>
    </row>
    <row r="3885" spans="1:57" x14ac:dyDescent="0.25">
      <c r="A3885" s="1"/>
      <c r="H3885" s="1"/>
      <c r="O3885" s="1"/>
      <c r="V3885" s="1"/>
      <c r="AC3885" s="1"/>
      <c r="AJ3885" s="1"/>
      <c r="AQ3885" s="1"/>
      <c r="AX3885" s="1"/>
      <c r="BE3885" s="1"/>
    </row>
    <row r="3886" spans="1:57" x14ac:dyDescent="0.25">
      <c r="A3886" s="1"/>
      <c r="H3886" s="1"/>
      <c r="O3886" s="1"/>
      <c r="V3886" s="1"/>
      <c r="AC3886" s="1"/>
      <c r="AJ3886" s="1"/>
      <c r="AQ3886" s="1"/>
      <c r="AX3886" s="1"/>
      <c r="BE3886" s="1"/>
    </row>
    <row r="3887" spans="1:57" x14ac:dyDescent="0.25">
      <c r="A3887" s="1"/>
      <c r="H3887" s="1"/>
      <c r="O3887" s="1"/>
      <c r="V3887" s="1"/>
      <c r="AC3887" s="1"/>
      <c r="AJ3887" s="1"/>
      <c r="AQ3887" s="1"/>
      <c r="AX3887" s="1"/>
      <c r="BE3887" s="1"/>
    </row>
    <row r="3888" spans="1:57" x14ac:dyDescent="0.25">
      <c r="A3888" s="1"/>
      <c r="H3888" s="1"/>
      <c r="O3888" s="1"/>
      <c r="V3888" s="1"/>
      <c r="AC3888" s="1"/>
      <c r="AJ3888" s="1"/>
      <c r="AQ3888" s="1"/>
      <c r="AX3888" s="1"/>
      <c r="BE3888" s="1"/>
    </row>
    <row r="3889" spans="1:57" x14ac:dyDescent="0.25">
      <c r="A3889" s="1"/>
      <c r="H3889" s="1"/>
      <c r="O3889" s="1"/>
      <c r="V3889" s="1"/>
      <c r="AC3889" s="1"/>
      <c r="AJ3889" s="1"/>
      <c r="AQ3889" s="1"/>
      <c r="AX3889" s="1"/>
      <c r="BE3889" s="1"/>
    </row>
    <row r="3890" spans="1:57" x14ac:dyDescent="0.25">
      <c r="A3890" s="1"/>
      <c r="H3890" s="1"/>
      <c r="O3890" s="1"/>
      <c r="V3890" s="1"/>
      <c r="AC3890" s="1"/>
      <c r="AJ3890" s="1"/>
      <c r="AQ3890" s="1"/>
      <c r="AX3890" s="1"/>
      <c r="BE3890" s="1"/>
    </row>
    <row r="3891" spans="1:57" x14ac:dyDescent="0.25">
      <c r="A3891" s="1"/>
      <c r="H3891" s="1"/>
      <c r="O3891" s="1"/>
      <c r="V3891" s="1"/>
      <c r="AC3891" s="1"/>
      <c r="AJ3891" s="1"/>
      <c r="AQ3891" s="1"/>
      <c r="AX3891" s="1"/>
      <c r="BE3891" s="1"/>
    </row>
    <row r="3892" spans="1:57" x14ac:dyDescent="0.25">
      <c r="A3892" s="1"/>
      <c r="H3892" s="1"/>
      <c r="O3892" s="1"/>
      <c r="V3892" s="1"/>
      <c r="AC3892" s="1"/>
      <c r="AJ3892" s="1"/>
      <c r="AQ3892" s="1"/>
      <c r="AX3892" s="1"/>
      <c r="BE3892" s="1"/>
    </row>
    <row r="3893" spans="1:57" x14ac:dyDescent="0.25">
      <c r="A3893" s="1"/>
      <c r="H3893" s="1"/>
      <c r="O3893" s="1"/>
      <c r="V3893" s="1"/>
      <c r="AC3893" s="1"/>
      <c r="AJ3893" s="1"/>
      <c r="AQ3893" s="1"/>
      <c r="AX3893" s="1"/>
      <c r="BE3893" s="1"/>
    </row>
    <row r="3894" spans="1:57" x14ac:dyDescent="0.25">
      <c r="A3894" s="1"/>
      <c r="H3894" s="1"/>
      <c r="O3894" s="1"/>
      <c r="V3894" s="1"/>
      <c r="AC3894" s="1"/>
      <c r="AJ3894" s="1"/>
      <c r="AQ3894" s="1"/>
      <c r="AX3894" s="1"/>
      <c r="BE3894" s="1"/>
    </row>
    <row r="3895" spans="1:57" x14ac:dyDescent="0.25">
      <c r="A3895" s="1"/>
      <c r="H3895" s="1"/>
      <c r="O3895" s="1"/>
      <c r="V3895" s="1"/>
      <c r="AC3895" s="1"/>
      <c r="AJ3895" s="1"/>
      <c r="AQ3895" s="1"/>
      <c r="AX3895" s="1"/>
      <c r="BE3895" s="1"/>
    </row>
    <row r="3896" spans="1:57" x14ac:dyDescent="0.25">
      <c r="A3896" s="1"/>
      <c r="H3896" s="1"/>
      <c r="O3896" s="1"/>
      <c r="V3896" s="1"/>
      <c r="AC3896" s="1"/>
      <c r="AJ3896" s="1"/>
      <c r="AQ3896" s="1"/>
      <c r="AX3896" s="1"/>
      <c r="BE3896" s="1"/>
    </row>
    <row r="3897" spans="1:57" x14ac:dyDescent="0.25">
      <c r="A3897" s="1"/>
      <c r="H3897" s="1"/>
      <c r="O3897" s="1"/>
      <c r="V3897" s="1"/>
      <c r="AC3897" s="1"/>
      <c r="AJ3897" s="1"/>
      <c r="AQ3897" s="1"/>
      <c r="AX3897" s="1"/>
      <c r="BE3897" s="1"/>
    </row>
    <row r="3898" spans="1:57" x14ac:dyDescent="0.25">
      <c r="A3898" s="1"/>
      <c r="H3898" s="1"/>
      <c r="O3898" s="1"/>
      <c r="V3898" s="1"/>
      <c r="AC3898" s="1"/>
      <c r="AJ3898" s="1"/>
      <c r="AQ3898" s="1"/>
      <c r="AX3898" s="1"/>
      <c r="BE3898" s="1"/>
    </row>
    <row r="3899" spans="1:57" x14ac:dyDescent="0.25">
      <c r="A3899" s="1"/>
      <c r="H3899" s="1"/>
      <c r="O3899" s="1"/>
      <c r="V3899" s="1"/>
      <c r="AC3899" s="1"/>
      <c r="AJ3899" s="1"/>
      <c r="AQ3899" s="1"/>
      <c r="AX3899" s="1"/>
      <c r="BE3899" s="1"/>
    </row>
    <row r="3900" spans="1:57" x14ac:dyDescent="0.25">
      <c r="A3900" s="1"/>
      <c r="H3900" s="1"/>
      <c r="O3900" s="1"/>
      <c r="V3900" s="1"/>
      <c r="AC3900" s="1"/>
      <c r="AJ3900" s="1"/>
      <c r="AQ3900" s="1"/>
      <c r="AX3900" s="1"/>
      <c r="BE3900" s="1"/>
    </row>
    <row r="3901" spans="1:57" x14ac:dyDescent="0.25">
      <c r="A3901" s="1"/>
      <c r="H3901" s="1"/>
      <c r="O3901" s="1"/>
      <c r="V3901" s="1"/>
      <c r="AC3901" s="1"/>
      <c r="AJ3901" s="1"/>
      <c r="AQ3901" s="1"/>
      <c r="AX3901" s="1"/>
      <c r="BE3901" s="1"/>
    </row>
    <row r="3902" spans="1:57" x14ac:dyDescent="0.25">
      <c r="A3902" s="1"/>
      <c r="H3902" s="1"/>
      <c r="O3902" s="1"/>
      <c r="V3902" s="1"/>
      <c r="AC3902" s="1"/>
      <c r="AJ3902" s="1"/>
      <c r="AQ3902" s="1"/>
      <c r="AX3902" s="1"/>
      <c r="BE3902" s="1"/>
    </row>
    <row r="3903" spans="1:57" x14ac:dyDescent="0.25">
      <c r="A3903" s="1"/>
      <c r="H3903" s="1"/>
      <c r="O3903" s="1"/>
      <c r="V3903" s="1"/>
      <c r="AC3903" s="1"/>
      <c r="AJ3903" s="1"/>
      <c r="AQ3903" s="1"/>
      <c r="AX3903" s="1"/>
      <c r="BE3903" s="1"/>
    </row>
    <row r="3904" spans="1:57" x14ac:dyDescent="0.25">
      <c r="A3904" s="1"/>
      <c r="H3904" s="1"/>
      <c r="O3904" s="1"/>
      <c r="V3904" s="1"/>
      <c r="AC3904" s="1"/>
      <c r="AJ3904" s="1"/>
      <c r="AQ3904" s="1"/>
      <c r="AX3904" s="1"/>
      <c r="BE3904" s="1"/>
    </row>
    <row r="3905" spans="1:57" x14ac:dyDescent="0.25">
      <c r="A3905" s="1"/>
      <c r="H3905" s="1"/>
      <c r="O3905" s="1"/>
      <c r="V3905" s="1"/>
      <c r="AC3905" s="1"/>
      <c r="AJ3905" s="1"/>
      <c r="AQ3905" s="1"/>
      <c r="AX3905" s="1"/>
      <c r="BE3905" s="1"/>
    </row>
    <row r="3906" spans="1:57" x14ac:dyDescent="0.25">
      <c r="A3906" s="1"/>
      <c r="H3906" s="1"/>
      <c r="O3906" s="1"/>
      <c r="V3906" s="1"/>
      <c r="AC3906" s="1"/>
      <c r="AJ3906" s="1"/>
      <c r="AQ3906" s="1"/>
      <c r="AX3906" s="1"/>
      <c r="BE3906" s="1"/>
    </row>
    <row r="3907" spans="1:57" x14ac:dyDescent="0.25">
      <c r="A3907" s="1"/>
      <c r="H3907" s="1"/>
      <c r="O3907" s="1"/>
      <c r="V3907" s="1"/>
      <c r="AC3907" s="1"/>
      <c r="AJ3907" s="1"/>
      <c r="AQ3907" s="1"/>
      <c r="AX3907" s="1"/>
      <c r="BE3907" s="1"/>
    </row>
    <row r="3908" spans="1:57" x14ac:dyDescent="0.25">
      <c r="A3908" s="1"/>
      <c r="H3908" s="1"/>
      <c r="O3908" s="1"/>
      <c r="V3908" s="1"/>
      <c r="AC3908" s="1"/>
      <c r="AJ3908" s="1"/>
      <c r="AQ3908" s="1"/>
      <c r="AX3908" s="1"/>
      <c r="BE3908" s="1"/>
    </row>
    <row r="3909" spans="1:57" x14ac:dyDescent="0.25">
      <c r="A3909" s="1"/>
      <c r="H3909" s="1"/>
      <c r="O3909" s="1"/>
      <c r="V3909" s="1"/>
      <c r="AC3909" s="1"/>
      <c r="AJ3909" s="1"/>
      <c r="AQ3909" s="1"/>
      <c r="AX3909" s="1"/>
      <c r="BE3909" s="1"/>
    </row>
    <row r="3910" spans="1:57" x14ac:dyDescent="0.25">
      <c r="A3910" s="1"/>
      <c r="H3910" s="1"/>
      <c r="O3910" s="1"/>
      <c r="V3910" s="1"/>
      <c r="AC3910" s="1"/>
      <c r="AJ3910" s="1"/>
      <c r="AQ3910" s="1"/>
      <c r="AX3910" s="1"/>
      <c r="BE3910" s="1"/>
    </row>
    <row r="3911" spans="1:57" x14ac:dyDescent="0.25">
      <c r="A3911" s="1"/>
      <c r="H3911" s="1"/>
      <c r="O3911" s="1"/>
      <c r="V3911" s="1"/>
      <c r="AC3911" s="1"/>
      <c r="AJ3911" s="1"/>
      <c r="AQ3911" s="1"/>
      <c r="AX3911" s="1"/>
      <c r="BE3911" s="1"/>
    </row>
    <row r="3912" spans="1:57" x14ac:dyDescent="0.25">
      <c r="A3912" s="1"/>
      <c r="H3912" s="1"/>
      <c r="O3912" s="1"/>
      <c r="V3912" s="1"/>
      <c r="AC3912" s="1"/>
      <c r="AJ3912" s="1"/>
      <c r="AQ3912" s="1"/>
      <c r="AX3912" s="1"/>
      <c r="BE3912" s="1"/>
    </row>
    <row r="3913" spans="1:57" x14ac:dyDescent="0.25">
      <c r="A3913" s="1"/>
      <c r="H3913" s="1"/>
      <c r="O3913" s="1"/>
      <c r="V3913" s="1"/>
      <c r="AC3913" s="1"/>
      <c r="AJ3913" s="1"/>
      <c r="AQ3913" s="1"/>
      <c r="AX3913" s="1"/>
      <c r="BE3913" s="1"/>
    </row>
    <row r="3914" spans="1:57" x14ac:dyDescent="0.25">
      <c r="A3914" s="1"/>
      <c r="H3914" s="1"/>
      <c r="O3914" s="1"/>
      <c r="V3914" s="1"/>
      <c r="AC3914" s="1"/>
      <c r="AJ3914" s="1"/>
      <c r="AQ3914" s="1"/>
      <c r="AX3914" s="1"/>
      <c r="BE3914" s="1"/>
    </row>
    <row r="3915" spans="1:57" x14ac:dyDescent="0.25">
      <c r="A3915" s="1"/>
      <c r="H3915" s="1"/>
      <c r="O3915" s="1"/>
      <c r="V3915" s="1"/>
      <c r="AC3915" s="1"/>
      <c r="AJ3915" s="1"/>
      <c r="AQ3915" s="1"/>
      <c r="AX3915" s="1"/>
      <c r="BE3915" s="1"/>
    </row>
    <row r="3916" spans="1:57" x14ac:dyDescent="0.25">
      <c r="A3916" s="1"/>
      <c r="H3916" s="1"/>
      <c r="O3916" s="1"/>
      <c r="V3916" s="1"/>
      <c r="AC3916" s="1"/>
      <c r="AJ3916" s="1"/>
      <c r="AQ3916" s="1"/>
      <c r="AX3916" s="1"/>
      <c r="BE3916" s="1"/>
    </row>
    <row r="3917" spans="1:57" x14ac:dyDescent="0.25">
      <c r="A3917" s="1"/>
      <c r="H3917" s="1"/>
      <c r="O3917" s="1"/>
      <c r="V3917" s="1"/>
      <c r="AC3917" s="1"/>
      <c r="AJ3917" s="1"/>
      <c r="AQ3917" s="1"/>
      <c r="AX3917" s="1"/>
      <c r="BE3917" s="1"/>
    </row>
    <row r="3918" spans="1:57" x14ac:dyDescent="0.25">
      <c r="A3918" s="1"/>
      <c r="H3918" s="1"/>
      <c r="O3918" s="1"/>
      <c r="V3918" s="1"/>
      <c r="AC3918" s="1"/>
      <c r="AJ3918" s="1"/>
      <c r="AQ3918" s="1"/>
      <c r="AX3918" s="1"/>
      <c r="BE3918" s="1"/>
    </row>
    <row r="3919" spans="1:57" x14ac:dyDescent="0.25">
      <c r="A3919" s="1"/>
      <c r="H3919" s="1"/>
      <c r="O3919" s="1"/>
      <c r="V3919" s="1"/>
      <c r="AC3919" s="1"/>
      <c r="AJ3919" s="1"/>
      <c r="AQ3919" s="1"/>
      <c r="AX3919" s="1"/>
      <c r="BE3919" s="1"/>
    </row>
    <row r="3920" spans="1:57" x14ac:dyDescent="0.25">
      <c r="A3920" s="1"/>
      <c r="H3920" s="1"/>
      <c r="O3920" s="1"/>
      <c r="V3920" s="1"/>
      <c r="AC3920" s="1"/>
      <c r="AJ3920" s="1"/>
      <c r="AQ3920" s="1"/>
      <c r="AX3920" s="1"/>
      <c r="BE3920" s="1"/>
    </row>
    <row r="3921" spans="1:57" x14ac:dyDescent="0.25">
      <c r="A3921" s="1"/>
      <c r="H3921" s="1"/>
      <c r="O3921" s="1"/>
      <c r="V3921" s="1"/>
      <c r="AC3921" s="1"/>
      <c r="AJ3921" s="1"/>
      <c r="AQ3921" s="1"/>
      <c r="AX3921" s="1"/>
      <c r="BE3921" s="1"/>
    </row>
    <row r="3922" spans="1:57" x14ac:dyDescent="0.25">
      <c r="A3922" s="1"/>
      <c r="H3922" s="1"/>
      <c r="O3922" s="1"/>
      <c r="V3922" s="1"/>
      <c r="AC3922" s="1"/>
      <c r="AJ3922" s="1"/>
      <c r="AQ3922" s="1"/>
      <c r="AX3922" s="1"/>
      <c r="BE3922" s="1"/>
    </row>
    <row r="3923" spans="1:57" x14ac:dyDescent="0.25">
      <c r="A3923" s="1"/>
      <c r="H3923" s="1"/>
      <c r="O3923" s="1"/>
      <c r="V3923" s="1"/>
      <c r="AC3923" s="1"/>
      <c r="AJ3923" s="1"/>
      <c r="AQ3923" s="1"/>
      <c r="AX3923" s="1"/>
      <c r="BE3923" s="1"/>
    </row>
    <row r="3924" spans="1:57" x14ac:dyDescent="0.25">
      <c r="A3924" s="1"/>
      <c r="H3924" s="1"/>
      <c r="O3924" s="1"/>
      <c r="V3924" s="1"/>
      <c r="AC3924" s="1"/>
      <c r="AJ3924" s="1"/>
      <c r="AQ3924" s="1"/>
      <c r="AX3924" s="1"/>
      <c r="BE3924" s="1"/>
    </row>
    <row r="3925" spans="1:57" x14ac:dyDescent="0.25">
      <c r="A3925" s="1"/>
      <c r="H3925" s="1"/>
      <c r="O3925" s="1"/>
      <c r="V3925" s="1"/>
      <c r="AC3925" s="1"/>
      <c r="AJ3925" s="1"/>
      <c r="AQ3925" s="1"/>
      <c r="AX3925" s="1"/>
      <c r="BE3925" s="1"/>
    </row>
    <row r="3926" spans="1:57" x14ac:dyDescent="0.25">
      <c r="A3926" s="1"/>
      <c r="H3926" s="1"/>
      <c r="O3926" s="1"/>
      <c r="V3926" s="1"/>
      <c r="AC3926" s="1"/>
      <c r="AJ3926" s="1"/>
      <c r="AQ3926" s="1"/>
      <c r="AX3926" s="1"/>
      <c r="BE3926" s="1"/>
    </row>
    <row r="3927" spans="1:57" x14ac:dyDescent="0.25">
      <c r="A3927" s="1"/>
      <c r="H3927" s="1"/>
      <c r="O3927" s="1"/>
      <c r="V3927" s="1"/>
      <c r="AC3927" s="1"/>
      <c r="AJ3927" s="1"/>
      <c r="AQ3927" s="1"/>
      <c r="AX3927" s="1"/>
      <c r="BE3927" s="1"/>
    </row>
    <row r="3928" spans="1:57" x14ac:dyDescent="0.25">
      <c r="A3928" s="1"/>
      <c r="H3928" s="1"/>
      <c r="O3928" s="1"/>
      <c r="V3928" s="1"/>
      <c r="AC3928" s="1"/>
      <c r="AJ3928" s="1"/>
      <c r="AQ3928" s="1"/>
      <c r="AX3928" s="1"/>
      <c r="BE3928" s="1"/>
    </row>
    <row r="3929" spans="1:57" x14ac:dyDescent="0.25">
      <c r="A3929" s="1"/>
      <c r="H3929" s="1"/>
      <c r="O3929" s="1"/>
      <c r="V3929" s="1"/>
      <c r="AC3929" s="1"/>
      <c r="AJ3929" s="1"/>
      <c r="AQ3929" s="1"/>
      <c r="AX3929" s="1"/>
      <c r="BE3929" s="1"/>
    </row>
    <row r="3930" spans="1:57" x14ac:dyDescent="0.25">
      <c r="A3930" s="1"/>
      <c r="H3930" s="1"/>
      <c r="O3930" s="1"/>
      <c r="V3930" s="1"/>
      <c r="AC3930" s="1"/>
      <c r="AJ3930" s="1"/>
      <c r="AQ3930" s="1"/>
      <c r="AX3930" s="1"/>
      <c r="BE3930" s="1"/>
    </row>
    <row r="3931" spans="1:57" x14ac:dyDescent="0.25">
      <c r="A3931" s="1"/>
      <c r="H3931" s="1"/>
      <c r="O3931" s="1"/>
      <c r="V3931" s="1"/>
      <c r="AC3931" s="1"/>
      <c r="AJ3931" s="1"/>
      <c r="AQ3931" s="1"/>
      <c r="AX3931" s="1"/>
      <c r="BE3931" s="1"/>
    </row>
    <row r="3932" spans="1:57" x14ac:dyDescent="0.25">
      <c r="A3932" s="1"/>
      <c r="H3932" s="1"/>
      <c r="O3932" s="1"/>
      <c r="V3932" s="1"/>
      <c r="AC3932" s="1"/>
      <c r="AJ3932" s="1"/>
      <c r="AQ3932" s="1"/>
      <c r="AX3932" s="1"/>
      <c r="BE3932" s="1"/>
    </row>
    <row r="3933" spans="1:57" x14ac:dyDescent="0.25">
      <c r="A3933" s="1"/>
      <c r="H3933" s="1"/>
      <c r="O3933" s="1"/>
      <c r="V3933" s="1"/>
      <c r="AC3933" s="1"/>
      <c r="AJ3933" s="1"/>
      <c r="AQ3933" s="1"/>
      <c r="AX3933" s="1"/>
      <c r="BE3933" s="1"/>
    </row>
    <row r="3934" spans="1:57" x14ac:dyDescent="0.25">
      <c r="A3934" s="1"/>
      <c r="H3934" s="1"/>
      <c r="O3934" s="1"/>
      <c r="V3934" s="1"/>
      <c r="AC3934" s="1"/>
      <c r="AJ3934" s="1"/>
      <c r="AQ3934" s="1"/>
      <c r="AX3934" s="1"/>
      <c r="BE3934" s="1"/>
    </row>
    <row r="3935" spans="1:57" x14ac:dyDescent="0.25">
      <c r="A3935" s="1"/>
      <c r="H3935" s="1"/>
      <c r="O3935" s="1"/>
      <c r="V3935" s="1"/>
      <c r="AC3935" s="1"/>
      <c r="AJ3935" s="1"/>
      <c r="AQ3935" s="1"/>
      <c r="AX3935" s="1"/>
      <c r="BE3935" s="1"/>
    </row>
    <row r="3936" spans="1:57" x14ac:dyDescent="0.25">
      <c r="A3936" s="1"/>
      <c r="H3936" s="1"/>
      <c r="O3936" s="1"/>
      <c r="V3936" s="1"/>
      <c r="AC3936" s="1"/>
      <c r="AJ3936" s="1"/>
      <c r="AQ3936" s="1"/>
      <c r="AX3936" s="1"/>
      <c r="BE3936" s="1"/>
    </row>
    <row r="3937" spans="1:57" x14ac:dyDescent="0.25">
      <c r="A3937" s="1"/>
      <c r="H3937" s="1"/>
      <c r="O3937" s="1"/>
      <c r="V3937" s="1"/>
      <c r="AC3937" s="1"/>
      <c r="AJ3937" s="1"/>
      <c r="AQ3937" s="1"/>
      <c r="AX3937" s="1"/>
      <c r="BE3937" s="1"/>
    </row>
    <row r="3938" spans="1:57" x14ac:dyDescent="0.25">
      <c r="A3938" s="1"/>
      <c r="H3938" s="1"/>
      <c r="O3938" s="1"/>
      <c r="V3938" s="1"/>
      <c r="AC3938" s="1"/>
      <c r="AJ3938" s="1"/>
      <c r="AQ3938" s="1"/>
      <c r="AX3938" s="1"/>
      <c r="BE3938" s="1"/>
    </row>
    <row r="3939" spans="1:57" x14ac:dyDescent="0.25">
      <c r="A3939" s="1"/>
      <c r="H3939" s="1"/>
      <c r="O3939" s="1"/>
      <c r="V3939" s="1"/>
      <c r="AC3939" s="1"/>
      <c r="AJ3939" s="1"/>
      <c r="AQ3939" s="1"/>
      <c r="AX3939" s="1"/>
      <c r="BE3939" s="1"/>
    </row>
    <row r="3940" spans="1:57" x14ac:dyDescent="0.25">
      <c r="A3940" s="1"/>
      <c r="H3940" s="1"/>
      <c r="O3940" s="1"/>
      <c r="V3940" s="1"/>
      <c r="AC3940" s="1"/>
      <c r="AJ3940" s="1"/>
      <c r="AQ3940" s="1"/>
      <c r="AX3940" s="1"/>
      <c r="BE3940" s="1"/>
    </row>
    <row r="3941" spans="1:57" x14ac:dyDescent="0.25">
      <c r="A3941" s="1"/>
      <c r="H3941" s="1"/>
      <c r="O3941" s="1"/>
      <c r="V3941" s="1"/>
      <c r="AC3941" s="1"/>
      <c r="AJ3941" s="1"/>
      <c r="AQ3941" s="1"/>
      <c r="AX3941" s="1"/>
      <c r="BE3941" s="1"/>
    </row>
    <row r="3942" spans="1:57" x14ac:dyDescent="0.25">
      <c r="A3942" s="1"/>
      <c r="H3942" s="1"/>
      <c r="O3942" s="1"/>
      <c r="V3942" s="1"/>
      <c r="AC3942" s="1"/>
      <c r="AJ3942" s="1"/>
      <c r="AQ3942" s="1"/>
      <c r="AX3942" s="1"/>
      <c r="BE3942" s="1"/>
    </row>
    <row r="3943" spans="1:57" x14ac:dyDescent="0.25">
      <c r="A3943" s="1"/>
      <c r="H3943" s="1"/>
      <c r="O3943" s="1"/>
      <c r="V3943" s="1"/>
      <c r="AC3943" s="1"/>
      <c r="AJ3943" s="1"/>
      <c r="AQ3943" s="1"/>
      <c r="AX3943" s="1"/>
      <c r="BE3943" s="1"/>
    </row>
    <row r="3944" spans="1:57" x14ac:dyDescent="0.25">
      <c r="A3944" s="1"/>
      <c r="H3944" s="1"/>
      <c r="O3944" s="1"/>
      <c r="V3944" s="1"/>
      <c r="AC3944" s="1"/>
      <c r="AJ3944" s="1"/>
      <c r="AQ3944" s="1"/>
      <c r="AX3944" s="1"/>
      <c r="BE3944" s="1"/>
    </row>
    <row r="3945" spans="1:57" x14ac:dyDescent="0.25">
      <c r="A3945" s="1"/>
      <c r="H3945" s="1"/>
      <c r="O3945" s="1"/>
      <c r="V3945" s="1"/>
      <c r="AC3945" s="1"/>
      <c r="AJ3945" s="1"/>
      <c r="AQ3945" s="1"/>
      <c r="AX3945" s="1"/>
      <c r="BE3945" s="1"/>
    </row>
    <row r="3946" spans="1:57" x14ac:dyDescent="0.25">
      <c r="A3946" s="1"/>
      <c r="H3946" s="1"/>
      <c r="O3946" s="1"/>
      <c r="V3946" s="1"/>
      <c r="AC3946" s="1"/>
      <c r="AJ3946" s="1"/>
      <c r="AQ3946" s="1"/>
      <c r="AX3946" s="1"/>
      <c r="BE3946" s="1"/>
    </row>
    <row r="3947" spans="1:57" x14ac:dyDescent="0.25">
      <c r="A3947" s="1"/>
      <c r="H3947" s="1"/>
      <c r="O3947" s="1"/>
      <c r="V3947" s="1"/>
      <c r="AC3947" s="1"/>
      <c r="AJ3947" s="1"/>
      <c r="AQ3947" s="1"/>
      <c r="AX3947" s="1"/>
      <c r="BE3947" s="1"/>
    </row>
    <row r="3948" spans="1:57" x14ac:dyDescent="0.25">
      <c r="A3948" s="1"/>
      <c r="H3948" s="1"/>
      <c r="O3948" s="1"/>
      <c r="V3948" s="1"/>
      <c r="AC3948" s="1"/>
      <c r="AJ3948" s="1"/>
      <c r="AQ3948" s="1"/>
      <c r="AX3948" s="1"/>
      <c r="BE3948" s="1"/>
    </row>
    <row r="3949" spans="1:57" x14ac:dyDescent="0.25">
      <c r="A3949" s="1"/>
      <c r="H3949" s="1"/>
      <c r="O3949" s="1"/>
      <c r="V3949" s="1"/>
      <c r="AC3949" s="1"/>
      <c r="AJ3949" s="1"/>
      <c r="AQ3949" s="1"/>
      <c r="AX3949" s="1"/>
      <c r="BE3949" s="1"/>
    </row>
    <row r="3950" spans="1:57" x14ac:dyDescent="0.25">
      <c r="A3950" s="1"/>
      <c r="H3950" s="1"/>
      <c r="O3950" s="1"/>
      <c r="V3950" s="1"/>
      <c r="AC3950" s="1"/>
      <c r="AJ3950" s="1"/>
      <c r="AQ3950" s="1"/>
      <c r="AX3950" s="1"/>
      <c r="BE3950" s="1"/>
    </row>
    <row r="3951" spans="1:57" x14ac:dyDescent="0.25">
      <c r="A3951" s="1"/>
      <c r="H3951" s="1"/>
      <c r="O3951" s="1"/>
      <c r="V3951" s="1"/>
      <c r="AC3951" s="1"/>
      <c r="AJ3951" s="1"/>
      <c r="AQ3951" s="1"/>
      <c r="AX3951" s="1"/>
      <c r="BE3951" s="1"/>
    </row>
    <row r="3952" spans="1:57" x14ac:dyDescent="0.25">
      <c r="A3952" s="1"/>
      <c r="H3952" s="1"/>
      <c r="O3952" s="1"/>
      <c r="V3952" s="1"/>
      <c r="AC3952" s="1"/>
      <c r="AJ3952" s="1"/>
      <c r="AQ3952" s="1"/>
      <c r="AX3952" s="1"/>
      <c r="BE3952" s="1"/>
    </row>
    <row r="3953" spans="1:57" x14ac:dyDescent="0.25">
      <c r="A3953" s="1"/>
      <c r="H3953" s="1"/>
      <c r="O3953" s="1"/>
      <c r="V3953" s="1"/>
      <c r="AC3953" s="1"/>
      <c r="AJ3953" s="1"/>
      <c r="AQ3953" s="1"/>
      <c r="AX3953" s="1"/>
      <c r="BE3953" s="1"/>
    </row>
    <row r="3954" spans="1:57" x14ac:dyDescent="0.25">
      <c r="A3954" s="1"/>
      <c r="H3954" s="1"/>
      <c r="O3954" s="1"/>
      <c r="V3954" s="1"/>
      <c r="AC3954" s="1"/>
      <c r="AJ3954" s="1"/>
      <c r="AQ3954" s="1"/>
      <c r="AX3954" s="1"/>
      <c r="BE3954" s="1"/>
    </row>
    <row r="3955" spans="1:57" x14ac:dyDescent="0.25">
      <c r="A3955" s="1"/>
      <c r="H3955" s="1"/>
      <c r="O3955" s="1"/>
      <c r="V3955" s="1"/>
      <c r="AC3955" s="1"/>
      <c r="AJ3955" s="1"/>
      <c r="AQ3955" s="1"/>
      <c r="AX3955" s="1"/>
      <c r="BE3955" s="1"/>
    </row>
    <row r="3956" spans="1:57" x14ac:dyDescent="0.25">
      <c r="A3956" s="1"/>
      <c r="H3956" s="1"/>
      <c r="O3956" s="1"/>
      <c r="V3956" s="1"/>
      <c r="AC3956" s="1"/>
      <c r="AJ3956" s="1"/>
      <c r="AQ3956" s="1"/>
      <c r="AX3956" s="1"/>
      <c r="BE3956" s="1"/>
    </row>
    <row r="3957" spans="1:57" x14ac:dyDescent="0.25">
      <c r="A3957" s="1"/>
      <c r="H3957" s="1"/>
      <c r="O3957" s="1"/>
      <c r="V3957" s="1"/>
      <c r="AC3957" s="1"/>
      <c r="AJ3957" s="1"/>
      <c r="AQ3957" s="1"/>
      <c r="AX3957" s="1"/>
      <c r="BE3957" s="1"/>
    </row>
    <row r="3958" spans="1:57" x14ac:dyDescent="0.25">
      <c r="A3958" s="1"/>
      <c r="H3958" s="1"/>
      <c r="O3958" s="1"/>
      <c r="V3958" s="1"/>
      <c r="AC3958" s="1"/>
      <c r="AJ3958" s="1"/>
      <c r="AQ3958" s="1"/>
      <c r="AX3958" s="1"/>
      <c r="BE3958" s="1"/>
    </row>
    <row r="3959" spans="1:57" x14ac:dyDescent="0.25">
      <c r="A3959" s="1"/>
      <c r="H3959" s="1"/>
      <c r="O3959" s="1"/>
      <c r="V3959" s="1"/>
      <c r="AC3959" s="1"/>
      <c r="AJ3959" s="1"/>
      <c r="AQ3959" s="1"/>
      <c r="AX3959" s="1"/>
      <c r="BE3959" s="1"/>
    </row>
    <row r="3960" spans="1:57" x14ac:dyDescent="0.25">
      <c r="A3960" s="1"/>
      <c r="H3960" s="1"/>
      <c r="O3960" s="1"/>
      <c r="V3960" s="1"/>
      <c r="AC3960" s="1"/>
      <c r="AJ3960" s="1"/>
      <c r="AQ3960" s="1"/>
      <c r="AX3960" s="1"/>
      <c r="BE3960" s="1"/>
    </row>
    <row r="3961" spans="1:57" x14ac:dyDescent="0.25">
      <c r="A3961" s="1"/>
      <c r="H3961" s="1"/>
      <c r="O3961" s="1"/>
      <c r="V3961" s="1"/>
      <c r="AC3961" s="1"/>
      <c r="AJ3961" s="1"/>
      <c r="AQ3961" s="1"/>
      <c r="AX3961" s="1"/>
      <c r="BE3961" s="1"/>
    </row>
    <row r="3962" spans="1:57" x14ac:dyDescent="0.25">
      <c r="A3962" s="1"/>
      <c r="H3962" s="1"/>
      <c r="O3962" s="1"/>
      <c r="V3962" s="1"/>
      <c r="AC3962" s="1"/>
      <c r="AJ3962" s="1"/>
      <c r="AQ3962" s="1"/>
      <c r="AX3962" s="1"/>
      <c r="BE3962" s="1"/>
    </row>
    <row r="3963" spans="1:57" x14ac:dyDescent="0.25">
      <c r="A3963" s="1"/>
      <c r="H3963" s="1"/>
      <c r="O3963" s="1"/>
      <c r="V3963" s="1"/>
      <c r="AC3963" s="1"/>
      <c r="AJ3963" s="1"/>
      <c r="AQ3963" s="1"/>
      <c r="AX3963" s="1"/>
      <c r="BE3963" s="1"/>
    </row>
    <row r="3964" spans="1:57" x14ac:dyDescent="0.25">
      <c r="A3964" s="1"/>
      <c r="H3964" s="1"/>
      <c r="O3964" s="1"/>
      <c r="V3964" s="1"/>
      <c r="AC3964" s="1"/>
      <c r="AJ3964" s="1"/>
      <c r="AQ3964" s="1"/>
      <c r="AX3964" s="1"/>
      <c r="BE3964" s="1"/>
    </row>
    <row r="3965" spans="1:57" x14ac:dyDescent="0.25">
      <c r="A3965" s="1"/>
      <c r="H3965" s="1"/>
      <c r="O3965" s="1"/>
      <c r="V3965" s="1"/>
      <c r="AC3965" s="1"/>
      <c r="AJ3965" s="1"/>
      <c r="AQ3965" s="1"/>
      <c r="AX3965" s="1"/>
      <c r="BE3965" s="1"/>
    </row>
    <row r="3966" spans="1:57" x14ac:dyDescent="0.25">
      <c r="A3966" s="1"/>
      <c r="H3966" s="1"/>
      <c r="O3966" s="1"/>
      <c r="V3966" s="1"/>
      <c r="AC3966" s="1"/>
      <c r="AJ3966" s="1"/>
      <c r="AQ3966" s="1"/>
      <c r="AX3966" s="1"/>
      <c r="BE3966" s="1"/>
    </row>
    <row r="3967" spans="1:57" x14ac:dyDescent="0.25">
      <c r="A3967" s="1"/>
      <c r="H3967" s="1"/>
      <c r="O3967" s="1"/>
      <c r="V3967" s="1"/>
      <c r="AC3967" s="1"/>
      <c r="AJ3967" s="1"/>
      <c r="AQ3967" s="1"/>
      <c r="AX3967" s="1"/>
      <c r="BE3967" s="1"/>
    </row>
    <row r="3968" spans="1:57" x14ac:dyDescent="0.25">
      <c r="A3968" s="1"/>
      <c r="H3968" s="1"/>
      <c r="O3968" s="1"/>
      <c r="V3968" s="1"/>
      <c r="AC3968" s="1"/>
      <c r="AJ3968" s="1"/>
      <c r="AQ3968" s="1"/>
      <c r="AX3968" s="1"/>
      <c r="BE3968" s="1"/>
    </row>
    <row r="3969" spans="1:57" x14ac:dyDescent="0.25">
      <c r="A3969" s="1"/>
      <c r="H3969" s="1"/>
      <c r="O3969" s="1"/>
      <c r="V3969" s="1"/>
      <c r="AC3969" s="1"/>
      <c r="AJ3969" s="1"/>
      <c r="AQ3969" s="1"/>
      <c r="AX3969" s="1"/>
      <c r="BE3969" s="1"/>
    </row>
    <row r="3970" spans="1:57" x14ac:dyDescent="0.25">
      <c r="A3970" s="1"/>
      <c r="H3970" s="1"/>
      <c r="O3970" s="1"/>
      <c r="V3970" s="1"/>
      <c r="AC3970" s="1"/>
      <c r="AJ3970" s="1"/>
      <c r="AQ3970" s="1"/>
      <c r="AX3970" s="1"/>
      <c r="BE3970" s="1"/>
    </row>
    <row r="3971" spans="1:57" x14ac:dyDescent="0.25">
      <c r="A3971" s="1"/>
      <c r="H3971" s="1"/>
      <c r="O3971" s="1"/>
      <c r="V3971" s="1"/>
      <c r="AC3971" s="1"/>
      <c r="AJ3971" s="1"/>
      <c r="AQ3971" s="1"/>
      <c r="AX3971" s="1"/>
      <c r="BE3971" s="1"/>
    </row>
    <row r="3972" spans="1:57" x14ac:dyDescent="0.25">
      <c r="A3972" s="1"/>
      <c r="H3972" s="1"/>
      <c r="O3972" s="1"/>
      <c r="V3972" s="1"/>
      <c r="AC3972" s="1"/>
      <c r="AJ3972" s="1"/>
      <c r="AQ3972" s="1"/>
      <c r="AX3972" s="1"/>
      <c r="BE3972" s="1"/>
    </row>
    <row r="3973" spans="1:57" x14ac:dyDescent="0.25">
      <c r="A3973" s="1"/>
      <c r="H3973" s="1"/>
      <c r="O3973" s="1"/>
      <c r="V3973" s="1"/>
      <c r="AC3973" s="1"/>
      <c r="AJ3973" s="1"/>
      <c r="AQ3973" s="1"/>
      <c r="AX3973" s="1"/>
      <c r="BE3973" s="1"/>
    </row>
    <row r="3974" spans="1:57" x14ac:dyDescent="0.25">
      <c r="A3974" s="1"/>
      <c r="H3974" s="1"/>
      <c r="O3974" s="1"/>
      <c r="V3974" s="1"/>
      <c r="AC3974" s="1"/>
      <c r="AJ3974" s="1"/>
      <c r="AQ3974" s="1"/>
      <c r="AX3974" s="1"/>
      <c r="BE3974" s="1"/>
    </row>
    <row r="3975" spans="1:57" x14ac:dyDescent="0.25">
      <c r="A3975" s="1"/>
      <c r="H3975" s="1"/>
      <c r="O3975" s="1"/>
      <c r="V3975" s="1"/>
      <c r="AC3975" s="1"/>
      <c r="AJ3975" s="1"/>
      <c r="AQ3975" s="1"/>
      <c r="AX3975" s="1"/>
      <c r="BE3975" s="1"/>
    </row>
    <row r="3976" spans="1:57" x14ac:dyDescent="0.25">
      <c r="A3976" s="1"/>
      <c r="H3976" s="1"/>
      <c r="O3976" s="1"/>
      <c r="V3976" s="1"/>
      <c r="AC3976" s="1"/>
      <c r="AJ3976" s="1"/>
      <c r="AQ3976" s="1"/>
      <c r="AX3976" s="1"/>
      <c r="BE3976" s="1"/>
    </row>
    <row r="3977" spans="1:57" x14ac:dyDescent="0.25">
      <c r="A3977" s="1"/>
      <c r="H3977" s="1"/>
      <c r="O3977" s="1"/>
      <c r="V3977" s="1"/>
      <c r="AC3977" s="1"/>
      <c r="AJ3977" s="1"/>
      <c r="AQ3977" s="1"/>
      <c r="AX3977" s="1"/>
      <c r="BE3977" s="1"/>
    </row>
    <row r="3978" spans="1:57" x14ac:dyDescent="0.25">
      <c r="A3978" s="1"/>
      <c r="H3978" s="1"/>
      <c r="O3978" s="1"/>
      <c r="V3978" s="1"/>
      <c r="AC3978" s="1"/>
      <c r="AJ3978" s="1"/>
      <c r="AQ3978" s="1"/>
      <c r="AX3978" s="1"/>
      <c r="BE3978" s="1"/>
    </row>
    <row r="3979" spans="1:57" x14ac:dyDescent="0.25">
      <c r="A3979" s="1"/>
      <c r="H3979" s="1"/>
      <c r="O3979" s="1"/>
      <c r="V3979" s="1"/>
      <c r="AC3979" s="1"/>
      <c r="AJ3979" s="1"/>
      <c r="AQ3979" s="1"/>
      <c r="AX3979" s="1"/>
      <c r="BE3979" s="1"/>
    </row>
    <row r="3980" spans="1:57" x14ac:dyDescent="0.25">
      <c r="A3980" s="1"/>
      <c r="H3980" s="1"/>
      <c r="O3980" s="1"/>
      <c r="V3980" s="1"/>
      <c r="AC3980" s="1"/>
      <c r="AJ3980" s="1"/>
      <c r="AQ3980" s="1"/>
      <c r="AX3980" s="1"/>
      <c r="BE3980" s="1"/>
    </row>
    <row r="3981" spans="1:57" x14ac:dyDescent="0.25">
      <c r="A3981" s="1"/>
      <c r="H3981" s="1"/>
      <c r="O3981" s="1"/>
      <c r="V3981" s="1"/>
      <c r="AC3981" s="1"/>
      <c r="AJ3981" s="1"/>
      <c r="AQ3981" s="1"/>
      <c r="AX3981" s="1"/>
      <c r="BE3981" s="1"/>
    </row>
    <row r="3982" spans="1:57" x14ac:dyDescent="0.25">
      <c r="A3982" s="1"/>
      <c r="H3982" s="1"/>
      <c r="O3982" s="1"/>
      <c r="V3982" s="1"/>
      <c r="AC3982" s="1"/>
      <c r="AJ3982" s="1"/>
      <c r="AQ3982" s="1"/>
      <c r="AX3982" s="1"/>
      <c r="BE3982" s="1"/>
    </row>
    <row r="3983" spans="1:57" x14ac:dyDescent="0.25">
      <c r="A3983" s="1"/>
      <c r="H3983" s="1"/>
      <c r="O3983" s="1"/>
      <c r="V3983" s="1"/>
      <c r="AC3983" s="1"/>
      <c r="AJ3983" s="1"/>
      <c r="AQ3983" s="1"/>
      <c r="AX3983" s="1"/>
      <c r="BE3983" s="1"/>
    </row>
    <row r="3984" spans="1:57" x14ac:dyDescent="0.25">
      <c r="A3984" s="1"/>
      <c r="H3984" s="1"/>
      <c r="O3984" s="1"/>
      <c r="V3984" s="1"/>
      <c r="AC3984" s="1"/>
      <c r="AJ3984" s="1"/>
      <c r="AQ3984" s="1"/>
      <c r="AX3984" s="1"/>
      <c r="BE3984" s="1"/>
    </row>
    <row r="3985" spans="1:57" x14ac:dyDescent="0.25">
      <c r="A3985" s="1"/>
      <c r="H3985" s="1"/>
      <c r="O3985" s="1"/>
      <c r="V3985" s="1"/>
      <c r="AC3985" s="1"/>
      <c r="AJ3985" s="1"/>
      <c r="AQ3985" s="1"/>
      <c r="AX3985" s="1"/>
      <c r="BE3985" s="1"/>
    </row>
    <row r="3986" spans="1:57" x14ac:dyDescent="0.25">
      <c r="A3986" s="1"/>
      <c r="H3986" s="1"/>
      <c r="O3986" s="1"/>
      <c r="V3986" s="1"/>
      <c r="AC3986" s="1"/>
      <c r="AJ3986" s="1"/>
      <c r="AQ3986" s="1"/>
      <c r="AX3986" s="1"/>
      <c r="BE3986" s="1"/>
    </row>
    <row r="3987" spans="1:57" x14ac:dyDescent="0.25">
      <c r="A3987" s="1"/>
      <c r="H3987" s="1"/>
      <c r="O3987" s="1"/>
      <c r="V3987" s="1"/>
      <c r="AC3987" s="1"/>
      <c r="AJ3987" s="1"/>
      <c r="AQ3987" s="1"/>
      <c r="AX3987" s="1"/>
      <c r="BE3987" s="1"/>
    </row>
    <row r="3988" spans="1:57" x14ac:dyDescent="0.25">
      <c r="A3988" s="1"/>
      <c r="H3988" s="1"/>
      <c r="O3988" s="1"/>
      <c r="V3988" s="1"/>
      <c r="AC3988" s="1"/>
      <c r="AJ3988" s="1"/>
      <c r="AQ3988" s="1"/>
      <c r="AX3988" s="1"/>
      <c r="BE3988" s="1"/>
    </row>
    <row r="3989" spans="1:57" x14ac:dyDescent="0.25">
      <c r="A3989" s="1"/>
      <c r="H3989" s="1"/>
      <c r="O3989" s="1"/>
      <c r="V3989" s="1"/>
      <c r="AC3989" s="1"/>
      <c r="AJ3989" s="1"/>
      <c r="AQ3989" s="1"/>
      <c r="AX3989" s="1"/>
      <c r="BE3989" s="1"/>
    </row>
    <row r="3990" spans="1:57" x14ac:dyDescent="0.25">
      <c r="A3990" s="1"/>
      <c r="H3990" s="1"/>
      <c r="O3990" s="1"/>
      <c r="V3990" s="1"/>
      <c r="AC3990" s="1"/>
      <c r="AJ3990" s="1"/>
      <c r="AQ3990" s="1"/>
      <c r="AX3990" s="1"/>
      <c r="BE3990" s="1"/>
    </row>
    <row r="3991" spans="1:57" x14ac:dyDescent="0.25">
      <c r="A3991" s="1"/>
      <c r="H3991" s="1"/>
      <c r="O3991" s="1"/>
      <c r="V3991" s="1"/>
      <c r="AC3991" s="1"/>
      <c r="AJ3991" s="1"/>
      <c r="AQ3991" s="1"/>
      <c r="AX3991" s="1"/>
      <c r="BE3991" s="1"/>
    </row>
    <row r="3992" spans="1:57" x14ac:dyDescent="0.25">
      <c r="A3992" s="1"/>
      <c r="H3992" s="1"/>
      <c r="O3992" s="1"/>
      <c r="V3992" s="1"/>
      <c r="AC3992" s="1"/>
      <c r="AJ3992" s="1"/>
      <c r="AQ3992" s="1"/>
      <c r="AX3992" s="1"/>
      <c r="BE3992" s="1"/>
    </row>
    <row r="3993" spans="1:57" x14ac:dyDescent="0.25">
      <c r="A3993" s="1"/>
      <c r="H3993" s="1"/>
      <c r="O3993" s="1"/>
      <c r="V3993" s="1"/>
      <c r="AC3993" s="1"/>
      <c r="AJ3993" s="1"/>
      <c r="AQ3993" s="1"/>
      <c r="AX3993" s="1"/>
      <c r="BE3993" s="1"/>
    </row>
    <row r="3994" spans="1:57" x14ac:dyDescent="0.25">
      <c r="A3994" s="1"/>
      <c r="H3994" s="1"/>
      <c r="O3994" s="1"/>
      <c r="V3994" s="1"/>
      <c r="AC3994" s="1"/>
      <c r="AJ3994" s="1"/>
      <c r="AQ3994" s="1"/>
      <c r="AX3994" s="1"/>
      <c r="BE3994" s="1"/>
    </row>
    <row r="3995" spans="1:57" x14ac:dyDescent="0.25">
      <c r="A3995" s="1"/>
      <c r="H3995" s="1"/>
      <c r="O3995" s="1"/>
      <c r="V3995" s="1"/>
      <c r="AC3995" s="1"/>
      <c r="AJ3995" s="1"/>
      <c r="AQ3995" s="1"/>
      <c r="AX3995" s="1"/>
      <c r="BE3995" s="1"/>
    </row>
    <row r="3996" spans="1:57" x14ac:dyDescent="0.25">
      <c r="A3996" s="1"/>
      <c r="H3996" s="1"/>
      <c r="O3996" s="1"/>
      <c r="V3996" s="1"/>
      <c r="AC3996" s="1"/>
      <c r="AJ3996" s="1"/>
      <c r="AQ3996" s="1"/>
      <c r="AX3996" s="1"/>
      <c r="BE3996" s="1"/>
    </row>
    <row r="3997" spans="1:57" x14ac:dyDescent="0.25">
      <c r="A3997" s="1"/>
      <c r="H3997" s="1"/>
      <c r="O3997" s="1"/>
      <c r="V3997" s="1"/>
      <c r="AC3997" s="1"/>
      <c r="AJ3997" s="1"/>
      <c r="AQ3997" s="1"/>
      <c r="AX3997" s="1"/>
      <c r="BE3997" s="1"/>
    </row>
    <row r="3998" spans="1:57" x14ac:dyDescent="0.25">
      <c r="A3998" s="1"/>
      <c r="H3998" s="1"/>
      <c r="O3998" s="1"/>
      <c r="V3998" s="1"/>
      <c r="AC3998" s="1"/>
      <c r="AJ3998" s="1"/>
      <c r="AQ3998" s="1"/>
      <c r="AX3998" s="1"/>
      <c r="BE3998" s="1"/>
    </row>
    <row r="3999" spans="1:57" x14ac:dyDescent="0.25">
      <c r="A3999" s="1"/>
      <c r="H3999" s="1"/>
      <c r="O3999" s="1"/>
      <c r="V3999" s="1"/>
      <c r="AC3999" s="1"/>
      <c r="AJ3999" s="1"/>
      <c r="AQ3999" s="1"/>
      <c r="AX3999" s="1"/>
      <c r="BE3999" s="1"/>
    </row>
    <row r="4000" spans="1:57" x14ac:dyDescent="0.25">
      <c r="A4000" s="1"/>
      <c r="H4000" s="1"/>
      <c r="O4000" s="1"/>
      <c r="V4000" s="1"/>
      <c r="AC4000" s="1"/>
      <c r="AJ4000" s="1"/>
      <c r="AQ4000" s="1"/>
      <c r="AX4000" s="1"/>
      <c r="BE4000" s="1"/>
    </row>
    <row r="4001" spans="1:57" x14ac:dyDescent="0.25">
      <c r="A4001" s="1"/>
      <c r="H4001" s="1"/>
      <c r="O4001" s="1"/>
      <c r="V4001" s="1"/>
      <c r="AC4001" s="1"/>
      <c r="AJ4001" s="1"/>
      <c r="AQ4001" s="1"/>
      <c r="AX4001" s="1"/>
      <c r="BE4001" s="1"/>
    </row>
    <row r="4002" spans="1:57" x14ac:dyDescent="0.25">
      <c r="A4002" s="1"/>
      <c r="H4002" s="1"/>
      <c r="O4002" s="1"/>
      <c r="V4002" s="1"/>
      <c r="AC4002" s="1"/>
      <c r="AJ4002" s="1"/>
      <c r="AQ4002" s="1"/>
      <c r="AX4002" s="1"/>
      <c r="BE4002" s="1"/>
    </row>
    <row r="4003" spans="1:57" x14ac:dyDescent="0.25">
      <c r="A4003" s="1"/>
      <c r="H4003" s="1"/>
      <c r="O4003" s="1"/>
      <c r="V4003" s="1"/>
      <c r="AC4003" s="1"/>
      <c r="AJ4003" s="1"/>
      <c r="AQ4003" s="1"/>
      <c r="AX4003" s="1"/>
      <c r="BE4003" s="1"/>
    </row>
    <row r="4004" spans="1:57" x14ac:dyDescent="0.25">
      <c r="A4004" s="1"/>
      <c r="H4004" s="1"/>
      <c r="O4004" s="1"/>
      <c r="V4004" s="1"/>
      <c r="AC4004" s="1"/>
      <c r="AJ4004" s="1"/>
      <c r="AQ4004" s="1"/>
      <c r="AX4004" s="1"/>
      <c r="BE4004" s="1"/>
    </row>
    <row r="4005" spans="1:57" x14ac:dyDescent="0.25">
      <c r="A4005" s="1"/>
      <c r="H4005" s="1"/>
      <c r="O4005" s="1"/>
      <c r="V4005" s="1"/>
      <c r="AC4005" s="1"/>
      <c r="AJ4005" s="1"/>
      <c r="AQ4005" s="1"/>
      <c r="AX4005" s="1"/>
      <c r="BE4005" s="1"/>
    </row>
    <row r="4006" spans="1:57" x14ac:dyDescent="0.25">
      <c r="A4006" s="1"/>
      <c r="H4006" s="1"/>
      <c r="O4006" s="1"/>
      <c r="V4006" s="1"/>
      <c r="AC4006" s="1"/>
      <c r="AJ4006" s="1"/>
      <c r="AQ4006" s="1"/>
      <c r="AX4006" s="1"/>
      <c r="BE4006" s="1"/>
    </row>
    <row r="4007" spans="1:57" x14ac:dyDescent="0.25">
      <c r="A4007" s="1"/>
      <c r="H4007" s="1"/>
      <c r="O4007" s="1"/>
      <c r="V4007" s="1"/>
      <c r="AC4007" s="1"/>
      <c r="AJ4007" s="1"/>
      <c r="AQ4007" s="1"/>
      <c r="AX4007" s="1"/>
      <c r="BE4007" s="1"/>
    </row>
    <row r="4008" spans="1:57" x14ac:dyDescent="0.25">
      <c r="A4008" s="1"/>
      <c r="H4008" s="1"/>
      <c r="O4008" s="1"/>
      <c r="V4008" s="1"/>
      <c r="AC4008" s="1"/>
      <c r="AJ4008" s="1"/>
      <c r="AQ4008" s="1"/>
      <c r="AX4008" s="1"/>
      <c r="BE4008" s="1"/>
    </row>
    <row r="4009" spans="1:57" x14ac:dyDescent="0.25">
      <c r="A4009" s="1"/>
      <c r="H4009" s="1"/>
      <c r="O4009" s="1"/>
      <c r="V4009" s="1"/>
      <c r="AC4009" s="1"/>
      <c r="AJ4009" s="1"/>
      <c r="AQ4009" s="1"/>
      <c r="AX4009" s="1"/>
      <c r="BE4009" s="1"/>
    </row>
    <row r="4010" spans="1:57" x14ac:dyDescent="0.25">
      <c r="A4010" s="1"/>
      <c r="H4010" s="1"/>
      <c r="O4010" s="1"/>
      <c r="V4010" s="1"/>
      <c r="AC4010" s="1"/>
      <c r="AJ4010" s="1"/>
      <c r="AQ4010" s="1"/>
      <c r="AX4010" s="1"/>
      <c r="BE4010" s="1"/>
    </row>
    <row r="4011" spans="1:57" x14ac:dyDescent="0.25">
      <c r="A4011" s="1"/>
      <c r="H4011" s="1"/>
      <c r="O4011" s="1"/>
      <c r="V4011" s="1"/>
      <c r="AC4011" s="1"/>
      <c r="AJ4011" s="1"/>
      <c r="AQ4011" s="1"/>
      <c r="AX4011" s="1"/>
      <c r="BE4011" s="1"/>
    </row>
    <row r="4012" spans="1:57" x14ac:dyDescent="0.25">
      <c r="A4012" s="1"/>
      <c r="H4012" s="1"/>
      <c r="O4012" s="1"/>
      <c r="V4012" s="1"/>
      <c r="AC4012" s="1"/>
      <c r="AJ4012" s="1"/>
      <c r="AQ4012" s="1"/>
      <c r="AX4012" s="1"/>
      <c r="BE4012" s="1"/>
    </row>
    <row r="4013" spans="1:57" x14ac:dyDescent="0.25">
      <c r="A4013" s="1"/>
      <c r="H4013" s="1"/>
      <c r="O4013" s="1"/>
      <c r="V4013" s="1"/>
      <c r="AC4013" s="1"/>
      <c r="AJ4013" s="1"/>
      <c r="AQ4013" s="1"/>
      <c r="AX4013" s="1"/>
      <c r="BE4013" s="1"/>
    </row>
    <row r="4014" spans="1:57" x14ac:dyDescent="0.25">
      <c r="A4014" s="1"/>
      <c r="H4014" s="1"/>
      <c r="O4014" s="1"/>
      <c r="V4014" s="1"/>
      <c r="AC4014" s="1"/>
      <c r="AJ4014" s="1"/>
      <c r="AQ4014" s="1"/>
      <c r="AX4014" s="1"/>
      <c r="BE4014" s="1"/>
    </row>
    <row r="4015" spans="1:57" x14ac:dyDescent="0.25">
      <c r="A4015" s="1"/>
      <c r="H4015" s="1"/>
      <c r="O4015" s="1"/>
      <c r="V4015" s="1"/>
      <c r="AC4015" s="1"/>
      <c r="AJ4015" s="1"/>
      <c r="AQ4015" s="1"/>
      <c r="AX4015" s="1"/>
      <c r="BE4015" s="1"/>
    </row>
    <row r="4016" spans="1:57" x14ac:dyDescent="0.25">
      <c r="A4016" s="1"/>
      <c r="H4016" s="1"/>
      <c r="O4016" s="1"/>
      <c r="V4016" s="1"/>
      <c r="AC4016" s="1"/>
      <c r="AJ4016" s="1"/>
      <c r="AQ4016" s="1"/>
      <c r="AX4016" s="1"/>
      <c r="BE4016" s="1"/>
    </row>
    <row r="4017" spans="1:57" x14ac:dyDescent="0.25">
      <c r="A4017" s="1"/>
      <c r="H4017" s="1"/>
      <c r="O4017" s="1"/>
      <c r="V4017" s="1"/>
      <c r="AC4017" s="1"/>
      <c r="AJ4017" s="1"/>
      <c r="AQ4017" s="1"/>
      <c r="AX4017" s="1"/>
      <c r="BE4017" s="1"/>
    </row>
    <row r="4018" spans="1:57" x14ac:dyDescent="0.25">
      <c r="A4018" s="1"/>
      <c r="H4018" s="1"/>
      <c r="O4018" s="1"/>
      <c r="V4018" s="1"/>
      <c r="AC4018" s="1"/>
      <c r="AJ4018" s="1"/>
      <c r="AQ4018" s="1"/>
      <c r="AX4018" s="1"/>
      <c r="BE4018" s="1"/>
    </row>
    <row r="4019" spans="1:57" x14ac:dyDescent="0.25">
      <c r="A4019" s="1"/>
      <c r="H4019" s="1"/>
      <c r="O4019" s="1"/>
      <c r="V4019" s="1"/>
      <c r="AC4019" s="1"/>
      <c r="AJ4019" s="1"/>
      <c r="AQ4019" s="1"/>
      <c r="AX4019" s="1"/>
      <c r="BE4019" s="1"/>
    </row>
    <row r="4020" spans="1:57" x14ac:dyDescent="0.25">
      <c r="A4020" s="1"/>
      <c r="H4020" s="1"/>
      <c r="O4020" s="1"/>
      <c r="V4020" s="1"/>
      <c r="AC4020" s="1"/>
      <c r="AJ4020" s="1"/>
      <c r="AQ4020" s="1"/>
      <c r="AX4020" s="1"/>
      <c r="BE4020" s="1"/>
    </row>
    <row r="4021" spans="1:57" x14ac:dyDescent="0.25">
      <c r="A4021" s="1"/>
      <c r="H4021" s="1"/>
      <c r="O4021" s="1"/>
      <c r="V4021" s="1"/>
      <c r="AC4021" s="1"/>
      <c r="AJ4021" s="1"/>
      <c r="AQ4021" s="1"/>
      <c r="AX4021" s="1"/>
      <c r="BE4021" s="1"/>
    </row>
    <row r="4022" spans="1:57" x14ac:dyDescent="0.25">
      <c r="A4022" s="1"/>
      <c r="H4022" s="1"/>
      <c r="O4022" s="1"/>
      <c r="V4022" s="1"/>
      <c r="AC4022" s="1"/>
      <c r="AJ4022" s="1"/>
      <c r="AQ4022" s="1"/>
      <c r="AX4022" s="1"/>
      <c r="BE4022" s="1"/>
    </row>
    <row r="4023" spans="1:57" x14ac:dyDescent="0.25">
      <c r="A4023" s="1"/>
      <c r="H4023" s="1"/>
      <c r="O4023" s="1"/>
      <c r="V4023" s="1"/>
      <c r="AC4023" s="1"/>
      <c r="AJ4023" s="1"/>
      <c r="AQ4023" s="1"/>
      <c r="AX4023" s="1"/>
      <c r="BE4023" s="1"/>
    </row>
    <row r="4024" spans="1:57" x14ac:dyDescent="0.25">
      <c r="A4024" s="1"/>
      <c r="H4024" s="1"/>
      <c r="O4024" s="1"/>
      <c r="V4024" s="1"/>
      <c r="AC4024" s="1"/>
      <c r="AJ4024" s="1"/>
      <c r="AQ4024" s="1"/>
      <c r="AX4024" s="1"/>
      <c r="BE4024" s="1"/>
    </row>
    <row r="4025" spans="1:57" x14ac:dyDescent="0.25">
      <c r="A4025" s="1"/>
      <c r="H4025" s="1"/>
      <c r="O4025" s="1"/>
      <c r="V4025" s="1"/>
      <c r="AC4025" s="1"/>
      <c r="AJ4025" s="1"/>
      <c r="AQ4025" s="1"/>
      <c r="AX4025" s="1"/>
      <c r="BE4025" s="1"/>
    </row>
    <row r="4026" spans="1:57" x14ac:dyDescent="0.25">
      <c r="A4026" s="1"/>
      <c r="H4026" s="1"/>
      <c r="O4026" s="1"/>
      <c r="V4026" s="1"/>
      <c r="AC4026" s="1"/>
      <c r="AJ4026" s="1"/>
      <c r="AQ4026" s="1"/>
      <c r="AX4026" s="1"/>
      <c r="BE4026" s="1"/>
    </row>
    <row r="4027" spans="1:57" x14ac:dyDescent="0.25">
      <c r="A4027" s="1"/>
      <c r="H4027" s="1"/>
      <c r="O4027" s="1"/>
      <c r="V4027" s="1"/>
      <c r="AC4027" s="1"/>
      <c r="AJ4027" s="1"/>
      <c r="AQ4027" s="1"/>
      <c r="AX4027" s="1"/>
      <c r="BE4027" s="1"/>
    </row>
    <row r="4028" spans="1:57" x14ac:dyDescent="0.25">
      <c r="A4028" s="1"/>
      <c r="H4028" s="1"/>
      <c r="O4028" s="1"/>
      <c r="V4028" s="1"/>
      <c r="AC4028" s="1"/>
      <c r="AJ4028" s="1"/>
      <c r="AQ4028" s="1"/>
      <c r="AX4028" s="1"/>
      <c r="BE4028" s="1"/>
    </row>
    <row r="4029" spans="1:57" x14ac:dyDescent="0.25">
      <c r="A4029" s="1"/>
      <c r="H4029" s="1"/>
      <c r="O4029" s="1"/>
      <c r="V4029" s="1"/>
      <c r="AC4029" s="1"/>
      <c r="AJ4029" s="1"/>
      <c r="AQ4029" s="1"/>
      <c r="AX4029" s="1"/>
      <c r="BE4029" s="1"/>
    </row>
    <row r="4030" spans="1:57" x14ac:dyDescent="0.25">
      <c r="A4030" s="1"/>
      <c r="H4030" s="1"/>
      <c r="O4030" s="1"/>
      <c r="V4030" s="1"/>
      <c r="AC4030" s="1"/>
      <c r="AJ4030" s="1"/>
      <c r="AQ4030" s="1"/>
      <c r="AX4030" s="1"/>
      <c r="BE4030" s="1"/>
    </row>
    <row r="4031" spans="1:57" x14ac:dyDescent="0.25">
      <c r="A4031" s="1"/>
      <c r="H4031" s="1"/>
      <c r="O4031" s="1"/>
      <c r="V4031" s="1"/>
      <c r="AC4031" s="1"/>
      <c r="AJ4031" s="1"/>
      <c r="AQ4031" s="1"/>
      <c r="AX4031" s="1"/>
      <c r="BE4031" s="1"/>
    </row>
    <row r="4032" spans="1:57" x14ac:dyDescent="0.25">
      <c r="A4032" s="1"/>
      <c r="H4032" s="1"/>
      <c r="O4032" s="1"/>
      <c r="V4032" s="1"/>
      <c r="AC4032" s="1"/>
      <c r="AJ4032" s="1"/>
      <c r="AQ4032" s="1"/>
      <c r="AX4032" s="1"/>
      <c r="BE4032" s="1"/>
    </row>
    <row r="4033" spans="1:57" x14ac:dyDescent="0.25">
      <c r="A4033" s="1"/>
      <c r="H4033" s="1"/>
      <c r="O4033" s="1"/>
      <c r="V4033" s="1"/>
      <c r="AC4033" s="1"/>
      <c r="AJ4033" s="1"/>
      <c r="AQ4033" s="1"/>
      <c r="AX4033" s="1"/>
      <c r="BE4033" s="1"/>
    </row>
    <row r="4034" spans="1:57" x14ac:dyDescent="0.25">
      <c r="A4034" s="1"/>
      <c r="H4034" s="1"/>
      <c r="O4034" s="1"/>
      <c r="V4034" s="1"/>
      <c r="AC4034" s="1"/>
      <c r="AJ4034" s="1"/>
      <c r="AQ4034" s="1"/>
      <c r="AX4034" s="1"/>
      <c r="BE4034" s="1"/>
    </row>
    <row r="4035" spans="1:57" x14ac:dyDescent="0.25">
      <c r="A4035" s="1"/>
      <c r="H4035" s="1"/>
      <c r="O4035" s="1"/>
      <c r="V4035" s="1"/>
      <c r="AC4035" s="1"/>
      <c r="AJ4035" s="1"/>
      <c r="AQ4035" s="1"/>
      <c r="AX4035" s="1"/>
      <c r="BE4035" s="1"/>
    </row>
    <row r="4036" spans="1:57" x14ac:dyDescent="0.25">
      <c r="A4036" s="1"/>
      <c r="H4036" s="1"/>
      <c r="O4036" s="1"/>
      <c r="V4036" s="1"/>
      <c r="AC4036" s="1"/>
      <c r="AJ4036" s="1"/>
      <c r="AQ4036" s="1"/>
      <c r="AX4036" s="1"/>
      <c r="BE4036" s="1"/>
    </row>
    <row r="4037" spans="1:57" x14ac:dyDescent="0.25">
      <c r="A4037" s="1"/>
      <c r="H4037" s="1"/>
      <c r="O4037" s="1"/>
      <c r="V4037" s="1"/>
      <c r="AC4037" s="1"/>
      <c r="AJ4037" s="1"/>
      <c r="AQ4037" s="1"/>
      <c r="AX4037" s="1"/>
      <c r="BE4037" s="1"/>
    </row>
    <row r="4038" spans="1:57" x14ac:dyDescent="0.25">
      <c r="A4038" s="1"/>
      <c r="H4038" s="1"/>
      <c r="O4038" s="1"/>
      <c r="V4038" s="1"/>
      <c r="AC4038" s="1"/>
      <c r="AJ4038" s="1"/>
      <c r="AQ4038" s="1"/>
      <c r="AX4038" s="1"/>
      <c r="BE4038" s="1"/>
    </row>
    <row r="4039" spans="1:57" x14ac:dyDescent="0.25">
      <c r="A4039" s="1"/>
      <c r="H4039" s="1"/>
      <c r="O4039" s="1"/>
      <c r="V4039" s="1"/>
      <c r="AC4039" s="1"/>
      <c r="AJ4039" s="1"/>
      <c r="AQ4039" s="1"/>
      <c r="AX4039" s="1"/>
      <c r="BE4039" s="1"/>
    </row>
    <row r="4040" spans="1:57" x14ac:dyDescent="0.25">
      <c r="A4040" s="1"/>
      <c r="H4040" s="1"/>
      <c r="O4040" s="1"/>
      <c r="V4040" s="1"/>
      <c r="AC4040" s="1"/>
      <c r="AJ4040" s="1"/>
      <c r="AQ4040" s="1"/>
      <c r="AX4040" s="1"/>
      <c r="BE4040" s="1"/>
    </row>
    <row r="4041" spans="1:57" x14ac:dyDescent="0.25">
      <c r="A4041" s="1"/>
      <c r="H4041" s="1"/>
      <c r="O4041" s="1"/>
      <c r="V4041" s="1"/>
      <c r="AC4041" s="1"/>
      <c r="AJ4041" s="1"/>
      <c r="AQ4041" s="1"/>
      <c r="AX4041" s="1"/>
      <c r="BE4041" s="1"/>
    </row>
    <row r="4042" spans="1:57" x14ac:dyDescent="0.25">
      <c r="A4042" s="1"/>
      <c r="H4042" s="1"/>
      <c r="O4042" s="1"/>
      <c r="V4042" s="1"/>
      <c r="AC4042" s="1"/>
      <c r="AJ4042" s="1"/>
      <c r="AQ4042" s="1"/>
      <c r="AX4042" s="1"/>
      <c r="BE4042" s="1"/>
    </row>
    <row r="4043" spans="1:57" x14ac:dyDescent="0.25">
      <c r="A4043" s="1"/>
      <c r="H4043" s="1"/>
      <c r="O4043" s="1"/>
      <c r="V4043" s="1"/>
      <c r="AC4043" s="1"/>
      <c r="AJ4043" s="1"/>
      <c r="AQ4043" s="1"/>
      <c r="AX4043" s="1"/>
      <c r="BE4043" s="1"/>
    </row>
    <row r="4044" spans="1:57" x14ac:dyDescent="0.25">
      <c r="A4044" s="1"/>
      <c r="H4044" s="1"/>
      <c r="O4044" s="1"/>
      <c r="V4044" s="1"/>
      <c r="AC4044" s="1"/>
      <c r="AJ4044" s="1"/>
      <c r="AQ4044" s="1"/>
      <c r="AX4044" s="1"/>
      <c r="BE4044" s="1"/>
    </row>
    <row r="4045" spans="1:57" x14ac:dyDescent="0.25">
      <c r="A4045" s="1"/>
      <c r="H4045" s="1"/>
      <c r="O4045" s="1"/>
      <c r="V4045" s="1"/>
      <c r="AC4045" s="1"/>
      <c r="AJ4045" s="1"/>
      <c r="AQ4045" s="1"/>
      <c r="AX4045" s="1"/>
      <c r="BE4045" s="1"/>
    </row>
    <row r="4046" spans="1:57" x14ac:dyDescent="0.25">
      <c r="A4046" s="1"/>
      <c r="H4046" s="1"/>
      <c r="O4046" s="1"/>
      <c r="V4046" s="1"/>
      <c r="AC4046" s="1"/>
      <c r="AJ4046" s="1"/>
      <c r="AQ4046" s="1"/>
      <c r="AX4046" s="1"/>
      <c r="BE4046" s="1"/>
    </row>
    <row r="4047" spans="1:57" x14ac:dyDescent="0.25">
      <c r="A4047" s="1"/>
      <c r="H4047" s="1"/>
      <c r="O4047" s="1"/>
      <c r="V4047" s="1"/>
      <c r="AC4047" s="1"/>
      <c r="AJ4047" s="1"/>
      <c r="AQ4047" s="1"/>
      <c r="AX4047" s="1"/>
      <c r="BE4047" s="1"/>
    </row>
    <row r="4048" spans="1:57" x14ac:dyDescent="0.25">
      <c r="A4048" s="1"/>
      <c r="H4048" s="1"/>
      <c r="O4048" s="1"/>
      <c r="V4048" s="1"/>
      <c r="AC4048" s="1"/>
      <c r="AJ4048" s="1"/>
      <c r="AQ4048" s="1"/>
      <c r="AX4048" s="1"/>
      <c r="BE4048" s="1"/>
    </row>
    <row r="4049" spans="1:57" x14ac:dyDescent="0.25">
      <c r="A4049" s="1"/>
      <c r="H4049" s="1"/>
      <c r="O4049" s="1"/>
      <c r="V4049" s="1"/>
      <c r="AC4049" s="1"/>
      <c r="AJ4049" s="1"/>
      <c r="AQ4049" s="1"/>
      <c r="AX4049" s="1"/>
      <c r="BE4049" s="1"/>
    </row>
    <row r="4050" spans="1:57" x14ac:dyDescent="0.25">
      <c r="A4050" s="1"/>
      <c r="H4050" s="1"/>
      <c r="O4050" s="1"/>
      <c r="V4050" s="1"/>
      <c r="AC4050" s="1"/>
      <c r="AJ4050" s="1"/>
      <c r="AQ4050" s="1"/>
      <c r="AX4050" s="1"/>
      <c r="BE4050" s="1"/>
    </row>
    <row r="4051" spans="1:57" x14ac:dyDescent="0.25">
      <c r="A4051" s="1"/>
      <c r="H4051" s="1"/>
      <c r="O4051" s="1"/>
      <c r="V4051" s="1"/>
      <c r="AC4051" s="1"/>
      <c r="AJ4051" s="1"/>
      <c r="AQ4051" s="1"/>
      <c r="AX4051" s="1"/>
      <c r="BE4051" s="1"/>
    </row>
    <row r="4052" spans="1:57" x14ac:dyDescent="0.25">
      <c r="A4052" s="1"/>
      <c r="H4052" s="1"/>
      <c r="O4052" s="1"/>
      <c r="V4052" s="1"/>
      <c r="AC4052" s="1"/>
      <c r="AJ4052" s="1"/>
      <c r="AQ4052" s="1"/>
      <c r="AX4052" s="1"/>
      <c r="BE4052" s="1"/>
    </row>
    <row r="4053" spans="1:57" x14ac:dyDescent="0.25">
      <c r="A4053" s="1"/>
      <c r="H4053" s="1"/>
      <c r="O4053" s="1"/>
      <c r="V4053" s="1"/>
      <c r="AC4053" s="1"/>
      <c r="AJ4053" s="1"/>
      <c r="AQ4053" s="1"/>
      <c r="AX4053" s="1"/>
      <c r="BE4053" s="1"/>
    </row>
    <row r="4054" spans="1:57" x14ac:dyDescent="0.25">
      <c r="A4054" s="1"/>
      <c r="H4054" s="1"/>
      <c r="O4054" s="1"/>
      <c r="V4054" s="1"/>
      <c r="AC4054" s="1"/>
      <c r="AJ4054" s="1"/>
      <c r="AQ4054" s="1"/>
      <c r="AX4054" s="1"/>
      <c r="BE4054" s="1"/>
    </row>
    <row r="4055" spans="1:57" x14ac:dyDescent="0.25">
      <c r="A4055" s="1"/>
      <c r="H4055" s="1"/>
      <c r="O4055" s="1"/>
      <c r="V4055" s="1"/>
      <c r="AC4055" s="1"/>
      <c r="AJ4055" s="1"/>
      <c r="AQ4055" s="1"/>
      <c r="AX4055" s="1"/>
      <c r="BE4055" s="1"/>
    </row>
    <row r="4056" spans="1:57" x14ac:dyDescent="0.25">
      <c r="A4056" s="1"/>
      <c r="H4056" s="1"/>
      <c r="O4056" s="1"/>
      <c r="V4056" s="1"/>
      <c r="AC4056" s="1"/>
      <c r="AJ4056" s="1"/>
      <c r="AQ4056" s="1"/>
      <c r="AX4056" s="1"/>
      <c r="BE4056" s="1"/>
    </row>
    <row r="4057" spans="1:57" x14ac:dyDescent="0.25">
      <c r="A4057" s="1"/>
      <c r="H4057" s="1"/>
      <c r="O4057" s="1"/>
      <c r="V4057" s="1"/>
      <c r="AC4057" s="1"/>
      <c r="AJ4057" s="1"/>
      <c r="AQ4057" s="1"/>
      <c r="AX4057" s="1"/>
      <c r="BE4057" s="1"/>
    </row>
    <row r="4058" spans="1:57" x14ac:dyDescent="0.25">
      <c r="A4058" s="1"/>
      <c r="H4058" s="1"/>
      <c r="O4058" s="1"/>
      <c r="V4058" s="1"/>
      <c r="AC4058" s="1"/>
      <c r="AJ4058" s="1"/>
      <c r="AQ4058" s="1"/>
      <c r="AX4058" s="1"/>
      <c r="BE4058" s="1"/>
    </row>
    <row r="4059" spans="1:57" x14ac:dyDescent="0.25">
      <c r="A4059" s="1"/>
      <c r="H4059" s="1"/>
      <c r="O4059" s="1"/>
      <c r="V4059" s="1"/>
      <c r="AC4059" s="1"/>
      <c r="AJ4059" s="1"/>
      <c r="AQ4059" s="1"/>
      <c r="AX4059" s="1"/>
      <c r="BE4059" s="1"/>
    </row>
    <row r="4060" spans="1:57" x14ac:dyDescent="0.25">
      <c r="A4060" s="1"/>
      <c r="H4060" s="1"/>
      <c r="O4060" s="1"/>
      <c r="V4060" s="1"/>
      <c r="AC4060" s="1"/>
      <c r="AJ4060" s="1"/>
      <c r="AQ4060" s="1"/>
      <c r="AX4060" s="1"/>
      <c r="BE4060" s="1"/>
    </row>
    <row r="4061" spans="1:57" x14ac:dyDescent="0.25">
      <c r="A4061" s="1"/>
      <c r="H4061" s="1"/>
      <c r="O4061" s="1"/>
      <c r="V4061" s="1"/>
      <c r="AC4061" s="1"/>
      <c r="AJ4061" s="1"/>
      <c r="AQ4061" s="1"/>
      <c r="AX4061" s="1"/>
      <c r="BE4061" s="1"/>
    </row>
    <row r="4062" spans="1:57" x14ac:dyDescent="0.25">
      <c r="A4062" s="1"/>
      <c r="H4062" s="1"/>
      <c r="O4062" s="1"/>
      <c r="V4062" s="1"/>
      <c r="AC4062" s="1"/>
      <c r="AJ4062" s="1"/>
      <c r="AQ4062" s="1"/>
      <c r="AX4062" s="1"/>
      <c r="BE4062" s="1"/>
    </row>
    <row r="4063" spans="1:57" x14ac:dyDescent="0.25">
      <c r="A4063" s="1"/>
      <c r="H4063" s="1"/>
      <c r="O4063" s="1"/>
      <c r="V4063" s="1"/>
      <c r="AC4063" s="1"/>
      <c r="AJ4063" s="1"/>
      <c r="AQ4063" s="1"/>
      <c r="AX4063" s="1"/>
      <c r="BE4063" s="1"/>
    </row>
    <row r="4064" spans="1:57" x14ac:dyDescent="0.25">
      <c r="A4064" s="1"/>
      <c r="H4064" s="1"/>
      <c r="O4064" s="1"/>
      <c r="V4064" s="1"/>
      <c r="AC4064" s="1"/>
      <c r="AJ4064" s="1"/>
      <c r="AQ4064" s="1"/>
      <c r="AX4064" s="1"/>
      <c r="BE4064" s="1"/>
    </row>
    <row r="4065" spans="1:57" x14ac:dyDescent="0.25">
      <c r="A4065" s="1"/>
      <c r="H4065" s="1"/>
      <c r="O4065" s="1"/>
      <c r="V4065" s="1"/>
      <c r="AC4065" s="1"/>
      <c r="AJ4065" s="1"/>
      <c r="AQ4065" s="1"/>
      <c r="AX4065" s="1"/>
      <c r="BE4065" s="1"/>
    </row>
    <row r="4066" spans="1:57" x14ac:dyDescent="0.25">
      <c r="A4066" s="1"/>
      <c r="H4066" s="1"/>
      <c r="O4066" s="1"/>
      <c r="V4066" s="1"/>
      <c r="AC4066" s="1"/>
      <c r="AJ4066" s="1"/>
      <c r="AQ4066" s="1"/>
      <c r="AX4066" s="1"/>
      <c r="BE4066" s="1"/>
    </row>
    <row r="4067" spans="1:57" x14ac:dyDescent="0.25">
      <c r="A4067" s="1"/>
      <c r="H4067" s="1"/>
      <c r="O4067" s="1"/>
      <c r="V4067" s="1"/>
      <c r="AC4067" s="1"/>
      <c r="AJ4067" s="1"/>
      <c r="AQ4067" s="1"/>
      <c r="AX4067" s="1"/>
      <c r="BE4067" s="1"/>
    </row>
    <row r="4068" spans="1:57" x14ac:dyDescent="0.25">
      <c r="A4068" s="1"/>
      <c r="H4068" s="1"/>
      <c r="O4068" s="1"/>
      <c r="V4068" s="1"/>
      <c r="AC4068" s="1"/>
      <c r="AJ4068" s="1"/>
      <c r="AQ4068" s="1"/>
      <c r="AX4068" s="1"/>
      <c r="BE4068" s="1"/>
    </row>
    <row r="4069" spans="1:57" x14ac:dyDescent="0.25">
      <c r="A4069" s="1"/>
      <c r="H4069" s="1"/>
      <c r="O4069" s="1"/>
      <c r="V4069" s="1"/>
      <c r="AC4069" s="1"/>
      <c r="AJ4069" s="1"/>
      <c r="AQ4069" s="1"/>
      <c r="AX4069" s="1"/>
      <c r="BE4069" s="1"/>
    </row>
    <row r="4070" spans="1:57" x14ac:dyDescent="0.25">
      <c r="A4070" s="1"/>
      <c r="H4070" s="1"/>
      <c r="O4070" s="1"/>
      <c r="V4070" s="1"/>
      <c r="AC4070" s="1"/>
      <c r="AJ4070" s="1"/>
      <c r="AQ4070" s="1"/>
      <c r="AX4070" s="1"/>
      <c r="BE4070" s="1"/>
    </row>
    <row r="4071" spans="1:57" x14ac:dyDescent="0.25">
      <c r="A4071" s="1"/>
      <c r="H4071" s="1"/>
      <c r="O4071" s="1"/>
      <c r="V4071" s="1"/>
      <c r="AC4071" s="1"/>
      <c r="AJ4071" s="1"/>
      <c r="AQ4071" s="1"/>
      <c r="AX4071" s="1"/>
      <c r="BE4071" s="1"/>
    </row>
    <row r="4072" spans="1:57" x14ac:dyDescent="0.25">
      <c r="A4072" s="1"/>
      <c r="H4072" s="1"/>
      <c r="O4072" s="1"/>
      <c r="V4072" s="1"/>
      <c r="AC4072" s="1"/>
      <c r="AJ4072" s="1"/>
      <c r="AQ4072" s="1"/>
      <c r="AX4072" s="1"/>
      <c r="BE4072" s="1"/>
    </row>
    <row r="4073" spans="1:57" x14ac:dyDescent="0.25">
      <c r="A4073" s="1"/>
      <c r="H4073" s="1"/>
      <c r="O4073" s="1"/>
      <c r="V4073" s="1"/>
      <c r="AC4073" s="1"/>
      <c r="AJ4073" s="1"/>
      <c r="AQ4073" s="1"/>
      <c r="AX4073" s="1"/>
      <c r="BE4073" s="1"/>
    </row>
    <row r="4074" spans="1:57" x14ac:dyDescent="0.25">
      <c r="A4074" s="1"/>
      <c r="H4074" s="1"/>
      <c r="O4074" s="1"/>
      <c r="V4074" s="1"/>
      <c r="AC4074" s="1"/>
      <c r="AJ4074" s="1"/>
      <c r="AQ4074" s="1"/>
      <c r="AX4074" s="1"/>
      <c r="BE4074" s="1"/>
    </row>
    <row r="4075" spans="1:57" x14ac:dyDescent="0.25">
      <c r="A4075" s="1"/>
      <c r="H4075" s="1"/>
      <c r="O4075" s="1"/>
      <c r="V4075" s="1"/>
      <c r="AC4075" s="1"/>
      <c r="AJ4075" s="1"/>
      <c r="AQ4075" s="1"/>
      <c r="AX4075" s="1"/>
      <c r="BE4075" s="1"/>
    </row>
    <row r="4076" spans="1:57" x14ac:dyDescent="0.25">
      <c r="A4076" s="1"/>
      <c r="H4076" s="1"/>
      <c r="O4076" s="1"/>
      <c r="V4076" s="1"/>
      <c r="AC4076" s="1"/>
      <c r="AJ4076" s="1"/>
      <c r="AQ4076" s="1"/>
      <c r="AX4076" s="1"/>
      <c r="BE4076" s="1"/>
    </row>
    <row r="4077" spans="1:57" x14ac:dyDescent="0.25">
      <c r="A4077" s="1"/>
      <c r="H4077" s="1"/>
      <c r="O4077" s="1"/>
      <c r="V4077" s="1"/>
      <c r="AC4077" s="1"/>
      <c r="AJ4077" s="1"/>
      <c r="AQ4077" s="1"/>
      <c r="AX4077" s="1"/>
      <c r="BE4077" s="1"/>
    </row>
    <row r="4078" spans="1:57" x14ac:dyDescent="0.25">
      <c r="A4078" s="1"/>
      <c r="H4078" s="1"/>
      <c r="O4078" s="1"/>
      <c r="V4078" s="1"/>
      <c r="AC4078" s="1"/>
      <c r="AJ4078" s="1"/>
      <c r="AQ4078" s="1"/>
      <c r="AX4078" s="1"/>
      <c r="BE4078" s="1"/>
    </row>
    <row r="4079" spans="1:57" x14ac:dyDescent="0.25">
      <c r="A4079" s="1"/>
      <c r="H4079" s="1"/>
      <c r="O4079" s="1"/>
      <c r="V4079" s="1"/>
      <c r="AC4079" s="1"/>
      <c r="AJ4079" s="1"/>
      <c r="AQ4079" s="1"/>
      <c r="AX4079" s="1"/>
      <c r="BE4079" s="1"/>
    </row>
    <row r="4080" spans="1:57" x14ac:dyDescent="0.25">
      <c r="A4080" s="1"/>
      <c r="H4080" s="1"/>
      <c r="O4080" s="1"/>
      <c r="V4080" s="1"/>
      <c r="AC4080" s="1"/>
      <c r="AJ4080" s="1"/>
      <c r="AQ4080" s="1"/>
      <c r="AX4080" s="1"/>
      <c r="BE4080" s="1"/>
    </row>
    <row r="4081" spans="1:57" x14ac:dyDescent="0.25">
      <c r="A4081" s="1"/>
      <c r="H4081" s="1"/>
      <c r="O4081" s="1"/>
      <c r="V4081" s="1"/>
      <c r="AC4081" s="1"/>
      <c r="AJ4081" s="1"/>
      <c r="AQ4081" s="1"/>
      <c r="AX4081" s="1"/>
      <c r="BE4081" s="1"/>
    </row>
    <row r="4082" spans="1:57" x14ac:dyDescent="0.25">
      <c r="A4082" s="1"/>
      <c r="H4082" s="1"/>
      <c r="O4082" s="1"/>
      <c r="V4082" s="1"/>
      <c r="AC4082" s="1"/>
      <c r="AJ4082" s="1"/>
      <c r="AQ4082" s="1"/>
      <c r="AX4082" s="1"/>
      <c r="BE4082" s="1"/>
    </row>
    <row r="4083" spans="1:57" x14ac:dyDescent="0.25">
      <c r="A4083" s="1"/>
      <c r="H4083" s="1"/>
      <c r="O4083" s="1"/>
      <c r="V4083" s="1"/>
      <c r="AC4083" s="1"/>
      <c r="AJ4083" s="1"/>
      <c r="AQ4083" s="1"/>
      <c r="AX4083" s="1"/>
      <c r="BE4083" s="1"/>
    </row>
    <row r="4084" spans="1:57" x14ac:dyDescent="0.25">
      <c r="A4084" s="1"/>
      <c r="H4084" s="1"/>
      <c r="O4084" s="1"/>
      <c r="V4084" s="1"/>
      <c r="AC4084" s="1"/>
      <c r="AJ4084" s="1"/>
      <c r="AQ4084" s="1"/>
      <c r="AX4084" s="1"/>
      <c r="BE4084" s="1"/>
    </row>
    <row r="4085" spans="1:57" x14ac:dyDescent="0.25">
      <c r="A4085" s="1"/>
      <c r="H4085" s="1"/>
      <c r="O4085" s="1"/>
      <c r="V4085" s="1"/>
      <c r="AC4085" s="1"/>
      <c r="AJ4085" s="1"/>
      <c r="AQ4085" s="1"/>
      <c r="AX4085" s="1"/>
      <c r="BE4085" s="1"/>
    </row>
    <row r="4086" spans="1:57" x14ac:dyDescent="0.25">
      <c r="A4086" s="1"/>
      <c r="H4086" s="1"/>
      <c r="O4086" s="1"/>
      <c r="V4086" s="1"/>
      <c r="AC4086" s="1"/>
      <c r="AJ4086" s="1"/>
      <c r="AQ4086" s="1"/>
      <c r="AX4086" s="1"/>
      <c r="BE4086" s="1"/>
    </row>
    <row r="4087" spans="1:57" x14ac:dyDescent="0.25">
      <c r="A4087" s="1"/>
      <c r="H4087" s="1"/>
      <c r="O4087" s="1"/>
      <c r="V4087" s="1"/>
      <c r="AC4087" s="1"/>
      <c r="AJ4087" s="1"/>
      <c r="AQ4087" s="1"/>
      <c r="AX4087" s="1"/>
      <c r="BE4087" s="1"/>
    </row>
    <row r="4088" spans="1:57" x14ac:dyDescent="0.25">
      <c r="A4088" s="1"/>
      <c r="H4088" s="1"/>
      <c r="O4088" s="1"/>
      <c r="V4088" s="1"/>
      <c r="AC4088" s="1"/>
      <c r="AJ4088" s="1"/>
      <c r="AQ4088" s="1"/>
      <c r="AX4088" s="1"/>
      <c r="BE4088" s="1"/>
    </row>
    <row r="4089" spans="1:57" x14ac:dyDescent="0.25">
      <c r="A4089" s="1"/>
      <c r="H4089" s="1"/>
      <c r="O4089" s="1"/>
      <c r="V4089" s="1"/>
      <c r="AC4089" s="1"/>
      <c r="AJ4089" s="1"/>
      <c r="AQ4089" s="1"/>
      <c r="AX4089" s="1"/>
      <c r="BE4089" s="1"/>
    </row>
    <row r="4090" spans="1:57" x14ac:dyDescent="0.25">
      <c r="A4090" s="1"/>
      <c r="H4090" s="1"/>
      <c r="O4090" s="1"/>
      <c r="V4090" s="1"/>
      <c r="AC4090" s="1"/>
      <c r="AJ4090" s="1"/>
      <c r="AQ4090" s="1"/>
      <c r="AX4090" s="1"/>
      <c r="BE4090" s="1"/>
    </row>
    <row r="4091" spans="1:57" x14ac:dyDescent="0.25">
      <c r="A4091" s="1"/>
      <c r="H4091" s="1"/>
      <c r="O4091" s="1"/>
      <c r="V4091" s="1"/>
      <c r="AC4091" s="1"/>
      <c r="AJ4091" s="1"/>
      <c r="AQ4091" s="1"/>
      <c r="AX4091" s="1"/>
      <c r="BE4091" s="1"/>
    </row>
    <row r="4092" spans="1:57" x14ac:dyDescent="0.25">
      <c r="A4092" s="1"/>
      <c r="H4092" s="1"/>
      <c r="O4092" s="1"/>
      <c r="V4092" s="1"/>
      <c r="AC4092" s="1"/>
      <c r="AJ4092" s="1"/>
      <c r="AQ4092" s="1"/>
      <c r="AX4092" s="1"/>
      <c r="BE4092" s="1"/>
    </row>
    <row r="4093" spans="1:57" x14ac:dyDescent="0.25">
      <c r="A4093" s="1"/>
      <c r="H4093" s="1"/>
      <c r="O4093" s="1"/>
      <c r="V4093" s="1"/>
      <c r="AC4093" s="1"/>
      <c r="AJ4093" s="1"/>
      <c r="AQ4093" s="1"/>
      <c r="AX4093" s="1"/>
      <c r="BE4093" s="1"/>
    </row>
    <row r="4094" spans="1:57" x14ac:dyDescent="0.25">
      <c r="A4094" s="1"/>
      <c r="H4094" s="1"/>
      <c r="O4094" s="1"/>
      <c r="V4094" s="1"/>
      <c r="AC4094" s="1"/>
      <c r="AJ4094" s="1"/>
      <c r="AQ4094" s="1"/>
      <c r="AX4094" s="1"/>
      <c r="BE4094" s="1"/>
    </row>
    <row r="4095" spans="1:57" x14ac:dyDescent="0.25">
      <c r="A4095" s="1"/>
      <c r="H4095" s="1"/>
      <c r="O4095" s="1"/>
      <c r="V4095" s="1"/>
      <c r="AC4095" s="1"/>
      <c r="AJ4095" s="1"/>
      <c r="AQ4095" s="1"/>
      <c r="AX4095" s="1"/>
      <c r="BE4095" s="1"/>
    </row>
    <row r="4096" spans="1:57" x14ac:dyDescent="0.25">
      <c r="A4096" s="1"/>
      <c r="H4096" s="1"/>
      <c r="O4096" s="1"/>
      <c r="V4096" s="1"/>
      <c r="AC4096" s="1"/>
      <c r="AJ4096" s="1"/>
      <c r="AQ4096" s="1"/>
      <c r="AX4096" s="1"/>
      <c r="BE4096" s="1"/>
    </row>
    <row r="4097" spans="1:57" x14ac:dyDescent="0.25">
      <c r="A4097" s="1"/>
      <c r="H4097" s="1"/>
      <c r="O4097" s="1"/>
      <c r="V4097" s="1"/>
      <c r="AC4097" s="1"/>
      <c r="AJ4097" s="1"/>
      <c r="AQ4097" s="1"/>
      <c r="AX4097" s="1"/>
      <c r="BE4097" s="1"/>
    </row>
    <row r="4098" spans="1:57" x14ac:dyDescent="0.25">
      <c r="A4098" s="1"/>
      <c r="H4098" s="1"/>
      <c r="O4098" s="1"/>
      <c r="V4098" s="1"/>
      <c r="AC4098" s="1"/>
      <c r="AJ4098" s="1"/>
      <c r="AQ4098" s="1"/>
      <c r="AX4098" s="1"/>
      <c r="BE4098" s="1"/>
    </row>
    <row r="4099" spans="1:57" x14ac:dyDescent="0.25">
      <c r="A4099" s="1"/>
      <c r="H4099" s="1"/>
      <c r="O4099" s="1"/>
      <c r="V4099" s="1"/>
      <c r="AC4099" s="1"/>
      <c r="AJ4099" s="1"/>
      <c r="AQ4099" s="1"/>
      <c r="AX4099" s="1"/>
      <c r="BE4099" s="1"/>
    </row>
    <row r="4100" spans="1:57" x14ac:dyDescent="0.25">
      <c r="A4100" s="1"/>
      <c r="H4100" s="1"/>
      <c r="O4100" s="1"/>
      <c r="V4100" s="1"/>
      <c r="AC4100" s="1"/>
      <c r="AJ4100" s="1"/>
      <c r="AQ4100" s="1"/>
      <c r="AX4100" s="1"/>
      <c r="BE4100" s="1"/>
    </row>
    <row r="4101" spans="1:57" x14ac:dyDescent="0.25">
      <c r="A4101" s="1"/>
      <c r="H4101" s="1"/>
      <c r="O4101" s="1"/>
      <c r="V4101" s="1"/>
      <c r="AC4101" s="1"/>
      <c r="AJ4101" s="1"/>
      <c r="AQ4101" s="1"/>
      <c r="AX4101" s="1"/>
      <c r="BE4101" s="1"/>
    </row>
    <row r="4102" spans="1:57" x14ac:dyDescent="0.25">
      <c r="A4102" s="1"/>
      <c r="H4102" s="1"/>
      <c r="O4102" s="1"/>
      <c r="V4102" s="1"/>
      <c r="AC4102" s="1"/>
      <c r="AJ4102" s="1"/>
      <c r="AQ4102" s="1"/>
      <c r="AX4102" s="1"/>
      <c r="BE4102" s="1"/>
    </row>
    <row r="4103" spans="1:57" x14ac:dyDescent="0.25">
      <c r="A4103" s="1"/>
      <c r="H4103" s="1"/>
      <c r="O4103" s="1"/>
      <c r="V4103" s="1"/>
      <c r="AC4103" s="1"/>
      <c r="AJ4103" s="1"/>
      <c r="AQ4103" s="1"/>
      <c r="AX4103" s="1"/>
      <c r="BE4103" s="1"/>
    </row>
    <row r="4104" spans="1:57" x14ac:dyDescent="0.25">
      <c r="A4104" s="1"/>
      <c r="H4104" s="1"/>
      <c r="O4104" s="1"/>
      <c r="V4104" s="1"/>
      <c r="AC4104" s="1"/>
      <c r="AJ4104" s="1"/>
      <c r="AQ4104" s="1"/>
      <c r="AX4104" s="1"/>
      <c r="BE4104" s="1"/>
    </row>
    <row r="4105" spans="1:57" x14ac:dyDescent="0.25">
      <c r="A4105" s="1"/>
      <c r="H4105" s="1"/>
      <c r="O4105" s="1"/>
      <c r="V4105" s="1"/>
      <c r="AC4105" s="1"/>
      <c r="AJ4105" s="1"/>
      <c r="AQ4105" s="1"/>
      <c r="AX4105" s="1"/>
      <c r="BE4105" s="1"/>
    </row>
    <row r="4106" spans="1:57" x14ac:dyDescent="0.25">
      <c r="A4106" s="1"/>
      <c r="H4106" s="1"/>
      <c r="O4106" s="1"/>
      <c r="V4106" s="1"/>
      <c r="AC4106" s="1"/>
      <c r="AJ4106" s="1"/>
      <c r="AQ4106" s="1"/>
      <c r="AX4106" s="1"/>
      <c r="BE4106" s="1"/>
    </row>
    <row r="4107" spans="1:57" x14ac:dyDescent="0.25">
      <c r="A4107" s="1"/>
      <c r="H4107" s="1"/>
      <c r="O4107" s="1"/>
      <c r="V4107" s="1"/>
      <c r="AC4107" s="1"/>
      <c r="AJ4107" s="1"/>
      <c r="AQ4107" s="1"/>
      <c r="AX4107" s="1"/>
      <c r="BE4107" s="1"/>
    </row>
    <row r="4108" spans="1:57" x14ac:dyDescent="0.25">
      <c r="A4108" s="1"/>
      <c r="H4108" s="1"/>
      <c r="O4108" s="1"/>
      <c r="V4108" s="1"/>
      <c r="AC4108" s="1"/>
      <c r="AJ4108" s="1"/>
      <c r="AQ4108" s="1"/>
      <c r="AX4108" s="1"/>
      <c r="BE4108" s="1"/>
    </row>
  </sheetData>
  <mergeCells count="9">
    <mergeCell ref="A1:F1"/>
    <mergeCell ref="AQ1:AV1"/>
    <mergeCell ref="V1:AA1"/>
    <mergeCell ref="H1:M1"/>
    <mergeCell ref="BE1:BJ1"/>
    <mergeCell ref="AC1:AH1"/>
    <mergeCell ref="AX1:BC1"/>
    <mergeCell ref="O1:T1"/>
    <mergeCell ref="AJ1:A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4108"/>
  <sheetViews>
    <sheetView tabSelected="1" topLeftCell="A83" workbookViewId="0">
      <selection activeCell="A121" sqref="A121"/>
    </sheetView>
  </sheetViews>
  <sheetFormatPr defaultRowHeight="15" x14ac:dyDescent="0.25"/>
  <cols>
    <col min="1" max="1" width="10.42578125" bestFit="1" customWidth="1"/>
    <col min="6" max="6" width="12.85546875" bestFit="1" customWidth="1"/>
    <col min="8" max="8" width="10.42578125" bestFit="1" customWidth="1"/>
    <col min="13" max="13" width="12.7109375" bestFit="1" customWidth="1"/>
    <col min="15" max="15" width="9.5703125" customWidth="1"/>
    <col min="20" max="20" width="12.85546875" bestFit="1" customWidth="1"/>
    <col min="22" max="22" width="10.42578125" bestFit="1" customWidth="1"/>
    <col min="27" max="27" width="12.85546875" bestFit="1" customWidth="1"/>
    <col min="29" max="29" width="10.42578125" bestFit="1" customWidth="1"/>
    <col min="34" max="34" width="12.7109375" bestFit="1" customWidth="1"/>
    <col min="36" max="36" width="10.42578125" bestFit="1" customWidth="1"/>
    <col min="41" max="41" width="12.85546875" bestFit="1" customWidth="1"/>
    <col min="43" max="43" width="10.42578125" bestFit="1" customWidth="1"/>
    <col min="48" max="48" width="12.85546875" bestFit="1" customWidth="1"/>
    <col min="50" max="50" width="10.42578125" bestFit="1" customWidth="1"/>
    <col min="55" max="55" width="12.7109375" bestFit="1" customWidth="1"/>
  </cols>
  <sheetData>
    <row r="1" spans="1:55" x14ac:dyDescent="0.25">
      <c r="A1" s="6" t="s">
        <v>38</v>
      </c>
      <c r="B1" s="7"/>
      <c r="C1" s="7"/>
      <c r="D1" s="7"/>
      <c r="E1" s="7"/>
      <c r="F1" s="7"/>
      <c r="H1" s="6" t="s">
        <v>39</v>
      </c>
      <c r="I1" s="7"/>
      <c r="J1" s="7"/>
      <c r="K1" s="7"/>
      <c r="L1" s="7"/>
      <c r="M1" s="7"/>
      <c r="O1" s="6" t="s">
        <v>40</v>
      </c>
      <c r="P1" s="7"/>
      <c r="Q1" s="7"/>
      <c r="R1" s="7"/>
      <c r="S1" s="7"/>
      <c r="T1" s="7"/>
      <c r="V1" s="6" t="s">
        <v>41</v>
      </c>
      <c r="W1" s="7"/>
      <c r="X1" s="7"/>
      <c r="Y1" s="7"/>
      <c r="Z1" s="7"/>
      <c r="AA1" s="7"/>
      <c r="AC1" s="6" t="s">
        <v>42</v>
      </c>
      <c r="AD1" s="7"/>
      <c r="AE1" s="7"/>
      <c r="AF1" s="7"/>
      <c r="AG1" s="7"/>
      <c r="AH1" s="7"/>
      <c r="AJ1" s="6" t="s">
        <v>43</v>
      </c>
      <c r="AK1" s="7"/>
      <c r="AL1" s="7"/>
      <c r="AM1" s="7"/>
      <c r="AN1" s="7"/>
      <c r="AO1" s="7"/>
      <c r="AQ1" s="6" t="s">
        <v>44</v>
      </c>
      <c r="AR1" s="7"/>
      <c r="AS1" s="7"/>
      <c r="AT1" s="7"/>
      <c r="AU1" s="7"/>
      <c r="AV1" s="7"/>
      <c r="AX1" s="6" t="s">
        <v>45</v>
      </c>
      <c r="AY1" s="7"/>
      <c r="AZ1" s="7"/>
      <c r="BA1" s="7"/>
      <c r="BB1" s="7"/>
      <c r="BC1" s="7"/>
    </row>
    <row r="2" spans="1:55" x14ac:dyDescent="0.25">
      <c r="A2" t="s">
        <v>14</v>
      </c>
      <c r="B2" t="s">
        <v>20</v>
      </c>
      <c r="C2" t="s">
        <v>21</v>
      </c>
      <c r="D2" t="s">
        <v>22</v>
      </c>
      <c r="E2" t="s">
        <v>23</v>
      </c>
      <c r="F2" t="s">
        <v>37</v>
      </c>
      <c r="H2" t="s">
        <v>14</v>
      </c>
      <c r="I2" t="s">
        <v>20</v>
      </c>
      <c r="J2" t="s">
        <v>21</v>
      </c>
      <c r="K2" t="s">
        <v>22</v>
      </c>
      <c r="L2" t="s">
        <v>23</v>
      </c>
      <c r="M2" t="s">
        <v>37</v>
      </c>
      <c r="O2" t="s">
        <v>14</v>
      </c>
      <c r="P2" t="s">
        <v>20</v>
      </c>
      <c r="Q2" t="s">
        <v>21</v>
      </c>
      <c r="R2" t="s">
        <v>22</v>
      </c>
      <c r="S2" t="s">
        <v>23</v>
      </c>
      <c r="T2" t="s">
        <v>37</v>
      </c>
      <c r="V2" t="s">
        <v>14</v>
      </c>
      <c r="W2" t="s">
        <v>20</v>
      </c>
      <c r="X2" t="s">
        <v>21</v>
      </c>
      <c r="Y2" t="s">
        <v>22</v>
      </c>
      <c r="Z2" t="s">
        <v>23</v>
      </c>
      <c r="AA2" t="s">
        <v>37</v>
      </c>
      <c r="AC2" t="s">
        <v>14</v>
      </c>
      <c r="AD2" t="s">
        <v>20</v>
      </c>
      <c r="AE2" t="s">
        <v>21</v>
      </c>
      <c r="AF2" t="s">
        <v>22</v>
      </c>
      <c r="AG2" t="s">
        <v>23</v>
      </c>
      <c r="AH2" t="s">
        <v>37</v>
      </c>
      <c r="AJ2" t="s">
        <v>14</v>
      </c>
      <c r="AK2" t="s">
        <v>20</v>
      </c>
      <c r="AL2" t="s">
        <v>21</v>
      </c>
      <c r="AM2" t="s">
        <v>22</v>
      </c>
      <c r="AN2" t="s">
        <v>23</v>
      </c>
      <c r="AO2" t="s">
        <v>37</v>
      </c>
      <c r="AQ2" t="s">
        <v>14</v>
      </c>
      <c r="AR2" t="s">
        <v>20</v>
      </c>
      <c r="AS2" t="s">
        <v>21</v>
      </c>
      <c r="AT2" t="s">
        <v>22</v>
      </c>
      <c r="AU2" t="s">
        <v>23</v>
      </c>
      <c r="AV2" t="s">
        <v>37</v>
      </c>
      <c r="AX2" t="s">
        <v>14</v>
      </c>
      <c r="AY2" t="s">
        <v>20</v>
      </c>
      <c r="AZ2" t="s">
        <v>21</v>
      </c>
      <c r="BA2" t="s">
        <v>22</v>
      </c>
      <c r="BB2" t="s">
        <v>23</v>
      </c>
      <c r="BC2" t="s">
        <v>37</v>
      </c>
    </row>
    <row r="3" spans="1:55" x14ac:dyDescent="0.25">
      <c r="A3" s="1">
        <f>'Feeders Raw Data'!A3</f>
        <v>46150</v>
      </c>
      <c r="B3">
        <f>'Feeders Raw Data'!B3-'Feeders Raw Data'!L3</f>
        <v>4.4499999999999886</v>
      </c>
      <c r="C3">
        <f>'Feeders Raw Data'!C3-'Feeders Raw Data'!M3</f>
        <v>7.75</v>
      </c>
      <c r="D3">
        <f>'Feeders Raw Data'!D3-'Feeders Raw Data'!N3</f>
        <v>5.6750000000000114</v>
      </c>
      <c r="E3">
        <f>'Feeders Raw Data'!E3-'Feeders Raw Data'!O3</f>
        <v>4.375</v>
      </c>
      <c r="F3" t="str">
        <f>'Feeders Raw Data'!I3&amp;" - "&amp;'Feeders Raw Data'!S3</f>
        <v>GFF27 - GFH27</v>
      </c>
      <c r="H3" s="1">
        <f>'Feeders Raw Data'!AE3</f>
        <v>46150</v>
      </c>
      <c r="I3">
        <f>'Feeders Raw Data'!AF3-'Feeders Raw Data'!AP3</f>
        <v>3.1499999999999773</v>
      </c>
      <c r="J3">
        <f>'Feeders Raw Data'!AG3-'Feeders Raw Data'!AQ3</f>
        <v>-0.17500000000001137</v>
      </c>
      <c r="K3">
        <f>'Feeders Raw Data'!AH3-'Feeders Raw Data'!AR3</f>
        <v>-0.14999999999997726</v>
      </c>
      <c r="L3">
        <f>'Feeders Raw Data'!AI3-'Feeders Raw Data'!AS3</f>
        <v>3.4249999999999545</v>
      </c>
      <c r="M3" t="str">
        <f>'Feeders Raw Data'!AM3&amp;" - "&amp;'Feeders Raw Data'!AW3</f>
        <v>GFK26 - GFQ26</v>
      </c>
      <c r="O3" s="1">
        <f>'Feeders Raw Data'!BI3</f>
        <v>46150</v>
      </c>
      <c r="P3">
        <f>'Feeders Raw Data'!BJ3-'Feeders Raw Data'!BT3</f>
        <v>3.0749999999999886</v>
      </c>
      <c r="Q3">
        <f>'Feeders Raw Data'!BK3-'Feeders Raw Data'!BU3</f>
        <v>4.0499999999999545</v>
      </c>
      <c r="R3">
        <f>'Feeders Raw Data'!BL3-'Feeders Raw Data'!BV3</f>
        <v>2.7750000000000341</v>
      </c>
      <c r="S3">
        <f>'Feeders Raw Data'!BM3-'Feeders Raw Data'!BW3</f>
        <v>2.8500000000000227</v>
      </c>
      <c r="T3" t="str">
        <f>'Feeders Raw Data'!BQ3&amp;" - "&amp;'Feeders Raw Data'!CA3</f>
        <v>GFV26 - GFX26</v>
      </c>
      <c r="V3" s="1">
        <f>'Feeders Raw Data'!K3</f>
        <v>46150</v>
      </c>
      <c r="W3">
        <f>'Feeders Raw Data'!L3-'Feeders Raw Data'!V3</f>
        <v>1.6750000000000114</v>
      </c>
      <c r="X3">
        <f>'Feeders Raw Data'!M3-'Feeders Raw Data'!W3</f>
        <v>5.9500000000000455</v>
      </c>
      <c r="Y3">
        <f>'Feeders Raw Data'!N3-'Feeders Raw Data'!X3</f>
        <v>2.2249999999999659</v>
      </c>
      <c r="Z3">
        <f>'Feeders Raw Data'!O3-'Feeders Raw Data'!Y3</f>
        <v>1.8250000000000455</v>
      </c>
      <c r="AA3" t="str">
        <f>'Feeders Raw Data'!S3&amp;" - "&amp;'Feeders Raw Data'!AC3</f>
        <v>GFH27 - GFJ27</v>
      </c>
      <c r="AC3" s="1">
        <f>'Feeders Raw Data'!U3</f>
        <v>46150</v>
      </c>
      <c r="AD3">
        <f>'Feeders Raw Data'!V3-'Feeders Raw Data'!AF3</f>
        <v>-22.850000000000023</v>
      </c>
      <c r="AE3">
        <f>'Feeders Raw Data'!W3-'Feeders Raw Data'!AG3</f>
        <v>-24.925000000000011</v>
      </c>
      <c r="AF3">
        <f>'Feeders Raw Data'!X3-'Feeders Raw Data'!AH3</f>
        <v>-20.449999999999989</v>
      </c>
      <c r="AG3">
        <f>'Feeders Raw Data'!Y3-'Feeders Raw Data'!AI3</f>
        <v>-22.375</v>
      </c>
      <c r="AH3" t="str">
        <f>'Feeders Raw Data'!AC3&amp;" - "&amp;'Feeders Raw Data'!AM3</f>
        <v>GFJ27 - GFK26</v>
      </c>
      <c r="AJ3" s="1">
        <f>'Feeders Raw Data'!AO3</f>
        <v>46150</v>
      </c>
      <c r="AK3">
        <f>'Feeders Raw Data'!AP3-'Feeders Raw Data'!AZ3</f>
        <v>2</v>
      </c>
      <c r="AL3">
        <f>'Feeders Raw Data'!AQ3-'Feeders Raw Data'!BA3</f>
        <v>1.2749999999999773</v>
      </c>
      <c r="AM3">
        <f>'Feeders Raw Data'!AR3-'Feeders Raw Data'!BB3</f>
        <v>1.3999999999999773</v>
      </c>
      <c r="AN3">
        <f>'Feeders Raw Data'!AS3-'Feeders Raw Data'!BC3</f>
        <v>1.75</v>
      </c>
      <c r="AO3" t="str">
        <f>'Feeders Raw Data'!AW3&amp;" - "&amp;'Feeders Raw Data'!BG3</f>
        <v>GFQ26 - GFU26</v>
      </c>
      <c r="AQ3" s="1">
        <f>'Feeders Raw Data'!AY3</f>
        <v>46150</v>
      </c>
      <c r="AR3">
        <f>'Feeders Raw Data'!AZ3-'Feeders Raw Data'!BJ3</f>
        <v>2.4250000000000114</v>
      </c>
      <c r="AS3">
        <f>'Feeders Raw Data'!BA3-'Feeders Raw Data'!BK3</f>
        <v>1.7000000000000455</v>
      </c>
      <c r="AT3">
        <f>'Feeders Raw Data'!BB3-'Feeders Raw Data'!BL3</f>
        <v>2.5249999999999773</v>
      </c>
      <c r="AU3">
        <f>'Feeders Raw Data'!BC3-'Feeders Raw Data'!BM3</f>
        <v>2.25</v>
      </c>
      <c r="AV3" t="str">
        <f>'Feeders Raw Data'!BG3&amp;" - "&amp;'Feeders Raw Data'!BQ3</f>
        <v>GFU26 - GFV26</v>
      </c>
      <c r="AX3" s="1">
        <f>'Feeders Raw Data'!BS3</f>
        <v>46150</v>
      </c>
      <c r="AY3">
        <f>'Feeders Raw Data'!BT3-'Feeders Raw Data'!B3</f>
        <v>6.0750000000000455</v>
      </c>
      <c r="AZ3">
        <f>'Feeders Raw Data'!BU3-'Feeders Raw Data'!C3</f>
        <v>4.375</v>
      </c>
      <c r="BA3">
        <f>'Feeders Raw Data'!BV3-'Feeders Raw Data'!D3</f>
        <v>6</v>
      </c>
      <c r="BB3">
        <f>'Feeders Raw Data'!BW3-'Feeders Raw Data'!E3</f>
        <v>5.8999999999999773</v>
      </c>
      <c r="BC3" t="str">
        <f>'Feeders Raw Data'!CA3&amp;" - "&amp;'Feeders Raw Data'!I3</f>
        <v>GFX26 - GFF27</v>
      </c>
    </row>
    <row r="4" spans="1:55" x14ac:dyDescent="0.25">
      <c r="A4" s="1">
        <f>'Feeders Raw Data'!A4</f>
        <v>0</v>
      </c>
      <c r="B4">
        <f>'Feeders Raw Data'!B4-'Feeders Raw Data'!L4</f>
        <v>0</v>
      </c>
      <c r="C4">
        <f>'Feeders Raw Data'!C4-'Feeders Raw Data'!M4</f>
        <v>0</v>
      </c>
      <c r="D4">
        <f>'Feeders Raw Data'!D4-'Feeders Raw Data'!N4</f>
        <v>0</v>
      </c>
      <c r="E4">
        <f>'Feeders Raw Data'!E4-'Feeders Raw Data'!O4</f>
        <v>0</v>
      </c>
      <c r="F4" t="str">
        <f>'Feeders Raw Data'!I4&amp;" - "&amp;'Feeders Raw Data'!S4</f>
        <v xml:space="preserve"> - </v>
      </c>
      <c r="H4" s="1">
        <f>'Feeders Raw Data'!AE4</f>
        <v>0</v>
      </c>
      <c r="I4">
        <f>'Feeders Raw Data'!AF4-'Feeders Raw Data'!AP4</f>
        <v>0</v>
      </c>
      <c r="J4">
        <f>'Feeders Raw Data'!AG4-'Feeders Raw Data'!AQ4</f>
        <v>0</v>
      </c>
      <c r="K4">
        <f>'Feeders Raw Data'!AH4-'Feeders Raw Data'!AR4</f>
        <v>0</v>
      </c>
      <c r="L4">
        <f>'Feeders Raw Data'!AI4-'Feeders Raw Data'!AS4</f>
        <v>0</v>
      </c>
      <c r="M4" t="str">
        <f>'Feeders Raw Data'!AM4&amp;" - "&amp;'Feeders Raw Data'!AW4</f>
        <v xml:space="preserve"> - </v>
      </c>
      <c r="O4" s="1">
        <f>'Feeders Raw Data'!BI4</f>
        <v>0</v>
      </c>
      <c r="P4">
        <f>'Feeders Raw Data'!BJ4-'Feeders Raw Data'!BT4</f>
        <v>0</v>
      </c>
      <c r="Q4">
        <f>'Feeders Raw Data'!BK4-'Feeders Raw Data'!BU4</f>
        <v>0</v>
      </c>
      <c r="R4">
        <f>'Feeders Raw Data'!BL4-'Feeders Raw Data'!BV4</f>
        <v>0</v>
      </c>
      <c r="S4">
        <f>'Feeders Raw Data'!BM4-'Feeders Raw Data'!BW4</f>
        <v>0</v>
      </c>
      <c r="T4" t="str">
        <f>'Feeders Raw Data'!BQ4&amp;" - "&amp;'Feeders Raw Data'!CA4</f>
        <v xml:space="preserve"> - </v>
      </c>
      <c r="V4" s="1">
        <f>'Feeders Raw Data'!K4</f>
        <v>0</v>
      </c>
      <c r="W4">
        <f>'Feeders Raw Data'!L4-'Feeders Raw Data'!V4</f>
        <v>0</v>
      </c>
      <c r="X4">
        <f>'Feeders Raw Data'!M4-'Feeders Raw Data'!W4</f>
        <v>0</v>
      </c>
      <c r="Y4">
        <f>'Feeders Raw Data'!N4-'Feeders Raw Data'!X4</f>
        <v>0</v>
      </c>
      <c r="Z4">
        <f>'Feeders Raw Data'!O4-'Feeders Raw Data'!Y4</f>
        <v>0</v>
      </c>
      <c r="AA4" t="str">
        <f>'Feeders Raw Data'!S4&amp;" - "&amp;'Feeders Raw Data'!AC4</f>
        <v xml:space="preserve"> - </v>
      </c>
      <c r="AC4" s="1">
        <f>'Feeders Raw Data'!U4</f>
        <v>0</v>
      </c>
      <c r="AD4">
        <f>'Feeders Raw Data'!V4-'Feeders Raw Data'!AF4</f>
        <v>0</v>
      </c>
      <c r="AE4">
        <f>'Feeders Raw Data'!W4-'Feeders Raw Data'!AG4</f>
        <v>0</v>
      </c>
      <c r="AF4">
        <f>'Feeders Raw Data'!X4-'Feeders Raw Data'!AH4</f>
        <v>0</v>
      </c>
      <c r="AG4">
        <f>'Feeders Raw Data'!Y4-'Feeders Raw Data'!AI4</f>
        <v>0</v>
      </c>
      <c r="AH4" t="str">
        <f>'Feeders Raw Data'!AC4&amp;" - "&amp;'Feeders Raw Data'!AM4</f>
        <v xml:space="preserve"> - </v>
      </c>
      <c r="AJ4" s="1">
        <f>'Feeders Raw Data'!AO4</f>
        <v>0</v>
      </c>
      <c r="AK4">
        <f>'Feeders Raw Data'!AP4-'Feeders Raw Data'!AZ4</f>
        <v>0</v>
      </c>
      <c r="AL4">
        <f>'Feeders Raw Data'!AQ4-'Feeders Raw Data'!BA4</f>
        <v>0</v>
      </c>
      <c r="AM4">
        <f>'Feeders Raw Data'!AR4-'Feeders Raw Data'!BB4</f>
        <v>0</v>
      </c>
      <c r="AN4">
        <f>'Feeders Raw Data'!AS4-'Feeders Raw Data'!BC4</f>
        <v>0</v>
      </c>
      <c r="AO4" t="str">
        <f>'Feeders Raw Data'!AW4&amp;" - "&amp;'Feeders Raw Data'!BG4</f>
        <v xml:space="preserve"> - </v>
      </c>
      <c r="AQ4" s="1">
        <f>'Feeders Raw Data'!AY4</f>
        <v>0</v>
      </c>
      <c r="AR4">
        <f>'Feeders Raw Data'!AZ4-'Feeders Raw Data'!BJ4</f>
        <v>0</v>
      </c>
      <c r="AS4">
        <f>'Feeders Raw Data'!BA4-'Feeders Raw Data'!BK4</f>
        <v>0</v>
      </c>
      <c r="AT4">
        <f>'Feeders Raw Data'!BB4-'Feeders Raw Data'!BL4</f>
        <v>0</v>
      </c>
      <c r="AU4">
        <f>'Feeders Raw Data'!BC4-'Feeders Raw Data'!BM4</f>
        <v>0</v>
      </c>
      <c r="AV4" t="str">
        <f>'Feeders Raw Data'!BG4&amp;" - "&amp;'Feeders Raw Data'!BQ4</f>
        <v xml:space="preserve"> - </v>
      </c>
      <c r="AX4" s="1">
        <f>'Feeders Raw Data'!BS4</f>
        <v>0</v>
      </c>
      <c r="AY4">
        <f>'Feeders Raw Data'!BT4-'Feeders Raw Data'!B4</f>
        <v>0</v>
      </c>
      <c r="AZ4">
        <f>'Feeders Raw Data'!BU4-'Feeders Raw Data'!C4</f>
        <v>0</v>
      </c>
      <c r="BA4">
        <f>'Feeders Raw Data'!BV4-'Feeders Raw Data'!D4</f>
        <v>0</v>
      </c>
      <c r="BB4">
        <f>'Feeders Raw Data'!BW4-'Feeders Raw Data'!E4</f>
        <v>0</v>
      </c>
      <c r="BC4" t="str">
        <f>'Feeders Raw Data'!CA4&amp;" - "&amp;'Feeders Raw Data'!I4</f>
        <v xml:space="preserve"> - </v>
      </c>
    </row>
    <row r="5" spans="1:55" x14ac:dyDescent="0.25">
      <c r="A5" s="1">
        <f>'Feeders Raw Data'!A5</f>
        <v>0</v>
      </c>
      <c r="B5">
        <f>'Feeders Raw Data'!B5-'Feeders Raw Data'!L5</f>
        <v>0</v>
      </c>
      <c r="C5">
        <f>'Feeders Raw Data'!C5-'Feeders Raw Data'!M5</f>
        <v>0</v>
      </c>
      <c r="D5">
        <f>'Feeders Raw Data'!D5-'Feeders Raw Data'!N5</f>
        <v>0</v>
      </c>
      <c r="E5">
        <f>'Feeders Raw Data'!E5-'Feeders Raw Data'!O5</f>
        <v>0</v>
      </c>
      <c r="F5" t="str">
        <f>'Feeders Raw Data'!I5&amp;" - "&amp;'Feeders Raw Data'!S5</f>
        <v xml:space="preserve"> - </v>
      </c>
      <c r="H5" s="1">
        <f>'Feeders Raw Data'!AE5</f>
        <v>0</v>
      </c>
      <c r="I5">
        <f>'Feeders Raw Data'!AF5-'Feeders Raw Data'!AP5</f>
        <v>0</v>
      </c>
      <c r="J5">
        <f>'Feeders Raw Data'!AG5-'Feeders Raw Data'!AQ5</f>
        <v>0</v>
      </c>
      <c r="K5">
        <f>'Feeders Raw Data'!AH5-'Feeders Raw Data'!AR5</f>
        <v>0</v>
      </c>
      <c r="L5">
        <f>'Feeders Raw Data'!AI5-'Feeders Raw Data'!AS5</f>
        <v>0</v>
      </c>
      <c r="M5" t="str">
        <f>'Feeders Raw Data'!AM5&amp;" - "&amp;'Feeders Raw Data'!AW5</f>
        <v xml:space="preserve"> - </v>
      </c>
      <c r="O5" s="1">
        <f>'Feeders Raw Data'!BI5</f>
        <v>0</v>
      </c>
      <c r="P5">
        <f>'Feeders Raw Data'!BJ5-'Feeders Raw Data'!BT5</f>
        <v>0</v>
      </c>
      <c r="Q5">
        <f>'Feeders Raw Data'!BK5-'Feeders Raw Data'!BU5</f>
        <v>0</v>
      </c>
      <c r="R5">
        <f>'Feeders Raw Data'!BL5-'Feeders Raw Data'!BV5</f>
        <v>0</v>
      </c>
      <c r="S5">
        <f>'Feeders Raw Data'!BM5-'Feeders Raw Data'!BW5</f>
        <v>0</v>
      </c>
      <c r="T5" t="str">
        <f>'Feeders Raw Data'!BQ5&amp;" - "&amp;'Feeders Raw Data'!CA5</f>
        <v xml:space="preserve"> - </v>
      </c>
      <c r="V5" s="1">
        <f>'Feeders Raw Data'!K5</f>
        <v>0</v>
      </c>
      <c r="W5">
        <f>'Feeders Raw Data'!L5-'Feeders Raw Data'!V5</f>
        <v>0</v>
      </c>
      <c r="X5">
        <f>'Feeders Raw Data'!M5-'Feeders Raw Data'!W5</f>
        <v>0</v>
      </c>
      <c r="Y5">
        <f>'Feeders Raw Data'!N5-'Feeders Raw Data'!X5</f>
        <v>0</v>
      </c>
      <c r="Z5">
        <f>'Feeders Raw Data'!O5-'Feeders Raw Data'!Y5</f>
        <v>0</v>
      </c>
      <c r="AA5" t="str">
        <f>'Feeders Raw Data'!S5&amp;" - "&amp;'Feeders Raw Data'!AC5</f>
        <v xml:space="preserve"> - </v>
      </c>
      <c r="AC5" s="1">
        <f>'Feeders Raw Data'!U5</f>
        <v>0</v>
      </c>
      <c r="AD5">
        <f>'Feeders Raw Data'!V5-'Feeders Raw Data'!AF5</f>
        <v>0</v>
      </c>
      <c r="AE5">
        <f>'Feeders Raw Data'!W5-'Feeders Raw Data'!AG5</f>
        <v>0</v>
      </c>
      <c r="AF5">
        <f>'Feeders Raw Data'!X5-'Feeders Raw Data'!AH5</f>
        <v>0</v>
      </c>
      <c r="AG5">
        <f>'Feeders Raw Data'!Y5-'Feeders Raw Data'!AI5</f>
        <v>0</v>
      </c>
      <c r="AH5" t="str">
        <f>'Feeders Raw Data'!AC5&amp;" - "&amp;'Feeders Raw Data'!AM5</f>
        <v xml:space="preserve"> - </v>
      </c>
      <c r="AJ5" s="1">
        <f>'Feeders Raw Data'!AO5</f>
        <v>0</v>
      </c>
      <c r="AK5">
        <f>'Feeders Raw Data'!AP5-'Feeders Raw Data'!AZ5</f>
        <v>0</v>
      </c>
      <c r="AL5">
        <f>'Feeders Raw Data'!AQ5-'Feeders Raw Data'!BA5</f>
        <v>0</v>
      </c>
      <c r="AM5">
        <f>'Feeders Raw Data'!AR5-'Feeders Raw Data'!BB5</f>
        <v>0</v>
      </c>
      <c r="AN5">
        <f>'Feeders Raw Data'!AS5-'Feeders Raw Data'!BC5</f>
        <v>0</v>
      </c>
      <c r="AO5" t="str">
        <f>'Feeders Raw Data'!AW5&amp;" - "&amp;'Feeders Raw Data'!BG5</f>
        <v xml:space="preserve"> - </v>
      </c>
      <c r="AQ5" s="1">
        <f>'Feeders Raw Data'!AY5</f>
        <v>0</v>
      </c>
      <c r="AR5">
        <f>'Feeders Raw Data'!AZ5-'Feeders Raw Data'!BJ5</f>
        <v>0</v>
      </c>
      <c r="AS5">
        <f>'Feeders Raw Data'!BA5-'Feeders Raw Data'!BK5</f>
        <v>0</v>
      </c>
      <c r="AT5">
        <f>'Feeders Raw Data'!BB5-'Feeders Raw Data'!BL5</f>
        <v>0</v>
      </c>
      <c r="AU5">
        <f>'Feeders Raw Data'!BC5-'Feeders Raw Data'!BM5</f>
        <v>0</v>
      </c>
      <c r="AV5" t="str">
        <f>'Feeders Raw Data'!BG5&amp;" - "&amp;'Feeders Raw Data'!BQ5</f>
        <v xml:space="preserve"> - </v>
      </c>
      <c r="AX5" s="1">
        <f>'Feeders Raw Data'!BS5</f>
        <v>0</v>
      </c>
      <c r="AY5">
        <f>'Feeders Raw Data'!BT5-'Feeders Raw Data'!B5</f>
        <v>0</v>
      </c>
      <c r="AZ5">
        <f>'Feeders Raw Data'!BU5-'Feeders Raw Data'!C5</f>
        <v>0</v>
      </c>
      <c r="BA5">
        <f>'Feeders Raw Data'!BV5-'Feeders Raw Data'!D5</f>
        <v>0</v>
      </c>
      <c r="BB5">
        <f>'Feeders Raw Data'!BW5-'Feeders Raw Data'!E5</f>
        <v>0</v>
      </c>
      <c r="BC5" t="str">
        <f>'Feeders Raw Data'!CA5&amp;" - "&amp;'Feeders Raw Data'!I5</f>
        <v xml:space="preserve"> - </v>
      </c>
    </row>
    <row r="6" spans="1:55" x14ac:dyDescent="0.25">
      <c r="A6" s="1">
        <f>'Feeders Raw Data'!A6</f>
        <v>0</v>
      </c>
      <c r="B6">
        <f>'Feeders Raw Data'!B6-'Feeders Raw Data'!L6</f>
        <v>0</v>
      </c>
      <c r="C6">
        <f>'Feeders Raw Data'!C6-'Feeders Raw Data'!M6</f>
        <v>0</v>
      </c>
      <c r="D6">
        <f>'Feeders Raw Data'!D6-'Feeders Raw Data'!N6</f>
        <v>0</v>
      </c>
      <c r="E6">
        <f>'Feeders Raw Data'!E6-'Feeders Raw Data'!O6</f>
        <v>0</v>
      </c>
      <c r="F6" t="str">
        <f>'Feeders Raw Data'!I6&amp;" - "&amp;'Feeders Raw Data'!S6</f>
        <v xml:space="preserve"> - </v>
      </c>
      <c r="H6" s="1">
        <f>'Feeders Raw Data'!AE6</f>
        <v>0</v>
      </c>
      <c r="I6">
        <f>'Feeders Raw Data'!AF6-'Feeders Raw Data'!AP6</f>
        <v>0</v>
      </c>
      <c r="J6">
        <f>'Feeders Raw Data'!AG6-'Feeders Raw Data'!AQ6</f>
        <v>0</v>
      </c>
      <c r="K6">
        <f>'Feeders Raw Data'!AH6-'Feeders Raw Data'!AR6</f>
        <v>0</v>
      </c>
      <c r="L6">
        <f>'Feeders Raw Data'!AI6-'Feeders Raw Data'!AS6</f>
        <v>0</v>
      </c>
      <c r="M6" t="str">
        <f>'Feeders Raw Data'!AM6&amp;" - "&amp;'Feeders Raw Data'!AW6</f>
        <v xml:space="preserve"> - </v>
      </c>
      <c r="O6" s="1">
        <f>'Feeders Raw Data'!BI6</f>
        <v>0</v>
      </c>
      <c r="P6">
        <f>'Feeders Raw Data'!BJ6-'Feeders Raw Data'!BT6</f>
        <v>0</v>
      </c>
      <c r="Q6">
        <f>'Feeders Raw Data'!BK6-'Feeders Raw Data'!BU6</f>
        <v>0</v>
      </c>
      <c r="R6">
        <f>'Feeders Raw Data'!BL6-'Feeders Raw Data'!BV6</f>
        <v>0</v>
      </c>
      <c r="S6">
        <f>'Feeders Raw Data'!BM6-'Feeders Raw Data'!BW6</f>
        <v>0</v>
      </c>
      <c r="T6" t="str">
        <f>'Feeders Raw Data'!BQ6&amp;" - "&amp;'Feeders Raw Data'!CA6</f>
        <v xml:space="preserve"> - </v>
      </c>
      <c r="V6" s="1">
        <f>'Feeders Raw Data'!K6</f>
        <v>0</v>
      </c>
      <c r="W6">
        <f>'Feeders Raw Data'!L6-'Feeders Raw Data'!V6</f>
        <v>0</v>
      </c>
      <c r="X6">
        <f>'Feeders Raw Data'!M6-'Feeders Raw Data'!W6</f>
        <v>0</v>
      </c>
      <c r="Y6">
        <f>'Feeders Raw Data'!N6-'Feeders Raw Data'!X6</f>
        <v>0</v>
      </c>
      <c r="Z6">
        <f>'Feeders Raw Data'!O6-'Feeders Raw Data'!Y6</f>
        <v>0</v>
      </c>
      <c r="AA6" t="str">
        <f>'Feeders Raw Data'!S6&amp;" - "&amp;'Feeders Raw Data'!AC6</f>
        <v xml:space="preserve"> - </v>
      </c>
      <c r="AC6" s="1">
        <f>'Feeders Raw Data'!U6</f>
        <v>0</v>
      </c>
      <c r="AD6">
        <f>'Feeders Raw Data'!V6-'Feeders Raw Data'!AF6</f>
        <v>0</v>
      </c>
      <c r="AE6">
        <f>'Feeders Raw Data'!W6-'Feeders Raw Data'!AG6</f>
        <v>0</v>
      </c>
      <c r="AF6">
        <f>'Feeders Raw Data'!X6-'Feeders Raw Data'!AH6</f>
        <v>0</v>
      </c>
      <c r="AG6">
        <f>'Feeders Raw Data'!Y6-'Feeders Raw Data'!AI6</f>
        <v>0</v>
      </c>
      <c r="AH6" t="str">
        <f>'Feeders Raw Data'!AC6&amp;" - "&amp;'Feeders Raw Data'!AM6</f>
        <v xml:space="preserve"> - </v>
      </c>
      <c r="AJ6" s="1">
        <f>'Feeders Raw Data'!AO6</f>
        <v>0</v>
      </c>
      <c r="AK6">
        <f>'Feeders Raw Data'!AP6-'Feeders Raw Data'!AZ6</f>
        <v>0</v>
      </c>
      <c r="AL6">
        <f>'Feeders Raw Data'!AQ6-'Feeders Raw Data'!BA6</f>
        <v>0</v>
      </c>
      <c r="AM6">
        <f>'Feeders Raw Data'!AR6-'Feeders Raw Data'!BB6</f>
        <v>0</v>
      </c>
      <c r="AN6">
        <f>'Feeders Raw Data'!AS6-'Feeders Raw Data'!BC6</f>
        <v>0</v>
      </c>
      <c r="AO6" t="str">
        <f>'Feeders Raw Data'!AW6&amp;" - "&amp;'Feeders Raw Data'!BG6</f>
        <v xml:space="preserve"> - </v>
      </c>
      <c r="AQ6" s="1">
        <f>'Feeders Raw Data'!AY6</f>
        <v>0</v>
      </c>
      <c r="AR6">
        <f>'Feeders Raw Data'!AZ6-'Feeders Raw Data'!BJ6</f>
        <v>0</v>
      </c>
      <c r="AS6">
        <f>'Feeders Raw Data'!BA6-'Feeders Raw Data'!BK6</f>
        <v>0</v>
      </c>
      <c r="AT6">
        <f>'Feeders Raw Data'!BB6-'Feeders Raw Data'!BL6</f>
        <v>0</v>
      </c>
      <c r="AU6">
        <f>'Feeders Raw Data'!BC6-'Feeders Raw Data'!BM6</f>
        <v>0</v>
      </c>
      <c r="AV6" t="str">
        <f>'Feeders Raw Data'!BG6&amp;" - "&amp;'Feeders Raw Data'!BQ6</f>
        <v xml:space="preserve"> - </v>
      </c>
      <c r="AX6" s="1">
        <f>'Feeders Raw Data'!BS6</f>
        <v>0</v>
      </c>
      <c r="AY6">
        <f>'Feeders Raw Data'!BT6-'Feeders Raw Data'!B6</f>
        <v>0</v>
      </c>
      <c r="AZ6">
        <f>'Feeders Raw Data'!BU6-'Feeders Raw Data'!C6</f>
        <v>0</v>
      </c>
      <c r="BA6">
        <f>'Feeders Raw Data'!BV6-'Feeders Raw Data'!D6</f>
        <v>0</v>
      </c>
      <c r="BB6">
        <f>'Feeders Raw Data'!BW6-'Feeders Raw Data'!E6</f>
        <v>0</v>
      </c>
      <c r="BC6" t="str">
        <f>'Feeders Raw Data'!CA6&amp;" - "&amp;'Feeders Raw Data'!I6</f>
        <v xml:space="preserve"> - </v>
      </c>
    </row>
    <row r="7" spans="1:55" x14ac:dyDescent="0.25">
      <c r="A7" s="1">
        <f>'Feeders Raw Data'!A7</f>
        <v>0</v>
      </c>
      <c r="B7">
        <f>'Feeders Raw Data'!B7-'Feeders Raw Data'!L7</f>
        <v>0</v>
      </c>
      <c r="C7">
        <f>'Feeders Raw Data'!C7-'Feeders Raw Data'!M7</f>
        <v>0</v>
      </c>
      <c r="D7">
        <f>'Feeders Raw Data'!D7-'Feeders Raw Data'!N7</f>
        <v>0</v>
      </c>
      <c r="E7">
        <f>'Feeders Raw Data'!E7-'Feeders Raw Data'!O7</f>
        <v>0</v>
      </c>
      <c r="F7" t="str">
        <f>'Feeders Raw Data'!I7&amp;" - "&amp;'Feeders Raw Data'!S7</f>
        <v xml:space="preserve"> - </v>
      </c>
      <c r="H7" s="1">
        <f>'Feeders Raw Data'!AE7</f>
        <v>0</v>
      </c>
      <c r="I7">
        <f>'Feeders Raw Data'!AF7-'Feeders Raw Data'!AP7</f>
        <v>0</v>
      </c>
      <c r="J7">
        <f>'Feeders Raw Data'!AG7-'Feeders Raw Data'!AQ7</f>
        <v>0</v>
      </c>
      <c r="K7">
        <f>'Feeders Raw Data'!AH7-'Feeders Raw Data'!AR7</f>
        <v>0</v>
      </c>
      <c r="L7">
        <f>'Feeders Raw Data'!AI7-'Feeders Raw Data'!AS7</f>
        <v>0</v>
      </c>
      <c r="M7" t="str">
        <f>'Feeders Raw Data'!AM7&amp;" - "&amp;'Feeders Raw Data'!AW7</f>
        <v xml:space="preserve"> - </v>
      </c>
      <c r="O7" s="1">
        <f>'Feeders Raw Data'!BI7</f>
        <v>0</v>
      </c>
      <c r="P7">
        <f>'Feeders Raw Data'!BJ7-'Feeders Raw Data'!BT7</f>
        <v>0</v>
      </c>
      <c r="Q7">
        <f>'Feeders Raw Data'!BK7-'Feeders Raw Data'!BU7</f>
        <v>0</v>
      </c>
      <c r="R7">
        <f>'Feeders Raw Data'!BL7-'Feeders Raw Data'!BV7</f>
        <v>0</v>
      </c>
      <c r="S7">
        <f>'Feeders Raw Data'!BM7-'Feeders Raw Data'!BW7</f>
        <v>0</v>
      </c>
      <c r="T7" t="str">
        <f>'Feeders Raw Data'!BQ7&amp;" - "&amp;'Feeders Raw Data'!CA7</f>
        <v xml:space="preserve"> - </v>
      </c>
      <c r="V7" s="1">
        <f>'Feeders Raw Data'!K7</f>
        <v>0</v>
      </c>
      <c r="W7">
        <f>'Feeders Raw Data'!L7-'Feeders Raw Data'!V7</f>
        <v>0</v>
      </c>
      <c r="X7">
        <f>'Feeders Raw Data'!M7-'Feeders Raw Data'!W7</f>
        <v>0</v>
      </c>
      <c r="Y7">
        <f>'Feeders Raw Data'!N7-'Feeders Raw Data'!X7</f>
        <v>0</v>
      </c>
      <c r="Z7">
        <f>'Feeders Raw Data'!O7-'Feeders Raw Data'!Y7</f>
        <v>0</v>
      </c>
      <c r="AA7" t="str">
        <f>'Feeders Raw Data'!S7&amp;" - "&amp;'Feeders Raw Data'!AC7</f>
        <v xml:space="preserve"> - </v>
      </c>
      <c r="AC7" s="1">
        <f>'Feeders Raw Data'!U7</f>
        <v>0</v>
      </c>
      <c r="AD7">
        <f>'Feeders Raw Data'!V7-'Feeders Raw Data'!AF7</f>
        <v>0</v>
      </c>
      <c r="AE7">
        <f>'Feeders Raw Data'!W7-'Feeders Raw Data'!AG7</f>
        <v>0</v>
      </c>
      <c r="AF7">
        <f>'Feeders Raw Data'!X7-'Feeders Raw Data'!AH7</f>
        <v>0</v>
      </c>
      <c r="AG7">
        <f>'Feeders Raw Data'!Y7-'Feeders Raw Data'!AI7</f>
        <v>0</v>
      </c>
      <c r="AH7" t="str">
        <f>'Feeders Raw Data'!AC7&amp;" - "&amp;'Feeders Raw Data'!AM7</f>
        <v xml:space="preserve"> - </v>
      </c>
      <c r="AJ7" s="1">
        <f>'Feeders Raw Data'!AO7</f>
        <v>0</v>
      </c>
      <c r="AK7">
        <f>'Feeders Raw Data'!AP7-'Feeders Raw Data'!AZ7</f>
        <v>0</v>
      </c>
      <c r="AL7">
        <f>'Feeders Raw Data'!AQ7-'Feeders Raw Data'!BA7</f>
        <v>0</v>
      </c>
      <c r="AM7">
        <f>'Feeders Raw Data'!AR7-'Feeders Raw Data'!BB7</f>
        <v>0</v>
      </c>
      <c r="AN7">
        <f>'Feeders Raw Data'!AS7-'Feeders Raw Data'!BC7</f>
        <v>0</v>
      </c>
      <c r="AO7" t="str">
        <f>'Feeders Raw Data'!AW7&amp;" - "&amp;'Feeders Raw Data'!BG7</f>
        <v xml:space="preserve"> - </v>
      </c>
      <c r="AQ7" s="1">
        <f>'Feeders Raw Data'!AY7</f>
        <v>0</v>
      </c>
      <c r="AR7">
        <f>'Feeders Raw Data'!AZ7-'Feeders Raw Data'!BJ7</f>
        <v>0</v>
      </c>
      <c r="AS7">
        <f>'Feeders Raw Data'!BA7-'Feeders Raw Data'!BK7</f>
        <v>0</v>
      </c>
      <c r="AT7">
        <f>'Feeders Raw Data'!BB7-'Feeders Raw Data'!BL7</f>
        <v>0</v>
      </c>
      <c r="AU7">
        <f>'Feeders Raw Data'!BC7-'Feeders Raw Data'!BM7</f>
        <v>0</v>
      </c>
      <c r="AV7" t="str">
        <f>'Feeders Raw Data'!BG7&amp;" - "&amp;'Feeders Raw Data'!BQ7</f>
        <v xml:space="preserve"> - </v>
      </c>
      <c r="AX7" s="1">
        <f>'Feeders Raw Data'!BS7</f>
        <v>0</v>
      </c>
      <c r="AY7">
        <f>'Feeders Raw Data'!BT7-'Feeders Raw Data'!B7</f>
        <v>0</v>
      </c>
      <c r="AZ7">
        <f>'Feeders Raw Data'!BU7-'Feeders Raw Data'!C7</f>
        <v>0</v>
      </c>
      <c r="BA7">
        <f>'Feeders Raw Data'!BV7-'Feeders Raw Data'!D7</f>
        <v>0</v>
      </c>
      <c r="BB7">
        <f>'Feeders Raw Data'!BW7-'Feeders Raw Data'!E7</f>
        <v>0</v>
      </c>
      <c r="BC7" t="str">
        <f>'Feeders Raw Data'!CA7&amp;" - "&amp;'Feeders Raw Data'!I7</f>
        <v xml:space="preserve"> - </v>
      </c>
    </row>
    <row r="8" spans="1:55" x14ac:dyDescent="0.25">
      <c r="A8" s="1">
        <f>'Feeders Raw Data'!A8</f>
        <v>0</v>
      </c>
      <c r="B8">
        <f>'Feeders Raw Data'!B8-'Feeders Raw Data'!L8</f>
        <v>0</v>
      </c>
      <c r="C8">
        <f>'Feeders Raw Data'!C8-'Feeders Raw Data'!M8</f>
        <v>0</v>
      </c>
      <c r="D8">
        <f>'Feeders Raw Data'!D8-'Feeders Raw Data'!N8</f>
        <v>0</v>
      </c>
      <c r="E8">
        <f>'Feeders Raw Data'!E8-'Feeders Raw Data'!O8</f>
        <v>0</v>
      </c>
      <c r="F8" t="str">
        <f>'Feeders Raw Data'!I8&amp;" - "&amp;'Feeders Raw Data'!S8</f>
        <v xml:space="preserve"> - </v>
      </c>
      <c r="H8" s="1">
        <f>'Feeders Raw Data'!AE8</f>
        <v>0</v>
      </c>
      <c r="I8">
        <f>'Feeders Raw Data'!AF8-'Feeders Raw Data'!AP8</f>
        <v>0</v>
      </c>
      <c r="J8">
        <f>'Feeders Raw Data'!AG8-'Feeders Raw Data'!AQ8</f>
        <v>0</v>
      </c>
      <c r="K8">
        <f>'Feeders Raw Data'!AH8-'Feeders Raw Data'!AR8</f>
        <v>0</v>
      </c>
      <c r="L8">
        <f>'Feeders Raw Data'!AI8-'Feeders Raw Data'!AS8</f>
        <v>0</v>
      </c>
      <c r="M8" t="str">
        <f>'Feeders Raw Data'!AM8&amp;" - "&amp;'Feeders Raw Data'!AW8</f>
        <v xml:space="preserve"> - </v>
      </c>
      <c r="O8" s="1">
        <f>'Feeders Raw Data'!BI8</f>
        <v>0</v>
      </c>
      <c r="P8">
        <f>'Feeders Raw Data'!BJ8-'Feeders Raw Data'!BT8</f>
        <v>0</v>
      </c>
      <c r="Q8">
        <f>'Feeders Raw Data'!BK8-'Feeders Raw Data'!BU8</f>
        <v>0</v>
      </c>
      <c r="R8">
        <f>'Feeders Raw Data'!BL8-'Feeders Raw Data'!BV8</f>
        <v>0</v>
      </c>
      <c r="S8">
        <f>'Feeders Raw Data'!BM8-'Feeders Raw Data'!BW8</f>
        <v>0</v>
      </c>
      <c r="T8" t="str">
        <f>'Feeders Raw Data'!BQ8&amp;" - "&amp;'Feeders Raw Data'!CA8</f>
        <v xml:space="preserve"> - </v>
      </c>
      <c r="V8" s="1">
        <f>'Feeders Raw Data'!K8</f>
        <v>0</v>
      </c>
      <c r="W8">
        <f>'Feeders Raw Data'!L8-'Feeders Raw Data'!V8</f>
        <v>0</v>
      </c>
      <c r="X8">
        <f>'Feeders Raw Data'!M8-'Feeders Raw Data'!W8</f>
        <v>0</v>
      </c>
      <c r="Y8">
        <f>'Feeders Raw Data'!N8-'Feeders Raw Data'!X8</f>
        <v>0</v>
      </c>
      <c r="Z8">
        <f>'Feeders Raw Data'!O8-'Feeders Raw Data'!Y8</f>
        <v>0</v>
      </c>
      <c r="AA8" t="str">
        <f>'Feeders Raw Data'!S8&amp;" - "&amp;'Feeders Raw Data'!AC8</f>
        <v xml:space="preserve"> - </v>
      </c>
      <c r="AC8" s="1">
        <f>'Feeders Raw Data'!U8</f>
        <v>0</v>
      </c>
      <c r="AD8">
        <f>'Feeders Raw Data'!V8-'Feeders Raw Data'!AF8</f>
        <v>0</v>
      </c>
      <c r="AE8">
        <f>'Feeders Raw Data'!W8-'Feeders Raw Data'!AG8</f>
        <v>0</v>
      </c>
      <c r="AF8">
        <f>'Feeders Raw Data'!X8-'Feeders Raw Data'!AH8</f>
        <v>0</v>
      </c>
      <c r="AG8">
        <f>'Feeders Raw Data'!Y8-'Feeders Raw Data'!AI8</f>
        <v>0</v>
      </c>
      <c r="AH8" t="str">
        <f>'Feeders Raw Data'!AC8&amp;" - "&amp;'Feeders Raw Data'!AM8</f>
        <v xml:space="preserve"> - </v>
      </c>
      <c r="AJ8" s="1">
        <f>'Feeders Raw Data'!AO8</f>
        <v>0</v>
      </c>
      <c r="AK8">
        <f>'Feeders Raw Data'!AP8-'Feeders Raw Data'!AZ8</f>
        <v>0</v>
      </c>
      <c r="AL8">
        <f>'Feeders Raw Data'!AQ8-'Feeders Raw Data'!BA8</f>
        <v>0</v>
      </c>
      <c r="AM8">
        <f>'Feeders Raw Data'!AR8-'Feeders Raw Data'!BB8</f>
        <v>0</v>
      </c>
      <c r="AN8">
        <f>'Feeders Raw Data'!AS8-'Feeders Raw Data'!BC8</f>
        <v>0</v>
      </c>
      <c r="AO8" t="str">
        <f>'Feeders Raw Data'!AW8&amp;" - "&amp;'Feeders Raw Data'!BG8</f>
        <v xml:space="preserve"> - </v>
      </c>
      <c r="AQ8" s="1">
        <f>'Feeders Raw Data'!AY8</f>
        <v>0</v>
      </c>
      <c r="AR8">
        <f>'Feeders Raw Data'!AZ8-'Feeders Raw Data'!BJ8</f>
        <v>0</v>
      </c>
      <c r="AS8">
        <f>'Feeders Raw Data'!BA8-'Feeders Raw Data'!BK8</f>
        <v>0</v>
      </c>
      <c r="AT8">
        <f>'Feeders Raw Data'!BB8-'Feeders Raw Data'!BL8</f>
        <v>0</v>
      </c>
      <c r="AU8">
        <f>'Feeders Raw Data'!BC8-'Feeders Raw Data'!BM8</f>
        <v>0</v>
      </c>
      <c r="AV8" t="str">
        <f>'Feeders Raw Data'!BG8&amp;" - "&amp;'Feeders Raw Data'!BQ8</f>
        <v xml:space="preserve"> - </v>
      </c>
      <c r="AX8" s="1">
        <f>'Feeders Raw Data'!BS8</f>
        <v>0</v>
      </c>
      <c r="AY8">
        <f>'Feeders Raw Data'!BT8-'Feeders Raw Data'!B8</f>
        <v>0</v>
      </c>
      <c r="AZ8">
        <f>'Feeders Raw Data'!BU8-'Feeders Raw Data'!C8</f>
        <v>0</v>
      </c>
      <c r="BA8">
        <f>'Feeders Raw Data'!BV8-'Feeders Raw Data'!D8</f>
        <v>0</v>
      </c>
      <c r="BB8">
        <f>'Feeders Raw Data'!BW8-'Feeders Raw Data'!E8</f>
        <v>0</v>
      </c>
      <c r="BC8" t="str">
        <f>'Feeders Raw Data'!CA8&amp;" - "&amp;'Feeders Raw Data'!I8</f>
        <v xml:space="preserve"> - </v>
      </c>
    </row>
    <row r="9" spans="1:55" x14ac:dyDescent="0.25">
      <c r="A9" s="1">
        <f>'Feeders Raw Data'!A9</f>
        <v>0</v>
      </c>
      <c r="B9">
        <f>'Feeders Raw Data'!B9-'Feeders Raw Data'!L9</f>
        <v>0</v>
      </c>
      <c r="C9">
        <f>'Feeders Raw Data'!C9-'Feeders Raw Data'!M9</f>
        <v>0</v>
      </c>
      <c r="D9">
        <f>'Feeders Raw Data'!D9-'Feeders Raw Data'!N9</f>
        <v>0</v>
      </c>
      <c r="E9">
        <f>'Feeders Raw Data'!E9-'Feeders Raw Data'!O9</f>
        <v>0</v>
      </c>
      <c r="F9" t="str">
        <f>'Feeders Raw Data'!I9&amp;" - "&amp;'Feeders Raw Data'!S9</f>
        <v xml:space="preserve"> - </v>
      </c>
      <c r="H9" s="1">
        <f>'Feeders Raw Data'!AE9</f>
        <v>0</v>
      </c>
      <c r="I9">
        <f>'Feeders Raw Data'!AF9-'Feeders Raw Data'!AP9</f>
        <v>0</v>
      </c>
      <c r="J9">
        <f>'Feeders Raw Data'!AG9-'Feeders Raw Data'!AQ9</f>
        <v>0</v>
      </c>
      <c r="K9">
        <f>'Feeders Raw Data'!AH9-'Feeders Raw Data'!AR9</f>
        <v>0</v>
      </c>
      <c r="L9">
        <f>'Feeders Raw Data'!AI9-'Feeders Raw Data'!AS9</f>
        <v>0</v>
      </c>
      <c r="M9" t="str">
        <f>'Feeders Raw Data'!AM9&amp;" - "&amp;'Feeders Raw Data'!AW9</f>
        <v xml:space="preserve"> - </v>
      </c>
      <c r="O9" s="1">
        <f>'Feeders Raw Data'!BI9</f>
        <v>0</v>
      </c>
      <c r="P9">
        <f>'Feeders Raw Data'!BJ9-'Feeders Raw Data'!BT9</f>
        <v>0</v>
      </c>
      <c r="Q9">
        <f>'Feeders Raw Data'!BK9-'Feeders Raw Data'!BU9</f>
        <v>0</v>
      </c>
      <c r="R9">
        <f>'Feeders Raw Data'!BL9-'Feeders Raw Data'!BV9</f>
        <v>0</v>
      </c>
      <c r="S9">
        <f>'Feeders Raw Data'!BM9-'Feeders Raw Data'!BW9</f>
        <v>0</v>
      </c>
      <c r="T9" t="str">
        <f>'Feeders Raw Data'!BQ9&amp;" - "&amp;'Feeders Raw Data'!CA9</f>
        <v xml:space="preserve"> - </v>
      </c>
      <c r="V9" s="1">
        <f>'Feeders Raw Data'!K9</f>
        <v>0</v>
      </c>
      <c r="W9">
        <f>'Feeders Raw Data'!L9-'Feeders Raw Data'!V9</f>
        <v>0</v>
      </c>
      <c r="X9">
        <f>'Feeders Raw Data'!M9-'Feeders Raw Data'!W9</f>
        <v>0</v>
      </c>
      <c r="Y9">
        <f>'Feeders Raw Data'!N9-'Feeders Raw Data'!X9</f>
        <v>0</v>
      </c>
      <c r="Z9">
        <f>'Feeders Raw Data'!O9-'Feeders Raw Data'!Y9</f>
        <v>0</v>
      </c>
      <c r="AA9" t="str">
        <f>'Feeders Raw Data'!S9&amp;" - "&amp;'Feeders Raw Data'!AC9</f>
        <v xml:space="preserve"> - </v>
      </c>
      <c r="AC9" s="1">
        <f>'Feeders Raw Data'!U9</f>
        <v>0</v>
      </c>
      <c r="AD9">
        <f>'Feeders Raw Data'!V9-'Feeders Raw Data'!AF9</f>
        <v>0</v>
      </c>
      <c r="AE9">
        <f>'Feeders Raw Data'!W9-'Feeders Raw Data'!AG9</f>
        <v>0</v>
      </c>
      <c r="AF9">
        <f>'Feeders Raw Data'!X9-'Feeders Raw Data'!AH9</f>
        <v>0</v>
      </c>
      <c r="AG9">
        <f>'Feeders Raw Data'!Y9-'Feeders Raw Data'!AI9</f>
        <v>0</v>
      </c>
      <c r="AH9" t="str">
        <f>'Feeders Raw Data'!AC9&amp;" - "&amp;'Feeders Raw Data'!AM9</f>
        <v xml:space="preserve"> - </v>
      </c>
      <c r="AJ9" s="1">
        <f>'Feeders Raw Data'!AO9</f>
        <v>0</v>
      </c>
      <c r="AK9">
        <f>'Feeders Raw Data'!AP9-'Feeders Raw Data'!AZ9</f>
        <v>0</v>
      </c>
      <c r="AL9">
        <f>'Feeders Raw Data'!AQ9-'Feeders Raw Data'!BA9</f>
        <v>0</v>
      </c>
      <c r="AM9">
        <f>'Feeders Raw Data'!AR9-'Feeders Raw Data'!BB9</f>
        <v>0</v>
      </c>
      <c r="AN9">
        <f>'Feeders Raw Data'!AS9-'Feeders Raw Data'!BC9</f>
        <v>0</v>
      </c>
      <c r="AO9" t="str">
        <f>'Feeders Raw Data'!AW9&amp;" - "&amp;'Feeders Raw Data'!BG9</f>
        <v xml:space="preserve"> - </v>
      </c>
      <c r="AQ9" s="1">
        <f>'Feeders Raw Data'!AY9</f>
        <v>0</v>
      </c>
      <c r="AR9">
        <f>'Feeders Raw Data'!AZ9-'Feeders Raw Data'!BJ9</f>
        <v>0</v>
      </c>
      <c r="AS9">
        <f>'Feeders Raw Data'!BA9-'Feeders Raw Data'!BK9</f>
        <v>0</v>
      </c>
      <c r="AT9">
        <f>'Feeders Raw Data'!BB9-'Feeders Raw Data'!BL9</f>
        <v>0</v>
      </c>
      <c r="AU9">
        <f>'Feeders Raw Data'!BC9-'Feeders Raw Data'!BM9</f>
        <v>0</v>
      </c>
      <c r="AV9" t="str">
        <f>'Feeders Raw Data'!BG9&amp;" - "&amp;'Feeders Raw Data'!BQ9</f>
        <v xml:space="preserve"> - </v>
      </c>
      <c r="AX9" s="1">
        <f>'Feeders Raw Data'!BS9</f>
        <v>0</v>
      </c>
      <c r="AY9">
        <f>'Feeders Raw Data'!BT9-'Feeders Raw Data'!B9</f>
        <v>0</v>
      </c>
      <c r="AZ9">
        <f>'Feeders Raw Data'!BU9-'Feeders Raw Data'!C9</f>
        <v>0</v>
      </c>
      <c r="BA9">
        <f>'Feeders Raw Data'!BV9-'Feeders Raw Data'!D9</f>
        <v>0</v>
      </c>
      <c r="BB9">
        <f>'Feeders Raw Data'!BW9-'Feeders Raw Data'!E9</f>
        <v>0</v>
      </c>
      <c r="BC9" t="str">
        <f>'Feeders Raw Data'!CA9&amp;" - "&amp;'Feeders Raw Data'!I9</f>
        <v xml:space="preserve"> - </v>
      </c>
    </row>
    <row r="10" spans="1:55" x14ac:dyDescent="0.25">
      <c r="A10" s="1">
        <f>'Feeders Raw Data'!A10</f>
        <v>0</v>
      </c>
      <c r="B10">
        <f>'Feeders Raw Data'!B10-'Feeders Raw Data'!L10</f>
        <v>0</v>
      </c>
      <c r="C10">
        <f>'Feeders Raw Data'!C10-'Feeders Raw Data'!M10</f>
        <v>0</v>
      </c>
      <c r="D10">
        <f>'Feeders Raw Data'!D10-'Feeders Raw Data'!N10</f>
        <v>0</v>
      </c>
      <c r="E10">
        <f>'Feeders Raw Data'!E10-'Feeders Raw Data'!O10</f>
        <v>0</v>
      </c>
      <c r="F10" t="str">
        <f>'Feeders Raw Data'!I10&amp;" - "&amp;'Feeders Raw Data'!S10</f>
        <v xml:space="preserve"> - </v>
      </c>
      <c r="H10" s="1">
        <f>'Feeders Raw Data'!AE10</f>
        <v>0</v>
      </c>
      <c r="I10">
        <f>'Feeders Raw Data'!AF10-'Feeders Raw Data'!AP10</f>
        <v>0</v>
      </c>
      <c r="J10">
        <f>'Feeders Raw Data'!AG10-'Feeders Raw Data'!AQ10</f>
        <v>0</v>
      </c>
      <c r="K10">
        <f>'Feeders Raw Data'!AH10-'Feeders Raw Data'!AR10</f>
        <v>0</v>
      </c>
      <c r="L10">
        <f>'Feeders Raw Data'!AI10-'Feeders Raw Data'!AS10</f>
        <v>0</v>
      </c>
      <c r="M10" t="str">
        <f>'Feeders Raw Data'!AM10&amp;" - "&amp;'Feeders Raw Data'!AW10</f>
        <v xml:space="preserve"> - </v>
      </c>
      <c r="O10" s="1">
        <f>'Feeders Raw Data'!BI10</f>
        <v>0</v>
      </c>
      <c r="P10">
        <f>'Feeders Raw Data'!BJ10-'Feeders Raw Data'!BT10</f>
        <v>0</v>
      </c>
      <c r="Q10">
        <f>'Feeders Raw Data'!BK10-'Feeders Raw Data'!BU10</f>
        <v>0</v>
      </c>
      <c r="R10">
        <f>'Feeders Raw Data'!BL10-'Feeders Raw Data'!BV10</f>
        <v>0</v>
      </c>
      <c r="S10">
        <f>'Feeders Raw Data'!BM10-'Feeders Raw Data'!BW10</f>
        <v>0</v>
      </c>
      <c r="T10" t="str">
        <f>'Feeders Raw Data'!BQ10&amp;" - "&amp;'Feeders Raw Data'!CA10</f>
        <v xml:space="preserve"> - </v>
      </c>
      <c r="V10" s="1">
        <f>'Feeders Raw Data'!K10</f>
        <v>0</v>
      </c>
      <c r="W10">
        <f>'Feeders Raw Data'!L10-'Feeders Raw Data'!V10</f>
        <v>0</v>
      </c>
      <c r="X10">
        <f>'Feeders Raw Data'!M10-'Feeders Raw Data'!W10</f>
        <v>0</v>
      </c>
      <c r="Y10">
        <f>'Feeders Raw Data'!N10-'Feeders Raw Data'!X10</f>
        <v>0</v>
      </c>
      <c r="Z10">
        <f>'Feeders Raw Data'!O10-'Feeders Raw Data'!Y10</f>
        <v>0</v>
      </c>
      <c r="AA10" t="str">
        <f>'Feeders Raw Data'!S10&amp;" - "&amp;'Feeders Raw Data'!AC10</f>
        <v xml:space="preserve"> - </v>
      </c>
      <c r="AC10" s="1">
        <f>'Feeders Raw Data'!U10</f>
        <v>0</v>
      </c>
      <c r="AD10">
        <f>'Feeders Raw Data'!V10-'Feeders Raw Data'!AF10</f>
        <v>0</v>
      </c>
      <c r="AE10">
        <f>'Feeders Raw Data'!W10-'Feeders Raw Data'!AG10</f>
        <v>0</v>
      </c>
      <c r="AF10">
        <f>'Feeders Raw Data'!X10-'Feeders Raw Data'!AH10</f>
        <v>0</v>
      </c>
      <c r="AG10">
        <f>'Feeders Raw Data'!Y10-'Feeders Raw Data'!AI10</f>
        <v>0</v>
      </c>
      <c r="AH10" t="str">
        <f>'Feeders Raw Data'!AC10&amp;" - "&amp;'Feeders Raw Data'!AM10</f>
        <v xml:space="preserve"> - </v>
      </c>
      <c r="AJ10" s="1">
        <f>'Feeders Raw Data'!AO10</f>
        <v>0</v>
      </c>
      <c r="AK10">
        <f>'Feeders Raw Data'!AP10-'Feeders Raw Data'!AZ10</f>
        <v>0</v>
      </c>
      <c r="AL10">
        <f>'Feeders Raw Data'!AQ10-'Feeders Raw Data'!BA10</f>
        <v>0</v>
      </c>
      <c r="AM10">
        <f>'Feeders Raw Data'!AR10-'Feeders Raw Data'!BB10</f>
        <v>0</v>
      </c>
      <c r="AN10">
        <f>'Feeders Raw Data'!AS10-'Feeders Raw Data'!BC10</f>
        <v>0</v>
      </c>
      <c r="AO10" t="str">
        <f>'Feeders Raw Data'!AW10&amp;" - "&amp;'Feeders Raw Data'!BG10</f>
        <v xml:space="preserve"> - </v>
      </c>
      <c r="AQ10" s="1">
        <f>'Feeders Raw Data'!AY10</f>
        <v>0</v>
      </c>
      <c r="AR10">
        <f>'Feeders Raw Data'!AZ10-'Feeders Raw Data'!BJ10</f>
        <v>0</v>
      </c>
      <c r="AS10">
        <f>'Feeders Raw Data'!BA10-'Feeders Raw Data'!BK10</f>
        <v>0</v>
      </c>
      <c r="AT10">
        <f>'Feeders Raw Data'!BB10-'Feeders Raw Data'!BL10</f>
        <v>0</v>
      </c>
      <c r="AU10">
        <f>'Feeders Raw Data'!BC10-'Feeders Raw Data'!BM10</f>
        <v>0</v>
      </c>
      <c r="AV10" t="str">
        <f>'Feeders Raw Data'!BG10&amp;" - "&amp;'Feeders Raw Data'!BQ10</f>
        <v xml:space="preserve"> - </v>
      </c>
      <c r="AX10" s="1">
        <f>'Feeders Raw Data'!BS10</f>
        <v>0</v>
      </c>
      <c r="AY10">
        <f>'Feeders Raw Data'!BT10-'Feeders Raw Data'!B10</f>
        <v>0</v>
      </c>
      <c r="AZ10">
        <f>'Feeders Raw Data'!BU10-'Feeders Raw Data'!C10</f>
        <v>0</v>
      </c>
      <c r="BA10">
        <f>'Feeders Raw Data'!BV10-'Feeders Raw Data'!D10</f>
        <v>0</v>
      </c>
      <c r="BB10">
        <f>'Feeders Raw Data'!BW10-'Feeders Raw Data'!E10</f>
        <v>0</v>
      </c>
      <c r="BC10" t="str">
        <f>'Feeders Raw Data'!CA10&amp;" - "&amp;'Feeders Raw Data'!I10</f>
        <v xml:space="preserve"> - </v>
      </c>
    </row>
    <row r="11" spans="1:55" x14ac:dyDescent="0.25">
      <c r="A11" s="1">
        <f>'Feeders Raw Data'!A11</f>
        <v>0</v>
      </c>
      <c r="B11">
        <f>'Feeders Raw Data'!B11-'Feeders Raw Data'!L11</f>
        <v>0</v>
      </c>
      <c r="C11">
        <f>'Feeders Raw Data'!C11-'Feeders Raw Data'!M11</f>
        <v>0</v>
      </c>
      <c r="D11">
        <f>'Feeders Raw Data'!D11-'Feeders Raw Data'!N11</f>
        <v>0</v>
      </c>
      <c r="E11">
        <f>'Feeders Raw Data'!E11-'Feeders Raw Data'!O11</f>
        <v>0</v>
      </c>
      <c r="F11" t="str">
        <f>'Feeders Raw Data'!I11&amp;" - "&amp;'Feeders Raw Data'!S11</f>
        <v xml:space="preserve"> - </v>
      </c>
      <c r="H11" s="1">
        <f>'Feeders Raw Data'!AE11</f>
        <v>0</v>
      </c>
      <c r="I11">
        <f>'Feeders Raw Data'!AF11-'Feeders Raw Data'!AP11</f>
        <v>0</v>
      </c>
      <c r="J11">
        <f>'Feeders Raw Data'!AG11-'Feeders Raw Data'!AQ11</f>
        <v>0</v>
      </c>
      <c r="K11">
        <f>'Feeders Raw Data'!AH11-'Feeders Raw Data'!AR11</f>
        <v>0</v>
      </c>
      <c r="L11">
        <f>'Feeders Raw Data'!AI11-'Feeders Raw Data'!AS11</f>
        <v>0</v>
      </c>
      <c r="M11" t="str">
        <f>'Feeders Raw Data'!AM11&amp;" - "&amp;'Feeders Raw Data'!AW11</f>
        <v xml:space="preserve"> - </v>
      </c>
      <c r="O11" s="1">
        <f>'Feeders Raw Data'!BI11</f>
        <v>0</v>
      </c>
      <c r="P11">
        <f>'Feeders Raw Data'!BJ11-'Feeders Raw Data'!BT11</f>
        <v>0</v>
      </c>
      <c r="Q11">
        <f>'Feeders Raw Data'!BK11-'Feeders Raw Data'!BU11</f>
        <v>0</v>
      </c>
      <c r="R11">
        <f>'Feeders Raw Data'!BL11-'Feeders Raw Data'!BV11</f>
        <v>0</v>
      </c>
      <c r="S11">
        <f>'Feeders Raw Data'!BM11-'Feeders Raw Data'!BW11</f>
        <v>0</v>
      </c>
      <c r="T11" t="str">
        <f>'Feeders Raw Data'!BQ11&amp;" - "&amp;'Feeders Raw Data'!CA11</f>
        <v xml:space="preserve"> - </v>
      </c>
      <c r="V11" s="1">
        <f>'Feeders Raw Data'!K11</f>
        <v>0</v>
      </c>
      <c r="W11">
        <f>'Feeders Raw Data'!L11-'Feeders Raw Data'!V11</f>
        <v>0</v>
      </c>
      <c r="X11">
        <f>'Feeders Raw Data'!M11-'Feeders Raw Data'!W11</f>
        <v>0</v>
      </c>
      <c r="Y11">
        <f>'Feeders Raw Data'!N11-'Feeders Raw Data'!X11</f>
        <v>0</v>
      </c>
      <c r="Z11">
        <f>'Feeders Raw Data'!O11-'Feeders Raw Data'!Y11</f>
        <v>0</v>
      </c>
      <c r="AA11" t="str">
        <f>'Feeders Raw Data'!S11&amp;" - "&amp;'Feeders Raw Data'!AC11</f>
        <v xml:space="preserve"> - </v>
      </c>
      <c r="AC11" s="1">
        <f>'Feeders Raw Data'!U11</f>
        <v>0</v>
      </c>
      <c r="AD11">
        <f>'Feeders Raw Data'!V11-'Feeders Raw Data'!AF11</f>
        <v>0</v>
      </c>
      <c r="AE11">
        <f>'Feeders Raw Data'!W11-'Feeders Raw Data'!AG11</f>
        <v>0</v>
      </c>
      <c r="AF11">
        <f>'Feeders Raw Data'!X11-'Feeders Raw Data'!AH11</f>
        <v>0</v>
      </c>
      <c r="AG11">
        <f>'Feeders Raw Data'!Y11-'Feeders Raw Data'!AI11</f>
        <v>0</v>
      </c>
      <c r="AH11" t="str">
        <f>'Feeders Raw Data'!AC11&amp;" - "&amp;'Feeders Raw Data'!AM11</f>
        <v xml:space="preserve"> - </v>
      </c>
      <c r="AJ11" s="1">
        <f>'Feeders Raw Data'!AO11</f>
        <v>0</v>
      </c>
      <c r="AK11">
        <f>'Feeders Raw Data'!AP11-'Feeders Raw Data'!AZ11</f>
        <v>0</v>
      </c>
      <c r="AL11">
        <f>'Feeders Raw Data'!AQ11-'Feeders Raw Data'!BA11</f>
        <v>0</v>
      </c>
      <c r="AM11">
        <f>'Feeders Raw Data'!AR11-'Feeders Raw Data'!BB11</f>
        <v>0</v>
      </c>
      <c r="AN11">
        <f>'Feeders Raw Data'!AS11-'Feeders Raw Data'!BC11</f>
        <v>0</v>
      </c>
      <c r="AO11" t="str">
        <f>'Feeders Raw Data'!AW11&amp;" - "&amp;'Feeders Raw Data'!BG11</f>
        <v xml:space="preserve"> - </v>
      </c>
      <c r="AQ11" s="1">
        <f>'Feeders Raw Data'!AY11</f>
        <v>0</v>
      </c>
      <c r="AR11">
        <f>'Feeders Raw Data'!AZ11-'Feeders Raw Data'!BJ11</f>
        <v>0</v>
      </c>
      <c r="AS11">
        <f>'Feeders Raw Data'!BA11-'Feeders Raw Data'!BK11</f>
        <v>0</v>
      </c>
      <c r="AT11">
        <f>'Feeders Raw Data'!BB11-'Feeders Raw Data'!BL11</f>
        <v>0</v>
      </c>
      <c r="AU11">
        <f>'Feeders Raw Data'!BC11-'Feeders Raw Data'!BM11</f>
        <v>0</v>
      </c>
      <c r="AV11" t="str">
        <f>'Feeders Raw Data'!BG11&amp;" - "&amp;'Feeders Raw Data'!BQ11</f>
        <v xml:space="preserve"> - </v>
      </c>
      <c r="AX11" s="1">
        <f>'Feeders Raw Data'!BS11</f>
        <v>0</v>
      </c>
      <c r="AY11">
        <f>'Feeders Raw Data'!BT11-'Feeders Raw Data'!B11</f>
        <v>0</v>
      </c>
      <c r="AZ11">
        <f>'Feeders Raw Data'!BU11-'Feeders Raw Data'!C11</f>
        <v>0</v>
      </c>
      <c r="BA11">
        <f>'Feeders Raw Data'!BV11-'Feeders Raw Data'!D11</f>
        <v>0</v>
      </c>
      <c r="BB11">
        <f>'Feeders Raw Data'!BW11-'Feeders Raw Data'!E11</f>
        <v>0</v>
      </c>
      <c r="BC11" t="str">
        <f>'Feeders Raw Data'!CA11&amp;" - "&amp;'Feeders Raw Data'!I11</f>
        <v xml:space="preserve"> - </v>
      </c>
    </row>
    <row r="12" spans="1:55" x14ac:dyDescent="0.25">
      <c r="A12" s="1">
        <f>'Feeders Raw Data'!A12</f>
        <v>0</v>
      </c>
      <c r="B12">
        <f>'Feeders Raw Data'!B12-'Feeders Raw Data'!L12</f>
        <v>0</v>
      </c>
      <c r="C12">
        <f>'Feeders Raw Data'!C12-'Feeders Raw Data'!M12</f>
        <v>0</v>
      </c>
      <c r="D12">
        <f>'Feeders Raw Data'!D12-'Feeders Raw Data'!N12</f>
        <v>0</v>
      </c>
      <c r="E12">
        <f>'Feeders Raw Data'!E12-'Feeders Raw Data'!O12</f>
        <v>0</v>
      </c>
      <c r="F12" t="str">
        <f>'Feeders Raw Data'!I12&amp;" - "&amp;'Feeders Raw Data'!S12</f>
        <v xml:space="preserve"> - </v>
      </c>
      <c r="H12" s="1">
        <f>'Feeders Raw Data'!AE12</f>
        <v>0</v>
      </c>
      <c r="I12">
        <f>'Feeders Raw Data'!AF12-'Feeders Raw Data'!AP12</f>
        <v>0</v>
      </c>
      <c r="J12">
        <f>'Feeders Raw Data'!AG12-'Feeders Raw Data'!AQ12</f>
        <v>0</v>
      </c>
      <c r="K12">
        <f>'Feeders Raw Data'!AH12-'Feeders Raw Data'!AR12</f>
        <v>0</v>
      </c>
      <c r="L12">
        <f>'Feeders Raw Data'!AI12-'Feeders Raw Data'!AS12</f>
        <v>0</v>
      </c>
      <c r="M12" t="str">
        <f>'Feeders Raw Data'!AM12&amp;" - "&amp;'Feeders Raw Data'!AW12</f>
        <v xml:space="preserve"> - </v>
      </c>
      <c r="O12" s="1">
        <f>'Feeders Raw Data'!BI12</f>
        <v>0</v>
      </c>
      <c r="P12">
        <f>'Feeders Raw Data'!BJ12-'Feeders Raw Data'!BT12</f>
        <v>0</v>
      </c>
      <c r="Q12">
        <f>'Feeders Raw Data'!BK12-'Feeders Raw Data'!BU12</f>
        <v>0</v>
      </c>
      <c r="R12">
        <f>'Feeders Raw Data'!BL12-'Feeders Raw Data'!BV12</f>
        <v>0</v>
      </c>
      <c r="S12">
        <f>'Feeders Raw Data'!BM12-'Feeders Raw Data'!BW12</f>
        <v>0</v>
      </c>
      <c r="T12" t="str">
        <f>'Feeders Raw Data'!BQ12&amp;" - "&amp;'Feeders Raw Data'!CA12</f>
        <v xml:space="preserve"> - </v>
      </c>
      <c r="V12" s="1">
        <f>'Feeders Raw Data'!K12</f>
        <v>0</v>
      </c>
      <c r="W12">
        <f>'Feeders Raw Data'!L12-'Feeders Raw Data'!V12</f>
        <v>0</v>
      </c>
      <c r="X12">
        <f>'Feeders Raw Data'!M12-'Feeders Raw Data'!W12</f>
        <v>0</v>
      </c>
      <c r="Y12">
        <f>'Feeders Raw Data'!N12-'Feeders Raw Data'!X12</f>
        <v>0</v>
      </c>
      <c r="Z12">
        <f>'Feeders Raw Data'!O12-'Feeders Raw Data'!Y12</f>
        <v>0</v>
      </c>
      <c r="AA12" t="str">
        <f>'Feeders Raw Data'!S12&amp;" - "&amp;'Feeders Raw Data'!AC12</f>
        <v xml:space="preserve"> - </v>
      </c>
      <c r="AC12" s="1">
        <f>'Feeders Raw Data'!U12</f>
        <v>0</v>
      </c>
      <c r="AD12">
        <f>'Feeders Raw Data'!V12-'Feeders Raw Data'!AF12</f>
        <v>0</v>
      </c>
      <c r="AE12">
        <f>'Feeders Raw Data'!W12-'Feeders Raw Data'!AG12</f>
        <v>0</v>
      </c>
      <c r="AF12">
        <f>'Feeders Raw Data'!X12-'Feeders Raw Data'!AH12</f>
        <v>0</v>
      </c>
      <c r="AG12">
        <f>'Feeders Raw Data'!Y12-'Feeders Raw Data'!AI12</f>
        <v>0</v>
      </c>
      <c r="AH12" t="str">
        <f>'Feeders Raw Data'!AC12&amp;" - "&amp;'Feeders Raw Data'!AM12</f>
        <v xml:space="preserve"> - </v>
      </c>
      <c r="AJ12" s="1">
        <f>'Feeders Raw Data'!AO12</f>
        <v>0</v>
      </c>
      <c r="AK12">
        <f>'Feeders Raw Data'!AP12-'Feeders Raw Data'!AZ12</f>
        <v>0</v>
      </c>
      <c r="AL12">
        <f>'Feeders Raw Data'!AQ12-'Feeders Raw Data'!BA12</f>
        <v>0</v>
      </c>
      <c r="AM12">
        <f>'Feeders Raw Data'!AR12-'Feeders Raw Data'!BB12</f>
        <v>0</v>
      </c>
      <c r="AN12">
        <f>'Feeders Raw Data'!AS12-'Feeders Raw Data'!BC12</f>
        <v>0</v>
      </c>
      <c r="AO12" t="str">
        <f>'Feeders Raw Data'!AW12&amp;" - "&amp;'Feeders Raw Data'!BG12</f>
        <v xml:space="preserve"> - </v>
      </c>
      <c r="AQ12" s="1">
        <f>'Feeders Raw Data'!AY12</f>
        <v>0</v>
      </c>
      <c r="AR12">
        <f>'Feeders Raw Data'!AZ12-'Feeders Raw Data'!BJ12</f>
        <v>0</v>
      </c>
      <c r="AS12">
        <f>'Feeders Raw Data'!BA12-'Feeders Raw Data'!BK12</f>
        <v>0</v>
      </c>
      <c r="AT12">
        <f>'Feeders Raw Data'!BB12-'Feeders Raw Data'!BL12</f>
        <v>0</v>
      </c>
      <c r="AU12">
        <f>'Feeders Raw Data'!BC12-'Feeders Raw Data'!BM12</f>
        <v>0</v>
      </c>
      <c r="AV12" t="str">
        <f>'Feeders Raw Data'!BG12&amp;" - "&amp;'Feeders Raw Data'!BQ12</f>
        <v xml:space="preserve"> - </v>
      </c>
      <c r="AX12" s="1">
        <f>'Feeders Raw Data'!BS12</f>
        <v>0</v>
      </c>
      <c r="AY12">
        <f>'Feeders Raw Data'!BT12-'Feeders Raw Data'!B12</f>
        <v>0</v>
      </c>
      <c r="AZ12">
        <f>'Feeders Raw Data'!BU12-'Feeders Raw Data'!C12</f>
        <v>0</v>
      </c>
      <c r="BA12">
        <f>'Feeders Raw Data'!BV12-'Feeders Raw Data'!D12</f>
        <v>0</v>
      </c>
      <c r="BB12">
        <f>'Feeders Raw Data'!BW12-'Feeders Raw Data'!E12</f>
        <v>0</v>
      </c>
      <c r="BC12" t="str">
        <f>'Feeders Raw Data'!CA12&amp;" - "&amp;'Feeders Raw Data'!I12</f>
        <v xml:space="preserve"> - </v>
      </c>
    </row>
    <row r="13" spans="1:55" x14ac:dyDescent="0.25">
      <c r="A13" s="1">
        <f>'Feeders Raw Data'!A13</f>
        <v>0</v>
      </c>
      <c r="B13">
        <f>'Feeders Raw Data'!B13-'Feeders Raw Data'!L13</f>
        <v>0</v>
      </c>
      <c r="C13">
        <f>'Feeders Raw Data'!C13-'Feeders Raw Data'!M13</f>
        <v>0</v>
      </c>
      <c r="D13">
        <f>'Feeders Raw Data'!D13-'Feeders Raw Data'!N13</f>
        <v>0</v>
      </c>
      <c r="E13">
        <f>'Feeders Raw Data'!E13-'Feeders Raw Data'!O13</f>
        <v>0</v>
      </c>
      <c r="F13" t="str">
        <f>'Feeders Raw Data'!I13&amp;" - "&amp;'Feeders Raw Data'!S13</f>
        <v xml:space="preserve"> - </v>
      </c>
      <c r="H13" s="1">
        <f>'Feeders Raw Data'!AE13</f>
        <v>0</v>
      </c>
      <c r="I13">
        <f>'Feeders Raw Data'!AF13-'Feeders Raw Data'!AP13</f>
        <v>0</v>
      </c>
      <c r="J13">
        <f>'Feeders Raw Data'!AG13-'Feeders Raw Data'!AQ13</f>
        <v>0</v>
      </c>
      <c r="K13">
        <f>'Feeders Raw Data'!AH13-'Feeders Raw Data'!AR13</f>
        <v>0</v>
      </c>
      <c r="L13">
        <f>'Feeders Raw Data'!AI13-'Feeders Raw Data'!AS13</f>
        <v>0</v>
      </c>
      <c r="M13" t="str">
        <f>'Feeders Raw Data'!AM13&amp;" - "&amp;'Feeders Raw Data'!AW13</f>
        <v xml:space="preserve"> - </v>
      </c>
      <c r="O13" s="1">
        <f>'Feeders Raw Data'!BI13</f>
        <v>0</v>
      </c>
      <c r="P13">
        <f>'Feeders Raw Data'!BJ13-'Feeders Raw Data'!BT13</f>
        <v>0</v>
      </c>
      <c r="Q13">
        <f>'Feeders Raw Data'!BK13-'Feeders Raw Data'!BU13</f>
        <v>0</v>
      </c>
      <c r="R13">
        <f>'Feeders Raw Data'!BL13-'Feeders Raw Data'!BV13</f>
        <v>0</v>
      </c>
      <c r="S13">
        <f>'Feeders Raw Data'!BM13-'Feeders Raw Data'!BW13</f>
        <v>0</v>
      </c>
      <c r="T13" t="str">
        <f>'Feeders Raw Data'!BQ13&amp;" - "&amp;'Feeders Raw Data'!CA13</f>
        <v xml:space="preserve"> - </v>
      </c>
      <c r="V13" s="1">
        <f>'Feeders Raw Data'!K13</f>
        <v>0</v>
      </c>
      <c r="W13">
        <f>'Feeders Raw Data'!L13-'Feeders Raw Data'!V13</f>
        <v>0</v>
      </c>
      <c r="X13">
        <f>'Feeders Raw Data'!M13-'Feeders Raw Data'!W13</f>
        <v>0</v>
      </c>
      <c r="Y13">
        <f>'Feeders Raw Data'!N13-'Feeders Raw Data'!X13</f>
        <v>0</v>
      </c>
      <c r="Z13">
        <f>'Feeders Raw Data'!O13-'Feeders Raw Data'!Y13</f>
        <v>0</v>
      </c>
      <c r="AA13" t="str">
        <f>'Feeders Raw Data'!S13&amp;" - "&amp;'Feeders Raw Data'!AC13</f>
        <v xml:space="preserve"> - </v>
      </c>
      <c r="AC13" s="1">
        <f>'Feeders Raw Data'!U13</f>
        <v>0</v>
      </c>
      <c r="AD13">
        <f>'Feeders Raw Data'!V13-'Feeders Raw Data'!AF13</f>
        <v>0</v>
      </c>
      <c r="AE13">
        <f>'Feeders Raw Data'!W13-'Feeders Raw Data'!AG13</f>
        <v>0</v>
      </c>
      <c r="AF13">
        <f>'Feeders Raw Data'!X13-'Feeders Raw Data'!AH13</f>
        <v>0</v>
      </c>
      <c r="AG13">
        <f>'Feeders Raw Data'!Y13-'Feeders Raw Data'!AI13</f>
        <v>0</v>
      </c>
      <c r="AH13" t="str">
        <f>'Feeders Raw Data'!AC13&amp;" - "&amp;'Feeders Raw Data'!AM13</f>
        <v xml:space="preserve"> - </v>
      </c>
      <c r="AJ13" s="1">
        <f>'Feeders Raw Data'!AO13</f>
        <v>0</v>
      </c>
      <c r="AK13">
        <f>'Feeders Raw Data'!AP13-'Feeders Raw Data'!AZ13</f>
        <v>0</v>
      </c>
      <c r="AL13">
        <f>'Feeders Raw Data'!AQ13-'Feeders Raw Data'!BA13</f>
        <v>0</v>
      </c>
      <c r="AM13">
        <f>'Feeders Raw Data'!AR13-'Feeders Raw Data'!BB13</f>
        <v>0</v>
      </c>
      <c r="AN13">
        <f>'Feeders Raw Data'!AS13-'Feeders Raw Data'!BC13</f>
        <v>0</v>
      </c>
      <c r="AO13" t="str">
        <f>'Feeders Raw Data'!AW13&amp;" - "&amp;'Feeders Raw Data'!BG13</f>
        <v xml:space="preserve"> - </v>
      </c>
      <c r="AQ13" s="1">
        <f>'Feeders Raw Data'!AY13</f>
        <v>0</v>
      </c>
      <c r="AR13">
        <f>'Feeders Raw Data'!AZ13-'Feeders Raw Data'!BJ13</f>
        <v>0</v>
      </c>
      <c r="AS13">
        <f>'Feeders Raw Data'!BA13-'Feeders Raw Data'!BK13</f>
        <v>0</v>
      </c>
      <c r="AT13">
        <f>'Feeders Raw Data'!BB13-'Feeders Raw Data'!BL13</f>
        <v>0</v>
      </c>
      <c r="AU13">
        <f>'Feeders Raw Data'!BC13-'Feeders Raw Data'!BM13</f>
        <v>0</v>
      </c>
      <c r="AV13" t="str">
        <f>'Feeders Raw Data'!BG13&amp;" - "&amp;'Feeders Raw Data'!BQ13</f>
        <v xml:space="preserve"> - </v>
      </c>
      <c r="AX13" s="1">
        <f>'Feeders Raw Data'!BS13</f>
        <v>0</v>
      </c>
      <c r="AY13">
        <f>'Feeders Raw Data'!BT13-'Feeders Raw Data'!B13</f>
        <v>0</v>
      </c>
      <c r="AZ13">
        <f>'Feeders Raw Data'!BU13-'Feeders Raw Data'!C13</f>
        <v>0</v>
      </c>
      <c r="BA13">
        <f>'Feeders Raw Data'!BV13-'Feeders Raw Data'!D13</f>
        <v>0</v>
      </c>
      <c r="BB13">
        <f>'Feeders Raw Data'!BW13-'Feeders Raw Data'!E13</f>
        <v>0</v>
      </c>
      <c r="BC13" t="str">
        <f>'Feeders Raw Data'!CA13&amp;" - "&amp;'Feeders Raw Data'!I13</f>
        <v xml:space="preserve"> - </v>
      </c>
    </row>
    <row r="14" spans="1:55" x14ac:dyDescent="0.25">
      <c r="A14" s="1">
        <f>'Feeders Raw Data'!A14</f>
        <v>0</v>
      </c>
      <c r="B14">
        <f>'Feeders Raw Data'!B14-'Feeders Raw Data'!L14</f>
        <v>0</v>
      </c>
      <c r="C14">
        <f>'Feeders Raw Data'!C14-'Feeders Raw Data'!M14</f>
        <v>0</v>
      </c>
      <c r="D14">
        <f>'Feeders Raw Data'!D14-'Feeders Raw Data'!N14</f>
        <v>0</v>
      </c>
      <c r="E14">
        <f>'Feeders Raw Data'!E14-'Feeders Raw Data'!O14</f>
        <v>0</v>
      </c>
      <c r="F14" t="str">
        <f>'Feeders Raw Data'!I14&amp;" - "&amp;'Feeders Raw Data'!S14</f>
        <v xml:space="preserve"> - </v>
      </c>
      <c r="H14" s="1">
        <f>'Feeders Raw Data'!AE14</f>
        <v>0</v>
      </c>
      <c r="I14">
        <f>'Feeders Raw Data'!AF14-'Feeders Raw Data'!AP14</f>
        <v>0</v>
      </c>
      <c r="J14">
        <f>'Feeders Raw Data'!AG14-'Feeders Raw Data'!AQ14</f>
        <v>0</v>
      </c>
      <c r="K14">
        <f>'Feeders Raw Data'!AH14-'Feeders Raw Data'!AR14</f>
        <v>0</v>
      </c>
      <c r="L14">
        <f>'Feeders Raw Data'!AI14-'Feeders Raw Data'!AS14</f>
        <v>0</v>
      </c>
      <c r="M14" t="str">
        <f>'Feeders Raw Data'!AM14&amp;" - "&amp;'Feeders Raw Data'!AW14</f>
        <v xml:space="preserve"> - </v>
      </c>
      <c r="O14" s="1">
        <f>'Feeders Raw Data'!BI14</f>
        <v>0</v>
      </c>
      <c r="P14">
        <f>'Feeders Raw Data'!BJ14-'Feeders Raw Data'!BT14</f>
        <v>0</v>
      </c>
      <c r="Q14">
        <f>'Feeders Raw Data'!BK14-'Feeders Raw Data'!BU14</f>
        <v>0</v>
      </c>
      <c r="R14">
        <f>'Feeders Raw Data'!BL14-'Feeders Raw Data'!BV14</f>
        <v>0</v>
      </c>
      <c r="S14">
        <f>'Feeders Raw Data'!BM14-'Feeders Raw Data'!BW14</f>
        <v>0</v>
      </c>
      <c r="T14" t="str">
        <f>'Feeders Raw Data'!BQ14&amp;" - "&amp;'Feeders Raw Data'!CA14</f>
        <v xml:space="preserve"> - </v>
      </c>
      <c r="V14" s="1">
        <f>'Feeders Raw Data'!K14</f>
        <v>0</v>
      </c>
      <c r="W14">
        <f>'Feeders Raw Data'!L14-'Feeders Raw Data'!V14</f>
        <v>0</v>
      </c>
      <c r="X14">
        <f>'Feeders Raw Data'!M14-'Feeders Raw Data'!W14</f>
        <v>0</v>
      </c>
      <c r="Y14">
        <f>'Feeders Raw Data'!N14-'Feeders Raw Data'!X14</f>
        <v>0</v>
      </c>
      <c r="Z14">
        <f>'Feeders Raw Data'!O14-'Feeders Raw Data'!Y14</f>
        <v>0</v>
      </c>
      <c r="AA14" t="str">
        <f>'Feeders Raw Data'!S14&amp;" - "&amp;'Feeders Raw Data'!AC14</f>
        <v xml:space="preserve"> - </v>
      </c>
      <c r="AC14" s="1">
        <f>'Feeders Raw Data'!U14</f>
        <v>0</v>
      </c>
      <c r="AD14">
        <f>'Feeders Raw Data'!V14-'Feeders Raw Data'!AF14</f>
        <v>0</v>
      </c>
      <c r="AE14">
        <f>'Feeders Raw Data'!W14-'Feeders Raw Data'!AG14</f>
        <v>0</v>
      </c>
      <c r="AF14">
        <f>'Feeders Raw Data'!X14-'Feeders Raw Data'!AH14</f>
        <v>0</v>
      </c>
      <c r="AG14">
        <f>'Feeders Raw Data'!Y14-'Feeders Raw Data'!AI14</f>
        <v>0</v>
      </c>
      <c r="AH14" t="str">
        <f>'Feeders Raw Data'!AC14&amp;" - "&amp;'Feeders Raw Data'!AM14</f>
        <v xml:space="preserve"> - </v>
      </c>
      <c r="AJ14" s="1">
        <f>'Feeders Raw Data'!AO14</f>
        <v>0</v>
      </c>
      <c r="AK14">
        <f>'Feeders Raw Data'!AP14-'Feeders Raw Data'!AZ14</f>
        <v>0</v>
      </c>
      <c r="AL14">
        <f>'Feeders Raw Data'!AQ14-'Feeders Raw Data'!BA14</f>
        <v>0</v>
      </c>
      <c r="AM14">
        <f>'Feeders Raw Data'!AR14-'Feeders Raw Data'!BB14</f>
        <v>0</v>
      </c>
      <c r="AN14">
        <f>'Feeders Raw Data'!AS14-'Feeders Raw Data'!BC14</f>
        <v>0</v>
      </c>
      <c r="AO14" t="str">
        <f>'Feeders Raw Data'!AW14&amp;" - "&amp;'Feeders Raw Data'!BG14</f>
        <v xml:space="preserve"> - </v>
      </c>
      <c r="AQ14" s="1">
        <f>'Feeders Raw Data'!AY14</f>
        <v>0</v>
      </c>
      <c r="AR14">
        <f>'Feeders Raw Data'!AZ14-'Feeders Raw Data'!BJ14</f>
        <v>0</v>
      </c>
      <c r="AS14">
        <f>'Feeders Raw Data'!BA14-'Feeders Raw Data'!BK14</f>
        <v>0</v>
      </c>
      <c r="AT14">
        <f>'Feeders Raw Data'!BB14-'Feeders Raw Data'!BL14</f>
        <v>0</v>
      </c>
      <c r="AU14">
        <f>'Feeders Raw Data'!BC14-'Feeders Raw Data'!BM14</f>
        <v>0</v>
      </c>
      <c r="AV14" t="str">
        <f>'Feeders Raw Data'!BG14&amp;" - "&amp;'Feeders Raw Data'!BQ14</f>
        <v xml:space="preserve"> - </v>
      </c>
      <c r="AX14" s="1">
        <f>'Feeders Raw Data'!BS14</f>
        <v>0</v>
      </c>
      <c r="AY14">
        <f>'Feeders Raw Data'!BT14-'Feeders Raw Data'!B14</f>
        <v>0</v>
      </c>
      <c r="AZ14">
        <f>'Feeders Raw Data'!BU14-'Feeders Raw Data'!C14</f>
        <v>0</v>
      </c>
      <c r="BA14">
        <f>'Feeders Raw Data'!BV14-'Feeders Raw Data'!D14</f>
        <v>0</v>
      </c>
      <c r="BB14">
        <f>'Feeders Raw Data'!BW14-'Feeders Raw Data'!E14</f>
        <v>0</v>
      </c>
      <c r="BC14" t="str">
        <f>'Feeders Raw Data'!CA14&amp;" - "&amp;'Feeders Raw Data'!I14</f>
        <v xml:space="preserve"> - </v>
      </c>
    </row>
    <row r="15" spans="1:55" x14ac:dyDescent="0.25">
      <c r="A15" s="1">
        <f>'Feeders Raw Data'!A15</f>
        <v>0</v>
      </c>
      <c r="B15">
        <f>'Feeders Raw Data'!B15-'Feeders Raw Data'!L15</f>
        <v>0</v>
      </c>
      <c r="C15">
        <f>'Feeders Raw Data'!C15-'Feeders Raw Data'!M15</f>
        <v>0</v>
      </c>
      <c r="D15">
        <f>'Feeders Raw Data'!D15-'Feeders Raw Data'!N15</f>
        <v>0</v>
      </c>
      <c r="E15">
        <f>'Feeders Raw Data'!E15-'Feeders Raw Data'!O15</f>
        <v>0</v>
      </c>
      <c r="F15" t="str">
        <f>'Feeders Raw Data'!I15&amp;" - "&amp;'Feeders Raw Data'!S15</f>
        <v xml:space="preserve"> - </v>
      </c>
      <c r="H15" s="1">
        <f>'Feeders Raw Data'!AE15</f>
        <v>0</v>
      </c>
      <c r="I15">
        <f>'Feeders Raw Data'!AF15-'Feeders Raw Data'!AP15</f>
        <v>0</v>
      </c>
      <c r="J15">
        <f>'Feeders Raw Data'!AG15-'Feeders Raw Data'!AQ15</f>
        <v>0</v>
      </c>
      <c r="K15">
        <f>'Feeders Raw Data'!AH15-'Feeders Raw Data'!AR15</f>
        <v>0</v>
      </c>
      <c r="L15">
        <f>'Feeders Raw Data'!AI15-'Feeders Raw Data'!AS15</f>
        <v>0</v>
      </c>
      <c r="M15" t="str">
        <f>'Feeders Raw Data'!AM15&amp;" - "&amp;'Feeders Raw Data'!AW15</f>
        <v xml:space="preserve"> - </v>
      </c>
      <c r="O15" s="1">
        <f>'Feeders Raw Data'!BI15</f>
        <v>0</v>
      </c>
      <c r="P15">
        <f>'Feeders Raw Data'!BJ15-'Feeders Raw Data'!BT15</f>
        <v>0</v>
      </c>
      <c r="Q15">
        <f>'Feeders Raw Data'!BK15-'Feeders Raw Data'!BU15</f>
        <v>0</v>
      </c>
      <c r="R15">
        <f>'Feeders Raw Data'!BL15-'Feeders Raw Data'!BV15</f>
        <v>0</v>
      </c>
      <c r="S15">
        <f>'Feeders Raw Data'!BM15-'Feeders Raw Data'!BW15</f>
        <v>0</v>
      </c>
      <c r="T15" t="str">
        <f>'Feeders Raw Data'!BQ15&amp;" - "&amp;'Feeders Raw Data'!CA15</f>
        <v xml:space="preserve"> - </v>
      </c>
      <c r="V15" s="1">
        <f>'Feeders Raw Data'!K15</f>
        <v>0</v>
      </c>
      <c r="W15">
        <f>'Feeders Raw Data'!L15-'Feeders Raw Data'!V15</f>
        <v>0</v>
      </c>
      <c r="X15">
        <f>'Feeders Raw Data'!M15-'Feeders Raw Data'!W15</f>
        <v>0</v>
      </c>
      <c r="Y15">
        <f>'Feeders Raw Data'!N15-'Feeders Raw Data'!X15</f>
        <v>0</v>
      </c>
      <c r="Z15">
        <f>'Feeders Raw Data'!O15-'Feeders Raw Data'!Y15</f>
        <v>0</v>
      </c>
      <c r="AA15" t="str">
        <f>'Feeders Raw Data'!S15&amp;" - "&amp;'Feeders Raw Data'!AC15</f>
        <v xml:space="preserve"> - </v>
      </c>
      <c r="AC15" s="1">
        <f>'Feeders Raw Data'!U15</f>
        <v>0</v>
      </c>
      <c r="AD15">
        <f>'Feeders Raw Data'!V15-'Feeders Raw Data'!AF15</f>
        <v>0</v>
      </c>
      <c r="AE15">
        <f>'Feeders Raw Data'!W15-'Feeders Raw Data'!AG15</f>
        <v>0</v>
      </c>
      <c r="AF15">
        <f>'Feeders Raw Data'!X15-'Feeders Raw Data'!AH15</f>
        <v>0</v>
      </c>
      <c r="AG15">
        <f>'Feeders Raw Data'!Y15-'Feeders Raw Data'!AI15</f>
        <v>0</v>
      </c>
      <c r="AH15" t="str">
        <f>'Feeders Raw Data'!AC15&amp;" - "&amp;'Feeders Raw Data'!AM15</f>
        <v xml:space="preserve"> - </v>
      </c>
      <c r="AJ15" s="1">
        <f>'Feeders Raw Data'!AO15</f>
        <v>0</v>
      </c>
      <c r="AK15">
        <f>'Feeders Raw Data'!AP15-'Feeders Raw Data'!AZ15</f>
        <v>0</v>
      </c>
      <c r="AL15">
        <f>'Feeders Raw Data'!AQ15-'Feeders Raw Data'!BA15</f>
        <v>0</v>
      </c>
      <c r="AM15">
        <f>'Feeders Raw Data'!AR15-'Feeders Raw Data'!BB15</f>
        <v>0</v>
      </c>
      <c r="AN15">
        <f>'Feeders Raw Data'!AS15-'Feeders Raw Data'!BC15</f>
        <v>0</v>
      </c>
      <c r="AO15" t="str">
        <f>'Feeders Raw Data'!AW15&amp;" - "&amp;'Feeders Raw Data'!BG15</f>
        <v xml:space="preserve"> - </v>
      </c>
      <c r="AQ15" s="1">
        <f>'Feeders Raw Data'!AY15</f>
        <v>0</v>
      </c>
      <c r="AR15">
        <f>'Feeders Raw Data'!AZ15-'Feeders Raw Data'!BJ15</f>
        <v>0</v>
      </c>
      <c r="AS15">
        <f>'Feeders Raw Data'!BA15-'Feeders Raw Data'!BK15</f>
        <v>0</v>
      </c>
      <c r="AT15">
        <f>'Feeders Raw Data'!BB15-'Feeders Raw Data'!BL15</f>
        <v>0</v>
      </c>
      <c r="AU15">
        <f>'Feeders Raw Data'!BC15-'Feeders Raw Data'!BM15</f>
        <v>0</v>
      </c>
      <c r="AV15" t="str">
        <f>'Feeders Raw Data'!BG15&amp;" - "&amp;'Feeders Raw Data'!BQ15</f>
        <v xml:space="preserve"> - </v>
      </c>
      <c r="AX15" s="1">
        <f>'Feeders Raw Data'!BS15</f>
        <v>0</v>
      </c>
      <c r="AY15">
        <f>'Feeders Raw Data'!BT15-'Feeders Raw Data'!B15</f>
        <v>0</v>
      </c>
      <c r="AZ15">
        <f>'Feeders Raw Data'!BU15-'Feeders Raw Data'!C15</f>
        <v>0</v>
      </c>
      <c r="BA15">
        <f>'Feeders Raw Data'!BV15-'Feeders Raw Data'!D15</f>
        <v>0</v>
      </c>
      <c r="BB15">
        <f>'Feeders Raw Data'!BW15-'Feeders Raw Data'!E15</f>
        <v>0</v>
      </c>
      <c r="BC15" t="str">
        <f>'Feeders Raw Data'!CA15&amp;" - "&amp;'Feeders Raw Data'!I15</f>
        <v xml:space="preserve"> - </v>
      </c>
    </row>
    <row r="16" spans="1:55" x14ac:dyDescent="0.25">
      <c r="A16" s="1">
        <f>'Feeders Raw Data'!A16</f>
        <v>0</v>
      </c>
      <c r="B16">
        <f>'Feeders Raw Data'!B16-'Feeders Raw Data'!L16</f>
        <v>0</v>
      </c>
      <c r="C16">
        <f>'Feeders Raw Data'!C16-'Feeders Raw Data'!M16</f>
        <v>0</v>
      </c>
      <c r="D16">
        <f>'Feeders Raw Data'!D16-'Feeders Raw Data'!N16</f>
        <v>0</v>
      </c>
      <c r="E16">
        <f>'Feeders Raw Data'!E16-'Feeders Raw Data'!O16</f>
        <v>0</v>
      </c>
      <c r="F16" t="str">
        <f>'Feeders Raw Data'!I16&amp;" - "&amp;'Feeders Raw Data'!S16</f>
        <v xml:space="preserve"> - </v>
      </c>
      <c r="H16" s="1">
        <f>'Feeders Raw Data'!AE16</f>
        <v>0</v>
      </c>
      <c r="I16">
        <f>'Feeders Raw Data'!AF16-'Feeders Raw Data'!AP16</f>
        <v>0</v>
      </c>
      <c r="J16">
        <f>'Feeders Raw Data'!AG16-'Feeders Raw Data'!AQ16</f>
        <v>0</v>
      </c>
      <c r="K16">
        <f>'Feeders Raw Data'!AH16-'Feeders Raw Data'!AR16</f>
        <v>0</v>
      </c>
      <c r="L16">
        <f>'Feeders Raw Data'!AI16-'Feeders Raw Data'!AS16</f>
        <v>0</v>
      </c>
      <c r="M16" t="str">
        <f>'Feeders Raw Data'!AM16&amp;" - "&amp;'Feeders Raw Data'!AW16</f>
        <v xml:space="preserve"> - </v>
      </c>
      <c r="O16" s="1">
        <f>'Feeders Raw Data'!BI16</f>
        <v>0</v>
      </c>
      <c r="P16">
        <f>'Feeders Raw Data'!BJ16-'Feeders Raw Data'!BT16</f>
        <v>0</v>
      </c>
      <c r="Q16">
        <f>'Feeders Raw Data'!BK16-'Feeders Raw Data'!BU16</f>
        <v>0</v>
      </c>
      <c r="R16">
        <f>'Feeders Raw Data'!BL16-'Feeders Raw Data'!BV16</f>
        <v>0</v>
      </c>
      <c r="S16">
        <f>'Feeders Raw Data'!BM16-'Feeders Raw Data'!BW16</f>
        <v>0</v>
      </c>
      <c r="T16" t="str">
        <f>'Feeders Raw Data'!BQ16&amp;" - "&amp;'Feeders Raw Data'!CA16</f>
        <v xml:space="preserve"> - </v>
      </c>
      <c r="V16" s="1">
        <f>'Feeders Raw Data'!K16</f>
        <v>0</v>
      </c>
      <c r="W16">
        <f>'Feeders Raw Data'!L16-'Feeders Raw Data'!V16</f>
        <v>0</v>
      </c>
      <c r="X16">
        <f>'Feeders Raw Data'!M16-'Feeders Raw Data'!W16</f>
        <v>0</v>
      </c>
      <c r="Y16">
        <f>'Feeders Raw Data'!N16-'Feeders Raw Data'!X16</f>
        <v>0</v>
      </c>
      <c r="Z16">
        <f>'Feeders Raw Data'!O16-'Feeders Raw Data'!Y16</f>
        <v>0</v>
      </c>
      <c r="AA16" t="str">
        <f>'Feeders Raw Data'!S16&amp;" - "&amp;'Feeders Raw Data'!AC16</f>
        <v xml:space="preserve"> - </v>
      </c>
      <c r="AC16" s="1">
        <f>'Feeders Raw Data'!U16</f>
        <v>0</v>
      </c>
      <c r="AD16">
        <f>'Feeders Raw Data'!V16-'Feeders Raw Data'!AF16</f>
        <v>0</v>
      </c>
      <c r="AE16">
        <f>'Feeders Raw Data'!W16-'Feeders Raw Data'!AG16</f>
        <v>0</v>
      </c>
      <c r="AF16">
        <f>'Feeders Raw Data'!X16-'Feeders Raw Data'!AH16</f>
        <v>0</v>
      </c>
      <c r="AG16">
        <f>'Feeders Raw Data'!Y16-'Feeders Raw Data'!AI16</f>
        <v>0</v>
      </c>
      <c r="AH16" t="str">
        <f>'Feeders Raw Data'!AC16&amp;" - "&amp;'Feeders Raw Data'!AM16</f>
        <v xml:space="preserve"> - </v>
      </c>
      <c r="AJ16" s="1">
        <f>'Feeders Raw Data'!AO16</f>
        <v>0</v>
      </c>
      <c r="AK16">
        <f>'Feeders Raw Data'!AP16-'Feeders Raw Data'!AZ16</f>
        <v>0</v>
      </c>
      <c r="AL16">
        <f>'Feeders Raw Data'!AQ16-'Feeders Raw Data'!BA16</f>
        <v>0</v>
      </c>
      <c r="AM16">
        <f>'Feeders Raw Data'!AR16-'Feeders Raw Data'!BB16</f>
        <v>0</v>
      </c>
      <c r="AN16">
        <f>'Feeders Raw Data'!AS16-'Feeders Raw Data'!BC16</f>
        <v>0</v>
      </c>
      <c r="AO16" t="str">
        <f>'Feeders Raw Data'!AW16&amp;" - "&amp;'Feeders Raw Data'!BG16</f>
        <v xml:space="preserve"> - </v>
      </c>
      <c r="AQ16" s="1">
        <f>'Feeders Raw Data'!AY16</f>
        <v>0</v>
      </c>
      <c r="AR16">
        <f>'Feeders Raw Data'!AZ16-'Feeders Raw Data'!BJ16</f>
        <v>0</v>
      </c>
      <c r="AS16">
        <f>'Feeders Raw Data'!BA16-'Feeders Raw Data'!BK16</f>
        <v>0</v>
      </c>
      <c r="AT16">
        <f>'Feeders Raw Data'!BB16-'Feeders Raw Data'!BL16</f>
        <v>0</v>
      </c>
      <c r="AU16">
        <f>'Feeders Raw Data'!BC16-'Feeders Raw Data'!BM16</f>
        <v>0</v>
      </c>
      <c r="AV16" t="str">
        <f>'Feeders Raw Data'!BG16&amp;" - "&amp;'Feeders Raw Data'!BQ16</f>
        <v xml:space="preserve"> - </v>
      </c>
      <c r="AX16" s="1">
        <f>'Feeders Raw Data'!BS16</f>
        <v>0</v>
      </c>
      <c r="AY16">
        <f>'Feeders Raw Data'!BT16-'Feeders Raw Data'!B16</f>
        <v>0</v>
      </c>
      <c r="AZ16">
        <f>'Feeders Raw Data'!BU16-'Feeders Raw Data'!C16</f>
        <v>0</v>
      </c>
      <c r="BA16">
        <f>'Feeders Raw Data'!BV16-'Feeders Raw Data'!D16</f>
        <v>0</v>
      </c>
      <c r="BB16">
        <f>'Feeders Raw Data'!BW16-'Feeders Raw Data'!E16</f>
        <v>0</v>
      </c>
      <c r="BC16" t="str">
        <f>'Feeders Raw Data'!CA16&amp;" - "&amp;'Feeders Raw Data'!I16</f>
        <v xml:space="preserve"> - </v>
      </c>
    </row>
    <row r="17" spans="1:55" x14ac:dyDescent="0.25">
      <c r="A17" s="1">
        <f>'Feeders Raw Data'!A17</f>
        <v>0</v>
      </c>
      <c r="B17">
        <f>'Feeders Raw Data'!B17-'Feeders Raw Data'!L17</f>
        <v>0</v>
      </c>
      <c r="C17">
        <f>'Feeders Raw Data'!C17-'Feeders Raw Data'!M17</f>
        <v>0</v>
      </c>
      <c r="D17">
        <f>'Feeders Raw Data'!D17-'Feeders Raw Data'!N17</f>
        <v>0</v>
      </c>
      <c r="E17">
        <f>'Feeders Raw Data'!E17-'Feeders Raw Data'!O17</f>
        <v>0</v>
      </c>
      <c r="F17" t="str">
        <f>'Feeders Raw Data'!I17&amp;" - "&amp;'Feeders Raw Data'!S17</f>
        <v xml:space="preserve"> - </v>
      </c>
      <c r="H17" s="1">
        <f>'Feeders Raw Data'!AE17</f>
        <v>0</v>
      </c>
      <c r="I17">
        <f>'Feeders Raw Data'!AF17-'Feeders Raw Data'!AP17</f>
        <v>0</v>
      </c>
      <c r="J17">
        <f>'Feeders Raw Data'!AG17-'Feeders Raw Data'!AQ17</f>
        <v>0</v>
      </c>
      <c r="K17">
        <f>'Feeders Raw Data'!AH17-'Feeders Raw Data'!AR17</f>
        <v>0</v>
      </c>
      <c r="L17">
        <f>'Feeders Raw Data'!AI17-'Feeders Raw Data'!AS17</f>
        <v>0</v>
      </c>
      <c r="M17" t="str">
        <f>'Feeders Raw Data'!AM17&amp;" - "&amp;'Feeders Raw Data'!AW17</f>
        <v xml:space="preserve"> - </v>
      </c>
      <c r="O17" s="1">
        <f>'Feeders Raw Data'!BI17</f>
        <v>0</v>
      </c>
      <c r="P17">
        <f>'Feeders Raw Data'!BJ17-'Feeders Raw Data'!BT17</f>
        <v>0</v>
      </c>
      <c r="Q17">
        <f>'Feeders Raw Data'!BK17-'Feeders Raw Data'!BU17</f>
        <v>0</v>
      </c>
      <c r="R17">
        <f>'Feeders Raw Data'!BL17-'Feeders Raw Data'!BV17</f>
        <v>0</v>
      </c>
      <c r="S17">
        <f>'Feeders Raw Data'!BM17-'Feeders Raw Data'!BW17</f>
        <v>0</v>
      </c>
      <c r="T17" t="str">
        <f>'Feeders Raw Data'!BQ17&amp;" - "&amp;'Feeders Raw Data'!CA17</f>
        <v xml:space="preserve"> - </v>
      </c>
      <c r="V17" s="1">
        <f>'Feeders Raw Data'!K17</f>
        <v>0</v>
      </c>
      <c r="W17">
        <f>'Feeders Raw Data'!L17-'Feeders Raw Data'!V17</f>
        <v>0</v>
      </c>
      <c r="X17">
        <f>'Feeders Raw Data'!M17-'Feeders Raw Data'!W17</f>
        <v>0</v>
      </c>
      <c r="Y17">
        <f>'Feeders Raw Data'!N17-'Feeders Raw Data'!X17</f>
        <v>0</v>
      </c>
      <c r="Z17">
        <f>'Feeders Raw Data'!O17-'Feeders Raw Data'!Y17</f>
        <v>0</v>
      </c>
      <c r="AA17" t="str">
        <f>'Feeders Raw Data'!S17&amp;" - "&amp;'Feeders Raw Data'!AC17</f>
        <v xml:space="preserve"> - </v>
      </c>
      <c r="AC17" s="1">
        <f>'Feeders Raw Data'!U17</f>
        <v>0</v>
      </c>
      <c r="AD17">
        <f>'Feeders Raw Data'!V17-'Feeders Raw Data'!AF17</f>
        <v>0</v>
      </c>
      <c r="AE17">
        <f>'Feeders Raw Data'!W17-'Feeders Raw Data'!AG17</f>
        <v>0</v>
      </c>
      <c r="AF17">
        <f>'Feeders Raw Data'!X17-'Feeders Raw Data'!AH17</f>
        <v>0</v>
      </c>
      <c r="AG17">
        <f>'Feeders Raw Data'!Y17-'Feeders Raw Data'!AI17</f>
        <v>0</v>
      </c>
      <c r="AH17" t="str">
        <f>'Feeders Raw Data'!AC17&amp;" - "&amp;'Feeders Raw Data'!AM17</f>
        <v xml:space="preserve"> - </v>
      </c>
      <c r="AJ17" s="1">
        <f>'Feeders Raw Data'!AO17</f>
        <v>0</v>
      </c>
      <c r="AK17">
        <f>'Feeders Raw Data'!AP17-'Feeders Raw Data'!AZ17</f>
        <v>0</v>
      </c>
      <c r="AL17">
        <f>'Feeders Raw Data'!AQ17-'Feeders Raw Data'!BA17</f>
        <v>0</v>
      </c>
      <c r="AM17">
        <f>'Feeders Raw Data'!AR17-'Feeders Raw Data'!BB17</f>
        <v>0</v>
      </c>
      <c r="AN17">
        <f>'Feeders Raw Data'!AS17-'Feeders Raw Data'!BC17</f>
        <v>0</v>
      </c>
      <c r="AO17" t="str">
        <f>'Feeders Raw Data'!AW17&amp;" - "&amp;'Feeders Raw Data'!BG17</f>
        <v xml:space="preserve"> - </v>
      </c>
      <c r="AQ17" s="1">
        <f>'Feeders Raw Data'!AY17</f>
        <v>0</v>
      </c>
      <c r="AR17">
        <f>'Feeders Raw Data'!AZ17-'Feeders Raw Data'!BJ17</f>
        <v>0</v>
      </c>
      <c r="AS17">
        <f>'Feeders Raw Data'!BA17-'Feeders Raw Data'!BK17</f>
        <v>0</v>
      </c>
      <c r="AT17">
        <f>'Feeders Raw Data'!BB17-'Feeders Raw Data'!BL17</f>
        <v>0</v>
      </c>
      <c r="AU17">
        <f>'Feeders Raw Data'!BC17-'Feeders Raw Data'!BM17</f>
        <v>0</v>
      </c>
      <c r="AV17" t="str">
        <f>'Feeders Raw Data'!BG17&amp;" - "&amp;'Feeders Raw Data'!BQ17</f>
        <v xml:space="preserve"> - </v>
      </c>
      <c r="AX17" s="1">
        <f>'Feeders Raw Data'!BS17</f>
        <v>0</v>
      </c>
      <c r="AY17">
        <f>'Feeders Raw Data'!BT17-'Feeders Raw Data'!B17</f>
        <v>0</v>
      </c>
      <c r="AZ17">
        <f>'Feeders Raw Data'!BU17-'Feeders Raw Data'!C17</f>
        <v>0</v>
      </c>
      <c r="BA17">
        <f>'Feeders Raw Data'!BV17-'Feeders Raw Data'!D17</f>
        <v>0</v>
      </c>
      <c r="BB17">
        <f>'Feeders Raw Data'!BW17-'Feeders Raw Data'!E17</f>
        <v>0</v>
      </c>
      <c r="BC17" t="str">
        <f>'Feeders Raw Data'!CA17&amp;" - "&amp;'Feeders Raw Data'!I17</f>
        <v xml:space="preserve"> - </v>
      </c>
    </row>
    <row r="18" spans="1:55" x14ac:dyDescent="0.25">
      <c r="A18" s="1">
        <f>'Feeders Raw Data'!A18</f>
        <v>0</v>
      </c>
      <c r="B18">
        <f>'Feeders Raw Data'!B18-'Feeders Raw Data'!L18</f>
        <v>0</v>
      </c>
      <c r="C18">
        <f>'Feeders Raw Data'!C18-'Feeders Raw Data'!M18</f>
        <v>0</v>
      </c>
      <c r="D18">
        <f>'Feeders Raw Data'!D18-'Feeders Raw Data'!N18</f>
        <v>0</v>
      </c>
      <c r="E18">
        <f>'Feeders Raw Data'!E18-'Feeders Raw Data'!O18</f>
        <v>0</v>
      </c>
      <c r="F18" t="str">
        <f>'Feeders Raw Data'!I18&amp;" - "&amp;'Feeders Raw Data'!S18</f>
        <v xml:space="preserve"> - </v>
      </c>
      <c r="H18" s="1">
        <f>'Feeders Raw Data'!AE18</f>
        <v>0</v>
      </c>
      <c r="I18">
        <f>'Feeders Raw Data'!AF18-'Feeders Raw Data'!AP18</f>
        <v>0</v>
      </c>
      <c r="J18">
        <f>'Feeders Raw Data'!AG18-'Feeders Raw Data'!AQ18</f>
        <v>0</v>
      </c>
      <c r="K18">
        <f>'Feeders Raw Data'!AH18-'Feeders Raw Data'!AR18</f>
        <v>0</v>
      </c>
      <c r="L18">
        <f>'Feeders Raw Data'!AI18-'Feeders Raw Data'!AS18</f>
        <v>0</v>
      </c>
      <c r="M18" t="str">
        <f>'Feeders Raw Data'!AM18&amp;" - "&amp;'Feeders Raw Data'!AW18</f>
        <v xml:space="preserve"> - </v>
      </c>
      <c r="O18" s="1">
        <f>'Feeders Raw Data'!BI18</f>
        <v>0</v>
      </c>
      <c r="P18">
        <f>'Feeders Raw Data'!BJ18-'Feeders Raw Data'!BT18</f>
        <v>0</v>
      </c>
      <c r="Q18">
        <f>'Feeders Raw Data'!BK18-'Feeders Raw Data'!BU18</f>
        <v>0</v>
      </c>
      <c r="R18">
        <f>'Feeders Raw Data'!BL18-'Feeders Raw Data'!BV18</f>
        <v>0</v>
      </c>
      <c r="S18">
        <f>'Feeders Raw Data'!BM18-'Feeders Raw Data'!BW18</f>
        <v>0</v>
      </c>
      <c r="T18" t="str">
        <f>'Feeders Raw Data'!BQ18&amp;" - "&amp;'Feeders Raw Data'!CA18</f>
        <v xml:space="preserve"> - </v>
      </c>
      <c r="V18" s="1">
        <f>'Feeders Raw Data'!K18</f>
        <v>0</v>
      </c>
      <c r="W18">
        <f>'Feeders Raw Data'!L18-'Feeders Raw Data'!V18</f>
        <v>0</v>
      </c>
      <c r="X18">
        <f>'Feeders Raw Data'!M18-'Feeders Raw Data'!W18</f>
        <v>0</v>
      </c>
      <c r="Y18">
        <f>'Feeders Raw Data'!N18-'Feeders Raw Data'!X18</f>
        <v>0</v>
      </c>
      <c r="Z18">
        <f>'Feeders Raw Data'!O18-'Feeders Raw Data'!Y18</f>
        <v>0</v>
      </c>
      <c r="AA18" t="str">
        <f>'Feeders Raw Data'!S18&amp;" - "&amp;'Feeders Raw Data'!AC18</f>
        <v xml:space="preserve"> - </v>
      </c>
      <c r="AC18" s="1">
        <f>'Feeders Raw Data'!U18</f>
        <v>0</v>
      </c>
      <c r="AD18">
        <f>'Feeders Raw Data'!V18-'Feeders Raw Data'!AF18</f>
        <v>0</v>
      </c>
      <c r="AE18">
        <f>'Feeders Raw Data'!W18-'Feeders Raw Data'!AG18</f>
        <v>0</v>
      </c>
      <c r="AF18">
        <f>'Feeders Raw Data'!X18-'Feeders Raw Data'!AH18</f>
        <v>0</v>
      </c>
      <c r="AG18">
        <f>'Feeders Raw Data'!Y18-'Feeders Raw Data'!AI18</f>
        <v>0</v>
      </c>
      <c r="AH18" t="str">
        <f>'Feeders Raw Data'!AC18&amp;" - "&amp;'Feeders Raw Data'!AM18</f>
        <v xml:space="preserve"> - </v>
      </c>
      <c r="AJ18" s="1">
        <f>'Feeders Raw Data'!AO18</f>
        <v>0</v>
      </c>
      <c r="AK18">
        <f>'Feeders Raw Data'!AP18-'Feeders Raw Data'!AZ18</f>
        <v>0</v>
      </c>
      <c r="AL18">
        <f>'Feeders Raw Data'!AQ18-'Feeders Raw Data'!BA18</f>
        <v>0</v>
      </c>
      <c r="AM18">
        <f>'Feeders Raw Data'!AR18-'Feeders Raw Data'!BB18</f>
        <v>0</v>
      </c>
      <c r="AN18">
        <f>'Feeders Raw Data'!AS18-'Feeders Raw Data'!BC18</f>
        <v>0</v>
      </c>
      <c r="AO18" t="str">
        <f>'Feeders Raw Data'!AW18&amp;" - "&amp;'Feeders Raw Data'!BG18</f>
        <v xml:space="preserve"> - </v>
      </c>
      <c r="AQ18" s="1">
        <f>'Feeders Raw Data'!AY18</f>
        <v>0</v>
      </c>
      <c r="AR18">
        <f>'Feeders Raw Data'!AZ18-'Feeders Raw Data'!BJ18</f>
        <v>0</v>
      </c>
      <c r="AS18">
        <f>'Feeders Raw Data'!BA18-'Feeders Raw Data'!BK18</f>
        <v>0</v>
      </c>
      <c r="AT18">
        <f>'Feeders Raw Data'!BB18-'Feeders Raw Data'!BL18</f>
        <v>0</v>
      </c>
      <c r="AU18">
        <f>'Feeders Raw Data'!BC18-'Feeders Raw Data'!BM18</f>
        <v>0</v>
      </c>
      <c r="AV18" t="str">
        <f>'Feeders Raw Data'!BG18&amp;" - "&amp;'Feeders Raw Data'!BQ18</f>
        <v xml:space="preserve"> - </v>
      </c>
      <c r="AX18" s="1">
        <f>'Feeders Raw Data'!BS18</f>
        <v>0</v>
      </c>
      <c r="AY18">
        <f>'Feeders Raw Data'!BT18-'Feeders Raw Data'!B18</f>
        <v>0</v>
      </c>
      <c r="AZ18">
        <f>'Feeders Raw Data'!BU18-'Feeders Raw Data'!C18</f>
        <v>0</v>
      </c>
      <c r="BA18">
        <f>'Feeders Raw Data'!BV18-'Feeders Raw Data'!D18</f>
        <v>0</v>
      </c>
      <c r="BB18">
        <f>'Feeders Raw Data'!BW18-'Feeders Raw Data'!E18</f>
        <v>0</v>
      </c>
      <c r="BC18" t="str">
        <f>'Feeders Raw Data'!CA18&amp;" - "&amp;'Feeders Raw Data'!I18</f>
        <v xml:space="preserve"> - </v>
      </c>
    </row>
    <row r="19" spans="1:55" x14ac:dyDescent="0.25">
      <c r="A19" s="1">
        <f>'Feeders Raw Data'!A19</f>
        <v>0</v>
      </c>
      <c r="B19">
        <f>'Feeders Raw Data'!B19-'Feeders Raw Data'!L19</f>
        <v>0</v>
      </c>
      <c r="C19">
        <f>'Feeders Raw Data'!C19-'Feeders Raw Data'!M19</f>
        <v>0</v>
      </c>
      <c r="D19">
        <f>'Feeders Raw Data'!D19-'Feeders Raw Data'!N19</f>
        <v>0</v>
      </c>
      <c r="E19">
        <f>'Feeders Raw Data'!E19-'Feeders Raw Data'!O19</f>
        <v>0</v>
      </c>
      <c r="F19" t="str">
        <f>'Feeders Raw Data'!I19&amp;" - "&amp;'Feeders Raw Data'!S19</f>
        <v xml:space="preserve"> - </v>
      </c>
      <c r="H19" s="1">
        <f>'Feeders Raw Data'!AE19</f>
        <v>0</v>
      </c>
      <c r="I19">
        <f>'Feeders Raw Data'!AF19-'Feeders Raw Data'!AP19</f>
        <v>0</v>
      </c>
      <c r="J19">
        <f>'Feeders Raw Data'!AG19-'Feeders Raw Data'!AQ19</f>
        <v>0</v>
      </c>
      <c r="K19">
        <f>'Feeders Raw Data'!AH19-'Feeders Raw Data'!AR19</f>
        <v>0</v>
      </c>
      <c r="L19">
        <f>'Feeders Raw Data'!AI19-'Feeders Raw Data'!AS19</f>
        <v>0</v>
      </c>
      <c r="M19" t="str">
        <f>'Feeders Raw Data'!AM19&amp;" - "&amp;'Feeders Raw Data'!AW19</f>
        <v xml:space="preserve"> - </v>
      </c>
      <c r="O19" s="1">
        <f>'Feeders Raw Data'!BI19</f>
        <v>0</v>
      </c>
      <c r="P19">
        <f>'Feeders Raw Data'!BJ19-'Feeders Raw Data'!BT19</f>
        <v>0</v>
      </c>
      <c r="Q19">
        <f>'Feeders Raw Data'!BK19-'Feeders Raw Data'!BU19</f>
        <v>0</v>
      </c>
      <c r="R19">
        <f>'Feeders Raw Data'!BL19-'Feeders Raw Data'!BV19</f>
        <v>0</v>
      </c>
      <c r="S19">
        <f>'Feeders Raw Data'!BM19-'Feeders Raw Data'!BW19</f>
        <v>0</v>
      </c>
      <c r="T19" t="str">
        <f>'Feeders Raw Data'!BQ19&amp;" - "&amp;'Feeders Raw Data'!CA19</f>
        <v xml:space="preserve"> - </v>
      </c>
      <c r="V19" s="1">
        <f>'Feeders Raw Data'!K19</f>
        <v>0</v>
      </c>
      <c r="W19">
        <f>'Feeders Raw Data'!L19-'Feeders Raw Data'!V19</f>
        <v>0</v>
      </c>
      <c r="X19">
        <f>'Feeders Raw Data'!M19-'Feeders Raw Data'!W19</f>
        <v>0</v>
      </c>
      <c r="Y19">
        <f>'Feeders Raw Data'!N19-'Feeders Raw Data'!X19</f>
        <v>0</v>
      </c>
      <c r="Z19">
        <f>'Feeders Raw Data'!O19-'Feeders Raw Data'!Y19</f>
        <v>0</v>
      </c>
      <c r="AA19" t="str">
        <f>'Feeders Raw Data'!S19&amp;" - "&amp;'Feeders Raw Data'!AC19</f>
        <v xml:space="preserve"> - </v>
      </c>
      <c r="AC19" s="1">
        <f>'Feeders Raw Data'!U19</f>
        <v>0</v>
      </c>
      <c r="AD19">
        <f>'Feeders Raw Data'!V19-'Feeders Raw Data'!AF19</f>
        <v>0</v>
      </c>
      <c r="AE19">
        <f>'Feeders Raw Data'!W19-'Feeders Raw Data'!AG19</f>
        <v>0</v>
      </c>
      <c r="AF19">
        <f>'Feeders Raw Data'!X19-'Feeders Raw Data'!AH19</f>
        <v>0</v>
      </c>
      <c r="AG19">
        <f>'Feeders Raw Data'!Y19-'Feeders Raw Data'!AI19</f>
        <v>0</v>
      </c>
      <c r="AH19" t="str">
        <f>'Feeders Raw Data'!AC19&amp;" - "&amp;'Feeders Raw Data'!AM19</f>
        <v xml:space="preserve"> - </v>
      </c>
      <c r="AJ19" s="1">
        <f>'Feeders Raw Data'!AO19</f>
        <v>0</v>
      </c>
      <c r="AK19">
        <f>'Feeders Raw Data'!AP19-'Feeders Raw Data'!AZ19</f>
        <v>0</v>
      </c>
      <c r="AL19">
        <f>'Feeders Raw Data'!AQ19-'Feeders Raw Data'!BA19</f>
        <v>0</v>
      </c>
      <c r="AM19">
        <f>'Feeders Raw Data'!AR19-'Feeders Raw Data'!BB19</f>
        <v>0</v>
      </c>
      <c r="AN19">
        <f>'Feeders Raw Data'!AS19-'Feeders Raw Data'!BC19</f>
        <v>0</v>
      </c>
      <c r="AO19" t="str">
        <f>'Feeders Raw Data'!AW19&amp;" - "&amp;'Feeders Raw Data'!BG19</f>
        <v xml:space="preserve"> - </v>
      </c>
      <c r="AQ19" s="1">
        <f>'Feeders Raw Data'!AY19</f>
        <v>0</v>
      </c>
      <c r="AR19">
        <f>'Feeders Raw Data'!AZ19-'Feeders Raw Data'!BJ19</f>
        <v>0</v>
      </c>
      <c r="AS19">
        <f>'Feeders Raw Data'!BA19-'Feeders Raw Data'!BK19</f>
        <v>0</v>
      </c>
      <c r="AT19">
        <f>'Feeders Raw Data'!BB19-'Feeders Raw Data'!BL19</f>
        <v>0</v>
      </c>
      <c r="AU19">
        <f>'Feeders Raw Data'!BC19-'Feeders Raw Data'!BM19</f>
        <v>0</v>
      </c>
      <c r="AV19" t="str">
        <f>'Feeders Raw Data'!BG19&amp;" - "&amp;'Feeders Raw Data'!BQ19</f>
        <v xml:space="preserve"> - </v>
      </c>
      <c r="AX19" s="1">
        <f>'Feeders Raw Data'!BS19</f>
        <v>0</v>
      </c>
      <c r="AY19">
        <f>'Feeders Raw Data'!BT19-'Feeders Raw Data'!B19</f>
        <v>0</v>
      </c>
      <c r="AZ19">
        <f>'Feeders Raw Data'!BU19-'Feeders Raw Data'!C19</f>
        <v>0</v>
      </c>
      <c r="BA19">
        <f>'Feeders Raw Data'!BV19-'Feeders Raw Data'!D19</f>
        <v>0</v>
      </c>
      <c r="BB19">
        <f>'Feeders Raw Data'!BW19-'Feeders Raw Data'!E19</f>
        <v>0</v>
      </c>
      <c r="BC19" t="str">
        <f>'Feeders Raw Data'!CA19&amp;" - "&amp;'Feeders Raw Data'!I19</f>
        <v xml:space="preserve"> - </v>
      </c>
    </row>
    <row r="20" spans="1:55" x14ac:dyDescent="0.25">
      <c r="A20" s="1">
        <f>'Feeders Raw Data'!A20</f>
        <v>0</v>
      </c>
      <c r="B20">
        <f>'Feeders Raw Data'!B20-'Feeders Raw Data'!L20</f>
        <v>0</v>
      </c>
      <c r="C20">
        <f>'Feeders Raw Data'!C20-'Feeders Raw Data'!M20</f>
        <v>0</v>
      </c>
      <c r="D20">
        <f>'Feeders Raw Data'!D20-'Feeders Raw Data'!N20</f>
        <v>0</v>
      </c>
      <c r="E20">
        <f>'Feeders Raw Data'!E20-'Feeders Raw Data'!O20</f>
        <v>0</v>
      </c>
      <c r="F20" t="str">
        <f>'Feeders Raw Data'!I20&amp;" - "&amp;'Feeders Raw Data'!S20</f>
        <v xml:space="preserve"> - </v>
      </c>
      <c r="H20" s="1">
        <f>'Feeders Raw Data'!AE20</f>
        <v>0</v>
      </c>
      <c r="I20">
        <f>'Feeders Raw Data'!AF20-'Feeders Raw Data'!AP20</f>
        <v>0</v>
      </c>
      <c r="J20">
        <f>'Feeders Raw Data'!AG20-'Feeders Raw Data'!AQ20</f>
        <v>0</v>
      </c>
      <c r="K20">
        <f>'Feeders Raw Data'!AH20-'Feeders Raw Data'!AR20</f>
        <v>0</v>
      </c>
      <c r="L20">
        <f>'Feeders Raw Data'!AI20-'Feeders Raw Data'!AS20</f>
        <v>0</v>
      </c>
      <c r="M20" t="str">
        <f>'Feeders Raw Data'!AM20&amp;" - "&amp;'Feeders Raw Data'!AW20</f>
        <v xml:space="preserve"> - </v>
      </c>
      <c r="O20" s="1">
        <f>'Feeders Raw Data'!BI20</f>
        <v>0</v>
      </c>
      <c r="P20">
        <f>'Feeders Raw Data'!BJ20-'Feeders Raw Data'!BT20</f>
        <v>0</v>
      </c>
      <c r="Q20">
        <f>'Feeders Raw Data'!BK20-'Feeders Raw Data'!BU20</f>
        <v>0</v>
      </c>
      <c r="R20">
        <f>'Feeders Raw Data'!BL20-'Feeders Raw Data'!BV20</f>
        <v>0</v>
      </c>
      <c r="S20">
        <f>'Feeders Raw Data'!BM20-'Feeders Raw Data'!BW20</f>
        <v>0</v>
      </c>
      <c r="T20" t="str">
        <f>'Feeders Raw Data'!BQ20&amp;" - "&amp;'Feeders Raw Data'!CA20</f>
        <v xml:space="preserve"> - </v>
      </c>
      <c r="V20" s="1">
        <f>'Feeders Raw Data'!K20</f>
        <v>0</v>
      </c>
      <c r="W20">
        <f>'Feeders Raw Data'!L20-'Feeders Raw Data'!V20</f>
        <v>0</v>
      </c>
      <c r="X20">
        <f>'Feeders Raw Data'!M20-'Feeders Raw Data'!W20</f>
        <v>0</v>
      </c>
      <c r="Y20">
        <f>'Feeders Raw Data'!N20-'Feeders Raw Data'!X20</f>
        <v>0</v>
      </c>
      <c r="Z20">
        <f>'Feeders Raw Data'!O20-'Feeders Raw Data'!Y20</f>
        <v>0</v>
      </c>
      <c r="AA20" t="str">
        <f>'Feeders Raw Data'!S20&amp;" - "&amp;'Feeders Raw Data'!AC20</f>
        <v xml:space="preserve"> - </v>
      </c>
      <c r="AC20" s="1">
        <f>'Feeders Raw Data'!U20</f>
        <v>0</v>
      </c>
      <c r="AD20">
        <f>'Feeders Raw Data'!V20-'Feeders Raw Data'!AF20</f>
        <v>0</v>
      </c>
      <c r="AE20">
        <f>'Feeders Raw Data'!W20-'Feeders Raw Data'!AG20</f>
        <v>0</v>
      </c>
      <c r="AF20">
        <f>'Feeders Raw Data'!X20-'Feeders Raw Data'!AH20</f>
        <v>0</v>
      </c>
      <c r="AG20">
        <f>'Feeders Raw Data'!Y20-'Feeders Raw Data'!AI20</f>
        <v>0</v>
      </c>
      <c r="AH20" t="str">
        <f>'Feeders Raw Data'!AC20&amp;" - "&amp;'Feeders Raw Data'!AM20</f>
        <v xml:space="preserve"> - </v>
      </c>
      <c r="AJ20" s="1">
        <f>'Feeders Raw Data'!AO20</f>
        <v>0</v>
      </c>
      <c r="AK20">
        <f>'Feeders Raw Data'!AP20-'Feeders Raw Data'!AZ20</f>
        <v>0</v>
      </c>
      <c r="AL20">
        <f>'Feeders Raw Data'!AQ20-'Feeders Raw Data'!BA20</f>
        <v>0</v>
      </c>
      <c r="AM20">
        <f>'Feeders Raw Data'!AR20-'Feeders Raw Data'!BB20</f>
        <v>0</v>
      </c>
      <c r="AN20">
        <f>'Feeders Raw Data'!AS20-'Feeders Raw Data'!BC20</f>
        <v>0</v>
      </c>
      <c r="AO20" t="str">
        <f>'Feeders Raw Data'!AW20&amp;" - "&amp;'Feeders Raw Data'!BG20</f>
        <v xml:space="preserve"> - </v>
      </c>
      <c r="AQ20" s="1">
        <f>'Feeders Raw Data'!AY20</f>
        <v>0</v>
      </c>
      <c r="AR20">
        <f>'Feeders Raw Data'!AZ20-'Feeders Raw Data'!BJ20</f>
        <v>0</v>
      </c>
      <c r="AS20">
        <f>'Feeders Raw Data'!BA20-'Feeders Raw Data'!BK20</f>
        <v>0</v>
      </c>
      <c r="AT20">
        <f>'Feeders Raw Data'!BB20-'Feeders Raw Data'!BL20</f>
        <v>0</v>
      </c>
      <c r="AU20">
        <f>'Feeders Raw Data'!BC20-'Feeders Raw Data'!BM20</f>
        <v>0</v>
      </c>
      <c r="AV20" t="str">
        <f>'Feeders Raw Data'!BG20&amp;" - "&amp;'Feeders Raw Data'!BQ20</f>
        <v xml:space="preserve"> - </v>
      </c>
      <c r="AX20" s="1">
        <f>'Feeders Raw Data'!BS20</f>
        <v>0</v>
      </c>
      <c r="AY20">
        <f>'Feeders Raw Data'!BT20-'Feeders Raw Data'!B20</f>
        <v>0</v>
      </c>
      <c r="AZ20">
        <f>'Feeders Raw Data'!BU20-'Feeders Raw Data'!C20</f>
        <v>0</v>
      </c>
      <c r="BA20">
        <f>'Feeders Raw Data'!BV20-'Feeders Raw Data'!D20</f>
        <v>0</v>
      </c>
      <c r="BB20">
        <f>'Feeders Raw Data'!BW20-'Feeders Raw Data'!E20</f>
        <v>0</v>
      </c>
      <c r="BC20" t="str">
        <f>'Feeders Raw Data'!CA20&amp;" - "&amp;'Feeders Raw Data'!I20</f>
        <v xml:space="preserve"> - </v>
      </c>
    </row>
    <row r="21" spans="1:55" x14ac:dyDescent="0.25">
      <c r="A21" s="1">
        <f>'Feeders Raw Data'!A21</f>
        <v>0</v>
      </c>
      <c r="B21">
        <f>'Feeders Raw Data'!B21-'Feeders Raw Data'!L21</f>
        <v>0</v>
      </c>
      <c r="C21">
        <f>'Feeders Raw Data'!C21-'Feeders Raw Data'!M21</f>
        <v>0</v>
      </c>
      <c r="D21">
        <f>'Feeders Raw Data'!D21-'Feeders Raw Data'!N21</f>
        <v>0</v>
      </c>
      <c r="E21">
        <f>'Feeders Raw Data'!E21-'Feeders Raw Data'!O21</f>
        <v>0</v>
      </c>
      <c r="F21" t="str">
        <f>'Feeders Raw Data'!I21&amp;" - "&amp;'Feeders Raw Data'!S21</f>
        <v xml:space="preserve"> - </v>
      </c>
      <c r="H21" s="1">
        <f>'Feeders Raw Data'!AE21</f>
        <v>0</v>
      </c>
      <c r="I21">
        <f>'Feeders Raw Data'!AF21-'Feeders Raw Data'!AP21</f>
        <v>0</v>
      </c>
      <c r="J21">
        <f>'Feeders Raw Data'!AG21-'Feeders Raw Data'!AQ21</f>
        <v>0</v>
      </c>
      <c r="K21">
        <f>'Feeders Raw Data'!AH21-'Feeders Raw Data'!AR21</f>
        <v>0</v>
      </c>
      <c r="L21">
        <f>'Feeders Raw Data'!AI21-'Feeders Raw Data'!AS21</f>
        <v>0</v>
      </c>
      <c r="M21" t="str">
        <f>'Feeders Raw Data'!AM21&amp;" - "&amp;'Feeders Raw Data'!AW21</f>
        <v xml:space="preserve"> - </v>
      </c>
      <c r="O21" s="1">
        <f>'Feeders Raw Data'!BI21</f>
        <v>0</v>
      </c>
      <c r="P21">
        <f>'Feeders Raw Data'!BJ21-'Feeders Raw Data'!BT21</f>
        <v>0</v>
      </c>
      <c r="Q21">
        <f>'Feeders Raw Data'!BK21-'Feeders Raw Data'!BU21</f>
        <v>0</v>
      </c>
      <c r="R21">
        <f>'Feeders Raw Data'!BL21-'Feeders Raw Data'!BV21</f>
        <v>0</v>
      </c>
      <c r="S21">
        <f>'Feeders Raw Data'!BM21-'Feeders Raw Data'!BW21</f>
        <v>0</v>
      </c>
      <c r="T21" t="str">
        <f>'Feeders Raw Data'!BQ21&amp;" - "&amp;'Feeders Raw Data'!CA21</f>
        <v xml:space="preserve"> - </v>
      </c>
      <c r="V21" s="1">
        <f>'Feeders Raw Data'!K21</f>
        <v>0</v>
      </c>
      <c r="W21">
        <f>'Feeders Raw Data'!L21-'Feeders Raw Data'!V21</f>
        <v>0</v>
      </c>
      <c r="X21">
        <f>'Feeders Raw Data'!M21-'Feeders Raw Data'!W21</f>
        <v>0</v>
      </c>
      <c r="Y21">
        <f>'Feeders Raw Data'!N21-'Feeders Raw Data'!X21</f>
        <v>0</v>
      </c>
      <c r="Z21">
        <f>'Feeders Raw Data'!O21-'Feeders Raw Data'!Y21</f>
        <v>0</v>
      </c>
      <c r="AA21" t="str">
        <f>'Feeders Raw Data'!S21&amp;" - "&amp;'Feeders Raw Data'!AC21</f>
        <v xml:space="preserve"> - </v>
      </c>
      <c r="AC21" s="1">
        <f>'Feeders Raw Data'!U21</f>
        <v>0</v>
      </c>
      <c r="AD21">
        <f>'Feeders Raw Data'!V21-'Feeders Raw Data'!AF21</f>
        <v>0</v>
      </c>
      <c r="AE21">
        <f>'Feeders Raw Data'!W21-'Feeders Raw Data'!AG21</f>
        <v>0</v>
      </c>
      <c r="AF21">
        <f>'Feeders Raw Data'!X21-'Feeders Raw Data'!AH21</f>
        <v>0</v>
      </c>
      <c r="AG21">
        <f>'Feeders Raw Data'!Y21-'Feeders Raw Data'!AI21</f>
        <v>0</v>
      </c>
      <c r="AH21" t="str">
        <f>'Feeders Raw Data'!AC21&amp;" - "&amp;'Feeders Raw Data'!AM21</f>
        <v xml:space="preserve"> - </v>
      </c>
      <c r="AJ21" s="1">
        <f>'Feeders Raw Data'!AO21</f>
        <v>0</v>
      </c>
      <c r="AK21">
        <f>'Feeders Raw Data'!AP21-'Feeders Raw Data'!AZ21</f>
        <v>0</v>
      </c>
      <c r="AL21">
        <f>'Feeders Raw Data'!AQ21-'Feeders Raw Data'!BA21</f>
        <v>0</v>
      </c>
      <c r="AM21">
        <f>'Feeders Raw Data'!AR21-'Feeders Raw Data'!BB21</f>
        <v>0</v>
      </c>
      <c r="AN21">
        <f>'Feeders Raw Data'!AS21-'Feeders Raw Data'!BC21</f>
        <v>0</v>
      </c>
      <c r="AO21" t="str">
        <f>'Feeders Raw Data'!AW21&amp;" - "&amp;'Feeders Raw Data'!BG21</f>
        <v xml:space="preserve"> - </v>
      </c>
      <c r="AQ21" s="1">
        <f>'Feeders Raw Data'!AY21</f>
        <v>0</v>
      </c>
      <c r="AR21">
        <f>'Feeders Raw Data'!AZ21-'Feeders Raw Data'!BJ21</f>
        <v>0</v>
      </c>
      <c r="AS21">
        <f>'Feeders Raw Data'!BA21-'Feeders Raw Data'!BK21</f>
        <v>0</v>
      </c>
      <c r="AT21">
        <f>'Feeders Raw Data'!BB21-'Feeders Raw Data'!BL21</f>
        <v>0</v>
      </c>
      <c r="AU21">
        <f>'Feeders Raw Data'!BC21-'Feeders Raw Data'!BM21</f>
        <v>0</v>
      </c>
      <c r="AV21" t="str">
        <f>'Feeders Raw Data'!BG21&amp;" - "&amp;'Feeders Raw Data'!BQ21</f>
        <v xml:space="preserve"> - </v>
      </c>
      <c r="AX21" s="1">
        <f>'Feeders Raw Data'!BS21</f>
        <v>0</v>
      </c>
      <c r="AY21">
        <f>'Feeders Raw Data'!BT21-'Feeders Raw Data'!B21</f>
        <v>0</v>
      </c>
      <c r="AZ21">
        <f>'Feeders Raw Data'!BU21-'Feeders Raw Data'!C21</f>
        <v>0</v>
      </c>
      <c r="BA21">
        <f>'Feeders Raw Data'!BV21-'Feeders Raw Data'!D21</f>
        <v>0</v>
      </c>
      <c r="BB21">
        <f>'Feeders Raw Data'!BW21-'Feeders Raw Data'!E21</f>
        <v>0</v>
      </c>
      <c r="BC21" t="str">
        <f>'Feeders Raw Data'!CA21&amp;" - "&amp;'Feeders Raw Data'!I21</f>
        <v xml:space="preserve"> - </v>
      </c>
    </row>
    <row r="22" spans="1:55" x14ac:dyDescent="0.25">
      <c r="A22" s="1">
        <f>'Feeders Raw Data'!A22</f>
        <v>0</v>
      </c>
      <c r="B22">
        <f>'Feeders Raw Data'!B22-'Feeders Raw Data'!L22</f>
        <v>0</v>
      </c>
      <c r="C22">
        <f>'Feeders Raw Data'!C22-'Feeders Raw Data'!M22</f>
        <v>0</v>
      </c>
      <c r="D22">
        <f>'Feeders Raw Data'!D22-'Feeders Raw Data'!N22</f>
        <v>0</v>
      </c>
      <c r="E22">
        <f>'Feeders Raw Data'!E22-'Feeders Raw Data'!O22</f>
        <v>0</v>
      </c>
      <c r="F22" t="str">
        <f>'Feeders Raw Data'!I22&amp;" - "&amp;'Feeders Raw Data'!S22</f>
        <v xml:space="preserve"> - </v>
      </c>
      <c r="H22" s="1">
        <f>'Feeders Raw Data'!AE22</f>
        <v>0</v>
      </c>
      <c r="I22">
        <f>'Feeders Raw Data'!AF22-'Feeders Raw Data'!AP22</f>
        <v>0</v>
      </c>
      <c r="J22">
        <f>'Feeders Raw Data'!AG22-'Feeders Raw Data'!AQ22</f>
        <v>0</v>
      </c>
      <c r="K22">
        <f>'Feeders Raw Data'!AH22-'Feeders Raw Data'!AR22</f>
        <v>0</v>
      </c>
      <c r="L22">
        <f>'Feeders Raw Data'!AI22-'Feeders Raw Data'!AS22</f>
        <v>0</v>
      </c>
      <c r="M22" t="str">
        <f>'Feeders Raw Data'!AM22&amp;" - "&amp;'Feeders Raw Data'!AW22</f>
        <v xml:space="preserve"> - </v>
      </c>
      <c r="O22" s="1">
        <f>'Feeders Raw Data'!BI22</f>
        <v>0</v>
      </c>
      <c r="P22">
        <f>'Feeders Raw Data'!BJ22-'Feeders Raw Data'!BT22</f>
        <v>0</v>
      </c>
      <c r="Q22">
        <f>'Feeders Raw Data'!BK22-'Feeders Raw Data'!BU22</f>
        <v>0</v>
      </c>
      <c r="R22">
        <f>'Feeders Raw Data'!BL22-'Feeders Raw Data'!BV22</f>
        <v>0</v>
      </c>
      <c r="S22">
        <f>'Feeders Raw Data'!BM22-'Feeders Raw Data'!BW22</f>
        <v>0</v>
      </c>
      <c r="T22" t="str">
        <f>'Feeders Raw Data'!BQ22&amp;" - "&amp;'Feeders Raw Data'!CA22</f>
        <v xml:space="preserve"> - </v>
      </c>
      <c r="V22" s="1">
        <f>'Feeders Raw Data'!K22</f>
        <v>0</v>
      </c>
      <c r="W22">
        <f>'Feeders Raw Data'!L22-'Feeders Raw Data'!V22</f>
        <v>0</v>
      </c>
      <c r="X22">
        <f>'Feeders Raw Data'!M22-'Feeders Raw Data'!W22</f>
        <v>0</v>
      </c>
      <c r="Y22">
        <f>'Feeders Raw Data'!N22-'Feeders Raw Data'!X22</f>
        <v>0</v>
      </c>
      <c r="Z22">
        <f>'Feeders Raw Data'!O22-'Feeders Raw Data'!Y22</f>
        <v>0</v>
      </c>
      <c r="AA22" t="str">
        <f>'Feeders Raw Data'!S22&amp;" - "&amp;'Feeders Raw Data'!AC22</f>
        <v xml:space="preserve"> - </v>
      </c>
      <c r="AC22" s="1">
        <f>'Feeders Raw Data'!U22</f>
        <v>0</v>
      </c>
      <c r="AD22">
        <f>'Feeders Raw Data'!V22-'Feeders Raw Data'!AF22</f>
        <v>0</v>
      </c>
      <c r="AE22">
        <f>'Feeders Raw Data'!W22-'Feeders Raw Data'!AG22</f>
        <v>0</v>
      </c>
      <c r="AF22">
        <f>'Feeders Raw Data'!X22-'Feeders Raw Data'!AH22</f>
        <v>0</v>
      </c>
      <c r="AG22">
        <f>'Feeders Raw Data'!Y22-'Feeders Raw Data'!AI22</f>
        <v>0</v>
      </c>
      <c r="AH22" t="str">
        <f>'Feeders Raw Data'!AC22&amp;" - "&amp;'Feeders Raw Data'!AM22</f>
        <v xml:space="preserve"> - </v>
      </c>
      <c r="AJ22" s="1">
        <f>'Feeders Raw Data'!AO22</f>
        <v>0</v>
      </c>
      <c r="AK22">
        <f>'Feeders Raw Data'!AP22-'Feeders Raw Data'!AZ22</f>
        <v>0</v>
      </c>
      <c r="AL22">
        <f>'Feeders Raw Data'!AQ22-'Feeders Raw Data'!BA22</f>
        <v>0</v>
      </c>
      <c r="AM22">
        <f>'Feeders Raw Data'!AR22-'Feeders Raw Data'!BB22</f>
        <v>0</v>
      </c>
      <c r="AN22">
        <f>'Feeders Raw Data'!AS22-'Feeders Raw Data'!BC22</f>
        <v>0</v>
      </c>
      <c r="AO22" t="str">
        <f>'Feeders Raw Data'!AW22&amp;" - "&amp;'Feeders Raw Data'!BG22</f>
        <v xml:space="preserve"> - </v>
      </c>
      <c r="AQ22" s="1">
        <f>'Feeders Raw Data'!AY22</f>
        <v>0</v>
      </c>
      <c r="AR22">
        <f>'Feeders Raw Data'!AZ22-'Feeders Raw Data'!BJ22</f>
        <v>0</v>
      </c>
      <c r="AS22">
        <f>'Feeders Raw Data'!BA22-'Feeders Raw Data'!BK22</f>
        <v>0</v>
      </c>
      <c r="AT22">
        <f>'Feeders Raw Data'!BB22-'Feeders Raw Data'!BL22</f>
        <v>0</v>
      </c>
      <c r="AU22">
        <f>'Feeders Raw Data'!BC22-'Feeders Raw Data'!BM22</f>
        <v>0</v>
      </c>
      <c r="AV22" t="str">
        <f>'Feeders Raw Data'!BG22&amp;" - "&amp;'Feeders Raw Data'!BQ22</f>
        <v xml:space="preserve"> - </v>
      </c>
      <c r="AX22" s="1">
        <f>'Feeders Raw Data'!BS22</f>
        <v>0</v>
      </c>
      <c r="AY22">
        <f>'Feeders Raw Data'!BT22-'Feeders Raw Data'!B22</f>
        <v>0</v>
      </c>
      <c r="AZ22">
        <f>'Feeders Raw Data'!BU22-'Feeders Raw Data'!C22</f>
        <v>0</v>
      </c>
      <c r="BA22">
        <f>'Feeders Raw Data'!BV22-'Feeders Raw Data'!D22</f>
        <v>0</v>
      </c>
      <c r="BB22">
        <f>'Feeders Raw Data'!BW22-'Feeders Raw Data'!E22</f>
        <v>0</v>
      </c>
      <c r="BC22" t="str">
        <f>'Feeders Raw Data'!CA22&amp;" - "&amp;'Feeders Raw Data'!I22</f>
        <v xml:space="preserve"> - </v>
      </c>
    </row>
    <row r="23" spans="1:55" x14ac:dyDescent="0.25">
      <c r="A23" s="1">
        <f>'Feeders Raw Data'!A23</f>
        <v>0</v>
      </c>
      <c r="B23">
        <f>'Feeders Raw Data'!B23-'Feeders Raw Data'!L23</f>
        <v>0</v>
      </c>
      <c r="C23">
        <f>'Feeders Raw Data'!C23-'Feeders Raw Data'!M23</f>
        <v>0</v>
      </c>
      <c r="D23">
        <f>'Feeders Raw Data'!D23-'Feeders Raw Data'!N23</f>
        <v>0</v>
      </c>
      <c r="E23">
        <f>'Feeders Raw Data'!E23-'Feeders Raw Data'!O23</f>
        <v>0</v>
      </c>
      <c r="F23" t="str">
        <f>'Feeders Raw Data'!I23&amp;" - "&amp;'Feeders Raw Data'!S23</f>
        <v xml:space="preserve"> - </v>
      </c>
      <c r="H23" s="1">
        <f>'Feeders Raw Data'!AE23</f>
        <v>0</v>
      </c>
      <c r="I23">
        <f>'Feeders Raw Data'!AF23-'Feeders Raw Data'!AP23</f>
        <v>0</v>
      </c>
      <c r="J23">
        <f>'Feeders Raw Data'!AG23-'Feeders Raw Data'!AQ23</f>
        <v>0</v>
      </c>
      <c r="K23">
        <f>'Feeders Raw Data'!AH23-'Feeders Raw Data'!AR23</f>
        <v>0</v>
      </c>
      <c r="L23">
        <f>'Feeders Raw Data'!AI23-'Feeders Raw Data'!AS23</f>
        <v>0</v>
      </c>
      <c r="M23" t="str">
        <f>'Feeders Raw Data'!AM23&amp;" - "&amp;'Feeders Raw Data'!AW23</f>
        <v xml:space="preserve"> - </v>
      </c>
      <c r="O23" s="1">
        <f>'Feeders Raw Data'!BI23</f>
        <v>0</v>
      </c>
      <c r="P23">
        <f>'Feeders Raw Data'!BJ23-'Feeders Raw Data'!BT23</f>
        <v>0</v>
      </c>
      <c r="Q23">
        <f>'Feeders Raw Data'!BK23-'Feeders Raw Data'!BU23</f>
        <v>0</v>
      </c>
      <c r="R23">
        <f>'Feeders Raw Data'!BL23-'Feeders Raw Data'!BV23</f>
        <v>0</v>
      </c>
      <c r="S23">
        <f>'Feeders Raw Data'!BM23-'Feeders Raw Data'!BW23</f>
        <v>0</v>
      </c>
      <c r="T23" t="str">
        <f>'Feeders Raw Data'!BQ23&amp;" - "&amp;'Feeders Raw Data'!CA23</f>
        <v xml:space="preserve"> - </v>
      </c>
      <c r="V23" s="1">
        <f>'Feeders Raw Data'!K23</f>
        <v>0</v>
      </c>
      <c r="W23">
        <f>'Feeders Raw Data'!L23-'Feeders Raw Data'!V23</f>
        <v>0</v>
      </c>
      <c r="X23">
        <f>'Feeders Raw Data'!M23-'Feeders Raw Data'!W23</f>
        <v>0</v>
      </c>
      <c r="Y23">
        <f>'Feeders Raw Data'!N23-'Feeders Raw Data'!X23</f>
        <v>0</v>
      </c>
      <c r="Z23">
        <f>'Feeders Raw Data'!O23-'Feeders Raw Data'!Y23</f>
        <v>0</v>
      </c>
      <c r="AA23" t="str">
        <f>'Feeders Raw Data'!S23&amp;" - "&amp;'Feeders Raw Data'!AC23</f>
        <v xml:space="preserve"> - </v>
      </c>
      <c r="AC23" s="1">
        <f>'Feeders Raw Data'!U23</f>
        <v>0</v>
      </c>
      <c r="AD23">
        <f>'Feeders Raw Data'!V23-'Feeders Raw Data'!AF23</f>
        <v>0</v>
      </c>
      <c r="AE23">
        <f>'Feeders Raw Data'!W23-'Feeders Raw Data'!AG23</f>
        <v>0</v>
      </c>
      <c r="AF23">
        <f>'Feeders Raw Data'!X23-'Feeders Raw Data'!AH23</f>
        <v>0</v>
      </c>
      <c r="AG23">
        <f>'Feeders Raw Data'!Y23-'Feeders Raw Data'!AI23</f>
        <v>0</v>
      </c>
      <c r="AH23" t="str">
        <f>'Feeders Raw Data'!AC23&amp;" - "&amp;'Feeders Raw Data'!AM23</f>
        <v xml:space="preserve"> - </v>
      </c>
      <c r="AJ23" s="1">
        <f>'Feeders Raw Data'!AO23</f>
        <v>0</v>
      </c>
      <c r="AK23">
        <f>'Feeders Raw Data'!AP23-'Feeders Raw Data'!AZ23</f>
        <v>0</v>
      </c>
      <c r="AL23">
        <f>'Feeders Raw Data'!AQ23-'Feeders Raw Data'!BA23</f>
        <v>0</v>
      </c>
      <c r="AM23">
        <f>'Feeders Raw Data'!AR23-'Feeders Raw Data'!BB23</f>
        <v>0</v>
      </c>
      <c r="AN23">
        <f>'Feeders Raw Data'!AS23-'Feeders Raw Data'!BC23</f>
        <v>0</v>
      </c>
      <c r="AO23" t="str">
        <f>'Feeders Raw Data'!AW23&amp;" - "&amp;'Feeders Raw Data'!BG23</f>
        <v xml:space="preserve"> - </v>
      </c>
      <c r="AQ23" s="1">
        <f>'Feeders Raw Data'!AY23</f>
        <v>0</v>
      </c>
      <c r="AR23">
        <f>'Feeders Raw Data'!AZ23-'Feeders Raw Data'!BJ23</f>
        <v>0</v>
      </c>
      <c r="AS23">
        <f>'Feeders Raw Data'!BA23-'Feeders Raw Data'!BK23</f>
        <v>0</v>
      </c>
      <c r="AT23">
        <f>'Feeders Raw Data'!BB23-'Feeders Raw Data'!BL23</f>
        <v>0</v>
      </c>
      <c r="AU23">
        <f>'Feeders Raw Data'!BC23-'Feeders Raw Data'!BM23</f>
        <v>0</v>
      </c>
      <c r="AV23" t="str">
        <f>'Feeders Raw Data'!BG23&amp;" - "&amp;'Feeders Raw Data'!BQ23</f>
        <v xml:space="preserve"> - </v>
      </c>
      <c r="AX23" s="1">
        <f>'Feeders Raw Data'!BS23</f>
        <v>0</v>
      </c>
      <c r="AY23">
        <f>'Feeders Raw Data'!BT23-'Feeders Raw Data'!B23</f>
        <v>0</v>
      </c>
      <c r="AZ23">
        <f>'Feeders Raw Data'!BU23-'Feeders Raw Data'!C23</f>
        <v>0</v>
      </c>
      <c r="BA23">
        <f>'Feeders Raw Data'!BV23-'Feeders Raw Data'!D23</f>
        <v>0</v>
      </c>
      <c r="BB23">
        <f>'Feeders Raw Data'!BW23-'Feeders Raw Data'!E23</f>
        <v>0</v>
      </c>
      <c r="BC23" t="str">
        <f>'Feeders Raw Data'!CA23&amp;" - "&amp;'Feeders Raw Data'!I23</f>
        <v xml:space="preserve"> - </v>
      </c>
    </row>
    <row r="24" spans="1:55" x14ac:dyDescent="0.25">
      <c r="A24" s="1">
        <f>'Feeders Raw Data'!A24</f>
        <v>0</v>
      </c>
      <c r="B24">
        <f>'Feeders Raw Data'!B24-'Feeders Raw Data'!L24</f>
        <v>0</v>
      </c>
      <c r="C24">
        <f>'Feeders Raw Data'!C24-'Feeders Raw Data'!M24</f>
        <v>0</v>
      </c>
      <c r="D24">
        <f>'Feeders Raw Data'!D24-'Feeders Raw Data'!N24</f>
        <v>0</v>
      </c>
      <c r="E24">
        <f>'Feeders Raw Data'!E24-'Feeders Raw Data'!O24</f>
        <v>0</v>
      </c>
      <c r="F24" t="str">
        <f>'Feeders Raw Data'!I24&amp;" - "&amp;'Feeders Raw Data'!S24</f>
        <v xml:space="preserve"> - </v>
      </c>
      <c r="H24" s="1">
        <f>'Feeders Raw Data'!AE24</f>
        <v>0</v>
      </c>
      <c r="I24">
        <f>'Feeders Raw Data'!AF24-'Feeders Raw Data'!AP24</f>
        <v>0</v>
      </c>
      <c r="J24">
        <f>'Feeders Raw Data'!AG24-'Feeders Raw Data'!AQ24</f>
        <v>0</v>
      </c>
      <c r="K24">
        <f>'Feeders Raw Data'!AH24-'Feeders Raw Data'!AR24</f>
        <v>0</v>
      </c>
      <c r="L24">
        <f>'Feeders Raw Data'!AI24-'Feeders Raw Data'!AS24</f>
        <v>0</v>
      </c>
      <c r="M24" t="str">
        <f>'Feeders Raw Data'!AM24&amp;" - "&amp;'Feeders Raw Data'!AW24</f>
        <v xml:space="preserve"> - </v>
      </c>
      <c r="O24" s="1">
        <f>'Feeders Raw Data'!BI24</f>
        <v>0</v>
      </c>
      <c r="P24">
        <f>'Feeders Raw Data'!BJ24-'Feeders Raw Data'!BT24</f>
        <v>0</v>
      </c>
      <c r="Q24">
        <f>'Feeders Raw Data'!BK24-'Feeders Raw Data'!BU24</f>
        <v>0</v>
      </c>
      <c r="R24">
        <f>'Feeders Raw Data'!BL24-'Feeders Raw Data'!BV24</f>
        <v>0</v>
      </c>
      <c r="S24">
        <f>'Feeders Raw Data'!BM24-'Feeders Raw Data'!BW24</f>
        <v>0</v>
      </c>
      <c r="T24" t="str">
        <f>'Feeders Raw Data'!BQ24&amp;" - "&amp;'Feeders Raw Data'!CA24</f>
        <v xml:space="preserve"> - </v>
      </c>
      <c r="V24" s="1">
        <f>'Feeders Raw Data'!K24</f>
        <v>0</v>
      </c>
      <c r="W24">
        <f>'Feeders Raw Data'!L24-'Feeders Raw Data'!V24</f>
        <v>0</v>
      </c>
      <c r="X24">
        <f>'Feeders Raw Data'!M24-'Feeders Raw Data'!W24</f>
        <v>0</v>
      </c>
      <c r="Y24">
        <f>'Feeders Raw Data'!N24-'Feeders Raw Data'!X24</f>
        <v>0</v>
      </c>
      <c r="Z24">
        <f>'Feeders Raw Data'!O24-'Feeders Raw Data'!Y24</f>
        <v>0</v>
      </c>
      <c r="AA24" t="str">
        <f>'Feeders Raw Data'!S24&amp;" - "&amp;'Feeders Raw Data'!AC24</f>
        <v xml:space="preserve"> - </v>
      </c>
      <c r="AC24" s="1">
        <f>'Feeders Raw Data'!U24</f>
        <v>0</v>
      </c>
      <c r="AD24">
        <f>'Feeders Raw Data'!V24-'Feeders Raw Data'!AF24</f>
        <v>0</v>
      </c>
      <c r="AE24">
        <f>'Feeders Raw Data'!W24-'Feeders Raw Data'!AG24</f>
        <v>0</v>
      </c>
      <c r="AF24">
        <f>'Feeders Raw Data'!X24-'Feeders Raw Data'!AH24</f>
        <v>0</v>
      </c>
      <c r="AG24">
        <f>'Feeders Raw Data'!Y24-'Feeders Raw Data'!AI24</f>
        <v>0</v>
      </c>
      <c r="AH24" t="str">
        <f>'Feeders Raw Data'!AC24&amp;" - "&amp;'Feeders Raw Data'!AM24</f>
        <v xml:space="preserve"> - </v>
      </c>
      <c r="AJ24" s="1">
        <f>'Feeders Raw Data'!AO24</f>
        <v>0</v>
      </c>
      <c r="AK24">
        <f>'Feeders Raw Data'!AP24-'Feeders Raw Data'!AZ24</f>
        <v>0</v>
      </c>
      <c r="AL24">
        <f>'Feeders Raw Data'!AQ24-'Feeders Raw Data'!BA24</f>
        <v>0</v>
      </c>
      <c r="AM24">
        <f>'Feeders Raw Data'!AR24-'Feeders Raw Data'!BB24</f>
        <v>0</v>
      </c>
      <c r="AN24">
        <f>'Feeders Raw Data'!AS24-'Feeders Raw Data'!BC24</f>
        <v>0</v>
      </c>
      <c r="AO24" t="str">
        <f>'Feeders Raw Data'!AW24&amp;" - "&amp;'Feeders Raw Data'!BG24</f>
        <v xml:space="preserve"> - </v>
      </c>
      <c r="AQ24" s="1">
        <f>'Feeders Raw Data'!AY24</f>
        <v>0</v>
      </c>
      <c r="AR24">
        <f>'Feeders Raw Data'!AZ24-'Feeders Raw Data'!BJ24</f>
        <v>0</v>
      </c>
      <c r="AS24">
        <f>'Feeders Raw Data'!BA24-'Feeders Raw Data'!BK24</f>
        <v>0</v>
      </c>
      <c r="AT24">
        <f>'Feeders Raw Data'!BB24-'Feeders Raw Data'!BL24</f>
        <v>0</v>
      </c>
      <c r="AU24">
        <f>'Feeders Raw Data'!BC24-'Feeders Raw Data'!BM24</f>
        <v>0</v>
      </c>
      <c r="AV24" t="str">
        <f>'Feeders Raw Data'!BG24&amp;" - "&amp;'Feeders Raw Data'!BQ24</f>
        <v xml:space="preserve"> - </v>
      </c>
      <c r="AX24" s="1">
        <f>'Feeders Raw Data'!BS24</f>
        <v>0</v>
      </c>
      <c r="AY24">
        <f>'Feeders Raw Data'!BT24-'Feeders Raw Data'!B24</f>
        <v>0</v>
      </c>
      <c r="AZ24">
        <f>'Feeders Raw Data'!BU24-'Feeders Raw Data'!C24</f>
        <v>0</v>
      </c>
      <c r="BA24">
        <f>'Feeders Raw Data'!BV24-'Feeders Raw Data'!D24</f>
        <v>0</v>
      </c>
      <c r="BB24">
        <f>'Feeders Raw Data'!BW24-'Feeders Raw Data'!E24</f>
        <v>0</v>
      </c>
      <c r="BC24" t="str">
        <f>'Feeders Raw Data'!CA24&amp;" - "&amp;'Feeders Raw Data'!I24</f>
        <v xml:space="preserve"> - </v>
      </c>
    </row>
    <row r="25" spans="1:55" x14ac:dyDescent="0.25">
      <c r="A25" s="1">
        <f>'Feeders Raw Data'!A25</f>
        <v>0</v>
      </c>
      <c r="B25">
        <f>'Feeders Raw Data'!B25-'Feeders Raw Data'!L25</f>
        <v>0</v>
      </c>
      <c r="C25">
        <f>'Feeders Raw Data'!C25-'Feeders Raw Data'!M25</f>
        <v>0</v>
      </c>
      <c r="D25">
        <f>'Feeders Raw Data'!D25-'Feeders Raw Data'!N25</f>
        <v>0</v>
      </c>
      <c r="E25">
        <f>'Feeders Raw Data'!E25-'Feeders Raw Data'!O25</f>
        <v>0</v>
      </c>
      <c r="F25" t="str">
        <f>'Feeders Raw Data'!I25&amp;" - "&amp;'Feeders Raw Data'!S25</f>
        <v xml:space="preserve"> - </v>
      </c>
      <c r="H25" s="1">
        <f>'Feeders Raw Data'!AE25</f>
        <v>0</v>
      </c>
      <c r="I25">
        <f>'Feeders Raw Data'!AF25-'Feeders Raw Data'!AP25</f>
        <v>0</v>
      </c>
      <c r="J25">
        <f>'Feeders Raw Data'!AG25-'Feeders Raw Data'!AQ25</f>
        <v>0</v>
      </c>
      <c r="K25">
        <f>'Feeders Raw Data'!AH25-'Feeders Raw Data'!AR25</f>
        <v>0</v>
      </c>
      <c r="L25">
        <f>'Feeders Raw Data'!AI25-'Feeders Raw Data'!AS25</f>
        <v>0</v>
      </c>
      <c r="M25" t="str">
        <f>'Feeders Raw Data'!AM25&amp;" - "&amp;'Feeders Raw Data'!AW25</f>
        <v xml:space="preserve"> - </v>
      </c>
      <c r="O25" s="1">
        <f>'Feeders Raw Data'!BI25</f>
        <v>0</v>
      </c>
      <c r="P25">
        <f>'Feeders Raw Data'!BJ25-'Feeders Raw Data'!BT25</f>
        <v>0</v>
      </c>
      <c r="Q25">
        <f>'Feeders Raw Data'!BK25-'Feeders Raw Data'!BU25</f>
        <v>0</v>
      </c>
      <c r="R25">
        <f>'Feeders Raw Data'!BL25-'Feeders Raw Data'!BV25</f>
        <v>0</v>
      </c>
      <c r="S25">
        <f>'Feeders Raw Data'!BM25-'Feeders Raw Data'!BW25</f>
        <v>0</v>
      </c>
      <c r="T25" t="str">
        <f>'Feeders Raw Data'!BQ25&amp;" - "&amp;'Feeders Raw Data'!CA25</f>
        <v xml:space="preserve"> - </v>
      </c>
      <c r="V25" s="1">
        <f>'Feeders Raw Data'!K25</f>
        <v>0</v>
      </c>
      <c r="W25">
        <f>'Feeders Raw Data'!L25-'Feeders Raw Data'!V25</f>
        <v>0</v>
      </c>
      <c r="X25">
        <f>'Feeders Raw Data'!M25-'Feeders Raw Data'!W25</f>
        <v>0</v>
      </c>
      <c r="Y25">
        <f>'Feeders Raw Data'!N25-'Feeders Raw Data'!X25</f>
        <v>0</v>
      </c>
      <c r="Z25">
        <f>'Feeders Raw Data'!O25-'Feeders Raw Data'!Y25</f>
        <v>0</v>
      </c>
      <c r="AA25" t="str">
        <f>'Feeders Raw Data'!S25&amp;" - "&amp;'Feeders Raw Data'!AC25</f>
        <v xml:space="preserve"> - </v>
      </c>
      <c r="AC25" s="1">
        <f>'Feeders Raw Data'!U25</f>
        <v>0</v>
      </c>
      <c r="AD25">
        <f>'Feeders Raw Data'!V25-'Feeders Raw Data'!AF25</f>
        <v>0</v>
      </c>
      <c r="AE25">
        <f>'Feeders Raw Data'!W25-'Feeders Raw Data'!AG25</f>
        <v>0</v>
      </c>
      <c r="AF25">
        <f>'Feeders Raw Data'!X25-'Feeders Raw Data'!AH25</f>
        <v>0</v>
      </c>
      <c r="AG25">
        <f>'Feeders Raw Data'!Y25-'Feeders Raw Data'!AI25</f>
        <v>0</v>
      </c>
      <c r="AH25" t="str">
        <f>'Feeders Raw Data'!AC25&amp;" - "&amp;'Feeders Raw Data'!AM25</f>
        <v xml:space="preserve"> - </v>
      </c>
      <c r="AJ25" s="1">
        <f>'Feeders Raw Data'!AO25</f>
        <v>0</v>
      </c>
      <c r="AK25">
        <f>'Feeders Raw Data'!AP25-'Feeders Raw Data'!AZ25</f>
        <v>0</v>
      </c>
      <c r="AL25">
        <f>'Feeders Raw Data'!AQ25-'Feeders Raw Data'!BA25</f>
        <v>0</v>
      </c>
      <c r="AM25">
        <f>'Feeders Raw Data'!AR25-'Feeders Raw Data'!BB25</f>
        <v>0</v>
      </c>
      <c r="AN25">
        <f>'Feeders Raw Data'!AS25-'Feeders Raw Data'!BC25</f>
        <v>0</v>
      </c>
      <c r="AO25" t="str">
        <f>'Feeders Raw Data'!AW25&amp;" - "&amp;'Feeders Raw Data'!BG25</f>
        <v xml:space="preserve"> - </v>
      </c>
      <c r="AQ25" s="1">
        <f>'Feeders Raw Data'!AY25</f>
        <v>0</v>
      </c>
      <c r="AR25">
        <f>'Feeders Raw Data'!AZ25-'Feeders Raw Data'!BJ25</f>
        <v>0</v>
      </c>
      <c r="AS25">
        <f>'Feeders Raw Data'!BA25-'Feeders Raw Data'!BK25</f>
        <v>0</v>
      </c>
      <c r="AT25">
        <f>'Feeders Raw Data'!BB25-'Feeders Raw Data'!BL25</f>
        <v>0</v>
      </c>
      <c r="AU25">
        <f>'Feeders Raw Data'!BC25-'Feeders Raw Data'!BM25</f>
        <v>0</v>
      </c>
      <c r="AV25" t="str">
        <f>'Feeders Raw Data'!BG25&amp;" - "&amp;'Feeders Raw Data'!BQ25</f>
        <v xml:space="preserve"> - </v>
      </c>
      <c r="AX25" s="1">
        <f>'Feeders Raw Data'!BS25</f>
        <v>0</v>
      </c>
      <c r="AY25">
        <f>'Feeders Raw Data'!BT25-'Feeders Raw Data'!B25</f>
        <v>0</v>
      </c>
      <c r="AZ25">
        <f>'Feeders Raw Data'!BU25-'Feeders Raw Data'!C25</f>
        <v>0</v>
      </c>
      <c r="BA25">
        <f>'Feeders Raw Data'!BV25-'Feeders Raw Data'!D25</f>
        <v>0</v>
      </c>
      <c r="BB25">
        <f>'Feeders Raw Data'!BW25-'Feeders Raw Data'!E25</f>
        <v>0</v>
      </c>
      <c r="BC25" t="str">
        <f>'Feeders Raw Data'!CA25&amp;" - "&amp;'Feeders Raw Data'!I25</f>
        <v xml:space="preserve"> - </v>
      </c>
    </row>
    <row r="26" spans="1:55" x14ac:dyDescent="0.25">
      <c r="A26" s="1">
        <f>'Feeders Raw Data'!A26</f>
        <v>0</v>
      </c>
      <c r="B26">
        <f>'Feeders Raw Data'!B26-'Feeders Raw Data'!L26</f>
        <v>0</v>
      </c>
      <c r="C26">
        <f>'Feeders Raw Data'!C26-'Feeders Raw Data'!M26</f>
        <v>0</v>
      </c>
      <c r="D26">
        <f>'Feeders Raw Data'!D26-'Feeders Raw Data'!N26</f>
        <v>0</v>
      </c>
      <c r="E26">
        <f>'Feeders Raw Data'!E26-'Feeders Raw Data'!O26</f>
        <v>0</v>
      </c>
      <c r="F26" t="str">
        <f>'Feeders Raw Data'!I26&amp;" - "&amp;'Feeders Raw Data'!S26</f>
        <v xml:space="preserve"> - </v>
      </c>
      <c r="H26" s="1">
        <f>'Feeders Raw Data'!AE26</f>
        <v>0</v>
      </c>
      <c r="I26">
        <f>'Feeders Raw Data'!AF26-'Feeders Raw Data'!AP26</f>
        <v>0</v>
      </c>
      <c r="J26">
        <f>'Feeders Raw Data'!AG26-'Feeders Raw Data'!AQ26</f>
        <v>0</v>
      </c>
      <c r="K26">
        <f>'Feeders Raw Data'!AH26-'Feeders Raw Data'!AR26</f>
        <v>0</v>
      </c>
      <c r="L26">
        <f>'Feeders Raw Data'!AI26-'Feeders Raw Data'!AS26</f>
        <v>0</v>
      </c>
      <c r="M26" t="str">
        <f>'Feeders Raw Data'!AM26&amp;" - "&amp;'Feeders Raw Data'!AW26</f>
        <v xml:space="preserve"> - </v>
      </c>
      <c r="O26" s="1">
        <f>'Feeders Raw Data'!BI26</f>
        <v>0</v>
      </c>
      <c r="P26">
        <f>'Feeders Raw Data'!BJ26-'Feeders Raw Data'!BT26</f>
        <v>0</v>
      </c>
      <c r="Q26">
        <f>'Feeders Raw Data'!BK26-'Feeders Raw Data'!BU26</f>
        <v>0</v>
      </c>
      <c r="R26">
        <f>'Feeders Raw Data'!BL26-'Feeders Raw Data'!BV26</f>
        <v>0</v>
      </c>
      <c r="S26">
        <f>'Feeders Raw Data'!BM26-'Feeders Raw Data'!BW26</f>
        <v>0</v>
      </c>
      <c r="T26" t="str">
        <f>'Feeders Raw Data'!BQ26&amp;" - "&amp;'Feeders Raw Data'!CA26</f>
        <v xml:space="preserve"> - </v>
      </c>
      <c r="V26" s="1">
        <f>'Feeders Raw Data'!K26</f>
        <v>0</v>
      </c>
      <c r="W26">
        <f>'Feeders Raw Data'!L26-'Feeders Raw Data'!V26</f>
        <v>0</v>
      </c>
      <c r="X26">
        <f>'Feeders Raw Data'!M26-'Feeders Raw Data'!W26</f>
        <v>0</v>
      </c>
      <c r="Y26">
        <f>'Feeders Raw Data'!N26-'Feeders Raw Data'!X26</f>
        <v>0</v>
      </c>
      <c r="Z26">
        <f>'Feeders Raw Data'!O26-'Feeders Raw Data'!Y26</f>
        <v>0</v>
      </c>
      <c r="AA26" t="str">
        <f>'Feeders Raw Data'!S26&amp;" - "&amp;'Feeders Raw Data'!AC26</f>
        <v xml:space="preserve"> - </v>
      </c>
      <c r="AC26" s="1">
        <f>'Feeders Raw Data'!U26</f>
        <v>0</v>
      </c>
      <c r="AD26">
        <f>'Feeders Raw Data'!V26-'Feeders Raw Data'!AF26</f>
        <v>0</v>
      </c>
      <c r="AE26">
        <f>'Feeders Raw Data'!W26-'Feeders Raw Data'!AG26</f>
        <v>0</v>
      </c>
      <c r="AF26">
        <f>'Feeders Raw Data'!X26-'Feeders Raw Data'!AH26</f>
        <v>0</v>
      </c>
      <c r="AG26">
        <f>'Feeders Raw Data'!Y26-'Feeders Raw Data'!AI26</f>
        <v>0</v>
      </c>
      <c r="AH26" t="str">
        <f>'Feeders Raw Data'!AC26&amp;" - "&amp;'Feeders Raw Data'!AM26</f>
        <v xml:space="preserve"> - </v>
      </c>
      <c r="AJ26" s="1">
        <f>'Feeders Raw Data'!AO26</f>
        <v>0</v>
      </c>
      <c r="AK26">
        <f>'Feeders Raw Data'!AP26-'Feeders Raw Data'!AZ26</f>
        <v>0</v>
      </c>
      <c r="AL26">
        <f>'Feeders Raw Data'!AQ26-'Feeders Raw Data'!BA26</f>
        <v>0</v>
      </c>
      <c r="AM26">
        <f>'Feeders Raw Data'!AR26-'Feeders Raw Data'!BB26</f>
        <v>0</v>
      </c>
      <c r="AN26">
        <f>'Feeders Raw Data'!AS26-'Feeders Raw Data'!BC26</f>
        <v>0</v>
      </c>
      <c r="AO26" t="str">
        <f>'Feeders Raw Data'!AW26&amp;" - "&amp;'Feeders Raw Data'!BG26</f>
        <v xml:space="preserve"> - </v>
      </c>
      <c r="AQ26" s="1">
        <f>'Feeders Raw Data'!AY26</f>
        <v>0</v>
      </c>
      <c r="AR26">
        <f>'Feeders Raw Data'!AZ26-'Feeders Raw Data'!BJ26</f>
        <v>0</v>
      </c>
      <c r="AS26">
        <f>'Feeders Raw Data'!BA26-'Feeders Raw Data'!BK26</f>
        <v>0</v>
      </c>
      <c r="AT26">
        <f>'Feeders Raw Data'!BB26-'Feeders Raw Data'!BL26</f>
        <v>0</v>
      </c>
      <c r="AU26">
        <f>'Feeders Raw Data'!BC26-'Feeders Raw Data'!BM26</f>
        <v>0</v>
      </c>
      <c r="AV26" t="str">
        <f>'Feeders Raw Data'!BG26&amp;" - "&amp;'Feeders Raw Data'!BQ26</f>
        <v xml:space="preserve"> - </v>
      </c>
      <c r="AX26" s="1">
        <f>'Feeders Raw Data'!BS26</f>
        <v>0</v>
      </c>
      <c r="AY26">
        <f>'Feeders Raw Data'!BT26-'Feeders Raw Data'!B26</f>
        <v>0</v>
      </c>
      <c r="AZ26">
        <f>'Feeders Raw Data'!BU26-'Feeders Raw Data'!C26</f>
        <v>0</v>
      </c>
      <c r="BA26">
        <f>'Feeders Raw Data'!BV26-'Feeders Raw Data'!D26</f>
        <v>0</v>
      </c>
      <c r="BB26">
        <f>'Feeders Raw Data'!BW26-'Feeders Raw Data'!E26</f>
        <v>0</v>
      </c>
      <c r="BC26" t="str">
        <f>'Feeders Raw Data'!CA26&amp;" - "&amp;'Feeders Raw Data'!I26</f>
        <v xml:space="preserve"> - </v>
      </c>
    </row>
    <row r="27" spans="1:55" x14ac:dyDescent="0.25">
      <c r="A27" s="1">
        <f>'Feeders Raw Data'!A27</f>
        <v>0</v>
      </c>
      <c r="B27">
        <f>'Feeders Raw Data'!B27-'Feeders Raw Data'!L27</f>
        <v>0</v>
      </c>
      <c r="C27">
        <f>'Feeders Raw Data'!C27-'Feeders Raw Data'!M27</f>
        <v>0</v>
      </c>
      <c r="D27">
        <f>'Feeders Raw Data'!D27-'Feeders Raw Data'!N27</f>
        <v>0</v>
      </c>
      <c r="E27">
        <f>'Feeders Raw Data'!E27-'Feeders Raw Data'!O27</f>
        <v>0</v>
      </c>
      <c r="F27" t="str">
        <f>'Feeders Raw Data'!I27&amp;" - "&amp;'Feeders Raw Data'!S27</f>
        <v xml:space="preserve"> - </v>
      </c>
      <c r="H27" s="1">
        <f>'Feeders Raw Data'!AE27</f>
        <v>0</v>
      </c>
      <c r="I27">
        <f>'Feeders Raw Data'!AF27-'Feeders Raw Data'!AP27</f>
        <v>0</v>
      </c>
      <c r="J27">
        <f>'Feeders Raw Data'!AG27-'Feeders Raw Data'!AQ27</f>
        <v>0</v>
      </c>
      <c r="K27">
        <f>'Feeders Raw Data'!AH27-'Feeders Raw Data'!AR27</f>
        <v>0</v>
      </c>
      <c r="L27">
        <f>'Feeders Raw Data'!AI27-'Feeders Raw Data'!AS27</f>
        <v>0</v>
      </c>
      <c r="M27" t="str">
        <f>'Feeders Raw Data'!AM27&amp;" - "&amp;'Feeders Raw Data'!AW27</f>
        <v xml:space="preserve"> - </v>
      </c>
      <c r="O27" s="1">
        <f>'Feeders Raw Data'!BI27</f>
        <v>0</v>
      </c>
      <c r="P27">
        <f>'Feeders Raw Data'!BJ27-'Feeders Raw Data'!BT27</f>
        <v>0</v>
      </c>
      <c r="Q27">
        <f>'Feeders Raw Data'!BK27-'Feeders Raw Data'!BU27</f>
        <v>0</v>
      </c>
      <c r="R27">
        <f>'Feeders Raw Data'!BL27-'Feeders Raw Data'!BV27</f>
        <v>0</v>
      </c>
      <c r="S27">
        <f>'Feeders Raw Data'!BM27-'Feeders Raw Data'!BW27</f>
        <v>0</v>
      </c>
      <c r="T27" t="str">
        <f>'Feeders Raw Data'!BQ27&amp;" - "&amp;'Feeders Raw Data'!CA27</f>
        <v xml:space="preserve"> - </v>
      </c>
      <c r="V27" s="1">
        <f>'Feeders Raw Data'!K27</f>
        <v>0</v>
      </c>
      <c r="W27">
        <f>'Feeders Raw Data'!L27-'Feeders Raw Data'!V27</f>
        <v>0</v>
      </c>
      <c r="X27">
        <f>'Feeders Raw Data'!M27-'Feeders Raw Data'!W27</f>
        <v>0</v>
      </c>
      <c r="Y27">
        <f>'Feeders Raw Data'!N27-'Feeders Raw Data'!X27</f>
        <v>0</v>
      </c>
      <c r="Z27">
        <f>'Feeders Raw Data'!O27-'Feeders Raw Data'!Y27</f>
        <v>0</v>
      </c>
      <c r="AA27" t="str">
        <f>'Feeders Raw Data'!S27&amp;" - "&amp;'Feeders Raw Data'!AC27</f>
        <v xml:space="preserve"> - </v>
      </c>
      <c r="AC27" s="1">
        <f>'Feeders Raw Data'!U27</f>
        <v>0</v>
      </c>
      <c r="AD27">
        <f>'Feeders Raw Data'!V27-'Feeders Raw Data'!AF27</f>
        <v>0</v>
      </c>
      <c r="AE27">
        <f>'Feeders Raw Data'!W27-'Feeders Raw Data'!AG27</f>
        <v>0</v>
      </c>
      <c r="AF27">
        <f>'Feeders Raw Data'!X27-'Feeders Raw Data'!AH27</f>
        <v>0</v>
      </c>
      <c r="AG27">
        <f>'Feeders Raw Data'!Y27-'Feeders Raw Data'!AI27</f>
        <v>0</v>
      </c>
      <c r="AH27" t="str">
        <f>'Feeders Raw Data'!AC27&amp;" - "&amp;'Feeders Raw Data'!AM27</f>
        <v xml:space="preserve"> - </v>
      </c>
      <c r="AJ27" s="1">
        <f>'Feeders Raw Data'!AO27</f>
        <v>0</v>
      </c>
      <c r="AK27">
        <f>'Feeders Raw Data'!AP27-'Feeders Raw Data'!AZ27</f>
        <v>0</v>
      </c>
      <c r="AL27">
        <f>'Feeders Raw Data'!AQ27-'Feeders Raw Data'!BA27</f>
        <v>0</v>
      </c>
      <c r="AM27">
        <f>'Feeders Raw Data'!AR27-'Feeders Raw Data'!BB27</f>
        <v>0</v>
      </c>
      <c r="AN27">
        <f>'Feeders Raw Data'!AS27-'Feeders Raw Data'!BC27</f>
        <v>0</v>
      </c>
      <c r="AO27" t="str">
        <f>'Feeders Raw Data'!AW27&amp;" - "&amp;'Feeders Raw Data'!BG27</f>
        <v xml:space="preserve"> - </v>
      </c>
      <c r="AQ27" s="1">
        <f>'Feeders Raw Data'!AY27</f>
        <v>0</v>
      </c>
      <c r="AR27">
        <f>'Feeders Raw Data'!AZ27-'Feeders Raw Data'!BJ27</f>
        <v>0</v>
      </c>
      <c r="AS27">
        <f>'Feeders Raw Data'!BA27-'Feeders Raw Data'!BK27</f>
        <v>0</v>
      </c>
      <c r="AT27">
        <f>'Feeders Raw Data'!BB27-'Feeders Raw Data'!BL27</f>
        <v>0</v>
      </c>
      <c r="AU27">
        <f>'Feeders Raw Data'!BC27-'Feeders Raw Data'!BM27</f>
        <v>0</v>
      </c>
      <c r="AV27" t="str">
        <f>'Feeders Raw Data'!BG27&amp;" - "&amp;'Feeders Raw Data'!BQ27</f>
        <v xml:space="preserve"> - </v>
      </c>
      <c r="AX27" s="1">
        <f>'Feeders Raw Data'!BS27</f>
        <v>0</v>
      </c>
      <c r="AY27">
        <f>'Feeders Raw Data'!BT27-'Feeders Raw Data'!B27</f>
        <v>0</v>
      </c>
      <c r="AZ27">
        <f>'Feeders Raw Data'!BU27-'Feeders Raw Data'!C27</f>
        <v>0</v>
      </c>
      <c r="BA27">
        <f>'Feeders Raw Data'!BV27-'Feeders Raw Data'!D27</f>
        <v>0</v>
      </c>
      <c r="BB27">
        <f>'Feeders Raw Data'!BW27-'Feeders Raw Data'!E27</f>
        <v>0</v>
      </c>
      <c r="BC27" t="str">
        <f>'Feeders Raw Data'!CA27&amp;" - "&amp;'Feeders Raw Data'!I27</f>
        <v xml:space="preserve"> - </v>
      </c>
    </row>
    <row r="28" spans="1:55" x14ac:dyDescent="0.25">
      <c r="A28" s="1">
        <f>'Feeders Raw Data'!A28</f>
        <v>0</v>
      </c>
      <c r="B28">
        <f>'Feeders Raw Data'!B28-'Feeders Raw Data'!L28</f>
        <v>0</v>
      </c>
      <c r="C28">
        <f>'Feeders Raw Data'!C28-'Feeders Raw Data'!M28</f>
        <v>0</v>
      </c>
      <c r="D28">
        <f>'Feeders Raw Data'!D28-'Feeders Raw Data'!N28</f>
        <v>0</v>
      </c>
      <c r="E28">
        <f>'Feeders Raw Data'!E28-'Feeders Raw Data'!O28</f>
        <v>0</v>
      </c>
      <c r="F28" t="str">
        <f>'Feeders Raw Data'!I28&amp;" - "&amp;'Feeders Raw Data'!S28</f>
        <v xml:space="preserve"> - </v>
      </c>
      <c r="H28" s="1">
        <f>'Feeders Raw Data'!AE28</f>
        <v>0</v>
      </c>
      <c r="I28">
        <f>'Feeders Raw Data'!AF28-'Feeders Raw Data'!AP28</f>
        <v>0</v>
      </c>
      <c r="J28">
        <f>'Feeders Raw Data'!AG28-'Feeders Raw Data'!AQ28</f>
        <v>0</v>
      </c>
      <c r="K28">
        <f>'Feeders Raw Data'!AH28-'Feeders Raw Data'!AR28</f>
        <v>0</v>
      </c>
      <c r="L28">
        <f>'Feeders Raw Data'!AI28-'Feeders Raw Data'!AS28</f>
        <v>0</v>
      </c>
      <c r="M28" t="str">
        <f>'Feeders Raw Data'!AM28&amp;" - "&amp;'Feeders Raw Data'!AW28</f>
        <v xml:space="preserve"> - </v>
      </c>
      <c r="O28" s="1">
        <f>'Feeders Raw Data'!BI28</f>
        <v>0</v>
      </c>
      <c r="P28">
        <f>'Feeders Raw Data'!BJ28-'Feeders Raw Data'!BT28</f>
        <v>0</v>
      </c>
      <c r="Q28">
        <f>'Feeders Raw Data'!BK28-'Feeders Raw Data'!BU28</f>
        <v>0</v>
      </c>
      <c r="R28">
        <f>'Feeders Raw Data'!BL28-'Feeders Raw Data'!BV28</f>
        <v>0</v>
      </c>
      <c r="S28">
        <f>'Feeders Raw Data'!BM28-'Feeders Raw Data'!BW28</f>
        <v>0</v>
      </c>
      <c r="T28" t="str">
        <f>'Feeders Raw Data'!BQ28&amp;" - "&amp;'Feeders Raw Data'!CA28</f>
        <v xml:space="preserve"> - </v>
      </c>
      <c r="V28" s="1">
        <f>'Feeders Raw Data'!K28</f>
        <v>0</v>
      </c>
      <c r="W28">
        <f>'Feeders Raw Data'!L28-'Feeders Raw Data'!V28</f>
        <v>0</v>
      </c>
      <c r="X28">
        <f>'Feeders Raw Data'!M28-'Feeders Raw Data'!W28</f>
        <v>0</v>
      </c>
      <c r="Y28">
        <f>'Feeders Raw Data'!N28-'Feeders Raw Data'!X28</f>
        <v>0</v>
      </c>
      <c r="Z28">
        <f>'Feeders Raw Data'!O28-'Feeders Raw Data'!Y28</f>
        <v>0</v>
      </c>
      <c r="AA28" t="str">
        <f>'Feeders Raw Data'!S28&amp;" - "&amp;'Feeders Raw Data'!AC28</f>
        <v xml:space="preserve"> - </v>
      </c>
      <c r="AC28" s="1">
        <f>'Feeders Raw Data'!U28</f>
        <v>0</v>
      </c>
      <c r="AD28">
        <f>'Feeders Raw Data'!V28-'Feeders Raw Data'!AF28</f>
        <v>0</v>
      </c>
      <c r="AE28">
        <f>'Feeders Raw Data'!W28-'Feeders Raw Data'!AG28</f>
        <v>0</v>
      </c>
      <c r="AF28">
        <f>'Feeders Raw Data'!X28-'Feeders Raw Data'!AH28</f>
        <v>0</v>
      </c>
      <c r="AG28">
        <f>'Feeders Raw Data'!Y28-'Feeders Raw Data'!AI28</f>
        <v>0</v>
      </c>
      <c r="AH28" t="str">
        <f>'Feeders Raw Data'!AC28&amp;" - "&amp;'Feeders Raw Data'!AM28</f>
        <v xml:space="preserve"> - </v>
      </c>
      <c r="AJ28" s="1">
        <f>'Feeders Raw Data'!AO28</f>
        <v>0</v>
      </c>
      <c r="AK28">
        <f>'Feeders Raw Data'!AP28-'Feeders Raw Data'!AZ28</f>
        <v>0</v>
      </c>
      <c r="AL28">
        <f>'Feeders Raw Data'!AQ28-'Feeders Raw Data'!BA28</f>
        <v>0</v>
      </c>
      <c r="AM28">
        <f>'Feeders Raw Data'!AR28-'Feeders Raw Data'!BB28</f>
        <v>0</v>
      </c>
      <c r="AN28">
        <f>'Feeders Raw Data'!AS28-'Feeders Raw Data'!BC28</f>
        <v>0</v>
      </c>
      <c r="AO28" t="str">
        <f>'Feeders Raw Data'!AW28&amp;" - "&amp;'Feeders Raw Data'!BG28</f>
        <v xml:space="preserve"> - </v>
      </c>
      <c r="AQ28" s="1">
        <f>'Feeders Raw Data'!AY28</f>
        <v>0</v>
      </c>
      <c r="AR28">
        <f>'Feeders Raw Data'!AZ28-'Feeders Raw Data'!BJ28</f>
        <v>0</v>
      </c>
      <c r="AS28">
        <f>'Feeders Raw Data'!BA28-'Feeders Raw Data'!BK28</f>
        <v>0</v>
      </c>
      <c r="AT28">
        <f>'Feeders Raw Data'!BB28-'Feeders Raw Data'!BL28</f>
        <v>0</v>
      </c>
      <c r="AU28">
        <f>'Feeders Raw Data'!BC28-'Feeders Raw Data'!BM28</f>
        <v>0</v>
      </c>
      <c r="AV28" t="str">
        <f>'Feeders Raw Data'!BG28&amp;" - "&amp;'Feeders Raw Data'!BQ28</f>
        <v xml:space="preserve"> - </v>
      </c>
      <c r="AX28" s="1">
        <f>'Feeders Raw Data'!BS28</f>
        <v>0</v>
      </c>
      <c r="AY28">
        <f>'Feeders Raw Data'!BT28-'Feeders Raw Data'!B28</f>
        <v>0</v>
      </c>
      <c r="AZ28">
        <f>'Feeders Raw Data'!BU28-'Feeders Raw Data'!C28</f>
        <v>0</v>
      </c>
      <c r="BA28">
        <f>'Feeders Raw Data'!BV28-'Feeders Raw Data'!D28</f>
        <v>0</v>
      </c>
      <c r="BB28">
        <f>'Feeders Raw Data'!BW28-'Feeders Raw Data'!E28</f>
        <v>0</v>
      </c>
      <c r="BC28" t="str">
        <f>'Feeders Raw Data'!CA28&amp;" - "&amp;'Feeders Raw Data'!I28</f>
        <v xml:space="preserve"> - </v>
      </c>
    </row>
    <row r="29" spans="1:55" x14ac:dyDescent="0.25">
      <c r="A29" s="1">
        <f>'Feeders Raw Data'!A29</f>
        <v>0</v>
      </c>
      <c r="B29">
        <f>'Feeders Raw Data'!B29-'Feeders Raw Data'!L29</f>
        <v>0</v>
      </c>
      <c r="C29">
        <f>'Feeders Raw Data'!C29-'Feeders Raw Data'!M29</f>
        <v>0</v>
      </c>
      <c r="D29">
        <f>'Feeders Raw Data'!D29-'Feeders Raw Data'!N29</f>
        <v>0</v>
      </c>
      <c r="E29">
        <f>'Feeders Raw Data'!E29-'Feeders Raw Data'!O29</f>
        <v>0</v>
      </c>
      <c r="F29" t="str">
        <f>'Feeders Raw Data'!I29&amp;" - "&amp;'Feeders Raw Data'!S29</f>
        <v xml:space="preserve"> - </v>
      </c>
      <c r="H29" s="1">
        <f>'Feeders Raw Data'!AE29</f>
        <v>0</v>
      </c>
      <c r="I29">
        <f>'Feeders Raw Data'!AF29-'Feeders Raw Data'!AP29</f>
        <v>0</v>
      </c>
      <c r="J29">
        <f>'Feeders Raw Data'!AG29-'Feeders Raw Data'!AQ29</f>
        <v>0</v>
      </c>
      <c r="K29">
        <f>'Feeders Raw Data'!AH29-'Feeders Raw Data'!AR29</f>
        <v>0</v>
      </c>
      <c r="L29">
        <f>'Feeders Raw Data'!AI29-'Feeders Raw Data'!AS29</f>
        <v>0</v>
      </c>
      <c r="M29" t="str">
        <f>'Feeders Raw Data'!AM29&amp;" - "&amp;'Feeders Raw Data'!AW29</f>
        <v xml:space="preserve"> - </v>
      </c>
      <c r="O29" s="1">
        <f>'Feeders Raw Data'!BI29</f>
        <v>0</v>
      </c>
      <c r="P29">
        <f>'Feeders Raw Data'!BJ29-'Feeders Raw Data'!BT29</f>
        <v>0</v>
      </c>
      <c r="Q29">
        <f>'Feeders Raw Data'!BK29-'Feeders Raw Data'!BU29</f>
        <v>0</v>
      </c>
      <c r="R29">
        <f>'Feeders Raw Data'!BL29-'Feeders Raw Data'!BV29</f>
        <v>0</v>
      </c>
      <c r="S29">
        <f>'Feeders Raw Data'!BM29-'Feeders Raw Data'!BW29</f>
        <v>0</v>
      </c>
      <c r="T29" t="str">
        <f>'Feeders Raw Data'!BQ29&amp;" - "&amp;'Feeders Raw Data'!CA29</f>
        <v xml:space="preserve"> - </v>
      </c>
      <c r="V29" s="1">
        <f>'Feeders Raw Data'!K29</f>
        <v>0</v>
      </c>
      <c r="W29">
        <f>'Feeders Raw Data'!L29-'Feeders Raw Data'!V29</f>
        <v>0</v>
      </c>
      <c r="X29">
        <f>'Feeders Raw Data'!M29-'Feeders Raw Data'!W29</f>
        <v>0</v>
      </c>
      <c r="Y29">
        <f>'Feeders Raw Data'!N29-'Feeders Raw Data'!X29</f>
        <v>0</v>
      </c>
      <c r="Z29">
        <f>'Feeders Raw Data'!O29-'Feeders Raw Data'!Y29</f>
        <v>0</v>
      </c>
      <c r="AA29" t="str">
        <f>'Feeders Raw Data'!S29&amp;" - "&amp;'Feeders Raw Data'!AC29</f>
        <v xml:space="preserve"> - </v>
      </c>
      <c r="AC29" s="1">
        <f>'Feeders Raw Data'!U29</f>
        <v>0</v>
      </c>
      <c r="AD29">
        <f>'Feeders Raw Data'!V29-'Feeders Raw Data'!AF29</f>
        <v>0</v>
      </c>
      <c r="AE29">
        <f>'Feeders Raw Data'!W29-'Feeders Raw Data'!AG29</f>
        <v>0</v>
      </c>
      <c r="AF29">
        <f>'Feeders Raw Data'!X29-'Feeders Raw Data'!AH29</f>
        <v>0</v>
      </c>
      <c r="AG29">
        <f>'Feeders Raw Data'!Y29-'Feeders Raw Data'!AI29</f>
        <v>0</v>
      </c>
      <c r="AH29" t="str">
        <f>'Feeders Raw Data'!AC29&amp;" - "&amp;'Feeders Raw Data'!AM29</f>
        <v xml:space="preserve"> - </v>
      </c>
      <c r="AJ29" s="1">
        <f>'Feeders Raw Data'!AO29</f>
        <v>0</v>
      </c>
      <c r="AK29">
        <f>'Feeders Raw Data'!AP29-'Feeders Raw Data'!AZ29</f>
        <v>0</v>
      </c>
      <c r="AL29">
        <f>'Feeders Raw Data'!AQ29-'Feeders Raw Data'!BA29</f>
        <v>0</v>
      </c>
      <c r="AM29">
        <f>'Feeders Raw Data'!AR29-'Feeders Raw Data'!BB29</f>
        <v>0</v>
      </c>
      <c r="AN29">
        <f>'Feeders Raw Data'!AS29-'Feeders Raw Data'!BC29</f>
        <v>0</v>
      </c>
      <c r="AO29" t="str">
        <f>'Feeders Raw Data'!AW29&amp;" - "&amp;'Feeders Raw Data'!BG29</f>
        <v xml:space="preserve"> - </v>
      </c>
      <c r="AQ29" s="1">
        <f>'Feeders Raw Data'!AY29</f>
        <v>0</v>
      </c>
      <c r="AR29">
        <f>'Feeders Raw Data'!AZ29-'Feeders Raw Data'!BJ29</f>
        <v>0</v>
      </c>
      <c r="AS29">
        <f>'Feeders Raw Data'!BA29-'Feeders Raw Data'!BK29</f>
        <v>0</v>
      </c>
      <c r="AT29">
        <f>'Feeders Raw Data'!BB29-'Feeders Raw Data'!BL29</f>
        <v>0</v>
      </c>
      <c r="AU29">
        <f>'Feeders Raw Data'!BC29-'Feeders Raw Data'!BM29</f>
        <v>0</v>
      </c>
      <c r="AV29" t="str">
        <f>'Feeders Raw Data'!BG29&amp;" - "&amp;'Feeders Raw Data'!BQ29</f>
        <v xml:space="preserve"> - </v>
      </c>
      <c r="AX29" s="1">
        <f>'Feeders Raw Data'!BS29</f>
        <v>0</v>
      </c>
      <c r="AY29">
        <f>'Feeders Raw Data'!BT29-'Feeders Raw Data'!B29</f>
        <v>0</v>
      </c>
      <c r="AZ29">
        <f>'Feeders Raw Data'!BU29-'Feeders Raw Data'!C29</f>
        <v>0</v>
      </c>
      <c r="BA29">
        <f>'Feeders Raw Data'!BV29-'Feeders Raw Data'!D29</f>
        <v>0</v>
      </c>
      <c r="BB29">
        <f>'Feeders Raw Data'!BW29-'Feeders Raw Data'!E29</f>
        <v>0</v>
      </c>
      <c r="BC29" t="str">
        <f>'Feeders Raw Data'!CA29&amp;" - "&amp;'Feeders Raw Data'!I29</f>
        <v xml:space="preserve"> - </v>
      </c>
    </row>
    <row r="30" spans="1:55" x14ac:dyDescent="0.25">
      <c r="A30" s="1">
        <f>'Feeders Raw Data'!A30</f>
        <v>0</v>
      </c>
      <c r="B30">
        <f>'Feeders Raw Data'!B30-'Feeders Raw Data'!L30</f>
        <v>0</v>
      </c>
      <c r="C30">
        <f>'Feeders Raw Data'!C30-'Feeders Raw Data'!M30</f>
        <v>0</v>
      </c>
      <c r="D30">
        <f>'Feeders Raw Data'!D30-'Feeders Raw Data'!N30</f>
        <v>0</v>
      </c>
      <c r="E30">
        <f>'Feeders Raw Data'!E30-'Feeders Raw Data'!O30</f>
        <v>0</v>
      </c>
      <c r="F30" t="str">
        <f>'Feeders Raw Data'!I30&amp;" - "&amp;'Feeders Raw Data'!S30</f>
        <v xml:space="preserve"> - </v>
      </c>
      <c r="H30" s="1">
        <f>'Feeders Raw Data'!AE30</f>
        <v>0</v>
      </c>
      <c r="I30">
        <f>'Feeders Raw Data'!AF30-'Feeders Raw Data'!AP30</f>
        <v>0</v>
      </c>
      <c r="J30">
        <f>'Feeders Raw Data'!AG30-'Feeders Raw Data'!AQ30</f>
        <v>0</v>
      </c>
      <c r="K30">
        <f>'Feeders Raw Data'!AH30-'Feeders Raw Data'!AR30</f>
        <v>0</v>
      </c>
      <c r="L30">
        <f>'Feeders Raw Data'!AI30-'Feeders Raw Data'!AS30</f>
        <v>0</v>
      </c>
      <c r="M30" t="str">
        <f>'Feeders Raw Data'!AM30&amp;" - "&amp;'Feeders Raw Data'!AW30</f>
        <v xml:space="preserve"> - </v>
      </c>
      <c r="O30" s="1">
        <f>'Feeders Raw Data'!BI30</f>
        <v>0</v>
      </c>
      <c r="P30">
        <f>'Feeders Raw Data'!BJ30-'Feeders Raw Data'!BT30</f>
        <v>0</v>
      </c>
      <c r="Q30">
        <f>'Feeders Raw Data'!BK30-'Feeders Raw Data'!BU30</f>
        <v>0</v>
      </c>
      <c r="R30">
        <f>'Feeders Raw Data'!BL30-'Feeders Raw Data'!BV30</f>
        <v>0</v>
      </c>
      <c r="S30">
        <f>'Feeders Raw Data'!BM30-'Feeders Raw Data'!BW30</f>
        <v>0</v>
      </c>
      <c r="T30" t="str">
        <f>'Feeders Raw Data'!BQ30&amp;" - "&amp;'Feeders Raw Data'!CA30</f>
        <v xml:space="preserve"> - </v>
      </c>
      <c r="V30" s="1">
        <f>'Feeders Raw Data'!K30</f>
        <v>0</v>
      </c>
      <c r="W30">
        <f>'Feeders Raw Data'!L30-'Feeders Raw Data'!V30</f>
        <v>0</v>
      </c>
      <c r="X30">
        <f>'Feeders Raw Data'!M30-'Feeders Raw Data'!W30</f>
        <v>0</v>
      </c>
      <c r="Y30">
        <f>'Feeders Raw Data'!N30-'Feeders Raw Data'!X30</f>
        <v>0</v>
      </c>
      <c r="Z30">
        <f>'Feeders Raw Data'!O30-'Feeders Raw Data'!Y30</f>
        <v>0</v>
      </c>
      <c r="AA30" t="str">
        <f>'Feeders Raw Data'!S30&amp;" - "&amp;'Feeders Raw Data'!AC30</f>
        <v xml:space="preserve"> - </v>
      </c>
      <c r="AC30" s="1">
        <f>'Feeders Raw Data'!U30</f>
        <v>0</v>
      </c>
      <c r="AD30">
        <f>'Feeders Raw Data'!V30-'Feeders Raw Data'!AF30</f>
        <v>0</v>
      </c>
      <c r="AE30">
        <f>'Feeders Raw Data'!W30-'Feeders Raw Data'!AG30</f>
        <v>0</v>
      </c>
      <c r="AF30">
        <f>'Feeders Raw Data'!X30-'Feeders Raw Data'!AH30</f>
        <v>0</v>
      </c>
      <c r="AG30">
        <f>'Feeders Raw Data'!Y30-'Feeders Raw Data'!AI30</f>
        <v>0</v>
      </c>
      <c r="AH30" t="str">
        <f>'Feeders Raw Data'!AC30&amp;" - "&amp;'Feeders Raw Data'!AM30</f>
        <v xml:space="preserve"> - </v>
      </c>
      <c r="AJ30" s="1">
        <f>'Feeders Raw Data'!AO30</f>
        <v>0</v>
      </c>
      <c r="AK30">
        <f>'Feeders Raw Data'!AP30-'Feeders Raw Data'!AZ30</f>
        <v>0</v>
      </c>
      <c r="AL30">
        <f>'Feeders Raw Data'!AQ30-'Feeders Raw Data'!BA30</f>
        <v>0</v>
      </c>
      <c r="AM30">
        <f>'Feeders Raw Data'!AR30-'Feeders Raw Data'!BB30</f>
        <v>0</v>
      </c>
      <c r="AN30">
        <f>'Feeders Raw Data'!AS30-'Feeders Raw Data'!BC30</f>
        <v>0</v>
      </c>
      <c r="AO30" t="str">
        <f>'Feeders Raw Data'!AW30&amp;" - "&amp;'Feeders Raw Data'!BG30</f>
        <v xml:space="preserve"> - </v>
      </c>
      <c r="AQ30" s="1">
        <f>'Feeders Raw Data'!AY30</f>
        <v>0</v>
      </c>
      <c r="AR30">
        <f>'Feeders Raw Data'!AZ30-'Feeders Raw Data'!BJ30</f>
        <v>0</v>
      </c>
      <c r="AS30">
        <f>'Feeders Raw Data'!BA30-'Feeders Raw Data'!BK30</f>
        <v>0</v>
      </c>
      <c r="AT30">
        <f>'Feeders Raw Data'!BB30-'Feeders Raw Data'!BL30</f>
        <v>0</v>
      </c>
      <c r="AU30">
        <f>'Feeders Raw Data'!BC30-'Feeders Raw Data'!BM30</f>
        <v>0</v>
      </c>
      <c r="AV30" t="str">
        <f>'Feeders Raw Data'!BG30&amp;" - "&amp;'Feeders Raw Data'!BQ30</f>
        <v xml:space="preserve"> - </v>
      </c>
      <c r="AX30" s="1">
        <f>'Feeders Raw Data'!BS30</f>
        <v>0</v>
      </c>
      <c r="AY30">
        <f>'Feeders Raw Data'!BT30-'Feeders Raw Data'!B30</f>
        <v>0</v>
      </c>
      <c r="AZ30">
        <f>'Feeders Raw Data'!BU30-'Feeders Raw Data'!C30</f>
        <v>0</v>
      </c>
      <c r="BA30">
        <f>'Feeders Raw Data'!BV30-'Feeders Raw Data'!D30</f>
        <v>0</v>
      </c>
      <c r="BB30">
        <f>'Feeders Raw Data'!BW30-'Feeders Raw Data'!E30</f>
        <v>0</v>
      </c>
      <c r="BC30" t="str">
        <f>'Feeders Raw Data'!CA30&amp;" - "&amp;'Feeders Raw Data'!I30</f>
        <v xml:space="preserve"> - </v>
      </c>
    </row>
    <row r="31" spans="1:55" x14ac:dyDescent="0.25">
      <c r="A31" s="1">
        <f>'Feeders Raw Data'!A31</f>
        <v>0</v>
      </c>
      <c r="B31">
        <f>'Feeders Raw Data'!B31-'Feeders Raw Data'!L31</f>
        <v>0</v>
      </c>
      <c r="C31">
        <f>'Feeders Raw Data'!C31-'Feeders Raw Data'!M31</f>
        <v>0</v>
      </c>
      <c r="D31">
        <f>'Feeders Raw Data'!D31-'Feeders Raw Data'!N31</f>
        <v>0</v>
      </c>
      <c r="E31">
        <f>'Feeders Raw Data'!E31-'Feeders Raw Data'!O31</f>
        <v>0</v>
      </c>
      <c r="F31" t="str">
        <f>'Feeders Raw Data'!I31&amp;" - "&amp;'Feeders Raw Data'!S31</f>
        <v xml:space="preserve"> - </v>
      </c>
      <c r="H31" s="1">
        <f>'Feeders Raw Data'!AE31</f>
        <v>0</v>
      </c>
      <c r="I31">
        <f>'Feeders Raw Data'!AF31-'Feeders Raw Data'!AP31</f>
        <v>0</v>
      </c>
      <c r="J31">
        <f>'Feeders Raw Data'!AG31-'Feeders Raw Data'!AQ31</f>
        <v>0</v>
      </c>
      <c r="K31">
        <f>'Feeders Raw Data'!AH31-'Feeders Raw Data'!AR31</f>
        <v>0</v>
      </c>
      <c r="L31">
        <f>'Feeders Raw Data'!AI31-'Feeders Raw Data'!AS31</f>
        <v>0</v>
      </c>
      <c r="M31" t="str">
        <f>'Feeders Raw Data'!AM31&amp;" - "&amp;'Feeders Raw Data'!AW31</f>
        <v xml:space="preserve"> - </v>
      </c>
      <c r="O31" s="1">
        <f>'Feeders Raw Data'!BI31</f>
        <v>0</v>
      </c>
      <c r="P31">
        <f>'Feeders Raw Data'!BJ31-'Feeders Raw Data'!BT31</f>
        <v>0</v>
      </c>
      <c r="Q31">
        <f>'Feeders Raw Data'!BK31-'Feeders Raw Data'!BU31</f>
        <v>0</v>
      </c>
      <c r="R31">
        <f>'Feeders Raw Data'!BL31-'Feeders Raw Data'!BV31</f>
        <v>0</v>
      </c>
      <c r="S31">
        <f>'Feeders Raw Data'!BM31-'Feeders Raw Data'!BW31</f>
        <v>0</v>
      </c>
      <c r="T31" t="str">
        <f>'Feeders Raw Data'!BQ31&amp;" - "&amp;'Feeders Raw Data'!CA31</f>
        <v xml:space="preserve"> - </v>
      </c>
      <c r="V31" s="1">
        <f>'Feeders Raw Data'!K31</f>
        <v>0</v>
      </c>
      <c r="W31">
        <f>'Feeders Raw Data'!L31-'Feeders Raw Data'!V31</f>
        <v>0</v>
      </c>
      <c r="X31">
        <f>'Feeders Raw Data'!M31-'Feeders Raw Data'!W31</f>
        <v>0</v>
      </c>
      <c r="Y31">
        <f>'Feeders Raw Data'!N31-'Feeders Raw Data'!X31</f>
        <v>0</v>
      </c>
      <c r="Z31">
        <f>'Feeders Raw Data'!O31-'Feeders Raw Data'!Y31</f>
        <v>0</v>
      </c>
      <c r="AA31" t="str">
        <f>'Feeders Raw Data'!S31&amp;" - "&amp;'Feeders Raw Data'!AC31</f>
        <v xml:space="preserve"> - </v>
      </c>
      <c r="AC31" s="1">
        <f>'Feeders Raw Data'!U31</f>
        <v>0</v>
      </c>
      <c r="AD31">
        <f>'Feeders Raw Data'!V31-'Feeders Raw Data'!AF31</f>
        <v>0</v>
      </c>
      <c r="AE31">
        <f>'Feeders Raw Data'!W31-'Feeders Raw Data'!AG31</f>
        <v>0</v>
      </c>
      <c r="AF31">
        <f>'Feeders Raw Data'!X31-'Feeders Raw Data'!AH31</f>
        <v>0</v>
      </c>
      <c r="AG31">
        <f>'Feeders Raw Data'!Y31-'Feeders Raw Data'!AI31</f>
        <v>0</v>
      </c>
      <c r="AH31" t="str">
        <f>'Feeders Raw Data'!AC31&amp;" - "&amp;'Feeders Raw Data'!AM31</f>
        <v xml:space="preserve"> - </v>
      </c>
      <c r="AJ31" s="1">
        <f>'Feeders Raw Data'!AO31</f>
        <v>0</v>
      </c>
      <c r="AK31">
        <f>'Feeders Raw Data'!AP31-'Feeders Raw Data'!AZ31</f>
        <v>0</v>
      </c>
      <c r="AL31">
        <f>'Feeders Raw Data'!AQ31-'Feeders Raw Data'!BA31</f>
        <v>0</v>
      </c>
      <c r="AM31">
        <f>'Feeders Raw Data'!AR31-'Feeders Raw Data'!BB31</f>
        <v>0</v>
      </c>
      <c r="AN31">
        <f>'Feeders Raw Data'!AS31-'Feeders Raw Data'!BC31</f>
        <v>0</v>
      </c>
      <c r="AO31" t="str">
        <f>'Feeders Raw Data'!AW31&amp;" - "&amp;'Feeders Raw Data'!BG31</f>
        <v xml:space="preserve"> - </v>
      </c>
      <c r="AQ31" s="1">
        <f>'Feeders Raw Data'!AY31</f>
        <v>0</v>
      </c>
      <c r="AR31">
        <f>'Feeders Raw Data'!AZ31-'Feeders Raw Data'!BJ31</f>
        <v>0</v>
      </c>
      <c r="AS31">
        <f>'Feeders Raw Data'!BA31-'Feeders Raw Data'!BK31</f>
        <v>0</v>
      </c>
      <c r="AT31">
        <f>'Feeders Raw Data'!BB31-'Feeders Raw Data'!BL31</f>
        <v>0</v>
      </c>
      <c r="AU31">
        <f>'Feeders Raw Data'!BC31-'Feeders Raw Data'!BM31</f>
        <v>0</v>
      </c>
      <c r="AV31" t="str">
        <f>'Feeders Raw Data'!BG31&amp;" - "&amp;'Feeders Raw Data'!BQ31</f>
        <v xml:space="preserve"> - </v>
      </c>
      <c r="AX31" s="1">
        <f>'Feeders Raw Data'!BS31</f>
        <v>0</v>
      </c>
      <c r="AY31">
        <f>'Feeders Raw Data'!BT31-'Feeders Raw Data'!B31</f>
        <v>0</v>
      </c>
      <c r="AZ31">
        <f>'Feeders Raw Data'!BU31-'Feeders Raw Data'!C31</f>
        <v>0</v>
      </c>
      <c r="BA31">
        <f>'Feeders Raw Data'!BV31-'Feeders Raw Data'!D31</f>
        <v>0</v>
      </c>
      <c r="BB31">
        <f>'Feeders Raw Data'!BW31-'Feeders Raw Data'!E31</f>
        <v>0</v>
      </c>
      <c r="BC31" t="str">
        <f>'Feeders Raw Data'!CA31&amp;" - "&amp;'Feeders Raw Data'!I31</f>
        <v xml:space="preserve"> - </v>
      </c>
    </row>
    <row r="32" spans="1:55" x14ac:dyDescent="0.25">
      <c r="A32" s="1">
        <f>'Feeders Raw Data'!A32</f>
        <v>0</v>
      </c>
      <c r="B32">
        <f>'Feeders Raw Data'!B32-'Feeders Raw Data'!L32</f>
        <v>0</v>
      </c>
      <c r="C32">
        <f>'Feeders Raw Data'!C32-'Feeders Raw Data'!M32</f>
        <v>0</v>
      </c>
      <c r="D32">
        <f>'Feeders Raw Data'!D32-'Feeders Raw Data'!N32</f>
        <v>0</v>
      </c>
      <c r="E32">
        <f>'Feeders Raw Data'!E32-'Feeders Raw Data'!O32</f>
        <v>0</v>
      </c>
      <c r="F32" t="str">
        <f>'Feeders Raw Data'!I32&amp;" - "&amp;'Feeders Raw Data'!S32</f>
        <v xml:space="preserve"> - </v>
      </c>
      <c r="H32" s="1">
        <f>'Feeders Raw Data'!AE32</f>
        <v>0</v>
      </c>
      <c r="I32">
        <f>'Feeders Raw Data'!AF32-'Feeders Raw Data'!AP32</f>
        <v>0</v>
      </c>
      <c r="J32">
        <f>'Feeders Raw Data'!AG32-'Feeders Raw Data'!AQ32</f>
        <v>0</v>
      </c>
      <c r="K32">
        <f>'Feeders Raw Data'!AH32-'Feeders Raw Data'!AR32</f>
        <v>0</v>
      </c>
      <c r="L32">
        <f>'Feeders Raw Data'!AI32-'Feeders Raw Data'!AS32</f>
        <v>0</v>
      </c>
      <c r="M32" t="str">
        <f>'Feeders Raw Data'!AM32&amp;" - "&amp;'Feeders Raw Data'!AW32</f>
        <v xml:space="preserve"> - </v>
      </c>
      <c r="O32" s="1">
        <f>'Feeders Raw Data'!BI32</f>
        <v>0</v>
      </c>
      <c r="P32">
        <f>'Feeders Raw Data'!BJ32-'Feeders Raw Data'!BT32</f>
        <v>0</v>
      </c>
      <c r="Q32">
        <f>'Feeders Raw Data'!BK32-'Feeders Raw Data'!BU32</f>
        <v>0</v>
      </c>
      <c r="R32">
        <f>'Feeders Raw Data'!BL32-'Feeders Raw Data'!BV32</f>
        <v>0</v>
      </c>
      <c r="S32">
        <f>'Feeders Raw Data'!BM32-'Feeders Raw Data'!BW32</f>
        <v>0</v>
      </c>
      <c r="T32" t="str">
        <f>'Feeders Raw Data'!BQ32&amp;" - "&amp;'Feeders Raw Data'!CA32</f>
        <v xml:space="preserve"> - </v>
      </c>
      <c r="V32" s="1">
        <f>'Feeders Raw Data'!K32</f>
        <v>0</v>
      </c>
      <c r="W32">
        <f>'Feeders Raw Data'!L32-'Feeders Raw Data'!V32</f>
        <v>0</v>
      </c>
      <c r="X32">
        <f>'Feeders Raw Data'!M32-'Feeders Raw Data'!W32</f>
        <v>0</v>
      </c>
      <c r="Y32">
        <f>'Feeders Raw Data'!N32-'Feeders Raw Data'!X32</f>
        <v>0</v>
      </c>
      <c r="Z32">
        <f>'Feeders Raw Data'!O32-'Feeders Raw Data'!Y32</f>
        <v>0</v>
      </c>
      <c r="AA32" t="str">
        <f>'Feeders Raw Data'!S32&amp;" - "&amp;'Feeders Raw Data'!AC32</f>
        <v xml:space="preserve"> - </v>
      </c>
      <c r="AC32" s="1">
        <f>'Feeders Raw Data'!U32</f>
        <v>0</v>
      </c>
      <c r="AD32">
        <f>'Feeders Raw Data'!V32-'Feeders Raw Data'!AF32</f>
        <v>0</v>
      </c>
      <c r="AE32">
        <f>'Feeders Raw Data'!W32-'Feeders Raw Data'!AG32</f>
        <v>0</v>
      </c>
      <c r="AF32">
        <f>'Feeders Raw Data'!X32-'Feeders Raw Data'!AH32</f>
        <v>0</v>
      </c>
      <c r="AG32">
        <f>'Feeders Raw Data'!Y32-'Feeders Raw Data'!AI32</f>
        <v>0</v>
      </c>
      <c r="AH32" t="str">
        <f>'Feeders Raw Data'!AC32&amp;" - "&amp;'Feeders Raw Data'!AM32</f>
        <v xml:space="preserve"> - </v>
      </c>
      <c r="AJ32" s="1">
        <f>'Feeders Raw Data'!AO32</f>
        <v>0</v>
      </c>
      <c r="AK32">
        <f>'Feeders Raw Data'!AP32-'Feeders Raw Data'!AZ32</f>
        <v>0</v>
      </c>
      <c r="AL32">
        <f>'Feeders Raw Data'!AQ32-'Feeders Raw Data'!BA32</f>
        <v>0</v>
      </c>
      <c r="AM32">
        <f>'Feeders Raw Data'!AR32-'Feeders Raw Data'!BB32</f>
        <v>0</v>
      </c>
      <c r="AN32">
        <f>'Feeders Raw Data'!AS32-'Feeders Raw Data'!BC32</f>
        <v>0</v>
      </c>
      <c r="AO32" t="str">
        <f>'Feeders Raw Data'!AW32&amp;" - "&amp;'Feeders Raw Data'!BG32</f>
        <v xml:space="preserve"> - </v>
      </c>
      <c r="AQ32" s="1">
        <f>'Feeders Raw Data'!AY32</f>
        <v>0</v>
      </c>
      <c r="AR32">
        <f>'Feeders Raw Data'!AZ32-'Feeders Raw Data'!BJ32</f>
        <v>0</v>
      </c>
      <c r="AS32">
        <f>'Feeders Raw Data'!BA32-'Feeders Raw Data'!BK32</f>
        <v>0</v>
      </c>
      <c r="AT32">
        <f>'Feeders Raw Data'!BB32-'Feeders Raw Data'!BL32</f>
        <v>0</v>
      </c>
      <c r="AU32">
        <f>'Feeders Raw Data'!BC32-'Feeders Raw Data'!BM32</f>
        <v>0</v>
      </c>
      <c r="AV32" t="str">
        <f>'Feeders Raw Data'!BG32&amp;" - "&amp;'Feeders Raw Data'!BQ32</f>
        <v xml:space="preserve"> - </v>
      </c>
      <c r="AX32" s="1">
        <f>'Feeders Raw Data'!BS32</f>
        <v>0</v>
      </c>
      <c r="AY32">
        <f>'Feeders Raw Data'!BT32-'Feeders Raw Data'!B32</f>
        <v>0</v>
      </c>
      <c r="AZ32">
        <f>'Feeders Raw Data'!BU32-'Feeders Raw Data'!C32</f>
        <v>0</v>
      </c>
      <c r="BA32">
        <f>'Feeders Raw Data'!BV32-'Feeders Raw Data'!D32</f>
        <v>0</v>
      </c>
      <c r="BB32">
        <f>'Feeders Raw Data'!BW32-'Feeders Raw Data'!E32</f>
        <v>0</v>
      </c>
      <c r="BC32" t="str">
        <f>'Feeders Raw Data'!CA32&amp;" - "&amp;'Feeders Raw Data'!I32</f>
        <v xml:space="preserve"> - </v>
      </c>
    </row>
    <row r="33" spans="1:55" x14ac:dyDescent="0.25">
      <c r="A33" s="1">
        <f>'Feeders Raw Data'!A33</f>
        <v>0</v>
      </c>
      <c r="B33">
        <f>'Feeders Raw Data'!B33-'Feeders Raw Data'!L33</f>
        <v>0</v>
      </c>
      <c r="C33">
        <f>'Feeders Raw Data'!C33-'Feeders Raw Data'!M33</f>
        <v>0</v>
      </c>
      <c r="D33">
        <f>'Feeders Raw Data'!D33-'Feeders Raw Data'!N33</f>
        <v>0</v>
      </c>
      <c r="E33">
        <f>'Feeders Raw Data'!E33-'Feeders Raw Data'!O33</f>
        <v>0</v>
      </c>
      <c r="F33" t="str">
        <f>'Feeders Raw Data'!I33&amp;" - "&amp;'Feeders Raw Data'!S33</f>
        <v xml:space="preserve"> - </v>
      </c>
      <c r="H33" s="1">
        <f>'Feeders Raw Data'!AE33</f>
        <v>0</v>
      </c>
      <c r="I33">
        <f>'Feeders Raw Data'!AF33-'Feeders Raw Data'!AP33</f>
        <v>0</v>
      </c>
      <c r="J33">
        <f>'Feeders Raw Data'!AG33-'Feeders Raw Data'!AQ33</f>
        <v>0</v>
      </c>
      <c r="K33">
        <f>'Feeders Raw Data'!AH33-'Feeders Raw Data'!AR33</f>
        <v>0</v>
      </c>
      <c r="L33">
        <f>'Feeders Raw Data'!AI33-'Feeders Raw Data'!AS33</f>
        <v>0</v>
      </c>
      <c r="M33" t="str">
        <f>'Feeders Raw Data'!AM33&amp;" - "&amp;'Feeders Raw Data'!AW33</f>
        <v xml:space="preserve"> - </v>
      </c>
      <c r="O33" s="1">
        <f>'Feeders Raw Data'!BI33</f>
        <v>0</v>
      </c>
      <c r="P33">
        <f>'Feeders Raw Data'!BJ33-'Feeders Raw Data'!BT33</f>
        <v>0</v>
      </c>
      <c r="Q33">
        <f>'Feeders Raw Data'!BK33-'Feeders Raw Data'!BU33</f>
        <v>0</v>
      </c>
      <c r="R33">
        <f>'Feeders Raw Data'!BL33-'Feeders Raw Data'!BV33</f>
        <v>0</v>
      </c>
      <c r="S33">
        <f>'Feeders Raw Data'!BM33-'Feeders Raw Data'!BW33</f>
        <v>0</v>
      </c>
      <c r="T33" t="str">
        <f>'Feeders Raw Data'!BQ33&amp;" - "&amp;'Feeders Raw Data'!CA33</f>
        <v xml:space="preserve"> - </v>
      </c>
      <c r="V33" s="1">
        <f>'Feeders Raw Data'!K33</f>
        <v>0</v>
      </c>
      <c r="W33">
        <f>'Feeders Raw Data'!L33-'Feeders Raw Data'!V33</f>
        <v>0</v>
      </c>
      <c r="X33">
        <f>'Feeders Raw Data'!M33-'Feeders Raw Data'!W33</f>
        <v>0</v>
      </c>
      <c r="Y33">
        <f>'Feeders Raw Data'!N33-'Feeders Raw Data'!X33</f>
        <v>0</v>
      </c>
      <c r="Z33">
        <f>'Feeders Raw Data'!O33-'Feeders Raw Data'!Y33</f>
        <v>0</v>
      </c>
      <c r="AA33" t="str">
        <f>'Feeders Raw Data'!S33&amp;" - "&amp;'Feeders Raw Data'!AC33</f>
        <v xml:space="preserve"> - </v>
      </c>
      <c r="AC33" s="1">
        <f>'Feeders Raw Data'!U33</f>
        <v>0</v>
      </c>
      <c r="AD33">
        <f>'Feeders Raw Data'!V33-'Feeders Raw Data'!AF33</f>
        <v>0</v>
      </c>
      <c r="AE33">
        <f>'Feeders Raw Data'!W33-'Feeders Raw Data'!AG33</f>
        <v>0</v>
      </c>
      <c r="AF33">
        <f>'Feeders Raw Data'!X33-'Feeders Raw Data'!AH33</f>
        <v>0</v>
      </c>
      <c r="AG33">
        <f>'Feeders Raw Data'!Y33-'Feeders Raw Data'!AI33</f>
        <v>0</v>
      </c>
      <c r="AH33" t="str">
        <f>'Feeders Raw Data'!AC33&amp;" - "&amp;'Feeders Raw Data'!AM33</f>
        <v xml:space="preserve"> - </v>
      </c>
      <c r="AJ33" s="1">
        <f>'Feeders Raw Data'!AO33</f>
        <v>0</v>
      </c>
      <c r="AK33">
        <f>'Feeders Raw Data'!AP33-'Feeders Raw Data'!AZ33</f>
        <v>0</v>
      </c>
      <c r="AL33">
        <f>'Feeders Raw Data'!AQ33-'Feeders Raw Data'!BA33</f>
        <v>0</v>
      </c>
      <c r="AM33">
        <f>'Feeders Raw Data'!AR33-'Feeders Raw Data'!BB33</f>
        <v>0</v>
      </c>
      <c r="AN33">
        <f>'Feeders Raw Data'!AS33-'Feeders Raw Data'!BC33</f>
        <v>0</v>
      </c>
      <c r="AO33" t="str">
        <f>'Feeders Raw Data'!AW33&amp;" - "&amp;'Feeders Raw Data'!BG33</f>
        <v xml:space="preserve"> - </v>
      </c>
      <c r="AQ33" s="1">
        <f>'Feeders Raw Data'!AY33</f>
        <v>0</v>
      </c>
      <c r="AR33">
        <f>'Feeders Raw Data'!AZ33-'Feeders Raw Data'!BJ33</f>
        <v>0</v>
      </c>
      <c r="AS33">
        <f>'Feeders Raw Data'!BA33-'Feeders Raw Data'!BK33</f>
        <v>0</v>
      </c>
      <c r="AT33">
        <f>'Feeders Raw Data'!BB33-'Feeders Raw Data'!BL33</f>
        <v>0</v>
      </c>
      <c r="AU33">
        <f>'Feeders Raw Data'!BC33-'Feeders Raw Data'!BM33</f>
        <v>0</v>
      </c>
      <c r="AV33" t="str">
        <f>'Feeders Raw Data'!BG33&amp;" - "&amp;'Feeders Raw Data'!BQ33</f>
        <v xml:space="preserve"> - </v>
      </c>
      <c r="AX33" s="1">
        <f>'Feeders Raw Data'!BS33</f>
        <v>0</v>
      </c>
      <c r="AY33">
        <f>'Feeders Raw Data'!BT33-'Feeders Raw Data'!B33</f>
        <v>0</v>
      </c>
      <c r="AZ33">
        <f>'Feeders Raw Data'!BU33-'Feeders Raw Data'!C33</f>
        <v>0</v>
      </c>
      <c r="BA33">
        <f>'Feeders Raw Data'!BV33-'Feeders Raw Data'!D33</f>
        <v>0</v>
      </c>
      <c r="BB33">
        <f>'Feeders Raw Data'!BW33-'Feeders Raw Data'!E33</f>
        <v>0</v>
      </c>
      <c r="BC33" t="str">
        <f>'Feeders Raw Data'!CA33&amp;" - "&amp;'Feeders Raw Data'!I33</f>
        <v xml:space="preserve"> - </v>
      </c>
    </row>
    <row r="34" spans="1:55" x14ac:dyDescent="0.25">
      <c r="A34" s="1">
        <f>'Feeders Raw Data'!A34</f>
        <v>0</v>
      </c>
      <c r="B34">
        <f>'Feeders Raw Data'!B34-'Feeders Raw Data'!L34</f>
        <v>0</v>
      </c>
      <c r="C34">
        <f>'Feeders Raw Data'!C34-'Feeders Raw Data'!M34</f>
        <v>0</v>
      </c>
      <c r="D34">
        <f>'Feeders Raw Data'!D34-'Feeders Raw Data'!N34</f>
        <v>0</v>
      </c>
      <c r="E34">
        <f>'Feeders Raw Data'!E34-'Feeders Raw Data'!O34</f>
        <v>0</v>
      </c>
      <c r="F34" t="str">
        <f>'Feeders Raw Data'!I34&amp;" - "&amp;'Feeders Raw Data'!S34</f>
        <v xml:space="preserve"> - </v>
      </c>
      <c r="H34" s="1">
        <f>'Feeders Raw Data'!AE34</f>
        <v>0</v>
      </c>
      <c r="I34">
        <f>'Feeders Raw Data'!AF34-'Feeders Raw Data'!AP34</f>
        <v>0</v>
      </c>
      <c r="J34">
        <f>'Feeders Raw Data'!AG34-'Feeders Raw Data'!AQ34</f>
        <v>0</v>
      </c>
      <c r="K34">
        <f>'Feeders Raw Data'!AH34-'Feeders Raw Data'!AR34</f>
        <v>0</v>
      </c>
      <c r="L34">
        <f>'Feeders Raw Data'!AI34-'Feeders Raw Data'!AS34</f>
        <v>0</v>
      </c>
      <c r="M34" t="str">
        <f>'Feeders Raw Data'!AM34&amp;" - "&amp;'Feeders Raw Data'!AW34</f>
        <v xml:space="preserve"> - </v>
      </c>
      <c r="O34" s="1">
        <f>'Feeders Raw Data'!BI34</f>
        <v>0</v>
      </c>
      <c r="P34">
        <f>'Feeders Raw Data'!BJ34-'Feeders Raw Data'!BT34</f>
        <v>0</v>
      </c>
      <c r="Q34">
        <f>'Feeders Raw Data'!BK34-'Feeders Raw Data'!BU34</f>
        <v>0</v>
      </c>
      <c r="R34">
        <f>'Feeders Raw Data'!BL34-'Feeders Raw Data'!BV34</f>
        <v>0</v>
      </c>
      <c r="S34">
        <f>'Feeders Raw Data'!BM34-'Feeders Raw Data'!BW34</f>
        <v>0</v>
      </c>
      <c r="T34" t="str">
        <f>'Feeders Raw Data'!BQ34&amp;" - "&amp;'Feeders Raw Data'!CA34</f>
        <v xml:space="preserve"> - </v>
      </c>
      <c r="V34" s="1">
        <f>'Feeders Raw Data'!K34</f>
        <v>0</v>
      </c>
      <c r="W34">
        <f>'Feeders Raw Data'!L34-'Feeders Raw Data'!V34</f>
        <v>0</v>
      </c>
      <c r="X34">
        <f>'Feeders Raw Data'!M34-'Feeders Raw Data'!W34</f>
        <v>0</v>
      </c>
      <c r="Y34">
        <f>'Feeders Raw Data'!N34-'Feeders Raw Data'!X34</f>
        <v>0</v>
      </c>
      <c r="Z34">
        <f>'Feeders Raw Data'!O34-'Feeders Raw Data'!Y34</f>
        <v>0</v>
      </c>
      <c r="AA34" t="str">
        <f>'Feeders Raw Data'!S34&amp;" - "&amp;'Feeders Raw Data'!AC34</f>
        <v xml:space="preserve"> - </v>
      </c>
      <c r="AC34" s="1">
        <f>'Feeders Raw Data'!U34</f>
        <v>0</v>
      </c>
      <c r="AD34">
        <f>'Feeders Raw Data'!V34-'Feeders Raw Data'!AF34</f>
        <v>0</v>
      </c>
      <c r="AE34">
        <f>'Feeders Raw Data'!W34-'Feeders Raw Data'!AG34</f>
        <v>0</v>
      </c>
      <c r="AF34">
        <f>'Feeders Raw Data'!X34-'Feeders Raw Data'!AH34</f>
        <v>0</v>
      </c>
      <c r="AG34">
        <f>'Feeders Raw Data'!Y34-'Feeders Raw Data'!AI34</f>
        <v>0</v>
      </c>
      <c r="AH34" t="str">
        <f>'Feeders Raw Data'!AC34&amp;" - "&amp;'Feeders Raw Data'!AM34</f>
        <v xml:space="preserve"> - </v>
      </c>
      <c r="AJ34" s="1">
        <f>'Feeders Raw Data'!AO34</f>
        <v>0</v>
      </c>
      <c r="AK34">
        <f>'Feeders Raw Data'!AP34-'Feeders Raw Data'!AZ34</f>
        <v>0</v>
      </c>
      <c r="AL34">
        <f>'Feeders Raw Data'!AQ34-'Feeders Raw Data'!BA34</f>
        <v>0</v>
      </c>
      <c r="AM34">
        <f>'Feeders Raw Data'!AR34-'Feeders Raw Data'!BB34</f>
        <v>0</v>
      </c>
      <c r="AN34">
        <f>'Feeders Raw Data'!AS34-'Feeders Raw Data'!BC34</f>
        <v>0</v>
      </c>
      <c r="AO34" t="str">
        <f>'Feeders Raw Data'!AW34&amp;" - "&amp;'Feeders Raw Data'!BG34</f>
        <v xml:space="preserve"> - </v>
      </c>
      <c r="AQ34" s="1">
        <f>'Feeders Raw Data'!AY34</f>
        <v>0</v>
      </c>
      <c r="AR34">
        <f>'Feeders Raw Data'!AZ34-'Feeders Raw Data'!BJ34</f>
        <v>0</v>
      </c>
      <c r="AS34">
        <f>'Feeders Raw Data'!BA34-'Feeders Raw Data'!BK34</f>
        <v>0</v>
      </c>
      <c r="AT34">
        <f>'Feeders Raw Data'!BB34-'Feeders Raw Data'!BL34</f>
        <v>0</v>
      </c>
      <c r="AU34">
        <f>'Feeders Raw Data'!BC34-'Feeders Raw Data'!BM34</f>
        <v>0</v>
      </c>
      <c r="AV34" t="str">
        <f>'Feeders Raw Data'!BG34&amp;" - "&amp;'Feeders Raw Data'!BQ34</f>
        <v xml:space="preserve"> - </v>
      </c>
      <c r="AX34" s="1">
        <f>'Feeders Raw Data'!BS34</f>
        <v>0</v>
      </c>
      <c r="AY34">
        <f>'Feeders Raw Data'!BT34-'Feeders Raw Data'!B34</f>
        <v>0</v>
      </c>
      <c r="AZ34">
        <f>'Feeders Raw Data'!BU34-'Feeders Raw Data'!C34</f>
        <v>0</v>
      </c>
      <c r="BA34">
        <f>'Feeders Raw Data'!BV34-'Feeders Raw Data'!D34</f>
        <v>0</v>
      </c>
      <c r="BB34">
        <f>'Feeders Raw Data'!BW34-'Feeders Raw Data'!E34</f>
        <v>0</v>
      </c>
      <c r="BC34" t="str">
        <f>'Feeders Raw Data'!CA34&amp;" - "&amp;'Feeders Raw Data'!I34</f>
        <v xml:space="preserve"> - </v>
      </c>
    </row>
    <row r="35" spans="1:55" x14ac:dyDescent="0.25">
      <c r="A35" s="1">
        <f>'Feeders Raw Data'!A35</f>
        <v>0</v>
      </c>
      <c r="B35">
        <f>'Feeders Raw Data'!B35-'Feeders Raw Data'!L35</f>
        <v>0</v>
      </c>
      <c r="C35">
        <f>'Feeders Raw Data'!C35-'Feeders Raw Data'!M35</f>
        <v>0</v>
      </c>
      <c r="D35">
        <f>'Feeders Raw Data'!D35-'Feeders Raw Data'!N35</f>
        <v>0</v>
      </c>
      <c r="E35">
        <f>'Feeders Raw Data'!E35-'Feeders Raw Data'!O35</f>
        <v>0</v>
      </c>
      <c r="F35" t="str">
        <f>'Feeders Raw Data'!I35&amp;" - "&amp;'Feeders Raw Data'!S35</f>
        <v xml:space="preserve"> - </v>
      </c>
      <c r="H35" s="1">
        <f>'Feeders Raw Data'!AE35</f>
        <v>0</v>
      </c>
      <c r="I35">
        <f>'Feeders Raw Data'!AF35-'Feeders Raw Data'!AP35</f>
        <v>0</v>
      </c>
      <c r="J35">
        <f>'Feeders Raw Data'!AG35-'Feeders Raw Data'!AQ35</f>
        <v>0</v>
      </c>
      <c r="K35">
        <f>'Feeders Raw Data'!AH35-'Feeders Raw Data'!AR35</f>
        <v>0</v>
      </c>
      <c r="L35">
        <f>'Feeders Raw Data'!AI35-'Feeders Raw Data'!AS35</f>
        <v>0</v>
      </c>
      <c r="M35" t="str">
        <f>'Feeders Raw Data'!AM35&amp;" - "&amp;'Feeders Raw Data'!AW35</f>
        <v xml:space="preserve"> - </v>
      </c>
      <c r="O35" s="1">
        <f>'Feeders Raw Data'!BI35</f>
        <v>0</v>
      </c>
      <c r="P35">
        <f>'Feeders Raw Data'!BJ35-'Feeders Raw Data'!BT35</f>
        <v>0</v>
      </c>
      <c r="Q35">
        <f>'Feeders Raw Data'!BK35-'Feeders Raw Data'!BU35</f>
        <v>0</v>
      </c>
      <c r="R35">
        <f>'Feeders Raw Data'!BL35-'Feeders Raw Data'!BV35</f>
        <v>0</v>
      </c>
      <c r="S35">
        <f>'Feeders Raw Data'!BM35-'Feeders Raw Data'!BW35</f>
        <v>0</v>
      </c>
      <c r="T35" t="str">
        <f>'Feeders Raw Data'!BQ35&amp;" - "&amp;'Feeders Raw Data'!CA35</f>
        <v xml:space="preserve"> - </v>
      </c>
      <c r="V35" s="1">
        <f>'Feeders Raw Data'!K35</f>
        <v>0</v>
      </c>
      <c r="W35">
        <f>'Feeders Raw Data'!L35-'Feeders Raw Data'!V35</f>
        <v>0</v>
      </c>
      <c r="X35">
        <f>'Feeders Raw Data'!M35-'Feeders Raw Data'!W35</f>
        <v>0</v>
      </c>
      <c r="Y35">
        <f>'Feeders Raw Data'!N35-'Feeders Raw Data'!X35</f>
        <v>0</v>
      </c>
      <c r="Z35">
        <f>'Feeders Raw Data'!O35-'Feeders Raw Data'!Y35</f>
        <v>0</v>
      </c>
      <c r="AA35" t="str">
        <f>'Feeders Raw Data'!S35&amp;" - "&amp;'Feeders Raw Data'!AC35</f>
        <v xml:space="preserve"> - </v>
      </c>
      <c r="AC35" s="1">
        <f>'Feeders Raw Data'!U35</f>
        <v>0</v>
      </c>
      <c r="AD35">
        <f>'Feeders Raw Data'!V35-'Feeders Raw Data'!AF35</f>
        <v>0</v>
      </c>
      <c r="AE35">
        <f>'Feeders Raw Data'!W35-'Feeders Raw Data'!AG35</f>
        <v>0</v>
      </c>
      <c r="AF35">
        <f>'Feeders Raw Data'!X35-'Feeders Raw Data'!AH35</f>
        <v>0</v>
      </c>
      <c r="AG35">
        <f>'Feeders Raw Data'!Y35-'Feeders Raw Data'!AI35</f>
        <v>0</v>
      </c>
      <c r="AH35" t="str">
        <f>'Feeders Raw Data'!AC35&amp;" - "&amp;'Feeders Raw Data'!AM35</f>
        <v xml:space="preserve"> - </v>
      </c>
      <c r="AJ35" s="1">
        <f>'Feeders Raw Data'!AO35</f>
        <v>0</v>
      </c>
      <c r="AK35">
        <f>'Feeders Raw Data'!AP35-'Feeders Raw Data'!AZ35</f>
        <v>0</v>
      </c>
      <c r="AL35">
        <f>'Feeders Raw Data'!AQ35-'Feeders Raw Data'!BA35</f>
        <v>0</v>
      </c>
      <c r="AM35">
        <f>'Feeders Raw Data'!AR35-'Feeders Raw Data'!BB35</f>
        <v>0</v>
      </c>
      <c r="AN35">
        <f>'Feeders Raw Data'!AS35-'Feeders Raw Data'!BC35</f>
        <v>0</v>
      </c>
      <c r="AO35" t="str">
        <f>'Feeders Raw Data'!AW35&amp;" - "&amp;'Feeders Raw Data'!BG35</f>
        <v xml:space="preserve"> - </v>
      </c>
      <c r="AQ35" s="1">
        <f>'Feeders Raw Data'!AY35</f>
        <v>0</v>
      </c>
      <c r="AR35">
        <f>'Feeders Raw Data'!AZ35-'Feeders Raw Data'!BJ35</f>
        <v>0</v>
      </c>
      <c r="AS35">
        <f>'Feeders Raw Data'!BA35-'Feeders Raw Data'!BK35</f>
        <v>0</v>
      </c>
      <c r="AT35">
        <f>'Feeders Raw Data'!BB35-'Feeders Raw Data'!BL35</f>
        <v>0</v>
      </c>
      <c r="AU35">
        <f>'Feeders Raw Data'!BC35-'Feeders Raw Data'!BM35</f>
        <v>0</v>
      </c>
      <c r="AV35" t="str">
        <f>'Feeders Raw Data'!BG35&amp;" - "&amp;'Feeders Raw Data'!BQ35</f>
        <v xml:space="preserve"> - </v>
      </c>
      <c r="AX35" s="1">
        <f>'Feeders Raw Data'!BS35</f>
        <v>0</v>
      </c>
      <c r="AY35">
        <f>'Feeders Raw Data'!BT35-'Feeders Raw Data'!B35</f>
        <v>0</v>
      </c>
      <c r="AZ35">
        <f>'Feeders Raw Data'!BU35-'Feeders Raw Data'!C35</f>
        <v>0</v>
      </c>
      <c r="BA35">
        <f>'Feeders Raw Data'!BV35-'Feeders Raw Data'!D35</f>
        <v>0</v>
      </c>
      <c r="BB35">
        <f>'Feeders Raw Data'!BW35-'Feeders Raw Data'!E35</f>
        <v>0</v>
      </c>
      <c r="BC35" t="str">
        <f>'Feeders Raw Data'!CA35&amp;" - "&amp;'Feeders Raw Data'!I35</f>
        <v xml:space="preserve"> - </v>
      </c>
    </row>
    <row r="36" spans="1:55" x14ac:dyDescent="0.25">
      <c r="A36" s="1">
        <f>'Feeders Raw Data'!A36</f>
        <v>0</v>
      </c>
      <c r="B36">
        <f>'Feeders Raw Data'!B36-'Feeders Raw Data'!L36</f>
        <v>0</v>
      </c>
      <c r="C36">
        <f>'Feeders Raw Data'!C36-'Feeders Raw Data'!M36</f>
        <v>0</v>
      </c>
      <c r="D36">
        <f>'Feeders Raw Data'!D36-'Feeders Raw Data'!N36</f>
        <v>0</v>
      </c>
      <c r="E36">
        <f>'Feeders Raw Data'!E36-'Feeders Raw Data'!O36</f>
        <v>0</v>
      </c>
      <c r="F36" t="str">
        <f>'Feeders Raw Data'!I36&amp;" - "&amp;'Feeders Raw Data'!S36</f>
        <v xml:space="preserve"> - </v>
      </c>
      <c r="H36" s="1">
        <f>'Feeders Raw Data'!AE36</f>
        <v>0</v>
      </c>
      <c r="I36">
        <f>'Feeders Raw Data'!AF36-'Feeders Raw Data'!AP36</f>
        <v>0</v>
      </c>
      <c r="J36">
        <f>'Feeders Raw Data'!AG36-'Feeders Raw Data'!AQ36</f>
        <v>0</v>
      </c>
      <c r="K36">
        <f>'Feeders Raw Data'!AH36-'Feeders Raw Data'!AR36</f>
        <v>0</v>
      </c>
      <c r="L36">
        <f>'Feeders Raw Data'!AI36-'Feeders Raw Data'!AS36</f>
        <v>0</v>
      </c>
      <c r="M36" t="str">
        <f>'Feeders Raw Data'!AM36&amp;" - "&amp;'Feeders Raw Data'!AW36</f>
        <v xml:space="preserve"> - </v>
      </c>
      <c r="O36" s="1">
        <f>'Feeders Raw Data'!BI36</f>
        <v>0</v>
      </c>
      <c r="P36">
        <f>'Feeders Raw Data'!BJ36-'Feeders Raw Data'!BT36</f>
        <v>0</v>
      </c>
      <c r="Q36">
        <f>'Feeders Raw Data'!BK36-'Feeders Raw Data'!BU36</f>
        <v>0</v>
      </c>
      <c r="R36">
        <f>'Feeders Raw Data'!BL36-'Feeders Raw Data'!BV36</f>
        <v>0</v>
      </c>
      <c r="S36">
        <f>'Feeders Raw Data'!BM36-'Feeders Raw Data'!BW36</f>
        <v>0</v>
      </c>
      <c r="T36" t="str">
        <f>'Feeders Raw Data'!BQ36&amp;" - "&amp;'Feeders Raw Data'!CA36</f>
        <v xml:space="preserve"> - </v>
      </c>
      <c r="V36" s="1">
        <f>'Feeders Raw Data'!K36</f>
        <v>0</v>
      </c>
      <c r="W36">
        <f>'Feeders Raw Data'!L36-'Feeders Raw Data'!V36</f>
        <v>0</v>
      </c>
      <c r="X36">
        <f>'Feeders Raw Data'!M36-'Feeders Raw Data'!W36</f>
        <v>0</v>
      </c>
      <c r="Y36">
        <f>'Feeders Raw Data'!N36-'Feeders Raw Data'!X36</f>
        <v>0</v>
      </c>
      <c r="Z36">
        <f>'Feeders Raw Data'!O36-'Feeders Raw Data'!Y36</f>
        <v>0</v>
      </c>
      <c r="AA36" t="str">
        <f>'Feeders Raw Data'!S36&amp;" - "&amp;'Feeders Raw Data'!AC36</f>
        <v xml:space="preserve"> - </v>
      </c>
      <c r="AC36" s="1">
        <f>'Feeders Raw Data'!U36</f>
        <v>0</v>
      </c>
      <c r="AD36">
        <f>'Feeders Raw Data'!V36-'Feeders Raw Data'!AF36</f>
        <v>0</v>
      </c>
      <c r="AE36">
        <f>'Feeders Raw Data'!W36-'Feeders Raw Data'!AG36</f>
        <v>0</v>
      </c>
      <c r="AF36">
        <f>'Feeders Raw Data'!X36-'Feeders Raw Data'!AH36</f>
        <v>0</v>
      </c>
      <c r="AG36">
        <f>'Feeders Raw Data'!Y36-'Feeders Raw Data'!AI36</f>
        <v>0</v>
      </c>
      <c r="AH36" t="str">
        <f>'Feeders Raw Data'!AC36&amp;" - "&amp;'Feeders Raw Data'!AM36</f>
        <v xml:space="preserve"> - </v>
      </c>
      <c r="AJ36" s="1">
        <f>'Feeders Raw Data'!AO36</f>
        <v>0</v>
      </c>
      <c r="AK36">
        <f>'Feeders Raw Data'!AP36-'Feeders Raw Data'!AZ36</f>
        <v>0</v>
      </c>
      <c r="AL36">
        <f>'Feeders Raw Data'!AQ36-'Feeders Raw Data'!BA36</f>
        <v>0</v>
      </c>
      <c r="AM36">
        <f>'Feeders Raw Data'!AR36-'Feeders Raw Data'!BB36</f>
        <v>0</v>
      </c>
      <c r="AN36">
        <f>'Feeders Raw Data'!AS36-'Feeders Raw Data'!BC36</f>
        <v>0</v>
      </c>
      <c r="AO36" t="str">
        <f>'Feeders Raw Data'!AW36&amp;" - "&amp;'Feeders Raw Data'!BG36</f>
        <v xml:space="preserve"> - </v>
      </c>
      <c r="AQ36" s="1">
        <f>'Feeders Raw Data'!AY36</f>
        <v>0</v>
      </c>
      <c r="AR36">
        <f>'Feeders Raw Data'!AZ36-'Feeders Raw Data'!BJ36</f>
        <v>0</v>
      </c>
      <c r="AS36">
        <f>'Feeders Raw Data'!BA36-'Feeders Raw Data'!BK36</f>
        <v>0</v>
      </c>
      <c r="AT36">
        <f>'Feeders Raw Data'!BB36-'Feeders Raw Data'!BL36</f>
        <v>0</v>
      </c>
      <c r="AU36">
        <f>'Feeders Raw Data'!BC36-'Feeders Raw Data'!BM36</f>
        <v>0</v>
      </c>
      <c r="AV36" t="str">
        <f>'Feeders Raw Data'!BG36&amp;" - "&amp;'Feeders Raw Data'!BQ36</f>
        <v xml:space="preserve"> - </v>
      </c>
      <c r="AX36" s="1">
        <f>'Feeders Raw Data'!BS36</f>
        <v>0</v>
      </c>
      <c r="AY36">
        <f>'Feeders Raw Data'!BT36-'Feeders Raw Data'!B36</f>
        <v>0</v>
      </c>
      <c r="AZ36">
        <f>'Feeders Raw Data'!BU36-'Feeders Raw Data'!C36</f>
        <v>0</v>
      </c>
      <c r="BA36">
        <f>'Feeders Raw Data'!BV36-'Feeders Raw Data'!D36</f>
        <v>0</v>
      </c>
      <c r="BB36">
        <f>'Feeders Raw Data'!BW36-'Feeders Raw Data'!E36</f>
        <v>0</v>
      </c>
      <c r="BC36" t="str">
        <f>'Feeders Raw Data'!CA36&amp;" - "&amp;'Feeders Raw Data'!I36</f>
        <v xml:space="preserve"> - </v>
      </c>
    </row>
    <row r="37" spans="1:55" x14ac:dyDescent="0.25">
      <c r="A37" s="1">
        <f>'Feeders Raw Data'!A37</f>
        <v>0</v>
      </c>
      <c r="B37">
        <f>'Feeders Raw Data'!B37-'Feeders Raw Data'!L37</f>
        <v>0</v>
      </c>
      <c r="C37">
        <f>'Feeders Raw Data'!C37-'Feeders Raw Data'!M37</f>
        <v>0</v>
      </c>
      <c r="D37">
        <f>'Feeders Raw Data'!D37-'Feeders Raw Data'!N37</f>
        <v>0</v>
      </c>
      <c r="E37">
        <f>'Feeders Raw Data'!E37-'Feeders Raw Data'!O37</f>
        <v>0</v>
      </c>
      <c r="F37" t="str">
        <f>'Feeders Raw Data'!I37&amp;" - "&amp;'Feeders Raw Data'!S37</f>
        <v xml:space="preserve"> - </v>
      </c>
      <c r="H37" s="1">
        <f>'Feeders Raw Data'!AE37</f>
        <v>0</v>
      </c>
      <c r="I37">
        <f>'Feeders Raw Data'!AF37-'Feeders Raw Data'!AP37</f>
        <v>0</v>
      </c>
      <c r="J37">
        <f>'Feeders Raw Data'!AG37-'Feeders Raw Data'!AQ37</f>
        <v>0</v>
      </c>
      <c r="K37">
        <f>'Feeders Raw Data'!AH37-'Feeders Raw Data'!AR37</f>
        <v>0</v>
      </c>
      <c r="L37">
        <f>'Feeders Raw Data'!AI37-'Feeders Raw Data'!AS37</f>
        <v>0</v>
      </c>
      <c r="M37" t="str">
        <f>'Feeders Raw Data'!AM37&amp;" - "&amp;'Feeders Raw Data'!AW37</f>
        <v xml:space="preserve"> - </v>
      </c>
      <c r="O37" s="1">
        <f>'Feeders Raw Data'!BI37</f>
        <v>0</v>
      </c>
      <c r="P37">
        <f>'Feeders Raw Data'!BJ37-'Feeders Raw Data'!BT37</f>
        <v>0</v>
      </c>
      <c r="Q37">
        <f>'Feeders Raw Data'!BK37-'Feeders Raw Data'!BU37</f>
        <v>0</v>
      </c>
      <c r="R37">
        <f>'Feeders Raw Data'!BL37-'Feeders Raw Data'!BV37</f>
        <v>0</v>
      </c>
      <c r="S37">
        <f>'Feeders Raw Data'!BM37-'Feeders Raw Data'!BW37</f>
        <v>0</v>
      </c>
      <c r="T37" t="str">
        <f>'Feeders Raw Data'!BQ37&amp;" - "&amp;'Feeders Raw Data'!CA37</f>
        <v xml:space="preserve"> - </v>
      </c>
      <c r="V37" s="1">
        <f>'Feeders Raw Data'!K37</f>
        <v>0</v>
      </c>
      <c r="W37">
        <f>'Feeders Raw Data'!L37-'Feeders Raw Data'!V37</f>
        <v>0</v>
      </c>
      <c r="X37">
        <f>'Feeders Raw Data'!M37-'Feeders Raw Data'!W37</f>
        <v>0</v>
      </c>
      <c r="Y37">
        <f>'Feeders Raw Data'!N37-'Feeders Raw Data'!X37</f>
        <v>0</v>
      </c>
      <c r="Z37">
        <f>'Feeders Raw Data'!O37-'Feeders Raw Data'!Y37</f>
        <v>0</v>
      </c>
      <c r="AA37" t="str">
        <f>'Feeders Raw Data'!S37&amp;" - "&amp;'Feeders Raw Data'!AC37</f>
        <v xml:space="preserve"> - </v>
      </c>
      <c r="AC37" s="1">
        <f>'Feeders Raw Data'!U37</f>
        <v>0</v>
      </c>
      <c r="AD37">
        <f>'Feeders Raw Data'!V37-'Feeders Raw Data'!AF37</f>
        <v>0</v>
      </c>
      <c r="AE37">
        <f>'Feeders Raw Data'!W37-'Feeders Raw Data'!AG37</f>
        <v>0</v>
      </c>
      <c r="AF37">
        <f>'Feeders Raw Data'!X37-'Feeders Raw Data'!AH37</f>
        <v>0</v>
      </c>
      <c r="AG37">
        <f>'Feeders Raw Data'!Y37-'Feeders Raw Data'!AI37</f>
        <v>0</v>
      </c>
      <c r="AH37" t="str">
        <f>'Feeders Raw Data'!AC37&amp;" - "&amp;'Feeders Raw Data'!AM37</f>
        <v xml:space="preserve"> - </v>
      </c>
      <c r="AJ37" s="1">
        <f>'Feeders Raw Data'!AO37</f>
        <v>0</v>
      </c>
      <c r="AK37">
        <f>'Feeders Raw Data'!AP37-'Feeders Raw Data'!AZ37</f>
        <v>0</v>
      </c>
      <c r="AL37">
        <f>'Feeders Raw Data'!AQ37-'Feeders Raw Data'!BA37</f>
        <v>0</v>
      </c>
      <c r="AM37">
        <f>'Feeders Raw Data'!AR37-'Feeders Raw Data'!BB37</f>
        <v>0</v>
      </c>
      <c r="AN37">
        <f>'Feeders Raw Data'!AS37-'Feeders Raw Data'!BC37</f>
        <v>0</v>
      </c>
      <c r="AO37" t="str">
        <f>'Feeders Raw Data'!AW37&amp;" - "&amp;'Feeders Raw Data'!BG37</f>
        <v xml:space="preserve"> - </v>
      </c>
      <c r="AQ37" s="1">
        <f>'Feeders Raw Data'!AY37</f>
        <v>0</v>
      </c>
      <c r="AR37">
        <f>'Feeders Raw Data'!AZ37-'Feeders Raw Data'!BJ37</f>
        <v>0</v>
      </c>
      <c r="AS37">
        <f>'Feeders Raw Data'!BA37-'Feeders Raw Data'!BK37</f>
        <v>0</v>
      </c>
      <c r="AT37">
        <f>'Feeders Raw Data'!BB37-'Feeders Raw Data'!BL37</f>
        <v>0</v>
      </c>
      <c r="AU37">
        <f>'Feeders Raw Data'!BC37-'Feeders Raw Data'!BM37</f>
        <v>0</v>
      </c>
      <c r="AV37" t="str">
        <f>'Feeders Raw Data'!BG37&amp;" - "&amp;'Feeders Raw Data'!BQ37</f>
        <v xml:space="preserve"> - </v>
      </c>
      <c r="AX37" s="1">
        <f>'Feeders Raw Data'!BS37</f>
        <v>0</v>
      </c>
      <c r="AY37">
        <f>'Feeders Raw Data'!BT37-'Feeders Raw Data'!B37</f>
        <v>0</v>
      </c>
      <c r="AZ37">
        <f>'Feeders Raw Data'!BU37-'Feeders Raw Data'!C37</f>
        <v>0</v>
      </c>
      <c r="BA37">
        <f>'Feeders Raw Data'!BV37-'Feeders Raw Data'!D37</f>
        <v>0</v>
      </c>
      <c r="BB37">
        <f>'Feeders Raw Data'!BW37-'Feeders Raw Data'!E37</f>
        <v>0</v>
      </c>
      <c r="BC37" t="str">
        <f>'Feeders Raw Data'!CA37&amp;" - "&amp;'Feeders Raw Data'!I37</f>
        <v xml:space="preserve"> - </v>
      </c>
    </row>
    <row r="38" spans="1:55" x14ac:dyDescent="0.25">
      <c r="A38" s="1">
        <f>'Feeders Raw Data'!A38</f>
        <v>0</v>
      </c>
      <c r="B38">
        <f>'Feeders Raw Data'!B38-'Feeders Raw Data'!L38</f>
        <v>0</v>
      </c>
      <c r="C38">
        <f>'Feeders Raw Data'!C38-'Feeders Raw Data'!M38</f>
        <v>0</v>
      </c>
      <c r="D38">
        <f>'Feeders Raw Data'!D38-'Feeders Raw Data'!N38</f>
        <v>0</v>
      </c>
      <c r="E38">
        <f>'Feeders Raw Data'!E38-'Feeders Raw Data'!O38</f>
        <v>0</v>
      </c>
      <c r="F38" t="str">
        <f>'Feeders Raw Data'!I38&amp;" - "&amp;'Feeders Raw Data'!S38</f>
        <v xml:space="preserve"> - </v>
      </c>
      <c r="H38" s="1">
        <f>'Feeders Raw Data'!AE38</f>
        <v>0</v>
      </c>
      <c r="I38">
        <f>'Feeders Raw Data'!AF38-'Feeders Raw Data'!AP38</f>
        <v>0</v>
      </c>
      <c r="J38">
        <f>'Feeders Raw Data'!AG38-'Feeders Raw Data'!AQ38</f>
        <v>0</v>
      </c>
      <c r="K38">
        <f>'Feeders Raw Data'!AH38-'Feeders Raw Data'!AR38</f>
        <v>0</v>
      </c>
      <c r="L38">
        <f>'Feeders Raw Data'!AI38-'Feeders Raw Data'!AS38</f>
        <v>0</v>
      </c>
      <c r="M38" t="str">
        <f>'Feeders Raw Data'!AM38&amp;" - "&amp;'Feeders Raw Data'!AW38</f>
        <v xml:space="preserve"> - </v>
      </c>
      <c r="O38" s="1">
        <f>'Feeders Raw Data'!BI38</f>
        <v>0</v>
      </c>
      <c r="P38">
        <f>'Feeders Raw Data'!BJ38-'Feeders Raw Data'!BT38</f>
        <v>0</v>
      </c>
      <c r="Q38">
        <f>'Feeders Raw Data'!BK38-'Feeders Raw Data'!BU38</f>
        <v>0</v>
      </c>
      <c r="R38">
        <f>'Feeders Raw Data'!BL38-'Feeders Raw Data'!BV38</f>
        <v>0</v>
      </c>
      <c r="S38">
        <f>'Feeders Raw Data'!BM38-'Feeders Raw Data'!BW38</f>
        <v>0</v>
      </c>
      <c r="T38" t="str">
        <f>'Feeders Raw Data'!BQ38&amp;" - "&amp;'Feeders Raw Data'!CA38</f>
        <v xml:space="preserve"> - </v>
      </c>
      <c r="V38" s="1">
        <f>'Feeders Raw Data'!K38</f>
        <v>0</v>
      </c>
      <c r="W38">
        <f>'Feeders Raw Data'!L38-'Feeders Raw Data'!V38</f>
        <v>0</v>
      </c>
      <c r="X38">
        <f>'Feeders Raw Data'!M38-'Feeders Raw Data'!W38</f>
        <v>0</v>
      </c>
      <c r="Y38">
        <f>'Feeders Raw Data'!N38-'Feeders Raw Data'!X38</f>
        <v>0</v>
      </c>
      <c r="Z38">
        <f>'Feeders Raw Data'!O38-'Feeders Raw Data'!Y38</f>
        <v>0</v>
      </c>
      <c r="AA38" t="str">
        <f>'Feeders Raw Data'!S38&amp;" - "&amp;'Feeders Raw Data'!AC38</f>
        <v xml:space="preserve"> - </v>
      </c>
      <c r="AC38" s="1">
        <f>'Feeders Raw Data'!U38</f>
        <v>0</v>
      </c>
      <c r="AD38">
        <f>'Feeders Raw Data'!V38-'Feeders Raw Data'!AF38</f>
        <v>0</v>
      </c>
      <c r="AE38">
        <f>'Feeders Raw Data'!W38-'Feeders Raw Data'!AG38</f>
        <v>0</v>
      </c>
      <c r="AF38">
        <f>'Feeders Raw Data'!X38-'Feeders Raw Data'!AH38</f>
        <v>0</v>
      </c>
      <c r="AG38">
        <f>'Feeders Raw Data'!Y38-'Feeders Raw Data'!AI38</f>
        <v>0</v>
      </c>
      <c r="AH38" t="str">
        <f>'Feeders Raw Data'!AC38&amp;" - "&amp;'Feeders Raw Data'!AM38</f>
        <v xml:space="preserve"> - </v>
      </c>
      <c r="AJ38" s="1">
        <f>'Feeders Raw Data'!AO38</f>
        <v>0</v>
      </c>
      <c r="AK38">
        <f>'Feeders Raw Data'!AP38-'Feeders Raw Data'!AZ38</f>
        <v>0</v>
      </c>
      <c r="AL38">
        <f>'Feeders Raw Data'!AQ38-'Feeders Raw Data'!BA38</f>
        <v>0</v>
      </c>
      <c r="AM38">
        <f>'Feeders Raw Data'!AR38-'Feeders Raw Data'!BB38</f>
        <v>0</v>
      </c>
      <c r="AN38">
        <f>'Feeders Raw Data'!AS38-'Feeders Raw Data'!BC38</f>
        <v>0</v>
      </c>
      <c r="AO38" t="str">
        <f>'Feeders Raw Data'!AW38&amp;" - "&amp;'Feeders Raw Data'!BG38</f>
        <v xml:space="preserve"> - </v>
      </c>
      <c r="AQ38" s="1">
        <f>'Feeders Raw Data'!AY38</f>
        <v>0</v>
      </c>
      <c r="AR38">
        <f>'Feeders Raw Data'!AZ38-'Feeders Raw Data'!BJ38</f>
        <v>0</v>
      </c>
      <c r="AS38">
        <f>'Feeders Raw Data'!BA38-'Feeders Raw Data'!BK38</f>
        <v>0</v>
      </c>
      <c r="AT38">
        <f>'Feeders Raw Data'!BB38-'Feeders Raw Data'!BL38</f>
        <v>0</v>
      </c>
      <c r="AU38">
        <f>'Feeders Raw Data'!BC38-'Feeders Raw Data'!BM38</f>
        <v>0</v>
      </c>
      <c r="AV38" t="str">
        <f>'Feeders Raw Data'!BG38&amp;" - "&amp;'Feeders Raw Data'!BQ38</f>
        <v xml:space="preserve"> - </v>
      </c>
      <c r="AX38" s="1">
        <f>'Feeders Raw Data'!BS38</f>
        <v>0</v>
      </c>
      <c r="AY38">
        <f>'Feeders Raw Data'!BT38-'Feeders Raw Data'!B38</f>
        <v>0</v>
      </c>
      <c r="AZ38">
        <f>'Feeders Raw Data'!BU38-'Feeders Raw Data'!C38</f>
        <v>0</v>
      </c>
      <c r="BA38">
        <f>'Feeders Raw Data'!BV38-'Feeders Raw Data'!D38</f>
        <v>0</v>
      </c>
      <c r="BB38">
        <f>'Feeders Raw Data'!BW38-'Feeders Raw Data'!E38</f>
        <v>0</v>
      </c>
      <c r="BC38" t="str">
        <f>'Feeders Raw Data'!CA38&amp;" - "&amp;'Feeders Raw Data'!I38</f>
        <v xml:space="preserve"> - </v>
      </c>
    </row>
    <row r="39" spans="1:55" x14ac:dyDescent="0.25">
      <c r="A39" s="1">
        <f>'Feeders Raw Data'!A39</f>
        <v>0</v>
      </c>
      <c r="B39">
        <f>'Feeders Raw Data'!B39-'Feeders Raw Data'!L39</f>
        <v>0</v>
      </c>
      <c r="C39">
        <f>'Feeders Raw Data'!C39-'Feeders Raw Data'!M39</f>
        <v>0</v>
      </c>
      <c r="D39">
        <f>'Feeders Raw Data'!D39-'Feeders Raw Data'!N39</f>
        <v>0</v>
      </c>
      <c r="E39">
        <f>'Feeders Raw Data'!E39-'Feeders Raw Data'!O39</f>
        <v>0</v>
      </c>
      <c r="F39" t="str">
        <f>'Feeders Raw Data'!I39&amp;" - "&amp;'Feeders Raw Data'!S39</f>
        <v xml:space="preserve"> - </v>
      </c>
      <c r="H39" s="1">
        <f>'Feeders Raw Data'!AE39</f>
        <v>0</v>
      </c>
      <c r="I39">
        <f>'Feeders Raw Data'!AF39-'Feeders Raw Data'!AP39</f>
        <v>0</v>
      </c>
      <c r="J39">
        <f>'Feeders Raw Data'!AG39-'Feeders Raw Data'!AQ39</f>
        <v>0</v>
      </c>
      <c r="K39">
        <f>'Feeders Raw Data'!AH39-'Feeders Raw Data'!AR39</f>
        <v>0</v>
      </c>
      <c r="L39">
        <f>'Feeders Raw Data'!AI39-'Feeders Raw Data'!AS39</f>
        <v>0</v>
      </c>
      <c r="M39" t="str">
        <f>'Feeders Raw Data'!AM39&amp;" - "&amp;'Feeders Raw Data'!AW39</f>
        <v xml:space="preserve"> - </v>
      </c>
      <c r="O39" s="1">
        <f>'Feeders Raw Data'!BI39</f>
        <v>0</v>
      </c>
      <c r="P39">
        <f>'Feeders Raw Data'!BJ39-'Feeders Raw Data'!BT39</f>
        <v>0</v>
      </c>
      <c r="Q39">
        <f>'Feeders Raw Data'!BK39-'Feeders Raw Data'!BU39</f>
        <v>0</v>
      </c>
      <c r="R39">
        <f>'Feeders Raw Data'!BL39-'Feeders Raw Data'!BV39</f>
        <v>0</v>
      </c>
      <c r="S39">
        <f>'Feeders Raw Data'!BM39-'Feeders Raw Data'!BW39</f>
        <v>0</v>
      </c>
      <c r="T39" t="str">
        <f>'Feeders Raw Data'!BQ39&amp;" - "&amp;'Feeders Raw Data'!CA39</f>
        <v xml:space="preserve"> - </v>
      </c>
      <c r="V39" s="1">
        <f>'Feeders Raw Data'!K39</f>
        <v>0</v>
      </c>
      <c r="W39">
        <f>'Feeders Raw Data'!L39-'Feeders Raw Data'!V39</f>
        <v>0</v>
      </c>
      <c r="X39">
        <f>'Feeders Raw Data'!M39-'Feeders Raw Data'!W39</f>
        <v>0</v>
      </c>
      <c r="Y39">
        <f>'Feeders Raw Data'!N39-'Feeders Raw Data'!X39</f>
        <v>0</v>
      </c>
      <c r="Z39">
        <f>'Feeders Raw Data'!O39-'Feeders Raw Data'!Y39</f>
        <v>0</v>
      </c>
      <c r="AA39" t="str">
        <f>'Feeders Raw Data'!S39&amp;" - "&amp;'Feeders Raw Data'!AC39</f>
        <v xml:space="preserve"> - </v>
      </c>
      <c r="AC39" s="1">
        <f>'Feeders Raw Data'!U39</f>
        <v>0</v>
      </c>
      <c r="AD39">
        <f>'Feeders Raw Data'!V39-'Feeders Raw Data'!AF39</f>
        <v>0</v>
      </c>
      <c r="AE39">
        <f>'Feeders Raw Data'!W39-'Feeders Raw Data'!AG39</f>
        <v>0</v>
      </c>
      <c r="AF39">
        <f>'Feeders Raw Data'!X39-'Feeders Raw Data'!AH39</f>
        <v>0</v>
      </c>
      <c r="AG39">
        <f>'Feeders Raw Data'!Y39-'Feeders Raw Data'!AI39</f>
        <v>0</v>
      </c>
      <c r="AH39" t="str">
        <f>'Feeders Raw Data'!AC39&amp;" - "&amp;'Feeders Raw Data'!AM39</f>
        <v xml:space="preserve"> - </v>
      </c>
      <c r="AJ39" s="1">
        <f>'Feeders Raw Data'!AO39</f>
        <v>0</v>
      </c>
      <c r="AK39">
        <f>'Feeders Raw Data'!AP39-'Feeders Raw Data'!AZ39</f>
        <v>0</v>
      </c>
      <c r="AL39">
        <f>'Feeders Raw Data'!AQ39-'Feeders Raw Data'!BA39</f>
        <v>0</v>
      </c>
      <c r="AM39">
        <f>'Feeders Raw Data'!AR39-'Feeders Raw Data'!BB39</f>
        <v>0</v>
      </c>
      <c r="AN39">
        <f>'Feeders Raw Data'!AS39-'Feeders Raw Data'!BC39</f>
        <v>0</v>
      </c>
      <c r="AO39" t="str">
        <f>'Feeders Raw Data'!AW39&amp;" - "&amp;'Feeders Raw Data'!BG39</f>
        <v xml:space="preserve"> - </v>
      </c>
      <c r="AQ39" s="1">
        <f>'Feeders Raw Data'!AY39</f>
        <v>0</v>
      </c>
      <c r="AR39">
        <f>'Feeders Raw Data'!AZ39-'Feeders Raw Data'!BJ39</f>
        <v>0</v>
      </c>
      <c r="AS39">
        <f>'Feeders Raw Data'!BA39-'Feeders Raw Data'!BK39</f>
        <v>0</v>
      </c>
      <c r="AT39">
        <f>'Feeders Raw Data'!BB39-'Feeders Raw Data'!BL39</f>
        <v>0</v>
      </c>
      <c r="AU39">
        <f>'Feeders Raw Data'!BC39-'Feeders Raw Data'!BM39</f>
        <v>0</v>
      </c>
      <c r="AV39" t="str">
        <f>'Feeders Raw Data'!BG39&amp;" - "&amp;'Feeders Raw Data'!BQ39</f>
        <v xml:space="preserve"> - </v>
      </c>
      <c r="AX39" s="1">
        <f>'Feeders Raw Data'!BS39</f>
        <v>0</v>
      </c>
      <c r="AY39">
        <f>'Feeders Raw Data'!BT39-'Feeders Raw Data'!B39</f>
        <v>0</v>
      </c>
      <c r="AZ39">
        <f>'Feeders Raw Data'!BU39-'Feeders Raw Data'!C39</f>
        <v>0</v>
      </c>
      <c r="BA39">
        <f>'Feeders Raw Data'!BV39-'Feeders Raw Data'!D39</f>
        <v>0</v>
      </c>
      <c r="BB39">
        <f>'Feeders Raw Data'!BW39-'Feeders Raw Data'!E39</f>
        <v>0</v>
      </c>
      <c r="BC39" t="str">
        <f>'Feeders Raw Data'!CA39&amp;" - "&amp;'Feeders Raw Data'!I39</f>
        <v xml:space="preserve"> - </v>
      </c>
    </row>
    <row r="40" spans="1:55" x14ac:dyDescent="0.25">
      <c r="A40" s="1">
        <f>'Feeders Raw Data'!A40</f>
        <v>0</v>
      </c>
      <c r="B40">
        <f>'Feeders Raw Data'!B40-'Feeders Raw Data'!L40</f>
        <v>0</v>
      </c>
      <c r="C40">
        <f>'Feeders Raw Data'!C40-'Feeders Raw Data'!M40</f>
        <v>0</v>
      </c>
      <c r="D40">
        <f>'Feeders Raw Data'!D40-'Feeders Raw Data'!N40</f>
        <v>0</v>
      </c>
      <c r="E40">
        <f>'Feeders Raw Data'!E40-'Feeders Raw Data'!O40</f>
        <v>0</v>
      </c>
      <c r="F40" t="str">
        <f>'Feeders Raw Data'!I40&amp;" - "&amp;'Feeders Raw Data'!S40</f>
        <v xml:space="preserve"> - </v>
      </c>
      <c r="H40" s="1">
        <f>'Feeders Raw Data'!AE40</f>
        <v>0</v>
      </c>
      <c r="I40">
        <f>'Feeders Raw Data'!AF40-'Feeders Raw Data'!AP40</f>
        <v>0</v>
      </c>
      <c r="J40">
        <f>'Feeders Raw Data'!AG40-'Feeders Raw Data'!AQ40</f>
        <v>0</v>
      </c>
      <c r="K40">
        <f>'Feeders Raw Data'!AH40-'Feeders Raw Data'!AR40</f>
        <v>0</v>
      </c>
      <c r="L40">
        <f>'Feeders Raw Data'!AI40-'Feeders Raw Data'!AS40</f>
        <v>0</v>
      </c>
      <c r="M40" t="str">
        <f>'Feeders Raw Data'!AM40&amp;" - "&amp;'Feeders Raw Data'!AW40</f>
        <v xml:space="preserve"> - </v>
      </c>
      <c r="O40" s="1">
        <f>'Feeders Raw Data'!BI40</f>
        <v>0</v>
      </c>
      <c r="P40">
        <f>'Feeders Raw Data'!BJ40-'Feeders Raw Data'!BT40</f>
        <v>0</v>
      </c>
      <c r="Q40">
        <f>'Feeders Raw Data'!BK40-'Feeders Raw Data'!BU40</f>
        <v>0</v>
      </c>
      <c r="R40">
        <f>'Feeders Raw Data'!BL40-'Feeders Raw Data'!BV40</f>
        <v>0</v>
      </c>
      <c r="S40">
        <f>'Feeders Raw Data'!BM40-'Feeders Raw Data'!BW40</f>
        <v>0</v>
      </c>
      <c r="T40" t="str">
        <f>'Feeders Raw Data'!BQ40&amp;" - "&amp;'Feeders Raw Data'!CA40</f>
        <v xml:space="preserve"> - </v>
      </c>
      <c r="V40" s="1">
        <f>'Feeders Raw Data'!K40</f>
        <v>0</v>
      </c>
      <c r="W40">
        <f>'Feeders Raw Data'!L40-'Feeders Raw Data'!V40</f>
        <v>0</v>
      </c>
      <c r="X40">
        <f>'Feeders Raw Data'!M40-'Feeders Raw Data'!W40</f>
        <v>0</v>
      </c>
      <c r="Y40">
        <f>'Feeders Raw Data'!N40-'Feeders Raw Data'!X40</f>
        <v>0</v>
      </c>
      <c r="Z40">
        <f>'Feeders Raw Data'!O40-'Feeders Raw Data'!Y40</f>
        <v>0</v>
      </c>
      <c r="AA40" t="str">
        <f>'Feeders Raw Data'!S40&amp;" - "&amp;'Feeders Raw Data'!AC40</f>
        <v xml:space="preserve"> - </v>
      </c>
      <c r="AC40" s="1">
        <f>'Feeders Raw Data'!U40</f>
        <v>0</v>
      </c>
      <c r="AD40">
        <f>'Feeders Raw Data'!V40-'Feeders Raw Data'!AF40</f>
        <v>0</v>
      </c>
      <c r="AE40">
        <f>'Feeders Raw Data'!W40-'Feeders Raw Data'!AG40</f>
        <v>0</v>
      </c>
      <c r="AF40">
        <f>'Feeders Raw Data'!X40-'Feeders Raw Data'!AH40</f>
        <v>0</v>
      </c>
      <c r="AG40">
        <f>'Feeders Raw Data'!Y40-'Feeders Raw Data'!AI40</f>
        <v>0</v>
      </c>
      <c r="AH40" t="str">
        <f>'Feeders Raw Data'!AC40&amp;" - "&amp;'Feeders Raw Data'!AM40</f>
        <v xml:space="preserve"> - </v>
      </c>
      <c r="AJ40" s="1">
        <f>'Feeders Raw Data'!AO40</f>
        <v>0</v>
      </c>
      <c r="AK40">
        <f>'Feeders Raw Data'!AP40-'Feeders Raw Data'!AZ40</f>
        <v>0</v>
      </c>
      <c r="AL40">
        <f>'Feeders Raw Data'!AQ40-'Feeders Raw Data'!BA40</f>
        <v>0</v>
      </c>
      <c r="AM40">
        <f>'Feeders Raw Data'!AR40-'Feeders Raw Data'!BB40</f>
        <v>0</v>
      </c>
      <c r="AN40">
        <f>'Feeders Raw Data'!AS40-'Feeders Raw Data'!BC40</f>
        <v>0</v>
      </c>
      <c r="AO40" t="str">
        <f>'Feeders Raw Data'!AW40&amp;" - "&amp;'Feeders Raw Data'!BG40</f>
        <v xml:space="preserve"> - </v>
      </c>
      <c r="AQ40" s="1">
        <f>'Feeders Raw Data'!AY40</f>
        <v>0</v>
      </c>
      <c r="AR40">
        <f>'Feeders Raw Data'!AZ40-'Feeders Raw Data'!BJ40</f>
        <v>0</v>
      </c>
      <c r="AS40">
        <f>'Feeders Raw Data'!BA40-'Feeders Raw Data'!BK40</f>
        <v>0</v>
      </c>
      <c r="AT40">
        <f>'Feeders Raw Data'!BB40-'Feeders Raw Data'!BL40</f>
        <v>0</v>
      </c>
      <c r="AU40">
        <f>'Feeders Raw Data'!BC40-'Feeders Raw Data'!BM40</f>
        <v>0</v>
      </c>
      <c r="AV40" t="str">
        <f>'Feeders Raw Data'!BG40&amp;" - "&amp;'Feeders Raw Data'!BQ40</f>
        <v xml:space="preserve"> - </v>
      </c>
      <c r="AX40" s="1">
        <f>'Feeders Raw Data'!BS40</f>
        <v>0</v>
      </c>
      <c r="AY40">
        <f>'Feeders Raw Data'!BT40-'Feeders Raw Data'!B40</f>
        <v>0</v>
      </c>
      <c r="AZ40">
        <f>'Feeders Raw Data'!BU40-'Feeders Raw Data'!C40</f>
        <v>0</v>
      </c>
      <c r="BA40">
        <f>'Feeders Raw Data'!BV40-'Feeders Raw Data'!D40</f>
        <v>0</v>
      </c>
      <c r="BB40">
        <f>'Feeders Raw Data'!BW40-'Feeders Raw Data'!E40</f>
        <v>0</v>
      </c>
      <c r="BC40" t="str">
        <f>'Feeders Raw Data'!CA40&amp;" - "&amp;'Feeders Raw Data'!I40</f>
        <v xml:space="preserve"> - </v>
      </c>
    </row>
    <row r="41" spans="1:55" x14ac:dyDescent="0.25">
      <c r="A41" s="1">
        <f>'Feeders Raw Data'!A41</f>
        <v>0</v>
      </c>
      <c r="B41">
        <f>'Feeders Raw Data'!B41-'Feeders Raw Data'!L41</f>
        <v>0</v>
      </c>
      <c r="C41">
        <f>'Feeders Raw Data'!C41-'Feeders Raw Data'!M41</f>
        <v>0</v>
      </c>
      <c r="D41">
        <f>'Feeders Raw Data'!D41-'Feeders Raw Data'!N41</f>
        <v>0</v>
      </c>
      <c r="E41">
        <f>'Feeders Raw Data'!E41-'Feeders Raw Data'!O41</f>
        <v>0</v>
      </c>
      <c r="F41" t="str">
        <f>'Feeders Raw Data'!I41&amp;" - "&amp;'Feeders Raw Data'!S41</f>
        <v xml:space="preserve"> - </v>
      </c>
      <c r="H41" s="1">
        <f>'Feeders Raw Data'!AE41</f>
        <v>0</v>
      </c>
      <c r="I41">
        <f>'Feeders Raw Data'!AF41-'Feeders Raw Data'!AP41</f>
        <v>0</v>
      </c>
      <c r="J41">
        <f>'Feeders Raw Data'!AG41-'Feeders Raw Data'!AQ41</f>
        <v>0</v>
      </c>
      <c r="K41">
        <f>'Feeders Raw Data'!AH41-'Feeders Raw Data'!AR41</f>
        <v>0</v>
      </c>
      <c r="L41">
        <f>'Feeders Raw Data'!AI41-'Feeders Raw Data'!AS41</f>
        <v>0</v>
      </c>
      <c r="M41" t="str">
        <f>'Feeders Raw Data'!AM41&amp;" - "&amp;'Feeders Raw Data'!AW41</f>
        <v xml:space="preserve"> - </v>
      </c>
      <c r="O41" s="1">
        <f>'Feeders Raw Data'!BI41</f>
        <v>0</v>
      </c>
      <c r="P41">
        <f>'Feeders Raw Data'!BJ41-'Feeders Raw Data'!BT41</f>
        <v>0</v>
      </c>
      <c r="Q41">
        <f>'Feeders Raw Data'!BK41-'Feeders Raw Data'!BU41</f>
        <v>0</v>
      </c>
      <c r="R41">
        <f>'Feeders Raw Data'!BL41-'Feeders Raw Data'!BV41</f>
        <v>0</v>
      </c>
      <c r="S41">
        <f>'Feeders Raw Data'!BM41-'Feeders Raw Data'!BW41</f>
        <v>0</v>
      </c>
      <c r="T41" t="str">
        <f>'Feeders Raw Data'!BQ41&amp;" - "&amp;'Feeders Raw Data'!CA41</f>
        <v xml:space="preserve"> - </v>
      </c>
      <c r="V41" s="1">
        <f>'Feeders Raw Data'!K41</f>
        <v>0</v>
      </c>
      <c r="W41">
        <f>'Feeders Raw Data'!L41-'Feeders Raw Data'!V41</f>
        <v>0</v>
      </c>
      <c r="X41">
        <f>'Feeders Raw Data'!M41-'Feeders Raw Data'!W41</f>
        <v>0</v>
      </c>
      <c r="Y41">
        <f>'Feeders Raw Data'!N41-'Feeders Raw Data'!X41</f>
        <v>0</v>
      </c>
      <c r="Z41">
        <f>'Feeders Raw Data'!O41-'Feeders Raw Data'!Y41</f>
        <v>0</v>
      </c>
      <c r="AA41" t="str">
        <f>'Feeders Raw Data'!S41&amp;" - "&amp;'Feeders Raw Data'!AC41</f>
        <v xml:space="preserve"> - </v>
      </c>
      <c r="AC41" s="1">
        <f>'Feeders Raw Data'!U41</f>
        <v>0</v>
      </c>
      <c r="AD41">
        <f>'Feeders Raw Data'!V41-'Feeders Raw Data'!AF41</f>
        <v>0</v>
      </c>
      <c r="AE41">
        <f>'Feeders Raw Data'!W41-'Feeders Raw Data'!AG41</f>
        <v>0</v>
      </c>
      <c r="AF41">
        <f>'Feeders Raw Data'!X41-'Feeders Raw Data'!AH41</f>
        <v>0</v>
      </c>
      <c r="AG41">
        <f>'Feeders Raw Data'!Y41-'Feeders Raw Data'!AI41</f>
        <v>0</v>
      </c>
      <c r="AH41" t="str">
        <f>'Feeders Raw Data'!AC41&amp;" - "&amp;'Feeders Raw Data'!AM41</f>
        <v xml:space="preserve"> - </v>
      </c>
      <c r="AJ41" s="1">
        <f>'Feeders Raw Data'!AO41</f>
        <v>0</v>
      </c>
      <c r="AK41">
        <f>'Feeders Raw Data'!AP41-'Feeders Raw Data'!AZ41</f>
        <v>0</v>
      </c>
      <c r="AL41">
        <f>'Feeders Raw Data'!AQ41-'Feeders Raw Data'!BA41</f>
        <v>0</v>
      </c>
      <c r="AM41">
        <f>'Feeders Raw Data'!AR41-'Feeders Raw Data'!BB41</f>
        <v>0</v>
      </c>
      <c r="AN41">
        <f>'Feeders Raw Data'!AS41-'Feeders Raw Data'!BC41</f>
        <v>0</v>
      </c>
      <c r="AO41" t="str">
        <f>'Feeders Raw Data'!AW41&amp;" - "&amp;'Feeders Raw Data'!BG41</f>
        <v xml:space="preserve"> - </v>
      </c>
      <c r="AQ41" s="1">
        <f>'Feeders Raw Data'!AY41</f>
        <v>0</v>
      </c>
      <c r="AR41">
        <f>'Feeders Raw Data'!AZ41-'Feeders Raw Data'!BJ41</f>
        <v>0</v>
      </c>
      <c r="AS41">
        <f>'Feeders Raw Data'!BA41-'Feeders Raw Data'!BK41</f>
        <v>0</v>
      </c>
      <c r="AT41">
        <f>'Feeders Raw Data'!BB41-'Feeders Raw Data'!BL41</f>
        <v>0</v>
      </c>
      <c r="AU41">
        <f>'Feeders Raw Data'!BC41-'Feeders Raw Data'!BM41</f>
        <v>0</v>
      </c>
      <c r="AV41" t="str">
        <f>'Feeders Raw Data'!BG41&amp;" - "&amp;'Feeders Raw Data'!BQ41</f>
        <v xml:space="preserve"> - </v>
      </c>
      <c r="AX41" s="1">
        <f>'Feeders Raw Data'!BS41</f>
        <v>0</v>
      </c>
      <c r="AY41">
        <f>'Feeders Raw Data'!BT41-'Feeders Raw Data'!B41</f>
        <v>0</v>
      </c>
      <c r="AZ41">
        <f>'Feeders Raw Data'!BU41-'Feeders Raw Data'!C41</f>
        <v>0</v>
      </c>
      <c r="BA41">
        <f>'Feeders Raw Data'!BV41-'Feeders Raw Data'!D41</f>
        <v>0</v>
      </c>
      <c r="BB41">
        <f>'Feeders Raw Data'!BW41-'Feeders Raw Data'!E41</f>
        <v>0</v>
      </c>
      <c r="BC41" t="str">
        <f>'Feeders Raw Data'!CA41&amp;" - "&amp;'Feeders Raw Data'!I41</f>
        <v xml:space="preserve"> - </v>
      </c>
    </row>
    <row r="42" spans="1:55" x14ac:dyDescent="0.25">
      <c r="A42" s="1">
        <f>'Feeders Raw Data'!A42</f>
        <v>0</v>
      </c>
      <c r="B42">
        <f>'Feeders Raw Data'!B42-'Feeders Raw Data'!L42</f>
        <v>0</v>
      </c>
      <c r="C42">
        <f>'Feeders Raw Data'!C42-'Feeders Raw Data'!M42</f>
        <v>0</v>
      </c>
      <c r="D42">
        <f>'Feeders Raw Data'!D42-'Feeders Raw Data'!N42</f>
        <v>0</v>
      </c>
      <c r="E42">
        <f>'Feeders Raw Data'!E42-'Feeders Raw Data'!O42</f>
        <v>0</v>
      </c>
      <c r="F42" t="str">
        <f>'Feeders Raw Data'!I42&amp;" - "&amp;'Feeders Raw Data'!S42</f>
        <v xml:space="preserve"> - </v>
      </c>
      <c r="H42" s="1">
        <f>'Feeders Raw Data'!AE42</f>
        <v>0</v>
      </c>
      <c r="I42">
        <f>'Feeders Raw Data'!AF42-'Feeders Raw Data'!AP42</f>
        <v>0</v>
      </c>
      <c r="J42">
        <f>'Feeders Raw Data'!AG42-'Feeders Raw Data'!AQ42</f>
        <v>0</v>
      </c>
      <c r="K42">
        <f>'Feeders Raw Data'!AH42-'Feeders Raw Data'!AR42</f>
        <v>0</v>
      </c>
      <c r="L42">
        <f>'Feeders Raw Data'!AI42-'Feeders Raw Data'!AS42</f>
        <v>0</v>
      </c>
      <c r="M42" t="str">
        <f>'Feeders Raw Data'!AM42&amp;" - "&amp;'Feeders Raw Data'!AW42</f>
        <v xml:space="preserve"> - </v>
      </c>
      <c r="O42" s="1">
        <f>'Feeders Raw Data'!BI42</f>
        <v>0</v>
      </c>
      <c r="P42">
        <f>'Feeders Raw Data'!BJ42-'Feeders Raw Data'!BT42</f>
        <v>0</v>
      </c>
      <c r="Q42">
        <f>'Feeders Raw Data'!BK42-'Feeders Raw Data'!BU42</f>
        <v>0</v>
      </c>
      <c r="R42">
        <f>'Feeders Raw Data'!BL42-'Feeders Raw Data'!BV42</f>
        <v>0</v>
      </c>
      <c r="S42">
        <f>'Feeders Raw Data'!BM42-'Feeders Raw Data'!BW42</f>
        <v>0</v>
      </c>
      <c r="T42" t="str">
        <f>'Feeders Raw Data'!BQ42&amp;" - "&amp;'Feeders Raw Data'!CA42</f>
        <v xml:space="preserve"> - </v>
      </c>
      <c r="V42" s="1">
        <f>'Feeders Raw Data'!K42</f>
        <v>0</v>
      </c>
      <c r="W42">
        <f>'Feeders Raw Data'!L42-'Feeders Raw Data'!V42</f>
        <v>0</v>
      </c>
      <c r="X42">
        <f>'Feeders Raw Data'!M42-'Feeders Raw Data'!W42</f>
        <v>0</v>
      </c>
      <c r="Y42">
        <f>'Feeders Raw Data'!N42-'Feeders Raw Data'!X42</f>
        <v>0</v>
      </c>
      <c r="Z42">
        <f>'Feeders Raw Data'!O42-'Feeders Raw Data'!Y42</f>
        <v>0</v>
      </c>
      <c r="AA42" t="str">
        <f>'Feeders Raw Data'!S42&amp;" - "&amp;'Feeders Raw Data'!AC42</f>
        <v xml:space="preserve"> - </v>
      </c>
      <c r="AC42" s="1">
        <f>'Feeders Raw Data'!U42</f>
        <v>0</v>
      </c>
      <c r="AD42">
        <f>'Feeders Raw Data'!V42-'Feeders Raw Data'!AF42</f>
        <v>0</v>
      </c>
      <c r="AE42">
        <f>'Feeders Raw Data'!W42-'Feeders Raw Data'!AG42</f>
        <v>0</v>
      </c>
      <c r="AF42">
        <f>'Feeders Raw Data'!X42-'Feeders Raw Data'!AH42</f>
        <v>0</v>
      </c>
      <c r="AG42">
        <f>'Feeders Raw Data'!Y42-'Feeders Raw Data'!AI42</f>
        <v>0</v>
      </c>
      <c r="AH42" t="str">
        <f>'Feeders Raw Data'!AC42&amp;" - "&amp;'Feeders Raw Data'!AM42</f>
        <v xml:space="preserve"> - </v>
      </c>
      <c r="AJ42" s="1">
        <f>'Feeders Raw Data'!AO42</f>
        <v>0</v>
      </c>
      <c r="AK42">
        <f>'Feeders Raw Data'!AP42-'Feeders Raw Data'!AZ42</f>
        <v>0</v>
      </c>
      <c r="AL42">
        <f>'Feeders Raw Data'!AQ42-'Feeders Raw Data'!BA42</f>
        <v>0</v>
      </c>
      <c r="AM42">
        <f>'Feeders Raw Data'!AR42-'Feeders Raw Data'!BB42</f>
        <v>0</v>
      </c>
      <c r="AN42">
        <f>'Feeders Raw Data'!AS42-'Feeders Raw Data'!BC42</f>
        <v>0</v>
      </c>
      <c r="AO42" t="str">
        <f>'Feeders Raw Data'!AW42&amp;" - "&amp;'Feeders Raw Data'!BG42</f>
        <v xml:space="preserve"> - </v>
      </c>
      <c r="AQ42" s="1">
        <f>'Feeders Raw Data'!AY42</f>
        <v>0</v>
      </c>
      <c r="AR42">
        <f>'Feeders Raw Data'!AZ42-'Feeders Raw Data'!BJ42</f>
        <v>0</v>
      </c>
      <c r="AS42">
        <f>'Feeders Raw Data'!BA42-'Feeders Raw Data'!BK42</f>
        <v>0</v>
      </c>
      <c r="AT42">
        <f>'Feeders Raw Data'!BB42-'Feeders Raw Data'!BL42</f>
        <v>0</v>
      </c>
      <c r="AU42">
        <f>'Feeders Raw Data'!BC42-'Feeders Raw Data'!BM42</f>
        <v>0</v>
      </c>
      <c r="AV42" t="str">
        <f>'Feeders Raw Data'!BG42&amp;" - "&amp;'Feeders Raw Data'!BQ42</f>
        <v xml:space="preserve"> - </v>
      </c>
      <c r="AX42" s="1">
        <f>'Feeders Raw Data'!BS42</f>
        <v>0</v>
      </c>
      <c r="AY42">
        <f>'Feeders Raw Data'!BT42-'Feeders Raw Data'!B42</f>
        <v>0</v>
      </c>
      <c r="AZ42">
        <f>'Feeders Raw Data'!BU42-'Feeders Raw Data'!C42</f>
        <v>0</v>
      </c>
      <c r="BA42">
        <f>'Feeders Raw Data'!BV42-'Feeders Raw Data'!D42</f>
        <v>0</v>
      </c>
      <c r="BB42">
        <f>'Feeders Raw Data'!BW42-'Feeders Raw Data'!E42</f>
        <v>0</v>
      </c>
      <c r="BC42" t="str">
        <f>'Feeders Raw Data'!CA42&amp;" - "&amp;'Feeders Raw Data'!I42</f>
        <v xml:space="preserve"> - </v>
      </c>
    </row>
    <row r="43" spans="1:55" x14ac:dyDescent="0.25">
      <c r="A43" s="1">
        <f>'Feeders Raw Data'!A43</f>
        <v>0</v>
      </c>
      <c r="B43">
        <f>'Feeders Raw Data'!B43-'Feeders Raw Data'!L43</f>
        <v>0</v>
      </c>
      <c r="C43">
        <f>'Feeders Raw Data'!C43-'Feeders Raw Data'!M43</f>
        <v>0</v>
      </c>
      <c r="D43">
        <f>'Feeders Raw Data'!D43-'Feeders Raw Data'!N43</f>
        <v>0</v>
      </c>
      <c r="E43">
        <f>'Feeders Raw Data'!E43-'Feeders Raw Data'!O43</f>
        <v>0</v>
      </c>
      <c r="F43" t="str">
        <f>'Feeders Raw Data'!I43&amp;" - "&amp;'Feeders Raw Data'!S43</f>
        <v xml:space="preserve"> - </v>
      </c>
      <c r="H43" s="1">
        <f>'Feeders Raw Data'!AE43</f>
        <v>0</v>
      </c>
      <c r="I43">
        <f>'Feeders Raw Data'!AF43-'Feeders Raw Data'!AP43</f>
        <v>0</v>
      </c>
      <c r="J43">
        <f>'Feeders Raw Data'!AG43-'Feeders Raw Data'!AQ43</f>
        <v>0</v>
      </c>
      <c r="K43">
        <f>'Feeders Raw Data'!AH43-'Feeders Raw Data'!AR43</f>
        <v>0</v>
      </c>
      <c r="L43">
        <f>'Feeders Raw Data'!AI43-'Feeders Raw Data'!AS43</f>
        <v>0</v>
      </c>
      <c r="M43" t="str">
        <f>'Feeders Raw Data'!AM43&amp;" - "&amp;'Feeders Raw Data'!AW43</f>
        <v xml:space="preserve"> - </v>
      </c>
      <c r="O43" s="1">
        <f>'Feeders Raw Data'!BI43</f>
        <v>0</v>
      </c>
      <c r="P43">
        <f>'Feeders Raw Data'!BJ43-'Feeders Raw Data'!BT43</f>
        <v>0</v>
      </c>
      <c r="Q43">
        <f>'Feeders Raw Data'!BK43-'Feeders Raw Data'!BU43</f>
        <v>0</v>
      </c>
      <c r="R43">
        <f>'Feeders Raw Data'!BL43-'Feeders Raw Data'!BV43</f>
        <v>0</v>
      </c>
      <c r="S43">
        <f>'Feeders Raw Data'!BM43-'Feeders Raw Data'!BW43</f>
        <v>0</v>
      </c>
      <c r="T43" t="str">
        <f>'Feeders Raw Data'!BQ43&amp;" - "&amp;'Feeders Raw Data'!CA43</f>
        <v xml:space="preserve"> - </v>
      </c>
      <c r="V43" s="1">
        <f>'Feeders Raw Data'!K43</f>
        <v>0</v>
      </c>
      <c r="W43">
        <f>'Feeders Raw Data'!L43-'Feeders Raw Data'!V43</f>
        <v>0</v>
      </c>
      <c r="X43">
        <f>'Feeders Raw Data'!M43-'Feeders Raw Data'!W43</f>
        <v>0</v>
      </c>
      <c r="Y43">
        <f>'Feeders Raw Data'!N43-'Feeders Raw Data'!X43</f>
        <v>0</v>
      </c>
      <c r="Z43">
        <f>'Feeders Raw Data'!O43-'Feeders Raw Data'!Y43</f>
        <v>0</v>
      </c>
      <c r="AA43" t="str">
        <f>'Feeders Raw Data'!S43&amp;" - "&amp;'Feeders Raw Data'!AC43</f>
        <v xml:space="preserve"> - </v>
      </c>
      <c r="AC43" s="1">
        <f>'Feeders Raw Data'!U43</f>
        <v>0</v>
      </c>
      <c r="AD43">
        <f>'Feeders Raw Data'!V43-'Feeders Raw Data'!AF43</f>
        <v>0</v>
      </c>
      <c r="AE43">
        <f>'Feeders Raw Data'!W43-'Feeders Raw Data'!AG43</f>
        <v>0</v>
      </c>
      <c r="AF43">
        <f>'Feeders Raw Data'!X43-'Feeders Raw Data'!AH43</f>
        <v>0</v>
      </c>
      <c r="AG43">
        <f>'Feeders Raw Data'!Y43-'Feeders Raw Data'!AI43</f>
        <v>0</v>
      </c>
      <c r="AH43" t="str">
        <f>'Feeders Raw Data'!AC43&amp;" - "&amp;'Feeders Raw Data'!AM43</f>
        <v xml:space="preserve"> - </v>
      </c>
      <c r="AJ43" s="1">
        <f>'Feeders Raw Data'!AO43</f>
        <v>0</v>
      </c>
      <c r="AK43">
        <f>'Feeders Raw Data'!AP43-'Feeders Raw Data'!AZ43</f>
        <v>0</v>
      </c>
      <c r="AL43">
        <f>'Feeders Raw Data'!AQ43-'Feeders Raw Data'!BA43</f>
        <v>0</v>
      </c>
      <c r="AM43">
        <f>'Feeders Raw Data'!AR43-'Feeders Raw Data'!BB43</f>
        <v>0</v>
      </c>
      <c r="AN43">
        <f>'Feeders Raw Data'!AS43-'Feeders Raw Data'!BC43</f>
        <v>0</v>
      </c>
      <c r="AO43" t="str">
        <f>'Feeders Raw Data'!AW43&amp;" - "&amp;'Feeders Raw Data'!BG43</f>
        <v xml:space="preserve"> - </v>
      </c>
      <c r="AQ43" s="1">
        <f>'Feeders Raw Data'!AY43</f>
        <v>0</v>
      </c>
      <c r="AR43">
        <f>'Feeders Raw Data'!AZ43-'Feeders Raw Data'!BJ43</f>
        <v>0</v>
      </c>
      <c r="AS43">
        <f>'Feeders Raw Data'!BA43-'Feeders Raw Data'!BK43</f>
        <v>0</v>
      </c>
      <c r="AT43">
        <f>'Feeders Raw Data'!BB43-'Feeders Raw Data'!BL43</f>
        <v>0</v>
      </c>
      <c r="AU43">
        <f>'Feeders Raw Data'!BC43-'Feeders Raw Data'!BM43</f>
        <v>0</v>
      </c>
      <c r="AV43" t="str">
        <f>'Feeders Raw Data'!BG43&amp;" - "&amp;'Feeders Raw Data'!BQ43</f>
        <v xml:space="preserve"> - </v>
      </c>
      <c r="AX43" s="1">
        <f>'Feeders Raw Data'!BS43</f>
        <v>0</v>
      </c>
      <c r="AY43">
        <f>'Feeders Raw Data'!BT43-'Feeders Raw Data'!B43</f>
        <v>0</v>
      </c>
      <c r="AZ43">
        <f>'Feeders Raw Data'!BU43-'Feeders Raw Data'!C43</f>
        <v>0</v>
      </c>
      <c r="BA43">
        <f>'Feeders Raw Data'!BV43-'Feeders Raw Data'!D43</f>
        <v>0</v>
      </c>
      <c r="BB43">
        <f>'Feeders Raw Data'!BW43-'Feeders Raw Data'!E43</f>
        <v>0</v>
      </c>
      <c r="BC43" t="str">
        <f>'Feeders Raw Data'!CA43&amp;" - "&amp;'Feeders Raw Data'!I43</f>
        <v xml:space="preserve"> - </v>
      </c>
    </row>
    <row r="44" spans="1:55" x14ac:dyDescent="0.25">
      <c r="A44" s="1">
        <f>'Feeders Raw Data'!A44</f>
        <v>0</v>
      </c>
      <c r="B44">
        <f>'Feeders Raw Data'!B44-'Feeders Raw Data'!L44</f>
        <v>0</v>
      </c>
      <c r="C44">
        <f>'Feeders Raw Data'!C44-'Feeders Raw Data'!M44</f>
        <v>0</v>
      </c>
      <c r="D44">
        <f>'Feeders Raw Data'!D44-'Feeders Raw Data'!N44</f>
        <v>0</v>
      </c>
      <c r="E44">
        <f>'Feeders Raw Data'!E44-'Feeders Raw Data'!O44</f>
        <v>0</v>
      </c>
      <c r="F44" t="str">
        <f>'Feeders Raw Data'!I44&amp;" - "&amp;'Feeders Raw Data'!S44</f>
        <v xml:space="preserve"> - </v>
      </c>
      <c r="H44" s="1">
        <f>'Feeders Raw Data'!AE44</f>
        <v>0</v>
      </c>
      <c r="I44">
        <f>'Feeders Raw Data'!AF44-'Feeders Raw Data'!AP44</f>
        <v>0</v>
      </c>
      <c r="J44">
        <f>'Feeders Raw Data'!AG44-'Feeders Raw Data'!AQ44</f>
        <v>0</v>
      </c>
      <c r="K44">
        <f>'Feeders Raw Data'!AH44-'Feeders Raw Data'!AR44</f>
        <v>0</v>
      </c>
      <c r="L44">
        <f>'Feeders Raw Data'!AI44-'Feeders Raw Data'!AS44</f>
        <v>0</v>
      </c>
      <c r="M44" t="str">
        <f>'Feeders Raw Data'!AM44&amp;" - "&amp;'Feeders Raw Data'!AW44</f>
        <v xml:space="preserve"> - </v>
      </c>
      <c r="O44" s="1">
        <f>'Feeders Raw Data'!BI44</f>
        <v>0</v>
      </c>
      <c r="P44">
        <f>'Feeders Raw Data'!BJ44-'Feeders Raw Data'!BT44</f>
        <v>0</v>
      </c>
      <c r="Q44">
        <f>'Feeders Raw Data'!BK44-'Feeders Raw Data'!BU44</f>
        <v>0</v>
      </c>
      <c r="R44">
        <f>'Feeders Raw Data'!BL44-'Feeders Raw Data'!BV44</f>
        <v>0</v>
      </c>
      <c r="S44">
        <f>'Feeders Raw Data'!BM44-'Feeders Raw Data'!BW44</f>
        <v>0</v>
      </c>
      <c r="T44" t="str">
        <f>'Feeders Raw Data'!BQ44&amp;" - "&amp;'Feeders Raw Data'!CA44</f>
        <v xml:space="preserve"> - </v>
      </c>
      <c r="V44" s="1">
        <f>'Feeders Raw Data'!K44</f>
        <v>0</v>
      </c>
      <c r="W44">
        <f>'Feeders Raw Data'!L44-'Feeders Raw Data'!V44</f>
        <v>0</v>
      </c>
      <c r="X44">
        <f>'Feeders Raw Data'!M44-'Feeders Raw Data'!W44</f>
        <v>0</v>
      </c>
      <c r="Y44">
        <f>'Feeders Raw Data'!N44-'Feeders Raw Data'!X44</f>
        <v>0</v>
      </c>
      <c r="Z44">
        <f>'Feeders Raw Data'!O44-'Feeders Raw Data'!Y44</f>
        <v>0</v>
      </c>
      <c r="AA44" t="str">
        <f>'Feeders Raw Data'!S44&amp;" - "&amp;'Feeders Raw Data'!AC44</f>
        <v xml:space="preserve"> - </v>
      </c>
      <c r="AC44" s="1">
        <f>'Feeders Raw Data'!U44</f>
        <v>0</v>
      </c>
      <c r="AD44">
        <f>'Feeders Raw Data'!V44-'Feeders Raw Data'!AF44</f>
        <v>0</v>
      </c>
      <c r="AE44">
        <f>'Feeders Raw Data'!W44-'Feeders Raw Data'!AG44</f>
        <v>0</v>
      </c>
      <c r="AF44">
        <f>'Feeders Raw Data'!X44-'Feeders Raw Data'!AH44</f>
        <v>0</v>
      </c>
      <c r="AG44">
        <f>'Feeders Raw Data'!Y44-'Feeders Raw Data'!AI44</f>
        <v>0</v>
      </c>
      <c r="AH44" t="str">
        <f>'Feeders Raw Data'!AC44&amp;" - "&amp;'Feeders Raw Data'!AM44</f>
        <v xml:space="preserve"> - </v>
      </c>
      <c r="AJ44" s="1">
        <f>'Feeders Raw Data'!AO44</f>
        <v>0</v>
      </c>
      <c r="AK44">
        <f>'Feeders Raw Data'!AP44-'Feeders Raw Data'!AZ44</f>
        <v>0</v>
      </c>
      <c r="AL44">
        <f>'Feeders Raw Data'!AQ44-'Feeders Raw Data'!BA44</f>
        <v>0</v>
      </c>
      <c r="AM44">
        <f>'Feeders Raw Data'!AR44-'Feeders Raw Data'!BB44</f>
        <v>0</v>
      </c>
      <c r="AN44">
        <f>'Feeders Raw Data'!AS44-'Feeders Raw Data'!BC44</f>
        <v>0</v>
      </c>
      <c r="AO44" t="str">
        <f>'Feeders Raw Data'!AW44&amp;" - "&amp;'Feeders Raw Data'!BG44</f>
        <v xml:space="preserve"> - </v>
      </c>
      <c r="AQ44" s="1">
        <f>'Feeders Raw Data'!AY44</f>
        <v>0</v>
      </c>
      <c r="AR44">
        <f>'Feeders Raw Data'!AZ44-'Feeders Raw Data'!BJ44</f>
        <v>0</v>
      </c>
      <c r="AS44">
        <f>'Feeders Raw Data'!BA44-'Feeders Raw Data'!BK44</f>
        <v>0</v>
      </c>
      <c r="AT44">
        <f>'Feeders Raw Data'!BB44-'Feeders Raw Data'!BL44</f>
        <v>0</v>
      </c>
      <c r="AU44">
        <f>'Feeders Raw Data'!BC44-'Feeders Raw Data'!BM44</f>
        <v>0</v>
      </c>
      <c r="AV44" t="str">
        <f>'Feeders Raw Data'!BG44&amp;" - "&amp;'Feeders Raw Data'!BQ44</f>
        <v xml:space="preserve"> - </v>
      </c>
      <c r="AX44" s="1">
        <f>'Feeders Raw Data'!BS44</f>
        <v>0</v>
      </c>
      <c r="AY44">
        <f>'Feeders Raw Data'!BT44-'Feeders Raw Data'!B44</f>
        <v>0</v>
      </c>
      <c r="AZ44">
        <f>'Feeders Raw Data'!BU44-'Feeders Raw Data'!C44</f>
        <v>0</v>
      </c>
      <c r="BA44">
        <f>'Feeders Raw Data'!BV44-'Feeders Raw Data'!D44</f>
        <v>0</v>
      </c>
      <c r="BB44">
        <f>'Feeders Raw Data'!BW44-'Feeders Raw Data'!E44</f>
        <v>0</v>
      </c>
      <c r="BC44" t="str">
        <f>'Feeders Raw Data'!CA44&amp;" - "&amp;'Feeders Raw Data'!I44</f>
        <v xml:space="preserve"> - </v>
      </c>
    </row>
    <row r="45" spans="1:55" x14ac:dyDescent="0.25">
      <c r="A45" s="1">
        <f>'Feeders Raw Data'!A45</f>
        <v>0</v>
      </c>
      <c r="B45">
        <f>'Feeders Raw Data'!B45-'Feeders Raw Data'!L45</f>
        <v>0</v>
      </c>
      <c r="C45">
        <f>'Feeders Raw Data'!C45-'Feeders Raw Data'!M45</f>
        <v>0</v>
      </c>
      <c r="D45">
        <f>'Feeders Raw Data'!D45-'Feeders Raw Data'!N45</f>
        <v>0</v>
      </c>
      <c r="E45">
        <f>'Feeders Raw Data'!E45-'Feeders Raw Data'!O45</f>
        <v>0</v>
      </c>
      <c r="F45" t="str">
        <f>'Feeders Raw Data'!I45&amp;" - "&amp;'Feeders Raw Data'!S45</f>
        <v xml:space="preserve"> - </v>
      </c>
      <c r="H45" s="1">
        <f>'Feeders Raw Data'!AE45</f>
        <v>0</v>
      </c>
      <c r="I45">
        <f>'Feeders Raw Data'!AF45-'Feeders Raw Data'!AP45</f>
        <v>0</v>
      </c>
      <c r="J45">
        <f>'Feeders Raw Data'!AG45-'Feeders Raw Data'!AQ45</f>
        <v>0</v>
      </c>
      <c r="K45">
        <f>'Feeders Raw Data'!AH45-'Feeders Raw Data'!AR45</f>
        <v>0</v>
      </c>
      <c r="L45">
        <f>'Feeders Raw Data'!AI45-'Feeders Raw Data'!AS45</f>
        <v>0</v>
      </c>
      <c r="M45" t="str">
        <f>'Feeders Raw Data'!AM45&amp;" - "&amp;'Feeders Raw Data'!AW45</f>
        <v xml:space="preserve"> - </v>
      </c>
      <c r="O45" s="1">
        <f>'Feeders Raw Data'!BI45</f>
        <v>0</v>
      </c>
      <c r="P45">
        <f>'Feeders Raw Data'!BJ45-'Feeders Raw Data'!BT45</f>
        <v>0</v>
      </c>
      <c r="Q45">
        <f>'Feeders Raw Data'!BK45-'Feeders Raw Data'!BU45</f>
        <v>0</v>
      </c>
      <c r="R45">
        <f>'Feeders Raw Data'!BL45-'Feeders Raw Data'!BV45</f>
        <v>0</v>
      </c>
      <c r="S45">
        <f>'Feeders Raw Data'!BM45-'Feeders Raw Data'!BW45</f>
        <v>0</v>
      </c>
      <c r="T45" t="str">
        <f>'Feeders Raw Data'!BQ45&amp;" - "&amp;'Feeders Raw Data'!CA45</f>
        <v xml:space="preserve"> - </v>
      </c>
      <c r="V45" s="1">
        <f>'Feeders Raw Data'!K45</f>
        <v>0</v>
      </c>
      <c r="W45">
        <f>'Feeders Raw Data'!L45-'Feeders Raw Data'!V45</f>
        <v>0</v>
      </c>
      <c r="X45">
        <f>'Feeders Raw Data'!M45-'Feeders Raw Data'!W45</f>
        <v>0</v>
      </c>
      <c r="Y45">
        <f>'Feeders Raw Data'!N45-'Feeders Raw Data'!X45</f>
        <v>0</v>
      </c>
      <c r="Z45">
        <f>'Feeders Raw Data'!O45-'Feeders Raw Data'!Y45</f>
        <v>0</v>
      </c>
      <c r="AA45" t="str">
        <f>'Feeders Raw Data'!S45&amp;" - "&amp;'Feeders Raw Data'!AC45</f>
        <v xml:space="preserve"> - </v>
      </c>
      <c r="AC45" s="1">
        <f>'Feeders Raw Data'!U45</f>
        <v>0</v>
      </c>
      <c r="AD45">
        <f>'Feeders Raw Data'!V45-'Feeders Raw Data'!AF45</f>
        <v>0</v>
      </c>
      <c r="AE45">
        <f>'Feeders Raw Data'!W45-'Feeders Raw Data'!AG45</f>
        <v>0</v>
      </c>
      <c r="AF45">
        <f>'Feeders Raw Data'!X45-'Feeders Raw Data'!AH45</f>
        <v>0</v>
      </c>
      <c r="AG45">
        <f>'Feeders Raw Data'!Y45-'Feeders Raw Data'!AI45</f>
        <v>0</v>
      </c>
      <c r="AH45" t="str">
        <f>'Feeders Raw Data'!AC45&amp;" - "&amp;'Feeders Raw Data'!AM45</f>
        <v xml:space="preserve"> - </v>
      </c>
      <c r="AJ45" s="1">
        <f>'Feeders Raw Data'!AO45</f>
        <v>0</v>
      </c>
      <c r="AK45">
        <f>'Feeders Raw Data'!AP45-'Feeders Raw Data'!AZ45</f>
        <v>0</v>
      </c>
      <c r="AL45">
        <f>'Feeders Raw Data'!AQ45-'Feeders Raw Data'!BA45</f>
        <v>0</v>
      </c>
      <c r="AM45">
        <f>'Feeders Raw Data'!AR45-'Feeders Raw Data'!BB45</f>
        <v>0</v>
      </c>
      <c r="AN45">
        <f>'Feeders Raw Data'!AS45-'Feeders Raw Data'!BC45</f>
        <v>0</v>
      </c>
      <c r="AO45" t="str">
        <f>'Feeders Raw Data'!AW45&amp;" - "&amp;'Feeders Raw Data'!BG45</f>
        <v xml:space="preserve"> - </v>
      </c>
      <c r="AQ45" s="1">
        <f>'Feeders Raw Data'!AY45</f>
        <v>0</v>
      </c>
      <c r="AR45">
        <f>'Feeders Raw Data'!AZ45-'Feeders Raw Data'!BJ45</f>
        <v>0</v>
      </c>
      <c r="AS45">
        <f>'Feeders Raw Data'!BA45-'Feeders Raw Data'!BK45</f>
        <v>0</v>
      </c>
      <c r="AT45">
        <f>'Feeders Raw Data'!BB45-'Feeders Raw Data'!BL45</f>
        <v>0</v>
      </c>
      <c r="AU45">
        <f>'Feeders Raw Data'!BC45-'Feeders Raw Data'!BM45</f>
        <v>0</v>
      </c>
      <c r="AV45" t="str">
        <f>'Feeders Raw Data'!BG45&amp;" - "&amp;'Feeders Raw Data'!BQ45</f>
        <v xml:space="preserve"> - </v>
      </c>
      <c r="AX45" s="1">
        <f>'Feeders Raw Data'!BS45</f>
        <v>0</v>
      </c>
      <c r="AY45">
        <f>'Feeders Raw Data'!BT45-'Feeders Raw Data'!B45</f>
        <v>0</v>
      </c>
      <c r="AZ45">
        <f>'Feeders Raw Data'!BU45-'Feeders Raw Data'!C45</f>
        <v>0</v>
      </c>
      <c r="BA45">
        <f>'Feeders Raw Data'!BV45-'Feeders Raw Data'!D45</f>
        <v>0</v>
      </c>
      <c r="BB45">
        <f>'Feeders Raw Data'!BW45-'Feeders Raw Data'!E45</f>
        <v>0</v>
      </c>
      <c r="BC45" t="str">
        <f>'Feeders Raw Data'!CA45&amp;" - "&amp;'Feeders Raw Data'!I45</f>
        <v xml:space="preserve"> - </v>
      </c>
    </row>
    <row r="46" spans="1:55" x14ac:dyDescent="0.25">
      <c r="A46" s="1">
        <f>'Feeders Raw Data'!A46</f>
        <v>0</v>
      </c>
      <c r="B46">
        <f>'Feeders Raw Data'!B46-'Feeders Raw Data'!L46</f>
        <v>0</v>
      </c>
      <c r="C46">
        <f>'Feeders Raw Data'!C46-'Feeders Raw Data'!M46</f>
        <v>0</v>
      </c>
      <c r="D46">
        <f>'Feeders Raw Data'!D46-'Feeders Raw Data'!N46</f>
        <v>0</v>
      </c>
      <c r="E46">
        <f>'Feeders Raw Data'!E46-'Feeders Raw Data'!O46</f>
        <v>0</v>
      </c>
      <c r="F46" t="str">
        <f>'Feeders Raw Data'!I46&amp;" - "&amp;'Feeders Raw Data'!S46</f>
        <v xml:space="preserve"> - </v>
      </c>
      <c r="H46" s="1">
        <f>'Feeders Raw Data'!AE46</f>
        <v>0</v>
      </c>
      <c r="I46">
        <f>'Feeders Raw Data'!AF46-'Feeders Raw Data'!AP46</f>
        <v>0</v>
      </c>
      <c r="J46">
        <f>'Feeders Raw Data'!AG46-'Feeders Raw Data'!AQ46</f>
        <v>0</v>
      </c>
      <c r="K46">
        <f>'Feeders Raw Data'!AH46-'Feeders Raw Data'!AR46</f>
        <v>0</v>
      </c>
      <c r="L46">
        <f>'Feeders Raw Data'!AI46-'Feeders Raw Data'!AS46</f>
        <v>0</v>
      </c>
      <c r="M46" t="str">
        <f>'Feeders Raw Data'!AM46&amp;" - "&amp;'Feeders Raw Data'!AW46</f>
        <v xml:space="preserve"> - </v>
      </c>
      <c r="O46" s="1">
        <f>'Feeders Raw Data'!BI46</f>
        <v>0</v>
      </c>
      <c r="P46">
        <f>'Feeders Raw Data'!BJ46-'Feeders Raw Data'!BT46</f>
        <v>0</v>
      </c>
      <c r="Q46">
        <f>'Feeders Raw Data'!BK46-'Feeders Raw Data'!BU46</f>
        <v>0</v>
      </c>
      <c r="R46">
        <f>'Feeders Raw Data'!BL46-'Feeders Raw Data'!BV46</f>
        <v>0</v>
      </c>
      <c r="S46">
        <f>'Feeders Raw Data'!BM46-'Feeders Raw Data'!BW46</f>
        <v>0</v>
      </c>
      <c r="T46" t="str">
        <f>'Feeders Raw Data'!BQ46&amp;" - "&amp;'Feeders Raw Data'!CA46</f>
        <v xml:space="preserve"> - </v>
      </c>
      <c r="V46" s="1">
        <f>'Feeders Raw Data'!K46</f>
        <v>0</v>
      </c>
      <c r="W46">
        <f>'Feeders Raw Data'!L46-'Feeders Raw Data'!V46</f>
        <v>0</v>
      </c>
      <c r="X46">
        <f>'Feeders Raw Data'!M46-'Feeders Raw Data'!W46</f>
        <v>0</v>
      </c>
      <c r="Y46">
        <f>'Feeders Raw Data'!N46-'Feeders Raw Data'!X46</f>
        <v>0</v>
      </c>
      <c r="Z46">
        <f>'Feeders Raw Data'!O46-'Feeders Raw Data'!Y46</f>
        <v>0</v>
      </c>
      <c r="AA46" t="str">
        <f>'Feeders Raw Data'!S46&amp;" - "&amp;'Feeders Raw Data'!AC46</f>
        <v xml:space="preserve"> - </v>
      </c>
      <c r="AC46" s="1">
        <f>'Feeders Raw Data'!U46</f>
        <v>0</v>
      </c>
      <c r="AD46">
        <f>'Feeders Raw Data'!V46-'Feeders Raw Data'!AF46</f>
        <v>0</v>
      </c>
      <c r="AE46">
        <f>'Feeders Raw Data'!W46-'Feeders Raw Data'!AG46</f>
        <v>0</v>
      </c>
      <c r="AF46">
        <f>'Feeders Raw Data'!X46-'Feeders Raw Data'!AH46</f>
        <v>0</v>
      </c>
      <c r="AG46">
        <f>'Feeders Raw Data'!Y46-'Feeders Raw Data'!AI46</f>
        <v>0</v>
      </c>
      <c r="AH46" t="str">
        <f>'Feeders Raw Data'!AC46&amp;" - "&amp;'Feeders Raw Data'!AM46</f>
        <v xml:space="preserve"> - </v>
      </c>
      <c r="AJ46" s="1">
        <f>'Feeders Raw Data'!AO46</f>
        <v>0</v>
      </c>
      <c r="AK46">
        <f>'Feeders Raw Data'!AP46-'Feeders Raw Data'!AZ46</f>
        <v>0</v>
      </c>
      <c r="AL46">
        <f>'Feeders Raw Data'!AQ46-'Feeders Raw Data'!BA46</f>
        <v>0</v>
      </c>
      <c r="AM46">
        <f>'Feeders Raw Data'!AR46-'Feeders Raw Data'!BB46</f>
        <v>0</v>
      </c>
      <c r="AN46">
        <f>'Feeders Raw Data'!AS46-'Feeders Raw Data'!BC46</f>
        <v>0</v>
      </c>
      <c r="AO46" t="str">
        <f>'Feeders Raw Data'!AW46&amp;" - "&amp;'Feeders Raw Data'!BG46</f>
        <v xml:space="preserve"> - </v>
      </c>
      <c r="AQ46" s="1">
        <f>'Feeders Raw Data'!AY46</f>
        <v>0</v>
      </c>
      <c r="AR46">
        <f>'Feeders Raw Data'!AZ46-'Feeders Raw Data'!BJ46</f>
        <v>0</v>
      </c>
      <c r="AS46">
        <f>'Feeders Raw Data'!BA46-'Feeders Raw Data'!BK46</f>
        <v>0</v>
      </c>
      <c r="AT46">
        <f>'Feeders Raw Data'!BB46-'Feeders Raw Data'!BL46</f>
        <v>0</v>
      </c>
      <c r="AU46">
        <f>'Feeders Raw Data'!BC46-'Feeders Raw Data'!BM46</f>
        <v>0</v>
      </c>
      <c r="AV46" t="str">
        <f>'Feeders Raw Data'!BG46&amp;" - "&amp;'Feeders Raw Data'!BQ46</f>
        <v xml:space="preserve"> - </v>
      </c>
      <c r="AX46" s="1">
        <f>'Feeders Raw Data'!BS46</f>
        <v>0</v>
      </c>
      <c r="AY46">
        <f>'Feeders Raw Data'!BT46-'Feeders Raw Data'!B46</f>
        <v>0</v>
      </c>
      <c r="AZ46">
        <f>'Feeders Raw Data'!BU46-'Feeders Raw Data'!C46</f>
        <v>0</v>
      </c>
      <c r="BA46">
        <f>'Feeders Raw Data'!BV46-'Feeders Raw Data'!D46</f>
        <v>0</v>
      </c>
      <c r="BB46">
        <f>'Feeders Raw Data'!BW46-'Feeders Raw Data'!E46</f>
        <v>0</v>
      </c>
      <c r="BC46" t="str">
        <f>'Feeders Raw Data'!CA46&amp;" - "&amp;'Feeders Raw Data'!I46</f>
        <v xml:space="preserve"> - </v>
      </c>
    </row>
    <row r="47" spans="1:55" x14ac:dyDescent="0.25">
      <c r="A47" s="1">
        <f>'Feeders Raw Data'!A47</f>
        <v>0</v>
      </c>
      <c r="B47">
        <f>'Feeders Raw Data'!B47-'Feeders Raw Data'!L47</f>
        <v>0</v>
      </c>
      <c r="C47">
        <f>'Feeders Raw Data'!C47-'Feeders Raw Data'!M47</f>
        <v>0</v>
      </c>
      <c r="D47">
        <f>'Feeders Raw Data'!D47-'Feeders Raw Data'!N47</f>
        <v>0</v>
      </c>
      <c r="E47">
        <f>'Feeders Raw Data'!E47-'Feeders Raw Data'!O47</f>
        <v>0</v>
      </c>
      <c r="F47" t="str">
        <f>'Feeders Raw Data'!I47&amp;" - "&amp;'Feeders Raw Data'!S47</f>
        <v xml:space="preserve"> - </v>
      </c>
      <c r="H47" s="1">
        <f>'Feeders Raw Data'!AE47</f>
        <v>0</v>
      </c>
      <c r="I47">
        <f>'Feeders Raw Data'!AF47-'Feeders Raw Data'!AP47</f>
        <v>0</v>
      </c>
      <c r="J47">
        <f>'Feeders Raw Data'!AG47-'Feeders Raw Data'!AQ47</f>
        <v>0</v>
      </c>
      <c r="K47">
        <f>'Feeders Raw Data'!AH47-'Feeders Raw Data'!AR47</f>
        <v>0</v>
      </c>
      <c r="L47">
        <f>'Feeders Raw Data'!AI47-'Feeders Raw Data'!AS47</f>
        <v>0</v>
      </c>
      <c r="M47" t="str">
        <f>'Feeders Raw Data'!AM47&amp;" - "&amp;'Feeders Raw Data'!AW47</f>
        <v xml:space="preserve"> - </v>
      </c>
      <c r="O47" s="1">
        <f>'Feeders Raw Data'!BI47</f>
        <v>0</v>
      </c>
      <c r="P47">
        <f>'Feeders Raw Data'!BJ47-'Feeders Raw Data'!BT47</f>
        <v>0</v>
      </c>
      <c r="Q47">
        <f>'Feeders Raw Data'!BK47-'Feeders Raw Data'!BU47</f>
        <v>0</v>
      </c>
      <c r="R47">
        <f>'Feeders Raw Data'!BL47-'Feeders Raw Data'!BV47</f>
        <v>0</v>
      </c>
      <c r="S47">
        <f>'Feeders Raw Data'!BM47-'Feeders Raw Data'!BW47</f>
        <v>0</v>
      </c>
      <c r="T47" t="str">
        <f>'Feeders Raw Data'!BQ47&amp;" - "&amp;'Feeders Raw Data'!CA47</f>
        <v xml:space="preserve"> - </v>
      </c>
      <c r="V47" s="1">
        <f>'Feeders Raw Data'!K47</f>
        <v>0</v>
      </c>
      <c r="W47">
        <f>'Feeders Raw Data'!L47-'Feeders Raw Data'!V47</f>
        <v>0</v>
      </c>
      <c r="X47">
        <f>'Feeders Raw Data'!M47-'Feeders Raw Data'!W47</f>
        <v>0</v>
      </c>
      <c r="Y47">
        <f>'Feeders Raw Data'!N47-'Feeders Raw Data'!X47</f>
        <v>0</v>
      </c>
      <c r="Z47">
        <f>'Feeders Raw Data'!O47-'Feeders Raw Data'!Y47</f>
        <v>0</v>
      </c>
      <c r="AA47" t="str">
        <f>'Feeders Raw Data'!S47&amp;" - "&amp;'Feeders Raw Data'!AC47</f>
        <v xml:space="preserve"> - </v>
      </c>
      <c r="AC47" s="1">
        <f>'Feeders Raw Data'!U47</f>
        <v>0</v>
      </c>
      <c r="AD47">
        <f>'Feeders Raw Data'!V47-'Feeders Raw Data'!AF47</f>
        <v>0</v>
      </c>
      <c r="AE47">
        <f>'Feeders Raw Data'!W47-'Feeders Raw Data'!AG47</f>
        <v>0</v>
      </c>
      <c r="AF47">
        <f>'Feeders Raw Data'!X47-'Feeders Raw Data'!AH47</f>
        <v>0</v>
      </c>
      <c r="AG47">
        <f>'Feeders Raw Data'!Y47-'Feeders Raw Data'!AI47</f>
        <v>0</v>
      </c>
      <c r="AH47" t="str">
        <f>'Feeders Raw Data'!AC47&amp;" - "&amp;'Feeders Raw Data'!AM47</f>
        <v xml:space="preserve"> - </v>
      </c>
      <c r="AJ47" s="1">
        <f>'Feeders Raw Data'!AO47</f>
        <v>0</v>
      </c>
      <c r="AK47">
        <f>'Feeders Raw Data'!AP47-'Feeders Raw Data'!AZ47</f>
        <v>0</v>
      </c>
      <c r="AL47">
        <f>'Feeders Raw Data'!AQ47-'Feeders Raw Data'!BA47</f>
        <v>0</v>
      </c>
      <c r="AM47">
        <f>'Feeders Raw Data'!AR47-'Feeders Raw Data'!BB47</f>
        <v>0</v>
      </c>
      <c r="AN47">
        <f>'Feeders Raw Data'!AS47-'Feeders Raw Data'!BC47</f>
        <v>0</v>
      </c>
      <c r="AO47" t="str">
        <f>'Feeders Raw Data'!AW47&amp;" - "&amp;'Feeders Raw Data'!BG47</f>
        <v xml:space="preserve"> - </v>
      </c>
      <c r="AQ47" s="1">
        <f>'Feeders Raw Data'!AY47</f>
        <v>0</v>
      </c>
      <c r="AR47">
        <f>'Feeders Raw Data'!AZ47-'Feeders Raw Data'!BJ47</f>
        <v>0</v>
      </c>
      <c r="AS47">
        <f>'Feeders Raw Data'!BA47-'Feeders Raw Data'!BK47</f>
        <v>0</v>
      </c>
      <c r="AT47">
        <f>'Feeders Raw Data'!BB47-'Feeders Raw Data'!BL47</f>
        <v>0</v>
      </c>
      <c r="AU47">
        <f>'Feeders Raw Data'!BC47-'Feeders Raw Data'!BM47</f>
        <v>0</v>
      </c>
      <c r="AV47" t="str">
        <f>'Feeders Raw Data'!BG47&amp;" - "&amp;'Feeders Raw Data'!BQ47</f>
        <v xml:space="preserve"> - </v>
      </c>
      <c r="AX47" s="1">
        <f>'Feeders Raw Data'!BS47</f>
        <v>0</v>
      </c>
      <c r="AY47">
        <f>'Feeders Raw Data'!BT47-'Feeders Raw Data'!B47</f>
        <v>0</v>
      </c>
      <c r="AZ47">
        <f>'Feeders Raw Data'!BU47-'Feeders Raw Data'!C47</f>
        <v>0</v>
      </c>
      <c r="BA47">
        <f>'Feeders Raw Data'!BV47-'Feeders Raw Data'!D47</f>
        <v>0</v>
      </c>
      <c r="BB47">
        <f>'Feeders Raw Data'!BW47-'Feeders Raw Data'!E47</f>
        <v>0</v>
      </c>
      <c r="BC47" t="str">
        <f>'Feeders Raw Data'!CA47&amp;" - "&amp;'Feeders Raw Data'!I47</f>
        <v xml:space="preserve"> - </v>
      </c>
    </row>
    <row r="48" spans="1:55" x14ac:dyDescent="0.25">
      <c r="A48" s="1">
        <f>'Feeders Raw Data'!A48</f>
        <v>0</v>
      </c>
      <c r="B48">
        <f>'Feeders Raw Data'!B48-'Feeders Raw Data'!L48</f>
        <v>0</v>
      </c>
      <c r="C48">
        <f>'Feeders Raw Data'!C48-'Feeders Raw Data'!M48</f>
        <v>0</v>
      </c>
      <c r="D48">
        <f>'Feeders Raw Data'!D48-'Feeders Raw Data'!N48</f>
        <v>0</v>
      </c>
      <c r="E48">
        <f>'Feeders Raw Data'!E48-'Feeders Raw Data'!O48</f>
        <v>0</v>
      </c>
      <c r="F48" t="str">
        <f>'Feeders Raw Data'!I48&amp;" - "&amp;'Feeders Raw Data'!S48</f>
        <v xml:space="preserve"> - </v>
      </c>
      <c r="H48" s="1">
        <f>'Feeders Raw Data'!AE48</f>
        <v>0</v>
      </c>
      <c r="I48">
        <f>'Feeders Raw Data'!AF48-'Feeders Raw Data'!AP48</f>
        <v>0</v>
      </c>
      <c r="J48">
        <f>'Feeders Raw Data'!AG48-'Feeders Raw Data'!AQ48</f>
        <v>0</v>
      </c>
      <c r="K48">
        <f>'Feeders Raw Data'!AH48-'Feeders Raw Data'!AR48</f>
        <v>0</v>
      </c>
      <c r="L48">
        <f>'Feeders Raw Data'!AI48-'Feeders Raw Data'!AS48</f>
        <v>0</v>
      </c>
      <c r="M48" t="str">
        <f>'Feeders Raw Data'!AM48&amp;" - "&amp;'Feeders Raw Data'!AW48</f>
        <v xml:space="preserve"> - </v>
      </c>
      <c r="O48" s="1">
        <f>'Feeders Raw Data'!BI48</f>
        <v>0</v>
      </c>
      <c r="P48">
        <f>'Feeders Raw Data'!BJ48-'Feeders Raw Data'!BT48</f>
        <v>0</v>
      </c>
      <c r="Q48">
        <f>'Feeders Raw Data'!BK48-'Feeders Raw Data'!BU48</f>
        <v>0</v>
      </c>
      <c r="R48">
        <f>'Feeders Raw Data'!BL48-'Feeders Raw Data'!BV48</f>
        <v>0</v>
      </c>
      <c r="S48">
        <f>'Feeders Raw Data'!BM48-'Feeders Raw Data'!BW48</f>
        <v>0</v>
      </c>
      <c r="T48" t="str">
        <f>'Feeders Raw Data'!BQ48&amp;" - "&amp;'Feeders Raw Data'!CA48</f>
        <v xml:space="preserve"> - </v>
      </c>
      <c r="V48" s="1">
        <f>'Feeders Raw Data'!K48</f>
        <v>0</v>
      </c>
      <c r="W48">
        <f>'Feeders Raw Data'!L48-'Feeders Raw Data'!V48</f>
        <v>0</v>
      </c>
      <c r="X48">
        <f>'Feeders Raw Data'!M48-'Feeders Raw Data'!W48</f>
        <v>0</v>
      </c>
      <c r="Y48">
        <f>'Feeders Raw Data'!N48-'Feeders Raw Data'!X48</f>
        <v>0</v>
      </c>
      <c r="Z48">
        <f>'Feeders Raw Data'!O48-'Feeders Raw Data'!Y48</f>
        <v>0</v>
      </c>
      <c r="AA48" t="str">
        <f>'Feeders Raw Data'!S48&amp;" - "&amp;'Feeders Raw Data'!AC48</f>
        <v xml:space="preserve"> - </v>
      </c>
      <c r="AC48" s="1">
        <f>'Feeders Raw Data'!U48</f>
        <v>0</v>
      </c>
      <c r="AD48">
        <f>'Feeders Raw Data'!V48-'Feeders Raw Data'!AF48</f>
        <v>0</v>
      </c>
      <c r="AE48">
        <f>'Feeders Raw Data'!W48-'Feeders Raw Data'!AG48</f>
        <v>0</v>
      </c>
      <c r="AF48">
        <f>'Feeders Raw Data'!X48-'Feeders Raw Data'!AH48</f>
        <v>0</v>
      </c>
      <c r="AG48">
        <f>'Feeders Raw Data'!Y48-'Feeders Raw Data'!AI48</f>
        <v>0</v>
      </c>
      <c r="AH48" t="str">
        <f>'Feeders Raw Data'!AC48&amp;" - "&amp;'Feeders Raw Data'!AM48</f>
        <v xml:space="preserve"> - </v>
      </c>
      <c r="AJ48" s="1">
        <f>'Feeders Raw Data'!AO48</f>
        <v>0</v>
      </c>
      <c r="AK48">
        <f>'Feeders Raw Data'!AP48-'Feeders Raw Data'!AZ48</f>
        <v>0</v>
      </c>
      <c r="AL48">
        <f>'Feeders Raw Data'!AQ48-'Feeders Raw Data'!BA48</f>
        <v>0</v>
      </c>
      <c r="AM48">
        <f>'Feeders Raw Data'!AR48-'Feeders Raw Data'!BB48</f>
        <v>0</v>
      </c>
      <c r="AN48">
        <f>'Feeders Raw Data'!AS48-'Feeders Raw Data'!BC48</f>
        <v>0</v>
      </c>
      <c r="AO48" t="str">
        <f>'Feeders Raw Data'!AW48&amp;" - "&amp;'Feeders Raw Data'!BG48</f>
        <v xml:space="preserve"> - </v>
      </c>
      <c r="AQ48" s="1">
        <f>'Feeders Raw Data'!AY48</f>
        <v>0</v>
      </c>
      <c r="AR48">
        <f>'Feeders Raw Data'!AZ48-'Feeders Raw Data'!BJ48</f>
        <v>0</v>
      </c>
      <c r="AS48">
        <f>'Feeders Raw Data'!BA48-'Feeders Raw Data'!BK48</f>
        <v>0</v>
      </c>
      <c r="AT48">
        <f>'Feeders Raw Data'!BB48-'Feeders Raw Data'!BL48</f>
        <v>0</v>
      </c>
      <c r="AU48">
        <f>'Feeders Raw Data'!BC48-'Feeders Raw Data'!BM48</f>
        <v>0</v>
      </c>
      <c r="AV48" t="str">
        <f>'Feeders Raw Data'!BG48&amp;" - "&amp;'Feeders Raw Data'!BQ48</f>
        <v xml:space="preserve"> - </v>
      </c>
      <c r="AX48" s="1">
        <f>'Feeders Raw Data'!BS48</f>
        <v>0</v>
      </c>
      <c r="AY48">
        <f>'Feeders Raw Data'!BT48-'Feeders Raw Data'!B48</f>
        <v>0</v>
      </c>
      <c r="AZ48">
        <f>'Feeders Raw Data'!BU48-'Feeders Raw Data'!C48</f>
        <v>0</v>
      </c>
      <c r="BA48">
        <f>'Feeders Raw Data'!BV48-'Feeders Raw Data'!D48</f>
        <v>0</v>
      </c>
      <c r="BB48">
        <f>'Feeders Raw Data'!BW48-'Feeders Raw Data'!E48</f>
        <v>0</v>
      </c>
      <c r="BC48" t="str">
        <f>'Feeders Raw Data'!CA48&amp;" - "&amp;'Feeders Raw Data'!I48</f>
        <v xml:space="preserve"> - </v>
      </c>
    </row>
    <row r="49" spans="1:55" x14ac:dyDescent="0.25">
      <c r="A49" s="1">
        <f>'Feeders Raw Data'!A49</f>
        <v>0</v>
      </c>
      <c r="B49">
        <f>'Feeders Raw Data'!B49-'Feeders Raw Data'!L49</f>
        <v>0</v>
      </c>
      <c r="C49">
        <f>'Feeders Raw Data'!C49-'Feeders Raw Data'!M49</f>
        <v>0</v>
      </c>
      <c r="D49">
        <f>'Feeders Raw Data'!D49-'Feeders Raw Data'!N49</f>
        <v>0</v>
      </c>
      <c r="E49">
        <f>'Feeders Raw Data'!E49-'Feeders Raw Data'!O49</f>
        <v>0</v>
      </c>
      <c r="F49" t="str">
        <f>'Feeders Raw Data'!I49&amp;" - "&amp;'Feeders Raw Data'!S49</f>
        <v xml:space="preserve"> - </v>
      </c>
      <c r="H49" s="1">
        <f>'Feeders Raw Data'!AE49</f>
        <v>0</v>
      </c>
      <c r="I49">
        <f>'Feeders Raw Data'!AF49-'Feeders Raw Data'!AP49</f>
        <v>0</v>
      </c>
      <c r="J49">
        <f>'Feeders Raw Data'!AG49-'Feeders Raw Data'!AQ49</f>
        <v>0</v>
      </c>
      <c r="K49">
        <f>'Feeders Raw Data'!AH49-'Feeders Raw Data'!AR49</f>
        <v>0</v>
      </c>
      <c r="L49">
        <f>'Feeders Raw Data'!AI49-'Feeders Raw Data'!AS49</f>
        <v>0</v>
      </c>
      <c r="M49" t="str">
        <f>'Feeders Raw Data'!AM49&amp;" - "&amp;'Feeders Raw Data'!AW49</f>
        <v xml:space="preserve"> - </v>
      </c>
      <c r="O49" s="1">
        <f>'Feeders Raw Data'!BI49</f>
        <v>0</v>
      </c>
      <c r="P49">
        <f>'Feeders Raw Data'!BJ49-'Feeders Raw Data'!BT49</f>
        <v>0</v>
      </c>
      <c r="Q49">
        <f>'Feeders Raw Data'!BK49-'Feeders Raw Data'!BU49</f>
        <v>0</v>
      </c>
      <c r="R49">
        <f>'Feeders Raw Data'!BL49-'Feeders Raw Data'!BV49</f>
        <v>0</v>
      </c>
      <c r="S49">
        <f>'Feeders Raw Data'!BM49-'Feeders Raw Data'!BW49</f>
        <v>0</v>
      </c>
      <c r="T49" t="str">
        <f>'Feeders Raw Data'!BQ49&amp;" - "&amp;'Feeders Raw Data'!CA49</f>
        <v xml:space="preserve"> - </v>
      </c>
      <c r="V49" s="1">
        <f>'Feeders Raw Data'!K49</f>
        <v>0</v>
      </c>
      <c r="W49">
        <f>'Feeders Raw Data'!L49-'Feeders Raw Data'!V49</f>
        <v>0</v>
      </c>
      <c r="X49">
        <f>'Feeders Raw Data'!M49-'Feeders Raw Data'!W49</f>
        <v>0</v>
      </c>
      <c r="Y49">
        <f>'Feeders Raw Data'!N49-'Feeders Raw Data'!X49</f>
        <v>0</v>
      </c>
      <c r="Z49">
        <f>'Feeders Raw Data'!O49-'Feeders Raw Data'!Y49</f>
        <v>0</v>
      </c>
      <c r="AA49" t="str">
        <f>'Feeders Raw Data'!S49&amp;" - "&amp;'Feeders Raw Data'!AC49</f>
        <v xml:space="preserve"> - </v>
      </c>
      <c r="AC49" s="1">
        <f>'Feeders Raw Data'!U49</f>
        <v>0</v>
      </c>
      <c r="AD49">
        <f>'Feeders Raw Data'!V49-'Feeders Raw Data'!AF49</f>
        <v>0</v>
      </c>
      <c r="AE49">
        <f>'Feeders Raw Data'!W49-'Feeders Raw Data'!AG49</f>
        <v>0</v>
      </c>
      <c r="AF49">
        <f>'Feeders Raw Data'!X49-'Feeders Raw Data'!AH49</f>
        <v>0</v>
      </c>
      <c r="AG49">
        <f>'Feeders Raw Data'!Y49-'Feeders Raw Data'!AI49</f>
        <v>0</v>
      </c>
      <c r="AH49" t="str">
        <f>'Feeders Raw Data'!AC49&amp;" - "&amp;'Feeders Raw Data'!AM49</f>
        <v xml:space="preserve"> - </v>
      </c>
      <c r="AJ49" s="1">
        <f>'Feeders Raw Data'!AO49</f>
        <v>0</v>
      </c>
      <c r="AK49">
        <f>'Feeders Raw Data'!AP49-'Feeders Raw Data'!AZ49</f>
        <v>0</v>
      </c>
      <c r="AL49">
        <f>'Feeders Raw Data'!AQ49-'Feeders Raw Data'!BA49</f>
        <v>0</v>
      </c>
      <c r="AM49">
        <f>'Feeders Raw Data'!AR49-'Feeders Raw Data'!BB49</f>
        <v>0</v>
      </c>
      <c r="AN49">
        <f>'Feeders Raw Data'!AS49-'Feeders Raw Data'!BC49</f>
        <v>0</v>
      </c>
      <c r="AO49" t="str">
        <f>'Feeders Raw Data'!AW49&amp;" - "&amp;'Feeders Raw Data'!BG49</f>
        <v xml:space="preserve"> - </v>
      </c>
      <c r="AQ49" s="1">
        <f>'Feeders Raw Data'!AY49</f>
        <v>0</v>
      </c>
      <c r="AR49">
        <f>'Feeders Raw Data'!AZ49-'Feeders Raw Data'!BJ49</f>
        <v>0</v>
      </c>
      <c r="AS49">
        <f>'Feeders Raw Data'!BA49-'Feeders Raw Data'!BK49</f>
        <v>0</v>
      </c>
      <c r="AT49">
        <f>'Feeders Raw Data'!BB49-'Feeders Raw Data'!BL49</f>
        <v>0</v>
      </c>
      <c r="AU49">
        <f>'Feeders Raw Data'!BC49-'Feeders Raw Data'!BM49</f>
        <v>0</v>
      </c>
      <c r="AV49" t="str">
        <f>'Feeders Raw Data'!BG49&amp;" - "&amp;'Feeders Raw Data'!BQ49</f>
        <v xml:space="preserve"> - </v>
      </c>
      <c r="AX49" s="1">
        <f>'Feeders Raw Data'!BS49</f>
        <v>0</v>
      </c>
      <c r="AY49">
        <f>'Feeders Raw Data'!BT49-'Feeders Raw Data'!B49</f>
        <v>0</v>
      </c>
      <c r="AZ49">
        <f>'Feeders Raw Data'!BU49-'Feeders Raw Data'!C49</f>
        <v>0</v>
      </c>
      <c r="BA49">
        <f>'Feeders Raw Data'!BV49-'Feeders Raw Data'!D49</f>
        <v>0</v>
      </c>
      <c r="BB49">
        <f>'Feeders Raw Data'!BW49-'Feeders Raw Data'!E49</f>
        <v>0</v>
      </c>
      <c r="BC49" t="str">
        <f>'Feeders Raw Data'!CA49&amp;" - "&amp;'Feeders Raw Data'!I49</f>
        <v xml:space="preserve"> - </v>
      </c>
    </row>
    <row r="50" spans="1:55" x14ac:dyDescent="0.25">
      <c r="A50" s="1">
        <f>'Feeders Raw Data'!A50</f>
        <v>0</v>
      </c>
      <c r="B50">
        <f>'Feeders Raw Data'!B50-'Feeders Raw Data'!L50</f>
        <v>0</v>
      </c>
      <c r="C50">
        <f>'Feeders Raw Data'!C50-'Feeders Raw Data'!M50</f>
        <v>0</v>
      </c>
      <c r="D50">
        <f>'Feeders Raw Data'!D50-'Feeders Raw Data'!N50</f>
        <v>0</v>
      </c>
      <c r="E50">
        <f>'Feeders Raw Data'!E50-'Feeders Raw Data'!O50</f>
        <v>0</v>
      </c>
      <c r="F50" t="str">
        <f>'Feeders Raw Data'!I50&amp;" - "&amp;'Feeders Raw Data'!S50</f>
        <v xml:space="preserve"> - </v>
      </c>
      <c r="H50" s="1">
        <f>'Feeders Raw Data'!AE50</f>
        <v>0</v>
      </c>
      <c r="I50">
        <f>'Feeders Raw Data'!AF50-'Feeders Raw Data'!AP50</f>
        <v>0</v>
      </c>
      <c r="J50">
        <f>'Feeders Raw Data'!AG50-'Feeders Raw Data'!AQ50</f>
        <v>0</v>
      </c>
      <c r="K50">
        <f>'Feeders Raw Data'!AH50-'Feeders Raw Data'!AR50</f>
        <v>0</v>
      </c>
      <c r="L50">
        <f>'Feeders Raw Data'!AI50-'Feeders Raw Data'!AS50</f>
        <v>0</v>
      </c>
      <c r="M50" t="str">
        <f>'Feeders Raw Data'!AM50&amp;" - "&amp;'Feeders Raw Data'!AW50</f>
        <v xml:space="preserve"> - </v>
      </c>
      <c r="O50" s="1">
        <f>'Feeders Raw Data'!BI50</f>
        <v>0</v>
      </c>
      <c r="P50">
        <f>'Feeders Raw Data'!BJ50-'Feeders Raw Data'!BT50</f>
        <v>0</v>
      </c>
      <c r="Q50">
        <f>'Feeders Raw Data'!BK50-'Feeders Raw Data'!BU50</f>
        <v>0</v>
      </c>
      <c r="R50">
        <f>'Feeders Raw Data'!BL50-'Feeders Raw Data'!BV50</f>
        <v>0</v>
      </c>
      <c r="S50">
        <f>'Feeders Raw Data'!BM50-'Feeders Raw Data'!BW50</f>
        <v>0</v>
      </c>
      <c r="T50" t="str">
        <f>'Feeders Raw Data'!BQ50&amp;" - "&amp;'Feeders Raw Data'!CA50</f>
        <v xml:space="preserve"> - </v>
      </c>
      <c r="V50" s="1">
        <f>'Feeders Raw Data'!K50</f>
        <v>0</v>
      </c>
      <c r="W50">
        <f>'Feeders Raw Data'!L50-'Feeders Raw Data'!V50</f>
        <v>0</v>
      </c>
      <c r="X50">
        <f>'Feeders Raw Data'!M50-'Feeders Raw Data'!W50</f>
        <v>0</v>
      </c>
      <c r="Y50">
        <f>'Feeders Raw Data'!N50-'Feeders Raw Data'!X50</f>
        <v>0</v>
      </c>
      <c r="Z50">
        <f>'Feeders Raw Data'!O50-'Feeders Raw Data'!Y50</f>
        <v>0</v>
      </c>
      <c r="AA50" t="str">
        <f>'Feeders Raw Data'!S50&amp;" - "&amp;'Feeders Raw Data'!AC50</f>
        <v xml:space="preserve"> - </v>
      </c>
      <c r="AC50" s="1">
        <f>'Feeders Raw Data'!U50</f>
        <v>0</v>
      </c>
      <c r="AD50">
        <f>'Feeders Raw Data'!V50-'Feeders Raw Data'!AF50</f>
        <v>0</v>
      </c>
      <c r="AE50">
        <f>'Feeders Raw Data'!W50-'Feeders Raw Data'!AG50</f>
        <v>0</v>
      </c>
      <c r="AF50">
        <f>'Feeders Raw Data'!X50-'Feeders Raw Data'!AH50</f>
        <v>0</v>
      </c>
      <c r="AG50">
        <f>'Feeders Raw Data'!Y50-'Feeders Raw Data'!AI50</f>
        <v>0</v>
      </c>
      <c r="AH50" t="str">
        <f>'Feeders Raw Data'!AC50&amp;" - "&amp;'Feeders Raw Data'!AM50</f>
        <v xml:space="preserve"> - </v>
      </c>
      <c r="AJ50" s="1">
        <f>'Feeders Raw Data'!AO50</f>
        <v>0</v>
      </c>
      <c r="AK50">
        <f>'Feeders Raw Data'!AP50-'Feeders Raw Data'!AZ50</f>
        <v>0</v>
      </c>
      <c r="AL50">
        <f>'Feeders Raw Data'!AQ50-'Feeders Raw Data'!BA50</f>
        <v>0</v>
      </c>
      <c r="AM50">
        <f>'Feeders Raw Data'!AR50-'Feeders Raw Data'!BB50</f>
        <v>0</v>
      </c>
      <c r="AN50">
        <f>'Feeders Raw Data'!AS50-'Feeders Raw Data'!BC50</f>
        <v>0</v>
      </c>
      <c r="AO50" t="str">
        <f>'Feeders Raw Data'!AW50&amp;" - "&amp;'Feeders Raw Data'!BG50</f>
        <v xml:space="preserve"> - </v>
      </c>
      <c r="AQ50" s="1">
        <f>'Feeders Raw Data'!AY50</f>
        <v>0</v>
      </c>
      <c r="AR50">
        <f>'Feeders Raw Data'!AZ50-'Feeders Raw Data'!BJ50</f>
        <v>0</v>
      </c>
      <c r="AS50">
        <f>'Feeders Raw Data'!BA50-'Feeders Raw Data'!BK50</f>
        <v>0</v>
      </c>
      <c r="AT50">
        <f>'Feeders Raw Data'!BB50-'Feeders Raw Data'!BL50</f>
        <v>0</v>
      </c>
      <c r="AU50">
        <f>'Feeders Raw Data'!BC50-'Feeders Raw Data'!BM50</f>
        <v>0</v>
      </c>
      <c r="AV50" t="str">
        <f>'Feeders Raw Data'!BG50&amp;" - "&amp;'Feeders Raw Data'!BQ50</f>
        <v xml:space="preserve"> - </v>
      </c>
      <c r="AX50" s="1">
        <f>'Feeders Raw Data'!BS50</f>
        <v>0</v>
      </c>
      <c r="AY50">
        <f>'Feeders Raw Data'!BT50-'Feeders Raw Data'!B50</f>
        <v>0</v>
      </c>
      <c r="AZ50">
        <f>'Feeders Raw Data'!BU50-'Feeders Raw Data'!C50</f>
        <v>0</v>
      </c>
      <c r="BA50">
        <f>'Feeders Raw Data'!BV50-'Feeders Raw Data'!D50</f>
        <v>0</v>
      </c>
      <c r="BB50">
        <f>'Feeders Raw Data'!BW50-'Feeders Raw Data'!E50</f>
        <v>0</v>
      </c>
      <c r="BC50" t="str">
        <f>'Feeders Raw Data'!CA50&amp;" - "&amp;'Feeders Raw Data'!I50</f>
        <v xml:space="preserve"> - </v>
      </c>
    </row>
    <row r="51" spans="1:55" x14ac:dyDescent="0.25">
      <c r="A51" s="1">
        <f>'Feeders Raw Data'!A51</f>
        <v>0</v>
      </c>
      <c r="B51">
        <f>'Feeders Raw Data'!B51-'Feeders Raw Data'!L51</f>
        <v>0</v>
      </c>
      <c r="C51">
        <f>'Feeders Raw Data'!C51-'Feeders Raw Data'!M51</f>
        <v>0</v>
      </c>
      <c r="D51">
        <f>'Feeders Raw Data'!D51-'Feeders Raw Data'!N51</f>
        <v>0</v>
      </c>
      <c r="E51">
        <f>'Feeders Raw Data'!E51-'Feeders Raw Data'!O51</f>
        <v>0</v>
      </c>
      <c r="F51" t="str">
        <f>'Feeders Raw Data'!I51&amp;" - "&amp;'Feeders Raw Data'!S51</f>
        <v xml:space="preserve"> - </v>
      </c>
      <c r="H51" s="1">
        <f>'Feeders Raw Data'!AE51</f>
        <v>0</v>
      </c>
      <c r="I51">
        <f>'Feeders Raw Data'!AF51-'Feeders Raw Data'!AP51</f>
        <v>0</v>
      </c>
      <c r="J51">
        <f>'Feeders Raw Data'!AG51-'Feeders Raw Data'!AQ51</f>
        <v>0</v>
      </c>
      <c r="K51">
        <f>'Feeders Raw Data'!AH51-'Feeders Raw Data'!AR51</f>
        <v>0</v>
      </c>
      <c r="L51">
        <f>'Feeders Raw Data'!AI51-'Feeders Raw Data'!AS51</f>
        <v>0</v>
      </c>
      <c r="M51" t="str">
        <f>'Feeders Raw Data'!AM51&amp;" - "&amp;'Feeders Raw Data'!AW51</f>
        <v xml:space="preserve"> - </v>
      </c>
      <c r="O51" s="1">
        <f>'Feeders Raw Data'!BI51</f>
        <v>0</v>
      </c>
      <c r="P51">
        <f>'Feeders Raw Data'!BJ51-'Feeders Raw Data'!BT51</f>
        <v>0</v>
      </c>
      <c r="Q51">
        <f>'Feeders Raw Data'!BK51-'Feeders Raw Data'!BU51</f>
        <v>0</v>
      </c>
      <c r="R51">
        <f>'Feeders Raw Data'!BL51-'Feeders Raw Data'!BV51</f>
        <v>0</v>
      </c>
      <c r="S51">
        <f>'Feeders Raw Data'!BM51-'Feeders Raw Data'!BW51</f>
        <v>0</v>
      </c>
      <c r="T51" t="str">
        <f>'Feeders Raw Data'!BQ51&amp;" - "&amp;'Feeders Raw Data'!CA51</f>
        <v xml:space="preserve"> - </v>
      </c>
      <c r="V51" s="1">
        <f>'Feeders Raw Data'!K51</f>
        <v>0</v>
      </c>
      <c r="W51">
        <f>'Feeders Raw Data'!L51-'Feeders Raw Data'!V51</f>
        <v>0</v>
      </c>
      <c r="X51">
        <f>'Feeders Raw Data'!M51-'Feeders Raw Data'!W51</f>
        <v>0</v>
      </c>
      <c r="Y51">
        <f>'Feeders Raw Data'!N51-'Feeders Raw Data'!X51</f>
        <v>0</v>
      </c>
      <c r="Z51">
        <f>'Feeders Raw Data'!O51-'Feeders Raw Data'!Y51</f>
        <v>0</v>
      </c>
      <c r="AA51" t="str">
        <f>'Feeders Raw Data'!S51&amp;" - "&amp;'Feeders Raw Data'!AC51</f>
        <v xml:space="preserve"> - </v>
      </c>
      <c r="AC51" s="1">
        <f>'Feeders Raw Data'!U51</f>
        <v>0</v>
      </c>
      <c r="AD51">
        <f>'Feeders Raw Data'!V51-'Feeders Raw Data'!AF51</f>
        <v>0</v>
      </c>
      <c r="AE51">
        <f>'Feeders Raw Data'!W51-'Feeders Raw Data'!AG51</f>
        <v>0</v>
      </c>
      <c r="AF51">
        <f>'Feeders Raw Data'!X51-'Feeders Raw Data'!AH51</f>
        <v>0</v>
      </c>
      <c r="AG51">
        <f>'Feeders Raw Data'!Y51-'Feeders Raw Data'!AI51</f>
        <v>0</v>
      </c>
      <c r="AH51" t="str">
        <f>'Feeders Raw Data'!AC51&amp;" - "&amp;'Feeders Raw Data'!AM51</f>
        <v xml:space="preserve"> - </v>
      </c>
      <c r="AJ51" s="1">
        <f>'Feeders Raw Data'!AO51</f>
        <v>0</v>
      </c>
      <c r="AK51">
        <f>'Feeders Raw Data'!AP51-'Feeders Raw Data'!AZ51</f>
        <v>0</v>
      </c>
      <c r="AL51">
        <f>'Feeders Raw Data'!AQ51-'Feeders Raw Data'!BA51</f>
        <v>0</v>
      </c>
      <c r="AM51">
        <f>'Feeders Raw Data'!AR51-'Feeders Raw Data'!BB51</f>
        <v>0</v>
      </c>
      <c r="AN51">
        <f>'Feeders Raw Data'!AS51-'Feeders Raw Data'!BC51</f>
        <v>0</v>
      </c>
      <c r="AO51" t="str">
        <f>'Feeders Raw Data'!AW51&amp;" - "&amp;'Feeders Raw Data'!BG51</f>
        <v xml:space="preserve"> - </v>
      </c>
      <c r="AQ51" s="1">
        <f>'Feeders Raw Data'!AY51</f>
        <v>0</v>
      </c>
      <c r="AR51">
        <f>'Feeders Raw Data'!AZ51-'Feeders Raw Data'!BJ51</f>
        <v>0</v>
      </c>
      <c r="AS51">
        <f>'Feeders Raw Data'!BA51-'Feeders Raw Data'!BK51</f>
        <v>0</v>
      </c>
      <c r="AT51">
        <f>'Feeders Raw Data'!BB51-'Feeders Raw Data'!BL51</f>
        <v>0</v>
      </c>
      <c r="AU51">
        <f>'Feeders Raw Data'!BC51-'Feeders Raw Data'!BM51</f>
        <v>0</v>
      </c>
      <c r="AV51" t="str">
        <f>'Feeders Raw Data'!BG51&amp;" - "&amp;'Feeders Raw Data'!BQ51</f>
        <v xml:space="preserve"> - </v>
      </c>
      <c r="AX51" s="1">
        <f>'Feeders Raw Data'!BS51</f>
        <v>0</v>
      </c>
      <c r="AY51">
        <f>'Feeders Raw Data'!BT51-'Feeders Raw Data'!B51</f>
        <v>0</v>
      </c>
      <c r="AZ51">
        <f>'Feeders Raw Data'!BU51-'Feeders Raw Data'!C51</f>
        <v>0</v>
      </c>
      <c r="BA51">
        <f>'Feeders Raw Data'!BV51-'Feeders Raw Data'!D51</f>
        <v>0</v>
      </c>
      <c r="BB51">
        <f>'Feeders Raw Data'!BW51-'Feeders Raw Data'!E51</f>
        <v>0</v>
      </c>
      <c r="BC51" t="str">
        <f>'Feeders Raw Data'!CA51&amp;" - "&amp;'Feeders Raw Data'!I51</f>
        <v xml:space="preserve"> - </v>
      </c>
    </row>
    <row r="52" spans="1:55" x14ac:dyDescent="0.25">
      <c r="A52" s="1">
        <f>'Feeders Raw Data'!A52</f>
        <v>0</v>
      </c>
      <c r="B52">
        <f>'Feeders Raw Data'!B52-'Feeders Raw Data'!L52</f>
        <v>0</v>
      </c>
      <c r="C52">
        <f>'Feeders Raw Data'!C52-'Feeders Raw Data'!M52</f>
        <v>0</v>
      </c>
      <c r="D52">
        <f>'Feeders Raw Data'!D52-'Feeders Raw Data'!N52</f>
        <v>0</v>
      </c>
      <c r="E52">
        <f>'Feeders Raw Data'!E52-'Feeders Raw Data'!O52</f>
        <v>0</v>
      </c>
      <c r="F52" t="str">
        <f>'Feeders Raw Data'!I52&amp;" - "&amp;'Feeders Raw Data'!S52</f>
        <v xml:space="preserve"> - </v>
      </c>
      <c r="H52" s="1">
        <f>'Feeders Raw Data'!AE52</f>
        <v>0</v>
      </c>
      <c r="I52">
        <f>'Feeders Raw Data'!AF52-'Feeders Raw Data'!AP52</f>
        <v>0</v>
      </c>
      <c r="J52">
        <f>'Feeders Raw Data'!AG52-'Feeders Raw Data'!AQ52</f>
        <v>0</v>
      </c>
      <c r="K52">
        <f>'Feeders Raw Data'!AH52-'Feeders Raw Data'!AR52</f>
        <v>0</v>
      </c>
      <c r="L52">
        <f>'Feeders Raw Data'!AI52-'Feeders Raw Data'!AS52</f>
        <v>0</v>
      </c>
      <c r="M52" t="str">
        <f>'Feeders Raw Data'!AM52&amp;" - "&amp;'Feeders Raw Data'!AW52</f>
        <v xml:space="preserve"> - </v>
      </c>
      <c r="O52" s="1">
        <f>'Feeders Raw Data'!BI52</f>
        <v>0</v>
      </c>
      <c r="P52">
        <f>'Feeders Raw Data'!BJ52-'Feeders Raw Data'!BT52</f>
        <v>0</v>
      </c>
      <c r="Q52">
        <f>'Feeders Raw Data'!BK52-'Feeders Raw Data'!BU52</f>
        <v>0</v>
      </c>
      <c r="R52">
        <f>'Feeders Raw Data'!BL52-'Feeders Raw Data'!BV52</f>
        <v>0</v>
      </c>
      <c r="S52">
        <f>'Feeders Raw Data'!BM52-'Feeders Raw Data'!BW52</f>
        <v>0</v>
      </c>
      <c r="T52" t="str">
        <f>'Feeders Raw Data'!BQ52&amp;" - "&amp;'Feeders Raw Data'!CA52</f>
        <v xml:space="preserve"> - </v>
      </c>
      <c r="V52" s="1">
        <f>'Feeders Raw Data'!K52</f>
        <v>0</v>
      </c>
      <c r="W52">
        <f>'Feeders Raw Data'!L52-'Feeders Raw Data'!V52</f>
        <v>0</v>
      </c>
      <c r="X52">
        <f>'Feeders Raw Data'!M52-'Feeders Raw Data'!W52</f>
        <v>0</v>
      </c>
      <c r="Y52">
        <f>'Feeders Raw Data'!N52-'Feeders Raw Data'!X52</f>
        <v>0</v>
      </c>
      <c r="Z52">
        <f>'Feeders Raw Data'!O52-'Feeders Raw Data'!Y52</f>
        <v>0</v>
      </c>
      <c r="AA52" t="str">
        <f>'Feeders Raw Data'!S52&amp;" - "&amp;'Feeders Raw Data'!AC52</f>
        <v xml:space="preserve"> - </v>
      </c>
      <c r="AC52" s="1">
        <f>'Feeders Raw Data'!U52</f>
        <v>0</v>
      </c>
      <c r="AD52">
        <f>'Feeders Raw Data'!V52-'Feeders Raw Data'!AF52</f>
        <v>0</v>
      </c>
      <c r="AE52">
        <f>'Feeders Raw Data'!W52-'Feeders Raw Data'!AG52</f>
        <v>0</v>
      </c>
      <c r="AF52">
        <f>'Feeders Raw Data'!X52-'Feeders Raw Data'!AH52</f>
        <v>0</v>
      </c>
      <c r="AG52">
        <f>'Feeders Raw Data'!Y52-'Feeders Raw Data'!AI52</f>
        <v>0</v>
      </c>
      <c r="AH52" t="str">
        <f>'Feeders Raw Data'!AC52&amp;" - "&amp;'Feeders Raw Data'!AM52</f>
        <v xml:space="preserve"> - </v>
      </c>
      <c r="AJ52" s="1">
        <f>'Feeders Raw Data'!AO52</f>
        <v>0</v>
      </c>
      <c r="AK52">
        <f>'Feeders Raw Data'!AP52-'Feeders Raw Data'!AZ52</f>
        <v>0</v>
      </c>
      <c r="AL52">
        <f>'Feeders Raw Data'!AQ52-'Feeders Raw Data'!BA52</f>
        <v>0</v>
      </c>
      <c r="AM52">
        <f>'Feeders Raw Data'!AR52-'Feeders Raw Data'!BB52</f>
        <v>0</v>
      </c>
      <c r="AN52">
        <f>'Feeders Raw Data'!AS52-'Feeders Raw Data'!BC52</f>
        <v>0</v>
      </c>
      <c r="AO52" t="str">
        <f>'Feeders Raw Data'!AW52&amp;" - "&amp;'Feeders Raw Data'!BG52</f>
        <v xml:space="preserve"> - </v>
      </c>
      <c r="AQ52" s="1">
        <f>'Feeders Raw Data'!AY52</f>
        <v>0</v>
      </c>
      <c r="AR52">
        <f>'Feeders Raw Data'!AZ52-'Feeders Raw Data'!BJ52</f>
        <v>0</v>
      </c>
      <c r="AS52">
        <f>'Feeders Raw Data'!BA52-'Feeders Raw Data'!BK52</f>
        <v>0</v>
      </c>
      <c r="AT52">
        <f>'Feeders Raw Data'!BB52-'Feeders Raw Data'!BL52</f>
        <v>0</v>
      </c>
      <c r="AU52">
        <f>'Feeders Raw Data'!BC52-'Feeders Raw Data'!BM52</f>
        <v>0</v>
      </c>
      <c r="AV52" t="str">
        <f>'Feeders Raw Data'!BG52&amp;" - "&amp;'Feeders Raw Data'!BQ52</f>
        <v xml:space="preserve"> - </v>
      </c>
      <c r="AX52" s="1">
        <f>'Feeders Raw Data'!BS52</f>
        <v>0</v>
      </c>
      <c r="AY52">
        <f>'Feeders Raw Data'!BT52-'Feeders Raw Data'!B52</f>
        <v>0</v>
      </c>
      <c r="AZ52">
        <f>'Feeders Raw Data'!BU52-'Feeders Raw Data'!C52</f>
        <v>0</v>
      </c>
      <c r="BA52">
        <f>'Feeders Raw Data'!BV52-'Feeders Raw Data'!D52</f>
        <v>0</v>
      </c>
      <c r="BB52">
        <f>'Feeders Raw Data'!BW52-'Feeders Raw Data'!E52</f>
        <v>0</v>
      </c>
      <c r="BC52" t="str">
        <f>'Feeders Raw Data'!CA52&amp;" - "&amp;'Feeders Raw Data'!I52</f>
        <v xml:space="preserve"> - </v>
      </c>
    </row>
    <row r="53" spans="1:55" x14ac:dyDescent="0.25">
      <c r="A53" s="1">
        <f>'Feeders Raw Data'!A53</f>
        <v>0</v>
      </c>
      <c r="B53">
        <f>'Feeders Raw Data'!B53-'Feeders Raw Data'!L53</f>
        <v>0</v>
      </c>
      <c r="C53">
        <f>'Feeders Raw Data'!C53-'Feeders Raw Data'!M53</f>
        <v>0</v>
      </c>
      <c r="D53">
        <f>'Feeders Raw Data'!D53-'Feeders Raw Data'!N53</f>
        <v>0</v>
      </c>
      <c r="E53">
        <f>'Feeders Raw Data'!E53-'Feeders Raw Data'!O53</f>
        <v>0</v>
      </c>
      <c r="F53" t="str">
        <f>'Feeders Raw Data'!I53&amp;" - "&amp;'Feeders Raw Data'!S53</f>
        <v xml:space="preserve"> - </v>
      </c>
      <c r="H53" s="1">
        <f>'Feeders Raw Data'!AE53</f>
        <v>0</v>
      </c>
      <c r="I53">
        <f>'Feeders Raw Data'!AF53-'Feeders Raw Data'!AP53</f>
        <v>0</v>
      </c>
      <c r="J53">
        <f>'Feeders Raw Data'!AG53-'Feeders Raw Data'!AQ53</f>
        <v>0</v>
      </c>
      <c r="K53">
        <f>'Feeders Raw Data'!AH53-'Feeders Raw Data'!AR53</f>
        <v>0</v>
      </c>
      <c r="L53">
        <f>'Feeders Raw Data'!AI53-'Feeders Raw Data'!AS53</f>
        <v>0</v>
      </c>
      <c r="M53" t="str">
        <f>'Feeders Raw Data'!AM53&amp;" - "&amp;'Feeders Raw Data'!AW53</f>
        <v xml:space="preserve"> - </v>
      </c>
      <c r="O53" s="1">
        <f>'Feeders Raw Data'!BI53</f>
        <v>0</v>
      </c>
      <c r="P53">
        <f>'Feeders Raw Data'!BJ53-'Feeders Raw Data'!BT53</f>
        <v>0</v>
      </c>
      <c r="Q53">
        <f>'Feeders Raw Data'!BK53-'Feeders Raw Data'!BU53</f>
        <v>0</v>
      </c>
      <c r="R53">
        <f>'Feeders Raw Data'!BL53-'Feeders Raw Data'!BV53</f>
        <v>0</v>
      </c>
      <c r="S53">
        <f>'Feeders Raw Data'!BM53-'Feeders Raw Data'!BW53</f>
        <v>0</v>
      </c>
      <c r="T53" t="str">
        <f>'Feeders Raw Data'!BQ53&amp;" - "&amp;'Feeders Raw Data'!CA53</f>
        <v xml:space="preserve"> - </v>
      </c>
      <c r="V53" s="1">
        <f>'Feeders Raw Data'!K53</f>
        <v>0</v>
      </c>
      <c r="W53">
        <f>'Feeders Raw Data'!L53-'Feeders Raw Data'!V53</f>
        <v>0</v>
      </c>
      <c r="X53">
        <f>'Feeders Raw Data'!M53-'Feeders Raw Data'!W53</f>
        <v>0</v>
      </c>
      <c r="Y53">
        <f>'Feeders Raw Data'!N53-'Feeders Raw Data'!X53</f>
        <v>0</v>
      </c>
      <c r="Z53">
        <f>'Feeders Raw Data'!O53-'Feeders Raw Data'!Y53</f>
        <v>0</v>
      </c>
      <c r="AA53" t="str">
        <f>'Feeders Raw Data'!S53&amp;" - "&amp;'Feeders Raw Data'!AC53</f>
        <v xml:space="preserve"> - </v>
      </c>
      <c r="AC53" s="1">
        <f>'Feeders Raw Data'!U53</f>
        <v>0</v>
      </c>
      <c r="AD53">
        <f>'Feeders Raw Data'!V53-'Feeders Raw Data'!AF53</f>
        <v>0</v>
      </c>
      <c r="AE53">
        <f>'Feeders Raw Data'!W53-'Feeders Raw Data'!AG53</f>
        <v>0</v>
      </c>
      <c r="AF53">
        <f>'Feeders Raw Data'!X53-'Feeders Raw Data'!AH53</f>
        <v>0</v>
      </c>
      <c r="AG53">
        <f>'Feeders Raw Data'!Y53-'Feeders Raw Data'!AI53</f>
        <v>0</v>
      </c>
      <c r="AH53" t="str">
        <f>'Feeders Raw Data'!AC53&amp;" - "&amp;'Feeders Raw Data'!AM53</f>
        <v xml:space="preserve"> - </v>
      </c>
      <c r="AJ53" s="1">
        <f>'Feeders Raw Data'!AO53</f>
        <v>0</v>
      </c>
      <c r="AK53">
        <f>'Feeders Raw Data'!AP53-'Feeders Raw Data'!AZ53</f>
        <v>0</v>
      </c>
      <c r="AL53">
        <f>'Feeders Raw Data'!AQ53-'Feeders Raw Data'!BA53</f>
        <v>0</v>
      </c>
      <c r="AM53">
        <f>'Feeders Raw Data'!AR53-'Feeders Raw Data'!BB53</f>
        <v>0</v>
      </c>
      <c r="AN53">
        <f>'Feeders Raw Data'!AS53-'Feeders Raw Data'!BC53</f>
        <v>0</v>
      </c>
      <c r="AO53" t="str">
        <f>'Feeders Raw Data'!AW53&amp;" - "&amp;'Feeders Raw Data'!BG53</f>
        <v xml:space="preserve"> - </v>
      </c>
      <c r="AQ53" s="1">
        <f>'Feeders Raw Data'!AY53</f>
        <v>0</v>
      </c>
      <c r="AR53">
        <f>'Feeders Raw Data'!AZ53-'Feeders Raw Data'!BJ53</f>
        <v>0</v>
      </c>
      <c r="AS53">
        <f>'Feeders Raw Data'!BA53-'Feeders Raw Data'!BK53</f>
        <v>0</v>
      </c>
      <c r="AT53">
        <f>'Feeders Raw Data'!BB53-'Feeders Raw Data'!BL53</f>
        <v>0</v>
      </c>
      <c r="AU53">
        <f>'Feeders Raw Data'!BC53-'Feeders Raw Data'!BM53</f>
        <v>0</v>
      </c>
      <c r="AV53" t="str">
        <f>'Feeders Raw Data'!BG53&amp;" - "&amp;'Feeders Raw Data'!BQ53</f>
        <v xml:space="preserve"> - </v>
      </c>
      <c r="AX53" s="1">
        <f>'Feeders Raw Data'!BS53</f>
        <v>0</v>
      </c>
      <c r="AY53">
        <f>'Feeders Raw Data'!BT53-'Feeders Raw Data'!B53</f>
        <v>0</v>
      </c>
      <c r="AZ53">
        <f>'Feeders Raw Data'!BU53-'Feeders Raw Data'!C53</f>
        <v>0</v>
      </c>
      <c r="BA53">
        <f>'Feeders Raw Data'!BV53-'Feeders Raw Data'!D53</f>
        <v>0</v>
      </c>
      <c r="BB53">
        <f>'Feeders Raw Data'!BW53-'Feeders Raw Data'!E53</f>
        <v>0</v>
      </c>
      <c r="BC53" t="str">
        <f>'Feeders Raw Data'!CA53&amp;" - "&amp;'Feeders Raw Data'!I53</f>
        <v xml:space="preserve"> - </v>
      </c>
    </row>
    <row r="54" spans="1:55" x14ac:dyDescent="0.25">
      <c r="A54" s="1">
        <f>'Feeders Raw Data'!A54</f>
        <v>0</v>
      </c>
      <c r="B54">
        <f>'Feeders Raw Data'!B54-'Feeders Raw Data'!L54</f>
        <v>0</v>
      </c>
      <c r="C54">
        <f>'Feeders Raw Data'!C54-'Feeders Raw Data'!M54</f>
        <v>0</v>
      </c>
      <c r="D54">
        <f>'Feeders Raw Data'!D54-'Feeders Raw Data'!N54</f>
        <v>0</v>
      </c>
      <c r="E54">
        <f>'Feeders Raw Data'!E54-'Feeders Raw Data'!O54</f>
        <v>0</v>
      </c>
      <c r="F54" t="str">
        <f>'Feeders Raw Data'!I54&amp;" - "&amp;'Feeders Raw Data'!S54</f>
        <v xml:space="preserve"> - </v>
      </c>
      <c r="H54" s="1">
        <f>'Feeders Raw Data'!AE54</f>
        <v>0</v>
      </c>
      <c r="I54">
        <f>'Feeders Raw Data'!AF54-'Feeders Raw Data'!AP54</f>
        <v>0</v>
      </c>
      <c r="J54">
        <f>'Feeders Raw Data'!AG54-'Feeders Raw Data'!AQ54</f>
        <v>0</v>
      </c>
      <c r="K54">
        <f>'Feeders Raw Data'!AH54-'Feeders Raw Data'!AR54</f>
        <v>0</v>
      </c>
      <c r="L54">
        <f>'Feeders Raw Data'!AI54-'Feeders Raw Data'!AS54</f>
        <v>0</v>
      </c>
      <c r="M54" t="str">
        <f>'Feeders Raw Data'!AM54&amp;" - "&amp;'Feeders Raw Data'!AW54</f>
        <v xml:space="preserve"> - </v>
      </c>
      <c r="O54" s="1">
        <f>'Feeders Raw Data'!BI54</f>
        <v>0</v>
      </c>
      <c r="P54">
        <f>'Feeders Raw Data'!BJ54-'Feeders Raw Data'!BT54</f>
        <v>0</v>
      </c>
      <c r="Q54">
        <f>'Feeders Raw Data'!BK54-'Feeders Raw Data'!BU54</f>
        <v>0</v>
      </c>
      <c r="R54">
        <f>'Feeders Raw Data'!BL54-'Feeders Raw Data'!BV54</f>
        <v>0</v>
      </c>
      <c r="S54">
        <f>'Feeders Raw Data'!BM54-'Feeders Raw Data'!BW54</f>
        <v>0</v>
      </c>
      <c r="T54" t="str">
        <f>'Feeders Raw Data'!BQ54&amp;" - "&amp;'Feeders Raw Data'!CA54</f>
        <v xml:space="preserve"> - </v>
      </c>
      <c r="V54" s="1">
        <f>'Feeders Raw Data'!K54</f>
        <v>0</v>
      </c>
      <c r="W54">
        <f>'Feeders Raw Data'!L54-'Feeders Raw Data'!V54</f>
        <v>0</v>
      </c>
      <c r="X54">
        <f>'Feeders Raw Data'!M54-'Feeders Raw Data'!W54</f>
        <v>0</v>
      </c>
      <c r="Y54">
        <f>'Feeders Raw Data'!N54-'Feeders Raw Data'!X54</f>
        <v>0</v>
      </c>
      <c r="Z54">
        <f>'Feeders Raw Data'!O54-'Feeders Raw Data'!Y54</f>
        <v>0</v>
      </c>
      <c r="AA54" t="str">
        <f>'Feeders Raw Data'!S54&amp;" - "&amp;'Feeders Raw Data'!AC54</f>
        <v xml:space="preserve"> - </v>
      </c>
      <c r="AC54" s="1">
        <f>'Feeders Raw Data'!U54</f>
        <v>0</v>
      </c>
      <c r="AD54">
        <f>'Feeders Raw Data'!V54-'Feeders Raw Data'!AF54</f>
        <v>0</v>
      </c>
      <c r="AE54">
        <f>'Feeders Raw Data'!W54-'Feeders Raw Data'!AG54</f>
        <v>0</v>
      </c>
      <c r="AF54">
        <f>'Feeders Raw Data'!X54-'Feeders Raw Data'!AH54</f>
        <v>0</v>
      </c>
      <c r="AG54">
        <f>'Feeders Raw Data'!Y54-'Feeders Raw Data'!AI54</f>
        <v>0</v>
      </c>
      <c r="AH54" t="str">
        <f>'Feeders Raw Data'!AC54&amp;" - "&amp;'Feeders Raw Data'!AM54</f>
        <v xml:space="preserve"> - </v>
      </c>
      <c r="AJ54" s="1">
        <f>'Feeders Raw Data'!AO54</f>
        <v>0</v>
      </c>
      <c r="AK54">
        <f>'Feeders Raw Data'!AP54-'Feeders Raw Data'!AZ54</f>
        <v>0</v>
      </c>
      <c r="AL54">
        <f>'Feeders Raw Data'!AQ54-'Feeders Raw Data'!BA54</f>
        <v>0</v>
      </c>
      <c r="AM54">
        <f>'Feeders Raw Data'!AR54-'Feeders Raw Data'!BB54</f>
        <v>0</v>
      </c>
      <c r="AN54">
        <f>'Feeders Raw Data'!AS54-'Feeders Raw Data'!BC54</f>
        <v>0</v>
      </c>
      <c r="AO54" t="str">
        <f>'Feeders Raw Data'!AW54&amp;" - "&amp;'Feeders Raw Data'!BG54</f>
        <v xml:space="preserve"> - </v>
      </c>
      <c r="AQ54" s="1">
        <f>'Feeders Raw Data'!AY54</f>
        <v>0</v>
      </c>
      <c r="AR54">
        <f>'Feeders Raw Data'!AZ54-'Feeders Raw Data'!BJ54</f>
        <v>0</v>
      </c>
      <c r="AS54">
        <f>'Feeders Raw Data'!BA54-'Feeders Raw Data'!BK54</f>
        <v>0</v>
      </c>
      <c r="AT54">
        <f>'Feeders Raw Data'!BB54-'Feeders Raw Data'!BL54</f>
        <v>0</v>
      </c>
      <c r="AU54">
        <f>'Feeders Raw Data'!BC54-'Feeders Raw Data'!BM54</f>
        <v>0</v>
      </c>
      <c r="AV54" t="str">
        <f>'Feeders Raw Data'!BG54&amp;" - "&amp;'Feeders Raw Data'!BQ54</f>
        <v xml:space="preserve"> - </v>
      </c>
      <c r="AX54" s="1">
        <f>'Feeders Raw Data'!BS54</f>
        <v>0</v>
      </c>
      <c r="AY54">
        <f>'Feeders Raw Data'!BT54-'Feeders Raw Data'!B54</f>
        <v>0</v>
      </c>
      <c r="AZ54">
        <f>'Feeders Raw Data'!BU54-'Feeders Raw Data'!C54</f>
        <v>0</v>
      </c>
      <c r="BA54">
        <f>'Feeders Raw Data'!BV54-'Feeders Raw Data'!D54</f>
        <v>0</v>
      </c>
      <c r="BB54">
        <f>'Feeders Raw Data'!BW54-'Feeders Raw Data'!E54</f>
        <v>0</v>
      </c>
      <c r="BC54" t="str">
        <f>'Feeders Raw Data'!CA54&amp;" - "&amp;'Feeders Raw Data'!I54</f>
        <v xml:space="preserve"> - </v>
      </c>
    </row>
    <row r="55" spans="1:55" x14ac:dyDescent="0.25">
      <c r="A55" s="1">
        <f>'Feeders Raw Data'!A55</f>
        <v>0</v>
      </c>
      <c r="B55">
        <f>'Feeders Raw Data'!B55-'Feeders Raw Data'!L55</f>
        <v>0</v>
      </c>
      <c r="C55">
        <f>'Feeders Raw Data'!C55-'Feeders Raw Data'!M55</f>
        <v>0</v>
      </c>
      <c r="D55">
        <f>'Feeders Raw Data'!D55-'Feeders Raw Data'!N55</f>
        <v>0</v>
      </c>
      <c r="E55">
        <f>'Feeders Raw Data'!E55-'Feeders Raw Data'!O55</f>
        <v>0</v>
      </c>
      <c r="F55" t="str">
        <f>'Feeders Raw Data'!I55&amp;" - "&amp;'Feeders Raw Data'!S55</f>
        <v xml:space="preserve"> - </v>
      </c>
      <c r="H55" s="1">
        <f>'Feeders Raw Data'!AE55</f>
        <v>0</v>
      </c>
      <c r="I55">
        <f>'Feeders Raw Data'!AF55-'Feeders Raw Data'!AP55</f>
        <v>0</v>
      </c>
      <c r="J55">
        <f>'Feeders Raw Data'!AG55-'Feeders Raw Data'!AQ55</f>
        <v>0</v>
      </c>
      <c r="K55">
        <f>'Feeders Raw Data'!AH55-'Feeders Raw Data'!AR55</f>
        <v>0</v>
      </c>
      <c r="L55">
        <f>'Feeders Raw Data'!AI55-'Feeders Raw Data'!AS55</f>
        <v>0</v>
      </c>
      <c r="M55" t="str">
        <f>'Feeders Raw Data'!AM55&amp;" - "&amp;'Feeders Raw Data'!AW55</f>
        <v xml:space="preserve"> - </v>
      </c>
      <c r="O55" s="1">
        <f>'Feeders Raw Data'!BI55</f>
        <v>0</v>
      </c>
      <c r="P55">
        <f>'Feeders Raw Data'!BJ55-'Feeders Raw Data'!BT55</f>
        <v>0</v>
      </c>
      <c r="Q55">
        <f>'Feeders Raw Data'!BK55-'Feeders Raw Data'!BU55</f>
        <v>0</v>
      </c>
      <c r="R55">
        <f>'Feeders Raw Data'!BL55-'Feeders Raw Data'!BV55</f>
        <v>0</v>
      </c>
      <c r="S55">
        <f>'Feeders Raw Data'!BM55-'Feeders Raw Data'!BW55</f>
        <v>0</v>
      </c>
      <c r="T55" t="str">
        <f>'Feeders Raw Data'!BQ55&amp;" - "&amp;'Feeders Raw Data'!CA55</f>
        <v xml:space="preserve"> - </v>
      </c>
      <c r="V55" s="1">
        <f>'Feeders Raw Data'!K55</f>
        <v>0</v>
      </c>
      <c r="W55">
        <f>'Feeders Raw Data'!L55-'Feeders Raw Data'!V55</f>
        <v>0</v>
      </c>
      <c r="X55">
        <f>'Feeders Raw Data'!M55-'Feeders Raw Data'!W55</f>
        <v>0</v>
      </c>
      <c r="Y55">
        <f>'Feeders Raw Data'!N55-'Feeders Raw Data'!X55</f>
        <v>0</v>
      </c>
      <c r="Z55">
        <f>'Feeders Raw Data'!O55-'Feeders Raw Data'!Y55</f>
        <v>0</v>
      </c>
      <c r="AA55" t="str">
        <f>'Feeders Raw Data'!S55&amp;" - "&amp;'Feeders Raw Data'!AC55</f>
        <v xml:space="preserve"> - </v>
      </c>
      <c r="AC55" s="1">
        <f>'Feeders Raw Data'!U55</f>
        <v>0</v>
      </c>
      <c r="AD55">
        <f>'Feeders Raw Data'!V55-'Feeders Raw Data'!AF55</f>
        <v>0</v>
      </c>
      <c r="AE55">
        <f>'Feeders Raw Data'!W55-'Feeders Raw Data'!AG55</f>
        <v>0</v>
      </c>
      <c r="AF55">
        <f>'Feeders Raw Data'!X55-'Feeders Raw Data'!AH55</f>
        <v>0</v>
      </c>
      <c r="AG55">
        <f>'Feeders Raw Data'!Y55-'Feeders Raw Data'!AI55</f>
        <v>0</v>
      </c>
      <c r="AH55" t="str">
        <f>'Feeders Raw Data'!AC55&amp;" - "&amp;'Feeders Raw Data'!AM55</f>
        <v xml:space="preserve"> - </v>
      </c>
      <c r="AJ55" s="1">
        <f>'Feeders Raw Data'!AO55</f>
        <v>0</v>
      </c>
      <c r="AK55">
        <f>'Feeders Raw Data'!AP55-'Feeders Raw Data'!AZ55</f>
        <v>0</v>
      </c>
      <c r="AL55">
        <f>'Feeders Raw Data'!AQ55-'Feeders Raw Data'!BA55</f>
        <v>0</v>
      </c>
      <c r="AM55">
        <f>'Feeders Raw Data'!AR55-'Feeders Raw Data'!BB55</f>
        <v>0</v>
      </c>
      <c r="AN55">
        <f>'Feeders Raw Data'!AS55-'Feeders Raw Data'!BC55</f>
        <v>0</v>
      </c>
      <c r="AO55" t="str">
        <f>'Feeders Raw Data'!AW55&amp;" - "&amp;'Feeders Raw Data'!BG55</f>
        <v xml:space="preserve"> - </v>
      </c>
      <c r="AQ55" s="1">
        <f>'Feeders Raw Data'!AY55</f>
        <v>0</v>
      </c>
      <c r="AR55">
        <f>'Feeders Raw Data'!AZ55-'Feeders Raw Data'!BJ55</f>
        <v>0</v>
      </c>
      <c r="AS55">
        <f>'Feeders Raw Data'!BA55-'Feeders Raw Data'!BK55</f>
        <v>0</v>
      </c>
      <c r="AT55">
        <f>'Feeders Raw Data'!BB55-'Feeders Raw Data'!BL55</f>
        <v>0</v>
      </c>
      <c r="AU55">
        <f>'Feeders Raw Data'!BC55-'Feeders Raw Data'!BM55</f>
        <v>0</v>
      </c>
      <c r="AV55" t="str">
        <f>'Feeders Raw Data'!BG55&amp;" - "&amp;'Feeders Raw Data'!BQ55</f>
        <v xml:space="preserve"> - </v>
      </c>
      <c r="AX55" s="1">
        <f>'Feeders Raw Data'!BS55</f>
        <v>0</v>
      </c>
      <c r="AY55">
        <f>'Feeders Raw Data'!BT55-'Feeders Raw Data'!B55</f>
        <v>0</v>
      </c>
      <c r="AZ55">
        <f>'Feeders Raw Data'!BU55-'Feeders Raw Data'!C55</f>
        <v>0</v>
      </c>
      <c r="BA55">
        <f>'Feeders Raw Data'!BV55-'Feeders Raw Data'!D55</f>
        <v>0</v>
      </c>
      <c r="BB55">
        <f>'Feeders Raw Data'!BW55-'Feeders Raw Data'!E55</f>
        <v>0</v>
      </c>
      <c r="BC55" t="str">
        <f>'Feeders Raw Data'!CA55&amp;" - "&amp;'Feeders Raw Data'!I55</f>
        <v xml:space="preserve"> - </v>
      </c>
    </row>
    <row r="56" spans="1:55" x14ac:dyDescent="0.25">
      <c r="A56" s="1">
        <f>'Feeders Raw Data'!A56</f>
        <v>0</v>
      </c>
      <c r="B56">
        <f>'Feeders Raw Data'!B56-'Feeders Raw Data'!L56</f>
        <v>0</v>
      </c>
      <c r="C56">
        <f>'Feeders Raw Data'!C56-'Feeders Raw Data'!M56</f>
        <v>0</v>
      </c>
      <c r="D56">
        <f>'Feeders Raw Data'!D56-'Feeders Raw Data'!N56</f>
        <v>0</v>
      </c>
      <c r="E56">
        <f>'Feeders Raw Data'!E56-'Feeders Raw Data'!O56</f>
        <v>0</v>
      </c>
      <c r="F56" t="str">
        <f>'Feeders Raw Data'!I56&amp;" - "&amp;'Feeders Raw Data'!S56</f>
        <v xml:space="preserve"> - </v>
      </c>
      <c r="H56" s="1">
        <f>'Feeders Raw Data'!AE56</f>
        <v>0</v>
      </c>
      <c r="I56">
        <f>'Feeders Raw Data'!AF56-'Feeders Raw Data'!AP56</f>
        <v>0</v>
      </c>
      <c r="J56">
        <f>'Feeders Raw Data'!AG56-'Feeders Raw Data'!AQ56</f>
        <v>0</v>
      </c>
      <c r="K56">
        <f>'Feeders Raw Data'!AH56-'Feeders Raw Data'!AR56</f>
        <v>0</v>
      </c>
      <c r="L56">
        <f>'Feeders Raw Data'!AI56-'Feeders Raw Data'!AS56</f>
        <v>0</v>
      </c>
      <c r="M56" t="str">
        <f>'Feeders Raw Data'!AM56&amp;" - "&amp;'Feeders Raw Data'!AW56</f>
        <v xml:space="preserve"> - </v>
      </c>
      <c r="O56" s="1">
        <f>'Feeders Raw Data'!BI56</f>
        <v>0</v>
      </c>
      <c r="P56">
        <f>'Feeders Raw Data'!BJ56-'Feeders Raw Data'!BT56</f>
        <v>0</v>
      </c>
      <c r="Q56">
        <f>'Feeders Raw Data'!BK56-'Feeders Raw Data'!BU56</f>
        <v>0</v>
      </c>
      <c r="R56">
        <f>'Feeders Raw Data'!BL56-'Feeders Raw Data'!BV56</f>
        <v>0</v>
      </c>
      <c r="S56">
        <f>'Feeders Raw Data'!BM56-'Feeders Raw Data'!BW56</f>
        <v>0</v>
      </c>
      <c r="T56" t="str">
        <f>'Feeders Raw Data'!BQ56&amp;" - "&amp;'Feeders Raw Data'!CA56</f>
        <v xml:space="preserve"> - </v>
      </c>
      <c r="V56" s="1">
        <f>'Feeders Raw Data'!K56</f>
        <v>0</v>
      </c>
      <c r="W56">
        <f>'Feeders Raw Data'!L56-'Feeders Raw Data'!V56</f>
        <v>0</v>
      </c>
      <c r="X56">
        <f>'Feeders Raw Data'!M56-'Feeders Raw Data'!W56</f>
        <v>0</v>
      </c>
      <c r="Y56">
        <f>'Feeders Raw Data'!N56-'Feeders Raw Data'!X56</f>
        <v>0</v>
      </c>
      <c r="Z56">
        <f>'Feeders Raw Data'!O56-'Feeders Raw Data'!Y56</f>
        <v>0</v>
      </c>
      <c r="AA56" t="str">
        <f>'Feeders Raw Data'!S56&amp;" - "&amp;'Feeders Raw Data'!AC56</f>
        <v xml:space="preserve"> - </v>
      </c>
      <c r="AC56" s="1">
        <f>'Feeders Raw Data'!U56</f>
        <v>0</v>
      </c>
      <c r="AD56">
        <f>'Feeders Raw Data'!V56-'Feeders Raw Data'!AF56</f>
        <v>0</v>
      </c>
      <c r="AE56">
        <f>'Feeders Raw Data'!W56-'Feeders Raw Data'!AG56</f>
        <v>0</v>
      </c>
      <c r="AF56">
        <f>'Feeders Raw Data'!X56-'Feeders Raw Data'!AH56</f>
        <v>0</v>
      </c>
      <c r="AG56">
        <f>'Feeders Raw Data'!Y56-'Feeders Raw Data'!AI56</f>
        <v>0</v>
      </c>
      <c r="AH56" t="str">
        <f>'Feeders Raw Data'!AC56&amp;" - "&amp;'Feeders Raw Data'!AM56</f>
        <v xml:space="preserve"> - </v>
      </c>
      <c r="AJ56" s="1">
        <f>'Feeders Raw Data'!AO56</f>
        <v>0</v>
      </c>
      <c r="AK56">
        <f>'Feeders Raw Data'!AP56-'Feeders Raw Data'!AZ56</f>
        <v>0</v>
      </c>
      <c r="AL56">
        <f>'Feeders Raw Data'!AQ56-'Feeders Raw Data'!BA56</f>
        <v>0</v>
      </c>
      <c r="AM56">
        <f>'Feeders Raw Data'!AR56-'Feeders Raw Data'!BB56</f>
        <v>0</v>
      </c>
      <c r="AN56">
        <f>'Feeders Raw Data'!AS56-'Feeders Raw Data'!BC56</f>
        <v>0</v>
      </c>
      <c r="AO56" t="str">
        <f>'Feeders Raw Data'!AW56&amp;" - "&amp;'Feeders Raw Data'!BG56</f>
        <v xml:space="preserve"> - </v>
      </c>
      <c r="AQ56" s="1">
        <f>'Feeders Raw Data'!AY56</f>
        <v>0</v>
      </c>
      <c r="AR56">
        <f>'Feeders Raw Data'!AZ56-'Feeders Raw Data'!BJ56</f>
        <v>0</v>
      </c>
      <c r="AS56">
        <f>'Feeders Raw Data'!BA56-'Feeders Raw Data'!BK56</f>
        <v>0</v>
      </c>
      <c r="AT56">
        <f>'Feeders Raw Data'!BB56-'Feeders Raw Data'!BL56</f>
        <v>0</v>
      </c>
      <c r="AU56">
        <f>'Feeders Raw Data'!BC56-'Feeders Raw Data'!BM56</f>
        <v>0</v>
      </c>
      <c r="AV56" t="str">
        <f>'Feeders Raw Data'!BG56&amp;" - "&amp;'Feeders Raw Data'!BQ56</f>
        <v xml:space="preserve"> - </v>
      </c>
      <c r="AX56" s="1">
        <f>'Feeders Raw Data'!BS56</f>
        <v>0</v>
      </c>
      <c r="AY56">
        <f>'Feeders Raw Data'!BT56-'Feeders Raw Data'!B56</f>
        <v>0</v>
      </c>
      <c r="AZ56">
        <f>'Feeders Raw Data'!BU56-'Feeders Raw Data'!C56</f>
        <v>0</v>
      </c>
      <c r="BA56">
        <f>'Feeders Raw Data'!BV56-'Feeders Raw Data'!D56</f>
        <v>0</v>
      </c>
      <c r="BB56">
        <f>'Feeders Raw Data'!BW56-'Feeders Raw Data'!E56</f>
        <v>0</v>
      </c>
      <c r="BC56" t="str">
        <f>'Feeders Raw Data'!CA56&amp;" - "&amp;'Feeders Raw Data'!I56</f>
        <v xml:space="preserve"> - </v>
      </c>
    </row>
    <row r="57" spans="1:55" x14ac:dyDescent="0.25">
      <c r="A57" s="1">
        <f>'Feeders Raw Data'!A57</f>
        <v>0</v>
      </c>
      <c r="B57">
        <f>'Feeders Raw Data'!B57-'Feeders Raw Data'!L57</f>
        <v>0</v>
      </c>
      <c r="C57">
        <f>'Feeders Raw Data'!C57-'Feeders Raw Data'!M57</f>
        <v>0</v>
      </c>
      <c r="D57">
        <f>'Feeders Raw Data'!D57-'Feeders Raw Data'!N57</f>
        <v>0</v>
      </c>
      <c r="E57">
        <f>'Feeders Raw Data'!E57-'Feeders Raw Data'!O57</f>
        <v>0</v>
      </c>
      <c r="F57" t="str">
        <f>'Feeders Raw Data'!I57&amp;" - "&amp;'Feeders Raw Data'!S57</f>
        <v xml:space="preserve"> - </v>
      </c>
      <c r="H57" s="1">
        <f>'Feeders Raw Data'!AE57</f>
        <v>0</v>
      </c>
      <c r="I57">
        <f>'Feeders Raw Data'!AF57-'Feeders Raw Data'!AP57</f>
        <v>0</v>
      </c>
      <c r="J57">
        <f>'Feeders Raw Data'!AG57-'Feeders Raw Data'!AQ57</f>
        <v>0</v>
      </c>
      <c r="K57">
        <f>'Feeders Raw Data'!AH57-'Feeders Raw Data'!AR57</f>
        <v>0</v>
      </c>
      <c r="L57">
        <f>'Feeders Raw Data'!AI57-'Feeders Raw Data'!AS57</f>
        <v>0</v>
      </c>
      <c r="M57" t="str">
        <f>'Feeders Raw Data'!AM57&amp;" - "&amp;'Feeders Raw Data'!AW57</f>
        <v xml:space="preserve"> - </v>
      </c>
      <c r="O57" s="1">
        <f>'Feeders Raw Data'!BI57</f>
        <v>0</v>
      </c>
      <c r="P57">
        <f>'Feeders Raw Data'!BJ57-'Feeders Raw Data'!BT57</f>
        <v>0</v>
      </c>
      <c r="Q57">
        <f>'Feeders Raw Data'!BK57-'Feeders Raw Data'!BU57</f>
        <v>0</v>
      </c>
      <c r="R57">
        <f>'Feeders Raw Data'!BL57-'Feeders Raw Data'!BV57</f>
        <v>0</v>
      </c>
      <c r="S57">
        <f>'Feeders Raw Data'!BM57-'Feeders Raw Data'!BW57</f>
        <v>0</v>
      </c>
      <c r="T57" t="str">
        <f>'Feeders Raw Data'!BQ57&amp;" - "&amp;'Feeders Raw Data'!CA57</f>
        <v xml:space="preserve"> - </v>
      </c>
      <c r="V57" s="1">
        <f>'Feeders Raw Data'!K57</f>
        <v>0</v>
      </c>
      <c r="W57">
        <f>'Feeders Raw Data'!L57-'Feeders Raw Data'!V57</f>
        <v>0</v>
      </c>
      <c r="X57">
        <f>'Feeders Raw Data'!M57-'Feeders Raw Data'!W57</f>
        <v>0</v>
      </c>
      <c r="Y57">
        <f>'Feeders Raw Data'!N57-'Feeders Raw Data'!X57</f>
        <v>0</v>
      </c>
      <c r="Z57">
        <f>'Feeders Raw Data'!O57-'Feeders Raw Data'!Y57</f>
        <v>0</v>
      </c>
      <c r="AA57" t="str">
        <f>'Feeders Raw Data'!S57&amp;" - "&amp;'Feeders Raw Data'!AC57</f>
        <v xml:space="preserve"> - </v>
      </c>
      <c r="AC57" s="1">
        <f>'Feeders Raw Data'!U57</f>
        <v>0</v>
      </c>
      <c r="AD57">
        <f>'Feeders Raw Data'!V57-'Feeders Raw Data'!AF57</f>
        <v>0</v>
      </c>
      <c r="AE57">
        <f>'Feeders Raw Data'!W57-'Feeders Raw Data'!AG57</f>
        <v>0</v>
      </c>
      <c r="AF57">
        <f>'Feeders Raw Data'!X57-'Feeders Raw Data'!AH57</f>
        <v>0</v>
      </c>
      <c r="AG57">
        <f>'Feeders Raw Data'!Y57-'Feeders Raw Data'!AI57</f>
        <v>0</v>
      </c>
      <c r="AH57" t="str">
        <f>'Feeders Raw Data'!AC57&amp;" - "&amp;'Feeders Raw Data'!AM57</f>
        <v xml:space="preserve"> - </v>
      </c>
      <c r="AJ57" s="1">
        <f>'Feeders Raw Data'!AO57</f>
        <v>0</v>
      </c>
      <c r="AK57">
        <f>'Feeders Raw Data'!AP57-'Feeders Raw Data'!AZ57</f>
        <v>0</v>
      </c>
      <c r="AL57">
        <f>'Feeders Raw Data'!AQ57-'Feeders Raw Data'!BA57</f>
        <v>0</v>
      </c>
      <c r="AM57">
        <f>'Feeders Raw Data'!AR57-'Feeders Raw Data'!BB57</f>
        <v>0</v>
      </c>
      <c r="AN57">
        <f>'Feeders Raw Data'!AS57-'Feeders Raw Data'!BC57</f>
        <v>0</v>
      </c>
      <c r="AO57" t="str">
        <f>'Feeders Raw Data'!AW57&amp;" - "&amp;'Feeders Raw Data'!BG57</f>
        <v xml:space="preserve"> - </v>
      </c>
      <c r="AQ57" s="1">
        <f>'Feeders Raw Data'!AY57</f>
        <v>0</v>
      </c>
      <c r="AR57">
        <f>'Feeders Raw Data'!AZ57-'Feeders Raw Data'!BJ57</f>
        <v>0</v>
      </c>
      <c r="AS57">
        <f>'Feeders Raw Data'!BA57-'Feeders Raw Data'!BK57</f>
        <v>0</v>
      </c>
      <c r="AT57">
        <f>'Feeders Raw Data'!BB57-'Feeders Raw Data'!BL57</f>
        <v>0</v>
      </c>
      <c r="AU57">
        <f>'Feeders Raw Data'!BC57-'Feeders Raw Data'!BM57</f>
        <v>0</v>
      </c>
      <c r="AV57" t="str">
        <f>'Feeders Raw Data'!BG57&amp;" - "&amp;'Feeders Raw Data'!BQ57</f>
        <v xml:space="preserve"> - </v>
      </c>
      <c r="AX57" s="1">
        <f>'Feeders Raw Data'!BS57</f>
        <v>0</v>
      </c>
      <c r="AY57">
        <f>'Feeders Raw Data'!BT57-'Feeders Raw Data'!B57</f>
        <v>0</v>
      </c>
      <c r="AZ57">
        <f>'Feeders Raw Data'!BU57-'Feeders Raw Data'!C57</f>
        <v>0</v>
      </c>
      <c r="BA57">
        <f>'Feeders Raw Data'!BV57-'Feeders Raw Data'!D57</f>
        <v>0</v>
      </c>
      <c r="BB57">
        <f>'Feeders Raw Data'!BW57-'Feeders Raw Data'!E57</f>
        <v>0</v>
      </c>
      <c r="BC57" t="str">
        <f>'Feeders Raw Data'!CA57&amp;" - "&amp;'Feeders Raw Data'!I57</f>
        <v xml:space="preserve"> - </v>
      </c>
    </row>
    <row r="58" spans="1:55" x14ac:dyDescent="0.25">
      <c r="A58" s="1">
        <f>'Feeders Raw Data'!A58</f>
        <v>0</v>
      </c>
      <c r="B58">
        <f>'Feeders Raw Data'!B58-'Feeders Raw Data'!L58</f>
        <v>0</v>
      </c>
      <c r="C58">
        <f>'Feeders Raw Data'!C58-'Feeders Raw Data'!M58</f>
        <v>0</v>
      </c>
      <c r="D58">
        <f>'Feeders Raw Data'!D58-'Feeders Raw Data'!N58</f>
        <v>0</v>
      </c>
      <c r="E58">
        <f>'Feeders Raw Data'!E58-'Feeders Raw Data'!O58</f>
        <v>0</v>
      </c>
      <c r="F58" t="str">
        <f>'Feeders Raw Data'!I58&amp;" - "&amp;'Feeders Raw Data'!S58</f>
        <v xml:space="preserve"> - </v>
      </c>
      <c r="H58" s="1">
        <f>'Feeders Raw Data'!AE58</f>
        <v>0</v>
      </c>
      <c r="I58">
        <f>'Feeders Raw Data'!AF58-'Feeders Raw Data'!AP58</f>
        <v>0</v>
      </c>
      <c r="J58">
        <f>'Feeders Raw Data'!AG58-'Feeders Raw Data'!AQ58</f>
        <v>0</v>
      </c>
      <c r="K58">
        <f>'Feeders Raw Data'!AH58-'Feeders Raw Data'!AR58</f>
        <v>0</v>
      </c>
      <c r="L58">
        <f>'Feeders Raw Data'!AI58-'Feeders Raw Data'!AS58</f>
        <v>0</v>
      </c>
      <c r="M58" t="str">
        <f>'Feeders Raw Data'!AM58&amp;" - "&amp;'Feeders Raw Data'!AW58</f>
        <v xml:space="preserve"> - </v>
      </c>
      <c r="O58" s="1">
        <f>'Feeders Raw Data'!BI58</f>
        <v>0</v>
      </c>
      <c r="P58">
        <f>'Feeders Raw Data'!BJ58-'Feeders Raw Data'!BT58</f>
        <v>0</v>
      </c>
      <c r="Q58">
        <f>'Feeders Raw Data'!BK58-'Feeders Raw Data'!BU58</f>
        <v>0</v>
      </c>
      <c r="R58">
        <f>'Feeders Raw Data'!BL58-'Feeders Raw Data'!BV58</f>
        <v>0</v>
      </c>
      <c r="S58">
        <f>'Feeders Raw Data'!BM58-'Feeders Raw Data'!BW58</f>
        <v>0</v>
      </c>
      <c r="T58" t="str">
        <f>'Feeders Raw Data'!BQ58&amp;" - "&amp;'Feeders Raw Data'!CA58</f>
        <v xml:space="preserve"> - </v>
      </c>
      <c r="V58" s="1">
        <f>'Feeders Raw Data'!K58</f>
        <v>0</v>
      </c>
      <c r="W58">
        <f>'Feeders Raw Data'!L58-'Feeders Raw Data'!V58</f>
        <v>0</v>
      </c>
      <c r="X58">
        <f>'Feeders Raw Data'!M58-'Feeders Raw Data'!W58</f>
        <v>0</v>
      </c>
      <c r="Y58">
        <f>'Feeders Raw Data'!N58-'Feeders Raw Data'!X58</f>
        <v>0</v>
      </c>
      <c r="Z58">
        <f>'Feeders Raw Data'!O58-'Feeders Raw Data'!Y58</f>
        <v>0</v>
      </c>
      <c r="AA58" t="str">
        <f>'Feeders Raw Data'!S58&amp;" - "&amp;'Feeders Raw Data'!AC58</f>
        <v xml:space="preserve"> - </v>
      </c>
      <c r="AC58" s="1">
        <f>'Feeders Raw Data'!U58</f>
        <v>0</v>
      </c>
      <c r="AD58">
        <f>'Feeders Raw Data'!V58-'Feeders Raw Data'!AF58</f>
        <v>0</v>
      </c>
      <c r="AE58">
        <f>'Feeders Raw Data'!W58-'Feeders Raw Data'!AG58</f>
        <v>0</v>
      </c>
      <c r="AF58">
        <f>'Feeders Raw Data'!X58-'Feeders Raw Data'!AH58</f>
        <v>0</v>
      </c>
      <c r="AG58">
        <f>'Feeders Raw Data'!Y58-'Feeders Raw Data'!AI58</f>
        <v>0</v>
      </c>
      <c r="AH58" t="str">
        <f>'Feeders Raw Data'!AC58&amp;" - "&amp;'Feeders Raw Data'!AM58</f>
        <v xml:space="preserve"> - </v>
      </c>
      <c r="AJ58" s="1">
        <f>'Feeders Raw Data'!AO58</f>
        <v>0</v>
      </c>
      <c r="AK58">
        <f>'Feeders Raw Data'!AP58-'Feeders Raw Data'!AZ58</f>
        <v>0</v>
      </c>
      <c r="AL58">
        <f>'Feeders Raw Data'!AQ58-'Feeders Raw Data'!BA58</f>
        <v>0</v>
      </c>
      <c r="AM58">
        <f>'Feeders Raw Data'!AR58-'Feeders Raw Data'!BB58</f>
        <v>0</v>
      </c>
      <c r="AN58">
        <f>'Feeders Raw Data'!AS58-'Feeders Raw Data'!BC58</f>
        <v>0</v>
      </c>
      <c r="AO58" t="str">
        <f>'Feeders Raw Data'!AW58&amp;" - "&amp;'Feeders Raw Data'!BG58</f>
        <v xml:space="preserve"> - </v>
      </c>
      <c r="AQ58" s="1">
        <f>'Feeders Raw Data'!AY58</f>
        <v>0</v>
      </c>
      <c r="AR58">
        <f>'Feeders Raw Data'!AZ58-'Feeders Raw Data'!BJ58</f>
        <v>0</v>
      </c>
      <c r="AS58">
        <f>'Feeders Raw Data'!BA58-'Feeders Raw Data'!BK58</f>
        <v>0</v>
      </c>
      <c r="AT58">
        <f>'Feeders Raw Data'!BB58-'Feeders Raw Data'!BL58</f>
        <v>0</v>
      </c>
      <c r="AU58">
        <f>'Feeders Raw Data'!BC58-'Feeders Raw Data'!BM58</f>
        <v>0</v>
      </c>
      <c r="AV58" t="str">
        <f>'Feeders Raw Data'!BG58&amp;" - "&amp;'Feeders Raw Data'!BQ58</f>
        <v xml:space="preserve"> - </v>
      </c>
      <c r="AX58" s="1">
        <f>'Feeders Raw Data'!BS58</f>
        <v>0</v>
      </c>
      <c r="AY58">
        <f>'Feeders Raw Data'!BT58-'Feeders Raw Data'!B58</f>
        <v>0</v>
      </c>
      <c r="AZ58">
        <f>'Feeders Raw Data'!BU58-'Feeders Raw Data'!C58</f>
        <v>0</v>
      </c>
      <c r="BA58">
        <f>'Feeders Raw Data'!BV58-'Feeders Raw Data'!D58</f>
        <v>0</v>
      </c>
      <c r="BB58">
        <f>'Feeders Raw Data'!BW58-'Feeders Raw Data'!E58</f>
        <v>0</v>
      </c>
      <c r="BC58" t="str">
        <f>'Feeders Raw Data'!CA58&amp;" - "&amp;'Feeders Raw Data'!I58</f>
        <v xml:space="preserve"> - </v>
      </c>
    </row>
    <row r="59" spans="1:55" x14ac:dyDescent="0.25">
      <c r="A59" s="1">
        <f>'Feeders Raw Data'!A59</f>
        <v>0</v>
      </c>
      <c r="B59">
        <f>'Feeders Raw Data'!B59-'Feeders Raw Data'!L59</f>
        <v>0</v>
      </c>
      <c r="C59">
        <f>'Feeders Raw Data'!C59-'Feeders Raw Data'!M59</f>
        <v>0</v>
      </c>
      <c r="D59">
        <f>'Feeders Raw Data'!D59-'Feeders Raw Data'!N59</f>
        <v>0</v>
      </c>
      <c r="E59">
        <f>'Feeders Raw Data'!E59-'Feeders Raw Data'!O59</f>
        <v>0</v>
      </c>
      <c r="F59" t="str">
        <f>'Feeders Raw Data'!I59&amp;" - "&amp;'Feeders Raw Data'!S59</f>
        <v xml:space="preserve"> - </v>
      </c>
      <c r="H59" s="1">
        <f>'Feeders Raw Data'!AE59</f>
        <v>0</v>
      </c>
      <c r="I59">
        <f>'Feeders Raw Data'!AF59-'Feeders Raw Data'!AP59</f>
        <v>0</v>
      </c>
      <c r="J59">
        <f>'Feeders Raw Data'!AG59-'Feeders Raw Data'!AQ59</f>
        <v>0</v>
      </c>
      <c r="K59">
        <f>'Feeders Raw Data'!AH59-'Feeders Raw Data'!AR59</f>
        <v>0</v>
      </c>
      <c r="L59">
        <f>'Feeders Raw Data'!AI59-'Feeders Raw Data'!AS59</f>
        <v>0</v>
      </c>
      <c r="M59" t="str">
        <f>'Feeders Raw Data'!AM59&amp;" - "&amp;'Feeders Raw Data'!AW59</f>
        <v xml:space="preserve"> - </v>
      </c>
      <c r="O59" s="1">
        <f>'Feeders Raw Data'!BI59</f>
        <v>0</v>
      </c>
      <c r="P59">
        <f>'Feeders Raw Data'!BJ59-'Feeders Raw Data'!BT59</f>
        <v>0</v>
      </c>
      <c r="Q59">
        <f>'Feeders Raw Data'!BK59-'Feeders Raw Data'!BU59</f>
        <v>0</v>
      </c>
      <c r="R59">
        <f>'Feeders Raw Data'!BL59-'Feeders Raw Data'!BV59</f>
        <v>0</v>
      </c>
      <c r="S59">
        <f>'Feeders Raw Data'!BM59-'Feeders Raw Data'!BW59</f>
        <v>0</v>
      </c>
      <c r="T59" t="str">
        <f>'Feeders Raw Data'!BQ59&amp;" - "&amp;'Feeders Raw Data'!CA59</f>
        <v xml:space="preserve"> - </v>
      </c>
      <c r="V59" s="1">
        <f>'Feeders Raw Data'!K59</f>
        <v>0</v>
      </c>
      <c r="W59">
        <f>'Feeders Raw Data'!L59-'Feeders Raw Data'!V59</f>
        <v>0</v>
      </c>
      <c r="X59">
        <f>'Feeders Raw Data'!M59-'Feeders Raw Data'!W59</f>
        <v>0</v>
      </c>
      <c r="Y59">
        <f>'Feeders Raw Data'!N59-'Feeders Raw Data'!X59</f>
        <v>0</v>
      </c>
      <c r="Z59">
        <f>'Feeders Raw Data'!O59-'Feeders Raw Data'!Y59</f>
        <v>0</v>
      </c>
      <c r="AA59" t="str">
        <f>'Feeders Raw Data'!S59&amp;" - "&amp;'Feeders Raw Data'!AC59</f>
        <v xml:space="preserve"> - </v>
      </c>
      <c r="AC59" s="1">
        <f>'Feeders Raw Data'!U59</f>
        <v>0</v>
      </c>
      <c r="AD59">
        <f>'Feeders Raw Data'!V59-'Feeders Raw Data'!AF59</f>
        <v>0</v>
      </c>
      <c r="AE59">
        <f>'Feeders Raw Data'!W59-'Feeders Raw Data'!AG59</f>
        <v>0</v>
      </c>
      <c r="AF59">
        <f>'Feeders Raw Data'!X59-'Feeders Raw Data'!AH59</f>
        <v>0</v>
      </c>
      <c r="AG59">
        <f>'Feeders Raw Data'!Y59-'Feeders Raw Data'!AI59</f>
        <v>0</v>
      </c>
      <c r="AH59" t="str">
        <f>'Feeders Raw Data'!AC59&amp;" - "&amp;'Feeders Raw Data'!AM59</f>
        <v xml:space="preserve"> - </v>
      </c>
      <c r="AJ59" s="1">
        <f>'Feeders Raw Data'!AO59</f>
        <v>0</v>
      </c>
      <c r="AK59">
        <f>'Feeders Raw Data'!AP59-'Feeders Raw Data'!AZ59</f>
        <v>0</v>
      </c>
      <c r="AL59">
        <f>'Feeders Raw Data'!AQ59-'Feeders Raw Data'!BA59</f>
        <v>0</v>
      </c>
      <c r="AM59">
        <f>'Feeders Raw Data'!AR59-'Feeders Raw Data'!BB59</f>
        <v>0</v>
      </c>
      <c r="AN59">
        <f>'Feeders Raw Data'!AS59-'Feeders Raw Data'!BC59</f>
        <v>0</v>
      </c>
      <c r="AO59" t="str">
        <f>'Feeders Raw Data'!AW59&amp;" - "&amp;'Feeders Raw Data'!BG59</f>
        <v xml:space="preserve"> - </v>
      </c>
      <c r="AQ59" s="1">
        <f>'Feeders Raw Data'!AY59</f>
        <v>0</v>
      </c>
      <c r="AR59">
        <f>'Feeders Raw Data'!AZ59-'Feeders Raw Data'!BJ59</f>
        <v>0</v>
      </c>
      <c r="AS59">
        <f>'Feeders Raw Data'!BA59-'Feeders Raw Data'!BK59</f>
        <v>0</v>
      </c>
      <c r="AT59">
        <f>'Feeders Raw Data'!BB59-'Feeders Raw Data'!BL59</f>
        <v>0</v>
      </c>
      <c r="AU59">
        <f>'Feeders Raw Data'!BC59-'Feeders Raw Data'!BM59</f>
        <v>0</v>
      </c>
      <c r="AV59" t="str">
        <f>'Feeders Raw Data'!BG59&amp;" - "&amp;'Feeders Raw Data'!BQ59</f>
        <v xml:space="preserve"> - </v>
      </c>
      <c r="AX59" s="1">
        <f>'Feeders Raw Data'!BS59</f>
        <v>0</v>
      </c>
      <c r="AY59">
        <f>'Feeders Raw Data'!BT59-'Feeders Raw Data'!B59</f>
        <v>0</v>
      </c>
      <c r="AZ59">
        <f>'Feeders Raw Data'!BU59-'Feeders Raw Data'!C59</f>
        <v>0</v>
      </c>
      <c r="BA59">
        <f>'Feeders Raw Data'!BV59-'Feeders Raw Data'!D59</f>
        <v>0</v>
      </c>
      <c r="BB59">
        <f>'Feeders Raw Data'!BW59-'Feeders Raw Data'!E59</f>
        <v>0</v>
      </c>
      <c r="BC59" t="str">
        <f>'Feeders Raw Data'!CA59&amp;" - "&amp;'Feeders Raw Data'!I59</f>
        <v xml:space="preserve"> - </v>
      </c>
    </row>
    <row r="60" spans="1:55" x14ac:dyDescent="0.25">
      <c r="A60" s="1">
        <f>'Feeders Raw Data'!A60</f>
        <v>0</v>
      </c>
      <c r="B60">
        <f>'Feeders Raw Data'!B60-'Feeders Raw Data'!L60</f>
        <v>0</v>
      </c>
      <c r="C60">
        <f>'Feeders Raw Data'!C60-'Feeders Raw Data'!M60</f>
        <v>0</v>
      </c>
      <c r="D60">
        <f>'Feeders Raw Data'!D60-'Feeders Raw Data'!N60</f>
        <v>0</v>
      </c>
      <c r="E60">
        <f>'Feeders Raw Data'!E60-'Feeders Raw Data'!O60</f>
        <v>0</v>
      </c>
      <c r="F60" t="str">
        <f>'Feeders Raw Data'!I60&amp;" - "&amp;'Feeders Raw Data'!S60</f>
        <v xml:space="preserve"> - </v>
      </c>
      <c r="H60" s="1">
        <f>'Feeders Raw Data'!AE60</f>
        <v>0</v>
      </c>
      <c r="I60">
        <f>'Feeders Raw Data'!AF60-'Feeders Raw Data'!AP60</f>
        <v>0</v>
      </c>
      <c r="J60">
        <f>'Feeders Raw Data'!AG60-'Feeders Raw Data'!AQ60</f>
        <v>0</v>
      </c>
      <c r="K60">
        <f>'Feeders Raw Data'!AH60-'Feeders Raw Data'!AR60</f>
        <v>0</v>
      </c>
      <c r="L60">
        <f>'Feeders Raw Data'!AI60-'Feeders Raw Data'!AS60</f>
        <v>0</v>
      </c>
      <c r="M60" t="str">
        <f>'Feeders Raw Data'!AM60&amp;" - "&amp;'Feeders Raw Data'!AW60</f>
        <v xml:space="preserve"> - </v>
      </c>
      <c r="O60" s="1">
        <f>'Feeders Raw Data'!BI60</f>
        <v>0</v>
      </c>
      <c r="P60">
        <f>'Feeders Raw Data'!BJ60-'Feeders Raw Data'!BT60</f>
        <v>0</v>
      </c>
      <c r="Q60">
        <f>'Feeders Raw Data'!BK60-'Feeders Raw Data'!BU60</f>
        <v>0</v>
      </c>
      <c r="R60">
        <f>'Feeders Raw Data'!BL60-'Feeders Raw Data'!BV60</f>
        <v>0</v>
      </c>
      <c r="S60">
        <f>'Feeders Raw Data'!BM60-'Feeders Raw Data'!BW60</f>
        <v>0</v>
      </c>
      <c r="T60" t="str">
        <f>'Feeders Raw Data'!BQ60&amp;" - "&amp;'Feeders Raw Data'!CA60</f>
        <v xml:space="preserve"> - </v>
      </c>
      <c r="V60" s="1">
        <f>'Feeders Raw Data'!K60</f>
        <v>0</v>
      </c>
      <c r="W60">
        <f>'Feeders Raw Data'!L60-'Feeders Raw Data'!V60</f>
        <v>0</v>
      </c>
      <c r="X60">
        <f>'Feeders Raw Data'!M60-'Feeders Raw Data'!W60</f>
        <v>0</v>
      </c>
      <c r="Y60">
        <f>'Feeders Raw Data'!N60-'Feeders Raw Data'!X60</f>
        <v>0</v>
      </c>
      <c r="Z60">
        <f>'Feeders Raw Data'!O60-'Feeders Raw Data'!Y60</f>
        <v>0</v>
      </c>
      <c r="AA60" t="str">
        <f>'Feeders Raw Data'!S60&amp;" - "&amp;'Feeders Raw Data'!AC60</f>
        <v xml:space="preserve"> - </v>
      </c>
      <c r="AC60" s="1">
        <f>'Feeders Raw Data'!U60</f>
        <v>0</v>
      </c>
      <c r="AD60">
        <f>'Feeders Raw Data'!V60-'Feeders Raw Data'!AF60</f>
        <v>0</v>
      </c>
      <c r="AE60">
        <f>'Feeders Raw Data'!W60-'Feeders Raw Data'!AG60</f>
        <v>0</v>
      </c>
      <c r="AF60">
        <f>'Feeders Raw Data'!X60-'Feeders Raw Data'!AH60</f>
        <v>0</v>
      </c>
      <c r="AG60">
        <f>'Feeders Raw Data'!Y60-'Feeders Raw Data'!AI60</f>
        <v>0</v>
      </c>
      <c r="AH60" t="str">
        <f>'Feeders Raw Data'!AC60&amp;" - "&amp;'Feeders Raw Data'!AM60</f>
        <v xml:space="preserve"> - </v>
      </c>
      <c r="AJ60" s="1">
        <f>'Feeders Raw Data'!AO60</f>
        <v>0</v>
      </c>
      <c r="AK60">
        <f>'Feeders Raw Data'!AP60-'Feeders Raw Data'!AZ60</f>
        <v>0</v>
      </c>
      <c r="AL60">
        <f>'Feeders Raw Data'!AQ60-'Feeders Raw Data'!BA60</f>
        <v>0</v>
      </c>
      <c r="AM60">
        <f>'Feeders Raw Data'!AR60-'Feeders Raw Data'!BB60</f>
        <v>0</v>
      </c>
      <c r="AN60">
        <f>'Feeders Raw Data'!AS60-'Feeders Raw Data'!BC60</f>
        <v>0</v>
      </c>
      <c r="AO60" t="str">
        <f>'Feeders Raw Data'!AW60&amp;" - "&amp;'Feeders Raw Data'!BG60</f>
        <v xml:space="preserve"> - </v>
      </c>
      <c r="AQ60" s="1">
        <f>'Feeders Raw Data'!AY60</f>
        <v>0</v>
      </c>
      <c r="AR60">
        <f>'Feeders Raw Data'!AZ60-'Feeders Raw Data'!BJ60</f>
        <v>0</v>
      </c>
      <c r="AS60">
        <f>'Feeders Raw Data'!BA60-'Feeders Raw Data'!BK60</f>
        <v>0</v>
      </c>
      <c r="AT60">
        <f>'Feeders Raw Data'!BB60-'Feeders Raw Data'!BL60</f>
        <v>0</v>
      </c>
      <c r="AU60">
        <f>'Feeders Raw Data'!BC60-'Feeders Raw Data'!BM60</f>
        <v>0</v>
      </c>
      <c r="AV60" t="str">
        <f>'Feeders Raw Data'!BG60&amp;" - "&amp;'Feeders Raw Data'!BQ60</f>
        <v xml:space="preserve"> - </v>
      </c>
      <c r="AX60" s="1">
        <f>'Feeders Raw Data'!BS60</f>
        <v>0</v>
      </c>
      <c r="AY60">
        <f>'Feeders Raw Data'!BT60-'Feeders Raw Data'!B60</f>
        <v>0</v>
      </c>
      <c r="AZ60">
        <f>'Feeders Raw Data'!BU60-'Feeders Raw Data'!C60</f>
        <v>0</v>
      </c>
      <c r="BA60">
        <f>'Feeders Raw Data'!BV60-'Feeders Raw Data'!D60</f>
        <v>0</v>
      </c>
      <c r="BB60">
        <f>'Feeders Raw Data'!BW60-'Feeders Raw Data'!E60</f>
        <v>0</v>
      </c>
      <c r="BC60" t="str">
        <f>'Feeders Raw Data'!CA60&amp;" - "&amp;'Feeders Raw Data'!I60</f>
        <v xml:space="preserve"> - </v>
      </c>
    </row>
    <row r="61" spans="1:55" x14ac:dyDescent="0.25">
      <c r="A61" s="1">
        <f>'Feeders Raw Data'!A61</f>
        <v>0</v>
      </c>
      <c r="B61">
        <f>'Feeders Raw Data'!B61-'Feeders Raw Data'!L61</f>
        <v>0</v>
      </c>
      <c r="C61">
        <f>'Feeders Raw Data'!C61-'Feeders Raw Data'!M61</f>
        <v>0</v>
      </c>
      <c r="D61">
        <f>'Feeders Raw Data'!D61-'Feeders Raw Data'!N61</f>
        <v>0</v>
      </c>
      <c r="E61">
        <f>'Feeders Raw Data'!E61-'Feeders Raw Data'!O61</f>
        <v>0</v>
      </c>
      <c r="F61" t="str">
        <f>'Feeders Raw Data'!I61&amp;" - "&amp;'Feeders Raw Data'!S61</f>
        <v xml:space="preserve"> - </v>
      </c>
      <c r="H61" s="1">
        <f>'Feeders Raw Data'!AE61</f>
        <v>0</v>
      </c>
      <c r="I61">
        <f>'Feeders Raw Data'!AF61-'Feeders Raw Data'!AP61</f>
        <v>0</v>
      </c>
      <c r="J61">
        <f>'Feeders Raw Data'!AG61-'Feeders Raw Data'!AQ61</f>
        <v>0</v>
      </c>
      <c r="K61">
        <f>'Feeders Raw Data'!AH61-'Feeders Raw Data'!AR61</f>
        <v>0</v>
      </c>
      <c r="L61">
        <f>'Feeders Raw Data'!AI61-'Feeders Raw Data'!AS61</f>
        <v>0</v>
      </c>
      <c r="M61" t="str">
        <f>'Feeders Raw Data'!AM61&amp;" - "&amp;'Feeders Raw Data'!AW61</f>
        <v xml:space="preserve"> - </v>
      </c>
      <c r="O61" s="1">
        <f>'Feeders Raw Data'!BI61</f>
        <v>0</v>
      </c>
      <c r="P61">
        <f>'Feeders Raw Data'!BJ61-'Feeders Raw Data'!BT61</f>
        <v>0</v>
      </c>
      <c r="Q61">
        <f>'Feeders Raw Data'!BK61-'Feeders Raw Data'!BU61</f>
        <v>0</v>
      </c>
      <c r="R61">
        <f>'Feeders Raw Data'!BL61-'Feeders Raw Data'!BV61</f>
        <v>0</v>
      </c>
      <c r="S61">
        <f>'Feeders Raw Data'!BM61-'Feeders Raw Data'!BW61</f>
        <v>0</v>
      </c>
      <c r="T61" t="str">
        <f>'Feeders Raw Data'!BQ61&amp;" - "&amp;'Feeders Raw Data'!CA61</f>
        <v xml:space="preserve"> - </v>
      </c>
      <c r="V61" s="1">
        <f>'Feeders Raw Data'!K61</f>
        <v>0</v>
      </c>
      <c r="W61">
        <f>'Feeders Raw Data'!L61-'Feeders Raw Data'!V61</f>
        <v>0</v>
      </c>
      <c r="X61">
        <f>'Feeders Raw Data'!M61-'Feeders Raw Data'!W61</f>
        <v>0</v>
      </c>
      <c r="Y61">
        <f>'Feeders Raw Data'!N61-'Feeders Raw Data'!X61</f>
        <v>0</v>
      </c>
      <c r="Z61">
        <f>'Feeders Raw Data'!O61-'Feeders Raw Data'!Y61</f>
        <v>0</v>
      </c>
      <c r="AA61" t="str">
        <f>'Feeders Raw Data'!S61&amp;" - "&amp;'Feeders Raw Data'!AC61</f>
        <v xml:space="preserve"> - </v>
      </c>
      <c r="AC61" s="1">
        <f>'Feeders Raw Data'!U61</f>
        <v>0</v>
      </c>
      <c r="AD61">
        <f>'Feeders Raw Data'!V61-'Feeders Raw Data'!AF61</f>
        <v>0</v>
      </c>
      <c r="AE61">
        <f>'Feeders Raw Data'!W61-'Feeders Raw Data'!AG61</f>
        <v>0</v>
      </c>
      <c r="AF61">
        <f>'Feeders Raw Data'!X61-'Feeders Raw Data'!AH61</f>
        <v>0</v>
      </c>
      <c r="AG61">
        <f>'Feeders Raw Data'!Y61-'Feeders Raw Data'!AI61</f>
        <v>0</v>
      </c>
      <c r="AH61" t="str">
        <f>'Feeders Raw Data'!AC61&amp;" - "&amp;'Feeders Raw Data'!AM61</f>
        <v xml:space="preserve"> - </v>
      </c>
      <c r="AJ61" s="1">
        <f>'Feeders Raw Data'!AO61</f>
        <v>0</v>
      </c>
      <c r="AK61">
        <f>'Feeders Raw Data'!AP61-'Feeders Raw Data'!AZ61</f>
        <v>0</v>
      </c>
      <c r="AL61">
        <f>'Feeders Raw Data'!AQ61-'Feeders Raw Data'!BA61</f>
        <v>0</v>
      </c>
      <c r="AM61">
        <f>'Feeders Raw Data'!AR61-'Feeders Raw Data'!BB61</f>
        <v>0</v>
      </c>
      <c r="AN61">
        <f>'Feeders Raw Data'!AS61-'Feeders Raw Data'!BC61</f>
        <v>0</v>
      </c>
      <c r="AO61" t="str">
        <f>'Feeders Raw Data'!AW61&amp;" - "&amp;'Feeders Raw Data'!BG61</f>
        <v xml:space="preserve"> - </v>
      </c>
      <c r="AQ61" s="1">
        <f>'Feeders Raw Data'!AY61</f>
        <v>0</v>
      </c>
      <c r="AR61">
        <f>'Feeders Raw Data'!AZ61-'Feeders Raw Data'!BJ61</f>
        <v>0</v>
      </c>
      <c r="AS61">
        <f>'Feeders Raw Data'!BA61-'Feeders Raw Data'!BK61</f>
        <v>0</v>
      </c>
      <c r="AT61">
        <f>'Feeders Raw Data'!BB61-'Feeders Raw Data'!BL61</f>
        <v>0</v>
      </c>
      <c r="AU61">
        <f>'Feeders Raw Data'!BC61-'Feeders Raw Data'!BM61</f>
        <v>0</v>
      </c>
      <c r="AV61" t="str">
        <f>'Feeders Raw Data'!BG61&amp;" - "&amp;'Feeders Raw Data'!BQ61</f>
        <v xml:space="preserve"> - </v>
      </c>
      <c r="AX61" s="1">
        <f>'Feeders Raw Data'!BS61</f>
        <v>0</v>
      </c>
      <c r="AY61">
        <f>'Feeders Raw Data'!BT61-'Feeders Raw Data'!B61</f>
        <v>0</v>
      </c>
      <c r="AZ61">
        <f>'Feeders Raw Data'!BU61-'Feeders Raw Data'!C61</f>
        <v>0</v>
      </c>
      <c r="BA61">
        <f>'Feeders Raw Data'!BV61-'Feeders Raw Data'!D61</f>
        <v>0</v>
      </c>
      <c r="BB61">
        <f>'Feeders Raw Data'!BW61-'Feeders Raw Data'!E61</f>
        <v>0</v>
      </c>
      <c r="BC61" t="str">
        <f>'Feeders Raw Data'!CA61&amp;" - "&amp;'Feeders Raw Data'!I61</f>
        <v xml:space="preserve"> - </v>
      </c>
    </row>
    <row r="62" spans="1:55" x14ac:dyDescent="0.25">
      <c r="A62" s="1">
        <f>'Feeders Raw Data'!A62</f>
        <v>0</v>
      </c>
      <c r="B62">
        <f>'Feeders Raw Data'!B62-'Feeders Raw Data'!L62</f>
        <v>0</v>
      </c>
      <c r="C62">
        <f>'Feeders Raw Data'!C62-'Feeders Raw Data'!M62</f>
        <v>0</v>
      </c>
      <c r="D62">
        <f>'Feeders Raw Data'!D62-'Feeders Raw Data'!N62</f>
        <v>0</v>
      </c>
      <c r="E62">
        <f>'Feeders Raw Data'!E62-'Feeders Raw Data'!O62</f>
        <v>0</v>
      </c>
      <c r="F62" t="str">
        <f>'Feeders Raw Data'!I62&amp;" - "&amp;'Feeders Raw Data'!S62</f>
        <v xml:space="preserve"> - </v>
      </c>
      <c r="H62" s="1">
        <f>'Feeders Raw Data'!AE62</f>
        <v>0</v>
      </c>
      <c r="I62">
        <f>'Feeders Raw Data'!AF62-'Feeders Raw Data'!AP62</f>
        <v>0</v>
      </c>
      <c r="J62">
        <f>'Feeders Raw Data'!AG62-'Feeders Raw Data'!AQ62</f>
        <v>0</v>
      </c>
      <c r="K62">
        <f>'Feeders Raw Data'!AH62-'Feeders Raw Data'!AR62</f>
        <v>0</v>
      </c>
      <c r="L62">
        <f>'Feeders Raw Data'!AI62-'Feeders Raw Data'!AS62</f>
        <v>0</v>
      </c>
      <c r="M62" t="str">
        <f>'Feeders Raw Data'!AM62&amp;" - "&amp;'Feeders Raw Data'!AW62</f>
        <v xml:space="preserve"> - </v>
      </c>
      <c r="O62" s="1">
        <f>'Feeders Raw Data'!BI62</f>
        <v>0</v>
      </c>
      <c r="P62">
        <f>'Feeders Raw Data'!BJ62-'Feeders Raw Data'!BT62</f>
        <v>0</v>
      </c>
      <c r="Q62">
        <f>'Feeders Raw Data'!BK62-'Feeders Raw Data'!BU62</f>
        <v>0</v>
      </c>
      <c r="R62">
        <f>'Feeders Raw Data'!BL62-'Feeders Raw Data'!BV62</f>
        <v>0</v>
      </c>
      <c r="S62">
        <f>'Feeders Raw Data'!BM62-'Feeders Raw Data'!BW62</f>
        <v>0</v>
      </c>
      <c r="T62" t="str">
        <f>'Feeders Raw Data'!BQ62&amp;" - "&amp;'Feeders Raw Data'!CA62</f>
        <v xml:space="preserve"> - </v>
      </c>
      <c r="V62" s="1">
        <f>'Feeders Raw Data'!K62</f>
        <v>0</v>
      </c>
      <c r="W62">
        <f>'Feeders Raw Data'!L62-'Feeders Raw Data'!V62</f>
        <v>0</v>
      </c>
      <c r="X62">
        <f>'Feeders Raw Data'!M62-'Feeders Raw Data'!W62</f>
        <v>0</v>
      </c>
      <c r="Y62">
        <f>'Feeders Raw Data'!N62-'Feeders Raw Data'!X62</f>
        <v>0</v>
      </c>
      <c r="Z62">
        <f>'Feeders Raw Data'!O62-'Feeders Raw Data'!Y62</f>
        <v>0</v>
      </c>
      <c r="AA62" t="str">
        <f>'Feeders Raw Data'!S62&amp;" - "&amp;'Feeders Raw Data'!AC62</f>
        <v xml:space="preserve"> - </v>
      </c>
      <c r="AC62" s="1">
        <f>'Feeders Raw Data'!U62</f>
        <v>0</v>
      </c>
      <c r="AD62">
        <f>'Feeders Raw Data'!V62-'Feeders Raw Data'!AF62</f>
        <v>0</v>
      </c>
      <c r="AE62">
        <f>'Feeders Raw Data'!W62-'Feeders Raw Data'!AG62</f>
        <v>0</v>
      </c>
      <c r="AF62">
        <f>'Feeders Raw Data'!X62-'Feeders Raw Data'!AH62</f>
        <v>0</v>
      </c>
      <c r="AG62">
        <f>'Feeders Raw Data'!Y62-'Feeders Raw Data'!AI62</f>
        <v>0</v>
      </c>
      <c r="AH62" t="str">
        <f>'Feeders Raw Data'!AC62&amp;" - "&amp;'Feeders Raw Data'!AM62</f>
        <v xml:space="preserve"> - </v>
      </c>
      <c r="AJ62" s="1">
        <f>'Feeders Raw Data'!AO62</f>
        <v>0</v>
      </c>
      <c r="AK62">
        <f>'Feeders Raw Data'!AP62-'Feeders Raw Data'!AZ62</f>
        <v>0</v>
      </c>
      <c r="AL62">
        <f>'Feeders Raw Data'!AQ62-'Feeders Raw Data'!BA62</f>
        <v>0</v>
      </c>
      <c r="AM62">
        <f>'Feeders Raw Data'!AR62-'Feeders Raw Data'!BB62</f>
        <v>0</v>
      </c>
      <c r="AN62">
        <f>'Feeders Raw Data'!AS62-'Feeders Raw Data'!BC62</f>
        <v>0</v>
      </c>
      <c r="AO62" t="str">
        <f>'Feeders Raw Data'!AW62&amp;" - "&amp;'Feeders Raw Data'!BG62</f>
        <v xml:space="preserve"> - </v>
      </c>
      <c r="AQ62" s="1">
        <f>'Feeders Raw Data'!AY62</f>
        <v>0</v>
      </c>
      <c r="AR62">
        <f>'Feeders Raw Data'!AZ62-'Feeders Raw Data'!BJ62</f>
        <v>0</v>
      </c>
      <c r="AS62">
        <f>'Feeders Raw Data'!BA62-'Feeders Raw Data'!BK62</f>
        <v>0</v>
      </c>
      <c r="AT62">
        <f>'Feeders Raw Data'!BB62-'Feeders Raw Data'!BL62</f>
        <v>0</v>
      </c>
      <c r="AU62">
        <f>'Feeders Raw Data'!BC62-'Feeders Raw Data'!BM62</f>
        <v>0</v>
      </c>
      <c r="AV62" t="str">
        <f>'Feeders Raw Data'!BG62&amp;" - "&amp;'Feeders Raw Data'!BQ62</f>
        <v xml:space="preserve"> - </v>
      </c>
      <c r="AX62" s="1">
        <f>'Feeders Raw Data'!BS62</f>
        <v>0</v>
      </c>
      <c r="AY62">
        <f>'Feeders Raw Data'!BT62-'Feeders Raw Data'!B62</f>
        <v>0</v>
      </c>
      <c r="AZ62">
        <f>'Feeders Raw Data'!BU62-'Feeders Raw Data'!C62</f>
        <v>0</v>
      </c>
      <c r="BA62">
        <f>'Feeders Raw Data'!BV62-'Feeders Raw Data'!D62</f>
        <v>0</v>
      </c>
      <c r="BB62">
        <f>'Feeders Raw Data'!BW62-'Feeders Raw Data'!E62</f>
        <v>0</v>
      </c>
      <c r="BC62" t="str">
        <f>'Feeders Raw Data'!CA62&amp;" - "&amp;'Feeders Raw Data'!I62</f>
        <v xml:space="preserve"> - </v>
      </c>
    </row>
    <row r="63" spans="1:55" x14ac:dyDescent="0.25">
      <c r="A63" s="1">
        <f>'Feeders Raw Data'!A63</f>
        <v>0</v>
      </c>
      <c r="B63">
        <f>'Feeders Raw Data'!B63-'Feeders Raw Data'!L63</f>
        <v>0</v>
      </c>
      <c r="C63">
        <f>'Feeders Raw Data'!C63-'Feeders Raw Data'!M63</f>
        <v>0</v>
      </c>
      <c r="D63">
        <f>'Feeders Raw Data'!D63-'Feeders Raw Data'!N63</f>
        <v>0</v>
      </c>
      <c r="E63">
        <f>'Feeders Raw Data'!E63-'Feeders Raw Data'!O63</f>
        <v>0</v>
      </c>
      <c r="F63" t="str">
        <f>'Feeders Raw Data'!I63&amp;" - "&amp;'Feeders Raw Data'!S63</f>
        <v xml:space="preserve"> - </v>
      </c>
      <c r="H63" s="1">
        <f>'Feeders Raw Data'!AE63</f>
        <v>0</v>
      </c>
      <c r="I63">
        <f>'Feeders Raw Data'!AF63-'Feeders Raw Data'!AP63</f>
        <v>0</v>
      </c>
      <c r="J63">
        <f>'Feeders Raw Data'!AG63-'Feeders Raw Data'!AQ63</f>
        <v>0</v>
      </c>
      <c r="K63">
        <f>'Feeders Raw Data'!AH63-'Feeders Raw Data'!AR63</f>
        <v>0</v>
      </c>
      <c r="L63">
        <f>'Feeders Raw Data'!AI63-'Feeders Raw Data'!AS63</f>
        <v>0</v>
      </c>
      <c r="M63" t="str">
        <f>'Feeders Raw Data'!AM63&amp;" - "&amp;'Feeders Raw Data'!AW63</f>
        <v xml:space="preserve"> - </v>
      </c>
      <c r="O63" s="1">
        <f>'Feeders Raw Data'!BI63</f>
        <v>0</v>
      </c>
      <c r="P63">
        <f>'Feeders Raw Data'!BJ63-'Feeders Raw Data'!BT63</f>
        <v>0</v>
      </c>
      <c r="Q63">
        <f>'Feeders Raw Data'!BK63-'Feeders Raw Data'!BU63</f>
        <v>0</v>
      </c>
      <c r="R63">
        <f>'Feeders Raw Data'!BL63-'Feeders Raw Data'!BV63</f>
        <v>0</v>
      </c>
      <c r="S63">
        <f>'Feeders Raw Data'!BM63-'Feeders Raw Data'!BW63</f>
        <v>0</v>
      </c>
      <c r="T63" t="str">
        <f>'Feeders Raw Data'!BQ63&amp;" - "&amp;'Feeders Raw Data'!CA63</f>
        <v xml:space="preserve"> - </v>
      </c>
      <c r="V63" s="1">
        <f>'Feeders Raw Data'!K63</f>
        <v>0</v>
      </c>
      <c r="W63">
        <f>'Feeders Raw Data'!L63-'Feeders Raw Data'!V63</f>
        <v>0</v>
      </c>
      <c r="X63">
        <f>'Feeders Raw Data'!M63-'Feeders Raw Data'!W63</f>
        <v>0</v>
      </c>
      <c r="Y63">
        <f>'Feeders Raw Data'!N63-'Feeders Raw Data'!X63</f>
        <v>0</v>
      </c>
      <c r="Z63">
        <f>'Feeders Raw Data'!O63-'Feeders Raw Data'!Y63</f>
        <v>0</v>
      </c>
      <c r="AA63" t="str">
        <f>'Feeders Raw Data'!S63&amp;" - "&amp;'Feeders Raw Data'!AC63</f>
        <v xml:space="preserve"> - </v>
      </c>
      <c r="AC63" s="1">
        <f>'Feeders Raw Data'!U63</f>
        <v>0</v>
      </c>
      <c r="AD63">
        <f>'Feeders Raw Data'!V63-'Feeders Raw Data'!AF63</f>
        <v>0</v>
      </c>
      <c r="AE63">
        <f>'Feeders Raw Data'!W63-'Feeders Raw Data'!AG63</f>
        <v>0</v>
      </c>
      <c r="AF63">
        <f>'Feeders Raw Data'!X63-'Feeders Raw Data'!AH63</f>
        <v>0</v>
      </c>
      <c r="AG63">
        <f>'Feeders Raw Data'!Y63-'Feeders Raw Data'!AI63</f>
        <v>0</v>
      </c>
      <c r="AH63" t="str">
        <f>'Feeders Raw Data'!AC63&amp;" - "&amp;'Feeders Raw Data'!AM63</f>
        <v xml:space="preserve"> - </v>
      </c>
      <c r="AJ63" s="1">
        <f>'Feeders Raw Data'!AO63</f>
        <v>0</v>
      </c>
      <c r="AK63">
        <f>'Feeders Raw Data'!AP63-'Feeders Raw Data'!AZ63</f>
        <v>0</v>
      </c>
      <c r="AL63">
        <f>'Feeders Raw Data'!AQ63-'Feeders Raw Data'!BA63</f>
        <v>0</v>
      </c>
      <c r="AM63">
        <f>'Feeders Raw Data'!AR63-'Feeders Raw Data'!BB63</f>
        <v>0</v>
      </c>
      <c r="AN63">
        <f>'Feeders Raw Data'!AS63-'Feeders Raw Data'!BC63</f>
        <v>0</v>
      </c>
      <c r="AO63" t="str">
        <f>'Feeders Raw Data'!AW63&amp;" - "&amp;'Feeders Raw Data'!BG63</f>
        <v xml:space="preserve"> - </v>
      </c>
      <c r="AQ63" s="1">
        <f>'Feeders Raw Data'!AY63</f>
        <v>0</v>
      </c>
      <c r="AR63">
        <f>'Feeders Raw Data'!AZ63-'Feeders Raw Data'!BJ63</f>
        <v>0</v>
      </c>
      <c r="AS63">
        <f>'Feeders Raw Data'!BA63-'Feeders Raw Data'!BK63</f>
        <v>0</v>
      </c>
      <c r="AT63">
        <f>'Feeders Raw Data'!BB63-'Feeders Raw Data'!BL63</f>
        <v>0</v>
      </c>
      <c r="AU63">
        <f>'Feeders Raw Data'!BC63-'Feeders Raw Data'!BM63</f>
        <v>0</v>
      </c>
      <c r="AV63" t="str">
        <f>'Feeders Raw Data'!BG63&amp;" - "&amp;'Feeders Raw Data'!BQ63</f>
        <v xml:space="preserve"> - </v>
      </c>
      <c r="AX63" s="1">
        <f>'Feeders Raw Data'!BS63</f>
        <v>0</v>
      </c>
      <c r="AY63">
        <f>'Feeders Raw Data'!BT63-'Feeders Raw Data'!B63</f>
        <v>0</v>
      </c>
      <c r="AZ63">
        <f>'Feeders Raw Data'!BU63-'Feeders Raw Data'!C63</f>
        <v>0</v>
      </c>
      <c r="BA63">
        <f>'Feeders Raw Data'!BV63-'Feeders Raw Data'!D63</f>
        <v>0</v>
      </c>
      <c r="BB63">
        <f>'Feeders Raw Data'!BW63-'Feeders Raw Data'!E63</f>
        <v>0</v>
      </c>
      <c r="BC63" t="str">
        <f>'Feeders Raw Data'!CA63&amp;" - "&amp;'Feeders Raw Data'!I63</f>
        <v xml:space="preserve"> - </v>
      </c>
    </row>
    <row r="64" spans="1:55" x14ac:dyDescent="0.25">
      <c r="A64" s="1">
        <f>'Feeders Raw Data'!A64</f>
        <v>0</v>
      </c>
      <c r="B64">
        <f>'Feeders Raw Data'!B64-'Feeders Raw Data'!L64</f>
        <v>0</v>
      </c>
      <c r="C64">
        <f>'Feeders Raw Data'!C64-'Feeders Raw Data'!M64</f>
        <v>0</v>
      </c>
      <c r="D64">
        <f>'Feeders Raw Data'!D64-'Feeders Raw Data'!N64</f>
        <v>0</v>
      </c>
      <c r="E64">
        <f>'Feeders Raw Data'!E64-'Feeders Raw Data'!O64</f>
        <v>0</v>
      </c>
      <c r="F64" t="str">
        <f>'Feeders Raw Data'!I64&amp;" - "&amp;'Feeders Raw Data'!S64</f>
        <v xml:space="preserve"> - </v>
      </c>
      <c r="H64" s="1">
        <f>'Feeders Raw Data'!AE64</f>
        <v>0</v>
      </c>
      <c r="I64">
        <f>'Feeders Raw Data'!AF64-'Feeders Raw Data'!AP64</f>
        <v>0</v>
      </c>
      <c r="J64">
        <f>'Feeders Raw Data'!AG64-'Feeders Raw Data'!AQ64</f>
        <v>0</v>
      </c>
      <c r="K64">
        <f>'Feeders Raw Data'!AH64-'Feeders Raw Data'!AR64</f>
        <v>0</v>
      </c>
      <c r="L64">
        <f>'Feeders Raw Data'!AI64-'Feeders Raw Data'!AS64</f>
        <v>0</v>
      </c>
      <c r="M64" t="str">
        <f>'Feeders Raw Data'!AM64&amp;" - "&amp;'Feeders Raw Data'!AW64</f>
        <v xml:space="preserve"> - </v>
      </c>
      <c r="O64" s="1">
        <f>'Feeders Raw Data'!BI64</f>
        <v>0</v>
      </c>
      <c r="P64">
        <f>'Feeders Raw Data'!BJ64-'Feeders Raw Data'!BT64</f>
        <v>0</v>
      </c>
      <c r="Q64">
        <f>'Feeders Raw Data'!BK64-'Feeders Raw Data'!BU64</f>
        <v>0</v>
      </c>
      <c r="R64">
        <f>'Feeders Raw Data'!BL64-'Feeders Raw Data'!BV64</f>
        <v>0</v>
      </c>
      <c r="S64">
        <f>'Feeders Raw Data'!BM64-'Feeders Raw Data'!BW64</f>
        <v>0</v>
      </c>
      <c r="T64" t="str">
        <f>'Feeders Raw Data'!BQ64&amp;" - "&amp;'Feeders Raw Data'!CA64</f>
        <v xml:space="preserve"> - </v>
      </c>
      <c r="V64" s="1">
        <f>'Feeders Raw Data'!K64</f>
        <v>0</v>
      </c>
      <c r="W64">
        <f>'Feeders Raw Data'!L64-'Feeders Raw Data'!V64</f>
        <v>0</v>
      </c>
      <c r="X64">
        <f>'Feeders Raw Data'!M64-'Feeders Raw Data'!W64</f>
        <v>0</v>
      </c>
      <c r="Y64">
        <f>'Feeders Raw Data'!N64-'Feeders Raw Data'!X64</f>
        <v>0</v>
      </c>
      <c r="Z64">
        <f>'Feeders Raw Data'!O64-'Feeders Raw Data'!Y64</f>
        <v>0</v>
      </c>
      <c r="AA64" t="str">
        <f>'Feeders Raw Data'!S64&amp;" - "&amp;'Feeders Raw Data'!AC64</f>
        <v xml:space="preserve"> - </v>
      </c>
      <c r="AC64" s="1">
        <f>'Feeders Raw Data'!U64</f>
        <v>0</v>
      </c>
      <c r="AD64">
        <f>'Feeders Raw Data'!V64-'Feeders Raw Data'!AF64</f>
        <v>0</v>
      </c>
      <c r="AE64">
        <f>'Feeders Raw Data'!W64-'Feeders Raw Data'!AG64</f>
        <v>0</v>
      </c>
      <c r="AF64">
        <f>'Feeders Raw Data'!X64-'Feeders Raw Data'!AH64</f>
        <v>0</v>
      </c>
      <c r="AG64">
        <f>'Feeders Raw Data'!Y64-'Feeders Raw Data'!AI64</f>
        <v>0</v>
      </c>
      <c r="AH64" t="str">
        <f>'Feeders Raw Data'!AC64&amp;" - "&amp;'Feeders Raw Data'!AM64</f>
        <v xml:space="preserve"> - </v>
      </c>
      <c r="AJ64" s="1">
        <f>'Feeders Raw Data'!AO64</f>
        <v>0</v>
      </c>
      <c r="AK64">
        <f>'Feeders Raw Data'!AP64-'Feeders Raw Data'!AZ64</f>
        <v>0</v>
      </c>
      <c r="AL64">
        <f>'Feeders Raw Data'!AQ64-'Feeders Raw Data'!BA64</f>
        <v>0</v>
      </c>
      <c r="AM64">
        <f>'Feeders Raw Data'!AR64-'Feeders Raw Data'!BB64</f>
        <v>0</v>
      </c>
      <c r="AN64">
        <f>'Feeders Raw Data'!AS64-'Feeders Raw Data'!BC64</f>
        <v>0</v>
      </c>
      <c r="AO64" t="str">
        <f>'Feeders Raw Data'!AW64&amp;" - "&amp;'Feeders Raw Data'!BG64</f>
        <v xml:space="preserve"> - </v>
      </c>
      <c r="AQ64" s="1">
        <f>'Feeders Raw Data'!AY64</f>
        <v>0</v>
      </c>
      <c r="AR64">
        <f>'Feeders Raw Data'!AZ64-'Feeders Raw Data'!BJ64</f>
        <v>0</v>
      </c>
      <c r="AS64">
        <f>'Feeders Raw Data'!BA64-'Feeders Raw Data'!BK64</f>
        <v>0</v>
      </c>
      <c r="AT64">
        <f>'Feeders Raw Data'!BB64-'Feeders Raw Data'!BL64</f>
        <v>0</v>
      </c>
      <c r="AU64">
        <f>'Feeders Raw Data'!BC64-'Feeders Raw Data'!BM64</f>
        <v>0</v>
      </c>
      <c r="AV64" t="str">
        <f>'Feeders Raw Data'!BG64&amp;" - "&amp;'Feeders Raw Data'!BQ64</f>
        <v xml:space="preserve"> - </v>
      </c>
      <c r="AX64" s="1">
        <f>'Feeders Raw Data'!BS64</f>
        <v>0</v>
      </c>
      <c r="AY64">
        <f>'Feeders Raw Data'!BT64-'Feeders Raw Data'!B64</f>
        <v>0</v>
      </c>
      <c r="AZ64">
        <f>'Feeders Raw Data'!BU64-'Feeders Raw Data'!C64</f>
        <v>0</v>
      </c>
      <c r="BA64">
        <f>'Feeders Raw Data'!BV64-'Feeders Raw Data'!D64</f>
        <v>0</v>
      </c>
      <c r="BB64">
        <f>'Feeders Raw Data'!BW64-'Feeders Raw Data'!E64</f>
        <v>0</v>
      </c>
      <c r="BC64" t="str">
        <f>'Feeders Raw Data'!CA64&amp;" - "&amp;'Feeders Raw Data'!I64</f>
        <v xml:space="preserve"> - </v>
      </c>
    </row>
    <row r="65" spans="1:55" x14ac:dyDescent="0.25">
      <c r="A65" s="1">
        <f>'Feeders Raw Data'!A65</f>
        <v>0</v>
      </c>
      <c r="B65">
        <f>'Feeders Raw Data'!B65-'Feeders Raw Data'!L65</f>
        <v>0</v>
      </c>
      <c r="C65">
        <f>'Feeders Raw Data'!C65-'Feeders Raw Data'!M65</f>
        <v>0</v>
      </c>
      <c r="D65">
        <f>'Feeders Raw Data'!D65-'Feeders Raw Data'!N65</f>
        <v>0</v>
      </c>
      <c r="E65">
        <f>'Feeders Raw Data'!E65-'Feeders Raw Data'!O65</f>
        <v>0</v>
      </c>
      <c r="F65" t="str">
        <f>'Feeders Raw Data'!I65&amp;" - "&amp;'Feeders Raw Data'!S65</f>
        <v xml:space="preserve"> - </v>
      </c>
      <c r="H65" s="1">
        <f>'Feeders Raw Data'!AE65</f>
        <v>0</v>
      </c>
      <c r="I65">
        <f>'Feeders Raw Data'!AF65-'Feeders Raw Data'!AP65</f>
        <v>0</v>
      </c>
      <c r="J65">
        <f>'Feeders Raw Data'!AG65-'Feeders Raw Data'!AQ65</f>
        <v>0</v>
      </c>
      <c r="K65">
        <f>'Feeders Raw Data'!AH65-'Feeders Raw Data'!AR65</f>
        <v>0</v>
      </c>
      <c r="L65">
        <f>'Feeders Raw Data'!AI65-'Feeders Raw Data'!AS65</f>
        <v>0</v>
      </c>
      <c r="M65" t="str">
        <f>'Feeders Raw Data'!AM65&amp;" - "&amp;'Feeders Raw Data'!AW65</f>
        <v xml:space="preserve"> - </v>
      </c>
      <c r="O65" s="1">
        <f>'Feeders Raw Data'!BI65</f>
        <v>0</v>
      </c>
      <c r="P65">
        <f>'Feeders Raw Data'!BJ65-'Feeders Raw Data'!BT65</f>
        <v>0</v>
      </c>
      <c r="Q65">
        <f>'Feeders Raw Data'!BK65-'Feeders Raw Data'!BU65</f>
        <v>0</v>
      </c>
      <c r="R65">
        <f>'Feeders Raw Data'!BL65-'Feeders Raw Data'!BV65</f>
        <v>0</v>
      </c>
      <c r="S65">
        <f>'Feeders Raw Data'!BM65-'Feeders Raw Data'!BW65</f>
        <v>0</v>
      </c>
      <c r="T65" t="str">
        <f>'Feeders Raw Data'!BQ65&amp;" - "&amp;'Feeders Raw Data'!CA65</f>
        <v xml:space="preserve"> - </v>
      </c>
      <c r="V65" s="1">
        <f>'Feeders Raw Data'!K65</f>
        <v>0</v>
      </c>
      <c r="W65">
        <f>'Feeders Raw Data'!L65-'Feeders Raw Data'!V65</f>
        <v>0</v>
      </c>
      <c r="X65">
        <f>'Feeders Raw Data'!M65-'Feeders Raw Data'!W65</f>
        <v>0</v>
      </c>
      <c r="Y65">
        <f>'Feeders Raw Data'!N65-'Feeders Raw Data'!X65</f>
        <v>0</v>
      </c>
      <c r="Z65">
        <f>'Feeders Raw Data'!O65-'Feeders Raw Data'!Y65</f>
        <v>0</v>
      </c>
      <c r="AA65" t="str">
        <f>'Feeders Raw Data'!S65&amp;" - "&amp;'Feeders Raw Data'!AC65</f>
        <v xml:space="preserve"> - </v>
      </c>
      <c r="AC65" s="1">
        <f>'Feeders Raw Data'!U65</f>
        <v>0</v>
      </c>
      <c r="AD65">
        <f>'Feeders Raw Data'!V65-'Feeders Raw Data'!AF65</f>
        <v>0</v>
      </c>
      <c r="AE65">
        <f>'Feeders Raw Data'!W65-'Feeders Raw Data'!AG65</f>
        <v>0</v>
      </c>
      <c r="AF65">
        <f>'Feeders Raw Data'!X65-'Feeders Raw Data'!AH65</f>
        <v>0</v>
      </c>
      <c r="AG65">
        <f>'Feeders Raw Data'!Y65-'Feeders Raw Data'!AI65</f>
        <v>0</v>
      </c>
      <c r="AH65" t="str">
        <f>'Feeders Raw Data'!AC65&amp;" - "&amp;'Feeders Raw Data'!AM65</f>
        <v xml:space="preserve"> - </v>
      </c>
      <c r="AJ65" s="1">
        <f>'Feeders Raw Data'!AO65</f>
        <v>0</v>
      </c>
      <c r="AK65">
        <f>'Feeders Raw Data'!AP65-'Feeders Raw Data'!AZ65</f>
        <v>0</v>
      </c>
      <c r="AL65">
        <f>'Feeders Raw Data'!AQ65-'Feeders Raw Data'!BA65</f>
        <v>0</v>
      </c>
      <c r="AM65">
        <f>'Feeders Raw Data'!AR65-'Feeders Raw Data'!BB65</f>
        <v>0</v>
      </c>
      <c r="AN65">
        <f>'Feeders Raw Data'!AS65-'Feeders Raw Data'!BC65</f>
        <v>0</v>
      </c>
      <c r="AO65" t="str">
        <f>'Feeders Raw Data'!AW65&amp;" - "&amp;'Feeders Raw Data'!BG65</f>
        <v xml:space="preserve"> - </v>
      </c>
      <c r="AQ65" s="1">
        <f>'Feeders Raw Data'!AY65</f>
        <v>0</v>
      </c>
      <c r="AR65">
        <f>'Feeders Raw Data'!AZ65-'Feeders Raw Data'!BJ65</f>
        <v>0</v>
      </c>
      <c r="AS65">
        <f>'Feeders Raw Data'!BA65-'Feeders Raw Data'!BK65</f>
        <v>0</v>
      </c>
      <c r="AT65">
        <f>'Feeders Raw Data'!BB65-'Feeders Raw Data'!BL65</f>
        <v>0</v>
      </c>
      <c r="AU65">
        <f>'Feeders Raw Data'!BC65-'Feeders Raw Data'!BM65</f>
        <v>0</v>
      </c>
      <c r="AV65" t="str">
        <f>'Feeders Raw Data'!BG65&amp;" - "&amp;'Feeders Raw Data'!BQ65</f>
        <v xml:space="preserve"> - </v>
      </c>
      <c r="AX65" s="1">
        <f>'Feeders Raw Data'!BS65</f>
        <v>0</v>
      </c>
      <c r="AY65">
        <f>'Feeders Raw Data'!BT65-'Feeders Raw Data'!B65</f>
        <v>0</v>
      </c>
      <c r="AZ65">
        <f>'Feeders Raw Data'!BU65-'Feeders Raw Data'!C65</f>
        <v>0</v>
      </c>
      <c r="BA65">
        <f>'Feeders Raw Data'!BV65-'Feeders Raw Data'!D65</f>
        <v>0</v>
      </c>
      <c r="BB65">
        <f>'Feeders Raw Data'!BW65-'Feeders Raw Data'!E65</f>
        <v>0</v>
      </c>
      <c r="BC65" t="str">
        <f>'Feeders Raw Data'!CA65&amp;" - "&amp;'Feeders Raw Data'!I65</f>
        <v xml:space="preserve"> - </v>
      </c>
    </row>
    <row r="66" spans="1:55" x14ac:dyDescent="0.25">
      <c r="A66" s="1">
        <f>'Feeders Raw Data'!A66</f>
        <v>0</v>
      </c>
      <c r="B66">
        <f>'Feeders Raw Data'!B66-'Feeders Raw Data'!L66</f>
        <v>0</v>
      </c>
      <c r="C66">
        <f>'Feeders Raw Data'!C66-'Feeders Raw Data'!M66</f>
        <v>0</v>
      </c>
      <c r="D66">
        <f>'Feeders Raw Data'!D66-'Feeders Raw Data'!N66</f>
        <v>0</v>
      </c>
      <c r="E66">
        <f>'Feeders Raw Data'!E66-'Feeders Raw Data'!O66</f>
        <v>0</v>
      </c>
      <c r="F66" t="str">
        <f>'Feeders Raw Data'!I66&amp;" - "&amp;'Feeders Raw Data'!S66</f>
        <v xml:space="preserve"> - </v>
      </c>
      <c r="H66" s="1">
        <f>'Feeders Raw Data'!AE66</f>
        <v>0</v>
      </c>
      <c r="I66">
        <f>'Feeders Raw Data'!AF66-'Feeders Raw Data'!AP66</f>
        <v>0</v>
      </c>
      <c r="J66">
        <f>'Feeders Raw Data'!AG66-'Feeders Raw Data'!AQ66</f>
        <v>0</v>
      </c>
      <c r="K66">
        <f>'Feeders Raw Data'!AH66-'Feeders Raw Data'!AR66</f>
        <v>0</v>
      </c>
      <c r="L66">
        <f>'Feeders Raw Data'!AI66-'Feeders Raw Data'!AS66</f>
        <v>0</v>
      </c>
      <c r="M66" t="str">
        <f>'Feeders Raw Data'!AM66&amp;" - "&amp;'Feeders Raw Data'!AW66</f>
        <v xml:space="preserve"> - </v>
      </c>
      <c r="O66" s="1">
        <f>'Feeders Raw Data'!BI66</f>
        <v>0</v>
      </c>
      <c r="P66">
        <f>'Feeders Raw Data'!BJ66-'Feeders Raw Data'!BT66</f>
        <v>0</v>
      </c>
      <c r="Q66">
        <f>'Feeders Raw Data'!BK66-'Feeders Raw Data'!BU66</f>
        <v>0</v>
      </c>
      <c r="R66">
        <f>'Feeders Raw Data'!BL66-'Feeders Raw Data'!BV66</f>
        <v>0</v>
      </c>
      <c r="S66">
        <f>'Feeders Raw Data'!BM66-'Feeders Raw Data'!BW66</f>
        <v>0</v>
      </c>
      <c r="T66" t="str">
        <f>'Feeders Raw Data'!BQ66&amp;" - "&amp;'Feeders Raw Data'!CA66</f>
        <v xml:space="preserve"> - </v>
      </c>
      <c r="V66" s="1">
        <f>'Feeders Raw Data'!K66</f>
        <v>0</v>
      </c>
      <c r="W66">
        <f>'Feeders Raw Data'!L66-'Feeders Raw Data'!V66</f>
        <v>0</v>
      </c>
      <c r="X66">
        <f>'Feeders Raw Data'!M66-'Feeders Raw Data'!W66</f>
        <v>0</v>
      </c>
      <c r="Y66">
        <f>'Feeders Raw Data'!N66-'Feeders Raw Data'!X66</f>
        <v>0</v>
      </c>
      <c r="Z66">
        <f>'Feeders Raw Data'!O66-'Feeders Raw Data'!Y66</f>
        <v>0</v>
      </c>
      <c r="AA66" t="str">
        <f>'Feeders Raw Data'!S66&amp;" - "&amp;'Feeders Raw Data'!AC66</f>
        <v xml:space="preserve"> - </v>
      </c>
      <c r="AC66" s="1">
        <f>'Feeders Raw Data'!U66</f>
        <v>0</v>
      </c>
      <c r="AD66">
        <f>'Feeders Raw Data'!V66-'Feeders Raw Data'!AF66</f>
        <v>0</v>
      </c>
      <c r="AE66">
        <f>'Feeders Raw Data'!W66-'Feeders Raw Data'!AG66</f>
        <v>0</v>
      </c>
      <c r="AF66">
        <f>'Feeders Raw Data'!X66-'Feeders Raw Data'!AH66</f>
        <v>0</v>
      </c>
      <c r="AG66">
        <f>'Feeders Raw Data'!Y66-'Feeders Raw Data'!AI66</f>
        <v>0</v>
      </c>
      <c r="AH66" t="str">
        <f>'Feeders Raw Data'!AC66&amp;" - "&amp;'Feeders Raw Data'!AM66</f>
        <v xml:space="preserve"> - </v>
      </c>
      <c r="AJ66" s="1">
        <f>'Feeders Raw Data'!AO66</f>
        <v>0</v>
      </c>
      <c r="AK66">
        <f>'Feeders Raw Data'!AP66-'Feeders Raw Data'!AZ66</f>
        <v>0</v>
      </c>
      <c r="AL66">
        <f>'Feeders Raw Data'!AQ66-'Feeders Raw Data'!BA66</f>
        <v>0</v>
      </c>
      <c r="AM66">
        <f>'Feeders Raw Data'!AR66-'Feeders Raw Data'!BB66</f>
        <v>0</v>
      </c>
      <c r="AN66">
        <f>'Feeders Raw Data'!AS66-'Feeders Raw Data'!BC66</f>
        <v>0</v>
      </c>
      <c r="AO66" t="str">
        <f>'Feeders Raw Data'!AW66&amp;" - "&amp;'Feeders Raw Data'!BG66</f>
        <v xml:space="preserve"> - </v>
      </c>
      <c r="AQ66" s="1">
        <f>'Feeders Raw Data'!AY66</f>
        <v>0</v>
      </c>
      <c r="AR66">
        <f>'Feeders Raw Data'!AZ66-'Feeders Raw Data'!BJ66</f>
        <v>0</v>
      </c>
      <c r="AS66">
        <f>'Feeders Raw Data'!BA66-'Feeders Raw Data'!BK66</f>
        <v>0</v>
      </c>
      <c r="AT66">
        <f>'Feeders Raw Data'!BB66-'Feeders Raw Data'!BL66</f>
        <v>0</v>
      </c>
      <c r="AU66">
        <f>'Feeders Raw Data'!BC66-'Feeders Raw Data'!BM66</f>
        <v>0</v>
      </c>
      <c r="AV66" t="str">
        <f>'Feeders Raw Data'!BG66&amp;" - "&amp;'Feeders Raw Data'!BQ66</f>
        <v xml:space="preserve"> - </v>
      </c>
      <c r="AX66" s="1">
        <f>'Feeders Raw Data'!BS66</f>
        <v>0</v>
      </c>
      <c r="AY66">
        <f>'Feeders Raw Data'!BT66-'Feeders Raw Data'!B66</f>
        <v>0</v>
      </c>
      <c r="AZ66">
        <f>'Feeders Raw Data'!BU66-'Feeders Raw Data'!C66</f>
        <v>0</v>
      </c>
      <c r="BA66">
        <f>'Feeders Raw Data'!BV66-'Feeders Raw Data'!D66</f>
        <v>0</v>
      </c>
      <c r="BB66">
        <f>'Feeders Raw Data'!BW66-'Feeders Raw Data'!E66</f>
        <v>0</v>
      </c>
      <c r="BC66" t="str">
        <f>'Feeders Raw Data'!CA66&amp;" - "&amp;'Feeders Raw Data'!I66</f>
        <v xml:space="preserve"> - </v>
      </c>
    </row>
    <row r="67" spans="1:55" x14ac:dyDescent="0.25">
      <c r="A67" s="1">
        <f>'Feeders Raw Data'!A67</f>
        <v>0</v>
      </c>
      <c r="B67">
        <f>'Feeders Raw Data'!B67-'Feeders Raw Data'!L67</f>
        <v>0</v>
      </c>
      <c r="C67">
        <f>'Feeders Raw Data'!C67-'Feeders Raw Data'!M67</f>
        <v>0</v>
      </c>
      <c r="D67">
        <f>'Feeders Raw Data'!D67-'Feeders Raw Data'!N67</f>
        <v>0</v>
      </c>
      <c r="E67">
        <f>'Feeders Raw Data'!E67-'Feeders Raw Data'!O67</f>
        <v>0</v>
      </c>
      <c r="F67" t="str">
        <f>'Feeders Raw Data'!I67&amp;" - "&amp;'Feeders Raw Data'!S67</f>
        <v xml:space="preserve"> - </v>
      </c>
      <c r="H67" s="1">
        <f>'Feeders Raw Data'!AE67</f>
        <v>0</v>
      </c>
      <c r="I67">
        <f>'Feeders Raw Data'!AF67-'Feeders Raw Data'!AP67</f>
        <v>0</v>
      </c>
      <c r="J67">
        <f>'Feeders Raw Data'!AG67-'Feeders Raw Data'!AQ67</f>
        <v>0</v>
      </c>
      <c r="K67">
        <f>'Feeders Raw Data'!AH67-'Feeders Raw Data'!AR67</f>
        <v>0</v>
      </c>
      <c r="L67">
        <f>'Feeders Raw Data'!AI67-'Feeders Raw Data'!AS67</f>
        <v>0</v>
      </c>
      <c r="M67" t="str">
        <f>'Feeders Raw Data'!AM67&amp;" - "&amp;'Feeders Raw Data'!AW67</f>
        <v xml:space="preserve"> - </v>
      </c>
      <c r="O67" s="1">
        <f>'Feeders Raw Data'!BI67</f>
        <v>0</v>
      </c>
      <c r="P67">
        <f>'Feeders Raw Data'!BJ67-'Feeders Raw Data'!BT67</f>
        <v>0</v>
      </c>
      <c r="Q67">
        <f>'Feeders Raw Data'!BK67-'Feeders Raw Data'!BU67</f>
        <v>0</v>
      </c>
      <c r="R67">
        <f>'Feeders Raw Data'!BL67-'Feeders Raw Data'!BV67</f>
        <v>0</v>
      </c>
      <c r="S67">
        <f>'Feeders Raw Data'!BM67-'Feeders Raw Data'!BW67</f>
        <v>0</v>
      </c>
      <c r="T67" t="str">
        <f>'Feeders Raw Data'!BQ67&amp;" - "&amp;'Feeders Raw Data'!CA67</f>
        <v xml:space="preserve"> - </v>
      </c>
      <c r="V67" s="1">
        <f>'Feeders Raw Data'!K67</f>
        <v>0</v>
      </c>
      <c r="W67">
        <f>'Feeders Raw Data'!L67-'Feeders Raw Data'!V67</f>
        <v>0</v>
      </c>
      <c r="X67">
        <f>'Feeders Raw Data'!M67-'Feeders Raw Data'!W67</f>
        <v>0</v>
      </c>
      <c r="Y67">
        <f>'Feeders Raw Data'!N67-'Feeders Raw Data'!X67</f>
        <v>0</v>
      </c>
      <c r="Z67">
        <f>'Feeders Raw Data'!O67-'Feeders Raw Data'!Y67</f>
        <v>0</v>
      </c>
      <c r="AA67" t="str">
        <f>'Feeders Raw Data'!S67&amp;" - "&amp;'Feeders Raw Data'!AC67</f>
        <v xml:space="preserve"> - </v>
      </c>
      <c r="AC67" s="1">
        <f>'Feeders Raw Data'!U67</f>
        <v>0</v>
      </c>
      <c r="AD67">
        <f>'Feeders Raw Data'!V67-'Feeders Raw Data'!AF67</f>
        <v>0</v>
      </c>
      <c r="AE67">
        <f>'Feeders Raw Data'!W67-'Feeders Raw Data'!AG67</f>
        <v>0</v>
      </c>
      <c r="AF67">
        <f>'Feeders Raw Data'!X67-'Feeders Raw Data'!AH67</f>
        <v>0</v>
      </c>
      <c r="AG67">
        <f>'Feeders Raw Data'!Y67-'Feeders Raw Data'!AI67</f>
        <v>0</v>
      </c>
      <c r="AH67" t="str">
        <f>'Feeders Raw Data'!AC67&amp;" - "&amp;'Feeders Raw Data'!AM67</f>
        <v xml:space="preserve"> - </v>
      </c>
      <c r="AJ67" s="1">
        <f>'Feeders Raw Data'!AO67</f>
        <v>0</v>
      </c>
      <c r="AK67">
        <f>'Feeders Raw Data'!AP67-'Feeders Raw Data'!AZ67</f>
        <v>0</v>
      </c>
      <c r="AL67">
        <f>'Feeders Raw Data'!AQ67-'Feeders Raw Data'!BA67</f>
        <v>0</v>
      </c>
      <c r="AM67">
        <f>'Feeders Raw Data'!AR67-'Feeders Raw Data'!BB67</f>
        <v>0</v>
      </c>
      <c r="AN67">
        <f>'Feeders Raw Data'!AS67-'Feeders Raw Data'!BC67</f>
        <v>0</v>
      </c>
      <c r="AO67" t="str">
        <f>'Feeders Raw Data'!AW67&amp;" - "&amp;'Feeders Raw Data'!BG67</f>
        <v xml:space="preserve"> - </v>
      </c>
      <c r="AQ67" s="1">
        <f>'Feeders Raw Data'!AY67</f>
        <v>0</v>
      </c>
      <c r="AR67">
        <f>'Feeders Raw Data'!AZ67-'Feeders Raw Data'!BJ67</f>
        <v>0</v>
      </c>
      <c r="AS67">
        <f>'Feeders Raw Data'!BA67-'Feeders Raw Data'!BK67</f>
        <v>0</v>
      </c>
      <c r="AT67">
        <f>'Feeders Raw Data'!BB67-'Feeders Raw Data'!BL67</f>
        <v>0</v>
      </c>
      <c r="AU67">
        <f>'Feeders Raw Data'!BC67-'Feeders Raw Data'!BM67</f>
        <v>0</v>
      </c>
      <c r="AV67" t="str">
        <f>'Feeders Raw Data'!BG67&amp;" - "&amp;'Feeders Raw Data'!BQ67</f>
        <v xml:space="preserve"> - </v>
      </c>
      <c r="AX67" s="1">
        <f>'Feeders Raw Data'!BS67</f>
        <v>0</v>
      </c>
      <c r="AY67">
        <f>'Feeders Raw Data'!BT67-'Feeders Raw Data'!B67</f>
        <v>0</v>
      </c>
      <c r="AZ67">
        <f>'Feeders Raw Data'!BU67-'Feeders Raw Data'!C67</f>
        <v>0</v>
      </c>
      <c r="BA67">
        <f>'Feeders Raw Data'!BV67-'Feeders Raw Data'!D67</f>
        <v>0</v>
      </c>
      <c r="BB67">
        <f>'Feeders Raw Data'!BW67-'Feeders Raw Data'!E67</f>
        <v>0</v>
      </c>
      <c r="BC67" t="str">
        <f>'Feeders Raw Data'!CA67&amp;" - "&amp;'Feeders Raw Data'!I67</f>
        <v xml:space="preserve"> - </v>
      </c>
    </row>
    <row r="68" spans="1:55" x14ac:dyDescent="0.25">
      <c r="A68" s="1">
        <f>'Feeders Raw Data'!A68</f>
        <v>0</v>
      </c>
      <c r="B68">
        <f>'Feeders Raw Data'!B68-'Feeders Raw Data'!L68</f>
        <v>0</v>
      </c>
      <c r="C68">
        <f>'Feeders Raw Data'!C68-'Feeders Raw Data'!M68</f>
        <v>0</v>
      </c>
      <c r="D68">
        <f>'Feeders Raw Data'!D68-'Feeders Raw Data'!N68</f>
        <v>0</v>
      </c>
      <c r="E68">
        <f>'Feeders Raw Data'!E68-'Feeders Raw Data'!O68</f>
        <v>0</v>
      </c>
      <c r="F68" t="str">
        <f>'Feeders Raw Data'!I68&amp;" - "&amp;'Feeders Raw Data'!S68</f>
        <v xml:space="preserve"> - </v>
      </c>
      <c r="H68" s="1">
        <f>'Feeders Raw Data'!AE68</f>
        <v>0</v>
      </c>
      <c r="I68">
        <f>'Feeders Raw Data'!AF68-'Feeders Raw Data'!AP68</f>
        <v>0</v>
      </c>
      <c r="J68">
        <f>'Feeders Raw Data'!AG68-'Feeders Raw Data'!AQ68</f>
        <v>0</v>
      </c>
      <c r="K68">
        <f>'Feeders Raw Data'!AH68-'Feeders Raw Data'!AR68</f>
        <v>0</v>
      </c>
      <c r="L68">
        <f>'Feeders Raw Data'!AI68-'Feeders Raw Data'!AS68</f>
        <v>0</v>
      </c>
      <c r="M68" t="str">
        <f>'Feeders Raw Data'!AM68&amp;" - "&amp;'Feeders Raw Data'!AW68</f>
        <v xml:space="preserve"> - </v>
      </c>
      <c r="O68" s="1">
        <f>'Feeders Raw Data'!BI68</f>
        <v>0</v>
      </c>
      <c r="P68">
        <f>'Feeders Raw Data'!BJ68-'Feeders Raw Data'!BT68</f>
        <v>0</v>
      </c>
      <c r="Q68">
        <f>'Feeders Raw Data'!BK68-'Feeders Raw Data'!BU68</f>
        <v>0</v>
      </c>
      <c r="R68">
        <f>'Feeders Raw Data'!BL68-'Feeders Raw Data'!BV68</f>
        <v>0</v>
      </c>
      <c r="S68">
        <f>'Feeders Raw Data'!BM68-'Feeders Raw Data'!BW68</f>
        <v>0</v>
      </c>
      <c r="T68" t="str">
        <f>'Feeders Raw Data'!BQ68&amp;" - "&amp;'Feeders Raw Data'!CA68</f>
        <v xml:space="preserve"> - </v>
      </c>
      <c r="V68" s="1">
        <f>'Feeders Raw Data'!K68</f>
        <v>0</v>
      </c>
      <c r="W68">
        <f>'Feeders Raw Data'!L68-'Feeders Raw Data'!V68</f>
        <v>0</v>
      </c>
      <c r="X68">
        <f>'Feeders Raw Data'!M68-'Feeders Raw Data'!W68</f>
        <v>0</v>
      </c>
      <c r="Y68">
        <f>'Feeders Raw Data'!N68-'Feeders Raw Data'!X68</f>
        <v>0</v>
      </c>
      <c r="Z68">
        <f>'Feeders Raw Data'!O68-'Feeders Raw Data'!Y68</f>
        <v>0</v>
      </c>
      <c r="AA68" t="str">
        <f>'Feeders Raw Data'!S68&amp;" - "&amp;'Feeders Raw Data'!AC68</f>
        <v xml:space="preserve"> - </v>
      </c>
      <c r="AC68" s="1">
        <f>'Feeders Raw Data'!U68</f>
        <v>0</v>
      </c>
      <c r="AD68">
        <f>'Feeders Raw Data'!V68-'Feeders Raw Data'!AF68</f>
        <v>0</v>
      </c>
      <c r="AE68">
        <f>'Feeders Raw Data'!W68-'Feeders Raw Data'!AG68</f>
        <v>0</v>
      </c>
      <c r="AF68">
        <f>'Feeders Raw Data'!X68-'Feeders Raw Data'!AH68</f>
        <v>0</v>
      </c>
      <c r="AG68">
        <f>'Feeders Raw Data'!Y68-'Feeders Raw Data'!AI68</f>
        <v>0</v>
      </c>
      <c r="AH68" t="str">
        <f>'Feeders Raw Data'!AC68&amp;" - "&amp;'Feeders Raw Data'!AM68</f>
        <v xml:space="preserve"> - </v>
      </c>
      <c r="AJ68" s="1">
        <f>'Feeders Raw Data'!AO68</f>
        <v>0</v>
      </c>
      <c r="AK68">
        <f>'Feeders Raw Data'!AP68-'Feeders Raw Data'!AZ68</f>
        <v>0</v>
      </c>
      <c r="AL68">
        <f>'Feeders Raw Data'!AQ68-'Feeders Raw Data'!BA68</f>
        <v>0</v>
      </c>
      <c r="AM68">
        <f>'Feeders Raw Data'!AR68-'Feeders Raw Data'!BB68</f>
        <v>0</v>
      </c>
      <c r="AN68">
        <f>'Feeders Raw Data'!AS68-'Feeders Raw Data'!BC68</f>
        <v>0</v>
      </c>
      <c r="AO68" t="str">
        <f>'Feeders Raw Data'!AW68&amp;" - "&amp;'Feeders Raw Data'!BG68</f>
        <v xml:space="preserve"> - </v>
      </c>
      <c r="AQ68" s="1">
        <f>'Feeders Raw Data'!AY68</f>
        <v>0</v>
      </c>
      <c r="AR68">
        <f>'Feeders Raw Data'!AZ68-'Feeders Raw Data'!BJ68</f>
        <v>0</v>
      </c>
      <c r="AS68">
        <f>'Feeders Raw Data'!BA68-'Feeders Raw Data'!BK68</f>
        <v>0</v>
      </c>
      <c r="AT68">
        <f>'Feeders Raw Data'!BB68-'Feeders Raw Data'!BL68</f>
        <v>0</v>
      </c>
      <c r="AU68">
        <f>'Feeders Raw Data'!BC68-'Feeders Raw Data'!BM68</f>
        <v>0</v>
      </c>
      <c r="AV68" t="str">
        <f>'Feeders Raw Data'!BG68&amp;" - "&amp;'Feeders Raw Data'!BQ68</f>
        <v xml:space="preserve"> - </v>
      </c>
      <c r="AX68" s="1">
        <f>'Feeders Raw Data'!BS68</f>
        <v>0</v>
      </c>
      <c r="AY68">
        <f>'Feeders Raw Data'!BT68-'Feeders Raw Data'!B68</f>
        <v>0</v>
      </c>
      <c r="AZ68">
        <f>'Feeders Raw Data'!BU68-'Feeders Raw Data'!C68</f>
        <v>0</v>
      </c>
      <c r="BA68">
        <f>'Feeders Raw Data'!BV68-'Feeders Raw Data'!D68</f>
        <v>0</v>
      </c>
      <c r="BB68">
        <f>'Feeders Raw Data'!BW68-'Feeders Raw Data'!E68</f>
        <v>0</v>
      </c>
      <c r="BC68" t="str">
        <f>'Feeders Raw Data'!CA68&amp;" - "&amp;'Feeders Raw Data'!I68</f>
        <v xml:space="preserve"> - </v>
      </c>
    </row>
    <row r="69" spans="1:55" x14ac:dyDescent="0.25">
      <c r="A69" s="1">
        <f>'Feeders Raw Data'!A69</f>
        <v>0</v>
      </c>
      <c r="B69">
        <f>'Feeders Raw Data'!B69-'Feeders Raw Data'!L69</f>
        <v>0</v>
      </c>
      <c r="C69">
        <f>'Feeders Raw Data'!C69-'Feeders Raw Data'!M69</f>
        <v>0</v>
      </c>
      <c r="D69">
        <f>'Feeders Raw Data'!D69-'Feeders Raw Data'!N69</f>
        <v>0</v>
      </c>
      <c r="E69">
        <f>'Feeders Raw Data'!E69-'Feeders Raw Data'!O69</f>
        <v>0</v>
      </c>
      <c r="F69" t="str">
        <f>'Feeders Raw Data'!I69&amp;" - "&amp;'Feeders Raw Data'!S69</f>
        <v xml:space="preserve"> - </v>
      </c>
      <c r="H69" s="1">
        <f>'Feeders Raw Data'!AE69</f>
        <v>0</v>
      </c>
      <c r="I69">
        <f>'Feeders Raw Data'!AF69-'Feeders Raw Data'!AP69</f>
        <v>0</v>
      </c>
      <c r="J69">
        <f>'Feeders Raw Data'!AG69-'Feeders Raw Data'!AQ69</f>
        <v>0</v>
      </c>
      <c r="K69">
        <f>'Feeders Raw Data'!AH69-'Feeders Raw Data'!AR69</f>
        <v>0</v>
      </c>
      <c r="L69">
        <f>'Feeders Raw Data'!AI69-'Feeders Raw Data'!AS69</f>
        <v>0</v>
      </c>
      <c r="M69" t="str">
        <f>'Feeders Raw Data'!AM69&amp;" - "&amp;'Feeders Raw Data'!AW69</f>
        <v xml:space="preserve"> - </v>
      </c>
      <c r="O69" s="1">
        <f>'Feeders Raw Data'!BI69</f>
        <v>0</v>
      </c>
      <c r="P69">
        <f>'Feeders Raw Data'!BJ69-'Feeders Raw Data'!BT69</f>
        <v>0</v>
      </c>
      <c r="Q69">
        <f>'Feeders Raw Data'!BK69-'Feeders Raw Data'!BU69</f>
        <v>0</v>
      </c>
      <c r="R69">
        <f>'Feeders Raw Data'!BL69-'Feeders Raw Data'!BV69</f>
        <v>0</v>
      </c>
      <c r="S69">
        <f>'Feeders Raw Data'!BM69-'Feeders Raw Data'!BW69</f>
        <v>0</v>
      </c>
      <c r="T69" t="str">
        <f>'Feeders Raw Data'!BQ69&amp;" - "&amp;'Feeders Raw Data'!CA69</f>
        <v xml:space="preserve"> - </v>
      </c>
      <c r="V69" s="1">
        <f>'Feeders Raw Data'!K69</f>
        <v>0</v>
      </c>
      <c r="W69">
        <f>'Feeders Raw Data'!L69-'Feeders Raw Data'!V69</f>
        <v>0</v>
      </c>
      <c r="X69">
        <f>'Feeders Raw Data'!M69-'Feeders Raw Data'!W69</f>
        <v>0</v>
      </c>
      <c r="Y69">
        <f>'Feeders Raw Data'!N69-'Feeders Raw Data'!X69</f>
        <v>0</v>
      </c>
      <c r="Z69">
        <f>'Feeders Raw Data'!O69-'Feeders Raw Data'!Y69</f>
        <v>0</v>
      </c>
      <c r="AA69" t="str">
        <f>'Feeders Raw Data'!S69&amp;" - "&amp;'Feeders Raw Data'!AC69</f>
        <v xml:space="preserve"> - </v>
      </c>
      <c r="AC69" s="1">
        <f>'Feeders Raw Data'!U69</f>
        <v>0</v>
      </c>
      <c r="AD69">
        <f>'Feeders Raw Data'!V69-'Feeders Raw Data'!AF69</f>
        <v>0</v>
      </c>
      <c r="AE69">
        <f>'Feeders Raw Data'!W69-'Feeders Raw Data'!AG69</f>
        <v>0</v>
      </c>
      <c r="AF69">
        <f>'Feeders Raw Data'!X69-'Feeders Raw Data'!AH69</f>
        <v>0</v>
      </c>
      <c r="AG69">
        <f>'Feeders Raw Data'!Y69-'Feeders Raw Data'!AI69</f>
        <v>0</v>
      </c>
      <c r="AH69" t="str">
        <f>'Feeders Raw Data'!AC69&amp;" - "&amp;'Feeders Raw Data'!AM69</f>
        <v xml:space="preserve"> - </v>
      </c>
      <c r="AJ69" s="1">
        <f>'Feeders Raw Data'!AO69</f>
        <v>0</v>
      </c>
      <c r="AK69">
        <f>'Feeders Raw Data'!AP69-'Feeders Raw Data'!AZ69</f>
        <v>0</v>
      </c>
      <c r="AL69">
        <f>'Feeders Raw Data'!AQ69-'Feeders Raw Data'!BA69</f>
        <v>0</v>
      </c>
      <c r="AM69">
        <f>'Feeders Raw Data'!AR69-'Feeders Raw Data'!BB69</f>
        <v>0</v>
      </c>
      <c r="AN69">
        <f>'Feeders Raw Data'!AS69-'Feeders Raw Data'!BC69</f>
        <v>0</v>
      </c>
      <c r="AO69" t="str">
        <f>'Feeders Raw Data'!AW69&amp;" - "&amp;'Feeders Raw Data'!BG69</f>
        <v xml:space="preserve"> - </v>
      </c>
      <c r="AQ69" s="1">
        <f>'Feeders Raw Data'!AY69</f>
        <v>0</v>
      </c>
      <c r="AR69">
        <f>'Feeders Raw Data'!AZ69-'Feeders Raw Data'!BJ69</f>
        <v>0</v>
      </c>
      <c r="AS69">
        <f>'Feeders Raw Data'!BA69-'Feeders Raw Data'!BK69</f>
        <v>0</v>
      </c>
      <c r="AT69">
        <f>'Feeders Raw Data'!BB69-'Feeders Raw Data'!BL69</f>
        <v>0</v>
      </c>
      <c r="AU69">
        <f>'Feeders Raw Data'!BC69-'Feeders Raw Data'!BM69</f>
        <v>0</v>
      </c>
      <c r="AV69" t="str">
        <f>'Feeders Raw Data'!BG69&amp;" - "&amp;'Feeders Raw Data'!BQ69</f>
        <v xml:space="preserve"> - </v>
      </c>
      <c r="AX69" s="1">
        <f>'Feeders Raw Data'!BS69</f>
        <v>0</v>
      </c>
      <c r="AY69">
        <f>'Feeders Raw Data'!BT69-'Feeders Raw Data'!B69</f>
        <v>0</v>
      </c>
      <c r="AZ69">
        <f>'Feeders Raw Data'!BU69-'Feeders Raw Data'!C69</f>
        <v>0</v>
      </c>
      <c r="BA69">
        <f>'Feeders Raw Data'!BV69-'Feeders Raw Data'!D69</f>
        <v>0</v>
      </c>
      <c r="BB69">
        <f>'Feeders Raw Data'!BW69-'Feeders Raw Data'!E69</f>
        <v>0</v>
      </c>
      <c r="BC69" t="str">
        <f>'Feeders Raw Data'!CA69&amp;" - "&amp;'Feeders Raw Data'!I69</f>
        <v xml:space="preserve"> - </v>
      </c>
    </row>
    <row r="70" spans="1:55" x14ac:dyDescent="0.25">
      <c r="A70" s="1">
        <f>'Feeders Raw Data'!A70</f>
        <v>0</v>
      </c>
      <c r="B70">
        <f>'Feeders Raw Data'!B70-'Feeders Raw Data'!L70</f>
        <v>0</v>
      </c>
      <c r="C70">
        <f>'Feeders Raw Data'!C70-'Feeders Raw Data'!M70</f>
        <v>0</v>
      </c>
      <c r="D70">
        <f>'Feeders Raw Data'!D70-'Feeders Raw Data'!N70</f>
        <v>0</v>
      </c>
      <c r="E70">
        <f>'Feeders Raw Data'!E70-'Feeders Raw Data'!O70</f>
        <v>0</v>
      </c>
      <c r="F70" t="str">
        <f>'Feeders Raw Data'!I70&amp;" - "&amp;'Feeders Raw Data'!S70</f>
        <v xml:space="preserve"> - </v>
      </c>
      <c r="H70" s="1">
        <f>'Feeders Raw Data'!AE70</f>
        <v>0</v>
      </c>
      <c r="I70">
        <f>'Feeders Raw Data'!AF70-'Feeders Raw Data'!AP70</f>
        <v>0</v>
      </c>
      <c r="J70">
        <f>'Feeders Raw Data'!AG70-'Feeders Raw Data'!AQ70</f>
        <v>0</v>
      </c>
      <c r="K70">
        <f>'Feeders Raw Data'!AH70-'Feeders Raw Data'!AR70</f>
        <v>0</v>
      </c>
      <c r="L70">
        <f>'Feeders Raw Data'!AI70-'Feeders Raw Data'!AS70</f>
        <v>0</v>
      </c>
      <c r="M70" t="str">
        <f>'Feeders Raw Data'!AM70&amp;" - "&amp;'Feeders Raw Data'!AW70</f>
        <v xml:space="preserve"> - </v>
      </c>
      <c r="O70" s="1">
        <f>'Feeders Raw Data'!BI70</f>
        <v>0</v>
      </c>
      <c r="P70">
        <f>'Feeders Raw Data'!BJ70-'Feeders Raw Data'!BT70</f>
        <v>0</v>
      </c>
      <c r="Q70">
        <f>'Feeders Raw Data'!BK70-'Feeders Raw Data'!BU70</f>
        <v>0</v>
      </c>
      <c r="R70">
        <f>'Feeders Raw Data'!BL70-'Feeders Raw Data'!BV70</f>
        <v>0</v>
      </c>
      <c r="S70">
        <f>'Feeders Raw Data'!BM70-'Feeders Raw Data'!BW70</f>
        <v>0</v>
      </c>
      <c r="T70" t="str">
        <f>'Feeders Raw Data'!BQ70&amp;" - "&amp;'Feeders Raw Data'!CA70</f>
        <v xml:space="preserve"> - </v>
      </c>
      <c r="V70" s="1">
        <f>'Feeders Raw Data'!K70</f>
        <v>0</v>
      </c>
      <c r="W70">
        <f>'Feeders Raw Data'!L70-'Feeders Raw Data'!V70</f>
        <v>0</v>
      </c>
      <c r="X70">
        <f>'Feeders Raw Data'!M70-'Feeders Raw Data'!W70</f>
        <v>0</v>
      </c>
      <c r="Y70">
        <f>'Feeders Raw Data'!N70-'Feeders Raw Data'!X70</f>
        <v>0</v>
      </c>
      <c r="Z70">
        <f>'Feeders Raw Data'!O70-'Feeders Raw Data'!Y70</f>
        <v>0</v>
      </c>
      <c r="AA70" t="str">
        <f>'Feeders Raw Data'!S70&amp;" - "&amp;'Feeders Raw Data'!AC70</f>
        <v xml:space="preserve"> - </v>
      </c>
      <c r="AC70" s="1">
        <f>'Feeders Raw Data'!U70</f>
        <v>0</v>
      </c>
      <c r="AD70">
        <f>'Feeders Raw Data'!V70-'Feeders Raw Data'!AF70</f>
        <v>0</v>
      </c>
      <c r="AE70">
        <f>'Feeders Raw Data'!W70-'Feeders Raw Data'!AG70</f>
        <v>0</v>
      </c>
      <c r="AF70">
        <f>'Feeders Raw Data'!X70-'Feeders Raw Data'!AH70</f>
        <v>0</v>
      </c>
      <c r="AG70">
        <f>'Feeders Raw Data'!Y70-'Feeders Raw Data'!AI70</f>
        <v>0</v>
      </c>
      <c r="AH70" t="str">
        <f>'Feeders Raw Data'!AC70&amp;" - "&amp;'Feeders Raw Data'!AM70</f>
        <v xml:space="preserve"> - </v>
      </c>
      <c r="AJ70" s="1">
        <f>'Feeders Raw Data'!AO70</f>
        <v>0</v>
      </c>
      <c r="AK70">
        <f>'Feeders Raw Data'!AP70-'Feeders Raw Data'!AZ70</f>
        <v>0</v>
      </c>
      <c r="AL70">
        <f>'Feeders Raw Data'!AQ70-'Feeders Raw Data'!BA70</f>
        <v>0</v>
      </c>
      <c r="AM70">
        <f>'Feeders Raw Data'!AR70-'Feeders Raw Data'!BB70</f>
        <v>0</v>
      </c>
      <c r="AN70">
        <f>'Feeders Raw Data'!AS70-'Feeders Raw Data'!BC70</f>
        <v>0</v>
      </c>
      <c r="AO70" t="str">
        <f>'Feeders Raw Data'!AW70&amp;" - "&amp;'Feeders Raw Data'!BG70</f>
        <v xml:space="preserve"> - </v>
      </c>
      <c r="AQ70" s="1">
        <f>'Feeders Raw Data'!AY70</f>
        <v>0</v>
      </c>
      <c r="AR70">
        <f>'Feeders Raw Data'!AZ70-'Feeders Raw Data'!BJ70</f>
        <v>0</v>
      </c>
      <c r="AS70">
        <f>'Feeders Raw Data'!BA70-'Feeders Raw Data'!BK70</f>
        <v>0</v>
      </c>
      <c r="AT70">
        <f>'Feeders Raw Data'!BB70-'Feeders Raw Data'!BL70</f>
        <v>0</v>
      </c>
      <c r="AU70">
        <f>'Feeders Raw Data'!BC70-'Feeders Raw Data'!BM70</f>
        <v>0</v>
      </c>
      <c r="AV70" t="str">
        <f>'Feeders Raw Data'!BG70&amp;" - "&amp;'Feeders Raw Data'!BQ70</f>
        <v xml:space="preserve"> - </v>
      </c>
      <c r="AX70" s="1">
        <f>'Feeders Raw Data'!BS70</f>
        <v>0</v>
      </c>
      <c r="AY70">
        <f>'Feeders Raw Data'!BT70-'Feeders Raw Data'!B70</f>
        <v>0</v>
      </c>
      <c r="AZ70">
        <f>'Feeders Raw Data'!BU70-'Feeders Raw Data'!C70</f>
        <v>0</v>
      </c>
      <c r="BA70">
        <f>'Feeders Raw Data'!BV70-'Feeders Raw Data'!D70</f>
        <v>0</v>
      </c>
      <c r="BB70">
        <f>'Feeders Raw Data'!BW70-'Feeders Raw Data'!E70</f>
        <v>0</v>
      </c>
      <c r="BC70" t="str">
        <f>'Feeders Raw Data'!CA70&amp;" - "&amp;'Feeders Raw Data'!I70</f>
        <v xml:space="preserve"> - </v>
      </c>
    </row>
    <row r="71" spans="1:55" x14ac:dyDescent="0.25">
      <c r="A71" s="1">
        <f>'Feeders Raw Data'!A71</f>
        <v>0</v>
      </c>
      <c r="B71">
        <f>'Feeders Raw Data'!B71-'Feeders Raw Data'!L71</f>
        <v>0</v>
      </c>
      <c r="C71">
        <f>'Feeders Raw Data'!C71-'Feeders Raw Data'!M71</f>
        <v>0</v>
      </c>
      <c r="D71">
        <f>'Feeders Raw Data'!D71-'Feeders Raw Data'!N71</f>
        <v>0</v>
      </c>
      <c r="E71">
        <f>'Feeders Raw Data'!E71-'Feeders Raw Data'!O71</f>
        <v>0</v>
      </c>
      <c r="F71" t="str">
        <f>'Feeders Raw Data'!I71&amp;" - "&amp;'Feeders Raw Data'!S71</f>
        <v xml:space="preserve"> - </v>
      </c>
      <c r="H71" s="1">
        <f>'Feeders Raw Data'!AE71</f>
        <v>0</v>
      </c>
      <c r="I71">
        <f>'Feeders Raw Data'!AF71-'Feeders Raw Data'!AP71</f>
        <v>0</v>
      </c>
      <c r="J71">
        <f>'Feeders Raw Data'!AG71-'Feeders Raw Data'!AQ71</f>
        <v>0</v>
      </c>
      <c r="K71">
        <f>'Feeders Raw Data'!AH71-'Feeders Raw Data'!AR71</f>
        <v>0</v>
      </c>
      <c r="L71">
        <f>'Feeders Raw Data'!AI71-'Feeders Raw Data'!AS71</f>
        <v>0</v>
      </c>
      <c r="M71" t="str">
        <f>'Feeders Raw Data'!AM71&amp;" - "&amp;'Feeders Raw Data'!AW71</f>
        <v xml:space="preserve"> - </v>
      </c>
      <c r="O71" s="1">
        <f>'Feeders Raw Data'!BI71</f>
        <v>0</v>
      </c>
      <c r="P71">
        <f>'Feeders Raw Data'!BJ71-'Feeders Raw Data'!BT71</f>
        <v>0</v>
      </c>
      <c r="Q71">
        <f>'Feeders Raw Data'!BK71-'Feeders Raw Data'!BU71</f>
        <v>0</v>
      </c>
      <c r="R71">
        <f>'Feeders Raw Data'!BL71-'Feeders Raw Data'!BV71</f>
        <v>0</v>
      </c>
      <c r="S71">
        <f>'Feeders Raw Data'!BM71-'Feeders Raw Data'!BW71</f>
        <v>0</v>
      </c>
      <c r="T71" t="str">
        <f>'Feeders Raw Data'!BQ71&amp;" - "&amp;'Feeders Raw Data'!CA71</f>
        <v xml:space="preserve"> - </v>
      </c>
      <c r="V71" s="1">
        <f>'Feeders Raw Data'!K71</f>
        <v>0</v>
      </c>
      <c r="W71">
        <f>'Feeders Raw Data'!L71-'Feeders Raw Data'!V71</f>
        <v>0</v>
      </c>
      <c r="X71">
        <f>'Feeders Raw Data'!M71-'Feeders Raw Data'!W71</f>
        <v>0</v>
      </c>
      <c r="Y71">
        <f>'Feeders Raw Data'!N71-'Feeders Raw Data'!X71</f>
        <v>0</v>
      </c>
      <c r="Z71">
        <f>'Feeders Raw Data'!O71-'Feeders Raw Data'!Y71</f>
        <v>0</v>
      </c>
      <c r="AA71" t="str">
        <f>'Feeders Raw Data'!S71&amp;" - "&amp;'Feeders Raw Data'!AC71</f>
        <v xml:space="preserve"> - </v>
      </c>
      <c r="AC71" s="1">
        <f>'Feeders Raw Data'!U71</f>
        <v>0</v>
      </c>
      <c r="AD71">
        <f>'Feeders Raw Data'!V71-'Feeders Raw Data'!AF71</f>
        <v>0</v>
      </c>
      <c r="AE71">
        <f>'Feeders Raw Data'!W71-'Feeders Raw Data'!AG71</f>
        <v>0</v>
      </c>
      <c r="AF71">
        <f>'Feeders Raw Data'!X71-'Feeders Raw Data'!AH71</f>
        <v>0</v>
      </c>
      <c r="AG71">
        <f>'Feeders Raw Data'!Y71-'Feeders Raw Data'!AI71</f>
        <v>0</v>
      </c>
      <c r="AH71" t="str">
        <f>'Feeders Raw Data'!AC71&amp;" - "&amp;'Feeders Raw Data'!AM71</f>
        <v xml:space="preserve"> - </v>
      </c>
      <c r="AJ71" s="1">
        <f>'Feeders Raw Data'!AO71</f>
        <v>0</v>
      </c>
      <c r="AK71">
        <f>'Feeders Raw Data'!AP71-'Feeders Raw Data'!AZ71</f>
        <v>0</v>
      </c>
      <c r="AL71">
        <f>'Feeders Raw Data'!AQ71-'Feeders Raw Data'!BA71</f>
        <v>0</v>
      </c>
      <c r="AM71">
        <f>'Feeders Raw Data'!AR71-'Feeders Raw Data'!BB71</f>
        <v>0</v>
      </c>
      <c r="AN71">
        <f>'Feeders Raw Data'!AS71-'Feeders Raw Data'!BC71</f>
        <v>0</v>
      </c>
      <c r="AO71" t="str">
        <f>'Feeders Raw Data'!AW71&amp;" - "&amp;'Feeders Raw Data'!BG71</f>
        <v xml:space="preserve"> - </v>
      </c>
      <c r="AQ71" s="1">
        <f>'Feeders Raw Data'!AY71</f>
        <v>0</v>
      </c>
      <c r="AR71">
        <f>'Feeders Raw Data'!AZ71-'Feeders Raw Data'!BJ71</f>
        <v>0</v>
      </c>
      <c r="AS71">
        <f>'Feeders Raw Data'!BA71-'Feeders Raw Data'!BK71</f>
        <v>0</v>
      </c>
      <c r="AT71">
        <f>'Feeders Raw Data'!BB71-'Feeders Raw Data'!BL71</f>
        <v>0</v>
      </c>
      <c r="AU71">
        <f>'Feeders Raw Data'!BC71-'Feeders Raw Data'!BM71</f>
        <v>0</v>
      </c>
      <c r="AV71" t="str">
        <f>'Feeders Raw Data'!BG71&amp;" - "&amp;'Feeders Raw Data'!BQ71</f>
        <v xml:space="preserve"> - </v>
      </c>
      <c r="AX71" s="1">
        <f>'Feeders Raw Data'!BS71</f>
        <v>0</v>
      </c>
      <c r="AY71">
        <f>'Feeders Raw Data'!BT71-'Feeders Raw Data'!B71</f>
        <v>0</v>
      </c>
      <c r="AZ71">
        <f>'Feeders Raw Data'!BU71-'Feeders Raw Data'!C71</f>
        <v>0</v>
      </c>
      <c r="BA71">
        <f>'Feeders Raw Data'!BV71-'Feeders Raw Data'!D71</f>
        <v>0</v>
      </c>
      <c r="BB71">
        <f>'Feeders Raw Data'!BW71-'Feeders Raw Data'!E71</f>
        <v>0</v>
      </c>
      <c r="BC71" t="str">
        <f>'Feeders Raw Data'!CA71&amp;" - "&amp;'Feeders Raw Data'!I71</f>
        <v xml:space="preserve"> - </v>
      </c>
    </row>
    <row r="72" spans="1:55" x14ac:dyDescent="0.25">
      <c r="A72" s="1">
        <f>'Feeders Raw Data'!A72</f>
        <v>0</v>
      </c>
      <c r="B72">
        <f>'Feeders Raw Data'!B72-'Feeders Raw Data'!L72</f>
        <v>0</v>
      </c>
      <c r="C72">
        <f>'Feeders Raw Data'!C72-'Feeders Raw Data'!M72</f>
        <v>0</v>
      </c>
      <c r="D72">
        <f>'Feeders Raw Data'!D72-'Feeders Raw Data'!N72</f>
        <v>0</v>
      </c>
      <c r="E72">
        <f>'Feeders Raw Data'!E72-'Feeders Raw Data'!O72</f>
        <v>0</v>
      </c>
      <c r="F72" t="str">
        <f>'Feeders Raw Data'!I72&amp;" - "&amp;'Feeders Raw Data'!S72</f>
        <v xml:space="preserve"> - </v>
      </c>
      <c r="H72" s="1">
        <f>'Feeders Raw Data'!AE72</f>
        <v>0</v>
      </c>
      <c r="I72">
        <f>'Feeders Raw Data'!AF72-'Feeders Raw Data'!AP72</f>
        <v>0</v>
      </c>
      <c r="J72">
        <f>'Feeders Raw Data'!AG72-'Feeders Raw Data'!AQ72</f>
        <v>0</v>
      </c>
      <c r="K72">
        <f>'Feeders Raw Data'!AH72-'Feeders Raw Data'!AR72</f>
        <v>0</v>
      </c>
      <c r="L72">
        <f>'Feeders Raw Data'!AI72-'Feeders Raw Data'!AS72</f>
        <v>0</v>
      </c>
      <c r="M72" t="str">
        <f>'Feeders Raw Data'!AM72&amp;" - "&amp;'Feeders Raw Data'!AW72</f>
        <v xml:space="preserve"> - </v>
      </c>
      <c r="O72" s="1">
        <f>'Feeders Raw Data'!BI72</f>
        <v>0</v>
      </c>
      <c r="P72">
        <f>'Feeders Raw Data'!BJ72-'Feeders Raw Data'!BT72</f>
        <v>0</v>
      </c>
      <c r="Q72">
        <f>'Feeders Raw Data'!BK72-'Feeders Raw Data'!BU72</f>
        <v>0</v>
      </c>
      <c r="R72">
        <f>'Feeders Raw Data'!BL72-'Feeders Raw Data'!BV72</f>
        <v>0</v>
      </c>
      <c r="S72">
        <f>'Feeders Raw Data'!BM72-'Feeders Raw Data'!BW72</f>
        <v>0</v>
      </c>
      <c r="T72" t="str">
        <f>'Feeders Raw Data'!BQ72&amp;" - "&amp;'Feeders Raw Data'!CA72</f>
        <v xml:space="preserve"> - </v>
      </c>
      <c r="V72" s="1">
        <f>'Feeders Raw Data'!K72</f>
        <v>0</v>
      </c>
      <c r="W72">
        <f>'Feeders Raw Data'!L72-'Feeders Raw Data'!V72</f>
        <v>0</v>
      </c>
      <c r="X72">
        <f>'Feeders Raw Data'!M72-'Feeders Raw Data'!W72</f>
        <v>0</v>
      </c>
      <c r="Y72">
        <f>'Feeders Raw Data'!N72-'Feeders Raw Data'!X72</f>
        <v>0</v>
      </c>
      <c r="Z72">
        <f>'Feeders Raw Data'!O72-'Feeders Raw Data'!Y72</f>
        <v>0</v>
      </c>
      <c r="AA72" t="str">
        <f>'Feeders Raw Data'!S72&amp;" - "&amp;'Feeders Raw Data'!AC72</f>
        <v xml:space="preserve"> - </v>
      </c>
      <c r="AC72" s="1">
        <f>'Feeders Raw Data'!U72</f>
        <v>0</v>
      </c>
      <c r="AD72">
        <f>'Feeders Raw Data'!V72-'Feeders Raw Data'!AF72</f>
        <v>0</v>
      </c>
      <c r="AE72">
        <f>'Feeders Raw Data'!W72-'Feeders Raw Data'!AG72</f>
        <v>0</v>
      </c>
      <c r="AF72">
        <f>'Feeders Raw Data'!X72-'Feeders Raw Data'!AH72</f>
        <v>0</v>
      </c>
      <c r="AG72">
        <f>'Feeders Raw Data'!Y72-'Feeders Raw Data'!AI72</f>
        <v>0</v>
      </c>
      <c r="AH72" t="str">
        <f>'Feeders Raw Data'!AC72&amp;" - "&amp;'Feeders Raw Data'!AM72</f>
        <v xml:space="preserve"> - </v>
      </c>
      <c r="AJ72" s="1">
        <f>'Feeders Raw Data'!AO72</f>
        <v>0</v>
      </c>
      <c r="AK72">
        <f>'Feeders Raw Data'!AP72-'Feeders Raw Data'!AZ72</f>
        <v>0</v>
      </c>
      <c r="AL72">
        <f>'Feeders Raw Data'!AQ72-'Feeders Raw Data'!BA72</f>
        <v>0</v>
      </c>
      <c r="AM72">
        <f>'Feeders Raw Data'!AR72-'Feeders Raw Data'!BB72</f>
        <v>0</v>
      </c>
      <c r="AN72">
        <f>'Feeders Raw Data'!AS72-'Feeders Raw Data'!BC72</f>
        <v>0</v>
      </c>
      <c r="AO72" t="str">
        <f>'Feeders Raw Data'!AW72&amp;" - "&amp;'Feeders Raw Data'!BG72</f>
        <v xml:space="preserve"> - </v>
      </c>
      <c r="AQ72" s="1">
        <f>'Feeders Raw Data'!AY72</f>
        <v>0</v>
      </c>
      <c r="AR72">
        <f>'Feeders Raw Data'!AZ72-'Feeders Raw Data'!BJ72</f>
        <v>0</v>
      </c>
      <c r="AS72">
        <f>'Feeders Raw Data'!BA72-'Feeders Raw Data'!BK72</f>
        <v>0</v>
      </c>
      <c r="AT72">
        <f>'Feeders Raw Data'!BB72-'Feeders Raw Data'!BL72</f>
        <v>0</v>
      </c>
      <c r="AU72">
        <f>'Feeders Raw Data'!BC72-'Feeders Raw Data'!BM72</f>
        <v>0</v>
      </c>
      <c r="AV72" t="str">
        <f>'Feeders Raw Data'!BG72&amp;" - "&amp;'Feeders Raw Data'!BQ72</f>
        <v xml:space="preserve"> - </v>
      </c>
      <c r="AX72" s="1">
        <f>'Feeders Raw Data'!BS72</f>
        <v>0</v>
      </c>
      <c r="AY72">
        <f>'Feeders Raw Data'!BT72-'Feeders Raw Data'!B72</f>
        <v>0</v>
      </c>
      <c r="AZ72">
        <f>'Feeders Raw Data'!BU72-'Feeders Raw Data'!C72</f>
        <v>0</v>
      </c>
      <c r="BA72">
        <f>'Feeders Raw Data'!BV72-'Feeders Raw Data'!D72</f>
        <v>0</v>
      </c>
      <c r="BB72">
        <f>'Feeders Raw Data'!BW72-'Feeders Raw Data'!E72</f>
        <v>0</v>
      </c>
      <c r="BC72" t="str">
        <f>'Feeders Raw Data'!CA72&amp;" - "&amp;'Feeders Raw Data'!I72</f>
        <v xml:space="preserve"> - </v>
      </c>
    </row>
    <row r="73" spans="1:55" x14ac:dyDescent="0.25">
      <c r="A73" s="1">
        <f>'Feeders Raw Data'!A73</f>
        <v>0</v>
      </c>
      <c r="B73">
        <f>'Feeders Raw Data'!B73-'Feeders Raw Data'!L73</f>
        <v>0</v>
      </c>
      <c r="C73">
        <f>'Feeders Raw Data'!C73-'Feeders Raw Data'!M73</f>
        <v>0</v>
      </c>
      <c r="D73">
        <f>'Feeders Raw Data'!D73-'Feeders Raw Data'!N73</f>
        <v>0</v>
      </c>
      <c r="E73">
        <f>'Feeders Raw Data'!E73-'Feeders Raw Data'!O73</f>
        <v>0</v>
      </c>
      <c r="F73" t="str">
        <f>'Feeders Raw Data'!I73&amp;" - "&amp;'Feeders Raw Data'!S73</f>
        <v xml:space="preserve"> - </v>
      </c>
      <c r="H73" s="1">
        <f>'Feeders Raw Data'!AE73</f>
        <v>0</v>
      </c>
      <c r="I73">
        <f>'Feeders Raw Data'!AF73-'Feeders Raw Data'!AP73</f>
        <v>0</v>
      </c>
      <c r="J73">
        <f>'Feeders Raw Data'!AG73-'Feeders Raw Data'!AQ73</f>
        <v>0</v>
      </c>
      <c r="K73">
        <f>'Feeders Raw Data'!AH73-'Feeders Raw Data'!AR73</f>
        <v>0</v>
      </c>
      <c r="L73">
        <f>'Feeders Raw Data'!AI73-'Feeders Raw Data'!AS73</f>
        <v>0</v>
      </c>
      <c r="M73" t="str">
        <f>'Feeders Raw Data'!AM73&amp;" - "&amp;'Feeders Raw Data'!AW73</f>
        <v xml:space="preserve"> - </v>
      </c>
      <c r="O73" s="1">
        <f>'Feeders Raw Data'!BI73</f>
        <v>0</v>
      </c>
      <c r="P73">
        <f>'Feeders Raw Data'!BJ73-'Feeders Raw Data'!BT73</f>
        <v>0</v>
      </c>
      <c r="Q73">
        <f>'Feeders Raw Data'!BK73-'Feeders Raw Data'!BU73</f>
        <v>0</v>
      </c>
      <c r="R73">
        <f>'Feeders Raw Data'!BL73-'Feeders Raw Data'!BV73</f>
        <v>0</v>
      </c>
      <c r="S73">
        <f>'Feeders Raw Data'!BM73-'Feeders Raw Data'!BW73</f>
        <v>0</v>
      </c>
      <c r="T73" t="str">
        <f>'Feeders Raw Data'!BQ73&amp;" - "&amp;'Feeders Raw Data'!CA73</f>
        <v xml:space="preserve"> - </v>
      </c>
      <c r="V73" s="1">
        <f>'Feeders Raw Data'!K73</f>
        <v>0</v>
      </c>
      <c r="W73">
        <f>'Feeders Raw Data'!L73-'Feeders Raw Data'!V73</f>
        <v>0</v>
      </c>
      <c r="X73">
        <f>'Feeders Raw Data'!M73-'Feeders Raw Data'!W73</f>
        <v>0</v>
      </c>
      <c r="Y73">
        <f>'Feeders Raw Data'!N73-'Feeders Raw Data'!X73</f>
        <v>0</v>
      </c>
      <c r="Z73">
        <f>'Feeders Raw Data'!O73-'Feeders Raw Data'!Y73</f>
        <v>0</v>
      </c>
      <c r="AA73" t="str">
        <f>'Feeders Raw Data'!S73&amp;" - "&amp;'Feeders Raw Data'!AC73</f>
        <v xml:space="preserve"> - </v>
      </c>
      <c r="AC73" s="1">
        <f>'Feeders Raw Data'!U73</f>
        <v>0</v>
      </c>
      <c r="AD73">
        <f>'Feeders Raw Data'!V73-'Feeders Raw Data'!AF73</f>
        <v>0</v>
      </c>
      <c r="AE73">
        <f>'Feeders Raw Data'!W73-'Feeders Raw Data'!AG73</f>
        <v>0</v>
      </c>
      <c r="AF73">
        <f>'Feeders Raw Data'!X73-'Feeders Raw Data'!AH73</f>
        <v>0</v>
      </c>
      <c r="AG73">
        <f>'Feeders Raw Data'!Y73-'Feeders Raw Data'!AI73</f>
        <v>0</v>
      </c>
      <c r="AH73" t="str">
        <f>'Feeders Raw Data'!AC73&amp;" - "&amp;'Feeders Raw Data'!AM73</f>
        <v xml:space="preserve"> - </v>
      </c>
      <c r="AJ73" s="1">
        <f>'Feeders Raw Data'!AO73</f>
        <v>0</v>
      </c>
      <c r="AK73">
        <f>'Feeders Raw Data'!AP73-'Feeders Raw Data'!AZ73</f>
        <v>0</v>
      </c>
      <c r="AL73">
        <f>'Feeders Raw Data'!AQ73-'Feeders Raw Data'!BA73</f>
        <v>0</v>
      </c>
      <c r="AM73">
        <f>'Feeders Raw Data'!AR73-'Feeders Raw Data'!BB73</f>
        <v>0</v>
      </c>
      <c r="AN73">
        <f>'Feeders Raw Data'!AS73-'Feeders Raw Data'!BC73</f>
        <v>0</v>
      </c>
      <c r="AO73" t="str">
        <f>'Feeders Raw Data'!AW73&amp;" - "&amp;'Feeders Raw Data'!BG73</f>
        <v xml:space="preserve"> - </v>
      </c>
      <c r="AQ73" s="1">
        <f>'Feeders Raw Data'!AY73</f>
        <v>0</v>
      </c>
      <c r="AR73">
        <f>'Feeders Raw Data'!AZ73-'Feeders Raw Data'!BJ73</f>
        <v>0</v>
      </c>
      <c r="AS73">
        <f>'Feeders Raw Data'!BA73-'Feeders Raw Data'!BK73</f>
        <v>0</v>
      </c>
      <c r="AT73">
        <f>'Feeders Raw Data'!BB73-'Feeders Raw Data'!BL73</f>
        <v>0</v>
      </c>
      <c r="AU73">
        <f>'Feeders Raw Data'!BC73-'Feeders Raw Data'!BM73</f>
        <v>0</v>
      </c>
      <c r="AV73" t="str">
        <f>'Feeders Raw Data'!BG73&amp;" - "&amp;'Feeders Raw Data'!BQ73</f>
        <v xml:space="preserve"> - </v>
      </c>
      <c r="AX73" s="1">
        <f>'Feeders Raw Data'!BS73</f>
        <v>0</v>
      </c>
      <c r="AY73">
        <f>'Feeders Raw Data'!BT73-'Feeders Raw Data'!B73</f>
        <v>0</v>
      </c>
      <c r="AZ73">
        <f>'Feeders Raw Data'!BU73-'Feeders Raw Data'!C73</f>
        <v>0</v>
      </c>
      <c r="BA73">
        <f>'Feeders Raw Data'!BV73-'Feeders Raw Data'!D73</f>
        <v>0</v>
      </c>
      <c r="BB73">
        <f>'Feeders Raw Data'!BW73-'Feeders Raw Data'!E73</f>
        <v>0</v>
      </c>
      <c r="BC73" t="str">
        <f>'Feeders Raw Data'!CA73&amp;" - "&amp;'Feeders Raw Data'!I73</f>
        <v xml:space="preserve"> - </v>
      </c>
    </row>
    <row r="74" spans="1:55" x14ac:dyDescent="0.25">
      <c r="A74" s="1">
        <f>'Feeders Raw Data'!A74</f>
        <v>0</v>
      </c>
      <c r="B74">
        <f>'Feeders Raw Data'!B74-'Feeders Raw Data'!L74</f>
        <v>0</v>
      </c>
      <c r="C74">
        <f>'Feeders Raw Data'!C74-'Feeders Raw Data'!M74</f>
        <v>0</v>
      </c>
      <c r="D74">
        <f>'Feeders Raw Data'!D74-'Feeders Raw Data'!N74</f>
        <v>0</v>
      </c>
      <c r="E74">
        <f>'Feeders Raw Data'!E74-'Feeders Raw Data'!O74</f>
        <v>0</v>
      </c>
      <c r="F74" t="str">
        <f>'Feeders Raw Data'!I74&amp;" - "&amp;'Feeders Raw Data'!S74</f>
        <v xml:space="preserve"> - </v>
      </c>
      <c r="H74" s="1">
        <f>'Feeders Raw Data'!AE74</f>
        <v>0</v>
      </c>
      <c r="I74">
        <f>'Feeders Raw Data'!AF74-'Feeders Raw Data'!AP74</f>
        <v>0</v>
      </c>
      <c r="J74">
        <f>'Feeders Raw Data'!AG74-'Feeders Raw Data'!AQ74</f>
        <v>0</v>
      </c>
      <c r="K74">
        <f>'Feeders Raw Data'!AH74-'Feeders Raw Data'!AR74</f>
        <v>0</v>
      </c>
      <c r="L74">
        <f>'Feeders Raw Data'!AI74-'Feeders Raw Data'!AS74</f>
        <v>0</v>
      </c>
      <c r="M74" t="str">
        <f>'Feeders Raw Data'!AM74&amp;" - "&amp;'Feeders Raw Data'!AW74</f>
        <v xml:space="preserve"> - </v>
      </c>
      <c r="O74" s="1">
        <f>'Feeders Raw Data'!BI74</f>
        <v>0</v>
      </c>
      <c r="P74">
        <f>'Feeders Raw Data'!BJ74-'Feeders Raw Data'!BT74</f>
        <v>0</v>
      </c>
      <c r="Q74">
        <f>'Feeders Raw Data'!BK74-'Feeders Raw Data'!BU74</f>
        <v>0</v>
      </c>
      <c r="R74">
        <f>'Feeders Raw Data'!BL74-'Feeders Raw Data'!BV74</f>
        <v>0</v>
      </c>
      <c r="S74">
        <f>'Feeders Raw Data'!BM74-'Feeders Raw Data'!BW74</f>
        <v>0</v>
      </c>
      <c r="T74" t="str">
        <f>'Feeders Raw Data'!BQ74&amp;" - "&amp;'Feeders Raw Data'!CA74</f>
        <v xml:space="preserve"> - </v>
      </c>
      <c r="V74" s="1">
        <f>'Feeders Raw Data'!K74</f>
        <v>0</v>
      </c>
      <c r="W74">
        <f>'Feeders Raw Data'!L74-'Feeders Raw Data'!V74</f>
        <v>0</v>
      </c>
      <c r="X74">
        <f>'Feeders Raw Data'!M74-'Feeders Raw Data'!W74</f>
        <v>0</v>
      </c>
      <c r="Y74">
        <f>'Feeders Raw Data'!N74-'Feeders Raw Data'!X74</f>
        <v>0</v>
      </c>
      <c r="Z74">
        <f>'Feeders Raw Data'!O74-'Feeders Raw Data'!Y74</f>
        <v>0</v>
      </c>
      <c r="AA74" t="str">
        <f>'Feeders Raw Data'!S74&amp;" - "&amp;'Feeders Raw Data'!AC74</f>
        <v xml:space="preserve"> - </v>
      </c>
      <c r="AC74" s="1">
        <f>'Feeders Raw Data'!U74</f>
        <v>0</v>
      </c>
      <c r="AD74">
        <f>'Feeders Raw Data'!V74-'Feeders Raw Data'!AF74</f>
        <v>0</v>
      </c>
      <c r="AE74">
        <f>'Feeders Raw Data'!W74-'Feeders Raw Data'!AG74</f>
        <v>0</v>
      </c>
      <c r="AF74">
        <f>'Feeders Raw Data'!X74-'Feeders Raw Data'!AH74</f>
        <v>0</v>
      </c>
      <c r="AG74">
        <f>'Feeders Raw Data'!Y74-'Feeders Raw Data'!AI74</f>
        <v>0</v>
      </c>
      <c r="AH74" t="str">
        <f>'Feeders Raw Data'!AC74&amp;" - "&amp;'Feeders Raw Data'!AM74</f>
        <v xml:space="preserve"> - </v>
      </c>
      <c r="AJ74" s="1">
        <f>'Feeders Raw Data'!AO74</f>
        <v>0</v>
      </c>
      <c r="AK74">
        <f>'Feeders Raw Data'!AP74-'Feeders Raw Data'!AZ74</f>
        <v>0</v>
      </c>
      <c r="AL74">
        <f>'Feeders Raw Data'!AQ74-'Feeders Raw Data'!BA74</f>
        <v>0</v>
      </c>
      <c r="AM74">
        <f>'Feeders Raw Data'!AR74-'Feeders Raw Data'!BB74</f>
        <v>0</v>
      </c>
      <c r="AN74">
        <f>'Feeders Raw Data'!AS74-'Feeders Raw Data'!BC74</f>
        <v>0</v>
      </c>
      <c r="AO74" t="str">
        <f>'Feeders Raw Data'!AW74&amp;" - "&amp;'Feeders Raw Data'!BG74</f>
        <v xml:space="preserve"> - </v>
      </c>
      <c r="AQ74" s="1">
        <f>'Feeders Raw Data'!AY74</f>
        <v>0</v>
      </c>
      <c r="AR74">
        <f>'Feeders Raw Data'!AZ74-'Feeders Raw Data'!BJ74</f>
        <v>0</v>
      </c>
      <c r="AS74">
        <f>'Feeders Raw Data'!BA74-'Feeders Raw Data'!BK74</f>
        <v>0</v>
      </c>
      <c r="AT74">
        <f>'Feeders Raw Data'!BB74-'Feeders Raw Data'!BL74</f>
        <v>0</v>
      </c>
      <c r="AU74">
        <f>'Feeders Raw Data'!BC74-'Feeders Raw Data'!BM74</f>
        <v>0</v>
      </c>
      <c r="AV74" t="str">
        <f>'Feeders Raw Data'!BG74&amp;" - "&amp;'Feeders Raw Data'!BQ74</f>
        <v xml:space="preserve"> - </v>
      </c>
      <c r="AX74" s="1">
        <f>'Feeders Raw Data'!BS74</f>
        <v>0</v>
      </c>
      <c r="AY74">
        <f>'Feeders Raw Data'!BT74-'Feeders Raw Data'!B74</f>
        <v>0</v>
      </c>
      <c r="AZ74">
        <f>'Feeders Raw Data'!BU74-'Feeders Raw Data'!C74</f>
        <v>0</v>
      </c>
      <c r="BA74">
        <f>'Feeders Raw Data'!BV74-'Feeders Raw Data'!D74</f>
        <v>0</v>
      </c>
      <c r="BB74">
        <f>'Feeders Raw Data'!BW74-'Feeders Raw Data'!E74</f>
        <v>0</v>
      </c>
      <c r="BC74" t="str">
        <f>'Feeders Raw Data'!CA74&amp;" - "&amp;'Feeders Raw Data'!I74</f>
        <v xml:space="preserve"> - </v>
      </c>
    </row>
    <row r="75" spans="1:55" x14ac:dyDescent="0.25">
      <c r="A75" s="1">
        <f>'Feeders Raw Data'!A75</f>
        <v>0</v>
      </c>
      <c r="B75">
        <f>'Feeders Raw Data'!B75-'Feeders Raw Data'!L75</f>
        <v>0</v>
      </c>
      <c r="C75">
        <f>'Feeders Raw Data'!C75-'Feeders Raw Data'!M75</f>
        <v>0</v>
      </c>
      <c r="D75">
        <f>'Feeders Raw Data'!D75-'Feeders Raw Data'!N75</f>
        <v>0</v>
      </c>
      <c r="E75">
        <f>'Feeders Raw Data'!E75-'Feeders Raw Data'!O75</f>
        <v>0</v>
      </c>
      <c r="F75" t="str">
        <f>'Feeders Raw Data'!I75&amp;" - "&amp;'Feeders Raw Data'!S75</f>
        <v xml:space="preserve"> - </v>
      </c>
      <c r="H75" s="1">
        <f>'Feeders Raw Data'!AE75</f>
        <v>0</v>
      </c>
      <c r="I75">
        <f>'Feeders Raw Data'!AF75-'Feeders Raw Data'!AP75</f>
        <v>0</v>
      </c>
      <c r="J75">
        <f>'Feeders Raw Data'!AG75-'Feeders Raw Data'!AQ75</f>
        <v>0</v>
      </c>
      <c r="K75">
        <f>'Feeders Raw Data'!AH75-'Feeders Raw Data'!AR75</f>
        <v>0</v>
      </c>
      <c r="L75">
        <f>'Feeders Raw Data'!AI75-'Feeders Raw Data'!AS75</f>
        <v>0</v>
      </c>
      <c r="M75" t="str">
        <f>'Feeders Raw Data'!AM75&amp;" - "&amp;'Feeders Raw Data'!AW75</f>
        <v xml:space="preserve"> - </v>
      </c>
      <c r="O75" s="1">
        <f>'Feeders Raw Data'!BI75</f>
        <v>0</v>
      </c>
      <c r="P75">
        <f>'Feeders Raw Data'!BJ75-'Feeders Raw Data'!BT75</f>
        <v>0</v>
      </c>
      <c r="Q75">
        <f>'Feeders Raw Data'!BK75-'Feeders Raw Data'!BU75</f>
        <v>0</v>
      </c>
      <c r="R75">
        <f>'Feeders Raw Data'!BL75-'Feeders Raw Data'!BV75</f>
        <v>0</v>
      </c>
      <c r="S75">
        <f>'Feeders Raw Data'!BM75-'Feeders Raw Data'!BW75</f>
        <v>0</v>
      </c>
      <c r="T75" t="str">
        <f>'Feeders Raw Data'!BQ75&amp;" - "&amp;'Feeders Raw Data'!CA75</f>
        <v xml:space="preserve"> - </v>
      </c>
      <c r="V75" s="1">
        <f>'Feeders Raw Data'!K75</f>
        <v>0</v>
      </c>
      <c r="W75">
        <f>'Feeders Raw Data'!L75-'Feeders Raw Data'!V75</f>
        <v>0</v>
      </c>
      <c r="X75">
        <f>'Feeders Raw Data'!M75-'Feeders Raw Data'!W75</f>
        <v>0</v>
      </c>
      <c r="Y75">
        <f>'Feeders Raw Data'!N75-'Feeders Raw Data'!X75</f>
        <v>0</v>
      </c>
      <c r="Z75">
        <f>'Feeders Raw Data'!O75-'Feeders Raw Data'!Y75</f>
        <v>0</v>
      </c>
      <c r="AA75" t="str">
        <f>'Feeders Raw Data'!S75&amp;" - "&amp;'Feeders Raw Data'!AC75</f>
        <v xml:space="preserve"> - </v>
      </c>
      <c r="AC75" s="1">
        <f>'Feeders Raw Data'!U75</f>
        <v>0</v>
      </c>
      <c r="AD75">
        <f>'Feeders Raw Data'!V75-'Feeders Raw Data'!AF75</f>
        <v>0</v>
      </c>
      <c r="AE75">
        <f>'Feeders Raw Data'!W75-'Feeders Raw Data'!AG75</f>
        <v>0</v>
      </c>
      <c r="AF75">
        <f>'Feeders Raw Data'!X75-'Feeders Raw Data'!AH75</f>
        <v>0</v>
      </c>
      <c r="AG75">
        <f>'Feeders Raw Data'!Y75-'Feeders Raw Data'!AI75</f>
        <v>0</v>
      </c>
      <c r="AH75" t="str">
        <f>'Feeders Raw Data'!AC75&amp;" - "&amp;'Feeders Raw Data'!AM75</f>
        <v xml:space="preserve"> - </v>
      </c>
      <c r="AJ75" s="1">
        <f>'Feeders Raw Data'!AO75</f>
        <v>0</v>
      </c>
      <c r="AK75">
        <f>'Feeders Raw Data'!AP75-'Feeders Raw Data'!AZ75</f>
        <v>0</v>
      </c>
      <c r="AL75">
        <f>'Feeders Raw Data'!AQ75-'Feeders Raw Data'!BA75</f>
        <v>0</v>
      </c>
      <c r="AM75">
        <f>'Feeders Raw Data'!AR75-'Feeders Raw Data'!BB75</f>
        <v>0</v>
      </c>
      <c r="AN75">
        <f>'Feeders Raw Data'!AS75-'Feeders Raw Data'!BC75</f>
        <v>0</v>
      </c>
      <c r="AO75" t="str">
        <f>'Feeders Raw Data'!AW75&amp;" - "&amp;'Feeders Raw Data'!BG75</f>
        <v xml:space="preserve"> - </v>
      </c>
      <c r="AQ75" s="1">
        <f>'Feeders Raw Data'!AY75</f>
        <v>0</v>
      </c>
      <c r="AR75">
        <f>'Feeders Raw Data'!AZ75-'Feeders Raw Data'!BJ75</f>
        <v>0</v>
      </c>
      <c r="AS75">
        <f>'Feeders Raw Data'!BA75-'Feeders Raw Data'!BK75</f>
        <v>0</v>
      </c>
      <c r="AT75">
        <f>'Feeders Raw Data'!BB75-'Feeders Raw Data'!BL75</f>
        <v>0</v>
      </c>
      <c r="AU75">
        <f>'Feeders Raw Data'!BC75-'Feeders Raw Data'!BM75</f>
        <v>0</v>
      </c>
      <c r="AV75" t="str">
        <f>'Feeders Raw Data'!BG75&amp;" - "&amp;'Feeders Raw Data'!BQ75</f>
        <v xml:space="preserve"> - </v>
      </c>
      <c r="AX75" s="1">
        <f>'Feeders Raw Data'!BS75</f>
        <v>0</v>
      </c>
      <c r="AY75">
        <f>'Feeders Raw Data'!BT75-'Feeders Raw Data'!B75</f>
        <v>0</v>
      </c>
      <c r="AZ75">
        <f>'Feeders Raw Data'!BU75-'Feeders Raw Data'!C75</f>
        <v>0</v>
      </c>
      <c r="BA75">
        <f>'Feeders Raw Data'!BV75-'Feeders Raw Data'!D75</f>
        <v>0</v>
      </c>
      <c r="BB75">
        <f>'Feeders Raw Data'!BW75-'Feeders Raw Data'!E75</f>
        <v>0</v>
      </c>
      <c r="BC75" t="str">
        <f>'Feeders Raw Data'!CA75&amp;" - "&amp;'Feeders Raw Data'!I75</f>
        <v xml:space="preserve"> - </v>
      </c>
    </row>
    <row r="76" spans="1:55" x14ac:dyDescent="0.25">
      <c r="A76" s="1">
        <f>'Feeders Raw Data'!A76</f>
        <v>0</v>
      </c>
      <c r="B76">
        <f>'Feeders Raw Data'!B76-'Feeders Raw Data'!L76</f>
        <v>0</v>
      </c>
      <c r="C76">
        <f>'Feeders Raw Data'!C76-'Feeders Raw Data'!M76</f>
        <v>0</v>
      </c>
      <c r="D76">
        <f>'Feeders Raw Data'!D76-'Feeders Raw Data'!N76</f>
        <v>0</v>
      </c>
      <c r="E76">
        <f>'Feeders Raw Data'!E76-'Feeders Raw Data'!O76</f>
        <v>0</v>
      </c>
      <c r="F76" t="str">
        <f>'Feeders Raw Data'!I76&amp;" - "&amp;'Feeders Raw Data'!S76</f>
        <v xml:space="preserve"> - </v>
      </c>
      <c r="H76" s="1">
        <f>'Feeders Raw Data'!AE76</f>
        <v>0</v>
      </c>
      <c r="I76">
        <f>'Feeders Raw Data'!AF76-'Feeders Raw Data'!AP76</f>
        <v>0</v>
      </c>
      <c r="J76">
        <f>'Feeders Raw Data'!AG76-'Feeders Raw Data'!AQ76</f>
        <v>0</v>
      </c>
      <c r="K76">
        <f>'Feeders Raw Data'!AH76-'Feeders Raw Data'!AR76</f>
        <v>0</v>
      </c>
      <c r="L76">
        <f>'Feeders Raw Data'!AI76-'Feeders Raw Data'!AS76</f>
        <v>0</v>
      </c>
      <c r="M76" t="str">
        <f>'Feeders Raw Data'!AM76&amp;" - "&amp;'Feeders Raw Data'!AW76</f>
        <v xml:space="preserve"> - </v>
      </c>
      <c r="O76" s="1">
        <f>'Feeders Raw Data'!BI76</f>
        <v>0</v>
      </c>
      <c r="P76">
        <f>'Feeders Raw Data'!BJ76-'Feeders Raw Data'!BT76</f>
        <v>0</v>
      </c>
      <c r="Q76">
        <f>'Feeders Raw Data'!BK76-'Feeders Raw Data'!BU76</f>
        <v>0</v>
      </c>
      <c r="R76">
        <f>'Feeders Raw Data'!BL76-'Feeders Raw Data'!BV76</f>
        <v>0</v>
      </c>
      <c r="S76">
        <f>'Feeders Raw Data'!BM76-'Feeders Raw Data'!BW76</f>
        <v>0</v>
      </c>
      <c r="T76" t="str">
        <f>'Feeders Raw Data'!BQ76&amp;" - "&amp;'Feeders Raw Data'!CA76</f>
        <v xml:space="preserve"> - </v>
      </c>
      <c r="V76" s="1">
        <f>'Feeders Raw Data'!K76</f>
        <v>0</v>
      </c>
      <c r="W76">
        <f>'Feeders Raw Data'!L76-'Feeders Raw Data'!V76</f>
        <v>0</v>
      </c>
      <c r="X76">
        <f>'Feeders Raw Data'!M76-'Feeders Raw Data'!W76</f>
        <v>0</v>
      </c>
      <c r="Y76">
        <f>'Feeders Raw Data'!N76-'Feeders Raw Data'!X76</f>
        <v>0</v>
      </c>
      <c r="Z76">
        <f>'Feeders Raw Data'!O76-'Feeders Raw Data'!Y76</f>
        <v>0</v>
      </c>
      <c r="AA76" t="str">
        <f>'Feeders Raw Data'!S76&amp;" - "&amp;'Feeders Raw Data'!AC76</f>
        <v xml:space="preserve"> - </v>
      </c>
      <c r="AC76" s="1">
        <f>'Feeders Raw Data'!U76</f>
        <v>0</v>
      </c>
      <c r="AD76">
        <f>'Feeders Raw Data'!V76-'Feeders Raw Data'!AF76</f>
        <v>0</v>
      </c>
      <c r="AE76">
        <f>'Feeders Raw Data'!W76-'Feeders Raw Data'!AG76</f>
        <v>0</v>
      </c>
      <c r="AF76">
        <f>'Feeders Raw Data'!X76-'Feeders Raw Data'!AH76</f>
        <v>0</v>
      </c>
      <c r="AG76">
        <f>'Feeders Raw Data'!Y76-'Feeders Raw Data'!AI76</f>
        <v>0</v>
      </c>
      <c r="AH76" t="str">
        <f>'Feeders Raw Data'!AC76&amp;" - "&amp;'Feeders Raw Data'!AM76</f>
        <v xml:space="preserve"> - </v>
      </c>
      <c r="AJ76" s="1">
        <f>'Feeders Raw Data'!AO76</f>
        <v>0</v>
      </c>
      <c r="AK76">
        <f>'Feeders Raw Data'!AP76-'Feeders Raw Data'!AZ76</f>
        <v>0</v>
      </c>
      <c r="AL76">
        <f>'Feeders Raw Data'!AQ76-'Feeders Raw Data'!BA76</f>
        <v>0</v>
      </c>
      <c r="AM76">
        <f>'Feeders Raw Data'!AR76-'Feeders Raw Data'!BB76</f>
        <v>0</v>
      </c>
      <c r="AN76">
        <f>'Feeders Raw Data'!AS76-'Feeders Raw Data'!BC76</f>
        <v>0</v>
      </c>
      <c r="AO76" t="str">
        <f>'Feeders Raw Data'!AW76&amp;" - "&amp;'Feeders Raw Data'!BG76</f>
        <v xml:space="preserve"> - </v>
      </c>
      <c r="AQ76" s="1">
        <f>'Feeders Raw Data'!AY76</f>
        <v>0</v>
      </c>
      <c r="AR76">
        <f>'Feeders Raw Data'!AZ76-'Feeders Raw Data'!BJ76</f>
        <v>0</v>
      </c>
      <c r="AS76">
        <f>'Feeders Raw Data'!BA76-'Feeders Raw Data'!BK76</f>
        <v>0</v>
      </c>
      <c r="AT76">
        <f>'Feeders Raw Data'!BB76-'Feeders Raw Data'!BL76</f>
        <v>0</v>
      </c>
      <c r="AU76">
        <f>'Feeders Raw Data'!BC76-'Feeders Raw Data'!BM76</f>
        <v>0</v>
      </c>
      <c r="AV76" t="str">
        <f>'Feeders Raw Data'!BG76&amp;" - "&amp;'Feeders Raw Data'!BQ76</f>
        <v xml:space="preserve"> - </v>
      </c>
      <c r="AX76" s="1">
        <f>'Feeders Raw Data'!BS76</f>
        <v>0</v>
      </c>
      <c r="AY76">
        <f>'Feeders Raw Data'!BT76-'Feeders Raw Data'!B76</f>
        <v>0</v>
      </c>
      <c r="AZ76">
        <f>'Feeders Raw Data'!BU76-'Feeders Raw Data'!C76</f>
        <v>0</v>
      </c>
      <c r="BA76">
        <f>'Feeders Raw Data'!BV76-'Feeders Raw Data'!D76</f>
        <v>0</v>
      </c>
      <c r="BB76">
        <f>'Feeders Raw Data'!BW76-'Feeders Raw Data'!E76</f>
        <v>0</v>
      </c>
      <c r="BC76" t="str">
        <f>'Feeders Raw Data'!CA76&amp;" - "&amp;'Feeders Raw Data'!I76</f>
        <v xml:space="preserve"> - </v>
      </c>
    </row>
    <row r="77" spans="1:55" x14ac:dyDescent="0.25">
      <c r="A77" s="1">
        <f>'Feeders Raw Data'!A77</f>
        <v>0</v>
      </c>
      <c r="B77">
        <f>'Feeders Raw Data'!B77-'Feeders Raw Data'!L77</f>
        <v>0</v>
      </c>
      <c r="C77">
        <f>'Feeders Raw Data'!C77-'Feeders Raw Data'!M77</f>
        <v>0</v>
      </c>
      <c r="D77">
        <f>'Feeders Raw Data'!D77-'Feeders Raw Data'!N77</f>
        <v>0</v>
      </c>
      <c r="E77">
        <f>'Feeders Raw Data'!E77-'Feeders Raw Data'!O77</f>
        <v>0</v>
      </c>
      <c r="F77" t="str">
        <f>'Feeders Raw Data'!I77&amp;" - "&amp;'Feeders Raw Data'!S77</f>
        <v xml:space="preserve"> - </v>
      </c>
      <c r="H77" s="1">
        <f>'Feeders Raw Data'!AE77</f>
        <v>0</v>
      </c>
      <c r="I77">
        <f>'Feeders Raw Data'!AF77-'Feeders Raw Data'!AP77</f>
        <v>0</v>
      </c>
      <c r="J77">
        <f>'Feeders Raw Data'!AG77-'Feeders Raw Data'!AQ77</f>
        <v>0</v>
      </c>
      <c r="K77">
        <f>'Feeders Raw Data'!AH77-'Feeders Raw Data'!AR77</f>
        <v>0</v>
      </c>
      <c r="L77">
        <f>'Feeders Raw Data'!AI77-'Feeders Raw Data'!AS77</f>
        <v>0</v>
      </c>
      <c r="M77" t="str">
        <f>'Feeders Raw Data'!AM77&amp;" - "&amp;'Feeders Raw Data'!AW77</f>
        <v xml:space="preserve"> - </v>
      </c>
      <c r="O77" s="1">
        <f>'Feeders Raw Data'!BI77</f>
        <v>0</v>
      </c>
      <c r="P77">
        <f>'Feeders Raw Data'!BJ77-'Feeders Raw Data'!BT77</f>
        <v>0</v>
      </c>
      <c r="Q77">
        <f>'Feeders Raw Data'!BK77-'Feeders Raw Data'!BU77</f>
        <v>0</v>
      </c>
      <c r="R77">
        <f>'Feeders Raw Data'!BL77-'Feeders Raw Data'!BV77</f>
        <v>0</v>
      </c>
      <c r="S77">
        <f>'Feeders Raw Data'!BM77-'Feeders Raw Data'!BW77</f>
        <v>0</v>
      </c>
      <c r="T77" t="str">
        <f>'Feeders Raw Data'!BQ77&amp;" - "&amp;'Feeders Raw Data'!CA77</f>
        <v xml:space="preserve"> - </v>
      </c>
      <c r="V77" s="1">
        <f>'Feeders Raw Data'!K77</f>
        <v>0</v>
      </c>
      <c r="W77">
        <f>'Feeders Raw Data'!L77-'Feeders Raw Data'!V77</f>
        <v>0</v>
      </c>
      <c r="X77">
        <f>'Feeders Raw Data'!M77-'Feeders Raw Data'!W77</f>
        <v>0</v>
      </c>
      <c r="Y77">
        <f>'Feeders Raw Data'!N77-'Feeders Raw Data'!X77</f>
        <v>0</v>
      </c>
      <c r="Z77">
        <f>'Feeders Raw Data'!O77-'Feeders Raw Data'!Y77</f>
        <v>0</v>
      </c>
      <c r="AA77" t="str">
        <f>'Feeders Raw Data'!S77&amp;" - "&amp;'Feeders Raw Data'!AC77</f>
        <v xml:space="preserve"> - </v>
      </c>
      <c r="AC77" s="1">
        <f>'Feeders Raw Data'!U77</f>
        <v>0</v>
      </c>
      <c r="AD77">
        <f>'Feeders Raw Data'!V77-'Feeders Raw Data'!AF77</f>
        <v>0</v>
      </c>
      <c r="AE77">
        <f>'Feeders Raw Data'!W77-'Feeders Raw Data'!AG77</f>
        <v>0</v>
      </c>
      <c r="AF77">
        <f>'Feeders Raw Data'!X77-'Feeders Raw Data'!AH77</f>
        <v>0</v>
      </c>
      <c r="AG77">
        <f>'Feeders Raw Data'!Y77-'Feeders Raw Data'!AI77</f>
        <v>0</v>
      </c>
      <c r="AH77" t="str">
        <f>'Feeders Raw Data'!AC77&amp;" - "&amp;'Feeders Raw Data'!AM77</f>
        <v xml:space="preserve"> - </v>
      </c>
      <c r="AJ77" s="1">
        <f>'Feeders Raw Data'!AO77</f>
        <v>0</v>
      </c>
      <c r="AK77">
        <f>'Feeders Raw Data'!AP77-'Feeders Raw Data'!AZ77</f>
        <v>0</v>
      </c>
      <c r="AL77">
        <f>'Feeders Raw Data'!AQ77-'Feeders Raw Data'!BA77</f>
        <v>0</v>
      </c>
      <c r="AM77">
        <f>'Feeders Raw Data'!AR77-'Feeders Raw Data'!BB77</f>
        <v>0</v>
      </c>
      <c r="AN77">
        <f>'Feeders Raw Data'!AS77-'Feeders Raw Data'!BC77</f>
        <v>0</v>
      </c>
      <c r="AO77" t="str">
        <f>'Feeders Raw Data'!AW77&amp;" - "&amp;'Feeders Raw Data'!BG77</f>
        <v xml:space="preserve"> - </v>
      </c>
      <c r="AQ77" s="1">
        <f>'Feeders Raw Data'!AY77</f>
        <v>0</v>
      </c>
      <c r="AR77">
        <f>'Feeders Raw Data'!AZ77-'Feeders Raw Data'!BJ77</f>
        <v>0</v>
      </c>
      <c r="AS77">
        <f>'Feeders Raw Data'!BA77-'Feeders Raw Data'!BK77</f>
        <v>0</v>
      </c>
      <c r="AT77">
        <f>'Feeders Raw Data'!BB77-'Feeders Raw Data'!BL77</f>
        <v>0</v>
      </c>
      <c r="AU77">
        <f>'Feeders Raw Data'!BC77-'Feeders Raw Data'!BM77</f>
        <v>0</v>
      </c>
      <c r="AV77" t="str">
        <f>'Feeders Raw Data'!BG77&amp;" - "&amp;'Feeders Raw Data'!BQ77</f>
        <v xml:space="preserve"> - </v>
      </c>
      <c r="AX77" s="1">
        <f>'Feeders Raw Data'!BS77</f>
        <v>0</v>
      </c>
      <c r="AY77">
        <f>'Feeders Raw Data'!BT77-'Feeders Raw Data'!B77</f>
        <v>0</v>
      </c>
      <c r="AZ77">
        <f>'Feeders Raw Data'!BU77-'Feeders Raw Data'!C77</f>
        <v>0</v>
      </c>
      <c r="BA77">
        <f>'Feeders Raw Data'!BV77-'Feeders Raw Data'!D77</f>
        <v>0</v>
      </c>
      <c r="BB77">
        <f>'Feeders Raw Data'!BW77-'Feeders Raw Data'!E77</f>
        <v>0</v>
      </c>
      <c r="BC77" t="str">
        <f>'Feeders Raw Data'!CA77&amp;" - "&amp;'Feeders Raw Data'!I77</f>
        <v xml:space="preserve"> - </v>
      </c>
    </row>
    <row r="78" spans="1:55" x14ac:dyDescent="0.25">
      <c r="A78" s="1">
        <f>'Feeders Raw Data'!A78</f>
        <v>0</v>
      </c>
      <c r="B78">
        <f>'Feeders Raw Data'!B78-'Feeders Raw Data'!L78</f>
        <v>0</v>
      </c>
      <c r="C78">
        <f>'Feeders Raw Data'!C78-'Feeders Raw Data'!M78</f>
        <v>0</v>
      </c>
      <c r="D78">
        <f>'Feeders Raw Data'!D78-'Feeders Raw Data'!N78</f>
        <v>0</v>
      </c>
      <c r="E78">
        <f>'Feeders Raw Data'!E78-'Feeders Raw Data'!O78</f>
        <v>0</v>
      </c>
      <c r="F78" t="str">
        <f>'Feeders Raw Data'!I78&amp;" - "&amp;'Feeders Raw Data'!S78</f>
        <v xml:space="preserve"> - </v>
      </c>
      <c r="H78" s="1">
        <f>'Feeders Raw Data'!AE78</f>
        <v>0</v>
      </c>
      <c r="I78">
        <f>'Feeders Raw Data'!AF78-'Feeders Raw Data'!AP78</f>
        <v>0</v>
      </c>
      <c r="J78">
        <f>'Feeders Raw Data'!AG78-'Feeders Raw Data'!AQ78</f>
        <v>0</v>
      </c>
      <c r="K78">
        <f>'Feeders Raw Data'!AH78-'Feeders Raw Data'!AR78</f>
        <v>0</v>
      </c>
      <c r="L78">
        <f>'Feeders Raw Data'!AI78-'Feeders Raw Data'!AS78</f>
        <v>0</v>
      </c>
      <c r="M78" t="str">
        <f>'Feeders Raw Data'!AM78&amp;" - "&amp;'Feeders Raw Data'!AW78</f>
        <v xml:space="preserve"> - </v>
      </c>
      <c r="O78" s="1">
        <f>'Feeders Raw Data'!BI78</f>
        <v>0</v>
      </c>
      <c r="P78">
        <f>'Feeders Raw Data'!BJ78-'Feeders Raw Data'!BT78</f>
        <v>0</v>
      </c>
      <c r="Q78">
        <f>'Feeders Raw Data'!BK78-'Feeders Raw Data'!BU78</f>
        <v>0</v>
      </c>
      <c r="R78">
        <f>'Feeders Raw Data'!BL78-'Feeders Raw Data'!BV78</f>
        <v>0</v>
      </c>
      <c r="S78">
        <f>'Feeders Raw Data'!BM78-'Feeders Raw Data'!BW78</f>
        <v>0</v>
      </c>
      <c r="T78" t="str">
        <f>'Feeders Raw Data'!BQ78&amp;" - "&amp;'Feeders Raw Data'!CA78</f>
        <v xml:space="preserve"> - </v>
      </c>
      <c r="V78" s="1">
        <f>'Feeders Raw Data'!K78</f>
        <v>0</v>
      </c>
      <c r="W78">
        <f>'Feeders Raw Data'!L78-'Feeders Raw Data'!V78</f>
        <v>0</v>
      </c>
      <c r="X78">
        <f>'Feeders Raw Data'!M78-'Feeders Raw Data'!W78</f>
        <v>0</v>
      </c>
      <c r="Y78">
        <f>'Feeders Raw Data'!N78-'Feeders Raw Data'!X78</f>
        <v>0</v>
      </c>
      <c r="Z78">
        <f>'Feeders Raw Data'!O78-'Feeders Raw Data'!Y78</f>
        <v>0</v>
      </c>
      <c r="AA78" t="str">
        <f>'Feeders Raw Data'!S78&amp;" - "&amp;'Feeders Raw Data'!AC78</f>
        <v xml:space="preserve"> - </v>
      </c>
      <c r="AC78" s="1">
        <f>'Feeders Raw Data'!U78</f>
        <v>0</v>
      </c>
      <c r="AD78">
        <f>'Feeders Raw Data'!V78-'Feeders Raw Data'!AF78</f>
        <v>0</v>
      </c>
      <c r="AE78">
        <f>'Feeders Raw Data'!W78-'Feeders Raw Data'!AG78</f>
        <v>0</v>
      </c>
      <c r="AF78">
        <f>'Feeders Raw Data'!X78-'Feeders Raw Data'!AH78</f>
        <v>0</v>
      </c>
      <c r="AG78">
        <f>'Feeders Raw Data'!Y78-'Feeders Raw Data'!AI78</f>
        <v>0</v>
      </c>
      <c r="AH78" t="str">
        <f>'Feeders Raw Data'!AC78&amp;" - "&amp;'Feeders Raw Data'!AM78</f>
        <v xml:space="preserve"> - </v>
      </c>
      <c r="AJ78" s="1">
        <f>'Feeders Raw Data'!AO78</f>
        <v>0</v>
      </c>
      <c r="AK78">
        <f>'Feeders Raw Data'!AP78-'Feeders Raw Data'!AZ78</f>
        <v>0</v>
      </c>
      <c r="AL78">
        <f>'Feeders Raw Data'!AQ78-'Feeders Raw Data'!BA78</f>
        <v>0</v>
      </c>
      <c r="AM78">
        <f>'Feeders Raw Data'!AR78-'Feeders Raw Data'!BB78</f>
        <v>0</v>
      </c>
      <c r="AN78">
        <f>'Feeders Raw Data'!AS78-'Feeders Raw Data'!BC78</f>
        <v>0</v>
      </c>
      <c r="AO78" t="str">
        <f>'Feeders Raw Data'!AW78&amp;" - "&amp;'Feeders Raw Data'!BG78</f>
        <v xml:space="preserve"> - </v>
      </c>
      <c r="AQ78" s="1">
        <f>'Feeders Raw Data'!AY78</f>
        <v>0</v>
      </c>
      <c r="AR78">
        <f>'Feeders Raw Data'!AZ78-'Feeders Raw Data'!BJ78</f>
        <v>0</v>
      </c>
      <c r="AS78">
        <f>'Feeders Raw Data'!BA78-'Feeders Raw Data'!BK78</f>
        <v>0</v>
      </c>
      <c r="AT78">
        <f>'Feeders Raw Data'!BB78-'Feeders Raw Data'!BL78</f>
        <v>0</v>
      </c>
      <c r="AU78">
        <f>'Feeders Raw Data'!BC78-'Feeders Raw Data'!BM78</f>
        <v>0</v>
      </c>
      <c r="AV78" t="str">
        <f>'Feeders Raw Data'!BG78&amp;" - "&amp;'Feeders Raw Data'!BQ78</f>
        <v xml:space="preserve"> - </v>
      </c>
      <c r="AX78" s="1">
        <f>'Feeders Raw Data'!BS78</f>
        <v>0</v>
      </c>
      <c r="AY78">
        <f>'Feeders Raw Data'!BT78-'Feeders Raw Data'!B78</f>
        <v>0</v>
      </c>
      <c r="AZ78">
        <f>'Feeders Raw Data'!BU78-'Feeders Raw Data'!C78</f>
        <v>0</v>
      </c>
      <c r="BA78">
        <f>'Feeders Raw Data'!BV78-'Feeders Raw Data'!D78</f>
        <v>0</v>
      </c>
      <c r="BB78">
        <f>'Feeders Raw Data'!BW78-'Feeders Raw Data'!E78</f>
        <v>0</v>
      </c>
      <c r="BC78" t="str">
        <f>'Feeders Raw Data'!CA78&amp;" - "&amp;'Feeders Raw Data'!I78</f>
        <v xml:space="preserve"> - </v>
      </c>
    </row>
    <row r="79" spans="1:55" x14ac:dyDescent="0.25">
      <c r="A79" s="1">
        <f>'Feeders Raw Data'!A79</f>
        <v>0</v>
      </c>
      <c r="B79">
        <f>'Feeders Raw Data'!B79-'Feeders Raw Data'!L79</f>
        <v>0</v>
      </c>
      <c r="C79">
        <f>'Feeders Raw Data'!C79-'Feeders Raw Data'!M79</f>
        <v>0</v>
      </c>
      <c r="D79">
        <f>'Feeders Raw Data'!D79-'Feeders Raw Data'!N79</f>
        <v>0</v>
      </c>
      <c r="E79">
        <f>'Feeders Raw Data'!E79-'Feeders Raw Data'!O79</f>
        <v>0</v>
      </c>
      <c r="F79" t="str">
        <f>'Feeders Raw Data'!I79&amp;" - "&amp;'Feeders Raw Data'!S79</f>
        <v xml:space="preserve"> - </v>
      </c>
      <c r="H79" s="1">
        <f>'Feeders Raw Data'!AE79</f>
        <v>0</v>
      </c>
      <c r="I79">
        <f>'Feeders Raw Data'!AF79-'Feeders Raw Data'!AP79</f>
        <v>0</v>
      </c>
      <c r="J79">
        <f>'Feeders Raw Data'!AG79-'Feeders Raw Data'!AQ79</f>
        <v>0</v>
      </c>
      <c r="K79">
        <f>'Feeders Raw Data'!AH79-'Feeders Raw Data'!AR79</f>
        <v>0</v>
      </c>
      <c r="L79">
        <f>'Feeders Raw Data'!AI79-'Feeders Raw Data'!AS79</f>
        <v>0</v>
      </c>
      <c r="M79" t="str">
        <f>'Feeders Raw Data'!AM79&amp;" - "&amp;'Feeders Raw Data'!AW79</f>
        <v xml:space="preserve"> - </v>
      </c>
      <c r="O79" s="1">
        <f>'Feeders Raw Data'!BI79</f>
        <v>0</v>
      </c>
      <c r="P79">
        <f>'Feeders Raw Data'!BJ79-'Feeders Raw Data'!BT79</f>
        <v>0</v>
      </c>
      <c r="Q79">
        <f>'Feeders Raw Data'!BK79-'Feeders Raw Data'!BU79</f>
        <v>0</v>
      </c>
      <c r="R79">
        <f>'Feeders Raw Data'!BL79-'Feeders Raw Data'!BV79</f>
        <v>0</v>
      </c>
      <c r="S79">
        <f>'Feeders Raw Data'!BM79-'Feeders Raw Data'!BW79</f>
        <v>0</v>
      </c>
      <c r="T79" t="str">
        <f>'Feeders Raw Data'!BQ79&amp;" - "&amp;'Feeders Raw Data'!CA79</f>
        <v xml:space="preserve"> - </v>
      </c>
      <c r="V79" s="1">
        <f>'Feeders Raw Data'!K79</f>
        <v>0</v>
      </c>
      <c r="W79">
        <f>'Feeders Raw Data'!L79-'Feeders Raw Data'!V79</f>
        <v>0</v>
      </c>
      <c r="X79">
        <f>'Feeders Raw Data'!M79-'Feeders Raw Data'!W79</f>
        <v>0</v>
      </c>
      <c r="Y79">
        <f>'Feeders Raw Data'!N79-'Feeders Raw Data'!X79</f>
        <v>0</v>
      </c>
      <c r="Z79">
        <f>'Feeders Raw Data'!O79-'Feeders Raw Data'!Y79</f>
        <v>0</v>
      </c>
      <c r="AA79" t="str">
        <f>'Feeders Raw Data'!S79&amp;" - "&amp;'Feeders Raw Data'!AC79</f>
        <v xml:space="preserve"> - </v>
      </c>
      <c r="AC79" s="1">
        <f>'Feeders Raw Data'!U79</f>
        <v>0</v>
      </c>
      <c r="AD79">
        <f>'Feeders Raw Data'!V79-'Feeders Raw Data'!AF79</f>
        <v>0</v>
      </c>
      <c r="AE79">
        <f>'Feeders Raw Data'!W79-'Feeders Raw Data'!AG79</f>
        <v>0</v>
      </c>
      <c r="AF79">
        <f>'Feeders Raw Data'!X79-'Feeders Raw Data'!AH79</f>
        <v>0</v>
      </c>
      <c r="AG79">
        <f>'Feeders Raw Data'!Y79-'Feeders Raw Data'!AI79</f>
        <v>0</v>
      </c>
      <c r="AH79" t="str">
        <f>'Feeders Raw Data'!AC79&amp;" - "&amp;'Feeders Raw Data'!AM79</f>
        <v xml:space="preserve"> - </v>
      </c>
      <c r="AJ79" s="1">
        <f>'Feeders Raw Data'!AO79</f>
        <v>0</v>
      </c>
      <c r="AK79">
        <f>'Feeders Raw Data'!AP79-'Feeders Raw Data'!AZ79</f>
        <v>0</v>
      </c>
      <c r="AL79">
        <f>'Feeders Raw Data'!AQ79-'Feeders Raw Data'!BA79</f>
        <v>0</v>
      </c>
      <c r="AM79">
        <f>'Feeders Raw Data'!AR79-'Feeders Raw Data'!BB79</f>
        <v>0</v>
      </c>
      <c r="AN79">
        <f>'Feeders Raw Data'!AS79-'Feeders Raw Data'!BC79</f>
        <v>0</v>
      </c>
      <c r="AO79" t="str">
        <f>'Feeders Raw Data'!AW79&amp;" - "&amp;'Feeders Raw Data'!BG79</f>
        <v xml:space="preserve"> - </v>
      </c>
      <c r="AQ79" s="1">
        <f>'Feeders Raw Data'!AY79</f>
        <v>0</v>
      </c>
      <c r="AR79">
        <f>'Feeders Raw Data'!AZ79-'Feeders Raw Data'!BJ79</f>
        <v>0</v>
      </c>
      <c r="AS79">
        <f>'Feeders Raw Data'!BA79-'Feeders Raw Data'!BK79</f>
        <v>0</v>
      </c>
      <c r="AT79">
        <f>'Feeders Raw Data'!BB79-'Feeders Raw Data'!BL79</f>
        <v>0</v>
      </c>
      <c r="AU79">
        <f>'Feeders Raw Data'!BC79-'Feeders Raw Data'!BM79</f>
        <v>0</v>
      </c>
      <c r="AV79" t="str">
        <f>'Feeders Raw Data'!BG79&amp;" - "&amp;'Feeders Raw Data'!BQ79</f>
        <v xml:space="preserve"> - </v>
      </c>
      <c r="AX79" s="1">
        <f>'Feeders Raw Data'!BS79</f>
        <v>0</v>
      </c>
      <c r="AY79">
        <f>'Feeders Raw Data'!BT79-'Feeders Raw Data'!B79</f>
        <v>0</v>
      </c>
      <c r="AZ79">
        <f>'Feeders Raw Data'!BU79-'Feeders Raw Data'!C79</f>
        <v>0</v>
      </c>
      <c r="BA79">
        <f>'Feeders Raw Data'!BV79-'Feeders Raw Data'!D79</f>
        <v>0</v>
      </c>
      <c r="BB79">
        <f>'Feeders Raw Data'!BW79-'Feeders Raw Data'!E79</f>
        <v>0</v>
      </c>
      <c r="BC79" t="str">
        <f>'Feeders Raw Data'!CA79&amp;" - "&amp;'Feeders Raw Data'!I79</f>
        <v xml:space="preserve"> - </v>
      </c>
    </row>
    <row r="80" spans="1:55" x14ac:dyDescent="0.25">
      <c r="A80" s="1">
        <f>'Feeders Raw Data'!A80</f>
        <v>0</v>
      </c>
      <c r="B80">
        <f>'Feeders Raw Data'!B80-'Feeders Raw Data'!L80</f>
        <v>0</v>
      </c>
      <c r="C80">
        <f>'Feeders Raw Data'!C80-'Feeders Raw Data'!M80</f>
        <v>0</v>
      </c>
      <c r="D80">
        <f>'Feeders Raw Data'!D80-'Feeders Raw Data'!N80</f>
        <v>0</v>
      </c>
      <c r="E80">
        <f>'Feeders Raw Data'!E80-'Feeders Raw Data'!O80</f>
        <v>0</v>
      </c>
      <c r="F80" t="str">
        <f>'Feeders Raw Data'!I80&amp;" - "&amp;'Feeders Raw Data'!S80</f>
        <v xml:space="preserve"> - </v>
      </c>
      <c r="H80" s="1">
        <f>'Feeders Raw Data'!AE80</f>
        <v>0</v>
      </c>
      <c r="I80">
        <f>'Feeders Raw Data'!AF80-'Feeders Raw Data'!AP80</f>
        <v>0</v>
      </c>
      <c r="J80">
        <f>'Feeders Raw Data'!AG80-'Feeders Raw Data'!AQ80</f>
        <v>0</v>
      </c>
      <c r="K80">
        <f>'Feeders Raw Data'!AH80-'Feeders Raw Data'!AR80</f>
        <v>0</v>
      </c>
      <c r="L80">
        <f>'Feeders Raw Data'!AI80-'Feeders Raw Data'!AS80</f>
        <v>0</v>
      </c>
      <c r="M80" t="str">
        <f>'Feeders Raw Data'!AM80&amp;" - "&amp;'Feeders Raw Data'!AW80</f>
        <v xml:space="preserve"> - </v>
      </c>
      <c r="O80" s="1">
        <f>'Feeders Raw Data'!BI80</f>
        <v>0</v>
      </c>
      <c r="P80">
        <f>'Feeders Raw Data'!BJ80-'Feeders Raw Data'!BT80</f>
        <v>0</v>
      </c>
      <c r="Q80">
        <f>'Feeders Raw Data'!BK80-'Feeders Raw Data'!BU80</f>
        <v>0</v>
      </c>
      <c r="R80">
        <f>'Feeders Raw Data'!BL80-'Feeders Raw Data'!BV80</f>
        <v>0</v>
      </c>
      <c r="S80">
        <f>'Feeders Raw Data'!BM80-'Feeders Raw Data'!BW80</f>
        <v>0</v>
      </c>
      <c r="T80" t="str">
        <f>'Feeders Raw Data'!BQ80&amp;" - "&amp;'Feeders Raw Data'!CA80</f>
        <v xml:space="preserve"> - </v>
      </c>
      <c r="V80" s="1">
        <f>'Feeders Raw Data'!K80</f>
        <v>0</v>
      </c>
      <c r="W80">
        <f>'Feeders Raw Data'!L80-'Feeders Raw Data'!V80</f>
        <v>0</v>
      </c>
      <c r="X80">
        <f>'Feeders Raw Data'!M80-'Feeders Raw Data'!W80</f>
        <v>0</v>
      </c>
      <c r="Y80">
        <f>'Feeders Raw Data'!N80-'Feeders Raw Data'!X80</f>
        <v>0</v>
      </c>
      <c r="Z80">
        <f>'Feeders Raw Data'!O80-'Feeders Raw Data'!Y80</f>
        <v>0</v>
      </c>
      <c r="AA80" t="str">
        <f>'Feeders Raw Data'!S80&amp;" - "&amp;'Feeders Raw Data'!AC80</f>
        <v xml:space="preserve"> - </v>
      </c>
      <c r="AC80" s="1">
        <f>'Feeders Raw Data'!U80</f>
        <v>0</v>
      </c>
      <c r="AD80">
        <f>'Feeders Raw Data'!V80-'Feeders Raw Data'!AF80</f>
        <v>0</v>
      </c>
      <c r="AE80">
        <f>'Feeders Raw Data'!W80-'Feeders Raw Data'!AG80</f>
        <v>0</v>
      </c>
      <c r="AF80">
        <f>'Feeders Raw Data'!X80-'Feeders Raw Data'!AH80</f>
        <v>0</v>
      </c>
      <c r="AG80">
        <f>'Feeders Raw Data'!Y80-'Feeders Raw Data'!AI80</f>
        <v>0</v>
      </c>
      <c r="AH80" t="str">
        <f>'Feeders Raw Data'!AC80&amp;" - "&amp;'Feeders Raw Data'!AM80</f>
        <v xml:space="preserve"> - </v>
      </c>
      <c r="AJ80" s="1">
        <f>'Feeders Raw Data'!AO80</f>
        <v>0</v>
      </c>
      <c r="AK80">
        <f>'Feeders Raw Data'!AP80-'Feeders Raw Data'!AZ80</f>
        <v>0</v>
      </c>
      <c r="AL80">
        <f>'Feeders Raw Data'!AQ80-'Feeders Raw Data'!BA80</f>
        <v>0</v>
      </c>
      <c r="AM80">
        <f>'Feeders Raw Data'!AR80-'Feeders Raw Data'!BB80</f>
        <v>0</v>
      </c>
      <c r="AN80">
        <f>'Feeders Raw Data'!AS80-'Feeders Raw Data'!BC80</f>
        <v>0</v>
      </c>
      <c r="AO80" t="str">
        <f>'Feeders Raw Data'!AW80&amp;" - "&amp;'Feeders Raw Data'!BG80</f>
        <v xml:space="preserve"> - </v>
      </c>
      <c r="AQ80" s="1">
        <f>'Feeders Raw Data'!AY80</f>
        <v>0</v>
      </c>
      <c r="AR80">
        <f>'Feeders Raw Data'!AZ80-'Feeders Raw Data'!BJ80</f>
        <v>0</v>
      </c>
      <c r="AS80">
        <f>'Feeders Raw Data'!BA80-'Feeders Raw Data'!BK80</f>
        <v>0</v>
      </c>
      <c r="AT80">
        <f>'Feeders Raw Data'!BB80-'Feeders Raw Data'!BL80</f>
        <v>0</v>
      </c>
      <c r="AU80">
        <f>'Feeders Raw Data'!BC80-'Feeders Raw Data'!BM80</f>
        <v>0</v>
      </c>
      <c r="AV80" t="str">
        <f>'Feeders Raw Data'!BG80&amp;" - "&amp;'Feeders Raw Data'!BQ80</f>
        <v xml:space="preserve"> - </v>
      </c>
      <c r="AX80" s="1">
        <f>'Feeders Raw Data'!BS80</f>
        <v>0</v>
      </c>
      <c r="AY80">
        <f>'Feeders Raw Data'!BT80-'Feeders Raw Data'!B80</f>
        <v>0</v>
      </c>
      <c r="AZ80">
        <f>'Feeders Raw Data'!BU80-'Feeders Raw Data'!C80</f>
        <v>0</v>
      </c>
      <c r="BA80">
        <f>'Feeders Raw Data'!BV80-'Feeders Raw Data'!D80</f>
        <v>0</v>
      </c>
      <c r="BB80">
        <f>'Feeders Raw Data'!BW80-'Feeders Raw Data'!E80</f>
        <v>0</v>
      </c>
      <c r="BC80" t="str">
        <f>'Feeders Raw Data'!CA80&amp;" - "&amp;'Feeders Raw Data'!I80</f>
        <v xml:space="preserve"> - </v>
      </c>
    </row>
    <row r="81" spans="1:55" x14ac:dyDescent="0.25">
      <c r="A81" s="1">
        <f>'Feeders Raw Data'!A81</f>
        <v>0</v>
      </c>
      <c r="B81">
        <f>'Feeders Raw Data'!B81-'Feeders Raw Data'!L81</f>
        <v>0</v>
      </c>
      <c r="C81">
        <f>'Feeders Raw Data'!C81-'Feeders Raw Data'!M81</f>
        <v>0</v>
      </c>
      <c r="D81">
        <f>'Feeders Raw Data'!D81-'Feeders Raw Data'!N81</f>
        <v>0</v>
      </c>
      <c r="E81">
        <f>'Feeders Raw Data'!E81-'Feeders Raw Data'!O81</f>
        <v>0</v>
      </c>
      <c r="F81" t="str">
        <f>'Feeders Raw Data'!I81&amp;" - "&amp;'Feeders Raw Data'!S81</f>
        <v xml:space="preserve"> - </v>
      </c>
      <c r="H81" s="1">
        <f>'Feeders Raw Data'!AE81</f>
        <v>0</v>
      </c>
      <c r="I81">
        <f>'Feeders Raw Data'!AF81-'Feeders Raw Data'!AP81</f>
        <v>0</v>
      </c>
      <c r="J81">
        <f>'Feeders Raw Data'!AG81-'Feeders Raw Data'!AQ81</f>
        <v>0</v>
      </c>
      <c r="K81">
        <f>'Feeders Raw Data'!AH81-'Feeders Raw Data'!AR81</f>
        <v>0</v>
      </c>
      <c r="L81">
        <f>'Feeders Raw Data'!AI81-'Feeders Raw Data'!AS81</f>
        <v>0</v>
      </c>
      <c r="M81" t="str">
        <f>'Feeders Raw Data'!AM81&amp;" - "&amp;'Feeders Raw Data'!AW81</f>
        <v xml:space="preserve"> - </v>
      </c>
      <c r="O81" s="1">
        <f>'Feeders Raw Data'!BI81</f>
        <v>0</v>
      </c>
      <c r="P81">
        <f>'Feeders Raw Data'!BJ81-'Feeders Raw Data'!BT81</f>
        <v>0</v>
      </c>
      <c r="Q81">
        <f>'Feeders Raw Data'!BK81-'Feeders Raw Data'!BU81</f>
        <v>0</v>
      </c>
      <c r="R81">
        <f>'Feeders Raw Data'!BL81-'Feeders Raw Data'!BV81</f>
        <v>0</v>
      </c>
      <c r="S81">
        <f>'Feeders Raw Data'!BM81-'Feeders Raw Data'!BW81</f>
        <v>0</v>
      </c>
      <c r="T81" t="str">
        <f>'Feeders Raw Data'!BQ81&amp;" - "&amp;'Feeders Raw Data'!CA81</f>
        <v xml:space="preserve"> - </v>
      </c>
      <c r="V81" s="1">
        <f>'Feeders Raw Data'!K81</f>
        <v>0</v>
      </c>
      <c r="W81">
        <f>'Feeders Raw Data'!L81-'Feeders Raw Data'!V81</f>
        <v>0</v>
      </c>
      <c r="X81">
        <f>'Feeders Raw Data'!M81-'Feeders Raw Data'!W81</f>
        <v>0</v>
      </c>
      <c r="Y81">
        <f>'Feeders Raw Data'!N81-'Feeders Raw Data'!X81</f>
        <v>0</v>
      </c>
      <c r="Z81">
        <f>'Feeders Raw Data'!O81-'Feeders Raw Data'!Y81</f>
        <v>0</v>
      </c>
      <c r="AA81" t="str">
        <f>'Feeders Raw Data'!S81&amp;" - "&amp;'Feeders Raw Data'!AC81</f>
        <v xml:space="preserve"> - </v>
      </c>
      <c r="AC81" s="1">
        <f>'Feeders Raw Data'!U81</f>
        <v>0</v>
      </c>
      <c r="AD81">
        <f>'Feeders Raw Data'!V81-'Feeders Raw Data'!AF81</f>
        <v>0</v>
      </c>
      <c r="AE81">
        <f>'Feeders Raw Data'!W81-'Feeders Raw Data'!AG81</f>
        <v>0</v>
      </c>
      <c r="AF81">
        <f>'Feeders Raw Data'!X81-'Feeders Raw Data'!AH81</f>
        <v>0</v>
      </c>
      <c r="AG81">
        <f>'Feeders Raw Data'!Y81-'Feeders Raw Data'!AI81</f>
        <v>0</v>
      </c>
      <c r="AH81" t="str">
        <f>'Feeders Raw Data'!AC81&amp;" - "&amp;'Feeders Raw Data'!AM81</f>
        <v xml:space="preserve"> - </v>
      </c>
      <c r="AJ81" s="1">
        <f>'Feeders Raw Data'!AO81</f>
        <v>0</v>
      </c>
      <c r="AK81">
        <f>'Feeders Raw Data'!AP81-'Feeders Raw Data'!AZ81</f>
        <v>0</v>
      </c>
      <c r="AL81">
        <f>'Feeders Raw Data'!AQ81-'Feeders Raw Data'!BA81</f>
        <v>0</v>
      </c>
      <c r="AM81">
        <f>'Feeders Raw Data'!AR81-'Feeders Raw Data'!BB81</f>
        <v>0</v>
      </c>
      <c r="AN81">
        <f>'Feeders Raw Data'!AS81-'Feeders Raw Data'!BC81</f>
        <v>0</v>
      </c>
      <c r="AO81" t="str">
        <f>'Feeders Raw Data'!AW81&amp;" - "&amp;'Feeders Raw Data'!BG81</f>
        <v xml:space="preserve"> - </v>
      </c>
      <c r="AQ81" s="1">
        <f>'Feeders Raw Data'!AY81</f>
        <v>0</v>
      </c>
      <c r="AR81">
        <f>'Feeders Raw Data'!AZ81-'Feeders Raw Data'!BJ81</f>
        <v>0</v>
      </c>
      <c r="AS81">
        <f>'Feeders Raw Data'!BA81-'Feeders Raw Data'!BK81</f>
        <v>0</v>
      </c>
      <c r="AT81">
        <f>'Feeders Raw Data'!BB81-'Feeders Raw Data'!BL81</f>
        <v>0</v>
      </c>
      <c r="AU81">
        <f>'Feeders Raw Data'!BC81-'Feeders Raw Data'!BM81</f>
        <v>0</v>
      </c>
      <c r="AV81" t="str">
        <f>'Feeders Raw Data'!BG81&amp;" - "&amp;'Feeders Raw Data'!BQ81</f>
        <v xml:space="preserve"> - </v>
      </c>
      <c r="AX81" s="1">
        <f>'Feeders Raw Data'!BS81</f>
        <v>0</v>
      </c>
      <c r="AY81">
        <f>'Feeders Raw Data'!BT81-'Feeders Raw Data'!B81</f>
        <v>0</v>
      </c>
      <c r="AZ81">
        <f>'Feeders Raw Data'!BU81-'Feeders Raw Data'!C81</f>
        <v>0</v>
      </c>
      <c r="BA81">
        <f>'Feeders Raw Data'!BV81-'Feeders Raw Data'!D81</f>
        <v>0</v>
      </c>
      <c r="BB81">
        <f>'Feeders Raw Data'!BW81-'Feeders Raw Data'!E81</f>
        <v>0</v>
      </c>
      <c r="BC81" t="str">
        <f>'Feeders Raw Data'!CA81&amp;" - "&amp;'Feeders Raw Data'!I81</f>
        <v xml:space="preserve"> - </v>
      </c>
    </row>
    <row r="82" spans="1:55" x14ac:dyDescent="0.25">
      <c r="A82" s="1">
        <f>'Feeders Raw Data'!A82</f>
        <v>0</v>
      </c>
      <c r="B82">
        <f>'Feeders Raw Data'!B82-'Feeders Raw Data'!L82</f>
        <v>0</v>
      </c>
      <c r="C82">
        <f>'Feeders Raw Data'!C82-'Feeders Raw Data'!M82</f>
        <v>0</v>
      </c>
      <c r="D82">
        <f>'Feeders Raw Data'!D82-'Feeders Raw Data'!N82</f>
        <v>0</v>
      </c>
      <c r="E82">
        <f>'Feeders Raw Data'!E82-'Feeders Raw Data'!O82</f>
        <v>0</v>
      </c>
      <c r="F82" t="str">
        <f>'Feeders Raw Data'!I82&amp;" - "&amp;'Feeders Raw Data'!S82</f>
        <v xml:space="preserve"> - </v>
      </c>
      <c r="H82" s="1">
        <f>'Feeders Raw Data'!AE82</f>
        <v>0</v>
      </c>
      <c r="I82">
        <f>'Feeders Raw Data'!AF82-'Feeders Raw Data'!AP82</f>
        <v>0</v>
      </c>
      <c r="J82">
        <f>'Feeders Raw Data'!AG82-'Feeders Raw Data'!AQ82</f>
        <v>0</v>
      </c>
      <c r="K82">
        <f>'Feeders Raw Data'!AH82-'Feeders Raw Data'!AR82</f>
        <v>0</v>
      </c>
      <c r="L82">
        <f>'Feeders Raw Data'!AI82-'Feeders Raw Data'!AS82</f>
        <v>0</v>
      </c>
      <c r="M82" t="str">
        <f>'Feeders Raw Data'!AM82&amp;" - "&amp;'Feeders Raw Data'!AW82</f>
        <v xml:space="preserve"> - </v>
      </c>
      <c r="O82" s="1">
        <f>'Feeders Raw Data'!BI82</f>
        <v>0</v>
      </c>
      <c r="P82">
        <f>'Feeders Raw Data'!BJ82-'Feeders Raw Data'!BT82</f>
        <v>0</v>
      </c>
      <c r="Q82">
        <f>'Feeders Raw Data'!BK82-'Feeders Raw Data'!BU82</f>
        <v>0</v>
      </c>
      <c r="R82">
        <f>'Feeders Raw Data'!BL82-'Feeders Raw Data'!BV82</f>
        <v>0</v>
      </c>
      <c r="S82">
        <f>'Feeders Raw Data'!BM82-'Feeders Raw Data'!BW82</f>
        <v>0</v>
      </c>
      <c r="T82" t="str">
        <f>'Feeders Raw Data'!BQ82&amp;" - "&amp;'Feeders Raw Data'!CA82</f>
        <v xml:space="preserve"> - </v>
      </c>
      <c r="V82" s="1">
        <f>'Feeders Raw Data'!K82</f>
        <v>0</v>
      </c>
      <c r="W82">
        <f>'Feeders Raw Data'!L82-'Feeders Raw Data'!V82</f>
        <v>0</v>
      </c>
      <c r="X82">
        <f>'Feeders Raw Data'!M82-'Feeders Raw Data'!W82</f>
        <v>0</v>
      </c>
      <c r="Y82">
        <f>'Feeders Raw Data'!N82-'Feeders Raw Data'!X82</f>
        <v>0</v>
      </c>
      <c r="Z82">
        <f>'Feeders Raw Data'!O82-'Feeders Raw Data'!Y82</f>
        <v>0</v>
      </c>
      <c r="AA82" t="str">
        <f>'Feeders Raw Data'!S82&amp;" - "&amp;'Feeders Raw Data'!AC82</f>
        <v xml:space="preserve"> - </v>
      </c>
      <c r="AC82" s="1">
        <f>'Feeders Raw Data'!U82</f>
        <v>0</v>
      </c>
      <c r="AD82">
        <f>'Feeders Raw Data'!V82-'Feeders Raw Data'!AF82</f>
        <v>0</v>
      </c>
      <c r="AE82">
        <f>'Feeders Raw Data'!W82-'Feeders Raw Data'!AG82</f>
        <v>0</v>
      </c>
      <c r="AF82">
        <f>'Feeders Raw Data'!X82-'Feeders Raw Data'!AH82</f>
        <v>0</v>
      </c>
      <c r="AG82">
        <f>'Feeders Raw Data'!Y82-'Feeders Raw Data'!AI82</f>
        <v>0</v>
      </c>
      <c r="AH82" t="str">
        <f>'Feeders Raw Data'!AC82&amp;" - "&amp;'Feeders Raw Data'!AM82</f>
        <v xml:space="preserve"> - </v>
      </c>
      <c r="AJ82" s="1">
        <f>'Feeders Raw Data'!AO82</f>
        <v>0</v>
      </c>
      <c r="AK82">
        <f>'Feeders Raw Data'!AP82-'Feeders Raw Data'!AZ82</f>
        <v>0</v>
      </c>
      <c r="AL82">
        <f>'Feeders Raw Data'!AQ82-'Feeders Raw Data'!BA82</f>
        <v>0</v>
      </c>
      <c r="AM82">
        <f>'Feeders Raw Data'!AR82-'Feeders Raw Data'!BB82</f>
        <v>0</v>
      </c>
      <c r="AN82">
        <f>'Feeders Raw Data'!AS82-'Feeders Raw Data'!BC82</f>
        <v>0</v>
      </c>
      <c r="AO82" t="str">
        <f>'Feeders Raw Data'!AW82&amp;" - "&amp;'Feeders Raw Data'!BG82</f>
        <v xml:space="preserve"> - </v>
      </c>
      <c r="AQ82" s="1">
        <f>'Feeders Raw Data'!AY82</f>
        <v>0</v>
      </c>
      <c r="AR82">
        <f>'Feeders Raw Data'!AZ82-'Feeders Raw Data'!BJ82</f>
        <v>0</v>
      </c>
      <c r="AS82">
        <f>'Feeders Raw Data'!BA82-'Feeders Raw Data'!BK82</f>
        <v>0</v>
      </c>
      <c r="AT82">
        <f>'Feeders Raw Data'!BB82-'Feeders Raw Data'!BL82</f>
        <v>0</v>
      </c>
      <c r="AU82">
        <f>'Feeders Raw Data'!BC82-'Feeders Raw Data'!BM82</f>
        <v>0</v>
      </c>
      <c r="AV82" t="str">
        <f>'Feeders Raw Data'!BG82&amp;" - "&amp;'Feeders Raw Data'!BQ82</f>
        <v xml:space="preserve"> - </v>
      </c>
      <c r="AX82" s="1">
        <f>'Feeders Raw Data'!BS82</f>
        <v>0</v>
      </c>
      <c r="AY82">
        <f>'Feeders Raw Data'!BT82-'Feeders Raw Data'!B82</f>
        <v>0</v>
      </c>
      <c r="AZ82">
        <f>'Feeders Raw Data'!BU82-'Feeders Raw Data'!C82</f>
        <v>0</v>
      </c>
      <c r="BA82">
        <f>'Feeders Raw Data'!BV82-'Feeders Raw Data'!D82</f>
        <v>0</v>
      </c>
      <c r="BB82">
        <f>'Feeders Raw Data'!BW82-'Feeders Raw Data'!E82</f>
        <v>0</v>
      </c>
      <c r="BC82" t="str">
        <f>'Feeders Raw Data'!CA82&amp;" - "&amp;'Feeders Raw Data'!I82</f>
        <v xml:space="preserve"> - </v>
      </c>
    </row>
    <row r="83" spans="1:55" x14ac:dyDescent="0.25">
      <c r="A83" s="1">
        <f>'Feeders Raw Data'!A83</f>
        <v>0</v>
      </c>
      <c r="B83">
        <f>'Feeders Raw Data'!B83-'Feeders Raw Data'!L83</f>
        <v>0</v>
      </c>
      <c r="C83">
        <f>'Feeders Raw Data'!C83-'Feeders Raw Data'!M83</f>
        <v>0</v>
      </c>
      <c r="D83">
        <f>'Feeders Raw Data'!D83-'Feeders Raw Data'!N83</f>
        <v>0</v>
      </c>
      <c r="E83">
        <f>'Feeders Raw Data'!E83-'Feeders Raw Data'!O83</f>
        <v>0</v>
      </c>
      <c r="F83" t="str">
        <f>'Feeders Raw Data'!I83&amp;" - "&amp;'Feeders Raw Data'!S83</f>
        <v xml:space="preserve"> - </v>
      </c>
      <c r="H83" s="1">
        <f>'Feeders Raw Data'!AE83</f>
        <v>0</v>
      </c>
      <c r="I83">
        <f>'Feeders Raw Data'!AF83-'Feeders Raw Data'!AP83</f>
        <v>0</v>
      </c>
      <c r="J83">
        <f>'Feeders Raw Data'!AG83-'Feeders Raw Data'!AQ83</f>
        <v>0</v>
      </c>
      <c r="K83">
        <f>'Feeders Raw Data'!AH83-'Feeders Raw Data'!AR83</f>
        <v>0</v>
      </c>
      <c r="L83">
        <f>'Feeders Raw Data'!AI83-'Feeders Raw Data'!AS83</f>
        <v>0</v>
      </c>
      <c r="M83" t="str">
        <f>'Feeders Raw Data'!AM83&amp;" - "&amp;'Feeders Raw Data'!AW83</f>
        <v xml:space="preserve"> - </v>
      </c>
      <c r="O83" s="1">
        <f>'Feeders Raw Data'!BI83</f>
        <v>0</v>
      </c>
      <c r="P83">
        <f>'Feeders Raw Data'!BJ83-'Feeders Raw Data'!BT83</f>
        <v>0</v>
      </c>
      <c r="Q83">
        <f>'Feeders Raw Data'!BK83-'Feeders Raw Data'!BU83</f>
        <v>0</v>
      </c>
      <c r="R83">
        <f>'Feeders Raw Data'!BL83-'Feeders Raw Data'!BV83</f>
        <v>0</v>
      </c>
      <c r="S83">
        <f>'Feeders Raw Data'!BM83-'Feeders Raw Data'!BW83</f>
        <v>0</v>
      </c>
      <c r="T83" t="str">
        <f>'Feeders Raw Data'!BQ83&amp;" - "&amp;'Feeders Raw Data'!CA83</f>
        <v xml:space="preserve"> - </v>
      </c>
      <c r="V83" s="1">
        <f>'Feeders Raw Data'!K83</f>
        <v>0</v>
      </c>
      <c r="W83">
        <f>'Feeders Raw Data'!L83-'Feeders Raw Data'!V83</f>
        <v>0</v>
      </c>
      <c r="X83">
        <f>'Feeders Raw Data'!M83-'Feeders Raw Data'!W83</f>
        <v>0</v>
      </c>
      <c r="Y83">
        <f>'Feeders Raw Data'!N83-'Feeders Raw Data'!X83</f>
        <v>0</v>
      </c>
      <c r="Z83">
        <f>'Feeders Raw Data'!O83-'Feeders Raw Data'!Y83</f>
        <v>0</v>
      </c>
      <c r="AA83" t="str">
        <f>'Feeders Raw Data'!S83&amp;" - "&amp;'Feeders Raw Data'!AC83</f>
        <v xml:space="preserve"> - </v>
      </c>
      <c r="AC83" s="1">
        <f>'Feeders Raw Data'!U83</f>
        <v>0</v>
      </c>
      <c r="AD83">
        <f>'Feeders Raw Data'!V83-'Feeders Raw Data'!AF83</f>
        <v>0</v>
      </c>
      <c r="AE83">
        <f>'Feeders Raw Data'!W83-'Feeders Raw Data'!AG83</f>
        <v>0</v>
      </c>
      <c r="AF83">
        <f>'Feeders Raw Data'!X83-'Feeders Raw Data'!AH83</f>
        <v>0</v>
      </c>
      <c r="AG83">
        <f>'Feeders Raw Data'!Y83-'Feeders Raw Data'!AI83</f>
        <v>0</v>
      </c>
      <c r="AH83" t="str">
        <f>'Feeders Raw Data'!AC83&amp;" - "&amp;'Feeders Raw Data'!AM83</f>
        <v xml:space="preserve"> - </v>
      </c>
      <c r="AJ83" s="1">
        <f>'Feeders Raw Data'!AO83</f>
        <v>0</v>
      </c>
      <c r="AK83">
        <f>'Feeders Raw Data'!AP83-'Feeders Raw Data'!AZ83</f>
        <v>0</v>
      </c>
      <c r="AL83">
        <f>'Feeders Raw Data'!AQ83-'Feeders Raw Data'!BA83</f>
        <v>0</v>
      </c>
      <c r="AM83">
        <f>'Feeders Raw Data'!AR83-'Feeders Raw Data'!BB83</f>
        <v>0</v>
      </c>
      <c r="AN83">
        <f>'Feeders Raw Data'!AS83-'Feeders Raw Data'!BC83</f>
        <v>0</v>
      </c>
      <c r="AO83" t="str">
        <f>'Feeders Raw Data'!AW83&amp;" - "&amp;'Feeders Raw Data'!BG83</f>
        <v xml:space="preserve"> - </v>
      </c>
      <c r="AQ83" s="1">
        <f>'Feeders Raw Data'!AY83</f>
        <v>0</v>
      </c>
      <c r="AR83">
        <f>'Feeders Raw Data'!AZ83-'Feeders Raw Data'!BJ83</f>
        <v>0</v>
      </c>
      <c r="AS83">
        <f>'Feeders Raw Data'!BA83-'Feeders Raw Data'!BK83</f>
        <v>0</v>
      </c>
      <c r="AT83">
        <f>'Feeders Raw Data'!BB83-'Feeders Raw Data'!BL83</f>
        <v>0</v>
      </c>
      <c r="AU83">
        <f>'Feeders Raw Data'!BC83-'Feeders Raw Data'!BM83</f>
        <v>0</v>
      </c>
      <c r="AV83" t="str">
        <f>'Feeders Raw Data'!BG83&amp;" - "&amp;'Feeders Raw Data'!BQ83</f>
        <v xml:space="preserve"> - </v>
      </c>
      <c r="AX83" s="1">
        <f>'Feeders Raw Data'!BS83</f>
        <v>0</v>
      </c>
      <c r="AY83">
        <f>'Feeders Raw Data'!BT83-'Feeders Raw Data'!B83</f>
        <v>0</v>
      </c>
      <c r="AZ83">
        <f>'Feeders Raw Data'!BU83-'Feeders Raw Data'!C83</f>
        <v>0</v>
      </c>
      <c r="BA83">
        <f>'Feeders Raw Data'!BV83-'Feeders Raw Data'!D83</f>
        <v>0</v>
      </c>
      <c r="BB83">
        <f>'Feeders Raw Data'!BW83-'Feeders Raw Data'!E83</f>
        <v>0</v>
      </c>
      <c r="BC83" t="str">
        <f>'Feeders Raw Data'!CA83&amp;" - "&amp;'Feeders Raw Data'!I83</f>
        <v xml:space="preserve"> - </v>
      </c>
    </row>
    <row r="84" spans="1:55" x14ac:dyDescent="0.25">
      <c r="A84" s="1">
        <f>'Feeders Raw Data'!A84</f>
        <v>0</v>
      </c>
      <c r="B84">
        <f>'Feeders Raw Data'!B84-'Feeders Raw Data'!L84</f>
        <v>0</v>
      </c>
      <c r="C84">
        <f>'Feeders Raw Data'!C84-'Feeders Raw Data'!M84</f>
        <v>0</v>
      </c>
      <c r="D84">
        <f>'Feeders Raw Data'!D84-'Feeders Raw Data'!N84</f>
        <v>0</v>
      </c>
      <c r="E84">
        <f>'Feeders Raw Data'!E84-'Feeders Raw Data'!O84</f>
        <v>0</v>
      </c>
      <c r="F84" t="str">
        <f>'Feeders Raw Data'!I84&amp;" - "&amp;'Feeders Raw Data'!S84</f>
        <v xml:space="preserve"> - </v>
      </c>
      <c r="H84" s="1">
        <f>'Feeders Raw Data'!AE84</f>
        <v>0</v>
      </c>
      <c r="I84">
        <f>'Feeders Raw Data'!AF84-'Feeders Raw Data'!AP84</f>
        <v>0</v>
      </c>
      <c r="J84">
        <f>'Feeders Raw Data'!AG84-'Feeders Raw Data'!AQ84</f>
        <v>0</v>
      </c>
      <c r="K84">
        <f>'Feeders Raw Data'!AH84-'Feeders Raw Data'!AR84</f>
        <v>0</v>
      </c>
      <c r="L84">
        <f>'Feeders Raw Data'!AI84-'Feeders Raw Data'!AS84</f>
        <v>0</v>
      </c>
      <c r="M84" t="str">
        <f>'Feeders Raw Data'!AM84&amp;" - "&amp;'Feeders Raw Data'!AW84</f>
        <v xml:space="preserve"> - </v>
      </c>
      <c r="O84" s="1">
        <f>'Feeders Raw Data'!BI84</f>
        <v>0</v>
      </c>
      <c r="P84">
        <f>'Feeders Raw Data'!BJ84-'Feeders Raw Data'!BT84</f>
        <v>0</v>
      </c>
      <c r="Q84">
        <f>'Feeders Raw Data'!BK84-'Feeders Raw Data'!BU84</f>
        <v>0</v>
      </c>
      <c r="R84">
        <f>'Feeders Raw Data'!BL84-'Feeders Raw Data'!BV84</f>
        <v>0</v>
      </c>
      <c r="S84">
        <f>'Feeders Raw Data'!BM84-'Feeders Raw Data'!BW84</f>
        <v>0</v>
      </c>
      <c r="T84" t="str">
        <f>'Feeders Raw Data'!BQ84&amp;" - "&amp;'Feeders Raw Data'!CA84</f>
        <v xml:space="preserve"> - </v>
      </c>
      <c r="V84" s="1">
        <f>'Feeders Raw Data'!K84</f>
        <v>0</v>
      </c>
      <c r="W84">
        <f>'Feeders Raw Data'!L84-'Feeders Raw Data'!V84</f>
        <v>0</v>
      </c>
      <c r="X84">
        <f>'Feeders Raw Data'!M84-'Feeders Raw Data'!W84</f>
        <v>0</v>
      </c>
      <c r="Y84">
        <f>'Feeders Raw Data'!N84-'Feeders Raw Data'!X84</f>
        <v>0</v>
      </c>
      <c r="Z84">
        <f>'Feeders Raw Data'!O84-'Feeders Raw Data'!Y84</f>
        <v>0</v>
      </c>
      <c r="AA84" t="str">
        <f>'Feeders Raw Data'!S84&amp;" - "&amp;'Feeders Raw Data'!AC84</f>
        <v xml:space="preserve"> - </v>
      </c>
      <c r="AC84" s="1">
        <f>'Feeders Raw Data'!U84</f>
        <v>0</v>
      </c>
      <c r="AD84">
        <f>'Feeders Raw Data'!V84-'Feeders Raw Data'!AF84</f>
        <v>0</v>
      </c>
      <c r="AE84">
        <f>'Feeders Raw Data'!W84-'Feeders Raw Data'!AG84</f>
        <v>0</v>
      </c>
      <c r="AF84">
        <f>'Feeders Raw Data'!X84-'Feeders Raw Data'!AH84</f>
        <v>0</v>
      </c>
      <c r="AG84">
        <f>'Feeders Raw Data'!Y84-'Feeders Raw Data'!AI84</f>
        <v>0</v>
      </c>
      <c r="AH84" t="str">
        <f>'Feeders Raw Data'!AC84&amp;" - "&amp;'Feeders Raw Data'!AM84</f>
        <v xml:space="preserve"> - </v>
      </c>
      <c r="AJ84" s="1">
        <f>'Feeders Raw Data'!AO84</f>
        <v>0</v>
      </c>
      <c r="AK84">
        <f>'Feeders Raw Data'!AP84-'Feeders Raw Data'!AZ84</f>
        <v>0</v>
      </c>
      <c r="AL84">
        <f>'Feeders Raw Data'!AQ84-'Feeders Raw Data'!BA84</f>
        <v>0</v>
      </c>
      <c r="AM84">
        <f>'Feeders Raw Data'!AR84-'Feeders Raw Data'!BB84</f>
        <v>0</v>
      </c>
      <c r="AN84">
        <f>'Feeders Raw Data'!AS84-'Feeders Raw Data'!BC84</f>
        <v>0</v>
      </c>
      <c r="AO84" t="str">
        <f>'Feeders Raw Data'!AW84&amp;" - "&amp;'Feeders Raw Data'!BG84</f>
        <v xml:space="preserve"> - </v>
      </c>
      <c r="AQ84" s="1">
        <f>'Feeders Raw Data'!AY84</f>
        <v>0</v>
      </c>
      <c r="AR84">
        <f>'Feeders Raw Data'!AZ84-'Feeders Raw Data'!BJ84</f>
        <v>0</v>
      </c>
      <c r="AS84">
        <f>'Feeders Raw Data'!BA84-'Feeders Raw Data'!BK84</f>
        <v>0</v>
      </c>
      <c r="AT84">
        <f>'Feeders Raw Data'!BB84-'Feeders Raw Data'!BL84</f>
        <v>0</v>
      </c>
      <c r="AU84">
        <f>'Feeders Raw Data'!BC84-'Feeders Raw Data'!BM84</f>
        <v>0</v>
      </c>
      <c r="AV84" t="str">
        <f>'Feeders Raw Data'!BG84&amp;" - "&amp;'Feeders Raw Data'!BQ84</f>
        <v xml:space="preserve"> - </v>
      </c>
      <c r="AX84" s="1">
        <f>'Feeders Raw Data'!BS84</f>
        <v>0</v>
      </c>
      <c r="AY84">
        <f>'Feeders Raw Data'!BT84-'Feeders Raw Data'!B84</f>
        <v>0</v>
      </c>
      <c r="AZ84">
        <f>'Feeders Raw Data'!BU84-'Feeders Raw Data'!C84</f>
        <v>0</v>
      </c>
      <c r="BA84">
        <f>'Feeders Raw Data'!BV84-'Feeders Raw Data'!D84</f>
        <v>0</v>
      </c>
      <c r="BB84">
        <f>'Feeders Raw Data'!BW84-'Feeders Raw Data'!E84</f>
        <v>0</v>
      </c>
      <c r="BC84" t="str">
        <f>'Feeders Raw Data'!CA84&amp;" - "&amp;'Feeders Raw Data'!I84</f>
        <v xml:space="preserve"> - </v>
      </c>
    </row>
    <row r="85" spans="1:55" x14ac:dyDescent="0.25">
      <c r="A85" s="1">
        <f>'Feeders Raw Data'!A85</f>
        <v>0</v>
      </c>
      <c r="B85">
        <f>'Feeders Raw Data'!B85-'Feeders Raw Data'!L85</f>
        <v>0</v>
      </c>
      <c r="C85">
        <f>'Feeders Raw Data'!C85-'Feeders Raw Data'!M85</f>
        <v>0</v>
      </c>
      <c r="D85">
        <f>'Feeders Raw Data'!D85-'Feeders Raw Data'!N85</f>
        <v>0</v>
      </c>
      <c r="E85">
        <f>'Feeders Raw Data'!E85-'Feeders Raw Data'!O85</f>
        <v>0</v>
      </c>
      <c r="F85" t="str">
        <f>'Feeders Raw Data'!I85&amp;" - "&amp;'Feeders Raw Data'!S85</f>
        <v xml:space="preserve"> - </v>
      </c>
      <c r="H85" s="1">
        <f>'Feeders Raw Data'!AE85</f>
        <v>0</v>
      </c>
      <c r="I85">
        <f>'Feeders Raw Data'!AF85-'Feeders Raw Data'!AP85</f>
        <v>0</v>
      </c>
      <c r="J85">
        <f>'Feeders Raw Data'!AG85-'Feeders Raw Data'!AQ85</f>
        <v>0</v>
      </c>
      <c r="K85">
        <f>'Feeders Raw Data'!AH85-'Feeders Raw Data'!AR85</f>
        <v>0</v>
      </c>
      <c r="L85">
        <f>'Feeders Raw Data'!AI85-'Feeders Raw Data'!AS85</f>
        <v>0</v>
      </c>
      <c r="M85" t="str">
        <f>'Feeders Raw Data'!AM85&amp;" - "&amp;'Feeders Raw Data'!AW85</f>
        <v xml:space="preserve"> - </v>
      </c>
      <c r="O85" s="1">
        <f>'Feeders Raw Data'!BI85</f>
        <v>0</v>
      </c>
      <c r="P85">
        <f>'Feeders Raw Data'!BJ85-'Feeders Raw Data'!BT85</f>
        <v>0</v>
      </c>
      <c r="Q85">
        <f>'Feeders Raw Data'!BK85-'Feeders Raw Data'!BU85</f>
        <v>0</v>
      </c>
      <c r="R85">
        <f>'Feeders Raw Data'!BL85-'Feeders Raw Data'!BV85</f>
        <v>0</v>
      </c>
      <c r="S85">
        <f>'Feeders Raw Data'!BM85-'Feeders Raw Data'!BW85</f>
        <v>0</v>
      </c>
      <c r="T85" t="str">
        <f>'Feeders Raw Data'!BQ85&amp;" - "&amp;'Feeders Raw Data'!CA85</f>
        <v xml:space="preserve"> - </v>
      </c>
      <c r="V85" s="1">
        <f>'Feeders Raw Data'!K85</f>
        <v>0</v>
      </c>
      <c r="W85">
        <f>'Feeders Raw Data'!L85-'Feeders Raw Data'!V85</f>
        <v>0</v>
      </c>
      <c r="X85">
        <f>'Feeders Raw Data'!M85-'Feeders Raw Data'!W85</f>
        <v>0</v>
      </c>
      <c r="Y85">
        <f>'Feeders Raw Data'!N85-'Feeders Raw Data'!X85</f>
        <v>0</v>
      </c>
      <c r="Z85">
        <f>'Feeders Raw Data'!O85-'Feeders Raw Data'!Y85</f>
        <v>0</v>
      </c>
      <c r="AA85" t="str">
        <f>'Feeders Raw Data'!S85&amp;" - "&amp;'Feeders Raw Data'!AC85</f>
        <v xml:space="preserve"> - </v>
      </c>
      <c r="AC85" s="1">
        <f>'Feeders Raw Data'!U85</f>
        <v>0</v>
      </c>
      <c r="AD85">
        <f>'Feeders Raw Data'!V85-'Feeders Raw Data'!AF85</f>
        <v>0</v>
      </c>
      <c r="AE85">
        <f>'Feeders Raw Data'!W85-'Feeders Raw Data'!AG85</f>
        <v>0</v>
      </c>
      <c r="AF85">
        <f>'Feeders Raw Data'!X85-'Feeders Raw Data'!AH85</f>
        <v>0</v>
      </c>
      <c r="AG85">
        <f>'Feeders Raw Data'!Y85-'Feeders Raw Data'!AI85</f>
        <v>0</v>
      </c>
      <c r="AH85" t="str">
        <f>'Feeders Raw Data'!AC85&amp;" - "&amp;'Feeders Raw Data'!AM85</f>
        <v xml:space="preserve"> - </v>
      </c>
      <c r="AJ85" s="1">
        <f>'Feeders Raw Data'!AO85</f>
        <v>0</v>
      </c>
      <c r="AK85">
        <f>'Feeders Raw Data'!AP85-'Feeders Raw Data'!AZ85</f>
        <v>0</v>
      </c>
      <c r="AL85">
        <f>'Feeders Raw Data'!AQ85-'Feeders Raw Data'!BA85</f>
        <v>0</v>
      </c>
      <c r="AM85">
        <f>'Feeders Raw Data'!AR85-'Feeders Raw Data'!BB85</f>
        <v>0</v>
      </c>
      <c r="AN85">
        <f>'Feeders Raw Data'!AS85-'Feeders Raw Data'!BC85</f>
        <v>0</v>
      </c>
      <c r="AO85" t="str">
        <f>'Feeders Raw Data'!AW85&amp;" - "&amp;'Feeders Raw Data'!BG85</f>
        <v xml:space="preserve"> - </v>
      </c>
      <c r="AQ85" s="1">
        <f>'Feeders Raw Data'!AY85</f>
        <v>0</v>
      </c>
      <c r="AR85">
        <f>'Feeders Raw Data'!AZ85-'Feeders Raw Data'!BJ85</f>
        <v>0</v>
      </c>
      <c r="AS85">
        <f>'Feeders Raw Data'!BA85-'Feeders Raw Data'!BK85</f>
        <v>0</v>
      </c>
      <c r="AT85">
        <f>'Feeders Raw Data'!BB85-'Feeders Raw Data'!BL85</f>
        <v>0</v>
      </c>
      <c r="AU85">
        <f>'Feeders Raw Data'!BC85-'Feeders Raw Data'!BM85</f>
        <v>0</v>
      </c>
      <c r="AV85" t="str">
        <f>'Feeders Raw Data'!BG85&amp;" - "&amp;'Feeders Raw Data'!BQ85</f>
        <v xml:space="preserve"> - </v>
      </c>
      <c r="AX85" s="1">
        <f>'Feeders Raw Data'!BS85</f>
        <v>0</v>
      </c>
      <c r="AY85">
        <f>'Feeders Raw Data'!BT85-'Feeders Raw Data'!B85</f>
        <v>0</v>
      </c>
      <c r="AZ85">
        <f>'Feeders Raw Data'!BU85-'Feeders Raw Data'!C85</f>
        <v>0</v>
      </c>
      <c r="BA85">
        <f>'Feeders Raw Data'!BV85-'Feeders Raw Data'!D85</f>
        <v>0</v>
      </c>
      <c r="BB85">
        <f>'Feeders Raw Data'!BW85-'Feeders Raw Data'!E85</f>
        <v>0</v>
      </c>
      <c r="BC85" t="str">
        <f>'Feeders Raw Data'!CA85&amp;" - "&amp;'Feeders Raw Data'!I85</f>
        <v xml:space="preserve"> - </v>
      </c>
    </row>
    <row r="86" spans="1:55" x14ac:dyDescent="0.25">
      <c r="A86" s="1">
        <f>'Feeders Raw Data'!A86</f>
        <v>0</v>
      </c>
      <c r="B86">
        <f>'Feeders Raw Data'!B86-'Feeders Raw Data'!L86</f>
        <v>0</v>
      </c>
      <c r="C86">
        <f>'Feeders Raw Data'!C86-'Feeders Raw Data'!M86</f>
        <v>0</v>
      </c>
      <c r="D86">
        <f>'Feeders Raw Data'!D86-'Feeders Raw Data'!N86</f>
        <v>0</v>
      </c>
      <c r="E86">
        <f>'Feeders Raw Data'!E86-'Feeders Raw Data'!O86</f>
        <v>0</v>
      </c>
      <c r="F86" t="str">
        <f>'Feeders Raw Data'!I86&amp;" - "&amp;'Feeders Raw Data'!S86</f>
        <v xml:space="preserve"> - </v>
      </c>
      <c r="H86" s="1">
        <f>'Feeders Raw Data'!AE86</f>
        <v>0</v>
      </c>
      <c r="I86">
        <f>'Feeders Raw Data'!AF86-'Feeders Raw Data'!AP86</f>
        <v>0</v>
      </c>
      <c r="J86">
        <f>'Feeders Raw Data'!AG86-'Feeders Raw Data'!AQ86</f>
        <v>0</v>
      </c>
      <c r="K86">
        <f>'Feeders Raw Data'!AH86-'Feeders Raw Data'!AR86</f>
        <v>0</v>
      </c>
      <c r="L86">
        <f>'Feeders Raw Data'!AI86-'Feeders Raw Data'!AS86</f>
        <v>0</v>
      </c>
      <c r="M86" t="str">
        <f>'Feeders Raw Data'!AM86&amp;" - "&amp;'Feeders Raw Data'!AW86</f>
        <v xml:space="preserve"> - </v>
      </c>
      <c r="O86" s="1">
        <f>'Feeders Raw Data'!BI86</f>
        <v>0</v>
      </c>
      <c r="P86">
        <f>'Feeders Raw Data'!BJ86-'Feeders Raw Data'!BT86</f>
        <v>0</v>
      </c>
      <c r="Q86">
        <f>'Feeders Raw Data'!BK86-'Feeders Raw Data'!BU86</f>
        <v>0</v>
      </c>
      <c r="R86">
        <f>'Feeders Raw Data'!BL86-'Feeders Raw Data'!BV86</f>
        <v>0</v>
      </c>
      <c r="S86">
        <f>'Feeders Raw Data'!BM86-'Feeders Raw Data'!BW86</f>
        <v>0</v>
      </c>
      <c r="T86" t="str">
        <f>'Feeders Raw Data'!BQ86&amp;" - "&amp;'Feeders Raw Data'!CA86</f>
        <v xml:space="preserve"> - </v>
      </c>
      <c r="V86" s="1">
        <f>'Feeders Raw Data'!K86</f>
        <v>0</v>
      </c>
      <c r="W86">
        <f>'Feeders Raw Data'!L86-'Feeders Raw Data'!V86</f>
        <v>0</v>
      </c>
      <c r="X86">
        <f>'Feeders Raw Data'!M86-'Feeders Raw Data'!W86</f>
        <v>0</v>
      </c>
      <c r="Y86">
        <f>'Feeders Raw Data'!N86-'Feeders Raw Data'!X86</f>
        <v>0</v>
      </c>
      <c r="Z86">
        <f>'Feeders Raw Data'!O86-'Feeders Raw Data'!Y86</f>
        <v>0</v>
      </c>
      <c r="AA86" t="str">
        <f>'Feeders Raw Data'!S86&amp;" - "&amp;'Feeders Raw Data'!AC86</f>
        <v xml:space="preserve"> - </v>
      </c>
      <c r="AC86" s="1">
        <f>'Feeders Raw Data'!U86</f>
        <v>0</v>
      </c>
      <c r="AD86">
        <f>'Feeders Raw Data'!V86-'Feeders Raw Data'!AF86</f>
        <v>0</v>
      </c>
      <c r="AE86">
        <f>'Feeders Raw Data'!W86-'Feeders Raw Data'!AG86</f>
        <v>0</v>
      </c>
      <c r="AF86">
        <f>'Feeders Raw Data'!X86-'Feeders Raw Data'!AH86</f>
        <v>0</v>
      </c>
      <c r="AG86">
        <f>'Feeders Raw Data'!Y86-'Feeders Raw Data'!AI86</f>
        <v>0</v>
      </c>
      <c r="AH86" t="str">
        <f>'Feeders Raw Data'!AC86&amp;" - "&amp;'Feeders Raw Data'!AM86</f>
        <v xml:space="preserve"> - </v>
      </c>
      <c r="AJ86" s="1">
        <f>'Feeders Raw Data'!AO86</f>
        <v>0</v>
      </c>
      <c r="AK86">
        <f>'Feeders Raw Data'!AP86-'Feeders Raw Data'!AZ86</f>
        <v>0</v>
      </c>
      <c r="AL86">
        <f>'Feeders Raw Data'!AQ86-'Feeders Raw Data'!BA86</f>
        <v>0</v>
      </c>
      <c r="AM86">
        <f>'Feeders Raw Data'!AR86-'Feeders Raw Data'!BB86</f>
        <v>0</v>
      </c>
      <c r="AN86">
        <f>'Feeders Raw Data'!AS86-'Feeders Raw Data'!BC86</f>
        <v>0</v>
      </c>
      <c r="AO86" t="str">
        <f>'Feeders Raw Data'!AW86&amp;" - "&amp;'Feeders Raw Data'!BG86</f>
        <v xml:space="preserve"> - </v>
      </c>
      <c r="AQ86" s="1">
        <f>'Feeders Raw Data'!AY86</f>
        <v>0</v>
      </c>
      <c r="AR86">
        <f>'Feeders Raw Data'!AZ86-'Feeders Raw Data'!BJ86</f>
        <v>0</v>
      </c>
      <c r="AS86">
        <f>'Feeders Raw Data'!BA86-'Feeders Raw Data'!BK86</f>
        <v>0</v>
      </c>
      <c r="AT86">
        <f>'Feeders Raw Data'!BB86-'Feeders Raw Data'!BL86</f>
        <v>0</v>
      </c>
      <c r="AU86">
        <f>'Feeders Raw Data'!BC86-'Feeders Raw Data'!BM86</f>
        <v>0</v>
      </c>
      <c r="AV86" t="str">
        <f>'Feeders Raw Data'!BG86&amp;" - "&amp;'Feeders Raw Data'!BQ86</f>
        <v xml:space="preserve"> - </v>
      </c>
      <c r="AX86" s="1">
        <f>'Feeders Raw Data'!BS86</f>
        <v>0</v>
      </c>
      <c r="AY86">
        <f>'Feeders Raw Data'!BT86-'Feeders Raw Data'!B86</f>
        <v>0</v>
      </c>
      <c r="AZ86">
        <f>'Feeders Raw Data'!BU86-'Feeders Raw Data'!C86</f>
        <v>0</v>
      </c>
      <c r="BA86">
        <f>'Feeders Raw Data'!BV86-'Feeders Raw Data'!D86</f>
        <v>0</v>
      </c>
      <c r="BB86">
        <f>'Feeders Raw Data'!BW86-'Feeders Raw Data'!E86</f>
        <v>0</v>
      </c>
      <c r="BC86" t="str">
        <f>'Feeders Raw Data'!CA86&amp;" - "&amp;'Feeders Raw Data'!I86</f>
        <v xml:space="preserve"> - </v>
      </c>
    </row>
    <row r="87" spans="1:55" x14ac:dyDescent="0.25">
      <c r="A87" s="1">
        <f>'Feeders Raw Data'!A87</f>
        <v>0</v>
      </c>
      <c r="B87">
        <f>'Feeders Raw Data'!B87-'Feeders Raw Data'!L87</f>
        <v>0</v>
      </c>
      <c r="C87">
        <f>'Feeders Raw Data'!C87-'Feeders Raw Data'!M87</f>
        <v>0</v>
      </c>
      <c r="D87">
        <f>'Feeders Raw Data'!D87-'Feeders Raw Data'!N87</f>
        <v>0</v>
      </c>
      <c r="E87">
        <f>'Feeders Raw Data'!E87-'Feeders Raw Data'!O87</f>
        <v>0</v>
      </c>
      <c r="F87" t="str">
        <f>'Feeders Raw Data'!I87&amp;" - "&amp;'Feeders Raw Data'!S87</f>
        <v xml:space="preserve"> - </v>
      </c>
      <c r="H87" s="1">
        <f>'Feeders Raw Data'!AE87</f>
        <v>0</v>
      </c>
      <c r="I87">
        <f>'Feeders Raw Data'!AF87-'Feeders Raw Data'!AP87</f>
        <v>0</v>
      </c>
      <c r="J87">
        <f>'Feeders Raw Data'!AG87-'Feeders Raw Data'!AQ87</f>
        <v>0</v>
      </c>
      <c r="K87">
        <f>'Feeders Raw Data'!AH87-'Feeders Raw Data'!AR87</f>
        <v>0</v>
      </c>
      <c r="L87">
        <f>'Feeders Raw Data'!AI87-'Feeders Raw Data'!AS87</f>
        <v>0</v>
      </c>
      <c r="M87" t="str">
        <f>'Feeders Raw Data'!AM87&amp;" - "&amp;'Feeders Raw Data'!AW87</f>
        <v xml:space="preserve"> - </v>
      </c>
      <c r="O87" s="1">
        <f>'Feeders Raw Data'!BI87</f>
        <v>0</v>
      </c>
      <c r="P87">
        <f>'Feeders Raw Data'!BJ87-'Feeders Raw Data'!BT87</f>
        <v>0</v>
      </c>
      <c r="Q87">
        <f>'Feeders Raw Data'!BK87-'Feeders Raw Data'!BU87</f>
        <v>0</v>
      </c>
      <c r="R87">
        <f>'Feeders Raw Data'!BL87-'Feeders Raw Data'!BV87</f>
        <v>0</v>
      </c>
      <c r="S87">
        <f>'Feeders Raw Data'!BM87-'Feeders Raw Data'!BW87</f>
        <v>0</v>
      </c>
      <c r="T87" t="str">
        <f>'Feeders Raw Data'!BQ87&amp;" - "&amp;'Feeders Raw Data'!CA87</f>
        <v xml:space="preserve"> - </v>
      </c>
      <c r="V87" s="1">
        <f>'Feeders Raw Data'!K87</f>
        <v>0</v>
      </c>
      <c r="W87">
        <f>'Feeders Raw Data'!L87-'Feeders Raw Data'!V87</f>
        <v>0</v>
      </c>
      <c r="X87">
        <f>'Feeders Raw Data'!M87-'Feeders Raw Data'!W87</f>
        <v>0</v>
      </c>
      <c r="Y87">
        <f>'Feeders Raw Data'!N87-'Feeders Raw Data'!X87</f>
        <v>0</v>
      </c>
      <c r="Z87">
        <f>'Feeders Raw Data'!O87-'Feeders Raw Data'!Y87</f>
        <v>0</v>
      </c>
      <c r="AA87" t="str">
        <f>'Feeders Raw Data'!S87&amp;" - "&amp;'Feeders Raw Data'!AC87</f>
        <v xml:space="preserve"> - </v>
      </c>
      <c r="AC87" s="1">
        <f>'Feeders Raw Data'!U87</f>
        <v>0</v>
      </c>
      <c r="AD87">
        <f>'Feeders Raw Data'!V87-'Feeders Raw Data'!AF87</f>
        <v>0</v>
      </c>
      <c r="AE87">
        <f>'Feeders Raw Data'!W87-'Feeders Raw Data'!AG87</f>
        <v>0</v>
      </c>
      <c r="AF87">
        <f>'Feeders Raw Data'!X87-'Feeders Raw Data'!AH87</f>
        <v>0</v>
      </c>
      <c r="AG87">
        <f>'Feeders Raw Data'!Y87-'Feeders Raw Data'!AI87</f>
        <v>0</v>
      </c>
      <c r="AH87" t="str">
        <f>'Feeders Raw Data'!AC87&amp;" - "&amp;'Feeders Raw Data'!AM87</f>
        <v xml:space="preserve"> - </v>
      </c>
      <c r="AJ87" s="1">
        <f>'Feeders Raw Data'!AO87</f>
        <v>0</v>
      </c>
      <c r="AK87">
        <f>'Feeders Raw Data'!AP87-'Feeders Raw Data'!AZ87</f>
        <v>0</v>
      </c>
      <c r="AL87">
        <f>'Feeders Raw Data'!AQ87-'Feeders Raw Data'!BA87</f>
        <v>0</v>
      </c>
      <c r="AM87">
        <f>'Feeders Raw Data'!AR87-'Feeders Raw Data'!BB87</f>
        <v>0</v>
      </c>
      <c r="AN87">
        <f>'Feeders Raw Data'!AS87-'Feeders Raw Data'!BC87</f>
        <v>0</v>
      </c>
      <c r="AO87" t="str">
        <f>'Feeders Raw Data'!AW87&amp;" - "&amp;'Feeders Raw Data'!BG87</f>
        <v xml:space="preserve"> - </v>
      </c>
      <c r="AQ87" s="1">
        <f>'Feeders Raw Data'!AY87</f>
        <v>0</v>
      </c>
      <c r="AR87">
        <f>'Feeders Raw Data'!AZ87-'Feeders Raw Data'!BJ87</f>
        <v>0</v>
      </c>
      <c r="AS87">
        <f>'Feeders Raw Data'!BA87-'Feeders Raw Data'!BK87</f>
        <v>0</v>
      </c>
      <c r="AT87">
        <f>'Feeders Raw Data'!BB87-'Feeders Raw Data'!BL87</f>
        <v>0</v>
      </c>
      <c r="AU87">
        <f>'Feeders Raw Data'!BC87-'Feeders Raw Data'!BM87</f>
        <v>0</v>
      </c>
      <c r="AV87" t="str">
        <f>'Feeders Raw Data'!BG87&amp;" - "&amp;'Feeders Raw Data'!BQ87</f>
        <v xml:space="preserve"> - </v>
      </c>
      <c r="AX87" s="1">
        <f>'Feeders Raw Data'!BS87</f>
        <v>0</v>
      </c>
      <c r="AY87">
        <f>'Feeders Raw Data'!BT87-'Feeders Raw Data'!B87</f>
        <v>0</v>
      </c>
      <c r="AZ87">
        <f>'Feeders Raw Data'!BU87-'Feeders Raw Data'!C87</f>
        <v>0</v>
      </c>
      <c r="BA87">
        <f>'Feeders Raw Data'!BV87-'Feeders Raw Data'!D87</f>
        <v>0</v>
      </c>
      <c r="BB87">
        <f>'Feeders Raw Data'!BW87-'Feeders Raw Data'!E87</f>
        <v>0</v>
      </c>
      <c r="BC87" t="str">
        <f>'Feeders Raw Data'!CA87&amp;" - "&amp;'Feeders Raw Data'!I87</f>
        <v xml:space="preserve"> - </v>
      </c>
    </row>
    <row r="88" spans="1:55" x14ac:dyDescent="0.25">
      <c r="A88" s="1">
        <f>'Feeders Raw Data'!A88</f>
        <v>0</v>
      </c>
      <c r="B88">
        <f>'Feeders Raw Data'!B88-'Feeders Raw Data'!L88</f>
        <v>0</v>
      </c>
      <c r="C88">
        <f>'Feeders Raw Data'!C88-'Feeders Raw Data'!M88</f>
        <v>0</v>
      </c>
      <c r="D88">
        <f>'Feeders Raw Data'!D88-'Feeders Raw Data'!N88</f>
        <v>0</v>
      </c>
      <c r="E88">
        <f>'Feeders Raw Data'!E88-'Feeders Raw Data'!O88</f>
        <v>0</v>
      </c>
      <c r="F88" t="str">
        <f>'Feeders Raw Data'!I88&amp;" - "&amp;'Feeders Raw Data'!S88</f>
        <v xml:space="preserve"> - </v>
      </c>
      <c r="H88" s="1">
        <f>'Feeders Raw Data'!AE88</f>
        <v>0</v>
      </c>
      <c r="I88">
        <f>'Feeders Raw Data'!AF88-'Feeders Raw Data'!AP88</f>
        <v>0</v>
      </c>
      <c r="J88">
        <f>'Feeders Raw Data'!AG88-'Feeders Raw Data'!AQ88</f>
        <v>0</v>
      </c>
      <c r="K88">
        <f>'Feeders Raw Data'!AH88-'Feeders Raw Data'!AR88</f>
        <v>0</v>
      </c>
      <c r="L88">
        <f>'Feeders Raw Data'!AI88-'Feeders Raw Data'!AS88</f>
        <v>0</v>
      </c>
      <c r="M88" t="str">
        <f>'Feeders Raw Data'!AM88&amp;" - "&amp;'Feeders Raw Data'!AW88</f>
        <v xml:space="preserve"> - </v>
      </c>
      <c r="O88" s="1">
        <f>'Feeders Raw Data'!BI88</f>
        <v>0</v>
      </c>
      <c r="P88">
        <f>'Feeders Raw Data'!BJ88-'Feeders Raw Data'!BT88</f>
        <v>0</v>
      </c>
      <c r="Q88">
        <f>'Feeders Raw Data'!BK88-'Feeders Raw Data'!BU88</f>
        <v>0</v>
      </c>
      <c r="R88">
        <f>'Feeders Raw Data'!BL88-'Feeders Raw Data'!BV88</f>
        <v>0</v>
      </c>
      <c r="S88">
        <f>'Feeders Raw Data'!BM88-'Feeders Raw Data'!BW88</f>
        <v>0</v>
      </c>
      <c r="T88" t="str">
        <f>'Feeders Raw Data'!BQ88&amp;" - "&amp;'Feeders Raw Data'!CA88</f>
        <v xml:space="preserve"> - </v>
      </c>
      <c r="V88" s="1">
        <f>'Feeders Raw Data'!K88</f>
        <v>0</v>
      </c>
      <c r="W88">
        <f>'Feeders Raw Data'!L88-'Feeders Raw Data'!V88</f>
        <v>0</v>
      </c>
      <c r="X88">
        <f>'Feeders Raw Data'!M88-'Feeders Raw Data'!W88</f>
        <v>0</v>
      </c>
      <c r="Y88">
        <f>'Feeders Raw Data'!N88-'Feeders Raw Data'!X88</f>
        <v>0</v>
      </c>
      <c r="Z88">
        <f>'Feeders Raw Data'!O88-'Feeders Raw Data'!Y88</f>
        <v>0</v>
      </c>
      <c r="AA88" t="str">
        <f>'Feeders Raw Data'!S88&amp;" - "&amp;'Feeders Raw Data'!AC88</f>
        <v xml:space="preserve"> - </v>
      </c>
      <c r="AC88" s="1">
        <f>'Feeders Raw Data'!U88</f>
        <v>0</v>
      </c>
      <c r="AD88">
        <f>'Feeders Raw Data'!V88-'Feeders Raw Data'!AF88</f>
        <v>0</v>
      </c>
      <c r="AE88">
        <f>'Feeders Raw Data'!W88-'Feeders Raw Data'!AG88</f>
        <v>0</v>
      </c>
      <c r="AF88">
        <f>'Feeders Raw Data'!X88-'Feeders Raw Data'!AH88</f>
        <v>0</v>
      </c>
      <c r="AG88">
        <f>'Feeders Raw Data'!Y88-'Feeders Raw Data'!AI88</f>
        <v>0</v>
      </c>
      <c r="AH88" t="str">
        <f>'Feeders Raw Data'!AC88&amp;" - "&amp;'Feeders Raw Data'!AM88</f>
        <v xml:space="preserve"> - </v>
      </c>
      <c r="AJ88" s="1">
        <f>'Feeders Raw Data'!AO88</f>
        <v>0</v>
      </c>
      <c r="AK88">
        <f>'Feeders Raw Data'!AP88-'Feeders Raw Data'!AZ88</f>
        <v>0</v>
      </c>
      <c r="AL88">
        <f>'Feeders Raw Data'!AQ88-'Feeders Raw Data'!BA88</f>
        <v>0</v>
      </c>
      <c r="AM88">
        <f>'Feeders Raw Data'!AR88-'Feeders Raw Data'!BB88</f>
        <v>0</v>
      </c>
      <c r="AN88">
        <f>'Feeders Raw Data'!AS88-'Feeders Raw Data'!BC88</f>
        <v>0</v>
      </c>
      <c r="AO88" t="str">
        <f>'Feeders Raw Data'!AW88&amp;" - "&amp;'Feeders Raw Data'!BG88</f>
        <v xml:space="preserve"> - </v>
      </c>
      <c r="AQ88" s="1">
        <f>'Feeders Raw Data'!AY88</f>
        <v>0</v>
      </c>
      <c r="AR88">
        <f>'Feeders Raw Data'!AZ88-'Feeders Raw Data'!BJ88</f>
        <v>0</v>
      </c>
      <c r="AS88">
        <f>'Feeders Raw Data'!BA88-'Feeders Raw Data'!BK88</f>
        <v>0</v>
      </c>
      <c r="AT88">
        <f>'Feeders Raw Data'!BB88-'Feeders Raw Data'!BL88</f>
        <v>0</v>
      </c>
      <c r="AU88">
        <f>'Feeders Raw Data'!BC88-'Feeders Raw Data'!BM88</f>
        <v>0</v>
      </c>
      <c r="AV88" t="str">
        <f>'Feeders Raw Data'!BG88&amp;" - "&amp;'Feeders Raw Data'!BQ88</f>
        <v xml:space="preserve"> - </v>
      </c>
      <c r="AX88" s="1">
        <f>'Feeders Raw Data'!BS88</f>
        <v>0</v>
      </c>
      <c r="AY88">
        <f>'Feeders Raw Data'!BT88-'Feeders Raw Data'!B88</f>
        <v>0</v>
      </c>
      <c r="AZ88">
        <f>'Feeders Raw Data'!BU88-'Feeders Raw Data'!C88</f>
        <v>0</v>
      </c>
      <c r="BA88">
        <f>'Feeders Raw Data'!BV88-'Feeders Raw Data'!D88</f>
        <v>0</v>
      </c>
      <c r="BB88">
        <f>'Feeders Raw Data'!BW88-'Feeders Raw Data'!E88</f>
        <v>0</v>
      </c>
      <c r="BC88" t="str">
        <f>'Feeders Raw Data'!CA88&amp;" - "&amp;'Feeders Raw Data'!I88</f>
        <v xml:space="preserve"> - </v>
      </c>
    </row>
    <row r="89" spans="1:55" x14ac:dyDescent="0.25">
      <c r="A89" s="1">
        <f>'Feeders Raw Data'!A89</f>
        <v>0</v>
      </c>
      <c r="B89">
        <f>'Feeders Raw Data'!B89-'Feeders Raw Data'!L89</f>
        <v>0</v>
      </c>
      <c r="C89">
        <f>'Feeders Raw Data'!C89-'Feeders Raw Data'!M89</f>
        <v>0</v>
      </c>
      <c r="D89">
        <f>'Feeders Raw Data'!D89-'Feeders Raw Data'!N89</f>
        <v>0</v>
      </c>
      <c r="E89">
        <f>'Feeders Raw Data'!E89-'Feeders Raw Data'!O89</f>
        <v>0</v>
      </c>
      <c r="F89" t="str">
        <f>'Feeders Raw Data'!I89&amp;" - "&amp;'Feeders Raw Data'!S89</f>
        <v xml:space="preserve"> - </v>
      </c>
      <c r="H89" s="1">
        <f>'Feeders Raw Data'!AE89</f>
        <v>0</v>
      </c>
      <c r="I89">
        <f>'Feeders Raw Data'!AF89-'Feeders Raw Data'!AP89</f>
        <v>0</v>
      </c>
      <c r="J89">
        <f>'Feeders Raw Data'!AG89-'Feeders Raw Data'!AQ89</f>
        <v>0</v>
      </c>
      <c r="K89">
        <f>'Feeders Raw Data'!AH89-'Feeders Raw Data'!AR89</f>
        <v>0</v>
      </c>
      <c r="L89">
        <f>'Feeders Raw Data'!AI89-'Feeders Raw Data'!AS89</f>
        <v>0</v>
      </c>
      <c r="M89" t="str">
        <f>'Feeders Raw Data'!AM89&amp;" - "&amp;'Feeders Raw Data'!AW89</f>
        <v xml:space="preserve"> - </v>
      </c>
      <c r="O89" s="1">
        <f>'Feeders Raw Data'!BI89</f>
        <v>0</v>
      </c>
      <c r="P89">
        <f>'Feeders Raw Data'!BJ89-'Feeders Raw Data'!BT89</f>
        <v>0</v>
      </c>
      <c r="Q89">
        <f>'Feeders Raw Data'!BK89-'Feeders Raw Data'!BU89</f>
        <v>0</v>
      </c>
      <c r="R89">
        <f>'Feeders Raw Data'!BL89-'Feeders Raw Data'!BV89</f>
        <v>0</v>
      </c>
      <c r="S89">
        <f>'Feeders Raw Data'!BM89-'Feeders Raw Data'!BW89</f>
        <v>0</v>
      </c>
      <c r="T89" t="str">
        <f>'Feeders Raw Data'!BQ89&amp;" - "&amp;'Feeders Raw Data'!CA89</f>
        <v xml:space="preserve"> - </v>
      </c>
      <c r="V89" s="1">
        <f>'Feeders Raw Data'!K89</f>
        <v>0</v>
      </c>
      <c r="W89">
        <f>'Feeders Raw Data'!L89-'Feeders Raw Data'!V89</f>
        <v>0</v>
      </c>
      <c r="X89">
        <f>'Feeders Raw Data'!M89-'Feeders Raw Data'!W89</f>
        <v>0</v>
      </c>
      <c r="Y89">
        <f>'Feeders Raw Data'!N89-'Feeders Raw Data'!X89</f>
        <v>0</v>
      </c>
      <c r="Z89">
        <f>'Feeders Raw Data'!O89-'Feeders Raw Data'!Y89</f>
        <v>0</v>
      </c>
      <c r="AA89" t="str">
        <f>'Feeders Raw Data'!S89&amp;" - "&amp;'Feeders Raw Data'!AC89</f>
        <v xml:space="preserve"> - </v>
      </c>
      <c r="AC89" s="1">
        <f>'Feeders Raw Data'!U89</f>
        <v>0</v>
      </c>
      <c r="AD89">
        <f>'Feeders Raw Data'!V89-'Feeders Raw Data'!AF89</f>
        <v>0</v>
      </c>
      <c r="AE89">
        <f>'Feeders Raw Data'!W89-'Feeders Raw Data'!AG89</f>
        <v>0</v>
      </c>
      <c r="AF89">
        <f>'Feeders Raw Data'!X89-'Feeders Raw Data'!AH89</f>
        <v>0</v>
      </c>
      <c r="AG89">
        <f>'Feeders Raw Data'!Y89-'Feeders Raw Data'!AI89</f>
        <v>0</v>
      </c>
      <c r="AH89" t="str">
        <f>'Feeders Raw Data'!AC89&amp;" - "&amp;'Feeders Raw Data'!AM89</f>
        <v xml:space="preserve"> - </v>
      </c>
      <c r="AJ89" s="1">
        <f>'Feeders Raw Data'!AO89</f>
        <v>0</v>
      </c>
      <c r="AK89">
        <f>'Feeders Raw Data'!AP89-'Feeders Raw Data'!AZ89</f>
        <v>0</v>
      </c>
      <c r="AL89">
        <f>'Feeders Raw Data'!AQ89-'Feeders Raw Data'!BA89</f>
        <v>0</v>
      </c>
      <c r="AM89">
        <f>'Feeders Raw Data'!AR89-'Feeders Raw Data'!BB89</f>
        <v>0</v>
      </c>
      <c r="AN89">
        <f>'Feeders Raw Data'!AS89-'Feeders Raw Data'!BC89</f>
        <v>0</v>
      </c>
      <c r="AO89" t="str">
        <f>'Feeders Raw Data'!AW89&amp;" - "&amp;'Feeders Raw Data'!BG89</f>
        <v xml:space="preserve"> - </v>
      </c>
      <c r="AQ89" s="1">
        <f>'Feeders Raw Data'!AY89</f>
        <v>0</v>
      </c>
      <c r="AR89">
        <f>'Feeders Raw Data'!AZ89-'Feeders Raw Data'!BJ89</f>
        <v>0</v>
      </c>
      <c r="AS89">
        <f>'Feeders Raw Data'!BA89-'Feeders Raw Data'!BK89</f>
        <v>0</v>
      </c>
      <c r="AT89">
        <f>'Feeders Raw Data'!BB89-'Feeders Raw Data'!BL89</f>
        <v>0</v>
      </c>
      <c r="AU89">
        <f>'Feeders Raw Data'!BC89-'Feeders Raw Data'!BM89</f>
        <v>0</v>
      </c>
      <c r="AV89" t="str">
        <f>'Feeders Raw Data'!BG89&amp;" - "&amp;'Feeders Raw Data'!BQ89</f>
        <v xml:space="preserve"> - </v>
      </c>
      <c r="AX89" s="1">
        <f>'Feeders Raw Data'!BS89</f>
        <v>0</v>
      </c>
      <c r="AY89">
        <f>'Feeders Raw Data'!BT89-'Feeders Raw Data'!B89</f>
        <v>0</v>
      </c>
      <c r="AZ89">
        <f>'Feeders Raw Data'!BU89-'Feeders Raw Data'!C89</f>
        <v>0</v>
      </c>
      <c r="BA89">
        <f>'Feeders Raw Data'!BV89-'Feeders Raw Data'!D89</f>
        <v>0</v>
      </c>
      <c r="BB89">
        <f>'Feeders Raw Data'!BW89-'Feeders Raw Data'!E89</f>
        <v>0</v>
      </c>
      <c r="BC89" t="str">
        <f>'Feeders Raw Data'!CA89&amp;" - "&amp;'Feeders Raw Data'!I89</f>
        <v xml:space="preserve"> - </v>
      </c>
    </row>
    <row r="90" spans="1:55" x14ac:dyDescent="0.25">
      <c r="A90" s="1">
        <f>'Feeders Raw Data'!A90</f>
        <v>0</v>
      </c>
      <c r="B90">
        <f>'Feeders Raw Data'!B90-'Feeders Raw Data'!L90</f>
        <v>0</v>
      </c>
      <c r="C90">
        <f>'Feeders Raw Data'!C90-'Feeders Raw Data'!M90</f>
        <v>0</v>
      </c>
      <c r="D90">
        <f>'Feeders Raw Data'!D90-'Feeders Raw Data'!N90</f>
        <v>0</v>
      </c>
      <c r="E90">
        <f>'Feeders Raw Data'!E90-'Feeders Raw Data'!O90</f>
        <v>0</v>
      </c>
      <c r="F90" t="str">
        <f>'Feeders Raw Data'!I90&amp;" - "&amp;'Feeders Raw Data'!S90</f>
        <v xml:space="preserve"> - </v>
      </c>
      <c r="H90" s="1">
        <f>'Feeders Raw Data'!AE90</f>
        <v>0</v>
      </c>
      <c r="I90">
        <f>'Feeders Raw Data'!AF90-'Feeders Raw Data'!AP90</f>
        <v>0</v>
      </c>
      <c r="J90">
        <f>'Feeders Raw Data'!AG90-'Feeders Raw Data'!AQ90</f>
        <v>0</v>
      </c>
      <c r="K90">
        <f>'Feeders Raw Data'!AH90-'Feeders Raw Data'!AR90</f>
        <v>0</v>
      </c>
      <c r="L90">
        <f>'Feeders Raw Data'!AI90-'Feeders Raw Data'!AS90</f>
        <v>0</v>
      </c>
      <c r="M90" t="str">
        <f>'Feeders Raw Data'!AM90&amp;" - "&amp;'Feeders Raw Data'!AW90</f>
        <v xml:space="preserve"> - </v>
      </c>
      <c r="O90" s="1">
        <f>'Feeders Raw Data'!BI90</f>
        <v>0</v>
      </c>
      <c r="P90">
        <f>'Feeders Raw Data'!BJ90-'Feeders Raw Data'!BT90</f>
        <v>0</v>
      </c>
      <c r="Q90">
        <f>'Feeders Raw Data'!BK90-'Feeders Raw Data'!BU90</f>
        <v>0</v>
      </c>
      <c r="R90">
        <f>'Feeders Raw Data'!BL90-'Feeders Raw Data'!BV90</f>
        <v>0</v>
      </c>
      <c r="S90">
        <f>'Feeders Raw Data'!BM90-'Feeders Raw Data'!BW90</f>
        <v>0</v>
      </c>
      <c r="T90" t="str">
        <f>'Feeders Raw Data'!BQ90&amp;" - "&amp;'Feeders Raw Data'!CA90</f>
        <v xml:space="preserve"> - </v>
      </c>
      <c r="V90" s="1">
        <f>'Feeders Raw Data'!K90</f>
        <v>0</v>
      </c>
      <c r="W90">
        <f>'Feeders Raw Data'!L90-'Feeders Raw Data'!V90</f>
        <v>0</v>
      </c>
      <c r="X90">
        <f>'Feeders Raw Data'!M90-'Feeders Raw Data'!W90</f>
        <v>0</v>
      </c>
      <c r="Y90">
        <f>'Feeders Raw Data'!N90-'Feeders Raw Data'!X90</f>
        <v>0</v>
      </c>
      <c r="Z90">
        <f>'Feeders Raw Data'!O90-'Feeders Raw Data'!Y90</f>
        <v>0</v>
      </c>
      <c r="AA90" t="str">
        <f>'Feeders Raw Data'!S90&amp;" - "&amp;'Feeders Raw Data'!AC90</f>
        <v xml:space="preserve"> - </v>
      </c>
      <c r="AC90" s="1">
        <f>'Feeders Raw Data'!U90</f>
        <v>0</v>
      </c>
      <c r="AD90">
        <f>'Feeders Raw Data'!V90-'Feeders Raw Data'!AF90</f>
        <v>0</v>
      </c>
      <c r="AE90">
        <f>'Feeders Raw Data'!W90-'Feeders Raw Data'!AG90</f>
        <v>0</v>
      </c>
      <c r="AF90">
        <f>'Feeders Raw Data'!X90-'Feeders Raw Data'!AH90</f>
        <v>0</v>
      </c>
      <c r="AG90">
        <f>'Feeders Raw Data'!Y90-'Feeders Raw Data'!AI90</f>
        <v>0</v>
      </c>
      <c r="AH90" t="str">
        <f>'Feeders Raw Data'!AC90&amp;" - "&amp;'Feeders Raw Data'!AM90</f>
        <v xml:space="preserve"> - </v>
      </c>
      <c r="AJ90" s="1">
        <f>'Feeders Raw Data'!AO90</f>
        <v>0</v>
      </c>
      <c r="AK90">
        <f>'Feeders Raw Data'!AP90-'Feeders Raw Data'!AZ90</f>
        <v>0</v>
      </c>
      <c r="AL90">
        <f>'Feeders Raw Data'!AQ90-'Feeders Raw Data'!BA90</f>
        <v>0</v>
      </c>
      <c r="AM90">
        <f>'Feeders Raw Data'!AR90-'Feeders Raw Data'!BB90</f>
        <v>0</v>
      </c>
      <c r="AN90">
        <f>'Feeders Raw Data'!AS90-'Feeders Raw Data'!BC90</f>
        <v>0</v>
      </c>
      <c r="AO90" t="str">
        <f>'Feeders Raw Data'!AW90&amp;" - "&amp;'Feeders Raw Data'!BG90</f>
        <v xml:space="preserve"> - </v>
      </c>
      <c r="AQ90" s="1">
        <f>'Feeders Raw Data'!AY90</f>
        <v>0</v>
      </c>
      <c r="AR90">
        <f>'Feeders Raw Data'!AZ90-'Feeders Raw Data'!BJ90</f>
        <v>0</v>
      </c>
      <c r="AS90">
        <f>'Feeders Raw Data'!BA90-'Feeders Raw Data'!BK90</f>
        <v>0</v>
      </c>
      <c r="AT90">
        <f>'Feeders Raw Data'!BB90-'Feeders Raw Data'!BL90</f>
        <v>0</v>
      </c>
      <c r="AU90">
        <f>'Feeders Raw Data'!BC90-'Feeders Raw Data'!BM90</f>
        <v>0</v>
      </c>
      <c r="AV90" t="str">
        <f>'Feeders Raw Data'!BG90&amp;" - "&amp;'Feeders Raw Data'!BQ90</f>
        <v xml:space="preserve"> - </v>
      </c>
      <c r="AX90" s="1">
        <f>'Feeders Raw Data'!BS90</f>
        <v>0</v>
      </c>
      <c r="AY90">
        <f>'Feeders Raw Data'!BT90-'Feeders Raw Data'!B90</f>
        <v>0</v>
      </c>
      <c r="AZ90">
        <f>'Feeders Raw Data'!BU90-'Feeders Raw Data'!C90</f>
        <v>0</v>
      </c>
      <c r="BA90">
        <f>'Feeders Raw Data'!BV90-'Feeders Raw Data'!D90</f>
        <v>0</v>
      </c>
      <c r="BB90">
        <f>'Feeders Raw Data'!BW90-'Feeders Raw Data'!E90</f>
        <v>0</v>
      </c>
      <c r="BC90" t="str">
        <f>'Feeders Raw Data'!CA90&amp;" - "&amp;'Feeders Raw Data'!I90</f>
        <v xml:space="preserve"> - </v>
      </c>
    </row>
    <row r="91" spans="1:55" x14ac:dyDescent="0.25">
      <c r="A91" s="1">
        <f>'Feeders Raw Data'!A91</f>
        <v>0</v>
      </c>
      <c r="B91">
        <f>'Feeders Raw Data'!B91-'Feeders Raw Data'!L91</f>
        <v>0</v>
      </c>
      <c r="C91">
        <f>'Feeders Raw Data'!C91-'Feeders Raw Data'!M91</f>
        <v>0</v>
      </c>
      <c r="D91">
        <f>'Feeders Raw Data'!D91-'Feeders Raw Data'!N91</f>
        <v>0</v>
      </c>
      <c r="E91">
        <f>'Feeders Raw Data'!E91-'Feeders Raw Data'!O91</f>
        <v>0</v>
      </c>
      <c r="F91" t="str">
        <f>'Feeders Raw Data'!I91&amp;" - "&amp;'Feeders Raw Data'!S91</f>
        <v xml:space="preserve"> - </v>
      </c>
      <c r="H91" s="1">
        <f>'Feeders Raw Data'!AE91</f>
        <v>0</v>
      </c>
      <c r="I91">
        <f>'Feeders Raw Data'!AF91-'Feeders Raw Data'!AP91</f>
        <v>0</v>
      </c>
      <c r="J91">
        <f>'Feeders Raw Data'!AG91-'Feeders Raw Data'!AQ91</f>
        <v>0</v>
      </c>
      <c r="K91">
        <f>'Feeders Raw Data'!AH91-'Feeders Raw Data'!AR91</f>
        <v>0</v>
      </c>
      <c r="L91">
        <f>'Feeders Raw Data'!AI91-'Feeders Raw Data'!AS91</f>
        <v>0</v>
      </c>
      <c r="M91" t="str">
        <f>'Feeders Raw Data'!AM91&amp;" - "&amp;'Feeders Raw Data'!AW91</f>
        <v xml:space="preserve"> - </v>
      </c>
      <c r="O91" s="1">
        <f>'Feeders Raw Data'!BI91</f>
        <v>0</v>
      </c>
      <c r="P91">
        <f>'Feeders Raw Data'!BJ91-'Feeders Raw Data'!BT91</f>
        <v>0</v>
      </c>
      <c r="Q91">
        <f>'Feeders Raw Data'!BK91-'Feeders Raw Data'!BU91</f>
        <v>0</v>
      </c>
      <c r="R91">
        <f>'Feeders Raw Data'!BL91-'Feeders Raw Data'!BV91</f>
        <v>0</v>
      </c>
      <c r="S91">
        <f>'Feeders Raw Data'!BM91-'Feeders Raw Data'!BW91</f>
        <v>0</v>
      </c>
      <c r="T91" t="str">
        <f>'Feeders Raw Data'!BQ91&amp;" - "&amp;'Feeders Raw Data'!CA91</f>
        <v xml:space="preserve"> - </v>
      </c>
      <c r="V91" s="1">
        <f>'Feeders Raw Data'!K91</f>
        <v>0</v>
      </c>
      <c r="W91">
        <f>'Feeders Raw Data'!L91-'Feeders Raw Data'!V91</f>
        <v>0</v>
      </c>
      <c r="X91">
        <f>'Feeders Raw Data'!M91-'Feeders Raw Data'!W91</f>
        <v>0</v>
      </c>
      <c r="Y91">
        <f>'Feeders Raw Data'!N91-'Feeders Raw Data'!X91</f>
        <v>0</v>
      </c>
      <c r="Z91">
        <f>'Feeders Raw Data'!O91-'Feeders Raw Data'!Y91</f>
        <v>0</v>
      </c>
      <c r="AA91" t="str">
        <f>'Feeders Raw Data'!S91&amp;" - "&amp;'Feeders Raw Data'!AC91</f>
        <v xml:space="preserve"> - </v>
      </c>
      <c r="AC91" s="1">
        <f>'Feeders Raw Data'!U91</f>
        <v>0</v>
      </c>
      <c r="AD91">
        <f>'Feeders Raw Data'!V91-'Feeders Raw Data'!AF91</f>
        <v>0</v>
      </c>
      <c r="AE91">
        <f>'Feeders Raw Data'!W91-'Feeders Raw Data'!AG91</f>
        <v>0</v>
      </c>
      <c r="AF91">
        <f>'Feeders Raw Data'!X91-'Feeders Raw Data'!AH91</f>
        <v>0</v>
      </c>
      <c r="AG91">
        <f>'Feeders Raw Data'!Y91-'Feeders Raw Data'!AI91</f>
        <v>0</v>
      </c>
      <c r="AH91" t="str">
        <f>'Feeders Raw Data'!AC91&amp;" - "&amp;'Feeders Raw Data'!AM91</f>
        <v xml:space="preserve"> - </v>
      </c>
      <c r="AJ91" s="1">
        <f>'Feeders Raw Data'!AO91</f>
        <v>0</v>
      </c>
      <c r="AK91">
        <f>'Feeders Raw Data'!AP91-'Feeders Raw Data'!AZ91</f>
        <v>0</v>
      </c>
      <c r="AL91">
        <f>'Feeders Raw Data'!AQ91-'Feeders Raw Data'!BA91</f>
        <v>0</v>
      </c>
      <c r="AM91">
        <f>'Feeders Raw Data'!AR91-'Feeders Raw Data'!BB91</f>
        <v>0</v>
      </c>
      <c r="AN91">
        <f>'Feeders Raw Data'!AS91-'Feeders Raw Data'!BC91</f>
        <v>0</v>
      </c>
      <c r="AO91" t="str">
        <f>'Feeders Raw Data'!AW91&amp;" - "&amp;'Feeders Raw Data'!BG91</f>
        <v xml:space="preserve"> - </v>
      </c>
      <c r="AQ91" s="1">
        <f>'Feeders Raw Data'!AY91</f>
        <v>0</v>
      </c>
      <c r="AR91">
        <f>'Feeders Raw Data'!AZ91-'Feeders Raw Data'!BJ91</f>
        <v>0</v>
      </c>
      <c r="AS91">
        <f>'Feeders Raw Data'!BA91-'Feeders Raw Data'!BK91</f>
        <v>0</v>
      </c>
      <c r="AT91">
        <f>'Feeders Raw Data'!BB91-'Feeders Raw Data'!BL91</f>
        <v>0</v>
      </c>
      <c r="AU91">
        <f>'Feeders Raw Data'!BC91-'Feeders Raw Data'!BM91</f>
        <v>0</v>
      </c>
      <c r="AV91" t="str">
        <f>'Feeders Raw Data'!BG91&amp;" - "&amp;'Feeders Raw Data'!BQ91</f>
        <v xml:space="preserve"> - </v>
      </c>
      <c r="AX91" s="1">
        <f>'Feeders Raw Data'!BS91</f>
        <v>0</v>
      </c>
      <c r="AY91">
        <f>'Feeders Raw Data'!BT91-'Feeders Raw Data'!B91</f>
        <v>0</v>
      </c>
      <c r="AZ91">
        <f>'Feeders Raw Data'!BU91-'Feeders Raw Data'!C91</f>
        <v>0</v>
      </c>
      <c r="BA91">
        <f>'Feeders Raw Data'!BV91-'Feeders Raw Data'!D91</f>
        <v>0</v>
      </c>
      <c r="BB91">
        <f>'Feeders Raw Data'!BW91-'Feeders Raw Data'!E91</f>
        <v>0</v>
      </c>
      <c r="BC91" t="str">
        <f>'Feeders Raw Data'!CA91&amp;" - "&amp;'Feeders Raw Data'!I91</f>
        <v xml:space="preserve"> - </v>
      </c>
    </row>
    <row r="92" spans="1:55" x14ac:dyDescent="0.25">
      <c r="A92" s="1">
        <f>'Feeders Raw Data'!A92</f>
        <v>0</v>
      </c>
      <c r="B92">
        <f>'Feeders Raw Data'!B92-'Feeders Raw Data'!L92</f>
        <v>0</v>
      </c>
      <c r="C92">
        <f>'Feeders Raw Data'!C92-'Feeders Raw Data'!M92</f>
        <v>0</v>
      </c>
      <c r="D92">
        <f>'Feeders Raw Data'!D92-'Feeders Raw Data'!N92</f>
        <v>0</v>
      </c>
      <c r="E92">
        <f>'Feeders Raw Data'!E92-'Feeders Raw Data'!O92</f>
        <v>0</v>
      </c>
      <c r="F92" t="str">
        <f>'Feeders Raw Data'!I92&amp;" - "&amp;'Feeders Raw Data'!S92</f>
        <v xml:space="preserve"> - </v>
      </c>
      <c r="H92" s="1">
        <f>'Feeders Raw Data'!AE92</f>
        <v>0</v>
      </c>
      <c r="I92">
        <f>'Feeders Raw Data'!AF92-'Feeders Raw Data'!AP92</f>
        <v>0</v>
      </c>
      <c r="J92">
        <f>'Feeders Raw Data'!AG92-'Feeders Raw Data'!AQ92</f>
        <v>0</v>
      </c>
      <c r="K92">
        <f>'Feeders Raw Data'!AH92-'Feeders Raw Data'!AR92</f>
        <v>0</v>
      </c>
      <c r="L92">
        <f>'Feeders Raw Data'!AI92-'Feeders Raw Data'!AS92</f>
        <v>0</v>
      </c>
      <c r="M92" t="str">
        <f>'Feeders Raw Data'!AM92&amp;" - "&amp;'Feeders Raw Data'!AW92</f>
        <v xml:space="preserve"> - </v>
      </c>
      <c r="O92" s="1">
        <f>'Feeders Raw Data'!BI92</f>
        <v>0</v>
      </c>
      <c r="P92">
        <f>'Feeders Raw Data'!BJ92-'Feeders Raw Data'!BT92</f>
        <v>0</v>
      </c>
      <c r="Q92">
        <f>'Feeders Raw Data'!BK92-'Feeders Raw Data'!BU92</f>
        <v>0</v>
      </c>
      <c r="R92">
        <f>'Feeders Raw Data'!BL92-'Feeders Raw Data'!BV92</f>
        <v>0</v>
      </c>
      <c r="S92">
        <f>'Feeders Raw Data'!BM92-'Feeders Raw Data'!BW92</f>
        <v>0</v>
      </c>
      <c r="T92" t="str">
        <f>'Feeders Raw Data'!BQ92&amp;" - "&amp;'Feeders Raw Data'!CA92</f>
        <v xml:space="preserve"> - </v>
      </c>
      <c r="V92" s="1">
        <f>'Feeders Raw Data'!K92</f>
        <v>0</v>
      </c>
      <c r="W92">
        <f>'Feeders Raw Data'!L92-'Feeders Raw Data'!V92</f>
        <v>0</v>
      </c>
      <c r="X92">
        <f>'Feeders Raw Data'!M92-'Feeders Raw Data'!W92</f>
        <v>0</v>
      </c>
      <c r="Y92">
        <f>'Feeders Raw Data'!N92-'Feeders Raw Data'!X92</f>
        <v>0</v>
      </c>
      <c r="Z92">
        <f>'Feeders Raw Data'!O92-'Feeders Raw Data'!Y92</f>
        <v>0</v>
      </c>
      <c r="AA92" t="str">
        <f>'Feeders Raw Data'!S92&amp;" - "&amp;'Feeders Raw Data'!AC92</f>
        <v xml:space="preserve"> - </v>
      </c>
      <c r="AC92" s="1">
        <f>'Feeders Raw Data'!U92</f>
        <v>0</v>
      </c>
      <c r="AD92">
        <f>'Feeders Raw Data'!V92-'Feeders Raw Data'!AF92</f>
        <v>0</v>
      </c>
      <c r="AE92">
        <f>'Feeders Raw Data'!W92-'Feeders Raw Data'!AG92</f>
        <v>0</v>
      </c>
      <c r="AF92">
        <f>'Feeders Raw Data'!X92-'Feeders Raw Data'!AH92</f>
        <v>0</v>
      </c>
      <c r="AG92">
        <f>'Feeders Raw Data'!Y92-'Feeders Raw Data'!AI92</f>
        <v>0</v>
      </c>
      <c r="AH92" t="str">
        <f>'Feeders Raw Data'!AC92&amp;" - "&amp;'Feeders Raw Data'!AM92</f>
        <v xml:space="preserve"> - </v>
      </c>
      <c r="AJ92" s="1">
        <f>'Feeders Raw Data'!AO92</f>
        <v>0</v>
      </c>
      <c r="AK92">
        <f>'Feeders Raw Data'!AP92-'Feeders Raw Data'!AZ92</f>
        <v>0</v>
      </c>
      <c r="AL92">
        <f>'Feeders Raw Data'!AQ92-'Feeders Raw Data'!BA92</f>
        <v>0</v>
      </c>
      <c r="AM92">
        <f>'Feeders Raw Data'!AR92-'Feeders Raw Data'!BB92</f>
        <v>0</v>
      </c>
      <c r="AN92">
        <f>'Feeders Raw Data'!AS92-'Feeders Raw Data'!BC92</f>
        <v>0</v>
      </c>
      <c r="AO92" t="str">
        <f>'Feeders Raw Data'!AW92&amp;" - "&amp;'Feeders Raw Data'!BG92</f>
        <v xml:space="preserve"> - </v>
      </c>
      <c r="AQ92" s="1">
        <f>'Feeders Raw Data'!AY92</f>
        <v>0</v>
      </c>
      <c r="AR92">
        <f>'Feeders Raw Data'!AZ92-'Feeders Raw Data'!BJ92</f>
        <v>0</v>
      </c>
      <c r="AS92">
        <f>'Feeders Raw Data'!BA92-'Feeders Raw Data'!BK92</f>
        <v>0</v>
      </c>
      <c r="AT92">
        <f>'Feeders Raw Data'!BB92-'Feeders Raw Data'!BL92</f>
        <v>0</v>
      </c>
      <c r="AU92">
        <f>'Feeders Raw Data'!BC92-'Feeders Raw Data'!BM92</f>
        <v>0</v>
      </c>
      <c r="AV92" t="str">
        <f>'Feeders Raw Data'!BG92&amp;" - "&amp;'Feeders Raw Data'!BQ92</f>
        <v xml:space="preserve"> - </v>
      </c>
      <c r="AX92" s="1">
        <f>'Feeders Raw Data'!BS92</f>
        <v>0</v>
      </c>
      <c r="AY92">
        <f>'Feeders Raw Data'!BT92-'Feeders Raw Data'!B92</f>
        <v>0</v>
      </c>
      <c r="AZ92">
        <f>'Feeders Raw Data'!BU92-'Feeders Raw Data'!C92</f>
        <v>0</v>
      </c>
      <c r="BA92">
        <f>'Feeders Raw Data'!BV92-'Feeders Raw Data'!D92</f>
        <v>0</v>
      </c>
      <c r="BB92">
        <f>'Feeders Raw Data'!BW92-'Feeders Raw Data'!E92</f>
        <v>0</v>
      </c>
      <c r="BC92" t="str">
        <f>'Feeders Raw Data'!CA92&amp;" - "&amp;'Feeders Raw Data'!I92</f>
        <v xml:space="preserve"> - </v>
      </c>
    </row>
    <row r="93" spans="1:55" x14ac:dyDescent="0.25">
      <c r="A93" s="1">
        <f>'Feeders Raw Data'!A93</f>
        <v>0</v>
      </c>
      <c r="B93">
        <f>'Feeders Raw Data'!B93-'Feeders Raw Data'!L93</f>
        <v>0</v>
      </c>
      <c r="C93">
        <f>'Feeders Raw Data'!C93-'Feeders Raw Data'!M93</f>
        <v>0</v>
      </c>
      <c r="D93">
        <f>'Feeders Raw Data'!D93-'Feeders Raw Data'!N93</f>
        <v>0</v>
      </c>
      <c r="E93">
        <f>'Feeders Raw Data'!E93-'Feeders Raw Data'!O93</f>
        <v>0</v>
      </c>
      <c r="F93" t="str">
        <f>'Feeders Raw Data'!I93&amp;" - "&amp;'Feeders Raw Data'!S93</f>
        <v xml:space="preserve"> - </v>
      </c>
      <c r="H93" s="1">
        <f>'Feeders Raw Data'!AE93</f>
        <v>0</v>
      </c>
      <c r="I93">
        <f>'Feeders Raw Data'!AF93-'Feeders Raw Data'!AP93</f>
        <v>0</v>
      </c>
      <c r="J93">
        <f>'Feeders Raw Data'!AG93-'Feeders Raw Data'!AQ93</f>
        <v>0</v>
      </c>
      <c r="K93">
        <f>'Feeders Raw Data'!AH93-'Feeders Raw Data'!AR93</f>
        <v>0</v>
      </c>
      <c r="L93">
        <f>'Feeders Raw Data'!AI93-'Feeders Raw Data'!AS93</f>
        <v>0</v>
      </c>
      <c r="M93" t="str">
        <f>'Feeders Raw Data'!AM93&amp;" - "&amp;'Feeders Raw Data'!AW93</f>
        <v xml:space="preserve"> - </v>
      </c>
      <c r="O93" s="1">
        <f>'Feeders Raw Data'!BI93</f>
        <v>0</v>
      </c>
      <c r="P93">
        <f>'Feeders Raw Data'!BJ93-'Feeders Raw Data'!BT93</f>
        <v>0</v>
      </c>
      <c r="Q93">
        <f>'Feeders Raw Data'!BK93-'Feeders Raw Data'!BU93</f>
        <v>0</v>
      </c>
      <c r="R93">
        <f>'Feeders Raw Data'!BL93-'Feeders Raw Data'!BV93</f>
        <v>0</v>
      </c>
      <c r="S93">
        <f>'Feeders Raw Data'!BM93-'Feeders Raw Data'!BW93</f>
        <v>0</v>
      </c>
      <c r="T93" t="str">
        <f>'Feeders Raw Data'!BQ93&amp;" - "&amp;'Feeders Raw Data'!CA93</f>
        <v xml:space="preserve"> - </v>
      </c>
      <c r="V93" s="1">
        <f>'Feeders Raw Data'!K93</f>
        <v>0</v>
      </c>
      <c r="W93">
        <f>'Feeders Raw Data'!L93-'Feeders Raw Data'!V93</f>
        <v>0</v>
      </c>
      <c r="X93">
        <f>'Feeders Raw Data'!M93-'Feeders Raw Data'!W93</f>
        <v>0</v>
      </c>
      <c r="Y93">
        <f>'Feeders Raw Data'!N93-'Feeders Raw Data'!X93</f>
        <v>0</v>
      </c>
      <c r="Z93">
        <f>'Feeders Raw Data'!O93-'Feeders Raw Data'!Y93</f>
        <v>0</v>
      </c>
      <c r="AA93" t="str">
        <f>'Feeders Raw Data'!S93&amp;" - "&amp;'Feeders Raw Data'!AC93</f>
        <v xml:space="preserve"> - </v>
      </c>
      <c r="AC93" s="1">
        <f>'Feeders Raw Data'!U93</f>
        <v>0</v>
      </c>
      <c r="AD93">
        <f>'Feeders Raw Data'!V93-'Feeders Raw Data'!AF93</f>
        <v>0</v>
      </c>
      <c r="AE93">
        <f>'Feeders Raw Data'!W93-'Feeders Raw Data'!AG93</f>
        <v>0</v>
      </c>
      <c r="AF93">
        <f>'Feeders Raw Data'!X93-'Feeders Raw Data'!AH93</f>
        <v>0</v>
      </c>
      <c r="AG93">
        <f>'Feeders Raw Data'!Y93-'Feeders Raw Data'!AI93</f>
        <v>0</v>
      </c>
      <c r="AH93" t="str">
        <f>'Feeders Raw Data'!AC93&amp;" - "&amp;'Feeders Raw Data'!AM93</f>
        <v xml:space="preserve"> - </v>
      </c>
      <c r="AJ93" s="1">
        <f>'Feeders Raw Data'!AO93</f>
        <v>0</v>
      </c>
      <c r="AK93">
        <f>'Feeders Raw Data'!AP93-'Feeders Raw Data'!AZ93</f>
        <v>0</v>
      </c>
      <c r="AL93">
        <f>'Feeders Raw Data'!AQ93-'Feeders Raw Data'!BA93</f>
        <v>0</v>
      </c>
      <c r="AM93">
        <f>'Feeders Raw Data'!AR93-'Feeders Raw Data'!BB93</f>
        <v>0</v>
      </c>
      <c r="AN93">
        <f>'Feeders Raw Data'!AS93-'Feeders Raw Data'!BC93</f>
        <v>0</v>
      </c>
      <c r="AO93" t="str">
        <f>'Feeders Raw Data'!AW93&amp;" - "&amp;'Feeders Raw Data'!BG93</f>
        <v xml:space="preserve"> - </v>
      </c>
      <c r="AQ93" s="1">
        <f>'Feeders Raw Data'!AY93</f>
        <v>0</v>
      </c>
      <c r="AR93">
        <f>'Feeders Raw Data'!AZ93-'Feeders Raw Data'!BJ93</f>
        <v>0</v>
      </c>
      <c r="AS93">
        <f>'Feeders Raw Data'!BA93-'Feeders Raw Data'!BK93</f>
        <v>0</v>
      </c>
      <c r="AT93">
        <f>'Feeders Raw Data'!BB93-'Feeders Raw Data'!BL93</f>
        <v>0</v>
      </c>
      <c r="AU93">
        <f>'Feeders Raw Data'!BC93-'Feeders Raw Data'!BM93</f>
        <v>0</v>
      </c>
      <c r="AV93" t="str">
        <f>'Feeders Raw Data'!BG93&amp;" - "&amp;'Feeders Raw Data'!BQ93</f>
        <v xml:space="preserve"> - </v>
      </c>
      <c r="AX93" s="1">
        <f>'Feeders Raw Data'!BS93</f>
        <v>0</v>
      </c>
      <c r="AY93">
        <f>'Feeders Raw Data'!BT93-'Feeders Raw Data'!B93</f>
        <v>0</v>
      </c>
      <c r="AZ93">
        <f>'Feeders Raw Data'!BU93-'Feeders Raw Data'!C93</f>
        <v>0</v>
      </c>
      <c r="BA93">
        <f>'Feeders Raw Data'!BV93-'Feeders Raw Data'!D93</f>
        <v>0</v>
      </c>
      <c r="BB93">
        <f>'Feeders Raw Data'!BW93-'Feeders Raw Data'!E93</f>
        <v>0</v>
      </c>
      <c r="BC93" t="str">
        <f>'Feeders Raw Data'!CA93&amp;" - "&amp;'Feeders Raw Data'!I93</f>
        <v xml:space="preserve"> - </v>
      </c>
    </row>
    <row r="94" spans="1:55" x14ac:dyDescent="0.25">
      <c r="A94" s="1">
        <f>'Feeders Raw Data'!A94</f>
        <v>0</v>
      </c>
      <c r="B94">
        <f>'Feeders Raw Data'!B94-'Feeders Raw Data'!L94</f>
        <v>0</v>
      </c>
      <c r="C94">
        <f>'Feeders Raw Data'!C94-'Feeders Raw Data'!M94</f>
        <v>0</v>
      </c>
      <c r="D94">
        <f>'Feeders Raw Data'!D94-'Feeders Raw Data'!N94</f>
        <v>0</v>
      </c>
      <c r="E94">
        <f>'Feeders Raw Data'!E94-'Feeders Raw Data'!O94</f>
        <v>0</v>
      </c>
      <c r="F94" t="str">
        <f>'Feeders Raw Data'!I94&amp;" - "&amp;'Feeders Raw Data'!S94</f>
        <v xml:space="preserve"> - </v>
      </c>
      <c r="H94" s="1">
        <f>'Feeders Raw Data'!AE94</f>
        <v>0</v>
      </c>
      <c r="I94">
        <f>'Feeders Raw Data'!AF94-'Feeders Raw Data'!AP94</f>
        <v>0</v>
      </c>
      <c r="J94">
        <f>'Feeders Raw Data'!AG94-'Feeders Raw Data'!AQ94</f>
        <v>0</v>
      </c>
      <c r="K94">
        <f>'Feeders Raw Data'!AH94-'Feeders Raw Data'!AR94</f>
        <v>0</v>
      </c>
      <c r="L94">
        <f>'Feeders Raw Data'!AI94-'Feeders Raw Data'!AS94</f>
        <v>0</v>
      </c>
      <c r="M94" t="str">
        <f>'Feeders Raw Data'!AM94&amp;" - "&amp;'Feeders Raw Data'!AW94</f>
        <v xml:space="preserve"> - </v>
      </c>
      <c r="O94" s="1">
        <f>'Feeders Raw Data'!BI94</f>
        <v>0</v>
      </c>
      <c r="P94">
        <f>'Feeders Raw Data'!BJ94-'Feeders Raw Data'!BT94</f>
        <v>0</v>
      </c>
      <c r="Q94">
        <f>'Feeders Raw Data'!BK94-'Feeders Raw Data'!BU94</f>
        <v>0</v>
      </c>
      <c r="R94">
        <f>'Feeders Raw Data'!BL94-'Feeders Raw Data'!BV94</f>
        <v>0</v>
      </c>
      <c r="S94">
        <f>'Feeders Raw Data'!BM94-'Feeders Raw Data'!BW94</f>
        <v>0</v>
      </c>
      <c r="T94" t="str">
        <f>'Feeders Raw Data'!BQ94&amp;" - "&amp;'Feeders Raw Data'!CA94</f>
        <v xml:space="preserve"> - </v>
      </c>
      <c r="V94" s="1">
        <f>'Feeders Raw Data'!K94</f>
        <v>0</v>
      </c>
      <c r="W94">
        <f>'Feeders Raw Data'!L94-'Feeders Raw Data'!V94</f>
        <v>0</v>
      </c>
      <c r="X94">
        <f>'Feeders Raw Data'!M94-'Feeders Raw Data'!W94</f>
        <v>0</v>
      </c>
      <c r="Y94">
        <f>'Feeders Raw Data'!N94-'Feeders Raw Data'!X94</f>
        <v>0</v>
      </c>
      <c r="Z94">
        <f>'Feeders Raw Data'!O94-'Feeders Raw Data'!Y94</f>
        <v>0</v>
      </c>
      <c r="AA94" t="str">
        <f>'Feeders Raw Data'!S94&amp;" - "&amp;'Feeders Raw Data'!AC94</f>
        <v xml:space="preserve"> - </v>
      </c>
      <c r="AC94" s="1">
        <f>'Feeders Raw Data'!U94</f>
        <v>0</v>
      </c>
      <c r="AD94">
        <f>'Feeders Raw Data'!V94-'Feeders Raw Data'!AF94</f>
        <v>0</v>
      </c>
      <c r="AE94">
        <f>'Feeders Raw Data'!W94-'Feeders Raw Data'!AG94</f>
        <v>0</v>
      </c>
      <c r="AF94">
        <f>'Feeders Raw Data'!X94-'Feeders Raw Data'!AH94</f>
        <v>0</v>
      </c>
      <c r="AG94">
        <f>'Feeders Raw Data'!Y94-'Feeders Raw Data'!AI94</f>
        <v>0</v>
      </c>
      <c r="AH94" t="str">
        <f>'Feeders Raw Data'!AC94&amp;" - "&amp;'Feeders Raw Data'!AM94</f>
        <v xml:space="preserve"> - </v>
      </c>
      <c r="AJ94" s="1">
        <f>'Feeders Raw Data'!AO94</f>
        <v>0</v>
      </c>
      <c r="AK94">
        <f>'Feeders Raw Data'!AP94-'Feeders Raw Data'!AZ94</f>
        <v>0</v>
      </c>
      <c r="AL94">
        <f>'Feeders Raw Data'!AQ94-'Feeders Raw Data'!BA94</f>
        <v>0</v>
      </c>
      <c r="AM94">
        <f>'Feeders Raw Data'!AR94-'Feeders Raw Data'!BB94</f>
        <v>0</v>
      </c>
      <c r="AN94">
        <f>'Feeders Raw Data'!AS94-'Feeders Raw Data'!BC94</f>
        <v>0</v>
      </c>
      <c r="AO94" t="str">
        <f>'Feeders Raw Data'!AW94&amp;" - "&amp;'Feeders Raw Data'!BG94</f>
        <v xml:space="preserve"> - </v>
      </c>
      <c r="AQ94" s="1">
        <f>'Feeders Raw Data'!AY94</f>
        <v>0</v>
      </c>
      <c r="AR94">
        <f>'Feeders Raw Data'!AZ94-'Feeders Raw Data'!BJ94</f>
        <v>0</v>
      </c>
      <c r="AS94">
        <f>'Feeders Raw Data'!BA94-'Feeders Raw Data'!BK94</f>
        <v>0</v>
      </c>
      <c r="AT94">
        <f>'Feeders Raw Data'!BB94-'Feeders Raw Data'!BL94</f>
        <v>0</v>
      </c>
      <c r="AU94">
        <f>'Feeders Raw Data'!BC94-'Feeders Raw Data'!BM94</f>
        <v>0</v>
      </c>
      <c r="AV94" t="str">
        <f>'Feeders Raw Data'!BG94&amp;" - "&amp;'Feeders Raw Data'!BQ94</f>
        <v xml:space="preserve"> - </v>
      </c>
      <c r="AX94" s="1">
        <f>'Feeders Raw Data'!BS94</f>
        <v>0</v>
      </c>
      <c r="AY94">
        <f>'Feeders Raw Data'!BT94-'Feeders Raw Data'!B94</f>
        <v>0</v>
      </c>
      <c r="AZ94">
        <f>'Feeders Raw Data'!BU94-'Feeders Raw Data'!C94</f>
        <v>0</v>
      </c>
      <c r="BA94">
        <f>'Feeders Raw Data'!BV94-'Feeders Raw Data'!D94</f>
        <v>0</v>
      </c>
      <c r="BB94">
        <f>'Feeders Raw Data'!BW94-'Feeders Raw Data'!E94</f>
        <v>0</v>
      </c>
      <c r="BC94" t="str">
        <f>'Feeders Raw Data'!CA94&amp;" - "&amp;'Feeders Raw Data'!I94</f>
        <v xml:space="preserve"> - </v>
      </c>
    </row>
    <row r="95" spans="1:55" x14ac:dyDescent="0.25">
      <c r="A95" s="1">
        <f>'Feeders Raw Data'!A95</f>
        <v>0</v>
      </c>
      <c r="B95">
        <f>'Feeders Raw Data'!B95-'Feeders Raw Data'!L95</f>
        <v>0</v>
      </c>
      <c r="C95">
        <f>'Feeders Raw Data'!C95-'Feeders Raw Data'!M95</f>
        <v>0</v>
      </c>
      <c r="D95">
        <f>'Feeders Raw Data'!D95-'Feeders Raw Data'!N95</f>
        <v>0</v>
      </c>
      <c r="E95">
        <f>'Feeders Raw Data'!E95-'Feeders Raw Data'!O95</f>
        <v>0</v>
      </c>
      <c r="F95" t="str">
        <f>'Feeders Raw Data'!I95&amp;" - "&amp;'Feeders Raw Data'!S95</f>
        <v xml:space="preserve"> - </v>
      </c>
      <c r="H95" s="1">
        <f>'Feeders Raw Data'!AE95</f>
        <v>0</v>
      </c>
      <c r="I95">
        <f>'Feeders Raw Data'!AF95-'Feeders Raw Data'!AP95</f>
        <v>0</v>
      </c>
      <c r="J95">
        <f>'Feeders Raw Data'!AG95-'Feeders Raw Data'!AQ95</f>
        <v>0</v>
      </c>
      <c r="K95">
        <f>'Feeders Raw Data'!AH95-'Feeders Raw Data'!AR95</f>
        <v>0</v>
      </c>
      <c r="L95">
        <f>'Feeders Raw Data'!AI95-'Feeders Raw Data'!AS95</f>
        <v>0</v>
      </c>
      <c r="M95" t="str">
        <f>'Feeders Raw Data'!AM95&amp;" - "&amp;'Feeders Raw Data'!AW95</f>
        <v xml:space="preserve"> - </v>
      </c>
      <c r="O95" s="1">
        <f>'Feeders Raw Data'!BI95</f>
        <v>0</v>
      </c>
      <c r="P95">
        <f>'Feeders Raw Data'!BJ95-'Feeders Raw Data'!BT95</f>
        <v>0</v>
      </c>
      <c r="Q95">
        <f>'Feeders Raw Data'!BK95-'Feeders Raw Data'!BU95</f>
        <v>0</v>
      </c>
      <c r="R95">
        <f>'Feeders Raw Data'!BL95-'Feeders Raw Data'!BV95</f>
        <v>0</v>
      </c>
      <c r="S95">
        <f>'Feeders Raw Data'!BM95-'Feeders Raw Data'!BW95</f>
        <v>0</v>
      </c>
      <c r="T95" t="str">
        <f>'Feeders Raw Data'!BQ95&amp;" - "&amp;'Feeders Raw Data'!CA95</f>
        <v xml:space="preserve"> - </v>
      </c>
      <c r="V95" s="1">
        <f>'Feeders Raw Data'!K95</f>
        <v>0</v>
      </c>
      <c r="W95">
        <f>'Feeders Raw Data'!L95-'Feeders Raw Data'!V95</f>
        <v>0</v>
      </c>
      <c r="X95">
        <f>'Feeders Raw Data'!M95-'Feeders Raw Data'!W95</f>
        <v>0</v>
      </c>
      <c r="Y95">
        <f>'Feeders Raw Data'!N95-'Feeders Raw Data'!X95</f>
        <v>0</v>
      </c>
      <c r="Z95">
        <f>'Feeders Raw Data'!O95-'Feeders Raw Data'!Y95</f>
        <v>0</v>
      </c>
      <c r="AA95" t="str">
        <f>'Feeders Raw Data'!S95&amp;" - "&amp;'Feeders Raw Data'!AC95</f>
        <v xml:space="preserve"> - </v>
      </c>
      <c r="AC95" s="1">
        <f>'Feeders Raw Data'!U95</f>
        <v>0</v>
      </c>
      <c r="AD95">
        <f>'Feeders Raw Data'!V95-'Feeders Raw Data'!AF95</f>
        <v>0</v>
      </c>
      <c r="AE95">
        <f>'Feeders Raw Data'!W95-'Feeders Raw Data'!AG95</f>
        <v>0</v>
      </c>
      <c r="AF95">
        <f>'Feeders Raw Data'!X95-'Feeders Raw Data'!AH95</f>
        <v>0</v>
      </c>
      <c r="AG95">
        <f>'Feeders Raw Data'!Y95-'Feeders Raw Data'!AI95</f>
        <v>0</v>
      </c>
      <c r="AH95" t="str">
        <f>'Feeders Raw Data'!AC95&amp;" - "&amp;'Feeders Raw Data'!AM95</f>
        <v xml:space="preserve"> - </v>
      </c>
      <c r="AJ95" s="1">
        <f>'Feeders Raw Data'!AO95</f>
        <v>0</v>
      </c>
      <c r="AK95">
        <f>'Feeders Raw Data'!AP95-'Feeders Raw Data'!AZ95</f>
        <v>0</v>
      </c>
      <c r="AL95">
        <f>'Feeders Raw Data'!AQ95-'Feeders Raw Data'!BA95</f>
        <v>0</v>
      </c>
      <c r="AM95">
        <f>'Feeders Raw Data'!AR95-'Feeders Raw Data'!BB95</f>
        <v>0</v>
      </c>
      <c r="AN95">
        <f>'Feeders Raw Data'!AS95-'Feeders Raw Data'!BC95</f>
        <v>0</v>
      </c>
      <c r="AO95" t="str">
        <f>'Feeders Raw Data'!AW95&amp;" - "&amp;'Feeders Raw Data'!BG95</f>
        <v xml:space="preserve"> - </v>
      </c>
      <c r="AQ95" s="1">
        <f>'Feeders Raw Data'!AY95</f>
        <v>0</v>
      </c>
      <c r="AR95">
        <f>'Feeders Raw Data'!AZ95-'Feeders Raw Data'!BJ95</f>
        <v>0</v>
      </c>
      <c r="AS95">
        <f>'Feeders Raw Data'!BA95-'Feeders Raw Data'!BK95</f>
        <v>0</v>
      </c>
      <c r="AT95">
        <f>'Feeders Raw Data'!BB95-'Feeders Raw Data'!BL95</f>
        <v>0</v>
      </c>
      <c r="AU95">
        <f>'Feeders Raw Data'!BC95-'Feeders Raw Data'!BM95</f>
        <v>0</v>
      </c>
      <c r="AV95" t="str">
        <f>'Feeders Raw Data'!BG95&amp;" - "&amp;'Feeders Raw Data'!BQ95</f>
        <v xml:space="preserve"> - </v>
      </c>
      <c r="AX95" s="1">
        <f>'Feeders Raw Data'!BS95</f>
        <v>0</v>
      </c>
      <c r="AY95">
        <f>'Feeders Raw Data'!BT95-'Feeders Raw Data'!B95</f>
        <v>0</v>
      </c>
      <c r="AZ95">
        <f>'Feeders Raw Data'!BU95-'Feeders Raw Data'!C95</f>
        <v>0</v>
      </c>
      <c r="BA95">
        <f>'Feeders Raw Data'!BV95-'Feeders Raw Data'!D95</f>
        <v>0</v>
      </c>
      <c r="BB95">
        <f>'Feeders Raw Data'!BW95-'Feeders Raw Data'!E95</f>
        <v>0</v>
      </c>
      <c r="BC95" t="str">
        <f>'Feeders Raw Data'!CA95&amp;" - "&amp;'Feeders Raw Data'!I95</f>
        <v xml:space="preserve"> - </v>
      </c>
    </row>
    <row r="96" spans="1:55" x14ac:dyDescent="0.25">
      <c r="A96" s="1">
        <f>'Feeders Raw Data'!A96</f>
        <v>0</v>
      </c>
      <c r="B96">
        <f>'Feeders Raw Data'!B96-'Feeders Raw Data'!L96</f>
        <v>0</v>
      </c>
      <c r="C96">
        <f>'Feeders Raw Data'!C96-'Feeders Raw Data'!M96</f>
        <v>0</v>
      </c>
      <c r="D96">
        <f>'Feeders Raw Data'!D96-'Feeders Raw Data'!N96</f>
        <v>0</v>
      </c>
      <c r="E96">
        <f>'Feeders Raw Data'!E96-'Feeders Raw Data'!O96</f>
        <v>0</v>
      </c>
      <c r="F96" t="str">
        <f>'Feeders Raw Data'!I96&amp;" - "&amp;'Feeders Raw Data'!S96</f>
        <v xml:space="preserve"> - </v>
      </c>
      <c r="H96" s="1">
        <f>'Feeders Raw Data'!AE96</f>
        <v>0</v>
      </c>
      <c r="I96">
        <f>'Feeders Raw Data'!AF96-'Feeders Raw Data'!AP96</f>
        <v>0</v>
      </c>
      <c r="J96">
        <f>'Feeders Raw Data'!AG96-'Feeders Raw Data'!AQ96</f>
        <v>0</v>
      </c>
      <c r="K96">
        <f>'Feeders Raw Data'!AH96-'Feeders Raw Data'!AR96</f>
        <v>0</v>
      </c>
      <c r="L96">
        <f>'Feeders Raw Data'!AI96-'Feeders Raw Data'!AS96</f>
        <v>0</v>
      </c>
      <c r="M96" t="str">
        <f>'Feeders Raw Data'!AM96&amp;" - "&amp;'Feeders Raw Data'!AW96</f>
        <v xml:space="preserve"> - </v>
      </c>
      <c r="O96" s="1">
        <f>'Feeders Raw Data'!BI96</f>
        <v>0</v>
      </c>
      <c r="P96">
        <f>'Feeders Raw Data'!BJ96-'Feeders Raw Data'!BT96</f>
        <v>0</v>
      </c>
      <c r="Q96">
        <f>'Feeders Raw Data'!BK96-'Feeders Raw Data'!BU96</f>
        <v>0</v>
      </c>
      <c r="R96">
        <f>'Feeders Raw Data'!BL96-'Feeders Raw Data'!BV96</f>
        <v>0</v>
      </c>
      <c r="S96">
        <f>'Feeders Raw Data'!BM96-'Feeders Raw Data'!BW96</f>
        <v>0</v>
      </c>
      <c r="T96" t="str">
        <f>'Feeders Raw Data'!BQ96&amp;" - "&amp;'Feeders Raw Data'!CA96</f>
        <v xml:space="preserve"> - </v>
      </c>
      <c r="V96" s="1">
        <f>'Feeders Raw Data'!K96</f>
        <v>0</v>
      </c>
      <c r="W96">
        <f>'Feeders Raw Data'!L96-'Feeders Raw Data'!V96</f>
        <v>0</v>
      </c>
      <c r="X96">
        <f>'Feeders Raw Data'!M96-'Feeders Raw Data'!W96</f>
        <v>0</v>
      </c>
      <c r="Y96">
        <f>'Feeders Raw Data'!N96-'Feeders Raw Data'!X96</f>
        <v>0</v>
      </c>
      <c r="Z96">
        <f>'Feeders Raw Data'!O96-'Feeders Raw Data'!Y96</f>
        <v>0</v>
      </c>
      <c r="AA96" t="str">
        <f>'Feeders Raw Data'!S96&amp;" - "&amp;'Feeders Raw Data'!AC96</f>
        <v xml:space="preserve"> - </v>
      </c>
      <c r="AC96" s="1">
        <f>'Feeders Raw Data'!U96</f>
        <v>0</v>
      </c>
      <c r="AD96">
        <f>'Feeders Raw Data'!V96-'Feeders Raw Data'!AF96</f>
        <v>0</v>
      </c>
      <c r="AE96">
        <f>'Feeders Raw Data'!W96-'Feeders Raw Data'!AG96</f>
        <v>0</v>
      </c>
      <c r="AF96">
        <f>'Feeders Raw Data'!X96-'Feeders Raw Data'!AH96</f>
        <v>0</v>
      </c>
      <c r="AG96">
        <f>'Feeders Raw Data'!Y96-'Feeders Raw Data'!AI96</f>
        <v>0</v>
      </c>
      <c r="AH96" t="str">
        <f>'Feeders Raw Data'!AC96&amp;" - "&amp;'Feeders Raw Data'!AM96</f>
        <v xml:space="preserve"> - </v>
      </c>
      <c r="AJ96" s="1">
        <f>'Feeders Raw Data'!AO96</f>
        <v>0</v>
      </c>
      <c r="AK96">
        <f>'Feeders Raw Data'!AP96-'Feeders Raw Data'!AZ96</f>
        <v>0</v>
      </c>
      <c r="AL96">
        <f>'Feeders Raw Data'!AQ96-'Feeders Raw Data'!BA96</f>
        <v>0</v>
      </c>
      <c r="AM96">
        <f>'Feeders Raw Data'!AR96-'Feeders Raw Data'!BB96</f>
        <v>0</v>
      </c>
      <c r="AN96">
        <f>'Feeders Raw Data'!AS96-'Feeders Raw Data'!BC96</f>
        <v>0</v>
      </c>
      <c r="AO96" t="str">
        <f>'Feeders Raw Data'!AW96&amp;" - "&amp;'Feeders Raw Data'!BG96</f>
        <v xml:space="preserve"> - </v>
      </c>
      <c r="AQ96" s="1">
        <f>'Feeders Raw Data'!AY96</f>
        <v>0</v>
      </c>
      <c r="AR96">
        <f>'Feeders Raw Data'!AZ96-'Feeders Raw Data'!BJ96</f>
        <v>0</v>
      </c>
      <c r="AS96">
        <f>'Feeders Raw Data'!BA96-'Feeders Raw Data'!BK96</f>
        <v>0</v>
      </c>
      <c r="AT96">
        <f>'Feeders Raw Data'!BB96-'Feeders Raw Data'!BL96</f>
        <v>0</v>
      </c>
      <c r="AU96">
        <f>'Feeders Raw Data'!BC96-'Feeders Raw Data'!BM96</f>
        <v>0</v>
      </c>
      <c r="AV96" t="str">
        <f>'Feeders Raw Data'!BG96&amp;" - "&amp;'Feeders Raw Data'!BQ96</f>
        <v xml:space="preserve"> - </v>
      </c>
      <c r="AX96" s="1">
        <f>'Feeders Raw Data'!BS96</f>
        <v>0</v>
      </c>
      <c r="AY96">
        <f>'Feeders Raw Data'!BT96-'Feeders Raw Data'!B96</f>
        <v>0</v>
      </c>
      <c r="AZ96">
        <f>'Feeders Raw Data'!BU96-'Feeders Raw Data'!C96</f>
        <v>0</v>
      </c>
      <c r="BA96">
        <f>'Feeders Raw Data'!BV96-'Feeders Raw Data'!D96</f>
        <v>0</v>
      </c>
      <c r="BB96">
        <f>'Feeders Raw Data'!BW96-'Feeders Raw Data'!E96</f>
        <v>0</v>
      </c>
      <c r="BC96" t="str">
        <f>'Feeders Raw Data'!CA96&amp;" - "&amp;'Feeders Raw Data'!I96</f>
        <v xml:space="preserve"> - </v>
      </c>
    </row>
    <row r="97" spans="1:55" x14ac:dyDescent="0.25">
      <c r="A97" s="1">
        <f>'Feeders Raw Data'!A97</f>
        <v>0</v>
      </c>
      <c r="B97">
        <f>'Feeders Raw Data'!B97-'Feeders Raw Data'!L97</f>
        <v>0</v>
      </c>
      <c r="C97">
        <f>'Feeders Raw Data'!C97-'Feeders Raw Data'!M97</f>
        <v>0</v>
      </c>
      <c r="D97">
        <f>'Feeders Raw Data'!D97-'Feeders Raw Data'!N97</f>
        <v>0</v>
      </c>
      <c r="E97">
        <f>'Feeders Raw Data'!E97-'Feeders Raw Data'!O97</f>
        <v>0</v>
      </c>
      <c r="F97" t="str">
        <f>'Feeders Raw Data'!I97&amp;" - "&amp;'Feeders Raw Data'!S97</f>
        <v xml:space="preserve"> - </v>
      </c>
      <c r="H97" s="1">
        <f>'Feeders Raw Data'!AE97</f>
        <v>0</v>
      </c>
      <c r="I97">
        <f>'Feeders Raw Data'!AF97-'Feeders Raw Data'!AP97</f>
        <v>0</v>
      </c>
      <c r="J97">
        <f>'Feeders Raw Data'!AG97-'Feeders Raw Data'!AQ97</f>
        <v>0</v>
      </c>
      <c r="K97">
        <f>'Feeders Raw Data'!AH97-'Feeders Raw Data'!AR97</f>
        <v>0</v>
      </c>
      <c r="L97">
        <f>'Feeders Raw Data'!AI97-'Feeders Raw Data'!AS97</f>
        <v>0</v>
      </c>
      <c r="M97" t="str">
        <f>'Feeders Raw Data'!AM97&amp;" - "&amp;'Feeders Raw Data'!AW97</f>
        <v xml:space="preserve"> - </v>
      </c>
      <c r="O97" s="1">
        <f>'Feeders Raw Data'!BI97</f>
        <v>0</v>
      </c>
      <c r="P97">
        <f>'Feeders Raw Data'!BJ97-'Feeders Raw Data'!BT97</f>
        <v>0</v>
      </c>
      <c r="Q97">
        <f>'Feeders Raw Data'!BK97-'Feeders Raw Data'!BU97</f>
        <v>0</v>
      </c>
      <c r="R97">
        <f>'Feeders Raw Data'!BL97-'Feeders Raw Data'!BV97</f>
        <v>0</v>
      </c>
      <c r="S97">
        <f>'Feeders Raw Data'!BM97-'Feeders Raw Data'!BW97</f>
        <v>0</v>
      </c>
      <c r="T97" t="str">
        <f>'Feeders Raw Data'!BQ97&amp;" - "&amp;'Feeders Raw Data'!CA97</f>
        <v xml:space="preserve"> - </v>
      </c>
      <c r="V97" s="1">
        <f>'Feeders Raw Data'!K97</f>
        <v>0</v>
      </c>
      <c r="W97">
        <f>'Feeders Raw Data'!L97-'Feeders Raw Data'!V97</f>
        <v>0</v>
      </c>
      <c r="X97">
        <f>'Feeders Raw Data'!M97-'Feeders Raw Data'!W97</f>
        <v>0</v>
      </c>
      <c r="Y97">
        <f>'Feeders Raw Data'!N97-'Feeders Raw Data'!X97</f>
        <v>0</v>
      </c>
      <c r="Z97">
        <f>'Feeders Raw Data'!O97-'Feeders Raw Data'!Y97</f>
        <v>0</v>
      </c>
      <c r="AA97" t="str">
        <f>'Feeders Raw Data'!S97&amp;" - "&amp;'Feeders Raw Data'!AC97</f>
        <v xml:space="preserve"> - </v>
      </c>
      <c r="AC97" s="1">
        <f>'Feeders Raw Data'!U97</f>
        <v>0</v>
      </c>
      <c r="AD97">
        <f>'Feeders Raw Data'!V97-'Feeders Raw Data'!AF97</f>
        <v>0</v>
      </c>
      <c r="AE97">
        <f>'Feeders Raw Data'!W97-'Feeders Raw Data'!AG97</f>
        <v>0</v>
      </c>
      <c r="AF97">
        <f>'Feeders Raw Data'!X97-'Feeders Raw Data'!AH97</f>
        <v>0</v>
      </c>
      <c r="AG97">
        <f>'Feeders Raw Data'!Y97-'Feeders Raw Data'!AI97</f>
        <v>0</v>
      </c>
      <c r="AH97" t="str">
        <f>'Feeders Raw Data'!AC97&amp;" - "&amp;'Feeders Raw Data'!AM97</f>
        <v xml:space="preserve"> - </v>
      </c>
      <c r="AJ97" s="1">
        <f>'Feeders Raw Data'!AO97</f>
        <v>0</v>
      </c>
      <c r="AK97">
        <f>'Feeders Raw Data'!AP97-'Feeders Raw Data'!AZ97</f>
        <v>0</v>
      </c>
      <c r="AL97">
        <f>'Feeders Raw Data'!AQ97-'Feeders Raw Data'!BA97</f>
        <v>0</v>
      </c>
      <c r="AM97">
        <f>'Feeders Raw Data'!AR97-'Feeders Raw Data'!BB97</f>
        <v>0</v>
      </c>
      <c r="AN97">
        <f>'Feeders Raw Data'!AS97-'Feeders Raw Data'!BC97</f>
        <v>0</v>
      </c>
      <c r="AO97" t="str">
        <f>'Feeders Raw Data'!AW97&amp;" - "&amp;'Feeders Raw Data'!BG97</f>
        <v xml:space="preserve"> - </v>
      </c>
      <c r="AQ97" s="1">
        <f>'Feeders Raw Data'!AY97</f>
        <v>0</v>
      </c>
      <c r="AR97">
        <f>'Feeders Raw Data'!AZ97-'Feeders Raw Data'!BJ97</f>
        <v>0</v>
      </c>
      <c r="AS97">
        <f>'Feeders Raw Data'!BA97-'Feeders Raw Data'!BK97</f>
        <v>0</v>
      </c>
      <c r="AT97">
        <f>'Feeders Raw Data'!BB97-'Feeders Raw Data'!BL97</f>
        <v>0</v>
      </c>
      <c r="AU97">
        <f>'Feeders Raw Data'!BC97-'Feeders Raw Data'!BM97</f>
        <v>0</v>
      </c>
      <c r="AV97" t="str">
        <f>'Feeders Raw Data'!BG97&amp;" - "&amp;'Feeders Raw Data'!BQ97</f>
        <v xml:space="preserve"> - </v>
      </c>
      <c r="AX97" s="1">
        <f>'Feeders Raw Data'!BS97</f>
        <v>0</v>
      </c>
      <c r="AY97">
        <f>'Feeders Raw Data'!BT97-'Feeders Raw Data'!B97</f>
        <v>0</v>
      </c>
      <c r="AZ97">
        <f>'Feeders Raw Data'!BU97-'Feeders Raw Data'!C97</f>
        <v>0</v>
      </c>
      <c r="BA97">
        <f>'Feeders Raw Data'!BV97-'Feeders Raw Data'!D97</f>
        <v>0</v>
      </c>
      <c r="BB97">
        <f>'Feeders Raw Data'!BW97-'Feeders Raw Data'!E97</f>
        <v>0</v>
      </c>
      <c r="BC97" t="str">
        <f>'Feeders Raw Data'!CA97&amp;" - "&amp;'Feeders Raw Data'!I97</f>
        <v xml:space="preserve"> - </v>
      </c>
    </row>
    <row r="98" spans="1:55" x14ac:dyDescent="0.25">
      <c r="A98" s="1">
        <f>'Feeders Raw Data'!A98</f>
        <v>0</v>
      </c>
      <c r="B98">
        <f>'Feeders Raw Data'!B98-'Feeders Raw Data'!L98</f>
        <v>0</v>
      </c>
      <c r="C98">
        <f>'Feeders Raw Data'!C98-'Feeders Raw Data'!M98</f>
        <v>0</v>
      </c>
      <c r="D98">
        <f>'Feeders Raw Data'!D98-'Feeders Raw Data'!N98</f>
        <v>0</v>
      </c>
      <c r="E98">
        <f>'Feeders Raw Data'!E98-'Feeders Raw Data'!O98</f>
        <v>0</v>
      </c>
      <c r="F98" t="str">
        <f>'Feeders Raw Data'!I98&amp;" - "&amp;'Feeders Raw Data'!S98</f>
        <v xml:space="preserve"> - </v>
      </c>
      <c r="H98" s="1">
        <f>'Feeders Raw Data'!AE98</f>
        <v>0</v>
      </c>
      <c r="I98">
        <f>'Feeders Raw Data'!AF98-'Feeders Raw Data'!AP98</f>
        <v>0</v>
      </c>
      <c r="J98">
        <f>'Feeders Raw Data'!AG98-'Feeders Raw Data'!AQ98</f>
        <v>0</v>
      </c>
      <c r="K98">
        <f>'Feeders Raw Data'!AH98-'Feeders Raw Data'!AR98</f>
        <v>0</v>
      </c>
      <c r="L98">
        <f>'Feeders Raw Data'!AI98-'Feeders Raw Data'!AS98</f>
        <v>0</v>
      </c>
      <c r="M98" t="str">
        <f>'Feeders Raw Data'!AM98&amp;" - "&amp;'Feeders Raw Data'!AW98</f>
        <v xml:space="preserve"> - </v>
      </c>
      <c r="O98" s="1">
        <f>'Feeders Raw Data'!BI98</f>
        <v>0</v>
      </c>
      <c r="P98">
        <f>'Feeders Raw Data'!BJ98-'Feeders Raw Data'!BT98</f>
        <v>0</v>
      </c>
      <c r="Q98">
        <f>'Feeders Raw Data'!BK98-'Feeders Raw Data'!BU98</f>
        <v>0</v>
      </c>
      <c r="R98">
        <f>'Feeders Raw Data'!BL98-'Feeders Raw Data'!BV98</f>
        <v>0</v>
      </c>
      <c r="S98">
        <f>'Feeders Raw Data'!BM98-'Feeders Raw Data'!BW98</f>
        <v>0</v>
      </c>
      <c r="T98" t="str">
        <f>'Feeders Raw Data'!BQ98&amp;" - "&amp;'Feeders Raw Data'!CA98</f>
        <v xml:space="preserve"> - </v>
      </c>
      <c r="V98" s="1">
        <f>'Feeders Raw Data'!K98</f>
        <v>0</v>
      </c>
      <c r="W98">
        <f>'Feeders Raw Data'!L98-'Feeders Raw Data'!V98</f>
        <v>0</v>
      </c>
      <c r="X98">
        <f>'Feeders Raw Data'!M98-'Feeders Raw Data'!W98</f>
        <v>0</v>
      </c>
      <c r="Y98">
        <f>'Feeders Raw Data'!N98-'Feeders Raw Data'!X98</f>
        <v>0</v>
      </c>
      <c r="Z98">
        <f>'Feeders Raw Data'!O98-'Feeders Raw Data'!Y98</f>
        <v>0</v>
      </c>
      <c r="AA98" t="str">
        <f>'Feeders Raw Data'!S98&amp;" - "&amp;'Feeders Raw Data'!AC98</f>
        <v xml:space="preserve"> - </v>
      </c>
      <c r="AC98" s="1">
        <f>'Feeders Raw Data'!U98</f>
        <v>0</v>
      </c>
      <c r="AD98">
        <f>'Feeders Raw Data'!V98-'Feeders Raw Data'!AF98</f>
        <v>0</v>
      </c>
      <c r="AE98">
        <f>'Feeders Raw Data'!W98-'Feeders Raw Data'!AG98</f>
        <v>0</v>
      </c>
      <c r="AF98">
        <f>'Feeders Raw Data'!X98-'Feeders Raw Data'!AH98</f>
        <v>0</v>
      </c>
      <c r="AG98">
        <f>'Feeders Raw Data'!Y98-'Feeders Raw Data'!AI98</f>
        <v>0</v>
      </c>
      <c r="AH98" t="str">
        <f>'Feeders Raw Data'!AC98&amp;" - "&amp;'Feeders Raw Data'!AM98</f>
        <v xml:space="preserve"> - </v>
      </c>
      <c r="AJ98" s="1">
        <f>'Feeders Raw Data'!AO98</f>
        <v>0</v>
      </c>
      <c r="AK98">
        <f>'Feeders Raw Data'!AP98-'Feeders Raw Data'!AZ98</f>
        <v>0</v>
      </c>
      <c r="AL98">
        <f>'Feeders Raw Data'!AQ98-'Feeders Raw Data'!BA98</f>
        <v>0</v>
      </c>
      <c r="AM98">
        <f>'Feeders Raw Data'!AR98-'Feeders Raw Data'!BB98</f>
        <v>0</v>
      </c>
      <c r="AN98">
        <f>'Feeders Raw Data'!AS98-'Feeders Raw Data'!BC98</f>
        <v>0</v>
      </c>
      <c r="AO98" t="str">
        <f>'Feeders Raw Data'!AW98&amp;" - "&amp;'Feeders Raw Data'!BG98</f>
        <v xml:space="preserve"> - </v>
      </c>
      <c r="AQ98" s="1">
        <f>'Feeders Raw Data'!AY98</f>
        <v>0</v>
      </c>
      <c r="AR98">
        <f>'Feeders Raw Data'!AZ98-'Feeders Raw Data'!BJ98</f>
        <v>0</v>
      </c>
      <c r="AS98">
        <f>'Feeders Raw Data'!BA98-'Feeders Raw Data'!BK98</f>
        <v>0</v>
      </c>
      <c r="AT98">
        <f>'Feeders Raw Data'!BB98-'Feeders Raw Data'!BL98</f>
        <v>0</v>
      </c>
      <c r="AU98">
        <f>'Feeders Raw Data'!BC98-'Feeders Raw Data'!BM98</f>
        <v>0</v>
      </c>
      <c r="AV98" t="str">
        <f>'Feeders Raw Data'!BG98&amp;" - "&amp;'Feeders Raw Data'!BQ98</f>
        <v xml:space="preserve"> - </v>
      </c>
      <c r="AX98" s="1">
        <f>'Feeders Raw Data'!BS98</f>
        <v>0</v>
      </c>
      <c r="AY98">
        <f>'Feeders Raw Data'!BT98-'Feeders Raw Data'!B98</f>
        <v>0</v>
      </c>
      <c r="AZ98">
        <f>'Feeders Raw Data'!BU98-'Feeders Raw Data'!C98</f>
        <v>0</v>
      </c>
      <c r="BA98">
        <f>'Feeders Raw Data'!BV98-'Feeders Raw Data'!D98</f>
        <v>0</v>
      </c>
      <c r="BB98">
        <f>'Feeders Raw Data'!BW98-'Feeders Raw Data'!E98</f>
        <v>0</v>
      </c>
      <c r="BC98" t="str">
        <f>'Feeders Raw Data'!CA98&amp;" - "&amp;'Feeders Raw Data'!I98</f>
        <v xml:space="preserve"> - </v>
      </c>
    </row>
    <row r="99" spans="1:55" x14ac:dyDescent="0.25">
      <c r="A99" s="1">
        <f>'Feeders Raw Data'!A99</f>
        <v>0</v>
      </c>
      <c r="B99">
        <f>'Feeders Raw Data'!B99-'Feeders Raw Data'!L99</f>
        <v>0</v>
      </c>
      <c r="C99">
        <f>'Feeders Raw Data'!C99-'Feeders Raw Data'!M99</f>
        <v>0</v>
      </c>
      <c r="D99">
        <f>'Feeders Raw Data'!D99-'Feeders Raw Data'!N99</f>
        <v>0</v>
      </c>
      <c r="E99">
        <f>'Feeders Raw Data'!E99-'Feeders Raw Data'!O99</f>
        <v>0</v>
      </c>
      <c r="F99" t="str">
        <f>'Feeders Raw Data'!I99&amp;" - "&amp;'Feeders Raw Data'!S99</f>
        <v xml:space="preserve"> - </v>
      </c>
      <c r="H99" s="1">
        <f>'Feeders Raw Data'!AE99</f>
        <v>0</v>
      </c>
      <c r="I99">
        <f>'Feeders Raw Data'!AF99-'Feeders Raw Data'!AP99</f>
        <v>0</v>
      </c>
      <c r="J99">
        <f>'Feeders Raw Data'!AG99-'Feeders Raw Data'!AQ99</f>
        <v>0</v>
      </c>
      <c r="K99">
        <f>'Feeders Raw Data'!AH99-'Feeders Raw Data'!AR99</f>
        <v>0</v>
      </c>
      <c r="L99">
        <f>'Feeders Raw Data'!AI99-'Feeders Raw Data'!AS99</f>
        <v>0</v>
      </c>
      <c r="M99" t="str">
        <f>'Feeders Raw Data'!AM99&amp;" - "&amp;'Feeders Raw Data'!AW99</f>
        <v xml:space="preserve"> - </v>
      </c>
      <c r="O99" s="1">
        <f>'Feeders Raw Data'!BI99</f>
        <v>0</v>
      </c>
      <c r="P99">
        <f>'Feeders Raw Data'!BJ99-'Feeders Raw Data'!BT99</f>
        <v>0</v>
      </c>
      <c r="Q99">
        <f>'Feeders Raw Data'!BK99-'Feeders Raw Data'!BU99</f>
        <v>0</v>
      </c>
      <c r="R99">
        <f>'Feeders Raw Data'!BL99-'Feeders Raw Data'!BV99</f>
        <v>0</v>
      </c>
      <c r="S99">
        <f>'Feeders Raw Data'!BM99-'Feeders Raw Data'!BW99</f>
        <v>0</v>
      </c>
      <c r="T99" t="str">
        <f>'Feeders Raw Data'!BQ99&amp;" - "&amp;'Feeders Raw Data'!CA99</f>
        <v xml:space="preserve"> - </v>
      </c>
      <c r="V99" s="1">
        <f>'Feeders Raw Data'!K99</f>
        <v>0</v>
      </c>
      <c r="W99">
        <f>'Feeders Raw Data'!L99-'Feeders Raw Data'!V99</f>
        <v>0</v>
      </c>
      <c r="X99">
        <f>'Feeders Raw Data'!M99-'Feeders Raw Data'!W99</f>
        <v>0</v>
      </c>
      <c r="Y99">
        <f>'Feeders Raw Data'!N99-'Feeders Raw Data'!X99</f>
        <v>0</v>
      </c>
      <c r="Z99">
        <f>'Feeders Raw Data'!O99-'Feeders Raw Data'!Y99</f>
        <v>0</v>
      </c>
      <c r="AA99" t="str">
        <f>'Feeders Raw Data'!S99&amp;" - "&amp;'Feeders Raw Data'!AC99</f>
        <v xml:space="preserve"> - </v>
      </c>
      <c r="AC99" s="1">
        <f>'Feeders Raw Data'!U99</f>
        <v>0</v>
      </c>
      <c r="AD99">
        <f>'Feeders Raw Data'!V99-'Feeders Raw Data'!AF99</f>
        <v>0</v>
      </c>
      <c r="AE99">
        <f>'Feeders Raw Data'!W99-'Feeders Raw Data'!AG99</f>
        <v>0</v>
      </c>
      <c r="AF99">
        <f>'Feeders Raw Data'!X99-'Feeders Raw Data'!AH99</f>
        <v>0</v>
      </c>
      <c r="AG99">
        <f>'Feeders Raw Data'!Y99-'Feeders Raw Data'!AI99</f>
        <v>0</v>
      </c>
      <c r="AH99" t="str">
        <f>'Feeders Raw Data'!AC99&amp;" - "&amp;'Feeders Raw Data'!AM99</f>
        <v xml:space="preserve"> - </v>
      </c>
      <c r="AJ99" s="1">
        <f>'Feeders Raw Data'!AO99</f>
        <v>0</v>
      </c>
      <c r="AK99">
        <f>'Feeders Raw Data'!AP99-'Feeders Raw Data'!AZ99</f>
        <v>0</v>
      </c>
      <c r="AL99">
        <f>'Feeders Raw Data'!AQ99-'Feeders Raw Data'!BA99</f>
        <v>0</v>
      </c>
      <c r="AM99">
        <f>'Feeders Raw Data'!AR99-'Feeders Raw Data'!BB99</f>
        <v>0</v>
      </c>
      <c r="AN99">
        <f>'Feeders Raw Data'!AS99-'Feeders Raw Data'!BC99</f>
        <v>0</v>
      </c>
      <c r="AO99" t="str">
        <f>'Feeders Raw Data'!AW99&amp;" - "&amp;'Feeders Raw Data'!BG99</f>
        <v xml:space="preserve"> - </v>
      </c>
      <c r="AQ99" s="1">
        <f>'Feeders Raw Data'!AY99</f>
        <v>0</v>
      </c>
      <c r="AR99">
        <f>'Feeders Raw Data'!AZ99-'Feeders Raw Data'!BJ99</f>
        <v>0</v>
      </c>
      <c r="AS99">
        <f>'Feeders Raw Data'!BA99-'Feeders Raw Data'!BK99</f>
        <v>0</v>
      </c>
      <c r="AT99">
        <f>'Feeders Raw Data'!BB99-'Feeders Raw Data'!BL99</f>
        <v>0</v>
      </c>
      <c r="AU99">
        <f>'Feeders Raw Data'!BC99-'Feeders Raw Data'!BM99</f>
        <v>0</v>
      </c>
      <c r="AV99" t="str">
        <f>'Feeders Raw Data'!BG99&amp;" - "&amp;'Feeders Raw Data'!BQ99</f>
        <v xml:space="preserve"> - </v>
      </c>
      <c r="AX99" s="1">
        <f>'Feeders Raw Data'!BS99</f>
        <v>0</v>
      </c>
      <c r="AY99">
        <f>'Feeders Raw Data'!BT99-'Feeders Raw Data'!B99</f>
        <v>0</v>
      </c>
      <c r="AZ99">
        <f>'Feeders Raw Data'!BU99-'Feeders Raw Data'!C99</f>
        <v>0</v>
      </c>
      <c r="BA99">
        <f>'Feeders Raw Data'!BV99-'Feeders Raw Data'!D99</f>
        <v>0</v>
      </c>
      <c r="BB99">
        <f>'Feeders Raw Data'!BW99-'Feeders Raw Data'!E99</f>
        <v>0</v>
      </c>
      <c r="BC99" t="str">
        <f>'Feeders Raw Data'!CA99&amp;" - "&amp;'Feeders Raw Data'!I99</f>
        <v xml:space="preserve"> - </v>
      </c>
    </row>
    <row r="100" spans="1:55" x14ac:dyDescent="0.25">
      <c r="A100" s="1">
        <f>'Feeders Raw Data'!A100</f>
        <v>0</v>
      </c>
      <c r="B100">
        <f>'Feeders Raw Data'!B100-'Feeders Raw Data'!L100</f>
        <v>0</v>
      </c>
      <c r="C100">
        <f>'Feeders Raw Data'!C100-'Feeders Raw Data'!M100</f>
        <v>0</v>
      </c>
      <c r="D100">
        <f>'Feeders Raw Data'!D100-'Feeders Raw Data'!N100</f>
        <v>0</v>
      </c>
      <c r="E100">
        <f>'Feeders Raw Data'!E100-'Feeders Raw Data'!O100</f>
        <v>0</v>
      </c>
      <c r="F100" t="str">
        <f>'Feeders Raw Data'!I100&amp;" - "&amp;'Feeders Raw Data'!S100</f>
        <v xml:space="preserve"> - </v>
      </c>
      <c r="H100" s="1">
        <f>'Feeders Raw Data'!AE100</f>
        <v>0</v>
      </c>
      <c r="I100">
        <f>'Feeders Raw Data'!AF100-'Feeders Raw Data'!AP100</f>
        <v>0</v>
      </c>
      <c r="J100">
        <f>'Feeders Raw Data'!AG100-'Feeders Raw Data'!AQ100</f>
        <v>0</v>
      </c>
      <c r="K100">
        <f>'Feeders Raw Data'!AH100-'Feeders Raw Data'!AR100</f>
        <v>0</v>
      </c>
      <c r="L100">
        <f>'Feeders Raw Data'!AI100-'Feeders Raw Data'!AS100</f>
        <v>0</v>
      </c>
      <c r="M100" t="str">
        <f>'Feeders Raw Data'!AM100&amp;" - "&amp;'Feeders Raw Data'!AW100</f>
        <v xml:space="preserve"> - </v>
      </c>
      <c r="O100" s="1">
        <f>'Feeders Raw Data'!BI100</f>
        <v>0</v>
      </c>
      <c r="P100">
        <f>'Feeders Raw Data'!BJ100-'Feeders Raw Data'!BT100</f>
        <v>0</v>
      </c>
      <c r="Q100">
        <f>'Feeders Raw Data'!BK100-'Feeders Raw Data'!BU100</f>
        <v>0</v>
      </c>
      <c r="R100">
        <f>'Feeders Raw Data'!BL100-'Feeders Raw Data'!BV100</f>
        <v>0</v>
      </c>
      <c r="S100">
        <f>'Feeders Raw Data'!BM100-'Feeders Raw Data'!BW100</f>
        <v>0</v>
      </c>
      <c r="T100" t="str">
        <f>'Feeders Raw Data'!BQ100&amp;" - "&amp;'Feeders Raw Data'!CA100</f>
        <v xml:space="preserve"> - </v>
      </c>
      <c r="V100" s="1">
        <f>'Feeders Raw Data'!K100</f>
        <v>0</v>
      </c>
      <c r="W100">
        <f>'Feeders Raw Data'!L100-'Feeders Raw Data'!V100</f>
        <v>0</v>
      </c>
      <c r="X100">
        <f>'Feeders Raw Data'!M100-'Feeders Raw Data'!W100</f>
        <v>0</v>
      </c>
      <c r="Y100">
        <f>'Feeders Raw Data'!N100-'Feeders Raw Data'!X100</f>
        <v>0</v>
      </c>
      <c r="Z100">
        <f>'Feeders Raw Data'!O100-'Feeders Raw Data'!Y100</f>
        <v>0</v>
      </c>
      <c r="AA100" t="str">
        <f>'Feeders Raw Data'!S100&amp;" - "&amp;'Feeders Raw Data'!AC100</f>
        <v xml:space="preserve"> - </v>
      </c>
      <c r="AC100" s="1">
        <f>'Feeders Raw Data'!U100</f>
        <v>0</v>
      </c>
      <c r="AD100">
        <f>'Feeders Raw Data'!V100-'Feeders Raw Data'!AF100</f>
        <v>0</v>
      </c>
      <c r="AE100">
        <f>'Feeders Raw Data'!W100-'Feeders Raw Data'!AG100</f>
        <v>0</v>
      </c>
      <c r="AF100">
        <f>'Feeders Raw Data'!X100-'Feeders Raw Data'!AH100</f>
        <v>0</v>
      </c>
      <c r="AG100">
        <f>'Feeders Raw Data'!Y100-'Feeders Raw Data'!AI100</f>
        <v>0</v>
      </c>
      <c r="AH100" t="str">
        <f>'Feeders Raw Data'!AC100&amp;" - "&amp;'Feeders Raw Data'!AM100</f>
        <v xml:space="preserve"> - </v>
      </c>
      <c r="AJ100" s="1">
        <f>'Feeders Raw Data'!AO100</f>
        <v>0</v>
      </c>
      <c r="AK100">
        <f>'Feeders Raw Data'!AP100-'Feeders Raw Data'!AZ100</f>
        <v>0</v>
      </c>
      <c r="AL100">
        <f>'Feeders Raw Data'!AQ100-'Feeders Raw Data'!BA100</f>
        <v>0</v>
      </c>
      <c r="AM100">
        <f>'Feeders Raw Data'!AR100-'Feeders Raw Data'!BB100</f>
        <v>0</v>
      </c>
      <c r="AN100">
        <f>'Feeders Raw Data'!AS100-'Feeders Raw Data'!BC100</f>
        <v>0</v>
      </c>
      <c r="AO100" t="str">
        <f>'Feeders Raw Data'!AW100&amp;" - "&amp;'Feeders Raw Data'!BG100</f>
        <v xml:space="preserve"> - </v>
      </c>
      <c r="AQ100" s="1">
        <f>'Feeders Raw Data'!AY100</f>
        <v>0</v>
      </c>
      <c r="AR100">
        <f>'Feeders Raw Data'!AZ100-'Feeders Raw Data'!BJ100</f>
        <v>0</v>
      </c>
      <c r="AS100">
        <f>'Feeders Raw Data'!BA100-'Feeders Raw Data'!BK100</f>
        <v>0</v>
      </c>
      <c r="AT100">
        <f>'Feeders Raw Data'!BB100-'Feeders Raw Data'!BL100</f>
        <v>0</v>
      </c>
      <c r="AU100">
        <f>'Feeders Raw Data'!BC100-'Feeders Raw Data'!BM100</f>
        <v>0</v>
      </c>
      <c r="AV100" t="str">
        <f>'Feeders Raw Data'!BG100&amp;" - "&amp;'Feeders Raw Data'!BQ100</f>
        <v xml:space="preserve"> - </v>
      </c>
      <c r="AX100" s="1">
        <f>'Feeders Raw Data'!BS100</f>
        <v>0</v>
      </c>
      <c r="AY100">
        <f>'Feeders Raw Data'!BT100-'Feeders Raw Data'!B100</f>
        <v>0</v>
      </c>
      <c r="AZ100">
        <f>'Feeders Raw Data'!BU100-'Feeders Raw Data'!C100</f>
        <v>0</v>
      </c>
      <c r="BA100">
        <f>'Feeders Raw Data'!BV100-'Feeders Raw Data'!D100</f>
        <v>0</v>
      </c>
      <c r="BB100">
        <f>'Feeders Raw Data'!BW100-'Feeders Raw Data'!E100</f>
        <v>0</v>
      </c>
      <c r="BC100" t="str">
        <f>'Feeders Raw Data'!CA100&amp;" - "&amp;'Feeders Raw Data'!I100</f>
        <v xml:space="preserve"> - </v>
      </c>
    </row>
    <row r="101" spans="1:55" x14ac:dyDescent="0.25">
      <c r="A101" s="1">
        <f>'Feeders Raw Data'!A101</f>
        <v>0</v>
      </c>
      <c r="B101">
        <f>'Feeders Raw Data'!B101-'Feeders Raw Data'!L101</f>
        <v>0</v>
      </c>
      <c r="C101">
        <f>'Feeders Raw Data'!C101-'Feeders Raw Data'!M101</f>
        <v>0</v>
      </c>
      <c r="D101">
        <f>'Feeders Raw Data'!D101-'Feeders Raw Data'!N101</f>
        <v>0</v>
      </c>
      <c r="E101">
        <f>'Feeders Raw Data'!E101-'Feeders Raw Data'!O101</f>
        <v>0</v>
      </c>
      <c r="F101" t="str">
        <f>'Feeders Raw Data'!I101&amp;" - "&amp;'Feeders Raw Data'!S101</f>
        <v xml:space="preserve"> - </v>
      </c>
      <c r="H101" s="1">
        <f>'Feeders Raw Data'!AE101</f>
        <v>0</v>
      </c>
      <c r="I101">
        <f>'Feeders Raw Data'!AF101-'Feeders Raw Data'!AP101</f>
        <v>0</v>
      </c>
      <c r="J101">
        <f>'Feeders Raw Data'!AG101-'Feeders Raw Data'!AQ101</f>
        <v>0</v>
      </c>
      <c r="K101">
        <f>'Feeders Raw Data'!AH101-'Feeders Raw Data'!AR101</f>
        <v>0</v>
      </c>
      <c r="L101">
        <f>'Feeders Raw Data'!AI101-'Feeders Raw Data'!AS101</f>
        <v>0</v>
      </c>
      <c r="M101" t="str">
        <f>'Feeders Raw Data'!AM101&amp;" - "&amp;'Feeders Raw Data'!AW101</f>
        <v xml:space="preserve"> - </v>
      </c>
      <c r="O101" s="1">
        <f>'Feeders Raw Data'!BI101</f>
        <v>0</v>
      </c>
      <c r="P101">
        <f>'Feeders Raw Data'!BJ101-'Feeders Raw Data'!BT101</f>
        <v>0</v>
      </c>
      <c r="Q101">
        <f>'Feeders Raw Data'!BK101-'Feeders Raw Data'!BU101</f>
        <v>0</v>
      </c>
      <c r="R101">
        <f>'Feeders Raw Data'!BL101-'Feeders Raw Data'!BV101</f>
        <v>0</v>
      </c>
      <c r="S101">
        <f>'Feeders Raw Data'!BM101-'Feeders Raw Data'!BW101</f>
        <v>0</v>
      </c>
      <c r="T101" t="str">
        <f>'Feeders Raw Data'!BQ101&amp;" - "&amp;'Feeders Raw Data'!CA101</f>
        <v xml:space="preserve"> - </v>
      </c>
      <c r="V101" s="1">
        <f>'Feeders Raw Data'!K101</f>
        <v>0</v>
      </c>
      <c r="W101">
        <f>'Feeders Raw Data'!L101-'Feeders Raw Data'!V101</f>
        <v>0</v>
      </c>
      <c r="X101">
        <f>'Feeders Raw Data'!M101-'Feeders Raw Data'!W101</f>
        <v>0</v>
      </c>
      <c r="Y101">
        <f>'Feeders Raw Data'!N101-'Feeders Raw Data'!X101</f>
        <v>0</v>
      </c>
      <c r="Z101">
        <f>'Feeders Raw Data'!O101-'Feeders Raw Data'!Y101</f>
        <v>0</v>
      </c>
      <c r="AA101" t="str">
        <f>'Feeders Raw Data'!S101&amp;" - "&amp;'Feeders Raw Data'!AC101</f>
        <v xml:space="preserve"> - </v>
      </c>
      <c r="AC101" s="1">
        <f>'Feeders Raw Data'!U101</f>
        <v>0</v>
      </c>
      <c r="AD101">
        <f>'Feeders Raw Data'!V101-'Feeders Raw Data'!AF101</f>
        <v>0</v>
      </c>
      <c r="AE101">
        <f>'Feeders Raw Data'!W101-'Feeders Raw Data'!AG101</f>
        <v>0</v>
      </c>
      <c r="AF101">
        <f>'Feeders Raw Data'!X101-'Feeders Raw Data'!AH101</f>
        <v>0</v>
      </c>
      <c r="AG101">
        <f>'Feeders Raw Data'!Y101-'Feeders Raw Data'!AI101</f>
        <v>0</v>
      </c>
      <c r="AH101" t="str">
        <f>'Feeders Raw Data'!AC101&amp;" - "&amp;'Feeders Raw Data'!AM101</f>
        <v xml:space="preserve"> - </v>
      </c>
      <c r="AJ101" s="1">
        <f>'Feeders Raw Data'!AO101</f>
        <v>0</v>
      </c>
      <c r="AK101">
        <f>'Feeders Raw Data'!AP101-'Feeders Raw Data'!AZ101</f>
        <v>0</v>
      </c>
      <c r="AL101">
        <f>'Feeders Raw Data'!AQ101-'Feeders Raw Data'!BA101</f>
        <v>0</v>
      </c>
      <c r="AM101">
        <f>'Feeders Raw Data'!AR101-'Feeders Raw Data'!BB101</f>
        <v>0</v>
      </c>
      <c r="AN101">
        <f>'Feeders Raw Data'!AS101-'Feeders Raw Data'!BC101</f>
        <v>0</v>
      </c>
      <c r="AO101" t="str">
        <f>'Feeders Raw Data'!AW101&amp;" - "&amp;'Feeders Raw Data'!BG101</f>
        <v xml:space="preserve"> - </v>
      </c>
      <c r="AQ101" s="1">
        <f>'Feeders Raw Data'!AY101</f>
        <v>0</v>
      </c>
      <c r="AR101">
        <f>'Feeders Raw Data'!AZ101-'Feeders Raw Data'!BJ101</f>
        <v>0</v>
      </c>
      <c r="AS101">
        <f>'Feeders Raw Data'!BA101-'Feeders Raw Data'!BK101</f>
        <v>0</v>
      </c>
      <c r="AT101">
        <f>'Feeders Raw Data'!BB101-'Feeders Raw Data'!BL101</f>
        <v>0</v>
      </c>
      <c r="AU101">
        <f>'Feeders Raw Data'!BC101-'Feeders Raw Data'!BM101</f>
        <v>0</v>
      </c>
      <c r="AV101" t="str">
        <f>'Feeders Raw Data'!BG101&amp;" - "&amp;'Feeders Raw Data'!BQ101</f>
        <v xml:space="preserve"> - </v>
      </c>
      <c r="AX101" s="1">
        <f>'Feeders Raw Data'!BS101</f>
        <v>0</v>
      </c>
      <c r="AY101">
        <f>'Feeders Raw Data'!BT101-'Feeders Raw Data'!B101</f>
        <v>0</v>
      </c>
      <c r="AZ101">
        <f>'Feeders Raw Data'!BU101-'Feeders Raw Data'!C101</f>
        <v>0</v>
      </c>
      <c r="BA101">
        <f>'Feeders Raw Data'!BV101-'Feeders Raw Data'!D101</f>
        <v>0</v>
      </c>
      <c r="BB101">
        <f>'Feeders Raw Data'!BW101-'Feeders Raw Data'!E101</f>
        <v>0</v>
      </c>
      <c r="BC101" t="str">
        <f>'Feeders Raw Data'!CA101&amp;" - "&amp;'Feeders Raw Data'!I101</f>
        <v xml:space="preserve"> - </v>
      </c>
    </row>
    <row r="102" spans="1:55" x14ac:dyDescent="0.25">
      <c r="A102" s="1">
        <f>'Feeders Raw Data'!A102</f>
        <v>0</v>
      </c>
      <c r="B102">
        <f>'Feeders Raw Data'!B102-'Feeders Raw Data'!L102</f>
        <v>0</v>
      </c>
      <c r="C102">
        <f>'Feeders Raw Data'!C102-'Feeders Raw Data'!M102</f>
        <v>0</v>
      </c>
      <c r="D102">
        <f>'Feeders Raw Data'!D102-'Feeders Raw Data'!N102</f>
        <v>0</v>
      </c>
      <c r="E102">
        <f>'Feeders Raw Data'!E102-'Feeders Raw Data'!O102</f>
        <v>0</v>
      </c>
      <c r="F102" t="str">
        <f>'Feeders Raw Data'!I102&amp;" - "&amp;'Feeders Raw Data'!S102</f>
        <v xml:space="preserve"> - </v>
      </c>
      <c r="H102" s="1">
        <f>'Feeders Raw Data'!AE102</f>
        <v>0</v>
      </c>
      <c r="I102">
        <f>'Feeders Raw Data'!AF102-'Feeders Raw Data'!AP102</f>
        <v>0</v>
      </c>
      <c r="J102">
        <f>'Feeders Raw Data'!AG102-'Feeders Raw Data'!AQ102</f>
        <v>0</v>
      </c>
      <c r="K102">
        <f>'Feeders Raw Data'!AH102-'Feeders Raw Data'!AR102</f>
        <v>0</v>
      </c>
      <c r="L102">
        <f>'Feeders Raw Data'!AI102-'Feeders Raw Data'!AS102</f>
        <v>0</v>
      </c>
      <c r="M102" t="str">
        <f>'Feeders Raw Data'!AM102&amp;" - "&amp;'Feeders Raw Data'!AW102</f>
        <v xml:space="preserve"> - </v>
      </c>
      <c r="O102" s="1">
        <f>'Feeders Raw Data'!BI102</f>
        <v>0</v>
      </c>
      <c r="P102">
        <f>'Feeders Raw Data'!BJ102-'Feeders Raw Data'!BT102</f>
        <v>0</v>
      </c>
      <c r="Q102">
        <f>'Feeders Raw Data'!BK102-'Feeders Raw Data'!BU102</f>
        <v>0</v>
      </c>
      <c r="R102">
        <f>'Feeders Raw Data'!BL102-'Feeders Raw Data'!BV102</f>
        <v>0</v>
      </c>
      <c r="S102">
        <f>'Feeders Raw Data'!BM102-'Feeders Raw Data'!BW102</f>
        <v>0</v>
      </c>
      <c r="T102" t="str">
        <f>'Feeders Raw Data'!BQ102&amp;" - "&amp;'Feeders Raw Data'!CA102</f>
        <v xml:space="preserve"> - </v>
      </c>
      <c r="V102" s="1">
        <f>'Feeders Raw Data'!K102</f>
        <v>0</v>
      </c>
      <c r="W102">
        <f>'Feeders Raw Data'!L102-'Feeders Raw Data'!V102</f>
        <v>0</v>
      </c>
      <c r="X102">
        <f>'Feeders Raw Data'!M102-'Feeders Raw Data'!W102</f>
        <v>0</v>
      </c>
      <c r="Y102">
        <f>'Feeders Raw Data'!N102-'Feeders Raw Data'!X102</f>
        <v>0</v>
      </c>
      <c r="Z102">
        <f>'Feeders Raw Data'!O102-'Feeders Raw Data'!Y102</f>
        <v>0</v>
      </c>
      <c r="AA102" t="str">
        <f>'Feeders Raw Data'!S102&amp;" - "&amp;'Feeders Raw Data'!AC102</f>
        <v xml:space="preserve"> - </v>
      </c>
      <c r="AC102" s="1">
        <f>'Feeders Raw Data'!U102</f>
        <v>0</v>
      </c>
      <c r="AD102">
        <f>'Feeders Raw Data'!V102-'Feeders Raw Data'!AF102</f>
        <v>0</v>
      </c>
      <c r="AE102">
        <f>'Feeders Raw Data'!W102-'Feeders Raw Data'!AG102</f>
        <v>0</v>
      </c>
      <c r="AF102">
        <f>'Feeders Raw Data'!X102-'Feeders Raw Data'!AH102</f>
        <v>0</v>
      </c>
      <c r="AG102">
        <f>'Feeders Raw Data'!Y102-'Feeders Raw Data'!AI102</f>
        <v>0</v>
      </c>
      <c r="AH102" t="str">
        <f>'Feeders Raw Data'!AC102&amp;" - "&amp;'Feeders Raw Data'!AM102</f>
        <v xml:space="preserve"> - </v>
      </c>
      <c r="AJ102" s="1">
        <f>'Feeders Raw Data'!AO102</f>
        <v>0</v>
      </c>
      <c r="AK102">
        <f>'Feeders Raw Data'!AP102-'Feeders Raw Data'!AZ102</f>
        <v>0</v>
      </c>
      <c r="AL102">
        <f>'Feeders Raw Data'!AQ102-'Feeders Raw Data'!BA102</f>
        <v>0</v>
      </c>
      <c r="AM102">
        <f>'Feeders Raw Data'!AR102-'Feeders Raw Data'!BB102</f>
        <v>0</v>
      </c>
      <c r="AN102">
        <f>'Feeders Raw Data'!AS102-'Feeders Raw Data'!BC102</f>
        <v>0</v>
      </c>
      <c r="AO102" t="str">
        <f>'Feeders Raw Data'!AW102&amp;" - "&amp;'Feeders Raw Data'!BG102</f>
        <v xml:space="preserve"> - </v>
      </c>
      <c r="AQ102" s="1">
        <f>'Feeders Raw Data'!AY102</f>
        <v>0</v>
      </c>
      <c r="AR102">
        <f>'Feeders Raw Data'!AZ102-'Feeders Raw Data'!BJ102</f>
        <v>0</v>
      </c>
      <c r="AS102">
        <f>'Feeders Raw Data'!BA102-'Feeders Raw Data'!BK102</f>
        <v>0</v>
      </c>
      <c r="AT102">
        <f>'Feeders Raw Data'!BB102-'Feeders Raw Data'!BL102</f>
        <v>0</v>
      </c>
      <c r="AU102">
        <f>'Feeders Raw Data'!BC102-'Feeders Raw Data'!BM102</f>
        <v>0</v>
      </c>
      <c r="AV102" t="str">
        <f>'Feeders Raw Data'!BG102&amp;" - "&amp;'Feeders Raw Data'!BQ102</f>
        <v xml:space="preserve"> - </v>
      </c>
      <c r="AX102" s="1">
        <f>'Feeders Raw Data'!BS102</f>
        <v>0</v>
      </c>
      <c r="AY102">
        <f>'Feeders Raw Data'!BT102-'Feeders Raw Data'!B102</f>
        <v>0</v>
      </c>
      <c r="AZ102">
        <f>'Feeders Raw Data'!BU102-'Feeders Raw Data'!C102</f>
        <v>0</v>
      </c>
      <c r="BA102">
        <f>'Feeders Raw Data'!BV102-'Feeders Raw Data'!D102</f>
        <v>0</v>
      </c>
      <c r="BB102">
        <f>'Feeders Raw Data'!BW102-'Feeders Raw Data'!E102</f>
        <v>0</v>
      </c>
      <c r="BC102" t="str">
        <f>'Feeders Raw Data'!CA102&amp;" - "&amp;'Feeders Raw Data'!I102</f>
        <v xml:space="preserve"> - </v>
      </c>
    </row>
    <row r="103" spans="1:55" x14ac:dyDescent="0.25">
      <c r="A103" s="1">
        <f>'Feeders Raw Data'!A103</f>
        <v>0</v>
      </c>
      <c r="B103">
        <f>'Feeders Raw Data'!B103-'Feeders Raw Data'!L103</f>
        <v>0</v>
      </c>
      <c r="C103">
        <f>'Feeders Raw Data'!C103-'Feeders Raw Data'!M103</f>
        <v>0</v>
      </c>
      <c r="D103">
        <f>'Feeders Raw Data'!D103-'Feeders Raw Data'!N103</f>
        <v>0</v>
      </c>
      <c r="E103">
        <f>'Feeders Raw Data'!E103-'Feeders Raw Data'!O103</f>
        <v>0</v>
      </c>
      <c r="F103" t="str">
        <f>'Feeders Raw Data'!I103&amp;" - "&amp;'Feeders Raw Data'!S103</f>
        <v xml:space="preserve"> - </v>
      </c>
      <c r="H103" s="1">
        <f>'Feeders Raw Data'!AE103</f>
        <v>0</v>
      </c>
      <c r="I103">
        <f>'Feeders Raw Data'!AF103-'Feeders Raw Data'!AP103</f>
        <v>0</v>
      </c>
      <c r="J103">
        <f>'Feeders Raw Data'!AG103-'Feeders Raw Data'!AQ103</f>
        <v>0</v>
      </c>
      <c r="K103">
        <f>'Feeders Raw Data'!AH103-'Feeders Raw Data'!AR103</f>
        <v>0</v>
      </c>
      <c r="L103">
        <f>'Feeders Raw Data'!AI103-'Feeders Raw Data'!AS103</f>
        <v>0</v>
      </c>
      <c r="M103" t="str">
        <f>'Feeders Raw Data'!AM103&amp;" - "&amp;'Feeders Raw Data'!AW103</f>
        <v xml:space="preserve"> - </v>
      </c>
      <c r="O103" s="1">
        <f>'Feeders Raw Data'!BI103</f>
        <v>0</v>
      </c>
      <c r="P103">
        <f>'Feeders Raw Data'!BJ103-'Feeders Raw Data'!BT103</f>
        <v>0</v>
      </c>
      <c r="Q103">
        <f>'Feeders Raw Data'!BK103-'Feeders Raw Data'!BU103</f>
        <v>0</v>
      </c>
      <c r="R103">
        <f>'Feeders Raw Data'!BL103-'Feeders Raw Data'!BV103</f>
        <v>0</v>
      </c>
      <c r="S103">
        <f>'Feeders Raw Data'!BM103-'Feeders Raw Data'!BW103</f>
        <v>0</v>
      </c>
      <c r="T103" t="str">
        <f>'Feeders Raw Data'!BQ103&amp;" - "&amp;'Feeders Raw Data'!CA103</f>
        <v xml:space="preserve"> - </v>
      </c>
      <c r="V103" s="1">
        <f>'Feeders Raw Data'!K103</f>
        <v>0</v>
      </c>
      <c r="W103">
        <f>'Feeders Raw Data'!L103-'Feeders Raw Data'!V103</f>
        <v>0</v>
      </c>
      <c r="X103">
        <f>'Feeders Raw Data'!M103-'Feeders Raw Data'!W103</f>
        <v>0</v>
      </c>
      <c r="Y103">
        <f>'Feeders Raw Data'!N103-'Feeders Raw Data'!X103</f>
        <v>0</v>
      </c>
      <c r="Z103">
        <f>'Feeders Raw Data'!O103-'Feeders Raw Data'!Y103</f>
        <v>0</v>
      </c>
      <c r="AA103" t="str">
        <f>'Feeders Raw Data'!S103&amp;" - "&amp;'Feeders Raw Data'!AC103</f>
        <v xml:space="preserve"> - </v>
      </c>
      <c r="AC103" s="1">
        <f>'Feeders Raw Data'!U103</f>
        <v>0</v>
      </c>
      <c r="AD103">
        <f>'Feeders Raw Data'!V103-'Feeders Raw Data'!AF103</f>
        <v>0</v>
      </c>
      <c r="AE103">
        <f>'Feeders Raw Data'!W103-'Feeders Raw Data'!AG103</f>
        <v>0</v>
      </c>
      <c r="AF103">
        <f>'Feeders Raw Data'!X103-'Feeders Raw Data'!AH103</f>
        <v>0</v>
      </c>
      <c r="AG103">
        <f>'Feeders Raw Data'!Y103-'Feeders Raw Data'!AI103</f>
        <v>0</v>
      </c>
      <c r="AH103" t="str">
        <f>'Feeders Raw Data'!AC103&amp;" - "&amp;'Feeders Raw Data'!AM103</f>
        <v xml:space="preserve"> - </v>
      </c>
      <c r="AJ103" s="1">
        <f>'Feeders Raw Data'!AO103</f>
        <v>0</v>
      </c>
      <c r="AK103">
        <f>'Feeders Raw Data'!AP103-'Feeders Raw Data'!AZ103</f>
        <v>0</v>
      </c>
      <c r="AL103">
        <f>'Feeders Raw Data'!AQ103-'Feeders Raw Data'!BA103</f>
        <v>0</v>
      </c>
      <c r="AM103">
        <f>'Feeders Raw Data'!AR103-'Feeders Raw Data'!BB103</f>
        <v>0</v>
      </c>
      <c r="AN103">
        <f>'Feeders Raw Data'!AS103-'Feeders Raw Data'!BC103</f>
        <v>0</v>
      </c>
      <c r="AO103" t="str">
        <f>'Feeders Raw Data'!AW103&amp;" - "&amp;'Feeders Raw Data'!BG103</f>
        <v xml:space="preserve"> - </v>
      </c>
      <c r="AQ103" s="1">
        <f>'Feeders Raw Data'!AY103</f>
        <v>0</v>
      </c>
      <c r="AR103">
        <f>'Feeders Raw Data'!AZ103-'Feeders Raw Data'!BJ103</f>
        <v>0</v>
      </c>
      <c r="AS103">
        <f>'Feeders Raw Data'!BA103-'Feeders Raw Data'!BK103</f>
        <v>0</v>
      </c>
      <c r="AT103">
        <f>'Feeders Raw Data'!BB103-'Feeders Raw Data'!BL103</f>
        <v>0</v>
      </c>
      <c r="AU103">
        <f>'Feeders Raw Data'!BC103-'Feeders Raw Data'!BM103</f>
        <v>0</v>
      </c>
      <c r="AV103" t="str">
        <f>'Feeders Raw Data'!BG103&amp;" - "&amp;'Feeders Raw Data'!BQ103</f>
        <v xml:space="preserve"> - </v>
      </c>
      <c r="AX103" s="1">
        <f>'Feeders Raw Data'!BS103</f>
        <v>0</v>
      </c>
      <c r="AY103">
        <f>'Feeders Raw Data'!BT103-'Feeders Raw Data'!B103</f>
        <v>0</v>
      </c>
      <c r="AZ103">
        <f>'Feeders Raw Data'!BU103-'Feeders Raw Data'!C103</f>
        <v>0</v>
      </c>
      <c r="BA103">
        <f>'Feeders Raw Data'!BV103-'Feeders Raw Data'!D103</f>
        <v>0</v>
      </c>
      <c r="BB103">
        <f>'Feeders Raw Data'!BW103-'Feeders Raw Data'!E103</f>
        <v>0</v>
      </c>
      <c r="BC103" t="str">
        <f>'Feeders Raw Data'!CA103&amp;" - "&amp;'Feeders Raw Data'!I103</f>
        <v xml:space="preserve"> - </v>
      </c>
    </row>
    <row r="104" spans="1:55" x14ac:dyDescent="0.25">
      <c r="A104" s="1">
        <f>'Feeders Raw Data'!A104</f>
        <v>0</v>
      </c>
      <c r="B104">
        <f>'Feeders Raw Data'!B104-'Feeders Raw Data'!L104</f>
        <v>0</v>
      </c>
      <c r="C104">
        <f>'Feeders Raw Data'!C104-'Feeders Raw Data'!M104</f>
        <v>0</v>
      </c>
      <c r="D104">
        <f>'Feeders Raw Data'!D104-'Feeders Raw Data'!N104</f>
        <v>0</v>
      </c>
      <c r="E104">
        <f>'Feeders Raw Data'!E104-'Feeders Raw Data'!O104</f>
        <v>0</v>
      </c>
      <c r="F104" t="str">
        <f>'Feeders Raw Data'!I104&amp;" - "&amp;'Feeders Raw Data'!S104</f>
        <v xml:space="preserve"> - </v>
      </c>
      <c r="H104" s="1">
        <f>'Feeders Raw Data'!AE104</f>
        <v>0</v>
      </c>
      <c r="I104">
        <f>'Feeders Raw Data'!AF104-'Feeders Raw Data'!AP104</f>
        <v>0</v>
      </c>
      <c r="J104">
        <f>'Feeders Raw Data'!AG104-'Feeders Raw Data'!AQ104</f>
        <v>0</v>
      </c>
      <c r="K104">
        <f>'Feeders Raw Data'!AH104-'Feeders Raw Data'!AR104</f>
        <v>0</v>
      </c>
      <c r="L104">
        <f>'Feeders Raw Data'!AI104-'Feeders Raw Data'!AS104</f>
        <v>0</v>
      </c>
      <c r="M104" t="str">
        <f>'Feeders Raw Data'!AM104&amp;" - "&amp;'Feeders Raw Data'!AW104</f>
        <v xml:space="preserve"> - </v>
      </c>
      <c r="O104" s="1">
        <f>'Feeders Raw Data'!BI104</f>
        <v>0</v>
      </c>
      <c r="P104">
        <f>'Feeders Raw Data'!BJ104-'Feeders Raw Data'!BT104</f>
        <v>0</v>
      </c>
      <c r="Q104">
        <f>'Feeders Raw Data'!BK104-'Feeders Raw Data'!BU104</f>
        <v>0</v>
      </c>
      <c r="R104">
        <f>'Feeders Raw Data'!BL104-'Feeders Raw Data'!BV104</f>
        <v>0</v>
      </c>
      <c r="S104">
        <f>'Feeders Raw Data'!BM104-'Feeders Raw Data'!BW104</f>
        <v>0</v>
      </c>
      <c r="T104" t="str">
        <f>'Feeders Raw Data'!BQ104&amp;" - "&amp;'Feeders Raw Data'!CA104</f>
        <v xml:space="preserve"> - </v>
      </c>
      <c r="V104" s="1">
        <f>'Feeders Raw Data'!K104</f>
        <v>0</v>
      </c>
      <c r="W104">
        <f>'Feeders Raw Data'!L104-'Feeders Raw Data'!V104</f>
        <v>0</v>
      </c>
      <c r="X104">
        <f>'Feeders Raw Data'!M104-'Feeders Raw Data'!W104</f>
        <v>0</v>
      </c>
      <c r="Y104">
        <f>'Feeders Raw Data'!N104-'Feeders Raw Data'!X104</f>
        <v>0</v>
      </c>
      <c r="Z104">
        <f>'Feeders Raw Data'!O104-'Feeders Raw Data'!Y104</f>
        <v>0</v>
      </c>
      <c r="AA104" t="str">
        <f>'Feeders Raw Data'!S104&amp;" - "&amp;'Feeders Raw Data'!AC104</f>
        <v xml:space="preserve"> - </v>
      </c>
      <c r="AC104" s="1">
        <f>'Feeders Raw Data'!U104</f>
        <v>0</v>
      </c>
      <c r="AD104">
        <f>'Feeders Raw Data'!V104-'Feeders Raw Data'!AF104</f>
        <v>0</v>
      </c>
      <c r="AE104">
        <f>'Feeders Raw Data'!W104-'Feeders Raw Data'!AG104</f>
        <v>0</v>
      </c>
      <c r="AF104">
        <f>'Feeders Raw Data'!X104-'Feeders Raw Data'!AH104</f>
        <v>0</v>
      </c>
      <c r="AG104">
        <f>'Feeders Raw Data'!Y104-'Feeders Raw Data'!AI104</f>
        <v>0</v>
      </c>
      <c r="AH104" t="str">
        <f>'Feeders Raw Data'!AC104&amp;" - "&amp;'Feeders Raw Data'!AM104</f>
        <v xml:space="preserve"> - </v>
      </c>
      <c r="AJ104" s="1">
        <f>'Feeders Raw Data'!AO104</f>
        <v>0</v>
      </c>
      <c r="AK104">
        <f>'Feeders Raw Data'!AP104-'Feeders Raw Data'!AZ104</f>
        <v>0</v>
      </c>
      <c r="AL104">
        <f>'Feeders Raw Data'!AQ104-'Feeders Raw Data'!BA104</f>
        <v>0</v>
      </c>
      <c r="AM104">
        <f>'Feeders Raw Data'!AR104-'Feeders Raw Data'!BB104</f>
        <v>0</v>
      </c>
      <c r="AN104">
        <f>'Feeders Raw Data'!AS104-'Feeders Raw Data'!BC104</f>
        <v>0</v>
      </c>
      <c r="AO104" t="str">
        <f>'Feeders Raw Data'!AW104&amp;" - "&amp;'Feeders Raw Data'!BG104</f>
        <v xml:space="preserve"> - </v>
      </c>
      <c r="AQ104" s="1">
        <f>'Feeders Raw Data'!AY104</f>
        <v>0</v>
      </c>
      <c r="AR104">
        <f>'Feeders Raw Data'!AZ104-'Feeders Raw Data'!BJ104</f>
        <v>0</v>
      </c>
      <c r="AS104">
        <f>'Feeders Raw Data'!BA104-'Feeders Raw Data'!BK104</f>
        <v>0</v>
      </c>
      <c r="AT104">
        <f>'Feeders Raw Data'!BB104-'Feeders Raw Data'!BL104</f>
        <v>0</v>
      </c>
      <c r="AU104">
        <f>'Feeders Raw Data'!BC104-'Feeders Raw Data'!BM104</f>
        <v>0</v>
      </c>
      <c r="AV104" t="str">
        <f>'Feeders Raw Data'!BG104&amp;" - "&amp;'Feeders Raw Data'!BQ104</f>
        <v xml:space="preserve"> - </v>
      </c>
      <c r="AX104" s="1">
        <f>'Feeders Raw Data'!BS104</f>
        <v>0</v>
      </c>
      <c r="AY104">
        <f>'Feeders Raw Data'!BT104-'Feeders Raw Data'!B104</f>
        <v>0</v>
      </c>
      <c r="AZ104">
        <f>'Feeders Raw Data'!BU104-'Feeders Raw Data'!C104</f>
        <v>0</v>
      </c>
      <c r="BA104">
        <f>'Feeders Raw Data'!BV104-'Feeders Raw Data'!D104</f>
        <v>0</v>
      </c>
      <c r="BB104">
        <f>'Feeders Raw Data'!BW104-'Feeders Raw Data'!E104</f>
        <v>0</v>
      </c>
      <c r="BC104" t="str">
        <f>'Feeders Raw Data'!CA104&amp;" - "&amp;'Feeders Raw Data'!I104</f>
        <v xml:space="preserve"> - </v>
      </c>
    </row>
    <row r="105" spans="1:55" x14ac:dyDescent="0.25">
      <c r="A105" s="1">
        <f>'Feeders Raw Data'!A105</f>
        <v>0</v>
      </c>
      <c r="B105">
        <f>'Feeders Raw Data'!B105-'Feeders Raw Data'!L105</f>
        <v>0</v>
      </c>
      <c r="C105">
        <f>'Feeders Raw Data'!C105-'Feeders Raw Data'!M105</f>
        <v>0</v>
      </c>
      <c r="D105">
        <f>'Feeders Raw Data'!D105-'Feeders Raw Data'!N105</f>
        <v>0</v>
      </c>
      <c r="E105">
        <f>'Feeders Raw Data'!E105-'Feeders Raw Data'!O105</f>
        <v>0</v>
      </c>
      <c r="F105" t="str">
        <f>'Feeders Raw Data'!I105&amp;" - "&amp;'Feeders Raw Data'!S105</f>
        <v xml:space="preserve"> - </v>
      </c>
      <c r="H105" s="1">
        <f>'Feeders Raw Data'!AE105</f>
        <v>0</v>
      </c>
      <c r="I105">
        <f>'Feeders Raw Data'!AF105-'Feeders Raw Data'!AP105</f>
        <v>0</v>
      </c>
      <c r="J105">
        <f>'Feeders Raw Data'!AG105-'Feeders Raw Data'!AQ105</f>
        <v>0</v>
      </c>
      <c r="K105">
        <f>'Feeders Raw Data'!AH105-'Feeders Raw Data'!AR105</f>
        <v>0</v>
      </c>
      <c r="L105">
        <f>'Feeders Raw Data'!AI105-'Feeders Raw Data'!AS105</f>
        <v>0</v>
      </c>
      <c r="M105" t="str">
        <f>'Feeders Raw Data'!AM105&amp;" - "&amp;'Feeders Raw Data'!AW105</f>
        <v xml:space="preserve"> - </v>
      </c>
      <c r="O105" s="1">
        <f>'Feeders Raw Data'!BI105</f>
        <v>0</v>
      </c>
      <c r="P105">
        <f>'Feeders Raw Data'!BJ105-'Feeders Raw Data'!BT105</f>
        <v>0</v>
      </c>
      <c r="Q105">
        <f>'Feeders Raw Data'!BK105-'Feeders Raw Data'!BU105</f>
        <v>0</v>
      </c>
      <c r="R105">
        <f>'Feeders Raw Data'!BL105-'Feeders Raw Data'!BV105</f>
        <v>0</v>
      </c>
      <c r="S105">
        <f>'Feeders Raw Data'!BM105-'Feeders Raw Data'!BW105</f>
        <v>0</v>
      </c>
      <c r="T105" t="str">
        <f>'Feeders Raw Data'!BQ105&amp;" - "&amp;'Feeders Raw Data'!CA105</f>
        <v xml:space="preserve"> - </v>
      </c>
      <c r="V105" s="1">
        <f>'Feeders Raw Data'!K105</f>
        <v>0</v>
      </c>
      <c r="W105">
        <f>'Feeders Raw Data'!L105-'Feeders Raw Data'!V105</f>
        <v>0</v>
      </c>
      <c r="X105">
        <f>'Feeders Raw Data'!M105-'Feeders Raw Data'!W105</f>
        <v>0</v>
      </c>
      <c r="Y105">
        <f>'Feeders Raw Data'!N105-'Feeders Raw Data'!X105</f>
        <v>0</v>
      </c>
      <c r="Z105">
        <f>'Feeders Raw Data'!O105-'Feeders Raw Data'!Y105</f>
        <v>0</v>
      </c>
      <c r="AA105" t="str">
        <f>'Feeders Raw Data'!S105&amp;" - "&amp;'Feeders Raw Data'!AC105</f>
        <v xml:space="preserve"> - </v>
      </c>
      <c r="AC105" s="1">
        <f>'Feeders Raw Data'!U105</f>
        <v>0</v>
      </c>
      <c r="AD105">
        <f>'Feeders Raw Data'!V105-'Feeders Raw Data'!AF105</f>
        <v>0</v>
      </c>
      <c r="AE105">
        <f>'Feeders Raw Data'!W105-'Feeders Raw Data'!AG105</f>
        <v>0</v>
      </c>
      <c r="AF105">
        <f>'Feeders Raw Data'!X105-'Feeders Raw Data'!AH105</f>
        <v>0</v>
      </c>
      <c r="AG105">
        <f>'Feeders Raw Data'!Y105-'Feeders Raw Data'!AI105</f>
        <v>0</v>
      </c>
      <c r="AH105" t="str">
        <f>'Feeders Raw Data'!AC105&amp;" - "&amp;'Feeders Raw Data'!AM105</f>
        <v xml:space="preserve"> - </v>
      </c>
      <c r="AJ105" s="1">
        <f>'Feeders Raw Data'!AO105</f>
        <v>0</v>
      </c>
      <c r="AK105">
        <f>'Feeders Raw Data'!AP105-'Feeders Raw Data'!AZ105</f>
        <v>0</v>
      </c>
      <c r="AL105">
        <f>'Feeders Raw Data'!AQ105-'Feeders Raw Data'!BA105</f>
        <v>0</v>
      </c>
      <c r="AM105">
        <f>'Feeders Raw Data'!AR105-'Feeders Raw Data'!BB105</f>
        <v>0</v>
      </c>
      <c r="AN105">
        <f>'Feeders Raw Data'!AS105-'Feeders Raw Data'!BC105</f>
        <v>0</v>
      </c>
      <c r="AO105" t="str">
        <f>'Feeders Raw Data'!AW105&amp;" - "&amp;'Feeders Raw Data'!BG105</f>
        <v xml:space="preserve"> - </v>
      </c>
      <c r="AQ105" s="1">
        <f>'Feeders Raw Data'!AY105</f>
        <v>0</v>
      </c>
      <c r="AR105">
        <f>'Feeders Raw Data'!AZ105-'Feeders Raw Data'!BJ105</f>
        <v>0</v>
      </c>
      <c r="AS105">
        <f>'Feeders Raw Data'!BA105-'Feeders Raw Data'!BK105</f>
        <v>0</v>
      </c>
      <c r="AT105">
        <f>'Feeders Raw Data'!BB105-'Feeders Raw Data'!BL105</f>
        <v>0</v>
      </c>
      <c r="AU105">
        <f>'Feeders Raw Data'!BC105-'Feeders Raw Data'!BM105</f>
        <v>0</v>
      </c>
      <c r="AV105" t="str">
        <f>'Feeders Raw Data'!BG105&amp;" - "&amp;'Feeders Raw Data'!BQ105</f>
        <v xml:space="preserve"> - </v>
      </c>
      <c r="AX105" s="1">
        <f>'Feeders Raw Data'!BS105</f>
        <v>0</v>
      </c>
      <c r="AY105">
        <f>'Feeders Raw Data'!BT105-'Feeders Raw Data'!B105</f>
        <v>0</v>
      </c>
      <c r="AZ105">
        <f>'Feeders Raw Data'!BU105-'Feeders Raw Data'!C105</f>
        <v>0</v>
      </c>
      <c r="BA105">
        <f>'Feeders Raw Data'!BV105-'Feeders Raw Data'!D105</f>
        <v>0</v>
      </c>
      <c r="BB105">
        <f>'Feeders Raw Data'!BW105-'Feeders Raw Data'!E105</f>
        <v>0</v>
      </c>
      <c r="BC105" t="str">
        <f>'Feeders Raw Data'!CA105&amp;" - "&amp;'Feeders Raw Data'!I105</f>
        <v xml:space="preserve"> - </v>
      </c>
    </row>
    <row r="106" spans="1:55" x14ac:dyDescent="0.25">
      <c r="A106" s="1">
        <f>'Feeders Raw Data'!A106</f>
        <v>0</v>
      </c>
      <c r="B106">
        <f>'Feeders Raw Data'!B106-'Feeders Raw Data'!L106</f>
        <v>0</v>
      </c>
      <c r="C106">
        <f>'Feeders Raw Data'!C106-'Feeders Raw Data'!M106</f>
        <v>0</v>
      </c>
      <c r="D106">
        <f>'Feeders Raw Data'!D106-'Feeders Raw Data'!N106</f>
        <v>0</v>
      </c>
      <c r="E106">
        <f>'Feeders Raw Data'!E106-'Feeders Raw Data'!O106</f>
        <v>0</v>
      </c>
      <c r="F106" t="str">
        <f>'Feeders Raw Data'!I106&amp;" - "&amp;'Feeders Raw Data'!S106</f>
        <v xml:space="preserve"> - </v>
      </c>
      <c r="H106" s="1">
        <f>'Feeders Raw Data'!AE106</f>
        <v>0</v>
      </c>
      <c r="I106">
        <f>'Feeders Raw Data'!AF106-'Feeders Raw Data'!AP106</f>
        <v>0</v>
      </c>
      <c r="J106">
        <f>'Feeders Raw Data'!AG106-'Feeders Raw Data'!AQ106</f>
        <v>0</v>
      </c>
      <c r="K106">
        <f>'Feeders Raw Data'!AH106-'Feeders Raw Data'!AR106</f>
        <v>0</v>
      </c>
      <c r="L106">
        <f>'Feeders Raw Data'!AI106-'Feeders Raw Data'!AS106</f>
        <v>0</v>
      </c>
      <c r="M106" t="str">
        <f>'Feeders Raw Data'!AM106&amp;" - "&amp;'Feeders Raw Data'!AW106</f>
        <v xml:space="preserve"> - </v>
      </c>
      <c r="O106" s="1">
        <f>'Feeders Raw Data'!BI106</f>
        <v>0</v>
      </c>
      <c r="P106">
        <f>'Feeders Raw Data'!BJ106-'Feeders Raw Data'!BT106</f>
        <v>0</v>
      </c>
      <c r="Q106">
        <f>'Feeders Raw Data'!BK106-'Feeders Raw Data'!BU106</f>
        <v>0</v>
      </c>
      <c r="R106">
        <f>'Feeders Raw Data'!BL106-'Feeders Raw Data'!BV106</f>
        <v>0</v>
      </c>
      <c r="S106">
        <f>'Feeders Raw Data'!BM106-'Feeders Raw Data'!BW106</f>
        <v>0</v>
      </c>
      <c r="T106" t="str">
        <f>'Feeders Raw Data'!BQ106&amp;" - "&amp;'Feeders Raw Data'!CA106</f>
        <v xml:space="preserve"> - </v>
      </c>
      <c r="V106" s="1">
        <f>'Feeders Raw Data'!K106</f>
        <v>0</v>
      </c>
      <c r="W106">
        <f>'Feeders Raw Data'!L106-'Feeders Raw Data'!V106</f>
        <v>0</v>
      </c>
      <c r="X106">
        <f>'Feeders Raw Data'!M106-'Feeders Raw Data'!W106</f>
        <v>0</v>
      </c>
      <c r="Y106">
        <f>'Feeders Raw Data'!N106-'Feeders Raw Data'!X106</f>
        <v>0</v>
      </c>
      <c r="Z106">
        <f>'Feeders Raw Data'!O106-'Feeders Raw Data'!Y106</f>
        <v>0</v>
      </c>
      <c r="AA106" t="str">
        <f>'Feeders Raw Data'!S106&amp;" - "&amp;'Feeders Raw Data'!AC106</f>
        <v xml:space="preserve"> - </v>
      </c>
      <c r="AC106" s="1">
        <f>'Feeders Raw Data'!U106</f>
        <v>0</v>
      </c>
      <c r="AD106">
        <f>'Feeders Raw Data'!V106-'Feeders Raw Data'!AF106</f>
        <v>0</v>
      </c>
      <c r="AE106">
        <f>'Feeders Raw Data'!W106-'Feeders Raw Data'!AG106</f>
        <v>0</v>
      </c>
      <c r="AF106">
        <f>'Feeders Raw Data'!X106-'Feeders Raw Data'!AH106</f>
        <v>0</v>
      </c>
      <c r="AG106">
        <f>'Feeders Raw Data'!Y106-'Feeders Raw Data'!AI106</f>
        <v>0</v>
      </c>
      <c r="AH106" t="str">
        <f>'Feeders Raw Data'!AC106&amp;" - "&amp;'Feeders Raw Data'!AM106</f>
        <v xml:space="preserve"> - </v>
      </c>
      <c r="AJ106" s="1">
        <f>'Feeders Raw Data'!AO106</f>
        <v>0</v>
      </c>
      <c r="AK106">
        <f>'Feeders Raw Data'!AP106-'Feeders Raw Data'!AZ106</f>
        <v>0</v>
      </c>
      <c r="AL106">
        <f>'Feeders Raw Data'!AQ106-'Feeders Raw Data'!BA106</f>
        <v>0</v>
      </c>
      <c r="AM106">
        <f>'Feeders Raw Data'!AR106-'Feeders Raw Data'!BB106</f>
        <v>0</v>
      </c>
      <c r="AN106">
        <f>'Feeders Raw Data'!AS106-'Feeders Raw Data'!BC106</f>
        <v>0</v>
      </c>
      <c r="AO106" t="str">
        <f>'Feeders Raw Data'!AW106&amp;" - "&amp;'Feeders Raw Data'!BG106</f>
        <v xml:space="preserve"> - </v>
      </c>
      <c r="AQ106" s="1">
        <f>'Feeders Raw Data'!AY106</f>
        <v>0</v>
      </c>
      <c r="AR106">
        <f>'Feeders Raw Data'!AZ106-'Feeders Raw Data'!BJ106</f>
        <v>0</v>
      </c>
      <c r="AS106">
        <f>'Feeders Raw Data'!BA106-'Feeders Raw Data'!BK106</f>
        <v>0</v>
      </c>
      <c r="AT106">
        <f>'Feeders Raw Data'!BB106-'Feeders Raw Data'!BL106</f>
        <v>0</v>
      </c>
      <c r="AU106">
        <f>'Feeders Raw Data'!BC106-'Feeders Raw Data'!BM106</f>
        <v>0</v>
      </c>
      <c r="AV106" t="str">
        <f>'Feeders Raw Data'!BG106&amp;" - "&amp;'Feeders Raw Data'!BQ106</f>
        <v xml:space="preserve"> - </v>
      </c>
      <c r="AX106" s="1">
        <f>'Feeders Raw Data'!BS106</f>
        <v>0</v>
      </c>
      <c r="AY106">
        <f>'Feeders Raw Data'!BT106-'Feeders Raw Data'!B106</f>
        <v>0</v>
      </c>
      <c r="AZ106">
        <f>'Feeders Raw Data'!BU106-'Feeders Raw Data'!C106</f>
        <v>0</v>
      </c>
      <c r="BA106">
        <f>'Feeders Raw Data'!BV106-'Feeders Raw Data'!D106</f>
        <v>0</v>
      </c>
      <c r="BB106">
        <f>'Feeders Raw Data'!BW106-'Feeders Raw Data'!E106</f>
        <v>0</v>
      </c>
      <c r="BC106" t="str">
        <f>'Feeders Raw Data'!CA106&amp;" - "&amp;'Feeders Raw Data'!I106</f>
        <v xml:space="preserve"> - </v>
      </c>
    </row>
    <row r="107" spans="1:55" x14ac:dyDescent="0.25">
      <c r="A107" s="1">
        <f>'Feeders Raw Data'!A107</f>
        <v>0</v>
      </c>
      <c r="B107">
        <f>'Feeders Raw Data'!B107-'Feeders Raw Data'!L107</f>
        <v>0</v>
      </c>
      <c r="C107">
        <f>'Feeders Raw Data'!C107-'Feeders Raw Data'!M107</f>
        <v>0</v>
      </c>
      <c r="D107">
        <f>'Feeders Raw Data'!D107-'Feeders Raw Data'!N107</f>
        <v>0</v>
      </c>
      <c r="E107">
        <f>'Feeders Raw Data'!E107-'Feeders Raw Data'!O107</f>
        <v>0</v>
      </c>
      <c r="F107" t="str">
        <f>'Feeders Raw Data'!I107&amp;" - "&amp;'Feeders Raw Data'!S107</f>
        <v xml:space="preserve"> - </v>
      </c>
      <c r="H107" s="1">
        <f>'Feeders Raw Data'!AE107</f>
        <v>0</v>
      </c>
      <c r="I107">
        <f>'Feeders Raw Data'!AF107-'Feeders Raw Data'!AP107</f>
        <v>0</v>
      </c>
      <c r="J107">
        <f>'Feeders Raw Data'!AG107-'Feeders Raw Data'!AQ107</f>
        <v>0</v>
      </c>
      <c r="K107">
        <f>'Feeders Raw Data'!AH107-'Feeders Raw Data'!AR107</f>
        <v>0</v>
      </c>
      <c r="L107">
        <f>'Feeders Raw Data'!AI107-'Feeders Raw Data'!AS107</f>
        <v>0</v>
      </c>
      <c r="M107" t="str">
        <f>'Feeders Raw Data'!AM107&amp;" - "&amp;'Feeders Raw Data'!AW107</f>
        <v xml:space="preserve"> - </v>
      </c>
      <c r="O107" s="1">
        <f>'Feeders Raw Data'!BI107</f>
        <v>0</v>
      </c>
      <c r="P107">
        <f>'Feeders Raw Data'!BJ107-'Feeders Raw Data'!BT107</f>
        <v>0</v>
      </c>
      <c r="Q107">
        <f>'Feeders Raw Data'!BK107-'Feeders Raw Data'!BU107</f>
        <v>0</v>
      </c>
      <c r="R107">
        <f>'Feeders Raw Data'!BL107-'Feeders Raw Data'!BV107</f>
        <v>0</v>
      </c>
      <c r="S107">
        <f>'Feeders Raw Data'!BM107-'Feeders Raw Data'!BW107</f>
        <v>0</v>
      </c>
      <c r="T107" t="str">
        <f>'Feeders Raw Data'!BQ107&amp;" - "&amp;'Feeders Raw Data'!CA107</f>
        <v xml:space="preserve"> - </v>
      </c>
      <c r="V107" s="1">
        <f>'Feeders Raw Data'!K107</f>
        <v>0</v>
      </c>
      <c r="W107">
        <f>'Feeders Raw Data'!L107-'Feeders Raw Data'!V107</f>
        <v>0</v>
      </c>
      <c r="X107">
        <f>'Feeders Raw Data'!M107-'Feeders Raw Data'!W107</f>
        <v>0</v>
      </c>
      <c r="Y107">
        <f>'Feeders Raw Data'!N107-'Feeders Raw Data'!X107</f>
        <v>0</v>
      </c>
      <c r="Z107">
        <f>'Feeders Raw Data'!O107-'Feeders Raw Data'!Y107</f>
        <v>0</v>
      </c>
      <c r="AA107" t="str">
        <f>'Feeders Raw Data'!S107&amp;" - "&amp;'Feeders Raw Data'!AC107</f>
        <v xml:space="preserve"> - </v>
      </c>
      <c r="AC107" s="1">
        <f>'Feeders Raw Data'!U107</f>
        <v>0</v>
      </c>
      <c r="AD107">
        <f>'Feeders Raw Data'!V107-'Feeders Raw Data'!AF107</f>
        <v>0</v>
      </c>
      <c r="AE107">
        <f>'Feeders Raw Data'!W107-'Feeders Raw Data'!AG107</f>
        <v>0</v>
      </c>
      <c r="AF107">
        <f>'Feeders Raw Data'!X107-'Feeders Raw Data'!AH107</f>
        <v>0</v>
      </c>
      <c r="AG107">
        <f>'Feeders Raw Data'!Y107-'Feeders Raw Data'!AI107</f>
        <v>0</v>
      </c>
      <c r="AH107" t="str">
        <f>'Feeders Raw Data'!AC107&amp;" - "&amp;'Feeders Raw Data'!AM107</f>
        <v xml:space="preserve"> - </v>
      </c>
      <c r="AJ107" s="1">
        <f>'Feeders Raw Data'!AO107</f>
        <v>0</v>
      </c>
      <c r="AK107">
        <f>'Feeders Raw Data'!AP107-'Feeders Raw Data'!AZ107</f>
        <v>0</v>
      </c>
      <c r="AL107">
        <f>'Feeders Raw Data'!AQ107-'Feeders Raw Data'!BA107</f>
        <v>0</v>
      </c>
      <c r="AM107">
        <f>'Feeders Raw Data'!AR107-'Feeders Raw Data'!BB107</f>
        <v>0</v>
      </c>
      <c r="AN107">
        <f>'Feeders Raw Data'!AS107-'Feeders Raw Data'!BC107</f>
        <v>0</v>
      </c>
      <c r="AO107" t="str">
        <f>'Feeders Raw Data'!AW107&amp;" - "&amp;'Feeders Raw Data'!BG107</f>
        <v xml:space="preserve"> - </v>
      </c>
      <c r="AQ107" s="1">
        <f>'Feeders Raw Data'!AY107</f>
        <v>0</v>
      </c>
      <c r="AR107">
        <f>'Feeders Raw Data'!AZ107-'Feeders Raw Data'!BJ107</f>
        <v>0</v>
      </c>
      <c r="AS107">
        <f>'Feeders Raw Data'!BA107-'Feeders Raw Data'!BK107</f>
        <v>0</v>
      </c>
      <c r="AT107">
        <f>'Feeders Raw Data'!BB107-'Feeders Raw Data'!BL107</f>
        <v>0</v>
      </c>
      <c r="AU107">
        <f>'Feeders Raw Data'!BC107-'Feeders Raw Data'!BM107</f>
        <v>0</v>
      </c>
      <c r="AV107" t="str">
        <f>'Feeders Raw Data'!BG107&amp;" - "&amp;'Feeders Raw Data'!BQ107</f>
        <v xml:space="preserve"> - </v>
      </c>
      <c r="AX107" s="1">
        <f>'Feeders Raw Data'!BS107</f>
        <v>0</v>
      </c>
      <c r="AY107">
        <f>'Feeders Raw Data'!BT107-'Feeders Raw Data'!B107</f>
        <v>0</v>
      </c>
      <c r="AZ107">
        <f>'Feeders Raw Data'!BU107-'Feeders Raw Data'!C107</f>
        <v>0</v>
      </c>
      <c r="BA107">
        <f>'Feeders Raw Data'!BV107-'Feeders Raw Data'!D107</f>
        <v>0</v>
      </c>
      <c r="BB107">
        <f>'Feeders Raw Data'!BW107-'Feeders Raw Data'!E107</f>
        <v>0</v>
      </c>
      <c r="BC107" t="str">
        <f>'Feeders Raw Data'!CA107&amp;" - "&amp;'Feeders Raw Data'!I107</f>
        <v xml:space="preserve"> - </v>
      </c>
    </row>
    <row r="108" spans="1:55" x14ac:dyDescent="0.25">
      <c r="A108" s="1">
        <f>'Feeders Raw Data'!A108</f>
        <v>0</v>
      </c>
      <c r="B108">
        <f>'Feeders Raw Data'!B108-'Feeders Raw Data'!L108</f>
        <v>0</v>
      </c>
      <c r="C108">
        <f>'Feeders Raw Data'!C108-'Feeders Raw Data'!M108</f>
        <v>0</v>
      </c>
      <c r="D108">
        <f>'Feeders Raw Data'!D108-'Feeders Raw Data'!N108</f>
        <v>0</v>
      </c>
      <c r="E108">
        <f>'Feeders Raw Data'!E108-'Feeders Raw Data'!O108</f>
        <v>0</v>
      </c>
      <c r="F108" t="str">
        <f>'Feeders Raw Data'!I108&amp;" - "&amp;'Feeders Raw Data'!S108</f>
        <v xml:space="preserve"> - </v>
      </c>
      <c r="H108" s="1">
        <f>'Feeders Raw Data'!AE108</f>
        <v>0</v>
      </c>
      <c r="I108">
        <f>'Feeders Raw Data'!AF108-'Feeders Raw Data'!AP108</f>
        <v>0</v>
      </c>
      <c r="J108">
        <f>'Feeders Raw Data'!AG108-'Feeders Raw Data'!AQ108</f>
        <v>0</v>
      </c>
      <c r="K108">
        <f>'Feeders Raw Data'!AH108-'Feeders Raw Data'!AR108</f>
        <v>0</v>
      </c>
      <c r="L108">
        <f>'Feeders Raw Data'!AI108-'Feeders Raw Data'!AS108</f>
        <v>0</v>
      </c>
      <c r="M108" t="str">
        <f>'Feeders Raw Data'!AM108&amp;" - "&amp;'Feeders Raw Data'!AW108</f>
        <v xml:space="preserve"> - </v>
      </c>
      <c r="O108" s="1">
        <f>'Feeders Raw Data'!BI108</f>
        <v>0</v>
      </c>
      <c r="P108">
        <f>'Feeders Raw Data'!BJ108-'Feeders Raw Data'!BT108</f>
        <v>0</v>
      </c>
      <c r="Q108">
        <f>'Feeders Raw Data'!BK108-'Feeders Raw Data'!BU108</f>
        <v>0</v>
      </c>
      <c r="R108">
        <f>'Feeders Raw Data'!BL108-'Feeders Raw Data'!BV108</f>
        <v>0</v>
      </c>
      <c r="S108">
        <f>'Feeders Raw Data'!BM108-'Feeders Raw Data'!BW108</f>
        <v>0</v>
      </c>
      <c r="T108" t="str">
        <f>'Feeders Raw Data'!BQ108&amp;" - "&amp;'Feeders Raw Data'!CA108</f>
        <v xml:space="preserve"> - </v>
      </c>
      <c r="V108" s="1">
        <f>'Feeders Raw Data'!K108</f>
        <v>0</v>
      </c>
      <c r="W108">
        <f>'Feeders Raw Data'!L108-'Feeders Raw Data'!V108</f>
        <v>0</v>
      </c>
      <c r="X108">
        <f>'Feeders Raw Data'!M108-'Feeders Raw Data'!W108</f>
        <v>0</v>
      </c>
      <c r="Y108">
        <f>'Feeders Raw Data'!N108-'Feeders Raw Data'!X108</f>
        <v>0</v>
      </c>
      <c r="Z108">
        <f>'Feeders Raw Data'!O108-'Feeders Raw Data'!Y108</f>
        <v>0</v>
      </c>
      <c r="AA108" t="str">
        <f>'Feeders Raw Data'!S108&amp;" - "&amp;'Feeders Raw Data'!AC108</f>
        <v xml:space="preserve"> - </v>
      </c>
      <c r="AC108" s="1">
        <f>'Feeders Raw Data'!U108</f>
        <v>0</v>
      </c>
      <c r="AD108">
        <f>'Feeders Raw Data'!V108-'Feeders Raw Data'!AF108</f>
        <v>0</v>
      </c>
      <c r="AE108">
        <f>'Feeders Raw Data'!W108-'Feeders Raw Data'!AG108</f>
        <v>0</v>
      </c>
      <c r="AF108">
        <f>'Feeders Raw Data'!X108-'Feeders Raw Data'!AH108</f>
        <v>0</v>
      </c>
      <c r="AG108">
        <f>'Feeders Raw Data'!Y108-'Feeders Raw Data'!AI108</f>
        <v>0</v>
      </c>
      <c r="AH108" t="str">
        <f>'Feeders Raw Data'!AC108&amp;" - "&amp;'Feeders Raw Data'!AM108</f>
        <v xml:space="preserve"> - </v>
      </c>
      <c r="AJ108" s="1">
        <f>'Feeders Raw Data'!AO108</f>
        <v>0</v>
      </c>
      <c r="AK108">
        <f>'Feeders Raw Data'!AP108-'Feeders Raw Data'!AZ108</f>
        <v>0</v>
      </c>
      <c r="AL108">
        <f>'Feeders Raw Data'!AQ108-'Feeders Raw Data'!BA108</f>
        <v>0</v>
      </c>
      <c r="AM108">
        <f>'Feeders Raw Data'!AR108-'Feeders Raw Data'!BB108</f>
        <v>0</v>
      </c>
      <c r="AN108">
        <f>'Feeders Raw Data'!AS108-'Feeders Raw Data'!BC108</f>
        <v>0</v>
      </c>
      <c r="AO108" t="str">
        <f>'Feeders Raw Data'!AW108&amp;" - "&amp;'Feeders Raw Data'!BG108</f>
        <v xml:space="preserve"> - </v>
      </c>
      <c r="AQ108" s="1">
        <f>'Feeders Raw Data'!AY108</f>
        <v>0</v>
      </c>
      <c r="AR108">
        <f>'Feeders Raw Data'!AZ108-'Feeders Raw Data'!BJ108</f>
        <v>0</v>
      </c>
      <c r="AS108">
        <f>'Feeders Raw Data'!BA108-'Feeders Raw Data'!BK108</f>
        <v>0</v>
      </c>
      <c r="AT108">
        <f>'Feeders Raw Data'!BB108-'Feeders Raw Data'!BL108</f>
        <v>0</v>
      </c>
      <c r="AU108">
        <f>'Feeders Raw Data'!BC108-'Feeders Raw Data'!BM108</f>
        <v>0</v>
      </c>
      <c r="AV108" t="str">
        <f>'Feeders Raw Data'!BG108&amp;" - "&amp;'Feeders Raw Data'!BQ108</f>
        <v xml:space="preserve"> - </v>
      </c>
      <c r="AX108" s="1">
        <f>'Feeders Raw Data'!BS108</f>
        <v>0</v>
      </c>
      <c r="AY108">
        <f>'Feeders Raw Data'!BT108-'Feeders Raw Data'!B108</f>
        <v>0</v>
      </c>
      <c r="AZ108">
        <f>'Feeders Raw Data'!BU108-'Feeders Raw Data'!C108</f>
        <v>0</v>
      </c>
      <c r="BA108">
        <f>'Feeders Raw Data'!BV108-'Feeders Raw Data'!D108</f>
        <v>0</v>
      </c>
      <c r="BB108">
        <f>'Feeders Raw Data'!BW108-'Feeders Raw Data'!E108</f>
        <v>0</v>
      </c>
      <c r="BC108" t="str">
        <f>'Feeders Raw Data'!CA108&amp;" - "&amp;'Feeders Raw Data'!I108</f>
        <v xml:space="preserve"> - </v>
      </c>
    </row>
    <row r="109" spans="1:55" x14ac:dyDescent="0.25">
      <c r="A109" s="1">
        <f>'Feeders Raw Data'!A109</f>
        <v>0</v>
      </c>
      <c r="B109">
        <f>'Feeders Raw Data'!B109-'Feeders Raw Data'!L109</f>
        <v>0</v>
      </c>
      <c r="C109">
        <f>'Feeders Raw Data'!C109-'Feeders Raw Data'!M109</f>
        <v>0</v>
      </c>
      <c r="D109">
        <f>'Feeders Raw Data'!D109-'Feeders Raw Data'!N109</f>
        <v>0</v>
      </c>
      <c r="E109">
        <f>'Feeders Raw Data'!E109-'Feeders Raw Data'!O109</f>
        <v>0</v>
      </c>
      <c r="F109" t="str">
        <f>'Feeders Raw Data'!I109&amp;" - "&amp;'Feeders Raw Data'!S109</f>
        <v xml:space="preserve"> - </v>
      </c>
      <c r="H109" s="1">
        <f>'Feeders Raw Data'!AE109</f>
        <v>0</v>
      </c>
      <c r="I109">
        <f>'Feeders Raw Data'!AF109-'Feeders Raw Data'!AP109</f>
        <v>0</v>
      </c>
      <c r="J109">
        <f>'Feeders Raw Data'!AG109-'Feeders Raw Data'!AQ109</f>
        <v>0</v>
      </c>
      <c r="K109">
        <f>'Feeders Raw Data'!AH109-'Feeders Raw Data'!AR109</f>
        <v>0</v>
      </c>
      <c r="L109">
        <f>'Feeders Raw Data'!AI109-'Feeders Raw Data'!AS109</f>
        <v>0</v>
      </c>
      <c r="M109" t="str">
        <f>'Feeders Raw Data'!AM109&amp;" - "&amp;'Feeders Raw Data'!AW109</f>
        <v xml:space="preserve"> - </v>
      </c>
      <c r="O109" s="1">
        <f>'Feeders Raw Data'!BI109</f>
        <v>0</v>
      </c>
      <c r="P109">
        <f>'Feeders Raw Data'!BJ109-'Feeders Raw Data'!BT109</f>
        <v>0</v>
      </c>
      <c r="Q109">
        <f>'Feeders Raw Data'!BK109-'Feeders Raw Data'!BU109</f>
        <v>0</v>
      </c>
      <c r="R109">
        <f>'Feeders Raw Data'!BL109-'Feeders Raw Data'!BV109</f>
        <v>0</v>
      </c>
      <c r="S109">
        <f>'Feeders Raw Data'!BM109-'Feeders Raw Data'!BW109</f>
        <v>0</v>
      </c>
      <c r="T109" t="str">
        <f>'Feeders Raw Data'!BQ109&amp;" - "&amp;'Feeders Raw Data'!CA109</f>
        <v xml:space="preserve"> - </v>
      </c>
      <c r="V109" s="1">
        <f>'Feeders Raw Data'!K109</f>
        <v>0</v>
      </c>
      <c r="W109">
        <f>'Feeders Raw Data'!L109-'Feeders Raw Data'!V109</f>
        <v>0</v>
      </c>
      <c r="X109">
        <f>'Feeders Raw Data'!M109-'Feeders Raw Data'!W109</f>
        <v>0</v>
      </c>
      <c r="Y109">
        <f>'Feeders Raw Data'!N109-'Feeders Raw Data'!X109</f>
        <v>0</v>
      </c>
      <c r="Z109">
        <f>'Feeders Raw Data'!O109-'Feeders Raw Data'!Y109</f>
        <v>0</v>
      </c>
      <c r="AA109" t="str">
        <f>'Feeders Raw Data'!S109&amp;" - "&amp;'Feeders Raw Data'!AC109</f>
        <v xml:space="preserve"> - </v>
      </c>
      <c r="AC109" s="1">
        <f>'Feeders Raw Data'!U109</f>
        <v>0</v>
      </c>
      <c r="AD109">
        <f>'Feeders Raw Data'!V109-'Feeders Raw Data'!AF109</f>
        <v>0</v>
      </c>
      <c r="AE109">
        <f>'Feeders Raw Data'!W109-'Feeders Raw Data'!AG109</f>
        <v>0</v>
      </c>
      <c r="AF109">
        <f>'Feeders Raw Data'!X109-'Feeders Raw Data'!AH109</f>
        <v>0</v>
      </c>
      <c r="AG109">
        <f>'Feeders Raw Data'!Y109-'Feeders Raw Data'!AI109</f>
        <v>0</v>
      </c>
      <c r="AH109" t="str">
        <f>'Feeders Raw Data'!AC109&amp;" - "&amp;'Feeders Raw Data'!AM109</f>
        <v xml:space="preserve"> - </v>
      </c>
      <c r="AJ109" s="1">
        <f>'Feeders Raw Data'!AO109</f>
        <v>0</v>
      </c>
      <c r="AK109">
        <f>'Feeders Raw Data'!AP109-'Feeders Raw Data'!AZ109</f>
        <v>0</v>
      </c>
      <c r="AL109">
        <f>'Feeders Raw Data'!AQ109-'Feeders Raw Data'!BA109</f>
        <v>0</v>
      </c>
      <c r="AM109">
        <f>'Feeders Raw Data'!AR109-'Feeders Raw Data'!BB109</f>
        <v>0</v>
      </c>
      <c r="AN109">
        <f>'Feeders Raw Data'!AS109-'Feeders Raw Data'!BC109</f>
        <v>0</v>
      </c>
      <c r="AO109" t="str">
        <f>'Feeders Raw Data'!AW109&amp;" - "&amp;'Feeders Raw Data'!BG109</f>
        <v xml:space="preserve"> - </v>
      </c>
      <c r="AQ109" s="1">
        <f>'Feeders Raw Data'!AY109</f>
        <v>0</v>
      </c>
      <c r="AR109">
        <f>'Feeders Raw Data'!AZ109-'Feeders Raw Data'!BJ109</f>
        <v>0</v>
      </c>
      <c r="AS109">
        <f>'Feeders Raw Data'!BA109-'Feeders Raw Data'!BK109</f>
        <v>0</v>
      </c>
      <c r="AT109">
        <f>'Feeders Raw Data'!BB109-'Feeders Raw Data'!BL109</f>
        <v>0</v>
      </c>
      <c r="AU109">
        <f>'Feeders Raw Data'!BC109-'Feeders Raw Data'!BM109</f>
        <v>0</v>
      </c>
      <c r="AV109" t="str">
        <f>'Feeders Raw Data'!BG109&amp;" - "&amp;'Feeders Raw Data'!BQ109</f>
        <v xml:space="preserve"> - </v>
      </c>
      <c r="AX109" s="1">
        <f>'Feeders Raw Data'!BS109</f>
        <v>0</v>
      </c>
      <c r="AY109">
        <f>'Feeders Raw Data'!BT109-'Feeders Raw Data'!B109</f>
        <v>0</v>
      </c>
      <c r="AZ109">
        <f>'Feeders Raw Data'!BU109-'Feeders Raw Data'!C109</f>
        <v>0</v>
      </c>
      <c r="BA109">
        <f>'Feeders Raw Data'!BV109-'Feeders Raw Data'!D109</f>
        <v>0</v>
      </c>
      <c r="BB109">
        <f>'Feeders Raw Data'!BW109-'Feeders Raw Data'!E109</f>
        <v>0</v>
      </c>
      <c r="BC109" t="str">
        <f>'Feeders Raw Data'!CA109&amp;" - "&amp;'Feeders Raw Data'!I109</f>
        <v xml:space="preserve"> - </v>
      </c>
    </row>
    <row r="110" spans="1:55" x14ac:dyDescent="0.25">
      <c r="A110" s="1">
        <f>'Feeders Raw Data'!A110</f>
        <v>0</v>
      </c>
      <c r="B110">
        <f>'Feeders Raw Data'!B110-'Feeders Raw Data'!L110</f>
        <v>0</v>
      </c>
      <c r="C110">
        <f>'Feeders Raw Data'!C110-'Feeders Raw Data'!M110</f>
        <v>0</v>
      </c>
      <c r="D110">
        <f>'Feeders Raw Data'!D110-'Feeders Raw Data'!N110</f>
        <v>0</v>
      </c>
      <c r="E110">
        <f>'Feeders Raw Data'!E110-'Feeders Raw Data'!O110</f>
        <v>0</v>
      </c>
      <c r="F110" t="str">
        <f>'Feeders Raw Data'!I110&amp;" - "&amp;'Feeders Raw Data'!S110</f>
        <v xml:space="preserve"> - </v>
      </c>
      <c r="H110" s="1">
        <f>'Feeders Raw Data'!AE110</f>
        <v>0</v>
      </c>
      <c r="I110">
        <f>'Feeders Raw Data'!AF110-'Feeders Raw Data'!AP110</f>
        <v>0</v>
      </c>
      <c r="J110">
        <f>'Feeders Raw Data'!AG110-'Feeders Raw Data'!AQ110</f>
        <v>0</v>
      </c>
      <c r="K110">
        <f>'Feeders Raw Data'!AH110-'Feeders Raw Data'!AR110</f>
        <v>0</v>
      </c>
      <c r="L110">
        <f>'Feeders Raw Data'!AI110-'Feeders Raw Data'!AS110</f>
        <v>0</v>
      </c>
      <c r="M110" t="str">
        <f>'Feeders Raw Data'!AM110&amp;" - "&amp;'Feeders Raw Data'!AW110</f>
        <v xml:space="preserve"> - </v>
      </c>
      <c r="O110" s="1">
        <f>'Feeders Raw Data'!BI110</f>
        <v>0</v>
      </c>
      <c r="P110">
        <f>'Feeders Raw Data'!BJ110-'Feeders Raw Data'!BT110</f>
        <v>0</v>
      </c>
      <c r="Q110">
        <f>'Feeders Raw Data'!BK110-'Feeders Raw Data'!BU110</f>
        <v>0</v>
      </c>
      <c r="R110">
        <f>'Feeders Raw Data'!BL110-'Feeders Raw Data'!BV110</f>
        <v>0</v>
      </c>
      <c r="S110">
        <f>'Feeders Raw Data'!BM110-'Feeders Raw Data'!BW110</f>
        <v>0</v>
      </c>
      <c r="T110" t="str">
        <f>'Feeders Raw Data'!BQ110&amp;" - "&amp;'Feeders Raw Data'!CA110</f>
        <v xml:space="preserve"> - </v>
      </c>
      <c r="V110" s="1">
        <f>'Feeders Raw Data'!K110</f>
        <v>0</v>
      </c>
      <c r="W110">
        <f>'Feeders Raw Data'!L110-'Feeders Raw Data'!V110</f>
        <v>0</v>
      </c>
      <c r="X110">
        <f>'Feeders Raw Data'!M110-'Feeders Raw Data'!W110</f>
        <v>0</v>
      </c>
      <c r="Y110">
        <f>'Feeders Raw Data'!N110-'Feeders Raw Data'!X110</f>
        <v>0</v>
      </c>
      <c r="Z110">
        <f>'Feeders Raw Data'!O110-'Feeders Raw Data'!Y110</f>
        <v>0</v>
      </c>
      <c r="AA110" t="str">
        <f>'Feeders Raw Data'!S110&amp;" - "&amp;'Feeders Raw Data'!AC110</f>
        <v xml:space="preserve"> - </v>
      </c>
      <c r="AC110" s="1">
        <f>'Feeders Raw Data'!U110</f>
        <v>0</v>
      </c>
      <c r="AD110">
        <f>'Feeders Raw Data'!V110-'Feeders Raw Data'!AF110</f>
        <v>0</v>
      </c>
      <c r="AE110">
        <f>'Feeders Raw Data'!W110-'Feeders Raw Data'!AG110</f>
        <v>0</v>
      </c>
      <c r="AF110">
        <f>'Feeders Raw Data'!X110-'Feeders Raw Data'!AH110</f>
        <v>0</v>
      </c>
      <c r="AG110">
        <f>'Feeders Raw Data'!Y110-'Feeders Raw Data'!AI110</f>
        <v>0</v>
      </c>
      <c r="AH110" t="str">
        <f>'Feeders Raw Data'!AC110&amp;" - "&amp;'Feeders Raw Data'!AM110</f>
        <v xml:space="preserve"> - </v>
      </c>
      <c r="AJ110" s="1">
        <f>'Feeders Raw Data'!AO110</f>
        <v>0</v>
      </c>
      <c r="AK110">
        <f>'Feeders Raw Data'!AP110-'Feeders Raw Data'!AZ110</f>
        <v>0</v>
      </c>
      <c r="AL110">
        <f>'Feeders Raw Data'!AQ110-'Feeders Raw Data'!BA110</f>
        <v>0</v>
      </c>
      <c r="AM110">
        <f>'Feeders Raw Data'!AR110-'Feeders Raw Data'!BB110</f>
        <v>0</v>
      </c>
      <c r="AN110">
        <f>'Feeders Raw Data'!AS110-'Feeders Raw Data'!BC110</f>
        <v>0</v>
      </c>
      <c r="AO110" t="str">
        <f>'Feeders Raw Data'!AW110&amp;" - "&amp;'Feeders Raw Data'!BG110</f>
        <v xml:space="preserve"> - </v>
      </c>
      <c r="AQ110" s="1">
        <f>'Feeders Raw Data'!AY110</f>
        <v>0</v>
      </c>
      <c r="AR110">
        <f>'Feeders Raw Data'!AZ110-'Feeders Raw Data'!BJ110</f>
        <v>0</v>
      </c>
      <c r="AS110">
        <f>'Feeders Raw Data'!BA110-'Feeders Raw Data'!BK110</f>
        <v>0</v>
      </c>
      <c r="AT110">
        <f>'Feeders Raw Data'!BB110-'Feeders Raw Data'!BL110</f>
        <v>0</v>
      </c>
      <c r="AU110">
        <f>'Feeders Raw Data'!BC110-'Feeders Raw Data'!BM110</f>
        <v>0</v>
      </c>
      <c r="AV110" t="str">
        <f>'Feeders Raw Data'!BG110&amp;" - "&amp;'Feeders Raw Data'!BQ110</f>
        <v xml:space="preserve"> - </v>
      </c>
      <c r="AX110" s="1">
        <f>'Feeders Raw Data'!BS110</f>
        <v>0</v>
      </c>
      <c r="AY110">
        <f>'Feeders Raw Data'!BT110-'Feeders Raw Data'!B110</f>
        <v>0</v>
      </c>
      <c r="AZ110">
        <f>'Feeders Raw Data'!BU110-'Feeders Raw Data'!C110</f>
        <v>0</v>
      </c>
      <c r="BA110">
        <f>'Feeders Raw Data'!BV110-'Feeders Raw Data'!D110</f>
        <v>0</v>
      </c>
      <c r="BB110">
        <f>'Feeders Raw Data'!BW110-'Feeders Raw Data'!E110</f>
        <v>0</v>
      </c>
      <c r="BC110" t="str">
        <f>'Feeders Raw Data'!CA110&amp;" - "&amp;'Feeders Raw Data'!I110</f>
        <v xml:space="preserve"> - </v>
      </c>
    </row>
    <row r="111" spans="1:55" x14ac:dyDescent="0.25">
      <c r="A111" s="1">
        <f>'Feeders Raw Data'!A111</f>
        <v>0</v>
      </c>
      <c r="B111">
        <f>'Feeders Raw Data'!B111-'Feeders Raw Data'!L111</f>
        <v>0</v>
      </c>
      <c r="C111">
        <f>'Feeders Raw Data'!C111-'Feeders Raw Data'!M111</f>
        <v>0</v>
      </c>
      <c r="D111">
        <f>'Feeders Raw Data'!D111-'Feeders Raw Data'!N111</f>
        <v>0</v>
      </c>
      <c r="E111">
        <f>'Feeders Raw Data'!E111-'Feeders Raw Data'!O111</f>
        <v>0</v>
      </c>
      <c r="F111" t="str">
        <f>'Feeders Raw Data'!I111&amp;" - "&amp;'Feeders Raw Data'!S111</f>
        <v xml:space="preserve"> - </v>
      </c>
      <c r="H111" s="1">
        <f>'Feeders Raw Data'!AE111</f>
        <v>0</v>
      </c>
      <c r="I111">
        <f>'Feeders Raw Data'!AF111-'Feeders Raw Data'!AP111</f>
        <v>0</v>
      </c>
      <c r="J111">
        <f>'Feeders Raw Data'!AG111-'Feeders Raw Data'!AQ111</f>
        <v>0</v>
      </c>
      <c r="K111">
        <f>'Feeders Raw Data'!AH111-'Feeders Raw Data'!AR111</f>
        <v>0</v>
      </c>
      <c r="L111">
        <f>'Feeders Raw Data'!AI111-'Feeders Raw Data'!AS111</f>
        <v>0</v>
      </c>
      <c r="M111" t="str">
        <f>'Feeders Raw Data'!AM111&amp;" - "&amp;'Feeders Raw Data'!AW111</f>
        <v xml:space="preserve"> - </v>
      </c>
      <c r="O111" s="1">
        <f>'Feeders Raw Data'!BI111</f>
        <v>0</v>
      </c>
      <c r="P111">
        <f>'Feeders Raw Data'!BJ111-'Feeders Raw Data'!BT111</f>
        <v>0</v>
      </c>
      <c r="Q111">
        <f>'Feeders Raw Data'!BK111-'Feeders Raw Data'!BU111</f>
        <v>0</v>
      </c>
      <c r="R111">
        <f>'Feeders Raw Data'!BL111-'Feeders Raw Data'!BV111</f>
        <v>0</v>
      </c>
      <c r="S111">
        <f>'Feeders Raw Data'!BM111-'Feeders Raw Data'!BW111</f>
        <v>0</v>
      </c>
      <c r="T111" t="str">
        <f>'Feeders Raw Data'!BQ111&amp;" - "&amp;'Feeders Raw Data'!CA111</f>
        <v xml:space="preserve"> - </v>
      </c>
      <c r="V111" s="1">
        <f>'Feeders Raw Data'!K111</f>
        <v>0</v>
      </c>
      <c r="W111">
        <f>'Feeders Raw Data'!L111-'Feeders Raw Data'!V111</f>
        <v>0</v>
      </c>
      <c r="X111">
        <f>'Feeders Raw Data'!M111-'Feeders Raw Data'!W111</f>
        <v>0</v>
      </c>
      <c r="Y111">
        <f>'Feeders Raw Data'!N111-'Feeders Raw Data'!X111</f>
        <v>0</v>
      </c>
      <c r="Z111">
        <f>'Feeders Raw Data'!O111-'Feeders Raw Data'!Y111</f>
        <v>0</v>
      </c>
      <c r="AA111" t="str">
        <f>'Feeders Raw Data'!S111&amp;" - "&amp;'Feeders Raw Data'!AC111</f>
        <v xml:space="preserve"> - </v>
      </c>
      <c r="AC111" s="1">
        <f>'Feeders Raw Data'!U111</f>
        <v>0</v>
      </c>
      <c r="AD111">
        <f>'Feeders Raw Data'!V111-'Feeders Raw Data'!AF111</f>
        <v>0</v>
      </c>
      <c r="AE111">
        <f>'Feeders Raw Data'!W111-'Feeders Raw Data'!AG111</f>
        <v>0</v>
      </c>
      <c r="AF111">
        <f>'Feeders Raw Data'!X111-'Feeders Raw Data'!AH111</f>
        <v>0</v>
      </c>
      <c r="AG111">
        <f>'Feeders Raw Data'!Y111-'Feeders Raw Data'!AI111</f>
        <v>0</v>
      </c>
      <c r="AH111" t="str">
        <f>'Feeders Raw Data'!AC111&amp;" - "&amp;'Feeders Raw Data'!AM111</f>
        <v xml:space="preserve"> - </v>
      </c>
      <c r="AJ111" s="1">
        <f>'Feeders Raw Data'!AO111</f>
        <v>0</v>
      </c>
      <c r="AK111">
        <f>'Feeders Raw Data'!AP111-'Feeders Raw Data'!AZ111</f>
        <v>0</v>
      </c>
      <c r="AL111">
        <f>'Feeders Raw Data'!AQ111-'Feeders Raw Data'!BA111</f>
        <v>0</v>
      </c>
      <c r="AM111">
        <f>'Feeders Raw Data'!AR111-'Feeders Raw Data'!BB111</f>
        <v>0</v>
      </c>
      <c r="AN111">
        <f>'Feeders Raw Data'!AS111-'Feeders Raw Data'!BC111</f>
        <v>0</v>
      </c>
      <c r="AO111" t="str">
        <f>'Feeders Raw Data'!AW111&amp;" - "&amp;'Feeders Raw Data'!BG111</f>
        <v xml:space="preserve"> - </v>
      </c>
      <c r="AQ111" s="1">
        <f>'Feeders Raw Data'!AY111</f>
        <v>0</v>
      </c>
      <c r="AR111">
        <f>'Feeders Raw Data'!AZ111-'Feeders Raw Data'!BJ111</f>
        <v>0</v>
      </c>
      <c r="AS111">
        <f>'Feeders Raw Data'!BA111-'Feeders Raw Data'!BK111</f>
        <v>0</v>
      </c>
      <c r="AT111">
        <f>'Feeders Raw Data'!BB111-'Feeders Raw Data'!BL111</f>
        <v>0</v>
      </c>
      <c r="AU111">
        <f>'Feeders Raw Data'!BC111-'Feeders Raw Data'!BM111</f>
        <v>0</v>
      </c>
      <c r="AV111" t="str">
        <f>'Feeders Raw Data'!BG111&amp;" - "&amp;'Feeders Raw Data'!BQ111</f>
        <v xml:space="preserve"> - </v>
      </c>
      <c r="AX111" s="1">
        <f>'Feeders Raw Data'!BS111</f>
        <v>0</v>
      </c>
      <c r="AY111">
        <f>'Feeders Raw Data'!BT111-'Feeders Raw Data'!B111</f>
        <v>0</v>
      </c>
      <c r="AZ111">
        <f>'Feeders Raw Data'!BU111-'Feeders Raw Data'!C111</f>
        <v>0</v>
      </c>
      <c r="BA111">
        <f>'Feeders Raw Data'!BV111-'Feeders Raw Data'!D111</f>
        <v>0</v>
      </c>
      <c r="BB111">
        <f>'Feeders Raw Data'!BW111-'Feeders Raw Data'!E111</f>
        <v>0</v>
      </c>
      <c r="BC111" t="str">
        <f>'Feeders Raw Data'!CA111&amp;" - "&amp;'Feeders Raw Data'!I111</f>
        <v xml:space="preserve"> - </v>
      </c>
    </row>
    <row r="112" spans="1:55" x14ac:dyDescent="0.25">
      <c r="A112" s="1">
        <f>'Feeders Raw Data'!A112</f>
        <v>0</v>
      </c>
      <c r="B112">
        <f>'Feeders Raw Data'!B112-'Feeders Raw Data'!L112</f>
        <v>0</v>
      </c>
      <c r="C112">
        <f>'Feeders Raw Data'!C112-'Feeders Raw Data'!M112</f>
        <v>0</v>
      </c>
      <c r="D112">
        <f>'Feeders Raw Data'!D112-'Feeders Raw Data'!N112</f>
        <v>0</v>
      </c>
      <c r="E112">
        <f>'Feeders Raw Data'!E112-'Feeders Raw Data'!O112</f>
        <v>0</v>
      </c>
      <c r="F112" t="str">
        <f>'Feeders Raw Data'!I112&amp;" - "&amp;'Feeders Raw Data'!S112</f>
        <v xml:space="preserve"> - </v>
      </c>
      <c r="H112" s="1">
        <f>'Feeders Raw Data'!AE112</f>
        <v>0</v>
      </c>
      <c r="I112">
        <f>'Feeders Raw Data'!AF112-'Feeders Raw Data'!AP112</f>
        <v>0</v>
      </c>
      <c r="J112">
        <f>'Feeders Raw Data'!AG112-'Feeders Raw Data'!AQ112</f>
        <v>0</v>
      </c>
      <c r="K112">
        <f>'Feeders Raw Data'!AH112-'Feeders Raw Data'!AR112</f>
        <v>0</v>
      </c>
      <c r="L112">
        <f>'Feeders Raw Data'!AI112-'Feeders Raw Data'!AS112</f>
        <v>0</v>
      </c>
      <c r="M112" t="str">
        <f>'Feeders Raw Data'!AM112&amp;" - "&amp;'Feeders Raw Data'!AW112</f>
        <v xml:space="preserve"> - </v>
      </c>
      <c r="O112" s="1">
        <f>'Feeders Raw Data'!BI112</f>
        <v>0</v>
      </c>
      <c r="P112">
        <f>'Feeders Raw Data'!BJ112-'Feeders Raw Data'!BT112</f>
        <v>0</v>
      </c>
      <c r="Q112">
        <f>'Feeders Raw Data'!BK112-'Feeders Raw Data'!BU112</f>
        <v>0</v>
      </c>
      <c r="R112">
        <f>'Feeders Raw Data'!BL112-'Feeders Raw Data'!BV112</f>
        <v>0</v>
      </c>
      <c r="S112">
        <f>'Feeders Raw Data'!BM112-'Feeders Raw Data'!BW112</f>
        <v>0</v>
      </c>
      <c r="T112" t="str">
        <f>'Feeders Raw Data'!BQ112&amp;" - "&amp;'Feeders Raw Data'!CA112</f>
        <v xml:space="preserve"> - </v>
      </c>
      <c r="V112" s="1">
        <f>'Feeders Raw Data'!K112</f>
        <v>0</v>
      </c>
      <c r="W112">
        <f>'Feeders Raw Data'!L112-'Feeders Raw Data'!V112</f>
        <v>0</v>
      </c>
      <c r="X112">
        <f>'Feeders Raw Data'!M112-'Feeders Raw Data'!W112</f>
        <v>0</v>
      </c>
      <c r="Y112">
        <f>'Feeders Raw Data'!N112-'Feeders Raw Data'!X112</f>
        <v>0</v>
      </c>
      <c r="Z112">
        <f>'Feeders Raw Data'!O112-'Feeders Raw Data'!Y112</f>
        <v>0</v>
      </c>
      <c r="AA112" t="str">
        <f>'Feeders Raw Data'!S112&amp;" - "&amp;'Feeders Raw Data'!AC112</f>
        <v xml:space="preserve"> - </v>
      </c>
      <c r="AC112" s="1">
        <f>'Feeders Raw Data'!U112</f>
        <v>0</v>
      </c>
      <c r="AD112">
        <f>'Feeders Raw Data'!V112-'Feeders Raw Data'!AF112</f>
        <v>0</v>
      </c>
      <c r="AE112">
        <f>'Feeders Raw Data'!W112-'Feeders Raw Data'!AG112</f>
        <v>0</v>
      </c>
      <c r="AF112">
        <f>'Feeders Raw Data'!X112-'Feeders Raw Data'!AH112</f>
        <v>0</v>
      </c>
      <c r="AG112">
        <f>'Feeders Raw Data'!Y112-'Feeders Raw Data'!AI112</f>
        <v>0</v>
      </c>
      <c r="AH112" t="str">
        <f>'Feeders Raw Data'!AC112&amp;" - "&amp;'Feeders Raw Data'!AM112</f>
        <v xml:space="preserve"> - </v>
      </c>
      <c r="AJ112" s="1">
        <f>'Feeders Raw Data'!AO112</f>
        <v>0</v>
      </c>
      <c r="AK112">
        <f>'Feeders Raw Data'!AP112-'Feeders Raw Data'!AZ112</f>
        <v>0</v>
      </c>
      <c r="AL112">
        <f>'Feeders Raw Data'!AQ112-'Feeders Raw Data'!BA112</f>
        <v>0</v>
      </c>
      <c r="AM112">
        <f>'Feeders Raw Data'!AR112-'Feeders Raw Data'!BB112</f>
        <v>0</v>
      </c>
      <c r="AN112">
        <f>'Feeders Raw Data'!AS112-'Feeders Raw Data'!BC112</f>
        <v>0</v>
      </c>
      <c r="AO112" t="str">
        <f>'Feeders Raw Data'!AW112&amp;" - "&amp;'Feeders Raw Data'!BG112</f>
        <v xml:space="preserve"> - </v>
      </c>
      <c r="AQ112" s="1">
        <f>'Feeders Raw Data'!AY112</f>
        <v>0</v>
      </c>
      <c r="AR112">
        <f>'Feeders Raw Data'!AZ112-'Feeders Raw Data'!BJ112</f>
        <v>0</v>
      </c>
      <c r="AS112">
        <f>'Feeders Raw Data'!BA112-'Feeders Raw Data'!BK112</f>
        <v>0</v>
      </c>
      <c r="AT112">
        <f>'Feeders Raw Data'!BB112-'Feeders Raw Data'!BL112</f>
        <v>0</v>
      </c>
      <c r="AU112">
        <f>'Feeders Raw Data'!BC112-'Feeders Raw Data'!BM112</f>
        <v>0</v>
      </c>
      <c r="AV112" t="str">
        <f>'Feeders Raw Data'!BG112&amp;" - "&amp;'Feeders Raw Data'!BQ112</f>
        <v xml:space="preserve"> - </v>
      </c>
      <c r="AX112" s="1">
        <f>'Feeders Raw Data'!BS112</f>
        <v>0</v>
      </c>
      <c r="AY112">
        <f>'Feeders Raw Data'!BT112-'Feeders Raw Data'!B112</f>
        <v>0</v>
      </c>
      <c r="AZ112">
        <f>'Feeders Raw Data'!BU112-'Feeders Raw Data'!C112</f>
        <v>0</v>
      </c>
      <c r="BA112">
        <f>'Feeders Raw Data'!BV112-'Feeders Raw Data'!D112</f>
        <v>0</v>
      </c>
      <c r="BB112">
        <f>'Feeders Raw Data'!BW112-'Feeders Raw Data'!E112</f>
        <v>0</v>
      </c>
      <c r="BC112" t="str">
        <f>'Feeders Raw Data'!CA112&amp;" - "&amp;'Feeders Raw Data'!I112</f>
        <v xml:space="preserve"> - </v>
      </c>
    </row>
    <row r="113" spans="1:55" x14ac:dyDescent="0.25">
      <c r="A113" s="1">
        <f>'Feeders Raw Data'!A113</f>
        <v>0</v>
      </c>
      <c r="B113">
        <f>'Feeders Raw Data'!B113-'Feeders Raw Data'!L113</f>
        <v>0</v>
      </c>
      <c r="C113">
        <f>'Feeders Raw Data'!C113-'Feeders Raw Data'!M113</f>
        <v>0</v>
      </c>
      <c r="D113">
        <f>'Feeders Raw Data'!D113-'Feeders Raw Data'!N113</f>
        <v>0</v>
      </c>
      <c r="E113">
        <f>'Feeders Raw Data'!E113-'Feeders Raw Data'!O113</f>
        <v>0</v>
      </c>
      <c r="F113" t="str">
        <f>'Feeders Raw Data'!I113&amp;" - "&amp;'Feeders Raw Data'!S113</f>
        <v xml:space="preserve"> - </v>
      </c>
      <c r="H113" s="1">
        <f>'Feeders Raw Data'!AE113</f>
        <v>0</v>
      </c>
      <c r="I113">
        <f>'Feeders Raw Data'!AF113-'Feeders Raw Data'!AP113</f>
        <v>0</v>
      </c>
      <c r="J113">
        <f>'Feeders Raw Data'!AG113-'Feeders Raw Data'!AQ113</f>
        <v>0</v>
      </c>
      <c r="K113">
        <f>'Feeders Raw Data'!AH113-'Feeders Raw Data'!AR113</f>
        <v>0</v>
      </c>
      <c r="L113">
        <f>'Feeders Raw Data'!AI113-'Feeders Raw Data'!AS113</f>
        <v>0</v>
      </c>
      <c r="M113" t="str">
        <f>'Feeders Raw Data'!AM113&amp;" - "&amp;'Feeders Raw Data'!AW113</f>
        <v xml:space="preserve"> - </v>
      </c>
      <c r="O113" s="1">
        <f>'Feeders Raw Data'!BI113</f>
        <v>0</v>
      </c>
      <c r="P113">
        <f>'Feeders Raw Data'!BJ113-'Feeders Raw Data'!BT113</f>
        <v>0</v>
      </c>
      <c r="Q113">
        <f>'Feeders Raw Data'!BK113-'Feeders Raw Data'!BU113</f>
        <v>0</v>
      </c>
      <c r="R113">
        <f>'Feeders Raw Data'!BL113-'Feeders Raw Data'!BV113</f>
        <v>0</v>
      </c>
      <c r="S113">
        <f>'Feeders Raw Data'!BM113-'Feeders Raw Data'!BW113</f>
        <v>0</v>
      </c>
      <c r="T113" t="str">
        <f>'Feeders Raw Data'!BQ113&amp;" - "&amp;'Feeders Raw Data'!CA113</f>
        <v xml:space="preserve"> - </v>
      </c>
      <c r="V113" s="1">
        <f>'Feeders Raw Data'!K113</f>
        <v>0</v>
      </c>
      <c r="W113">
        <f>'Feeders Raw Data'!L113-'Feeders Raw Data'!V113</f>
        <v>0</v>
      </c>
      <c r="X113">
        <f>'Feeders Raw Data'!M113-'Feeders Raw Data'!W113</f>
        <v>0</v>
      </c>
      <c r="Y113">
        <f>'Feeders Raw Data'!N113-'Feeders Raw Data'!X113</f>
        <v>0</v>
      </c>
      <c r="Z113">
        <f>'Feeders Raw Data'!O113-'Feeders Raw Data'!Y113</f>
        <v>0</v>
      </c>
      <c r="AA113" t="str">
        <f>'Feeders Raw Data'!S113&amp;" - "&amp;'Feeders Raw Data'!AC113</f>
        <v xml:space="preserve"> - </v>
      </c>
      <c r="AC113" s="1">
        <f>'Feeders Raw Data'!U113</f>
        <v>0</v>
      </c>
      <c r="AD113">
        <f>'Feeders Raw Data'!V113-'Feeders Raw Data'!AF113</f>
        <v>0</v>
      </c>
      <c r="AE113">
        <f>'Feeders Raw Data'!W113-'Feeders Raw Data'!AG113</f>
        <v>0</v>
      </c>
      <c r="AF113">
        <f>'Feeders Raw Data'!X113-'Feeders Raw Data'!AH113</f>
        <v>0</v>
      </c>
      <c r="AG113">
        <f>'Feeders Raw Data'!Y113-'Feeders Raw Data'!AI113</f>
        <v>0</v>
      </c>
      <c r="AH113" t="str">
        <f>'Feeders Raw Data'!AC113&amp;" - "&amp;'Feeders Raw Data'!AM113</f>
        <v xml:space="preserve"> - </v>
      </c>
      <c r="AJ113" s="1">
        <f>'Feeders Raw Data'!AO113</f>
        <v>0</v>
      </c>
      <c r="AK113">
        <f>'Feeders Raw Data'!AP113-'Feeders Raw Data'!AZ113</f>
        <v>0</v>
      </c>
      <c r="AL113">
        <f>'Feeders Raw Data'!AQ113-'Feeders Raw Data'!BA113</f>
        <v>0</v>
      </c>
      <c r="AM113">
        <f>'Feeders Raw Data'!AR113-'Feeders Raw Data'!BB113</f>
        <v>0</v>
      </c>
      <c r="AN113">
        <f>'Feeders Raw Data'!AS113-'Feeders Raw Data'!BC113</f>
        <v>0</v>
      </c>
      <c r="AO113" t="str">
        <f>'Feeders Raw Data'!AW113&amp;" - "&amp;'Feeders Raw Data'!BG113</f>
        <v xml:space="preserve"> - </v>
      </c>
      <c r="AQ113" s="1">
        <f>'Feeders Raw Data'!AY113</f>
        <v>0</v>
      </c>
      <c r="AR113">
        <f>'Feeders Raw Data'!AZ113-'Feeders Raw Data'!BJ113</f>
        <v>0</v>
      </c>
      <c r="AS113">
        <f>'Feeders Raw Data'!BA113-'Feeders Raw Data'!BK113</f>
        <v>0</v>
      </c>
      <c r="AT113">
        <f>'Feeders Raw Data'!BB113-'Feeders Raw Data'!BL113</f>
        <v>0</v>
      </c>
      <c r="AU113">
        <f>'Feeders Raw Data'!BC113-'Feeders Raw Data'!BM113</f>
        <v>0</v>
      </c>
      <c r="AV113" t="str">
        <f>'Feeders Raw Data'!BG113&amp;" - "&amp;'Feeders Raw Data'!BQ113</f>
        <v xml:space="preserve"> - </v>
      </c>
      <c r="AX113" s="1">
        <f>'Feeders Raw Data'!BS113</f>
        <v>0</v>
      </c>
      <c r="AY113">
        <f>'Feeders Raw Data'!BT113-'Feeders Raw Data'!B113</f>
        <v>0</v>
      </c>
      <c r="AZ113">
        <f>'Feeders Raw Data'!BU113-'Feeders Raw Data'!C113</f>
        <v>0</v>
      </c>
      <c r="BA113">
        <f>'Feeders Raw Data'!BV113-'Feeders Raw Data'!D113</f>
        <v>0</v>
      </c>
      <c r="BB113">
        <f>'Feeders Raw Data'!BW113-'Feeders Raw Data'!E113</f>
        <v>0</v>
      </c>
      <c r="BC113" t="str">
        <f>'Feeders Raw Data'!CA113&amp;" - "&amp;'Feeders Raw Data'!I113</f>
        <v xml:space="preserve"> - </v>
      </c>
    </row>
    <row r="114" spans="1:55" x14ac:dyDescent="0.25">
      <c r="A114" s="1">
        <f>'Feeders Raw Data'!A114</f>
        <v>0</v>
      </c>
      <c r="B114">
        <f>'Feeders Raw Data'!B114-'Feeders Raw Data'!L114</f>
        <v>0</v>
      </c>
      <c r="C114">
        <f>'Feeders Raw Data'!C114-'Feeders Raw Data'!M114</f>
        <v>0</v>
      </c>
      <c r="D114">
        <f>'Feeders Raw Data'!D114-'Feeders Raw Data'!N114</f>
        <v>0</v>
      </c>
      <c r="E114">
        <f>'Feeders Raw Data'!E114-'Feeders Raw Data'!O114</f>
        <v>0</v>
      </c>
      <c r="F114" t="str">
        <f>'Feeders Raw Data'!I114&amp;" - "&amp;'Feeders Raw Data'!S114</f>
        <v xml:space="preserve"> - </v>
      </c>
      <c r="H114" s="1">
        <f>'Feeders Raw Data'!AE114</f>
        <v>0</v>
      </c>
      <c r="I114">
        <f>'Feeders Raw Data'!AF114-'Feeders Raw Data'!AP114</f>
        <v>0</v>
      </c>
      <c r="J114">
        <f>'Feeders Raw Data'!AG114-'Feeders Raw Data'!AQ114</f>
        <v>0</v>
      </c>
      <c r="K114">
        <f>'Feeders Raw Data'!AH114-'Feeders Raw Data'!AR114</f>
        <v>0</v>
      </c>
      <c r="L114">
        <f>'Feeders Raw Data'!AI114-'Feeders Raw Data'!AS114</f>
        <v>0</v>
      </c>
      <c r="M114" t="str">
        <f>'Feeders Raw Data'!AM114&amp;" - "&amp;'Feeders Raw Data'!AW114</f>
        <v xml:space="preserve"> - </v>
      </c>
      <c r="O114" s="1">
        <f>'Feeders Raw Data'!BI114</f>
        <v>0</v>
      </c>
      <c r="P114">
        <f>'Feeders Raw Data'!BJ114-'Feeders Raw Data'!BT114</f>
        <v>0</v>
      </c>
      <c r="Q114">
        <f>'Feeders Raw Data'!BK114-'Feeders Raw Data'!BU114</f>
        <v>0</v>
      </c>
      <c r="R114">
        <f>'Feeders Raw Data'!BL114-'Feeders Raw Data'!BV114</f>
        <v>0</v>
      </c>
      <c r="S114">
        <f>'Feeders Raw Data'!BM114-'Feeders Raw Data'!BW114</f>
        <v>0</v>
      </c>
      <c r="T114" t="str">
        <f>'Feeders Raw Data'!BQ114&amp;" - "&amp;'Feeders Raw Data'!CA114</f>
        <v xml:space="preserve"> - </v>
      </c>
      <c r="V114" s="1">
        <f>'Feeders Raw Data'!K114</f>
        <v>0</v>
      </c>
      <c r="W114">
        <f>'Feeders Raw Data'!L114-'Feeders Raw Data'!V114</f>
        <v>0</v>
      </c>
      <c r="X114">
        <f>'Feeders Raw Data'!M114-'Feeders Raw Data'!W114</f>
        <v>0</v>
      </c>
      <c r="Y114">
        <f>'Feeders Raw Data'!N114-'Feeders Raw Data'!X114</f>
        <v>0</v>
      </c>
      <c r="Z114">
        <f>'Feeders Raw Data'!O114-'Feeders Raw Data'!Y114</f>
        <v>0</v>
      </c>
      <c r="AA114" t="str">
        <f>'Feeders Raw Data'!S114&amp;" - "&amp;'Feeders Raw Data'!AC114</f>
        <v xml:space="preserve"> - </v>
      </c>
      <c r="AC114" s="1">
        <f>'Feeders Raw Data'!U114</f>
        <v>0</v>
      </c>
      <c r="AD114">
        <f>'Feeders Raw Data'!V114-'Feeders Raw Data'!AF114</f>
        <v>0</v>
      </c>
      <c r="AE114">
        <f>'Feeders Raw Data'!W114-'Feeders Raw Data'!AG114</f>
        <v>0</v>
      </c>
      <c r="AF114">
        <f>'Feeders Raw Data'!X114-'Feeders Raw Data'!AH114</f>
        <v>0</v>
      </c>
      <c r="AG114">
        <f>'Feeders Raw Data'!Y114-'Feeders Raw Data'!AI114</f>
        <v>0</v>
      </c>
      <c r="AH114" t="str">
        <f>'Feeders Raw Data'!AC114&amp;" - "&amp;'Feeders Raw Data'!AM114</f>
        <v xml:space="preserve"> - </v>
      </c>
      <c r="AJ114" s="1">
        <f>'Feeders Raw Data'!AO114</f>
        <v>0</v>
      </c>
      <c r="AK114">
        <f>'Feeders Raw Data'!AP114-'Feeders Raw Data'!AZ114</f>
        <v>0</v>
      </c>
      <c r="AL114">
        <f>'Feeders Raw Data'!AQ114-'Feeders Raw Data'!BA114</f>
        <v>0</v>
      </c>
      <c r="AM114">
        <f>'Feeders Raw Data'!AR114-'Feeders Raw Data'!BB114</f>
        <v>0</v>
      </c>
      <c r="AN114">
        <f>'Feeders Raw Data'!AS114-'Feeders Raw Data'!BC114</f>
        <v>0</v>
      </c>
      <c r="AO114" t="str">
        <f>'Feeders Raw Data'!AW114&amp;" - "&amp;'Feeders Raw Data'!BG114</f>
        <v xml:space="preserve"> - </v>
      </c>
      <c r="AQ114" s="1">
        <f>'Feeders Raw Data'!AY114</f>
        <v>0</v>
      </c>
      <c r="AR114">
        <f>'Feeders Raw Data'!AZ114-'Feeders Raw Data'!BJ114</f>
        <v>0</v>
      </c>
      <c r="AS114">
        <f>'Feeders Raw Data'!BA114-'Feeders Raw Data'!BK114</f>
        <v>0</v>
      </c>
      <c r="AT114">
        <f>'Feeders Raw Data'!BB114-'Feeders Raw Data'!BL114</f>
        <v>0</v>
      </c>
      <c r="AU114">
        <f>'Feeders Raw Data'!BC114-'Feeders Raw Data'!BM114</f>
        <v>0</v>
      </c>
      <c r="AV114" t="str">
        <f>'Feeders Raw Data'!BG114&amp;" - "&amp;'Feeders Raw Data'!BQ114</f>
        <v xml:space="preserve"> - </v>
      </c>
      <c r="AX114" s="1">
        <f>'Feeders Raw Data'!BS114</f>
        <v>0</v>
      </c>
      <c r="AY114">
        <f>'Feeders Raw Data'!BT114-'Feeders Raw Data'!B114</f>
        <v>0</v>
      </c>
      <c r="AZ114">
        <f>'Feeders Raw Data'!BU114-'Feeders Raw Data'!C114</f>
        <v>0</v>
      </c>
      <c r="BA114">
        <f>'Feeders Raw Data'!BV114-'Feeders Raw Data'!D114</f>
        <v>0</v>
      </c>
      <c r="BB114">
        <f>'Feeders Raw Data'!BW114-'Feeders Raw Data'!E114</f>
        <v>0</v>
      </c>
      <c r="BC114" t="str">
        <f>'Feeders Raw Data'!CA114&amp;" - "&amp;'Feeders Raw Data'!I114</f>
        <v xml:space="preserve"> - </v>
      </c>
    </row>
    <row r="115" spans="1:55" x14ac:dyDescent="0.25">
      <c r="A115" s="1">
        <f>'Feeders Raw Data'!A115</f>
        <v>0</v>
      </c>
      <c r="B115">
        <f>'Feeders Raw Data'!B115-'Feeders Raw Data'!L115</f>
        <v>0</v>
      </c>
      <c r="C115">
        <f>'Feeders Raw Data'!C115-'Feeders Raw Data'!M115</f>
        <v>0</v>
      </c>
      <c r="D115">
        <f>'Feeders Raw Data'!D115-'Feeders Raw Data'!N115</f>
        <v>0</v>
      </c>
      <c r="E115">
        <f>'Feeders Raw Data'!E115-'Feeders Raw Data'!O115</f>
        <v>0</v>
      </c>
      <c r="F115" t="str">
        <f>'Feeders Raw Data'!I115&amp;" - "&amp;'Feeders Raw Data'!S115</f>
        <v xml:space="preserve"> - </v>
      </c>
      <c r="H115" s="1">
        <f>'Feeders Raw Data'!AE115</f>
        <v>0</v>
      </c>
      <c r="I115">
        <f>'Feeders Raw Data'!AF115-'Feeders Raw Data'!AP115</f>
        <v>0</v>
      </c>
      <c r="J115">
        <f>'Feeders Raw Data'!AG115-'Feeders Raw Data'!AQ115</f>
        <v>0</v>
      </c>
      <c r="K115">
        <f>'Feeders Raw Data'!AH115-'Feeders Raw Data'!AR115</f>
        <v>0</v>
      </c>
      <c r="L115">
        <f>'Feeders Raw Data'!AI115-'Feeders Raw Data'!AS115</f>
        <v>0</v>
      </c>
      <c r="M115" t="str">
        <f>'Feeders Raw Data'!AM115&amp;" - "&amp;'Feeders Raw Data'!AW115</f>
        <v xml:space="preserve"> - </v>
      </c>
      <c r="O115" s="1">
        <f>'Feeders Raw Data'!BI115</f>
        <v>0</v>
      </c>
      <c r="P115">
        <f>'Feeders Raw Data'!BJ115-'Feeders Raw Data'!BT115</f>
        <v>0</v>
      </c>
      <c r="Q115">
        <f>'Feeders Raw Data'!BK115-'Feeders Raw Data'!BU115</f>
        <v>0</v>
      </c>
      <c r="R115">
        <f>'Feeders Raw Data'!BL115-'Feeders Raw Data'!BV115</f>
        <v>0</v>
      </c>
      <c r="S115">
        <f>'Feeders Raw Data'!BM115-'Feeders Raw Data'!BW115</f>
        <v>0</v>
      </c>
      <c r="T115" t="str">
        <f>'Feeders Raw Data'!BQ115&amp;" - "&amp;'Feeders Raw Data'!CA115</f>
        <v xml:space="preserve"> - </v>
      </c>
      <c r="V115" s="1">
        <f>'Feeders Raw Data'!K115</f>
        <v>0</v>
      </c>
      <c r="W115">
        <f>'Feeders Raw Data'!L115-'Feeders Raw Data'!V115</f>
        <v>0</v>
      </c>
      <c r="X115">
        <f>'Feeders Raw Data'!M115-'Feeders Raw Data'!W115</f>
        <v>0</v>
      </c>
      <c r="Y115">
        <f>'Feeders Raw Data'!N115-'Feeders Raw Data'!X115</f>
        <v>0</v>
      </c>
      <c r="Z115">
        <f>'Feeders Raw Data'!O115-'Feeders Raw Data'!Y115</f>
        <v>0</v>
      </c>
      <c r="AA115" t="str">
        <f>'Feeders Raw Data'!S115&amp;" - "&amp;'Feeders Raw Data'!AC115</f>
        <v xml:space="preserve"> - </v>
      </c>
      <c r="AC115" s="1">
        <f>'Feeders Raw Data'!U115</f>
        <v>0</v>
      </c>
      <c r="AD115">
        <f>'Feeders Raw Data'!V115-'Feeders Raw Data'!AF115</f>
        <v>0</v>
      </c>
      <c r="AE115">
        <f>'Feeders Raw Data'!W115-'Feeders Raw Data'!AG115</f>
        <v>0</v>
      </c>
      <c r="AF115">
        <f>'Feeders Raw Data'!X115-'Feeders Raw Data'!AH115</f>
        <v>0</v>
      </c>
      <c r="AG115">
        <f>'Feeders Raw Data'!Y115-'Feeders Raw Data'!AI115</f>
        <v>0</v>
      </c>
      <c r="AH115" t="str">
        <f>'Feeders Raw Data'!AC115&amp;" - "&amp;'Feeders Raw Data'!AM115</f>
        <v xml:space="preserve"> - </v>
      </c>
      <c r="AJ115" s="1">
        <f>'Feeders Raw Data'!AO115</f>
        <v>0</v>
      </c>
      <c r="AK115">
        <f>'Feeders Raw Data'!AP115-'Feeders Raw Data'!AZ115</f>
        <v>0</v>
      </c>
      <c r="AL115">
        <f>'Feeders Raw Data'!AQ115-'Feeders Raw Data'!BA115</f>
        <v>0</v>
      </c>
      <c r="AM115">
        <f>'Feeders Raw Data'!AR115-'Feeders Raw Data'!BB115</f>
        <v>0</v>
      </c>
      <c r="AN115">
        <f>'Feeders Raw Data'!AS115-'Feeders Raw Data'!BC115</f>
        <v>0</v>
      </c>
      <c r="AO115" t="str">
        <f>'Feeders Raw Data'!AW115&amp;" - "&amp;'Feeders Raw Data'!BG115</f>
        <v xml:space="preserve"> - </v>
      </c>
      <c r="AQ115" s="1">
        <f>'Feeders Raw Data'!AY115</f>
        <v>0</v>
      </c>
      <c r="AR115">
        <f>'Feeders Raw Data'!AZ115-'Feeders Raw Data'!BJ115</f>
        <v>0</v>
      </c>
      <c r="AS115">
        <f>'Feeders Raw Data'!BA115-'Feeders Raw Data'!BK115</f>
        <v>0</v>
      </c>
      <c r="AT115">
        <f>'Feeders Raw Data'!BB115-'Feeders Raw Data'!BL115</f>
        <v>0</v>
      </c>
      <c r="AU115">
        <f>'Feeders Raw Data'!BC115-'Feeders Raw Data'!BM115</f>
        <v>0</v>
      </c>
      <c r="AV115" t="str">
        <f>'Feeders Raw Data'!BG115&amp;" - "&amp;'Feeders Raw Data'!BQ115</f>
        <v xml:space="preserve"> - </v>
      </c>
      <c r="AX115" s="1">
        <f>'Feeders Raw Data'!BS115</f>
        <v>0</v>
      </c>
      <c r="AY115">
        <f>'Feeders Raw Data'!BT115-'Feeders Raw Data'!B115</f>
        <v>0</v>
      </c>
      <c r="AZ115">
        <f>'Feeders Raw Data'!BU115-'Feeders Raw Data'!C115</f>
        <v>0</v>
      </c>
      <c r="BA115">
        <f>'Feeders Raw Data'!BV115-'Feeders Raw Data'!D115</f>
        <v>0</v>
      </c>
      <c r="BB115">
        <f>'Feeders Raw Data'!BW115-'Feeders Raw Data'!E115</f>
        <v>0</v>
      </c>
      <c r="BC115" t="str">
        <f>'Feeders Raw Data'!CA115&amp;" - "&amp;'Feeders Raw Data'!I115</f>
        <v xml:space="preserve"> - </v>
      </c>
    </row>
    <row r="116" spans="1:55" x14ac:dyDescent="0.25">
      <c r="A116" s="1">
        <f>'Feeders Raw Data'!A116</f>
        <v>0</v>
      </c>
      <c r="B116">
        <f>'Feeders Raw Data'!B116-'Feeders Raw Data'!L116</f>
        <v>0</v>
      </c>
      <c r="C116">
        <f>'Feeders Raw Data'!C116-'Feeders Raw Data'!M116</f>
        <v>0</v>
      </c>
      <c r="D116">
        <f>'Feeders Raw Data'!D116-'Feeders Raw Data'!N116</f>
        <v>0</v>
      </c>
      <c r="E116">
        <f>'Feeders Raw Data'!E116-'Feeders Raw Data'!O116</f>
        <v>0</v>
      </c>
      <c r="F116" t="str">
        <f>'Feeders Raw Data'!I116&amp;" - "&amp;'Feeders Raw Data'!S116</f>
        <v xml:space="preserve"> - </v>
      </c>
      <c r="H116" s="1">
        <f>'Feeders Raw Data'!AE116</f>
        <v>0</v>
      </c>
      <c r="I116">
        <f>'Feeders Raw Data'!AF116-'Feeders Raw Data'!AP116</f>
        <v>0</v>
      </c>
      <c r="J116">
        <f>'Feeders Raw Data'!AG116-'Feeders Raw Data'!AQ116</f>
        <v>0</v>
      </c>
      <c r="K116">
        <f>'Feeders Raw Data'!AH116-'Feeders Raw Data'!AR116</f>
        <v>0</v>
      </c>
      <c r="L116">
        <f>'Feeders Raw Data'!AI116-'Feeders Raw Data'!AS116</f>
        <v>0</v>
      </c>
      <c r="M116" t="str">
        <f>'Feeders Raw Data'!AM116&amp;" - "&amp;'Feeders Raw Data'!AW116</f>
        <v xml:space="preserve"> - </v>
      </c>
      <c r="O116" s="1">
        <f>'Feeders Raw Data'!BI116</f>
        <v>0</v>
      </c>
      <c r="P116">
        <f>'Feeders Raw Data'!BJ116-'Feeders Raw Data'!BT116</f>
        <v>0</v>
      </c>
      <c r="Q116">
        <f>'Feeders Raw Data'!BK116-'Feeders Raw Data'!BU116</f>
        <v>0</v>
      </c>
      <c r="R116">
        <f>'Feeders Raw Data'!BL116-'Feeders Raw Data'!BV116</f>
        <v>0</v>
      </c>
      <c r="S116">
        <f>'Feeders Raw Data'!BM116-'Feeders Raw Data'!BW116</f>
        <v>0</v>
      </c>
      <c r="T116" t="str">
        <f>'Feeders Raw Data'!BQ116&amp;" - "&amp;'Feeders Raw Data'!CA116</f>
        <v xml:space="preserve"> - </v>
      </c>
      <c r="V116" s="1">
        <f>'Feeders Raw Data'!K116</f>
        <v>0</v>
      </c>
      <c r="W116">
        <f>'Feeders Raw Data'!L116-'Feeders Raw Data'!V116</f>
        <v>0</v>
      </c>
      <c r="X116">
        <f>'Feeders Raw Data'!M116-'Feeders Raw Data'!W116</f>
        <v>0</v>
      </c>
      <c r="Y116">
        <f>'Feeders Raw Data'!N116-'Feeders Raw Data'!X116</f>
        <v>0</v>
      </c>
      <c r="Z116">
        <f>'Feeders Raw Data'!O116-'Feeders Raw Data'!Y116</f>
        <v>0</v>
      </c>
      <c r="AA116" t="str">
        <f>'Feeders Raw Data'!S116&amp;" - "&amp;'Feeders Raw Data'!AC116</f>
        <v xml:space="preserve"> - </v>
      </c>
      <c r="AC116" s="1">
        <f>'Feeders Raw Data'!U116</f>
        <v>0</v>
      </c>
      <c r="AD116">
        <f>'Feeders Raw Data'!V116-'Feeders Raw Data'!AF116</f>
        <v>0</v>
      </c>
      <c r="AE116">
        <f>'Feeders Raw Data'!W116-'Feeders Raw Data'!AG116</f>
        <v>0</v>
      </c>
      <c r="AF116">
        <f>'Feeders Raw Data'!X116-'Feeders Raw Data'!AH116</f>
        <v>0</v>
      </c>
      <c r="AG116">
        <f>'Feeders Raw Data'!Y116-'Feeders Raw Data'!AI116</f>
        <v>0</v>
      </c>
      <c r="AH116" t="str">
        <f>'Feeders Raw Data'!AC116&amp;" - "&amp;'Feeders Raw Data'!AM116</f>
        <v xml:space="preserve"> - </v>
      </c>
      <c r="AJ116" s="1">
        <f>'Feeders Raw Data'!AO116</f>
        <v>0</v>
      </c>
      <c r="AK116">
        <f>'Feeders Raw Data'!AP116-'Feeders Raw Data'!AZ116</f>
        <v>0</v>
      </c>
      <c r="AL116">
        <f>'Feeders Raw Data'!AQ116-'Feeders Raw Data'!BA116</f>
        <v>0</v>
      </c>
      <c r="AM116">
        <f>'Feeders Raw Data'!AR116-'Feeders Raw Data'!BB116</f>
        <v>0</v>
      </c>
      <c r="AN116">
        <f>'Feeders Raw Data'!AS116-'Feeders Raw Data'!BC116</f>
        <v>0</v>
      </c>
      <c r="AO116" t="str">
        <f>'Feeders Raw Data'!AW116&amp;" - "&amp;'Feeders Raw Data'!BG116</f>
        <v xml:space="preserve"> - </v>
      </c>
      <c r="AQ116" s="1">
        <f>'Feeders Raw Data'!AY116</f>
        <v>0</v>
      </c>
      <c r="AR116">
        <f>'Feeders Raw Data'!AZ116-'Feeders Raw Data'!BJ116</f>
        <v>0</v>
      </c>
      <c r="AS116">
        <f>'Feeders Raw Data'!BA116-'Feeders Raw Data'!BK116</f>
        <v>0</v>
      </c>
      <c r="AT116">
        <f>'Feeders Raw Data'!BB116-'Feeders Raw Data'!BL116</f>
        <v>0</v>
      </c>
      <c r="AU116">
        <f>'Feeders Raw Data'!BC116-'Feeders Raw Data'!BM116</f>
        <v>0</v>
      </c>
      <c r="AV116" t="str">
        <f>'Feeders Raw Data'!BG116&amp;" - "&amp;'Feeders Raw Data'!BQ116</f>
        <v xml:space="preserve"> - </v>
      </c>
      <c r="AX116" s="1">
        <f>'Feeders Raw Data'!BS116</f>
        <v>0</v>
      </c>
      <c r="AY116">
        <f>'Feeders Raw Data'!BT116-'Feeders Raw Data'!B116</f>
        <v>0</v>
      </c>
      <c r="AZ116">
        <f>'Feeders Raw Data'!BU116-'Feeders Raw Data'!C116</f>
        <v>0</v>
      </c>
      <c r="BA116">
        <f>'Feeders Raw Data'!BV116-'Feeders Raw Data'!D116</f>
        <v>0</v>
      </c>
      <c r="BB116">
        <f>'Feeders Raw Data'!BW116-'Feeders Raw Data'!E116</f>
        <v>0</v>
      </c>
      <c r="BC116" t="str">
        <f>'Feeders Raw Data'!CA116&amp;" - "&amp;'Feeders Raw Data'!I116</f>
        <v xml:space="preserve"> - </v>
      </c>
    </row>
    <row r="117" spans="1:55" x14ac:dyDescent="0.25">
      <c r="A117" s="1">
        <f>'Feeders Raw Data'!A117</f>
        <v>0</v>
      </c>
      <c r="B117">
        <f>'Feeders Raw Data'!B117-'Feeders Raw Data'!L117</f>
        <v>0</v>
      </c>
      <c r="C117">
        <f>'Feeders Raw Data'!C117-'Feeders Raw Data'!M117</f>
        <v>0</v>
      </c>
      <c r="D117">
        <f>'Feeders Raw Data'!D117-'Feeders Raw Data'!N117</f>
        <v>0</v>
      </c>
      <c r="E117">
        <f>'Feeders Raw Data'!E117-'Feeders Raw Data'!O117</f>
        <v>0</v>
      </c>
      <c r="F117" t="str">
        <f>'Feeders Raw Data'!I117&amp;" - "&amp;'Feeders Raw Data'!S117</f>
        <v xml:space="preserve"> - </v>
      </c>
      <c r="H117" s="1">
        <f>'Feeders Raw Data'!AE117</f>
        <v>0</v>
      </c>
      <c r="I117">
        <f>'Feeders Raw Data'!AF117-'Feeders Raw Data'!AP117</f>
        <v>0</v>
      </c>
      <c r="J117">
        <f>'Feeders Raw Data'!AG117-'Feeders Raw Data'!AQ117</f>
        <v>0</v>
      </c>
      <c r="K117">
        <f>'Feeders Raw Data'!AH117-'Feeders Raw Data'!AR117</f>
        <v>0</v>
      </c>
      <c r="L117">
        <f>'Feeders Raw Data'!AI117-'Feeders Raw Data'!AS117</f>
        <v>0</v>
      </c>
      <c r="M117" t="str">
        <f>'Feeders Raw Data'!AM117&amp;" - "&amp;'Feeders Raw Data'!AW117</f>
        <v xml:space="preserve"> - </v>
      </c>
      <c r="O117" s="1">
        <f>'Feeders Raw Data'!BI117</f>
        <v>0</v>
      </c>
      <c r="P117">
        <f>'Feeders Raw Data'!BJ117-'Feeders Raw Data'!BT117</f>
        <v>0</v>
      </c>
      <c r="Q117">
        <f>'Feeders Raw Data'!BK117-'Feeders Raw Data'!BU117</f>
        <v>0</v>
      </c>
      <c r="R117">
        <f>'Feeders Raw Data'!BL117-'Feeders Raw Data'!BV117</f>
        <v>0</v>
      </c>
      <c r="S117">
        <f>'Feeders Raw Data'!BM117-'Feeders Raw Data'!BW117</f>
        <v>0</v>
      </c>
      <c r="T117" t="str">
        <f>'Feeders Raw Data'!BQ117&amp;" - "&amp;'Feeders Raw Data'!CA117</f>
        <v xml:space="preserve"> - </v>
      </c>
      <c r="V117" s="1">
        <f>'Feeders Raw Data'!K117</f>
        <v>0</v>
      </c>
      <c r="W117">
        <f>'Feeders Raw Data'!L117-'Feeders Raw Data'!V117</f>
        <v>0</v>
      </c>
      <c r="X117">
        <f>'Feeders Raw Data'!M117-'Feeders Raw Data'!W117</f>
        <v>0</v>
      </c>
      <c r="Y117">
        <f>'Feeders Raw Data'!N117-'Feeders Raw Data'!X117</f>
        <v>0</v>
      </c>
      <c r="Z117">
        <f>'Feeders Raw Data'!O117-'Feeders Raw Data'!Y117</f>
        <v>0</v>
      </c>
      <c r="AA117" t="str">
        <f>'Feeders Raw Data'!S117&amp;" - "&amp;'Feeders Raw Data'!AC117</f>
        <v xml:space="preserve"> - </v>
      </c>
      <c r="AC117" s="1">
        <f>'Feeders Raw Data'!U117</f>
        <v>0</v>
      </c>
      <c r="AD117">
        <f>'Feeders Raw Data'!V117-'Feeders Raw Data'!AF117</f>
        <v>0</v>
      </c>
      <c r="AE117">
        <f>'Feeders Raw Data'!W117-'Feeders Raw Data'!AG117</f>
        <v>0</v>
      </c>
      <c r="AF117">
        <f>'Feeders Raw Data'!X117-'Feeders Raw Data'!AH117</f>
        <v>0</v>
      </c>
      <c r="AG117">
        <f>'Feeders Raw Data'!Y117-'Feeders Raw Data'!AI117</f>
        <v>0</v>
      </c>
      <c r="AH117" t="str">
        <f>'Feeders Raw Data'!AC117&amp;" - "&amp;'Feeders Raw Data'!AM117</f>
        <v xml:space="preserve"> - </v>
      </c>
      <c r="AJ117" s="1">
        <f>'Feeders Raw Data'!AO117</f>
        <v>0</v>
      </c>
      <c r="AK117">
        <f>'Feeders Raw Data'!AP117-'Feeders Raw Data'!AZ117</f>
        <v>0</v>
      </c>
      <c r="AL117">
        <f>'Feeders Raw Data'!AQ117-'Feeders Raw Data'!BA117</f>
        <v>0</v>
      </c>
      <c r="AM117">
        <f>'Feeders Raw Data'!AR117-'Feeders Raw Data'!BB117</f>
        <v>0</v>
      </c>
      <c r="AN117">
        <f>'Feeders Raw Data'!AS117-'Feeders Raw Data'!BC117</f>
        <v>0</v>
      </c>
      <c r="AO117" t="str">
        <f>'Feeders Raw Data'!AW117&amp;" - "&amp;'Feeders Raw Data'!BG117</f>
        <v xml:space="preserve"> - </v>
      </c>
      <c r="AQ117" s="1">
        <f>'Feeders Raw Data'!AY117</f>
        <v>0</v>
      </c>
      <c r="AR117">
        <f>'Feeders Raw Data'!AZ117-'Feeders Raw Data'!BJ117</f>
        <v>0</v>
      </c>
      <c r="AS117">
        <f>'Feeders Raw Data'!BA117-'Feeders Raw Data'!BK117</f>
        <v>0</v>
      </c>
      <c r="AT117">
        <f>'Feeders Raw Data'!BB117-'Feeders Raw Data'!BL117</f>
        <v>0</v>
      </c>
      <c r="AU117">
        <f>'Feeders Raw Data'!BC117-'Feeders Raw Data'!BM117</f>
        <v>0</v>
      </c>
      <c r="AV117" t="str">
        <f>'Feeders Raw Data'!BG117&amp;" - "&amp;'Feeders Raw Data'!BQ117</f>
        <v xml:space="preserve"> - </v>
      </c>
      <c r="AX117" s="1">
        <f>'Feeders Raw Data'!BS117</f>
        <v>0</v>
      </c>
      <c r="AY117">
        <f>'Feeders Raw Data'!BT117-'Feeders Raw Data'!B117</f>
        <v>0</v>
      </c>
      <c r="AZ117">
        <f>'Feeders Raw Data'!BU117-'Feeders Raw Data'!C117</f>
        <v>0</v>
      </c>
      <c r="BA117">
        <f>'Feeders Raw Data'!BV117-'Feeders Raw Data'!D117</f>
        <v>0</v>
      </c>
      <c r="BB117">
        <f>'Feeders Raw Data'!BW117-'Feeders Raw Data'!E117</f>
        <v>0</v>
      </c>
      <c r="BC117" t="str">
        <f>'Feeders Raw Data'!CA117&amp;" - "&amp;'Feeders Raw Data'!I117</f>
        <v xml:space="preserve"> - </v>
      </c>
    </row>
    <row r="118" spans="1:55" x14ac:dyDescent="0.25">
      <c r="A118" s="1">
        <f>'Feeders Raw Data'!A118</f>
        <v>0</v>
      </c>
      <c r="B118">
        <f>'Feeders Raw Data'!B118-'Feeders Raw Data'!L118</f>
        <v>0</v>
      </c>
      <c r="C118">
        <f>'Feeders Raw Data'!C118-'Feeders Raw Data'!M118</f>
        <v>0</v>
      </c>
      <c r="D118">
        <f>'Feeders Raw Data'!D118-'Feeders Raw Data'!N118</f>
        <v>0</v>
      </c>
      <c r="E118">
        <f>'Feeders Raw Data'!E118-'Feeders Raw Data'!O118</f>
        <v>0</v>
      </c>
      <c r="F118" t="str">
        <f>'Feeders Raw Data'!I118&amp;" - "&amp;'Feeders Raw Data'!S118</f>
        <v xml:space="preserve"> - </v>
      </c>
      <c r="H118" s="1">
        <f>'Feeders Raw Data'!AE118</f>
        <v>0</v>
      </c>
      <c r="I118">
        <f>'Feeders Raw Data'!AF118-'Feeders Raw Data'!AP118</f>
        <v>0</v>
      </c>
      <c r="J118">
        <f>'Feeders Raw Data'!AG118-'Feeders Raw Data'!AQ118</f>
        <v>0</v>
      </c>
      <c r="K118">
        <f>'Feeders Raw Data'!AH118-'Feeders Raw Data'!AR118</f>
        <v>0</v>
      </c>
      <c r="L118">
        <f>'Feeders Raw Data'!AI118-'Feeders Raw Data'!AS118</f>
        <v>0</v>
      </c>
      <c r="M118" t="str">
        <f>'Feeders Raw Data'!AM118&amp;" - "&amp;'Feeders Raw Data'!AW118</f>
        <v xml:space="preserve"> - </v>
      </c>
      <c r="O118" s="1">
        <f>'Feeders Raw Data'!BI118</f>
        <v>0</v>
      </c>
      <c r="P118">
        <f>'Feeders Raw Data'!BJ118-'Feeders Raw Data'!BT118</f>
        <v>0</v>
      </c>
      <c r="Q118">
        <f>'Feeders Raw Data'!BK118-'Feeders Raw Data'!BU118</f>
        <v>0</v>
      </c>
      <c r="R118">
        <f>'Feeders Raw Data'!BL118-'Feeders Raw Data'!BV118</f>
        <v>0</v>
      </c>
      <c r="S118">
        <f>'Feeders Raw Data'!BM118-'Feeders Raw Data'!BW118</f>
        <v>0</v>
      </c>
      <c r="T118" t="str">
        <f>'Feeders Raw Data'!BQ118&amp;" - "&amp;'Feeders Raw Data'!CA118</f>
        <v xml:space="preserve"> - </v>
      </c>
      <c r="V118" s="1">
        <f>'Feeders Raw Data'!K118</f>
        <v>0</v>
      </c>
      <c r="W118">
        <f>'Feeders Raw Data'!L118-'Feeders Raw Data'!V118</f>
        <v>0</v>
      </c>
      <c r="X118">
        <f>'Feeders Raw Data'!M118-'Feeders Raw Data'!W118</f>
        <v>0</v>
      </c>
      <c r="Y118">
        <f>'Feeders Raw Data'!N118-'Feeders Raw Data'!X118</f>
        <v>0</v>
      </c>
      <c r="Z118">
        <f>'Feeders Raw Data'!O118-'Feeders Raw Data'!Y118</f>
        <v>0</v>
      </c>
      <c r="AA118" t="str">
        <f>'Feeders Raw Data'!S118&amp;" - "&amp;'Feeders Raw Data'!AC118</f>
        <v xml:space="preserve"> - </v>
      </c>
      <c r="AC118" s="1">
        <f>'Feeders Raw Data'!U118</f>
        <v>0</v>
      </c>
      <c r="AD118">
        <f>'Feeders Raw Data'!V118-'Feeders Raw Data'!AF118</f>
        <v>0</v>
      </c>
      <c r="AE118">
        <f>'Feeders Raw Data'!W118-'Feeders Raw Data'!AG118</f>
        <v>0</v>
      </c>
      <c r="AF118">
        <f>'Feeders Raw Data'!X118-'Feeders Raw Data'!AH118</f>
        <v>0</v>
      </c>
      <c r="AG118">
        <f>'Feeders Raw Data'!Y118-'Feeders Raw Data'!AI118</f>
        <v>0</v>
      </c>
      <c r="AH118" t="str">
        <f>'Feeders Raw Data'!AC118&amp;" - "&amp;'Feeders Raw Data'!AM118</f>
        <v xml:space="preserve"> - </v>
      </c>
      <c r="AJ118" s="1">
        <f>'Feeders Raw Data'!AO118</f>
        <v>0</v>
      </c>
      <c r="AK118">
        <f>'Feeders Raw Data'!AP118-'Feeders Raw Data'!AZ118</f>
        <v>0</v>
      </c>
      <c r="AL118">
        <f>'Feeders Raw Data'!AQ118-'Feeders Raw Data'!BA118</f>
        <v>0</v>
      </c>
      <c r="AM118">
        <f>'Feeders Raw Data'!AR118-'Feeders Raw Data'!BB118</f>
        <v>0</v>
      </c>
      <c r="AN118">
        <f>'Feeders Raw Data'!AS118-'Feeders Raw Data'!BC118</f>
        <v>0</v>
      </c>
      <c r="AO118" t="str">
        <f>'Feeders Raw Data'!AW118&amp;" - "&amp;'Feeders Raw Data'!BG118</f>
        <v xml:space="preserve"> - </v>
      </c>
      <c r="AQ118" s="1">
        <f>'Feeders Raw Data'!AY118</f>
        <v>0</v>
      </c>
      <c r="AR118">
        <f>'Feeders Raw Data'!AZ118-'Feeders Raw Data'!BJ118</f>
        <v>0</v>
      </c>
      <c r="AS118">
        <f>'Feeders Raw Data'!BA118-'Feeders Raw Data'!BK118</f>
        <v>0</v>
      </c>
      <c r="AT118">
        <f>'Feeders Raw Data'!BB118-'Feeders Raw Data'!BL118</f>
        <v>0</v>
      </c>
      <c r="AU118">
        <f>'Feeders Raw Data'!BC118-'Feeders Raw Data'!BM118</f>
        <v>0</v>
      </c>
      <c r="AV118" t="str">
        <f>'Feeders Raw Data'!BG118&amp;" - "&amp;'Feeders Raw Data'!BQ118</f>
        <v xml:space="preserve"> - </v>
      </c>
      <c r="AX118" s="1">
        <f>'Feeders Raw Data'!BS118</f>
        <v>0</v>
      </c>
      <c r="AY118">
        <f>'Feeders Raw Data'!BT118-'Feeders Raw Data'!B118</f>
        <v>0</v>
      </c>
      <c r="AZ118">
        <f>'Feeders Raw Data'!BU118-'Feeders Raw Data'!C118</f>
        <v>0</v>
      </c>
      <c r="BA118">
        <f>'Feeders Raw Data'!BV118-'Feeders Raw Data'!D118</f>
        <v>0</v>
      </c>
      <c r="BB118">
        <f>'Feeders Raw Data'!BW118-'Feeders Raw Data'!E118</f>
        <v>0</v>
      </c>
      <c r="BC118" t="str">
        <f>'Feeders Raw Data'!CA118&amp;" - "&amp;'Feeders Raw Data'!I118</f>
        <v xml:space="preserve"> - </v>
      </c>
    </row>
    <row r="119" spans="1:55" x14ac:dyDescent="0.25">
      <c r="A119" s="1">
        <f>'Feeders Raw Data'!A119</f>
        <v>0</v>
      </c>
      <c r="B119">
        <f>'Feeders Raw Data'!B119-'Feeders Raw Data'!L119</f>
        <v>0</v>
      </c>
      <c r="C119">
        <f>'Feeders Raw Data'!C119-'Feeders Raw Data'!M119</f>
        <v>0</v>
      </c>
      <c r="D119">
        <f>'Feeders Raw Data'!D119-'Feeders Raw Data'!N119</f>
        <v>0</v>
      </c>
      <c r="E119">
        <f>'Feeders Raw Data'!E119-'Feeders Raw Data'!O119</f>
        <v>0</v>
      </c>
      <c r="F119" t="str">
        <f>'Feeders Raw Data'!I119&amp;" - "&amp;'Feeders Raw Data'!S119</f>
        <v xml:space="preserve"> - </v>
      </c>
      <c r="H119" s="1">
        <f>'Feeders Raw Data'!AE119</f>
        <v>0</v>
      </c>
      <c r="I119">
        <f>'Feeders Raw Data'!AF119-'Feeders Raw Data'!AP119</f>
        <v>0</v>
      </c>
      <c r="J119">
        <f>'Feeders Raw Data'!AG119-'Feeders Raw Data'!AQ119</f>
        <v>0</v>
      </c>
      <c r="K119">
        <f>'Feeders Raw Data'!AH119-'Feeders Raw Data'!AR119</f>
        <v>0</v>
      </c>
      <c r="L119">
        <f>'Feeders Raw Data'!AI119-'Feeders Raw Data'!AS119</f>
        <v>0</v>
      </c>
      <c r="M119" t="str">
        <f>'Feeders Raw Data'!AM119&amp;" - "&amp;'Feeders Raw Data'!AW119</f>
        <v xml:space="preserve"> - </v>
      </c>
      <c r="O119" s="1">
        <f>'Feeders Raw Data'!BI119</f>
        <v>0</v>
      </c>
      <c r="P119">
        <f>'Feeders Raw Data'!BJ119-'Feeders Raw Data'!BT119</f>
        <v>0</v>
      </c>
      <c r="Q119">
        <f>'Feeders Raw Data'!BK119-'Feeders Raw Data'!BU119</f>
        <v>0</v>
      </c>
      <c r="R119">
        <f>'Feeders Raw Data'!BL119-'Feeders Raw Data'!BV119</f>
        <v>0</v>
      </c>
      <c r="S119">
        <f>'Feeders Raw Data'!BM119-'Feeders Raw Data'!BW119</f>
        <v>0</v>
      </c>
      <c r="T119" t="str">
        <f>'Feeders Raw Data'!BQ119&amp;" - "&amp;'Feeders Raw Data'!CA119</f>
        <v xml:space="preserve"> - </v>
      </c>
      <c r="V119" s="1">
        <f>'Feeders Raw Data'!K119</f>
        <v>0</v>
      </c>
      <c r="W119">
        <f>'Feeders Raw Data'!L119-'Feeders Raw Data'!V119</f>
        <v>0</v>
      </c>
      <c r="X119">
        <f>'Feeders Raw Data'!M119-'Feeders Raw Data'!W119</f>
        <v>0</v>
      </c>
      <c r="Y119">
        <f>'Feeders Raw Data'!N119-'Feeders Raw Data'!X119</f>
        <v>0</v>
      </c>
      <c r="Z119">
        <f>'Feeders Raw Data'!O119-'Feeders Raw Data'!Y119</f>
        <v>0</v>
      </c>
      <c r="AA119" t="str">
        <f>'Feeders Raw Data'!S119&amp;" - "&amp;'Feeders Raw Data'!AC119</f>
        <v xml:space="preserve"> - </v>
      </c>
      <c r="AC119" s="1">
        <f>'Feeders Raw Data'!U119</f>
        <v>0</v>
      </c>
      <c r="AD119">
        <f>'Feeders Raw Data'!V119-'Feeders Raw Data'!AF119</f>
        <v>0</v>
      </c>
      <c r="AE119">
        <f>'Feeders Raw Data'!W119-'Feeders Raw Data'!AG119</f>
        <v>0</v>
      </c>
      <c r="AF119">
        <f>'Feeders Raw Data'!X119-'Feeders Raw Data'!AH119</f>
        <v>0</v>
      </c>
      <c r="AG119">
        <f>'Feeders Raw Data'!Y119-'Feeders Raw Data'!AI119</f>
        <v>0</v>
      </c>
      <c r="AH119" t="str">
        <f>'Feeders Raw Data'!AC119&amp;" - "&amp;'Feeders Raw Data'!AM119</f>
        <v xml:space="preserve"> - </v>
      </c>
      <c r="AJ119" s="1">
        <f>'Feeders Raw Data'!AO119</f>
        <v>0</v>
      </c>
      <c r="AK119">
        <f>'Feeders Raw Data'!AP119-'Feeders Raw Data'!AZ119</f>
        <v>0</v>
      </c>
      <c r="AL119">
        <f>'Feeders Raw Data'!AQ119-'Feeders Raw Data'!BA119</f>
        <v>0</v>
      </c>
      <c r="AM119">
        <f>'Feeders Raw Data'!AR119-'Feeders Raw Data'!BB119</f>
        <v>0</v>
      </c>
      <c r="AN119">
        <f>'Feeders Raw Data'!AS119-'Feeders Raw Data'!BC119</f>
        <v>0</v>
      </c>
      <c r="AO119" t="str">
        <f>'Feeders Raw Data'!AW119&amp;" - "&amp;'Feeders Raw Data'!BG119</f>
        <v xml:space="preserve"> - </v>
      </c>
      <c r="AQ119" s="1">
        <f>'Feeders Raw Data'!AY119</f>
        <v>0</v>
      </c>
      <c r="AR119">
        <f>'Feeders Raw Data'!AZ119-'Feeders Raw Data'!BJ119</f>
        <v>0</v>
      </c>
      <c r="AS119">
        <f>'Feeders Raw Data'!BA119-'Feeders Raw Data'!BK119</f>
        <v>0</v>
      </c>
      <c r="AT119">
        <f>'Feeders Raw Data'!BB119-'Feeders Raw Data'!BL119</f>
        <v>0</v>
      </c>
      <c r="AU119">
        <f>'Feeders Raw Data'!BC119-'Feeders Raw Data'!BM119</f>
        <v>0</v>
      </c>
      <c r="AV119" t="str">
        <f>'Feeders Raw Data'!BG119&amp;" - "&amp;'Feeders Raw Data'!BQ119</f>
        <v xml:space="preserve"> - </v>
      </c>
      <c r="AX119" s="1">
        <f>'Feeders Raw Data'!BS119</f>
        <v>0</v>
      </c>
      <c r="AY119">
        <f>'Feeders Raw Data'!BT119-'Feeders Raw Data'!B119</f>
        <v>0</v>
      </c>
      <c r="AZ119">
        <f>'Feeders Raw Data'!BU119-'Feeders Raw Data'!C119</f>
        <v>0</v>
      </c>
      <c r="BA119">
        <f>'Feeders Raw Data'!BV119-'Feeders Raw Data'!D119</f>
        <v>0</v>
      </c>
      <c r="BB119">
        <f>'Feeders Raw Data'!BW119-'Feeders Raw Data'!E119</f>
        <v>0</v>
      </c>
      <c r="BC119" t="str">
        <f>'Feeders Raw Data'!CA119&amp;" - "&amp;'Feeders Raw Data'!I119</f>
        <v xml:space="preserve"> - </v>
      </c>
    </row>
    <row r="120" spans="1:55" x14ac:dyDescent="0.25">
      <c r="A120" s="1">
        <f>'Feeders Raw Data'!A120</f>
        <v>0</v>
      </c>
      <c r="B120">
        <f>'Feeders Raw Data'!B120-'Feeders Raw Data'!L120</f>
        <v>0</v>
      </c>
      <c r="C120">
        <f>'Feeders Raw Data'!C120-'Feeders Raw Data'!M120</f>
        <v>0</v>
      </c>
      <c r="D120">
        <f>'Feeders Raw Data'!D120-'Feeders Raw Data'!N120</f>
        <v>0</v>
      </c>
      <c r="E120">
        <f>'Feeders Raw Data'!E120-'Feeders Raw Data'!O120</f>
        <v>0</v>
      </c>
      <c r="F120" t="str">
        <f>'Feeders Raw Data'!I120&amp;" - "&amp;'Feeders Raw Data'!S120</f>
        <v xml:space="preserve"> - </v>
      </c>
      <c r="H120" s="1">
        <f>'Feeders Raw Data'!AE120</f>
        <v>0</v>
      </c>
      <c r="I120">
        <f>'Feeders Raw Data'!AF120-'Feeders Raw Data'!AP120</f>
        <v>0</v>
      </c>
      <c r="J120">
        <f>'Feeders Raw Data'!AG120-'Feeders Raw Data'!AQ120</f>
        <v>0</v>
      </c>
      <c r="K120">
        <f>'Feeders Raw Data'!AH120-'Feeders Raw Data'!AR120</f>
        <v>0</v>
      </c>
      <c r="L120">
        <f>'Feeders Raw Data'!AI120-'Feeders Raw Data'!AS120</f>
        <v>0</v>
      </c>
      <c r="M120" t="str">
        <f>'Feeders Raw Data'!AM120&amp;" - "&amp;'Feeders Raw Data'!AW120</f>
        <v xml:space="preserve"> - </v>
      </c>
      <c r="O120" s="1">
        <f>'Feeders Raw Data'!BI120</f>
        <v>0</v>
      </c>
      <c r="P120">
        <f>'Feeders Raw Data'!BJ120-'Feeders Raw Data'!BT120</f>
        <v>0</v>
      </c>
      <c r="Q120">
        <f>'Feeders Raw Data'!BK120-'Feeders Raw Data'!BU120</f>
        <v>0</v>
      </c>
      <c r="R120">
        <f>'Feeders Raw Data'!BL120-'Feeders Raw Data'!BV120</f>
        <v>0</v>
      </c>
      <c r="S120">
        <f>'Feeders Raw Data'!BM120-'Feeders Raw Data'!BW120</f>
        <v>0</v>
      </c>
      <c r="T120" t="str">
        <f>'Feeders Raw Data'!BQ120&amp;" - "&amp;'Feeders Raw Data'!CA120</f>
        <v xml:space="preserve"> - </v>
      </c>
      <c r="V120" s="1">
        <f>'Feeders Raw Data'!K120</f>
        <v>0</v>
      </c>
      <c r="W120">
        <f>'Feeders Raw Data'!L120-'Feeders Raw Data'!V120</f>
        <v>0</v>
      </c>
      <c r="X120">
        <f>'Feeders Raw Data'!M120-'Feeders Raw Data'!W120</f>
        <v>0</v>
      </c>
      <c r="Y120">
        <f>'Feeders Raw Data'!N120-'Feeders Raw Data'!X120</f>
        <v>0</v>
      </c>
      <c r="Z120">
        <f>'Feeders Raw Data'!O120-'Feeders Raw Data'!Y120</f>
        <v>0</v>
      </c>
      <c r="AA120" t="str">
        <f>'Feeders Raw Data'!S120&amp;" - "&amp;'Feeders Raw Data'!AC120</f>
        <v xml:space="preserve"> - </v>
      </c>
      <c r="AC120" s="1">
        <f>'Feeders Raw Data'!U120</f>
        <v>0</v>
      </c>
      <c r="AD120">
        <f>'Feeders Raw Data'!V120-'Feeders Raw Data'!AF120</f>
        <v>0</v>
      </c>
      <c r="AE120">
        <f>'Feeders Raw Data'!W120-'Feeders Raw Data'!AG120</f>
        <v>0</v>
      </c>
      <c r="AF120">
        <f>'Feeders Raw Data'!X120-'Feeders Raw Data'!AH120</f>
        <v>0</v>
      </c>
      <c r="AG120">
        <f>'Feeders Raw Data'!Y120-'Feeders Raw Data'!AI120</f>
        <v>0</v>
      </c>
      <c r="AH120" t="str">
        <f>'Feeders Raw Data'!AC120&amp;" - "&amp;'Feeders Raw Data'!AM120</f>
        <v xml:space="preserve"> - </v>
      </c>
      <c r="AJ120" s="1">
        <f>'Feeders Raw Data'!AO120</f>
        <v>0</v>
      </c>
      <c r="AK120">
        <f>'Feeders Raw Data'!AP120-'Feeders Raw Data'!AZ120</f>
        <v>0</v>
      </c>
      <c r="AL120">
        <f>'Feeders Raw Data'!AQ120-'Feeders Raw Data'!BA120</f>
        <v>0</v>
      </c>
      <c r="AM120">
        <f>'Feeders Raw Data'!AR120-'Feeders Raw Data'!BB120</f>
        <v>0</v>
      </c>
      <c r="AN120">
        <f>'Feeders Raw Data'!AS120-'Feeders Raw Data'!BC120</f>
        <v>0</v>
      </c>
      <c r="AO120" t="str">
        <f>'Feeders Raw Data'!AW120&amp;" - "&amp;'Feeders Raw Data'!BG120</f>
        <v xml:space="preserve"> - </v>
      </c>
      <c r="AQ120" s="1">
        <f>'Feeders Raw Data'!AY120</f>
        <v>0</v>
      </c>
      <c r="AR120">
        <f>'Feeders Raw Data'!AZ120-'Feeders Raw Data'!BJ120</f>
        <v>0</v>
      </c>
      <c r="AS120">
        <f>'Feeders Raw Data'!BA120-'Feeders Raw Data'!BK120</f>
        <v>0</v>
      </c>
      <c r="AT120">
        <f>'Feeders Raw Data'!BB120-'Feeders Raw Data'!BL120</f>
        <v>0</v>
      </c>
      <c r="AU120">
        <f>'Feeders Raw Data'!BC120-'Feeders Raw Data'!BM120</f>
        <v>0</v>
      </c>
      <c r="AV120" t="str">
        <f>'Feeders Raw Data'!BG120&amp;" - "&amp;'Feeders Raw Data'!BQ120</f>
        <v xml:space="preserve"> - </v>
      </c>
      <c r="AX120" s="1">
        <f>'Feeders Raw Data'!BS120</f>
        <v>0</v>
      </c>
      <c r="AY120">
        <f>'Feeders Raw Data'!BT120-'Feeders Raw Data'!B120</f>
        <v>0</v>
      </c>
      <c r="AZ120">
        <f>'Feeders Raw Data'!BU120-'Feeders Raw Data'!C120</f>
        <v>0</v>
      </c>
      <c r="BA120">
        <f>'Feeders Raw Data'!BV120-'Feeders Raw Data'!D120</f>
        <v>0</v>
      </c>
      <c r="BB120">
        <f>'Feeders Raw Data'!BW120-'Feeders Raw Data'!E120</f>
        <v>0</v>
      </c>
      <c r="BC120" t="str">
        <f>'Feeders Raw Data'!CA120&amp;" - "&amp;'Feeders Raw Data'!I120</f>
        <v xml:space="preserve"> - </v>
      </c>
    </row>
    <row r="121" spans="1:55" x14ac:dyDescent="0.25">
      <c r="A121" s="1"/>
      <c r="H121" s="1"/>
      <c r="O121" s="1"/>
      <c r="V121" s="1"/>
      <c r="AC121" s="1"/>
      <c r="AJ121" s="1"/>
      <c r="AQ121" s="1"/>
      <c r="AX121" s="1"/>
    </row>
    <row r="122" spans="1:55" x14ac:dyDescent="0.25">
      <c r="A122" s="1"/>
      <c r="H122" s="1"/>
      <c r="O122" s="1"/>
      <c r="V122" s="1"/>
      <c r="AC122" s="1"/>
      <c r="AJ122" s="1"/>
      <c r="AQ122" s="1"/>
      <c r="AX122" s="1"/>
    </row>
    <row r="123" spans="1:55" x14ac:dyDescent="0.25">
      <c r="A123" s="1"/>
      <c r="H123" s="1"/>
      <c r="O123" s="1"/>
      <c r="V123" s="1"/>
      <c r="AC123" s="1"/>
      <c r="AJ123" s="1"/>
      <c r="AQ123" s="1"/>
      <c r="AX123" s="1"/>
    </row>
    <row r="124" spans="1:55" x14ac:dyDescent="0.25">
      <c r="A124" s="1"/>
      <c r="H124" s="1"/>
      <c r="O124" s="1"/>
      <c r="V124" s="1"/>
      <c r="AC124" s="1"/>
      <c r="AJ124" s="1"/>
      <c r="AQ124" s="1"/>
      <c r="AX124" s="1"/>
    </row>
    <row r="125" spans="1:55" x14ac:dyDescent="0.25">
      <c r="A125" s="1"/>
      <c r="H125" s="1"/>
      <c r="O125" s="1"/>
      <c r="V125" s="1"/>
      <c r="AC125" s="1"/>
      <c r="AJ125" s="1"/>
      <c r="AQ125" s="1"/>
      <c r="AX125" s="1"/>
    </row>
    <row r="126" spans="1:55" x14ac:dyDescent="0.25">
      <c r="A126" s="1"/>
      <c r="H126" s="1"/>
      <c r="O126" s="1"/>
      <c r="V126" s="1"/>
      <c r="AC126" s="1"/>
      <c r="AJ126" s="1"/>
      <c r="AQ126" s="1"/>
      <c r="AX126" s="1"/>
    </row>
    <row r="127" spans="1:55" x14ac:dyDescent="0.25">
      <c r="A127" s="1"/>
      <c r="H127" s="1"/>
      <c r="O127" s="1"/>
      <c r="V127" s="1"/>
      <c r="AC127" s="1"/>
      <c r="AJ127" s="1"/>
      <c r="AQ127" s="1"/>
      <c r="AX127" s="1"/>
    </row>
    <row r="128" spans="1:55" x14ac:dyDescent="0.25">
      <c r="A128" s="1"/>
      <c r="H128" s="1"/>
      <c r="O128" s="1"/>
      <c r="V128" s="1"/>
      <c r="AC128" s="1"/>
      <c r="AJ128" s="1"/>
      <c r="AQ128" s="1"/>
      <c r="AX128" s="1"/>
    </row>
    <row r="129" spans="1:50" x14ac:dyDescent="0.25">
      <c r="A129" s="1"/>
      <c r="H129" s="1"/>
      <c r="O129" s="1"/>
      <c r="V129" s="1"/>
      <c r="AC129" s="1"/>
      <c r="AJ129" s="1"/>
      <c r="AQ129" s="1"/>
      <c r="AX129" s="1"/>
    </row>
    <row r="130" spans="1:50" x14ac:dyDescent="0.25">
      <c r="A130" s="1"/>
      <c r="H130" s="1"/>
      <c r="O130" s="1"/>
      <c r="V130" s="1"/>
      <c r="AC130" s="1"/>
      <c r="AJ130" s="1"/>
      <c r="AQ130" s="1"/>
      <c r="AX130" s="1"/>
    </row>
    <row r="131" spans="1:50" x14ac:dyDescent="0.25">
      <c r="A131" s="1"/>
      <c r="H131" s="1"/>
      <c r="O131" s="1"/>
      <c r="V131" s="1"/>
      <c r="AC131" s="1"/>
      <c r="AJ131" s="1"/>
      <c r="AQ131" s="1"/>
      <c r="AX131" s="1"/>
    </row>
    <row r="132" spans="1:50" x14ac:dyDescent="0.25">
      <c r="A132" s="1"/>
      <c r="H132" s="1"/>
      <c r="O132" s="1"/>
      <c r="V132" s="1"/>
      <c r="AC132" s="1"/>
      <c r="AJ132" s="1"/>
      <c r="AQ132" s="1"/>
      <c r="AX132" s="1"/>
    </row>
    <row r="133" spans="1:50" x14ac:dyDescent="0.25">
      <c r="A133" s="1"/>
      <c r="H133" s="1"/>
      <c r="O133" s="1"/>
      <c r="V133" s="1"/>
      <c r="AC133" s="1"/>
      <c r="AJ133" s="1"/>
      <c r="AQ133" s="1"/>
      <c r="AX133" s="1"/>
    </row>
    <row r="134" spans="1:50" x14ac:dyDescent="0.25">
      <c r="A134" s="1"/>
      <c r="H134" s="1"/>
      <c r="O134" s="1"/>
      <c r="V134" s="1"/>
      <c r="AC134" s="1"/>
      <c r="AJ134" s="1"/>
      <c r="AQ134" s="1"/>
      <c r="AX134" s="1"/>
    </row>
    <row r="135" spans="1:50" x14ac:dyDescent="0.25">
      <c r="A135" s="1"/>
      <c r="H135" s="1"/>
      <c r="O135" s="1"/>
      <c r="V135" s="1"/>
      <c r="AC135" s="1"/>
      <c r="AJ135" s="1"/>
      <c r="AQ135" s="1"/>
      <c r="AX135" s="1"/>
    </row>
    <row r="136" spans="1:50" x14ac:dyDescent="0.25">
      <c r="A136" s="1"/>
      <c r="H136" s="1"/>
      <c r="O136" s="1"/>
      <c r="V136" s="1"/>
      <c r="AC136" s="1"/>
      <c r="AJ136" s="1"/>
      <c r="AQ136" s="1"/>
      <c r="AX136" s="1"/>
    </row>
    <row r="137" spans="1:50" x14ac:dyDescent="0.25">
      <c r="A137" s="1"/>
      <c r="H137" s="1"/>
      <c r="O137" s="1"/>
      <c r="V137" s="1"/>
      <c r="AC137" s="1"/>
      <c r="AJ137" s="1"/>
      <c r="AQ137" s="1"/>
      <c r="AX137" s="1"/>
    </row>
    <row r="138" spans="1:50" x14ac:dyDescent="0.25">
      <c r="A138" s="1"/>
      <c r="H138" s="1"/>
      <c r="O138" s="1"/>
      <c r="V138" s="1"/>
      <c r="AC138" s="1"/>
      <c r="AJ138" s="1"/>
      <c r="AQ138" s="1"/>
      <c r="AX138" s="1"/>
    </row>
    <row r="139" spans="1:50" x14ac:dyDescent="0.25">
      <c r="A139" s="1"/>
      <c r="H139" s="1"/>
      <c r="O139" s="1"/>
      <c r="V139" s="1"/>
      <c r="AC139" s="1"/>
      <c r="AJ139" s="1"/>
      <c r="AQ139" s="1"/>
      <c r="AX139" s="1"/>
    </row>
    <row r="140" spans="1:50" x14ac:dyDescent="0.25">
      <c r="A140" s="1"/>
      <c r="H140" s="1"/>
      <c r="O140" s="1"/>
      <c r="V140" s="1"/>
      <c r="AC140" s="1"/>
      <c r="AJ140" s="1"/>
      <c r="AQ140" s="1"/>
      <c r="AX140" s="1"/>
    </row>
    <row r="141" spans="1:50" x14ac:dyDescent="0.25">
      <c r="A141" s="1"/>
      <c r="H141" s="1"/>
      <c r="O141" s="1"/>
      <c r="V141" s="1"/>
      <c r="AC141" s="1"/>
      <c r="AJ141" s="1"/>
      <c r="AQ141" s="1"/>
      <c r="AX141" s="1"/>
    </row>
    <row r="142" spans="1:50" x14ac:dyDescent="0.25">
      <c r="A142" s="1"/>
      <c r="H142" s="1"/>
      <c r="O142" s="1"/>
      <c r="V142" s="1"/>
      <c r="AC142" s="1"/>
      <c r="AJ142" s="1"/>
      <c r="AQ142" s="1"/>
      <c r="AX142" s="1"/>
    </row>
    <row r="143" spans="1:50" x14ac:dyDescent="0.25">
      <c r="A143" s="1"/>
      <c r="H143" s="1"/>
      <c r="O143" s="1"/>
      <c r="V143" s="1"/>
      <c r="AC143" s="1"/>
      <c r="AJ143" s="1"/>
      <c r="AQ143" s="1"/>
      <c r="AX143" s="1"/>
    </row>
    <row r="144" spans="1:50" x14ac:dyDescent="0.25">
      <c r="A144" s="1"/>
      <c r="H144" s="1"/>
      <c r="O144" s="1"/>
      <c r="V144" s="1"/>
      <c r="AC144" s="1"/>
      <c r="AJ144" s="1"/>
      <c r="AQ144" s="1"/>
      <c r="AX144" s="1"/>
    </row>
    <row r="145" spans="1:50" x14ac:dyDescent="0.25">
      <c r="A145" s="1"/>
      <c r="H145" s="1"/>
      <c r="O145" s="1"/>
      <c r="V145" s="1"/>
      <c r="AC145" s="1"/>
      <c r="AJ145" s="1"/>
      <c r="AQ145" s="1"/>
      <c r="AX145" s="1"/>
    </row>
    <row r="146" spans="1:50" x14ac:dyDescent="0.25">
      <c r="A146" s="1"/>
      <c r="H146" s="1"/>
      <c r="O146" s="1"/>
      <c r="V146" s="1"/>
      <c r="AC146" s="1"/>
      <c r="AJ146" s="1"/>
      <c r="AQ146" s="1"/>
      <c r="AX146" s="1"/>
    </row>
    <row r="147" spans="1:50" x14ac:dyDescent="0.25">
      <c r="A147" s="1"/>
      <c r="H147" s="1"/>
      <c r="O147" s="1"/>
      <c r="V147" s="1"/>
      <c r="AC147" s="1"/>
      <c r="AJ147" s="1"/>
      <c r="AQ147" s="1"/>
      <c r="AX147" s="1"/>
    </row>
    <row r="148" spans="1:50" x14ac:dyDescent="0.25">
      <c r="A148" s="1"/>
      <c r="H148" s="1"/>
      <c r="O148" s="1"/>
      <c r="V148" s="1"/>
      <c r="AC148" s="1"/>
      <c r="AJ148" s="1"/>
      <c r="AQ148" s="1"/>
      <c r="AX148" s="1"/>
    </row>
    <row r="149" spans="1:50" x14ac:dyDescent="0.25">
      <c r="A149" s="1"/>
      <c r="H149" s="1"/>
      <c r="O149" s="1"/>
      <c r="V149" s="1"/>
      <c r="AC149" s="1"/>
      <c r="AJ149" s="1"/>
      <c r="AQ149" s="1"/>
      <c r="AX149" s="1"/>
    </row>
    <row r="150" spans="1:50" x14ac:dyDescent="0.25">
      <c r="A150" s="1"/>
      <c r="H150" s="1"/>
      <c r="O150" s="1"/>
      <c r="V150" s="1"/>
      <c r="AC150" s="1"/>
      <c r="AJ150" s="1"/>
      <c r="AQ150" s="1"/>
      <c r="AX150" s="1"/>
    </row>
    <row r="151" spans="1:50" x14ac:dyDescent="0.25">
      <c r="A151" s="1"/>
      <c r="H151" s="1"/>
      <c r="O151" s="1"/>
      <c r="V151" s="1"/>
      <c r="AC151" s="1"/>
      <c r="AJ151" s="1"/>
      <c r="AQ151" s="1"/>
      <c r="AX151" s="1"/>
    </row>
    <row r="152" spans="1:50" x14ac:dyDescent="0.25">
      <c r="A152" s="1"/>
      <c r="H152" s="1"/>
      <c r="O152" s="1"/>
      <c r="V152" s="1"/>
      <c r="AC152" s="1"/>
      <c r="AJ152" s="1"/>
      <c r="AQ152" s="1"/>
      <c r="AX152" s="1"/>
    </row>
    <row r="153" spans="1:50" x14ac:dyDescent="0.25">
      <c r="A153" s="1"/>
      <c r="H153" s="1"/>
      <c r="O153" s="1"/>
      <c r="V153" s="1"/>
      <c r="AC153" s="1"/>
      <c r="AJ153" s="1"/>
      <c r="AQ153" s="1"/>
      <c r="AX153" s="1"/>
    </row>
    <row r="154" spans="1:50" x14ac:dyDescent="0.25">
      <c r="A154" s="1"/>
      <c r="H154" s="1"/>
      <c r="O154" s="1"/>
      <c r="V154" s="1"/>
      <c r="AC154" s="1"/>
      <c r="AJ154" s="1"/>
      <c r="AQ154" s="1"/>
      <c r="AX154" s="1"/>
    </row>
    <row r="155" spans="1:50" x14ac:dyDescent="0.25">
      <c r="A155" s="1"/>
      <c r="H155" s="1"/>
      <c r="O155" s="1"/>
      <c r="V155" s="1"/>
      <c r="AC155" s="1"/>
      <c r="AJ155" s="1"/>
      <c r="AQ155" s="1"/>
      <c r="AX155" s="1"/>
    </row>
    <row r="156" spans="1:50" x14ac:dyDescent="0.25">
      <c r="A156" s="1"/>
      <c r="H156" s="1"/>
      <c r="O156" s="1"/>
      <c r="V156" s="1"/>
      <c r="AC156" s="1"/>
      <c r="AJ156" s="1"/>
      <c r="AQ156" s="1"/>
      <c r="AX156" s="1"/>
    </row>
    <row r="157" spans="1:50" x14ac:dyDescent="0.25">
      <c r="A157" s="1"/>
      <c r="H157" s="1"/>
      <c r="O157" s="1"/>
      <c r="V157" s="1"/>
      <c r="AC157" s="1"/>
      <c r="AJ157" s="1"/>
      <c r="AQ157" s="1"/>
      <c r="AX157" s="1"/>
    </row>
    <row r="158" spans="1:50" x14ac:dyDescent="0.25">
      <c r="A158" s="1"/>
      <c r="H158" s="1"/>
      <c r="O158" s="1"/>
      <c r="V158" s="1"/>
      <c r="AC158" s="1"/>
      <c r="AJ158" s="1"/>
      <c r="AQ158" s="1"/>
      <c r="AX158" s="1"/>
    </row>
    <row r="159" spans="1:50" x14ac:dyDescent="0.25">
      <c r="A159" s="1"/>
      <c r="H159" s="1"/>
      <c r="O159" s="1"/>
      <c r="V159" s="1"/>
      <c r="AC159" s="1"/>
      <c r="AJ159" s="1"/>
      <c r="AQ159" s="1"/>
      <c r="AX159" s="1"/>
    </row>
    <row r="160" spans="1:50" x14ac:dyDescent="0.25">
      <c r="A160" s="1"/>
      <c r="H160" s="1"/>
      <c r="O160" s="1"/>
      <c r="V160" s="1"/>
      <c r="AC160" s="1"/>
      <c r="AJ160" s="1"/>
      <c r="AQ160" s="1"/>
      <c r="AX160" s="1"/>
    </row>
    <row r="161" spans="1:50" x14ac:dyDescent="0.25">
      <c r="A161" s="1"/>
      <c r="H161" s="1"/>
      <c r="O161" s="1"/>
      <c r="V161" s="1"/>
      <c r="AC161" s="1"/>
      <c r="AJ161" s="1"/>
      <c r="AQ161" s="1"/>
      <c r="AX161" s="1"/>
    </row>
    <row r="162" spans="1:50" x14ac:dyDescent="0.25">
      <c r="A162" s="1"/>
      <c r="H162" s="1"/>
      <c r="O162" s="1"/>
      <c r="V162" s="1"/>
      <c r="AC162" s="1"/>
      <c r="AJ162" s="1"/>
      <c r="AQ162" s="1"/>
      <c r="AX162" s="1"/>
    </row>
    <row r="163" spans="1:50" x14ac:dyDescent="0.25">
      <c r="A163" s="1"/>
      <c r="H163" s="1"/>
      <c r="O163" s="1"/>
      <c r="V163" s="1"/>
      <c r="AC163" s="1"/>
      <c r="AJ163" s="1"/>
      <c r="AQ163" s="1"/>
      <c r="AX163" s="1"/>
    </row>
    <row r="164" spans="1:50" x14ac:dyDescent="0.25">
      <c r="A164" s="1"/>
      <c r="H164" s="1"/>
      <c r="O164" s="1"/>
      <c r="V164" s="1"/>
      <c r="AC164" s="1"/>
      <c r="AJ164" s="1"/>
      <c r="AQ164" s="1"/>
      <c r="AX164" s="1"/>
    </row>
    <row r="165" spans="1:50" x14ac:dyDescent="0.25">
      <c r="A165" s="1"/>
      <c r="H165" s="1"/>
      <c r="O165" s="1"/>
      <c r="V165" s="1"/>
      <c r="AC165" s="1"/>
      <c r="AJ165" s="1"/>
      <c r="AQ165" s="1"/>
      <c r="AX165" s="1"/>
    </row>
    <row r="166" spans="1:50" x14ac:dyDescent="0.25">
      <c r="A166" s="1"/>
      <c r="H166" s="1"/>
      <c r="O166" s="1"/>
      <c r="V166" s="1"/>
      <c r="AC166" s="1"/>
      <c r="AJ166" s="1"/>
      <c r="AQ166" s="1"/>
      <c r="AX166" s="1"/>
    </row>
    <row r="167" spans="1:50" x14ac:dyDescent="0.25">
      <c r="A167" s="1"/>
      <c r="H167" s="1"/>
      <c r="O167" s="1"/>
      <c r="V167" s="1"/>
      <c r="AC167" s="1"/>
      <c r="AJ167" s="1"/>
      <c r="AQ167" s="1"/>
      <c r="AX167" s="1"/>
    </row>
    <row r="168" spans="1:50" x14ac:dyDescent="0.25">
      <c r="A168" s="1"/>
      <c r="H168" s="1"/>
      <c r="O168" s="1"/>
      <c r="V168" s="1"/>
      <c r="AC168" s="1"/>
      <c r="AJ168" s="1"/>
      <c r="AQ168" s="1"/>
      <c r="AX168" s="1"/>
    </row>
    <row r="169" spans="1:50" x14ac:dyDescent="0.25">
      <c r="A169" s="1"/>
      <c r="H169" s="1"/>
      <c r="O169" s="1"/>
      <c r="V169" s="1"/>
      <c r="AC169" s="1"/>
      <c r="AJ169" s="1"/>
      <c r="AQ169" s="1"/>
      <c r="AX169" s="1"/>
    </row>
    <row r="170" spans="1:50" x14ac:dyDescent="0.25">
      <c r="A170" s="1"/>
      <c r="H170" s="1"/>
      <c r="O170" s="1"/>
      <c r="V170" s="1"/>
      <c r="AC170" s="1"/>
      <c r="AJ170" s="1"/>
      <c r="AQ170" s="1"/>
      <c r="AX170" s="1"/>
    </row>
    <row r="171" spans="1:50" x14ac:dyDescent="0.25">
      <c r="A171" s="1"/>
      <c r="H171" s="1"/>
      <c r="O171" s="1"/>
      <c r="V171" s="1"/>
      <c r="AC171" s="1"/>
      <c r="AJ171" s="1"/>
      <c r="AQ171" s="1"/>
      <c r="AX171" s="1"/>
    </row>
    <row r="172" spans="1:50" x14ac:dyDescent="0.25">
      <c r="A172" s="1"/>
      <c r="H172" s="1"/>
      <c r="O172" s="1"/>
      <c r="V172" s="1"/>
      <c r="AC172" s="1"/>
      <c r="AJ172" s="1"/>
      <c r="AQ172" s="1"/>
      <c r="AX172" s="1"/>
    </row>
    <row r="173" spans="1:50" x14ac:dyDescent="0.25">
      <c r="A173" s="1"/>
      <c r="H173" s="1"/>
      <c r="O173" s="1"/>
      <c r="V173" s="1"/>
      <c r="AC173" s="1"/>
      <c r="AJ173" s="1"/>
      <c r="AQ173" s="1"/>
      <c r="AX173" s="1"/>
    </row>
    <row r="174" spans="1:50" x14ac:dyDescent="0.25">
      <c r="A174" s="1"/>
      <c r="H174" s="1"/>
      <c r="O174" s="1"/>
      <c r="V174" s="1"/>
      <c r="AC174" s="1"/>
      <c r="AJ174" s="1"/>
      <c r="AQ174" s="1"/>
      <c r="AX174" s="1"/>
    </row>
    <row r="175" spans="1:50" x14ac:dyDescent="0.25">
      <c r="A175" s="1"/>
      <c r="H175" s="1"/>
      <c r="O175" s="1"/>
      <c r="V175" s="1"/>
      <c r="AC175" s="1"/>
      <c r="AJ175" s="1"/>
      <c r="AQ175" s="1"/>
      <c r="AX175" s="1"/>
    </row>
    <row r="176" spans="1:50" x14ac:dyDescent="0.25">
      <c r="A176" s="1"/>
      <c r="H176" s="1"/>
      <c r="O176" s="1"/>
      <c r="V176" s="1"/>
      <c r="AC176" s="1"/>
      <c r="AJ176" s="1"/>
      <c r="AQ176" s="1"/>
      <c r="AX176" s="1"/>
    </row>
    <row r="177" spans="1:50" x14ac:dyDescent="0.25">
      <c r="A177" s="1"/>
      <c r="H177" s="1"/>
      <c r="O177" s="1"/>
      <c r="V177" s="1"/>
      <c r="AC177" s="1"/>
      <c r="AJ177" s="1"/>
      <c r="AQ177" s="1"/>
      <c r="AX177" s="1"/>
    </row>
    <row r="178" spans="1:50" x14ac:dyDescent="0.25">
      <c r="A178" s="1"/>
      <c r="H178" s="1"/>
      <c r="O178" s="1"/>
      <c r="V178" s="1"/>
      <c r="AC178" s="1"/>
      <c r="AJ178" s="1"/>
      <c r="AQ178" s="1"/>
      <c r="AX178" s="1"/>
    </row>
    <row r="179" spans="1:50" x14ac:dyDescent="0.25">
      <c r="A179" s="1"/>
      <c r="H179" s="1"/>
      <c r="O179" s="1"/>
      <c r="V179" s="1"/>
      <c r="AC179" s="1"/>
      <c r="AJ179" s="1"/>
      <c r="AQ179" s="1"/>
      <c r="AX179" s="1"/>
    </row>
    <row r="180" spans="1:50" x14ac:dyDescent="0.25">
      <c r="A180" s="1"/>
      <c r="H180" s="1"/>
      <c r="O180" s="1"/>
      <c r="V180" s="1"/>
      <c r="AC180" s="1"/>
      <c r="AJ180" s="1"/>
      <c r="AQ180" s="1"/>
      <c r="AX180" s="1"/>
    </row>
    <row r="181" spans="1:50" x14ac:dyDescent="0.25">
      <c r="A181" s="1"/>
      <c r="H181" s="1"/>
      <c r="O181" s="1"/>
      <c r="V181" s="1"/>
      <c r="AC181" s="1"/>
      <c r="AJ181" s="1"/>
      <c r="AQ181" s="1"/>
      <c r="AX181" s="1"/>
    </row>
    <row r="182" spans="1:50" x14ac:dyDescent="0.25">
      <c r="A182" s="1"/>
      <c r="H182" s="1"/>
      <c r="O182" s="1"/>
      <c r="V182" s="1"/>
      <c r="AC182" s="1"/>
      <c r="AJ182" s="1"/>
      <c r="AQ182" s="1"/>
      <c r="AX182" s="1"/>
    </row>
    <row r="183" spans="1:50" x14ac:dyDescent="0.25">
      <c r="A183" s="1"/>
      <c r="H183" s="1"/>
      <c r="O183" s="1"/>
      <c r="V183" s="1"/>
      <c r="AC183" s="1"/>
      <c r="AJ183" s="1"/>
      <c r="AQ183" s="1"/>
      <c r="AX183" s="1"/>
    </row>
    <row r="184" spans="1:50" x14ac:dyDescent="0.25">
      <c r="A184" s="1"/>
      <c r="H184" s="1"/>
      <c r="O184" s="1"/>
      <c r="V184" s="1"/>
      <c r="AC184" s="1"/>
      <c r="AJ184" s="1"/>
      <c r="AQ184" s="1"/>
      <c r="AX184" s="1"/>
    </row>
    <row r="185" spans="1:50" x14ac:dyDescent="0.25">
      <c r="A185" s="1"/>
      <c r="H185" s="1"/>
      <c r="O185" s="1"/>
      <c r="V185" s="1"/>
      <c r="AC185" s="1"/>
      <c r="AJ185" s="1"/>
      <c r="AQ185" s="1"/>
      <c r="AX185" s="1"/>
    </row>
    <row r="186" spans="1:50" x14ac:dyDescent="0.25">
      <c r="A186" s="1"/>
      <c r="H186" s="1"/>
      <c r="O186" s="1"/>
      <c r="V186" s="1"/>
      <c r="AC186" s="1"/>
      <c r="AJ186" s="1"/>
      <c r="AQ186" s="1"/>
      <c r="AX186" s="1"/>
    </row>
    <row r="187" spans="1:50" x14ac:dyDescent="0.25">
      <c r="A187" s="1"/>
      <c r="H187" s="1"/>
      <c r="O187" s="1"/>
      <c r="V187" s="1"/>
      <c r="AC187" s="1"/>
      <c r="AJ187" s="1"/>
      <c r="AQ187" s="1"/>
      <c r="AX187" s="1"/>
    </row>
    <row r="188" spans="1:50" x14ac:dyDescent="0.25">
      <c r="A188" s="1"/>
      <c r="H188" s="1"/>
      <c r="O188" s="1"/>
      <c r="V188" s="1"/>
      <c r="AC188" s="1"/>
      <c r="AJ188" s="1"/>
      <c r="AQ188" s="1"/>
      <c r="AX188" s="1"/>
    </row>
    <row r="189" spans="1:50" x14ac:dyDescent="0.25">
      <c r="A189" s="1"/>
      <c r="H189" s="1"/>
      <c r="O189" s="1"/>
      <c r="V189" s="1"/>
      <c r="AC189" s="1"/>
      <c r="AJ189" s="1"/>
      <c r="AQ189" s="1"/>
      <c r="AX189" s="1"/>
    </row>
    <row r="190" spans="1:50" x14ac:dyDescent="0.25">
      <c r="A190" s="1"/>
      <c r="H190" s="1"/>
      <c r="O190" s="1"/>
      <c r="V190" s="1"/>
      <c r="AC190" s="1"/>
      <c r="AJ190" s="1"/>
      <c r="AQ190" s="1"/>
      <c r="AX190" s="1"/>
    </row>
    <row r="191" spans="1:50" x14ac:dyDescent="0.25">
      <c r="A191" s="1"/>
      <c r="H191" s="1"/>
      <c r="O191" s="1"/>
      <c r="V191" s="1"/>
      <c r="AC191" s="1"/>
      <c r="AJ191" s="1"/>
      <c r="AQ191" s="1"/>
      <c r="AX191" s="1"/>
    </row>
    <row r="192" spans="1:50" x14ac:dyDescent="0.25">
      <c r="A192" s="1"/>
      <c r="H192" s="1"/>
      <c r="O192" s="1"/>
      <c r="V192" s="1"/>
      <c r="AC192" s="1"/>
      <c r="AJ192" s="1"/>
      <c r="AQ192" s="1"/>
      <c r="AX192" s="1"/>
    </row>
    <row r="193" spans="1:50" x14ac:dyDescent="0.25">
      <c r="A193" s="1"/>
      <c r="H193" s="1"/>
      <c r="O193" s="1"/>
      <c r="V193" s="1"/>
      <c r="AC193" s="1"/>
      <c r="AJ193" s="1"/>
      <c r="AQ193" s="1"/>
      <c r="AX193" s="1"/>
    </row>
    <row r="194" spans="1:50" x14ac:dyDescent="0.25">
      <c r="A194" s="1"/>
      <c r="H194" s="1"/>
      <c r="O194" s="1"/>
      <c r="V194" s="1"/>
      <c r="AC194" s="1"/>
      <c r="AJ194" s="1"/>
      <c r="AQ194" s="1"/>
      <c r="AX194" s="1"/>
    </row>
    <row r="195" spans="1:50" x14ac:dyDescent="0.25">
      <c r="A195" s="1"/>
      <c r="H195" s="1"/>
      <c r="O195" s="1"/>
      <c r="V195" s="1"/>
      <c r="AC195" s="1"/>
      <c r="AJ195" s="1"/>
      <c r="AQ195" s="1"/>
      <c r="AX195" s="1"/>
    </row>
    <row r="196" spans="1:50" x14ac:dyDescent="0.25">
      <c r="A196" s="1"/>
      <c r="H196" s="1"/>
      <c r="O196" s="1"/>
      <c r="V196" s="1"/>
      <c r="AC196" s="1"/>
      <c r="AJ196" s="1"/>
      <c r="AQ196" s="1"/>
      <c r="AX196" s="1"/>
    </row>
    <row r="197" spans="1:50" x14ac:dyDescent="0.25">
      <c r="A197" s="1"/>
      <c r="H197" s="1"/>
      <c r="O197" s="1"/>
      <c r="V197" s="1"/>
      <c r="AC197" s="1"/>
      <c r="AJ197" s="1"/>
      <c r="AQ197" s="1"/>
      <c r="AX197" s="1"/>
    </row>
    <row r="198" spans="1:50" x14ac:dyDescent="0.25">
      <c r="A198" s="1"/>
      <c r="H198" s="1"/>
      <c r="O198" s="1"/>
      <c r="V198" s="1"/>
      <c r="AC198" s="1"/>
      <c r="AJ198" s="1"/>
      <c r="AQ198" s="1"/>
      <c r="AX198" s="1"/>
    </row>
    <row r="199" spans="1:50" x14ac:dyDescent="0.25">
      <c r="A199" s="1"/>
      <c r="H199" s="1"/>
      <c r="O199" s="1"/>
      <c r="V199" s="1"/>
      <c r="AC199" s="1"/>
      <c r="AJ199" s="1"/>
      <c r="AQ199" s="1"/>
      <c r="AX199" s="1"/>
    </row>
    <row r="200" spans="1:50" x14ac:dyDescent="0.25">
      <c r="A200" s="1"/>
      <c r="H200" s="1"/>
      <c r="O200" s="1"/>
      <c r="V200" s="1"/>
      <c r="AC200" s="1"/>
      <c r="AJ200" s="1"/>
      <c r="AQ200" s="1"/>
      <c r="AX200" s="1"/>
    </row>
    <row r="201" spans="1:50" x14ac:dyDescent="0.25">
      <c r="A201" s="1"/>
      <c r="H201" s="1"/>
      <c r="O201" s="1"/>
      <c r="V201" s="1"/>
      <c r="AC201" s="1"/>
      <c r="AJ201" s="1"/>
      <c r="AQ201" s="1"/>
      <c r="AX201" s="1"/>
    </row>
    <row r="202" spans="1:50" x14ac:dyDescent="0.25">
      <c r="A202" s="1"/>
      <c r="H202" s="1"/>
      <c r="O202" s="1"/>
      <c r="V202" s="1"/>
      <c r="AC202" s="1"/>
      <c r="AJ202" s="1"/>
      <c r="AQ202" s="1"/>
      <c r="AX202" s="1"/>
    </row>
    <row r="203" spans="1:50" x14ac:dyDescent="0.25">
      <c r="A203" s="1"/>
      <c r="H203" s="1"/>
      <c r="O203" s="1"/>
      <c r="V203" s="1"/>
      <c r="AC203" s="1"/>
      <c r="AJ203" s="1"/>
      <c r="AQ203" s="1"/>
      <c r="AX203" s="1"/>
    </row>
    <row r="204" spans="1:50" x14ac:dyDescent="0.25">
      <c r="A204" s="1"/>
      <c r="H204" s="1"/>
      <c r="O204" s="1"/>
      <c r="V204" s="1"/>
      <c r="AC204" s="1"/>
      <c r="AJ204" s="1"/>
      <c r="AQ204" s="1"/>
      <c r="AX204" s="1"/>
    </row>
    <row r="205" spans="1:50" x14ac:dyDescent="0.25">
      <c r="A205" s="1"/>
      <c r="H205" s="1"/>
      <c r="O205" s="1"/>
      <c r="V205" s="1"/>
      <c r="AC205" s="1"/>
      <c r="AJ205" s="1"/>
      <c r="AQ205" s="1"/>
      <c r="AX205" s="1"/>
    </row>
    <row r="206" spans="1:50" x14ac:dyDescent="0.25">
      <c r="A206" s="1"/>
      <c r="H206" s="1"/>
      <c r="O206" s="1"/>
      <c r="V206" s="1"/>
      <c r="AC206" s="1"/>
      <c r="AJ206" s="1"/>
      <c r="AQ206" s="1"/>
      <c r="AX206" s="1"/>
    </row>
    <row r="207" spans="1:50" x14ac:dyDescent="0.25">
      <c r="A207" s="1"/>
      <c r="H207" s="1"/>
      <c r="O207" s="1"/>
      <c r="V207" s="1"/>
      <c r="AC207" s="1"/>
      <c r="AJ207" s="1"/>
      <c r="AQ207" s="1"/>
      <c r="AX207" s="1"/>
    </row>
    <row r="208" spans="1:50" x14ac:dyDescent="0.25">
      <c r="A208" s="1"/>
      <c r="H208" s="1"/>
      <c r="O208" s="1"/>
      <c r="V208" s="1"/>
      <c r="AC208" s="1"/>
      <c r="AJ208" s="1"/>
      <c r="AQ208" s="1"/>
      <c r="AX208" s="1"/>
    </row>
    <row r="209" spans="1:50" x14ac:dyDescent="0.25">
      <c r="A209" s="1"/>
      <c r="H209" s="1"/>
      <c r="O209" s="1"/>
      <c r="V209" s="1"/>
      <c r="AC209" s="1"/>
      <c r="AJ209" s="1"/>
      <c r="AQ209" s="1"/>
      <c r="AX209" s="1"/>
    </row>
    <row r="210" spans="1:50" x14ac:dyDescent="0.25">
      <c r="A210" s="1"/>
      <c r="H210" s="1"/>
      <c r="O210" s="1"/>
      <c r="V210" s="1"/>
      <c r="AC210" s="1"/>
      <c r="AJ210" s="1"/>
      <c r="AQ210" s="1"/>
      <c r="AX210" s="1"/>
    </row>
    <row r="211" spans="1:50" x14ac:dyDescent="0.25">
      <c r="A211" s="1"/>
      <c r="H211" s="1"/>
      <c r="O211" s="1"/>
      <c r="V211" s="1"/>
      <c r="AC211" s="1"/>
      <c r="AJ211" s="1"/>
      <c r="AQ211" s="1"/>
      <c r="AX211" s="1"/>
    </row>
    <row r="212" spans="1:50" x14ac:dyDescent="0.25">
      <c r="A212" s="1"/>
      <c r="H212" s="1"/>
      <c r="O212" s="1"/>
      <c r="V212" s="1"/>
      <c r="AC212" s="1"/>
      <c r="AJ212" s="1"/>
      <c r="AQ212" s="1"/>
      <c r="AX212" s="1"/>
    </row>
    <row r="213" spans="1:50" x14ac:dyDescent="0.25">
      <c r="A213" s="1"/>
      <c r="H213" s="1"/>
      <c r="O213" s="1"/>
      <c r="V213" s="1"/>
      <c r="AC213" s="1"/>
      <c r="AJ213" s="1"/>
      <c r="AQ213" s="1"/>
      <c r="AX213" s="1"/>
    </row>
    <row r="214" spans="1:50" x14ac:dyDescent="0.25">
      <c r="A214" s="1"/>
      <c r="H214" s="1"/>
      <c r="O214" s="1"/>
      <c r="V214" s="1"/>
      <c r="AC214" s="1"/>
      <c r="AJ214" s="1"/>
      <c r="AQ214" s="1"/>
      <c r="AX214" s="1"/>
    </row>
    <row r="215" spans="1:50" x14ac:dyDescent="0.25">
      <c r="A215" s="1"/>
      <c r="H215" s="1"/>
      <c r="O215" s="1"/>
      <c r="V215" s="1"/>
      <c r="AC215" s="1"/>
      <c r="AJ215" s="1"/>
      <c r="AQ215" s="1"/>
      <c r="AX215" s="1"/>
    </row>
    <row r="216" spans="1:50" x14ac:dyDescent="0.25">
      <c r="A216" s="1"/>
      <c r="H216" s="1"/>
      <c r="O216" s="1"/>
      <c r="V216" s="1"/>
      <c r="AC216" s="1"/>
      <c r="AJ216" s="1"/>
      <c r="AQ216" s="1"/>
      <c r="AX216" s="1"/>
    </row>
    <row r="217" spans="1:50" x14ac:dyDescent="0.25">
      <c r="A217" s="1"/>
      <c r="H217" s="1"/>
      <c r="O217" s="1"/>
      <c r="V217" s="1"/>
      <c r="AC217" s="1"/>
      <c r="AJ217" s="1"/>
      <c r="AQ217" s="1"/>
      <c r="AX217" s="1"/>
    </row>
    <row r="218" spans="1:50" x14ac:dyDescent="0.25">
      <c r="A218" s="1"/>
      <c r="H218" s="1"/>
      <c r="O218" s="1"/>
      <c r="V218" s="1"/>
      <c r="AC218" s="1"/>
      <c r="AJ218" s="1"/>
      <c r="AQ218" s="1"/>
      <c r="AX218" s="1"/>
    </row>
    <row r="219" spans="1:50" x14ac:dyDescent="0.25">
      <c r="A219" s="1"/>
      <c r="H219" s="1"/>
      <c r="O219" s="1"/>
      <c r="V219" s="1"/>
      <c r="AC219" s="1"/>
      <c r="AJ219" s="1"/>
      <c r="AQ219" s="1"/>
      <c r="AX219" s="1"/>
    </row>
    <row r="220" spans="1:50" x14ac:dyDescent="0.25">
      <c r="A220" s="1"/>
      <c r="H220" s="1"/>
      <c r="O220" s="1"/>
      <c r="V220" s="1"/>
      <c r="AC220" s="1"/>
      <c r="AJ220" s="1"/>
      <c r="AQ220" s="1"/>
      <c r="AX220" s="1"/>
    </row>
    <row r="221" spans="1:50" x14ac:dyDescent="0.25">
      <c r="A221" s="1"/>
      <c r="H221" s="1"/>
      <c r="O221" s="1"/>
      <c r="V221" s="1"/>
      <c r="AC221" s="1"/>
      <c r="AJ221" s="1"/>
      <c r="AQ221" s="1"/>
      <c r="AX221" s="1"/>
    </row>
    <row r="222" spans="1:50" x14ac:dyDescent="0.25">
      <c r="A222" s="1"/>
      <c r="H222" s="1"/>
      <c r="O222" s="1"/>
      <c r="V222" s="1"/>
      <c r="AC222" s="1"/>
      <c r="AJ222" s="1"/>
      <c r="AQ222" s="1"/>
      <c r="AX222" s="1"/>
    </row>
    <row r="223" spans="1:50" x14ac:dyDescent="0.25">
      <c r="A223" s="1"/>
      <c r="H223" s="1"/>
      <c r="O223" s="1"/>
      <c r="V223" s="1"/>
      <c r="AC223" s="1"/>
      <c r="AJ223" s="1"/>
      <c r="AQ223" s="1"/>
      <c r="AX223" s="1"/>
    </row>
    <row r="224" spans="1:50" x14ac:dyDescent="0.25">
      <c r="A224" s="1"/>
      <c r="H224" s="1"/>
      <c r="O224" s="1"/>
      <c r="V224" s="1"/>
      <c r="AC224" s="1"/>
      <c r="AJ224" s="1"/>
      <c r="AQ224" s="1"/>
      <c r="AX224" s="1"/>
    </row>
    <row r="225" spans="1:50" x14ac:dyDescent="0.25">
      <c r="A225" s="1"/>
      <c r="H225" s="1"/>
      <c r="O225" s="1"/>
      <c r="V225" s="1"/>
      <c r="AC225" s="1"/>
      <c r="AJ225" s="1"/>
      <c r="AQ225" s="1"/>
      <c r="AX225" s="1"/>
    </row>
    <row r="226" spans="1:50" x14ac:dyDescent="0.25">
      <c r="A226" s="1"/>
      <c r="H226" s="1"/>
      <c r="O226" s="1"/>
      <c r="V226" s="1"/>
      <c r="AC226" s="1"/>
      <c r="AJ226" s="1"/>
      <c r="AQ226" s="1"/>
      <c r="AX226" s="1"/>
    </row>
    <row r="227" spans="1:50" x14ac:dyDescent="0.25">
      <c r="A227" s="1"/>
      <c r="H227" s="1"/>
      <c r="O227" s="1"/>
      <c r="V227" s="1"/>
      <c r="AC227" s="1"/>
      <c r="AJ227" s="1"/>
      <c r="AQ227" s="1"/>
      <c r="AX227" s="1"/>
    </row>
    <row r="228" spans="1:50" x14ac:dyDescent="0.25">
      <c r="A228" s="1"/>
      <c r="H228" s="1"/>
      <c r="O228" s="1"/>
      <c r="V228" s="1"/>
      <c r="AC228" s="1"/>
      <c r="AJ228" s="1"/>
      <c r="AQ228" s="1"/>
      <c r="AX228" s="1"/>
    </row>
    <row r="229" spans="1:50" x14ac:dyDescent="0.25">
      <c r="A229" s="1"/>
      <c r="H229" s="1"/>
      <c r="O229" s="1"/>
      <c r="V229" s="1"/>
      <c r="AC229" s="1"/>
      <c r="AJ229" s="1"/>
      <c r="AQ229" s="1"/>
      <c r="AX229" s="1"/>
    </row>
    <row r="230" spans="1:50" x14ac:dyDescent="0.25">
      <c r="A230" s="1"/>
      <c r="H230" s="1"/>
      <c r="O230" s="1"/>
      <c r="V230" s="1"/>
      <c r="AC230" s="1"/>
      <c r="AJ230" s="1"/>
      <c r="AQ230" s="1"/>
      <c r="AX230" s="1"/>
    </row>
    <row r="231" spans="1:50" x14ac:dyDescent="0.25">
      <c r="A231" s="1"/>
      <c r="H231" s="1"/>
      <c r="O231" s="1"/>
      <c r="V231" s="1"/>
      <c r="AC231" s="1"/>
      <c r="AJ231" s="1"/>
      <c r="AQ231" s="1"/>
      <c r="AX231" s="1"/>
    </row>
    <row r="232" spans="1:50" x14ac:dyDescent="0.25">
      <c r="A232" s="1"/>
      <c r="H232" s="1"/>
      <c r="O232" s="1"/>
      <c r="V232" s="1"/>
      <c r="AC232" s="1"/>
      <c r="AJ232" s="1"/>
      <c r="AQ232" s="1"/>
      <c r="AX232" s="1"/>
    </row>
    <row r="233" spans="1:50" x14ac:dyDescent="0.25">
      <c r="A233" s="1"/>
      <c r="H233" s="1"/>
      <c r="O233" s="1"/>
      <c r="V233" s="1"/>
      <c r="AC233" s="1"/>
      <c r="AJ233" s="1"/>
      <c r="AQ233" s="1"/>
      <c r="AX233" s="1"/>
    </row>
    <row r="234" spans="1:50" x14ac:dyDescent="0.25">
      <c r="A234" s="1"/>
      <c r="H234" s="1"/>
      <c r="O234" s="1"/>
      <c r="V234" s="1"/>
      <c r="AC234" s="1"/>
      <c r="AJ234" s="1"/>
      <c r="AQ234" s="1"/>
      <c r="AX234" s="1"/>
    </row>
    <row r="235" spans="1:50" x14ac:dyDescent="0.25">
      <c r="A235" s="1"/>
      <c r="H235" s="1"/>
      <c r="O235" s="1"/>
      <c r="V235" s="1"/>
      <c r="AC235" s="1"/>
      <c r="AJ235" s="1"/>
      <c r="AQ235" s="1"/>
      <c r="AX235" s="1"/>
    </row>
    <row r="236" spans="1:50" x14ac:dyDescent="0.25">
      <c r="A236" s="1"/>
      <c r="H236" s="1"/>
      <c r="O236" s="1"/>
      <c r="V236" s="1"/>
      <c r="AC236" s="1"/>
      <c r="AJ236" s="1"/>
      <c r="AQ236" s="1"/>
      <c r="AX236" s="1"/>
    </row>
    <row r="237" spans="1:50" x14ac:dyDescent="0.25">
      <c r="A237" s="1"/>
      <c r="H237" s="1"/>
      <c r="O237" s="1"/>
      <c r="V237" s="1"/>
      <c r="AC237" s="1"/>
      <c r="AJ237" s="1"/>
      <c r="AQ237" s="1"/>
      <c r="AX237" s="1"/>
    </row>
    <row r="238" spans="1:50" x14ac:dyDescent="0.25">
      <c r="A238" s="1"/>
      <c r="H238" s="1"/>
      <c r="O238" s="1"/>
      <c r="V238" s="1"/>
      <c r="AC238" s="1"/>
      <c r="AJ238" s="1"/>
      <c r="AQ238" s="1"/>
      <c r="AX238" s="1"/>
    </row>
    <row r="239" spans="1:50" x14ac:dyDescent="0.25">
      <c r="A239" s="1"/>
      <c r="H239" s="1"/>
      <c r="O239" s="1"/>
      <c r="V239" s="1"/>
      <c r="AC239" s="1"/>
      <c r="AJ239" s="1"/>
      <c r="AQ239" s="1"/>
      <c r="AX239" s="1"/>
    </row>
    <row r="240" spans="1:50" x14ac:dyDescent="0.25">
      <c r="A240" s="1"/>
      <c r="H240" s="1"/>
      <c r="O240" s="1"/>
      <c r="V240" s="1"/>
      <c r="AC240" s="1"/>
      <c r="AJ240" s="1"/>
      <c r="AQ240" s="1"/>
      <c r="AX240" s="1"/>
    </row>
    <row r="241" spans="1:50" x14ac:dyDescent="0.25">
      <c r="A241" s="1"/>
      <c r="H241" s="1"/>
      <c r="O241" s="1"/>
      <c r="V241" s="1"/>
      <c r="AC241" s="1"/>
      <c r="AJ241" s="1"/>
      <c r="AQ241" s="1"/>
      <c r="AX241" s="1"/>
    </row>
    <row r="242" spans="1:50" x14ac:dyDescent="0.25">
      <c r="A242" s="1"/>
      <c r="H242" s="1"/>
      <c r="O242" s="1"/>
      <c r="V242" s="1"/>
      <c r="AC242" s="1"/>
      <c r="AJ242" s="1"/>
      <c r="AQ242" s="1"/>
      <c r="AX242" s="1"/>
    </row>
    <row r="243" spans="1:50" x14ac:dyDescent="0.25">
      <c r="A243" s="1"/>
      <c r="H243" s="1"/>
      <c r="O243" s="1"/>
      <c r="V243" s="1"/>
      <c r="AC243" s="1"/>
      <c r="AJ243" s="1"/>
      <c r="AQ243" s="1"/>
      <c r="AX243" s="1"/>
    </row>
    <row r="244" spans="1:50" x14ac:dyDescent="0.25">
      <c r="A244" s="1"/>
      <c r="H244" s="1"/>
      <c r="O244" s="1"/>
      <c r="V244" s="1"/>
      <c r="AC244" s="1"/>
      <c r="AJ244" s="1"/>
      <c r="AQ244" s="1"/>
      <c r="AX244" s="1"/>
    </row>
    <row r="245" spans="1:50" x14ac:dyDescent="0.25">
      <c r="A245" s="1"/>
      <c r="H245" s="1"/>
      <c r="O245" s="1"/>
      <c r="V245" s="1"/>
      <c r="AC245" s="1"/>
      <c r="AJ245" s="1"/>
      <c r="AQ245" s="1"/>
      <c r="AX245" s="1"/>
    </row>
    <row r="246" spans="1:50" x14ac:dyDescent="0.25">
      <c r="A246" s="1"/>
      <c r="H246" s="1"/>
      <c r="O246" s="1"/>
      <c r="V246" s="1"/>
      <c r="AC246" s="1"/>
      <c r="AJ246" s="1"/>
      <c r="AQ246" s="1"/>
      <c r="AX246" s="1"/>
    </row>
    <row r="247" spans="1:50" x14ac:dyDescent="0.25">
      <c r="A247" s="1"/>
      <c r="H247" s="1"/>
      <c r="O247" s="1"/>
      <c r="V247" s="1"/>
      <c r="AC247" s="1"/>
      <c r="AJ247" s="1"/>
      <c r="AQ247" s="1"/>
      <c r="AX247" s="1"/>
    </row>
    <row r="248" spans="1:50" x14ac:dyDescent="0.25">
      <c r="A248" s="1"/>
      <c r="H248" s="1"/>
      <c r="O248" s="1"/>
      <c r="V248" s="1"/>
      <c r="AC248" s="1"/>
      <c r="AJ248" s="1"/>
      <c r="AQ248" s="1"/>
      <c r="AX248" s="1"/>
    </row>
    <row r="249" spans="1:50" x14ac:dyDescent="0.25">
      <c r="A249" s="1"/>
      <c r="H249" s="1"/>
      <c r="O249" s="1"/>
      <c r="V249" s="1"/>
      <c r="AC249" s="1"/>
      <c r="AJ249" s="1"/>
      <c r="AQ249" s="1"/>
      <c r="AX249" s="1"/>
    </row>
    <row r="250" spans="1:50" x14ac:dyDescent="0.25">
      <c r="A250" s="1"/>
      <c r="H250" s="1"/>
      <c r="O250" s="1"/>
      <c r="V250" s="1"/>
      <c r="AC250" s="1"/>
      <c r="AJ250" s="1"/>
      <c r="AQ250" s="1"/>
      <c r="AX250" s="1"/>
    </row>
    <row r="251" spans="1:50" x14ac:dyDescent="0.25">
      <c r="A251" s="1"/>
      <c r="H251" s="1"/>
      <c r="O251" s="1"/>
      <c r="V251" s="1"/>
      <c r="AC251" s="1"/>
      <c r="AJ251" s="1"/>
      <c r="AQ251" s="1"/>
      <c r="AX251" s="1"/>
    </row>
    <row r="252" spans="1:50" x14ac:dyDescent="0.25">
      <c r="A252" s="1"/>
      <c r="H252" s="1"/>
      <c r="O252" s="1"/>
      <c r="V252" s="1"/>
      <c r="AC252" s="1"/>
      <c r="AJ252" s="1"/>
      <c r="AQ252" s="1"/>
      <c r="AX252" s="1"/>
    </row>
    <row r="253" spans="1:50" x14ac:dyDescent="0.25">
      <c r="A253" s="1"/>
      <c r="H253" s="1"/>
      <c r="O253" s="1"/>
      <c r="V253" s="1"/>
      <c r="AC253" s="1"/>
      <c r="AJ253" s="1"/>
      <c r="AQ253" s="1"/>
      <c r="AX253" s="1"/>
    </row>
    <row r="254" spans="1:50" x14ac:dyDescent="0.25">
      <c r="A254" s="1"/>
      <c r="H254" s="1"/>
      <c r="O254" s="1"/>
      <c r="V254" s="1"/>
      <c r="AC254" s="1"/>
      <c r="AJ254" s="1"/>
      <c r="AQ254" s="1"/>
      <c r="AX254" s="1"/>
    </row>
    <row r="255" spans="1:50" x14ac:dyDescent="0.25">
      <c r="A255" s="1"/>
      <c r="H255" s="1"/>
      <c r="O255" s="1"/>
      <c r="V255" s="1"/>
      <c r="AC255" s="1"/>
      <c r="AJ255" s="1"/>
      <c r="AQ255" s="1"/>
      <c r="AX255" s="1"/>
    </row>
    <row r="256" spans="1:50" x14ac:dyDescent="0.25">
      <c r="A256" s="1"/>
      <c r="H256" s="1"/>
      <c r="O256" s="1"/>
      <c r="V256" s="1"/>
      <c r="AC256" s="1"/>
      <c r="AJ256" s="1"/>
      <c r="AQ256" s="1"/>
      <c r="AX256" s="1"/>
    </row>
    <row r="257" spans="1:50" x14ac:dyDescent="0.25">
      <c r="A257" s="1"/>
      <c r="H257" s="1"/>
      <c r="O257" s="1"/>
      <c r="V257" s="1"/>
      <c r="AC257" s="1"/>
      <c r="AJ257" s="1"/>
      <c r="AQ257" s="1"/>
      <c r="AX257" s="1"/>
    </row>
    <row r="258" spans="1:50" x14ac:dyDescent="0.25">
      <c r="A258" s="1"/>
      <c r="H258" s="1"/>
      <c r="O258" s="1"/>
      <c r="V258" s="1"/>
      <c r="AC258" s="1"/>
      <c r="AJ258" s="1"/>
      <c r="AQ258" s="1"/>
      <c r="AX258" s="1"/>
    </row>
    <row r="259" spans="1:50" x14ac:dyDescent="0.25">
      <c r="A259" s="1"/>
      <c r="H259" s="1"/>
      <c r="O259" s="1"/>
      <c r="V259" s="1"/>
      <c r="AC259" s="1"/>
      <c r="AJ259" s="1"/>
      <c r="AQ259" s="1"/>
      <c r="AX259" s="1"/>
    </row>
    <row r="260" spans="1:50" x14ac:dyDescent="0.25">
      <c r="A260" s="1"/>
      <c r="H260" s="1"/>
      <c r="O260" s="1"/>
      <c r="V260" s="1"/>
      <c r="AC260" s="1"/>
      <c r="AJ260" s="1"/>
      <c r="AQ260" s="1"/>
      <c r="AX260" s="1"/>
    </row>
    <row r="261" spans="1:50" x14ac:dyDescent="0.25">
      <c r="A261" s="1"/>
      <c r="H261" s="1"/>
      <c r="O261" s="1"/>
      <c r="V261" s="1"/>
      <c r="AC261" s="1"/>
      <c r="AJ261" s="1"/>
      <c r="AQ261" s="1"/>
      <c r="AX261" s="1"/>
    </row>
    <row r="262" spans="1:50" x14ac:dyDescent="0.25">
      <c r="A262" s="1"/>
      <c r="H262" s="1"/>
      <c r="O262" s="1"/>
      <c r="V262" s="1"/>
      <c r="AC262" s="1"/>
      <c r="AJ262" s="1"/>
      <c r="AQ262" s="1"/>
      <c r="AX262" s="1"/>
    </row>
    <row r="263" spans="1:50" x14ac:dyDescent="0.25">
      <c r="A263" s="1"/>
      <c r="H263" s="1"/>
      <c r="O263" s="1"/>
      <c r="V263" s="1"/>
      <c r="AC263" s="1"/>
      <c r="AJ263" s="1"/>
      <c r="AQ263" s="1"/>
      <c r="AX263" s="1"/>
    </row>
    <row r="264" spans="1:50" x14ac:dyDescent="0.25">
      <c r="A264" s="1"/>
      <c r="H264" s="1"/>
      <c r="O264" s="1"/>
      <c r="V264" s="1"/>
      <c r="AC264" s="1"/>
      <c r="AJ264" s="1"/>
      <c r="AQ264" s="1"/>
      <c r="AX264" s="1"/>
    </row>
    <row r="265" spans="1:50" x14ac:dyDescent="0.25">
      <c r="A265" s="1"/>
      <c r="H265" s="1"/>
      <c r="O265" s="1"/>
      <c r="V265" s="1"/>
      <c r="AC265" s="1"/>
      <c r="AJ265" s="1"/>
      <c r="AQ265" s="1"/>
      <c r="AX265" s="1"/>
    </row>
    <row r="266" spans="1:50" x14ac:dyDescent="0.25">
      <c r="A266" s="1"/>
      <c r="H266" s="1"/>
      <c r="O266" s="1"/>
      <c r="V266" s="1"/>
      <c r="AC266" s="1"/>
      <c r="AJ266" s="1"/>
      <c r="AQ266" s="1"/>
      <c r="AX266" s="1"/>
    </row>
    <row r="267" spans="1:50" x14ac:dyDescent="0.25">
      <c r="A267" s="1"/>
      <c r="H267" s="1"/>
      <c r="O267" s="1"/>
      <c r="V267" s="1"/>
      <c r="AC267" s="1"/>
      <c r="AJ267" s="1"/>
      <c r="AQ267" s="1"/>
      <c r="AX267" s="1"/>
    </row>
    <row r="268" spans="1:50" x14ac:dyDescent="0.25">
      <c r="A268" s="1"/>
      <c r="H268" s="1"/>
      <c r="O268" s="1"/>
      <c r="V268" s="1"/>
      <c r="AC268" s="1"/>
      <c r="AJ268" s="1"/>
      <c r="AQ268" s="1"/>
      <c r="AX268" s="1"/>
    </row>
    <row r="269" spans="1:50" x14ac:dyDescent="0.25">
      <c r="A269" s="1"/>
      <c r="H269" s="1"/>
      <c r="O269" s="1"/>
      <c r="V269" s="1"/>
      <c r="AC269" s="1"/>
      <c r="AJ269" s="1"/>
      <c r="AQ269" s="1"/>
      <c r="AX269" s="1"/>
    </row>
    <row r="270" spans="1:50" x14ac:dyDescent="0.25">
      <c r="A270" s="1"/>
      <c r="H270" s="1"/>
      <c r="O270" s="1"/>
      <c r="V270" s="1"/>
      <c r="AC270" s="1"/>
      <c r="AJ270" s="1"/>
      <c r="AQ270" s="1"/>
      <c r="AX270" s="1"/>
    </row>
    <row r="271" spans="1:50" x14ac:dyDescent="0.25">
      <c r="A271" s="1"/>
      <c r="H271" s="1"/>
      <c r="O271" s="1"/>
      <c r="V271" s="1"/>
      <c r="AC271" s="1"/>
      <c r="AJ271" s="1"/>
      <c r="AQ271" s="1"/>
      <c r="AX271" s="1"/>
    </row>
    <row r="272" spans="1:50" x14ac:dyDescent="0.25">
      <c r="A272" s="1"/>
      <c r="H272" s="1"/>
      <c r="O272" s="1"/>
      <c r="V272" s="1"/>
      <c r="AC272" s="1"/>
      <c r="AJ272" s="1"/>
      <c r="AQ272" s="1"/>
      <c r="AX272" s="1"/>
    </row>
    <row r="273" spans="1:50" x14ac:dyDescent="0.25">
      <c r="A273" s="1"/>
      <c r="H273" s="1"/>
      <c r="O273" s="1"/>
      <c r="V273" s="1"/>
      <c r="AC273" s="1"/>
      <c r="AJ273" s="1"/>
      <c r="AQ273" s="1"/>
      <c r="AX273" s="1"/>
    </row>
    <row r="274" spans="1:50" x14ac:dyDescent="0.25">
      <c r="A274" s="1"/>
      <c r="H274" s="1"/>
      <c r="O274" s="1"/>
      <c r="V274" s="1"/>
      <c r="AC274" s="1"/>
      <c r="AJ274" s="1"/>
      <c r="AQ274" s="1"/>
      <c r="AX274" s="1"/>
    </row>
    <row r="275" spans="1:50" x14ac:dyDescent="0.25">
      <c r="A275" s="1"/>
      <c r="H275" s="1"/>
      <c r="O275" s="1"/>
      <c r="V275" s="1"/>
      <c r="AC275" s="1"/>
      <c r="AJ275" s="1"/>
      <c r="AQ275" s="1"/>
      <c r="AX275" s="1"/>
    </row>
    <row r="276" spans="1:50" x14ac:dyDescent="0.25">
      <c r="A276" s="1"/>
      <c r="H276" s="1"/>
      <c r="O276" s="1"/>
      <c r="V276" s="1"/>
      <c r="AC276" s="1"/>
      <c r="AJ276" s="1"/>
      <c r="AQ276" s="1"/>
      <c r="AX276" s="1"/>
    </row>
    <row r="277" spans="1:50" x14ac:dyDescent="0.25">
      <c r="A277" s="1"/>
      <c r="H277" s="1"/>
      <c r="O277" s="1"/>
      <c r="V277" s="1"/>
      <c r="AC277" s="1"/>
      <c r="AJ277" s="1"/>
      <c r="AQ277" s="1"/>
      <c r="AX277" s="1"/>
    </row>
    <row r="278" spans="1:50" x14ac:dyDescent="0.25">
      <c r="A278" s="1"/>
      <c r="H278" s="1"/>
      <c r="O278" s="1"/>
      <c r="V278" s="1"/>
      <c r="AC278" s="1"/>
      <c r="AJ278" s="1"/>
      <c r="AQ278" s="1"/>
      <c r="AX278" s="1"/>
    </row>
    <row r="279" spans="1:50" x14ac:dyDescent="0.25">
      <c r="A279" s="1"/>
      <c r="H279" s="1"/>
      <c r="O279" s="1"/>
      <c r="V279" s="1"/>
      <c r="AC279" s="1"/>
      <c r="AJ279" s="1"/>
      <c r="AQ279" s="1"/>
      <c r="AX279" s="1"/>
    </row>
    <row r="280" spans="1:50" x14ac:dyDescent="0.25">
      <c r="A280" s="1"/>
      <c r="H280" s="1"/>
      <c r="O280" s="1"/>
      <c r="V280" s="1"/>
      <c r="AC280" s="1"/>
      <c r="AJ280" s="1"/>
      <c r="AQ280" s="1"/>
      <c r="AX280" s="1"/>
    </row>
    <row r="281" spans="1:50" x14ac:dyDescent="0.25">
      <c r="A281" s="1"/>
      <c r="H281" s="1"/>
      <c r="O281" s="1"/>
      <c r="V281" s="1"/>
      <c r="AC281" s="1"/>
      <c r="AJ281" s="1"/>
      <c r="AQ281" s="1"/>
      <c r="AX281" s="1"/>
    </row>
    <row r="282" spans="1:50" x14ac:dyDescent="0.25">
      <c r="A282" s="1"/>
      <c r="H282" s="1"/>
      <c r="O282" s="1"/>
      <c r="V282" s="1"/>
      <c r="AC282" s="1"/>
      <c r="AJ282" s="1"/>
      <c r="AQ282" s="1"/>
      <c r="AX282" s="1"/>
    </row>
    <row r="283" spans="1:50" x14ac:dyDescent="0.25">
      <c r="A283" s="1"/>
      <c r="H283" s="1"/>
      <c r="O283" s="1"/>
      <c r="V283" s="1"/>
      <c r="AC283" s="1"/>
      <c r="AJ283" s="1"/>
      <c r="AQ283" s="1"/>
      <c r="AX283" s="1"/>
    </row>
    <row r="284" spans="1:50" x14ac:dyDescent="0.25">
      <c r="A284" s="1"/>
      <c r="H284" s="1"/>
      <c r="O284" s="1"/>
      <c r="V284" s="1"/>
      <c r="AC284" s="1"/>
      <c r="AJ284" s="1"/>
      <c r="AQ284" s="1"/>
      <c r="AX284" s="1"/>
    </row>
    <row r="285" spans="1:50" x14ac:dyDescent="0.25">
      <c r="A285" s="1"/>
      <c r="H285" s="1"/>
      <c r="O285" s="1"/>
      <c r="V285" s="1"/>
      <c r="AC285" s="1"/>
      <c r="AJ285" s="1"/>
      <c r="AQ285" s="1"/>
      <c r="AX285" s="1"/>
    </row>
    <row r="286" spans="1:50" x14ac:dyDescent="0.25">
      <c r="A286" s="1"/>
      <c r="H286" s="1"/>
      <c r="O286" s="1"/>
      <c r="V286" s="1"/>
      <c r="AC286" s="1"/>
      <c r="AJ286" s="1"/>
      <c r="AQ286" s="1"/>
      <c r="AX286" s="1"/>
    </row>
    <row r="287" spans="1:50" x14ac:dyDescent="0.25">
      <c r="A287" s="1"/>
      <c r="H287" s="1"/>
      <c r="O287" s="1"/>
      <c r="V287" s="1"/>
      <c r="AC287" s="1"/>
      <c r="AJ287" s="1"/>
      <c r="AQ287" s="1"/>
      <c r="AX287" s="1"/>
    </row>
    <row r="288" spans="1:50" x14ac:dyDescent="0.25">
      <c r="A288" s="1"/>
      <c r="H288" s="1"/>
      <c r="O288" s="1"/>
      <c r="V288" s="1"/>
      <c r="AC288" s="1"/>
      <c r="AJ288" s="1"/>
      <c r="AQ288" s="1"/>
      <c r="AX288" s="1"/>
    </row>
    <row r="289" spans="1:50" x14ac:dyDescent="0.25">
      <c r="A289" s="1"/>
      <c r="H289" s="1"/>
      <c r="O289" s="1"/>
      <c r="V289" s="1"/>
      <c r="AC289" s="1"/>
      <c r="AJ289" s="1"/>
      <c r="AQ289" s="1"/>
      <c r="AX289" s="1"/>
    </row>
    <row r="290" spans="1:50" x14ac:dyDescent="0.25">
      <c r="A290" s="1"/>
      <c r="H290" s="1"/>
      <c r="O290" s="1"/>
      <c r="V290" s="1"/>
      <c r="AC290" s="1"/>
      <c r="AJ290" s="1"/>
      <c r="AQ290" s="1"/>
      <c r="AX290" s="1"/>
    </row>
    <row r="291" spans="1:50" x14ac:dyDescent="0.25">
      <c r="A291" s="1"/>
      <c r="H291" s="1"/>
      <c r="O291" s="1"/>
      <c r="V291" s="1"/>
      <c r="AC291" s="1"/>
      <c r="AJ291" s="1"/>
      <c r="AQ291" s="1"/>
      <c r="AX291" s="1"/>
    </row>
    <row r="292" spans="1:50" x14ac:dyDescent="0.25">
      <c r="A292" s="1"/>
      <c r="H292" s="1"/>
      <c r="O292" s="1"/>
      <c r="V292" s="1"/>
      <c r="AC292" s="1"/>
      <c r="AJ292" s="1"/>
      <c r="AQ292" s="1"/>
      <c r="AX292" s="1"/>
    </row>
    <row r="293" spans="1:50" x14ac:dyDescent="0.25">
      <c r="A293" s="1"/>
      <c r="H293" s="1"/>
      <c r="O293" s="1"/>
      <c r="V293" s="1"/>
      <c r="AC293" s="1"/>
      <c r="AJ293" s="1"/>
      <c r="AQ293" s="1"/>
      <c r="AX293" s="1"/>
    </row>
    <row r="294" spans="1:50" x14ac:dyDescent="0.25">
      <c r="A294" s="1"/>
      <c r="H294" s="1"/>
      <c r="O294" s="1"/>
      <c r="V294" s="1"/>
      <c r="AC294" s="1"/>
      <c r="AJ294" s="1"/>
      <c r="AQ294" s="1"/>
      <c r="AX294" s="1"/>
    </row>
    <row r="295" spans="1:50" x14ac:dyDescent="0.25">
      <c r="A295" s="1"/>
      <c r="H295" s="1"/>
      <c r="O295" s="1"/>
      <c r="V295" s="1"/>
      <c r="AC295" s="1"/>
      <c r="AJ295" s="1"/>
      <c r="AQ295" s="1"/>
      <c r="AX295" s="1"/>
    </row>
    <row r="296" spans="1:50" x14ac:dyDescent="0.25">
      <c r="A296" s="1"/>
      <c r="H296" s="1"/>
      <c r="O296" s="1"/>
      <c r="V296" s="1"/>
      <c r="AC296" s="1"/>
      <c r="AJ296" s="1"/>
      <c r="AQ296" s="1"/>
      <c r="AX296" s="1"/>
    </row>
    <row r="297" spans="1:50" x14ac:dyDescent="0.25">
      <c r="A297" s="1"/>
      <c r="H297" s="1"/>
      <c r="O297" s="1"/>
      <c r="V297" s="1"/>
      <c r="AC297" s="1"/>
      <c r="AJ297" s="1"/>
      <c r="AQ297" s="1"/>
      <c r="AX297" s="1"/>
    </row>
    <row r="298" spans="1:50" x14ac:dyDescent="0.25">
      <c r="A298" s="1"/>
      <c r="H298" s="1"/>
      <c r="O298" s="1"/>
      <c r="V298" s="1"/>
      <c r="AC298" s="1"/>
      <c r="AJ298" s="1"/>
      <c r="AQ298" s="1"/>
      <c r="AX298" s="1"/>
    </row>
    <row r="299" spans="1:50" x14ac:dyDescent="0.25">
      <c r="A299" s="1"/>
      <c r="H299" s="1"/>
      <c r="O299" s="1"/>
      <c r="V299" s="1"/>
      <c r="AC299" s="1"/>
      <c r="AJ299" s="1"/>
      <c r="AQ299" s="1"/>
      <c r="AX299" s="1"/>
    </row>
    <row r="300" spans="1:50" x14ac:dyDescent="0.25">
      <c r="A300" s="1"/>
      <c r="H300" s="1"/>
      <c r="O300" s="1"/>
      <c r="V300" s="1"/>
      <c r="AC300" s="1"/>
      <c r="AJ300" s="1"/>
      <c r="AQ300" s="1"/>
      <c r="AX300" s="1"/>
    </row>
    <row r="301" spans="1:50" x14ac:dyDescent="0.25">
      <c r="A301" s="1"/>
      <c r="H301" s="1"/>
      <c r="O301" s="1"/>
      <c r="V301" s="1"/>
      <c r="AC301" s="1"/>
      <c r="AJ301" s="1"/>
      <c r="AQ301" s="1"/>
      <c r="AX301" s="1"/>
    </row>
    <row r="302" spans="1:50" x14ac:dyDescent="0.25">
      <c r="A302" s="1"/>
      <c r="H302" s="1"/>
      <c r="O302" s="1"/>
      <c r="V302" s="1"/>
      <c r="AC302" s="1"/>
      <c r="AJ302" s="1"/>
      <c r="AQ302" s="1"/>
      <c r="AX302" s="1"/>
    </row>
    <row r="303" spans="1:50" x14ac:dyDescent="0.25">
      <c r="A303" s="1"/>
      <c r="H303" s="1"/>
      <c r="O303" s="1"/>
      <c r="V303" s="1"/>
      <c r="AC303" s="1"/>
      <c r="AJ303" s="1"/>
      <c r="AQ303" s="1"/>
      <c r="AX303" s="1"/>
    </row>
    <row r="304" spans="1:50" x14ac:dyDescent="0.25">
      <c r="A304" s="1"/>
      <c r="H304" s="1"/>
      <c r="O304" s="1"/>
      <c r="V304" s="1"/>
      <c r="AC304" s="1"/>
      <c r="AJ304" s="1"/>
      <c r="AQ304" s="1"/>
      <c r="AX304" s="1"/>
    </row>
    <row r="305" spans="1:50" x14ac:dyDescent="0.25">
      <c r="A305" s="1"/>
      <c r="H305" s="1"/>
      <c r="O305" s="1"/>
      <c r="V305" s="1"/>
      <c r="AC305" s="1"/>
      <c r="AJ305" s="1"/>
      <c r="AQ305" s="1"/>
      <c r="AX305" s="1"/>
    </row>
    <row r="306" spans="1:50" x14ac:dyDescent="0.25">
      <c r="A306" s="1"/>
      <c r="H306" s="1"/>
      <c r="O306" s="1"/>
      <c r="V306" s="1"/>
      <c r="AC306" s="1"/>
      <c r="AJ306" s="1"/>
      <c r="AQ306" s="1"/>
      <c r="AX306" s="1"/>
    </row>
    <row r="307" spans="1:50" x14ac:dyDescent="0.25">
      <c r="A307" s="1"/>
      <c r="H307" s="1"/>
      <c r="O307" s="1"/>
      <c r="V307" s="1"/>
      <c r="AC307" s="1"/>
      <c r="AJ307" s="1"/>
      <c r="AQ307" s="1"/>
      <c r="AX307" s="1"/>
    </row>
    <row r="308" spans="1:50" x14ac:dyDescent="0.25">
      <c r="A308" s="1"/>
      <c r="H308" s="1"/>
      <c r="O308" s="1"/>
      <c r="V308" s="1"/>
      <c r="AC308" s="1"/>
      <c r="AJ308" s="1"/>
      <c r="AQ308" s="1"/>
      <c r="AX308" s="1"/>
    </row>
    <row r="309" spans="1:50" x14ac:dyDescent="0.25">
      <c r="A309" s="1"/>
      <c r="H309" s="1"/>
      <c r="O309" s="1"/>
      <c r="V309" s="1"/>
      <c r="AC309" s="1"/>
      <c r="AJ309" s="1"/>
      <c r="AQ309" s="1"/>
      <c r="AX309" s="1"/>
    </row>
    <row r="310" spans="1:50" x14ac:dyDescent="0.25">
      <c r="A310" s="1"/>
      <c r="H310" s="1"/>
      <c r="O310" s="1"/>
      <c r="V310" s="1"/>
      <c r="AC310" s="1"/>
      <c r="AJ310" s="1"/>
      <c r="AQ310" s="1"/>
      <c r="AX310" s="1"/>
    </row>
    <row r="311" spans="1:50" x14ac:dyDescent="0.25">
      <c r="A311" s="1"/>
      <c r="H311" s="1"/>
      <c r="O311" s="1"/>
      <c r="V311" s="1"/>
      <c r="AC311" s="1"/>
      <c r="AJ311" s="1"/>
      <c r="AQ311" s="1"/>
      <c r="AX311" s="1"/>
    </row>
    <row r="312" spans="1:50" x14ac:dyDescent="0.25">
      <c r="A312" s="1"/>
      <c r="H312" s="1"/>
      <c r="O312" s="1"/>
      <c r="V312" s="1"/>
      <c r="AC312" s="1"/>
      <c r="AJ312" s="1"/>
      <c r="AQ312" s="1"/>
      <c r="AX312" s="1"/>
    </row>
    <row r="313" spans="1:50" x14ac:dyDescent="0.25">
      <c r="A313" s="1"/>
      <c r="H313" s="1"/>
      <c r="O313" s="1"/>
      <c r="V313" s="1"/>
      <c r="AC313" s="1"/>
      <c r="AJ313" s="1"/>
      <c r="AQ313" s="1"/>
      <c r="AX313" s="1"/>
    </row>
    <row r="314" spans="1:50" x14ac:dyDescent="0.25">
      <c r="A314" s="1"/>
      <c r="H314" s="1"/>
      <c r="O314" s="1"/>
      <c r="V314" s="1"/>
      <c r="AC314" s="1"/>
      <c r="AJ314" s="1"/>
      <c r="AQ314" s="1"/>
      <c r="AX314" s="1"/>
    </row>
    <row r="315" spans="1:50" x14ac:dyDescent="0.25">
      <c r="A315" s="1"/>
      <c r="H315" s="1"/>
      <c r="O315" s="1"/>
      <c r="V315" s="1"/>
      <c r="AC315" s="1"/>
      <c r="AJ315" s="1"/>
      <c r="AQ315" s="1"/>
      <c r="AX315" s="1"/>
    </row>
    <row r="316" spans="1:50" x14ac:dyDescent="0.25">
      <c r="A316" s="1"/>
      <c r="H316" s="1"/>
      <c r="O316" s="1"/>
      <c r="V316" s="1"/>
      <c r="AC316" s="1"/>
      <c r="AJ316" s="1"/>
      <c r="AQ316" s="1"/>
      <c r="AX316" s="1"/>
    </row>
    <row r="317" spans="1:50" x14ac:dyDescent="0.25">
      <c r="A317" s="1"/>
      <c r="H317" s="1"/>
      <c r="O317" s="1"/>
      <c r="V317" s="1"/>
      <c r="AC317" s="1"/>
      <c r="AJ317" s="1"/>
      <c r="AQ317" s="1"/>
      <c r="AX317" s="1"/>
    </row>
    <row r="318" spans="1:50" x14ac:dyDescent="0.25">
      <c r="A318" s="1"/>
      <c r="H318" s="1"/>
      <c r="O318" s="1"/>
      <c r="V318" s="1"/>
      <c r="AC318" s="1"/>
      <c r="AJ318" s="1"/>
      <c r="AQ318" s="1"/>
      <c r="AX318" s="1"/>
    </row>
    <row r="319" spans="1:50" x14ac:dyDescent="0.25">
      <c r="A319" s="1"/>
      <c r="H319" s="1"/>
      <c r="O319" s="1"/>
      <c r="V319" s="1"/>
      <c r="AC319" s="1"/>
      <c r="AJ319" s="1"/>
      <c r="AQ319" s="1"/>
      <c r="AX319" s="1"/>
    </row>
    <row r="320" spans="1:50" x14ac:dyDescent="0.25">
      <c r="A320" s="1"/>
      <c r="H320" s="1"/>
      <c r="O320" s="1"/>
      <c r="V320" s="1"/>
      <c r="AC320" s="1"/>
      <c r="AJ320" s="1"/>
      <c r="AQ320" s="1"/>
      <c r="AX320" s="1"/>
    </row>
    <row r="321" spans="1:50" x14ac:dyDescent="0.25">
      <c r="A321" s="1"/>
      <c r="H321" s="1"/>
      <c r="O321" s="1"/>
      <c r="V321" s="1"/>
      <c r="AC321" s="1"/>
      <c r="AJ321" s="1"/>
      <c r="AQ321" s="1"/>
      <c r="AX321" s="1"/>
    </row>
    <row r="322" spans="1:50" x14ac:dyDescent="0.25">
      <c r="A322" s="1"/>
      <c r="H322" s="1"/>
      <c r="O322" s="1"/>
      <c r="V322" s="1"/>
      <c r="AC322" s="1"/>
      <c r="AJ322" s="1"/>
      <c r="AQ322" s="1"/>
      <c r="AX322" s="1"/>
    </row>
    <row r="323" spans="1:50" x14ac:dyDescent="0.25">
      <c r="A323" s="1"/>
      <c r="H323" s="1"/>
      <c r="O323" s="1"/>
      <c r="V323" s="1"/>
      <c r="AC323" s="1"/>
      <c r="AJ323" s="1"/>
      <c r="AQ323" s="1"/>
      <c r="AX323" s="1"/>
    </row>
    <row r="324" spans="1:50" x14ac:dyDescent="0.25">
      <c r="A324" s="1"/>
      <c r="H324" s="1"/>
      <c r="O324" s="1"/>
      <c r="V324" s="1"/>
      <c r="AC324" s="1"/>
      <c r="AJ324" s="1"/>
      <c r="AQ324" s="1"/>
      <c r="AX324" s="1"/>
    </row>
    <row r="325" spans="1:50" x14ac:dyDescent="0.25">
      <c r="A325" s="1"/>
      <c r="H325" s="1"/>
      <c r="O325" s="1"/>
      <c r="V325" s="1"/>
      <c r="AC325" s="1"/>
      <c r="AJ325" s="1"/>
      <c r="AQ325" s="1"/>
      <c r="AX325" s="1"/>
    </row>
    <row r="326" spans="1:50" x14ac:dyDescent="0.25">
      <c r="A326" s="1"/>
      <c r="H326" s="1"/>
      <c r="O326" s="1"/>
      <c r="V326" s="1"/>
      <c r="AC326" s="1"/>
      <c r="AJ326" s="1"/>
      <c r="AQ326" s="1"/>
      <c r="AX326" s="1"/>
    </row>
    <row r="327" spans="1:50" x14ac:dyDescent="0.25">
      <c r="A327" s="1"/>
      <c r="H327" s="1"/>
      <c r="O327" s="1"/>
      <c r="V327" s="1"/>
      <c r="AC327" s="1"/>
      <c r="AJ327" s="1"/>
      <c r="AQ327" s="1"/>
      <c r="AX327" s="1"/>
    </row>
    <row r="328" spans="1:50" x14ac:dyDescent="0.25">
      <c r="A328" s="1"/>
      <c r="H328" s="1"/>
      <c r="O328" s="1"/>
      <c r="V328" s="1"/>
      <c r="AC328" s="1"/>
      <c r="AJ328" s="1"/>
      <c r="AQ328" s="1"/>
      <c r="AX328" s="1"/>
    </row>
    <row r="329" spans="1:50" x14ac:dyDescent="0.25">
      <c r="A329" s="1"/>
      <c r="H329" s="1"/>
      <c r="O329" s="1"/>
      <c r="V329" s="1"/>
      <c r="AC329" s="1"/>
      <c r="AJ329" s="1"/>
      <c r="AQ329" s="1"/>
      <c r="AX329" s="1"/>
    </row>
    <row r="330" spans="1:50" x14ac:dyDescent="0.25">
      <c r="A330" s="1"/>
      <c r="H330" s="1"/>
      <c r="O330" s="1"/>
      <c r="V330" s="1"/>
      <c r="AC330" s="1"/>
      <c r="AJ330" s="1"/>
      <c r="AQ330" s="1"/>
      <c r="AX330" s="1"/>
    </row>
    <row r="331" spans="1:50" x14ac:dyDescent="0.25">
      <c r="A331" s="1"/>
      <c r="H331" s="1"/>
      <c r="O331" s="1"/>
      <c r="V331" s="1"/>
      <c r="AC331" s="1"/>
      <c r="AJ331" s="1"/>
      <c r="AQ331" s="1"/>
      <c r="AX331" s="1"/>
    </row>
    <row r="332" spans="1:50" x14ac:dyDescent="0.25">
      <c r="A332" s="1"/>
      <c r="H332" s="1"/>
      <c r="O332" s="1"/>
      <c r="V332" s="1"/>
      <c r="AC332" s="1"/>
      <c r="AJ332" s="1"/>
      <c r="AQ332" s="1"/>
      <c r="AX332" s="1"/>
    </row>
    <row r="333" spans="1:50" x14ac:dyDescent="0.25">
      <c r="A333" s="1"/>
      <c r="H333" s="1"/>
      <c r="O333" s="1"/>
      <c r="V333" s="1"/>
      <c r="AC333" s="1"/>
      <c r="AJ333" s="1"/>
      <c r="AQ333" s="1"/>
      <c r="AX333" s="1"/>
    </row>
    <row r="334" spans="1:50" x14ac:dyDescent="0.25">
      <c r="A334" s="1"/>
      <c r="H334" s="1"/>
      <c r="O334" s="1"/>
      <c r="V334" s="1"/>
      <c r="AC334" s="1"/>
      <c r="AJ334" s="1"/>
      <c r="AQ334" s="1"/>
      <c r="AX334" s="1"/>
    </row>
    <row r="335" spans="1:50" x14ac:dyDescent="0.25">
      <c r="A335" s="1"/>
      <c r="H335" s="1"/>
      <c r="O335" s="1"/>
      <c r="V335" s="1"/>
      <c r="AC335" s="1"/>
      <c r="AJ335" s="1"/>
      <c r="AQ335" s="1"/>
      <c r="AX335" s="1"/>
    </row>
    <row r="336" spans="1:50" x14ac:dyDescent="0.25">
      <c r="A336" s="1"/>
      <c r="H336" s="1"/>
      <c r="O336" s="1"/>
      <c r="V336" s="1"/>
      <c r="AC336" s="1"/>
      <c r="AJ336" s="1"/>
      <c r="AQ336" s="1"/>
      <c r="AX336" s="1"/>
    </row>
    <row r="337" spans="1:50" x14ac:dyDescent="0.25">
      <c r="A337" s="1"/>
      <c r="H337" s="1"/>
      <c r="O337" s="1"/>
      <c r="V337" s="1"/>
      <c r="AC337" s="1"/>
      <c r="AJ337" s="1"/>
      <c r="AQ337" s="1"/>
      <c r="AX337" s="1"/>
    </row>
    <row r="338" spans="1:50" x14ac:dyDescent="0.25">
      <c r="A338" s="1"/>
      <c r="H338" s="1"/>
      <c r="O338" s="1"/>
      <c r="V338" s="1"/>
      <c r="AC338" s="1"/>
      <c r="AJ338" s="1"/>
      <c r="AQ338" s="1"/>
      <c r="AX338" s="1"/>
    </row>
    <row r="339" spans="1:50" x14ac:dyDescent="0.25">
      <c r="A339" s="1"/>
      <c r="H339" s="1"/>
      <c r="O339" s="1"/>
      <c r="V339" s="1"/>
      <c r="AC339" s="1"/>
      <c r="AJ339" s="1"/>
      <c r="AQ339" s="1"/>
      <c r="AX339" s="1"/>
    </row>
    <row r="340" spans="1:50" x14ac:dyDescent="0.25">
      <c r="A340" s="1"/>
      <c r="H340" s="1"/>
      <c r="O340" s="1"/>
      <c r="V340" s="1"/>
      <c r="AC340" s="1"/>
      <c r="AJ340" s="1"/>
      <c r="AQ340" s="1"/>
      <c r="AX340" s="1"/>
    </row>
    <row r="341" spans="1:50" x14ac:dyDescent="0.25">
      <c r="A341" s="1"/>
      <c r="H341" s="1"/>
      <c r="O341" s="1"/>
      <c r="V341" s="1"/>
      <c r="AC341" s="1"/>
      <c r="AJ341" s="1"/>
      <c r="AQ341" s="1"/>
      <c r="AX341" s="1"/>
    </row>
    <row r="342" spans="1:50" x14ac:dyDescent="0.25">
      <c r="A342" s="1"/>
      <c r="H342" s="1"/>
      <c r="O342" s="1"/>
      <c r="V342" s="1"/>
      <c r="AC342" s="1"/>
      <c r="AJ342" s="1"/>
      <c r="AQ342" s="1"/>
      <c r="AX342" s="1"/>
    </row>
    <row r="343" spans="1:50" x14ac:dyDescent="0.25">
      <c r="A343" s="1"/>
      <c r="H343" s="1"/>
      <c r="O343" s="1"/>
      <c r="V343" s="1"/>
      <c r="AC343" s="1"/>
      <c r="AJ343" s="1"/>
      <c r="AQ343" s="1"/>
      <c r="AX343" s="1"/>
    </row>
    <row r="344" spans="1:50" x14ac:dyDescent="0.25">
      <c r="A344" s="1"/>
      <c r="H344" s="1"/>
      <c r="O344" s="1"/>
      <c r="V344" s="1"/>
      <c r="AC344" s="1"/>
      <c r="AJ344" s="1"/>
      <c r="AQ344" s="1"/>
      <c r="AX344" s="1"/>
    </row>
    <row r="345" spans="1:50" x14ac:dyDescent="0.25">
      <c r="A345" s="1"/>
      <c r="H345" s="1"/>
      <c r="O345" s="1"/>
      <c r="V345" s="1"/>
      <c r="AC345" s="1"/>
      <c r="AJ345" s="1"/>
      <c r="AQ345" s="1"/>
      <c r="AX345" s="1"/>
    </row>
    <row r="346" spans="1:50" x14ac:dyDescent="0.25">
      <c r="A346" s="1"/>
      <c r="H346" s="1"/>
      <c r="O346" s="1"/>
      <c r="V346" s="1"/>
      <c r="AC346" s="1"/>
      <c r="AJ346" s="1"/>
      <c r="AQ346" s="1"/>
      <c r="AX346" s="1"/>
    </row>
    <row r="347" spans="1:50" x14ac:dyDescent="0.25">
      <c r="A347" s="1"/>
      <c r="H347" s="1"/>
      <c r="O347" s="1"/>
      <c r="V347" s="1"/>
      <c r="AC347" s="1"/>
      <c r="AJ347" s="1"/>
      <c r="AQ347" s="1"/>
      <c r="AX347" s="1"/>
    </row>
    <row r="348" spans="1:50" x14ac:dyDescent="0.25">
      <c r="A348" s="1"/>
      <c r="H348" s="1"/>
      <c r="O348" s="1"/>
      <c r="V348" s="1"/>
      <c r="AC348" s="1"/>
      <c r="AJ348" s="1"/>
      <c r="AQ348" s="1"/>
      <c r="AX348" s="1"/>
    </row>
    <row r="349" spans="1:50" x14ac:dyDescent="0.25">
      <c r="A349" s="1"/>
      <c r="H349" s="1"/>
      <c r="O349" s="1"/>
      <c r="V349" s="1"/>
      <c r="AC349" s="1"/>
      <c r="AJ349" s="1"/>
      <c r="AQ349" s="1"/>
      <c r="AX349" s="1"/>
    </row>
    <row r="350" spans="1:50" x14ac:dyDescent="0.25">
      <c r="A350" s="1"/>
      <c r="H350" s="1"/>
      <c r="O350" s="1"/>
      <c r="V350" s="1"/>
      <c r="AC350" s="1"/>
      <c r="AJ350" s="1"/>
      <c r="AQ350" s="1"/>
      <c r="AX350" s="1"/>
    </row>
    <row r="351" spans="1:50" x14ac:dyDescent="0.25">
      <c r="A351" s="1"/>
      <c r="H351" s="1"/>
      <c r="O351" s="1"/>
      <c r="V351" s="1"/>
      <c r="AC351" s="1"/>
      <c r="AJ351" s="1"/>
      <c r="AQ351" s="1"/>
      <c r="AX351" s="1"/>
    </row>
    <row r="352" spans="1:50" x14ac:dyDescent="0.25">
      <c r="A352" s="1"/>
      <c r="H352" s="1"/>
      <c r="O352" s="1"/>
      <c r="V352" s="1"/>
      <c r="AC352" s="1"/>
      <c r="AJ352" s="1"/>
      <c r="AQ352" s="1"/>
      <c r="AX352" s="1"/>
    </row>
    <row r="353" spans="1:50" x14ac:dyDescent="0.25">
      <c r="A353" s="1"/>
      <c r="H353" s="1"/>
      <c r="O353" s="1"/>
      <c r="V353" s="1"/>
      <c r="AC353" s="1"/>
      <c r="AJ353" s="1"/>
      <c r="AQ353" s="1"/>
      <c r="AX353" s="1"/>
    </row>
    <row r="354" spans="1:50" x14ac:dyDescent="0.25">
      <c r="A354" s="1"/>
      <c r="H354" s="1"/>
      <c r="O354" s="1"/>
      <c r="V354" s="1"/>
      <c r="AC354" s="1"/>
      <c r="AJ354" s="1"/>
      <c r="AQ354" s="1"/>
      <c r="AX354" s="1"/>
    </row>
    <row r="355" spans="1:50" x14ac:dyDescent="0.25">
      <c r="A355" s="1"/>
      <c r="H355" s="1"/>
      <c r="O355" s="1"/>
      <c r="V355" s="1"/>
      <c r="AC355" s="1"/>
      <c r="AJ355" s="1"/>
      <c r="AQ355" s="1"/>
      <c r="AX355" s="1"/>
    </row>
    <row r="356" spans="1:50" x14ac:dyDescent="0.25">
      <c r="A356" s="1"/>
      <c r="H356" s="1"/>
      <c r="O356" s="1"/>
      <c r="V356" s="1"/>
      <c r="AC356" s="1"/>
      <c r="AJ356" s="1"/>
      <c r="AQ356" s="1"/>
      <c r="AX356" s="1"/>
    </row>
    <row r="357" spans="1:50" x14ac:dyDescent="0.25">
      <c r="A357" s="1"/>
      <c r="H357" s="1"/>
      <c r="O357" s="1"/>
      <c r="V357" s="1"/>
      <c r="AC357" s="1"/>
      <c r="AJ357" s="1"/>
      <c r="AQ357" s="1"/>
      <c r="AX357" s="1"/>
    </row>
    <row r="358" spans="1:50" x14ac:dyDescent="0.25">
      <c r="A358" s="1"/>
      <c r="H358" s="1"/>
      <c r="O358" s="1"/>
      <c r="V358" s="1"/>
      <c r="AC358" s="1"/>
      <c r="AJ358" s="1"/>
      <c r="AQ358" s="1"/>
      <c r="AX358" s="1"/>
    </row>
    <row r="359" spans="1:50" x14ac:dyDescent="0.25">
      <c r="A359" s="1"/>
      <c r="H359" s="1"/>
      <c r="O359" s="1"/>
      <c r="V359" s="1"/>
      <c r="AC359" s="1"/>
      <c r="AJ359" s="1"/>
      <c r="AQ359" s="1"/>
      <c r="AX359" s="1"/>
    </row>
    <row r="360" spans="1:50" x14ac:dyDescent="0.25">
      <c r="A360" s="1"/>
      <c r="H360" s="1"/>
      <c r="O360" s="1"/>
      <c r="V360" s="1"/>
      <c r="AC360" s="1"/>
      <c r="AJ360" s="1"/>
      <c r="AQ360" s="1"/>
      <c r="AX360" s="1"/>
    </row>
    <row r="361" spans="1:50" x14ac:dyDescent="0.25">
      <c r="A361" s="1"/>
      <c r="H361" s="1"/>
      <c r="O361" s="1"/>
      <c r="V361" s="1"/>
      <c r="AC361" s="1"/>
      <c r="AJ361" s="1"/>
      <c r="AQ361" s="1"/>
      <c r="AX361" s="1"/>
    </row>
    <row r="362" spans="1:50" x14ac:dyDescent="0.25">
      <c r="A362" s="1"/>
      <c r="H362" s="1"/>
      <c r="O362" s="1"/>
      <c r="V362" s="1"/>
      <c r="AC362" s="1"/>
      <c r="AJ362" s="1"/>
      <c r="AQ362" s="1"/>
      <c r="AX362" s="1"/>
    </row>
    <row r="363" spans="1:50" x14ac:dyDescent="0.25">
      <c r="A363" s="1"/>
      <c r="H363" s="1"/>
      <c r="O363" s="1"/>
      <c r="V363" s="1"/>
      <c r="AC363" s="1"/>
      <c r="AJ363" s="1"/>
      <c r="AQ363" s="1"/>
      <c r="AX363" s="1"/>
    </row>
    <row r="364" spans="1:50" x14ac:dyDescent="0.25">
      <c r="A364" s="1"/>
      <c r="H364" s="1"/>
      <c r="O364" s="1"/>
      <c r="V364" s="1"/>
      <c r="AC364" s="1"/>
      <c r="AJ364" s="1"/>
      <c r="AQ364" s="1"/>
      <c r="AX364" s="1"/>
    </row>
    <row r="365" spans="1:50" x14ac:dyDescent="0.25">
      <c r="A365" s="1"/>
      <c r="H365" s="1"/>
      <c r="O365" s="1"/>
      <c r="V365" s="1"/>
      <c r="AC365" s="1"/>
      <c r="AJ365" s="1"/>
      <c r="AQ365" s="1"/>
      <c r="AX365" s="1"/>
    </row>
    <row r="366" spans="1:50" x14ac:dyDescent="0.25">
      <c r="A366" s="1"/>
      <c r="H366" s="1"/>
      <c r="O366" s="1"/>
      <c r="V366" s="1"/>
      <c r="AC366" s="1"/>
      <c r="AJ366" s="1"/>
      <c r="AQ366" s="1"/>
      <c r="AX366" s="1"/>
    </row>
    <row r="367" spans="1:50" x14ac:dyDescent="0.25">
      <c r="A367" s="1"/>
      <c r="H367" s="1"/>
      <c r="O367" s="1"/>
      <c r="V367" s="1"/>
      <c r="AC367" s="1"/>
      <c r="AJ367" s="1"/>
      <c r="AQ367" s="1"/>
      <c r="AX367" s="1"/>
    </row>
    <row r="368" spans="1:50" x14ac:dyDescent="0.25">
      <c r="A368" s="1"/>
      <c r="H368" s="1"/>
      <c r="O368" s="1"/>
      <c r="V368" s="1"/>
      <c r="AC368" s="1"/>
      <c r="AJ368" s="1"/>
      <c r="AQ368" s="1"/>
      <c r="AX368" s="1"/>
    </row>
    <row r="369" spans="1:50" x14ac:dyDescent="0.25">
      <c r="A369" s="1"/>
      <c r="H369" s="1"/>
      <c r="O369" s="1"/>
      <c r="V369" s="1"/>
      <c r="AC369" s="1"/>
      <c r="AJ369" s="1"/>
      <c r="AQ369" s="1"/>
      <c r="AX369" s="1"/>
    </row>
    <row r="370" spans="1:50" x14ac:dyDescent="0.25">
      <c r="A370" s="1"/>
      <c r="H370" s="1"/>
      <c r="O370" s="1"/>
      <c r="V370" s="1"/>
      <c r="AC370" s="1"/>
      <c r="AJ370" s="1"/>
      <c r="AQ370" s="1"/>
      <c r="AX370" s="1"/>
    </row>
    <row r="371" spans="1:50" x14ac:dyDescent="0.25">
      <c r="A371" s="1"/>
      <c r="H371" s="1"/>
      <c r="O371" s="1"/>
      <c r="V371" s="1"/>
      <c r="AC371" s="1"/>
      <c r="AJ371" s="1"/>
      <c r="AQ371" s="1"/>
      <c r="AX371" s="1"/>
    </row>
    <row r="372" spans="1:50" x14ac:dyDescent="0.25">
      <c r="A372" s="1"/>
      <c r="H372" s="1"/>
      <c r="O372" s="1"/>
      <c r="V372" s="1"/>
      <c r="AC372" s="1"/>
      <c r="AJ372" s="1"/>
      <c r="AQ372" s="1"/>
      <c r="AX372" s="1"/>
    </row>
    <row r="373" spans="1:50" x14ac:dyDescent="0.25">
      <c r="A373" s="1"/>
      <c r="H373" s="1"/>
      <c r="O373" s="1"/>
      <c r="V373" s="1"/>
      <c r="AC373" s="1"/>
      <c r="AJ373" s="1"/>
      <c r="AQ373" s="1"/>
      <c r="AX373" s="1"/>
    </row>
    <row r="374" spans="1:50" x14ac:dyDescent="0.25">
      <c r="A374" s="1"/>
      <c r="H374" s="1"/>
      <c r="O374" s="1"/>
      <c r="V374" s="1"/>
      <c r="AC374" s="1"/>
      <c r="AJ374" s="1"/>
      <c r="AQ374" s="1"/>
      <c r="AX374" s="1"/>
    </row>
    <row r="375" spans="1:50" x14ac:dyDescent="0.25">
      <c r="A375" s="1"/>
      <c r="H375" s="1"/>
      <c r="O375" s="1"/>
      <c r="V375" s="1"/>
      <c r="AC375" s="1"/>
      <c r="AJ375" s="1"/>
      <c r="AQ375" s="1"/>
      <c r="AX375" s="1"/>
    </row>
    <row r="376" spans="1:50" x14ac:dyDescent="0.25">
      <c r="A376" s="1"/>
      <c r="H376" s="1"/>
      <c r="O376" s="1"/>
      <c r="V376" s="1"/>
      <c r="AC376" s="1"/>
      <c r="AJ376" s="1"/>
      <c r="AQ376" s="1"/>
      <c r="AX376" s="1"/>
    </row>
    <row r="377" spans="1:50" x14ac:dyDescent="0.25">
      <c r="A377" s="1"/>
      <c r="H377" s="1"/>
      <c r="O377" s="1"/>
      <c r="V377" s="1"/>
      <c r="AC377" s="1"/>
      <c r="AJ377" s="1"/>
      <c r="AQ377" s="1"/>
      <c r="AX377" s="1"/>
    </row>
    <row r="378" spans="1:50" x14ac:dyDescent="0.25">
      <c r="A378" s="1"/>
      <c r="H378" s="1"/>
      <c r="O378" s="1"/>
      <c r="V378" s="1"/>
      <c r="AC378" s="1"/>
      <c r="AJ378" s="1"/>
      <c r="AQ378" s="1"/>
      <c r="AX378" s="1"/>
    </row>
    <row r="379" spans="1:50" x14ac:dyDescent="0.25">
      <c r="A379" s="1"/>
      <c r="H379" s="1"/>
      <c r="O379" s="1"/>
      <c r="V379" s="1"/>
      <c r="AC379" s="1"/>
      <c r="AJ379" s="1"/>
      <c r="AQ379" s="1"/>
      <c r="AX379" s="1"/>
    </row>
    <row r="380" spans="1:50" x14ac:dyDescent="0.25">
      <c r="A380" s="1"/>
      <c r="H380" s="1"/>
      <c r="O380" s="1"/>
      <c r="V380" s="1"/>
      <c r="AC380" s="1"/>
      <c r="AJ380" s="1"/>
      <c r="AQ380" s="1"/>
      <c r="AX380" s="1"/>
    </row>
    <row r="381" spans="1:50" x14ac:dyDescent="0.25">
      <c r="A381" s="1"/>
      <c r="H381" s="1"/>
      <c r="O381" s="1"/>
      <c r="V381" s="1"/>
      <c r="AC381" s="1"/>
      <c r="AJ381" s="1"/>
      <c r="AQ381" s="1"/>
      <c r="AX381" s="1"/>
    </row>
    <row r="382" spans="1:50" x14ac:dyDescent="0.25">
      <c r="A382" s="1"/>
      <c r="H382" s="1"/>
      <c r="O382" s="1"/>
      <c r="V382" s="1"/>
      <c r="AC382" s="1"/>
      <c r="AJ382" s="1"/>
      <c r="AQ382" s="1"/>
      <c r="AX382" s="1"/>
    </row>
    <row r="383" spans="1:50" x14ac:dyDescent="0.25">
      <c r="A383" s="1"/>
      <c r="H383" s="1"/>
      <c r="O383" s="1"/>
      <c r="V383" s="1"/>
      <c r="AC383" s="1"/>
      <c r="AJ383" s="1"/>
      <c r="AQ383" s="1"/>
      <c r="AX383" s="1"/>
    </row>
    <row r="384" spans="1:50" x14ac:dyDescent="0.25">
      <c r="A384" s="1"/>
      <c r="H384" s="1"/>
      <c r="O384" s="1"/>
      <c r="V384" s="1"/>
      <c r="AC384" s="1"/>
      <c r="AJ384" s="1"/>
      <c r="AQ384" s="1"/>
      <c r="AX384" s="1"/>
    </row>
    <row r="385" spans="1:50" x14ac:dyDescent="0.25">
      <c r="A385" s="1"/>
      <c r="H385" s="1"/>
      <c r="O385" s="1"/>
      <c r="V385" s="1"/>
      <c r="AC385" s="1"/>
      <c r="AJ385" s="1"/>
      <c r="AQ385" s="1"/>
      <c r="AX385" s="1"/>
    </row>
    <row r="386" spans="1:50" x14ac:dyDescent="0.25">
      <c r="A386" s="1"/>
      <c r="H386" s="1"/>
      <c r="O386" s="1"/>
      <c r="V386" s="1"/>
      <c r="AC386" s="1"/>
      <c r="AJ386" s="1"/>
      <c r="AQ386" s="1"/>
      <c r="AX386" s="1"/>
    </row>
    <row r="387" spans="1:50" x14ac:dyDescent="0.25">
      <c r="A387" s="1"/>
      <c r="H387" s="1"/>
      <c r="O387" s="1"/>
      <c r="V387" s="1"/>
      <c r="AC387" s="1"/>
      <c r="AJ387" s="1"/>
      <c r="AQ387" s="1"/>
      <c r="AX387" s="1"/>
    </row>
    <row r="388" spans="1:50" x14ac:dyDescent="0.25">
      <c r="A388" s="1"/>
      <c r="H388" s="1"/>
      <c r="O388" s="1"/>
      <c r="V388" s="1"/>
      <c r="AC388" s="1"/>
      <c r="AJ388" s="1"/>
      <c r="AQ388" s="1"/>
      <c r="AX388" s="1"/>
    </row>
    <row r="389" spans="1:50" x14ac:dyDescent="0.25">
      <c r="A389" s="1"/>
      <c r="H389" s="1"/>
      <c r="O389" s="1"/>
      <c r="V389" s="1"/>
      <c r="AC389" s="1"/>
      <c r="AJ389" s="1"/>
      <c r="AQ389" s="1"/>
      <c r="AX389" s="1"/>
    </row>
    <row r="390" spans="1:50" x14ac:dyDescent="0.25">
      <c r="A390" s="1"/>
      <c r="H390" s="1"/>
      <c r="O390" s="1"/>
      <c r="V390" s="1"/>
      <c r="AC390" s="1"/>
      <c r="AJ390" s="1"/>
      <c r="AQ390" s="1"/>
      <c r="AX390" s="1"/>
    </row>
    <row r="391" spans="1:50" x14ac:dyDescent="0.25">
      <c r="A391" s="1"/>
      <c r="H391" s="1"/>
      <c r="O391" s="1"/>
      <c r="V391" s="1"/>
      <c r="AC391" s="1"/>
      <c r="AJ391" s="1"/>
      <c r="AQ391" s="1"/>
      <c r="AX391" s="1"/>
    </row>
    <row r="392" spans="1:50" x14ac:dyDescent="0.25">
      <c r="A392" s="1"/>
      <c r="H392" s="1"/>
      <c r="O392" s="1"/>
      <c r="V392" s="1"/>
      <c r="AC392" s="1"/>
      <c r="AJ392" s="1"/>
      <c r="AQ392" s="1"/>
      <c r="AX392" s="1"/>
    </row>
    <row r="393" spans="1:50" x14ac:dyDescent="0.25">
      <c r="A393" s="1"/>
      <c r="H393" s="1"/>
      <c r="O393" s="1"/>
      <c r="V393" s="1"/>
      <c r="AC393" s="1"/>
      <c r="AJ393" s="1"/>
      <c r="AQ393" s="1"/>
      <c r="AX393" s="1"/>
    </row>
    <row r="394" spans="1:50" x14ac:dyDescent="0.25">
      <c r="A394" s="1"/>
      <c r="H394" s="1"/>
      <c r="O394" s="1"/>
      <c r="V394" s="1"/>
      <c r="AC394" s="1"/>
      <c r="AJ394" s="1"/>
      <c r="AQ394" s="1"/>
      <c r="AX394" s="1"/>
    </row>
    <row r="395" spans="1:50" x14ac:dyDescent="0.25">
      <c r="A395" s="1"/>
      <c r="H395" s="1"/>
      <c r="O395" s="1"/>
      <c r="V395" s="1"/>
      <c r="AC395" s="1"/>
      <c r="AJ395" s="1"/>
      <c r="AQ395" s="1"/>
      <c r="AX395" s="1"/>
    </row>
    <row r="396" spans="1:50" x14ac:dyDescent="0.25">
      <c r="A396" s="1"/>
      <c r="H396" s="1"/>
      <c r="O396" s="1"/>
      <c r="V396" s="1"/>
      <c r="AC396" s="1"/>
      <c r="AJ396" s="1"/>
      <c r="AQ396" s="1"/>
      <c r="AX396" s="1"/>
    </row>
    <row r="397" spans="1:50" x14ac:dyDescent="0.25">
      <c r="A397" s="1"/>
      <c r="H397" s="1"/>
      <c r="O397" s="1"/>
      <c r="V397" s="1"/>
      <c r="AC397" s="1"/>
      <c r="AJ397" s="1"/>
      <c r="AQ397" s="1"/>
      <c r="AX397" s="1"/>
    </row>
    <row r="398" spans="1:50" x14ac:dyDescent="0.25">
      <c r="A398" s="1"/>
      <c r="H398" s="1"/>
      <c r="O398" s="1"/>
      <c r="V398" s="1"/>
      <c r="AC398" s="1"/>
      <c r="AJ398" s="1"/>
      <c r="AQ398" s="1"/>
      <c r="AX398" s="1"/>
    </row>
    <row r="399" spans="1:50" x14ac:dyDescent="0.25">
      <c r="A399" s="1"/>
      <c r="H399" s="1"/>
      <c r="O399" s="1"/>
      <c r="V399" s="1"/>
      <c r="AC399" s="1"/>
      <c r="AJ399" s="1"/>
      <c r="AQ399" s="1"/>
      <c r="AX399" s="1"/>
    </row>
    <row r="400" spans="1:50" x14ac:dyDescent="0.25">
      <c r="A400" s="1"/>
      <c r="H400" s="1"/>
      <c r="O400" s="1"/>
      <c r="V400" s="1"/>
      <c r="AC400" s="1"/>
      <c r="AJ400" s="1"/>
      <c r="AQ400" s="1"/>
      <c r="AX400" s="1"/>
    </row>
    <row r="401" spans="1:50" x14ac:dyDescent="0.25">
      <c r="A401" s="1"/>
      <c r="H401" s="1"/>
      <c r="O401" s="1"/>
      <c r="V401" s="1"/>
      <c r="AC401" s="1"/>
      <c r="AJ401" s="1"/>
      <c r="AQ401" s="1"/>
      <c r="AX401" s="1"/>
    </row>
    <row r="402" spans="1:50" x14ac:dyDescent="0.25">
      <c r="A402" s="1"/>
      <c r="H402" s="1"/>
      <c r="O402" s="1"/>
      <c r="V402" s="1"/>
      <c r="AC402" s="1"/>
      <c r="AJ402" s="1"/>
      <c r="AQ402" s="1"/>
      <c r="AX402" s="1"/>
    </row>
    <row r="403" spans="1:50" x14ac:dyDescent="0.25">
      <c r="A403" s="1"/>
      <c r="H403" s="1"/>
      <c r="O403" s="1"/>
      <c r="V403" s="1"/>
      <c r="AC403" s="1"/>
      <c r="AJ403" s="1"/>
      <c r="AQ403" s="1"/>
      <c r="AX403" s="1"/>
    </row>
    <row r="404" spans="1:50" x14ac:dyDescent="0.25">
      <c r="A404" s="1"/>
      <c r="H404" s="1"/>
      <c r="O404" s="1"/>
      <c r="V404" s="1"/>
      <c r="AC404" s="1"/>
      <c r="AJ404" s="1"/>
      <c r="AQ404" s="1"/>
      <c r="AX404" s="1"/>
    </row>
    <row r="405" spans="1:50" x14ac:dyDescent="0.25">
      <c r="A405" s="1"/>
      <c r="H405" s="1"/>
      <c r="O405" s="1"/>
      <c r="V405" s="1"/>
      <c r="AC405" s="1"/>
      <c r="AJ405" s="1"/>
      <c r="AQ405" s="1"/>
      <c r="AX405" s="1"/>
    </row>
    <row r="406" spans="1:50" x14ac:dyDescent="0.25">
      <c r="A406" s="1"/>
      <c r="H406" s="1"/>
      <c r="O406" s="1"/>
      <c r="V406" s="1"/>
      <c r="AC406" s="1"/>
      <c r="AJ406" s="1"/>
      <c r="AQ406" s="1"/>
      <c r="AX406" s="1"/>
    </row>
    <row r="407" spans="1:50" x14ac:dyDescent="0.25">
      <c r="A407" s="1"/>
      <c r="H407" s="1"/>
      <c r="O407" s="1"/>
      <c r="V407" s="1"/>
      <c r="AC407" s="1"/>
      <c r="AJ407" s="1"/>
      <c r="AQ407" s="1"/>
      <c r="AX407" s="1"/>
    </row>
    <row r="408" spans="1:50" x14ac:dyDescent="0.25">
      <c r="A408" s="1"/>
      <c r="H408" s="1"/>
      <c r="O408" s="1"/>
      <c r="V408" s="1"/>
      <c r="AC408" s="1"/>
      <c r="AJ408" s="1"/>
      <c r="AQ408" s="1"/>
      <c r="AX408" s="1"/>
    </row>
    <row r="409" spans="1:50" x14ac:dyDescent="0.25">
      <c r="A409" s="1"/>
      <c r="H409" s="1"/>
      <c r="O409" s="1"/>
      <c r="V409" s="1"/>
      <c r="AC409" s="1"/>
      <c r="AJ409" s="1"/>
      <c r="AQ409" s="1"/>
      <c r="AX409" s="1"/>
    </row>
    <row r="410" spans="1:50" x14ac:dyDescent="0.25">
      <c r="A410" s="1"/>
      <c r="H410" s="1"/>
      <c r="O410" s="1"/>
      <c r="V410" s="1"/>
      <c r="AC410" s="1"/>
      <c r="AJ410" s="1"/>
      <c r="AQ410" s="1"/>
      <c r="AX410" s="1"/>
    </row>
    <row r="411" spans="1:50" x14ac:dyDescent="0.25">
      <c r="A411" s="1"/>
      <c r="H411" s="1"/>
      <c r="O411" s="1"/>
      <c r="V411" s="1"/>
      <c r="AC411" s="1"/>
      <c r="AJ411" s="1"/>
      <c r="AQ411" s="1"/>
      <c r="AX411" s="1"/>
    </row>
    <row r="412" spans="1:50" x14ac:dyDescent="0.25">
      <c r="A412" s="1"/>
      <c r="H412" s="1"/>
      <c r="O412" s="1"/>
      <c r="V412" s="1"/>
      <c r="AC412" s="1"/>
      <c r="AJ412" s="1"/>
      <c r="AQ412" s="1"/>
      <c r="AX412" s="1"/>
    </row>
    <row r="413" spans="1:50" x14ac:dyDescent="0.25">
      <c r="A413" s="1"/>
      <c r="H413" s="1"/>
      <c r="O413" s="1"/>
      <c r="V413" s="1"/>
      <c r="AC413" s="1"/>
      <c r="AJ413" s="1"/>
      <c r="AQ413" s="1"/>
      <c r="AX413" s="1"/>
    </row>
    <row r="414" spans="1:50" x14ac:dyDescent="0.25">
      <c r="A414" s="1"/>
      <c r="H414" s="1"/>
      <c r="O414" s="1"/>
      <c r="V414" s="1"/>
      <c r="AC414" s="1"/>
      <c r="AJ414" s="1"/>
      <c r="AQ414" s="1"/>
      <c r="AX414" s="1"/>
    </row>
    <row r="415" spans="1:50" x14ac:dyDescent="0.25">
      <c r="A415" s="1"/>
      <c r="H415" s="1"/>
      <c r="O415" s="1"/>
      <c r="V415" s="1"/>
      <c r="AC415" s="1"/>
      <c r="AJ415" s="1"/>
      <c r="AQ415" s="1"/>
      <c r="AX415" s="1"/>
    </row>
    <row r="416" spans="1:50" x14ac:dyDescent="0.25">
      <c r="A416" s="1"/>
      <c r="H416" s="1"/>
      <c r="O416" s="1"/>
      <c r="V416" s="1"/>
      <c r="AC416" s="1"/>
      <c r="AJ416" s="1"/>
      <c r="AQ416" s="1"/>
      <c r="AX416" s="1"/>
    </row>
    <row r="417" spans="1:50" x14ac:dyDescent="0.25">
      <c r="A417" s="1"/>
      <c r="H417" s="1"/>
      <c r="O417" s="1"/>
      <c r="V417" s="1"/>
      <c r="AC417" s="1"/>
      <c r="AJ417" s="1"/>
      <c r="AQ417" s="1"/>
      <c r="AX417" s="1"/>
    </row>
    <row r="418" spans="1:50" x14ac:dyDescent="0.25">
      <c r="A418" s="1"/>
      <c r="H418" s="1"/>
      <c r="O418" s="1"/>
      <c r="V418" s="1"/>
      <c r="AC418" s="1"/>
      <c r="AJ418" s="1"/>
      <c r="AQ418" s="1"/>
      <c r="AX418" s="1"/>
    </row>
    <row r="419" spans="1:50" x14ac:dyDescent="0.25">
      <c r="A419" s="1"/>
      <c r="H419" s="1"/>
      <c r="O419" s="1"/>
      <c r="V419" s="1"/>
      <c r="AC419" s="1"/>
      <c r="AJ419" s="1"/>
      <c r="AQ419" s="1"/>
      <c r="AX419" s="1"/>
    </row>
    <row r="420" spans="1:50" x14ac:dyDescent="0.25">
      <c r="A420" s="1"/>
      <c r="H420" s="1"/>
      <c r="O420" s="1"/>
      <c r="V420" s="1"/>
      <c r="AC420" s="1"/>
      <c r="AJ420" s="1"/>
      <c r="AQ420" s="1"/>
      <c r="AX420" s="1"/>
    </row>
    <row r="421" spans="1:50" x14ac:dyDescent="0.25">
      <c r="A421" s="1"/>
      <c r="H421" s="1"/>
      <c r="O421" s="1"/>
      <c r="V421" s="1"/>
      <c r="AC421" s="1"/>
      <c r="AJ421" s="1"/>
      <c r="AQ421" s="1"/>
      <c r="AX421" s="1"/>
    </row>
    <row r="422" spans="1:50" x14ac:dyDescent="0.25">
      <c r="A422" s="1"/>
      <c r="H422" s="1"/>
      <c r="O422" s="1"/>
      <c r="V422" s="1"/>
      <c r="AC422" s="1"/>
      <c r="AJ422" s="1"/>
      <c r="AQ422" s="1"/>
      <c r="AX422" s="1"/>
    </row>
    <row r="423" spans="1:50" x14ac:dyDescent="0.25">
      <c r="A423" s="1"/>
      <c r="H423" s="1"/>
      <c r="O423" s="1"/>
      <c r="V423" s="1"/>
      <c r="AC423" s="1"/>
      <c r="AJ423" s="1"/>
      <c r="AQ423" s="1"/>
      <c r="AX423" s="1"/>
    </row>
    <row r="424" spans="1:50" x14ac:dyDescent="0.25">
      <c r="A424" s="1"/>
      <c r="H424" s="1"/>
      <c r="O424" s="1"/>
      <c r="V424" s="1"/>
      <c r="AC424" s="1"/>
      <c r="AJ424" s="1"/>
      <c r="AQ424" s="1"/>
      <c r="AX424" s="1"/>
    </row>
    <row r="425" spans="1:50" x14ac:dyDescent="0.25">
      <c r="A425" s="1"/>
      <c r="H425" s="1"/>
      <c r="O425" s="1"/>
      <c r="V425" s="1"/>
      <c r="AC425" s="1"/>
      <c r="AJ425" s="1"/>
      <c r="AQ425" s="1"/>
      <c r="AX425" s="1"/>
    </row>
    <row r="426" spans="1:50" x14ac:dyDescent="0.25">
      <c r="A426" s="1"/>
      <c r="H426" s="1"/>
      <c r="O426" s="1"/>
      <c r="V426" s="1"/>
      <c r="AC426" s="1"/>
      <c r="AJ426" s="1"/>
      <c r="AQ426" s="1"/>
      <c r="AX426" s="1"/>
    </row>
    <row r="427" spans="1:50" x14ac:dyDescent="0.25">
      <c r="A427" s="1"/>
      <c r="H427" s="1"/>
      <c r="O427" s="1"/>
      <c r="V427" s="1"/>
      <c r="AC427" s="1"/>
      <c r="AJ427" s="1"/>
      <c r="AQ427" s="1"/>
      <c r="AX427" s="1"/>
    </row>
    <row r="428" spans="1:50" x14ac:dyDescent="0.25">
      <c r="A428" s="1"/>
      <c r="H428" s="1"/>
      <c r="O428" s="1"/>
      <c r="V428" s="1"/>
      <c r="AC428" s="1"/>
      <c r="AJ428" s="1"/>
      <c r="AQ428" s="1"/>
      <c r="AX428" s="1"/>
    </row>
    <row r="429" spans="1:50" x14ac:dyDescent="0.25">
      <c r="A429" s="1"/>
      <c r="H429" s="1"/>
      <c r="O429" s="1"/>
      <c r="V429" s="1"/>
      <c r="AC429" s="1"/>
      <c r="AJ429" s="1"/>
      <c r="AQ429" s="1"/>
      <c r="AX429" s="1"/>
    </row>
    <row r="430" spans="1:50" x14ac:dyDescent="0.25">
      <c r="A430" s="1"/>
      <c r="H430" s="1"/>
      <c r="O430" s="1"/>
      <c r="V430" s="1"/>
      <c r="AC430" s="1"/>
      <c r="AJ430" s="1"/>
      <c r="AQ430" s="1"/>
      <c r="AX430" s="1"/>
    </row>
    <row r="431" spans="1:50" x14ac:dyDescent="0.25">
      <c r="A431" s="1"/>
      <c r="H431" s="1"/>
      <c r="O431" s="1"/>
      <c r="V431" s="1"/>
      <c r="AC431" s="1"/>
      <c r="AJ431" s="1"/>
      <c r="AQ431" s="1"/>
      <c r="AX431" s="1"/>
    </row>
    <row r="432" spans="1:50" x14ac:dyDescent="0.25">
      <c r="A432" s="1"/>
      <c r="H432" s="1"/>
      <c r="O432" s="1"/>
      <c r="V432" s="1"/>
      <c r="AC432" s="1"/>
      <c r="AJ432" s="1"/>
      <c r="AQ432" s="1"/>
      <c r="AX432" s="1"/>
    </row>
    <row r="433" spans="1:50" x14ac:dyDescent="0.25">
      <c r="A433" s="1"/>
      <c r="H433" s="1"/>
      <c r="O433" s="1"/>
      <c r="V433" s="1"/>
      <c r="AC433" s="1"/>
      <c r="AJ433" s="1"/>
      <c r="AQ433" s="1"/>
      <c r="AX433" s="1"/>
    </row>
    <row r="434" spans="1:50" x14ac:dyDescent="0.25">
      <c r="A434" s="1"/>
      <c r="H434" s="1"/>
      <c r="O434" s="1"/>
      <c r="V434" s="1"/>
      <c r="AC434" s="1"/>
      <c r="AJ434" s="1"/>
      <c r="AQ434" s="1"/>
      <c r="AX434" s="1"/>
    </row>
    <row r="435" spans="1:50" x14ac:dyDescent="0.25">
      <c r="A435" s="1"/>
      <c r="H435" s="1"/>
      <c r="O435" s="1"/>
      <c r="V435" s="1"/>
      <c r="AC435" s="1"/>
      <c r="AJ435" s="1"/>
      <c r="AQ435" s="1"/>
      <c r="AX435" s="1"/>
    </row>
    <row r="436" spans="1:50" x14ac:dyDescent="0.25">
      <c r="A436" s="1"/>
      <c r="H436" s="1"/>
      <c r="O436" s="1"/>
      <c r="V436" s="1"/>
      <c r="AC436" s="1"/>
      <c r="AJ436" s="1"/>
      <c r="AQ436" s="1"/>
      <c r="AX436" s="1"/>
    </row>
    <row r="437" spans="1:50" x14ac:dyDescent="0.25">
      <c r="A437" s="1"/>
      <c r="H437" s="1"/>
      <c r="O437" s="1"/>
      <c r="V437" s="1"/>
      <c r="AC437" s="1"/>
      <c r="AJ437" s="1"/>
      <c r="AQ437" s="1"/>
      <c r="AX437" s="1"/>
    </row>
    <row r="438" spans="1:50" x14ac:dyDescent="0.25">
      <c r="A438" s="1"/>
      <c r="H438" s="1"/>
      <c r="O438" s="1"/>
      <c r="V438" s="1"/>
      <c r="AC438" s="1"/>
      <c r="AJ438" s="1"/>
      <c r="AQ438" s="1"/>
      <c r="AX438" s="1"/>
    </row>
    <row r="439" spans="1:50" x14ac:dyDescent="0.25">
      <c r="A439" s="1"/>
      <c r="H439" s="1"/>
      <c r="O439" s="1"/>
      <c r="V439" s="1"/>
      <c r="AC439" s="1"/>
      <c r="AJ439" s="1"/>
      <c r="AQ439" s="1"/>
      <c r="AX439" s="1"/>
    </row>
    <row r="440" spans="1:50" x14ac:dyDescent="0.25">
      <c r="A440" s="1"/>
      <c r="H440" s="1"/>
      <c r="O440" s="1"/>
      <c r="V440" s="1"/>
      <c r="AC440" s="1"/>
      <c r="AJ440" s="1"/>
      <c r="AQ440" s="1"/>
      <c r="AX440" s="1"/>
    </row>
    <row r="441" spans="1:50" x14ac:dyDescent="0.25">
      <c r="A441" s="1"/>
      <c r="H441" s="1"/>
      <c r="O441" s="1"/>
      <c r="V441" s="1"/>
      <c r="AC441" s="1"/>
      <c r="AJ441" s="1"/>
      <c r="AQ441" s="1"/>
      <c r="AX441" s="1"/>
    </row>
    <row r="442" spans="1:50" x14ac:dyDescent="0.25">
      <c r="A442" s="1"/>
      <c r="H442" s="1"/>
      <c r="O442" s="1"/>
      <c r="V442" s="1"/>
      <c r="AC442" s="1"/>
      <c r="AJ442" s="1"/>
      <c r="AQ442" s="1"/>
      <c r="AX442" s="1"/>
    </row>
    <row r="443" spans="1:50" x14ac:dyDescent="0.25">
      <c r="A443" s="1"/>
      <c r="H443" s="1"/>
      <c r="O443" s="1"/>
      <c r="V443" s="1"/>
      <c r="AC443" s="1"/>
      <c r="AJ443" s="1"/>
      <c r="AQ443" s="1"/>
      <c r="AX443" s="1"/>
    </row>
    <row r="444" spans="1:50" x14ac:dyDescent="0.25">
      <c r="A444" s="1"/>
      <c r="H444" s="1"/>
      <c r="O444" s="1"/>
      <c r="V444" s="1"/>
      <c r="AC444" s="1"/>
      <c r="AJ444" s="1"/>
      <c r="AQ444" s="1"/>
      <c r="AX444" s="1"/>
    </row>
    <row r="445" spans="1:50" x14ac:dyDescent="0.25">
      <c r="A445" s="1"/>
      <c r="H445" s="1"/>
      <c r="O445" s="1"/>
      <c r="V445" s="1"/>
      <c r="AC445" s="1"/>
      <c r="AJ445" s="1"/>
      <c r="AQ445" s="1"/>
      <c r="AX445" s="1"/>
    </row>
    <row r="446" spans="1:50" x14ac:dyDescent="0.25">
      <c r="A446" s="1"/>
      <c r="H446" s="1"/>
      <c r="O446" s="1"/>
      <c r="V446" s="1"/>
      <c r="AC446" s="1"/>
      <c r="AJ446" s="1"/>
      <c r="AQ446" s="1"/>
      <c r="AX446" s="1"/>
    </row>
    <row r="447" spans="1:50" x14ac:dyDescent="0.25">
      <c r="A447" s="1"/>
      <c r="H447" s="1"/>
      <c r="O447" s="1"/>
      <c r="V447" s="1"/>
      <c r="AC447" s="1"/>
      <c r="AJ447" s="1"/>
      <c r="AQ447" s="1"/>
      <c r="AX447" s="1"/>
    </row>
    <row r="448" spans="1:50" x14ac:dyDescent="0.25">
      <c r="A448" s="1"/>
      <c r="H448" s="1"/>
      <c r="O448" s="1"/>
      <c r="V448" s="1"/>
      <c r="AC448" s="1"/>
      <c r="AJ448" s="1"/>
      <c r="AQ448" s="1"/>
      <c r="AX448" s="1"/>
    </row>
    <row r="449" spans="1:50" x14ac:dyDescent="0.25">
      <c r="A449" s="1"/>
      <c r="H449" s="1"/>
      <c r="O449" s="1"/>
      <c r="V449" s="1"/>
      <c r="AC449" s="1"/>
      <c r="AJ449" s="1"/>
      <c r="AQ449" s="1"/>
      <c r="AX449" s="1"/>
    </row>
    <row r="450" spans="1:50" x14ac:dyDescent="0.25">
      <c r="A450" s="1"/>
      <c r="H450" s="1"/>
      <c r="O450" s="1"/>
      <c r="V450" s="1"/>
      <c r="AC450" s="1"/>
      <c r="AJ450" s="1"/>
      <c r="AQ450" s="1"/>
      <c r="AX450" s="1"/>
    </row>
    <row r="451" spans="1:50" x14ac:dyDescent="0.25">
      <c r="A451" s="1"/>
      <c r="H451" s="1"/>
      <c r="O451" s="1"/>
      <c r="V451" s="1"/>
      <c r="AC451" s="1"/>
      <c r="AJ451" s="1"/>
      <c r="AQ451" s="1"/>
      <c r="AX451" s="1"/>
    </row>
    <row r="452" spans="1:50" x14ac:dyDescent="0.25">
      <c r="A452" s="1"/>
      <c r="H452" s="1"/>
      <c r="O452" s="1"/>
      <c r="V452" s="1"/>
      <c r="AC452" s="1"/>
      <c r="AJ452" s="1"/>
      <c r="AQ452" s="1"/>
      <c r="AX452" s="1"/>
    </row>
    <row r="453" spans="1:50" x14ac:dyDescent="0.25">
      <c r="A453" s="1"/>
      <c r="H453" s="1"/>
      <c r="O453" s="1"/>
      <c r="V453" s="1"/>
      <c r="AC453" s="1"/>
      <c r="AJ453" s="1"/>
      <c r="AQ453" s="1"/>
      <c r="AX453" s="1"/>
    </row>
    <row r="454" spans="1:50" x14ac:dyDescent="0.25">
      <c r="A454" s="1"/>
      <c r="H454" s="1"/>
      <c r="O454" s="1"/>
      <c r="V454" s="1"/>
      <c r="AC454" s="1"/>
      <c r="AJ454" s="1"/>
      <c r="AQ454" s="1"/>
      <c r="AX454" s="1"/>
    </row>
    <row r="455" spans="1:50" x14ac:dyDescent="0.25">
      <c r="A455" s="1"/>
      <c r="H455" s="1"/>
      <c r="O455" s="1"/>
      <c r="V455" s="1"/>
      <c r="AC455" s="1"/>
      <c r="AJ455" s="1"/>
      <c r="AQ455" s="1"/>
      <c r="AX455" s="1"/>
    </row>
    <row r="456" spans="1:50" x14ac:dyDescent="0.25">
      <c r="A456" s="1"/>
      <c r="H456" s="1"/>
      <c r="O456" s="1"/>
      <c r="V456" s="1"/>
      <c r="AC456" s="1"/>
      <c r="AJ456" s="1"/>
      <c r="AQ456" s="1"/>
      <c r="AX456" s="1"/>
    </row>
    <row r="457" spans="1:50" x14ac:dyDescent="0.25">
      <c r="A457" s="1"/>
      <c r="H457" s="1"/>
      <c r="O457" s="1"/>
      <c r="V457" s="1"/>
      <c r="AC457" s="1"/>
      <c r="AJ457" s="1"/>
      <c r="AQ457" s="1"/>
      <c r="AX457" s="1"/>
    </row>
    <row r="458" spans="1:50" x14ac:dyDescent="0.25">
      <c r="A458" s="1"/>
      <c r="H458" s="1"/>
      <c r="O458" s="1"/>
      <c r="V458" s="1"/>
      <c r="AC458" s="1"/>
      <c r="AJ458" s="1"/>
      <c r="AQ458" s="1"/>
      <c r="AX458" s="1"/>
    </row>
    <row r="459" spans="1:50" x14ac:dyDescent="0.25">
      <c r="A459" s="1"/>
      <c r="H459" s="1"/>
      <c r="O459" s="1"/>
      <c r="V459" s="1"/>
      <c r="AC459" s="1"/>
      <c r="AJ459" s="1"/>
      <c r="AQ459" s="1"/>
      <c r="AX459" s="1"/>
    </row>
    <row r="460" spans="1:50" x14ac:dyDescent="0.25">
      <c r="A460" s="1"/>
      <c r="H460" s="1"/>
      <c r="O460" s="1"/>
      <c r="V460" s="1"/>
      <c r="AC460" s="1"/>
      <c r="AJ460" s="1"/>
      <c r="AQ460" s="1"/>
      <c r="AX460" s="1"/>
    </row>
    <row r="461" spans="1:50" x14ac:dyDescent="0.25">
      <c r="A461" s="1"/>
      <c r="H461" s="1"/>
      <c r="O461" s="1"/>
      <c r="V461" s="1"/>
      <c r="AC461" s="1"/>
      <c r="AJ461" s="1"/>
      <c r="AQ461" s="1"/>
      <c r="AX461" s="1"/>
    </row>
    <row r="462" spans="1:50" x14ac:dyDescent="0.25">
      <c r="A462" s="1"/>
      <c r="H462" s="1"/>
      <c r="O462" s="1"/>
      <c r="V462" s="1"/>
      <c r="AC462" s="1"/>
      <c r="AJ462" s="1"/>
      <c r="AQ462" s="1"/>
      <c r="AX462" s="1"/>
    </row>
    <row r="463" spans="1:50" x14ac:dyDescent="0.25">
      <c r="A463" s="1"/>
      <c r="H463" s="1"/>
      <c r="O463" s="1"/>
      <c r="V463" s="1"/>
      <c r="AC463" s="1"/>
      <c r="AJ463" s="1"/>
      <c r="AQ463" s="1"/>
      <c r="AX463" s="1"/>
    </row>
    <row r="464" spans="1:50" x14ac:dyDescent="0.25">
      <c r="A464" s="1"/>
      <c r="H464" s="1"/>
      <c r="O464" s="1"/>
      <c r="V464" s="1"/>
      <c r="AC464" s="1"/>
      <c r="AJ464" s="1"/>
      <c r="AQ464" s="1"/>
      <c r="AX464" s="1"/>
    </row>
    <row r="465" spans="1:50" x14ac:dyDescent="0.25">
      <c r="A465" s="1"/>
      <c r="H465" s="1"/>
      <c r="O465" s="1"/>
      <c r="V465" s="1"/>
      <c r="AC465" s="1"/>
      <c r="AJ465" s="1"/>
      <c r="AQ465" s="1"/>
      <c r="AX465" s="1"/>
    </row>
    <row r="466" spans="1:50" x14ac:dyDescent="0.25">
      <c r="A466" s="1"/>
      <c r="H466" s="1"/>
      <c r="O466" s="1"/>
      <c r="V466" s="1"/>
      <c r="AC466" s="1"/>
      <c r="AJ466" s="1"/>
      <c r="AQ466" s="1"/>
      <c r="AX466" s="1"/>
    </row>
    <row r="467" spans="1:50" x14ac:dyDescent="0.25">
      <c r="A467" s="1"/>
      <c r="H467" s="1"/>
      <c r="O467" s="1"/>
      <c r="V467" s="1"/>
      <c r="AC467" s="1"/>
      <c r="AJ467" s="1"/>
      <c r="AQ467" s="1"/>
      <c r="AX467" s="1"/>
    </row>
    <row r="468" spans="1:50" x14ac:dyDescent="0.25">
      <c r="A468" s="1"/>
      <c r="H468" s="1"/>
      <c r="O468" s="1"/>
      <c r="V468" s="1"/>
      <c r="AC468" s="1"/>
      <c r="AJ468" s="1"/>
      <c r="AQ468" s="1"/>
      <c r="AX468" s="1"/>
    </row>
    <row r="469" spans="1:50" x14ac:dyDescent="0.25">
      <c r="A469" s="1"/>
      <c r="H469" s="1"/>
      <c r="O469" s="1"/>
      <c r="V469" s="1"/>
      <c r="AC469" s="1"/>
      <c r="AJ469" s="1"/>
      <c r="AQ469" s="1"/>
      <c r="AX469" s="1"/>
    </row>
    <row r="470" spans="1:50" x14ac:dyDescent="0.25">
      <c r="A470" s="1"/>
      <c r="H470" s="1"/>
      <c r="O470" s="1"/>
      <c r="V470" s="1"/>
      <c r="AC470" s="1"/>
      <c r="AJ470" s="1"/>
      <c r="AQ470" s="1"/>
      <c r="AX470" s="1"/>
    </row>
    <row r="471" spans="1:50" x14ac:dyDescent="0.25">
      <c r="A471" s="1"/>
      <c r="H471" s="1"/>
      <c r="O471" s="1"/>
      <c r="V471" s="1"/>
      <c r="AC471" s="1"/>
      <c r="AJ471" s="1"/>
      <c r="AQ471" s="1"/>
      <c r="AX471" s="1"/>
    </row>
    <row r="472" spans="1:50" x14ac:dyDescent="0.25">
      <c r="A472" s="1"/>
      <c r="H472" s="1"/>
      <c r="O472" s="1"/>
      <c r="V472" s="1"/>
      <c r="AC472" s="1"/>
      <c r="AJ472" s="1"/>
      <c r="AQ472" s="1"/>
      <c r="AX472" s="1"/>
    </row>
    <row r="473" spans="1:50" x14ac:dyDescent="0.25">
      <c r="A473" s="1"/>
      <c r="H473" s="1"/>
      <c r="O473" s="1"/>
      <c r="V473" s="1"/>
      <c r="AC473" s="1"/>
      <c r="AJ473" s="1"/>
      <c r="AQ473" s="1"/>
      <c r="AX473" s="1"/>
    </row>
    <row r="474" spans="1:50" x14ac:dyDescent="0.25">
      <c r="A474" s="1"/>
      <c r="H474" s="1"/>
      <c r="O474" s="1"/>
      <c r="V474" s="1"/>
      <c r="AC474" s="1"/>
      <c r="AJ474" s="1"/>
      <c r="AQ474" s="1"/>
      <c r="AX474" s="1"/>
    </row>
    <row r="475" spans="1:50" x14ac:dyDescent="0.25">
      <c r="A475" s="1"/>
      <c r="H475" s="1"/>
      <c r="O475" s="1"/>
      <c r="V475" s="1"/>
      <c r="AC475" s="1"/>
      <c r="AJ475" s="1"/>
      <c r="AQ475" s="1"/>
      <c r="AX475" s="1"/>
    </row>
    <row r="476" spans="1:50" x14ac:dyDescent="0.25">
      <c r="A476" s="1"/>
      <c r="H476" s="1"/>
      <c r="O476" s="1"/>
      <c r="V476" s="1"/>
      <c r="AC476" s="1"/>
      <c r="AJ476" s="1"/>
      <c r="AQ476" s="1"/>
      <c r="AX476" s="1"/>
    </row>
    <row r="477" spans="1:50" x14ac:dyDescent="0.25">
      <c r="A477" s="1"/>
      <c r="H477" s="1"/>
      <c r="O477" s="1"/>
      <c r="V477" s="1"/>
      <c r="AC477" s="1"/>
      <c r="AJ477" s="1"/>
      <c r="AQ477" s="1"/>
      <c r="AX477" s="1"/>
    </row>
    <row r="478" spans="1:50" x14ac:dyDescent="0.25">
      <c r="A478" s="1"/>
      <c r="H478" s="1"/>
      <c r="O478" s="1"/>
      <c r="V478" s="1"/>
      <c r="AC478" s="1"/>
      <c r="AJ478" s="1"/>
      <c r="AQ478" s="1"/>
      <c r="AX478" s="1"/>
    </row>
    <row r="479" spans="1:50" x14ac:dyDescent="0.25">
      <c r="A479" s="1"/>
      <c r="H479" s="1"/>
      <c r="O479" s="1"/>
      <c r="V479" s="1"/>
      <c r="AC479" s="1"/>
      <c r="AJ479" s="1"/>
      <c r="AQ479" s="1"/>
      <c r="AX479" s="1"/>
    </row>
    <row r="480" spans="1:50" x14ac:dyDescent="0.25">
      <c r="A480" s="1"/>
      <c r="H480" s="1"/>
      <c r="O480" s="1"/>
      <c r="V480" s="1"/>
      <c r="AC480" s="1"/>
      <c r="AJ480" s="1"/>
      <c r="AQ480" s="1"/>
      <c r="AX480" s="1"/>
    </row>
    <row r="481" spans="1:50" x14ac:dyDescent="0.25">
      <c r="A481" s="1"/>
      <c r="H481" s="1"/>
      <c r="O481" s="1"/>
      <c r="V481" s="1"/>
      <c r="AC481" s="1"/>
      <c r="AJ481" s="1"/>
      <c r="AQ481" s="1"/>
      <c r="AX481" s="1"/>
    </row>
    <row r="482" spans="1:50" x14ac:dyDescent="0.25">
      <c r="A482" s="1"/>
      <c r="H482" s="1"/>
      <c r="O482" s="1"/>
      <c r="V482" s="1"/>
      <c r="AC482" s="1"/>
      <c r="AJ482" s="1"/>
      <c r="AQ482" s="1"/>
      <c r="AX482" s="1"/>
    </row>
    <row r="483" spans="1:50" x14ac:dyDescent="0.25">
      <c r="A483" s="1"/>
      <c r="H483" s="1"/>
      <c r="O483" s="1"/>
      <c r="V483" s="1"/>
      <c r="AC483" s="1"/>
      <c r="AJ483" s="1"/>
      <c r="AQ483" s="1"/>
      <c r="AX483" s="1"/>
    </row>
    <row r="484" spans="1:50" x14ac:dyDescent="0.25">
      <c r="A484" s="1"/>
      <c r="H484" s="1"/>
      <c r="O484" s="1"/>
      <c r="V484" s="1"/>
      <c r="AC484" s="1"/>
      <c r="AJ484" s="1"/>
      <c r="AQ484" s="1"/>
      <c r="AX484" s="1"/>
    </row>
    <row r="485" spans="1:50" x14ac:dyDescent="0.25">
      <c r="A485" s="1"/>
      <c r="H485" s="1"/>
      <c r="O485" s="1"/>
      <c r="V485" s="1"/>
      <c r="AC485" s="1"/>
      <c r="AJ485" s="1"/>
      <c r="AQ485" s="1"/>
      <c r="AX485" s="1"/>
    </row>
    <row r="486" spans="1:50" x14ac:dyDescent="0.25">
      <c r="A486" s="1"/>
      <c r="H486" s="1"/>
      <c r="O486" s="1"/>
      <c r="V486" s="1"/>
      <c r="AC486" s="1"/>
      <c r="AJ486" s="1"/>
      <c r="AQ486" s="1"/>
      <c r="AX486" s="1"/>
    </row>
    <row r="487" spans="1:50" x14ac:dyDescent="0.25">
      <c r="A487" s="1"/>
      <c r="H487" s="1"/>
      <c r="O487" s="1"/>
      <c r="V487" s="1"/>
      <c r="AC487" s="1"/>
      <c r="AJ487" s="1"/>
      <c r="AQ487" s="1"/>
      <c r="AX487" s="1"/>
    </row>
    <row r="488" spans="1:50" x14ac:dyDescent="0.25">
      <c r="A488" s="1"/>
      <c r="H488" s="1"/>
      <c r="O488" s="1"/>
      <c r="V488" s="1"/>
      <c r="AC488" s="1"/>
      <c r="AJ488" s="1"/>
      <c r="AQ488" s="1"/>
      <c r="AX488" s="1"/>
    </row>
    <row r="489" spans="1:50" x14ac:dyDescent="0.25">
      <c r="A489" s="1"/>
      <c r="H489" s="1"/>
      <c r="O489" s="1"/>
      <c r="V489" s="1"/>
      <c r="AC489" s="1"/>
      <c r="AJ489" s="1"/>
      <c r="AQ489" s="1"/>
      <c r="AX489" s="1"/>
    </row>
    <row r="490" spans="1:50" x14ac:dyDescent="0.25">
      <c r="A490" s="1"/>
      <c r="H490" s="1"/>
      <c r="O490" s="1"/>
      <c r="V490" s="1"/>
      <c r="AC490" s="1"/>
      <c r="AJ490" s="1"/>
      <c r="AQ490" s="1"/>
      <c r="AX490" s="1"/>
    </row>
    <row r="491" spans="1:50" x14ac:dyDescent="0.25">
      <c r="A491" s="1"/>
      <c r="H491" s="1"/>
      <c r="O491" s="1"/>
      <c r="V491" s="1"/>
      <c r="AC491" s="1"/>
      <c r="AJ491" s="1"/>
      <c r="AQ491" s="1"/>
      <c r="AX491" s="1"/>
    </row>
    <row r="492" spans="1:50" x14ac:dyDescent="0.25">
      <c r="A492" s="1"/>
      <c r="H492" s="1"/>
      <c r="O492" s="1"/>
      <c r="V492" s="1"/>
      <c r="AC492" s="1"/>
      <c r="AJ492" s="1"/>
      <c r="AQ492" s="1"/>
      <c r="AX492" s="1"/>
    </row>
    <row r="493" spans="1:50" x14ac:dyDescent="0.25">
      <c r="A493" s="1"/>
      <c r="H493" s="1"/>
      <c r="O493" s="1"/>
      <c r="V493" s="1"/>
      <c r="AC493" s="1"/>
      <c r="AJ493" s="1"/>
      <c r="AQ493" s="1"/>
      <c r="AX493" s="1"/>
    </row>
    <row r="494" spans="1:50" x14ac:dyDescent="0.25">
      <c r="A494" s="1"/>
      <c r="H494" s="1"/>
      <c r="O494" s="1"/>
      <c r="V494" s="1"/>
      <c r="AC494" s="1"/>
      <c r="AJ494" s="1"/>
      <c r="AQ494" s="1"/>
      <c r="AX494" s="1"/>
    </row>
    <row r="495" spans="1:50" x14ac:dyDescent="0.25">
      <c r="A495" s="1"/>
      <c r="H495" s="1"/>
      <c r="O495" s="1"/>
      <c r="V495" s="1"/>
      <c r="AC495" s="1"/>
      <c r="AJ495" s="1"/>
      <c r="AQ495" s="1"/>
      <c r="AX495" s="1"/>
    </row>
    <row r="496" spans="1:50" x14ac:dyDescent="0.25">
      <c r="A496" s="1"/>
      <c r="H496" s="1"/>
      <c r="O496" s="1"/>
      <c r="V496" s="1"/>
      <c r="AC496" s="1"/>
      <c r="AJ496" s="1"/>
      <c r="AQ496" s="1"/>
      <c r="AX496" s="1"/>
    </row>
    <row r="497" spans="1:50" x14ac:dyDescent="0.25">
      <c r="A497" s="1"/>
      <c r="H497" s="1"/>
      <c r="O497" s="1"/>
      <c r="V497" s="1"/>
      <c r="AC497" s="1"/>
      <c r="AJ497" s="1"/>
      <c r="AQ497" s="1"/>
      <c r="AX497" s="1"/>
    </row>
    <row r="498" spans="1:50" x14ac:dyDescent="0.25">
      <c r="A498" s="1"/>
      <c r="H498" s="1"/>
      <c r="O498" s="1"/>
      <c r="V498" s="1"/>
      <c r="AC498" s="1"/>
      <c r="AJ498" s="1"/>
      <c r="AQ498" s="1"/>
      <c r="AX498" s="1"/>
    </row>
    <row r="499" spans="1:50" x14ac:dyDescent="0.25">
      <c r="A499" s="1"/>
      <c r="H499" s="1"/>
      <c r="O499" s="1"/>
      <c r="V499" s="1"/>
      <c r="AC499" s="1"/>
      <c r="AJ499" s="1"/>
      <c r="AQ499" s="1"/>
      <c r="AX499" s="1"/>
    </row>
    <row r="500" spans="1:50" x14ac:dyDescent="0.25">
      <c r="A500" s="1"/>
      <c r="H500" s="1"/>
      <c r="O500" s="1"/>
      <c r="V500" s="1"/>
      <c r="AC500" s="1"/>
      <c r="AJ500" s="1"/>
      <c r="AQ500" s="1"/>
      <c r="AX500" s="1"/>
    </row>
    <row r="501" spans="1:50" x14ac:dyDescent="0.25">
      <c r="A501" s="1"/>
      <c r="H501" s="1"/>
      <c r="O501" s="1"/>
      <c r="V501" s="1"/>
      <c r="AC501" s="1"/>
      <c r="AJ501" s="1"/>
      <c r="AQ501" s="1"/>
      <c r="AX501" s="1"/>
    </row>
    <row r="502" spans="1:50" x14ac:dyDescent="0.25">
      <c r="A502" s="1"/>
      <c r="H502" s="1"/>
      <c r="O502" s="1"/>
      <c r="V502" s="1"/>
      <c r="AC502" s="1"/>
      <c r="AJ502" s="1"/>
      <c r="AQ502" s="1"/>
      <c r="AX502" s="1"/>
    </row>
    <row r="503" spans="1:50" x14ac:dyDescent="0.25">
      <c r="A503" s="1"/>
      <c r="H503" s="1"/>
      <c r="O503" s="1"/>
      <c r="V503" s="1"/>
      <c r="AC503" s="1"/>
      <c r="AJ503" s="1"/>
      <c r="AQ503" s="1"/>
      <c r="AX503" s="1"/>
    </row>
    <row r="504" spans="1:50" x14ac:dyDescent="0.25">
      <c r="A504" s="1"/>
      <c r="H504" s="1"/>
      <c r="O504" s="1"/>
      <c r="V504" s="1"/>
      <c r="AC504" s="1"/>
      <c r="AJ504" s="1"/>
      <c r="AQ504" s="1"/>
      <c r="AX504" s="1"/>
    </row>
    <row r="505" spans="1:50" x14ac:dyDescent="0.25">
      <c r="A505" s="1"/>
      <c r="H505" s="1"/>
      <c r="O505" s="1"/>
      <c r="V505" s="1"/>
      <c r="AC505" s="1"/>
      <c r="AJ505" s="1"/>
      <c r="AQ505" s="1"/>
      <c r="AX505" s="1"/>
    </row>
    <row r="506" spans="1:50" x14ac:dyDescent="0.25">
      <c r="A506" s="1"/>
      <c r="H506" s="1"/>
      <c r="O506" s="1"/>
      <c r="V506" s="1"/>
      <c r="AC506" s="1"/>
      <c r="AJ506" s="1"/>
      <c r="AQ506" s="1"/>
      <c r="AX506" s="1"/>
    </row>
    <row r="507" spans="1:50" x14ac:dyDescent="0.25">
      <c r="A507" s="1"/>
      <c r="H507" s="1"/>
      <c r="O507" s="1"/>
      <c r="V507" s="1"/>
      <c r="AC507" s="1"/>
      <c r="AJ507" s="1"/>
      <c r="AQ507" s="1"/>
      <c r="AX507" s="1"/>
    </row>
    <row r="508" spans="1:50" x14ac:dyDescent="0.25">
      <c r="A508" s="1"/>
      <c r="H508" s="1"/>
      <c r="O508" s="1"/>
      <c r="V508" s="1"/>
      <c r="AC508" s="1"/>
      <c r="AJ508" s="1"/>
      <c r="AQ508" s="1"/>
      <c r="AX508" s="1"/>
    </row>
    <row r="509" spans="1:50" x14ac:dyDescent="0.25">
      <c r="A509" s="1"/>
      <c r="H509" s="1"/>
      <c r="O509" s="1"/>
      <c r="V509" s="1"/>
      <c r="AC509" s="1"/>
      <c r="AJ509" s="1"/>
      <c r="AQ509" s="1"/>
      <c r="AX509" s="1"/>
    </row>
    <row r="510" spans="1:50" x14ac:dyDescent="0.25">
      <c r="A510" s="1"/>
      <c r="H510" s="1"/>
      <c r="O510" s="1"/>
      <c r="V510" s="1"/>
      <c r="AC510" s="1"/>
      <c r="AJ510" s="1"/>
      <c r="AQ510" s="1"/>
      <c r="AX510" s="1"/>
    </row>
    <row r="511" spans="1:50" x14ac:dyDescent="0.25">
      <c r="A511" s="1"/>
      <c r="H511" s="1"/>
      <c r="O511" s="1"/>
      <c r="V511" s="1"/>
      <c r="AC511" s="1"/>
      <c r="AJ511" s="1"/>
      <c r="AQ511" s="1"/>
      <c r="AX511" s="1"/>
    </row>
    <row r="512" spans="1:50" x14ac:dyDescent="0.25">
      <c r="A512" s="1"/>
      <c r="H512" s="1"/>
      <c r="O512" s="1"/>
      <c r="V512" s="1"/>
      <c r="AC512" s="1"/>
      <c r="AJ512" s="1"/>
      <c r="AQ512" s="1"/>
      <c r="AX512" s="1"/>
    </row>
    <row r="513" spans="1:50" x14ac:dyDescent="0.25">
      <c r="A513" s="1"/>
      <c r="H513" s="1"/>
      <c r="O513" s="1"/>
      <c r="V513" s="1"/>
      <c r="AC513" s="1"/>
      <c r="AJ513" s="1"/>
      <c r="AQ513" s="1"/>
      <c r="AX513" s="1"/>
    </row>
    <row r="514" spans="1:50" x14ac:dyDescent="0.25">
      <c r="A514" s="1"/>
      <c r="H514" s="1"/>
      <c r="O514" s="1"/>
      <c r="V514" s="1"/>
      <c r="AC514" s="1"/>
      <c r="AJ514" s="1"/>
      <c r="AQ514" s="1"/>
      <c r="AX514" s="1"/>
    </row>
    <row r="515" spans="1:50" x14ac:dyDescent="0.25">
      <c r="A515" s="1"/>
      <c r="H515" s="1"/>
      <c r="O515" s="1"/>
      <c r="V515" s="1"/>
      <c r="AC515" s="1"/>
      <c r="AJ515" s="1"/>
      <c r="AQ515" s="1"/>
      <c r="AX515" s="1"/>
    </row>
    <row r="516" spans="1:50" x14ac:dyDescent="0.25">
      <c r="A516" s="1"/>
      <c r="H516" s="1"/>
      <c r="O516" s="1"/>
      <c r="V516" s="1"/>
      <c r="AC516" s="1"/>
      <c r="AJ516" s="1"/>
      <c r="AQ516" s="1"/>
      <c r="AX516" s="1"/>
    </row>
    <row r="517" spans="1:50" x14ac:dyDescent="0.25">
      <c r="A517" s="1"/>
      <c r="H517" s="1"/>
      <c r="O517" s="1"/>
      <c r="V517" s="1"/>
      <c r="AC517" s="1"/>
      <c r="AJ517" s="1"/>
      <c r="AQ517" s="1"/>
      <c r="AX517" s="1"/>
    </row>
    <row r="518" spans="1:50" x14ac:dyDescent="0.25">
      <c r="A518" s="1"/>
      <c r="H518" s="1"/>
      <c r="O518" s="1"/>
      <c r="V518" s="1"/>
      <c r="AC518" s="1"/>
      <c r="AJ518" s="1"/>
      <c r="AQ518" s="1"/>
      <c r="AX518" s="1"/>
    </row>
    <row r="519" spans="1:50" x14ac:dyDescent="0.25">
      <c r="A519" s="1"/>
      <c r="H519" s="1"/>
      <c r="O519" s="1"/>
      <c r="V519" s="1"/>
      <c r="AC519" s="1"/>
      <c r="AJ519" s="1"/>
      <c r="AQ519" s="1"/>
      <c r="AX519" s="1"/>
    </row>
    <row r="520" spans="1:50" x14ac:dyDescent="0.25">
      <c r="A520" s="1"/>
      <c r="H520" s="1"/>
      <c r="O520" s="1"/>
      <c r="V520" s="1"/>
      <c r="AC520" s="1"/>
      <c r="AJ520" s="1"/>
      <c r="AQ520" s="1"/>
      <c r="AX520" s="1"/>
    </row>
    <row r="521" spans="1:50" x14ac:dyDescent="0.25">
      <c r="A521" s="1"/>
      <c r="H521" s="1"/>
      <c r="O521" s="1"/>
      <c r="V521" s="1"/>
      <c r="AC521" s="1"/>
      <c r="AJ521" s="1"/>
      <c r="AQ521" s="1"/>
      <c r="AX521" s="1"/>
    </row>
    <row r="522" spans="1:50" x14ac:dyDescent="0.25">
      <c r="A522" s="1"/>
      <c r="H522" s="1"/>
      <c r="O522" s="1"/>
      <c r="V522" s="1"/>
      <c r="AC522" s="1"/>
      <c r="AJ522" s="1"/>
      <c r="AQ522" s="1"/>
      <c r="AX522" s="1"/>
    </row>
    <row r="523" spans="1:50" x14ac:dyDescent="0.25">
      <c r="A523" s="1"/>
      <c r="H523" s="1"/>
      <c r="O523" s="1"/>
      <c r="V523" s="1"/>
      <c r="AC523" s="1"/>
      <c r="AJ523" s="1"/>
      <c r="AQ523" s="1"/>
      <c r="AX523" s="1"/>
    </row>
    <row r="524" spans="1:50" x14ac:dyDescent="0.25">
      <c r="A524" s="1"/>
      <c r="H524" s="1"/>
      <c r="O524" s="1"/>
      <c r="V524" s="1"/>
      <c r="AC524" s="1"/>
      <c r="AJ524" s="1"/>
      <c r="AQ524" s="1"/>
      <c r="AX524" s="1"/>
    </row>
    <row r="525" spans="1:50" x14ac:dyDescent="0.25">
      <c r="A525" s="1"/>
      <c r="H525" s="1"/>
      <c r="O525" s="1"/>
      <c r="V525" s="1"/>
      <c r="AC525" s="1"/>
      <c r="AJ525" s="1"/>
      <c r="AQ525" s="1"/>
      <c r="AX525" s="1"/>
    </row>
    <row r="526" spans="1:50" x14ac:dyDescent="0.25">
      <c r="A526" s="1"/>
      <c r="H526" s="1"/>
      <c r="O526" s="1"/>
      <c r="V526" s="1"/>
      <c r="AC526" s="1"/>
      <c r="AJ526" s="1"/>
      <c r="AQ526" s="1"/>
      <c r="AX526" s="1"/>
    </row>
    <row r="527" spans="1:50" x14ac:dyDescent="0.25">
      <c r="A527" s="1"/>
      <c r="H527" s="1"/>
      <c r="O527" s="1"/>
      <c r="V527" s="1"/>
      <c r="AC527" s="1"/>
      <c r="AJ527" s="1"/>
      <c r="AQ527" s="1"/>
      <c r="AX527" s="1"/>
    </row>
    <row r="528" spans="1:50" x14ac:dyDescent="0.25">
      <c r="A528" s="1"/>
      <c r="H528" s="1"/>
      <c r="O528" s="1"/>
      <c r="V528" s="1"/>
      <c r="AC528" s="1"/>
      <c r="AJ528" s="1"/>
      <c r="AQ528" s="1"/>
      <c r="AX528" s="1"/>
    </row>
    <row r="529" spans="1:50" x14ac:dyDescent="0.25">
      <c r="A529" s="1"/>
      <c r="H529" s="1"/>
      <c r="O529" s="1"/>
      <c r="V529" s="1"/>
      <c r="AC529" s="1"/>
      <c r="AJ529" s="1"/>
      <c r="AQ529" s="1"/>
      <c r="AX529" s="1"/>
    </row>
    <row r="530" spans="1:50" x14ac:dyDescent="0.25">
      <c r="A530" s="1"/>
      <c r="H530" s="1"/>
      <c r="O530" s="1"/>
      <c r="V530" s="1"/>
      <c r="AC530" s="1"/>
      <c r="AJ530" s="1"/>
      <c r="AQ530" s="1"/>
      <c r="AX530" s="1"/>
    </row>
    <row r="531" spans="1:50" x14ac:dyDescent="0.25">
      <c r="A531" s="1"/>
      <c r="H531" s="1"/>
      <c r="O531" s="1"/>
      <c r="V531" s="1"/>
      <c r="AC531" s="1"/>
      <c r="AJ531" s="1"/>
      <c r="AQ531" s="1"/>
      <c r="AX531" s="1"/>
    </row>
    <row r="532" spans="1:50" x14ac:dyDescent="0.25">
      <c r="A532" s="1"/>
      <c r="H532" s="1"/>
      <c r="O532" s="1"/>
      <c r="V532" s="1"/>
      <c r="AC532" s="1"/>
      <c r="AJ532" s="1"/>
      <c r="AQ532" s="1"/>
      <c r="AX532" s="1"/>
    </row>
    <row r="533" spans="1:50" x14ac:dyDescent="0.25">
      <c r="A533" s="1"/>
      <c r="H533" s="1"/>
      <c r="O533" s="1"/>
      <c r="V533" s="1"/>
      <c r="AC533" s="1"/>
      <c r="AJ533" s="1"/>
      <c r="AQ533" s="1"/>
      <c r="AX533" s="1"/>
    </row>
    <row r="534" spans="1:50" x14ac:dyDescent="0.25">
      <c r="A534" s="1"/>
      <c r="H534" s="1"/>
      <c r="O534" s="1"/>
      <c r="V534" s="1"/>
      <c r="AC534" s="1"/>
      <c r="AJ534" s="1"/>
      <c r="AQ534" s="1"/>
      <c r="AX534" s="1"/>
    </row>
    <row r="535" spans="1:50" x14ac:dyDescent="0.25">
      <c r="A535" s="1"/>
      <c r="H535" s="1"/>
      <c r="O535" s="1"/>
      <c r="V535" s="1"/>
      <c r="AC535" s="1"/>
      <c r="AJ535" s="1"/>
      <c r="AQ535" s="1"/>
      <c r="AX535" s="1"/>
    </row>
    <row r="536" spans="1:50" x14ac:dyDescent="0.25">
      <c r="A536" s="1"/>
      <c r="H536" s="1"/>
      <c r="O536" s="1"/>
      <c r="V536" s="1"/>
      <c r="AC536" s="1"/>
      <c r="AJ536" s="1"/>
      <c r="AQ536" s="1"/>
      <c r="AX536" s="1"/>
    </row>
    <row r="537" spans="1:50" x14ac:dyDescent="0.25">
      <c r="A537" s="1"/>
      <c r="H537" s="1"/>
      <c r="O537" s="1"/>
      <c r="V537" s="1"/>
      <c r="AC537" s="1"/>
      <c r="AJ537" s="1"/>
      <c r="AQ537" s="1"/>
      <c r="AX537" s="1"/>
    </row>
    <row r="538" spans="1:50" x14ac:dyDescent="0.25">
      <c r="A538" s="1"/>
      <c r="H538" s="1"/>
      <c r="O538" s="1"/>
      <c r="V538" s="1"/>
      <c r="AC538" s="1"/>
      <c r="AJ538" s="1"/>
      <c r="AQ538" s="1"/>
      <c r="AX538" s="1"/>
    </row>
    <row r="539" spans="1:50" x14ac:dyDescent="0.25">
      <c r="A539" s="1"/>
      <c r="H539" s="1"/>
      <c r="O539" s="1"/>
      <c r="V539" s="1"/>
      <c r="AC539" s="1"/>
      <c r="AJ539" s="1"/>
      <c r="AQ539" s="1"/>
      <c r="AX539" s="1"/>
    </row>
    <row r="540" spans="1:50" x14ac:dyDescent="0.25">
      <c r="A540" s="1"/>
      <c r="H540" s="1"/>
      <c r="O540" s="1"/>
      <c r="V540" s="1"/>
      <c r="AC540" s="1"/>
      <c r="AJ540" s="1"/>
      <c r="AQ540" s="1"/>
      <c r="AX540" s="1"/>
    </row>
    <row r="541" spans="1:50" x14ac:dyDescent="0.25">
      <c r="A541" s="1"/>
      <c r="H541" s="1"/>
      <c r="O541" s="1"/>
      <c r="V541" s="1"/>
      <c r="AC541" s="1"/>
      <c r="AJ541" s="1"/>
      <c r="AQ541" s="1"/>
      <c r="AX541" s="1"/>
    </row>
    <row r="542" spans="1:50" x14ac:dyDescent="0.25">
      <c r="A542" s="1"/>
      <c r="H542" s="1"/>
      <c r="O542" s="1"/>
      <c r="V542" s="1"/>
      <c r="AC542" s="1"/>
      <c r="AJ542" s="1"/>
      <c r="AQ542" s="1"/>
      <c r="AX542" s="1"/>
    </row>
    <row r="543" spans="1:50" x14ac:dyDescent="0.25">
      <c r="A543" s="1"/>
      <c r="H543" s="1"/>
      <c r="O543" s="1"/>
      <c r="V543" s="1"/>
      <c r="AC543" s="1"/>
      <c r="AJ543" s="1"/>
      <c r="AQ543" s="1"/>
      <c r="AX543" s="1"/>
    </row>
    <row r="544" spans="1:50" x14ac:dyDescent="0.25">
      <c r="A544" s="1"/>
      <c r="H544" s="1"/>
      <c r="O544" s="1"/>
      <c r="V544" s="1"/>
      <c r="AC544" s="1"/>
      <c r="AJ544" s="1"/>
      <c r="AQ544" s="1"/>
      <c r="AX544" s="1"/>
    </row>
    <row r="545" spans="1:50" x14ac:dyDescent="0.25">
      <c r="A545" s="1"/>
      <c r="H545" s="1"/>
      <c r="O545" s="1"/>
      <c r="V545" s="1"/>
      <c r="AC545" s="1"/>
      <c r="AJ545" s="1"/>
      <c r="AQ545" s="1"/>
      <c r="AX545" s="1"/>
    </row>
    <row r="546" spans="1:50" x14ac:dyDescent="0.25">
      <c r="A546" s="1"/>
      <c r="H546" s="1"/>
      <c r="O546" s="1"/>
      <c r="V546" s="1"/>
      <c r="AC546" s="1"/>
      <c r="AJ546" s="1"/>
      <c r="AQ546" s="1"/>
      <c r="AX546" s="1"/>
    </row>
    <row r="547" spans="1:50" x14ac:dyDescent="0.25">
      <c r="A547" s="1"/>
      <c r="H547" s="1"/>
      <c r="O547" s="1"/>
      <c r="V547" s="1"/>
      <c r="AC547" s="1"/>
      <c r="AJ547" s="1"/>
      <c r="AQ547" s="1"/>
      <c r="AX547" s="1"/>
    </row>
    <row r="548" spans="1:50" x14ac:dyDescent="0.25">
      <c r="A548" s="1"/>
      <c r="H548" s="1"/>
      <c r="O548" s="1"/>
      <c r="V548" s="1"/>
      <c r="AC548" s="1"/>
      <c r="AJ548" s="1"/>
      <c r="AQ548" s="1"/>
      <c r="AX548" s="1"/>
    </row>
    <row r="549" spans="1:50" x14ac:dyDescent="0.25">
      <c r="A549" s="1"/>
      <c r="H549" s="1"/>
      <c r="O549" s="1"/>
      <c r="V549" s="1"/>
      <c r="AC549" s="1"/>
      <c r="AJ549" s="1"/>
      <c r="AQ549" s="1"/>
      <c r="AX549" s="1"/>
    </row>
    <row r="550" spans="1:50" x14ac:dyDescent="0.25">
      <c r="A550" s="1"/>
      <c r="H550" s="1"/>
      <c r="O550" s="1"/>
      <c r="V550" s="1"/>
      <c r="AC550" s="1"/>
      <c r="AJ550" s="1"/>
      <c r="AQ550" s="1"/>
      <c r="AX550" s="1"/>
    </row>
    <row r="551" spans="1:50" x14ac:dyDescent="0.25">
      <c r="A551" s="1"/>
      <c r="H551" s="1"/>
      <c r="O551" s="1"/>
      <c r="V551" s="1"/>
      <c r="AC551" s="1"/>
      <c r="AJ551" s="1"/>
      <c r="AQ551" s="1"/>
      <c r="AX551" s="1"/>
    </row>
    <row r="552" spans="1:50" x14ac:dyDescent="0.25">
      <c r="A552" s="1"/>
      <c r="H552" s="1"/>
      <c r="O552" s="1"/>
      <c r="V552" s="1"/>
      <c r="AC552" s="1"/>
      <c r="AJ552" s="1"/>
      <c r="AQ552" s="1"/>
      <c r="AX552" s="1"/>
    </row>
    <row r="553" spans="1:50" x14ac:dyDescent="0.25">
      <c r="A553" s="1"/>
      <c r="H553" s="1"/>
      <c r="O553" s="1"/>
      <c r="V553" s="1"/>
      <c r="AC553" s="1"/>
      <c r="AJ553" s="1"/>
      <c r="AQ553" s="1"/>
      <c r="AX553" s="1"/>
    </row>
    <row r="554" spans="1:50" x14ac:dyDescent="0.25">
      <c r="A554" s="1"/>
      <c r="H554" s="1"/>
      <c r="O554" s="1"/>
      <c r="V554" s="1"/>
      <c r="AC554" s="1"/>
      <c r="AJ554" s="1"/>
      <c r="AQ554" s="1"/>
      <c r="AX554" s="1"/>
    </row>
    <row r="555" spans="1:50" x14ac:dyDescent="0.25">
      <c r="A555" s="1"/>
      <c r="H555" s="1"/>
      <c r="O555" s="1"/>
      <c r="V555" s="1"/>
      <c r="AC555" s="1"/>
      <c r="AJ555" s="1"/>
      <c r="AQ555" s="1"/>
      <c r="AX555" s="1"/>
    </row>
    <row r="556" spans="1:50" x14ac:dyDescent="0.25">
      <c r="A556" s="1"/>
      <c r="H556" s="1"/>
      <c r="O556" s="1"/>
      <c r="V556" s="1"/>
      <c r="AC556" s="1"/>
      <c r="AJ556" s="1"/>
      <c r="AQ556" s="1"/>
      <c r="AX556" s="1"/>
    </row>
    <row r="557" spans="1:50" x14ac:dyDescent="0.25">
      <c r="A557" s="1"/>
      <c r="H557" s="1"/>
      <c r="O557" s="1"/>
      <c r="V557" s="1"/>
      <c r="AC557" s="1"/>
      <c r="AJ557" s="1"/>
      <c r="AQ557" s="1"/>
      <c r="AX557" s="1"/>
    </row>
    <row r="558" spans="1:50" x14ac:dyDescent="0.25">
      <c r="A558" s="1"/>
      <c r="H558" s="1"/>
      <c r="O558" s="1"/>
      <c r="V558" s="1"/>
      <c r="AC558" s="1"/>
      <c r="AJ558" s="1"/>
      <c r="AQ558" s="1"/>
      <c r="AX558" s="1"/>
    </row>
    <row r="559" spans="1:50" x14ac:dyDescent="0.25">
      <c r="A559" s="1"/>
      <c r="H559" s="1"/>
      <c r="O559" s="1"/>
      <c r="V559" s="1"/>
      <c r="AC559" s="1"/>
      <c r="AJ559" s="1"/>
      <c r="AQ559" s="1"/>
      <c r="AX559" s="1"/>
    </row>
    <row r="560" spans="1:50" x14ac:dyDescent="0.25">
      <c r="A560" s="1"/>
      <c r="H560" s="1"/>
      <c r="O560" s="1"/>
      <c r="V560" s="1"/>
      <c r="AC560" s="1"/>
      <c r="AJ560" s="1"/>
      <c r="AQ560" s="1"/>
      <c r="AX560" s="1"/>
    </row>
    <row r="561" spans="1:50" x14ac:dyDescent="0.25">
      <c r="A561" s="1"/>
      <c r="H561" s="1"/>
      <c r="O561" s="1"/>
      <c r="V561" s="1"/>
      <c r="AC561" s="1"/>
      <c r="AJ561" s="1"/>
      <c r="AQ561" s="1"/>
      <c r="AX561" s="1"/>
    </row>
    <row r="562" spans="1:50" x14ac:dyDescent="0.25">
      <c r="A562" s="1"/>
      <c r="H562" s="1"/>
      <c r="O562" s="1"/>
      <c r="V562" s="1"/>
      <c r="AC562" s="1"/>
      <c r="AJ562" s="1"/>
      <c r="AQ562" s="1"/>
      <c r="AX562" s="1"/>
    </row>
    <row r="563" spans="1:50" x14ac:dyDescent="0.25">
      <c r="A563" s="1"/>
      <c r="H563" s="1"/>
      <c r="O563" s="1"/>
      <c r="V563" s="1"/>
      <c r="AC563" s="1"/>
      <c r="AJ563" s="1"/>
      <c r="AQ563" s="1"/>
      <c r="AX563" s="1"/>
    </row>
    <row r="564" spans="1:50" x14ac:dyDescent="0.25">
      <c r="A564" s="1"/>
      <c r="H564" s="1"/>
      <c r="O564" s="1"/>
      <c r="V564" s="1"/>
      <c r="AC564" s="1"/>
      <c r="AJ564" s="1"/>
      <c r="AQ564" s="1"/>
      <c r="AX564" s="1"/>
    </row>
    <row r="565" spans="1:50" x14ac:dyDescent="0.25">
      <c r="A565" s="1"/>
      <c r="H565" s="1"/>
      <c r="O565" s="1"/>
      <c r="V565" s="1"/>
      <c r="AC565" s="1"/>
      <c r="AJ565" s="1"/>
      <c r="AQ565" s="1"/>
      <c r="AX565" s="1"/>
    </row>
    <row r="566" spans="1:50" x14ac:dyDescent="0.25">
      <c r="A566" s="1"/>
      <c r="H566" s="1"/>
      <c r="O566" s="1"/>
      <c r="V566" s="1"/>
      <c r="AC566" s="1"/>
      <c r="AJ566" s="1"/>
      <c r="AQ566" s="1"/>
      <c r="AX566" s="1"/>
    </row>
    <row r="567" spans="1:50" x14ac:dyDescent="0.25">
      <c r="A567" s="1"/>
      <c r="H567" s="1"/>
      <c r="O567" s="1"/>
      <c r="V567" s="1"/>
      <c r="AC567" s="1"/>
      <c r="AJ567" s="1"/>
      <c r="AQ567" s="1"/>
      <c r="AX567" s="1"/>
    </row>
    <row r="568" spans="1:50" x14ac:dyDescent="0.25">
      <c r="A568" s="1"/>
      <c r="H568" s="1"/>
      <c r="O568" s="1"/>
      <c r="V568" s="1"/>
      <c r="AC568" s="1"/>
      <c r="AJ568" s="1"/>
      <c r="AQ568" s="1"/>
      <c r="AX568" s="1"/>
    </row>
    <row r="569" spans="1:50" x14ac:dyDescent="0.25">
      <c r="A569" s="1"/>
      <c r="H569" s="1"/>
      <c r="O569" s="1"/>
      <c r="V569" s="1"/>
      <c r="AC569" s="1"/>
      <c r="AJ569" s="1"/>
      <c r="AQ569" s="1"/>
      <c r="AX569" s="1"/>
    </row>
    <row r="570" spans="1:50" x14ac:dyDescent="0.25">
      <c r="A570" s="1"/>
      <c r="H570" s="1"/>
      <c r="O570" s="1"/>
      <c r="V570" s="1"/>
      <c r="AC570" s="1"/>
      <c r="AJ570" s="1"/>
      <c r="AQ570" s="1"/>
      <c r="AX570" s="1"/>
    </row>
    <row r="571" spans="1:50" x14ac:dyDescent="0.25">
      <c r="A571" s="1"/>
      <c r="H571" s="1"/>
      <c r="O571" s="1"/>
      <c r="V571" s="1"/>
      <c r="AC571" s="1"/>
      <c r="AJ571" s="1"/>
      <c r="AQ571" s="1"/>
      <c r="AX571" s="1"/>
    </row>
    <row r="572" spans="1:50" x14ac:dyDescent="0.25">
      <c r="A572" s="1"/>
      <c r="H572" s="1"/>
      <c r="O572" s="1"/>
      <c r="V572" s="1"/>
      <c r="AC572" s="1"/>
      <c r="AJ572" s="1"/>
      <c r="AQ572" s="1"/>
      <c r="AX572" s="1"/>
    </row>
    <row r="573" spans="1:50" x14ac:dyDescent="0.25">
      <c r="A573" s="1"/>
      <c r="H573" s="1"/>
      <c r="O573" s="1"/>
      <c r="V573" s="1"/>
      <c r="AC573" s="1"/>
      <c r="AJ573" s="1"/>
      <c r="AQ573" s="1"/>
      <c r="AX573" s="1"/>
    </row>
    <row r="574" spans="1:50" x14ac:dyDescent="0.25">
      <c r="A574" s="1"/>
      <c r="H574" s="1"/>
      <c r="O574" s="1"/>
      <c r="V574" s="1"/>
      <c r="AC574" s="1"/>
      <c r="AJ574" s="1"/>
      <c r="AQ574" s="1"/>
      <c r="AX574" s="1"/>
    </row>
    <row r="575" spans="1:50" x14ac:dyDescent="0.25">
      <c r="A575" s="1"/>
      <c r="H575" s="1"/>
      <c r="O575" s="1"/>
      <c r="V575" s="1"/>
      <c r="AC575" s="1"/>
      <c r="AJ575" s="1"/>
      <c r="AQ575" s="1"/>
      <c r="AX575" s="1"/>
    </row>
    <row r="576" spans="1:50" x14ac:dyDescent="0.25">
      <c r="A576" s="1"/>
      <c r="H576" s="1"/>
      <c r="O576" s="1"/>
      <c r="V576" s="1"/>
      <c r="AC576" s="1"/>
      <c r="AJ576" s="1"/>
      <c r="AQ576" s="1"/>
      <c r="AX576" s="1"/>
    </row>
    <row r="577" spans="1:50" x14ac:dyDescent="0.25">
      <c r="A577" s="1"/>
      <c r="H577" s="1"/>
      <c r="O577" s="1"/>
      <c r="V577" s="1"/>
      <c r="AC577" s="1"/>
      <c r="AJ577" s="1"/>
      <c r="AQ577" s="1"/>
      <c r="AX577" s="1"/>
    </row>
    <row r="578" spans="1:50" x14ac:dyDescent="0.25">
      <c r="A578" s="1"/>
      <c r="H578" s="1"/>
      <c r="O578" s="1"/>
      <c r="V578" s="1"/>
      <c r="AC578" s="1"/>
      <c r="AJ578" s="1"/>
      <c r="AQ578" s="1"/>
      <c r="AX578" s="1"/>
    </row>
    <row r="579" spans="1:50" x14ac:dyDescent="0.25">
      <c r="A579" s="1"/>
      <c r="H579" s="1"/>
      <c r="O579" s="1"/>
      <c r="V579" s="1"/>
      <c r="AC579" s="1"/>
      <c r="AJ579" s="1"/>
      <c r="AQ579" s="1"/>
      <c r="AX579" s="1"/>
    </row>
    <row r="580" spans="1:50" x14ac:dyDescent="0.25">
      <c r="A580" s="1"/>
      <c r="H580" s="1"/>
      <c r="O580" s="1"/>
      <c r="V580" s="1"/>
      <c r="AC580" s="1"/>
      <c r="AJ580" s="1"/>
      <c r="AQ580" s="1"/>
      <c r="AX580" s="1"/>
    </row>
    <row r="581" spans="1:50" x14ac:dyDescent="0.25">
      <c r="A581" s="1"/>
      <c r="H581" s="1"/>
      <c r="O581" s="1"/>
      <c r="V581" s="1"/>
      <c r="AC581" s="1"/>
      <c r="AJ581" s="1"/>
      <c r="AQ581" s="1"/>
      <c r="AX581" s="1"/>
    </row>
    <row r="582" spans="1:50" x14ac:dyDescent="0.25">
      <c r="A582" s="1"/>
      <c r="H582" s="1"/>
      <c r="O582" s="1"/>
      <c r="V582" s="1"/>
      <c r="AC582" s="1"/>
      <c r="AJ582" s="1"/>
      <c r="AQ582" s="1"/>
      <c r="AX582" s="1"/>
    </row>
    <row r="583" spans="1:50" x14ac:dyDescent="0.25">
      <c r="A583" s="1"/>
      <c r="H583" s="1"/>
      <c r="O583" s="1"/>
      <c r="V583" s="1"/>
      <c r="AC583" s="1"/>
      <c r="AJ583" s="1"/>
      <c r="AQ583" s="1"/>
      <c r="AX583" s="1"/>
    </row>
    <row r="584" spans="1:50" x14ac:dyDescent="0.25">
      <c r="A584" s="1"/>
      <c r="H584" s="1"/>
      <c r="O584" s="1"/>
      <c r="V584" s="1"/>
      <c r="AC584" s="1"/>
      <c r="AJ584" s="1"/>
      <c r="AQ584" s="1"/>
      <c r="AX584" s="1"/>
    </row>
    <row r="585" spans="1:50" x14ac:dyDescent="0.25">
      <c r="A585" s="1"/>
      <c r="H585" s="1"/>
      <c r="O585" s="1"/>
      <c r="V585" s="1"/>
      <c r="AC585" s="1"/>
      <c r="AJ585" s="1"/>
      <c r="AQ585" s="1"/>
      <c r="AX585" s="1"/>
    </row>
    <row r="586" spans="1:50" x14ac:dyDescent="0.25">
      <c r="A586" s="1"/>
      <c r="H586" s="1"/>
      <c r="O586" s="1"/>
      <c r="V586" s="1"/>
      <c r="AC586" s="1"/>
      <c r="AJ586" s="1"/>
      <c r="AQ586" s="1"/>
      <c r="AX586" s="1"/>
    </row>
    <row r="587" spans="1:50" x14ac:dyDescent="0.25">
      <c r="A587" s="1"/>
      <c r="H587" s="1"/>
      <c r="O587" s="1"/>
      <c r="V587" s="1"/>
      <c r="AC587" s="1"/>
      <c r="AJ587" s="1"/>
      <c r="AQ587" s="1"/>
      <c r="AX587" s="1"/>
    </row>
    <row r="588" spans="1:50" x14ac:dyDescent="0.25">
      <c r="A588" s="1"/>
      <c r="H588" s="1"/>
      <c r="O588" s="1"/>
      <c r="V588" s="1"/>
      <c r="AC588" s="1"/>
      <c r="AJ588" s="1"/>
      <c r="AQ588" s="1"/>
      <c r="AX588" s="1"/>
    </row>
    <row r="589" spans="1:50" x14ac:dyDescent="0.25">
      <c r="A589" s="1"/>
      <c r="H589" s="1"/>
      <c r="O589" s="1"/>
      <c r="V589" s="1"/>
      <c r="AC589" s="1"/>
      <c r="AJ589" s="1"/>
      <c r="AQ589" s="1"/>
      <c r="AX589" s="1"/>
    </row>
    <row r="590" spans="1:50" x14ac:dyDescent="0.25">
      <c r="A590" s="1"/>
      <c r="H590" s="1"/>
      <c r="O590" s="1"/>
      <c r="V590" s="1"/>
      <c r="AC590" s="1"/>
      <c r="AJ590" s="1"/>
      <c r="AQ590" s="1"/>
      <c r="AX590" s="1"/>
    </row>
    <row r="591" spans="1:50" x14ac:dyDescent="0.25">
      <c r="A591" s="1"/>
      <c r="H591" s="1"/>
      <c r="O591" s="1"/>
      <c r="V591" s="1"/>
      <c r="AC591" s="1"/>
      <c r="AJ591" s="1"/>
      <c r="AQ591" s="1"/>
      <c r="AX591" s="1"/>
    </row>
    <row r="592" spans="1:50" x14ac:dyDescent="0.25">
      <c r="A592" s="1"/>
      <c r="H592" s="1"/>
      <c r="O592" s="1"/>
      <c r="V592" s="1"/>
      <c r="AC592" s="1"/>
      <c r="AJ592" s="1"/>
      <c r="AQ592" s="1"/>
      <c r="AX592" s="1"/>
    </row>
    <row r="593" spans="1:50" x14ac:dyDescent="0.25">
      <c r="A593" s="1"/>
      <c r="H593" s="1"/>
      <c r="O593" s="1"/>
      <c r="V593" s="1"/>
      <c r="AC593" s="1"/>
      <c r="AJ593" s="1"/>
      <c r="AQ593" s="1"/>
      <c r="AX593" s="1"/>
    </row>
    <row r="594" spans="1:50" x14ac:dyDescent="0.25">
      <c r="A594" s="1"/>
      <c r="H594" s="1"/>
      <c r="O594" s="1"/>
      <c r="V594" s="1"/>
      <c r="AC594" s="1"/>
      <c r="AJ594" s="1"/>
      <c r="AQ594" s="1"/>
      <c r="AX594" s="1"/>
    </row>
    <row r="595" spans="1:50" x14ac:dyDescent="0.25">
      <c r="A595" s="1"/>
      <c r="H595" s="1"/>
      <c r="O595" s="1"/>
      <c r="V595" s="1"/>
      <c r="AC595" s="1"/>
      <c r="AJ595" s="1"/>
      <c r="AQ595" s="1"/>
      <c r="AX595" s="1"/>
    </row>
    <row r="596" spans="1:50" x14ac:dyDescent="0.25">
      <c r="A596" s="1"/>
      <c r="H596" s="1"/>
      <c r="O596" s="1"/>
      <c r="V596" s="1"/>
      <c r="AC596" s="1"/>
      <c r="AJ596" s="1"/>
      <c r="AQ596" s="1"/>
      <c r="AX596" s="1"/>
    </row>
    <row r="597" spans="1:50" x14ac:dyDescent="0.25">
      <c r="A597" s="1"/>
      <c r="H597" s="1"/>
      <c r="O597" s="1"/>
      <c r="V597" s="1"/>
      <c r="AC597" s="1"/>
      <c r="AJ597" s="1"/>
      <c r="AQ597" s="1"/>
      <c r="AX597" s="1"/>
    </row>
    <row r="598" spans="1:50" x14ac:dyDescent="0.25">
      <c r="A598" s="1"/>
      <c r="H598" s="1"/>
      <c r="O598" s="1"/>
      <c r="V598" s="1"/>
      <c r="AC598" s="1"/>
      <c r="AJ598" s="1"/>
      <c r="AQ598" s="1"/>
      <c r="AX598" s="1"/>
    </row>
    <row r="599" spans="1:50" x14ac:dyDescent="0.25">
      <c r="A599" s="1"/>
      <c r="H599" s="1"/>
      <c r="O599" s="1"/>
      <c r="V599" s="1"/>
      <c r="AC599" s="1"/>
      <c r="AJ599" s="1"/>
      <c r="AQ599" s="1"/>
      <c r="AX599" s="1"/>
    </row>
    <row r="600" spans="1:50" x14ac:dyDescent="0.25">
      <c r="A600" s="1"/>
      <c r="H600" s="1"/>
      <c r="O600" s="1"/>
      <c r="V600" s="1"/>
      <c r="AC600" s="1"/>
      <c r="AJ600" s="1"/>
      <c r="AQ600" s="1"/>
      <c r="AX600" s="1"/>
    </row>
    <row r="601" spans="1:50" x14ac:dyDescent="0.25">
      <c r="A601" s="1"/>
      <c r="H601" s="1"/>
      <c r="O601" s="1"/>
      <c r="V601" s="1"/>
      <c r="AC601" s="1"/>
      <c r="AJ601" s="1"/>
      <c r="AQ601" s="1"/>
      <c r="AX601" s="1"/>
    </row>
    <row r="602" spans="1:50" x14ac:dyDescent="0.25">
      <c r="A602" s="1"/>
      <c r="H602" s="1"/>
      <c r="O602" s="1"/>
      <c r="V602" s="1"/>
      <c r="AC602" s="1"/>
      <c r="AJ602" s="1"/>
      <c r="AQ602" s="1"/>
      <c r="AX602" s="1"/>
    </row>
    <row r="603" spans="1:50" x14ac:dyDescent="0.25">
      <c r="A603" s="1"/>
      <c r="H603" s="1"/>
      <c r="O603" s="1"/>
      <c r="V603" s="1"/>
      <c r="AC603" s="1"/>
      <c r="AJ603" s="1"/>
      <c r="AQ603" s="1"/>
      <c r="AX603" s="1"/>
    </row>
    <row r="604" spans="1:50" x14ac:dyDescent="0.25">
      <c r="A604" s="1"/>
      <c r="H604" s="1"/>
      <c r="O604" s="1"/>
      <c r="V604" s="1"/>
      <c r="AC604" s="1"/>
      <c r="AJ604" s="1"/>
      <c r="AQ604" s="1"/>
      <c r="AX604" s="1"/>
    </row>
    <row r="605" spans="1:50" x14ac:dyDescent="0.25">
      <c r="A605" s="1"/>
      <c r="H605" s="1"/>
      <c r="O605" s="1"/>
      <c r="V605" s="1"/>
      <c r="AC605" s="1"/>
      <c r="AJ605" s="1"/>
      <c r="AQ605" s="1"/>
      <c r="AX605" s="1"/>
    </row>
    <row r="606" spans="1:50" x14ac:dyDescent="0.25">
      <c r="A606" s="1"/>
      <c r="H606" s="1"/>
      <c r="O606" s="1"/>
      <c r="V606" s="1"/>
      <c r="AC606" s="1"/>
      <c r="AJ606" s="1"/>
      <c r="AQ606" s="1"/>
      <c r="AX606" s="1"/>
    </row>
    <row r="607" spans="1:50" x14ac:dyDescent="0.25">
      <c r="A607" s="1"/>
      <c r="H607" s="1"/>
      <c r="O607" s="1"/>
      <c r="V607" s="1"/>
      <c r="AC607" s="1"/>
      <c r="AJ607" s="1"/>
      <c r="AQ607" s="1"/>
      <c r="AX607" s="1"/>
    </row>
    <row r="608" spans="1:50" x14ac:dyDescent="0.25">
      <c r="A608" s="1"/>
      <c r="H608" s="1"/>
      <c r="O608" s="1"/>
      <c r="V608" s="1"/>
      <c r="AC608" s="1"/>
      <c r="AJ608" s="1"/>
      <c r="AQ608" s="1"/>
      <c r="AX608" s="1"/>
    </row>
    <row r="609" spans="1:50" x14ac:dyDescent="0.25">
      <c r="A609" s="1"/>
      <c r="H609" s="1"/>
      <c r="O609" s="1"/>
      <c r="V609" s="1"/>
      <c r="AC609" s="1"/>
      <c r="AJ609" s="1"/>
      <c r="AQ609" s="1"/>
      <c r="AX609" s="1"/>
    </row>
    <row r="610" spans="1:50" x14ac:dyDescent="0.25">
      <c r="A610" s="1"/>
      <c r="H610" s="1"/>
      <c r="O610" s="1"/>
      <c r="V610" s="1"/>
      <c r="AC610" s="1"/>
      <c r="AJ610" s="1"/>
      <c r="AQ610" s="1"/>
      <c r="AX610" s="1"/>
    </row>
    <row r="611" spans="1:50" x14ac:dyDescent="0.25">
      <c r="A611" s="1"/>
      <c r="H611" s="1"/>
      <c r="O611" s="1"/>
      <c r="V611" s="1"/>
      <c r="AC611" s="1"/>
      <c r="AJ611" s="1"/>
      <c r="AQ611" s="1"/>
      <c r="AX611" s="1"/>
    </row>
    <row r="612" spans="1:50" x14ac:dyDescent="0.25">
      <c r="A612" s="1"/>
      <c r="H612" s="1"/>
      <c r="O612" s="1"/>
      <c r="V612" s="1"/>
      <c r="AC612" s="1"/>
      <c r="AJ612" s="1"/>
      <c r="AQ612" s="1"/>
      <c r="AX612" s="1"/>
    </row>
    <row r="613" spans="1:50" x14ac:dyDescent="0.25">
      <c r="A613" s="1"/>
      <c r="H613" s="1"/>
      <c r="O613" s="1"/>
      <c r="V613" s="1"/>
      <c r="AC613" s="1"/>
      <c r="AJ613" s="1"/>
      <c r="AQ613" s="1"/>
      <c r="AX613" s="1"/>
    </row>
    <row r="614" spans="1:50" x14ac:dyDescent="0.25">
      <c r="A614" s="1"/>
      <c r="H614" s="1"/>
      <c r="O614" s="1"/>
      <c r="V614" s="1"/>
      <c r="AC614" s="1"/>
      <c r="AJ614" s="1"/>
      <c r="AQ614" s="1"/>
      <c r="AX614" s="1"/>
    </row>
    <row r="615" spans="1:50" x14ac:dyDescent="0.25">
      <c r="A615" s="1"/>
      <c r="H615" s="1"/>
      <c r="O615" s="1"/>
      <c r="V615" s="1"/>
      <c r="AC615" s="1"/>
      <c r="AJ615" s="1"/>
      <c r="AQ615" s="1"/>
      <c r="AX615" s="1"/>
    </row>
    <row r="616" spans="1:50" x14ac:dyDescent="0.25">
      <c r="A616" s="1"/>
      <c r="H616" s="1"/>
      <c r="O616" s="1"/>
      <c r="V616" s="1"/>
      <c r="AC616" s="1"/>
      <c r="AJ616" s="1"/>
      <c r="AQ616" s="1"/>
      <c r="AX616" s="1"/>
    </row>
    <row r="617" spans="1:50" x14ac:dyDescent="0.25">
      <c r="A617" s="1"/>
      <c r="H617" s="1"/>
      <c r="O617" s="1"/>
      <c r="V617" s="1"/>
      <c r="AC617" s="1"/>
      <c r="AJ617" s="1"/>
      <c r="AQ617" s="1"/>
      <c r="AX617" s="1"/>
    </row>
    <row r="618" spans="1:50" x14ac:dyDescent="0.25">
      <c r="A618" s="1"/>
      <c r="H618" s="1"/>
      <c r="O618" s="1"/>
      <c r="V618" s="1"/>
      <c r="AC618" s="1"/>
      <c r="AJ618" s="1"/>
      <c r="AQ618" s="1"/>
      <c r="AX618" s="1"/>
    </row>
    <row r="619" spans="1:50" x14ac:dyDescent="0.25">
      <c r="A619" s="1"/>
      <c r="H619" s="1"/>
      <c r="O619" s="1"/>
      <c r="V619" s="1"/>
      <c r="AC619" s="1"/>
      <c r="AJ619" s="1"/>
      <c r="AQ619" s="1"/>
      <c r="AX619" s="1"/>
    </row>
    <row r="620" spans="1:50" x14ac:dyDescent="0.25">
      <c r="A620" s="1"/>
      <c r="H620" s="1"/>
      <c r="O620" s="1"/>
      <c r="V620" s="1"/>
      <c r="AC620" s="1"/>
      <c r="AJ620" s="1"/>
      <c r="AQ620" s="1"/>
      <c r="AX620" s="1"/>
    </row>
    <row r="621" spans="1:50" x14ac:dyDescent="0.25">
      <c r="A621" s="1"/>
      <c r="H621" s="1"/>
      <c r="O621" s="1"/>
      <c r="V621" s="1"/>
      <c r="AC621" s="1"/>
      <c r="AJ621" s="1"/>
      <c r="AQ621" s="1"/>
      <c r="AX621" s="1"/>
    </row>
    <row r="622" spans="1:50" x14ac:dyDescent="0.25">
      <c r="A622" s="1"/>
      <c r="H622" s="1"/>
      <c r="O622" s="1"/>
      <c r="V622" s="1"/>
      <c r="AC622" s="1"/>
      <c r="AJ622" s="1"/>
      <c r="AQ622" s="1"/>
      <c r="AX622" s="1"/>
    </row>
    <row r="623" spans="1:50" x14ac:dyDescent="0.25">
      <c r="A623" s="1"/>
      <c r="H623" s="1"/>
      <c r="O623" s="1"/>
      <c r="V623" s="1"/>
      <c r="AC623" s="1"/>
      <c r="AJ623" s="1"/>
      <c r="AQ623" s="1"/>
      <c r="AX623" s="1"/>
    </row>
    <row r="624" spans="1:50" x14ac:dyDescent="0.25">
      <c r="A624" s="1"/>
      <c r="H624" s="1"/>
      <c r="O624" s="1"/>
      <c r="V624" s="1"/>
      <c r="AC624" s="1"/>
      <c r="AJ624" s="1"/>
      <c r="AQ624" s="1"/>
      <c r="AX624" s="1"/>
    </row>
    <row r="625" spans="1:50" x14ac:dyDescent="0.25">
      <c r="A625" s="1"/>
      <c r="H625" s="1"/>
      <c r="O625" s="1"/>
      <c r="V625" s="1"/>
      <c r="AC625" s="1"/>
      <c r="AJ625" s="1"/>
      <c r="AQ625" s="1"/>
      <c r="AX625" s="1"/>
    </row>
    <row r="626" spans="1:50" x14ac:dyDescent="0.25">
      <c r="A626" s="1"/>
      <c r="H626" s="1"/>
      <c r="O626" s="1"/>
      <c r="V626" s="1"/>
      <c r="AC626" s="1"/>
      <c r="AJ626" s="1"/>
      <c r="AQ626" s="1"/>
      <c r="AX626" s="1"/>
    </row>
    <row r="627" spans="1:50" x14ac:dyDescent="0.25">
      <c r="A627" s="1"/>
      <c r="H627" s="1"/>
      <c r="O627" s="1"/>
      <c r="V627" s="1"/>
      <c r="AC627" s="1"/>
      <c r="AJ627" s="1"/>
      <c r="AQ627" s="1"/>
      <c r="AX627" s="1"/>
    </row>
    <row r="628" spans="1:50" x14ac:dyDescent="0.25">
      <c r="A628" s="1"/>
      <c r="H628" s="1"/>
      <c r="O628" s="1"/>
      <c r="V628" s="1"/>
      <c r="AC628" s="1"/>
      <c r="AJ628" s="1"/>
      <c r="AQ628" s="1"/>
      <c r="AX628" s="1"/>
    </row>
    <row r="629" spans="1:50" x14ac:dyDescent="0.25">
      <c r="A629" s="1"/>
      <c r="H629" s="1"/>
      <c r="O629" s="1"/>
      <c r="V629" s="1"/>
      <c r="AC629" s="1"/>
      <c r="AJ629" s="1"/>
      <c r="AQ629" s="1"/>
      <c r="AX629" s="1"/>
    </row>
    <row r="630" spans="1:50" x14ac:dyDescent="0.25">
      <c r="A630" s="1"/>
      <c r="H630" s="1"/>
      <c r="O630" s="1"/>
      <c r="V630" s="1"/>
      <c r="AC630" s="1"/>
      <c r="AJ630" s="1"/>
      <c r="AQ630" s="1"/>
      <c r="AX630" s="1"/>
    </row>
    <row r="631" spans="1:50" x14ac:dyDescent="0.25">
      <c r="A631" s="1"/>
      <c r="H631" s="1"/>
      <c r="O631" s="1"/>
      <c r="V631" s="1"/>
      <c r="AC631" s="1"/>
      <c r="AJ631" s="1"/>
      <c r="AQ631" s="1"/>
      <c r="AX631" s="1"/>
    </row>
    <row r="632" spans="1:50" x14ac:dyDescent="0.25">
      <c r="A632" s="1"/>
      <c r="H632" s="1"/>
      <c r="O632" s="1"/>
      <c r="V632" s="1"/>
      <c r="AC632" s="1"/>
      <c r="AJ632" s="1"/>
      <c r="AQ632" s="1"/>
      <c r="AX632" s="1"/>
    </row>
    <row r="633" spans="1:50" x14ac:dyDescent="0.25">
      <c r="A633" s="1"/>
      <c r="H633" s="1"/>
      <c r="O633" s="1"/>
      <c r="V633" s="1"/>
      <c r="AC633" s="1"/>
      <c r="AJ633" s="1"/>
      <c r="AQ633" s="1"/>
      <c r="AX633" s="1"/>
    </row>
    <row r="634" spans="1:50" x14ac:dyDescent="0.25">
      <c r="A634" s="1"/>
      <c r="H634" s="1"/>
      <c r="O634" s="1"/>
      <c r="V634" s="1"/>
      <c r="AC634" s="1"/>
      <c r="AJ634" s="1"/>
      <c r="AQ634" s="1"/>
      <c r="AX634" s="1"/>
    </row>
    <row r="635" spans="1:50" x14ac:dyDescent="0.25">
      <c r="A635" s="1"/>
      <c r="H635" s="1"/>
      <c r="O635" s="1"/>
      <c r="V635" s="1"/>
      <c r="AC635" s="1"/>
      <c r="AJ635" s="1"/>
      <c r="AQ635" s="1"/>
      <c r="AX635" s="1"/>
    </row>
    <row r="636" spans="1:50" x14ac:dyDescent="0.25">
      <c r="A636" s="1"/>
      <c r="H636" s="1"/>
      <c r="O636" s="1"/>
      <c r="V636" s="1"/>
      <c r="AC636" s="1"/>
      <c r="AJ636" s="1"/>
      <c r="AQ636" s="1"/>
      <c r="AX636" s="1"/>
    </row>
    <row r="637" spans="1:50" x14ac:dyDescent="0.25">
      <c r="A637" s="1"/>
      <c r="H637" s="1"/>
      <c r="O637" s="1"/>
      <c r="V637" s="1"/>
      <c r="AC637" s="1"/>
      <c r="AJ637" s="1"/>
      <c r="AQ637" s="1"/>
      <c r="AX637" s="1"/>
    </row>
    <row r="638" spans="1:50" x14ac:dyDescent="0.25">
      <c r="A638" s="1"/>
      <c r="H638" s="1"/>
      <c r="O638" s="1"/>
      <c r="V638" s="1"/>
      <c r="AC638" s="1"/>
      <c r="AJ638" s="1"/>
      <c r="AQ638" s="1"/>
      <c r="AX638" s="1"/>
    </row>
    <row r="639" spans="1:50" x14ac:dyDescent="0.25">
      <c r="A639" s="1"/>
      <c r="H639" s="1"/>
      <c r="O639" s="1"/>
      <c r="V639" s="1"/>
      <c r="AC639" s="1"/>
      <c r="AJ639" s="1"/>
      <c r="AQ639" s="1"/>
      <c r="AX639" s="1"/>
    </row>
    <row r="640" spans="1:50" x14ac:dyDescent="0.25">
      <c r="A640" s="1"/>
      <c r="H640" s="1"/>
      <c r="O640" s="1"/>
      <c r="V640" s="1"/>
      <c r="AC640" s="1"/>
      <c r="AJ640" s="1"/>
      <c r="AQ640" s="1"/>
      <c r="AX640" s="1"/>
    </row>
    <row r="641" spans="1:50" x14ac:dyDescent="0.25">
      <c r="A641" s="1"/>
      <c r="H641" s="1"/>
      <c r="O641" s="1"/>
      <c r="V641" s="1"/>
      <c r="AC641" s="1"/>
      <c r="AJ641" s="1"/>
      <c r="AQ641" s="1"/>
      <c r="AX641" s="1"/>
    </row>
    <row r="642" spans="1:50" x14ac:dyDescent="0.25">
      <c r="A642" s="1"/>
      <c r="H642" s="1"/>
      <c r="O642" s="1"/>
      <c r="V642" s="1"/>
      <c r="AC642" s="1"/>
      <c r="AJ642" s="1"/>
      <c r="AQ642" s="1"/>
      <c r="AX642" s="1"/>
    </row>
    <row r="643" spans="1:50" x14ac:dyDescent="0.25">
      <c r="A643" s="1"/>
      <c r="H643" s="1"/>
      <c r="O643" s="1"/>
      <c r="V643" s="1"/>
      <c r="AC643" s="1"/>
      <c r="AJ643" s="1"/>
      <c r="AQ643" s="1"/>
      <c r="AX643" s="1"/>
    </row>
    <row r="644" spans="1:50" x14ac:dyDescent="0.25">
      <c r="A644" s="1"/>
      <c r="H644" s="1"/>
      <c r="O644" s="1"/>
      <c r="V644" s="1"/>
      <c r="AC644" s="1"/>
      <c r="AJ644" s="1"/>
      <c r="AQ644" s="1"/>
      <c r="AX644" s="1"/>
    </row>
    <row r="645" spans="1:50" x14ac:dyDescent="0.25">
      <c r="A645" s="1"/>
      <c r="H645" s="1"/>
      <c r="O645" s="1"/>
      <c r="V645" s="1"/>
      <c r="AC645" s="1"/>
      <c r="AJ645" s="1"/>
      <c r="AQ645" s="1"/>
      <c r="AX645" s="1"/>
    </row>
    <row r="646" spans="1:50" x14ac:dyDescent="0.25">
      <c r="A646" s="1"/>
      <c r="H646" s="1"/>
      <c r="O646" s="1"/>
      <c r="V646" s="1"/>
      <c r="AC646" s="1"/>
      <c r="AJ646" s="1"/>
      <c r="AQ646" s="1"/>
      <c r="AX646" s="1"/>
    </row>
    <row r="647" spans="1:50" x14ac:dyDescent="0.25">
      <c r="A647" s="1"/>
      <c r="H647" s="1"/>
      <c r="O647" s="1"/>
      <c r="V647" s="1"/>
      <c r="AC647" s="1"/>
      <c r="AJ647" s="1"/>
      <c r="AQ647" s="1"/>
      <c r="AX647" s="1"/>
    </row>
    <row r="648" spans="1:50" x14ac:dyDescent="0.25">
      <c r="A648" s="1"/>
      <c r="H648" s="1"/>
      <c r="O648" s="1"/>
      <c r="V648" s="1"/>
      <c r="AC648" s="1"/>
      <c r="AJ648" s="1"/>
      <c r="AQ648" s="1"/>
      <c r="AX648" s="1"/>
    </row>
    <row r="649" spans="1:50" x14ac:dyDescent="0.25">
      <c r="A649" s="1"/>
      <c r="H649" s="1"/>
      <c r="O649" s="1"/>
      <c r="V649" s="1"/>
      <c r="AC649" s="1"/>
      <c r="AJ649" s="1"/>
      <c r="AQ649" s="1"/>
      <c r="AX649" s="1"/>
    </row>
    <row r="650" spans="1:50" x14ac:dyDescent="0.25">
      <c r="A650" s="1"/>
      <c r="H650" s="1"/>
      <c r="O650" s="1"/>
      <c r="V650" s="1"/>
      <c r="AC650" s="1"/>
      <c r="AJ650" s="1"/>
      <c r="AQ650" s="1"/>
      <c r="AX650" s="1"/>
    </row>
    <row r="651" spans="1:50" x14ac:dyDescent="0.25">
      <c r="A651" s="1"/>
      <c r="H651" s="1"/>
      <c r="O651" s="1"/>
      <c r="V651" s="1"/>
      <c r="AC651" s="1"/>
      <c r="AJ651" s="1"/>
      <c r="AQ651" s="1"/>
      <c r="AX651" s="1"/>
    </row>
    <row r="652" spans="1:50" x14ac:dyDescent="0.25">
      <c r="A652" s="1"/>
      <c r="H652" s="1"/>
      <c r="O652" s="1"/>
      <c r="V652" s="1"/>
      <c r="AC652" s="1"/>
      <c r="AJ652" s="1"/>
      <c r="AQ652" s="1"/>
      <c r="AX652" s="1"/>
    </row>
    <row r="653" spans="1:50" x14ac:dyDescent="0.25">
      <c r="A653" s="1"/>
      <c r="H653" s="1"/>
      <c r="O653" s="1"/>
      <c r="V653" s="1"/>
      <c r="AC653" s="1"/>
      <c r="AJ653" s="1"/>
      <c r="AQ653" s="1"/>
      <c r="AX653" s="1"/>
    </row>
    <row r="654" spans="1:50" x14ac:dyDescent="0.25">
      <c r="A654" s="1"/>
      <c r="H654" s="1"/>
      <c r="O654" s="1"/>
      <c r="V654" s="1"/>
      <c r="AC654" s="1"/>
      <c r="AJ654" s="1"/>
      <c r="AQ654" s="1"/>
      <c r="AX654" s="1"/>
    </row>
    <row r="655" spans="1:50" x14ac:dyDescent="0.25">
      <c r="A655" s="1"/>
      <c r="H655" s="1"/>
      <c r="O655" s="1"/>
      <c r="V655" s="1"/>
      <c r="AC655" s="1"/>
      <c r="AJ655" s="1"/>
      <c r="AQ655" s="1"/>
      <c r="AX655" s="1"/>
    </row>
    <row r="656" spans="1:50" x14ac:dyDescent="0.25">
      <c r="A656" s="1"/>
      <c r="H656" s="1"/>
      <c r="O656" s="1"/>
      <c r="V656" s="1"/>
      <c r="AC656" s="1"/>
      <c r="AJ656" s="1"/>
      <c r="AQ656" s="1"/>
      <c r="AX656" s="1"/>
    </row>
    <row r="657" spans="1:50" x14ac:dyDescent="0.25">
      <c r="A657" s="1"/>
      <c r="H657" s="1"/>
      <c r="O657" s="1"/>
      <c r="V657" s="1"/>
      <c r="AC657" s="1"/>
      <c r="AJ657" s="1"/>
      <c r="AQ657" s="1"/>
      <c r="AX657" s="1"/>
    </row>
    <row r="658" spans="1:50" x14ac:dyDescent="0.25">
      <c r="A658" s="1"/>
      <c r="H658" s="1"/>
      <c r="O658" s="1"/>
      <c r="V658" s="1"/>
      <c r="AC658" s="1"/>
      <c r="AJ658" s="1"/>
      <c r="AQ658" s="1"/>
      <c r="AX658" s="1"/>
    </row>
    <row r="659" spans="1:50" x14ac:dyDescent="0.25">
      <c r="A659" s="1"/>
      <c r="H659" s="1"/>
      <c r="O659" s="1"/>
      <c r="V659" s="1"/>
      <c r="AC659" s="1"/>
      <c r="AJ659" s="1"/>
      <c r="AQ659" s="1"/>
      <c r="AX659" s="1"/>
    </row>
    <row r="660" spans="1:50" x14ac:dyDescent="0.25">
      <c r="A660" s="1"/>
      <c r="H660" s="1"/>
      <c r="O660" s="1"/>
      <c r="V660" s="1"/>
      <c r="AC660" s="1"/>
      <c r="AJ660" s="1"/>
      <c r="AQ660" s="1"/>
      <c r="AX660" s="1"/>
    </row>
    <row r="661" spans="1:50" x14ac:dyDescent="0.25">
      <c r="A661" s="1"/>
      <c r="H661" s="1"/>
      <c r="O661" s="1"/>
      <c r="V661" s="1"/>
      <c r="AC661" s="1"/>
      <c r="AJ661" s="1"/>
      <c r="AQ661" s="1"/>
      <c r="AX661" s="1"/>
    </row>
    <row r="662" spans="1:50" x14ac:dyDescent="0.25">
      <c r="A662" s="1"/>
      <c r="H662" s="1"/>
      <c r="O662" s="1"/>
      <c r="V662" s="1"/>
      <c r="AC662" s="1"/>
      <c r="AJ662" s="1"/>
      <c r="AQ662" s="1"/>
      <c r="AX662" s="1"/>
    </row>
    <row r="663" spans="1:50" x14ac:dyDescent="0.25">
      <c r="A663" s="1"/>
      <c r="H663" s="1"/>
      <c r="O663" s="1"/>
      <c r="V663" s="1"/>
      <c r="AC663" s="1"/>
      <c r="AJ663" s="1"/>
      <c r="AQ663" s="1"/>
      <c r="AX663" s="1"/>
    </row>
    <row r="664" spans="1:50" x14ac:dyDescent="0.25">
      <c r="A664" s="1"/>
      <c r="H664" s="1"/>
      <c r="O664" s="1"/>
      <c r="V664" s="1"/>
      <c r="AC664" s="1"/>
      <c r="AJ664" s="1"/>
      <c r="AQ664" s="1"/>
      <c r="AX664" s="1"/>
    </row>
    <row r="665" spans="1:50" x14ac:dyDescent="0.25">
      <c r="A665" s="1"/>
      <c r="H665" s="1"/>
      <c r="O665" s="1"/>
      <c r="V665" s="1"/>
      <c r="AC665" s="1"/>
      <c r="AJ665" s="1"/>
      <c r="AQ665" s="1"/>
      <c r="AX665" s="1"/>
    </row>
    <row r="666" spans="1:50" x14ac:dyDescent="0.25">
      <c r="A666" s="1"/>
      <c r="H666" s="1"/>
      <c r="O666" s="1"/>
      <c r="V666" s="1"/>
      <c r="AC666" s="1"/>
      <c r="AJ666" s="1"/>
      <c r="AQ666" s="1"/>
      <c r="AX666" s="1"/>
    </row>
    <row r="667" spans="1:50" x14ac:dyDescent="0.25">
      <c r="A667" s="1"/>
      <c r="H667" s="1"/>
      <c r="O667" s="1"/>
      <c r="V667" s="1"/>
      <c r="AC667" s="1"/>
      <c r="AJ667" s="1"/>
      <c r="AQ667" s="1"/>
      <c r="AX667" s="1"/>
    </row>
    <row r="668" spans="1:50" x14ac:dyDescent="0.25">
      <c r="A668" s="1"/>
      <c r="H668" s="1"/>
      <c r="O668" s="1"/>
      <c r="V668" s="1"/>
      <c r="AC668" s="1"/>
      <c r="AJ668" s="1"/>
      <c r="AQ668" s="1"/>
      <c r="AX668" s="1"/>
    </row>
    <row r="669" spans="1:50" x14ac:dyDescent="0.25">
      <c r="A669" s="1"/>
      <c r="H669" s="1"/>
      <c r="O669" s="1"/>
      <c r="V669" s="1"/>
      <c r="AC669" s="1"/>
      <c r="AJ669" s="1"/>
      <c r="AQ669" s="1"/>
      <c r="AX669" s="1"/>
    </row>
    <row r="670" spans="1:50" x14ac:dyDescent="0.25">
      <c r="A670" s="1"/>
      <c r="H670" s="1"/>
      <c r="O670" s="1"/>
      <c r="V670" s="1"/>
      <c r="AC670" s="1"/>
      <c r="AJ670" s="1"/>
      <c r="AQ670" s="1"/>
      <c r="AX670" s="1"/>
    </row>
    <row r="671" spans="1:50" x14ac:dyDescent="0.25">
      <c r="A671" s="1"/>
      <c r="H671" s="1"/>
      <c r="O671" s="1"/>
      <c r="V671" s="1"/>
      <c r="AC671" s="1"/>
      <c r="AJ671" s="1"/>
      <c r="AQ671" s="1"/>
      <c r="AX671" s="1"/>
    </row>
    <row r="672" spans="1:50" x14ac:dyDescent="0.25">
      <c r="A672" s="1"/>
      <c r="H672" s="1"/>
      <c r="O672" s="1"/>
      <c r="V672" s="1"/>
      <c r="AC672" s="1"/>
      <c r="AJ672" s="1"/>
      <c r="AQ672" s="1"/>
      <c r="AX672" s="1"/>
    </row>
    <row r="673" spans="1:50" x14ac:dyDescent="0.25">
      <c r="A673" s="1"/>
      <c r="H673" s="1"/>
      <c r="O673" s="1"/>
      <c r="V673" s="1"/>
      <c r="AC673" s="1"/>
      <c r="AJ673" s="1"/>
      <c r="AQ673" s="1"/>
      <c r="AX673" s="1"/>
    </row>
    <row r="674" spans="1:50" x14ac:dyDescent="0.25">
      <c r="A674" s="1"/>
      <c r="H674" s="1"/>
      <c r="O674" s="1"/>
      <c r="V674" s="1"/>
      <c r="AC674" s="1"/>
      <c r="AJ674" s="1"/>
      <c r="AQ674" s="1"/>
      <c r="AX674" s="1"/>
    </row>
    <row r="675" spans="1:50" x14ac:dyDescent="0.25">
      <c r="A675" s="1"/>
      <c r="H675" s="1"/>
      <c r="O675" s="1"/>
      <c r="V675" s="1"/>
      <c r="AC675" s="1"/>
      <c r="AJ675" s="1"/>
      <c r="AQ675" s="1"/>
      <c r="AX675" s="1"/>
    </row>
    <row r="676" spans="1:50" x14ac:dyDescent="0.25">
      <c r="A676" s="1"/>
      <c r="H676" s="1"/>
      <c r="O676" s="1"/>
      <c r="V676" s="1"/>
      <c r="AC676" s="1"/>
      <c r="AJ676" s="1"/>
      <c r="AQ676" s="1"/>
      <c r="AX676" s="1"/>
    </row>
    <row r="677" spans="1:50" x14ac:dyDescent="0.25">
      <c r="A677" s="1"/>
      <c r="H677" s="1"/>
      <c r="O677" s="1"/>
      <c r="V677" s="1"/>
      <c r="AC677" s="1"/>
      <c r="AJ677" s="1"/>
      <c r="AQ677" s="1"/>
      <c r="AX677" s="1"/>
    </row>
    <row r="678" spans="1:50" x14ac:dyDescent="0.25">
      <c r="A678" s="1"/>
      <c r="H678" s="1"/>
      <c r="O678" s="1"/>
      <c r="V678" s="1"/>
      <c r="AC678" s="1"/>
      <c r="AJ678" s="1"/>
      <c r="AQ678" s="1"/>
      <c r="AX678" s="1"/>
    </row>
    <row r="679" spans="1:50" x14ac:dyDescent="0.25">
      <c r="A679" s="1"/>
      <c r="H679" s="1"/>
      <c r="O679" s="1"/>
      <c r="V679" s="1"/>
      <c r="AC679" s="1"/>
      <c r="AJ679" s="1"/>
      <c r="AQ679" s="1"/>
      <c r="AX679" s="1"/>
    </row>
    <row r="680" spans="1:50" x14ac:dyDescent="0.25">
      <c r="A680" s="1"/>
      <c r="H680" s="1"/>
      <c r="O680" s="1"/>
      <c r="V680" s="1"/>
      <c r="AC680" s="1"/>
      <c r="AJ680" s="1"/>
      <c r="AQ680" s="1"/>
      <c r="AX680" s="1"/>
    </row>
    <row r="681" spans="1:50" x14ac:dyDescent="0.25">
      <c r="A681" s="1"/>
      <c r="H681" s="1"/>
      <c r="O681" s="1"/>
      <c r="V681" s="1"/>
      <c r="AC681" s="1"/>
      <c r="AJ681" s="1"/>
      <c r="AQ681" s="1"/>
      <c r="AX681" s="1"/>
    </row>
    <row r="682" spans="1:50" x14ac:dyDescent="0.25">
      <c r="A682" s="1"/>
      <c r="H682" s="1"/>
      <c r="O682" s="1"/>
      <c r="V682" s="1"/>
      <c r="AC682" s="1"/>
      <c r="AJ682" s="1"/>
      <c r="AQ682" s="1"/>
      <c r="AX682" s="1"/>
    </row>
    <row r="683" spans="1:50" x14ac:dyDescent="0.25">
      <c r="A683" s="1"/>
      <c r="H683" s="1"/>
      <c r="O683" s="1"/>
      <c r="V683" s="1"/>
      <c r="AC683" s="1"/>
      <c r="AJ683" s="1"/>
      <c r="AQ683" s="1"/>
      <c r="AX683" s="1"/>
    </row>
    <row r="684" spans="1:50" x14ac:dyDescent="0.25">
      <c r="A684" s="1"/>
      <c r="H684" s="1"/>
      <c r="O684" s="1"/>
      <c r="V684" s="1"/>
      <c r="AC684" s="1"/>
      <c r="AJ684" s="1"/>
      <c r="AQ684" s="1"/>
      <c r="AX684" s="1"/>
    </row>
    <row r="685" spans="1:50" x14ac:dyDescent="0.25">
      <c r="A685" s="1"/>
      <c r="H685" s="1"/>
      <c r="O685" s="1"/>
      <c r="V685" s="1"/>
      <c r="AC685" s="1"/>
      <c r="AJ685" s="1"/>
      <c r="AQ685" s="1"/>
      <c r="AX685" s="1"/>
    </row>
    <row r="686" spans="1:50" x14ac:dyDescent="0.25">
      <c r="A686" s="1"/>
      <c r="H686" s="1"/>
      <c r="O686" s="1"/>
      <c r="V686" s="1"/>
      <c r="AC686" s="1"/>
      <c r="AJ686" s="1"/>
      <c r="AQ686" s="1"/>
      <c r="AX686" s="1"/>
    </row>
    <row r="687" spans="1:50" x14ac:dyDescent="0.25">
      <c r="A687" s="1"/>
      <c r="H687" s="1"/>
      <c r="O687" s="1"/>
      <c r="V687" s="1"/>
      <c r="AC687" s="1"/>
      <c r="AJ687" s="1"/>
      <c r="AQ687" s="1"/>
      <c r="AX687" s="1"/>
    </row>
    <row r="688" spans="1:50" x14ac:dyDescent="0.25">
      <c r="A688" s="1"/>
      <c r="H688" s="1"/>
      <c r="O688" s="1"/>
      <c r="V688" s="1"/>
      <c r="AC688" s="1"/>
      <c r="AJ688" s="1"/>
      <c r="AQ688" s="1"/>
      <c r="AX688" s="1"/>
    </row>
    <row r="689" spans="1:50" x14ac:dyDescent="0.25">
      <c r="A689" s="1"/>
      <c r="H689" s="1"/>
      <c r="O689" s="1"/>
      <c r="V689" s="1"/>
      <c r="AC689" s="1"/>
      <c r="AJ689" s="1"/>
      <c r="AQ689" s="1"/>
      <c r="AX689" s="1"/>
    </row>
    <row r="690" spans="1:50" x14ac:dyDescent="0.25">
      <c r="A690" s="1"/>
      <c r="H690" s="1"/>
      <c r="O690" s="1"/>
      <c r="V690" s="1"/>
      <c r="AC690" s="1"/>
      <c r="AJ690" s="1"/>
      <c r="AQ690" s="1"/>
      <c r="AX690" s="1"/>
    </row>
    <row r="691" spans="1:50" x14ac:dyDescent="0.25">
      <c r="A691" s="1"/>
      <c r="H691" s="1"/>
      <c r="O691" s="1"/>
      <c r="V691" s="1"/>
      <c r="AC691" s="1"/>
      <c r="AJ691" s="1"/>
      <c r="AQ691" s="1"/>
      <c r="AX691" s="1"/>
    </row>
    <row r="692" spans="1:50" x14ac:dyDescent="0.25">
      <c r="A692" s="1"/>
      <c r="H692" s="1"/>
      <c r="O692" s="1"/>
      <c r="V692" s="1"/>
      <c r="AC692" s="1"/>
      <c r="AJ692" s="1"/>
      <c r="AQ692" s="1"/>
      <c r="AX692" s="1"/>
    </row>
    <row r="693" spans="1:50" x14ac:dyDescent="0.25">
      <c r="A693" s="1"/>
      <c r="H693" s="1"/>
      <c r="O693" s="1"/>
      <c r="V693" s="1"/>
      <c r="AC693" s="1"/>
      <c r="AJ693" s="1"/>
      <c r="AQ693" s="1"/>
      <c r="AX693" s="1"/>
    </row>
    <row r="694" spans="1:50" x14ac:dyDescent="0.25">
      <c r="A694" s="1"/>
      <c r="H694" s="1"/>
      <c r="O694" s="1"/>
      <c r="V694" s="1"/>
      <c r="AC694" s="1"/>
      <c r="AJ694" s="1"/>
      <c r="AQ694" s="1"/>
      <c r="AX694" s="1"/>
    </row>
    <row r="695" spans="1:50" x14ac:dyDescent="0.25">
      <c r="A695" s="1"/>
      <c r="H695" s="1"/>
      <c r="O695" s="1"/>
      <c r="V695" s="1"/>
      <c r="AC695" s="1"/>
      <c r="AJ695" s="1"/>
      <c r="AQ695" s="1"/>
      <c r="AX695" s="1"/>
    </row>
    <row r="696" spans="1:50" x14ac:dyDescent="0.25">
      <c r="A696" s="1"/>
      <c r="H696" s="1"/>
      <c r="O696" s="1"/>
      <c r="V696" s="1"/>
      <c r="AC696" s="1"/>
      <c r="AJ696" s="1"/>
      <c r="AQ696" s="1"/>
      <c r="AX696" s="1"/>
    </row>
    <row r="697" spans="1:50" x14ac:dyDescent="0.25">
      <c r="A697" s="1"/>
      <c r="H697" s="1"/>
      <c r="O697" s="1"/>
      <c r="V697" s="1"/>
      <c r="AC697" s="1"/>
      <c r="AJ697" s="1"/>
      <c r="AQ697" s="1"/>
      <c r="AX697" s="1"/>
    </row>
    <row r="698" spans="1:50" x14ac:dyDescent="0.25">
      <c r="A698" s="1"/>
      <c r="H698" s="1"/>
      <c r="O698" s="1"/>
      <c r="V698" s="1"/>
      <c r="AC698" s="1"/>
      <c r="AJ698" s="1"/>
      <c r="AQ698" s="1"/>
      <c r="AX698" s="1"/>
    </row>
    <row r="699" spans="1:50" x14ac:dyDescent="0.25">
      <c r="A699" s="1"/>
      <c r="H699" s="1"/>
      <c r="O699" s="1"/>
      <c r="V699" s="1"/>
      <c r="AC699" s="1"/>
      <c r="AJ699" s="1"/>
      <c r="AQ699" s="1"/>
      <c r="AX699" s="1"/>
    </row>
    <row r="700" spans="1:50" x14ac:dyDescent="0.25">
      <c r="A700" s="1"/>
      <c r="H700" s="1"/>
      <c r="O700" s="1"/>
      <c r="V700" s="1"/>
      <c r="AC700" s="1"/>
      <c r="AJ700" s="1"/>
      <c r="AQ700" s="1"/>
      <c r="AX700" s="1"/>
    </row>
    <row r="701" spans="1:50" x14ac:dyDescent="0.25">
      <c r="A701" s="1"/>
      <c r="H701" s="1"/>
      <c r="O701" s="1"/>
      <c r="V701" s="1"/>
      <c r="AC701" s="1"/>
      <c r="AJ701" s="1"/>
      <c r="AQ701" s="1"/>
      <c r="AX701" s="1"/>
    </row>
    <row r="702" spans="1:50" x14ac:dyDescent="0.25">
      <c r="A702" s="1"/>
      <c r="H702" s="1"/>
      <c r="O702" s="1"/>
      <c r="V702" s="1"/>
      <c r="AC702" s="1"/>
      <c r="AJ702" s="1"/>
      <c r="AQ702" s="1"/>
      <c r="AX702" s="1"/>
    </row>
    <row r="703" spans="1:50" x14ac:dyDescent="0.25">
      <c r="A703" s="1"/>
      <c r="H703" s="1"/>
      <c r="O703" s="1"/>
      <c r="V703" s="1"/>
      <c r="AC703" s="1"/>
      <c r="AJ703" s="1"/>
      <c r="AQ703" s="1"/>
      <c r="AX703" s="1"/>
    </row>
    <row r="704" spans="1:50" x14ac:dyDescent="0.25">
      <c r="A704" s="1"/>
      <c r="H704" s="1"/>
      <c r="O704" s="1"/>
      <c r="V704" s="1"/>
      <c r="AC704" s="1"/>
      <c r="AJ704" s="1"/>
      <c r="AQ704" s="1"/>
      <c r="AX704" s="1"/>
    </row>
    <row r="705" spans="1:50" x14ac:dyDescent="0.25">
      <c r="A705" s="1"/>
      <c r="H705" s="1"/>
      <c r="O705" s="1"/>
      <c r="V705" s="1"/>
      <c r="AC705" s="1"/>
      <c r="AJ705" s="1"/>
      <c r="AQ705" s="1"/>
      <c r="AX705" s="1"/>
    </row>
    <row r="706" spans="1:50" x14ac:dyDescent="0.25">
      <c r="A706" s="1"/>
      <c r="H706" s="1"/>
      <c r="O706" s="1"/>
      <c r="V706" s="1"/>
      <c r="AC706" s="1"/>
      <c r="AJ706" s="1"/>
      <c r="AQ706" s="1"/>
      <c r="AX706" s="1"/>
    </row>
    <row r="707" spans="1:50" x14ac:dyDescent="0.25">
      <c r="A707" s="1"/>
      <c r="H707" s="1"/>
      <c r="O707" s="1"/>
      <c r="V707" s="1"/>
      <c r="AC707" s="1"/>
      <c r="AJ707" s="1"/>
      <c r="AQ707" s="1"/>
      <c r="AX707" s="1"/>
    </row>
    <row r="708" spans="1:50" x14ac:dyDescent="0.25">
      <c r="A708" s="1"/>
      <c r="H708" s="1"/>
      <c r="O708" s="1"/>
      <c r="V708" s="1"/>
      <c r="AC708" s="1"/>
      <c r="AJ708" s="1"/>
      <c r="AQ708" s="1"/>
      <c r="AX708" s="1"/>
    </row>
    <row r="709" spans="1:50" x14ac:dyDescent="0.25">
      <c r="A709" s="1"/>
      <c r="H709" s="1"/>
      <c r="O709" s="1"/>
      <c r="V709" s="1"/>
      <c r="AC709" s="1"/>
      <c r="AJ709" s="1"/>
      <c r="AQ709" s="1"/>
      <c r="AX709" s="1"/>
    </row>
    <row r="710" spans="1:50" x14ac:dyDescent="0.25">
      <c r="A710" s="1"/>
      <c r="H710" s="1"/>
      <c r="O710" s="1"/>
      <c r="V710" s="1"/>
      <c r="AC710" s="1"/>
      <c r="AJ710" s="1"/>
      <c r="AQ710" s="1"/>
      <c r="AX710" s="1"/>
    </row>
    <row r="711" spans="1:50" x14ac:dyDescent="0.25">
      <c r="A711" s="1"/>
      <c r="H711" s="1"/>
      <c r="O711" s="1"/>
      <c r="V711" s="1"/>
      <c r="AC711" s="1"/>
      <c r="AJ711" s="1"/>
      <c r="AQ711" s="1"/>
      <c r="AX711" s="1"/>
    </row>
    <row r="712" spans="1:50" x14ac:dyDescent="0.25">
      <c r="A712" s="1"/>
      <c r="H712" s="1"/>
      <c r="O712" s="1"/>
      <c r="V712" s="1"/>
      <c r="AC712" s="1"/>
      <c r="AJ712" s="1"/>
      <c r="AQ712" s="1"/>
      <c r="AX712" s="1"/>
    </row>
    <row r="713" spans="1:50" x14ac:dyDescent="0.25">
      <c r="A713" s="1"/>
      <c r="H713" s="1"/>
      <c r="O713" s="1"/>
      <c r="V713" s="1"/>
      <c r="AC713" s="1"/>
      <c r="AJ713" s="1"/>
      <c r="AQ713" s="1"/>
      <c r="AX713" s="1"/>
    </row>
    <row r="714" spans="1:50" x14ac:dyDescent="0.25">
      <c r="A714" s="1"/>
      <c r="H714" s="1"/>
      <c r="O714" s="1"/>
      <c r="V714" s="1"/>
      <c r="AC714" s="1"/>
      <c r="AJ714" s="1"/>
      <c r="AQ714" s="1"/>
      <c r="AX714" s="1"/>
    </row>
    <row r="715" spans="1:50" x14ac:dyDescent="0.25">
      <c r="A715" s="1"/>
      <c r="H715" s="1"/>
      <c r="O715" s="1"/>
      <c r="V715" s="1"/>
      <c r="AC715" s="1"/>
      <c r="AJ715" s="1"/>
      <c r="AQ715" s="1"/>
      <c r="AX715" s="1"/>
    </row>
    <row r="716" spans="1:50" x14ac:dyDescent="0.25">
      <c r="A716" s="1"/>
      <c r="H716" s="1"/>
      <c r="O716" s="1"/>
      <c r="V716" s="1"/>
      <c r="AC716" s="1"/>
      <c r="AJ716" s="1"/>
      <c r="AQ716" s="1"/>
      <c r="AX716" s="1"/>
    </row>
    <row r="717" spans="1:50" x14ac:dyDescent="0.25">
      <c r="A717" s="1"/>
      <c r="H717" s="1"/>
      <c r="O717" s="1"/>
      <c r="V717" s="1"/>
      <c r="AC717" s="1"/>
      <c r="AJ717" s="1"/>
      <c r="AQ717" s="1"/>
      <c r="AX717" s="1"/>
    </row>
    <row r="718" spans="1:50" x14ac:dyDescent="0.25">
      <c r="A718" s="1"/>
      <c r="H718" s="1"/>
      <c r="O718" s="1"/>
      <c r="V718" s="1"/>
      <c r="AC718" s="1"/>
      <c r="AJ718" s="1"/>
      <c r="AQ718" s="1"/>
      <c r="AX718" s="1"/>
    </row>
    <row r="719" spans="1:50" x14ac:dyDescent="0.25">
      <c r="A719" s="1"/>
      <c r="H719" s="1"/>
      <c r="O719" s="1"/>
      <c r="V719" s="1"/>
      <c r="AC719" s="1"/>
      <c r="AJ719" s="1"/>
      <c r="AQ719" s="1"/>
      <c r="AX719" s="1"/>
    </row>
    <row r="720" spans="1:50" x14ac:dyDescent="0.25">
      <c r="A720" s="1"/>
      <c r="H720" s="1"/>
      <c r="O720" s="1"/>
      <c r="V720" s="1"/>
      <c r="AC720" s="1"/>
      <c r="AJ720" s="1"/>
      <c r="AQ720" s="1"/>
      <c r="AX720" s="1"/>
    </row>
    <row r="721" spans="1:50" x14ac:dyDescent="0.25">
      <c r="A721" s="1"/>
      <c r="H721" s="1"/>
      <c r="O721" s="1"/>
      <c r="V721" s="1"/>
      <c r="AC721" s="1"/>
      <c r="AJ721" s="1"/>
      <c r="AQ721" s="1"/>
      <c r="AX721" s="1"/>
    </row>
    <row r="722" spans="1:50" x14ac:dyDescent="0.25">
      <c r="A722" s="1"/>
      <c r="H722" s="1"/>
      <c r="O722" s="1"/>
      <c r="V722" s="1"/>
      <c r="AC722" s="1"/>
      <c r="AJ722" s="1"/>
      <c r="AQ722" s="1"/>
      <c r="AX722" s="1"/>
    </row>
    <row r="723" spans="1:50" x14ac:dyDescent="0.25">
      <c r="A723" s="1"/>
      <c r="H723" s="1"/>
      <c r="O723" s="1"/>
      <c r="V723" s="1"/>
      <c r="AC723" s="1"/>
      <c r="AJ723" s="1"/>
      <c r="AQ723" s="1"/>
      <c r="AX723" s="1"/>
    </row>
    <row r="724" spans="1:50" x14ac:dyDescent="0.25">
      <c r="A724" s="1"/>
      <c r="H724" s="1"/>
      <c r="O724" s="1"/>
      <c r="V724" s="1"/>
      <c r="AC724" s="1"/>
      <c r="AJ724" s="1"/>
      <c r="AQ724" s="1"/>
      <c r="AX724" s="1"/>
    </row>
    <row r="725" spans="1:50" x14ac:dyDescent="0.25">
      <c r="A725" s="1"/>
      <c r="H725" s="1"/>
      <c r="O725" s="1"/>
      <c r="V725" s="1"/>
      <c r="AC725" s="1"/>
      <c r="AJ725" s="1"/>
      <c r="AQ725" s="1"/>
      <c r="AX725" s="1"/>
    </row>
    <row r="726" spans="1:50" x14ac:dyDescent="0.25">
      <c r="A726" s="1"/>
      <c r="H726" s="1"/>
      <c r="O726" s="1"/>
      <c r="V726" s="1"/>
      <c r="AC726" s="1"/>
      <c r="AJ726" s="1"/>
      <c r="AQ726" s="1"/>
      <c r="AX726" s="1"/>
    </row>
    <row r="727" spans="1:50" x14ac:dyDescent="0.25">
      <c r="A727" s="1"/>
      <c r="H727" s="1"/>
      <c r="O727" s="1"/>
      <c r="V727" s="1"/>
      <c r="AC727" s="1"/>
      <c r="AJ727" s="1"/>
      <c r="AQ727" s="1"/>
      <c r="AX727" s="1"/>
    </row>
    <row r="728" spans="1:50" x14ac:dyDescent="0.25">
      <c r="A728" s="1"/>
      <c r="H728" s="1"/>
      <c r="O728" s="1"/>
      <c r="V728" s="1"/>
      <c r="AC728" s="1"/>
      <c r="AJ728" s="1"/>
      <c r="AQ728" s="1"/>
      <c r="AX728" s="1"/>
    </row>
    <row r="729" spans="1:50" x14ac:dyDescent="0.25">
      <c r="A729" s="1"/>
      <c r="H729" s="1"/>
      <c r="O729" s="1"/>
      <c r="V729" s="1"/>
      <c r="AC729" s="1"/>
      <c r="AJ729" s="1"/>
      <c r="AQ729" s="1"/>
      <c r="AX729" s="1"/>
    </row>
    <row r="730" spans="1:50" x14ac:dyDescent="0.25">
      <c r="A730" s="1"/>
      <c r="H730" s="1"/>
      <c r="O730" s="1"/>
      <c r="V730" s="1"/>
      <c r="AC730" s="1"/>
      <c r="AJ730" s="1"/>
      <c r="AQ730" s="1"/>
      <c r="AX730" s="1"/>
    </row>
    <row r="731" spans="1:50" x14ac:dyDescent="0.25">
      <c r="A731" s="1"/>
      <c r="H731" s="1"/>
      <c r="O731" s="1"/>
      <c r="V731" s="1"/>
      <c r="AC731" s="1"/>
      <c r="AJ731" s="1"/>
      <c r="AQ731" s="1"/>
      <c r="AX731" s="1"/>
    </row>
    <row r="732" spans="1:50" x14ac:dyDescent="0.25">
      <c r="A732" s="1"/>
      <c r="H732" s="1"/>
      <c r="O732" s="1"/>
      <c r="V732" s="1"/>
      <c r="AC732" s="1"/>
      <c r="AJ732" s="1"/>
      <c r="AQ732" s="1"/>
      <c r="AX732" s="1"/>
    </row>
    <row r="733" spans="1:50" x14ac:dyDescent="0.25">
      <c r="A733" s="1"/>
      <c r="H733" s="1"/>
      <c r="O733" s="1"/>
      <c r="V733" s="1"/>
      <c r="AC733" s="1"/>
      <c r="AJ733" s="1"/>
      <c r="AQ733" s="1"/>
      <c r="AX733" s="1"/>
    </row>
    <row r="734" spans="1:50" x14ac:dyDescent="0.25">
      <c r="A734" s="1"/>
      <c r="H734" s="1"/>
      <c r="O734" s="1"/>
      <c r="V734" s="1"/>
      <c r="AC734" s="1"/>
      <c r="AJ734" s="1"/>
      <c r="AQ734" s="1"/>
      <c r="AX734" s="1"/>
    </row>
    <row r="735" spans="1:50" x14ac:dyDescent="0.25">
      <c r="A735" s="1"/>
      <c r="H735" s="1"/>
      <c r="O735" s="1"/>
      <c r="V735" s="1"/>
      <c r="AC735" s="1"/>
      <c r="AJ735" s="1"/>
      <c r="AQ735" s="1"/>
      <c r="AX735" s="1"/>
    </row>
    <row r="736" spans="1:50" x14ac:dyDescent="0.25">
      <c r="A736" s="1"/>
      <c r="H736" s="1"/>
      <c r="O736" s="1"/>
      <c r="V736" s="1"/>
      <c r="AC736" s="1"/>
      <c r="AJ736" s="1"/>
      <c r="AQ736" s="1"/>
      <c r="AX736" s="1"/>
    </row>
    <row r="737" spans="1:50" x14ac:dyDescent="0.25">
      <c r="A737" s="1"/>
      <c r="H737" s="1"/>
      <c r="O737" s="1"/>
      <c r="V737" s="1"/>
      <c r="AC737" s="1"/>
      <c r="AJ737" s="1"/>
      <c r="AQ737" s="1"/>
      <c r="AX737" s="1"/>
    </row>
    <row r="738" spans="1:50" x14ac:dyDescent="0.25">
      <c r="A738" s="1"/>
      <c r="H738" s="1"/>
      <c r="O738" s="1"/>
      <c r="V738" s="1"/>
      <c r="AC738" s="1"/>
      <c r="AJ738" s="1"/>
      <c r="AQ738" s="1"/>
      <c r="AX738" s="1"/>
    </row>
    <row r="739" spans="1:50" x14ac:dyDescent="0.25">
      <c r="A739" s="1"/>
      <c r="H739" s="1"/>
      <c r="O739" s="1"/>
      <c r="V739" s="1"/>
      <c r="AC739" s="1"/>
      <c r="AJ739" s="1"/>
      <c r="AQ739" s="1"/>
      <c r="AX739" s="1"/>
    </row>
    <row r="740" spans="1:50" x14ac:dyDescent="0.25">
      <c r="A740" s="1"/>
      <c r="H740" s="1"/>
      <c r="O740" s="1"/>
      <c r="V740" s="1"/>
      <c r="AC740" s="1"/>
      <c r="AJ740" s="1"/>
      <c r="AQ740" s="1"/>
      <c r="AX740" s="1"/>
    </row>
    <row r="741" spans="1:50" x14ac:dyDescent="0.25">
      <c r="A741" s="1"/>
      <c r="H741" s="1"/>
      <c r="O741" s="1"/>
      <c r="V741" s="1"/>
      <c r="AC741" s="1"/>
      <c r="AJ741" s="1"/>
      <c r="AQ741" s="1"/>
      <c r="AX741" s="1"/>
    </row>
    <row r="742" spans="1:50" x14ac:dyDescent="0.25">
      <c r="A742" s="1"/>
      <c r="H742" s="1"/>
      <c r="O742" s="1"/>
      <c r="V742" s="1"/>
      <c r="AC742" s="1"/>
      <c r="AJ742" s="1"/>
      <c r="AQ742" s="1"/>
      <c r="AX742" s="1"/>
    </row>
    <row r="743" spans="1:50" x14ac:dyDescent="0.25">
      <c r="A743" s="1"/>
      <c r="H743" s="1"/>
      <c r="O743" s="1"/>
      <c r="V743" s="1"/>
      <c r="AC743" s="1"/>
      <c r="AJ743" s="1"/>
      <c r="AQ743" s="1"/>
      <c r="AX743" s="1"/>
    </row>
    <row r="744" spans="1:50" x14ac:dyDescent="0.25">
      <c r="A744" s="1"/>
      <c r="H744" s="1"/>
      <c r="O744" s="1"/>
      <c r="V744" s="1"/>
      <c r="AC744" s="1"/>
      <c r="AJ744" s="1"/>
      <c r="AQ744" s="1"/>
      <c r="AX744" s="1"/>
    </row>
    <row r="745" spans="1:50" x14ac:dyDescent="0.25">
      <c r="A745" s="1"/>
      <c r="H745" s="1"/>
      <c r="O745" s="1"/>
      <c r="V745" s="1"/>
      <c r="AC745" s="1"/>
      <c r="AJ745" s="1"/>
      <c r="AQ745" s="1"/>
      <c r="AX745" s="1"/>
    </row>
    <row r="746" spans="1:50" x14ac:dyDescent="0.25">
      <c r="A746" s="1"/>
      <c r="H746" s="1"/>
      <c r="O746" s="1"/>
      <c r="V746" s="1"/>
      <c r="AC746" s="1"/>
      <c r="AJ746" s="1"/>
      <c r="AQ746" s="1"/>
      <c r="AX746" s="1"/>
    </row>
    <row r="747" spans="1:50" x14ac:dyDescent="0.25">
      <c r="A747" s="1"/>
      <c r="H747" s="1"/>
      <c r="O747" s="1"/>
      <c r="V747" s="1"/>
      <c r="AC747" s="1"/>
      <c r="AJ747" s="1"/>
      <c r="AQ747" s="1"/>
      <c r="AX747" s="1"/>
    </row>
    <row r="748" spans="1:50" x14ac:dyDescent="0.25">
      <c r="A748" s="1"/>
      <c r="H748" s="1"/>
      <c r="O748" s="1"/>
      <c r="V748" s="1"/>
      <c r="AC748" s="1"/>
      <c r="AJ748" s="1"/>
      <c r="AQ748" s="1"/>
      <c r="AX748" s="1"/>
    </row>
    <row r="749" spans="1:50" x14ac:dyDescent="0.25">
      <c r="A749" s="1"/>
      <c r="H749" s="1"/>
      <c r="O749" s="1"/>
      <c r="V749" s="1"/>
      <c r="AC749" s="1"/>
      <c r="AJ749" s="1"/>
      <c r="AQ749" s="1"/>
      <c r="AX749" s="1"/>
    </row>
    <row r="750" spans="1:50" x14ac:dyDescent="0.25">
      <c r="A750" s="1"/>
      <c r="H750" s="1"/>
      <c r="O750" s="1"/>
      <c r="V750" s="1"/>
      <c r="AC750" s="1"/>
      <c r="AJ750" s="1"/>
      <c r="AQ750" s="1"/>
      <c r="AX750" s="1"/>
    </row>
    <row r="751" spans="1:50" x14ac:dyDescent="0.25">
      <c r="A751" s="1"/>
      <c r="H751" s="1"/>
      <c r="O751" s="1"/>
      <c r="V751" s="1"/>
      <c r="AC751" s="1"/>
      <c r="AJ751" s="1"/>
      <c r="AQ751" s="1"/>
      <c r="AX751" s="1"/>
    </row>
    <row r="752" spans="1:50" x14ac:dyDescent="0.25">
      <c r="A752" s="1"/>
      <c r="H752" s="1"/>
      <c r="O752" s="1"/>
      <c r="V752" s="1"/>
      <c r="AC752" s="1"/>
      <c r="AJ752" s="1"/>
      <c r="AQ752" s="1"/>
      <c r="AX752" s="1"/>
    </row>
    <row r="753" spans="1:50" x14ac:dyDescent="0.25">
      <c r="A753" s="1"/>
      <c r="H753" s="1"/>
      <c r="O753" s="1"/>
      <c r="V753" s="1"/>
      <c r="AC753" s="1"/>
      <c r="AJ753" s="1"/>
      <c r="AQ753" s="1"/>
      <c r="AX753" s="1"/>
    </row>
    <row r="754" spans="1:50" x14ac:dyDescent="0.25">
      <c r="A754" s="1"/>
      <c r="H754" s="1"/>
      <c r="O754" s="1"/>
      <c r="V754" s="1"/>
      <c r="AC754" s="1"/>
      <c r="AJ754" s="1"/>
      <c r="AQ754" s="1"/>
      <c r="AX754" s="1"/>
    </row>
    <row r="755" spans="1:50" x14ac:dyDescent="0.25">
      <c r="A755" s="1"/>
      <c r="H755" s="1"/>
      <c r="O755" s="1"/>
      <c r="V755" s="1"/>
      <c r="AC755" s="1"/>
      <c r="AJ755" s="1"/>
      <c r="AQ755" s="1"/>
      <c r="AX755" s="1"/>
    </row>
    <row r="756" spans="1:50" x14ac:dyDescent="0.25">
      <c r="A756" s="1"/>
      <c r="H756" s="1"/>
      <c r="O756" s="1"/>
      <c r="V756" s="1"/>
      <c r="AC756" s="1"/>
      <c r="AJ756" s="1"/>
      <c r="AQ756" s="1"/>
      <c r="AX756" s="1"/>
    </row>
    <row r="757" spans="1:50" x14ac:dyDescent="0.25">
      <c r="A757" s="1"/>
      <c r="H757" s="1"/>
      <c r="O757" s="1"/>
      <c r="V757" s="1"/>
      <c r="AC757" s="1"/>
      <c r="AJ757" s="1"/>
      <c r="AQ757" s="1"/>
      <c r="AX757" s="1"/>
    </row>
    <row r="758" spans="1:50" x14ac:dyDescent="0.25">
      <c r="A758" s="1"/>
      <c r="H758" s="1"/>
      <c r="O758" s="1"/>
      <c r="V758" s="1"/>
      <c r="AC758" s="1"/>
      <c r="AJ758" s="1"/>
      <c r="AQ758" s="1"/>
      <c r="AX758" s="1"/>
    </row>
    <row r="759" spans="1:50" x14ac:dyDescent="0.25">
      <c r="A759" s="1"/>
      <c r="H759" s="1"/>
      <c r="O759" s="1"/>
      <c r="V759" s="1"/>
      <c r="AC759" s="1"/>
      <c r="AJ759" s="1"/>
      <c r="AQ759" s="1"/>
      <c r="AX759" s="1"/>
    </row>
    <row r="760" spans="1:50" x14ac:dyDescent="0.25">
      <c r="A760" s="1"/>
      <c r="H760" s="1"/>
      <c r="O760" s="1"/>
      <c r="V760" s="1"/>
      <c r="AC760" s="1"/>
      <c r="AJ760" s="1"/>
      <c r="AQ760" s="1"/>
      <c r="AX760" s="1"/>
    </row>
    <row r="761" spans="1:50" x14ac:dyDescent="0.25">
      <c r="A761" s="1"/>
      <c r="H761" s="1"/>
      <c r="O761" s="1"/>
      <c r="V761" s="1"/>
      <c r="AC761" s="1"/>
      <c r="AJ761" s="1"/>
      <c r="AQ761" s="1"/>
      <c r="AX761" s="1"/>
    </row>
    <row r="762" spans="1:50" x14ac:dyDescent="0.25">
      <c r="A762" s="1"/>
      <c r="H762" s="1"/>
      <c r="O762" s="1"/>
      <c r="V762" s="1"/>
      <c r="AC762" s="1"/>
      <c r="AJ762" s="1"/>
      <c r="AQ762" s="1"/>
      <c r="AX762" s="1"/>
    </row>
    <row r="763" spans="1:50" x14ac:dyDescent="0.25">
      <c r="A763" s="1"/>
      <c r="H763" s="1"/>
      <c r="O763" s="1"/>
      <c r="V763" s="1"/>
      <c r="AC763" s="1"/>
      <c r="AJ763" s="1"/>
      <c r="AQ763" s="1"/>
      <c r="AX763" s="1"/>
    </row>
    <row r="764" spans="1:50" x14ac:dyDescent="0.25">
      <c r="A764" s="1"/>
      <c r="H764" s="1"/>
      <c r="O764" s="1"/>
      <c r="V764" s="1"/>
      <c r="AC764" s="1"/>
      <c r="AJ764" s="1"/>
      <c r="AQ764" s="1"/>
      <c r="AX764" s="1"/>
    </row>
    <row r="765" spans="1:50" x14ac:dyDescent="0.25">
      <c r="A765" s="1"/>
      <c r="H765" s="1"/>
      <c r="O765" s="1"/>
      <c r="V765" s="1"/>
      <c r="AC765" s="1"/>
      <c r="AJ765" s="1"/>
      <c r="AQ765" s="1"/>
      <c r="AX765" s="1"/>
    </row>
    <row r="766" spans="1:50" x14ac:dyDescent="0.25">
      <c r="A766" s="1"/>
      <c r="H766" s="1"/>
      <c r="O766" s="1"/>
      <c r="V766" s="1"/>
      <c r="AC766" s="1"/>
      <c r="AJ766" s="1"/>
      <c r="AQ766" s="1"/>
      <c r="AX766" s="1"/>
    </row>
    <row r="767" spans="1:50" x14ac:dyDescent="0.25">
      <c r="A767" s="1"/>
      <c r="H767" s="1"/>
      <c r="O767" s="1"/>
      <c r="V767" s="1"/>
      <c r="AC767" s="1"/>
      <c r="AJ767" s="1"/>
      <c r="AQ767" s="1"/>
      <c r="AX767" s="1"/>
    </row>
    <row r="768" spans="1:50" x14ac:dyDescent="0.25">
      <c r="A768" s="1"/>
      <c r="H768" s="1"/>
      <c r="O768" s="1"/>
      <c r="V768" s="1"/>
      <c r="AC768" s="1"/>
      <c r="AJ768" s="1"/>
      <c r="AQ768" s="1"/>
      <c r="AX768" s="1"/>
    </row>
    <row r="769" spans="1:50" x14ac:dyDescent="0.25">
      <c r="A769" s="1"/>
      <c r="H769" s="1"/>
      <c r="O769" s="1"/>
      <c r="V769" s="1"/>
      <c r="AC769" s="1"/>
      <c r="AJ769" s="1"/>
      <c r="AQ769" s="1"/>
      <c r="AX769" s="1"/>
    </row>
    <row r="770" spans="1:50" x14ac:dyDescent="0.25">
      <c r="A770" s="1"/>
      <c r="H770" s="1"/>
      <c r="O770" s="1"/>
      <c r="V770" s="1"/>
      <c r="AC770" s="1"/>
      <c r="AJ770" s="1"/>
      <c r="AQ770" s="1"/>
      <c r="AX770" s="1"/>
    </row>
    <row r="771" spans="1:50" x14ac:dyDescent="0.25">
      <c r="A771" s="1"/>
      <c r="H771" s="1"/>
      <c r="O771" s="1"/>
      <c r="V771" s="1"/>
      <c r="AC771" s="1"/>
      <c r="AJ771" s="1"/>
      <c r="AQ771" s="1"/>
      <c r="AX771" s="1"/>
    </row>
    <row r="772" spans="1:50" x14ac:dyDescent="0.25">
      <c r="A772" s="1"/>
      <c r="H772" s="1"/>
      <c r="O772" s="1"/>
      <c r="V772" s="1"/>
      <c r="AC772" s="1"/>
      <c r="AJ772" s="1"/>
      <c r="AQ772" s="1"/>
      <c r="AX772" s="1"/>
    </row>
    <row r="773" spans="1:50" x14ac:dyDescent="0.25">
      <c r="A773" s="1"/>
      <c r="H773" s="1"/>
      <c r="O773" s="1"/>
      <c r="V773" s="1"/>
      <c r="AC773" s="1"/>
      <c r="AJ773" s="1"/>
      <c r="AQ773" s="1"/>
      <c r="AX773" s="1"/>
    </row>
    <row r="774" spans="1:50" x14ac:dyDescent="0.25">
      <c r="A774" s="1"/>
      <c r="H774" s="1"/>
      <c r="O774" s="1"/>
      <c r="V774" s="1"/>
      <c r="AC774" s="1"/>
      <c r="AJ774" s="1"/>
      <c r="AQ774" s="1"/>
      <c r="AX774" s="1"/>
    </row>
    <row r="775" spans="1:50" x14ac:dyDescent="0.25">
      <c r="A775" s="1"/>
      <c r="H775" s="1"/>
      <c r="O775" s="1"/>
      <c r="V775" s="1"/>
      <c r="AC775" s="1"/>
      <c r="AJ775" s="1"/>
      <c r="AQ775" s="1"/>
      <c r="AX775" s="1"/>
    </row>
    <row r="776" spans="1:50" x14ac:dyDescent="0.25">
      <c r="A776" s="1"/>
      <c r="H776" s="1"/>
      <c r="O776" s="1"/>
      <c r="V776" s="1"/>
      <c r="AC776" s="1"/>
      <c r="AJ776" s="1"/>
      <c r="AQ776" s="1"/>
      <c r="AX776" s="1"/>
    </row>
    <row r="777" spans="1:50" x14ac:dyDescent="0.25">
      <c r="A777" s="1"/>
      <c r="H777" s="1"/>
      <c r="O777" s="1"/>
      <c r="V777" s="1"/>
      <c r="AC777" s="1"/>
      <c r="AJ777" s="1"/>
      <c r="AQ777" s="1"/>
      <c r="AX777" s="1"/>
    </row>
    <row r="778" spans="1:50" x14ac:dyDescent="0.25">
      <c r="A778" s="1"/>
      <c r="H778" s="1"/>
      <c r="O778" s="1"/>
      <c r="V778" s="1"/>
      <c r="AC778" s="1"/>
      <c r="AJ778" s="1"/>
      <c r="AQ778" s="1"/>
      <c r="AX778" s="1"/>
    </row>
    <row r="779" spans="1:50" x14ac:dyDescent="0.25">
      <c r="A779" s="1"/>
      <c r="H779" s="1"/>
      <c r="O779" s="1"/>
      <c r="V779" s="1"/>
      <c r="AC779" s="1"/>
      <c r="AJ779" s="1"/>
      <c r="AQ779" s="1"/>
      <c r="AX779" s="1"/>
    </row>
    <row r="780" spans="1:50" x14ac:dyDescent="0.25">
      <c r="A780" s="1"/>
      <c r="H780" s="1"/>
      <c r="O780" s="1"/>
      <c r="V780" s="1"/>
      <c r="AC780" s="1"/>
      <c r="AJ780" s="1"/>
      <c r="AQ780" s="1"/>
      <c r="AX780" s="1"/>
    </row>
    <row r="781" spans="1:50" x14ac:dyDescent="0.25">
      <c r="A781" s="1"/>
      <c r="H781" s="1"/>
      <c r="O781" s="1"/>
      <c r="V781" s="1"/>
      <c r="AC781" s="1"/>
      <c r="AJ781" s="1"/>
      <c r="AQ781" s="1"/>
      <c r="AX781" s="1"/>
    </row>
    <row r="782" spans="1:50" x14ac:dyDescent="0.25">
      <c r="A782" s="1"/>
      <c r="H782" s="1"/>
      <c r="O782" s="1"/>
      <c r="V782" s="1"/>
      <c r="AC782" s="1"/>
      <c r="AJ782" s="1"/>
      <c r="AQ782" s="1"/>
      <c r="AX782" s="1"/>
    </row>
    <row r="783" spans="1:50" x14ac:dyDescent="0.25">
      <c r="A783" s="1"/>
      <c r="H783" s="1"/>
      <c r="O783" s="1"/>
      <c r="V783" s="1"/>
      <c r="AC783" s="1"/>
      <c r="AJ783" s="1"/>
      <c r="AQ783" s="1"/>
      <c r="AX783" s="1"/>
    </row>
    <row r="784" spans="1:50" x14ac:dyDescent="0.25">
      <c r="A784" s="1"/>
      <c r="H784" s="1"/>
      <c r="O784" s="1"/>
      <c r="V784" s="1"/>
      <c r="AC784" s="1"/>
      <c r="AJ784" s="1"/>
      <c r="AQ784" s="1"/>
      <c r="AX784" s="1"/>
    </row>
    <row r="785" spans="1:50" x14ac:dyDescent="0.25">
      <c r="A785" s="1"/>
      <c r="H785" s="1"/>
      <c r="O785" s="1"/>
      <c r="V785" s="1"/>
      <c r="AC785" s="1"/>
      <c r="AJ785" s="1"/>
      <c r="AQ785" s="1"/>
      <c r="AX785" s="1"/>
    </row>
    <row r="786" spans="1:50" x14ac:dyDescent="0.25">
      <c r="A786" s="1"/>
      <c r="H786" s="1"/>
      <c r="O786" s="1"/>
      <c r="V786" s="1"/>
      <c r="AC786" s="1"/>
      <c r="AJ786" s="1"/>
      <c r="AQ786" s="1"/>
      <c r="AX786" s="1"/>
    </row>
    <row r="787" spans="1:50" x14ac:dyDescent="0.25">
      <c r="A787" s="1"/>
      <c r="H787" s="1"/>
      <c r="O787" s="1"/>
      <c r="V787" s="1"/>
      <c r="AC787" s="1"/>
      <c r="AJ787" s="1"/>
      <c r="AQ787" s="1"/>
      <c r="AX787" s="1"/>
    </row>
    <row r="788" spans="1:50" x14ac:dyDescent="0.25">
      <c r="A788" s="1"/>
      <c r="H788" s="1"/>
      <c r="O788" s="1"/>
      <c r="V788" s="1"/>
      <c r="AC788" s="1"/>
      <c r="AJ788" s="1"/>
      <c r="AQ788" s="1"/>
      <c r="AX788" s="1"/>
    </row>
    <row r="789" spans="1:50" x14ac:dyDescent="0.25">
      <c r="A789" s="1"/>
      <c r="H789" s="1"/>
      <c r="O789" s="1"/>
      <c r="V789" s="1"/>
      <c r="AC789" s="1"/>
      <c r="AJ789" s="1"/>
      <c r="AQ789" s="1"/>
      <c r="AX789" s="1"/>
    </row>
    <row r="790" spans="1:50" x14ac:dyDescent="0.25">
      <c r="A790" s="1"/>
      <c r="H790" s="1"/>
      <c r="O790" s="1"/>
      <c r="V790" s="1"/>
      <c r="AC790" s="1"/>
      <c r="AJ790" s="1"/>
      <c r="AQ790" s="1"/>
      <c r="AX790" s="1"/>
    </row>
    <row r="791" spans="1:50" x14ac:dyDescent="0.25">
      <c r="A791" s="1"/>
      <c r="H791" s="1"/>
      <c r="O791" s="1"/>
      <c r="V791" s="1"/>
      <c r="AC791" s="1"/>
      <c r="AJ791" s="1"/>
      <c r="AQ791" s="1"/>
      <c r="AX791" s="1"/>
    </row>
    <row r="792" spans="1:50" x14ac:dyDescent="0.25">
      <c r="A792" s="1"/>
      <c r="H792" s="1"/>
      <c r="O792" s="1"/>
      <c r="V792" s="1"/>
      <c r="AC792" s="1"/>
      <c r="AJ792" s="1"/>
      <c r="AQ792" s="1"/>
      <c r="AX792" s="1"/>
    </row>
    <row r="793" spans="1:50" x14ac:dyDescent="0.25">
      <c r="A793" s="1"/>
      <c r="H793" s="1"/>
      <c r="O793" s="1"/>
      <c r="V793" s="1"/>
      <c r="AC793" s="1"/>
      <c r="AJ793" s="1"/>
      <c r="AQ793" s="1"/>
      <c r="AX793" s="1"/>
    </row>
    <row r="794" spans="1:50" x14ac:dyDescent="0.25">
      <c r="A794" s="1"/>
      <c r="H794" s="1"/>
      <c r="O794" s="1"/>
      <c r="V794" s="1"/>
      <c r="AC794" s="1"/>
      <c r="AJ794" s="1"/>
      <c r="AQ794" s="1"/>
      <c r="AX794" s="1"/>
    </row>
    <row r="795" spans="1:50" x14ac:dyDescent="0.25">
      <c r="A795" s="1"/>
      <c r="H795" s="1"/>
      <c r="O795" s="1"/>
      <c r="V795" s="1"/>
      <c r="AC795" s="1"/>
      <c r="AJ795" s="1"/>
      <c r="AQ795" s="1"/>
      <c r="AX795" s="1"/>
    </row>
    <row r="796" spans="1:50" x14ac:dyDescent="0.25">
      <c r="A796" s="1"/>
      <c r="H796" s="1"/>
      <c r="O796" s="1"/>
      <c r="V796" s="1"/>
      <c r="AC796" s="1"/>
      <c r="AJ796" s="1"/>
      <c r="AQ796" s="1"/>
      <c r="AX796" s="1"/>
    </row>
    <row r="797" spans="1:50" x14ac:dyDescent="0.25">
      <c r="A797" s="1"/>
      <c r="H797" s="1"/>
      <c r="O797" s="1"/>
      <c r="V797" s="1"/>
      <c r="AC797" s="1"/>
      <c r="AJ797" s="1"/>
      <c r="AQ797" s="1"/>
      <c r="AX797" s="1"/>
    </row>
    <row r="798" spans="1:50" x14ac:dyDescent="0.25">
      <c r="A798" s="1"/>
      <c r="H798" s="1"/>
      <c r="O798" s="1"/>
      <c r="V798" s="1"/>
      <c r="AC798" s="1"/>
      <c r="AJ798" s="1"/>
      <c r="AQ798" s="1"/>
      <c r="AX798" s="1"/>
    </row>
    <row r="799" spans="1:50" x14ac:dyDescent="0.25">
      <c r="A799" s="1"/>
      <c r="H799" s="1"/>
      <c r="O799" s="1"/>
      <c r="V799" s="1"/>
      <c r="AC799" s="1"/>
      <c r="AJ799" s="1"/>
      <c r="AQ799" s="1"/>
      <c r="AX799" s="1"/>
    </row>
    <row r="800" spans="1:50" x14ac:dyDescent="0.25">
      <c r="A800" s="1"/>
      <c r="H800" s="1"/>
      <c r="O800" s="1"/>
      <c r="V800" s="1"/>
      <c r="AC800" s="1"/>
      <c r="AJ800" s="1"/>
      <c r="AQ800" s="1"/>
      <c r="AX800" s="1"/>
    </row>
    <row r="801" spans="1:50" x14ac:dyDescent="0.25">
      <c r="A801" s="1"/>
      <c r="H801" s="1"/>
      <c r="O801" s="1"/>
      <c r="V801" s="1"/>
      <c r="AC801" s="1"/>
      <c r="AJ801" s="1"/>
      <c r="AQ801" s="1"/>
      <c r="AX801" s="1"/>
    </row>
    <row r="802" spans="1:50" x14ac:dyDescent="0.25">
      <c r="A802" s="1"/>
      <c r="H802" s="1"/>
      <c r="O802" s="1"/>
      <c r="V802" s="1"/>
      <c r="AC802" s="1"/>
      <c r="AJ802" s="1"/>
      <c r="AQ802" s="1"/>
      <c r="AX802" s="1"/>
    </row>
    <row r="803" spans="1:50" x14ac:dyDescent="0.25">
      <c r="A803" s="1"/>
      <c r="H803" s="1"/>
      <c r="O803" s="1"/>
      <c r="V803" s="1"/>
      <c r="AC803" s="1"/>
      <c r="AJ803" s="1"/>
      <c r="AQ803" s="1"/>
      <c r="AX803" s="1"/>
    </row>
    <row r="804" spans="1:50" x14ac:dyDescent="0.25">
      <c r="A804" s="1"/>
      <c r="H804" s="1"/>
      <c r="O804" s="1"/>
      <c r="V804" s="1"/>
      <c r="AC804" s="1"/>
      <c r="AJ804" s="1"/>
      <c r="AQ804" s="1"/>
      <c r="AX804" s="1"/>
    </row>
    <row r="805" spans="1:50" x14ac:dyDescent="0.25">
      <c r="A805" s="1"/>
      <c r="H805" s="1"/>
      <c r="O805" s="1"/>
      <c r="V805" s="1"/>
      <c r="AC805" s="1"/>
      <c r="AJ805" s="1"/>
      <c r="AQ805" s="1"/>
      <c r="AX805" s="1"/>
    </row>
    <row r="806" spans="1:50" x14ac:dyDescent="0.25">
      <c r="A806" s="1"/>
      <c r="H806" s="1"/>
      <c r="O806" s="1"/>
      <c r="V806" s="1"/>
      <c r="AC806" s="1"/>
      <c r="AJ806" s="1"/>
      <c r="AQ806" s="1"/>
      <c r="AX806" s="1"/>
    </row>
    <row r="807" spans="1:50" x14ac:dyDescent="0.25">
      <c r="A807" s="1"/>
      <c r="H807" s="1"/>
      <c r="O807" s="1"/>
      <c r="V807" s="1"/>
      <c r="AC807" s="1"/>
      <c r="AJ807" s="1"/>
      <c r="AQ807" s="1"/>
      <c r="AX807" s="1"/>
    </row>
    <row r="808" spans="1:50" x14ac:dyDescent="0.25">
      <c r="A808" s="1"/>
      <c r="H808" s="1"/>
      <c r="O808" s="1"/>
      <c r="V808" s="1"/>
      <c r="AC808" s="1"/>
      <c r="AJ808" s="1"/>
      <c r="AQ808" s="1"/>
      <c r="AX808" s="1"/>
    </row>
    <row r="809" spans="1:50" x14ac:dyDescent="0.25">
      <c r="A809" s="1"/>
      <c r="H809" s="1"/>
      <c r="O809" s="1"/>
      <c r="V809" s="1"/>
      <c r="AC809" s="1"/>
      <c r="AJ809" s="1"/>
      <c r="AQ809" s="1"/>
      <c r="AX809" s="1"/>
    </row>
    <row r="810" spans="1:50" x14ac:dyDescent="0.25">
      <c r="A810" s="1"/>
      <c r="H810" s="1"/>
      <c r="O810" s="1"/>
      <c r="V810" s="1"/>
      <c r="AC810" s="1"/>
      <c r="AJ810" s="1"/>
      <c r="AQ810" s="1"/>
      <c r="AX810" s="1"/>
    </row>
    <row r="811" spans="1:50" x14ac:dyDescent="0.25">
      <c r="A811" s="1"/>
      <c r="H811" s="1"/>
      <c r="O811" s="1"/>
      <c r="V811" s="1"/>
      <c r="AC811" s="1"/>
      <c r="AJ811" s="1"/>
      <c r="AQ811" s="1"/>
      <c r="AX811" s="1"/>
    </row>
    <row r="812" spans="1:50" x14ac:dyDescent="0.25">
      <c r="A812" s="1"/>
      <c r="H812" s="1"/>
      <c r="O812" s="1"/>
      <c r="V812" s="1"/>
      <c r="AC812" s="1"/>
      <c r="AJ812" s="1"/>
      <c r="AQ812" s="1"/>
      <c r="AX812" s="1"/>
    </row>
    <row r="813" spans="1:50" x14ac:dyDescent="0.25">
      <c r="A813" s="1"/>
      <c r="H813" s="1"/>
      <c r="O813" s="1"/>
      <c r="V813" s="1"/>
      <c r="AC813" s="1"/>
      <c r="AJ813" s="1"/>
      <c r="AQ813" s="1"/>
      <c r="AX813" s="1"/>
    </row>
    <row r="814" spans="1:50" x14ac:dyDescent="0.25">
      <c r="A814" s="1"/>
      <c r="H814" s="1"/>
      <c r="O814" s="1"/>
      <c r="V814" s="1"/>
      <c r="AC814" s="1"/>
      <c r="AJ814" s="1"/>
      <c r="AQ814" s="1"/>
      <c r="AX814" s="1"/>
    </row>
    <row r="815" spans="1:50" x14ac:dyDescent="0.25">
      <c r="A815" s="1"/>
      <c r="H815" s="1"/>
      <c r="O815" s="1"/>
      <c r="V815" s="1"/>
      <c r="AC815" s="1"/>
      <c r="AJ815" s="1"/>
      <c r="AQ815" s="1"/>
      <c r="AX815" s="1"/>
    </row>
    <row r="816" spans="1:50" x14ac:dyDescent="0.25">
      <c r="A816" s="1"/>
      <c r="H816" s="1"/>
      <c r="O816" s="1"/>
      <c r="V816" s="1"/>
      <c r="AC816" s="1"/>
      <c r="AJ816" s="1"/>
      <c r="AQ816" s="1"/>
      <c r="AX816" s="1"/>
    </row>
    <row r="817" spans="1:50" x14ac:dyDescent="0.25">
      <c r="A817" s="1"/>
      <c r="H817" s="1"/>
      <c r="O817" s="1"/>
      <c r="V817" s="1"/>
      <c r="AC817" s="1"/>
      <c r="AJ817" s="1"/>
      <c r="AQ817" s="1"/>
      <c r="AX817" s="1"/>
    </row>
    <row r="818" spans="1:50" x14ac:dyDescent="0.25">
      <c r="A818" s="1"/>
      <c r="H818" s="1"/>
      <c r="O818" s="1"/>
      <c r="V818" s="1"/>
      <c r="AC818" s="1"/>
      <c r="AJ818" s="1"/>
      <c r="AQ818" s="1"/>
      <c r="AX818" s="1"/>
    </row>
    <row r="819" spans="1:50" x14ac:dyDescent="0.25">
      <c r="A819" s="1"/>
      <c r="H819" s="1"/>
      <c r="O819" s="1"/>
      <c r="V819" s="1"/>
      <c r="AC819" s="1"/>
      <c r="AJ819" s="1"/>
      <c r="AQ819" s="1"/>
      <c r="AX819" s="1"/>
    </row>
    <row r="820" spans="1:50" x14ac:dyDescent="0.25">
      <c r="A820" s="1"/>
      <c r="H820" s="1"/>
      <c r="O820" s="1"/>
      <c r="V820" s="1"/>
      <c r="AC820" s="1"/>
      <c r="AJ820" s="1"/>
      <c r="AQ820" s="1"/>
      <c r="AX820" s="1"/>
    </row>
    <row r="821" spans="1:50" x14ac:dyDescent="0.25">
      <c r="A821" s="1"/>
      <c r="H821" s="1"/>
      <c r="O821" s="1"/>
      <c r="V821" s="1"/>
      <c r="AC821" s="1"/>
      <c r="AJ821" s="1"/>
      <c r="AQ821" s="1"/>
      <c r="AX821" s="1"/>
    </row>
    <row r="822" spans="1:50" x14ac:dyDescent="0.25">
      <c r="A822" s="1"/>
      <c r="H822" s="1"/>
      <c r="O822" s="1"/>
      <c r="V822" s="1"/>
      <c r="AC822" s="1"/>
      <c r="AJ822" s="1"/>
      <c r="AQ822" s="1"/>
      <c r="AX822" s="1"/>
    </row>
    <row r="823" spans="1:50" x14ac:dyDescent="0.25">
      <c r="A823" s="1"/>
      <c r="H823" s="1"/>
      <c r="O823" s="1"/>
      <c r="V823" s="1"/>
      <c r="AC823" s="1"/>
      <c r="AJ823" s="1"/>
      <c r="AQ823" s="1"/>
      <c r="AX823" s="1"/>
    </row>
    <row r="824" spans="1:50" x14ac:dyDescent="0.25">
      <c r="A824" s="1"/>
      <c r="H824" s="1"/>
      <c r="O824" s="1"/>
      <c r="V824" s="1"/>
      <c r="AC824" s="1"/>
      <c r="AJ824" s="1"/>
      <c r="AQ824" s="1"/>
      <c r="AX824" s="1"/>
    </row>
    <row r="825" spans="1:50" x14ac:dyDescent="0.25">
      <c r="A825" s="1"/>
      <c r="H825" s="1"/>
      <c r="O825" s="1"/>
      <c r="V825" s="1"/>
      <c r="AC825" s="1"/>
      <c r="AJ825" s="1"/>
      <c r="AQ825" s="1"/>
      <c r="AX825" s="1"/>
    </row>
    <row r="826" spans="1:50" x14ac:dyDescent="0.25">
      <c r="A826" s="1"/>
      <c r="H826" s="1"/>
      <c r="O826" s="1"/>
      <c r="V826" s="1"/>
      <c r="AC826" s="1"/>
      <c r="AJ826" s="1"/>
      <c r="AQ826" s="1"/>
      <c r="AX826" s="1"/>
    </row>
    <row r="827" spans="1:50" x14ac:dyDescent="0.25">
      <c r="A827" s="1"/>
      <c r="H827" s="1"/>
      <c r="O827" s="1"/>
      <c r="V827" s="1"/>
      <c r="AC827" s="1"/>
      <c r="AJ827" s="1"/>
      <c r="AQ827" s="1"/>
      <c r="AX827" s="1"/>
    </row>
    <row r="828" spans="1:50" x14ac:dyDescent="0.25">
      <c r="A828" s="1"/>
      <c r="H828" s="1"/>
      <c r="O828" s="1"/>
      <c r="V828" s="1"/>
      <c r="AC828" s="1"/>
      <c r="AJ828" s="1"/>
      <c r="AQ828" s="1"/>
      <c r="AX828" s="1"/>
    </row>
    <row r="829" spans="1:50" x14ac:dyDescent="0.25">
      <c r="A829" s="1"/>
      <c r="H829" s="1"/>
      <c r="O829" s="1"/>
      <c r="V829" s="1"/>
      <c r="AC829" s="1"/>
      <c r="AJ829" s="1"/>
      <c r="AQ829" s="1"/>
      <c r="AX829" s="1"/>
    </row>
    <row r="830" spans="1:50" x14ac:dyDescent="0.25">
      <c r="A830" s="1"/>
      <c r="H830" s="1"/>
      <c r="O830" s="1"/>
      <c r="V830" s="1"/>
      <c r="AC830" s="1"/>
      <c r="AJ830" s="1"/>
      <c r="AQ830" s="1"/>
      <c r="AX830" s="1"/>
    </row>
    <row r="831" spans="1:50" x14ac:dyDescent="0.25">
      <c r="A831" s="1"/>
      <c r="H831" s="1"/>
      <c r="O831" s="1"/>
      <c r="V831" s="1"/>
      <c r="AC831" s="1"/>
      <c r="AJ831" s="1"/>
      <c r="AQ831" s="1"/>
      <c r="AX831" s="1"/>
    </row>
    <row r="832" spans="1:50" x14ac:dyDescent="0.25">
      <c r="A832" s="1"/>
      <c r="H832" s="1"/>
      <c r="O832" s="1"/>
      <c r="V832" s="1"/>
      <c r="AC832" s="1"/>
      <c r="AJ832" s="1"/>
      <c r="AQ832" s="1"/>
      <c r="AX832" s="1"/>
    </row>
    <row r="833" spans="1:50" x14ac:dyDescent="0.25">
      <c r="A833" s="1"/>
      <c r="H833" s="1"/>
      <c r="O833" s="1"/>
      <c r="V833" s="1"/>
      <c r="AC833" s="1"/>
      <c r="AJ833" s="1"/>
      <c r="AQ833" s="1"/>
      <c r="AX833" s="1"/>
    </row>
    <row r="834" spans="1:50" x14ac:dyDescent="0.25">
      <c r="A834" s="1"/>
      <c r="H834" s="1"/>
      <c r="O834" s="1"/>
      <c r="V834" s="1"/>
      <c r="AC834" s="1"/>
      <c r="AJ834" s="1"/>
      <c r="AQ834" s="1"/>
      <c r="AX834" s="1"/>
    </row>
    <row r="835" spans="1:50" x14ac:dyDescent="0.25">
      <c r="A835" s="1"/>
      <c r="H835" s="1"/>
      <c r="O835" s="1"/>
      <c r="V835" s="1"/>
      <c r="AC835" s="1"/>
      <c r="AJ835" s="1"/>
      <c r="AQ835" s="1"/>
      <c r="AX835" s="1"/>
    </row>
    <row r="836" spans="1:50" x14ac:dyDescent="0.25">
      <c r="A836" s="1"/>
      <c r="H836" s="1"/>
      <c r="O836" s="1"/>
      <c r="V836" s="1"/>
      <c r="AC836" s="1"/>
      <c r="AJ836" s="1"/>
      <c r="AQ836" s="1"/>
      <c r="AX836" s="1"/>
    </row>
    <row r="837" spans="1:50" x14ac:dyDescent="0.25">
      <c r="A837" s="1"/>
      <c r="H837" s="1"/>
      <c r="O837" s="1"/>
      <c r="V837" s="1"/>
      <c r="AC837" s="1"/>
      <c r="AJ837" s="1"/>
      <c r="AQ837" s="1"/>
      <c r="AX837" s="1"/>
    </row>
    <row r="838" spans="1:50" x14ac:dyDescent="0.25">
      <c r="A838" s="1"/>
      <c r="H838" s="1"/>
      <c r="O838" s="1"/>
      <c r="V838" s="1"/>
      <c r="AC838" s="1"/>
      <c r="AJ838" s="1"/>
      <c r="AQ838" s="1"/>
      <c r="AX838" s="1"/>
    </row>
    <row r="839" spans="1:50" x14ac:dyDescent="0.25">
      <c r="A839" s="1"/>
      <c r="H839" s="1"/>
      <c r="O839" s="1"/>
      <c r="V839" s="1"/>
      <c r="AC839" s="1"/>
      <c r="AJ839" s="1"/>
      <c r="AQ839" s="1"/>
      <c r="AX839" s="1"/>
    </row>
    <row r="840" spans="1:50" x14ac:dyDescent="0.25">
      <c r="A840" s="1"/>
      <c r="H840" s="1"/>
      <c r="O840" s="1"/>
      <c r="V840" s="1"/>
      <c r="AC840" s="1"/>
      <c r="AJ840" s="1"/>
      <c r="AQ840" s="1"/>
      <c r="AX840" s="1"/>
    </row>
    <row r="841" spans="1:50" x14ac:dyDescent="0.25">
      <c r="A841" s="1"/>
      <c r="H841" s="1"/>
      <c r="O841" s="1"/>
      <c r="V841" s="1"/>
      <c r="AC841" s="1"/>
      <c r="AJ841" s="1"/>
      <c r="AQ841" s="1"/>
      <c r="AX841" s="1"/>
    </row>
    <row r="842" spans="1:50" x14ac:dyDescent="0.25">
      <c r="A842" s="1"/>
      <c r="H842" s="1"/>
      <c r="O842" s="1"/>
      <c r="V842" s="1"/>
      <c r="AC842" s="1"/>
      <c r="AJ842" s="1"/>
      <c r="AQ842" s="1"/>
      <c r="AX842" s="1"/>
    </row>
    <row r="843" spans="1:50" x14ac:dyDescent="0.25">
      <c r="A843" s="1"/>
      <c r="H843" s="1"/>
      <c r="O843" s="1"/>
      <c r="V843" s="1"/>
      <c r="AC843" s="1"/>
      <c r="AJ843" s="1"/>
      <c r="AQ843" s="1"/>
      <c r="AX843" s="1"/>
    </row>
    <row r="844" spans="1:50" x14ac:dyDescent="0.25">
      <c r="A844" s="1"/>
      <c r="H844" s="1"/>
      <c r="O844" s="1"/>
      <c r="V844" s="1"/>
      <c r="AC844" s="1"/>
      <c r="AJ844" s="1"/>
      <c r="AQ844" s="1"/>
      <c r="AX844" s="1"/>
    </row>
    <row r="845" spans="1:50" x14ac:dyDescent="0.25">
      <c r="A845" s="1"/>
      <c r="H845" s="1"/>
      <c r="O845" s="1"/>
      <c r="V845" s="1"/>
      <c r="AC845" s="1"/>
      <c r="AJ845" s="1"/>
      <c r="AQ845" s="1"/>
      <c r="AX845" s="1"/>
    </row>
    <row r="846" spans="1:50" x14ac:dyDescent="0.25">
      <c r="A846" s="1"/>
      <c r="H846" s="1"/>
      <c r="O846" s="1"/>
      <c r="V846" s="1"/>
      <c r="AC846" s="1"/>
      <c r="AJ846" s="1"/>
      <c r="AQ846" s="1"/>
      <c r="AX846" s="1"/>
    </row>
    <row r="847" spans="1:50" x14ac:dyDescent="0.25">
      <c r="A847" s="1"/>
      <c r="H847" s="1"/>
      <c r="O847" s="1"/>
      <c r="V847" s="1"/>
      <c r="AC847" s="1"/>
      <c r="AJ847" s="1"/>
      <c r="AQ847" s="1"/>
      <c r="AX847" s="1"/>
    </row>
    <row r="848" spans="1:50" x14ac:dyDescent="0.25">
      <c r="A848" s="1"/>
      <c r="H848" s="1"/>
      <c r="O848" s="1"/>
      <c r="V848" s="1"/>
      <c r="AC848" s="1"/>
      <c r="AJ848" s="1"/>
      <c r="AQ848" s="1"/>
      <c r="AX848" s="1"/>
    </row>
    <row r="849" spans="1:50" x14ac:dyDescent="0.25">
      <c r="A849" s="1"/>
      <c r="H849" s="1"/>
      <c r="O849" s="1"/>
      <c r="V849" s="1"/>
      <c r="AC849" s="1"/>
      <c r="AJ849" s="1"/>
      <c r="AQ849" s="1"/>
      <c r="AX849" s="1"/>
    </row>
    <row r="850" spans="1:50" x14ac:dyDescent="0.25">
      <c r="A850" s="1"/>
      <c r="H850" s="1"/>
      <c r="O850" s="1"/>
      <c r="V850" s="1"/>
      <c r="AC850" s="1"/>
      <c r="AJ850" s="1"/>
      <c r="AQ850" s="1"/>
      <c r="AX850" s="1"/>
    </row>
    <row r="851" spans="1:50" x14ac:dyDescent="0.25">
      <c r="A851" s="1"/>
      <c r="H851" s="1"/>
      <c r="O851" s="1"/>
      <c r="V851" s="1"/>
      <c r="AC851" s="1"/>
      <c r="AJ851" s="1"/>
      <c r="AQ851" s="1"/>
      <c r="AX851" s="1"/>
    </row>
    <row r="852" spans="1:50" x14ac:dyDescent="0.25">
      <c r="A852" s="1"/>
      <c r="H852" s="1"/>
      <c r="O852" s="1"/>
      <c r="V852" s="1"/>
      <c r="AC852" s="1"/>
      <c r="AJ852" s="1"/>
      <c r="AQ852" s="1"/>
      <c r="AX852" s="1"/>
    </row>
    <row r="853" spans="1:50" x14ac:dyDescent="0.25">
      <c r="A853" s="1"/>
      <c r="H853" s="1"/>
      <c r="O853" s="1"/>
      <c r="V853" s="1"/>
      <c r="AC853" s="1"/>
      <c r="AJ853" s="1"/>
      <c r="AQ853" s="1"/>
      <c r="AX853" s="1"/>
    </row>
    <row r="854" spans="1:50" x14ac:dyDescent="0.25">
      <c r="A854" s="1"/>
      <c r="H854" s="1"/>
      <c r="O854" s="1"/>
      <c r="V854" s="1"/>
      <c r="AC854" s="1"/>
      <c r="AJ854" s="1"/>
      <c r="AQ854" s="1"/>
      <c r="AX854" s="1"/>
    </row>
    <row r="855" spans="1:50" x14ac:dyDescent="0.25">
      <c r="A855" s="1"/>
      <c r="H855" s="1"/>
      <c r="O855" s="1"/>
      <c r="V855" s="1"/>
      <c r="AC855" s="1"/>
      <c r="AJ855" s="1"/>
      <c r="AQ855" s="1"/>
      <c r="AX855" s="1"/>
    </row>
    <row r="856" spans="1:50" x14ac:dyDescent="0.25">
      <c r="A856" s="1"/>
      <c r="H856" s="1"/>
      <c r="O856" s="1"/>
      <c r="V856" s="1"/>
      <c r="AC856" s="1"/>
      <c r="AJ856" s="1"/>
      <c r="AQ856" s="1"/>
      <c r="AX856" s="1"/>
    </row>
    <row r="857" spans="1:50" x14ac:dyDescent="0.25">
      <c r="A857" s="1"/>
      <c r="H857" s="1"/>
      <c r="O857" s="1"/>
      <c r="V857" s="1"/>
      <c r="AC857" s="1"/>
      <c r="AJ857" s="1"/>
      <c r="AQ857" s="1"/>
      <c r="AX857" s="1"/>
    </row>
    <row r="858" spans="1:50" x14ac:dyDescent="0.25">
      <c r="A858" s="1"/>
      <c r="H858" s="1"/>
      <c r="O858" s="1"/>
      <c r="V858" s="1"/>
      <c r="AC858" s="1"/>
      <c r="AJ858" s="1"/>
      <c r="AQ858" s="1"/>
      <c r="AX858" s="1"/>
    </row>
    <row r="859" spans="1:50" x14ac:dyDescent="0.25">
      <c r="A859" s="1"/>
      <c r="H859" s="1"/>
      <c r="O859" s="1"/>
      <c r="V859" s="1"/>
      <c r="AC859" s="1"/>
      <c r="AJ859" s="1"/>
      <c r="AQ859" s="1"/>
      <c r="AX859" s="1"/>
    </row>
    <row r="860" spans="1:50" x14ac:dyDescent="0.25">
      <c r="A860" s="1"/>
      <c r="H860" s="1"/>
      <c r="O860" s="1"/>
      <c r="V860" s="1"/>
      <c r="AC860" s="1"/>
      <c r="AJ860" s="1"/>
      <c r="AQ860" s="1"/>
      <c r="AX860" s="1"/>
    </row>
    <row r="861" spans="1:50" x14ac:dyDescent="0.25">
      <c r="A861" s="1"/>
      <c r="H861" s="1"/>
      <c r="O861" s="1"/>
      <c r="V861" s="1"/>
      <c r="AC861" s="1"/>
      <c r="AJ861" s="1"/>
      <c r="AQ861" s="1"/>
      <c r="AX861" s="1"/>
    </row>
    <row r="862" spans="1:50" x14ac:dyDescent="0.25">
      <c r="A862" s="1"/>
      <c r="H862" s="1"/>
      <c r="O862" s="1"/>
      <c r="V862" s="1"/>
      <c r="AC862" s="1"/>
      <c r="AJ862" s="1"/>
      <c r="AQ862" s="1"/>
      <c r="AX862" s="1"/>
    </row>
    <row r="863" spans="1:50" x14ac:dyDescent="0.25">
      <c r="A863" s="1"/>
      <c r="H863" s="1"/>
      <c r="O863" s="1"/>
      <c r="V863" s="1"/>
      <c r="AC863" s="1"/>
      <c r="AJ863" s="1"/>
      <c r="AQ863" s="1"/>
      <c r="AX863" s="1"/>
    </row>
    <row r="864" spans="1:50" x14ac:dyDescent="0.25">
      <c r="A864" s="1"/>
      <c r="H864" s="1"/>
      <c r="O864" s="1"/>
      <c r="V864" s="1"/>
      <c r="AC864" s="1"/>
      <c r="AJ864" s="1"/>
      <c r="AQ864" s="1"/>
      <c r="AX864" s="1"/>
    </row>
    <row r="865" spans="1:50" x14ac:dyDescent="0.25">
      <c r="A865" s="1"/>
      <c r="H865" s="1"/>
      <c r="O865" s="1"/>
      <c r="V865" s="1"/>
      <c r="AC865" s="1"/>
      <c r="AJ865" s="1"/>
      <c r="AQ865" s="1"/>
      <c r="AX865" s="1"/>
    </row>
    <row r="866" spans="1:50" x14ac:dyDescent="0.25">
      <c r="A866" s="1"/>
      <c r="H866" s="1"/>
      <c r="O866" s="1"/>
      <c r="V866" s="1"/>
      <c r="AC866" s="1"/>
      <c r="AJ866" s="1"/>
      <c r="AQ866" s="1"/>
      <c r="AX866" s="1"/>
    </row>
    <row r="867" spans="1:50" x14ac:dyDescent="0.25">
      <c r="A867" s="1"/>
      <c r="H867" s="1"/>
      <c r="O867" s="1"/>
      <c r="V867" s="1"/>
      <c r="AC867" s="1"/>
      <c r="AJ867" s="1"/>
      <c r="AQ867" s="1"/>
      <c r="AX867" s="1"/>
    </row>
    <row r="868" spans="1:50" x14ac:dyDescent="0.25">
      <c r="A868" s="1"/>
      <c r="H868" s="1"/>
      <c r="O868" s="1"/>
      <c r="V868" s="1"/>
      <c r="AC868" s="1"/>
      <c r="AJ868" s="1"/>
      <c r="AQ868" s="1"/>
      <c r="AX868" s="1"/>
    </row>
    <row r="869" spans="1:50" x14ac:dyDescent="0.25">
      <c r="A869" s="1"/>
      <c r="H869" s="1"/>
      <c r="O869" s="1"/>
      <c r="V869" s="1"/>
      <c r="AC869" s="1"/>
      <c r="AJ869" s="1"/>
      <c r="AQ869" s="1"/>
      <c r="AX869" s="1"/>
    </row>
    <row r="870" spans="1:50" x14ac:dyDescent="0.25">
      <c r="A870" s="1"/>
      <c r="H870" s="1"/>
      <c r="O870" s="1"/>
      <c r="V870" s="1"/>
      <c r="AC870" s="1"/>
      <c r="AJ870" s="1"/>
      <c r="AQ870" s="1"/>
      <c r="AX870" s="1"/>
    </row>
    <row r="871" spans="1:50" x14ac:dyDescent="0.25">
      <c r="A871" s="1"/>
      <c r="H871" s="1"/>
      <c r="O871" s="1"/>
      <c r="V871" s="1"/>
      <c r="AC871" s="1"/>
      <c r="AJ871" s="1"/>
      <c r="AQ871" s="1"/>
      <c r="AX871" s="1"/>
    </row>
    <row r="872" spans="1:50" x14ac:dyDescent="0.25">
      <c r="A872" s="1"/>
      <c r="H872" s="1"/>
      <c r="O872" s="1"/>
      <c r="V872" s="1"/>
      <c r="AC872" s="1"/>
      <c r="AJ872" s="1"/>
      <c r="AQ872" s="1"/>
      <c r="AX872" s="1"/>
    </row>
    <row r="873" spans="1:50" x14ac:dyDescent="0.25">
      <c r="A873" s="1"/>
      <c r="H873" s="1"/>
      <c r="O873" s="1"/>
      <c r="V873" s="1"/>
      <c r="AC873" s="1"/>
      <c r="AJ873" s="1"/>
      <c r="AQ873" s="1"/>
      <c r="AX873" s="1"/>
    </row>
    <row r="874" spans="1:50" x14ac:dyDescent="0.25">
      <c r="A874" s="1"/>
      <c r="H874" s="1"/>
      <c r="O874" s="1"/>
      <c r="V874" s="1"/>
      <c r="AC874" s="1"/>
      <c r="AJ874" s="1"/>
      <c r="AQ874" s="1"/>
      <c r="AX874" s="1"/>
    </row>
    <row r="875" spans="1:50" x14ac:dyDescent="0.25">
      <c r="A875" s="1"/>
      <c r="H875" s="1"/>
      <c r="O875" s="1"/>
      <c r="V875" s="1"/>
      <c r="AC875" s="1"/>
      <c r="AJ875" s="1"/>
      <c r="AQ875" s="1"/>
      <c r="AX875" s="1"/>
    </row>
    <row r="876" spans="1:50" x14ac:dyDescent="0.25">
      <c r="A876" s="1"/>
      <c r="H876" s="1"/>
      <c r="O876" s="1"/>
      <c r="V876" s="1"/>
      <c r="AC876" s="1"/>
      <c r="AJ876" s="1"/>
      <c r="AQ876" s="1"/>
      <c r="AX876" s="1"/>
    </row>
    <row r="877" spans="1:50" x14ac:dyDescent="0.25">
      <c r="A877" s="1"/>
      <c r="H877" s="1"/>
      <c r="O877" s="1"/>
      <c r="V877" s="1"/>
      <c r="AC877" s="1"/>
      <c r="AJ877" s="1"/>
      <c r="AQ877" s="1"/>
      <c r="AX877" s="1"/>
    </row>
    <row r="878" spans="1:50" x14ac:dyDescent="0.25">
      <c r="A878" s="1"/>
      <c r="H878" s="1"/>
      <c r="O878" s="1"/>
      <c r="V878" s="1"/>
      <c r="AC878" s="1"/>
      <c r="AJ878" s="1"/>
      <c r="AQ878" s="1"/>
      <c r="AX878" s="1"/>
    </row>
    <row r="879" spans="1:50" x14ac:dyDescent="0.25">
      <c r="A879" s="1"/>
      <c r="H879" s="1"/>
      <c r="O879" s="1"/>
      <c r="V879" s="1"/>
      <c r="AC879" s="1"/>
      <c r="AJ879" s="1"/>
      <c r="AQ879" s="1"/>
      <c r="AX879" s="1"/>
    </row>
    <row r="880" spans="1:50" x14ac:dyDescent="0.25">
      <c r="A880" s="1"/>
      <c r="H880" s="1"/>
      <c r="O880" s="1"/>
      <c r="V880" s="1"/>
      <c r="AC880" s="1"/>
      <c r="AJ880" s="1"/>
      <c r="AQ880" s="1"/>
      <c r="AX880" s="1"/>
    </row>
    <row r="881" spans="1:50" x14ac:dyDescent="0.25">
      <c r="A881" s="1"/>
      <c r="H881" s="1"/>
      <c r="O881" s="1"/>
      <c r="V881" s="1"/>
      <c r="AC881" s="1"/>
      <c r="AJ881" s="1"/>
      <c r="AQ881" s="1"/>
      <c r="AX881" s="1"/>
    </row>
    <row r="882" spans="1:50" x14ac:dyDescent="0.25">
      <c r="A882" s="1"/>
      <c r="H882" s="1"/>
      <c r="O882" s="1"/>
      <c r="V882" s="1"/>
      <c r="AC882" s="1"/>
      <c r="AJ882" s="1"/>
      <c r="AQ882" s="1"/>
      <c r="AX882" s="1"/>
    </row>
    <row r="883" spans="1:50" x14ac:dyDescent="0.25">
      <c r="A883" s="1"/>
      <c r="H883" s="1"/>
      <c r="O883" s="1"/>
      <c r="V883" s="1"/>
      <c r="AC883" s="1"/>
      <c r="AJ883" s="1"/>
      <c r="AQ883" s="1"/>
      <c r="AX883" s="1"/>
    </row>
    <row r="884" spans="1:50" x14ac:dyDescent="0.25">
      <c r="A884" s="1"/>
      <c r="H884" s="1"/>
      <c r="O884" s="1"/>
      <c r="V884" s="1"/>
      <c r="AC884" s="1"/>
      <c r="AJ884" s="1"/>
      <c r="AQ884" s="1"/>
      <c r="AX884" s="1"/>
    </row>
    <row r="885" spans="1:50" x14ac:dyDescent="0.25">
      <c r="A885" s="1"/>
      <c r="H885" s="1"/>
      <c r="O885" s="1"/>
      <c r="V885" s="1"/>
      <c r="AC885" s="1"/>
      <c r="AJ885" s="1"/>
      <c r="AQ885" s="1"/>
      <c r="AX885" s="1"/>
    </row>
    <row r="886" spans="1:50" x14ac:dyDescent="0.25">
      <c r="A886" s="1"/>
      <c r="H886" s="1"/>
      <c r="O886" s="1"/>
      <c r="V886" s="1"/>
      <c r="AC886" s="1"/>
      <c r="AJ886" s="1"/>
      <c r="AQ886" s="1"/>
      <c r="AX886" s="1"/>
    </row>
    <row r="887" spans="1:50" x14ac:dyDescent="0.25">
      <c r="A887" s="1"/>
      <c r="H887" s="1"/>
      <c r="O887" s="1"/>
      <c r="V887" s="1"/>
      <c r="AC887" s="1"/>
      <c r="AJ887" s="1"/>
      <c r="AQ887" s="1"/>
      <c r="AX887" s="1"/>
    </row>
    <row r="888" spans="1:50" x14ac:dyDescent="0.25">
      <c r="A888" s="1"/>
      <c r="H888" s="1"/>
      <c r="O888" s="1"/>
      <c r="V888" s="1"/>
      <c r="AC888" s="1"/>
      <c r="AJ888" s="1"/>
      <c r="AQ888" s="1"/>
      <c r="AX888" s="1"/>
    </row>
    <row r="889" spans="1:50" x14ac:dyDescent="0.25">
      <c r="A889" s="1"/>
      <c r="H889" s="1"/>
      <c r="O889" s="1"/>
      <c r="V889" s="1"/>
      <c r="AC889" s="1"/>
      <c r="AJ889" s="1"/>
      <c r="AQ889" s="1"/>
      <c r="AX889" s="1"/>
    </row>
    <row r="890" spans="1:50" x14ac:dyDescent="0.25">
      <c r="A890" s="1"/>
      <c r="H890" s="1"/>
      <c r="O890" s="1"/>
      <c r="V890" s="1"/>
      <c r="AC890" s="1"/>
      <c r="AJ890" s="1"/>
      <c r="AQ890" s="1"/>
      <c r="AX890" s="1"/>
    </row>
    <row r="891" spans="1:50" x14ac:dyDescent="0.25">
      <c r="A891" s="1"/>
      <c r="H891" s="1"/>
      <c r="O891" s="1"/>
      <c r="V891" s="1"/>
      <c r="AC891" s="1"/>
      <c r="AJ891" s="1"/>
      <c r="AQ891" s="1"/>
      <c r="AX891" s="1"/>
    </row>
    <row r="892" spans="1:50" x14ac:dyDescent="0.25">
      <c r="A892" s="1"/>
      <c r="H892" s="1"/>
      <c r="O892" s="1"/>
      <c r="V892" s="1"/>
      <c r="AC892" s="1"/>
      <c r="AJ892" s="1"/>
      <c r="AQ892" s="1"/>
      <c r="AX892" s="1"/>
    </row>
    <row r="893" spans="1:50" x14ac:dyDescent="0.25">
      <c r="A893" s="1"/>
      <c r="H893" s="1"/>
      <c r="O893" s="1"/>
      <c r="V893" s="1"/>
      <c r="AC893" s="1"/>
      <c r="AJ893" s="1"/>
      <c r="AQ893" s="1"/>
      <c r="AX893" s="1"/>
    </row>
    <row r="894" spans="1:50" x14ac:dyDescent="0.25">
      <c r="A894" s="1"/>
      <c r="H894" s="1"/>
      <c r="O894" s="1"/>
      <c r="V894" s="1"/>
      <c r="AC894" s="1"/>
      <c r="AJ894" s="1"/>
      <c r="AQ894" s="1"/>
      <c r="AX894" s="1"/>
    </row>
    <row r="895" spans="1:50" x14ac:dyDescent="0.25">
      <c r="A895" s="1"/>
      <c r="H895" s="1"/>
      <c r="O895" s="1"/>
      <c r="V895" s="1"/>
      <c r="AC895" s="1"/>
      <c r="AJ895" s="1"/>
      <c r="AQ895" s="1"/>
      <c r="AX895" s="1"/>
    </row>
    <row r="896" spans="1:50" x14ac:dyDescent="0.25">
      <c r="A896" s="1"/>
      <c r="H896" s="1"/>
      <c r="O896" s="1"/>
      <c r="V896" s="1"/>
      <c r="AC896" s="1"/>
      <c r="AJ896" s="1"/>
      <c r="AQ896" s="1"/>
      <c r="AX896" s="1"/>
    </row>
    <row r="897" spans="1:50" x14ac:dyDescent="0.25">
      <c r="A897" s="1"/>
      <c r="H897" s="1"/>
      <c r="O897" s="1"/>
      <c r="V897" s="1"/>
      <c r="AC897" s="1"/>
      <c r="AJ897" s="1"/>
      <c r="AQ897" s="1"/>
      <c r="AX897" s="1"/>
    </row>
    <row r="898" spans="1:50" x14ac:dyDescent="0.25">
      <c r="A898" s="1"/>
      <c r="H898" s="1"/>
      <c r="O898" s="1"/>
      <c r="V898" s="1"/>
      <c r="AC898" s="1"/>
      <c r="AJ898" s="1"/>
      <c r="AQ898" s="1"/>
      <c r="AX898" s="1"/>
    </row>
    <row r="899" spans="1:50" x14ac:dyDescent="0.25">
      <c r="A899" s="1"/>
      <c r="H899" s="1"/>
      <c r="O899" s="1"/>
      <c r="V899" s="1"/>
      <c r="AC899" s="1"/>
      <c r="AJ899" s="1"/>
      <c r="AQ899" s="1"/>
      <c r="AX899" s="1"/>
    </row>
    <row r="900" spans="1:50" x14ac:dyDescent="0.25">
      <c r="A900" s="1"/>
      <c r="H900" s="1"/>
      <c r="O900" s="1"/>
      <c r="V900" s="1"/>
      <c r="AC900" s="1"/>
      <c r="AJ900" s="1"/>
      <c r="AQ900" s="1"/>
      <c r="AX900" s="1"/>
    </row>
    <row r="901" spans="1:50" x14ac:dyDescent="0.25">
      <c r="A901" s="1"/>
      <c r="H901" s="1"/>
      <c r="O901" s="1"/>
      <c r="V901" s="1"/>
      <c r="AC901" s="1"/>
      <c r="AJ901" s="1"/>
      <c r="AQ901" s="1"/>
      <c r="AX901" s="1"/>
    </row>
    <row r="902" spans="1:50" x14ac:dyDescent="0.25">
      <c r="A902" s="1"/>
      <c r="H902" s="1"/>
      <c r="O902" s="1"/>
      <c r="V902" s="1"/>
      <c r="AC902" s="1"/>
      <c r="AJ902" s="1"/>
      <c r="AQ902" s="1"/>
      <c r="AX902" s="1"/>
    </row>
    <row r="903" spans="1:50" x14ac:dyDescent="0.25">
      <c r="A903" s="1"/>
      <c r="H903" s="1"/>
      <c r="O903" s="1"/>
      <c r="V903" s="1"/>
      <c r="AC903" s="1"/>
      <c r="AJ903" s="1"/>
      <c r="AQ903" s="1"/>
      <c r="AX903" s="1"/>
    </row>
    <row r="904" spans="1:50" x14ac:dyDescent="0.25">
      <c r="A904" s="1"/>
      <c r="H904" s="1"/>
      <c r="O904" s="1"/>
      <c r="V904" s="1"/>
      <c r="AC904" s="1"/>
      <c r="AJ904" s="1"/>
      <c r="AQ904" s="1"/>
      <c r="AX904" s="1"/>
    </row>
    <row r="905" spans="1:50" x14ac:dyDescent="0.25">
      <c r="A905" s="1"/>
      <c r="H905" s="1"/>
      <c r="O905" s="1"/>
      <c r="V905" s="1"/>
      <c r="AC905" s="1"/>
      <c r="AJ905" s="1"/>
      <c r="AQ905" s="1"/>
      <c r="AX905" s="1"/>
    </row>
    <row r="906" spans="1:50" x14ac:dyDescent="0.25">
      <c r="A906" s="1"/>
      <c r="H906" s="1"/>
      <c r="O906" s="1"/>
      <c r="V906" s="1"/>
      <c r="AC906" s="1"/>
      <c r="AJ906" s="1"/>
      <c r="AQ906" s="1"/>
      <c r="AX906" s="1"/>
    </row>
    <row r="907" spans="1:50" x14ac:dyDescent="0.25">
      <c r="A907" s="1"/>
      <c r="H907" s="1"/>
      <c r="O907" s="1"/>
      <c r="V907" s="1"/>
      <c r="AC907" s="1"/>
      <c r="AJ907" s="1"/>
      <c r="AQ907" s="1"/>
      <c r="AX907" s="1"/>
    </row>
    <row r="908" spans="1:50" x14ac:dyDescent="0.25">
      <c r="A908" s="1"/>
      <c r="H908" s="1"/>
      <c r="O908" s="1"/>
      <c r="V908" s="1"/>
      <c r="AC908" s="1"/>
      <c r="AJ908" s="1"/>
      <c r="AQ908" s="1"/>
      <c r="AX908" s="1"/>
    </row>
    <row r="909" spans="1:50" x14ac:dyDescent="0.25">
      <c r="A909" s="1"/>
      <c r="H909" s="1"/>
      <c r="O909" s="1"/>
      <c r="V909" s="1"/>
      <c r="AC909" s="1"/>
      <c r="AJ909" s="1"/>
      <c r="AQ909" s="1"/>
      <c r="AX909" s="1"/>
    </row>
    <row r="910" spans="1:50" x14ac:dyDescent="0.25">
      <c r="A910" s="1"/>
      <c r="H910" s="1"/>
      <c r="O910" s="1"/>
      <c r="V910" s="1"/>
      <c r="AC910" s="1"/>
      <c r="AJ910" s="1"/>
      <c r="AQ910" s="1"/>
      <c r="AX910" s="1"/>
    </row>
    <row r="911" spans="1:50" x14ac:dyDescent="0.25">
      <c r="A911" s="1"/>
      <c r="H911" s="1"/>
      <c r="O911" s="1"/>
      <c r="V911" s="1"/>
      <c r="AC911" s="1"/>
      <c r="AJ911" s="1"/>
      <c r="AQ911" s="1"/>
      <c r="AX911" s="1"/>
    </row>
    <row r="912" spans="1:50" x14ac:dyDescent="0.25">
      <c r="A912" s="1"/>
      <c r="H912" s="1"/>
      <c r="O912" s="1"/>
      <c r="V912" s="1"/>
      <c r="AC912" s="1"/>
      <c r="AJ912" s="1"/>
      <c r="AQ912" s="1"/>
      <c r="AX912" s="1"/>
    </row>
    <row r="913" spans="1:50" x14ac:dyDescent="0.25">
      <c r="A913" s="1"/>
      <c r="H913" s="1"/>
      <c r="O913" s="1"/>
      <c r="V913" s="1"/>
      <c r="AC913" s="1"/>
      <c r="AJ913" s="1"/>
      <c r="AQ913" s="1"/>
      <c r="AX913" s="1"/>
    </row>
    <row r="914" spans="1:50" x14ac:dyDescent="0.25">
      <c r="A914" s="1"/>
      <c r="H914" s="1"/>
      <c r="O914" s="1"/>
      <c r="V914" s="1"/>
      <c r="AC914" s="1"/>
      <c r="AJ914" s="1"/>
      <c r="AQ914" s="1"/>
      <c r="AX914" s="1"/>
    </row>
    <row r="915" spans="1:50" x14ac:dyDescent="0.25">
      <c r="A915" s="1"/>
      <c r="H915" s="1"/>
      <c r="O915" s="1"/>
      <c r="V915" s="1"/>
      <c r="AC915" s="1"/>
      <c r="AJ915" s="1"/>
      <c r="AQ915" s="1"/>
      <c r="AX915" s="1"/>
    </row>
    <row r="916" spans="1:50" x14ac:dyDescent="0.25">
      <c r="A916" s="1"/>
      <c r="H916" s="1"/>
      <c r="O916" s="1"/>
      <c r="V916" s="1"/>
      <c r="AC916" s="1"/>
      <c r="AJ916" s="1"/>
      <c r="AQ916" s="1"/>
      <c r="AX916" s="1"/>
    </row>
    <row r="917" spans="1:50" x14ac:dyDescent="0.25">
      <c r="A917" s="1"/>
      <c r="H917" s="1"/>
      <c r="O917" s="1"/>
      <c r="V917" s="1"/>
      <c r="AC917" s="1"/>
      <c r="AJ917" s="1"/>
      <c r="AQ917" s="1"/>
      <c r="AX917" s="1"/>
    </row>
    <row r="918" spans="1:50" x14ac:dyDescent="0.25">
      <c r="A918" s="1"/>
      <c r="H918" s="1"/>
      <c r="O918" s="1"/>
      <c r="V918" s="1"/>
      <c r="AC918" s="1"/>
      <c r="AJ918" s="1"/>
      <c r="AQ918" s="1"/>
      <c r="AX918" s="1"/>
    </row>
    <row r="919" spans="1:50" x14ac:dyDescent="0.25">
      <c r="A919" s="1"/>
      <c r="H919" s="1"/>
      <c r="O919" s="1"/>
      <c r="V919" s="1"/>
      <c r="AC919" s="1"/>
      <c r="AJ919" s="1"/>
      <c r="AQ919" s="1"/>
      <c r="AX919" s="1"/>
    </row>
    <row r="920" spans="1:50" x14ac:dyDescent="0.25">
      <c r="A920" s="1"/>
      <c r="H920" s="1"/>
      <c r="O920" s="1"/>
      <c r="V920" s="1"/>
      <c r="AC920" s="1"/>
      <c r="AJ920" s="1"/>
      <c r="AQ920" s="1"/>
      <c r="AX920" s="1"/>
    </row>
    <row r="921" spans="1:50" x14ac:dyDescent="0.25">
      <c r="A921" s="1"/>
      <c r="H921" s="1"/>
      <c r="O921" s="1"/>
      <c r="V921" s="1"/>
      <c r="AC921" s="1"/>
      <c r="AJ921" s="1"/>
      <c r="AQ921" s="1"/>
      <c r="AX921" s="1"/>
    </row>
    <row r="922" spans="1:50" x14ac:dyDescent="0.25">
      <c r="A922" s="1"/>
      <c r="H922" s="1"/>
      <c r="O922" s="1"/>
      <c r="V922" s="1"/>
      <c r="AC922" s="1"/>
      <c r="AJ922" s="1"/>
      <c r="AQ922" s="1"/>
      <c r="AX922" s="1"/>
    </row>
    <row r="923" spans="1:50" x14ac:dyDescent="0.25">
      <c r="A923" s="1"/>
      <c r="H923" s="1"/>
      <c r="O923" s="1"/>
      <c r="V923" s="1"/>
      <c r="AC923" s="1"/>
      <c r="AJ923" s="1"/>
      <c r="AQ923" s="1"/>
      <c r="AX923" s="1"/>
    </row>
    <row r="924" spans="1:50" x14ac:dyDescent="0.25">
      <c r="A924" s="1"/>
      <c r="H924" s="1"/>
      <c r="O924" s="1"/>
      <c r="V924" s="1"/>
      <c r="AC924" s="1"/>
      <c r="AJ924" s="1"/>
      <c r="AQ924" s="1"/>
      <c r="AX924" s="1"/>
    </row>
    <row r="925" spans="1:50" x14ac:dyDescent="0.25">
      <c r="A925" s="1"/>
      <c r="H925" s="1"/>
      <c r="O925" s="1"/>
      <c r="V925" s="1"/>
      <c r="AC925" s="1"/>
      <c r="AJ925" s="1"/>
      <c r="AQ925" s="1"/>
      <c r="AX925" s="1"/>
    </row>
    <row r="926" spans="1:50" x14ac:dyDescent="0.25">
      <c r="A926" s="1"/>
      <c r="H926" s="1"/>
      <c r="O926" s="1"/>
      <c r="V926" s="1"/>
      <c r="AC926" s="1"/>
      <c r="AJ926" s="1"/>
      <c r="AQ926" s="1"/>
      <c r="AX926" s="1"/>
    </row>
    <row r="927" spans="1:50" x14ac:dyDescent="0.25">
      <c r="A927" s="1"/>
      <c r="H927" s="1"/>
      <c r="O927" s="1"/>
      <c r="V927" s="1"/>
      <c r="AC927" s="1"/>
      <c r="AJ927" s="1"/>
      <c r="AQ927" s="1"/>
      <c r="AX927" s="1"/>
    </row>
    <row r="928" spans="1:50" x14ac:dyDescent="0.25">
      <c r="A928" s="1"/>
      <c r="H928" s="1"/>
      <c r="O928" s="1"/>
      <c r="V928" s="1"/>
      <c r="AC928" s="1"/>
      <c r="AJ928" s="1"/>
      <c r="AQ928" s="1"/>
      <c r="AX928" s="1"/>
    </row>
    <row r="929" spans="1:50" x14ac:dyDescent="0.25">
      <c r="A929" s="1"/>
      <c r="H929" s="1"/>
      <c r="O929" s="1"/>
      <c r="V929" s="1"/>
      <c r="AC929" s="1"/>
      <c r="AJ929" s="1"/>
      <c r="AQ929" s="1"/>
      <c r="AX929" s="1"/>
    </row>
    <row r="930" spans="1:50" x14ac:dyDescent="0.25">
      <c r="A930" s="1"/>
      <c r="H930" s="1"/>
      <c r="O930" s="1"/>
      <c r="V930" s="1"/>
      <c r="AC930" s="1"/>
      <c r="AJ930" s="1"/>
      <c r="AQ930" s="1"/>
      <c r="AX930" s="1"/>
    </row>
    <row r="931" spans="1:50" x14ac:dyDescent="0.25">
      <c r="A931" s="1"/>
      <c r="H931" s="1"/>
      <c r="O931" s="1"/>
      <c r="V931" s="1"/>
      <c r="AC931" s="1"/>
      <c r="AJ931" s="1"/>
      <c r="AQ931" s="1"/>
      <c r="AX931" s="1"/>
    </row>
    <row r="932" spans="1:50" x14ac:dyDescent="0.25">
      <c r="A932" s="1"/>
      <c r="H932" s="1"/>
      <c r="O932" s="1"/>
      <c r="V932" s="1"/>
      <c r="AC932" s="1"/>
      <c r="AJ932" s="1"/>
      <c r="AQ932" s="1"/>
      <c r="AX932" s="1"/>
    </row>
    <row r="933" spans="1:50" x14ac:dyDescent="0.25">
      <c r="A933" s="1"/>
      <c r="H933" s="1"/>
      <c r="O933" s="1"/>
      <c r="V933" s="1"/>
      <c r="AC933" s="1"/>
      <c r="AJ933" s="1"/>
      <c r="AQ933" s="1"/>
      <c r="AX933" s="1"/>
    </row>
    <row r="934" spans="1:50" x14ac:dyDescent="0.25">
      <c r="A934" s="1"/>
      <c r="H934" s="1"/>
      <c r="O934" s="1"/>
      <c r="V934" s="1"/>
      <c r="AC934" s="1"/>
      <c r="AJ934" s="1"/>
      <c r="AQ934" s="1"/>
      <c r="AX934" s="1"/>
    </row>
    <row r="935" spans="1:50" x14ac:dyDescent="0.25">
      <c r="A935" s="1"/>
      <c r="H935" s="1"/>
      <c r="O935" s="1"/>
      <c r="V935" s="1"/>
      <c r="AC935" s="1"/>
      <c r="AJ935" s="1"/>
      <c r="AQ935" s="1"/>
      <c r="AX935" s="1"/>
    </row>
    <row r="936" spans="1:50" x14ac:dyDescent="0.25">
      <c r="A936" s="1"/>
      <c r="H936" s="1"/>
      <c r="O936" s="1"/>
      <c r="V936" s="1"/>
      <c r="AC936" s="1"/>
      <c r="AJ936" s="1"/>
      <c r="AQ936" s="1"/>
      <c r="AX936" s="1"/>
    </row>
    <row r="937" spans="1:50" x14ac:dyDescent="0.25">
      <c r="A937" s="1"/>
      <c r="H937" s="1"/>
      <c r="O937" s="1"/>
      <c r="V937" s="1"/>
      <c r="AC937" s="1"/>
      <c r="AJ937" s="1"/>
      <c r="AQ937" s="1"/>
      <c r="AX937" s="1"/>
    </row>
    <row r="938" spans="1:50" x14ac:dyDescent="0.25">
      <c r="A938" s="1"/>
      <c r="H938" s="1"/>
      <c r="O938" s="1"/>
      <c r="V938" s="1"/>
      <c r="AC938" s="1"/>
      <c r="AJ938" s="1"/>
      <c r="AQ938" s="1"/>
      <c r="AX938" s="1"/>
    </row>
    <row r="939" spans="1:50" x14ac:dyDescent="0.25">
      <c r="A939" s="1"/>
      <c r="H939" s="1"/>
      <c r="O939" s="1"/>
      <c r="V939" s="1"/>
      <c r="AC939" s="1"/>
      <c r="AJ939" s="1"/>
      <c r="AQ939" s="1"/>
      <c r="AX939" s="1"/>
    </row>
    <row r="940" spans="1:50" x14ac:dyDescent="0.25">
      <c r="A940" s="1"/>
      <c r="H940" s="1"/>
      <c r="O940" s="1"/>
      <c r="V940" s="1"/>
      <c r="AC940" s="1"/>
      <c r="AJ940" s="1"/>
      <c r="AQ940" s="1"/>
      <c r="AX940" s="1"/>
    </row>
    <row r="941" spans="1:50" x14ac:dyDescent="0.25">
      <c r="A941" s="1"/>
      <c r="H941" s="1"/>
      <c r="O941" s="1"/>
      <c r="V941" s="1"/>
      <c r="AC941" s="1"/>
      <c r="AJ941" s="1"/>
      <c r="AQ941" s="1"/>
      <c r="AX941" s="1"/>
    </row>
    <row r="942" spans="1:50" x14ac:dyDescent="0.25">
      <c r="A942" s="1"/>
      <c r="H942" s="1"/>
      <c r="O942" s="1"/>
      <c r="V942" s="1"/>
      <c r="AC942" s="1"/>
      <c r="AJ942" s="1"/>
      <c r="AQ942" s="1"/>
      <c r="AX942" s="1"/>
    </row>
    <row r="943" spans="1:50" x14ac:dyDescent="0.25">
      <c r="A943" s="1"/>
      <c r="H943" s="1"/>
      <c r="O943" s="1"/>
      <c r="V943" s="1"/>
      <c r="AC943" s="1"/>
      <c r="AJ943" s="1"/>
      <c r="AQ943" s="1"/>
      <c r="AX943" s="1"/>
    </row>
    <row r="944" spans="1:50" x14ac:dyDescent="0.25">
      <c r="A944" s="1"/>
      <c r="H944" s="1"/>
      <c r="O944" s="1"/>
      <c r="V944" s="1"/>
      <c r="AC944" s="1"/>
      <c r="AJ944" s="1"/>
      <c r="AQ944" s="1"/>
      <c r="AX944" s="1"/>
    </row>
    <row r="945" spans="1:50" x14ac:dyDescent="0.25">
      <c r="A945" s="1"/>
      <c r="H945" s="1"/>
      <c r="O945" s="1"/>
      <c r="V945" s="1"/>
      <c r="AC945" s="1"/>
      <c r="AJ945" s="1"/>
      <c r="AQ945" s="1"/>
      <c r="AX945" s="1"/>
    </row>
    <row r="946" spans="1:50" x14ac:dyDescent="0.25">
      <c r="A946" s="1"/>
      <c r="H946" s="1"/>
      <c r="O946" s="1"/>
      <c r="V946" s="1"/>
      <c r="AC946" s="1"/>
      <c r="AJ946" s="1"/>
      <c r="AQ946" s="1"/>
      <c r="AX946" s="1"/>
    </row>
    <row r="947" spans="1:50" x14ac:dyDescent="0.25">
      <c r="A947" s="1"/>
      <c r="H947" s="1"/>
      <c r="O947" s="1"/>
      <c r="V947" s="1"/>
      <c r="AC947" s="1"/>
      <c r="AJ947" s="1"/>
      <c r="AQ947" s="1"/>
      <c r="AX947" s="1"/>
    </row>
    <row r="948" spans="1:50" x14ac:dyDescent="0.25">
      <c r="A948" s="1"/>
      <c r="H948" s="1"/>
      <c r="O948" s="1"/>
      <c r="V948" s="1"/>
      <c r="AC948" s="1"/>
      <c r="AJ948" s="1"/>
      <c r="AQ948" s="1"/>
      <c r="AX948" s="1"/>
    </row>
    <row r="949" spans="1:50" x14ac:dyDescent="0.25">
      <c r="A949" s="1"/>
      <c r="H949" s="1"/>
      <c r="O949" s="1"/>
      <c r="V949" s="1"/>
      <c r="AC949" s="1"/>
      <c r="AJ949" s="1"/>
      <c r="AQ949" s="1"/>
      <c r="AX949" s="1"/>
    </row>
    <row r="950" spans="1:50" x14ac:dyDescent="0.25">
      <c r="A950" s="1"/>
      <c r="H950" s="1"/>
      <c r="O950" s="1"/>
      <c r="V950" s="1"/>
      <c r="AC950" s="1"/>
      <c r="AJ950" s="1"/>
      <c r="AQ950" s="1"/>
      <c r="AX950" s="1"/>
    </row>
    <row r="951" spans="1:50" x14ac:dyDescent="0.25">
      <c r="A951" s="1"/>
      <c r="H951" s="1"/>
      <c r="O951" s="1"/>
      <c r="V951" s="1"/>
      <c r="AC951" s="1"/>
      <c r="AJ951" s="1"/>
      <c r="AQ951" s="1"/>
      <c r="AX951" s="1"/>
    </row>
    <row r="952" spans="1:50" x14ac:dyDescent="0.25">
      <c r="A952" s="1"/>
      <c r="H952" s="1"/>
      <c r="O952" s="1"/>
      <c r="V952" s="1"/>
      <c r="AC952" s="1"/>
      <c r="AJ952" s="1"/>
      <c r="AQ952" s="1"/>
      <c r="AX952" s="1"/>
    </row>
    <row r="953" spans="1:50" x14ac:dyDescent="0.25">
      <c r="A953" s="1"/>
      <c r="H953" s="1"/>
      <c r="O953" s="1"/>
      <c r="V953" s="1"/>
      <c r="AC953" s="1"/>
      <c r="AJ953" s="1"/>
      <c r="AQ953" s="1"/>
      <c r="AX953" s="1"/>
    </row>
    <row r="954" spans="1:50" x14ac:dyDescent="0.25">
      <c r="A954" s="1"/>
      <c r="H954" s="1"/>
      <c r="O954" s="1"/>
      <c r="V954" s="1"/>
      <c r="AC954" s="1"/>
      <c r="AJ954" s="1"/>
      <c r="AQ954" s="1"/>
      <c r="AX954" s="1"/>
    </row>
    <row r="955" spans="1:50" x14ac:dyDescent="0.25">
      <c r="A955" s="1"/>
      <c r="H955" s="1"/>
      <c r="O955" s="1"/>
      <c r="V955" s="1"/>
      <c r="AC955" s="1"/>
      <c r="AJ955" s="1"/>
      <c r="AQ955" s="1"/>
      <c r="AX955" s="1"/>
    </row>
    <row r="956" spans="1:50" x14ac:dyDescent="0.25">
      <c r="A956" s="1"/>
      <c r="H956" s="1"/>
      <c r="O956" s="1"/>
      <c r="V956" s="1"/>
      <c r="AC956" s="1"/>
      <c r="AJ956" s="1"/>
      <c r="AQ956" s="1"/>
      <c r="AX956" s="1"/>
    </row>
    <row r="957" spans="1:50" x14ac:dyDescent="0.25">
      <c r="A957" s="1"/>
      <c r="H957" s="1"/>
      <c r="O957" s="1"/>
      <c r="V957" s="1"/>
      <c r="AC957" s="1"/>
      <c r="AJ957" s="1"/>
      <c r="AQ957" s="1"/>
      <c r="AX957" s="1"/>
    </row>
    <row r="958" spans="1:50" x14ac:dyDescent="0.25">
      <c r="A958" s="1"/>
      <c r="H958" s="1"/>
      <c r="O958" s="1"/>
      <c r="V958" s="1"/>
      <c r="AC958" s="1"/>
      <c r="AJ958" s="1"/>
      <c r="AQ958" s="1"/>
      <c r="AX958" s="1"/>
    </row>
    <row r="959" spans="1:50" x14ac:dyDescent="0.25">
      <c r="A959" s="1"/>
      <c r="H959" s="1"/>
      <c r="O959" s="1"/>
      <c r="V959" s="1"/>
      <c r="AC959" s="1"/>
      <c r="AJ959" s="1"/>
      <c r="AQ959" s="1"/>
      <c r="AX959" s="1"/>
    </row>
    <row r="960" spans="1:50" x14ac:dyDescent="0.25">
      <c r="A960" s="1"/>
      <c r="H960" s="1"/>
      <c r="O960" s="1"/>
      <c r="V960" s="1"/>
      <c r="AC960" s="1"/>
      <c r="AJ960" s="1"/>
      <c r="AQ960" s="1"/>
      <c r="AX960" s="1"/>
    </row>
    <row r="961" spans="1:50" x14ac:dyDescent="0.25">
      <c r="A961" s="1"/>
      <c r="H961" s="1"/>
      <c r="O961" s="1"/>
      <c r="V961" s="1"/>
      <c r="AC961" s="1"/>
      <c r="AJ961" s="1"/>
      <c r="AQ961" s="1"/>
      <c r="AX961" s="1"/>
    </row>
    <row r="962" spans="1:50" x14ac:dyDescent="0.25">
      <c r="A962" s="1"/>
      <c r="H962" s="1"/>
      <c r="O962" s="1"/>
      <c r="V962" s="1"/>
      <c r="AC962" s="1"/>
      <c r="AJ962" s="1"/>
      <c r="AQ962" s="1"/>
      <c r="AX962" s="1"/>
    </row>
    <row r="963" spans="1:50" x14ac:dyDescent="0.25">
      <c r="A963" s="1"/>
      <c r="H963" s="1"/>
      <c r="O963" s="1"/>
      <c r="V963" s="1"/>
      <c r="AC963" s="1"/>
      <c r="AJ963" s="1"/>
      <c r="AQ963" s="1"/>
      <c r="AX963" s="1"/>
    </row>
    <row r="964" spans="1:50" x14ac:dyDescent="0.25">
      <c r="A964" s="1"/>
      <c r="H964" s="1"/>
      <c r="O964" s="1"/>
      <c r="V964" s="1"/>
      <c r="AC964" s="1"/>
      <c r="AJ964" s="1"/>
      <c r="AQ964" s="1"/>
      <c r="AX964" s="1"/>
    </row>
    <row r="965" spans="1:50" x14ac:dyDescent="0.25">
      <c r="A965" s="1"/>
      <c r="H965" s="1"/>
      <c r="O965" s="1"/>
      <c r="V965" s="1"/>
      <c r="AC965" s="1"/>
      <c r="AJ965" s="1"/>
      <c r="AQ965" s="1"/>
      <c r="AX965" s="1"/>
    </row>
    <row r="966" spans="1:50" x14ac:dyDescent="0.25">
      <c r="A966" s="1"/>
      <c r="H966" s="1"/>
      <c r="O966" s="1"/>
      <c r="V966" s="1"/>
      <c r="AC966" s="1"/>
      <c r="AJ966" s="1"/>
      <c r="AQ966" s="1"/>
      <c r="AX966" s="1"/>
    </row>
    <row r="967" spans="1:50" x14ac:dyDescent="0.25">
      <c r="A967" s="1"/>
      <c r="H967" s="1"/>
      <c r="O967" s="1"/>
      <c r="V967" s="1"/>
      <c r="AC967" s="1"/>
      <c r="AJ967" s="1"/>
      <c r="AQ967" s="1"/>
      <c r="AX967" s="1"/>
    </row>
    <row r="968" spans="1:50" x14ac:dyDescent="0.25">
      <c r="A968" s="1"/>
      <c r="H968" s="1"/>
      <c r="O968" s="1"/>
      <c r="V968" s="1"/>
      <c r="AC968" s="1"/>
      <c r="AJ968" s="1"/>
      <c r="AQ968" s="1"/>
      <c r="AX968" s="1"/>
    </row>
    <row r="969" spans="1:50" x14ac:dyDescent="0.25">
      <c r="A969" s="1"/>
      <c r="H969" s="1"/>
      <c r="O969" s="1"/>
      <c r="V969" s="1"/>
      <c r="AC969" s="1"/>
      <c r="AJ969" s="1"/>
      <c r="AQ969" s="1"/>
      <c r="AX969" s="1"/>
    </row>
    <row r="970" spans="1:50" x14ac:dyDescent="0.25">
      <c r="A970" s="1"/>
      <c r="H970" s="1"/>
      <c r="O970" s="1"/>
      <c r="V970" s="1"/>
      <c r="AC970" s="1"/>
      <c r="AJ970" s="1"/>
      <c r="AQ970" s="1"/>
      <c r="AX970" s="1"/>
    </row>
    <row r="971" spans="1:50" x14ac:dyDescent="0.25">
      <c r="A971" s="1"/>
      <c r="H971" s="1"/>
      <c r="O971" s="1"/>
      <c r="V971" s="1"/>
      <c r="AC971" s="1"/>
      <c r="AJ971" s="1"/>
      <c r="AQ971" s="1"/>
      <c r="AX971" s="1"/>
    </row>
    <row r="972" spans="1:50" x14ac:dyDescent="0.25">
      <c r="A972" s="1"/>
      <c r="H972" s="1"/>
      <c r="O972" s="1"/>
      <c r="V972" s="1"/>
      <c r="AC972" s="1"/>
      <c r="AJ972" s="1"/>
      <c r="AQ972" s="1"/>
      <c r="AX972" s="1"/>
    </row>
    <row r="973" spans="1:50" x14ac:dyDescent="0.25">
      <c r="A973" s="1"/>
      <c r="H973" s="1"/>
      <c r="O973" s="1"/>
      <c r="V973" s="1"/>
      <c r="AC973" s="1"/>
      <c r="AJ973" s="1"/>
      <c r="AQ973" s="1"/>
      <c r="AX973" s="1"/>
    </row>
    <row r="974" spans="1:50" x14ac:dyDescent="0.25">
      <c r="A974" s="1"/>
      <c r="H974" s="1"/>
      <c r="O974" s="1"/>
      <c r="V974" s="1"/>
      <c r="AC974" s="1"/>
      <c r="AJ974" s="1"/>
      <c r="AQ974" s="1"/>
      <c r="AX974" s="1"/>
    </row>
    <row r="975" spans="1:50" x14ac:dyDescent="0.25">
      <c r="A975" s="1"/>
      <c r="H975" s="1"/>
      <c r="O975" s="1"/>
      <c r="V975" s="1"/>
      <c r="AC975" s="1"/>
      <c r="AJ975" s="1"/>
      <c r="AQ975" s="1"/>
      <c r="AX975" s="1"/>
    </row>
    <row r="976" spans="1:50" x14ac:dyDescent="0.25">
      <c r="A976" s="1"/>
      <c r="H976" s="1"/>
      <c r="O976" s="1"/>
      <c r="V976" s="1"/>
      <c r="AC976" s="1"/>
      <c r="AJ976" s="1"/>
      <c r="AQ976" s="1"/>
      <c r="AX976" s="1"/>
    </row>
    <row r="977" spans="1:50" x14ac:dyDescent="0.25">
      <c r="A977" s="1"/>
      <c r="H977" s="1"/>
      <c r="O977" s="1"/>
      <c r="V977" s="1"/>
      <c r="AC977" s="1"/>
      <c r="AJ977" s="1"/>
      <c r="AQ977" s="1"/>
      <c r="AX977" s="1"/>
    </row>
    <row r="978" spans="1:50" x14ac:dyDescent="0.25">
      <c r="A978" s="1"/>
      <c r="H978" s="1"/>
      <c r="O978" s="1"/>
      <c r="V978" s="1"/>
      <c r="AC978" s="1"/>
      <c r="AJ978" s="1"/>
      <c r="AQ978" s="1"/>
      <c r="AX978" s="1"/>
    </row>
    <row r="979" spans="1:50" x14ac:dyDescent="0.25">
      <c r="A979" s="1"/>
      <c r="H979" s="1"/>
      <c r="O979" s="1"/>
      <c r="V979" s="1"/>
      <c r="AC979" s="1"/>
      <c r="AJ979" s="1"/>
      <c r="AQ979" s="1"/>
      <c r="AX979" s="1"/>
    </row>
    <row r="980" spans="1:50" x14ac:dyDescent="0.25">
      <c r="A980" s="1"/>
      <c r="H980" s="1"/>
      <c r="O980" s="1"/>
      <c r="V980" s="1"/>
      <c r="AC980" s="1"/>
      <c r="AJ980" s="1"/>
      <c r="AQ980" s="1"/>
      <c r="AX980" s="1"/>
    </row>
    <row r="981" spans="1:50" x14ac:dyDescent="0.25">
      <c r="A981" s="1"/>
      <c r="H981" s="1"/>
      <c r="O981" s="1"/>
      <c r="V981" s="1"/>
      <c r="AC981" s="1"/>
      <c r="AJ981" s="1"/>
      <c r="AQ981" s="1"/>
      <c r="AX981" s="1"/>
    </row>
    <row r="982" spans="1:50" x14ac:dyDescent="0.25">
      <c r="A982" s="1"/>
      <c r="H982" s="1"/>
      <c r="O982" s="1"/>
      <c r="V982" s="1"/>
      <c r="AC982" s="1"/>
      <c r="AJ982" s="1"/>
      <c r="AQ982" s="1"/>
      <c r="AX982" s="1"/>
    </row>
    <row r="983" spans="1:50" x14ac:dyDescent="0.25">
      <c r="A983" s="1"/>
      <c r="H983" s="1"/>
      <c r="O983" s="1"/>
      <c r="V983" s="1"/>
      <c r="AC983" s="1"/>
      <c r="AJ983" s="1"/>
      <c r="AQ983" s="1"/>
      <c r="AX983" s="1"/>
    </row>
    <row r="984" spans="1:50" x14ac:dyDescent="0.25">
      <c r="A984" s="1"/>
      <c r="H984" s="1"/>
      <c r="O984" s="1"/>
      <c r="V984" s="1"/>
      <c r="AC984" s="1"/>
      <c r="AJ984" s="1"/>
      <c r="AQ984" s="1"/>
      <c r="AX984" s="1"/>
    </row>
    <row r="985" spans="1:50" x14ac:dyDescent="0.25">
      <c r="A985" s="1"/>
      <c r="H985" s="1"/>
      <c r="O985" s="1"/>
      <c r="V985" s="1"/>
      <c r="AC985" s="1"/>
      <c r="AJ985" s="1"/>
      <c r="AQ985" s="1"/>
      <c r="AX985" s="1"/>
    </row>
    <row r="986" spans="1:50" x14ac:dyDescent="0.25">
      <c r="A986" s="1"/>
      <c r="H986" s="1"/>
      <c r="O986" s="1"/>
      <c r="V986" s="1"/>
      <c r="AC986" s="1"/>
      <c r="AJ986" s="1"/>
      <c r="AQ986" s="1"/>
      <c r="AX986" s="1"/>
    </row>
    <row r="987" spans="1:50" x14ac:dyDescent="0.25">
      <c r="A987" s="1"/>
      <c r="H987" s="1"/>
      <c r="O987" s="1"/>
      <c r="V987" s="1"/>
      <c r="AC987" s="1"/>
      <c r="AJ987" s="1"/>
      <c r="AQ987" s="1"/>
      <c r="AX987" s="1"/>
    </row>
    <row r="988" spans="1:50" x14ac:dyDescent="0.25">
      <c r="A988" s="1"/>
      <c r="H988" s="1"/>
      <c r="O988" s="1"/>
      <c r="V988" s="1"/>
      <c r="AC988" s="1"/>
      <c r="AJ988" s="1"/>
      <c r="AQ988" s="1"/>
      <c r="AX988" s="1"/>
    </row>
    <row r="989" spans="1:50" x14ac:dyDescent="0.25">
      <c r="A989" s="1"/>
      <c r="H989" s="1"/>
      <c r="O989" s="1"/>
      <c r="V989" s="1"/>
      <c r="AC989" s="1"/>
      <c r="AJ989" s="1"/>
      <c r="AQ989" s="1"/>
      <c r="AX989" s="1"/>
    </row>
    <row r="990" spans="1:50" x14ac:dyDescent="0.25">
      <c r="A990" s="1"/>
      <c r="H990" s="1"/>
      <c r="O990" s="1"/>
      <c r="V990" s="1"/>
      <c r="AC990" s="1"/>
      <c r="AJ990" s="1"/>
      <c r="AQ990" s="1"/>
      <c r="AX990" s="1"/>
    </row>
    <row r="991" spans="1:50" x14ac:dyDescent="0.25">
      <c r="A991" s="1"/>
      <c r="H991" s="1"/>
      <c r="O991" s="1"/>
      <c r="V991" s="1"/>
      <c r="AC991" s="1"/>
      <c r="AJ991" s="1"/>
      <c r="AQ991" s="1"/>
      <c r="AX991" s="1"/>
    </row>
    <row r="992" spans="1:50" x14ac:dyDescent="0.25">
      <c r="A992" s="1"/>
      <c r="H992" s="1"/>
      <c r="O992" s="1"/>
      <c r="V992" s="1"/>
      <c r="AC992" s="1"/>
      <c r="AJ992" s="1"/>
      <c r="AQ992" s="1"/>
      <c r="AX992" s="1"/>
    </row>
    <row r="993" spans="1:50" x14ac:dyDescent="0.25">
      <c r="A993" s="1"/>
      <c r="H993" s="1"/>
      <c r="O993" s="1"/>
      <c r="V993" s="1"/>
      <c r="AC993" s="1"/>
      <c r="AJ993" s="1"/>
      <c r="AQ993" s="1"/>
      <c r="AX993" s="1"/>
    </row>
    <row r="994" spans="1:50" x14ac:dyDescent="0.25">
      <c r="A994" s="1"/>
      <c r="H994" s="1"/>
      <c r="O994" s="1"/>
      <c r="V994" s="1"/>
      <c r="AC994" s="1"/>
      <c r="AJ994" s="1"/>
      <c r="AQ994" s="1"/>
      <c r="AX994" s="1"/>
    </row>
    <row r="995" spans="1:50" x14ac:dyDescent="0.25">
      <c r="A995" s="1"/>
      <c r="H995" s="1"/>
      <c r="O995" s="1"/>
      <c r="V995" s="1"/>
      <c r="AC995" s="1"/>
      <c r="AJ995" s="1"/>
      <c r="AQ995" s="1"/>
      <c r="AX995" s="1"/>
    </row>
    <row r="996" spans="1:50" x14ac:dyDescent="0.25">
      <c r="A996" s="1"/>
      <c r="H996" s="1"/>
      <c r="O996" s="1"/>
      <c r="V996" s="1"/>
      <c r="AC996" s="1"/>
      <c r="AJ996" s="1"/>
      <c r="AQ996" s="1"/>
      <c r="AX996" s="1"/>
    </row>
    <row r="997" spans="1:50" x14ac:dyDescent="0.25">
      <c r="A997" s="1"/>
      <c r="H997" s="1"/>
      <c r="O997" s="1"/>
      <c r="V997" s="1"/>
      <c r="AC997" s="1"/>
      <c r="AJ997" s="1"/>
      <c r="AQ997" s="1"/>
      <c r="AX997" s="1"/>
    </row>
    <row r="998" spans="1:50" x14ac:dyDescent="0.25">
      <c r="A998" s="1"/>
      <c r="H998" s="1"/>
      <c r="O998" s="1"/>
      <c r="V998" s="1"/>
      <c r="AC998" s="1"/>
      <c r="AJ998" s="1"/>
      <c r="AQ998" s="1"/>
      <c r="AX998" s="1"/>
    </row>
    <row r="999" spans="1:50" x14ac:dyDescent="0.25">
      <c r="A999" s="1"/>
      <c r="H999" s="1"/>
      <c r="O999" s="1"/>
      <c r="V999" s="1"/>
      <c r="AC999" s="1"/>
      <c r="AJ999" s="1"/>
      <c r="AQ999" s="1"/>
      <c r="AX999" s="1"/>
    </row>
    <row r="1000" spans="1:50" x14ac:dyDescent="0.25">
      <c r="A1000" s="1"/>
      <c r="H1000" s="1"/>
      <c r="O1000" s="1"/>
      <c r="V1000" s="1"/>
      <c r="AC1000" s="1"/>
      <c r="AJ1000" s="1"/>
      <c r="AQ1000" s="1"/>
      <c r="AX1000" s="1"/>
    </row>
    <row r="1001" spans="1:50" x14ac:dyDescent="0.25">
      <c r="A1001" s="1"/>
      <c r="H1001" s="1"/>
      <c r="O1001" s="1"/>
      <c r="V1001" s="1"/>
      <c r="AC1001" s="1"/>
      <c r="AJ1001" s="1"/>
      <c r="AQ1001" s="1"/>
      <c r="AX1001" s="1"/>
    </row>
    <row r="1002" spans="1:50" x14ac:dyDescent="0.25">
      <c r="A1002" s="1"/>
      <c r="H1002" s="1"/>
      <c r="O1002" s="1"/>
      <c r="V1002" s="1"/>
      <c r="AC1002" s="1"/>
      <c r="AJ1002" s="1"/>
      <c r="AQ1002" s="1"/>
      <c r="AX1002" s="1"/>
    </row>
    <row r="1003" spans="1:50" x14ac:dyDescent="0.25">
      <c r="A1003" s="1"/>
      <c r="H1003" s="1"/>
      <c r="O1003" s="1"/>
      <c r="V1003" s="1"/>
      <c r="AC1003" s="1"/>
      <c r="AJ1003" s="1"/>
      <c r="AQ1003" s="1"/>
      <c r="AX1003" s="1"/>
    </row>
    <row r="1004" spans="1:50" x14ac:dyDescent="0.25">
      <c r="A1004" s="1"/>
      <c r="H1004" s="1"/>
      <c r="O1004" s="1"/>
      <c r="V1004" s="1"/>
      <c r="AC1004" s="1"/>
      <c r="AJ1004" s="1"/>
      <c r="AQ1004" s="1"/>
      <c r="AX1004" s="1"/>
    </row>
    <row r="1005" spans="1:50" x14ac:dyDescent="0.25">
      <c r="A1005" s="1"/>
      <c r="H1005" s="1"/>
      <c r="O1005" s="1"/>
      <c r="V1005" s="1"/>
      <c r="AC1005" s="1"/>
      <c r="AJ1005" s="1"/>
      <c r="AQ1005" s="1"/>
      <c r="AX1005" s="1"/>
    </row>
    <row r="1006" spans="1:50" x14ac:dyDescent="0.25">
      <c r="A1006" s="1"/>
      <c r="H1006" s="1"/>
      <c r="O1006" s="1"/>
      <c r="V1006" s="1"/>
      <c r="AC1006" s="1"/>
      <c r="AJ1006" s="1"/>
      <c r="AQ1006" s="1"/>
      <c r="AX1006" s="1"/>
    </row>
    <row r="1007" spans="1:50" x14ac:dyDescent="0.25">
      <c r="A1007" s="1"/>
      <c r="H1007" s="1"/>
      <c r="O1007" s="1"/>
      <c r="V1007" s="1"/>
      <c r="AC1007" s="1"/>
      <c r="AJ1007" s="1"/>
      <c r="AQ1007" s="1"/>
      <c r="AX1007" s="1"/>
    </row>
    <row r="1008" spans="1:50" x14ac:dyDescent="0.25">
      <c r="A1008" s="1"/>
      <c r="H1008" s="1"/>
      <c r="O1008" s="1"/>
      <c r="V1008" s="1"/>
      <c r="AC1008" s="1"/>
      <c r="AJ1008" s="1"/>
      <c r="AQ1008" s="1"/>
      <c r="AX1008" s="1"/>
    </row>
    <row r="1009" spans="1:50" x14ac:dyDescent="0.25">
      <c r="A1009" s="1"/>
      <c r="H1009" s="1"/>
      <c r="O1009" s="1"/>
      <c r="V1009" s="1"/>
      <c r="AC1009" s="1"/>
      <c r="AJ1009" s="1"/>
      <c r="AQ1009" s="1"/>
      <c r="AX1009" s="1"/>
    </row>
    <row r="1010" spans="1:50" x14ac:dyDescent="0.25">
      <c r="A1010" s="1"/>
      <c r="H1010" s="1"/>
      <c r="O1010" s="1"/>
      <c r="V1010" s="1"/>
      <c r="AC1010" s="1"/>
      <c r="AJ1010" s="1"/>
      <c r="AQ1010" s="1"/>
      <c r="AX1010" s="1"/>
    </row>
    <row r="1011" spans="1:50" x14ac:dyDescent="0.25">
      <c r="A1011" s="1"/>
      <c r="H1011" s="1"/>
      <c r="O1011" s="1"/>
      <c r="V1011" s="1"/>
      <c r="AC1011" s="1"/>
      <c r="AJ1011" s="1"/>
      <c r="AQ1011" s="1"/>
      <c r="AX1011" s="1"/>
    </row>
    <row r="1012" spans="1:50" x14ac:dyDescent="0.25">
      <c r="A1012" s="1"/>
      <c r="H1012" s="1"/>
      <c r="O1012" s="1"/>
      <c r="V1012" s="1"/>
      <c r="AC1012" s="1"/>
      <c r="AJ1012" s="1"/>
      <c r="AQ1012" s="1"/>
      <c r="AX1012" s="1"/>
    </row>
    <row r="1013" spans="1:50" x14ac:dyDescent="0.25">
      <c r="A1013" s="1"/>
      <c r="H1013" s="1"/>
      <c r="O1013" s="1"/>
      <c r="V1013" s="1"/>
      <c r="AC1013" s="1"/>
      <c r="AJ1013" s="1"/>
      <c r="AQ1013" s="1"/>
      <c r="AX1013" s="1"/>
    </row>
    <row r="1014" spans="1:50" x14ac:dyDescent="0.25">
      <c r="A1014" s="1"/>
      <c r="H1014" s="1"/>
      <c r="O1014" s="1"/>
      <c r="V1014" s="1"/>
      <c r="AC1014" s="1"/>
      <c r="AJ1014" s="1"/>
      <c r="AQ1014" s="1"/>
      <c r="AX1014" s="1"/>
    </row>
    <row r="1015" spans="1:50" x14ac:dyDescent="0.25">
      <c r="A1015" s="1"/>
      <c r="H1015" s="1"/>
      <c r="O1015" s="1"/>
      <c r="V1015" s="1"/>
      <c r="AC1015" s="1"/>
      <c r="AJ1015" s="1"/>
      <c r="AQ1015" s="1"/>
      <c r="AX1015" s="1"/>
    </row>
    <row r="1016" spans="1:50" x14ac:dyDescent="0.25">
      <c r="A1016" s="1"/>
      <c r="H1016" s="1"/>
      <c r="O1016" s="1"/>
      <c r="V1016" s="1"/>
      <c r="AC1016" s="1"/>
      <c r="AJ1016" s="1"/>
      <c r="AQ1016" s="1"/>
      <c r="AX1016" s="1"/>
    </row>
    <row r="1017" spans="1:50" x14ac:dyDescent="0.25">
      <c r="A1017" s="1"/>
      <c r="H1017" s="1"/>
      <c r="O1017" s="1"/>
      <c r="V1017" s="1"/>
      <c r="AC1017" s="1"/>
      <c r="AJ1017" s="1"/>
      <c r="AQ1017" s="1"/>
      <c r="AX1017" s="1"/>
    </row>
    <row r="1018" spans="1:50" x14ac:dyDescent="0.25">
      <c r="A1018" s="1"/>
      <c r="H1018" s="1"/>
      <c r="O1018" s="1"/>
      <c r="V1018" s="1"/>
      <c r="AC1018" s="1"/>
      <c r="AJ1018" s="1"/>
      <c r="AQ1018" s="1"/>
      <c r="AX1018" s="1"/>
    </row>
    <row r="1019" spans="1:50" x14ac:dyDescent="0.25">
      <c r="A1019" s="1"/>
      <c r="H1019" s="1"/>
      <c r="O1019" s="1"/>
      <c r="V1019" s="1"/>
      <c r="AC1019" s="1"/>
      <c r="AJ1019" s="1"/>
      <c r="AQ1019" s="1"/>
      <c r="AX1019" s="1"/>
    </row>
    <row r="1020" spans="1:50" x14ac:dyDescent="0.25">
      <c r="A1020" s="1"/>
      <c r="H1020" s="1"/>
      <c r="O1020" s="1"/>
      <c r="V1020" s="1"/>
      <c r="AC1020" s="1"/>
      <c r="AJ1020" s="1"/>
      <c r="AQ1020" s="1"/>
      <c r="AX1020" s="1"/>
    </row>
    <row r="1021" spans="1:50" x14ac:dyDescent="0.25">
      <c r="A1021" s="1"/>
      <c r="H1021" s="1"/>
      <c r="O1021" s="1"/>
      <c r="V1021" s="1"/>
      <c r="AC1021" s="1"/>
      <c r="AJ1021" s="1"/>
      <c r="AQ1021" s="1"/>
      <c r="AX1021" s="1"/>
    </row>
    <row r="1022" spans="1:50" x14ac:dyDescent="0.25">
      <c r="A1022" s="1"/>
      <c r="H1022" s="1"/>
      <c r="O1022" s="1"/>
      <c r="V1022" s="1"/>
      <c r="AC1022" s="1"/>
      <c r="AJ1022" s="1"/>
      <c r="AQ1022" s="1"/>
      <c r="AX1022" s="1"/>
    </row>
    <row r="1023" spans="1:50" x14ac:dyDescent="0.25">
      <c r="A1023" s="1"/>
      <c r="H1023" s="1"/>
      <c r="O1023" s="1"/>
      <c r="V1023" s="1"/>
      <c r="AC1023" s="1"/>
      <c r="AJ1023" s="1"/>
      <c r="AQ1023" s="1"/>
      <c r="AX1023" s="1"/>
    </row>
    <row r="1024" spans="1:50" x14ac:dyDescent="0.25">
      <c r="A1024" s="1"/>
      <c r="H1024" s="1"/>
      <c r="O1024" s="1"/>
      <c r="V1024" s="1"/>
      <c r="AC1024" s="1"/>
      <c r="AJ1024" s="1"/>
      <c r="AQ1024" s="1"/>
      <c r="AX1024" s="1"/>
    </row>
    <row r="1025" spans="1:50" x14ac:dyDescent="0.25">
      <c r="A1025" s="1"/>
      <c r="H1025" s="1"/>
      <c r="O1025" s="1"/>
      <c r="V1025" s="1"/>
      <c r="AC1025" s="1"/>
      <c r="AJ1025" s="1"/>
      <c r="AQ1025" s="1"/>
      <c r="AX1025" s="1"/>
    </row>
    <row r="1026" spans="1:50" x14ac:dyDescent="0.25">
      <c r="A1026" s="1"/>
      <c r="H1026" s="1"/>
      <c r="O1026" s="1"/>
      <c r="V1026" s="1"/>
      <c r="AC1026" s="1"/>
      <c r="AJ1026" s="1"/>
      <c r="AQ1026" s="1"/>
      <c r="AX1026" s="1"/>
    </row>
    <row r="1027" spans="1:50" x14ac:dyDescent="0.25">
      <c r="A1027" s="1"/>
      <c r="H1027" s="1"/>
      <c r="O1027" s="1"/>
      <c r="V1027" s="1"/>
      <c r="AC1027" s="1"/>
      <c r="AJ1027" s="1"/>
      <c r="AQ1027" s="1"/>
      <c r="AX1027" s="1"/>
    </row>
    <row r="1028" spans="1:50" x14ac:dyDescent="0.25">
      <c r="A1028" s="1"/>
      <c r="H1028" s="1"/>
      <c r="O1028" s="1"/>
      <c r="V1028" s="1"/>
      <c r="AC1028" s="1"/>
      <c r="AJ1028" s="1"/>
      <c r="AQ1028" s="1"/>
      <c r="AX1028" s="1"/>
    </row>
    <row r="1029" spans="1:50" x14ac:dyDescent="0.25">
      <c r="A1029" s="1"/>
      <c r="H1029" s="1"/>
      <c r="O1029" s="1"/>
      <c r="V1029" s="1"/>
      <c r="AC1029" s="1"/>
      <c r="AJ1029" s="1"/>
      <c r="AQ1029" s="1"/>
      <c r="AX1029" s="1"/>
    </row>
    <row r="1030" spans="1:50" x14ac:dyDescent="0.25">
      <c r="A1030" s="1"/>
      <c r="H1030" s="1"/>
      <c r="O1030" s="1"/>
      <c r="V1030" s="1"/>
      <c r="AC1030" s="1"/>
      <c r="AJ1030" s="1"/>
      <c r="AQ1030" s="1"/>
      <c r="AX1030" s="1"/>
    </row>
    <row r="1031" spans="1:50" x14ac:dyDescent="0.25">
      <c r="A1031" s="1"/>
      <c r="H1031" s="1"/>
      <c r="O1031" s="1"/>
      <c r="V1031" s="1"/>
      <c r="AC1031" s="1"/>
      <c r="AJ1031" s="1"/>
      <c r="AQ1031" s="1"/>
      <c r="AX1031" s="1"/>
    </row>
    <row r="1032" spans="1:50" x14ac:dyDescent="0.25">
      <c r="A1032" s="1"/>
      <c r="H1032" s="1"/>
      <c r="O1032" s="1"/>
      <c r="V1032" s="1"/>
      <c r="AC1032" s="1"/>
      <c r="AJ1032" s="1"/>
      <c r="AQ1032" s="1"/>
      <c r="AX1032" s="1"/>
    </row>
    <row r="1033" spans="1:50" x14ac:dyDescent="0.25">
      <c r="A1033" s="1"/>
      <c r="H1033" s="1"/>
      <c r="O1033" s="1"/>
      <c r="V1033" s="1"/>
      <c r="AC1033" s="1"/>
      <c r="AJ1033" s="1"/>
      <c r="AQ1033" s="1"/>
      <c r="AX1033" s="1"/>
    </row>
    <row r="1034" spans="1:50" x14ac:dyDescent="0.25">
      <c r="A1034" s="1"/>
      <c r="H1034" s="1"/>
      <c r="O1034" s="1"/>
      <c r="V1034" s="1"/>
      <c r="AC1034" s="1"/>
      <c r="AJ1034" s="1"/>
      <c r="AQ1034" s="1"/>
      <c r="AX1034" s="1"/>
    </row>
    <row r="1035" spans="1:50" x14ac:dyDescent="0.25">
      <c r="A1035" s="1"/>
      <c r="H1035" s="1"/>
      <c r="O1035" s="1"/>
      <c r="V1035" s="1"/>
      <c r="AC1035" s="1"/>
      <c r="AJ1035" s="1"/>
      <c r="AQ1035" s="1"/>
      <c r="AX1035" s="1"/>
    </row>
    <row r="1036" spans="1:50" x14ac:dyDescent="0.25">
      <c r="A1036" s="1"/>
      <c r="H1036" s="1"/>
      <c r="O1036" s="1"/>
      <c r="V1036" s="1"/>
      <c r="AC1036" s="1"/>
      <c r="AJ1036" s="1"/>
      <c r="AQ1036" s="1"/>
      <c r="AX1036" s="1"/>
    </row>
    <row r="1037" spans="1:50" x14ac:dyDescent="0.25">
      <c r="A1037" s="1"/>
      <c r="H1037" s="1"/>
      <c r="O1037" s="1"/>
      <c r="V1037" s="1"/>
      <c r="AC1037" s="1"/>
      <c r="AJ1037" s="1"/>
      <c r="AQ1037" s="1"/>
      <c r="AX1037" s="1"/>
    </row>
    <row r="1038" spans="1:50" x14ac:dyDescent="0.25">
      <c r="A1038" s="1"/>
      <c r="H1038" s="1"/>
      <c r="O1038" s="1"/>
      <c r="V1038" s="1"/>
      <c r="AC1038" s="1"/>
      <c r="AJ1038" s="1"/>
      <c r="AQ1038" s="1"/>
      <c r="AX1038" s="1"/>
    </row>
    <row r="1039" spans="1:50" x14ac:dyDescent="0.25">
      <c r="A1039" s="1"/>
      <c r="H1039" s="1"/>
      <c r="O1039" s="1"/>
      <c r="V1039" s="1"/>
      <c r="AC1039" s="1"/>
      <c r="AJ1039" s="1"/>
      <c r="AQ1039" s="1"/>
      <c r="AX1039" s="1"/>
    </row>
    <row r="1040" spans="1:50" x14ac:dyDescent="0.25">
      <c r="A1040" s="1"/>
      <c r="H1040" s="1"/>
      <c r="O1040" s="1"/>
      <c r="V1040" s="1"/>
      <c r="AC1040" s="1"/>
      <c r="AJ1040" s="1"/>
      <c r="AQ1040" s="1"/>
      <c r="AX1040" s="1"/>
    </row>
    <row r="1041" spans="1:50" x14ac:dyDescent="0.25">
      <c r="A1041" s="1"/>
      <c r="H1041" s="1"/>
      <c r="O1041" s="1"/>
      <c r="V1041" s="1"/>
      <c r="AC1041" s="1"/>
      <c r="AJ1041" s="1"/>
      <c r="AQ1041" s="1"/>
      <c r="AX1041" s="1"/>
    </row>
    <row r="1042" spans="1:50" x14ac:dyDescent="0.25">
      <c r="A1042" s="1"/>
      <c r="H1042" s="1"/>
      <c r="O1042" s="1"/>
      <c r="V1042" s="1"/>
      <c r="AC1042" s="1"/>
      <c r="AJ1042" s="1"/>
      <c r="AQ1042" s="1"/>
      <c r="AX1042" s="1"/>
    </row>
    <row r="1043" spans="1:50" x14ac:dyDescent="0.25">
      <c r="A1043" s="1"/>
      <c r="H1043" s="1"/>
      <c r="O1043" s="1"/>
      <c r="V1043" s="1"/>
      <c r="AC1043" s="1"/>
      <c r="AJ1043" s="1"/>
      <c r="AQ1043" s="1"/>
      <c r="AX1043" s="1"/>
    </row>
    <row r="1044" spans="1:50" x14ac:dyDescent="0.25">
      <c r="A1044" s="1"/>
      <c r="H1044" s="1"/>
      <c r="O1044" s="1"/>
      <c r="V1044" s="1"/>
      <c r="AC1044" s="1"/>
      <c r="AJ1044" s="1"/>
      <c r="AQ1044" s="1"/>
      <c r="AX1044" s="1"/>
    </row>
    <row r="1045" spans="1:50" x14ac:dyDescent="0.25">
      <c r="A1045" s="1"/>
      <c r="H1045" s="1"/>
      <c r="O1045" s="1"/>
      <c r="V1045" s="1"/>
      <c r="AC1045" s="1"/>
      <c r="AJ1045" s="1"/>
      <c r="AQ1045" s="1"/>
      <c r="AX1045" s="1"/>
    </row>
    <row r="1046" spans="1:50" x14ac:dyDescent="0.25">
      <c r="A1046" s="1"/>
      <c r="H1046" s="1"/>
      <c r="O1046" s="1"/>
      <c r="V1046" s="1"/>
      <c r="AC1046" s="1"/>
      <c r="AJ1046" s="1"/>
      <c r="AQ1046" s="1"/>
      <c r="AX1046" s="1"/>
    </row>
    <row r="1047" spans="1:50" x14ac:dyDescent="0.25">
      <c r="A1047" s="1"/>
      <c r="H1047" s="1"/>
      <c r="O1047" s="1"/>
      <c r="V1047" s="1"/>
      <c r="AC1047" s="1"/>
      <c r="AJ1047" s="1"/>
      <c r="AQ1047" s="1"/>
      <c r="AX1047" s="1"/>
    </row>
    <row r="1048" spans="1:50" x14ac:dyDescent="0.25">
      <c r="A1048" s="1"/>
      <c r="H1048" s="1"/>
      <c r="O1048" s="1"/>
      <c r="V1048" s="1"/>
      <c r="AC1048" s="1"/>
      <c r="AJ1048" s="1"/>
      <c r="AQ1048" s="1"/>
      <c r="AX1048" s="1"/>
    </row>
    <row r="1049" spans="1:50" x14ac:dyDescent="0.25">
      <c r="A1049" s="1"/>
      <c r="H1049" s="1"/>
      <c r="O1049" s="1"/>
      <c r="V1049" s="1"/>
      <c r="AC1049" s="1"/>
      <c r="AJ1049" s="1"/>
      <c r="AQ1049" s="1"/>
      <c r="AX1049" s="1"/>
    </row>
    <row r="1050" spans="1:50" x14ac:dyDescent="0.25">
      <c r="A1050" s="1"/>
      <c r="H1050" s="1"/>
      <c r="O1050" s="1"/>
      <c r="V1050" s="1"/>
      <c r="AC1050" s="1"/>
      <c r="AJ1050" s="1"/>
      <c r="AQ1050" s="1"/>
      <c r="AX1050" s="1"/>
    </row>
    <row r="1051" spans="1:50" x14ac:dyDescent="0.25">
      <c r="A1051" s="1"/>
      <c r="H1051" s="1"/>
      <c r="O1051" s="1"/>
      <c r="V1051" s="1"/>
      <c r="AC1051" s="1"/>
      <c r="AJ1051" s="1"/>
      <c r="AQ1051" s="1"/>
      <c r="AX1051" s="1"/>
    </row>
    <row r="1052" spans="1:50" x14ac:dyDescent="0.25">
      <c r="A1052" s="1"/>
      <c r="H1052" s="1"/>
      <c r="O1052" s="1"/>
      <c r="V1052" s="1"/>
      <c r="AC1052" s="1"/>
      <c r="AJ1052" s="1"/>
      <c r="AQ1052" s="1"/>
      <c r="AX1052" s="1"/>
    </row>
    <row r="1053" spans="1:50" x14ac:dyDescent="0.25">
      <c r="A1053" s="1"/>
      <c r="H1053" s="1"/>
      <c r="O1053" s="1"/>
      <c r="V1053" s="1"/>
      <c r="AC1053" s="1"/>
      <c r="AJ1053" s="1"/>
      <c r="AQ1053" s="1"/>
      <c r="AX1053" s="1"/>
    </row>
    <row r="1054" spans="1:50" x14ac:dyDescent="0.25">
      <c r="A1054" s="1"/>
      <c r="H1054" s="1"/>
      <c r="O1054" s="1"/>
      <c r="V1054" s="1"/>
      <c r="AC1054" s="1"/>
      <c r="AJ1054" s="1"/>
      <c r="AQ1054" s="1"/>
      <c r="AX1054" s="1"/>
    </row>
    <row r="1055" spans="1:50" x14ac:dyDescent="0.25">
      <c r="A1055" s="1"/>
      <c r="H1055" s="1"/>
      <c r="O1055" s="1"/>
      <c r="V1055" s="1"/>
      <c r="AC1055" s="1"/>
      <c r="AJ1055" s="1"/>
      <c r="AQ1055" s="1"/>
      <c r="AX1055" s="1"/>
    </row>
    <row r="1056" spans="1:50" x14ac:dyDescent="0.25">
      <c r="A1056" s="1"/>
      <c r="H1056" s="1"/>
      <c r="O1056" s="1"/>
      <c r="V1056" s="1"/>
      <c r="AC1056" s="1"/>
      <c r="AJ1056" s="1"/>
      <c r="AQ1056" s="1"/>
      <c r="AX1056" s="1"/>
    </row>
    <row r="1057" spans="1:50" x14ac:dyDescent="0.25">
      <c r="A1057" s="1"/>
      <c r="H1057" s="1"/>
      <c r="O1057" s="1"/>
      <c r="V1057" s="1"/>
      <c r="AC1057" s="1"/>
      <c r="AJ1057" s="1"/>
      <c r="AQ1057" s="1"/>
      <c r="AX1057" s="1"/>
    </row>
    <row r="1058" spans="1:50" x14ac:dyDescent="0.25">
      <c r="A1058" s="1"/>
      <c r="H1058" s="1"/>
      <c r="O1058" s="1"/>
      <c r="V1058" s="1"/>
      <c r="AC1058" s="1"/>
      <c r="AJ1058" s="1"/>
      <c r="AQ1058" s="1"/>
      <c r="AX1058" s="1"/>
    </row>
    <row r="1059" spans="1:50" x14ac:dyDescent="0.25">
      <c r="A1059" s="1"/>
      <c r="H1059" s="1"/>
      <c r="O1059" s="1"/>
      <c r="V1059" s="1"/>
      <c r="AC1059" s="1"/>
      <c r="AJ1059" s="1"/>
      <c r="AQ1059" s="1"/>
      <c r="AX1059" s="1"/>
    </row>
    <row r="1060" spans="1:50" x14ac:dyDescent="0.25">
      <c r="A1060" s="1"/>
      <c r="H1060" s="1"/>
      <c r="O1060" s="1"/>
      <c r="V1060" s="1"/>
      <c r="AC1060" s="1"/>
      <c r="AJ1060" s="1"/>
      <c r="AQ1060" s="1"/>
      <c r="AX1060" s="1"/>
    </row>
    <row r="1061" spans="1:50" x14ac:dyDescent="0.25">
      <c r="A1061" s="1"/>
      <c r="H1061" s="1"/>
      <c r="O1061" s="1"/>
      <c r="V1061" s="1"/>
      <c r="AC1061" s="1"/>
      <c r="AJ1061" s="1"/>
      <c r="AQ1061" s="1"/>
      <c r="AX1061" s="1"/>
    </row>
    <row r="1062" spans="1:50" x14ac:dyDescent="0.25">
      <c r="A1062" s="1"/>
      <c r="H1062" s="1"/>
      <c r="O1062" s="1"/>
      <c r="V1062" s="1"/>
      <c r="AC1062" s="1"/>
      <c r="AJ1062" s="1"/>
      <c r="AQ1062" s="1"/>
      <c r="AX1062" s="1"/>
    </row>
    <row r="1063" spans="1:50" x14ac:dyDescent="0.25">
      <c r="A1063" s="1"/>
      <c r="H1063" s="1"/>
      <c r="O1063" s="1"/>
      <c r="V1063" s="1"/>
      <c r="AC1063" s="1"/>
      <c r="AJ1063" s="1"/>
      <c r="AQ1063" s="1"/>
      <c r="AX1063" s="1"/>
    </row>
    <row r="1064" spans="1:50" x14ac:dyDescent="0.25">
      <c r="A1064" s="1"/>
      <c r="H1064" s="1"/>
      <c r="O1064" s="1"/>
      <c r="V1064" s="1"/>
      <c r="AC1064" s="1"/>
      <c r="AJ1064" s="1"/>
      <c r="AQ1064" s="1"/>
      <c r="AX1064" s="1"/>
    </row>
    <row r="1065" spans="1:50" x14ac:dyDescent="0.25">
      <c r="A1065" s="1"/>
      <c r="H1065" s="1"/>
      <c r="O1065" s="1"/>
      <c r="V1065" s="1"/>
      <c r="AC1065" s="1"/>
      <c r="AJ1065" s="1"/>
      <c r="AQ1065" s="1"/>
      <c r="AX1065" s="1"/>
    </row>
    <row r="1066" spans="1:50" x14ac:dyDescent="0.25">
      <c r="A1066" s="1"/>
      <c r="H1066" s="1"/>
      <c r="O1066" s="1"/>
      <c r="V1066" s="1"/>
      <c r="AC1066" s="1"/>
      <c r="AJ1066" s="1"/>
      <c r="AQ1066" s="1"/>
      <c r="AX1066" s="1"/>
    </row>
    <row r="1067" spans="1:50" x14ac:dyDescent="0.25">
      <c r="A1067" s="1"/>
      <c r="H1067" s="1"/>
      <c r="O1067" s="1"/>
      <c r="V1067" s="1"/>
      <c r="AC1067" s="1"/>
      <c r="AJ1067" s="1"/>
      <c r="AQ1067" s="1"/>
      <c r="AX1067" s="1"/>
    </row>
    <row r="1068" spans="1:50" x14ac:dyDescent="0.25">
      <c r="A1068" s="1"/>
      <c r="H1068" s="1"/>
      <c r="O1068" s="1"/>
      <c r="V1068" s="1"/>
      <c r="AC1068" s="1"/>
      <c r="AJ1068" s="1"/>
      <c r="AQ1068" s="1"/>
      <c r="AX1068" s="1"/>
    </row>
    <row r="1069" spans="1:50" x14ac:dyDescent="0.25">
      <c r="A1069" s="1"/>
      <c r="H1069" s="1"/>
      <c r="O1069" s="1"/>
      <c r="V1069" s="1"/>
      <c r="AC1069" s="1"/>
      <c r="AJ1069" s="1"/>
      <c r="AQ1069" s="1"/>
      <c r="AX1069" s="1"/>
    </row>
    <row r="1070" spans="1:50" x14ac:dyDescent="0.25">
      <c r="A1070" s="1"/>
      <c r="H1070" s="1"/>
      <c r="O1070" s="1"/>
      <c r="V1070" s="1"/>
      <c r="AC1070" s="1"/>
      <c r="AJ1070" s="1"/>
      <c r="AQ1070" s="1"/>
      <c r="AX1070" s="1"/>
    </row>
    <row r="1071" spans="1:50" x14ac:dyDescent="0.25">
      <c r="A1071" s="1"/>
      <c r="H1071" s="1"/>
      <c r="O1071" s="1"/>
      <c r="V1071" s="1"/>
      <c r="AC1071" s="1"/>
      <c r="AJ1071" s="1"/>
      <c r="AQ1071" s="1"/>
      <c r="AX1071" s="1"/>
    </row>
    <row r="1072" spans="1:50" x14ac:dyDescent="0.25">
      <c r="A1072" s="1"/>
      <c r="H1072" s="1"/>
      <c r="O1072" s="1"/>
      <c r="V1072" s="1"/>
      <c r="AC1072" s="1"/>
      <c r="AJ1072" s="1"/>
      <c r="AQ1072" s="1"/>
      <c r="AX1072" s="1"/>
    </row>
    <row r="1073" spans="1:50" x14ac:dyDescent="0.25">
      <c r="A1073" s="1"/>
      <c r="H1073" s="1"/>
      <c r="O1073" s="1"/>
      <c r="V1073" s="1"/>
      <c r="AC1073" s="1"/>
      <c r="AJ1073" s="1"/>
      <c r="AQ1073" s="1"/>
      <c r="AX1073" s="1"/>
    </row>
    <row r="1074" spans="1:50" x14ac:dyDescent="0.25">
      <c r="A1074" s="1"/>
      <c r="H1074" s="1"/>
      <c r="O1074" s="1"/>
      <c r="V1074" s="1"/>
      <c r="AC1074" s="1"/>
      <c r="AJ1074" s="1"/>
      <c r="AQ1074" s="1"/>
      <c r="AX1074" s="1"/>
    </row>
    <row r="1075" spans="1:50" x14ac:dyDescent="0.25">
      <c r="A1075" s="1"/>
      <c r="H1075" s="1"/>
      <c r="O1075" s="1"/>
      <c r="V1075" s="1"/>
      <c r="AC1075" s="1"/>
      <c r="AJ1075" s="1"/>
      <c r="AQ1075" s="1"/>
      <c r="AX1075" s="1"/>
    </row>
    <row r="1076" spans="1:50" x14ac:dyDescent="0.25">
      <c r="A1076" s="1"/>
      <c r="H1076" s="1"/>
      <c r="O1076" s="1"/>
      <c r="V1076" s="1"/>
      <c r="AC1076" s="1"/>
      <c r="AJ1076" s="1"/>
      <c r="AQ1076" s="1"/>
      <c r="AX1076" s="1"/>
    </row>
    <row r="1077" spans="1:50" x14ac:dyDescent="0.25">
      <c r="A1077" s="1"/>
      <c r="H1077" s="1"/>
      <c r="O1077" s="1"/>
      <c r="V1077" s="1"/>
      <c r="AC1077" s="1"/>
      <c r="AJ1077" s="1"/>
      <c r="AQ1077" s="1"/>
      <c r="AX1077" s="1"/>
    </row>
    <row r="1078" spans="1:50" x14ac:dyDescent="0.25">
      <c r="A1078" s="1"/>
      <c r="H1078" s="1"/>
      <c r="O1078" s="1"/>
      <c r="V1078" s="1"/>
      <c r="AC1078" s="1"/>
      <c r="AJ1078" s="1"/>
      <c r="AQ1078" s="1"/>
      <c r="AX1078" s="1"/>
    </row>
    <row r="1079" spans="1:50" x14ac:dyDescent="0.25">
      <c r="A1079" s="1"/>
      <c r="H1079" s="1"/>
      <c r="O1079" s="1"/>
      <c r="V1079" s="1"/>
      <c r="AC1079" s="1"/>
      <c r="AJ1079" s="1"/>
      <c r="AQ1079" s="1"/>
      <c r="AX1079" s="1"/>
    </row>
    <row r="1080" spans="1:50" x14ac:dyDescent="0.25">
      <c r="A1080" s="1"/>
      <c r="H1080" s="1"/>
      <c r="O1080" s="1"/>
      <c r="V1080" s="1"/>
      <c r="AC1080" s="1"/>
      <c r="AJ1080" s="1"/>
      <c r="AQ1080" s="1"/>
      <c r="AX1080" s="1"/>
    </row>
    <row r="1081" spans="1:50" x14ac:dyDescent="0.25">
      <c r="A1081" s="1"/>
      <c r="H1081" s="1"/>
      <c r="O1081" s="1"/>
      <c r="V1081" s="1"/>
      <c r="AC1081" s="1"/>
      <c r="AJ1081" s="1"/>
      <c r="AQ1081" s="1"/>
      <c r="AX1081" s="1"/>
    </row>
    <row r="1082" spans="1:50" x14ac:dyDescent="0.25">
      <c r="A1082" s="1"/>
      <c r="H1082" s="1"/>
      <c r="O1082" s="1"/>
      <c r="V1082" s="1"/>
      <c r="AC1082" s="1"/>
      <c r="AJ1082" s="1"/>
      <c r="AQ1082" s="1"/>
      <c r="AX1082" s="1"/>
    </row>
    <row r="1083" spans="1:50" x14ac:dyDescent="0.25">
      <c r="A1083" s="1"/>
      <c r="H1083" s="1"/>
      <c r="O1083" s="1"/>
      <c r="V1083" s="1"/>
      <c r="AC1083" s="1"/>
      <c r="AJ1083" s="1"/>
      <c r="AQ1083" s="1"/>
      <c r="AX1083" s="1"/>
    </row>
    <row r="1084" spans="1:50" x14ac:dyDescent="0.25">
      <c r="A1084" s="1"/>
      <c r="H1084" s="1"/>
      <c r="O1084" s="1"/>
      <c r="V1084" s="1"/>
      <c r="AC1084" s="1"/>
      <c r="AJ1084" s="1"/>
      <c r="AQ1084" s="1"/>
      <c r="AX1084" s="1"/>
    </row>
    <row r="1085" spans="1:50" x14ac:dyDescent="0.25">
      <c r="A1085" s="1"/>
      <c r="H1085" s="1"/>
      <c r="O1085" s="1"/>
      <c r="V1085" s="1"/>
      <c r="AC1085" s="1"/>
      <c r="AJ1085" s="1"/>
      <c r="AQ1085" s="1"/>
      <c r="AX1085" s="1"/>
    </row>
    <row r="1086" spans="1:50" x14ac:dyDescent="0.25">
      <c r="A1086" s="1"/>
      <c r="H1086" s="1"/>
      <c r="O1086" s="1"/>
      <c r="V1086" s="1"/>
      <c r="AC1086" s="1"/>
      <c r="AJ1086" s="1"/>
      <c r="AQ1086" s="1"/>
      <c r="AX1086" s="1"/>
    </row>
    <row r="1087" spans="1:50" x14ac:dyDescent="0.25">
      <c r="A1087" s="1"/>
      <c r="H1087" s="1"/>
      <c r="O1087" s="1"/>
      <c r="V1087" s="1"/>
      <c r="AC1087" s="1"/>
      <c r="AJ1087" s="1"/>
      <c r="AQ1087" s="1"/>
      <c r="AX1087" s="1"/>
    </row>
    <row r="1088" spans="1:50" x14ac:dyDescent="0.25">
      <c r="A1088" s="1"/>
      <c r="H1088" s="1"/>
      <c r="O1088" s="1"/>
      <c r="V1088" s="1"/>
      <c r="AC1088" s="1"/>
      <c r="AJ1088" s="1"/>
      <c r="AQ1088" s="1"/>
      <c r="AX1088" s="1"/>
    </row>
    <row r="1089" spans="1:50" x14ac:dyDescent="0.25">
      <c r="A1089" s="1"/>
      <c r="H1089" s="1"/>
      <c r="O1089" s="1"/>
      <c r="V1089" s="1"/>
      <c r="AC1089" s="1"/>
      <c r="AJ1089" s="1"/>
      <c r="AQ1089" s="1"/>
      <c r="AX1089" s="1"/>
    </row>
    <row r="1090" spans="1:50" x14ac:dyDescent="0.25">
      <c r="A1090" s="1"/>
      <c r="H1090" s="1"/>
      <c r="O1090" s="1"/>
      <c r="V1090" s="1"/>
      <c r="AC1090" s="1"/>
      <c r="AJ1090" s="1"/>
      <c r="AQ1090" s="1"/>
      <c r="AX1090" s="1"/>
    </row>
    <row r="1091" spans="1:50" x14ac:dyDescent="0.25">
      <c r="A1091" s="1"/>
      <c r="H1091" s="1"/>
      <c r="O1091" s="1"/>
      <c r="V1091" s="1"/>
      <c r="AC1091" s="1"/>
      <c r="AJ1091" s="1"/>
      <c r="AQ1091" s="1"/>
      <c r="AX1091" s="1"/>
    </row>
    <row r="1092" spans="1:50" x14ac:dyDescent="0.25">
      <c r="A1092" s="1"/>
      <c r="H1092" s="1"/>
      <c r="O1092" s="1"/>
      <c r="V1092" s="1"/>
      <c r="AC1092" s="1"/>
      <c r="AJ1092" s="1"/>
      <c r="AQ1092" s="1"/>
      <c r="AX1092" s="1"/>
    </row>
    <row r="1093" spans="1:50" x14ac:dyDescent="0.25">
      <c r="A1093" s="1"/>
      <c r="H1093" s="1"/>
      <c r="O1093" s="1"/>
      <c r="V1093" s="1"/>
      <c r="AC1093" s="1"/>
      <c r="AJ1093" s="1"/>
      <c r="AQ1093" s="1"/>
      <c r="AX1093" s="1"/>
    </row>
    <row r="1094" spans="1:50" x14ac:dyDescent="0.25">
      <c r="A1094" s="1"/>
      <c r="H1094" s="1"/>
      <c r="O1094" s="1"/>
      <c r="V1094" s="1"/>
      <c r="AC1094" s="1"/>
      <c r="AJ1094" s="1"/>
      <c r="AQ1094" s="1"/>
      <c r="AX1094" s="1"/>
    </row>
    <row r="1095" spans="1:50" x14ac:dyDescent="0.25">
      <c r="A1095" s="1"/>
      <c r="H1095" s="1"/>
      <c r="O1095" s="1"/>
      <c r="V1095" s="1"/>
      <c r="AC1095" s="1"/>
      <c r="AJ1095" s="1"/>
      <c r="AQ1095" s="1"/>
      <c r="AX1095" s="1"/>
    </row>
    <row r="1096" spans="1:50" x14ac:dyDescent="0.25">
      <c r="A1096" s="1"/>
      <c r="H1096" s="1"/>
      <c r="O1096" s="1"/>
      <c r="V1096" s="1"/>
      <c r="AC1096" s="1"/>
      <c r="AJ1096" s="1"/>
      <c r="AQ1096" s="1"/>
      <c r="AX1096" s="1"/>
    </row>
    <row r="1097" spans="1:50" x14ac:dyDescent="0.25">
      <c r="A1097" s="1"/>
      <c r="H1097" s="1"/>
      <c r="O1097" s="1"/>
      <c r="V1097" s="1"/>
      <c r="AC1097" s="1"/>
      <c r="AJ1097" s="1"/>
      <c r="AQ1097" s="1"/>
      <c r="AX1097" s="1"/>
    </row>
    <row r="1098" spans="1:50" x14ac:dyDescent="0.25">
      <c r="A1098" s="1"/>
      <c r="H1098" s="1"/>
      <c r="O1098" s="1"/>
      <c r="V1098" s="1"/>
      <c r="AC1098" s="1"/>
      <c r="AJ1098" s="1"/>
      <c r="AQ1098" s="1"/>
      <c r="AX1098" s="1"/>
    </row>
    <row r="1099" spans="1:50" x14ac:dyDescent="0.25">
      <c r="A1099" s="1"/>
      <c r="H1099" s="1"/>
      <c r="O1099" s="1"/>
      <c r="V1099" s="1"/>
      <c r="AC1099" s="1"/>
      <c r="AJ1099" s="1"/>
      <c r="AQ1099" s="1"/>
      <c r="AX1099" s="1"/>
    </row>
    <row r="1100" spans="1:50" x14ac:dyDescent="0.25">
      <c r="A1100" s="1"/>
      <c r="H1100" s="1"/>
      <c r="O1100" s="1"/>
      <c r="V1100" s="1"/>
      <c r="AC1100" s="1"/>
      <c r="AJ1100" s="1"/>
      <c r="AQ1100" s="1"/>
      <c r="AX1100" s="1"/>
    </row>
    <row r="1101" spans="1:50" x14ac:dyDescent="0.25">
      <c r="A1101" s="1"/>
      <c r="H1101" s="1"/>
      <c r="O1101" s="1"/>
      <c r="V1101" s="1"/>
      <c r="AC1101" s="1"/>
      <c r="AJ1101" s="1"/>
      <c r="AQ1101" s="1"/>
      <c r="AX1101" s="1"/>
    </row>
    <row r="1102" spans="1:50" x14ac:dyDescent="0.25">
      <c r="A1102" s="1"/>
      <c r="H1102" s="1"/>
      <c r="O1102" s="1"/>
      <c r="V1102" s="1"/>
      <c r="AC1102" s="1"/>
      <c r="AJ1102" s="1"/>
      <c r="AQ1102" s="1"/>
      <c r="AX1102" s="1"/>
    </row>
    <row r="1103" spans="1:50" x14ac:dyDescent="0.25">
      <c r="A1103" s="1"/>
      <c r="H1103" s="1"/>
      <c r="O1103" s="1"/>
      <c r="V1103" s="1"/>
      <c r="AC1103" s="1"/>
      <c r="AJ1103" s="1"/>
      <c r="AQ1103" s="1"/>
      <c r="AX1103" s="1"/>
    </row>
    <row r="1104" spans="1:50" x14ac:dyDescent="0.25">
      <c r="A1104" s="1"/>
      <c r="H1104" s="1"/>
      <c r="O1104" s="1"/>
      <c r="V1104" s="1"/>
      <c r="AC1104" s="1"/>
      <c r="AJ1104" s="1"/>
      <c r="AQ1104" s="1"/>
      <c r="AX1104" s="1"/>
    </row>
    <row r="1105" spans="1:50" x14ac:dyDescent="0.25">
      <c r="A1105" s="1"/>
      <c r="H1105" s="1"/>
      <c r="O1105" s="1"/>
      <c r="V1105" s="1"/>
      <c r="AC1105" s="1"/>
      <c r="AJ1105" s="1"/>
      <c r="AQ1105" s="1"/>
      <c r="AX1105" s="1"/>
    </row>
    <row r="1106" spans="1:50" x14ac:dyDescent="0.25">
      <c r="A1106" s="1"/>
      <c r="H1106" s="1"/>
      <c r="O1106" s="1"/>
      <c r="V1106" s="1"/>
      <c r="AC1106" s="1"/>
      <c r="AJ1106" s="1"/>
      <c r="AQ1106" s="1"/>
      <c r="AX1106" s="1"/>
    </row>
    <row r="1107" spans="1:50" x14ac:dyDescent="0.25">
      <c r="A1107" s="1"/>
      <c r="H1107" s="1"/>
      <c r="O1107" s="1"/>
      <c r="V1107" s="1"/>
      <c r="AC1107" s="1"/>
      <c r="AJ1107" s="1"/>
      <c r="AQ1107" s="1"/>
      <c r="AX1107" s="1"/>
    </row>
    <row r="1108" spans="1:50" x14ac:dyDescent="0.25">
      <c r="A1108" s="1"/>
      <c r="H1108" s="1"/>
      <c r="O1108" s="1"/>
      <c r="V1108" s="1"/>
      <c r="AC1108" s="1"/>
      <c r="AJ1108" s="1"/>
      <c r="AQ1108" s="1"/>
      <c r="AX1108" s="1"/>
    </row>
    <row r="1109" spans="1:50" x14ac:dyDescent="0.25">
      <c r="A1109" s="1"/>
      <c r="H1109" s="1"/>
      <c r="O1109" s="1"/>
      <c r="V1109" s="1"/>
      <c r="AC1109" s="1"/>
      <c r="AJ1109" s="1"/>
      <c r="AQ1109" s="1"/>
      <c r="AX1109" s="1"/>
    </row>
    <row r="1110" spans="1:50" x14ac:dyDescent="0.25">
      <c r="A1110" s="1"/>
      <c r="H1110" s="1"/>
      <c r="O1110" s="1"/>
      <c r="V1110" s="1"/>
      <c r="AC1110" s="1"/>
      <c r="AJ1110" s="1"/>
      <c r="AQ1110" s="1"/>
      <c r="AX1110" s="1"/>
    </row>
    <row r="1111" spans="1:50" x14ac:dyDescent="0.25">
      <c r="A1111" s="1"/>
      <c r="H1111" s="1"/>
      <c r="O1111" s="1"/>
      <c r="V1111" s="1"/>
      <c r="AC1111" s="1"/>
      <c r="AJ1111" s="1"/>
      <c r="AQ1111" s="1"/>
      <c r="AX1111" s="1"/>
    </row>
    <row r="1112" spans="1:50" x14ac:dyDescent="0.25">
      <c r="A1112" s="1"/>
      <c r="H1112" s="1"/>
      <c r="O1112" s="1"/>
      <c r="V1112" s="1"/>
      <c r="AC1112" s="1"/>
      <c r="AJ1112" s="1"/>
      <c r="AQ1112" s="1"/>
      <c r="AX1112" s="1"/>
    </row>
    <row r="1113" spans="1:50" x14ac:dyDescent="0.25">
      <c r="A1113" s="1"/>
      <c r="H1113" s="1"/>
      <c r="O1113" s="1"/>
      <c r="V1113" s="1"/>
      <c r="AC1113" s="1"/>
      <c r="AJ1113" s="1"/>
      <c r="AQ1113" s="1"/>
      <c r="AX1113" s="1"/>
    </row>
    <row r="1114" spans="1:50" x14ac:dyDescent="0.25">
      <c r="A1114" s="1"/>
      <c r="H1114" s="1"/>
      <c r="O1114" s="1"/>
      <c r="V1114" s="1"/>
      <c r="AC1114" s="1"/>
      <c r="AJ1114" s="1"/>
      <c r="AQ1114" s="1"/>
      <c r="AX1114" s="1"/>
    </row>
    <row r="1115" spans="1:50" x14ac:dyDescent="0.25">
      <c r="A1115" s="1"/>
      <c r="H1115" s="1"/>
      <c r="O1115" s="1"/>
      <c r="V1115" s="1"/>
      <c r="AC1115" s="1"/>
      <c r="AJ1115" s="1"/>
      <c r="AQ1115" s="1"/>
      <c r="AX1115" s="1"/>
    </row>
    <row r="1116" spans="1:50" x14ac:dyDescent="0.25">
      <c r="A1116" s="1"/>
      <c r="H1116" s="1"/>
      <c r="O1116" s="1"/>
      <c r="V1116" s="1"/>
      <c r="AC1116" s="1"/>
      <c r="AJ1116" s="1"/>
      <c r="AQ1116" s="1"/>
      <c r="AX1116" s="1"/>
    </row>
    <row r="1117" spans="1:50" x14ac:dyDescent="0.25">
      <c r="A1117" s="1"/>
      <c r="H1117" s="1"/>
      <c r="O1117" s="1"/>
      <c r="V1117" s="1"/>
      <c r="AC1117" s="1"/>
      <c r="AJ1117" s="1"/>
      <c r="AQ1117" s="1"/>
      <c r="AX1117" s="1"/>
    </row>
    <row r="1118" spans="1:50" x14ac:dyDescent="0.25">
      <c r="A1118" s="1"/>
      <c r="H1118" s="1"/>
      <c r="O1118" s="1"/>
      <c r="V1118" s="1"/>
      <c r="AC1118" s="1"/>
      <c r="AJ1118" s="1"/>
      <c r="AQ1118" s="1"/>
      <c r="AX1118" s="1"/>
    </row>
    <row r="1119" spans="1:50" x14ac:dyDescent="0.25">
      <c r="A1119" s="1"/>
      <c r="H1119" s="1"/>
      <c r="O1119" s="1"/>
      <c r="V1119" s="1"/>
      <c r="AC1119" s="1"/>
      <c r="AJ1119" s="1"/>
      <c r="AQ1119" s="1"/>
      <c r="AX1119" s="1"/>
    </row>
    <row r="1120" spans="1:50" x14ac:dyDescent="0.25">
      <c r="A1120" s="1"/>
      <c r="H1120" s="1"/>
      <c r="O1120" s="1"/>
      <c r="V1120" s="1"/>
      <c r="AC1120" s="1"/>
      <c r="AJ1120" s="1"/>
      <c r="AQ1120" s="1"/>
      <c r="AX1120" s="1"/>
    </row>
    <row r="1121" spans="1:50" x14ac:dyDescent="0.25">
      <c r="A1121" s="1"/>
      <c r="H1121" s="1"/>
      <c r="O1121" s="1"/>
      <c r="V1121" s="1"/>
      <c r="AC1121" s="1"/>
      <c r="AJ1121" s="1"/>
      <c r="AQ1121" s="1"/>
      <c r="AX1121" s="1"/>
    </row>
    <row r="1122" spans="1:50" x14ac:dyDescent="0.25">
      <c r="A1122" s="1"/>
      <c r="H1122" s="1"/>
      <c r="O1122" s="1"/>
      <c r="V1122" s="1"/>
      <c r="AC1122" s="1"/>
      <c r="AJ1122" s="1"/>
      <c r="AQ1122" s="1"/>
      <c r="AX1122" s="1"/>
    </row>
    <row r="1123" spans="1:50" x14ac:dyDescent="0.25">
      <c r="A1123" s="1"/>
      <c r="H1123" s="1"/>
      <c r="O1123" s="1"/>
      <c r="V1123" s="1"/>
      <c r="AC1123" s="1"/>
      <c r="AJ1123" s="1"/>
      <c r="AQ1123" s="1"/>
      <c r="AX1123" s="1"/>
    </row>
    <row r="1124" spans="1:50" x14ac:dyDescent="0.25">
      <c r="A1124" s="1"/>
      <c r="H1124" s="1"/>
      <c r="O1124" s="1"/>
      <c r="V1124" s="1"/>
      <c r="AC1124" s="1"/>
      <c r="AJ1124" s="1"/>
      <c r="AQ1124" s="1"/>
      <c r="AX1124" s="1"/>
    </row>
    <row r="1125" spans="1:50" x14ac:dyDescent="0.25">
      <c r="A1125" s="1"/>
      <c r="H1125" s="1"/>
      <c r="O1125" s="1"/>
      <c r="V1125" s="1"/>
      <c r="AC1125" s="1"/>
      <c r="AJ1125" s="1"/>
      <c r="AQ1125" s="1"/>
      <c r="AX1125" s="1"/>
    </row>
    <row r="1126" spans="1:50" x14ac:dyDescent="0.25">
      <c r="A1126" s="1"/>
      <c r="H1126" s="1"/>
      <c r="O1126" s="1"/>
      <c r="V1126" s="1"/>
      <c r="AC1126" s="1"/>
      <c r="AJ1126" s="1"/>
      <c r="AQ1126" s="1"/>
      <c r="AX1126" s="1"/>
    </row>
    <row r="1127" spans="1:50" x14ac:dyDescent="0.25">
      <c r="A1127" s="1"/>
      <c r="H1127" s="1"/>
      <c r="O1127" s="1"/>
      <c r="V1127" s="1"/>
      <c r="AC1127" s="1"/>
      <c r="AJ1127" s="1"/>
      <c r="AQ1127" s="1"/>
      <c r="AX1127" s="1"/>
    </row>
    <row r="1128" spans="1:50" x14ac:dyDescent="0.25">
      <c r="A1128" s="1"/>
      <c r="H1128" s="1"/>
      <c r="O1128" s="1"/>
      <c r="V1128" s="1"/>
      <c r="AC1128" s="1"/>
      <c r="AJ1128" s="1"/>
      <c r="AQ1128" s="1"/>
      <c r="AX1128" s="1"/>
    </row>
    <row r="1129" spans="1:50" x14ac:dyDescent="0.25">
      <c r="A1129" s="1"/>
      <c r="H1129" s="1"/>
      <c r="O1129" s="1"/>
      <c r="V1129" s="1"/>
      <c r="AC1129" s="1"/>
      <c r="AJ1129" s="1"/>
      <c r="AQ1129" s="1"/>
      <c r="AX1129" s="1"/>
    </row>
    <row r="1130" spans="1:50" x14ac:dyDescent="0.25">
      <c r="A1130" s="1"/>
      <c r="H1130" s="1"/>
      <c r="O1130" s="1"/>
      <c r="V1130" s="1"/>
      <c r="AC1130" s="1"/>
      <c r="AJ1130" s="1"/>
      <c r="AQ1130" s="1"/>
      <c r="AX1130" s="1"/>
    </row>
    <row r="1131" spans="1:50" x14ac:dyDescent="0.25">
      <c r="A1131" s="1"/>
      <c r="H1131" s="1"/>
      <c r="O1131" s="1"/>
      <c r="V1131" s="1"/>
      <c r="AC1131" s="1"/>
      <c r="AJ1131" s="1"/>
      <c r="AQ1131" s="1"/>
      <c r="AX1131" s="1"/>
    </row>
    <row r="1132" spans="1:50" x14ac:dyDescent="0.25">
      <c r="A1132" s="1"/>
      <c r="H1132" s="1"/>
      <c r="O1132" s="1"/>
      <c r="V1132" s="1"/>
      <c r="AC1132" s="1"/>
      <c r="AJ1132" s="1"/>
      <c r="AQ1132" s="1"/>
      <c r="AX1132" s="1"/>
    </row>
    <row r="1133" spans="1:50" x14ac:dyDescent="0.25">
      <c r="A1133" s="1"/>
      <c r="H1133" s="1"/>
      <c r="O1133" s="1"/>
      <c r="V1133" s="1"/>
      <c r="AC1133" s="1"/>
      <c r="AJ1133" s="1"/>
      <c r="AQ1133" s="1"/>
      <c r="AX1133" s="1"/>
    </row>
    <row r="1134" spans="1:50" x14ac:dyDescent="0.25">
      <c r="A1134" s="1"/>
      <c r="H1134" s="1"/>
      <c r="O1134" s="1"/>
      <c r="V1134" s="1"/>
      <c r="AC1134" s="1"/>
      <c r="AJ1134" s="1"/>
      <c r="AQ1134" s="1"/>
      <c r="AX1134" s="1"/>
    </row>
    <row r="1135" spans="1:50" x14ac:dyDescent="0.25">
      <c r="A1135" s="1"/>
      <c r="H1135" s="1"/>
      <c r="O1135" s="1"/>
      <c r="V1135" s="1"/>
      <c r="AC1135" s="1"/>
      <c r="AJ1135" s="1"/>
      <c r="AQ1135" s="1"/>
      <c r="AX1135" s="1"/>
    </row>
    <row r="1136" spans="1:50" x14ac:dyDescent="0.25">
      <c r="A1136" s="1"/>
      <c r="H1136" s="1"/>
      <c r="O1136" s="1"/>
      <c r="V1136" s="1"/>
      <c r="AC1136" s="1"/>
      <c r="AJ1136" s="1"/>
      <c r="AQ1136" s="1"/>
      <c r="AX1136" s="1"/>
    </row>
    <row r="1137" spans="1:50" x14ac:dyDescent="0.25">
      <c r="A1137" s="1"/>
      <c r="H1137" s="1"/>
      <c r="O1137" s="1"/>
      <c r="V1137" s="1"/>
      <c r="AC1137" s="1"/>
      <c r="AJ1137" s="1"/>
      <c r="AQ1137" s="1"/>
      <c r="AX1137" s="1"/>
    </row>
    <row r="1138" spans="1:50" x14ac:dyDescent="0.25">
      <c r="A1138" s="1"/>
      <c r="H1138" s="1"/>
      <c r="O1138" s="1"/>
      <c r="V1138" s="1"/>
      <c r="AC1138" s="1"/>
      <c r="AJ1138" s="1"/>
      <c r="AQ1138" s="1"/>
      <c r="AX1138" s="1"/>
    </row>
    <row r="1139" spans="1:50" x14ac:dyDescent="0.25">
      <c r="A1139" s="1"/>
      <c r="H1139" s="1"/>
      <c r="O1139" s="1"/>
      <c r="V1139" s="1"/>
      <c r="AC1139" s="1"/>
      <c r="AJ1139" s="1"/>
      <c r="AQ1139" s="1"/>
      <c r="AX1139" s="1"/>
    </row>
    <row r="1140" spans="1:50" x14ac:dyDescent="0.25">
      <c r="A1140" s="1"/>
      <c r="H1140" s="1"/>
      <c r="O1140" s="1"/>
      <c r="V1140" s="1"/>
      <c r="AC1140" s="1"/>
      <c r="AJ1140" s="1"/>
      <c r="AQ1140" s="1"/>
      <c r="AX1140" s="1"/>
    </row>
    <row r="1141" spans="1:50" x14ac:dyDescent="0.25">
      <c r="A1141" s="1"/>
      <c r="H1141" s="1"/>
      <c r="O1141" s="1"/>
      <c r="V1141" s="1"/>
      <c r="AC1141" s="1"/>
      <c r="AJ1141" s="1"/>
      <c r="AQ1141" s="1"/>
      <c r="AX1141" s="1"/>
    </row>
    <row r="1142" spans="1:50" x14ac:dyDescent="0.25">
      <c r="A1142" s="1"/>
      <c r="H1142" s="1"/>
      <c r="O1142" s="1"/>
      <c r="V1142" s="1"/>
      <c r="AC1142" s="1"/>
      <c r="AJ1142" s="1"/>
      <c r="AQ1142" s="1"/>
      <c r="AX1142" s="1"/>
    </row>
    <row r="1143" spans="1:50" x14ac:dyDescent="0.25">
      <c r="A1143" s="1"/>
      <c r="H1143" s="1"/>
      <c r="O1143" s="1"/>
      <c r="V1143" s="1"/>
      <c r="AC1143" s="1"/>
      <c r="AJ1143" s="1"/>
      <c r="AQ1143" s="1"/>
      <c r="AX1143" s="1"/>
    </row>
    <row r="1144" spans="1:50" x14ac:dyDescent="0.25">
      <c r="A1144" s="1"/>
      <c r="H1144" s="1"/>
      <c r="O1144" s="1"/>
      <c r="V1144" s="1"/>
      <c r="AC1144" s="1"/>
      <c r="AJ1144" s="1"/>
      <c r="AQ1144" s="1"/>
      <c r="AX1144" s="1"/>
    </row>
    <row r="1145" spans="1:50" x14ac:dyDescent="0.25">
      <c r="A1145" s="1"/>
      <c r="H1145" s="1"/>
      <c r="O1145" s="1"/>
      <c r="V1145" s="1"/>
      <c r="AC1145" s="1"/>
      <c r="AJ1145" s="1"/>
      <c r="AQ1145" s="1"/>
      <c r="AX1145" s="1"/>
    </row>
    <row r="1146" spans="1:50" x14ac:dyDescent="0.25">
      <c r="A1146" s="1"/>
      <c r="H1146" s="1"/>
      <c r="O1146" s="1"/>
      <c r="V1146" s="1"/>
      <c r="AC1146" s="1"/>
      <c r="AJ1146" s="1"/>
      <c r="AQ1146" s="1"/>
      <c r="AX1146" s="1"/>
    </row>
    <row r="1147" spans="1:50" x14ac:dyDescent="0.25">
      <c r="A1147" s="1"/>
      <c r="H1147" s="1"/>
      <c r="O1147" s="1"/>
      <c r="V1147" s="1"/>
      <c r="AC1147" s="1"/>
      <c r="AJ1147" s="1"/>
      <c r="AQ1147" s="1"/>
      <c r="AX1147" s="1"/>
    </row>
    <row r="1148" spans="1:50" x14ac:dyDescent="0.25">
      <c r="A1148" s="1"/>
      <c r="H1148" s="1"/>
      <c r="O1148" s="1"/>
      <c r="V1148" s="1"/>
      <c r="AC1148" s="1"/>
      <c r="AJ1148" s="1"/>
      <c r="AQ1148" s="1"/>
      <c r="AX1148" s="1"/>
    </row>
    <row r="1149" spans="1:50" x14ac:dyDescent="0.25">
      <c r="A1149" s="1"/>
      <c r="H1149" s="1"/>
      <c r="O1149" s="1"/>
      <c r="V1149" s="1"/>
      <c r="AC1149" s="1"/>
      <c r="AJ1149" s="1"/>
      <c r="AQ1149" s="1"/>
      <c r="AX1149" s="1"/>
    </row>
    <row r="1150" spans="1:50" x14ac:dyDescent="0.25">
      <c r="A1150" s="1"/>
      <c r="H1150" s="1"/>
      <c r="O1150" s="1"/>
      <c r="V1150" s="1"/>
      <c r="AC1150" s="1"/>
      <c r="AJ1150" s="1"/>
      <c r="AQ1150" s="1"/>
      <c r="AX1150" s="1"/>
    </row>
    <row r="1151" spans="1:50" x14ac:dyDescent="0.25">
      <c r="A1151" s="1"/>
      <c r="H1151" s="1"/>
      <c r="O1151" s="1"/>
      <c r="V1151" s="1"/>
      <c r="AC1151" s="1"/>
      <c r="AJ1151" s="1"/>
      <c r="AQ1151" s="1"/>
      <c r="AX1151" s="1"/>
    </row>
    <row r="1152" spans="1:50" x14ac:dyDescent="0.25">
      <c r="A1152" s="1"/>
      <c r="H1152" s="1"/>
      <c r="O1152" s="1"/>
      <c r="V1152" s="1"/>
      <c r="AC1152" s="1"/>
      <c r="AJ1152" s="1"/>
      <c r="AQ1152" s="1"/>
      <c r="AX1152" s="1"/>
    </row>
    <row r="1153" spans="1:50" x14ac:dyDescent="0.25">
      <c r="A1153" s="1"/>
      <c r="H1153" s="1"/>
      <c r="O1153" s="1"/>
      <c r="V1153" s="1"/>
      <c r="AC1153" s="1"/>
      <c r="AJ1153" s="1"/>
      <c r="AQ1153" s="1"/>
      <c r="AX1153" s="1"/>
    </row>
    <row r="1154" spans="1:50" x14ac:dyDescent="0.25">
      <c r="A1154" s="1"/>
      <c r="H1154" s="1"/>
      <c r="O1154" s="1"/>
      <c r="V1154" s="1"/>
      <c r="AC1154" s="1"/>
      <c r="AJ1154" s="1"/>
      <c r="AQ1154" s="1"/>
      <c r="AX1154" s="1"/>
    </row>
    <row r="1155" spans="1:50" x14ac:dyDescent="0.25">
      <c r="A1155" s="1"/>
      <c r="H1155" s="1"/>
      <c r="O1155" s="1"/>
      <c r="V1155" s="1"/>
      <c r="AC1155" s="1"/>
      <c r="AJ1155" s="1"/>
      <c r="AQ1155" s="1"/>
      <c r="AX1155" s="1"/>
    </row>
    <row r="1156" spans="1:50" x14ac:dyDescent="0.25">
      <c r="A1156" s="1"/>
      <c r="H1156" s="1"/>
      <c r="O1156" s="1"/>
      <c r="V1156" s="1"/>
      <c r="AC1156" s="1"/>
      <c r="AJ1156" s="1"/>
      <c r="AQ1156" s="1"/>
      <c r="AX1156" s="1"/>
    </row>
    <row r="1157" spans="1:50" x14ac:dyDescent="0.25">
      <c r="A1157" s="1"/>
      <c r="H1157" s="1"/>
      <c r="O1157" s="1"/>
      <c r="V1157" s="1"/>
      <c r="AC1157" s="1"/>
      <c r="AJ1157" s="1"/>
      <c r="AQ1157" s="1"/>
      <c r="AX1157" s="1"/>
    </row>
    <row r="1158" spans="1:50" x14ac:dyDescent="0.25">
      <c r="A1158" s="1"/>
      <c r="H1158" s="1"/>
      <c r="O1158" s="1"/>
      <c r="V1158" s="1"/>
      <c r="AC1158" s="1"/>
      <c r="AJ1158" s="1"/>
      <c r="AQ1158" s="1"/>
      <c r="AX1158" s="1"/>
    </row>
    <row r="1159" spans="1:50" x14ac:dyDescent="0.25">
      <c r="A1159" s="1"/>
      <c r="H1159" s="1"/>
      <c r="O1159" s="1"/>
      <c r="V1159" s="1"/>
      <c r="AC1159" s="1"/>
      <c r="AJ1159" s="1"/>
      <c r="AQ1159" s="1"/>
      <c r="AX1159" s="1"/>
    </row>
    <row r="1160" spans="1:50" x14ac:dyDescent="0.25">
      <c r="A1160" s="1"/>
      <c r="H1160" s="1"/>
      <c r="O1160" s="1"/>
      <c r="V1160" s="1"/>
      <c r="AC1160" s="1"/>
      <c r="AJ1160" s="1"/>
      <c r="AQ1160" s="1"/>
      <c r="AX1160" s="1"/>
    </row>
    <row r="1161" spans="1:50" x14ac:dyDescent="0.25">
      <c r="A1161" s="1"/>
      <c r="H1161" s="1"/>
      <c r="O1161" s="1"/>
      <c r="V1161" s="1"/>
      <c r="AC1161" s="1"/>
      <c r="AJ1161" s="1"/>
      <c r="AQ1161" s="1"/>
      <c r="AX1161" s="1"/>
    </row>
    <row r="1162" spans="1:50" x14ac:dyDescent="0.25">
      <c r="A1162" s="1"/>
      <c r="H1162" s="1"/>
      <c r="O1162" s="1"/>
      <c r="V1162" s="1"/>
      <c r="AC1162" s="1"/>
      <c r="AJ1162" s="1"/>
      <c r="AQ1162" s="1"/>
      <c r="AX1162" s="1"/>
    </row>
    <row r="1163" spans="1:50" x14ac:dyDescent="0.25">
      <c r="A1163" s="1"/>
      <c r="H1163" s="1"/>
      <c r="O1163" s="1"/>
      <c r="V1163" s="1"/>
      <c r="AC1163" s="1"/>
      <c r="AJ1163" s="1"/>
      <c r="AQ1163" s="1"/>
      <c r="AX1163" s="1"/>
    </row>
    <row r="1164" spans="1:50" x14ac:dyDescent="0.25">
      <c r="A1164" s="1"/>
      <c r="H1164" s="1"/>
      <c r="O1164" s="1"/>
      <c r="V1164" s="1"/>
      <c r="AC1164" s="1"/>
      <c r="AJ1164" s="1"/>
      <c r="AQ1164" s="1"/>
      <c r="AX1164" s="1"/>
    </row>
    <row r="1165" spans="1:50" x14ac:dyDescent="0.25">
      <c r="A1165" s="1"/>
      <c r="H1165" s="1"/>
      <c r="O1165" s="1"/>
      <c r="V1165" s="1"/>
      <c r="AC1165" s="1"/>
      <c r="AJ1165" s="1"/>
      <c r="AQ1165" s="1"/>
      <c r="AX1165" s="1"/>
    </row>
    <row r="1166" spans="1:50" x14ac:dyDescent="0.25">
      <c r="A1166" s="1"/>
      <c r="H1166" s="1"/>
      <c r="O1166" s="1"/>
      <c r="V1166" s="1"/>
      <c r="AC1166" s="1"/>
      <c r="AJ1166" s="1"/>
      <c r="AQ1166" s="1"/>
      <c r="AX1166" s="1"/>
    </row>
    <row r="1167" spans="1:50" x14ac:dyDescent="0.25">
      <c r="A1167" s="1"/>
      <c r="H1167" s="1"/>
      <c r="O1167" s="1"/>
      <c r="V1167" s="1"/>
      <c r="AC1167" s="1"/>
      <c r="AJ1167" s="1"/>
      <c r="AQ1167" s="1"/>
      <c r="AX1167" s="1"/>
    </row>
    <row r="1168" spans="1:50" x14ac:dyDescent="0.25">
      <c r="A1168" s="1"/>
      <c r="H1168" s="1"/>
      <c r="O1168" s="1"/>
      <c r="V1168" s="1"/>
      <c r="AC1168" s="1"/>
      <c r="AJ1168" s="1"/>
      <c r="AQ1168" s="1"/>
      <c r="AX1168" s="1"/>
    </row>
    <row r="1169" spans="1:50" x14ac:dyDescent="0.25">
      <c r="A1169" s="1"/>
      <c r="H1169" s="1"/>
      <c r="O1169" s="1"/>
      <c r="V1169" s="1"/>
      <c r="AC1169" s="1"/>
      <c r="AJ1169" s="1"/>
      <c r="AQ1169" s="1"/>
      <c r="AX1169" s="1"/>
    </row>
    <row r="1170" spans="1:50" x14ac:dyDescent="0.25">
      <c r="A1170" s="1"/>
      <c r="H1170" s="1"/>
      <c r="O1170" s="1"/>
      <c r="V1170" s="1"/>
      <c r="AC1170" s="1"/>
      <c r="AJ1170" s="1"/>
      <c r="AQ1170" s="1"/>
      <c r="AX1170" s="1"/>
    </row>
    <row r="1171" spans="1:50" x14ac:dyDescent="0.25">
      <c r="A1171" s="1"/>
      <c r="H1171" s="1"/>
      <c r="O1171" s="1"/>
      <c r="V1171" s="1"/>
      <c r="AC1171" s="1"/>
      <c r="AJ1171" s="1"/>
      <c r="AQ1171" s="1"/>
      <c r="AX1171" s="1"/>
    </row>
    <row r="1172" spans="1:50" x14ac:dyDescent="0.25">
      <c r="A1172" s="1"/>
      <c r="H1172" s="1"/>
      <c r="O1172" s="1"/>
      <c r="V1172" s="1"/>
      <c r="AC1172" s="1"/>
      <c r="AJ1172" s="1"/>
      <c r="AQ1172" s="1"/>
      <c r="AX1172" s="1"/>
    </row>
    <row r="1173" spans="1:50" x14ac:dyDescent="0.25">
      <c r="A1173" s="1"/>
      <c r="H1173" s="1"/>
      <c r="O1173" s="1"/>
      <c r="V1173" s="1"/>
      <c r="AC1173" s="1"/>
      <c r="AJ1173" s="1"/>
      <c r="AQ1173" s="1"/>
      <c r="AX1173" s="1"/>
    </row>
    <row r="1174" spans="1:50" x14ac:dyDescent="0.25">
      <c r="A1174" s="1"/>
      <c r="H1174" s="1"/>
      <c r="O1174" s="1"/>
      <c r="V1174" s="1"/>
      <c r="AC1174" s="1"/>
      <c r="AJ1174" s="1"/>
      <c r="AQ1174" s="1"/>
      <c r="AX1174" s="1"/>
    </row>
    <row r="1175" spans="1:50" x14ac:dyDescent="0.25">
      <c r="A1175" s="1"/>
      <c r="H1175" s="1"/>
      <c r="O1175" s="1"/>
      <c r="V1175" s="1"/>
      <c r="AC1175" s="1"/>
      <c r="AJ1175" s="1"/>
      <c r="AQ1175" s="1"/>
      <c r="AX1175" s="1"/>
    </row>
    <row r="1176" spans="1:50" x14ac:dyDescent="0.25">
      <c r="A1176" s="1"/>
      <c r="H1176" s="1"/>
      <c r="O1176" s="1"/>
      <c r="V1176" s="1"/>
      <c r="AC1176" s="1"/>
      <c r="AJ1176" s="1"/>
      <c r="AQ1176" s="1"/>
      <c r="AX1176" s="1"/>
    </row>
    <row r="1177" spans="1:50" x14ac:dyDescent="0.25">
      <c r="A1177" s="1"/>
      <c r="H1177" s="1"/>
      <c r="O1177" s="1"/>
      <c r="V1177" s="1"/>
      <c r="AC1177" s="1"/>
      <c r="AJ1177" s="1"/>
      <c r="AQ1177" s="1"/>
      <c r="AX1177" s="1"/>
    </row>
    <row r="1178" spans="1:50" x14ac:dyDescent="0.25">
      <c r="A1178" s="1"/>
      <c r="H1178" s="1"/>
      <c r="O1178" s="1"/>
      <c r="V1178" s="1"/>
      <c r="AC1178" s="1"/>
      <c r="AJ1178" s="1"/>
      <c r="AQ1178" s="1"/>
      <c r="AX1178" s="1"/>
    </row>
    <row r="1179" spans="1:50" x14ac:dyDescent="0.25">
      <c r="A1179" s="1"/>
      <c r="H1179" s="1"/>
      <c r="O1179" s="1"/>
      <c r="V1179" s="1"/>
      <c r="AC1179" s="1"/>
      <c r="AJ1179" s="1"/>
      <c r="AQ1179" s="1"/>
      <c r="AX1179" s="1"/>
    </row>
    <row r="1180" spans="1:50" x14ac:dyDescent="0.25">
      <c r="A1180" s="1"/>
      <c r="H1180" s="1"/>
      <c r="O1180" s="1"/>
      <c r="V1180" s="1"/>
      <c r="AC1180" s="1"/>
      <c r="AJ1180" s="1"/>
      <c r="AQ1180" s="1"/>
      <c r="AX1180" s="1"/>
    </row>
    <row r="1181" spans="1:50" x14ac:dyDescent="0.25">
      <c r="A1181" s="1"/>
      <c r="H1181" s="1"/>
      <c r="O1181" s="1"/>
      <c r="V1181" s="1"/>
      <c r="AC1181" s="1"/>
      <c r="AJ1181" s="1"/>
      <c r="AQ1181" s="1"/>
      <c r="AX1181" s="1"/>
    </row>
    <row r="1182" spans="1:50" x14ac:dyDescent="0.25">
      <c r="A1182" s="1"/>
      <c r="H1182" s="1"/>
      <c r="O1182" s="1"/>
      <c r="V1182" s="1"/>
      <c r="AC1182" s="1"/>
      <c r="AJ1182" s="1"/>
      <c r="AQ1182" s="1"/>
      <c r="AX1182" s="1"/>
    </row>
    <row r="1183" spans="1:50" x14ac:dyDescent="0.25">
      <c r="A1183" s="1"/>
      <c r="H1183" s="1"/>
      <c r="O1183" s="1"/>
      <c r="V1183" s="1"/>
      <c r="AC1183" s="1"/>
      <c r="AJ1183" s="1"/>
      <c r="AQ1183" s="1"/>
      <c r="AX1183" s="1"/>
    </row>
    <row r="1184" spans="1:50" x14ac:dyDescent="0.25">
      <c r="A1184" s="1"/>
      <c r="H1184" s="1"/>
      <c r="O1184" s="1"/>
      <c r="V1184" s="1"/>
      <c r="AC1184" s="1"/>
      <c r="AJ1184" s="1"/>
      <c r="AQ1184" s="1"/>
      <c r="AX1184" s="1"/>
    </row>
    <row r="1185" spans="1:50" x14ac:dyDescent="0.25">
      <c r="A1185" s="1"/>
      <c r="H1185" s="1"/>
      <c r="O1185" s="1"/>
      <c r="V1185" s="1"/>
      <c r="AC1185" s="1"/>
      <c r="AJ1185" s="1"/>
      <c r="AQ1185" s="1"/>
      <c r="AX1185" s="1"/>
    </row>
    <row r="1186" spans="1:50" x14ac:dyDescent="0.25">
      <c r="A1186" s="1"/>
      <c r="H1186" s="1"/>
      <c r="O1186" s="1"/>
      <c r="V1186" s="1"/>
      <c r="AC1186" s="1"/>
      <c r="AJ1186" s="1"/>
      <c r="AQ1186" s="1"/>
      <c r="AX1186" s="1"/>
    </row>
    <row r="1187" spans="1:50" x14ac:dyDescent="0.25">
      <c r="A1187" s="1"/>
      <c r="H1187" s="1"/>
      <c r="O1187" s="1"/>
      <c r="V1187" s="1"/>
      <c r="AC1187" s="1"/>
      <c r="AJ1187" s="1"/>
      <c r="AQ1187" s="1"/>
      <c r="AX1187" s="1"/>
    </row>
    <row r="1188" spans="1:50" x14ac:dyDescent="0.25">
      <c r="A1188" s="1"/>
      <c r="H1188" s="1"/>
      <c r="O1188" s="1"/>
      <c r="V1188" s="1"/>
      <c r="AC1188" s="1"/>
      <c r="AJ1188" s="1"/>
      <c r="AQ1188" s="1"/>
      <c r="AX1188" s="1"/>
    </row>
    <row r="1189" spans="1:50" x14ac:dyDescent="0.25">
      <c r="A1189" s="1"/>
      <c r="H1189" s="1"/>
      <c r="O1189" s="1"/>
      <c r="V1189" s="1"/>
      <c r="AC1189" s="1"/>
      <c r="AJ1189" s="1"/>
      <c r="AQ1189" s="1"/>
      <c r="AX1189" s="1"/>
    </row>
    <row r="1190" spans="1:50" x14ac:dyDescent="0.25">
      <c r="A1190" s="1"/>
      <c r="H1190" s="1"/>
      <c r="O1190" s="1"/>
      <c r="V1190" s="1"/>
      <c r="AC1190" s="1"/>
      <c r="AJ1190" s="1"/>
      <c r="AQ1190" s="1"/>
      <c r="AX1190" s="1"/>
    </row>
    <row r="1191" spans="1:50" x14ac:dyDescent="0.25">
      <c r="A1191" s="1"/>
      <c r="H1191" s="1"/>
      <c r="O1191" s="1"/>
      <c r="V1191" s="1"/>
      <c r="AC1191" s="1"/>
      <c r="AJ1191" s="1"/>
      <c r="AQ1191" s="1"/>
      <c r="AX1191" s="1"/>
    </row>
    <row r="1192" spans="1:50" x14ac:dyDescent="0.25">
      <c r="A1192" s="1"/>
      <c r="H1192" s="1"/>
      <c r="O1192" s="1"/>
      <c r="V1192" s="1"/>
      <c r="AC1192" s="1"/>
      <c r="AJ1192" s="1"/>
      <c r="AQ1192" s="1"/>
      <c r="AX1192" s="1"/>
    </row>
    <row r="1193" spans="1:50" x14ac:dyDescent="0.25">
      <c r="A1193" s="1"/>
      <c r="H1193" s="1"/>
      <c r="O1193" s="1"/>
      <c r="V1193" s="1"/>
      <c r="AC1193" s="1"/>
      <c r="AJ1193" s="1"/>
      <c r="AQ1193" s="1"/>
      <c r="AX1193" s="1"/>
    </row>
    <row r="1194" spans="1:50" x14ac:dyDescent="0.25">
      <c r="A1194" s="1"/>
      <c r="H1194" s="1"/>
      <c r="O1194" s="1"/>
      <c r="V1194" s="1"/>
      <c r="AC1194" s="1"/>
      <c r="AJ1194" s="1"/>
      <c r="AQ1194" s="1"/>
      <c r="AX1194" s="1"/>
    </row>
    <row r="1195" spans="1:50" x14ac:dyDescent="0.25">
      <c r="A1195" s="1"/>
      <c r="H1195" s="1"/>
      <c r="O1195" s="1"/>
      <c r="V1195" s="1"/>
      <c r="AC1195" s="1"/>
      <c r="AJ1195" s="1"/>
      <c r="AQ1195" s="1"/>
      <c r="AX1195" s="1"/>
    </row>
    <row r="1196" spans="1:50" x14ac:dyDescent="0.25">
      <c r="A1196" s="1"/>
      <c r="H1196" s="1"/>
      <c r="O1196" s="1"/>
      <c r="V1196" s="1"/>
      <c r="AC1196" s="1"/>
      <c r="AJ1196" s="1"/>
      <c r="AQ1196" s="1"/>
      <c r="AX1196" s="1"/>
    </row>
    <row r="1197" spans="1:50" x14ac:dyDescent="0.25">
      <c r="A1197" s="1"/>
      <c r="H1197" s="1"/>
      <c r="O1197" s="1"/>
      <c r="V1197" s="1"/>
      <c r="AC1197" s="1"/>
      <c r="AJ1197" s="1"/>
      <c r="AQ1197" s="1"/>
      <c r="AX1197" s="1"/>
    </row>
    <row r="1198" spans="1:50" x14ac:dyDescent="0.25">
      <c r="A1198" s="1"/>
      <c r="H1198" s="1"/>
      <c r="O1198" s="1"/>
      <c r="V1198" s="1"/>
      <c r="AC1198" s="1"/>
      <c r="AJ1198" s="1"/>
      <c r="AQ1198" s="1"/>
      <c r="AX1198" s="1"/>
    </row>
    <row r="1199" spans="1:50" x14ac:dyDescent="0.25">
      <c r="A1199" s="1"/>
      <c r="H1199" s="1"/>
      <c r="O1199" s="1"/>
      <c r="V1199" s="1"/>
      <c r="AC1199" s="1"/>
      <c r="AJ1199" s="1"/>
      <c r="AQ1199" s="1"/>
      <c r="AX1199" s="1"/>
    </row>
    <row r="1200" spans="1:50" x14ac:dyDescent="0.25">
      <c r="A1200" s="1"/>
      <c r="H1200" s="1"/>
      <c r="O1200" s="1"/>
      <c r="V1200" s="1"/>
      <c r="AC1200" s="1"/>
      <c r="AJ1200" s="1"/>
      <c r="AQ1200" s="1"/>
      <c r="AX1200" s="1"/>
    </row>
    <row r="1201" spans="1:50" x14ac:dyDescent="0.25">
      <c r="A1201" s="1"/>
      <c r="H1201" s="1"/>
      <c r="O1201" s="1"/>
      <c r="V1201" s="1"/>
      <c r="AC1201" s="1"/>
      <c r="AJ1201" s="1"/>
      <c r="AQ1201" s="1"/>
      <c r="AX1201" s="1"/>
    </row>
    <row r="1202" spans="1:50" x14ac:dyDescent="0.25">
      <c r="A1202" s="1"/>
      <c r="H1202" s="1"/>
      <c r="O1202" s="1"/>
      <c r="V1202" s="1"/>
      <c r="AC1202" s="1"/>
      <c r="AJ1202" s="1"/>
      <c r="AQ1202" s="1"/>
      <c r="AX1202" s="1"/>
    </row>
    <row r="1203" spans="1:50" x14ac:dyDescent="0.25">
      <c r="A1203" s="1"/>
      <c r="H1203" s="1"/>
      <c r="O1203" s="1"/>
      <c r="V1203" s="1"/>
      <c r="AC1203" s="1"/>
      <c r="AJ1203" s="1"/>
      <c r="AQ1203" s="1"/>
      <c r="AX1203" s="1"/>
    </row>
    <row r="1204" spans="1:50" x14ac:dyDescent="0.25">
      <c r="A1204" s="1"/>
      <c r="H1204" s="1"/>
      <c r="O1204" s="1"/>
      <c r="V1204" s="1"/>
      <c r="AC1204" s="1"/>
      <c r="AJ1204" s="1"/>
      <c r="AQ1204" s="1"/>
      <c r="AX1204" s="1"/>
    </row>
    <row r="1205" spans="1:50" x14ac:dyDescent="0.25">
      <c r="A1205" s="1"/>
      <c r="H1205" s="1"/>
      <c r="O1205" s="1"/>
      <c r="V1205" s="1"/>
      <c r="AC1205" s="1"/>
      <c r="AJ1205" s="1"/>
      <c r="AQ1205" s="1"/>
      <c r="AX1205" s="1"/>
    </row>
    <row r="1206" spans="1:50" x14ac:dyDescent="0.25">
      <c r="A1206" s="1"/>
      <c r="H1206" s="1"/>
      <c r="O1206" s="1"/>
      <c r="V1206" s="1"/>
      <c r="AC1206" s="1"/>
      <c r="AJ1206" s="1"/>
      <c r="AQ1206" s="1"/>
      <c r="AX1206" s="1"/>
    </row>
    <row r="1207" spans="1:50" x14ac:dyDescent="0.25">
      <c r="A1207" s="1"/>
      <c r="H1207" s="1"/>
      <c r="O1207" s="1"/>
      <c r="V1207" s="1"/>
      <c r="AC1207" s="1"/>
      <c r="AJ1207" s="1"/>
      <c r="AQ1207" s="1"/>
      <c r="AX1207" s="1"/>
    </row>
    <row r="1208" spans="1:50" x14ac:dyDescent="0.25">
      <c r="A1208" s="1"/>
      <c r="H1208" s="1"/>
      <c r="O1208" s="1"/>
      <c r="V1208" s="1"/>
      <c r="AC1208" s="1"/>
      <c r="AJ1208" s="1"/>
      <c r="AQ1208" s="1"/>
      <c r="AX1208" s="1"/>
    </row>
    <row r="1209" spans="1:50" x14ac:dyDescent="0.25">
      <c r="A1209" s="1"/>
      <c r="H1209" s="1"/>
      <c r="O1209" s="1"/>
      <c r="V1209" s="1"/>
      <c r="AC1209" s="1"/>
      <c r="AJ1209" s="1"/>
      <c r="AQ1209" s="1"/>
      <c r="AX1209" s="1"/>
    </row>
    <row r="1210" spans="1:50" x14ac:dyDescent="0.25">
      <c r="A1210" s="1"/>
      <c r="H1210" s="1"/>
      <c r="O1210" s="1"/>
      <c r="V1210" s="1"/>
      <c r="AC1210" s="1"/>
      <c r="AJ1210" s="1"/>
      <c r="AQ1210" s="1"/>
      <c r="AX1210" s="1"/>
    </row>
    <row r="1211" spans="1:50" x14ac:dyDescent="0.25">
      <c r="A1211" s="1"/>
      <c r="H1211" s="1"/>
      <c r="O1211" s="1"/>
      <c r="V1211" s="1"/>
      <c r="AC1211" s="1"/>
      <c r="AJ1211" s="1"/>
      <c r="AQ1211" s="1"/>
      <c r="AX1211" s="1"/>
    </row>
    <row r="1212" spans="1:50" x14ac:dyDescent="0.25">
      <c r="A1212" s="1"/>
      <c r="H1212" s="1"/>
      <c r="O1212" s="1"/>
      <c r="V1212" s="1"/>
      <c r="AC1212" s="1"/>
      <c r="AJ1212" s="1"/>
      <c r="AQ1212" s="1"/>
      <c r="AX1212" s="1"/>
    </row>
    <row r="1213" spans="1:50" x14ac:dyDescent="0.25">
      <c r="A1213" s="1"/>
      <c r="H1213" s="1"/>
      <c r="O1213" s="1"/>
      <c r="V1213" s="1"/>
      <c r="AC1213" s="1"/>
      <c r="AJ1213" s="1"/>
      <c r="AQ1213" s="1"/>
      <c r="AX1213" s="1"/>
    </row>
    <row r="1214" spans="1:50" x14ac:dyDescent="0.25">
      <c r="A1214" s="1"/>
      <c r="H1214" s="1"/>
      <c r="O1214" s="1"/>
      <c r="V1214" s="1"/>
      <c r="AC1214" s="1"/>
      <c r="AJ1214" s="1"/>
      <c r="AQ1214" s="1"/>
      <c r="AX1214" s="1"/>
    </row>
    <row r="1215" spans="1:50" x14ac:dyDescent="0.25">
      <c r="A1215" s="1"/>
      <c r="H1215" s="1"/>
      <c r="O1215" s="1"/>
      <c r="V1215" s="1"/>
      <c r="AC1215" s="1"/>
      <c r="AJ1215" s="1"/>
      <c r="AQ1215" s="1"/>
      <c r="AX1215" s="1"/>
    </row>
    <row r="1216" spans="1:50" x14ac:dyDescent="0.25">
      <c r="A1216" s="1"/>
      <c r="H1216" s="1"/>
      <c r="O1216" s="1"/>
      <c r="V1216" s="1"/>
      <c r="AC1216" s="1"/>
      <c r="AJ1216" s="1"/>
      <c r="AQ1216" s="1"/>
      <c r="AX1216" s="1"/>
    </row>
    <row r="1217" spans="1:50" x14ac:dyDescent="0.25">
      <c r="A1217" s="1"/>
      <c r="H1217" s="1"/>
      <c r="O1217" s="1"/>
      <c r="V1217" s="1"/>
      <c r="AC1217" s="1"/>
      <c r="AJ1217" s="1"/>
      <c r="AQ1217" s="1"/>
      <c r="AX1217" s="1"/>
    </row>
    <row r="1218" spans="1:50" x14ac:dyDescent="0.25">
      <c r="A1218" s="1"/>
      <c r="H1218" s="1"/>
      <c r="O1218" s="1"/>
      <c r="V1218" s="1"/>
      <c r="AC1218" s="1"/>
      <c r="AJ1218" s="1"/>
      <c r="AQ1218" s="1"/>
      <c r="AX1218" s="1"/>
    </row>
    <row r="1219" spans="1:50" x14ac:dyDescent="0.25">
      <c r="A1219" s="1"/>
      <c r="H1219" s="1"/>
      <c r="O1219" s="1"/>
      <c r="V1219" s="1"/>
      <c r="AC1219" s="1"/>
      <c r="AJ1219" s="1"/>
      <c r="AQ1219" s="1"/>
      <c r="AX1219" s="1"/>
    </row>
    <row r="1220" spans="1:50" x14ac:dyDescent="0.25">
      <c r="A1220" s="1"/>
      <c r="H1220" s="1"/>
      <c r="O1220" s="1"/>
      <c r="V1220" s="1"/>
      <c r="AC1220" s="1"/>
      <c r="AJ1220" s="1"/>
      <c r="AQ1220" s="1"/>
      <c r="AX1220" s="1"/>
    </row>
    <row r="1221" spans="1:50" x14ac:dyDescent="0.25">
      <c r="A1221" s="1"/>
      <c r="H1221" s="1"/>
      <c r="O1221" s="1"/>
      <c r="V1221" s="1"/>
      <c r="AC1221" s="1"/>
      <c r="AJ1221" s="1"/>
      <c r="AQ1221" s="1"/>
      <c r="AX1221" s="1"/>
    </row>
    <row r="1222" spans="1:50" x14ac:dyDescent="0.25">
      <c r="A1222" s="1"/>
      <c r="H1222" s="1"/>
      <c r="O1222" s="1"/>
      <c r="V1222" s="1"/>
      <c r="AC1222" s="1"/>
      <c r="AJ1222" s="1"/>
      <c r="AQ1222" s="1"/>
      <c r="AX1222" s="1"/>
    </row>
    <row r="1223" spans="1:50" x14ac:dyDescent="0.25">
      <c r="A1223" s="1"/>
      <c r="H1223" s="1"/>
      <c r="O1223" s="1"/>
      <c r="V1223" s="1"/>
      <c r="AC1223" s="1"/>
      <c r="AJ1223" s="1"/>
      <c r="AQ1223" s="1"/>
      <c r="AX1223" s="1"/>
    </row>
    <row r="1224" spans="1:50" x14ac:dyDescent="0.25">
      <c r="A1224" s="1"/>
      <c r="H1224" s="1"/>
      <c r="O1224" s="1"/>
      <c r="V1224" s="1"/>
      <c r="AC1224" s="1"/>
      <c r="AJ1224" s="1"/>
      <c r="AQ1224" s="1"/>
      <c r="AX1224" s="1"/>
    </row>
    <row r="1225" spans="1:50" x14ac:dyDescent="0.25">
      <c r="A1225" s="1"/>
      <c r="H1225" s="1"/>
      <c r="O1225" s="1"/>
      <c r="V1225" s="1"/>
      <c r="AC1225" s="1"/>
      <c r="AJ1225" s="1"/>
      <c r="AQ1225" s="1"/>
      <c r="AX1225" s="1"/>
    </row>
    <row r="1226" spans="1:50" x14ac:dyDescent="0.25">
      <c r="A1226" s="1"/>
      <c r="H1226" s="1"/>
      <c r="O1226" s="1"/>
      <c r="V1226" s="1"/>
      <c r="AC1226" s="1"/>
      <c r="AJ1226" s="1"/>
      <c r="AQ1226" s="1"/>
      <c r="AX1226" s="1"/>
    </row>
    <row r="1227" spans="1:50" x14ac:dyDescent="0.25">
      <c r="A1227" s="1"/>
      <c r="H1227" s="1"/>
      <c r="O1227" s="1"/>
      <c r="V1227" s="1"/>
      <c r="AC1227" s="1"/>
      <c r="AJ1227" s="1"/>
      <c r="AQ1227" s="1"/>
      <c r="AX1227" s="1"/>
    </row>
    <row r="1228" spans="1:50" x14ac:dyDescent="0.25">
      <c r="A1228" s="1"/>
      <c r="H1228" s="1"/>
      <c r="O1228" s="1"/>
      <c r="V1228" s="1"/>
      <c r="AC1228" s="1"/>
      <c r="AJ1228" s="1"/>
      <c r="AQ1228" s="1"/>
      <c r="AX1228" s="1"/>
    </row>
    <row r="1229" spans="1:50" x14ac:dyDescent="0.25">
      <c r="A1229" s="1"/>
      <c r="H1229" s="1"/>
      <c r="O1229" s="1"/>
      <c r="V1229" s="1"/>
      <c r="AC1229" s="1"/>
      <c r="AJ1229" s="1"/>
      <c r="AQ1229" s="1"/>
      <c r="AX1229" s="1"/>
    </row>
    <row r="1230" spans="1:50" x14ac:dyDescent="0.25">
      <c r="A1230" s="1"/>
      <c r="H1230" s="1"/>
      <c r="O1230" s="1"/>
      <c r="V1230" s="1"/>
      <c r="AC1230" s="1"/>
      <c r="AJ1230" s="1"/>
      <c r="AQ1230" s="1"/>
      <c r="AX1230" s="1"/>
    </row>
    <row r="1231" spans="1:50" x14ac:dyDescent="0.25">
      <c r="A1231" s="1"/>
      <c r="H1231" s="1"/>
      <c r="O1231" s="1"/>
      <c r="V1231" s="1"/>
      <c r="AC1231" s="1"/>
      <c r="AJ1231" s="1"/>
      <c r="AQ1231" s="1"/>
      <c r="AX1231" s="1"/>
    </row>
    <row r="1232" spans="1:50" x14ac:dyDescent="0.25">
      <c r="A1232" s="1"/>
      <c r="H1232" s="1"/>
      <c r="O1232" s="1"/>
      <c r="V1232" s="1"/>
      <c r="AC1232" s="1"/>
      <c r="AJ1232" s="1"/>
      <c r="AQ1232" s="1"/>
      <c r="AX1232" s="1"/>
    </row>
    <row r="1233" spans="1:50" x14ac:dyDescent="0.25">
      <c r="A1233" s="1"/>
      <c r="H1233" s="1"/>
      <c r="O1233" s="1"/>
      <c r="V1233" s="1"/>
      <c r="AC1233" s="1"/>
      <c r="AJ1233" s="1"/>
      <c r="AQ1233" s="1"/>
      <c r="AX1233" s="1"/>
    </row>
    <row r="1234" spans="1:50" x14ac:dyDescent="0.25">
      <c r="A1234" s="1"/>
      <c r="H1234" s="1"/>
      <c r="O1234" s="1"/>
      <c r="V1234" s="1"/>
      <c r="AC1234" s="1"/>
      <c r="AJ1234" s="1"/>
      <c r="AQ1234" s="1"/>
      <c r="AX1234" s="1"/>
    </row>
    <row r="1235" spans="1:50" x14ac:dyDescent="0.25">
      <c r="A1235" s="1"/>
      <c r="H1235" s="1"/>
      <c r="O1235" s="1"/>
      <c r="V1235" s="1"/>
      <c r="AC1235" s="1"/>
      <c r="AJ1235" s="1"/>
      <c r="AQ1235" s="1"/>
      <c r="AX1235" s="1"/>
    </row>
    <row r="1236" spans="1:50" x14ac:dyDescent="0.25">
      <c r="A1236" s="1"/>
      <c r="H1236" s="1"/>
      <c r="O1236" s="1"/>
      <c r="V1236" s="1"/>
      <c r="AC1236" s="1"/>
      <c r="AJ1236" s="1"/>
      <c r="AQ1236" s="1"/>
      <c r="AX1236" s="1"/>
    </row>
    <row r="1237" spans="1:50" x14ac:dyDescent="0.25">
      <c r="A1237" s="1"/>
      <c r="H1237" s="1"/>
      <c r="O1237" s="1"/>
      <c r="V1237" s="1"/>
      <c r="AC1237" s="1"/>
      <c r="AJ1237" s="1"/>
      <c r="AQ1237" s="1"/>
      <c r="AX1237" s="1"/>
    </row>
    <row r="1238" spans="1:50" x14ac:dyDescent="0.25">
      <c r="A1238" s="1"/>
      <c r="H1238" s="1"/>
      <c r="O1238" s="1"/>
      <c r="V1238" s="1"/>
      <c r="AC1238" s="1"/>
      <c r="AJ1238" s="1"/>
      <c r="AQ1238" s="1"/>
      <c r="AX1238" s="1"/>
    </row>
    <row r="1239" spans="1:50" x14ac:dyDescent="0.25">
      <c r="A1239" s="1"/>
      <c r="H1239" s="1"/>
      <c r="O1239" s="1"/>
      <c r="V1239" s="1"/>
      <c r="AC1239" s="1"/>
      <c r="AJ1239" s="1"/>
      <c r="AQ1239" s="1"/>
      <c r="AX1239" s="1"/>
    </row>
    <row r="1240" spans="1:50" x14ac:dyDescent="0.25">
      <c r="A1240" s="1"/>
      <c r="H1240" s="1"/>
      <c r="O1240" s="1"/>
      <c r="V1240" s="1"/>
      <c r="AC1240" s="1"/>
      <c r="AJ1240" s="1"/>
      <c r="AQ1240" s="1"/>
      <c r="AX1240" s="1"/>
    </row>
    <row r="1241" spans="1:50" x14ac:dyDescent="0.25">
      <c r="A1241" s="1"/>
      <c r="H1241" s="1"/>
      <c r="O1241" s="1"/>
      <c r="V1241" s="1"/>
      <c r="AC1241" s="1"/>
      <c r="AJ1241" s="1"/>
      <c r="AQ1241" s="1"/>
      <c r="AX1241" s="1"/>
    </row>
    <row r="1242" spans="1:50" x14ac:dyDescent="0.25">
      <c r="A1242" s="1"/>
      <c r="H1242" s="1"/>
      <c r="O1242" s="1"/>
      <c r="V1242" s="1"/>
      <c r="AC1242" s="1"/>
      <c r="AJ1242" s="1"/>
      <c r="AQ1242" s="1"/>
      <c r="AX1242" s="1"/>
    </row>
    <row r="1243" spans="1:50" x14ac:dyDescent="0.25">
      <c r="A1243" s="1"/>
      <c r="H1243" s="1"/>
      <c r="O1243" s="1"/>
      <c r="V1243" s="1"/>
      <c r="AC1243" s="1"/>
      <c r="AJ1243" s="1"/>
      <c r="AQ1243" s="1"/>
      <c r="AX1243" s="1"/>
    </row>
    <row r="1244" spans="1:50" x14ac:dyDescent="0.25">
      <c r="A1244" s="1"/>
      <c r="H1244" s="1"/>
      <c r="O1244" s="1"/>
      <c r="V1244" s="1"/>
      <c r="AC1244" s="1"/>
      <c r="AJ1244" s="1"/>
      <c r="AQ1244" s="1"/>
      <c r="AX1244" s="1"/>
    </row>
    <row r="1245" spans="1:50" x14ac:dyDescent="0.25">
      <c r="A1245" s="1"/>
      <c r="H1245" s="1"/>
      <c r="O1245" s="1"/>
      <c r="V1245" s="1"/>
      <c r="AC1245" s="1"/>
      <c r="AJ1245" s="1"/>
      <c r="AQ1245" s="1"/>
      <c r="AX1245" s="1"/>
    </row>
    <row r="1246" spans="1:50" x14ac:dyDescent="0.25">
      <c r="A1246" s="1"/>
      <c r="H1246" s="1"/>
      <c r="O1246" s="1"/>
      <c r="V1246" s="1"/>
      <c r="AC1246" s="1"/>
      <c r="AJ1246" s="1"/>
      <c r="AQ1246" s="1"/>
      <c r="AX1246" s="1"/>
    </row>
    <row r="1247" spans="1:50" x14ac:dyDescent="0.25">
      <c r="A1247" s="1"/>
      <c r="H1247" s="1"/>
      <c r="O1247" s="1"/>
      <c r="V1247" s="1"/>
      <c r="AC1247" s="1"/>
      <c r="AJ1247" s="1"/>
      <c r="AQ1247" s="1"/>
      <c r="AX1247" s="1"/>
    </row>
    <row r="1248" spans="1:50" x14ac:dyDescent="0.25">
      <c r="A1248" s="1"/>
      <c r="H1248" s="1"/>
      <c r="O1248" s="1"/>
      <c r="V1248" s="1"/>
      <c r="AC1248" s="1"/>
      <c r="AJ1248" s="1"/>
      <c r="AQ1248" s="1"/>
      <c r="AX1248" s="1"/>
    </row>
    <row r="1249" spans="1:50" x14ac:dyDescent="0.25">
      <c r="A1249" s="1"/>
      <c r="H1249" s="1"/>
      <c r="O1249" s="1"/>
      <c r="V1249" s="1"/>
      <c r="AC1249" s="1"/>
      <c r="AJ1249" s="1"/>
      <c r="AQ1249" s="1"/>
      <c r="AX1249" s="1"/>
    </row>
    <row r="1250" spans="1:50" x14ac:dyDescent="0.25">
      <c r="A1250" s="1"/>
      <c r="H1250" s="1"/>
      <c r="O1250" s="1"/>
      <c r="V1250" s="1"/>
      <c r="AC1250" s="1"/>
      <c r="AJ1250" s="1"/>
      <c r="AQ1250" s="1"/>
      <c r="AX1250" s="1"/>
    </row>
    <row r="1251" spans="1:50" x14ac:dyDescent="0.25">
      <c r="A1251" s="1"/>
      <c r="H1251" s="1"/>
      <c r="O1251" s="1"/>
      <c r="V1251" s="1"/>
      <c r="AC1251" s="1"/>
      <c r="AJ1251" s="1"/>
      <c r="AQ1251" s="1"/>
      <c r="AX1251" s="1"/>
    </row>
    <row r="1252" spans="1:50" x14ac:dyDescent="0.25">
      <c r="A1252" s="1"/>
      <c r="H1252" s="1"/>
      <c r="O1252" s="1"/>
      <c r="V1252" s="1"/>
      <c r="AC1252" s="1"/>
      <c r="AJ1252" s="1"/>
      <c r="AQ1252" s="1"/>
      <c r="AX1252" s="1"/>
    </row>
    <row r="1253" spans="1:50" x14ac:dyDescent="0.25">
      <c r="A1253" s="1"/>
      <c r="H1253" s="1"/>
      <c r="O1253" s="1"/>
      <c r="V1253" s="1"/>
      <c r="AC1253" s="1"/>
      <c r="AJ1253" s="1"/>
      <c r="AQ1253" s="1"/>
      <c r="AX1253" s="1"/>
    </row>
    <row r="1254" spans="1:50" x14ac:dyDescent="0.25">
      <c r="A1254" s="1"/>
      <c r="H1254" s="1"/>
      <c r="O1254" s="1"/>
      <c r="V1254" s="1"/>
      <c r="AC1254" s="1"/>
      <c r="AJ1254" s="1"/>
      <c r="AQ1254" s="1"/>
      <c r="AX1254" s="1"/>
    </row>
    <row r="1255" spans="1:50" x14ac:dyDescent="0.25">
      <c r="A1255" s="1"/>
      <c r="H1255" s="1"/>
      <c r="O1255" s="1"/>
      <c r="V1255" s="1"/>
      <c r="AC1255" s="1"/>
      <c r="AJ1255" s="1"/>
      <c r="AQ1255" s="1"/>
      <c r="AX1255" s="1"/>
    </row>
    <row r="1256" spans="1:50" x14ac:dyDescent="0.25">
      <c r="A1256" s="1"/>
      <c r="H1256" s="1"/>
      <c r="O1256" s="1"/>
      <c r="V1256" s="1"/>
      <c r="AC1256" s="1"/>
      <c r="AJ1256" s="1"/>
      <c r="AQ1256" s="1"/>
      <c r="AX1256" s="1"/>
    </row>
    <row r="1257" spans="1:50" x14ac:dyDescent="0.25">
      <c r="A1257" s="1"/>
      <c r="H1257" s="1"/>
      <c r="O1257" s="1"/>
      <c r="V1257" s="1"/>
      <c r="AC1257" s="1"/>
      <c r="AJ1257" s="1"/>
      <c r="AQ1257" s="1"/>
      <c r="AX1257" s="1"/>
    </row>
    <row r="1258" spans="1:50" x14ac:dyDescent="0.25">
      <c r="A1258" s="1"/>
      <c r="H1258" s="1"/>
      <c r="O1258" s="1"/>
      <c r="V1258" s="1"/>
      <c r="AC1258" s="1"/>
      <c r="AJ1258" s="1"/>
      <c r="AQ1258" s="1"/>
      <c r="AX1258" s="1"/>
    </row>
    <row r="1259" spans="1:50" x14ac:dyDescent="0.25">
      <c r="A1259" s="1"/>
      <c r="H1259" s="1"/>
      <c r="O1259" s="1"/>
      <c r="V1259" s="1"/>
      <c r="AC1259" s="1"/>
      <c r="AJ1259" s="1"/>
      <c r="AQ1259" s="1"/>
      <c r="AX1259" s="1"/>
    </row>
    <row r="1260" spans="1:50" x14ac:dyDescent="0.25">
      <c r="A1260" s="1"/>
      <c r="H1260" s="1"/>
      <c r="O1260" s="1"/>
      <c r="V1260" s="1"/>
      <c r="AC1260" s="1"/>
      <c r="AJ1260" s="1"/>
      <c r="AQ1260" s="1"/>
      <c r="AX1260" s="1"/>
    </row>
    <row r="1261" spans="1:50" x14ac:dyDescent="0.25">
      <c r="A1261" s="1"/>
      <c r="H1261" s="1"/>
      <c r="O1261" s="1"/>
      <c r="V1261" s="1"/>
      <c r="AC1261" s="1"/>
      <c r="AJ1261" s="1"/>
      <c r="AQ1261" s="1"/>
      <c r="AX1261" s="1"/>
    </row>
    <row r="1262" spans="1:50" x14ac:dyDescent="0.25">
      <c r="A1262" s="1"/>
      <c r="H1262" s="1"/>
      <c r="O1262" s="1"/>
      <c r="V1262" s="1"/>
      <c r="AC1262" s="1"/>
      <c r="AJ1262" s="1"/>
      <c r="AQ1262" s="1"/>
      <c r="AX1262" s="1"/>
    </row>
    <row r="1263" spans="1:50" x14ac:dyDescent="0.25">
      <c r="A1263" s="1"/>
      <c r="H1263" s="1"/>
      <c r="O1263" s="1"/>
      <c r="V1263" s="1"/>
      <c r="AC1263" s="1"/>
      <c r="AJ1263" s="1"/>
      <c r="AQ1263" s="1"/>
      <c r="AX1263" s="1"/>
    </row>
    <row r="1264" spans="1:50" x14ac:dyDescent="0.25">
      <c r="A1264" s="1"/>
      <c r="H1264" s="1"/>
      <c r="O1264" s="1"/>
      <c r="V1264" s="1"/>
      <c r="AC1264" s="1"/>
      <c r="AJ1264" s="1"/>
      <c r="AQ1264" s="1"/>
      <c r="AX1264" s="1"/>
    </row>
    <row r="1265" spans="1:50" x14ac:dyDescent="0.25">
      <c r="A1265" s="1"/>
      <c r="H1265" s="1"/>
      <c r="O1265" s="1"/>
      <c r="V1265" s="1"/>
      <c r="AC1265" s="1"/>
      <c r="AJ1265" s="1"/>
      <c r="AQ1265" s="1"/>
      <c r="AX1265" s="1"/>
    </row>
    <row r="1266" spans="1:50" x14ac:dyDescent="0.25">
      <c r="A1266" s="1"/>
      <c r="H1266" s="1"/>
      <c r="O1266" s="1"/>
      <c r="V1266" s="1"/>
      <c r="AC1266" s="1"/>
      <c r="AJ1266" s="1"/>
      <c r="AQ1266" s="1"/>
      <c r="AX1266" s="1"/>
    </row>
    <row r="1267" spans="1:50" x14ac:dyDescent="0.25">
      <c r="A1267" s="1"/>
      <c r="H1267" s="1"/>
      <c r="O1267" s="1"/>
      <c r="V1267" s="1"/>
      <c r="AC1267" s="1"/>
      <c r="AJ1267" s="1"/>
      <c r="AQ1267" s="1"/>
      <c r="AX1267" s="1"/>
    </row>
    <row r="1268" spans="1:50" x14ac:dyDescent="0.25">
      <c r="A1268" s="1"/>
      <c r="H1268" s="1"/>
      <c r="O1268" s="1"/>
      <c r="V1268" s="1"/>
      <c r="AC1268" s="1"/>
      <c r="AJ1268" s="1"/>
      <c r="AQ1268" s="1"/>
      <c r="AX1268" s="1"/>
    </row>
    <row r="1269" spans="1:50" x14ac:dyDescent="0.25">
      <c r="A1269" s="1"/>
      <c r="H1269" s="1"/>
      <c r="O1269" s="1"/>
      <c r="V1269" s="1"/>
      <c r="AC1269" s="1"/>
      <c r="AJ1269" s="1"/>
      <c r="AQ1269" s="1"/>
      <c r="AX1269" s="1"/>
    </row>
    <row r="1270" spans="1:50" x14ac:dyDescent="0.25">
      <c r="A1270" s="1"/>
      <c r="H1270" s="1"/>
      <c r="O1270" s="1"/>
      <c r="V1270" s="1"/>
      <c r="AC1270" s="1"/>
      <c r="AJ1270" s="1"/>
      <c r="AQ1270" s="1"/>
      <c r="AX1270" s="1"/>
    </row>
    <row r="1271" spans="1:50" x14ac:dyDescent="0.25">
      <c r="A1271" s="1"/>
      <c r="H1271" s="1"/>
      <c r="O1271" s="1"/>
      <c r="V1271" s="1"/>
      <c r="AC1271" s="1"/>
      <c r="AJ1271" s="1"/>
      <c r="AQ1271" s="1"/>
      <c r="AX1271" s="1"/>
    </row>
    <row r="1272" spans="1:50" x14ac:dyDescent="0.25">
      <c r="A1272" s="1"/>
      <c r="H1272" s="1"/>
      <c r="O1272" s="1"/>
      <c r="V1272" s="1"/>
      <c r="AC1272" s="1"/>
      <c r="AJ1272" s="1"/>
      <c r="AQ1272" s="1"/>
      <c r="AX1272" s="1"/>
    </row>
    <row r="1273" spans="1:50" x14ac:dyDescent="0.25">
      <c r="A1273" s="1"/>
      <c r="H1273" s="1"/>
      <c r="O1273" s="1"/>
      <c r="V1273" s="1"/>
      <c r="AC1273" s="1"/>
      <c r="AJ1273" s="1"/>
      <c r="AQ1273" s="1"/>
      <c r="AX1273" s="1"/>
    </row>
    <row r="1274" spans="1:50" x14ac:dyDescent="0.25">
      <c r="A1274" s="1"/>
      <c r="H1274" s="1"/>
      <c r="O1274" s="1"/>
      <c r="V1274" s="1"/>
      <c r="AC1274" s="1"/>
      <c r="AJ1274" s="1"/>
      <c r="AQ1274" s="1"/>
      <c r="AX1274" s="1"/>
    </row>
    <row r="1275" spans="1:50" x14ac:dyDescent="0.25">
      <c r="A1275" s="1"/>
      <c r="H1275" s="1"/>
      <c r="O1275" s="1"/>
      <c r="V1275" s="1"/>
      <c r="AC1275" s="1"/>
      <c r="AJ1275" s="1"/>
      <c r="AQ1275" s="1"/>
      <c r="AX1275" s="1"/>
    </row>
    <row r="1276" spans="1:50" x14ac:dyDescent="0.25">
      <c r="A1276" s="1"/>
      <c r="H1276" s="1"/>
      <c r="O1276" s="1"/>
      <c r="V1276" s="1"/>
      <c r="AC1276" s="1"/>
      <c r="AJ1276" s="1"/>
      <c r="AQ1276" s="1"/>
      <c r="AX1276" s="1"/>
    </row>
    <row r="1277" spans="1:50" x14ac:dyDescent="0.25">
      <c r="A1277" s="1"/>
      <c r="H1277" s="1"/>
      <c r="O1277" s="1"/>
      <c r="V1277" s="1"/>
      <c r="AC1277" s="1"/>
      <c r="AJ1277" s="1"/>
      <c r="AQ1277" s="1"/>
      <c r="AX1277" s="1"/>
    </row>
    <row r="1278" spans="1:50" x14ac:dyDescent="0.25">
      <c r="A1278" s="1"/>
      <c r="H1278" s="1"/>
      <c r="O1278" s="1"/>
      <c r="V1278" s="1"/>
      <c r="AC1278" s="1"/>
      <c r="AJ1278" s="1"/>
      <c r="AQ1278" s="1"/>
      <c r="AX1278" s="1"/>
    </row>
    <row r="1279" spans="1:50" x14ac:dyDescent="0.25">
      <c r="A1279" s="1"/>
      <c r="H1279" s="1"/>
      <c r="O1279" s="1"/>
      <c r="V1279" s="1"/>
      <c r="AC1279" s="1"/>
      <c r="AJ1279" s="1"/>
      <c r="AQ1279" s="1"/>
      <c r="AX1279" s="1"/>
    </row>
    <row r="1280" spans="1:50" x14ac:dyDescent="0.25">
      <c r="A1280" s="1"/>
      <c r="H1280" s="1"/>
      <c r="O1280" s="1"/>
      <c r="V1280" s="1"/>
      <c r="AC1280" s="1"/>
      <c r="AJ1280" s="1"/>
      <c r="AQ1280" s="1"/>
      <c r="AX1280" s="1"/>
    </row>
    <row r="1281" spans="1:50" x14ac:dyDescent="0.25">
      <c r="A1281" s="1"/>
      <c r="H1281" s="1"/>
      <c r="O1281" s="1"/>
      <c r="V1281" s="1"/>
      <c r="AC1281" s="1"/>
      <c r="AJ1281" s="1"/>
      <c r="AQ1281" s="1"/>
      <c r="AX1281" s="1"/>
    </row>
    <row r="1282" spans="1:50" x14ac:dyDescent="0.25">
      <c r="A1282" s="1"/>
      <c r="H1282" s="1"/>
      <c r="O1282" s="1"/>
      <c r="V1282" s="1"/>
      <c r="AC1282" s="1"/>
      <c r="AJ1282" s="1"/>
      <c r="AQ1282" s="1"/>
      <c r="AX1282" s="1"/>
    </row>
    <row r="1283" spans="1:50" x14ac:dyDescent="0.25">
      <c r="A1283" s="1"/>
      <c r="H1283" s="1"/>
      <c r="O1283" s="1"/>
      <c r="V1283" s="1"/>
      <c r="AC1283" s="1"/>
      <c r="AJ1283" s="1"/>
      <c r="AQ1283" s="1"/>
      <c r="AX1283" s="1"/>
    </row>
    <row r="1284" spans="1:50" x14ac:dyDescent="0.25">
      <c r="A1284" s="1"/>
      <c r="H1284" s="1"/>
      <c r="O1284" s="1"/>
      <c r="V1284" s="1"/>
      <c r="AC1284" s="1"/>
      <c r="AJ1284" s="1"/>
      <c r="AQ1284" s="1"/>
      <c r="AX1284" s="1"/>
    </row>
    <row r="1285" spans="1:50" x14ac:dyDescent="0.25">
      <c r="A1285" s="1"/>
      <c r="H1285" s="1"/>
      <c r="O1285" s="1"/>
      <c r="V1285" s="1"/>
      <c r="AC1285" s="1"/>
      <c r="AJ1285" s="1"/>
      <c r="AQ1285" s="1"/>
      <c r="AX1285" s="1"/>
    </row>
    <row r="1286" spans="1:50" x14ac:dyDescent="0.25">
      <c r="A1286" s="1"/>
      <c r="H1286" s="1"/>
      <c r="O1286" s="1"/>
      <c r="V1286" s="1"/>
      <c r="AC1286" s="1"/>
      <c r="AJ1286" s="1"/>
      <c r="AQ1286" s="1"/>
      <c r="AX1286" s="1"/>
    </row>
    <row r="1287" spans="1:50" x14ac:dyDescent="0.25">
      <c r="A1287" s="1"/>
      <c r="H1287" s="1"/>
      <c r="O1287" s="1"/>
      <c r="V1287" s="1"/>
      <c r="AC1287" s="1"/>
      <c r="AJ1287" s="1"/>
      <c r="AQ1287" s="1"/>
      <c r="AX1287" s="1"/>
    </row>
    <row r="1288" spans="1:50" x14ac:dyDescent="0.25">
      <c r="A1288" s="1"/>
      <c r="H1288" s="1"/>
      <c r="O1288" s="1"/>
      <c r="V1288" s="1"/>
      <c r="AC1288" s="1"/>
      <c r="AJ1288" s="1"/>
      <c r="AQ1288" s="1"/>
      <c r="AX1288" s="1"/>
    </row>
    <row r="1289" spans="1:50" x14ac:dyDescent="0.25">
      <c r="A1289" s="1"/>
      <c r="H1289" s="1"/>
      <c r="O1289" s="1"/>
      <c r="V1289" s="1"/>
      <c r="AC1289" s="1"/>
      <c r="AJ1289" s="1"/>
      <c r="AQ1289" s="1"/>
      <c r="AX1289" s="1"/>
    </row>
    <row r="1290" spans="1:50" x14ac:dyDescent="0.25">
      <c r="A1290" s="1"/>
      <c r="H1290" s="1"/>
      <c r="O1290" s="1"/>
      <c r="V1290" s="1"/>
      <c r="AC1290" s="1"/>
      <c r="AJ1290" s="1"/>
      <c r="AQ1290" s="1"/>
      <c r="AX1290" s="1"/>
    </row>
    <row r="1291" spans="1:50" x14ac:dyDescent="0.25">
      <c r="A1291" s="1"/>
      <c r="H1291" s="1"/>
      <c r="O1291" s="1"/>
      <c r="V1291" s="1"/>
      <c r="AC1291" s="1"/>
      <c r="AJ1291" s="1"/>
      <c r="AQ1291" s="1"/>
      <c r="AX1291" s="1"/>
    </row>
    <row r="1292" spans="1:50" x14ac:dyDescent="0.25">
      <c r="A1292" s="1"/>
      <c r="H1292" s="1"/>
      <c r="O1292" s="1"/>
      <c r="V1292" s="1"/>
      <c r="AC1292" s="1"/>
      <c r="AJ1292" s="1"/>
      <c r="AQ1292" s="1"/>
      <c r="AX1292" s="1"/>
    </row>
    <row r="1293" spans="1:50" x14ac:dyDescent="0.25">
      <c r="A1293" s="1"/>
      <c r="H1293" s="1"/>
      <c r="O1293" s="1"/>
      <c r="V1293" s="1"/>
      <c r="AC1293" s="1"/>
      <c r="AJ1293" s="1"/>
      <c r="AQ1293" s="1"/>
      <c r="AX1293" s="1"/>
    </row>
    <row r="1294" spans="1:50" x14ac:dyDescent="0.25">
      <c r="A1294" s="1"/>
      <c r="H1294" s="1"/>
      <c r="O1294" s="1"/>
      <c r="V1294" s="1"/>
      <c r="AC1294" s="1"/>
      <c r="AJ1294" s="1"/>
      <c r="AQ1294" s="1"/>
      <c r="AX1294" s="1"/>
    </row>
    <row r="1295" spans="1:50" x14ac:dyDescent="0.25">
      <c r="A1295" s="1"/>
      <c r="H1295" s="1"/>
      <c r="O1295" s="1"/>
      <c r="V1295" s="1"/>
      <c r="AC1295" s="1"/>
      <c r="AJ1295" s="1"/>
      <c r="AQ1295" s="1"/>
      <c r="AX1295" s="1"/>
    </row>
    <row r="1296" spans="1:50" x14ac:dyDescent="0.25">
      <c r="A1296" s="1"/>
      <c r="H1296" s="1"/>
      <c r="O1296" s="1"/>
      <c r="V1296" s="1"/>
      <c r="AC1296" s="1"/>
      <c r="AJ1296" s="1"/>
      <c r="AQ1296" s="1"/>
      <c r="AX1296" s="1"/>
    </row>
    <row r="1297" spans="1:50" x14ac:dyDescent="0.25">
      <c r="A1297" s="1"/>
      <c r="H1297" s="1"/>
      <c r="O1297" s="1"/>
      <c r="V1297" s="1"/>
      <c r="AC1297" s="1"/>
      <c r="AJ1297" s="1"/>
      <c r="AQ1297" s="1"/>
      <c r="AX1297" s="1"/>
    </row>
    <row r="1298" spans="1:50" x14ac:dyDescent="0.25">
      <c r="A1298" s="1"/>
      <c r="H1298" s="1"/>
      <c r="O1298" s="1"/>
      <c r="V1298" s="1"/>
      <c r="AC1298" s="1"/>
      <c r="AJ1298" s="1"/>
      <c r="AQ1298" s="1"/>
      <c r="AX1298" s="1"/>
    </row>
    <row r="1299" spans="1:50" x14ac:dyDescent="0.25">
      <c r="A1299" s="1"/>
      <c r="H1299" s="1"/>
      <c r="O1299" s="1"/>
      <c r="V1299" s="1"/>
      <c r="AC1299" s="1"/>
      <c r="AJ1299" s="1"/>
      <c r="AQ1299" s="1"/>
      <c r="AX1299" s="1"/>
    </row>
    <row r="1300" spans="1:50" x14ac:dyDescent="0.25">
      <c r="A1300" s="1"/>
      <c r="H1300" s="1"/>
      <c r="O1300" s="1"/>
      <c r="V1300" s="1"/>
      <c r="AC1300" s="1"/>
      <c r="AJ1300" s="1"/>
      <c r="AQ1300" s="1"/>
      <c r="AX1300" s="1"/>
    </row>
    <row r="1301" spans="1:50" x14ac:dyDescent="0.25">
      <c r="A1301" s="1"/>
      <c r="H1301" s="1"/>
      <c r="O1301" s="1"/>
      <c r="V1301" s="1"/>
      <c r="AC1301" s="1"/>
      <c r="AJ1301" s="1"/>
      <c r="AQ1301" s="1"/>
      <c r="AX1301" s="1"/>
    </row>
    <row r="1302" spans="1:50" x14ac:dyDescent="0.25">
      <c r="A1302" s="1"/>
      <c r="H1302" s="1"/>
      <c r="O1302" s="1"/>
      <c r="V1302" s="1"/>
      <c r="AC1302" s="1"/>
      <c r="AJ1302" s="1"/>
      <c r="AQ1302" s="1"/>
      <c r="AX1302" s="1"/>
    </row>
    <row r="1303" spans="1:50" x14ac:dyDescent="0.25">
      <c r="A1303" s="1"/>
      <c r="H1303" s="1"/>
      <c r="O1303" s="1"/>
      <c r="V1303" s="1"/>
      <c r="AC1303" s="1"/>
      <c r="AJ1303" s="1"/>
      <c r="AQ1303" s="1"/>
      <c r="AX1303" s="1"/>
    </row>
    <row r="1304" spans="1:50" x14ac:dyDescent="0.25">
      <c r="A1304" s="1"/>
      <c r="H1304" s="1"/>
      <c r="O1304" s="1"/>
      <c r="V1304" s="1"/>
      <c r="AC1304" s="1"/>
      <c r="AJ1304" s="1"/>
      <c r="AQ1304" s="1"/>
      <c r="AX1304" s="1"/>
    </row>
    <row r="1305" spans="1:50" x14ac:dyDescent="0.25">
      <c r="A1305" s="1"/>
      <c r="H1305" s="1"/>
      <c r="O1305" s="1"/>
      <c r="V1305" s="1"/>
      <c r="AC1305" s="1"/>
      <c r="AJ1305" s="1"/>
      <c r="AQ1305" s="1"/>
      <c r="AX1305" s="1"/>
    </row>
    <row r="1306" spans="1:50" x14ac:dyDescent="0.25">
      <c r="A1306" s="1"/>
      <c r="H1306" s="1"/>
      <c r="O1306" s="1"/>
      <c r="V1306" s="1"/>
      <c r="AC1306" s="1"/>
      <c r="AJ1306" s="1"/>
      <c r="AQ1306" s="1"/>
      <c r="AX1306" s="1"/>
    </row>
    <row r="1307" spans="1:50" x14ac:dyDescent="0.25">
      <c r="A1307" s="1"/>
      <c r="H1307" s="1"/>
      <c r="O1307" s="1"/>
      <c r="V1307" s="1"/>
      <c r="AC1307" s="1"/>
      <c r="AJ1307" s="1"/>
      <c r="AQ1307" s="1"/>
      <c r="AX1307" s="1"/>
    </row>
    <row r="1308" spans="1:50" x14ac:dyDescent="0.25">
      <c r="A1308" s="1"/>
      <c r="H1308" s="1"/>
      <c r="O1308" s="1"/>
      <c r="V1308" s="1"/>
      <c r="AC1308" s="1"/>
      <c r="AJ1308" s="1"/>
      <c r="AQ1308" s="1"/>
      <c r="AX1308" s="1"/>
    </row>
    <row r="1309" spans="1:50" x14ac:dyDescent="0.25">
      <c r="A1309" s="1"/>
      <c r="H1309" s="1"/>
      <c r="O1309" s="1"/>
      <c r="V1309" s="1"/>
      <c r="AC1309" s="1"/>
      <c r="AJ1309" s="1"/>
      <c r="AQ1309" s="1"/>
      <c r="AX1309" s="1"/>
    </row>
    <row r="1310" spans="1:50" x14ac:dyDescent="0.25">
      <c r="A1310" s="1"/>
      <c r="H1310" s="1"/>
      <c r="O1310" s="1"/>
      <c r="V1310" s="1"/>
      <c r="AC1310" s="1"/>
      <c r="AJ1310" s="1"/>
      <c r="AQ1310" s="1"/>
      <c r="AX1310" s="1"/>
    </row>
    <row r="1311" spans="1:50" x14ac:dyDescent="0.25">
      <c r="A1311" s="1"/>
      <c r="H1311" s="1"/>
      <c r="O1311" s="1"/>
      <c r="V1311" s="1"/>
      <c r="AC1311" s="1"/>
      <c r="AJ1311" s="1"/>
      <c r="AQ1311" s="1"/>
      <c r="AX1311" s="1"/>
    </row>
    <row r="1312" spans="1:50" x14ac:dyDescent="0.25">
      <c r="A1312" s="1"/>
      <c r="H1312" s="1"/>
      <c r="O1312" s="1"/>
      <c r="V1312" s="1"/>
      <c r="AC1312" s="1"/>
      <c r="AJ1312" s="1"/>
      <c r="AQ1312" s="1"/>
      <c r="AX1312" s="1"/>
    </row>
    <row r="1313" spans="1:50" x14ac:dyDescent="0.25">
      <c r="A1313" s="1"/>
      <c r="H1313" s="1"/>
      <c r="O1313" s="1"/>
      <c r="V1313" s="1"/>
      <c r="AC1313" s="1"/>
      <c r="AJ1313" s="1"/>
      <c r="AQ1313" s="1"/>
      <c r="AX1313" s="1"/>
    </row>
    <row r="1314" spans="1:50" x14ac:dyDescent="0.25">
      <c r="A1314" s="1"/>
      <c r="H1314" s="1"/>
      <c r="O1314" s="1"/>
      <c r="V1314" s="1"/>
      <c r="AC1314" s="1"/>
      <c r="AJ1314" s="1"/>
      <c r="AQ1314" s="1"/>
      <c r="AX1314" s="1"/>
    </row>
    <row r="1315" spans="1:50" x14ac:dyDescent="0.25">
      <c r="A1315" s="1"/>
      <c r="H1315" s="1"/>
      <c r="O1315" s="1"/>
      <c r="V1315" s="1"/>
      <c r="AC1315" s="1"/>
      <c r="AJ1315" s="1"/>
      <c r="AQ1315" s="1"/>
      <c r="AX1315" s="1"/>
    </row>
    <row r="1316" spans="1:50" x14ac:dyDescent="0.25">
      <c r="A1316" s="1"/>
      <c r="H1316" s="1"/>
      <c r="O1316" s="1"/>
      <c r="V1316" s="1"/>
      <c r="AC1316" s="1"/>
      <c r="AJ1316" s="1"/>
      <c r="AQ1316" s="1"/>
      <c r="AX1316" s="1"/>
    </row>
    <row r="1317" spans="1:50" x14ac:dyDescent="0.25">
      <c r="A1317" s="1"/>
      <c r="H1317" s="1"/>
      <c r="O1317" s="1"/>
      <c r="V1317" s="1"/>
      <c r="AC1317" s="1"/>
      <c r="AJ1317" s="1"/>
      <c r="AQ1317" s="1"/>
      <c r="AX1317" s="1"/>
    </row>
    <row r="1318" spans="1:50" x14ac:dyDescent="0.25">
      <c r="A1318" s="1"/>
      <c r="H1318" s="1"/>
      <c r="O1318" s="1"/>
      <c r="V1318" s="1"/>
      <c r="AC1318" s="1"/>
      <c r="AJ1318" s="1"/>
      <c r="AQ1318" s="1"/>
      <c r="AX1318" s="1"/>
    </row>
    <row r="1319" spans="1:50" x14ac:dyDescent="0.25">
      <c r="A1319" s="1"/>
      <c r="H1319" s="1"/>
      <c r="O1319" s="1"/>
      <c r="V1319" s="1"/>
      <c r="AC1319" s="1"/>
      <c r="AJ1319" s="1"/>
      <c r="AQ1319" s="1"/>
      <c r="AX1319" s="1"/>
    </row>
    <row r="1320" spans="1:50" x14ac:dyDescent="0.25">
      <c r="A1320" s="1"/>
      <c r="H1320" s="1"/>
      <c r="O1320" s="1"/>
      <c r="V1320" s="1"/>
      <c r="AC1320" s="1"/>
      <c r="AJ1320" s="1"/>
      <c r="AQ1320" s="1"/>
      <c r="AX1320" s="1"/>
    </row>
    <row r="1321" spans="1:50" x14ac:dyDescent="0.25">
      <c r="A1321" s="1"/>
      <c r="H1321" s="1"/>
      <c r="O1321" s="1"/>
      <c r="V1321" s="1"/>
      <c r="AC1321" s="1"/>
      <c r="AJ1321" s="1"/>
      <c r="AQ1321" s="1"/>
      <c r="AX1321" s="1"/>
    </row>
    <row r="1322" spans="1:50" x14ac:dyDescent="0.25">
      <c r="A1322" s="1"/>
      <c r="H1322" s="1"/>
      <c r="O1322" s="1"/>
      <c r="V1322" s="1"/>
      <c r="AC1322" s="1"/>
      <c r="AJ1322" s="1"/>
      <c r="AQ1322" s="1"/>
      <c r="AX1322" s="1"/>
    </row>
    <row r="1323" spans="1:50" x14ac:dyDescent="0.25">
      <c r="A1323" s="1"/>
      <c r="H1323" s="1"/>
      <c r="O1323" s="1"/>
      <c r="V1323" s="1"/>
      <c r="AC1323" s="1"/>
      <c r="AJ1323" s="1"/>
      <c r="AQ1323" s="1"/>
      <c r="AX1323" s="1"/>
    </row>
    <row r="1324" spans="1:50" x14ac:dyDescent="0.25">
      <c r="A1324" s="1"/>
      <c r="H1324" s="1"/>
      <c r="O1324" s="1"/>
      <c r="V1324" s="1"/>
      <c r="AC1324" s="1"/>
      <c r="AJ1324" s="1"/>
      <c r="AQ1324" s="1"/>
      <c r="AX1324" s="1"/>
    </row>
    <row r="1325" spans="1:50" x14ac:dyDescent="0.25">
      <c r="A1325" s="1"/>
      <c r="H1325" s="1"/>
      <c r="O1325" s="1"/>
      <c r="V1325" s="1"/>
      <c r="AC1325" s="1"/>
      <c r="AJ1325" s="1"/>
      <c r="AQ1325" s="1"/>
      <c r="AX1325" s="1"/>
    </row>
    <row r="1326" spans="1:50" x14ac:dyDescent="0.25">
      <c r="A1326" s="1"/>
      <c r="H1326" s="1"/>
      <c r="O1326" s="1"/>
      <c r="V1326" s="1"/>
      <c r="AC1326" s="1"/>
      <c r="AJ1326" s="1"/>
      <c r="AQ1326" s="1"/>
      <c r="AX1326" s="1"/>
    </row>
    <row r="1327" spans="1:50" x14ac:dyDescent="0.25">
      <c r="A1327" s="1"/>
      <c r="H1327" s="1"/>
      <c r="O1327" s="1"/>
      <c r="V1327" s="1"/>
      <c r="AC1327" s="1"/>
      <c r="AJ1327" s="1"/>
      <c r="AQ1327" s="1"/>
      <c r="AX1327" s="1"/>
    </row>
    <row r="1328" spans="1:50" x14ac:dyDescent="0.25">
      <c r="A1328" s="1"/>
      <c r="H1328" s="1"/>
      <c r="O1328" s="1"/>
      <c r="V1328" s="1"/>
      <c r="AC1328" s="1"/>
      <c r="AJ1328" s="1"/>
      <c r="AQ1328" s="1"/>
      <c r="AX1328" s="1"/>
    </row>
    <row r="1329" spans="1:50" x14ac:dyDescent="0.25">
      <c r="A1329" s="1"/>
      <c r="H1329" s="1"/>
      <c r="O1329" s="1"/>
      <c r="V1329" s="1"/>
      <c r="AC1329" s="1"/>
      <c r="AJ1329" s="1"/>
      <c r="AQ1329" s="1"/>
      <c r="AX1329" s="1"/>
    </row>
    <row r="1330" spans="1:50" x14ac:dyDescent="0.25">
      <c r="A1330" s="1"/>
      <c r="H1330" s="1"/>
      <c r="O1330" s="1"/>
      <c r="V1330" s="1"/>
      <c r="AC1330" s="1"/>
      <c r="AJ1330" s="1"/>
      <c r="AQ1330" s="1"/>
      <c r="AX1330" s="1"/>
    </row>
    <row r="1331" spans="1:50" x14ac:dyDescent="0.25">
      <c r="A1331" s="1"/>
      <c r="H1331" s="1"/>
      <c r="O1331" s="1"/>
      <c r="V1331" s="1"/>
      <c r="AC1331" s="1"/>
      <c r="AJ1331" s="1"/>
      <c r="AQ1331" s="1"/>
      <c r="AX1331" s="1"/>
    </row>
    <row r="1332" spans="1:50" x14ac:dyDescent="0.25">
      <c r="A1332" s="1"/>
      <c r="H1332" s="1"/>
      <c r="O1332" s="1"/>
      <c r="V1332" s="1"/>
      <c r="AC1332" s="1"/>
      <c r="AJ1332" s="1"/>
      <c r="AQ1332" s="1"/>
      <c r="AX1332" s="1"/>
    </row>
    <row r="1333" spans="1:50" x14ac:dyDescent="0.25">
      <c r="A1333" s="1"/>
      <c r="H1333" s="1"/>
      <c r="O1333" s="1"/>
      <c r="V1333" s="1"/>
      <c r="AC1333" s="1"/>
      <c r="AJ1333" s="1"/>
      <c r="AQ1333" s="1"/>
      <c r="AX1333" s="1"/>
    </row>
    <row r="1334" spans="1:50" x14ac:dyDescent="0.25">
      <c r="A1334" s="1"/>
      <c r="H1334" s="1"/>
      <c r="O1334" s="1"/>
      <c r="V1334" s="1"/>
      <c r="AC1334" s="1"/>
      <c r="AJ1334" s="1"/>
      <c r="AQ1334" s="1"/>
      <c r="AX1334" s="1"/>
    </row>
    <row r="1335" spans="1:50" x14ac:dyDescent="0.25">
      <c r="A1335" s="1"/>
      <c r="H1335" s="1"/>
      <c r="O1335" s="1"/>
      <c r="V1335" s="1"/>
      <c r="AC1335" s="1"/>
      <c r="AJ1335" s="1"/>
      <c r="AQ1335" s="1"/>
      <c r="AX1335" s="1"/>
    </row>
    <row r="1336" spans="1:50" x14ac:dyDescent="0.25">
      <c r="A1336" s="1"/>
      <c r="H1336" s="1"/>
      <c r="O1336" s="1"/>
      <c r="V1336" s="1"/>
      <c r="AC1336" s="1"/>
      <c r="AJ1336" s="1"/>
      <c r="AQ1336" s="1"/>
      <c r="AX1336" s="1"/>
    </row>
    <row r="1337" spans="1:50" x14ac:dyDescent="0.25">
      <c r="A1337" s="1"/>
      <c r="H1337" s="1"/>
      <c r="O1337" s="1"/>
      <c r="V1337" s="1"/>
      <c r="AC1337" s="1"/>
      <c r="AJ1337" s="1"/>
      <c r="AQ1337" s="1"/>
      <c r="AX1337" s="1"/>
    </row>
    <row r="1338" spans="1:50" x14ac:dyDescent="0.25">
      <c r="A1338" s="1"/>
      <c r="H1338" s="1"/>
      <c r="O1338" s="1"/>
      <c r="V1338" s="1"/>
      <c r="AC1338" s="1"/>
      <c r="AJ1338" s="1"/>
      <c r="AQ1338" s="1"/>
      <c r="AX1338" s="1"/>
    </row>
    <row r="1339" spans="1:50" x14ac:dyDescent="0.25">
      <c r="A1339" s="1"/>
      <c r="H1339" s="1"/>
      <c r="O1339" s="1"/>
      <c r="V1339" s="1"/>
      <c r="AC1339" s="1"/>
      <c r="AJ1339" s="1"/>
      <c r="AQ1339" s="1"/>
      <c r="AX1339" s="1"/>
    </row>
    <row r="1340" spans="1:50" x14ac:dyDescent="0.25">
      <c r="A1340" s="1"/>
      <c r="H1340" s="1"/>
      <c r="O1340" s="1"/>
      <c r="V1340" s="1"/>
      <c r="AC1340" s="1"/>
      <c r="AJ1340" s="1"/>
      <c r="AQ1340" s="1"/>
      <c r="AX1340" s="1"/>
    </row>
    <row r="1341" spans="1:50" x14ac:dyDescent="0.25">
      <c r="A1341" s="1"/>
      <c r="H1341" s="1"/>
      <c r="O1341" s="1"/>
      <c r="V1341" s="1"/>
      <c r="AC1341" s="1"/>
      <c r="AJ1341" s="1"/>
      <c r="AQ1341" s="1"/>
      <c r="AX1341" s="1"/>
    </row>
    <row r="1342" spans="1:50" x14ac:dyDescent="0.25">
      <c r="A1342" s="1"/>
      <c r="H1342" s="1"/>
      <c r="O1342" s="1"/>
      <c r="V1342" s="1"/>
      <c r="AC1342" s="1"/>
      <c r="AJ1342" s="1"/>
      <c r="AQ1342" s="1"/>
      <c r="AX1342" s="1"/>
    </row>
    <row r="1343" spans="1:50" x14ac:dyDescent="0.25">
      <c r="A1343" s="1"/>
      <c r="H1343" s="1"/>
      <c r="O1343" s="1"/>
      <c r="V1343" s="1"/>
      <c r="AC1343" s="1"/>
      <c r="AJ1343" s="1"/>
      <c r="AQ1343" s="1"/>
      <c r="AX1343" s="1"/>
    </row>
    <row r="1344" spans="1:50" x14ac:dyDescent="0.25">
      <c r="A1344" s="1"/>
      <c r="H1344" s="1"/>
      <c r="O1344" s="1"/>
      <c r="V1344" s="1"/>
      <c r="AC1344" s="1"/>
      <c r="AJ1344" s="1"/>
      <c r="AQ1344" s="1"/>
      <c r="AX1344" s="1"/>
    </row>
    <row r="1345" spans="1:50" x14ac:dyDescent="0.25">
      <c r="A1345" s="1"/>
      <c r="H1345" s="1"/>
      <c r="O1345" s="1"/>
      <c r="V1345" s="1"/>
      <c r="AC1345" s="1"/>
      <c r="AJ1345" s="1"/>
      <c r="AQ1345" s="1"/>
      <c r="AX1345" s="1"/>
    </row>
    <row r="1346" spans="1:50" x14ac:dyDescent="0.25">
      <c r="A1346" s="1"/>
      <c r="H1346" s="1"/>
      <c r="O1346" s="1"/>
      <c r="V1346" s="1"/>
      <c r="AC1346" s="1"/>
      <c r="AJ1346" s="1"/>
      <c r="AQ1346" s="1"/>
      <c r="AX1346" s="1"/>
    </row>
    <row r="1347" spans="1:50" x14ac:dyDescent="0.25">
      <c r="A1347" s="1"/>
      <c r="H1347" s="1"/>
      <c r="O1347" s="1"/>
      <c r="V1347" s="1"/>
      <c r="AC1347" s="1"/>
      <c r="AJ1347" s="1"/>
      <c r="AQ1347" s="1"/>
      <c r="AX1347" s="1"/>
    </row>
    <row r="1348" spans="1:50" x14ac:dyDescent="0.25">
      <c r="A1348" s="1"/>
      <c r="H1348" s="1"/>
      <c r="O1348" s="1"/>
      <c r="V1348" s="1"/>
      <c r="AC1348" s="1"/>
      <c r="AJ1348" s="1"/>
      <c r="AQ1348" s="1"/>
      <c r="AX1348" s="1"/>
    </row>
    <row r="1349" spans="1:50" x14ac:dyDescent="0.25">
      <c r="A1349" s="1"/>
      <c r="H1349" s="1"/>
      <c r="O1349" s="1"/>
      <c r="V1349" s="1"/>
      <c r="AC1349" s="1"/>
      <c r="AJ1349" s="1"/>
      <c r="AQ1349" s="1"/>
      <c r="AX1349" s="1"/>
    </row>
    <row r="1350" spans="1:50" x14ac:dyDescent="0.25">
      <c r="A1350" s="1"/>
      <c r="H1350" s="1"/>
      <c r="O1350" s="1"/>
      <c r="V1350" s="1"/>
      <c r="AC1350" s="1"/>
      <c r="AJ1350" s="1"/>
      <c r="AQ1350" s="1"/>
      <c r="AX1350" s="1"/>
    </row>
    <row r="1351" spans="1:50" x14ac:dyDescent="0.25">
      <c r="A1351" s="1"/>
      <c r="H1351" s="1"/>
      <c r="O1351" s="1"/>
      <c r="V1351" s="1"/>
      <c r="AC1351" s="1"/>
      <c r="AJ1351" s="1"/>
      <c r="AQ1351" s="1"/>
      <c r="AX1351" s="1"/>
    </row>
    <row r="1352" spans="1:50" x14ac:dyDescent="0.25">
      <c r="A1352" s="1"/>
      <c r="H1352" s="1"/>
      <c r="O1352" s="1"/>
      <c r="V1352" s="1"/>
      <c r="AC1352" s="1"/>
      <c r="AJ1352" s="1"/>
      <c r="AQ1352" s="1"/>
      <c r="AX1352" s="1"/>
    </row>
    <row r="1353" spans="1:50" x14ac:dyDescent="0.25">
      <c r="A1353" s="1"/>
      <c r="H1353" s="1"/>
      <c r="O1353" s="1"/>
      <c r="V1353" s="1"/>
      <c r="AC1353" s="1"/>
      <c r="AJ1353" s="1"/>
      <c r="AQ1353" s="1"/>
      <c r="AX1353" s="1"/>
    </row>
    <row r="1354" spans="1:50" x14ac:dyDescent="0.25">
      <c r="A1354" s="1"/>
      <c r="H1354" s="1"/>
      <c r="O1354" s="1"/>
      <c r="V1354" s="1"/>
      <c r="AC1354" s="1"/>
      <c r="AJ1354" s="1"/>
      <c r="AQ1354" s="1"/>
      <c r="AX1354" s="1"/>
    </row>
    <row r="1355" spans="1:50" x14ac:dyDescent="0.25">
      <c r="A1355" s="1"/>
      <c r="H1355" s="1"/>
      <c r="O1355" s="1"/>
      <c r="V1355" s="1"/>
      <c r="AC1355" s="1"/>
      <c r="AJ1355" s="1"/>
      <c r="AQ1355" s="1"/>
      <c r="AX1355" s="1"/>
    </row>
    <row r="1356" spans="1:50" x14ac:dyDescent="0.25">
      <c r="A1356" s="1"/>
      <c r="H1356" s="1"/>
      <c r="O1356" s="1"/>
      <c r="V1356" s="1"/>
      <c r="AC1356" s="1"/>
      <c r="AJ1356" s="1"/>
      <c r="AQ1356" s="1"/>
      <c r="AX1356" s="1"/>
    </row>
    <row r="1357" spans="1:50" x14ac:dyDescent="0.25">
      <c r="A1357" s="1"/>
      <c r="H1357" s="1"/>
      <c r="O1357" s="1"/>
      <c r="V1357" s="1"/>
      <c r="AC1357" s="1"/>
      <c r="AJ1357" s="1"/>
      <c r="AQ1357" s="1"/>
      <c r="AX1357" s="1"/>
    </row>
    <row r="1358" spans="1:50" x14ac:dyDescent="0.25">
      <c r="A1358" s="1"/>
      <c r="H1358" s="1"/>
      <c r="O1358" s="1"/>
      <c r="V1358" s="1"/>
      <c r="AC1358" s="1"/>
      <c r="AJ1358" s="1"/>
      <c r="AQ1358" s="1"/>
      <c r="AX1358" s="1"/>
    </row>
    <row r="1359" spans="1:50" x14ac:dyDescent="0.25">
      <c r="A1359" s="1"/>
      <c r="H1359" s="1"/>
      <c r="O1359" s="1"/>
      <c r="V1359" s="1"/>
      <c r="AC1359" s="1"/>
      <c r="AJ1359" s="1"/>
      <c r="AQ1359" s="1"/>
      <c r="AX1359" s="1"/>
    </row>
    <row r="1360" spans="1:50" x14ac:dyDescent="0.25">
      <c r="A1360" s="1"/>
      <c r="H1360" s="1"/>
      <c r="O1360" s="1"/>
      <c r="V1360" s="1"/>
      <c r="AC1360" s="1"/>
      <c r="AJ1360" s="1"/>
      <c r="AQ1360" s="1"/>
      <c r="AX1360" s="1"/>
    </row>
    <row r="1361" spans="1:50" x14ac:dyDescent="0.25">
      <c r="A1361" s="1"/>
      <c r="H1361" s="1"/>
      <c r="O1361" s="1"/>
      <c r="V1361" s="1"/>
      <c r="AC1361" s="1"/>
      <c r="AJ1361" s="1"/>
      <c r="AQ1361" s="1"/>
      <c r="AX1361" s="1"/>
    </row>
    <row r="1362" spans="1:50" x14ac:dyDescent="0.25">
      <c r="A1362" s="1"/>
      <c r="H1362" s="1"/>
      <c r="O1362" s="1"/>
      <c r="V1362" s="1"/>
      <c r="AC1362" s="1"/>
      <c r="AJ1362" s="1"/>
      <c r="AQ1362" s="1"/>
      <c r="AX1362" s="1"/>
    </row>
    <row r="1363" spans="1:50" x14ac:dyDescent="0.25">
      <c r="A1363" s="1"/>
      <c r="H1363" s="1"/>
      <c r="O1363" s="1"/>
      <c r="V1363" s="1"/>
      <c r="AC1363" s="1"/>
      <c r="AJ1363" s="1"/>
      <c r="AQ1363" s="1"/>
      <c r="AX1363" s="1"/>
    </row>
    <row r="1364" spans="1:50" x14ac:dyDescent="0.25">
      <c r="A1364" s="1"/>
      <c r="H1364" s="1"/>
      <c r="O1364" s="1"/>
      <c r="V1364" s="1"/>
      <c r="AC1364" s="1"/>
      <c r="AJ1364" s="1"/>
      <c r="AQ1364" s="1"/>
      <c r="AX1364" s="1"/>
    </row>
    <row r="1365" spans="1:50" x14ac:dyDescent="0.25">
      <c r="A1365" s="1"/>
      <c r="H1365" s="1"/>
      <c r="O1365" s="1"/>
      <c r="V1365" s="1"/>
      <c r="AC1365" s="1"/>
      <c r="AJ1365" s="1"/>
      <c r="AQ1365" s="1"/>
      <c r="AX1365" s="1"/>
    </row>
    <row r="1366" spans="1:50" x14ac:dyDescent="0.25">
      <c r="A1366" s="1"/>
      <c r="H1366" s="1"/>
      <c r="O1366" s="1"/>
      <c r="V1366" s="1"/>
      <c r="AC1366" s="1"/>
      <c r="AJ1366" s="1"/>
      <c r="AQ1366" s="1"/>
      <c r="AX1366" s="1"/>
    </row>
    <row r="1367" spans="1:50" x14ac:dyDescent="0.25">
      <c r="A1367" s="1"/>
      <c r="H1367" s="1"/>
      <c r="O1367" s="1"/>
      <c r="V1367" s="1"/>
      <c r="AC1367" s="1"/>
      <c r="AJ1367" s="1"/>
      <c r="AQ1367" s="1"/>
      <c r="AX1367" s="1"/>
    </row>
    <row r="1368" spans="1:50" x14ac:dyDescent="0.25">
      <c r="A1368" s="1"/>
      <c r="H1368" s="1"/>
      <c r="O1368" s="1"/>
      <c r="V1368" s="1"/>
      <c r="AC1368" s="1"/>
      <c r="AJ1368" s="1"/>
      <c r="AQ1368" s="1"/>
      <c r="AX1368" s="1"/>
    </row>
    <row r="1369" spans="1:50" x14ac:dyDescent="0.25">
      <c r="A1369" s="1"/>
      <c r="H1369" s="1"/>
      <c r="O1369" s="1"/>
      <c r="V1369" s="1"/>
      <c r="AC1369" s="1"/>
      <c r="AJ1369" s="1"/>
      <c r="AQ1369" s="1"/>
      <c r="AX1369" s="1"/>
    </row>
    <row r="1370" spans="1:50" x14ac:dyDescent="0.25">
      <c r="A1370" s="1"/>
      <c r="H1370" s="1"/>
      <c r="O1370" s="1"/>
      <c r="V1370" s="1"/>
      <c r="AC1370" s="1"/>
      <c r="AJ1370" s="1"/>
      <c r="AQ1370" s="1"/>
      <c r="AX1370" s="1"/>
    </row>
    <row r="1371" spans="1:50" x14ac:dyDescent="0.25">
      <c r="A1371" s="1"/>
      <c r="H1371" s="1"/>
      <c r="O1371" s="1"/>
      <c r="V1371" s="1"/>
      <c r="AC1371" s="1"/>
      <c r="AJ1371" s="1"/>
      <c r="AQ1371" s="1"/>
      <c r="AX1371" s="1"/>
    </row>
    <row r="1372" spans="1:50" x14ac:dyDescent="0.25">
      <c r="A1372" s="1"/>
      <c r="H1372" s="1"/>
      <c r="O1372" s="1"/>
      <c r="V1372" s="1"/>
      <c r="AC1372" s="1"/>
      <c r="AJ1372" s="1"/>
      <c r="AQ1372" s="1"/>
      <c r="AX1372" s="1"/>
    </row>
    <row r="1373" spans="1:50" x14ac:dyDescent="0.25">
      <c r="A1373" s="1"/>
      <c r="H1373" s="1"/>
      <c r="O1373" s="1"/>
      <c r="V1373" s="1"/>
      <c r="AC1373" s="1"/>
      <c r="AJ1373" s="1"/>
      <c r="AQ1373" s="1"/>
      <c r="AX1373" s="1"/>
    </row>
    <row r="1374" spans="1:50" x14ac:dyDescent="0.25">
      <c r="A1374" s="1"/>
      <c r="H1374" s="1"/>
      <c r="O1374" s="1"/>
      <c r="V1374" s="1"/>
      <c r="AC1374" s="1"/>
      <c r="AJ1374" s="1"/>
      <c r="AQ1374" s="1"/>
      <c r="AX1374" s="1"/>
    </row>
    <row r="1375" spans="1:50" x14ac:dyDescent="0.25">
      <c r="A1375" s="1"/>
      <c r="H1375" s="1"/>
      <c r="O1375" s="1"/>
      <c r="V1375" s="1"/>
      <c r="AC1375" s="1"/>
      <c r="AJ1375" s="1"/>
      <c r="AQ1375" s="1"/>
      <c r="AX1375" s="1"/>
    </row>
    <row r="1376" spans="1:50" x14ac:dyDescent="0.25">
      <c r="A1376" s="1"/>
      <c r="H1376" s="1"/>
      <c r="O1376" s="1"/>
      <c r="V1376" s="1"/>
      <c r="AC1376" s="1"/>
      <c r="AJ1376" s="1"/>
      <c r="AQ1376" s="1"/>
      <c r="AX1376" s="1"/>
    </row>
    <row r="1377" spans="1:50" x14ac:dyDescent="0.25">
      <c r="A1377" s="1"/>
      <c r="H1377" s="1"/>
      <c r="O1377" s="1"/>
      <c r="V1377" s="1"/>
      <c r="AC1377" s="1"/>
      <c r="AJ1377" s="1"/>
      <c r="AQ1377" s="1"/>
      <c r="AX1377" s="1"/>
    </row>
    <row r="1378" spans="1:50" x14ac:dyDescent="0.25">
      <c r="A1378" s="1"/>
      <c r="H1378" s="1"/>
      <c r="O1378" s="1"/>
      <c r="V1378" s="1"/>
      <c r="AC1378" s="1"/>
      <c r="AJ1378" s="1"/>
      <c r="AQ1378" s="1"/>
      <c r="AX1378" s="1"/>
    </row>
    <row r="1379" spans="1:50" x14ac:dyDescent="0.25">
      <c r="A1379" s="1"/>
      <c r="H1379" s="1"/>
      <c r="O1379" s="1"/>
      <c r="V1379" s="1"/>
      <c r="AC1379" s="1"/>
      <c r="AJ1379" s="1"/>
      <c r="AQ1379" s="1"/>
      <c r="AX1379" s="1"/>
    </row>
    <row r="1380" spans="1:50" x14ac:dyDescent="0.25">
      <c r="A1380" s="1"/>
      <c r="H1380" s="1"/>
      <c r="O1380" s="1"/>
      <c r="V1380" s="1"/>
      <c r="AC1380" s="1"/>
      <c r="AJ1380" s="1"/>
      <c r="AQ1380" s="1"/>
      <c r="AX1380" s="1"/>
    </row>
    <row r="1381" spans="1:50" x14ac:dyDescent="0.25">
      <c r="A1381" s="1"/>
      <c r="H1381" s="1"/>
      <c r="O1381" s="1"/>
      <c r="V1381" s="1"/>
      <c r="AC1381" s="1"/>
      <c r="AJ1381" s="1"/>
      <c r="AQ1381" s="1"/>
      <c r="AX1381" s="1"/>
    </row>
    <row r="1382" spans="1:50" x14ac:dyDescent="0.25">
      <c r="A1382" s="1"/>
      <c r="H1382" s="1"/>
      <c r="O1382" s="1"/>
      <c r="V1382" s="1"/>
      <c r="AC1382" s="1"/>
      <c r="AJ1382" s="1"/>
      <c r="AQ1382" s="1"/>
      <c r="AX1382" s="1"/>
    </row>
    <row r="1383" spans="1:50" x14ac:dyDescent="0.25">
      <c r="A1383" s="1"/>
      <c r="H1383" s="1"/>
      <c r="O1383" s="1"/>
      <c r="V1383" s="1"/>
      <c r="AC1383" s="1"/>
      <c r="AJ1383" s="1"/>
      <c r="AQ1383" s="1"/>
      <c r="AX1383" s="1"/>
    </row>
    <row r="1384" spans="1:50" x14ac:dyDescent="0.25">
      <c r="A1384" s="1"/>
      <c r="H1384" s="1"/>
      <c r="O1384" s="1"/>
      <c r="V1384" s="1"/>
      <c r="AC1384" s="1"/>
      <c r="AJ1384" s="1"/>
      <c r="AQ1384" s="1"/>
      <c r="AX1384" s="1"/>
    </row>
    <row r="1385" spans="1:50" x14ac:dyDescent="0.25">
      <c r="A1385" s="1"/>
      <c r="H1385" s="1"/>
      <c r="O1385" s="1"/>
      <c r="V1385" s="1"/>
      <c r="AC1385" s="1"/>
      <c r="AJ1385" s="1"/>
      <c r="AQ1385" s="1"/>
      <c r="AX1385" s="1"/>
    </row>
    <row r="1386" spans="1:50" x14ac:dyDescent="0.25">
      <c r="A1386" s="1"/>
      <c r="H1386" s="1"/>
      <c r="O1386" s="1"/>
      <c r="V1386" s="1"/>
      <c r="AC1386" s="1"/>
      <c r="AJ1386" s="1"/>
      <c r="AQ1386" s="1"/>
      <c r="AX1386" s="1"/>
    </row>
    <row r="1387" spans="1:50" x14ac:dyDescent="0.25">
      <c r="A1387" s="1"/>
      <c r="H1387" s="1"/>
      <c r="O1387" s="1"/>
      <c r="V1387" s="1"/>
      <c r="AC1387" s="1"/>
      <c r="AJ1387" s="1"/>
      <c r="AQ1387" s="1"/>
      <c r="AX1387" s="1"/>
    </row>
    <row r="1388" spans="1:50" x14ac:dyDescent="0.25">
      <c r="A1388" s="1"/>
      <c r="H1388" s="1"/>
      <c r="O1388" s="1"/>
      <c r="V1388" s="1"/>
      <c r="AC1388" s="1"/>
      <c r="AJ1388" s="1"/>
      <c r="AQ1388" s="1"/>
      <c r="AX1388" s="1"/>
    </row>
    <row r="1389" spans="1:50" x14ac:dyDescent="0.25">
      <c r="A1389" s="1"/>
      <c r="H1389" s="1"/>
      <c r="O1389" s="1"/>
      <c r="V1389" s="1"/>
      <c r="AC1389" s="1"/>
      <c r="AJ1389" s="1"/>
      <c r="AQ1389" s="1"/>
      <c r="AX1389" s="1"/>
    </row>
    <row r="1390" spans="1:50" x14ac:dyDescent="0.25">
      <c r="A1390" s="1"/>
      <c r="H1390" s="1"/>
      <c r="O1390" s="1"/>
      <c r="V1390" s="1"/>
      <c r="AC1390" s="1"/>
      <c r="AJ1390" s="1"/>
      <c r="AQ1390" s="1"/>
      <c r="AX1390" s="1"/>
    </row>
    <row r="1391" spans="1:50" x14ac:dyDescent="0.25">
      <c r="A1391" s="1"/>
      <c r="H1391" s="1"/>
      <c r="O1391" s="1"/>
      <c r="V1391" s="1"/>
      <c r="AC1391" s="1"/>
      <c r="AJ1391" s="1"/>
      <c r="AQ1391" s="1"/>
      <c r="AX1391" s="1"/>
    </row>
    <row r="1392" spans="1:50" x14ac:dyDescent="0.25">
      <c r="A1392" s="1"/>
      <c r="H1392" s="1"/>
      <c r="O1392" s="1"/>
      <c r="V1392" s="1"/>
      <c r="AC1392" s="1"/>
      <c r="AJ1392" s="1"/>
      <c r="AQ1392" s="1"/>
      <c r="AX1392" s="1"/>
    </row>
    <row r="1393" spans="1:50" x14ac:dyDescent="0.25">
      <c r="A1393" s="1"/>
      <c r="H1393" s="1"/>
      <c r="O1393" s="1"/>
      <c r="V1393" s="1"/>
      <c r="AC1393" s="1"/>
      <c r="AJ1393" s="1"/>
      <c r="AQ1393" s="1"/>
      <c r="AX1393" s="1"/>
    </row>
    <row r="1394" spans="1:50" x14ac:dyDescent="0.25">
      <c r="A1394" s="1"/>
      <c r="H1394" s="1"/>
      <c r="O1394" s="1"/>
      <c r="V1394" s="1"/>
      <c r="AC1394" s="1"/>
      <c r="AJ1394" s="1"/>
      <c r="AQ1394" s="1"/>
      <c r="AX1394" s="1"/>
    </row>
    <row r="1395" spans="1:50" x14ac:dyDescent="0.25">
      <c r="A1395" s="1"/>
      <c r="H1395" s="1"/>
      <c r="O1395" s="1"/>
      <c r="V1395" s="1"/>
      <c r="AC1395" s="1"/>
      <c r="AJ1395" s="1"/>
      <c r="AQ1395" s="1"/>
      <c r="AX1395" s="1"/>
    </row>
    <row r="1396" spans="1:50" x14ac:dyDescent="0.25">
      <c r="A1396" s="1"/>
      <c r="H1396" s="1"/>
      <c r="O1396" s="1"/>
      <c r="V1396" s="1"/>
      <c r="AC1396" s="1"/>
      <c r="AJ1396" s="1"/>
      <c r="AQ1396" s="1"/>
      <c r="AX1396" s="1"/>
    </row>
    <row r="1397" spans="1:50" x14ac:dyDescent="0.25">
      <c r="A1397" s="1"/>
      <c r="H1397" s="1"/>
      <c r="O1397" s="1"/>
      <c r="V1397" s="1"/>
      <c r="AC1397" s="1"/>
      <c r="AJ1397" s="1"/>
      <c r="AQ1397" s="1"/>
      <c r="AX1397" s="1"/>
    </row>
    <row r="1398" spans="1:50" x14ac:dyDescent="0.25">
      <c r="A1398" s="1"/>
      <c r="H1398" s="1"/>
      <c r="O1398" s="1"/>
      <c r="V1398" s="1"/>
      <c r="AC1398" s="1"/>
      <c r="AJ1398" s="1"/>
      <c r="AQ1398" s="1"/>
      <c r="AX1398" s="1"/>
    </row>
    <row r="1399" spans="1:50" x14ac:dyDescent="0.25">
      <c r="A1399" s="1"/>
      <c r="H1399" s="1"/>
      <c r="O1399" s="1"/>
      <c r="V1399" s="1"/>
      <c r="AC1399" s="1"/>
      <c r="AJ1399" s="1"/>
      <c r="AQ1399" s="1"/>
      <c r="AX1399" s="1"/>
    </row>
    <row r="1400" spans="1:50" x14ac:dyDescent="0.25">
      <c r="A1400" s="1"/>
      <c r="H1400" s="1"/>
      <c r="O1400" s="1"/>
      <c r="V1400" s="1"/>
      <c r="AC1400" s="1"/>
      <c r="AJ1400" s="1"/>
      <c r="AQ1400" s="1"/>
      <c r="AX1400" s="1"/>
    </row>
    <row r="1401" spans="1:50" x14ac:dyDescent="0.25">
      <c r="A1401" s="1"/>
      <c r="H1401" s="1"/>
      <c r="O1401" s="1"/>
      <c r="V1401" s="1"/>
      <c r="AC1401" s="1"/>
      <c r="AJ1401" s="1"/>
      <c r="AQ1401" s="1"/>
      <c r="AX1401" s="1"/>
    </row>
    <row r="1402" spans="1:50" x14ac:dyDescent="0.25">
      <c r="A1402" s="1"/>
      <c r="H1402" s="1"/>
      <c r="O1402" s="1"/>
      <c r="V1402" s="1"/>
      <c r="AC1402" s="1"/>
      <c r="AJ1402" s="1"/>
      <c r="AQ1402" s="1"/>
      <c r="AX1402" s="1"/>
    </row>
    <row r="1403" spans="1:50" x14ac:dyDescent="0.25">
      <c r="A1403" s="1"/>
      <c r="H1403" s="1"/>
      <c r="O1403" s="1"/>
      <c r="V1403" s="1"/>
      <c r="AC1403" s="1"/>
      <c r="AJ1403" s="1"/>
      <c r="AQ1403" s="1"/>
      <c r="AX1403" s="1"/>
    </row>
    <row r="1404" spans="1:50" x14ac:dyDescent="0.25">
      <c r="A1404" s="1"/>
      <c r="H1404" s="1"/>
      <c r="O1404" s="1"/>
      <c r="V1404" s="1"/>
      <c r="AC1404" s="1"/>
      <c r="AJ1404" s="1"/>
      <c r="AQ1404" s="1"/>
      <c r="AX1404" s="1"/>
    </row>
    <row r="1405" spans="1:50" x14ac:dyDescent="0.25">
      <c r="A1405" s="1"/>
      <c r="H1405" s="1"/>
      <c r="O1405" s="1"/>
      <c r="V1405" s="1"/>
      <c r="AC1405" s="1"/>
      <c r="AJ1405" s="1"/>
      <c r="AQ1405" s="1"/>
      <c r="AX1405" s="1"/>
    </row>
    <row r="1406" spans="1:50" x14ac:dyDescent="0.25">
      <c r="A1406" s="1"/>
      <c r="H1406" s="1"/>
      <c r="O1406" s="1"/>
      <c r="V1406" s="1"/>
      <c r="AC1406" s="1"/>
      <c r="AJ1406" s="1"/>
      <c r="AQ1406" s="1"/>
      <c r="AX1406" s="1"/>
    </row>
    <row r="1407" spans="1:50" x14ac:dyDescent="0.25">
      <c r="A1407" s="1"/>
      <c r="H1407" s="1"/>
      <c r="O1407" s="1"/>
      <c r="V1407" s="1"/>
      <c r="AC1407" s="1"/>
      <c r="AJ1407" s="1"/>
      <c r="AQ1407" s="1"/>
      <c r="AX1407" s="1"/>
    </row>
    <row r="1408" spans="1:50" x14ac:dyDescent="0.25">
      <c r="A1408" s="1"/>
      <c r="H1408" s="1"/>
      <c r="O1408" s="1"/>
      <c r="V1408" s="1"/>
      <c r="AC1408" s="1"/>
      <c r="AJ1408" s="1"/>
      <c r="AQ1408" s="1"/>
      <c r="AX1408" s="1"/>
    </row>
    <row r="1409" spans="1:50" x14ac:dyDescent="0.25">
      <c r="A1409" s="1"/>
      <c r="H1409" s="1"/>
      <c r="O1409" s="1"/>
      <c r="V1409" s="1"/>
      <c r="AC1409" s="1"/>
      <c r="AJ1409" s="1"/>
      <c r="AQ1409" s="1"/>
      <c r="AX1409" s="1"/>
    </row>
    <row r="1410" spans="1:50" x14ac:dyDescent="0.25">
      <c r="A1410" s="1"/>
      <c r="H1410" s="1"/>
      <c r="O1410" s="1"/>
      <c r="V1410" s="1"/>
      <c r="AC1410" s="1"/>
      <c r="AJ1410" s="1"/>
      <c r="AQ1410" s="1"/>
      <c r="AX1410" s="1"/>
    </row>
    <row r="1411" spans="1:50" x14ac:dyDescent="0.25">
      <c r="A1411" s="1"/>
      <c r="H1411" s="1"/>
      <c r="O1411" s="1"/>
      <c r="V1411" s="1"/>
      <c r="AC1411" s="1"/>
      <c r="AJ1411" s="1"/>
      <c r="AQ1411" s="1"/>
      <c r="AX1411" s="1"/>
    </row>
    <row r="1412" spans="1:50" x14ac:dyDescent="0.25">
      <c r="A1412" s="1"/>
      <c r="H1412" s="1"/>
      <c r="O1412" s="1"/>
      <c r="V1412" s="1"/>
      <c r="AC1412" s="1"/>
      <c r="AJ1412" s="1"/>
      <c r="AQ1412" s="1"/>
      <c r="AX1412" s="1"/>
    </row>
    <row r="1413" spans="1:50" x14ac:dyDescent="0.25">
      <c r="A1413" s="1"/>
      <c r="H1413" s="1"/>
      <c r="O1413" s="1"/>
      <c r="V1413" s="1"/>
      <c r="AC1413" s="1"/>
      <c r="AJ1413" s="1"/>
      <c r="AQ1413" s="1"/>
      <c r="AX1413" s="1"/>
    </row>
    <row r="1414" spans="1:50" x14ac:dyDescent="0.25">
      <c r="A1414" s="1"/>
      <c r="H1414" s="1"/>
      <c r="O1414" s="1"/>
      <c r="V1414" s="1"/>
      <c r="AC1414" s="1"/>
      <c r="AJ1414" s="1"/>
      <c r="AQ1414" s="1"/>
      <c r="AX1414" s="1"/>
    </row>
    <row r="1415" spans="1:50" x14ac:dyDescent="0.25">
      <c r="A1415" s="1"/>
      <c r="H1415" s="1"/>
      <c r="O1415" s="1"/>
      <c r="V1415" s="1"/>
      <c r="AC1415" s="1"/>
      <c r="AJ1415" s="1"/>
      <c r="AQ1415" s="1"/>
      <c r="AX1415" s="1"/>
    </row>
    <row r="1416" spans="1:50" x14ac:dyDescent="0.25">
      <c r="A1416" s="1"/>
      <c r="H1416" s="1"/>
      <c r="O1416" s="1"/>
      <c r="V1416" s="1"/>
      <c r="AC1416" s="1"/>
      <c r="AJ1416" s="1"/>
      <c r="AQ1416" s="1"/>
      <c r="AX1416" s="1"/>
    </row>
    <row r="1417" spans="1:50" x14ac:dyDescent="0.25">
      <c r="A1417" s="1"/>
      <c r="H1417" s="1"/>
      <c r="O1417" s="1"/>
      <c r="V1417" s="1"/>
      <c r="AC1417" s="1"/>
      <c r="AJ1417" s="1"/>
      <c r="AQ1417" s="1"/>
      <c r="AX1417" s="1"/>
    </row>
    <row r="1418" spans="1:50" x14ac:dyDescent="0.25">
      <c r="A1418" s="1"/>
      <c r="H1418" s="1"/>
      <c r="O1418" s="1"/>
      <c r="V1418" s="1"/>
      <c r="AC1418" s="1"/>
      <c r="AJ1418" s="1"/>
      <c r="AQ1418" s="1"/>
      <c r="AX1418" s="1"/>
    </row>
    <row r="1419" spans="1:50" x14ac:dyDescent="0.25">
      <c r="A1419" s="1"/>
      <c r="H1419" s="1"/>
      <c r="O1419" s="1"/>
      <c r="V1419" s="1"/>
      <c r="AC1419" s="1"/>
      <c r="AJ1419" s="1"/>
      <c r="AQ1419" s="1"/>
      <c r="AX1419" s="1"/>
    </row>
    <row r="1420" spans="1:50" x14ac:dyDescent="0.25">
      <c r="A1420" s="1"/>
      <c r="H1420" s="1"/>
      <c r="O1420" s="1"/>
      <c r="V1420" s="1"/>
      <c r="AC1420" s="1"/>
      <c r="AJ1420" s="1"/>
      <c r="AQ1420" s="1"/>
      <c r="AX1420" s="1"/>
    </row>
    <row r="1421" spans="1:50" x14ac:dyDescent="0.25">
      <c r="A1421" s="1"/>
      <c r="H1421" s="1"/>
      <c r="O1421" s="1"/>
      <c r="V1421" s="1"/>
      <c r="AC1421" s="1"/>
      <c r="AJ1421" s="1"/>
      <c r="AQ1421" s="1"/>
      <c r="AX1421" s="1"/>
    </row>
    <row r="1422" spans="1:50" x14ac:dyDescent="0.25">
      <c r="A1422" s="1"/>
      <c r="H1422" s="1"/>
      <c r="O1422" s="1"/>
      <c r="V1422" s="1"/>
      <c r="AC1422" s="1"/>
      <c r="AJ1422" s="1"/>
      <c r="AQ1422" s="1"/>
      <c r="AX1422" s="1"/>
    </row>
    <row r="1423" spans="1:50" x14ac:dyDescent="0.25">
      <c r="A1423" s="1"/>
      <c r="H1423" s="1"/>
      <c r="O1423" s="1"/>
      <c r="V1423" s="1"/>
      <c r="AC1423" s="1"/>
      <c r="AJ1423" s="1"/>
      <c r="AQ1423" s="1"/>
      <c r="AX1423" s="1"/>
    </row>
    <row r="1424" spans="1:50" x14ac:dyDescent="0.25">
      <c r="A1424" s="1"/>
      <c r="H1424" s="1"/>
      <c r="O1424" s="1"/>
      <c r="V1424" s="1"/>
      <c r="AC1424" s="1"/>
      <c r="AJ1424" s="1"/>
      <c r="AQ1424" s="1"/>
      <c r="AX1424" s="1"/>
    </row>
    <row r="1425" spans="1:50" x14ac:dyDescent="0.25">
      <c r="A1425" s="1"/>
      <c r="H1425" s="1"/>
      <c r="O1425" s="1"/>
      <c r="V1425" s="1"/>
      <c r="AC1425" s="1"/>
      <c r="AJ1425" s="1"/>
      <c r="AQ1425" s="1"/>
      <c r="AX1425" s="1"/>
    </row>
    <row r="1426" spans="1:50" x14ac:dyDescent="0.25">
      <c r="A1426" s="1"/>
      <c r="H1426" s="1"/>
      <c r="O1426" s="1"/>
      <c r="V1426" s="1"/>
      <c r="AC1426" s="1"/>
      <c r="AJ1426" s="1"/>
      <c r="AQ1426" s="1"/>
      <c r="AX1426" s="1"/>
    </row>
    <row r="1427" spans="1:50" x14ac:dyDescent="0.25">
      <c r="A1427" s="1"/>
      <c r="H1427" s="1"/>
      <c r="O1427" s="1"/>
      <c r="V1427" s="1"/>
      <c r="AC1427" s="1"/>
      <c r="AJ1427" s="1"/>
      <c r="AQ1427" s="1"/>
      <c r="AX1427" s="1"/>
    </row>
    <row r="1428" spans="1:50" x14ac:dyDescent="0.25">
      <c r="A1428" s="1"/>
      <c r="H1428" s="1"/>
      <c r="O1428" s="1"/>
      <c r="V1428" s="1"/>
      <c r="AC1428" s="1"/>
      <c r="AJ1428" s="1"/>
      <c r="AQ1428" s="1"/>
      <c r="AX1428" s="1"/>
    </row>
    <row r="1429" spans="1:50" x14ac:dyDescent="0.25">
      <c r="A1429" s="1"/>
      <c r="H1429" s="1"/>
      <c r="O1429" s="1"/>
      <c r="V1429" s="1"/>
      <c r="AC1429" s="1"/>
      <c r="AJ1429" s="1"/>
      <c r="AQ1429" s="1"/>
      <c r="AX1429" s="1"/>
    </row>
    <row r="1430" spans="1:50" x14ac:dyDescent="0.25">
      <c r="A1430" s="1"/>
      <c r="H1430" s="1"/>
      <c r="O1430" s="1"/>
      <c r="V1430" s="1"/>
      <c r="AC1430" s="1"/>
      <c r="AJ1430" s="1"/>
      <c r="AQ1430" s="1"/>
      <c r="AX1430" s="1"/>
    </row>
    <row r="1431" spans="1:50" x14ac:dyDescent="0.25">
      <c r="A1431" s="1"/>
      <c r="H1431" s="1"/>
      <c r="O1431" s="1"/>
      <c r="V1431" s="1"/>
      <c r="AC1431" s="1"/>
      <c r="AJ1431" s="1"/>
      <c r="AQ1431" s="1"/>
      <c r="AX1431" s="1"/>
    </row>
    <row r="1432" spans="1:50" x14ac:dyDescent="0.25">
      <c r="A1432" s="1"/>
      <c r="H1432" s="1"/>
      <c r="O1432" s="1"/>
      <c r="V1432" s="1"/>
      <c r="AC1432" s="1"/>
      <c r="AJ1432" s="1"/>
      <c r="AQ1432" s="1"/>
      <c r="AX1432" s="1"/>
    </row>
    <row r="1433" spans="1:50" x14ac:dyDescent="0.25">
      <c r="A1433" s="1"/>
      <c r="H1433" s="1"/>
      <c r="O1433" s="1"/>
      <c r="V1433" s="1"/>
      <c r="AC1433" s="1"/>
      <c r="AJ1433" s="1"/>
      <c r="AQ1433" s="1"/>
      <c r="AX1433" s="1"/>
    </row>
    <row r="1434" spans="1:50" x14ac:dyDescent="0.25">
      <c r="A1434" s="1"/>
      <c r="H1434" s="1"/>
      <c r="O1434" s="1"/>
      <c r="V1434" s="1"/>
      <c r="AC1434" s="1"/>
      <c r="AJ1434" s="1"/>
      <c r="AQ1434" s="1"/>
      <c r="AX1434" s="1"/>
    </row>
    <row r="1435" spans="1:50" x14ac:dyDescent="0.25">
      <c r="A1435" s="1"/>
      <c r="H1435" s="1"/>
      <c r="O1435" s="1"/>
      <c r="V1435" s="1"/>
      <c r="AC1435" s="1"/>
      <c r="AJ1435" s="1"/>
      <c r="AQ1435" s="1"/>
      <c r="AX1435" s="1"/>
    </row>
    <row r="1436" spans="1:50" x14ac:dyDescent="0.25">
      <c r="A1436" s="1"/>
      <c r="H1436" s="1"/>
      <c r="O1436" s="1"/>
      <c r="V1436" s="1"/>
      <c r="AC1436" s="1"/>
      <c r="AJ1436" s="1"/>
      <c r="AQ1436" s="1"/>
      <c r="AX1436" s="1"/>
    </row>
    <row r="1437" spans="1:50" x14ac:dyDescent="0.25">
      <c r="A1437" s="1"/>
      <c r="H1437" s="1"/>
      <c r="O1437" s="1"/>
      <c r="V1437" s="1"/>
      <c r="AC1437" s="1"/>
      <c r="AJ1437" s="1"/>
      <c r="AQ1437" s="1"/>
      <c r="AX1437" s="1"/>
    </row>
    <row r="1438" spans="1:50" x14ac:dyDescent="0.25">
      <c r="A1438" s="1"/>
      <c r="H1438" s="1"/>
      <c r="O1438" s="1"/>
      <c r="V1438" s="1"/>
      <c r="AC1438" s="1"/>
      <c r="AJ1438" s="1"/>
      <c r="AQ1438" s="1"/>
      <c r="AX1438" s="1"/>
    </row>
    <row r="1439" spans="1:50" x14ac:dyDescent="0.25">
      <c r="A1439" s="1"/>
      <c r="H1439" s="1"/>
      <c r="O1439" s="1"/>
      <c r="V1439" s="1"/>
      <c r="AC1439" s="1"/>
      <c r="AJ1439" s="1"/>
      <c r="AQ1439" s="1"/>
      <c r="AX1439" s="1"/>
    </row>
    <row r="1440" spans="1:50" x14ac:dyDescent="0.25">
      <c r="A1440" s="1"/>
      <c r="H1440" s="1"/>
      <c r="O1440" s="1"/>
      <c r="V1440" s="1"/>
      <c r="AC1440" s="1"/>
      <c r="AJ1440" s="1"/>
      <c r="AQ1440" s="1"/>
      <c r="AX1440" s="1"/>
    </row>
    <row r="1441" spans="1:50" x14ac:dyDescent="0.25">
      <c r="A1441" s="1"/>
      <c r="H1441" s="1"/>
      <c r="O1441" s="1"/>
      <c r="V1441" s="1"/>
      <c r="AC1441" s="1"/>
      <c r="AJ1441" s="1"/>
      <c r="AQ1441" s="1"/>
      <c r="AX1441" s="1"/>
    </row>
    <row r="1442" spans="1:50" x14ac:dyDescent="0.25">
      <c r="A1442" s="1"/>
      <c r="H1442" s="1"/>
      <c r="O1442" s="1"/>
      <c r="V1442" s="1"/>
      <c r="AC1442" s="1"/>
      <c r="AJ1442" s="1"/>
      <c r="AQ1442" s="1"/>
      <c r="AX1442" s="1"/>
    </row>
    <row r="1443" spans="1:50" x14ac:dyDescent="0.25">
      <c r="A1443" s="1"/>
      <c r="H1443" s="1"/>
      <c r="O1443" s="1"/>
      <c r="V1443" s="1"/>
      <c r="AC1443" s="1"/>
      <c r="AJ1443" s="1"/>
      <c r="AQ1443" s="1"/>
      <c r="AX1443" s="1"/>
    </row>
    <row r="1444" spans="1:50" x14ac:dyDescent="0.25">
      <c r="A1444" s="1"/>
      <c r="H1444" s="1"/>
      <c r="O1444" s="1"/>
      <c r="V1444" s="1"/>
      <c r="AC1444" s="1"/>
      <c r="AJ1444" s="1"/>
      <c r="AQ1444" s="1"/>
      <c r="AX1444" s="1"/>
    </row>
    <row r="1445" spans="1:50" x14ac:dyDescent="0.25">
      <c r="A1445" s="1"/>
      <c r="H1445" s="1"/>
      <c r="O1445" s="1"/>
      <c r="V1445" s="1"/>
      <c r="AC1445" s="1"/>
      <c r="AJ1445" s="1"/>
      <c r="AQ1445" s="1"/>
      <c r="AX1445" s="1"/>
    </row>
    <row r="1446" spans="1:50" x14ac:dyDescent="0.25">
      <c r="A1446" s="1"/>
      <c r="H1446" s="1"/>
      <c r="O1446" s="1"/>
      <c r="V1446" s="1"/>
      <c r="AC1446" s="1"/>
      <c r="AJ1446" s="1"/>
      <c r="AQ1446" s="1"/>
      <c r="AX1446" s="1"/>
    </row>
    <row r="1447" spans="1:50" x14ac:dyDescent="0.25">
      <c r="A1447" s="1"/>
      <c r="H1447" s="1"/>
      <c r="O1447" s="1"/>
      <c r="V1447" s="1"/>
      <c r="AC1447" s="1"/>
      <c r="AJ1447" s="1"/>
      <c r="AQ1447" s="1"/>
      <c r="AX1447" s="1"/>
    </row>
    <row r="1448" spans="1:50" x14ac:dyDescent="0.25">
      <c r="A1448" s="1"/>
      <c r="H1448" s="1"/>
      <c r="O1448" s="1"/>
      <c r="V1448" s="1"/>
      <c r="AC1448" s="1"/>
      <c r="AJ1448" s="1"/>
      <c r="AQ1448" s="1"/>
      <c r="AX1448" s="1"/>
    </row>
    <row r="1449" spans="1:50" x14ac:dyDescent="0.25">
      <c r="A1449" s="1"/>
      <c r="H1449" s="1"/>
      <c r="O1449" s="1"/>
      <c r="V1449" s="1"/>
      <c r="AC1449" s="1"/>
      <c r="AJ1449" s="1"/>
      <c r="AQ1449" s="1"/>
      <c r="AX1449" s="1"/>
    </row>
    <row r="1450" spans="1:50" x14ac:dyDescent="0.25">
      <c r="A1450" s="1"/>
      <c r="H1450" s="1"/>
      <c r="O1450" s="1"/>
      <c r="V1450" s="1"/>
      <c r="AC1450" s="1"/>
      <c r="AJ1450" s="1"/>
      <c r="AQ1450" s="1"/>
      <c r="AX1450" s="1"/>
    </row>
    <row r="1451" spans="1:50" x14ac:dyDescent="0.25">
      <c r="A1451" s="1"/>
      <c r="H1451" s="1"/>
      <c r="O1451" s="1"/>
      <c r="V1451" s="1"/>
      <c r="AC1451" s="1"/>
      <c r="AJ1451" s="1"/>
      <c r="AQ1451" s="1"/>
      <c r="AX1451" s="1"/>
    </row>
    <row r="1452" spans="1:50" x14ac:dyDescent="0.25">
      <c r="A1452" s="1"/>
      <c r="H1452" s="1"/>
      <c r="O1452" s="1"/>
      <c r="V1452" s="1"/>
      <c r="AC1452" s="1"/>
      <c r="AJ1452" s="1"/>
      <c r="AQ1452" s="1"/>
      <c r="AX1452" s="1"/>
    </row>
    <row r="1453" spans="1:50" x14ac:dyDescent="0.25">
      <c r="A1453" s="1"/>
      <c r="H1453" s="1"/>
      <c r="O1453" s="1"/>
      <c r="V1453" s="1"/>
      <c r="AC1453" s="1"/>
      <c r="AJ1453" s="1"/>
      <c r="AQ1453" s="1"/>
      <c r="AX1453" s="1"/>
    </row>
    <row r="1454" spans="1:50" x14ac:dyDescent="0.25">
      <c r="A1454" s="1"/>
      <c r="H1454" s="1"/>
      <c r="O1454" s="1"/>
      <c r="V1454" s="1"/>
      <c r="AC1454" s="1"/>
      <c r="AJ1454" s="1"/>
      <c r="AQ1454" s="1"/>
      <c r="AX1454" s="1"/>
    </row>
    <row r="1455" spans="1:50" x14ac:dyDescent="0.25">
      <c r="A1455" s="1"/>
      <c r="H1455" s="1"/>
      <c r="O1455" s="1"/>
      <c r="V1455" s="1"/>
      <c r="AC1455" s="1"/>
      <c r="AJ1455" s="1"/>
      <c r="AQ1455" s="1"/>
      <c r="AX1455" s="1"/>
    </row>
    <row r="1456" spans="1:50" x14ac:dyDescent="0.25">
      <c r="A1456" s="1"/>
      <c r="H1456" s="1"/>
      <c r="O1456" s="1"/>
      <c r="V1456" s="1"/>
      <c r="AC1456" s="1"/>
      <c r="AJ1456" s="1"/>
      <c r="AQ1456" s="1"/>
      <c r="AX1456" s="1"/>
    </row>
    <row r="1457" spans="1:50" x14ac:dyDescent="0.25">
      <c r="A1457" s="1"/>
      <c r="H1457" s="1"/>
      <c r="O1457" s="1"/>
      <c r="V1457" s="1"/>
      <c r="AC1457" s="1"/>
      <c r="AJ1457" s="1"/>
      <c r="AQ1457" s="1"/>
      <c r="AX1457" s="1"/>
    </row>
    <row r="1458" spans="1:50" x14ac:dyDescent="0.25">
      <c r="A1458" s="1"/>
      <c r="H1458" s="1"/>
      <c r="O1458" s="1"/>
      <c r="V1458" s="1"/>
      <c r="AC1458" s="1"/>
      <c r="AJ1458" s="1"/>
      <c r="AQ1458" s="1"/>
      <c r="AX1458" s="1"/>
    </row>
    <row r="1459" spans="1:50" x14ac:dyDescent="0.25">
      <c r="A1459" s="1"/>
      <c r="H1459" s="1"/>
      <c r="O1459" s="1"/>
      <c r="V1459" s="1"/>
      <c r="AC1459" s="1"/>
      <c r="AJ1459" s="1"/>
      <c r="AQ1459" s="1"/>
      <c r="AX1459" s="1"/>
    </row>
    <row r="1460" spans="1:50" x14ac:dyDescent="0.25">
      <c r="A1460" s="1"/>
      <c r="H1460" s="1"/>
      <c r="O1460" s="1"/>
      <c r="V1460" s="1"/>
      <c r="AC1460" s="1"/>
      <c r="AJ1460" s="1"/>
      <c r="AQ1460" s="1"/>
      <c r="AX1460" s="1"/>
    </row>
    <row r="1461" spans="1:50" x14ac:dyDescent="0.25">
      <c r="A1461" s="1"/>
      <c r="H1461" s="1"/>
      <c r="O1461" s="1"/>
      <c r="V1461" s="1"/>
      <c r="AC1461" s="1"/>
      <c r="AJ1461" s="1"/>
      <c r="AQ1461" s="1"/>
      <c r="AX1461" s="1"/>
    </row>
    <row r="1462" spans="1:50" x14ac:dyDescent="0.25">
      <c r="A1462" s="1"/>
      <c r="H1462" s="1"/>
      <c r="O1462" s="1"/>
      <c r="V1462" s="1"/>
      <c r="AC1462" s="1"/>
      <c r="AJ1462" s="1"/>
      <c r="AQ1462" s="1"/>
      <c r="AX1462" s="1"/>
    </row>
    <row r="1463" spans="1:50" x14ac:dyDescent="0.25">
      <c r="A1463" s="1"/>
      <c r="H1463" s="1"/>
      <c r="O1463" s="1"/>
      <c r="V1463" s="1"/>
      <c r="AC1463" s="1"/>
      <c r="AJ1463" s="1"/>
      <c r="AQ1463" s="1"/>
      <c r="AX1463" s="1"/>
    </row>
    <row r="1464" spans="1:50" x14ac:dyDescent="0.25">
      <c r="A1464" s="1"/>
      <c r="H1464" s="1"/>
      <c r="O1464" s="1"/>
      <c r="V1464" s="1"/>
      <c r="AC1464" s="1"/>
      <c r="AJ1464" s="1"/>
      <c r="AQ1464" s="1"/>
      <c r="AX1464" s="1"/>
    </row>
    <row r="1465" spans="1:50" x14ac:dyDescent="0.25">
      <c r="A1465" s="1"/>
      <c r="H1465" s="1"/>
      <c r="O1465" s="1"/>
      <c r="V1465" s="1"/>
      <c r="AC1465" s="1"/>
      <c r="AJ1465" s="1"/>
      <c r="AQ1465" s="1"/>
      <c r="AX1465" s="1"/>
    </row>
    <row r="1466" spans="1:50" x14ac:dyDescent="0.25">
      <c r="A1466" s="1"/>
      <c r="H1466" s="1"/>
      <c r="O1466" s="1"/>
      <c r="V1466" s="1"/>
      <c r="AC1466" s="1"/>
      <c r="AJ1466" s="1"/>
      <c r="AQ1466" s="1"/>
      <c r="AX1466" s="1"/>
    </row>
    <row r="1467" spans="1:50" x14ac:dyDescent="0.25">
      <c r="A1467" s="1"/>
      <c r="H1467" s="1"/>
      <c r="O1467" s="1"/>
      <c r="V1467" s="1"/>
      <c r="AC1467" s="1"/>
      <c r="AJ1467" s="1"/>
      <c r="AQ1467" s="1"/>
      <c r="AX1467" s="1"/>
    </row>
    <row r="1468" spans="1:50" x14ac:dyDescent="0.25">
      <c r="A1468" s="1"/>
      <c r="H1468" s="1"/>
      <c r="O1468" s="1"/>
      <c r="V1468" s="1"/>
      <c r="AC1468" s="1"/>
      <c r="AJ1468" s="1"/>
      <c r="AQ1468" s="1"/>
      <c r="AX1468" s="1"/>
    </row>
    <row r="1469" spans="1:50" x14ac:dyDescent="0.25">
      <c r="A1469" s="1"/>
      <c r="H1469" s="1"/>
      <c r="O1469" s="1"/>
      <c r="V1469" s="1"/>
      <c r="AC1469" s="1"/>
      <c r="AJ1469" s="1"/>
      <c r="AQ1469" s="1"/>
      <c r="AX1469" s="1"/>
    </row>
    <row r="1470" spans="1:50" x14ac:dyDescent="0.25">
      <c r="A1470" s="1"/>
      <c r="H1470" s="1"/>
      <c r="O1470" s="1"/>
      <c r="V1470" s="1"/>
      <c r="AC1470" s="1"/>
      <c r="AJ1470" s="1"/>
      <c r="AQ1470" s="1"/>
      <c r="AX1470" s="1"/>
    </row>
    <row r="1471" spans="1:50" x14ac:dyDescent="0.25">
      <c r="A1471" s="1"/>
      <c r="H1471" s="1"/>
      <c r="O1471" s="1"/>
      <c r="V1471" s="1"/>
      <c r="AC1471" s="1"/>
      <c r="AJ1471" s="1"/>
      <c r="AQ1471" s="1"/>
      <c r="AX1471" s="1"/>
    </row>
    <row r="1472" spans="1:50" x14ac:dyDescent="0.25">
      <c r="A1472" s="1"/>
      <c r="H1472" s="1"/>
      <c r="O1472" s="1"/>
      <c r="V1472" s="1"/>
      <c r="AC1472" s="1"/>
      <c r="AJ1472" s="1"/>
      <c r="AQ1472" s="1"/>
      <c r="AX1472" s="1"/>
    </row>
    <row r="1473" spans="1:50" x14ac:dyDescent="0.25">
      <c r="A1473" s="1"/>
      <c r="H1473" s="1"/>
      <c r="O1473" s="1"/>
      <c r="V1473" s="1"/>
      <c r="AC1473" s="1"/>
      <c r="AJ1473" s="1"/>
      <c r="AQ1473" s="1"/>
      <c r="AX1473" s="1"/>
    </row>
    <row r="1474" spans="1:50" x14ac:dyDescent="0.25">
      <c r="A1474" s="1"/>
      <c r="H1474" s="1"/>
      <c r="O1474" s="1"/>
      <c r="V1474" s="1"/>
      <c r="AC1474" s="1"/>
      <c r="AJ1474" s="1"/>
      <c r="AQ1474" s="1"/>
      <c r="AX1474" s="1"/>
    </row>
    <row r="1475" spans="1:50" x14ac:dyDescent="0.25">
      <c r="A1475" s="1"/>
      <c r="H1475" s="1"/>
      <c r="O1475" s="1"/>
      <c r="V1475" s="1"/>
      <c r="AC1475" s="1"/>
      <c r="AJ1475" s="1"/>
      <c r="AQ1475" s="1"/>
      <c r="AX1475" s="1"/>
    </row>
    <row r="1476" spans="1:50" x14ac:dyDescent="0.25">
      <c r="A1476" s="1"/>
      <c r="H1476" s="1"/>
      <c r="O1476" s="1"/>
      <c r="V1476" s="1"/>
      <c r="AC1476" s="1"/>
      <c r="AJ1476" s="1"/>
      <c r="AQ1476" s="1"/>
      <c r="AX1476" s="1"/>
    </row>
    <row r="1477" spans="1:50" x14ac:dyDescent="0.25">
      <c r="A1477" s="1"/>
      <c r="H1477" s="1"/>
      <c r="O1477" s="1"/>
      <c r="V1477" s="1"/>
      <c r="AC1477" s="1"/>
      <c r="AJ1477" s="1"/>
      <c r="AQ1477" s="1"/>
      <c r="AX1477" s="1"/>
    </row>
    <row r="1478" spans="1:50" x14ac:dyDescent="0.25">
      <c r="A1478" s="1"/>
      <c r="H1478" s="1"/>
      <c r="O1478" s="1"/>
      <c r="V1478" s="1"/>
      <c r="AC1478" s="1"/>
      <c r="AJ1478" s="1"/>
      <c r="AQ1478" s="1"/>
      <c r="AX1478" s="1"/>
    </row>
    <row r="1479" spans="1:50" x14ac:dyDescent="0.25">
      <c r="A1479" s="1"/>
      <c r="H1479" s="1"/>
      <c r="O1479" s="1"/>
      <c r="V1479" s="1"/>
      <c r="AC1479" s="1"/>
      <c r="AJ1479" s="1"/>
      <c r="AQ1479" s="1"/>
      <c r="AX1479" s="1"/>
    </row>
    <row r="1480" spans="1:50" x14ac:dyDescent="0.25">
      <c r="A1480" s="1"/>
      <c r="H1480" s="1"/>
      <c r="O1480" s="1"/>
      <c r="V1480" s="1"/>
      <c r="AC1480" s="1"/>
      <c r="AJ1480" s="1"/>
      <c r="AQ1480" s="1"/>
      <c r="AX1480" s="1"/>
    </row>
    <row r="1481" spans="1:50" x14ac:dyDescent="0.25">
      <c r="A1481" s="1"/>
      <c r="H1481" s="1"/>
      <c r="O1481" s="1"/>
      <c r="V1481" s="1"/>
      <c r="AC1481" s="1"/>
      <c r="AJ1481" s="1"/>
      <c r="AQ1481" s="1"/>
      <c r="AX1481" s="1"/>
    </row>
    <row r="1482" spans="1:50" x14ac:dyDescent="0.25">
      <c r="A1482" s="1"/>
      <c r="H1482" s="1"/>
      <c r="O1482" s="1"/>
      <c r="V1482" s="1"/>
      <c r="AC1482" s="1"/>
      <c r="AJ1482" s="1"/>
      <c r="AQ1482" s="1"/>
      <c r="AX1482" s="1"/>
    </row>
    <row r="1483" spans="1:50" x14ac:dyDescent="0.25">
      <c r="A1483" s="1"/>
      <c r="H1483" s="1"/>
      <c r="O1483" s="1"/>
      <c r="V1483" s="1"/>
      <c r="AC1483" s="1"/>
      <c r="AJ1483" s="1"/>
      <c r="AQ1483" s="1"/>
      <c r="AX1483" s="1"/>
    </row>
    <row r="1484" spans="1:50" x14ac:dyDescent="0.25">
      <c r="A1484" s="1"/>
      <c r="H1484" s="1"/>
      <c r="O1484" s="1"/>
      <c r="V1484" s="1"/>
      <c r="AC1484" s="1"/>
      <c r="AJ1484" s="1"/>
      <c r="AQ1484" s="1"/>
      <c r="AX1484" s="1"/>
    </row>
    <row r="1485" spans="1:50" x14ac:dyDescent="0.25">
      <c r="A1485" s="1"/>
      <c r="H1485" s="1"/>
      <c r="O1485" s="1"/>
      <c r="V1485" s="1"/>
      <c r="AC1485" s="1"/>
      <c r="AJ1485" s="1"/>
      <c r="AQ1485" s="1"/>
      <c r="AX1485" s="1"/>
    </row>
    <row r="1486" spans="1:50" x14ac:dyDescent="0.25">
      <c r="A1486" s="1"/>
      <c r="H1486" s="1"/>
      <c r="O1486" s="1"/>
      <c r="V1486" s="1"/>
      <c r="AC1486" s="1"/>
      <c r="AJ1486" s="1"/>
      <c r="AQ1486" s="1"/>
      <c r="AX1486" s="1"/>
    </row>
    <row r="1487" spans="1:50" x14ac:dyDescent="0.25">
      <c r="A1487" s="1"/>
      <c r="H1487" s="1"/>
      <c r="O1487" s="1"/>
      <c r="V1487" s="1"/>
      <c r="AC1487" s="1"/>
      <c r="AJ1487" s="1"/>
      <c r="AQ1487" s="1"/>
      <c r="AX1487" s="1"/>
    </row>
    <row r="1488" spans="1:50" x14ac:dyDescent="0.25">
      <c r="A1488" s="1"/>
      <c r="H1488" s="1"/>
      <c r="O1488" s="1"/>
      <c r="V1488" s="1"/>
      <c r="AC1488" s="1"/>
      <c r="AJ1488" s="1"/>
      <c r="AQ1488" s="1"/>
      <c r="AX1488" s="1"/>
    </row>
    <row r="1489" spans="1:50" x14ac:dyDescent="0.25">
      <c r="A1489" s="1"/>
      <c r="H1489" s="1"/>
      <c r="O1489" s="1"/>
      <c r="V1489" s="1"/>
      <c r="AC1489" s="1"/>
      <c r="AJ1489" s="1"/>
      <c r="AQ1489" s="1"/>
      <c r="AX1489" s="1"/>
    </row>
    <row r="1490" spans="1:50" x14ac:dyDescent="0.25">
      <c r="A1490" s="1"/>
      <c r="H1490" s="1"/>
      <c r="O1490" s="1"/>
      <c r="V1490" s="1"/>
      <c r="AC1490" s="1"/>
      <c r="AJ1490" s="1"/>
      <c r="AQ1490" s="1"/>
      <c r="AX1490" s="1"/>
    </row>
    <row r="1491" spans="1:50" x14ac:dyDescent="0.25">
      <c r="A1491" s="1"/>
      <c r="H1491" s="1"/>
      <c r="O1491" s="1"/>
      <c r="V1491" s="1"/>
      <c r="AC1491" s="1"/>
      <c r="AJ1491" s="1"/>
      <c r="AQ1491" s="1"/>
      <c r="AX1491" s="1"/>
    </row>
    <row r="1492" spans="1:50" x14ac:dyDescent="0.25">
      <c r="A1492" s="1"/>
      <c r="H1492" s="1"/>
      <c r="O1492" s="1"/>
      <c r="V1492" s="1"/>
      <c r="AC1492" s="1"/>
      <c r="AJ1492" s="1"/>
      <c r="AQ1492" s="1"/>
      <c r="AX1492" s="1"/>
    </row>
    <row r="1493" spans="1:50" x14ac:dyDescent="0.25">
      <c r="A1493" s="1"/>
      <c r="H1493" s="1"/>
      <c r="O1493" s="1"/>
      <c r="V1493" s="1"/>
      <c r="AC1493" s="1"/>
      <c r="AJ1493" s="1"/>
      <c r="AQ1493" s="1"/>
      <c r="AX1493" s="1"/>
    </row>
    <row r="1494" spans="1:50" x14ac:dyDescent="0.25">
      <c r="A1494" s="1"/>
      <c r="H1494" s="1"/>
      <c r="O1494" s="1"/>
      <c r="V1494" s="1"/>
      <c r="AC1494" s="1"/>
      <c r="AJ1494" s="1"/>
      <c r="AQ1494" s="1"/>
      <c r="AX1494" s="1"/>
    </row>
    <row r="1495" spans="1:50" x14ac:dyDescent="0.25">
      <c r="A1495" s="1"/>
      <c r="H1495" s="1"/>
      <c r="O1495" s="1"/>
      <c r="V1495" s="1"/>
      <c r="AC1495" s="1"/>
      <c r="AJ1495" s="1"/>
      <c r="AQ1495" s="1"/>
      <c r="AX1495" s="1"/>
    </row>
    <row r="1496" spans="1:50" x14ac:dyDescent="0.25">
      <c r="A1496" s="1"/>
      <c r="H1496" s="1"/>
      <c r="O1496" s="1"/>
      <c r="V1496" s="1"/>
      <c r="AC1496" s="1"/>
      <c r="AJ1496" s="1"/>
      <c r="AQ1496" s="1"/>
      <c r="AX1496" s="1"/>
    </row>
    <row r="1497" spans="1:50" x14ac:dyDescent="0.25">
      <c r="A1497" s="1"/>
      <c r="H1497" s="1"/>
      <c r="O1497" s="1"/>
      <c r="V1497" s="1"/>
      <c r="AC1497" s="1"/>
      <c r="AJ1497" s="1"/>
      <c r="AQ1497" s="1"/>
      <c r="AX1497" s="1"/>
    </row>
    <row r="1498" spans="1:50" x14ac:dyDescent="0.25">
      <c r="A1498" s="1"/>
      <c r="H1498" s="1"/>
      <c r="O1498" s="1"/>
      <c r="V1498" s="1"/>
      <c r="AC1498" s="1"/>
      <c r="AJ1498" s="1"/>
      <c r="AQ1498" s="1"/>
      <c r="AX1498" s="1"/>
    </row>
    <row r="1499" spans="1:50" x14ac:dyDescent="0.25">
      <c r="A1499" s="1"/>
      <c r="H1499" s="1"/>
      <c r="O1499" s="1"/>
      <c r="V1499" s="1"/>
      <c r="AC1499" s="1"/>
      <c r="AJ1499" s="1"/>
      <c r="AQ1499" s="1"/>
      <c r="AX1499" s="1"/>
    </row>
    <row r="1500" spans="1:50" x14ac:dyDescent="0.25">
      <c r="A1500" s="1"/>
      <c r="H1500" s="1"/>
      <c r="O1500" s="1"/>
      <c r="V1500" s="1"/>
      <c r="AC1500" s="1"/>
      <c r="AJ1500" s="1"/>
      <c r="AQ1500" s="1"/>
      <c r="AX1500" s="1"/>
    </row>
    <row r="1501" spans="1:50" x14ac:dyDescent="0.25">
      <c r="A1501" s="1"/>
      <c r="H1501" s="1"/>
      <c r="O1501" s="1"/>
      <c r="V1501" s="1"/>
      <c r="AC1501" s="1"/>
      <c r="AJ1501" s="1"/>
      <c r="AQ1501" s="1"/>
      <c r="AX1501" s="1"/>
    </row>
    <row r="1502" spans="1:50" x14ac:dyDescent="0.25">
      <c r="A1502" s="1"/>
      <c r="H1502" s="1"/>
      <c r="O1502" s="1"/>
      <c r="V1502" s="1"/>
      <c r="AC1502" s="1"/>
      <c r="AJ1502" s="1"/>
      <c r="AQ1502" s="1"/>
      <c r="AX1502" s="1"/>
    </row>
    <row r="1503" spans="1:50" x14ac:dyDescent="0.25">
      <c r="A1503" s="1"/>
      <c r="H1503" s="1"/>
      <c r="O1503" s="1"/>
      <c r="V1503" s="1"/>
      <c r="AC1503" s="1"/>
      <c r="AJ1503" s="1"/>
      <c r="AQ1503" s="1"/>
      <c r="AX1503" s="1"/>
    </row>
    <row r="1504" spans="1:50" x14ac:dyDescent="0.25">
      <c r="A1504" s="1"/>
      <c r="H1504" s="1"/>
      <c r="O1504" s="1"/>
      <c r="V1504" s="1"/>
      <c r="AC1504" s="1"/>
      <c r="AJ1504" s="1"/>
      <c r="AQ1504" s="1"/>
      <c r="AX1504" s="1"/>
    </row>
    <row r="1505" spans="1:50" x14ac:dyDescent="0.25">
      <c r="A1505" s="1"/>
      <c r="H1505" s="1"/>
      <c r="O1505" s="1"/>
      <c r="V1505" s="1"/>
      <c r="AC1505" s="1"/>
      <c r="AJ1505" s="1"/>
      <c r="AQ1505" s="1"/>
      <c r="AX1505" s="1"/>
    </row>
    <row r="1506" spans="1:50" x14ac:dyDescent="0.25">
      <c r="A1506" s="1"/>
      <c r="H1506" s="1"/>
      <c r="O1506" s="1"/>
      <c r="V1506" s="1"/>
      <c r="AC1506" s="1"/>
      <c r="AJ1506" s="1"/>
      <c r="AQ1506" s="1"/>
      <c r="AX1506" s="1"/>
    </row>
    <row r="1507" spans="1:50" x14ac:dyDescent="0.25">
      <c r="A1507" s="1"/>
      <c r="H1507" s="1"/>
      <c r="O1507" s="1"/>
      <c r="V1507" s="1"/>
      <c r="AC1507" s="1"/>
      <c r="AJ1507" s="1"/>
      <c r="AQ1507" s="1"/>
      <c r="AX1507" s="1"/>
    </row>
    <row r="1508" spans="1:50" x14ac:dyDescent="0.25">
      <c r="A1508" s="1"/>
      <c r="H1508" s="1"/>
      <c r="O1508" s="1"/>
      <c r="V1508" s="1"/>
      <c r="AC1508" s="1"/>
      <c r="AJ1508" s="1"/>
      <c r="AQ1508" s="1"/>
      <c r="AX1508" s="1"/>
    </row>
    <row r="1509" spans="1:50" x14ac:dyDescent="0.25">
      <c r="A1509" s="1"/>
      <c r="H1509" s="1"/>
      <c r="O1509" s="1"/>
      <c r="V1509" s="1"/>
      <c r="AC1509" s="1"/>
      <c r="AJ1509" s="1"/>
      <c r="AQ1509" s="1"/>
      <c r="AX1509" s="1"/>
    </row>
    <row r="1510" spans="1:50" x14ac:dyDescent="0.25">
      <c r="A1510" s="1"/>
      <c r="H1510" s="1"/>
      <c r="O1510" s="1"/>
      <c r="V1510" s="1"/>
      <c r="AC1510" s="1"/>
      <c r="AJ1510" s="1"/>
      <c r="AQ1510" s="1"/>
      <c r="AX1510" s="1"/>
    </row>
    <row r="1511" spans="1:50" x14ac:dyDescent="0.25">
      <c r="A1511" s="1"/>
      <c r="H1511" s="1"/>
      <c r="O1511" s="1"/>
      <c r="V1511" s="1"/>
      <c r="AC1511" s="1"/>
      <c r="AJ1511" s="1"/>
      <c r="AQ1511" s="1"/>
      <c r="AX1511" s="1"/>
    </row>
    <row r="1512" spans="1:50" x14ac:dyDescent="0.25">
      <c r="A1512" s="1"/>
      <c r="H1512" s="1"/>
      <c r="O1512" s="1"/>
      <c r="V1512" s="1"/>
      <c r="AC1512" s="1"/>
      <c r="AJ1512" s="1"/>
      <c r="AQ1512" s="1"/>
      <c r="AX1512" s="1"/>
    </row>
    <row r="1513" spans="1:50" x14ac:dyDescent="0.25">
      <c r="A1513" s="1"/>
      <c r="H1513" s="1"/>
      <c r="O1513" s="1"/>
      <c r="V1513" s="1"/>
      <c r="AC1513" s="1"/>
      <c r="AJ1513" s="1"/>
      <c r="AQ1513" s="1"/>
      <c r="AX1513" s="1"/>
    </row>
    <row r="1514" spans="1:50" x14ac:dyDescent="0.25">
      <c r="A1514" s="1"/>
      <c r="H1514" s="1"/>
      <c r="O1514" s="1"/>
      <c r="V1514" s="1"/>
      <c r="AC1514" s="1"/>
      <c r="AJ1514" s="1"/>
      <c r="AQ1514" s="1"/>
      <c r="AX1514" s="1"/>
    </row>
    <row r="1515" spans="1:50" x14ac:dyDescent="0.25">
      <c r="A1515" s="1"/>
      <c r="H1515" s="1"/>
      <c r="O1515" s="1"/>
      <c r="V1515" s="1"/>
      <c r="AC1515" s="1"/>
      <c r="AJ1515" s="1"/>
      <c r="AQ1515" s="1"/>
      <c r="AX1515" s="1"/>
    </row>
    <row r="1516" spans="1:50" x14ac:dyDescent="0.25">
      <c r="A1516" s="1"/>
      <c r="H1516" s="1"/>
      <c r="O1516" s="1"/>
      <c r="V1516" s="1"/>
      <c r="AC1516" s="1"/>
      <c r="AJ1516" s="1"/>
      <c r="AQ1516" s="1"/>
      <c r="AX1516" s="1"/>
    </row>
    <row r="1517" spans="1:50" x14ac:dyDescent="0.25">
      <c r="A1517" s="1"/>
      <c r="H1517" s="1"/>
      <c r="O1517" s="1"/>
      <c r="V1517" s="1"/>
      <c r="AC1517" s="1"/>
      <c r="AJ1517" s="1"/>
      <c r="AQ1517" s="1"/>
      <c r="AX1517" s="1"/>
    </row>
    <row r="1518" spans="1:50" x14ac:dyDescent="0.25">
      <c r="A1518" s="1"/>
      <c r="H1518" s="1"/>
      <c r="O1518" s="1"/>
      <c r="V1518" s="1"/>
      <c r="AC1518" s="1"/>
      <c r="AJ1518" s="1"/>
      <c r="AQ1518" s="1"/>
      <c r="AX1518" s="1"/>
    </row>
    <row r="1519" spans="1:50" x14ac:dyDescent="0.25">
      <c r="A1519" s="1"/>
      <c r="H1519" s="1"/>
      <c r="O1519" s="1"/>
      <c r="V1519" s="1"/>
      <c r="AC1519" s="1"/>
      <c r="AJ1519" s="1"/>
      <c r="AQ1519" s="1"/>
      <c r="AX1519" s="1"/>
    </row>
    <row r="1520" spans="1:50" x14ac:dyDescent="0.25">
      <c r="A1520" s="1"/>
      <c r="H1520" s="1"/>
      <c r="O1520" s="1"/>
      <c r="V1520" s="1"/>
      <c r="AC1520" s="1"/>
      <c r="AJ1520" s="1"/>
      <c r="AQ1520" s="1"/>
      <c r="AX1520" s="1"/>
    </row>
    <row r="1521" spans="1:50" x14ac:dyDescent="0.25">
      <c r="A1521" s="1"/>
      <c r="H1521" s="1"/>
      <c r="O1521" s="1"/>
      <c r="V1521" s="1"/>
      <c r="AC1521" s="1"/>
      <c r="AJ1521" s="1"/>
      <c r="AQ1521" s="1"/>
      <c r="AX1521" s="1"/>
    </row>
    <row r="1522" spans="1:50" x14ac:dyDescent="0.25">
      <c r="A1522" s="1"/>
      <c r="H1522" s="1"/>
      <c r="O1522" s="1"/>
      <c r="V1522" s="1"/>
      <c r="AC1522" s="1"/>
      <c r="AJ1522" s="1"/>
      <c r="AQ1522" s="1"/>
      <c r="AX1522" s="1"/>
    </row>
    <row r="1523" spans="1:50" x14ac:dyDescent="0.25">
      <c r="A1523" s="1"/>
      <c r="H1523" s="1"/>
      <c r="O1523" s="1"/>
      <c r="V1523" s="1"/>
      <c r="AC1523" s="1"/>
      <c r="AJ1523" s="1"/>
      <c r="AQ1523" s="1"/>
      <c r="AX1523" s="1"/>
    </row>
    <row r="1524" spans="1:50" x14ac:dyDescent="0.25">
      <c r="A1524" s="1"/>
      <c r="H1524" s="1"/>
      <c r="O1524" s="1"/>
      <c r="V1524" s="1"/>
      <c r="AC1524" s="1"/>
      <c r="AJ1524" s="1"/>
      <c r="AQ1524" s="1"/>
      <c r="AX1524" s="1"/>
    </row>
    <row r="1525" spans="1:50" x14ac:dyDescent="0.25">
      <c r="A1525" s="1"/>
      <c r="H1525" s="1"/>
      <c r="O1525" s="1"/>
      <c r="V1525" s="1"/>
      <c r="AC1525" s="1"/>
      <c r="AJ1525" s="1"/>
      <c r="AQ1525" s="1"/>
      <c r="AX1525" s="1"/>
    </row>
    <row r="1526" spans="1:50" x14ac:dyDescent="0.25">
      <c r="A1526" s="1"/>
      <c r="H1526" s="1"/>
      <c r="O1526" s="1"/>
      <c r="V1526" s="1"/>
      <c r="AC1526" s="1"/>
      <c r="AJ1526" s="1"/>
      <c r="AQ1526" s="1"/>
      <c r="AX1526" s="1"/>
    </row>
    <row r="1527" spans="1:50" x14ac:dyDescent="0.25">
      <c r="A1527" s="1"/>
      <c r="H1527" s="1"/>
      <c r="O1527" s="1"/>
      <c r="V1527" s="1"/>
      <c r="AC1527" s="1"/>
      <c r="AJ1527" s="1"/>
      <c r="AQ1527" s="1"/>
      <c r="AX1527" s="1"/>
    </row>
    <row r="1528" spans="1:50" x14ac:dyDescent="0.25">
      <c r="A1528" s="1"/>
      <c r="H1528" s="1"/>
      <c r="O1528" s="1"/>
      <c r="V1528" s="1"/>
      <c r="AC1528" s="1"/>
      <c r="AJ1528" s="1"/>
      <c r="AQ1528" s="1"/>
      <c r="AX1528" s="1"/>
    </row>
    <row r="1529" spans="1:50" x14ac:dyDescent="0.25">
      <c r="A1529" s="1"/>
      <c r="H1529" s="1"/>
      <c r="O1529" s="1"/>
      <c r="V1529" s="1"/>
      <c r="AC1529" s="1"/>
      <c r="AJ1529" s="1"/>
      <c r="AQ1529" s="1"/>
      <c r="AX1529" s="1"/>
    </row>
    <row r="1530" spans="1:50" x14ac:dyDescent="0.25">
      <c r="A1530" s="1"/>
      <c r="H1530" s="1"/>
      <c r="O1530" s="1"/>
      <c r="V1530" s="1"/>
      <c r="AC1530" s="1"/>
      <c r="AJ1530" s="1"/>
      <c r="AQ1530" s="1"/>
      <c r="AX1530" s="1"/>
    </row>
    <row r="1531" spans="1:50" x14ac:dyDescent="0.25">
      <c r="A1531" s="1"/>
      <c r="H1531" s="1"/>
      <c r="O1531" s="1"/>
      <c r="V1531" s="1"/>
      <c r="AC1531" s="1"/>
      <c r="AJ1531" s="1"/>
      <c r="AQ1531" s="1"/>
      <c r="AX1531" s="1"/>
    </row>
    <row r="1532" spans="1:50" x14ac:dyDescent="0.25">
      <c r="A1532" s="1"/>
      <c r="H1532" s="1"/>
      <c r="O1532" s="1"/>
      <c r="V1532" s="1"/>
      <c r="AC1532" s="1"/>
      <c r="AJ1532" s="1"/>
      <c r="AQ1532" s="1"/>
      <c r="AX1532" s="1"/>
    </row>
    <row r="1533" spans="1:50" x14ac:dyDescent="0.25">
      <c r="A1533" s="1"/>
      <c r="H1533" s="1"/>
      <c r="O1533" s="1"/>
      <c r="V1533" s="1"/>
      <c r="AC1533" s="1"/>
      <c r="AJ1533" s="1"/>
      <c r="AQ1533" s="1"/>
      <c r="AX1533" s="1"/>
    </row>
    <row r="1534" spans="1:50" x14ac:dyDescent="0.25">
      <c r="A1534" s="1"/>
      <c r="H1534" s="1"/>
      <c r="O1534" s="1"/>
      <c r="V1534" s="1"/>
      <c r="AC1534" s="1"/>
      <c r="AJ1534" s="1"/>
      <c r="AQ1534" s="1"/>
      <c r="AX1534" s="1"/>
    </row>
    <row r="1535" spans="1:50" x14ac:dyDescent="0.25">
      <c r="A1535" s="1"/>
      <c r="H1535" s="1"/>
      <c r="O1535" s="1"/>
      <c r="V1535" s="1"/>
      <c r="AC1535" s="1"/>
      <c r="AJ1535" s="1"/>
      <c r="AQ1535" s="1"/>
      <c r="AX1535" s="1"/>
    </row>
    <row r="1536" spans="1:50" x14ac:dyDescent="0.25">
      <c r="A1536" s="1"/>
      <c r="H1536" s="1"/>
      <c r="O1536" s="1"/>
      <c r="V1536" s="1"/>
      <c r="AC1536" s="1"/>
      <c r="AJ1536" s="1"/>
      <c r="AQ1536" s="1"/>
      <c r="AX1536" s="1"/>
    </row>
    <row r="1537" spans="1:50" x14ac:dyDescent="0.25">
      <c r="A1537" s="1"/>
      <c r="H1537" s="1"/>
      <c r="O1537" s="1"/>
      <c r="V1537" s="1"/>
      <c r="AC1537" s="1"/>
      <c r="AJ1537" s="1"/>
      <c r="AQ1537" s="1"/>
      <c r="AX1537" s="1"/>
    </row>
    <row r="1538" spans="1:50" x14ac:dyDescent="0.25">
      <c r="A1538" s="1"/>
      <c r="H1538" s="1"/>
      <c r="O1538" s="1"/>
      <c r="V1538" s="1"/>
      <c r="AC1538" s="1"/>
      <c r="AJ1538" s="1"/>
      <c r="AQ1538" s="1"/>
      <c r="AX1538" s="1"/>
    </row>
    <row r="1539" spans="1:50" x14ac:dyDescent="0.25">
      <c r="A1539" s="1"/>
      <c r="H1539" s="1"/>
      <c r="O1539" s="1"/>
      <c r="V1539" s="1"/>
      <c r="AC1539" s="1"/>
      <c r="AJ1539" s="1"/>
      <c r="AQ1539" s="1"/>
      <c r="AX1539" s="1"/>
    </row>
    <row r="1540" spans="1:50" x14ac:dyDescent="0.25">
      <c r="A1540" s="1"/>
      <c r="H1540" s="1"/>
      <c r="O1540" s="1"/>
      <c r="V1540" s="1"/>
      <c r="AC1540" s="1"/>
      <c r="AJ1540" s="1"/>
      <c r="AQ1540" s="1"/>
      <c r="AX1540" s="1"/>
    </row>
    <row r="1541" spans="1:50" x14ac:dyDescent="0.25">
      <c r="A1541" s="1"/>
      <c r="H1541" s="1"/>
      <c r="O1541" s="1"/>
      <c r="V1541" s="1"/>
      <c r="AC1541" s="1"/>
      <c r="AJ1541" s="1"/>
      <c r="AQ1541" s="1"/>
      <c r="AX1541" s="1"/>
    </row>
    <row r="1542" spans="1:50" x14ac:dyDescent="0.25">
      <c r="A1542" s="1"/>
      <c r="H1542" s="1"/>
      <c r="O1542" s="1"/>
      <c r="V1542" s="1"/>
      <c r="AC1542" s="1"/>
      <c r="AJ1542" s="1"/>
      <c r="AQ1542" s="1"/>
      <c r="AX1542" s="1"/>
    </row>
    <row r="1543" spans="1:50" x14ac:dyDescent="0.25">
      <c r="A1543" s="1"/>
      <c r="H1543" s="1"/>
      <c r="O1543" s="1"/>
      <c r="V1543" s="1"/>
      <c r="AC1543" s="1"/>
      <c r="AJ1543" s="1"/>
      <c r="AQ1543" s="1"/>
      <c r="AX1543" s="1"/>
    </row>
    <row r="1544" spans="1:50" x14ac:dyDescent="0.25">
      <c r="A1544" s="1"/>
      <c r="H1544" s="1"/>
      <c r="O1544" s="1"/>
      <c r="V1544" s="1"/>
      <c r="AC1544" s="1"/>
      <c r="AJ1544" s="1"/>
      <c r="AQ1544" s="1"/>
      <c r="AX1544" s="1"/>
    </row>
    <row r="1545" spans="1:50" x14ac:dyDescent="0.25">
      <c r="A1545" s="1"/>
      <c r="H1545" s="1"/>
      <c r="O1545" s="1"/>
      <c r="V1545" s="1"/>
      <c r="AC1545" s="1"/>
      <c r="AJ1545" s="1"/>
      <c r="AQ1545" s="1"/>
      <c r="AX1545" s="1"/>
    </row>
    <row r="1546" spans="1:50" x14ac:dyDescent="0.25">
      <c r="A1546" s="1"/>
      <c r="H1546" s="1"/>
      <c r="O1546" s="1"/>
      <c r="V1546" s="1"/>
      <c r="AC1546" s="1"/>
      <c r="AJ1546" s="1"/>
      <c r="AQ1546" s="1"/>
      <c r="AX1546" s="1"/>
    </row>
    <row r="1547" spans="1:50" x14ac:dyDescent="0.25">
      <c r="A1547" s="1"/>
      <c r="H1547" s="1"/>
      <c r="O1547" s="1"/>
      <c r="V1547" s="1"/>
      <c r="AC1547" s="1"/>
      <c r="AJ1547" s="1"/>
      <c r="AQ1547" s="1"/>
      <c r="AX1547" s="1"/>
    </row>
    <row r="1548" spans="1:50" x14ac:dyDescent="0.25">
      <c r="A1548" s="1"/>
      <c r="H1548" s="1"/>
      <c r="O1548" s="1"/>
      <c r="V1548" s="1"/>
      <c r="AC1548" s="1"/>
      <c r="AJ1548" s="1"/>
      <c r="AQ1548" s="1"/>
      <c r="AX1548" s="1"/>
    </row>
    <row r="1549" spans="1:50" x14ac:dyDescent="0.25">
      <c r="A1549" s="1"/>
      <c r="H1549" s="1"/>
      <c r="O1549" s="1"/>
      <c r="V1549" s="1"/>
      <c r="AC1549" s="1"/>
      <c r="AJ1549" s="1"/>
      <c r="AQ1549" s="1"/>
      <c r="AX1549" s="1"/>
    </row>
    <row r="1550" spans="1:50" x14ac:dyDescent="0.25">
      <c r="A1550" s="1"/>
      <c r="H1550" s="1"/>
      <c r="O1550" s="1"/>
      <c r="V1550" s="1"/>
      <c r="AC1550" s="1"/>
      <c r="AJ1550" s="1"/>
      <c r="AQ1550" s="1"/>
      <c r="AX1550" s="1"/>
    </row>
    <row r="1551" spans="1:50" x14ac:dyDescent="0.25">
      <c r="A1551" s="1"/>
      <c r="H1551" s="1"/>
      <c r="O1551" s="1"/>
      <c r="V1551" s="1"/>
      <c r="AC1551" s="1"/>
      <c r="AJ1551" s="1"/>
      <c r="AQ1551" s="1"/>
      <c r="AX1551" s="1"/>
    </row>
    <row r="1552" spans="1:50" x14ac:dyDescent="0.25">
      <c r="A1552" s="1"/>
      <c r="H1552" s="1"/>
      <c r="O1552" s="1"/>
      <c r="V1552" s="1"/>
      <c r="AC1552" s="1"/>
      <c r="AJ1552" s="1"/>
      <c r="AQ1552" s="1"/>
      <c r="AX1552" s="1"/>
    </row>
    <row r="1553" spans="1:50" x14ac:dyDescent="0.25">
      <c r="A1553" s="1"/>
      <c r="H1553" s="1"/>
      <c r="O1553" s="1"/>
      <c r="V1553" s="1"/>
      <c r="AC1553" s="1"/>
      <c r="AJ1553" s="1"/>
      <c r="AQ1553" s="1"/>
      <c r="AX1553" s="1"/>
    </row>
    <row r="1554" spans="1:50" x14ac:dyDescent="0.25">
      <c r="A1554" s="1"/>
      <c r="H1554" s="1"/>
      <c r="O1554" s="1"/>
      <c r="V1554" s="1"/>
      <c r="AC1554" s="1"/>
      <c r="AJ1554" s="1"/>
      <c r="AQ1554" s="1"/>
      <c r="AX1554" s="1"/>
    </row>
    <row r="1555" spans="1:50" x14ac:dyDescent="0.25">
      <c r="A1555" s="1"/>
      <c r="H1555" s="1"/>
      <c r="O1555" s="1"/>
      <c r="V1555" s="1"/>
      <c r="AC1555" s="1"/>
      <c r="AJ1555" s="1"/>
      <c r="AQ1555" s="1"/>
      <c r="AX1555" s="1"/>
    </row>
    <row r="1556" spans="1:50" x14ac:dyDescent="0.25">
      <c r="A1556" s="1"/>
      <c r="H1556" s="1"/>
      <c r="O1556" s="1"/>
      <c r="V1556" s="1"/>
      <c r="AC1556" s="1"/>
      <c r="AJ1556" s="1"/>
      <c r="AQ1556" s="1"/>
      <c r="AX1556" s="1"/>
    </row>
    <row r="1557" spans="1:50" x14ac:dyDescent="0.25">
      <c r="A1557" s="1"/>
      <c r="H1557" s="1"/>
      <c r="O1557" s="1"/>
      <c r="V1557" s="1"/>
      <c r="AC1557" s="1"/>
      <c r="AJ1557" s="1"/>
      <c r="AQ1557" s="1"/>
      <c r="AX1557" s="1"/>
    </row>
    <row r="1558" spans="1:50" x14ac:dyDescent="0.25">
      <c r="A1558" s="1"/>
      <c r="H1558" s="1"/>
      <c r="O1558" s="1"/>
      <c r="V1558" s="1"/>
      <c r="AC1558" s="1"/>
      <c r="AJ1558" s="1"/>
      <c r="AQ1558" s="1"/>
      <c r="AX1558" s="1"/>
    </row>
    <row r="1559" spans="1:50" x14ac:dyDescent="0.25">
      <c r="A1559" s="1"/>
      <c r="H1559" s="1"/>
      <c r="O1559" s="1"/>
      <c r="V1559" s="1"/>
      <c r="AC1559" s="1"/>
      <c r="AJ1559" s="1"/>
      <c r="AQ1559" s="1"/>
      <c r="AX1559" s="1"/>
    </row>
    <row r="1560" spans="1:50" x14ac:dyDescent="0.25">
      <c r="A1560" s="1"/>
      <c r="H1560" s="1"/>
      <c r="O1560" s="1"/>
      <c r="V1560" s="1"/>
      <c r="AC1560" s="1"/>
      <c r="AJ1560" s="1"/>
      <c r="AQ1560" s="1"/>
      <c r="AX1560" s="1"/>
    </row>
    <row r="1561" spans="1:50" x14ac:dyDescent="0.25">
      <c r="A1561" s="1"/>
      <c r="H1561" s="1"/>
      <c r="O1561" s="1"/>
      <c r="V1561" s="1"/>
      <c r="AC1561" s="1"/>
      <c r="AJ1561" s="1"/>
      <c r="AQ1561" s="1"/>
      <c r="AX1561" s="1"/>
    </row>
    <row r="1562" spans="1:50" x14ac:dyDescent="0.25">
      <c r="A1562" s="1"/>
      <c r="H1562" s="1"/>
      <c r="O1562" s="1"/>
      <c r="V1562" s="1"/>
      <c r="AC1562" s="1"/>
      <c r="AJ1562" s="1"/>
      <c r="AQ1562" s="1"/>
      <c r="AX1562" s="1"/>
    </row>
    <row r="1563" spans="1:50" x14ac:dyDescent="0.25">
      <c r="A1563" s="1"/>
      <c r="H1563" s="1"/>
      <c r="O1563" s="1"/>
      <c r="V1563" s="1"/>
      <c r="AC1563" s="1"/>
      <c r="AJ1563" s="1"/>
      <c r="AQ1563" s="1"/>
      <c r="AX1563" s="1"/>
    </row>
    <row r="1564" spans="1:50" x14ac:dyDescent="0.25">
      <c r="A1564" s="1"/>
      <c r="H1564" s="1"/>
      <c r="O1564" s="1"/>
      <c r="V1564" s="1"/>
      <c r="AC1564" s="1"/>
      <c r="AJ1564" s="1"/>
      <c r="AQ1564" s="1"/>
      <c r="AX1564" s="1"/>
    </row>
    <row r="1565" spans="1:50" x14ac:dyDescent="0.25">
      <c r="A1565" s="1"/>
      <c r="H1565" s="1"/>
      <c r="O1565" s="1"/>
      <c r="V1565" s="1"/>
      <c r="AC1565" s="1"/>
      <c r="AJ1565" s="1"/>
      <c r="AQ1565" s="1"/>
      <c r="AX1565" s="1"/>
    </row>
    <row r="1566" spans="1:50" x14ac:dyDescent="0.25">
      <c r="A1566" s="1"/>
      <c r="H1566" s="1"/>
      <c r="O1566" s="1"/>
      <c r="V1566" s="1"/>
      <c r="AC1566" s="1"/>
      <c r="AJ1566" s="1"/>
      <c r="AQ1566" s="1"/>
      <c r="AX1566" s="1"/>
    </row>
    <row r="1567" spans="1:50" x14ac:dyDescent="0.25">
      <c r="A1567" s="1"/>
      <c r="H1567" s="1"/>
      <c r="O1567" s="1"/>
      <c r="V1567" s="1"/>
      <c r="AC1567" s="1"/>
      <c r="AJ1567" s="1"/>
      <c r="AQ1567" s="1"/>
      <c r="AX1567" s="1"/>
    </row>
    <row r="1568" spans="1:50" x14ac:dyDescent="0.25">
      <c r="A1568" s="1"/>
      <c r="H1568" s="1"/>
      <c r="O1568" s="1"/>
      <c r="V1568" s="1"/>
      <c r="AC1568" s="1"/>
      <c r="AJ1568" s="1"/>
      <c r="AQ1568" s="1"/>
      <c r="AX1568" s="1"/>
    </row>
    <row r="1569" spans="1:50" x14ac:dyDescent="0.25">
      <c r="A1569" s="1"/>
      <c r="H1569" s="1"/>
      <c r="O1569" s="1"/>
      <c r="V1569" s="1"/>
      <c r="AC1569" s="1"/>
      <c r="AJ1569" s="1"/>
      <c r="AQ1569" s="1"/>
      <c r="AX1569" s="1"/>
    </row>
    <row r="1570" spans="1:50" x14ac:dyDescent="0.25">
      <c r="A1570" s="1"/>
      <c r="H1570" s="1"/>
      <c r="O1570" s="1"/>
      <c r="V1570" s="1"/>
      <c r="AC1570" s="1"/>
      <c r="AJ1570" s="1"/>
      <c r="AQ1570" s="1"/>
      <c r="AX1570" s="1"/>
    </row>
    <row r="1571" spans="1:50" x14ac:dyDescent="0.25">
      <c r="A1571" s="1"/>
      <c r="H1571" s="1"/>
      <c r="O1571" s="1"/>
      <c r="V1571" s="1"/>
      <c r="AC1571" s="1"/>
      <c r="AJ1571" s="1"/>
      <c r="AQ1571" s="1"/>
      <c r="AX1571" s="1"/>
    </row>
    <row r="1572" spans="1:50" x14ac:dyDescent="0.25">
      <c r="A1572" s="1"/>
      <c r="H1572" s="1"/>
      <c r="O1572" s="1"/>
      <c r="V1572" s="1"/>
      <c r="AC1572" s="1"/>
      <c r="AJ1572" s="1"/>
      <c r="AQ1572" s="1"/>
      <c r="AX1572" s="1"/>
    </row>
    <row r="1573" spans="1:50" x14ac:dyDescent="0.25">
      <c r="A1573" s="1"/>
      <c r="H1573" s="1"/>
      <c r="O1573" s="1"/>
      <c r="V1573" s="1"/>
      <c r="AC1573" s="1"/>
      <c r="AJ1573" s="1"/>
      <c r="AQ1573" s="1"/>
      <c r="AX1573" s="1"/>
    </row>
    <row r="1574" spans="1:50" x14ac:dyDescent="0.25">
      <c r="A1574" s="1"/>
      <c r="H1574" s="1"/>
      <c r="O1574" s="1"/>
      <c r="V1574" s="1"/>
      <c r="AC1574" s="1"/>
      <c r="AJ1574" s="1"/>
      <c r="AQ1574" s="1"/>
      <c r="AX1574" s="1"/>
    </row>
    <row r="1575" spans="1:50" x14ac:dyDescent="0.25">
      <c r="A1575" s="1"/>
      <c r="H1575" s="1"/>
      <c r="O1575" s="1"/>
      <c r="V1575" s="1"/>
      <c r="AC1575" s="1"/>
      <c r="AJ1575" s="1"/>
      <c r="AQ1575" s="1"/>
      <c r="AX1575" s="1"/>
    </row>
    <row r="1576" spans="1:50" x14ac:dyDescent="0.25">
      <c r="A1576" s="1"/>
      <c r="H1576" s="1"/>
      <c r="O1576" s="1"/>
      <c r="V1576" s="1"/>
      <c r="AC1576" s="1"/>
      <c r="AJ1576" s="1"/>
      <c r="AQ1576" s="1"/>
      <c r="AX1576" s="1"/>
    </row>
    <row r="1577" spans="1:50" x14ac:dyDescent="0.25">
      <c r="A1577" s="1"/>
      <c r="H1577" s="1"/>
      <c r="O1577" s="1"/>
      <c r="V1577" s="1"/>
      <c r="AC1577" s="1"/>
      <c r="AJ1577" s="1"/>
      <c r="AQ1577" s="1"/>
      <c r="AX1577" s="1"/>
    </row>
    <row r="1578" spans="1:50" x14ac:dyDescent="0.25">
      <c r="A1578" s="1"/>
      <c r="H1578" s="1"/>
      <c r="O1578" s="1"/>
      <c r="V1578" s="1"/>
      <c r="AC1578" s="1"/>
      <c r="AJ1578" s="1"/>
      <c r="AQ1578" s="1"/>
      <c r="AX1578" s="1"/>
    </row>
    <row r="1579" spans="1:50" x14ac:dyDescent="0.25">
      <c r="A1579" s="1"/>
      <c r="H1579" s="1"/>
      <c r="O1579" s="1"/>
      <c r="V1579" s="1"/>
      <c r="AC1579" s="1"/>
      <c r="AJ1579" s="1"/>
      <c r="AQ1579" s="1"/>
      <c r="AX1579" s="1"/>
    </row>
    <row r="1580" spans="1:50" x14ac:dyDescent="0.25">
      <c r="A1580" s="1"/>
      <c r="H1580" s="1"/>
      <c r="O1580" s="1"/>
      <c r="V1580" s="1"/>
      <c r="AC1580" s="1"/>
      <c r="AJ1580" s="1"/>
      <c r="AQ1580" s="1"/>
      <c r="AX1580" s="1"/>
    </row>
    <row r="1581" spans="1:50" x14ac:dyDescent="0.25">
      <c r="A1581" s="1"/>
      <c r="H1581" s="1"/>
      <c r="O1581" s="1"/>
      <c r="V1581" s="1"/>
      <c r="AC1581" s="1"/>
      <c r="AJ1581" s="1"/>
      <c r="AQ1581" s="1"/>
      <c r="AX1581" s="1"/>
    </row>
    <row r="1582" spans="1:50" x14ac:dyDescent="0.25">
      <c r="A1582" s="1"/>
      <c r="H1582" s="1"/>
      <c r="O1582" s="1"/>
      <c r="V1582" s="1"/>
      <c r="AC1582" s="1"/>
      <c r="AJ1582" s="1"/>
      <c r="AQ1582" s="1"/>
      <c r="AX1582" s="1"/>
    </row>
    <row r="1583" spans="1:50" x14ac:dyDescent="0.25">
      <c r="A1583" s="1"/>
      <c r="H1583" s="1"/>
      <c r="O1583" s="1"/>
      <c r="V1583" s="1"/>
      <c r="AC1583" s="1"/>
      <c r="AJ1583" s="1"/>
      <c r="AQ1583" s="1"/>
      <c r="AX1583" s="1"/>
    </row>
    <row r="1584" spans="1:50" x14ac:dyDescent="0.25">
      <c r="A1584" s="1"/>
      <c r="H1584" s="1"/>
      <c r="O1584" s="1"/>
      <c r="V1584" s="1"/>
      <c r="AC1584" s="1"/>
      <c r="AJ1584" s="1"/>
      <c r="AQ1584" s="1"/>
      <c r="AX1584" s="1"/>
    </row>
    <row r="1585" spans="1:50" x14ac:dyDescent="0.25">
      <c r="A1585" s="1"/>
      <c r="H1585" s="1"/>
      <c r="O1585" s="1"/>
      <c r="V1585" s="1"/>
      <c r="AC1585" s="1"/>
      <c r="AJ1585" s="1"/>
      <c r="AQ1585" s="1"/>
      <c r="AX1585" s="1"/>
    </row>
    <row r="1586" spans="1:50" x14ac:dyDescent="0.25">
      <c r="A1586" s="1"/>
      <c r="H1586" s="1"/>
      <c r="O1586" s="1"/>
      <c r="V1586" s="1"/>
      <c r="AC1586" s="1"/>
      <c r="AJ1586" s="1"/>
      <c r="AQ1586" s="1"/>
      <c r="AX1586" s="1"/>
    </row>
    <row r="1587" spans="1:50" x14ac:dyDescent="0.25">
      <c r="A1587" s="1"/>
      <c r="H1587" s="1"/>
      <c r="O1587" s="1"/>
      <c r="V1587" s="1"/>
      <c r="AC1587" s="1"/>
      <c r="AJ1587" s="1"/>
      <c r="AQ1587" s="1"/>
      <c r="AX1587" s="1"/>
    </row>
    <row r="1588" spans="1:50" x14ac:dyDescent="0.25">
      <c r="A1588" s="1"/>
      <c r="H1588" s="1"/>
      <c r="O1588" s="1"/>
      <c r="V1588" s="1"/>
      <c r="AC1588" s="1"/>
      <c r="AJ1588" s="1"/>
      <c r="AQ1588" s="1"/>
      <c r="AX1588" s="1"/>
    </row>
    <row r="1589" spans="1:50" x14ac:dyDescent="0.25">
      <c r="A1589" s="1"/>
      <c r="H1589" s="1"/>
      <c r="O1589" s="1"/>
      <c r="V1589" s="1"/>
      <c r="AC1589" s="1"/>
      <c r="AJ1589" s="1"/>
      <c r="AQ1589" s="1"/>
      <c r="AX1589" s="1"/>
    </row>
    <row r="1590" spans="1:50" x14ac:dyDescent="0.25">
      <c r="A1590" s="1"/>
      <c r="H1590" s="1"/>
      <c r="O1590" s="1"/>
      <c r="V1590" s="1"/>
      <c r="AC1590" s="1"/>
      <c r="AJ1590" s="1"/>
      <c r="AQ1590" s="1"/>
      <c r="AX1590" s="1"/>
    </row>
    <row r="1591" spans="1:50" x14ac:dyDescent="0.25">
      <c r="A1591" s="1"/>
      <c r="H1591" s="1"/>
      <c r="O1591" s="1"/>
      <c r="V1591" s="1"/>
      <c r="AC1591" s="1"/>
      <c r="AJ1591" s="1"/>
      <c r="AQ1591" s="1"/>
      <c r="AX1591" s="1"/>
    </row>
    <row r="1592" spans="1:50" x14ac:dyDescent="0.25">
      <c r="A1592" s="1"/>
      <c r="H1592" s="1"/>
      <c r="O1592" s="1"/>
      <c r="V1592" s="1"/>
      <c r="AC1592" s="1"/>
      <c r="AJ1592" s="1"/>
      <c r="AQ1592" s="1"/>
      <c r="AX1592" s="1"/>
    </row>
    <row r="1593" spans="1:50" x14ac:dyDescent="0.25">
      <c r="A1593" s="1"/>
      <c r="H1593" s="1"/>
      <c r="O1593" s="1"/>
      <c r="V1593" s="1"/>
      <c r="AC1593" s="1"/>
      <c r="AJ1593" s="1"/>
      <c r="AQ1593" s="1"/>
      <c r="AX1593" s="1"/>
    </row>
    <row r="1594" spans="1:50" x14ac:dyDescent="0.25">
      <c r="A1594" s="1"/>
      <c r="H1594" s="1"/>
      <c r="O1594" s="1"/>
      <c r="V1594" s="1"/>
      <c r="AC1594" s="1"/>
      <c r="AJ1594" s="1"/>
      <c r="AQ1594" s="1"/>
      <c r="AX1594" s="1"/>
    </row>
    <row r="1595" spans="1:50" x14ac:dyDescent="0.25">
      <c r="A1595" s="1"/>
      <c r="H1595" s="1"/>
      <c r="O1595" s="1"/>
      <c r="V1595" s="1"/>
      <c r="AC1595" s="1"/>
      <c r="AJ1595" s="1"/>
      <c r="AQ1595" s="1"/>
      <c r="AX1595" s="1"/>
    </row>
    <row r="1596" spans="1:50" x14ac:dyDescent="0.25">
      <c r="A1596" s="1"/>
      <c r="H1596" s="1"/>
      <c r="O1596" s="1"/>
      <c r="V1596" s="1"/>
      <c r="AC1596" s="1"/>
      <c r="AJ1596" s="1"/>
      <c r="AQ1596" s="1"/>
      <c r="AX1596" s="1"/>
    </row>
    <row r="1597" spans="1:50" x14ac:dyDescent="0.25">
      <c r="A1597" s="1"/>
      <c r="H1597" s="1"/>
      <c r="O1597" s="1"/>
      <c r="V1597" s="1"/>
      <c r="AC1597" s="1"/>
      <c r="AJ1597" s="1"/>
      <c r="AQ1597" s="1"/>
      <c r="AX1597" s="1"/>
    </row>
    <row r="1598" spans="1:50" x14ac:dyDescent="0.25">
      <c r="A1598" s="1"/>
      <c r="H1598" s="1"/>
      <c r="O1598" s="1"/>
      <c r="V1598" s="1"/>
      <c r="AC1598" s="1"/>
      <c r="AJ1598" s="1"/>
      <c r="AQ1598" s="1"/>
      <c r="AX1598" s="1"/>
    </row>
    <row r="1599" spans="1:50" x14ac:dyDescent="0.25">
      <c r="A1599" s="1"/>
      <c r="H1599" s="1"/>
      <c r="O1599" s="1"/>
      <c r="V1599" s="1"/>
      <c r="AC1599" s="1"/>
      <c r="AJ1599" s="1"/>
      <c r="AQ1599" s="1"/>
      <c r="AX1599" s="1"/>
    </row>
    <row r="1600" spans="1:50" x14ac:dyDescent="0.25">
      <c r="A1600" s="1"/>
      <c r="H1600" s="1"/>
      <c r="O1600" s="1"/>
      <c r="V1600" s="1"/>
      <c r="AC1600" s="1"/>
      <c r="AJ1600" s="1"/>
      <c r="AQ1600" s="1"/>
      <c r="AX1600" s="1"/>
    </row>
    <row r="1601" spans="1:50" x14ac:dyDescent="0.25">
      <c r="A1601" s="1"/>
      <c r="H1601" s="1"/>
      <c r="O1601" s="1"/>
      <c r="V1601" s="1"/>
      <c r="AC1601" s="1"/>
      <c r="AJ1601" s="1"/>
      <c r="AQ1601" s="1"/>
      <c r="AX1601" s="1"/>
    </row>
    <row r="1602" spans="1:50" x14ac:dyDescent="0.25">
      <c r="A1602" s="1"/>
      <c r="H1602" s="1"/>
      <c r="O1602" s="1"/>
      <c r="V1602" s="1"/>
      <c r="AC1602" s="1"/>
      <c r="AJ1602" s="1"/>
      <c r="AQ1602" s="1"/>
      <c r="AX1602" s="1"/>
    </row>
    <row r="1603" spans="1:50" x14ac:dyDescent="0.25">
      <c r="A1603" s="1"/>
      <c r="H1603" s="1"/>
      <c r="O1603" s="1"/>
      <c r="V1603" s="1"/>
      <c r="AC1603" s="1"/>
      <c r="AJ1603" s="1"/>
      <c r="AQ1603" s="1"/>
      <c r="AX1603" s="1"/>
    </row>
    <row r="1604" spans="1:50" x14ac:dyDescent="0.25">
      <c r="A1604" s="1"/>
      <c r="H1604" s="1"/>
      <c r="O1604" s="1"/>
      <c r="V1604" s="1"/>
      <c r="AC1604" s="1"/>
      <c r="AJ1604" s="1"/>
      <c r="AQ1604" s="1"/>
      <c r="AX1604" s="1"/>
    </row>
    <row r="1605" spans="1:50" x14ac:dyDescent="0.25">
      <c r="A1605" s="1"/>
      <c r="H1605" s="1"/>
      <c r="O1605" s="1"/>
      <c r="V1605" s="1"/>
      <c r="AC1605" s="1"/>
      <c r="AJ1605" s="1"/>
      <c r="AQ1605" s="1"/>
      <c r="AX1605" s="1"/>
    </row>
    <row r="1606" spans="1:50" x14ac:dyDescent="0.25">
      <c r="A1606" s="1"/>
      <c r="H1606" s="1"/>
      <c r="O1606" s="1"/>
      <c r="V1606" s="1"/>
      <c r="AC1606" s="1"/>
      <c r="AJ1606" s="1"/>
      <c r="AQ1606" s="1"/>
      <c r="AX1606" s="1"/>
    </row>
    <row r="1607" spans="1:50" x14ac:dyDescent="0.25">
      <c r="A1607" s="1"/>
      <c r="H1607" s="1"/>
      <c r="O1607" s="1"/>
      <c r="V1607" s="1"/>
      <c r="AC1607" s="1"/>
      <c r="AJ1607" s="1"/>
      <c r="AQ1607" s="1"/>
      <c r="AX1607" s="1"/>
    </row>
    <row r="1608" spans="1:50" x14ac:dyDescent="0.25">
      <c r="A1608" s="1"/>
      <c r="H1608" s="1"/>
      <c r="O1608" s="1"/>
      <c r="V1608" s="1"/>
      <c r="AC1608" s="1"/>
      <c r="AJ1608" s="1"/>
      <c r="AQ1608" s="1"/>
      <c r="AX1608" s="1"/>
    </row>
    <row r="1609" spans="1:50" x14ac:dyDescent="0.25">
      <c r="A1609" s="1"/>
      <c r="H1609" s="1"/>
      <c r="O1609" s="1"/>
      <c r="V1609" s="1"/>
      <c r="AC1609" s="1"/>
      <c r="AJ1609" s="1"/>
      <c r="AQ1609" s="1"/>
      <c r="AX1609" s="1"/>
    </row>
    <row r="1610" spans="1:50" x14ac:dyDescent="0.25">
      <c r="A1610" s="1"/>
      <c r="H1610" s="1"/>
      <c r="O1610" s="1"/>
      <c r="V1610" s="1"/>
      <c r="AC1610" s="1"/>
      <c r="AJ1610" s="1"/>
      <c r="AQ1610" s="1"/>
      <c r="AX1610" s="1"/>
    </row>
    <row r="1611" spans="1:50" x14ac:dyDescent="0.25">
      <c r="A1611" s="1"/>
      <c r="H1611" s="1"/>
      <c r="O1611" s="1"/>
      <c r="V1611" s="1"/>
      <c r="AC1611" s="1"/>
      <c r="AJ1611" s="1"/>
      <c r="AQ1611" s="1"/>
      <c r="AX1611" s="1"/>
    </row>
    <row r="1612" spans="1:50" x14ac:dyDescent="0.25">
      <c r="A1612" s="1"/>
      <c r="H1612" s="1"/>
      <c r="O1612" s="1"/>
      <c r="V1612" s="1"/>
      <c r="AC1612" s="1"/>
      <c r="AJ1612" s="1"/>
      <c r="AQ1612" s="1"/>
      <c r="AX1612" s="1"/>
    </row>
    <row r="1613" spans="1:50" x14ac:dyDescent="0.25">
      <c r="A1613" s="1"/>
      <c r="H1613" s="1"/>
      <c r="O1613" s="1"/>
      <c r="V1613" s="1"/>
      <c r="AC1613" s="1"/>
      <c r="AJ1613" s="1"/>
      <c r="AQ1613" s="1"/>
      <c r="AX1613" s="1"/>
    </row>
    <row r="1614" spans="1:50" x14ac:dyDescent="0.25">
      <c r="A1614" s="1"/>
      <c r="H1614" s="1"/>
      <c r="O1614" s="1"/>
      <c r="V1614" s="1"/>
      <c r="AC1614" s="1"/>
      <c r="AJ1614" s="1"/>
      <c r="AQ1614" s="1"/>
      <c r="AX1614" s="1"/>
    </row>
    <row r="1615" spans="1:50" x14ac:dyDescent="0.25">
      <c r="A1615" s="1"/>
      <c r="H1615" s="1"/>
      <c r="O1615" s="1"/>
      <c r="V1615" s="1"/>
      <c r="AC1615" s="1"/>
      <c r="AJ1615" s="1"/>
      <c r="AQ1615" s="1"/>
      <c r="AX1615" s="1"/>
    </row>
    <row r="1616" spans="1:50" x14ac:dyDescent="0.25">
      <c r="A1616" s="1"/>
      <c r="H1616" s="1"/>
      <c r="O1616" s="1"/>
      <c r="V1616" s="1"/>
      <c r="AC1616" s="1"/>
      <c r="AJ1616" s="1"/>
      <c r="AQ1616" s="1"/>
      <c r="AX1616" s="1"/>
    </row>
    <row r="1617" spans="1:50" x14ac:dyDescent="0.25">
      <c r="A1617" s="1"/>
      <c r="H1617" s="1"/>
      <c r="O1617" s="1"/>
      <c r="V1617" s="1"/>
      <c r="AC1617" s="1"/>
      <c r="AJ1617" s="1"/>
      <c r="AQ1617" s="1"/>
      <c r="AX1617" s="1"/>
    </row>
    <row r="1618" spans="1:50" x14ac:dyDescent="0.25">
      <c r="A1618" s="1"/>
      <c r="H1618" s="1"/>
      <c r="O1618" s="1"/>
      <c r="V1618" s="1"/>
      <c r="AC1618" s="1"/>
      <c r="AJ1618" s="1"/>
      <c r="AQ1618" s="1"/>
      <c r="AX1618" s="1"/>
    </row>
    <row r="1619" spans="1:50" x14ac:dyDescent="0.25">
      <c r="A1619" s="1"/>
      <c r="H1619" s="1"/>
      <c r="O1619" s="1"/>
      <c r="V1619" s="1"/>
      <c r="AC1619" s="1"/>
      <c r="AJ1619" s="1"/>
      <c r="AQ1619" s="1"/>
      <c r="AX1619" s="1"/>
    </row>
    <row r="1620" spans="1:50" x14ac:dyDescent="0.25">
      <c r="A1620" s="1"/>
      <c r="H1620" s="1"/>
      <c r="O1620" s="1"/>
      <c r="V1620" s="1"/>
      <c r="AC1620" s="1"/>
      <c r="AJ1620" s="1"/>
      <c r="AQ1620" s="1"/>
      <c r="AX1620" s="1"/>
    </row>
    <row r="1621" spans="1:50" x14ac:dyDescent="0.25">
      <c r="A1621" s="1"/>
      <c r="H1621" s="1"/>
      <c r="O1621" s="1"/>
      <c r="V1621" s="1"/>
      <c r="AC1621" s="1"/>
      <c r="AJ1621" s="1"/>
      <c r="AQ1621" s="1"/>
      <c r="AX1621" s="1"/>
    </row>
    <row r="1622" spans="1:50" x14ac:dyDescent="0.25">
      <c r="A1622" s="1"/>
      <c r="H1622" s="1"/>
      <c r="O1622" s="1"/>
      <c r="V1622" s="1"/>
      <c r="AC1622" s="1"/>
      <c r="AJ1622" s="1"/>
      <c r="AQ1622" s="1"/>
      <c r="AX1622" s="1"/>
    </row>
    <row r="1623" spans="1:50" x14ac:dyDescent="0.25">
      <c r="A1623" s="1"/>
      <c r="H1623" s="1"/>
      <c r="O1623" s="1"/>
      <c r="V1623" s="1"/>
      <c r="AC1623" s="1"/>
      <c r="AJ1623" s="1"/>
      <c r="AQ1623" s="1"/>
      <c r="AX1623" s="1"/>
    </row>
    <row r="1624" spans="1:50" x14ac:dyDescent="0.25">
      <c r="A1624" s="1"/>
      <c r="H1624" s="1"/>
      <c r="O1624" s="1"/>
      <c r="V1624" s="1"/>
      <c r="AC1624" s="1"/>
      <c r="AJ1624" s="1"/>
      <c r="AQ1624" s="1"/>
      <c r="AX1624" s="1"/>
    </row>
    <row r="1625" spans="1:50" x14ac:dyDescent="0.25">
      <c r="A1625" s="1"/>
      <c r="H1625" s="1"/>
      <c r="O1625" s="1"/>
      <c r="V1625" s="1"/>
      <c r="AC1625" s="1"/>
      <c r="AJ1625" s="1"/>
      <c r="AQ1625" s="1"/>
      <c r="AX1625" s="1"/>
    </row>
    <row r="1626" spans="1:50" x14ac:dyDescent="0.25">
      <c r="A1626" s="1"/>
      <c r="H1626" s="1"/>
      <c r="O1626" s="1"/>
      <c r="V1626" s="1"/>
      <c r="AC1626" s="1"/>
      <c r="AJ1626" s="1"/>
      <c r="AQ1626" s="1"/>
      <c r="AX1626" s="1"/>
    </row>
    <row r="1627" spans="1:50" x14ac:dyDescent="0.25">
      <c r="A1627" s="1"/>
      <c r="H1627" s="1"/>
      <c r="O1627" s="1"/>
      <c r="V1627" s="1"/>
      <c r="AC1627" s="1"/>
      <c r="AJ1627" s="1"/>
      <c r="AQ1627" s="1"/>
      <c r="AX1627" s="1"/>
    </row>
    <row r="1628" spans="1:50" x14ac:dyDescent="0.25">
      <c r="A1628" s="1"/>
      <c r="H1628" s="1"/>
      <c r="O1628" s="1"/>
      <c r="V1628" s="1"/>
      <c r="AC1628" s="1"/>
      <c r="AJ1628" s="1"/>
      <c r="AQ1628" s="1"/>
      <c r="AX1628" s="1"/>
    </row>
    <row r="1629" spans="1:50" x14ac:dyDescent="0.25">
      <c r="A1629" s="1"/>
      <c r="H1629" s="1"/>
      <c r="O1629" s="1"/>
      <c r="V1629" s="1"/>
      <c r="AC1629" s="1"/>
      <c r="AJ1629" s="1"/>
      <c r="AQ1629" s="1"/>
      <c r="AX1629" s="1"/>
    </row>
    <row r="1630" spans="1:50" x14ac:dyDescent="0.25">
      <c r="A1630" s="1"/>
      <c r="H1630" s="1"/>
      <c r="O1630" s="1"/>
      <c r="V1630" s="1"/>
      <c r="AC1630" s="1"/>
      <c r="AJ1630" s="1"/>
      <c r="AQ1630" s="1"/>
      <c r="AX1630" s="1"/>
    </row>
    <row r="1631" spans="1:50" x14ac:dyDescent="0.25">
      <c r="A1631" s="1"/>
      <c r="H1631" s="1"/>
      <c r="O1631" s="1"/>
      <c r="V1631" s="1"/>
      <c r="AC1631" s="1"/>
      <c r="AJ1631" s="1"/>
      <c r="AQ1631" s="1"/>
      <c r="AX1631" s="1"/>
    </row>
    <row r="1632" spans="1:50" x14ac:dyDescent="0.25">
      <c r="A1632" s="1"/>
      <c r="H1632" s="1"/>
      <c r="O1632" s="1"/>
      <c r="V1632" s="1"/>
      <c r="AC1632" s="1"/>
      <c r="AJ1632" s="1"/>
      <c r="AQ1632" s="1"/>
      <c r="AX1632" s="1"/>
    </row>
    <row r="1633" spans="1:50" x14ac:dyDescent="0.25">
      <c r="A1633" s="1"/>
      <c r="H1633" s="1"/>
      <c r="O1633" s="1"/>
      <c r="V1633" s="1"/>
      <c r="AC1633" s="1"/>
      <c r="AJ1633" s="1"/>
      <c r="AQ1633" s="1"/>
      <c r="AX1633" s="1"/>
    </row>
    <row r="1634" spans="1:50" x14ac:dyDescent="0.25">
      <c r="A1634" s="1"/>
      <c r="H1634" s="1"/>
      <c r="O1634" s="1"/>
      <c r="V1634" s="1"/>
      <c r="AC1634" s="1"/>
      <c r="AJ1634" s="1"/>
      <c r="AQ1634" s="1"/>
      <c r="AX1634" s="1"/>
    </row>
    <row r="1635" spans="1:50" x14ac:dyDescent="0.25">
      <c r="A1635" s="1"/>
      <c r="H1635" s="1"/>
      <c r="O1635" s="1"/>
      <c r="V1635" s="1"/>
      <c r="AC1635" s="1"/>
      <c r="AJ1635" s="1"/>
      <c r="AQ1635" s="1"/>
      <c r="AX1635" s="1"/>
    </row>
    <row r="1636" spans="1:50" x14ac:dyDescent="0.25">
      <c r="A1636" s="1"/>
      <c r="H1636" s="1"/>
      <c r="O1636" s="1"/>
      <c r="V1636" s="1"/>
      <c r="AC1636" s="1"/>
      <c r="AJ1636" s="1"/>
      <c r="AQ1636" s="1"/>
      <c r="AX1636" s="1"/>
    </row>
    <row r="1637" spans="1:50" x14ac:dyDescent="0.25">
      <c r="A1637" s="1"/>
      <c r="H1637" s="1"/>
      <c r="O1637" s="1"/>
      <c r="V1637" s="1"/>
      <c r="AC1637" s="1"/>
      <c r="AJ1637" s="1"/>
      <c r="AQ1637" s="1"/>
      <c r="AX1637" s="1"/>
    </row>
    <row r="1638" spans="1:50" x14ac:dyDescent="0.25">
      <c r="A1638" s="1"/>
      <c r="H1638" s="1"/>
      <c r="O1638" s="1"/>
      <c r="V1638" s="1"/>
      <c r="AC1638" s="1"/>
      <c r="AJ1638" s="1"/>
      <c r="AQ1638" s="1"/>
      <c r="AX1638" s="1"/>
    </row>
    <row r="1639" spans="1:50" x14ac:dyDescent="0.25">
      <c r="A1639" s="1"/>
      <c r="H1639" s="1"/>
      <c r="O1639" s="1"/>
      <c r="V1639" s="1"/>
      <c r="AC1639" s="1"/>
      <c r="AJ1639" s="1"/>
      <c r="AQ1639" s="1"/>
      <c r="AX1639" s="1"/>
    </row>
    <row r="1640" spans="1:50" x14ac:dyDescent="0.25">
      <c r="A1640" s="1"/>
      <c r="H1640" s="1"/>
      <c r="O1640" s="1"/>
      <c r="V1640" s="1"/>
      <c r="AC1640" s="1"/>
      <c r="AJ1640" s="1"/>
      <c r="AQ1640" s="1"/>
      <c r="AX1640" s="1"/>
    </row>
    <row r="1641" spans="1:50" x14ac:dyDescent="0.25">
      <c r="A1641" s="1"/>
      <c r="H1641" s="1"/>
      <c r="O1641" s="1"/>
      <c r="V1641" s="1"/>
      <c r="AC1641" s="1"/>
      <c r="AJ1641" s="1"/>
      <c r="AQ1641" s="1"/>
      <c r="AX1641" s="1"/>
    </row>
    <row r="1642" spans="1:50" x14ac:dyDescent="0.25">
      <c r="A1642" s="1"/>
      <c r="H1642" s="1"/>
      <c r="O1642" s="1"/>
      <c r="V1642" s="1"/>
      <c r="AC1642" s="1"/>
      <c r="AJ1642" s="1"/>
      <c r="AQ1642" s="1"/>
      <c r="AX1642" s="1"/>
    </row>
    <row r="1643" spans="1:50" x14ac:dyDescent="0.25">
      <c r="A1643" s="1"/>
      <c r="H1643" s="1"/>
      <c r="O1643" s="1"/>
      <c r="V1643" s="1"/>
      <c r="AC1643" s="1"/>
      <c r="AJ1643" s="1"/>
      <c r="AQ1643" s="1"/>
      <c r="AX1643" s="1"/>
    </row>
    <row r="1644" spans="1:50" x14ac:dyDescent="0.25">
      <c r="A1644" s="1"/>
      <c r="H1644" s="1"/>
      <c r="O1644" s="1"/>
      <c r="V1644" s="1"/>
      <c r="AC1644" s="1"/>
      <c r="AJ1644" s="1"/>
      <c r="AQ1644" s="1"/>
      <c r="AX1644" s="1"/>
    </row>
    <row r="1645" spans="1:50" x14ac:dyDescent="0.25">
      <c r="A1645" s="1"/>
      <c r="H1645" s="1"/>
      <c r="O1645" s="1"/>
      <c r="V1645" s="1"/>
      <c r="AC1645" s="1"/>
      <c r="AJ1645" s="1"/>
      <c r="AQ1645" s="1"/>
      <c r="AX1645" s="1"/>
    </row>
    <row r="1646" spans="1:50" x14ac:dyDescent="0.25">
      <c r="A1646" s="1"/>
      <c r="H1646" s="1"/>
      <c r="O1646" s="1"/>
      <c r="V1646" s="1"/>
      <c r="AC1646" s="1"/>
      <c r="AJ1646" s="1"/>
      <c r="AQ1646" s="1"/>
      <c r="AX1646" s="1"/>
    </row>
    <row r="1647" spans="1:50" x14ac:dyDescent="0.25">
      <c r="A1647" s="1"/>
      <c r="H1647" s="1"/>
      <c r="O1647" s="1"/>
      <c r="V1647" s="1"/>
      <c r="AC1647" s="1"/>
      <c r="AJ1647" s="1"/>
      <c r="AQ1647" s="1"/>
      <c r="AX1647" s="1"/>
    </row>
    <row r="1648" spans="1:50" x14ac:dyDescent="0.25">
      <c r="A1648" s="1"/>
      <c r="H1648" s="1"/>
      <c r="O1648" s="1"/>
      <c r="V1648" s="1"/>
      <c r="AC1648" s="1"/>
      <c r="AJ1648" s="1"/>
      <c r="AQ1648" s="1"/>
      <c r="AX1648" s="1"/>
    </row>
    <row r="1649" spans="1:50" x14ac:dyDescent="0.25">
      <c r="A1649" s="1"/>
      <c r="H1649" s="1"/>
      <c r="O1649" s="1"/>
      <c r="V1649" s="1"/>
      <c r="AC1649" s="1"/>
      <c r="AJ1649" s="1"/>
      <c r="AQ1649" s="1"/>
      <c r="AX1649" s="1"/>
    </row>
    <row r="1650" spans="1:50" x14ac:dyDescent="0.25">
      <c r="A1650" s="1"/>
      <c r="H1650" s="1"/>
      <c r="O1650" s="1"/>
      <c r="V1650" s="1"/>
      <c r="AC1650" s="1"/>
      <c r="AJ1650" s="1"/>
      <c r="AQ1650" s="1"/>
      <c r="AX1650" s="1"/>
    </row>
    <row r="1651" spans="1:50" x14ac:dyDescent="0.25">
      <c r="A1651" s="1"/>
      <c r="H1651" s="1"/>
      <c r="O1651" s="1"/>
      <c r="V1651" s="1"/>
      <c r="AC1651" s="1"/>
      <c r="AJ1651" s="1"/>
      <c r="AQ1651" s="1"/>
      <c r="AX1651" s="1"/>
    </row>
    <row r="1652" spans="1:50" x14ac:dyDescent="0.25">
      <c r="A1652" s="1"/>
      <c r="H1652" s="1"/>
      <c r="O1652" s="1"/>
      <c r="V1652" s="1"/>
      <c r="AC1652" s="1"/>
      <c r="AJ1652" s="1"/>
      <c r="AQ1652" s="1"/>
      <c r="AX1652" s="1"/>
    </row>
    <row r="1653" spans="1:50" x14ac:dyDescent="0.25">
      <c r="A1653" s="1"/>
      <c r="H1653" s="1"/>
      <c r="O1653" s="1"/>
      <c r="V1653" s="1"/>
      <c r="AC1653" s="1"/>
      <c r="AJ1653" s="1"/>
      <c r="AQ1653" s="1"/>
      <c r="AX1653" s="1"/>
    </row>
    <row r="1654" spans="1:50" x14ac:dyDescent="0.25">
      <c r="A1654" s="1"/>
      <c r="H1654" s="1"/>
      <c r="O1654" s="1"/>
      <c r="V1654" s="1"/>
      <c r="AC1654" s="1"/>
      <c r="AJ1654" s="1"/>
      <c r="AQ1654" s="1"/>
      <c r="AX1654" s="1"/>
    </row>
    <row r="1655" spans="1:50" x14ac:dyDescent="0.25">
      <c r="A1655" s="1"/>
      <c r="H1655" s="1"/>
      <c r="O1655" s="1"/>
      <c r="V1655" s="1"/>
      <c r="AC1655" s="1"/>
      <c r="AJ1655" s="1"/>
      <c r="AQ1655" s="1"/>
      <c r="AX1655" s="1"/>
    </row>
    <row r="1656" spans="1:50" x14ac:dyDescent="0.25">
      <c r="A1656" s="1"/>
      <c r="H1656" s="1"/>
      <c r="O1656" s="1"/>
      <c r="V1656" s="1"/>
      <c r="AC1656" s="1"/>
      <c r="AJ1656" s="1"/>
      <c r="AQ1656" s="1"/>
      <c r="AX1656" s="1"/>
    </row>
    <row r="1657" spans="1:50" x14ac:dyDescent="0.25">
      <c r="A1657" s="1"/>
      <c r="H1657" s="1"/>
      <c r="O1657" s="1"/>
      <c r="V1657" s="1"/>
      <c r="AC1657" s="1"/>
      <c r="AJ1657" s="1"/>
      <c r="AQ1657" s="1"/>
      <c r="AX1657" s="1"/>
    </row>
    <row r="1658" spans="1:50" x14ac:dyDescent="0.25">
      <c r="A1658" s="1"/>
      <c r="H1658" s="1"/>
      <c r="O1658" s="1"/>
      <c r="V1658" s="1"/>
      <c r="AC1658" s="1"/>
      <c r="AJ1658" s="1"/>
      <c r="AQ1658" s="1"/>
      <c r="AX1658" s="1"/>
    </row>
    <row r="1659" spans="1:50" x14ac:dyDescent="0.25">
      <c r="A1659" s="1"/>
      <c r="H1659" s="1"/>
      <c r="O1659" s="1"/>
      <c r="V1659" s="1"/>
      <c r="AC1659" s="1"/>
      <c r="AJ1659" s="1"/>
      <c r="AQ1659" s="1"/>
      <c r="AX1659" s="1"/>
    </row>
    <row r="1660" spans="1:50" x14ac:dyDescent="0.25">
      <c r="A1660" s="1"/>
      <c r="H1660" s="1"/>
      <c r="O1660" s="1"/>
      <c r="V1660" s="1"/>
      <c r="AC1660" s="1"/>
      <c r="AJ1660" s="1"/>
      <c r="AQ1660" s="1"/>
      <c r="AX1660" s="1"/>
    </row>
    <row r="1661" spans="1:50" x14ac:dyDescent="0.25">
      <c r="A1661" s="1"/>
      <c r="H1661" s="1"/>
      <c r="O1661" s="1"/>
      <c r="V1661" s="1"/>
      <c r="AC1661" s="1"/>
      <c r="AJ1661" s="1"/>
      <c r="AQ1661" s="1"/>
      <c r="AX1661" s="1"/>
    </row>
    <row r="1662" spans="1:50" x14ac:dyDescent="0.25">
      <c r="A1662" s="1"/>
      <c r="H1662" s="1"/>
      <c r="O1662" s="1"/>
      <c r="V1662" s="1"/>
      <c r="AC1662" s="1"/>
      <c r="AJ1662" s="1"/>
      <c r="AQ1662" s="1"/>
      <c r="AX1662" s="1"/>
    </row>
    <row r="1663" spans="1:50" x14ac:dyDescent="0.25">
      <c r="A1663" s="1"/>
      <c r="H1663" s="1"/>
      <c r="O1663" s="1"/>
      <c r="V1663" s="1"/>
      <c r="AC1663" s="1"/>
      <c r="AJ1663" s="1"/>
      <c r="AQ1663" s="1"/>
      <c r="AX1663" s="1"/>
    </row>
    <row r="1664" spans="1:50" x14ac:dyDescent="0.25">
      <c r="A1664" s="1"/>
      <c r="H1664" s="1"/>
      <c r="O1664" s="1"/>
      <c r="V1664" s="1"/>
      <c r="AC1664" s="1"/>
      <c r="AJ1664" s="1"/>
      <c r="AQ1664" s="1"/>
      <c r="AX1664" s="1"/>
    </row>
    <row r="1665" spans="1:50" x14ac:dyDescent="0.25">
      <c r="A1665" s="1"/>
      <c r="H1665" s="1"/>
      <c r="O1665" s="1"/>
      <c r="V1665" s="1"/>
      <c r="AC1665" s="1"/>
      <c r="AJ1665" s="1"/>
      <c r="AQ1665" s="1"/>
      <c r="AX1665" s="1"/>
    </row>
    <row r="1666" spans="1:50" x14ac:dyDescent="0.25">
      <c r="A1666" s="1"/>
      <c r="H1666" s="1"/>
      <c r="O1666" s="1"/>
      <c r="V1666" s="1"/>
      <c r="AC1666" s="1"/>
      <c r="AJ1666" s="1"/>
      <c r="AQ1666" s="1"/>
      <c r="AX1666" s="1"/>
    </row>
    <row r="1667" spans="1:50" x14ac:dyDescent="0.25">
      <c r="A1667" s="1"/>
      <c r="H1667" s="1"/>
      <c r="O1667" s="1"/>
      <c r="V1667" s="1"/>
      <c r="AC1667" s="1"/>
      <c r="AJ1667" s="1"/>
      <c r="AQ1667" s="1"/>
      <c r="AX1667" s="1"/>
    </row>
    <row r="1668" spans="1:50" x14ac:dyDescent="0.25">
      <c r="A1668" s="1"/>
      <c r="H1668" s="1"/>
      <c r="O1668" s="1"/>
      <c r="V1668" s="1"/>
      <c r="AC1668" s="1"/>
      <c r="AJ1668" s="1"/>
      <c r="AQ1668" s="1"/>
      <c r="AX1668" s="1"/>
    </row>
    <row r="1669" spans="1:50" x14ac:dyDescent="0.25">
      <c r="A1669" s="1"/>
      <c r="H1669" s="1"/>
      <c r="O1669" s="1"/>
      <c r="V1669" s="1"/>
      <c r="AC1669" s="1"/>
      <c r="AJ1669" s="1"/>
      <c r="AQ1669" s="1"/>
      <c r="AX1669" s="1"/>
    </row>
    <row r="1670" spans="1:50" x14ac:dyDescent="0.25">
      <c r="A1670" s="1"/>
      <c r="H1670" s="1"/>
      <c r="O1670" s="1"/>
      <c r="V1670" s="1"/>
      <c r="AC1670" s="1"/>
      <c r="AJ1670" s="1"/>
      <c r="AQ1670" s="1"/>
      <c r="AX1670" s="1"/>
    </row>
    <row r="1671" spans="1:50" x14ac:dyDescent="0.25">
      <c r="A1671" s="1"/>
      <c r="H1671" s="1"/>
      <c r="O1671" s="1"/>
      <c r="V1671" s="1"/>
      <c r="AC1671" s="1"/>
      <c r="AJ1671" s="1"/>
      <c r="AQ1671" s="1"/>
      <c r="AX1671" s="1"/>
    </row>
    <row r="1672" spans="1:50" x14ac:dyDescent="0.25">
      <c r="A1672" s="1"/>
      <c r="H1672" s="1"/>
      <c r="O1672" s="1"/>
      <c r="V1672" s="1"/>
      <c r="AC1672" s="1"/>
      <c r="AJ1672" s="1"/>
      <c r="AQ1672" s="1"/>
      <c r="AX1672" s="1"/>
    </row>
    <row r="1673" spans="1:50" x14ac:dyDescent="0.25">
      <c r="A1673" s="1"/>
      <c r="H1673" s="1"/>
      <c r="O1673" s="1"/>
      <c r="V1673" s="1"/>
      <c r="AC1673" s="1"/>
      <c r="AJ1673" s="1"/>
      <c r="AQ1673" s="1"/>
      <c r="AX1673" s="1"/>
    </row>
    <row r="1674" spans="1:50" x14ac:dyDescent="0.25">
      <c r="A1674" s="1"/>
      <c r="H1674" s="1"/>
      <c r="O1674" s="1"/>
      <c r="V1674" s="1"/>
      <c r="AC1674" s="1"/>
      <c r="AJ1674" s="1"/>
      <c r="AQ1674" s="1"/>
      <c r="AX1674" s="1"/>
    </row>
    <row r="1675" spans="1:50" x14ac:dyDescent="0.25">
      <c r="A1675" s="1"/>
      <c r="H1675" s="1"/>
      <c r="O1675" s="1"/>
      <c r="V1675" s="1"/>
      <c r="AC1675" s="1"/>
      <c r="AJ1675" s="1"/>
      <c r="AQ1675" s="1"/>
      <c r="AX1675" s="1"/>
    </row>
    <row r="1676" spans="1:50" x14ac:dyDescent="0.25">
      <c r="A1676" s="1"/>
      <c r="H1676" s="1"/>
      <c r="O1676" s="1"/>
      <c r="V1676" s="1"/>
      <c r="AC1676" s="1"/>
      <c r="AJ1676" s="1"/>
      <c r="AQ1676" s="1"/>
      <c r="AX1676" s="1"/>
    </row>
    <row r="1677" spans="1:50" x14ac:dyDescent="0.25">
      <c r="A1677" s="1"/>
      <c r="H1677" s="1"/>
      <c r="O1677" s="1"/>
      <c r="V1677" s="1"/>
      <c r="AC1677" s="1"/>
      <c r="AJ1677" s="1"/>
      <c r="AQ1677" s="1"/>
      <c r="AX1677" s="1"/>
    </row>
    <row r="1678" spans="1:50" x14ac:dyDescent="0.25">
      <c r="A1678" s="1"/>
      <c r="H1678" s="1"/>
      <c r="O1678" s="1"/>
      <c r="V1678" s="1"/>
      <c r="AC1678" s="1"/>
      <c r="AJ1678" s="1"/>
      <c r="AQ1678" s="1"/>
      <c r="AX1678" s="1"/>
    </row>
    <row r="1679" spans="1:50" x14ac:dyDescent="0.25">
      <c r="A1679" s="1"/>
      <c r="H1679" s="1"/>
      <c r="O1679" s="1"/>
      <c r="V1679" s="1"/>
      <c r="AC1679" s="1"/>
      <c r="AJ1679" s="1"/>
      <c r="AQ1679" s="1"/>
      <c r="AX1679" s="1"/>
    </row>
    <row r="1680" spans="1:50" x14ac:dyDescent="0.25">
      <c r="A1680" s="1"/>
      <c r="H1680" s="1"/>
      <c r="O1680" s="1"/>
      <c r="V1680" s="1"/>
      <c r="AC1680" s="1"/>
      <c r="AJ1680" s="1"/>
      <c r="AQ1680" s="1"/>
      <c r="AX1680" s="1"/>
    </row>
    <row r="1681" spans="1:50" x14ac:dyDescent="0.25">
      <c r="A1681" s="1"/>
      <c r="H1681" s="1"/>
      <c r="O1681" s="1"/>
      <c r="V1681" s="1"/>
      <c r="AC1681" s="1"/>
      <c r="AJ1681" s="1"/>
      <c r="AQ1681" s="1"/>
      <c r="AX1681" s="1"/>
    </row>
    <row r="1682" spans="1:50" x14ac:dyDescent="0.25">
      <c r="A1682" s="1"/>
      <c r="H1682" s="1"/>
      <c r="O1682" s="1"/>
      <c r="V1682" s="1"/>
      <c r="AC1682" s="1"/>
      <c r="AJ1682" s="1"/>
      <c r="AQ1682" s="1"/>
      <c r="AX1682" s="1"/>
    </row>
    <row r="1683" spans="1:50" x14ac:dyDescent="0.25">
      <c r="A1683" s="1"/>
      <c r="H1683" s="1"/>
      <c r="O1683" s="1"/>
      <c r="V1683" s="1"/>
      <c r="AC1683" s="1"/>
      <c r="AJ1683" s="1"/>
      <c r="AQ1683" s="1"/>
      <c r="AX1683" s="1"/>
    </row>
    <row r="1684" spans="1:50" x14ac:dyDescent="0.25">
      <c r="A1684" s="1"/>
      <c r="H1684" s="1"/>
      <c r="O1684" s="1"/>
      <c r="V1684" s="1"/>
      <c r="AC1684" s="1"/>
      <c r="AJ1684" s="1"/>
      <c r="AQ1684" s="1"/>
      <c r="AX1684" s="1"/>
    </row>
    <row r="1685" spans="1:50" x14ac:dyDescent="0.25">
      <c r="A1685" s="1"/>
      <c r="H1685" s="1"/>
      <c r="O1685" s="1"/>
      <c r="V1685" s="1"/>
      <c r="AC1685" s="1"/>
      <c r="AJ1685" s="1"/>
      <c r="AQ1685" s="1"/>
      <c r="AX1685" s="1"/>
    </row>
    <row r="1686" spans="1:50" x14ac:dyDescent="0.25">
      <c r="A1686" s="1"/>
      <c r="H1686" s="1"/>
      <c r="O1686" s="1"/>
      <c r="V1686" s="1"/>
      <c r="AC1686" s="1"/>
      <c r="AJ1686" s="1"/>
      <c r="AQ1686" s="1"/>
      <c r="AX1686" s="1"/>
    </row>
    <row r="1687" spans="1:50" x14ac:dyDescent="0.25">
      <c r="A1687" s="1"/>
      <c r="H1687" s="1"/>
      <c r="O1687" s="1"/>
      <c r="V1687" s="1"/>
      <c r="AC1687" s="1"/>
      <c r="AJ1687" s="1"/>
      <c r="AQ1687" s="1"/>
      <c r="AX1687" s="1"/>
    </row>
    <row r="1688" spans="1:50" x14ac:dyDescent="0.25">
      <c r="A1688" s="1"/>
      <c r="H1688" s="1"/>
      <c r="O1688" s="1"/>
      <c r="V1688" s="1"/>
      <c r="AC1688" s="1"/>
      <c r="AJ1688" s="1"/>
      <c r="AQ1688" s="1"/>
      <c r="AX1688" s="1"/>
    </row>
    <row r="1689" spans="1:50" x14ac:dyDescent="0.25">
      <c r="A1689" s="1"/>
      <c r="H1689" s="1"/>
      <c r="O1689" s="1"/>
      <c r="V1689" s="1"/>
      <c r="AC1689" s="1"/>
      <c r="AJ1689" s="1"/>
      <c r="AQ1689" s="1"/>
      <c r="AX1689" s="1"/>
    </row>
    <row r="1690" spans="1:50" x14ac:dyDescent="0.25">
      <c r="A1690" s="1"/>
      <c r="H1690" s="1"/>
      <c r="O1690" s="1"/>
      <c r="V1690" s="1"/>
      <c r="AC1690" s="1"/>
      <c r="AJ1690" s="1"/>
      <c r="AQ1690" s="1"/>
      <c r="AX1690" s="1"/>
    </row>
    <row r="1691" spans="1:50" x14ac:dyDescent="0.25">
      <c r="A1691" s="1"/>
      <c r="H1691" s="1"/>
      <c r="O1691" s="1"/>
      <c r="V1691" s="1"/>
      <c r="AC1691" s="1"/>
      <c r="AJ1691" s="1"/>
      <c r="AQ1691" s="1"/>
      <c r="AX1691" s="1"/>
    </row>
    <row r="1692" spans="1:50" x14ac:dyDescent="0.25">
      <c r="A1692" s="1"/>
      <c r="H1692" s="1"/>
      <c r="O1692" s="1"/>
      <c r="V1692" s="1"/>
      <c r="AC1692" s="1"/>
      <c r="AJ1692" s="1"/>
      <c r="AQ1692" s="1"/>
      <c r="AX1692" s="1"/>
    </row>
    <row r="1693" spans="1:50" x14ac:dyDescent="0.25">
      <c r="A1693" s="1"/>
      <c r="H1693" s="1"/>
      <c r="O1693" s="1"/>
      <c r="V1693" s="1"/>
      <c r="AC1693" s="1"/>
      <c r="AJ1693" s="1"/>
      <c r="AQ1693" s="1"/>
      <c r="AX1693" s="1"/>
    </row>
    <row r="1694" spans="1:50" x14ac:dyDescent="0.25">
      <c r="A1694" s="1"/>
      <c r="H1694" s="1"/>
      <c r="O1694" s="1"/>
      <c r="V1694" s="1"/>
      <c r="AC1694" s="1"/>
      <c r="AJ1694" s="1"/>
      <c r="AQ1694" s="1"/>
      <c r="AX1694" s="1"/>
    </row>
    <row r="1695" spans="1:50" x14ac:dyDescent="0.25">
      <c r="A1695" s="1"/>
      <c r="H1695" s="1"/>
      <c r="O1695" s="1"/>
      <c r="V1695" s="1"/>
      <c r="AC1695" s="1"/>
      <c r="AJ1695" s="1"/>
      <c r="AQ1695" s="1"/>
      <c r="AX1695" s="1"/>
    </row>
    <row r="1696" spans="1:50" x14ac:dyDescent="0.25">
      <c r="A1696" s="1"/>
      <c r="H1696" s="1"/>
      <c r="O1696" s="1"/>
      <c r="V1696" s="1"/>
      <c r="AC1696" s="1"/>
      <c r="AJ1696" s="1"/>
      <c r="AQ1696" s="1"/>
      <c r="AX1696" s="1"/>
    </row>
    <row r="1697" spans="1:50" x14ac:dyDescent="0.25">
      <c r="A1697" s="1"/>
      <c r="H1697" s="1"/>
      <c r="O1697" s="1"/>
      <c r="V1697" s="1"/>
      <c r="AC1697" s="1"/>
      <c r="AJ1697" s="1"/>
      <c r="AQ1697" s="1"/>
      <c r="AX1697" s="1"/>
    </row>
    <row r="1698" spans="1:50" x14ac:dyDescent="0.25">
      <c r="A1698" s="1"/>
      <c r="H1698" s="1"/>
      <c r="O1698" s="1"/>
      <c r="V1698" s="1"/>
      <c r="AC1698" s="1"/>
      <c r="AJ1698" s="1"/>
      <c r="AQ1698" s="1"/>
      <c r="AX1698" s="1"/>
    </row>
    <row r="1699" spans="1:50" x14ac:dyDescent="0.25">
      <c r="A1699" s="1"/>
      <c r="H1699" s="1"/>
      <c r="O1699" s="1"/>
      <c r="V1699" s="1"/>
      <c r="AC1699" s="1"/>
      <c r="AJ1699" s="1"/>
      <c r="AQ1699" s="1"/>
      <c r="AX1699" s="1"/>
    </row>
    <row r="1700" spans="1:50" x14ac:dyDescent="0.25">
      <c r="A1700" s="1"/>
      <c r="H1700" s="1"/>
      <c r="O1700" s="1"/>
      <c r="V1700" s="1"/>
      <c r="AC1700" s="1"/>
      <c r="AJ1700" s="1"/>
      <c r="AQ1700" s="1"/>
      <c r="AX1700" s="1"/>
    </row>
    <row r="1701" spans="1:50" x14ac:dyDescent="0.25">
      <c r="A1701" s="1"/>
      <c r="H1701" s="1"/>
      <c r="O1701" s="1"/>
      <c r="V1701" s="1"/>
      <c r="AC1701" s="1"/>
      <c r="AJ1701" s="1"/>
      <c r="AQ1701" s="1"/>
      <c r="AX1701" s="1"/>
    </row>
    <row r="1702" spans="1:50" x14ac:dyDescent="0.25">
      <c r="A1702" s="1"/>
      <c r="H1702" s="1"/>
      <c r="O1702" s="1"/>
      <c r="V1702" s="1"/>
      <c r="AC1702" s="1"/>
      <c r="AJ1702" s="1"/>
      <c r="AQ1702" s="1"/>
      <c r="AX1702" s="1"/>
    </row>
    <row r="1703" spans="1:50" x14ac:dyDescent="0.25">
      <c r="A1703" s="1"/>
      <c r="H1703" s="1"/>
      <c r="O1703" s="1"/>
      <c r="V1703" s="1"/>
      <c r="AC1703" s="1"/>
      <c r="AJ1703" s="1"/>
      <c r="AQ1703" s="1"/>
      <c r="AX1703" s="1"/>
    </row>
    <row r="1704" spans="1:50" x14ac:dyDescent="0.25">
      <c r="A1704" s="1"/>
      <c r="H1704" s="1"/>
      <c r="O1704" s="1"/>
      <c r="V1704" s="1"/>
      <c r="AC1704" s="1"/>
      <c r="AJ1704" s="1"/>
      <c r="AQ1704" s="1"/>
      <c r="AX1704" s="1"/>
    </row>
    <row r="1705" spans="1:50" x14ac:dyDescent="0.25">
      <c r="A1705" s="1"/>
      <c r="H1705" s="1"/>
      <c r="O1705" s="1"/>
      <c r="V1705" s="1"/>
      <c r="AC1705" s="1"/>
      <c r="AJ1705" s="1"/>
      <c r="AQ1705" s="1"/>
      <c r="AX1705" s="1"/>
    </row>
    <row r="1706" spans="1:50" x14ac:dyDescent="0.25">
      <c r="A1706" s="1"/>
      <c r="H1706" s="1"/>
      <c r="O1706" s="1"/>
      <c r="V1706" s="1"/>
      <c r="AC1706" s="1"/>
      <c r="AJ1706" s="1"/>
      <c r="AQ1706" s="1"/>
      <c r="AX1706" s="1"/>
    </row>
    <row r="1707" spans="1:50" x14ac:dyDescent="0.25">
      <c r="A1707" s="1"/>
      <c r="H1707" s="1"/>
      <c r="O1707" s="1"/>
      <c r="V1707" s="1"/>
      <c r="AC1707" s="1"/>
      <c r="AJ1707" s="1"/>
      <c r="AQ1707" s="1"/>
      <c r="AX1707" s="1"/>
    </row>
    <row r="1708" spans="1:50" x14ac:dyDescent="0.25">
      <c r="A1708" s="1"/>
      <c r="H1708" s="1"/>
      <c r="O1708" s="1"/>
      <c r="V1708" s="1"/>
      <c r="AC1708" s="1"/>
      <c r="AJ1708" s="1"/>
      <c r="AQ1708" s="1"/>
      <c r="AX1708" s="1"/>
    </row>
    <row r="1709" spans="1:50" x14ac:dyDescent="0.25">
      <c r="A1709" s="1"/>
      <c r="H1709" s="1"/>
      <c r="O1709" s="1"/>
      <c r="V1709" s="1"/>
      <c r="AC1709" s="1"/>
      <c r="AJ1709" s="1"/>
      <c r="AQ1709" s="1"/>
      <c r="AX1709" s="1"/>
    </row>
    <row r="1710" spans="1:50" x14ac:dyDescent="0.25">
      <c r="A1710" s="1"/>
      <c r="H1710" s="1"/>
      <c r="O1710" s="1"/>
      <c r="V1710" s="1"/>
      <c r="AC1710" s="1"/>
      <c r="AJ1710" s="1"/>
      <c r="AQ1710" s="1"/>
      <c r="AX1710" s="1"/>
    </row>
    <row r="1711" spans="1:50" x14ac:dyDescent="0.25">
      <c r="A1711" s="1"/>
      <c r="H1711" s="1"/>
      <c r="O1711" s="1"/>
      <c r="V1711" s="1"/>
      <c r="AC1711" s="1"/>
      <c r="AJ1711" s="1"/>
      <c r="AQ1711" s="1"/>
      <c r="AX1711" s="1"/>
    </row>
    <row r="1712" spans="1:50" x14ac:dyDescent="0.25">
      <c r="A1712" s="1"/>
      <c r="H1712" s="1"/>
      <c r="O1712" s="1"/>
      <c r="V1712" s="1"/>
      <c r="AC1712" s="1"/>
      <c r="AJ1712" s="1"/>
      <c r="AQ1712" s="1"/>
      <c r="AX1712" s="1"/>
    </row>
    <row r="1713" spans="1:50" x14ac:dyDescent="0.25">
      <c r="A1713" s="1"/>
      <c r="H1713" s="1"/>
      <c r="O1713" s="1"/>
      <c r="V1713" s="1"/>
      <c r="AC1713" s="1"/>
      <c r="AJ1713" s="1"/>
      <c r="AQ1713" s="1"/>
      <c r="AX1713" s="1"/>
    </row>
    <row r="1714" spans="1:50" x14ac:dyDescent="0.25">
      <c r="A1714" s="1"/>
      <c r="H1714" s="1"/>
      <c r="O1714" s="1"/>
      <c r="V1714" s="1"/>
      <c r="AC1714" s="1"/>
      <c r="AJ1714" s="1"/>
      <c r="AQ1714" s="1"/>
      <c r="AX1714" s="1"/>
    </row>
    <row r="1715" spans="1:50" x14ac:dyDescent="0.25">
      <c r="A1715" s="1"/>
      <c r="H1715" s="1"/>
      <c r="O1715" s="1"/>
      <c r="V1715" s="1"/>
      <c r="AC1715" s="1"/>
      <c r="AJ1715" s="1"/>
      <c r="AQ1715" s="1"/>
      <c r="AX1715" s="1"/>
    </row>
    <row r="1716" spans="1:50" x14ac:dyDescent="0.25">
      <c r="A1716" s="1"/>
      <c r="H1716" s="1"/>
      <c r="O1716" s="1"/>
      <c r="V1716" s="1"/>
      <c r="AC1716" s="1"/>
      <c r="AJ1716" s="1"/>
      <c r="AQ1716" s="1"/>
      <c r="AX1716" s="1"/>
    </row>
    <row r="1717" spans="1:50" x14ac:dyDescent="0.25">
      <c r="A1717" s="1"/>
      <c r="H1717" s="1"/>
      <c r="O1717" s="1"/>
      <c r="V1717" s="1"/>
      <c r="AC1717" s="1"/>
      <c r="AJ1717" s="1"/>
      <c r="AQ1717" s="1"/>
      <c r="AX1717" s="1"/>
    </row>
    <row r="1718" spans="1:50" x14ac:dyDescent="0.25">
      <c r="A1718" s="1"/>
      <c r="H1718" s="1"/>
      <c r="O1718" s="1"/>
      <c r="V1718" s="1"/>
      <c r="AC1718" s="1"/>
      <c r="AJ1718" s="1"/>
      <c r="AQ1718" s="1"/>
      <c r="AX1718" s="1"/>
    </row>
    <row r="1719" spans="1:50" x14ac:dyDescent="0.25">
      <c r="A1719" s="1"/>
      <c r="H1719" s="1"/>
      <c r="O1719" s="1"/>
      <c r="V1719" s="1"/>
      <c r="AC1719" s="1"/>
      <c r="AJ1719" s="1"/>
      <c r="AQ1719" s="1"/>
      <c r="AX1719" s="1"/>
    </row>
    <row r="1720" spans="1:50" x14ac:dyDescent="0.25">
      <c r="A1720" s="1"/>
      <c r="H1720" s="1"/>
      <c r="O1720" s="1"/>
      <c r="V1720" s="1"/>
      <c r="AC1720" s="1"/>
      <c r="AJ1720" s="1"/>
      <c r="AQ1720" s="1"/>
      <c r="AX1720" s="1"/>
    </row>
    <row r="1721" spans="1:50" x14ac:dyDescent="0.25">
      <c r="A1721" s="1"/>
      <c r="H1721" s="1"/>
      <c r="O1721" s="1"/>
      <c r="V1721" s="1"/>
      <c r="AC1721" s="1"/>
      <c r="AJ1721" s="1"/>
      <c r="AQ1721" s="1"/>
      <c r="AX1721" s="1"/>
    </row>
    <row r="1722" spans="1:50" x14ac:dyDescent="0.25">
      <c r="A1722" s="1"/>
      <c r="H1722" s="1"/>
      <c r="O1722" s="1"/>
      <c r="V1722" s="1"/>
      <c r="AC1722" s="1"/>
      <c r="AJ1722" s="1"/>
      <c r="AQ1722" s="1"/>
      <c r="AX1722" s="1"/>
    </row>
    <row r="1723" spans="1:50" x14ac:dyDescent="0.25">
      <c r="A1723" s="1"/>
      <c r="H1723" s="1"/>
      <c r="O1723" s="1"/>
      <c r="V1723" s="1"/>
      <c r="AC1723" s="1"/>
      <c r="AJ1723" s="1"/>
      <c r="AQ1723" s="1"/>
      <c r="AX1723" s="1"/>
    </row>
    <row r="1724" spans="1:50" x14ac:dyDescent="0.25">
      <c r="A1724" s="1"/>
      <c r="H1724" s="1"/>
      <c r="O1724" s="1"/>
      <c r="V1724" s="1"/>
      <c r="AC1724" s="1"/>
      <c r="AJ1724" s="1"/>
      <c r="AQ1724" s="1"/>
      <c r="AX1724" s="1"/>
    </row>
    <row r="1725" spans="1:50" x14ac:dyDescent="0.25">
      <c r="A1725" s="1"/>
      <c r="H1725" s="1"/>
      <c r="O1725" s="1"/>
      <c r="V1725" s="1"/>
      <c r="AC1725" s="1"/>
      <c r="AJ1725" s="1"/>
      <c r="AQ1725" s="1"/>
      <c r="AX1725" s="1"/>
    </row>
    <row r="1726" spans="1:50" x14ac:dyDescent="0.25">
      <c r="A1726" s="1"/>
      <c r="H1726" s="1"/>
      <c r="O1726" s="1"/>
      <c r="V1726" s="1"/>
      <c r="AC1726" s="1"/>
      <c r="AJ1726" s="1"/>
      <c r="AQ1726" s="1"/>
      <c r="AX1726" s="1"/>
    </row>
    <row r="1727" spans="1:50" x14ac:dyDescent="0.25">
      <c r="A1727" s="1"/>
      <c r="H1727" s="1"/>
      <c r="O1727" s="1"/>
      <c r="V1727" s="1"/>
      <c r="AC1727" s="1"/>
      <c r="AJ1727" s="1"/>
      <c r="AQ1727" s="1"/>
      <c r="AX1727" s="1"/>
    </row>
    <row r="1728" spans="1:50" x14ac:dyDescent="0.25">
      <c r="A1728" s="1"/>
      <c r="H1728" s="1"/>
      <c r="O1728" s="1"/>
      <c r="V1728" s="1"/>
      <c r="AC1728" s="1"/>
      <c r="AJ1728" s="1"/>
      <c r="AQ1728" s="1"/>
      <c r="AX1728" s="1"/>
    </row>
    <row r="1729" spans="1:50" x14ac:dyDescent="0.25">
      <c r="A1729" s="1"/>
      <c r="H1729" s="1"/>
      <c r="O1729" s="1"/>
      <c r="V1729" s="1"/>
      <c r="AC1729" s="1"/>
      <c r="AJ1729" s="1"/>
      <c r="AQ1729" s="1"/>
      <c r="AX1729" s="1"/>
    </row>
    <row r="1730" spans="1:50" x14ac:dyDescent="0.25">
      <c r="A1730" s="1"/>
      <c r="H1730" s="1"/>
      <c r="O1730" s="1"/>
      <c r="V1730" s="1"/>
      <c r="AC1730" s="1"/>
      <c r="AJ1730" s="1"/>
      <c r="AQ1730" s="1"/>
      <c r="AX1730" s="1"/>
    </row>
    <row r="1731" spans="1:50" x14ac:dyDescent="0.25">
      <c r="A1731" s="1"/>
      <c r="H1731" s="1"/>
      <c r="O1731" s="1"/>
      <c r="V1731" s="1"/>
      <c r="AC1731" s="1"/>
      <c r="AJ1731" s="1"/>
      <c r="AQ1731" s="1"/>
      <c r="AX1731" s="1"/>
    </row>
    <row r="1732" spans="1:50" x14ac:dyDescent="0.25">
      <c r="A1732" s="1"/>
      <c r="H1732" s="1"/>
      <c r="O1732" s="1"/>
      <c r="V1732" s="1"/>
      <c r="AC1732" s="1"/>
      <c r="AJ1732" s="1"/>
      <c r="AQ1732" s="1"/>
      <c r="AX1732" s="1"/>
    </row>
    <row r="1733" spans="1:50" x14ac:dyDescent="0.25">
      <c r="A1733" s="1"/>
      <c r="H1733" s="1"/>
      <c r="O1733" s="1"/>
      <c r="V1733" s="1"/>
      <c r="AC1733" s="1"/>
      <c r="AJ1733" s="1"/>
      <c r="AQ1733" s="1"/>
      <c r="AX1733" s="1"/>
    </row>
    <row r="1734" spans="1:50" x14ac:dyDescent="0.25">
      <c r="A1734" s="1"/>
      <c r="H1734" s="1"/>
      <c r="O1734" s="1"/>
      <c r="V1734" s="1"/>
      <c r="AC1734" s="1"/>
      <c r="AJ1734" s="1"/>
      <c r="AQ1734" s="1"/>
      <c r="AX1734" s="1"/>
    </row>
    <row r="1735" spans="1:50" x14ac:dyDescent="0.25">
      <c r="A1735" s="1"/>
      <c r="H1735" s="1"/>
      <c r="O1735" s="1"/>
      <c r="V1735" s="1"/>
      <c r="AC1735" s="1"/>
      <c r="AJ1735" s="1"/>
      <c r="AQ1735" s="1"/>
      <c r="AX1735" s="1"/>
    </row>
    <row r="1736" spans="1:50" x14ac:dyDescent="0.25">
      <c r="A1736" s="1"/>
      <c r="H1736" s="1"/>
      <c r="O1736" s="1"/>
      <c r="V1736" s="1"/>
      <c r="AC1736" s="1"/>
      <c r="AJ1736" s="1"/>
      <c r="AQ1736" s="1"/>
      <c r="AX1736" s="1"/>
    </row>
    <row r="1737" spans="1:50" x14ac:dyDescent="0.25">
      <c r="A1737" s="1"/>
      <c r="H1737" s="1"/>
      <c r="O1737" s="1"/>
      <c r="V1737" s="1"/>
      <c r="AC1737" s="1"/>
      <c r="AJ1737" s="1"/>
      <c r="AQ1737" s="1"/>
      <c r="AX1737" s="1"/>
    </row>
    <row r="1738" spans="1:50" x14ac:dyDescent="0.25">
      <c r="A1738" s="1"/>
      <c r="H1738" s="1"/>
      <c r="O1738" s="1"/>
      <c r="V1738" s="1"/>
      <c r="AC1738" s="1"/>
      <c r="AJ1738" s="1"/>
      <c r="AQ1738" s="1"/>
      <c r="AX1738" s="1"/>
    </row>
    <row r="1739" spans="1:50" x14ac:dyDescent="0.25">
      <c r="A1739" s="1"/>
      <c r="H1739" s="1"/>
      <c r="O1739" s="1"/>
      <c r="V1739" s="1"/>
      <c r="AC1739" s="1"/>
      <c r="AJ1739" s="1"/>
      <c r="AQ1739" s="1"/>
      <c r="AX1739" s="1"/>
    </row>
    <row r="1740" spans="1:50" x14ac:dyDescent="0.25">
      <c r="A1740" s="1"/>
      <c r="H1740" s="1"/>
      <c r="O1740" s="1"/>
      <c r="V1740" s="1"/>
      <c r="AC1740" s="1"/>
      <c r="AJ1740" s="1"/>
      <c r="AQ1740" s="1"/>
      <c r="AX1740" s="1"/>
    </row>
    <row r="1741" spans="1:50" x14ac:dyDescent="0.25">
      <c r="A1741" s="1"/>
      <c r="H1741" s="1"/>
      <c r="O1741" s="1"/>
      <c r="V1741" s="1"/>
      <c r="AC1741" s="1"/>
      <c r="AJ1741" s="1"/>
      <c r="AQ1741" s="1"/>
      <c r="AX1741" s="1"/>
    </row>
    <row r="1742" spans="1:50" x14ac:dyDescent="0.25">
      <c r="A1742" s="1"/>
      <c r="H1742" s="1"/>
      <c r="O1742" s="1"/>
      <c r="V1742" s="1"/>
      <c r="AC1742" s="1"/>
      <c r="AJ1742" s="1"/>
      <c r="AQ1742" s="1"/>
      <c r="AX1742" s="1"/>
    </row>
    <row r="1743" spans="1:50" x14ac:dyDescent="0.25">
      <c r="A1743" s="1"/>
      <c r="H1743" s="1"/>
      <c r="O1743" s="1"/>
      <c r="V1743" s="1"/>
      <c r="AC1743" s="1"/>
      <c r="AJ1743" s="1"/>
      <c r="AQ1743" s="1"/>
      <c r="AX1743" s="1"/>
    </row>
    <row r="1744" spans="1:50" x14ac:dyDescent="0.25">
      <c r="A1744" s="1"/>
      <c r="H1744" s="1"/>
      <c r="O1744" s="1"/>
      <c r="V1744" s="1"/>
      <c r="AC1744" s="1"/>
      <c r="AJ1744" s="1"/>
      <c r="AQ1744" s="1"/>
      <c r="AX1744" s="1"/>
    </row>
    <row r="1745" spans="1:50" x14ac:dyDescent="0.25">
      <c r="A1745" s="1"/>
      <c r="H1745" s="1"/>
      <c r="O1745" s="1"/>
      <c r="V1745" s="1"/>
      <c r="AC1745" s="1"/>
      <c r="AJ1745" s="1"/>
      <c r="AQ1745" s="1"/>
      <c r="AX1745" s="1"/>
    </row>
    <row r="1746" spans="1:50" x14ac:dyDescent="0.25">
      <c r="A1746" s="1"/>
      <c r="H1746" s="1"/>
      <c r="O1746" s="1"/>
      <c r="V1746" s="1"/>
      <c r="AC1746" s="1"/>
      <c r="AJ1746" s="1"/>
      <c r="AQ1746" s="1"/>
      <c r="AX1746" s="1"/>
    </row>
    <row r="1747" spans="1:50" x14ac:dyDescent="0.25">
      <c r="A1747" s="1"/>
      <c r="H1747" s="1"/>
      <c r="O1747" s="1"/>
      <c r="V1747" s="1"/>
      <c r="AC1747" s="1"/>
      <c r="AJ1747" s="1"/>
      <c r="AQ1747" s="1"/>
      <c r="AX1747" s="1"/>
    </row>
    <row r="1748" spans="1:50" x14ac:dyDescent="0.25">
      <c r="A1748" s="1"/>
      <c r="H1748" s="1"/>
      <c r="O1748" s="1"/>
      <c r="V1748" s="1"/>
      <c r="AC1748" s="1"/>
      <c r="AJ1748" s="1"/>
      <c r="AQ1748" s="1"/>
      <c r="AX1748" s="1"/>
    </row>
    <row r="1749" spans="1:50" x14ac:dyDescent="0.25">
      <c r="A1749" s="1"/>
      <c r="H1749" s="1"/>
      <c r="O1749" s="1"/>
      <c r="V1749" s="1"/>
      <c r="AC1749" s="1"/>
      <c r="AJ1749" s="1"/>
      <c r="AQ1749" s="1"/>
      <c r="AX1749" s="1"/>
    </row>
    <row r="1750" spans="1:50" x14ac:dyDescent="0.25">
      <c r="A1750" s="1"/>
      <c r="H1750" s="1"/>
      <c r="O1750" s="1"/>
      <c r="V1750" s="1"/>
      <c r="AC1750" s="1"/>
      <c r="AJ1750" s="1"/>
      <c r="AQ1750" s="1"/>
      <c r="AX1750" s="1"/>
    </row>
    <row r="1751" spans="1:50" x14ac:dyDescent="0.25">
      <c r="A1751" s="1"/>
      <c r="H1751" s="1"/>
      <c r="O1751" s="1"/>
      <c r="V1751" s="1"/>
      <c r="AC1751" s="1"/>
      <c r="AJ1751" s="1"/>
      <c r="AQ1751" s="1"/>
      <c r="AX1751" s="1"/>
    </row>
    <row r="1752" spans="1:50" x14ac:dyDescent="0.25">
      <c r="A1752" s="1"/>
      <c r="H1752" s="1"/>
      <c r="O1752" s="1"/>
      <c r="V1752" s="1"/>
      <c r="AC1752" s="1"/>
      <c r="AJ1752" s="1"/>
      <c r="AQ1752" s="1"/>
      <c r="AX1752" s="1"/>
    </row>
    <row r="1753" spans="1:50" x14ac:dyDescent="0.25">
      <c r="A1753" s="1"/>
      <c r="H1753" s="1"/>
      <c r="O1753" s="1"/>
      <c r="V1753" s="1"/>
      <c r="AC1753" s="1"/>
      <c r="AJ1753" s="1"/>
      <c r="AQ1753" s="1"/>
      <c r="AX1753" s="1"/>
    </row>
    <row r="1754" spans="1:50" x14ac:dyDescent="0.25">
      <c r="A1754" s="1"/>
      <c r="H1754" s="1"/>
      <c r="O1754" s="1"/>
      <c r="V1754" s="1"/>
      <c r="AC1754" s="1"/>
      <c r="AJ1754" s="1"/>
      <c r="AQ1754" s="1"/>
      <c r="AX1754" s="1"/>
    </row>
    <row r="1755" spans="1:50" x14ac:dyDescent="0.25">
      <c r="A1755" s="1"/>
      <c r="H1755" s="1"/>
      <c r="O1755" s="1"/>
      <c r="V1755" s="1"/>
      <c r="AC1755" s="1"/>
      <c r="AJ1755" s="1"/>
      <c r="AQ1755" s="1"/>
      <c r="AX1755" s="1"/>
    </row>
    <row r="1756" spans="1:50" x14ac:dyDescent="0.25">
      <c r="A1756" s="1"/>
      <c r="H1756" s="1"/>
      <c r="O1756" s="1"/>
      <c r="V1756" s="1"/>
      <c r="AC1756" s="1"/>
      <c r="AJ1756" s="1"/>
      <c r="AQ1756" s="1"/>
      <c r="AX1756" s="1"/>
    </row>
    <row r="1757" spans="1:50" x14ac:dyDescent="0.25">
      <c r="A1757" s="1"/>
      <c r="H1757" s="1"/>
      <c r="O1757" s="1"/>
      <c r="V1757" s="1"/>
      <c r="AC1757" s="1"/>
      <c r="AJ1757" s="1"/>
      <c r="AQ1757" s="1"/>
      <c r="AX1757" s="1"/>
    </row>
    <row r="1758" spans="1:50" x14ac:dyDescent="0.25">
      <c r="A1758" s="1"/>
      <c r="H1758" s="1"/>
      <c r="O1758" s="1"/>
      <c r="V1758" s="1"/>
      <c r="AC1758" s="1"/>
      <c r="AJ1758" s="1"/>
      <c r="AQ1758" s="1"/>
      <c r="AX1758" s="1"/>
    </row>
    <row r="1759" spans="1:50" x14ac:dyDescent="0.25">
      <c r="A1759" s="1"/>
      <c r="H1759" s="1"/>
      <c r="O1759" s="1"/>
      <c r="V1759" s="1"/>
      <c r="AC1759" s="1"/>
      <c r="AJ1759" s="1"/>
      <c r="AQ1759" s="1"/>
      <c r="AX1759" s="1"/>
    </row>
    <row r="1760" spans="1:50" x14ac:dyDescent="0.25">
      <c r="A1760" s="1"/>
      <c r="H1760" s="1"/>
      <c r="O1760" s="1"/>
      <c r="V1760" s="1"/>
      <c r="AC1760" s="1"/>
      <c r="AJ1760" s="1"/>
      <c r="AQ1760" s="1"/>
      <c r="AX1760" s="1"/>
    </row>
    <row r="1761" spans="1:50" x14ac:dyDescent="0.25">
      <c r="A1761" s="1"/>
      <c r="H1761" s="1"/>
      <c r="O1761" s="1"/>
      <c r="V1761" s="1"/>
      <c r="AC1761" s="1"/>
      <c r="AJ1761" s="1"/>
      <c r="AQ1761" s="1"/>
      <c r="AX1761" s="1"/>
    </row>
    <row r="1762" spans="1:50" x14ac:dyDescent="0.25">
      <c r="A1762" s="1"/>
      <c r="H1762" s="1"/>
      <c r="O1762" s="1"/>
      <c r="V1762" s="1"/>
      <c r="AC1762" s="1"/>
      <c r="AJ1762" s="1"/>
      <c r="AQ1762" s="1"/>
      <c r="AX1762" s="1"/>
    </row>
    <row r="1763" spans="1:50" x14ac:dyDescent="0.25">
      <c r="A1763" s="1"/>
      <c r="H1763" s="1"/>
      <c r="O1763" s="1"/>
      <c r="V1763" s="1"/>
      <c r="AC1763" s="1"/>
      <c r="AJ1763" s="1"/>
      <c r="AQ1763" s="1"/>
      <c r="AX1763" s="1"/>
    </row>
    <row r="1764" spans="1:50" x14ac:dyDescent="0.25">
      <c r="A1764" s="1"/>
      <c r="H1764" s="1"/>
      <c r="O1764" s="1"/>
      <c r="V1764" s="1"/>
      <c r="AC1764" s="1"/>
      <c r="AJ1764" s="1"/>
      <c r="AQ1764" s="1"/>
      <c r="AX1764" s="1"/>
    </row>
    <row r="1765" spans="1:50" x14ac:dyDescent="0.25">
      <c r="A1765" s="1"/>
      <c r="H1765" s="1"/>
      <c r="O1765" s="1"/>
      <c r="V1765" s="1"/>
      <c r="AC1765" s="1"/>
      <c r="AJ1765" s="1"/>
      <c r="AQ1765" s="1"/>
      <c r="AX1765" s="1"/>
    </row>
    <row r="1766" spans="1:50" x14ac:dyDescent="0.25">
      <c r="A1766" s="1"/>
      <c r="H1766" s="1"/>
      <c r="O1766" s="1"/>
      <c r="V1766" s="1"/>
      <c r="AC1766" s="1"/>
      <c r="AJ1766" s="1"/>
      <c r="AQ1766" s="1"/>
      <c r="AX1766" s="1"/>
    </row>
    <row r="1767" spans="1:50" x14ac:dyDescent="0.25">
      <c r="A1767" s="1"/>
      <c r="H1767" s="1"/>
      <c r="O1767" s="1"/>
      <c r="V1767" s="1"/>
      <c r="AC1767" s="1"/>
      <c r="AJ1767" s="1"/>
      <c r="AQ1767" s="1"/>
      <c r="AX1767" s="1"/>
    </row>
    <row r="1768" spans="1:50" x14ac:dyDescent="0.25">
      <c r="A1768" s="1"/>
      <c r="H1768" s="1"/>
      <c r="O1768" s="1"/>
      <c r="V1768" s="1"/>
      <c r="AC1768" s="1"/>
      <c r="AJ1768" s="1"/>
      <c r="AQ1768" s="1"/>
      <c r="AX1768" s="1"/>
    </row>
    <row r="1769" spans="1:50" x14ac:dyDescent="0.25">
      <c r="A1769" s="1"/>
      <c r="H1769" s="1"/>
      <c r="O1769" s="1"/>
      <c r="V1769" s="1"/>
      <c r="AC1769" s="1"/>
      <c r="AJ1769" s="1"/>
      <c r="AQ1769" s="1"/>
      <c r="AX1769" s="1"/>
    </row>
    <row r="1770" spans="1:50" x14ac:dyDescent="0.25">
      <c r="A1770" s="1"/>
      <c r="H1770" s="1"/>
      <c r="O1770" s="1"/>
      <c r="V1770" s="1"/>
      <c r="AC1770" s="1"/>
      <c r="AJ1770" s="1"/>
      <c r="AQ1770" s="1"/>
      <c r="AX1770" s="1"/>
    </row>
    <row r="1771" spans="1:50" x14ac:dyDescent="0.25">
      <c r="A1771" s="1"/>
      <c r="H1771" s="1"/>
      <c r="O1771" s="1"/>
      <c r="V1771" s="1"/>
      <c r="AC1771" s="1"/>
      <c r="AJ1771" s="1"/>
      <c r="AQ1771" s="1"/>
      <c r="AX1771" s="1"/>
    </row>
    <row r="1772" spans="1:50" x14ac:dyDescent="0.25">
      <c r="A1772" s="1"/>
      <c r="H1772" s="1"/>
      <c r="O1772" s="1"/>
      <c r="V1772" s="1"/>
      <c r="AC1772" s="1"/>
      <c r="AJ1772" s="1"/>
      <c r="AQ1772" s="1"/>
      <c r="AX1772" s="1"/>
    </row>
    <row r="1773" spans="1:50" x14ac:dyDescent="0.25">
      <c r="A1773" s="1"/>
      <c r="H1773" s="1"/>
      <c r="O1773" s="1"/>
      <c r="V1773" s="1"/>
      <c r="AC1773" s="1"/>
      <c r="AJ1773" s="1"/>
      <c r="AQ1773" s="1"/>
      <c r="AX1773" s="1"/>
    </row>
    <row r="1774" spans="1:50" x14ac:dyDescent="0.25">
      <c r="A1774" s="1"/>
      <c r="H1774" s="1"/>
      <c r="O1774" s="1"/>
      <c r="V1774" s="1"/>
      <c r="AC1774" s="1"/>
      <c r="AJ1774" s="1"/>
      <c r="AQ1774" s="1"/>
      <c r="AX1774" s="1"/>
    </row>
    <row r="1775" spans="1:50" x14ac:dyDescent="0.25">
      <c r="A1775" s="1"/>
      <c r="H1775" s="1"/>
      <c r="O1775" s="1"/>
      <c r="V1775" s="1"/>
      <c r="AC1775" s="1"/>
      <c r="AJ1775" s="1"/>
      <c r="AQ1775" s="1"/>
      <c r="AX1775" s="1"/>
    </row>
    <row r="1776" spans="1:50" x14ac:dyDescent="0.25">
      <c r="A1776" s="1"/>
      <c r="H1776" s="1"/>
      <c r="O1776" s="1"/>
      <c r="V1776" s="1"/>
      <c r="AC1776" s="1"/>
      <c r="AJ1776" s="1"/>
      <c r="AQ1776" s="1"/>
      <c r="AX1776" s="1"/>
    </row>
    <row r="1777" spans="1:50" x14ac:dyDescent="0.25">
      <c r="A1777" s="1"/>
      <c r="H1777" s="1"/>
      <c r="O1777" s="1"/>
      <c r="V1777" s="1"/>
      <c r="AC1777" s="1"/>
      <c r="AJ1777" s="1"/>
      <c r="AQ1777" s="1"/>
      <c r="AX1777" s="1"/>
    </row>
    <row r="1778" spans="1:50" x14ac:dyDescent="0.25">
      <c r="A1778" s="1"/>
      <c r="H1778" s="1"/>
      <c r="O1778" s="1"/>
      <c r="V1778" s="1"/>
      <c r="AC1778" s="1"/>
      <c r="AJ1778" s="1"/>
      <c r="AQ1778" s="1"/>
      <c r="AX1778" s="1"/>
    </row>
    <row r="1779" spans="1:50" x14ac:dyDescent="0.25">
      <c r="A1779" s="1"/>
      <c r="H1779" s="1"/>
      <c r="O1779" s="1"/>
      <c r="V1779" s="1"/>
      <c r="AC1779" s="1"/>
      <c r="AJ1779" s="1"/>
      <c r="AQ1779" s="1"/>
      <c r="AX1779" s="1"/>
    </row>
    <row r="1780" spans="1:50" x14ac:dyDescent="0.25">
      <c r="A1780" s="1"/>
      <c r="H1780" s="1"/>
      <c r="O1780" s="1"/>
      <c r="V1780" s="1"/>
      <c r="AC1780" s="1"/>
      <c r="AJ1780" s="1"/>
      <c r="AQ1780" s="1"/>
      <c r="AX1780" s="1"/>
    </row>
    <row r="1781" spans="1:50" x14ac:dyDescent="0.25">
      <c r="A1781" s="1"/>
      <c r="H1781" s="1"/>
      <c r="O1781" s="1"/>
      <c r="V1781" s="1"/>
      <c r="AC1781" s="1"/>
      <c r="AJ1781" s="1"/>
      <c r="AQ1781" s="1"/>
      <c r="AX1781" s="1"/>
    </row>
    <row r="1782" spans="1:50" x14ac:dyDescent="0.25">
      <c r="A1782" s="1"/>
      <c r="H1782" s="1"/>
      <c r="O1782" s="1"/>
      <c r="V1782" s="1"/>
      <c r="AC1782" s="1"/>
      <c r="AJ1782" s="1"/>
      <c r="AQ1782" s="1"/>
      <c r="AX1782" s="1"/>
    </row>
    <row r="1783" spans="1:50" x14ac:dyDescent="0.25">
      <c r="A1783" s="1"/>
      <c r="H1783" s="1"/>
      <c r="O1783" s="1"/>
      <c r="V1783" s="1"/>
      <c r="AC1783" s="1"/>
      <c r="AJ1783" s="1"/>
      <c r="AQ1783" s="1"/>
      <c r="AX1783" s="1"/>
    </row>
    <row r="1784" spans="1:50" x14ac:dyDescent="0.25">
      <c r="A1784" s="1"/>
      <c r="H1784" s="1"/>
      <c r="O1784" s="1"/>
      <c r="V1784" s="1"/>
      <c r="AC1784" s="1"/>
      <c r="AJ1784" s="1"/>
      <c r="AQ1784" s="1"/>
      <c r="AX1784" s="1"/>
    </row>
    <row r="1785" spans="1:50" x14ac:dyDescent="0.25">
      <c r="A1785" s="1"/>
      <c r="H1785" s="1"/>
      <c r="O1785" s="1"/>
      <c r="V1785" s="1"/>
      <c r="AC1785" s="1"/>
      <c r="AJ1785" s="1"/>
      <c r="AQ1785" s="1"/>
      <c r="AX1785" s="1"/>
    </row>
    <row r="1786" spans="1:50" x14ac:dyDescent="0.25">
      <c r="A1786" s="1"/>
      <c r="H1786" s="1"/>
      <c r="O1786" s="1"/>
      <c r="V1786" s="1"/>
      <c r="AC1786" s="1"/>
      <c r="AJ1786" s="1"/>
      <c r="AQ1786" s="1"/>
      <c r="AX1786" s="1"/>
    </row>
    <row r="1787" spans="1:50" x14ac:dyDescent="0.25">
      <c r="A1787" s="1"/>
      <c r="H1787" s="1"/>
      <c r="O1787" s="1"/>
      <c r="V1787" s="1"/>
      <c r="AC1787" s="1"/>
      <c r="AJ1787" s="1"/>
      <c r="AQ1787" s="1"/>
      <c r="AX1787" s="1"/>
    </row>
    <row r="1788" spans="1:50" x14ac:dyDescent="0.25">
      <c r="A1788" s="1"/>
      <c r="H1788" s="1"/>
      <c r="O1788" s="1"/>
      <c r="V1788" s="1"/>
      <c r="AC1788" s="1"/>
      <c r="AJ1788" s="1"/>
      <c r="AQ1788" s="1"/>
      <c r="AX1788" s="1"/>
    </row>
    <row r="1789" spans="1:50" x14ac:dyDescent="0.25">
      <c r="A1789" s="1"/>
      <c r="H1789" s="1"/>
      <c r="O1789" s="1"/>
      <c r="V1789" s="1"/>
      <c r="AC1789" s="1"/>
      <c r="AJ1789" s="1"/>
      <c r="AQ1789" s="1"/>
      <c r="AX1789" s="1"/>
    </row>
    <row r="1790" spans="1:50" x14ac:dyDescent="0.25">
      <c r="A1790" s="1"/>
      <c r="H1790" s="1"/>
      <c r="O1790" s="1"/>
      <c r="V1790" s="1"/>
      <c r="AC1790" s="1"/>
      <c r="AJ1790" s="1"/>
      <c r="AQ1790" s="1"/>
      <c r="AX1790" s="1"/>
    </row>
    <row r="1791" spans="1:50" x14ac:dyDescent="0.25">
      <c r="A1791" s="1"/>
      <c r="H1791" s="1"/>
      <c r="O1791" s="1"/>
      <c r="V1791" s="1"/>
      <c r="AC1791" s="1"/>
      <c r="AJ1791" s="1"/>
      <c r="AQ1791" s="1"/>
      <c r="AX1791" s="1"/>
    </row>
    <row r="1792" spans="1:50" x14ac:dyDescent="0.25">
      <c r="A1792" s="1"/>
      <c r="H1792" s="1"/>
      <c r="O1792" s="1"/>
      <c r="V1792" s="1"/>
      <c r="AC1792" s="1"/>
      <c r="AJ1792" s="1"/>
      <c r="AQ1792" s="1"/>
      <c r="AX1792" s="1"/>
    </row>
    <row r="1793" spans="1:50" x14ac:dyDescent="0.25">
      <c r="A1793" s="1"/>
      <c r="H1793" s="1"/>
      <c r="O1793" s="1"/>
      <c r="V1793" s="1"/>
      <c r="AC1793" s="1"/>
      <c r="AJ1793" s="1"/>
      <c r="AQ1793" s="1"/>
      <c r="AX1793" s="1"/>
    </row>
    <row r="1794" spans="1:50" x14ac:dyDescent="0.25">
      <c r="A1794" s="1"/>
      <c r="H1794" s="1"/>
      <c r="O1794" s="1"/>
      <c r="V1794" s="1"/>
      <c r="AC1794" s="1"/>
      <c r="AJ1794" s="1"/>
      <c r="AQ1794" s="1"/>
      <c r="AX1794" s="1"/>
    </row>
    <row r="1795" spans="1:50" x14ac:dyDescent="0.25">
      <c r="A1795" s="1"/>
      <c r="H1795" s="1"/>
      <c r="O1795" s="1"/>
      <c r="V1795" s="1"/>
      <c r="AC1795" s="1"/>
      <c r="AJ1795" s="1"/>
      <c r="AQ1795" s="1"/>
      <c r="AX1795" s="1"/>
    </row>
    <row r="1796" spans="1:50" x14ac:dyDescent="0.25">
      <c r="A1796" s="1"/>
      <c r="H1796" s="1"/>
      <c r="O1796" s="1"/>
      <c r="V1796" s="1"/>
      <c r="AC1796" s="1"/>
      <c r="AJ1796" s="1"/>
      <c r="AQ1796" s="1"/>
      <c r="AX1796" s="1"/>
    </row>
    <row r="1797" spans="1:50" x14ac:dyDescent="0.25">
      <c r="A1797" s="1"/>
      <c r="H1797" s="1"/>
      <c r="O1797" s="1"/>
      <c r="V1797" s="1"/>
      <c r="AC1797" s="1"/>
      <c r="AJ1797" s="1"/>
      <c r="AQ1797" s="1"/>
      <c r="AX1797" s="1"/>
    </row>
    <row r="1798" spans="1:50" x14ac:dyDescent="0.25">
      <c r="A1798" s="1"/>
      <c r="H1798" s="1"/>
      <c r="O1798" s="1"/>
      <c r="V1798" s="1"/>
      <c r="AC1798" s="1"/>
      <c r="AJ1798" s="1"/>
      <c r="AQ1798" s="1"/>
      <c r="AX1798" s="1"/>
    </row>
    <row r="1799" spans="1:50" x14ac:dyDescent="0.25">
      <c r="A1799" s="1"/>
      <c r="H1799" s="1"/>
      <c r="O1799" s="1"/>
      <c r="V1799" s="1"/>
      <c r="AC1799" s="1"/>
      <c r="AJ1799" s="1"/>
      <c r="AQ1799" s="1"/>
      <c r="AX1799" s="1"/>
    </row>
    <row r="1800" spans="1:50" x14ac:dyDescent="0.25">
      <c r="A1800" s="1"/>
      <c r="H1800" s="1"/>
      <c r="O1800" s="1"/>
      <c r="V1800" s="1"/>
      <c r="AC1800" s="1"/>
      <c r="AJ1800" s="1"/>
      <c r="AQ1800" s="1"/>
      <c r="AX1800" s="1"/>
    </row>
    <row r="1801" spans="1:50" x14ac:dyDescent="0.25">
      <c r="A1801" s="1"/>
      <c r="H1801" s="1"/>
      <c r="O1801" s="1"/>
      <c r="V1801" s="1"/>
      <c r="AC1801" s="1"/>
      <c r="AJ1801" s="1"/>
      <c r="AQ1801" s="1"/>
      <c r="AX1801" s="1"/>
    </row>
    <row r="1802" spans="1:50" x14ac:dyDescent="0.25">
      <c r="A1802" s="1"/>
      <c r="H1802" s="1"/>
      <c r="O1802" s="1"/>
      <c r="V1802" s="1"/>
      <c r="AC1802" s="1"/>
      <c r="AJ1802" s="1"/>
      <c r="AQ1802" s="1"/>
      <c r="AX1802" s="1"/>
    </row>
    <row r="1803" spans="1:50" x14ac:dyDescent="0.25">
      <c r="A1803" s="1"/>
      <c r="H1803" s="1"/>
      <c r="O1803" s="1"/>
      <c r="V1803" s="1"/>
      <c r="AC1803" s="1"/>
      <c r="AJ1803" s="1"/>
      <c r="AQ1803" s="1"/>
      <c r="AX1803" s="1"/>
    </row>
    <row r="1804" spans="1:50" x14ac:dyDescent="0.25">
      <c r="A1804" s="1"/>
      <c r="H1804" s="1"/>
      <c r="O1804" s="1"/>
      <c r="V1804" s="1"/>
      <c r="AC1804" s="1"/>
      <c r="AJ1804" s="1"/>
      <c r="AQ1804" s="1"/>
      <c r="AX1804" s="1"/>
    </row>
    <row r="1805" spans="1:50" x14ac:dyDescent="0.25">
      <c r="A1805" s="1"/>
      <c r="H1805" s="1"/>
      <c r="O1805" s="1"/>
      <c r="V1805" s="1"/>
      <c r="AC1805" s="1"/>
      <c r="AJ1805" s="1"/>
      <c r="AQ1805" s="1"/>
      <c r="AX1805" s="1"/>
    </row>
    <row r="1806" spans="1:50" x14ac:dyDescent="0.25">
      <c r="A1806" s="1"/>
      <c r="H1806" s="1"/>
      <c r="O1806" s="1"/>
      <c r="V1806" s="1"/>
      <c r="AC1806" s="1"/>
      <c r="AJ1806" s="1"/>
      <c r="AQ1806" s="1"/>
      <c r="AX1806" s="1"/>
    </row>
    <row r="1807" spans="1:50" x14ac:dyDescent="0.25">
      <c r="A1807" s="1"/>
      <c r="H1807" s="1"/>
      <c r="O1807" s="1"/>
      <c r="V1807" s="1"/>
      <c r="AC1807" s="1"/>
      <c r="AJ1807" s="1"/>
      <c r="AQ1807" s="1"/>
      <c r="AX1807" s="1"/>
    </row>
    <row r="1808" spans="1:50" x14ac:dyDescent="0.25">
      <c r="A1808" s="1"/>
      <c r="H1808" s="1"/>
      <c r="O1808" s="1"/>
      <c r="V1808" s="1"/>
      <c r="AC1808" s="1"/>
      <c r="AJ1808" s="1"/>
      <c r="AQ1808" s="1"/>
      <c r="AX1808" s="1"/>
    </row>
    <row r="1809" spans="1:50" x14ac:dyDescent="0.25">
      <c r="A1809" s="1"/>
      <c r="H1809" s="1"/>
      <c r="O1809" s="1"/>
      <c r="V1809" s="1"/>
      <c r="AC1809" s="1"/>
      <c r="AJ1809" s="1"/>
      <c r="AQ1809" s="1"/>
      <c r="AX1809" s="1"/>
    </row>
    <row r="1810" spans="1:50" x14ac:dyDescent="0.25">
      <c r="A1810" s="1"/>
      <c r="H1810" s="1"/>
      <c r="O1810" s="1"/>
      <c r="V1810" s="1"/>
      <c r="AC1810" s="1"/>
      <c r="AJ1810" s="1"/>
      <c r="AQ1810" s="1"/>
      <c r="AX1810" s="1"/>
    </row>
    <row r="1811" spans="1:50" x14ac:dyDescent="0.25">
      <c r="A1811" s="1"/>
      <c r="H1811" s="1"/>
      <c r="O1811" s="1"/>
      <c r="V1811" s="1"/>
      <c r="AC1811" s="1"/>
      <c r="AJ1811" s="1"/>
      <c r="AQ1811" s="1"/>
      <c r="AX1811" s="1"/>
    </row>
    <row r="1812" spans="1:50" x14ac:dyDescent="0.25">
      <c r="A1812" s="1"/>
      <c r="H1812" s="1"/>
      <c r="O1812" s="1"/>
      <c r="V1812" s="1"/>
      <c r="AC1812" s="1"/>
      <c r="AJ1812" s="1"/>
      <c r="AQ1812" s="1"/>
      <c r="AX1812" s="1"/>
    </row>
    <row r="1813" spans="1:50" x14ac:dyDescent="0.25">
      <c r="A1813" s="1"/>
      <c r="H1813" s="1"/>
      <c r="O1813" s="1"/>
      <c r="V1813" s="1"/>
      <c r="AC1813" s="1"/>
      <c r="AJ1813" s="1"/>
      <c r="AQ1813" s="1"/>
      <c r="AX1813" s="1"/>
    </row>
    <row r="1814" spans="1:50" x14ac:dyDescent="0.25">
      <c r="A1814" s="1"/>
      <c r="H1814" s="1"/>
      <c r="O1814" s="1"/>
      <c r="V1814" s="1"/>
      <c r="AC1814" s="1"/>
      <c r="AJ1814" s="1"/>
      <c r="AQ1814" s="1"/>
      <c r="AX1814" s="1"/>
    </row>
    <row r="1815" spans="1:50" x14ac:dyDescent="0.25">
      <c r="A1815" s="1"/>
      <c r="H1815" s="1"/>
      <c r="O1815" s="1"/>
      <c r="V1815" s="1"/>
      <c r="AC1815" s="1"/>
      <c r="AJ1815" s="1"/>
      <c r="AQ1815" s="1"/>
      <c r="AX1815" s="1"/>
    </row>
    <row r="1816" spans="1:50" x14ac:dyDescent="0.25">
      <c r="A1816" s="1"/>
      <c r="H1816" s="1"/>
      <c r="O1816" s="1"/>
      <c r="V1816" s="1"/>
      <c r="AC1816" s="1"/>
      <c r="AJ1816" s="1"/>
      <c r="AQ1816" s="1"/>
      <c r="AX1816" s="1"/>
    </row>
    <row r="1817" spans="1:50" x14ac:dyDescent="0.25">
      <c r="A1817" s="1"/>
      <c r="H1817" s="1"/>
      <c r="O1817" s="1"/>
      <c r="V1817" s="1"/>
      <c r="AC1817" s="1"/>
      <c r="AJ1817" s="1"/>
      <c r="AQ1817" s="1"/>
      <c r="AX1817" s="1"/>
    </row>
    <row r="1818" spans="1:50" x14ac:dyDescent="0.25">
      <c r="A1818" s="1"/>
      <c r="H1818" s="1"/>
      <c r="O1818" s="1"/>
      <c r="V1818" s="1"/>
      <c r="AC1818" s="1"/>
      <c r="AJ1818" s="1"/>
      <c r="AQ1818" s="1"/>
      <c r="AX1818" s="1"/>
    </row>
    <row r="1819" spans="1:50" x14ac:dyDescent="0.25">
      <c r="A1819" s="1"/>
      <c r="H1819" s="1"/>
      <c r="O1819" s="1"/>
      <c r="V1819" s="1"/>
      <c r="AC1819" s="1"/>
      <c r="AJ1819" s="1"/>
      <c r="AQ1819" s="1"/>
      <c r="AX1819" s="1"/>
    </row>
    <row r="1820" spans="1:50" x14ac:dyDescent="0.25">
      <c r="A1820" s="1"/>
      <c r="H1820" s="1"/>
      <c r="O1820" s="1"/>
      <c r="V1820" s="1"/>
      <c r="AC1820" s="1"/>
      <c r="AJ1820" s="1"/>
      <c r="AQ1820" s="1"/>
      <c r="AX1820" s="1"/>
    </row>
    <row r="1821" spans="1:50" x14ac:dyDescent="0.25">
      <c r="A1821" s="1"/>
      <c r="H1821" s="1"/>
      <c r="O1821" s="1"/>
      <c r="V1821" s="1"/>
      <c r="AC1821" s="1"/>
      <c r="AJ1821" s="1"/>
      <c r="AQ1821" s="1"/>
      <c r="AX1821" s="1"/>
    </row>
    <row r="1822" spans="1:50" x14ac:dyDescent="0.25">
      <c r="A1822" s="1"/>
      <c r="H1822" s="1"/>
      <c r="O1822" s="1"/>
      <c r="V1822" s="1"/>
      <c r="AC1822" s="1"/>
      <c r="AJ1822" s="1"/>
      <c r="AQ1822" s="1"/>
      <c r="AX1822" s="1"/>
    </row>
    <row r="1823" spans="1:50" x14ac:dyDescent="0.25">
      <c r="A1823" s="1"/>
      <c r="H1823" s="1"/>
      <c r="O1823" s="1"/>
      <c r="V1823" s="1"/>
      <c r="AC1823" s="1"/>
      <c r="AJ1823" s="1"/>
      <c r="AQ1823" s="1"/>
      <c r="AX1823" s="1"/>
    </row>
    <row r="1824" spans="1:50" x14ac:dyDescent="0.25">
      <c r="A1824" s="1"/>
      <c r="H1824" s="1"/>
      <c r="O1824" s="1"/>
      <c r="V1824" s="1"/>
      <c r="AC1824" s="1"/>
      <c r="AJ1824" s="1"/>
      <c r="AQ1824" s="1"/>
      <c r="AX1824" s="1"/>
    </row>
    <row r="1825" spans="1:50" x14ac:dyDescent="0.25">
      <c r="A1825" s="1"/>
      <c r="H1825" s="1"/>
      <c r="O1825" s="1"/>
      <c r="V1825" s="1"/>
      <c r="AC1825" s="1"/>
      <c r="AJ1825" s="1"/>
      <c r="AQ1825" s="1"/>
      <c r="AX1825" s="1"/>
    </row>
    <row r="1826" spans="1:50" x14ac:dyDescent="0.25">
      <c r="A1826" s="1"/>
      <c r="H1826" s="1"/>
      <c r="O1826" s="1"/>
      <c r="V1826" s="1"/>
      <c r="AC1826" s="1"/>
      <c r="AJ1826" s="1"/>
      <c r="AQ1826" s="1"/>
      <c r="AX1826" s="1"/>
    </row>
    <row r="1827" spans="1:50" x14ac:dyDescent="0.25">
      <c r="A1827" s="1"/>
      <c r="H1827" s="1"/>
      <c r="O1827" s="1"/>
      <c r="V1827" s="1"/>
      <c r="AC1827" s="1"/>
      <c r="AJ1827" s="1"/>
      <c r="AQ1827" s="1"/>
      <c r="AX1827" s="1"/>
    </row>
    <row r="1828" spans="1:50" x14ac:dyDescent="0.25">
      <c r="A1828" s="1"/>
      <c r="H1828" s="1"/>
      <c r="O1828" s="1"/>
      <c r="V1828" s="1"/>
      <c r="AC1828" s="1"/>
      <c r="AJ1828" s="1"/>
      <c r="AQ1828" s="1"/>
      <c r="AX1828" s="1"/>
    </row>
    <row r="1829" spans="1:50" x14ac:dyDescent="0.25">
      <c r="A1829" s="1"/>
      <c r="H1829" s="1"/>
      <c r="O1829" s="1"/>
      <c r="V1829" s="1"/>
      <c r="AC1829" s="1"/>
      <c r="AJ1829" s="1"/>
      <c r="AQ1829" s="1"/>
      <c r="AX1829" s="1"/>
    </row>
    <row r="1830" spans="1:50" x14ac:dyDescent="0.25">
      <c r="A1830" s="1"/>
      <c r="H1830" s="1"/>
      <c r="O1830" s="1"/>
      <c r="V1830" s="1"/>
      <c r="AC1830" s="1"/>
      <c r="AJ1830" s="1"/>
      <c r="AQ1830" s="1"/>
      <c r="AX1830" s="1"/>
    </row>
    <row r="1831" spans="1:50" x14ac:dyDescent="0.25">
      <c r="A1831" s="1"/>
      <c r="H1831" s="1"/>
      <c r="O1831" s="1"/>
      <c r="V1831" s="1"/>
      <c r="AC1831" s="1"/>
      <c r="AJ1831" s="1"/>
      <c r="AQ1831" s="1"/>
      <c r="AX1831" s="1"/>
    </row>
    <row r="1832" spans="1:50" x14ac:dyDescent="0.25">
      <c r="A1832" s="1"/>
      <c r="H1832" s="1"/>
      <c r="O1832" s="1"/>
      <c r="V1832" s="1"/>
      <c r="AC1832" s="1"/>
      <c r="AJ1832" s="1"/>
      <c r="AQ1832" s="1"/>
      <c r="AX1832" s="1"/>
    </row>
    <row r="1833" spans="1:50" x14ac:dyDescent="0.25">
      <c r="A1833" s="1"/>
      <c r="H1833" s="1"/>
      <c r="O1833" s="1"/>
      <c r="V1833" s="1"/>
      <c r="AC1833" s="1"/>
      <c r="AJ1833" s="1"/>
      <c r="AQ1833" s="1"/>
      <c r="AX1833" s="1"/>
    </row>
    <row r="1834" spans="1:50" x14ac:dyDescent="0.25">
      <c r="A1834" s="1"/>
      <c r="H1834" s="1"/>
      <c r="O1834" s="1"/>
      <c r="V1834" s="1"/>
      <c r="AC1834" s="1"/>
      <c r="AJ1834" s="1"/>
      <c r="AQ1834" s="1"/>
      <c r="AX1834" s="1"/>
    </row>
    <row r="1835" spans="1:50" x14ac:dyDescent="0.25">
      <c r="A1835" s="1"/>
      <c r="H1835" s="1"/>
      <c r="O1835" s="1"/>
      <c r="V1835" s="1"/>
      <c r="AC1835" s="1"/>
      <c r="AJ1835" s="1"/>
      <c r="AQ1835" s="1"/>
      <c r="AX1835" s="1"/>
    </row>
    <row r="1836" spans="1:50" x14ac:dyDescent="0.25">
      <c r="A1836" s="1"/>
      <c r="H1836" s="1"/>
      <c r="O1836" s="1"/>
      <c r="V1836" s="1"/>
      <c r="AC1836" s="1"/>
      <c r="AJ1836" s="1"/>
      <c r="AQ1836" s="1"/>
      <c r="AX1836" s="1"/>
    </row>
    <row r="1837" spans="1:50" x14ac:dyDescent="0.25">
      <c r="A1837" s="1"/>
      <c r="H1837" s="1"/>
      <c r="O1837" s="1"/>
      <c r="V1837" s="1"/>
      <c r="AC1837" s="1"/>
      <c r="AJ1837" s="1"/>
      <c r="AQ1837" s="1"/>
      <c r="AX1837" s="1"/>
    </row>
    <row r="1838" spans="1:50" x14ac:dyDescent="0.25">
      <c r="A1838" s="1"/>
      <c r="H1838" s="1"/>
      <c r="O1838" s="1"/>
      <c r="V1838" s="1"/>
      <c r="AC1838" s="1"/>
      <c r="AJ1838" s="1"/>
      <c r="AQ1838" s="1"/>
      <c r="AX1838" s="1"/>
    </row>
    <row r="1839" spans="1:50" x14ac:dyDescent="0.25">
      <c r="A1839" s="1"/>
      <c r="H1839" s="1"/>
      <c r="O1839" s="1"/>
      <c r="V1839" s="1"/>
      <c r="AC1839" s="1"/>
      <c r="AJ1839" s="1"/>
      <c r="AQ1839" s="1"/>
      <c r="AX1839" s="1"/>
    </row>
    <row r="1840" spans="1:50" x14ac:dyDescent="0.25">
      <c r="A1840" s="1"/>
      <c r="H1840" s="1"/>
      <c r="O1840" s="1"/>
      <c r="V1840" s="1"/>
      <c r="AC1840" s="1"/>
      <c r="AJ1840" s="1"/>
      <c r="AQ1840" s="1"/>
      <c r="AX1840" s="1"/>
    </row>
    <row r="1841" spans="1:50" x14ac:dyDescent="0.25">
      <c r="A1841" s="1"/>
      <c r="H1841" s="1"/>
      <c r="O1841" s="1"/>
      <c r="V1841" s="1"/>
      <c r="AC1841" s="1"/>
      <c r="AJ1841" s="1"/>
      <c r="AQ1841" s="1"/>
      <c r="AX1841" s="1"/>
    </row>
    <row r="1842" spans="1:50" x14ac:dyDescent="0.25">
      <c r="A1842" s="1"/>
      <c r="H1842" s="1"/>
      <c r="O1842" s="1"/>
      <c r="V1842" s="1"/>
      <c r="AC1842" s="1"/>
      <c r="AJ1842" s="1"/>
      <c r="AQ1842" s="1"/>
      <c r="AX1842" s="1"/>
    </row>
    <row r="1843" spans="1:50" x14ac:dyDescent="0.25">
      <c r="A1843" s="1"/>
      <c r="H1843" s="1"/>
      <c r="O1843" s="1"/>
      <c r="V1843" s="1"/>
      <c r="AC1843" s="1"/>
      <c r="AJ1843" s="1"/>
      <c r="AQ1843" s="1"/>
      <c r="AX1843" s="1"/>
    </row>
    <row r="1844" spans="1:50" x14ac:dyDescent="0.25">
      <c r="A1844" s="1"/>
      <c r="H1844" s="1"/>
      <c r="O1844" s="1"/>
      <c r="V1844" s="1"/>
      <c r="AC1844" s="1"/>
      <c r="AJ1844" s="1"/>
      <c r="AQ1844" s="1"/>
      <c r="AX1844" s="1"/>
    </row>
    <row r="1845" spans="1:50" x14ac:dyDescent="0.25">
      <c r="A1845" s="1"/>
      <c r="H1845" s="1"/>
      <c r="O1845" s="1"/>
      <c r="V1845" s="1"/>
      <c r="AC1845" s="1"/>
      <c r="AJ1845" s="1"/>
      <c r="AQ1845" s="1"/>
      <c r="AX1845" s="1"/>
    </row>
    <row r="1846" spans="1:50" x14ac:dyDescent="0.25">
      <c r="A1846" s="1"/>
      <c r="H1846" s="1"/>
      <c r="O1846" s="1"/>
      <c r="V1846" s="1"/>
      <c r="AC1846" s="1"/>
      <c r="AJ1846" s="1"/>
      <c r="AQ1846" s="1"/>
      <c r="AX1846" s="1"/>
    </row>
    <row r="1847" spans="1:50" x14ac:dyDescent="0.25">
      <c r="A1847" s="1"/>
      <c r="H1847" s="1"/>
      <c r="O1847" s="1"/>
      <c r="V1847" s="1"/>
      <c r="AC1847" s="1"/>
      <c r="AJ1847" s="1"/>
      <c r="AQ1847" s="1"/>
      <c r="AX1847" s="1"/>
    </row>
    <row r="1848" spans="1:50" x14ac:dyDescent="0.25">
      <c r="A1848" s="1"/>
      <c r="H1848" s="1"/>
      <c r="O1848" s="1"/>
      <c r="V1848" s="1"/>
      <c r="AC1848" s="1"/>
      <c r="AJ1848" s="1"/>
      <c r="AQ1848" s="1"/>
      <c r="AX1848" s="1"/>
    </row>
    <row r="1849" spans="1:50" x14ac:dyDescent="0.25">
      <c r="A1849" s="1"/>
      <c r="H1849" s="1"/>
      <c r="O1849" s="1"/>
      <c r="V1849" s="1"/>
      <c r="AC1849" s="1"/>
      <c r="AJ1849" s="1"/>
      <c r="AQ1849" s="1"/>
      <c r="AX1849" s="1"/>
    </row>
    <row r="1850" spans="1:50" x14ac:dyDescent="0.25">
      <c r="A1850" s="1"/>
      <c r="H1850" s="1"/>
      <c r="O1850" s="1"/>
      <c r="V1850" s="1"/>
      <c r="AC1850" s="1"/>
      <c r="AJ1850" s="1"/>
      <c r="AQ1850" s="1"/>
      <c r="AX1850" s="1"/>
    </row>
    <row r="1851" spans="1:50" x14ac:dyDescent="0.25">
      <c r="A1851" s="1"/>
      <c r="H1851" s="1"/>
      <c r="O1851" s="1"/>
      <c r="V1851" s="1"/>
      <c r="AC1851" s="1"/>
      <c r="AJ1851" s="1"/>
      <c r="AQ1851" s="1"/>
      <c r="AX1851" s="1"/>
    </row>
    <row r="1852" spans="1:50" x14ac:dyDescent="0.25">
      <c r="A1852" s="1"/>
      <c r="H1852" s="1"/>
      <c r="O1852" s="1"/>
      <c r="V1852" s="1"/>
      <c r="AC1852" s="1"/>
      <c r="AJ1852" s="1"/>
      <c r="AQ1852" s="1"/>
      <c r="AX1852" s="1"/>
    </row>
    <row r="1853" spans="1:50" x14ac:dyDescent="0.25">
      <c r="A1853" s="1"/>
      <c r="H1853" s="1"/>
      <c r="O1853" s="1"/>
      <c r="V1853" s="1"/>
      <c r="AC1853" s="1"/>
      <c r="AJ1853" s="1"/>
      <c r="AQ1853" s="1"/>
      <c r="AX1853" s="1"/>
    </row>
    <row r="1854" spans="1:50" x14ac:dyDescent="0.25">
      <c r="A1854" s="1"/>
      <c r="H1854" s="1"/>
      <c r="O1854" s="1"/>
      <c r="V1854" s="1"/>
      <c r="AC1854" s="1"/>
      <c r="AJ1854" s="1"/>
      <c r="AQ1854" s="1"/>
      <c r="AX1854" s="1"/>
    </row>
    <row r="1855" spans="1:50" x14ac:dyDescent="0.25">
      <c r="A1855" s="1"/>
      <c r="H1855" s="1"/>
      <c r="O1855" s="1"/>
      <c r="V1855" s="1"/>
      <c r="AC1855" s="1"/>
      <c r="AJ1855" s="1"/>
      <c r="AQ1855" s="1"/>
      <c r="AX1855" s="1"/>
    </row>
    <row r="1856" spans="1:50" x14ac:dyDescent="0.25">
      <c r="A1856" s="1"/>
      <c r="H1856" s="1"/>
      <c r="O1856" s="1"/>
      <c r="V1856" s="1"/>
      <c r="AC1856" s="1"/>
      <c r="AJ1856" s="1"/>
      <c r="AQ1856" s="1"/>
      <c r="AX1856" s="1"/>
    </row>
    <row r="1857" spans="1:50" x14ac:dyDescent="0.25">
      <c r="A1857" s="1"/>
      <c r="H1857" s="1"/>
      <c r="O1857" s="1"/>
      <c r="V1857" s="1"/>
      <c r="AC1857" s="1"/>
      <c r="AJ1857" s="1"/>
      <c r="AQ1857" s="1"/>
      <c r="AX1857" s="1"/>
    </row>
    <row r="1858" spans="1:50" x14ac:dyDescent="0.25">
      <c r="A1858" s="1"/>
      <c r="H1858" s="1"/>
      <c r="O1858" s="1"/>
      <c r="V1858" s="1"/>
      <c r="AC1858" s="1"/>
      <c r="AJ1858" s="1"/>
      <c r="AQ1858" s="1"/>
      <c r="AX1858" s="1"/>
    </row>
    <row r="1859" spans="1:50" x14ac:dyDescent="0.25">
      <c r="A1859" s="1"/>
      <c r="H1859" s="1"/>
      <c r="O1859" s="1"/>
      <c r="V1859" s="1"/>
      <c r="AC1859" s="1"/>
      <c r="AJ1859" s="1"/>
      <c r="AQ1859" s="1"/>
      <c r="AX1859" s="1"/>
    </row>
    <row r="1860" spans="1:50" x14ac:dyDescent="0.25">
      <c r="A1860" s="1"/>
      <c r="H1860" s="1"/>
      <c r="O1860" s="1"/>
      <c r="V1860" s="1"/>
      <c r="AC1860" s="1"/>
      <c r="AJ1860" s="1"/>
      <c r="AQ1860" s="1"/>
      <c r="AX1860" s="1"/>
    </row>
    <row r="1861" spans="1:50" x14ac:dyDescent="0.25">
      <c r="A1861" s="1"/>
      <c r="H1861" s="1"/>
      <c r="O1861" s="1"/>
      <c r="V1861" s="1"/>
      <c r="AC1861" s="1"/>
      <c r="AJ1861" s="1"/>
      <c r="AQ1861" s="1"/>
      <c r="AX1861" s="1"/>
    </row>
    <row r="1862" spans="1:50" x14ac:dyDescent="0.25">
      <c r="A1862" s="1"/>
      <c r="H1862" s="1"/>
      <c r="O1862" s="1"/>
      <c r="V1862" s="1"/>
      <c r="AC1862" s="1"/>
      <c r="AJ1862" s="1"/>
      <c r="AQ1862" s="1"/>
      <c r="AX1862" s="1"/>
    </row>
    <row r="1863" spans="1:50" x14ac:dyDescent="0.25">
      <c r="A1863" s="1"/>
      <c r="H1863" s="1"/>
      <c r="O1863" s="1"/>
      <c r="V1863" s="1"/>
      <c r="AC1863" s="1"/>
      <c r="AJ1863" s="1"/>
      <c r="AQ1863" s="1"/>
      <c r="AX1863" s="1"/>
    </row>
    <row r="1864" spans="1:50" x14ac:dyDescent="0.25">
      <c r="A1864" s="1"/>
      <c r="H1864" s="1"/>
      <c r="O1864" s="1"/>
      <c r="V1864" s="1"/>
      <c r="AC1864" s="1"/>
      <c r="AJ1864" s="1"/>
      <c r="AQ1864" s="1"/>
      <c r="AX1864" s="1"/>
    </row>
    <row r="1865" spans="1:50" x14ac:dyDescent="0.25">
      <c r="A1865" s="1"/>
      <c r="H1865" s="1"/>
      <c r="O1865" s="1"/>
      <c r="V1865" s="1"/>
      <c r="AC1865" s="1"/>
      <c r="AJ1865" s="1"/>
      <c r="AQ1865" s="1"/>
      <c r="AX1865" s="1"/>
    </row>
    <row r="1866" spans="1:50" x14ac:dyDescent="0.25">
      <c r="A1866" s="1"/>
      <c r="H1866" s="1"/>
      <c r="O1866" s="1"/>
      <c r="V1866" s="1"/>
      <c r="AC1866" s="1"/>
      <c r="AJ1866" s="1"/>
      <c r="AQ1866" s="1"/>
      <c r="AX1866" s="1"/>
    </row>
    <row r="1867" spans="1:50" x14ac:dyDescent="0.25">
      <c r="A1867" s="1"/>
      <c r="H1867" s="1"/>
      <c r="O1867" s="1"/>
      <c r="V1867" s="1"/>
      <c r="AC1867" s="1"/>
      <c r="AJ1867" s="1"/>
      <c r="AQ1867" s="1"/>
      <c r="AX1867" s="1"/>
    </row>
    <row r="1868" spans="1:50" x14ac:dyDescent="0.25">
      <c r="A1868" s="1"/>
      <c r="H1868" s="1"/>
      <c r="O1868" s="1"/>
      <c r="V1868" s="1"/>
      <c r="AC1868" s="1"/>
      <c r="AJ1868" s="1"/>
      <c r="AQ1868" s="1"/>
      <c r="AX1868" s="1"/>
    </row>
    <row r="1869" spans="1:50" x14ac:dyDescent="0.25">
      <c r="A1869" s="1"/>
      <c r="H1869" s="1"/>
      <c r="O1869" s="1"/>
      <c r="V1869" s="1"/>
      <c r="AC1869" s="1"/>
      <c r="AJ1869" s="1"/>
      <c r="AQ1869" s="1"/>
      <c r="AX1869" s="1"/>
    </row>
    <row r="1870" spans="1:50" x14ac:dyDescent="0.25">
      <c r="A1870" s="1"/>
      <c r="H1870" s="1"/>
      <c r="O1870" s="1"/>
      <c r="V1870" s="1"/>
      <c r="AC1870" s="1"/>
      <c r="AJ1870" s="1"/>
      <c r="AQ1870" s="1"/>
      <c r="AX1870" s="1"/>
    </row>
    <row r="1871" spans="1:50" x14ac:dyDescent="0.25">
      <c r="A1871" s="1"/>
      <c r="H1871" s="1"/>
      <c r="O1871" s="1"/>
      <c r="V1871" s="1"/>
      <c r="AC1871" s="1"/>
      <c r="AJ1871" s="1"/>
      <c r="AQ1871" s="1"/>
      <c r="AX1871" s="1"/>
    </row>
    <row r="1872" spans="1:50" x14ac:dyDescent="0.25">
      <c r="A1872" s="1"/>
      <c r="H1872" s="1"/>
      <c r="O1872" s="1"/>
      <c r="V1872" s="1"/>
      <c r="AC1872" s="1"/>
      <c r="AJ1872" s="1"/>
      <c r="AQ1872" s="1"/>
      <c r="AX1872" s="1"/>
    </row>
    <row r="1873" spans="1:50" x14ac:dyDescent="0.25">
      <c r="A1873" s="1"/>
      <c r="H1873" s="1"/>
      <c r="O1873" s="1"/>
      <c r="V1873" s="1"/>
      <c r="AC1873" s="1"/>
      <c r="AJ1873" s="1"/>
      <c r="AQ1873" s="1"/>
      <c r="AX1873" s="1"/>
    </row>
    <row r="1874" spans="1:50" x14ac:dyDescent="0.25">
      <c r="A1874" s="1"/>
      <c r="H1874" s="1"/>
      <c r="O1874" s="1"/>
      <c r="V1874" s="1"/>
      <c r="AC1874" s="1"/>
      <c r="AJ1874" s="1"/>
      <c r="AQ1874" s="1"/>
      <c r="AX1874" s="1"/>
    </row>
    <row r="1875" spans="1:50" x14ac:dyDescent="0.25">
      <c r="A1875" s="1"/>
      <c r="H1875" s="1"/>
      <c r="O1875" s="1"/>
      <c r="V1875" s="1"/>
      <c r="AC1875" s="1"/>
      <c r="AJ1875" s="1"/>
      <c r="AQ1875" s="1"/>
      <c r="AX1875" s="1"/>
    </row>
    <row r="1876" spans="1:50" x14ac:dyDescent="0.25">
      <c r="A1876" s="1"/>
      <c r="H1876" s="1"/>
      <c r="O1876" s="1"/>
      <c r="V1876" s="1"/>
      <c r="AC1876" s="1"/>
      <c r="AJ1876" s="1"/>
      <c r="AQ1876" s="1"/>
      <c r="AX1876" s="1"/>
    </row>
    <row r="1877" spans="1:50" x14ac:dyDescent="0.25">
      <c r="A1877" s="1"/>
      <c r="H1877" s="1"/>
      <c r="O1877" s="1"/>
      <c r="V1877" s="1"/>
      <c r="AC1877" s="1"/>
      <c r="AJ1877" s="1"/>
      <c r="AQ1877" s="1"/>
      <c r="AX1877" s="1"/>
    </row>
    <row r="1878" spans="1:50" x14ac:dyDescent="0.25">
      <c r="A1878" s="1"/>
      <c r="H1878" s="1"/>
      <c r="O1878" s="1"/>
      <c r="V1878" s="1"/>
      <c r="AC1878" s="1"/>
      <c r="AJ1878" s="1"/>
      <c r="AQ1878" s="1"/>
      <c r="AX1878" s="1"/>
    </row>
    <row r="1879" spans="1:50" x14ac:dyDescent="0.25">
      <c r="A1879" s="1"/>
      <c r="H1879" s="1"/>
      <c r="O1879" s="1"/>
      <c r="V1879" s="1"/>
      <c r="AC1879" s="1"/>
      <c r="AJ1879" s="1"/>
      <c r="AQ1879" s="1"/>
      <c r="AX1879" s="1"/>
    </row>
    <row r="1880" spans="1:50" x14ac:dyDescent="0.25">
      <c r="A1880" s="1"/>
      <c r="H1880" s="1"/>
      <c r="O1880" s="1"/>
      <c r="V1880" s="1"/>
      <c r="AC1880" s="1"/>
      <c r="AJ1880" s="1"/>
      <c r="AQ1880" s="1"/>
      <c r="AX1880" s="1"/>
    </row>
    <row r="1881" spans="1:50" x14ac:dyDescent="0.25">
      <c r="A1881" s="1"/>
      <c r="H1881" s="1"/>
      <c r="O1881" s="1"/>
      <c r="V1881" s="1"/>
      <c r="AC1881" s="1"/>
      <c r="AJ1881" s="1"/>
      <c r="AQ1881" s="1"/>
      <c r="AX1881" s="1"/>
    </row>
    <row r="1882" spans="1:50" x14ac:dyDescent="0.25">
      <c r="A1882" s="1"/>
      <c r="H1882" s="1"/>
      <c r="O1882" s="1"/>
      <c r="V1882" s="1"/>
      <c r="AC1882" s="1"/>
      <c r="AJ1882" s="1"/>
      <c r="AQ1882" s="1"/>
      <c r="AX1882" s="1"/>
    </row>
    <row r="1883" spans="1:50" x14ac:dyDescent="0.25">
      <c r="A1883" s="1"/>
      <c r="H1883" s="1"/>
      <c r="O1883" s="1"/>
      <c r="V1883" s="1"/>
      <c r="AC1883" s="1"/>
      <c r="AJ1883" s="1"/>
      <c r="AQ1883" s="1"/>
      <c r="AX1883" s="1"/>
    </row>
    <row r="1884" spans="1:50" x14ac:dyDescent="0.25">
      <c r="A1884" s="1"/>
      <c r="H1884" s="1"/>
      <c r="O1884" s="1"/>
      <c r="V1884" s="1"/>
      <c r="AC1884" s="1"/>
      <c r="AJ1884" s="1"/>
      <c r="AQ1884" s="1"/>
      <c r="AX1884" s="1"/>
    </row>
    <row r="1885" spans="1:50" x14ac:dyDescent="0.25">
      <c r="A1885" s="1"/>
      <c r="H1885" s="1"/>
      <c r="O1885" s="1"/>
      <c r="V1885" s="1"/>
      <c r="AC1885" s="1"/>
      <c r="AJ1885" s="1"/>
      <c r="AQ1885" s="1"/>
      <c r="AX1885" s="1"/>
    </row>
    <row r="1886" spans="1:50" x14ac:dyDescent="0.25">
      <c r="A1886" s="1"/>
      <c r="H1886" s="1"/>
      <c r="O1886" s="1"/>
      <c r="V1886" s="1"/>
      <c r="AC1886" s="1"/>
      <c r="AJ1886" s="1"/>
      <c r="AQ1886" s="1"/>
      <c r="AX1886" s="1"/>
    </row>
    <row r="1887" spans="1:50" x14ac:dyDescent="0.25">
      <c r="A1887" s="1"/>
      <c r="H1887" s="1"/>
      <c r="O1887" s="1"/>
      <c r="V1887" s="1"/>
      <c r="AC1887" s="1"/>
      <c r="AJ1887" s="1"/>
      <c r="AQ1887" s="1"/>
      <c r="AX1887" s="1"/>
    </row>
    <row r="1888" spans="1:50" x14ac:dyDescent="0.25">
      <c r="A1888" s="1"/>
      <c r="H1888" s="1"/>
      <c r="O1888" s="1"/>
      <c r="V1888" s="1"/>
      <c r="AC1888" s="1"/>
      <c r="AJ1888" s="1"/>
      <c r="AQ1888" s="1"/>
      <c r="AX1888" s="1"/>
    </row>
    <row r="1889" spans="1:50" x14ac:dyDescent="0.25">
      <c r="A1889" s="1"/>
      <c r="H1889" s="1"/>
      <c r="O1889" s="1"/>
      <c r="V1889" s="1"/>
      <c r="AC1889" s="1"/>
      <c r="AJ1889" s="1"/>
      <c r="AQ1889" s="1"/>
      <c r="AX1889" s="1"/>
    </row>
    <row r="1890" spans="1:50" x14ac:dyDescent="0.25">
      <c r="A1890" s="1"/>
      <c r="H1890" s="1"/>
      <c r="O1890" s="1"/>
      <c r="V1890" s="1"/>
      <c r="AC1890" s="1"/>
      <c r="AJ1890" s="1"/>
      <c r="AQ1890" s="1"/>
      <c r="AX1890" s="1"/>
    </row>
    <row r="1891" spans="1:50" x14ac:dyDescent="0.25">
      <c r="A1891" s="1"/>
      <c r="H1891" s="1"/>
      <c r="O1891" s="1"/>
      <c r="V1891" s="1"/>
      <c r="AC1891" s="1"/>
      <c r="AJ1891" s="1"/>
      <c r="AQ1891" s="1"/>
      <c r="AX1891" s="1"/>
    </row>
    <row r="1892" spans="1:50" x14ac:dyDescent="0.25">
      <c r="A1892" s="1"/>
      <c r="H1892" s="1"/>
      <c r="O1892" s="1"/>
      <c r="V1892" s="1"/>
      <c r="AC1892" s="1"/>
      <c r="AJ1892" s="1"/>
      <c r="AQ1892" s="1"/>
      <c r="AX1892" s="1"/>
    </row>
    <row r="1893" spans="1:50" x14ac:dyDescent="0.25">
      <c r="A1893" s="1"/>
      <c r="H1893" s="1"/>
      <c r="O1893" s="1"/>
      <c r="V1893" s="1"/>
      <c r="AC1893" s="1"/>
      <c r="AJ1893" s="1"/>
      <c r="AQ1893" s="1"/>
      <c r="AX1893" s="1"/>
    </row>
    <row r="1894" spans="1:50" x14ac:dyDescent="0.25">
      <c r="A1894" s="1"/>
      <c r="H1894" s="1"/>
      <c r="O1894" s="1"/>
      <c r="V1894" s="1"/>
      <c r="AC1894" s="1"/>
      <c r="AJ1894" s="1"/>
      <c r="AQ1894" s="1"/>
      <c r="AX1894" s="1"/>
    </row>
    <row r="1895" spans="1:50" x14ac:dyDescent="0.25">
      <c r="A1895" s="1"/>
      <c r="H1895" s="1"/>
      <c r="O1895" s="1"/>
      <c r="V1895" s="1"/>
      <c r="AC1895" s="1"/>
      <c r="AJ1895" s="1"/>
      <c r="AQ1895" s="1"/>
      <c r="AX1895" s="1"/>
    </row>
    <row r="1896" spans="1:50" x14ac:dyDescent="0.25">
      <c r="A1896" s="1"/>
      <c r="H1896" s="1"/>
      <c r="O1896" s="1"/>
      <c r="V1896" s="1"/>
      <c r="AC1896" s="1"/>
      <c r="AJ1896" s="1"/>
      <c r="AQ1896" s="1"/>
      <c r="AX1896" s="1"/>
    </row>
    <row r="1897" spans="1:50" x14ac:dyDescent="0.25">
      <c r="A1897" s="1"/>
      <c r="H1897" s="1"/>
      <c r="O1897" s="1"/>
      <c r="V1897" s="1"/>
      <c r="AC1897" s="1"/>
      <c r="AJ1897" s="1"/>
      <c r="AQ1897" s="1"/>
      <c r="AX1897" s="1"/>
    </row>
    <row r="1898" spans="1:50" x14ac:dyDescent="0.25">
      <c r="A1898" s="1"/>
      <c r="H1898" s="1"/>
      <c r="O1898" s="1"/>
      <c r="V1898" s="1"/>
      <c r="AC1898" s="1"/>
      <c r="AJ1898" s="1"/>
      <c r="AQ1898" s="1"/>
      <c r="AX1898" s="1"/>
    </row>
    <row r="1899" spans="1:50" x14ac:dyDescent="0.25">
      <c r="A1899" s="1"/>
      <c r="H1899" s="1"/>
      <c r="O1899" s="1"/>
      <c r="V1899" s="1"/>
      <c r="AC1899" s="1"/>
      <c r="AJ1899" s="1"/>
      <c r="AQ1899" s="1"/>
      <c r="AX1899" s="1"/>
    </row>
    <row r="1900" spans="1:50" x14ac:dyDescent="0.25">
      <c r="A1900" s="1"/>
      <c r="H1900" s="1"/>
      <c r="O1900" s="1"/>
      <c r="V1900" s="1"/>
      <c r="AC1900" s="1"/>
      <c r="AJ1900" s="1"/>
      <c r="AQ1900" s="1"/>
      <c r="AX1900" s="1"/>
    </row>
    <row r="1901" spans="1:50" x14ac:dyDescent="0.25">
      <c r="A1901" s="1"/>
      <c r="H1901" s="1"/>
      <c r="O1901" s="1"/>
      <c r="V1901" s="1"/>
      <c r="AC1901" s="1"/>
      <c r="AJ1901" s="1"/>
      <c r="AQ1901" s="1"/>
      <c r="AX1901" s="1"/>
    </row>
    <row r="1902" spans="1:50" x14ac:dyDescent="0.25">
      <c r="A1902" s="1"/>
      <c r="H1902" s="1"/>
      <c r="O1902" s="1"/>
      <c r="V1902" s="1"/>
      <c r="AC1902" s="1"/>
      <c r="AJ1902" s="1"/>
      <c r="AQ1902" s="1"/>
      <c r="AX1902" s="1"/>
    </row>
    <row r="1903" spans="1:50" x14ac:dyDescent="0.25">
      <c r="A1903" s="1"/>
      <c r="H1903" s="1"/>
      <c r="O1903" s="1"/>
      <c r="V1903" s="1"/>
      <c r="AC1903" s="1"/>
      <c r="AJ1903" s="1"/>
      <c r="AQ1903" s="1"/>
      <c r="AX1903" s="1"/>
    </row>
    <row r="1904" spans="1:50" x14ac:dyDescent="0.25">
      <c r="A1904" s="1"/>
      <c r="H1904" s="1"/>
      <c r="O1904" s="1"/>
      <c r="V1904" s="1"/>
      <c r="AC1904" s="1"/>
      <c r="AJ1904" s="1"/>
      <c r="AQ1904" s="1"/>
      <c r="AX1904" s="1"/>
    </row>
    <row r="1905" spans="1:50" x14ac:dyDescent="0.25">
      <c r="A1905" s="1"/>
      <c r="H1905" s="1"/>
      <c r="O1905" s="1"/>
      <c r="V1905" s="1"/>
      <c r="AC1905" s="1"/>
      <c r="AJ1905" s="1"/>
      <c r="AQ1905" s="1"/>
      <c r="AX1905" s="1"/>
    </row>
    <row r="1906" spans="1:50" x14ac:dyDescent="0.25">
      <c r="A1906" s="1"/>
      <c r="H1906" s="1"/>
      <c r="O1906" s="1"/>
      <c r="V1906" s="1"/>
      <c r="AC1906" s="1"/>
      <c r="AJ1906" s="1"/>
      <c r="AQ1906" s="1"/>
      <c r="AX1906" s="1"/>
    </row>
    <row r="1907" spans="1:50" x14ac:dyDescent="0.25">
      <c r="A1907" s="1"/>
      <c r="H1907" s="1"/>
      <c r="O1907" s="1"/>
      <c r="V1907" s="1"/>
      <c r="AC1907" s="1"/>
      <c r="AJ1907" s="1"/>
      <c r="AQ1907" s="1"/>
      <c r="AX1907" s="1"/>
    </row>
    <row r="1908" spans="1:50" x14ac:dyDescent="0.25">
      <c r="A1908" s="1"/>
      <c r="H1908" s="1"/>
      <c r="O1908" s="1"/>
      <c r="V1908" s="1"/>
      <c r="AC1908" s="1"/>
      <c r="AJ1908" s="1"/>
      <c r="AQ1908" s="1"/>
      <c r="AX1908" s="1"/>
    </row>
    <row r="1909" spans="1:50" x14ac:dyDescent="0.25">
      <c r="A1909" s="1"/>
      <c r="H1909" s="1"/>
      <c r="O1909" s="1"/>
      <c r="V1909" s="1"/>
      <c r="AC1909" s="1"/>
      <c r="AJ1909" s="1"/>
      <c r="AQ1909" s="1"/>
      <c r="AX1909" s="1"/>
    </row>
    <row r="1910" spans="1:50" x14ac:dyDescent="0.25">
      <c r="A1910" s="1"/>
      <c r="H1910" s="1"/>
      <c r="O1910" s="1"/>
      <c r="V1910" s="1"/>
      <c r="AC1910" s="1"/>
      <c r="AJ1910" s="1"/>
      <c r="AQ1910" s="1"/>
      <c r="AX1910" s="1"/>
    </row>
    <row r="1911" spans="1:50" x14ac:dyDescent="0.25">
      <c r="A1911" s="1"/>
      <c r="H1911" s="1"/>
      <c r="O1911" s="1"/>
      <c r="V1911" s="1"/>
      <c r="AC1911" s="1"/>
      <c r="AJ1911" s="1"/>
      <c r="AQ1911" s="1"/>
      <c r="AX1911" s="1"/>
    </row>
    <row r="1912" spans="1:50" x14ac:dyDescent="0.25">
      <c r="A1912" s="1"/>
      <c r="H1912" s="1"/>
      <c r="O1912" s="1"/>
      <c r="V1912" s="1"/>
      <c r="AC1912" s="1"/>
      <c r="AJ1912" s="1"/>
      <c r="AQ1912" s="1"/>
      <c r="AX1912" s="1"/>
    </row>
    <row r="1913" spans="1:50" x14ac:dyDescent="0.25">
      <c r="A1913" s="1"/>
      <c r="H1913" s="1"/>
      <c r="O1913" s="1"/>
      <c r="V1913" s="1"/>
      <c r="AC1913" s="1"/>
      <c r="AJ1913" s="1"/>
      <c r="AQ1913" s="1"/>
      <c r="AX1913" s="1"/>
    </row>
    <row r="1914" spans="1:50" x14ac:dyDescent="0.25">
      <c r="A1914" s="1"/>
      <c r="H1914" s="1"/>
      <c r="O1914" s="1"/>
      <c r="V1914" s="1"/>
      <c r="AC1914" s="1"/>
      <c r="AJ1914" s="1"/>
      <c r="AQ1914" s="1"/>
      <c r="AX1914" s="1"/>
    </row>
    <row r="1915" spans="1:50" x14ac:dyDescent="0.25">
      <c r="A1915" s="1"/>
      <c r="H1915" s="1"/>
      <c r="O1915" s="1"/>
      <c r="V1915" s="1"/>
      <c r="AC1915" s="1"/>
      <c r="AJ1915" s="1"/>
      <c r="AQ1915" s="1"/>
      <c r="AX1915" s="1"/>
    </row>
    <row r="1916" spans="1:50" x14ac:dyDescent="0.25">
      <c r="A1916" s="1"/>
      <c r="H1916" s="1"/>
      <c r="O1916" s="1"/>
      <c r="V1916" s="1"/>
      <c r="AC1916" s="1"/>
      <c r="AJ1916" s="1"/>
      <c r="AQ1916" s="1"/>
      <c r="AX1916" s="1"/>
    </row>
    <row r="1917" spans="1:50" x14ac:dyDescent="0.25">
      <c r="A1917" s="1"/>
      <c r="H1917" s="1"/>
      <c r="O1917" s="1"/>
      <c r="V1917" s="1"/>
      <c r="AC1917" s="1"/>
      <c r="AJ1917" s="1"/>
      <c r="AQ1917" s="1"/>
      <c r="AX1917" s="1"/>
    </row>
    <row r="1918" spans="1:50" x14ac:dyDescent="0.25">
      <c r="A1918" s="1"/>
      <c r="H1918" s="1"/>
      <c r="O1918" s="1"/>
      <c r="V1918" s="1"/>
      <c r="AC1918" s="1"/>
      <c r="AJ1918" s="1"/>
      <c r="AQ1918" s="1"/>
      <c r="AX1918" s="1"/>
    </row>
    <row r="1919" spans="1:50" x14ac:dyDescent="0.25">
      <c r="A1919" s="1"/>
      <c r="H1919" s="1"/>
      <c r="O1919" s="1"/>
      <c r="V1919" s="1"/>
      <c r="AC1919" s="1"/>
      <c r="AJ1919" s="1"/>
      <c r="AQ1919" s="1"/>
      <c r="AX1919" s="1"/>
    </row>
    <row r="1920" spans="1:50" x14ac:dyDescent="0.25">
      <c r="A1920" s="1"/>
      <c r="H1920" s="1"/>
      <c r="O1920" s="1"/>
      <c r="V1920" s="1"/>
      <c r="AC1920" s="1"/>
      <c r="AJ1920" s="1"/>
      <c r="AQ1920" s="1"/>
      <c r="AX1920" s="1"/>
    </row>
    <row r="1921" spans="1:50" x14ac:dyDescent="0.25">
      <c r="A1921" s="1"/>
      <c r="H1921" s="1"/>
      <c r="O1921" s="1"/>
      <c r="V1921" s="1"/>
      <c r="AC1921" s="1"/>
      <c r="AJ1921" s="1"/>
      <c r="AQ1921" s="1"/>
      <c r="AX1921" s="1"/>
    </row>
    <row r="1922" spans="1:50" x14ac:dyDescent="0.25">
      <c r="A1922" s="1"/>
      <c r="H1922" s="1"/>
      <c r="O1922" s="1"/>
      <c r="V1922" s="1"/>
      <c r="AC1922" s="1"/>
      <c r="AJ1922" s="1"/>
      <c r="AQ1922" s="1"/>
      <c r="AX1922" s="1"/>
    </row>
    <row r="1923" spans="1:50" x14ac:dyDescent="0.25">
      <c r="A1923" s="1"/>
      <c r="H1923" s="1"/>
      <c r="O1923" s="1"/>
      <c r="V1923" s="1"/>
      <c r="AC1923" s="1"/>
      <c r="AJ1923" s="1"/>
      <c r="AQ1923" s="1"/>
      <c r="AX1923" s="1"/>
    </row>
    <row r="1924" spans="1:50" x14ac:dyDescent="0.25">
      <c r="A1924" s="1"/>
      <c r="H1924" s="1"/>
      <c r="O1924" s="1"/>
      <c r="V1924" s="1"/>
      <c r="AC1924" s="1"/>
      <c r="AJ1924" s="1"/>
      <c r="AQ1924" s="1"/>
      <c r="AX1924" s="1"/>
    </row>
    <row r="1925" spans="1:50" x14ac:dyDescent="0.25">
      <c r="A1925" s="1"/>
      <c r="H1925" s="1"/>
      <c r="O1925" s="1"/>
      <c r="V1925" s="1"/>
      <c r="AC1925" s="1"/>
      <c r="AJ1925" s="1"/>
      <c r="AQ1925" s="1"/>
      <c r="AX1925" s="1"/>
    </row>
    <row r="1926" spans="1:50" x14ac:dyDescent="0.25">
      <c r="A1926" s="1"/>
      <c r="H1926" s="1"/>
      <c r="O1926" s="1"/>
      <c r="V1926" s="1"/>
      <c r="AC1926" s="1"/>
      <c r="AJ1926" s="1"/>
      <c r="AQ1926" s="1"/>
      <c r="AX1926" s="1"/>
    </row>
    <row r="1927" spans="1:50" x14ac:dyDescent="0.25">
      <c r="A1927" s="1"/>
      <c r="H1927" s="1"/>
      <c r="O1927" s="1"/>
      <c r="V1927" s="1"/>
      <c r="AC1927" s="1"/>
      <c r="AJ1927" s="1"/>
      <c r="AQ1927" s="1"/>
      <c r="AX1927" s="1"/>
    </row>
    <row r="1928" spans="1:50" x14ac:dyDescent="0.25">
      <c r="A1928" s="1"/>
      <c r="H1928" s="1"/>
      <c r="O1928" s="1"/>
      <c r="V1928" s="1"/>
      <c r="AC1928" s="1"/>
      <c r="AJ1928" s="1"/>
      <c r="AQ1928" s="1"/>
      <c r="AX1928" s="1"/>
    </row>
    <row r="1929" spans="1:50" x14ac:dyDescent="0.25">
      <c r="A1929" s="1"/>
      <c r="H1929" s="1"/>
      <c r="O1929" s="1"/>
      <c r="V1929" s="1"/>
      <c r="AC1929" s="1"/>
      <c r="AJ1929" s="1"/>
      <c r="AQ1929" s="1"/>
      <c r="AX1929" s="1"/>
    </row>
    <row r="1930" spans="1:50" x14ac:dyDescent="0.25">
      <c r="A1930" s="1"/>
      <c r="H1930" s="1"/>
      <c r="O1930" s="1"/>
      <c r="V1930" s="1"/>
      <c r="AC1930" s="1"/>
      <c r="AJ1930" s="1"/>
      <c r="AQ1930" s="1"/>
      <c r="AX1930" s="1"/>
    </row>
    <row r="1931" spans="1:50" x14ac:dyDescent="0.25">
      <c r="A1931" s="1"/>
      <c r="H1931" s="1"/>
      <c r="O1931" s="1"/>
      <c r="V1931" s="1"/>
      <c r="AC1931" s="1"/>
      <c r="AJ1931" s="1"/>
      <c r="AQ1931" s="1"/>
      <c r="AX1931" s="1"/>
    </row>
    <row r="1932" spans="1:50" x14ac:dyDescent="0.25">
      <c r="A1932" s="1"/>
      <c r="H1932" s="1"/>
      <c r="O1932" s="1"/>
      <c r="V1932" s="1"/>
      <c r="AC1932" s="1"/>
      <c r="AJ1932" s="1"/>
      <c r="AQ1932" s="1"/>
      <c r="AX1932" s="1"/>
    </row>
    <row r="1933" spans="1:50" x14ac:dyDescent="0.25">
      <c r="A1933" s="1"/>
      <c r="H1933" s="1"/>
      <c r="O1933" s="1"/>
      <c r="V1933" s="1"/>
      <c r="AC1933" s="1"/>
      <c r="AJ1933" s="1"/>
      <c r="AQ1933" s="1"/>
      <c r="AX1933" s="1"/>
    </row>
    <row r="1934" spans="1:50" x14ac:dyDescent="0.25">
      <c r="A1934" s="1"/>
      <c r="H1934" s="1"/>
      <c r="O1934" s="1"/>
      <c r="V1934" s="1"/>
      <c r="AC1934" s="1"/>
      <c r="AJ1934" s="1"/>
      <c r="AQ1934" s="1"/>
      <c r="AX1934" s="1"/>
    </row>
    <row r="1935" spans="1:50" x14ac:dyDescent="0.25">
      <c r="A1935" s="1"/>
      <c r="H1935" s="1"/>
      <c r="O1935" s="1"/>
      <c r="V1935" s="1"/>
      <c r="AC1935" s="1"/>
      <c r="AJ1935" s="1"/>
      <c r="AQ1935" s="1"/>
      <c r="AX1935" s="1"/>
    </row>
    <row r="1936" spans="1:50" x14ac:dyDescent="0.25">
      <c r="A1936" s="1"/>
      <c r="H1936" s="1"/>
      <c r="O1936" s="1"/>
      <c r="V1936" s="1"/>
      <c r="AC1936" s="1"/>
      <c r="AJ1936" s="1"/>
      <c r="AQ1936" s="1"/>
      <c r="AX1936" s="1"/>
    </row>
    <row r="1937" spans="1:50" x14ac:dyDescent="0.25">
      <c r="A1937" s="1"/>
      <c r="H1937" s="1"/>
      <c r="O1937" s="1"/>
      <c r="V1937" s="1"/>
      <c r="AC1937" s="1"/>
      <c r="AJ1937" s="1"/>
      <c r="AQ1937" s="1"/>
      <c r="AX1937" s="1"/>
    </row>
    <row r="1938" spans="1:50" x14ac:dyDescent="0.25">
      <c r="A1938" s="1"/>
      <c r="H1938" s="1"/>
      <c r="O1938" s="1"/>
      <c r="V1938" s="1"/>
      <c r="AC1938" s="1"/>
      <c r="AJ1938" s="1"/>
      <c r="AQ1938" s="1"/>
      <c r="AX1938" s="1"/>
    </row>
    <row r="1939" spans="1:50" x14ac:dyDescent="0.25">
      <c r="A1939" s="1"/>
      <c r="H1939" s="1"/>
      <c r="O1939" s="1"/>
      <c r="V1939" s="1"/>
      <c r="AC1939" s="1"/>
      <c r="AJ1939" s="1"/>
      <c r="AQ1939" s="1"/>
      <c r="AX1939" s="1"/>
    </row>
    <row r="1940" spans="1:50" x14ac:dyDescent="0.25">
      <c r="A1940" s="1"/>
      <c r="H1940" s="1"/>
      <c r="O1940" s="1"/>
      <c r="V1940" s="1"/>
      <c r="AC1940" s="1"/>
      <c r="AJ1940" s="1"/>
      <c r="AQ1940" s="1"/>
      <c r="AX1940" s="1"/>
    </row>
    <row r="1941" spans="1:50" x14ac:dyDescent="0.25">
      <c r="A1941" s="1"/>
      <c r="H1941" s="1"/>
      <c r="O1941" s="1"/>
      <c r="V1941" s="1"/>
      <c r="AC1941" s="1"/>
      <c r="AJ1941" s="1"/>
      <c r="AQ1941" s="1"/>
      <c r="AX1941" s="1"/>
    </row>
    <row r="1942" spans="1:50" x14ac:dyDescent="0.25">
      <c r="A1942" s="1"/>
      <c r="H1942" s="1"/>
      <c r="O1942" s="1"/>
      <c r="V1942" s="1"/>
      <c r="AC1942" s="1"/>
      <c r="AJ1942" s="1"/>
      <c r="AQ1942" s="1"/>
      <c r="AX1942" s="1"/>
    </row>
    <row r="1943" spans="1:50" x14ac:dyDescent="0.25">
      <c r="A1943" s="1"/>
      <c r="H1943" s="1"/>
      <c r="O1943" s="1"/>
      <c r="V1943" s="1"/>
      <c r="AC1943" s="1"/>
      <c r="AJ1943" s="1"/>
      <c r="AQ1943" s="1"/>
      <c r="AX1943" s="1"/>
    </row>
    <row r="1944" spans="1:50" x14ac:dyDescent="0.25">
      <c r="A1944" s="1"/>
      <c r="H1944" s="1"/>
      <c r="O1944" s="1"/>
      <c r="V1944" s="1"/>
      <c r="AC1944" s="1"/>
      <c r="AJ1944" s="1"/>
      <c r="AQ1944" s="1"/>
      <c r="AX1944" s="1"/>
    </row>
    <row r="1945" spans="1:50" x14ac:dyDescent="0.25">
      <c r="A1945" s="1"/>
      <c r="H1945" s="1"/>
      <c r="O1945" s="1"/>
      <c r="V1945" s="1"/>
      <c r="AC1945" s="1"/>
      <c r="AJ1945" s="1"/>
      <c r="AQ1945" s="1"/>
      <c r="AX1945" s="1"/>
    </row>
    <row r="1946" spans="1:50" x14ac:dyDescent="0.25">
      <c r="A1946" s="1"/>
      <c r="H1946" s="1"/>
      <c r="O1946" s="1"/>
      <c r="V1946" s="1"/>
      <c r="AC1946" s="1"/>
      <c r="AJ1946" s="1"/>
      <c r="AQ1946" s="1"/>
      <c r="AX1946" s="1"/>
    </row>
    <row r="1947" spans="1:50" x14ac:dyDescent="0.25">
      <c r="A1947" s="1"/>
      <c r="H1947" s="1"/>
      <c r="O1947" s="1"/>
      <c r="V1947" s="1"/>
      <c r="AC1947" s="1"/>
      <c r="AJ1947" s="1"/>
      <c r="AQ1947" s="1"/>
      <c r="AX1947" s="1"/>
    </row>
    <row r="1948" spans="1:50" x14ac:dyDescent="0.25">
      <c r="A1948" s="1"/>
      <c r="H1948" s="1"/>
      <c r="O1948" s="1"/>
      <c r="V1948" s="1"/>
      <c r="AC1948" s="1"/>
      <c r="AJ1948" s="1"/>
      <c r="AQ1948" s="1"/>
      <c r="AX1948" s="1"/>
    </row>
    <row r="1949" spans="1:50" x14ac:dyDescent="0.25">
      <c r="A1949" s="1"/>
      <c r="H1949" s="1"/>
      <c r="O1949" s="1"/>
      <c r="V1949" s="1"/>
      <c r="AC1949" s="1"/>
      <c r="AJ1949" s="1"/>
      <c r="AQ1949" s="1"/>
      <c r="AX1949" s="1"/>
    </row>
    <row r="1950" spans="1:50" x14ac:dyDescent="0.25">
      <c r="A1950" s="1"/>
      <c r="H1950" s="1"/>
      <c r="O1950" s="1"/>
      <c r="V1950" s="1"/>
      <c r="AC1950" s="1"/>
      <c r="AJ1950" s="1"/>
      <c r="AQ1950" s="1"/>
      <c r="AX1950" s="1"/>
    </row>
    <row r="1951" spans="1:50" x14ac:dyDescent="0.25">
      <c r="A1951" s="1"/>
      <c r="H1951" s="1"/>
      <c r="O1951" s="1"/>
      <c r="V1951" s="1"/>
      <c r="AC1951" s="1"/>
      <c r="AJ1951" s="1"/>
      <c r="AQ1951" s="1"/>
      <c r="AX1951" s="1"/>
    </row>
    <row r="1952" spans="1:50" x14ac:dyDescent="0.25">
      <c r="A1952" s="1"/>
      <c r="H1952" s="1"/>
      <c r="O1952" s="1"/>
      <c r="V1952" s="1"/>
      <c r="AC1952" s="1"/>
      <c r="AJ1952" s="1"/>
      <c r="AQ1952" s="1"/>
      <c r="AX1952" s="1"/>
    </row>
    <row r="1953" spans="1:50" x14ac:dyDescent="0.25">
      <c r="A1953" s="1"/>
      <c r="H1953" s="1"/>
      <c r="O1953" s="1"/>
      <c r="V1953" s="1"/>
      <c r="AC1953" s="1"/>
      <c r="AJ1953" s="1"/>
      <c r="AQ1953" s="1"/>
      <c r="AX1953" s="1"/>
    </row>
    <row r="1954" spans="1:50" x14ac:dyDescent="0.25">
      <c r="A1954" s="1"/>
      <c r="H1954" s="1"/>
      <c r="O1954" s="1"/>
      <c r="V1954" s="1"/>
      <c r="AC1954" s="1"/>
      <c r="AJ1954" s="1"/>
      <c r="AQ1954" s="1"/>
      <c r="AX1954" s="1"/>
    </row>
    <row r="1955" spans="1:50" x14ac:dyDescent="0.25">
      <c r="A1955" s="1"/>
      <c r="H1955" s="1"/>
      <c r="O1955" s="1"/>
      <c r="V1955" s="1"/>
      <c r="AC1955" s="1"/>
      <c r="AJ1955" s="1"/>
      <c r="AQ1955" s="1"/>
      <c r="AX1955" s="1"/>
    </row>
    <row r="1956" spans="1:50" x14ac:dyDescent="0.25">
      <c r="A1956" s="1"/>
      <c r="H1956" s="1"/>
      <c r="O1956" s="1"/>
      <c r="V1956" s="1"/>
      <c r="AC1956" s="1"/>
      <c r="AJ1956" s="1"/>
      <c r="AQ1956" s="1"/>
      <c r="AX1956" s="1"/>
    </row>
    <row r="1957" spans="1:50" x14ac:dyDescent="0.25">
      <c r="A1957" s="1"/>
      <c r="H1957" s="1"/>
      <c r="O1957" s="1"/>
      <c r="V1957" s="1"/>
      <c r="AC1957" s="1"/>
      <c r="AJ1957" s="1"/>
      <c r="AQ1957" s="1"/>
      <c r="AX1957" s="1"/>
    </row>
    <row r="1958" spans="1:50" x14ac:dyDescent="0.25">
      <c r="A1958" s="1"/>
      <c r="H1958" s="1"/>
      <c r="O1958" s="1"/>
      <c r="V1958" s="1"/>
      <c r="AC1958" s="1"/>
      <c r="AJ1958" s="1"/>
      <c r="AQ1958" s="1"/>
      <c r="AX1958" s="1"/>
    </row>
    <row r="1959" spans="1:50" x14ac:dyDescent="0.25">
      <c r="A1959" s="1"/>
      <c r="H1959" s="1"/>
      <c r="O1959" s="1"/>
      <c r="V1959" s="1"/>
      <c r="AC1959" s="1"/>
      <c r="AJ1959" s="1"/>
      <c r="AQ1959" s="1"/>
      <c r="AX1959" s="1"/>
    </row>
    <row r="1960" spans="1:50" x14ac:dyDescent="0.25">
      <c r="A1960" s="1"/>
      <c r="H1960" s="1"/>
      <c r="O1960" s="1"/>
      <c r="V1960" s="1"/>
      <c r="AC1960" s="1"/>
      <c r="AJ1960" s="1"/>
      <c r="AQ1960" s="1"/>
      <c r="AX1960" s="1"/>
    </row>
    <row r="1961" spans="1:50" x14ac:dyDescent="0.25">
      <c r="A1961" s="1"/>
      <c r="H1961" s="1"/>
      <c r="O1961" s="1"/>
      <c r="V1961" s="1"/>
      <c r="AC1961" s="1"/>
      <c r="AJ1961" s="1"/>
      <c r="AQ1961" s="1"/>
      <c r="AX1961" s="1"/>
    </row>
    <row r="1962" spans="1:50" x14ac:dyDescent="0.25">
      <c r="A1962" s="1"/>
      <c r="H1962" s="1"/>
      <c r="O1962" s="1"/>
      <c r="V1962" s="1"/>
      <c r="AC1962" s="1"/>
      <c r="AJ1962" s="1"/>
      <c r="AQ1962" s="1"/>
      <c r="AX1962" s="1"/>
    </row>
    <row r="1963" spans="1:50" x14ac:dyDescent="0.25">
      <c r="A1963" s="1"/>
      <c r="H1963" s="1"/>
      <c r="O1963" s="1"/>
      <c r="V1963" s="1"/>
      <c r="AC1963" s="1"/>
      <c r="AJ1963" s="1"/>
      <c r="AQ1963" s="1"/>
      <c r="AX1963" s="1"/>
    </row>
    <row r="1964" spans="1:50" x14ac:dyDescent="0.25">
      <c r="A1964" s="1"/>
      <c r="H1964" s="1"/>
      <c r="O1964" s="1"/>
      <c r="V1964" s="1"/>
      <c r="AC1964" s="1"/>
      <c r="AJ1964" s="1"/>
      <c r="AQ1964" s="1"/>
      <c r="AX1964" s="1"/>
    </row>
    <row r="1965" spans="1:50" x14ac:dyDescent="0.25">
      <c r="A1965" s="1"/>
      <c r="H1965" s="1"/>
      <c r="O1965" s="1"/>
      <c r="V1965" s="1"/>
      <c r="AC1965" s="1"/>
      <c r="AJ1965" s="1"/>
      <c r="AQ1965" s="1"/>
      <c r="AX1965" s="1"/>
    </row>
    <row r="1966" spans="1:50" x14ac:dyDescent="0.25">
      <c r="A1966" s="1"/>
      <c r="H1966" s="1"/>
      <c r="O1966" s="1"/>
      <c r="V1966" s="1"/>
      <c r="AC1966" s="1"/>
      <c r="AJ1966" s="1"/>
      <c r="AQ1966" s="1"/>
      <c r="AX1966" s="1"/>
    </row>
    <row r="1967" spans="1:50" x14ac:dyDescent="0.25">
      <c r="A1967" s="1"/>
      <c r="H1967" s="1"/>
      <c r="O1967" s="1"/>
      <c r="V1967" s="1"/>
      <c r="AC1967" s="1"/>
      <c r="AJ1967" s="1"/>
      <c r="AQ1967" s="1"/>
      <c r="AX1967" s="1"/>
    </row>
    <row r="1968" spans="1:50" x14ac:dyDescent="0.25">
      <c r="A1968" s="1"/>
      <c r="H1968" s="1"/>
      <c r="O1968" s="1"/>
      <c r="V1968" s="1"/>
      <c r="AC1968" s="1"/>
      <c r="AJ1968" s="1"/>
      <c r="AQ1968" s="1"/>
      <c r="AX1968" s="1"/>
    </row>
    <row r="1969" spans="1:50" x14ac:dyDescent="0.25">
      <c r="A1969" s="1"/>
      <c r="H1969" s="1"/>
      <c r="O1969" s="1"/>
      <c r="V1969" s="1"/>
      <c r="AC1969" s="1"/>
      <c r="AJ1969" s="1"/>
      <c r="AQ1969" s="1"/>
      <c r="AX1969" s="1"/>
    </row>
    <row r="1970" spans="1:50" x14ac:dyDescent="0.25">
      <c r="A1970" s="1"/>
      <c r="H1970" s="1"/>
      <c r="O1970" s="1"/>
      <c r="V1970" s="1"/>
      <c r="AC1970" s="1"/>
      <c r="AJ1970" s="1"/>
      <c r="AQ1970" s="1"/>
      <c r="AX1970" s="1"/>
    </row>
    <row r="1971" spans="1:50" x14ac:dyDescent="0.25">
      <c r="A1971" s="1"/>
      <c r="H1971" s="1"/>
      <c r="O1971" s="1"/>
      <c r="V1971" s="1"/>
      <c r="AC1971" s="1"/>
      <c r="AJ1971" s="1"/>
      <c r="AQ1971" s="1"/>
      <c r="AX1971" s="1"/>
    </row>
    <row r="1972" spans="1:50" x14ac:dyDescent="0.25">
      <c r="A1972" s="1"/>
      <c r="H1972" s="1"/>
      <c r="O1972" s="1"/>
      <c r="V1972" s="1"/>
      <c r="AC1972" s="1"/>
      <c r="AJ1972" s="1"/>
      <c r="AQ1972" s="1"/>
      <c r="AX1972" s="1"/>
    </row>
    <row r="1973" spans="1:50" x14ac:dyDescent="0.25">
      <c r="A1973" s="1"/>
      <c r="H1973" s="1"/>
      <c r="O1973" s="1"/>
      <c r="V1973" s="1"/>
      <c r="AC1973" s="1"/>
      <c r="AJ1973" s="1"/>
      <c r="AQ1973" s="1"/>
      <c r="AX1973" s="1"/>
    </row>
    <row r="1974" spans="1:50" x14ac:dyDescent="0.25">
      <c r="A1974" s="1"/>
      <c r="H1974" s="1"/>
      <c r="O1974" s="1"/>
      <c r="V1974" s="1"/>
      <c r="AC1974" s="1"/>
      <c r="AJ1974" s="1"/>
      <c r="AQ1974" s="1"/>
      <c r="AX1974" s="1"/>
    </row>
    <row r="1975" spans="1:50" x14ac:dyDescent="0.25">
      <c r="A1975" s="1"/>
      <c r="H1975" s="1"/>
      <c r="O1975" s="1"/>
      <c r="V1975" s="1"/>
      <c r="AC1975" s="1"/>
      <c r="AJ1975" s="1"/>
      <c r="AQ1975" s="1"/>
      <c r="AX1975" s="1"/>
    </row>
    <row r="1976" spans="1:50" x14ac:dyDescent="0.25">
      <c r="A1976" s="1"/>
      <c r="H1976" s="1"/>
      <c r="O1976" s="1"/>
      <c r="V1976" s="1"/>
      <c r="AC1976" s="1"/>
      <c r="AJ1976" s="1"/>
      <c r="AQ1976" s="1"/>
      <c r="AX1976" s="1"/>
    </row>
    <row r="1977" spans="1:50" x14ac:dyDescent="0.25">
      <c r="A1977" s="1"/>
      <c r="H1977" s="1"/>
      <c r="O1977" s="1"/>
      <c r="V1977" s="1"/>
      <c r="AC1977" s="1"/>
      <c r="AJ1977" s="1"/>
      <c r="AQ1977" s="1"/>
      <c r="AX1977" s="1"/>
    </row>
    <row r="1978" spans="1:50" x14ac:dyDescent="0.25">
      <c r="A1978" s="1"/>
      <c r="H1978" s="1"/>
      <c r="O1978" s="1"/>
      <c r="V1978" s="1"/>
      <c r="AC1978" s="1"/>
      <c r="AJ1978" s="1"/>
      <c r="AQ1978" s="1"/>
      <c r="AX1978" s="1"/>
    </row>
    <row r="1979" spans="1:50" x14ac:dyDescent="0.25">
      <c r="A1979" s="1"/>
      <c r="H1979" s="1"/>
      <c r="O1979" s="1"/>
      <c r="V1979" s="1"/>
      <c r="AC1979" s="1"/>
      <c r="AJ1979" s="1"/>
      <c r="AQ1979" s="1"/>
      <c r="AX1979" s="1"/>
    </row>
    <row r="1980" spans="1:50" x14ac:dyDescent="0.25">
      <c r="A1980" s="1"/>
      <c r="H1980" s="1"/>
      <c r="O1980" s="1"/>
      <c r="V1980" s="1"/>
      <c r="AC1980" s="1"/>
      <c r="AJ1980" s="1"/>
      <c r="AQ1980" s="1"/>
      <c r="AX1980" s="1"/>
    </row>
    <row r="1981" spans="1:50" x14ac:dyDescent="0.25">
      <c r="A1981" s="1"/>
      <c r="H1981" s="1"/>
      <c r="O1981" s="1"/>
      <c r="V1981" s="1"/>
      <c r="AC1981" s="1"/>
      <c r="AJ1981" s="1"/>
      <c r="AQ1981" s="1"/>
      <c r="AX1981" s="1"/>
    </row>
    <row r="1982" spans="1:50" x14ac:dyDescent="0.25">
      <c r="A1982" s="1"/>
      <c r="H1982" s="1"/>
      <c r="O1982" s="1"/>
      <c r="V1982" s="1"/>
      <c r="AC1982" s="1"/>
      <c r="AJ1982" s="1"/>
      <c r="AQ1982" s="1"/>
      <c r="AX1982" s="1"/>
    </row>
    <row r="1983" spans="1:50" x14ac:dyDescent="0.25">
      <c r="A1983" s="1"/>
      <c r="H1983" s="1"/>
      <c r="O1983" s="1"/>
      <c r="V1983" s="1"/>
      <c r="AC1983" s="1"/>
      <c r="AJ1983" s="1"/>
      <c r="AQ1983" s="1"/>
      <c r="AX1983" s="1"/>
    </row>
    <row r="1984" spans="1:50" x14ac:dyDescent="0.25">
      <c r="A1984" s="1"/>
      <c r="H1984" s="1"/>
      <c r="O1984" s="1"/>
      <c r="V1984" s="1"/>
      <c r="AC1984" s="1"/>
      <c r="AJ1984" s="1"/>
      <c r="AQ1984" s="1"/>
      <c r="AX1984" s="1"/>
    </row>
    <row r="1985" spans="1:50" x14ac:dyDescent="0.25">
      <c r="A1985" s="1"/>
      <c r="H1985" s="1"/>
      <c r="O1985" s="1"/>
      <c r="V1985" s="1"/>
      <c r="AC1985" s="1"/>
      <c r="AJ1985" s="1"/>
      <c r="AQ1985" s="1"/>
      <c r="AX1985" s="1"/>
    </row>
    <row r="1986" spans="1:50" x14ac:dyDescent="0.25">
      <c r="A1986" s="1"/>
      <c r="H1986" s="1"/>
      <c r="O1986" s="1"/>
      <c r="V1986" s="1"/>
      <c r="AC1986" s="1"/>
      <c r="AJ1986" s="1"/>
      <c r="AQ1986" s="1"/>
      <c r="AX1986" s="1"/>
    </row>
    <row r="1987" spans="1:50" x14ac:dyDescent="0.25">
      <c r="A1987" s="1"/>
      <c r="H1987" s="1"/>
      <c r="O1987" s="1"/>
      <c r="V1987" s="1"/>
      <c r="AC1987" s="1"/>
      <c r="AJ1987" s="1"/>
      <c r="AQ1987" s="1"/>
      <c r="AX1987" s="1"/>
    </row>
    <row r="1988" spans="1:50" x14ac:dyDescent="0.25">
      <c r="A1988" s="1"/>
      <c r="H1988" s="1"/>
      <c r="O1988" s="1"/>
      <c r="V1988" s="1"/>
      <c r="AC1988" s="1"/>
      <c r="AJ1988" s="1"/>
      <c r="AQ1988" s="1"/>
      <c r="AX1988" s="1"/>
    </row>
    <row r="1989" spans="1:50" x14ac:dyDescent="0.25">
      <c r="A1989" s="1"/>
      <c r="H1989" s="1"/>
      <c r="O1989" s="1"/>
      <c r="V1989" s="1"/>
      <c r="AC1989" s="1"/>
      <c r="AJ1989" s="1"/>
      <c r="AQ1989" s="1"/>
      <c r="AX1989" s="1"/>
    </row>
    <row r="1990" spans="1:50" x14ac:dyDescent="0.25">
      <c r="A1990" s="1"/>
      <c r="H1990" s="1"/>
      <c r="O1990" s="1"/>
      <c r="V1990" s="1"/>
      <c r="AC1990" s="1"/>
      <c r="AJ1990" s="1"/>
      <c r="AQ1990" s="1"/>
      <c r="AX1990" s="1"/>
    </row>
    <row r="1991" spans="1:50" x14ac:dyDescent="0.25">
      <c r="A1991" s="1"/>
      <c r="H1991" s="1"/>
      <c r="O1991" s="1"/>
      <c r="V1991" s="1"/>
      <c r="AC1991" s="1"/>
      <c r="AJ1991" s="1"/>
      <c r="AQ1991" s="1"/>
      <c r="AX1991" s="1"/>
    </row>
    <row r="1992" spans="1:50" x14ac:dyDescent="0.25">
      <c r="A1992" s="1"/>
      <c r="H1992" s="1"/>
      <c r="O1992" s="1"/>
      <c r="V1992" s="1"/>
      <c r="AC1992" s="1"/>
      <c r="AJ1992" s="1"/>
      <c r="AQ1992" s="1"/>
      <c r="AX1992" s="1"/>
    </row>
    <row r="1993" spans="1:50" x14ac:dyDescent="0.25">
      <c r="A1993" s="1"/>
      <c r="H1993" s="1"/>
      <c r="O1993" s="1"/>
      <c r="V1993" s="1"/>
      <c r="AC1993" s="1"/>
      <c r="AJ1993" s="1"/>
      <c r="AQ1993" s="1"/>
      <c r="AX1993" s="1"/>
    </row>
    <row r="1994" spans="1:50" x14ac:dyDescent="0.25">
      <c r="A1994" s="1"/>
      <c r="H1994" s="1"/>
      <c r="O1994" s="1"/>
      <c r="V1994" s="1"/>
      <c r="AC1994" s="1"/>
      <c r="AJ1994" s="1"/>
      <c r="AQ1994" s="1"/>
      <c r="AX1994" s="1"/>
    </row>
    <row r="1995" spans="1:50" x14ac:dyDescent="0.25">
      <c r="A1995" s="1"/>
      <c r="H1995" s="1"/>
      <c r="O1995" s="1"/>
      <c r="V1995" s="1"/>
      <c r="AC1995" s="1"/>
      <c r="AJ1995" s="1"/>
      <c r="AQ1995" s="1"/>
      <c r="AX1995" s="1"/>
    </row>
    <row r="1996" spans="1:50" x14ac:dyDescent="0.25">
      <c r="A1996" s="1"/>
      <c r="H1996" s="1"/>
      <c r="O1996" s="1"/>
      <c r="V1996" s="1"/>
      <c r="AC1996" s="1"/>
      <c r="AJ1996" s="1"/>
      <c r="AQ1996" s="1"/>
      <c r="AX1996" s="1"/>
    </row>
    <row r="1997" spans="1:50" x14ac:dyDescent="0.25">
      <c r="A1997" s="1"/>
      <c r="H1997" s="1"/>
      <c r="O1997" s="1"/>
      <c r="V1997" s="1"/>
      <c r="AC1997" s="1"/>
      <c r="AJ1997" s="1"/>
      <c r="AQ1997" s="1"/>
      <c r="AX1997" s="1"/>
    </row>
    <row r="1998" spans="1:50" x14ac:dyDescent="0.25">
      <c r="A1998" s="1"/>
      <c r="H1998" s="1"/>
      <c r="O1998" s="1"/>
      <c r="V1998" s="1"/>
      <c r="AC1998" s="1"/>
      <c r="AJ1998" s="1"/>
      <c r="AQ1998" s="1"/>
      <c r="AX1998" s="1"/>
    </row>
    <row r="1999" spans="1:50" x14ac:dyDescent="0.25">
      <c r="A1999" s="1"/>
      <c r="H1999" s="1"/>
      <c r="O1999" s="1"/>
      <c r="V1999" s="1"/>
      <c r="AC1999" s="1"/>
      <c r="AJ1999" s="1"/>
      <c r="AQ1999" s="1"/>
      <c r="AX1999" s="1"/>
    </row>
    <row r="2000" spans="1:50" x14ac:dyDescent="0.25">
      <c r="A2000" s="1"/>
      <c r="H2000" s="1"/>
      <c r="O2000" s="1"/>
      <c r="V2000" s="1"/>
      <c r="AC2000" s="1"/>
      <c r="AJ2000" s="1"/>
      <c r="AQ2000" s="1"/>
      <c r="AX2000" s="1"/>
    </row>
    <row r="2001" spans="1:50" x14ac:dyDescent="0.25">
      <c r="A2001" s="1"/>
      <c r="H2001" s="1"/>
      <c r="O2001" s="1"/>
      <c r="V2001" s="1"/>
      <c r="AC2001" s="1"/>
      <c r="AJ2001" s="1"/>
      <c r="AQ2001" s="1"/>
      <c r="AX2001" s="1"/>
    </row>
    <row r="2002" spans="1:50" x14ac:dyDescent="0.25">
      <c r="A2002" s="1"/>
      <c r="H2002" s="1"/>
      <c r="O2002" s="1"/>
      <c r="V2002" s="1"/>
      <c r="AC2002" s="1"/>
      <c r="AJ2002" s="1"/>
      <c r="AQ2002" s="1"/>
      <c r="AX2002" s="1"/>
    </row>
    <row r="2003" spans="1:50" x14ac:dyDescent="0.25">
      <c r="A2003" s="1"/>
      <c r="H2003" s="1"/>
      <c r="O2003" s="1"/>
      <c r="V2003" s="1"/>
      <c r="AC2003" s="1"/>
      <c r="AJ2003" s="1"/>
      <c r="AQ2003" s="1"/>
      <c r="AX2003" s="1"/>
    </row>
    <row r="2004" spans="1:50" x14ac:dyDescent="0.25">
      <c r="A2004" s="1"/>
      <c r="H2004" s="1"/>
      <c r="O2004" s="1"/>
      <c r="V2004" s="1"/>
      <c r="AC2004" s="1"/>
      <c r="AJ2004" s="1"/>
      <c r="AQ2004" s="1"/>
      <c r="AX2004" s="1"/>
    </row>
    <row r="2005" spans="1:50" x14ac:dyDescent="0.25">
      <c r="A2005" s="1"/>
      <c r="H2005" s="1"/>
      <c r="O2005" s="1"/>
      <c r="V2005" s="1"/>
      <c r="AC2005" s="1"/>
      <c r="AJ2005" s="1"/>
      <c r="AQ2005" s="1"/>
      <c r="AX2005" s="1"/>
    </row>
    <row r="2006" spans="1:50" x14ac:dyDescent="0.25">
      <c r="A2006" s="1"/>
      <c r="H2006" s="1"/>
      <c r="O2006" s="1"/>
      <c r="V2006" s="1"/>
      <c r="AC2006" s="1"/>
      <c r="AJ2006" s="1"/>
      <c r="AQ2006" s="1"/>
      <c r="AX2006" s="1"/>
    </row>
    <row r="2007" spans="1:50" x14ac:dyDescent="0.25">
      <c r="A2007" s="1"/>
      <c r="H2007" s="1"/>
      <c r="O2007" s="1"/>
      <c r="V2007" s="1"/>
      <c r="AC2007" s="1"/>
      <c r="AJ2007" s="1"/>
      <c r="AQ2007" s="1"/>
      <c r="AX2007" s="1"/>
    </row>
    <row r="2008" spans="1:50" x14ac:dyDescent="0.25">
      <c r="A2008" s="1"/>
      <c r="H2008" s="1"/>
      <c r="O2008" s="1"/>
      <c r="V2008" s="1"/>
      <c r="AC2008" s="1"/>
      <c r="AJ2008" s="1"/>
      <c r="AQ2008" s="1"/>
      <c r="AX2008" s="1"/>
    </row>
    <row r="2009" spans="1:50" x14ac:dyDescent="0.25">
      <c r="A2009" s="1"/>
      <c r="H2009" s="1"/>
      <c r="O2009" s="1"/>
      <c r="V2009" s="1"/>
      <c r="AC2009" s="1"/>
      <c r="AJ2009" s="1"/>
      <c r="AQ2009" s="1"/>
      <c r="AX2009" s="1"/>
    </row>
    <row r="2010" spans="1:50" x14ac:dyDescent="0.25">
      <c r="A2010" s="1"/>
      <c r="H2010" s="1"/>
      <c r="O2010" s="1"/>
      <c r="V2010" s="1"/>
      <c r="AC2010" s="1"/>
      <c r="AJ2010" s="1"/>
      <c r="AQ2010" s="1"/>
      <c r="AX2010" s="1"/>
    </row>
    <row r="2011" spans="1:50" x14ac:dyDescent="0.25">
      <c r="A2011" s="1"/>
      <c r="H2011" s="1"/>
      <c r="O2011" s="1"/>
      <c r="V2011" s="1"/>
      <c r="AC2011" s="1"/>
      <c r="AJ2011" s="1"/>
      <c r="AQ2011" s="1"/>
      <c r="AX2011" s="1"/>
    </row>
    <row r="2012" spans="1:50" x14ac:dyDescent="0.25">
      <c r="A2012" s="1"/>
      <c r="H2012" s="1"/>
      <c r="O2012" s="1"/>
      <c r="V2012" s="1"/>
      <c r="AC2012" s="1"/>
      <c r="AJ2012" s="1"/>
      <c r="AQ2012" s="1"/>
      <c r="AX2012" s="1"/>
    </row>
    <row r="2013" spans="1:50" x14ac:dyDescent="0.25">
      <c r="A2013" s="1"/>
      <c r="H2013" s="1"/>
      <c r="O2013" s="1"/>
      <c r="V2013" s="1"/>
      <c r="AC2013" s="1"/>
      <c r="AJ2013" s="1"/>
      <c r="AQ2013" s="1"/>
      <c r="AX2013" s="1"/>
    </row>
    <row r="2014" spans="1:50" x14ac:dyDescent="0.25">
      <c r="A2014" s="1"/>
      <c r="H2014" s="1"/>
      <c r="O2014" s="1"/>
      <c r="V2014" s="1"/>
      <c r="AC2014" s="1"/>
      <c r="AJ2014" s="1"/>
      <c r="AQ2014" s="1"/>
      <c r="AX2014" s="1"/>
    </row>
    <row r="2015" spans="1:50" x14ac:dyDescent="0.25">
      <c r="A2015" s="1"/>
      <c r="H2015" s="1"/>
      <c r="O2015" s="1"/>
      <c r="V2015" s="1"/>
      <c r="AC2015" s="1"/>
      <c r="AJ2015" s="1"/>
      <c r="AQ2015" s="1"/>
      <c r="AX2015" s="1"/>
    </row>
    <row r="2016" spans="1:50" x14ac:dyDescent="0.25">
      <c r="A2016" s="1"/>
      <c r="H2016" s="1"/>
      <c r="O2016" s="1"/>
      <c r="V2016" s="1"/>
      <c r="AC2016" s="1"/>
      <c r="AJ2016" s="1"/>
      <c r="AQ2016" s="1"/>
      <c r="AX2016" s="1"/>
    </row>
    <row r="2017" spans="1:50" x14ac:dyDescent="0.25">
      <c r="A2017" s="1"/>
      <c r="H2017" s="1"/>
      <c r="O2017" s="1"/>
      <c r="V2017" s="1"/>
      <c r="AC2017" s="1"/>
      <c r="AJ2017" s="1"/>
      <c r="AQ2017" s="1"/>
      <c r="AX2017" s="1"/>
    </row>
    <row r="2018" spans="1:50" x14ac:dyDescent="0.25">
      <c r="A2018" s="1"/>
      <c r="H2018" s="1"/>
      <c r="O2018" s="1"/>
      <c r="V2018" s="1"/>
      <c r="AC2018" s="1"/>
      <c r="AJ2018" s="1"/>
      <c r="AQ2018" s="1"/>
      <c r="AX2018" s="1"/>
    </row>
    <row r="2019" spans="1:50" x14ac:dyDescent="0.25">
      <c r="A2019" s="1"/>
      <c r="H2019" s="1"/>
      <c r="O2019" s="1"/>
      <c r="V2019" s="1"/>
      <c r="AC2019" s="1"/>
      <c r="AJ2019" s="1"/>
      <c r="AQ2019" s="1"/>
      <c r="AX2019" s="1"/>
    </row>
    <row r="2020" spans="1:50" x14ac:dyDescent="0.25">
      <c r="A2020" s="1"/>
      <c r="H2020" s="1"/>
      <c r="O2020" s="1"/>
      <c r="V2020" s="1"/>
      <c r="AC2020" s="1"/>
      <c r="AJ2020" s="1"/>
      <c r="AQ2020" s="1"/>
      <c r="AX2020" s="1"/>
    </row>
    <row r="2021" spans="1:50" x14ac:dyDescent="0.25">
      <c r="A2021" s="1"/>
      <c r="H2021" s="1"/>
      <c r="O2021" s="1"/>
      <c r="V2021" s="1"/>
      <c r="AC2021" s="1"/>
      <c r="AJ2021" s="1"/>
      <c r="AQ2021" s="1"/>
      <c r="AX2021" s="1"/>
    </row>
    <row r="2022" spans="1:50" x14ac:dyDescent="0.25">
      <c r="A2022" s="1"/>
      <c r="H2022" s="1"/>
      <c r="O2022" s="1"/>
      <c r="V2022" s="1"/>
      <c r="AC2022" s="1"/>
      <c r="AJ2022" s="1"/>
      <c r="AQ2022" s="1"/>
      <c r="AX2022" s="1"/>
    </row>
    <row r="2023" spans="1:50" x14ac:dyDescent="0.25">
      <c r="A2023" s="1"/>
      <c r="H2023" s="1"/>
      <c r="O2023" s="1"/>
      <c r="V2023" s="1"/>
      <c r="AC2023" s="1"/>
      <c r="AJ2023" s="1"/>
      <c r="AQ2023" s="1"/>
      <c r="AX2023" s="1"/>
    </row>
    <row r="2024" spans="1:50" x14ac:dyDescent="0.25">
      <c r="A2024" s="1"/>
      <c r="H2024" s="1"/>
      <c r="O2024" s="1"/>
      <c r="V2024" s="1"/>
      <c r="AC2024" s="1"/>
      <c r="AJ2024" s="1"/>
      <c r="AQ2024" s="1"/>
      <c r="AX2024" s="1"/>
    </row>
    <row r="2025" spans="1:50" x14ac:dyDescent="0.25">
      <c r="A2025" s="1"/>
      <c r="H2025" s="1"/>
      <c r="O2025" s="1"/>
      <c r="V2025" s="1"/>
      <c r="AC2025" s="1"/>
      <c r="AJ2025" s="1"/>
      <c r="AQ2025" s="1"/>
      <c r="AX2025" s="1"/>
    </row>
    <row r="2026" spans="1:50" x14ac:dyDescent="0.25">
      <c r="A2026" s="1"/>
      <c r="H2026" s="1"/>
      <c r="O2026" s="1"/>
      <c r="V2026" s="1"/>
      <c r="AC2026" s="1"/>
      <c r="AJ2026" s="1"/>
      <c r="AQ2026" s="1"/>
      <c r="AX2026" s="1"/>
    </row>
    <row r="2027" spans="1:50" x14ac:dyDescent="0.25">
      <c r="A2027" s="1"/>
      <c r="H2027" s="1"/>
      <c r="O2027" s="1"/>
      <c r="V2027" s="1"/>
      <c r="AC2027" s="1"/>
      <c r="AJ2027" s="1"/>
      <c r="AQ2027" s="1"/>
      <c r="AX2027" s="1"/>
    </row>
    <row r="2028" spans="1:50" x14ac:dyDescent="0.25">
      <c r="A2028" s="1"/>
      <c r="H2028" s="1"/>
      <c r="O2028" s="1"/>
      <c r="V2028" s="1"/>
      <c r="AC2028" s="1"/>
      <c r="AJ2028" s="1"/>
      <c r="AQ2028" s="1"/>
      <c r="AX2028" s="1"/>
    </row>
    <row r="2029" spans="1:50" x14ac:dyDescent="0.25">
      <c r="A2029" s="1"/>
      <c r="H2029" s="1"/>
      <c r="O2029" s="1"/>
      <c r="V2029" s="1"/>
      <c r="AC2029" s="1"/>
      <c r="AJ2029" s="1"/>
      <c r="AQ2029" s="1"/>
      <c r="AX2029" s="1"/>
    </row>
    <row r="2030" spans="1:50" x14ac:dyDescent="0.25">
      <c r="A2030" s="1"/>
      <c r="H2030" s="1"/>
      <c r="O2030" s="1"/>
      <c r="V2030" s="1"/>
      <c r="AC2030" s="1"/>
      <c r="AJ2030" s="1"/>
      <c r="AQ2030" s="1"/>
      <c r="AX2030" s="1"/>
    </row>
    <row r="2031" spans="1:50" x14ac:dyDescent="0.25">
      <c r="A2031" s="1"/>
      <c r="H2031" s="1"/>
      <c r="O2031" s="1"/>
      <c r="V2031" s="1"/>
      <c r="AC2031" s="1"/>
      <c r="AJ2031" s="1"/>
      <c r="AQ2031" s="1"/>
      <c r="AX2031" s="1"/>
    </row>
    <row r="2032" spans="1:50" x14ac:dyDescent="0.25">
      <c r="A2032" s="1"/>
      <c r="H2032" s="1"/>
      <c r="O2032" s="1"/>
      <c r="V2032" s="1"/>
      <c r="AC2032" s="1"/>
      <c r="AJ2032" s="1"/>
      <c r="AQ2032" s="1"/>
      <c r="AX2032" s="1"/>
    </row>
    <row r="2033" spans="1:50" x14ac:dyDescent="0.25">
      <c r="A2033" s="1"/>
      <c r="H2033" s="1"/>
      <c r="O2033" s="1"/>
      <c r="V2033" s="1"/>
      <c r="AC2033" s="1"/>
      <c r="AJ2033" s="1"/>
      <c r="AQ2033" s="1"/>
      <c r="AX2033" s="1"/>
    </row>
    <row r="2034" spans="1:50" x14ac:dyDescent="0.25">
      <c r="A2034" s="1"/>
      <c r="H2034" s="1"/>
      <c r="O2034" s="1"/>
      <c r="V2034" s="1"/>
      <c r="AC2034" s="1"/>
      <c r="AJ2034" s="1"/>
      <c r="AQ2034" s="1"/>
      <c r="AX2034" s="1"/>
    </row>
    <row r="2035" spans="1:50" x14ac:dyDescent="0.25">
      <c r="A2035" s="1"/>
      <c r="H2035" s="1"/>
      <c r="O2035" s="1"/>
      <c r="V2035" s="1"/>
      <c r="AC2035" s="1"/>
      <c r="AJ2035" s="1"/>
      <c r="AQ2035" s="1"/>
      <c r="AX2035" s="1"/>
    </row>
    <row r="2036" spans="1:50" x14ac:dyDescent="0.25">
      <c r="A2036" s="1"/>
      <c r="H2036" s="1"/>
      <c r="O2036" s="1"/>
      <c r="V2036" s="1"/>
      <c r="AC2036" s="1"/>
      <c r="AJ2036" s="1"/>
      <c r="AQ2036" s="1"/>
      <c r="AX2036" s="1"/>
    </row>
    <row r="2037" spans="1:50" x14ac:dyDescent="0.25">
      <c r="A2037" s="1"/>
      <c r="H2037" s="1"/>
      <c r="O2037" s="1"/>
      <c r="V2037" s="1"/>
      <c r="AC2037" s="1"/>
      <c r="AJ2037" s="1"/>
      <c r="AQ2037" s="1"/>
      <c r="AX2037" s="1"/>
    </row>
    <row r="2038" spans="1:50" x14ac:dyDescent="0.25">
      <c r="A2038" s="1"/>
      <c r="H2038" s="1"/>
      <c r="O2038" s="1"/>
      <c r="V2038" s="1"/>
      <c r="AC2038" s="1"/>
      <c r="AJ2038" s="1"/>
      <c r="AQ2038" s="1"/>
      <c r="AX2038" s="1"/>
    </row>
    <row r="2039" spans="1:50" x14ac:dyDescent="0.25">
      <c r="A2039" s="1"/>
      <c r="H2039" s="1"/>
      <c r="O2039" s="1"/>
      <c r="V2039" s="1"/>
      <c r="AC2039" s="1"/>
      <c r="AJ2039" s="1"/>
      <c r="AQ2039" s="1"/>
      <c r="AX2039" s="1"/>
    </row>
    <row r="2040" spans="1:50" x14ac:dyDescent="0.25">
      <c r="A2040" s="1"/>
      <c r="H2040" s="1"/>
      <c r="O2040" s="1"/>
      <c r="V2040" s="1"/>
      <c r="AC2040" s="1"/>
      <c r="AJ2040" s="1"/>
      <c r="AQ2040" s="1"/>
      <c r="AX2040" s="1"/>
    </row>
    <row r="2041" spans="1:50" x14ac:dyDescent="0.25">
      <c r="A2041" s="1"/>
      <c r="H2041" s="1"/>
      <c r="O2041" s="1"/>
      <c r="V2041" s="1"/>
      <c r="AC2041" s="1"/>
      <c r="AJ2041" s="1"/>
      <c r="AQ2041" s="1"/>
      <c r="AX2041" s="1"/>
    </row>
    <row r="2042" spans="1:50" x14ac:dyDescent="0.25">
      <c r="A2042" s="1"/>
      <c r="H2042" s="1"/>
      <c r="O2042" s="1"/>
      <c r="V2042" s="1"/>
      <c r="AC2042" s="1"/>
      <c r="AJ2042" s="1"/>
      <c r="AQ2042" s="1"/>
      <c r="AX2042" s="1"/>
    </row>
    <row r="2043" spans="1:50" x14ac:dyDescent="0.25">
      <c r="A2043" s="1"/>
      <c r="H2043" s="1"/>
      <c r="O2043" s="1"/>
      <c r="V2043" s="1"/>
      <c r="AC2043" s="1"/>
      <c r="AJ2043" s="1"/>
      <c r="AQ2043" s="1"/>
      <c r="AX2043" s="1"/>
    </row>
    <row r="2044" spans="1:50" x14ac:dyDescent="0.25">
      <c r="A2044" s="1"/>
      <c r="H2044" s="1"/>
      <c r="O2044" s="1"/>
      <c r="V2044" s="1"/>
      <c r="AC2044" s="1"/>
      <c r="AJ2044" s="1"/>
      <c r="AQ2044" s="1"/>
      <c r="AX2044" s="1"/>
    </row>
    <row r="2045" spans="1:50" x14ac:dyDescent="0.25">
      <c r="A2045" s="1"/>
      <c r="H2045" s="1"/>
      <c r="O2045" s="1"/>
      <c r="V2045" s="1"/>
      <c r="AC2045" s="1"/>
      <c r="AJ2045" s="1"/>
      <c r="AQ2045" s="1"/>
      <c r="AX2045" s="1"/>
    </row>
    <row r="2046" spans="1:50" x14ac:dyDescent="0.25">
      <c r="A2046" s="1"/>
      <c r="H2046" s="1"/>
      <c r="O2046" s="1"/>
      <c r="V2046" s="1"/>
      <c r="AC2046" s="1"/>
      <c r="AJ2046" s="1"/>
      <c r="AQ2046" s="1"/>
      <c r="AX2046" s="1"/>
    </row>
    <row r="2047" spans="1:50" x14ac:dyDescent="0.25">
      <c r="A2047" s="1"/>
      <c r="H2047" s="1"/>
      <c r="O2047" s="1"/>
      <c r="V2047" s="1"/>
      <c r="AC2047" s="1"/>
      <c r="AJ2047" s="1"/>
      <c r="AQ2047" s="1"/>
      <c r="AX2047" s="1"/>
    </row>
    <row r="2048" spans="1:50" x14ac:dyDescent="0.25">
      <c r="A2048" s="1"/>
      <c r="H2048" s="1"/>
      <c r="O2048" s="1"/>
      <c r="V2048" s="1"/>
      <c r="AC2048" s="1"/>
      <c r="AJ2048" s="1"/>
      <c r="AQ2048" s="1"/>
      <c r="AX2048" s="1"/>
    </row>
    <row r="2049" spans="1:50" x14ac:dyDescent="0.25">
      <c r="A2049" s="1"/>
      <c r="H2049" s="1"/>
      <c r="O2049" s="1"/>
      <c r="V2049" s="1"/>
      <c r="AC2049" s="1"/>
      <c r="AJ2049" s="1"/>
      <c r="AQ2049" s="1"/>
      <c r="AX2049" s="1"/>
    </row>
    <row r="2050" spans="1:50" x14ac:dyDescent="0.25">
      <c r="A2050" s="1"/>
      <c r="H2050" s="1"/>
      <c r="O2050" s="1"/>
      <c r="V2050" s="1"/>
      <c r="AC2050" s="1"/>
      <c r="AJ2050" s="1"/>
      <c r="AQ2050" s="1"/>
      <c r="AX2050" s="1"/>
    </row>
    <row r="2051" spans="1:50" x14ac:dyDescent="0.25">
      <c r="A2051" s="1"/>
      <c r="H2051" s="1"/>
      <c r="O2051" s="1"/>
      <c r="V2051" s="1"/>
      <c r="AC2051" s="1"/>
      <c r="AJ2051" s="1"/>
      <c r="AQ2051" s="1"/>
      <c r="AX2051" s="1"/>
    </row>
    <row r="2052" spans="1:50" x14ac:dyDescent="0.25">
      <c r="A2052" s="1"/>
      <c r="H2052" s="1"/>
      <c r="O2052" s="1"/>
      <c r="V2052" s="1"/>
      <c r="AC2052" s="1"/>
      <c r="AJ2052" s="1"/>
      <c r="AQ2052" s="1"/>
      <c r="AX2052" s="1"/>
    </row>
    <row r="2053" spans="1:50" x14ac:dyDescent="0.25">
      <c r="A2053" s="1"/>
      <c r="H2053" s="1"/>
      <c r="O2053" s="1"/>
      <c r="V2053" s="1"/>
      <c r="AC2053" s="1"/>
      <c r="AJ2053" s="1"/>
      <c r="AQ2053" s="1"/>
      <c r="AX2053" s="1"/>
    </row>
    <row r="2054" spans="1:50" x14ac:dyDescent="0.25">
      <c r="A2054" s="1"/>
      <c r="H2054" s="1"/>
      <c r="O2054" s="1"/>
      <c r="V2054" s="1"/>
      <c r="AC2054" s="1"/>
      <c r="AJ2054" s="1"/>
      <c r="AQ2054" s="1"/>
      <c r="AX2054" s="1"/>
    </row>
    <row r="2055" spans="1:50" x14ac:dyDescent="0.25">
      <c r="A2055" s="1"/>
      <c r="H2055" s="1"/>
      <c r="O2055" s="1"/>
      <c r="V2055" s="1"/>
      <c r="AC2055" s="1"/>
      <c r="AJ2055" s="1"/>
      <c r="AQ2055" s="1"/>
      <c r="AX2055" s="1"/>
    </row>
    <row r="2056" spans="1:50" x14ac:dyDescent="0.25">
      <c r="A2056" s="1"/>
      <c r="H2056" s="1"/>
      <c r="O2056" s="1"/>
      <c r="V2056" s="1"/>
      <c r="AC2056" s="1"/>
      <c r="AJ2056" s="1"/>
      <c r="AQ2056" s="1"/>
      <c r="AX2056" s="1"/>
    </row>
    <row r="2057" spans="1:50" x14ac:dyDescent="0.25">
      <c r="A2057" s="1"/>
      <c r="H2057" s="1"/>
      <c r="O2057" s="1"/>
      <c r="V2057" s="1"/>
      <c r="AC2057" s="1"/>
      <c r="AJ2057" s="1"/>
      <c r="AQ2057" s="1"/>
      <c r="AX2057" s="1"/>
    </row>
    <row r="2058" spans="1:50" x14ac:dyDescent="0.25">
      <c r="A2058" s="1"/>
      <c r="H2058" s="1"/>
      <c r="O2058" s="1"/>
      <c r="V2058" s="1"/>
      <c r="AC2058" s="1"/>
      <c r="AJ2058" s="1"/>
      <c r="AQ2058" s="1"/>
      <c r="AX2058" s="1"/>
    </row>
    <row r="2059" spans="1:50" x14ac:dyDescent="0.25">
      <c r="A2059" s="1"/>
      <c r="H2059" s="1"/>
      <c r="O2059" s="1"/>
      <c r="V2059" s="1"/>
      <c r="AC2059" s="1"/>
      <c r="AJ2059" s="1"/>
      <c r="AQ2059" s="1"/>
      <c r="AX2059" s="1"/>
    </row>
    <row r="2060" spans="1:50" x14ac:dyDescent="0.25">
      <c r="A2060" s="1"/>
      <c r="H2060" s="1"/>
      <c r="O2060" s="1"/>
      <c r="V2060" s="1"/>
      <c r="AC2060" s="1"/>
      <c r="AJ2060" s="1"/>
      <c r="AQ2060" s="1"/>
      <c r="AX2060" s="1"/>
    </row>
    <row r="2061" spans="1:50" x14ac:dyDescent="0.25">
      <c r="A2061" s="1"/>
      <c r="H2061" s="1"/>
      <c r="O2061" s="1"/>
      <c r="V2061" s="1"/>
      <c r="AC2061" s="1"/>
      <c r="AJ2061" s="1"/>
      <c r="AQ2061" s="1"/>
      <c r="AX2061" s="1"/>
    </row>
    <row r="2062" spans="1:50" x14ac:dyDescent="0.25">
      <c r="A2062" s="1"/>
      <c r="H2062" s="1"/>
      <c r="O2062" s="1"/>
      <c r="V2062" s="1"/>
      <c r="AC2062" s="1"/>
      <c r="AJ2062" s="1"/>
      <c r="AQ2062" s="1"/>
      <c r="AX2062" s="1"/>
    </row>
    <row r="2063" spans="1:50" x14ac:dyDescent="0.25">
      <c r="A2063" s="1"/>
      <c r="H2063" s="1"/>
      <c r="O2063" s="1"/>
      <c r="V2063" s="1"/>
      <c r="AC2063" s="1"/>
      <c r="AJ2063" s="1"/>
      <c r="AQ2063" s="1"/>
      <c r="AX2063" s="1"/>
    </row>
    <row r="2064" spans="1:50" x14ac:dyDescent="0.25">
      <c r="A2064" s="1"/>
      <c r="H2064" s="1"/>
      <c r="O2064" s="1"/>
      <c r="V2064" s="1"/>
      <c r="AC2064" s="1"/>
      <c r="AJ2064" s="1"/>
      <c r="AQ2064" s="1"/>
      <c r="AX2064" s="1"/>
    </row>
    <row r="2065" spans="1:50" x14ac:dyDescent="0.25">
      <c r="A2065" s="1"/>
      <c r="H2065" s="1"/>
      <c r="O2065" s="1"/>
      <c r="V2065" s="1"/>
      <c r="AC2065" s="1"/>
      <c r="AJ2065" s="1"/>
      <c r="AQ2065" s="1"/>
      <c r="AX2065" s="1"/>
    </row>
    <row r="2066" spans="1:50" x14ac:dyDescent="0.25">
      <c r="A2066" s="1"/>
      <c r="H2066" s="1"/>
      <c r="O2066" s="1"/>
      <c r="V2066" s="1"/>
      <c r="AC2066" s="1"/>
      <c r="AJ2066" s="1"/>
      <c r="AQ2066" s="1"/>
      <c r="AX2066" s="1"/>
    </row>
    <row r="2067" spans="1:50" x14ac:dyDescent="0.25">
      <c r="A2067" s="1"/>
      <c r="H2067" s="1"/>
      <c r="O2067" s="1"/>
      <c r="V2067" s="1"/>
      <c r="AC2067" s="1"/>
      <c r="AJ2067" s="1"/>
      <c r="AQ2067" s="1"/>
      <c r="AX2067" s="1"/>
    </row>
    <row r="2068" spans="1:50" x14ac:dyDescent="0.25">
      <c r="A2068" s="1"/>
      <c r="H2068" s="1"/>
      <c r="O2068" s="1"/>
      <c r="V2068" s="1"/>
      <c r="AC2068" s="1"/>
      <c r="AJ2068" s="1"/>
      <c r="AQ2068" s="1"/>
      <c r="AX2068" s="1"/>
    </row>
    <row r="2069" spans="1:50" x14ac:dyDescent="0.25">
      <c r="A2069" s="1"/>
      <c r="H2069" s="1"/>
      <c r="O2069" s="1"/>
      <c r="V2069" s="1"/>
      <c r="AC2069" s="1"/>
      <c r="AJ2069" s="1"/>
      <c r="AQ2069" s="1"/>
      <c r="AX2069" s="1"/>
    </row>
    <row r="2070" spans="1:50" x14ac:dyDescent="0.25">
      <c r="A2070" s="1"/>
      <c r="H2070" s="1"/>
      <c r="O2070" s="1"/>
      <c r="V2070" s="1"/>
      <c r="AC2070" s="1"/>
      <c r="AJ2070" s="1"/>
      <c r="AQ2070" s="1"/>
      <c r="AX2070" s="1"/>
    </row>
    <row r="2071" spans="1:50" x14ac:dyDescent="0.25">
      <c r="A2071" s="1"/>
      <c r="H2071" s="1"/>
      <c r="O2071" s="1"/>
      <c r="V2071" s="1"/>
      <c r="AC2071" s="1"/>
      <c r="AJ2071" s="1"/>
      <c r="AQ2071" s="1"/>
      <c r="AX2071" s="1"/>
    </row>
    <row r="2072" spans="1:50" x14ac:dyDescent="0.25">
      <c r="A2072" s="1"/>
      <c r="H2072" s="1"/>
      <c r="O2072" s="1"/>
      <c r="V2072" s="1"/>
      <c r="AC2072" s="1"/>
      <c r="AJ2072" s="1"/>
      <c r="AQ2072" s="1"/>
      <c r="AX2072" s="1"/>
    </row>
    <row r="2073" spans="1:50" x14ac:dyDescent="0.25">
      <c r="A2073" s="1"/>
      <c r="H2073" s="1"/>
      <c r="O2073" s="1"/>
      <c r="V2073" s="1"/>
      <c r="AC2073" s="1"/>
      <c r="AJ2073" s="1"/>
      <c r="AQ2073" s="1"/>
      <c r="AX2073" s="1"/>
    </row>
    <row r="2074" spans="1:50" x14ac:dyDescent="0.25">
      <c r="A2074" s="1"/>
      <c r="H2074" s="1"/>
      <c r="O2074" s="1"/>
      <c r="V2074" s="1"/>
      <c r="AC2074" s="1"/>
      <c r="AJ2074" s="1"/>
      <c r="AQ2074" s="1"/>
      <c r="AX2074" s="1"/>
    </row>
    <row r="2075" spans="1:50" x14ac:dyDescent="0.25">
      <c r="A2075" s="1"/>
      <c r="H2075" s="1"/>
      <c r="O2075" s="1"/>
      <c r="V2075" s="1"/>
      <c r="AC2075" s="1"/>
      <c r="AJ2075" s="1"/>
      <c r="AQ2075" s="1"/>
      <c r="AX2075" s="1"/>
    </row>
    <row r="2076" spans="1:50" x14ac:dyDescent="0.25">
      <c r="A2076" s="1"/>
      <c r="H2076" s="1"/>
      <c r="O2076" s="1"/>
      <c r="V2076" s="1"/>
      <c r="AC2076" s="1"/>
      <c r="AJ2076" s="1"/>
      <c r="AQ2076" s="1"/>
      <c r="AX2076" s="1"/>
    </row>
    <row r="2077" spans="1:50" x14ac:dyDescent="0.25">
      <c r="A2077" s="1"/>
      <c r="H2077" s="1"/>
      <c r="O2077" s="1"/>
      <c r="V2077" s="1"/>
      <c r="AC2077" s="1"/>
      <c r="AJ2077" s="1"/>
      <c r="AQ2077" s="1"/>
      <c r="AX2077" s="1"/>
    </row>
    <row r="2078" spans="1:50" x14ac:dyDescent="0.25">
      <c r="A2078" s="1"/>
      <c r="H2078" s="1"/>
      <c r="O2078" s="1"/>
      <c r="V2078" s="1"/>
      <c r="AC2078" s="1"/>
      <c r="AJ2078" s="1"/>
      <c r="AQ2078" s="1"/>
      <c r="AX2078" s="1"/>
    </row>
    <row r="2079" spans="1:50" x14ac:dyDescent="0.25">
      <c r="A2079" s="1"/>
      <c r="H2079" s="1"/>
      <c r="O2079" s="1"/>
      <c r="V2079" s="1"/>
      <c r="AC2079" s="1"/>
      <c r="AJ2079" s="1"/>
      <c r="AQ2079" s="1"/>
      <c r="AX2079" s="1"/>
    </row>
    <row r="2080" spans="1:50" x14ac:dyDescent="0.25">
      <c r="A2080" s="1"/>
      <c r="H2080" s="1"/>
      <c r="O2080" s="1"/>
      <c r="V2080" s="1"/>
      <c r="AC2080" s="1"/>
      <c r="AJ2080" s="1"/>
      <c r="AQ2080" s="1"/>
      <c r="AX2080" s="1"/>
    </row>
    <row r="2081" spans="1:50" x14ac:dyDescent="0.25">
      <c r="A2081" s="1"/>
      <c r="H2081" s="1"/>
      <c r="O2081" s="1"/>
      <c r="V2081" s="1"/>
      <c r="AC2081" s="1"/>
      <c r="AJ2081" s="1"/>
      <c r="AQ2081" s="1"/>
      <c r="AX2081" s="1"/>
    </row>
    <row r="2082" spans="1:50" x14ac:dyDescent="0.25">
      <c r="A2082" s="1"/>
      <c r="H2082" s="1"/>
      <c r="O2082" s="1"/>
      <c r="V2082" s="1"/>
      <c r="AC2082" s="1"/>
      <c r="AJ2082" s="1"/>
      <c r="AQ2082" s="1"/>
      <c r="AX2082" s="1"/>
    </row>
    <row r="2083" spans="1:50" x14ac:dyDescent="0.25">
      <c r="A2083" s="1"/>
      <c r="H2083" s="1"/>
      <c r="O2083" s="1"/>
      <c r="V2083" s="1"/>
      <c r="AC2083" s="1"/>
      <c r="AJ2083" s="1"/>
      <c r="AQ2083" s="1"/>
      <c r="AX2083" s="1"/>
    </row>
    <row r="2084" spans="1:50" x14ac:dyDescent="0.25">
      <c r="A2084" s="1"/>
      <c r="H2084" s="1"/>
      <c r="O2084" s="1"/>
      <c r="V2084" s="1"/>
      <c r="AC2084" s="1"/>
      <c r="AJ2084" s="1"/>
      <c r="AQ2084" s="1"/>
      <c r="AX2084" s="1"/>
    </row>
    <row r="2085" spans="1:50" x14ac:dyDescent="0.25">
      <c r="A2085" s="1"/>
      <c r="H2085" s="1"/>
      <c r="O2085" s="1"/>
      <c r="V2085" s="1"/>
      <c r="AC2085" s="1"/>
      <c r="AJ2085" s="1"/>
      <c r="AQ2085" s="1"/>
      <c r="AX2085" s="1"/>
    </row>
    <row r="2086" spans="1:50" x14ac:dyDescent="0.25">
      <c r="A2086" s="1"/>
      <c r="H2086" s="1"/>
      <c r="O2086" s="1"/>
      <c r="V2086" s="1"/>
      <c r="AC2086" s="1"/>
      <c r="AJ2086" s="1"/>
      <c r="AQ2086" s="1"/>
      <c r="AX2086" s="1"/>
    </row>
    <row r="2087" spans="1:50" x14ac:dyDescent="0.25">
      <c r="A2087" s="1"/>
      <c r="H2087" s="1"/>
      <c r="O2087" s="1"/>
      <c r="V2087" s="1"/>
      <c r="AC2087" s="1"/>
      <c r="AJ2087" s="1"/>
      <c r="AQ2087" s="1"/>
      <c r="AX2087" s="1"/>
    </row>
    <row r="2088" spans="1:50" x14ac:dyDescent="0.25">
      <c r="A2088" s="1"/>
      <c r="H2088" s="1"/>
      <c r="O2088" s="1"/>
      <c r="V2088" s="1"/>
      <c r="AC2088" s="1"/>
      <c r="AJ2088" s="1"/>
      <c r="AQ2088" s="1"/>
      <c r="AX2088" s="1"/>
    </row>
    <row r="2089" spans="1:50" x14ac:dyDescent="0.25">
      <c r="A2089" s="1"/>
      <c r="H2089" s="1"/>
      <c r="O2089" s="1"/>
      <c r="V2089" s="1"/>
      <c r="AC2089" s="1"/>
      <c r="AJ2089" s="1"/>
      <c r="AQ2089" s="1"/>
      <c r="AX2089" s="1"/>
    </row>
    <row r="2090" spans="1:50" x14ac:dyDescent="0.25">
      <c r="A2090" s="1"/>
      <c r="H2090" s="1"/>
      <c r="O2090" s="1"/>
      <c r="V2090" s="1"/>
      <c r="AC2090" s="1"/>
      <c r="AJ2090" s="1"/>
      <c r="AQ2090" s="1"/>
      <c r="AX2090" s="1"/>
    </row>
    <row r="2091" spans="1:50" x14ac:dyDescent="0.25">
      <c r="A2091" s="1"/>
      <c r="H2091" s="1"/>
      <c r="O2091" s="1"/>
      <c r="V2091" s="1"/>
      <c r="AC2091" s="1"/>
      <c r="AJ2091" s="1"/>
      <c r="AQ2091" s="1"/>
      <c r="AX2091" s="1"/>
    </row>
    <row r="2092" spans="1:50" x14ac:dyDescent="0.25">
      <c r="A2092" s="1"/>
      <c r="H2092" s="1"/>
      <c r="O2092" s="1"/>
      <c r="V2092" s="1"/>
      <c r="AC2092" s="1"/>
      <c r="AJ2092" s="1"/>
      <c r="AQ2092" s="1"/>
      <c r="AX2092" s="1"/>
    </row>
    <row r="2093" spans="1:50" x14ac:dyDescent="0.25">
      <c r="A2093" s="1"/>
      <c r="H2093" s="1"/>
      <c r="O2093" s="1"/>
      <c r="V2093" s="1"/>
      <c r="AC2093" s="1"/>
      <c r="AJ2093" s="1"/>
      <c r="AQ2093" s="1"/>
      <c r="AX2093" s="1"/>
    </row>
    <row r="2094" spans="1:50" x14ac:dyDescent="0.25">
      <c r="A2094" s="1"/>
      <c r="H2094" s="1"/>
      <c r="O2094" s="1"/>
      <c r="V2094" s="1"/>
      <c r="AC2094" s="1"/>
      <c r="AJ2094" s="1"/>
      <c r="AQ2094" s="1"/>
      <c r="AX2094" s="1"/>
    </row>
    <row r="2095" spans="1:50" x14ac:dyDescent="0.25">
      <c r="A2095" s="1"/>
      <c r="H2095" s="1"/>
      <c r="O2095" s="1"/>
      <c r="V2095" s="1"/>
      <c r="AC2095" s="1"/>
      <c r="AJ2095" s="1"/>
      <c r="AQ2095" s="1"/>
      <c r="AX2095" s="1"/>
    </row>
    <row r="2096" spans="1:50" x14ac:dyDescent="0.25">
      <c r="A2096" s="1"/>
      <c r="H2096" s="1"/>
      <c r="O2096" s="1"/>
      <c r="V2096" s="1"/>
      <c r="AC2096" s="1"/>
      <c r="AJ2096" s="1"/>
      <c r="AQ2096" s="1"/>
      <c r="AX2096" s="1"/>
    </row>
    <row r="2097" spans="1:50" x14ac:dyDescent="0.25">
      <c r="A2097" s="1"/>
      <c r="H2097" s="1"/>
      <c r="O2097" s="1"/>
      <c r="V2097" s="1"/>
      <c r="AC2097" s="1"/>
      <c r="AJ2097" s="1"/>
      <c r="AQ2097" s="1"/>
      <c r="AX2097" s="1"/>
    </row>
    <row r="2098" spans="1:50" x14ac:dyDescent="0.25">
      <c r="A2098" s="1"/>
      <c r="H2098" s="1"/>
      <c r="O2098" s="1"/>
      <c r="V2098" s="1"/>
      <c r="AC2098" s="1"/>
      <c r="AJ2098" s="1"/>
      <c r="AQ2098" s="1"/>
      <c r="AX2098" s="1"/>
    </row>
    <row r="2099" spans="1:50" x14ac:dyDescent="0.25">
      <c r="A2099" s="1"/>
      <c r="H2099" s="1"/>
      <c r="O2099" s="1"/>
      <c r="V2099" s="1"/>
      <c r="AC2099" s="1"/>
      <c r="AJ2099" s="1"/>
      <c r="AQ2099" s="1"/>
      <c r="AX2099" s="1"/>
    </row>
    <row r="2100" spans="1:50" x14ac:dyDescent="0.25">
      <c r="A2100" s="1"/>
      <c r="H2100" s="1"/>
      <c r="O2100" s="1"/>
      <c r="V2100" s="1"/>
      <c r="AC2100" s="1"/>
      <c r="AJ2100" s="1"/>
      <c r="AQ2100" s="1"/>
      <c r="AX2100" s="1"/>
    </row>
    <row r="2101" spans="1:50" x14ac:dyDescent="0.25">
      <c r="A2101" s="1"/>
      <c r="H2101" s="1"/>
      <c r="O2101" s="1"/>
      <c r="V2101" s="1"/>
      <c r="AC2101" s="1"/>
      <c r="AJ2101" s="1"/>
      <c r="AQ2101" s="1"/>
      <c r="AX2101" s="1"/>
    </row>
    <row r="2102" spans="1:50" x14ac:dyDescent="0.25">
      <c r="A2102" s="1"/>
      <c r="H2102" s="1"/>
      <c r="O2102" s="1"/>
      <c r="V2102" s="1"/>
      <c r="AC2102" s="1"/>
      <c r="AJ2102" s="1"/>
      <c r="AQ2102" s="1"/>
      <c r="AX2102" s="1"/>
    </row>
    <row r="2103" spans="1:50" x14ac:dyDescent="0.25">
      <c r="A2103" s="1"/>
      <c r="H2103" s="1"/>
      <c r="O2103" s="1"/>
      <c r="V2103" s="1"/>
      <c r="AC2103" s="1"/>
      <c r="AJ2103" s="1"/>
      <c r="AQ2103" s="1"/>
      <c r="AX2103" s="1"/>
    </row>
    <row r="2104" spans="1:50" x14ac:dyDescent="0.25">
      <c r="A2104" s="1"/>
      <c r="H2104" s="1"/>
      <c r="O2104" s="1"/>
      <c r="V2104" s="1"/>
      <c r="AC2104" s="1"/>
      <c r="AJ2104" s="1"/>
      <c r="AQ2104" s="1"/>
      <c r="AX2104" s="1"/>
    </row>
    <row r="2105" spans="1:50" x14ac:dyDescent="0.25">
      <c r="A2105" s="1"/>
      <c r="H2105" s="1"/>
      <c r="O2105" s="1"/>
      <c r="V2105" s="1"/>
      <c r="AC2105" s="1"/>
      <c r="AJ2105" s="1"/>
      <c r="AQ2105" s="1"/>
      <c r="AX2105" s="1"/>
    </row>
    <row r="2106" spans="1:50" x14ac:dyDescent="0.25">
      <c r="A2106" s="1"/>
      <c r="H2106" s="1"/>
      <c r="O2106" s="1"/>
      <c r="V2106" s="1"/>
      <c r="AC2106" s="1"/>
      <c r="AJ2106" s="1"/>
      <c r="AQ2106" s="1"/>
      <c r="AX2106" s="1"/>
    </row>
    <row r="2107" spans="1:50" x14ac:dyDescent="0.25">
      <c r="A2107" s="1"/>
      <c r="H2107" s="1"/>
      <c r="O2107" s="1"/>
      <c r="V2107" s="1"/>
      <c r="AC2107" s="1"/>
      <c r="AJ2107" s="1"/>
      <c r="AQ2107" s="1"/>
      <c r="AX2107" s="1"/>
    </row>
    <row r="2108" spans="1:50" x14ac:dyDescent="0.25">
      <c r="A2108" s="1"/>
      <c r="H2108" s="1"/>
      <c r="O2108" s="1"/>
      <c r="V2108" s="1"/>
      <c r="AC2108" s="1"/>
      <c r="AJ2108" s="1"/>
      <c r="AQ2108" s="1"/>
      <c r="AX2108" s="1"/>
    </row>
    <row r="2109" spans="1:50" x14ac:dyDescent="0.25">
      <c r="A2109" s="1"/>
      <c r="H2109" s="1"/>
      <c r="O2109" s="1"/>
      <c r="V2109" s="1"/>
      <c r="AC2109" s="1"/>
      <c r="AJ2109" s="1"/>
      <c r="AQ2109" s="1"/>
      <c r="AX2109" s="1"/>
    </row>
    <row r="2110" spans="1:50" x14ac:dyDescent="0.25">
      <c r="A2110" s="1"/>
      <c r="H2110" s="1"/>
      <c r="O2110" s="1"/>
      <c r="V2110" s="1"/>
      <c r="AC2110" s="1"/>
      <c r="AJ2110" s="1"/>
      <c r="AQ2110" s="1"/>
      <c r="AX2110" s="1"/>
    </row>
    <row r="2111" spans="1:50" x14ac:dyDescent="0.25">
      <c r="A2111" s="1"/>
      <c r="H2111" s="1"/>
      <c r="O2111" s="1"/>
      <c r="V2111" s="1"/>
      <c r="AC2111" s="1"/>
      <c r="AJ2111" s="1"/>
      <c r="AQ2111" s="1"/>
      <c r="AX2111" s="1"/>
    </row>
    <row r="2112" spans="1:50" x14ac:dyDescent="0.25">
      <c r="A2112" s="1"/>
      <c r="H2112" s="1"/>
      <c r="O2112" s="1"/>
      <c r="V2112" s="1"/>
      <c r="AC2112" s="1"/>
      <c r="AJ2112" s="1"/>
      <c r="AQ2112" s="1"/>
      <c r="AX2112" s="1"/>
    </row>
    <row r="2113" spans="1:50" x14ac:dyDescent="0.25">
      <c r="A2113" s="1"/>
      <c r="H2113" s="1"/>
      <c r="O2113" s="1"/>
      <c r="V2113" s="1"/>
      <c r="AC2113" s="1"/>
      <c r="AJ2113" s="1"/>
      <c r="AQ2113" s="1"/>
      <c r="AX2113" s="1"/>
    </row>
    <row r="2114" spans="1:50" x14ac:dyDescent="0.25">
      <c r="A2114" s="1"/>
      <c r="H2114" s="1"/>
      <c r="O2114" s="1"/>
      <c r="V2114" s="1"/>
      <c r="AC2114" s="1"/>
      <c r="AJ2114" s="1"/>
      <c r="AQ2114" s="1"/>
      <c r="AX2114" s="1"/>
    </row>
    <row r="2115" spans="1:50" x14ac:dyDescent="0.25">
      <c r="A2115" s="1"/>
      <c r="H2115" s="1"/>
      <c r="O2115" s="1"/>
      <c r="V2115" s="1"/>
      <c r="AC2115" s="1"/>
      <c r="AJ2115" s="1"/>
      <c r="AQ2115" s="1"/>
      <c r="AX2115" s="1"/>
    </row>
    <row r="2116" spans="1:50" x14ac:dyDescent="0.25">
      <c r="A2116" s="1"/>
      <c r="H2116" s="1"/>
      <c r="O2116" s="1"/>
      <c r="V2116" s="1"/>
      <c r="AC2116" s="1"/>
      <c r="AJ2116" s="1"/>
      <c r="AQ2116" s="1"/>
      <c r="AX2116" s="1"/>
    </row>
    <row r="2117" spans="1:50" x14ac:dyDescent="0.25">
      <c r="A2117" s="1"/>
      <c r="H2117" s="1"/>
      <c r="O2117" s="1"/>
      <c r="V2117" s="1"/>
      <c r="AC2117" s="1"/>
      <c r="AJ2117" s="1"/>
      <c r="AQ2117" s="1"/>
      <c r="AX2117" s="1"/>
    </row>
    <row r="2118" spans="1:50" x14ac:dyDescent="0.25">
      <c r="A2118" s="1"/>
      <c r="H2118" s="1"/>
      <c r="O2118" s="1"/>
      <c r="V2118" s="1"/>
      <c r="AC2118" s="1"/>
      <c r="AJ2118" s="1"/>
      <c r="AQ2118" s="1"/>
      <c r="AX2118" s="1"/>
    </row>
    <row r="2119" spans="1:50" x14ac:dyDescent="0.25">
      <c r="A2119" s="1"/>
      <c r="H2119" s="1"/>
      <c r="O2119" s="1"/>
      <c r="V2119" s="1"/>
      <c r="AC2119" s="1"/>
      <c r="AJ2119" s="1"/>
      <c r="AQ2119" s="1"/>
      <c r="AX2119" s="1"/>
    </row>
    <row r="2120" spans="1:50" x14ac:dyDescent="0.25">
      <c r="A2120" s="1"/>
      <c r="H2120" s="1"/>
      <c r="O2120" s="1"/>
      <c r="V2120" s="1"/>
      <c r="AC2120" s="1"/>
      <c r="AJ2120" s="1"/>
      <c r="AQ2120" s="1"/>
      <c r="AX2120" s="1"/>
    </row>
    <row r="2121" spans="1:50" x14ac:dyDescent="0.25">
      <c r="A2121" s="1"/>
      <c r="H2121" s="1"/>
      <c r="O2121" s="1"/>
      <c r="V2121" s="1"/>
      <c r="AC2121" s="1"/>
      <c r="AJ2121" s="1"/>
      <c r="AQ2121" s="1"/>
      <c r="AX2121" s="1"/>
    </row>
    <row r="2122" spans="1:50" x14ac:dyDescent="0.25">
      <c r="A2122" s="1"/>
      <c r="H2122" s="1"/>
      <c r="O2122" s="1"/>
      <c r="V2122" s="1"/>
      <c r="AC2122" s="1"/>
      <c r="AJ2122" s="1"/>
      <c r="AQ2122" s="1"/>
      <c r="AX2122" s="1"/>
    </row>
    <row r="2123" spans="1:50" x14ac:dyDescent="0.25">
      <c r="A2123" s="1"/>
      <c r="H2123" s="1"/>
      <c r="O2123" s="1"/>
      <c r="V2123" s="1"/>
      <c r="AC2123" s="1"/>
      <c r="AJ2123" s="1"/>
      <c r="AQ2123" s="1"/>
      <c r="AX2123" s="1"/>
    </row>
    <row r="2124" spans="1:50" x14ac:dyDescent="0.25">
      <c r="A2124" s="1"/>
      <c r="H2124" s="1"/>
      <c r="O2124" s="1"/>
      <c r="V2124" s="1"/>
      <c r="AC2124" s="1"/>
      <c r="AJ2124" s="1"/>
      <c r="AQ2124" s="1"/>
      <c r="AX2124" s="1"/>
    </row>
    <row r="2125" spans="1:50" x14ac:dyDescent="0.25">
      <c r="A2125" s="1"/>
      <c r="H2125" s="1"/>
      <c r="O2125" s="1"/>
      <c r="V2125" s="1"/>
      <c r="AC2125" s="1"/>
      <c r="AJ2125" s="1"/>
      <c r="AQ2125" s="1"/>
      <c r="AX2125" s="1"/>
    </row>
    <row r="2126" spans="1:50" x14ac:dyDescent="0.25">
      <c r="A2126" s="1"/>
      <c r="H2126" s="1"/>
      <c r="O2126" s="1"/>
      <c r="V2126" s="1"/>
      <c r="AC2126" s="1"/>
      <c r="AJ2126" s="1"/>
      <c r="AQ2126" s="1"/>
      <c r="AX2126" s="1"/>
    </row>
    <row r="2127" spans="1:50" x14ac:dyDescent="0.25">
      <c r="A2127" s="1"/>
      <c r="H2127" s="1"/>
      <c r="O2127" s="1"/>
      <c r="V2127" s="1"/>
      <c r="AC2127" s="1"/>
      <c r="AJ2127" s="1"/>
      <c r="AQ2127" s="1"/>
      <c r="AX2127" s="1"/>
    </row>
    <row r="2128" spans="1:50" x14ac:dyDescent="0.25">
      <c r="A2128" s="1"/>
      <c r="H2128" s="1"/>
      <c r="O2128" s="1"/>
      <c r="V2128" s="1"/>
      <c r="AC2128" s="1"/>
      <c r="AJ2128" s="1"/>
      <c r="AQ2128" s="1"/>
      <c r="AX2128" s="1"/>
    </row>
    <row r="2129" spans="1:50" x14ac:dyDescent="0.25">
      <c r="A2129" s="1"/>
      <c r="H2129" s="1"/>
      <c r="O2129" s="1"/>
      <c r="V2129" s="1"/>
      <c r="AC2129" s="1"/>
      <c r="AJ2129" s="1"/>
      <c r="AQ2129" s="1"/>
      <c r="AX2129" s="1"/>
    </row>
    <row r="2130" spans="1:50" x14ac:dyDescent="0.25">
      <c r="A2130" s="1"/>
      <c r="H2130" s="1"/>
      <c r="O2130" s="1"/>
      <c r="V2130" s="1"/>
      <c r="AC2130" s="1"/>
      <c r="AJ2130" s="1"/>
      <c r="AQ2130" s="1"/>
      <c r="AX2130" s="1"/>
    </row>
    <row r="2131" spans="1:50" x14ac:dyDescent="0.25">
      <c r="A2131" s="1"/>
      <c r="H2131" s="1"/>
      <c r="O2131" s="1"/>
      <c r="V2131" s="1"/>
      <c r="AC2131" s="1"/>
      <c r="AJ2131" s="1"/>
      <c r="AQ2131" s="1"/>
      <c r="AX2131" s="1"/>
    </row>
    <row r="2132" spans="1:50" x14ac:dyDescent="0.25">
      <c r="A2132" s="1"/>
      <c r="H2132" s="1"/>
      <c r="O2132" s="1"/>
      <c r="V2132" s="1"/>
      <c r="AC2132" s="1"/>
      <c r="AJ2132" s="1"/>
      <c r="AQ2132" s="1"/>
      <c r="AX2132" s="1"/>
    </row>
    <row r="2133" spans="1:50" x14ac:dyDescent="0.25">
      <c r="A2133" s="1"/>
      <c r="H2133" s="1"/>
      <c r="O2133" s="1"/>
      <c r="V2133" s="1"/>
      <c r="AC2133" s="1"/>
      <c r="AJ2133" s="1"/>
      <c r="AQ2133" s="1"/>
      <c r="AX2133" s="1"/>
    </row>
    <row r="2134" spans="1:50" x14ac:dyDescent="0.25">
      <c r="A2134" s="1"/>
      <c r="H2134" s="1"/>
      <c r="O2134" s="1"/>
      <c r="V2134" s="1"/>
      <c r="AC2134" s="1"/>
      <c r="AJ2134" s="1"/>
      <c r="AQ2134" s="1"/>
      <c r="AX2134" s="1"/>
    </row>
    <row r="2135" spans="1:50" x14ac:dyDescent="0.25">
      <c r="A2135" s="1"/>
      <c r="H2135" s="1"/>
      <c r="O2135" s="1"/>
      <c r="V2135" s="1"/>
      <c r="AC2135" s="1"/>
      <c r="AJ2135" s="1"/>
      <c r="AQ2135" s="1"/>
      <c r="AX2135" s="1"/>
    </row>
    <row r="2136" spans="1:50" x14ac:dyDescent="0.25">
      <c r="A2136" s="1"/>
      <c r="H2136" s="1"/>
      <c r="O2136" s="1"/>
      <c r="V2136" s="1"/>
      <c r="AC2136" s="1"/>
      <c r="AJ2136" s="1"/>
      <c r="AQ2136" s="1"/>
      <c r="AX2136" s="1"/>
    </row>
    <row r="2137" spans="1:50" x14ac:dyDescent="0.25">
      <c r="A2137" s="1"/>
      <c r="H2137" s="1"/>
      <c r="O2137" s="1"/>
      <c r="V2137" s="1"/>
      <c r="AC2137" s="1"/>
      <c r="AJ2137" s="1"/>
      <c r="AQ2137" s="1"/>
      <c r="AX2137" s="1"/>
    </row>
    <row r="2138" spans="1:50" x14ac:dyDescent="0.25">
      <c r="A2138" s="1"/>
      <c r="H2138" s="1"/>
      <c r="O2138" s="1"/>
      <c r="V2138" s="1"/>
      <c r="AC2138" s="1"/>
      <c r="AJ2138" s="1"/>
      <c r="AQ2138" s="1"/>
      <c r="AX2138" s="1"/>
    </row>
    <row r="2139" spans="1:50" x14ac:dyDescent="0.25">
      <c r="A2139" s="1"/>
      <c r="H2139" s="1"/>
      <c r="O2139" s="1"/>
      <c r="V2139" s="1"/>
      <c r="AC2139" s="1"/>
      <c r="AJ2139" s="1"/>
      <c r="AQ2139" s="1"/>
      <c r="AX2139" s="1"/>
    </row>
    <row r="2140" spans="1:50" x14ac:dyDescent="0.25">
      <c r="A2140" s="1"/>
      <c r="H2140" s="1"/>
      <c r="O2140" s="1"/>
      <c r="V2140" s="1"/>
      <c r="AC2140" s="1"/>
      <c r="AJ2140" s="1"/>
      <c r="AQ2140" s="1"/>
      <c r="AX2140" s="1"/>
    </row>
    <row r="2141" spans="1:50" x14ac:dyDescent="0.25">
      <c r="A2141" s="1"/>
      <c r="H2141" s="1"/>
      <c r="O2141" s="1"/>
      <c r="V2141" s="1"/>
      <c r="AC2141" s="1"/>
      <c r="AJ2141" s="1"/>
      <c r="AQ2141" s="1"/>
      <c r="AX2141" s="1"/>
    </row>
    <row r="2142" spans="1:50" x14ac:dyDescent="0.25">
      <c r="A2142" s="1"/>
      <c r="H2142" s="1"/>
      <c r="O2142" s="1"/>
      <c r="V2142" s="1"/>
      <c r="AC2142" s="1"/>
      <c r="AJ2142" s="1"/>
      <c r="AQ2142" s="1"/>
      <c r="AX2142" s="1"/>
    </row>
    <row r="2143" spans="1:50" x14ac:dyDescent="0.25">
      <c r="A2143" s="1"/>
      <c r="H2143" s="1"/>
      <c r="O2143" s="1"/>
      <c r="V2143" s="1"/>
      <c r="AC2143" s="1"/>
      <c r="AJ2143" s="1"/>
      <c r="AQ2143" s="1"/>
      <c r="AX2143" s="1"/>
    </row>
    <row r="2144" spans="1:50" x14ac:dyDescent="0.25">
      <c r="A2144" s="1"/>
      <c r="H2144" s="1"/>
      <c r="O2144" s="1"/>
      <c r="V2144" s="1"/>
      <c r="AC2144" s="1"/>
      <c r="AJ2144" s="1"/>
      <c r="AQ2144" s="1"/>
      <c r="AX2144" s="1"/>
    </row>
    <row r="2145" spans="1:50" x14ac:dyDescent="0.25">
      <c r="A2145" s="1"/>
      <c r="H2145" s="1"/>
      <c r="O2145" s="1"/>
      <c r="V2145" s="1"/>
      <c r="AC2145" s="1"/>
      <c r="AJ2145" s="1"/>
      <c r="AQ2145" s="1"/>
      <c r="AX2145" s="1"/>
    </row>
    <row r="2146" spans="1:50" x14ac:dyDescent="0.25">
      <c r="A2146" s="1"/>
      <c r="H2146" s="1"/>
      <c r="O2146" s="1"/>
      <c r="V2146" s="1"/>
      <c r="AC2146" s="1"/>
      <c r="AJ2146" s="1"/>
      <c r="AQ2146" s="1"/>
      <c r="AX2146" s="1"/>
    </row>
    <row r="2147" spans="1:50" x14ac:dyDescent="0.25">
      <c r="A2147" s="1"/>
      <c r="H2147" s="1"/>
      <c r="O2147" s="1"/>
      <c r="V2147" s="1"/>
      <c r="AC2147" s="1"/>
      <c r="AJ2147" s="1"/>
      <c r="AQ2147" s="1"/>
      <c r="AX2147" s="1"/>
    </row>
    <row r="2148" spans="1:50" x14ac:dyDescent="0.25">
      <c r="A2148" s="1"/>
      <c r="H2148" s="1"/>
      <c r="O2148" s="1"/>
      <c r="V2148" s="1"/>
      <c r="AC2148" s="1"/>
      <c r="AJ2148" s="1"/>
      <c r="AQ2148" s="1"/>
      <c r="AX2148" s="1"/>
    </row>
    <row r="2149" spans="1:50" x14ac:dyDescent="0.25">
      <c r="A2149" s="1"/>
      <c r="H2149" s="1"/>
      <c r="O2149" s="1"/>
      <c r="V2149" s="1"/>
      <c r="AC2149" s="1"/>
      <c r="AJ2149" s="1"/>
      <c r="AQ2149" s="1"/>
      <c r="AX2149" s="1"/>
    </row>
    <row r="2150" spans="1:50" x14ac:dyDescent="0.25">
      <c r="A2150" s="1"/>
      <c r="H2150" s="1"/>
      <c r="O2150" s="1"/>
      <c r="V2150" s="1"/>
      <c r="AC2150" s="1"/>
      <c r="AJ2150" s="1"/>
      <c r="AQ2150" s="1"/>
      <c r="AX2150" s="1"/>
    </row>
    <row r="2151" spans="1:50" x14ac:dyDescent="0.25">
      <c r="A2151" s="1"/>
      <c r="H2151" s="1"/>
      <c r="O2151" s="1"/>
      <c r="V2151" s="1"/>
      <c r="AC2151" s="1"/>
      <c r="AJ2151" s="1"/>
      <c r="AQ2151" s="1"/>
      <c r="AX2151" s="1"/>
    </row>
    <row r="2152" spans="1:50" x14ac:dyDescent="0.25">
      <c r="A2152" s="1"/>
      <c r="H2152" s="1"/>
      <c r="O2152" s="1"/>
      <c r="V2152" s="1"/>
      <c r="AC2152" s="1"/>
      <c r="AJ2152" s="1"/>
      <c r="AQ2152" s="1"/>
      <c r="AX2152" s="1"/>
    </row>
    <row r="2153" spans="1:50" x14ac:dyDescent="0.25">
      <c r="A2153" s="1"/>
      <c r="H2153" s="1"/>
      <c r="O2153" s="1"/>
      <c r="V2153" s="1"/>
      <c r="AC2153" s="1"/>
      <c r="AJ2153" s="1"/>
      <c r="AQ2153" s="1"/>
      <c r="AX2153" s="1"/>
    </row>
    <row r="2154" spans="1:50" x14ac:dyDescent="0.25">
      <c r="A2154" s="1"/>
      <c r="H2154" s="1"/>
      <c r="O2154" s="1"/>
      <c r="V2154" s="1"/>
      <c r="AC2154" s="1"/>
      <c r="AJ2154" s="1"/>
      <c r="AQ2154" s="1"/>
      <c r="AX2154" s="1"/>
    </row>
    <row r="2155" spans="1:50" x14ac:dyDescent="0.25">
      <c r="A2155" s="1"/>
      <c r="H2155" s="1"/>
      <c r="O2155" s="1"/>
      <c r="V2155" s="1"/>
      <c r="AC2155" s="1"/>
      <c r="AJ2155" s="1"/>
      <c r="AQ2155" s="1"/>
      <c r="AX2155" s="1"/>
    </row>
    <row r="2156" spans="1:50" x14ac:dyDescent="0.25">
      <c r="A2156" s="1"/>
      <c r="H2156" s="1"/>
      <c r="O2156" s="1"/>
      <c r="V2156" s="1"/>
      <c r="AC2156" s="1"/>
      <c r="AJ2156" s="1"/>
      <c r="AQ2156" s="1"/>
      <c r="AX2156" s="1"/>
    </row>
    <row r="2157" spans="1:50" x14ac:dyDescent="0.25">
      <c r="A2157" s="1"/>
      <c r="H2157" s="1"/>
      <c r="O2157" s="1"/>
      <c r="V2157" s="1"/>
      <c r="AC2157" s="1"/>
      <c r="AJ2157" s="1"/>
      <c r="AQ2157" s="1"/>
      <c r="AX2157" s="1"/>
    </row>
    <row r="2158" spans="1:50" x14ac:dyDescent="0.25">
      <c r="A2158" s="1"/>
      <c r="H2158" s="1"/>
      <c r="O2158" s="1"/>
      <c r="V2158" s="1"/>
      <c r="AC2158" s="1"/>
      <c r="AJ2158" s="1"/>
      <c r="AQ2158" s="1"/>
      <c r="AX2158" s="1"/>
    </row>
    <row r="2159" spans="1:50" x14ac:dyDescent="0.25">
      <c r="A2159" s="1"/>
      <c r="H2159" s="1"/>
      <c r="O2159" s="1"/>
      <c r="V2159" s="1"/>
      <c r="AC2159" s="1"/>
      <c r="AJ2159" s="1"/>
      <c r="AQ2159" s="1"/>
      <c r="AX2159" s="1"/>
    </row>
    <row r="2160" spans="1:50" x14ac:dyDescent="0.25">
      <c r="A2160" s="1"/>
      <c r="H2160" s="1"/>
      <c r="O2160" s="1"/>
      <c r="V2160" s="1"/>
      <c r="AC2160" s="1"/>
      <c r="AJ2160" s="1"/>
      <c r="AQ2160" s="1"/>
      <c r="AX2160" s="1"/>
    </row>
    <row r="2161" spans="1:50" x14ac:dyDescent="0.25">
      <c r="A2161" s="1"/>
      <c r="H2161" s="1"/>
      <c r="O2161" s="1"/>
      <c r="V2161" s="1"/>
      <c r="AC2161" s="1"/>
      <c r="AJ2161" s="1"/>
      <c r="AQ2161" s="1"/>
      <c r="AX2161" s="1"/>
    </row>
    <row r="2162" spans="1:50" x14ac:dyDescent="0.25">
      <c r="A2162" s="1"/>
      <c r="H2162" s="1"/>
      <c r="O2162" s="1"/>
      <c r="V2162" s="1"/>
      <c r="AC2162" s="1"/>
      <c r="AJ2162" s="1"/>
      <c r="AQ2162" s="1"/>
      <c r="AX2162" s="1"/>
    </row>
    <row r="2163" spans="1:50" x14ac:dyDescent="0.25">
      <c r="A2163" s="1"/>
      <c r="H2163" s="1"/>
      <c r="O2163" s="1"/>
      <c r="V2163" s="1"/>
      <c r="AC2163" s="1"/>
      <c r="AJ2163" s="1"/>
      <c r="AQ2163" s="1"/>
      <c r="AX2163" s="1"/>
    </row>
    <row r="2164" spans="1:50" x14ac:dyDescent="0.25">
      <c r="A2164" s="1"/>
      <c r="H2164" s="1"/>
      <c r="O2164" s="1"/>
      <c r="V2164" s="1"/>
      <c r="AC2164" s="1"/>
      <c r="AJ2164" s="1"/>
      <c r="AQ2164" s="1"/>
      <c r="AX2164" s="1"/>
    </row>
    <row r="2165" spans="1:50" x14ac:dyDescent="0.25">
      <c r="A2165" s="1"/>
      <c r="H2165" s="1"/>
      <c r="O2165" s="1"/>
      <c r="V2165" s="1"/>
      <c r="AC2165" s="1"/>
      <c r="AJ2165" s="1"/>
      <c r="AQ2165" s="1"/>
      <c r="AX2165" s="1"/>
    </row>
    <row r="2166" spans="1:50" x14ac:dyDescent="0.25">
      <c r="A2166" s="1"/>
      <c r="H2166" s="1"/>
      <c r="O2166" s="1"/>
      <c r="V2166" s="1"/>
      <c r="AC2166" s="1"/>
      <c r="AJ2166" s="1"/>
      <c r="AQ2166" s="1"/>
      <c r="AX2166" s="1"/>
    </row>
    <row r="2167" spans="1:50" x14ac:dyDescent="0.25">
      <c r="A2167" s="1"/>
      <c r="H2167" s="1"/>
      <c r="O2167" s="1"/>
      <c r="V2167" s="1"/>
      <c r="AC2167" s="1"/>
      <c r="AJ2167" s="1"/>
      <c r="AQ2167" s="1"/>
      <c r="AX2167" s="1"/>
    </row>
    <row r="2168" spans="1:50" x14ac:dyDescent="0.25">
      <c r="A2168" s="1"/>
      <c r="H2168" s="1"/>
      <c r="O2168" s="1"/>
      <c r="V2168" s="1"/>
      <c r="AC2168" s="1"/>
      <c r="AJ2168" s="1"/>
      <c r="AQ2168" s="1"/>
      <c r="AX2168" s="1"/>
    </row>
    <row r="2169" spans="1:50" x14ac:dyDescent="0.25">
      <c r="A2169" s="1"/>
      <c r="H2169" s="1"/>
      <c r="O2169" s="1"/>
      <c r="V2169" s="1"/>
      <c r="AC2169" s="1"/>
      <c r="AJ2169" s="1"/>
      <c r="AQ2169" s="1"/>
      <c r="AX2169" s="1"/>
    </row>
    <row r="2170" spans="1:50" x14ac:dyDescent="0.25">
      <c r="A2170" s="1"/>
      <c r="H2170" s="1"/>
      <c r="O2170" s="1"/>
      <c r="V2170" s="1"/>
      <c r="AC2170" s="1"/>
      <c r="AJ2170" s="1"/>
      <c r="AQ2170" s="1"/>
      <c r="AX2170" s="1"/>
    </row>
    <row r="2171" spans="1:50" x14ac:dyDescent="0.25">
      <c r="A2171" s="1"/>
      <c r="H2171" s="1"/>
      <c r="O2171" s="1"/>
      <c r="V2171" s="1"/>
      <c r="AC2171" s="1"/>
      <c r="AJ2171" s="1"/>
      <c r="AQ2171" s="1"/>
      <c r="AX2171" s="1"/>
    </row>
    <row r="2172" spans="1:50" x14ac:dyDescent="0.25">
      <c r="A2172" s="1"/>
      <c r="H2172" s="1"/>
      <c r="O2172" s="1"/>
      <c r="V2172" s="1"/>
      <c r="AC2172" s="1"/>
      <c r="AJ2172" s="1"/>
      <c r="AQ2172" s="1"/>
      <c r="AX2172" s="1"/>
    </row>
    <row r="2173" spans="1:50" x14ac:dyDescent="0.25">
      <c r="A2173" s="1"/>
      <c r="H2173" s="1"/>
      <c r="O2173" s="1"/>
      <c r="V2173" s="1"/>
      <c r="AC2173" s="1"/>
      <c r="AJ2173" s="1"/>
      <c r="AQ2173" s="1"/>
      <c r="AX2173" s="1"/>
    </row>
    <row r="2174" spans="1:50" x14ac:dyDescent="0.25">
      <c r="A2174" s="1"/>
      <c r="H2174" s="1"/>
      <c r="O2174" s="1"/>
      <c r="V2174" s="1"/>
      <c r="AC2174" s="1"/>
      <c r="AJ2174" s="1"/>
      <c r="AQ2174" s="1"/>
      <c r="AX2174" s="1"/>
    </row>
    <row r="2175" spans="1:50" x14ac:dyDescent="0.25">
      <c r="A2175" s="1"/>
      <c r="H2175" s="1"/>
      <c r="O2175" s="1"/>
      <c r="V2175" s="1"/>
      <c r="AC2175" s="1"/>
      <c r="AJ2175" s="1"/>
      <c r="AQ2175" s="1"/>
      <c r="AX2175" s="1"/>
    </row>
    <row r="2176" spans="1:50" x14ac:dyDescent="0.25">
      <c r="A2176" s="1"/>
      <c r="H2176" s="1"/>
      <c r="O2176" s="1"/>
      <c r="V2176" s="1"/>
      <c r="AC2176" s="1"/>
      <c r="AJ2176" s="1"/>
      <c r="AQ2176" s="1"/>
      <c r="AX2176" s="1"/>
    </row>
    <row r="2177" spans="1:50" x14ac:dyDescent="0.25">
      <c r="A2177" s="1"/>
      <c r="H2177" s="1"/>
      <c r="O2177" s="1"/>
      <c r="V2177" s="1"/>
      <c r="AC2177" s="1"/>
      <c r="AJ2177" s="1"/>
      <c r="AQ2177" s="1"/>
      <c r="AX2177" s="1"/>
    </row>
    <row r="2178" spans="1:50" x14ac:dyDescent="0.25">
      <c r="A2178" s="1"/>
      <c r="H2178" s="1"/>
      <c r="O2178" s="1"/>
      <c r="V2178" s="1"/>
      <c r="AC2178" s="1"/>
      <c r="AJ2178" s="1"/>
      <c r="AQ2178" s="1"/>
      <c r="AX2178" s="1"/>
    </row>
    <row r="2179" spans="1:50" x14ac:dyDescent="0.25">
      <c r="A2179" s="1"/>
      <c r="H2179" s="1"/>
      <c r="O2179" s="1"/>
      <c r="V2179" s="1"/>
      <c r="AC2179" s="1"/>
      <c r="AJ2179" s="1"/>
      <c r="AQ2179" s="1"/>
      <c r="AX2179" s="1"/>
    </row>
    <row r="2180" spans="1:50" x14ac:dyDescent="0.25">
      <c r="A2180" s="1"/>
      <c r="H2180" s="1"/>
      <c r="O2180" s="1"/>
      <c r="V2180" s="1"/>
      <c r="AC2180" s="1"/>
      <c r="AJ2180" s="1"/>
      <c r="AQ2180" s="1"/>
      <c r="AX2180" s="1"/>
    </row>
    <row r="2181" spans="1:50" x14ac:dyDescent="0.25">
      <c r="A2181" s="1"/>
      <c r="H2181" s="1"/>
      <c r="O2181" s="1"/>
      <c r="V2181" s="1"/>
      <c r="AC2181" s="1"/>
      <c r="AJ2181" s="1"/>
      <c r="AQ2181" s="1"/>
      <c r="AX2181" s="1"/>
    </row>
    <row r="2182" spans="1:50" x14ac:dyDescent="0.25">
      <c r="A2182" s="1"/>
      <c r="H2182" s="1"/>
      <c r="O2182" s="1"/>
      <c r="V2182" s="1"/>
      <c r="AC2182" s="1"/>
      <c r="AJ2182" s="1"/>
      <c r="AQ2182" s="1"/>
      <c r="AX2182" s="1"/>
    </row>
    <row r="2183" spans="1:50" x14ac:dyDescent="0.25">
      <c r="A2183" s="1"/>
      <c r="H2183" s="1"/>
      <c r="O2183" s="1"/>
      <c r="V2183" s="1"/>
      <c r="AC2183" s="1"/>
      <c r="AJ2183" s="1"/>
      <c r="AQ2183" s="1"/>
      <c r="AX2183" s="1"/>
    </row>
    <row r="2184" spans="1:50" x14ac:dyDescent="0.25">
      <c r="A2184" s="1"/>
      <c r="H2184" s="1"/>
      <c r="O2184" s="1"/>
      <c r="V2184" s="1"/>
      <c r="AC2184" s="1"/>
      <c r="AJ2184" s="1"/>
      <c r="AQ2184" s="1"/>
      <c r="AX2184" s="1"/>
    </row>
    <row r="2185" spans="1:50" x14ac:dyDescent="0.25">
      <c r="A2185" s="1"/>
      <c r="H2185" s="1"/>
      <c r="O2185" s="1"/>
      <c r="V2185" s="1"/>
      <c r="AC2185" s="1"/>
      <c r="AJ2185" s="1"/>
      <c r="AQ2185" s="1"/>
      <c r="AX2185" s="1"/>
    </row>
    <row r="2186" spans="1:50" x14ac:dyDescent="0.25">
      <c r="A2186" s="1"/>
      <c r="H2186" s="1"/>
      <c r="O2186" s="1"/>
      <c r="V2186" s="1"/>
      <c r="AC2186" s="1"/>
      <c r="AJ2186" s="1"/>
      <c r="AQ2186" s="1"/>
      <c r="AX2186" s="1"/>
    </row>
    <row r="2187" spans="1:50" x14ac:dyDescent="0.25">
      <c r="A2187" s="1"/>
      <c r="H2187" s="1"/>
      <c r="O2187" s="1"/>
      <c r="V2187" s="1"/>
      <c r="AC2187" s="1"/>
      <c r="AJ2187" s="1"/>
      <c r="AQ2187" s="1"/>
      <c r="AX2187" s="1"/>
    </row>
    <row r="2188" spans="1:50" x14ac:dyDescent="0.25">
      <c r="A2188" s="1"/>
      <c r="H2188" s="1"/>
      <c r="O2188" s="1"/>
      <c r="V2188" s="1"/>
      <c r="AC2188" s="1"/>
      <c r="AJ2188" s="1"/>
      <c r="AQ2188" s="1"/>
      <c r="AX2188" s="1"/>
    </row>
    <row r="2189" spans="1:50" x14ac:dyDescent="0.25">
      <c r="A2189" s="1"/>
      <c r="H2189" s="1"/>
      <c r="O2189" s="1"/>
      <c r="V2189" s="1"/>
      <c r="AC2189" s="1"/>
      <c r="AJ2189" s="1"/>
      <c r="AQ2189" s="1"/>
      <c r="AX2189" s="1"/>
    </row>
    <row r="2190" spans="1:50" x14ac:dyDescent="0.25">
      <c r="A2190" s="1"/>
      <c r="H2190" s="1"/>
      <c r="O2190" s="1"/>
      <c r="V2190" s="1"/>
      <c r="AC2190" s="1"/>
      <c r="AJ2190" s="1"/>
      <c r="AQ2190" s="1"/>
      <c r="AX2190" s="1"/>
    </row>
    <row r="2191" spans="1:50" x14ac:dyDescent="0.25">
      <c r="A2191" s="1"/>
      <c r="H2191" s="1"/>
      <c r="O2191" s="1"/>
      <c r="V2191" s="1"/>
      <c r="AC2191" s="1"/>
      <c r="AJ2191" s="1"/>
      <c r="AQ2191" s="1"/>
      <c r="AX2191" s="1"/>
    </row>
    <row r="2192" spans="1:50" x14ac:dyDescent="0.25">
      <c r="A2192" s="1"/>
      <c r="H2192" s="1"/>
      <c r="O2192" s="1"/>
      <c r="V2192" s="1"/>
      <c r="AC2192" s="1"/>
      <c r="AJ2192" s="1"/>
      <c r="AQ2192" s="1"/>
      <c r="AX2192" s="1"/>
    </row>
    <row r="2193" spans="1:50" x14ac:dyDescent="0.25">
      <c r="A2193" s="1"/>
      <c r="H2193" s="1"/>
      <c r="O2193" s="1"/>
      <c r="V2193" s="1"/>
      <c r="AC2193" s="1"/>
      <c r="AJ2193" s="1"/>
      <c r="AQ2193" s="1"/>
      <c r="AX2193" s="1"/>
    </row>
    <row r="2194" spans="1:50" x14ac:dyDescent="0.25">
      <c r="A2194" s="1"/>
      <c r="H2194" s="1"/>
      <c r="O2194" s="1"/>
      <c r="V2194" s="1"/>
      <c r="AC2194" s="1"/>
      <c r="AJ2194" s="1"/>
      <c r="AQ2194" s="1"/>
      <c r="AX2194" s="1"/>
    </row>
    <row r="2195" spans="1:50" x14ac:dyDescent="0.25">
      <c r="A2195" s="1"/>
      <c r="H2195" s="1"/>
      <c r="O2195" s="1"/>
      <c r="V2195" s="1"/>
      <c r="AC2195" s="1"/>
      <c r="AJ2195" s="1"/>
      <c r="AQ2195" s="1"/>
      <c r="AX2195" s="1"/>
    </row>
    <row r="2196" spans="1:50" x14ac:dyDescent="0.25">
      <c r="A2196" s="1"/>
      <c r="H2196" s="1"/>
      <c r="O2196" s="1"/>
      <c r="V2196" s="1"/>
      <c r="AC2196" s="1"/>
      <c r="AJ2196" s="1"/>
      <c r="AQ2196" s="1"/>
      <c r="AX2196" s="1"/>
    </row>
    <row r="2197" spans="1:50" x14ac:dyDescent="0.25">
      <c r="A2197" s="1"/>
      <c r="H2197" s="1"/>
      <c r="O2197" s="1"/>
      <c r="V2197" s="1"/>
      <c r="AC2197" s="1"/>
      <c r="AJ2197" s="1"/>
      <c r="AQ2197" s="1"/>
      <c r="AX2197" s="1"/>
    </row>
    <row r="2198" spans="1:50" x14ac:dyDescent="0.25">
      <c r="A2198" s="1"/>
      <c r="H2198" s="1"/>
      <c r="O2198" s="1"/>
      <c r="V2198" s="1"/>
      <c r="AC2198" s="1"/>
      <c r="AJ2198" s="1"/>
      <c r="AQ2198" s="1"/>
      <c r="AX2198" s="1"/>
    </row>
    <row r="2199" spans="1:50" x14ac:dyDescent="0.25">
      <c r="A2199" s="1"/>
      <c r="H2199" s="1"/>
      <c r="O2199" s="1"/>
      <c r="V2199" s="1"/>
      <c r="AC2199" s="1"/>
      <c r="AJ2199" s="1"/>
      <c r="AQ2199" s="1"/>
      <c r="AX2199" s="1"/>
    </row>
    <row r="2200" spans="1:50" x14ac:dyDescent="0.25">
      <c r="A2200" s="1"/>
      <c r="H2200" s="1"/>
      <c r="O2200" s="1"/>
      <c r="V2200" s="1"/>
      <c r="AC2200" s="1"/>
      <c r="AJ2200" s="1"/>
      <c r="AQ2200" s="1"/>
      <c r="AX2200" s="1"/>
    </row>
    <row r="2201" spans="1:50" x14ac:dyDescent="0.25">
      <c r="A2201" s="1"/>
      <c r="H2201" s="1"/>
      <c r="O2201" s="1"/>
      <c r="V2201" s="1"/>
      <c r="AC2201" s="1"/>
      <c r="AJ2201" s="1"/>
      <c r="AQ2201" s="1"/>
      <c r="AX2201" s="1"/>
    </row>
    <row r="2202" spans="1:50" x14ac:dyDescent="0.25">
      <c r="A2202" s="1"/>
      <c r="H2202" s="1"/>
      <c r="O2202" s="1"/>
      <c r="V2202" s="1"/>
      <c r="AC2202" s="1"/>
      <c r="AJ2202" s="1"/>
      <c r="AQ2202" s="1"/>
      <c r="AX2202" s="1"/>
    </row>
    <row r="2203" spans="1:50" x14ac:dyDescent="0.25">
      <c r="A2203" s="1"/>
      <c r="H2203" s="1"/>
      <c r="O2203" s="1"/>
      <c r="V2203" s="1"/>
      <c r="AC2203" s="1"/>
      <c r="AJ2203" s="1"/>
      <c r="AQ2203" s="1"/>
      <c r="AX2203" s="1"/>
    </row>
    <row r="2204" spans="1:50" x14ac:dyDescent="0.25">
      <c r="A2204" s="1"/>
      <c r="H2204" s="1"/>
      <c r="O2204" s="1"/>
      <c r="V2204" s="1"/>
      <c r="AC2204" s="1"/>
      <c r="AJ2204" s="1"/>
      <c r="AQ2204" s="1"/>
      <c r="AX2204" s="1"/>
    </row>
    <row r="2205" spans="1:50" x14ac:dyDescent="0.25">
      <c r="A2205" s="1"/>
      <c r="H2205" s="1"/>
      <c r="O2205" s="1"/>
      <c r="V2205" s="1"/>
      <c r="AC2205" s="1"/>
      <c r="AJ2205" s="1"/>
      <c r="AQ2205" s="1"/>
      <c r="AX2205" s="1"/>
    </row>
    <row r="2206" spans="1:50" x14ac:dyDescent="0.25">
      <c r="A2206" s="1"/>
      <c r="H2206" s="1"/>
      <c r="O2206" s="1"/>
      <c r="V2206" s="1"/>
      <c r="AC2206" s="1"/>
      <c r="AJ2206" s="1"/>
      <c r="AQ2206" s="1"/>
      <c r="AX2206" s="1"/>
    </row>
    <row r="2207" spans="1:50" x14ac:dyDescent="0.25">
      <c r="A2207" s="1"/>
      <c r="H2207" s="1"/>
      <c r="O2207" s="1"/>
      <c r="V2207" s="1"/>
      <c r="AC2207" s="1"/>
      <c r="AJ2207" s="1"/>
      <c r="AQ2207" s="1"/>
      <c r="AX2207" s="1"/>
    </row>
    <row r="2208" spans="1:50" x14ac:dyDescent="0.25">
      <c r="A2208" s="1"/>
      <c r="H2208" s="1"/>
      <c r="O2208" s="1"/>
      <c r="V2208" s="1"/>
      <c r="AC2208" s="1"/>
      <c r="AJ2208" s="1"/>
      <c r="AQ2208" s="1"/>
      <c r="AX2208" s="1"/>
    </row>
    <row r="2209" spans="1:50" x14ac:dyDescent="0.25">
      <c r="A2209" s="1"/>
      <c r="H2209" s="1"/>
      <c r="O2209" s="1"/>
      <c r="V2209" s="1"/>
      <c r="AC2209" s="1"/>
      <c r="AJ2209" s="1"/>
      <c r="AQ2209" s="1"/>
      <c r="AX2209" s="1"/>
    </row>
    <row r="2210" spans="1:50" x14ac:dyDescent="0.25">
      <c r="A2210" s="1"/>
      <c r="H2210" s="1"/>
      <c r="O2210" s="1"/>
      <c r="V2210" s="1"/>
      <c r="AC2210" s="1"/>
      <c r="AJ2210" s="1"/>
      <c r="AQ2210" s="1"/>
      <c r="AX2210" s="1"/>
    </row>
    <row r="2211" spans="1:50" x14ac:dyDescent="0.25">
      <c r="A2211" s="1"/>
      <c r="H2211" s="1"/>
      <c r="O2211" s="1"/>
      <c r="V2211" s="1"/>
      <c r="AC2211" s="1"/>
      <c r="AJ2211" s="1"/>
      <c r="AQ2211" s="1"/>
      <c r="AX2211" s="1"/>
    </row>
    <row r="2212" spans="1:50" x14ac:dyDescent="0.25">
      <c r="A2212" s="1"/>
      <c r="H2212" s="1"/>
      <c r="O2212" s="1"/>
      <c r="V2212" s="1"/>
      <c r="AC2212" s="1"/>
      <c r="AJ2212" s="1"/>
      <c r="AQ2212" s="1"/>
      <c r="AX2212" s="1"/>
    </row>
    <row r="2213" spans="1:50" x14ac:dyDescent="0.25">
      <c r="A2213" s="1"/>
      <c r="H2213" s="1"/>
      <c r="O2213" s="1"/>
      <c r="V2213" s="1"/>
      <c r="AC2213" s="1"/>
      <c r="AJ2213" s="1"/>
      <c r="AQ2213" s="1"/>
      <c r="AX2213" s="1"/>
    </row>
    <row r="2214" spans="1:50" x14ac:dyDescent="0.25">
      <c r="A2214" s="1"/>
      <c r="H2214" s="1"/>
      <c r="O2214" s="1"/>
      <c r="V2214" s="1"/>
      <c r="AC2214" s="1"/>
      <c r="AJ2214" s="1"/>
      <c r="AQ2214" s="1"/>
      <c r="AX2214" s="1"/>
    </row>
    <row r="2215" spans="1:50" x14ac:dyDescent="0.25">
      <c r="A2215" s="1"/>
      <c r="H2215" s="1"/>
      <c r="O2215" s="1"/>
      <c r="V2215" s="1"/>
      <c r="AC2215" s="1"/>
      <c r="AJ2215" s="1"/>
      <c r="AQ2215" s="1"/>
      <c r="AX2215" s="1"/>
    </row>
    <row r="2216" spans="1:50" x14ac:dyDescent="0.25">
      <c r="A2216" s="1"/>
      <c r="H2216" s="1"/>
      <c r="O2216" s="1"/>
      <c r="V2216" s="1"/>
      <c r="AC2216" s="1"/>
      <c r="AJ2216" s="1"/>
      <c r="AQ2216" s="1"/>
      <c r="AX2216" s="1"/>
    </row>
    <row r="2217" spans="1:50" x14ac:dyDescent="0.25">
      <c r="A2217" s="1"/>
      <c r="H2217" s="1"/>
      <c r="O2217" s="1"/>
      <c r="V2217" s="1"/>
      <c r="AC2217" s="1"/>
      <c r="AJ2217" s="1"/>
      <c r="AQ2217" s="1"/>
      <c r="AX2217" s="1"/>
    </row>
    <row r="2218" spans="1:50" x14ac:dyDescent="0.25">
      <c r="A2218" s="1"/>
      <c r="H2218" s="1"/>
      <c r="O2218" s="1"/>
      <c r="V2218" s="1"/>
      <c r="AC2218" s="1"/>
      <c r="AJ2218" s="1"/>
      <c r="AQ2218" s="1"/>
      <c r="AX2218" s="1"/>
    </row>
    <row r="2219" spans="1:50" x14ac:dyDescent="0.25">
      <c r="A2219" s="1"/>
      <c r="H2219" s="1"/>
      <c r="O2219" s="1"/>
      <c r="V2219" s="1"/>
      <c r="AC2219" s="1"/>
      <c r="AJ2219" s="1"/>
      <c r="AQ2219" s="1"/>
      <c r="AX2219" s="1"/>
    </row>
    <row r="2220" spans="1:50" x14ac:dyDescent="0.25">
      <c r="A2220" s="1"/>
      <c r="H2220" s="1"/>
      <c r="O2220" s="1"/>
      <c r="V2220" s="1"/>
      <c r="AC2220" s="1"/>
      <c r="AJ2220" s="1"/>
      <c r="AQ2220" s="1"/>
      <c r="AX2220" s="1"/>
    </row>
    <row r="2221" spans="1:50" x14ac:dyDescent="0.25">
      <c r="A2221" s="1"/>
      <c r="H2221" s="1"/>
      <c r="O2221" s="1"/>
      <c r="V2221" s="1"/>
      <c r="AC2221" s="1"/>
      <c r="AJ2221" s="1"/>
      <c r="AQ2221" s="1"/>
      <c r="AX2221" s="1"/>
    </row>
    <row r="2222" spans="1:50" x14ac:dyDescent="0.25">
      <c r="A2222" s="1"/>
      <c r="H2222" s="1"/>
      <c r="O2222" s="1"/>
      <c r="V2222" s="1"/>
      <c r="AC2222" s="1"/>
      <c r="AJ2222" s="1"/>
      <c r="AQ2222" s="1"/>
      <c r="AX2222" s="1"/>
    </row>
    <row r="2223" spans="1:50" x14ac:dyDescent="0.25">
      <c r="A2223" s="1"/>
      <c r="H2223" s="1"/>
      <c r="O2223" s="1"/>
      <c r="V2223" s="1"/>
      <c r="AC2223" s="1"/>
      <c r="AJ2223" s="1"/>
      <c r="AQ2223" s="1"/>
      <c r="AX2223" s="1"/>
    </row>
    <row r="2224" spans="1:50" x14ac:dyDescent="0.25">
      <c r="A2224" s="1"/>
      <c r="H2224" s="1"/>
      <c r="O2224" s="1"/>
      <c r="V2224" s="1"/>
      <c r="AC2224" s="1"/>
      <c r="AJ2224" s="1"/>
      <c r="AQ2224" s="1"/>
      <c r="AX2224" s="1"/>
    </row>
    <row r="2225" spans="1:50" x14ac:dyDescent="0.25">
      <c r="A2225" s="1"/>
      <c r="H2225" s="1"/>
      <c r="O2225" s="1"/>
      <c r="V2225" s="1"/>
      <c r="AC2225" s="1"/>
      <c r="AJ2225" s="1"/>
      <c r="AQ2225" s="1"/>
      <c r="AX2225" s="1"/>
    </row>
    <row r="2226" spans="1:50" x14ac:dyDescent="0.25">
      <c r="A2226" s="1"/>
      <c r="H2226" s="1"/>
      <c r="O2226" s="1"/>
      <c r="V2226" s="1"/>
      <c r="AC2226" s="1"/>
      <c r="AJ2226" s="1"/>
      <c r="AQ2226" s="1"/>
      <c r="AX2226" s="1"/>
    </row>
    <row r="2227" spans="1:50" x14ac:dyDescent="0.25">
      <c r="A2227" s="1"/>
      <c r="H2227" s="1"/>
      <c r="O2227" s="1"/>
      <c r="V2227" s="1"/>
      <c r="AC2227" s="1"/>
      <c r="AJ2227" s="1"/>
      <c r="AQ2227" s="1"/>
      <c r="AX2227" s="1"/>
    </row>
    <row r="2228" spans="1:50" x14ac:dyDescent="0.25">
      <c r="A2228" s="1"/>
      <c r="H2228" s="1"/>
      <c r="O2228" s="1"/>
      <c r="V2228" s="1"/>
      <c r="AC2228" s="1"/>
      <c r="AJ2228" s="1"/>
      <c r="AQ2228" s="1"/>
      <c r="AX2228" s="1"/>
    </row>
    <row r="2229" spans="1:50" x14ac:dyDescent="0.25">
      <c r="A2229" s="1"/>
      <c r="H2229" s="1"/>
      <c r="O2229" s="1"/>
      <c r="V2229" s="1"/>
      <c r="AC2229" s="1"/>
      <c r="AJ2229" s="1"/>
      <c r="AQ2229" s="1"/>
      <c r="AX2229" s="1"/>
    </row>
    <row r="2230" spans="1:50" x14ac:dyDescent="0.25">
      <c r="A2230" s="1"/>
      <c r="H2230" s="1"/>
      <c r="O2230" s="1"/>
      <c r="V2230" s="1"/>
      <c r="AC2230" s="1"/>
      <c r="AJ2230" s="1"/>
      <c r="AQ2230" s="1"/>
      <c r="AX2230" s="1"/>
    </row>
    <row r="2231" spans="1:50" x14ac:dyDescent="0.25">
      <c r="A2231" s="1"/>
      <c r="H2231" s="1"/>
      <c r="O2231" s="1"/>
      <c r="V2231" s="1"/>
      <c r="AC2231" s="1"/>
      <c r="AJ2231" s="1"/>
      <c r="AQ2231" s="1"/>
      <c r="AX2231" s="1"/>
    </row>
    <row r="2232" spans="1:50" x14ac:dyDescent="0.25">
      <c r="A2232" s="1"/>
      <c r="H2232" s="1"/>
      <c r="O2232" s="1"/>
      <c r="V2232" s="1"/>
      <c r="AC2232" s="1"/>
      <c r="AJ2232" s="1"/>
      <c r="AQ2232" s="1"/>
      <c r="AX2232" s="1"/>
    </row>
    <row r="2233" spans="1:50" x14ac:dyDescent="0.25">
      <c r="A2233" s="1"/>
      <c r="H2233" s="1"/>
      <c r="O2233" s="1"/>
      <c r="V2233" s="1"/>
      <c r="AC2233" s="1"/>
      <c r="AJ2233" s="1"/>
      <c r="AQ2233" s="1"/>
      <c r="AX2233" s="1"/>
    </row>
    <row r="2234" spans="1:50" x14ac:dyDescent="0.25">
      <c r="A2234" s="1"/>
      <c r="H2234" s="1"/>
      <c r="O2234" s="1"/>
      <c r="V2234" s="1"/>
      <c r="AC2234" s="1"/>
      <c r="AJ2234" s="1"/>
      <c r="AQ2234" s="1"/>
      <c r="AX2234" s="1"/>
    </row>
    <row r="2235" spans="1:50" x14ac:dyDescent="0.25">
      <c r="A2235" s="1"/>
      <c r="H2235" s="1"/>
      <c r="O2235" s="1"/>
      <c r="V2235" s="1"/>
      <c r="AC2235" s="1"/>
      <c r="AJ2235" s="1"/>
      <c r="AQ2235" s="1"/>
      <c r="AX2235" s="1"/>
    </row>
    <row r="2236" spans="1:50" x14ac:dyDescent="0.25">
      <c r="A2236" s="1"/>
      <c r="H2236" s="1"/>
      <c r="O2236" s="1"/>
      <c r="V2236" s="1"/>
      <c r="AC2236" s="1"/>
      <c r="AJ2236" s="1"/>
      <c r="AQ2236" s="1"/>
      <c r="AX2236" s="1"/>
    </row>
    <row r="2237" spans="1:50" x14ac:dyDescent="0.25">
      <c r="A2237" s="1"/>
      <c r="H2237" s="1"/>
      <c r="O2237" s="1"/>
      <c r="V2237" s="1"/>
      <c r="AC2237" s="1"/>
      <c r="AJ2237" s="1"/>
      <c r="AQ2237" s="1"/>
      <c r="AX2237" s="1"/>
    </row>
    <row r="2238" spans="1:50" x14ac:dyDescent="0.25">
      <c r="A2238" s="1"/>
      <c r="H2238" s="1"/>
      <c r="O2238" s="1"/>
      <c r="V2238" s="1"/>
      <c r="AC2238" s="1"/>
      <c r="AJ2238" s="1"/>
      <c r="AQ2238" s="1"/>
      <c r="AX2238" s="1"/>
    </row>
    <row r="2239" spans="1:50" x14ac:dyDescent="0.25">
      <c r="A2239" s="1"/>
      <c r="H2239" s="1"/>
      <c r="O2239" s="1"/>
      <c r="V2239" s="1"/>
      <c r="AC2239" s="1"/>
      <c r="AJ2239" s="1"/>
      <c r="AQ2239" s="1"/>
      <c r="AX2239" s="1"/>
    </row>
    <row r="2240" spans="1:50" x14ac:dyDescent="0.25">
      <c r="A2240" s="1"/>
      <c r="H2240" s="1"/>
      <c r="O2240" s="1"/>
      <c r="V2240" s="1"/>
      <c r="AC2240" s="1"/>
      <c r="AJ2240" s="1"/>
      <c r="AQ2240" s="1"/>
      <c r="AX2240" s="1"/>
    </row>
    <row r="2241" spans="1:50" x14ac:dyDescent="0.25">
      <c r="A2241" s="1"/>
      <c r="H2241" s="1"/>
      <c r="O2241" s="1"/>
      <c r="V2241" s="1"/>
      <c r="AC2241" s="1"/>
      <c r="AJ2241" s="1"/>
      <c r="AQ2241" s="1"/>
      <c r="AX2241" s="1"/>
    </row>
    <row r="2242" spans="1:50" x14ac:dyDescent="0.25">
      <c r="A2242" s="1"/>
      <c r="H2242" s="1"/>
      <c r="O2242" s="1"/>
      <c r="V2242" s="1"/>
      <c r="AC2242" s="1"/>
      <c r="AJ2242" s="1"/>
      <c r="AQ2242" s="1"/>
      <c r="AX2242" s="1"/>
    </row>
    <row r="2243" spans="1:50" x14ac:dyDescent="0.25">
      <c r="A2243" s="1"/>
      <c r="H2243" s="1"/>
      <c r="O2243" s="1"/>
      <c r="V2243" s="1"/>
      <c r="AC2243" s="1"/>
      <c r="AJ2243" s="1"/>
      <c r="AQ2243" s="1"/>
      <c r="AX2243" s="1"/>
    </row>
    <row r="2244" spans="1:50" x14ac:dyDescent="0.25">
      <c r="A2244" s="1"/>
      <c r="H2244" s="1"/>
      <c r="O2244" s="1"/>
      <c r="V2244" s="1"/>
      <c r="AC2244" s="1"/>
      <c r="AJ2244" s="1"/>
      <c r="AQ2244" s="1"/>
      <c r="AX2244" s="1"/>
    </row>
    <row r="2245" spans="1:50" x14ac:dyDescent="0.25">
      <c r="A2245" s="1"/>
      <c r="H2245" s="1"/>
      <c r="O2245" s="1"/>
      <c r="V2245" s="1"/>
      <c r="AC2245" s="1"/>
      <c r="AJ2245" s="1"/>
      <c r="AQ2245" s="1"/>
      <c r="AX2245" s="1"/>
    </row>
    <row r="2246" spans="1:50" x14ac:dyDescent="0.25">
      <c r="A2246" s="1"/>
      <c r="H2246" s="1"/>
      <c r="O2246" s="1"/>
      <c r="V2246" s="1"/>
      <c r="AC2246" s="1"/>
      <c r="AJ2246" s="1"/>
      <c r="AQ2246" s="1"/>
      <c r="AX2246" s="1"/>
    </row>
    <row r="2247" spans="1:50" x14ac:dyDescent="0.25">
      <c r="A2247" s="1"/>
      <c r="H2247" s="1"/>
      <c r="O2247" s="1"/>
      <c r="V2247" s="1"/>
      <c r="AC2247" s="1"/>
      <c r="AJ2247" s="1"/>
      <c r="AQ2247" s="1"/>
      <c r="AX2247" s="1"/>
    </row>
    <row r="2248" spans="1:50" x14ac:dyDescent="0.25">
      <c r="A2248" s="1"/>
      <c r="H2248" s="1"/>
      <c r="O2248" s="1"/>
      <c r="V2248" s="1"/>
      <c r="AC2248" s="1"/>
      <c r="AJ2248" s="1"/>
      <c r="AQ2248" s="1"/>
      <c r="AX2248" s="1"/>
    </row>
    <row r="2249" spans="1:50" x14ac:dyDescent="0.25">
      <c r="A2249" s="1"/>
      <c r="H2249" s="1"/>
      <c r="O2249" s="1"/>
      <c r="V2249" s="1"/>
      <c r="AC2249" s="1"/>
      <c r="AJ2249" s="1"/>
      <c r="AQ2249" s="1"/>
      <c r="AX2249" s="1"/>
    </row>
    <row r="2250" spans="1:50" x14ac:dyDescent="0.25">
      <c r="A2250" s="1"/>
      <c r="H2250" s="1"/>
      <c r="O2250" s="1"/>
      <c r="V2250" s="1"/>
      <c r="AC2250" s="1"/>
      <c r="AJ2250" s="1"/>
      <c r="AQ2250" s="1"/>
      <c r="AX2250" s="1"/>
    </row>
    <row r="2251" spans="1:50" x14ac:dyDescent="0.25">
      <c r="A2251" s="1"/>
      <c r="H2251" s="1"/>
      <c r="O2251" s="1"/>
      <c r="V2251" s="1"/>
      <c r="AC2251" s="1"/>
      <c r="AJ2251" s="1"/>
      <c r="AQ2251" s="1"/>
      <c r="AX2251" s="1"/>
    </row>
    <row r="2252" spans="1:50" x14ac:dyDescent="0.25">
      <c r="A2252" s="1"/>
      <c r="H2252" s="1"/>
      <c r="O2252" s="1"/>
      <c r="V2252" s="1"/>
      <c r="AC2252" s="1"/>
      <c r="AJ2252" s="1"/>
      <c r="AQ2252" s="1"/>
      <c r="AX2252" s="1"/>
    </row>
    <row r="2253" spans="1:50" x14ac:dyDescent="0.25">
      <c r="A2253" s="1"/>
      <c r="H2253" s="1"/>
      <c r="O2253" s="1"/>
      <c r="V2253" s="1"/>
      <c r="AC2253" s="1"/>
      <c r="AJ2253" s="1"/>
      <c r="AQ2253" s="1"/>
      <c r="AX2253" s="1"/>
    </row>
    <row r="2254" spans="1:50" x14ac:dyDescent="0.25">
      <c r="A2254" s="1"/>
      <c r="H2254" s="1"/>
      <c r="O2254" s="1"/>
      <c r="V2254" s="1"/>
      <c r="AC2254" s="1"/>
      <c r="AJ2254" s="1"/>
      <c r="AQ2254" s="1"/>
      <c r="AX2254" s="1"/>
    </row>
    <row r="2255" spans="1:50" x14ac:dyDescent="0.25">
      <c r="A2255" s="1"/>
      <c r="H2255" s="1"/>
      <c r="O2255" s="1"/>
      <c r="V2255" s="1"/>
      <c r="AC2255" s="1"/>
      <c r="AJ2255" s="1"/>
      <c r="AQ2255" s="1"/>
      <c r="AX2255" s="1"/>
    </row>
    <row r="2256" spans="1:50" x14ac:dyDescent="0.25">
      <c r="A2256" s="1"/>
      <c r="H2256" s="1"/>
      <c r="O2256" s="1"/>
      <c r="V2256" s="1"/>
      <c r="AC2256" s="1"/>
      <c r="AJ2256" s="1"/>
      <c r="AQ2256" s="1"/>
      <c r="AX2256" s="1"/>
    </row>
    <row r="2257" spans="1:50" x14ac:dyDescent="0.25">
      <c r="A2257" s="1"/>
      <c r="H2257" s="1"/>
      <c r="O2257" s="1"/>
      <c r="V2257" s="1"/>
      <c r="AC2257" s="1"/>
      <c r="AJ2257" s="1"/>
      <c r="AQ2257" s="1"/>
      <c r="AX2257" s="1"/>
    </row>
    <row r="2258" spans="1:50" x14ac:dyDescent="0.25">
      <c r="A2258" s="1"/>
      <c r="H2258" s="1"/>
      <c r="O2258" s="1"/>
      <c r="V2258" s="1"/>
      <c r="AC2258" s="1"/>
      <c r="AJ2258" s="1"/>
      <c r="AQ2258" s="1"/>
      <c r="AX2258" s="1"/>
    </row>
    <row r="2259" spans="1:50" x14ac:dyDescent="0.25">
      <c r="A2259" s="1"/>
      <c r="H2259" s="1"/>
      <c r="O2259" s="1"/>
      <c r="V2259" s="1"/>
      <c r="AC2259" s="1"/>
      <c r="AJ2259" s="1"/>
      <c r="AQ2259" s="1"/>
      <c r="AX2259" s="1"/>
    </row>
    <row r="2260" spans="1:50" x14ac:dyDescent="0.25">
      <c r="A2260" s="1"/>
      <c r="H2260" s="1"/>
      <c r="O2260" s="1"/>
      <c r="V2260" s="1"/>
      <c r="AC2260" s="1"/>
      <c r="AJ2260" s="1"/>
      <c r="AQ2260" s="1"/>
      <c r="AX2260" s="1"/>
    </row>
    <row r="2261" spans="1:50" x14ac:dyDescent="0.25">
      <c r="A2261" s="1"/>
      <c r="H2261" s="1"/>
      <c r="O2261" s="1"/>
      <c r="V2261" s="1"/>
      <c r="AC2261" s="1"/>
      <c r="AJ2261" s="1"/>
      <c r="AQ2261" s="1"/>
      <c r="AX2261" s="1"/>
    </row>
    <row r="2262" spans="1:50" x14ac:dyDescent="0.25">
      <c r="A2262" s="1"/>
      <c r="H2262" s="1"/>
      <c r="O2262" s="1"/>
      <c r="V2262" s="1"/>
      <c r="AC2262" s="1"/>
      <c r="AJ2262" s="1"/>
      <c r="AQ2262" s="1"/>
      <c r="AX2262" s="1"/>
    </row>
    <row r="2263" spans="1:50" x14ac:dyDescent="0.25">
      <c r="A2263" s="1"/>
      <c r="H2263" s="1"/>
      <c r="O2263" s="1"/>
      <c r="V2263" s="1"/>
      <c r="AC2263" s="1"/>
      <c r="AJ2263" s="1"/>
      <c r="AQ2263" s="1"/>
      <c r="AX2263" s="1"/>
    </row>
    <row r="2264" spans="1:50" x14ac:dyDescent="0.25">
      <c r="A2264" s="1"/>
      <c r="H2264" s="1"/>
      <c r="O2264" s="1"/>
      <c r="V2264" s="1"/>
      <c r="AC2264" s="1"/>
      <c r="AJ2264" s="1"/>
      <c r="AQ2264" s="1"/>
      <c r="AX2264" s="1"/>
    </row>
    <row r="2265" spans="1:50" x14ac:dyDescent="0.25">
      <c r="A2265" s="1"/>
      <c r="H2265" s="1"/>
      <c r="O2265" s="1"/>
      <c r="V2265" s="1"/>
      <c r="AC2265" s="1"/>
      <c r="AJ2265" s="1"/>
      <c r="AQ2265" s="1"/>
      <c r="AX2265" s="1"/>
    </row>
    <row r="2266" spans="1:50" x14ac:dyDescent="0.25">
      <c r="A2266" s="1"/>
      <c r="H2266" s="1"/>
      <c r="O2266" s="1"/>
      <c r="V2266" s="1"/>
      <c r="AC2266" s="1"/>
      <c r="AJ2266" s="1"/>
      <c r="AQ2266" s="1"/>
      <c r="AX2266" s="1"/>
    </row>
    <row r="2267" spans="1:50" x14ac:dyDescent="0.25">
      <c r="A2267" s="1"/>
      <c r="H2267" s="1"/>
      <c r="O2267" s="1"/>
      <c r="V2267" s="1"/>
      <c r="AC2267" s="1"/>
      <c r="AJ2267" s="1"/>
      <c r="AQ2267" s="1"/>
      <c r="AX2267" s="1"/>
    </row>
    <row r="2268" spans="1:50" x14ac:dyDescent="0.25">
      <c r="A2268" s="1"/>
      <c r="H2268" s="1"/>
      <c r="O2268" s="1"/>
      <c r="V2268" s="1"/>
      <c r="AC2268" s="1"/>
      <c r="AJ2268" s="1"/>
      <c r="AQ2268" s="1"/>
      <c r="AX2268" s="1"/>
    </row>
    <row r="2269" spans="1:50" x14ac:dyDescent="0.25">
      <c r="A2269" s="1"/>
      <c r="H2269" s="1"/>
      <c r="O2269" s="1"/>
      <c r="V2269" s="1"/>
      <c r="AC2269" s="1"/>
      <c r="AJ2269" s="1"/>
      <c r="AQ2269" s="1"/>
      <c r="AX2269" s="1"/>
    </row>
    <row r="2270" spans="1:50" x14ac:dyDescent="0.25">
      <c r="A2270" s="1"/>
      <c r="H2270" s="1"/>
      <c r="O2270" s="1"/>
      <c r="V2270" s="1"/>
      <c r="AC2270" s="1"/>
      <c r="AJ2270" s="1"/>
      <c r="AQ2270" s="1"/>
      <c r="AX2270" s="1"/>
    </row>
    <row r="2271" spans="1:50" x14ac:dyDescent="0.25">
      <c r="A2271" s="1"/>
      <c r="H2271" s="1"/>
      <c r="O2271" s="1"/>
      <c r="V2271" s="1"/>
      <c r="AC2271" s="1"/>
      <c r="AJ2271" s="1"/>
      <c r="AQ2271" s="1"/>
      <c r="AX2271" s="1"/>
    </row>
    <row r="2272" spans="1:50" x14ac:dyDescent="0.25">
      <c r="A2272" s="1"/>
      <c r="H2272" s="1"/>
      <c r="O2272" s="1"/>
      <c r="V2272" s="1"/>
      <c r="AC2272" s="1"/>
      <c r="AJ2272" s="1"/>
      <c r="AQ2272" s="1"/>
      <c r="AX2272" s="1"/>
    </row>
    <row r="2273" spans="1:50" x14ac:dyDescent="0.25">
      <c r="A2273" s="1"/>
      <c r="H2273" s="1"/>
      <c r="O2273" s="1"/>
      <c r="V2273" s="1"/>
      <c r="AC2273" s="1"/>
      <c r="AJ2273" s="1"/>
      <c r="AQ2273" s="1"/>
      <c r="AX2273" s="1"/>
    </row>
    <row r="2274" spans="1:50" x14ac:dyDescent="0.25">
      <c r="A2274" s="1"/>
      <c r="H2274" s="1"/>
      <c r="O2274" s="1"/>
      <c r="V2274" s="1"/>
      <c r="AC2274" s="1"/>
      <c r="AJ2274" s="1"/>
      <c r="AQ2274" s="1"/>
      <c r="AX2274" s="1"/>
    </row>
    <row r="2275" spans="1:50" x14ac:dyDescent="0.25">
      <c r="A2275" s="1"/>
      <c r="H2275" s="1"/>
      <c r="O2275" s="1"/>
      <c r="V2275" s="1"/>
      <c r="AC2275" s="1"/>
      <c r="AJ2275" s="1"/>
      <c r="AQ2275" s="1"/>
      <c r="AX2275" s="1"/>
    </row>
    <row r="2276" spans="1:50" x14ac:dyDescent="0.25">
      <c r="A2276" s="1"/>
      <c r="H2276" s="1"/>
      <c r="O2276" s="1"/>
      <c r="V2276" s="1"/>
      <c r="AC2276" s="1"/>
      <c r="AJ2276" s="1"/>
      <c r="AQ2276" s="1"/>
      <c r="AX2276" s="1"/>
    </row>
    <row r="2277" spans="1:50" x14ac:dyDescent="0.25">
      <c r="A2277" s="1"/>
      <c r="H2277" s="1"/>
      <c r="O2277" s="1"/>
      <c r="V2277" s="1"/>
      <c r="AC2277" s="1"/>
      <c r="AJ2277" s="1"/>
      <c r="AQ2277" s="1"/>
      <c r="AX2277" s="1"/>
    </row>
    <row r="2278" spans="1:50" x14ac:dyDescent="0.25">
      <c r="A2278" s="1"/>
      <c r="H2278" s="1"/>
      <c r="O2278" s="1"/>
      <c r="V2278" s="1"/>
      <c r="AC2278" s="1"/>
      <c r="AJ2278" s="1"/>
      <c r="AQ2278" s="1"/>
      <c r="AX2278" s="1"/>
    </row>
    <row r="2279" spans="1:50" x14ac:dyDescent="0.25">
      <c r="A2279" s="1"/>
      <c r="H2279" s="1"/>
      <c r="O2279" s="1"/>
      <c r="V2279" s="1"/>
      <c r="AC2279" s="1"/>
      <c r="AJ2279" s="1"/>
      <c r="AQ2279" s="1"/>
      <c r="AX2279" s="1"/>
    </row>
    <row r="2280" spans="1:50" x14ac:dyDescent="0.25">
      <c r="A2280" s="1"/>
      <c r="H2280" s="1"/>
      <c r="O2280" s="1"/>
      <c r="V2280" s="1"/>
      <c r="AC2280" s="1"/>
      <c r="AJ2280" s="1"/>
      <c r="AQ2280" s="1"/>
      <c r="AX2280" s="1"/>
    </row>
    <row r="2281" spans="1:50" x14ac:dyDescent="0.25">
      <c r="A2281" s="1"/>
      <c r="H2281" s="1"/>
      <c r="O2281" s="1"/>
      <c r="V2281" s="1"/>
      <c r="AC2281" s="1"/>
      <c r="AJ2281" s="1"/>
      <c r="AQ2281" s="1"/>
      <c r="AX2281" s="1"/>
    </row>
    <row r="2282" spans="1:50" x14ac:dyDescent="0.25">
      <c r="A2282" s="1"/>
      <c r="H2282" s="1"/>
      <c r="O2282" s="1"/>
      <c r="V2282" s="1"/>
      <c r="AC2282" s="1"/>
      <c r="AJ2282" s="1"/>
      <c r="AQ2282" s="1"/>
      <c r="AX2282" s="1"/>
    </row>
    <row r="2283" spans="1:50" x14ac:dyDescent="0.25">
      <c r="A2283" s="1"/>
      <c r="H2283" s="1"/>
      <c r="O2283" s="1"/>
      <c r="V2283" s="1"/>
      <c r="AC2283" s="1"/>
      <c r="AJ2283" s="1"/>
      <c r="AQ2283" s="1"/>
      <c r="AX2283" s="1"/>
    </row>
    <row r="2284" spans="1:50" x14ac:dyDescent="0.25">
      <c r="A2284" s="1"/>
      <c r="H2284" s="1"/>
      <c r="O2284" s="1"/>
      <c r="V2284" s="1"/>
      <c r="AC2284" s="1"/>
      <c r="AJ2284" s="1"/>
      <c r="AQ2284" s="1"/>
      <c r="AX2284" s="1"/>
    </row>
    <row r="2285" spans="1:50" x14ac:dyDescent="0.25">
      <c r="A2285" s="1"/>
      <c r="H2285" s="1"/>
      <c r="O2285" s="1"/>
      <c r="V2285" s="1"/>
      <c r="AC2285" s="1"/>
      <c r="AJ2285" s="1"/>
      <c r="AQ2285" s="1"/>
      <c r="AX2285" s="1"/>
    </row>
    <row r="2286" spans="1:50" x14ac:dyDescent="0.25">
      <c r="A2286" s="1"/>
      <c r="H2286" s="1"/>
      <c r="O2286" s="1"/>
      <c r="V2286" s="1"/>
      <c r="AC2286" s="1"/>
      <c r="AJ2286" s="1"/>
      <c r="AQ2286" s="1"/>
      <c r="AX2286" s="1"/>
    </row>
    <row r="2287" spans="1:50" x14ac:dyDescent="0.25">
      <c r="A2287" s="1"/>
      <c r="H2287" s="1"/>
      <c r="O2287" s="1"/>
      <c r="V2287" s="1"/>
      <c r="AC2287" s="1"/>
      <c r="AJ2287" s="1"/>
      <c r="AQ2287" s="1"/>
      <c r="AX2287" s="1"/>
    </row>
    <row r="2288" spans="1:50" x14ac:dyDescent="0.25">
      <c r="A2288" s="1"/>
      <c r="H2288" s="1"/>
      <c r="O2288" s="1"/>
      <c r="V2288" s="1"/>
      <c r="AC2288" s="1"/>
      <c r="AJ2288" s="1"/>
      <c r="AQ2288" s="1"/>
      <c r="AX2288" s="1"/>
    </row>
    <row r="2289" spans="1:50" x14ac:dyDescent="0.25">
      <c r="A2289" s="1"/>
      <c r="H2289" s="1"/>
      <c r="O2289" s="1"/>
      <c r="V2289" s="1"/>
      <c r="AC2289" s="1"/>
      <c r="AJ2289" s="1"/>
      <c r="AQ2289" s="1"/>
      <c r="AX2289" s="1"/>
    </row>
    <row r="2290" spans="1:50" x14ac:dyDescent="0.25">
      <c r="A2290" s="1"/>
      <c r="H2290" s="1"/>
      <c r="O2290" s="1"/>
      <c r="V2290" s="1"/>
      <c r="AC2290" s="1"/>
      <c r="AJ2290" s="1"/>
      <c r="AQ2290" s="1"/>
      <c r="AX2290" s="1"/>
    </row>
    <row r="2291" spans="1:50" x14ac:dyDescent="0.25">
      <c r="A2291" s="1"/>
      <c r="H2291" s="1"/>
      <c r="O2291" s="1"/>
      <c r="V2291" s="1"/>
      <c r="AC2291" s="1"/>
      <c r="AJ2291" s="1"/>
      <c r="AQ2291" s="1"/>
      <c r="AX2291" s="1"/>
    </row>
    <row r="2292" spans="1:50" x14ac:dyDescent="0.25">
      <c r="A2292" s="1"/>
      <c r="H2292" s="1"/>
      <c r="O2292" s="1"/>
      <c r="V2292" s="1"/>
      <c r="AC2292" s="1"/>
      <c r="AJ2292" s="1"/>
      <c r="AQ2292" s="1"/>
      <c r="AX2292" s="1"/>
    </row>
    <row r="2293" spans="1:50" x14ac:dyDescent="0.25">
      <c r="A2293" s="1"/>
      <c r="H2293" s="1"/>
      <c r="O2293" s="1"/>
      <c r="V2293" s="1"/>
      <c r="AC2293" s="1"/>
      <c r="AJ2293" s="1"/>
      <c r="AQ2293" s="1"/>
      <c r="AX2293" s="1"/>
    </row>
    <row r="2294" spans="1:50" x14ac:dyDescent="0.25">
      <c r="A2294" s="1"/>
      <c r="H2294" s="1"/>
      <c r="O2294" s="1"/>
      <c r="V2294" s="1"/>
      <c r="AC2294" s="1"/>
      <c r="AJ2294" s="1"/>
      <c r="AQ2294" s="1"/>
      <c r="AX2294" s="1"/>
    </row>
    <row r="2295" spans="1:50" x14ac:dyDescent="0.25">
      <c r="A2295" s="1"/>
      <c r="H2295" s="1"/>
      <c r="O2295" s="1"/>
      <c r="V2295" s="1"/>
      <c r="AC2295" s="1"/>
      <c r="AJ2295" s="1"/>
      <c r="AQ2295" s="1"/>
      <c r="AX2295" s="1"/>
    </row>
    <row r="2296" spans="1:50" x14ac:dyDescent="0.25">
      <c r="A2296" s="1"/>
      <c r="H2296" s="1"/>
      <c r="O2296" s="1"/>
      <c r="V2296" s="1"/>
      <c r="AC2296" s="1"/>
      <c r="AJ2296" s="1"/>
      <c r="AQ2296" s="1"/>
      <c r="AX2296" s="1"/>
    </row>
    <row r="2297" spans="1:50" x14ac:dyDescent="0.25">
      <c r="A2297" s="1"/>
      <c r="H2297" s="1"/>
      <c r="O2297" s="1"/>
      <c r="V2297" s="1"/>
      <c r="AC2297" s="1"/>
      <c r="AJ2297" s="1"/>
      <c r="AQ2297" s="1"/>
      <c r="AX2297" s="1"/>
    </row>
    <row r="2298" spans="1:50" x14ac:dyDescent="0.25">
      <c r="A2298" s="1"/>
      <c r="H2298" s="1"/>
      <c r="O2298" s="1"/>
      <c r="V2298" s="1"/>
      <c r="AC2298" s="1"/>
      <c r="AJ2298" s="1"/>
      <c r="AQ2298" s="1"/>
      <c r="AX2298" s="1"/>
    </row>
    <row r="2299" spans="1:50" x14ac:dyDescent="0.25">
      <c r="A2299" s="1"/>
      <c r="H2299" s="1"/>
      <c r="O2299" s="1"/>
      <c r="V2299" s="1"/>
      <c r="AC2299" s="1"/>
      <c r="AJ2299" s="1"/>
      <c r="AQ2299" s="1"/>
      <c r="AX2299" s="1"/>
    </row>
    <row r="2300" spans="1:50" x14ac:dyDescent="0.25">
      <c r="A2300" s="1"/>
      <c r="H2300" s="1"/>
      <c r="O2300" s="1"/>
      <c r="V2300" s="1"/>
      <c r="AC2300" s="1"/>
      <c r="AJ2300" s="1"/>
      <c r="AQ2300" s="1"/>
      <c r="AX2300" s="1"/>
    </row>
    <row r="2301" spans="1:50" x14ac:dyDescent="0.25">
      <c r="A2301" s="1"/>
      <c r="H2301" s="1"/>
      <c r="O2301" s="1"/>
      <c r="V2301" s="1"/>
      <c r="AC2301" s="1"/>
      <c r="AJ2301" s="1"/>
      <c r="AQ2301" s="1"/>
      <c r="AX2301" s="1"/>
    </row>
    <row r="2302" spans="1:50" x14ac:dyDescent="0.25">
      <c r="A2302" s="1"/>
      <c r="H2302" s="1"/>
      <c r="O2302" s="1"/>
      <c r="V2302" s="1"/>
      <c r="AC2302" s="1"/>
      <c r="AJ2302" s="1"/>
      <c r="AQ2302" s="1"/>
      <c r="AX2302" s="1"/>
    </row>
    <row r="2303" spans="1:50" x14ac:dyDescent="0.25">
      <c r="A2303" s="1"/>
      <c r="H2303" s="1"/>
      <c r="O2303" s="1"/>
      <c r="V2303" s="1"/>
      <c r="AC2303" s="1"/>
      <c r="AJ2303" s="1"/>
      <c r="AQ2303" s="1"/>
      <c r="AX2303" s="1"/>
    </row>
    <row r="2304" spans="1:50" x14ac:dyDescent="0.25">
      <c r="A2304" s="1"/>
      <c r="H2304" s="1"/>
      <c r="O2304" s="1"/>
      <c r="V2304" s="1"/>
      <c r="AC2304" s="1"/>
      <c r="AJ2304" s="1"/>
      <c r="AQ2304" s="1"/>
      <c r="AX2304" s="1"/>
    </row>
    <row r="2305" spans="1:50" x14ac:dyDescent="0.25">
      <c r="A2305" s="1"/>
      <c r="H2305" s="1"/>
      <c r="O2305" s="1"/>
      <c r="V2305" s="1"/>
      <c r="AC2305" s="1"/>
      <c r="AJ2305" s="1"/>
      <c r="AQ2305" s="1"/>
      <c r="AX2305" s="1"/>
    </row>
    <row r="2306" spans="1:50" x14ac:dyDescent="0.25">
      <c r="A2306" s="1"/>
      <c r="H2306" s="1"/>
      <c r="O2306" s="1"/>
      <c r="V2306" s="1"/>
      <c r="AC2306" s="1"/>
      <c r="AJ2306" s="1"/>
      <c r="AQ2306" s="1"/>
      <c r="AX2306" s="1"/>
    </row>
    <row r="2307" spans="1:50" x14ac:dyDescent="0.25">
      <c r="A2307" s="1"/>
      <c r="H2307" s="1"/>
      <c r="O2307" s="1"/>
      <c r="V2307" s="1"/>
      <c r="AC2307" s="1"/>
      <c r="AJ2307" s="1"/>
      <c r="AQ2307" s="1"/>
      <c r="AX2307" s="1"/>
    </row>
    <row r="2308" spans="1:50" x14ac:dyDescent="0.25">
      <c r="A2308" s="1"/>
      <c r="H2308" s="1"/>
      <c r="O2308" s="1"/>
      <c r="V2308" s="1"/>
      <c r="AC2308" s="1"/>
      <c r="AJ2308" s="1"/>
      <c r="AQ2308" s="1"/>
      <c r="AX2308" s="1"/>
    </row>
    <row r="2309" spans="1:50" x14ac:dyDescent="0.25">
      <c r="A2309" s="1"/>
      <c r="H2309" s="1"/>
      <c r="O2309" s="1"/>
      <c r="V2309" s="1"/>
      <c r="AC2309" s="1"/>
      <c r="AJ2309" s="1"/>
      <c r="AQ2309" s="1"/>
      <c r="AX2309" s="1"/>
    </row>
    <row r="2310" spans="1:50" x14ac:dyDescent="0.25">
      <c r="A2310" s="1"/>
      <c r="H2310" s="1"/>
      <c r="O2310" s="1"/>
      <c r="V2310" s="1"/>
      <c r="AC2310" s="1"/>
      <c r="AJ2310" s="1"/>
      <c r="AQ2310" s="1"/>
      <c r="AX2310" s="1"/>
    </row>
    <row r="2311" spans="1:50" x14ac:dyDescent="0.25">
      <c r="A2311" s="1"/>
      <c r="H2311" s="1"/>
      <c r="O2311" s="1"/>
      <c r="V2311" s="1"/>
      <c r="AC2311" s="1"/>
      <c r="AJ2311" s="1"/>
      <c r="AQ2311" s="1"/>
      <c r="AX2311" s="1"/>
    </row>
    <row r="2312" spans="1:50" x14ac:dyDescent="0.25">
      <c r="A2312" s="1"/>
      <c r="H2312" s="1"/>
      <c r="O2312" s="1"/>
      <c r="V2312" s="1"/>
      <c r="AC2312" s="1"/>
      <c r="AJ2312" s="1"/>
      <c r="AQ2312" s="1"/>
      <c r="AX2312" s="1"/>
    </row>
    <row r="2313" spans="1:50" x14ac:dyDescent="0.25">
      <c r="A2313" s="1"/>
      <c r="H2313" s="1"/>
      <c r="O2313" s="1"/>
      <c r="V2313" s="1"/>
      <c r="AC2313" s="1"/>
      <c r="AJ2313" s="1"/>
      <c r="AQ2313" s="1"/>
      <c r="AX2313" s="1"/>
    </row>
    <row r="2314" spans="1:50" x14ac:dyDescent="0.25">
      <c r="A2314" s="1"/>
      <c r="H2314" s="1"/>
      <c r="O2314" s="1"/>
      <c r="V2314" s="1"/>
      <c r="AC2314" s="1"/>
      <c r="AJ2314" s="1"/>
      <c r="AQ2314" s="1"/>
      <c r="AX2314" s="1"/>
    </row>
    <row r="2315" spans="1:50" x14ac:dyDescent="0.25">
      <c r="A2315" s="1"/>
      <c r="H2315" s="1"/>
      <c r="O2315" s="1"/>
      <c r="V2315" s="1"/>
      <c r="AC2315" s="1"/>
      <c r="AJ2315" s="1"/>
      <c r="AQ2315" s="1"/>
      <c r="AX2315" s="1"/>
    </row>
    <row r="2316" spans="1:50" x14ac:dyDescent="0.25">
      <c r="A2316" s="1"/>
      <c r="H2316" s="1"/>
      <c r="O2316" s="1"/>
      <c r="V2316" s="1"/>
      <c r="AC2316" s="1"/>
      <c r="AJ2316" s="1"/>
      <c r="AQ2316" s="1"/>
      <c r="AX2316" s="1"/>
    </row>
    <row r="2317" spans="1:50" x14ac:dyDescent="0.25">
      <c r="A2317" s="1"/>
      <c r="H2317" s="1"/>
      <c r="O2317" s="1"/>
      <c r="V2317" s="1"/>
      <c r="AC2317" s="1"/>
      <c r="AJ2317" s="1"/>
      <c r="AQ2317" s="1"/>
      <c r="AX2317" s="1"/>
    </row>
    <row r="2318" spans="1:50" x14ac:dyDescent="0.25">
      <c r="A2318" s="1"/>
      <c r="H2318" s="1"/>
      <c r="O2318" s="1"/>
      <c r="V2318" s="1"/>
      <c r="AC2318" s="1"/>
      <c r="AJ2318" s="1"/>
      <c r="AQ2318" s="1"/>
      <c r="AX2318" s="1"/>
    </row>
    <row r="2319" spans="1:50" x14ac:dyDescent="0.25">
      <c r="A2319" s="1"/>
      <c r="H2319" s="1"/>
      <c r="O2319" s="1"/>
      <c r="V2319" s="1"/>
      <c r="AC2319" s="1"/>
      <c r="AJ2319" s="1"/>
      <c r="AQ2319" s="1"/>
      <c r="AX2319" s="1"/>
    </row>
    <row r="2320" spans="1:50" x14ac:dyDescent="0.25">
      <c r="A2320" s="1"/>
      <c r="H2320" s="1"/>
      <c r="O2320" s="1"/>
      <c r="V2320" s="1"/>
      <c r="AC2320" s="1"/>
      <c r="AJ2320" s="1"/>
      <c r="AQ2320" s="1"/>
      <c r="AX2320" s="1"/>
    </row>
    <row r="2321" spans="1:50" x14ac:dyDescent="0.25">
      <c r="A2321" s="1"/>
      <c r="H2321" s="1"/>
      <c r="O2321" s="1"/>
      <c r="V2321" s="1"/>
      <c r="AC2321" s="1"/>
      <c r="AJ2321" s="1"/>
      <c r="AQ2321" s="1"/>
      <c r="AX2321" s="1"/>
    </row>
    <row r="2322" spans="1:50" x14ac:dyDescent="0.25">
      <c r="A2322" s="1"/>
      <c r="H2322" s="1"/>
      <c r="O2322" s="1"/>
      <c r="V2322" s="1"/>
      <c r="AC2322" s="1"/>
      <c r="AJ2322" s="1"/>
      <c r="AQ2322" s="1"/>
      <c r="AX2322" s="1"/>
    </row>
    <row r="2323" spans="1:50" x14ac:dyDescent="0.25">
      <c r="A2323" s="1"/>
      <c r="H2323" s="1"/>
      <c r="O2323" s="1"/>
      <c r="V2323" s="1"/>
      <c r="AC2323" s="1"/>
      <c r="AJ2323" s="1"/>
      <c r="AQ2323" s="1"/>
      <c r="AX2323" s="1"/>
    </row>
    <row r="2324" spans="1:50" x14ac:dyDescent="0.25">
      <c r="A2324" s="1"/>
      <c r="H2324" s="1"/>
      <c r="O2324" s="1"/>
      <c r="V2324" s="1"/>
      <c r="AC2324" s="1"/>
      <c r="AJ2324" s="1"/>
      <c r="AQ2324" s="1"/>
      <c r="AX2324" s="1"/>
    </row>
    <row r="2325" spans="1:50" x14ac:dyDescent="0.25">
      <c r="A2325" s="1"/>
      <c r="H2325" s="1"/>
      <c r="O2325" s="1"/>
      <c r="V2325" s="1"/>
      <c r="AC2325" s="1"/>
      <c r="AJ2325" s="1"/>
      <c r="AQ2325" s="1"/>
      <c r="AX2325" s="1"/>
    </row>
    <row r="2326" spans="1:50" x14ac:dyDescent="0.25">
      <c r="A2326" s="1"/>
      <c r="H2326" s="1"/>
      <c r="O2326" s="1"/>
      <c r="V2326" s="1"/>
      <c r="AC2326" s="1"/>
      <c r="AJ2326" s="1"/>
      <c r="AQ2326" s="1"/>
      <c r="AX2326" s="1"/>
    </row>
    <row r="2327" spans="1:50" x14ac:dyDescent="0.25">
      <c r="A2327" s="1"/>
      <c r="H2327" s="1"/>
      <c r="O2327" s="1"/>
      <c r="V2327" s="1"/>
      <c r="AC2327" s="1"/>
      <c r="AJ2327" s="1"/>
      <c r="AQ2327" s="1"/>
      <c r="AX2327" s="1"/>
    </row>
    <row r="2328" spans="1:50" x14ac:dyDescent="0.25">
      <c r="A2328" s="1"/>
      <c r="H2328" s="1"/>
      <c r="O2328" s="1"/>
      <c r="V2328" s="1"/>
      <c r="AC2328" s="1"/>
      <c r="AJ2328" s="1"/>
      <c r="AQ2328" s="1"/>
      <c r="AX2328" s="1"/>
    </row>
    <row r="2329" spans="1:50" x14ac:dyDescent="0.25">
      <c r="A2329" s="1"/>
      <c r="H2329" s="1"/>
      <c r="O2329" s="1"/>
      <c r="V2329" s="1"/>
      <c r="AC2329" s="1"/>
      <c r="AJ2329" s="1"/>
      <c r="AQ2329" s="1"/>
      <c r="AX2329" s="1"/>
    </row>
    <row r="2330" spans="1:50" x14ac:dyDescent="0.25">
      <c r="A2330" s="1"/>
      <c r="H2330" s="1"/>
      <c r="O2330" s="1"/>
      <c r="V2330" s="1"/>
      <c r="AC2330" s="1"/>
      <c r="AJ2330" s="1"/>
      <c r="AQ2330" s="1"/>
      <c r="AX2330" s="1"/>
    </row>
    <row r="2331" spans="1:50" x14ac:dyDescent="0.25">
      <c r="A2331" s="1"/>
      <c r="H2331" s="1"/>
      <c r="O2331" s="1"/>
      <c r="V2331" s="1"/>
      <c r="AC2331" s="1"/>
      <c r="AJ2331" s="1"/>
      <c r="AQ2331" s="1"/>
      <c r="AX2331" s="1"/>
    </row>
    <row r="2332" spans="1:50" x14ac:dyDescent="0.25">
      <c r="A2332" s="1"/>
      <c r="H2332" s="1"/>
      <c r="O2332" s="1"/>
      <c r="V2332" s="1"/>
      <c r="AC2332" s="1"/>
      <c r="AJ2332" s="1"/>
      <c r="AQ2332" s="1"/>
      <c r="AX2332" s="1"/>
    </row>
    <row r="2333" spans="1:50" x14ac:dyDescent="0.25">
      <c r="A2333" s="1"/>
      <c r="H2333" s="1"/>
      <c r="O2333" s="1"/>
      <c r="V2333" s="1"/>
      <c r="AC2333" s="1"/>
      <c r="AJ2333" s="1"/>
      <c r="AQ2333" s="1"/>
      <c r="AX2333" s="1"/>
    </row>
    <row r="2334" spans="1:50" x14ac:dyDescent="0.25">
      <c r="A2334" s="1"/>
      <c r="H2334" s="1"/>
      <c r="O2334" s="1"/>
      <c r="V2334" s="1"/>
      <c r="AC2334" s="1"/>
      <c r="AJ2334" s="1"/>
      <c r="AQ2334" s="1"/>
      <c r="AX2334" s="1"/>
    </row>
    <row r="2335" spans="1:50" x14ac:dyDescent="0.25">
      <c r="A2335" s="1"/>
      <c r="H2335" s="1"/>
      <c r="O2335" s="1"/>
      <c r="V2335" s="1"/>
      <c r="AC2335" s="1"/>
      <c r="AJ2335" s="1"/>
      <c r="AQ2335" s="1"/>
      <c r="AX2335" s="1"/>
    </row>
    <row r="2336" spans="1:50" x14ac:dyDescent="0.25">
      <c r="A2336" s="1"/>
      <c r="H2336" s="1"/>
      <c r="O2336" s="1"/>
      <c r="V2336" s="1"/>
      <c r="AC2336" s="1"/>
      <c r="AJ2336" s="1"/>
      <c r="AQ2336" s="1"/>
      <c r="AX2336" s="1"/>
    </row>
    <row r="2337" spans="1:50" x14ac:dyDescent="0.25">
      <c r="A2337" s="1"/>
      <c r="H2337" s="1"/>
      <c r="O2337" s="1"/>
      <c r="V2337" s="1"/>
      <c r="AC2337" s="1"/>
      <c r="AJ2337" s="1"/>
      <c r="AQ2337" s="1"/>
      <c r="AX2337" s="1"/>
    </row>
    <row r="2338" spans="1:50" x14ac:dyDescent="0.25">
      <c r="A2338" s="1"/>
      <c r="H2338" s="1"/>
      <c r="O2338" s="1"/>
      <c r="V2338" s="1"/>
      <c r="AC2338" s="1"/>
      <c r="AJ2338" s="1"/>
      <c r="AQ2338" s="1"/>
      <c r="AX2338" s="1"/>
    </row>
    <row r="2339" spans="1:50" x14ac:dyDescent="0.25">
      <c r="A2339" s="1"/>
      <c r="H2339" s="1"/>
      <c r="O2339" s="1"/>
      <c r="V2339" s="1"/>
      <c r="AC2339" s="1"/>
      <c r="AJ2339" s="1"/>
      <c r="AQ2339" s="1"/>
      <c r="AX2339" s="1"/>
    </row>
    <row r="2340" spans="1:50" x14ac:dyDescent="0.25">
      <c r="A2340" s="1"/>
      <c r="H2340" s="1"/>
      <c r="O2340" s="1"/>
      <c r="V2340" s="1"/>
      <c r="AC2340" s="1"/>
      <c r="AJ2340" s="1"/>
      <c r="AQ2340" s="1"/>
      <c r="AX2340" s="1"/>
    </row>
    <row r="2341" spans="1:50" x14ac:dyDescent="0.25">
      <c r="A2341" s="1"/>
      <c r="H2341" s="1"/>
      <c r="O2341" s="1"/>
      <c r="V2341" s="1"/>
      <c r="AC2341" s="1"/>
      <c r="AJ2341" s="1"/>
      <c r="AQ2341" s="1"/>
      <c r="AX2341" s="1"/>
    </row>
    <row r="2342" spans="1:50" x14ac:dyDescent="0.25">
      <c r="A2342" s="1"/>
      <c r="H2342" s="1"/>
      <c r="O2342" s="1"/>
      <c r="V2342" s="1"/>
      <c r="AC2342" s="1"/>
      <c r="AJ2342" s="1"/>
      <c r="AQ2342" s="1"/>
      <c r="AX2342" s="1"/>
    </row>
    <row r="2343" spans="1:50" x14ac:dyDescent="0.25">
      <c r="A2343" s="1"/>
      <c r="H2343" s="1"/>
      <c r="O2343" s="1"/>
      <c r="V2343" s="1"/>
      <c r="AC2343" s="1"/>
      <c r="AJ2343" s="1"/>
      <c r="AQ2343" s="1"/>
      <c r="AX2343" s="1"/>
    </row>
    <row r="2344" spans="1:50" x14ac:dyDescent="0.25">
      <c r="A2344" s="1"/>
      <c r="H2344" s="1"/>
      <c r="O2344" s="1"/>
      <c r="V2344" s="1"/>
      <c r="AC2344" s="1"/>
      <c r="AJ2344" s="1"/>
      <c r="AQ2344" s="1"/>
      <c r="AX2344" s="1"/>
    </row>
    <row r="2345" spans="1:50" x14ac:dyDescent="0.25">
      <c r="A2345" s="1"/>
      <c r="H2345" s="1"/>
      <c r="O2345" s="1"/>
      <c r="V2345" s="1"/>
      <c r="AC2345" s="1"/>
      <c r="AJ2345" s="1"/>
      <c r="AQ2345" s="1"/>
      <c r="AX2345" s="1"/>
    </row>
    <row r="2346" spans="1:50" x14ac:dyDescent="0.25">
      <c r="A2346" s="1"/>
      <c r="H2346" s="1"/>
      <c r="O2346" s="1"/>
      <c r="V2346" s="1"/>
      <c r="AC2346" s="1"/>
      <c r="AJ2346" s="1"/>
      <c r="AQ2346" s="1"/>
      <c r="AX2346" s="1"/>
    </row>
    <row r="2347" spans="1:50" x14ac:dyDescent="0.25">
      <c r="A2347" s="1"/>
      <c r="H2347" s="1"/>
      <c r="O2347" s="1"/>
      <c r="V2347" s="1"/>
      <c r="AC2347" s="1"/>
      <c r="AJ2347" s="1"/>
      <c r="AQ2347" s="1"/>
      <c r="AX2347" s="1"/>
    </row>
    <row r="2348" spans="1:50" x14ac:dyDescent="0.25">
      <c r="A2348" s="1"/>
      <c r="H2348" s="1"/>
      <c r="O2348" s="1"/>
      <c r="V2348" s="1"/>
      <c r="AC2348" s="1"/>
      <c r="AJ2348" s="1"/>
      <c r="AQ2348" s="1"/>
      <c r="AX2348" s="1"/>
    </row>
    <row r="2349" spans="1:50" x14ac:dyDescent="0.25">
      <c r="A2349" s="1"/>
      <c r="H2349" s="1"/>
      <c r="O2349" s="1"/>
      <c r="V2349" s="1"/>
      <c r="AC2349" s="1"/>
      <c r="AJ2349" s="1"/>
      <c r="AQ2349" s="1"/>
      <c r="AX2349" s="1"/>
    </row>
    <row r="2350" spans="1:50" x14ac:dyDescent="0.25">
      <c r="A2350" s="1"/>
      <c r="H2350" s="1"/>
      <c r="O2350" s="1"/>
      <c r="V2350" s="1"/>
      <c r="AC2350" s="1"/>
      <c r="AJ2350" s="1"/>
      <c r="AQ2350" s="1"/>
      <c r="AX2350" s="1"/>
    </row>
    <row r="2351" spans="1:50" x14ac:dyDescent="0.25">
      <c r="A2351" s="1"/>
      <c r="H2351" s="1"/>
      <c r="O2351" s="1"/>
      <c r="V2351" s="1"/>
      <c r="AC2351" s="1"/>
      <c r="AJ2351" s="1"/>
      <c r="AQ2351" s="1"/>
      <c r="AX2351" s="1"/>
    </row>
    <row r="2352" spans="1:50" x14ac:dyDescent="0.25">
      <c r="A2352" s="1"/>
      <c r="H2352" s="1"/>
      <c r="O2352" s="1"/>
      <c r="V2352" s="1"/>
      <c r="AC2352" s="1"/>
      <c r="AJ2352" s="1"/>
      <c r="AQ2352" s="1"/>
      <c r="AX2352" s="1"/>
    </row>
    <row r="2353" spans="1:50" x14ac:dyDescent="0.25">
      <c r="A2353" s="1"/>
      <c r="H2353" s="1"/>
      <c r="O2353" s="1"/>
      <c r="V2353" s="1"/>
      <c r="AC2353" s="1"/>
      <c r="AJ2353" s="1"/>
      <c r="AQ2353" s="1"/>
      <c r="AX2353" s="1"/>
    </row>
    <row r="2354" spans="1:50" x14ac:dyDescent="0.25">
      <c r="A2354" s="1"/>
      <c r="H2354" s="1"/>
      <c r="O2354" s="1"/>
      <c r="V2354" s="1"/>
      <c r="AC2354" s="1"/>
      <c r="AJ2354" s="1"/>
      <c r="AQ2354" s="1"/>
      <c r="AX2354" s="1"/>
    </row>
    <row r="2355" spans="1:50" x14ac:dyDescent="0.25">
      <c r="A2355" s="1"/>
      <c r="H2355" s="1"/>
      <c r="O2355" s="1"/>
      <c r="V2355" s="1"/>
      <c r="AC2355" s="1"/>
      <c r="AJ2355" s="1"/>
      <c r="AQ2355" s="1"/>
      <c r="AX2355" s="1"/>
    </row>
    <row r="2356" spans="1:50" x14ac:dyDescent="0.25">
      <c r="A2356" s="1"/>
      <c r="H2356" s="1"/>
      <c r="O2356" s="1"/>
      <c r="V2356" s="1"/>
      <c r="AC2356" s="1"/>
      <c r="AJ2356" s="1"/>
      <c r="AQ2356" s="1"/>
      <c r="AX2356" s="1"/>
    </row>
    <row r="2357" spans="1:50" x14ac:dyDescent="0.25">
      <c r="A2357" s="1"/>
      <c r="H2357" s="1"/>
      <c r="O2357" s="1"/>
      <c r="V2357" s="1"/>
      <c r="AC2357" s="1"/>
      <c r="AJ2357" s="1"/>
      <c r="AQ2357" s="1"/>
      <c r="AX2357" s="1"/>
    </row>
    <row r="2358" spans="1:50" x14ac:dyDescent="0.25">
      <c r="A2358" s="1"/>
      <c r="H2358" s="1"/>
      <c r="O2358" s="1"/>
      <c r="V2358" s="1"/>
      <c r="AC2358" s="1"/>
      <c r="AJ2358" s="1"/>
      <c r="AQ2358" s="1"/>
      <c r="AX2358" s="1"/>
    </row>
    <row r="2359" spans="1:50" x14ac:dyDescent="0.25">
      <c r="A2359" s="1"/>
      <c r="H2359" s="1"/>
      <c r="O2359" s="1"/>
      <c r="V2359" s="1"/>
      <c r="AC2359" s="1"/>
      <c r="AJ2359" s="1"/>
      <c r="AQ2359" s="1"/>
      <c r="AX2359" s="1"/>
    </row>
    <row r="2360" spans="1:50" x14ac:dyDescent="0.25">
      <c r="A2360" s="1"/>
      <c r="H2360" s="1"/>
      <c r="O2360" s="1"/>
      <c r="V2360" s="1"/>
      <c r="AC2360" s="1"/>
      <c r="AJ2360" s="1"/>
      <c r="AQ2360" s="1"/>
      <c r="AX2360" s="1"/>
    </row>
    <row r="2361" spans="1:50" x14ac:dyDescent="0.25">
      <c r="A2361" s="1"/>
      <c r="H2361" s="1"/>
      <c r="O2361" s="1"/>
      <c r="V2361" s="1"/>
      <c r="AC2361" s="1"/>
      <c r="AJ2361" s="1"/>
      <c r="AQ2361" s="1"/>
      <c r="AX2361" s="1"/>
    </row>
    <row r="2362" spans="1:50" x14ac:dyDescent="0.25">
      <c r="A2362" s="1"/>
      <c r="H2362" s="1"/>
      <c r="O2362" s="1"/>
      <c r="V2362" s="1"/>
      <c r="AC2362" s="1"/>
      <c r="AJ2362" s="1"/>
      <c r="AQ2362" s="1"/>
      <c r="AX2362" s="1"/>
    </row>
    <row r="2363" spans="1:50" x14ac:dyDescent="0.25">
      <c r="A2363" s="1"/>
      <c r="H2363" s="1"/>
      <c r="O2363" s="1"/>
      <c r="V2363" s="1"/>
      <c r="AC2363" s="1"/>
      <c r="AJ2363" s="1"/>
      <c r="AQ2363" s="1"/>
      <c r="AX2363" s="1"/>
    </row>
    <row r="2364" spans="1:50" x14ac:dyDescent="0.25">
      <c r="A2364" s="1"/>
      <c r="H2364" s="1"/>
      <c r="O2364" s="1"/>
      <c r="V2364" s="1"/>
      <c r="AC2364" s="1"/>
      <c r="AJ2364" s="1"/>
      <c r="AQ2364" s="1"/>
      <c r="AX2364" s="1"/>
    </row>
    <row r="2365" spans="1:50" x14ac:dyDescent="0.25">
      <c r="A2365" s="1"/>
      <c r="H2365" s="1"/>
      <c r="O2365" s="1"/>
      <c r="V2365" s="1"/>
      <c r="AC2365" s="1"/>
      <c r="AJ2365" s="1"/>
      <c r="AQ2365" s="1"/>
      <c r="AX2365" s="1"/>
    </row>
    <row r="2366" spans="1:50" x14ac:dyDescent="0.25">
      <c r="A2366" s="1"/>
      <c r="H2366" s="1"/>
      <c r="O2366" s="1"/>
      <c r="V2366" s="1"/>
      <c r="AC2366" s="1"/>
      <c r="AJ2366" s="1"/>
      <c r="AQ2366" s="1"/>
      <c r="AX2366" s="1"/>
    </row>
    <row r="2367" spans="1:50" x14ac:dyDescent="0.25">
      <c r="A2367" s="1"/>
      <c r="H2367" s="1"/>
      <c r="O2367" s="1"/>
      <c r="V2367" s="1"/>
      <c r="AC2367" s="1"/>
      <c r="AJ2367" s="1"/>
      <c r="AQ2367" s="1"/>
      <c r="AX2367" s="1"/>
    </row>
    <row r="2368" spans="1:50" x14ac:dyDescent="0.25">
      <c r="A2368" s="1"/>
      <c r="H2368" s="1"/>
      <c r="O2368" s="1"/>
      <c r="V2368" s="1"/>
      <c r="AC2368" s="1"/>
      <c r="AJ2368" s="1"/>
      <c r="AQ2368" s="1"/>
      <c r="AX2368" s="1"/>
    </row>
    <row r="2369" spans="1:50" x14ac:dyDescent="0.25">
      <c r="A2369" s="1"/>
      <c r="H2369" s="1"/>
      <c r="O2369" s="1"/>
      <c r="V2369" s="1"/>
      <c r="AC2369" s="1"/>
      <c r="AJ2369" s="1"/>
      <c r="AQ2369" s="1"/>
      <c r="AX2369" s="1"/>
    </row>
    <row r="2370" spans="1:50" x14ac:dyDescent="0.25">
      <c r="A2370" s="1"/>
      <c r="H2370" s="1"/>
      <c r="O2370" s="1"/>
      <c r="V2370" s="1"/>
      <c r="AC2370" s="1"/>
      <c r="AJ2370" s="1"/>
      <c r="AQ2370" s="1"/>
      <c r="AX2370" s="1"/>
    </row>
    <row r="2371" spans="1:50" x14ac:dyDescent="0.25">
      <c r="A2371" s="1"/>
      <c r="H2371" s="1"/>
      <c r="O2371" s="1"/>
      <c r="V2371" s="1"/>
      <c r="AC2371" s="1"/>
      <c r="AJ2371" s="1"/>
      <c r="AQ2371" s="1"/>
      <c r="AX2371" s="1"/>
    </row>
    <row r="2372" spans="1:50" x14ac:dyDescent="0.25">
      <c r="A2372" s="1"/>
      <c r="H2372" s="1"/>
      <c r="O2372" s="1"/>
      <c r="V2372" s="1"/>
      <c r="AC2372" s="1"/>
      <c r="AJ2372" s="1"/>
      <c r="AQ2372" s="1"/>
      <c r="AX2372" s="1"/>
    </row>
    <row r="2373" spans="1:50" x14ac:dyDescent="0.25">
      <c r="A2373" s="1"/>
      <c r="H2373" s="1"/>
      <c r="O2373" s="1"/>
      <c r="V2373" s="1"/>
      <c r="AC2373" s="1"/>
      <c r="AJ2373" s="1"/>
      <c r="AQ2373" s="1"/>
      <c r="AX2373" s="1"/>
    </row>
    <row r="2374" spans="1:50" x14ac:dyDescent="0.25">
      <c r="A2374" s="1"/>
      <c r="H2374" s="1"/>
      <c r="O2374" s="1"/>
      <c r="V2374" s="1"/>
      <c r="AC2374" s="1"/>
      <c r="AJ2374" s="1"/>
      <c r="AQ2374" s="1"/>
      <c r="AX2374" s="1"/>
    </row>
    <row r="2375" spans="1:50" x14ac:dyDescent="0.25">
      <c r="A2375" s="1"/>
      <c r="H2375" s="1"/>
      <c r="O2375" s="1"/>
      <c r="V2375" s="1"/>
      <c r="AC2375" s="1"/>
      <c r="AJ2375" s="1"/>
      <c r="AQ2375" s="1"/>
      <c r="AX2375" s="1"/>
    </row>
    <row r="2376" spans="1:50" x14ac:dyDescent="0.25">
      <c r="A2376" s="1"/>
      <c r="H2376" s="1"/>
      <c r="O2376" s="1"/>
      <c r="V2376" s="1"/>
      <c r="AC2376" s="1"/>
      <c r="AJ2376" s="1"/>
      <c r="AQ2376" s="1"/>
      <c r="AX2376" s="1"/>
    </row>
    <row r="2377" spans="1:50" x14ac:dyDescent="0.25">
      <c r="A2377" s="1"/>
      <c r="H2377" s="1"/>
      <c r="O2377" s="1"/>
      <c r="V2377" s="1"/>
      <c r="AC2377" s="1"/>
      <c r="AJ2377" s="1"/>
      <c r="AQ2377" s="1"/>
      <c r="AX2377" s="1"/>
    </row>
    <row r="2378" spans="1:50" x14ac:dyDescent="0.25">
      <c r="A2378" s="1"/>
      <c r="H2378" s="1"/>
      <c r="O2378" s="1"/>
      <c r="V2378" s="1"/>
      <c r="AC2378" s="1"/>
      <c r="AJ2378" s="1"/>
      <c r="AQ2378" s="1"/>
      <c r="AX2378" s="1"/>
    </row>
    <row r="2379" spans="1:50" x14ac:dyDescent="0.25">
      <c r="A2379" s="1"/>
      <c r="H2379" s="1"/>
      <c r="O2379" s="1"/>
      <c r="V2379" s="1"/>
      <c r="AC2379" s="1"/>
      <c r="AJ2379" s="1"/>
      <c r="AQ2379" s="1"/>
      <c r="AX2379" s="1"/>
    </row>
    <row r="2380" spans="1:50" x14ac:dyDescent="0.25">
      <c r="A2380" s="1"/>
      <c r="H2380" s="1"/>
      <c r="O2380" s="1"/>
      <c r="V2380" s="1"/>
      <c r="AC2380" s="1"/>
      <c r="AJ2380" s="1"/>
      <c r="AQ2380" s="1"/>
      <c r="AX2380" s="1"/>
    </row>
    <row r="2381" spans="1:50" x14ac:dyDescent="0.25">
      <c r="A2381" s="1"/>
      <c r="H2381" s="1"/>
      <c r="O2381" s="1"/>
      <c r="V2381" s="1"/>
      <c r="AC2381" s="1"/>
      <c r="AJ2381" s="1"/>
      <c r="AQ2381" s="1"/>
      <c r="AX2381" s="1"/>
    </row>
    <row r="2382" spans="1:50" x14ac:dyDescent="0.25">
      <c r="A2382" s="1"/>
      <c r="H2382" s="1"/>
      <c r="O2382" s="1"/>
      <c r="V2382" s="1"/>
      <c r="AC2382" s="1"/>
      <c r="AJ2382" s="1"/>
      <c r="AQ2382" s="1"/>
      <c r="AX2382" s="1"/>
    </row>
    <row r="2383" spans="1:50" x14ac:dyDescent="0.25">
      <c r="A2383" s="1"/>
      <c r="H2383" s="1"/>
      <c r="O2383" s="1"/>
      <c r="V2383" s="1"/>
      <c r="AC2383" s="1"/>
      <c r="AJ2383" s="1"/>
      <c r="AQ2383" s="1"/>
      <c r="AX2383" s="1"/>
    </row>
    <row r="2384" spans="1:50" x14ac:dyDescent="0.25">
      <c r="A2384" s="1"/>
      <c r="H2384" s="1"/>
      <c r="O2384" s="1"/>
      <c r="V2384" s="1"/>
      <c r="AC2384" s="1"/>
      <c r="AJ2384" s="1"/>
      <c r="AQ2384" s="1"/>
      <c r="AX2384" s="1"/>
    </row>
    <row r="2385" spans="1:50" x14ac:dyDescent="0.25">
      <c r="A2385" s="1"/>
      <c r="H2385" s="1"/>
      <c r="O2385" s="1"/>
      <c r="V2385" s="1"/>
      <c r="AC2385" s="1"/>
      <c r="AJ2385" s="1"/>
      <c r="AQ2385" s="1"/>
      <c r="AX2385" s="1"/>
    </row>
    <row r="2386" spans="1:50" x14ac:dyDescent="0.25">
      <c r="A2386" s="1"/>
      <c r="H2386" s="1"/>
      <c r="O2386" s="1"/>
      <c r="V2386" s="1"/>
      <c r="AC2386" s="1"/>
      <c r="AJ2386" s="1"/>
      <c r="AQ2386" s="1"/>
      <c r="AX2386" s="1"/>
    </row>
    <row r="2387" spans="1:50" x14ac:dyDescent="0.25">
      <c r="A2387" s="1"/>
      <c r="H2387" s="1"/>
      <c r="O2387" s="1"/>
      <c r="V2387" s="1"/>
      <c r="AC2387" s="1"/>
      <c r="AJ2387" s="1"/>
      <c r="AQ2387" s="1"/>
      <c r="AX2387" s="1"/>
    </row>
    <row r="2388" spans="1:50" x14ac:dyDescent="0.25">
      <c r="A2388" s="1"/>
      <c r="H2388" s="1"/>
      <c r="O2388" s="1"/>
      <c r="V2388" s="1"/>
      <c r="AC2388" s="1"/>
      <c r="AJ2388" s="1"/>
      <c r="AQ2388" s="1"/>
      <c r="AX2388" s="1"/>
    </row>
    <row r="2389" spans="1:50" x14ac:dyDescent="0.25">
      <c r="A2389" s="1"/>
      <c r="H2389" s="1"/>
      <c r="O2389" s="1"/>
      <c r="V2389" s="1"/>
      <c r="AC2389" s="1"/>
      <c r="AJ2389" s="1"/>
      <c r="AQ2389" s="1"/>
      <c r="AX2389" s="1"/>
    </row>
    <row r="2390" spans="1:50" x14ac:dyDescent="0.25">
      <c r="A2390" s="1"/>
      <c r="H2390" s="1"/>
      <c r="O2390" s="1"/>
      <c r="V2390" s="1"/>
      <c r="AC2390" s="1"/>
      <c r="AJ2390" s="1"/>
      <c r="AQ2390" s="1"/>
      <c r="AX2390" s="1"/>
    </row>
    <row r="2391" spans="1:50" x14ac:dyDescent="0.25">
      <c r="A2391" s="1"/>
      <c r="H2391" s="1"/>
      <c r="O2391" s="1"/>
      <c r="V2391" s="1"/>
      <c r="AC2391" s="1"/>
      <c r="AJ2391" s="1"/>
      <c r="AQ2391" s="1"/>
      <c r="AX2391" s="1"/>
    </row>
    <row r="2392" spans="1:50" x14ac:dyDescent="0.25">
      <c r="A2392" s="1"/>
      <c r="H2392" s="1"/>
      <c r="O2392" s="1"/>
      <c r="V2392" s="1"/>
      <c r="AC2392" s="1"/>
      <c r="AJ2392" s="1"/>
      <c r="AQ2392" s="1"/>
      <c r="AX2392" s="1"/>
    </row>
    <row r="2393" spans="1:50" x14ac:dyDescent="0.25">
      <c r="A2393" s="1"/>
      <c r="H2393" s="1"/>
      <c r="O2393" s="1"/>
      <c r="V2393" s="1"/>
      <c r="AC2393" s="1"/>
      <c r="AJ2393" s="1"/>
      <c r="AQ2393" s="1"/>
      <c r="AX2393" s="1"/>
    </row>
    <row r="2394" spans="1:50" x14ac:dyDescent="0.25">
      <c r="A2394" s="1"/>
      <c r="H2394" s="1"/>
      <c r="O2394" s="1"/>
      <c r="V2394" s="1"/>
      <c r="AC2394" s="1"/>
      <c r="AJ2394" s="1"/>
      <c r="AQ2394" s="1"/>
      <c r="AX2394" s="1"/>
    </row>
    <row r="2395" spans="1:50" x14ac:dyDescent="0.25">
      <c r="A2395" s="1"/>
      <c r="H2395" s="1"/>
      <c r="O2395" s="1"/>
      <c r="V2395" s="1"/>
      <c r="AC2395" s="1"/>
      <c r="AJ2395" s="1"/>
      <c r="AQ2395" s="1"/>
      <c r="AX2395" s="1"/>
    </row>
    <row r="2396" spans="1:50" x14ac:dyDescent="0.25">
      <c r="A2396" s="1"/>
      <c r="H2396" s="1"/>
      <c r="O2396" s="1"/>
      <c r="V2396" s="1"/>
      <c r="AC2396" s="1"/>
      <c r="AJ2396" s="1"/>
      <c r="AQ2396" s="1"/>
      <c r="AX2396" s="1"/>
    </row>
    <row r="2397" spans="1:50" x14ac:dyDescent="0.25">
      <c r="A2397" s="1"/>
      <c r="H2397" s="1"/>
      <c r="O2397" s="1"/>
      <c r="V2397" s="1"/>
      <c r="AC2397" s="1"/>
      <c r="AJ2397" s="1"/>
      <c r="AQ2397" s="1"/>
      <c r="AX2397" s="1"/>
    </row>
    <row r="2398" spans="1:50" x14ac:dyDescent="0.25">
      <c r="A2398" s="1"/>
      <c r="H2398" s="1"/>
      <c r="O2398" s="1"/>
      <c r="V2398" s="1"/>
      <c r="AC2398" s="1"/>
      <c r="AJ2398" s="1"/>
      <c r="AQ2398" s="1"/>
      <c r="AX2398" s="1"/>
    </row>
    <row r="2399" spans="1:50" x14ac:dyDescent="0.25">
      <c r="A2399" s="1"/>
      <c r="H2399" s="1"/>
      <c r="O2399" s="1"/>
      <c r="V2399" s="1"/>
      <c r="AC2399" s="1"/>
      <c r="AJ2399" s="1"/>
      <c r="AQ2399" s="1"/>
      <c r="AX2399" s="1"/>
    </row>
    <row r="2400" spans="1:50" x14ac:dyDescent="0.25">
      <c r="A2400" s="1"/>
      <c r="H2400" s="1"/>
      <c r="O2400" s="1"/>
      <c r="V2400" s="1"/>
      <c r="AC2400" s="1"/>
      <c r="AJ2400" s="1"/>
      <c r="AQ2400" s="1"/>
      <c r="AX2400" s="1"/>
    </row>
    <row r="2401" spans="1:50" x14ac:dyDescent="0.25">
      <c r="A2401" s="1"/>
      <c r="H2401" s="1"/>
      <c r="O2401" s="1"/>
      <c r="V2401" s="1"/>
      <c r="AC2401" s="1"/>
      <c r="AJ2401" s="1"/>
      <c r="AQ2401" s="1"/>
      <c r="AX2401" s="1"/>
    </row>
    <row r="2402" spans="1:50" x14ac:dyDescent="0.25">
      <c r="A2402" s="1"/>
      <c r="H2402" s="1"/>
      <c r="O2402" s="1"/>
      <c r="V2402" s="1"/>
      <c r="AC2402" s="1"/>
      <c r="AJ2402" s="1"/>
      <c r="AQ2402" s="1"/>
      <c r="AX2402" s="1"/>
    </row>
    <row r="2403" spans="1:50" x14ac:dyDescent="0.25">
      <c r="A2403" s="1"/>
      <c r="H2403" s="1"/>
      <c r="O2403" s="1"/>
      <c r="V2403" s="1"/>
      <c r="AC2403" s="1"/>
      <c r="AJ2403" s="1"/>
      <c r="AQ2403" s="1"/>
      <c r="AX2403" s="1"/>
    </row>
    <row r="2404" spans="1:50" x14ac:dyDescent="0.25">
      <c r="A2404" s="1"/>
      <c r="H2404" s="1"/>
      <c r="O2404" s="1"/>
      <c r="V2404" s="1"/>
      <c r="AC2404" s="1"/>
      <c r="AJ2404" s="1"/>
      <c r="AQ2404" s="1"/>
      <c r="AX2404" s="1"/>
    </row>
    <row r="2405" spans="1:50" x14ac:dyDescent="0.25">
      <c r="A2405" s="1"/>
      <c r="H2405" s="1"/>
      <c r="O2405" s="1"/>
      <c r="V2405" s="1"/>
      <c r="AC2405" s="1"/>
      <c r="AJ2405" s="1"/>
      <c r="AQ2405" s="1"/>
      <c r="AX2405" s="1"/>
    </row>
    <row r="2406" spans="1:50" x14ac:dyDescent="0.25">
      <c r="A2406" s="1"/>
      <c r="H2406" s="1"/>
      <c r="O2406" s="1"/>
      <c r="V2406" s="1"/>
      <c r="AC2406" s="1"/>
      <c r="AJ2406" s="1"/>
      <c r="AQ2406" s="1"/>
      <c r="AX2406" s="1"/>
    </row>
    <row r="2407" spans="1:50" x14ac:dyDescent="0.25">
      <c r="A2407" s="1"/>
      <c r="H2407" s="1"/>
      <c r="O2407" s="1"/>
      <c r="V2407" s="1"/>
      <c r="AC2407" s="1"/>
      <c r="AJ2407" s="1"/>
      <c r="AQ2407" s="1"/>
      <c r="AX2407" s="1"/>
    </row>
    <row r="2408" spans="1:50" x14ac:dyDescent="0.25">
      <c r="A2408" s="1"/>
      <c r="H2408" s="1"/>
      <c r="O2408" s="1"/>
      <c r="V2408" s="1"/>
      <c r="AC2408" s="1"/>
      <c r="AJ2408" s="1"/>
      <c r="AQ2408" s="1"/>
      <c r="AX2408" s="1"/>
    </row>
    <row r="2409" spans="1:50" x14ac:dyDescent="0.25">
      <c r="A2409" s="1"/>
      <c r="H2409" s="1"/>
      <c r="O2409" s="1"/>
      <c r="V2409" s="1"/>
      <c r="AC2409" s="1"/>
      <c r="AJ2409" s="1"/>
      <c r="AQ2409" s="1"/>
      <c r="AX2409" s="1"/>
    </row>
    <row r="2410" spans="1:50" x14ac:dyDescent="0.25">
      <c r="A2410" s="1"/>
      <c r="H2410" s="1"/>
      <c r="O2410" s="1"/>
      <c r="V2410" s="1"/>
      <c r="AC2410" s="1"/>
      <c r="AJ2410" s="1"/>
      <c r="AQ2410" s="1"/>
      <c r="AX2410" s="1"/>
    </row>
    <row r="2411" spans="1:50" x14ac:dyDescent="0.25">
      <c r="A2411" s="1"/>
      <c r="H2411" s="1"/>
      <c r="O2411" s="1"/>
      <c r="V2411" s="1"/>
      <c r="AC2411" s="1"/>
      <c r="AJ2411" s="1"/>
      <c r="AQ2411" s="1"/>
      <c r="AX2411" s="1"/>
    </row>
    <row r="2412" spans="1:50" x14ac:dyDescent="0.25">
      <c r="A2412" s="1"/>
      <c r="H2412" s="1"/>
      <c r="O2412" s="1"/>
      <c r="V2412" s="1"/>
      <c r="AC2412" s="1"/>
      <c r="AJ2412" s="1"/>
      <c r="AQ2412" s="1"/>
      <c r="AX2412" s="1"/>
    </row>
    <row r="2413" spans="1:50" x14ac:dyDescent="0.25">
      <c r="A2413" s="1"/>
      <c r="H2413" s="1"/>
      <c r="O2413" s="1"/>
      <c r="V2413" s="1"/>
      <c r="AC2413" s="1"/>
      <c r="AJ2413" s="1"/>
      <c r="AQ2413" s="1"/>
      <c r="AX2413" s="1"/>
    </row>
    <row r="2414" spans="1:50" x14ac:dyDescent="0.25">
      <c r="A2414" s="1"/>
      <c r="H2414" s="1"/>
      <c r="O2414" s="1"/>
      <c r="V2414" s="1"/>
      <c r="AC2414" s="1"/>
      <c r="AJ2414" s="1"/>
      <c r="AQ2414" s="1"/>
      <c r="AX2414" s="1"/>
    </row>
    <row r="2415" spans="1:50" x14ac:dyDescent="0.25">
      <c r="A2415" s="1"/>
      <c r="H2415" s="1"/>
      <c r="O2415" s="1"/>
      <c r="V2415" s="1"/>
      <c r="AC2415" s="1"/>
      <c r="AJ2415" s="1"/>
      <c r="AQ2415" s="1"/>
      <c r="AX2415" s="1"/>
    </row>
    <row r="2416" spans="1:50" x14ac:dyDescent="0.25">
      <c r="A2416" s="1"/>
      <c r="H2416" s="1"/>
      <c r="O2416" s="1"/>
      <c r="V2416" s="1"/>
      <c r="AC2416" s="1"/>
      <c r="AJ2416" s="1"/>
      <c r="AQ2416" s="1"/>
      <c r="AX2416" s="1"/>
    </row>
    <row r="2417" spans="1:50" x14ac:dyDescent="0.25">
      <c r="A2417" s="1"/>
      <c r="H2417" s="1"/>
      <c r="O2417" s="1"/>
      <c r="V2417" s="1"/>
      <c r="AC2417" s="1"/>
      <c r="AJ2417" s="1"/>
      <c r="AQ2417" s="1"/>
      <c r="AX2417" s="1"/>
    </row>
    <row r="2418" spans="1:50" x14ac:dyDescent="0.25">
      <c r="A2418" s="1"/>
      <c r="H2418" s="1"/>
      <c r="O2418" s="1"/>
      <c r="V2418" s="1"/>
      <c r="AC2418" s="1"/>
      <c r="AJ2418" s="1"/>
      <c r="AQ2418" s="1"/>
      <c r="AX2418" s="1"/>
    </row>
    <row r="2419" spans="1:50" x14ac:dyDescent="0.25">
      <c r="A2419" s="1"/>
      <c r="H2419" s="1"/>
      <c r="O2419" s="1"/>
      <c r="V2419" s="1"/>
      <c r="AC2419" s="1"/>
      <c r="AJ2419" s="1"/>
      <c r="AQ2419" s="1"/>
      <c r="AX2419" s="1"/>
    </row>
    <row r="2420" spans="1:50" x14ac:dyDescent="0.25">
      <c r="A2420" s="1"/>
      <c r="H2420" s="1"/>
      <c r="O2420" s="1"/>
      <c r="V2420" s="1"/>
      <c r="AC2420" s="1"/>
      <c r="AJ2420" s="1"/>
      <c r="AQ2420" s="1"/>
      <c r="AX2420" s="1"/>
    </row>
    <row r="2421" spans="1:50" x14ac:dyDescent="0.25">
      <c r="A2421" s="1"/>
      <c r="H2421" s="1"/>
      <c r="O2421" s="1"/>
      <c r="V2421" s="1"/>
      <c r="AC2421" s="1"/>
      <c r="AJ2421" s="1"/>
      <c r="AQ2421" s="1"/>
      <c r="AX2421" s="1"/>
    </row>
    <row r="2422" spans="1:50" x14ac:dyDescent="0.25">
      <c r="A2422" s="1"/>
      <c r="H2422" s="1"/>
      <c r="O2422" s="1"/>
      <c r="V2422" s="1"/>
      <c r="AC2422" s="1"/>
      <c r="AJ2422" s="1"/>
      <c r="AQ2422" s="1"/>
      <c r="AX2422" s="1"/>
    </row>
    <row r="2423" spans="1:50" x14ac:dyDescent="0.25">
      <c r="A2423" s="1"/>
      <c r="H2423" s="1"/>
      <c r="O2423" s="1"/>
      <c r="V2423" s="1"/>
      <c r="AC2423" s="1"/>
      <c r="AJ2423" s="1"/>
      <c r="AQ2423" s="1"/>
      <c r="AX2423" s="1"/>
    </row>
    <row r="2424" spans="1:50" x14ac:dyDescent="0.25">
      <c r="A2424" s="1"/>
      <c r="H2424" s="1"/>
      <c r="O2424" s="1"/>
      <c r="V2424" s="1"/>
      <c r="AC2424" s="1"/>
      <c r="AJ2424" s="1"/>
      <c r="AQ2424" s="1"/>
      <c r="AX2424" s="1"/>
    </row>
    <row r="2425" spans="1:50" x14ac:dyDescent="0.25">
      <c r="A2425" s="1"/>
      <c r="H2425" s="1"/>
      <c r="O2425" s="1"/>
      <c r="V2425" s="1"/>
      <c r="AC2425" s="1"/>
      <c r="AJ2425" s="1"/>
      <c r="AQ2425" s="1"/>
      <c r="AX2425" s="1"/>
    </row>
    <row r="2426" spans="1:50" x14ac:dyDescent="0.25">
      <c r="A2426" s="1"/>
      <c r="H2426" s="1"/>
      <c r="O2426" s="1"/>
      <c r="V2426" s="1"/>
      <c r="AC2426" s="1"/>
      <c r="AJ2426" s="1"/>
      <c r="AQ2426" s="1"/>
      <c r="AX2426" s="1"/>
    </row>
    <row r="2427" spans="1:50" x14ac:dyDescent="0.25">
      <c r="A2427" s="1"/>
      <c r="H2427" s="1"/>
      <c r="O2427" s="1"/>
      <c r="V2427" s="1"/>
      <c r="AC2427" s="1"/>
      <c r="AJ2427" s="1"/>
      <c r="AQ2427" s="1"/>
      <c r="AX2427" s="1"/>
    </row>
    <row r="2428" spans="1:50" x14ac:dyDescent="0.25">
      <c r="A2428" s="1"/>
      <c r="H2428" s="1"/>
      <c r="O2428" s="1"/>
      <c r="V2428" s="1"/>
      <c r="AC2428" s="1"/>
      <c r="AJ2428" s="1"/>
      <c r="AQ2428" s="1"/>
      <c r="AX2428" s="1"/>
    </row>
    <row r="2429" spans="1:50" x14ac:dyDescent="0.25">
      <c r="A2429" s="1"/>
      <c r="H2429" s="1"/>
      <c r="O2429" s="1"/>
      <c r="V2429" s="1"/>
      <c r="AC2429" s="1"/>
      <c r="AJ2429" s="1"/>
      <c r="AQ2429" s="1"/>
      <c r="AX2429" s="1"/>
    </row>
    <row r="2430" spans="1:50" x14ac:dyDescent="0.25">
      <c r="A2430" s="1"/>
      <c r="H2430" s="1"/>
      <c r="O2430" s="1"/>
      <c r="V2430" s="1"/>
      <c r="AC2430" s="1"/>
      <c r="AJ2430" s="1"/>
      <c r="AQ2430" s="1"/>
      <c r="AX2430" s="1"/>
    </row>
    <row r="2431" spans="1:50" x14ac:dyDescent="0.25">
      <c r="A2431" s="1"/>
      <c r="H2431" s="1"/>
      <c r="O2431" s="1"/>
      <c r="V2431" s="1"/>
      <c r="AC2431" s="1"/>
      <c r="AJ2431" s="1"/>
      <c r="AQ2431" s="1"/>
      <c r="AX2431" s="1"/>
    </row>
    <row r="2432" spans="1:50" x14ac:dyDescent="0.25">
      <c r="A2432" s="1"/>
      <c r="H2432" s="1"/>
      <c r="O2432" s="1"/>
      <c r="V2432" s="1"/>
      <c r="AC2432" s="1"/>
      <c r="AJ2432" s="1"/>
      <c r="AQ2432" s="1"/>
      <c r="AX2432" s="1"/>
    </row>
    <row r="2433" spans="1:50" x14ac:dyDescent="0.25">
      <c r="A2433" s="1"/>
      <c r="H2433" s="1"/>
      <c r="O2433" s="1"/>
      <c r="V2433" s="1"/>
      <c r="AC2433" s="1"/>
      <c r="AJ2433" s="1"/>
      <c r="AQ2433" s="1"/>
      <c r="AX2433" s="1"/>
    </row>
    <row r="2434" spans="1:50" x14ac:dyDescent="0.25">
      <c r="A2434" s="1"/>
      <c r="H2434" s="1"/>
      <c r="O2434" s="1"/>
      <c r="V2434" s="1"/>
      <c r="AC2434" s="1"/>
      <c r="AJ2434" s="1"/>
      <c r="AQ2434" s="1"/>
      <c r="AX2434" s="1"/>
    </row>
    <row r="2435" spans="1:50" x14ac:dyDescent="0.25">
      <c r="A2435" s="1"/>
      <c r="H2435" s="1"/>
      <c r="O2435" s="1"/>
      <c r="V2435" s="1"/>
      <c r="AC2435" s="1"/>
      <c r="AJ2435" s="1"/>
      <c r="AQ2435" s="1"/>
      <c r="AX2435" s="1"/>
    </row>
    <row r="2436" spans="1:50" x14ac:dyDescent="0.25">
      <c r="A2436" s="1"/>
      <c r="H2436" s="1"/>
      <c r="O2436" s="1"/>
      <c r="V2436" s="1"/>
      <c r="AC2436" s="1"/>
      <c r="AJ2436" s="1"/>
      <c r="AQ2436" s="1"/>
      <c r="AX2436" s="1"/>
    </row>
    <row r="2437" spans="1:50" x14ac:dyDescent="0.25">
      <c r="A2437" s="1"/>
      <c r="H2437" s="1"/>
      <c r="O2437" s="1"/>
      <c r="V2437" s="1"/>
      <c r="AC2437" s="1"/>
      <c r="AJ2437" s="1"/>
      <c r="AQ2437" s="1"/>
      <c r="AX2437" s="1"/>
    </row>
    <row r="2438" spans="1:50" x14ac:dyDescent="0.25">
      <c r="A2438" s="1"/>
      <c r="H2438" s="1"/>
      <c r="O2438" s="1"/>
      <c r="V2438" s="1"/>
      <c r="AC2438" s="1"/>
      <c r="AJ2438" s="1"/>
      <c r="AQ2438" s="1"/>
      <c r="AX2438" s="1"/>
    </row>
    <row r="2439" spans="1:50" x14ac:dyDescent="0.25">
      <c r="A2439" s="1"/>
      <c r="H2439" s="1"/>
      <c r="O2439" s="1"/>
      <c r="V2439" s="1"/>
      <c r="AC2439" s="1"/>
      <c r="AJ2439" s="1"/>
      <c r="AQ2439" s="1"/>
      <c r="AX2439" s="1"/>
    </row>
    <row r="2440" spans="1:50" x14ac:dyDescent="0.25">
      <c r="A2440" s="1"/>
      <c r="H2440" s="1"/>
      <c r="O2440" s="1"/>
      <c r="V2440" s="1"/>
      <c r="AC2440" s="1"/>
      <c r="AJ2440" s="1"/>
      <c r="AQ2440" s="1"/>
      <c r="AX2440" s="1"/>
    </row>
    <row r="2441" spans="1:50" x14ac:dyDescent="0.25">
      <c r="A2441" s="1"/>
      <c r="H2441" s="1"/>
      <c r="O2441" s="1"/>
      <c r="V2441" s="1"/>
      <c r="AC2441" s="1"/>
      <c r="AJ2441" s="1"/>
      <c r="AQ2441" s="1"/>
      <c r="AX2441" s="1"/>
    </row>
    <row r="2442" spans="1:50" x14ac:dyDescent="0.25">
      <c r="A2442" s="1"/>
      <c r="H2442" s="1"/>
      <c r="O2442" s="1"/>
      <c r="V2442" s="1"/>
      <c r="AC2442" s="1"/>
      <c r="AJ2442" s="1"/>
      <c r="AQ2442" s="1"/>
      <c r="AX2442" s="1"/>
    </row>
    <row r="2443" spans="1:50" x14ac:dyDescent="0.25">
      <c r="A2443" s="1"/>
      <c r="H2443" s="1"/>
      <c r="O2443" s="1"/>
      <c r="V2443" s="1"/>
      <c r="AC2443" s="1"/>
      <c r="AJ2443" s="1"/>
      <c r="AQ2443" s="1"/>
      <c r="AX2443" s="1"/>
    </row>
    <row r="2444" spans="1:50" x14ac:dyDescent="0.25">
      <c r="A2444" s="1"/>
      <c r="H2444" s="1"/>
      <c r="O2444" s="1"/>
      <c r="V2444" s="1"/>
      <c r="AC2444" s="1"/>
      <c r="AJ2444" s="1"/>
      <c r="AQ2444" s="1"/>
      <c r="AX2444" s="1"/>
    </row>
    <row r="2445" spans="1:50" x14ac:dyDescent="0.25">
      <c r="A2445" s="1"/>
      <c r="H2445" s="1"/>
      <c r="O2445" s="1"/>
      <c r="V2445" s="1"/>
      <c r="AC2445" s="1"/>
      <c r="AJ2445" s="1"/>
      <c r="AQ2445" s="1"/>
      <c r="AX2445" s="1"/>
    </row>
    <row r="2446" spans="1:50" x14ac:dyDescent="0.25">
      <c r="A2446" s="1"/>
      <c r="H2446" s="1"/>
      <c r="O2446" s="1"/>
      <c r="V2446" s="1"/>
      <c r="AC2446" s="1"/>
      <c r="AJ2446" s="1"/>
      <c r="AQ2446" s="1"/>
      <c r="AX2446" s="1"/>
    </row>
    <row r="2447" spans="1:50" x14ac:dyDescent="0.25">
      <c r="A2447" s="1"/>
      <c r="H2447" s="1"/>
      <c r="O2447" s="1"/>
      <c r="V2447" s="1"/>
      <c r="AC2447" s="1"/>
      <c r="AJ2447" s="1"/>
      <c r="AQ2447" s="1"/>
      <c r="AX2447" s="1"/>
    </row>
    <row r="2448" spans="1:50" x14ac:dyDescent="0.25">
      <c r="A2448" s="1"/>
      <c r="H2448" s="1"/>
      <c r="O2448" s="1"/>
      <c r="V2448" s="1"/>
      <c r="AC2448" s="1"/>
      <c r="AJ2448" s="1"/>
      <c r="AQ2448" s="1"/>
      <c r="AX2448" s="1"/>
    </row>
    <row r="2449" spans="1:50" x14ac:dyDescent="0.25">
      <c r="A2449" s="1"/>
      <c r="H2449" s="1"/>
      <c r="O2449" s="1"/>
      <c r="V2449" s="1"/>
      <c r="AC2449" s="1"/>
      <c r="AJ2449" s="1"/>
      <c r="AQ2449" s="1"/>
      <c r="AX2449" s="1"/>
    </row>
    <row r="2450" spans="1:50" x14ac:dyDescent="0.25">
      <c r="A2450" s="1"/>
      <c r="H2450" s="1"/>
      <c r="O2450" s="1"/>
      <c r="V2450" s="1"/>
      <c r="AC2450" s="1"/>
      <c r="AJ2450" s="1"/>
      <c r="AQ2450" s="1"/>
      <c r="AX2450" s="1"/>
    </row>
    <row r="2451" spans="1:50" x14ac:dyDescent="0.25">
      <c r="A2451" s="1"/>
      <c r="H2451" s="1"/>
      <c r="O2451" s="1"/>
      <c r="V2451" s="1"/>
      <c r="AC2451" s="1"/>
      <c r="AJ2451" s="1"/>
      <c r="AQ2451" s="1"/>
      <c r="AX2451" s="1"/>
    </row>
    <row r="2452" spans="1:50" x14ac:dyDescent="0.25">
      <c r="A2452" s="1"/>
      <c r="H2452" s="1"/>
      <c r="O2452" s="1"/>
      <c r="V2452" s="1"/>
      <c r="AC2452" s="1"/>
      <c r="AJ2452" s="1"/>
      <c r="AQ2452" s="1"/>
      <c r="AX2452" s="1"/>
    </row>
    <row r="2453" spans="1:50" x14ac:dyDescent="0.25">
      <c r="A2453" s="1"/>
      <c r="H2453" s="1"/>
      <c r="O2453" s="1"/>
      <c r="V2453" s="1"/>
      <c r="AC2453" s="1"/>
      <c r="AJ2453" s="1"/>
      <c r="AQ2453" s="1"/>
      <c r="AX2453" s="1"/>
    </row>
    <row r="2454" spans="1:50" x14ac:dyDescent="0.25">
      <c r="A2454" s="1"/>
      <c r="H2454" s="1"/>
      <c r="O2454" s="1"/>
      <c r="V2454" s="1"/>
      <c r="AC2454" s="1"/>
      <c r="AJ2454" s="1"/>
      <c r="AQ2454" s="1"/>
      <c r="AX2454" s="1"/>
    </row>
    <row r="2455" spans="1:50" x14ac:dyDescent="0.25">
      <c r="A2455" s="1"/>
      <c r="H2455" s="1"/>
      <c r="O2455" s="1"/>
      <c r="V2455" s="1"/>
      <c r="AC2455" s="1"/>
      <c r="AJ2455" s="1"/>
      <c r="AQ2455" s="1"/>
      <c r="AX2455" s="1"/>
    </row>
    <row r="2456" spans="1:50" x14ac:dyDescent="0.25">
      <c r="A2456" s="1"/>
      <c r="H2456" s="1"/>
      <c r="O2456" s="1"/>
      <c r="V2456" s="1"/>
      <c r="AC2456" s="1"/>
      <c r="AJ2456" s="1"/>
      <c r="AQ2456" s="1"/>
      <c r="AX2456" s="1"/>
    </row>
    <row r="2457" spans="1:50" x14ac:dyDescent="0.25">
      <c r="A2457" s="1"/>
      <c r="H2457" s="1"/>
      <c r="O2457" s="1"/>
      <c r="V2457" s="1"/>
      <c r="AC2457" s="1"/>
      <c r="AJ2457" s="1"/>
      <c r="AQ2457" s="1"/>
      <c r="AX2457" s="1"/>
    </row>
    <row r="2458" spans="1:50" x14ac:dyDescent="0.25">
      <c r="A2458" s="1"/>
      <c r="H2458" s="1"/>
      <c r="O2458" s="1"/>
      <c r="V2458" s="1"/>
      <c r="AC2458" s="1"/>
      <c r="AJ2458" s="1"/>
      <c r="AQ2458" s="1"/>
      <c r="AX2458" s="1"/>
    </row>
    <row r="2459" spans="1:50" x14ac:dyDescent="0.25">
      <c r="A2459" s="1"/>
      <c r="H2459" s="1"/>
      <c r="O2459" s="1"/>
      <c r="V2459" s="1"/>
      <c r="AC2459" s="1"/>
      <c r="AJ2459" s="1"/>
      <c r="AQ2459" s="1"/>
      <c r="AX2459" s="1"/>
    </row>
    <row r="2460" spans="1:50" x14ac:dyDescent="0.25">
      <c r="A2460" s="1"/>
      <c r="H2460" s="1"/>
      <c r="O2460" s="1"/>
      <c r="V2460" s="1"/>
      <c r="AC2460" s="1"/>
      <c r="AJ2460" s="1"/>
      <c r="AQ2460" s="1"/>
      <c r="AX2460" s="1"/>
    </row>
    <row r="2461" spans="1:50" x14ac:dyDescent="0.25">
      <c r="A2461" s="1"/>
      <c r="H2461" s="1"/>
      <c r="O2461" s="1"/>
      <c r="V2461" s="1"/>
      <c r="AC2461" s="1"/>
      <c r="AJ2461" s="1"/>
      <c r="AQ2461" s="1"/>
      <c r="AX2461" s="1"/>
    </row>
    <row r="2462" spans="1:50" x14ac:dyDescent="0.25">
      <c r="A2462" s="1"/>
      <c r="H2462" s="1"/>
      <c r="O2462" s="1"/>
      <c r="V2462" s="1"/>
      <c r="AC2462" s="1"/>
      <c r="AJ2462" s="1"/>
      <c r="AQ2462" s="1"/>
      <c r="AX2462" s="1"/>
    </row>
    <row r="2463" spans="1:50" x14ac:dyDescent="0.25">
      <c r="A2463" s="1"/>
      <c r="H2463" s="1"/>
      <c r="O2463" s="1"/>
      <c r="V2463" s="1"/>
      <c r="AC2463" s="1"/>
      <c r="AJ2463" s="1"/>
      <c r="AQ2463" s="1"/>
      <c r="AX2463" s="1"/>
    </row>
    <row r="2464" spans="1:50" x14ac:dyDescent="0.25">
      <c r="A2464" s="1"/>
      <c r="H2464" s="1"/>
      <c r="O2464" s="1"/>
      <c r="V2464" s="1"/>
      <c r="AC2464" s="1"/>
      <c r="AJ2464" s="1"/>
      <c r="AQ2464" s="1"/>
      <c r="AX2464" s="1"/>
    </row>
    <row r="2465" spans="1:50" x14ac:dyDescent="0.25">
      <c r="A2465" s="1"/>
      <c r="H2465" s="1"/>
      <c r="O2465" s="1"/>
      <c r="V2465" s="1"/>
      <c r="AC2465" s="1"/>
      <c r="AJ2465" s="1"/>
      <c r="AQ2465" s="1"/>
      <c r="AX2465" s="1"/>
    </row>
    <row r="2466" spans="1:50" x14ac:dyDescent="0.25">
      <c r="A2466" s="1"/>
      <c r="H2466" s="1"/>
      <c r="O2466" s="1"/>
      <c r="V2466" s="1"/>
      <c r="AC2466" s="1"/>
      <c r="AJ2466" s="1"/>
      <c r="AQ2466" s="1"/>
      <c r="AX2466" s="1"/>
    </row>
    <row r="2467" spans="1:50" x14ac:dyDescent="0.25">
      <c r="A2467" s="1"/>
      <c r="H2467" s="1"/>
      <c r="O2467" s="1"/>
      <c r="V2467" s="1"/>
      <c r="AC2467" s="1"/>
      <c r="AJ2467" s="1"/>
      <c r="AQ2467" s="1"/>
      <c r="AX2467" s="1"/>
    </row>
    <row r="2468" spans="1:50" x14ac:dyDescent="0.25">
      <c r="A2468" s="1"/>
      <c r="H2468" s="1"/>
      <c r="O2468" s="1"/>
      <c r="V2468" s="1"/>
      <c r="AC2468" s="1"/>
      <c r="AJ2468" s="1"/>
      <c r="AQ2468" s="1"/>
      <c r="AX2468" s="1"/>
    </row>
    <row r="2469" spans="1:50" x14ac:dyDescent="0.25">
      <c r="A2469" s="1"/>
      <c r="H2469" s="1"/>
      <c r="O2469" s="1"/>
      <c r="V2469" s="1"/>
      <c r="AC2469" s="1"/>
      <c r="AJ2469" s="1"/>
      <c r="AQ2469" s="1"/>
      <c r="AX2469" s="1"/>
    </row>
    <row r="2470" spans="1:50" x14ac:dyDescent="0.25">
      <c r="A2470" s="1"/>
      <c r="H2470" s="1"/>
      <c r="O2470" s="1"/>
      <c r="V2470" s="1"/>
      <c r="AC2470" s="1"/>
      <c r="AJ2470" s="1"/>
      <c r="AQ2470" s="1"/>
      <c r="AX2470" s="1"/>
    </row>
    <row r="2471" spans="1:50" x14ac:dyDescent="0.25">
      <c r="A2471" s="1"/>
      <c r="H2471" s="1"/>
      <c r="O2471" s="1"/>
      <c r="V2471" s="1"/>
      <c r="AC2471" s="1"/>
      <c r="AJ2471" s="1"/>
      <c r="AQ2471" s="1"/>
      <c r="AX2471" s="1"/>
    </row>
    <row r="2472" spans="1:50" x14ac:dyDescent="0.25">
      <c r="A2472" s="1"/>
      <c r="H2472" s="1"/>
      <c r="O2472" s="1"/>
      <c r="V2472" s="1"/>
      <c r="AC2472" s="1"/>
      <c r="AJ2472" s="1"/>
      <c r="AQ2472" s="1"/>
      <c r="AX2472" s="1"/>
    </row>
    <row r="2473" spans="1:50" x14ac:dyDescent="0.25">
      <c r="A2473" s="1"/>
      <c r="H2473" s="1"/>
      <c r="O2473" s="1"/>
      <c r="V2473" s="1"/>
      <c r="AC2473" s="1"/>
      <c r="AJ2473" s="1"/>
      <c r="AQ2473" s="1"/>
      <c r="AX2473" s="1"/>
    </row>
    <row r="2474" spans="1:50" x14ac:dyDescent="0.25">
      <c r="A2474" s="1"/>
      <c r="H2474" s="1"/>
      <c r="O2474" s="1"/>
      <c r="V2474" s="1"/>
      <c r="AC2474" s="1"/>
      <c r="AJ2474" s="1"/>
      <c r="AQ2474" s="1"/>
      <c r="AX2474" s="1"/>
    </row>
    <row r="2475" spans="1:50" x14ac:dyDescent="0.25">
      <c r="A2475" s="1"/>
      <c r="H2475" s="1"/>
      <c r="O2475" s="1"/>
      <c r="V2475" s="1"/>
      <c r="AC2475" s="1"/>
      <c r="AJ2475" s="1"/>
      <c r="AQ2475" s="1"/>
      <c r="AX2475" s="1"/>
    </row>
    <row r="2476" spans="1:50" x14ac:dyDescent="0.25">
      <c r="A2476" s="1"/>
      <c r="H2476" s="1"/>
      <c r="O2476" s="1"/>
      <c r="V2476" s="1"/>
      <c r="AC2476" s="1"/>
      <c r="AJ2476" s="1"/>
      <c r="AQ2476" s="1"/>
      <c r="AX2476" s="1"/>
    </row>
    <row r="2477" spans="1:50" x14ac:dyDescent="0.25">
      <c r="A2477" s="1"/>
      <c r="H2477" s="1"/>
      <c r="O2477" s="1"/>
      <c r="V2477" s="1"/>
      <c r="AC2477" s="1"/>
      <c r="AJ2477" s="1"/>
      <c r="AQ2477" s="1"/>
      <c r="AX2477" s="1"/>
    </row>
    <row r="2478" spans="1:50" x14ac:dyDescent="0.25">
      <c r="A2478" s="1"/>
      <c r="H2478" s="1"/>
      <c r="O2478" s="1"/>
      <c r="V2478" s="1"/>
      <c r="AC2478" s="1"/>
      <c r="AJ2478" s="1"/>
      <c r="AQ2478" s="1"/>
      <c r="AX2478" s="1"/>
    </row>
    <row r="2479" spans="1:50" x14ac:dyDescent="0.25">
      <c r="A2479" s="1"/>
      <c r="H2479" s="1"/>
      <c r="O2479" s="1"/>
      <c r="V2479" s="1"/>
      <c r="AC2479" s="1"/>
      <c r="AJ2479" s="1"/>
      <c r="AQ2479" s="1"/>
      <c r="AX2479" s="1"/>
    </row>
    <row r="2480" spans="1:50" x14ac:dyDescent="0.25">
      <c r="A2480" s="1"/>
      <c r="H2480" s="1"/>
      <c r="O2480" s="1"/>
      <c r="V2480" s="1"/>
      <c r="AC2480" s="1"/>
      <c r="AJ2480" s="1"/>
      <c r="AQ2480" s="1"/>
      <c r="AX2480" s="1"/>
    </row>
    <row r="2481" spans="1:50" x14ac:dyDescent="0.25">
      <c r="A2481" s="1"/>
      <c r="H2481" s="1"/>
      <c r="O2481" s="1"/>
      <c r="V2481" s="1"/>
      <c r="AC2481" s="1"/>
      <c r="AJ2481" s="1"/>
      <c r="AQ2481" s="1"/>
      <c r="AX2481" s="1"/>
    </row>
    <row r="2482" spans="1:50" x14ac:dyDescent="0.25">
      <c r="A2482" s="1"/>
      <c r="H2482" s="1"/>
      <c r="O2482" s="1"/>
      <c r="V2482" s="1"/>
      <c r="AC2482" s="1"/>
      <c r="AJ2482" s="1"/>
      <c r="AQ2482" s="1"/>
      <c r="AX2482" s="1"/>
    </row>
    <row r="2483" spans="1:50" x14ac:dyDescent="0.25">
      <c r="A2483" s="1"/>
      <c r="H2483" s="1"/>
      <c r="O2483" s="1"/>
      <c r="V2483" s="1"/>
      <c r="AC2483" s="1"/>
      <c r="AJ2483" s="1"/>
      <c r="AQ2483" s="1"/>
      <c r="AX2483" s="1"/>
    </row>
    <row r="2484" spans="1:50" x14ac:dyDescent="0.25">
      <c r="A2484" s="1"/>
      <c r="H2484" s="1"/>
      <c r="O2484" s="1"/>
      <c r="V2484" s="1"/>
      <c r="AC2484" s="1"/>
      <c r="AJ2484" s="1"/>
      <c r="AQ2484" s="1"/>
      <c r="AX2484" s="1"/>
    </row>
    <row r="2485" spans="1:50" x14ac:dyDescent="0.25">
      <c r="A2485" s="1"/>
      <c r="H2485" s="1"/>
      <c r="O2485" s="1"/>
      <c r="V2485" s="1"/>
      <c r="AC2485" s="1"/>
      <c r="AJ2485" s="1"/>
      <c r="AQ2485" s="1"/>
      <c r="AX2485" s="1"/>
    </row>
    <row r="2486" spans="1:50" x14ac:dyDescent="0.25">
      <c r="A2486" s="1"/>
      <c r="H2486" s="1"/>
      <c r="O2486" s="1"/>
      <c r="V2486" s="1"/>
      <c r="AC2486" s="1"/>
      <c r="AJ2486" s="1"/>
      <c r="AQ2486" s="1"/>
      <c r="AX2486" s="1"/>
    </row>
    <row r="2487" spans="1:50" x14ac:dyDescent="0.25">
      <c r="A2487" s="1"/>
      <c r="H2487" s="1"/>
      <c r="O2487" s="1"/>
      <c r="V2487" s="1"/>
      <c r="AC2487" s="1"/>
      <c r="AJ2487" s="1"/>
      <c r="AQ2487" s="1"/>
      <c r="AX2487" s="1"/>
    </row>
    <row r="2488" spans="1:50" x14ac:dyDescent="0.25">
      <c r="A2488" s="1"/>
      <c r="H2488" s="1"/>
      <c r="O2488" s="1"/>
      <c r="V2488" s="1"/>
      <c r="AC2488" s="1"/>
      <c r="AJ2488" s="1"/>
      <c r="AQ2488" s="1"/>
      <c r="AX2488" s="1"/>
    </row>
    <row r="2489" spans="1:50" x14ac:dyDescent="0.25">
      <c r="A2489" s="1"/>
      <c r="H2489" s="1"/>
      <c r="O2489" s="1"/>
      <c r="V2489" s="1"/>
      <c r="AC2489" s="1"/>
      <c r="AJ2489" s="1"/>
      <c r="AQ2489" s="1"/>
      <c r="AX2489" s="1"/>
    </row>
    <row r="2490" spans="1:50" x14ac:dyDescent="0.25">
      <c r="A2490" s="1"/>
      <c r="H2490" s="1"/>
      <c r="O2490" s="1"/>
      <c r="V2490" s="1"/>
      <c r="AC2490" s="1"/>
      <c r="AJ2490" s="1"/>
      <c r="AQ2490" s="1"/>
      <c r="AX2490" s="1"/>
    </row>
    <row r="2491" spans="1:50" x14ac:dyDescent="0.25">
      <c r="A2491" s="1"/>
      <c r="H2491" s="1"/>
      <c r="O2491" s="1"/>
      <c r="V2491" s="1"/>
      <c r="AC2491" s="1"/>
      <c r="AJ2491" s="1"/>
      <c r="AQ2491" s="1"/>
      <c r="AX2491" s="1"/>
    </row>
    <row r="2492" spans="1:50" x14ac:dyDescent="0.25">
      <c r="A2492" s="1"/>
      <c r="H2492" s="1"/>
      <c r="O2492" s="1"/>
      <c r="V2492" s="1"/>
      <c r="AC2492" s="1"/>
      <c r="AJ2492" s="1"/>
      <c r="AQ2492" s="1"/>
      <c r="AX2492" s="1"/>
    </row>
    <row r="2493" spans="1:50" x14ac:dyDescent="0.25">
      <c r="A2493" s="1"/>
      <c r="H2493" s="1"/>
      <c r="O2493" s="1"/>
      <c r="V2493" s="1"/>
      <c r="AC2493" s="1"/>
      <c r="AJ2493" s="1"/>
      <c r="AQ2493" s="1"/>
      <c r="AX2493" s="1"/>
    </row>
    <row r="2494" spans="1:50" x14ac:dyDescent="0.25">
      <c r="A2494" s="1"/>
      <c r="H2494" s="1"/>
      <c r="O2494" s="1"/>
      <c r="V2494" s="1"/>
      <c r="AC2494" s="1"/>
      <c r="AJ2494" s="1"/>
      <c r="AQ2494" s="1"/>
      <c r="AX2494" s="1"/>
    </row>
    <row r="2495" spans="1:50" x14ac:dyDescent="0.25">
      <c r="A2495" s="1"/>
      <c r="H2495" s="1"/>
      <c r="O2495" s="1"/>
      <c r="V2495" s="1"/>
      <c r="AC2495" s="1"/>
      <c r="AJ2495" s="1"/>
      <c r="AQ2495" s="1"/>
      <c r="AX2495" s="1"/>
    </row>
    <row r="2496" spans="1:50" x14ac:dyDescent="0.25">
      <c r="A2496" s="1"/>
      <c r="H2496" s="1"/>
      <c r="O2496" s="1"/>
      <c r="V2496" s="1"/>
      <c r="AC2496" s="1"/>
      <c r="AJ2496" s="1"/>
      <c r="AQ2496" s="1"/>
      <c r="AX2496" s="1"/>
    </row>
    <row r="2497" spans="1:50" x14ac:dyDescent="0.25">
      <c r="A2497" s="1"/>
      <c r="H2497" s="1"/>
      <c r="O2497" s="1"/>
      <c r="V2497" s="1"/>
      <c r="AC2497" s="1"/>
      <c r="AJ2497" s="1"/>
      <c r="AQ2497" s="1"/>
      <c r="AX2497" s="1"/>
    </row>
    <row r="2498" spans="1:50" x14ac:dyDescent="0.25">
      <c r="A2498" s="1"/>
      <c r="H2498" s="1"/>
      <c r="O2498" s="1"/>
      <c r="V2498" s="1"/>
      <c r="AC2498" s="1"/>
      <c r="AJ2498" s="1"/>
      <c r="AQ2498" s="1"/>
      <c r="AX2498" s="1"/>
    </row>
    <row r="2499" spans="1:50" x14ac:dyDescent="0.25">
      <c r="A2499" s="1"/>
      <c r="H2499" s="1"/>
      <c r="O2499" s="1"/>
      <c r="V2499" s="1"/>
      <c r="AC2499" s="1"/>
      <c r="AJ2499" s="1"/>
      <c r="AQ2499" s="1"/>
      <c r="AX2499" s="1"/>
    </row>
    <row r="2500" spans="1:50" x14ac:dyDescent="0.25">
      <c r="A2500" s="1"/>
      <c r="H2500" s="1"/>
      <c r="O2500" s="1"/>
      <c r="V2500" s="1"/>
      <c r="AC2500" s="1"/>
      <c r="AJ2500" s="1"/>
      <c r="AQ2500" s="1"/>
      <c r="AX2500" s="1"/>
    </row>
    <row r="2501" spans="1:50" x14ac:dyDescent="0.25">
      <c r="A2501" s="1"/>
      <c r="H2501" s="1"/>
      <c r="O2501" s="1"/>
      <c r="V2501" s="1"/>
      <c r="AC2501" s="1"/>
      <c r="AJ2501" s="1"/>
      <c r="AQ2501" s="1"/>
      <c r="AX2501" s="1"/>
    </row>
    <row r="2502" spans="1:50" x14ac:dyDescent="0.25">
      <c r="A2502" s="1"/>
      <c r="H2502" s="1"/>
      <c r="O2502" s="1"/>
      <c r="V2502" s="1"/>
      <c r="AC2502" s="1"/>
      <c r="AJ2502" s="1"/>
      <c r="AQ2502" s="1"/>
      <c r="AX2502" s="1"/>
    </row>
    <row r="2503" spans="1:50" x14ac:dyDescent="0.25">
      <c r="A2503" s="1"/>
      <c r="H2503" s="1"/>
      <c r="O2503" s="1"/>
      <c r="V2503" s="1"/>
      <c r="AC2503" s="1"/>
      <c r="AJ2503" s="1"/>
      <c r="AQ2503" s="1"/>
      <c r="AX2503" s="1"/>
    </row>
    <row r="2504" spans="1:50" x14ac:dyDescent="0.25">
      <c r="A2504" s="1"/>
      <c r="H2504" s="1"/>
      <c r="O2504" s="1"/>
      <c r="V2504" s="1"/>
      <c r="AC2504" s="1"/>
      <c r="AJ2504" s="1"/>
      <c r="AQ2504" s="1"/>
      <c r="AX2504" s="1"/>
    </row>
    <row r="2505" spans="1:50" x14ac:dyDescent="0.25">
      <c r="A2505" s="1"/>
      <c r="H2505" s="1"/>
      <c r="O2505" s="1"/>
      <c r="V2505" s="1"/>
      <c r="AC2505" s="1"/>
      <c r="AJ2505" s="1"/>
      <c r="AQ2505" s="1"/>
      <c r="AX2505" s="1"/>
    </row>
    <row r="2506" spans="1:50" x14ac:dyDescent="0.25">
      <c r="A2506" s="1"/>
      <c r="H2506" s="1"/>
      <c r="O2506" s="1"/>
      <c r="V2506" s="1"/>
      <c r="AC2506" s="1"/>
      <c r="AJ2506" s="1"/>
      <c r="AQ2506" s="1"/>
      <c r="AX2506" s="1"/>
    </row>
    <row r="2507" spans="1:50" x14ac:dyDescent="0.25">
      <c r="A2507" s="1"/>
      <c r="H2507" s="1"/>
      <c r="O2507" s="1"/>
      <c r="V2507" s="1"/>
      <c r="AC2507" s="1"/>
      <c r="AJ2507" s="1"/>
      <c r="AQ2507" s="1"/>
      <c r="AX2507" s="1"/>
    </row>
    <row r="2508" spans="1:50" x14ac:dyDescent="0.25">
      <c r="A2508" s="1"/>
      <c r="H2508" s="1"/>
      <c r="O2508" s="1"/>
      <c r="V2508" s="1"/>
      <c r="AC2508" s="1"/>
      <c r="AJ2508" s="1"/>
      <c r="AQ2508" s="1"/>
      <c r="AX2508" s="1"/>
    </row>
    <row r="2509" spans="1:50" x14ac:dyDescent="0.25">
      <c r="A2509" s="1"/>
      <c r="H2509" s="1"/>
      <c r="O2509" s="1"/>
      <c r="V2509" s="1"/>
      <c r="AC2509" s="1"/>
      <c r="AJ2509" s="1"/>
      <c r="AQ2509" s="1"/>
      <c r="AX2509" s="1"/>
    </row>
    <row r="2510" spans="1:50" x14ac:dyDescent="0.25">
      <c r="A2510" s="1"/>
      <c r="H2510" s="1"/>
      <c r="O2510" s="1"/>
      <c r="V2510" s="1"/>
      <c r="AC2510" s="1"/>
      <c r="AJ2510" s="1"/>
      <c r="AQ2510" s="1"/>
      <c r="AX2510" s="1"/>
    </row>
    <row r="2511" spans="1:50" x14ac:dyDescent="0.25">
      <c r="A2511" s="1"/>
      <c r="H2511" s="1"/>
      <c r="O2511" s="1"/>
      <c r="V2511" s="1"/>
      <c r="AC2511" s="1"/>
      <c r="AJ2511" s="1"/>
      <c r="AQ2511" s="1"/>
      <c r="AX2511" s="1"/>
    </row>
    <row r="2512" spans="1:50" x14ac:dyDescent="0.25">
      <c r="A2512" s="1"/>
      <c r="H2512" s="1"/>
      <c r="O2512" s="1"/>
      <c r="V2512" s="1"/>
      <c r="AC2512" s="1"/>
      <c r="AJ2512" s="1"/>
      <c r="AQ2512" s="1"/>
      <c r="AX2512" s="1"/>
    </row>
    <row r="2513" spans="1:50" x14ac:dyDescent="0.25">
      <c r="A2513" s="1"/>
      <c r="H2513" s="1"/>
      <c r="O2513" s="1"/>
      <c r="V2513" s="1"/>
      <c r="AC2513" s="1"/>
      <c r="AJ2513" s="1"/>
      <c r="AQ2513" s="1"/>
      <c r="AX2513" s="1"/>
    </row>
    <row r="2514" spans="1:50" x14ac:dyDescent="0.25">
      <c r="A2514" s="1"/>
      <c r="H2514" s="1"/>
      <c r="O2514" s="1"/>
      <c r="V2514" s="1"/>
      <c r="AC2514" s="1"/>
      <c r="AJ2514" s="1"/>
      <c r="AQ2514" s="1"/>
      <c r="AX2514" s="1"/>
    </row>
    <row r="2515" spans="1:50" x14ac:dyDescent="0.25">
      <c r="A2515" s="1"/>
      <c r="H2515" s="1"/>
      <c r="O2515" s="1"/>
      <c r="V2515" s="1"/>
      <c r="AC2515" s="1"/>
      <c r="AJ2515" s="1"/>
      <c r="AQ2515" s="1"/>
      <c r="AX2515" s="1"/>
    </row>
    <row r="2516" spans="1:50" x14ac:dyDescent="0.25">
      <c r="A2516" s="1"/>
      <c r="H2516" s="1"/>
      <c r="O2516" s="1"/>
      <c r="V2516" s="1"/>
      <c r="AC2516" s="1"/>
      <c r="AJ2516" s="1"/>
      <c r="AQ2516" s="1"/>
      <c r="AX2516" s="1"/>
    </row>
    <row r="2517" spans="1:50" x14ac:dyDescent="0.25">
      <c r="A2517" s="1"/>
      <c r="H2517" s="1"/>
      <c r="O2517" s="1"/>
      <c r="V2517" s="1"/>
      <c r="AC2517" s="1"/>
      <c r="AJ2517" s="1"/>
      <c r="AQ2517" s="1"/>
      <c r="AX2517" s="1"/>
    </row>
    <row r="2518" spans="1:50" x14ac:dyDescent="0.25">
      <c r="A2518" s="1"/>
      <c r="H2518" s="1"/>
      <c r="O2518" s="1"/>
      <c r="V2518" s="1"/>
      <c r="AC2518" s="1"/>
      <c r="AJ2518" s="1"/>
      <c r="AQ2518" s="1"/>
      <c r="AX2518" s="1"/>
    </row>
    <row r="2519" spans="1:50" x14ac:dyDescent="0.25">
      <c r="A2519" s="1"/>
      <c r="H2519" s="1"/>
      <c r="O2519" s="1"/>
      <c r="V2519" s="1"/>
      <c r="AC2519" s="1"/>
      <c r="AJ2519" s="1"/>
      <c r="AQ2519" s="1"/>
      <c r="AX2519" s="1"/>
    </row>
    <row r="2520" spans="1:50" x14ac:dyDescent="0.25">
      <c r="A2520" s="1"/>
      <c r="H2520" s="1"/>
      <c r="O2520" s="1"/>
      <c r="V2520" s="1"/>
      <c r="AC2520" s="1"/>
      <c r="AJ2520" s="1"/>
      <c r="AQ2520" s="1"/>
      <c r="AX2520" s="1"/>
    </row>
    <row r="2521" spans="1:50" x14ac:dyDescent="0.25">
      <c r="A2521" s="1"/>
      <c r="H2521" s="1"/>
      <c r="O2521" s="1"/>
      <c r="V2521" s="1"/>
      <c r="AC2521" s="1"/>
      <c r="AJ2521" s="1"/>
      <c r="AQ2521" s="1"/>
      <c r="AX2521" s="1"/>
    </row>
    <row r="2522" spans="1:50" x14ac:dyDescent="0.25">
      <c r="A2522" s="1"/>
      <c r="H2522" s="1"/>
      <c r="O2522" s="1"/>
      <c r="V2522" s="1"/>
      <c r="AC2522" s="1"/>
      <c r="AJ2522" s="1"/>
      <c r="AQ2522" s="1"/>
      <c r="AX2522" s="1"/>
    </row>
    <row r="2523" spans="1:50" x14ac:dyDescent="0.25">
      <c r="A2523" s="1"/>
      <c r="H2523" s="1"/>
      <c r="O2523" s="1"/>
      <c r="V2523" s="1"/>
      <c r="AC2523" s="1"/>
      <c r="AJ2523" s="1"/>
      <c r="AQ2523" s="1"/>
      <c r="AX2523" s="1"/>
    </row>
    <row r="2524" spans="1:50" x14ac:dyDescent="0.25">
      <c r="A2524" s="1"/>
      <c r="H2524" s="1"/>
      <c r="O2524" s="1"/>
      <c r="V2524" s="1"/>
      <c r="AC2524" s="1"/>
      <c r="AJ2524" s="1"/>
      <c r="AQ2524" s="1"/>
      <c r="AX2524" s="1"/>
    </row>
    <row r="2525" spans="1:50" x14ac:dyDescent="0.25">
      <c r="A2525" s="1"/>
      <c r="H2525" s="1"/>
      <c r="O2525" s="1"/>
      <c r="V2525" s="1"/>
      <c r="AC2525" s="1"/>
      <c r="AJ2525" s="1"/>
      <c r="AQ2525" s="1"/>
      <c r="AX2525" s="1"/>
    </row>
    <row r="2526" spans="1:50" x14ac:dyDescent="0.25">
      <c r="A2526" s="1"/>
      <c r="H2526" s="1"/>
      <c r="O2526" s="1"/>
      <c r="V2526" s="1"/>
      <c r="AC2526" s="1"/>
      <c r="AJ2526" s="1"/>
      <c r="AQ2526" s="1"/>
      <c r="AX2526" s="1"/>
    </row>
    <row r="2527" spans="1:50" x14ac:dyDescent="0.25">
      <c r="A2527" s="1"/>
      <c r="H2527" s="1"/>
      <c r="O2527" s="1"/>
      <c r="V2527" s="1"/>
      <c r="AC2527" s="1"/>
      <c r="AJ2527" s="1"/>
      <c r="AQ2527" s="1"/>
      <c r="AX2527" s="1"/>
    </row>
    <row r="2528" spans="1:50" x14ac:dyDescent="0.25">
      <c r="A2528" s="1"/>
      <c r="H2528" s="1"/>
      <c r="O2528" s="1"/>
      <c r="V2528" s="1"/>
      <c r="AC2528" s="1"/>
      <c r="AJ2528" s="1"/>
      <c r="AQ2528" s="1"/>
      <c r="AX2528" s="1"/>
    </row>
    <row r="2529" spans="1:50" x14ac:dyDescent="0.25">
      <c r="A2529" s="1"/>
      <c r="H2529" s="1"/>
      <c r="O2529" s="1"/>
      <c r="V2529" s="1"/>
      <c r="AC2529" s="1"/>
      <c r="AJ2529" s="1"/>
      <c r="AQ2529" s="1"/>
      <c r="AX2529" s="1"/>
    </row>
    <row r="2530" spans="1:50" x14ac:dyDescent="0.25">
      <c r="A2530" s="1"/>
      <c r="H2530" s="1"/>
      <c r="O2530" s="1"/>
      <c r="V2530" s="1"/>
      <c r="AC2530" s="1"/>
      <c r="AJ2530" s="1"/>
      <c r="AQ2530" s="1"/>
      <c r="AX2530" s="1"/>
    </row>
    <row r="2531" spans="1:50" x14ac:dyDescent="0.25">
      <c r="A2531" s="1"/>
      <c r="H2531" s="1"/>
      <c r="O2531" s="1"/>
      <c r="V2531" s="1"/>
      <c r="AC2531" s="1"/>
      <c r="AJ2531" s="1"/>
      <c r="AQ2531" s="1"/>
      <c r="AX2531" s="1"/>
    </row>
    <row r="2532" spans="1:50" x14ac:dyDescent="0.25">
      <c r="A2532" s="1"/>
      <c r="H2532" s="1"/>
      <c r="O2532" s="1"/>
      <c r="V2532" s="1"/>
      <c r="AC2532" s="1"/>
      <c r="AJ2532" s="1"/>
      <c r="AQ2532" s="1"/>
      <c r="AX2532" s="1"/>
    </row>
    <row r="2533" spans="1:50" x14ac:dyDescent="0.25">
      <c r="A2533" s="1"/>
      <c r="H2533" s="1"/>
      <c r="O2533" s="1"/>
      <c r="V2533" s="1"/>
      <c r="AC2533" s="1"/>
      <c r="AJ2533" s="1"/>
      <c r="AQ2533" s="1"/>
      <c r="AX2533" s="1"/>
    </row>
    <row r="2534" spans="1:50" x14ac:dyDescent="0.25">
      <c r="A2534" s="1"/>
      <c r="H2534" s="1"/>
      <c r="O2534" s="1"/>
      <c r="V2534" s="1"/>
      <c r="AC2534" s="1"/>
      <c r="AJ2534" s="1"/>
      <c r="AQ2534" s="1"/>
      <c r="AX2534" s="1"/>
    </row>
    <row r="2535" spans="1:50" x14ac:dyDescent="0.25">
      <c r="A2535" s="1"/>
      <c r="H2535" s="1"/>
      <c r="O2535" s="1"/>
      <c r="V2535" s="1"/>
      <c r="AC2535" s="1"/>
      <c r="AJ2535" s="1"/>
      <c r="AQ2535" s="1"/>
      <c r="AX2535" s="1"/>
    </row>
    <row r="2536" spans="1:50" x14ac:dyDescent="0.25">
      <c r="A2536" s="1"/>
      <c r="H2536" s="1"/>
      <c r="O2536" s="1"/>
      <c r="V2536" s="1"/>
      <c r="AC2536" s="1"/>
      <c r="AJ2536" s="1"/>
      <c r="AQ2536" s="1"/>
      <c r="AX2536" s="1"/>
    </row>
    <row r="2537" spans="1:50" x14ac:dyDescent="0.25">
      <c r="A2537" s="1"/>
      <c r="H2537" s="1"/>
      <c r="O2537" s="1"/>
      <c r="V2537" s="1"/>
      <c r="AC2537" s="1"/>
      <c r="AJ2537" s="1"/>
      <c r="AQ2537" s="1"/>
      <c r="AX2537" s="1"/>
    </row>
    <row r="2538" spans="1:50" x14ac:dyDescent="0.25">
      <c r="A2538" s="1"/>
      <c r="H2538" s="1"/>
      <c r="O2538" s="1"/>
      <c r="V2538" s="1"/>
      <c r="AC2538" s="1"/>
      <c r="AJ2538" s="1"/>
      <c r="AQ2538" s="1"/>
      <c r="AX2538" s="1"/>
    </row>
    <row r="2539" spans="1:50" x14ac:dyDescent="0.25">
      <c r="A2539" s="1"/>
      <c r="H2539" s="1"/>
      <c r="O2539" s="1"/>
      <c r="V2539" s="1"/>
      <c r="AC2539" s="1"/>
      <c r="AJ2539" s="1"/>
      <c r="AQ2539" s="1"/>
      <c r="AX2539" s="1"/>
    </row>
    <row r="2540" spans="1:50" x14ac:dyDescent="0.25">
      <c r="A2540" s="1"/>
      <c r="H2540" s="1"/>
      <c r="O2540" s="1"/>
      <c r="V2540" s="1"/>
      <c r="AC2540" s="1"/>
      <c r="AJ2540" s="1"/>
      <c r="AQ2540" s="1"/>
      <c r="AX2540" s="1"/>
    </row>
    <row r="2541" spans="1:50" x14ac:dyDescent="0.25">
      <c r="A2541" s="1"/>
      <c r="H2541" s="1"/>
      <c r="O2541" s="1"/>
      <c r="V2541" s="1"/>
      <c r="AC2541" s="1"/>
      <c r="AJ2541" s="1"/>
      <c r="AQ2541" s="1"/>
      <c r="AX2541" s="1"/>
    </row>
    <row r="2542" spans="1:50" x14ac:dyDescent="0.25">
      <c r="A2542" s="1"/>
      <c r="H2542" s="1"/>
      <c r="O2542" s="1"/>
      <c r="V2542" s="1"/>
      <c r="AC2542" s="1"/>
      <c r="AJ2542" s="1"/>
      <c r="AQ2542" s="1"/>
      <c r="AX2542" s="1"/>
    </row>
    <row r="2543" spans="1:50" x14ac:dyDescent="0.25">
      <c r="A2543" s="1"/>
      <c r="H2543" s="1"/>
      <c r="O2543" s="1"/>
      <c r="V2543" s="1"/>
      <c r="AC2543" s="1"/>
      <c r="AJ2543" s="1"/>
      <c r="AQ2543" s="1"/>
      <c r="AX2543" s="1"/>
    </row>
    <row r="2544" spans="1:50" x14ac:dyDescent="0.25">
      <c r="A2544" s="1"/>
      <c r="H2544" s="1"/>
      <c r="O2544" s="1"/>
      <c r="V2544" s="1"/>
      <c r="AC2544" s="1"/>
      <c r="AJ2544" s="1"/>
      <c r="AQ2544" s="1"/>
      <c r="AX2544" s="1"/>
    </row>
    <row r="2545" spans="1:50" x14ac:dyDescent="0.25">
      <c r="A2545" s="1"/>
      <c r="H2545" s="1"/>
      <c r="O2545" s="1"/>
      <c r="V2545" s="1"/>
      <c r="AC2545" s="1"/>
      <c r="AJ2545" s="1"/>
      <c r="AQ2545" s="1"/>
      <c r="AX2545" s="1"/>
    </row>
    <row r="2546" spans="1:50" x14ac:dyDescent="0.25">
      <c r="A2546" s="1"/>
      <c r="H2546" s="1"/>
      <c r="O2546" s="1"/>
      <c r="V2546" s="1"/>
      <c r="AC2546" s="1"/>
      <c r="AJ2546" s="1"/>
      <c r="AQ2546" s="1"/>
      <c r="AX2546" s="1"/>
    </row>
    <row r="2547" spans="1:50" x14ac:dyDescent="0.25">
      <c r="A2547" s="1"/>
      <c r="H2547" s="1"/>
      <c r="O2547" s="1"/>
      <c r="V2547" s="1"/>
      <c r="AC2547" s="1"/>
      <c r="AJ2547" s="1"/>
      <c r="AQ2547" s="1"/>
      <c r="AX2547" s="1"/>
    </row>
    <row r="2548" spans="1:50" x14ac:dyDescent="0.25">
      <c r="A2548" s="1"/>
      <c r="H2548" s="1"/>
      <c r="O2548" s="1"/>
      <c r="V2548" s="1"/>
      <c r="AC2548" s="1"/>
      <c r="AJ2548" s="1"/>
      <c r="AQ2548" s="1"/>
      <c r="AX2548" s="1"/>
    </row>
    <row r="2549" spans="1:50" x14ac:dyDescent="0.25">
      <c r="A2549" s="1"/>
      <c r="H2549" s="1"/>
      <c r="O2549" s="1"/>
      <c r="V2549" s="1"/>
      <c r="AC2549" s="1"/>
      <c r="AJ2549" s="1"/>
      <c r="AQ2549" s="1"/>
      <c r="AX2549" s="1"/>
    </row>
    <row r="2550" spans="1:50" x14ac:dyDescent="0.25">
      <c r="A2550" s="1"/>
      <c r="H2550" s="1"/>
      <c r="O2550" s="1"/>
      <c r="V2550" s="1"/>
      <c r="AC2550" s="1"/>
      <c r="AJ2550" s="1"/>
      <c r="AQ2550" s="1"/>
      <c r="AX2550" s="1"/>
    </row>
    <row r="2551" spans="1:50" x14ac:dyDescent="0.25">
      <c r="A2551" s="1"/>
      <c r="H2551" s="1"/>
      <c r="O2551" s="1"/>
      <c r="V2551" s="1"/>
      <c r="AC2551" s="1"/>
      <c r="AJ2551" s="1"/>
      <c r="AQ2551" s="1"/>
      <c r="AX2551" s="1"/>
    </row>
    <row r="2552" spans="1:50" x14ac:dyDescent="0.25">
      <c r="A2552" s="1"/>
      <c r="H2552" s="1"/>
      <c r="O2552" s="1"/>
      <c r="V2552" s="1"/>
      <c r="AC2552" s="1"/>
      <c r="AJ2552" s="1"/>
      <c r="AQ2552" s="1"/>
      <c r="AX2552" s="1"/>
    </row>
    <row r="2553" spans="1:50" x14ac:dyDescent="0.25">
      <c r="A2553" s="1"/>
      <c r="H2553" s="1"/>
      <c r="O2553" s="1"/>
      <c r="V2553" s="1"/>
      <c r="AC2553" s="1"/>
      <c r="AJ2553" s="1"/>
      <c r="AQ2553" s="1"/>
      <c r="AX2553" s="1"/>
    </row>
    <row r="2554" spans="1:50" x14ac:dyDescent="0.25">
      <c r="A2554" s="1"/>
      <c r="H2554" s="1"/>
      <c r="O2554" s="1"/>
      <c r="V2554" s="1"/>
      <c r="AC2554" s="1"/>
      <c r="AJ2554" s="1"/>
      <c r="AQ2554" s="1"/>
      <c r="AX2554" s="1"/>
    </row>
    <row r="2555" spans="1:50" x14ac:dyDescent="0.25">
      <c r="A2555" s="1"/>
      <c r="H2555" s="1"/>
      <c r="O2555" s="1"/>
      <c r="V2555" s="1"/>
      <c r="AC2555" s="1"/>
      <c r="AJ2555" s="1"/>
      <c r="AQ2555" s="1"/>
      <c r="AX2555" s="1"/>
    </row>
    <row r="2556" spans="1:50" x14ac:dyDescent="0.25">
      <c r="A2556" s="1"/>
      <c r="H2556" s="1"/>
      <c r="O2556" s="1"/>
      <c r="V2556" s="1"/>
      <c r="AC2556" s="1"/>
      <c r="AJ2556" s="1"/>
      <c r="AQ2556" s="1"/>
      <c r="AX2556" s="1"/>
    </row>
    <row r="2557" spans="1:50" x14ac:dyDescent="0.25">
      <c r="A2557" s="1"/>
      <c r="H2557" s="1"/>
      <c r="O2557" s="1"/>
      <c r="V2557" s="1"/>
      <c r="AC2557" s="1"/>
      <c r="AJ2557" s="1"/>
      <c r="AQ2557" s="1"/>
      <c r="AX2557" s="1"/>
    </row>
    <row r="2558" spans="1:50" x14ac:dyDescent="0.25">
      <c r="A2558" s="1"/>
      <c r="H2558" s="1"/>
      <c r="O2558" s="1"/>
      <c r="V2558" s="1"/>
      <c r="AC2558" s="1"/>
      <c r="AJ2558" s="1"/>
      <c r="AQ2558" s="1"/>
      <c r="AX2558" s="1"/>
    </row>
    <row r="2559" spans="1:50" x14ac:dyDescent="0.25">
      <c r="A2559" s="1"/>
      <c r="H2559" s="1"/>
      <c r="O2559" s="1"/>
      <c r="V2559" s="1"/>
      <c r="AC2559" s="1"/>
      <c r="AJ2559" s="1"/>
      <c r="AQ2559" s="1"/>
      <c r="AX2559" s="1"/>
    </row>
    <row r="2560" spans="1:50" x14ac:dyDescent="0.25">
      <c r="A2560" s="1"/>
      <c r="H2560" s="1"/>
      <c r="O2560" s="1"/>
      <c r="V2560" s="1"/>
      <c r="AC2560" s="1"/>
      <c r="AJ2560" s="1"/>
      <c r="AQ2560" s="1"/>
      <c r="AX2560" s="1"/>
    </row>
    <row r="2561" spans="1:50" x14ac:dyDescent="0.25">
      <c r="A2561" s="1"/>
      <c r="H2561" s="1"/>
      <c r="O2561" s="1"/>
      <c r="V2561" s="1"/>
      <c r="AC2561" s="1"/>
      <c r="AJ2561" s="1"/>
      <c r="AQ2561" s="1"/>
      <c r="AX2561" s="1"/>
    </row>
    <row r="2562" spans="1:50" x14ac:dyDescent="0.25">
      <c r="A2562" s="1"/>
      <c r="H2562" s="1"/>
      <c r="O2562" s="1"/>
      <c r="V2562" s="1"/>
      <c r="AC2562" s="1"/>
      <c r="AJ2562" s="1"/>
      <c r="AQ2562" s="1"/>
      <c r="AX2562" s="1"/>
    </row>
    <row r="2563" spans="1:50" x14ac:dyDescent="0.25">
      <c r="A2563" s="1"/>
      <c r="H2563" s="1"/>
      <c r="O2563" s="1"/>
      <c r="V2563" s="1"/>
      <c r="AC2563" s="1"/>
      <c r="AJ2563" s="1"/>
      <c r="AQ2563" s="1"/>
      <c r="AX2563" s="1"/>
    </row>
    <row r="2564" spans="1:50" x14ac:dyDescent="0.25">
      <c r="A2564" s="1"/>
      <c r="H2564" s="1"/>
      <c r="O2564" s="1"/>
      <c r="V2564" s="1"/>
      <c r="AC2564" s="1"/>
      <c r="AJ2564" s="1"/>
      <c r="AQ2564" s="1"/>
      <c r="AX2564" s="1"/>
    </row>
    <row r="2565" spans="1:50" x14ac:dyDescent="0.25">
      <c r="A2565" s="1"/>
      <c r="H2565" s="1"/>
      <c r="O2565" s="1"/>
      <c r="V2565" s="1"/>
      <c r="AC2565" s="1"/>
      <c r="AJ2565" s="1"/>
      <c r="AQ2565" s="1"/>
      <c r="AX2565" s="1"/>
    </row>
    <row r="2566" spans="1:50" x14ac:dyDescent="0.25">
      <c r="A2566" s="1"/>
      <c r="H2566" s="1"/>
      <c r="O2566" s="1"/>
      <c r="V2566" s="1"/>
      <c r="AC2566" s="1"/>
      <c r="AJ2566" s="1"/>
      <c r="AQ2566" s="1"/>
      <c r="AX2566" s="1"/>
    </row>
    <row r="2567" spans="1:50" x14ac:dyDescent="0.25">
      <c r="A2567" s="1"/>
      <c r="H2567" s="1"/>
      <c r="O2567" s="1"/>
      <c r="V2567" s="1"/>
      <c r="AC2567" s="1"/>
      <c r="AJ2567" s="1"/>
      <c r="AQ2567" s="1"/>
      <c r="AX2567" s="1"/>
    </row>
    <row r="2568" spans="1:50" x14ac:dyDescent="0.25">
      <c r="A2568" s="1"/>
      <c r="H2568" s="1"/>
      <c r="O2568" s="1"/>
      <c r="V2568" s="1"/>
      <c r="AC2568" s="1"/>
      <c r="AJ2568" s="1"/>
      <c r="AQ2568" s="1"/>
      <c r="AX2568" s="1"/>
    </row>
    <row r="2569" spans="1:50" x14ac:dyDescent="0.25">
      <c r="A2569" s="1"/>
      <c r="H2569" s="1"/>
      <c r="O2569" s="1"/>
      <c r="V2569" s="1"/>
      <c r="AC2569" s="1"/>
      <c r="AJ2569" s="1"/>
      <c r="AQ2569" s="1"/>
      <c r="AX2569" s="1"/>
    </row>
    <row r="2570" spans="1:50" x14ac:dyDescent="0.25">
      <c r="A2570" s="1"/>
      <c r="H2570" s="1"/>
      <c r="O2570" s="1"/>
      <c r="V2570" s="1"/>
      <c r="AC2570" s="1"/>
      <c r="AJ2570" s="1"/>
      <c r="AQ2570" s="1"/>
      <c r="AX2570" s="1"/>
    </row>
    <row r="2571" spans="1:50" x14ac:dyDescent="0.25">
      <c r="A2571" s="1"/>
      <c r="H2571" s="1"/>
      <c r="O2571" s="1"/>
      <c r="V2571" s="1"/>
      <c r="AC2571" s="1"/>
      <c r="AJ2571" s="1"/>
      <c r="AQ2571" s="1"/>
      <c r="AX2571" s="1"/>
    </row>
    <row r="2572" spans="1:50" x14ac:dyDescent="0.25">
      <c r="A2572" s="1"/>
      <c r="H2572" s="1"/>
      <c r="O2572" s="1"/>
      <c r="V2572" s="1"/>
      <c r="AC2572" s="1"/>
      <c r="AJ2572" s="1"/>
      <c r="AQ2572" s="1"/>
      <c r="AX2572" s="1"/>
    </row>
    <row r="2573" spans="1:50" x14ac:dyDescent="0.25">
      <c r="A2573" s="1"/>
      <c r="H2573" s="1"/>
      <c r="O2573" s="1"/>
      <c r="V2573" s="1"/>
      <c r="AC2573" s="1"/>
      <c r="AJ2573" s="1"/>
      <c r="AQ2573" s="1"/>
      <c r="AX2573" s="1"/>
    </row>
    <row r="2574" spans="1:50" x14ac:dyDescent="0.25">
      <c r="A2574" s="1"/>
      <c r="H2574" s="1"/>
      <c r="O2574" s="1"/>
      <c r="V2574" s="1"/>
      <c r="AC2574" s="1"/>
      <c r="AJ2574" s="1"/>
      <c r="AQ2574" s="1"/>
      <c r="AX2574" s="1"/>
    </row>
    <row r="2575" spans="1:50" x14ac:dyDescent="0.25">
      <c r="A2575" s="1"/>
      <c r="H2575" s="1"/>
      <c r="O2575" s="1"/>
      <c r="V2575" s="1"/>
      <c r="AC2575" s="1"/>
      <c r="AJ2575" s="1"/>
      <c r="AQ2575" s="1"/>
      <c r="AX2575" s="1"/>
    </row>
    <row r="2576" spans="1:50" x14ac:dyDescent="0.25">
      <c r="A2576" s="1"/>
      <c r="H2576" s="1"/>
      <c r="O2576" s="1"/>
      <c r="V2576" s="1"/>
      <c r="AC2576" s="1"/>
      <c r="AJ2576" s="1"/>
      <c r="AQ2576" s="1"/>
      <c r="AX2576" s="1"/>
    </row>
    <row r="2577" spans="1:50" x14ac:dyDescent="0.25">
      <c r="A2577" s="1"/>
      <c r="H2577" s="1"/>
      <c r="O2577" s="1"/>
      <c r="V2577" s="1"/>
      <c r="AC2577" s="1"/>
      <c r="AJ2577" s="1"/>
      <c r="AQ2577" s="1"/>
      <c r="AX2577" s="1"/>
    </row>
    <row r="2578" spans="1:50" x14ac:dyDescent="0.25">
      <c r="A2578" s="1"/>
      <c r="H2578" s="1"/>
      <c r="O2578" s="1"/>
      <c r="V2578" s="1"/>
      <c r="AC2578" s="1"/>
      <c r="AJ2578" s="1"/>
      <c r="AQ2578" s="1"/>
      <c r="AX2578" s="1"/>
    </row>
    <row r="2579" spans="1:50" x14ac:dyDescent="0.25">
      <c r="A2579" s="1"/>
      <c r="H2579" s="1"/>
      <c r="O2579" s="1"/>
      <c r="V2579" s="1"/>
      <c r="AC2579" s="1"/>
      <c r="AJ2579" s="1"/>
      <c r="AQ2579" s="1"/>
      <c r="AX2579" s="1"/>
    </row>
    <row r="2580" spans="1:50" x14ac:dyDescent="0.25">
      <c r="A2580" s="1"/>
      <c r="H2580" s="1"/>
      <c r="O2580" s="1"/>
      <c r="V2580" s="1"/>
      <c r="AC2580" s="1"/>
      <c r="AJ2580" s="1"/>
      <c r="AQ2580" s="1"/>
      <c r="AX2580" s="1"/>
    </row>
    <row r="2581" spans="1:50" x14ac:dyDescent="0.25">
      <c r="A2581" s="1"/>
      <c r="H2581" s="1"/>
      <c r="O2581" s="1"/>
      <c r="V2581" s="1"/>
      <c r="AC2581" s="1"/>
      <c r="AJ2581" s="1"/>
      <c r="AQ2581" s="1"/>
      <c r="AX2581" s="1"/>
    </row>
    <row r="2582" spans="1:50" x14ac:dyDescent="0.25">
      <c r="A2582" s="1"/>
      <c r="H2582" s="1"/>
      <c r="O2582" s="1"/>
      <c r="V2582" s="1"/>
      <c r="AC2582" s="1"/>
      <c r="AJ2582" s="1"/>
      <c r="AQ2582" s="1"/>
      <c r="AX2582" s="1"/>
    </row>
    <row r="2583" spans="1:50" x14ac:dyDescent="0.25">
      <c r="A2583" s="1"/>
      <c r="H2583" s="1"/>
      <c r="O2583" s="1"/>
      <c r="V2583" s="1"/>
      <c r="AC2583" s="1"/>
      <c r="AJ2583" s="1"/>
      <c r="AQ2583" s="1"/>
      <c r="AX2583" s="1"/>
    </row>
    <row r="2584" spans="1:50" x14ac:dyDescent="0.25">
      <c r="A2584" s="1"/>
      <c r="H2584" s="1"/>
      <c r="O2584" s="1"/>
      <c r="V2584" s="1"/>
      <c r="AC2584" s="1"/>
      <c r="AJ2584" s="1"/>
      <c r="AQ2584" s="1"/>
      <c r="AX2584" s="1"/>
    </row>
    <row r="2585" spans="1:50" x14ac:dyDescent="0.25">
      <c r="A2585" s="1"/>
      <c r="H2585" s="1"/>
      <c r="O2585" s="1"/>
      <c r="V2585" s="1"/>
      <c r="AC2585" s="1"/>
      <c r="AJ2585" s="1"/>
      <c r="AQ2585" s="1"/>
      <c r="AX2585" s="1"/>
    </row>
    <row r="2586" spans="1:50" x14ac:dyDescent="0.25">
      <c r="A2586" s="1"/>
      <c r="H2586" s="1"/>
      <c r="O2586" s="1"/>
      <c r="V2586" s="1"/>
      <c r="AC2586" s="1"/>
      <c r="AJ2586" s="1"/>
      <c r="AQ2586" s="1"/>
      <c r="AX2586" s="1"/>
    </row>
    <row r="2587" spans="1:50" x14ac:dyDescent="0.25">
      <c r="A2587" s="1"/>
      <c r="H2587" s="1"/>
      <c r="O2587" s="1"/>
      <c r="V2587" s="1"/>
      <c r="AC2587" s="1"/>
      <c r="AJ2587" s="1"/>
      <c r="AQ2587" s="1"/>
      <c r="AX2587" s="1"/>
    </row>
    <row r="2588" spans="1:50" x14ac:dyDescent="0.25">
      <c r="A2588" s="1"/>
      <c r="H2588" s="1"/>
      <c r="O2588" s="1"/>
      <c r="V2588" s="1"/>
      <c r="AC2588" s="1"/>
      <c r="AJ2588" s="1"/>
      <c r="AQ2588" s="1"/>
      <c r="AX2588" s="1"/>
    </row>
    <row r="2589" spans="1:50" x14ac:dyDescent="0.25">
      <c r="A2589" s="1"/>
      <c r="H2589" s="1"/>
      <c r="O2589" s="1"/>
      <c r="V2589" s="1"/>
      <c r="AC2589" s="1"/>
      <c r="AJ2589" s="1"/>
      <c r="AQ2589" s="1"/>
      <c r="AX2589" s="1"/>
    </row>
    <row r="2590" spans="1:50" x14ac:dyDescent="0.25">
      <c r="A2590" s="1"/>
      <c r="H2590" s="1"/>
      <c r="O2590" s="1"/>
      <c r="V2590" s="1"/>
      <c r="AC2590" s="1"/>
      <c r="AJ2590" s="1"/>
      <c r="AQ2590" s="1"/>
      <c r="AX2590" s="1"/>
    </row>
    <row r="2591" spans="1:50" x14ac:dyDescent="0.25">
      <c r="A2591" s="1"/>
      <c r="H2591" s="1"/>
      <c r="O2591" s="1"/>
      <c r="V2591" s="1"/>
      <c r="AC2591" s="1"/>
      <c r="AJ2591" s="1"/>
      <c r="AQ2591" s="1"/>
      <c r="AX2591" s="1"/>
    </row>
    <row r="2592" spans="1:50" x14ac:dyDescent="0.25">
      <c r="A2592" s="1"/>
      <c r="H2592" s="1"/>
      <c r="O2592" s="1"/>
      <c r="V2592" s="1"/>
      <c r="AC2592" s="1"/>
      <c r="AJ2592" s="1"/>
      <c r="AQ2592" s="1"/>
      <c r="AX2592" s="1"/>
    </row>
    <row r="2593" spans="1:50" x14ac:dyDescent="0.25">
      <c r="A2593" s="1"/>
      <c r="H2593" s="1"/>
      <c r="O2593" s="1"/>
      <c r="V2593" s="1"/>
      <c r="AC2593" s="1"/>
      <c r="AJ2593" s="1"/>
      <c r="AQ2593" s="1"/>
      <c r="AX2593" s="1"/>
    </row>
    <row r="2594" spans="1:50" x14ac:dyDescent="0.25">
      <c r="A2594" s="1"/>
      <c r="H2594" s="1"/>
      <c r="O2594" s="1"/>
      <c r="V2594" s="1"/>
      <c r="AC2594" s="1"/>
      <c r="AJ2594" s="1"/>
      <c r="AQ2594" s="1"/>
      <c r="AX2594" s="1"/>
    </row>
    <row r="2595" spans="1:50" x14ac:dyDescent="0.25">
      <c r="A2595" s="1"/>
      <c r="H2595" s="1"/>
      <c r="O2595" s="1"/>
      <c r="V2595" s="1"/>
      <c r="AC2595" s="1"/>
      <c r="AJ2595" s="1"/>
      <c r="AQ2595" s="1"/>
      <c r="AX2595" s="1"/>
    </row>
    <row r="2596" spans="1:50" x14ac:dyDescent="0.25">
      <c r="A2596" s="1"/>
      <c r="H2596" s="1"/>
      <c r="O2596" s="1"/>
      <c r="V2596" s="1"/>
      <c r="AC2596" s="1"/>
      <c r="AJ2596" s="1"/>
      <c r="AQ2596" s="1"/>
      <c r="AX2596" s="1"/>
    </row>
    <row r="2597" spans="1:50" x14ac:dyDescent="0.25">
      <c r="A2597" s="1"/>
      <c r="H2597" s="1"/>
      <c r="O2597" s="1"/>
      <c r="V2597" s="1"/>
      <c r="AC2597" s="1"/>
      <c r="AJ2597" s="1"/>
      <c r="AQ2597" s="1"/>
      <c r="AX2597" s="1"/>
    </row>
    <row r="2598" spans="1:50" x14ac:dyDescent="0.25">
      <c r="A2598" s="1"/>
      <c r="H2598" s="1"/>
      <c r="O2598" s="1"/>
      <c r="V2598" s="1"/>
      <c r="AC2598" s="1"/>
      <c r="AJ2598" s="1"/>
      <c r="AQ2598" s="1"/>
      <c r="AX2598" s="1"/>
    </row>
    <row r="2599" spans="1:50" x14ac:dyDescent="0.25">
      <c r="A2599" s="1"/>
      <c r="H2599" s="1"/>
      <c r="O2599" s="1"/>
      <c r="V2599" s="1"/>
      <c r="AC2599" s="1"/>
      <c r="AJ2599" s="1"/>
      <c r="AQ2599" s="1"/>
      <c r="AX2599" s="1"/>
    </row>
    <row r="2600" spans="1:50" x14ac:dyDescent="0.25">
      <c r="A2600" s="1"/>
      <c r="H2600" s="1"/>
      <c r="O2600" s="1"/>
      <c r="V2600" s="1"/>
      <c r="AC2600" s="1"/>
      <c r="AJ2600" s="1"/>
      <c r="AQ2600" s="1"/>
      <c r="AX2600" s="1"/>
    </row>
    <row r="2601" spans="1:50" x14ac:dyDescent="0.25">
      <c r="A2601" s="1"/>
      <c r="H2601" s="1"/>
      <c r="O2601" s="1"/>
      <c r="V2601" s="1"/>
      <c r="AC2601" s="1"/>
      <c r="AJ2601" s="1"/>
      <c r="AQ2601" s="1"/>
      <c r="AX2601" s="1"/>
    </row>
    <row r="2602" spans="1:50" x14ac:dyDescent="0.25">
      <c r="A2602" s="1"/>
      <c r="H2602" s="1"/>
      <c r="O2602" s="1"/>
      <c r="V2602" s="1"/>
      <c r="AC2602" s="1"/>
      <c r="AJ2602" s="1"/>
      <c r="AQ2602" s="1"/>
      <c r="AX2602" s="1"/>
    </row>
    <row r="2603" spans="1:50" x14ac:dyDescent="0.25">
      <c r="A2603" s="1"/>
      <c r="H2603" s="1"/>
      <c r="O2603" s="1"/>
      <c r="V2603" s="1"/>
      <c r="AC2603" s="1"/>
      <c r="AJ2603" s="1"/>
      <c r="AQ2603" s="1"/>
      <c r="AX2603" s="1"/>
    </row>
    <row r="2604" spans="1:50" x14ac:dyDescent="0.25">
      <c r="A2604" s="1"/>
      <c r="H2604" s="1"/>
      <c r="O2604" s="1"/>
      <c r="V2604" s="1"/>
      <c r="AC2604" s="1"/>
      <c r="AJ2604" s="1"/>
      <c r="AQ2604" s="1"/>
      <c r="AX2604" s="1"/>
    </row>
    <row r="2605" spans="1:50" x14ac:dyDescent="0.25">
      <c r="A2605" s="1"/>
      <c r="H2605" s="1"/>
      <c r="O2605" s="1"/>
      <c r="V2605" s="1"/>
      <c r="AC2605" s="1"/>
      <c r="AJ2605" s="1"/>
      <c r="AQ2605" s="1"/>
      <c r="AX2605" s="1"/>
    </row>
    <row r="2606" spans="1:50" x14ac:dyDescent="0.25">
      <c r="A2606" s="1"/>
      <c r="H2606" s="1"/>
      <c r="O2606" s="1"/>
      <c r="V2606" s="1"/>
      <c r="AC2606" s="1"/>
      <c r="AJ2606" s="1"/>
      <c r="AQ2606" s="1"/>
      <c r="AX2606" s="1"/>
    </row>
    <row r="2607" spans="1:50" x14ac:dyDescent="0.25">
      <c r="A2607" s="1"/>
      <c r="H2607" s="1"/>
      <c r="O2607" s="1"/>
      <c r="V2607" s="1"/>
      <c r="AC2607" s="1"/>
      <c r="AJ2607" s="1"/>
      <c r="AQ2607" s="1"/>
      <c r="AX2607" s="1"/>
    </row>
    <row r="2608" spans="1:50" x14ac:dyDescent="0.25">
      <c r="A2608" s="1"/>
      <c r="H2608" s="1"/>
      <c r="O2608" s="1"/>
      <c r="V2608" s="1"/>
      <c r="AC2608" s="1"/>
      <c r="AJ2608" s="1"/>
      <c r="AQ2608" s="1"/>
      <c r="AX2608" s="1"/>
    </row>
    <row r="2609" spans="1:50" x14ac:dyDescent="0.25">
      <c r="A2609" s="1"/>
      <c r="H2609" s="1"/>
      <c r="O2609" s="1"/>
      <c r="V2609" s="1"/>
      <c r="AC2609" s="1"/>
      <c r="AJ2609" s="1"/>
      <c r="AQ2609" s="1"/>
      <c r="AX2609" s="1"/>
    </row>
    <row r="2610" spans="1:50" x14ac:dyDescent="0.25">
      <c r="A2610" s="1"/>
      <c r="H2610" s="1"/>
      <c r="O2610" s="1"/>
      <c r="V2610" s="1"/>
      <c r="AC2610" s="1"/>
      <c r="AJ2610" s="1"/>
      <c r="AQ2610" s="1"/>
      <c r="AX2610" s="1"/>
    </row>
    <row r="2611" spans="1:50" x14ac:dyDescent="0.25">
      <c r="A2611" s="1"/>
      <c r="H2611" s="1"/>
      <c r="O2611" s="1"/>
      <c r="V2611" s="1"/>
      <c r="AC2611" s="1"/>
      <c r="AJ2611" s="1"/>
      <c r="AQ2611" s="1"/>
      <c r="AX2611" s="1"/>
    </row>
    <row r="2612" spans="1:50" x14ac:dyDescent="0.25">
      <c r="A2612" s="1"/>
      <c r="H2612" s="1"/>
      <c r="O2612" s="1"/>
      <c r="V2612" s="1"/>
      <c r="AC2612" s="1"/>
      <c r="AJ2612" s="1"/>
      <c r="AQ2612" s="1"/>
      <c r="AX2612" s="1"/>
    </row>
    <row r="2613" spans="1:50" x14ac:dyDescent="0.25">
      <c r="A2613" s="1"/>
      <c r="H2613" s="1"/>
      <c r="O2613" s="1"/>
      <c r="V2613" s="1"/>
      <c r="AC2613" s="1"/>
      <c r="AJ2613" s="1"/>
      <c r="AQ2613" s="1"/>
      <c r="AX2613" s="1"/>
    </row>
    <row r="2614" spans="1:50" x14ac:dyDescent="0.25">
      <c r="A2614" s="1"/>
      <c r="H2614" s="1"/>
      <c r="O2614" s="1"/>
      <c r="V2614" s="1"/>
      <c r="AC2614" s="1"/>
      <c r="AJ2614" s="1"/>
      <c r="AQ2614" s="1"/>
      <c r="AX2614" s="1"/>
    </row>
    <row r="2615" spans="1:50" x14ac:dyDescent="0.25">
      <c r="A2615" s="1"/>
      <c r="H2615" s="1"/>
      <c r="O2615" s="1"/>
      <c r="V2615" s="1"/>
      <c r="AC2615" s="1"/>
      <c r="AJ2615" s="1"/>
      <c r="AQ2615" s="1"/>
      <c r="AX2615" s="1"/>
    </row>
    <row r="2616" spans="1:50" x14ac:dyDescent="0.25">
      <c r="A2616" s="1"/>
      <c r="H2616" s="1"/>
      <c r="O2616" s="1"/>
      <c r="V2616" s="1"/>
      <c r="AC2616" s="1"/>
      <c r="AJ2616" s="1"/>
      <c r="AQ2616" s="1"/>
      <c r="AX2616" s="1"/>
    </row>
    <row r="2617" spans="1:50" x14ac:dyDescent="0.25">
      <c r="A2617" s="1"/>
      <c r="H2617" s="1"/>
      <c r="O2617" s="1"/>
      <c r="V2617" s="1"/>
      <c r="AC2617" s="1"/>
      <c r="AJ2617" s="1"/>
      <c r="AQ2617" s="1"/>
      <c r="AX2617" s="1"/>
    </row>
    <row r="2618" spans="1:50" x14ac:dyDescent="0.25">
      <c r="A2618" s="1"/>
      <c r="H2618" s="1"/>
      <c r="O2618" s="1"/>
      <c r="V2618" s="1"/>
      <c r="AC2618" s="1"/>
      <c r="AJ2618" s="1"/>
      <c r="AQ2618" s="1"/>
      <c r="AX2618" s="1"/>
    </row>
    <row r="2619" spans="1:50" x14ac:dyDescent="0.25">
      <c r="A2619" s="1"/>
      <c r="H2619" s="1"/>
      <c r="O2619" s="1"/>
      <c r="V2619" s="1"/>
      <c r="AC2619" s="1"/>
      <c r="AJ2619" s="1"/>
      <c r="AQ2619" s="1"/>
      <c r="AX2619" s="1"/>
    </row>
    <row r="2620" spans="1:50" x14ac:dyDescent="0.25">
      <c r="A2620" s="1"/>
      <c r="H2620" s="1"/>
      <c r="O2620" s="1"/>
      <c r="V2620" s="1"/>
      <c r="AC2620" s="1"/>
      <c r="AJ2620" s="1"/>
      <c r="AQ2620" s="1"/>
      <c r="AX2620" s="1"/>
    </row>
    <row r="2621" spans="1:50" x14ac:dyDescent="0.25">
      <c r="A2621" s="1"/>
      <c r="H2621" s="1"/>
      <c r="O2621" s="1"/>
      <c r="V2621" s="1"/>
      <c r="AC2621" s="1"/>
      <c r="AJ2621" s="1"/>
      <c r="AQ2621" s="1"/>
      <c r="AX2621" s="1"/>
    </row>
    <row r="2622" spans="1:50" x14ac:dyDescent="0.25">
      <c r="A2622" s="1"/>
      <c r="H2622" s="1"/>
      <c r="O2622" s="1"/>
      <c r="V2622" s="1"/>
      <c r="AC2622" s="1"/>
      <c r="AJ2622" s="1"/>
      <c r="AQ2622" s="1"/>
      <c r="AX2622" s="1"/>
    </row>
    <row r="2623" spans="1:50" x14ac:dyDescent="0.25">
      <c r="A2623" s="1"/>
      <c r="H2623" s="1"/>
      <c r="O2623" s="1"/>
      <c r="V2623" s="1"/>
      <c r="AC2623" s="1"/>
      <c r="AJ2623" s="1"/>
      <c r="AQ2623" s="1"/>
      <c r="AX2623" s="1"/>
    </row>
    <row r="2624" spans="1:50" x14ac:dyDescent="0.25">
      <c r="A2624" s="1"/>
      <c r="H2624" s="1"/>
      <c r="O2624" s="1"/>
      <c r="V2624" s="1"/>
      <c r="AC2624" s="1"/>
      <c r="AJ2624" s="1"/>
      <c r="AQ2624" s="1"/>
      <c r="AX2624" s="1"/>
    </row>
    <row r="2625" spans="1:50" x14ac:dyDescent="0.25">
      <c r="A2625" s="1"/>
      <c r="H2625" s="1"/>
      <c r="O2625" s="1"/>
      <c r="V2625" s="1"/>
      <c r="AC2625" s="1"/>
      <c r="AJ2625" s="1"/>
      <c r="AQ2625" s="1"/>
      <c r="AX2625" s="1"/>
    </row>
    <row r="2626" spans="1:50" x14ac:dyDescent="0.25">
      <c r="A2626" s="1"/>
      <c r="H2626" s="1"/>
      <c r="O2626" s="1"/>
      <c r="V2626" s="1"/>
      <c r="AC2626" s="1"/>
      <c r="AJ2626" s="1"/>
      <c r="AQ2626" s="1"/>
      <c r="AX2626" s="1"/>
    </row>
    <row r="2627" spans="1:50" x14ac:dyDescent="0.25">
      <c r="A2627" s="1"/>
      <c r="H2627" s="1"/>
      <c r="O2627" s="1"/>
      <c r="V2627" s="1"/>
      <c r="AC2627" s="1"/>
      <c r="AJ2627" s="1"/>
      <c r="AQ2627" s="1"/>
      <c r="AX2627" s="1"/>
    </row>
    <row r="2628" spans="1:50" x14ac:dyDescent="0.25">
      <c r="A2628" s="1"/>
      <c r="H2628" s="1"/>
      <c r="O2628" s="1"/>
      <c r="V2628" s="1"/>
      <c r="AC2628" s="1"/>
      <c r="AJ2628" s="1"/>
      <c r="AQ2628" s="1"/>
      <c r="AX2628" s="1"/>
    </row>
    <row r="2629" spans="1:50" x14ac:dyDescent="0.25">
      <c r="A2629" s="1"/>
      <c r="H2629" s="1"/>
      <c r="O2629" s="1"/>
      <c r="V2629" s="1"/>
      <c r="AC2629" s="1"/>
      <c r="AJ2629" s="1"/>
      <c r="AQ2629" s="1"/>
      <c r="AX2629" s="1"/>
    </row>
    <row r="2630" spans="1:50" x14ac:dyDescent="0.25">
      <c r="A2630" s="1"/>
      <c r="H2630" s="1"/>
      <c r="O2630" s="1"/>
      <c r="V2630" s="1"/>
      <c r="AC2630" s="1"/>
      <c r="AJ2630" s="1"/>
      <c r="AQ2630" s="1"/>
      <c r="AX2630" s="1"/>
    </row>
    <row r="2631" spans="1:50" x14ac:dyDescent="0.25">
      <c r="A2631" s="1"/>
      <c r="H2631" s="1"/>
      <c r="O2631" s="1"/>
      <c r="V2631" s="1"/>
      <c r="AC2631" s="1"/>
      <c r="AJ2631" s="1"/>
      <c r="AQ2631" s="1"/>
      <c r="AX2631" s="1"/>
    </row>
    <row r="2632" spans="1:50" x14ac:dyDescent="0.25">
      <c r="A2632" s="1"/>
      <c r="H2632" s="1"/>
      <c r="O2632" s="1"/>
      <c r="V2632" s="1"/>
      <c r="AC2632" s="1"/>
      <c r="AJ2632" s="1"/>
      <c r="AQ2632" s="1"/>
      <c r="AX2632" s="1"/>
    </row>
    <row r="2633" spans="1:50" x14ac:dyDescent="0.25">
      <c r="A2633" s="1"/>
      <c r="H2633" s="1"/>
      <c r="O2633" s="1"/>
      <c r="V2633" s="1"/>
      <c r="AC2633" s="1"/>
      <c r="AJ2633" s="1"/>
      <c r="AQ2633" s="1"/>
      <c r="AX2633" s="1"/>
    </row>
    <row r="2634" spans="1:50" x14ac:dyDescent="0.25">
      <c r="A2634" s="1"/>
      <c r="H2634" s="1"/>
      <c r="O2634" s="1"/>
      <c r="V2634" s="1"/>
      <c r="AC2634" s="1"/>
      <c r="AJ2634" s="1"/>
      <c r="AQ2634" s="1"/>
      <c r="AX2634" s="1"/>
    </row>
    <row r="2635" spans="1:50" x14ac:dyDescent="0.25">
      <c r="A2635" s="1"/>
      <c r="H2635" s="1"/>
      <c r="O2635" s="1"/>
      <c r="V2635" s="1"/>
      <c r="AC2635" s="1"/>
      <c r="AJ2635" s="1"/>
      <c r="AQ2635" s="1"/>
      <c r="AX2635" s="1"/>
    </row>
    <row r="2636" spans="1:50" x14ac:dyDescent="0.25">
      <c r="A2636" s="1"/>
      <c r="H2636" s="1"/>
      <c r="O2636" s="1"/>
      <c r="V2636" s="1"/>
      <c r="AC2636" s="1"/>
      <c r="AJ2636" s="1"/>
      <c r="AQ2636" s="1"/>
      <c r="AX2636" s="1"/>
    </row>
    <row r="2637" spans="1:50" x14ac:dyDescent="0.25">
      <c r="A2637" s="1"/>
      <c r="H2637" s="1"/>
      <c r="O2637" s="1"/>
      <c r="V2637" s="1"/>
      <c r="AC2637" s="1"/>
      <c r="AJ2637" s="1"/>
      <c r="AQ2637" s="1"/>
      <c r="AX2637" s="1"/>
    </row>
    <row r="2638" spans="1:50" x14ac:dyDescent="0.25">
      <c r="A2638" s="1"/>
      <c r="H2638" s="1"/>
      <c r="O2638" s="1"/>
      <c r="V2638" s="1"/>
      <c r="AC2638" s="1"/>
      <c r="AJ2638" s="1"/>
      <c r="AQ2638" s="1"/>
      <c r="AX2638" s="1"/>
    </row>
    <row r="2639" spans="1:50" x14ac:dyDescent="0.25">
      <c r="A2639" s="1"/>
      <c r="H2639" s="1"/>
      <c r="O2639" s="1"/>
      <c r="V2639" s="1"/>
      <c r="AC2639" s="1"/>
      <c r="AJ2639" s="1"/>
      <c r="AQ2639" s="1"/>
      <c r="AX2639" s="1"/>
    </row>
    <row r="2640" spans="1:50" x14ac:dyDescent="0.25">
      <c r="A2640" s="1"/>
      <c r="H2640" s="1"/>
      <c r="O2640" s="1"/>
      <c r="V2640" s="1"/>
      <c r="AC2640" s="1"/>
      <c r="AJ2640" s="1"/>
      <c r="AQ2640" s="1"/>
      <c r="AX2640" s="1"/>
    </row>
    <row r="2641" spans="1:50" x14ac:dyDescent="0.25">
      <c r="A2641" s="1"/>
      <c r="H2641" s="1"/>
      <c r="O2641" s="1"/>
      <c r="V2641" s="1"/>
      <c r="AC2641" s="1"/>
      <c r="AJ2641" s="1"/>
      <c r="AQ2641" s="1"/>
      <c r="AX2641" s="1"/>
    </row>
    <row r="2642" spans="1:50" x14ac:dyDescent="0.25">
      <c r="A2642" s="1"/>
      <c r="H2642" s="1"/>
      <c r="O2642" s="1"/>
      <c r="V2642" s="1"/>
      <c r="AC2642" s="1"/>
      <c r="AJ2642" s="1"/>
      <c r="AQ2642" s="1"/>
      <c r="AX2642" s="1"/>
    </row>
    <row r="2643" spans="1:50" x14ac:dyDescent="0.25">
      <c r="A2643" s="1"/>
      <c r="H2643" s="1"/>
      <c r="O2643" s="1"/>
      <c r="V2643" s="1"/>
      <c r="AC2643" s="1"/>
      <c r="AJ2643" s="1"/>
      <c r="AQ2643" s="1"/>
      <c r="AX2643" s="1"/>
    </row>
    <row r="2644" spans="1:50" x14ac:dyDescent="0.25">
      <c r="A2644" s="1"/>
      <c r="H2644" s="1"/>
      <c r="O2644" s="1"/>
      <c r="V2644" s="1"/>
      <c r="AC2644" s="1"/>
      <c r="AJ2644" s="1"/>
      <c r="AQ2644" s="1"/>
      <c r="AX2644" s="1"/>
    </row>
    <row r="2645" spans="1:50" x14ac:dyDescent="0.25">
      <c r="A2645" s="1"/>
      <c r="H2645" s="1"/>
      <c r="O2645" s="1"/>
      <c r="V2645" s="1"/>
      <c r="AC2645" s="1"/>
      <c r="AJ2645" s="1"/>
      <c r="AQ2645" s="1"/>
      <c r="AX2645" s="1"/>
    </row>
    <row r="2646" spans="1:50" x14ac:dyDescent="0.25">
      <c r="A2646" s="1"/>
      <c r="H2646" s="1"/>
      <c r="O2646" s="1"/>
      <c r="V2646" s="1"/>
      <c r="AC2646" s="1"/>
      <c r="AJ2646" s="1"/>
      <c r="AQ2646" s="1"/>
      <c r="AX2646" s="1"/>
    </row>
    <row r="2647" spans="1:50" x14ac:dyDescent="0.25">
      <c r="A2647" s="1"/>
      <c r="H2647" s="1"/>
      <c r="O2647" s="1"/>
      <c r="V2647" s="1"/>
      <c r="AC2647" s="1"/>
      <c r="AJ2647" s="1"/>
      <c r="AQ2647" s="1"/>
      <c r="AX2647" s="1"/>
    </row>
    <row r="2648" spans="1:50" x14ac:dyDescent="0.25">
      <c r="A2648" s="1"/>
      <c r="H2648" s="1"/>
      <c r="O2648" s="1"/>
      <c r="V2648" s="1"/>
      <c r="AC2648" s="1"/>
      <c r="AJ2648" s="1"/>
      <c r="AQ2648" s="1"/>
      <c r="AX2648" s="1"/>
    </row>
    <row r="2649" spans="1:50" x14ac:dyDescent="0.25">
      <c r="A2649" s="1"/>
      <c r="H2649" s="1"/>
      <c r="O2649" s="1"/>
      <c r="V2649" s="1"/>
      <c r="AC2649" s="1"/>
      <c r="AJ2649" s="1"/>
      <c r="AQ2649" s="1"/>
      <c r="AX2649" s="1"/>
    </row>
    <row r="2650" spans="1:50" x14ac:dyDescent="0.25">
      <c r="A2650" s="1"/>
      <c r="H2650" s="1"/>
      <c r="O2650" s="1"/>
      <c r="V2650" s="1"/>
      <c r="AC2650" s="1"/>
      <c r="AJ2650" s="1"/>
      <c r="AQ2650" s="1"/>
      <c r="AX2650" s="1"/>
    </row>
    <row r="2651" spans="1:50" x14ac:dyDescent="0.25">
      <c r="A2651" s="1"/>
      <c r="H2651" s="1"/>
      <c r="O2651" s="1"/>
      <c r="V2651" s="1"/>
      <c r="AC2651" s="1"/>
      <c r="AJ2651" s="1"/>
      <c r="AQ2651" s="1"/>
      <c r="AX2651" s="1"/>
    </row>
    <row r="2652" spans="1:50" x14ac:dyDescent="0.25">
      <c r="A2652" s="1"/>
      <c r="H2652" s="1"/>
      <c r="O2652" s="1"/>
      <c r="V2652" s="1"/>
      <c r="AC2652" s="1"/>
      <c r="AJ2652" s="1"/>
      <c r="AQ2652" s="1"/>
      <c r="AX2652" s="1"/>
    </row>
    <row r="2653" spans="1:50" x14ac:dyDescent="0.25">
      <c r="A2653" s="1"/>
      <c r="H2653" s="1"/>
      <c r="O2653" s="1"/>
      <c r="V2653" s="1"/>
      <c r="AC2653" s="1"/>
      <c r="AJ2653" s="1"/>
      <c r="AQ2653" s="1"/>
      <c r="AX2653" s="1"/>
    </row>
    <row r="2654" spans="1:50" x14ac:dyDescent="0.25">
      <c r="A2654" s="1"/>
      <c r="H2654" s="1"/>
      <c r="O2654" s="1"/>
      <c r="V2654" s="1"/>
      <c r="AC2654" s="1"/>
      <c r="AJ2654" s="1"/>
      <c r="AQ2654" s="1"/>
      <c r="AX2654" s="1"/>
    </row>
    <row r="2655" spans="1:50" x14ac:dyDescent="0.25">
      <c r="A2655" s="1"/>
      <c r="H2655" s="1"/>
      <c r="O2655" s="1"/>
      <c r="V2655" s="1"/>
      <c r="AC2655" s="1"/>
      <c r="AJ2655" s="1"/>
      <c r="AQ2655" s="1"/>
      <c r="AX2655" s="1"/>
    </row>
    <row r="2656" spans="1:50" x14ac:dyDescent="0.25">
      <c r="A2656" s="1"/>
      <c r="H2656" s="1"/>
      <c r="O2656" s="1"/>
      <c r="V2656" s="1"/>
      <c r="AC2656" s="1"/>
      <c r="AJ2656" s="1"/>
      <c r="AQ2656" s="1"/>
      <c r="AX2656" s="1"/>
    </row>
    <row r="2657" spans="1:50" x14ac:dyDescent="0.25">
      <c r="A2657" s="1"/>
      <c r="H2657" s="1"/>
      <c r="O2657" s="1"/>
      <c r="V2657" s="1"/>
      <c r="AC2657" s="1"/>
      <c r="AJ2657" s="1"/>
      <c r="AQ2657" s="1"/>
      <c r="AX2657" s="1"/>
    </row>
    <row r="2658" spans="1:50" x14ac:dyDescent="0.25">
      <c r="A2658" s="1"/>
      <c r="H2658" s="1"/>
      <c r="O2658" s="1"/>
      <c r="V2658" s="1"/>
      <c r="AC2658" s="1"/>
      <c r="AJ2658" s="1"/>
      <c r="AQ2658" s="1"/>
      <c r="AX2658" s="1"/>
    </row>
    <row r="2659" spans="1:50" x14ac:dyDescent="0.25">
      <c r="A2659" s="1"/>
      <c r="H2659" s="1"/>
      <c r="O2659" s="1"/>
      <c r="V2659" s="1"/>
      <c r="AC2659" s="1"/>
      <c r="AJ2659" s="1"/>
      <c r="AQ2659" s="1"/>
      <c r="AX2659" s="1"/>
    </row>
    <row r="2660" spans="1:50" x14ac:dyDescent="0.25">
      <c r="A2660" s="1"/>
      <c r="H2660" s="1"/>
      <c r="O2660" s="1"/>
      <c r="V2660" s="1"/>
      <c r="AC2660" s="1"/>
      <c r="AJ2660" s="1"/>
      <c r="AQ2660" s="1"/>
      <c r="AX2660" s="1"/>
    </row>
    <row r="2661" spans="1:50" x14ac:dyDescent="0.25">
      <c r="A2661" s="1"/>
      <c r="H2661" s="1"/>
      <c r="O2661" s="1"/>
      <c r="V2661" s="1"/>
      <c r="AC2661" s="1"/>
      <c r="AJ2661" s="1"/>
      <c r="AQ2661" s="1"/>
      <c r="AX2661" s="1"/>
    </row>
    <row r="2662" spans="1:50" x14ac:dyDescent="0.25">
      <c r="A2662" s="1"/>
      <c r="H2662" s="1"/>
      <c r="O2662" s="1"/>
      <c r="V2662" s="1"/>
      <c r="AC2662" s="1"/>
      <c r="AJ2662" s="1"/>
      <c r="AQ2662" s="1"/>
      <c r="AX2662" s="1"/>
    </row>
    <row r="2663" spans="1:50" x14ac:dyDescent="0.25">
      <c r="A2663" s="1"/>
      <c r="H2663" s="1"/>
      <c r="O2663" s="1"/>
      <c r="V2663" s="1"/>
      <c r="AC2663" s="1"/>
      <c r="AJ2663" s="1"/>
      <c r="AQ2663" s="1"/>
      <c r="AX2663" s="1"/>
    </row>
    <row r="2664" spans="1:50" x14ac:dyDescent="0.25">
      <c r="A2664" s="1"/>
      <c r="H2664" s="1"/>
      <c r="O2664" s="1"/>
      <c r="V2664" s="1"/>
      <c r="AC2664" s="1"/>
      <c r="AJ2664" s="1"/>
      <c r="AQ2664" s="1"/>
      <c r="AX2664" s="1"/>
    </row>
    <row r="2665" spans="1:50" x14ac:dyDescent="0.25">
      <c r="A2665" s="1"/>
      <c r="H2665" s="1"/>
      <c r="O2665" s="1"/>
      <c r="V2665" s="1"/>
      <c r="AC2665" s="1"/>
      <c r="AJ2665" s="1"/>
      <c r="AQ2665" s="1"/>
      <c r="AX2665" s="1"/>
    </row>
    <row r="2666" spans="1:50" x14ac:dyDescent="0.25">
      <c r="A2666" s="1"/>
      <c r="H2666" s="1"/>
      <c r="O2666" s="1"/>
      <c r="V2666" s="1"/>
      <c r="AC2666" s="1"/>
      <c r="AJ2666" s="1"/>
      <c r="AQ2666" s="1"/>
      <c r="AX2666" s="1"/>
    </row>
    <row r="2667" spans="1:50" x14ac:dyDescent="0.25">
      <c r="A2667" s="1"/>
      <c r="H2667" s="1"/>
      <c r="O2667" s="1"/>
      <c r="V2667" s="1"/>
      <c r="AC2667" s="1"/>
      <c r="AJ2667" s="1"/>
      <c r="AQ2667" s="1"/>
      <c r="AX2667" s="1"/>
    </row>
    <row r="2668" spans="1:50" x14ac:dyDescent="0.25">
      <c r="A2668" s="1"/>
      <c r="H2668" s="1"/>
      <c r="O2668" s="1"/>
      <c r="V2668" s="1"/>
      <c r="AC2668" s="1"/>
      <c r="AJ2668" s="1"/>
      <c r="AQ2668" s="1"/>
      <c r="AX2668" s="1"/>
    </row>
    <row r="2669" spans="1:50" x14ac:dyDescent="0.25">
      <c r="A2669" s="1"/>
      <c r="H2669" s="1"/>
      <c r="O2669" s="1"/>
      <c r="V2669" s="1"/>
      <c r="AC2669" s="1"/>
      <c r="AJ2669" s="1"/>
      <c r="AQ2669" s="1"/>
      <c r="AX2669" s="1"/>
    </row>
    <row r="2670" spans="1:50" x14ac:dyDescent="0.25">
      <c r="A2670" s="1"/>
      <c r="H2670" s="1"/>
      <c r="O2670" s="1"/>
      <c r="V2670" s="1"/>
      <c r="AC2670" s="1"/>
      <c r="AJ2670" s="1"/>
      <c r="AQ2670" s="1"/>
      <c r="AX2670" s="1"/>
    </row>
    <row r="2671" spans="1:50" x14ac:dyDescent="0.25">
      <c r="A2671" s="1"/>
      <c r="H2671" s="1"/>
      <c r="O2671" s="1"/>
      <c r="V2671" s="1"/>
      <c r="AC2671" s="1"/>
      <c r="AJ2671" s="1"/>
      <c r="AQ2671" s="1"/>
      <c r="AX2671" s="1"/>
    </row>
    <row r="2672" spans="1:50" x14ac:dyDescent="0.25">
      <c r="A2672" s="1"/>
      <c r="H2672" s="1"/>
      <c r="O2672" s="1"/>
      <c r="V2672" s="1"/>
      <c r="AC2672" s="1"/>
      <c r="AJ2672" s="1"/>
      <c r="AQ2672" s="1"/>
      <c r="AX2672" s="1"/>
    </row>
    <row r="2673" spans="1:50" x14ac:dyDescent="0.25">
      <c r="A2673" s="1"/>
      <c r="H2673" s="1"/>
      <c r="O2673" s="1"/>
      <c r="V2673" s="1"/>
      <c r="AC2673" s="1"/>
      <c r="AJ2673" s="1"/>
      <c r="AQ2673" s="1"/>
      <c r="AX2673" s="1"/>
    </row>
    <row r="2674" spans="1:50" x14ac:dyDescent="0.25">
      <c r="A2674" s="1"/>
      <c r="H2674" s="1"/>
      <c r="O2674" s="1"/>
      <c r="V2674" s="1"/>
      <c r="AC2674" s="1"/>
      <c r="AJ2674" s="1"/>
      <c r="AQ2674" s="1"/>
      <c r="AX2674" s="1"/>
    </row>
    <row r="2675" spans="1:50" x14ac:dyDescent="0.25">
      <c r="A2675" s="1"/>
      <c r="H2675" s="1"/>
      <c r="O2675" s="1"/>
      <c r="V2675" s="1"/>
      <c r="AC2675" s="1"/>
      <c r="AJ2675" s="1"/>
      <c r="AQ2675" s="1"/>
      <c r="AX2675" s="1"/>
    </row>
    <row r="2676" spans="1:50" x14ac:dyDescent="0.25">
      <c r="A2676" s="1"/>
      <c r="H2676" s="1"/>
      <c r="O2676" s="1"/>
      <c r="V2676" s="1"/>
      <c r="AC2676" s="1"/>
      <c r="AJ2676" s="1"/>
      <c r="AQ2676" s="1"/>
      <c r="AX2676" s="1"/>
    </row>
    <row r="2677" spans="1:50" x14ac:dyDescent="0.25">
      <c r="A2677" s="1"/>
      <c r="H2677" s="1"/>
      <c r="O2677" s="1"/>
      <c r="V2677" s="1"/>
      <c r="AC2677" s="1"/>
      <c r="AJ2677" s="1"/>
      <c r="AQ2677" s="1"/>
      <c r="AX2677" s="1"/>
    </row>
    <row r="2678" spans="1:50" x14ac:dyDescent="0.25">
      <c r="A2678" s="1"/>
      <c r="H2678" s="1"/>
      <c r="O2678" s="1"/>
      <c r="V2678" s="1"/>
      <c r="AC2678" s="1"/>
      <c r="AJ2678" s="1"/>
      <c r="AQ2678" s="1"/>
      <c r="AX2678" s="1"/>
    </row>
    <row r="2679" spans="1:50" x14ac:dyDescent="0.25">
      <c r="A2679" s="1"/>
      <c r="H2679" s="1"/>
      <c r="O2679" s="1"/>
      <c r="V2679" s="1"/>
      <c r="AC2679" s="1"/>
      <c r="AJ2679" s="1"/>
      <c r="AQ2679" s="1"/>
      <c r="AX2679" s="1"/>
    </row>
    <row r="2680" spans="1:50" x14ac:dyDescent="0.25">
      <c r="A2680" s="1"/>
      <c r="H2680" s="1"/>
      <c r="O2680" s="1"/>
      <c r="V2680" s="1"/>
      <c r="AC2680" s="1"/>
      <c r="AJ2680" s="1"/>
      <c r="AQ2680" s="1"/>
      <c r="AX2680" s="1"/>
    </row>
    <row r="2681" spans="1:50" x14ac:dyDescent="0.25">
      <c r="A2681" s="1"/>
      <c r="H2681" s="1"/>
      <c r="O2681" s="1"/>
      <c r="V2681" s="1"/>
      <c r="AC2681" s="1"/>
      <c r="AJ2681" s="1"/>
      <c r="AQ2681" s="1"/>
      <c r="AX2681" s="1"/>
    </row>
    <row r="2682" spans="1:50" x14ac:dyDescent="0.25">
      <c r="A2682" s="1"/>
      <c r="H2682" s="1"/>
      <c r="O2682" s="1"/>
      <c r="V2682" s="1"/>
      <c r="AC2682" s="1"/>
      <c r="AJ2682" s="1"/>
      <c r="AQ2682" s="1"/>
      <c r="AX2682" s="1"/>
    </row>
    <row r="2683" spans="1:50" x14ac:dyDescent="0.25">
      <c r="A2683" s="1"/>
      <c r="H2683" s="1"/>
      <c r="O2683" s="1"/>
      <c r="V2683" s="1"/>
      <c r="AC2683" s="1"/>
      <c r="AJ2683" s="1"/>
      <c r="AQ2683" s="1"/>
      <c r="AX2683" s="1"/>
    </row>
    <row r="2684" spans="1:50" x14ac:dyDescent="0.25">
      <c r="A2684" s="1"/>
      <c r="H2684" s="1"/>
      <c r="O2684" s="1"/>
      <c r="V2684" s="1"/>
      <c r="AC2684" s="1"/>
      <c r="AJ2684" s="1"/>
      <c r="AQ2684" s="1"/>
      <c r="AX2684" s="1"/>
    </row>
    <row r="2685" spans="1:50" x14ac:dyDescent="0.25">
      <c r="A2685" s="1"/>
      <c r="H2685" s="1"/>
      <c r="O2685" s="1"/>
      <c r="V2685" s="1"/>
      <c r="AC2685" s="1"/>
      <c r="AJ2685" s="1"/>
      <c r="AQ2685" s="1"/>
      <c r="AX2685" s="1"/>
    </row>
    <row r="2686" spans="1:50" x14ac:dyDescent="0.25">
      <c r="A2686" s="1"/>
      <c r="H2686" s="1"/>
      <c r="O2686" s="1"/>
      <c r="V2686" s="1"/>
      <c r="AC2686" s="1"/>
      <c r="AJ2686" s="1"/>
      <c r="AQ2686" s="1"/>
      <c r="AX2686" s="1"/>
    </row>
    <row r="2687" spans="1:50" x14ac:dyDescent="0.25">
      <c r="A2687" s="1"/>
      <c r="H2687" s="1"/>
      <c r="O2687" s="1"/>
      <c r="V2687" s="1"/>
      <c r="AC2687" s="1"/>
      <c r="AJ2687" s="1"/>
      <c r="AQ2687" s="1"/>
      <c r="AX2687" s="1"/>
    </row>
    <row r="2688" spans="1:50" x14ac:dyDescent="0.25">
      <c r="A2688" s="1"/>
      <c r="H2688" s="1"/>
      <c r="O2688" s="1"/>
      <c r="V2688" s="1"/>
      <c r="AC2688" s="1"/>
      <c r="AJ2688" s="1"/>
      <c r="AQ2688" s="1"/>
      <c r="AX2688" s="1"/>
    </row>
    <row r="2689" spans="1:50" x14ac:dyDescent="0.25">
      <c r="A2689" s="1"/>
      <c r="H2689" s="1"/>
      <c r="O2689" s="1"/>
      <c r="V2689" s="1"/>
      <c r="AC2689" s="1"/>
      <c r="AJ2689" s="1"/>
      <c r="AQ2689" s="1"/>
      <c r="AX2689" s="1"/>
    </row>
    <row r="2690" spans="1:50" x14ac:dyDescent="0.25">
      <c r="A2690" s="1"/>
      <c r="H2690" s="1"/>
      <c r="O2690" s="1"/>
      <c r="V2690" s="1"/>
      <c r="AC2690" s="1"/>
      <c r="AJ2690" s="1"/>
      <c r="AQ2690" s="1"/>
      <c r="AX2690" s="1"/>
    </row>
    <row r="2691" spans="1:50" x14ac:dyDescent="0.25">
      <c r="A2691" s="1"/>
      <c r="H2691" s="1"/>
      <c r="O2691" s="1"/>
      <c r="V2691" s="1"/>
      <c r="AC2691" s="1"/>
      <c r="AJ2691" s="1"/>
      <c r="AQ2691" s="1"/>
      <c r="AX2691" s="1"/>
    </row>
    <row r="2692" spans="1:50" x14ac:dyDescent="0.25">
      <c r="A2692" s="1"/>
      <c r="H2692" s="1"/>
      <c r="O2692" s="1"/>
      <c r="V2692" s="1"/>
      <c r="AC2692" s="1"/>
      <c r="AJ2692" s="1"/>
      <c r="AQ2692" s="1"/>
      <c r="AX2692" s="1"/>
    </row>
    <row r="2693" spans="1:50" x14ac:dyDescent="0.25">
      <c r="A2693" s="1"/>
      <c r="H2693" s="1"/>
      <c r="O2693" s="1"/>
      <c r="V2693" s="1"/>
      <c r="AC2693" s="1"/>
      <c r="AJ2693" s="1"/>
      <c r="AQ2693" s="1"/>
      <c r="AX2693" s="1"/>
    </row>
    <row r="2694" spans="1:50" x14ac:dyDescent="0.25">
      <c r="A2694" s="1"/>
      <c r="H2694" s="1"/>
      <c r="O2694" s="1"/>
      <c r="V2694" s="1"/>
      <c r="AC2694" s="1"/>
      <c r="AJ2694" s="1"/>
      <c r="AQ2694" s="1"/>
      <c r="AX2694" s="1"/>
    </row>
    <row r="2695" spans="1:50" x14ac:dyDescent="0.25">
      <c r="A2695" s="1"/>
      <c r="H2695" s="1"/>
      <c r="O2695" s="1"/>
      <c r="V2695" s="1"/>
      <c r="AC2695" s="1"/>
      <c r="AJ2695" s="1"/>
      <c r="AQ2695" s="1"/>
      <c r="AX2695" s="1"/>
    </row>
    <row r="2696" spans="1:50" x14ac:dyDescent="0.25">
      <c r="A2696" s="1"/>
      <c r="H2696" s="1"/>
      <c r="O2696" s="1"/>
      <c r="V2696" s="1"/>
      <c r="AC2696" s="1"/>
      <c r="AJ2696" s="1"/>
      <c r="AQ2696" s="1"/>
      <c r="AX2696" s="1"/>
    </row>
    <row r="2697" spans="1:50" x14ac:dyDescent="0.25">
      <c r="A2697" s="1"/>
      <c r="H2697" s="1"/>
      <c r="O2697" s="1"/>
      <c r="V2697" s="1"/>
      <c r="AC2697" s="1"/>
      <c r="AJ2697" s="1"/>
      <c r="AQ2697" s="1"/>
      <c r="AX2697" s="1"/>
    </row>
    <row r="2698" spans="1:50" x14ac:dyDescent="0.25">
      <c r="A2698" s="1"/>
      <c r="H2698" s="1"/>
      <c r="O2698" s="1"/>
      <c r="V2698" s="1"/>
      <c r="AC2698" s="1"/>
      <c r="AJ2698" s="1"/>
      <c r="AQ2698" s="1"/>
      <c r="AX2698" s="1"/>
    </row>
    <row r="2699" spans="1:50" x14ac:dyDescent="0.25">
      <c r="A2699" s="1"/>
      <c r="H2699" s="1"/>
      <c r="O2699" s="1"/>
      <c r="V2699" s="1"/>
      <c r="AC2699" s="1"/>
      <c r="AJ2699" s="1"/>
      <c r="AQ2699" s="1"/>
      <c r="AX2699" s="1"/>
    </row>
    <row r="2700" spans="1:50" x14ac:dyDescent="0.25">
      <c r="A2700" s="1"/>
      <c r="H2700" s="1"/>
      <c r="O2700" s="1"/>
      <c r="V2700" s="1"/>
      <c r="AC2700" s="1"/>
      <c r="AJ2700" s="1"/>
      <c r="AQ2700" s="1"/>
      <c r="AX2700" s="1"/>
    </row>
    <row r="2701" spans="1:50" x14ac:dyDescent="0.25">
      <c r="A2701" s="1"/>
      <c r="H2701" s="1"/>
      <c r="O2701" s="1"/>
      <c r="V2701" s="1"/>
      <c r="AC2701" s="1"/>
      <c r="AJ2701" s="1"/>
      <c r="AQ2701" s="1"/>
      <c r="AX2701" s="1"/>
    </row>
    <row r="2702" spans="1:50" x14ac:dyDescent="0.25">
      <c r="A2702" s="1"/>
      <c r="H2702" s="1"/>
      <c r="O2702" s="1"/>
      <c r="V2702" s="1"/>
      <c r="AC2702" s="1"/>
      <c r="AJ2702" s="1"/>
      <c r="AQ2702" s="1"/>
      <c r="AX2702" s="1"/>
    </row>
    <row r="2703" spans="1:50" x14ac:dyDescent="0.25">
      <c r="A2703" s="1"/>
      <c r="H2703" s="1"/>
      <c r="O2703" s="1"/>
      <c r="V2703" s="1"/>
      <c r="AC2703" s="1"/>
      <c r="AJ2703" s="1"/>
      <c r="AQ2703" s="1"/>
      <c r="AX2703" s="1"/>
    </row>
    <row r="2704" spans="1:50" x14ac:dyDescent="0.25">
      <c r="A2704" s="1"/>
      <c r="H2704" s="1"/>
      <c r="O2704" s="1"/>
      <c r="V2704" s="1"/>
      <c r="AC2704" s="1"/>
      <c r="AJ2704" s="1"/>
      <c r="AQ2704" s="1"/>
      <c r="AX2704" s="1"/>
    </row>
    <row r="2705" spans="1:50" x14ac:dyDescent="0.25">
      <c r="A2705" s="1"/>
      <c r="H2705" s="1"/>
      <c r="O2705" s="1"/>
      <c r="V2705" s="1"/>
      <c r="AC2705" s="1"/>
      <c r="AJ2705" s="1"/>
      <c r="AQ2705" s="1"/>
      <c r="AX2705" s="1"/>
    </row>
    <row r="2706" spans="1:50" x14ac:dyDescent="0.25">
      <c r="A2706" s="1"/>
      <c r="H2706" s="1"/>
      <c r="O2706" s="1"/>
      <c r="V2706" s="1"/>
      <c r="AC2706" s="1"/>
      <c r="AJ2706" s="1"/>
      <c r="AQ2706" s="1"/>
      <c r="AX2706" s="1"/>
    </row>
    <row r="2707" spans="1:50" x14ac:dyDescent="0.25">
      <c r="A2707" s="1"/>
      <c r="H2707" s="1"/>
      <c r="O2707" s="1"/>
      <c r="V2707" s="1"/>
      <c r="AC2707" s="1"/>
      <c r="AJ2707" s="1"/>
      <c r="AQ2707" s="1"/>
      <c r="AX2707" s="1"/>
    </row>
    <row r="2708" spans="1:50" x14ac:dyDescent="0.25">
      <c r="A2708" s="1"/>
      <c r="H2708" s="1"/>
      <c r="O2708" s="1"/>
      <c r="V2708" s="1"/>
      <c r="AC2708" s="1"/>
      <c r="AJ2708" s="1"/>
      <c r="AQ2708" s="1"/>
      <c r="AX2708" s="1"/>
    </row>
    <row r="2709" spans="1:50" x14ac:dyDescent="0.25">
      <c r="A2709" s="1"/>
      <c r="H2709" s="1"/>
      <c r="O2709" s="1"/>
      <c r="V2709" s="1"/>
      <c r="AC2709" s="1"/>
      <c r="AJ2709" s="1"/>
      <c r="AQ2709" s="1"/>
      <c r="AX2709" s="1"/>
    </row>
    <row r="2710" spans="1:50" x14ac:dyDescent="0.25">
      <c r="A2710" s="1"/>
      <c r="H2710" s="1"/>
      <c r="O2710" s="1"/>
      <c r="V2710" s="1"/>
      <c r="AC2710" s="1"/>
      <c r="AJ2710" s="1"/>
      <c r="AQ2710" s="1"/>
      <c r="AX2710" s="1"/>
    </row>
    <row r="2711" spans="1:50" x14ac:dyDescent="0.25">
      <c r="A2711" s="1"/>
      <c r="H2711" s="1"/>
      <c r="O2711" s="1"/>
      <c r="V2711" s="1"/>
      <c r="AC2711" s="1"/>
      <c r="AJ2711" s="1"/>
      <c r="AQ2711" s="1"/>
      <c r="AX2711" s="1"/>
    </row>
    <row r="2712" spans="1:50" x14ac:dyDescent="0.25">
      <c r="A2712" s="1"/>
      <c r="H2712" s="1"/>
      <c r="O2712" s="1"/>
      <c r="V2712" s="1"/>
      <c r="AC2712" s="1"/>
      <c r="AJ2712" s="1"/>
      <c r="AQ2712" s="1"/>
      <c r="AX2712" s="1"/>
    </row>
    <row r="2713" spans="1:50" x14ac:dyDescent="0.25">
      <c r="A2713" s="1"/>
      <c r="H2713" s="1"/>
      <c r="O2713" s="1"/>
      <c r="V2713" s="1"/>
      <c r="AC2713" s="1"/>
      <c r="AJ2713" s="1"/>
      <c r="AQ2713" s="1"/>
      <c r="AX2713" s="1"/>
    </row>
    <row r="2714" spans="1:50" x14ac:dyDescent="0.25">
      <c r="A2714" s="1"/>
      <c r="H2714" s="1"/>
      <c r="O2714" s="1"/>
      <c r="V2714" s="1"/>
      <c r="AC2714" s="1"/>
      <c r="AJ2714" s="1"/>
      <c r="AQ2714" s="1"/>
      <c r="AX2714" s="1"/>
    </row>
    <row r="2715" spans="1:50" x14ac:dyDescent="0.25">
      <c r="A2715" s="1"/>
      <c r="H2715" s="1"/>
      <c r="O2715" s="1"/>
      <c r="V2715" s="1"/>
      <c r="AC2715" s="1"/>
      <c r="AJ2715" s="1"/>
      <c r="AQ2715" s="1"/>
      <c r="AX2715" s="1"/>
    </row>
    <row r="2716" spans="1:50" x14ac:dyDescent="0.25">
      <c r="A2716" s="1"/>
      <c r="H2716" s="1"/>
      <c r="O2716" s="1"/>
      <c r="V2716" s="1"/>
      <c r="AC2716" s="1"/>
      <c r="AJ2716" s="1"/>
      <c r="AQ2716" s="1"/>
      <c r="AX2716" s="1"/>
    </row>
    <row r="2717" spans="1:50" x14ac:dyDescent="0.25">
      <c r="A2717" s="1"/>
      <c r="H2717" s="1"/>
      <c r="O2717" s="1"/>
      <c r="V2717" s="1"/>
      <c r="AC2717" s="1"/>
      <c r="AJ2717" s="1"/>
      <c r="AQ2717" s="1"/>
      <c r="AX2717" s="1"/>
    </row>
    <row r="2718" spans="1:50" x14ac:dyDescent="0.25">
      <c r="A2718" s="1"/>
      <c r="H2718" s="1"/>
      <c r="O2718" s="1"/>
      <c r="V2718" s="1"/>
      <c r="AC2718" s="1"/>
      <c r="AJ2718" s="1"/>
      <c r="AQ2718" s="1"/>
      <c r="AX2718" s="1"/>
    </row>
    <row r="2719" spans="1:50" x14ac:dyDescent="0.25">
      <c r="A2719" s="1"/>
      <c r="H2719" s="1"/>
      <c r="O2719" s="1"/>
      <c r="V2719" s="1"/>
      <c r="AC2719" s="1"/>
      <c r="AJ2719" s="1"/>
      <c r="AQ2719" s="1"/>
      <c r="AX2719" s="1"/>
    </row>
    <row r="2720" spans="1:50" x14ac:dyDescent="0.25">
      <c r="A2720" s="1"/>
      <c r="H2720" s="1"/>
      <c r="O2720" s="1"/>
      <c r="V2720" s="1"/>
      <c r="AC2720" s="1"/>
      <c r="AJ2720" s="1"/>
      <c r="AQ2720" s="1"/>
      <c r="AX2720" s="1"/>
    </row>
    <row r="2721" spans="1:50" x14ac:dyDescent="0.25">
      <c r="A2721" s="1"/>
      <c r="H2721" s="1"/>
      <c r="O2721" s="1"/>
      <c r="V2721" s="1"/>
      <c r="AC2721" s="1"/>
      <c r="AJ2721" s="1"/>
      <c r="AQ2721" s="1"/>
      <c r="AX2721" s="1"/>
    </row>
    <row r="2722" spans="1:50" x14ac:dyDescent="0.25">
      <c r="A2722" s="1"/>
      <c r="H2722" s="1"/>
      <c r="O2722" s="1"/>
      <c r="V2722" s="1"/>
      <c r="AC2722" s="1"/>
      <c r="AJ2722" s="1"/>
      <c r="AQ2722" s="1"/>
      <c r="AX2722" s="1"/>
    </row>
    <row r="2723" spans="1:50" x14ac:dyDescent="0.25">
      <c r="A2723" s="1"/>
      <c r="H2723" s="1"/>
      <c r="O2723" s="1"/>
      <c r="V2723" s="1"/>
      <c r="AC2723" s="1"/>
      <c r="AJ2723" s="1"/>
      <c r="AQ2723" s="1"/>
      <c r="AX2723" s="1"/>
    </row>
    <row r="2724" spans="1:50" x14ac:dyDescent="0.25">
      <c r="A2724" s="1"/>
      <c r="H2724" s="1"/>
      <c r="O2724" s="1"/>
      <c r="V2724" s="1"/>
      <c r="AC2724" s="1"/>
      <c r="AJ2724" s="1"/>
      <c r="AQ2724" s="1"/>
      <c r="AX2724" s="1"/>
    </row>
    <row r="2725" spans="1:50" x14ac:dyDescent="0.25">
      <c r="A2725" s="1"/>
      <c r="H2725" s="1"/>
      <c r="O2725" s="1"/>
      <c r="V2725" s="1"/>
      <c r="AC2725" s="1"/>
      <c r="AJ2725" s="1"/>
      <c r="AQ2725" s="1"/>
      <c r="AX2725" s="1"/>
    </row>
    <row r="2726" spans="1:50" x14ac:dyDescent="0.25">
      <c r="A2726" s="1"/>
      <c r="H2726" s="1"/>
      <c r="O2726" s="1"/>
      <c r="V2726" s="1"/>
      <c r="AC2726" s="1"/>
      <c r="AJ2726" s="1"/>
      <c r="AQ2726" s="1"/>
      <c r="AX2726" s="1"/>
    </row>
    <row r="2727" spans="1:50" x14ac:dyDescent="0.25">
      <c r="A2727" s="1"/>
      <c r="H2727" s="1"/>
      <c r="O2727" s="1"/>
      <c r="V2727" s="1"/>
      <c r="AC2727" s="1"/>
      <c r="AJ2727" s="1"/>
      <c r="AQ2727" s="1"/>
      <c r="AX2727" s="1"/>
    </row>
    <row r="2728" spans="1:50" x14ac:dyDescent="0.25">
      <c r="A2728" s="1"/>
      <c r="H2728" s="1"/>
      <c r="O2728" s="1"/>
      <c r="V2728" s="1"/>
      <c r="AC2728" s="1"/>
      <c r="AJ2728" s="1"/>
      <c r="AQ2728" s="1"/>
      <c r="AX2728" s="1"/>
    </row>
    <row r="2729" spans="1:50" x14ac:dyDescent="0.25">
      <c r="A2729" s="1"/>
      <c r="H2729" s="1"/>
      <c r="O2729" s="1"/>
      <c r="V2729" s="1"/>
      <c r="AC2729" s="1"/>
      <c r="AJ2729" s="1"/>
      <c r="AQ2729" s="1"/>
      <c r="AX2729" s="1"/>
    </row>
    <row r="2730" spans="1:50" x14ac:dyDescent="0.25">
      <c r="A2730" s="1"/>
      <c r="H2730" s="1"/>
      <c r="O2730" s="1"/>
      <c r="V2730" s="1"/>
      <c r="AC2730" s="1"/>
      <c r="AJ2730" s="1"/>
      <c r="AQ2730" s="1"/>
      <c r="AX2730" s="1"/>
    </row>
    <row r="2731" spans="1:50" x14ac:dyDescent="0.25">
      <c r="A2731" s="1"/>
      <c r="H2731" s="1"/>
      <c r="O2731" s="1"/>
      <c r="V2731" s="1"/>
      <c r="AC2731" s="1"/>
      <c r="AJ2731" s="1"/>
      <c r="AQ2731" s="1"/>
      <c r="AX2731" s="1"/>
    </row>
    <row r="2732" spans="1:50" x14ac:dyDescent="0.25">
      <c r="A2732" s="1"/>
      <c r="H2732" s="1"/>
      <c r="O2732" s="1"/>
      <c r="V2732" s="1"/>
      <c r="AC2732" s="1"/>
      <c r="AJ2732" s="1"/>
      <c r="AQ2732" s="1"/>
      <c r="AX2732" s="1"/>
    </row>
    <row r="2733" spans="1:50" x14ac:dyDescent="0.25">
      <c r="A2733" s="1"/>
      <c r="H2733" s="1"/>
      <c r="O2733" s="1"/>
      <c r="V2733" s="1"/>
      <c r="AC2733" s="1"/>
      <c r="AJ2733" s="1"/>
      <c r="AQ2733" s="1"/>
      <c r="AX2733" s="1"/>
    </row>
    <row r="2734" spans="1:50" x14ac:dyDescent="0.25">
      <c r="A2734" s="1"/>
      <c r="H2734" s="1"/>
      <c r="O2734" s="1"/>
      <c r="V2734" s="1"/>
      <c r="AC2734" s="1"/>
      <c r="AJ2734" s="1"/>
      <c r="AQ2734" s="1"/>
      <c r="AX2734" s="1"/>
    </row>
    <row r="2735" spans="1:50" x14ac:dyDescent="0.25">
      <c r="A2735" s="1"/>
      <c r="H2735" s="1"/>
      <c r="O2735" s="1"/>
      <c r="V2735" s="1"/>
      <c r="AC2735" s="1"/>
      <c r="AJ2735" s="1"/>
      <c r="AQ2735" s="1"/>
      <c r="AX2735" s="1"/>
    </row>
    <row r="2736" spans="1:50" x14ac:dyDescent="0.25">
      <c r="A2736" s="1"/>
      <c r="H2736" s="1"/>
      <c r="O2736" s="1"/>
      <c r="V2736" s="1"/>
      <c r="AC2736" s="1"/>
      <c r="AJ2736" s="1"/>
      <c r="AQ2736" s="1"/>
      <c r="AX2736" s="1"/>
    </row>
    <row r="2737" spans="1:50" x14ac:dyDescent="0.25">
      <c r="A2737" s="1"/>
      <c r="H2737" s="1"/>
      <c r="O2737" s="1"/>
      <c r="V2737" s="1"/>
      <c r="AC2737" s="1"/>
      <c r="AJ2737" s="1"/>
      <c r="AQ2737" s="1"/>
      <c r="AX2737" s="1"/>
    </row>
    <row r="2738" spans="1:50" x14ac:dyDescent="0.25">
      <c r="A2738" s="1"/>
      <c r="H2738" s="1"/>
      <c r="O2738" s="1"/>
      <c r="V2738" s="1"/>
      <c r="AC2738" s="1"/>
      <c r="AJ2738" s="1"/>
      <c r="AQ2738" s="1"/>
      <c r="AX2738" s="1"/>
    </row>
    <row r="2739" spans="1:50" x14ac:dyDescent="0.25">
      <c r="A2739" s="1"/>
      <c r="H2739" s="1"/>
      <c r="O2739" s="1"/>
      <c r="V2739" s="1"/>
      <c r="AC2739" s="1"/>
      <c r="AJ2739" s="1"/>
      <c r="AQ2739" s="1"/>
      <c r="AX2739" s="1"/>
    </row>
    <row r="2740" spans="1:50" x14ac:dyDescent="0.25">
      <c r="A2740" s="1"/>
      <c r="H2740" s="1"/>
      <c r="O2740" s="1"/>
      <c r="V2740" s="1"/>
      <c r="AC2740" s="1"/>
      <c r="AJ2740" s="1"/>
      <c r="AQ2740" s="1"/>
      <c r="AX2740" s="1"/>
    </row>
    <row r="2741" spans="1:50" x14ac:dyDescent="0.25">
      <c r="A2741" s="1"/>
      <c r="H2741" s="1"/>
      <c r="O2741" s="1"/>
      <c r="V2741" s="1"/>
      <c r="AC2741" s="1"/>
      <c r="AJ2741" s="1"/>
      <c r="AQ2741" s="1"/>
      <c r="AX2741" s="1"/>
    </row>
    <row r="2742" spans="1:50" x14ac:dyDescent="0.25">
      <c r="A2742" s="1"/>
      <c r="H2742" s="1"/>
      <c r="O2742" s="1"/>
      <c r="V2742" s="1"/>
      <c r="AC2742" s="1"/>
      <c r="AJ2742" s="1"/>
      <c r="AQ2742" s="1"/>
      <c r="AX2742" s="1"/>
    </row>
    <row r="2743" spans="1:50" x14ac:dyDescent="0.25">
      <c r="A2743" s="1"/>
      <c r="H2743" s="1"/>
      <c r="O2743" s="1"/>
      <c r="V2743" s="1"/>
      <c r="AC2743" s="1"/>
      <c r="AJ2743" s="1"/>
      <c r="AQ2743" s="1"/>
      <c r="AX2743" s="1"/>
    </row>
    <row r="2744" spans="1:50" x14ac:dyDescent="0.25">
      <c r="A2744" s="1"/>
      <c r="H2744" s="1"/>
      <c r="O2744" s="1"/>
      <c r="V2744" s="1"/>
      <c r="AC2744" s="1"/>
      <c r="AJ2744" s="1"/>
      <c r="AQ2744" s="1"/>
      <c r="AX2744" s="1"/>
    </row>
    <row r="2745" spans="1:50" x14ac:dyDescent="0.25">
      <c r="A2745" s="1"/>
      <c r="H2745" s="1"/>
      <c r="O2745" s="1"/>
      <c r="V2745" s="1"/>
      <c r="AC2745" s="1"/>
      <c r="AJ2745" s="1"/>
      <c r="AQ2745" s="1"/>
      <c r="AX2745" s="1"/>
    </row>
    <row r="2746" spans="1:50" x14ac:dyDescent="0.25">
      <c r="A2746" s="1"/>
      <c r="H2746" s="1"/>
      <c r="O2746" s="1"/>
      <c r="V2746" s="1"/>
      <c r="AC2746" s="1"/>
      <c r="AJ2746" s="1"/>
      <c r="AQ2746" s="1"/>
      <c r="AX2746" s="1"/>
    </row>
    <row r="2747" spans="1:50" x14ac:dyDescent="0.25">
      <c r="A2747" s="1"/>
      <c r="H2747" s="1"/>
      <c r="O2747" s="1"/>
      <c r="V2747" s="1"/>
      <c r="AC2747" s="1"/>
      <c r="AJ2747" s="1"/>
      <c r="AQ2747" s="1"/>
      <c r="AX2747" s="1"/>
    </row>
    <row r="2748" spans="1:50" x14ac:dyDescent="0.25">
      <c r="A2748" s="1"/>
      <c r="H2748" s="1"/>
      <c r="O2748" s="1"/>
      <c r="V2748" s="1"/>
      <c r="AC2748" s="1"/>
      <c r="AJ2748" s="1"/>
      <c r="AQ2748" s="1"/>
      <c r="AX2748" s="1"/>
    </row>
    <row r="2749" spans="1:50" x14ac:dyDescent="0.25">
      <c r="A2749" s="1"/>
      <c r="H2749" s="1"/>
      <c r="O2749" s="1"/>
      <c r="V2749" s="1"/>
      <c r="AC2749" s="1"/>
      <c r="AJ2749" s="1"/>
      <c r="AQ2749" s="1"/>
      <c r="AX2749" s="1"/>
    </row>
    <row r="2750" spans="1:50" x14ac:dyDescent="0.25">
      <c r="A2750" s="1"/>
      <c r="H2750" s="1"/>
      <c r="O2750" s="1"/>
      <c r="V2750" s="1"/>
      <c r="AC2750" s="1"/>
      <c r="AJ2750" s="1"/>
      <c r="AQ2750" s="1"/>
      <c r="AX2750" s="1"/>
    </row>
    <row r="2751" spans="1:50" x14ac:dyDescent="0.25">
      <c r="A2751" s="1"/>
      <c r="H2751" s="1"/>
      <c r="O2751" s="1"/>
      <c r="V2751" s="1"/>
      <c r="AC2751" s="1"/>
      <c r="AJ2751" s="1"/>
      <c r="AQ2751" s="1"/>
      <c r="AX2751" s="1"/>
    </row>
    <row r="2752" spans="1:50" x14ac:dyDescent="0.25">
      <c r="A2752" s="1"/>
      <c r="H2752" s="1"/>
      <c r="O2752" s="1"/>
      <c r="V2752" s="1"/>
      <c r="AC2752" s="1"/>
      <c r="AJ2752" s="1"/>
      <c r="AQ2752" s="1"/>
      <c r="AX2752" s="1"/>
    </row>
    <row r="2753" spans="1:50" x14ac:dyDescent="0.25">
      <c r="A2753" s="1"/>
      <c r="H2753" s="1"/>
      <c r="O2753" s="1"/>
      <c r="V2753" s="1"/>
      <c r="AC2753" s="1"/>
      <c r="AJ2753" s="1"/>
      <c r="AQ2753" s="1"/>
      <c r="AX2753" s="1"/>
    </row>
    <row r="2754" spans="1:50" x14ac:dyDescent="0.25">
      <c r="A2754" s="1"/>
      <c r="H2754" s="1"/>
      <c r="O2754" s="1"/>
      <c r="V2754" s="1"/>
      <c r="AC2754" s="1"/>
      <c r="AJ2754" s="1"/>
      <c r="AQ2754" s="1"/>
      <c r="AX2754" s="1"/>
    </row>
    <row r="2755" spans="1:50" x14ac:dyDescent="0.25">
      <c r="A2755" s="1"/>
      <c r="H2755" s="1"/>
      <c r="O2755" s="1"/>
      <c r="V2755" s="1"/>
      <c r="AC2755" s="1"/>
      <c r="AJ2755" s="1"/>
      <c r="AQ2755" s="1"/>
      <c r="AX2755" s="1"/>
    </row>
    <row r="2756" spans="1:50" x14ac:dyDescent="0.25">
      <c r="A2756" s="1"/>
      <c r="H2756" s="1"/>
      <c r="O2756" s="1"/>
      <c r="V2756" s="1"/>
      <c r="AC2756" s="1"/>
      <c r="AJ2756" s="1"/>
      <c r="AQ2756" s="1"/>
      <c r="AX2756" s="1"/>
    </row>
    <row r="2757" spans="1:50" x14ac:dyDescent="0.25">
      <c r="A2757" s="1"/>
      <c r="H2757" s="1"/>
      <c r="O2757" s="1"/>
      <c r="V2757" s="1"/>
      <c r="AC2757" s="1"/>
      <c r="AJ2757" s="1"/>
      <c r="AQ2757" s="1"/>
      <c r="AX2757" s="1"/>
    </row>
    <row r="2758" spans="1:50" x14ac:dyDescent="0.25">
      <c r="A2758" s="1"/>
      <c r="H2758" s="1"/>
      <c r="O2758" s="1"/>
      <c r="V2758" s="1"/>
      <c r="AC2758" s="1"/>
      <c r="AJ2758" s="1"/>
      <c r="AQ2758" s="1"/>
      <c r="AX2758" s="1"/>
    </row>
    <row r="2759" spans="1:50" x14ac:dyDescent="0.25">
      <c r="A2759" s="1"/>
      <c r="H2759" s="1"/>
      <c r="O2759" s="1"/>
      <c r="V2759" s="1"/>
      <c r="AC2759" s="1"/>
      <c r="AJ2759" s="1"/>
      <c r="AQ2759" s="1"/>
      <c r="AX2759" s="1"/>
    </row>
    <row r="2760" spans="1:50" x14ac:dyDescent="0.25">
      <c r="A2760" s="1"/>
      <c r="H2760" s="1"/>
      <c r="O2760" s="1"/>
      <c r="V2760" s="1"/>
      <c r="AC2760" s="1"/>
      <c r="AJ2760" s="1"/>
      <c r="AQ2760" s="1"/>
      <c r="AX2760" s="1"/>
    </row>
    <row r="2761" spans="1:50" x14ac:dyDescent="0.25">
      <c r="A2761" s="1"/>
      <c r="H2761" s="1"/>
      <c r="O2761" s="1"/>
      <c r="V2761" s="1"/>
      <c r="AC2761" s="1"/>
      <c r="AJ2761" s="1"/>
      <c r="AQ2761" s="1"/>
      <c r="AX2761" s="1"/>
    </row>
    <row r="2762" spans="1:50" x14ac:dyDescent="0.25">
      <c r="A2762" s="1"/>
      <c r="H2762" s="1"/>
      <c r="O2762" s="1"/>
      <c r="V2762" s="1"/>
      <c r="AC2762" s="1"/>
      <c r="AJ2762" s="1"/>
      <c r="AQ2762" s="1"/>
      <c r="AX2762" s="1"/>
    </row>
    <row r="2763" spans="1:50" x14ac:dyDescent="0.25">
      <c r="A2763" s="1"/>
      <c r="H2763" s="1"/>
      <c r="O2763" s="1"/>
      <c r="V2763" s="1"/>
      <c r="AC2763" s="1"/>
      <c r="AJ2763" s="1"/>
      <c r="AQ2763" s="1"/>
      <c r="AX2763" s="1"/>
    </row>
    <row r="2764" spans="1:50" x14ac:dyDescent="0.25">
      <c r="A2764" s="1"/>
      <c r="H2764" s="1"/>
      <c r="O2764" s="1"/>
      <c r="V2764" s="1"/>
      <c r="AC2764" s="1"/>
      <c r="AJ2764" s="1"/>
      <c r="AQ2764" s="1"/>
      <c r="AX2764" s="1"/>
    </row>
    <row r="2765" spans="1:50" x14ac:dyDescent="0.25">
      <c r="A2765" s="1"/>
      <c r="H2765" s="1"/>
      <c r="O2765" s="1"/>
      <c r="V2765" s="1"/>
      <c r="AC2765" s="1"/>
      <c r="AJ2765" s="1"/>
      <c r="AQ2765" s="1"/>
      <c r="AX2765" s="1"/>
    </row>
    <row r="2766" spans="1:50" x14ac:dyDescent="0.25">
      <c r="A2766" s="1"/>
      <c r="H2766" s="1"/>
      <c r="O2766" s="1"/>
      <c r="V2766" s="1"/>
      <c r="AC2766" s="1"/>
      <c r="AJ2766" s="1"/>
      <c r="AQ2766" s="1"/>
      <c r="AX2766" s="1"/>
    </row>
    <row r="2767" spans="1:50" x14ac:dyDescent="0.25">
      <c r="A2767" s="1"/>
      <c r="H2767" s="1"/>
      <c r="O2767" s="1"/>
      <c r="V2767" s="1"/>
      <c r="AC2767" s="1"/>
      <c r="AJ2767" s="1"/>
      <c r="AQ2767" s="1"/>
      <c r="AX2767" s="1"/>
    </row>
    <row r="2768" spans="1:50" x14ac:dyDescent="0.25">
      <c r="A2768" s="1"/>
      <c r="H2768" s="1"/>
      <c r="O2768" s="1"/>
      <c r="V2768" s="1"/>
      <c r="AC2768" s="1"/>
      <c r="AJ2768" s="1"/>
      <c r="AQ2768" s="1"/>
      <c r="AX2768" s="1"/>
    </row>
    <row r="2769" spans="1:50" x14ac:dyDescent="0.25">
      <c r="A2769" s="1"/>
      <c r="H2769" s="1"/>
      <c r="O2769" s="1"/>
      <c r="V2769" s="1"/>
      <c r="AC2769" s="1"/>
      <c r="AJ2769" s="1"/>
      <c r="AQ2769" s="1"/>
      <c r="AX2769" s="1"/>
    </row>
    <row r="2770" spans="1:50" x14ac:dyDescent="0.25">
      <c r="A2770" s="1"/>
      <c r="H2770" s="1"/>
      <c r="O2770" s="1"/>
      <c r="V2770" s="1"/>
      <c r="AC2770" s="1"/>
      <c r="AJ2770" s="1"/>
      <c r="AQ2770" s="1"/>
      <c r="AX2770" s="1"/>
    </row>
    <row r="2771" spans="1:50" x14ac:dyDescent="0.25">
      <c r="A2771" s="1"/>
      <c r="H2771" s="1"/>
      <c r="O2771" s="1"/>
      <c r="V2771" s="1"/>
      <c r="AC2771" s="1"/>
      <c r="AJ2771" s="1"/>
      <c r="AQ2771" s="1"/>
      <c r="AX2771" s="1"/>
    </row>
    <row r="2772" spans="1:50" x14ac:dyDescent="0.25">
      <c r="A2772" s="1"/>
      <c r="H2772" s="1"/>
      <c r="O2772" s="1"/>
      <c r="V2772" s="1"/>
      <c r="AC2772" s="1"/>
      <c r="AJ2772" s="1"/>
      <c r="AQ2772" s="1"/>
      <c r="AX2772" s="1"/>
    </row>
    <row r="2773" spans="1:50" x14ac:dyDescent="0.25">
      <c r="A2773" s="1"/>
      <c r="H2773" s="1"/>
      <c r="O2773" s="1"/>
      <c r="V2773" s="1"/>
      <c r="AC2773" s="1"/>
      <c r="AJ2773" s="1"/>
      <c r="AQ2773" s="1"/>
      <c r="AX2773" s="1"/>
    </row>
    <row r="2774" spans="1:50" x14ac:dyDescent="0.25">
      <c r="A2774" s="1"/>
      <c r="H2774" s="1"/>
      <c r="O2774" s="1"/>
      <c r="V2774" s="1"/>
      <c r="AC2774" s="1"/>
      <c r="AJ2774" s="1"/>
      <c r="AQ2774" s="1"/>
      <c r="AX2774" s="1"/>
    </row>
    <row r="2775" spans="1:50" x14ac:dyDescent="0.25">
      <c r="A2775" s="1"/>
      <c r="H2775" s="1"/>
      <c r="O2775" s="1"/>
      <c r="V2775" s="1"/>
      <c r="AC2775" s="1"/>
      <c r="AJ2775" s="1"/>
      <c r="AQ2775" s="1"/>
      <c r="AX2775" s="1"/>
    </row>
    <row r="2776" spans="1:50" x14ac:dyDescent="0.25">
      <c r="A2776" s="1"/>
      <c r="H2776" s="1"/>
      <c r="O2776" s="1"/>
      <c r="V2776" s="1"/>
      <c r="AC2776" s="1"/>
      <c r="AJ2776" s="1"/>
      <c r="AQ2776" s="1"/>
      <c r="AX2776" s="1"/>
    </row>
    <row r="2777" spans="1:50" x14ac:dyDescent="0.25">
      <c r="A2777" s="1"/>
      <c r="H2777" s="1"/>
      <c r="O2777" s="1"/>
      <c r="V2777" s="1"/>
      <c r="AC2777" s="1"/>
      <c r="AJ2777" s="1"/>
      <c r="AQ2777" s="1"/>
      <c r="AX2777" s="1"/>
    </row>
    <row r="2778" spans="1:50" x14ac:dyDescent="0.25">
      <c r="A2778" s="1"/>
      <c r="H2778" s="1"/>
      <c r="O2778" s="1"/>
      <c r="V2778" s="1"/>
      <c r="AC2778" s="1"/>
      <c r="AJ2778" s="1"/>
      <c r="AQ2778" s="1"/>
      <c r="AX2778" s="1"/>
    </row>
    <row r="2779" spans="1:50" x14ac:dyDescent="0.25">
      <c r="A2779" s="1"/>
      <c r="H2779" s="1"/>
      <c r="O2779" s="1"/>
      <c r="V2779" s="1"/>
      <c r="AC2779" s="1"/>
      <c r="AJ2779" s="1"/>
      <c r="AQ2779" s="1"/>
      <c r="AX2779" s="1"/>
    </row>
    <row r="2780" spans="1:50" x14ac:dyDescent="0.25">
      <c r="A2780" s="1"/>
      <c r="H2780" s="1"/>
      <c r="O2780" s="1"/>
      <c r="V2780" s="1"/>
      <c r="AC2780" s="1"/>
      <c r="AJ2780" s="1"/>
      <c r="AQ2780" s="1"/>
      <c r="AX2780" s="1"/>
    </row>
    <row r="2781" spans="1:50" x14ac:dyDescent="0.25">
      <c r="A2781" s="1"/>
      <c r="H2781" s="1"/>
      <c r="O2781" s="1"/>
      <c r="V2781" s="1"/>
      <c r="AC2781" s="1"/>
      <c r="AJ2781" s="1"/>
      <c r="AQ2781" s="1"/>
      <c r="AX2781" s="1"/>
    </row>
    <row r="2782" spans="1:50" x14ac:dyDescent="0.25">
      <c r="A2782" s="1"/>
      <c r="H2782" s="1"/>
      <c r="O2782" s="1"/>
      <c r="V2782" s="1"/>
      <c r="AC2782" s="1"/>
      <c r="AJ2782" s="1"/>
      <c r="AQ2782" s="1"/>
      <c r="AX2782" s="1"/>
    </row>
    <row r="2783" spans="1:50" x14ac:dyDescent="0.25">
      <c r="A2783" s="1"/>
      <c r="H2783" s="1"/>
      <c r="O2783" s="1"/>
      <c r="V2783" s="1"/>
      <c r="AC2783" s="1"/>
      <c r="AJ2783" s="1"/>
      <c r="AQ2783" s="1"/>
      <c r="AX2783" s="1"/>
    </row>
    <row r="2784" spans="1:50" x14ac:dyDescent="0.25">
      <c r="A2784" s="1"/>
      <c r="H2784" s="1"/>
      <c r="O2784" s="1"/>
      <c r="V2784" s="1"/>
      <c r="AC2784" s="1"/>
      <c r="AJ2784" s="1"/>
      <c r="AQ2784" s="1"/>
      <c r="AX2784" s="1"/>
    </row>
    <row r="2785" spans="1:50" x14ac:dyDescent="0.25">
      <c r="A2785" s="1"/>
      <c r="H2785" s="1"/>
      <c r="O2785" s="1"/>
      <c r="V2785" s="1"/>
      <c r="AC2785" s="1"/>
      <c r="AJ2785" s="1"/>
      <c r="AQ2785" s="1"/>
      <c r="AX2785" s="1"/>
    </row>
    <row r="2786" spans="1:50" x14ac:dyDescent="0.25">
      <c r="A2786" s="1"/>
      <c r="H2786" s="1"/>
      <c r="O2786" s="1"/>
      <c r="V2786" s="1"/>
      <c r="AC2786" s="1"/>
      <c r="AJ2786" s="1"/>
      <c r="AQ2786" s="1"/>
      <c r="AX2786" s="1"/>
    </row>
    <row r="2787" spans="1:50" x14ac:dyDescent="0.25">
      <c r="A2787" s="1"/>
      <c r="H2787" s="1"/>
      <c r="O2787" s="1"/>
      <c r="V2787" s="1"/>
      <c r="AC2787" s="1"/>
      <c r="AJ2787" s="1"/>
      <c r="AQ2787" s="1"/>
      <c r="AX2787" s="1"/>
    </row>
    <row r="2788" spans="1:50" x14ac:dyDescent="0.25">
      <c r="A2788" s="1"/>
      <c r="H2788" s="1"/>
      <c r="O2788" s="1"/>
      <c r="V2788" s="1"/>
      <c r="AC2788" s="1"/>
      <c r="AJ2788" s="1"/>
      <c r="AQ2788" s="1"/>
      <c r="AX2788" s="1"/>
    </row>
    <row r="2789" spans="1:50" x14ac:dyDescent="0.25">
      <c r="A2789" s="1"/>
      <c r="H2789" s="1"/>
      <c r="O2789" s="1"/>
      <c r="V2789" s="1"/>
      <c r="AC2789" s="1"/>
      <c r="AJ2789" s="1"/>
      <c r="AQ2789" s="1"/>
      <c r="AX2789" s="1"/>
    </row>
    <row r="2790" spans="1:50" x14ac:dyDescent="0.25">
      <c r="A2790" s="1"/>
      <c r="H2790" s="1"/>
      <c r="O2790" s="1"/>
      <c r="V2790" s="1"/>
      <c r="AC2790" s="1"/>
      <c r="AJ2790" s="1"/>
      <c r="AQ2790" s="1"/>
      <c r="AX2790" s="1"/>
    </row>
    <row r="2791" spans="1:50" x14ac:dyDescent="0.25">
      <c r="A2791" s="1"/>
      <c r="H2791" s="1"/>
      <c r="O2791" s="1"/>
      <c r="V2791" s="1"/>
      <c r="AC2791" s="1"/>
      <c r="AJ2791" s="1"/>
      <c r="AQ2791" s="1"/>
      <c r="AX2791" s="1"/>
    </row>
    <row r="2792" spans="1:50" x14ac:dyDescent="0.25">
      <c r="A2792" s="1"/>
      <c r="H2792" s="1"/>
      <c r="O2792" s="1"/>
      <c r="V2792" s="1"/>
      <c r="AC2792" s="1"/>
      <c r="AJ2792" s="1"/>
      <c r="AQ2792" s="1"/>
      <c r="AX2792" s="1"/>
    </row>
    <row r="2793" spans="1:50" x14ac:dyDescent="0.25">
      <c r="A2793" s="1"/>
      <c r="H2793" s="1"/>
      <c r="O2793" s="1"/>
      <c r="V2793" s="1"/>
      <c r="AC2793" s="1"/>
      <c r="AJ2793" s="1"/>
      <c r="AQ2793" s="1"/>
      <c r="AX2793" s="1"/>
    </row>
    <row r="2794" spans="1:50" x14ac:dyDescent="0.25">
      <c r="A2794" s="1"/>
      <c r="H2794" s="1"/>
      <c r="O2794" s="1"/>
      <c r="V2794" s="1"/>
      <c r="AC2794" s="1"/>
      <c r="AJ2794" s="1"/>
      <c r="AQ2794" s="1"/>
      <c r="AX2794" s="1"/>
    </row>
    <row r="2795" spans="1:50" x14ac:dyDescent="0.25">
      <c r="A2795" s="1"/>
      <c r="H2795" s="1"/>
      <c r="O2795" s="1"/>
      <c r="V2795" s="1"/>
      <c r="AC2795" s="1"/>
      <c r="AJ2795" s="1"/>
      <c r="AQ2795" s="1"/>
      <c r="AX2795" s="1"/>
    </row>
    <row r="2796" spans="1:50" x14ac:dyDescent="0.25">
      <c r="A2796" s="1"/>
      <c r="H2796" s="1"/>
      <c r="O2796" s="1"/>
      <c r="V2796" s="1"/>
      <c r="AC2796" s="1"/>
      <c r="AJ2796" s="1"/>
      <c r="AQ2796" s="1"/>
      <c r="AX2796" s="1"/>
    </row>
    <row r="2797" spans="1:50" x14ac:dyDescent="0.25">
      <c r="A2797" s="1"/>
      <c r="H2797" s="1"/>
      <c r="O2797" s="1"/>
      <c r="V2797" s="1"/>
      <c r="AC2797" s="1"/>
      <c r="AJ2797" s="1"/>
      <c r="AQ2797" s="1"/>
      <c r="AX2797" s="1"/>
    </row>
    <row r="2798" spans="1:50" x14ac:dyDescent="0.25">
      <c r="A2798" s="1"/>
      <c r="H2798" s="1"/>
      <c r="O2798" s="1"/>
      <c r="V2798" s="1"/>
      <c r="AC2798" s="1"/>
      <c r="AJ2798" s="1"/>
      <c r="AQ2798" s="1"/>
      <c r="AX2798" s="1"/>
    </row>
    <row r="2799" spans="1:50" x14ac:dyDescent="0.25">
      <c r="A2799" s="1"/>
      <c r="H2799" s="1"/>
      <c r="O2799" s="1"/>
      <c r="V2799" s="1"/>
      <c r="AC2799" s="1"/>
      <c r="AJ2799" s="1"/>
      <c r="AQ2799" s="1"/>
      <c r="AX2799" s="1"/>
    </row>
    <row r="2800" spans="1:50" x14ac:dyDescent="0.25">
      <c r="A2800" s="1"/>
      <c r="H2800" s="1"/>
      <c r="O2800" s="1"/>
      <c r="V2800" s="1"/>
      <c r="AC2800" s="1"/>
      <c r="AJ2800" s="1"/>
      <c r="AQ2800" s="1"/>
      <c r="AX2800" s="1"/>
    </row>
    <row r="2801" spans="1:50" x14ac:dyDescent="0.25">
      <c r="A2801" s="1"/>
      <c r="H2801" s="1"/>
      <c r="O2801" s="1"/>
      <c r="V2801" s="1"/>
      <c r="AC2801" s="1"/>
      <c r="AJ2801" s="1"/>
      <c r="AQ2801" s="1"/>
      <c r="AX2801" s="1"/>
    </row>
    <row r="2802" spans="1:50" x14ac:dyDescent="0.25">
      <c r="A2802" s="1"/>
      <c r="H2802" s="1"/>
      <c r="O2802" s="1"/>
      <c r="V2802" s="1"/>
      <c r="AC2802" s="1"/>
      <c r="AJ2802" s="1"/>
      <c r="AQ2802" s="1"/>
      <c r="AX2802" s="1"/>
    </row>
    <row r="2803" spans="1:50" x14ac:dyDescent="0.25">
      <c r="A2803" s="1"/>
      <c r="H2803" s="1"/>
      <c r="O2803" s="1"/>
      <c r="V2803" s="1"/>
      <c r="AC2803" s="1"/>
      <c r="AJ2803" s="1"/>
      <c r="AQ2803" s="1"/>
      <c r="AX2803" s="1"/>
    </row>
    <row r="2804" spans="1:50" x14ac:dyDescent="0.25">
      <c r="A2804" s="1"/>
      <c r="H2804" s="1"/>
      <c r="O2804" s="1"/>
      <c r="V2804" s="1"/>
      <c r="AC2804" s="1"/>
      <c r="AJ2804" s="1"/>
      <c r="AQ2804" s="1"/>
      <c r="AX2804" s="1"/>
    </row>
    <row r="2805" spans="1:50" x14ac:dyDescent="0.25">
      <c r="A2805" s="1"/>
      <c r="H2805" s="1"/>
      <c r="O2805" s="1"/>
      <c r="V2805" s="1"/>
      <c r="AC2805" s="1"/>
      <c r="AJ2805" s="1"/>
      <c r="AQ2805" s="1"/>
      <c r="AX2805" s="1"/>
    </row>
    <row r="2806" spans="1:50" x14ac:dyDescent="0.25">
      <c r="A2806" s="1"/>
      <c r="H2806" s="1"/>
      <c r="O2806" s="1"/>
      <c r="V2806" s="1"/>
      <c r="AC2806" s="1"/>
      <c r="AJ2806" s="1"/>
      <c r="AQ2806" s="1"/>
      <c r="AX2806" s="1"/>
    </row>
    <row r="2807" spans="1:50" x14ac:dyDescent="0.25">
      <c r="A2807" s="1"/>
      <c r="H2807" s="1"/>
      <c r="O2807" s="1"/>
      <c r="V2807" s="1"/>
      <c r="AC2807" s="1"/>
      <c r="AJ2807" s="1"/>
      <c r="AQ2807" s="1"/>
      <c r="AX2807" s="1"/>
    </row>
    <row r="2808" spans="1:50" x14ac:dyDescent="0.25">
      <c r="A2808" s="1"/>
      <c r="H2808" s="1"/>
      <c r="O2808" s="1"/>
      <c r="V2808" s="1"/>
      <c r="AC2808" s="1"/>
      <c r="AJ2808" s="1"/>
      <c r="AQ2808" s="1"/>
      <c r="AX2808" s="1"/>
    </row>
    <row r="2809" spans="1:50" x14ac:dyDescent="0.25">
      <c r="A2809" s="1"/>
      <c r="H2809" s="1"/>
      <c r="O2809" s="1"/>
      <c r="V2809" s="1"/>
      <c r="AC2809" s="1"/>
      <c r="AJ2809" s="1"/>
      <c r="AQ2809" s="1"/>
      <c r="AX2809" s="1"/>
    </row>
    <row r="2810" spans="1:50" x14ac:dyDescent="0.25">
      <c r="A2810" s="1"/>
      <c r="H2810" s="1"/>
      <c r="O2810" s="1"/>
      <c r="V2810" s="1"/>
      <c r="AC2810" s="1"/>
      <c r="AJ2810" s="1"/>
      <c r="AQ2810" s="1"/>
      <c r="AX2810" s="1"/>
    </row>
    <row r="2811" spans="1:50" x14ac:dyDescent="0.25">
      <c r="A2811" s="1"/>
      <c r="H2811" s="1"/>
      <c r="O2811" s="1"/>
      <c r="V2811" s="1"/>
      <c r="AC2811" s="1"/>
      <c r="AJ2811" s="1"/>
      <c r="AQ2811" s="1"/>
      <c r="AX2811" s="1"/>
    </row>
    <row r="2812" spans="1:50" x14ac:dyDescent="0.25">
      <c r="A2812" s="1"/>
      <c r="H2812" s="1"/>
      <c r="O2812" s="1"/>
      <c r="V2812" s="1"/>
      <c r="AC2812" s="1"/>
      <c r="AJ2812" s="1"/>
      <c r="AQ2812" s="1"/>
      <c r="AX2812" s="1"/>
    </row>
    <row r="2813" spans="1:50" x14ac:dyDescent="0.25">
      <c r="A2813" s="1"/>
      <c r="H2813" s="1"/>
      <c r="O2813" s="1"/>
      <c r="V2813" s="1"/>
      <c r="AC2813" s="1"/>
      <c r="AJ2813" s="1"/>
      <c r="AQ2813" s="1"/>
      <c r="AX2813" s="1"/>
    </row>
    <row r="2814" spans="1:50" x14ac:dyDescent="0.25">
      <c r="A2814" s="1"/>
      <c r="H2814" s="1"/>
      <c r="O2814" s="1"/>
      <c r="V2814" s="1"/>
      <c r="AC2814" s="1"/>
      <c r="AJ2814" s="1"/>
      <c r="AQ2814" s="1"/>
      <c r="AX2814" s="1"/>
    </row>
    <row r="2815" spans="1:50" x14ac:dyDescent="0.25">
      <c r="A2815" s="1"/>
      <c r="H2815" s="1"/>
      <c r="O2815" s="1"/>
      <c r="V2815" s="1"/>
      <c r="AC2815" s="1"/>
      <c r="AJ2815" s="1"/>
      <c r="AQ2815" s="1"/>
      <c r="AX2815" s="1"/>
    </row>
    <row r="2816" spans="1:50" x14ac:dyDescent="0.25">
      <c r="A2816" s="1"/>
      <c r="H2816" s="1"/>
      <c r="O2816" s="1"/>
      <c r="V2816" s="1"/>
      <c r="AC2816" s="1"/>
      <c r="AJ2816" s="1"/>
      <c r="AQ2816" s="1"/>
      <c r="AX2816" s="1"/>
    </row>
    <row r="2817" spans="1:50" x14ac:dyDescent="0.25">
      <c r="A2817" s="1"/>
      <c r="H2817" s="1"/>
      <c r="O2817" s="1"/>
      <c r="V2817" s="1"/>
      <c r="AC2817" s="1"/>
      <c r="AJ2817" s="1"/>
      <c r="AQ2817" s="1"/>
      <c r="AX2817" s="1"/>
    </row>
    <row r="2818" spans="1:50" x14ac:dyDescent="0.25">
      <c r="A2818" s="1"/>
      <c r="H2818" s="1"/>
      <c r="O2818" s="1"/>
      <c r="V2818" s="1"/>
      <c r="AC2818" s="1"/>
      <c r="AJ2818" s="1"/>
      <c r="AQ2818" s="1"/>
      <c r="AX2818" s="1"/>
    </row>
    <row r="2819" spans="1:50" x14ac:dyDescent="0.25">
      <c r="A2819" s="1"/>
      <c r="H2819" s="1"/>
      <c r="O2819" s="1"/>
      <c r="V2819" s="1"/>
      <c r="AC2819" s="1"/>
      <c r="AJ2819" s="1"/>
      <c r="AQ2819" s="1"/>
      <c r="AX2819" s="1"/>
    </row>
    <row r="2820" spans="1:50" x14ac:dyDescent="0.25">
      <c r="A2820" s="1"/>
      <c r="H2820" s="1"/>
      <c r="O2820" s="1"/>
      <c r="V2820" s="1"/>
      <c r="AC2820" s="1"/>
      <c r="AJ2820" s="1"/>
      <c r="AQ2820" s="1"/>
      <c r="AX2820" s="1"/>
    </row>
    <row r="2821" spans="1:50" x14ac:dyDescent="0.25">
      <c r="A2821" s="1"/>
      <c r="H2821" s="1"/>
      <c r="O2821" s="1"/>
      <c r="V2821" s="1"/>
      <c r="AC2821" s="1"/>
      <c r="AJ2821" s="1"/>
      <c r="AQ2821" s="1"/>
      <c r="AX2821" s="1"/>
    </row>
    <row r="2822" spans="1:50" x14ac:dyDescent="0.25">
      <c r="A2822" s="1"/>
      <c r="H2822" s="1"/>
      <c r="O2822" s="1"/>
      <c r="V2822" s="1"/>
      <c r="AC2822" s="1"/>
      <c r="AJ2822" s="1"/>
      <c r="AQ2822" s="1"/>
      <c r="AX2822" s="1"/>
    </row>
    <row r="2823" spans="1:50" x14ac:dyDescent="0.25">
      <c r="A2823" s="1"/>
      <c r="H2823" s="1"/>
      <c r="O2823" s="1"/>
      <c r="V2823" s="1"/>
      <c r="AC2823" s="1"/>
      <c r="AJ2823" s="1"/>
      <c r="AQ2823" s="1"/>
      <c r="AX2823" s="1"/>
    </row>
    <row r="2824" spans="1:50" x14ac:dyDescent="0.25">
      <c r="A2824" s="1"/>
      <c r="H2824" s="1"/>
      <c r="O2824" s="1"/>
      <c r="V2824" s="1"/>
      <c r="AC2824" s="1"/>
      <c r="AJ2824" s="1"/>
      <c r="AQ2824" s="1"/>
      <c r="AX2824" s="1"/>
    </row>
    <row r="2825" spans="1:50" x14ac:dyDescent="0.25">
      <c r="A2825" s="1"/>
      <c r="H2825" s="1"/>
      <c r="O2825" s="1"/>
      <c r="V2825" s="1"/>
      <c r="AC2825" s="1"/>
      <c r="AJ2825" s="1"/>
      <c r="AQ2825" s="1"/>
      <c r="AX2825" s="1"/>
    </row>
    <row r="2826" spans="1:50" x14ac:dyDescent="0.25">
      <c r="A2826" s="1"/>
      <c r="H2826" s="1"/>
      <c r="O2826" s="1"/>
      <c r="V2826" s="1"/>
      <c r="AC2826" s="1"/>
      <c r="AJ2826" s="1"/>
      <c r="AQ2826" s="1"/>
      <c r="AX2826" s="1"/>
    </row>
    <row r="2827" spans="1:50" x14ac:dyDescent="0.25">
      <c r="A2827" s="1"/>
      <c r="H2827" s="1"/>
      <c r="O2827" s="1"/>
      <c r="V2827" s="1"/>
      <c r="AC2827" s="1"/>
      <c r="AJ2827" s="1"/>
      <c r="AQ2827" s="1"/>
      <c r="AX2827" s="1"/>
    </row>
    <row r="2828" spans="1:50" x14ac:dyDescent="0.25">
      <c r="A2828" s="1"/>
      <c r="H2828" s="1"/>
      <c r="O2828" s="1"/>
      <c r="V2828" s="1"/>
      <c r="AC2828" s="1"/>
      <c r="AJ2828" s="1"/>
      <c r="AQ2828" s="1"/>
      <c r="AX2828" s="1"/>
    </row>
    <row r="2829" spans="1:50" x14ac:dyDescent="0.25">
      <c r="A2829" s="1"/>
      <c r="H2829" s="1"/>
      <c r="O2829" s="1"/>
      <c r="V2829" s="1"/>
      <c r="AC2829" s="1"/>
      <c r="AJ2829" s="1"/>
      <c r="AQ2829" s="1"/>
      <c r="AX2829" s="1"/>
    </row>
    <row r="2830" spans="1:50" x14ac:dyDescent="0.25">
      <c r="A2830" s="1"/>
      <c r="H2830" s="1"/>
      <c r="O2830" s="1"/>
      <c r="V2830" s="1"/>
      <c r="AC2830" s="1"/>
      <c r="AJ2830" s="1"/>
      <c r="AQ2830" s="1"/>
      <c r="AX2830" s="1"/>
    </row>
    <row r="2831" spans="1:50" x14ac:dyDescent="0.25">
      <c r="A2831" s="1"/>
      <c r="H2831" s="1"/>
      <c r="O2831" s="1"/>
      <c r="V2831" s="1"/>
      <c r="AC2831" s="1"/>
      <c r="AJ2831" s="1"/>
      <c r="AQ2831" s="1"/>
      <c r="AX2831" s="1"/>
    </row>
    <row r="2832" spans="1:50" x14ac:dyDescent="0.25">
      <c r="A2832" s="1"/>
      <c r="H2832" s="1"/>
      <c r="O2832" s="1"/>
      <c r="V2832" s="1"/>
      <c r="AC2832" s="1"/>
      <c r="AJ2832" s="1"/>
      <c r="AQ2832" s="1"/>
      <c r="AX2832" s="1"/>
    </row>
    <row r="2833" spans="1:50" x14ac:dyDescent="0.25">
      <c r="A2833" s="1"/>
      <c r="H2833" s="1"/>
      <c r="O2833" s="1"/>
      <c r="V2833" s="1"/>
      <c r="AC2833" s="1"/>
      <c r="AJ2833" s="1"/>
      <c r="AQ2833" s="1"/>
      <c r="AX2833" s="1"/>
    </row>
    <row r="2834" spans="1:50" x14ac:dyDescent="0.25">
      <c r="A2834" s="1"/>
      <c r="H2834" s="1"/>
      <c r="O2834" s="1"/>
      <c r="V2834" s="1"/>
      <c r="AC2834" s="1"/>
      <c r="AJ2834" s="1"/>
      <c r="AQ2834" s="1"/>
      <c r="AX2834" s="1"/>
    </row>
    <row r="2835" spans="1:50" x14ac:dyDescent="0.25">
      <c r="A2835" s="1"/>
      <c r="H2835" s="1"/>
      <c r="O2835" s="1"/>
      <c r="V2835" s="1"/>
      <c r="AC2835" s="1"/>
      <c r="AJ2835" s="1"/>
      <c r="AQ2835" s="1"/>
      <c r="AX2835" s="1"/>
    </row>
    <row r="2836" spans="1:50" x14ac:dyDescent="0.25">
      <c r="A2836" s="1"/>
      <c r="H2836" s="1"/>
      <c r="O2836" s="1"/>
      <c r="V2836" s="1"/>
      <c r="AC2836" s="1"/>
      <c r="AJ2836" s="1"/>
      <c r="AQ2836" s="1"/>
      <c r="AX2836" s="1"/>
    </row>
    <row r="2837" spans="1:50" x14ac:dyDescent="0.25">
      <c r="A2837" s="1"/>
      <c r="H2837" s="1"/>
      <c r="O2837" s="1"/>
      <c r="V2837" s="1"/>
      <c r="AC2837" s="1"/>
      <c r="AJ2837" s="1"/>
      <c r="AQ2837" s="1"/>
      <c r="AX2837" s="1"/>
    </row>
    <row r="2838" spans="1:50" x14ac:dyDescent="0.25">
      <c r="A2838" s="1"/>
      <c r="H2838" s="1"/>
      <c r="O2838" s="1"/>
      <c r="V2838" s="1"/>
      <c r="AC2838" s="1"/>
      <c r="AJ2838" s="1"/>
      <c r="AQ2838" s="1"/>
      <c r="AX2838" s="1"/>
    </row>
    <row r="2839" spans="1:50" x14ac:dyDescent="0.25">
      <c r="A2839" s="1"/>
      <c r="H2839" s="1"/>
      <c r="O2839" s="1"/>
      <c r="V2839" s="1"/>
      <c r="AC2839" s="1"/>
      <c r="AJ2839" s="1"/>
      <c r="AQ2839" s="1"/>
      <c r="AX2839" s="1"/>
    </row>
    <row r="2840" spans="1:50" x14ac:dyDescent="0.25">
      <c r="A2840" s="1"/>
      <c r="H2840" s="1"/>
      <c r="O2840" s="1"/>
      <c r="V2840" s="1"/>
      <c r="AC2840" s="1"/>
      <c r="AJ2840" s="1"/>
      <c r="AQ2840" s="1"/>
      <c r="AX2840" s="1"/>
    </row>
    <row r="2841" spans="1:50" x14ac:dyDescent="0.25">
      <c r="A2841" s="1"/>
      <c r="H2841" s="1"/>
      <c r="O2841" s="1"/>
      <c r="V2841" s="1"/>
      <c r="AC2841" s="1"/>
      <c r="AJ2841" s="1"/>
      <c r="AQ2841" s="1"/>
      <c r="AX2841" s="1"/>
    </row>
    <row r="2842" spans="1:50" x14ac:dyDescent="0.25">
      <c r="A2842" s="1"/>
      <c r="H2842" s="1"/>
      <c r="O2842" s="1"/>
      <c r="V2842" s="1"/>
      <c r="AC2842" s="1"/>
      <c r="AJ2842" s="1"/>
      <c r="AQ2842" s="1"/>
      <c r="AX2842" s="1"/>
    </row>
    <row r="2843" spans="1:50" x14ac:dyDescent="0.25">
      <c r="A2843" s="1"/>
      <c r="H2843" s="1"/>
      <c r="O2843" s="1"/>
      <c r="V2843" s="1"/>
      <c r="AC2843" s="1"/>
      <c r="AJ2843" s="1"/>
      <c r="AQ2843" s="1"/>
      <c r="AX2843" s="1"/>
    </row>
    <row r="2844" spans="1:50" x14ac:dyDescent="0.25">
      <c r="A2844" s="1"/>
      <c r="H2844" s="1"/>
      <c r="O2844" s="1"/>
      <c r="V2844" s="1"/>
      <c r="AC2844" s="1"/>
      <c r="AJ2844" s="1"/>
      <c r="AQ2844" s="1"/>
      <c r="AX2844" s="1"/>
    </row>
    <row r="2845" spans="1:50" x14ac:dyDescent="0.25">
      <c r="A2845" s="1"/>
      <c r="H2845" s="1"/>
      <c r="O2845" s="1"/>
      <c r="V2845" s="1"/>
      <c r="AC2845" s="1"/>
      <c r="AJ2845" s="1"/>
      <c r="AQ2845" s="1"/>
      <c r="AX2845" s="1"/>
    </row>
    <row r="2846" spans="1:50" x14ac:dyDescent="0.25">
      <c r="A2846" s="1"/>
      <c r="H2846" s="1"/>
      <c r="O2846" s="1"/>
      <c r="V2846" s="1"/>
      <c r="AC2846" s="1"/>
      <c r="AJ2846" s="1"/>
      <c r="AQ2846" s="1"/>
      <c r="AX2846" s="1"/>
    </row>
    <row r="2847" spans="1:50" x14ac:dyDescent="0.25">
      <c r="A2847" s="1"/>
      <c r="H2847" s="1"/>
      <c r="O2847" s="1"/>
      <c r="V2847" s="1"/>
      <c r="AC2847" s="1"/>
      <c r="AJ2847" s="1"/>
      <c r="AQ2847" s="1"/>
      <c r="AX2847" s="1"/>
    </row>
    <row r="2848" spans="1:50" x14ac:dyDescent="0.25">
      <c r="A2848" s="1"/>
      <c r="H2848" s="1"/>
      <c r="O2848" s="1"/>
      <c r="V2848" s="1"/>
      <c r="AC2848" s="1"/>
      <c r="AJ2848" s="1"/>
      <c r="AQ2848" s="1"/>
      <c r="AX2848" s="1"/>
    </row>
    <row r="2849" spans="1:50" x14ac:dyDescent="0.25">
      <c r="A2849" s="1"/>
      <c r="H2849" s="1"/>
      <c r="O2849" s="1"/>
      <c r="V2849" s="1"/>
      <c r="AC2849" s="1"/>
      <c r="AJ2849" s="1"/>
      <c r="AQ2849" s="1"/>
      <c r="AX2849" s="1"/>
    </row>
    <row r="2850" spans="1:50" x14ac:dyDescent="0.25">
      <c r="A2850" s="1"/>
      <c r="H2850" s="1"/>
      <c r="O2850" s="1"/>
      <c r="V2850" s="1"/>
      <c r="AC2850" s="1"/>
      <c r="AJ2850" s="1"/>
      <c r="AQ2850" s="1"/>
      <c r="AX2850" s="1"/>
    </row>
    <row r="2851" spans="1:50" x14ac:dyDescent="0.25">
      <c r="A2851" s="1"/>
      <c r="H2851" s="1"/>
      <c r="O2851" s="1"/>
      <c r="V2851" s="1"/>
      <c r="AC2851" s="1"/>
      <c r="AJ2851" s="1"/>
      <c r="AQ2851" s="1"/>
      <c r="AX2851" s="1"/>
    </row>
    <row r="2852" spans="1:50" x14ac:dyDescent="0.25">
      <c r="A2852" s="1"/>
      <c r="H2852" s="1"/>
      <c r="O2852" s="1"/>
      <c r="V2852" s="1"/>
      <c r="AC2852" s="1"/>
      <c r="AJ2852" s="1"/>
      <c r="AQ2852" s="1"/>
      <c r="AX2852" s="1"/>
    </row>
    <row r="2853" spans="1:50" x14ac:dyDescent="0.25">
      <c r="A2853" s="1"/>
      <c r="H2853" s="1"/>
      <c r="O2853" s="1"/>
      <c r="V2853" s="1"/>
      <c r="AC2853" s="1"/>
      <c r="AJ2853" s="1"/>
      <c r="AQ2853" s="1"/>
      <c r="AX2853" s="1"/>
    </row>
    <row r="2854" spans="1:50" x14ac:dyDescent="0.25">
      <c r="A2854" s="1"/>
      <c r="H2854" s="1"/>
      <c r="O2854" s="1"/>
      <c r="V2854" s="1"/>
      <c r="AC2854" s="1"/>
      <c r="AJ2854" s="1"/>
      <c r="AQ2854" s="1"/>
      <c r="AX2854" s="1"/>
    </row>
    <row r="2855" spans="1:50" x14ac:dyDescent="0.25">
      <c r="A2855" s="1"/>
      <c r="H2855" s="1"/>
      <c r="O2855" s="1"/>
      <c r="V2855" s="1"/>
      <c r="AC2855" s="1"/>
      <c r="AJ2855" s="1"/>
      <c r="AQ2855" s="1"/>
      <c r="AX2855" s="1"/>
    </row>
    <row r="2856" spans="1:50" x14ac:dyDescent="0.25">
      <c r="A2856" s="1"/>
      <c r="H2856" s="1"/>
      <c r="O2856" s="1"/>
      <c r="V2856" s="1"/>
      <c r="AC2856" s="1"/>
      <c r="AJ2856" s="1"/>
      <c r="AQ2856" s="1"/>
      <c r="AX2856" s="1"/>
    </row>
    <row r="2857" spans="1:50" x14ac:dyDescent="0.25">
      <c r="A2857" s="1"/>
      <c r="H2857" s="1"/>
      <c r="O2857" s="1"/>
      <c r="V2857" s="1"/>
      <c r="AC2857" s="1"/>
      <c r="AJ2857" s="1"/>
      <c r="AQ2857" s="1"/>
      <c r="AX2857" s="1"/>
    </row>
    <row r="2858" spans="1:50" x14ac:dyDescent="0.25">
      <c r="A2858" s="1"/>
      <c r="H2858" s="1"/>
      <c r="O2858" s="1"/>
      <c r="V2858" s="1"/>
      <c r="AC2858" s="1"/>
      <c r="AJ2858" s="1"/>
      <c r="AQ2858" s="1"/>
      <c r="AX2858" s="1"/>
    </row>
    <row r="2859" spans="1:50" x14ac:dyDescent="0.25">
      <c r="A2859" s="1"/>
      <c r="H2859" s="1"/>
      <c r="O2859" s="1"/>
      <c r="V2859" s="1"/>
      <c r="AC2859" s="1"/>
      <c r="AJ2859" s="1"/>
      <c r="AQ2859" s="1"/>
      <c r="AX2859" s="1"/>
    </row>
    <row r="2860" spans="1:50" x14ac:dyDescent="0.25">
      <c r="A2860" s="1"/>
      <c r="H2860" s="1"/>
      <c r="O2860" s="1"/>
      <c r="V2860" s="1"/>
      <c r="AC2860" s="1"/>
      <c r="AJ2860" s="1"/>
      <c r="AQ2860" s="1"/>
      <c r="AX2860" s="1"/>
    </row>
    <row r="2861" spans="1:50" x14ac:dyDescent="0.25">
      <c r="A2861" s="1"/>
      <c r="H2861" s="1"/>
      <c r="O2861" s="1"/>
      <c r="V2861" s="1"/>
      <c r="AC2861" s="1"/>
      <c r="AJ2861" s="1"/>
      <c r="AQ2861" s="1"/>
      <c r="AX2861" s="1"/>
    </row>
    <row r="2862" spans="1:50" x14ac:dyDescent="0.25">
      <c r="A2862" s="1"/>
      <c r="H2862" s="1"/>
      <c r="O2862" s="1"/>
      <c r="V2862" s="1"/>
      <c r="AC2862" s="1"/>
      <c r="AJ2862" s="1"/>
      <c r="AQ2862" s="1"/>
      <c r="AX2862" s="1"/>
    </row>
    <row r="2863" spans="1:50" x14ac:dyDescent="0.25">
      <c r="A2863" s="1"/>
      <c r="H2863" s="1"/>
      <c r="O2863" s="1"/>
      <c r="V2863" s="1"/>
      <c r="AC2863" s="1"/>
      <c r="AJ2863" s="1"/>
      <c r="AQ2863" s="1"/>
      <c r="AX2863" s="1"/>
    </row>
    <row r="2864" spans="1:50" x14ac:dyDescent="0.25">
      <c r="A2864" s="1"/>
      <c r="H2864" s="1"/>
      <c r="O2864" s="1"/>
      <c r="V2864" s="1"/>
      <c r="AC2864" s="1"/>
      <c r="AJ2864" s="1"/>
      <c r="AQ2864" s="1"/>
      <c r="AX2864" s="1"/>
    </row>
    <row r="2865" spans="1:50" x14ac:dyDescent="0.25">
      <c r="A2865" s="1"/>
      <c r="H2865" s="1"/>
      <c r="O2865" s="1"/>
      <c r="V2865" s="1"/>
      <c r="AC2865" s="1"/>
      <c r="AJ2865" s="1"/>
      <c r="AQ2865" s="1"/>
      <c r="AX2865" s="1"/>
    </row>
    <row r="2866" spans="1:50" x14ac:dyDescent="0.25">
      <c r="A2866" s="1"/>
      <c r="H2866" s="1"/>
      <c r="O2866" s="1"/>
      <c r="V2866" s="1"/>
      <c r="AC2866" s="1"/>
      <c r="AJ2866" s="1"/>
      <c r="AQ2866" s="1"/>
      <c r="AX2866" s="1"/>
    </row>
    <row r="2867" spans="1:50" x14ac:dyDescent="0.25">
      <c r="A2867" s="1"/>
      <c r="H2867" s="1"/>
      <c r="O2867" s="1"/>
      <c r="V2867" s="1"/>
      <c r="AC2867" s="1"/>
      <c r="AJ2867" s="1"/>
      <c r="AQ2867" s="1"/>
      <c r="AX2867" s="1"/>
    </row>
    <row r="2868" spans="1:50" x14ac:dyDescent="0.25">
      <c r="A2868" s="1"/>
      <c r="H2868" s="1"/>
      <c r="O2868" s="1"/>
      <c r="V2868" s="1"/>
      <c r="AC2868" s="1"/>
      <c r="AJ2868" s="1"/>
      <c r="AQ2868" s="1"/>
      <c r="AX2868" s="1"/>
    </row>
    <row r="2869" spans="1:50" x14ac:dyDescent="0.25">
      <c r="A2869" s="1"/>
      <c r="H2869" s="1"/>
      <c r="O2869" s="1"/>
      <c r="V2869" s="1"/>
      <c r="AC2869" s="1"/>
      <c r="AJ2869" s="1"/>
      <c r="AQ2869" s="1"/>
      <c r="AX2869" s="1"/>
    </row>
    <row r="2870" spans="1:50" x14ac:dyDescent="0.25">
      <c r="A2870" s="1"/>
      <c r="H2870" s="1"/>
      <c r="O2870" s="1"/>
      <c r="V2870" s="1"/>
      <c r="AC2870" s="1"/>
      <c r="AJ2870" s="1"/>
      <c r="AQ2870" s="1"/>
      <c r="AX2870" s="1"/>
    </row>
    <row r="2871" spans="1:50" x14ac:dyDescent="0.25">
      <c r="A2871" s="1"/>
      <c r="H2871" s="1"/>
      <c r="O2871" s="1"/>
      <c r="V2871" s="1"/>
      <c r="AC2871" s="1"/>
      <c r="AJ2871" s="1"/>
      <c r="AQ2871" s="1"/>
      <c r="AX2871" s="1"/>
    </row>
    <row r="2872" spans="1:50" x14ac:dyDescent="0.25">
      <c r="A2872" s="1"/>
      <c r="H2872" s="1"/>
      <c r="O2872" s="1"/>
      <c r="V2872" s="1"/>
      <c r="AC2872" s="1"/>
      <c r="AJ2872" s="1"/>
      <c r="AQ2872" s="1"/>
      <c r="AX2872" s="1"/>
    </row>
    <row r="2873" spans="1:50" x14ac:dyDescent="0.25">
      <c r="A2873" s="1"/>
      <c r="H2873" s="1"/>
      <c r="O2873" s="1"/>
      <c r="V2873" s="1"/>
      <c r="AC2873" s="1"/>
      <c r="AJ2873" s="1"/>
      <c r="AQ2873" s="1"/>
      <c r="AX2873" s="1"/>
    </row>
    <row r="2874" spans="1:50" x14ac:dyDescent="0.25">
      <c r="A2874" s="1"/>
      <c r="H2874" s="1"/>
      <c r="O2874" s="1"/>
      <c r="V2874" s="1"/>
      <c r="AC2874" s="1"/>
      <c r="AJ2874" s="1"/>
      <c r="AQ2874" s="1"/>
      <c r="AX2874" s="1"/>
    </row>
    <row r="2875" spans="1:50" x14ac:dyDescent="0.25">
      <c r="A2875" s="1"/>
      <c r="H2875" s="1"/>
      <c r="O2875" s="1"/>
      <c r="V2875" s="1"/>
      <c r="AC2875" s="1"/>
      <c r="AJ2875" s="1"/>
      <c r="AQ2875" s="1"/>
      <c r="AX2875" s="1"/>
    </row>
    <row r="2876" spans="1:50" x14ac:dyDescent="0.25">
      <c r="A2876" s="1"/>
      <c r="H2876" s="1"/>
      <c r="O2876" s="1"/>
      <c r="V2876" s="1"/>
      <c r="AC2876" s="1"/>
      <c r="AJ2876" s="1"/>
      <c r="AQ2876" s="1"/>
      <c r="AX2876" s="1"/>
    </row>
    <row r="2877" spans="1:50" x14ac:dyDescent="0.25">
      <c r="A2877" s="1"/>
      <c r="H2877" s="1"/>
      <c r="O2877" s="1"/>
      <c r="V2877" s="1"/>
      <c r="AC2877" s="1"/>
      <c r="AJ2877" s="1"/>
      <c r="AQ2877" s="1"/>
      <c r="AX2877" s="1"/>
    </row>
    <row r="2878" spans="1:50" x14ac:dyDescent="0.25">
      <c r="A2878" s="1"/>
      <c r="H2878" s="1"/>
      <c r="O2878" s="1"/>
      <c r="V2878" s="1"/>
      <c r="AC2878" s="1"/>
      <c r="AJ2878" s="1"/>
      <c r="AQ2878" s="1"/>
      <c r="AX2878" s="1"/>
    </row>
    <row r="2879" spans="1:50" x14ac:dyDescent="0.25">
      <c r="A2879" s="1"/>
      <c r="H2879" s="1"/>
      <c r="O2879" s="1"/>
      <c r="V2879" s="1"/>
      <c r="AC2879" s="1"/>
      <c r="AJ2879" s="1"/>
      <c r="AQ2879" s="1"/>
      <c r="AX2879" s="1"/>
    </row>
    <row r="2880" spans="1:50" x14ac:dyDescent="0.25">
      <c r="A2880" s="1"/>
      <c r="H2880" s="1"/>
      <c r="O2880" s="1"/>
      <c r="V2880" s="1"/>
      <c r="AC2880" s="1"/>
      <c r="AJ2880" s="1"/>
      <c r="AQ2880" s="1"/>
      <c r="AX2880" s="1"/>
    </row>
    <row r="2881" spans="1:50" x14ac:dyDescent="0.25">
      <c r="A2881" s="1"/>
      <c r="H2881" s="1"/>
      <c r="O2881" s="1"/>
      <c r="V2881" s="1"/>
      <c r="AC2881" s="1"/>
      <c r="AJ2881" s="1"/>
      <c r="AQ2881" s="1"/>
      <c r="AX2881" s="1"/>
    </row>
    <row r="2882" spans="1:50" x14ac:dyDescent="0.25">
      <c r="A2882" s="1"/>
      <c r="H2882" s="1"/>
      <c r="O2882" s="1"/>
      <c r="V2882" s="1"/>
      <c r="AC2882" s="1"/>
      <c r="AJ2882" s="1"/>
      <c r="AQ2882" s="1"/>
      <c r="AX2882" s="1"/>
    </row>
    <row r="2883" spans="1:50" x14ac:dyDescent="0.25">
      <c r="A2883" s="1"/>
      <c r="H2883" s="1"/>
      <c r="O2883" s="1"/>
      <c r="V2883" s="1"/>
      <c r="AC2883" s="1"/>
      <c r="AJ2883" s="1"/>
      <c r="AQ2883" s="1"/>
      <c r="AX2883" s="1"/>
    </row>
    <row r="2884" spans="1:50" x14ac:dyDescent="0.25">
      <c r="A2884" s="1"/>
      <c r="H2884" s="1"/>
      <c r="O2884" s="1"/>
      <c r="V2884" s="1"/>
      <c r="AC2884" s="1"/>
      <c r="AJ2884" s="1"/>
      <c r="AQ2884" s="1"/>
      <c r="AX2884" s="1"/>
    </row>
    <row r="2885" spans="1:50" x14ac:dyDescent="0.25">
      <c r="A2885" s="1"/>
      <c r="H2885" s="1"/>
      <c r="O2885" s="1"/>
      <c r="V2885" s="1"/>
      <c r="AC2885" s="1"/>
      <c r="AJ2885" s="1"/>
      <c r="AQ2885" s="1"/>
      <c r="AX2885" s="1"/>
    </row>
    <row r="2886" spans="1:50" x14ac:dyDescent="0.25">
      <c r="A2886" s="1"/>
      <c r="H2886" s="1"/>
      <c r="O2886" s="1"/>
      <c r="V2886" s="1"/>
      <c r="AC2886" s="1"/>
      <c r="AJ2886" s="1"/>
      <c r="AQ2886" s="1"/>
      <c r="AX2886" s="1"/>
    </row>
    <row r="2887" spans="1:50" x14ac:dyDescent="0.25">
      <c r="A2887" s="1"/>
      <c r="H2887" s="1"/>
      <c r="O2887" s="1"/>
      <c r="V2887" s="1"/>
      <c r="AC2887" s="1"/>
      <c r="AJ2887" s="1"/>
      <c r="AQ2887" s="1"/>
      <c r="AX2887" s="1"/>
    </row>
    <row r="2888" spans="1:50" x14ac:dyDescent="0.25">
      <c r="A2888" s="1"/>
      <c r="H2888" s="1"/>
      <c r="O2888" s="1"/>
      <c r="V2888" s="1"/>
      <c r="AC2888" s="1"/>
      <c r="AJ2888" s="1"/>
      <c r="AQ2888" s="1"/>
      <c r="AX2888" s="1"/>
    </row>
    <row r="2889" spans="1:50" x14ac:dyDescent="0.25">
      <c r="A2889" s="1"/>
      <c r="H2889" s="1"/>
      <c r="O2889" s="1"/>
      <c r="V2889" s="1"/>
      <c r="AC2889" s="1"/>
      <c r="AJ2889" s="1"/>
      <c r="AQ2889" s="1"/>
      <c r="AX2889" s="1"/>
    </row>
    <row r="2890" spans="1:50" x14ac:dyDescent="0.25">
      <c r="A2890" s="1"/>
      <c r="H2890" s="1"/>
      <c r="O2890" s="1"/>
      <c r="V2890" s="1"/>
      <c r="AC2890" s="1"/>
      <c r="AJ2890" s="1"/>
      <c r="AQ2890" s="1"/>
      <c r="AX2890" s="1"/>
    </row>
    <row r="2891" spans="1:50" x14ac:dyDescent="0.25">
      <c r="A2891" s="1"/>
      <c r="H2891" s="1"/>
      <c r="O2891" s="1"/>
      <c r="V2891" s="1"/>
      <c r="AC2891" s="1"/>
      <c r="AJ2891" s="1"/>
      <c r="AQ2891" s="1"/>
      <c r="AX2891" s="1"/>
    </row>
    <row r="2892" spans="1:50" x14ac:dyDescent="0.25">
      <c r="A2892" s="1"/>
      <c r="H2892" s="1"/>
      <c r="O2892" s="1"/>
      <c r="V2892" s="1"/>
      <c r="AC2892" s="1"/>
      <c r="AJ2892" s="1"/>
      <c r="AQ2892" s="1"/>
      <c r="AX2892" s="1"/>
    </row>
    <row r="2893" spans="1:50" x14ac:dyDescent="0.25">
      <c r="A2893" s="1"/>
      <c r="H2893" s="1"/>
      <c r="O2893" s="1"/>
      <c r="V2893" s="1"/>
      <c r="AC2893" s="1"/>
      <c r="AJ2893" s="1"/>
      <c r="AQ2893" s="1"/>
      <c r="AX2893" s="1"/>
    </row>
    <row r="2894" spans="1:50" x14ac:dyDescent="0.25">
      <c r="A2894" s="1"/>
      <c r="H2894" s="1"/>
      <c r="O2894" s="1"/>
      <c r="V2894" s="1"/>
      <c r="AC2894" s="1"/>
      <c r="AJ2894" s="1"/>
      <c r="AQ2894" s="1"/>
      <c r="AX2894" s="1"/>
    </row>
    <row r="2895" spans="1:50" x14ac:dyDescent="0.25">
      <c r="A2895" s="1"/>
      <c r="H2895" s="1"/>
      <c r="O2895" s="1"/>
      <c r="V2895" s="1"/>
      <c r="AC2895" s="1"/>
      <c r="AJ2895" s="1"/>
      <c r="AQ2895" s="1"/>
      <c r="AX2895" s="1"/>
    </row>
    <row r="2896" spans="1:50" x14ac:dyDescent="0.25">
      <c r="A2896" s="1"/>
      <c r="H2896" s="1"/>
      <c r="O2896" s="1"/>
      <c r="V2896" s="1"/>
      <c r="AC2896" s="1"/>
      <c r="AJ2896" s="1"/>
      <c r="AQ2896" s="1"/>
      <c r="AX2896" s="1"/>
    </row>
    <row r="2897" spans="1:50" x14ac:dyDescent="0.25">
      <c r="A2897" s="1"/>
      <c r="H2897" s="1"/>
      <c r="O2897" s="1"/>
      <c r="V2897" s="1"/>
      <c r="AC2897" s="1"/>
      <c r="AJ2897" s="1"/>
      <c r="AQ2897" s="1"/>
      <c r="AX2897" s="1"/>
    </row>
    <row r="2898" spans="1:50" x14ac:dyDescent="0.25">
      <c r="A2898" s="1"/>
      <c r="H2898" s="1"/>
      <c r="O2898" s="1"/>
      <c r="V2898" s="1"/>
      <c r="AC2898" s="1"/>
      <c r="AJ2898" s="1"/>
      <c r="AQ2898" s="1"/>
      <c r="AX2898" s="1"/>
    </row>
    <row r="2899" spans="1:50" x14ac:dyDescent="0.25">
      <c r="A2899" s="1"/>
      <c r="H2899" s="1"/>
      <c r="O2899" s="1"/>
      <c r="V2899" s="1"/>
      <c r="AC2899" s="1"/>
      <c r="AJ2899" s="1"/>
      <c r="AQ2899" s="1"/>
      <c r="AX2899" s="1"/>
    </row>
    <row r="2900" spans="1:50" x14ac:dyDescent="0.25">
      <c r="A2900" s="1"/>
      <c r="H2900" s="1"/>
      <c r="O2900" s="1"/>
      <c r="V2900" s="1"/>
      <c r="AC2900" s="1"/>
      <c r="AJ2900" s="1"/>
      <c r="AQ2900" s="1"/>
      <c r="AX2900" s="1"/>
    </row>
    <row r="2901" spans="1:50" x14ac:dyDescent="0.25">
      <c r="A2901" s="1"/>
      <c r="H2901" s="1"/>
      <c r="O2901" s="1"/>
      <c r="V2901" s="1"/>
      <c r="AC2901" s="1"/>
      <c r="AJ2901" s="1"/>
      <c r="AQ2901" s="1"/>
      <c r="AX2901" s="1"/>
    </row>
    <row r="2902" spans="1:50" x14ac:dyDescent="0.25">
      <c r="A2902" s="1"/>
      <c r="H2902" s="1"/>
      <c r="O2902" s="1"/>
      <c r="V2902" s="1"/>
      <c r="AC2902" s="1"/>
      <c r="AJ2902" s="1"/>
      <c r="AQ2902" s="1"/>
      <c r="AX2902" s="1"/>
    </row>
    <row r="2903" spans="1:50" x14ac:dyDescent="0.25">
      <c r="A2903" s="1"/>
      <c r="H2903" s="1"/>
      <c r="O2903" s="1"/>
      <c r="V2903" s="1"/>
      <c r="AC2903" s="1"/>
      <c r="AJ2903" s="1"/>
      <c r="AQ2903" s="1"/>
      <c r="AX2903" s="1"/>
    </row>
    <row r="2904" spans="1:50" x14ac:dyDescent="0.25">
      <c r="A2904" s="1"/>
      <c r="H2904" s="1"/>
      <c r="O2904" s="1"/>
      <c r="V2904" s="1"/>
      <c r="AC2904" s="1"/>
      <c r="AJ2904" s="1"/>
      <c r="AQ2904" s="1"/>
      <c r="AX2904" s="1"/>
    </row>
    <row r="2905" spans="1:50" x14ac:dyDescent="0.25">
      <c r="A2905" s="1"/>
      <c r="H2905" s="1"/>
      <c r="O2905" s="1"/>
      <c r="V2905" s="1"/>
      <c r="AC2905" s="1"/>
      <c r="AJ2905" s="1"/>
      <c r="AQ2905" s="1"/>
      <c r="AX2905" s="1"/>
    </row>
    <row r="2906" spans="1:50" x14ac:dyDescent="0.25">
      <c r="A2906" s="1"/>
      <c r="H2906" s="1"/>
      <c r="O2906" s="1"/>
      <c r="V2906" s="1"/>
      <c r="AC2906" s="1"/>
      <c r="AJ2906" s="1"/>
      <c r="AQ2906" s="1"/>
      <c r="AX2906" s="1"/>
    </row>
    <row r="2907" spans="1:50" x14ac:dyDescent="0.25">
      <c r="A2907" s="1"/>
      <c r="H2907" s="1"/>
      <c r="O2907" s="1"/>
      <c r="V2907" s="1"/>
      <c r="AC2907" s="1"/>
      <c r="AJ2907" s="1"/>
      <c r="AQ2907" s="1"/>
      <c r="AX2907" s="1"/>
    </row>
    <row r="2908" spans="1:50" x14ac:dyDescent="0.25">
      <c r="A2908" s="1"/>
      <c r="H2908" s="1"/>
      <c r="O2908" s="1"/>
      <c r="V2908" s="1"/>
      <c r="AC2908" s="1"/>
      <c r="AJ2908" s="1"/>
      <c r="AQ2908" s="1"/>
      <c r="AX2908" s="1"/>
    </row>
    <row r="2909" spans="1:50" x14ac:dyDescent="0.25">
      <c r="A2909" s="1"/>
      <c r="H2909" s="1"/>
      <c r="O2909" s="1"/>
      <c r="V2909" s="1"/>
      <c r="AC2909" s="1"/>
      <c r="AJ2909" s="1"/>
      <c r="AQ2909" s="1"/>
      <c r="AX2909" s="1"/>
    </row>
    <row r="2910" spans="1:50" x14ac:dyDescent="0.25">
      <c r="A2910" s="1"/>
      <c r="H2910" s="1"/>
      <c r="O2910" s="1"/>
      <c r="V2910" s="1"/>
      <c r="AC2910" s="1"/>
      <c r="AJ2910" s="1"/>
      <c r="AQ2910" s="1"/>
      <c r="AX2910" s="1"/>
    </row>
    <row r="2911" spans="1:50" x14ac:dyDescent="0.25">
      <c r="A2911" s="1"/>
      <c r="H2911" s="1"/>
      <c r="O2911" s="1"/>
      <c r="V2911" s="1"/>
      <c r="AC2911" s="1"/>
      <c r="AJ2911" s="1"/>
      <c r="AQ2911" s="1"/>
      <c r="AX2911" s="1"/>
    </row>
    <row r="2912" spans="1:50" x14ac:dyDescent="0.25">
      <c r="A2912" s="1"/>
      <c r="H2912" s="1"/>
      <c r="O2912" s="1"/>
      <c r="V2912" s="1"/>
      <c r="AC2912" s="1"/>
      <c r="AJ2912" s="1"/>
      <c r="AQ2912" s="1"/>
      <c r="AX2912" s="1"/>
    </row>
    <row r="2913" spans="1:50" x14ac:dyDescent="0.25">
      <c r="A2913" s="1"/>
      <c r="H2913" s="1"/>
      <c r="O2913" s="1"/>
      <c r="V2913" s="1"/>
      <c r="AC2913" s="1"/>
      <c r="AJ2913" s="1"/>
      <c r="AQ2913" s="1"/>
      <c r="AX2913" s="1"/>
    </row>
    <row r="2914" spans="1:50" x14ac:dyDescent="0.25">
      <c r="A2914" s="1"/>
      <c r="H2914" s="1"/>
      <c r="O2914" s="1"/>
      <c r="V2914" s="1"/>
      <c r="AC2914" s="1"/>
      <c r="AJ2914" s="1"/>
      <c r="AQ2914" s="1"/>
      <c r="AX2914" s="1"/>
    </row>
    <row r="2915" spans="1:50" x14ac:dyDescent="0.25">
      <c r="A2915" s="1"/>
      <c r="H2915" s="1"/>
      <c r="O2915" s="1"/>
      <c r="V2915" s="1"/>
      <c r="AC2915" s="1"/>
      <c r="AJ2915" s="1"/>
      <c r="AQ2915" s="1"/>
      <c r="AX2915" s="1"/>
    </row>
    <row r="2916" spans="1:50" x14ac:dyDescent="0.25">
      <c r="A2916" s="1"/>
      <c r="H2916" s="1"/>
      <c r="O2916" s="1"/>
      <c r="V2916" s="1"/>
      <c r="AC2916" s="1"/>
      <c r="AJ2916" s="1"/>
      <c r="AQ2916" s="1"/>
      <c r="AX2916" s="1"/>
    </row>
    <row r="2917" spans="1:50" x14ac:dyDescent="0.25">
      <c r="A2917" s="1"/>
      <c r="H2917" s="1"/>
      <c r="O2917" s="1"/>
      <c r="V2917" s="1"/>
      <c r="AC2917" s="1"/>
      <c r="AJ2917" s="1"/>
      <c r="AQ2917" s="1"/>
      <c r="AX2917" s="1"/>
    </row>
    <row r="2918" spans="1:50" x14ac:dyDescent="0.25">
      <c r="A2918" s="1"/>
      <c r="H2918" s="1"/>
      <c r="O2918" s="1"/>
      <c r="V2918" s="1"/>
      <c r="AC2918" s="1"/>
      <c r="AJ2918" s="1"/>
      <c r="AQ2918" s="1"/>
      <c r="AX2918" s="1"/>
    </row>
    <row r="2919" spans="1:50" x14ac:dyDescent="0.25">
      <c r="A2919" s="1"/>
      <c r="H2919" s="1"/>
      <c r="O2919" s="1"/>
      <c r="V2919" s="1"/>
      <c r="AC2919" s="1"/>
      <c r="AJ2919" s="1"/>
      <c r="AQ2919" s="1"/>
      <c r="AX2919" s="1"/>
    </row>
    <row r="2920" spans="1:50" x14ac:dyDescent="0.25">
      <c r="A2920" s="1"/>
      <c r="H2920" s="1"/>
      <c r="O2920" s="1"/>
      <c r="V2920" s="1"/>
      <c r="AC2920" s="1"/>
      <c r="AJ2920" s="1"/>
      <c r="AQ2920" s="1"/>
      <c r="AX2920" s="1"/>
    </row>
    <row r="2921" spans="1:50" x14ac:dyDescent="0.25">
      <c r="A2921" s="1"/>
      <c r="H2921" s="1"/>
      <c r="O2921" s="1"/>
      <c r="V2921" s="1"/>
      <c r="AC2921" s="1"/>
      <c r="AJ2921" s="1"/>
      <c r="AQ2921" s="1"/>
      <c r="AX2921" s="1"/>
    </row>
    <row r="2922" spans="1:50" x14ac:dyDescent="0.25">
      <c r="A2922" s="1"/>
      <c r="H2922" s="1"/>
      <c r="O2922" s="1"/>
      <c r="V2922" s="1"/>
      <c r="AC2922" s="1"/>
      <c r="AJ2922" s="1"/>
      <c r="AQ2922" s="1"/>
      <c r="AX2922" s="1"/>
    </row>
    <row r="2923" spans="1:50" x14ac:dyDescent="0.25">
      <c r="A2923" s="1"/>
      <c r="H2923" s="1"/>
      <c r="O2923" s="1"/>
      <c r="V2923" s="1"/>
      <c r="AC2923" s="1"/>
      <c r="AJ2923" s="1"/>
      <c r="AQ2923" s="1"/>
      <c r="AX2923" s="1"/>
    </row>
    <row r="2924" spans="1:50" x14ac:dyDescent="0.25">
      <c r="A2924" s="1"/>
      <c r="H2924" s="1"/>
      <c r="O2924" s="1"/>
      <c r="V2924" s="1"/>
      <c r="AC2924" s="1"/>
      <c r="AJ2924" s="1"/>
      <c r="AQ2924" s="1"/>
      <c r="AX2924" s="1"/>
    </row>
    <row r="2925" spans="1:50" x14ac:dyDescent="0.25">
      <c r="A2925" s="1"/>
      <c r="H2925" s="1"/>
      <c r="O2925" s="1"/>
      <c r="V2925" s="1"/>
      <c r="AC2925" s="1"/>
      <c r="AJ2925" s="1"/>
      <c r="AQ2925" s="1"/>
      <c r="AX2925" s="1"/>
    </row>
    <row r="2926" spans="1:50" x14ac:dyDescent="0.25">
      <c r="A2926" s="1"/>
      <c r="H2926" s="1"/>
      <c r="O2926" s="1"/>
      <c r="V2926" s="1"/>
      <c r="AC2926" s="1"/>
      <c r="AJ2926" s="1"/>
      <c r="AQ2926" s="1"/>
      <c r="AX2926" s="1"/>
    </row>
    <row r="2927" spans="1:50" x14ac:dyDescent="0.25">
      <c r="A2927" s="1"/>
      <c r="H2927" s="1"/>
      <c r="O2927" s="1"/>
      <c r="V2927" s="1"/>
      <c r="AC2927" s="1"/>
      <c r="AJ2927" s="1"/>
      <c r="AQ2927" s="1"/>
      <c r="AX2927" s="1"/>
    </row>
    <row r="2928" spans="1:50" x14ac:dyDescent="0.25">
      <c r="A2928" s="1"/>
      <c r="H2928" s="1"/>
      <c r="O2928" s="1"/>
      <c r="V2928" s="1"/>
      <c r="AC2928" s="1"/>
      <c r="AJ2928" s="1"/>
      <c r="AQ2928" s="1"/>
      <c r="AX2928" s="1"/>
    </row>
    <row r="2929" spans="1:50" x14ac:dyDescent="0.25">
      <c r="A2929" s="1"/>
      <c r="H2929" s="1"/>
      <c r="O2929" s="1"/>
      <c r="V2929" s="1"/>
      <c r="AC2929" s="1"/>
      <c r="AJ2929" s="1"/>
      <c r="AQ2929" s="1"/>
      <c r="AX2929" s="1"/>
    </row>
    <row r="2930" spans="1:50" x14ac:dyDescent="0.25">
      <c r="A2930" s="1"/>
      <c r="H2930" s="1"/>
      <c r="O2930" s="1"/>
      <c r="V2930" s="1"/>
      <c r="AC2930" s="1"/>
      <c r="AJ2930" s="1"/>
      <c r="AQ2930" s="1"/>
      <c r="AX2930" s="1"/>
    </row>
    <row r="2931" spans="1:50" x14ac:dyDescent="0.25">
      <c r="A2931" s="1"/>
      <c r="H2931" s="1"/>
      <c r="O2931" s="1"/>
      <c r="V2931" s="1"/>
      <c r="AC2931" s="1"/>
      <c r="AJ2931" s="1"/>
      <c r="AQ2931" s="1"/>
      <c r="AX2931" s="1"/>
    </row>
    <row r="2932" spans="1:50" x14ac:dyDescent="0.25">
      <c r="A2932" s="1"/>
      <c r="H2932" s="1"/>
      <c r="O2932" s="1"/>
      <c r="V2932" s="1"/>
      <c r="AC2932" s="1"/>
      <c r="AJ2932" s="1"/>
      <c r="AQ2932" s="1"/>
      <c r="AX2932" s="1"/>
    </row>
    <row r="2933" spans="1:50" x14ac:dyDescent="0.25">
      <c r="A2933" s="1"/>
      <c r="H2933" s="1"/>
      <c r="O2933" s="1"/>
      <c r="V2933" s="1"/>
      <c r="AC2933" s="1"/>
      <c r="AJ2933" s="1"/>
      <c r="AQ2933" s="1"/>
      <c r="AX2933" s="1"/>
    </row>
    <row r="2934" spans="1:50" x14ac:dyDescent="0.25">
      <c r="A2934" s="1"/>
      <c r="H2934" s="1"/>
      <c r="O2934" s="1"/>
      <c r="V2934" s="1"/>
      <c r="AC2934" s="1"/>
      <c r="AJ2934" s="1"/>
      <c r="AQ2934" s="1"/>
      <c r="AX2934" s="1"/>
    </row>
    <row r="2935" spans="1:50" x14ac:dyDescent="0.25">
      <c r="A2935" s="1"/>
      <c r="H2935" s="1"/>
      <c r="O2935" s="1"/>
      <c r="V2935" s="1"/>
      <c r="AC2935" s="1"/>
      <c r="AJ2935" s="1"/>
      <c r="AQ2935" s="1"/>
      <c r="AX2935" s="1"/>
    </row>
    <row r="2936" spans="1:50" x14ac:dyDescent="0.25">
      <c r="A2936" s="1"/>
      <c r="H2936" s="1"/>
      <c r="O2936" s="1"/>
      <c r="V2936" s="1"/>
      <c r="AC2936" s="1"/>
      <c r="AJ2936" s="1"/>
      <c r="AQ2936" s="1"/>
      <c r="AX2936" s="1"/>
    </row>
    <row r="2937" spans="1:50" x14ac:dyDescent="0.25">
      <c r="A2937" s="1"/>
      <c r="H2937" s="1"/>
      <c r="O2937" s="1"/>
      <c r="V2937" s="1"/>
      <c r="AC2937" s="1"/>
      <c r="AJ2937" s="1"/>
      <c r="AQ2937" s="1"/>
      <c r="AX2937" s="1"/>
    </row>
    <row r="2938" spans="1:50" x14ac:dyDescent="0.25">
      <c r="A2938" s="1"/>
      <c r="H2938" s="1"/>
      <c r="O2938" s="1"/>
      <c r="V2938" s="1"/>
      <c r="AC2938" s="1"/>
      <c r="AJ2938" s="1"/>
      <c r="AQ2938" s="1"/>
      <c r="AX2938" s="1"/>
    </row>
    <row r="2939" spans="1:50" x14ac:dyDescent="0.25">
      <c r="A2939" s="1"/>
      <c r="H2939" s="1"/>
      <c r="O2939" s="1"/>
      <c r="V2939" s="1"/>
      <c r="AC2939" s="1"/>
      <c r="AJ2939" s="1"/>
      <c r="AQ2939" s="1"/>
      <c r="AX2939" s="1"/>
    </row>
    <row r="2940" spans="1:50" x14ac:dyDescent="0.25">
      <c r="A2940" s="1"/>
      <c r="H2940" s="1"/>
      <c r="O2940" s="1"/>
      <c r="V2940" s="1"/>
      <c r="AC2940" s="1"/>
      <c r="AJ2940" s="1"/>
      <c r="AQ2940" s="1"/>
      <c r="AX2940" s="1"/>
    </row>
    <row r="2941" spans="1:50" x14ac:dyDescent="0.25">
      <c r="A2941" s="1"/>
      <c r="H2941" s="1"/>
      <c r="O2941" s="1"/>
      <c r="V2941" s="1"/>
      <c r="AC2941" s="1"/>
      <c r="AJ2941" s="1"/>
      <c r="AQ2941" s="1"/>
      <c r="AX2941" s="1"/>
    </row>
    <row r="2942" spans="1:50" x14ac:dyDescent="0.25">
      <c r="A2942" s="1"/>
      <c r="H2942" s="1"/>
      <c r="O2942" s="1"/>
      <c r="V2942" s="1"/>
      <c r="AC2942" s="1"/>
      <c r="AJ2942" s="1"/>
      <c r="AQ2942" s="1"/>
      <c r="AX2942" s="1"/>
    </row>
    <row r="2943" spans="1:50" x14ac:dyDescent="0.25">
      <c r="A2943" s="1"/>
      <c r="H2943" s="1"/>
      <c r="O2943" s="1"/>
      <c r="V2943" s="1"/>
      <c r="AC2943" s="1"/>
      <c r="AJ2943" s="1"/>
      <c r="AQ2943" s="1"/>
      <c r="AX2943" s="1"/>
    </row>
    <row r="2944" spans="1:50" x14ac:dyDescent="0.25">
      <c r="A2944" s="1"/>
      <c r="H2944" s="1"/>
      <c r="O2944" s="1"/>
      <c r="V2944" s="1"/>
      <c r="AC2944" s="1"/>
      <c r="AJ2944" s="1"/>
      <c r="AQ2944" s="1"/>
      <c r="AX2944" s="1"/>
    </row>
    <row r="2945" spans="1:50" x14ac:dyDescent="0.25">
      <c r="A2945" s="1"/>
      <c r="H2945" s="1"/>
      <c r="O2945" s="1"/>
      <c r="V2945" s="1"/>
      <c r="AC2945" s="1"/>
      <c r="AJ2945" s="1"/>
      <c r="AQ2945" s="1"/>
      <c r="AX2945" s="1"/>
    </row>
    <row r="2946" spans="1:50" x14ac:dyDescent="0.25">
      <c r="A2946" s="1"/>
      <c r="H2946" s="1"/>
      <c r="O2946" s="1"/>
      <c r="V2946" s="1"/>
      <c r="AC2946" s="1"/>
      <c r="AJ2946" s="1"/>
      <c r="AQ2946" s="1"/>
      <c r="AX2946" s="1"/>
    </row>
    <row r="2947" spans="1:50" x14ac:dyDescent="0.25">
      <c r="A2947" s="1"/>
      <c r="H2947" s="1"/>
      <c r="O2947" s="1"/>
      <c r="V2947" s="1"/>
      <c r="AC2947" s="1"/>
      <c r="AJ2947" s="1"/>
      <c r="AQ2947" s="1"/>
      <c r="AX2947" s="1"/>
    </row>
    <row r="2948" spans="1:50" x14ac:dyDescent="0.25">
      <c r="A2948" s="1"/>
      <c r="H2948" s="1"/>
      <c r="O2948" s="1"/>
      <c r="V2948" s="1"/>
      <c r="AC2948" s="1"/>
      <c r="AJ2948" s="1"/>
      <c r="AQ2948" s="1"/>
      <c r="AX2948" s="1"/>
    </row>
    <row r="2949" spans="1:50" x14ac:dyDescent="0.25">
      <c r="A2949" s="1"/>
      <c r="H2949" s="1"/>
      <c r="O2949" s="1"/>
      <c r="V2949" s="1"/>
      <c r="AC2949" s="1"/>
      <c r="AJ2949" s="1"/>
      <c r="AQ2949" s="1"/>
      <c r="AX2949" s="1"/>
    </row>
    <row r="2950" spans="1:50" x14ac:dyDescent="0.25">
      <c r="A2950" s="1"/>
      <c r="H2950" s="1"/>
      <c r="O2950" s="1"/>
      <c r="V2950" s="1"/>
      <c r="AC2950" s="1"/>
      <c r="AJ2950" s="1"/>
      <c r="AQ2950" s="1"/>
      <c r="AX2950" s="1"/>
    </row>
    <row r="2951" spans="1:50" x14ac:dyDescent="0.25">
      <c r="A2951" s="1"/>
      <c r="H2951" s="1"/>
      <c r="O2951" s="1"/>
      <c r="V2951" s="1"/>
      <c r="AC2951" s="1"/>
      <c r="AJ2951" s="1"/>
      <c r="AQ2951" s="1"/>
      <c r="AX2951" s="1"/>
    </row>
    <row r="2952" spans="1:50" x14ac:dyDescent="0.25">
      <c r="A2952" s="1"/>
      <c r="H2952" s="1"/>
      <c r="O2952" s="1"/>
      <c r="V2952" s="1"/>
      <c r="AC2952" s="1"/>
      <c r="AJ2952" s="1"/>
      <c r="AQ2952" s="1"/>
      <c r="AX2952" s="1"/>
    </row>
    <row r="2953" spans="1:50" x14ac:dyDescent="0.25">
      <c r="A2953" s="1"/>
      <c r="H2953" s="1"/>
      <c r="O2953" s="1"/>
      <c r="V2953" s="1"/>
      <c r="AC2953" s="1"/>
      <c r="AJ2953" s="1"/>
      <c r="AQ2953" s="1"/>
      <c r="AX2953" s="1"/>
    </row>
    <row r="2954" spans="1:50" x14ac:dyDescent="0.25">
      <c r="A2954" s="1"/>
      <c r="H2954" s="1"/>
      <c r="O2954" s="1"/>
      <c r="V2954" s="1"/>
      <c r="AC2954" s="1"/>
      <c r="AJ2954" s="1"/>
      <c r="AQ2954" s="1"/>
      <c r="AX2954" s="1"/>
    </row>
    <row r="2955" spans="1:50" x14ac:dyDescent="0.25">
      <c r="A2955" s="1"/>
      <c r="H2955" s="1"/>
      <c r="O2955" s="1"/>
      <c r="V2955" s="1"/>
      <c r="AC2955" s="1"/>
      <c r="AJ2955" s="1"/>
      <c r="AQ2955" s="1"/>
      <c r="AX2955" s="1"/>
    </row>
    <row r="2956" spans="1:50" x14ac:dyDescent="0.25">
      <c r="A2956" s="1"/>
      <c r="H2956" s="1"/>
      <c r="O2956" s="1"/>
      <c r="V2956" s="1"/>
      <c r="AC2956" s="1"/>
      <c r="AJ2956" s="1"/>
      <c r="AQ2956" s="1"/>
      <c r="AX2956" s="1"/>
    </row>
    <row r="2957" spans="1:50" x14ac:dyDescent="0.25">
      <c r="A2957" s="1"/>
      <c r="H2957" s="1"/>
      <c r="O2957" s="1"/>
      <c r="V2957" s="1"/>
      <c r="AC2957" s="1"/>
      <c r="AJ2957" s="1"/>
      <c r="AQ2957" s="1"/>
      <c r="AX2957" s="1"/>
    </row>
    <row r="2958" spans="1:50" x14ac:dyDescent="0.25">
      <c r="A2958" s="1"/>
      <c r="H2958" s="1"/>
      <c r="O2958" s="1"/>
      <c r="V2958" s="1"/>
      <c r="AC2958" s="1"/>
      <c r="AJ2958" s="1"/>
      <c r="AQ2958" s="1"/>
      <c r="AX2958" s="1"/>
    </row>
    <row r="2959" spans="1:50" x14ac:dyDescent="0.25">
      <c r="A2959" s="1"/>
      <c r="H2959" s="1"/>
      <c r="O2959" s="1"/>
      <c r="V2959" s="1"/>
      <c r="AC2959" s="1"/>
      <c r="AJ2959" s="1"/>
      <c r="AQ2959" s="1"/>
      <c r="AX2959" s="1"/>
    </row>
    <row r="2960" spans="1:50" x14ac:dyDescent="0.25">
      <c r="A2960" s="1"/>
      <c r="H2960" s="1"/>
      <c r="O2960" s="1"/>
      <c r="V2960" s="1"/>
      <c r="AC2960" s="1"/>
      <c r="AJ2960" s="1"/>
      <c r="AQ2960" s="1"/>
      <c r="AX2960" s="1"/>
    </row>
    <row r="2961" spans="1:50" x14ac:dyDescent="0.25">
      <c r="A2961" s="1"/>
      <c r="H2961" s="1"/>
      <c r="O2961" s="1"/>
      <c r="V2961" s="1"/>
      <c r="AC2961" s="1"/>
      <c r="AJ2961" s="1"/>
      <c r="AQ2961" s="1"/>
      <c r="AX2961" s="1"/>
    </row>
    <row r="2962" spans="1:50" x14ac:dyDescent="0.25">
      <c r="A2962" s="1"/>
      <c r="H2962" s="1"/>
      <c r="O2962" s="1"/>
      <c r="V2962" s="1"/>
      <c r="AC2962" s="1"/>
      <c r="AJ2962" s="1"/>
      <c r="AQ2962" s="1"/>
      <c r="AX2962" s="1"/>
    </row>
    <row r="2963" spans="1:50" x14ac:dyDescent="0.25">
      <c r="A2963" s="1"/>
      <c r="H2963" s="1"/>
      <c r="O2963" s="1"/>
      <c r="V2963" s="1"/>
      <c r="AC2963" s="1"/>
      <c r="AJ2963" s="1"/>
      <c r="AQ2963" s="1"/>
      <c r="AX2963" s="1"/>
    </row>
    <row r="2964" spans="1:50" x14ac:dyDescent="0.25">
      <c r="A2964" s="1"/>
      <c r="H2964" s="1"/>
      <c r="O2964" s="1"/>
      <c r="V2964" s="1"/>
      <c r="AC2964" s="1"/>
      <c r="AJ2964" s="1"/>
      <c r="AQ2964" s="1"/>
      <c r="AX2964" s="1"/>
    </row>
    <row r="2965" spans="1:50" x14ac:dyDescent="0.25">
      <c r="A2965" s="1"/>
      <c r="H2965" s="1"/>
      <c r="O2965" s="1"/>
      <c r="V2965" s="1"/>
      <c r="AC2965" s="1"/>
      <c r="AJ2965" s="1"/>
      <c r="AQ2965" s="1"/>
      <c r="AX2965" s="1"/>
    </row>
    <row r="2966" spans="1:50" x14ac:dyDescent="0.25">
      <c r="A2966" s="1"/>
      <c r="H2966" s="1"/>
      <c r="O2966" s="1"/>
      <c r="V2966" s="1"/>
      <c r="AC2966" s="1"/>
      <c r="AJ2966" s="1"/>
      <c r="AQ2966" s="1"/>
      <c r="AX2966" s="1"/>
    </row>
    <row r="2967" spans="1:50" x14ac:dyDescent="0.25">
      <c r="A2967" s="1"/>
      <c r="H2967" s="1"/>
      <c r="O2967" s="1"/>
      <c r="V2967" s="1"/>
      <c r="AC2967" s="1"/>
      <c r="AJ2967" s="1"/>
      <c r="AQ2967" s="1"/>
      <c r="AX2967" s="1"/>
    </row>
    <row r="2968" spans="1:50" x14ac:dyDescent="0.25">
      <c r="A2968" s="1"/>
      <c r="H2968" s="1"/>
      <c r="O2968" s="1"/>
      <c r="V2968" s="1"/>
      <c r="AC2968" s="1"/>
      <c r="AJ2968" s="1"/>
      <c r="AQ2968" s="1"/>
      <c r="AX2968" s="1"/>
    </row>
    <row r="2969" spans="1:50" x14ac:dyDescent="0.25">
      <c r="A2969" s="1"/>
      <c r="H2969" s="1"/>
      <c r="O2969" s="1"/>
      <c r="V2969" s="1"/>
      <c r="AC2969" s="1"/>
      <c r="AJ2969" s="1"/>
      <c r="AQ2969" s="1"/>
      <c r="AX2969" s="1"/>
    </row>
    <row r="2970" spans="1:50" x14ac:dyDescent="0.25">
      <c r="A2970" s="1"/>
      <c r="H2970" s="1"/>
      <c r="O2970" s="1"/>
      <c r="V2970" s="1"/>
      <c r="AC2970" s="1"/>
      <c r="AJ2970" s="1"/>
      <c r="AQ2970" s="1"/>
      <c r="AX2970" s="1"/>
    </row>
    <row r="2971" spans="1:50" x14ac:dyDescent="0.25">
      <c r="A2971" s="1"/>
      <c r="H2971" s="1"/>
      <c r="O2971" s="1"/>
      <c r="V2971" s="1"/>
      <c r="AC2971" s="1"/>
      <c r="AJ2971" s="1"/>
      <c r="AQ2971" s="1"/>
      <c r="AX2971" s="1"/>
    </row>
    <row r="2972" spans="1:50" x14ac:dyDescent="0.25">
      <c r="A2972" s="1"/>
      <c r="H2972" s="1"/>
      <c r="O2972" s="1"/>
      <c r="V2972" s="1"/>
      <c r="AC2972" s="1"/>
      <c r="AJ2972" s="1"/>
      <c r="AQ2972" s="1"/>
      <c r="AX2972" s="1"/>
    </row>
    <row r="2973" spans="1:50" x14ac:dyDescent="0.25">
      <c r="A2973" s="1"/>
      <c r="H2973" s="1"/>
      <c r="O2973" s="1"/>
      <c r="V2973" s="1"/>
      <c r="AC2973" s="1"/>
      <c r="AJ2973" s="1"/>
      <c r="AQ2973" s="1"/>
      <c r="AX2973" s="1"/>
    </row>
    <row r="2974" spans="1:50" x14ac:dyDescent="0.25">
      <c r="A2974" s="1"/>
      <c r="H2974" s="1"/>
      <c r="O2974" s="1"/>
      <c r="V2974" s="1"/>
      <c r="AC2974" s="1"/>
      <c r="AJ2974" s="1"/>
      <c r="AQ2974" s="1"/>
      <c r="AX2974" s="1"/>
    </row>
    <row r="2975" spans="1:50" x14ac:dyDescent="0.25">
      <c r="A2975" s="1"/>
      <c r="H2975" s="1"/>
      <c r="O2975" s="1"/>
      <c r="V2975" s="1"/>
      <c r="AC2975" s="1"/>
      <c r="AJ2975" s="1"/>
      <c r="AQ2975" s="1"/>
      <c r="AX2975" s="1"/>
    </row>
    <row r="2976" spans="1:50" x14ac:dyDescent="0.25">
      <c r="A2976" s="1"/>
      <c r="H2976" s="1"/>
      <c r="O2976" s="1"/>
      <c r="V2976" s="1"/>
      <c r="AC2976" s="1"/>
      <c r="AJ2976" s="1"/>
      <c r="AQ2976" s="1"/>
      <c r="AX2976" s="1"/>
    </row>
    <row r="2977" spans="1:50" x14ac:dyDescent="0.25">
      <c r="A2977" s="1"/>
      <c r="H2977" s="1"/>
      <c r="O2977" s="1"/>
      <c r="V2977" s="1"/>
      <c r="AC2977" s="1"/>
      <c r="AJ2977" s="1"/>
      <c r="AQ2977" s="1"/>
      <c r="AX2977" s="1"/>
    </row>
    <row r="2978" spans="1:50" x14ac:dyDescent="0.25">
      <c r="A2978" s="1"/>
      <c r="H2978" s="1"/>
      <c r="O2978" s="1"/>
      <c r="V2978" s="1"/>
      <c r="AC2978" s="1"/>
      <c r="AJ2978" s="1"/>
      <c r="AQ2978" s="1"/>
      <c r="AX2978" s="1"/>
    </row>
    <row r="2979" spans="1:50" x14ac:dyDescent="0.25">
      <c r="A2979" s="1"/>
      <c r="H2979" s="1"/>
      <c r="O2979" s="1"/>
      <c r="V2979" s="1"/>
      <c r="AC2979" s="1"/>
      <c r="AJ2979" s="1"/>
      <c r="AQ2979" s="1"/>
      <c r="AX2979" s="1"/>
    </row>
    <row r="2980" spans="1:50" x14ac:dyDescent="0.25">
      <c r="A2980" s="1"/>
      <c r="H2980" s="1"/>
      <c r="O2980" s="1"/>
      <c r="V2980" s="1"/>
      <c r="AC2980" s="1"/>
      <c r="AJ2980" s="1"/>
      <c r="AQ2980" s="1"/>
      <c r="AX2980" s="1"/>
    </row>
    <row r="2981" spans="1:50" x14ac:dyDescent="0.25">
      <c r="A2981" s="1"/>
      <c r="H2981" s="1"/>
      <c r="O2981" s="1"/>
      <c r="V2981" s="1"/>
      <c r="AC2981" s="1"/>
      <c r="AJ2981" s="1"/>
      <c r="AQ2981" s="1"/>
      <c r="AX2981" s="1"/>
    </row>
    <row r="2982" spans="1:50" x14ac:dyDescent="0.25">
      <c r="A2982" s="1"/>
      <c r="H2982" s="1"/>
      <c r="O2982" s="1"/>
      <c r="V2982" s="1"/>
      <c r="AC2982" s="1"/>
      <c r="AJ2982" s="1"/>
      <c r="AQ2982" s="1"/>
      <c r="AX2982" s="1"/>
    </row>
    <row r="2983" spans="1:50" x14ac:dyDescent="0.25">
      <c r="A2983" s="1"/>
      <c r="H2983" s="1"/>
      <c r="O2983" s="1"/>
      <c r="V2983" s="1"/>
      <c r="AC2983" s="1"/>
      <c r="AJ2983" s="1"/>
      <c r="AQ2983" s="1"/>
      <c r="AX2983" s="1"/>
    </row>
    <row r="2984" spans="1:50" x14ac:dyDescent="0.25">
      <c r="A2984" s="1"/>
      <c r="H2984" s="1"/>
      <c r="O2984" s="1"/>
      <c r="V2984" s="1"/>
      <c r="AC2984" s="1"/>
      <c r="AJ2984" s="1"/>
      <c r="AQ2984" s="1"/>
      <c r="AX2984" s="1"/>
    </row>
    <row r="2985" spans="1:50" x14ac:dyDescent="0.25">
      <c r="A2985" s="1"/>
      <c r="H2985" s="1"/>
      <c r="O2985" s="1"/>
      <c r="V2985" s="1"/>
      <c r="AC2985" s="1"/>
      <c r="AJ2985" s="1"/>
      <c r="AQ2985" s="1"/>
      <c r="AX2985" s="1"/>
    </row>
    <row r="2986" spans="1:50" x14ac:dyDescent="0.25">
      <c r="A2986" s="1"/>
      <c r="H2986" s="1"/>
      <c r="O2986" s="1"/>
      <c r="V2986" s="1"/>
      <c r="AC2986" s="1"/>
      <c r="AJ2986" s="1"/>
      <c r="AQ2986" s="1"/>
      <c r="AX2986" s="1"/>
    </row>
    <row r="2987" spans="1:50" x14ac:dyDescent="0.25">
      <c r="A2987" s="1"/>
      <c r="H2987" s="1"/>
      <c r="O2987" s="1"/>
      <c r="V2987" s="1"/>
      <c r="AC2987" s="1"/>
      <c r="AJ2987" s="1"/>
      <c r="AQ2987" s="1"/>
      <c r="AX2987" s="1"/>
    </row>
    <row r="2988" spans="1:50" x14ac:dyDescent="0.25">
      <c r="A2988" s="1"/>
      <c r="H2988" s="1"/>
      <c r="O2988" s="1"/>
      <c r="V2988" s="1"/>
      <c r="AC2988" s="1"/>
      <c r="AJ2988" s="1"/>
      <c r="AQ2988" s="1"/>
      <c r="AX2988" s="1"/>
    </row>
    <row r="2989" spans="1:50" x14ac:dyDescent="0.25">
      <c r="A2989" s="1"/>
      <c r="H2989" s="1"/>
      <c r="O2989" s="1"/>
      <c r="V2989" s="1"/>
      <c r="AC2989" s="1"/>
      <c r="AJ2989" s="1"/>
      <c r="AQ2989" s="1"/>
      <c r="AX2989" s="1"/>
    </row>
    <row r="2990" spans="1:50" x14ac:dyDescent="0.25">
      <c r="A2990" s="1"/>
      <c r="H2990" s="1"/>
      <c r="O2990" s="1"/>
      <c r="V2990" s="1"/>
      <c r="AC2990" s="1"/>
      <c r="AJ2990" s="1"/>
      <c r="AQ2990" s="1"/>
      <c r="AX2990" s="1"/>
    </row>
    <row r="2991" spans="1:50" x14ac:dyDescent="0.25">
      <c r="A2991" s="1"/>
      <c r="H2991" s="1"/>
      <c r="O2991" s="1"/>
      <c r="V2991" s="1"/>
      <c r="AC2991" s="1"/>
      <c r="AJ2991" s="1"/>
      <c r="AQ2991" s="1"/>
      <c r="AX2991" s="1"/>
    </row>
    <row r="2992" spans="1:50" x14ac:dyDescent="0.25">
      <c r="A2992" s="1"/>
      <c r="H2992" s="1"/>
      <c r="O2992" s="1"/>
      <c r="V2992" s="1"/>
      <c r="AC2992" s="1"/>
      <c r="AJ2992" s="1"/>
      <c r="AQ2992" s="1"/>
      <c r="AX2992" s="1"/>
    </row>
    <row r="2993" spans="1:50" x14ac:dyDescent="0.25">
      <c r="A2993" s="1"/>
      <c r="H2993" s="1"/>
      <c r="O2993" s="1"/>
      <c r="V2993" s="1"/>
      <c r="AC2993" s="1"/>
      <c r="AJ2993" s="1"/>
      <c r="AQ2993" s="1"/>
      <c r="AX2993" s="1"/>
    </row>
    <row r="2994" spans="1:50" x14ac:dyDescent="0.25">
      <c r="A2994" s="1"/>
      <c r="H2994" s="1"/>
      <c r="O2994" s="1"/>
      <c r="V2994" s="1"/>
      <c r="AC2994" s="1"/>
      <c r="AJ2994" s="1"/>
      <c r="AQ2994" s="1"/>
      <c r="AX2994" s="1"/>
    </row>
    <row r="2995" spans="1:50" x14ac:dyDescent="0.25">
      <c r="A2995" s="1"/>
      <c r="H2995" s="1"/>
      <c r="O2995" s="1"/>
      <c r="V2995" s="1"/>
      <c r="AC2995" s="1"/>
      <c r="AJ2995" s="1"/>
      <c r="AQ2995" s="1"/>
      <c r="AX2995" s="1"/>
    </row>
    <row r="2996" spans="1:50" x14ac:dyDescent="0.25">
      <c r="A2996" s="1"/>
      <c r="H2996" s="1"/>
      <c r="O2996" s="1"/>
      <c r="V2996" s="1"/>
      <c r="AC2996" s="1"/>
      <c r="AJ2996" s="1"/>
      <c r="AQ2996" s="1"/>
      <c r="AX2996" s="1"/>
    </row>
    <row r="2997" spans="1:50" x14ac:dyDescent="0.25">
      <c r="A2997" s="1"/>
      <c r="H2997" s="1"/>
      <c r="O2997" s="1"/>
      <c r="V2997" s="1"/>
      <c r="AC2997" s="1"/>
      <c r="AJ2997" s="1"/>
      <c r="AQ2997" s="1"/>
      <c r="AX2997" s="1"/>
    </row>
    <row r="2998" spans="1:50" x14ac:dyDescent="0.25">
      <c r="A2998" s="1"/>
      <c r="H2998" s="1"/>
      <c r="O2998" s="1"/>
      <c r="V2998" s="1"/>
      <c r="AC2998" s="1"/>
      <c r="AJ2998" s="1"/>
      <c r="AQ2998" s="1"/>
      <c r="AX2998" s="1"/>
    </row>
    <row r="2999" spans="1:50" x14ac:dyDescent="0.25">
      <c r="A2999" s="1"/>
      <c r="H2999" s="1"/>
      <c r="O2999" s="1"/>
      <c r="V2999" s="1"/>
      <c r="AC2999" s="1"/>
      <c r="AJ2999" s="1"/>
      <c r="AQ2999" s="1"/>
      <c r="AX2999" s="1"/>
    </row>
    <row r="3000" spans="1:50" x14ac:dyDescent="0.25">
      <c r="A3000" s="1"/>
      <c r="H3000" s="1"/>
      <c r="O3000" s="1"/>
      <c r="V3000" s="1"/>
      <c r="AC3000" s="1"/>
      <c r="AJ3000" s="1"/>
      <c r="AQ3000" s="1"/>
      <c r="AX3000" s="1"/>
    </row>
    <row r="3001" spans="1:50" x14ac:dyDescent="0.25">
      <c r="A3001" s="1"/>
      <c r="H3001" s="1"/>
      <c r="O3001" s="1"/>
      <c r="V3001" s="1"/>
      <c r="AC3001" s="1"/>
      <c r="AJ3001" s="1"/>
      <c r="AQ3001" s="1"/>
      <c r="AX3001" s="1"/>
    </row>
    <row r="3002" spans="1:50" x14ac:dyDescent="0.25">
      <c r="A3002" s="1"/>
      <c r="H3002" s="1"/>
      <c r="O3002" s="1"/>
      <c r="V3002" s="1"/>
      <c r="AC3002" s="1"/>
      <c r="AJ3002" s="1"/>
      <c r="AQ3002" s="1"/>
      <c r="AX3002" s="1"/>
    </row>
    <row r="3003" spans="1:50" x14ac:dyDescent="0.25">
      <c r="A3003" s="1"/>
      <c r="H3003" s="1"/>
      <c r="O3003" s="1"/>
      <c r="V3003" s="1"/>
      <c r="AC3003" s="1"/>
      <c r="AJ3003" s="1"/>
      <c r="AQ3003" s="1"/>
      <c r="AX3003" s="1"/>
    </row>
    <row r="3004" spans="1:50" x14ac:dyDescent="0.25">
      <c r="A3004" s="1"/>
      <c r="H3004" s="1"/>
      <c r="O3004" s="1"/>
      <c r="V3004" s="1"/>
      <c r="AC3004" s="1"/>
      <c r="AJ3004" s="1"/>
      <c r="AQ3004" s="1"/>
      <c r="AX3004" s="1"/>
    </row>
    <row r="3005" spans="1:50" x14ac:dyDescent="0.25">
      <c r="A3005" s="1"/>
      <c r="H3005" s="1"/>
      <c r="O3005" s="1"/>
      <c r="V3005" s="1"/>
      <c r="AC3005" s="1"/>
      <c r="AJ3005" s="1"/>
      <c r="AQ3005" s="1"/>
      <c r="AX3005" s="1"/>
    </row>
    <row r="3006" spans="1:50" x14ac:dyDescent="0.25">
      <c r="A3006" s="1"/>
      <c r="H3006" s="1"/>
      <c r="O3006" s="1"/>
      <c r="V3006" s="1"/>
      <c r="AC3006" s="1"/>
      <c r="AJ3006" s="1"/>
      <c r="AQ3006" s="1"/>
      <c r="AX3006" s="1"/>
    </row>
    <row r="3007" spans="1:50" x14ac:dyDescent="0.25">
      <c r="A3007" s="1"/>
      <c r="H3007" s="1"/>
      <c r="O3007" s="1"/>
      <c r="V3007" s="1"/>
      <c r="AC3007" s="1"/>
      <c r="AJ3007" s="1"/>
      <c r="AQ3007" s="1"/>
      <c r="AX3007" s="1"/>
    </row>
    <row r="3008" spans="1:50" x14ac:dyDescent="0.25">
      <c r="A3008" s="1"/>
      <c r="H3008" s="1"/>
      <c r="O3008" s="1"/>
      <c r="V3008" s="1"/>
      <c r="AC3008" s="1"/>
      <c r="AJ3008" s="1"/>
      <c r="AQ3008" s="1"/>
      <c r="AX3008" s="1"/>
    </row>
    <row r="3009" spans="1:50" x14ac:dyDescent="0.25">
      <c r="A3009" s="1"/>
      <c r="H3009" s="1"/>
      <c r="O3009" s="1"/>
      <c r="V3009" s="1"/>
      <c r="AC3009" s="1"/>
      <c r="AJ3009" s="1"/>
      <c r="AQ3009" s="1"/>
      <c r="AX3009" s="1"/>
    </row>
    <row r="3010" spans="1:50" x14ac:dyDescent="0.25">
      <c r="A3010" s="1"/>
      <c r="H3010" s="1"/>
      <c r="O3010" s="1"/>
      <c r="V3010" s="1"/>
      <c r="AC3010" s="1"/>
      <c r="AJ3010" s="1"/>
      <c r="AQ3010" s="1"/>
      <c r="AX3010" s="1"/>
    </row>
    <row r="3011" spans="1:50" x14ac:dyDescent="0.25">
      <c r="A3011" s="1"/>
      <c r="H3011" s="1"/>
      <c r="O3011" s="1"/>
      <c r="V3011" s="1"/>
      <c r="AC3011" s="1"/>
      <c r="AJ3011" s="1"/>
      <c r="AQ3011" s="1"/>
      <c r="AX3011" s="1"/>
    </row>
    <row r="3012" spans="1:50" x14ac:dyDescent="0.25">
      <c r="A3012" s="1"/>
      <c r="H3012" s="1"/>
      <c r="O3012" s="1"/>
      <c r="V3012" s="1"/>
      <c r="AC3012" s="1"/>
      <c r="AJ3012" s="1"/>
      <c r="AQ3012" s="1"/>
      <c r="AX3012" s="1"/>
    </row>
    <row r="3013" spans="1:50" x14ac:dyDescent="0.25">
      <c r="A3013" s="1"/>
      <c r="H3013" s="1"/>
      <c r="O3013" s="1"/>
      <c r="V3013" s="1"/>
      <c r="AC3013" s="1"/>
      <c r="AJ3013" s="1"/>
      <c r="AQ3013" s="1"/>
      <c r="AX3013" s="1"/>
    </row>
    <row r="3014" spans="1:50" x14ac:dyDescent="0.25">
      <c r="A3014" s="1"/>
      <c r="H3014" s="1"/>
      <c r="O3014" s="1"/>
      <c r="V3014" s="1"/>
      <c r="AC3014" s="1"/>
      <c r="AJ3014" s="1"/>
      <c r="AQ3014" s="1"/>
      <c r="AX3014" s="1"/>
    </row>
    <row r="3015" spans="1:50" x14ac:dyDescent="0.25">
      <c r="A3015" s="1"/>
      <c r="H3015" s="1"/>
      <c r="O3015" s="1"/>
      <c r="V3015" s="1"/>
      <c r="AC3015" s="1"/>
      <c r="AJ3015" s="1"/>
      <c r="AQ3015" s="1"/>
      <c r="AX3015" s="1"/>
    </row>
    <row r="3016" spans="1:50" x14ac:dyDescent="0.25">
      <c r="A3016" s="1"/>
      <c r="H3016" s="1"/>
      <c r="O3016" s="1"/>
      <c r="V3016" s="1"/>
      <c r="AC3016" s="1"/>
      <c r="AJ3016" s="1"/>
      <c r="AQ3016" s="1"/>
      <c r="AX3016" s="1"/>
    </row>
    <row r="3017" spans="1:50" x14ac:dyDescent="0.25">
      <c r="A3017" s="1"/>
      <c r="H3017" s="1"/>
      <c r="O3017" s="1"/>
      <c r="V3017" s="1"/>
      <c r="AC3017" s="1"/>
      <c r="AJ3017" s="1"/>
      <c r="AQ3017" s="1"/>
      <c r="AX3017" s="1"/>
    </row>
    <row r="3018" spans="1:50" x14ac:dyDescent="0.25">
      <c r="A3018" s="1"/>
      <c r="H3018" s="1"/>
      <c r="O3018" s="1"/>
      <c r="V3018" s="1"/>
      <c r="AC3018" s="1"/>
      <c r="AJ3018" s="1"/>
      <c r="AQ3018" s="1"/>
      <c r="AX3018" s="1"/>
    </row>
    <row r="3019" spans="1:50" x14ac:dyDescent="0.25">
      <c r="A3019" s="1"/>
      <c r="H3019" s="1"/>
      <c r="O3019" s="1"/>
      <c r="V3019" s="1"/>
      <c r="AC3019" s="1"/>
      <c r="AJ3019" s="1"/>
      <c r="AQ3019" s="1"/>
      <c r="AX3019" s="1"/>
    </row>
    <row r="3020" spans="1:50" x14ac:dyDescent="0.25">
      <c r="A3020" s="1"/>
      <c r="H3020" s="1"/>
      <c r="O3020" s="1"/>
      <c r="V3020" s="1"/>
      <c r="AC3020" s="1"/>
      <c r="AJ3020" s="1"/>
      <c r="AQ3020" s="1"/>
      <c r="AX3020" s="1"/>
    </row>
    <row r="3021" spans="1:50" x14ac:dyDescent="0.25">
      <c r="A3021" s="1"/>
      <c r="H3021" s="1"/>
      <c r="O3021" s="1"/>
      <c r="V3021" s="1"/>
      <c r="AC3021" s="1"/>
      <c r="AJ3021" s="1"/>
      <c r="AQ3021" s="1"/>
      <c r="AX3021" s="1"/>
    </row>
    <row r="3022" spans="1:50" x14ac:dyDescent="0.25">
      <c r="A3022" s="1"/>
      <c r="H3022" s="1"/>
      <c r="O3022" s="1"/>
      <c r="V3022" s="1"/>
      <c r="AC3022" s="1"/>
      <c r="AJ3022" s="1"/>
      <c r="AQ3022" s="1"/>
      <c r="AX3022" s="1"/>
    </row>
    <row r="3023" spans="1:50" x14ac:dyDescent="0.25">
      <c r="A3023" s="1"/>
      <c r="H3023" s="1"/>
      <c r="O3023" s="1"/>
      <c r="V3023" s="1"/>
      <c r="AC3023" s="1"/>
      <c r="AJ3023" s="1"/>
      <c r="AQ3023" s="1"/>
      <c r="AX3023" s="1"/>
    </row>
    <row r="3024" spans="1:50" x14ac:dyDescent="0.25">
      <c r="A3024" s="1"/>
      <c r="H3024" s="1"/>
      <c r="O3024" s="1"/>
      <c r="V3024" s="1"/>
      <c r="AC3024" s="1"/>
      <c r="AJ3024" s="1"/>
      <c r="AQ3024" s="1"/>
      <c r="AX3024" s="1"/>
    </row>
    <row r="3025" spans="1:50" x14ac:dyDescent="0.25">
      <c r="A3025" s="1"/>
      <c r="H3025" s="1"/>
      <c r="O3025" s="1"/>
      <c r="V3025" s="1"/>
      <c r="AC3025" s="1"/>
      <c r="AJ3025" s="1"/>
      <c r="AQ3025" s="1"/>
      <c r="AX3025" s="1"/>
    </row>
    <row r="3026" spans="1:50" x14ac:dyDescent="0.25">
      <c r="A3026" s="1"/>
      <c r="H3026" s="1"/>
      <c r="O3026" s="1"/>
      <c r="V3026" s="1"/>
      <c r="AC3026" s="1"/>
      <c r="AJ3026" s="1"/>
      <c r="AQ3026" s="1"/>
      <c r="AX3026" s="1"/>
    </row>
    <row r="3027" spans="1:50" x14ac:dyDescent="0.25">
      <c r="A3027" s="1"/>
      <c r="H3027" s="1"/>
      <c r="O3027" s="1"/>
      <c r="V3027" s="1"/>
      <c r="AC3027" s="1"/>
      <c r="AJ3027" s="1"/>
      <c r="AQ3027" s="1"/>
      <c r="AX3027" s="1"/>
    </row>
    <row r="3028" spans="1:50" x14ac:dyDescent="0.25">
      <c r="A3028" s="1"/>
      <c r="H3028" s="1"/>
      <c r="O3028" s="1"/>
      <c r="V3028" s="1"/>
      <c r="AC3028" s="1"/>
      <c r="AJ3028" s="1"/>
      <c r="AQ3028" s="1"/>
      <c r="AX3028" s="1"/>
    </row>
    <row r="3029" spans="1:50" x14ac:dyDescent="0.25">
      <c r="A3029" s="1"/>
      <c r="H3029" s="1"/>
      <c r="O3029" s="1"/>
      <c r="V3029" s="1"/>
      <c r="AC3029" s="1"/>
      <c r="AJ3029" s="1"/>
      <c r="AQ3029" s="1"/>
      <c r="AX3029" s="1"/>
    </row>
    <row r="3030" spans="1:50" x14ac:dyDescent="0.25">
      <c r="A3030" s="1"/>
      <c r="H3030" s="1"/>
      <c r="O3030" s="1"/>
      <c r="V3030" s="1"/>
      <c r="AC3030" s="1"/>
      <c r="AJ3030" s="1"/>
      <c r="AQ3030" s="1"/>
      <c r="AX3030" s="1"/>
    </row>
    <row r="3031" spans="1:50" x14ac:dyDescent="0.25">
      <c r="A3031" s="1"/>
      <c r="H3031" s="1"/>
      <c r="O3031" s="1"/>
      <c r="V3031" s="1"/>
      <c r="AC3031" s="1"/>
      <c r="AJ3031" s="1"/>
      <c r="AQ3031" s="1"/>
      <c r="AX3031" s="1"/>
    </row>
    <row r="3032" spans="1:50" x14ac:dyDescent="0.25">
      <c r="A3032" s="1"/>
      <c r="H3032" s="1"/>
      <c r="O3032" s="1"/>
      <c r="V3032" s="1"/>
      <c r="AC3032" s="1"/>
      <c r="AJ3032" s="1"/>
      <c r="AQ3032" s="1"/>
      <c r="AX3032" s="1"/>
    </row>
    <row r="3033" spans="1:50" x14ac:dyDescent="0.25">
      <c r="A3033" s="1"/>
      <c r="H3033" s="1"/>
      <c r="O3033" s="1"/>
      <c r="V3033" s="1"/>
      <c r="AC3033" s="1"/>
      <c r="AJ3033" s="1"/>
      <c r="AQ3033" s="1"/>
      <c r="AX3033" s="1"/>
    </row>
    <row r="3034" spans="1:50" x14ac:dyDescent="0.25">
      <c r="A3034" s="1"/>
      <c r="H3034" s="1"/>
      <c r="O3034" s="1"/>
      <c r="V3034" s="1"/>
      <c r="AC3034" s="1"/>
      <c r="AJ3034" s="1"/>
      <c r="AQ3034" s="1"/>
      <c r="AX3034" s="1"/>
    </row>
    <row r="3035" spans="1:50" x14ac:dyDescent="0.25">
      <c r="A3035" s="1"/>
      <c r="H3035" s="1"/>
      <c r="O3035" s="1"/>
      <c r="V3035" s="1"/>
      <c r="AC3035" s="1"/>
      <c r="AJ3035" s="1"/>
      <c r="AQ3035" s="1"/>
      <c r="AX3035" s="1"/>
    </row>
    <row r="3036" spans="1:50" x14ac:dyDescent="0.25">
      <c r="A3036" s="1"/>
      <c r="H3036" s="1"/>
      <c r="O3036" s="1"/>
      <c r="V3036" s="1"/>
      <c r="AC3036" s="1"/>
      <c r="AJ3036" s="1"/>
      <c r="AQ3036" s="1"/>
      <c r="AX3036" s="1"/>
    </row>
    <row r="3037" spans="1:50" x14ac:dyDescent="0.25">
      <c r="A3037" s="1"/>
      <c r="H3037" s="1"/>
      <c r="O3037" s="1"/>
      <c r="V3037" s="1"/>
      <c r="AC3037" s="1"/>
      <c r="AJ3037" s="1"/>
      <c r="AQ3037" s="1"/>
      <c r="AX3037" s="1"/>
    </row>
    <row r="3038" spans="1:50" x14ac:dyDescent="0.25">
      <c r="A3038" s="1"/>
      <c r="H3038" s="1"/>
      <c r="O3038" s="1"/>
      <c r="V3038" s="1"/>
      <c r="AC3038" s="1"/>
      <c r="AJ3038" s="1"/>
      <c r="AQ3038" s="1"/>
      <c r="AX3038" s="1"/>
    </row>
    <row r="3039" spans="1:50" x14ac:dyDescent="0.25">
      <c r="A3039" s="1"/>
      <c r="H3039" s="1"/>
      <c r="O3039" s="1"/>
      <c r="V3039" s="1"/>
      <c r="AC3039" s="1"/>
      <c r="AJ3039" s="1"/>
      <c r="AQ3039" s="1"/>
      <c r="AX3039" s="1"/>
    </row>
    <row r="3040" spans="1:50" x14ac:dyDescent="0.25">
      <c r="A3040" s="1"/>
      <c r="H3040" s="1"/>
      <c r="O3040" s="1"/>
      <c r="V3040" s="1"/>
      <c r="AC3040" s="1"/>
      <c r="AJ3040" s="1"/>
      <c r="AQ3040" s="1"/>
      <c r="AX3040" s="1"/>
    </row>
    <row r="3041" spans="1:50" x14ac:dyDescent="0.25">
      <c r="A3041" s="1"/>
      <c r="H3041" s="1"/>
      <c r="O3041" s="1"/>
      <c r="V3041" s="1"/>
      <c r="AC3041" s="1"/>
      <c r="AJ3041" s="1"/>
      <c r="AQ3041" s="1"/>
      <c r="AX3041" s="1"/>
    </row>
    <row r="3042" spans="1:50" x14ac:dyDescent="0.25">
      <c r="A3042" s="1"/>
      <c r="H3042" s="1"/>
      <c r="O3042" s="1"/>
      <c r="V3042" s="1"/>
      <c r="AC3042" s="1"/>
      <c r="AJ3042" s="1"/>
      <c r="AQ3042" s="1"/>
      <c r="AX3042" s="1"/>
    </row>
    <row r="3043" spans="1:50" x14ac:dyDescent="0.25">
      <c r="A3043" s="1"/>
      <c r="H3043" s="1"/>
      <c r="O3043" s="1"/>
      <c r="V3043" s="1"/>
      <c r="AC3043" s="1"/>
      <c r="AJ3043" s="1"/>
      <c r="AQ3043" s="1"/>
      <c r="AX3043" s="1"/>
    </row>
    <row r="3044" spans="1:50" x14ac:dyDescent="0.25">
      <c r="A3044" s="1"/>
      <c r="H3044" s="1"/>
      <c r="O3044" s="1"/>
      <c r="V3044" s="1"/>
      <c r="AC3044" s="1"/>
      <c r="AJ3044" s="1"/>
      <c r="AQ3044" s="1"/>
      <c r="AX3044" s="1"/>
    </row>
    <row r="3045" spans="1:50" x14ac:dyDescent="0.25">
      <c r="A3045" s="1"/>
      <c r="H3045" s="1"/>
      <c r="O3045" s="1"/>
      <c r="V3045" s="1"/>
      <c r="AC3045" s="1"/>
      <c r="AJ3045" s="1"/>
      <c r="AQ3045" s="1"/>
      <c r="AX3045" s="1"/>
    </row>
    <row r="3046" spans="1:50" x14ac:dyDescent="0.25">
      <c r="A3046" s="1"/>
      <c r="H3046" s="1"/>
      <c r="O3046" s="1"/>
      <c r="V3046" s="1"/>
      <c r="AC3046" s="1"/>
      <c r="AJ3046" s="1"/>
      <c r="AQ3046" s="1"/>
      <c r="AX3046" s="1"/>
    </row>
    <row r="3047" spans="1:50" x14ac:dyDescent="0.25">
      <c r="A3047" s="1"/>
      <c r="H3047" s="1"/>
      <c r="O3047" s="1"/>
      <c r="V3047" s="1"/>
      <c r="AC3047" s="1"/>
      <c r="AJ3047" s="1"/>
      <c r="AQ3047" s="1"/>
      <c r="AX3047" s="1"/>
    </row>
    <row r="3048" spans="1:50" x14ac:dyDescent="0.25">
      <c r="A3048" s="1"/>
      <c r="H3048" s="1"/>
      <c r="O3048" s="1"/>
      <c r="V3048" s="1"/>
      <c r="AC3048" s="1"/>
      <c r="AJ3048" s="1"/>
      <c r="AQ3048" s="1"/>
      <c r="AX3048" s="1"/>
    </row>
    <row r="3049" spans="1:50" x14ac:dyDescent="0.25">
      <c r="A3049" s="1"/>
      <c r="H3049" s="1"/>
      <c r="O3049" s="1"/>
      <c r="V3049" s="1"/>
      <c r="AC3049" s="1"/>
      <c r="AJ3049" s="1"/>
      <c r="AQ3049" s="1"/>
      <c r="AX3049" s="1"/>
    </row>
    <row r="3050" spans="1:50" x14ac:dyDescent="0.25">
      <c r="A3050" s="1"/>
      <c r="H3050" s="1"/>
      <c r="O3050" s="1"/>
      <c r="V3050" s="1"/>
      <c r="AC3050" s="1"/>
      <c r="AJ3050" s="1"/>
      <c r="AQ3050" s="1"/>
      <c r="AX3050" s="1"/>
    </row>
    <row r="3051" spans="1:50" x14ac:dyDescent="0.25">
      <c r="A3051" s="1"/>
      <c r="H3051" s="1"/>
      <c r="O3051" s="1"/>
      <c r="V3051" s="1"/>
      <c r="AC3051" s="1"/>
      <c r="AJ3051" s="1"/>
      <c r="AQ3051" s="1"/>
      <c r="AX3051" s="1"/>
    </row>
    <row r="3052" spans="1:50" x14ac:dyDescent="0.25">
      <c r="A3052" s="1"/>
      <c r="H3052" s="1"/>
      <c r="O3052" s="1"/>
      <c r="V3052" s="1"/>
      <c r="AC3052" s="1"/>
      <c r="AJ3052" s="1"/>
      <c r="AQ3052" s="1"/>
      <c r="AX3052" s="1"/>
    </row>
    <row r="3053" spans="1:50" x14ac:dyDescent="0.25">
      <c r="A3053" s="1"/>
      <c r="H3053" s="1"/>
      <c r="O3053" s="1"/>
      <c r="V3053" s="1"/>
      <c r="AC3053" s="1"/>
      <c r="AJ3053" s="1"/>
      <c r="AQ3053" s="1"/>
      <c r="AX3053" s="1"/>
    </row>
    <row r="3054" spans="1:50" x14ac:dyDescent="0.25">
      <c r="A3054" s="1"/>
      <c r="H3054" s="1"/>
      <c r="O3054" s="1"/>
      <c r="V3054" s="1"/>
      <c r="AC3054" s="1"/>
      <c r="AJ3054" s="1"/>
      <c r="AQ3054" s="1"/>
      <c r="AX3054" s="1"/>
    </row>
    <row r="3055" spans="1:50" x14ac:dyDescent="0.25">
      <c r="A3055" s="1"/>
      <c r="H3055" s="1"/>
      <c r="O3055" s="1"/>
      <c r="V3055" s="1"/>
      <c r="AC3055" s="1"/>
      <c r="AJ3055" s="1"/>
      <c r="AQ3055" s="1"/>
      <c r="AX3055" s="1"/>
    </row>
    <row r="3056" spans="1:50" x14ac:dyDescent="0.25">
      <c r="A3056" s="1"/>
      <c r="H3056" s="1"/>
      <c r="O3056" s="1"/>
      <c r="V3056" s="1"/>
      <c r="AC3056" s="1"/>
      <c r="AJ3056" s="1"/>
      <c r="AQ3056" s="1"/>
      <c r="AX3056" s="1"/>
    </row>
    <row r="3057" spans="1:50" x14ac:dyDescent="0.25">
      <c r="A3057" s="1"/>
      <c r="H3057" s="1"/>
      <c r="O3057" s="1"/>
      <c r="V3057" s="1"/>
      <c r="AC3057" s="1"/>
      <c r="AJ3057" s="1"/>
      <c r="AQ3057" s="1"/>
      <c r="AX3057" s="1"/>
    </row>
    <row r="3058" spans="1:50" x14ac:dyDescent="0.25">
      <c r="A3058" s="1"/>
      <c r="H3058" s="1"/>
      <c r="O3058" s="1"/>
      <c r="V3058" s="1"/>
      <c r="AC3058" s="1"/>
      <c r="AJ3058" s="1"/>
      <c r="AQ3058" s="1"/>
      <c r="AX3058" s="1"/>
    </row>
    <row r="3059" spans="1:50" x14ac:dyDescent="0.25">
      <c r="A3059" s="1"/>
      <c r="H3059" s="1"/>
      <c r="O3059" s="1"/>
      <c r="V3059" s="1"/>
      <c r="AC3059" s="1"/>
      <c r="AJ3059" s="1"/>
      <c r="AQ3059" s="1"/>
      <c r="AX3059" s="1"/>
    </row>
    <row r="3060" spans="1:50" x14ac:dyDescent="0.25">
      <c r="A3060" s="1"/>
      <c r="H3060" s="1"/>
      <c r="O3060" s="1"/>
      <c r="V3060" s="1"/>
      <c r="AC3060" s="1"/>
      <c r="AJ3060" s="1"/>
      <c r="AQ3060" s="1"/>
      <c r="AX3060" s="1"/>
    </row>
    <row r="3061" spans="1:50" x14ac:dyDescent="0.25">
      <c r="A3061" s="1"/>
      <c r="H3061" s="1"/>
      <c r="O3061" s="1"/>
      <c r="V3061" s="1"/>
      <c r="AC3061" s="1"/>
      <c r="AJ3061" s="1"/>
      <c r="AQ3061" s="1"/>
      <c r="AX3061" s="1"/>
    </row>
    <row r="3062" spans="1:50" x14ac:dyDescent="0.25">
      <c r="A3062" s="1"/>
      <c r="H3062" s="1"/>
      <c r="O3062" s="1"/>
      <c r="V3062" s="1"/>
      <c r="AC3062" s="1"/>
      <c r="AJ3062" s="1"/>
      <c r="AQ3062" s="1"/>
      <c r="AX3062" s="1"/>
    </row>
    <row r="3063" spans="1:50" x14ac:dyDescent="0.25">
      <c r="A3063" s="1"/>
      <c r="H3063" s="1"/>
      <c r="O3063" s="1"/>
      <c r="V3063" s="1"/>
      <c r="AC3063" s="1"/>
      <c r="AJ3063" s="1"/>
      <c r="AQ3063" s="1"/>
      <c r="AX3063" s="1"/>
    </row>
    <row r="3064" spans="1:50" x14ac:dyDescent="0.25">
      <c r="A3064" s="1"/>
      <c r="H3064" s="1"/>
      <c r="O3064" s="1"/>
      <c r="V3064" s="1"/>
      <c r="AC3064" s="1"/>
      <c r="AJ3064" s="1"/>
      <c r="AQ3064" s="1"/>
      <c r="AX3064" s="1"/>
    </row>
    <row r="3065" spans="1:50" x14ac:dyDescent="0.25">
      <c r="A3065" s="1"/>
      <c r="H3065" s="1"/>
      <c r="O3065" s="1"/>
      <c r="V3065" s="1"/>
      <c r="AC3065" s="1"/>
      <c r="AJ3065" s="1"/>
      <c r="AQ3065" s="1"/>
      <c r="AX3065" s="1"/>
    </row>
    <row r="3066" spans="1:50" x14ac:dyDescent="0.25">
      <c r="A3066" s="1"/>
      <c r="H3066" s="1"/>
      <c r="O3066" s="1"/>
      <c r="V3066" s="1"/>
      <c r="AC3066" s="1"/>
      <c r="AJ3066" s="1"/>
      <c r="AQ3066" s="1"/>
      <c r="AX3066" s="1"/>
    </row>
    <row r="3067" spans="1:50" x14ac:dyDescent="0.25">
      <c r="A3067" s="1"/>
      <c r="H3067" s="1"/>
      <c r="O3067" s="1"/>
      <c r="V3067" s="1"/>
      <c r="AC3067" s="1"/>
      <c r="AJ3067" s="1"/>
      <c r="AQ3067" s="1"/>
      <c r="AX3067" s="1"/>
    </row>
    <row r="3068" spans="1:50" x14ac:dyDescent="0.25">
      <c r="A3068" s="1"/>
      <c r="H3068" s="1"/>
      <c r="O3068" s="1"/>
      <c r="V3068" s="1"/>
      <c r="AC3068" s="1"/>
      <c r="AJ3068" s="1"/>
      <c r="AQ3068" s="1"/>
      <c r="AX3068" s="1"/>
    </row>
    <row r="3069" spans="1:50" x14ac:dyDescent="0.25">
      <c r="A3069" s="1"/>
      <c r="H3069" s="1"/>
      <c r="O3069" s="1"/>
      <c r="V3069" s="1"/>
      <c r="AC3069" s="1"/>
      <c r="AJ3069" s="1"/>
      <c r="AQ3069" s="1"/>
      <c r="AX3069" s="1"/>
    </row>
    <row r="3070" spans="1:50" x14ac:dyDescent="0.25">
      <c r="A3070" s="1"/>
      <c r="H3070" s="1"/>
      <c r="O3070" s="1"/>
      <c r="V3070" s="1"/>
      <c r="AC3070" s="1"/>
      <c r="AJ3070" s="1"/>
      <c r="AQ3070" s="1"/>
      <c r="AX3070" s="1"/>
    </row>
    <row r="3071" spans="1:50" x14ac:dyDescent="0.25">
      <c r="A3071" s="1"/>
      <c r="H3071" s="1"/>
      <c r="O3071" s="1"/>
      <c r="V3071" s="1"/>
      <c r="AC3071" s="1"/>
      <c r="AJ3071" s="1"/>
      <c r="AQ3071" s="1"/>
      <c r="AX3071" s="1"/>
    </row>
    <row r="3072" spans="1:50" x14ac:dyDescent="0.25">
      <c r="A3072" s="1"/>
      <c r="H3072" s="1"/>
      <c r="O3072" s="1"/>
      <c r="V3072" s="1"/>
      <c r="AC3072" s="1"/>
      <c r="AJ3072" s="1"/>
      <c r="AQ3072" s="1"/>
      <c r="AX3072" s="1"/>
    </row>
    <row r="3073" spans="1:50" x14ac:dyDescent="0.25">
      <c r="A3073" s="1"/>
      <c r="H3073" s="1"/>
      <c r="O3073" s="1"/>
      <c r="V3073" s="1"/>
      <c r="AC3073" s="1"/>
      <c r="AJ3073" s="1"/>
      <c r="AQ3073" s="1"/>
      <c r="AX3073" s="1"/>
    </row>
    <row r="3074" spans="1:50" x14ac:dyDescent="0.25">
      <c r="A3074" s="1"/>
      <c r="H3074" s="1"/>
      <c r="O3074" s="1"/>
      <c r="V3074" s="1"/>
      <c r="AC3074" s="1"/>
      <c r="AJ3074" s="1"/>
      <c r="AQ3074" s="1"/>
      <c r="AX3074" s="1"/>
    </row>
    <row r="3075" spans="1:50" x14ac:dyDescent="0.25">
      <c r="A3075" s="1"/>
      <c r="H3075" s="1"/>
      <c r="O3075" s="1"/>
      <c r="V3075" s="1"/>
      <c r="AC3075" s="1"/>
      <c r="AJ3075" s="1"/>
      <c r="AQ3075" s="1"/>
      <c r="AX3075" s="1"/>
    </row>
    <row r="3076" spans="1:50" x14ac:dyDescent="0.25">
      <c r="A3076" s="1"/>
      <c r="H3076" s="1"/>
      <c r="O3076" s="1"/>
      <c r="V3076" s="1"/>
      <c r="AC3076" s="1"/>
      <c r="AJ3076" s="1"/>
      <c r="AQ3076" s="1"/>
      <c r="AX3076" s="1"/>
    </row>
    <row r="3077" spans="1:50" x14ac:dyDescent="0.25">
      <c r="A3077" s="1"/>
      <c r="H3077" s="1"/>
      <c r="O3077" s="1"/>
      <c r="V3077" s="1"/>
      <c r="AC3077" s="1"/>
      <c r="AJ3077" s="1"/>
      <c r="AQ3077" s="1"/>
      <c r="AX3077" s="1"/>
    </row>
    <row r="3078" spans="1:50" x14ac:dyDescent="0.25">
      <c r="A3078" s="1"/>
      <c r="H3078" s="1"/>
      <c r="O3078" s="1"/>
      <c r="V3078" s="1"/>
      <c r="AC3078" s="1"/>
      <c r="AJ3078" s="1"/>
      <c r="AQ3078" s="1"/>
      <c r="AX3078" s="1"/>
    </row>
    <row r="3079" spans="1:50" x14ac:dyDescent="0.25">
      <c r="A3079" s="1"/>
      <c r="H3079" s="1"/>
      <c r="O3079" s="1"/>
      <c r="V3079" s="1"/>
      <c r="AC3079" s="1"/>
      <c r="AJ3079" s="1"/>
      <c r="AQ3079" s="1"/>
      <c r="AX3079" s="1"/>
    </row>
    <row r="3080" spans="1:50" x14ac:dyDescent="0.25">
      <c r="A3080" s="1"/>
      <c r="H3080" s="1"/>
      <c r="O3080" s="1"/>
      <c r="V3080" s="1"/>
      <c r="AC3080" s="1"/>
      <c r="AJ3080" s="1"/>
      <c r="AQ3080" s="1"/>
      <c r="AX3080" s="1"/>
    </row>
    <row r="3081" spans="1:50" x14ac:dyDescent="0.25">
      <c r="A3081" s="1"/>
      <c r="H3081" s="1"/>
      <c r="O3081" s="1"/>
      <c r="V3081" s="1"/>
      <c r="AC3081" s="1"/>
      <c r="AJ3081" s="1"/>
      <c r="AQ3081" s="1"/>
      <c r="AX3081" s="1"/>
    </row>
    <row r="3082" spans="1:50" x14ac:dyDescent="0.25">
      <c r="A3082" s="1"/>
      <c r="H3082" s="1"/>
      <c r="O3082" s="1"/>
      <c r="V3082" s="1"/>
      <c r="AC3082" s="1"/>
      <c r="AJ3082" s="1"/>
      <c r="AQ3082" s="1"/>
      <c r="AX3082" s="1"/>
    </row>
    <row r="3083" spans="1:50" x14ac:dyDescent="0.25">
      <c r="A3083" s="1"/>
      <c r="H3083" s="1"/>
      <c r="O3083" s="1"/>
      <c r="V3083" s="1"/>
      <c r="AC3083" s="1"/>
      <c r="AJ3083" s="1"/>
      <c r="AQ3083" s="1"/>
      <c r="AX3083" s="1"/>
    </row>
    <row r="3084" spans="1:50" x14ac:dyDescent="0.25">
      <c r="A3084" s="1"/>
      <c r="H3084" s="1"/>
      <c r="O3084" s="1"/>
      <c r="V3084" s="1"/>
      <c r="AC3084" s="1"/>
      <c r="AJ3084" s="1"/>
      <c r="AQ3084" s="1"/>
      <c r="AX3084" s="1"/>
    </row>
    <row r="3085" spans="1:50" x14ac:dyDescent="0.25">
      <c r="A3085" s="1"/>
      <c r="H3085" s="1"/>
      <c r="O3085" s="1"/>
      <c r="V3085" s="1"/>
      <c r="AC3085" s="1"/>
      <c r="AJ3085" s="1"/>
      <c r="AQ3085" s="1"/>
      <c r="AX3085" s="1"/>
    </row>
    <row r="3086" spans="1:50" x14ac:dyDescent="0.25">
      <c r="A3086" s="1"/>
      <c r="H3086" s="1"/>
      <c r="O3086" s="1"/>
      <c r="V3086" s="1"/>
      <c r="AC3086" s="1"/>
      <c r="AJ3086" s="1"/>
      <c r="AQ3086" s="1"/>
      <c r="AX3086" s="1"/>
    </row>
    <row r="3087" spans="1:50" x14ac:dyDescent="0.25">
      <c r="A3087" s="1"/>
      <c r="H3087" s="1"/>
      <c r="O3087" s="1"/>
      <c r="V3087" s="1"/>
      <c r="AC3087" s="1"/>
      <c r="AJ3087" s="1"/>
      <c r="AQ3087" s="1"/>
      <c r="AX3087" s="1"/>
    </row>
    <row r="3088" spans="1:50" x14ac:dyDescent="0.25">
      <c r="A3088" s="1"/>
      <c r="H3088" s="1"/>
      <c r="O3088" s="1"/>
      <c r="V3088" s="1"/>
      <c r="AC3088" s="1"/>
      <c r="AJ3088" s="1"/>
      <c r="AQ3088" s="1"/>
      <c r="AX3088" s="1"/>
    </row>
    <row r="3089" spans="1:50" x14ac:dyDescent="0.25">
      <c r="A3089" s="1"/>
      <c r="H3089" s="1"/>
      <c r="O3089" s="1"/>
      <c r="V3089" s="1"/>
      <c r="AC3089" s="1"/>
      <c r="AJ3089" s="1"/>
      <c r="AQ3089" s="1"/>
      <c r="AX3089" s="1"/>
    </row>
    <row r="3090" spans="1:50" x14ac:dyDescent="0.25">
      <c r="A3090" s="1"/>
      <c r="H3090" s="1"/>
      <c r="O3090" s="1"/>
      <c r="V3090" s="1"/>
      <c r="AC3090" s="1"/>
      <c r="AJ3090" s="1"/>
      <c r="AQ3090" s="1"/>
      <c r="AX3090" s="1"/>
    </row>
    <row r="3091" spans="1:50" x14ac:dyDescent="0.25">
      <c r="A3091" s="1"/>
      <c r="H3091" s="1"/>
      <c r="O3091" s="1"/>
      <c r="V3091" s="1"/>
      <c r="AC3091" s="1"/>
      <c r="AJ3091" s="1"/>
      <c r="AQ3091" s="1"/>
      <c r="AX3091" s="1"/>
    </row>
    <row r="3092" spans="1:50" x14ac:dyDescent="0.25">
      <c r="A3092" s="1"/>
      <c r="H3092" s="1"/>
      <c r="O3092" s="1"/>
      <c r="V3092" s="1"/>
      <c r="AC3092" s="1"/>
      <c r="AJ3092" s="1"/>
      <c r="AQ3092" s="1"/>
      <c r="AX3092" s="1"/>
    </row>
    <row r="3093" spans="1:50" x14ac:dyDescent="0.25">
      <c r="A3093" s="1"/>
      <c r="H3093" s="1"/>
      <c r="O3093" s="1"/>
      <c r="V3093" s="1"/>
      <c r="AC3093" s="1"/>
      <c r="AJ3093" s="1"/>
      <c r="AQ3093" s="1"/>
      <c r="AX3093" s="1"/>
    </row>
    <row r="3094" spans="1:50" x14ac:dyDescent="0.25">
      <c r="A3094" s="1"/>
      <c r="H3094" s="1"/>
      <c r="O3094" s="1"/>
      <c r="V3094" s="1"/>
      <c r="AC3094" s="1"/>
      <c r="AJ3094" s="1"/>
      <c r="AQ3094" s="1"/>
      <c r="AX3094" s="1"/>
    </row>
    <row r="3095" spans="1:50" x14ac:dyDescent="0.25">
      <c r="A3095" s="1"/>
      <c r="H3095" s="1"/>
      <c r="O3095" s="1"/>
      <c r="V3095" s="1"/>
      <c r="AC3095" s="1"/>
      <c r="AJ3095" s="1"/>
      <c r="AQ3095" s="1"/>
      <c r="AX3095" s="1"/>
    </row>
    <row r="3096" spans="1:50" x14ac:dyDescent="0.25">
      <c r="A3096" s="1"/>
      <c r="H3096" s="1"/>
      <c r="O3096" s="1"/>
      <c r="V3096" s="1"/>
      <c r="AC3096" s="1"/>
      <c r="AJ3096" s="1"/>
      <c r="AQ3096" s="1"/>
      <c r="AX3096" s="1"/>
    </row>
    <row r="3097" spans="1:50" x14ac:dyDescent="0.25">
      <c r="A3097" s="1"/>
      <c r="H3097" s="1"/>
      <c r="O3097" s="1"/>
      <c r="V3097" s="1"/>
      <c r="AC3097" s="1"/>
      <c r="AJ3097" s="1"/>
      <c r="AQ3097" s="1"/>
      <c r="AX3097" s="1"/>
    </row>
    <row r="3098" spans="1:50" x14ac:dyDescent="0.25">
      <c r="A3098" s="1"/>
      <c r="H3098" s="1"/>
      <c r="O3098" s="1"/>
      <c r="V3098" s="1"/>
      <c r="AC3098" s="1"/>
      <c r="AJ3098" s="1"/>
      <c r="AQ3098" s="1"/>
      <c r="AX3098" s="1"/>
    </row>
    <row r="3099" spans="1:50" x14ac:dyDescent="0.25">
      <c r="A3099" s="1"/>
      <c r="H3099" s="1"/>
      <c r="O3099" s="1"/>
      <c r="V3099" s="1"/>
      <c r="AC3099" s="1"/>
      <c r="AJ3099" s="1"/>
      <c r="AQ3099" s="1"/>
      <c r="AX3099" s="1"/>
    </row>
    <row r="3100" spans="1:50" x14ac:dyDescent="0.25">
      <c r="A3100" s="1"/>
      <c r="H3100" s="1"/>
      <c r="O3100" s="1"/>
      <c r="V3100" s="1"/>
      <c r="AC3100" s="1"/>
      <c r="AJ3100" s="1"/>
      <c r="AQ3100" s="1"/>
      <c r="AX3100" s="1"/>
    </row>
    <row r="3101" spans="1:50" x14ac:dyDescent="0.25">
      <c r="A3101" s="1"/>
      <c r="H3101" s="1"/>
      <c r="O3101" s="1"/>
      <c r="V3101" s="1"/>
      <c r="AC3101" s="1"/>
      <c r="AJ3101" s="1"/>
      <c r="AQ3101" s="1"/>
      <c r="AX3101" s="1"/>
    </row>
    <row r="3102" spans="1:50" x14ac:dyDescent="0.25">
      <c r="A3102" s="1"/>
      <c r="H3102" s="1"/>
      <c r="O3102" s="1"/>
      <c r="V3102" s="1"/>
      <c r="AC3102" s="1"/>
      <c r="AJ3102" s="1"/>
      <c r="AQ3102" s="1"/>
      <c r="AX3102" s="1"/>
    </row>
    <row r="3103" spans="1:50" x14ac:dyDescent="0.25">
      <c r="A3103" s="1"/>
      <c r="H3103" s="1"/>
      <c r="O3103" s="1"/>
      <c r="V3103" s="1"/>
      <c r="AC3103" s="1"/>
      <c r="AJ3103" s="1"/>
      <c r="AQ3103" s="1"/>
      <c r="AX3103" s="1"/>
    </row>
    <row r="3104" spans="1:50" x14ac:dyDescent="0.25">
      <c r="A3104" s="1"/>
      <c r="H3104" s="1"/>
      <c r="O3104" s="1"/>
      <c r="V3104" s="1"/>
      <c r="AC3104" s="1"/>
      <c r="AJ3104" s="1"/>
      <c r="AQ3104" s="1"/>
      <c r="AX3104" s="1"/>
    </row>
    <row r="3105" spans="1:50" x14ac:dyDescent="0.25">
      <c r="A3105" s="1"/>
      <c r="H3105" s="1"/>
      <c r="O3105" s="1"/>
      <c r="V3105" s="1"/>
      <c r="AC3105" s="1"/>
      <c r="AJ3105" s="1"/>
      <c r="AQ3105" s="1"/>
      <c r="AX3105" s="1"/>
    </row>
    <row r="3106" spans="1:50" x14ac:dyDescent="0.25">
      <c r="A3106" s="1"/>
      <c r="H3106" s="1"/>
      <c r="O3106" s="1"/>
      <c r="V3106" s="1"/>
      <c r="AC3106" s="1"/>
      <c r="AJ3106" s="1"/>
      <c r="AQ3106" s="1"/>
      <c r="AX3106" s="1"/>
    </row>
    <row r="3107" spans="1:50" x14ac:dyDescent="0.25">
      <c r="A3107" s="1"/>
      <c r="H3107" s="1"/>
      <c r="O3107" s="1"/>
      <c r="V3107" s="1"/>
      <c r="AC3107" s="1"/>
      <c r="AJ3107" s="1"/>
      <c r="AQ3107" s="1"/>
      <c r="AX3107" s="1"/>
    </row>
    <row r="3108" spans="1:50" x14ac:dyDescent="0.25">
      <c r="A3108" s="1"/>
      <c r="H3108" s="1"/>
      <c r="O3108" s="1"/>
      <c r="V3108" s="1"/>
      <c r="AC3108" s="1"/>
      <c r="AJ3108" s="1"/>
      <c r="AQ3108" s="1"/>
      <c r="AX3108" s="1"/>
    </row>
    <row r="3109" spans="1:50" x14ac:dyDescent="0.25">
      <c r="A3109" s="1"/>
      <c r="H3109" s="1"/>
      <c r="O3109" s="1"/>
      <c r="V3109" s="1"/>
      <c r="AC3109" s="1"/>
      <c r="AJ3109" s="1"/>
      <c r="AQ3109" s="1"/>
      <c r="AX3109" s="1"/>
    </row>
    <row r="3110" spans="1:50" x14ac:dyDescent="0.25">
      <c r="A3110" s="1"/>
      <c r="H3110" s="1"/>
      <c r="O3110" s="1"/>
      <c r="V3110" s="1"/>
      <c r="AC3110" s="1"/>
      <c r="AJ3110" s="1"/>
      <c r="AQ3110" s="1"/>
      <c r="AX3110" s="1"/>
    </row>
    <row r="3111" spans="1:50" x14ac:dyDescent="0.25">
      <c r="A3111" s="1"/>
      <c r="H3111" s="1"/>
      <c r="O3111" s="1"/>
      <c r="V3111" s="1"/>
      <c r="AC3111" s="1"/>
      <c r="AJ3111" s="1"/>
      <c r="AQ3111" s="1"/>
      <c r="AX3111" s="1"/>
    </row>
    <row r="3112" spans="1:50" x14ac:dyDescent="0.25">
      <c r="A3112" s="1"/>
      <c r="H3112" s="1"/>
      <c r="O3112" s="1"/>
      <c r="V3112" s="1"/>
      <c r="AC3112" s="1"/>
      <c r="AJ3112" s="1"/>
      <c r="AQ3112" s="1"/>
      <c r="AX3112" s="1"/>
    </row>
    <row r="3113" spans="1:50" x14ac:dyDescent="0.25">
      <c r="A3113" s="1"/>
      <c r="H3113" s="1"/>
      <c r="O3113" s="1"/>
      <c r="V3113" s="1"/>
      <c r="AC3113" s="1"/>
      <c r="AJ3113" s="1"/>
      <c r="AQ3113" s="1"/>
      <c r="AX3113" s="1"/>
    </row>
    <row r="3114" spans="1:50" x14ac:dyDescent="0.25">
      <c r="A3114" s="1"/>
      <c r="H3114" s="1"/>
      <c r="O3114" s="1"/>
      <c r="V3114" s="1"/>
      <c r="AC3114" s="1"/>
      <c r="AJ3114" s="1"/>
      <c r="AQ3114" s="1"/>
      <c r="AX3114" s="1"/>
    </row>
    <row r="3115" spans="1:50" x14ac:dyDescent="0.25">
      <c r="A3115" s="1"/>
      <c r="H3115" s="1"/>
      <c r="O3115" s="1"/>
      <c r="V3115" s="1"/>
      <c r="AC3115" s="1"/>
      <c r="AJ3115" s="1"/>
      <c r="AQ3115" s="1"/>
      <c r="AX3115" s="1"/>
    </row>
    <row r="3116" spans="1:50" x14ac:dyDescent="0.25">
      <c r="A3116" s="1"/>
      <c r="H3116" s="1"/>
      <c r="O3116" s="1"/>
      <c r="V3116" s="1"/>
      <c r="AC3116" s="1"/>
      <c r="AJ3116" s="1"/>
      <c r="AQ3116" s="1"/>
      <c r="AX3116" s="1"/>
    </row>
    <row r="3117" spans="1:50" x14ac:dyDescent="0.25">
      <c r="A3117" s="1"/>
      <c r="H3117" s="1"/>
      <c r="O3117" s="1"/>
      <c r="V3117" s="1"/>
      <c r="AC3117" s="1"/>
      <c r="AJ3117" s="1"/>
      <c r="AQ3117" s="1"/>
      <c r="AX3117" s="1"/>
    </row>
    <row r="3118" spans="1:50" x14ac:dyDescent="0.25">
      <c r="A3118" s="1"/>
      <c r="H3118" s="1"/>
      <c r="O3118" s="1"/>
      <c r="V3118" s="1"/>
      <c r="AC3118" s="1"/>
      <c r="AJ3118" s="1"/>
      <c r="AQ3118" s="1"/>
      <c r="AX3118" s="1"/>
    </row>
    <row r="3119" spans="1:50" x14ac:dyDescent="0.25">
      <c r="A3119" s="1"/>
      <c r="H3119" s="1"/>
      <c r="O3119" s="1"/>
      <c r="V3119" s="1"/>
      <c r="AC3119" s="1"/>
      <c r="AJ3119" s="1"/>
      <c r="AQ3119" s="1"/>
      <c r="AX3119" s="1"/>
    </row>
    <row r="3120" spans="1:50" x14ac:dyDescent="0.25">
      <c r="A3120" s="1"/>
      <c r="H3120" s="1"/>
      <c r="O3120" s="1"/>
      <c r="V3120" s="1"/>
      <c r="AC3120" s="1"/>
      <c r="AJ3120" s="1"/>
      <c r="AQ3120" s="1"/>
      <c r="AX3120" s="1"/>
    </row>
    <row r="3121" spans="1:50" x14ac:dyDescent="0.25">
      <c r="A3121" s="1"/>
      <c r="H3121" s="1"/>
      <c r="O3121" s="1"/>
      <c r="V3121" s="1"/>
      <c r="AC3121" s="1"/>
      <c r="AJ3121" s="1"/>
      <c r="AQ3121" s="1"/>
      <c r="AX3121" s="1"/>
    </row>
    <row r="3122" spans="1:50" x14ac:dyDescent="0.25">
      <c r="A3122" s="1"/>
      <c r="H3122" s="1"/>
      <c r="O3122" s="1"/>
      <c r="V3122" s="1"/>
      <c r="AC3122" s="1"/>
      <c r="AJ3122" s="1"/>
      <c r="AQ3122" s="1"/>
      <c r="AX3122" s="1"/>
    </row>
    <row r="3123" spans="1:50" x14ac:dyDescent="0.25">
      <c r="A3123" s="1"/>
      <c r="H3123" s="1"/>
      <c r="O3123" s="1"/>
      <c r="V3123" s="1"/>
      <c r="AC3123" s="1"/>
      <c r="AJ3123" s="1"/>
      <c r="AQ3123" s="1"/>
      <c r="AX3123" s="1"/>
    </row>
    <row r="3124" spans="1:50" x14ac:dyDescent="0.25">
      <c r="A3124" s="1"/>
      <c r="H3124" s="1"/>
      <c r="O3124" s="1"/>
      <c r="V3124" s="1"/>
      <c r="AC3124" s="1"/>
      <c r="AJ3124" s="1"/>
      <c r="AQ3124" s="1"/>
      <c r="AX3124" s="1"/>
    </row>
    <row r="3125" spans="1:50" x14ac:dyDescent="0.25">
      <c r="A3125" s="1"/>
      <c r="H3125" s="1"/>
      <c r="O3125" s="1"/>
      <c r="V3125" s="1"/>
      <c r="AC3125" s="1"/>
      <c r="AJ3125" s="1"/>
      <c r="AQ3125" s="1"/>
      <c r="AX3125" s="1"/>
    </row>
    <row r="3126" spans="1:50" x14ac:dyDescent="0.25">
      <c r="A3126" s="1"/>
      <c r="H3126" s="1"/>
      <c r="O3126" s="1"/>
      <c r="V3126" s="1"/>
      <c r="AC3126" s="1"/>
      <c r="AJ3126" s="1"/>
      <c r="AQ3126" s="1"/>
      <c r="AX3126" s="1"/>
    </row>
    <row r="3127" spans="1:50" x14ac:dyDescent="0.25">
      <c r="A3127" s="1"/>
      <c r="H3127" s="1"/>
      <c r="O3127" s="1"/>
      <c r="V3127" s="1"/>
      <c r="AC3127" s="1"/>
      <c r="AJ3127" s="1"/>
      <c r="AQ3127" s="1"/>
      <c r="AX3127" s="1"/>
    </row>
    <row r="3128" spans="1:50" x14ac:dyDescent="0.25">
      <c r="A3128" s="1"/>
      <c r="H3128" s="1"/>
      <c r="O3128" s="1"/>
      <c r="V3128" s="1"/>
      <c r="AC3128" s="1"/>
      <c r="AJ3128" s="1"/>
      <c r="AQ3128" s="1"/>
      <c r="AX3128" s="1"/>
    </row>
    <row r="3129" spans="1:50" x14ac:dyDescent="0.25">
      <c r="A3129" s="1"/>
      <c r="H3129" s="1"/>
      <c r="O3129" s="1"/>
      <c r="V3129" s="1"/>
      <c r="AC3129" s="1"/>
      <c r="AJ3129" s="1"/>
      <c r="AQ3129" s="1"/>
      <c r="AX3129" s="1"/>
    </row>
    <row r="3130" spans="1:50" x14ac:dyDescent="0.25">
      <c r="A3130" s="1"/>
      <c r="H3130" s="1"/>
      <c r="O3130" s="1"/>
      <c r="V3130" s="1"/>
      <c r="AC3130" s="1"/>
      <c r="AJ3130" s="1"/>
      <c r="AQ3130" s="1"/>
      <c r="AX3130" s="1"/>
    </row>
    <row r="3131" spans="1:50" x14ac:dyDescent="0.25">
      <c r="A3131" s="1"/>
      <c r="H3131" s="1"/>
      <c r="O3131" s="1"/>
      <c r="V3131" s="1"/>
      <c r="AC3131" s="1"/>
      <c r="AJ3131" s="1"/>
      <c r="AQ3131" s="1"/>
      <c r="AX3131" s="1"/>
    </row>
    <row r="3132" spans="1:50" x14ac:dyDescent="0.25">
      <c r="A3132" s="1"/>
      <c r="H3132" s="1"/>
      <c r="O3132" s="1"/>
      <c r="V3132" s="1"/>
      <c r="AC3132" s="1"/>
      <c r="AJ3132" s="1"/>
      <c r="AQ3132" s="1"/>
      <c r="AX3132" s="1"/>
    </row>
    <row r="3133" spans="1:50" x14ac:dyDescent="0.25">
      <c r="A3133" s="1"/>
      <c r="H3133" s="1"/>
      <c r="O3133" s="1"/>
      <c r="V3133" s="1"/>
      <c r="AC3133" s="1"/>
      <c r="AJ3133" s="1"/>
      <c r="AQ3133" s="1"/>
      <c r="AX3133" s="1"/>
    </row>
    <row r="3134" spans="1:50" x14ac:dyDescent="0.25">
      <c r="A3134" s="1"/>
      <c r="H3134" s="1"/>
      <c r="O3134" s="1"/>
      <c r="V3134" s="1"/>
      <c r="AC3134" s="1"/>
      <c r="AJ3134" s="1"/>
      <c r="AQ3134" s="1"/>
      <c r="AX3134" s="1"/>
    </row>
    <row r="3135" spans="1:50" x14ac:dyDescent="0.25">
      <c r="A3135" s="1"/>
      <c r="H3135" s="1"/>
      <c r="O3135" s="1"/>
      <c r="V3135" s="1"/>
      <c r="AC3135" s="1"/>
      <c r="AJ3135" s="1"/>
      <c r="AQ3135" s="1"/>
      <c r="AX3135" s="1"/>
    </row>
    <row r="3136" spans="1:50" x14ac:dyDescent="0.25">
      <c r="A3136" s="1"/>
      <c r="H3136" s="1"/>
      <c r="O3136" s="1"/>
      <c r="V3136" s="1"/>
      <c r="AC3136" s="1"/>
      <c r="AJ3136" s="1"/>
      <c r="AQ3136" s="1"/>
      <c r="AX3136" s="1"/>
    </row>
    <row r="3137" spans="1:50" x14ac:dyDescent="0.25">
      <c r="A3137" s="1"/>
      <c r="H3137" s="1"/>
      <c r="O3137" s="1"/>
      <c r="V3137" s="1"/>
      <c r="AC3137" s="1"/>
      <c r="AJ3137" s="1"/>
      <c r="AQ3137" s="1"/>
      <c r="AX3137" s="1"/>
    </row>
    <row r="3138" spans="1:50" x14ac:dyDescent="0.25">
      <c r="A3138" s="1"/>
      <c r="H3138" s="1"/>
      <c r="O3138" s="1"/>
      <c r="V3138" s="1"/>
      <c r="AC3138" s="1"/>
      <c r="AJ3138" s="1"/>
      <c r="AQ3138" s="1"/>
      <c r="AX3138" s="1"/>
    </row>
    <row r="3139" spans="1:50" x14ac:dyDescent="0.25">
      <c r="A3139" s="1"/>
      <c r="H3139" s="1"/>
      <c r="O3139" s="1"/>
      <c r="V3139" s="1"/>
      <c r="AC3139" s="1"/>
      <c r="AJ3139" s="1"/>
      <c r="AQ3139" s="1"/>
      <c r="AX3139" s="1"/>
    </row>
    <row r="3140" spans="1:50" x14ac:dyDescent="0.25">
      <c r="A3140" s="1"/>
      <c r="H3140" s="1"/>
      <c r="O3140" s="1"/>
      <c r="V3140" s="1"/>
      <c r="AC3140" s="1"/>
      <c r="AJ3140" s="1"/>
      <c r="AQ3140" s="1"/>
      <c r="AX3140" s="1"/>
    </row>
    <row r="3141" spans="1:50" x14ac:dyDescent="0.25">
      <c r="A3141" s="1"/>
      <c r="H3141" s="1"/>
      <c r="O3141" s="1"/>
      <c r="V3141" s="1"/>
      <c r="AC3141" s="1"/>
      <c r="AJ3141" s="1"/>
      <c r="AQ3141" s="1"/>
      <c r="AX3141" s="1"/>
    </row>
    <row r="3142" spans="1:50" x14ac:dyDescent="0.25">
      <c r="A3142" s="1"/>
      <c r="H3142" s="1"/>
      <c r="O3142" s="1"/>
      <c r="V3142" s="1"/>
      <c r="AC3142" s="1"/>
      <c r="AJ3142" s="1"/>
      <c r="AQ3142" s="1"/>
      <c r="AX3142" s="1"/>
    </row>
    <row r="3143" spans="1:50" x14ac:dyDescent="0.25">
      <c r="A3143" s="1"/>
      <c r="H3143" s="1"/>
      <c r="O3143" s="1"/>
      <c r="V3143" s="1"/>
      <c r="AC3143" s="1"/>
      <c r="AJ3143" s="1"/>
      <c r="AQ3143" s="1"/>
      <c r="AX3143" s="1"/>
    </row>
    <row r="3144" spans="1:50" x14ac:dyDescent="0.25">
      <c r="A3144" s="1"/>
      <c r="H3144" s="1"/>
      <c r="O3144" s="1"/>
      <c r="V3144" s="1"/>
      <c r="AC3144" s="1"/>
      <c r="AJ3144" s="1"/>
      <c r="AQ3144" s="1"/>
      <c r="AX3144" s="1"/>
    </row>
    <row r="3145" spans="1:50" x14ac:dyDescent="0.25">
      <c r="A3145" s="1"/>
      <c r="H3145" s="1"/>
      <c r="O3145" s="1"/>
      <c r="V3145" s="1"/>
      <c r="AC3145" s="1"/>
      <c r="AJ3145" s="1"/>
      <c r="AQ3145" s="1"/>
      <c r="AX3145" s="1"/>
    </row>
    <row r="3146" spans="1:50" x14ac:dyDescent="0.25">
      <c r="A3146" s="1"/>
      <c r="H3146" s="1"/>
      <c r="O3146" s="1"/>
      <c r="V3146" s="1"/>
      <c r="AC3146" s="1"/>
      <c r="AJ3146" s="1"/>
      <c r="AQ3146" s="1"/>
      <c r="AX3146" s="1"/>
    </row>
    <row r="3147" spans="1:50" x14ac:dyDescent="0.25">
      <c r="A3147" s="1"/>
      <c r="H3147" s="1"/>
      <c r="O3147" s="1"/>
      <c r="V3147" s="1"/>
      <c r="AC3147" s="1"/>
      <c r="AJ3147" s="1"/>
      <c r="AQ3147" s="1"/>
      <c r="AX3147" s="1"/>
    </row>
    <row r="3148" spans="1:50" x14ac:dyDescent="0.25">
      <c r="A3148" s="1"/>
      <c r="H3148" s="1"/>
      <c r="O3148" s="1"/>
      <c r="V3148" s="1"/>
      <c r="AC3148" s="1"/>
      <c r="AJ3148" s="1"/>
      <c r="AQ3148" s="1"/>
      <c r="AX3148" s="1"/>
    </row>
    <row r="3149" spans="1:50" x14ac:dyDescent="0.25">
      <c r="A3149" s="1"/>
      <c r="H3149" s="1"/>
      <c r="O3149" s="1"/>
      <c r="V3149" s="1"/>
      <c r="AC3149" s="1"/>
      <c r="AJ3149" s="1"/>
      <c r="AQ3149" s="1"/>
      <c r="AX3149" s="1"/>
    </row>
    <row r="3150" spans="1:50" x14ac:dyDescent="0.25">
      <c r="A3150" s="1"/>
      <c r="H3150" s="1"/>
      <c r="O3150" s="1"/>
      <c r="V3150" s="1"/>
      <c r="AC3150" s="1"/>
      <c r="AJ3150" s="1"/>
      <c r="AQ3150" s="1"/>
      <c r="AX3150" s="1"/>
    </row>
    <row r="3151" spans="1:50" x14ac:dyDescent="0.25">
      <c r="A3151" s="1"/>
      <c r="H3151" s="1"/>
      <c r="O3151" s="1"/>
      <c r="V3151" s="1"/>
      <c r="AC3151" s="1"/>
      <c r="AJ3151" s="1"/>
      <c r="AQ3151" s="1"/>
      <c r="AX3151" s="1"/>
    </row>
    <row r="3152" spans="1:50" x14ac:dyDescent="0.25">
      <c r="A3152" s="1"/>
      <c r="H3152" s="1"/>
      <c r="O3152" s="1"/>
      <c r="V3152" s="1"/>
      <c r="AC3152" s="1"/>
      <c r="AJ3152" s="1"/>
      <c r="AQ3152" s="1"/>
      <c r="AX3152" s="1"/>
    </row>
    <row r="3153" spans="1:50" x14ac:dyDescent="0.25">
      <c r="A3153" s="1"/>
      <c r="H3153" s="1"/>
      <c r="O3153" s="1"/>
      <c r="V3153" s="1"/>
      <c r="AC3153" s="1"/>
      <c r="AJ3153" s="1"/>
      <c r="AQ3153" s="1"/>
      <c r="AX3153" s="1"/>
    </row>
    <row r="3154" spans="1:50" x14ac:dyDescent="0.25">
      <c r="A3154" s="1"/>
      <c r="H3154" s="1"/>
      <c r="O3154" s="1"/>
      <c r="V3154" s="1"/>
      <c r="AC3154" s="1"/>
      <c r="AJ3154" s="1"/>
      <c r="AQ3154" s="1"/>
      <c r="AX3154" s="1"/>
    </row>
    <row r="3155" spans="1:50" x14ac:dyDescent="0.25">
      <c r="A3155" s="1"/>
      <c r="H3155" s="1"/>
      <c r="O3155" s="1"/>
      <c r="V3155" s="1"/>
      <c r="AC3155" s="1"/>
      <c r="AJ3155" s="1"/>
      <c r="AQ3155" s="1"/>
      <c r="AX3155" s="1"/>
    </row>
    <row r="3156" spans="1:50" x14ac:dyDescent="0.25">
      <c r="A3156" s="1"/>
      <c r="H3156" s="1"/>
      <c r="O3156" s="1"/>
      <c r="V3156" s="1"/>
      <c r="AC3156" s="1"/>
      <c r="AJ3156" s="1"/>
      <c r="AQ3156" s="1"/>
      <c r="AX3156" s="1"/>
    </row>
    <row r="3157" spans="1:50" x14ac:dyDescent="0.25">
      <c r="A3157" s="1"/>
      <c r="H3157" s="1"/>
      <c r="O3157" s="1"/>
      <c r="V3157" s="1"/>
      <c r="AC3157" s="1"/>
      <c r="AJ3157" s="1"/>
      <c r="AQ3157" s="1"/>
      <c r="AX3157" s="1"/>
    </row>
    <row r="3158" spans="1:50" x14ac:dyDescent="0.25">
      <c r="A3158" s="1"/>
      <c r="H3158" s="1"/>
      <c r="O3158" s="1"/>
      <c r="V3158" s="1"/>
      <c r="AC3158" s="1"/>
      <c r="AJ3158" s="1"/>
      <c r="AQ3158" s="1"/>
      <c r="AX3158" s="1"/>
    </row>
    <row r="3159" spans="1:50" x14ac:dyDescent="0.25">
      <c r="A3159" s="1"/>
      <c r="H3159" s="1"/>
      <c r="O3159" s="1"/>
      <c r="V3159" s="1"/>
      <c r="AC3159" s="1"/>
      <c r="AJ3159" s="1"/>
      <c r="AQ3159" s="1"/>
      <c r="AX3159" s="1"/>
    </row>
    <row r="3160" spans="1:50" x14ac:dyDescent="0.25">
      <c r="A3160" s="1"/>
      <c r="H3160" s="1"/>
      <c r="O3160" s="1"/>
      <c r="V3160" s="1"/>
      <c r="AC3160" s="1"/>
      <c r="AJ3160" s="1"/>
      <c r="AQ3160" s="1"/>
      <c r="AX3160" s="1"/>
    </row>
    <row r="3161" spans="1:50" x14ac:dyDescent="0.25">
      <c r="A3161" s="1"/>
      <c r="H3161" s="1"/>
      <c r="O3161" s="1"/>
      <c r="V3161" s="1"/>
      <c r="AC3161" s="1"/>
      <c r="AJ3161" s="1"/>
      <c r="AQ3161" s="1"/>
      <c r="AX3161" s="1"/>
    </row>
    <row r="3162" spans="1:50" x14ac:dyDescent="0.25">
      <c r="A3162" s="1"/>
      <c r="H3162" s="1"/>
      <c r="O3162" s="1"/>
      <c r="V3162" s="1"/>
      <c r="AC3162" s="1"/>
      <c r="AJ3162" s="1"/>
      <c r="AQ3162" s="1"/>
      <c r="AX3162" s="1"/>
    </row>
    <row r="3163" spans="1:50" x14ac:dyDescent="0.25">
      <c r="A3163" s="1"/>
      <c r="H3163" s="1"/>
      <c r="O3163" s="1"/>
      <c r="V3163" s="1"/>
      <c r="AC3163" s="1"/>
      <c r="AJ3163" s="1"/>
      <c r="AQ3163" s="1"/>
      <c r="AX3163" s="1"/>
    </row>
    <row r="3164" spans="1:50" x14ac:dyDescent="0.25">
      <c r="A3164" s="1"/>
      <c r="H3164" s="1"/>
      <c r="O3164" s="1"/>
      <c r="V3164" s="1"/>
      <c r="AC3164" s="1"/>
      <c r="AJ3164" s="1"/>
      <c r="AQ3164" s="1"/>
      <c r="AX3164" s="1"/>
    </row>
    <row r="3165" spans="1:50" x14ac:dyDescent="0.25">
      <c r="A3165" s="1"/>
      <c r="H3165" s="1"/>
      <c r="O3165" s="1"/>
      <c r="V3165" s="1"/>
      <c r="AC3165" s="1"/>
      <c r="AJ3165" s="1"/>
      <c r="AQ3165" s="1"/>
      <c r="AX3165" s="1"/>
    </row>
    <row r="3166" spans="1:50" x14ac:dyDescent="0.25">
      <c r="A3166" s="1"/>
      <c r="H3166" s="1"/>
      <c r="O3166" s="1"/>
      <c r="V3166" s="1"/>
      <c r="AC3166" s="1"/>
      <c r="AJ3166" s="1"/>
      <c r="AQ3166" s="1"/>
      <c r="AX3166" s="1"/>
    </row>
    <row r="3167" spans="1:50" x14ac:dyDescent="0.25">
      <c r="A3167" s="1"/>
      <c r="H3167" s="1"/>
      <c r="O3167" s="1"/>
      <c r="V3167" s="1"/>
      <c r="AC3167" s="1"/>
      <c r="AJ3167" s="1"/>
      <c r="AQ3167" s="1"/>
      <c r="AX3167" s="1"/>
    </row>
    <row r="3168" spans="1:50" x14ac:dyDescent="0.25">
      <c r="A3168" s="1"/>
      <c r="H3168" s="1"/>
      <c r="O3168" s="1"/>
      <c r="V3168" s="1"/>
      <c r="AC3168" s="1"/>
      <c r="AJ3168" s="1"/>
      <c r="AQ3168" s="1"/>
      <c r="AX3168" s="1"/>
    </row>
    <row r="3169" spans="1:50" x14ac:dyDescent="0.25">
      <c r="A3169" s="1"/>
      <c r="H3169" s="1"/>
      <c r="O3169" s="1"/>
      <c r="V3169" s="1"/>
      <c r="AC3169" s="1"/>
      <c r="AJ3169" s="1"/>
      <c r="AQ3169" s="1"/>
      <c r="AX3169" s="1"/>
    </row>
    <row r="3170" spans="1:50" x14ac:dyDescent="0.25">
      <c r="A3170" s="1"/>
      <c r="H3170" s="1"/>
      <c r="O3170" s="1"/>
      <c r="V3170" s="1"/>
      <c r="AC3170" s="1"/>
      <c r="AJ3170" s="1"/>
      <c r="AQ3170" s="1"/>
      <c r="AX3170" s="1"/>
    </row>
    <row r="3171" spans="1:50" x14ac:dyDescent="0.25">
      <c r="A3171" s="1"/>
      <c r="H3171" s="1"/>
      <c r="O3171" s="1"/>
      <c r="V3171" s="1"/>
      <c r="AC3171" s="1"/>
      <c r="AJ3171" s="1"/>
      <c r="AQ3171" s="1"/>
      <c r="AX3171" s="1"/>
    </row>
    <row r="3172" spans="1:50" x14ac:dyDescent="0.25">
      <c r="A3172" s="1"/>
      <c r="H3172" s="1"/>
      <c r="O3172" s="1"/>
      <c r="V3172" s="1"/>
      <c r="AC3172" s="1"/>
      <c r="AJ3172" s="1"/>
      <c r="AQ3172" s="1"/>
      <c r="AX3172" s="1"/>
    </row>
    <row r="3173" spans="1:50" x14ac:dyDescent="0.25">
      <c r="A3173" s="1"/>
      <c r="H3173" s="1"/>
      <c r="O3173" s="1"/>
      <c r="V3173" s="1"/>
      <c r="AC3173" s="1"/>
      <c r="AJ3173" s="1"/>
      <c r="AQ3173" s="1"/>
      <c r="AX3173" s="1"/>
    </row>
    <row r="3174" spans="1:50" x14ac:dyDescent="0.25">
      <c r="A3174" s="1"/>
      <c r="H3174" s="1"/>
      <c r="O3174" s="1"/>
      <c r="V3174" s="1"/>
      <c r="AC3174" s="1"/>
      <c r="AJ3174" s="1"/>
      <c r="AQ3174" s="1"/>
      <c r="AX3174" s="1"/>
    </row>
    <row r="3175" spans="1:50" x14ac:dyDescent="0.25">
      <c r="A3175" s="1"/>
      <c r="H3175" s="1"/>
      <c r="O3175" s="1"/>
      <c r="V3175" s="1"/>
      <c r="AC3175" s="1"/>
      <c r="AJ3175" s="1"/>
      <c r="AQ3175" s="1"/>
      <c r="AX3175" s="1"/>
    </row>
    <row r="3176" spans="1:50" x14ac:dyDescent="0.25">
      <c r="A3176" s="1"/>
      <c r="H3176" s="1"/>
      <c r="O3176" s="1"/>
      <c r="V3176" s="1"/>
      <c r="AC3176" s="1"/>
      <c r="AJ3176" s="1"/>
      <c r="AQ3176" s="1"/>
      <c r="AX3176" s="1"/>
    </row>
    <row r="3177" spans="1:50" x14ac:dyDescent="0.25">
      <c r="A3177" s="1"/>
      <c r="H3177" s="1"/>
      <c r="O3177" s="1"/>
      <c r="V3177" s="1"/>
      <c r="AC3177" s="1"/>
      <c r="AJ3177" s="1"/>
      <c r="AQ3177" s="1"/>
      <c r="AX3177" s="1"/>
    </row>
    <row r="3178" spans="1:50" x14ac:dyDescent="0.25">
      <c r="A3178" s="1"/>
      <c r="H3178" s="1"/>
      <c r="O3178" s="1"/>
      <c r="V3178" s="1"/>
      <c r="AC3178" s="1"/>
      <c r="AJ3178" s="1"/>
      <c r="AQ3178" s="1"/>
      <c r="AX3178" s="1"/>
    </row>
    <row r="3179" spans="1:50" x14ac:dyDescent="0.25">
      <c r="A3179" s="1"/>
      <c r="H3179" s="1"/>
      <c r="O3179" s="1"/>
      <c r="V3179" s="1"/>
      <c r="AC3179" s="1"/>
      <c r="AJ3179" s="1"/>
      <c r="AQ3179" s="1"/>
      <c r="AX3179" s="1"/>
    </row>
    <row r="3180" spans="1:50" x14ac:dyDescent="0.25">
      <c r="A3180" s="1"/>
      <c r="H3180" s="1"/>
      <c r="O3180" s="1"/>
      <c r="V3180" s="1"/>
      <c r="AC3180" s="1"/>
      <c r="AJ3180" s="1"/>
      <c r="AQ3180" s="1"/>
      <c r="AX3180" s="1"/>
    </row>
    <row r="3181" spans="1:50" x14ac:dyDescent="0.25">
      <c r="A3181" s="1"/>
      <c r="H3181" s="1"/>
      <c r="O3181" s="1"/>
      <c r="V3181" s="1"/>
      <c r="AC3181" s="1"/>
      <c r="AJ3181" s="1"/>
      <c r="AQ3181" s="1"/>
      <c r="AX3181" s="1"/>
    </row>
    <row r="3182" spans="1:50" x14ac:dyDescent="0.25">
      <c r="A3182" s="1"/>
      <c r="H3182" s="1"/>
      <c r="O3182" s="1"/>
      <c r="V3182" s="1"/>
      <c r="AC3182" s="1"/>
      <c r="AJ3182" s="1"/>
      <c r="AQ3182" s="1"/>
      <c r="AX3182" s="1"/>
    </row>
    <row r="3183" spans="1:50" x14ac:dyDescent="0.25">
      <c r="A3183" s="1"/>
      <c r="H3183" s="1"/>
      <c r="O3183" s="1"/>
      <c r="V3183" s="1"/>
      <c r="AC3183" s="1"/>
      <c r="AJ3183" s="1"/>
      <c r="AQ3183" s="1"/>
      <c r="AX3183" s="1"/>
    </row>
    <row r="3184" spans="1:50" x14ac:dyDescent="0.25">
      <c r="A3184" s="1"/>
      <c r="H3184" s="1"/>
      <c r="O3184" s="1"/>
      <c r="V3184" s="1"/>
      <c r="AC3184" s="1"/>
      <c r="AJ3184" s="1"/>
      <c r="AQ3184" s="1"/>
      <c r="AX3184" s="1"/>
    </row>
    <row r="3185" spans="1:50" x14ac:dyDescent="0.25">
      <c r="A3185" s="1"/>
      <c r="H3185" s="1"/>
      <c r="O3185" s="1"/>
      <c r="V3185" s="1"/>
      <c r="AC3185" s="1"/>
      <c r="AJ3185" s="1"/>
      <c r="AQ3185" s="1"/>
      <c r="AX3185" s="1"/>
    </row>
    <row r="3186" spans="1:50" x14ac:dyDescent="0.25">
      <c r="A3186" s="1"/>
      <c r="H3186" s="1"/>
      <c r="O3186" s="1"/>
      <c r="V3186" s="1"/>
      <c r="AC3186" s="1"/>
      <c r="AJ3186" s="1"/>
      <c r="AQ3186" s="1"/>
      <c r="AX3186" s="1"/>
    </row>
    <row r="3187" spans="1:50" x14ac:dyDescent="0.25">
      <c r="A3187" s="1"/>
      <c r="H3187" s="1"/>
      <c r="O3187" s="1"/>
      <c r="V3187" s="1"/>
      <c r="AC3187" s="1"/>
      <c r="AJ3187" s="1"/>
      <c r="AQ3187" s="1"/>
      <c r="AX3187" s="1"/>
    </row>
    <row r="3188" spans="1:50" x14ac:dyDescent="0.25">
      <c r="A3188" s="1"/>
      <c r="H3188" s="1"/>
      <c r="O3188" s="1"/>
      <c r="V3188" s="1"/>
      <c r="AC3188" s="1"/>
      <c r="AJ3188" s="1"/>
      <c r="AQ3188" s="1"/>
      <c r="AX3188" s="1"/>
    </row>
    <row r="3189" spans="1:50" x14ac:dyDescent="0.25">
      <c r="A3189" s="1"/>
      <c r="H3189" s="1"/>
      <c r="O3189" s="1"/>
      <c r="V3189" s="1"/>
      <c r="AC3189" s="1"/>
      <c r="AJ3189" s="1"/>
      <c r="AQ3189" s="1"/>
      <c r="AX3189" s="1"/>
    </row>
    <row r="3190" spans="1:50" x14ac:dyDescent="0.25">
      <c r="A3190" s="1"/>
      <c r="H3190" s="1"/>
      <c r="O3190" s="1"/>
      <c r="V3190" s="1"/>
      <c r="AC3190" s="1"/>
      <c r="AJ3190" s="1"/>
      <c r="AQ3190" s="1"/>
      <c r="AX3190" s="1"/>
    </row>
    <row r="3191" spans="1:50" x14ac:dyDescent="0.25">
      <c r="A3191" s="1"/>
      <c r="H3191" s="1"/>
      <c r="O3191" s="1"/>
      <c r="V3191" s="1"/>
      <c r="AC3191" s="1"/>
      <c r="AJ3191" s="1"/>
      <c r="AQ3191" s="1"/>
      <c r="AX3191" s="1"/>
    </row>
    <row r="3192" spans="1:50" x14ac:dyDescent="0.25">
      <c r="A3192" s="1"/>
      <c r="H3192" s="1"/>
      <c r="O3192" s="1"/>
      <c r="V3192" s="1"/>
      <c r="AC3192" s="1"/>
      <c r="AJ3192" s="1"/>
      <c r="AQ3192" s="1"/>
      <c r="AX3192" s="1"/>
    </row>
    <row r="3193" spans="1:50" x14ac:dyDescent="0.25">
      <c r="A3193" s="1"/>
      <c r="H3193" s="1"/>
      <c r="O3193" s="1"/>
      <c r="V3193" s="1"/>
      <c r="AC3193" s="1"/>
      <c r="AJ3193" s="1"/>
      <c r="AQ3193" s="1"/>
      <c r="AX3193" s="1"/>
    </row>
    <row r="3194" spans="1:50" x14ac:dyDescent="0.25">
      <c r="A3194" s="1"/>
      <c r="H3194" s="1"/>
      <c r="O3194" s="1"/>
      <c r="V3194" s="1"/>
      <c r="AC3194" s="1"/>
      <c r="AJ3194" s="1"/>
      <c r="AQ3194" s="1"/>
      <c r="AX3194" s="1"/>
    </row>
    <row r="3195" spans="1:50" x14ac:dyDescent="0.25">
      <c r="A3195" s="1"/>
      <c r="H3195" s="1"/>
      <c r="O3195" s="1"/>
      <c r="V3195" s="1"/>
      <c r="AC3195" s="1"/>
      <c r="AJ3195" s="1"/>
      <c r="AQ3195" s="1"/>
      <c r="AX3195" s="1"/>
    </row>
    <row r="3196" spans="1:50" x14ac:dyDescent="0.25">
      <c r="A3196" s="1"/>
      <c r="H3196" s="1"/>
      <c r="O3196" s="1"/>
      <c r="V3196" s="1"/>
      <c r="AC3196" s="1"/>
      <c r="AJ3196" s="1"/>
      <c r="AQ3196" s="1"/>
      <c r="AX3196" s="1"/>
    </row>
    <row r="3197" spans="1:50" x14ac:dyDescent="0.25">
      <c r="A3197" s="1"/>
      <c r="H3197" s="1"/>
      <c r="O3197" s="1"/>
      <c r="V3197" s="1"/>
      <c r="AC3197" s="1"/>
      <c r="AJ3197" s="1"/>
      <c r="AQ3197" s="1"/>
      <c r="AX3197" s="1"/>
    </row>
    <row r="3198" spans="1:50" x14ac:dyDescent="0.25">
      <c r="A3198" s="1"/>
      <c r="H3198" s="1"/>
      <c r="O3198" s="1"/>
      <c r="V3198" s="1"/>
      <c r="AC3198" s="1"/>
      <c r="AJ3198" s="1"/>
      <c r="AQ3198" s="1"/>
      <c r="AX3198" s="1"/>
    </row>
    <row r="3199" spans="1:50" x14ac:dyDescent="0.25">
      <c r="A3199" s="1"/>
      <c r="H3199" s="1"/>
      <c r="O3199" s="1"/>
      <c r="V3199" s="1"/>
      <c r="AC3199" s="1"/>
      <c r="AJ3199" s="1"/>
      <c r="AQ3199" s="1"/>
      <c r="AX3199" s="1"/>
    </row>
    <row r="3200" spans="1:50" x14ac:dyDescent="0.25">
      <c r="A3200" s="1"/>
      <c r="H3200" s="1"/>
      <c r="O3200" s="1"/>
      <c r="V3200" s="1"/>
      <c r="AC3200" s="1"/>
      <c r="AJ3200" s="1"/>
      <c r="AQ3200" s="1"/>
      <c r="AX3200" s="1"/>
    </row>
    <row r="3201" spans="1:50" x14ac:dyDescent="0.25">
      <c r="A3201" s="1"/>
      <c r="H3201" s="1"/>
      <c r="O3201" s="1"/>
      <c r="V3201" s="1"/>
      <c r="AC3201" s="1"/>
      <c r="AJ3201" s="1"/>
      <c r="AQ3201" s="1"/>
      <c r="AX3201" s="1"/>
    </row>
    <row r="3202" spans="1:50" x14ac:dyDescent="0.25">
      <c r="A3202" s="1"/>
      <c r="H3202" s="1"/>
      <c r="O3202" s="1"/>
      <c r="V3202" s="1"/>
      <c r="AC3202" s="1"/>
      <c r="AJ3202" s="1"/>
      <c r="AQ3202" s="1"/>
      <c r="AX3202" s="1"/>
    </row>
    <row r="3203" spans="1:50" x14ac:dyDescent="0.25">
      <c r="A3203" s="1"/>
      <c r="H3203" s="1"/>
      <c r="O3203" s="1"/>
      <c r="V3203" s="1"/>
      <c r="AC3203" s="1"/>
      <c r="AJ3203" s="1"/>
      <c r="AQ3203" s="1"/>
      <c r="AX3203" s="1"/>
    </row>
    <row r="3204" spans="1:50" x14ac:dyDescent="0.25">
      <c r="A3204" s="1"/>
      <c r="H3204" s="1"/>
      <c r="O3204" s="1"/>
      <c r="V3204" s="1"/>
      <c r="AC3204" s="1"/>
      <c r="AJ3204" s="1"/>
      <c r="AQ3204" s="1"/>
      <c r="AX3204" s="1"/>
    </row>
    <row r="3205" spans="1:50" x14ac:dyDescent="0.25">
      <c r="A3205" s="1"/>
      <c r="H3205" s="1"/>
      <c r="O3205" s="1"/>
      <c r="V3205" s="1"/>
      <c r="AC3205" s="1"/>
      <c r="AJ3205" s="1"/>
      <c r="AQ3205" s="1"/>
      <c r="AX3205" s="1"/>
    </row>
    <row r="3206" spans="1:50" x14ac:dyDescent="0.25">
      <c r="A3206" s="1"/>
      <c r="H3206" s="1"/>
      <c r="O3206" s="1"/>
      <c r="V3206" s="1"/>
      <c r="AC3206" s="1"/>
      <c r="AJ3206" s="1"/>
      <c r="AQ3206" s="1"/>
      <c r="AX3206" s="1"/>
    </row>
    <row r="3207" spans="1:50" x14ac:dyDescent="0.25">
      <c r="A3207" s="1"/>
      <c r="H3207" s="1"/>
      <c r="O3207" s="1"/>
      <c r="V3207" s="1"/>
      <c r="AC3207" s="1"/>
      <c r="AJ3207" s="1"/>
      <c r="AQ3207" s="1"/>
      <c r="AX3207" s="1"/>
    </row>
    <row r="3208" spans="1:50" x14ac:dyDescent="0.25">
      <c r="A3208" s="1"/>
      <c r="H3208" s="1"/>
      <c r="O3208" s="1"/>
      <c r="V3208" s="1"/>
      <c r="AC3208" s="1"/>
      <c r="AJ3208" s="1"/>
      <c r="AQ3208" s="1"/>
      <c r="AX3208" s="1"/>
    </row>
    <row r="3209" spans="1:50" x14ac:dyDescent="0.25">
      <c r="A3209" s="1"/>
      <c r="H3209" s="1"/>
      <c r="O3209" s="1"/>
      <c r="V3209" s="1"/>
      <c r="AC3209" s="1"/>
      <c r="AJ3209" s="1"/>
      <c r="AQ3209" s="1"/>
      <c r="AX3209" s="1"/>
    </row>
    <row r="3210" spans="1:50" x14ac:dyDescent="0.25">
      <c r="A3210" s="1"/>
      <c r="H3210" s="1"/>
      <c r="O3210" s="1"/>
      <c r="V3210" s="1"/>
      <c r="AC3210" s="1"/>
      <c r="AJ3210" s="1"/>
      <c r="AQ3210" s="1"/>
      <c r="AX3210" s="1"/>
    </row>
    <row r="3211" spans="1:50" x14ac:dyDescent="0.25">
      <c r="A3211" s="1"/>
      <c r="H3211" s="1"/>
      <c r="O3211" s="1"/>
      <c r="V3211" s="1"/>
      <c r="AC3211" s="1"/>
      <c r="AJ3211" s="1"/>
      <c r="AQ3211" s="1"/>
      <c r="AX3211" s="1"/>
    </row>
    <row r="3212" spans="1:50" x14ac:dyDescent="0.25">
      <c r="A3212" s="1"/>
      <c r="H3212" s="1"/>
      <c r="O3212" s="1"/>
      <c r="V3212" s="1"/>
      <c r="AC3212" s="1"/>
      <c r="AJ3212" s="1"/>
      <c r="AQ3212" s="1"/>
      <c r="AX3212" s="1"/>
    </row>
    <row r="3213" spans="1:50" x14ac:dyDescent="0.25">
      <c r="A3213" s="1"/>
      <c r="H3213" s="1"/>
      <c r="O3213" s="1"/>
      <c r="V3213" s="1"/>
      <c r="AC3213" s="1"/>
      <c r="AJ3213" s="1"/>
      <c r="AQ3213" s="1"/>
      <c r="AX3213" s="1"/>
    </row>
    <row r="3214" spans="1:50" x14ac:dyDescent="0.25">
      <c r="A3214" s="1"/>
      <c r="H3214" s="1"/>
      <c r="O3214" s="1"/>
      <c r="V3214" s="1"/>
      <c r="AC3214" s="1"/>
      <c r="AJ3214" s="1"/>
      <c r="AQ3214" s="1"/>
      <c r="AX3214" s="1"/>
    </row>
    <row r="3215" spans="1:50" x14ac:dyDescent="0.25">
      <c r="A3215" s="1"/>
      <c r="H3215" s="1"/>
      <c r="O3215" s="1"/>
      <c r="V3215" s="1"/>
      <c r="AC3215" s="1"/>
      <c r="AJ3215" s="1"/>
      <c r="AQ3215" s="1"/>
      <c r="AX3215" s="1"/>
    </row>
    <row r="3216" spans="1:50" x14ac:dyDescent="0.25">
      <c r="A3216" s="1"/>
      <c r="H3216" s="1"/>
      <c r="O3216" s="1"/>
      <c r="V3216" s="1"/>
      <c r="AC3216" s="1"/>
      <c r="AJ3216" s="1"/>
      <c r="AQ3216" s="1"/>
      <c r="AX3216" s="1"/>
    </row>
    <row r="3217" spans="1:50" x14ac:dyDescent="0.25">
      <c r="A3217" s="1"/>
      <c r="H3217" s="1"/>
      <c r="O3217" s="1"/>
      <c r="V3217" s="1"/>
      <c r="AC3217" s="1"/>
      <c r="AJ3217" s="1"/>
      <c r="AQ3217" s="1"/>
      <c r="AX3217" s="1"/>
    </row>
    <row r="3218" spans="1:50" x14ac:dyDescent="0.25">
      <c r="A3218" s="1"/>
      <c r="H3218" s="1"/>
      <c r="O3218" s="1"/>
      <c r="V3218" s="1"/>
      <c r="AC3218" s="1"/>
      <c r="AJ3218" s="1"/>
      <c r="AQ3218" s="1"/>
      <c r="AX3218" s="1"/>
    </row>
    <row r="3219" spans="1:50" x14ac:dyDescent="0.25">
      <c r="A3219" s="1"/>
      <c r="H3219" s="1"/>
      <c r="O3219" s="1"/>
      <c r="V3219" s="1"/>
      <c r="AC3219" s="1"/>
      <c r="AJ3219" s="1"/>
      <c r="AQ3219" s="1"/>
      <c r="AX3219" s="1"/>
    </row>
    <row r="3220" spans="1:50" x14ac:dyDescent="0.25">
      <c r="A3220" s="1"/>
      <c r="H3220" s="1"/>
      <c r="O3220" s="1"/>
      <c r="V3220" s="1"/>
      <c r="AC3220" s="1"/>
      <c r="AJ3220" s="1"/>
      <c r="AQ3220" s="1"/>
      <c r="AX3220" s="1"/>
    </row>
    <row r="3221" spans="1:50" x14ac:dyDescent="0.25">
      <c r="A3221" s="1"/>
      <c r="H3221" s="1"/>
      <c r="O3221" s="1"/>
      <c r="V3221" s="1"/>
      <c r="AC3221" s="1"/>
      <c r="AJ3221" s="1"/>
      <c r="AQ3221" s="1"/>
      <c r="AX3221" s="1"/>
    </row>
    <row r="3222" spans="1:50" x14ac:dyDescent="0.25">
      <c r="A3222" s="1"/>
      <c r="H3222" s="1"/>
      <c r="O3222" s="1"/>
      <c r="V3222" s="1"/>
      <c r="AC3222" s="1"/>
      <c r="AJ3222" s="1"/>
      <c r="AQ3222" s="1"/>
      <c r="AX3222" s="1"/>
    </row>
    <row r="3223" spans="1:50" x14ac:dyDescent="0.25">
      <c r="A3223" s="1"/>
      <c r="H3223" s="1"/>
      <c r="O3223" s="1"/>
      <c r="V3223" s="1"/>
      <c r="AC3223" s="1"/>
      <c r="AJ3223" s="1"/>
      <c r="AQ3223" s="1"/>
      <c r="AX3223" s="1"/>
    </row>
    <row r="3224" spans="1:50" x14ac:dyDescent="0.25">
      <c r="A3224" s="1"/>
      <c r="H3224" s="1"/>
      <c r="O3224" s="1"/>
      <c r="V3224" s="1"/>
      <c r="AC3224" s="1"/>
      <c r="AJ3224" s="1"/>
      <c r="AQ3224" s="1"/>
      <c r="AX3224" s="1"/>
    </row>
    <row r="3225" spans="1:50" x14ac:dyDescent="0.25">
      <c r="A3225" s="1"/>
      <c r="H3225" s="1"/>
      <c r="O3225" s="1"/>
      <c r="V3225" s="1"/>
      <c r="AC3225" s="1"/>
      <c r="AJ3225" s="1"/>
      <c r="AQ3225" s="1"/>
      <c r="AX3225" s="1"/>
    </row>
    <row r="3226" spans="1:50" x14ac:dyDescent="0.25">
      <c r="A3226" s="1"/>
      <c r="H3226" s="1"/>
      <c r="O3226" s="1"/>
      <c r="V3226" s="1"/>
      <c r="AC3226" s="1"/>
      <c r="AJ3226" s="1"/>
      <c r="AQ3226" s="1"/>
      <c r="AX3226" s="1"/>
    </row>
    <row r="3227" spans="1:50" x14ac:dyDescent="0.25">
      <c r="A3227" s="1"/>
      <c r="H3227" s="1"/>
      <c r="O3227" s="1"/>
      <c r="V3227" s="1"/>
      <c r="AC3227" s="1"/>
      <c r="AJ3227" s="1"/>
      <c r="AQ3227" s="1"/>
      <c r="AX3227" s="1"/>
    </row>
    <row r="3228" spans="1:50" x14ac:dyDescent="0.25">
      <c r="A3228" s="1"/>
      <c r="H3228" s="1"/>
      <c r="O3228" s="1"/>
      <c r="V3228" s="1"/>
      <c r="AC3228" s="1"/>
      <c r="AJ3228" s="1"/>
      <c r="AQ3228" s="1"/>
      <c r="AX3228" s="1"/>
    </row>
    <row r="3229" spans="1:50" x14ac:dyDescent="0.25">
      <c r="A3229" s="1"/>
      <c r="H3229" s="1"/>
      <c r="O3229" s="1"/>
      <c r="V3229" s="1"/>
      <c r="AC3229" s="1"/>
      <c r="AJ3229" s="1"/>
      <c r="AQ3229" s="1"/>
      <c r="AX3229" s="1"/>
    </row>
    <row r="3230" spans="1:50" x14ac:dyDescent="0.25">
      <c r="A3230" s="1"/>
      <c r="H3230" s="1"/>
      <c r="O3230" s="1"/>
      <c r="V3230" s="1"/>
      <c r="AC3230" s="1"/>
      <c r="AJ3230" s="1"/>
      <c r="AQ3230" s="1"/>
      <c r="AX3230" s="1"/>
    </row>
    <row r="3231" spans="1:50" x14ac:dyDescent="0.25">
      <c r="A3231" s="1"/>
      <c r="H3231" s="1"/>
      <c r="O3231" s="1"/>
      <c r="V3231" s="1"/>
      <c r="AC3231" s="1"/>
      <c r="AJ3231" s="1"/>
      <c r="AQ3231" s="1"/>
      <c r="AX3231" s="1"/>
    </row>
    <row r="3232" spans="1:50" x14ac:dyDescent="0.25">
      <c r="A3232" s="1"/>
      <c r="H3232" s="1"/>
      <c r="O3232" s="1"/>
      <c r="V3232" s="1"/>
      <c r="AC3232" s="1"/>
      <c r="AJ3232" s="1"/>
      <c r="AQ3232" s="1"/>
      <c r="AX3232" s="1"/>
    </row>
    <row r="3233" spans="1:50" x14ac:dyDescent="0.25">
      <c r="A3233" s="1"/>
      <c r="H3233" s="1"/>
      <c r="O3233" s="1"/>
      <c r="V3233" s="1"/>
      <c r="AC3233" s="1"/>
      <c r="AJ3233" s="1"/>
      <c r="AQ3233" s="1"/>
      <c r="AX3233" s="1"/>
    </row>
    <row r="3234" spans="1:50" x14ac:dyDescent="0.25">
      <c r="A3234" s="1"/>
      <c r="H3234" s="1"/>
      <c r="O3234" s="1"/>
      <c r="V3234" s="1"/>
      <c r="AC3234" s="1"/>
      <c r="AJ3234" s="1"/>
      <c r="AQ3234" s="1"/>
      <c r="AX3234" s="1"/>
    </row>
    <row r="3235" spans="1:50" x14ac:dyDescent="0.25">
      <c r="A3235" s="1"/>
      <c r="H3235" s="1"/>
      <c r="O3235" s="1"/>
      <c r="V3235" s="1"/>
      <c r="AC3235" s="1"/>
      <c r="AJ3235" s="1"/>
      <c r="AQ3235" s="1"/>
      <c r="AX3235" s="1"/>
    </row>
    <row r="3236" spans="1:50" x14ac:dyDescent="0.25">
      <c r="A3236" s="1"/>
      <c r="H3236" s="1"/>
      <c r="O3236" s="1"/>
      <c r="V3236" s="1"/>
      <c r="AC3236" s="1"/>
      <c r="AJ3236" s="1"/>
      <c r="AQ3236" s="1"/>
      <c r="AX3236" s="1"/>
    </row>
    <row r="3237" spans="1:50" x14ac:dyDescent="0.25">
      <c r="A3237" s="1"/>
      <c r="H3237" s="1"/>
      <c r="O3237" s="1"/>
      <c r="V3237" s="1"/>
      <c r="AC3237" s="1"/>
      <c r="AJ3237" s="1"/>
      <c r="AQ3237" s="1"/>
      <c r="AX3237" s="1"/>
    </row>
    <row r="3238" spans="1:50" x14ac:dyDescent="0.25">
      <c r="A3238" s="1"/>
      <c r="H3238" s="1"/>
      <c r="O3238" s="1"/>
      <c r="V3238" s="1"/>
      <c r="AC3238" s="1"/>
      <c r="AJ3238" s="1"/>
      <c r="AQ3238" s="1"/>
      <c r="AX3238" s="1"/>
    </row>
    <row r="3239" spans="1:50" x14ac:dyDescent="0.25">
      <c r="A3239" s="1"/>
      <c r="H3239" s="1"/>
      <c r="O3239" s="1"/>
      <c r="V3239" s="1"/>
      <c r="AC3239" s="1"/>
      <c r="AJ3239" s="1"/>
      <c r="AQ3239" s="1"/>
      <c r="AX3239" s="1"/>
    </row>
    <row r="3240" spans="1:50" x14ac:dyDescent="0.25">
      <c r="A3240" s="1"/>
      <c r="H3240" s="1"/>
      <c r="O3240" s="1"/>
      <c r="V3240" s="1"/>
      <c r="AC3240" s="1"/>
      <c r="AJ3240" s="1"/>
      <c r="AQ3240" s="1"/>
      <c r="AX3240" s="1"/>
    </row>
    <row r="3241" spans="1:50" x14ac:dyDescent="0.25">
      <c r="A3241" s="1"/>
      <c r="H3241" s="1"/>
      <c r="O3241" s="1"/>
      <c r="V3241" s="1"/>
      <c r="AC3241" s="1"/>
      <c r="AJ3241" s="1"/>
      <c r="AQ3241" s="1"/>
      <c r="AX3241" s="1"/>
    </row>
    <row r="3242" spans="1:50" x14ac:dyDescent="0.25">
      <c r="A3242" s="1"/>
      <c r="H3242" s="1"/>
      <c r="O3242" s="1"/>
      <c r="V3242" s="1"/>
      <c r="AC3242" s="1"/>
      <c r="AJ3242" s="1"/>
      <c r="AQ3242" s="1"/>
      <c r="AX3242" s="1"/>
    </row>
    <row r="3243" spans="1:50" x14ac:dyDescent="0.25">
      <c r="A3243" s="1"/>
      <c r="H3243" s="1"/>
      <c r="O3243" s="1"/>
      <c r="V3243" s="1"/>
      <c r="AC3243" s="1"/>
      <c r="AJ3243" s="1"/>
      <c r="AQ3243" s="1"/>
      <c r="AX3243" s="1"/>
    </row>
    <row r="3244" spans="1:50" x14ac:dyDescent="0.25">
      <c r="A3244" s="1"/>
      <c r="H3244" s="1"/>
      <c r="O3244" s="1"/>
      <c r="V3244" s="1"/>
      <c r="AC3244" s="1"/>
      <c r="AJ3244" s="1"/>
      <c r="AQ3244" s="1"/>
      <c r="AX3244" s="1"/>
    </row>
    <row r="3245" spans="1:50" x14ac:dyDescent="0.25">
      <c r="A3245" s="1"/>
      <c r="H3245" s="1"/>
      <c r="O3245" s="1"/>
      <c r="V3245" s="1"/>
      <c r="AC3245" s="1"/>
      <c r="AJ3245" s="1"/>
      <c r="AQ3245" s="1"/>
      <c r="AX3245" s="1"/>
    </row>
    <row r="3246" spans="1:50" x14ac:dyDescent="0.25">
      <c r="A3246" s="1"/>
      <c r="H3246" s="1"/>
      <c r="O3246" s="1"/>
      <c r="V3246" s="1"/>
      <c r="AC3246" s="1"/>
      <c r="AJ3246" s="1"/>
      <c r="AQ3246" s="1"/>
      <c r="AX3246" s="1"/>
    </row>
    <row r="3247" spans="1:50" x14ac:dyDescent="0.25">
      <c r="A3247" s="1"/>
      <c r="H3247" s="1"/>
      <c r="O3247" s="1"/>
      <c r="V3247" s="1"/>
      <c r="AC3247" s="1"/>
      <c r="AJ3247" s="1"/>
      <c r="AQ3247" s="1"/>
      <c r="AX3247" s="1"/>
    </row>
    <row r="3248" spans="1:50" x14ac:dyDescent="0.25">
      <c r="A3248" s="1"/>
      <c r="H3248" s="1"/>
      <c r="O3248" s="1"/>
      <c r="V3248" s="1"/>
      <c r="AC3248" s="1"/>
      <c r="AJ3248" s="1"/>
      <c r="AQ3248" s="1"/>
      <c r="AX3248" s="1"/>
    </row>
    <row r="3249" spans="1:50" x14ac:dyDescent="0.25">
      <c r="A3249" s="1"/>
      <c r="H3249" s="1"/>
      <c r="O3249" s="1"/>
      <c r="V3249" s="1"/>
      <c r="AC3249" s="1"/>
      <c r="AJ3249" s="1"/>
      <c r="AQ3249" s="1"/>
      <c r="AX3249" s="1"/>
    </row>
    <row r="3250" spans="1:50" x14ac:dyDescent="0.25">
      <c r="A3250" s="1"/>
      <c r="H3250" s="1"/>
      <c r="O3250" s="1"/>
      <c r="V3250" s="1"/>
      <c r="AC3250" s="1"/>
      <c r="AJ3250" s="1"/>
      <c r="AQ3250" s="1"/>
      <c r="AX3250" s="1"/>
    </row>
    <row r="3251" spans="1:50" x14ac:dyDescent="0.25">
      <c r="A3251" s="1"/>
      <c r="H3251" s="1"/>
      <c r="O3251" s="1"/>
      <c r="V3251" s="1"/>
      <c r="AC3251" s="1"/>
      <c r="AJ3251" s="1"/>
      <c r="AQ3251" s="1"/>
      <c r="AX3251" s="1"/>
    </row>
    <row r="3252" spans="1:50" x14ac:dyDescent="0.25">
      <c r="A3252" s="1"/>
      <c r="H3252" s="1"/>
      <c r="O3252" s="1"/>
      <c r="V3252" s="1"/>
      <c r="AC3252" s="1"/>
      <c r="AJ3252" s="1"/>
      <c r="AQ3252" s="1"/>
      <c r="AX3252" s="1"/>
    </row>
    <row r="3253" spans="1:50" x14ac:dyDescent="0.25">
      <c r="A3253" s="1"/>
      <c r="H3253" s="1"/>
      <c r="O3253" s="1"/>
      <c r="V3253" s="1"/>
      <c r="AC3253" s="1"/>
      <c r="AJ3253" s="1"/>
      <c r="AQ3253" s="1"/>
      <c r="AX3253" s="1"/>
    </row>
    <row r="3254" spans="1:50" x14ac:dyDescent="0.25">
      <c r="A3254" s="1"/>
      <c r="H3254" s="1"/>
      <c r="O3254" s="1"/>
      <c r="V3254" s="1"/>
      <c r="AC3254" s="1"/>
      <c r="AJ3254" s="1"/>
      <c r="AQ3254" s="1"/>
      <c r="AX3254" s="1"/>
    </row>
    <row r="3255" spans="1:50" x14ac:dyDescent="0.25">
      <c r="A3255" s="1"/>
      <c r="H3255" s="1"/>
      <c r="O3255" s="1"/>
      <c r="V3255" s="1"/>
      <c r="AC3255" s="1"/>
      <c r="AJ3255" s="1"/>
      <c r="AQ3255" s="1"/>
      <c r="AX3255" s="1"/>
    </row>
    <row r="3256" spans="1:50" x14ac:dyDescent="0.25">
      <c r="A3256" s="1"/>
      <c r="H3256" s="1"/>
      <c r="O3256" s="1"/>
      <c r="V3256" s="1"/>
      <c r="AC3256" s="1"/>
      <c r="AJ3256" s="1"/>
      <c r="AQ3256" s="1"/>
      <c r="AX3256" s="1"/>
    </row>
    <row r="3257" spans="1:50" x14ac:dyDescent="0.25">
      <c r="A3257" s="1"/>
      <c r="H3257" s="1"/>
      <c r="O3257" s="1"/>
      <c r="V3257" s="1"/>
      <c r="AC3257" s="1"/>
      <c r="AJ3257" s="1"/>
      <c r="AQ3257" s="1"/>
      <c r="AX3257" s="1"/>
    </row>
    <row r="3258" spans="1:50" x14ac:dyDescent="0.25">
      <c r="A3258" s="1"/>
      <c r="H3258" s="1"/>
      <c r="O3258" s="1"/>
      <c r="V3258" s="1"/>
      <c r="AC3258" s="1"/>
      <c r="AJ3258" s="1"/>
      <c r="AQ3258" s="1"/>
      <c r="AX3258" s="1"/>
    </row>
    <row r="3259" spans="1:50" x14ac:dyDescent="0.25">
      <c r="A3259" s="1"/>
      <c r="H3259" s="1"/>
      <c r="O3259" s="1"/>
      <c r="V3259" s="1"/>
      <c r="AC3259" s="1"/>
      <c r="AJ3259" s="1"/>
      <c r="AQ3259" s="1"/>
      <c r="AX3259" s="1"/>
    </row>
    <row r="3260" spans="1:50" x14ac:dyDescent="0.25">
      <c r="A3260" s="1"/>
      <c r="H3260" s="1"/>
      <c r="O3260" s="1"/>
      <c r="V3260" s="1"/>
      <c r="AC3260" s="1"/>
      <c r="AJ3260" s="1"/>
      <c r="AQ3260" s="1"/>
      <c r="AX3260" s="1"/>
    </row>
    <row r="3261" spans="1:50" x14ac:dyDescent="0.25">
      <c r="A3261" s="1"/>
      <c r="H3261" s="1"/>
      <c r="O3261" s="1"/>
      <c r="V3261" s="1"/>
      <c r="AC3261" s="1"/>
      <c r="AJ3261" s="1"/>
      <c r="AQ3261" s="1"/>
      <c r="AX3261" s="1"/>
    </row>
    <row r="3262" spans="1:50" x14ac:dyDescent="0.25">
      <c r="A3262" s="1"/>
      <c r="H3262" s="1"/>
      <c r="O3262" s="1"/>
      <c r="V3262" s="1"/>
      <c r="AC3262" s="1"/>
      <c r="AJ3262" s="1"/>
      <c r="AQ3262" s="1"/>
      <c r="AX3262" s="1"/>
    </row>
    <row r="3263" spans="1:50" x14ac:dyDescent="0.25">
      <c r="A3263" s="1"/>
      <c r="H3263" s="1"/>
      <c r="O3263" s="1"/>
      <c r="V3263" s="1"/>
      <c r="AC3263" s="1"/>
      <c r="AJ3263" s="1"/>
      <c r="AQ3263" s="1"/>
      <c r="AX3263" s="1"/>
    </row>
    <row r="3264" spans="1:50" x14ac:dyDescent="0.25">
      <c r="A3264" s="1"/>
      <c r="H3264" s="1"/>
      <c r="O3264" s="1"/>
      <c r="V3264" s="1"/>
      <c r="AC3264" s="1"/>
      <c r="AJ3264" s="1"/>
      <c r="AQ3264" s="1"/>
      <c r="AX3264" s="1"/>
    </row>
    <row r="3265" spans="1:50" x14ac:dyDescent="0.25">
      <c r="A3265" s="1"/>
      <c r="H3265" s="1"/>
      <c r="O3265" s="1"/>
      <c r="V3265" s="1"/>
      <c r="AC3265" s="1"/>
      <c r="AJ3265" s="1"/>
      <c r="AQ3265" s="1"/>
      <c r="AX3265" s="1"/>
    </row>
    <row r="3266" spans="1:50" x14ac:dyDescent="0.25">
      <c r="A3266" s="1"/>
      <c r="H3266" s="1"/>
      <c r="O3266" s="1"/>
      <c r="V3266" s="1"/>
      <c r="AC3266" s="1"/>
      <c r="AJ3266" s="1"/>
      <c r="AQ3266" s="1"/>
      <c r="AX3266" s="1"/>
    </row>
    <row r="3267" spans="1:50" x14ac:dyDescent="0.25">
      <c r="A3267" s="1"/>
      <c r="H3267" s="1"/>
      <c r="O3267" s="1"/>
      <c r="V3267" s="1"/>
      <c r="AC3267" s="1"/>
      <c r="AJ3267" s="1"/>
      <c r="AQ3267" s="1"/>
      <c r="AX3267" s="1"/>
    </row>
    <row r="3268" spans="1:50" x14ac:dyDescent="0.25">
      <c r="A3268" s="1"/>
      <c r="H3268" s="1"/>
      <c r="O3268" s="1"/>
      <c r="V3268" s="1"/>
      <c r="AC3268" s="1"/>
      <c r="AJ3268" s="1"/>
      <c r="AQ3268" s="1"/>
      <c r="AX3268" s="1"/>
    </row>
    <row r="3269" spans="1:50" x14ac:dyDescent="0.25">
      <c r="A3269" s="1"/>
      <c r="H3269" s="1"/>
      <c r="O3269" s="1"/>
      <c r="V3269" s="1"/>
      <c r="AC3269" s="1"/>
      <c r="AJ3269" s="1"/>
      <c r="AQ3269" s="1"/>
      <c r="AX3269" s="1"/>
    </row>
    <row r="3270" spans="1:50" x14ac:dyDescent="0.25">
      <c r="A3270" s="1"/>
      <c r="H3270" s="1"/>
      <c r="O3270" s="1"/>
      <c r="V3270" s="1"/>
      <c r="AC3270" s="1"/>
      <c r="AJ3270" s="1"/>
      <c r="AQ3270" s="1"/>
      <c r="AX3270" s="1"/>
    </row>
    <row r="3271" spans="1:50" x14ac:dyDescent="0.25">
      <c r="A3271" s="1"/>
      <c r="H3271" s="1"/>
      <c r="O3271" s="1"/>
      <c r="V3271" s="1"/>
      <c r="AC3271" s="1"/>
      <c r="AJ3271" s="1"/>
      <c r="AQ3271" s="1"/>
      <c r="AX3271" s="1"/>
    </row>
    <row r="3272" spans="1:50" x14ac:dyDescent="0.25">
      <c r="A3272" s="1"/>
      <c r="H3272" s="1"/>
      <c r="O3272" s="1"/>
      <c r="V3272" s="1"/>
      <c r="AC3272" s="1"/>
      <c r="AJ3272" s="1"/>
      <c r="AQ3272" s="1"/>
      <c r="AX3272" s="1"/>
    </row>
    <row r="3273" spans="1:50" x14ac:dyDescent="0.25">
      <c r="A3273" s="1"/>
      <c r="H3273" s="1"/>
      <c r="O3273" s="1"/>
      <c r="V3273" s="1"/>
      <c r="AC3273" s="1"/>
      <c r="AJ3273" s="1"/>
      <c r="AQ3273" s="1"/>
      <c r="AX3273" s="1"/>
    </row>
    <row r="3274" spans="1:50" x14ac:dyDescent="0.25">
      <c r="A3274" s="1"/>
      <c r="H3274" s="1"/>
      <c r="O3274" s="1"/>
      <c r="V3274" s="1"/>
      <c r="AC3274" s="1"/>
      <c r="AJ3274" s="1"/>
      <c r="AQ3274" s="1"/>
      <c r="AX3274" s="1"/>
    </row>
    <row r="3275" spans="1:50" x14ac:dyDescent="0.25">
      <c r="A3275" s="1"/>
      <c r="H3275" s="1"/>
      <c r="O3275" s="1"/>
      <c r="V3275" s="1"/>
      <c r="AC3275" s="1"/>
      <c r="AJ3275" s="1"/>
      <c r="AQ3275" s="1"/>
      <c r="AX3275" s="1"/>
    </row>
    <row r="3276" spans="1:50" x14ac:dyDescent="0.25">
      <c r="A3276" s="1"/>
      <c r="H3276" s="1"/>
      <c r="O3276" s="1"/>
      <c r="V3276" s="1"/>
      <c r="AC3276" s="1"/>
      <c r="AJ3276" s="1"/>
      <c r="AQ3276" s="1"/>
      <c r="AX3276" s="1"/>
    </row>
    <row r="3277" spans="1:50" x14ac:dyDescent="0.25">
      <c r="A3277" s="1"/>
      <c r="H3277" s="1"/>
      <c r="O3277" s="1"/>
      <c r="V3277" s="1"/>
      <c r="AC3277" s="1"/>
      <c r="AJ3277" s="1"/>
      <c r="AQ3277" s="1"/>
      <c r="AX3277" s="1"/>
    </row>
    <row r="3278" spans="1:50" x14ac:dyDescent="0.25">
      <c r="A3278" s="1"/>
      <c r="H3278" s="1"/>
      <c r="O3278" s="1"/>
      <c r="V3278" s="1"/>
      <c r="AC3278" s="1"/>
      <c r="AJ3278" s="1"/>
      <c r="AQ3278" s="1"/>
      <c r="AX3278" s="1"/>
    </row>
    <row r="3279" spans="1:50" x14ac:dyDescent="0.25">
      <c r="A3279" s="1"/>
      <c r="H3279" s="1"/>
      <c r="O3279" s="1"/>
      <c r="V3279" s="1"/>
      <c r="AC3279" s="1"/>
      <c r="AJ3279" s="1"/>
      <c r="AQ3279" s="1"/>
      <c r="AX3279" s="1"/>
    </row>
    <row r="3280" spans="1:50" x14ac:dyDescent="0.25">
      <c r="A3280" s="1"/>
      <c r="H3280" s="1"/>
      <c r="O3280" s="1"/>
      <c r="V3280" s="1"/>
      <c r="AC3280" s="1"/>
      <c r="AJ3280" s="1"/>
      <c r="AQ3280" s="1"/>
      <c r="AX3280" s="1"/>
    </row>
    <row r="3281" spans="1:50" x14ac:dyDescent="0.25">
      <c r="A3281" s="1"/>
      <c r="H3281" s="1"/>
      <c r="O3281" s="1"/>
      <c r="V3281" s="1"/>
      <c r="AC3281" s="1"/>
      <c r="AJ3281" s="1"/>
      <c r="AQ3281" s="1"/>
      <c r="AX3281" s="1"/>
    </row>
    <row r="3282" spans="1:50" x14ac:dyDescent="0.25">
      <c r="A3282" s="1"/>
      <c r="H3282" s="1"/>
      <c r="O3282" s="1"/>
      <c r="V3282" s="1"/>
      <c r="AC3282" s="1"/>
      <c r="AJ3282" s="1"/>
      <c r="AQ3282" s="1"/>
      <c r="AX3282" s="1"/>
    </row>
    <row r="3283" spans="1:50" x14ac:dyDescent="0.25">
      <c r="A3283" s="1"/>
      <c r="H3283" s="1"/>
      <c r="O3283" s="1"/>
      <c r="V3283" s="1"/>
      <c r="AC3283" s="1"/>
      <c r="AJ3283" s="1"/>
      <c r="AQ3283" s="1"/>
      <c r="AX3283" s="1"/>
    </row>
    <row r="3284" spans="1:50" x14ac:dyDescent="0.25">
      <c r="A3284" s="1"/>
      <c r="H3284" s="1"/>
      <c r="O3284" s="1"/>
      <c r="V3284" s="1"/>
      <c r="AC3284" s="1"/>
      <c r="AJ3284" s="1"/>
      <c r="AQ3284" s="1"/>
      <c r="AX3284" s="1"/>
    </row>
    <row r="3285" spans="1:50" x14ac:dyDescent="0.25">
      <c r="A3285" s="1"/>
      <c r="H3285" s="1"/>
      <c r="O3285" s="1"/>
      <c r="V3285" s="1"/>
      <c r="AC3285" s="1"/>
      <c r="AJ3285" s="1"/>
      <c r="AQ3285" s="1"/>
      <c r="AX3285" s="1"/>
    </row>
    <row r="3286" spans="1:50" x14ac:dyDescent="0.25">
      <c r="A3286" s="1"/>
      <c r="H3286" s="1"/>
      <c r="O3286" s="1"/>
      <c r="V3286" s="1"/>
      <c r="AC3286" s="1"/>
      <c r="AJ3286" s="1"/>
      <c r="AQ3286" s="1"/>
      <c r="AX3286" s="1"/>
    </row>
    <row r="3287" spans="1:50" x14ac:dyDescent="0.25">
      <c r="A3287" s="1"/>
      <c r="H3287" s="1"/>
      <c r="O3287" s="1"/>
      <c r="V3287" s="1"/>
      <c r="AC3287" s="1"/>
      <c r="AJ3287" s="1"/>
      <c r="AQ3287" s="1"/>
      <c r="AX3287" s="1"/>
    </row>
    <row r="3288" spans="1:50" x14ac:dyDescent="0.25">
      <c r="A3288" s="1"/>
      <c r="H3288" s="1"/>
      <c r="O3288" s="1"/>
      <c r="V3288" s="1"/>
      <c r="AC3288" s="1"/>
      <c r="AJ3288" s="1"/>
      <c r="AQ3288" s="1"/>
      <c r="AX3288" s="1"/>
    </row>
    <row r="3289" spans="1:50" x14ac:dyDescent="0.25">
      <c r="A3289" s="1"/>
      <c r="H3289" s="1"/>
      <c r="O3289" s="1"/>
      <c r="V3289" s="1"/>
      <c r="AC3289" s="1"/>
      <c r="AJ3289" s="1"/>
      <c r="AQ3289" s="1"/>
      <c r="AX3289" s="1"/>
    </row>
    <row r="3290" spans="1:50" x14ac:dyDescent="0.25">
      <c r="A3290" s="1"/>
      <c r="H3290" s="1"/>
      <c r="O3290" s="1"/>
      <c r="V3290" s="1"/>
      <c r="AC3290" s="1"/>
      <c r="AJ3290" s="1"/>
      <c r="AQ3290" s="1"/>
      <c r="AX3290" s="1"/>
    </row>
    <row r="3291" spans="1:50" x14ac:dyDescent="0.25">
      <c r="A3291" s="1"/>
      <c r="H3291" s="1"/>
      <c r="O3291" s="1"/>
      <c r="V3291" s="1"/>
      <c r="AC3291" s="1"/>
      <c r="AJ3291" s="1"/>
      <c r="AQ3291" s="1"/>
      <c r="AX3291" s="1"/>
    </row>
    <row r="3292" spans="1:50" x14ac:dyDescent="0.25">
      <c r="A3292" s="1"/>
      <c r="H3292" s="1"/>
      <c r="O3292" s="1"/>
      <c r="V3292" s="1"/>
      <c r="AC3292" s="1"/>
      <c r="AJ3292" s="1"/>
      <c r="AQ3292" s="1"/>
      <c r="AX3292" s="1"/>
    </row>
    <row r="3293" spans="1:50" x14ac:dyDescent="0.25">
      <c r="A3293" s="1"/>
      <c r="H3293" s="1"/>
      <c r="O3293" s="1"/>
      <c r="V3293" s="1"/>
      <c r="AC3293" s="1"/>
      <c r="AJ3293" s="1"/>
      <c r="AQ3293" s="1"/>
      <c r="AX3293" s="1"/>
    </row>
    <row r="3294" spans="1:50" x14ac:dyDescent="0.25">
      <c r="A3294" s="1"/>
      <c r="H3294" s="1"/>
      <c r="O3294" s="1"/>
      <c r="V3294" s="1"/>
      <c r="AC3294" s="1"/>
      <c r="AJ3294" s="1"/>
      <c r="AQ3294" s="1"/>
      <c r="AX3294" s="1"/>
    </row>
    <row r="3295" spans="1:50" x14ac:dyDescent="0.25">
      <c r="A3295" s="1"/>
      <c r="H3295" s="1"/>
      <c r="O3295" s="1"/>
      <c r="V3295" s="1"/>
      <c r="AC3295" s="1"/>
      <c r="AJ3295" s="1"/>
      <c r="AQ3295" s="1"/>
      <c r="AX3295" s="1"/>
    </row>
    <row r="3296" spans="1:50" x14ac:dyDescent="0.25">
      <c r="A3296" s="1"/>
      <c r="H3296" s="1"/>
      <c r="O3296" s="1"/>
      <c r="V3296" s="1"/>
      <c r="AC3296" s="1"/>
      <c r="AJ3296" s="1"/>
      <c r="AQ3296" s="1"/>
      <c r="AX3296" s="1"/>
    </row>
    <row r="3297" spans="1:50" x14ac:dyDescent="0.25">
      <c r="A3297" s="1"/>
      <c r="H3297" s="1"/>
      <c r="O3297" s="1"/>
      <c r="V3297" s="1"/>
      <c r="AC3297" s="1"/>
      <c r="AJ3297" s="1"/>
      <c r="AQ3297" s="1"/>
      <c r="AX3297" s="1"/>
    </row>
    <row r="3298" spans="1:50" x14ac:dyDescent="0.25">
      <c r="A3298" s="1"/>
      <c r="H3298" s="1"/>
      <c r="O3298" s="1"/>
      <c r="V3298" s="1"/>
      <c r="AC3298" s="1"/>
      <c r="AJ3298" s="1"/>
      <c r="AQ3298" s="1"/>
      <c r="AX3298" s="1"/>
    </row>
    <row r="3299" spans="1:50" x14ac:dyDescent="0.25">
      <c r="A3299" s="1"/>
      <c r="H3299" s="1"/>
      <c r="O3299" s="1"/>
      <c r="V3299" s="1"/>
      <c r="AC3299" s="1"/>
      <c r="AJ3299" s="1"/>
      <c r="AQ3299" s="1"/>
      <c r="AX3299" s="1"/>
    </row>
    <row r="3300" spans="1:50" x14ac:dyDescent="0.25">
      <c r="A3300" s="1"/>
      <c r="H3300" s="1"/>
      <c r="O3300" s="1"/>
      <c r="V3300" s="1"/>
      <c r="AC3300" s="1"/>
      <c r="AJ3300" s="1"/>
      <c r="AQ3300" s="1"/>
      <c r="AX3300" s="1"/>
    </row>
    <row r="3301" spans="1:50" x14ac:dyDescent="0.25">
      <c r="A3301" s="1"/>
      <c r="H3301" s="1"/>
      <c r="O3301" s="1"/>
      <c r="V3301" s="1"/>
      <c r="AC3301" s="1"/>
      <c r="AJ3301" s="1"/>
      <c r="AQ3301" s="1"/>
      <c r="AX3301" s="1"/>
    </row>
    <row r="3302" spans="1:50" x14ac:dyDescent="0.25">
      <c r="A3302" s="1"/>
      <c r="H3302" s="1"/>
      <c r="O3302" s="1"/>
      <c r="V3302" s="1"/>
      <c r="AC3302" s="1"/>
      <c r="AJ3302" s="1"/>
      <c r="AQ3302" s="1"/>
      <c r="AX3302" s="1"/>
    </row>
    <row r="3303" spans="1:50" x14ac:dyDescent="0.25">
      <c r="A3303" s="1"/>
      <c r="H3303" s="1"/>
      <c r="O3303" s="1"/>
      <c r="V3303" s="1"/>
      <c r="AC3303" s="1"/>
      <c r="AJ3303" s="1"/>
      <c r="AQ3303" s="1"/>
      <c r="AX3303" s="1"/>
    </row>
    <row r="3304" spans="1:50" x14ac:dyDescent="0.25">
      <c r="A3304" s="1"/>
      <c r="H3304" s="1"/>
      <c r="O3304" s="1"/>
      <c r="V3304" s="1"/>
      <c r="AC3304" s="1"/>
      <c r="AJ3304" s="1"/>
      <c r="AQ3304" s="1"/>
      <c r="AX3304" s="1"/>
    </row>
    <row r="3305" spans="1:50" x14ac:dyDescent="0.25">
      <c r="A3305" s="1"/>
      <c r="H3305" s="1"/>
      <c r="O3305" s="1"/>
      <c r="V3305" s="1"/>
      <c r="AC3305" s="1"/>
      <c r="AJ3305" s="1"/>
      <c r="AQ3305" s="1"/>
      <c r="AX3305" s="1"/>
    </row>
    <row r="3306" spans="1:50" x14ac:dyDescent="0.25">
      <c r="A3306" s="1"/>
      <c r="H3306" s="1"/>
      <c r="O3306" s="1"/>
      <c r="V3306" s="1"/>
      <c r="AC3306" s="1"/>
      <c r="AJ3306" s="1"/>
      <c r="AQ3306" s="1"/>
      <c r="AX3306" s="1"/>
    </row>
    <row r="3307" spans="1:50" x14ac:dyDescent="0.25">
      <c r="A3307" s="1"/>
      <c r="H3307" s="1"/>
      <c r="O3307" s="1"/>
      <c r="V3307" s="1"/>
      <c r="AC3307" s="1"/>
      <c r="AJ3307" s="1"/>
      <c r="AQ3307" s="1"/>
      <c r="AX3307" s="1"/>
    </row>
    <row r="3308" spans="1:50" x14ac:dyDescent="0.25">
      <c r="A3308" s="1"/>
      <c r="H3308" s="1"/>
      <c r="O3308" s="1"/>
      <c r="V3308" s="1"/>
      <c r="AC3308" s="1"/>
      <c r="AJ3308" s="1"/>
      <c r="AQ3308" s="1"/>
      <c r="AX3308" s="1"/>
    </row>
    <row r="3309" spans="1:50" x14ac:dyDescent="0.25">
      <c r="A3309" s="1"/>
      <c r="H3309" s="1"/>
      <c r="O3309" s="1"/>
      <c r="V3309" s="1"/>
      <c r="AC3309" s="1"/>
      <c r="AJ3309" s="1"/>
      <c r="AQ3309" s="1"/>
      <c r="AX3309" s="1"/>
    </row>
    <row r="3310" spans="1:50" x14ac:dyDescent="0.25">
      <c r="A3310" s="1"/>
      <c r="H3310" s="1"/>
      <c r="O3310" s="1"/>
      <c r="V3310" s="1"/>
      <c r="AC3310" s="1"/>
      <c r="AJ3310" s="1"/>
      <c r="AQ3310" s="1"/>
      <c r="AX3310" s="1"/>
    </row>
    <row r="3311" spans="1:50" x14ac:dyDescent="0.25">
      <c r="A3311" s="1"/>
      <c r="H3311" s="1"/>
      <c r="O3311" s="1"/>
      <c r="V3311" s="1"/>
      <c r="AC3311" s="1"/>
      <c r="AJ3311" s="1"/>
      <c r="AQ3311" s="1"/>
      <c r="AX3311" s="1"/>
    </row>
    <row r="3312" spans="1:50" x14ac:dyDescent="0.25">
      <c r="A3312" s="1"/>
      <c r="H3312" s="1"/>
      <c r="O3312" s="1"/>
      <c r="V3312" s="1"/>
      <c r="AC3312" s="1"/>
      <c r="AJ3312" s="1"/>
      <c r="AQ3312" s="1"/>
      <c r="AX3312" s="1"/>
    </row>
    <row r="3313" spans="1:50" x14ac:dyDescent="0.25">
      <c r="A3313" s="1"/>
      <c r="H3313" s="1"/>
      <c r="O3313" s="1"/>
      <c r="V3313" s="1"/>
      <c r="AC3313" s="1"/>
      <c r="AJ3313" s="1"/>
      <c r="AQ3313" s="1"/>
      <c r="AX3313" s="1"/>
    </row>
    <row r="3314" spans="1:50" x14ac:dyDescent="0.25">
      <c r="A3314" s="1"/>
      <c r="H3314" s="1"/>
      <c r="O3314" s="1"/>
      <c r="V3314" s="1"/>
      <c r="AC3314" s="1"/>
      <c r="AJ3314" s="1"/>
      <c r="AQ3314" s="1"/>
      <c r="AX3314" s="1"/>
    </row>
    <row r="3315" spans="1:50" x14ac:dyDescent="0.25">
      <c r="A3315" s="1"/>
      <c r="H3315" s="1"/>
      <c r="O3315" s="1"/>
      <c r="V3315" s="1"/>
      <c r="AC3315" s="1"/>
      <c r="AJ3315" s="1"/>
      <c r="AQ3315" s="1"/>
      <c r="AX3315" s="1"/>
    </row>
    <row r="3316" spans="1:50" x14ac:dyDescent="0.25">
      <c r="A3316" s="1"/>
      <c r="H3316" s="1"/>
      <c r="O3316" s="1"/>
      <c r="V3316" s="1"/>
      <c r="AC3316" s="1"/>
      <c r="AJ3316" s="1"/>
      <c r="AQ3316" s="1"/>
      <c r="AX3316" s="1"/>
    </row>
    <row r="3317" spans="1:50" x14ac:dyDescent="0.25">
      <c r="A3317" s="1"/>
      <c r="H3317" s="1"/>
      <c r="O3317" s="1"/>
      <c r="V3317" s="1"/>
      <c r="AC3317" s="1"/>
      <c r="AJ3317" s="1"/>
      <c r="AQ3317" s="1"/>
      <c r="AX3317" s="1"/>
    </row>
    <row r="3318" spans="1:50" x14ac:dyDescent="0.25">
      <c r="A3318" s="1"/>
      <c r="H3318" s="1"/>
      <c r="O3318" s="1"/>
      <c r="V3318" s="1"/>
      <c r="AC3318" s="1"/>
      <c r="AJ3318" s="1"/>
      <c r="AQ3318" s="1"/>
      <c r="AX3318" s="1"/>
    </row>
    <row r="3319" spans="1:50" x14ac:dyDescent="0.25">
      <c r="A3319" s="1"/>
      <c r="H3319" s="1"/>
      <c r="O3319" s="1"/>
      <c r="V3319" s="1"/>
      <c r="AC3319" s="1"/>
      <c r="AJ3319" s="1"/>
      <c r="AQ3319" s="1"/>
      <c r="AX3319" s="1"/>
    </row>
    <row r="3320" spans="1:50" x14ac:dyDescent="0.25">
      <c r="A3320" s="1"/>
      <c r="H3320" s="1"/>
      <c r="O3320" s="1"/>
      <c r="V3320" s="1"/>
      <c r="AC3320" s="1"/>
      <c r="AJ3320" s="1"/>
      <c r="AQ3320" s="1"/>
      <c r="AX3320" s="1"/>
    </row>
    <row r="3321" spans="1:50" x14ac:dyDescent="0.25">
      <c r="A3321" s="1"/>
      <c r="H3321" s="1"/>
      <c r="O3321" s="1"/>
      <c r="V3321" s="1"/>
      <c r="AC3321" s="1"/>
      <c r="AJ3321" s="1"/>
      <c r="AQ3321" s="1"/>
      <c r="AX3321" s="1"/>
    </row>
    <row r="3322" spans="1:50" x14ac:dyDescent="0.25">
      <c r="A3322" s="1"/>
      <c r="H3322" s="1"/>
      <c r="O3322" s="1"/>
      <c r="V3322" s="1"/>
      <c r="AC3322" s="1"/>
      <c r="AJ3322" s="1"/>
      <c r="AQ3322" s="1"/>
      <c r="AX3322" s="1"/>
    </row>
    <row r="3323" spans="1:50" x14ac:dyDescent="0.25">
      <c r="A3323" s="1"/>
      <c r="H3323" s="1"/>
      <c r="O3323" s="1"/>
      <c r="V3323" s="1"/>
      <c r="AC3323" s="1"/>
      <c r="AJ3323" s="1"/>
      <c r="AQ3323" s="1"/>
      <c r="AX3323" s="1"/>
    </row>
    <row r="3324" spans="1:50" x14ac:dyDescent="0.25">
      <c r="A3324" s="1"/>
      <c r="H3324" s="1"/>
      <c r="O3324" s="1"/>
      <c r="V3324" s="1"/>
      <c r="AC3324" s="1"/>
      <c r="AJ3324" s="1"/>
      <c r="AQ3324" s="1"/>
      <c r="AX3324" s="1"/>
    </row>
    <row r="3325" spans="1:50" x14ac:dyDescent="0.25">
      <c r="A3325" s="1"/>
      <c r="H3325" s="1"/>
      <c r="O3325" s="1"/>
      <c r="V3325" s="1"/>
      <c r="AC3325" s="1"/>
      <c r="AJ3325" s="1"/>
      <c r="AQ3325" s="1"/>
      <c r="AX3325" s="1"/>
    </row>
    <row r="3326" spans="1:50" x14ac:dyDescent="0.25">
      <c r="A3326" s="1"/>
      <c r="H3326" s="1"/>
      <c r="O3326" s="1"/>
      <c r="V3326" s="1"/>
      <c r="AC3326" s="1"/>
      <c r="AJ3326" s="1"/>
      <c r="AQ3326" s="1"/>
      <c r="AX3326" s="1"/>
    </row>
    <row r="3327" spans="1:50" x14ac:dyDescent="0.25">
      <c r="A3327" s="1"/>
      <c r="H3327" s="1"/>
      <c r="O3327" s="1"/>
      <c r="V3327" s="1"/>
      <c r="AC3327" s="1"/>
      <c r="AJ3327" s="1"/>
      <c r="AQ3327" s="1"/>
      <c r="AX3327" s="1"/>
    </row>
    <row r="3328" spans="1:50" x14ac:dyDescent="0.25">
      <c r="A3328" s="1"/>
      <c r="H3328" s="1"/>
      <c r="O3328" s="1"/>
      <c r="V3328" s="1"/>
      <c r="AC3328" s="1"/>
      <c r="AJ3328" s="1"/>
      <c r="AQ3328" s="1"/>
      <c r="AX3328" s="1"/>
    </row>
    <row r="3329" spans="1:50" x14ac:dyDescent="0.25">
      <c r="A3329" s="1"/>
      <c r="H3329" s="1"/>
      <c r="O3329" s="1"/>
      <c r="V3329" s="1"/>
      <c r="AC3329" s="1"/>
      <c r="AJ3329" s="1"/>
      <c r="AQ3329" s="1"/>
      <c r="AX3329" s="1"/>
    </row>
    <row r="3330" spans="1:50" x14ac:dyDescent="0.25">
      <c r="A3330" s="1"/>
      <c r="H3330" s="1"/>
      <c r="O3330" s="1"/>
      <c r="V3330" s="1"/>
      <c r="AC3330" s="1"/>
      <c r="AJ3330" s="1"/>
      <c r="AQ3330" s="1"/>
      <c r="AX3330" s="1"/>
    </row>
    <row r="3331" spans="1:50" x14ac:dyDescent="0.25">
      <c r="A3331" s="1"/>
      <c r="H3331" s="1"/>
      <c r="O3331" s="1"/>
      <c r="V3331" s="1"/>
      <c r="AC3331" s="1"/>
      <c r="AJ3331" s="1"/>
      <c r="AQ3331" s="1"/>
      <c r="AX3331" s="1"/>
    </row>
    <row r="3332" spans="1:50" x14ac:dyDescent="0.25">
      <c r="A3332" s="1"/>
      <c r="H3332" s="1"/>
      <c r="O3332" s="1"/>
      <c r="V3332" s="1"/>
      <c r="AC3332" s="1"/>
      <c r="AJ3332" s="1"/>
      <c r="AQ3332" s="1"/>
      <c r="AX3332" s="1"/>
    </row>
    <row r="3333" spans="1:50" x14ac:dyDescent="0.25">
      <c r="A3333" s="1"/>
      <c r="H3333" s="1"/>
      <c r="O3333" s="1"/>
      <c r="V3333" s="1"/>
      <c r="AC3333" s="1"/>
      <c r="AJ3333" s="1"/>
      <c r="AQ3333" s="1"/>
      <c r="AX3333" s="1"/>
    </row>
    <row r="3334" spans="1:50" x14ac:dyDescent="0.25">
      <c r="A3334" s="1"/>
      <c r="H3334" s="1"/>
      <c r="O3334" s="1"/>
      <c r="V3334" s="1"/>
      <c r="AC3334" s="1"/>
      <c r="AJ3334" s="1"/>
      <c r="AQ3334" s="1"/>
      <c r="AX3334" s="1"/>
    </row>
    <row r="3335" spans="1:50" x14ac:dyDescent="0.25">
      <c r="A3335" s="1"/>
      <c r="H3335" s="1"/>
      <c r="O3335" s="1"/>
      <c r="V3335" s="1"/>
      <c r="AC3335" s="1"/>
      <c r="AJ3335" s="1"/>
      <c r="AQ3335" s="1"/>
      <c r="AX3335" s="1"/>
    </row>
    <row r="3336" spans="1:50" x14ac:dyDescent="0.25">
      <c r="A3336" s="1"/>
      <c r="H3336" s="1"/>
      <c r="O3336" s="1"/>
      <c r="V3336" s="1"/>
      <c r="AC3336" s="1"/>
      <c r="AJ3336" s="1"/>
      <c r="AQ3336" s="1"/>
      <c r="AX3336" s="1"/>
    </row>
    <row r="3337" spans="1:50" x14ac:dyDescent="0.25">
      <c r="A3337" s="1"/>
      <c r="H3337" s="1"/>
      <c r="O3337" s="1"/>
      <c r="V3337" s="1"/>
      <c r="AC3337" s="1"/>
      <c r="AJ3337" s="1"/>
      <c r="AQ3337" s="1"/>
      <c r="AX3337" s="1"/>
    </row>
    <row r="3338" spans="1:50" x14ac:dyDescent="0.25">
      <c r="A3338" s="1"/>
      <c r="H3338" s="1"/>
      <c r="O3338" s="1"/>
      <c r="V3338" s="1"/>
      <c r="AC3338" s="1"/>
      <c r="AJ3338" s="1"/>
      <c r="AQ3338" s="1"/>
      <c r="AX3338" s="1"/>
    </row>
    <row r="3339" spans="1:50" x14ac:dyDescent="0.25">
      <c r="A3339" s="1"/>
      <c r="H3339" s="1"/>
      <c r="O3339" s="1"/>
      <c r="V3339" s="1"/>
      <c r="AC3339" s="1"/>
      <c r="AJ3339" s="1"/>
      <c r="AQ3339" s="1"/>
      <c r="AX3339" s="1"/>
    </row>
    <row r="3340" spans="1:50" x14ac:dyDescent="0.25">
      <c r="A3340" s="1"/>
      <c r="H3340" s="1"/>
      <c r="O3340" s="1"/>
      <c r="V3340" s="1"/>
      <c r="AC3340" s="1"/>
      <c r="AJ3340" s="1"/>
      <c r="AQ3340" s="1"/>
      <c r="AX3340" s="1"/>
    </row>
    <row r="3341" spans="1:50" x14ac:dyDescent="0.25">
      <c r="A3341" s="1"/>
      <c r="H3341" s="1"/>
      <c r="O3341" s="1"/>
      <c r="V3341" s="1"/>
      <c r="AC3341" s="1"/>
      <c r="AJ3341" s="1"/>
      <c r="AQ3341" s="1"/>
      <c r="AX3341" s="1"/>
    </row>
    <row r="3342" spans="1:50" x14ac:dyDescent="0.25">
      <c r="A3342" s="1"/>
      <c r="H3342" s="1"/>
      <c r="O3342" s="1"/>
      <c r="V3342" s="1"/>
      <c r="AC3342" s="1"/>
      <c r="AJ3342" s="1"/>
      <c r="AQ3342" s="1"/>
      <c r="AX3342" s="1"/>
    </row>
    <row r="3343" spans="1:50" x14ac:dyDescent="0.25">
      <c r="A3343" s="1"/>
      <c r="H3343" s="1"/>
      <c r="O3343" s="1"/>
      <c r="V3343" s="1"/>
      <c r="AC3343" s="1"/>
      <c r="AJ3343" s="1"/>
      <c r="AQ3343" s="1"/>
      <c r="AX3343" s="1"/>
    </row>
    <row r="3344" spans="1:50" x14ac:dyDescent="0.25">
      <c r="A3344" s="1"/>
      <c r="H3344" s="1"/>
      <c r="O3344" s="1"/>
      <c r="V3344" s="1"/>
      <c r="AC3344" s="1"/>
      <c r="AJ3344" s="1"/>
      <c r="AQ3344" s="1"/>
      <c r="AX3344" s="1"/>
    </row>
    <row r="3345" spans="1:50" x14ac:dyDescent="0.25">
      <c r="A3345" s="1"/>
      <c r="H3345" s="1"/>
      <c r="O3345" s="1"/>
      <c r="V3345" s="1"/>
      <c r="AC3345" s="1"/>
      <c r="AJ3345" s="1"/>
      <c r="AQ3345" s="1"/>
      <c r="AX3345" s="1"/>
    </row>
    <row r="3346" spans="1:50" x14ac:dyDescent="0.25">
      <c r="A3346" s="1"/>
      <c r="H3346" s="1"/>
      <c r="O3346" s="1"/>
      <c r="V3346" s="1"/>
      <c r="AC3346" s="1"/>
      <c r="AJ3346" s="1"/>
      <c r="AQ3346" s="1"/>
      <c r="AX3346" s="1"/>
    </row>
    <row r="3347" spans="1:50" x14ac:dyDescent="0.25">
      <c r="A3347" s="1"/>
      <c r="H3347" s="1"/>
      <c r="O3347" s="1"/>
      <c r="V3347" s="1"/>
      <c r="AC3347" s="1"/>
      <c r="AJ3347" s="1"/>
      <c r="AQ3347" s="1"/>
      <c r="AX3347" s="1"/>
    </row>
    <row r="3348" spans="1:50" x14ac:dyDescent="0.25">
      <c r="A3348" s="1"/>
      <c r="H3348" s="1"/>
      <c r="O3348" s="1"/>
      <c r="V3348" s="1"/>
      <c r="AC3348" s="1"/>
      <c r="AJ3348" s="1"/>
      <c r="AQ3348" s="1"/>
      <c r="AX3348" s="1"/>
    </row>
    <row r="3349" spans="1:50" x14ac:dyDescent="0.25">
      <c r="A3349" s="1"/>
      <c r="H3349" s="1"/>
      <c r="O3349" s="1"/>
      <c r="V3349" s="1"/>
      <c r="AC3349" s="1"/>
      <c r="AJ3349" s="1"/>
      <c r="AQ3349" s="1"/>
      <c r="AX3349" s="1"/>
    </row>
    <row r="3350" spans="1:50" x14ac:dyDescent="0.25">
      <c r="A3350" s="1"/>
      <c r="H3350" s="1"/>
      <c r="O3350" s="1"/>
      <c r="V3350" s="1"/>
      <c r="AC3350" s="1"/>
      <c r="AJ3350" s="1"/>
      <c r="AQ3350" s="1"/>
      <c r="AX3350" s="1"/>
    </row>
    <row r="3351" spans="1:50" x14ac:dyDescent="0.25">
      <c r="A3351" s="1"/>
      <c r="H3351" s="1"/>
      <c r="O3351" s="1"/>
      <c r="V3351" s="1"/>
      <c r="AC3351" s="1"/>
      <c r="AJ3351" s="1"/>
      <c r="AQ3351" s="1"/>
      <c r="AX3351" s="1"/>
    </row>
    <row r="3352" spans="1:50" x14ac:dyDescent="0.25">
      <c r="A3352" s="1"/>
      <c r="H3352" s="1"/>
      <c r="O3352" s="1"/>
      <c r="V3352" s="1"/>
      <c r="AC3352" s="1"/>
      <c r="AJ3352" s="1"/>
      <c r="AQ3352" s="1"/>
      <c r="AX3352" s="1"/>
    </row>
    <row r="3353" spans="1:50" x14ac:dyDescent="0.25">
      <c r="A3353" s="1"/>
      <c r="H3353" s="1"/>
      <c r="O3353" s="1"/>
      <c r="V3353" s="1"/>
      <c r="AC3353" s="1"/>
      <c r="AJ3353" s="1"/>
      <c r="AQ3353" s="1"/>
      <c r="AX3353" s="1"/>
    </row>
    <row r="3354" spans="1:50" x14ac:dyDescent="0.25">
      <c r="A3354" s="1"/>
      <c r="H3354" s="1"/>
      <c r="O3354" s="1"/>
      <c r="V3354" s="1"/>
      <c r="AC3354" s="1"/>
      <c r="AJ3354" s="1"/>
      <c r="AQ3354" s="1"/>
      <c r="AX3354" s="1"/>
    </row>
    <row r="3355" spans="1:50" x14ac:dyDescent="0.25">
      <c r="A3355" s="1"/>
      <c r="H3355" s="1"/>
      <c r="O3355" s="1"/>
      <c r="V3355" s="1"/>
      <c r="AC3355" s="1"/>
      <c r="AJ3355" s="1"/>
      <c r="AQ3355" s="1"/>
      <c r="AX3355" s="1"/>
    </row>
    <row r="3356" spans="1:50" x14ac:dyDescent="0.25">
      <c r="A3356" s="1"/>
      <c r="H3356" s="1"/>
      <c r="O3356" s="1"/>
      <c r="V3356" s="1"/>
      <c r="AC3356" s="1"/>
      <c r="AJ3356" s="1"/>
      <c r="AQ3356" s="1"/>
      <c r="AX3356" s="1"/>
    </row>
    <row r="3357" spans="1:50" x14ac:dyDescent="0.25">
      <c r="A3357" s="1"/>
      <c r="H3357" s="1"/>
      <c r="O3357" s="1"/>
      <c r="V3357" s="1"/>
      <c r="AC3357" s="1"/>
      <c r="AJ3357" s="1"/>
      <c r="AQ3357" s="1"/>
      <c r="AX3357" s="1"/>
    </row>
    <row r="3358" spans="1:50" x14ac:dyDescent="0.25">
      <c r="A3358" s="1"/>
      <c r="H3358" s="1"/>
      <c r="O3358" s="1"/>
      <c r="V3358" s="1"/>
      <c r="AC3358" s="1"/>
      <c r="AJ3358" s="1"/>
      <c r="AQ3358" s="1"/>
      <c r="AX3358" s="1"/>
    </row>
    <row r="3359" spans="1:50" x14ac:dyDescent="0.25">
      <c r="A3359" s="1"/>
      <c r="H3359" s="1"/>
      <c r="O3359" s="1"/>
      <c r="V3359" s="1"/>
      <c r="AC3359" s="1"/>
      <c r="AJ3359" s="1"/>
      <c r="AQ3359" s="1"/>
      <c r="AX3359" s="1"/>
    </row>
    <row r="3360" spans="1:50" x14ac:dyDescent="0.25">
      <c r="A3360" s="1"/>
      <c r="H3360" s="1"/>
      <c r="O3360" s="1"/>
      <c r="V3360" s="1"/>
      <c r="AC3360" s="1"/>
      <c r="AJ3360" s="1"/>
      <c r="AQ3360" s="1"/>
      <c r="AX3360" s="1"/>
    </row>
    <row r="3361" spans="1:50" x14ac:dyDescent="0.25">
      <c r="A3361" s="1"/>
      <c r="H3361" s="1"/>
      <c r="O3361" s="1"/>
      <c r="V3361" s="1"/>
      <c r="AC3361" s="1"/>
      <c r="AJ3361" s="1"/>
      <c r="AQ3361" s="1"/>
      <c r="AX3361" s="1"/>
    </row>
    <row r="3362" spans="1:50" x14ac:dyDescent="0.25">
      <c r="A3362" s="1"/>
      <c r="H3362" s="1"/>
      <c r="O3362" s="1"/>
      <c r="V3362" s="1"/>
      <c r="AC3362" s="1"/>
      <c r="AJ3362" s="1"/>
      <c r="AQ3362" s="1"/>
      <c r="AX3362" s="1"/>
    </row>
    <row r="3363" spans="1:50" x14ac:dyDescent="0.25">
      <c r="A3363" s="1"/>
      <c r="H3363" s="1"/>
      <c r="O3363" s="1"/>
      <c r="V3363" s="1"/>
      <c r="AC3363" s="1"/>
      <c r="AJ3363" s="1"/>
      <c r="AQ3363" s="1"/>
      <c r="AX3363" s="1"/>
    </row>
    <row r="3364" spans="1:50" x14ac:dyDescent="0.25">
      <c r="A3364" s="1"/>
      <c r="H3364" s="1"/>
      <c r="O3364" s="1"/>
      <c r="V3364" s="1"/>
      <c r="AC3364" s="1"/>
      <c r="AJ3364" s="1"/>
      <c r="AQ3364" s="1"/>
      <c r="AX3364" s="1"/>
    </row>
    <row r="3365" spans="1:50" x14ac:dyDescent="0.25">
      <c r="A3365" s="1"/>
      <c r="H3365" s="1"/>
      <c r="O3365" s="1"/>
      <c r="V3365" s="1"/>
      <c r="AC3365" s="1"/>
      <c r="AJ3365" s="1"/>
      <c r="AQ3365" s="1"/>
      <c r="AX3365" s="1"/>
    </row>
    <row r="3366" spans="1:50" x14ac:dyDescent="0.25">
      <c r="A3366" s="1"/>
      <c r="H3366" s="1"/>
      <c r="O3366" s="1"/>
      <c r="V3366" s="1"/>
      <c r="AC3366" s="1"/>
      <c r="AJ3366" s="1"/>
      <c r="AQ3366" s="1"/>
      <c r="AX3366" s="1"/>
    </row>
    <row r="3367" spans="1:50" x14ac:dyDescent="0.25">
      <c r="A3367" s="1"/>
      <c r="H3367" s="1"/>
      <c r="O3367" s="1"/>
      <c r="V3367" s="1"/>
      <c r="AC3367" s="1"/>
      <c r="AJ3367" s="1"/>
      <c r="AQ3367" s="1"/>
      <c r="AX3367" s="1"/>
    </row>
    <row r="3368" spans="1:50" x14ac:dyDescent="0.25">
      <c r="A3368" s="1"/>
      <c r="H3368" s="1"/>
      <c r="O3368" s="1"/>
      <c r="V3368" s="1"/>
      <c r="AC3368" s="1"/>
      <c r="AJ3368" s="1"/>
      <c r="AQ3368" s="1"/>
      <c r="AX3368" s="1"/>
    </row>
    <row r="3369" spans="1:50" x14ac:dyDescent="0.25">
      <c r="A3369" s="1"/>
      <c r="H3369" s="1"/>
      <c r="O3369" s="1"/>
      <c r="V3369" s="1"/>
      <c r="AC3369" s="1"/>
      <c r="AJ3369" s="1"/>
      <c r="AQ3369" s="1"/>
      <c r="AX3369" s="1"/>
    </row>
    <row r="3370" spans="1:50" x14ac:dyDescent="0.25">
      <c r="A3370" s="1"/>
      <c r="H3370" s="1"/>
      <c r="O3370" s="1"/>
      <c r="V3370" s="1"/>
      <c r="AC3370" s="1"/>
      <c r="AJ3370" s="1"/>
      <c r="AQ3370" s="1"/>
      <c r="AX3370" s="1"/>
    </row>
    <row r="3371" spans="1:50" x14ac:dyDescent="0.25">
      <c r="A3371" s="1"/>
      <c r="H3371" s="1"/>
      <c r="O3371" s="1"/>
      <c r="V3371" s="1"/>
      <c r="AC3371" s="1"/>
      <c r="AJ3371" s="1"/>
      <c r="AQ3371" s="1"/>
      <c r="AX3371" s="1"/>
    </row>
    <row r="3372" spans="1:50" x14ac:dyDescent="0.25">
      <c r="A3372" s="1"/>
      <c r="H3372" s="1"/>
      <c r="O3372" s="1"/>
      <c r="V3372" s="1"/>
      <c r="AC3372" s="1"/>
      <c r="AJ3372" s="1"/>
      <c r="AQ3372" s="1"/>
      <c r="AX3372" s="1"/>
    </row>
    <row r="3373" spans="1:50" x14ac:dyDescent="0.25">
      <c r="A3373" s="1"/>
      <c r="H3373" s="1"/>
      <c r="O3373" s="1"/>
      <c r="V3373" s="1"/>
      <c r="AC3373" s="1"/>
      <c r="AJ3373" s="1"/>
      <c r="AQ3373" s="1"/>
      <c r="AX3373" s="1"/>
    </row>
    <row r="3374" spans="1:50" x14ac:dyDescent="0.25">
      <c r="A3374" s="1"/>
      <c r="H3374" s="1"/>
      <c r="O3374" s="1"/>
      <c r="V3374" s="1"/>
      <c r="AC3374" s="1"/>
      <c r="AJ3374" s="1"/>
      <c r="AQ3374" s="1"/>
      <c r="AX3374" s="1"/>
    </row>
    <row r="3375" spans="1:50" x14ac:dyDescent="0.25">
      <c r="A3375" s="1"/>
      <c r="H3375" s="1"/>
      <c r="O3375" s="1"/>
      <c r="V3375" s="1"/>
      <c r="AC3375" s="1"/>
      <c r="AJ3375" s="1"/>
      <c r="AQ3375" s="1"/>
      <c r="AX3375" s="1"/>
    </row>
    <row r="3376" spans="1:50" x14ac:dyDescent="0.25">
      <c r="A3376" s="1"/>
      <c r="H3376" s="1"/>
      <c r="O3376" s="1"/>
      <c r="V3376" s="1"/>
      <c r="AC3376" s="1"/>
      <c r="AJ3376" s="1"/>
      <c r="AQ3376" s="1"/>
      <c r="AX3376" s="1"/>
    </row>
    <row r="3377" spans="1:50" x14ac:dyDescent="0.25">
      <c r="A3377" s="1"/>
      <c r="H3377" s="1"/>
      <c r="O3377" s="1"/>
      <c r="V3377" s="1"/>
      <c r="AC3377" s="1"/>
      <c r="AJ3377" s="1"/>
      <c r="AQ3377" s="1"/>
      <c r="AX3377" s="1"/>
    </row>
    <row r="3378" spans="1:50" x14ac:dyDescent="0.25">
      <c r="A3378" s="1"/>
      <c r="H3378" s="1"/>
      <c r="O3378" s="1"/>
      <c r="V3378" s="1"/>
      <c r="AC3378" s="1"/>
      <c r="AJ3378" s="1"/>
      <c r="AQ3378" s="1"/>
      <c r="AX3378" s="1"/>
    </row>
    <row r="3379" spans="1:50" x14ac:dyDescent="0.25">
      <c r="A3379" s="1"/>
      <c r="H3379" s="1"/>
      <c r="O3379" s="1"/>
      <c r="V3379" s="1"/>
      <c r="AC3379" s="1"/>
      <c r="AJ3379" s="1"/>
      <c r="AQ3379" s="1"/>
      <c r="AX3379" s="1"/>
    </row>
    <row r="3380" spans="1:50" x14ac:dyDescent="0.25">
      <c r="A3380" s="1"/>
      <c r="H3380" s="1"/>
      <c r="O3380" s="1"/>
      <c r="V3380" s="1"/>
      <c r="AC3380" s="1"/>
      <c r="AJ3380" s="1"/>
      <c r="AQ3380" s="1"/>
      <c r="AX3380" s="1"/>
    </row>
    <row r="3381" spans="1:50" x14ac:dyDescent="0.25">
      <c r="A3381" s="1"/>
      <c r="H3381" s="1"/>
      <c r="O3381" s="1"/>
      <c r="V3381" s="1"/>
      <c r="AC3381" s="1"/>
      <c r="AJ3381" s="1"/>
      <c r="AQ3381" s="1"/>
      <c r="AX3381" s="1"/>
    </row>
    <row r="3382" spans="1:50" x14ac:dyDescent="0.25">
      <c r="A3382" s="1"/>
      <c r="H3382" s="1"/>
      <c r="O3382" s="1"/>
      <c r="V3382" s="1"/>
      <c r="AC3382" s="1"/>
      <c r="AJ3382" s="1"/>
      <c r="AQ3382" s="1"/>
      <c r="AX3382" s="1"/>
    </row>
    <row r="3383" spans="1:50" x14ac:dyDescent="0.25">
      <c r="A3383" s="1"/>
      <c r="H3383" s="1"/>
      <c r="O3383" s="1"/>
      <c r="V3383" s="1"/>
      <c r="AC3383" s="1"/>
      <c r="AJ3383" s="1"/>
      <c r="AQ3383" s="1"/>
      <c r="AX3383" s="1"/>
    </row>
    <row r="3384" spans="1:50" x14ac:dyDescent="0.25">
      <c r="A3384" s="1"/>
      <c r="H3384" s="1"/>
      <c r="O3384" s="1"/>
      <c r="V3384" s="1"/>
      <c r="AC3384" s="1"/>
      <c r="AJ3384" s="1"/>
      <c r="AQ3384" s="1"/>
      <c r="AX3384" s="1"/>
    </row>
    <row r="3385" spans="1:50" x14ac:dyDescent="0.25">
      <c r="A3385" s="1"/>
      <c r="H3385" s="1"/>
      <c r="O3385" s="1"/>
      <c r="V3385" s="1"/>
      <c r="AC3385" s="1"/>
      <c r="AJ3385" s="1"/>
      <c r="AQ3385" s="1"/>
      <c r="AX3385" s="1"/>
    </row>
    <row r="3386" spans="1:50" x14ac:dyDescent="0.25">
      <c r="A3386" s="1"/>
      <c r="H3386" s="1"/>
      <c r="O3386" s="1"/>
      <c r="V3386" s="1"/>
      <c r="AC3386" s="1"/>
      <c r="AJ3386" s="1"/>
      <c r="AQ3386" s="1"/>
      <c r="AX3386" s="1"/>
    </row>
    <row r="3387" spans="1:50" x14ac:dyDescent="0.25">
      <c r="A3387" s="1"/>
      <c r="H3387" s="1"/>
      <c r="O3387" s="1"/>
      <c r="V3387" s="1"/>
      <c r="AC3387" s="1"/>
      <c r="AJ3387" s="1"/>
      <c r="AQ3387" s="1"/>
      <c r="AX3387" s="1"/>
    </row>
    <row r="3388" spans="1:50" x14ac:dyDescent="0.25">
      <c r="A3388" s="1"/>
      <c r="H3388" s="1"/>
      <c r="O3388" s="1"/>
      <c r="V3388" s="1"/>
      <c r="AC3388" s="1"/>
      <c r="AJ3388" s="1"/>
      <c r="AQ3388" s="1"/>
      <c r="AX3388" s="1"/>
    </row>
    <row r="3389" spans="1:50" x14ac:dyDescent="0.25">
      <c r="A3389" s="1"/>
      <c r="H3389" s="1"/>
      <c r="O3389" s="1"/>
      <c r="V3389" s="1"/>
      <c r="AC3389" s="1"/>
      <c r="AJ3389" s="1"/>
      <c r="AQ3389" s="1"/>
      <c r="AX3389" s="1"/>
    </row>
    <row r="3390" spans="1:50" x14ac:dyDescent="0.25">
      <c r="A3390" s="1"/>
      <c r="H3390" s="1"/>
      <c r="O3390" s="1"/>
      <c r="V3390" s="1"/>
      <c r="AC3390" s="1"/>
      <c r="AJ3390" s="1"/>
      <c r="AQ3390" s="1"/>
      <c r="AX3390" s="1"/>
    </row>
    <row r="3391" spans="1:50" x14ac:dyDescent="0.25">
      <c r="A3391" s="1"/>
      <c r="H3391" s="1"/>
      <c r="O3391" s="1"/>
      <c r="V3391" s="1"/>
      <c r="AC3391" s="1"/>
      <c r="AJ3391" s="1"/>
      <c r="AQ3391" s="1"/>
      <c r="AX3391" s="1"/>
    </row>
    <row r="3392" spans="1:50" x14ac:dyDescent="0.25">
      <c r="A3392" s="1"/>
      <c r="H3392" s="1"/>
      <c r="O3392" s="1"/>
      <c r="V3392" s="1"/>
      <c r="AC3392" s="1"/>
      <c r="AJ3392" s="1"/>
      <c r="AQ3392" s="1"/>
      <c r="AX3392" s="1"/>
    </row>
    <row r="3393" spans="1:50" x14ac:dyDescent="0.25">
      <c r="A3393" s="1"/>
      <c r="H3393" s="1"/>
      <c r="O3393" s="1"/>
      <c r="V3393" s="1"/>
      <c r="AC3393" s="1"/>
      <c r="AJ3393" s="1"/>
      <c r="AQ3393" s="1"/>
      <c r="AX3393" s="1"/>
    </row>
    <row r="3394" spans="1:50" x14ac:dyDescent="0.25">
      <c r="A3394" s="1"/>
      <c r="H3394" s="1"/>
      <c r="O3394" s="1"/>
      <c r="V3394" s="1"/>
      <c r="AC3394" s="1"/>
      <c r="AJ3394" s="1"/>
      <c r="AQ3394" s="1"/>
      <c r="AX3394" s="1"/>
    </row>
    <row r="3395" spans="1:50" x14ac:dyDescent="0.25">
      <c r="A3395" s="1"/>
      <c r="H3395" s="1"/>
      <c r="O3395" s="1"/>
      <c r="V3395" s="1"/>
      <c r="AC3395" s="1"/>
      <c r="AJ3395" s="1"/>
      <c r="AQ3395" s="1"/>
      <c r="AX3395" s="1"/>
    </row>
    <row r="3396" spans="1:50" x14ac:dyDescent="0.25">
      <c r="A3396" s="1"/>
      <c r="H3396" s="1"/>
      <c r="O3396" s="1"/>
      <c r="V3396" s="1"/>
      <c r="AC3396" s="1"/>
      <c r="AJ3396" s="1"/>
      <c r="AQ3396" s="1"/>
      <c r="AX3396" s="1"/>
    </row>
    <row r="3397" spans="1:50" x14ac:dyDescent="0.25">
      <c r="A3397" s="1"/>
      <c r="H3397" s="1"/>
      <c r="O3397" s="1"/>
      <c r="V3397" s="1"/>
      <c r="AC3397" s="1"/>
      <c r="AJ3397" s="1"/>
      <c r="AQ3397" s="1"/>
      <c r="AX3397" s="1"/>
    </row>
    <row r="3398" spans="1:50" x14ac:dyDescent="0.25">
      <c r="A3398" s="1"/>
      <c r="H3398" s="1"/>
      <c r="O3398" s="1"/>
      <c r="V3398" s="1"/>
      <c r="AC3398" s="1"/>
      <c r="AJ3398" s="1"/>
      <c r="AQ3398" s="1"/>
      <c r="AX3398" s="1"/>
    </row>
    <row r="3399" spans="1:50" x14ac:dyDescent="0.25">
      <c r="A3399" s="1"/>
      <c r="H3399" s="1"/>
      <c r="O3399" s="1"/>
      <c r="V3399" s="1"/>
      <c r="AC3399" s="1"/>
      <c r="AJ3399" s="1"/>
      <c r="AQ3399" s="1"/>
      <c r="AX3399" s="1"/>
    </row>
    <row r="3400" spans="1:50" x14ac:dyDescent="0.25">
      <c r="A3400" s="1"/>
      <c r="H3400" s="1"/>
      <c r="O3400" s="1"/>
      <c r="V3400" s="1"/>
      <c r="AC3400" s="1"/>
      <c r="AJ3400" s="1"/>
      <c r="AQ3400" s="1"/>
      <c r="AX3400" s="1"/>
    </row>
    <row r="3401" spans="1:50" x14ac:dyDescent="0.25">
      <c r="A3401" s="1"/>
      <c r="H3401" s="1"/>
      <c r="O3401" s="1"/>
      <c r="V3401" s="1"/>
      <c r="AC3401" s="1"/>
      <c r="AJ3401" s="1"/>
      <c r="AQ3401" s="1"/>
      <c r="AX3401" s="1"/>
    </row>
    <row r="3402" spans="1:50" x14ac:dyDescent="0.25">
      <c r="A3402" s="1"/>
      <c r="H3402" s="1"/>
      <c r="O3402" s="1"/>
      <c r="V3402" s="1"/>
      <c r="AC3402" s="1"/>
      <c r="AJ3402" s="1"/>
      <c r="AQ3402" s="1"/>
      <c r="AX3402" s="1"/>
    </row>
    <row r="3403" spans="1:50" x14ac:dyDescent="0.25">
      <c r="A3403" s="1"/>
      <c r="H3403" s="1"/>
      <c r="O3403" s="1"/>
      <c r="V3403" s="1"/>
      <c r="AC3403" s="1"/>
      <c r="AJ3403" s="1"/>
      <c r="AQ3403" s="1"/>
      <c r="AX3403" s="1"/>
    </row>
    <row r="3404" spans="1:50" x14ac:dyDescent="0.25">
      <c r="A3404" s="1"/>
      <c r="H3404" s="1"/>
      <c r="O3404" s="1"/>
      <c r="V3404" s="1"/>
      <c r="AC3404" s="1"/>
      <c r="AJ3404" s="1"/>
      <c r="AQ3404" s="1"/>
      <c r="AX3404" s="1"/>
    </row>
    <row r="3405" spans="1:50" x14ac:dyDescent="0.25">
      <c r="A3405" s="1"/>
      <c r="H3405" s="1"/>
      <c r="O3405" s="1"/>
      <c r="V3405" s="1"/>
      <c r="AC3405" s="1"/>
      <c r="AJ3405" s="1"/>
      <c r="AQ3405" s="1"/>
      <c r="AX3405" s="1"/>
    </row>
    <row r="3406" spans="1:50" x14ac:dyDescent="0.25">
      <c r="A3406" s="1"/>
      <c r="H3406" s="1"/>
      <c r="O3406" s="1"/>
      <c r="V3406" s="1"/>
      <c r="AC3406" s="1"/>
      <c r="AJ3406" s="1"/>
      <c r="AQ3406" s="1"/>
      <c r="AX3406" s="1"/>
    </row>
    <row r="3407" spans="1:50" x14ac:dyDescent="0.25">
      <c r="A3407" s="1"/>
      <c r="H3407" s="1"/>
      <c r="O3407" s="1"/>
      <c r="V3407" s="1"/>
      <c r="AC3407" s="1"/>
      <c r="AJ3407" s="1"/>
      <c r="AQ3407" s="1"/>
      <c r="AX3407" s="1"/>
    </row>
    <row r="3408" spans="1:50" x14ac:dyDescent="0.25">
      <c r="A3408" s="1"/>
      <c r="H3408" s="1"/>
      <c r="O3408" s="1"/>
      <c r="V3408" s="1"/>
      <c r="AC3408" s="1"/>
      <c r="AJ3408" s="1"/>
      <c r="AQ3408" s="1"/>
      <c r="AX3408" s="1"/>
    </row>
    <row r="3409" spans="1:50" x14ac:dyDescent="0.25">
      <c r="A3409" s="1"/>
      <c r="H3409" s="1"/>
      <c r="O3409" s="1"/>
      <c r="V3409" s="1"/>
      <c r="AC3409" s="1"/>
      <c r="AJ3409" s="1"/>
      <c r="AQ3409" s="1"/>
      <c r="AX3409" s="1"/>
    </row>
    <row r="3410" spans="1:50" x14ac:dyDescent="0.25">
      <c r="A3410" s="1"/>
      <c r="H3410" s="1"/>
      <c r="O3410" s="1"/>
      <c r="V3410" s="1"/>
      <c r="AC3410" s="1"/>
      <c r="AJ3410" s="1"/>
      <c r="AQ3410" s="1"/>
      <c r="AX3410" s="1"/>
    </row>
    <row r="3411" spans="1:50" x14ac:dyDescent="0.25">
      <c r="A3411" s="1"/>
      <c r="H3411" s="1"/>
      <c r="O3411" s="1"/>
      <c r="V3411" s="1"/>
      <c r="AC3411" s="1"/>
      <c r="AJ3411" s="1"/>
      <c r="AQ3411" s="1"/>
      <c r="AX3411" s="1"/>
    </row>
    <row r="3412" spans="1:50" x14ac:dyDescent="0.25">
      <c r="A3412" s="1"/>
      <c r="H3412" s="1"/>
      <c r="O3412" s="1"/>
      <c r="V3412" s="1"/>
      <c r="AC3412" s="1"/>
      <c r="AJ3412" s="1"/>
      <c r="AQ3412" s="1"/>
      <c r="AX3412" s="1"/>
    </row>
    <row r="3413" spans="1:50" x14ac:dyDescent="0.25">
      <c r="A3413" s="1"/>
      <c r="H3413" s="1"/>
      <c r="O3413" s="1"/>
      <c r="V3413" s="1"/>
      <c r="AC3413" s="1"/>
      <c r="AJ3413" s="1"/>
      <c r="AQ3413" s="1"/>
      <c r="AX3413" s="1"/>
    </row>
    <row r="3414" spans="1:50" x14ac:dyDescent="0.25">
      <c r="A3414" s="1"/>
      <c r="H3414" s="1"/>
      <c r="O3414" s="1"/>
      <c r="V3414" s="1"/>
      <c r="AC3414" s="1"/>
      <c r="AJ3414" s="1"/>
      <c r="AQ3414" s="1"/>
      <c r="AX3414" s="1"/>
    </row>
    <row r="3415" spans="1:50" x14ac:dyDescent="0.25">
      <c r="A3415" s="1"/>
      <c r="H3415" s="1"/>
      <c r="O3415" s="1"/>
      <c r="V3415" s="1"/>
      <c r="AC3415" s="1"/>
      <c r="AJ3415" s="1"/>
      <c r="AQ3415" s="1"/>
      <c r="AX3415" s="1"/>
    </row>
    <row r="3416" spans="1:50" x14ac:dyDescent="0.25">
      <c r="A3416" s="1"/>
      <c r="H3416" s="1"/>
      <c r="O3416" s="1"/>
      <c r="V3416" s="1"/>
      <c r="AC3416" s="1"/>
      <c r="AJ3416" s="1"/>
      <c r="AQ3416" s="1"/>
      <c r="AX3416" s="1"/>
    </row>
    <row r="3417" spans="1:50" x14ac:dyDescent="0.25">
      <c r="A3417" s="1"/>
      <c r="H3417" s="1"/>
      <c r="O3417" s="1"/>
      <c r="V3417" s="1"/>
      <c r="AC3417" s="1"/>
      <c r="AJ3417" s="1"/>
      <c r="AQ3417" s="1"/>
      <c r="AX3417" s="1"/>
    </row>
    <row r="3418" spans="1:50" x14ac:dyDescent="0.25">
      <c r="A3418" s="1"/>
      <c r="H3418" s="1"/>
      <c r="O3418" s="1"/>
      <c r="V3418" s="1"/>
      <c r="AC3418" s="1"/>
      <c r="AJ3418" s="1"/>
      <c r="AQ3418" s="1"/>
      <c r="AX3418" s="1"/>
    </row>
    <row r="3419" spans="1:50" x14ac:dyDescent="0.25">
      <c r="A3419" s="1"/>
      <c r="H3419" s="1"/>
      <c r="O3419" s="1"/>
      <c r="V3419" s="1"/>
      <c r="AC3419" s="1"/>
      <c r="AJ3419" s="1"/>
      <c r="AQ3419" s="1"/>
      <c r="AX3419" s="1"/>
    </row>
    <row r="3420" spans="1:50" x14ac:dyDescent="0.25">
      <c r="A3420" s="1"/>
      <c r="H3420" s="1"/>
      <c r="O3420" s="1"/>
      <c r="V3420" s="1"/>
      <c r="AC3420" s="1"/>
      <c r="AJ3420" s="1"/>
      <c r="AQ3420" s="1"/>
      <c r="AX3420" s="1"/>
    </row>
    <row r="3421" spans="1:50" x14ac:dyDescent="0.25">
      <c r="A3421" s="1"/>
      <c r="H3421" s="1"/>
      <c r="O3421" s="1"/>
      <c r="V3421" s="1"/>
      <c r="AC3421" s="1"/>
      <c r="AJ3421" s="1"/>
      <c r="AQ3421" s="1"/>
      <c r="AX3421" s="1"/>
    </row>
    <row r="3422" spans="1:50" x14ac:dyDescent="0.25">
      <c r="A3422" s="1"/>
      <c r="H3422" s="1"/>
      <c r="O3422" s="1"/>
      <c r="V3422" s="1"/>
      <c r="AC3422" s="1"/>
      <c r="AJ3422" s="1"/>
      <c r="AQ3422" s="1"/>
      <c r="AX3422" s="1"/>
    </row>
    <row r="3423" spans="1:50" x14ac:dyDescent="0.25">
      <c r="A3423" s="1"/>
      <c r="H3423" s="1"/>
      <c r="O3423" s="1"/>
      <c r="V3423" s="1"/>
      <c r="AC3423" s="1"/>
      <c r="AJ3423" s="1"/>
      <c r="AQ3423" s="1"/>
      <c r="AX3423" s="1"/>
    </row>
    <row r="3424" spans="1:50" x14ac:dyDescent="0.25">
      <c r="A3424" s="1"/>
      <c r="H3424" s="1"/>
      <c r="O3424" s="1"/>
      <c r="V3424" s="1"/>
      <c r="AC3424" s="1"/>
      <c r="AJ3424" s="1"/>
      <c r="AQ3424" s="1"/>
      <c r="AX3424" s="1"/>
    </row>
    <row r="3425" spans="1:50" x14ac:dyDescent="0.25">
      <c r="A3425" s="1"/>
      <c r="H3425" s="1"/>
      <c r="O3425" s="1"/>
      <c r="V3425" s="1"/>
      <c r="AC3425" s="1"/>
      <c r="AJ3425" s="1"/>
      <c r="AQ3425" s="1"/>
      <c r="AX3425" s="1"/>
    </row>
    <row r="3426" spans="1:50" x14ac:dyDescent="0.25">
      <c r="A3426" s="1"/>
      <c r="H3426" s="1"/>
      <c r="O3426" s="1"/>
      <c r="V3426" s="1"/>
      <c r="AC3426" s="1"/>
      <c r="AJ3426" s="1"/>
      <c r="AQ3426" s="1"/>
      <c r="AX3426" s="1"/>
    </row>
    <row r="3427" spans="1:50" x14ac:dyDescent="0.25">
      <c r="A3427" s="1"/>
      <c r="H3427" s="1"/>
      <c r="O3427" s="1"/>
      <c r="V3427" s="1"/>
      <c r="AC3427" s="1"/>
      <c r="AJ3427" s="1"/>
      <c r="AQ3427" s="1"/>
      <c r="AX3427" s="1"/>
    </row>
    <row r="3428" spans="1:50" x14ac:dyDescent="0.25">
      <c r="A3428" s="1"/>
      <c r="H3428" s="1"/>
      <c r="O3428" s="1"/>
      <c r="V3428" s="1"/>
      <c r="AC3428" s="1"/>
      <c r="AJ3428" s="1"/>
      <c r="AQ3428" s="1"/>
      <c r="AX3428" s="1"/>
    </row>
    <row r="3429" spans="1:50" x14ac:dyDescent="0.25">
      <c r="A3429" s="1"/>
      <c r="H3429" s="1"/>
      <c r="O3429" s="1"/>
      <c r="V3429" s="1"/>
      <c r="AC3429" s="1"/>
      <c r="AJ3429" s="1"/>
      <c r="AQ3429" s="1"/>
      <c r="AX3429" s="1"/>
    </row>
    <row r="3430" spans="1:50" x14ac:dyDescent="0.25">
      <c r="A3430" s="1"/>
      <c r="H3430" s="1"/>
      <c r="O3430" s="1"/>
      <c r="V3430" s="1"/>
      <c r="AC3430" s="1"/>
      <c r="AJ3430" s="1"/>
      <c r="AQ3430" s="1"/>
      <c r="AX3430" s="1"/>
    </row>
    <row r="3431" spans="1:50" x14ac:dyDescent="0.25">
      <c r="A3431" s="1"/>
      <c r="H3431" s="1"/>
      <c r="O3431" s="1"/>
      <c r="V3431" s="1"/>
      <c r="AC3431" s="1"/>
      <c r="AJ3431" s="1"/>
      <c r="AQ3431" s="1"/>
      <c r="AX3431" s="1"/>
    </row>
    <row r="3432" spans="1:50" x14ac:dyDescent="0.25">
      <c r="A3432" s="1"/>
      <c r="H3432" s="1"/>
      <c r="O3432" s="1"/>
      <c r="V3432" s="1"/>
      <c r="AC3432" s="1"/>
      <c r="AJ3432" s="1"/>
      <c r="AQ3432" s="1"/>
      <c r="AX3432" s="1"/>
    </row>
    <row r="3433" spans="1:50" x14ac:dyDescent="0.25">
      <c r="A3433" s="1"/>
      <c r="H3433" s="1"/>
      <c r="O3433" s="1"/>
      <c r="V3433" s="1"/>
      <c r="AC3433" s="1"/>
      <c r="AJ3433" s="1"/>
      <c r="AQ3433" s="1"/>
      <c r="AX3433" s="1"/>
    </row>
    <row r="3434" spans="1:50" x14ac:dyDescent="0.25">
      <c r="A3434" s="1"/>
      <c r="H3434" s="1"/>
      <c r="O3434" s="1"/>
      <c r="V3434" s="1"/>
      <c r="AC3434" s="1"/>
      <c r="AJ3434" s="1"/>
      <c r="AQ3434" s="1"/>
      <c r="AX3434" s="1"/>
    </row>
    <row r="3435" spans="1:50" x14ac:dyDescent="0.25">
      <c r="A3435" s="1"/>
      <c r="H3435" s="1"/>
      <c r="O3435" s="1"/>
      <c r="V3435" s="1"/>
      <c r="AC3435" s="1"/>
      <c r="AJ3435" s="1"/>
      <c r="AQ3435" s="1"/>
      <c r="AX3435" s="1"/>
    </row>
    <row r="3436" spans="1:50" x14ac:dyDescent="0.25">
      <c r="A3436" s="1"/>
      <c r="H3436" s="1"/>
      <c r="O3436" s="1"/>
      <c r="V3436" s="1"/>
      <c r="AC3436" s="1"/>
      <c r="AJ3436" s="1"/>
      <c r="AQ3436" s="1"/>
      <c r="AX3436" s="1"/>
    </row>
    <row r="3437" spans="1:50" x14ac:dyDescent="0.25">
      <c r="A3437" s="1"/>
      <c r="H3437" s="1"/>
      <c r="O3437" s="1"/>
      <c r="V3437" s="1"/>
      <c r="AC3437" s="1"/>
      <c r="AJ3437" s="1"/>
      <c r="AQ3437" s="1"/>
      <c r="AX3437" s="1"/>
    </row>
    <row r="3438" spans="1:50" x14ac:dyDescent="0.25">
      <c r="A3438" s="1"/>
      <c r="H3438" s="1"/>
      <c r="O3438" s="1"/>
      <c r="V3438" s="1"/>
      <c r="AC3438" s="1"/>
      <c r="AJ3438" s="1"/>
      <c r="AQ3438" s="1"/>
      <c r="AX3438" s="1"/>
    </row>
    <row r="3439" spans="1:50" x14ac:dyDescent="0.25">
      <c r="A3439" s="1"/>
      <c r="H3439" s="1"/>
      <c r="O3439" s="1"/>
      <c r="V3439" s="1"/>
      <c r="AC3439" s="1"/>
      <c r="AJ3439" s="1"/>
      <c r="AQ3439" s="1"/>
      <c r="AX3439" s="1"/>
    </row>
    <row r="3440" spans="1:50" x14ac:dyDescent="0.25">
      <c r="A3440" s="1"/>
      <c r="H3440" s="1"/>
      <c r="O3440" s="1"/>
      <c r="V3440" s="1"/>
      <c r="AC3440" s="1"/>
      <c r="AJ3440" s="1"/>
      <c r="AQ3440" s="1"/>
      <c r="AX3440" s="1"/>
    </row>
    <row r="3441" spans="1:50" x14ac:dyDescent="0.25">
      <c r="A3441" s="1"/>
      <c r="H3441" s="1"/>
      <c r="O3441" s="1"/>
      <c r="V3441" s="1"/>
      <c r="AC3441" s="1"/>
      <c r="AJ3441" s="1"/>
      <c r="AQ3441" s="1"/>
      <c r="AX3441" s="1"/>
    </row>
    <row r="3442" spans="1:50" x14ac:dyDescent="0.25">
      <c r="A3442" s="1"/>
      <c r="H3442" s="1"/>
      <c r="O3442" s="1"/>
      <c r="V3442" s="1"/>
      <c r="AC3442" s="1"/>
      <c r="AJ3442" s="1"/>
      <c r="AQ3442" s="1"/>
      <c r="AX3442" s="1"/>
    </row>
    <row r="3443" spans="1:50" x14ac:dyDescent="0.25">
      <c r="A3443" s="1"/>
      <c r="H3443" s="1"/>
      <c r="O3443" s="1"/>
      <c r="V3443" s="1"/>
      <c r="AC3443" s="1"/>
      <c r="AJ3443" s="1"/>
      <c r="AQ3443" s="1"/>
      <c r="AX3443" s="1"/>
    </row>
    <row r="3444" spans="1:50" x14ac:dyDescent="0.25">
      <c r="A3444" s="1"/>
      <c r="H3444" s="1"/>
      <c r="O3444" s="1"/>
      <c r="V3444" s="1"/>
      <c r="AC3444" s="1"/>
      <c r="AJ3444" s="1"/>
      <c r="AQ3444" s="1"/>
      <c r="AX3444" s="1"/>
    </row>
    <row r="3445" spans="1:50" x14ac:dyDescent="0.25">
      <c r="A3445" s="1"/>
      <c r="H3445" s="1"/>
      <c r="O3445" s="1"/>
      <c r="V3445" s="1"/>
      <c r="AC3445" s="1"/>
      <c r="AJ3445" s="1"/>
      <c r="AQ3445" s="1"/>
      <c r="AX3445" s="1"/>
    </row>
    <row r="3446" spans="1:50" x14ac:dyDescent="0.25">
      <c r="A3446" s="1"/>
      <c r="H3446" s="1"/>
      <c r="O3446" s="1"/>
      <c r="V3446" s="1"/>
      <c r="AC3446" s="1"/>
      <c r="AJ3446" s="1"/>
      <c r="AQ3446" s="1"/>
      <c r="AX3446" s="1"/>
    </row>
    <row r="3447" spans="1:50" x14ac:dyDescent="0.25">
      <c r="A3447" s="1"/>
      <c r="H3447" s="1"/>
      <c r="O3447" s="1"/>
      <c r="V3447" s="1"/>
      <c r="AC3447" s="1"/>
      <c r="AJ3447" s="1"/>
      <c r="AQ3447" s="1"/>
      <c r="AX3447" s="1"/>
    </row>
    <row r="3448" spans="1:50" x14ac:dyDescent="0.25">
      <c r="A3448" s="1"/>
      <c r="H3448" s="1"/>
      <c r="O3448" s="1"/>
      <c r="V3448" s="1"/>
      <c r="AC3448" s="1"/>
      <c r="AJ3448" s="1"/>
      <c r="AQ3448" s="1"/>
      <c r="AX3448" s="1"/>
    </row>
    <row r="3449" spans="1:50" x14ac:dyDescent="0.25">
      <c r="A3449" s="1"/>
      <c r="H3449" s="1"/>
      <c r="O3449" s="1"/>
      <c r="V3449" s="1"/>
      <c r="AC3449" s="1"/>
      <c r="AJ3449" s="1"/>
      <c r="AQ3449" s="1"/>
      <c r="AX3449" s="1"/>
    </row>
    <row r="3450" spans="1:50" x14ac:dyDescent="0.25">
      <c r="A3450" s="1"/>
      <c r="H3450" s="1"/>
      <c r="O3450" s="1"/>
      <c r="V3450" s="1"/>
      <c r="AC3450" s="1"/>
      <c r="AJ3450" s="1"/>
      <c r="AQ3450" s="1"/>
      <c r="AX3450" s="1"/>
    </row>
    <row r="3451" spans="1:50" x14ac:dyDescent="0.25">
      <c r="A3451" s="1"/>
      <c r="H3451" s="1"/>
      <c r="O3451" s="1"/>
      <c r="V3451" s="1"/>
      <c r="AC3451" s="1"/>
      <c r="AJ3451" s="1"/>
      <c r="AQ3451" s="1"/>
      <c r="AX3451" s="1"/>
    </row>
    <row r="3452" spans="1:50" x14ac:dyDescent="0.25">
      <c r="A3452" s="1"/>
      <c r="H3452" s="1"/>
      <c r="O3452" s="1"/>
      <c r="V3452" s="1"/>
      <c r="AC3452" s="1"/>
      <c r="AJ3452" s="1"/>
      <c r="AQ3452" s="1"/>
      <c r="AX3452" s="1"/>
    </row>
    <row r="3453" spans="1:50" x14ac:dyDescent="0.25">
      <c r="A3453" s="1"/>
      <c r="H3453" s="1"/>
      <c r="O3453" s="1"/>
      <c r="V3453" s="1"/>
      <c r="AC3453" s="1"/>
      <c r="AJ3453" s="1"/>
      <c r="AQ3453" s="1"/>
      <c r="AX3453" s="1"/>
    </row>
    <row r="3454" spans="1:50" x14ac:dyDescent="0.25">
      <c r="A3454" s="1"/>
      <c r="H3454" s="1"/>
      <c r="O3454" s="1"/>
      <c r="V3454" s="1"/>
      <c r="AC3454" s="1"/>
      <c r="AJ3454" s="1"/>
      <c r="AQ3454" s="1"/>
      <c r="AX3454" s="1"/>
    </row>
    <row r="3455" spans="1:50" x14ac:dyDescent="0.25">
      <c r="A3455" s="1"/>
      <c r="H3455" s="1"/>
      <c r="O3455" s="1"/>
      <c r="V3455" s="1"/>
      <c r="AC3455" s="1"/>
      <c r="AJ3455" s="1"/>
      <c r="AQ3455" s="1"/>
      <c r="AX3455" s="1"/>
    </row>
    <row r="3456" spans="1:50" x14ac:dyDescent="0.25">
      <c r="A3456" s="1"/>
      <c r="H3456" s="1"/>
      <c r="O3456" s="1"/>
      <c r="V3456" s="1"/>
      <c r="AC3456" s="1"/>
      <c r="AJ3456" s="1"/>
      <c r="AQ3456" s="1"/>
      <c r="AX3456" s="1"/>
    </row>
    <row r="3457" spans="1:50" x14ac:dyDescent="0.25">
      <c r="A3457" s="1"/>
      <c r="H3457" s="1"/>
      <c r="O3457" s="1"/>
      <c r="V3457" s="1"/>
      <c r="AC3457" s="1"/>
      <c r="AJ3457" s="1"/>
      <c r="AQ3457" s="1"/>
      <c r="AX3457" s="1"/>
    </row>
    <row r="3458" spans="1:50" x14ac:dyDescent="0.25">
      <c r="A3458" s="1"/>
      <c r="H3458" s="1"/>
      <c r="O3458" s="1"/>
      <c r="V3458" s="1"/>
      <c r="AC3458" s="1"/>
      <c r="AJ3458" s="1"/>
      <c r="AQ3458" s="1"/>
      <c r="AX3458" s="1"/>
    </row>
    <row r="3459" spans="1:50" x14ac:dyDescent="0.25">
      <c r="A3459" s="1"/>
      <c r="H3459" s="1"/>
      <c r="O3459" s="1"/>
      <c r="V3459" s="1"/>
      <c r="AC3459" s="1"/>
      <c r="AJ3459" s="1"/>
      <c r="AQ3459" s="1"/>
      <c r="AX3459" s="1"/>
    </row>
    <row r="3460" spans="1:50" x14ac:dyDescent="0.25">
      <c r="A3460" s="1"/>
      <c r="H3460" s="1"/>
      <c r="O3460" s="1"/>
      <c r="V3460" s="1"/>
      <c r="AC3460" s="1"/>
      <c r="AJ3460" s="1"/>
      <c r="AQ3460" s="1"/>
      <c r="AX3460" s="1"/>
    </row>
    <row r="3461" spans="1:50" x14ac:dyDescent="0.25">
      <c r="A3461" s="1"/>
      <c r="H3461" s="1"/>
      <c r="O3461" s="1"/>
      <c r="V3461" s="1"/>
      <c r="AC3461" s="1"/>
      <c r="AJ3461" s="1"/>
      <c r="AQ3461" s="1"/>
      <c r="AX3461" s="1"/>
    </row>
    <row r="3462" spans="1:50" x14ac:dyDescent="0.25">
      <c r="A3462" s="1"/>
      <c r="H3462" s="1"/>
      <c r="O3462" s="1"/>
      <c r="V3462" s="1"/>
      <c r="AC3462" s="1"/>
      <c r="AJ3462" s="1"/>
      <c r="AQ3462" s="1"/>
      <c r="AX3462" s="1"/>
    </row>
    <row r="3463" spans="1:50" x14ac:dyDescent="0.25">
      <c r="A3463" s="1"/>
      <c r="H3463" s="1"/>
      <c r="O3463" s="1"/>
      <c r="V3463" s="1"/>
      <c r="AC3463" s="1"/>
      <c r="AJ3463" s="1"/>
      <c r="AQ3463" s="1"/>
      <c r="AX3463" s="1"/>
    </row>
    <row r="3464" spans="1:50" x14ac:dyDescent="0.25">
      <c r="A3464" s="1"/>
      <c r="H3464" s="1"/>
      <c r="O3464" s="1"/>
      <c r="V3464" s="1"/>
      <c r="AC3464" s="1"/>
      <c r="AJ3464" s="1"/>
      <c r="AQ3464" s="1"/>
      <c r="AX3464" s="1"/>
    </row>
    <row r="3465" spans="1:50" x14ac:dyDescent="0.25">
      <c r="A3465" s="1"/>
      <c r="H3465" s="1"/>
      <c r="O3465" s="1"/>
      <c r="V3465" s="1"/>
      <c r="AC3465" s="1"/>
      <c r="AJ3465" s="1"/>
      <c r="AQ3465" s="1"/>
      <c r="AX3465" s="1"/>
    </row>
    <row r="3466" spans="1:50" x14ac:dyDescent="0.25">
      <c r="A3466" s="1"/>
      <c r="H3466" s="1"/>
      <c r="O3466" s="1"/>
      <c r="V3466" s="1"/>
      <c r="AC3466" s="1"/>
      <c r="AJ3466" s="1"/>
      <c r="AQ3466" s="1"/>
      <c r="AX3466" s="1"/>
    </row>
    <row r="3467" spans="1:50" x14ac:dyDescent="0.25">
      <c r="A3467" s="1"/>
      <c r="H3467" s="1"/>
      <c r="O3467" s="1"/>
      <c r="V3467" s="1"/>
      <c r="AC3467" s="1"/>
      <c r="AJ3467" s="1"/>
      <c r="AQ3467" s="1"/>
      <c r="AX3467" s="1"/>
    </row>
    <row r="3468" spans="1:50" x14ac:dyDescent="0.25">
      <c r="A3468" s="1"/>
      <c r="H3468" s="1"/>
      <c r="O3468" s="1"/>
      <c r="V3468" s="1"/>
      <c r="AC3468" s="1"/>
      <c r="AJ3468" s="1"/>
      <c r="AQ3468" s="1"/>
      <c r="AX3468" s="1"/>
    </row>
    <row r="3469" spans="1:50" x14ac:dyDescent="0.25">
      <c r="A3469" s="1"/>
      <c r="H3469" s="1"/>
      <c r="O3469" s="1"/>
      <c r="V3469" s="1"/>
      <c r="AC3469" s="1"/>
      <c r="AJ3469" s="1"/>
      <c r="AQ3469" s="1"/>
      <c r="AX3469" s="1"/>
    </row>
    <row r="3470" spans="1:50" x14ac:dyDescent="0.25">
      <c r="A3470" s="1"/>
      <c r="H3470" s="1"/>
      <c r="O3470" s="1"/>
      <c r="V3470" s="1"/>
      <c r="AC3470" s="1"/>
      <c r="AJ3470" s="1"/>
      <c r="AQ3470" s="1"/>
      <c r="AX3470" s="1"/>
    </row>
    <row r="3471" spans="1:50" x14ac:dyDescent="0.25">
      <c r="A3471" s="1"/>
      <c r="H3471" s="1"/>
      <c r="O3471" s="1"/>
      <c r="V3471" s="1"/>
      <c r="AC3471" s="1"/>
      <c r="AJ3471" s="1"/>
      <c r="AQ3471" s="1"/>
      <c r="AX3471" s="1"/>
    </row>
    <row r="3472" spans="1:50" x14ac:dyDescent="0.25">
      <c r="A3472" s="1"/>
      <c r="H3472" s="1"/>
      <c r="O3472" s="1"/>
      <c r="V3472" s="1"/>
      <c r="AC3472" s="1"/>
      <c r="AJ3472" s="1"/>
      <c r="AQ3472" s="1"/>
      <c r="AX3472" s="1"/>
    </row>
    <row r="3473" spans="1:50" x14ac:dyDescent="0.25">
      <c r="A3473" s="1"/>
      <c r="H3473" s="1"/>
      <c r="O3473" s="1"/>
      <c r="V3473" s="1"/>
      <c r="AC3473" s="1"/>
      <c r="AJ3473" s="1"/>
      <c r="AQ3473" s="1"/>
      <c r="AX3473" s="1"/>
    </row>
    <row r="3474" spans="1:50" x14ac:dyDescent="0.25">
      <c r="A3474" s="1"/>
      <c r="H3474" s="1"/>
      <c r="O3474" s="1"/>
      <c r="V3474" s="1"/>
      <c r="AC3474" s="1"/>
      <c r="AJ3474" s="1"/>
      <c r="AQ3474" s="1"/>
      <c r="AX3474" s="1"/>
    </row>
    <row r="3475" spans="1:50" x14ac:dyDescent="0.25">
      <c r="A3475" s="1"/>
      <c r="H3475" s="1"/>
      <c r="O3475" s="1"/>
      <c r="V3475" s="1"/>
      <c r="AC3475" s="1"/>
      <c r="AJ3475" s="1"/>
      <c r="AQ3475" s="1"/>
      <c r="AX3475" s="1"/>
    </row>
    <row r="3476" spans="1:50" x14ac:dyDescent="0.25">
      <c r="A3476" s="1"/>
      <c r="H3476" s="1"/>
      <c r="O3476" s="1"/>
      <c r="V3476" s="1"/>
      <c r="AC3476" s="1"/>
      <c r="AJ3476" s="1"/>
      <c r="AQ3476" s="1"/>
      <c r="AX3476" s="1"/>
    </row>
    <row r="3477" spans="1:50" x14ac:dyDescent="0.25">
      <c r="A3477" s="1"/>
      <c r="H3477" s="1"/>
      <c r="O3477" s="1"/>
      <c r="V3477" s="1"/>
      <c r="AC3477" s="1"/>
      <c r="AJ3477" s="1"/>
      <c r="AQ3477" s="1"/>
      <c r="AX3477" s="1"/>
    </row>
    <row r="3478" spans="1:50" x14ac:dyDescent="0.25">
      <c r="A3478" s="1"/>
      <c r="H3478" s="1"/>
      <c r="O3478" s="1"/>
      <c r="V3478" s="1"/>
      <c r="AC3478" s="1"/>
      <c r="AJ3478" s="1"/>
      <c r="AQ3478" s="1"/>
      <c r="AX3478" s="1"/>
    </row>
    <row r="3479" spans="1:50" x14ac:dyDescent="0.25">
      <c r="A3479" s="1"/>
      <c r="H3479" s="1"/>
      <c r="O3479" s="1"/>
      <c r="V3479" s="1"/>
      <c r="AC3479" s="1"/>
      <c r="AJ3479" s="1"/>
      <c r="AQ3479" s="1"/>
      <c r="AX3479" s="1"/>
    </row>
    <row r="3480" spans="1:50" x14ac:dyDescent="0.25">
      <c r="A3480" s="1"/>
      <c r="H3480" s="1"/>
      <c r="O3480" s="1"/>
      <c r="V3480" s="1"/>
      <c r="AC3480" s="1"/>
      <c r="AJ3480" s="1"/>
      <c r="AQ3480" s="1"/>
      <c r="AX3480" s="1"/>
    </row>
    <row r="3481" spans="1:50" x14ac:dyDescent="0.25">
      <c r="A3481" s="1"/>
      <c r="H3481" s="1"/>
      <c r="O3481" s="1"/>
      <c r="V3481" s="1"/>
      <c r="AC3481" s="1"/>
      <c r="AJ3481" s="1"/>
      <c r="AQ3481" s="1"/>
      <c r="AX3481" s="1"/>
    </row>
    <row r="3482" spans="1:50" x14ac:dyDescent="0.25">
      <c r="A3482" s="1"/>
      <c r="H3482" s="1"/>
      <c r="O3482" s="1"/>
      <c r="V3482" s="1"/>
      <c r="AC3482" s="1"/>
      <c r="AJ3482" s="1"/>
      <c r="AQ3482" s="1"/>
      <c r="AX3482" s="1"/>
    </row>
    <row r="3483" spans="1:50" x14ac:dyDescent="0.25">
      <c r="A3483" s="1"/>
      <c r="H3483" s="1"/>
      <c r="O3483" s="1"/>
      <c r="V3483" s="1"/>
      <c r="AC3483" s="1"/>
      <c r="AJ3483" s="1"/>
      <c r="AQ3483" s="1"/>
      <c r="AX3483" s="1"/>
    </row>
    <row r="3484" spans="1:50" x14ac:dyDescent="0.25">
      <c r="A3484" s="1"/>
      <c r="H3484" s="1"/>
      <c r="O3484" s="1"/>
      <c r="V3484" s="1"/>
      <c r="AC3484" s="1"/>
      <c r="AJ3484" s="1"/>
      <c r="AQ3484" s="1"/>
      <c r="AX3484" s="1"/>
    </row>
    <row r="3485" spans="1:50" x14ac:dyDescent="0.25">
      <c r="A3485" s="1"/>
      <c r="H3485" s="1"/>
      <c r="O3485" s="1"/>
      <c r="V3485" s="1"/>
      <c r="AC3485" s="1"/>
      <c r="AJ3485" s="1"/>
      <c r="AQ3485" s="1"/>
      <c r="AX3485" s="1"/>
    </row>
    <row r="3486" spans="1:50" x14ac:dyDescent="0.25">
      <c r="A3486" s="1"/>
      <c r="H3486" s="1"/>
      <c r="O3486" s="1"/>
      <c r="V3486" s="1"/>
      <c r="AC3486" s="1"/>
      <c r="AJ3486" s="1"/>
      <c r="AQ3486" s="1"/>
      <c r="AX3486" s="1"/>
    </row>
    <row r="3487" spans="1:50" x14ac:dyDescent="0.25">
      <c r="A3487" s="1"/>
      <c r="H3487" s="1"/>
      <c r="O3487" s="1"/>
      <c r="V3487" s="1"/>
      <c r="AC3487" s="1"/>
      <c r="AJ3487" s="1"/>
      <c r="AQ3487" s="1"/>
      <c r="AX3487" s="1"/>
    </row>
    <row r="3488" spans="1:50" x14ac:dyDescent="0.25">
      <c r="A3488" s="1"/>
      <c r="H3488" s="1"/>
      <c r="O3488" s="1"/>
      <c r="V3488" s="1"/>
      <c r="AC3488" s="1"/>
      <c r="AJ3488" s="1"/>
      <c r="AQ3488" s="1"/>
      <c r="AX3488" s="1"/>
    </row>
    <row r="3489" spans="1:50" x14ac:dyDescent="0.25">
      <c r="A3489" s="1"/>
      <c r="H3489" s="1"/>
      <c r="O3489" s="1"/>
      <c r="V3489" s="1"/>
      <c r="AC3489" s="1"/>
      <c r="AJ3489" s="1"/>
      <c r="AQ3489" s="1"/>
      <c r="AX3489" s="1"/>
    </row>
    <row r="3490" spans="1:50" x14ac:dyDescent="0.25">
      <c r="A3490" s="1"/>
      <c r="H3490" s="1"/>
      <c r="O3490" s="1"/>
      <c r="V3490" s="1"/>
      <c r="AC3490" s="1"/>
      <c r="AJ3490" s="1"/>
      <c r="AQ3490" s="1"/>
      <c r="AX3490" s="1"/>
    </row>
    <row r="3491" spans="1:50" x14ac:dyDescent="0.25">
      <c r="A3491" s="1"/>
      <c r="H3491" s="1"/>
      <c r="O3491" s="1"/>
      <c r="V3491" s="1"/>
      <c r="AC3491" s="1"/>
      <c r="AJ3491" s="1"/>
      <c r="AQ3491" s="1"/>
      <c r="AX3491" s="1"/>
    </row>
    <row r="3492" spans="1:50" x14ac:dyDescent="0.25">
      <c r="A3492" s="1"/>
      <c r="H3492" s="1"/>
      <c r="O3492" s="1"/>
      <c r="V3492" s="1"/>
      <c r="AC3492" s="1"/>
      <c r="AJ3492" s="1"/>
      <c r="AQ3492" s="1"/>
      <c r="AX3492" s="1"/>
    </row>
    <row r="3493" spans="1:50" x14ac:dyDescent="0.25">
      <c r="A3493" s="1"/>
      <c r="H3493" s="1"/>
      <c r="O3493" s="1"/>
      <c r="V3493" s="1"/>
      <c r="AC3493" s="1"/>
      <c r="AJ3493" s="1"/>
      <c r="AQ3493" s="1"/>
      <c r="AX3493" s="1"/>
    </row>
    <row r="3494" spans="1:50" x14ac:dyDescent="0.25">
      <c r="A3494" s="1"/>
      <c r="H3494" s="1"/>
      <c r="O3494" s="1"/>
      <c r="V3494" s="1"/>
      <c r="AC3494" s="1"/>
      <c r="AJ3494" s="1"/>
      <c r="AQ3494" s="1"/>
      <c r="AX3494" s="1"/>
    </row>
    <row r="3495" spans="1:50" x14ac:dyDescent="0.25">
      <c r="A3495" s="1"/>
      <c r="H3495" s="1"/>
      <c r="O3495" s="1"/>
      <c r="V3495" s="1"/>
      <c r="AC3495" s="1"/>
      <c r="AJ3495" s="1"/>
      <c r="AQ3495" s="1"/>
      <c r="AX3495" s="1"/>
    </row>
    <row r="3496" spans="1:50" x14ac:dyDescent="0.25">
      <c r="A3496" s="1"/>
      <c r="H3496" s="1"/>
      <c r="O3496" s="1"/>
      <c r="V3496" s="1"/>
      <c r="AC3496" s="1"/>
      <c r="AJ3496" s="1"/>
      <c r="AQ3496" s="1"/>
      <c r="AX3496" s="1"/>
    </row>
    <row r="3497" spans="1:50" x14ac:dyDescent="0.25">
      <c r="A3497" s="1"/>
      <c r="H3497" s="1"/>
      <c r="O3497" s="1"/>
      <c r="V3497" s="1"/>
      <c r="AC3497" s="1"/>
      <c r="AJ3497" s="1"/>
      <c r="AQ3497" s="1"/>
      <c r="AX3497" s="1"/>
    </row>
    <row r="3498" spans="1:50" x14ac:dyDescent="0.25">
      <c r="A3498" s="1"/>
      <c r="H3498" s="1"/>
      <c r="O3498" s="1"/>
      <c r="V3498" s="1"/>
      <c r="AC3498" s="1"/>
      <c r="AJ3498" s="1"/>
      <c r="AQ3498" s="1"/>
      <c r="AX3498" s="1"/>
    </row>
    <row r="3499" spans="1:50" x14ac:dyDescent="0.25">
      <c r="A3499" s="1"/>
      <c r="H3499" s="1"/>
      <c r="O3499" s="1"/>
      <c r="V3499" s="1"/>
      <c r="AC3499" s="1"/>
      <c r="AJ3499" s="1"/>
      <c r="AQ3499" s="1"/>
      <c r="AX3499" s="1"/>
    </row>
    <row r="3500" spans="1:50" x14ac:dyDescent="0.25">
      <c r="A3500" s="1"/>
      <c r="H3500" s="1"/>
      <c r="O3500" s="1"/>
      <c r="V3500" s="1"/>
      <c r="AC3500" s="1"/>
      <c r="AJ3500" s="1"/>
      <c r="AQ3500" s="1"/>
      <c r="AX3500" s="1"/>
    </row>
    <row r="3501" spans="1:50" x14ac:dyDescent="0.25">
      <c r="A3501" s="1"/>
      <c r="H3501" s="1"/>
      <c r="O3501" s="1"/>
      <c r="V3501" s="1"/>
      <c r="AC3501" s="1"/>
      <c r="AJ3501" s="1"/>
      <c r="AQ3501" s="1"/>
      <c r="AX3501" s="1"/>
    </row>
    <row r="3502" spans="1:50" x14ac:dyDescent="0.25">
      <c r="A3502" s="1"/>
      <c r="H3502" s="1"/>
      <c r="O3502" s="1"/>
      <c r="V3502" s="1"/>
      <c r="AC3502" s="1"/>
      <c r="AJ3502" s="1"/>
      <c r="AQ3502" s="1"/>
      <c r="AX3502" s="1"/>
    </row>
    <row r="3503" spans="1:50" x14ac:dyDescent="0.25">
      <c r="A3503" s="1"/>
      <c r="H3503" s="1"/>
      <c r="O3503" s="1"/>
      <c r="V3503" s="1"/>
      <c r="AC3503" s="1"/>
      <c r="AJ3503" s="1"/>
      <c r="AQ3503" s="1"/>
      <c r="AX3503" s="1"/>
    </row>
    <row r="3504" spans="1:50" x14ac:dyDescent="0.25">
      <c r="A3504" s="1"/>
      <c r="H3504" s="1"/>
      <c r="O3504" s="1"/>
      <c r="V3504" s="1"/>
      <c r="AC3504" s="1"/>
      <c r="AJ3504" s="1"/>
      <c r="AQ3504" s="1"/>
      <c r="AX3504" s="1"/>
    </row>
    <row r="3505" spans="1:50" x14ac:dyDescent="0.25">
      <c r="A3505" s="1"/>
      <c r="H3505" s="1"/>
      <c r="O3505" s="1"/>
      <c r="V3505" s="1"/>
      <c r="AC3505" s="1"/>
      <c r="AJ3505" s="1"/>
      <c r="AQ3505" s="1"/>
      <c r="AX3505" s="1"/>
    </row>
    <row r="3506" spans="1:50" x14ac:dyDescent="0.25">
      <c r="A3506" s="1"/>
      <c r="H3506" s="1"/>
      <c r="O3506" s="1"/>
      <c r="V3506" s="1"/>
      <c r="AC3506" s="1"/>
      <c r="AJ3506" s="1"/>
      <c r="AQ3506" s="1"/>
      <c r="AX3506" s="1"/>
    </row>
    <row r="3507" spans="1:50" x14ac:dyDescent="0.25">
      <c r="A3507" s="1"/>
      <c r="H3507" s="1"/>
      <c r="O3507" s="1"/>
      <c r="V3507" s="1"/>
      <c r="AC3507" s="1"/>
      <c r="AJ3507" s="1"/>
      <c r="AQ3507" s="1"/>
      <c r="AX3507" s="1"/>
    </row>
    <row r="3508" spans="1:50" x14ac:dyDescent="0.25">
      <c r="A3508" s="1"/>
      <c r="H3508" s="1"/>
      <c r="O3508" s="1"/>
      <c r="V3508" s="1"/>
      <c r="AC3508" s="1"/>
      <c r="AJ3508" s="1"/>
      <c r="AQ3508" s="1"/>
      <c r="AX3508" s="1"/>
    </row>
    <row r="3509" spans="1:50" x14ac:dyDescent="0.25">
      <c r="A3509" s="1"/>
      <c r="H3509" s="1"/>
      <c r="O3509" s="1"/>
      <c r="V3509" s="1"/>
      <c r="AC3509" s="1"/>
      <c r="AJ3509" s="1"/>
      <c r="AQ3509" s="1"/>
      <c r="AX3509" s="1"/>
    </row>
    <row r="3510" spans="1:50" x14ac:dyDescent="0.25">
      <c r="A3510" s="1"/>
      <c r="H3510" s="1"/>
      <c r="O3510" s="1"/>
      <c r="V3510" s="1"/>
      <c r="AC3510" s="1"/>
      <c r="AJ3510" s="1"/>
      <c r="AQ3510" s="1"/>
      <c r="AX3510" s="1"/>
    </row>
    <row r="3511" spans="1:50" x14ac:dyDescent="0.25">
      <c r="A3511" s="1"/>
      <c r="H3511" s="1"/>
      <c r="O3511" s="1"/>
      <c r="V3511" s="1"/>
      <c r="AC3511" s="1"/>
      <c r="AJ3511" s="1"/>
      <c r="AQ3511" s="1"/>
      <c r="AX3511" s="1"/>
    </row>
    <row r="3512" spans="1:50" x14ac:dyDescent="0.25">
      <c r="A3512" s="1"/>
      <c r="H3512" s="1"/>
      <c r="O3512" s="1"/>
      <c r="V3512" s="1"/>
      <c r="AC3512" s="1"/>
      <c r="AJ3512" s="1"/>
      <c r="AQ3512" s="1"/>
      <c r="AX3512" s="1"/>
    </row>
    <row r="3513" spans="1:50" x14ac:dyDescent="0.25">
      <c r="A3513" s="1"/>
      <c r="H3513" s="1"/>
      <c r="O3513" s="1"/>
      <c r="V3513" s="1"/>
      <c r="AC3513" s="1"/>
      <c r="AJ3513" s="1"/>
      <c r="AQ3513" s="1"/>
      <c r="AX3513" s="1"/>
    </row>
    <row r="3514" spans="1:50" x14ac:dyDescent="0.25">
      <c r="A3514" s="1"/>
      <c r="H3514" s="1"/>
      <c r="O3514" s="1"/>
      <c r="V3514" s="1"/>
      <c r="AC3514" s="1"/>
      <c r="AJ3514" s="1"/>
      <c r="AQ3514" s="1"/>
      <c r="AX3514" s="1"/>
    </row>
    <row r="3515" spans="1:50" x14ac:dyDescent="0.25">
      <c r="A3515" s="1"/>
      <c r="H3515" s="1"/>
      <c r="O3515" s="1"/>
      <c r="V3515" s="1"/>
      <c r="AC3515" s="1"/>
      <c r="AJ3515" s="1"/>
      <c r="AQ3515" s="1"/>
      <c r="AX3515" s="1"/>
    </row>
    <row r="3516" spans="1:50" x14ac:dyDescent="0.25">
      <c r="A3516" s="1"/>
      <c r="H3516" s="1"/>
      <c r="O3516" s="1"/>
      <c r="V3516" s="1"/>
      <c r="AC3516" s="1"/>
      <c r="AJ3516" s="1"/>
      <c r="AQ3516" s="1"/>
      <c r="AX3516" s="1"/>
    </row>
    <row r="3517" spans="1:50" x14ac:dyDescent="0.25">
      <c r="A3517" s="1"/>
      <c r="H3517" s="1"/>
      <c r="O3517" s="1"/>
      <c r="V3517" s="1"/>
      <c r="AC3517" s="1"/>
      <c r="AJ3517" s="1"/>
      <c r="AQ3517" s="1"/>
      <c r="AX3517" s="1"/>
    </row>
    <row r="3518" spans="1:50" x14ac:dyDescent="0.25">
      <c r="A3518" s="1"/>
      <c r="H3518" s="1"/>
      <c r="O3518" s="1"/>
      <c r="V3518" s="1"/>
      <c r="AC3518" s="1"/>
      <c r="AJ3518" s="1"/>
      <c r="AQ3518" s="1"/>
      <c r="AX3518" s="1"/>
    </row>
    <row r="3519" spans="1:50" x14ac:dyDescent="0.25">
      <c r="A3519" s="1"/>
      <c r="H3519" s="1"/>
      <c r="O3519" s="1"/>
      <c r="V3519" s="1"/>
      <c r="AC3519" s="1"/>
      <c r="AJ3519" s="1"/>
      <c r="AQ3519" s="1"/>
      <c r="AX3519" s="1"/>
    </row>
    <row r="3520" spans="1:50" x14ac:dyDescent="0.25">
      <c r="A3520" s="1"/>
      <c r="H3520" s="1"/>
      <c r="O3520" s="1"/>
      <c r="V3520" s="1"/>
      <c r="AC3520" s="1"/>
      <c r="AJ3520" s="1"/>
      <c r="AQ3520" s="1"/>
      <c r="AX3520" s="1"/>
    </row>
    <row r="3521" spans="1:50" x14ac:dyDescent="0.25">
      <c r="A3521" s="1"/>
      <c r="H3521" s="1"/>
      <c r="O3521" s="1"/>
      <c r="V3521" s="1"/>
      <c r="AC3521" s="1"/>
      <c r="AJ3521" s="1"/>
      <c r="AQ3521" s="1"/>
      <c r="AX3521" s="1"/>
    </row>
    <row r="3522" spans="1:50" x14ac:dyDescent="0.25">
      <c r="A3522" s="1"/>
      <c r="H3522" s="1"/>
      <c r="O3522" s="1"/>
      <c r="V3522" s="1"/>
      <c r="AC3522" s="1"/>
      <c r="AJ3522" s="1"/>
      <c r="AQ3522" s="1"/>
      <c r="AX3522" s="1"/>
    </row>
    <row r="3523" spans="1:50" x14ac:dyDescent="0.25">
      <c r="A3523" s="1"/>
      <c r="H3523" s="1"/>
      <c r="O3523" s="1"/>
      <c r="V3523" s="1"/>
      <c r="AC3523" s="1"/>
      <c r="AJ3523" s="1"/>
      <c r="AQ3523" s="1"/>
      <c r="AX3523" s="1"/>
    </row>
    <row r="3524" spans="1:50" x14ac:dyDescent="0.25">
      <c r="A3524" s="1"/>
      <c r="H3524" s="1"/>
      <c r="O3524" s="1"/>
      <c r="V3524" s="1"/>
      <c r="AC3524" s="1"/>
      <c r="AJ3524" s="1"/>
      <c r="AQ3524" s="1"/>
      <c r="AX3524" s="1"/>
    </row>
    <row r="3525" spans="1:50" x14ac:dyDescent="0.25">
      <c r="A3525" s="1"/>
      <c r="H3525" s="1"/>
      <c r="O3525" s="1"/>
      <c r="V3525" s="1"/>
      <c r="AC3525" s="1"/>
      <c r="AJ3525" s="1"/>
      <c r="AQ3525" s="1"/>
      <c r="AX3525" s="1"/>
    </row>
    <row r="3526" spans="1:50" x14ac:dyDescent="0.25">
      <c r="A3526" s="1"/>
      <c r="H3526" s="1"/>
      <c r="O3526" s="1"/>
      <c r="V3526" s="1"/>
      <c r="AC3526" s="1"/>
      <c r="AJ3526" s="1"/>
      <c r="AQ3526" s="1"/>
      <c r="AX3526" s="1"/>
    </row>
    <row r="3527" spans="1:50" x14ac:dyDescent="0.25">
      <c r="A3527" s="1"/>
      <c r="H3527" s="1"/>
      <c r="O3527" s="1"/>
      <c r="V3527" s="1"/>
      <c r="AC3527" s="1"/>
      <c r="AJ3527" s="1"/>
      <c r="AQ3527" s="1"/>
      <c r="AX3527" s="1"/>
    </row>
    <row r="3528" spans="1:50" x14ac:dyDescent="0.25">
      <c r="A3528" s="1"/>
      <c r="H3528" s="1"/>
      <c r="O3528" s="1"/>
      <c r="V3528" s="1"/>
      <c r="AC3528" s="1"/>
      <c r="AJ3528" s="1"/>
      <c r="AQ3528" s="1"/>
      <c r="AX3528" s="1"/>
    </row>
    <row r="3529" spans="1:50" x14ac:dyDescent="0.25">
      <c r="A3529" s="1"/>
      <c r="H3529" s="1"/>
      <c r="O3529" s="1"/>
      <c r="V3529" s="1"/>
      <c r="AC3529" s="1"/>
      <c r="AJ3529" s="1"/>
      <c r="AQ3529" s="1"/>
      <c r="AX3529" s="1"/>
    </row>
    <row r="3530" spans="1:50" x14ac:dyDescent="0.25">
      <c r="A3530" s="1"/>
      <c r="H3530" s="1"/>
      <c r="O3530" s="1"/>
      <c r="V3530" s="1"/>
      <c r="AC3530" s="1"/>
      <c r="AJ3530" s="1"/>
      <c r="AQ3530" s="1"/>
      <c r="AX3530" s="1"/>
    </row>
    <row r="3531" spans="1:50" x14ac:dyDescent="0.25">
      <c r="A3531" s="1"/>
      <c r="H3531" s="1"/>
      <c r="O3531" s="1"/>
      <c r="V3531" s="1"/>
      <c r="AC3531" s="1"/>
      <c r="AJ3531" s="1"/>
      <c r="AQ3531" s="1"/>
      <c r="AX3531" s="1"/>
    </row>
    <row r="3532" spans="1:50" x14ac:dyDescent="0.25">
      <c r="A3532" s="1"/>
      <c r="H3532" s="1"/>
      <c r="O3532" s="1"/>
      <c r="V3532" s="1"/>
      <c r="AC3532" s="1"/>
      <c r="AJ3532" s="1"/>
      <c r="AQ3532" s="1"/>
      <c r="AX3532" s="1"/>
    </row>
    <row r="3533" spans="1:50" x14ac:dyDescent="0.25">
      <c r="A3533" s="1"/>
      <c r="H3533" s="1"/>
      <c r="O3533" s="1"/>
      <c r="V3533" s="1"/>
      <c r="AC3533" s="1"/>
      <c r="AJ3533" s="1"/>
      <c r="AQ3533" s="1"/>
      <c r="AX3533" s="1"/>
    </row>
    <row r="3534" spans="1:50" x14ac:dyDescent="0.25">
      <c r="A3534" s="1"/>
      <c r="H3534" s="1"/>
      <c r="O3534" s="1"/>
      <c r="V3534" s="1"/>
      <c r="AC3534" s="1"/>
      <c r="AJ3534" s="1"/>
      <c r="AQ3534" s="1"/>
      <c r="AX3534" s="1"/>
    </row>
    <row r="3535" spans="1:50" x14ac:dyDescent="0.25">
      <c r="A3535" s="1"/>
      <c r="H3535" s="1"/>
      <c r="O3535" s="1"/>
      <c r="V3535" s="1"/>
      <c r="AC3535" s="1"/>
      <c r="AJ3535" s="1"/>
      <c r="AQ3535" s="1"/>
      <c r="AX3535" s="1"/>
    </row>
    <row r="3536" spans="1:50" x14ac:dyDescent="0.25">
      <c r="A3536" s="1"/>
      <c r="H3536" s="1"/>
      <c r="O3536" s="1"/>
      <c r="V3536" s="1"/>
      <c r="AC3536" s="1"/>
      <c r="AJ3536" s="1"/>
      <c r="AQ3536" s="1"/>
      <c r="AX3536" s="1"/>
    </row>
    <row r="3537" spans="1:50" x14ac:dyDescent="0.25">
      <c r="A3537" s="1"/>
      <c r="H3537" s="1"/>
      <c r="O3537" s="1"/>
      <c r="V3537" s="1"/>
      <c r="AC3537" s="1"/>
      <c r="AJ3537" s="1"/>
      <c r="AQ3537" s="1"/>
      <c r="AX3537" s="1"/>
    </row>
    <row r="3538" spans="1:50" x14ac:dyDescent="0.25">
      <c r="A3538" s="1"/>
      <c r="H3538" s="1"/>
      <c r="O3538" s="1"/>
      <c r="V3538" s="1"/>
      <c r="AC3538" s="1"/>
      <c r="AJ3538" s="1"/>
      <c r="AQ3538" s="1"/>
      <c r="AX3538" s="1"/>
    </row>
    <row r="3539" spans="1:50" x14ac:dyDescent="0.25">
      <c r="A3539" s="1"/>
      <c r="H3539" s="1"/>
      <c r="O3539" s="1"/>
      <c r="V3539" s="1"/>
      <c r="AC3539" s="1"/>
      <c r="AJ3539" s="1"/>
      <c r="AQ3539" s="1"/>
      <c r="AX3539" s="1"/>
    </row>
    <row r="3540" spans="1:50" x14ac:dyDescent="0.25">
      <c r="A3540" s="1"/>
      <c r="H3540" s="1"/>
      <c r="O3540" s="1"/>
      <c r="V3540" s="1"/>
      <c r="AC3540" s="1"/>
      <c r="AJ3540" s="1"/>
      <c r="AQ3540" s="1"/>
      <c r="AX3540" s="1"/>
    </row>
    <row r="3541" spans="1:50" x14ac:dyDescent="0.25">
      <c r="A3541" s="1"/>
      <c r="H3541" s="1"/>
      <c r="O3541" s="1"/>
      <c r="V3541" s="1"/>
      <c r="AC3541" s="1"/>
      <c r="AJ3541" s="1"/>
      <c r="AQ3541" s="1"/>
      <c r="AX3541" s="1"/>
    </row>
    <row r="3542" spans="1:50" x14ac:dyDescent="0.25">
      <c r="A3542" s="1"/>
      <c r="H3542" s="1"/>
      <c r="O3542" s="1"/>
      <c r="V3542" s="1"/>
      <c r="AC3542" s="1"/>
      <c r="AJ3542" s="1"/>
      <c r="AQ3542" s="1"/>
      <c r="AX3542" s="1"/>
    </row>
    <row r="3543" spans="1:50" x14ac:dyDescent="0.25">
      <c r="A3543" s="1"/>
      <c r="H3543" s="1"/>
      <c r="O3543" s="1"/>
      <c r="V3543" s="1"/>
      <c r="AC3543" s="1"/>
      <c r="AJ3543" s="1"/>
      <c r="AQ3543" s="1"/>
      <c r="AX3543" s="1"/>
    </row>
    <row r="3544" spans="1:50" x14ac:dyDescent="0.25">
      <c r="A3544" s="1"/>
      <c r="H3544" s="1"/>
      <c r="O3544" s="1"/>
      <c r="V3544" s="1"/>
      <c r="AC3544" s="1"/>
      <c r="AJ3544" s="1"/>
      <c r="AQ3544" s="1"/>
      <c r="AX3544" s="1"/>
    </row>
    <row r="3545" spans="1:50" x14ac:dyDescent="0.25">
      <c r="A3545" s="1"/>
      <c r="H3545" s="1"/>
      <c r="O3545" s="1"/>
      <c r="V3545" s="1"/>
      <c r="AC3545" s="1"/>
      <c r="AJ3545" s="1"/>
      <c r="AQ3545" s="1"/>
      <c r="AX3545" s="1"/>
    </row>
    <row r="3546" spans="1:50" x14ac:dyDescent="0.25">
      <c r="A3546" s="1"/>
      <c r="H3546" s="1"/>
      <c r="O3546" s="1"/>
      <c r="V3546" s="1"/>
      <c r="AC3546" s="1"/>
      <c r="AJ3546" s="1"/>
      <c r="AQ3546" s="1"/>
      <c r="AX3546" s="1"/>
    </row>
    <row r="3547" spans="1:50" x14ac:dyDescent="0.25">
      <c r="A3547" s="1"/>
      <c r="H3547" s="1"/>
      <c r="O3547" s="1"/>
      <c r="V3547" s="1"/>
      <c r="AC3547" s="1"/>
      <c r="AJ3547" s="1"/>
      <c r="AQ3547" s="1"/>
      <c r="AX3547" s="1"/>
    </row>
    <row r="3548" spans="1:50" x14ac:dyDescent="0.25">
      <c r="A3548" s="1"/>
      <c r="H3548" s="1"/>
      <c r="O3548" s="1"/>
      <c r="V3548" s="1"/>
      <c r="AC3548" s="1"/>
      <c r="AJ3548" s="1"/>
      <c r="AQ3548" s="1"/>
      <c r="AX3548" s="1"/>
    </row>
    <row r="3549" spans="1:50" x14ac:dyDescent="0.25">
      <c r="A3549" s="1"/>
      <c r="H3549" s="1"/>
      <c r="O3549" s="1"/>
      <c r="V3549" s="1"/>
      <c r="AC3549" s="1"/>
      <c r="AJ3549" s="1"/>
      <c r="AQ3549" s="1"/>
      <c r="AX3549" s="1"/>
    </row>
    <row r="3550" spans="1:50" x14ac:dyDescent="0.25">
      <c r="A3550" s="1"/>
      <c r="H3550" s="1"/>
      <c r="O3550" s="1"/>
      <c r="V3550" s="1"/>
      <c r="AC3550" s="1"/>
      <c r="AJ3550" s="1"/>
      <c r="AQ3550" s="1"/>
      <c r="AX3550" s="1"/>
    </row>
    <row r="3551" spans="1:50" x14ac:dyDescent="0.25">
      <c r="A3551" s="1"/>
      <c r="H3551" s="1"/>
      <c r="O3551" s="1"/>
      <c r="V3551" s="1"/>
      <c r="AC3551" s="1"/>
      <c r="AJ3551" s="1"/>
      <c r="AQ3551" s="1"/>
      <c r="AX3551" s="1"/>
    </row>
    <row r="3552" spans="1:50" x14ac:dyDescent="0.25">
      <c r="A3552" s="1"/>
      <c r="H3552" s="1"/>
      <c r="O3552" s="1"/>
      <c r="V3552" s="1"/>
      <c r="AC3552" s="1"/>
      <c r="AJ3552" s="1"/>
      <c r="AQ3552" s="1"/>
      <c r="AX3552" s="1"/>
    </row>
    <row r="3553" spans="1:50" x14ac:dyDescent="0.25">
      <c r="A3553" s="1"/>
      <c r="H3553" s="1"/>
      <c r="O3553" s="1"/>
      <c r="V3553" s="1"/>
      <c r="AC3553" s="1"/>
      <c r="AJ3553" s="1"/>
      <c r="AQ3553" s="1"/>
      <c r="AX3553" s="1"/>
    </row>
    <row r="3554" spans="1:50" x14ac:dyDescent="0.25">
      <c r="A3554" s="1"/>
      <c r="H3554" s="1"/>
      <c r="O3554" s="1"/>
      <c r="V3554" s="1"/>
      <c r="AC3554" s="1"/>
      <c r="AJ3554" s="1"/>
      <c r="AQ3554" s="1"/>
      <c r="AX3554" s="1"/>
    </row>
    <row r="3555" spans="1:50" x14ac:dyDescent="0.25">
      <c r="A3555" s="1"/>
      <c r="H3555" s="1"/>
      <c r="O3555" s="1"/>
      <c r="V3555" s="1"/>
      <c r="AC3555" s="1"/>
      <c r="AJ3555" s="1"/>
      <c r="AQ3555" s="1"/>
      <c r="AX3555" s="1"/>
    </row>
    <row r="3556" spans="1:50" x14ac:dyDescent="0.25">
      <c r="A3556" s="1"/>
      <c r="H3556" s="1"/>
      <c r="O3556" s="1"/>
      <c r="V3556" s="1"/>
      <c r="AC3556" s="1"/>
      <c r="AJ3556" s="1"/>
      <c r="AQ3556" s="1"/>
      <c r="AX3556" s="1"/>
    </row>
    <row r="3557" spans="1:50" x14ac:dyDescent="0.25">
      <c r="A3557" s="1"/>
      <c r="H3557" s="1"/>
      <c r="O3557" s="1"/>
      <c r="V3557" s="1"/>
      <c r="AC3557" s="1"/>
      <c r="AJ3557" s="1"/>
      <c r="AQ3557" s="1"/>
      <c r="AX3557" s="1"/>
    </row>
    <row r="3558" spans="1:50" x14ac:dyDescent="0.25">
      <c r="A3558" s="1"/>
      <c r="H3558" s="1"/>
      <c r="O3558" s="1"/>
      <c r="V3558" s="1"/>
      <c r="AC3558" s="1"/>
      <c r="AJ3558" s="1"/>
      <c r="AQ3558" s="1"/>
      <c r="AX3558" s="1"/>
    </row>
    <row r="3559" spans="1:50" x14ac:dyDescent="0.25">
      <c r="A3559" s="1"/>
      <c r="H3559" s="1"/>
      <c r="O3559" s="1"/>
      <c r="V3559" s="1"/>
      <c r="AC3559" s="1"/>
      <c r="AJ3559" s="1"/>
      <c r="AQ3559" s="1"/>
      <c r="AX3559" s="1"/>
    </row>
    <row r="3560" spans="1:50" x14ac:dyDescent="0.25">
      <c r="A3560" s="1"/>
      <c r="H3560" s="1"/>
      <c r="O3560" s="1"/>
      <c r="V3560" s="1"/>
      <c r="AC3560" s="1"/>
      <c r="AJ3560" s="1"/>
      <c r="AQ3560" s="1"/>
      <c r="AX3560" s="1"/>
    </row>
    <row r="3561" spans="1:50" x14ac:dyDescent="0.25">
      <c r="A3561" s="1"/>
      <c r="H3561" s="1"/>
      <c r="O3561" s="1"/>
      <c r="V3561" s="1"/>
      <c r="AC3561" s="1"/>
      <c r="AJ3561" s="1"/>
      <c r="AQ3561" s="1"/>
      <c r="AX3561" s="1"/>
    </row>
    <row r="3562" spans="1:50" x14ac:dyDescent="0.25">
      <c r="A3562" s="1"/>
      <c r="H3562" s="1"/>
      <c r="O3562" s="1"/>
      <c r="V3562" s="1"/>
      <c r="AC3562" s="1"/>
      <c r="AJ3562" s="1"/>
      <c r="AQ3562" s="1"/>
      <c r="AX3562" s="1"/>
    </row>
    <row r="3563" spans="1:50" x14ac:dyDescent="0.25">
      <c r="A3563" s="1"/>
      <c r="H3563" s="1"/>
      <c r="O3563" s="1"/>
      <c r="V3563" s="1"/>
      <c r="AC3563" s="1"/>
      <c r="AJ3563" s="1"/>
      <c r="AQ3563" s="1"/>
      <c r="AX3563" s="1"/>
    </row>
    <row r="3564" spans="1:50" x14ac:dyDescent="0.25">
      <c r="A3564" s="1"/>
      <c r="H3564" s="1"/>
      <c r="O3564" s="1"/>
      <c r="V3564" s="1"/>
      <c r="AC3564" s="1"/>
      <c r="AJ3564" s="1"/>
      <c r="AQ3564" s="1"/>
      <c r="AX3564" s="1"/>
    </row>
    <row r="3565" spans="1:50" x14ac:dyDescent="0.25">
      <c r="A3565" s="1"/>
      <c r="H3565" s="1"/>
      <c r="O3565" s="1"/>
      <c r="V3565" s="1"/>
      <c r="AC3565" s="1"/>
      <c r="AJ3565" s="1"/>
      <c r="AQ3565" s="1"/>
      <c r="AX3565" s="1"/>
    </row>
    <row r="3566" spans="1:50" x14ac:dyDescent="0.25">
      <c r="A3566" s="1"/>
      <c r="H3566" s="1"/>
      <c r="O3566" s="1"/>
      <c r="V3566" s="1"/>
      <c r="AC3566" s="1"/>
      <c r="AJ3566" s="1"/>
      <c r="AQ3566" s="1"/>
      <c r="AX3566" s="1"/>
    </row>
    <row r="3567" spans="1:50" x14ac:dyDescent="0.25">
      <c r="A3567" s="1"/>
      <c r="H3567" s="1"/>
      <c r="O3567" s="1"/>
      <c r="V3567" s="1"/>
      <c r="AC3567" s="1"/>
      <c r="AJ3567" s="1"/>
      <c r="AQ3567" s="1"/>
      <c r="AX3567" s="1"/>
    </row>
    <row r="3568" spans="1:50" x14ac:dyDescent="0.25">
      <c r="A3568" s="1"/>
      <c r="H3568" s="1"/>
      <c r="O3568" s="1"/>
      <c r="V3568" s="1"/>
      <c r="AC3568" s="1"/>
      <c r="AJ3568" s="1"/>
      <c r="AQ3568" s="1"/>
      <c r="AX3568" s="1"/>
    </row>
    <row r="3569" spans="1:50" x14ac:dyDescent="0.25">
      <c r="A3569" s="1"/>
      <c r="H3569" s="1"/>
      <c r="O3569" s="1"/>
      <c r="V3569" s="1"/>
      <c r="AC3569" s="1"/>
      <c r="AJ3569" s="1"/>
      <c r="AQ3569" s="1"/>
      <c r="AX3569" s="1"/>
    </row>
    <row r="3570" spans="1:50" x14ac:dyDescent="0.25">
      <c r="A3570" s="1"/>
      <c r="H3570" s="1"/>
      <c r="O3570" s="1"/>
      <c r="V3570" s="1"/>
      <c r="AC3570" s="1"/>
      <c r="AJ3570" s="1"/>
      <c r="AQ3570" s="1"/>
      <c r="AX3570" s="1"/>
    </row>
    <row r="3571" spans="1:50" x14ac:dyDescent="0.25">
      <c r="A3571" s="1"/>
      <c r="H3571" s="1"/>
      <c r="O3571" s="1"/>
      <c r="V3571" s="1"/>
      <c r="AC3571" s="1"/>
      <c r="AJ3571" s="1"/>
      <c r="AQ3571" s="1"/>
      <c r="AX3571" s="1"/>
    </row>
    <row r="3572" spans="1:50" x14ac:dyDescent="0.25">
      <c r="A3572" s="1"/>
      <c r="H3572" s="1"/>
      <c r="O3572" s="1"/>
      <c r="V3572" s="1"/>
      <c r="AC3572" s="1"/>
      <c r="AJ3572" s="1"/>
      <c r="AQ3572" s="1"/>
      <c r="AX3572" s="1"/>
    </row>
    <row r="3573" spans="1:50" x14ac:dyDescent="0.25">
      <c r="A3573" s="1"/>
      <c r="H3573" s="1"/>
      <c r="O3573" s="1"/>
      <c r="V3573" s="1"/>
      <c r="AC3573" s="1"/>
      <c r="AJ3573" s="1"/>
      <c r="AQ3573" s="1"/>
      <c r="AX3573" s="1"/>
    </row>
    <row r="3574" spans="1:50" x14ac:dyDescent="0.25">
      <c r="A3574" s="1"/>
      <c r="H3574" s="1"/>
      <c r="O3574" s="1"/>
      <c r="V3574" s="1"/>
      <c r="AC3574" s="1"/>
      <c r="AJ3574" s="1"/>
      <c r="AQ3574" s="1"/>
      <c r="AX3574" s="1"/>
    </row>
    <row r="3575" spans="1:50" x14ac:dyDescent="0.25">
      <c r="A3575" s="1"/>
      <c r="H3575" s="1"/>
      <c r="O3575" s="1"/>
      <c r="V3575" s="1"/>
      <c r="AC3575" s="1"/>
      <c r="AJ3575" s="1"/>
      <c r="AQ3575" s="1"/>
      <c r="AX3575" s="1"/>
    </row>
    <row r="3576" spans="1:50" x14ac:dyDescent="0.25">
      <c r="A3576" s="1"/>
      <c r="H3576" s="1"/>
      <c r="O3576" s="1"/>
      <c r="V3576" s="1"/>
      <c r="AC3576" s="1"/>
      <c r="AJ3576" s="1"/>
      <c r="AQ3576" s="1"/>
      <c r="AX3576" s="1"/>
    </row>
    <row r="3577" spans="1:50" x14ac:dyDescent="0.25">
      <c r="A3577" s="1"/>
      <c r="H3577" s="1"/>
      <c r="O3577" s="1"/>
      <c r="V3577" s="1"/>
      <c r="AC3577" s="1"/>
      <c r="AJ3577" s="1"/>
      <c r="AQ3577" s="1"/>
      <c r="AX3577" s="1"/>
    </row>
    <row r="3578" spans="1:50" x14ac:dyDescent="0.25">
      <c r="A3578" s="1"/>
      <c r="H3578" s="1"/>
      <c r="O3578" s="1"/>
      <c r="V3578" s="1"/>
      <c r="AC3578" s="1"/>
      <c r="AJ3578" s="1"/>
      <c r="AQ3578" s="1"/>
      <c r="AX3578" s="1"/>
    </row>
    <row r="3579" spans="1:50" x14ac:dyDescent="0.25">
      <c r="A3579" s="1"/>
      <c r="H3579" s="1"/>
      <c r="O3579" s="1"/>
      <c r="V3579" s="1"/>
      <c r="AC3579" s="1"/>
      <c r="AJ3579" s="1"/>
      <c r="AQ3579" s="1"/>
      <c r="AX3579" s="1"/>
    </row>
    <row r="3580" spans="1:50" x14ac:dyDescent="0.25">
      <c r="A3580" s="1"/>
      <c r="H3580" s="1"/>
      <c r="O3580" s="1"/>
      <c r="V3580" s="1"/>
      <c r="AC3580" s="1"/>
      <c r="AJ3580" s="1"/>
      <c r="AQ3580" s="1"/>
      <c r="AX3580" s="1"/>
    </row>
    <row r="3581" spans="1:50" x14ac:dyDescent="0.25">
      <c r="A3581" s="1"/>
      <c r="H3581" s="1"/>
      <c r="O3581" s="1"/>
      <c r="V3581" s="1"/>
      <c r="AC3581" s="1"/>
      <c r="AJ3581" s="1"/>
      <c r="AQ3581" s="1"/>
      <c r="AX3581" s="1"/>
    </row>
    <row r="3582" spans="1:50" x14ac:dyDescent="0.25">
      <c r="A3582" s="1"/>
      <c r="H3582" s="1"/>
      <c r="O3582" s="1"/>
      <c r="V3582" s="1"/>
      <c r="AC3582" s="1"/>
      <c r="AJ3582" s="1"/>
      <c r="AQ3582" s="1"/>
      <c r="AX3582" s="1"/>
    </row>
    <row r="3583" spans="1:50" x14ac:dyDescent="0.25">
      <c r="A3583" s="1"/>
      <c r="H3583" s="1"/>
      <c r="O3583" s="1"/>
      <c r="V3583" s="1"/>
      <c r="AC3583" s="1"/>
      <c r="AJ3583" s="1"/>
      <c r="AQ3583" s="1"/>
      <c r="AX3583" s="1"/>
    </row>
    <row r="3584" spans="1:50" x14ac:dyDescent="0.25">
      <c r="A3584" s="1"/>
      <c r="H3584" s="1"/>
      <c r="O3584" s="1"/>
      <c r="V3584" s="1"/>
      <c r="AC3584" s="1"/>
      <c r="AJ3584" s="1"/>
      <c r="AQ3584" s="1"/>
      <c r="AX3584" s="1"/>
    </row>
    <row r="3585" spans="1:50" x14ac:dyDescent="0.25">
      <c r="A3585" s="1"/>
      <c r="H3585" s="1"/>
      <c r="O3585" s="1"/>
      <c r="V3585" s="1"/>
      <c r="AC3585" s="1"/>
      <c r="AJ3585" s="1"/>
      <c r="AQ3585" s="1"/>
      <c r="AX3585" s="1"/>
    </row>
    <row r="3586" spans="1:50" x14ac:dyDescent="0.25">
      <c r="A3586" s="1"/>
      <c r="H3586" s="1"/>
      <c r="O3586" s="1"/>
      <c r="V3586" s="1"/>
      <c r="AC3586" s="1"/>
      <c r="AJ3586" s="1"/>
      <c r="AQ3586" s="1"/>
      <c r="AX3586" s="1"/>
    </row>
    <row r="3587" spans="1:50" x14ac:dyDescent="0.25">
      <c r="A3587" s="1"/>
      <c r="H3587" s="1"/>
      <c r="O3587" s="1"/>
      <c r="V3587" s="1"/>
      <c r="AC3587" s="1"/>
      <c r="AJ3587" s="1"/>
      <c r="AQ3587" s="1"/>
      <c r="AX3587" s="1"/>
    </row>
    <row r="3588" spans="1:50" x14ac:dyDescent="0.25">
      <c r="A3588" s="1"/>
      <c r="H3588" s="1"/>
      <c r="O3588" s="1"/>
      <c r="V3588" s="1"/>
      <c r="AC3588" s="1"/>
      <c r="AJ3588" s="1"/>
      <c r="AQ3588" s="1"/>
      <c r="AX3588" s="1"/>
    </row>
    <row r="3589" spans="1:50" x14ac:dyDescent="0.25">
      <c r="A3589" s="1"/>
      <c r="H3589" s="1"/>
      <c r="O3589" s="1"/>
      <c r="V3589" s="1"/>
      <c r="AC3589" s="1"/>
      <c r="AJ3589" s="1"/>
      <c r="AQ3589" s="1"/>
      <c r="AX3589" s="1"/>
    </row>
    <row r="3590" spans="1:50" x14ac:dyDescent="0.25">
      <c r="A3590" s="1"/>
      <c r="H3590" s="1"/>
      <c r="O3590" s="1"/>
      <c r="V3590" s="1"/>
      <c r="AC3590" s="1"/>
      <c r="AJ3590" s="1"/>
      <c r="AQ3590" s="1"/>
      <c r="AX3590" s="1"/>
    </row>
    <row r="3591" spans="1:50" x14ac:dyDescent="0.25">
      <c r="A3591" s="1"/>
      <c r="H3591" s="1"/>
      <c r="O3591" s="1"/>
      <c r="V3591" s="1"/>
      <c r="AC3591" s="1"/>
      <c r="AJ3591" s="1"/>
      <c r="AQ3591" s="1"/>
      <c r="AX3591" s="1"/>
    </row>
    <row r="3592" spans="1:50" x14ac:dyDescent="0.25">
      <c r="A3592" s="1"/>
      <c r="H3592" s="1"/>
      <c r="O3592" s="1"/>
      <c r="V3592" s="1"/>
      <c r="AC3592" s="1"/>
      <c r="AJ3592" s="1"/>
      <c r="AQ3592" s="1"/>
      <c r="AX3592" s="1"/>
    </row>
    <row r="3593" spans="1:50" x14ac:dyDescent="0.25">
      <c r="A3593" s="1"/>
      <c r="H3593" s="1"/>
      <c r="O3593" s="1"/>
      <c r="V3593" s="1"/>
      <c r="AC3593" s="1"/>
      <c r="AJ3593" s="1"/>
      <c r="AQ3593" s="1"/>
      <c r="AX3593" s="1"/>
    </row>
    <row r="3594" spans="1:50" x14ac:dyDescent="0.25">
      <c r="A3594" s="1"/>
      <c r="H3594" s="1"/>
      <c r="O3594" s="1"/>
      <c r="V3594" s="1"/>
      <c r="AC3594" s="1"/>
      <c r="AJ3594" s="1"/>
      <c r="AQ3594" s="1"/>
      <c r="AX3594" s="1"/>
    </row>
    <row r="3595" spans="1:50" x14ac:dyDescent="0.25">
      <c r="A3595" s="1"/>
      <c r="H3595" s="1"/>
      <c r="O3595" s="1"/>
      <c r="V3595" s="1"/>
      <c r="AC3595" s="1"/>
      <c r="AJ3595" s="1"/>
      <c r="AQ3595" s="1"/>
      <c r="AX3595" s="1"/>
    </row>
    <row r="3596" spans="1:50" x14ac:dyDescent="0.25">
      <c r="A3596" s="1"/>
      <c r="H3596" s="1"/>
      <c r="O3596" s="1"/>
      <c r="V3596" s="1"/>
      <c r="AC3596" s="1"/>
      <c r="AJ3596" s="1"/>
      <c r="AQ3596" s="1"/>
      <c r="AX3596" s="1"/>
    </row>
    <row r="3597" spans="1:50" x14ac:dyDescent="0.25">
      <c r="A3597" s="1"/>
      <c r="H3597" s="1"/>
      <c r="O3597" s="1"/>
      <c r="V3597" s="1"/>
      <c r="AC3597" s="1"/>
      <c r="AJ3597" s="1"/>
      <c r="AQ3597" s="1"/>
      <c r="AX3597" s="1"/>
    </row>
    <row r="3598" spans="1:50" x14ac:dyDescent="0.25">
      <c r="A3598" s="1"/>
      <c r="H3598" s="1"/>
      <c r="O3598" s="1"/>
      <c r="V3598" s="1"/>
      <c r="AC3598" s="1"/>
      <c r="AJ3598" s="1"/>
      <c r="AQ3598" s="1"/>
      <c r="AX3598" s="1"/>
    </row>
    <row r="3599" spans="1:50" x14ac:dyDescent="0.25">
      <c r="A3599" s="1"/>
      <c r="H3599" s="1"/>
      <c r="O3599" s="1"/>
      <c r="V3599" s="1"/>
      <c r="AC3599" s="1"/>
      <c r="AJ3599" s="1"/>
      <c r="AQ3599" s="1"/>
      <c r="AX3599" s="1"/>
    </row>
    <row r="3600" spans="1:50" x14ac:dyDescent="0.25">
      <c r="A3600" s="1"/>
      <c r="H3600" s="1"/>
      <c r="O3600" s="1"/>
      <c r="V3600" s="1"/>
      <c r="AC3600" s="1"/>
      <c r="AJ3600" s="1"/>
      <c r="AQ3600" s="1"/>
      <c r="AX3600" s="1"/>
    </row>
    <row r="3601" spans="1:50" x14ac:dyDescent="0.25">
      <c r="A3601" s="1"/>
      <c r="H3601" s="1"/>
      <c r="O3601" s="1"/>
      <c r="V3601" s="1"/>
      <c r="AC3601" s="1"/>
      <c r="AJ3601" s="1"/>
      <c r="AQ3601" s="1"/>
      <c r="AX3601" s="1"/>
    </row>
    <row r="3602" spans="1:50" x14ac:dyDescent="0.25">
      <c r="A3602" s="1"/>
      <c r="H3602" s="1"/>
      <c r="O3602" s="1"/>
      <c r="V3602" s="1"/>
      <c r="AC3602" s="1"/>
      <c r="AJ3602" s="1"/>
      <c r="AQ3602" s="1"/>
      <c r="AX3602" s="1"/>
    </row>
    <row r="3603" spans="1:50" x14ac:dyDescent="0.25">
      <c r="A3603" s="1"/>
      <c r="H3603" s="1"/>
      <c r="O3603" s="1"/>
      <c r="V3603" s="1"/>
      <c r="AC3603" s="1"/>
      <c r="AJ3603" s="1"/>
      <c r="AQ3603" s="1"/>
      <c r="AX3603" s="1"/>
    </row>
    <row r="3604" spans="1:50" x14ac:dyDescent="0.25">
      <c r="A3604" s="1"/>
      <c r="H3604" s="1"/>
      <c r="O3604" s="1"/>
      <c r="V3604" s="1"/>
      <c r="AC3604" s="1"/>
      <c r="AJ3604" s="1"/>
      <c r="AQ3604" s="1"/>
      <c r="AX3604" s="1"/>
    </row>
    <row r="3605" spans="1:50" x14ac:dyDescent="0.25">
      <c r="A3605" s="1"/>
      <c r="H3605" s="1"/>
      <c r="O3605" s="1"/>
      <c r="V3605" s="1"/>
      <c r="AC3605" s="1"/>
      <c r="AJ3605" s="1"/>
      <c r="AQ3605" s="1"/>
      <c r="AX3605" s="1"/>
    </row>
    <row r="3606" spans="1:50" x14ac:dyDescent="0.25">
      <c r="A3606" s="1"/>
      <c r="H3606" s="1"/>
      <c r="O3606" s="1"/>
      <c r="V3606" s="1"/>
      <c r="AC3606" s="1"/>
      <c r="AJ3606" s="1"/>
      <c r="AQ3606" s="1"/>
      <c r="AX3606" s="1"/>
    </row>
    <row r="3607" spans="1:50" x14ac:dyDescent="0.25">
      <c r="A3607" s="1"/>
      <c r="H3607" s="1"/>
      <c r="O3607" s="1"/>
      <c r="V3607" s="1"/>
      <c r="AC3607" s="1"/>
      <c r="AJ3607" s="1"/>
      <c r="AQ3607" s="1"/>
      <c r="AX3607" s="1"/>
    </row>
    <row r="3608" spans="1:50" x14ac:dyDescent="0.25">
      <c r="A3608" s="1"/>
      <c r="H3608" s="1"/>
      <c r="O3608" s="1"/>
      <c r="V3608" s="1"/>
      <c r="AC3608" s="1"/>
      <c r="AJ3608" s="1"/>
      <c r="AQ3608" s="1"/>
      <c r="AX3608" s="1"/>
    </row>
    <row r="3609" spans="1:50" x14ac:dyDescent="0.25">
      <c r="A3609" s="1"/>
      <c r="H3609" s="1"/>
      <c r="O3609" s="1"/>
      <c r="V3609" s="1"/>
      <c r="AC3609" s="1"/>
      <c r="AJ3609" s="1"/>
      <c r="AQ3609" s="1"/>
      <c r="AX3609" s="1"/>
    </row>
    <row r="3610" spans="1:50" x14ac:dyDescent="0.25">
      <c r="A3610" s="1"/>
      <c r="H3610" s="1"/>
      <c r="O3610" s="1"/>
      <c r="V3610" s="1"/>
      <c r="AC3610" s="1"/>
      <c r="AJ3610" s="1"/>
      <c r="AQ3610" s="1"/>
      <c r="AX3610" s="1"/>
    </row>
    <row r="3611" spans="1:50" x14ac:dyDescent="0.25">
      <c r="A3611" s="1"/>
      <c r="H3611" s="1"/>
      <c r="O3611" s="1"/>
      <c r="V3611" s="1"/>
      <c r="AC3611" s="1"/>
      <c r="AJ3611" s="1"/>
      <c r="AQ3611" s="1"/>
      <c r="AX3611" s="1"/>
    </row>
    <row r="3612" spans="1:50" x14ac:dyDescent="0.25">
      <c r="A3612" s="1"/>
      <c r="H3612" s="1"/>
      <c r="O3612" s="1"/>
      <c r="V3612" s="1"/>
      <c r="AC3612" s="1"/>
      <c r="AJ3612" s="1"/>
      <c r="AQ3612" s="1"/>
      <c r="AX3612" s="1"/>
    </row>
    <row r="3613" spans="1:50" x14ac:dyDescent="0.25">
      <c r="A3613" s="1"/>
      <c r="H3613" s="1"/>
      <c r="O3613" s="1"/>
      <c r="V3613" s="1"/>
      <c r="AC3613" s="1"/>
      <c r="AJ3613" s="1"/>
      <c r="AQ3613" s="1"/>
      <c r="AX3613" s="1"/>
    </row>
    <row r="3614" spans="1:50" x14ac:dyDescent="0.25">
      <c r="A3614" s="1"/>
      <c r="H3614" s="1"/>
      <c r="O3614" s="1"/>
      <c r="V3614" s="1"/>
      <c r="AC3614" s="1"/>
      <c r="AJ3614" s="1"/>
      <c r="AQ3614" s="1"/>
      <c r="AX3614" s="1"/>
    </row>
    <row r="3615" spans="1:50" x14ac:dyDescent="0.25">
      <c r="A3615" s="1"/>
      <c r="H3615" s="1"/>
      <c r="O3615" s="1"/>
      <c r="V3615" s="1"/>
      <c r="AC3615" s="1"/>
      <c r="AJ3615" s="1"/>
      <c r="AQ3615" s="1"/>
      <c r="AX3615" s="1"/>
    </row>
    <row r="3616" spans="1:50" x14ac:dyDescent="0.25">
      <c r="A3616" s="1"/>
      <c r="H3616" s="1"/>
      <c r="O3616" s="1"/>
      <c r="V3616" s="1"/>
      <c r="AC3616" s="1"/>
      <c r="AJ3616" s="1"/>
      <c r="AQ3616" s="1"/>
      <c r="AX3616" s="1"/>
    </row>
    <row r="3617" spans="1:50" x14ac:dyDescent="0.25">
      <c r="A3617" s="1"/>
      <c r="H3617" s="1"/>
      <c r="O3617" s="1"/>
      <c r="V3617" s="1"/>
      <c r="AC3617" s="1"/>
      <c r="AJ3617" s="1"/>
      <c r="AQ3617" s="1"/>
      <c r="AX3617" s="1"/>
    </row>
    <row r="3618" spans="1:50" x14ac:dyDescent="0.25">
      <c r="A3618" s="1"/>
      <c r="H3618" s="1"/>
      <c r="O3618" s="1"/>
      <c r="V3618" s="1"/>
      <c r="AC3618" s="1"/>
      <c r="AJ3618" s="1"/>
      <c r="AQ3618" s="1"/>
      <c r="AX3618" s="1"/>
    </row>
    <row r="3619" spans="1:50" x14ac:dyDescent="0.25">
      <c r="A3619" s="1"/>
      <c r="H3619" s="1"/>
      <c r="O3619" s="1"/>
      <c r="V3619" s="1"/>
      <c r="AC3619" s="1"/>
      <c r="AJ3619" s="1"/>
      <c r="AQ3619" s="1"/>
      <c r="AX3619" s="1"/>
    </row>
    <row r="3620" spans="1:50" x14ac:dyDescent="0.25">
      <c r="A3620" s="1"/>
      <c r="H3620" s="1"/>
      <c r="O3620" s="1"/>
      <c r="V3620" s="1"/>
      <c r="AC3620" s="1"/>
      <c r="AJ3620" s="1"/>
      <c r="AQ3620" s="1"/>
      <c r="AX3620" s="1"/>
    </row>
    <row r="3621" spans="1:50" x14ac:dyDescent="0.25">
      <c r="A3621" s="1"/>
      <c r="H3621" s="1"/>
      <c r="O3621" s="1"/>
      <c r="V3621" s="1"/>
      <c r="AC3621" s="1"/>
      <c r="AJ3621" s="1"/>
      <c r="AQ3621" s="1"/>
      <c r="AX3621" s="1"/>
    </row>
    <row r="3622" spans="1:50" x14ac:dyDescent="0.25">
      <c r="A3622" s="1"/>
      <c r="H3622" s="1"/>
      <c r="O3622" s="1"/>
      <c r="V3622" s="1"/>
      <c r="AC3622" s="1"/>
      <c r="AJ3622" s="1"/>
      <c r="AQ3622" s="1"/>
      <c r="AX3622" s="1"/>
    </row>
    <row r="3623" spans="1:50" x14ac:dyDescent="0.25">
      <c r="A3623" s="1"/>
      <c r="H3623" s="1"/>
      <c r="O3623" s="1"/>
      <c r="V3623" s="1"/>
      <c r="AC3623" s="1"/>
      <c r="AJ3623" s="1"/>
      <c r="AQ3623" s="1"/>
      <c r="AX3623" s="1"/>
    </row>
    <row r="3624" spans="1:50" x14ac:dyDescent="0.25">
      <c r="A3624" s="1"/>
      <c r="H3624" s="1"/>
      <c r="O3624" s="1"/>
      <c r="V3624" s="1"/>
      <c r="AC3624" s="1"/>
      <c r="AJ3624" s="1"/>
      <c r="AQ3624" s="1"/>
      <c r="AX3624" s="1"/>
    </row>
    <row r="3625" spans="1:50" x14ac:dyDescent="0.25">
      <c r="A3625" s="1"/>
      <c r="H3625" s="1"/>
      <c r="O3625" s="1"/>
      <c r="V3625" s="1"/>
      <c r="AC3625" s="1"/>
      <c r="AJ3625" s="1"/>
      <c r="AQ3625" s="1"/>
      <c r="AX3625" s="1"/>
    </row>
    <row r="3626" spans="1:50" x14ac:dyDescent="0.25">
      <c r="A3626" s="1"/>
      <c r="H3626" s="1"/>
      <c r="O3626" s="1"/>
      <c r="V3626" s="1"/>
      <c r="AC3626" s="1"/>
      <c r="AJ3626" s="1"/>
      <c r="AQ3626" s="1"/>
      <c r="AX3626" s="1"/>
    </row>
    <row r="3627" spans="1:50" x14ac:dyDescent="0.25">
      <c r="A3627" s="1"/>
      <c r="H3627" s="1"/>
      <c r="O3627" s="1"/>
      <c r="V3627" s="1"/>
      <c r="AC3627" s="1"/>
      <c r="AJ3627" s="1"/>
      <c r="AQ3627" s="1"/>
      <c r="AX3627" s="1"/>
    </row>
    <row r="3628" spans="1:50" x14ac:dyDescent="0.25">
      <c r="A3628" s="1"/>
      <c r="H3628" s="1"/>
      <c r="O3628" s="1"/>
      <c r="V3628" s="1"/>
      <c r="AC3628" s="1"/>
      <c r="AJ3628" s="1"/>
      <c r="AQ3628" s="1"/>
      <c r="AX3628" s="1"/>
    </row>
    <row r="3629" spans="1:50" x14ac:dyDescent="0.25">
      <c r="A3629" s="1"/>
      <c r="H3629" s="1"/>
      <c r="O3629" s="1"/>
      <c r="V3629" s="1"/>
      <c r="AC3629" s="1"/>
      <c r="AJ3629" s="1"/>
      <c r="AQ3629" s="1"/>
      <c r="AX3629" s="1"/>
    </row>
    <row r="3630" spans="1:50" x14ac:dyDescent="0.25">
      <c r="A3630" s="1"/>
      <c r="H3630" s="1"/>
      <c r="O3630" s="1"/>
      <c r="V3630" s="1"/>
      <c r="AC3630" s="1"/>
      <c r="AJ3630" s="1"/>
      <c r="AQ3630" s="1"/>
      <c r="AX3630" s="1"/>
    </row>
    <row r="3631" spans="1:50" x14ac:dyDescent="0.25">
      <c r="A3631" s="1"/>
      <c r="H3631" s="1"/>
      <c r="O3631" s="1"/>
      <c r="V3631" s="1"/>
      <c r="AC3631" s="1"/>
      <c r="AJ3631" s="1"/>
      <c r="AQ3631" s="1"/>
      <c r="AX3631" s="1"/>
    </row>
    <row r="3632" spans="1:50" x14ac:dyDescent="0.25">
      <c r="A3632" s="1"/>
      <c r="H3632" s="1"/>
      <c r="O3632" s="1"/>
      <c r="V3632" s="1"/>
      <c r="AC3632" s="1"/>
      <c r="AJ3632" s="1"/>
      <c r="AQ3632" s="1"/>
      <c r="AX3632" s="1"/>
    </row>
    <row r="3633" spans="1:50" x14ac:dyDescent="0.25">
      <c r="A3633" s="1"/>
      <c r="H3633" s="1"/>
      <c r="O3633" s="1"/>
      <c r="V3633" s="1"/>
      <c r="AC3633" s="1"/>
      <c r="AJ3633" s="1"/>
      <c r="AQ3633" s="1"/>
      <c r="AX3633" s="1"/>
    </row>
    <row r="3634" spans="1:50" x14ac:dyDescent="0.25">
      <c r="A3634" s="1"/>
      <c r="H3634" s="1"/>
      <c r="O3634" s="1"/>
      <c r="V3634" s="1"/>
      <c r="AC3634" s="1"/>
      <c r="AJ3634" s="1"/>
      <c r="AQ3634" s="1"/>
      <c r="AX3634" s="1"/>
    </row>
    <row r="3635" spans="1:50" x14ac:dyDescent="0.25">
      <c r="A3635" s="1"/>
      <c r="H3635" s="1"/>
      <c r="O3635" s="1"/>
      <c r="V3635" s="1"/>
      <c r="AC3635" s="1"/>
      <c r="AJ3635" s="1"/>
      <c r="AQ3635" s="1"/>
      <c r="AX3635" s="1"/>
    </row>
    <row r="3636" spans="1:50" x14ac:dyDescent="0.25">
      <c r="A3636" s="1"/>
      <c r="H3636" s="1"/>
      <c r="O3636" s="1"/>
      <c r="V3636" s="1"/>
      <c r="AC3636" s="1"/>
      <c r="AJ3636" s="1"/>
      <c r="AQ3636" s="1"/>
      <c r="AX3636" s="1"/>
    </row>
    <row r="3637" spans="1:50" x14ac:dyDescent="0.25">
      <c r="A3637" s="1"/>
      <c r="H3637" s="1"/>
      <c r="O3637" s="1"/>
      <c r="V3637" s="1"/>
      <c r="AC3637" s="1"/>
      <c r="AJ3637" s="1"/>
      <c r="AQ3637" s="1"/>
      <c r="AX3637" s="1"/>
    </row>
    <row r="3638" spans="1:50" x14ac:dyDescent="0.25">
      <c r="A3638" s="1"/>
      <c r="H3638" s="1"/>
      <c r="O3638" s="1"/>
      <c r="V3638" s="1"/>
      <c r="AC3638" s="1"/>
      <c r="AJ3638" s="1"/>
      <c r="AQ3638" s="1"/>
      <c r="AX3638" s="1"/>
    </row>
    <row r="3639" spans="1:50" x14ac:dyDescent="0.25">
      <c r="A3639" s="1"/>
      <c r="H3639" s="1"/>
      <c r="O3639" s="1"/>
      <c r="V3639" s="1"/>
      <c r="AC3639" s="1"/>
      <c r="AJ3639" s="1"/>
      <c r="AQ3639" s="1"/>
      <c r="AX3639" s="1"/>
    </row>
    <row r="3640" spans="1:50" x14ac:dyDescent="0.25">
      <c r="A3640" s="1"/>
      <c r="H3640" s="1"/>
      <c r="O3640" s="1"/>
      <c r="V3640" s="1"/>
      <c r="AC3640" s="1"/>
      <c r="AJ3640" s="1"/>
      <c r="AQ3640" s="1"/>
      <c r="AX3640" s="1"/>
    </row>
    <row r="3641" spans="1:50" x14ac:dyDescent="0.25">
      <c r="A3641" s="1"/>
      <c r="H3641" s="1"/>
      <c r="O3641" s="1"/>
      <c r="V3641" s="1"/>
      <c r="AC3641" s="1"/>
      <c r="AJ3641" s="1"/>
      <c r="AQ3641" s="1"/>
      <c r="AX3641" s="1"/>
    </row>
    <row r="3642" spans="1:50" x14ac:dyDescent="0.25">
      <c r="A3642" s="1"/>
      <c r="H3642" s="1"/>
      <c r="O3642" s="1"/>
      <c r="V3642" s="1"/>
      <c r="AC3642" s="1"/>
      <c r="AJ3642" s="1"/>
      <c r="AQ3642" s="1"/>
      <c r="AX3642" s="1"/>
    </row>
    <row r="3643" spans="1:50" x14ac:dyDescent="0.25">
      <c r="A3643" s="1"/>
      <c r="H3643" s="1"/>
      <c r="O3643" s="1"/>
      <c r="V3643" s="1"/>
      <c r="AC3643" s="1"/>
      <c r="AJ3643" s="1"/>
      <c r="AQ3643" s="1"/>
      <c r="AX3643" s="1"/>
    </row>
    <row r="3644" spans="1:50" x14ac:dyDescent="0.25">
      <c r="A3644" s="1"/>
      <c r="H3644" s="1"/>
      <c r="O3644" s="1"/>
      <c r="V3644" s="1"/>
      <c r="AC3644" s="1"/>
      <c r="AJ3644" s="1"/>
      <c r="AQ3644" s="1"/>
      <c r="AX3644" s="1"/>
    </row>
    <row r="3645" spans="1:50" x14ac:dyDescent="0.25">
      <c r="A3645" s="1"/>
      <c r="H3645" s="1"/>
      <c r="O3645" s="1"/>
      <c r="V3645" s="1"/>
      <c r="AC3645" s="1"/>
      <c r="AJ3645" s="1"/>
      <c r="AQ3645" s="1"/>
      <c r="AX3645" s="1"/>
    </row>
    <row r="3646" spans="1:50" x14ac:dyDescent="0.25">
      <c r="A3646" s="1"/>
      <c r="H3646" s="1"/>
      <c r="O3646" s="1"/>
      <c r="V3646" s="1"/>
      <c r="AC3646" s="1"/>
      <c r="AJ3646" s="1"/>
      <c r="AQ3646" s="1"/>
      <c r="AX3646" s="1"/>
    </row>
    <row r="3647" spans="1:50" x14ac:dyDescent="0.25">
      <c r="A3647" s="1"/>
      <c r="H3647" s="1"/>
      <c r="O3647" s="1"/>
      <c r="V3647" s="1"/>
      <c r="AC3647" s="1"/>
      <c r="AJ3647" s="1"/>
      <c r="AQ3647" s="1"/>
      <c r="AX3647" s="1"/>
    </row>
    <row r="3648" spans="1:50" x14ac:dyDescent="0.25">
      <c r="A3648" s="1"/>
      <c r="H3648" s="1"/>
      <c r="O3648" s="1"/>
      <c r="V3648" s="1"/>
      <c r="AC3648" s="1"/>
      <c r="AJ3648" s="1"/>
      <c r="AQ3648" s="1"/>
      <c r="AX3648" s="1"/>
    </row>
    <row r="3649" spans="1:50" x14ac:dyDescent="0.25">
      <c r="A3649" s="1"/>
      <c r="H3649" s="1"/>
      <c r="O3649" s="1"/>
      <c r="V3649" s="1"/>
      <c r="AC3649" s="1"/>
      <c r="AJ3649" s="1"/>
      <c r="AQ3649" s="1"/>
      <c r="AX3649" s="1"/>
    </row>
    <row r="3650" spans="1:50" x14ac:dyDescent="0.25">
      <c r="A3650" s="1"/>
      <c r="H3650" s="1"/>
      <c r="O3650" s="1"/>
      <c r="V3650" s="1"/>
      <c r="AC3650" s="1"/>
      <c r="AJ3650" s="1"/>
      <c r="AQ3650" s="1"/>
      <c r="AX3650" s="1"/>
    </row>
    <row r="3651" spans="1:50" x14ac:dyDescent="0.25">
      <c r="A3651" s="1"/>
      <c r="H3651" s="1"/>
      <c r="O3651" s="1"/>
      <c r="V3651" s="1"/>
      <c r="AC3651" s="1"/>
      <c r="AJ3651" s="1"/>
      <c r="AQ3651" s="1"/>
      <c r="AX3651" s="1"/>
    </row>
    <row r="3652" spans="1:50" x14ac:dyDescent="0.25">
      <c r="A3652" s="1"/>
      <c r="H3652" s="1"/>
      <c r="O3652" s="1"/>
      <c r="V3652" s="1"/>
      <c r="AC3652" s="1"/>
      <c r="AJ3652" s="1"/>
      <c r="AQ3652" s="1"/>
      <c r="AX3652" s="1"/>
    </row>
    <row r="3653" spans="1:50" x14ac:dyDescent="0.25">
      <c r="A3653" s="1"/>
      <c r="H3653" s="1"/>
      <c r="O3653" s="1"/>
      <c r="V3653" s="1"/>
      <c r="AC3653" s="1"/>
      <c r="AJ3653" s="1"/>
      <c r="AQ3653" s="1"/>
      <c r="AX3653" s="1"/>
    </row>
    <row r="3654" spans="1:50" x14ac:dyDescent="0.25">
      <c r="A3654" s="1"/>
      <c r="H3654" s="1"/>
      <c r="O3654" s="1"/>
      <c r="V3654" s="1"/>
      <c r="AC3654" s="1"/>
      <c r="AJ3654" s="1"/>
      <c r="AQ3654" s="1"/>
      <c r="AX3654" s="1"/>
    </row>
    <row r="3655" spans="1:50" x14ac:dyDescent="0.25">
      <c r="A3655" s="1"/>
      <c r="H3655" s="1"/>
      <c r="O3655" s="1"/>
      <c r="V3655" s="1"/>
      <c r="AC3655" s="1"/>
      <c r="AJ3655" s="1"/>
      <c r="AQ3655" s="1"/>
      <c r="AX3655" s="1"/>
    </row>
    <row r="3656" spans="1:50" x14ac:dyDescent="0.25">
      <c r="A3656" s="1"/>
      <c r="H3656" s="1"/>
      <c r="O3656" s="1"/>
      <c r="V3656" s="1"/>
      <c r="AC3656" s="1"/>
      <c r="AJ3656" s="1"/>
      <c r="AQ3656" s="1"/>
      <c r="AX3656" s="1"/>
    </row>
    <row r="3657" spans="1:50" x14ac:dyDescent="0.25">
      <c r="A3657" s="1"/>
      <c r="H3657" s="1"/>
      <c r="O3657" s="1"/>
      <c r="V3657" s="1"/>
      <c r="AC3657" s="1"/>
      <c r="AJ3657" s="1"/>
      <c r="AQ3657" s="1"/>
      <c r="AX3657" s="1"/>
    </row>
    <row r="3658" spans="1:50" x14ac:dyDescent="0.25">
      <c r="A3658" s="1"/>
      <c r="H3658" s="1"/>
      <c r="O3658" s="1"/>
      <c r="V3658" s="1"/>
      <c r="AC3658" s="1"/>
      <c r="AJ3658" s="1"/>
      <c r="AQ3658" s="1"/>
      <c r="AX3658" s="1"/>
    </row>
    <row r="3659" spans="1:50" x14ac:dyDescent="0.25">
      <c r="A3659" s="1"/>
      <c r="H3659" s="1"/>
      <c r="O3659" s="1"/>
      <c r="V3659" s="1"/>
      <c r="AC3659" s="1"/>
      <c r="AJ3659" s="1"/>
      <c r="AQ3659" s="1"/>
      <c r="AX3659" s="1"/>
    </row>
    <row r="3660" spans="1:50" x14ac:dyDescent="0.25">
      <c r="A3660" s="1"/>
      <c r="H3660" s="1"/>
      <c r="O3660" s="1"/>
      <c r="V3660" s="1"/>
      <c r="AC3660" s="1"/>
      <c r="AJ3660" s="1"/>
      <c r="AQ3660" s="1"/>
      <c r="AX3660" s="1"/>
    </row>
    <row r="3661" spans="1:50" x14ac:dyDescent="0.25">
      <c r="A3661" s="1"/>
      <c r="H3661" s="1"/>
      <c r="O3661" s="1"/>
      <c r="V3661" s="1"/>
      <c r="AC3661" s="1"/>
      <c r="AJ3661" s="1"/>
      <c r="AQ3661" s="1"/>
      <c r="AX3661" s="1"/>
    </row>
    <row r="3662" spans="1:50" x14ac:dyDescent="0.25">
      <c r="A3662" s="1"/>
      <c r="H3662" s="1"/>
      <c r="O3662" s="1"/>
      <c r="V3662" s="1"/>
      <c r="AC3662" s="1"/>
      <c r="AJ3662" s="1"/>
      <c r="AQ3662" s="1"/>
      <c r="AX3662" s="1"/>
    </row>
    <row r="3663" spans="1:50" x14ac:dyDescent="0.25">
      <c r="A3663" s="1"/>
      <c r="H3663" s="1"/>
      <c r="O3663" s="1"/>
      <c r="V3663" s="1"/>
      <c r="AC3663" s="1"/>
      <c r="AJ3663" s="1"/>
      <c r="AQ3663" s="1"/>
      <c r="AX3663" s="1"/>
    </row>
    <row r="3664" spans="1:50" x14ac:dyDescent="0.25">
      <c r="A3664" s="1"/>
      <c r="H3664" s="1"/>
      <c r="O3664" s="1"/>
      <c r="V3664" s="1"/>
      <c r="AC3664" s="1"/>
      <c r="AJ3664" s="1"/>
      <c r="AQ3664" s="1"/>
      <c r="AX3664" s="1"/>
    </row>
    <row r="3665" spans="1:50" x14ac:dyDescent="0.25">
      <c r="A3665" s="1"/>
      <c r="H3665" s="1"/>
      <c r="O3665" s="1"/>
      <c r="V3665" s="1"/>
      <c r="AC3665" s="1"/>
      <c r="AJ3665" s="1"/>
      <c r="AQ3665" s="1"/>
      <c r="AX3665" s="1"/>
    </row>
    <row r="3666" spans="1:50" x14ac:dyDescent="0.25">
      <c r="A3666" s="1"/>
      <c r="H3666" s="1"/>
      <c r="O3666" s="1"/>
      <c r="V3666" s="1"/>
      <c r="AC3666" s="1"/>
      <c r="AJ3666" s="1"/>
      <c r="AQ3666" s="1"/>
      <c r="AX3666" s="1"/>
    </row>
    <row r="3667" spans="1:50" x14ac:dyDescent="0.25">
      <c r="A3667" s="1"/>
      <c r="H3667" s="1"/>
      <c r="O3667" s="1"/>
      <c r="V3667" s="1"/>
      <c r="AC3667" s="1"/>
      <c r="AJ3667" s="1"/>
      <c r="AQ3667" s="1"/>
      <c r="AX3667" s="1"/>
    </row>
    <row r="3668" spans="1:50" x14ac:dyDescent="0.25">
      <c r="A3668" s="1"/>
      <c r="H3668" s="1"/>
      <c r="O3668" s="1"/>
      <c r="V3668" s="1"/>
      <c r="AC3668" s="1"/>
      <c r="AJ3668" s="1"/>
      <c r="AQ3668" s="1"/>
      <c r="AX3668" s="1"/>
    </row>
    <row r="3669" spans="1:50" x14ac:dyDescent="0.25">
      <c r="A3669" s="1"/>
      <c r="H3669" s="1"/>
      <c r="O3669" s="1"/>
      <c r="V3669" s="1"/>
      <c r="AC3669" s="1"/>
      <c r="AJ3669" s="1"/>
      <c r="AQ3669" s="1"/>
      <c r="AX3669" s="1"/>
    </row>
    <row r="3670" spans="1:50" x14ac:dyDescent="0.25">
      <c r="A3670" s="1"/>
      <c r="H3670" s="1"/>
      <c r="O3670" s="1"/>
      <c r="V3670" s="1"/>
      <c r="AC3670" s="1"/>
      <c r="AJ3670" s="1"/>
      <c r="AQ3670" s="1"/>
      <c r="AX3670" s="1"/>
    </row>
    <row r="3671" spans="1:50" x14ac:dyDescent="0.25">
      <c r="A3671" s="1"/>
      <c r="H3671" s="1"/>
      <c r="O3671" s="1"/>
      <c r="V3671" s="1"/>
      <c r="AC3671" s="1"/>
      <c r="AJ3671" s="1"/>
      <c r="AQ3671" s="1"/>
      <c r="AX3671" s="1"/>
    </row>
    <row r="3672" spans="1:50" x14ac:dyDescent="0.25">
      <c r="A3672" s="1"/>
      <c r="H3672" s="1"/>
      <c r="O3672" s="1"/>
      <c r="V3672" s="1"/>
      <c r="AC3672" s="1"/>
      <c r="AJ3672" s="1"/>
      <c r="AQ3672" s="1"/>
      <c r="AX3672" s="1"/>
    </row>
    <row r="3673" spans="1:50" x14ac:dyDescent="0.25">
      <c r="A3673" s="1"/>
      <c r="H3673" s="1"/>
      <c r="O3673" s="1"/>
      <c r="V3673" s="1"/>
      <c r="AC3673" s="1"/>
      <c r="AJ3673" s="1"/>
      <c r="AQ3673" s="1"/>
      <c r="AX3673" s="1"/>
    </row>
    <row r="3674" spans="1:50" x14ac:dyDescent="0.25">
      <c r="A3674" s="1"/>
      <c r="H3674" s="1"/>
      <c r="O3674" s="1"/>
      <c r="V3674" s="1"/>
      <c r="AC3674" s="1"/>
      <c r="AJ3674" s="1"/>
      <c r="AQ3674" s="1"/>
      <c r="AX3674" s="1"/>
    </row>
    <row r="3675" spans="1:50" x14ac:dyDescent="0.25">
      <c r="A3675" s="1"/>
      <c r="H3675" s="1"/>
      <c r="O3675" s="1"/>
      <c r="V3675" s="1"/>
      <c r="AC3675" s="1"/>
      <c r="AJ3675" s="1"/>
      <c r="AQ3675" s="1"/>
      <c r="AX3675" s="1"/>
    </row>
    <row r="3676" spans="1:50" x14ac:dyDescent="0.25">
      <c r="A3676" s="1"/>
      <c r="H3676" s="1"/>
      <c r="O3676" s="1"/>
      <c r="V3676" s="1"/>
      <c r="AC3676" s="1"/>
      <c r="AJ3676" s="1"/>
      <c r="AQ3676" s="1"/>
      <c r="AX3676" s="1"/>
    </row>
    <row r="3677" spans="1:50" x14ac:dyDescent="0.25">
      <c r="A3677" s="1"/>
      <c r="H3677" s="1"/>
      <c r="O3677" s="1"/>
      <c r="V3677" s="1"/>
      <c r="AC3677" s="1"/>
      <c r="AJ3677" s="1"/>
      <c r="AQ3677" s="1"/>
      <c r="AX3677" s="1"/>
    </row>
    <row r="3678" spans="1:50" x14ac:dyDescent="0.25">
      <c r="A3678" s="1"/>
      <c r="H3678" s="1"/>
      <c r="O3678" s="1"/>
      <c r="V3678" s="1"/>
      <c r="AC3678" s="1"/>
      <c r="AJ3678" s="1"/>
      <c r="AQ3678" s="1"/>
      <c r="AX3678" s="1"/>
    </row>
    <row r="3679" spans="1:50" x14ac:dyDescent="0.25">
      <c r="A3679" s="1"/>
      <c r="H3679" s="1"/>
      <c r="O3679" s="1"/>
      <c r="V3679" s="1"/>
      <c r="AC3679" s="1"/>
      <c r="AJ3679" s="1"/>
      <c r="AQ3679" s="1"/>
      <c r="AX3679" s="1"/>
    </row>
    <row r="3680" spans="1:50" x14ac:dyDescent="0.25">
      <c r="A3680" s="1"/>
      <c r="H3680" s="1"/>
      <c r="O3680" s="1"/>
      <c r="V3680" s="1"/>
      <c r="AC3680" s="1"/>
      <c r="AJ3680" s="1"/>
      <c r="AQ3680" s="1"/>
      <c r="AX3680" s="1"/>
    </row>
    <row r="3681" spans="1:50" x14ac:dyDescent="0.25">
      <c r="A3681" s="1"/>
      <c r="H3681" s="1"/>
      <c r="O3681" s="1"/>
      <c r="V3681" s="1"/>
      <c r="AC3681" s="1"/>
      <c r="AJ3681" s="1"/>
      <c r="AQ3681" s="1"/>
      <c r="AX3681" s="1"/>
    </row>
    <row r="3682" spans="1:50" x14ac:dyDescent="0.25">
      <c r="A3682" s="1"/>
      <c r="H3682" s="1"/>
      <c r="O3682" s="1"/>
      <c r="V3682" s="1"/>
      <c r="AC3682" s="1"/>
      <c r="AJ3682" s="1"/>
      <c r="AQ3682" s="1"/>
      <c r="AX3682" s="1"/>
    </row>
    <row r="3683" spans="1:50" x14ac:dyDescent="0.25">
      <c r="A3683" s="1"/>
      <c r="H3683" s="1"/>
      <c r="O3683" s="1"/>
      <c r="V3683" s="1"/>
      <c r="AC3683" s="1"/>
      <c r="AJ3683" s="1"/>
      <c r="AQ3683" s="1"/>
      <c r="AX3683" s="1"/>
    </row>
    <row r="3684" spans="1:50" x14ac:dyDescent="0.25">
      <c r="A3684" s="1"/>
      <c r="H3684" s="1"/>
      <c r="O3684" s="1"/>
      <c r="V3684" s="1"/>
      <c r="AC3684" s="1"/>
      <c r="AJ3684" s="1"/>
      <c r="AQ3684" s="1"/>
      <c r="AX3684" s="1"/>
    </row>
    <row r="3685" spans="1:50" x14ac:dyDescent="0.25">
      <c r="A3685" s="1"/>
      <c r="H3685" s="1"/>
      <c r="O3685" s="1"/>
      <c r="V3685" s="1"/>
      <c r="AC3685" s="1"/>
      <c r="AJ3685" s="1"/>
      <c r="AQ3685" s="1"/>
      <c r="AX3685" s="1"/>
    </row>
    <row r="3686" spans="1:50" x14ac:dyDescent="0.25">
      <c r="A3686" s="1"/>
      <c r="H3686" s="1"/>
      <c r="O3686" s="1"/>
      <c r="V3686" s="1"/>
      <c r="AC3686" s="1"/>
      <c r="AJ3686" s="1"/>
      <c r="AQ3686" s="1"/>
      <c r="AX3686" s="1"/>
    </row>
    <row r="3687" spans="1:50" x14ac:dyDescent="0.25">
      <c r="A3687" s="1"/>
      <c r="H3687" s="1"/>
      <c r="O3687" s="1"/>
      <c r="V3687" s="1"/>
      <c r="AC3687" s="1"/>
      <c r="AJ3687" s="1"/>
      <c r="AQ3687" s="1"/>
      <c r="AX3687" s="1"/>
    </row>
    <row r="3688" spans="1:50" x14ac:dyDescent="0.25">
      <c r="A3688" s="1"/>
      <c r="H3688" s="1"/>
      <c r="O3688" s="1"/>
      <c r="V3688" s="1"/>
      <c r="AC3688" s="1"/>
      <c r="AJ3688" s="1"/>
      <c r="AQ3688" s="1"/>
      <c r="AX3688" s="1"/>
    </row>
    <row r="3689" spans="1:50" x14ac:dyDescent="0.25">
      <c r="A3689" s="1"/>
      <c r="H3689" s="1"/>
      <c r="O3689" s="1"/>
      <c r="V3689" s="1"/>
      <c r="AC3689" s="1"/>
      <c r="AJ3689" s="1"/>
      <c r="AQ3689" s="1"/>
      <c r="AX3689" s="1"/>
    </row>
    <row r="3690" spans="1:50" x14ac:dyDescent="0.25">
      <c r="A3690" s="1"/>
      <c r="H3690" s="1"/>
      <c r="O3690" s="1"/>
      <c r="V3690" s="1"/>
      <c r="AC3690" s="1"/>
      <c r="AJ3690" s="1"/>
      <c r="AQ3690" s="1"/>
      <c r="AX3690" s="1"/>
    </row>
    <row r="3691" spans="1:50" x14ac:dyDescent="0.25">
      <c r="A3691" s="1"/>
      <c r="H3691" s="1"/>
      <c r="O3691" s="1"/>
      <c r="V3691" s="1"/>
      <c r="AC3691" s="1"/>
      <c r="AJ3691" s="1"/>
      <c r="AQ3691" s="1"/>
      <c r="AX3691" s="1"/>
    </row>
    <row r="3692" spans="1:50" x14ac:dyDescent="0.25">
      <c r="A3692" s="1"/>
      <c r="H3692" s="1"/>
      <c r="O3692" s="1"/>
      <c r="V3692" s="1"/>
      <c r="AC3692" s="1"/>
      <c r="AJ3692" s="1"/>
      <c r="AQ3692" s="1"/>
      <c r="AX3692" s="1"/>
    </row>
    <row r="3693" spans="1:50" x14ac:dyDescent="0.25">
      <c r="A3693" s="1"/>
      <c r="H3693" s="1"/>
      <c r="O3693" s="1"/>
      <c r="V3693" s="1"/>
      <c r="AC3693" s="1"/>
      <c r="AJ3693" s="1"/>
      <c r="AQ3693" s="1"/>
      <c r="AX3693" s="1"/>
    </row>
    <row r="3694" spans="1:50" x14ac:dyDescent="0.25">
      <c r="A3694" s="1"/>
      <c r="H3694" s="1"/>
      <c r="O3694" s="1"/>
      <c r="V3694" s="1"/>
      <c r="AC3694" s="1"/>
      <c r="AJ3694" s="1"/>
      <c r="AQ3694" s="1"/>
      <c r="AX3694" s="1"/>
    </row>
    <row r="3695" spans="1:50" x14ac:dyDescent="0.25">
      <c r="A3695" s="1"/>
      <c r="H3695" s="1"/>
      <c r="O3695" s="1"/>
      <c r="V3695" s="1"/>
      <c r="AC3695" s="1"/>
      <c r="AJ3695" s="1"/>
      <c r="AQ3695" s="1"/>
      <c r="AX3695" s="1"/>
    </row>
    <row r="3696" spans="1:50" x14ac:dyDescent="0.25">
      <c r="A3696" s="1"/>
      <c r="H3696" s="1"/>
      <c r="O3696" s="1"/>
      <c r="V3696" s="1"/>
      <c r="AC3696" s="1"/>
      <c r="AJ3696" s="1"/>
      <c r="AQ3696" s="1"/>
      <c r="AX3696" s="1"/>
    </row>
    <row r="3697" spans="1:50" x14ac:dyDescent="0.25">
      <c r="A3697" s="1"/>
      <c r="H3697" s="1"/>
      <c r="O3697" s="1"/>
      <c r="V3697" s="1"/>
      <c r="AC3697" s="1"/>
      <c r="AJ3697" s="1"/>
      <c r="AQ3697" s="1"/>
      <c r="AX3697" s="1"/>
    </row>
    <row r="3698" spans="1:50" x14ac:dyDescent="0.25">
      <c r="A3698" s="1"/>
      <c r="H3698" s="1"/>
      <c r="O3698" s="1"/>
      <c r="V3698" s="1"/>
      <c r="AC3698" s="1"/>
      <c r="AJ3698" s="1"/>
      <c r="AQ3698" s="1"/>
      <c r="AX3698" s="1"/>
    </row>
    <row r="3699" spans="1:50" x14ac:dyDescent="0.25">
      <c r="A3699" s="1"/>
      <c r="H3699" s="1"/>
      <c r="O3699" s="1"/>
      <c r="V3699" s="1"/>
      <c r="AC3699" s="1"/>
      <c r="AJ3699" s="1"/>
      <c r="AQ3699" s="1"/>
      <c r="AX3699" s="1"/>
    </row>
    <row r="3700" spans="1:50" x14ac:dyDescent="0.25">
      <c r="A3700" s="1"/>
      <c r="H3700" s="1"/>
      <c r="O3700" s="1"/>
      <c r="V3700" s="1"/>
      <c r="AC3700" s="1"/>
      <c r="AJ3700" s="1"/>
      <c r="AQ3700" s="1"/>
      <c r="AX3700" s="1"/>
    </row>
    <row r="3701" spans="1:50" x14ac:dyDescent="0.25">
      <c r="A3701" s="1"/>
      <c r="H3701" s="1"/>
      <c r="O3701" s="1"/>
      <c r="V3701" s="1"/>
      <c r="AC3701" s="1"/>
      <c r="AJ3701" s="1"/>
      <c r="AQ3701" s="1"/>
      <c r="AX3701" s="1"/>
    </row>
    <row r="3702" spans="1:50" x14ac:dyDescent="0.25">
      <c r="A3702" s="1"/>
      <c r="H3702" s="1"/>
      <c r="O3702" s="1"/>
      <c r="V3702" s="1"/>
      <c r="AC3702" s="1"/>
      <c r="AJ3702" s="1"/>
      <c r="AQ3702" s="1"/>
      <c r="AX3702" s="1"/>
    </row>
    <row r="3703" spans="1:50" x14ac:dyDescent="0.25">
      <c r="A3703" s="1"/>
      <c r="H3703" s="1"/>
      <c r="O3703" s="1"/>
      <c r="V3703" s="1"/>
      <c r="AC3703" s="1"/>
      <c r="AJ3703" s="1"/>
      <c r="AQ3703" s="1"/>
      <c r="AX3703" s="1"/>
    </row>
    <row r="3704" spans="1:50" x14ac:dyDescent="0.25">
      <c r="A3704" s="1"/>
      <c r="H3704" s="1"/>
      <c r="O3704" s="1"/>
      <c r="V3704" s="1"/>
      <c r="AC3704" s="1"/>
      <c r="AJ3704" s="1"/>
      <c r="AQ3704" s="1"/>
      <c r="AX3704" s="1"/>
    </row>
    <row r="3705" spans="1:50" x14ac:dyDescent="0.25">
      <c r="A3705" s="1"/>
      <c r="H3705" s="1"/>
      <c r="O3705" s="1"/>
      <c r="V3705" s="1"/>
      <c r="AC3705" s="1"/>
      <c r="AJ3705" s="1"/>
      <c r="AQ3705" s="1"/>
      <c r="AX3705" s="1"/>
    </row>
    <row r="3706" spans="1:50" x14ac:dyDescent="0.25">
      <c r="A3706" s="1"/>
      <c r="H3706" s="1"/>
      <c r="O3706" s="1"/>
      <c r="V3706" s="1"/>
      <c r="AC3706" s="1"/>
      <c r="AJ3706" s="1"/>
      <c r="AQ3706" s="1"/>
      <c r="AX3706" s="1"/>
    </row>
    <row r="3707" spans="1:50" x14ac:dyDescent="0.25">
      <c r="A3707" s="1"/>
      <c r="H3707" s="1"/>
      <c r="O3707" s="1"/>
      <c r="V3707" s="1"/>
      <c r="AC3707" s="1"/>
      <c r="AJ3707" s="1"/>
      <c r="AQ3707" s="1"/>
      <c r="AX3707" s="1"/>
    </row>
    <row r="3708" spans="1:50" x14ac:dyDescent="0.25">
      <c r="A3708" s="1"/>
      <c r="H3708" s="1"/>
      <c r="O3708" s="1"/>
      <c r="V3708" s="1"/>
      <c r="AC3708" s="1"/>
      <c r="AJ3708" s="1"/>
      <c r="AQ3708" s="1"/>
      <c r="AX3708" s="1"/>
    </row>
    <row r="3709" spans="1:50" x14ac:dyDescent="0.25">
      <c r="A3709" s="1"/>
      <c r="H3709" s="1"/>
      <c r="O3709" s="1"/>
      <c r="V3709" s="1"/>
      <c r="AC3709" s="1"/>
      <c r="AJ3709" s="1"/>
      <c r="AQ3709" s="1"/>
      <c r="AX3709" s="1"/>
    </row>
    <row r="3710" spans="1:50" x14ac:dyDescent="0.25">
      <c r="A3710" s="1"/>
      <c r="H3710" s="1"/>
      <c r="O3710" s="1"/>
      <c r="V3710" s="1"/>
      <c r="AC3710" s="1"/>
      <c r="AJ3710" s="1"/>
      <c r="AQ3710" s="1"/>
      <c r="AX3710" s="1"/>
    </row>
    <row r="3711" spans="1:50" x14ac:dyDescent="0.25">
      <c r="A3711" s="1"/>
      <c r="H3711" s="1"/>
      <c r="O3711" s="1"/>
      <c r="V3711" s="1"/>
      <c r="AC3711" s="1"/>
      <c r="AJ3711" s="1"/>
      <c r="AQ3711" s="1"/>
      <c r="AX3711" s="1"/>
    </row>
    <row r="3712" spans="1:50" x14ac:dyDescent="0.25">
      <c r="A3712" s="1"/>
      <c r="H3712" s="1"/>
      <c r="O3712" s="1"/>
      <c r="V3712" s="1"/>
      <c r="AC3712" s="1"/>
      <c r="AJ3712" s="1"/>
      <c r="AQ3712" s="1"/>
      <c r="AX3712" s="1"/>
    </row>
    <row r="3713" spans="1:50" x14ac:dyDescent="0.25">
      <c r="A3713" s="1"/>
      <c r="H3713" s="1"/>
      <c r="O3713" s="1"/>
      <c r="V3713" s="1"/>
      <c r="AC3713" s="1"/>
      <c r="AJ3713" s="1"/>
      <c r="AQ3713" s="1"/>
      <c r="AX3713" s="1"/>
    </row>
    <row r="3714" spans="1:50" x14ac:dyDescent="0.25">
      <c r="A3714" s="1"/>
      <c r="H3714" s="1"/>
      <c r="O3714" s="1"/>
      <c r="V3714" s="1"/>
      <c r="AC3714" s="1"/>
      <c r="AJ3714" s="1"/>
      <c r="AQ3714" s="1"/>
      <c r="AX3714" s="1"/>
    </row>
    <row r="3715" spans="1:50" x14ac:dyDescent="0.25">
      <c r="A3715" s="1"/>
      <c r="H3715" s="1"/>
      <c r="O3715" s="1"/>
      <c r="V3715" s="1"/>
      <c r="AC3715" s="1"/>
      <c r="AJ3715" s="1"/>
      <c r="AQ3715" s="1"/>
      <c r="AX3715" s="1"/>
    </row>
    <row r="3716" spans="1:50" x14ac:dyDescent="0.25">
      <c r="A3716" s="1"/>
      <c r="H3716" s="1"/>
      <c r="O3716" s="1"/>
      <c r="V3716" s="1"/>
      <c r="AC3716" s="1"/>
      <c r="AJ3716" s="1"/>
      <c r="AQ3716" s="1"/>
      <c r="AX3716" s="1"/>
    </row>
    <row r="3717" spans="1:50" x14ac:dyDescent="0.25">
      <c r="A3717" s="1"/>
      <c r="H3717" s="1"/>
      <c r="O3717" s="1"/>
      <c r="V3717" s="1"/>
      <c r="AC3717" s="1"/>
      <c r="AJ3717" s="1"/>
      <c r="AQ3717" s="1"/>
      <c r="AX3717" s="1"/>
    </row>
    <row r="3718" spans="1:50" x14ac:dyDescent="0.25">
      <c r="A3718" s="1"/>
      <c r="H3718" s="1"/>
      <c r="O3718" s="1"/>
      <c r="V3718" s="1"/>
      <c r="AC3718" s="1"/>
      <c r="AJ3718" s="1"/>
      <c r="AQ3718" s="1"/>
      <c r="AX3718" s="1"/>
    </row>
    <row r="3719" spans="1:50" x14ac:dyDescent="0.25">
      <c r="A3719" s="1"/>
      <c r="H3719" s="1"/>
      <c r="O3719" s="1"/>
      <c r="V3719" s="1"/>
      <c r="AC3719" s="1"/>
      <c r="AJ3719" s="1"/>
      <c r="AQ3719" s="1"/>
      <c r="AX3719" s="1"/>
    </row>
    <row r="3720" spans="1:50" x14ac:dyDescent="0.25">
      <c r="A3720" s="1"/>
      <c r="H3720" s="1"/>
      <c r="O3720" s="1"/>
      <c r="V3720" s="1"/>
      <c r="AC3720" s="1"/>
      <c r="AJ3720" s="1"/>
      <c r="AQ3720" s="1"/>
      <c r="AX3720" s="1"/>
    </row>
    <row r="3721" spans="1:50" x14ac:dyDescent="0.25">
      <c r="A3721" s="1"/>
      <c r="H3721" s="1"/>
      <c r="O3721" s="1"/>
      <c r="V3721" s="1"/>
      <c r="AC3721" s="1"/>
      <c r="AJ3721" s="1"/>
      <c r="AQ3721" s="1"/>
      <c r="AX3721" s="1"/>
    </row>
    <row r="3722" spans="1:50" x14ac:dyDescent="0.25">
      <c r="A3722" s="1"/>
      <c r="H3722" s="1"/>
      <c r="O3722" s="1"/>
      <c r="V3722" s="1"/>
      <c r="AC3722" s="1"/>
      <c r="AJ3722" s="1"/>
      <c r="AQ3722" s="1"/>
      <c r="AX3722" s="1"/>
    </row>
    <row r="3723" spans="1:50" x14ac:dyDescent="0.25">
      <c r="A3723" s="1"/>
      <c r="H3723" s="1"/>
      <c r="O3723" s="1"/>
      <c r="V3723" s="1"/>
      <c r="AC3723" s="1"/>
      <c r="AJ3723" s="1"/>
      <c r="AQ3723" s="1"/>
      <c r="AX3723" s="1"/>
    </row>
    <row r="3724" spans="1:50" x14ac:dyDescent="0.25">
      <c r="A3724" s="1"/>
      <c r="H3724" s="1"/>
      <c r="O3724" s="1"/>
      <c r="V3724" s="1"/>
      <c r="AC3724" s="1"/>
      <c r="AJ3724" s="1"/>
      <c r="AQ3724" s="1"/>
      <c r="AX3724" s="1"/>
    </row>
    <row r="3725" spans="1:50" x14ac:dyDescent="0.25">
      <c r="A3725" s="1"/>
      <c r="H3725" s="1"/>
      <c r="O3725" s="1"/>
      <c r="V3725" s="1"/>
      <c r="AC3725" s="1"/>
      <c r="AJ3725" s="1"/>
      <c r="AQ3725" s="1"/>
      <c r="AX3725" s="1"/>
    </row>
    <row r="3726" spans="1:50" x14ac:dyDescent="0.25">
      <c r="A3726" s="1"/>
      <c r="H3726" s="1"/>
      <c r="O3726" s="1"/>
      <c r="V3726" s="1"/>
      <c r="AC3726" s="1"/>
      <c r="AJ3726" s="1"/>
      <c r="AQ3726" s="1"/>
      <c r="AX3726" s="1"/>
    </row>
    <row r="3727" spans="1:50" x14ac:dyDescent="0.25">
      <c r="A3727" s="1"/>
      <c r="H3727" s="1"/>
      <c r="O3727" s="1"/>
      <c r="V3727" s="1"/>
      <c r="AC3727" s="1"/>
      <c r="AJ3727" s="1"/>
      <c r="AQ3727" s="1"/>
      <c r="AX3727" s="1"/>
    </row>
    <row r="3728" spans="1:50" x14ac:dyDescent="0.25">
      <c r="A3728" s="1"/>
      <c r="H3728" s="1"/>
      <c r="O3728" s="1"/>
      <c r="V3728" s="1"/>
      <c r="AC3728" s="1"/>
      <c r="AJ3728" s="1"/>
      <c r="AQ3728" s="1"/>
      <c r="AX3728" s="1"/>
    </row>
    <row r="3729" spans="1:50" x14ac:dyDescent="0.25">
      <c r="A3729" s="1"/>
      <c r="H3729" s="1"/>
      <c r="O3729" s="1"/>
      <c r="V3729" s="1"/>
      <c r="AC3729" s="1"/>
      <c r="AJ3729" s="1"/>
      <c r="AQ3729" s="1"/>
      <c r="AX3729" s="1"/>
    </row>
    <row r="3730" spans="1:50" x14ac:dyDescent="0.25">
      <c r="A3730" s="1"/>
      <c r="H3730" s="1"/>
      <c r="O3730" s="1"/>
      <c r="V3730" s="1"/>
      <c r="AC3730" s="1"/>
      <c r="AJ3730" s="1"/>
      <c r="AQ3730" s="1"/>
      <c r="AX3730" s="1"/>
    </row>
    <row r="3731" spans="1:50" x14ac:dyDescent="0.25">
      <c r="A3731" s="1"/>
      <c r="H3731" s="1"/>
      <c r="O3731" s="1"/>
      <c r="V3731" s="1"/>
      <c r="AC3731" s="1"/>
      <c r="AJ3731" s="1"/>
      <c r="AQ3731" s="1"/>
      <c r="AX3731" s="1"/>
    </row>
    <row r="3732" spans="1:50" x14ac:dyDescent="0.25">
      <c r="A3732" s="1"/>
      <c r="H3732" s="1"/>
      <c r="O3732" s="1"/>
      <c r="V3732" s="1"/>
      <c r="AC3732" s="1"/>
      <c r="AJ3732" s="1"/>
      <c r="AQ3732" s="1"/>
      <c r="AX3732" s="1"/>
    </row>
    <row r="3733" spans="1:50" x14ac:dyDescent="0.25">
      <c r="A3733" s="1"/>
      <c r="H3733" s="1"/>
      <c r="O3733" s="1"/>
      <c r="V3733" s="1"/>
      <c r="AC3733" s="1"/>
      <c r="AJ3733" s="1"/>
      <c r="AQ3733" s="1"/>
      <c r="AX3733" s="1"/>
    </row>
    <row r="3734" spans="1:50" x14ac:dyDescent="0.25">
      <c r="A3734" s="1"/>
      <c r="H3734" s="1"/>
      <c r="O3734" s="1"/>
      <c r="V3734" s="1"/>
      <c r="AC3734" s="1"/>
      <c r="AJ3734" s="1"/>
      <c r="AQ3734" s="1"/>
      <c r="AX3734" s="1"/>
    </row>
    <row r="3735" spans="1:50" x14ac:dyDescent="0.25">
      <c r="A3735" s="1"/>
      <c r="H3735" s="1"/>
      <c r="O3735" s="1"/>
      <c r="V3735" s="1"/>
      <c r="AC3735" s="1"/>
      <c r="AJ3735" s="1"/>
      <c r="AQ3735" s="1"/>
      <c r="AX3735" s="1"/>
    </row>
    <row r="3736" spans="1:50" x14ac:dyDescent="0.25">
      <c r="A3736" s="1"/>
      <c r="H3736" s="1"/>
      <c r="O3736" s="1"/>
      <c r="V3736" s="1"/>
      <c r="AC3736" s="1"/>
      <c r="AJ3736" s="1"/>
      <c r="AQ3736" s="1"/>
      <c r="AX3736" s="1"/>
    </row>
    <row r="3737" spans="1:50" x14ac:dyDescent="0.25">
      <c r="A3737" s="1"/>
      <c r="H3737" s="1"/>
      <c r="O3737" s="1"/>
      <c r="V3737" s="1"/>
      <c r="AC3737" s="1"/>
      <c r="AJ3737" s="1"/>
      <c r="AQ3737" s="1"/>
      <c r="AX3737" s="1"/>
    </row>
    <row r="3738" spans="1:50" x14ac:dyDescent="0.25">
      <c r="A3738" s="1"/>
      <c r="H3738" s="1"/>
      <c r="O3738" s="1"/>
      <c r="V3738" s="1"/>
      <c r="AC3738" s="1"/>
      <c r="AJ3738" s="1"/>
      <c r="AQ3738" s="1"/>
      <c r="AX3738" s="1"/>
    </row>
    <row r="3739" spans="1:50" x14ac:dyDescent="0.25">
      <c r="A3739" s="1"/>
      <c r="H3739" s="1"/>
      <c r="O3739" s="1"/>
      <c r="V3739" s="1"/>
      <c r="AC3739" s="1"/>
      <c r="AJ3739" s="1"/>
      <c r="AQ3739" s="1"/>
      <c r="AX3739" s="1"/>
    </row>
    <row r="3740" spans="1:50" x14ac:dyDescent="0.25">
      <c r="A3740" s="1"/>
      <c r="H3740" s="1"/>
      <c r="O3740" s="1"/>
      <c r="V3740" s="1"/>
      <c r="AC3740" s="1"/>
      <c r="AJ3740" s="1"/>
      <c r="AQ3740" s="1"/>
      <c r="AX3740" s="1"/>
    </row>
    <row r="3741" spans="1:50" x14ac:dyDescent="0.25">
      <c r="A3741" s="1"/>
      <c r="H3741" s="1"/>
      <c r="O3741" s="1"/>
      <c r="V3741" s="1"/>
      <c r="AC3741" s="1"/>
      <c r="AJ3741" s="1"/>
      <c r="AQ3741" s="1"/>
      <c r="AX3741" s="1"/>
    </row>
    <row r="3742" spans="1:50" x14ac:dyDescent="0.25">
      <c r="A3742" s="1"/>
      <c r="H3742" s="1"/>
      <c r="O3742" s="1"/>
      <c r="V3742" s="1"/>
      <c r="AC3742" s="1"/>
      <c r="AJ3742" s="1"/>
      <c r="AQ3742" s="1"/>
      <c r="AX3742" s="1"/>
    </row>
    <row r="3743" spans="1:50" x14ac:dyDescent="0.25">
      <c r="A3743" s="1"/>
      <c r="H3743" s="1"/>
      <c r="O3743" s="1"/>
      <c r="V3743" s="1"/>
      <c r="AC3743" s="1"/>
      <c r="AJ3743" s="1"/>
      <c r="AQ3743" s="1"/>
      <c r="AX3743" s="1"/>
    </row>
    <row r="3744" spans="1:50" x14ac:dyDescent="0.25">
      <c r="A3744" s="1"/>
      <c r="H3744" s="1"/>
      <c r="O3744" s="1"/>
      <c r="V3744" s="1"/>
      <c r="AC3744" s="1"/>
      <c r="AJ3744" s="1"/>
      <c r="AQ3744" s="1"/>
      <c r="AX3744" s="1"/>
    </row>
    <row r="3745" spans="1:50" x14ac:dyDescent="0.25">
      <c r="A3745" s="1"/>
      <c r="H3745" s="1"/>
      <c r="O3745" s="1"/>
      <c r="V3745" s="1"/>
      <c r="AC3745" s="1"/>
      <c r="AJ3745" s="1"/>
      <c r="AQ3745" s="1"/>
      <c r="AX3745" s="1"/>
    </row>
    <row r="3746" spans="1:50" x14ac:dyDescent="0.25">
      <c r="A3746" s="1"/>
      <c r="H3746" s="1"/>
      <c r="O3746" s="1"/>
      <c r="V3746" s="1"/>
      <c r="AC3746" s="1"/>
      <c r="AJ3746" s="1"/>
      <c r="AQ3746" s="1"/>
      <c r="AX3746" s="1"/>
    </row>
    <row r="3747" spans="1:50" x14ac:dyDescent="0.25">
      <c r="A3747" s="1"/>
      <c r="H3747" s="1"/>
      <c r="O3747" s="1"/>
      <c r="V3747" s="1"/>
      <c r="AC3747" s="1"/>
      <c r="AJ3747" s="1"/>
      <c r="AQ3747" s="1"/>
      <c r="AX3747" s="1"/>
    </row>
    <row r="3748" spans="1:50" x14ac:dyDescent="0.25">
      <c r="A3748" s="1"/>
      <c r="H3748" s="1"/>
      <c r="O3748" s="1"/>
      <c r="V3748" s="1"/>
      <c r="AC3748" s="1"/>
      <c r="AJ3748" s="1"/>
      <c r="AQ3748" s="1"/>
      <c r="AX3748" s="1"/>
    </row>
    <row r="3749" spans="1:50" x14ac:dyDescent="0.25">
      <c r="A3749" s="1"/>
      <c r="H3749" s="1"/>
      <c r="O3749" s="1"/>
      <c r="V3749" s="1"/>
      <c r="AC3749" s="1"/>
      <c r="AJ3749" s="1"/>
      <c r="AQ3749" s="1"/>
      <c r="AX3749" s="1"/>
    </row>
    <row r="3750" spans="1:50" x14ac:dyDescent="0.25">
      <c r="A3750" s="1"/>
      <c r="H3750" s="1"/>
      <c r="O3750" s="1"/>
      <c r="V3750" s="1"/>
      <c r="AC3750" s="1"/>
      <c r="AJ3750" s="1"/>
      <c r="AQ3750" s="1"/>
      <c r="AX3750" s="1"/>
    </row>
    <row r="3751" spans="1:50" x14ac:dyDescent="0.25">
      <c r="A3751" s="1"/>
      <c r="H3751" s="1"/>
      <c r="O3751" s="1"/>
      <c r="V3751" s="1"/>
      <c r="AC3751" s="1"/>
      <c r="AJ3751" s="1"/>
      <c r="AQ3751" s="1"/>
      <c r="AX3751" s="1"/>
    </row>
    <row r="3752" spans="1:50" x14ac:dyDescent="0.25">
      <c r="A3752" s="1"/>
      <c r="H3752" s="1"/>
      <c r="O3752" s="1"/>
      <c r="V3752" s="1"/>
      <c r="AC3752" s="1"/>
      <c r="AJ3752" s="1"/>
      <c r="AQ3752" s="1"/>
      <c r="AX3752" s="1"/>
    </row>
    <row r="3753" spans="1:50" x14ac:dyDescent="0.25">
      <c r="A3753" s="1"/>
      <c r="H3753" s="1"/>
      <c r="O3753" s="1"/>
      <c r="V3753" s="1"/>
      <c r="AC3753" s="1"/>
      <c r="AJ3753" s="1"/>
      <c r="AQ3753" s="1"/>
      <c r="AX3753" s="1"/>
    </row>
    <row r="3754" spans="1:50" x14ac:dyDescent="0.25">
      <c r="A3754" s="1"/>
      <c r="H3754" s="1"/>
      <c r="O3754" s="1"/>
      <c r="V3754" s="1"/>
      <c r="AC3754" s="1"/>
      <c r="AJ3754" s="1"/>
      <c r="AQ3754" s="1"/>
      <c r="AX3754" s="1"/>
    </row>
    <row r="3755" spans="1:50" x14ac:dyDescent="0.25">
      <c r="A3755" s="1"/>
      <c r="H3755" s="1"/>
      <c r="O3755" s="1"/>
      <c r="V3755" s="1"/>
      <c r="AC3755" s="1"/>
      <c r="AJ3755" s="1"/>
      <c r="AQ3755" s="1"/>
      <c r="AX3755" s="1"/>
    </row>
    <row r="3756" spans="1:50" x14ac:dyDescent="0.25">
      <c r="A3756" s="1"/>
      <c r="H3756" s="1"/>
      <c r="O3756" s="1"/>
      <c r="V3756" s="1"/>
      <c r="AC3756" s="1"/>
      <c r="AJ3756" s="1"/>
      <c r="AQ3756" s="1"/>
      <c r="AX3756" s="1"/>
    </row>
    <row r="3757" spans="1:50" x14ac:dyDescent="0.25">
      <c r="A3757" s="1"/>
      <c r="H3757" s="1"/>
      <c r="O3757" s="1"/>
      <c r="V3757" s="1"/>
      <c r="AC3757" s="1"/>
      <c r="AJ3757" s="1"/>
      <c r="AQ3757" s="1"/>
      <c r="AX3757" s="1"/>
    </row>
    <row r="3758" spans="1:50" x14ac:dyDescent="0.25">
      <c r="A3758" s="1"/>
      <c r="H3758" s="1"/>
      <c r="O3758" s="1"/>
      <c r="V3758" s="1"/>
      <c r="AC3758" s="1"/>
      <c r="AJ3758" s="1"/>
      <c r="AQ3758" s="1"/>
      <c r="AX3758" s="1"/>
    </row>
    <row r="3759" spans="1:50" x14ac:dyDescent="0.25">
      <c r="A3759" s="1"/>
      <c r="H3759" s="1"/>
      <c r="O3759" s="1"/>
      <c r="V3759" s="1"/>
      <c r="AC3759" s="1"/>
      <c r="AJ3759" s="1"/>
      <c r="AQ3759" s="1"/>
      <c r="AX3759" s="1"/>
    </row>
    <row r="3760" spans="1:50" x14ac:dyDescent="0.25">
      <c r="A3760" s="1"/>
      <c r="H3760" s="1"/>
      <c r="O3760" s="1"/>
      <c r="V3760" s="1"/>
      <c r="AC3760" s="1"/>
      <c r="AJ3760" s="1"/>
      <c r="AQ3760" s="1"/>
      <c r="AX3760" s="1"/>
    </row>
    <row r="3761" spans="1:50" x14ac:dyDescent="0.25">
      <c r="A3761" s="1"/>
      <c r="H3761" s="1"/>
      <c r="O3761" s="1"/>
      <c r="V3761" s="1"/>
      <c r="AC3761" s="1"/>
      <c r="AJ3761" s="1"/>
      <c r="AQ3761" s="1"/>
      <c r="AX3761" s="1"/>
    </row>
    <row r="3762" spans="1:50" x14ac:dyDescent="0.25">
      <c r="A3762" s="1"/>
      <c r="H3762" s="1"/>
      <c r="O3762" s="1"/>
      <c r="V3762" s="1"/>
      <c r="AC3762" s="1"/>
      <c r="AJ3762" s="1"/>
      <c r="AQ3762" s="1"/>
      <c r="AX3762" s="1"/>
    </row>
    <row r="3763" spans="1:50" x14ac:dyDescent="0.25">
      <c r="A3763" s="1"/>
      <c r="H3763" s="1"/>
      <c r="O3763" s="1"/>
      <c r="V3763" s="1"/>
      <c r="AC3763" s="1"/>
      <c r="AJ3763" s="1"/>
      <c r="AQ3763" s="1"/>
      <c r="AX3763" s="1"/>
    </row>
    <row r="3764" spans="1:50" x14ac:dyDescent="0.25">
      <c r="A3764" s="1"/>
      <c r="H3764" s="1"/>
      <c r="O3764" s="1"/>
      <c r="V3764" s="1"/>
      <c r="AC3764" s="1"/>
      <c r="AJ3764" s="1"/>
      <c r="AQ3764" s="1"/>
      <c r="AX3764" s="1"/>
    </row>
    <row r="3765" spans="1:50" x14ac:dyDescent="0.25">
      <c r="A3765" s="1"/>
      <c r="H3765" s="1"/>
      <c r="O3765" s="1"/>
      <c r="V3765" s="1"/>
      <c r="AC3765" s="1"/>
      <c r="AJ3765" s="1"/>
      <c r="AQ3765" s="1"/>
      <c r="AX3765" s="1"/>
    </row>
    <row r="3766" spans="1:50" x14ac:dyDescent="0.25">
      <c r="A3766" s="1"/>
      <c r="H3766" s="1"/>
      <c r="O3766" s="1"/>
      <c r="V3766" s="1"/>
      <c r="AC3766" s="1"/>
      <c r="AJ3766" s="1"/>
      <c r="AQ3766" s="1"/>
      <c r="AX3766" s="1"/>
    </row>
    <row r="3767" spans="1:50" x14ac:dyDescent="0.25">
      <c r="A3767" s="1"/>
      <c r="H3767" s="1"/>
      <c r="O3767" s="1"/>
      <c r="V3767" s="1"/>
      <c r="AC3767" s="1"/>
      <c r="AJ3767" s="1"/>
      <c r="AQ3767" s="1"/>
      <c r="AX3767" s="1"/>
    </row>
    <row r="3768" spans="1:50" x14ac:dyDescent="0.25">
      <c r="A3768" s="1"/>
      <c r="H3768" s="1"/>
      <c r="O3768" s="1"/>
      <c r="V3768" s="1"/>
      <c r="AC3768" s="1"/>
      <c r="AJ3768" s="1"/>
      <c r="AQ3768" s="1"/>
      <c r="AX3768" s="1"/>
    </row>
    <row r="3769" spans="1:50" x14ac:dyDescent="0.25">
      <c r="A3769" s="1"/>
      <c r="H3769" s="1"/>
      <c r="O3769" s="1"/>
      <c r="V3769" s="1"/>
      <c r="AC3769" s="1"/>
      <c r="AJ3769" s="1"/>
      <c r="AQ3769" s="1"/>
      <c r="AX3769" s="1"/>
    </row>
    <row r="3770" spans="1:50" x14ac:dyDescent="0.25">
      <c r="A3770" s="1"/>
      <c r="H3770" s="1"/>
      <c r="O3770" s="1"/>
      <c r="V3770" s="1"/>
      <c r="AC3770" s="1"/>
      <c r="AJ3770" s="1"/>
      <c r="AQ3770" s="1"/>
      <c r="AX3770" s="1"/>
    </row>
    <row r="3771" spans="1:50" x14ac:dyDescent="0.25">
      <c r="A3771" s="1"/>
      <c r="H3771" s="1"/>
      <c r="O3771" s="1"/>
      <c r="V3771" s="1"/>
      <c r="AC3771" s="1"/>
      <c r="AJ3771" s="1"/>
      <c r="AQ3771" s="1"/>
      <c r="AX3771" s="1"/>
    </row>
    <row r="3772" spans="1:50" x14ac:dyDescent="0.25">
      <c r="A3772" s="1"/>
      <c r="H3772" s="1"/>
      <c r="O3772" s="1"/>
      <c r="V3772" s="1"/>
      <c r="AC3772" s="1"/>
      <c r="AJ3772" s="1"/>
      <c r="AQ3772" s="1"/>
      <c r="AX3772" s="1"/>
    </row>
    <row r="3773" spans="1:50" x14ac:dyDescent="0.25">
      <c r="A3773" s="1"/>
      <c r="H3773" s="1"/>
      <c r="O3773" s="1"/>
      <c r="V3773" s="1"/>
      <c r="AC3773" s="1"/>
      <c r="AJ3773" s="1"/>
      <c r="AQ3773" s="1"/>
      <c r="AX3773" s="1"/>
    </row>
    <row r="3774" spans="1:50" x14ac:dyDescent="0.25">
      <c r="A3774" s="1"/>
      <c r="H3774" s="1"/>
      <c r="O3774" s="1"/>
      <c r="V3774" s="1"/>
      <c r="AC3774" s="1"/>
      <c r="AJ3774" s="1"/>
      <c r="AQ3774" s="1"/>
      <c r="AX3774" s="1"/>
    </row>
    <row r="3775" spans="1:50" x14ac:dyDescent="0.25">
      <c r="A3775" s="1"/>
      <c r="H3775" s="1"/>
      <c r="O3775" s="1"/>
      <c r="V3775" s="1"/>
      <c r="AC3775" s="1"/>
      <c r="AJ3775" s="1"/>
      <c r="AQ3775" s="1"/>
      <c r="AX3775" s="1"/>
    </row>
    <row r="3776" spans="1:50" x14ac:dyDescent="0.25">
      <c r="A3776" s="1"/>
      <c r="H3776" s="1"/>
      <c r="O3776" s="1"/>
      <c r="V3776" s="1"/>
      <c r="AC3776" s="1"/>
      <c r="AJ3776" s="1"/>
      <c r="AQ3776" s="1"/>
      <c r="AX3776" s="1"/>
    </row>
    <row r="3777" spans="1:50" x14ac:dyDescent="0.25">
      <c r="A3777" s="1"/>
      <c r="H3777" s="1"/>
      <c r="O3777" s="1"/>
      <c r="V3777" s="1"/>
      <c r="AC3777" s="1"/>
      <c r="AJ3777" s="1"/>
      <c r="AQ3777" s="1"/>
      <c r="AX3777" s="1"/>
    </row>
    <row r="3778" spans="1:50" x14ac:dyDescent="0.25">
      <c r="A3778" s="1"/>
      <c r="H3778" s="1"/>
      <c r="O3778" s="1"/>
      <c r="V3778" s="1"/>
      <c r="AC3778" s="1"/>
      <c r="AJ3778" s="1"/>
      <c r="AQ3778" s="1"/>
      <c r="AX3778" s="1"/>
    </row>
    <row r="3779" spans="1:50" x14ac:dyDescent="0.25">
      <c r="A3779" s="1"/>
      <c r="H3779" s="1"/>
      <c r="O3779" s="1"/>
      <c r="V3779" s="1"/>
      <c r="AC3779" s="1"/>
      <c r="AJ3779" s="1"/>
      <c r="AQ3779" s="1"/>
      <c r="AX3779" s="1"/>
    </row>
    <row r="3780" spans="1:50" x14ac:dyDescent="0.25">
      <c r="A3780" s="1"/>
      <c r="H3780" s="1"/>
      <c r="O3780" s="1"/>
      <c r="V3780" s="1"/>
      <c r="AC3780" s="1"/>
      <c r="AJ3780" s="1"/>
      <c r="AQ3780" s="1"/>
      <c r="AX3780" s="1"/>
    </row>
    <row r="3781" spans="1:50" x14ac:dyDescent="0.25">
      <c r="A3781" s="1"/>
      <c r="H3781" s="1"/>
      <c r="O3781" s="1"/>
      <c r="V3781" s="1"/>
      <c r="AC3781" s="1"/>
      <c r="AJ3781" s="1"/>
      <c r="AQ3781" s="1"/>
      <c r="AX3781" s="1"/>
    </row>
    <row r="3782" spans="1:50" x14ac:dyDescent="0.25">
      <c r="A3782" s="1"/>
      <c r="H3782" s="1"/>
      <c r="O3782" s="1"/>
      <c r="V3782" s="1"/>
      <c r="AC3782" s="1"/>
      <c r="AJ3782" s="1"/>
      <c r="AQ3782" s="1"/>
      <c r="AX3782" s="1"/>
    </row>
    <row r="3783" spans="1:50" x14ac:dyDescent="0.25">
      <c r="A3783" s="1"/>
      <c r="H3783" s="1"/>
      <c r="O3783" s="1"/>
      <c r="V3783" s="1"/>
      <c r="AC3783" s="1"/>
      <c r="AJ3783" s="1"/>
      <c r="AQ3783" s="1"/>
      <c r="AX3783" s="1"/>
    </row>
    <row r="3784" spans="1:50" x14ac:dyDescent="0.25">
      <c r="A3784" s="1"/>
      <c r="H3784" s="1"/>
      <c r="O3784" s="1"/>
      <c r="V3784" s="1"/>
      <c r="AC3784" s="1"/>
      <c r="AJ3784" s="1"/>
      <c r="AQ3784" s="1"/>
      <c r="AX3784" s="1"/>
    </row>
    <row r="3785" spans="1:50" x14ac:dyDescent="0.25">
      <c r="A3785" s="1"/>
      <c r="H3785" s="1"/>
      <c r="O3785" s="1"/>
      <c r="V3785" s="1"/>
      <c r="AC3785" s="1"/>
      <c r="AJ3785" s="1"/>
      <c r="AQ3785" s="1"/>
      <c r="AX3785" s="1"/>
    </row>
    <row r="3786" spans="1:50" x14ac:dyDescent="0.25">
      <c r="A3786" s="1"/>
      <c r="H3786" s="1"/>
      <c r="O3786" s="1"/>
      <c r="V3786" s="1"/>
      <c r="AC3786" s="1"/>
      <c r="AJ3786" s="1"/>
      <c r="AQ3786" s="1"/>
      <c r="AX3786" s="1"/>
    </row>
    <row r="3787" spans="1:50" x14ac:dyDescent="0.25">
      <c r="A3787" s="1"/>
      <c r="H3787" s="1"/>
      <c r="O3787" s="1"/>
      <c r="V3787" s="1"/>
      <c r="AC3787" s="1"/>
      <c r="AJ3787" s="1"/>
      <c r="AQ3787" s="1"/>
      <c r="AX3787" s="1"/>
    </row>
    <row r="3788" spans="1:50" x14ac:dyDescent="0.25">
      <c r="A3788" s="1"/>
      <c r="H3788" s="1"/>
      <c r="O3788" s="1"/>
      <c r="V3788" s="1"/>
      <c r="AC3788" s="1"/>
      <c r="AJ3788" s="1"/>
      <c r="AQ3788" s="1"/>
      <c r="AX3788" s="1"/>
    </row>
    <row r="3789" spans="1:50" x14ac:dyDescent="0.25">
      <c r="A3789" s="1"/>
      <c r="H3789" s="1"/>
      <c r="O3789" s="1"/>
      <c r="V3789" s="1"/>
      <c r="AC3789" s="1"/>
      <c r="AJ3789" s="1"/>
      <c r="AQ3789" s="1"/>
      <c r="AX3789" s="1"/>
    </row>
    <row r="3790" spans="1:50" x14ac:dyDescent="0.25">
      <c r="A3790" s="1"/>
      <c r="H3790" s="1"/>
      <c r="O3790" s="1"/>
      <c r="V3790" s="1"/>
      <c r="AC3790" s="1"/>
      <c r="AJ3790" s="1"/>
      <c r="AQ3790" s="1"/>
      <c r="AX3790" s="1"/>
    </row>
    <row r="3791" spans="1:50" x14ac:dyDescent="0.25">
      <c r="A3791" s="1"/>
      <c r="H3791" s="1"/>
      <c r="O3791" s="1"/>
      <c r="V3791" s="1"/>
      <c r="AC3791" s="1"/>
      <c r="AJ3791" s="1"/>
      <c r="AQ3791" s="1"/>
      <c r="AX3791" s="1"/>
    </row>
    <row r="3792" spans="1:50" x14ac:dyDescent="0.25">
      <c r="A3792" s="1"/>
      <c r="H3792" s="1"/>
      <c r="O3792" s="1"/>
      <c r="V3792" s="1"/>
      <c r="AC3792" s="1"/>
      <c r="AJ3792" s="1"/>
      <c r="AQ3792" s="1"/>
      <c r="AX3792" s="1"/>
    </row>
    <row r="3793" spans="1:50" x14ac:dyDescent="0.25">
      <c r="A3793" s="1"/>
      <c r="H3793" s="1"/>
      <c r="O3793" s="1"/>
      <c r="V3793" s="1"/>
      <c r="AC3793" s="1"/>
      <c r="AJ3793" s="1"/>
      <c r="AQ3793" s="1"/>
      <c r="AX3793" s="1"/>
    </row>
    <row r="3794" spans="1:50" x14ac:dyDescent="0.25">
      <c r="A3794" s="1"/>
      <c r="H3794" s="1"/>
      <c r="O3794" s="1"/>
      <c r="V3794" s="1"/>
      <c r="AC3794" s="1"/>
      <c r="AJ3794" s="1"/>
      <c r="AQ3794" s="1"/>
      <c r="AX3794" s="1"/>
    </row>
    <row r="3795" spans="1:50" x14ac:dyDescent="0.25">
      <c r="A3795" s="1"/>
      <c r="H3795" s="1"/>
      <c r="O3795" s="1"/>
      <c r="V3795" s="1"/>
      <c r="AC3795" s="1"/>
      <c r="AJ3795" s="1"/>
      <c r="AQ3795" s="1"/>
      <c r="AX3795" s="1"/>
    </row>
    <row r="3796" spans="1:50" x14ac:dyDescent="0.25">
      <c r="A3796" s="1"/>
      <c r="H3796" s="1"/>
      <c r="O3796" s="1"/>
      <c r="V3796" s="1"/>
      <c r="AC3796" s="1"/>
      <c r="AJ3796" s="1"/>
      <c r="AQ3796" s="1"/>
      <c r="AX3796" s="1"/>
    </row>
    <row r="3797" spans="1:50" x14ac:dyDescent="0.25">
      <c r="A3797" s="1"/>
      <c r="H3797" s="1"/>
      <c r="O3797" s="1"/>
      <c r="V3797" s="1"/>
      <c r="AC3797" s="1"/>
      <c r="AJ3797" s="1"/>
      <c r="AQ3797" s="1"/>
      <c r="AX3797" s="1"/>
    </row>
    <row r="3798" spans="1:50" x14ac:dyDescent="0.25">
      <c r="A3798" s="1"/>
      <c r="H3798" s="1"/>
      <c r="O3798" s="1"/>
      <c r="V3798" s="1"/>
      <c r="AC3798" s="1"/>
      <c r="AJ3798" s="1"/>
      <c r="AQ3798" s="1"/>
      <c r="AX3798" s="1"/>
    </row>
    <row r="3799" spans="1:50" x14ac:dyDescent="0.25">
      <c r="A3799" s="1"/>
      <c r="H3799" s="1"/>
      <c r="O3799" s="1"/>
      <c r="V3799" s="1"/>
      <c r="AC3799" s="1"/>
      <c r="AJ3799" s="1"/>
      <c r="AQ3799" s="1"/>
      <c r="AX3799" s="1"/>
    </row>
    <row r="3800" spans="1:50" x14ac:dyDescent="0.25">
      <c r="A3800" s="1"/>
      <c r="H3800" s="1"/>
      <c r="O3800" s="1"/>
      <c r="V3800" s="1"/>
      <c r="AC3800" s="1"/>
      <c r="AJ3800" s="1"/>
      <c r="AQ3800" s="1"/>
      <c r="AX3800" s="1"/>
    </row>
    <row r="3801" spans="1:50" x14ac:dyDescent="0.25">
      <c r="A3801" s="1"/>
      <c r="H3801" s="1"/>
      <c r="O3801" s="1"/>
      <c r="V3801" s="1"/>
      <c r="AC3801" s="1"/>
      <c r="AJ3801" s="1"/>
      <c r="AQ3801" s="1"/>
      <c r="AX3801" s="1"/>
    </row>
    <row r="3802" spans="1:50" x14ac:dyDescent="0.25">
      <c r="A3802" s="1"/>
      <c r="H3802" s="1"/>
      <c r="O3802" s="1"/>
      <c r="V3802" s="1"/>
      <c r="AC3802" s="1"/>
      <c r="AJ3802" s="1"/>
      <c r="AQ3802" s="1"/>
      <c r="AX3802" s="1"/>
    </row>
    <row r="3803" spans="1:50" x14ac:dyDescent="0.25">
      <c r="A3803" s="1"/>
      <c r="H3803" s="1"/>
      <c r="O3803" s="1"/>
      <c r="V3803" s="1"/>
      <c r="AC3803" s="1"/>
      <c r="AJ3803" s="1"/>
      <c r="AQ3803" s="1"/>
      <c r="AX3803" s="1"/>
    </row>
    <row r="3804" spans="1:50" x14ac:dyDescent="0.25">
      <c r="A3804" s="1"/>
      <c r="H3804" s="1"/>
      <c r="O3804" s="1"/>
      <c r="V3804" s="1"/>
      <c r="AC3804" s="1"/>
      <c r="AJ3804" s="1"/>
      <c r="AQ3804" s="1"/>
      <c r="AX3804" s="1"/>
    </row>
    <row r="3805" spans="1:50" x14ac:dyDescent="0.25">
      <c r="A3805" s="1"/>
      <c r="H3805" s="1"/>
      <c r="O3805" s="1"/>
      <c r="V3805" s="1"/>
      <c r="AC3805" s="1"/>
      <c r="AJ3805" s="1"/>
      <c r="AQ3805" s="1"/>
      <c r="AX3805" s="1"/>
    </row>
    <row r="3806" spans="1:50" x14ac:dyDescent="0.25">
      <c r="A3806" s="1"/>
      <c r="H3806" s="1"/>
      <c r="O3806" s="1"/>
      <c r="V3806" s="1"/>
      <c r="AC3806" s="1"/>
      <c r="AJ3806" s="1"/>
      <c r="AQ3806" s="1"/>
      <c r="AX3806" s="1"/>
    </row>
    <row r="3807" spans="1:50" x14ac:dyDescent="0.25">
      <c r="A3807" s="1"/>
      <c r="H3807" s="1"/>
      <c r="O3807" s="1"/>
      <c r="V3807" s="1"/>
      <c r="AC3807" s="1"/>
      <c r="AJ3807" s="1"/>
      <c r="AQ3807" s="1"/>
      <c r="AX3807" s="1"/>
    </row>
    <row r="3808" spans="1:50" x14ac:dyDescent="0.25">
      <c r="A3808" s="1"/>
      <c r="H3808" s="1"/>
      <c r="O3808" s="1"/>
      <c r="V3808" s="1"/>
      <c r="AC3808" s="1"/>
      <c r="AJ3808" s="1"/>
      <c r="AQ3808" s="1"/>
      <c r="AX3808" s="1"/>
    </row>
    <row r="3809" spans="1:50" x14ac:dyDescent="0.25">
      <c r="A3809" s="1"/>
      <c r="H3809" s="1"/>
      <c r="O3809" s="1"/>
      <c r="V3809" s="1"/>
      <c r="AC3809" s="1"/>
      <c r="AJ3809" s="1"/>
      <c r="AQ3809" s="1"/>
      <c r="AX3809" s="1"/>
    </row>
    <row r="3810" spans="1:50" x14ac:dyDescent="0.25">
      <c r="A3810" s="1"/>
      <c r="H3810" s="1"/>
      <c r="O3810" s="1"/>
      <c r="V3810" s="1"/>
      <c r="AC3810" s="1"/>
      <c r="AJ3810" s="1"/>
      <c r="AQ3810" s="1"/>
      <c r="AX3810" s="1"/>
    </row>
    <row r="3811" spans="1:50" x14ac:dyDescent="0.25">
      <c r="A3811" s="1"/>
      <c r="H3811" s="1"/>
      <c r="O3811" s="1"/>
      <c r="V3811" s="1"/>
      <c r="AC3811" s="1"/>
      <c r="AJ3811" s="1"/>
      <c r="AQ3811" s="1"/>
      <c r="AX3811" s="1"/>
    </row>
    <row r="3812" spans="1:50" x14ac:dyDescent="0.25">
      <c r="A3812" s="1"/>
      <c r="H3812" s="1"/>
      <c r="O3812" s="1"/>
      <c r="V3812" s="1"/>
      <c r="AC3812" s="1"/>
      <c r="AJ3812" s="1"/>
      <c r="AQ3812" s="1"/>
      <c r="AX3812" s="1"/>
    </row>
    <row r="3813" spans="1:50" x14ac:dyDescent="0.25">
      <c r="A3813" s="1"/>
      <c r="H3813" s="1"/>
      <c r="O3813" s="1"/>
      <c r="V3813" s="1"/>
      <c r="AC3813" s="1"/>
      <c r="AJ3813" s="1"/>
      <c r="AQ3813" s="1"/>
      <c r="AX3813" s="1"/>
    </row>
    <row r="3814" spans="1:50" x14ac:dyDescent="0.25">
      <c r="A3814" s="1"/>
      <c r="H3814" s="1"/>
      <c r="O3814" s="1"/>
      <c r="V3814" s="1"/>
      <c r="AC3814" s="1"/>
      <c r="AJ3814" s="1"/>
      <c r="AQ3814" s="1"/>
      <c r="AX3814" s="1"/>
    </row>
    <row r="3815" spans="1:50" x14ac:dyDescent="0.25">
      <c r="A3815" s="1"/>
      <c r="H3815" s="1"/>
      <c r="O3815" s="1"/>
      <c r="V3815" s="1"/>
      <c r="AC3815" s="1"/>
      <c r="AJ3815" s="1"/>
      <c r="AQ3815" s="1"/>
      <c r="AX3815" s="1"/>
    </row>
    <row r="3816" spans="1:50" x14ac:dyDescent="0.25">
      <c r="A3816" s="1"/>
      <c r="H3816" s="1"/>
      <c r="O3816" s="1"/>
      <c r="V3816" s="1"/>
      <c r="AC3816" s="1"/>
      <c r="AJ3816" s="1"/>
      <c r="AQ3816" s="1"/>
      <c r="AX3816" s="1"/>
    </row>
    <row r="3817" spans="1:50" x14ac:dyDescent="0.25">
      <c r="A3817" s="1"/>
      <c r="H3817" s="1"/>
      <c r="O3817" s="1"/>
      <c r="V3817" s="1"/>
      <c r="AC3817" s="1"/>
      <c r="AJ3817" s="1"/>
      <c r="AQ3817" s="1"/>
      <c r="AX3817" s="1"/>
    </row>
    <row r="3818" spans="1:50" x14ac:dyDescent="0.25">
      <c r="A3818" s="1"/>
      <c r="H3818" s="1"/>
      <c r="O3818" s="1"/>
      <c r="V3818" s="1"/>
      <c r="AC3818" s="1"/>
      <c r="AJ3818" s="1"/>
      <c r="AQ3818" s="1"/>
      <c r="AX3818" s="1"/>
    </row>
    <row r="3819" spans="1:50" x14ac:dyDescent="0.25">
      <c r="A3819" s="1"/>
      <c r="H3819" s="1"/>
      <c r="O3819" s="1"/>
      <c r="V3819" s="1"/>
      <c r="AC3819" s="1"/>
      <c r="AJ3819" s="1"/>
      <c r="AQ3819" s="1"/>
      <c r="AX3819" s="1"/>
    </row>
    <row r="3820" spans="1:50" x14ac:dyDescent="0.25">
      <c r="A3820" s="1"/>
      <c r="H3820" s="1"/>
      <c r="O3820" s="1"/>
      <c r="V3820" s="1"/>
      <c r="AC3820" s="1"/>
      <c r="AJ3820" s="1"/>
      <c r="AQ3820" s="1"/>
      <c r="AX3820" s="1"/>
    </row>
    <row r="3821" spans="1:50" x14ac:dyDescent="0.25">
      <c r="A3821" s="1"/>
      <c r="H3821" s="1"/>
      <c r="O3821" s="1"/>
      <c r="V3821" s="1"/>
      <c r="AC3821" s="1"/>
      <c r="AJ3821" s="1"/>
      <c r="AQ3821" s="1"/>
      <c r="AX3821" s="1"/>
    </row>
    <row r="3822" spans="1:50" x14ac:dyDescent="0.25">
      <c r="A3822" s="1"/>
      <c r="H3822" s="1"/>
      <c r="O3822" s="1"/>
      <c r="V3822" s="1"/>
      <c r="AC3822" s="1"/>
      <c r="AJ3822" s="1"/>
      <c r="AQ3822" s="1"/>
      <c r="AX3822" s="1"/>
    </row>
    <row r="3823" spans="1:50" x14ac:dyDescent="0.25">
      <c r="A3823" s="1"/>
      <c r="H3823" s="1"/>
      <c r="O3823" s="1"/>
      <c r="V3823" s="1"/>
      <c r="AC3823" s="1"/>
      <c r="AJ3823" s="1"/>
      <c r="AQ3823" s="1"/>
      <c r="AX3823" s="1"/>
    </row>
    <row r="3824" spans="1:50" x14ac:dyDescent="0.25">
      <c r="A3824" s="1"/>
      <c r="H3824" s="1"/>
      <c r="O3824" s="1"/>
      <c r="V3824" s="1"/>
      <c r="AC3824" s="1"/>
      <c r="AJ3824" s="1"/>
      <c r="AQ3824" s="1"/>
      <c r="AX3824" s="1"/>
    </row>
    <row r="3825" spans="1:50" x14ac:dyDescent="0.25">
      <c r="A3825" s="1"/>
      <c r="H3825" s="1"/>
      <c r="O3825" s="1"/>
      <c r="V3825" s="1"/>
      <c r="AC3825" s="1"/>
      <c r="AJ3825" s="1"/>
      <c r="AQ3825" s="1"/>
      <c r="AX3825" s="1"/>
    </row>
    <row r="3826" spans="1:50" x14ac:dyDescent="0.25">
      <c r="A3826" s="1"/>
      <c r="H3826" s="1"/>
      <c r="O3826" s="1"/>
      <c r="V3826" s="1"/>
      <c r="AC3826" s="1"/>
      <c r="AJ3826" s="1"/>
      <c r="AQ3826" s="1"/>
      <c r="AX3826" s="1"/>
    </row>
    <row r="3827" spans="1:50" x14ac:dyDescent="0.25">
      <c r="A3827" s="1"/>
      <c r="H3827" s="1"/>
      <c r="O3827" s="1"/>
      <c r="V3827" s="1"/>
      <c r="AC3827" s="1"/>
      <c r="AJ3827" s="1"/>
      <c r="AQ3827" s="1"/>
      <c r="AX3827" s="1"/>
    </row>
    <row r="3828" spans="1:50" x14ac:dyDescent="0.25">
      <c r="A3828" s="1"/>
      <c r="H3828" s="1"/>
      <c r="O3828" s="1"/>
      <c r="V3828" s="1"/>
      <c r="AC3828" s="1"/>
      <c r="AJ3828" s="1"/>
      <c r="AQ3828" s="1"/>
      <c r="AX3828" s="1"/>
    </row>
    <row r="3829" spans="1:50" x14ac:dyDescent="0.25">
      <c r="A3829" s="1"/>
      <c r="H3829" s="1"/>
      <c r="O3829" s="1"/>
      <c r="V3829" s="1"/>
      <c r="AC3829" s="1"/>
      <c r="AJ3829" s="1"/>
      <c r="AQ3829" s="1"/>
      <c r="AX3829" s="1"/>
    </row>
    <row r="3830" spans="1:50" x14ac:dyDescent="0.25">
      <c r="A3830" s="1"/>
      <c r="H3830" s="1"/>
      <c r="O3830" s="1"/>
      <c r="V3830" s="1"/>
      <c r="AC3830" s="1"/>
      <c r="AJ3830" s="1"/>
      <c r="AQ3830" s="1"/>
      <c r="AX3830" s="1"/>
    </row>
    <row r="3831" spans="1:50" x14ac:dyDescent="0.25">
      <c r="A3831" s="1"/>
      <c r="H3831" s="1"/>
      <c r="O3831" s="1"/>
      <c r="V3831" s="1"/>
      <c r="AC3831" s="1"/>
      <c r="AJ3831" s="1"/>
      <c r="AQ3831" s="1"/>
      <c r="AX3831" s="1"/>
    </row>
    <row r="3832" spans="1:50" x14ac:dyDescent="0.25">
      <c r="A3832" s="1"/>
      <c r="H3832" s="1"/>
      <c r="O3832" s="1"/>
      <c r="V3832" s="1"/>
      <c r="AC3832" s="1"/>
      <c r="AJ3832" s="1"/>
      <c r="AQ3832" s="1"/>
      <c r="AX3832" s="1"/>
    </row>
    <row r="3833" spans="1:50" x14ac:dyDescent="0.25">
      <c r="A3833" s="1"/>
      <c r="H3833" s="1"/>
      <c r="O3833" s="1"/>
      <c r="V3833" s="1"/>
      <c r="AC3833" s="1"/>
      <c r="AJ3833" s="1"/>
      <c r="AQ3833" s="1"/>
      <c r="AX3833" s="1"/>
    </row>
    <row r="3834" spans="1:50" x14ac:dyDescent="0.25">
      <c r="A3834" s="1"/>
      <c r="H3834" s="1"/>
      <c r="O3834" s="1"/>
      <c r="V3834" s="1"/>
      <c r="AC3834" s="1"/>
      <c r="AJ3834" s="1"/>
      <c r="AQ3834" s="1"/>
      <c r="AX3834" s="1"/>
    </row>
    <row r="3835" spans="1:50" x14ac:dyDescent="0.25">
      <c r="A3835" s="1"/>
      <c r="H3835" s="1"/>
      <c r="O3835" s="1"/>
      <c r="V3835" s="1"/>
      <c r="AC3835" s="1"/>
      <c r="AJ3835" s="1"/>
      <c r="AQ3835" s="1"/>
      <c r="AX3835" s="1"/>
    </row>
    <row r="3836" spans="1:50" x14ac:dyDescent="0.25">
      <c r="A3836" s="1"/>
      <c r="H3836" s="1"/>
      <c r="O3836" s="1"/>
      <c r="V3836" s="1"/>
      <c r="AC3836" s="1"/>
      <c r="AJ3836" s="1"/>
      <c r="AQ3836" s="1"/>
      <c r="AX3836" s="1"/>
    </row>
    <row r="3837" spans="1:50" x14ac:dyDescent="0.25">
      <c r="A3837" s="1"/>
      <c r="H3837" s="1"/>
      <c r="O3837" s="1"/>
      <c r="V3837" s="1"/>
      <c r="AC3837" s="1"/>
      <c r="AJ3837" s="1"/>
      <c r="AQ3837" s="1"/>
      <c r="AX3837" s="1"/>
    </row>
    <row r="3838" spans="1:50" x14ac:dyDescent="0.25">
      <c r="A3838" s="1"/>
      <c r="H3838" s="1"/>
      <c r="O3838" s="1"/>
      <c r="V3838" s="1"/>
      <c r="AC3838" s="1"/>
      <c r="AJ3838" s="1"/>
      <c r="AQ3838" s="1"/>
      <c r="AX3838" s="1"/>
    </row>
    <row r="3839" spans="1:50" x14ac:dyDescent="0.25">
      <c r="A3839" s="1"/>
      <c r="H3839" s="1"/>
      <c r="O3839" s="1"/>
      <c r="V3839" s="1"/>
      <c r="AC3839" s="1"/>
      <c r="AJ3839" s="1"/>
      <c r="AQ3839" s="1"/>
      <c r="AX3839" s="1"/>
    </row>
    <row r="3840" spans="1:50" x14ac:dyDescent="0.25">
      <c r="A3840" s="1"/>
      <c r="H3840" s="1"/>
      <c r="O3840" s="1"/>
      <c r="V3840" s="1"/>
      <c r="AC3840" s="1"/>
      <c r="AJ3840" s="1"/>
      <c r="AQ3840" s="1"/>
      <c r="AX3840" s="1"/>
    </row>
    <row r="3841" spans="1:50" x14ac:dyDescent="0.25">
      <c r="A3841" s="1"/>
      <c r="H3841" s="1"/>
      <c r="O3841" s="1"/>
      <c r="V3841" s="1"/>
      <c r="AC3841" s="1"/>
      <c r="AJ3841" s="1"/>
      <c r="AQ3841" s="1"/>
      <c r="AX3841" s="1"/>
    </row>
    <row r="3842" spans="1:50" x14ac:dyDescent="0.25">
      <c r="A3842" s="1"/>
      <c r="H3842" s="1"/>
      <c r="O3842" s="1"/>
      <c r="V3842" s="1"/>
      <c r="AC3842" s="1"/>
      <c r="AJ3842" s="1"/>
      <c r="AQ3842" s="1"/>
      <c r="AX3842" s="1"/>
    </row>
    <row r="3843" spans="1:50" x14ac:dyDescent="0.25">
      <c r="A3843" s="1"/>
      <c r="H3843" s="1"/>
      <c r="O3843" s="1"/>
      <c r="V3843" s="1"/>
      <c r="AC3843" s="1"/>
      <c r="AJ3843" s="1"/>
      <c r="AQ3843" s="1"/>
      <c r="AX3843" s="1"/>
    </row>
    <row r="3844" spans="1:50" x14ac:dyDescent="0.25">
      <c r="A3844" s="1"/>
      <c r="H3844" s="1"/>
      <c r="O3844" s="1"/>
      <c r="V3844" s="1"/>
      <c r="AC3844" s="1"/>
      <c r="AJ3844" s="1"/>
      <c r="AQ3844" s="1"/>
      <c r="AX3844" s="1"/>
    </row>
    <row r="3845" spans="1:50" x14ac:dyDescent="0.25">
      <c r="A3845" s="1"/>
      <c r="H3845" s="1"/>
      <c r="O3845" s="1"/>
      <c r="V3845" s="1"/>
      <c r="AC3845" s="1"/>
      <c r="AJ3845" s="1"/>
      <c r="AQ3845" s="1"/>
      <c r="AX3845" s="1"/>
    </row>
    <row r="3846" spans="1:50" x14ac:dyDescent="0.25">
      <c r="A3846" s="1"/>
      <c r="H3846" s="1"/>
      <c r="O3846" s="1"/>
      <c r="V3846" s="1"/>
      <c r="AC3846" s="1"/>
      <c r="AJ3846" s="1"/>
      <c r="AQ3846" s="1"/>
      <c r="AX3846" s="1"/>
    </row>
    <row r="3847" spans="1:50" x14ac:dyDescent="0.25">
      <c r="A3847" s="1"/>
      <c r="H3847" s="1"/>
      <c r="O3847" s="1"/>
      <c r="V3847" s="1"/>
      <c r="AC3847" s="1"/>
      <c r="AJ3847" s="1"/>
      <c r="AQ3847" s="1"/>
      <c r="AX3847" s="1"/>
    </row>
    <row r="3848" spans="1:50" x14ac:dyDescent="0.25">
      <c r="A3848" s="1"/>
      <c r="H3848" s="1"/>
      <c r="O3848" s="1"/>
      <c r="V3848" s="1"/>
      <c r="AC3848" s="1"/>
      <c r="AJ3848" s="1"/>
      <c r="AQ3848" s="1"/>
      <c r="AX3848" s="1"/>
    </row>
    <row r="3849" spans="1:50" x14ac:dyDescent="0.25">
      <c r="A3849" s="1"/>
      <c r="H3849" s="1"/>
      <c r="O3849" s="1"/>
      <c r="V3849" s="1"/>
      <c r="AC3849" s="1"/>
      <c r="AJ3849" s="1"/>
      <c r="AQ3849" s="1"/>
      <c r="AX3849" s="1"/>
    </row>
    <row r="3850" spans="1:50" x14ac:dyDescent="0.25">
      <c r="A3850" s="1"/>
      <c r="H3850" s="1"/>
      <c r="O3850" s="1"/>
      <c r="V3850" s="1"/>
      <c r="AC3850" s="1"/>
      <c r="AJ3850" s="1"/>
      <c r="AQ3850" s="1"/>
      <c r="AX3850" s="1"/>
    </row>
    <row r="3851" spans="1:50" x14ac:dyDescent="0.25">
      <c r="A3851" s="1"/>
      <c r="H3851" s="1"/>
      <c r="O3851" s="1"/>
      <c r="V3851" s="1"/>
      <c r="AC3851" s="1"/>
      <c r="AJ3851" s="1"/>
      <c r="AQ3851" s="1"/>
      <c r="AX3851" s="1"/>
    </row>
    <row r="3852" spans="1:50" x14ac:dyDescent="0.25">
      <c r="A3852" s="1"/>
      <c r="H3852" s="1"/>
      <c r="O3852" s="1"/>
      <c r="V3852" s="1"/>
      <c r="AC3852" s="1"/>
      <c r="AJ3852" s="1"/>
      <c r="AQ3852" s="1"/>
      <c r="AX3852" s="1"/>
    </row>
    <row r="3853" spans="1:50" x14ac:dyDescent="0.25">
      <c r="A3853" s="1"/>
      <c r="H3853" s="1"/>
      <c r="O3853" s="1"/>
      <c r="V3853" s="1"/>
      <c r="AC3853" s="1"/>
      <c r="AJ3853" s="1"/>
      <c r="AQ3853" s="1"/>
      <c r="AX3853" s="1"/>
    </row>
    <row r="3854" spans="1:50" x14ac:dyDescent="0.25">
      <c r="A3854" s="1"/>
      <c r="H3854" s="1"/>
      <c r="O3854" s="1"/>
      <c r="V3854" s="1"/>
      <c r="AC3854" s="1"/>
      <c r="AJ3854" s="1"/>
      <c r="AQ3854" s="1"/>
      <c r="AX3854" s="1"/>
    </row>
    <row r="3855" spans="1:50" x14ac:dyDescent="0.25">
      <c r="A3855" s="1"/>
      <c r="H3855" s="1"/>
      <c r="O3855" s="1"/>
      <c r="V3855" s="1"/>
      <c r="AC3855" s="1"/>
      <c r="AJ3855" s="1"/>
      <c r="AQ3855" s="1"/>
      <c r="AX3855" s="1"/>
    </row>
    <row r="3856" spans="1:50" x14ac:dyDescent="0.25">
      <c r="A3856" s="1"/>
      <c r="H3856" s="1"/>
      <c r="O3856" s="1"/>
      <c r="V3856" s="1"/>
      <c r="AC3856" s="1"/>
      <c r="AJ3856" s="1"/>
      <c r="AQ3856" s="1"/>
      <c r="AX3856" s="1"/>
    </row>
    <row r="3857" spans="1:50" x14ac:dyDescent="0.25">
      <c r="A3857" s="1"/>
      <c r="H3857" s="1"/>
      <c r="O3857" s="1"/>
      <c r="V3857" s="1"/>
      <c r="AC3857" s="1"/>
      <c r="AJ3857" s="1"/>
      <c r="AQ3857" s="1"/>
      <c r="AX3857" s="1"/>
    </row>
    <row r="3858" spans="1:50" x14ac:dyDescent="0.25">
      <c r="A3858" s="1"/>
      <c r="H3858" s="1"/>
      <c r="O3858" s="1"/>
      <c r="V3858" s="1"/>
      <c r="AC3858" s="1"/>
      <c r="AJ3858" s="1"/>
      <c r="AQ3858" s="1"/>
      <c r="AX3858" s="1"/>
    </row>
    <row r="3859" spans="1:50" x14ac:dyDescent="0.25">
      <c r="A3859" s="1"/>
      <c r="H3859" s="1"/>
      <c r="O3859" s="1"/>
      <c r="V3859" s="1"/>
      <c r="AC3859" s="1"/>
      <c r="AJ3859" s="1"/>
      <c r="AQ3859" s="1"/>
      <c r="AX3859" s="1"/>
    </row>
    <row r="3860" spans="1:50" x14ac:dyDescent="0.25">
      <c r="A3860" s="1"/>
      <c r="H3860" s="1"/>
      <c r="O3860" s="1"/>
      <c r="V3860" s="1"/>
      <c r="AC3860" s="1"/>
      <c r="AJ3860" s="1"/>
      <c r="AQ3860" s="1"/>
      <c r="AX3860" s="1"/>
    </row>
    <row r="3861" spans="1:50" x14ac:dyDescent="0.25">
      <c r="A3861" s="1"/>
      <c r="H3861" s="1"/>
      <c r="O3861" s="1"/>
      <c r="V3861" s="1"/>
      <c r="AC3861" s="1"/>
      <c r="AJ3861" s="1"/>
      <c r="AQ3861" s="1"/>
      <c r="AX3861" s="1"/>
    </row>
    <row r="3862" spans="1:50" x14ac:dyDescent="0.25">
      <c r="A3862" s="1"/>
      <c r="H3862" s="1"/>
      <c r="O3862" s="1"/>
      <c r="V3862" s="1"/>
      <c r="AC3862" s="1"/>
      <c r="AJ3862" s="1"/>
      <c r="AQ3862" s="1"/>
      <c r="AX3862" s="1"/>
    </row>
    <row r="3863" spans="1:50" x14ac:dyDescent="0.25">
      <c r="A3863" s="1"/>
      <c r="H3863" s="1"/>
      <c r="O3863" s="1"/>
      <c r="V3863" s="1"/>
      <c r="AC3863" s="1"/>
      <c r="AJ3863" s="1"/>
      <c r="AQ3863" s="1"/>
      <c r="AX3863" s="1"/>
    </row>
    <row r="3864" spans="1:50" x14ac:dyDescent="0.25">
      <c r="A3864" s="1"/>
      <c r="H3864" s="1"/>
      <c r="O3864" s="1"/>
      <c r="V3864" s="1"/>
      <c r="AC3864" s="1"/>
      <c r="AJ3864" s="1"/>
      <c r="AQ3864" s="1"/>
      <c r="AX3864" s="1"/>
    </row>
    <row r="3865" spans="1:50" x14ac:dyDescent="0.25">
      <c r="A3865" s="1"/>
      <c r="H3865" s="1"/>
      <c r="O3865" s="1"/>
      <c r="V3865" s="1"/>
      <c r="AC3865" s="1"/>
      <c r="AJ3865" s="1"/>
      <c r="AQ3865" s="1"/>
      <c r="AX3865" s="1"/>
    </row>
    <row r="3866" spans="1:50" x14ac:dyDescent="0.25">
      <c r="A3866" s="1"/>
      <c r="H3866" s="1"/>
      <c r="O3866" s="1"/>
      <c r="V3866" s="1"/>
      <c r="AC3866" s="1"/>
      <c r="AJ3866" s="1"/>
      <c r="AQ3866" s="1"/>
      <c r="AX3866" s="1"/>
    </row>
    <row r="3867" spans="1:50" x14ac:dyDescent="0.25">
      <c r="A3867" s="1"/>
      <c r="H3867" s="1"/>
      <c r="O3867" s="1"/>
      <c r="V3867" s="1"/>
      <c r="AC3867" s="1"/>
      <c r="AJ3867" s="1"/>
      <c r="AQ3867" s="1"/>
      <c r="AX3867" s="1"/>
    </row>
    <row r="3868" spans="1:50" x14ac:dyDescent="0.25">
      <c r="A3868" s="1"/>
      <c r="H3868" s="1"/>
      <c r="O3868" s="1"/>
      <c r="V3868" s="1"/>
      <c r="AC3868" s="1"/>
      <c r="AJ3868" s="1"/>
      <c r="AQ3868" s="1"/>
      <c r="AX3868" s="1"/>
    </row>
    <row r="3869" spans="1:50" x14ac:dyDescent="0.25">
      <c r="A3869" s="1"/>
      <c r="H3869" s="1"/>
      <c r="O3869" s="1"/>
      <c r="V3869" s="1"/>
      <c r="AC3869" s="1"/>
      <c r="AJ3869" s="1"/>
      <c r="AQ3869" s="1"/>
      <c r="AX3869" s="1"/>
    </row>
    <row r="3870" spans="1:50" x14ac:dyDescent="0.25">
      <c r="A3870" s="1"/>
      <c r="H3870" s="1"/>
      <c r="O3870" s="1"/>
      <c r="V3870" s="1"/>
      <c r="AC3870" s="1"/>
      <c r="AJ3870" s="1"/>
      <c r="AQ3870" s="1"/>
      <c r="AX3870" s="1"/>
    </row>
    <row r="3871" spans="1:50" x14ac:dyDescent="0.25">
      <c r="A3871" s="1"/>
      <c r="H3871" s="1"/>
      <c r="O3871" s="1"/>
      <c r="V3871" s="1"/>
      <c r="AC3871" s="1"/>
      <c r="AJ3871" s="1"/>
      <c r="AQ3871" s="1"/>
      <c r="AX3871" s="1"/>
    </row>
    <row r="3872" spans="1:50" x14ac:dyDescent="0.25">
      <c r="A3872" s="1"/>
      <c r="H3872" s="1"/>
      <c r="O3872" s="1"/>
      <c r="V3872" s="1"/>
      <c r="AC3872" s="1"/>
      <c r="AJ3872" s="1"/>
      <c r="AQ3872" s="1"/>
      <c r="AX3872" s="1"/>
    </row>
    <row r="3873" spans="1:50" x14ac:dyDescent="0.25">
      <c r="A3873" s="1"/>
      <c r="H3873" s="1"/>
      <c r="O3873" s="1"/>
      <c r="V3873" s="1"/>
      <c r="AC3873" s="1"/>
      <c r="AJ3873" s="1"/>
      <c r="AQ3873" s="1"/>
      <c r="AX3873" s="1"/>
    </row>
    <row r="3874" spans="1:50" x14ac:dyDescent="0.25">
      <c r="A3874" s="1"/>
      <c r="H3874" s="1"/>
      <c r="O3874" s="1"/>
      <c r="V3874" s="1"/>
      <c r="AC3874" s="1"/>
      <c r="AJ3874" s="1"/>
      <c r="AQ3874" s="1"/>
      <c r="AX3874" s="1"/>
    </row>
    <row r="3875" spans="1:50" x14ac:dyDescent="0.25">
      <c r="A3875" s="1"/>
      <c r="H3875" s="1"/>
      <c r="O3875" s="1"/>
      <c r="V3875" s="1"/>
      <c r="AC3875" s="1"/>
      <c r="AJ3875" s="1"/>
      <c r="AQ3875" s="1"/>
      <c r="AX3875" s="1"/>
    </row>
    <row r="3876" spans="1:50" x14ac:dyDescent="0.25">
      <c r="A3876" s="1"/>
      <c r="H3876" s="1"/>
      <c r="O3876" s="1"/>
      <c r="V3876" s="1"/>
      <c r="AC3876" s="1"/>
      <c r="AJ3876" s="1"/>
      <c r="AQ3876" s="1"/>
      <c r="AX3876" s="1"/>
    </row>
    <row r="3877" spans="1:50" x14ac:dyDescent="0.25">
      <c r="A3877" s="1"/>
      <c r="H3877" s="1"/>
      <c r="O3877" s="1"/>
      <c r="V3877" s="1"/>
      <c r="AC3877" s="1"/>
      <c r="AJ3877" s="1"/>
      <c r="AQ3877" s="1"/>
      <c r="AX3877" s="1"/>
    </row>
    <row r="3878" spans="1:50" x14ac:dyDescent="0.25">
      <c r="A3878" s="1"/>
      <c r="H3878" s="1"/>
      <c r="O3878" s="1"/>
      <c r="V3878" s="1"/>
      <c r="AC3878" s="1"/>
      <c r="AJ3878" s="1"/>
      <c r="AQ3878" s="1"/>
      <c r="AX3878" s="1"/>
    </row>
    <row r="3879" spans="1:50" x14ac:dyDescent="0.25">
      <c r="A3879" s="1"/>
      <c r="H3879" s="1"/>
      <c r="O3879" s="1"/>
      <c r="V3879" s="1"/>
      <c r="AC3879" s="1"/>
      <c r="AJ3879" s="1"/>
      <c r="AQ3879" s="1"/>
      <c r="AX3879" s="1"/>
    </row>
    <row r="3880" spans="1:50" x14ac:dyDescent="0.25">
      <c r="A3880" s="1"/>
      <c r="H3880" s="1"/>
      <c r="O3880" s="1"/>
      <c r="V3880" s="1"/>
      <c r="AC3880" s="1"/>
      <c r="AJ3880" s="1"/>
      <c r="AQ3880" s="1"/>
      <c r="AX3880" s="1"/>
    </row>
    <row r="3881" spans="1:50" x14ac:dyDescent="0.25">
      <c r="A3881" s="1"/>
      <c r="H3881" s="1"/>
      <c r="O3881" s="1"/>
      <c r="V3881" s="1"/>
      <c r="AC3881" s="1"/>
      <c r="AJ3881" s="1"/>
      <c r="AQ3881" s="1"/>
      <c r="AX3881" s="1"/>
    </row>
    <row r="3882" spans="1:50" x14ac:dyDescent="0.25">
      <c r="A3882" s="1"/>
      <c r="H3882" s="1"/>
      <c r="O3882" s="1"/>
      <c r="V3882" s="1"/>
      <c r="AC3882" s="1"/>
      <c r="AJ3882" s="1"/>
      <c r="AQ3882" s="1"/>
      <c r="AX3882" s="1"/>
    </row>
    <row r="3883" spans="1:50" x14ac:dyDescent="0.25">
      <c r="A3883" s="1"/>
      <c r="H3883" s="1"/>
      <c r="O3883" s="1"/>
      <c r="V3883" s="1"/>
      <c r="AC3883" s="1"/>
      <c r="AJ3883" s="1"/>
      <c r="AQ3883" s="1"/>
      <c r="AX3883" s="1"/>
    </row>
    <row r="3884" spans="1:50" x14ac:dyDescent="0.25">
      <c r="A3884" s="1"/>
      <c r="H3884" s="1"/>
      <c r="O3884" s="1"/>
      <c r="V3884" s="1"/>
      <c r="AC3884" s="1"/>
      <c r="AJ3884" s="1"/>
      <c r="AQ3884" s="1"/>
      <c r="AX3884" s="1"/>
    </row>
    <row r="3885" spans="1:50" x14ac:dyDescent="0.25">
      <c r="A3885" s="1"/>
      <c r="H3885" s="1"/>
      <c r="O3885" s="1"/>
      <c r="V3885" s="1"/>
      <c r="AC3885" s="1"/>
      <c r="AJ3885" s="1"/>
      <c r="AQ3885" s="1"/>
      <c r="AX3885" s="1"/>
    </row>
    <row r="3886" spans="1:50" x14ac:dyDescent="0.25">
      <c r="A3886" s="1"/>
      <c r="H3886" s="1"/>
      <c r="O3886" s="1"/>
      <c r="V3886" s="1"/>
      <c r="AC3886" s="1"/>
      <c r="AJ3886" s="1"/>
      <c r="AQ3886" s="1"/>
      <c r="AX3886" s="1"/>
    </row>
    <row r="3887" spans="1:50" x14ac:dyDescent="0.25">
      <c r="A3887" s="1"/>
      <c r="H3887" s="1"/>
      <c r="O3887" s="1"/>
      <c r="V3887" s="1"/>
      <c r="AC3887" s="1"/>
      <c r="AJ3887" s="1"/>
      <c r="AQ3887" s="1"/>
      <c r="AX3887" s="1"/>
    </row>
    <row r="3888" spans="1:50" x14ac:dyDescent="0.25">
      <c r="A3888" s="1"/>
      <c r="H3888" s="1"/>
      <c r="O3888" s="1"/>
      <c r="V3888" s="1"/>
      <c r="AC3888" s="1"/>
      <c r="AJ3888" s="1"/>
      <c r="AQ3888" s="1"/>
      <c r="AX3888" s="1"/>
    </row>
    <row r="3889" spans="1:50" x14ac:dyDescent="0.25">
      <c r="A3889" s="1"/>
      <c r="H3889" s="1"/>
      <c r="O3889" s="1"/>
      <c r="V3889" s="1"/>
      <c r="AC3889" s="1"/>
      <c r="AJ3889" s="1"/>
      <c r="AQ3889" s="1"/>
      <c r="AX3889" s="1"/>
    </row>
    <row r="3890" spans="1:50" x14ac:dyDescent="0.25">
      <c r="A3890" s="1"/>
      <c r="H3890" s="1"/>
      <c r="O3890" s="1"/>
      <c r="V3890" s="1"/>
      <c r="AC3890" s="1"/>
      <c r="AJ3890" s="1"/>
      <c r="AQ3890" s="1"/>
      <c r="AX3890" s="1"/>
    </row>
    <row r="3891" spans="1:50" x14ac:dyDescent="0.25">
      <c r="A3891" s="1"/>
      <c r="H3891" s="1"/>
      <c r="O3891" s="1"/>
      <c r="V3891" s="1"/>
      <c r="AC3891" s="1"/>
      <c r="AJ3891" s="1"/>
      <c r="AQ3891" s="1"/>
      <c r="AX3891" s="1"/>
    </row>
    <row r="3892" spans="1:50" x14ac:dyDescent="0.25">
      <c r="A3892" s="1"/>
      <c r="H3892" s="1"/>
      <c r="O3892" s="1"/>
      <c r="V3892" s="1"/>
      <c r="AC3892" s="1"/>
      <c r="AJ3892" s="1"/>
      <c r="AQ3892" s="1"/>
      <c r="AX3892" s="1"/>
    </row>
    <row r="3893" spans="1:50" x14ac:dyDescent="0.25">
      <c r="A3893" s="1"/>
      <c r="H3893" s="1"/>
      <c r="O3893" s="1"/>
      <c r="V3893" s="1"/>
      <c r="AC3893" s="1"/>
      <c r="AJ3893" s="1"/>
      <c r="AQ3893" s="1"/>
      <c r="AX3893" s="1"/>
    </row>
    <row r="3894" spans="1:50" x14ac:dyDescent="0.25">
      <c r="A3894" s="1"/>
      <c r="H3894" s="1"/>
      <c r="O3894" s="1"/>
      <c r="V3894" s="1"/>
      <c r="AC3894" s="1"/>
      <c r="AJ3894" s="1"/>
      <c r="AQ3894" s="1"/>
      <c r="AX3894" s="1"/>
    </row>
    <row r="3895" spans="1:50" x14ac:dyDescent="0.25">
      <c r="A3895" s="1"/>
      <c r="H3895" s="1"/>
      <c r="O3895" s="1"/>
      <c r="V3895" s="1"/>
      <c r="AC3895" s="1"/>
      <c r="AJ3895" s="1"/>
      <c r="AQ3895" s="1"/>
      <c r="AX3895" s="1"/>
    </row>
    <row r="3896" spans="1:50" x14ac:dyDescent="0.25">
      <c r="A3896" s="1"/>
      <c r="H3896" s="1"/>
      <c r="O3896" s="1"/>
      <c r="V3896" s="1"/>
      <c r="AC3896" s="1"/>
      <c r="AJ3896" s="1"/>
      <c r="AQ3896" s="1"/>
      <c r="AX3896" s="1"/>
    </row>
    <row r="3897" spans="1:50" x14ac:dyDescent="0.25">
      <c r="A3897" s="1"/>
      <c r="H3897" s="1"/>
      <c r="O3897" s="1"/>
      <c r="V3897" s="1"/>
      <c r="AC3897" s="1"/>
      <c r="AJ3897" s="1"/>
      <c r="AQ3897" s="1"/>
      <c r="AX3897" s="1"/>
    </row>
    <row r="3898" spans="1:50" x14ac:dyDescent="0.25">
      <c r="A3898" s="1"/>
      <c r="H3898" s="1"/>
      <c r="O3898" s="1"/>
      <c r="V3898" s="1"/>
      <c r="AC3898" s="1"/>
      <c r="AJ3898" s="1"/>
      <c r="AQ3898" s="1"/>
      <c r="AX3898" s="1"/>
    </row>
    <row r="3899" spans="1:50" x14ac:dyDescent="0.25">
      <c r="A3899" s="1"/>
      <c r="H3899" s="1"/>
      <c r="O3899" s="1"/>
      <c r="V3899" s="1"/>
      <c r="AC3899" s="1"/>
      <c r="AJ3899" s="1"/>
      <c r="AQ3899" s="1"/>
      <c r="AX3899" s="1"/>
    </row>
    <row r="3900" spans="1:50" x14ac:dyDescent="0.25">
      <c r="A3900" s="1"/>
      <c r="H3900" s="1"/>
      <c r="O3900" s="1"/>
      <c r="V3900" s="1"/>
      <c r="AC3900" s="1"/>
      <c r="AJ3900" s="1"/>
      <c r="AQ3900" s="1"/>
      <c r="AX3900" s="1"/>
    </row>
    <row r="3901" spans="1:50" x14ac:dyDescent="0.25">
      <c r="A3901" s="1"/>
      <c r="H3901" s="1"/>
      <c r="O3901" s="1"/>
      <c r="V3901" s="1"/>
      <c r="AC3901" s="1"/>
      <c r="AJ3901" s="1"/>
      <c r="AQ3901" s="1"/>
      <c r="AX3901" s="1"/>
    </row>
    <row r="3902" spans="1:50" x14ac:dyDescent="0.25">
      <c r="A3902" s="1"/>
      <c r="H3902" s="1"/>
      <c r="O3902" s="1"/>
      <c r="V3902" s="1"/>
      <c r="AC3902" s="1"/>
      <c r="AJ3902" s="1"/>
      <c r="AQ3902" s="1"/>
      <c r="AX3902" s="1"/>
    </row>
    <row r="3903" spans="1:50" x14ac:dyDescent="0.25">
      <c r="A3903" s="1"/>
      <c r="H3903" s="1"/>
      <c r="O3903" s="1"/>
      <c r="V3903" s="1"/>
      <c r="AC3903" s="1"/>
      <c r="AJ3903" s="1"/>
      <c r="AQ3903" s="1"/>
      <c r="AX3903" s="1"/>
    </row>
    <row r="3904" spans="1:50" x14ac:dyDescent="0.25">
      <c r="A3904" s="1"/>
      <c r="H3904" s="1"/>
      <c r="O3904" s="1"/>
      <c r="V3904" s="1"/>
      <c r="AC3904" s="1"/>
      <c r="AJ3904" s="1"/>
      <c r="AQ3904" s="1"/>
      <c r="AX3904" s="1"/>
    </row>
    <row r="3905" spans="1:50" x14ac:dyDescent="0.25">
      <c r="A3905" s="1"/>
      <c r="H3905" s="1"/>
      <c r="O3905" s="1"/>
      <c r="V3905" s="1"/>
      <c r="AC3905" s="1"/>
      <c r="AJ3905" s="1"/>
      <c r="AQ3905" s="1"/>
      <c r="AX3905" s="1"/>
    </row>
    <row r="3906" spans="1:50" x14ac:dyDescent="0.25">
      <c r="A3906" s="1"/>
      <c r="H3906" s="1"/>
      <c r="O3906" s="1"/>
      <c r="V3906" s="1"/>
      <c r="AC3906" s="1"/>
      <c r="AJ3906" s="1"/>
      <c r="AQ3906" s="1"/>
      <c r="AX3906" s="1"/>
    </row>
    <row r="3907" spans="1:50" x14ac:dyDescent="0.25">
      <c r="A3907" s="1"/>
      <c r="H3907" s="1"/>
      <c r="O3907" s="1"/>
      <c r="V3907" s="1"/>
      <c r="AC3907" s="1"/>
      <c r="AJ3907" s="1"/>
      <c r="AQ3907" s="1"/>
      <c r="AX3907" s="1"/>
    </row>
    <row r="3908" spans="1:50" x14ac:dyDescent="0.25">
      <c r="A3908" s="1"/>
      <c r="H3908" s="1"/>
      <c r="O3908" s="1"/>
      <c r="V3908" s="1"/>
      <c r="AC3908" s="1"/>
      <c r="AJ3908" s="1"/>
      <c r="AQ3908" s="1"/>
      <c r="AX3908" s="1"/>
    </row>
    <row r="3909" spans="1:50" x14ac:dyDescent="0.25">
      <c r="A3909" s="1"/>
      <c r="H3909" s="1"/>
      <c r="O3909" s="1"/>
      <c r="V3909" s="1"/>
      <c r="AC3909" s="1"/>
      <c r="AJ3909" s="1"/>
      <c r="AQ3909" s="1"/>
      <c r="AX3909" s="1"/>
    </row>
    <row r="3910" spans="1:50" x14ac:dyDescent="0.25">
      <c r="A3910" s="1"/>
      <c r="H3910" s="1"/>
      <c r="O3910" s="1"/>
      <c r="V3910" s="1"/>
      <c r="AC3910" s="1"/>
      <c r="AJ3910" s="1"/>
      <c r="AQ3910" s="1"/>
      <c r="AX3910" s="1"/>
    </row>
    <row r="3911" spans="1:50" x14ac:dyDescent="0.25">
      <c r="A3911" s="1"/>
      <c r="H3911" s="1"/>
      <c r="O3911" s="1"/>
      <c r="V3911" s="1"/>
      <c r="AC3911" s="1"/>
      <c r="AJ3911" s="1"/>
      <c r="AQ3911" s="1"/>
      <c r="AX3911" s="1"/>
    </row>
    <row r="3912" spans="1:50" x14ac:dyDescent="0.25">
      <c r="A3912" s="1"/>
      <c r="H3912" s="1"/>
      <c r="O3912" s="1"/>
      <c r="V3912" s="1"/>
      <c r="AC3912" s="1"/>
      <c r="AJ3912" s="1"/>
      <c r="AQ3912" s="1"/>
      <c r="AX3912" s="1"/>
    </row>
    <row r="3913" spans="1:50" x14ac:dyDescent="0.25">
      <c r="A3913" s="1"/>
      <c r="H3913" s="1"/>
      <c r="O3913" s="1"/>
      <c r="V3913" s="1"/>
      <c r="AC3913" s="1"/>
      <c r="AJ3913" s="1"/>
      <c r="AQ3913" s="1"/>
      <c r="AX3913" s="1"/>
    </row>
    <row r="3914" spans="1:50" x14ac:dyDescent="0.25">
      <c r="A3914" s="1"/>
      <c r="H3914" s="1"/>
      <c r="O3914" s="1"/>
      <c r="V3914" s="1"/>
      <c r="AC3914" s="1"/>
      <c r="AJ3914" s="1"/>
      <c r="AQ3914" s="1"/>
      <c r="AX3914" s="1"/>
    </row>
    <row r="3915" spans="1:50" x14ac:dyDescent="0.25">
      <c r="A3915" s="1"/>
      <c r="H3915" s="1"/>
      <c r="O3915" s="1"/>
      <c r="V3915" s="1"/>
      <c r="AC3915" s="1"/>
      <c r="AJ3915" s="1"/>
      <c r="AQ3915" s="1"/>
      <c r="AX3915" s="1"/>
    </row>
    <row r="3916" spans="1:50" x14ac:dyDescent="0.25">
      <c r="A3916" s="1"/>
      <c r="H3916" s="1"/>
      <c r="O3916" s="1"/>
      <c r="V3916" s="1"/>
      <c r="AC3916" s="1"/>
      <c r="AJ3916" s="1"/>
      <c r="AQ3916" s="1"/>
      <c r="AX3916" s="1"/>
    </row>
    <row r="3917" spans="1:50" x14ac:dyDescent="0.25">
      <c r="A3917" s="1"/>
      <c r="H3917" s="1"/>
      <c r="O3917" s="1"/>
      <c r="V3917" s="1"/>
      <c r="AC3917" s="1"/>
      <c r="AJ3917" s="1"/>
      <c r="AQ3917" s="1"/>
      <c r="AX3917" s="1"/>
    </row>
    <row r="3918" spans="1:50" x14ac:dyDescent="0.25">
      <c r="A3918" s="1"/>
      <c r="H3918" s="1"/>
      <c r="O3918" s="1"/>
      <c r="V3918" s="1"/>
      <c r="AC3918" s="1"/>
      <c r="AJ3918" s="1"/>
      <c r="AQ3918" s="1"/>
      <c r="AX3918" s="1"/>
    </row>
    <row r="3919" spans="1:50" x14ac:dyDescent="0.25">
      <c r="A3919" s="1"/>
      <c r="H3919" s="1"/>
      <c r="O3919" s="1"/>
      <c r="V3919" s="1"/>
      <c r="AC3919" s="1"/>
      <c r="AJ3919" s="1"/>
      <c r="AQ3919" s="1"/>
      <c r="AX3919" s="1"/>
    </row>
    <row r="3920" spans="1:50" x14ac:dyDescent="0.25">
      <c r="A3920" s="1"/>
      <c r="H3920" s="1"/>
      <c r="O3920" s="1"/>
      <c r="V3920" s="1"/>
      <c r="AC3920" s="1"/>
      <c r="AJ3920" s="1"/>
      <c r="AQ3920" s="1"/>
      <c r="AX3920" s="1"/>
    </row>
    <row r="3921" spans="1:50" x14ac:dyDescent="0.25">
      <c r="A3921" s="1"/>
      <c r="H3921" s="1"/>
      <c r="O3921" s="1"/>
      <c r="V3921" s="1"/>
      <c r="AC3921" s="1"/>
      <c r="AJ3921" s="1"/>
      <c r="AQ3921" s="1"/>
      <c r="AX3921" s="1"/>
    </row>
    <row r="3922" spans="1:50" x14ac:dyDescent="0.25">
      <c r="A3922" s="1"/>
      <c r="H3922" s="1"/>
      <c r="O3922" s="1"/>
      <c r="V3922" s="1"/>
      <c r="AC3922" s="1"/>
      <c r="AJ3922" s="1"/>
      <c r="AQ3922" s="1"/>
      <c r="AX3922" s="1"/>
    </row>
    <row r="3923" spans="1:50" x14ac:dyDescent="0.25">
      <c r="A3923" s="1"/>
      <c r="H3923" s="1"/>
      <c r="O3923" s="1"/>
      <c r="V3923" s="1"/>
      <c r="AC3923" s="1"/>
      <c r="AJ3923" s="1"/>
      <c r="AQ3923" s="1"/>
      <c r="AX3923" s="1"/>
    </row>
    <row r="3924" spans="1:50" x14ac:dyDescent="0.25">
      <c r="A3924" s="1"/>
      <c r="H3924" s="1"/>
      <c r="O3924" s="1"/>
      <c r="V3924" s="1"/>
      <c r="AC3924" s="1"/>
      <c r="AJ3924" s="1"/>
      <c r="AQ3924" s="1"/>
      <c r="AX3924" s="1"/>
    </row>
    <row r="3925" spans="1:50" x14ac:dyDescent="0.25">
      <c r="A3925" s="1"/>
      <c r="H3925" s="1"/>
      <c r="O3925" s="1"/>
      <c r="V3925" s="1"/>
      <c r="AC3925" s="1"/>
      <c r="AJ3925" s="1"/>
      <c r="AQ3925" s="1"/>
      <c r="AX3925" s="1"/>
    </row>
    <row r="3926" spans="1:50" x14ac:dyDescent="0.25">
      <c r="A3926" s="1"/>
      <c r="H3926" s="1"/>
      <c r="O3926" s="1"/>
      <c r="V3926" s="1"/>
      <c r="AC3926" s="1"/>
      <c r="AJ3926" s="1"/>
      <c r="AQ3926" s="1"/>
      <c r="AX3926" s="1"/>
    </row>
    <row r="3927" spans="1:50" x14ac:dyDescent="0.25">
      <c r="A3927" s="1"/>
      <c r="H3927" s="1"/>
      <c r="O3927" s="1"/>
      <c r="V3927" s="1"/>
      <c r="AC3927" s="1"/>
      <c r="AJ3927" s="1"/>
      <c r="AQ3927" s="1"/>
      <c r="AX3927" s="1"/>
    </row>
    <row r="3928" spans="1:50" x14ac:dyDescent="0.25">
      <c r="A3928" s="1"/>
      <c r="H3928" s="1"/>
      <c r="O3928" s="1"/>
      <c r="V3928" s="1"/>
      <c r="AC3928" s="1"/>
      <c r="AJ3928" s="1"/>
      <c r="AQ3928" s="1"/>
      <c r="AX3928" s="1"/>
    </row>
    <row r="3929" spans="1:50" x14ac:dyDescent="0.25">
      <c r="A3929" s="1"/>
      <c r="H3929" s="1"/>
      <c r="O3929" s="1"/>
      <c r="V3929" s="1"/>
      <c r="AC3929" s="1"/>
      <c r="AJ3929" s="1"/>
      <c r="AQ3929" s="1"/>
      <c r="AX3929" s="1"/>
    </row>
    <row r="3930" spans="1:50" x14ac:dyDescent="0.25">
      <c r="A3930" s="1"/>
      <c r="H3930" s="1"/>
      <c r="O3930" s="1"/>
      <c r="V3930" s="1"/>
      <c r="AC3930" s="1"/>
      <c r="AJ3930" s="1"/>
      <c r="AQ3930" s="1"/>
      <c r="AX3930" s="1"/>
    </row>
    <row r="3931" spans="1:50" x14ac:dyDescent="0.25">
      <c r="A3931" s="1"/>
      <c r="H3931" s="1"/>
      <c r="O3931" s="1"/>
      <c r="V3931" s="1"/>
      <c r="AC3931" s="1"/>
      <c r="AJ3931" s="1"/>
      <c r="AQ3931" s="1"/>
      <c r="AX3931" s="1"/>
    </row>
    <row r="3932" spans="1:50" x14ac:dyDescent="0.25">
      <c r="A3932" s="1"/>
      <c r="H3932" s="1"/>
      <c r="O3932" s="1"/>
      <c r="V3932" s="1"/>
      <c r="AC3932" s="1"/>
      <c r="AJ3932" s="1"/>
      <c r="AQ3932" s="1"/>
      <c r="AX3932" s="1"/>
    </row>
    <row r="3933" spans="1:50" x14ac:dyDescent="0.25">
      <c r="A3933" s="1"/>
      <c r="H3933" s="1"/>
      <c r="O3933" s="1"/>
      <c r="V3933" s="1"/>
      <c r="AC3933" s="1"/>
      <c r="AJ3933" s="1"/>
      <c r="AQ3933" s="1"/>
      <c r="AX3933" s="1"/>
    </row>
    <row r="3934" spans="1:50" x14ac:dyDescent="0.25">
      <c r="A3934" s="1"/>
      <c r="H3934" s="1"/>
      <c r="O3934" s="1"/>
      <c r="V3934" s="1"/>
      <c r="AC3934" s="1"/>
      <c r="AJ3934" s="1"/>
      <c r="AQ3934" s="1"/>
      <c r="AX3934" s="1"/>
    </row>
    <row r="3935" spans="1:50" x14ac:dyDescent="0.25">
      <c r="A3935" s="1"/>
      <c r="H3935" s="1"/>
      <c r="O3935" s="1"/>
      <c r="V3935" s="1"/>
      <c r="AC3935" s="1"/>
      <c r="AJ3935" s="1"/>
      <c r="AQ3935" s="1"/>
      <c r="AX3935" s="1"/>
    </row>
    <row r="3936" spans="1:50" x14ac:dyDescent="0.25">
      <c r="A3936" s="1"/>
      <c r="H3936" s="1"/>
      <c r="O3936" s="1"/>
      <c r="V3936" s="1"/>
      <c r="AC3936" s="1"/>
      <c r="AJ3936" s="1"/>
      <c r="AQ3936" s="1"/>
      <c r="AX3936" s="1"/>
    </row>
    <row r="3937" spans="1:50" x14ac:dyDescent="0.25">
      <c r="A3937" s="1"/>
      <c r="H3937" s="1"/>
      <c r="O3937" s="1"/>
      <c r="V3937" s="1"/>
      <c r="AC3937" s="1"/>
      <c r="AJ3937" s="1"/>
      <c r="AQ3937" s="1"/>
      <c r="AX3937" s="1"/>
    </row>
    <row r="3938" spans="1:50" x14ac:dyDescent="0.25">
      <c r="A3938" s="1"/>
      <c r="H3938" s="1"/>
      <c r="O3938" s="1"/>
      <c r="V3938" s="1"/>
      <c r="AC3938" s="1"/>
      <c r="AJ3938" s="1"/>
      <c r="AQ3938" s="1"/>
      <c r="AX3938" s="1"/>
    </row>
    <row r="3939" spans="1:50" x14ac:dyDescent="0.25">
      <c r="A3939" s="1"/>
      <c r="H3939" s="1"/>
      <c r="O3939" s="1"/>
      <c r="V3939" s="1"/>
      <c r="AC3939" s="1"/>
      <c r="AJ3939" s="1"/>
      <c r="AQ3939" s="1"/>
      <c r="AX3939" s="1"/>
    </row>
    <row r="3940" spans="1:50" x14ac:dyDescent="0.25">
      <c r="A3940" s="1"/>
      <c r="H3940" s="1"/>
      <c r="O3940" s="1"/>
      <c r="V3940" s="1"/>
      <c r="AC3940" s="1"/>
      <c r="AJ3940" s="1"/>
      <c r="AQ3940" s="1"/>
      <c r="AX3940" s="1"/>
    </row>
    <row r="3941" spans="1:50" x14ac:dyDescent="0.25">
      <c r="A3941" s="1"/>
      <c r="H3941" s="1"/>
      <c r="O3941" s="1"/>
      <c r="V3941" s="1"/>
      <c r="AC3941" s="1"/>
      <c r="AJ3941" s="1"/>
      <c r="AQ3941" s="1"/>
      <c r="AX3941" s="1"/>
    </row>
    <row r="3942" spans="1:50" x14ac:dyDescent="0.25">
      <c r="A3942" s="1"/>
      <c r="H3942" s="1"/>
      <c r="O3942" s="1"/>
      <c r="V3942" s="1"/>
      <c r="AC3942" s="1"/>
      <c r="AJ3942" s="1"/>
      <c r="AQ3942" s="1"/>
      <c r="AX3942" s="1"/>
    </row>
    <row r="3943" spans="1:50" x14ac:dyDescent="0.25">
      <c r="A3943" s="1"/>
      <c r="H3943" s="1"/>
      <c r="O3943" s="1"/>
      <c r="V3943" s="1"/>
      <c r="AC3943" s="1"/>
      <c r="AJ3943" s="1"/>
      <c r="AQ3943" s="1"/>
      <c r="AX3943" s="1"/>
    </row>
    <row r="3944" spans="1:50" x14ac:dyDescent="0.25">
      <c r="A3944" s="1"/>
      <c r="H3944" s="1"/>
      <c r="O3944" s="1"/>
      <c r="V3944" s="1"/>
      <c r="AC3944" s="1"/>
      <c r="AJ3944" s="1"/>
      <c r="AQ3944" s="1"/>
      <c r="AX3944" s="1"/>
    </row>
    <row r="3945" spans="1:50" x14ac:dyDescent="0.25">
      <c r="A3945" s="1"/>
      <c r="H3945" s="1"/>
      <c r="O3945" s="1"/>
      <c r="V3945" s="1"/>
      <c r="AC3945" s="1"/>
      <c r="AJ3945" s="1"/>
      <c r="AQ3945" s="1"/>
      <c r="AX3945" s="1"/>
    </row>
    <row r="3946" spans="1:50" x14ac:dyDescent="0.25">
      <c r="A3946" s="1"/>
      <c r="H3946" s="1"/>
      <c r="O3946" s="1"/>
      <c r="V3946" s="1"/>
      <c r="AC3946" s="1"/>
      <c r="AJ3946" s="1"/>
      <c r="AQ3946" s="1"/>
      <c r="AX3946" s="1"/>
    </row>
    <row r="3947" spans="1:50" x14ac:dyDescent="0.25">
      <c r="A3947" s="1"/>
      <c r="H3947" s="1"/>
      <c r="O3947" s="1"/>
      <c r="V3947" s="1"/>
      <c r="AC3947" s="1"/>
      <c r="AJ3947" s="1"/>
      <c r="AQ3947" s="1"/>
      <c r="AX3947" s="1"/>
    </row>
    <row r="3948" spans="1:50" x14ac:dyDescent="0.25">
      <c r="A3948" s="1"/>
      <c r="H3948" s="1"/>
      <c r="O3948" s="1"/>
      <c r="V3948" s="1"/>
      <c r="AC3948" s="1"/>
      <c r="AJ3948" s="1"/>
      <c r="AQ3948" s="1"/>
      <c r="AX3948" s="1"/>
    </row>
    <row r="3949" spans="1:50" x14ac:dyDescent="0.25">
      <c r="A3949" s="1"/>
      <c r="H3949" s="1"/>
      <c r="O3949" s="1"/>
      <c r="V3949" s="1"/>
      <c r="AC3949" s="1"/>
      <c r="AJ3949" s="1"/>
      <c r="AQ3949" s="1"/>
      <c r="AX3949" s="1"/>
    </row>
    <row r="3950" spans="1:50" x14ac:dyDescent="0.25">
      <c r="A3950" s="1"/>
      <c r="H3950" s="1"/>
      <c r="O3950" s="1"/>
      <c r="V3950" s="1"/>
      <c r="AC3950" s="1"/>
      <c r="AJ3950" s="1"/>
      <c r="AQ3950" s="1"/>
      <c r="AX3950" s="1"/>
    </row>
    <row r="3951" spans="1:50" x14ac:dyDescent="0.25">
      <c r="A3951" s="1"/>
      <c r="H3951" s="1"/>
      <c r="O3951" s="1"/>
      <c r="V3951" s="1"/>
      <c r="AC3951" s="1"/>
      <c r="AJ3951" s="1"/>
      <c r="AQ3951" s="1"/>
      <c r="AX3951" s="1"/>
    </row>
    <row r="3952" spans="1:50" x14ac:dyDescent="0.25">
      <c r="A3952" s="1"/>
      <c r="H3952" s="1"/>
      <c r="O3952" s="1"/>
      <c r="V3952" s="1"/>
      <c r="AC3952" s="1"/>
      <c r="AJ3952" s="1"/>
      <c r="AQ3952" s="1"/>
      <c r="AX3952" s="1"/>
    </row>
    <row r="3953" spans="1:50" x14ac:dyDescent="0.25">
      <c r="A3953" s="1"/>
      <c r="H3953" s="1"/>
      <c r="O3953" s="1"/>
      <c r="V3953" s="1"/>
      <c r="AC3953" s="1"/>
      <c r="AJ3953" s="1"/>
      <c r="AQ3953" s="1"/>
      <c r="AX3953" s="1"/>
    </row>
    <row r="3954" spans="1:50" x14ac:dyDescent="0.25">
      <c r="A3954" s="1"/>
      <c r="H3954" s="1"/>
      <c r="O3954" s="1"/>
      <c r="V3954" s="1"/>
      <c r="AC3954" s="1"/>
      <c r="AJ3954" s="1"/>
      <c r="AQ3954" s="1"/>
      <c r="AX3954" s="1"/>
    </row>
    <row r="3955" spans="1:50" x14ac:dyDescent="0.25">
      <c r="A3955" s="1"/>
      <c r="H3955" s="1"/>
      <c r="O3955" s="1"/>
      <c r="V3955" s="1"/>
      <c r="AC3955" s="1"/>
      <c r="AJ3955" s="1"/>
      <c r="AQ3955" s="1"/>
      <c r="AX3955" s="1"/>
    </row>
    <row r="3956" spans="1:50" x14ac:dyDescent="0.25">
      <c r="A3956" s="1"/>
      <c r="H3956" s="1"/>
      <c r="O3956" s="1"/>
      <c r="V3956" s="1"/>
      <c r="AC3956" s="1"/>
      <c r="AJ3956" s="1"/>
      <c r="AQ3956" s="1"/>
      <c r="AX3956" s="1"/>
    </row>
    <row r="3957" spans="1:50" x14ac:dyDescent="0.25">
      <c r="A3957" s="1"/>
      <c r="H3957" s="1"/>
      <c r="O3957" s="1"/>
      <c r="V3957" s="1"/>
      <c r="AC3957" s="1"/>
      <c r="AJ3957" s="1"/>
      <c r="AQ3957" s="1"/>
      <c r="AX3957" s="1"/>
    </row>
    <row r="3958" spans="1:50" x14ac:dyDescent="0.25">
      <c r="A3958" s="1"/>
      <c r="H3958" s="1"/>
      <c r="O3958" s="1"/>
      <c r="V3958" s="1"/>
      <c r="AC3958" s="1"/>
      <c r="AJ3958" s="1"/>
      <c r="AQ3958" s="1"/>
      <c r="AX3958" s="1"/>
    </row>
    <row r="3959" spans="1:50" x14ac:dyDescent="0.25">
      <c r="A3959" s="1"/>
      <c r="H3959" s="1"/>
      <c r="O3959" s="1"/>
      <c r="V3959" s="1"/>
      <c r="AC3959" s="1"/>
      <c r="AJ3959" s="1"/>
      <c r="AQ3959" s="1"/>
      <c r="AX3959" s="1"/>
    </row>
    <row r="3960" spans="1:50" x14ac:dyDescent="0.25">
      <c r="A3960" s="1"/>
      <c r="H3960" s="1"/>
      <c r="O3960" s="1"/>
      <c r="V3960" s="1"/>
      <c r="AC3960" s="1"/>
      <c r="AJ3960" s="1"/>
      <c r="AQ3960" s="1"/>
      <c r="AX3960" s="1"/>
    </row>
    <row r="3961" spans="1:50" x14ac:dyDescent="0.25">
      <c r="A3961" s="1"/>
      <c r="H3961" s="1"/>
      <c r="O3961" s="1"/>
      <c r="V3961" s="1"/>
      <c r="AC3961" s="1"/>
      <c r="AJ3961" s="1"/>
      <c r="AQ3961" s="1"/>
      <c r="AX3961" s="1"/>
    </row>
    <row r="3962" spans="1:50" x14ac:dyDescent="0.25">
      <c r="A3962" s="1"/>
      <c r="H3962" s="1"/>
      <c r="O3962" s="1"/>
      <c r="V3962" s="1"/>
      <c r="AC3962" s="1"/>
      <c r="AJ3962" s="1"/>
      <c r="AQ3962" s="1"/>
      <c r="AX3962" s="1"/>
    </row>
    <row r="3963" spans="1:50" x14ac:dyDescent="0.25">
      <c r="A3963" s="1"/>
      <c r="H3963" s="1"/>
      <c r="O3963" s="1"/>
      <c r="V3963" s="1"/>
      <c r="AC3963" s="1"/>
      <c r="AJ3963" s="1"/>
      <c r="AQ3963" s="1"/>
      <c r="AX3963" s="1"/>
    </row>
    <row r="3964" spans="1:50" x14ac:dyDescent="0.25">
      <c r="A3964" s="1"/>
      <c r="H3964" s="1"/>
      <c r="O3964" s="1"/>
      <c r="V3964" s="1"/>
      <c r="AC3964" s="1"/>
      <c r="AJ3964" s="1"/>
      <c r="AQ3964" s="1"/>
      <c r="AX3964" s="1"/>
    </row>
    <row r="3965" spans="1:50" x14ac:dyDescent="0.25">
      <c r="A3965" s="1"/>
      <c r="H3965" s="1"/>
      <c r="O3965" s="1"/>
      <c r="V3965" s="1"/>
      <c r="AC3965" s="1"/>
      <c r="AJ3965" s="1"/>
      <c r="AQ3965" s="1"/>
      <c r="AX3965" s="1"/>
    </row>
    <row r="3966" spans="1:50" x14ac:dyDescent="0.25">
      <c r="A3966" s="1"/>
      <c r="H3966" s="1"/>
      <c r="O3966" s="1"/>
      <c r="V3966" s="1"/>
      <c r="AC3966" s="1"/>
      <c r="AJ3966" s="1"/>
      <c r="AQ3966" s="1"/>
      <c r="AX3966" s="1"/>
    </row>
    <row r="3967" spans="1:50" x14ac:dyDescent="0.25">
      <c r="A3967" s="1"/>
      <c r="H3967" s="1"/>
      <c r="O3967" s="1"/>
      <c r="V3967" s="1"/>
      <c r="AC3967" s="1"/>
      <c r="AJ3967" s="1"/>
      <c r="AQ3967" s="1"/>
      <c r="AX3967" s="1"/>
    </row>
    <row r="3968" spans="1:50" x14ac:dyDescent="0.25">
      <c r="A3968" s="1"/>
      <c r="H3968" s="1"/>
      <c r="O3968" s="1"/>
      <c r="V3968" s="1"/>
      <c r="AC3968" s="1"/>
      <c r="AJ3968" s="1"/>
      <c r="AQ3968" s="1"/>
      <c r="AX3968" s="1"/>
    </row>
    <row r="3969" spans="1:50" x14ac:dyDescent="0.25">
      <c r="A3969" s="1"/>
      <c r="H3969" s="1"/>
      <c r="O3969" s="1"/>
      <c r="V3969" s="1"/>
      <c r="AC3969" s="1"/>
      <c r="AJ3969" s="1"/>
      <c r="AQ3969" s="1"/>
      <c r="AX3969" s="1"/>
    </row>
    <row r="3970" spans="1:50" x14ac:dyDescent="0.25">
      <c r="A3970" s="1"/>
      <c r="H3970" s="1"/>
      <c r="O3970" s="1"/>
      <c r="V3970" s="1"/>
      <c r="AC3970" s="1"/>
      <c r="AJ3970" s="1"/>
      <c r="AQ3970" s="1"/>
      <c r="AX3970" s="1"/>
    </row>
    <row r="3971" spans="1:50" x14ac:dyDescent="0.25">
      <c r="A3971" s="1"/>
      <c r="H3971" s="1"/>
      <c r="O3971" s="1"/>
      <c r="V3971" s="1"/>
      <c r="AC3971" s="1"/>
      <c r="AJ3971" s="1"/>
      <c r="AQ3971" s="1"/>
      <c r="AX3971" s="1"/>
    </row>
    <row r="3972" spans="1:50" x14ac:dyDescent="0.25">
      <c r="A3972" s="1"/>
      <c r="H3972" s="1"/>
      <c r="O3972" s="1"/>
      <c r="V3972" s="1"/>
      <c r="AC3972" s="1"/>
      <c r="AJ3972" s="1"/>
      <c r="AQ3972" s="1"/>
      <c r="AX3972" s="1"/>
    </row>
    <row r="3973" spans="1:50" x14ac:dyDescent="0.25">
      <c r="A3973" s="1"/>
      <c r="H3973" s="1"/>
      <c r="O3973" s="1"/>
      <c r="V3973" s="1"/>
      <c r="AC3973" s="1"/>
      <c r="AJ3973" s="1"/>
      <c r="AQ3973" s="1"/>
      <c r="AX3973" s="1"/>
    </row>
    <row r="3974" spans="1:50" x14ac:dyDescent="0.25">
      <c r="A3974" s="1"/>
      <c r="H3974" s="1"/>
      <c r="O3974" s="1"/>
      <c r="V3974" s="1"/>
      <c r="AC3974" s="1"/>
      <c r="AJ3974" s="1"/>
      <c r="AQ3974" s="1"/>
      <c r="AX3974" s="1"/>
    </row>
    <row r="3975" spans="1:50" x14ac:dyDescent="0.25">
      <c r="A3975" s="1"/>
      <c r="H3975" s="1"/>
      <c r="O3975" s="1"/>
      <c r="V3975" s="1"/>
      <c r="AC3975" s="1"/>
      <c r="AJ3975" s="1"/>
      <c r="AQ3975" s="1"/>
      <c r="AX3975" s="1"/>
    </row>
    <row r="3976" spans="1:50" x14ac:dyDescent="0.25">
      <c r="A3976" s="1"/>
      <c r="H3976" s="1"/>
      <c r="O3976" s="1"/>
      <c r="V3976" s="1"/>
      <c r="AC3976" s="1"/>
      <c r="AJ3976" s="1"/>
      <c r="AQ3976" s="1"/>
      <c r="AX3976" s="1"/>
    </row>
    <row r="3977" spans="1:50" x14ac:dyDescent="0.25">
      <c r="A3977" s="1"/>
      <c r="H3977" s="1"/>
      <c r="O3977" s="1"/>
      <c r="V3977" s="1"/>
      <c r="AC3977" s="1"/>
      <c r="AJ3977" s="1"/>
      <c r="AQ3977" s="1"/>
      <c r="AX3977" s="1"/>
    </row>
    <row r="3978" spans="1:50" x14ac:dyDescent="0.25">
      <c r="A3978" s="1"/>
      <c r="H3978" s="1"/>
      <c r="O3978" s="1"/>
      <c r="V3978" s="1"/>
      <c r="AC3978" s="1"/>
      <c r="AJ3978" s="1"/>
      <c r="AQ3978" s="1"/>
      <c r="AX3978" s="1"/>
    </row>
    <row r="3979" spans="1:50" x14ac:dyDescent="0.25">
      <c r="A3979" s="1"/>
      <c r="H3979" s="1"/>
      <c r="O3979" s="1"/>
      <c r="V3979" s="1"/>
      <c r="AC3979" s="1"/>
      <c r="AJ3979" s="1"/>
      <c r="AQ3979" s="1"/>
      <c r="AX3979" s="1"/>
    </row>
    <row r="3980" spans="1:50" x14ac:dyDescent="0.25">
      <c r="A3980" s="1"/>
      <c r="H3980" s="1"/>
      <c r="O3980" s="1"/>
      <c r="V3980" s="1"/>
      <c r="AC3980" s="1"/>
      <c r="AJ3980" s="1"/>
      <c r="AQ3980" s="1"/>
      <c r="AX3980" s="1"/>
    </row>
    <row r="3981" spans="1:50" x14ac:dyDescent="0.25">
      <c r="A3981" s="1"/>
      <c r="H3981" s="1"/>
      <c r="O3981" s="1"/>
      <c r="V3981" s="1"/>
      <c r="AC3981" s="1"/>
      <c r="AJ3981" s="1"/>
      <c r="AQ3981" s="1"/>
      <c r="AX3981" s="1"/>
    </row>
    <row r="3982" spans="1:50" x14ac:dyDescent="0.25">
      <c r="A3982" s="1"/>
      <c r="H3982" s="1"/>
      <c r="O3982" s="1"/>
      <c r="V3982" s="1"/>
      <c r="AC3982" s="1"/>
      <c r="AJ3982" s="1"/>
      <c r="AQ3982" s="1"/>
      <c r="AX3982" s="1"/>
    </row>
    <row r="3983" spans="1:50" x14ac:dyDescent="0.25">
      <c r="A3983" s="1"/>
      <c r="H3983" s="1"/>
      <c r="O3983" s="1"/>
      <c r="V3983" s="1"/>
      <c r="AC3983" s="1"/>
      <c r="AJ3983" s="1"/>
      <c r="AQ3983" s="1"/>
      <c r="AX3983" s="1"/>
    </row>
    <row r="3984" spans="1:50" x14ac:dyDescent="0.25">
      <c r="A3984" s="1"/>
      <c r="H3984" s="1"/>
      <c r="O3984" s="1"/>
      <c r="V3984" s="1"/>
      <c r="AC3984" s="1"/>
      <c r="AJ3984" s="1"/>
      <c r="AQ3984" s="1"/>
      <c r="AX3984" s="1"/>
    </row>
    <row r="3985" spans="1:50" x14ac:dyDescent="0.25">
      <c r="A3985" s="1"/>
      <c r="H3985" s="1"/>
      <c r="O3985" s="1"/>
      <c r="V3985" s="1"/>
      <c r="AC3985" s="1"/>
      <c r="AJ3985" s="1"/>
      <c r="AQ3985" s="1"/>
      <c r="AX3985" s="1"/>
    </row>
    <row r="3986" spans="1:50" x14ac:dyDescent="0.25">
      <c r="A3986" s="1"/>
      <c r="H3986" s="1"/>
      <c r="O3986" s="1"/>
      <c r="V3986" s="1"/>
      <c r="AC3986" s="1"/>
      <c r="AJ3986" s="1"/>
      <c r="AQ3986" s="1"/>
      <c r="AX3986" s="1"/>
    </row>
    <row r="3987" spans="1:50" x14ac:dyDescent="0.25">
      <c r="A3987" s="1"/>
      <c r="H3987" s="1"/>
      <c r="O3987" s="1"/>
      <c r="V3987" s="1"/>
      <c r="AC3987" s="1"/>
      <c r="AJ3987" s="1"/>
      <c r="AQ3987" s="1"/>
      <c r="AX3987" s="1"/>
    </row>
    <row r="3988" spans="1:50" x14ac:dyDescent="0.25">
      <c r="A3988" s="1"/>
      <c r="H3988" s="1"/>
      <c r="O3988" s="1"/>
      <c r="V3988" s="1"/>
      <c r="AC3988" s="1"/>
      <c r="AJ3988" s="1"/>
      <c r="AQ3988" s="1"/>
      <c r="AX3988" s="1"/>
    </row>
    <row r="3989" spans="1:50" x14ac:dyDescent="0.25">
      <c r="A3989" s="1"/>
      <c r="H3989" s="1"/>
      <c r="O3989" s="1"/>
      <c r="V3989" s="1"/>
      <c r="AC3989" s="1"/>
      <c r="AJ3989" s="1"/>
      <c r="AQ3989" s="1"/>
      <c r="AX3989" s="1"/>
    </row>
    <row r="3990" spans="1:50" x14ac:dyDescent="0.25">
      <c r="A3990" s="1"/>
      <c r="H3990" s="1"/>
      <c r="O3990" s="1"/>
      <c r="V3990" s="1"/>
      <c r="AC3990" s="1"/>
      <c r="AJ3990" s="1"/>
      <c r="AQ3990" s="1"/>
      <c r="AX3990" s="1"/>
    </row>
    <row r="3991" spans="1:50" x14ac:dyDescent="0.25">
      <c r="A3991" s="1"/>
      <c r="H3991" s="1"/>
      <c r="O3991" s="1"/>
      <c r="V3991" s="1"/>
      <c r="AC3991" s="1"/>
      <c r="AJ3991" s="1"/>
      <c r="AQ3991" s="1"/>
      <c r="AX3991" s="1"/>
    </row>
    <row r="3992" spans="1:50" x14ac:dyDescent="0.25">
      <c r="A3992" s="1"/>
      <c r="H3992" s="1"/>
      <c r="O3992" s="1"/>
      <c r="V3992" s="1"/>
      <c r="AC3992" s="1"/>
      <c r="AJ3992" s="1"/>
      <c r="AQ3992" s="1"/>
      <c r="AX3992" s="1"/>
    </row>
    <row r="3993" spans="1:50" x14ac:dyDescent="0.25">
      <c r="A3993" s="1"/>
      <c r="H3993" s="1"/>
      <c r="O3993" s="1"/>
      <c r="V3993" s="1"/>
      <c r="AC3993" s="1"/>
      <c r="AJ3993" s="1"/>
      <c r="AQ3993" s="1"/>
      <c r="AX3993" s="1"/>
    </row>
    <row r="3994" spans="1:50" x14ac:dyDescent="0.25">
      <c r="A3994" s="1"/>
      <c r="H3994" s="1"/>
      <c r="O3994" s="1"/>
      <c r="V3994" s="1"/>
      <c r="AC3994" s="1"/>
      <c r="AJ3994" s="1"/>
      <c r="AQ3994" s="1"/>
      <c r="AX3994" s="1"/>
    </row>
    <row r="3995" spans="1:50" x14ac:dyDescent="0.25">
      <c r="A3995" s="1"/>
      <c r="H3995" s="1"/>
      <c r="O3995" s="1"/>
      <c r="V3995" s="1"/>
      <c r="AC3995" s="1"/>
      <c r="AJ3995" s="1"/>
      <c r="AQ3995" s="1"/>
      <c r="AX3995" s="1"/>
    </row>
    <row r="3996" spans="1:50" x14ac:dyDescent="0.25">
      <c r="A3996" s="1"/>
      <c r="H3996" s="1"/>
      <c r="O3996" s="1"/>
      <c r="V3996" s="1"/>
      <c r="AC3996" s="1"/>
      <c r="AJ3996" s="1"/>
      <c r="AQ3996" s="1"/>
      <c r="AX3996" s="1"/>
    </row>
    <row r="3997" spans="1:50" x14ac:dyDescent="0.25">
      <c r="A3997" s="1"/>
      <c r="H3997" s="1"/>
      <c r="O3997" s="1"/>
      <c r="V3997" s="1"/>
      <c r="AC3997" s="1"/>
      <c r="AJ3997" s="1"/>
      <c r="AQ3997" s="1"/>
      <c r="AX3997" s="1"/>
    </row>
    <row r="3998" spans="1:50" x14ac:dyDescent="0.25">
      <c r="A3998" s="1"/>
      <c r="H3998" s="1"/>
      <c r="O3998" s="1"/>
      <c r="V3998" s="1"/>
      <c r="AC3998" s="1"/>
      <c r="AJ3998" s="1"/>
      <c r="AQ3998" s="1"/>
      <c r="AX3998" s="1"/>
    </row>
    <row r="3999" spans="1:50" x14ac:dyDescent="0.25">
      <c r="A3999" s="1"/>
      <c r="H3999" s="1"/>
      <c r="O3999" s="1"/>
      <c r="V3999" s="1"/>
      <c r="AC3999" s="1"/>
      <c r="AJ3999" s="1"/>
      <c r="AQ3999" s="1"/>
      <c r="AX3999" s="1"/>
    </row>
    <row r="4000" spans="1:50" x14ac:dyDescent="0.25">
      <c r="A4000" s="1"/>
      <c r="H4000" s="1"/>
      <c r="O4000" s="1"/>
      <c r="V4000" s="1"/>
      <c r="AC4000" s="1"/>
      <c r="AJ4000" s="1"/>
      <c r="AQ4000" s="1"/>
      <c r="AX4000" s="1"/>
    </row>
    <row r="4001" spans="1:50" x14ac:dyDescent="0.25">
      <c r="A4001" s="1"/>
      <c r="H4001" s="1"/>
      <c r="O4001" s="1"/>
      <c r="V4001" s="1"/>
      <c r="AC4001" s="1"/>
      <c r="AJ4001" s="1"/>
      <c r="AQ4001" s="1"/>
      <c r="AX4001" s="1"/>
    </row>
    <row r="4002" spans="1:50" x14ac:dyDescent="0.25">
      <c r="A4002" s="1"/>
      <c r="H4002" s="1"/>
      <c r="O4002" s="1"/>
      <c r="V4002" s="1"/>
      <c r="AC4002" s="1"/>
      <c r="AJ4002" s="1"/>
      <c r="AQ4002" s="1"/>
      <c r="AX4002" s="1"/>
    </row>
    <row r="4003" spans="1:50" x14ac:dyDescent="0.25">
      <c r="A4003" s="1"/>
      <c r="H4003" s="1"/>
      <c r="O4003" s="1"/>
      <c r="V4003" s="1"/>
      <c r="AC4003" s="1"/>
      <c r="AJ4003" s="1"/>
      <c r="AQ4003" s="1"/>
      <c r="AX4003" s="1"/>
    </row>
    <row r="4004" spans="1:50" x14ac:dyDescent="0.25">
      <c r="A4004" s="1"/>
      <c r="H4004" s="1"/>
      <c r="O4004" s="1"/>
      <c r="V4004" s="1"/>
      <c r="AC4004" s="1"/>
      <c r="AJ4004" s="1"/>
      <c r="AQ4004" s="1"/>
      <c r="AX4004" s="1"/>
    </row>
    <row r="4005" spans="1:50" x14ac:dyDescent="0.25">
      <c r="A4005" s="1"/>
      <c r="H4005" s="1"/>
      <c r="O4005" s="1"/>
      <c r="V4005" s="1"/>
      <c r="AC4005" s="1"/>
      <c r="AJ4005" s="1"/>
      <c r="AQ4005" s="1"/>
      <c r="AX4005" s="1"/>
    </row>
    <row r="4006" spans="1:50" x14ac:dyDescent="0.25">
      <c r="A4006" s="1"/>
      <c r="H4006" s="1"/>
      <c r="O4006" s="1"/>
      <c r="V4006" s="1"/>
      <c r="AC4006" s="1"/>
      <c r="AJ4006" s="1"/>
      <c r="AQ4006" s="1"/>
      <c r="AX4006" s="1"/>
    </row>
    <row r="4007" spans="1:50" x14ac:dyDescent="0.25">
      <c r="A4007" s="1"/>
      <c r="H4007" s="1"/>
      <c r="O4007" s="1"/>
      <c r="V4007" s="1"/>
      <c r="AC4007" s="1"/>
      <c r="AJ4007" s="1"/>
      <c r="AQ4007" s="1"/>
      <c r="AX4007" s="1"/>
    </row>
    <row r="4008" spans="1:50" x14ac:dyDescent="0.25">
      <c r="A4008" s="1"/>
      <c r="H4008" s="1"/>
      <c r="O4008" s="1"/>
      <c r="V4008" s="1"/>
      <c r="AC4008" s="1"/>
      <c r="AJ4008" s="1"/>
      <c r="AQ4008" s="1"/>
      <c r="AX4008" s="1"/>
    </row>
    <row r="4009" spans="1:50" x14ac:dyDescent="0.25">
      <c r="A4009" s="1"/>
      <c r="H4009" s="1"/>
      <c r="O4009" s="1"/>
      <c r="V4009" s="1"/>
      <c r="AC4009" s="1"/>
      <c r="AJ4009" s="1"/>
      <c r="AQ4009" s="1"/>
      <c r="AX4009" s="1"/>
    </row>
    <row r="4010" spans="1:50" x14ac:dyDescent="0.25">
      <c r="A4010" s="1"/>
      <c r="H4010" s="1"/>
      <c r="O4010" s="1"/>
      <c r="V4010" s="1"/>
      <c r="AC4010" s="1"/>
      <c r="AJ4010" s="1"/>
      <c r="AQ4010" s="1"/>
      <c r="AX4010" s="1"/>
    </row>
    <row r="4011" spans="1:50" x14ac:dyDescent="0.25">
      <c r="A4011" s="1"/>
      <c r="H4011" s="1"/>
      <c r="O4011" s="1"/>
      <c r="V4011" s="1"/>
      <c r="AC4011" s="1"/>
      <c r="AJ4011" s="1"/>
      <c r="AQ4011" s="1"/>
      <c r="AX4011" s="1"/>
    </row>
    <row r="4012" spans="1:50" x14ac:dyDescent="0.25">
      <c r="A4012" s="1"/>
      <c r="H4012" s="1"/>
      <c r="O4012" s="1"/>
      <c r="V4012" s="1"/>
      <c r="AC4012" s="1"/>
      <c r="AJ4012" s="1"/>
      <c r="AQ4012" s="1"/>
      <c r="AX4012" s="1"/>
    </row>
    <row r="4013" spans="1:50" x14ac:dyDescent="0.25">
      <c r="A4013" s="1"/>
      <c r="H4013" s="1"/>
      <c r="O4013" s="1"/>
      <c r="V4013" s="1"/>
      <c r="AC4013" s="1"/>
      <c r="AJ4013" s="1"/>
      <c r="AQ4013" s="1"/>
      <c r="AX4013" s="1"/>
    </row>
    <row r="4014" spans="1:50" x14ac:dyDescent="0.25">
      <c r="A4014" s="1"/>
      <c r="H4014" s="1"/>
      <c r="O4014" s="1"/>
      <c r="V4014" s="1"/>
      <c r="AC4014" s="1"/>
      <c r="AJ4014" s="1"/>
      <c r="AQ4014" s="1"/>
      <c r="AX4014" s="1"/>
    </row>
    <row r="4015" spans="1:50" x14ac:dyDescent="0.25">
      <c r="A4015" s="1"/>
      <c r="H4015" s="1"/>
      <c r="O4015" s="1"/>
      <c r="V4015" s="1"/>
      <c r="AC4015" s="1"/>
      <c r="AJ4015" s="1"/>
      <c r="AQ4015" s="1"/>
      <c r="AX4015" s="1"/>
    </row>
    <row r="4016" spans="1:50" x14ac:dyDescent="0.25">
      <c r="A4016" s="1"/>
      <c r="H4016" s="1"/>
      <c r="O4016" s="1"/>
      <c r="V4016" s="1"/>
      <c r="AC4016" s="1"/>
      <c r="AJ4016" s="1"/>
      <c r="AQ4016" s="1"/>
      <c r="AX4016" s="1"/>
    </row>
    <row r="4017" spans="1:50" x14ac:dyDescent="0.25">
      <c r="A4017" s="1"/>
      <c r="H4017" s="1"/>
      <c r="O4017" s="1"/>
      <c r="V4017" s="1"/>
      <c r="AC4017" s="1"/>
      <c r="AJ4017" s="1"/>
      <c r="AQ4017" s="1"/>
      <c r="AX4017" s="1"/>
    </row>
    <row r="4018" spans="1:50" x14ac:dyDescent="0.25">
      <c r="A4018" s="1"/>
      <c r="H4018" s="1"/>
      <c r="O4018" s="1"/>
      <c r="V4018" s="1"/>
      <c r="AC4018" s="1"/>
      <c r="AJ4018" s="1"/>
      <c r="AQ4018" s="1"/>
      <c r="AX4018" s="1"/>
    </row>
    <row r="4019" spans="1:50" x14ac:dyDescent="0.25">
      <c r="A4019" s="1"/>
      <c r="H4019" s="1"/>
      <c r="O4019" s="1"/>
      <c r="V4019" s="1"/>
      <c r="AC4019" s="1"/>
      <c r="AJ4019" s="1"/>
      <c r="AQ4019" s="1"/>
      <c r="AX4019" s="1"/>
    </row>
    <row r="4020" spans="1:50" x14ac:dyDescent="0.25">
      <c r="A4020" s="1"/>
      <c r="H4020" s="1"/>
      <c r="O4020" s="1"/>
      <c r="V4020" s="1"/>
      <c r="AC4020" s="1"/>
      <c r="AJ4020" s="1"/>
      <c r="AQ4020" s="1"/>
      <c r="AX4020" s="1"/>
    </row>
    <row r="4021" spans="1:50" x14ac:dyDescent="0.25">
      <c r="A4021" s="1"/>
      <c r="H4021" s="1"/>
      <c r="O4021" s="1"/>
      <c r="V4021" s="1"/>
      <c r="AC4021" s="1"/>
      <c r="AJ4021" s="1"/>
      <c r="AQ4021" s="1"/>
      <c r="AX4021" s="1"/>
    </row>
    <row r="4022" spans="1:50" x14ac:dyDescent="0.25">
      <c r="A4022" s="1"/>
      <c r="H4022" s="1"/>
      <c r="O4022" s="1"/>
      <c r="V4022" s="1"/>
      <c r="AC4022" s="1"/>
      <c r="AJ4022" s="1"/>
      <c r="AQ4022" s="1"/>
      <c r="AX4022" s="1"/>
    </row>
    <row r="4023" spans="1:50" x14ac:dyDescent="0.25">
      <c r="A4023" s="1"/>
      <c r="H4023" s="1"/>
      <c r="O4023" s="1"/>
      <c r="V4023" s="1"/>
      <c r="AC4023" s="1"/>
      <c r="AJ4023" s="1"/>
      <c r="AQ4023" s="1"/>
      <c r="AX4023" s="1"/>
    </row>
    <row r="4024" spans="1:50" x14ac:dyDescent="0.25">
      <c r="A4024" s="1"/>
      <c r="H4024" s="1"/>
      <c r="O4024" s="1"/>
      <c r="V4024" s="1"/>
      <c r="AC4024" s="1"/>
      <c r="AJ4024" s="1"/>
      <c r="AQ4024" s="1"/>
      <c r="AX4024" s="1"/>
    </row>
    <row r="4025" spans="1:50" x14ac:dyDescent="0.25">
      <c r="A4025" s="1"/>
      <c r="H4025" s="1"/>
      <c r="O4025" s="1"/>
      <c r="V4025" s="1"/>
      <c r="AC4025" s="1"/>
      <c r="AJ4025" s="1"/>
      <c r="AQ4025" s="1"/>
      <c r="AX4025" s="1"/>
    </row>
    <row r="4026" spans="1:50" x14ac:dyDescent="0.25">
      <c r="A4026" s="1"/>
      <c r="H4026" s="1"/>
      <c r="O4026" s="1"/>
      <c r="V4026" s="1"/>
      <c r="AC4026" s="1"/>
      <c r="AJ4026" s="1"/>
      <c r="AQ4026" s="1"/>
      <c r="AX4026" s="1"/>
    </row>
    <row r="4027" spans="1:50" x14ac:dyDescent="0.25">
      <c r="A4027" s="1"/>
      <c r="H4027" s="1"/>
      <c r="O4027" s="1"/>
      <c r="V4027" s="1"/>
      <c r="AC4027" s="1"/>
      <c r="AJ4027" s="1"/>
      <c r="AQ4027" s="1"/>
      <c r="AX4027" s="1"/>
    </row>
    <row r="4028" spans="1:50" x14ac:dyDescent="0.25">
      <c r="A4028" s="1"/>
      <c r="H4028" s="1"/>
      <c r="O4028" s="1"/>
      <c r="V4028" s="1"/>
      <c r="AC4028" s="1"/>
      <c r="AJ4028" s="1"/>
      <c r="AQ4028" s="1"/>
      <c r="AX4028" s="1"/>
    </row>
    <row r="4029" spans="1:50" x14ac:dyDescent="0.25">
      <c r="A4029" s="1"/>
      <c r="H4029" s="1"/>
      <c r="O4029" s="1"/>
      <c r="V4029" s="1"/>
      <c r="AC4029" s="1"/>
      <c r="AJ4029" s="1"/>
      <c r="AQ4029" s="1"/>
      <c r="AX4029" s="1"/>
    </row>
    <row r="4030" spans="1:50" x14ac:dyDescent="0.25">
      <c r="A4030" s="1"/>
      <c r="H4030" s="1"/>
      <c r="O4030" s="1"/>
      <c r="V4030" s="1"/>
      <c r="AC4030" s="1"/>
      <c r="AJ4030" s="1"/>
      <c r="AQ4030" s="1"/>
      <c r="AX4030" s="1"/>
    </row>
    <row r="4031" spans="1:50" x14ac:dyDescent="0.25">
      <c r="A4031" s="1"/>
      <c r="H4031" s="1"/>
      <c r="O4031" s="1"/>
      <c r="V4031" s="1"/>
      <c r="AC4031" s="1"/>
      <c r="AJ4031" s="1"/>
      <c r="AQ4031" s="1"/>
      <c r="AX4031" s="1"/>
    </row>
    <row r="4032" spans="1:50" x14ac:dyDescent="0.25">
      <c r="A4032" s="1"/>
      <c r="H4032" s="1"/>
      <c r="O4032" s="1"/>
      <c r="V4032" s="1"/>
      <c r="AC4032" s="1"/>
      <c r="AJ4032" s="1"/>
      <c r="AQ4032" s="1"/>
      <c r="AX4032" s="1"/>
    </row>
    <row r="4033" spans="1:50" x14ac:dyDescent="0.25">
      <c r="A4033" s="1"/>
      <c r="H4033" s="1"/>
      <c r="O4033" s="1"/>
      <c r="V4033" s="1"/>
      <c r="AC4033" s="1"/>
      <c r="AJ4033" s="1"/>
      <c r="AQ4033" s="1"/>
      <c r="AX4033" s="1"/>
    </row>
    <row r="4034" spans="1:50" x14ac:dyDescent="0.25">
      <c r="A4034" s="1"/>
      <c r="H4034" s="1"/>
      <c r="O4034" s="1"/>
      <c r="V4034" s="1"/>
      <c r="AC4034" s="1"/>
      <c r="AJ4034" s="1"/>
      <c r="AQ4034" s="1"/>
      <c r="AX4034" s="1"/>
    </row>
    <row r="4035" spans="1:50" x14ac:dyDescent="0.25">
      <c r="A4035" s="1"/>
      <c r="H4035" s="1"/>
      <c r="O4035" s="1"/>
      <c r="V4035" s="1"/>
      <c r="AC4035" s="1"/>
      <c r="AJ4035" s="1"/>
      <c r="AQ4035" s="1"/>
      <c r="AX4035" s="1"/>
    </row>
    <row r="4036" spans="1:50" x14ac:dyDescent="0.25">
      <c r="A4036" s="1"/>
      <c r="H4036" s="1"/>
      <c r="O4036" s="1"/>
      <c r="V4036" s="1"/>
      <c r="AC4036" s="1"/>
      <c r="AJ4036" s="1"/>
      <c r="AQ4036" s="1"/>
      <c r="AX4036" s="1"/>
    </row>
    <row r="4037" spans="1:50" x14ac:dyDescent="0.25">
      <c r="A4037" s="1"/>
      <c r="H4037" s="1"/>
      <c r="O4037" s="1"/>
      <c r="V4037" s="1"/>
      <c r="AC4037" s="1"/>
      <c r="AJ4037" s="1"/>
      <c r="AQ4037" s="1"/>
      <c r="AX4037" s="1"/>
    </row>
    <row r="4038" spans="1:50" x14ac:dyDescent="0.25">
      <c r="A4038" s="1"/>
      <c r="H4038" s="1"/>
      <c r="O4038" s="1"/>
      <c r="V4038" s="1"/>
      <c r="AC4038" s="1"/>
      <c r="AJ4038" s="1"/>
      <c r="AQ4038" s="1"/>
      <c r="AX4038" s="1"/>
    </row>
    <row r="4039" spans="1:50" x14ac:dyDescent="0.25">
      <c r="A4039" s="1"/>
      <c r="H4039" s="1"/>
      <c r="O4039" s="1"/>
      <c r="V4039" s="1"/>
      <c r="AC4039" s="1"/>
      <c r="AJ4039" s="1"/>
      <c r="AQ4039" s="1"/>
      <c r="AX4039" s="1"/>
    </row>
    <row r="4040" spans="1:50" x14ac:dyDescent="0.25">
      <c r="A4040" s="1"/>
      <c r="H4040" s="1"/>
      <c r="O4040" s="1"/>
      <c r="V4040" s="1"/>
      <c r="AC4040" s="1"/>
      <c r="AJ4040" s="1"/>
      <c r="AQ4040" s="1"/>
      <c r="AX4040" s="1"/>
    </row>
    <row r="4041" spans="1:50" x14ac:dyDescent="0.25">
      <c r="A4041" s="1"/>
      <c r="H4041" s="1"/>
      <c r="O4041" s="1"/>
      <c r="V4041" s="1"/>
      <c r="AC4041" s="1"/>
      <c r="AJ4041" s="1"/>
      <c r="AQ4041" s="1"/>
      <c r="AX4041" s="1"/>
    </row>
    <row r="4042" spans="1:50" x14ac:dyDescent="0.25">
      <c r="A4042" s="1"/>
      <c r="H4042" s="1"/>
      <c r="O4042" s="1"/>
      <c r="V4042" s="1"/>
      <c r="AC4042" s="1"/>
      <c r="AJ4042" s="1"/>
      <c r="AQ4042" s="1"/>
      <c r="AX4042" s="1"/>
    </row>
    <row r="4043" spans="1:50" x14ac:dyDescent="0.25">
      <c r="A4043" s="1"/>
      <c r="H4043" s="1"/>
      <c r="O4043" s="1"/>
      <c r="V4043" s="1"/>
      <c r="AC4043" s="1"/>
      <c r="AJ4043" s="1"/>
      <c r="AQ4043" s="1"/>
      <c r="AX4043" s="1"/>
    </row>
    <row r="4044" spans="1:50" x14ac:dyDescent="0.25">
      <c r="A4044" s="1"/>
      <c r="H4044" s="1"/>
      <c r="O4044" s="1"/>
      <c r="V4044" s="1"/>
      <c r="AC4044" s="1"/>
      <c r="AJ4044" s="1"/>
      <c r="AQ4044" s="1"/>
      <c r="AX4044" s="1"/>
    </row>
    <row r="4045" spans="1:50" x14ac:dyDescent="0.25">
      <c r="A4045" s="1"/>
      <c r="H4045" s="1"/>
      <c r="O4045" s="1"/>
      <c r="V4045" s="1"/>
      <c r="AC4045" s="1"/>
      <c r="AJ4045" s="1"/>
      <c r="AQ4045" s="1"/>
      <c r="AX4045" s="1"/>
    </row>
    <row r="4046" spans="1:50" x14ac:dyDescent="0.25">
      <c r="A4046" s="1"/>
      <c r="H4046" s="1"/>
      <c r="O4046" s="1"/>
      <c r="V4046" s="1"/>
      <c r="AC4046" s="1"/>
      <c r="AJ4046" s="1"/>
      <c r="AQ4046" s="1"/>
      <c r="AX4046" s="1"/>
    </row>
    <row r="4047" spans="1:50" x14ac:dyDescent="0.25">
      <c r="A4047" s="1"/>
      <c r="H4047" s="1"/>
      <c r="O4047" s="1"/>
      <c r="V4047" s="1"/>
      <c r="AC4047" s="1"/>
      <c r="AJ4047" s="1"/>
      <c r="AQ4047" s="1"/>
      <c r="AX4047" s="1"/>
    </row>
    <row r="4048" spans="1:50" x14ac:dyDescent="0.25">
      <c r="A4048" s="1"/>
      <c r="H4048" s="1"/>
      <c r="O4048" s="1"/>
      <c r="V4048" s="1"/>
      <c r="AC4048" s="1"/>
      <c r="AJ4048" s="1"/>
      <c r="AQ4048" s="1"/>
      <c r="AX4048" s="1"/>
    </row>
    <row r="4049" spans="1:50" x14ac:dyDescent="0.25">
      <c r="A4049" s="1"/>
      <c r="H4049" s="1"/>
      <c r="O4049" s="1"/>
      <c r="V4049" s="1"/>
      <c r="AC4049" s="1"/>
      <c r="AJ4049" s="1"/>
      <c r="AQ4049" s="1"/>
      <c r="AX4049" s="1"/>
    </row>
    <row r="4050" spans="1:50" x14ac:dyDescent="0.25">
      <c r="A4050" s="1"/>
      <c r="H4050" s="1"/>
      <c r="O4050" s="1"/>
      <c r="V4050" s="1"/>
      <c r="AC4050" s="1"/>
      <c r="AJ4050" s="1"/>
      <c r="AQ4050" s="1"/>
      <c r="AX4050" s="1"/>
    </row>
    <row r="4051" spans="1:50" x14ac:dyDescent="0.25">
      <c r="A4051" s="1"/>
      <c r="H4051" s="1"/>
      <c r="O4051" s="1"/>
      <c r="V4051" s="1"/>
      <c r="AC4051" s="1"/>
      <c r="AJ4051" s="1"/>
      <c r="AQ4051" s="1"/>
      <c r="AX4051" s="1"/>
    </row>
    <row r="4052" spans="1:50" x14ac:dyDescent="0.25">
      <c r="A4052" s="1"/>
      <c r="H4052" s="1"/>
      <c r="O4052" s="1"/>
      <c r="V4052" s="1"/>
      <c r="AC4052" s="1"/>
      <c r="AJ4052" s="1"/>
      <c r="AQ4052" s="1"/>
      <c r="AX4052" s="1"/>
    </row>
    <row r="4053" spans="1:50" x14ac:dyDescent="0.25">
      <c r="A4053" s="1"/>
      <c r="H4053" s="1"/>
      <c r="O4053" s="1"/>
      <c r="V4053" s="1"/>
      <c r="AC4053" s="1"/>
      <c r="AJ4053" s="1"/>
      <c r="AQ4053" s="1"/>
      <c r="AX4053" s="1"/>
    </row>
    <row r="4054" spans="1:50" x14ac:dyDescent="0.25">
      <c r="A4054" s="1"/>
      <c r="H4054" s="1"/>
      <c r="O4054" s="1"/>
      <c r="V4054" s="1"/>
      <c r="AC4054" s="1"/>
      <c r="AJ4054" s="1"/>
      <c r="AQ4054" s="1"/>
      <c r="AX4054" s="1"/>
    </row>
    <row r="4055" spans="1:50" x14ac:dyDescent="0.25">
      <c r="A4055" s="1"/>
      <c r="H4055" s="1"/>
      <c r="O4055" s="1"/>
      <c r="V4055" s="1"/>
      <c r="AC4055" s="1"/>
      <c r="AJ4055" s="1"/>
      <c r="AQ4055" s="1"/>
      <c r="AX4055" s="1"/>
    </row>
    <row r="4056" spans="1:50" x14ac:dyDescent="0.25">
      <c r="A4056" s="1"/>
      <c r="H4056" s="1"/>
      <c r="O4056" s="1"/>
      <c r="V4056" s="1"/>
      <c r="AC4056" s="1"/>
      <c r="AJ4056" s="1"/>
      <c r="AQ4056" s="1"/>
      <c r="AX4056" s="1"/>
    </row>
    <row r="4057" spans="1:50" x14ac:dyDescent="0.25">
      <c r="A4057" s="1"/>
      <c r="H4057" s="1"/>
      <c r="O4057" s="1"/>
      <c r="V4057" s="1"/>
      <c r="AC4057" s="1"/>
      <c r="AJ4057" s="1"/>
      <c r="AQ4057" s="1"/>
      <c r="AX4057" s="1"/>
    </row>
    <row r="4058" spans="1:50" x14ac:dyDescent="0.25">
      <c r="A4058" s="1"/>
      <c r="H4058" s="1"/>
      <c r="O4058" s="1"/>
      <c r="V4058" s="1"/>
      <c r="AC4058" s="1"/>
      <c r="AJ4058" s="1"/>
      <c r="AQ4058" s="1"/>
      <c r="AX4058" s="1"/>
    </row>
    <row r="4059" spans="1:50" x14ac:dyDescent="0.25">
      <c r="A4059" s="1"/>
      <c r="H4059" s="1"/>
      <c r="O4059" s="1"/>
      <c r="V4059" s="1"/>
      <c r="AC4059" s="1"/>
      <c r="AJ4059" s="1"/>
      <c r="AQ4059" s="1"/>
      <c r="AX4059" s="1"/>
    </row>
    <row r="4060" spans="1:50" x14ac:dyDescent="0.25">
      <c r="A4060" s="1"/>
      <c r="H4060" s="1"/>
      <c r="O4060" s="1"/>
      <c r="V4060" s="1"/>
      <c r="AC4060" s="1"/>
      <c r="AJ4060" s="1"/>
      <c r="AQ4060" s="1"/>
      <c r="AX4060" s="1"/>
    </row>
    <row r="4061" spans="1:50" x14ac:dyDescent="0.25">
      <c r="A4061" s="1"/>
      <c r="H4061" s="1"/>
      <c r="O4061" s="1"/>
      <c r="V4061" s="1"/>
      <c r="AC4061" s="1"/>
      <c r="AJ4061" s="1"/>
      <c r="AQ4061" s="1"/>
      <c r="AX4061" s="1"/>
    </row>
    <row r="4062" spans="1:50" x14ac:dyDescent="0.25">
      <c r="A4062" s="1"/>
      <c r="H4062" s="1"/>
      <c r="O4062" s="1"/>
      <c r="V4062" s="1"/>
      <c r="AC4062" s="1"/>
      <c r="AJ4062" s="1"/>
      <c r="AQ4062" s="1"/>
      <c r="AX4062" s="1"/>
    </row>
    <row r="4063" spans="1:50" x14ac:dyDescent="0.25">
      <c r="A4063" s="1"/>
      <c r="H4063" s="1"/>
      <c r="O4063" s="1"/>
      <c r="V4063" s="1"/>
      <c r="AC4063" s="1"/>
      <c r="AJ4063" s="1"/>
      <c r="AQ4063" s="1"/>
      <c r="AX4063" s="1"/>
    </row>
    <row r="4064" spans="1:50" x14ac:dyDescent="0.25">
      <c r="A4064" s="1"/>
      <c r="H4064" s="1"/>
      <c r="O4064" s="1"/>
      <c r="V4064" s="1"/>
      <c r="AC4064" s="1"/>
      <c r="AJ4064" s="1"/>
      <c r="AQ4064" s="1"/>
      <c r="AX4064" s="1"/>
    </row>
    <row r="4065" spans="1:50" x14ac:dyDescent="0.25">
      <c r="A4065" s="1"/>
      <c r="H4065" s="1"/>
      <c r="O4065" s="1"/>
      <c r="V4065" s="1"/>
      <c r="AC4065" s="1"/>
      <c r="AJ4065" s="1"/>
      <c r="AQ4065" s="1"/>
      <c r="AX4065" s="1"/>
    </row>
    <row r="4066" spans="1:50" x14ac:dyDescent="0.25">
      <c r="A4066" s="1"/>
      <c r="H4066" s="1"/>
      <c r="O4066" s="1"/>
      <c r="V4066" s="1"/>
      <c r="AC4066" s="1"/>
      <c r="AJ4066" s="1"/>
      <c r="AQ4066" s="1"/>
      <c r="AX4066" s="1"/>
    </row>
    <row r="4067" spans="1:50" x14ac:dyDescent="0.25">
      <c r="A4067" s="1"/>
      <c r="H4067" s="1"/>
      <c r="O4067" s="1"/>
      <c r="V4067" s="1"/>
      <c r="AC4067" s="1"/>
      <c r="AJ4067" s="1"/>
      <c r="AQ4067" s="1"/>
      <c r="AX4067" s="1"/>
    </row>
    <row r="4068" spans="1:50" x14ac:dyDescent="0.25">
      <c r="A4068" s="1"/>
      <c r="H4068" s="1"/>
      <c r="O4068" s="1"/>
      <c r="V4068" s="1"/>
      <c r="AC4068" s="1"/>
      <c r="AJ4068" s="1"/>
      <c r="AQ4068" s="1"/>
      <c r="AX4068" s="1"/>
    </row>
    <row r="4069" spans="1:50" x14ac:dyDescent="0.25">
      <c r="A4069" s="1"/>
      <c r="H4069" s="1"/>
      <c r="O4069" s="1"/>
      <c r="V4069" s="1"/>
      <c r="AC4069" s="1"/>
      <c r="AJ4069" s="1"/>
      <c r="AQ4069" s="1"/>
      <c r="AX4069" s="1"/>
    </row>
    <row r="4070" spans="1:50" x14ac:dyDescent="0.25">
      <c r="A4070" s="1"/>
      <c r="H4070" s="1"/>
      <c r="O4070" s="1"/>
      <c r="V4070" s="1"/>
      <c r="AC4070" s="1"/>
      <c r="AJ4070" s="1"/>
      <c r="AQ4070" s="1"/>
      <c r="AX4070" s="1"/>
    </row>
    <row r="4071" spans="1:50" x14ac:dyDescent="0.25">
      <c r="A4071" s="1"/>
      <c r="H4071" s="1"/>
      <c r="O4071" s="1"/>
      <c r="V4071" s="1"/>
      <c r="AC4071" s="1"/>
      <c r="AJ4071" s="1"/>
      <c r="AQ4071" s="1"/>
      <c r="AX4071" s="1"/>
    </row>
    <row r="4072" spans="1:50" x14ac:dyDescent="0.25">
      <c r="A4072" s="1"/>
      <c r="H4072" s="1"/>
      <c r="O4072" s="1"/>
      <c r="V4072" s="1"/>
      <c r="AC4072" s="1"/>
      <c r="AJ4072" s="1"/>
      <c r="AQ4072" s="1"/>
      <c r="AX4072" s="1"/>
    </row>
    <row r="4073" spans="1:50" x14ac:dyDescent="0.25">
      <c r="A4073" s="1"/>
      <c r="H4073" s="1"/>
      <c r="O4073" s="1"/>
      <c r="V4073" s="1"/>
      <c r="AC4073" s="1"/>
      <c r="AJ4073" s="1"/>
      <c r="AQ4073" s="1"/>
      <c r="AX4073" s="1"/>
    </row>
    <row r="4074" spans="1:50" x14ac:dyDescent="0.25">
      <c r="A4074" s="1"/>
      <c r="H4074" s="1"/>
      <c r="O4074" s="1"/>
      <c r="V4074" s="1"/>
      <c r="AC4074" s="1"/>
      <c r="AJ4074" s="1"/>
      <c r="AQ4074" s="1"/>
      <c r="AX4074" s="1"/>
    </row>
    <row r="4075" spans="1:50" x14ac:dyDescent="0.25">
      <c r="A4075" s="1"/>
      <c r="H4075" s="1"/>
      <c r="O4075" s="1"/>
      <c r="V4075" s="1"/>
      <c r="AC4075" s="1"/>
      <c r="AJ4075" s="1"/>
      <c r="AQ4075" s="1"/>
      <c r="AX4075" s="1"/>
    </row>
    <row r="4076" spans="1:50" x14ac:dyDescent="0.25">
      <c r="A4076" s="1"/>
      <c r="H4076" s="1"/>
      <c r="O4076" s="1"/>
      <c r="V4076" s="1"/>
      <c r="AC4076" s="1"/>
      <c r="AJ4076" s="1"/>
      <c r="AQ4076" s="1"/>
      <c r="AX4076" s="1"/>
    </row>
    <row r="4077" spans="1:50" x14ac:dyDescent="0.25">
      <c r="A4077" s="1"/>
      <c r="H4077" s="1"/>
      <c r="O4077" s="1"/>
      <c r="V4077" s="1"/>
      <c r="AC4077" s="1"/>
      <c r="AJ4077" s="1"/>
      <c r="AQ4077" s="1"/>
      <c r="AX4077" s="1"/>
    </row>
    <row r="4078" spans="1:50" x14ac:dyDescent="0.25">
      <c r="A4078" s="1"/>
      <c r="H4078" s="1"/>
      <c r="O4078" s="1"/>
      <c r="V4078" s="1"/>
      <c r="AC4078" s="1"/>
      <c r="AJ4078" s="1"/>
      <c r="AQ4078" s="1"/>
      <c r="AX4078" s="1"/>
    </row>
    <row r="4079" spans="1:50" x14ac:dyDescent="0.25">
      <c r="A4079" s="1"/>
      <c r="H4079" s="1"/>
      <c r="O4079" s="1"/>
      <c r="V4079" s="1"/>
      <c r="AC4079" s="1"/>
      <c r="AJ4079" s="1"/>
      <c r="AQ4079" s="1"/>
      <c r="AX4079" s="1"/>
    </row>
    <row r="4080" spans="1:50" x14ac:dyDescent="0.25">
      <c r="A4080" s="1"/>
      <c r="H4080" s="1"/>
      <c r="O4080" s="1"/>
      <c r="V4080" s="1"/>
      <c r="AC4080" s="1"/>
      <c r="AJ4080" s="1"/>
      <c r="AQ4080" s="1"/>
      <c r="AX4080" s="1"/>
    </row>
    <row r="4081" spans="1:50" x14ac:dyDescent="0.25">
      <c r="A4081" s="1"/>
      <c r="H4081" s="1"/>
      <c r="O4081" s="1"/>
      <c r="V4081" s="1"/>
      <c r="AC4081" s="1"/>
      <c r="AJ4081" s="1"/>
      <c r="AQ4081" s="1"/>
      <c r="AX4081" s="1"/>
    </row>
    <row r="4082" spans="1:50" x14ac:dyDescent="0.25">
      <c r="A4082" s="1"/>
      <c r="H4082" s="1"/>
      <c r="O4082" s="1"/>
      <c r="V4082" s="1"/>
      <c r="AC4082" s="1"/>
      <c r="AJ4082" s="1"/>
      <c r="AQ4082" s="1"/>
      <c r="AX4082" s="1"/>
    </row>
    <row r="4083" spans="1:50" x14ac:dyDescent="0.25">
      <c r="A4083" s="1"/>
      <c r="H4083" s="1"/>
      <c r="O4083" s="1"/>
      <c r="V4083" s="1"/>
      <c r="AC4083" s="1"/>
      <c r="AJ4083" s="1"/>
      <c r="AQ4083" s="1"/>
      <c r="AX4083" s="1"/>
    </row>
    <row r="4084" spans="1:50" x14ac:dyDescent="0.25">
      <c r="A4084" s="1"/>
      <c r="H4084" s="1"/>
      <c r="O4084" s="1"/>
      <c r="V4084" s="1"/>
      <c r="AC4084" s="1"/>
      <c r="AJ4084" s="1"/>
      <c r="AQ4084" s="1"/>
      <c r="AX4084" s="1"/>
    </row>
    <row r="4085" spans="1:50" x14ac:dyDescent="0.25">
      <c r="A4085" s="1"/>
      <c r="H4085" s="1"/>
      <c r="O4085" s="1"/>
      <c r="V4085" s="1"/>
      <c r="AC4085" s="1"/>
      <c r="AJ4085" s="1"/>
      <c r="AQ4085" s="1"/>
      <c r="AX4085" s="1"/>
    </row>
    <row r="4086" spans="1:50" x14ac:dyDescent="0.25">
      <c r="A4086" s="1"/>
      <c r="H4086" s="1"/>
      <c r="O4086" s="1"/>
      <c r="V4086" s="1"/>
      <c r="AC4086" s="1"/>
      <c r="AJ4086" s="1"/>
      <c r="AQ4086" s="1"/>
      <c r="AX4086" s="1"/>
    </row>
    <row r="4087" spans="1:50" x14ac:dyDescent="0.25">
      <c r="A4087" s="1"/>
      <c r="H4087" s="1"/>
      <c r="O4087" s="1"/>
      <c r="V4087" s="1"/>
      <c r="AC4087" s="1"/>
      <c r="AJ4087" s="1"/>
      <c r="AQ4087" s="1"/>
      <c r="AX4087" s="1"/>
    </row>
    <row r="4088" spans="1:50" x14ac:dyDescent="0.25">
      <c r="A4088" s="1"/>
      <c r="H4088" s="1"/>
      <c r="O4088" s="1"/>
      <c r="V4088" s="1"/>
      <c r="AC4088" s="1"/>
      <c r="AJ4088" s="1"/>
      <c r="AQ4088" s="1"/>
      <c r="AX4088" s="1"/>
    </row>
    <row r="4089" spans="1:50" x14ac:dyDescent="0.25">
      <c r="A4089" s="1"/>
      <c r="H4089" s="1"/>
      <c r="O4089" s="1"/>
      <c r="V4089" s="1"/>
      <c r="AC4089" s="1"/>
      <c r="AJ4089" s="1"/>
      <c r="AQ4089" s="1"/>
      <c r="AX4089" s="1"/>
    </row>
    <row r="4090" spans="1:50" x14ac:dyDescent="0.25">
      <c r="A4090" s="1"/>
      <c r="H4090" s="1"/>
      <c r="O4090" s="1"/>
      <c r="V4090" s="1"/>
      <c r="AC4090" s="1"/>
      <c r="AJ4090" s="1"/>
      <c r="AQ4090" s="1"/>
      <c r="AX4090" s="1"/>
    </row>
    <row r="4091" spans="1:50" x14ac:dyDescent="0.25">
      <c r="A4091" s="1"/>
      <c r="H4091" s="1"/>
      <c r="O4091" s="1"/>
      <c r="V4091" s="1"/>
      <c r="AC4091" s="1"/>
      <c r="AJ4091" s="1"/>
      <c r="AQ4091" s="1"/>
      <c r="AX4091" s="1"/>
    </row>
    <row r="4092" spans="1:50" x14ac:dyDescent="0.25">
      <c r="A4092" s="1"/>
      <c r="H4092" s="1"/>
      <c r="O4092" s="1"/>
      <c r="V4092" s="1"/>
      <c r="AC4092" s="1"/>
      <c r="AJ4092" s="1"/>
      <c r="AQ4092" s="1"/>
      <c r="AX4092" s="1"/>
    </row>
    <row r="4093" spans="1:50" x14ac:dyDescent="0.25">
      <c r="A4093" s="1"/>
      <c r="H4093" s="1"/>
      <c r="O4093" s="1"/>
      <c r="V4093" s="1"/>
      <c r="AC4093" s="1"/>
      <c r="AJ4093" s="1"/>
      <c r="AQ4093" s="1"/>
      <c r="AX4093" s="1"/>
    </row>
    <row r="4094" spans="1:50" x14ac:dyDescent="0.25">
      <c r="A4094" s="1"/>
      <c r="H4094" s="1"/>
      <c r="O4094" s="1"/>
      <c r="V4094" s="1"/>
      <c r="AC4094" s="1"/>
      <c r="AJ4094" s="1"/>
      <c r="AQ4094" s="1"/>
      <c r="AX4094" s="1"/>
    </row>
    <row r="4095" spans="1:50" x14ac:dyDescent="0.25">
      <c r="A4095" s="1"/>
      <c r="H4095" s="1"/>
      <c r="O4095" s="1"/>
      <c r="V4095" s="1"/>
      <c r="AC4095" s="1"/>
      <c r="AJ4095" s="1"/>
      <c r="AQ4095" s="1"/>
      <c r="AX4095" s="1"/>
    </row>
    <row r="4096" spans="1:50" x14ac:dyDescent="0.25">
      <c r="A4096" s="1"/>
      <c r="H4096" s="1"/>
      <c r="O4096" s="1"/>
      <c r="V4096" s="1"/>
      <c r="AC4096" s="1"/>
      <c r="AJ4096" s="1"/>
      <c r="AQ4096" s="1"/>
      <c r="AX4096" s="1"/>
    </row>
    <row r="4097" spans="1:50" x14ac:dyDescent="0.25">
      <c r="A4097" s="1"/>
      <c r="H4097" s="1"/>
      <c r="O4097" s="1"/>
      <c r="V4097" s="1"/>
      <c r="AC4097" s="1"/>
      <c r="AJ4097" s="1"/>
      <c r="AQ4097" s="1"/>
      <c r="AX4097" s="1"/>
    </row>
    <row r="4098" spans="1:50" x14ac:dyDescent="0.25">
      <c r="A4098" s="1"/>
      <c r="H4098" s="1"/>
      <c r="O4098" s="1"/>
      <c r="V4098" s="1"/>
      <c r="AC4098" s="1"/>
      <c r="AJ4098" s="1"/>
      <c r="AQ4098" s="1"/>
      <c r="AX4098" s="1"/>
    </row>
    <row r="4099" spans="1:50" x14ac:dyDescent="0.25">
      <c r="A4099" s="1"/>
      <c r="H4099" s="1"/>
      <c r="O4099" s="1"/>
      <c r="V4099" s="1"/>
      <c r="AC4099" s="1"/>
      <c r="AJ4099" s="1"/>
      <c r="AQ4099" s="1"/>
      <c r="AX4099" s="1"/>
    </row>
    <row r="4100" spans="1:50" x14ac:dyDescent="0.25">
      <c r="A4100" s="1"/>
      <c r="H4100" s="1"/>
      <c r="O4100" s="1"/>
      <c r="V4100" s="1"/>
      <c r="AC4100" s="1"/>
      <c r="AJ4100" s="1"/>
      <c r="AQ4100" s="1"/>
      <c r="AX4100" s="1"/>
    </row>
    <row r="4101" spans="1:50" x14ac:dyDescent="0.25">
      <c r="A4101" s="1"/>
      <c r="H4101" s="1"/>
      <c r="O4101" s="1"/>
      <c r="V4101" s="1"/>
      <c r="AC4101" s="1"/>
      <c r="AJ4101" s="1"/>
      <c r="AQ4101" s="1"/>
      <c r="AX4101" s="1"/>
    </row>
    <row r="4102" spans="1:50" x14ac:dyDescent="0.25">
      <c r="A4102" s="1"/>
      <c r="H4102" s="1"/>
      <c r="O4102" s="1"/>
      <c r="V4102" s="1"/>
      <c r="AC4102" s="1"/>
      <c r="AJ4102" s="1"/>
      <c r="AQ4102" s="1"/>
      <c r="AX4102" s="1"/>
    </row>
    <row r="4103" spans="1:50" x14ac:dyDescent="0.25">
      <c r="A4103" s="1"/>
      <c r="H4103" s="1"/>
      <c r="O4103" s="1"/>
      <c r="V4103" s="1"/>
      <c r="AC4103" s="1"/>
      <c r="AJ4103" s="1"/>
      <c r="AQ4103" s="1"/>
      <c r="AX4103" s="1"/>
    </row>
    <row r="4104" spans="1:50" x14ac:dyDescent="0.25">
      <c r="A4104" s="1"/>
      <c r="H4104" s="1"/>
      <c r="O4104" s="1"/>
      <c r="V4104" s="1"/>
      <c r="AC4104" s="1"/>
      <c r="AJ4104" s="1"/>
      <c r="AQ4104" s="1"/>
      <c r="AX4104" s="1"/>
    </row>
    <row r="4105" spans="1:50" x14ac:dyDescent="0.25">
      <c r="A4105" s="1"/>
      <c r="H4105" s="1"/>
      <c r="O4105" s="1"/>
      <c r="V4105" s="1"/>
      <c r="AC4105" s="1"/>
      <c r="AJ4105" s="1"/>
      <c r="AQ4105" s="1"/>
      <c r="AX4105" s="1"/>
    </row>
    <row r="4106" spans="1:50" x14ac:dyDescent="0.25">
      <c r="A4106" s="1"/>
      <c r="H4106" s="1"/>
      <c r="O4106" s="1"/>
      <c r="V4106" s="1"/>
      <c r="AC4106" s="1"/>
      <c r="AJ4106" s="1"/>
      <c r="AQ4106" s="1"/>
      <c r="AX4106" s="1"/>
    </row>
    <row r="4107" spans="1:50" x14ac:dyDescent="0.25">
      <c r="A4107" s="1"/>
      <c r="H4107" s="1"/>
      <c r="O4107" s="1"/>
      <c r="V4107" s="1"/>
      <c r="AC4107" s="1"/>
      <c r="AJ4107" s="1"/>
      <c r="AQ4107" s="1"/>
      <c r="AX4107" s="1"/>
    </row>
    <row r="4108" spans="1:50" x14ac:dyDescent="0.25">
      <c r="A4108" s="1"/>
      <c r="H4108" s="1"/>
      <c r="O4108" s="1"/>
      <c r="V4108" s="1"/>
      <c r="AC4108" s="1"/>
      <c r="AJ4108" s="1"/>
      <c r="AQ4108" s="1"/>
      <c r="AX4108" s="1"/>
    </row>
  </sheetData>
  <mergeCells count="8">
    <mergeCell ref="AX1:BC1"/>
    <mergeCell ref="O1:T1"/>
    <mergeCell ref="AJ1:AO1"/>
    <mergeCell ref="A1:F1"/>
    <mergeCell ref="AQ1:AV1"/>
    <mergeCell ref="V1:AA1"/>
    <mergeCell ref="H1:M1"/>
    <mergeCell ref="AC1:A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>
      <selection activeCell="C26" sqref="C26"/>
    </sheetView>
  </sheetViews>
  <sheetFormatPr defaultRowHeight="15" x14ac:dyDescent="0.25"/>
  <cols>
    <col min="1" max="1" width="16.42578125" bestFit="1" customWidth="1"/>
    <col min="2" max="2" width="18.28515625" bestFit="1" customWidth="1"/>
    <col min="3" max="3" width="28.85546875" bestFit="1" customWidth="1"/>
    <col min="4" max="4" width="72.5703125" bestFit="1" customWidth="1"/>
  </cols>
  <sheetData>
    <row r="1" spans="1:4" ht="18.75" customHeight="1" x14ac:dyDescent="0.3">
      <c r="A1" s="8" t="s">
        <v>46</v>
      </c>
      <c r="B1" s="7"/>
      <c r="C1" s="7"/>
      <c r="D1" s="7"/>
    </row>
    <row r="3" spans="1:4" x14ac:dyDescent="0.25">
      <c r="A3" s="2" t="s">
        <v>47</v>
      </c>
      <c r="B3" s="2" t="s">
        <v>48</v>
      </c>
      <c r="C3" s="2" t="s">
        <v>49</v>
      </c>
      <c r="D3" s="2" t="s">
        <v>50</v>
      </c>
    </row>
    <row r="4" spans="1:4" x14ac:dyDescent="0.25">
      <c r="A4" s="3" t="s">
        <v>51</v>
      </c>
      <c r="B4" s="3" t="s">
        <v>52</v>
      </c>
      <c r="C4" s="3" t="s">
        <v>53</v>
      </c>
      <c r="D4" s="3" t="s">
        <v>54</v>
      </c>
    </row>
    <row r="5" spans="1:4" x14ac:dyDescent="0.25">
      <c r="A5" s="3" t="s">
        <v>51</v>
      </c>
      <c r="B5" s="3" t="s">
        <v>55</v>
      </c>
      <c r="C5" s="3" t="s">
        <v>56</v>
      </c>
      <c r="D5" s="3" t="s">
        <v>57</v>
      </c>
    </row>
    <row r="6" spans="1:4" x14ac:dyDescent="0.25">
      <c r="A6" s="3" t="s">
        <v>51</v>
      </c>
      <c r="B6" s="3" t="s">
        <v>58</v>
      </c>
      <c r="C6" s="3" t="s">
        <v>59</v>
      </c>
      <c r="D6" s="3" t="s">
        <v>60</v>
      </c>
    </row>
    <row r="7" spans="1:4" x14ac:dyDescent="0.25">
      <c r="A7" s="3" t="s">
        <v>51</v>
      </c>
      <c r="B7" s="3" t="s">
        <v>61</v>
      </c>
      <c r="C7" s="3" t="s">
        <v>62</v>
      </c>
      <c r="D7" s="3" t="s">
        <v>63</v>
      </c>
    </row>
    <row r="8" spans="1:4" x14ac:dyDescent="0.25">
      <c r="A8" s="3" t="s">
        <v>51</v>
      </c>
      <c r="B8" s="3" t="s">
        <v>64</v>
      </c>
      <c r="C8" s="3" t="s">
        <v>65</v>
      </c>
      <c r="D8" s="3" t="s">
        <v>66</v>
      </c>
    </row>
    <row r="9" spans="1:4" x14ac:dyDescent="0.25">
      <c r="A9" s="3" t="s">
        <v>51</v>
      </c>
      <c r="B9" s="3" t="s">
        <v>67</v>
      </c>
      <c r="C9" s="3" t="s">
        <v>68</v>
      </c>
      <c r="D9" s="3" t="s">
        <v>69</v>
      </c>
    </row>
    <row r="10" spans="1:4" x14ac:dyDescent="0.25">
      <c r="A10" s="3" t="s">
        <v>70</v>
      </c>
      <c r="B10" s="3" t="s">
        <v>71</v>
      </c>
      <c r="C10" s="3" t="s">
        <v>72</v>
      </c>
      <c r="D10" s="3" t="s">
        <v>73</v>
      </c>
    </row>
    <row r="11" spans="1:4" x14ac:dyDescent="0.25">
      <c r="A11" s="3" t="s">
        <v>70</v>
      </c>
      <c r="B11" s="3" t="s">
        <v>74</v>
      </c>
      <c r="C11" s="3" t="s">
        <v>75</v>
      </c>
      <c r="D11" s="3" t="s">
        <v>76</v>
      </c>
    </row>
    <row r="12" spans="1:4" x14ac:dyDescent="0.25">
      <c r="A12" s="3" t="s">
        <v>70</v>
      </c>
      <c r="B12" s="3" t="s">
        <v>77</v>
      </c>
      <c r="C12" s="3" t="s">
        <v>78</v>
      </c>
      <c r="D12" s="3" t="s">
        <v>79</v>
      </c>
    </row>
    <row r="14" spans="1:4" ht="18.75" customHeight="1" x14ac:dyDescent="0.3">
      <c r="A14" s="8" t="s">
        <v>80</v>
      </c>
      <c r="B14" s="7"/>
      <c r="C14" s="7"/>
      <c r="D14" s="7"/>
    </row>
    <row r="16" spans="1:4" x14ac:dyDescent="0.25">
      <c r="A16" s="2" t="s">
        <v>47</v>
      </c>
      <c r="B16" s="2" t="s">
        <v>48</v>
      </c>
      <c r="C16" s="2" t="s">
        <v>49</v>
      </c>
      <c r="D16" s="2" t="s">
        <v>50</v>
      </c>
    </row>
    <row r="17" spans="1:4" x14ac:dyDescent="0.25">
      <c r="A17" s="3" t="s">
        <v>81</v>
      </c>
      <c r="B17" s="3" t="s">
        <v>82</v>
      </c>
      <c r="C17" s="3" t="s">
        <v>83</v>
      </c>
      <c r="D17" s="3" t="s">
        <v>84</v>
      </c>
    </row>
    <row r="18" spans="1:4" x14ac:dyDescent="0.25">
      <c r="A18" s="3" t="s">
        <v>85</v>
      </c>
      <c r="B18" s="3" t="s">
        <v>86</v>
      </c>
      <c r="C18" s="3" t="s">
        <v>87</v>
      </c>
      <c r="D18" s="3" t="s">
        <v>88</v>
      </c>
    </row>
    <row r="19" spans="1:4" x14ac:dyDescent="0.25">
      <c r="A19" s="3" t="s">
        <v>89</v>
      </c>
      <c r="B19" s="3" t="s">
        <v>90</v>
      </c>
      <c r="C19" s="3" t="s">
        <v>91</v>
      </c>
      <c r="D19" s="3" t="s">
        <v>92</v>
      </c>
    </row>
    <row r="20" spans="1:4" x14ac:dyDescent="0.25">
      <c r="A20" s="3" t="s">
        <v>93</v>
      </c>
      <c r="B20" s="3" t="s">
        <v>94</v>
      </c>
      <c r="C20" s="3" t="s">
        <v>95</v>
      </c>
      <c r="D20" s="3" t="s">
        <v>96</v>
      </c>
    </row>
    <row r="21" spans="1:4" x14ac:dyDescent="0.25">
      <c r="A21" s="3" t="s">
        <v>97</v>
      </c>
      <c r="B21" s="3" t="s">
        <v>98</v>
      </c>
      <c r="C21" s="3" t="s">
        <v>99</v>
      </c>
      <c r="D21" s="3" t="s">
        <v>100</v>
      </c>
    </row>
    <row r="22" spans="1:4" x14ac:dyDescent="0.25">
      <c r="A22" s="3" t="s">
        <v>97</v>
      </c>
      <c r="B22" s="3" t="s">
        <v>101</v>
      </c>
      <c r="C22" s="3" t="s">
        <v>102</v>
      </c>
      <c r="D22" s="3" t="s">
        <v>103</v>
      </c>
    </row>
    <row r="23" spans="1:4" x14ac:dyDescent="0.25">
      <c r="A23" s="3" t="s">
        <v>104</v>
      </c>
      <c r="B23" s="3" t="s">
        <v>105</v>
      </c>
      <c r="C23" s="3" t="s">
        <v>106</v>
      </c>
      <c r="D23" s="3" t="s">
        <v>107</v>
      </c>
    </row>
    <row r="24" spans="1:4" x14ac:dyDescent="0.25">
      <c r="A24" s="3" t="s">
        <v>104</v>
      </c>
      <c r="B24" s="3" t="s">
        <v>108</v>
      </c>
      <c r="C24" s="3" t="s">
        <v>109</v>
      </c>
      <c r="D24" s="3" t="s">
        <v>110</v>
      </c>
    </row>
  </sheetData>
  <mergeCells count="2">
    <mergeCell ref="A1:D1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D120"/>
  <sheetViews>
    <sheetView topLeftCell="A104" workbookViewId="0">
      <selection activeCell="A121" sqref="A121"/>
    </sheetView>
  </sheetViews>
  <sheetFormatPr defaultRowHeight="15" x14ac:dyDescent="0.25"/>
  <sheetData>
    <row r="1" spans="1:186" x14ac:dyDescent="0.25">
      <c r="A1" t="s">
        <v>111</v>
      </c>
      <c r="L1" t="s">
        <v>112</v>
      </c>
      <c r="W1" t="s">
        <v>113</v>
      </c>
      <c r="AH1" t="s">
        <v>114</v>
      </c>
      <c r="AS1" t="s">
        <v>115</v>
      </c>
      <c r="BD1" t="s">
        <v>116</v>
      </c>
      <c r="BO1" t="s">
        <v>117</v>
      </c>
      <c r="BZ1" t="s">
        <v>118</v>
      </c>
      <c r="CK1" t="s">
        <v>119</v>
      </c>
      <c r="CV1" t="s">
        <v>120</v>
      </c>
      <c r="DG1" t="s">
        <v>121</v>
      </c>
      <c r="DR1" t="s">
        <v>122</v>
      </c>
      <c r="EC1" t="s">
        <v>123</v>
      </c>
      <c r="EN1" t="s">
        <v>124</v>
      </c>
      <c r="EY1" t="s">
        <v>125</v>
      </c>
      <c r="FJ1" t="s">
        <v>126</v>
      </c>
      <c r="FU1" t="s">
        <v>127</v>
      </c>
    </row>
    <row r="2" spans="1:186" x14ac:dyDescent="0.25">
      <c r="A2" t="s">
        <v>14</v>
      </c>
      <c r="B2" t="s">
        <v>128</v>
      </c>
      <c r="C2" t="s">
        <v>129</v>
      </c>
      <c r="D2" t="s">
        <v>130</v>
      </c>
      <c r="E2" t="s">
        <v>131</v>
      </c>
      <c r="F2" t="s">
        <v>132</v>
      </c>
      <c r="G2" t="s">
        <v>133</v>
      </c>
      <c r="H2" t="s">
        <v>134</v>
      </c>
      <c r="I2" t="s">
        <v>135</v>
      </c>
      <c r="J2" t="s">
        <v>19</v>
      </c>
      <c r="L2" t="s">
        <v>14</v>
      </c>
      <c r="M2" t="s">
        <v>128</v>
      </c>
      <c r="N2" t="s">
        <v>129</v>
      </c>
      <c r="O2" t="s">
        <v>130</v>
      </c>
      <c r="P2" t="s">
        <v>131</v>
      </c>
      <c r="Q2" t="s">
        <v>132</v>
      </c>
      <c r="R2" t="s">
        <v>133</v>
      </c>
      <c r="S2" t="s">
        <v>134</v>
      </c>
      <c r="T2" t="s">
        <v>135</v>
      </c>
      <c r="U2" t="s">
        <v>19</v>
      </c>
      <c r="W2" t="s">
        <v>14</v>
      </c>
      <c r="X2" t="s">
        <v>128</v>
      </c>
      <c r="Y2" t="s">
        <v>129</v>
      </c>
      <c r="Z2" t="s">
        <v>130</v>
      </c>
      <c r="AA2" t="s">
        <v>131</v>
      </c>
      <c r="AB2" t="s">
        <v>132</v>
      </c>
      <c r="AC2" t="s">
        <v>133</v>
      </c>
      <c r="AD2" t="s">
        <v>134</v>
      </c>
      <c r="AE2" t="s">
        <v>135</v>
      </c>
      <c r="AF2" t="s">
        <v>19</v>
      </c>
      <c r="AH2" t="s">
        <v>14</v>
      </c>
      <c r="AI2" t="s">
        <v>128</v>
      </c>
      <c r="AJ2" t="s">
        <v>129</v>
      </c>
      <c r="AK2" t="s">
        <v>130</v>
      </c>
      <c r="AL2" t="s">
        <v>131</v>
      </c>
      <c r="AM2" t="s">
        <v>132</v>
      </c>
      <c r="AN2" t="s">
        <v>133</v>
      </c>
      <c r="AO2" t="s">
        <v>134</v>
      </c>
      <c r="AP2" t="s">
        <v>135</v>
      </c>
      <c r="AQ2" t="s">
        <v>19</v>
      </c>
      <c r="AS2" t="s">
        <v>14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134</v>
      </c>
      <c r="BA2" t="s">
        <v>135</v>
      </c>
      <c r="BB2" t="s">
        <v>19</v>
      </c>
      <c r="BD2" t="s">
        <v>14</v>
      </c>
      <c r="BE2" t="s">
        <v>128</v>
      </c>
      <c r="BF2" t="s">
        <v>129</v>
      </c>
      <c r="BG2" t="s">
        <v>130</v>
      </c>
      <c r="BH2" t="s">
        <v>131</v>
      </c>
      <c r="BI2" t="s">
        <v>132</v>
      </c>
      <c r="BJ2" t="s">
        <v>133</v>
      </c>
      <c r="BK2" t="s">
        <v>134</v>
      </c>
      <c r="BL2" t="s">
        <v>135</v>
      </c>
      <c r="BM2" t="s">
        <v>19</v>
      </c>
      <c r="BO2" t="s">
        <v>14</v>
      </c>
      <c r="BP2" t="s">
        <v>128</v>
      </c>
      <c r="BQ2" t="s">
        <v>129</v>
      </c>
      <c r="BR2" t="s">
        <v>130</v>
      </c>
      <c r="BS2" t="s">
        <v>131</v>
      </c>
      <c r="BT2" t="s">
        <v>132</v>
      </c>
      <c r="BU2" t="s">
        <v>133</v>
      </c>
      <c r="BV2" t="s">
        <v>134</v>
      </c>
      <c r="BW2" t="s">
        <v>135</v>
      </c>
      <c r="BX2" t="s">
        <v>19</v>
      </c>
      <c r="BZ2" t="s">
        <v>14</v>
      </c>
      <c r="CA2" t="s">
        <v>128</v>
      </c>
      <c r="CB2" t="s">
        <v>129</v>
      </c>
      <c r="CC2" t="s">
        <v>130</v>
      </c>
      <c r="CD2" t="s">
        <v>131</v>
      </c>
      <c r="CE2" t="s">
        <v>132</v>
      </c>
      <c r="CF2" t="s">
        <v>133</v>
      </c>
      <c r="CG2" t="s">
        <v>134</v>
      </c>
      <c r="CH2" t="s">
        <v>135</v>
      </c>
      <c r="CI2" t="s">
        <v>19</v>
      </c>
      <c r="CK2" t="s">
        <v>14</v>
      </c>
      <c r="CL2" t="s">
        <v>128</v>
      </c>
      <c r="CM2" t="s">
        <v>129</v>
      </c>
      <c r="CN2" t="s">
        <v>130</v>
      </c>
      <c r="CO2" t="s">
        <v>131</v>
      </c>
      <c r="CP2" t="s">
        <v>132</v>
      </c>
      <c r="CQ2" t="s">
        <v>133</v>
      </c>
      <c r="CR2" t="s">
        <v>134</v>
      </c>
      <c r="CS2" t="s">
        <v>135</v>
      </c>
      <c r="CT2" t="s">
        <v>19</v>
      </c>
      <c r="CV2" t="s">
        <v>14</v>
      </c>
      <c r="CW2" t="s">
        <v>128</v>
      </c>
      <c r="CX2" t="s">
        <v>129</v>
      </c>
      <c r="CY2" t="s">
        <v>130</v>
      </c>
      <c r="CZ2" t="s">
        <v>131</v>
      </c>
      <c r="DA2" t="s">
        <v>132</v>
      </c>
      <c r="DB2" t="s">
        <v>133</v>
      </c>
      <c r="DC2" t="s">
        <v>134</v>
      </c>
      <c r="DD2" t="s">
        <v>135</v>
      </c>
      <c r="DE2" t="s">
        <v>19</v>
      </c>
      <c r="DG2" t="s">
        <v>14</v>
      </c>
      <c r="DH2" t="s">
        <v>128</v>
      </c>
      <c r="DI2" t="s">
        <v>129</v>
      </c>
      <c r="DJ2" t="s">
        <v>130</v>
      </c>
      <c r="DK2" t="s">
        <v>131</v>
      </c>
      <c r="DL2" t="s">
        <v>132</v>
      </c>
      <c r="DM2" t="s">
        <v>133</v>
      </c>
      <c r="DN2" t="s">
        <v>134</v>
      </c>
      <c r="DO2" t="s">
        <v>135</v>
      </c>
      <c r="DP2" t="s">
        <v>19</v>
      </c>
      <c r="DR2" t="s">
        <v>14</v>
      </c>
      <c r="DS2" t="s">
        <v>128</v>
      </c>
      <c r="DT2" t="s">
        <v>129</v>
      </c>
      <c r="DU2" t="s">
        <v>130</v>
      </c>
      <c r="DV2" t="s">
        <v>131</v>
      </c>
      <c r="DW2" t="s">
        <v>132</v>
      </c>
      <c r="DX2" t="s">
        <v>133</v>
      </c>
      <c r="DY2" t="s">
        <v>134</v>
      </c>
      <c r="DZ2" t="s">
        <v>135</v>
      </c>
      <c r="EA2" t="s">
        <v>19</v>
      </c>
      <c r="EC2" t="s">
        <v>14</v>
      </c>
      <c r="ED2" t="s">
        <v>128</v>
      </c>
      <c r="EE2" t="s">
        <v>129</v>
      </c>
      <c r="EF2" t="s">
        <v>130</v>
      </c>
      <c r="EG2" t="s">
        <v>131</v>
      </c>
      <c r="EH2" t="s">
        <v>132</v>
      </c>
      <c r="EI2" t="s">
        <v>133</v>
      </c>
      <c r="EJ2" t="s">
        <v>134</v>
      </c>
      <c r="EK2" t="s">
        <v>135</v>
      </c>
      <c r="EL2" t="s">
        <v>19</v>
      </c>
      <c r="EN2" t="s">
        <v>14</v>
      </c>
      <c r="EO2" t="s">
        <v>128</v>
      </c>
      <c r="EP2" t="s">
        <v>129</v>
      </c>
      <c r="EQ2" t="s">
        <v>130</v>
      </c>
      <c r="ER2" t="s">
        <v>131</v>
      </c>
      <c r="ES2" t="s">
        <v>132</v>
      </c>
      <c r="ET2" t="s">
        <v>133</v>
      </c>
      <c r="EU2" t="s">
        <v>134</v>
      </c>
      <c r="EV2" t="s">
        <v>135</v>
      </c>
      <c r="EW2" t="s">
        <v>19</v>
      </c>
      <c r="EY2" t="s">
        <v>14</v>
      </c>
      <c r="EZ2" t="s">
        <v>128</v>
      </c>
      <c r="FA2" t="s">
        <v>129</v>
      </c>
      <c r="FB2" t="s">
        <v>130</v>
      </c>
      <c r="FC2" t="s">
        <v>131</v>
      </c>
      <c r="FD2" t="s">
        <v>132</v>
      </c>
      <c r="FE2" t="s">
        <v>133</v>
      </c>
      <c r="FF2" t="s">
        <v>134</v>
      </c>
      <c r="FG2" t="s">
        <v>135</v>
      </c>
      <c r="FH2" t="s">
        <v>19</v>
      </c>
      <c r="FJ2" t="s">
        <v>14</v>
      </c>
      <c r="FK2" t="s">
        <v>128</v>
      </c>
      <c r="FL2" t="s">
        <v>129</v>
      </c>
      <c r="FM2" t="s">
        <v>130</v>
      </c>
      <c r="FN2" t="s">
        <v>131</v>
      </c>
      <c r="FO2" t="s">
        <v>132</v>
      </c>
      <c r="FP2" t="s">
        <v>133</v>
      </c>
      <c r="FQ2" t="s">
        <v>134</v>
      </c>
      <c r="FR2" t="s">
        <v>135</v>
      </c>
      <c r="FS2" t="s">
        <v>19</v>
      </c>
      <c r="FU2" t="s">
        <v>14</v>
      </c>
      <c r="FV2" t="s">
        <v>128</v>
      </c>
      <c r="FW2" t="s">
        <v>129</v>
      </c>
      <c r="FX2" t="s">
        <v>130</v>
      </c>
      <c r="FY2" t="s">
        <v>131</v>
      </c>
      <c r="FZ2" t="s">
        <v>132</v>
      </c>
      <c r="GA2" t="s">
        <v>133</v>
      </c>
      <c r="GB2" t="s">
        <v>134</v>
      </c>
      <c r="GC2" t="s">
        <v>135</v>
      </c>
      <c r="GD2" t="s">
        <v>19</v>
      </c>
    </row>
    <row r="3" spans="1:186" x14ac:dyDescent="0.25">
      <c r="A3">
        <f>IFERROR('Fat Spreads'!A3,"")</f>
        <v>46150</v>
      </c>
      <c r="B3">
        <f>IFERROR(('Fat Spreads'!B3-AVERAGE('Fat Spreads'!$B$3:$B$4308))/STDEV('Fat Spreads'!$B$3:$B$4308),"")</f>
        <v>-10.770723029410384</v>
      </c>
      <c r="C3">
        <f>IFERROR('Fat Spreads'!B3-'Fat Spreads'!B8,"")</f>
        <v>-12.075000000000017</v>
      </c>
      <c r="D3">
        <f>IFERROR('Fat Spreads'!B3-'Fat Spreads'!B13,"")</f>
        <v>-12.075000000000017</v>
      </c>
      <c r="E3">
        <f>IFERROR(AVERAGE('Fat Spreads'!B3:B22)+2*STDEV('Fat Spreads'!B3:B22),"")</f>
        <v>4.7963541656619988</v>
      </c>
      <c r="F3">
        <f>IFERROR(AVERAGE('Fat Spreads'!B3:B22)-2*STDEV('Fat Spreads'!B3:B22),"")</f>
        <v>-6.0038541656620001</v>
      </c>
      <c r="G3">
        <f>IFERROR(('Fat Spreads'!B3-(AVERAGE('Fat Spreads'!B3:B22)-2*STDEV('Fat Spreads'!B3:B22)))/(4*STDEV('Fat Spreads'!B3:B22)),"")</f>
        <v>-0.56213228931240022</v>
      </c>
      <c r="H3">
        <f>IFERROR(4*STDEV('Fat Spreads'!B3:B22)/AVERAGE('Fat Spreads'!B3:B22),"")</f>
        <v>-17.888543819998315</v>
      </c>
      <c r="I3">
        <v>20.536899999999999</v>
      </c>
      <c r="J3">
        <f>IFERROR(SQRT((SUMSQ('Fat Spreads'!B3:B22)-2*SUMPRODUCT('Fat Spreads'!B3:B22,'Fat Spreads'!B4:B23)+SUMSQ('Fat Spreads'!B4:B23)-('Fat Spreads'!B3-'Fat Spreads'!B23)^2/20)/19),"")</f>
        <v>2.7000520828309997</v>
      </c>
      <c r="L3">
        <f>IFERROR('Fat Spreads'!H3,"")</f>
        <v>46150</v>
      </c>
      <c r="M3">
        <f>IFERROR(('Fat Spreads'!I3-AVERAGE('Fat Spreads'!$I$3:$I$4308))/STDEV('Fat Spreads'!$I$3:$I$4308),"")</f>
        <v>10.770723029410384</v>
      </c>
      <c r="N3">
        <f>IFERROR('Fat Spreads'!I3-'Fat Spreads'!I8,"")</f>
        <v>4.8000000000000114</v>
      </c>
      <c r="O3">
        <f>IFERROR('Fat Spreads'!I3-'Fat Spreads'!I13,"")</f>
        <v>4.8000000000000114</v>
      </c>
      <c r="P3">
        <f>IFERROR(AVERAGE('Fat Spreads'!I3:I22)+2*STDEV('Fat Spreads'!I3:I22),"")</f>
        <v>2.3866252583998038</v>
      </c>
      <c r="Q3">
        <f>IFERROR(AVERAGE('Fat Spreads'!I3:I22)-2*STDEV('Fat Spreads'!I3:I22),"")</f>
        <v>-1.9066252583998025</v>
      </c>
      <c r="R3">
        <f>IFERROR(('Fat Spreads'!I3-(AVERAGE('Fat Spreads'!I3:I22)-2*STDEV('Fat Spreads'!I3:I22)))/(4*STDEV('Fat Spreads'!I3:I22)),"")</f>
        <v>1.5621322893124003</v>
      </c>
      <c r="S3">
        <f>IFERROR(4*STDEV('Fat Spreads'!I3:I22)/AVERAGE('Fat Spreads'!I3:I22),"")</f>
        <v>17.888543819998315</v>
      </c>
      <c r="T3">
        <v>67.837699999999998</v>
      </c>
      <c r="U3">
        <f>IFERROR(SQRT((SUMSQ('Fat Spreads'!I3:I22)-2*SUMPRODUCT('Fat Spreads'!I3:I22,'Fat Spreads'!I4:I23)+SUMSQ('Fat Spreads'!I4:I23)-('Fat Spreads'!I3-'Fat Spreads'!I23)^2/20)/19),"")</f>
        <v>1.0733126291999016</v>
      </c>
      <c r="W3">
        <f>IFERROR('Fat Spreads'!AQ3,"")</f>
        <v>46150</v>
      </c>
      <c r="X3">
        <f>IFERROR(('Fat Spreads'!AR3-AVERAGE('Fat Spreads'!$AR$3:$AR$4308))/STDEV('Fat Spreads'!$AR$3:$AR$4308),"")</f>
        <v>10.770723029410386</v>
      </c>
      <c r="Y3">
        <f>IFERROR('Fat Spreads'!AR3-'Fat Spreads'!AR8,"")</f>
        <v>6.5749999999999886</v>
      </c>
      <c r="Z3">
        <f>IFERROR('Fat Spreads'!AR3-'Fat Spreads'!AR13,"")</f>
        <v>6.5749999999999886</v>
      </c>
      <c r="AA3">
        <f>IFERROR(AVERAGE('Fat Spreads'!AR3:AR22)+2*STDEV('Fat Spreads'!AR3:AR22),"")</f>
        <v>3.2691793904122175</v>
      </c>
      <c r="AB3">
        <f>IFERROR(AVERAGE('Fat Spreads'!AR3:AR22)-2*STDEV('Fat Spreads'!AR3:AR22),"")</f>
        <v>-2.6116793904122186</v>
      </c>
      <c r="AC3">
        <f>IFERROR(('Fat Spreads'!AR3-(AVERAGE('Fat Spreads'!AR3:AR22)-2*STDEV('Fat Spreads'!AR3:AR22)))/(4*STDEV('Fat Spreads'!AR3:AR22)),"")</f>
        <v>1.5621322893124001</v>
      </c>
      <c r="AD3">
        <f>IFERROR(4*STDEV('Fat Spreads'!AR3:AR22)/AVERAGE('Fat Spreads'!AR3:AR22),"")</f>
        <v>17.888543819998315</v>
      </c>
      <c r="AE3">
        <v>61.161000000000001</v>
      </c>
      <c r="AF3">
        <f>IFERROR(SQRT((SUMSQ('Fat Spreads'!AR3:AR22)-2*SUMPRODUCT('Fat Spreads'!AR3:AR22,'Fat Spreads'!AR4:AR23)+SUMSQ('Fat Spreads'!AR4:AR23)-('Fat Spreads'!AR3-'Fat Spreads'!AR23)^2/20)/19),"")</f>
        <v>1.470214695206109</v>
      </c>
      <c r="AH3">
        <f>IFERROR('Fat Spreads'!O3,"")</f>
        <v>46150</v>
      </c>
      <c r="AI3">
        <f>IFERROR(('Fat Spreads'!P3-AVERAGE('Fat Spreads'!$P$3:$P$4308))/STDEV('Fat Spreads'!$P$3:$P$4308),"")</f>
        <v>10.770723029410384</v>
      </c>
      <c r="AJ3">
        <f>IFERROR('Fat Spreads'!P3-'Fat Spreads'!P8,"")</f>
        <v>5.7999999999999829</v>
      </c>
      <c r="AK3">
        <f>IFERROR('Fat Spreads'!P3-'Fat Spreads'!P13,"")</f>
        <v>5.7999999999999829</v>
      </c>
      <c r="AL3">
        <f>IFERROR(AVERAGE('Fat Spreads'!P3:P22)+2*STDEV('Fat Spreads'!P3:P22),"")</f>
        <v>2.8838388538997473</v>
      </c>
      <c r="AM3">
        <f>IFERROR(AVERAGE('Fat Spreads'!P3:P22)-2*STDEV('Fat Spreads'!P3:P22),"")</f>
        <v>-2.303838853899749</v>
      </c>
      <c r="AN3">
        <f>IFERROR(('Fat Spreads'!P3-(AVERAGE('Fat Spreads'!P3:P22)-2*STDEV('Fat Spreads'!P3:P22)))/(4*STDEV('Fat Spreads'!P3:P22)),"")</f>
        <v>1.5621322893124001</v>
      </c>
      <c r="AO3">
        <f>IFERROR(4*STDEV('Fat Spreads'!P3:P22)/AVERAGE('Fat Spreads'!P3:P22),"")</f>
        <v>17.888543819998315</v>
      </c>
      <c r="AP3">
        <v>63.164499999999997</v>
      </c>
      <c r="AQ3">
        <f>IFERROR(SQRT((SUMSQ('Fat Spreads'!P3:P22)-2*SUMPRODUCT('Fat Spreads'!P3:P22,'Fat Spreads'!P4:P23)+SUMSQ('Fat Spreads'!P4:P23)-('Fat Spreads'!P3-'Fat Spreads'!P23)^2/20)/19),"")</f>
        <v>1.2969194269498741</v>
      </c>
      <c r="AS3">
        <f>IFERROR('Fat Spreads'!AJ3,"")</f>
        <v>46150</v>
      </c>
      <c r="AT3">
        <f>IFERROR(('Fat Spreads'!AK3-AVERAGE('Fat Spreads'!$AK$3:$AK$4308))/STDEV('Fat Spreads'!$AK$3:$AK$4308),"")</f>
        <v>10.770723029410382</v>
      </c>
      <c r="AU3">
        <f>IFERROR('Fat Spreads'!AK3-'Fat Spreads'!AK8,"")</f>
        <v>0.625</v>
      </c>
      <c r="AV3">
        <f>IFERROR('Fat Spreads'!AK3-'Fat Spreads'!AK13,"")</f>
        <v>0.625</v>
      </c>
      <c r="AW3">
        <f>IFERROR(AVERAGE('Fat Spreads'!AK3:AK22)+2*STDEV('Fat Spreads'!AK3:AK22),"")</f>
        <v>0.31075849718747373</v>
      </c>
      <c r="AX3">
        <f>IFERROR(AVERAGE('Fat Spreads'!AK3:AK22)-2*STDEV('Fat Spreads'!AK3:AK22),"")</f>
        <v>-0.24825849718747373</v>
      </c>
      <c r="AY3">
        <f>IFERROR(('Fat Spreads'!AK3-(AVERAGE('Fat Spreads'!AK3:AK22)-2*STDEV('Fat Spreads'!AK3:AK22)))/(4*STDEV('Fat Spreads'!AK3:AK22)),"")</f>
        <v>1.5621322893124001</v>
      </c>
      <c r="AZ3">
        <f>IFERROR(4*STDEV('Fat Spreads'!AK3:AK22)/AVERAGE('Fat Spreads'!AK3:AK22),"")</f>
        <v>17.888543819998318</v>
      </c>
      <c r="BA3">
        <v>69.859200000000001</v>
      </c>
      <c r="BB3">
        <f>IFERROR(SQRT((SUMSQ('Fat Spreads'!AK3:AK22)-2*SUMPRODUCT('Fat Spreads'!AK3:AK22,'Fat Spreads'!AK4:AK23)+SUMSQ('Fat Spreads'!AK4:AK23)-('Fat Spreads'!AK3-'Fat Spreads'!AK23)^2/20)/19),"")</f>
        <v>0.13975424859373686</v>
      </c>
      <c r="BD3">
        <f>IFERROR('Fat Spreads'!V3,"")</f>
        <v>46150</v>
      </c>
      <c r="BE3">
        <f>IFERROR(('Fat Spreads'!W3-AVERAGE('Fat Spreads'!$W$3:$W$4308))/STDEV('Fat Spreads'!$W$3:$W$4308),"")</f>
        <v>10.770723029410384</v>
      </c>
      <c r="BF3">
        <f>IFERROR('Fat Spreads'!W3-'Fat Spreads'!W8,"")</f>
        <v>0.77500000000000568</v>
      </c>
      <c r="BG3">
        <f>IFERROR('Fat Spreads'!W3-'Fat Spreads'!W13,"")</f>
        <v>0.77500000000000568</v>
      </c>
      <c r="BH3">
        <f>IFERROR(AVERAGE('Fat Spreads'!W3:W22)+2*STDEV('Fat Spreads'!W3:W22),"")</f>
        <v>0.38534053651247024</v>
      </c>
      <c r="BI3">
        <f>IFERROR(AVERAGE('Fat Spreads'!W3:W22)-2*STDEV('Fat Spreads'!W3:W22),"")</f>
        <v>-0.30784053651246968</v>
      </c>
      <c r="BJ3">
        <f>IFERROR(('Fat Spreads'!W3-(AVERAGE('Fat Spreads'!W3:W22)-2*STDEV('Fat Spreads'!W3:W22)))/(4*STDEV('Fat Spreads'!W3:W22)),"")</f>
        <v>1.5621322893124001</v>
      </c>
      <c r="BK3">
        <f>IFERROR(4*STDEV('Fat Spreads'!W3:W22)/AVERAGE('Fat Spreads'!W3:W22),"")</f>
        <v>17.888543819998318</v>
      </c>
      <c r="BL3">
        <v>52.776600000000002</v>
      </c>
      <c r="BM3">
        <f>IFERROR(SQRT((SUMSQ('Fat Spreads'!W3:W22)-2*SUMPRODUCT('Fat Spreads'!W3:W22,'Fat Spreads'!W4:W23)+SUMSQ('Fat Spreads'!W4:W23)-('Fat Spreads'!W3-'Fat Spreads'!W23)^2/20)/19),"")</f>
        <v>0.17329526825623498</v>
      </c>
      <c r="BO3">
        <f>IFERROR('Fat Spreads'!AC3,"")</f>
        <v>46150</v>
      </c>
      <c r="BP3">
        <f>IFERROR(('Fat Spreads'!AD3-AVERAGE('Fat Spreads'!$AD$3:$AD$4308))/STDEV('Fat Spreads'!$AD$3:$AD$4308),"")</f>
        <v>10.770723029410384</v>
      </c>
      <c r="BQ3">
        <f>IFERROR('Fat Spreads'!AD3-'Fat Spreads'!AD8,"")</f>
        <v>7.5000000000017053E-2</v>
      </c>
      <c r="BR3">
        <f>IFERROR('Fat Spreads'!AD3-'Fat Spreads'!AD13,"")</f>
        <v>7.5000000000017053E-2</v>
      </c>
      <c r="BS3">
        <f>IFERROR(AVERAGE('Fat Spreads'!AD3:AD22)+2*STDEV('Fat Spreads'!AD3:AD22),"")</f>
        <v>3.7291019662505323E-2</v>
      </c>
      <c r="BT3">
        <f>IFERROR(AVERAGE('Fat Spreads'!AD3:AD22)-2*STDEV('Fat Spreads'!AD3:AD22),"")</f>
        <v>-2.979101966250362E-2</v>
      </c>
      <c r="BU3">
        <f>IFERROR(('Fat Spreads'!AD3-(AVERAGE('Fat Spreads'!AD3:AD22)-2*STDEV('Fat Spreads'!AD3:AD22)))/(4*STDEV('Fat Spreads'!AD3:AD22)),"")</f>
        <v>1.5621322893124001</v>
      </c>
      <c r="BV3">
        <f>IFERROR(4*STDEV('Fat Spreads'!AD3:AD22)/AVERAGE('Fat Spreads'!AD3:AD22),"")</f>
        <v>17.888543819998318</v>
      </c>
      <c r="BW3">
        <v>54.040199999999999</v>
      </c>
      <c r="BX3">
        <f>IFERROR(SQRT((SUMSQ('Fat Spreads'!AD3:AD22)-2*SUMPRODUCT('Fat Spreads'!AD3:AD22,'Fat Spreads'!AD4:AD23)+SUMSQ('Fat Spreads'!AD4:AD23)-('Fat Spreads'!AD3-'Fat Spreads'!AD23)^2/20)/19),"")</f>
        <v>1.6770509831252237E-2</v>
      </c>
      <c r="BZ3">
        <f>IFERROR('Feeder Spreads'!A3,"")</f>
        <v>46150</v>
      </c>
      <c r="CA3">
        <f>IFERROR(('Feeder Spreads'!B3-AVERAGE('Feeder Spreads'!$B$3:$B$4308))/STDEV('Feeder Spreads'!$B$3:$B$4308),"")</f>
        <v>10.770723029410384</v>
      </c>
      <c r="CB3">
        <f>IFERROR('Feeder Spreads'!B3-'Feeder Spreads'!B8,"")</f>
        <v>4.4499999999999886</v>
      </c>
      <c r="CC3">
        <f>IFERROR('Feeder Spreads'!B3-'Feeder Spreads'!B13,"")</f>
        <v>4.4499999999999886</v>
      </c>
      <c r="CD3">
        <f>IFERROR(AVERAGE('Feeder Spreads'!B3:B22)+2*STDEV('Feeder Spreads'!B3:B22),"")</f>
        <v>2.212600499974807</v>
      </c>
      <c r="CE3">
        <f>IFERROR(AVERAGE('Feeder Spreads'!B3:B22)-2*STDEV('Feeder Spreads'!B3:B22),"")</f>
        <v>-1.7676004999748083</v>
      </c>
      <c r="CF3">
        <f>IFERROR(('Feeder Spreads'!B3-(AVERAGE('Feeder Spreads'!B3:B22)-2*STDEV('Feeder Spreads'!B3:B22)))/(4*STDEV('Feeder Spreads'!B3:B22)),"")</f>
        <v>1.5621322893124001</v>
      </c>
      <c r="CG3">
        <f>IFERROR(4*STDEV('Feeder Spreads'!B3:B22)/AVERAGE('Feeder Spreads'!B3:B22),"")</f>
        <v>17.888543819998318</v>
      </c>
      <c r="CH3">
        <v>56.690800000000003</v>
      </c>
      <c r="CI3">
        <f>IFERROR(SQRT((SUMSQ('Feeder Spreads'!B3:B22)-2*SUMPRODUCT('Feeder Spreads'!B3:B22,'Feeder Spreads'!B4:B23)+SUMSQ('Feeder Spreads'!B4:B23)-('Feeder Spreads'!B3-'Feeder Spreads'!B23)^2/20)/19),"")</f>
        <v>0.99505024998740388</v>
      </c>
      <c r="CK3">
        <f>IFERROR('Feeder Spreads'!AX3,"")</f>
        <v>46150</v>
      </c>
      <c r="CL3">
        <f>IFERROR(('Feeder Spreads'!AY3-AVERAGE('Feeder Spreads'!$AY$3:$AY$4308))/STDEV('Feeder Spreads'!$AY$3:$AY$4308),"")</f>
        <v>10.770723029410384</v>
      </c>
      <c r="CM3">
        <f>IFERROR('Feeder Spreads'!AY3-'Feeder Spreads'!AY8,"")</f>
        <v>6.0750000000000455</v>
      </c>
      <c r="CN3">
        <f>IFERROR('Feeder Spreads'!AY3-'Feeder Spreads'!AY13,"")</f>
        <v>6.0750000000000455</v>
      </c>
      <c r="CO3">
        <f>IFERROR(AVERAGE('Feeder Spreads'!AY3:AY22)+2*STDEV('Feeder Spreads'!AY3:AY22),"")</f>
        <v>3.0205725926622673</v>
      </c>
      <c r="CP3">
        <f>IFERROR(AVERAGE('Feeder Spreads'!AY3:AY22)-2*STDEV('Feeder Spreads'!AY3:AY22),"")</f>
        <v>-2.4130725926622629</v>
      </c>
      <c r="CQ3">
        <f>IFERROR(('Feeder Spreads'!AY3-(AVERAGE('Feeder Spreads'!AY3:AY22)-2*STDEV('Feeder Spreads'!AY3:AY22)))/(4*STDEV('Feeder Spreads'!AY3:AY22)),"")</f>
        <v>1.5621322893124001</v>
      </c>
      <c r="CR3">
        <f>IFERROR(4*STDEV('Feeder Spreads'!AY3:AY22)/AVERAGE('Feeder Spreads'!AY3:AY22),"")</f>
        <v>17.888543819998318</v>
      </c>
      <c r="CS3">
        <v>48.721699999999998</v>
      </c>
      <c r="CT3">
        <f>IFERROR(SQRT((SUMSQ('Feeder Spreads'!AY3:AY22)-2*SUMPRODUCT('Feeder Spreads'!AY3:AY22,'Feeder Spreads'!AY4:AY23)+SUMSQ('Feeder Spreads'!AY4:AY23)-('Feeder Spreads'!AY3-'Feeder Spreads'!AY23)^2/20)/19),"")</f>
        <v>1.3584112963311326</v>
      </c>
      <c r="CV3">
        <f>IFERROR('Feeder Spreads'!H3,"")</f>
        <v>46150</v>
      </c>
      <c r="CW3">
        <f>IFERROR(('Feeder Spreads'!I3-AVERAGE('Feeder Spreads'!$I$3:$I$4308))/STDEV('Feeder Spreads'!$I$3:$I$4308),"")</f>
        <v>10.770723029410382</v>
      </c>
      <c r="CX3">
        <f>IFERROR('Feeder Spreads'!I3-'Feeder Spreads'!I8,"")</f>
        <v>3.1499999999999773</v>
      </c>
      <c r="CY3">
        <f>IFERROR('Feeder Spreads'!I3-'Feeder Spreads'!I13,"")</f>
        <v>3.1499999999999773</v>
      </c>
      <c r="CZ3">
        <f>IFERROR(AVERAGE('Feeder Spreads'!I3:I22)+2*STDEV('Feeder Spreads'!I3:I22),"")</f>
        <v>1.5662228258248563</v>
      </c>
      <c r="DA3">
        <f>IFERROR(AVERAGE('Feeder Spreads'!I3:I22)-2*STDEV('Feeder Spreads'!I3:I22),"")</f>
        <v>-1.2512228258248586</v>
      </c>
      <c r="DB3">
        <f>IFERROR(('Feeder Spreads'!I3-(AVERAGE('Feeder Spreads'!I3:I22)-2*STDEV('Feeder Spreads'!I3:I22)))/(4*STDEV('Feeder Spreads'!I3:I22)),"")</f>
        <v>1.5621322893124001</v>
      </c>
      <c r="DC3">
        <f>IFERROR(4*STDEV('Feeder Spreads'!I3:I22)/AVERAGE('Feeder Spreads'!I3:I22),"")</f>
        <v>17.888543819998318</v>
      </c>
      <c r="DD3">
        <v>50.894599999999997</v>
      </c>
      <c r="DE3">
        <f>IFERROR(SQRT((SUMSQ('Feeder Spreads'!I3:I22)-2*SUMPRODUCT('Feeder Spreads'!I3:I22,'Feeder Spreads'!I4:I23)+SUMSQ('Feeder Spreads'!I4:I23)-('Feeder Spreads'!I3-'Feeder Spreads'!I23)^2/20)/19),"")</f>
        <v>0.70436141291242871</v>
      </c>
      <c r="DG3">
        <f>IFERROR('Feeder Spreads'!O3,"")</f>
        <v>46150</v>
      </c>
      <c r="DH3">
        <f>IFERROR(('Feeder Spreads'!P3-AVERAGE('Feeder Spreads'!$P$3:$P$4308))/STDEV('Feeder Spreads'!$P$3:$P$4308),"")</f>
        <v>10.770723029410384</v>
      </c>
      <c r="DI3">
        <f>IFERROR('Feeder Spreads'!P3-'Feeder Spreads'!P8,"")</f>
        <v>3.0749999999999886</v>
      </c>
      <c r="DJ3">
        <f>IFERROR('Feeder Spreads'!P3-'Feeder Spreads'!P13,"")</f>
        <v>3.0749999999999886</v>
      </c>
      <c r="DK3">
        <f>IFERROR(AVERAGE('Feeder Spreads'!P3:P22)+2*STDEV('Feeder Spreads'!P3:P22),"")</f>
        <v>1.5289318061623649</v>
      </c>
      <c r="DL3">
        <f>IFERROR(AVERAGE('Feeder Spreads'!P3:P22)-2*STDEV('Feeder Spreads'!P3:P22),"")</f>
        <v>-1.2214318061623661</v>
      </c>
      <c r="DM3">
        <f>IFERROR(('Feeder Spreads'!P3-(AVERAGE('Feeder Spreads'!P3:P22)-2*STDEV('Feeder Spreads'!P3:P22)))/(4*STDEV('Feeder Spreads'!P3:P22)),"")</f>
        <v>1.5621322893124001</v>
      </c>
      <c r="DN3">
        <f>IFERROR(4*STDEV('Feeder Spreads'!P3:P22)/AVERAGE('Feeder Spreads'!P3:P22),"")</f>
        <v>17.888543819998315</v>
      </c>
      <c r="DO3">
        <v>48.863700000000001</v>
      </c>
      <c r="DP3">
        <f>IFERROR(SQRT((SUMSQ('Feeder Spreads'!P3:P22)-2*SUMPRODUCT('Feeder Spreads'!P3:P22,'Feeder Spreads'!P4:P23)+SUMSQ('Feeder Spreads'!P4:P23)-('Feeder Spreads'!P3-'Feeder Spreads'!P23)^2/20)/19),"")</f>
        <v>0.68759090308118276</v>
      </c>
      <c r="DR3">
        <f>IFERROR('Feeder Spreads'!V3,"")</f>
        <v>46150</v>
      </c>
      <c r="DS3">
        <f>IFERROR(('Feeder Spreads'!W3-AVERAGE('Feeder Spreads'!$W$3:$W$4308))/STDEV('Feeder Spreads'!$W$3:$W$4308),"")</f>
        <v>10.770723029410382</v>
      </c>
      <c r="DT3">
        <f>IFERROR('Feeder Spreads'!W3-'Feeder Spreads'!W8,"")</f>
        <v>1.6750000000000114</v>
      </c>
      <c r="DU3">
        <f>IFERROR('Feeder Spreads'!W3-'Feeder Spreads'!W13,"")</f>
        <v>1.6750000000000114</v>
      </c>
      <c r="DV3">
        <f>IFERROR(AVERAGE('Feeder Spreads'!W3:W22)+2*STDEV('Feeder Spreads'!W3:W22),"")</f>
        <v>0.83283277246243514</v>
      </c>
      <c r="DW3">
        <f>IFERROR(AVERAGE('Feeder Spreads'!W3:W22)-2*STDEV('Feeder Spreads'!W3:W22),"")</f>
        <v>-0.66533277246243405</v>
      </c>
      <c r="DX3">
        <f>IFERROR(('Feeder Spreads'!W3-(AVERAGE('Feeder Spreads'!W3:W22)-2*STDEV('Feeder Spreads'!W3:W22)))/(4*STDEV('Feeder Spreads'!W3:W22)),"")</f>
        <v>1.5621322893124001</v>
      </c>
      <c r="DY3">
        <f>IFERROR(4*STDEV('Feeder Spreads'!W3:W22)/AVERAGE('Feeder Spreads'!W3:W22),"")</f>
        <v>17.888543819998315</v>
      </c>
      <c r="DZ3">
        <v>73.504800000000003</v>
      </c>
      <c r="EA3">
        <f>IFERROR(SQRT((SUMSQ('Feeder Spreads'!W3:W22)-2*SUMPRODUCT('Feeder Spreads'!W3:W22,'Feeder Spreads'!W4:W23)+SUMSQ('Feeder Spreads'!W4:W23)-('Feeder Spreads'!W3-'Feeder Spreads'!W23)^2/20)/19),"")</f>
        <v>0.3745413862312173</v>
      </c>
      <c r="EC3">
        <f>IFERROR('Feeder Spreads'!AC3,"")</f>
        <v>46150</v>
      </c>
      <c r="ED3">
        <f>IFERROR(('Feeder Spreads'!AD3-AVERAGE('Feeder Spreads'!$AD$3:$AD$4308))/STDEV('Feeder Spreads'!$AD$3:$AD$4308),"")</f>
        <v>-10.77072302941038</v>
      </c>
      <c r="EE3">
        <f>IFERROR('Feeder Spreads'!AD3-'Feeder Spreads'!AD8,"")</f>
        <v>-22.850000000000023</v>
      </c>
      <c r="EF3">
        <f>IFERROR('Feeder Spreads'!AD3-'Feeder Spreads'!AD13,"")</f>
        <v>-22.850000000000023</v>
      </c>
      <c r="EG3">
        <f>IFERROR(AVERAGE('Feeder Spreads'!AD3:AD22)+2*STDEV('Feeder Spreads'!AD3:AD22),"")</f>
        <v>9.0763306571740472</v>
      </c>
      <c r="EH3">
        <f>IFERROR(AVERAGE('Feeder Spreads'!AD3:AD22)-2*STDEV('Feeder Spreads'!AD3:AD22),"")</f>
        <v>-11.361330657174051</v>
      </c>
      <c r="EI3">
        <f>IFERROR(('Feeder Spreads'!AD3-(AVERAGE('Feeder Spreads'!AD3:AD22)-2*STDEV('Feeder Spreads'!AD3:AD22)))/(4*STDEV('Feeder Spreads'!AD3:AD22)),"")</f>
        <v>-0.56213228931240011</v>
      </c>
      <c r="EJ3">
        <f>IFERROR(4*STDEV('Feeder Spreads'!AD3:AD22)/AVERAGE('Feeder Spreads'!AD3:AD22),"")</f>
        <v>-17.888543819998318</v>
      </c>
      <c r="EK3">
        <v>29.7316</v>
      </c>
      <c r="EL3">
        <f>IFERROR(SQRT((SUMSQ('Feeder Spreads'!AD3:AD22)-2*SUMPRODUCT('Feeder Spreads'!AD3:AD22,'Feeder Spreads'!AD4:AD23)+SUMSQ('Feeder Spreads'!AD4:AD23)-('Feeder Spreads'!AD3-'Feeder Spreads'!AD23)^2/20)/19),"")</f>
        <v>5.1094153285870245</v>
      </c>
      <c r="EN3">
        <f>IFERROR('Feeder Spreads'!AJ3,"")</f>
        <v>46150</v>
      </c>
      <c r="EO3">
        <f>IFERROR(('Feeder Spreads'!AK3-AVERAGE('Feeder Spreads'!$AK$3:$AK$4308))/STDEV('Feeder Spreads'!$AK$3:$AK$4308),"")</f>
        <v>10.770723029410384</v>
      </c>
      <c r="EP3">
        <f>IFERROR('Feeder Spreads'!AK3-'Feeder Spreads'!AK8,"")</f>
        <v>2</v>
      </c>
      <c r="EQ3">
        <f>IFERROR('Feeder Spreads'!AK3-'Feeder Spreads'!AK13,"")</f>
        <v>2</v>
      </c>
      <c r="ER3">
        <f>IFERROR(AVERAGE('Feeder Spreads'!AK3:AK22)+2*STDEV('Feeder Spreads'!AK3:AK22),"")</f>
        <v>0.99442719099991583</v>
      </c>
      <c r="ES3">
        <f>IFERROR(AVERAGE('Feeder Spreads'!AK3:AK22)-2*STDEV('Feeder Spreads'!AK3:AK22),"")</f>
        <v>-0.79442719099991588</v>
      </c>
      <c r="ET3">
        <f>IFERROR(('Feeder Spreads'!AK3-(AVERAGE('Feeder Spreads'!AK3:AK22)-2*STDEV('Feeder Spreads'!AK3:AK22)))/(4*STDEV('Feeder Spreads'!AK3:AK22)),"")</f>
        <v>1.5621322893124003</v>
      </c>
      <c r="EU3">
        <f>IFERROR(4*STDEV('Feeder Spreads'!AK3:AK22)/AVERAGE('Feeder Spreads'!AK3:AK22),"")</f>
        <v>17.888543819998315</v>
      </c>
      <c r="EV3">
        <v>48.823399999999999</v>
      </c>
      <c r="EW3">
        <f>IFERROR(SQRT((SUMSQ('Feeder Spreads'!AK3:AK22)-2*SUMPRODUCT('Feeder Spreads'!AK3:AK22,'Feeder Spreads'!AK4:AK23)+SUMSQ('Feeder Spreads'!AK4:AK23)-('Feeder Spreads'!AK3-'Feeder Spreads'!AK23)^2/20)/19),"")</f>
        <v>0.44721359549995793</v>
      </c>
      <c r="EY3">
        <f>IFERROR('Feeder Spreads'!AQ3,"")</f>
        <v>46150</v>
      </c>
      <c r="EZ3">
        <f>IFERROR(('Feeder Spreads'!AR3-AVERAGE('Feeder Spreads'!$AR$3:$AR$4308))/STDEV('Feeder Spreads'!$AR$3:$AR$4308),"")</f>
        <v>10.770723029410384</v>
      </c>
      <c r="FA3">
        <f>IFERROR('Feeder Spreads'!AR3-'Feeder Spreads'!AR8,"")</f>
        <v>2.4250000000000114</v>
      </c>
      <c r="FB3">
        <f>IFERROR('Feeder Spreads'!AR3-'Feeder Spreads'!AR13,"")</f>
        <v>2.4250000000000114</v>
      </c>
      <c r="FC3">
        <f>IFERROR(AVERAGE('Feeder Spreads'!AR3:AR22)+2*STDEV('Feeder Spreads'!AR3:AR22),"")</f>
        <v>1.2057429690874037</v>
      </c>
      <c r="FD3">
        <f>IFERROR(AVERAGE('Feeder Spreads'!AR3:AR22)-2*STDEV('Feeder Spreads'!AR3:AR22),"")</f>
        <v>-0.9632429690874027</v>
      </c>
      <c r="FE3">
        <f>IFERROR(('Feeder Spreads'!AR3-(AVERAGE('Feeder Spreads'!AR3:AR22)-2*STDEV('Feeder Spreads'!AR3:AR22)))/(4*STDEV('Feeder Spreads'!AR3:AR22)),"")</f>
        <v>1.5621322893123999</v>
      </c>
      <c r="FF3">
        <f>IFERROR(4*STDEV('Feeder Spreads'!AR3:AR22)/AVERAGE('Feeder Spreads'!AR3:AR22),"")</f>
        <v>17.888543819998322</v>
      </c>
      <c r="FG3">
        <v>48.624000000000002</v>
      </c>
      <c r="FH3">
        <f>IFERROR(SQRT((SUMSQ('Feeder Spreads'!AR3:AR22)-2*SUMPRODUCT('Feeder Spreads'!AR3:AR22,'Feeder Spreads'!AR4:AR23)+SUMSQ('Feeder Spreads'!AR4:AR23)-('Feeder Spreads'!AR3-'Feeder Spreads'!AR23)^2/20)/19),"")</f>
        <v>0.54224648454370161</v>
      </c>
      <c r="FJ3">
        <f>IFERROR('Fat Spreads'!AX3,"")</f>
        <v>46150</v>
      </c>
      <c r="FK3">
        <f>IFERROR(('Fat Spreads'!AY3-AVERAGE('Fat Spreads'!$AY$3:$AY$4308))/STDEV('Fat Spreads'!$AY$3:$AY$4308),"")</f>
        <v>-10.770723029410382</v>
      </c>
      <c r="FL3">
        <f>IFERROR('Fat Spreads'!AY3-'Fat Spreads'!AY8,"")</f>
        <v>-11.450000000000017</v>
      </c>
      <c r="FM3">
        <f>IFERROR('Fat Spreads'!AY3-'Fat Spreads'!AY13,"")</f>
        <v>-11.450000000000017</v>
      </c>
      <c r="FN3">
        <f>IFERROR(AVERAGE('Fat Spreads'!AY3:AY22)+2*STDEV('Fat Spreads'!AY3:AY22),"")</f>
        <v>4.5480956684745255</v>
      </c>
      <c r="FO3">
        <f>IFERROR(AVERAGE('Fat Spreads'!AY3:AY22)-2*STDEV('Fat Spreads'!AY3:AY22),"")</f>
        <v>-5.6930956684745269</v>
      </c>
      <c r="FP3">
        <f>IFERROR(('Fat Spreads'!AY3-(AVERAGE('Fat Spreads'!AY3:AY22)-2*STDEV('Fat Spreads'!AY3:AY22)))/(4*STDEV('Fat Spreads'!AY3:AY22)),"")</f>
        <v>-0.56213228931240011</v>
      </c>
      <c r="FQ3">
        <f>IFERROR(4*STDEV('Fat Spreads'!AY3:AY22)/AVERAGE('Fat Spreads'!AY3:AY22),"")</f>
        <v>-17.888543819998318</v>
      </c>
      <c r="FR3">
        <v>34.764800000000001</v>
      </c>
      <c r="FS3">
        <f>IFERROR(SQRT((SUMSQ('Fat Spreads'!AY3:AY22)-2*SUMPRODUCT('Fat Spreads'!AY3:AY22,'Fat Spreads'!AY4:AY23)+SUMSQ('Fat Spreads'!AY4:AY23)-('Fat Spreads'!AY3-'Fat Spreads'!AY23)^2/20)/19),"")</f>
        <v>2.5602978342372631</v>
      </c>
      <c r="FU3">
        <f>IFERROR('Fat Spreads'!BE3,"")</f>
        <v>46150</v>
      </c>
      <c r="FV3">
        <f>IFERROR(('Fat Spreads'!BF3-AVERAGE('Fat Spreads'!$BF$3:$BF$4308))/STDEV('Fat Spreads'!$BF$3:$BF$4308),"")</f>
        <v>-10.770723029410382</v>
      </c>
      <c r="FW3">
        <f>IFERROR('Fat Spreads'!BF3-'Fat Spreads'!BF8,"")</f>
        <v>-7.2750000000000057</v>
      </c>
      <c r="FX3">
        <f>IFERROR('Fat Spreads'!BF3-'Fat Spreads'!BF13,"")</f>
        <v>-7.2750000000000057</v>
      </c>
      <c r="FY3">
        <f>IFERROR(AVERAGE('Fat Spreads'!BF3:BF22)+2*STDEV('Fat Spreads'!BF3:BF22),"")</f>
        <v>2.8897289072621963</v>
      </c>
      <c r="FZ3">
        <f>IFERROR(AVERAGE('Fat Spreads'!BF3:BF22)-2*STDEV('Fat Spreads'!BF3:BF22),"")</f>
        <v>-3.6172289072621973</v>
      </c>
      <c r="GA3">
        <f>IFERROR(('Fat Spreads'!BF3-(AVERAGE('Fat Spreads'!BF3:BF22)-2*STDEV('Fat Spreads'!BF3:BF22)))/(4*STDEV('Fat Spreads'!BF3:BF22)),"")</f>
        <v>-0.5621322893124</v>
      </c>
      <c r="GB3">
        <f>IFERROR(4*STDEV('Fat Spreads'!BF3:BF22)/AVERAGE('Fat Spreads'!BF3:BF22),"")</f>
        <v>-17.888543819998318</v>
      </c>
      <c r="GC3">
        <v>24.476800000000001</v>
      </c>
      <c r="GD3">
        <f>IFERROR(SQRT((SUMSQ('Fat Spreads'!BF3:BF22)-2*SUMPRODUCT('Fat Spreads'!BF3:BF22,'Fat Spreads'!BF4:BF23)+SUMSQ('Fat Spreads'!BF4:BF23)-('Fat Spreads'!BF3-'Fat Spreads'!BF23)^2/20)/19),"")</f>
        <v>1.6267394536310984</v>
      </c>
    </row>
    <row r="4" spans="1:186" x14ac:dyDescent="0.25">
      <c r="A4">
        <f>IFERROR('Fat Spreads'!A4,"")</f>
        <v>0</v>
      </c>
      <c r="B4">
        <f>IFERROR(('Fat Spreads'!B4-AVERAGE('Fat Spreads'!$B$3:$B$4308))/STDEV('Fat Spreads'!$B$3:$B$4308),"")</f>
        <v>9.2057461789832346E-2</v>
      </c>
      <c r="C4">
        <f>IFERROR('Fat Spreads'!B4-'Fat Spreads'!B9,"")</f>
        <v>0</v>
      </c>
      <c r="D4">
        <f>IFERROR('Fat Spreads'!B4-'Fat Spreads'!B14,"")</f>
        <v>0</v>
      </c>
      <c r="E4">
        <f>IFERROR(AVERAGE('Fat Spreads'!B4:B23)+2*STDEV('Fat Spreads'!B4:B23),"")</f>
        <v>0</v>
      </c>
      <c r="F4">
        <f>IFERROR(AVERAGE('Fat Spreads'!B4:B23)-2*STDEV('Fat Spreads'!B4:B23),"")</f>
        <v>0</v>
      </c>
      <c r="G4" t="str">
        <f>IFERROR(('Fat Spreads'!B4-(AVERAGE('Fat Spreads'!B4:B23)-2*STDEV('Fat Spreads'!B4:B23)))/(4*STDEV('Fat Spreads'!B4:B23)),"")</f>
        <v/>
      </c>
      <c r="H4" t="str">
        <f>IFERROR(4*STDEV('Fat Spreads'!B4:B23)/AVERAGE('Fat Spreads'!B4:B23),"")</f>
        <v/>
      </c>
      <c r="I4">
        <v>20.796700000000001</v>
      </c>
      <c r="J4">
        <f>IFERROR(SQRT((SUMSQ('Fat Spreads'!B4:B23)-2*SUMPRODUCT('Fat Spreads'!B4:B23,'Fat Spreads'!B5:B24)+SUMSQ('Fat Spreads'!B5:B24)-('Fat Spreads'!B4-'Fat Spreads'!B24)^2/20)/19),"")</f>
        <v>0</v>
      </c>
      <c r="L4">
        <f>IFERROR('Fat Spreads'!H4,"")</f>
        <v>0</v>
      </c>
      <c r="M4">
        <f>IFERROR(('Fat Spreads'!I4-AVERAGE('Fat Spreads'!$I$3:$I$4308))/STDEV('Fat Spreads'!$I$3:$I$4308),"")</f>
        <v>-9.2057461789832332E-2</v>
      </c>
      <c r="N4">
        <f>IFERROR('Fat Spreads'!I4-'Fat Spreads'!I9,"")</f>
        <v>0</v>
      </c>
      <c r="O4">
        <f>IFERROR('Fat Spreads'!I4-'Fat Spreads'!I14,"")</f>
        <v>0</v>
      </c>
      <c r="P4">
        <f>IFERROR(AVERAGE('Fat Spreads'!I4:I23)+2*STDEV('Fat Spreads'!I4:I23),"")</f>
        <v>0</v>
      </c>
      <c r="Q4">
        <f>IFERROR(AVERAGE('Fat Spreads'!I4:I23)-2*STDEV('Fat Spreads'!I4:I23),"")</f>
        <v>0</v>
      </c>
      <c r="R4" t="str">
        <f>IFERROR(('Fat Spreads'!I4-(AVERAGE('Fat Spreads'!I4:I23)-2*STDEV('Fat Spreads'!I4:I23)))/(4*STDEV('Fat Spreads'!I4:I23)),"")</f>
        <v/>
      </c>
      <c r="S4" t="str">
        <f>IFERROR(4*STDEV('Fat Spreads'!I4:I23)/AVERAGE('Fat Spreads'!I4:I23),"")</f>
        <v/>
      </c>
      <c r="T4">
        <v>66.238200000000006</v>
      </c>
      <c r="U4">
        <f>IFERROR(SQRT((SUMSQ('Fat Spreads'!I4:I23)-2*SUMPRODUCT('Fat Spreads'!I4:I23,'Fat Spreads'!I5:I24)+SUMSQ('Fat Spreads'!I5:I24)-('Fat Spreads'!I4-'Fat Spreads'!I24)^2/20)/19),"")</f>
        <v>0</v>
      </c>
      <c r="W4">
        <f>IFERROR('Fat Spreads'!AQ4,"")</f>
        <v>0</v>
      </c>
      <c r="X4">
        <f>IFERROR(('Fat Spreads'!AR4-AVERAGE('Fat Spreads'!$AR$3:$AR$4308))/STDEV('Fat Spreads'!$AR$3:$AR$4308),"")</f>
        <v>-9.2057461789832346E-2</v>
      </c>
      <c r="Y4">
        <f>IFERROR('Fat Spreads'!AR4-'Fat Spreads'!AR9,"")</f>
        <v>0</v>
      </c>
      <c r="Z4">
        <f>IFERROR('Fat Spreads'!AR4-'Fat Spreads'!AR14,"")</f>
        <v>0</v>
      </c>
      <c r="AA4">
        <f>IFERROR(AVERAGE('Fat Spreads'!AR4:AR23)+2*STDEV('Fat Spreads'!AR4:AR23),"")</f>
        <v>0</v>
      </c>
      <c r="AB4">
        <f>IFERROR(AVERAGE('Fat Spreads'!AR4:AR23)-2*STDEV('Fat Spreads'!AR4:AR23),"")</f>
        <v>0</v>
      </c>
      <c r="AC4" t="str">
        <f>IFERROR(('Fat Spreads'!AR4-(AVERAGE('Fat Spreads'!AR4:AR23)-2*STDEV('Fat Spreads'!AR4:AR23)))/(4*STDEV('Fat Spreads'!AR4:AR23)),"")</f>
        <v/>
      </c>
      <c r="AD4" t="str">
        <f>IFERROR(4*STDEV('Fat Spreads'!AR4:AR23)/AVERAGE('Fat Spreads'!AR4:AR23),"")</f>
        <v/>
      </c>
      <c r="AE4">
        <v>62.3889</v>
      </c>
      <c r="AF4">
        <f>IFERROR(SQRT((SUMSQ('Fat Spreads'!AR4:AR23)-2*SUMPRODUCT('Fat Spreads'!AR4:AR23,'Fat Spreads'!AR5:AR24)+SUMSQ('Fat Spreads'!AR5:AR24)-('Fat Spreads'!AR4-'Fat Spreads'!AR24)^2/20)/19),"")</f>
        <v>0</v>
      </c>
      <c r="AH4">
        <f>IFERROR('Fat Spreads'!O4,"")</f>
        <v>0</v>
      </c>
      <c r="AI4">
        <f>IFERROR(('Fat Spreads'!P4-AVERAGE('Fat Spreads'!$P$3:$P$4308))/STDEV('Fat Spreads'!$P$3:$P$4308),"")</f>
        <v>-9.2057461789832332E-2</v>
      </c>
      <c r="AJ4">
        <f>IFERROR('Fat Spreads'!P4-'Fat Spreads'!P9,"")</f>
        <v>0</v>
      </c>
      <c r="AK4">
        <f>IFERROR('Fat Spreads'!P4-'Fat Spreads'!P14,"")</f>
        <v>0</v>
      </c>
      <c r="AL4">
        <f>IFERROR(AVERAGE('Fat Spreads'!P4:P23)+2*STDEV('Fat Spreads'!P4:P23),"")</f>
        <v>0</v>
      </c>
      <c r="AM4">
        <f>IFERROR(AVERAGE('Fat Spreads'!P4:P23)-2*STDEV('Fat Spreads'!P4:P23),"")</f>
        <v>0</v>
      </c>
      <c r="AN4" t="str">
        <f>IFERROR(('Fat Spreads'!P4-(AVERAGE('Fat Spreads'!P4:P23)-2*STDEV('Fat Spreads'!P4:P23)))/(4*STDEV('Fat Spreads'!P4:P23)),"")</f>
        <v/>
      </c>
      <c r="AO4" t="str">
        <f>IFERROR(4*STDEV('Fat Spreads'!P4:P23)/AVERAGE('Fat Spreads'!P4:P23),"")</f>
        <v/>
      </c>
      <c r="AP4">
        <v>65.132099999999994</v>
      </c>
      <c r="AQ4">
        <f>IFERROR(SQRT((SUMSQ('Fat Spreads'!P4:P23)-2*SUMPRODUCT('Fat Spreads'!P4:P23,'Fat Spreads'!P5:P24)+SUMSQ('Fat Spreads'!P5:P24)-('Fat Spreads'!P4-'Fat Spreads'!P24)^2/20)/19),"")</f>
        <v>0</v>
      </c>
      <c r="AS4">
        <f>IFERROR('Fat Spreads'!AJ4,"")</f>
        <v>0</v>
      </c>
      <c r="AT4">
        <f>IFERROR(('Fat Spreads'!AK4-AVERAGE('Fat Spreads'!$AK$3:$AK$4308))/STDEV('Fat Spreads'!$AK$3:$AK$4308),"")</f>
        <v>-9.2057461789832332E-2</v>
      </c>
      <c r="AU4">
        <f>IFERROR('Fat Spreads'!AK4-'Fat Spreads'!AK9,"")</f>
        <v>0</v>
      </c>
      <c r="AV4">
        <f>IFERROR('Fat Spreads'!AK4-'Fat Spreads'!AK14,"")</f>
        <v>0</v>
      </c>
      <c r="AW4">
        <f>IFERROR(AVERAGE('Fat Spreads'!AK4:AK23)+2*STDEV('Fat Spreads'!AK4:AK23),"")</f>
        <v>0</v>
      </c>
      <c r="AX4">
        <f>IFERROR(AVERAGE('Fat Spreads'!AK4:AK23)-2*STDEV('Fat Spreads'!AK4:AK23),"")</f>
        <v>0</v>
      </c>
      <c r="AY4" t="str">
        <f>IFERROR(('Fat Spreads'!AK4-(AVERAGE('Fat Spreads'!AK4:AK23)-2*STDEV('Fat Spreads'!AK4:AK23)))/(4*STDEV('Fat Spreads'!AK4:AK23)),"")</f>
        <v/>
      </c>
      <c r="AZ4" t="str">
        <f>IFERROR(4*STDEV('Fat Spreads'!AK4:AK23)/AVERAGE('Fat Spreads'!AK4:AK23),"")</f>
        <v/>
      </c>
      <c r="BA4">
        <v>69.859200000000001</v>
      </c>
      <c r="BB4">
        <f>IFERROR(SQRT((SUMSQ('Fat Spreads'!AK4:AK23)-2*SUMPRODUCT('Fat Spreads'!AK4:AK23,'Fat Spreads'!AK5:AK24)+SUMSQ('Fat Spreads'!AK5:AK24)-('Fat Spreads'!AK4-'Fat Spreads'!AK24)^2/20)/19),"")</f>
        <v>0</v>
      </c>
      <c r="BD4">
        <f>IFERROR('Fat Spreads'!V4,"")</f>
        <v>0</v>
      </c>
      <c r="BE4">
        <f>IFERROR(('Fat Spreads'!W4-AVERAGE('Fat Spreads'!$W$3:$W$4308))/STDEV('Fat Spreads'!$W$3:$W$4308),"")</f>
        <v>-9.2057461789832332E-2</v>
      </c>
      <c r="BF4">
        <f>IFERROR('Fat Spreads'!W4-'Fat Spreads'!W9,"")</f>
        <v>0</v>
      </c>
      <c r="BG4">
        <f>IFERROR('Fat Spreads'!W4-'Fat Spreads'!W14,"")</f>
        <v>0</v>
      </c>
      <c r="BH4">
        <f>IFERROR(AVERAGE('Fat Spreads'!W4:W23)+2*STDEV('Fat Spreads'!W4:W23),"")</f>
        <v>0</v>
      </c>
      <c r="BI4">
        <f>IFERROR(AVERAGE('Fat Spreads'!W4:W23)-2*STDEV('Fat Spreads'!W4:W23),"")</f>
        <v>0</v>
      </c>
      <c r="BJ4" t="str">
        <f>IFERROR(('Fat Spreads'!W4-(AVERAGE('Fat Spreads'!W4:W23)-2*STDEV('Fat Spreads'!W4:W23)))/(4*STDEV('Fat Spreads'!W4:W23)),"")</f>
        <v/>
      </c>
      <c r="BK4" t="str">
        <f>IFERROR(4*STDEV('Fat Spreads'!W4:W23)/AVERAGE('Fat Spreads'!W4:W23),"")</f>
        <v/>
      </c>
      <c r="BL4">
        <v>52.174999999999997</v>
      </c>
      <c r="BM4">
        <f>IFERROR(SQRT((SUMSQ('Fat Spreads'!W4:W23)-2*SUMPRODUCT('Fat Spreads'!W4:W23,'Fat Spreads'!W5:W24)+SUMSQ('Fat Spreads'!W5:W24)-('Fat Spreads'!W4-'Fat Spreads'!W24)^2/20)/19),"")</f>
        <v>0</v>
      </c>
      <c r="BO4">
        <f>IFERROR('Fat Spreads'!AC4,"")</f>
        <v>0</v>
      </c>
      <c r="BP4">
        <f>IFERROR(('Fat Spreads'!AD4-AVERAGE('Fat Spreads'!$AD$3:$AD$4308))/STDEV('Fat Spreads'!$AD$3:$AD$4308),"")</f>
        <v>-9.2057461789832332E-2</v>
      </c>
      <c r="BQ4">
        <f>IFERROR('Fat Spreads'!AD4-'Fat Spreads'!AD9,"")</f>
        <v>0</v>
      </c>
      <c r="BR4">
        <f>IFERROR('Fat Spreads'!AD4-'Fat Spreads'!AD14,"")</f>
        <v>0</v>
      </c>
      <c r="BS4">
        <f>IFERROR(AVERAGE('Fat Spreads'!AD4:AD23)+2*STDEV('Fat Spreads'!AD4:AD23),"")</f>
        <v>0</v>
      </c>
      <c r="BT4">
        <f>IFERROR(AVERAGE('Fat Spreads'!AD4:AD23)-2*STDEV('Fat Spreads'!AD4:AD23),"")</f>
        <v>0</v>
      </c>
      <c r="BU4" t="str">
        <f>IFERROR(('Fat Spreads'!AD4-(AVERAGE('Fat Spreads'!AD4:AD23)-2*STDEV('Fat Spreads'!AD4:AD23)))/(4*STDEV('Fat Spreads'!AD4:AD23)),"")</f>
        <v/>
      </c>
      <c r="BV4" t="str">
        <f>IFERROR(4*STDEV('Fat Spreads'!AD4:AD23)/AVERAGE('Fat Spreads'!AD4:AD23),"")</f>
        <v/>
      </c>
      <c r="BW4">
        <v>51.203600000000002</v>
      </c>
      <c r="BX4">
        <f>IFERROR(SQRT((SUMSQ('Fat Spreads'!AD4:AD23)-2*SUMPRODUCT('Fat Spreads'!AD4:AD23,'Fat Spreads'!AD5:AD24)+SUMSQ('Fat Spreads'!AD5:AD24)-('Fat Spreads'!AD4-'Fat Spreads'!AD24)^2/20)/19),"")</f>
        <v>0</v>
      </c>
      <c r="BZ4">
        <f>IFERROR('Feeder Spreads'!A4,"")</f>
        <v>0</v>
      </c>
      <c r="CA4">
        <f>IFERROR(('Feeder Spreads'!B4-AVERAGE('Feeder Spreads'!$B$3:$B$4308))/STDEV('Feeder Spreads'!$B$3:$B$4308),"")</f>
        <v>-9.2057461789832346E-2</v>
      </c>
      <c r="CB4">
        <f>IFERROR('Feeder Spreads'!B4-'Feeder Spreads'!B9,"")</f>
        <v>0</v>
      </c>
      <c r="CC4">
        <f>IFERROR('Feeder Spreads'!B4-'Feeder Spreads'!B14,"")</f>
        <v>0</v>
      </c>
      <c r="CD4">
        <f>IFERROR(AVERAGE('Feeder Spreads'!B4:B23)+2*STDEV('Feeder Spreads'!B4:B23),"")</f>
        <v>0</v>
      </c>
      <c r="CE4">
        <f>IFERROR(AVERAGE('Feeder Spreads'!B4:B23)-2*STDEV('Feeder Spreads'!B4:B23),"")</f>
        <v>0</v>
      </c>
      <c r="CF4" t="str">
        <f>IFERROR(('Feeder Spreads'!B4-(AVERAGE('Feeder Spreads'!B4:B23)-2*STDEV('Feeder Spreads'!B4:B23)))/(4*STDEV('Feeder Spreads'!B4:B23)),"")</f>
        <v/>
      </c>
      <c r="CG4" t="str">
        <f>IFERROR(4*STDEV('Feeder Spreads'!B4:B23)/AVERAGE('Feeder Spreads'!B4:B23),"")</f>
        <v/>
      </c>
      <c r="CH4">
        <v>46.077599999999997</v>
      </c>
      <c r="CI4">
        <f>IFERROR(SQRT((SUMSQ('Feeder Spreads'!B4:B23)-2*SUMPRODUCT('Feeder Spreads'!B4:B23,'Feeder Spreads'!B5:B24)+SUMSQ('Feeder Spreads'!B5:B24)-('Feeder Spreads'!B4-'Feeder Spreads'!B24)^2/20)/19),"")</f>
        <v>0</v>
      </c>
      <c r="CK4">
        <f>IFERROR('Feeder Spreads'!AX4,"")</f>
        <v>0</v>
      </c>
      <c r="CL4">
        <f>IFERROR(('Feeder Spreads'!AY4-AVERAGE('Feeder Spreads'!$AY$3:$AY$4308))/STDEV('Feeder Spreads'!$AY$3:$AY$4308),"")</f>
        <v>-9.2057461789832346E-2</v>
      </c>
      <c r="CM4">
        <f>IFERROR('Feeder Spreads'!AY4-'Feeder Spreads'!AY9,"")</f>
        <v>0</v>
      </c>
      <c r="CN4">
        <f>IFERROR('Feeder Spreads'!AY4-'Feeder Spreads'!AY14,"")</f>
        <v>0</v>
      </c>
      <c r="CO4">
        <f>IFERROR(AVERAGE('Feeder Spreads'!AY4:AY23)+2*STDEV('Feeder Spreads'!AY4:AY23),"")</f>
        <v>0</v>
      </c>
      <c r="CP4">
        <f>IFERROR(AVERAGE('Feeder Spreads'!AY4:AY23)-2*STDEV('Feeder Spreads'!AY4:AY23),"")</f>
        <v>0</v>
      </c>
      <c r="CQ4" t="str">
        <f>IFERROR(('Feeder Spreads'!AY4-(AVERAGE('Feeder Spreads'!AY4:AY23)-2*STDEV('Feeder Spreads'!AY4:AY23)))/(4*STDEV('Feeder Spreads'!AY4:AY23)),"")</f>
        <v/>
      </c>
      <c r="CR4" t="str">
        <f>IFERROR(4*STDEV('Feeder Spreads'!AY4:AY23)/AVERAGE('Feeder Spreads'!AY4:AY23),"")</f>
        <v/>
      </c>
      <c r="CS4">
        <v>44.115499999999997</v>
      </c>
      <c r="CT4">
        <f>IFERROR(SQRT((SUMSQ('Feeder Spreads'!AY4:AY23)-2*SUMPRODUCT('Feeder Spreads'!AY4:AY23,'Feeder Spreads'!AY5:AY24)+SUMSQ('Feeder Spreads'!AY5:AY24)-('Feeder Spreads'!AY4-'Feeder Spreads'!AY24)^2/20)/19),"")</f>
        <v>0</v>
      </c>
      <c r="CV4">
        <f>IFERROR('Feeder Spreads'!H4,"")</f>
        <v>0</v>
      </c>
      <c r="CW4">
        <f>IFERROR(('Feeder Spreads'!I4-AVERAGE('Feeder Spreads'!$I$3:$I$4308))/STDEV('Feeder Spreads'!$I$3:$I$4308),"")</f>
        <v>-9.2057461789832332E-2</v>
      </c>
      <c r="CX4">
        <f>IFERROR('Feeder Spreads'!I4-'Feeder Spreads'!I9,"")</f>
        <v>0</v>
      </c>
      <c r="CY4">
        <f>IFERROR('Feeder Spreads'!I4-'Feeder Spreads'!I14,"")</f>
        <v>0</v>
      </c>
      <c r="CZ4">
        <f>IFERROR(AVERAGE('Feeder Spreads'!I4:I23)+2*STDEV('Feeder Spreads'!I4:I23),"")</f>
        <v>0</v>
      </c>
      <c r="DA4">
        <f>IFERROR(AVERAGE('Feeder Spreads'!I4:I23)-2*STDEV('Feeder Spreads'!I4:I23),"")</f>
        <v>0</v>
      </c>
      <c r="DB4" t="str">
        <f>IFERROR(('Feeder Spreads'!I4-(AVERAGE('Feeder Spreads'!I4:I23)-2*STDEV('Feeder Spreads'!I4:I23)))/(4*STDEV('Feeder Spreads'!I4:I23)),"")</f>
        <v/>
      </c>
      <c r="DC4" t="str">
        <f>IFERROR(4*STDEV('Feeder Spreads'!I4:I23)/AVERAGE('Feeder Spreads'!I4:I23),"")</f>
        <v/>
      </c>
      <c r="DD4">
        <v>53.967599999999997</v>
      </c>
      <c r="DE4">
        <f>IFERROR(SQRT((SUMSQ('Feeder Spreads'!I4:I23)-2*SUMPRODUCT('Feeder Spreads'!I4:I23,'Feeder Spreads'!I5:I24)+SUMSQ('Feeder Spreads'!I5:I24)-('Feeder Spreads'!I4-'Feeder Spreads'!I24)^2/20)/19),"")</f>
        <v>0</v>
      </c>
      <c r="DG4">
        <f>IFERROR('Feeder Spreads'!O4,"")</f>
        <v>0</v>
      </c>
      <c r="DH4">
        <f>IFERROR(('Feeder Spreads'!P4-AVERAGE('Feeder Spreads'!$P$3:$P$4308))/STDEV('Feeder Spreads'!$P$3:$P$4308),"")</f>
        <v>-9.2057461789832346E-2</v>
      </c>
      <c r="DI4">
        <f>IFERROR('Feeder Spreads'!P4-'Feeder Spreads'!P9,"")</f>
        <v>0</v>
      </c>
      <c r="DJ4">
        <f>IFERROR('Feeder Spreads'!P4-'Feeder Spreads'!P14,"")</f>
        <v>0</v>
      </c>
      <c r="DK4">
        <f>IFERROR(AVERAGE('Feeder Spreads'!P4:P23)+2*STDEV('Feeder Spreads'!P4:P23),"")</f>
        <v>0</v>
      </c>
      <c r="DL4">
        <f>IFERROR(AVERAGE('Feeder Spreads'!P4:P23)-2*STDEV('Feeder Spreads'!P4:P23),"")</f>
        <v>0</v>
      </c>
      <c r="DM4" t="str">
        <f>IFERROR(('Feeder Spreads'!P4-(AVERAGE('Feeder Spreads'!P4:P23)-2*STDEV('Feeder Spreads'!P4:P23)))/(4*STDEV('Feeder Spreads'!P4:P23)),"")</f>
        <v/>
      </c>
      <c r="DN4" t="str">
        <f>IFERROR(4*STDEV('Feeder Spreads'!P4:P23)/AVERAGE('Feeder Spreads'!P4:P23),"")</f>
        <v/>
      </c>
      <c r="DO4">
        <v>48.151400000000002</v>
      </c>
      <c r="DP4">
        <f>IFERROR(SQRT((SUMSQ('Feeder Spreads'!P4:P23)-2*SUMPRODUCT('Feeder Spreads'!P4:P23,'Feeder Spreads'!P5:P24)+SUMSQ('Feeder Spreads'!P5:P24)-('Feeder Spreads'!P4-'Feeder Spreads'!P24)^2/20)/19),"")</f>
        <v>0</v>
      </c>
      <c r="DR4">
        <f>IFERROR('Feeder Spreads'!V4,"")</f>
        <v>0</v>
      </c>
      <c r="DS4">
        <f>IFERROR(('Feeder Spreads'!W4-AVERAGE('Feeder Spreads'!$W$3:$W$4308))/STDEV('Feeder Spreads'!$W$3:$W$4308),"")</f>
        <v>-9.2057461789832332E-2</v>
      </c>
      <c r="DT4">
        <f>IFERROR('Feeder Spreads'!W4-'Feeder Spreads'!W9,"")</f>
        <v>0</v>
      </c>
      <c r="DU4">
        <f>IFERROR('Feeder Spreads'!W4-'Feeder Spreads'!W14,"")</f>
        <v>0</v>
      </c>
      <c r="DV4">
        <f>IFERROR(AVERAGE('Feeder Spreads'!W4:W23)+2*STDEV('Feeder Spreads'!W4:W23),"")</f>
        <v>0</v>
      </c>
      <c r="DW4">
        <f>IFERROR(AVERAGE('Feeder Spreads'!W4:W23)-2*STDEV('Feeder Spreads'!W4:W23),"")</f>
        <v>0</v>
      </c>
      <c r="DX4" t="str">
        <f>IFERROR(('Feeder Spreads'!W4-(AVERAGE('Feeder Spreads'!W4:W23)-2*STDEV('Feeder Spreads'!W4:W23)))/(4*STDEV('Feeder Spreads'!W4:W23)),"")</f>
        <v/>
      </c>
      <c r="DY4" t="str">
        <f>IFERROR(4*STDEV('Feeder Spreads'!W4:W23)/AVERAGE('Feeder Spreads'!W4:W23),"")</f>
        <v/>
      </c>
      <c r="DZ4">
        <v>74.602900000000005</v>
      </c>
      <c r="EA4">
        <f>IFERROR(SQRT((SUMSQ('Feeder Spreads'!W4:W23)-2*SUMPRODUCT('Feeder Spreads'!W4:W23,'Feeder Spreads'!W5:W24)+SUMSQ('Feeder Spreads'!W5:W24)-('Feeder Spreads'!W4-'Feeder Spreads'!W24)^2/20)/19),"")</f>
        <v>0</v>
      </c>
      <c r="EC4">
        <f>IFERROR('Feeder Spreads'!AC4,"")</f>
        <v>0</v>
      </c>
      <c r="ED4">
        <f>IFERROR(('Feeder Spreads'!AD4-AVERAGE('Feeder Spreads'!$AD$3:$AD$4308))/STDEV('Feeder Spreads'!$AD$3:$AD$4308),"")</f>
        <v>9.2057461789832318E-2</v>
      </c>
      <c r="EE4">
        <f>IFERROR('Feeder Spreads'!AD4-'Feeder Spreads'!AD9,"")</f>
        <v>0</v>
      </c>
      <c r="EF4">
        <f>IFERROR('Feeder Spreads'!AD4-'Feeder Spreads'!AD14,"")</f>
        <v>0</v>
      </c>
      <c r="EG4">
        <f>IFERROR(AVERAGE('Feeder Spreads'!AD4:AD23)+2*STDEV('Feeder Spreads'!AD4:AD23),"")</f>
        <v>0</v>
      </c>
      <c r="EH4">
        <f>IFERROR(AVERAGE('Feeder Spreads'!AD4:AD23)-2*STDEV('Feeder Spreads'!AD4:AD23),"")</f>
        <v>0</v>
      </c>
      <c r="EI4" t="str">
        <f>IFERROR(('Feeder Spreads'!AD4-(AVERAGE('Feeder Spreads'!AD4:AD23)-2*STDEV('Feeder Spreads'!AD4:AD23)))/(4*STDEV('Feeder Spreads'!AD4:AD23)),"")</f>
        <v/>
      </c>
      <c r="EJ4" t="str">
        <f>IFERROR(4*STDEV('Feeder Spreads'!AD4:AD23)/AVERAGE('Feeder Spreads'!AD4:AD23),"")</f>
        <v/>
      </c>
      <c r="EK4">
        <v>34.928699999999999</v>
      </c>
      <c r="EL4">
        <f>IFERROR(SQRT((SUMSQ('Feeder Spreads'!AD4:AD23)-2*SUMPRODUCT('Feeder Spreads'!AD4:AD23,'Feeder Spreads'!AD5:AD24)+SUMSQ('Feeder Spreads'!AD5:AD24)-('Feeder Spreads'!AD4-'Feeder Spreads'!AD24)^2/20)/19),"")</f>
        <v>0</v>
      </c>
      <c r="EN4">
        <f>IFERROR('Feeder Spreads'!AJ4,"")</f>
        <v>0</v>
      </c>
      <c r="EO4">
        <f>IFERROR(('Feeder Spreads'!AK4-AVERAGE('Feeder Spreads'!$AK$3:$AK$4308))/STDEV('Feeder Spreads'!$AK$3:$AK$4308),"")</f>
        <v>-9.2057461789832346E-2</v>
      </c>
      <c r="EP4">
        <f>IFERROR('Feeder Spreads'!AK4-'Feeder Spreads'!AK9,"")</f>
        <v>0</v>
      </c>
      <c r="EQ4">
        <f>IFERROR('Feeder Spreads'!AK4-'Feeder Spreads'!AK14,"")</f>
        <v>0</v>
      </c>
      <c r="ER4">
        <f>IFERROR(AVERAGE('Feeder Spreads'!AK4:AK23)+2*STDEV('Feeder Spreads'!AK4:AK23),"")</f>
        <v>0</v>
      </c>
      <c r="ES4">
        <f>IFERROR(AVERAGE('Feeder Spreads'!AK4:AK23)-2*STDEV('Feeder Spreads'!AK4:AK23),"")</f>
        <v>0</v>
      </c>
      <c r="ET4" t="str">
        <f>IFERROR(('Feeder Spreads'!AK4-(AVERAGE('Feeder Spreads'!AK4:AK23)-2*STDEV('Feeder Spreads'!AK4:AK23)))/(4*STDEV('Feeder Spreads'!AK4:AK23)),"")</f>
        <v/>
      </c>
      <c r="EU4" t="str">
        <f>IFERROR(4*STDEV('Feeder Spreads'!AK4:AK23)/AVERAGE('Feeder Spreads'!AK4:AK23),"")</f>
        <v/>
      </c>
      <c r="EV4">
        <v>48.173900000000003</v>
      </c>
      <c r="EW4">
        <f>IFERROR(SQRT((SUMSQ('Feeder Spreads'!AK4:AK23)-2*SUMPRODUCT('Feeder Spreads'!AK4:AK23,'Feeder Spreads'!AK5:AK24)+SUMSQ('Feeder Spreads'!AK5:AK24)-('Feeder Spreads'!AK4-'Feeder Spreads'!AK24)^2/20)/19),"")</f>
        <v>0</v>
      </c>
      <c r="EY4">
        <f>IFERROR('Feeder Spreads'!AQ4,"")</f>
        <v>0</v>
      </c>
      <c r="EZ4">
        <f>IFERROR(('Feeder Spreads'!AR4-AVERAGE('Feeder Spreads'!$AR$3:$AR$4308))/STDEV('Feeder Spreads'!$AR$3:$AR$4308),"")</f>
        <v>-9.2057461789832332E-2</v>
      </c>
      <c r="FA4">
        <f>IFERROR('Feeder Spreads'!AR4-'Feeder Spreads'!AR9,"")</f>
        <v>0</v>
      </c>
      <c r="FB4">
        <f>IFERROR('Feeder Spreads'!AR4-'Feeder Spreads'!AR14,"")</f>
        <v>0</v>
      </c>
      <c r="FC4">
        <f>IFERROR(AVERAGE('Feeder Spreads'!AR4:AR23)+2*STDEV('Feeder Spreads'!AR4:AR23),"")</f>
        <v>0</v>
      </c>
      <c r="FD4">
        <f>IFERROR(AVERAGE('Feeder Spreads'!AR4:AR23)-2*STDEV('Feeder Spreads'!AR4:AR23),"")</f>
        <v>0</v>
      </c>
      <c r="FE4" t="str">
        <f>IFERROR(('Feeder Spreads'!AR4-(AVERAGE('Feeder Spreads'!AR4:AR23)-2*STDEV('Feeder Spreads'!AR4:AR23)))/(4*STDEV('Feeder Spreads'!AR4:AR23)),"")</f>
        <v/>
      </c>
      <c r="FF4" t="str">
        <f>IFERROR(4*STDEV('Feeder Spreads'!AR4:AR23)/AVERAGE('Feeder Spreads'!AR4:AR23),"")</f>
        <v/>
      </c>
      <c r="FG4">
        <v>47.2014</v>
      </c>
      <c r="FH4">
        <f>IFERROR(SQRT((SUMSQ('Feeder Spreads'!AR4:AR23)-2*SUMPRODUCT('Feeder Spreads'!AR4:AR23,'Feeder Spreads'!AR5:AR24)+SUMSQ('Feeder Spreads'!AR5:AR24)-('Feeder Spreads'!AR4-'Feeder Spreads'!AR24)^2/20)/19),"")</f>
        <v>0</v>
      </c>
      <c r="FJ4">
        <f>IFERROR('Fat Spreads'!AX4,"")</f>
        <v>0</v>
      </c>
      <c r="FK4">
        <f>IFERROR(('Fat Spreads'!AY4-AVERAGE('Fat Spreads'!$AY$3:$AY$4308))/STDEV('Fat Spreads'!$AY$3:$AY$4308),"")</f>
        <v>9.2057461789832332E-2</v>
      </c>
      <c r="FL4">
        <f>IFERROR('Fat Spreads'!AY4-'Fat Spreads'!AY9,"")</f>
        <v>0</v>
      </c>
      <c r="FM4">
        <f>IFERROR('Fat Spreads'!AY4-'Fat Spreads'!AY14,"")</f>
        <v>0</v>
      </c>
      <c r="FN4">
        <f>IFERROR(AVERAGE('Fat Spreads'!AY4:AY23)+2*STDEV('Fat Spreads'!AY4:AY23),"")</f>
        <v>0</v>
      </c>
      <c r="FO4">
        <f>IFERROR(AVERAGE('Fat Spreads'!AY4:AY23)-2*STDEV('Fat Spreads'!AY4:AY23),"")</f>
        <v>0</v>
      </c>
      <c r="FP4" t="str">
        <f>IFERROR(('Fat Spreads'!AY4-(AVERAGE('Fat Spreads'!AY4:AY23)-2*STDEV('Fat Spreads'!AY4:AY23)))/(4*STDEV('Fat Spreads'!AY4:AY23)),"")</f>
        <v/>
      </c>
      <c r="FQ4" t="str">
        <f>IFERROR(4*STDEV('Fat Spreads'!AY4:AY23)/AVERAGE('Fat Spreads'!AY4:AY23),"")</f>
        <v/>
      </c>
      <c r="FR4">
        <v>35.581099999999999</v>
      </c>
      <c r="FS4">
        <f>IFERROR(SQRT((SUMSQ('Fat Spreads'!AY4:AY23)-2*SUMPRODUCT('Fat Spreads'!AY4:AY23,'Fat Spreads'!AY5:AY24)+SUMSQ('Fat Spreads'!AY5:AY24)-('Fat Spreads'!AY4-'Fat Spreads'!AY24)^2/20)/19),"")</f>
        <v>0</v>
      </c>
      <c r="FU4">
        <f>IFERROR('Fat Spreads'!BE4,"")</f>
        <v>0</v>
      </c>
      <c r="FV4">
        <f>IFERROR(('Fat Spreads'!BF4-AVERAGE('Fat Spreads'!$BF$3:$BF$4308))/STDEV('Fat Spreads'!$BF$3:$BF$4308),"")</f>
        <v>9.2057461789832332E-2</v>
      </c>
      <c r="FW4">
        <f>IFERROR('Fat Spreads'!BF4-'Fat Spreads'!BF9,"")</f>
        <v>0</v>
      </c>
      <c r="FX4">
        <f>IFERROR('Fat Spreads'!BF4-'Fat Spreads'!BF14,"")</f>
        <v>0</v>
      </c>
      <c r="FY4">
        <f>IFERROR(AVERAGE('Fat Spreads'!BF4:BF23)+2*STDEV('Fat Spreads'!BF4:BF23),"")</f>
        <v>0</v>
      </c>
      <c r="FZ4">
        <f>IFERROR(AVERAGE('Fat Spreads'!BF4:BF23)-2*STDEV('Fat Spreads'!BF4:BF23),"")</f>
        <v>0</v>
      </c>
      <c r="GA4" t="str">
        <f>IFERROR(('Fat Spreads'!BF4-(AVERAGE('Fat Spreads'!BF4:BF23)-2*STDEV('Fat Spreads'!BF4:BF23)))/(4*STDEV('Fat Spreads'!BF4:BF23)),"")</f>
        <v/>
      </c>
      <c r="GB4" t="str">
        <f>IFERROR(4*STDEV('Fat Spreads'!BF4:BF23)/AVERAGE('Fat Spreads'!BF4:BF23),"")</f>
        <v/>
      </c>
      <c r="GC4">
        <v>24.5078</v>
      </c>
      <c r="GD4">
        <f>IFERROR(SQRT((SUMSQ('Fat Spreads'!BF4:BF23)-2*SUMPRODUCT('Fat Spreads'!BF4:BF23,'Fat Spreads'!BF5:BF24)+SUMSQ('Fat Spreads'!BF5:BF24)-('Fat Spreads'!BF4-'Fat Spreads'!BF24)^2/20)/19),"")</f>
        <v>0</v>
      </c>
    </row>
    <row r="5" spans="1:186" x14ac:dyDescent="0.25">
      <c r="A5">
        <f>IFERROR('Fat Spreads'!A5,"")</f>
        <v>0</v>
      </c>
      <c r="B5">
        <f>IFERROR(('Fat Spreads'!B5-AVERAGE('Fat Spreads'!$B$3:$B$4308))/STDEV('Fat Spreads'!$B$3:$B$4308),"")</f>
        <v>9.2057461789832346E-2</v>
      </c>
      <c r="C5">
        <f>IFERROR('Fat Spreads'!B5-'Fat Spreads'!B10,"")</f>
        <v>0</v>
      </c>
      <c r="D5">
        <f>IFERROR('Fat Spreads'!B5-'Fat Spreads'!B15,"")</f>
        <v>0</v>
      </c>
      <c r="E5">
        <f>IFERROR(AVERAGE('Fat Spreads'!B5:B24)+2*STDEV('Fat Spreads'!B5:B24),"")</f>
        <v>0</v>
      </c>
      <c r="F5">
        <f>IFERROR(AVERAGE('Fat Spreads'!B5:B24)-2*STDEV('Fat Spreads'!B5:B24),"")</f>
        <v>0</v>
      </c>
      <c r="G5" t="str">
        <f>IFERROR(('Fat Spreads'!B5-(AVERAGE('Fat Spreads'!B5:B24)-2*STDEV('Fat Spreads'!B5:B24)))/(4*STDEV('Fat Spreads'!B5:B24)),"")</f>
        <v/>
      </c>
      <c r="H5" t="str">
        <f>IFERROR(4*STDEV('Fat Spreads'!B5:B24)/AVERAGE('Fat Spreads'!B5:B24),"")</f>
        <v/>
      </c>
      <c r="I5">
        <v>21.451899999999998</v>
      </c>
      <c r="J5">
        <f>IFERROR(SQRT((SUMSQ('Fat Spreads'!B5:B24)-2*SUMPRODUCT('Fat Spreads'!B5:B24,'Fat Spreads'!B6:B25)+SUMSQ('Fat Spreads'!B6:B25)-('Fat Spreads'!B5-'Fat Spreads'!B25)^2/20)/19),"")</f>
        <v>0</v>
      </c>
      <c r="L5">
        <f>IFERROR('Fat Spreads'!H5,"")</f>
        <v>0</v>
      </c>
      <c r="M5">
        <f>IFERROR(('Fat Spreads'!I5-AVERAGE('Fat Spreads'!$I$3:$I$4308))/STDEV('Fat Spreads'!$I$3:$I$4308),"")</f>
        <v>-9.2057461789832332E-2</v>
      </c>
      <c r="N5">
        <f>IFERROR('Fat Spreads'!I5-'Fat Spreads'!I10,"")</f>
        <v>0</v>
      </c>
      <c r="O5">
        <f>IFERROR('Fat Spreads'!I5-'Fat Spreads'!I15,"")</f>
        <v>0</v>
      </c>
      <c r="P5">
        <f>IFERROR(AVERAGE('Fat Spreads'!I5:I24)+2*STDEV('Fat Spreads'!I5:I24),"")</f>
        <v>0</v>
      </c>
      <c r="Q5">
        <f>IFERROR(AVERAGE('Fat Spreads'!I5:I24)-2*STDEV('Fat Spreads'!I5:I24),"")</f>
        <v>0</v>
      </c>
      <c r="R5" t="str">
        <f>IFERROR(('Fat Spreads'!I5-(AVERAGE('Fat Spreads'!I5:I24)-2*STDEV('Fat Spreads'!I5:I24)))/(4*STDEV('Fat Spreads'!I5:I24)),"")</f>
        <v/>
      </c>
      <c r="S5" t="str">
        <f>IFERROR(4*STDEV('Fat Spreads'!I5:I24)/AVERAGE('Fat Spreads'!I5:I24),"")</f>
        <v/>
      </c>
      <c r="T5">
        <v>63.218699999999998</v>
      </c>
      <c r="U5">
        <f>IFERROR(SQRT((SUMSQ('Fat Spreads'!I5:I24)-2*SUMPRODUCT('Fat Spreads'!I5:I24,'Fat Spreads'!I6:I25)+SUMSQ('Fat Spreads'!I6:I25)-('Fat Spreads'!I5-'Fat Spreads'!I25)^2/20)/19),"")</f>
        <v>0</v>
      </c>
      <c r="W5">
        <f>IFERROR('Fat Spreads'!AQ5,"")</f>
        <v>0</v>
      </c>
      <c r="X5">
        <f>IFERROR(('Fat Spreads'!AR5-AVERAGE('Fat Spreads'!$AR$3:$AR$4308))/STDEV('Fat Spreads'!$AR$3:$AR$4308),"")</f>
        <v>-9.2057461789832346E-2</v>
      </c>
      <c r="Y5">
        <f>IFERROR('Fat Spreads'!AR5-'Fat Spreads'!AR10,"")</f>
        <v>0</v>
      </c>
      <c r="Z5">
        <f>IFERROR('Fat Spreads'!AR5-'Fat Spreads'!AR15,"")</f>
        <v>0</v>
      </c>
      <c r="AA5">
        <f>IFERROR(AVERAGE('Fat Spreads'!AR5:AR24)+2*STDEV('Fat Spreads'!AR5:AR24),"")</f>
        <v>0</v>
      </c>
      <c r="AB5">
        <f>IFERROR(AVERAGE('Fat Spreads'!AR5:AR24)-2*STDEV('Fat Spreads'!AR5:AR24),"")</f>
        <v>0</v>
      </c>
      <c r="AC5" t="str">
        <f>IFERROR(('Fat Spreads'!AR5-(AVERAGE('Fat Spreads'!AR5:AR24)-2*STDEV('Fat Spreads'!AR5:AR24)))/(4*STDEV('Fat Spreads'!AR5:AR24)),"")</f>
        <v/>
      </c>
      <c r="AD5" t="str">
        <f>IFERROR(4*STDEV('Fat Spreads'!AR5:AR24)/AVERAGE('Fat Spreads'!AR5:AR24),"")</f>
        <v/>
      </c>
      <c r="AE5">
        <v>60.472999999999999</v>
      </c>
      <c r="AF5">
        <f>IFERROR(SQRT((SUMSQ('Fat Spreads'!AR5:AR24)-2*SUMPRODUCT('Fat Spreads'!AR5:AR24,'Fat Spreads'!AR6:AR25)+SUMSQ('Fat Spreads'!AR6:AR25)-('Fat Spreads'!AR5-'Fat Spreads'!AR25)^2/20)/19),"")</f>
        <v>0</v>
      </c>
      <c r="AH5">
        <f>IFERROR('Fat Spreads'!O5,"")</f>
        <v>0</v>
      </c>
      <c r="AI5">
        <f>IFERROR(('Fat Spreads'!P5-AVERAGE('Fat Spreads'!$P$3:$P$4308))/STDEV('Fat Spreads'!$P$3:$P$4308),"")</f>
        <v>-9.2057461789832332E-2</v>
      </c>
      <c r="AJ5">
        <f>IFERROR('Fat Spreads'!P5-'Fat Spreads'!P10,"")</f>
        <v>0</v>
      </c>
      <c r="AK5">
        <f>IFERROR('Fat Spreads'!P5-'Fat Spreads'!P15,"")</f>
        <v>0</v>
      </c>
      <c r="AL5">
        <f>IFERROR(AVERAGE('Fat Spreads'!P5:P24)+2*STDEV('Fat Spreads'!P5:P24),"")</f>
        <v>0</v>
      </c>
      <c r="AM5">
        <f>IFERROR(AVERAGE('Fat Spreads'!P5:P24)-2*STDEV('Fat Spreads'!P5:P24),"")</f>
        <v>0</v>
      </c>
      <c r="AN5" t="str">
        <f>IFERROR(('Fat Spreads'!P5-(AVERAGE('Fat Spreads'!P5:P24)-2*STDEV('Fat Spreads'!P5:P24)))/(4*STDEV('Fat Spreads'!P5:P24)),"")</f>
        <v/>
      </c>
      <c r="AO5" t="str">
        <f>IFERROR(4*STDEV('Fat Spreads'!P5:P24)/AVERAGE('Fat Spreads'!P5:P24),"")</f>
        <v/>
      </c>
      <c r="AP5">
        <v>62.608400000000003</v>
      </c>
      <c r="AQ5">
        <f>IFERROR(SQRT((SUMSQ('Fat Spreads'!P5:P24)-2*SUMPRODUCT('Fat Spreads'!P5:P24,'Fat Spreads'!P6:P25)+SUMSQ('Fat Spreads'!P6:P25)-('Fat Spreads'!P5-'Fat Spreads'!P25)^2/20)/19),"")</f>
        <v>0</v>
      </c>
      <c r="AS5">
        <f>IFERROR('Fat Spreads'!AJ5,"")</f>
        <v>0</v>
      </c>
      <c r="AT5">
        <f>IFERROR(('Fat Spreads'!AK5-AVERAGE('Fat Spreads'!$AK$3:$AK$4308))/STDEV('Fat Spreads'!$AK$3:$AK$4308),"")</f>
        <v>-9.2057461789832332E-2</v>
      </c>
      <c r="AU5">
        <f>IFERROR('Fat Spreads'!AK5-'Fat Spreads'!AK10,"")</f>
        <v>0</v>
      </c>
      <c r="AV5">
        <f>IFERROR('Fat Spreads'!AK5-'Fat Spreads'!AK15,"")</f>
        <v>0</v>
      </c>
      <c r="AW5">
        <f>IFERROR(AVERAGE('Fat Spreads'!AK5:AK24)+2*STDEV('Fat Spreads'!AK5:AK24),"")</f>
        <v>0</v>
      </c>
      <c r="AX5">
        <f>IFERROR(AVERAGE('Fat Spreads'!AK5:AK24)-2*STDEV('Fat Spreads'!AK5:AK24),"")</f>
        <v>0</v>
      </c>
      <c r="AY5" t="str">
        <f>IFERROR(('Fat Spreads'!AK5-(AVERAGE('Fat Spreads'!AK5:AK24)-2*STDEV('Fat Spreads'!AK5:AK24)))/(4*STDEV('Fat Spreads'!AK5:AK24)),"")</f>
        <v/>
      </c>
      <c r="AZ5" t="str">
        <f>IFERROR(4*STDEV('Fat Spreads'!AK5:AK24)/AVERAGE('Fat Spreads'!AK5:AK24),"")</f>
        <v/>
      </c>
      <c r="BA5">
        <v>69.793499999999995</v>
      </c>
      <c r="BB5">
        <f>IFERROR(SQRT((SUMSQ('Fat Spreads'!AK5:AK24)-2*SUMPRODUCT('Fat Spreads'!AK5:AK24,'Fat Spreads'!AK6:AK25)+SUMSQ('Fat Spreads'!AK6:AK25)-('Fat Spreads'!AK5-'Fat Spreads'!AK25)^2/20)/19),"")</f>
        <v>0</v>
      </c>
      <c r="BD5">
        <f>IFERROR('Fat Spreads'!V5,"")</f>
        <v>0</v>
      </c>
      <c r="BE5">
        <f>IFERROR(('Fat Spreads'!W5-AVERAGE('Fat Spreads'!$W$3:$W$4308))/STDEV('Fat Spreads'!$W$3:$W$4308),"")</f>
        <v>-9.2057461789832332E-2</v>
      </c>
      <c r="BF5">
        <f>IFERROR('Fat Spreads'!W5-'Fat Spreads'!W10,"")</f>
        <v>0</v>
      </c>
      <c r="BG5">
        <f>IFERROR('Fat Spreads'!W5-'Fat Spreads'!W15,"")</f>
        <v>0</v>
      </c>
      <c r="BH5">
        <f>IFERROR(AVERAGE('Fat Spreads'!W5:W24)+2*STDEV('Fat Spreads'!W5:W24),"")</f>
        <v>0</v>
      </c>
      <c r="BI5">
        <f>IFERROR(AVERAGE('Fat Spreads'!W5:W24)-2*STDEV('Fat Spreads'!W5:W24),"")</f>
        <v>0</v>
      </c>
      <c r="BJ5" t="str">
        <f>IFERROR(('Fat Spreads'!W5-(AVERAGE('Fat Spreads'!W5:W24)-2*STDEV('Fat Spreads'!W5:W24)))/(4*STDEV('Fat Spreads'!W5:W24)),"")</f>
        <v/>
      </c>
      <c r="BK5" t="str">
        <f>IFERROR(4*STDEV('Fat Spreads'!W5:W24)/AVERAGE('Fat Spreads'!W5:W24),"")</f>
        <v/>
      </c>
      <c r="BL5">
        <v>52.799599999999998</v>
      </c>
      <c r="BM5">
        <f>IFERROR(SQRT((SUMSQ('Fat Spreads'!W5:W24)-2*SUMPRODUCT('Fat Spreads'!W5:W24,'Fat Spreads'!W6:W25)+SUMSQ('Fat Spreads'!W6:W25)-('Fat Spreads'!W5-'Fat Spreads'!W25)^2/20)/19),"")</f>
        <v>0</v>
      </c>
      <c r="BO5">
        <f>IFERROR('Fat Spreads'!AC5,"")</f>
        <v>0</v>
      </c>
      <c r="BP5">
        <f>IFERROR(('Fat Spreads'!AD5-AVERAGE('Fat Spreads'!$AD$3:$AD$4308))/STDEV('Fat Spreads'!$AD$3:$AD$4308),"")</f>
        <v>-9.2057461789832332E-2</v>
      </c>
      <c r="BQ5">
        <f>IFERROR('Fat Spreads'!AD5-'Fat Spreads'!AD10,"")</f>
        <v>0</v>
      </c>
      <c r="BR5">
        <f>IFERROR('Fat Spreads'!AD5-'Fat Spreads'!AD15,"")</f>
        <v>0</v>
      </c>
      <c r="BS5">
        <f>IFERROR(AVERAGE('Fat Spreads'!AD5:AD24)+2*STDEV('Fat Spreads'!AD5:AD24),"")</f>
        <v>0</v>
      </c>
      <c r="BT5">
        <f>IFERROR(AVERAGE('Fat Spreads'!AD5:AD24)-2*STDEV('Fat Spreads'!AD5:AD24),"")</f>
        <v>0</v>
      </c>
      <c r="BU5" t="str">
        <f>IFERROR(('Fat Spreads'!AD5-(AVERAGE('Fat Spreads'!AD5:AD24)-2*STDEV('Fat Spreads'!AD5:AD24)))/(4*STDEV('Fat Spreads'!AD5:AD24)),"")</f>
        <v/>
      </c>
      <c r="BV5" t="str">
        <f>IFERROR(4*STDEV('Fat Spreads'!AD5:AD24)/AVERAGE('Fat Spreads'!AD5:AD24),"")</f>
        <v/>
      </c>
      <c r="BW5">
        <v>53.771599999999999</v>
      </c>
      <c r="BX5">
        <f>IFERROR(SQRT((SUMSQ('Fat Spreads'!AD5:AD24)-2*SUMPRODUCT('Fat Spreads'!AD5:AD24,'Fat Spreads'!AD6:AD25)+SUMSQ('Fat Spreads'!AD6:AD25)-('Fat Spreads'!AD5-'Fat Spreads'!AD25)^2/20)/19),"")</f>
        <v>0</v>
      </c>
      <c r="BZ5">
        <f>IFERROR('Feeder Spreads'!A5,"")</f>
        <v>0</v>
      </c>
      <c r="CA5">
        <f>IFERROR(('Feeder Spreads'!B5-AVERAGE('Feeder Spreads'!$B$3:$B$4308))/STDEV('Feeder Spreads'!$B$3:$B$4308),"")</f>
        <v>-9.2057461789832346E-2</v>
      </c>
      <c r="CB5">
        <f>IFERROR('Feeder Spreads'!B5-'Feeder Spreads'!B10,"")</f>
        <v>0</v>
      </c>
      <c r="CC5">
        <f>IFERROR('Feeder Spreads'!B5-'Feeder Spreads'!B15,"")</f>
        <v>0</v>
      </c>
      <c r="CD5">
        <f>IFERROR(AVERAGE('Feeder Spreads'!B5:B24)+2*STDEV('Feeder Spreads'!B5:B24),"")</f>
        <v>0</v>
      </c>
      <c r="CE5">
        <f>IFERROR(AVERAGE('Feeder Spreads'!B5:B24)-2*STDEV('Feeder Spreads'!B5:B24),"")</f>
        <v>0</v>
      </c>
      <c r="CF5" t="str">
        <f>IFERROR(('Feeder Spreads'!B5-(AVERAGE('Feeder Spreads'!B5:B24)-2*STDEV('Feeder Spreads'!B5:B24)))/(4*STDEV('Feeder Spreads'!B5:B24)),"")</f>
        <v/>
      </c>
      <c r="CG5" t="str">
        <f>IFERROR(4*STDEV('Feeder Spreads'!B5:B24)/AVERAGE('Feeder Spreads'!B5:B24),"")</f>
        <v/>
      </c>
      <c r="CH5">
        <v>53.493000000000002</v>
      </c>
      <c r="CI5">
        <f>IFERROR(SQRT((SUMSQ('Feeder Spreads'!B5:B24)-2*SUMPRODUCT('Feeder Spreads'!B5:B24,'Feeder Spreads'!B6:B25)+SUMSQ('Feeder Spreads'!B6:B25)-('Feeder Spreads'!B5-'Feeder Spreads'!B25)^2/20)/19),"")</f>
        <v>0</v>
      </c>
      <c r="CK5">
        <f>IFERROR('Feeder Spreads'!AX5,"")</f>
        <v>0</v>
      </c>
      <c r="CL5">
        <f>IFERROR(('Feeder Spreads'!AY5-AVERAGE('Feeder Spreads'!$AY$3:$AY$4308))/STDEV('Feeder Spreads'!$AY$3:$AY$4308),"")</f>
        <v>-9.2057461789832346E-2</v>
      </c>
      <c r="CM5">
        <f>IFERROR('Feeder Spreads'!AY5-'Feeder Spreads'!AY10,"")</f>
        <v>0</v>
      </c>
      <c r="CN5">
        <f>IFERROR('Feeder Spreads'!AY5-'Feeder Spreads'!AY15,"")</f>
        <v>0</v>
      </c>
      <c r="CO5">
        <f>IFERROR(AVERAGE('Feeder Spreads'!AY5:AY24)+2*STDEV('Feeder Spreads'!AY5:AY24),"")</f>
        <v>0</v>
      </c>
      <c r="CP5">
        <f>IFERROR(AVERAGE('Feeder Spreads'!AY5:AY24)-2*STDEV('Feeder Spreads'!AY5:AY24),"")</f>
        <v>0</v>
      </c>
      <c r="CQ5" t="str">
        <f>IFERROR(('Feeder Spreads'!AY5-(AVERAGE('Feeder Spreads'!AY5:AY24)-2*STDEV('Feeder Spreads'!AY5:AY24)))/(4*STDEV('Feeder Spreads'!AY5:AY24)),"")</f>
        <v/>
      </c>
      <c r="CR5" t="str">
        <f>IFERROR(4*STDEV('Feeder Spreads'!AY5:AY24)/AVERAGE('Feeder Spreads'!AY5:AY24),"")</f>
        <v/>
      </c>
      <c r="CS5">
        <v>46.035499999999999</v>
      </c>
      <c r="CT5">
        <f>IFERROR(SQRT((SUMSQ('Feeder Spreads'!AY5:AY24)-2*SUMPRODUCT('Feeder Spreads'!AY5:AY24,'Feeder Spreads'!AY6:AY25)+SUMSQ('Feeder Spreads'!AY6:AY25)-('Feeder Spreads'!AY5-'Feeder Spreads'!AY25)^2/20)/19),"")</f>
        <v>0</v>
      </c>
      <c r="CV5">
        <f>IFERROR('Feeder Spreads'!H5,"")</f>
        <v>0</v>
      </c>
      <c r="CW5">
        <f>IFERROR(('Feeder Spreads'!I5-AVERAGE('Feeder Spreads'!$I$3:$I$4308))/STDEV('Feeder Spreads'!$I$3:$I$4308),"")</f>
        <v>-9.2057461789832332E-2</v>
      </c>
      <c r="CX5">
        <f>IFERROR('Feeder Spreads'!I5-'Feeder Spreads'!I10,"")</f>
        <v>0</v>
      </c>
      <c r="CY5">
        <f>IFERROR('Feeder Spreads'!I5-'Feeder Spreads'!I15,"")</f>
        <v>0</v>
      </c>
      <c r="CZ5">
        <f>IFERROR(AVERAGE('Feeder Spreads'!I5:I24)+2*STDEV('Feeder Spreads'!I5:I24),"")</f>
        <v>0</v>
      </c>
      <c r="DA5">
        <f>IFERROR(AVERAGE('Feeder Spreads'!I5:I24)-2*STDEV('Feeder Spreads'!I5:I24),"")</f>
        <v>0</v>
      </c>
      <c r="DB5" t="str">
        <f>IFERROR(('Feeder Spreads'!I5-(AVERAGE('Feeder Spreads'!I5:I24)-2*STDEV('Feeder Spreads'!I5:I24)))/(4*STDEV('Feeder Spreads'!I5:I24)),"")</f>
        <v/>
      </c>
      <c r="DC5" t="str">
        <f>IFERROR(4*STDEV('Feeder Spreads'!I5:I24)/AVERAGE('Feeder Spreads'!I5:I24),"")</f>
        <v/>
      </c>
      <c r="DD5">
        <v>44.283999999999999</v>
      </c>
      <c r="DE5">
        <f>IFERROR(SQRT((SUMSQ('Feeder Spreads'!I5:I24)-2*SUMPRODUCT('Feeder Spreads'!I5:I24,'Feeder Spreads'!I6:I25)+SUMSQ('Feeder Spreads'!I6:I25)-('Feeder Spreads'!I5-'Feeder Spreads'!I25)^2/20)/19),"")</f>
        <v>0</v>
      </c>
      <c r="DG5">
        <f>IFERROR('Feeder Spreads'!O5,"")</f>
        <v>0</v>
      </c>
      <c r="DH5">
        <f>IFERROR(('Feeder Spreads'!P5-AVERAGE('Feeder Spreads'!$P$3:$P$4308))/STDEV('Feeder Spreads'!$P$3:$P$4308),"")</f>
        <v>-9.2057461789832346E-2</v>
      </c>
      <c r="DI5">
        <f>IFERROR('Feeder Spreads'!P5-'Feeder Spreads'!P10,"")</f>
        <v>0</v>
      </c>
      <c r="DJ5">
        <f>IFERROR('Feeder Spreads'!P5-'Feeder Spreads'!P15,"")</f>
        <v>0</v>
      </c>
      <c r="DK5">
        <f>IFERROR(AVERAGE('Feeder Spreads'!P5:P24)+2*STDEV('Feeder Spreads'!P5:P24),"")</f>
        <v>0</v>
      </c>
      <c r="DL5">
        <f>IFERROR(AVERAGE('Feeder Spreads'!P5:P24)-2*STDEV('Feeder Spreads'!P5:P24),"")</f>
        <v>0</v>
      </c>
      <c r="DM5" t="str">
        <f>IFERROR(('Feeder Spreads'!P5-(AVERAGE('Feeder Spreads'!P5:P24)-2*STDEV('Feeder Spreads'!P5:P24)))/(4*STDEV('Feeder Spreads'!P5:P24)),"")</f>
        <v/>
      </c>
      <c r="DN5" t="str">
        <f>IFERROR(4*STDEV('Feeder Spreads'!P5:P24)/AVERAGE('Feeder Spreads'!P5:P24),"")</f>
        <v/>
      </c>
      <c r="DO5">
        <v>48.151400000000002</v>
      </c>
      <c r="DP5">
        <f>IFERROR(SQRT((SUMSQ('Feeder Spreads'!P5:P24)-2*SUMPRODUCT('Feeder Spreads'!P5:P24,'Feeder Spreads'!P6:P25)+SUMSQ('Feeder Spreads'!P6:P25)-('Feeder Spreads'!P5-'Feeder Spreads'!P25)^2/20)/19),"")</f>
        <v>0</v>
      </c>
      <c r="DR5">
        <f>IFERROR('Feeder Spreads'!V5,"")</f>
        <v>0</v>
      </c>
      <c r="DS5">
        <f>IFERROR(('Feeder Spreads'!W5-AVERAGE('Feeder Spreads'!$W$3:$W$4308))/STDEV('Feeder Spreads'!$W$3:$W$4308),"")</f>
        <v>-9.2057461789832332E-2</v>
      </c>
      <c r="DT5">
        <f>IFERROR('Feeder Spreads'!W5-'Feeder Spreads'!W10,"")</f>
        <v>0</v>
      </c>
      <c r="DU5">
        <f>IFERROR('Feeder Spreads'!W5-'Feeder Spreads'!W15,"")</f>
        <v>0</v>
      </c>
      <c r="DV5">
        <f>IFERROR(AVERAGE('Feeder Spreads'!W5:W24)+2*STDEV('Feeder Spreads'!W5:W24),"")</f>
        <v>0</v>
      </c>
      <c r="DW5">
        <f>IFERROR(AVERAGE('Feeder Spreads'!W5:W24)-2*STDEV('Feeder Spreads'!W5:W24),"")</f>
        <v>0</v>
      </c>
      <c r="DX5" t="str">
        <f>IFERROR(('Feeder Spreads'!W5-(AVERAGE('Feeder Spreads'!W5:W24)-2*STDEV('Feeder Spreads'!W5:W24)))/(4*STDEV('Feeder Spreads'!W5:W24)),"")</f>
        <v/>
      </c>
      <c r="DY5" t="str">
        <f>IFERROR(4*STDEV('Feeder Spreads'!W5:W24)/AVERAGE('Feeder Spreads'!W5:W24),"")</f>
        <v/>
      </c>
      <c r="DZ5">
        <v>74.999200000000002</v>
      </c>
      <c r="EA5">
        <f>IFERROR(SQRT((SUMSQ('Feeder Spreads'!W5:W24)-2*SUMPRODUCT('Feeder Spreads'!W5:W24,'Feeder Spreads'!W6:W25)+SUMSQ('Feeder Spreads'!W6:W25)-('Feeder Spreads'!W5-'Feeder Spreads'!W25)^2/20)/19),"")</f>
        <v>0</v>
      </c>
      <c r="EC5">
        <f>IFERROR('Feeder Spreads'!AC5,"")</f>
        <v>0</v>
      </c>
      <c r="ED5">
        <f>IFERROR(('Feeder Spreads'!AD5-AVERAGE('Feeder Spreads'!$AD$3:$AD$4308))/STDEV('Feeder Spreads'!$AD$3:$AD$4308),"")</f>
        <v>9.2057461789832318E-2</v>
      </c>
      <c r="EE5">
        <f>IFERROR('Feeder Spreads'!AD5-'Feeder Spreads'!AD10,"")</f>
        <v>0</v>
      </c>
      <c r="EF5">
        <f>IFERROR('Feeder Spreads'!AD5-'Feeder Spreads'!AD15,"")</f>
        <v>0</v>
      </c>
      <c r="EG5">
        <f>IFERROR(AVERAGE('Feeder Spreads'!AD5:AD24)+2*STDEV('Feeder Spreads'!AD5:AD24),"")</f>
        <v>0</v>
      </c>
      <c r="EH5">
        <f>IFERROR(AVERAGE('Feeder Spreads'!AD5:AD24)-2*STDEV('Feeder Spreads'!AD5:AD24),"")</f>
        <v>0</v>
      </c>
      <c r="EI5" t="str">
        <f>IFERROR(('Feeder Spreads'!AD5-(AVERAGE('Feeder Spreads'!AD5:AD24)-2*STDEV('Feeder Spreads'!AD5:AD24)))/(4*STDEV('Feeder Spreads'!AD5:AD24)),"")</f>
        <v/>
      </c>
      <c r="EJ5" t="str">
        <f>IFERROR(4*STDEV('Feeder Spreads'!AD5:AD24)/AVERAGE('Feeder Spreads'!AD5:AD24),"")</f>
        <v/>
      </c>
      <c r="EK5">
        <v>28.7822</v>
      </c>
      <c r="EL5">
        <f>IFERROR(SQRT((SUMSQ('Feeder Spreads'!AD5:AD24)-2*SUMPRODUCT('Feeder Spreads'!AD5:AD24,'Feeder Spreads'!AD6:AD25)+SUMSQ('Feeder Spreads'!AD6:AD25)-('Feeder Spreads'!AD5-'Feeder Spreads'!AD25)^2/20)/19),"")</f>
        <v>0</v>
      </c>
      <c r="EN5">
        <f>IFERROR('Feeder Spreads'!AJ5,"")</f>
        <v>0</v>
      </c>
      <c r="EO5">
        <f>IFERROR(('Feeder Spreads'!AK5-AVERAGE('Feeder Spreads'!$AK$3:$AK$4308))/STDEV('Feeder Spreads'!$AK$3:$AK$4308),"")</f>
        <v>-9.2057461789832346E-2</v>
      </c>
      <c r="EP5">
        <f>IFERROR('Feeder Spreads'!AK5-'Feeder Spreads'!AK10,"")</f>
        <v>0</v>
      </c>
      <c r="EQ5">
        <f>IFERROR('Feeder Spreads'!AK5-'Feeder Spreads'!AK15,"")</f>
        <v>0</v>
      </c>
      <c r="ER5">
        <f>IFERROR(AVERAGE('Feeder Spreads'!AK5:AK24)+2*STDEV('Feeder Spreads'!AK5:AK24),"")</f>
        <v>0</v>
      </c>
      <c r="ES5">
        <f>IFERROR(AVERAGE('Feeder Spreads'!AK5:AK24)-2*STDEV('Feeder Spreads'!AK5:AK24),"")</f>
        <v>0</v>
      </c>
      <c r="ET5" t="str">
        <f>IFERROR(('Feeder Spreads'!AK5-(AVERAGE('Feeder Spreads'!AK5:AK24)-2*STDEV('Feeder Spreads'!AK5:AK24)))/(4*STDEV('Feeder Spreads'!AK5:AK24)),"")</f>
        <v/>
      </c>
      <c r="EU5" t="str">
        <f>IFERROR(4*STDEV('Feeder Spreads'!AK5:AK24)/AVERAGE('Feeder Spreads'!AK5:AK24),"")</f>
        <v/>
      </c>
      <c r="EV5">
        <v>38.797899999999998</v>
      </c>
      <c r="EW5">
        <f>IFERROR(SQRT((SUMSQ('Feeder Spreads'!AK5:AK24)-2*SUMPRODUCT('Feeder Spreads'!AK5:AK24,'Feeder Spreads'!AK6:AK25)+SUMSQ('Feeder Spreads'!AK6:AK25)-('Feeder Spreads'!AK5-'Feeder Spreads'!AK25)^2/20)/19),"")</f>
        <v>0</v>
      </c>
      <c r="EY5">
        <f>IFERROR('Feeder Spreads'!AQ5,"")</f>
        <v>0</v>
      </c>
      <c r="EZ5">
        <f>IFERROR(('Feeder Spreads'!AR5-AVERAGE('Feeder Spreads'!$AR$3:$AR$4308))/STDEV('Feeder Spreads'!$AR$3:$AR$4308),"")</f>
        <v>-9.2057461789832332E-2</v>
      </c>
      <c r="FA5">
        <f>IFERROR('Feeder Spreads'!AR5-'Feeder Spreads'!AR10,"")</f>
        <v>0</v>
      </c>
      <c r="FB5">
        <f>IFERROR('Feeder Spreads'!AR5-'Feeder Spreads'!AR15,"")</f>
        <v>0</v>
      </c>
      <c r="FC5">
        <f>IFERROR(AVERAGE('Feeder Spreads'!AR5:AR24)+2*STDEV('Feeder Spreads'!AR5:AR24),"")</f>
        <v>0</v>
      </c>
      <c r="FD5">
        <f>IFERROR(AVERAGE('Feeder Spreads'!AR5:AR24)-2*STDEV('Feeder Spreads'!AR5:AR24),"")</f>
        <v>0</v>
      </c>
      <c r="FE5" t="str">
        <f>IFERROR(('Feeder Spreads'!AR5-(AVERAGE('Feeder Spreads'!AR5:AR24)-2*STDEV('Feeder Spreads'!AR5:AR24)))/(4*STDEV('Feeder Spreads'!AR5:AR24)),"")</f>
        <v/>
      </c>
      <c r="FF5" t="str">
        <f>IFERROR(4*STDEV('Feeder Spreads'!AR5:AR24)/AVERAGE('Feeder Spreads'!AR5:AR24),"")</f>
        <v/>
      </c>
      <c r="FG5">
        <v>43.574300000000001</v>
      </c>
      <c r="FH5">
        <f>IFERROR(SQRT((SUMSQ('Feeder Spreads'!AR5:AR24)-2*SUMPRODUCT('Feeder Spreads'!AR5:AR24,'Feeder Spreads'!AR6:AR25)+SUMSQ('Feeder Spreads'!AR6:AR25)-('Feeder Spreads'!AR5-'Feeder Spreads'!AR25)^2/20)/19),"")</f>
        <v>0</v>
      </c>
      <c r="FJ5">
        <f>IFERROR('Fat Spreads'!AX5,"")</f>
        <v>0</v>
      </c>
      <c r="FK5">
        <f>IFERROR(('Fat Spreads'!AY5-AVERAGE('Fat Spreads'!$AY$3:$AY$4308))/STDEV('Fat Spreads'!$AY$3:$AY$4308),"")</f>
        <v>9.2057461789832332E-2</v>
      </c>
      <c r="FL5">
        <f>IFERROR('Fat Spreads'!AY5-'Fat Spreads'!AY10,"")</f>
        <v>0</v>
      </c>
      <c r="FM5">
        <f>IFERROR('Fat Spreads'!AY5-'Fat Spreads'!AY15,"")</f>
        <v>0</v>
      </c>
      <c r="FN5">
        <f>IFERROR(AVERAGE('Fat Spreads'!AY5:AY24)+2*STDEV('Fat Spreads'!AY5:AY24),"")</f>
        <v>0</v>
      </c>
      <c r="FO5">
        <f>IFERROR(AVERAGE('Fat Spreads'!AY5:AY24)-2*STDEV('Fat Spreads'!AY5:AY24),"")</f>
        <v>0</v>
      </c>
      <c r="FP5" t="str">
        <f>IFERROR(('Fat Spreads'!AY5-(AVERAGE('Fat Spreads'!AY5:AY24)-2*STDEV('Fat Spreads'!AY5:AY24)))/(4*STDEV('Fat Spreads'!AY5:AY24)),"")</f>
        <v/>
      </c>
      <c r="FQ5" t="str">
        <f>IFERROR(4*STDEV('Fat Spreads'!AY5:AY24)/AVERAGE('Fat Spreads'!AY5:AY24),"")</f>
        <v/>
      </c>
      <c r="FR5">
        <v>37.545699999999997</v>
      </c>
      <c r="FS5">
        <f>IFERROR(SQRT((SUMSQ('Fat Spreads'!AY5:AY24)-2*SUMPRODUCT('Fat Spreads'!AY5:AY24,'Fat Spreads'!AY6:AY25)+SUMSQ('Fat Spreads'!AY6:AY25)-('Fat Spreads'!AY5-'Fat Spreads'!AY25)^2/20)/19),"")</f>
        <v>0</v>
      </c>
      <c r="FU5">
        <f>IFERROR('Fat Spreads'!BE5,"")</f>
        <v>0</v>
      </c>
      <c r="FV5">
        <f>IFERROR(('Fat Spreads'!BF5-AVERAGE('Fat Spreads'!$BF$3:$BF$4308))/STDEV('Fat Spreads'!$BF$3:$BF$4308),"")</f>
        <v>9.2057461789832332E-2</v>
      </c>
      <c r="FW5">
        <f>IFERROR('Fat Spreads'!BF5-'Fat Spreads'!BF10,"")</f>
        <v>0</v>
      </c>
      <c r="FX5">
        <f>IFERROR('Fat Spreads'!BF5-'Fat Spreads'!BF15,"")</f>
        <v>0</v>
      </c>
      <c r="FY5">
        <f>IFERROR(AVERAGE('Fat Spreads'!BF5:BF24)+2*STDEV('Fat Spreads'!BF5:BF24),"")</f>
        <v>0</v>
      </c>
      <c r="FZ5">
        <f>IFERROR(AVERAGE('Fat Spreads'!BF5:BF24)-2*STDEV('Fat Spreads'!BF5:BF24),"")</f>
        <v>0</v>
      </c>
      <c r="GA5" t="str">
        <f>IFERROR(('Fat Spreads'!BF5-(AVERAGE('Fat Spreads'!BF5:BF24)-2*STDEV('Fat Spreads'!BF5:BF24)))/(4*STDEV('Fat Spreads'!BF5:BF24)),"")</f>
        <v/>
      </c>
      <c r="GB5" t="str">
        <f>IFERROR(4*STDEV('Fat Spreads'!BF5:BF24)/AVERAGE('Fat Spreads'!BF5:BF24),"")</f>
        <v/>
      </c>
      <c r="GC5">
        <v>24.799199999999999</v>
      </c>
      <c r="GD5">
        <f>IFERROR(SQRT((SUMSQ('Fat Spreads'!BF5:BF24)-2*SUMPRODUCT('Fat Spreads'!BF5:BF24,'Fat Spreads'!BF6:BF25)+SUMSQ('Fat Spreads'!BF6:BF25)-('Fat Spreads'!BF5-'Fat Spreads'!BF25)^2/20)/19),"")</f>
        <v>0</v>
      </c>
    </row>
    <row r="6" spans="1:186" x14ac:dyDescent="0.25">
      <c r="A6">
        <f>IFERROR('Fat Spreads'!A6,"")</f>
        <v>0</v>
      </c>
      <c r="B6">
        <f>IFERROR(('Fat Spreads'!B6-AVERAGE('Fat Spreads'!$B$3:$B$4308))/STDEV('Fat Spreads'!$B$3:$B$4308),"")</f>
        <v>9.2057461789832346E-2</v>
      </c>
      <c r="C6">
        <f>IFERROR('Fat Spreads'!B6-'Fat Spreads'!B11,"")</f>
        <v>0</v>
      </c>
      <c r="D6">
        <f>IFERROR('Fat Spreads'!B6-'Fat Spreads'!B16,"")</f>
        <v>0</v>
      </c>
      <c r="E6">
        <f>IFERROR(AVERAGE('Fat Spreads'!B6:B25)+2*STDEV('Fat Spreads'!B6:B25),"")</f>
        <v>0</v>
      </c>
      <c r="F6">
        <f>IFERROR(AVERAGE('Fat Spreads'!B6:B25)-2*STDEV('Fat Spreads'!B6:B25),"")</f>
        <v>0</v>
      </c>
      <c r="G6" t="str">
        <f>IFERROR(('Fat Spreads'!B6-(AVERAGE('Fat Spreads'!B6:B25)-2*STDEV('Fat Spreads'!B6:B25)))/(4*STDEV('Fat Spreads'!B6:B25)),"")</f>
        <v/>
      </c>
      <c r="H6" t="str">
        <f>IFERROR(4*STDEV('Fat Spreads'!B6:B25)/AVERAGE('Fat Spreads'!B6:B25),"")</f>
        <v/>
      </c>
      <c r="I6">
        <v>20.648399999999999</v>
      </c>
      <c r="J6">
        <f>IFERROR(SQRT((SUMSQ('Fat Spreads'!B6:B25)-2*SUMPRODUCT('Fat Spreads'!B6:B25,'Fat Spreads'!B7:B26)+SUMSQ('Fat Spreads'!B7:B26)-('Fat Spreads'!B6-'Fat Spreads'!B26)^2/20)/19),"")</f>
        <v>0</v>
      </c>
      <c r="L6">
        <f>IFERROR('Fat Spreads'!H6,"")</f>
        <v>0</v>
      </c>
      <c r="M6">
        <f>IFERROR(('Fat Spreads'!I6-AVERAGE('Fat Spreads'!$I$3:$I$4308))/STDEV('Fat Spreads'!$I$3:$I$4308),"")</f>
        <v>-9.2057461789832332E-2</v>
      </c>
      <c r="N6">
        <f>IFERROR('Fat Spreads'!I6-'Fat Spreads'!I11,"")</f>
        <v>0</v>
      </c>
      <c r="O6">
        <f>IFERROR('Fat Spreads'!I6-'Fat Spreads'!I16,"")</f>
        <v>0</v>
      </c>
      <c r="P6">
        <f>IFERROR(AVERAGE('Fat Spreads'!I6:I25)+2*STDEV('Fat Spreads'!I6:I25),"")</f>
        <v>0</v>
      </c>
      <c r="Q6">
        <f>IFERROR(AVERAGE('Fat Spreads'!I6:I25)-2*STDEV('Fat Spreads'!I6:I25),"")</f>
        <v>0</v>
      </c>
      <c r="R6" t="str">
        <f>IFERROR(('Fat Spreads'!I6-(AVERAGE('Fat Spreads'!I6:I25)-2*STDEV('Fat Spreads'!I6:I25)))/(4*STDEV('Fat Spreads'!I6:I25)),"")</f>
        <v/>
      </c>
      <c r="S6" t="str">
        <f>IFERROR(4*STDEV('Fat Spreads'!I6:I25)/AVERAGE('Fat Spreads'!I6:I25),"")</f>
        <v/>
      </c>
      <c r="T6">
        <v>65.250799999999998</v>
      </c>
      <c r="U6">
        <f>IFERROR(SQRT((SUMSQ('Fat Spreads'!I6:I25)-2*SUMPRODUCT('Fat Spreads'!I6:I25,'Fat Spreads'!I7:I26)+SUMSQ('Fat Spreads'!I7:I26)-('Fat Spreads'!I6-'Fat Spreads'!I26)^2/20)/19),"")</f>
        <v>0</v>
      </c>
      <c r="W6">
        <f>IFERROR('Fat Spreads'!AQ6,"")</f>
        <v>0</v>
      </c>
      <c r="X6">
        <f>IFERROR(('Fat Spreads'!AR6-AVERAGE('Fat Spreads'!$AR$3:$AR$4308))/STDEV('Fat Spreads'!$AR$3:$AR$4308),"")</f>
        <v>-9.2057461789832346E-2</v>
      </c>
      <c r="Y6">
        <f>IFERROR('Fat Spreads'!AR6-'Fat Spreads'!AR11,"")</f>
        <v>0</v>
      </c>
      <c r="Z6">
        <f>IFERROR('Fat Spreads'!AR6-'Fat Spreads'!AR16,"")</f>
        <v>0</v>
      </c>
      <c r="AA6">
        <f>IFERROR(AVERAGE('Fat Spreads'!AR6:AR25)+2*STDEV('Fat Spreads'!AR6:AR25),"")</f>
        <v>0</v>
      </c>
      <c r="AB6">
        <f>IFERROR(AVERAGE('Fat Spreads'!AR6:AR25)-2*STDEV('Fat Spreads'!AR6:AR25),"")</f>
        <v>0</v>
      </c>
      <c r="AC6" t="str">
        <f>IFERROR(('Fat Spreads'!AR6-(AVERAGE('Fat Spreads'!AR6:AR25)-2*STDEV('Fat Spreads'!AR6:AR25)))/(4*STDEV('Fat Spreads'!AR6:AR25)),"")</f>
        <v/>
      </c>
      <c r="AD6" t="str">
        <f>IFERROR(4*STDEV('Fat Spreads'!AR6:AR25)/AVERAGE('Fat Spreads'!AR6:AR25),"")</f>
        <v/>
      </c>
      <c r="AE6">
        <v>61.1404</v>
      </c>
      <c r="AF6">
        <f>IFERROR(SQRT((SUMSQ('Fat Spreads'!AR6:AR25)-2*SUMPRODUCT('Fat Spreads'!AR6:AR25,'Fat Spreads'!AR7:AR26)+SUMSQ('Fat Spreads'!AR7:AR26)-('Fat Spreads'!AR6-'Fat Spreads'!AR26)^2/20)/19),"")</f>
        <v>0</v>
      </c>
      <c r="AH6">
        <f>IFERROR('Fat Spreads'!O6,"")</f>
        <v>0</v>
      </c>
      <c r="AI6">
        <f>IFERROR(('Fat Spreads'!P6-AVERAGE('Fat Spreads'!$P$3:$P$4308))/STDEV('Fat Spreads'!$P$3:$P$4308),"")</f>
        <v>-9.2057461789832332E-2</v>
      </c>
      <c r="AJ6">
        <f>IFERROR('Fat Spreads'!P6-'Fat Spreads'!P11,"")</f>
        <v>0</v>
      </c>
      <c r="AK6">
        <f>IFERROR('Fat Spreads'!P6-'Fat Spreads'!P16,"")</f>
        <v>0</v>
      </c>
      <c r="AL6">
        <f>IFERROR(AVERAGE('Fat Spreads'!P6:P25)+2*STDEV('Fat Spreads'!P6:P25),"")</f>
        <v>0</v>
      </c>
      <c r="AM6">
        <f>IFERROR(AVERAGE('Fat Spreads'!P6:P25)-2*STDEV('Fat Spreads'!P6:P25),"")</f>
        <v>0</v>
      </c>
      <c r="AN6" t="str">
        <f>IFERROR(('Fat Spreads'!P6-(AVERAGE('Fat Spreads'!P6:P25)-2*STDEV('Fat Spreads'!P6:P25)))/(4*STDEV('Fat Spreads'!P6:P25)),"")</f>
        <v/>
      </c>
      <c r="AO6" t="str">
        <f>IFERROR(4*STDEV('Fat Spreads'!P6:P25)/AVERAGE('Fat Spreads'!P6:P25),"")</f>
        <v/>
      </c>
      <c r="AP6">
        <v>61.308199999999999</v>
      </c>
      <c r="AQ6">
        <f>IFERROR(SQRT((SUMSQ('Fat Spreads'!P6:P25)-2*SUMPRODUCT('Fat Spreads'!P6:P25,'Fat Spreads'!P7:P26)+SUMSQ('Fat Spreads'!P7:P26)-('Fat Spreads'!P6-'Fat Spreads'!P26)^2/20)/19),"")</f>
        <v>0</v>
      </c>
      <c r="AS6">
        <f>IFERROR('Fat Spreads'!AJ6,"")</f>
        <v>0</v>
      </c>
      <c r="AT6">
        <f>IFERROR(('Fat Spreads'!AK6-AVERAGE('Fat Spreads'!$AK$3:$AK$4308))/STDEV('Fat Spreads'!$AK$3:$AK$4308),"")</f>
        <v>-9.2057461789832332E-2</v>
      </c>
      <c r="AU6">
        <f>IFERROR('Fat Spreads'!AK6-'Fat Spreads'!AK11,"")</f>
        <v>0</v>
      </c>
      <c r="AV6">
        <f>IFERROR('Fat Spreads'!AK6-'Fat Spreads'!AK16,"")</f>
        <v>0</v>
      </c>
      <c r="AW6">
        <f>IFERROR(AVERAGE('Fat Spreads'!AK6:AK25)+2*STDEV('Fat Spreads'!AK6:AK25),"")</f>
        <v>0</v>
      </c>
      <c r="AX6">
        <f>IFERROR(AVERAGE('Fat Spreads'!AK6:AK25)-2*STDEV('Fat Spreads'!AK6:AK25),"")</f>
        <v>0</v>
      </c>
      <c r="AY6" t="str">
        <f>IFERROR(('Fat Spreads'!AK6-(AVERAGE('Fat Spreads'!AK6:AK25)-2*STDEV('Fat Spreads'!AK6:AK25)))/(4*STDEV('Fat Spreads'!AK6:AK25)),"")</f>
        <v/>
      </c>
      <c r="AZ6" t="str">
        <f>IFERROR(4*STDEV('Fat Spreads'!AK6:AK25)/AVERAGE('Fat Spreads'!AK6:AK25),"")</f>
        <v/>
      </c>
      <c r="BA6">
        <v>69.935100000000006</v>
      </c>
      <c r="BB6">
        <f>IFERROR(SQRT((SUMSQ('Fat Spreads'!AK6:AK25)-2*SUMPRODUCT('Fat Spreads'!AK6:AK25,'Fat Spreads'!AK7:AK26)+SUMSQ('Fat Spreads'!AK7:AK26)-('Fat Spreads'!AK6-'Fat Spreads'!AK26)^2/20)/19),"")</f>
        <v>0</v>
      </c>
      <c r="BD6">
        <f>IFERROR('Fat Spreads'!V6,"")</f>
        <v>0</v>
      </c>
      <c r="BE6">
        <f>IFERROR(('Fat Spreads'!W6-AVERAGE('Fat Spreads'!$W$3:$W$4308))/STDEV('Fat Spreads'!$W$3:$W$4308),"")</f>
        <v>-9.2057461789832332E-2</v>
      </c>
      <c r="BF6">
        <f>IFERROR('Fat Spreads'!W6-'Fat Spreads'!W11,"")</f>
        <v>0</v>
      </c>
      <c r="BG6">
        <f>IFERROR('Fat Spreads'!W6-'Fat Spreads'!W16,"")</f>
        <v>0</v>
      </c>
      <c r="BH6">
        <f>IFERROR(AVERAGE('Fat Spreads'!W6:W25)+2*STDEV('Fat Spreads'!W6:W25),"")</f>
        <v>0</v>
      </c>
      <c r="BI6">
        <f>IFERROR(AVERAGE('Fat Spreads'!W6:W25)-2*STDEV('Fat Spreads'!W6:W25),"")</f>
        <v>0</v>
      </c>
      <c r="BJ6" t="str">
        <f>IFERROR(('Fat Spreads'!W6-(AVERAGE('Fat Spreads'!W6:W25)-2*STDEV('Fat Spreads'!W6:W25)))/(4*STDEV('Fat Spreads'!W6:W25)),"")</f>
        <v/>
      </c>
      <c r="BK6" t="str">
        <f>IFERROR(4*STDEV('Fat Spreads'!W6:W25)/AVERAGE('Fat Spreads'!W6:W25),"")</f>
        <v/>
      </c>
      <c r="BL6">
        <v>59.402700000000003</v>
      </c>
      <c r="BM6">
        <f>IFERROR(SQRT((SUMSQ('Fat Spreads'!W6:W25)-2*SUMPRODUCT('Fat Spreads'!W6:W25,'Fat Spreads'!W7:W26)+SUMSQ('Fat Spreads'!W7:W26)-('Fat Spreads'!W6-'Fat Spreads'!W26)^2/20)/19),"")</f>
        <v>0</v>
      </c>
      <c r="BO6">
        <f>IFERROR('Fat Spreads'!AC6,"")</f>
        <v>0</v>
      </c>
      <c r="BP6">
        <f>IFERROR(('Fat Spreads'!AD6-AVERAGE('Fat Spreads'!$AD$3:$AD$4308))/STDEV('Fat Spreads'!$AD$3:$AD$4308),"")</f>
        <v>-9.2057461789832332E-2</v>
      </c>
      <c r="BQ6">
        <f>IFERROR('Fat Spreads'!AD6-'Fat Spreads'!AD11,"")</f>
        <v>0</v>
      </c>
      <c r="BR6">
        <f>IFERROR('Fat Spreads'!AD6-'Fat Spreads'!AD16,"")</f>
        <v>0</v>
      </c>
      <c r="BS6">
        <f>IFERROR(AVERAGE('Fat Spreads'!AD6:AD25)+2*STDEV('Fat Spreads'!AD6:AD25),"")</f>
        <v>0</v>
      </c>
      <c r="BT6">
        <f>IFERROR(AVERAGE('Fat Spreads'!AD6:AD25)-2*STDEV('Fat Spreads'!AD6:AD25),"")</f>
        <v>0</v>
      </c>
      <c r="BU6" t="str">
        <f>IFERROR(('Fat Spreads'!AD6-(AVERAGE('Fat Spreads'!AD6:AD25)-2*STDEV('Fat Spreads'!AD6:AD25)))/(4*STDEV('Fat Spreads'!AD6:AD25)),"")</f>
        <v/>
      </c>
      <c r="BV6" t="str">
        <f>IFERROR(4*STDEV('Fat Spreads'!AD6:AD25)/AVERAGE('Fat Spreads'!AD6:AD25),"")</f>
        <v/>
      </c>
      <c r="BW6">
        <v>52.894100000000002</v>
      </c>
      <c r="BX6">
        <f>IFERROR(SQRT((SUMSQ('Fat Spreads'!AD6:AD25)-2*SUMPRODUCT('Fat Spreads'!AD6:AD25,'Fat Spreads'!AD7:AD26)+SUMSQ('Fat Spreads'!AD7:AD26)-('Fat Spreads'!AD6-'Fat Spreads'!AD26)^2/20)/19),"")</f>
        <v>0</v>
      </c>
      <c r="BZ6">
        <f>IFERROR('Feeder Spreads'!A6,"")</f>
        <v>0</v>
      </c>
      <c r="CA6">
        <f>IFERROR(('Feeder Spreads'!B6-AVERAGE('Feeder Spreads'!$B$3:$B$4308))/STDEV('Feeder Spreads'!$B$3:$B$4308),"")</f>
        <v>-9.2057461789832346E-2</v>
      </c>
      <c r="CB6">
        <f>IFERROR('Feeder Spreads'!B6-'Feeder Spreads'!B11,"")</f>
        <v>0</v>
      </c>
      <c r="CC6">
        <f>IFERROR('Feeder Spreads'!B6-'Feeder Spreads'!B16,"")</f>
        <v>0</v>
      </c>
      <c r="CD6">
        <f>IFERROR(AVERAGE('Feeder Spreads'!B6:B25)+2*STDEV('Feeder Spreads'!B6:B25),"")</f>
        <v>0</v>
      </c>
      <c r="CE6">
        <f>IFERROR(AVERAGE('Feeder Spreads'!B6:B25)-2*STDEV('Feeder Spreads'!B6:B25),"")</f>
        <v>0</v>
      </c>
      <c r="CF6" t="str">
        <f>IFERROR(('Feeder Spreads'!B6-(AVERAGE('Feeder Spreads'!B6:B25)-2*STDEV('Feeder Spreads'!B6:B25)))/(4*STDEV('Feeder Spreads'!B6:B25)),"")</f>
        <v/>
      </c>
      <c r="CG6" t="str">
        <f>IFERROR(4*STDEV('Feeder Spreads'!B6:B25)/AVERAGE('Feeder Spreads'!B6:B25),"")</f>
        <v/>
      </c>
      <c r="CH6">
        <v>56.269500000000001</v>
      </c>
      <c r="CI6">
        <f>IFERROR(SQRT((SUMSQ('Feeder Spreads'!B6:B25)-2*SUMPRODUCT('Feeder Spreads'!B6:B25,'Feeder Spreads'!B7:B26)+SUMSQ('Feeder Spreads'!B7:B26)-('Feeder Spreads'!B6-'Feeder Spreads'!B26)^2/20)/19),"")</f>
        <v>0</v>
      </c>
      <c r="CK6">
        <f>IFERROR('Feeder Spreads'!AX6,"")</f>
        <v>0</v>
      </c>
      <c r="CL6">
        <f>IFERROR(('Feeder Spreads'!AY6-AVERAGE('Feeder Spreads'!$AY$3:$AY$4308))/STDEV('Feeder Spreads'!$AY$3:$AY$4308),"")</f>
        <v>-9.2057461789832346E-2</v>
      </c>
      <c r="CM6">
        <f>IFERROR('Feeder Spreads'!AY6-'Feeder Spreads'!AY11,"")</f>
        <v>0</v>
      </c>
      <c r="CN6">
        <f>IFERROR('Feeder Spreads'!AY6-'Feeder Spreads'!AY16,"")</f>
        <v>0</v>
      </c>
      <c r="CO6">
        <f>IFERROR(AVERAGE('Feeder Spreads'!AY6:AY25)+2*STDEV('Feeder Spreads'!AY6:AY25),"")</f>
        <v>0</v>
      </c>
      <c r="CP6">
        <f>IFERROR(AVERAGE('Feeder Spreads'!AY6:AY25)-2*STDEV('Feeder Spreads'!AY6:AY25),"")</f>
        <v>0</v>
      </c>
      <c r="CQ6" t="str">
        <f>IFERROR(('Feeder Spreads'!AY6-(AVERAGE('Feeder Spreads'!AY6:AY25)-2*STDEV('Feeder Spreads'!AY6:AY25)))/(4*STDEV('Feeder Spreads'!AY6:AY25)),"")</f>
        <v/>
      </c>
      <c r="CR6" t="str">
        <f>IFERROR(4*STDEV('Feeder Spreads'!AY6:AY25)/AVERAGE('Feeder Spreads'!AY6:AY25),"")</f>
        <v/>
      </c>
      <c r="CS6">
        <v>47.974200000000003</v>
      </c>
      <c r="CT6">
        <f>IFERROR(SQRT((SUMSQ('Feeder Spreads'!AY6:AY25)-2*SUMPRODUCT('Feeder Spreads'!AY6:AY25,'Feeder Spreads'!AY7:AY26)+SUMSQ('Feeder Spreads'!AY7:AY26)-('Feeder Spreads'!AY6-'Feeder Spreads'!AY26)^2/20)/19),"")</f>
        <v>0</v>
      </c>
      <c r="CV6">
        <f>IFERROR('Feeder Spreads'!H6,"")</f>
        <v>0</v>
      </c>
      <c r="CW6">
        <f>IFERROR(('Feeder Spreads'!I6-AVERAGE('Feeder Spreads'!$I$3:$I$4308))/STDEV('Feeder Spreads'!$I$3:$I$4308),"")</f>
        <v>-9.2057461789832332E-2</v>
      </c>
      <c r="CX6">
        <f>IFERROR('Feeder Spreads'!I6-'Feeder Spreads'!I11,"")</f>
        <v>0</v>
      </c>
      <c r="CY6">
        <f>IFERROR('Feeder Spreads'!I6-'Feeder Spreads'!I16,"")</f>
        <v>0</v>
      </c>
      <c r="CZ6">
        <f>IFERROR(AVERAGE('Feeder Spreads'!I6:I25)+2*STDEV('Feeder Spreads'!I6:I25),"")</f>
        <v>0</v>
      </c>
      <c r="DA6">
        <f>IFERROR(AVERAGE('Feeder Spreads'!I6:I25)-2*STDEV('Feeder Spreads'!I6:I25),"")</f>
        <v>0</v>
      </c>
      <c r="DB6" t="str">
        <f>IFERROR(('Feeder Spreads'!I6-(AVERAGE('Feeder Spreads'!I6:I25)-2*STDEV('Feeder Spreads'!I6:I25)))/(4*STDEV('Feeder Spreads'!I6:I25)),"")</f>
        <v/>
      </c>
      <c r="DC6" t="str">
        <f>IFERROR(4*STDEV('Feeder Spreads'!I6:I25)/AVERAGE('Feeder Spreads'!I6:I25),"")</f>
        <v/>
      </c>
      <c r="DD6">
        <v>42.843299999999999</v>
      </c>
      <c r="DE6">
        <f>IFERROR(SQRT((SUMSQ('Feeder Spreads'!I6:I25)-2*SUMPRODUCT('Feeder Spreads'!I6:I25,'Feeder Spreads'!I7:I26)+SUMSQ('Feeder Spreads'!I7:I26)-('Feeder Spreads'!I6-'Feeder Spreads'!I26)^2/20)/19),"")</f>
        <v>0</v>
      </c>
      <c r="DG6">
        <f>IFERROR('Feeder Spreads'!O6,"")</f>
        <v>0</v>
      </c>
      <c r="DH6">
        <f>IFERROR(('Feeder Spreads'!P6-AVERAGE('Feeder Spreads'!$P$3:$P$4308))/STDEV('Feeder Spreads'!$P$3:$P$4308),"")</f>
        <v>-9.2057461789832346E-2</v>
      </c>
      <c r="DI6">
        <f>IFERROR('Feeder Spreads'!P6-'Feeder Spreads'!P11,"")</f>
        <v>0</v>
      </c>
      <c r="DJ6">
        <f>IFERROR('Feeder Spreads'!P6-'Feeder Spreads'!P16,"")</f>
        <v>0</v>
      </c>
      <c r="DK6">
        <f>IFERROR(AVERAGE('Feeder Spreads'!P6:P25)+2*STDEV('Feeder Spreads'!P6:P25),"")</f>
        <v>0</v>
      </c>
      <c r="DL6">
        <f>IFERROR(AVERAGE('Feeder Spreads'!P6:P25)-2*STDEV('Feeder Spreads'!P6:P25),"")</f>
        <v>0</v>
      </c>
      <c r="DM6" t="str">
        <f>IFERROR(('Feeder Spreads'!P6-(AVERAGE('Feeder Spreads'!P6:P25)-2*STDEV('Feeder Spreads'!P6:P25)))/(4*STDEV('Feeder Spreads'!P6:P25)),"")</f>
        <v/>
      </c>
      <c r="DN6" t="str">
        <f>IFERROR(4*STDEV('Feeder Spreads'!P6:P25)/AVERAGE('Feeder Spreads'!P6:P25),"")</f>
        <v/>
      </c>
      <c r="DO6">
        <v>49.9514</v>
      </c>
      <c r="DP6">
        <f>IFERROR(SQRT((SUMSQ('Feeder Spreads'!P6:P25)-2*SUMPRODUCT('Feeder Spreads'!P6:P25,'Feeder Spreads'!P7:P26)+SUMSQ('Feeder Spreads'!P7:P26)-('Feeder Spreads'!P6-'Feeder Spreads'!P26)^2/20)/19),"")</f>
        <v>0</v>
      </c>
      <c r="DR6">
        <f>IFERROR('Feeder Spreads'!V6,"")</f>
        <v>0</v>
      </c>
      <c r="DS6">
        <f>IFERROR(('Feeder Spreads'!W6-AVERAGE('Feeder Spreads'!$W$3:$W$4308))/STDEV('Feeder Spreads'!$W$3:$W$4308),"")</f>
        <v>-9.2057461789832332E-2</v>
      </c>
      <c r="DT6">
        <f>IFERROR('Feeder Spreads'!W6-'Feeder Spreads'!W11,"")</f>
        <v>0</v>
      </c>
      <c r="DU6">
        <f>IFERROR('Feeder Spreads'!W6-'Feeder Spreads'!W16,"")</f>
        <v>0</v>
      </c>
      <c r="DV6">
        <f>IFERROR(AVERAGE('Feeder Spreads'!W6:W25)+2*STDEV('Feeder Spreads'!W6:W25),"")</f>
        <v>0</v>
      </c>
      <c r="DW6">
        <f>IFERROR(AVERAGE('Feeder Spreads'!W6:W25)-2*STDEV('Feeder Spreads'!W6:W25),"")</f>
        <v>0</v>
      </c>
      <c r="DX6" t="str">
        <f>IFERROR(('Feeder Spreads'!W6-(AVERAGE('Feeder Spreads'!W6:W25)-2*STDEV('Feeder Spreads'!W6:W25)))/(4*STDEV('Feeder Spreads'!W6:W25)),"")</f>
        <v/>
      </c>
      <c r="DY6" t="str">
        <f>IFERROR(4*STDEV('Feeder Spreads'!W6:W25)/AVERAGE('Feeder Spreads'!W6:W25),"")</f>
        <v/>
      </c>
      <c r="DZ6">
        <v>51.37</v>
      </c>
      <c r="EA6">
        <f>IFERROR(SQRT((SUMSQ('Feeder Spreads'!W6:W25)-2*SUMPRODUCT('Feeder Spreads'!W6:W25,'Feeder Spreads'!W7:W26)+SUMSQ('Feeder Spreads'!W7:W26)-('Feeder Spreads'!W6-'Feeder Spreads'!W26)^2/20)/19),"")</f>
        <v>0</v>
      </c>
      <c r="EC6">
        <f>IFERROR('Feeder Spreads'!AC6,"")</f>
        <v>0</v>
      </c>
      <c r="ED6">
        <f>IFERROR(('Feeder Spreads'!AD6-AVERAGE('Feeder Spreads'!$AD$3:$AD$4308))/STDEV('Feeder Spreads'!$AD$3:$AD$4308),"")</f>
        <v>9.2057461789832318E-2</v>
      </c>
      <c r="EE6">
        <f>IFERROR('Feeder Spreads'!AD6-'Feeder Spreads'!AD11,"")</f>
        <v>0</v>
      </c>
      <c r="EF6">
        <f>IFERROR('Feeder Spreads'!AD6-'Feeder Spreads'!AD16,"")</f>
        <v>0</v>
      </c>
      <c r="EG6">
        <f>IFERROR(AVERAGE('Feeder Spreads'!AD6:AD25)+2*STDEV('Feeder Spreads'!AD6:AD25),"")</f>
        <v>0</v>
      </c>
      <c r="EH6">
        <f>IFERROR(AVERAGE('Feeder Spreads'!AD6:AD25)-2*STDEV('Feeder Spreads'!AD6:AD25),"")</f>
        <v>0</v>
      </c>
      <c r="EI6" t="str">
        <f>IFERROR(('Feeder Spreads'!AD6-(AVERAGE('Feeder Spreads'!AD6:AD25)-2*STDEV('Feeder Spreads'!AD6:AD25)))/(4*STDEV('Feeder Spreads'!AD6:AD25)),"")</f>
        <v/>
      </c>
      <c r="EJ6" t="str">
        <f>IFERROR(4*STDEV('Feeder Spreads'!AD6:AD25)/AVERAGE('Feeder Spreads'!AD6:AD25),"")</f>
        <v/>
      </c>
      <c r="EK6">
        <v>44.405999999999999</v>
      </c>
      <c r="EL6">
        <f>IFERROR(SQRT((SUMSQ('Feeder Spreads'!AD6:AD25)-2*SUMPRODUCT('Feeder Spreads'!AD6:AD25,'Feeder Spreads'!AD7:AD26)+SUMSQ('Feeder Spreads'!AD7:AD26)-('Feeder Spreads'!AD6-'Feeder Spreads'!AD26)^2/20)/19),"")</f>
        <v>0</v>
      </c>
      <c r="EN6">
        <f>IFERROR('Feeder Spreads'!AJ6,"")</f>
        <v>0</v>
      </c>
      <c r="EO6">
        <f>IFERROR(('Feeder Spreads'!AK6-AVERAGE('Feeder Spreads'!$AK$3:$AK$4308))/STDEV('Feeder Spreads'!$AK$3:$AK$4308),"")</f>
        <v>-9.2057461789832346E-2</v>
      </c>
      <c r="EP6">
        <f>IFERROR('Feeder Spreads'!AK6-'Feeder Spreads'!AK11,"")</f>
        <v>0</v>
      </c>
      <c r="EQ6">
        <f>IFERROR('Feeder Spreads'!AK6-'Feeder Spreads'!AK16,"")</f>
        <v>0</v>
      </c>
      <c r="ER6">
        <f>IFERROR(AVERAGE('Feeder Spreads'!AK6:AK25)+2*STDEV('Feeder Spreads'!AK6:AK25),"")</f>
        <v>0</v>
      </c>
      <c r="ES6">
        <f>IFERROR(AVERAGE('Feeder Spreads'!AK6:AK25)-2*STDEV('Feeder Spreads'!AK6:AK25),"")</f>
        <v>0</v>
      </c>
      <c r="ET6" t="str">
        <f>IFERROR(('Feeder Spreads'!AK6-(AVERAGE('Feeder Spreads'!AK6:AK25)-2*STDEV('Feeder Spreads'!AK6:AK25)))/(4*STDEV('Feeder Spreads'!AK6:AK25)),"")</f>
        <v/>
      </c>
      <c r="EU6" t="str">
        <f>IFERROR(4*STDEV('Feeder Spreads'!AK6:AK25)/AVERAGE('Feeder Spreads'!AK6:AK25),"")</f>
        <v/>
      </c>
      <c r="EV6">
        <v>40.3626</v>
      </c>
      <c r="EW6">
        <f>IFERROR(SQRT((SUMSQ('Feeder Spreads'!AK6:AK25)-2*SUMPRODUCT('Feeder Spreads'!AK6:AK25,'Feeder Spreads'!AK7:AK26)+SUMSQ('Feeder Spreads'!AK7:AK26)-('Feeder Spreads'!AK6-'Feeder Spreads'!AK26)^2/20)/19),"")</f>
        <v>0</v>
      </c>
      <c r="EY6">
        <f>IFERROR('Feeder Spreads'!AQ6,"")</f>
        <v>0</v>
      </c>
      <c r="EZ6">
        <f>IFERROR(('Feeder Spreads'!AR6-AVERAGE('Feeder Spreads'!$AR$3:$AR$4308))/STDEV('Feeder Spreads'!$AR$3:$AR$4308),"")</f>
        <v>-9.2057461789832332E-2</v>
      </c>
      <c r="FA6">
        <f>IFERROR('Feeder Spreads'!AR6-'Feeder Spreads'!AR11,"")</f>
        <v>0</v>
      </c>
      <c r="FB6">
        <f>IFERROR('Feeder Spreads'!AR6-'Feeder Spreads'!AR16,"")</f>
        <v>0</v>
      </c>
      <c r="FC6">
        <f>IFERROR(AVERAGE('Feeder Spreads'!AR6:AR25)+2*STDEV('Feeder Spreads'!AR6:AR25),"")</f>
        <v>0</v>
      </c>
      <c r="FD6">
        <f>IFERROR(AVERAGE('Feeder Spreads'!AR6:AR25)-2*STDEV('Feeder Spreads'!AR6:AR25),"")</f>
        <v>0</v>
      </c>
      <c r="FE6" t="str">
        <f>IFERROR(('Feeder Spreads'!AR6-(AVERAGE('Feeder Spreads'!AR6:AR25)-2*STDEV('Feeder Spreads'!AR6:AR25)))/(4*STDEV('Feeder Spreads'!AR6:AR25)),"")</f>
        <v/>
      </c>
      <c r="FF6" t="str">
        <f>IFERROR(4*STDEV('Feeder Spreads'!AR6:AR25)/AVERAGE('Feeder Spreads'!AR6:AR25),"")</f>
        <v/>
      </c>
      <c r="FG6">
        <v>46.543300000000002</v>
      </c>
      <c r="FH6">
        <f>IFERROR(SQRT((SUMSQ('Feeder Spreads'!AR6:AR25)-2*SUMPRODUCT('Feeder Spreads'!AR6:AR25,'Feeder Spreads'!AR7:AR26)+SUMSQ('Feeder Spreads'!AR7:AR26)-('Feeder Spreads'!AR6-'Feeder Spreads'!AR26)^2/20)/19),"")</f>
        <v>0</v>
      </c>
      <c r="FJ6">
        <f>IFERROR('Fat Spreads'!AX6,"")</f>
        <v>0</v>
      </c>
      <c r="FK6">
        <f>IFERROR(('Fat Spreads'!AY6-AVERAGE('Fat Spreads'!$AY$3:$AY$4308))/STDEV('Fat Spreads'!$AY$3:$AY$4308),"")</f>
        <v>9.2057461789832332E-2</v>
      </c>
      <c r="FL6">
        <f>IFERROR('Fat Spreads'!AY6-'Fat Spreads'!AY11,"")</f>
        <v>0</v>
      </c>
      <c r="FM6">
        <f>IFERROR('Fat Spreads'!AY6-'Fat Spreads'!AY16,"")</f>
        <v>0</v>
      </c>
      <c r="FN6">
        <f>IFERROR(AVERAGE('Fat Spreads'!AY6:AY25)+2*STDEV('Fat Spreads'!AY6:AY25),"")</f>
        <v>0</v>
      </c>
      <c r="FO6">
        <f>IFERROR(AVERAGE('Fat Spreads'!AY6:AY25)-2*STDEV('Fat Spreads'!AY6:AY25),"")</f>
        <v>0</v>
      </c>
      <c r="FP6" t="str">
        <f>IFERROR(('Fat Spreads'!AY6-(AVERAGE('Fat Spreads'!AY6:AY25)-2*STDEV('Fat Spreads'!AY6:AY25)))/(4*STDEV('Fat Spreads'!AY6:AY25)),"")</f>
        <v/>
      </c>
      <c r="FQ6" t="str">
        <f>IFERROR(4*STDEV('Fat Spreads'!AY6:AY25)/AVERAGE('Fat Spreads'!AY6:AY25),"")</f>
        <v/>
      </c>
      <c r="FR6">
        <v>36.5976</v>
      </c>
      <c r="FS6">
        <f>IFERROR(SQRT((SUMSQ('Fat Spreads'!AY6:AY25)-2*SUMPRODUCT('Fat Spreads'!AY6:AY25,'Fat Spreads'!AY7:AY26)+SUMSQ('Fat Spreads'!AY7:AY26)-('Fat Spreads'!AY6-'Fat Spreads'!AY26)^2/20)/19),"")</f>
        <v>0</v>
      </c>
      <c r="FU6">
        <f>IFERROR('Fat Spreads'!BE6,"")</f>
        <v>0</v>
      </c>
      <c r="FV6">
        <f>IFERROR(('Fat Spreads'!BF6-AVERAGE('Fat Spreads'!$BF$3:$BF$4308))/STDEV('Fat Spreads'!$BF$3:$BF$4308),"")</f>
        <v>9.2057461789832332E-2</v>
      </c>
      <c r="FW6">
        <f>IFERROR('Fat Spreads'!BF6-'Fat Spreads'!BF11,"")</f>
        <v>0</v>
      </c>
      <c r="FX6">
        <f>IFERROR('Fat Spreads'!BF6-'Fat Spreads'!BF16,"")</f>
        <v>0</v>
      </c>
      <c r="FY6">
        <f>IFERROR(AVERAGE('Fat Spreads'!BF6:BF25)+2*STDEV('Fat Spreads'!BF6:BF25),"")</f>
        <v>0</v>
      </c>
      <c r="FZ6">
        <f>IFERROR(AVERAGE('Fat Spreads'!BF6:BF25)-2*STDEV('Fat Spreads'!BF6:BF25),"")</f>
        <v>0</v>
      </c>
      <c r="GA6" t="str">
        <f>IFERROR(('Fat Spreads'!BF6-(AVERAGE('Fat Spreads'!BF6:BF25)-2*STDEV('Fat Spreads'!BF6:BF25)))/(4*STDEV('Fat Spreads'!BF6:BF25)),"")</f>
        <v/>
      </c>
      <c r="GB6" t="str">
        <f>IFERROR(4*STDEV('Fat Spreads'!BF6:BF25)/AVERAGE('Fat Spreads'!BF6:BF25),"")</f>
        <v/>
      </c>
      <c r="GC6">
        <v>24.549299999999999</v>
      </c>
      <c r="GD6">
        <f>IFERROR(SQRT((SUMSQ('Fat Spreads'!BF6:BF25)-2*SUMPRODUCT('Fat Spreads'!BF6:BF25,'Fat Spreads'!BF7:BF26)+SUMSQ('Fat Spreads'!BF7:BF26)-('Fat Spreads'!BF6-'Fat Spreads'!BF26)^2/20)/19),"")</f>
        <v>0</v>
      </c>
    </row>
    <row r="7" spans="1:186" x14ac:dyDescent="0.25">
      <c r="A7">
        <f>IFERROR('Fat Spreads'!A7,"")</f>
        <v>0</v>
      </c>
      <c r="B7">
        <f>IFERROR(('Fat Spreads'!B7-AVERAGE('Fat Spreads'!$B$3:$B$4308))/STDEV('Fat Spreads'!$B$3:$B$4308),"")</f>
        <v>9.2057461789832346E-2</v>
      </c>
      <c r="C7">
        <f>IFERROR('Fat Spreads'!B7-'Fat Spreads'!B12,"")</f>
        <v>0</v>
      </c>
      <c r="D7">
        <f>IFERROR('Fat Spreads'!B7-'Fat Spreads'!B17,"")</f>
        <v>0</v>
      </c>
      <c r="E7">
        <f>IFERROR(AVERAGE('Fat Spreads'!B7:B26)+2*STDEV('Fat Spreads'!B7:B26),"")</f>
        <v>0</v>
      </c>
      <c r="F7">
        <f>IFERROR(AVERAGE('Fat Spreads'!B7:B26)-2*STDEV('Fat Spreads'!B7:B26),"")</f>
        <v>0</v>
      </c>
      <c r="G7" t="str">
        <f>IFERROR(('Fat Spreads'!B7-(AVERAGE('Fat Spreads'!B7:B26)-2*STDEV('Fat Spreads'!B7:B26)))/(4*STDEV('Fat Spreads'!B7:B26)),"")</f>
        <v/>
      </c>
      <c r="H7" t="str">
        <f>IFERROR(4*STDEV('Fat Spreads'!B7:B26)/AVERAGE('Fat Spreads'!B7:B26),"")</f>
        <v/>
      </c>
      <c r="I7">
        <v>48.014400000000002</v>
      </c>
      <c r="J7">
        <f>IFERROR(SQRT((SUMSQ('Fat Spreads'!B7:B26)-2*SUMPRODUCT('Fat Spreads'!B7:B26,'Fat Spreads'!B8:B27)+SUMSQ('Fat Spreads'!B8:B27)-('Fat Spreads'!B7-'Fat Spreads'!B27)^2/20)/19),"")</f>
        <v>0</v>
      </c>
      <c r="L7">
        <f>IFERROR('Fat Spreads'!H7,"")</f>
        <v>0</v>
      </c>
      <c r="M7">
        <f>IFERROR(('Fat Spreads'!I7-AVERAGE('Fat Spreads'!$I$3:$I$4308))/STDEV('Fat Spreads'!$I$3:$I$4308),"")</f>
        <v>-9.2057461789832332E-2</v>
      </c>
      <c r="N7">
        <f>IFERROR('Fat Spreads'!I7-'Fat Spreads'!I12,"")</f>
        <v>0</v>
      </c>
      <c r="O7">
        <f>IFERROR('Fat Spreads'!I7-'Fat Spreads'!I17,"")</f>
        <v>0</v>
      </c>
      <c r="P7">
        <f>IFERROR(AVERAGE('Fat Spreads'!I7:I26)+2*STDEV('Fat Spreads'!I7:I26),"")</f>
        <v>0</v>
      </c>
      <c r="Q7">
        <f>IFERROR(AVERAGE('Fat Spreads'!I7:I26)-2*STDEV('Fat Spreads'!I7:I26),"")</f>
        <v>0</v>
      </c>
      <c r="R7" t="str">
        <f>IFERROR(('Fat Spreads'!I7-(AVERAGE('Fat Spreads'!I7:I26)-2*STDEV('Fat Spreads'!I7:I26)))/(4*STDEV('Fat Spreads'!I7:I26)),"")</f>
        <v/>
      </c>
      <c r="S7" t="str">
        <f>IFERROR(4*STDEV('Fat Spreads'!I7:I26)/AVERAGE('Fat Spreads'!I7:I26),"")</f>
        <v/>
      </c>
      <c r="T7">
        <v>67.955299999999994</v>
      </c>
      <c r="U7">
        <f>IFERROR(SQRT((SUMSQ('Fat Spreads'!I7:I26)-2*SUMPRODUCT('Fat Spreads'!I7:I26,'Fat Spreads'!I8:I27)+SUMSQ('Fat Spreads'!I8:I27)-('Fat Spreads'!I7-'Fat Spreads'!I27)^2/20)/19),"")</f>
        <v>0</v>
      </c>
      <c r="W7">
        <f>IFERROR('Fat Spreads'!AQ7,"")</f>
        <v>0</v>
      </c>
      <c r="X7">
        <f>IFERROR(('Fat Spreads'!AR7-AVERAGE('Fat Spreads'!$AR$3:$AR$4308))/STDEV('Fat Spreads'!$AR$3:$AR$4308),"")</f>
        <v>-9.2057461789832346E-2</v>
      </c>
      <c r="Y7">
        <f>IFERROR('Fat Spreads'!AR7-'Fat Spreads'!AR12,"")</f>
        <v>0</v>
      </c>
      <c r="Z7">
        <f>IFERROR('Fat Spreads'!AR7-'Fat Spreads'!AR17,"")</f>
        <v>0</v>
      </c>
      <c r="AA7">
        <f>IFERROR(AVERAGE('Fat Spreads'!AR7:AR26)+2*STDEV('Fat Spreads'!AR7:AR26),"")</f>
        <v>0</v>
      </c>
      <c r="AB7">
        <f>IFERROR(AVERAGE('Fat Spreads'!AR7:AR26)-2*STDEV('Fat Spreads'!AR7:AR26),"")</f>
        <v>0</v>
      </c>
      <c r="AC7" t="str">
        <f>IFERROR(('Fat Spreads'!AR7-(AVERAGE('Fat Spreads'!AR7:AR26)-2*STDEV('Fat Spreads'!AR7:AR26)))/(4*STDEV('Fat Spreads'!AR7:AR26)),"")</f>
        <v/>
      </c>
      <c r="AD7" t="str">
        <f>IFERROR(4*STDEV('Fat Spreads'!AR7:AR26)/AVERAGE('Fat Spreads'!AR7:AR26),"")</f>
        <v/>
      </c>
      <c r="AE7">
        <v>68.908199999999994</v>
      </c>
      <c r="AF7">
        <f>IFERROR(SQRT((SUMSQ('Fat Spreads'!AR7:AR26)-2*SUMPRODUCT('Fat Spreads'!AR7:AR26,'Fat Spreads'!AR8:AR27)+SUMSQ('Fat Spreads'!AR8:AR27)-('Fat Spreads'!AR7-'Fat Spreads'!AR27)^2/20)/19),"")</f>
        <v>0</v>
      </c>
      <c r="AH7">
        <f>IFERROR('Fat Spreads'!O7,"")</f>
        <v>0</v>
      </c>
      <c r="AI7">
        <f>IFERROR(('Fat Spreads'!P7-AVERAGE('Fat Spreads'!$P$3:$P$4308))/STDEV('Fat Spreads'!$P$3:$P$4308),"")</f>
        <v>-9.2057461789832332E-2</v>
      </c>
      <c r="AJ7">
        <f>IFERROR('Fat Spreads'!P7-'Fat Spreads'!P12,"")</f>
        <v>0</v>
      </c>
      <c r="AK7">
        <f>IFERROR('Fat Spreads'!P7-'Fat Spreads'!P17,"")</f>
        <v>0</v>
      </c>
      <c r="AL7">
        <f>IFERROR(AVERAGE('Fat Spreads'!P7:P26)+2*STDEV('Fat Spreads'!P7:P26),"")</f>
        <v>0</v>
      </c>
      <c r="AM7">
        <f>IFERROR(AVERAGE('Fat Spreads'!P7:P26)-2*STDEV('Fat Spreads'!P7:P26),"")</f>
        <v>0</v>
      </c>
      <c r="AN7" t="str">
        <f>IFERROR(('Fat Spreads'!P7-(AVERAGE('Fat Spreads'!P7:P26)-2*STDEV('Fat Spreads'!P7:P26)))/(4*STDEV('Fat Spreads'!P7:P26)),"")</f>
        <v/>
      </c>
      <c r="AO7" t="str">
        <f>IFERROR(4*STDEV('Fat Spreads'!P7:P26)/AVERAGE('Fat Spreads'!P7:P26),"")</f>
        <v/>
      </c>
      <c r="AP7">
        <v>68.940200000000004</v>
      </c>
      <c r="AQ7">
        <f>IFERROR(SQRT((SUMSQ('Fat Spreads'!P7:P26)-2*SUMPRODUCT('Fat Spreads'!P7:P26,'Fat Spreads'!P8:P27)+SUMSQ('Fat Spreads'!P8:P27)-('Fat Spreads'!P7-'Fat Spreads'!P27)^2/20)/19),"")</f>
        <v>0</v>
      </c>
      <c r="AS7">
        <f>IFERROR('Fat Spreads'!AJ7,"")</f>
        <v>0</v>
      </c>
      <c r="AT7">
        <f>IFERROR(('Fat Spreads'!AK7-AVERAGE('Fat Spreads'!$AK$3:$AK$4308))/STDEV('Fat Spreads'!$AK$3:$AK$4308),"")</f>
        <v>-9.2057461789832332E-2</v>
      </c>
      <c r="AU7">
        <f>IFERROR('Fat Spreads'!AK7-'Fat Spreads'!AK12,"")</f>
        <v>0</v>
      </c>
      <c r="AV7">
        <f>IFERROR('Fat Spreads'!AK7-'Fat Spreads'!AK17,"")</f>
        <v>0</v>
      </c>
      <c r="AW7">
        <f>IFERROR(AVERAGE('Fat Spreads'!AK7:AK26)+2*STDEV('Fat Spreads'!AK7:AK26),"")</f>
        <v>0</v>
      </c>
      <c r="AX7">
        <f>IFERROR(AVERAGE('Fat Spreads'!AK7:AK26)-2*STDEV('Fat Spreads'!AK7:AK26),"")</f>
        <v>0</v>
      </c>
      <c r="AY7" t="str">
        <f>IFERROR(('Fat Spreads'!AK7-(AVERAGE('Fat Spreads'!AK7:AK26)-2*STDEV('Fat Spreads'!AK7:AK26)))/(4*STDEV('Fat Spreads'!AK7:AK26)),"")</f>
        <v/>
      </c>
      <c r="AZ7" t="str">
        <f>IFERROR(4*STDEV('Fat Spreads'!AK7:AK26)/AVERAGE('Fat Spreads'!AK7:AK26),"")</f>
        <v/>
      </c>
      <c r="BA7">
        <v>32.140599999999999</v>
      </c>
      <c r="BB7">
        <f>IFERROR(SQRT((SUMSQ('Fat Spreads'!AK7:AK26)-2*SUMPRODUCT('Fat Spreads'!AK7:AK26,'Fat Spreads'!AK8:AK27)+SUMSQ('Fat Spreads'!AK8:AK27)-('Fat Spreads'!AK7-'Fat Spreads'!AK27)^2/20)/19),"")</f>
        <v>0</v>
      </c>
      <c r="BD7">
        <f>IFERROR('Fat Spreads'!V7,"")</f>
        <v>0</v>
      </c>
      <c r="BE7">
        <f>IFERROR(('Fat Spreads'!W7-AVERAGE('Fat Spreads'!$W$3:$W$4308))/STDEV('Fat Spreads'!$W$3:$W$4308),"")</f>
        <v>-9.2057461789832332E-2</v>
      </c>
      <c r="BF7">
        <f>IFERROR('Fat Spreads'!W7-'Fat Spreads'!W12,"")</f>
        <v>0</v>
      </c>
      <c r="BG7">
        <f>IFERROR('Fat Spreads'!W7-'Fat Spreads'!W17,"")</f>
        <v>0</v>
      </c>
      <c r="BH7">
        <f>IFERROR(AVERAGE('Fat Spreads'!W7:W26)+2*STDEV('Fat Spreads'!W7:W26),"")</f>
        <v>0</v>
      </c>
      <c r="BI7">
        <f>IFERROR(AVERAGE('Fat Spreads'!W7:W26)-2*STDEV('Fat Spreads'!W7:W26),"")</f>
        <v>0</v>
      </c>
      <c r="BJ7" t="str">
        <f>IFERROR(('Fat Spreads'!W7-(AVERAGE('Fat Spreads'!W7:W26)-2*STDEV('Fat Spreads'!W7:W26)))/(4*STDEV('Fat Spreads'!W7:W26)),"")</f>
        <v/>
      </c>
      <c r="BK7" t="str">
        <f>IFERROR(4*STDEV('Fat Spreads'!W7:W26)/AVERAGE('Fat Spreads'!W7:W26),"")</f>
        <v/>
      </c>
      <c r="BL7">
        <v>66.335800000000006</v>
      </c>
      <c r="BM7">
        <f>IFERROR(SQRT((SUMSQ('Fat Spreads'!W7:W26)-2*SUMPRODUCT('Fat Spreads'!W7:W26,'Fat Spreads'!W8:W27)+SUMSQ('Fat Spreads'!W8:W27)-('Fat Spreads'!W7-'Fat Spreads'!W27)^2/20)/19),"")</f>
        <v>0</v>
      </c>
      <c r="BO7">
        <f>IFERROR('Fat Spreads'!AC7,"")</f>
        <v>0</v>
      </c>
      <c r="BP7">
        <f>IFERROR(('Fat Spreads'!AD7-AVERAGE('Fat Spreads'!$AD$3:$AD$4308))/STDEV('Fat Spreads'!$AD$3:$AD$4308),"")</f>
        <v>-9.2057461789832332E-2</v>
      </c>
      <c r="BQ7">
        <f>IFERROR('Fat Spreads'!AD7-'Fat Spreads'!AD12,"")</f>
        <v>0</v>
      </c>
      <c r="BR7">
        <f>IFERROR('Fat Spreads'!AD7-'Fat Spreads'!AD17,"")</f>
        <v>0</v>
      </c>
      <c r="BS7">
        <f>IFERROR(AVERAGE('Fat Spreads'!AD7:AD26)+2*STDEV('Fat Spreads'!AD7:AD26),"")</f>
        <v>0</v>
      </c>
      <c r="BT7">
        <f>IFERROR(AVERAGE('Fat Spreads'!AD7:AD26)-2*STDEV('Fat Spreads'!AD7:AD26),"")</f>
        <v>0</v>
      </c>
      <c r="BU7" t="str">
        <f>IFERROR(('Fat Spreads'!AD7-(AVERAGE('Fat Spreads'!AD7:AD26)-2*STDEV('Fat Spreads'!AD7:AD26)))/(4*STDEV('Fat Spreads'!AD7:AD26)),"")</f>
        <v/>
      </c>
      <c r="BV7" t="str">
        <f>IFERROR(4*STDEV('Fat Spreads'!AD7:AD26)/AVERAGE('Fat Spreads'!AD7:AD26),"")</f>
        <v/>
      </c>
      <c r="BW7">
        <v>58.006300000000003</v>
      </c>
      <c r="BX7">
        <f>IFERROR(SQRT((SUMSQ('Fat Spreads'!AD7:AD26)-2*SUMPRODUCT('Fat Spreads'!AD7:AD26,'Fat Spreads'!AD8:AD27)+SUMSQ('Fat Spreads'!AD8:AD27)-('Fat Spreads'!AD7-'Fat Spreads'!AD27)^2/20)/19),"")</f>
        <v>0</v>
      </c>
      <c r="BZ7">
        <f>IFERROR('Feeder Spreads'!A7,"")</f>
        <v>0</v>
      </c>
      <c r="CA7">
        <f>IFERROR(('Feeder Spreads'!B7-AVERAGE('Feeder Spreads'!$B$3:$B$4308))/STDEV('Feeder Spreads'!$B$3:$B$4308),"")</f>
        <v>-9.2057461789832346E-2</v>
      </c>
      <c r="CB7">
        <f>IFERROR('Feeder Spreads'!B7-'Feeder Spreads'!B12,"")</f>
        <v>0</v>
      </c>
      <c r="CC7">
        <f>IFERROR('Feeder Spreads'!B7-'Feeder Spreads'!B17,"")</f>
        <v>0</v>
      </c>
      <c r="CD7">
        <f>IFERROR(AVERAGE('Feeder Spreads'!B7:B26)+2*STDEV('Feeder Spreads'!B7:B26),"")</f>
        <v>0</v>
      </c>
      <c r="CE7">
        <f>IFERROR(AVERAGE('Feeder Spreads'!B7:B26)-2*STDEV('Feeder Spreads'!B7:B26),"")</f>
        <v>0</v>
      </c>
      <c r="CF7" t="str">
        <f>IFERROR(('Feeder Spreads'!B7-(AVERAGE('Feeder Spreads'!B7:B26)-2*STDEV('Feeder Spreads'!B7:B26)))/(4*STDEV('Feeder Spreads'!B7:B26)),"")</f>
        <v/>
      </c>
      <c r="CG7" t="str">
        <f>IFERROR(4*STDEV('Feeder Spreads'!B7:B26)/AVERAGE('Feeder Spreads'!B7:B26),"")</f>
        <v/>
      </c>
      <c r="CH7">
        <v>55.441200000000002</v>
      </c>
      <c r="CI7">
        <f>IFERROR(SQRT((SUMSQ('Feeder Spreads'!B7:B26)-2*SUMPRODUCT('Feeder Spreads'!B7:B26,'Feeder Spreads'!B8:B27)+SUMSQ('Feeder Spreads'!B8:B27)-('Feeder Spreads'!B7-'Feeder Spreads'!B27)^2/20)/19),"")</f>
        <v>0</v>
      </c>
      <c r="CK7">
        <f>IFERROR('Feeder Spreads'!AX7,"")</f>
        <v>0</v>
      </c>
      <c r="CL7">
        <f>IFERROR(('Feeder Spreads'!AY7-AVERAGE('Feeder Spreads'!$AY$3:$AY$4308))/STDEV('Feeder Spreads'!$AY$3:$AY$4308),"")</f>
        <v>-9.2057461789832346E-2</v>
      </c>
      <c r="CM7">
        <f>IFERROR('Feeder Spreads'!AY7-'Feeder Spreads'!AY12,"")</f>
        <v>0</v>
      </c>
      <c r="CN7">
        <f>IFERROR('Feeder Spreads'!AY7-'Feeder Spreads'!AY17,"")</f>
        <v>0</v>
      </c>
      <c r="CO7">
        <f>IFERROR(AVERAGE('Feeder Spreads'!AY7:AY26)+2*STDEV('Feeder Spreads'!AY7:AY26),"")</f>
        <v>0</v>
      </c>
      <c r="CP7">
        <f>IFERROR(AVERAGE('Feeder Spreads'!AY7:AY26)-2*STDEV('Feeder Spreads'!AY7:AY26),"")</f>
        <v>0</v>
      </c>
      <c r="CQ7" t="str">
        <f>IFERROR(('Feeder Spreads'!AY7-(AVERAGE('Feeder Spreads'!AY7:AY26)-2*STDEV('Feeder Spreads'!AY7:AY26)))/(4*STDEV('Feeder Spreads'!AY7:AY26)),"")</f>
        <v/>
      </c>
      <c r="CR7" t="str">
        <f>IFERROR(4*STDEV('Feeder Spreads'!AY7:AY26)/AVERAGE('Feeder Spreads'!AY7:AY26),"")</f>
        <v/>
      </c>
      <c r="CS7">
        <v>47.564100000000003</v>
      </c>
      <c r="CT7">
        <f>IFERROR(SQRT((SUMSQ('Feeder Spreads'!AY7:AY26)-2*SUMPRODUCT('Feeder Spreads'!AY7:AY26,'Feeder Spreads'!AY8:AY27)+SUMSQ('Feeder Spreads'!AY8:AY27)-('Feeder Spreads'!AY7-'Feeder Spreads'!AY27)^2/20)/19),"")</f>
        <v>0</v>
      </c>
      <c r="CV7">
        <f>IFERROR('Feeder Spreads'!H7,"")</f>
        <v>0</v>
      </c>
      <c r="CW7">
        <f>IFERROR(('Feeder Spreads'!I7-AVERAGE('Feeder Spreads'!$I$3:$I$4308))/STDEV('Feeder Spreads'!$I$3:$I$4308),"")</f>
        <v>-9.2057461789832332E-2</v>
      </c>
      <c r="CX7">
        <f>IFERROR('Feeder Spreads'!I7-'Feeder Spreads'!I12,"")</f>
        <v>0</v>
      </c>
      <c r="CY7">
        <f>IFERROR('Feeder Spreads'!I7-'Feeder Spreads'!I17,"")</f>
        <v>0</v>
      </c>
      <c r="CZ7">
        <f>IFERROR(AVERAGE('Feeder Spreads'!I7:I26)+2*STDEV('Feeder Spreads'!I7:I26),"")</f>
        <v>0</v>
      </c>
      <c r="DA7">
        <f>IFERROR(AVERAGE('Feeder Spreads'!I7:I26)-2*STDEV('Feeder Spreads'!I7:I26),"")</f>
        <v>0</v>
      </c>
      <c r="DB7" t="str">
        <f>IFERROR(('Feeder Spreads'!I7-(AVERAGE('Feeder Spreads'!I7:I26)-2*STDEV('Feeder Spreads'!I7:I26)))/(4*STDEV('Feeder Spreads'!I7:I26)),"")</f>
        <v/>
      </c>
      <c r="DC7" t="str">
        <f>IFERROR(4*STDEV('Feeder Spreads'!I7:I26)/AVERAGE('Feeder Spreads'!I7:I26),"")</f>
        <v/>
      </c>
      <c r="DD7">
        <v>40.707999999999998</v>
      </c>
      <c r="DE7">
        <f>IFERROR(SQRT((SUMSQ('Feeder Spreads'!I7:I26)-2*SUMPRODUCT('Feeder Spreads'!I7:I26,'Feeder Spreads'!I8:I27)+SUMSQ('Feeder Spreads'!I8:I27)-('Feeder Spreads'!I7-'Feeder Spreads'!I27)^2/20)/19),"")</f>
        <v>0</v>
      </c>
      <c r="DG7">
        <f>IFERROR('Feeder Spreads'!O7,"")</f>
        <v>0</v>
      </c>
      <c r="DH7">
        <f>IFERROR(('Feeder Spreads'!P7-AVERAGE('Feeder Spreads'!$P$3:$P$4308))/STDEV('Feeder Spreads'!$P$3:$P$4308),"")</f>
        <v>-9.2057461789832346E-2</v>
      </c>
      <c r="DI7">
        <f>IFERROR('Feeder Spreads'!P7-'Feeder Spreads'!P12,"")</f>
        <v>0</v>
      </c>
      <c r="DJ7">
        <f>IFERROR('Feeder Spreads'!P7-'Feeder Spreads'!P17,"")</f>
        <v>0</v>
      </c>
      <c r="DK7">
        <f>IFERROR(AVERAGE('Feeder Spreads'!P7:P26)+2*STDEV('Feeder Spreads'!P7:P26),"")</f>
        <v>0</v>
      </c>
      <c r="DL7">
        <f>IFERROR(AVERAGE('Feeder Spreads'!P7:P26)-2*STDEV('Feeder Spreads'!P7:P26),"")</f>
        <v>0</v>
      </c>
      <c r="DM7" t="str">
        <f>IFERROR(('Feeder Spreads'!P7-(AVERAGE('Feeder Spreads'!P7:P26)-2*STDEV('Feeder Spreads'!P7:P26)))/(4*STDEV('Feeder Spreads'!P7:P26)),"")</f>
        <v/>
      </c>
      <c r="DN7" t="str">
        <f>IFERROR(4*STDEV('Feeder Spreads'!P7:P26)/AVERAGE('Feeder Spreads'!P7:P26),"")</f>
        <v/>
      </c>
      <c r="DO7">
        <v>51.747599999999998</v>
      </c>
      <c r="DP7">
        <f>IFERROR(SQRT((SUMSQ('Feeder Spreads'!P7:P26)-2*SUMPRODUCT('Feeder Spreads'!P7:P26,'Feeder Spreads'!P8:P27)+SUMSQ('Feeder Spreads'!P8:P27)-('Feeder Spreads'!P7-'Feeder Spreads'!P27)^2/20)/19),"")</f>
        <v>0</v>
      </c>
      <c r="DR7">
        <f>IFERROR('Feeder Spreads'!V7,"")</f>
        <v>0</v>
      </c>
      <c r="DS7">
        <f>IFERROR(('Feeder Spreads'!W7-AVERAGE('Feeder Spreads'!$W$3:$W$4308))/STDEV('Feeder Spreads'!$W$3:$W$4308),"")</f>
        <v>-9.2057461789832332E-2</v>
      </c>
      <c r="DT7">
        <f>IFERROR('Feeder Spreads'!W7-'Feeder Spreads'!W12,"")</f>
        <v>0</v>
      </c>
      <c r="DU7">
        <f>IFERROR('Feeder Spreads'!W7-'Feeder Spreads'!W17,"")</f>
        <v>0</v>
      </c>
      <c r="DV7">
        <f>IFERROR(AVERAGE('Feeder Spreads'!W7:W26)+2*STDEV('Feeder Spreads'!W7:W26),"")</f>
        <v>0</v>
      </c>
      <c r="DW7">
        <f>IFERROR(AVERAGE('Feeder Spreads'!W7:W26)-2*STDEV('Feeder Spreads'!W7:W26),"")</f>
        <v>0</v>
      </c>
      <c r="DX7" t="str">
        <f>IFERROR(('Feeder Spreads'!W7-(AVERAGE('Feeder Spreads'!W7:W26)-2*STDEV('Feeder Spreads'!W7:W26)))/(4*STDEV('Feeder Spreads'!W7:W26)),"")</f>
        <v/>
      </c>
      <c r="DY7" t="str">
        <f>IFERROR(4*STDEV('Feeder Spreads'!W7:W26)/AVERAGE('Feeder Spreads'!W7:W26),"")</f>
        <v/>
      </c>
      <c r="DZ7">
        <v>50.987900000000003</v>
      </c>
      <c r="EA7">
        <f>IFERROR(SQRT((SUMSQ('Feeder Spreads'!W7:W26)-2*SUMPRODUCT('Feeder Spreads'!W7:W26,'Feeder Spreads'!W8:W27)+SUMSQ('Feeder Spreads'!W8:W27)-('Feeder Spreads'!W7-'Feeder Spreads'!W27)^2/20)/19),"")</f>
        <v>0</v>
      </c>
      <c r="EC7">
        <f>IFERROR('Feeder Spreads'!AC7,"")</f>
        <v>0</v>
      </c>
      <c r="ED7">
        <f>IFERROR(('Feeder Spreads'!AD7-AVERAGE('Feeder Spreads'!$AD$3:$AD$4308))/STDEV('Feeder Spreads'!$AD$3:$AD$4308),"")</f>
        <v>9.2057461789832318E-2</v>
      </c>
      <c r="EE7">
        <f>IFERROR('Feeder Spreads'!AD7-'Feeder Spreads'!AD12,"")</f>
        <v>0</v>
      </c>
      <c r="EF7">
        <f>IFERROR('Feeder Spreads'!AD7-'Feeder Spreads'!AD17,"")</f>
        <v>0</v>
      </c>
      <c r="EG7">
        <f>IFERROR(AVERAGE('Feeder Spreads'!AD7:AD26)+2*STDEV('Feeder Spreads'!AD7:AD26),"")</f>
        <v>0</v>
      </c>
      <c r="EH7">
        <f>IFERROR(AVERAGE('Feeder Spreads'!AD7:AD26)-2*STDEV('Feeder Spreads'!AD7:AD26),"")</f>
        <v>0</v>
      </c>
      <c r="EI7" t="str">
        <f>IFERROR(('Feeder Spreads'!AD7-(AVERAGE('Feeder Spreads'!AD7:AD26)-2*STDEV('Feeder Spreads'!AD7:AD26)))/(4*STDEV('Feeder Spreads'!AD7:AD26)),"")</f>
        <v/>
      </c>
      <c r="EJ7" t="str">
        <f>IFERROR(4*STDEV('Feeder Spreads'!AD7:AD26)/AVERAGE('Feeder Spreads'!AD7:AD26),"")</f>
        <v/>
      </c>
      <c r="EK7">
        <v>45.644300000000001</v>
      </c>
      <c r="EL7">
        <f>IFERROR(SQRT((SUMSQ('Feeder Spreads'!AD7:AD26)-2*SUMPRODUCT('Feeder Spreads'!AD7:AD26,'Feeder Spreads'!AD8:AD27)+SUMSQ('Feeder Spreads'!AD8:AD27)-('Feeder Spreads'!AD7-'Feeder Spreads'!AD27)^2/20)/19),"")</f>
        <v>0</v>
      </c>
      <c r="EN7">
        <f>IFERROR('Feeder Spreads'!AJ7,"")</f>
        <v>0</v>
      </c>
      <c r="EO7">
        <f>IFERROR(('Feeder Spreads'!AK7-AVERAGE('Feeder Spreads'!$AK$3:$AK$4308))/STDEV('Feeder Spreads'!$AK$3:$AK$4308),"")</f>
        <v>-9.2057461789832346E-2</v>
      </c>
      <c r="EP7">
        <f>IFERROR('Feeder Spreads'!AK7-'Feeder Spreads'!AK12,"")</f>
        <v>0</v>
      </c>
      <c r="EQ7">
        <f>IFERROR('Feeder Spreads'!AK7-'Feeder Spreads'!AK17,"")</f>
        <v>0</v>
      </c>
      <c r="ER7">
        <f>IFERROR(AVERAGE('Feeder Spreads'!AK7:AK26)+2*STDEV('Feeder Spreads'!AK7:AK26),"")</f>
        <v>0</v>
      </c>
      <c r="ES7">
        <f>IFERROR(AVERAGE('Feeder Spreads'!AK7:AK26)-2*STDEV('Feeder Spreads'!AK7:AK26),"")</f>
        <v>0</v>
      </c>
      <c r="ET7" t="str">
        <f>IFERROR(('Feeder Spreads'!AK7-(AVERAGE('Feeder Spreads'!AK7:AK26)-2*STDEV('Feeder Spreads'!AK7:AK26)))/(4*STDEV('Feeder Spreads'!AK7:AK26)),"")</f>
        <v/>
      </c>
      <c r="EU7" t="str">
        <f>IFERROR(4*STDEV('Feeder Spreads'!AK7:AK26)/AVERAGE('Feeder Spreads'!AK7:AK26),"")</f>
        <v/>
      </c>
      <c r="EV7">
        <v>41.396099999999997</v>
      </c>
      <c r="EW7">
        <f>IFERROR(SQRT((SUMSQ('Feeder Spreads'!AK7:AK26)-2*SUMPRODUCT('Feeder Spreads'!AK7:AK26,'Feeder Spreads'!AK8:AK27)+SUMSQ('Feeder Spreads'!AK8:AK27)-('Feeder Spreads'!AK7-'Feeder Spreads'!AK27)^2/20)/19),"")</f>
        <v>0</v>
      </c>
      <c r="EY7">
        <f>IFERROR('Feeder Spreads'!AQ7,"")</f>
        <v>0</v>
      </c>
      <c r="EZ7">
        <f>IFERROR(('Feeder Spreads'!AR7-AVERAGE('Feeder Spreads'!$AR$3:$AR$4308))/STDEV('Feeder Spreads'!$AR$3:$AR$4308),"")</f>
        <v>-9.2057461789832332E-2</v>
      </c>
      <c r="FA7">
        <f>IFERROR('Feeder Spreads'!AR7-'Feeder Spreads'!AR12,"")</f>
        <v>0</v>
      </c>
      <c r="FB7">
        <f>IFERROR('Feeder Spreads'!AR7-'Feeder Spreads'!AR17,"")</f>
        <v>0</v>
      </c>
      <c r="FC7">
        <f>IFERROR(AVERAGE('Feeder Spreads'!AR7:AR26)+2*STDEV('Feeder Spreads'!AR7:AR26),"")</f>
        <v>0</v>
      </c>
      <c r="FD7">
        <f>IFERROR(AVERAGE('Feeder Spreads'!AR7:AR26)-2*STDEV('Feeder Spreads'!AR7:AR26),"")</f>
        <v>0</v>
      </c>
      <c r="FE7" t="str">
        <f>IFERROR(('Feeder Spreads'!AR7-(AVERAGE('Feeder Spreads'!AR7:AR26)-2*STDEV('Feeder Spreads'!AR7:AR26)))/(4*STDEV('Feeder Spreads'!AR7:AR26)),"")</f>
        <v/>
      </c>
      <c r="FF7" t="str">
        <f>IFERROR(4*STDEV('Feeder Spreads'!AR7:AR26)/AVERAGE('Feeder Spreads'!AR7:AR26),"")</f>
        <v/>
      </c>
      <c r="FG7">
        <v>45.155299999999997</v>
      </c>
      <c r="FH7">
        <f>IFERROR(SQRT((SUMSQ('Feeder Spreads'!AR7:AR26)-2*SUMPRODUCT('Feeder Spreads'!AR7:AR26,'Feeder Spreads'!AR8:AR27)+SUMSQ('Feeder Spreads'!AR8:AR27)-('Feeder Spreads'!AR7-'Feeder Spreads'!AR27)^2/20)/19),"")</f>
        <v>0</v>
      </c>
      <c r="FJ7">
        <f>IFERROR('Fat Spreads'!AX7,"")</f>
        <v>0</v>
      </c>
      <c r="FK7">
        <f>IFERROR(('Fat Spreads'!AY7-AVERAGE('Fat Spreads'!$AY$3:$AY$4308))/STDEV('Fat Spreads'!$AY$3:$AY$4308),"")</f>
        <v>9.2057461789832332E-2</v>
      </c>
      <c r="FL7">
        <f>IFERROR('Fat Spreads'!AY7-'Fat Spreads'!AY12,"")</f>
        <v>0</v>
      </c>
      <c r="FM7">
        <f>IFERROR('Fat Spreads'!AY7-'Fat Spreads'!AY17,"")</f>
        <v>0</v>
      </c>
      <c r="FN7">
        <f>IFERROR(AVERAGE('Fat Spreads'!AY7:AY26)+2*STDEV('Fat Spreads'!AY7:AY26),"")</f>
        <v>0</v>
      </c>
      <c r="FO7">
        <f>IFERROR(AVERAGE('Fat Spreads'!AY7:AY26)-2*STDEV('Fat Spreads'!AY7:AY26),"")</f>
        <v>0</v>
      </c>
      <c r="FP7" t="str">
        <f>IFERROR(('Fat Spreads'!AY7-(AVERAGE('Fat Spreads'!AY7:AY26)-2*STDEV('Fat Spreads'!AY7:AY26)))/(4*STDEV('Fat Spreads'!AY7:AY26)),"")</f>
        <v/>
      </c>
      <c r="FQ7" t="str">
        <f>IFERROR(4*STDEV('Fat Spreads'!AY7:AY26)/AVERAGE('Fat Spreads'!AY7:AY26),"")</f>
        <v/>
      </c>
      <c r="FR7">
        <v>29.340599999999998</v>
      </c>
      <c r="FS7">
        <f>IFERROR(SQRT((SUMSQ('Fat Spreads'!AY7:AY26)-2*SUMPRODUCT('Fat Spreads'!AY7:AY26,'Fat Spreads'!AY8:AY27)+SUMSQ('Fat Spreads'!AY8:AY27)-('Fat Spreads'!AY7-'Fat Spreads'!AY27)^2/20)/19),"")</f>
        <v>0</v>
      </c>
      <c r="FU7">
        <f>IFERROR('Fat Spreads'!BE7,"")</f>
        <v>0</v>
      </c>
      <c r="FV7">
        <f>IFERROR(('Fat Spreads'!BF7-AVERAGE('Fat Spreads'!$BF$3:$BF$4308))/STDEV('Fat Spreads'!$BF$3:$BF$4308),"")</f>
        <v>9.2057461789832332E-2</v>
      </c>
      <c r="FW7">
        <f>IFERROR('Fat Spreads'!BF7-'Fat Spreads'!BF12,"")</f>
        <v>0</v>
      </c>
      <c r="FX7">
        <f>IFERROR('Fat Spreads'!BF7-'Fat Spreads'!BF17,"")</f>
        <v>0</v>
      </c>
      <c r="FY7">
        <f>IFERROR(AVERAGE('Fat Spreads'!BF7:BF26)+2*STDEV('Fat Spreads'!BF7:BF26),"")</f>
        <v>0</v>
      </c>
      <c r="FZ7">
        <f>IFERROR(AVERAGE('Fat Spreads'!BF7:BF26)-2*STDEV('Fat Spreads'!BF7:BF26),"")</f>
        <v>0</v>
      </c>
      <c r="GA7" t="str">
        <f>IFERROR(('Fat Spreads'!BF7-(AVERAGE('Fat Spreads'!BF7:BF26)-2*STDEV('Fat Spreads'!BF7:BF26)))/(4*STDEV('Fat Spreads'!BF7:BF26)),"")</f>
        <v/>
      </c>
      <c r="GB7" t="str">
        <f>IFERROR(4*STDEV('Fat Spreads'!BF7:BF26)/AVERAGE('Fat Spreads'!BF7:BF26),"")</f>
        <v/>
      </c>
      <c r="GC7">
        <v>56.262500000000003</v>
      </c>
      <c r="GD7">
        <f>IFERROR(SQRT((SUMSQ('Fat Spreads'!BF7:BF26)-2*SUMPRODUCT('Fat Spreads'!BF7:BF26,'Fat Spreads'!BF8:BF27)+SUMSQ('Fat Spreads'!BF8:BF27)-('Fat Spreads'!BF7-'Fat Spreads'!BF27)^2/20)/19),"")</f>
        <v>0</v>
      </c>
    </row>
    <row r="8" spans="1:186" x14ac:dyDescent="0.25">
      <c r="A8">
        <f>IFERROR('Fat Spreads'!A8,"")</f>
        <v>0</v>
      </c>
      <c r="B8">
        <f>IFERROR(('Fat Spreads'!B8-AVERAGE('Fat Spreads'!$B$3:$B$4308))/STDEV('Fat Spreads'!$B$3:$B$4308),"")</f>
        <v>9.2057461789832346E-2</v>
      </c>
      <c r="C8">
        <f>IFERROR('Fat Spreads'!B8-'Fat Spreads'!B13,"")</f>
        <v>0</v>
      </c>
      <c r="D8">
        <f>IFERROR('Fat Spreads'!B8-'Fat Spreads'!B18,"")</f>
        <v>0</v>
      </c>
      <c r="E8">
        <f>IFERROR(AVERAGE('Fat Spreads'!B8:B27)+2*STDEV('Fat Spreads'!B8:B27),"")</f>
        <v>0</v>
      </c>
      <c r="F8">
        <f>IFERROR(AVERAGE('Fat Spreads'!B8:B27)-2*STDEV('Fat Spreads'!B8:B27),"")</f>
        <v>0</v>
      </c>
      <c r="G8" t="str">
        <f>IFERROR(('Fat Spreads'!B8-(AVERAGE('Fat Spreads'!B8:B27)-2*STDEV('Fat Spreads'!B8:B27)))/(4*STDEV('Fat Spreads'!B8:B27)),"")</f>
        <v/>
      </c>
      <c r="H8" t="str">
        <f>IFERROR(4*STDEV('Fat Spreads'!B8:B27)/AVERAGE('Fat Spreads'!B8:B27),"")</f>
        <v/>
      </c>
      <c r="I8">
        <v>33.064799999999998</v>
      </c>
      <c r="J8">
        <f>IFERROR(SQRT((SUMSQ('Fat Spreads'!B8:B27)-2*SUMPRODUCT('Fat Spreads'!B8:B27,'Fat Spreads'!B9:B28)+SUMSQ('Fat Spreads'!B9:B28)-('Fat Spreads'!B8-'Fat Spreads'!B28)^2/20)/19),"")</f>
        <v>0</v>
      </c>
      <c r="L8">
        <f>IFERROR('Fat Spreads'!H8,"")</f>
        <v>0</v>
      </c>
      <c r="M8">
        <f>IFERROR(('Fat Spreads'!I8-AVERAGE('Fat Spreads'!$I$3:$I$4308))/STDEV('Fat Spreads'!$I$3:$I$4308),"")</f>
        <v>-9.2057461789832332E-2</v>
      </c>
      <c r="N8">
        <f>IFERROR('Fat Spreads'!I8-'Fat Spreads'!I13,"")</f>
        <v>0</v>
      </c>
      <c r="O8">
        <f>IFERROR('Fat Spreads'!I8-'Fat Spreads'!I18,"")</f>
        <v>0</v>
      </c>
      <c r="P8">
        <f>IFERROR(AVERAGE('Fat Spreads'!I8:I27)+2*STDEV('Fat Spreads'!I8:I27),"")</f>
        <v>0</v>
      </c>
      <c r="Q8">
        <f>IFERROR(AVERAGE('Fat Spreads'!I8:I27)-2*STDEV('Fat Spreads'!I8:I27),"")</f>
        <v>0</v>
      </c>
      <c r="R8" t="str">
        <f>IFERROR(('Fat Spreads'!I8-(AVERAGE('Fat Spreads'!I8:I27)-2*STDEV('Fat Spreads'!I8:I27)))/(4*STDEV('Fat Spreads'!I8:I27)),"")</f>
        <v/>
      </c>
      <c r="S8" t="str">
        <f>IFERROR(4*STDEV('Fat Spreads'!I8:I27)/AVERAGE('Fat Spreads'!I8:I27),"")</f>
        <v/>
      </c>
      <c r="T8">
        <v>59.101100000000002</v>
      </c>
      <c r="U8">
        <f>IFERROR(SQRT((SUMSQ('Fat Spreads'!I8:I27)-2*SUMPRODUCT('Fat Spreads'!I8:I27,'Fat Spreads'!I9:I28)+SUMSQ('Fat Spreads'!I9:I28)-('Fat Spreads'!I8-'Fat Spreads'!I28)^2/20)/19),"")</f>
        <v>0</v>
      </c>
      <c r="W8">
        <f>IFERROR('Fat Spreads'!AQ8,"")</f>
        <v>0</v>
      </c>
      <c r="X8">
        <f>IFERROR(('Fat Spreads'!AR8-AVERAGE('Fat Spreads'!$AR$3:$AR$4308))/STDEV('Fat Spreads'!$AR$3:$AR$4308),"")</f>
        <v>-9.2057461789832346E-2</v>
      </c>
      <c r="Y8">
        <f>IFERROR('Fat Spreads'!AR8-'Fat Spreads'!AR13,"")</f>
        <v>0</v>
      </c>
      <c r="Z8">
        <f>IFERROR('Fat Spreads'!AR8-'Fat Spreads'!AR18,"")</f>
        <v>0</v>
      </c>
      <c r="AA8">
        <f>IFERROR(AVERAGE('Fat Spreads'!AR8:AR27)+2*STDEV('Fat Spreads'!AR8:AR27),"")</f>
        <v>0</v>
      </c>
      <c r="AB8">
        <f>IFERROR(AVERAGE('Fat Spreads'!AR8:AR27)-2*STDEV('Fat Spreads'!AR8:AR27),"")</f>
        <v>0</v>
      </c>
      <c r="AC8" t="str">
        <f>IFERROR(('Fat Spreads'!AR8-(AVERAGE('Fat Spreads'!AR8:AR27)-2*STDEV('Fat Spreads'!AR8:AR27)))/(4*STDEV('Fat Spreads'!AR8:AR27)),"")</f>
        <v/>
      </c>
      <c r="AD8" t="str">
        <f>IFERROR(4*STDEV('Fat Spreads'!AR8:AR27)/AVERAGE('Fat Spreads'!AR8:AR27),"")</f>
        <v/>
      </c>
      <c r="AE8">
        <v>64.461500000000001</v>
      </c>
      <c r="AF8">
        <f>IFERROR(SQRT((SUMSQ('Fat Spreads'!AR8:AR27)-2*SUMPRODUCT('Fat Spreads'!AR8:AR27,'Fat Spreads'!AR9:AR28)+SUMSQ('Fat Spreads'!AR9:AR28)-('Fat Spreads'!AR8-'Fat Spreads'!AR28)^2/20)/19),"")</f>
        <v>0</v>
      </c>
      <c r="AH8">
        <f>IFERROR('Fat Spreads'!O8,"")</f>
        <v>0</v>
      </c>
      <c r="AI8">
        <f>IFERROR(('Fat Spreads'!P8-AVERAGE('Fat Spreads'!$P$3:$P$4308))/STDEV('Fat Spreads'!$P$3:$P$4308),"")</f>
        <v>-9.2057461789832332E-2</v>
      </c>
      <c r="AJ8">
        <f>IFERROR('Fat Spreads'!P8-'Fat Spreads'!P13,"")</f>
        <v>0</v>
      </c>
      <c r="AK8">
        <f>IFERROR('Fat Spreads'!P8-'Fat Spreads'!P18,"")</f>
        <v>0</v>
      </c>
      <c r="AL8">
        <f>IFERROR(AVERAGE('Fat Spreads'!P8:P27)+2*STDEV('Fat Spreads'!P8:P27),"")</f>
        <v>0</v>
      </c>
      <c r="AM8">
        <f>IFERROR(AVERAGE('Fat Spreads'!P8:P27)-2*STDEV('Fat Spreads'!P8:P27),"")</f>
        <v>0</v>
      </c>
      <c r="AN8" t="str">
        <f>IFERROR(('Fat Spreads'!P8-(AVERAGE('Fat Spreads'!P8:P27)-2*STDEV('Fat Spreads'!P8:P27)))/(4*STDEV('Fat Spreads'!P8:P27)),"")</f>
        <v/>
      </c>
      <c r="AO8" t="str">
        <f>IFERROR(4*STDEV('Fat Spreads'!P8:P27)/AVERAGE('Fat Spreads'!P8:P27),"")</f>
        <v/>
      </c>
      <c r="AP8">
        <v>63.694299999999998</v>
      </c>
      <c r="AQ8">
        <f>IFERROR(SQRT((SUMSQ('Fat Spreads'!P8:P27)-2*SUMPRODUCT('Fat Spreads'!P8:P27,'Fat Spreads'!P9:P28)+SUMSQ('Fat Spreads'!P9:P28)-('Fat Spreads'!P8-'Fat Spreads'!P28)^2/20)/19),"")</f>
        <v>0</v>
      </c>
      <c r="AS8">
        <f>IFERROR('Fat Spreads'!AJ8,"")</f>
        <v>0</v>
      </c>
      <c r="AT8">
        <f>IFERROR(('Fat Spreads'!AK8-AVERAGE('Fat Spreads'!$AK$3:$AK$4308))/STDEV('Fat Spreads'!$AK$3:$AK$4308),"")</f>
        <v>-9.2057461789832332E-2</v>
      </c>
      <c r="AU8">
        <f>IFERROR('Fat Spreads'!AK8-'Fat Spreads'!AK13,"")</f>
        <v>0</v>
      </c>
      <c r="AV8">
        <f>IFERROR('Fat Spreads'!AK8-'Fat Spreads'!AK18,"")</f>
        <v>0</v>
      </c>
      <c r="AW8">
        <f>IFERROR(AVERAGE('Fat Spreads'!AK8:AK27)+2*STDEV('Fat Spreads'!AK8:AK27),"")</f>
        <v>0</v>
      </c>
      <c r="AX8">
        <f>IFERROR(AVERAGE('Fat Spreads'!AK8:AK27)-2*STDEV('Fat Spreads'!AK8:AK27),"")</f>
        <v>0</v>
      </c>
      <c r="AY8" t="str">
        <f>IFERROR(('Fat Spreads'!AK8-(AVERAGE('Fat Spreads'!AK8:AK27)-2*STDEV('Fat Spreads'!AK8:AK27)))/(4*STDEV('Fat Spreads'!AK8:AK27)),"")</f>
        <v/>
      </c>
      <c r="AZ8" t="str">
        <f>IFERROR(4*STDEV('Fat Spreads'!AK8:AK27)/AVERAGE('Fat Spreads'!AK8:AK27),"")</f>
        <v/>
      </c>
      <c r="BA8">
        <v>48.532400000000003</v>
      </c>
      <c r="BB8">
        <f>IFERROR(SQRT((SUMSQ('Fat Spreads'!AK8:AK27)-2*SUMPRODUCT('Fat Spreads'!AK8:AK27,'Fat Spreads'!AK9:AK28)+SUMSQ('Fat Spreads'!AK9:AK28)-('Fat Spreads'!AK8-'Fat Spreads'!AK28)^2/20)/19),"")</f>
        <v>0</v>
      </c>
      <c r="BD8">
        <f>IFERROR('Fat Spreads'!V8,"")</f>
        <v>0</v>
      </c>
      <c r="BE8">
        <f>IFERROR(('Fat Spreads'!W8-AVERAGE('Fat Spreads'!$W$3:$W$4308))/STDEV('Fat Spreads'!$W$3:$W$4308),"")</f>
        <v>-9.2057461789832332E-2</v>
      </c>
      <c r="BF8">
        <f>IFERROR('Fat Spreads'!W8-'Fat Spreads'!W13,"")</f>
        <v>0</v>
      </c>
      <c r="BG8">
        <f>IFERROR('Fat Spreads'!W8-'Fat Spreads'!W18,"")</f>
        <v>0</v>
      </c>
      <c r="BH8">
        <f>IFERROR(AVERAGE('Fat Spreads'!W8:W27)+2*STDEV('Fat Spreads'!W8:W27),"")</f>
        <v>0</v>
      </c>
      <c r="BI8">
        <f>IFERROR(AVERAGE('Fat Spreads'!W8:W27)-2*STDEV('Fat Spreads'!W8:W27),"")</f>
        <v>0</v>
      </c>
      <c r="BJ8" t="str">
        <f>IFERROR(('Fat Spreads'!W8-(AVERAGE('Fat Spreads'!W8:W27)-2*STDEV('Fat Spreads'!W8:W27)))/(4*STDEV('Fat Spreads'!W8:W27)),"")</f>
        <v/>
      </c>
      <c r="BK8" t="str">
        <f>IFERROR(4*STDEV('Fat Spreads'!W8:W27)/AVERAGE('Fat Spreads'!W8:W27),"")</f>
        <v/>
      </c>
      <c r="BL8">
        <v>64.179100000000005</v>
      </c>
      <c r="BM8">
        <f>IFERROR(SQRT((SUMSQ('Fat Spreads'!W8:W27)-2*SUMPRODUCT('Fat Spreads'!W8:W27,'Fat Spreads'!W9:W28)+SUMSQ('Fat Spreads'!W9:W28)-('Fat Spreads'!W8-'Fat Spreads'!W28)^2/20)/19),"")</f>
        <v>0</v>
      </c>
      <c r="BO8">
        <f>IFERROR('Fat Spreads'!AC8,"")</f>
        <v>0</v>
      </c>
      <c r="BP8">
        <f>IFERROR(('Fat Spreads'!AD8-AVERAGE('Fat Spreads'!$AD$3:$AD$4308))/STDEV('Fat Spreads'!$AD$3:$AD$4308),"")</f>
        <v>-9.2057461789832332E-2</v>
      </c>
      <c r="BQ8">
        <f>IFERROR('Fat Spreads'!AD8-'Fat Spreads'!AD13,"")</f>
        <v>0</v>
      </c>
      <c r="BR8">
        <f>IFERROR('Fat Spreads'!AD8-'Fat Spreads'!AD18,"")</f>
        <v>0</v>
      </c>
      <c r="BS8">
        <f>IFERROR(AVERAGE('Fat Spreads'!AD8:AD27)+2*STDEV('Fat Spreads'!AD8:AD27),"")</f>
        <v>0</v>
      </c>
      <c r="BT8">
        <f>IFERROR(AVERAGE('Fat Spreads'!AD8:AD27)-2*STDEV('Fat Spreads'!AD8:AD27),"")</f>
        <v>0</v>
      </c>
      <c r="BU8" t="str">
        <f>IFERROR(('Fat Spreads'!AD8-(AVERAGE('Fat Spreads'!AD8:AD27)-2*STDEV('Fat Spreads'!AD8:AD27)))/(4*STDEV('Fat Spreads'!AD8:AD27)),"")</f>
        <v/>
      </c>
      <c r="BV8" t="str">
        <f>IFERROR(4*STDEV('Fat Spreads'!AD8:AD27)/AVERAGE('Fat Spreads'!AD8:AD27),"")</f>
        <v/>
      </c>
      <c r="BW8">
        <v>61.8947</v>
      </c>
      <c r="BX8">
        <f>IFERROR(SQRT((SUMSQ('Fat Spreads'!AD8:AD27)-2*SUMPRODUCT('Fat Spreads'!AD8:AD27,'Fat Spreads'!AD9:AD28)+SUMSQ('Fat Spreads'!AD9:AD28)-('Fat Spreads'!AD8-'Fat Spreads'!AD28)^2/20)/19),"")</f>
        <v>0</v>
      </c>
      <c r="BZ8">
        <f>IFERROR('Feeder Spreads'!A8,"")</f>
        <v>0</v>
      </c>
      <c r="CA8">
        <f>IFERROR(('Feeder Spreads'!B8-AVERAGE('Feeder Spreads'!$B$3:$B$4308))/STDEV('Feeder Spreads'!$B$3:$B$4308),"")</f>
        <v>-9.2057461789832346E-2</v>
      </c>
      <c r="CB8">
        <f>IFERROR('Feeder Spreads'!B8-'Feeder Spreads'!B13,"")</f>
        <v>0</v>
      </c>
      <c r="CC8">
        <f>IFERROR('Feeder Spreads'!B8-'Feeder Spreads'!B18,"")</f>
        <v>0</v>
      </c>
      <c r="CD8">
        <f>IFERROR(AVERAGE('Feeder Spreads'!B8:B27)+2*STDEV('Feeder Spreads'!B8:B27),"")</f>
        <v>0</v>
      </c>
      <c r="CE8">
        <f>IFERROR(AVERAGE('Feeder Spreads'!B8:B27)-2*STDEV('Feeder Spreads'!B8:B27),"")</f>
        <v>0</v>
      </c>
      <c r="CF8" t="str">
        <f>IFERROR(('Feeder Spreads'!B8-(AVERAGE('Feeder Spreads'!B8:B27)-2*STDEV('Feeder Spreads'!B8:B27)))/(4*STDEV('Feeder Spreads'!B8:B27)),"")</f>
        <v/>
      </c>
      <c r="CG8" t="str">
        <f>IFERROR(4*STDEV('Feeder Spreads'!B8:B27)/AVERAGE('Feeder Spreads'!B8:B27),"")</f>
        <v/>
      </c>
      <c r="CH8">
        <v>63.699100000000001</v>
      </c>
      <c r="CI8">
        <f>IFERROR(SQRT((SUMSQ('Feeder Spreads'!B8:B27)-2*SUMPRODUCT('Feeder Spreads'!B8:B27,'Feeder Spreads'!B9:B28)+SUMSQ('Feeder Spreads'!B9:B28)-('Feeder Spreads'!B8-'Feeder Spreads'!B28)^2/20)/19),"")</f>
        <v>0</v>
      </c>
      <c r="CK8">
        <f>IFERROR('Feeder Spreads'!AX8,"")</f>
        <v>0</v>
      </c>
      <c r="CL8">
        <f>IFERROR(('Feeder Spreads'!AY8-AVERAGE('Feeder Spreads'!$AY$3:$AY$4308))/STDEV('Feeder Spreads'!$AY$3:$AY$4308),"")</f>
        <v>-9.2057461789832346E-2</v>
      </c>
      <c r="CM8">
        <f>IFERROR('Feeder Spreads'!AY8-'Feeder Spreads'!AY13,"")</f>
        <v>0</v>
      </c>
      <c r="CN8">
        <f>IFERROR('Feeder Spreads'!AY8-'Feeder Spreads'!AY18,"")</f>
        <v>0</v>
      </c>
      <c r="CO8">
        <f>IFERROR(AVERAGE('Feeder Spreads'!AY8:AY27)+2*STDEV('Feeder Spreads'!AY8:AY27),"")</f>
        <v>0</v>
      </c>
      <c r="CP8">
        <f>IFERROR(AVERAGE('Feeder Spreads'!AY8:AY27)-2*STDEV('Feeder Spreads'!AY8:AY27),"")</f>
        <v>0</v>
      </c>
      <c r="CQ8" t="str">
        <f>IFERROR(('Feeder Spreads'!AY8-(AVERAGE('Feeder Spreads'!AY8:AY27)-2*STDEV('Feeder Spreads'!AY8:AY27)))/(4*STDEV('Feeder Spreads'!AY8:AY27)),"")</f>
        <v/>
      </c>
      <c r="CR8" t="str">
        <f>IFERROR(4*STDEV('Feeder Spreads'!AY8:AY27)/AVERAGE('Feeder Spreads'!AY8:AY27),"")</f>
        <v/>
      </c>
      <c r="CS8">
        <v>49.749000000000002</v>
      </c>
      <c r="CT8">
        <f>IFERROR(SQRT((SUMSQ('Feeder Spreads'!AY8:AY27)-2*SUMPRODUCT('Feeder Spreads'!AY8:AY27,'Feeder Spreads'!AY9:AY28)+SUMSQ('Feeder Spreads'!AY9:AY28)-('Feeder Spreads'!AY8-'Feeder Spreads'!AY28)^2/20)/19),"")</f>
        <v>0</v>
      </c>
      <c r="CV8">
        <f>IFERROR('Feeder Spreads'!H8,"")</f>
        <v>0</v>
      </c>
      <c r="CW8">
        <f>IFERROR(('Feeder Spreads'!I8-AVERAGE('Feeder Spreads'!$I$3:$I$4308))/STDEV('Feeder Spreads'!$I$3:$I$4308),"")</f>
        <v>-9.2057461789832332E-2</v>
      </c>
      <c r="CX8">
        <f>IFERROR('Feeder Spreads'!I8-'Feeder Spreads'!I13,"")</f>
        <v>0</v>
      </c>
      <c r="CY8">
        <f>IFERROR('Feeder Spreads'!I8-'Feeder Spreads'!I18,"")</f>
        <v>0</v>
      </c>
      <c r="CZ8">
        <f>IFERROR(AVERAGE('Feeder Spreads'!I8:I27)+2*STDEV('Feeder Spreads'!I8:I27),"")</f>
        <v>0</v>
      </c>
      <c r="DA8">
        <f>IFERROR(AVERAGE('Feeder Spreads'!I8:I27)-2*STDEV('Feeder Spreads'!I8:I27),"")</f>
        <v>0</v>
      </c>
      <c r="DB8" t="str">
        <f>IFERROR(('Feeder Spreads'!I8-(AVERAGE('Feeder Spreads'!I8:I27)-2*STDEV('Feeder Spreads'!I8:I27)))/(4*STDEV('Feeder Spreads'!I8:I27)),"")</f>
        <v/>
      </c>
      <c r="DC8" t="str">
        <f>IFERROR(4*STDEV('Feeder Spreads'!I8:I27)/AVERAGE('Feeder Spreads'!I8:I27),"")</f>
        <v/>
      </c>
      <c r="DD8">
        <v>35.889099999999999</v>
      </c>
      <c r="DE8">
        <f>IFERROR(SQRT((SUMSQ('Feeder Spreads'!I8:I27)-2*SUMPRODUCT('Feeder Spreads'!I8:I27,'Feeder Spreads'!I9:I28)+SUMSQ('Feeder Spreads'!I9:I28)-('Feeder Spreads'!I8-'Feeder Spreads'!I28)^2/20)/19),"")</f>
        <v>0</v>
      </c>
      <c r="DG8">
        <f>IFERROR('Feeder Spreads'!O8,"")</f>
        <v>0</v>
      </c>
      <c r="DH8">
        <f>IFERROR(('Feeder Spreads'!P8-AVERAGE('Feeder Spreads'!$P$3:$P$4308))/STDEV('Feeder Spreads'!$P$3:$P$4308),"")</f>
        <v>-9.2057461789832346E-2</v>
      </c>
      <c r="DI8">
        <f>IFERROR('Feeder Spreads'!P8-'Feeder Spreads'!P13,"")</f>
        <v>0</v>
      </c>
      <c r="DJ8">
        <f>IFERROR('Feeder Spreads'!P8-'Feeder Spreads'!P18,"")</f>
        <v>0</v>
      </c>
      <c r="DK8">
        <f>IFERROR(AVERAGE('Feeder Spreads'!P8:P27)+2*STDEV('Feeder Spreads'!P8:P27),"")</f>
        <v>0</v>
      </c>
      <c r="DL8">
        <f>IFERROR(AVERAGE('Feeder Spreads'!P8:P27)-2*STDEV('Feeder Spreads'!P8:P27),"")</f>
        <v>0</v>
      </c>
      <c r="DM8" t="str">
        <f>IFERROR(('Feeder Spreads'!P8-(AVERAGE('Feeder Spreads'!P8:P27)-2*STDEV('Feeder Spreads'!P8:P27)))/(4*STDEV('Feeder Spreads'!P8:P27)),"")</f>
        <v/>
      </c>
      <c r="DN8" t="str">
        <f>IFERROR(4*STDEV('Feeder Spreads'!P8:P27)/AVERAGE('Feeder Spreads'!P8:P27),"")</f>
        <v/>
      </c>
      <c r="DO8">
        <v>52.925800000000002</v>
      </c>
      <c r="DP8">
        <f>IFERROR(SQRT((SUMSQ('Feeder Spreads'!P8:P27)-2*SUMPRODUCT('Feeder Spreads'!P8:P27,'Feeder Spreads'!P9:P28)+SUMSQ('Feeder Spreads'!P9:P28)-('Feeder Spreads'!P8-'Feeder Spreads'!P28)^2/20)/19),"")</f>
        <v>0</v>
      </c>
      <c r="DR8">
        <f>IFERROR('Feeder Spreads'!V8,"")</f>
        <v>0</v>
      </c>
      <c r="DS8">
        <f>IFERROR(('Feeder Spreads'!W8-AVERAGE('Feeder Spreads'!$W$3:$W$4308))/STDEV('Feeder Spreads'!$W$3:$W$4308),"")</f>
        <v>-9.2057461789832332E-2</v>
      </c>
      <c r="DT8">
        <f>IFERROR('Feeder Spreads'!W8-'Feeder Spreads'!W13,"")</f>
        <v>0</v>
      </c>
      <c r="DU8">
        <f>IFERROR('Feeder Spreads'!W8-'Feeder Spreads'!W18,"")</f>
        <v>0</v>
      </c>
      <c r="DV8">
        <f>IFERROR(AVERAGE('Feeder Spreads'!W8:W27)+2*STDEV('Feeder Spreads'!W8:W27),"")</f>
        <v>0</v>
      </c>
      <c r="DW8">
        <f>IFERROR(AVERAGE('Feeder Spreads'!W8:W27)-2*STDEV('Feeder Spreads'!W8:W27),"")</f>
        <v>0</v>
      </c>
      <c r="DX8" t="str">
        <f>IFERROR(('Feeder Spreads'!W8-(AVERAGE('Feeder Spreads'!W8:W27)-2*STDEV('Feeder Spreads'!W8:W27)))/(4*STDEV('Feeder Spreads'!W8:W27)),"")</f>
        <v/>
      </c>
      <c r="DY8" t="str">
        <f>IFERROR(4*STDEV('Feeder Spreads'!W8:W27)/AVERAGE('Feeder Spreads'!W8:W27),"")</f>
        <v/>
      </c>
      <c r="DZ8">
        <v>42.403100000000002</v>
      </c>
      <c r="EA8">
        <f>IFERROR(SQRT((SUMSQ('Feeder Spreads'!W8:W27)-2*SUMPRODUCT('Feeder Spreads'!W8:W27,'Feeder Spreads'!W9:W28)+SUMSQ('Feeder Spreads'!W9:W28)-('Feeder Spreads'!W8-'Feeder Spreads'!W28)^2/20)/19),"")</f>
        <v>0</v>
      </c>
      <c r="EC8">
        <f>IFERROR('Feeder Spreads'!AC8,"")</f>
        <v>0</v>
      </c>
      <c r="ED8">
        <f>IFERROR(('Feeder Spreads'!AD8-AVERAGE('Feeder Spreads'!$AD$3:$AD$4308))/STDEV('Feeder Spreads'!$AD$3:$AD$4308),"")</f>
        <v>9.2057461789832318E-2</v>
      </c>
      <c r="EE8">
        <f>IFERROR('Feeder Spreads'!AD8-'Feeder Spreads'!AD13,"")</f>
        <v>0</v>
      </c>
      <c r="EF8">
        <f>IFERROR('Feeder Spreads'!AD8-'Feeder Spreads'!AD18,"")</f>
        <v>0</v>
      </c>
      <c r="EG8">
        <f>IFERROR(AVERAGE('Feeder Spreads'!AD8:AD27)+2*STDEV('Feeder Spreads'!AD8:AD27),"")</f>
        <v>0</v>
      </c>
      <c r="EH8">
        <f>IFERROR(AVERAGE('Feeder Spreads'!AD8:AD27)-2*STDEV('Feeder Spreads'!AD8:AD27),"")</f>
        <v>0</v>
      </c>
      <c r="EI8" t="str">
        <f>IFERROR(('Feeder Spreads'!AD8-(AVERAGE('Feeder Spreads'!AD8:AD27)-2*STDEV('Feeder Spreads'!AD8:AD27)))/(4*STDEV('Feeder Spreads'!AD8:AD27)),"")</f>
        <v/>
      </c>
      <c r="EJ8" t="str">
        <f>IFERROR(4*STDEV('Feeder Spreads'!AD8:AD27)/AVERAGE('Feeder Spreads'!AD8:AD27),"")</f>
        <v/>
      </c>
      <c r="EK8">
        <v>42.962400000000002</v>
      </c>
      <c r="EL8">
        <f>IFERROR(SQRT((SUMSQ('Feeder Spreads'!AD8:AD27)-2*SUMPRODUCT('Feeder Spreads'!AD8:AD27,'Feeder Spreads'!AD9:AD28)+SUMSQ('Feeder Spreads'!AD9:AD28)-('Feeder Spreads'!AD8-'Feeder Spreads'!AD28)^2/20)/19),"")</f>
        <v>0</v>
      </c>
      <c r="EN8">
        <f>IFERROR('Feeder Spreads'!AJ8,"")</f>
        <v>0</v>
      </c>
      <c r="EO8">
        <f>IFERROR(('Feeder Spreads'!AK8-AVERAGE('Feeder Spreads'!$AK$3:$AK$4308))/STDEV('Feeder Spreads'!$AK$3:$AK$4308),"")</f>
        <v>-9.2057461789832346E-2</v>
      </c>
      <c r="EP8">
        <f>IFERROR('Feeder Spreads'!AK8-'Feeder Spreads'!AK13,"")</f>
        <v>0</v>
      </c>
      <c r="EQ8">
        <f>IFERROR('Feeder Spreads'!AK8-'Feeder Spreads'!AK18,"")</f>
        <v>0</v>
      </c>
      <c r="ER8">
        <f>IFERROR(AVERAGE('Feeder Spreads'!AK8:AK27)+2*STDEV('Feeder Spreads'!AK8:AK27),"")</f>
        <v>0</v>
      </c>
      <c r="ES8">
        <f>IFERROR(AVERAGE('Feeder Spreads'!AK8:AK27)-2*STDEV('Feeder Spreads'!AK8:AK27),"")</f>
        <v>0</v>
      </c>
      <c r="ET8" t="str">
        <f>IFERROR(('Feeder Spreads'!AK8-(AVERAGE('Feeder Spreads'!AK8:AK27)-2*STDEV('Feeder Spreads'!AK8:AK27)))/(4*STDEV('Feeder Spreads'!AK8:AK27)),"")</f>
        <v/>
      </c>
      <c r="EU8" t="str">
        <f>IFERROR(4*STDEV('Feeder Spreads'!AK8:AK27)/AVERAGE('Feeder Spreads'!AK8:AK27),"")</f>
        <v/>
      </c>
      <c r="EV8">
        <v>46.356000000000002</v>
      </c>
      <c r="EW8">
        <f>IFERROR(SQRT((SUMSQ('Feeder Spreads'!AK8:AK27)-2*SUMPRODUCT('Feeder Spreads'!AK8:AK27,'Feeder Spreads'!AK9:AK28)+SUMSQ('Feeder Spreads'!AK9:AK28)-('Feeder Spreads'!AK8-'Feeder Spreads'!AK28)^2/20)/19),"")</f>
        <v>0</v>
      </c>
      <c r="EY8">
        <f>IFERROR('Feeder Spreads'!AQ8,"")</f>
        <v>0</v>
      </c>
      <c r="EZ8">
        <f>IFERROR(('Feeder Spreads'!AR8-AVERAGE('Feeder Spreads'!$AR$3:$AR$4308))/STDEV('Feeder Spreads'!$AR$3:$AR$4308),"")</f>
        <v>-9.2057461789832332E-2</v>
      </c>
      <c r="FA8">
        <f>IFERROR('Feeder Spreads'!AR8-'Feeder Spreads'!AR13,"")</f>
        <v>0</v>
      </c>
      <c r="FB8">
        <f>IFERROR('Feeder Spreads'!AR8-'Feeder Spreads'!AR18,"")</f>
        <v>0</v>
      </c>
      <c r="FC8">
        <f>IFERROR(AVERAGE('Feeder Spreads'!AR8:AR27)+2*STDEV('Feeder Spreads'!AR8:AR27),"")</f>
        <v>0</v>
      </c>
      <c r="FD8">
        <f>IFERROR(AVERAGE('Feeder Spreads'!AR8:AR27)-2*STDEV('Feeder Spreads'!AR8:AR27),"")</f>
        <v>0</v>
      </c>
      <c r="FE8" t="str">
        <f>IFERROR(('Feeder Spreads'!AR8-(AVERAGE('Feeder Spreads'!AR8:AR27)-2*STDEV('Feeder Spreads'!AR8:AR27)))/(4*STDEV('Feeder Spreads'!AR8:AR27)),"")</f>
        <v/>
      </c>
      <c r="FF8" t="str">
        <f>IFERROR(4*STDEV('Feeder Spreads'!AR8:AR27)/AVERAGE('Feeder Spreads'!AR8:AR27),"")</f>
        <v/>
      </c>
      <c r="FG8">
        <v>50.650700000000001</v>
      </c>
      <c r="FH8">
        <f>IFERROR(SQRT((SUMSQ('Feeder Spreads'!AR8:AR27)-2*SUMPRODUCT('Feeder Spreads'!AR8:AR27,'Feeder Spreads'!AR9:AR28)+SUMSQ('Feeder Spreads'!AR9:AR28)-('Feeder Spreads'!AR8-'Feeder Spreads'!AR28)^2/20)/19),"")</f>
        <v>0</v>
      </c>
      <c r="FJ8">
        <f>IFERROR('Fat Spreads'!AX8,"")</f>
        <v>0</v>
      </c>
      <c r="FK8">
        <f>IFERROR(('Fat Spreads'!AY8-AVERAGE('Fat Spreads'!$AY$3:$AY$4308))/STDEV('Fat Spreads'!$AY$3:$AY$4308),"")</f>
        <v>9.2057461789832332E-2</v>
      </c>
      <c r="FL8">
        <f>IFERROR('Fat Spreads'!AY8-'Fat Spreads'!AY13,"")</f>
        <v>0</v>
      </c>
      <c r="FM8">
        <f>IFERROR('Fat Spreads'!AY8-'Fat Spreads'!AY18,"")</f>
        <v>0</v>
      </c>
      <c r="FN8">
        <f>IFERROR(AVERAGE('Fat Spreads'!AY8:AY27)+2*STDEV('Fat Spreads'!AY8:AY27),"")</f>
        <v>0</v>
      </c>
      <c r="FO8">
        <f>IFERROR(AVERAGE('Fat Spreads'!AY8:AY27)-2*STDEV('Fat Spreads'!AY8:AY27),"")</f>
        <v>0</v>
      </c>
      <c r="FP8" t="str">
        <f>IFERROR(('Fat Spreads'!AY8-(AVERAGE('Fat Spreads'!AY8:AY27)-2*STDEV('Fat Spreads'!AY8:AY27)))/(4*STDEV('Fat Spreads'!AY8:AY27)),"")</f>
        <v/>
      </c>
      <c r="FQ8" t="str">
        <f>IFERROR(4*STDEV('Fat Spreads'!AY8:AY27)/AVERAGE('Fat Spreads'!AY8:AY27),"")</f>
        <v/>
      </c>
      <c r="FR8">
        <v>34.6051</v>
      </c>
      <c r="FS8">
        <f>IFERROR(SQRT((SUMSQ('Fat Spreads'!AY8:AY27)-2*SUMPRODUCT('Fat Spreads'!AY8:AY27,'Fat Spreads'!AY9:AY28)+SUMSQ('Fat Spreads'!AY9:AY28)-('Fat Spreads'!AY8-'Fat Spreads'!AY28)^2/20)/19),"")</f>
        <v>0</v>
      </c>
      <c r="FU8">
        <f>IFERROR('Fat Spreads'!BE8,"")</f>
        <v>0</v>
      </c>
      <c r="FV8">
        <f>IFERROR(('Fat Spreads'!BF8-AVERAGE('Fat Spreads'!$BF$3:$BF$4308))/STDEV('Fat Spreads'!$BF$3:$BF$4308),"")</f>
        <v>9.2057461789832332E-2</v>
      </c>
      <c r="FW8">
        <f>IFERROR('Fat Spreads'!BF8-'Fat Spreads'!BF13,"")</f>
        <v>0</v>
      </c>
      <c r="FX8">
        <f>IFERROR('Fat Spreads'!BF8-'Fat Spreads'!BF18,"")</f>
        <v>0</v>
      </c>
      <c r="FY8">
        <f>IFERROR(AVERAGE('Fat Spreads'!BF8:BF27)+2*STDEV('Fat Spreads'!BF8:BF27),"")</f>
        <v>0</v>
      </c>
      <c r="FZ8">
        <f>IFERROR(AVERAGE('Fat Spreads'!BF8:BF27)-2*STDEV('Fat Spreads'!BF8:BF27),"")</f>
        <v>0</v>
      </c>
      <c r="GA8" t="str">
        <f>IFERROR(('Fat Spreads'!BF8-(AVERAGE('Fat Spreads'!BF8:BF27)-2*STDEV('Fat Spreads'!BF8:BF27)))/(4*STDEV('Fat Spreads'!BF8:BF27)),"")</f>
        <v/>
      </c>
      <c r="GB8" t="str">
        <f>IFERROR(4*STDEV('Fat Spreads'!BF8:BF27)/AVERAGE('Fat Spreads'!BF8:BF27),"")</f>
        <v/>
      </c>
      <c r="GC8">
        <v>36.3337</v>
      </c>
      <c r="GD8">
        <f>IFERROR(SQRT((SUMSQ('Fat Spreads'!BF8:BF27)-2*SUMPRODUCT('Fat Spreads'!BF8:BF27,'Fat Spreads'!BF9:BF28)+SUMSQ('Fat Spreads'!BF9:BF28)-('Fat Spreads'!BF8-'Fat Spreads'!BF28)^2/20)/19),"")</f>
        <v>0</v>
      </c>
    </row>
    <row r="9" spans="1:186" x14ac:dyDescent="0.25">
      <c r="A9">
        <f>IFERROR('Fat Spreads'!A9,"")</f>
        <v>0</v>
      </c>
      <c r="B9">
        <f>IFERROR(('Fat Spreads'!B9-AVERAGE('Fat Spreads'!$B$3:$B$4308))/STDEV('Fat Spreads'!$B$3:$B$4308),"")</f>
        <v>9.2057461789832346E-2</v>
      </c>
      <c r="C9">
        <f>IFERROR('Fat Spreads'!B9-'Fat Spreads'!B14,"")</f>
        <v>0</v>
      </c>
      <c r="D9">
        <f>IFERROR('Fat Spreads'!B9-'Fat Spreads'!B19,"")</f>
        <v>0</v>
      </c>
      <c r="E9">
        <f>IFERROR(AVERAGE('Fat Spreads'!B9:B28)+2*STDEV('Fat Spreads'!B9:B28),"")</f>
        <v>0</v>
      </c>
      <c r="F9">
        <f>IFERROR(AVERAGE('Fat Spreads'!B9:B28)-2*STDEV('Fat Spreads'!B9:B28),"")</f>
        <v>0</v>
      </c>
      <c r="G9" t="str">
        <f>IFERROR(('Fat Spreads'!B9-(AVERAGE('Fat Spreads'!B9:B28)-2*STDEV('Fat Spreads'!B9:B28)))/(4*STDEV('Fat Spreads'!B9:B28)),"")</f>
        <v/>
      </c>
      <c r="H9" t="str">
        <f>IFERROR(4*STDEV('Fat Spreads'!B9:B28)/AVERAGE('Fat Spreads'!B9:B28),"")</f>
        <v/>
      </c>
      <c r="I9">
        <v>44.1265</v>
      </c>
      <c r="J9">
        <f>IFERROR(SQRT((SUMSQ('Fat Spreads'!B9:B28)-2*SUMPRODUCT('Fat Spreads'!B9:B28,'Fat Spreads'!B10:B29)+SUMSQ('Fat Spreads'!B10:B29)-('Fat Spreads'!B9-'Fat Spreads'!B29)^2/20)/19),"")</f>
        <v>0</v>
      </c>
      <c r="L9">
        <f>IFERROR('Fat Spreads'!H9,"")</f>
        <v>0</v>
      </c>
      <c r="M9">
        <f>IFERROR(('Fat Spreads'!I9-AVERAGE('Fat Spreads'!$I$3:$I$4308))/STDEV('Fat Spreads'!$I$3:$I$4308),"")</f>
        <v>-9.2057461789832332E-2</v>
      </c>
      <c r="N9">
        <f>IFERROR('Fat Spreads'!I9-'Fat Spreads'!I14,"")</f>
        <v>0</v>
      </c>
      <c r="O9">
        <f>IFERROR('Fat Spreads'!I9-'Fat Spreads'!I19,"")</f>
        <v>0</v>
      </c>
      <c r="P9">
        <f>IFERROR(AVERAGE('Fat Spreads'!I9:I28)+2*STDEV('Fat Spreads'!I9:I28),"")</f>
        <v>0</v>
      </c>
      <c r="Q9">
        <f>IFERROR(AVERAGE('Fat Spreads'!I9:I28)-2*STDEV('Fat Spreads'!I9:I28),"")</f>
        <v>0</v>
      </c>
      <c r="R9" t="str">
        <f>IFERROR(('Fat Spreads'!I9-(AVERAGE('Fat Spreads'!I9:I28)-2*STDEV('Fat Spreads'!I9:I28)))/(4*STDEV('Fat Spreads'!I9:I28)),"")</f>
        <v/>
      </c>
      <c r="S9" t="str">
        <f>IFERROR(4*STDEV('Fat Spreads'!I9:I28)/AVERAGE('Fat Spreads'!I9:I28),"")</f>
        <v/>
      </c>
      <c r="T9">
        <v>49.622500000000002</v>
      </c>
      <c r="U9">
        <f>IFERROR(SQRT((SUMSQ('Fat Spreads'!I9:I28)-2*SUMPRODUCT('Fat Spreads'!I9:I28,'Fat Spreads'!I10:I29)+SUMSQ('Fat Spreads'!I10:I29)-('Fat Spreads'!I9-'Fat Spreads'!I29)^2/20)/19),"")</f>
        <v>0</v>
      </c>
      <c r="W9">
        <f>IFERROR('Fat Spreads'!AQ9,"")</f>
        <v>0</v>
      </c>
      <c r="X9">
        <f>IFERROR(('Fat Spreads'!AR9-AVERAGE('Fat Spreads'!$AR$3:$AR$4308))/STDEV('Fat Spreads'!$AR$3:$AR$4308),"")</f>
        <v>-9.2057461789832346E-2</v>
      </c>
      <c r="Y9">
        <f>IFERROR('Fat Spreads'!AR9-'Fat Spreads'!AR14,"")</f>
        <v>0</v>
      </c>
      <c r="Z9">
        <f>IFERROR('Fat Spreads'!AR9-'Fat Spreads'!AR19,"")</f>
        <v>0</v>
      </c>
      <c r="AA9">
        <f>IFERROR(AVERAGE('Fat Spreads'!AR9:AR28)+2*STDEV('Fat Spreads'!AR9:AR28),"")</f>
        <v>0</v>
      </c>
      <c r="AB9">
        <f>IFERROR(AVERAGE('Fat Spreads'!AR9:AR28)-2*STDEV('Fat Spreads'!AR9:AR28),"")</f>
        <v>0</v>
      </c>
      <c r="AC9" t="str">
        <f>IFERROR(('Fat Spreads'!AR9-(AVERAGE('Fat Spreads'!AR9:AR28)-2*STDEV('Fat Spreads'!AR9:AR28)))/(4*STDEV('Fat Spreads'!AR9:AR28)),"")</f>
        <v/>
      </c>
      <c r="AD9" t="str">
        <f>IFERROR(4*STDEV('Fat Spreads'!AR9:AR28)/AVERAGE('Fat Spreads'!AR9:AR28),"")</f>
        <v/>
      </c>
      <c r="AE9">
        <v>56.946800000000003</v>
      </c>
      <c r="AF9">
        <f>IFERROR(SQRT((SUMSQ('Fat Spreads'!AR9:AR28)-2*SUMPRODUCT('Fat Spreads'!AR9:AR28,'Fat Spreads'!AR10:AR29)+SUMSQ('Fat Spreads'!AR10:AR29)-('Fat Spreads'!AR9-'Fat Spreads'!AR29)^2/20)/19),"")</f>
        <v>0</v>
      </c>
      <c r="AH9">
        <f>IFERROR('Fat Spreads'!O9,"")</f>
        <v>0</v>
      </c>
      <c r="AI9">
        <f>IFERROR(('Fat Spreads'!P9-AVERAGE('Fat Spreads'!$P$3:$P$4308))/STDEV('Fat Spreads'!$P$3:$P$4308),"")</f>
        <v>-9.2057461789832332E-2</v>
      </c>
      <c r="AJ9">
        <f>IFERROR('Fat Spreads'!P9-'Fat Spreads'!P14,"")</f>
        <v>0</v>
      </c>
      <c r="AK9">
        <f>IFERROR('Fat Spreads'!P9-'Fat Spreads'!P19,"")</f>
        <v>0</v>
      </c>
      <c r="AL9">
        <f>IFERROR(AVERAGE('Fat Spreads'!P9:P28)+2*STDEV('Fat Spreads'!P9:P28),"")</f>
        <v>0</v>
      </c>
      <c r="AM9">
        <f>IFERROR(AVERAGE('Fat Spreads'!P9:P28)-2*STDEV('Fat Spreads'!P9:P28),"")</f>
        <v>0</v>
      </c>
      <c r="AN9" t="str">
        <f>IFERROR(('Fat Spreads'!P9-(AVERAGE('Fat Spreads'!P9:P28)-2*STDEV('Fat Spreads'!P9:P28)))/(4*STDEV('Fat Spreads'!P9:P28)),"")</f>
        <v/>
      </c>
      <c r="AO9" t="str">
        <f>IFERROR(4*STDEV('Fat Spreads'!P9:P28)/AVERAGE('Fat Spreads'!P9:P28),"")</f>
        <v/>
      </c>
      <c r="AP9">
        <v>57.206600000000002</v>
      </c>
      <c r="AQ9">
        <f>IFERROR(SQRT((SUMSQ('Fat Spreads'!P9:P28)-2*SUMPRODUCT('Fat Spreads'!P9:P28,'Fat Spreads'!P10:P29)+SUMSQ('Fat Spreads'!P10:P29)-('Fat Spreads'!P9-'Fat Spreads'!P29)^2/20)/19),"")</f>
        <v>0</v>
      </c>
      <c r="AS9">
        <f>IFERROR('Fat Spreads'!AJ9,"")</f>
        <v>0</v>
      </c>
      <c r="AT9">
        <f>IFERROR(('Fat Spreads'!AK9-AVERAGE('Fat Spreads'!$AK$3:$AK$4308))/STDEV('Fat Spreads'!$AK$3:$AK$4308),"")</f>
        <v>-9.2057461789832332E-2</v>
      </c>
      <c r="AU9">
        <f>IFERROR('Fat Spreads'!AK9-'Fat Spreads'!AK14,"")</f>
        <v>0</v>
      </c>
      <c r="AV9">
        <f>IFERROR('Fat Spreads'!AK9-'Fat Spreads'!AK19,"")</f>
        <v>0</v>
      </c>
      <c r="AW9">
        <f>IFERROR(AVERAGE('Fat Spreads'!AK9:AK28)+2*STDEV('Fat Spreads'!AK9:AK28),"")</f>
        <v>0</v>
      </c>
      <c r="AX9">
        <f>IFERROR(AVERAGE('Fat Spreads'!AK9:AK28)-2*STDEV('Fat Spreads'!AK9:AK28),"")</f>
        <v>0</v>
      </c>
      <c r="AY9" t="str">
        <f>IFERROR(('Fat Spreads'!AK9-(AVERAGE('Fat Spreads'!AK9:AK28)-2*STDEV('Fat Spreads'!AK9:AK28)))/(4*STDEV('Fat Spreads'!AK9:AK28)),"")</f>
        <v/>
      </c>
      <c r="AZ9" t="str">
        <f>IFERROR(4*STDEV('Fat Spreads'!AK9:AK28)/AVERAGE('Fat Spreads'!AK9:AK28),"")</f>
        <v/>
      </c>
      <c r="BA9">
        <v>48.245699999999999</v>
      </c>
      <c r="BB9">
        <f>IFERROR(SQRT((SUMSQ('Fat Spreads'!AK9:AK28)-2*SUMPRODUCT('Fat Spreads'!AK9:AK28,'Fat Spreads'!AK10:AK29)+SUMSQ('Fat Spreads'!AK10:AK29)-('Fat Spreads'!AK9-'Fat Spreads'!AK29)^2/20)/19),"")</f>
        <v>0</v>
      </c>
      <c r="BD9">
        <f>IFERROR('Fat Spreads'!V9,"")</f>
        <v>0</v>
      </c>
      <c r="BE9">
        <f>IFERROR(('Fat Spreads'!W9-AVERAGE('Fat Spreads'!$W$3:$W$4308))/STDEV('Fat Spreads'!$W$3:$W$4308),"")</f>
        <v>-9.2057461789832332E-2</v>
      </c>
      <c r="BF9">
        <f>IFERROR('Fat Spreads'!W9-'Fat Spreads'!W14,"")</f>
        <v>0</v>
      </c>
      <c r="BG9">
        <f>IFERROR('Fat Spreads'!W9-'Fat Spreads'!W19,"")</f>
        <v>0</v>
      </c>
      <c r="BH9">
        <f>IFERROR(AVERAGE('Fat Spreads'!W9:W28)+2*STDEV('Fat Spreads'!W9:W28),"")</f>
        <v>0</v>
      </c>
      <c r="BI9">
        <f>IFERROR(AVERAGE('Fat Spreads'!W9:W28)-2*STDEV('Fat Spreads'!W9:W28),"")</f>
        <v>0</v>
      </c>
      <c r="BJ9" t="str">
        <f>IFERROR(('Fat Spreads'!W9-(AVERAGE('Fat Spreads'!W9:W28)-2*STDEV('Fat Spreads'!W9:W28)))/(4*STDEV('Fat Spreads'!W9:W28)),"")</f>
        <v/>
      </c>
      <c r="BK9" t="str">
        <f>IFERROR(4*STDEV('Fat Spreads'!W9:W28)/AVERAGE('Fat Spreads'!W9:W28),"")</f>
        <v/>
      </c>
      <c r="BL9">
        <v>55.096600000000002</v>
      </c>
      <c r="BM9">
        <f>IFERROR(SQRT((SUMSQ('Fat Spreads'!W9:W28)-2*SUMPRODUCT('Fat Spreads'!W9:W28,'Fat Spreads'!W10:W29)+SUMSQ('Fat Spreads'!W10:W29)-('Fat Spreads'!W9-'Fat Spreads'!W29)^2/20)/19),"")</f>
        <v>0</v>
      </c>
      <c r="BO9">
        <f>IFERROR('Fat Spreads'!AC9,"")</f>
        <v>0</v>
      </c>
      <c r="BP9">
        <f>IFERROR(('Fat Spreads'!AD9-AVERAGE('Fat Spreads'!$AD$3:$AD$4308))/STDEV('Fat Spreads'!$AD$3:$AD$4308),"")</f>
        <v>-9.2057461789832332E-2</v>
      </c>
      <c r="BQ9">
        <f>IFERROR('Fat Spreads'!AD9-'Fat Spreads'!AD14,"")</f>
        <v>0</v>
      </c>
      <c r="BR9">
        <f>IFERROR('Fat Spreads'!AD9-'Fat Spreads'!AD19,"")</f>
        <v>0</v>
      </c>
      <c r="BS9">
        <f>IFERROR(AVERAGE('Fat Spreads'!AD9:AD28)+2*STDEV('Fat Spreads'!AD9:AD28),"")</f>
        <v>0</v>
      </c>
      <c r="BT9">
        <f>IFERROR(AVERAGE('Fat Spreads'!AD9:AD28)-2*STDEV('Fat Spreads'!AD9:AD28),"")</f>
        <v>0</v>
      </c>
      <c r="BU9" t="str">
        <f>IFERROR(('Fat Spreads'!AD9-(AVERAGE('Fat Spreads'!AD9:AD28)-2*STDEV('Fat Spreads'!AD9:AD28)))/(4*STDEV('Fat Spreads'!AD9:AD28)),"")</f>
        <v/>
      </c>
      <c r="BV9" t="str">
        <f>IFERROR(4*STDEV('Fat Spreads'!AD9:AD28)/AVERAGE('Fat Spreads'!AD9:AD28),"")</f>
        <v/>
      </c>
      <c r="BW9">
        <v>57.763300000000001</v>
      </c>
      <c r="BX9">
        <f>IFERROR(SQRT((SUMSQ('Fat Spreads'!AD9:AD28)-2*SUMPRODUCT('Fat Spreads'!AD9:AD28,'Fat Spreads'!AD10:AD29)+SUMSQ('Fat Spreads'!AD10:AD29)-('Fat Spreads'!AD9-'Fat Spreads'!AD29)^2/20)/19),"")</f>
        <v>0</v>
      </c>
      <c r="BZ9">
        <f>IFERROR('Feeder Spreads'!A9,"")</f>
        <v>0</v>
      </c>
      <c r="CA9">
        <f>IFERROR(('Feeder Spreads'!B9-AVERAGE('Feeder Spreads'!$B$3:$B$4308))/STDEV('Feeder Spreads'!$B$3:$B$4308),"")</f>
        <v>-9.2057461789832346E-2</v>
      </c>
      <c r="CB9">
        <f>IFERROR('Feeder Spreads'!B9-'Feeder Spreads'!B14,"")</f>
        <v>0</v>
      </c>
      <c r="CC9">
        <f>IFERROR('Feeder Spreads'!B9-'Feeder Spreads'!B19,"")</f>
        <v>0</v>
      </c>
      <c r="CD9">
        <f>IFERROR(AVERAGE('Feeder Spreads'!B9:B28)+2*STDEV('Feeder Spreads'!B9:B28),"")</f>
        <v>0</v>
      </c>
      <c r="CE9">
        <f>IFERROR(AVERAGE('Feeder Spreads'!B9:B28)-2*STDEV('Feeder Spreads'!B9:B28),"")</f>
        <v>0</v>
      </c>
      <c r="CF9" t="str">
        <f>IFERROR(('Feeder Spreads'!B9-(AVERAGE('Feeder Spreads'!B9:B28)-2*STDEV('Feeder Spreads'!B9:B28)))/(4*STDEV('Feeder Spreads'!B9:B28)),"")</f>
        <v/>
      </c>
      <c r="CG9" t="str">
        <f>IFERROR(4*STDEV('Feeder Spreads'!B9:B28)/AVERAGE('Feeder Spreads'!B9:B28),"")</f>
        <v/>
      </c>
      <c r="CH9">
        <v>63.521599999999999</v>
      </c>
      <c r="CI9">
        <f>IFERROR(SQRT((SUMSQ('Feeder Spreads'!B9:B28)-2*SUMPRODUCT('Feeder Spreads'!B9:B28,'Feeder Spreads'!B10:B29)+SUMSQ('Feeder Spreads'!B10:B29)-('Feeder Spreads'!B9-'Feeder Spreads'!B29)^2/20)/19),"")</f>
        <v>0</v>
      </c>
      <c r="CK9">
        <f>IFERROR('Feeder Spreads'!AX9,"")</f>
        <v>0</v>
      </c>
      <c r="CL9">
        <f>IFERROR(('Feeder Spreads'!AY9-AVERAGE('Feeder Spreads'!$AY$3:$AY$4308))/STDEV('Feeder Spreads'!$AY$3:$AY$4308),"")</f>
        <v>-9.2057461789832346E-2</v>
      </c>
      <c r="CM9">
        <f>IFERROR('Feeder Spreads'!AY9-'Feeder Spreads'!AY14,"")</f>
        <v>0</v>
      </c>
      <c r="CN9">
        <f>IFERROR('Feeder Spreads'!AY9-'Feeder Spreads'!AY19,"")</f>
        <v>0</v>
      </c>
      <c r="CO9">
        <f>IFERROR(AVERAGE('Feeder Spreads'!AY9:AY28)+2*STDEV('Feeder Spreads'!AY9:AY28),"")</f>
        <v>0</v>
      </c>
      <c r="CP9">
        <f>IFERROR(AVERAGE('Feeder Spreads'!AY9:AY28)-2*STDEV('Feeder Spreads'!AY9:AY28),"")</f>
        <v>0</v>
      </c>
      <c r="CQ9" t="str">
        <f>IFERROR(('Feeder Spreads'!AY9-(AVERAGE('Feeder Spreads'!AY9:AY28)-2*STDEV('Feeder Spreads'!AY9:AY28)))/(4*STDEV('Feeder Spreads'!AY9:AY28)),"")</f>
        <v/>
      </c>
      <c r="CR9" t="str">
        <f>IFERROR(4*STDEV('Feeder Spreads'!AY9:AY28)/AVERAGE('Feeder Spreads'!AY9:AY28),"")</f>
        <v/>
      </c>
      <c r="CS9">
        <v>50.833199999999998</v>
      </c>
      <c r="CT9">
        <f>IFERROR(SQRT((SUMSQ('Feeder Spreads'!AY9:AY28)-2*SUMPRODUCT('Feeder Spreads'!AY9:AY28,'Feeder Spreads'!AY10:AY29)+SUMSQ('Feeder Spreads'!AY10:AY29)-('Feeder Spreads'!AY9-'Feeder Spreads'!AY29)^2/20)/19),"")</f>
        <v>0</v>
      </c>
      <c r="CV9">
        <f>IFERROR('Feeder Spreads'!H9,"")</f>
        <v>0</v>
      </c>
      <c r="CW9">
        <f>IFERROR(('Feeder Spreads'!I9-AVERAGE('Feeder Spreads'!$I$3:$I$4308))/STDEV('Feeder Spreads'!$I$3:$I$4308),"")</f>
        <v>-9.2057461789832332E-2</v>
      </c>
      <c r="CX9">
        <f>IFERROR('Feeder Spreads'!I9-'Feeder Spreads'!I14,"")</f>
        <v>0</v>
      </c>
      <c r="CY9">
        <f>IFERROR('Feeder Spreads'!I9-'Feeder Spreads'!I19,"")</f>
        <v>0</v>
      </c>
      <c r="CZ9">
        <f>IFERROR(AVERAGE('Feeder Spreads'!I9:I28)+2*STDEV('Feeder Spreads'!I9:I28),"")</f>
        <v>0</v>
      </c>
      <c r="DA9">
        <f>IFERROR(AVERAGE('Feeder Spreads'!I9:I28)-2*STDEV('Feeder Spreads'!I9:I28),"")</f>
        <v>0</v>
      </c>
      <c r="DB9" t="str">
        <f>IFERROR(('Feeder Spreads'!I9-(AVERAGE('Feeder Spreads'!I9:I28)-2*STDEV('Feeder Spreads'!I9:I28)))/(4*STDEV('Feeder Spreads'!I9:I28)),"")</f>
        <v/>
      </c>
      <c r="DC9" t="str">
        <f>IFERROR(4*STDEV('Feeder Spreads'!I9:I28)/AVERAGE('Feeder Spreads'!I9:I28),"")</f>
        <v/>
      </c>
      <c r="DD9">
        <v>40.8718</v>
      </c>
      <c r="DE9">
        <f>IFERROR(SQRT((SUMSQ('Feeder Spreads'!I9:I28)-2*SUMPRODUCT('Feeder Spreads'!I9:I28,'Feeder Spreads'!I10:I29)+SUMSQ('Feeder Spreads'!I10:I29)-('Feeder Spreads'!I9-'Feeder Spreads'!I29)^2/20)/19),"")</f>
        <v>0</v>
      </c>
      <c r="DG9">
        <f>IFERROR('Feeder Spreads'!O9,"")</f>
        <v>0</v>
      </c>
      <c r="DH9">
        <f>IFERROR(('Feeder Spreads'!P9-AVERAGE('Feeder Spreads'!$P$3:$P$4308))/STDEV('Feeder Spreads'!$P$3:$P$4308),"")</f>
        <v>-9.2057461789832346E-2</v>
      </c>
      <c r="DI9">
        <f>IFERROR('Feeder Spreads'!P9-'Feeder Spreads'!P14,"")</f>
        <v>0</v>
      </c>
      <c r="DJ9">
        <f>IFERROR('Feeder Spreads'!P9-'Feeder Spreads'!P19,"")</f>
        <v>0</v>
      </c>
      <c r="DK9">
        <f>IFERROR(AVERAGE('Feeder Spreads'!P9:P28)+2*STDEV('Feeder Spreads'!P9:P28),"")</f>
        <v>0</v>
      </c>
      <c r="DL9">
        <f>IFERROR(AVERAGE('Feeder Spreads'!P9:P28)-2*STDEV('Feeder Spreads'!P9:P28),"")</f>
        <v>0</v>
      </c>
      <c r="DM9" t="str">
        <f>IFERROR(('Feeder Spreads'!P9-(AVERAGE('Feeder Spreads'!P9:P28)-2*STDEV('Feeder Spreads'!P9:P28)))/(4*STDEV('Feeder Spreads'!P9:P28)),"")</f>
        <v/>
      </c>
      <c r="DN9" t="str">
        <f>IFERROR(4*STDEV('Feeder Spreads'!P9:P28)/AVERAGE('Feeder Spreads'!P9:P28),"")</f>
        <v/>
      </c>
      <c r="DO9">
        <v>52.925800000000002</v>
      </c>
      <c r="DP9">
        <f>IFERROR(SQRT((SUMSQ('Feeder Spreads'!P9:P28)-2*SUMPRODUCT('Feeder Spreads'!P9:P28,'Feeder Spreads'!P10:P29)+SUMSQ('Feeder Spreads'!P10:P29)-('Feeder Spreads'!P9-'Feeder Spreads'!P29)^2/20)/19),"")</f>
        <v>0</v>
      </c>
      <c r="DR9">
        <f>IFERROR('Feeder Spreads'!V9,"")</f>
        <v>0</v>
      </c>
      <c r="DS9">
        <f>IFERROR(('Feeder Spreads'!W9-AVERAGE('Feeder Spreads'!$W$3:$W$4308))/STDEV('Feeder Spreads'!$W$3:$W$4308),"")</f>
        <v>-9.2057461789832332E-2</v>
      </c>
      <c r="DT9">
        <f>IFERROR('Feeder Spreads'!W9-'Feeder Spreads'!W14,"")</f>
        <v>0</v>
      </c>
      <c r="DU9">
        <f>IFERROR('Feeder Spreads'!W9-'Feeder Spreads'!W19,"")</f>
        <v>0</v>
      </c>
      <c r="DV9">
        <f>IFERROR(AVERAGE('Feeder Spreads'!W9:W28)+2*STDEV('Feeder Spreads'!W9:W28),"")</f>
        <v>0</v>
      </c>
      <c r="DW9">
        <f>IFERROR(AVERAGE('Feeder Spreads'!W9:W28)-2*STDEV('Feeder Spreads'!W9:W28),"")</f>
        <v>0</v>
      </c>
      <c r="DX9" t="str">
        <f>IFERROR(('Feeder Spreads'!W9-(AVERAGE('Feeder Spreads'!W9:W28)-2*STDEV('Feeder Spreads'!W9:W28)))/(4*STDEV('Feeder Spreads'!W9:W28)),"")</f>
        <v/>
      </c>
      <c r="DY9" t="str">
        <f>IFERROR(4*STDEV('Feeder Spreads'!W9:W28)/AVERAGE('Feeder Spreads'!W9:W28),"")</f>
        <v/>
      </c>
      <c r="DZ9">
        <v>36.637700000000002</v>
      </c>
      <c r="EA9">
        <f>IFERROR(SQRT((SUMSQ('Feeder Spreads'!W9:W28)-2*SUMPRODUCT('Feeder Spreads'!W9:W28,'Feeder Spreads'!W10:W29)+SUMSQ('Feeder Spreads'!W10:W29)-('Feeder Spreads'!W9-'Feeder Spreads'!W29)^2/20)/19),"")</f>
        <v>0</v>
      </c>
      <c r="EC9">
        <f>IFERROR('Feeder Spreads'!AC9,"")</f>
        <v>0</v>
      </c>
      <c r="ED9">
        <f>IFERROR(('Feeder Spreads'!AD9-AVERAGE('Feeder Spreads'!$AD$3:$AD$4308))/STDEV('Feeder Spreads'!$AD$3:$AD$4308),"")</f>
        <v>9.2057461789832318E-2</v>
      </c>
      <c r="EE9">
        <f>IFERROR('Feeder Spreads'!AD9-'Feeder Spreads'!AD14,"")</f>
        <v>0</v>
      </c>
      <c r="EF9">
        <f>IFERROR('Feeder Spreads'!AD9-'Feeder Spreads'!AD19,"")</f>
        <v>0</v>
      </c>
      <c r="EG9">
        <f>IFERROR(AVERAGE('Feeder Spreads'!AD9:AD28)+2*STDEV('Feeder Spreads'!AD9:AD28),"")</f>
        <v>0</v>
      </c>
      <c r="EH9">
        <f>IFERROR(AVERAGE('Feeder Spreads'!AD9:AD28)-2*STDEV('Feeder Spreads'!AD9:AD28),"")</f>
        <v>0</v>
      </c>
      <c r="EI9" t="str">
        <f>IFERROR(('Feeder Spreads'!AD9-(AVERAGE('Feeder Spreads'!AD9:AD28)-2*STDEV('Feeder Spreads'!AD9:AD28)))/(4*STDEV('Feeder Spreads'!AD9:AD28)),"")</f>
        <v/>
      </c>
      <c r="EJ9" t="str">
        <f>IFERROR(4*STDEV('Feeder Spreads'!AD9:AD28)/AVERAGE('Feeder Spreads'!AD9:AD28),"")</f>
        <v/>
      </c>
      <c r="EK9">
        <v>44.529499999999999</v>
      </c>
      <c r="EL9">
        <f>IFERROR(SQRT((SUMSQ('Feeder Spreads'!AD9:AD28)-2*SUMPRODUCT('Feeder Spreads'!AD9:AD28,'Feeder Spreads'!AD10:AD29)+SUMSQ('Feeder Spreads'!AD10:AD29)-('Feeder Spreads'!AD9-'Feeder Spreads'!AD29)^2/20)/19),"")</f>
        <v>0</v>
      </c>
      <c r="EN9">
        <f>IFERROR('Feeder Spreads'!AJ9,"")</f>
        <v>0</v>
      </c>
      <c r="EO9">
        <f>IFERROR(('Feeder Spreads'!AK9-AVERAGE('Feeder Spreads'!$AK$3:$AK$4308))/STDEV('Feeder Spreads'!$AK$3:$AK$4308),"")</f>
        <v>-9.2057461789832346E-2</v>
      </c>
      <c r="EP9">
        <f>IFERROR('Feeder Spreads'!AK9-'Feeder Spreads'!AK14,"")</f>
        <v>0</v>
      </c>
      <c r="EQ9">
        <f>IFERROR('Feeder Spreads'!AK9-'Feeder Spreads'!AK19,"")</f>
        <v>0</v>
      </c>
      <c r="ER9">
        <f>IFERROR(AVERAGE('Feeder Spreads'!AK9:AK28)+2*STDEV('Feeder Spreads'!AK9:AK28),"")</f>
        <v>0</v>
      </c>
      <c r="ES9">
        <f>IFERROR(AVERAGE('Feeder Spreads'!AK9:AK28)-2*STDEV('Feeder Spreads'!AK9:AK28),"")</f>
        <v>0</v>
      </c>
      <c r="ET9" t="str">
        <f>IFERROR(('Feeder Spreads'!AK9-(AVERAGE('Feeder Spreads'!AK9:AK28)-2*STDEV('Feeder Spreads'!AK9:AK28)))/(4*STDEV('Feeder Spreads'!AK9:AK28)),"")</f>
        <v/>
      </c>
      <c r="EU9" t="str">
        <f>IFERROR(4*STDEV('Feeder Spreads'!AK9:AK28)/AVERAGE('Feeder Spreads'!AK9:AK28),"")</f>
        <v/>
      </c>
      <c r="EV9">
        <v>51.443600000000004</v>
      </c>
      <c r="EW9">
        <f>IFERROR(SQRT((SUMSQ('Feeder Spreads'!AK9:AK28)-2*SUMPRODUCT('Feeder Spreads'!AK9:AK28,'Feeder Spreads'!AK10:AK29)+SUMSQ('Feeder Spreads'!AK10:AK29)-('Feeder Spreads'!AK9-'Feeder Spreads'!AK29)^2/20)/19),"")</f>
        <v>0</v>
      </c>
      <c r="EY9">
        <f>IFERROR('Feeder Spreads'!AQ9,"")</f>
        <v>0</v>
      </c>
      <c r="EZ9">
        <f>IFERROR(('Feeder Spreads'!AR9-AVERAGE('Feeder Spreads'!$AR$3:$AR$4308))/STDEV('Feeder Spreads'!$AR$3:$AR$4308),"")</f>
        <v>-9.2057461789832332E-2</v>
      </c>
      <c r="FA9">
        <f>IFERROR('Feeder Spreads'!AR9-'Feeder Spreads'!AR14,"")</f>
        <v>0</v>
      </c>
      <c r="FB9">
        <f>IFERROR('Feeder Spreads'!AR9-'Feeder Spreads'!AR19,"")</f>
        <v>0</v>
      </c>
      <c r="FC9">
        <f>IFERROR(AVERAGE('Feeder Spreads'!AR9:AR28)+2*STDEV('Feeder Spreads'!AR9:AR28),"")</f>
        <v>0</v>
      </c>
      <c r="FD9">
        <f>IFERROR(AVERAGE('Feeder Spreads'!AR9:AR28)-2*STDEV('Feeder Spreads'!AR9:AR28),"")</f>
        <v>0</v>
      </c>
      <c r="FE9" t="str">
        <f>IFERROR(('Feeder Spreads'!AR9-(AVERAGE('Feeder Spreads'!AR9:AR28)-2*STDEV('Feeder Spreads'!AR9:AR28)))/(4*STDEV('Feeder Spreads'!AR9:AR28)),"")</f>
        <v/>
      </c>
      <c r="FF9" t="str">
        <f>IFERROR(4*STDEV('Feeder Spreads'!AR9:AR28)/AVERAGE('Feeder Spreads'!AR9:AR28),"")</f>
        <v/>
      </c>
      <c r="FG9">
        <v>51.955399999999997</v>
      </c>
      <c r="FH9">
        <f>IFERROR(SQRT((SUMSQ('Feeder Spreads'!AR9:AR28)-2*SUMPRODUCT('Feeder Spreads'!AR9:AR28,'Feeder Spreads'!AR10:AR29)+SUMSQ('Feeder Spreads'!AR10:AR29)-('Feeder Spreads'!AR9-'Feeder Spreads'!AR29)^2/20)/19),"")</f>
        <v>0</v>
      </c>
      <c r="FJ9">
        <f>IFERROR('Fat Spreads'!AX9,"")</f>
        <v>0</v>
      </c>
      <c r="FK9">
        <f>IFERROR(('Fat Spreads'!AY9-AVERAGE('Fat Spreads'!$AY$3:$AY$4308))/STDEV('Fat Spreads'!$AY$3:$AY$4308),"")</f>
        <v>9.2057461789832332E-2</v>
      </c>
      <c r="FL9">
        <f>IFERROR('Fat Spreads'!AY9-'Fat Spreads'!AY14,"")</f>
        <v>0</v>
      </c>
      <c r="FM9">
        <f>IFERROR('Fat Spreads'!AY9-'Fat Spreads'!AY19,"")</f>
        <v>0</v>
      </c>
      <c r="FN9">
        <f>IFERROR(AVERAGE('Fat Spreads'!AY9:AY28)+2*STDEV('Fat Spreads'!AY9:AY28),"")</f>
        <v>0</v>
      </c>
      <c r="FO9">
        <f>IFERROR(AVERAGE('Fat Spreads'!AY9:AY28)-2*STDEV('Fat Spreads'!AY9:AY28),"")</f>
        <v>0</v>
      </c>
      <c r="FP9" t="str">
        <f>IFERROR(('Fat Spreads'!AY9-(AVERAGE('Fat Spreads'!AY9:AY28)-2*STDEV('Fat Spreads'!AY9:AY28)))/(4*STDEV('Fat Spreads'!AY9:AY28)),"")</f>
        <v/>
      </c>
      <c r="FQ9" t="str">
        <f>IFERROR(4*STDEV('Fat Spreads'!AY9:AY28)/AVERAGE('Fat Spreads'!AY9:AY28),"")</f>
        <v/>
      </c>
      <c r="FR9">
        <v>43.551000000000002</v>
      </c>
      <c r="FS9">
        <f>IFERROR(SQRT((SUMSQ('Fat Spreads'!AY9:AY28)-2*SUMPRODUCT('Fat Spreads'!AY9:AY28,'Fat Spreads'!AY10:AY29)+SUMSQ('Fat Spreads'!AY10:AY29)-('Fat Spreads'!AY9-'Fat Spreads'!AY29)^2/20)/19),"")</f>
        <v>0</v>
      </c>
      <c r="FU9">
        <f>IFERROR('Fat Spreads'!BE9,"")</f>
        <v>0</v>
      </c>
      <c r="FV9">
        <f>IFERROR(('Fat Spreads'!BF9-AVERAGE('Fat Spreads'!$BF$3:$BF$4308))/STDEV('Fat Spreads'!$BF$3:$BF$4308),"")</f>
        <v>9.2057461789832332E-2</v>
      </c>
      <c r="FW9">
        <f>IFERROR('Fat Spreads'!BF9-'Fat Spreads'!BF14,"")</f>
        <v>0</v>
      </c>
      <c r="FX9">
        <f>IFERROR('Fat Spreads'!BF9-'Fat Spreads'!BF19,"")</f>
        <v>0</v>
      </c>
      <c r="FY9">
        <f>IFERROR(AVERAGE('Fat Spreads'!BF9:BF28)+2*STDEV('Fat Spreads'!BF9:BF28),"")</f>
        <v>0</v>
      </c>
      <c r="FZ9">
        <f>IFERROR(AVERAGE('Fat Spreads'!BF9:BF28)-2*STDEV('Fat Spreads'!BF9:BF28),"")</f>
        <v>0</v>
      </c>
      <c r="GA9" t="str">
        <f>IFERROR(('Fat Spreads'!BF9-(AVERAGE('Fat Spreads'!BF9:BF28)-2*STDEV('Fat Spreads'!BF9:BF28)))/(4*STDEV('Fat Spreads'!BF9:BF28)),"")</f>
        <v/>
      </c>
      <c r="GB9" t="str">
        <f>IFERROR(4*STDEV('Fat Spreads'!BF9:BF28)/AVERAGE('Fat Spreads'!BF9:BF28),"")</f>
        <v/>
      </c>
      <c r="GC9">
        <v>44.017600000000002</v>
      </c>
      <c r="GD9">
        <f>IFERROR(SQRT((SUMSQ('Fat Spreads'!BF9:BF28)-2*SUMPRODUCT('Fat Spreads'!BF9:BF28,'Fat Spreads'!BF10:BF29)+SUMSQ('Fat Spreads'!BF10:BF29)-('Fat Spreads'!BF9-'Fat Spreads'!BF29)^2/20)/19),"")</f>
        <v>0</v>
      </c>
    </row>
    <row r="10" spans="1:186" x14ac:dyDescent="0.25">
      <c r="A10">
        <f>IFERROR('Fat Spreads'!A10,"")</f>
        <v>0</v>
      </c>
      <c r="B10">
        <f>IFERROR(('Fat Spreads'!B10-AVERAGE('Fat Spreads'!$B$3:$B$4308))/STDEV('Fat Spreads'!$B$3:$B$4308),"")</f>
        <v>9.2057461789832346E-2</v>
      </c>
      <c r="C10">
        <f>IFERROR('Fat Spreads'!B10-'Fat Spreads'!B15,"")</f>
        <v>0</v>
      </c>
      <c r="D10">
        <f>IFERROR('Fat Spreads'!B10-'Fat Spreads'!B20,"")</f>
        <v>0</v>
      </c>
      <c r="E10">
        <f>IFERROR(AVERAGE('Fat Spreads'!B10:B29)+2*STDEV('Fat Spreads'!B10:B29),"")</f>
        <v>0</v>
      </c>
      <c r="F10">
        <f>IFERROR(AVERAGE('Fat Spreads'!B10:B29)-2*STDEV('Fat Spreads'!B10:B29),"")</f>
        <v>0</v>
      </c>
      <c r="G10" t="str">
        <f>IFERROR(('Fat Spreads'!B10-(AVERAGE('Fat Spreads'!B10:B29)-2*STDEV('Fat Spreads'!B10:B29)))/(4*STDEV('Fat Spreads'!B10:B29)),"")</f>
        <v/>
      </c>
      <c r="H10" t="str">
        <f>IFERROR(4*STDEV('Fat Spreads'!B10:B29)/AVERAGE('Fat Spreads'!B10:B29),"")</f>
        <v/>
      </c>
      <c r="I10">
        <v>56.2913</v>
      </c>
      <c r="J10">
        <f>IFERROR(SQRT((SUMSQ('Fat Spreads'!B10:B29)-2*SUMPRODUCT('Fat Spreads'!B10:B29,'Fat Spreads'!B11:B30)+SUMSQ('Fat Spreads'!B11:B30)-('Fat Spreads'!B10-'Fat Spreads'!B30)^2/20)/19),"")</f>
        <v>0</v>
      </c>
      <c r="L10">
        <f>IFERROR('Fat Spreads'!H10,"")</f>
        <v>0</v>
      </c>
      <c r="M10">
        <f>IFERROR(('Fat Spreads'!I10-AVERAGE('Fat Spreads'!$I$3:$I$4308))/STDEV('Fat Spreads'!$I$3:$I$4308),"")</f>
        <v>-9.2057461789832332E-2</v>
      </c>
      <c r="N10">
        <f>IFERROR('Fat Spreads'!I10-'Fat Spreads'!I15,"")</f>
        <v>0</v>
      </c>
      <c r="O10">
        <f>IFERROR('Fat Spreads'!I10-'Fat Spreads'!I20,"")</f>
        <v>0</v>
      </c>
      <c r="P10">
        <f>IFERROR(AVERAGE('Fat Spreads'!I10:I29)+2*STDEV('Fat Spreads'!I10:I29),"")</f>
        <v>0</v>
      </c>
      <c r="Q10">
        <f>IFERROR(AVERAGE('Fat Spreads'!I10:I29)-2*STDEV('Fat Spreads'!I10:I29),"")</f>
        <v>0</v>
      </c>
      <c r="R10" t="str">
        <f>IFERROR(('Fat Spreads'!I10-(AVERAGE('Fat Spreads'!I10:I29)-2*STDEV('Fat Spreads'!I10:I29)))/(4*STDEV('Fat Spreads'!I10:I29)),"")</f>
        <v/>
      </c>
      <c r="S10" t="str">
        <f>IFERROR(4*STDEV('Fat Spreads'!I10:I29)/AVERAGE('Fat Spreads'!I10:I29),"")</f>
        <v/>
      </c>
      <c r="T10">
        <v>49.622500000000002</v>
      </c>
      <c r="U10">
        <f>IFERROR(SQRT((SUMSQ('Fat Spreads'!I10:I29)-2*SUMPRODUCT('Fat Spreads'!I10:I29,'Fat Spreads'!I11:I30)+SUMSQ('Fat Spreads'!I11:I30)-('Fat Spreads'!I10-'Fat Spreads'!I30)^2/20)/19),"")</f>
        <v>0</v>
      </c>
      <c r="W10">
        <f>IFERROR('Fat Spreads'!AQ10,"")</f>
        <v>0</v>
      </c>
      <c r="X10">
        <f>IFERROR(('Fat Spreads'!AR10-AVERAGE('Fat Spreads'!$AR$3:$AR$4308))/STDEV('Fat Spreads'!$AR$3:$AR$4308),"")</f>
        <v>-9.2057461789832346E-2</v>
      </c>
      <c r="Y10">
        <f>IFERROR('Fat Spreads'!AR10-'Fat Spreads'!AR15,"")</f>
        <v>0</v>
      </c>
      <c r="Z10">
        <f>IFERROR('Fat Spreads'!AR10-'Fat Spreads'!AR20,"")</f>
        <v>0</v>
      </c>
      <c r="AA10">
        <f>IFERROR(AVERAGE('Fat Spreads'!AR10:AR29)+2*STDEV('Fat Spreads'!AR10:AR29),"")</f>
        <v>0</v>
      </c>
      <c r="AB10">
        <f>IFERROR(AVERAGE('Fat Spreads'!AR10:AR29)-2*STDEV('Fat Spreads'!AR10:AR29),"")</f>
        <v>0</v>
      </c>
      <c r="AC10" t="str">
        <f>IFERROR(('Fat Spreads'!AR10-(AVERAGE('Fat Spreads'!AR10:AR29)-2*STDEV('Fat Spreads'!AR10:AR29)))/(4*STDEV('Fat Spreads'!AR10:AR29)),"")</f>
        <v/>
      </c>
      <c r="AD10" t="str">
        <f>IFERROR(4*STDEV('Fat Spreads'!AR10:AR29)/AVERAGE('Fat Spreads'!AR10:AR29),"")</f>
        <v/>
      </c>
      <c r="AE10">
        <v>54.622599999999998</v>
      </c>
      <c r="AF10">
        <f>IFERROR(SQRT((SUMSQ('Fat Spreads'!AR10:AR29)-2*SUMPRODUCT('Fat Spreads'!AR10:AR29,'Fat Spreads'!AR11:AR30)+SUMSQ('Fat Spreads'!AR11:AR30)-('Fat Spreads'!AR10-'Fat Spreads'!AR30)^2/20)/19),"")</f>
        <v>0</v>
      </c>
      <c r="AH10">
        <f>IFERROR('Fat Spreads'!O10,"")</f>
        <v>0</v>
      </c>
      <c r="AI10">
        <f>IFERROR(('Fat Spreads'!P10-AVERAGE('Fat Spreads'!$P$3:$P$4308))/STDEV('Fat Spreads'!$P$3:$P$4308),"")</f>
        <v>-9.2057461789832332E-2</v>
      </c>
      <c r="AJ10">
        <f>IFERROR('Fat Spreads'!P10-'Fat Spreads'!P15,"")</f>
        <v>0</v>
      </c>
      <c r="AK10">
        <f>IFERROR('Fat Spreads'!P10-'Fat Spreads'!P20,"")</f>
        <v>0</v>
      </c>
      <c r="AL10">
        <f>IFERROR(AVERAGE('Fat Spreads'!P10:P29)+2*STDEV('Fat Spreads'!P10:P29),"")</f>
        <v>0</v>
      </c>
      <c r="AM10">
        <f>IFERROR(AVERAGE('Fat Spreads'!P10:P29)-2*STDEV('Fat Spreads'!P10:P29),"")</f>
        <v>0</v>
      </c>
      <c r="AN10" t="str">
        <f>IFERROR(('Fat Spreads'!P10-(AVERAGE('Fat Spreads'!P10:P29)-2*STDEV('Fat Spreads'!P10:P29)))/(4*STDEV('Fat Spreads'!P10:P29)),"")</f>
        <v/>
      </c>
      <c r="AO10" t="str">
        <f>IFERROR(4*STDEV('Fat Spreads'!P10:P29)/AVERAGE('Fat Spreads'!P10:P29),"")</f>
        <v/>
      </c>
      <c r="AP10">
        <v>55.685299999999998</v>
      </c>
      <c r="AQ10">
        <f>IFERROR(SQRT((SUMSQ('Fat Spreads'!P10:P29)-2*SUMPRODUCT('Fat Spreads'!P10:P29,'Fat Spreads'!P11:P30)+SUMSQ('Fat Spreads'!P11:P30)-('Fat Spreads'!P10-'Fat Spreads'!P30)^2/20)/19),"")</f>
        <v>0</v>
      </c>
      <c r="AS10">
        <f>IFERROR('Fat Spreads'!AJ10,"")</f>
        <v>0</v>
      </c>
      <c r="AT10">
        <f>IFERROR(('Fat Spreads'!AK10-AVERAGE('Fat Spreads'!$AK$3:$AK$4308))/STDEV('Fat Spreads'!$AK$3:$AK$4308),"")</f>
        <v>-9.2057461789832332E-2</v>
      </c>
      <c r="AU10">
        <f>IFERROR('Fat Spreads'!AK10-'Fat Spreads'!AK15,"")</f>
        <v>0</v>
      </c>
      <c r="AV10">
        <f>IFERROR('Fat Spreads'!AK10-'Fat Spreads'!AK20,"")</f>
        <v>0</v>
      </c>
      <c r="AW10">
        <f>IFERROR(AVERAGE('Fat Spreads'!AK10:AK29)+2*STDEV('Fat Spreads'!AK10:AK29),"")</f>
        <v>0</v>
      </c>
      <c r="AX10">
        <f>IFERROR(AVERAGE('Fat Spreads'!AK10:AK29)-2*STDEV('Fat Spreads'!AK10:AK29),"")</f>
        <v>0</v>
      </c>
      <c r="AY10" t="str">
        <f>IFERROR(('Fat Spreads'!AK10-(AVERAGE('Fat Spreads'!AK10:AK29)-2*STDEV('Fat Spreads'!AK10:AK29)))/(4*STDEV('Fat Spreads'!AK10:AK29)),"")</f>
        <v/>
      </c>
      <c r="AZ10" t="str">
        <f>IFERROR(4*STDEV('Fat Spreads'!AK10:AK29)/AVERAGE('Fat Spreads'!AK10:AK29),"")</f>
        <v/>
      </c>
      <c r="BA10">
        <v>40.560400000000001</v>
      </c>
      <c r="BB10">
        <f>IFERROR(SQRT((SUMSQ('Fat Spreads'!AK10:AK29)-2*SUMPRODUCT('Fat Spreads'!AK10:AK29,'Fat Spreads'!AK11:AK30)+SUMSQ('Fat Spreads'!AK11:AK30)-('Fat Spreads'!AK10-'Fat Spreads'!AK30)^2/20)/19),"")</f>
        <v>0</v>
      </c>
      <c r="BD10">
        <f>IFERROR('Fat Spreads'!V10,"")</f>
        <v>0</v>
      </c>
      <c r="BE10">
        <f>IFERROR(('Fat Spreads'!W10-AVERAGE('Fat Spreads'!$W$3:$W$4308))/STDEV('Fat Spreads'!$W$3:$W$4308),"")</f>
        <v>-9.2057461789832332E-2</v>
      </c>
      <c r="BF10">
        <f>IFERROR('Fat Spreads'!W10-'Fat Spreads'!W15,"")</f>
        <v>0</v>
      </c>
      <c r="BG10">
        <f>IFERROR('Fat Spreads'!W10-'Fat Spreads'!W20,"")</f>
        <v>0</v>
      </c>
      <c r="BH10">
        <f>IFERROR(AVERAGE('Fat Spreads'!W10:W29)+2*STDEV('Fat Spreads'!W10:W29),"")</f>
        <v>0</v>
      </c>
      <c r="BI10">
        <f>IFERROR(AVERAGE('Fat Spreads'!W10:W29)-2*STDEV('Fat Spreads'!W10:W29),"")</f>
        <v>0</v>
      </c>
      <c r="BJ10" t="str">
        <f>IFERROR(('Fat Spreads'!W10-(AVERAGE('Fat Spreads'!W10:W29)-2*STDEV('Fat Spreads'!W10:W29)))/(4*STDEV('Fat Spreads'!W10:W29)),"")</f>
        <v/>
      </c>
      <c r="BK10" t="str">
        <f>IFERROR(4*STDEV('Fat Spreads'!W10:W29)/AVERAGE('Fat Spreads'!W10:W29),"")</f>
        <v/>
      </c>
      <c r="BL10">
        <v>51.027099999999997</v>
      </c>
      <c r="BM10">
        <f>IFERROR(SQRT((SUMSQ('Fat Spreads'!W10:W29)-2*SUMPRODUCT('Fat Spreads'!W10:W29,'Fat Spreads'!W11:W30)+SUMSQ('Fat Spreads'!W11:W30)-('Fat Spreads'!W10-'Fat Spreads'!W30)^2/20)/19),"")</f>
        <v>0</v>
      </c>
      <c r="BO10">
        <f>IFERROR('Fat Spreads'!AC10,"")</f>
        <v>0</v>
      </c>
      <c r="BP10">
        <f>IFERROR(('Fat Spreads'!AD10-AVERAGE('Fat Spreads'!$AD$3:$AD$4308))/STDEV('Fat Spreads'!$AD$3:$AD$4308),"")</f>
        <v>-9.2057461789832332E-2</v>
      </c>
      <c r="BQ10">
        <f>IFERROR('Fat Spreads'!AD10-'Fat Spreads'!AD15,"")</f>
        <v>0</v>
      </c>
      <c r="BR10">
        <f>IFERROR('Fat Spreads'!AD10-'Fat Spreads'!AD20,"")</f>
        <v>0</v>
      </c>
      <c r="BS10">
        <f>IFERROR(AVERAGE('Fat Spreads'!AD10:AD29)+2*STDEV('Fat Spreads'!AD10:AD29),"")</f>
        <v>0</v>
      </c>
      <c r="BT10">
        <f>IFERROR(AVERAGE('Fat Spreads'!AD10:AD29)-2*STDEV('Fat Spreads'!AD10:AD29),"")</f>
        <v>0</v>
      </c>
      <c r="BU10" t="str">
        <f>IFERROR(('Fat Spreads'!AD10-(AVERAGE('Fat Spreads'!AD10:AD29)-2*STDEV('Fat Spreads'!AD10:AD29)))/(4*STDEV('Fat Spreads'!AD10:AD29)),"")</f>
        <v/>
      </c>
      <c r="BV10" t="str">
        <f>IFERROR(4*STDEV('Fat Spreads'!AD10:AD29)/AVERAGE('Fat Spreads'!AD10:AD29),"")</f>
        <v/>
      </c>
      <c r="BW10">
        <v>56.9758</v>
      </c>
      <c r="BX10">
        <f>IFERROR(SQRT((SUMSQ('Fat Spreads'!AD10:AD29)-2*SUMPRODUCT('Fat Spreads'!AD10:AD29,'Fat Spreads'!AD11:AD30)+SUMSQ('Fat Spreads'!AD11:AD30)-('Fat Spreads'!AD10-'Fat Spreads'!AD30)^2/20)/19),"")</f>
        <v>0</v>
      </c>
      <c r="BZ10">
        <f>IFERROR('Feeder Spreads'!A10,"")</f>
        <v>0</v>
      </c>
      <c r="CA10">
        <f>IFERROR(('Feeder Spreads'!B10-AVERAGE('Feeder Spreads'!$B$3:$B$4308))/STDEV('Feeder Spreads'!$B$3:$B$4308),"")</f>
        <v>-9.2057461789832346E-2</v>
      </c>
      <c r="CB10">
        <f>IFERROR('Feeder Spreads'!B10-'Feeder Spreads'!B15,"")</f>
        <v>0</v>
      </c>
      <c r="CC10">
        <f>IFERROR('Feeder Spreads'!B10-'Feeder Spreads'!B20,"")</f>
        <v>0</v>
      </c>
      <c r="CD10">
        <f>IFERROR(AVERAGE('Feeder Spreads'!B10:B29)+2*STDEV('Feeder Spreads'!B10:B29),"")</f>
        <v>0</v>
      </c>
      <c r="CE10">
        <f>IFERROR(AVERAGE('Feeder Spreads'!B10:B29)-2*STDEV('Feeder Spreads'!B10:B29),"")</f>
        <v>0</v>
      </c>
      <c r="CF10" t="str">
        <f>IFERROR(('Feeder Spreads'!B10-(AVERAGE('Feeder Spreads'!B10:B29)-2*STDEV('Feeder Spreads'!B10:B29)))/(4*STDEV('Feeder Spreads'!B10:B29)),"")</f>
        <v/>
      </c>
      <c r="CG10" t="str">
        <f>IFERROR(4*STDEV('Feeder Spreads'!B10:B29)/AVERAGE('Feeder Spreads'!B10:B29),"")</f>
        <v/>
      </c>
      <c r="CH10">
        <v>62.121299999999998</v>
      </c>
      <c r="CI10">
        <f>IFERROR(SQRT((SUMSQ('Feeder Spreads'!B10:B29)-2*SUMPRODUCT('Feeder Spreads'!B10:B29,'Feeder Spreads'!B11:B30)+SUMSQ('Feeder Spreads'!B11:B30)-('Feeder Spreads'!B10-'Feeder Spreads'!B30)^2/20)/19),"")</f>
        <v>0</v>
      </c>
      <c r="CK10">
        <f>IFERROR('Feeder Spreads'!AX10,"")</f>
        <v>0</v>
      </c>
      <c r="CL10">
        <f>IFERROR(('Feeder Spreads'!AY10-AVERAGE('Feeder Spreads'!$AY$3:$AY$4308))/STDEV('Feeder Spreads'!$AY$3:$AY$4308),"")</f>
        <v>-9.2057461789832346E-2</v>
      </c>
      <c r="CM10">
        <f>IFERROR('Feeder Spreads'!AY10-'Feeder Spreads'!AY15,"")</f>
        <v>0</v>
      </c>
      <c r="CN10">
        <f>IFERROR('Feeder Spreads'!AY10-'Feeder Spreads'!AY20,"")</f>
        <v>0</v>
      </c>
      <c r="CO10">
        <f>IFERROR(AVERAGE('Feeder Spreads'!AY10:AY29)+2*STDEV('Feeder Spreads'!AY10:AY29),"")</f>
        <v>0</v>
      </c>
      <c r="CP10">
        <f>IFERROR(AVERAGE('Feeder Spreads'!AY10:AY29)-2*STDEV('Feeder Spreads'!AY10:AY29),"")</f>
        <v>0</v>
      </c>
      <c r="CQ10" t="str">
        <f>IFERROR(('Feeder Spreads'!AY10-(AVERAGE('Feeder Spreads'!AY10:AY29)-2*STDEV('Feeder Spreads'!AY10:AY29)))/(4*STDEV('Feeder Spreads'!AY10:AY29)),"")</f>
        <v/>
      </c>
      <c r="CR10" t="str">
        <f>IFERROR(4*STDEV('Feeder Spreads'!AY10:AY29)/AVERAGE('Feeder Spreads'!AY10:AY29),"")</f>
        <v/>
      </c>
      <c r="CS10">
        <v>44.038600000000002</v>
      </c>
      <c r="CT10">
        <f>IFERROR(SQRT((SUMSQ('Feeder Spreads'!AY10:AY29)-2*SUMPRODUCT('Feeder Spreads'!AY10:AY29,'Feeder Spreads'!AY11:AY30)+SUMSQ('Feeder Spreads'!AY11:AY30)-('Feeder Spreads'!AY10-'Feeder Spreads'!AY30)^2/20)/19),"")</f>
        <v>0</v>
      </c>
      <c r="CV10">
        <f>IFERROR('Feeder Spreads'!H10,"")</f>
        <v>0</v>
      </c>
      <c r="CW10">
        <f>IFERROR(('Feeder Spreads'!I10-AVERAGE('Feeder Spreads'!$I$3:$I$4308))/STDEV('Feeder Spreads'!$I$3:$I$4308),"")</f>
        <v>-9.2057461789832332E-2</v>
      </c>
      <c r="CX10">
        <f>IFERROR('Feeder Spreads'!I10-'Feeder Spreads'!I15,"")</f>
        <v>0</v>
      </c>
      <c r="CY10">
        <f>IFERROR('Feeder Spreads'!I10-'Feeder Spreads'!I20,"")</f>
        <v>0</v>
      </c>
      <c r="CZ10">
        <f>IFERROR(AVERAGE('Feeder Spreads'!I10:I29)+2*STDEV('Feeder Spreads'!I10:I29),"")</f>
        <v>0</v>
      </c>
      <c r="DA10">
        <f>IFERROR(AVERAGE('Feeder Spreads'!I10:I29)-2*STDEV('Feeder Spreads'!I10:I29),"")</f>
        <v>0</v>
      </c>
      <c r="DB10" t="str">
        <f>IFERROR(('Feeder Spreads'!I10-(AVERAGE('Feeder Spreads'!I10:I29)-2*STDEV('Feeder Spreads'!I10:I29)))/(4*STDEV('Feeder Spreads'!I10:I29)),"")</f>
        <v/>
      </c>
      <c r="DC10" t="str">
        <f>IFERROR(4*STDEV('Feeder Spreads'!I10:I29)/AVERAGE('Feeder Spreads'!I10:I29),"")</f>
        <v/>
      </c>
      <c r="DD10">
        <v>40.136800000000001</v>
      </c>
      <c r="DE10">
        <f>IFERROR(SQRT((SUMSQ('Feeder Spreads'!I10:I29)-2*SUMPRODUCT('Feeder Spreads'!I10:I29,'Feeder Spreads'!I11:I30)+SUMSQ('Feeder Spreads'!I11:I30)-('Feeder Spreads'!I10-'Feeder Spreads'!I30)^2/20)/19),"")</f>
        <v>0</v>
      </c>
      <c r="DG10">
        <f>IFERROR('Feeder Spreads'!O10,"")</f>
        <v>0</v>
      </c>
      <c r="DH10">
        <f>IFERROR(('Feeder Spreads'!P10-AVERAGE('Feeder Spreads'!$P$3:$P$4308))/STDEV('Feeder Spreads'!$P$3:$P$4308),"")</f>
        <v>-9.2057461789832346E-2</v>
      </c>
      <c r="DI10">
        <f>IFERROR('Feeder Spreads'!P10-'Feeder Spreads'!P15,"")</f>
        <v>0</v>
      </c>
      <c r="DJ10">
        <f>IFERROR('Feeder Spreads'!P10-'Feeder Spreads'!P20,"")</f>
        <v>0</v>
      </c>
      <c r="DK10">
        <f>IFERROR(AVERAGE('Feeder Spreads'!P10:P29)+2*STDEV('Feeder Spreads'!P10:P29),"")</f>
        <v>0</v>
      </c>
      <c r="DL10">
        <f>IFERROR(AVERAGE('Feeder Spreads'!P10:P29)-2*STDEV('Feeder Spreads'!P10:P29),"")</f>
        <v>0</v>
      </c>
      <c r="DM10" t="str">
        <f>IFERROR(('Feeder Spreads'!P10-(AVERAGE('Feeder Spreads'!P10:P29)-2*STDEV('Feeder Spreads'!P10:P29)))/(4*STDEV('Feeder Spreads'!P10:P29)),"")</f>
        <v/>
      </c>
      <c r="DN10" t="str">
        <f>IFERROR(4*STDEV('Feeder Spreads'!P10:P29)/AVERAGE('Feeder Spreads'!P10:P29),"")</f>
        <v/>
      </c>
      <c r="DO10">
        <v>43.497300000000003</v>
      </c>
      <c r="DP10">
        <f>IFERROR(SQRT((SUMSQ('Feeder Spreads'!P10:P29)-2*SUMPRODUCT('Feeder Spreads'!P10:P29,'Feeder Spreads'!P11:P30)+SUMSQ('Feeder Spreads'!P11:P30)-('Feeder Spreads'!P10-'Feeder Spreads'!P30)^2/20)/19),"")</f>
        <v>0</v>
      </c>
      <c r="DR10">
        <f>IFERROR('Feeder Spreads'!V10,"")</f>
        <v>0</v>
      </c>
      <c r="DS10">
        <f>IFERROR(('Feeder Spreads'!W10-AVERAGE('Feeder Spreads'!$W$3:$W$4308))/STDEV('Feeder Spreads'!$W$3:$W$4308),"")</f>
        <v>-9.2057461789832332E-2</v>
      </c>
      <c r="DT10">
        <f>IFERROR('Feeder Spreads'!W10-'Feeder Spreads'!W15,"")</f>
        <v>0</v>
      </c>
      <c r="DU10">
        <f>IFERROR('Feeder Spreads'!W10-'Feeder Spreads'!W20,"")</f>
        <v>0</v>
      </c>
      <c r="DV10">
        <f>IFERROR(AVERAGE('Feeder Spreads'!W10:W29)+2*STDEV('Feeder Spreads'!W10:W29),"")</f>
        <v>0</v>
      </c>
      <c r="DW10">
        <f>IFERROR(AVERAGE('Feeder Spreads'!W10:W29)-2*STDEV('Feeder Spreads'!W10:W29),"")</f>
        <v>0</v>
      </c>
      <c r="DX10" t="str">
        <f>IFERROR(('Feeder Spreads'!W10-(AVERAGE('Feeder Spreads'!W10:W29)-2*STDEV('Feeder Spreads'!W10:W29)))/(4*STDEV('Feeder Spreads'!W10:W29)),"")</f>
        <v/>
      </c>
      <c r="DY10" t="str">
        <f>IFERROR(4*STDEV('Feeder Spreads'!W10:W29)/AVERAGE('Feeder Spreads'!W10:W29),"")</f>
        <v/>
      </c>
      <c r="DZ10">
        <v>26.471499999999999</v>
      </c>
      <c r="EA10">
        <f>IFERROR(SQRT((SUMSQ('Feeder Spreads'!W10:W29)-2*SUMPRODUCT('Feeder Spreads'!W10:W29,'Feeder Spreads'!W11:W30)+SUMSQ('Feeder Spreads'!W11:W30)-('Feeder Spreads'!W10-'Feeder Spreads'!W30)^2/20)/19),"")</f>
        <v>0</v>
      </c>
      <c r="EC10">
        <f>IFERROR('Feeder Spreads'!AC10,"")</f>
        <v>0</v>
      </c>
      <c r="ED10">
        <f>IFERROR(('Feeder Spreads'!AD10-AVERAGE('Feeder Spreads'!$AD$3:$AD$4308))/STDEV('Feeder Spreads'!$AD$3:$AD$4308),"")</f>
        <v>9.2057461789832318E-2</v>
      </c>
      <c r="EE10">
        <f>IFERROR('Feeder Spreads'!AD10-'Feeder Spreads'!AD15,"")</f>
        <v>0</v>
      </c>
      <c r="EF10">
        <f>IFERROR('Feeder Spreads'!AD10-'Feeder Spreads'!AD20,"")</f>
        <v>0</v>
      </c>
      <c r="EG10">
        <f>IFERROR(AVERAGE('Feeder Spreads'!AD10:AD29)+2*STDEV('Feeder Spreads'!AD10:AD29),"")</f>
        <v>0</v>
      </c>
      <c r="EH10">
        <f>IFERROR(AVERAGE('Feeder Spreads'!AD10:AD29)-2*STDEV('Feeder Spreads'!AD10:AD29),"")</f>
        <v>0</v>
      </c>
      <c r="EI10" t="str">
        <f>IFERROR(('Feeder Spreads'!AD10-(AVERAGE('Feeder Spreads'!AD10:AD29)-2*STDEV('Feeder Spreads'!AD10:AD29)))/(4*STDEV('Feeder Spreads'!AD10:AD29)),"")</f>
        <v/>
      </c>
      <c r="EJ10" t="str">
        <f>IFERROR(4*STDEV('Feeder Spreads'!AD10:AD29)/AVERAGE('Feeder Spreads'!AD10:AD29),"")</f>
        <v/>
      </c>
      <c r="EK10">
        <v>51.891399999999997</v>
      </c>
      <c r="EL10">
        <f>IFERROR(SQRT((SUMSQ('Feeder Spreads'!AD10:AD29)-2*SUMPRODUCT('Feeder Spreads'!AD10:AD29,'Feeder Spreads'!AD11:AD30)+SUMSQ('Feeder Spreads'!AD11:AD30)-('Feeder Spreads'!AD10-'Feeder Spreads'!AD30)^2/20)/19),"")</f>
        <v>0</v>
      </c>
      <c r="EN10">
        <f>IFERROR('Feeder Spreads'!AJ10,"")</f>
        <v>0</v>
      </c>
      <c r="EO10">
        <f>IFERROR(('Feeder Spreads'!AK10-AVERAGE('Feeder Spreads'!$AK$3:$AK$4308))/STDEV('Feeder Spreads'!$AK$3:$AK$4308),"")</f>
        <v>-9.2057461789832346E-2</v>
      </c>
      <c r="EP10">
        <f>IFERROR('Feeder Spreads'!AK10-'Feeder Spreads'!AK15,"")</f>
        <v>0</v>
      </c>
      <c r="EQ10">
        <f>IFERROR('Feeder Spreads'!AK10-'Feeder Spreads'!AK20,"")</f>
        <v>0</v>
      </c>
      <c r="ER10">
        <f>IFERROR(AVERAGE('Feeder Spreads'!AK10:AK29)+2*STDEV('Feeder Spreads'!AK10:AK29),"")</f>
        <v>0</v>
      </c>
      <c r="ES10">
        <f>IFERROR(AVERAGE('Feeder Spreads'!AK10:AK29)-2*STDEV('Feeder Spreads'!AK10:AK29),"")</f>
        <v>0</v>
      </c>
      <c r="ET10" t="str">
        <f>IFERROR(('Feeder Spreads'!AK10-(AVERAGE('Feeder Spreads'!AK10:AK29)-2*STDEV('Feeder Spreads'!AK10:AK29)))/(4*STDEV('Feeder Spreads'!AK10:AK29)),"")</f>
        <v/>
      </c>
      <c r="EU10" t="str">
        <f>IFERROR(4*STDEV('Feeder Spreads'!AK10:AK29)/AVERAGE('Feeder Spreads'!AK10:AK29),"")</f>
        <v/>
      </c>
      <c r="EV10">
        <v>51.443600000000004</v>
      </c>
      <c r="EW10">
        <f>IFERROR(SQRT((SUMSQ('Feeder Spreads'!AK10:AK29)-2*SUMPRODUCT('Feeder Spreads'!AK10:AK29,'Feeder Spreads'!AK11:AK30)+SUMSQ('Feeder Spreads'!AK11:AK30)-('Feeder Spreads'!AK10-'Feeder Spreads'!AK30)^2/20)/19),"")</f>
        <v>0</v>
      </c>
      <c r="EY10">
        <f>IFERROR('Feeder Spreads'!AQ10,"")</f>
        <v>0</v>
      </c>
      <c r="EZ10">
        <f>IFERROR(('Feeder Spreads'!AR10-AVERAGE('Feeder Spreads'!$AR$3:$AR$4308))/STDEV('Feeder Spreads'!$AR$3:$AR$4308),"")</f>
        <v>-9.2057461789832332E-2</v>
      </c>
      <c r="FA10">
        <f>IFERROR('Feeder Spreads'!AR10-'Feeder Spreads'!AR15,"")</f>
        <v>0</v>
      </c>
      <c r="FB10">
        <f>IFERROR('Feeder Spreads'!AR10-'Feeder Spreads'!AR20,"")</f>
        <v>0</v>
      </c>
      <c r="FC10">
        <f>IFERROR(AVERAGE('Feeder Spreads'!AR10:AR29)+2*STDEV('Feeder Spreads'!AR10:AR29),"")</f>
        <v>0</v>
      </c>
      <c r="FD10">
        <f>IFERROR(AVERAGE('Feeder Spreads'!AR10:AR29)-2*STDEV('Feeder Spreads'!AR10:AR29),"")</f>
        <v>0</v>
      </c>
      <c r="FE10" t="str">
        <f>IFERROR(('Feeder Spreads'!AR10-(AVERAGE('Feeder Spreads'!AR10:AR29)-2*STDEV('Feeder Spreads'!AR10:AR29)))/(4*STDEV('Feeder Spreads'!AR10:AR29)),"")</f>
        <v/>
      </c>
      <c r="FF10" t="str">
        <f>IFERROR(4*STDEV('Feeder Spreads'!AR10:AR29)/AVERAGE('Feeder Spreads'!AR10:AR29),"")</f>
        <v/>
      </c>
      <c r="FG10">
        <v>46.160200000000003</v>
      </c>
      <c r="FH10">
        <f>IFERROR(SQRT((SUMSQ('Feeder Spreads'!AR10:AR29)-2*SUMPRODUCT('Feeder Spreads'!AR10:AR29,'Feeder Spreads'!AR11:AR30)+SUMSQ('Feeder Spreads'!AR11:AR30)-('Feeder Spreads'!AR10-'Feeder Spreads'!AR30)^2/20)/19),"")</f>
        <v>0</v>
      </c>
      <c r="FJ10">
        <f>IFERROR('Fat Spreads'!AX10,"")</f>
        <v>0</v>
      </c>
      <c r="FK10">
        <f>IFERROR(('Fat Spreads'!AY10-AVERAGE('Fat Spreads'!$AY$3:$AY$4308))/STDEV('Fat Spreads'!$AY$3:$AY$4308),"")</f>
        <v>9.2057461789832332E-2</v>
      </c>
      <c r="FL10">
        <f>IFERROR('Fat Spreads'!AY10-'Fat Spreads'!AY15,"")</f>
        <v>0</v>
      </c>
      <c r="FM10">
        <f>IFERROR('Fat Spreads'!AY10-'Fat Spreads'!AY20,"")</f>
        <v>0</v>
      </c>
      <c r="FN10">
        <f>IFERROR(AVERAGE('Fat Spreads'!AY10:AY29)+2*STDEV('Fat Spreads'!AY10:AY29),"")</f>
        <v>0</v>
      </c>
      <c r="FO10">
        <f>IFERROR(AVERAGE('Fat Spreads'!AY10:AY29)-2*STDEV('Fat Spreads'!AY10:AY29),"")</f>
        <v>0</v>
      </c>
      <c r="FP10" t="str">
        <f>IFERROR(('Fat Spreads'!AY10-(AVERAGE('Fat Spreads'!AY10:AY29)-2*STDEV('Fat Spreads'!AY10:AY29)))/(4*STDEV('Fat Spreads'!AY10:AY29)),"")</f>
        <v/>
      </c>
      <c r="FQ10" t="str">
        <f>IFERROR(4*STDEV('Fat Spreads'!AY10:AY29)/AVERAGE('Fat Spreads'!AY10:AY29),"")</f>
        <v/>
      </c>
      <c r="FR10">
        <v>45.240400000000001</v>
      </c>
      <c r="FS10">
        <f>IFERROR(SQRT((SUMSQ('Fat Spreads'!AY10:AY29)-2*SUMPRODUCT('Fat Spreads'!AY10:AY29,'Fat Spreads'!AY11:AY30)+SUMSQ('Fat Spreads'!AY11:AY30)-('Fat Spreads'!AY10-'Fat Spreads'!AY30)^2/20)/19),"")</f>
        <v>0</v>
      </c>
      <c r="FU10">
        <f>IFERROR('Fat Spreads'!BE10,"")</f>
        <v>0</v>
      </c>
      <c r="FV10">
        <f>IFERROR(('Fat Spreads'!BF10-AVERAGE('Fat Spreads'!$BF$3:$BF$4308))/STDEV('Fat Spreads'!$BF$3:$BF$4308),"")</f>
        <v>9.2057461789832332E-2</v>
      </c>
      <c r="FW10">
        <f>IFERROR('Fat Spreads'!BF10-'Fat Spreads'!BF15,"")</f>
        <v>0</v>
      </c>
      <c r="FX10">
        <f>IFERROR('Fat Spreads'!BF10-'Fat Spreads'!BF20,"")</f>
        <v>0</v>
      </c>
      <c r="FY10">
        <f>IFERROR(AVERAGE('Fat Spreads'!BF10:BF29)+2*STDEV('Fat Spreads'!BF10:BF29),"")</f>
        <v>0</v>
      </c>
      <c r="FZ10">
        <f>IFERROR(AVERAGE('Fat Spreads'!BF10:BF29)-2*STDEV('Fat Spreads'!BF10:BF29),"")</f>
        <v>0</v>
      </c>
      <c r="GA10" t="str">
        <f>IFERROR(('Fat Spreads'!BF10-(AVERAGE('Fat Spreads'!BF10:BF29)-2*STDEV('Fat Spreads'!BF10:BF29)))/(4*STDEV('Fat Spreads'!BF10:BF29)),"")</f>
        <v/>
      </c>
      <c r="GB10" t="str">
        <f>IFERROR(4*STDEV('Fat Spreads'!BF10:BF29)/AVERAGE('Fat Spreads'!BF10:BF29),"")</f>
        <v/>
      </c>
      <c r="GC10">
        <v>55.932299999999998</v>
      </c>
      <c r="GD10">
        <f>IFERROR(SQRT((SUMSQ('Fat Spreads'!BF10:BF29)-2*SUMPRODUCT('Fat Spreads'!BF10:BF29,'Fat Spreads'!BF11:BF30)+SUMSQ('Fat Spreads'!BF11:BF30)-('Fat Spreads'!BF10-'Fat Spreads'!BF30)^2/20)/19),"")</f>
        <v>0</v>
      </c>
    </row>
    <row r="11" spans="1:186" x14ac:dyDescent="0.25">
      <c r="A11">
        <f>IFERROR('Fat Spreads'!A11,"")</f>
        <v>0</v>
      </c>
      <c r="B11">
        <f>IFERROR(('Fat Spreads'!B11-AVERAGE('Fat Spreads'!$B$3:$B$4308))/STDEV('Fat Spreads'!$B$3:$B$4308),"")</f>
        <v>9.2057461789832346E-2</v>
      </c>
      <c r="C11">
        <f>IFERROR('Fat Spreads'!B11-'Fat Spreads'!B16,"")</f>
        <v>0</v>
      </c>
      <c r="D11">
        <f>IFERROR('Fat Spreads'!B11-'Fat Spreads'!B21,"")</f>
        <v>0</v>
      </c>
      <c r="E11">
        <f>IFERROR(AVERAGE('Fat Spreads'!B11:B30)+2*STDEV('Fat Spreads'!B11:B30),"")</f>
        <v>0</v>
      </c>
      <c r="F11">
        <f>IFERROR(AVERAGE('Fat Spreads'!B11:B30)-2*STDEV('Fat Spreads'!B11:B30),"")</f>
        <v>0</v>
      </c>
      <c r="G11" t="str">
        <f>IFERROR(('Fat Spreads'!B11-(AVERAGE('Fat Spreads'!B11:B30)-2*STDEV('Fat Spreads'!B11:B30)))/(4*STDEV('Fat Spreads'!B11:B30)),"")</f>
        <v/>
      </c>
      <c r="H11" t="str">
        <f>IFERROR(4*STDEV('Fat Spreads'!B11:B30)/AVERAGE('Fat Spreads'!B11:B30),"")</f>
        <v/>
      </c>
      <c r="I11">
        <v>61.185899999999997</v>
      </c>
      <c r="J11">
        <f>IFERROR(SQRT((SUMSQ('Fat Spreads'!B11:B30)-2*SUMPRODUCT('Fat Spreads'!B11:B30,'Fat Spreads'!B12:B31)+SUMSQ('Fat Spreads'!B12:B31)-('Fat Spreads'!B11-'Fat Spreads'!B31)^2/20)/19),"")</f>
        <v>0</v>
      </c>
      <c r="L11">
        <f>IFERROR('Fat Spreads'!H11,"")</f>
        <v>0</v>
      </c>
      <c r="M11">
        <f>IFERROR(('Fat Spreads'!I11-AVERAGE('Fat Spreads'!$I$3:$I$4308))/STDEV('Fat Spreads'!$I$3:$I$4308),"")</f>
        <v>-9.2057461789832332E-2</v>
      </c>
      <c r="N11">
        <f>IFERROR('Fat Spreads'!I11-'Fat Spreads'!I16,"")</f>
        <v>0</v>
      </c>
      <c r="O11">
        <f>IFERROR('Fat Spreads'!I11-'Fat Spreads'!I21,"")</f>
        <v>0</v>
      </c>
      <c r="P11">
        <f>IFERROR(AVERAGE('Fat Spreads'!I11:I30)+2*STDEV('Fat Spreads'!I11:I30),"")</f>
        <v>0</v>
      </c>
      <c r="Q11">
        <f>IFERROR(AVERAGE('Fat Spreads'!I11:I30)-2*STDEV('Fat Spreads'!I11:I30),"")</f>
        <v>0</v>
      </c>
      <c r="R11" t="str">
        <f>IFERROR(('Fat Spreads'!I11-(AVERAGE('Fat Spreads'!I11:I30)-2*STDEV('Fat Spreads'!I11:I30)))/(4*STDEV('Fat Spreads'!I11:I30)),"")</f>
        <v/>
      </c>
      <c r="S11" t="str">
        <f>IFERROR(4*STDEV('Fat Spreads'!I11:I30)/AVERAGE('Fat Spreads'!I11:I30),"")</f>
        <v/>
      </c>
      <c r="T11">
        <v>46.718699999999998</v>
      </c>
      <c r="U11">
        <f>IFERROR(SQRT((SUMSQ('Fat Spreads'!I11:I30)-2*SUMPRODUCT('Fat Spreads'!I11:I30,'Fat Spreads'!I12:I31)+SUMSQ('Fat Spreads'!I12:I31)-('Fat Spreads'!I11-'Fat Spreads'!I31)^2/20)/19),"")</f>
        <v>0</v>
      </c>
      <c r="W11">
        <f>IFERROR('Fat Spreads'!AQ11,"")</f>
        <v>0</v>
      </c>
      <c r="X11">
        <f>IFERROR(('Fat Spreads'!AR11-AVERAGE('Fat Spreads'!$AR$3:$AR$4308))/STDEV('Fat Spreads'!$AR$3:$AR$4308),"")</f>
        <v>-9.2057461789832346E-2</v>
      </c>
      <c r="Y11">
        <f>IFERROR('Fat Spreads'!AR11-'Fat Spreads'!AR16,"")</f>
        <v>0</v>
      </c>
      <c r="Z11">
        <f>IFERROR('Fat Spreads'!AR11-'Fat Spreads'!AR21,"")</f>
        <v>0</v>
      </c>
      <c r="AA11">
        <f>IFERROR(AVERAGE('Fat Spreads'!AR11:AR30)+2*STDEV('Fat Spreads'!AR11:AR30),"")</f>
        <v>0</v>
      </c>
      <c r="AB11">
        <f>IFERROR(AVERAGE('Fat Spreads'!AR11:AR30)-2*STDEV('Fat Spreads'!AR11:AR30),"")</f>
        <v>0</v>
      </c>
      <c r="AC11" t="str">
        <f>IFERROR(('Fat Spreads'!AR11-(AVERAGE('Fat Spreads'!AR11:AR30)-2*STDEV('Fat Spreads'!AR11:AR30)))/(4*STDEV('Fat Spreads'!AR11:AR30)),"")</f>
        <v/>
      </c>
      <c r="AD11" t="str">
        <f>IFERROR(4*STDEV('Fat Spreads'!AR11:AR30)/AVERAGE('Fat Spreads'!AR11:AR30),"")</f>
        <v/>
      </c>
      <c r="AE11">
        <v>57.505299999999998</v>
      </c>
      <c r="AF11">
        <f>IFERROR(SQRT((SUMSQ('Fat Spreads'!AR11:AR30)-2*SUMPRODUCT('Fat Spreads'!AR11:AR30,'Fat Spreads'!AR12:AR31)+SUMSQ('Fat Spreads'!AR12:AR31)-('Fat Spreads'!AR11-'Fat Spreads'!AR31)^2/20)/19),"")</f>
        <v>0</v>
      </c>
      <c r="AH11">
        <f>IFERROR('Fat Spreads'!O11,"")</f>
        <v>0</v>
      </c>
      <c r="AI11">
        <f>IFERROR(('Fat Spreads'!P11-AVERAGE('Fat Spreads'!$P$3:$P$4308))/STDEV('Fat Spreads'!$P$3:$P$4308),"")</f>
        <v>-9.2057461789832332E-2</v>
      </c>
      <c r="AJ11">
        <f>IFERROR('Fat Spreads'!P11-'Fat Spreads'!P16,"")</f>
        <v>0</v>
      </c>
      <c r="AK11">
        <f>IFERROR('Fat Spreads'!P11-'Fat Spreads'!P21,"")</f>
        <v>0</v>
      </c>
      <c r="AL11">
        <f>IFERROR(AVERAGE('Fat Spreads'!P11:P30)+2*STDEV('Fat Spreads'!P11:P30),"")</f>
        <v>0</v>
      </c>
      <c r="AM11">
        <f>IFERROR(AVERAGE('Fat Spreads'!P11:P30)-2*STDEV('Fat Spreads'!P11:P30),"")</f>
        <v>0</v>
      </c>
      <c r="AN11" t="str">
        <f>IFERROR(('Fat Spreads'!P11-(AVERAGE('Fat Spreads'!P11:P30)-2*STDEV('Fat Spreads'!P11:P30)))/(4*STDEV('Fat Spreads'!P11:P30)),"")</f>
        <v/>
      </c>
      <c r="AO11" t="str">
        <f>IFERROR(4*STDEV('Fat Spreads'!P11:P30)/AVERAGE('Fat Spreads'!P11:P30),"")</f>
        <v/>
      </c>
      <c r="AP11">
        <v>58.927399999999999</v>
      </c>
      <c r="AQ11">
        <f>IFERROR(SQRT((SUMSQ('Fat Spreads'!P11:P30)-2*SUMPRODUCT('Fat Spreads'!P11:P30,'Fat Spreads'!P12:P31)+SUMSQ('Fat Spreads'!P12:P31)-('Fat Spreads'!P11-'Fat Spreads'!P31)^2/20)/19),"")</f>
        <v>0</v>
      </c>
      <c r="AS11">
        <f>IFERROR('Fat Spreads'!AJ11,"")</f>
        <v>0</v>
      </c>
      <c r="AT11">
        <f>IFERROR(('Fat Spreads'!AK11-AVERAGE('Fat Spreads'!$AK$3:$AK$4308))/STDEV('Fat Spreads'!$AK$3:$AK$4308),"")</f>
        <v>-9.2057461789832332E-2</v>
      </c>
      <c r="AU11">
        <f>IFERROR('Fat Spreads'!AK11-'Fat Spreads'!AK16,"")</f>
        <v>0</v>
      </c>
      <c r="AV11">
        <f>IFERROR('Fat Spreads'!AK11-'Fat Spreads'!AK21,"")</f>
        <v>0</v>
      </c>
      <c r="AW11">
        <f>IFERROR(AVERAGE('Fat Spreads'!AK11:AK30)+2*STDEV('Fat Spreads'!AK11:AK30),"")</f>
        <v>0</v>
      </c>
      <c r="AX11">
        <f>IFERROR(AVERAGE('Fat Spreads'!AK11:AK30)-2*STDEV('Fat Spreads'!AK11:AK30),"")</f>
        <v>0</v>
      </c>
      <c r="AY11" t="str">
        <f>IFERROR(('Fat Spreads'!AK11-(AVERAGE('Fat Spreads'!AK11:AK30)-2*STDEV('Fat Spreads'!AK11:AK30)))/(4*STDEV('Fat Spreads'!AK11:AK30)),"")</f>
        <v/>
      </c>
      <c r="AZ11" t="str">
        <f>IFERROR(4*STDEV('Fat Spreads'!AK11:AK30)/AVERAGE('Fat Spreads'!AK11:AK30),"")</f>
        <v/>
      </c>
      <c r="BA11">
        <v>36.721200000000003</v>
      </c>
      <c r="BB11">
        <f>IFERROR(SQRT((SUMSQ('Fat Spreads'!AK11:AK30)-2*SUMPRODUCT('Fat Spreads'!AK11:AK30,'Fat Spreads'!AK12:AK31)+SUMSQ('Fat Spreads'!AK12:AK31)-('Fat Spreads'!AK11-'Fat Spreads'!AK31)^2/20)/19),"")</f>
        <v>0</v>
      </c>
      <c r="BD11">
        <f>IFERROR('Fat Spreads'!V11,"")</f>
        <v>0</v>
      </c>
      <c r="BE11">
        <f>IFERROR(('Fat Spreads'!W11-AVERAGE('Fat Spreads'!$W$3:$W$4308))/STDEV('Fat Spreads'!$W$3:$W$4308),"")</f>
        <v>-9.2057461789832332E-2</v>
      </c>
      <c r="BF11">
        <f>IFERROR('Fat Spreads'!W11-'Fat Spreads'!W16,"")</f>
        <v>0</v>
      </c>
      <c r="BG11">
        <f>IFERROR('Fat Spreads'!W11-'Fat Spreads'!W21,"")</f>
        <v>0</v>
      </c>
      <c r="BH11">
        <f>IFERROR(AVERAGE('Fat Spreads'!W11:W30)+2*STDEV('Fat Spreads'!W11:W30),"")</f>
        <v>0</v>
      </c>
      <c r="BI11">
        <f>IFERROR(AVERAGE('Fat Spreads'!W11:W30)-2*STDEV('Fat Spreads'!W11:W30),"")</f>
        <v>0</v>
      </c>
      <c r="BJ11" t="str">
        <f>IFERROR(('Fat Spreads'!W11-(AVERAGE('Fat Spreads'!W11:W30)-2*STDEV('Fat Spreads'!W11:W30)))/(4*STDEV('Fat Spreads'!W11:W30)),"")</f>
        <v/>
      </c>
      <c r="BK11" t="str">
        <f>IFERROR(4*STDEV('Fat Spreads'!W11:W30)/AVERAGE('Fat Spreads'!W11:W30),"")</f>
        <v/>
      </c>
      <c r="BL11">
        <v>52.4998</v>
      </c>
      <c r="BM11">
        <f>IFERROR(SQRT((SUMSQ('Fat Spreads'!W11:W30)-2*SUMPRODUCT('Fat Spreads'!W11:W30,'Fat Spreads'!W12:W31)+SUMSQ('Fat Spreads'!W12:W31)-('Fat Spreads'!W11-'Fat Spreads'!W31)^2/20)/19),"")</f>
        <v>0</v>
      </c>
      <c r="BO11">
        <f>IFERROR('Fat Spreads'!AC11,"")</f>
        <v>0</v>
      </c>
      <c r="BP11">
        <f>IFERROR(('Fat Spreads'!AD11-AVERAGE('Fat Spreads'!$AD$3:$AD$4308))/STDEV('Fat Spreads'!$AD$3:$AD$4308),"")</f>
        <v>-9.2057461789832332E-2</v>
      </c>
      <c r="BQ11">
        <f>IFERROR('Fat Spreads'!AD11-'Fat Spreads'!AD16,"")</f>
        <v>0</v>
      </c>
      <c r="BR11">
        <f>IFERROR('Fat Spreads'!AD11-'Fat Spreads'!AD21,"")</f>
        <v>0</v>
      </c>
      <c r="BS11">
        <f>IFERROR(AVERAGE('Fat Spreads'!AD11:AD30)+2*STDEV('Fat Spreads'!AD11:AD30),"")</f>
        <v>0</v>
      </c>
      <c r="BT11">
        <f>IFERROR(AVERAGE('Fat Spreads'!AD11:AD30)-2*STDEV('Fat Spreads'!AD11:AD30),"")</f>
        <v>0</v>
      </c>
      <c r="BU11" t="str">
        <f>IFERROR(('Fat Spreads'!AD11-(AVERAGE('Fat Spreads'!AD11:AD30)-2*STDEV('Fat Spreads'!AD11:AD30)))/(4*STDEV('Fat Spreads'!AD11:AD30)),"")</f>
        <v/>
      </c>
      <c r="BV11" t="str">
        <f>IFERROR(4*STDEV('Fat Spreads'!AD11:AD30)/AVERAGE('Fat Spreads'!AD11:AD30),"")</f>
        <v/>
      </c>
      <c r="BW11">
        <v>56.600099999999998</v>
      </c>
      <c r="BX11">
        <f>IFERROR(SQRT((SUMSQ('Fat Spreads'!AD11:AD30)-2*SUMPRODUCT('Fat Spreads'!AD11:AD30,'Fat Spreads'!AD12:AD31)+SUMSQ('Fat Spreads'!AD12:AD31)-('Fat Spreads'!AD11-'Fat Spreads'!AD31)^2/20)/19),"")</f>
        <v>0</v>
      </c>
      <c r="BZ11">
        <f>IFERROR('Feeder Spreads'!A11,"")</f>
        <v>0</v>
      </c>
      <c r="CA11">
        <f>IFERROR(('Feeder Spreads'!B11-AVERAGE('Feeder Spreads'!$B$3:$B$4308))/STDEV('Feeder Spreads'!$B$3:$B$4308),"")</f>
        <v>-9.2057461789832346E-2</v>
      </c>
      <c r="CB11">
        <f>IFERROR('Feeder Spreads'!B11-'Feeder Spreads'!B16,"")</f>
        <v>0</v>
      </c>
      <c r="CC11">
        <f>IFERROR('Feeder Spreads'!B11-'Feeder Spreads'!B21,"")</f>
        <v>0</v>
      </c>
      <c r="CD11">
        <f>IFERROR(AVERAGE('Feeder Spreads'!B11:B30)+2*STDEV('Feeder Spreads'!B11:B30),"")</f>
        <v>0</v>
      </c>
      <c r="CE11">
        <f>IFERROR(AVERAGE('Feeder Spreads'!B11:B30)-2*STDEV('Feeder Spreads'!B11:B30),"")</f>
        <v>0</v>
      </c>
      <c r="CF11" t="str">
        <f>IFERROR(('Feeder Spreads'!B11-(AVERAGE('Feeder Spreads'!B11:B30)-2*STDEV('Feeder Spreads'!B11:B30)))/(4*STDEV('Feeder Spreads'!B11:B30)),"")</f>
        <v/>
      </c>
      <c r="CG11" t="str">
        <f>IFERROR(4*STDEV('Feeder Spreads'!B11:B30)/AVERAGE('Feeder Spreads'!B11:B30),"")</f>
        <v/>
      </c>
      <c r="CH11">
        <v>59.295999999999999</v>
      </c>
      <c r="CI11">
        <f>IFERROR(SQRT((SUMSQ('Feeder Spreads'!B11:B30)-2*SUMPRODUCT('Feeder Spreads'!B11:B30,'Feeder Spreads'!B12:B31)+SUMSQ('Feeder Spreads'!B12:B31)-('Feeder Spreads'!B11-'Feeder Spreads'!B31)^2/20)/19),"")</f>
        <v>0</v>
      </c>
      <c r="CK11">
        <f>IFERROR('Feeder Spreads'!AX11,"")</f>
        <v>0</v>
      </c>
      <c r="CL11">
        <f>IFERROR(('Feeder Spreads'!AY11-AVERAGE('Feeder Spreads'!$AY$3:$AY$4308))/STDEV('Feeder Spreads'!$AY$3:$AY$4308),"")</f>
        <v>-9.2057461789832346E-2</v>
      </c>
      <c r="CM11">
        <f>IFERROR('Feeder Spreads'!AY11-'Feeder Spreads'!AY16,"")</f>
        <v>0</v>
      </c>
      <c r="CN11">
        <f>IFERROR('Feeder Spreads'!AY11-'Feeder Spreads'!AY21,"")</f>
        <v>0</v>
      </c>
      <c r="CO11">
        <f>IFERROR(AVERAGE('Feeder Spreads'!AY11:AY30)+2*STDEV('Feeder Spreads'!AY11:AY30),"")</f>
        <v>0</v>
      </c>
      <c r="CP11">
        <f>IFERROR(AVERAGE('Feeder Spreads'!AY11:AY30)-2*STDEV('Feeder Spreads'!AY11:AY30),"")</f>
        <v>0</v>
      </c>
      <c r="CQ11" t="str">
        <f>IFERROR(('Feeder Spreads'!AY11-(AVERAGE('Feeder Spreads'!AY11:AY30)-2*STDEV('Feeder Spreads'!AY11:AY30)))/(4*STDEV('Feeder Spreads'!AY11:AY30)),"")</f>
        <v/>
      </c>
      <c r="CR11" t="str">
        <f>IFERROR(4*STDEV('Feeder Spreads'!AY11:AY30)/AVERAGE('Feeder Spreads'!AY11:AY30),"")</f>
        <v/>
      </c>
      <c r="CS11">
        <v>49.311799999999998</v>
      </c>
      <c r="CT11">
        <f>IFERROR(SQRT((SUMSQ('Feeder Spreads'!AY11:AY30)-2*SUMPRODUCT('Feeder Spreads'!AY11:AY30,'Feeder Spreads'!AY12:AY31)+SUMSQ('Feeder Spreads'!AY12:AY31)-('Feeder Spreads'!AY11-'Feeder Spreads'!AY31)^2/20)/19),"")</f>
        <v>0</v>
      </c>
      <c r="CV11">
        <f>IFERROR('Feeder Spreads'!H11,"")</f>
        <v>0</v>
      </c>
      <c r="CW11">
        <f>IFERROR(('Feeder Spreads'!I11-AVERAGE('Feeder Spreads'!$I$3:$I$4308))/STDEV('Feeder Spreads'!$I$3:$I$4308),"")</f>
        <v>-9.2057461789832332E-2</v>
      </c>
      <c r="CX11">
        <f>IFERROR('Feeder Spreads'!I11-'Feeder Spreads'!I16,"")</f>
        <v>0</v>
      </c>
      <c r="CY11">
        <f>IFERROR('Feeder Spreads'!I11-'Feeder Spreads'!I21,"")</f>
        <v>0</v>
      </c>
      <c r="CZ11">
        <f>IFERROR(AVERAGE('Feeder Spreads'!I11:I30)+2*STDEV('Feeder Spreads'!I11:I30),"")</f>
        <v>0</v>
      </c>
      <c r="DA11">
        <f>IFERROR(AVERAGE('Feeder Spreads'!I11:I30)-2*STDEV('Feeder Spreads'!I11:I30),"")</f>
        <v>0</v>
      </c>
      <c r="DB11" t="str">
        <f>IFERROR(('Feeder Spreads'!I11-(AVERAGE('Feeder Spreads'!I11:I30)-2*STDEV('Feeder Spreads'!I11:I30)))/(4*STDEV('Feeder Spreads'!I11:I30)),"")</f>
        <v/>
      </c>
      <c r="DC11" t="str">
        <f>IFERROR(4*STDEV('Feeder Spreads'!I11:I30)/AVERAGE('Feeder Spreads'!I11:I30),"")</f>
        <v/>
      </c>
      <c r="DD11">
        <v>44.220199999999998</v>
      </c>
      <c r="DE11">
        <f>IFERROR(SQRT((SUMSQ('Feeder Spreads'!I11:I30)-2*SUMPRODUCT('Feeder Spreads'!I11:I30,'Feeder Spreads'!I12:I31)+SUMSQ('Feeder Spreads'!I12:I31)-('Feeder Spreads'!I11-'Feeder Spreads'!I31)^2/20)/19),"")</f>
        <v>0</v>
      </c>
      <c r="DG11">
        <f>IFERROR('Feeder Spreads'!O11,"")</f>
        <v>0</v>
      </c>
      <c r="DH11">
        <f>IFERROR(('Feeder Spreads'!P11-AVERAGE('Feeder Spreads'!$P$3:$P$4308))/STDEV('Feeder Spreads'!$P$3:$P$4308),"")</f>
        <v>-9.2057461789832346E-2</v>
      </c>
      <c r="DI11">
        <f>IFERROR('Feeder Spreads'!P11-'Feeder Spreads'!P16,"")</f>
        <v>0</v>
      </c>
      <c r="DJ11">
        <f>IFERROR('Feeder Spreads'!P11-'Feeder Spreads'!P21,"")</f>
        <v>0</v>
      </c>
      <c r="DK11">
        <f>IFERROR(AVERAGE('Feeder Spreads'!P11:P30)+2*STDEV('Feeder Spreads'!P11:P30),"")</f>
        <v>0</v>
      </c>
      <c r="DL11">
        <f>IFERROR(AVERAGE('Feeder Spreads'!P11:P30)-2*STDEV('Feeder Spreads'!P11:P30),"")</f>
        <v>0</v>
      </c>
      <c r="DM11" t="str">
        <f>IFERROR(('Feeder Spreads'!P11-(AVERAGE('Feeder Spreads'!P11:P30)-2*STDEV('Feeder Spreads'!P11:P30)))/(4*STDEV('Feeder Spreads'!P11:P30)),"")</f>
        <v/>
      </c>
      <c r="DN11" t="str">
        <f>IFERROR(4*STDEV('Feeder Spreads'!P11:P30)/AVERAGE('Feeder Spreads'!P11:P30),"")</f>
        <v/>
      </c>
      <c r="DO11">
        <v>46.014400000000002</v>
      </c>
      <c r="DP11">
        <f>IFERROR(SQRT((SUMSQ('Feeder Spreads'!P11:P30)-2*SUMPRODUCT('Feeder Spreads'!P11:P30,'Feeder Spreads'!P12:P31)+SUMSQ('Feeder Spreads'!P12:P31)-('Feeder Spreads'!P11-'Feeder Spreads'!P31)^2/20)/19),"")</f>
        <v>0</v>
      </c>
      <c r="DR11">
        <f>IFERROR('Feeder Spreads'!V11,"")</f>
        <v>0</v>
      </c>
      <c r="DS11">
        <f>IFERROR(('Feeder Spreads'!W11-AVERAGE('Feeder Spreads'!$W$3:$W$4308))/STDEV('Feeder Spreads'!$W$3:$W$4308),"")</f>
        <v>-9.2057461789832332E-2</v>
      </c>
      <c r="DT11">
        <f>IFERROR('Feeder Spreads'!W11-'Feeder Spreads'!W16,"")</f>
        <v>0</v>
      </c>
      <c r="DU11">
        <f>IFERROR('Feeder Spreads'!W11-'Feeder Spreads'!W21,"")</f>
        <v>0</v>
      </c>
      <c r="DV11">
        <f>IFERROR(AVERAGE('Feeder Spreads'!W11:W30)+2*STDEV('Feeder Spreads'!W11:W30),"")</f>
        <v>0</v>
      </c>
      <c r="DW11">
        <f>IFERROR(AVERAGE('Feeder Spreads'!W11:W30)-2*STDEV('Feeder Spreads'!W11:W30),"")</f>
        <v>0</v>
      </c>
      <c r="DX11" t="str">
        <f>IFERROR(('Feeder Spreads'!W11-(AVERAGE('Feeder Spreads'!W11:W30)-2*STDEV('Feeder Spreads'!W11:W30)))/(4*STDEV('Feeder Spreads'!W11:W30)),"")</f>
        <v/>
      </c>
      <c r="DY11" t="str">
        <f>IFERROR(4*STDEV('Feeder Spreads'!W11:W30)/AVERAGE('Feeder Spreads'!W11:W30),"")</f>
        <v/>
      </c>
      <c r="DZ11">
        <v>23.302700000000002</v>
      </c>
      <c r="EA11">
        <f>IFERROR(SQRT((SUMSQ('Feeder Spreads'!W11:W30)-2*SUMPRODUCT('Feeder Spreads'!W11:W30,'Feeder Spreads'!W12:W31)+SUMSQ('Feeder Spreads'!W12:W31)-('Feeder Spreads'!W11-'Feeder Spreads'!W31)^2/20)/19),"")</f>
        <v>0</v>
      </c>
      <c r="EC11">
        <f>IFERROR('Feeder Spreads'!AC11,"")</f>
        <v>0</v>
      </c>
      <c r="ED11">
        <f>IFERROR(('Feeder Spreads'!AD11-AVERAGE('Feeder Spreads'!$AD$3:$AD$4308))/STDEV('Feeder Spreads'!$AD$3:$AD$4308),"")</f>
        <v>9.2057461789832318E-2</v>
      </c>
      <c r="EE11">
        <f>IFERROR('Feeder Spreads'!AD11-'Feeder Spreads'!AD16,"")</f>
        <v>0</v>
      </c>
      <c r="EF11">
        <f>IFERROR('Feeder Spreads'!AD11-'Feeder Spreads'!AD21,"")</f>
        <v>0</v>
      </c>
      <c r="EG11">
        <f>IFERROR(AVERAGE('Feeder Spreads'!AD11:AD30)+2*STDEV('Feeder Spreads'!AD11:AD30),"")</f>
        <v>0</v>
      </c>
      <c r="EH11">
        <f>IFERROR(AVERAGE('Feeder Spreads'!AD11:AD30)-2*STDEV('Feeder Spreads'!AD11:AD30),"")</f>
        <v>0</v>
      </c>
      <c r="EI11" t="str">
        <f>IFERROR(('Feeder Spreads'!AD11-(AVERAGE('Feeder Spreads'!AD11:AD30)-2*STDEV('Feeder Spreads'!AD11:AD30)))/(4*STDEV('Feeder Spreads'!AD11:AD30)),"")</f>
        <v/>
      </c>
      <c r="EJ11" t="str">
        <f>IFERROR(4*STDEV('Feeder Spreads'!AD11:AD30)/AVERAGE('Feeder Spreads'!AD11:AD30),"")</f>
        <v/>
      </c>
      <c r="EK11">
        <v>55.253799999999998</v>
      </c>
      <c r="EL11">
        <f>IFERROR(SQRT((SUMSQ('Feeder Spreads'!AD11:AD30)-2*SUMPRODUCT('Feeder Spreads'!AD11:AD30,'Feeder Spreads'!AD12:AD31)+SUMSQ('Feeder Spreads'!AD12:AD31)-('Feeder Spreads'!AD11-'Feeder Spreads'!AD31)^2/20)/19),"")</f>
        <v>0</v>
      </c>
      <c r="EN11">
        <f>IFERROR('Feeder Spreads'!AJ11,"")</f>
        <v>0</v>
      </c>
      <c r="EO11">
        <f>IFERROR(('Feeder Spreads'!AK11-AVERAGE('Feeder Spreads'!$AK$3:$AK$4308))/STDEV('Feeder Spreads'!$AK$3:$AK$4308),"")</f>
        <v>-9.2057461789832346E-2</v>
      </c>
      <c r="EP11">
        <f>IFERROR('Feeder Spreads'!AK11-'Feeder Spreads'!AK16,"")</f>
        <v>0</v>
      </c>
      <c r="EQ11">
        <f>IFERROR('Feeder Spreads'!AK11-'Feeder Spreads'!AK21,"")</f>
        <v>0</v>
      </c>
      <c r="ER11">
        <f>IFERROR(AVERAGE('Feeder Spreads'!AK11:AK30)+2*STDEV('Feeder Spreads'!AK11:AK30),"")</f>
        <v>0</v>
      </c>
      <c r="ES11">
        <f>IFERROR(AVERAGE('Feeder Spreads'!AK11:AK30)-2*STDEV('Feeder Spreads'!AK11:AK30),"")</f>
        <v>0</v>
      </c>
      <c r="ET11" t="str">
        <f>IFERROR(('Feeder Spreads'!AK11-(AVERAGE('Feeder Spreads'!AK11:AK30)-2*STDEV('Feeder Spreads'!AK11:AK30)))/(4*STDEV('Feeder Spreads'!AK11:AK30)),"")</f>
        <v/>
      </c>
      <c r="EU11" t="str">
        <f>IFERROR(4*STDEV('Feeder Spreads'!AK11:AK30)/AVERAGE('Feeder Spreads'!AK11:AK30),"")</f>
        <v/>
      </c>
      <c r="EV11">
        <v>58.345199999999998</v>
      </c>
      <c r="EW11">
        <f>IFERROR(SQRT((SUMSQ('Feeder Spreads'!AK11:AK30)-2*SUMPRODUCT('Feeder Spreads'!AK11:AK30,'Feeder Spreads'!AK12:AK31)+SUMSQ('Feeder Spreads'!AK12:AK31)-('Feeder Spreads'!AK11-'Feeder Spreads'!AK31)^2/20)/19),"")</f>
        <v>0</v>
      </c>
      <c r="EY11">
        <f>IFERROR('Feeder Spreads'!AQ11,"")</f>
        <v>0</v>
      </c>
      <c r="EZ11">
        <f>IFERROR(('Feeder Spreads'!AR11-AVERAGE('Feeder Spreads'!$AR$3:$AR$4308))/STDEV('Feeder Spreads'!$AR$3:$AR$4308),"")</f>
        <v>-9.2057461789832332E-2</v>
      </c>
      <c r="FA11">
        <f>IFERROR('Feeder Spreads'!AR11-'Feeder Spreads'!AR16,"")</f>
        <v>0</v>
      </c>
      <c r="FB11">
        <f>IFERROR('Feeder Spreads'!AR11-'Feeder Spreads'!AR21,"")</f>
        <v>0</v>
      </c>
      <c r="FC11">
        <f>IFERROR(AVERAGE('Feeder Spreads'!AR11:AR30)+2*STDEV('Feeder Spreads'!AR11:AR30),"")</f>
        <v>0</v>
      </c>
      <c r="FD11">
        <f>IFERROR(AVERAGE('Feeder Spreads'!AR11:AR30)-2*STDEV('Feeder Spreads'!AR11:AR30),"")</f>
        <v>0</v>
      </c>
      <c r="FE11" t="str">
        <f>IFERROR(('Feeder Spreads'!AR11-(AVERAGE('Feeder Spreads'!AR11:AR30)-2*STDEV('Feeder Spreads'!AR11:AR30)))/(4*STDEV('Feeder Spreads'!AR11:AR30)),"")</f>
        <v/>
      </c>
      <c r="FF11" t="str">
        <f>IFERROR(4*STDEV('Feeder Spreads'!AR11:AR30)/AVERAGE('Feeder Spreads'!AR11:AR30),"")</f>
        <v/>
      </c>
      <c r="FG11">
        <v>52.721400000000003</v>
      </c>
      <c r="FH11">
        <f>IFERROR(SQRT((SUMSQ('Feeder Spreads'!AR11:AR30)-2*SUMPRODUCT('Feeder Spreads'!AR11:AR30,'Feeder Spreads'!AR12:AR31)+SUMSQ('Feeder Spreads'!AR12:AR31)-('Feeder Spreads'!AR11-'Feeder Spreads'!AR31)^2/20)/19),"")</f>
        <v>0</v>
      </c>
      <c r="FJ11">
        <f>IFERROR('Fat Spreads'!AX11,"")</f>
        <v>0</v>
      </c>
      <c r="FK11">
        <f>IFERROR(('Fat Spreads'!AY11-AVERAGE('Fat Spreads'!$AY$3:$AY$4308))/STDEV('Fat Spreads'!$AY$3:$AY$4308),"")</f>
        <v>9.2057461789832332E-2</v>
      </c>
      <c r="FL11">
        <f>IFERROR('Fat Spreads'!AY11-'Fat Spreads'!AY16,"")</f>
        <v>0</v>
      </c>
      <c r="FM11">
        <f>IFERROR('Fat Spreads'!AY11-'Fat Spreads'!AY21,"")</f>
        <v>0</v>
      </c>
      <c r="FN11">
        <f>IFERROR(AVERAGE('Fat Spreads'!AY11:AY30)+2*STDEV('Fat Spreads'!AY11:AY30),"")</f>
        <v>0</v>
      </c>
      <c r="FO11">
        <f>IFERROR(AVERAGE('Fat Spreads'!AY11:AY30)-2*STDEV('Fat Spreads'!AY11:AY30),"")</f>
        <v>0</v>
      </c>
      <c r="FP11" t="str">
        <f>IFERROR(('Fat Spreads'!AY11-(AVERAGE('Fat Spreads'!AY11:AY30)-2*STDEV('Fat Spreads'!AY11:AY30)))/(4*STDEV('Fat Spreads'!AY11:AY30)),"")</f>
        <v/>
      </c>
      <c r="FQ11" t="str">
        <f>IFERROR(4*STDEV('Fat Spreads'!AY11:AY30)/AVERAGE('Fat Spreads'!AY11:AY30),"")</f>
        <v/>
      </c>
      <c r="FR11">
        <v>44.957099999999997</v>
      </c>
      <c r="FS11">
        <f>IFERROR(SQRT((SUMSQ('Fat Spreads'!AY11:AY30)-2*SUMPRODUCT('Fat Spreads'!AY11:AY30,'Fat Spreads'!AY12:AY31)+SUMSQ('Fat Spreads'!AY12:AY31)-('Fat Spreads'!AY11-'Fat Spreads'!AY31)^2/20)/19),"")</f>
        <v>0</v>
      </c>
      <c r="FU11">
        <f>IFERROR('Fat Spreads'!BE11,"")</f>
        <v>0</v>
      </c>
      <c r="FV11">
        <f>IFERROR(('Fat Spreads'!BF11-AVERAGE('Fat Spreads'!$BF$3:$BF$4308))/STDEV('Fat Spreads'!$BF$3:$BF$4308),"")</f>
        <v>9.2057461789832332E-2</v>
      </c>
      <c r="FW11">
        <f>IFERROR('Fat Spreads'!BF11-'Fat Spreads'!BF16,"")</f>
        <v>0</v>
      </c>
      <c r="FX11">
        <f>IFERROR('Fat Spreads'!BF11-'Fat Spreads'!BF21,"")</f>
        <v>0</v>
      </c>
      <c r="FY11">
        <f>IFERROR(AVERAGE('Fat Spreads'!BF11:BF30)+2*STDEV('Fat Spreads'!BF11:BF30),"")</f>
        <v>0</v>
      </c>
      <c r="FZ11">
        <f>IFERROR(AVERAGE('Fat Spreads'!BF11:BF30)-2*STDEV('Fat Spreads'!BF11:BF30),"")</f>
        <v>0</v>
      </c>
      <c r="GA11" t="str">
        <f>IFERROR(('Fat Spreads'!BF11-(AVERAGE('Fat Spreads'!BF11:BF30)-2*STDEV('Fat Spreads'!BF11:BF30)))/(4*STDEV('Fat Spreads'!BF11:BF30)),"")</f>
        <v/>
      </c>
      <c r="GB11" t="str">
        <f>IFERROR(4*STDEV('Fat Spreads'!BF11:BF30)/AVERAGE('Fat Spreads'!BF11:BF30),"")</f>
        <v/>
      </c>
      <c r="GC11">
        <v>58.457700000000003</v>
      </c>
      <c r="GD11">
        <f>IFERROR(SQRT((SUMSQ('Fat Spreads'!BF11:BF30)-2*SUMPRODUCT('Fat Spreads'!BF11:BF30,'Fat Spreads'!BF12:BF31)+SUMSQ('Fat Spreads'!BF12:BF31)-('Fat Spreads'!BF11-'Fat Spreads'!BF31)^2/20)/19),"")</f>
        <v>0</v>
      </c>
    </row>
    <row r="12" spans="1:186" x14ac:dyDescent="0.25">
      <c r="A12">
        <f>IFERROR('Fat Spreads'!A12,"")</f>
        <v>0</v>
      </c>
      <c r="B12">
        <f>IFERROR(('Fat Spreads'!B12-AVERAGE('Fat Spreads'!$B$3:$B$4308))/STDEV('Fat Spreads'!$B$3:$B$4308),"")</f>
        <v>9.2057461789832346E-2</v>
      </c>
      <c r="C12">
        <f>IFERROR('Fat Spreads'!B12-'Fat Spreads'!B17,"")</f>
        <v>0</v>
      </c>
      <c r="D12">
        <f>IFERROR('Fat Spreads'!B12-'Fat Spreads'!B22,"")</f>
        <v>0</v>
      </c>
      <c r="E12">
        <f>IFERROR(AVERAGE('Fat Spreads'!B12:B31)+2*STDEV('Fat Spreads'!B12:B31),"")</f>
        <v>0</v>
      </c>
      <c r="F12">
        <f>IFERROR(AVERAGE('Fat Spreads'!B12:B31)-2*STDEV('Fat Spreads'!B12:B31),"")</f>
        <v>0</v>
      </c>
      <c r="G12" t="str">
        <f>IFERROR(('Fat Spreads'!B12-(AVERAGE('Fat Spreads'!B12:B31)-2*STDEV('Fat Spreads'!B12:B31)))/(4*STDEV('Fat Spreads'!B12:B31)),"")</f>
        <v/>
      </c>
      <c r="H12" t="str">
        <f>IFERROR(4*STDEV('Fat Spreads'!B12:B31)/AVERAGE('Fat Spreads'!B12:B31),"")</f>
        <v/>
      </c>
      <c r="I12">
        <v>63.227899999999998</v>
      </c>
      <c r="J12">
        <f>IFERROR(SQRT((SUMSQ('Fat Spreads'!B12:B31)-2*SUMPRODUCT('Fat Spreads'!B12:B31,'Fat Spreads'!B13:B32)+SUMSQ('Fat Spreads'!B13:B32)-('Fat Spreads'!B12-'Fat Spreads'!B32)^2/20)/19),"")</f>
        <v>0</v>
      </c>
      <c r="L12">
        <f>IFERROR('Fat Spreads'!H12,"")</f>
        <v>0</v>
      </c>
      <c r="M12">
        <f>IFERROR(('Fat Spreads'!I12-AVERAGE('Fat Spreads'!$I$3:$I$4308))/STDEV('Fat Spreads'!$I$3:$I$4308),"")</f>
        <v>-9.2057461789832332E-2</v>
      </c>
      <c r="N12">
        <f>IFERROR('Fat Spreads'!I12-'Fat Spreads'!I17,"")</f>
        <v>0</v>
      </c>
      <c r="O12">
        <f>IFERROR('Fat Spreads'!I12-'Fat Spreads'!I22,"")</f>
        <v>0</v>
      </c>
      <c r="P12">
        <f>IFERROR(AVERAGE('Fat Spreads'!I12:I31)+2*STDEV('Fat Spreads'!I12:I31),"")</f>
        <v>0</v>
      </c>
      <c r="Q12">
        <f>IFERROR(AVERAGE('Fat Spreads'!I12:I31)-2*STDEV('Fat Spreads'!I12:I31),"")</f>
        <v>0</v>
      </c>
      <c r="R12" t="str">
        <f>IFERROR(('Fat Spreads'!I12-(AVERAGE('Fat Spreads'!I12:I31)-2*STDEV('Fat Spreads'!I12:I31)))/(4*STDEV('Fat Spreads'!I12:I31)),"")</f>
        <v/>
      </c>
      <c r="S12" t="str">
        <f>IFERROR(4*STDEV('Fat Spreads'!I12:I31)/AVERAGE('Fat Spreads'!I12:I31),"")</f>
        <v/>
      </c>
      <c r="T12">
        <v>53.751300000000001</v>
      </c>
      <c r="U12">
        <f>IFERROR(SQRT((SUMSQ('Fat Spreads'!I12:I31)-2*SUMPRODUCT('Fat Spreads'!I12:I31,'Fat Spreads'!I13:I32)+SUMSQ('Fat Spreads'!I13:I32)-('Fat Spreads'!I12-'Fat Spreads'!I32)^2/20)/19),"")</f>
        <v>0</v>
      </c>
      <c r="W12">
        <f>IFERROR('Fat Spreads'!AQ12,"")</f>
        <v>0</v>
      </c>
      <c r="X12">
        <f>IFERROR(('Fat Spreads'!AR12-AVERAGE('Fat Spreads'!$AR$3:$AR$4308))/STDEV('Fat Spreads'!$AR$3:$AR$4308),"")</f>
        <v>-9.2057461789832346E-2</v>
      </c>
      <c r="Y12">
        <f>IFERROR('Fat Spreads'!AR12-'Fat Spreads'!AR17,"")</f>
        <v>0</v>
      </c>
      <c r="Z12">
        <f>IFERROR('Fat Spreads'!AR12-'Fat Spreads'!AR22,"")</f>
        <v>0</v>
      </c>
      <c r="AA12">
        <f>IFERROR(AVERAGE('Fat Spreads'!AR12:AR31)+2*STDEV('Fat Spreads'!AR12:AR31),"")</f>
        <v>0</v>
      </c>
      <c r="AB12">
        <f>IFERROR(AVERAGE('Fat Spreads'!AR12:AR31)-2*STDEV('Fat Spreads'!AR12:AR31),"")</f>
        <v>0</v>
      </c>
      <c r="AC12" t="str">
        <f>IFERROR(('Fat Spreads'!AR12-(AVERAGE('Fat Spreads'!AR12:AR31)-2*STDEV('Fat Spreads'!AR12:AR31)))/(4*STDEV('Fat Spreads'!AR12:AR31)),"")</f>
        <v/>
      </c>
      <c r="AD12" t="str">
        <f>IFERROR(4*STDEV('Fat Spreads'!AR12:AR31)/AVERAGE('Fat Spreads'!AR12:AR31),"")</f>
        <v/>
      </c>
      <c r="AE12">
        <v>55.122799999999998</v>
      </c>
      <c r="AF12">
        <f>IFERROR(SQRT((SUMSQ('Fat Spreads'!AR12:AR31)-2*SUMPRODUCT('Fat Spreads'!AR12:AR31,'Fat Spreads'!AR13:AR32)+SUMSQ('Fat Spreads'!AR13:AR32)-('Fat Spreads'!AR12-'Fat Spreads'!AR32)^2/20)/19),"")</f>
        <v>0</v>
      </c>
      <c r="AH12">
        <f>IFERROR('Fat Spreads'!O12,"")</f>
        <v>0</v>
      </c>
      <c r="AI12">
        <f>IFERROR(('Fat Spreads'!P12-AVERAGE('Fat Spreads'!$P$3:$P$4308))/STDEV('Fat Spreads'!$P$3:$P$4308),"")</f>
        <v>-9.2057461789832332E-2</v>
      </c>
      <c r="AJ12">
        <f>IFERROR('Fat Spreads'!P12-'Fat Spreads'!P17,"")</f>
        <v>0</v>
      </c>
      <c r="AK12">
        <f>IFERROR('Fat Spreads'!P12-'Fat Spreads'!P22,"")</f>
        <v>0</v>
      </c>
      <c r="AL12">
        <f>IFERROR(AVERAGE('Fat Spreads'!P12:P31)+2*STDEV('Fat Spreads'!P12:P31),"")</f>
        <v>0</v>
      </c>
      <c r="AM12">
        <f>IFERROR(AVERAGE('Fat Spreads'!P12:P31)-2*STDEV('Fat Spreads'!P12:P31),"")</f>
        <v>0</v>
      </c>
      <c r="AN12" t="str">
        <f>IFERROR(('Fat Spreads'!P12-(AVERAGE('Fat Spreads'!P12:P31)-2*STDEV('Fat Spreads'!P12:P31)))/(4*STDEV('Fat Spreads'!P12:P31)),"")</f>
        <v/>
      </c>
      <c r="AO12" t="str">
        <f>IFERROR(4*STDEV('Fat Spreads'!P12:P31)/AVERAGE('Fat Spreads'!P12:P31),"")</f>
        <v/>
      </c>
      <c r="AP12">
        <v>56.0779</v>
      </c>
      <c r="AQ12">
        <f>IFERROR(SQRT((SUMSQ('Fat Spreads'!P12:P31)-2*SUMPRODUCT('Fat Spreads'!P12:P31,'Fat Spreads'!P13:P32)+SUMSQ('Fat Spreads'!P13:P32)-('Fat Spreads'!P12-'Fat Spreads'!P32)^2/20)/19),"")</f>
        <v>0</v>
      </c>
      <c r="AS12">
        <f>IFERROR('Fat Spreads'!AJ12,"")</f>
        <v>0</v>
      </c>
      <c r="AT12">
        <f>IFERROR(('Fat Spreads'!AK12-AVERAGE('Fat Spreads'!$AK$3:$AK$4308))/STDEV('Fat Spreads'!$AK$3:$AK$4308),"")</f>
        <v>-9.2057461789832332E-2</v>
      </c>
      <c r="AU12">
        <f>IFERROR('Fat Spreads'!AK12-'Fat Spreads'!AK17,"")</f>
        <v>0</v>
      </c>
      <c r="AV12">
        <f>IFERROR('Fat Spreads'!AK12-'Fat Spreads'!AK22,"")</f>
        <v>0</v>
      </c>
      <c r="AW12">
        <f>IFERROR(AVERAGE('Fat Spreads'!AK12:AK31)+2*STDEV('Fat Spreads'!AK12:AK31),"")</f>
        <v>0</v>
      </c>
      <c r="AX12">
        <f>IFERROR(AVERAGE('Fat Spreads'!AK12:AK31)-2*STDEV('Fat Spreads'!AK12:AK31),"")</f>
        <v>0</v>
      </c>
      <c r="AY12" t="str">
        <f>IFERROR(('Fat Spreads'!AK12-(AVERAGE('Fat Spreads'!AK12:AK31)-2*STDEV('Fat Spreads'!AK12:AK31)))/(4*STDEV('Fat Spreads'!AK12:AK31)),"")</f>
        <v/>
      </c>
      <c r="AZ12" t="str">
        <f>IFERROR(4*STDEV('Fat Spreads'!AK12:AK31)/AVERAGE('Fat Spreads'!AK12:AK31),"")</f>
        <v/>
      </c>
      <c r="BA12">
        <v>31.893699999999999</v>
      </c>
      <c r="BB12">
        <f>IFERROR(SQRT((SUMSQ('Fat Spreads'!AK12:AK31)-2*SUMPRODUCT('Fat Spreads'!AK12:AK31,'Fat Spreads'!AK13:AK32)+SUMSQ('Fat Spreads'!AK13:AK32)-('Fat Spreads'!AK12-'Fat Spreads'!AK32)^2/20)/19),"")</f>
        <v>0</v>
      </c>
      <c r="BD12">
        <f>IFERROR('Fat Spreads'!V12,"")</f>
        <v>0</v>
      </c>
      <c r="BE12">
        <f>IFERROR(('Fat Spreads'!W12-AVERAGE('Fat Spreads'!$W$3:$W$4308))/STDEV('Fat Spreads'!$W$3:$W$4308),"")</f>
        <v>-9.2057461789832332E-2</v>
      </c>
      <c r="BF12">
        <f>IFERROR('Fat Spreads'!W12-'Fat Spreads'!W17,"")</f>
        <v>0</v>
      </c>
      <c r="BG12">
        <f>IFERROR('Fat Spreads'!W12-'Fat Spreads'!W22,"")</f>
        <v>0</v>
      </c>
      <c r="BH12">
        <f>IFERROR(AVERAGE('Fat Spreads'!W12:W31)+2*STDEV('Fat Spreads'!W12:W31),"")</f>
        <v>0</v>
      </c>
      <c r="BI12">
        <f>IFERROR(AVERAGE('Fat Spreads'!W12:W31)-2*STDEV('Fat Spreads'!W12:W31),"")</f>
        <v>0</v>
      </c>
      <c r="BJ12" t="str">
        <f>IFERROR(('Fat Spreads'!W12-(AVERAGE('Fat Spreads'!W12:W31)-2*STDEV('Fat Spreads'!W12:W31)))/(4*STDEV('Fat Spreads'!W12:W31)),"")</f>
        <v/>
      </c>
      <c r="BK12" t="str">
        <f>IFERROR(4*STDEV('Fat Spreads'!W12:W31)/AVERAGE('Fat Spreads'!W12:W31),"")</f>
        <v/>
      </c>
      <c r="BL12">
        <v>51.854700000000001</v>
      </c>
      <c r="BM12">
        <f>IFERROR(SQRT((SUMSQ('Fat Spreads'!W12:W31)-2*SUMPRODUCT('Fat Spreads'!W12:W31,'Fat Spreads'!W13:W32)+SUMSQ('Fat Spreads'!W13:W32)-('Fat Spreads'!W12-'Fat Spreads'!W32)^2/20)/19),"")</f>
        <v>0</v>
      </c>
      <c r="BO12">
        <f>IFERROR('Fat Spreads'!AC12,"")</f>
        <v>0</v>
      </c>
      <c r="BP12">
        <f>IFERROR(('Fat Spreads'!AD12-AVERAGE('Fat Spreads'!$AD$3:$AD$4308))/STDEV('Fat Spreads'!$AD$3:$AD$4308),"")</f>
        <v>-9.2057461789832332E-2</v>
      </c>
      <c r="BQ12">
        <f>IFERROR('Fat Spreads'!AD12-'Fat Spreads'!AD17,"")</f>
        <v>0</v>
      </c>
      <c r="BR12">
        <f>IFERROR('Fat Spreads'!AD12-'Fat Spreads'!AD22,"")</f>
        <v>0</v>
      </c>
      <c r="BS12">
        <f>IFERROR(AVERAGE('Fat Spreads'!AD12:AD31)+2*STDEV('Fat Spreads'!AD12:AD31),"")</f>
        <v>0</v>
      </c>
      <c r="BT12">
        <f>IFERROR(AVERAGE('Fat Spreads'!AD12:AD31)-2*STDEV('Fat Spreads'!AD12:AD31),"")</f>
        <v>0</v>
      </c>
      <c r="BU12" t="str">
        <f>IFERROR(('Fat Spreads'!AD12-(AVERAGE('Fat Spreads'!AD12:AD31)-2*STDEV('Fat Spreads'!AD12:AD31)))/(4*STDEV('Fat Spreads'!AD12:AD31)),"")</f>
        <v/>
      </c>
      <c r="BV12" t="str">
        <f>IFERROR(4*STDEV('Fat Spreads'!AD12:AD31)/AVERAGE('Fat Spreads'!AD12:AD31),"")</f>
        <v/>
      </c>
      <c r="BW12">
        <v>61.055900000000001</v>
      </c>
      <c r="BX12">
        <f>IFERROR(SQRT((SUMSQ('Fat Spreads'!AD12:AD31)-2*SUMPRODUCT('Fat Spreads'!AD12:AD31,'Fat Spreads'!AD13:AD32)+SUMSQ('Fat Spreads'!AD13:AD32)-('Fat Spreads'!AD12-'Fat Spreads'!AD32)^2/20)/19),"")</f>
        <v>0</v>
      </c>
      <c r="BZ12">
        <f>IFERROR('Feeder Spreads'!A12,"")</f>
        <v>0</v>
      </c>
      <c r="CA12">
        <f>IFERROR(('Feeder Spreads'!B12-AVERAGE('Feeder Spreads'!$B$3:$B$4308))/STDEV('Feeder Spreads'!$B$3:$B$4308),"")</f>
        <v>-9.2057461789832346E-2</v>
      </c>
      <c r="CB12">
        <f>IFERROR('Feeder Spreads'!B12-'Feeder Spreads'!B17,"")</f>
        <v>0</v>
      </c>
      <c r="CC12">
        <f>IFERROR('Feeder Spreads'!B12-'Feeder Spreads'!B22,"")</f>
        <v>0</v>
      </c>
      <c r="CD12">
        <f>IFERROR(AVERAGE('Feeder Spreads'!B12:B31)+2*STDEV('Feeder Spreads'!B12:B31),"")</f>
        <v>0</v>
      </c>
      <c r="CE12">
        <f>IFERROR(AVERAGE('Feeder Spreads'!B12:B31)-2*STDEV('Feeder Spreads'!B12:B31),"")</f>
        <v>0</v>
      </c>
      <c r="CF12" t="str">
        <f>IFERROR(('Feeder Spreads'!B12-(AVERAGE('Feeder Spreads'!B12:B31)-2*STDEV('Feeder Spreads'!B12:B31)))/(4*STDEV('Feeder Spreads'!B12:B31)),"")</f>
        <v/>
      </c>
      <c r="CG12" t="str">
        <f>IFERROR(4*STDEV('Feeder Spreads'!B12:B31)/AVERAGE('Feeder Spreads'!B12:B31),"")</f>
        <v/>
      </c>
      <c r="CH12">
        <v>58.1738</v>
      </c>
      <c r="CI12">
        <f>IFERROR(SQRT((SUMSQ('Feeder Spreads'!B12:B31)-2*SUMPRODUCT('Feeder Spreads'!B12:B31,'Feeder Spreads'!B13:B32)+SUMSQ('Feeder Spreads'!B13:B32)-('Feeder Spreads'!B12-'Feeder Spreads'!B32)^2/20)/19),"")</f>
        <v>0</v>
      </c>
      <c r="CK12">
        <f>IFERROR('Feeder Spreads'!AX12,"")</f>
        <v>0</v>
      </c>
      <c r="CL12">
        <f>IFERROR(('Feeder Spreads'!AY12-AVERAGE('Feeder Spreads'!$AY$3:$AY$4308))/STDEV('Feeder Spreads'!$AY$3:$AY$4308),"")</f>
        <v>-9.2057461789832346E-2</v>
      </c>
      <c r="CM12">
        <f>IFERROR('Feeder Spreads'!AY12-'Feeder Spreads'!AY17,"")</f>
        <v>0</v>
      </c>
      <c r="CN12">
        <f>IFERROR('Feeder Spreads'!AY12-'Feeder Spreads'!AY22,"")</f>
        <v>0</v>
      </c>
      <c r="CO12">
        <f>IFERROR(AVERAGE('Feeder Spreads'!AY12:AY31)+2*STDEV('Feeder Spreads'!AY12:AY31),"")</f>
        <v>0</v>
      </c>
      <c r="CP12">
        <f>IFERROR(AVERAGE('Feeder Spreads'!AY12:AY31)-2*STDEV('Feeder Spreads'!AY12:AY31),"")</f>
        <v>0</v>
      </c>
      <c r="CQ12" t="str">
        <f>IFERROR(('Feeder Spreads'!AY12-(AVERAGE('Feeder Spreads'!AY12:AY31)-2*STDEV('Feeder Spreads'!AY12:AY31)))/(4*STDEV('Feeder Spreads'!AY12:AY31)),"")</f>
        <v/>
      </c>
      <c r="CR12" t="str">
        <f>IFERROR(4*STDEV('Feeder Spreads'!AY12:AY31)/AVERAGE('Feeder Spreads'!AY12:AY31),"")</f>
        <v/>
      </c>
      <c r="CS12">
        <v>48.933300000000003</v>
      </c>
      <c r="CT12">
        <f>IFERROR(SQRT((SUMSQ('Feeder Spreads'!AY12:AY31)-2*SUMPRODUCT('Feeder Spreads'!AY12:AY31,'Feeder Spreads'!AY13:AY32)+SUMSQ('Feeder Spreads'!AY13:AY32)-('Feeder Spreads'!AY12-'Feeder Spreads'!AY32)^2/20)/19),"")</f>
        <v>0</v>
      </c>
      <c r="CV12">
        <f>IFERROR('Feeder Spreads'!H12,"")</f>
        <v>0</v>
      </c>
      <c r="CW12">
        <f>IFERROR(('Feeder Spreads'!I12-AVERAGE('Feeder Spreads'!$I$3:$I$4308))/STDEV('Feeder Spreads'!$I$3:$I$4308),"")</f>
        <v>-9.2057461789832332E-2</v>
      </c>
      <c r="CX12">
        <f>IFERROR('Feeder Spreads'!I12-'Feeder Spreads'!I17,"")</f>
        <v>0</v>
      </c>
      <c r="CY12">
        <f>IFERROR('Feeder Spreads'!I12-'Feeder Spreads'!I22,"")</f>
        <v>0</v>
      </c>
      <c r="CZ12">
        <f>IFERROR(AVERAGE('Feeder Spreads'!I12:I31)+2*STDEV('Feeder Spreads'!I12:I31),"")</f>
        <v>0</v>
      </c>
      <c r="DA12">
        <f>IFERROR(AVERAGE('Feeder Spreads'!I12:I31)-2*STDEV('Feeder Spreads'!I12:I31),"")</f>
        <v>0</v>
      </c>
      <c r="DB12" t="str">
        <f>IFERROR(('Feeder Spreads'!I12-(AVERAGE('Feeder Spreads'!I12:I31)-2*STDEV('Feeder Spreads'!I12:I31)))/(4*STDEV('Feeder Spreads'!I12:I31)),"")</f>
        <v/>
      </c>
      <c r="DC12" t="str">
        <f>IFERROR(4*STDEV('Feeder Spreads'!I12:I31)/AVERAGE('Feeder Spreads'!I12:I31),"")</f>
        <v/>
      </c>
      <c r="DD12">
        <v>44.482799999999997</v>
      </c>
      <c r="DE12">
        <f>IFERROR(SQRT((SUMSQ('Feeder Spreads'!I12:I31)-2*SUMPRODUCT('Feeder Spreads'!I12:I31,'Feeder Spreads'!I13:I32)+SUMSQ('Feeder Spreads'!I13:I32)-('Feeder Spreads'!I12-'Feeder Spreads'!I32)^2/20)/19),"")</f>
        <v>0</v>
      </c>
      <c r="DG12">
        <f>IFERROR('Feeder Spreads'!O12,"")</f>
        <v>0</v>
      </c>
      <c r="DH12">
        <f>IFERROR(('Feeder Spreads'!P12-AVERAGE('Feeder Spreads'!$P$3:$P$4308))/STDEV('Feeder Spreads'!$P$3:$P$4308),"")</f>
        <v>-9.2057461789832346E-2</v>
      </c>
      <c r="DI12">
        <f>IFERROR('Feeder Spreads'!P12-'Feeder Spreads'!P17,"")</f>
        <v>0</v>
      </c>
      <c r="DJ12">
        <f>IFERROR('Feeder Spreads'!P12-'Feeder Spreads'!P22,"")</f>
        <v>0</v>
      </c>
      <c r="DK12">
        <f>IFERROR(AVERAGE('Feeder Spreads'!P12:P31)+2*STDEV('Feeder Spreads'!P12:P31),"")</f>
        <v>0</v>
      </c>
      <c r="DL12">
        <f>IFERROR(AVERAGE('Feeder Spreads'!P12:P31)-2*STDEV('Feeder Spreads'!P12:P31),"")</f>
        <v>0</v>
      </c>
      <c r="DM12" t="str">
        <f>IFERROR(('Feeder Spreads'!P12-(AVERAGE('Feeder Spreads'!P12:P31)-2*STDEV('Feeder Spreads'!P12:P31)))/(4*STDEV('Feeder Spreads'!P12:P31)),"")</f>
        <v/>
      </c>
      <c r="DN12" t="str">
        <f>IFERROR(4*STDEV('Feeder Spreads'!P12:P31)/AVERAGE('Feeder Spreads'!P12:P31),"")</f>
        <v/>
      </c>
      <c r="DO12">
        <v>48.081200000000003</v>
      </c>
      <c r="DP12">
        <f>IFERROR(SQRT((SUMSQ('Feeder Spreads'!P12:P31)-2*SUMPRODUCT('Feeder Spreads'!P12:P31,'Feeder Spreads'!P13:P32)+SUMSQ('Feeder Spreads'!P13:P32)-('Feeder Spreads'!P12-'Feeder Spreads'!P32)^2/20)/19),"")</f>
        <v>0</v>
      </c>
      <c r="DR12">
        <f>IFERROR('Feeder Spreads'!V12,"")</f>
        <v>0</v>
      </c>
      <c r="DS12">
        <f>IFERROR(('Feeder Spreads'!W12-AVERAGE('Feeder Spreads'!$W$3:$W$4308))/STDEV('Feeder Spreads'!$W$3:$W$4308),"")</f>
        <v>-9.2057461789832332E-2</v>
      </c>
      <c r="DT12">
        <f>IFERROR('Feeder Spreads'!W12-'Feeder Spreads'!W17,"")</f>
        <v>0</v>
      </c>
      <c r="DU12">
        <f>IFERROR('Feeder Spreads'!W12-'Feeder Spreads'!W22,"")</f>
        <v>0</v>
      </c>
      <c r="DV12">
        <f>IFERROR(AVERAGE('Feeder Spreads'!W12:W31)+2*STDEV('Feeder Spreads'!W12:W31),"")</f>
        <v>0</v>
      </c>
      <c r="DW12">
        <f>IFERROR(AVERAGE('Feeder Spreads'!W12:W31)-2*STDEV('Feeder Spreads'!W12:W31),"")</f>
        <v>0</v>
      </c>
      <c r="DX12" t="str">
        <f>IFERROR(('Feeder Spreads'!W12-(AVERAGE('Feeder Spreads'!W12:W31)-2*STDEV('Feeder Spreads'!W12:W31)))/(4*STDEV('Feeder Spreads'!W12:W31)),"")</f>
        <v/>
      </c>
      <c r="DY12" t="str">
        <f>IFERROR(4*STDEV('Feeder Spreads'!W12:W31)/AVERAGE('Feeder Spreads'!W12:W31),"")</f>
        <v/>
      </c>
      <c r="DZ12">
        <v>23.793199999999999</v>
      </c>
      <c r="EA12">
        <f>IFERROR(SQRT((SUMSQ('Feeder Spreads'!W12:W31)-2*SUMPRODUCT('Feeder Spreads'!W12:W31,'Feeder Spreads'!W13:W32)+SUMSQ('Feeder Spreads'!W13:W32)-('Feeder Spreads'!W12-'Feeder Spreads'!W32)^2/20)/19),"")</f>
        <v>0</v>
      </c>
      <c r="EC12">
        <f>IFERROR('Feeder Spreads'!AC12,"")</f>
        <v>0</v>
      </c>
      <c r="ED12">
        <f>IFERROR(('Feeder Spreads'!AD12-AVERAGE('Feeder Spreads'!$AD$3:$AD$4308))/STDEV('Feeder Spreads'!$AD$3:$AD$4308),"")</f>
        <v>9.2057461789832318E-2</v>
      </c>
      <c r="EE12">
        <f>IFERROR('Feeder Spreads'!AD12-'Feeder Spreads'!AD17,"")</f>
        <v>0</v>
      </c>
      <c r="EF12">
        <f>IFERROR('Feeder Spreads'!AD12-'Feeder Spreads'!AD22,"")</f>
        <v>0</v>
      </c>
      <c r="EG12">
        <f>IFERROR(AVERAGE('Feeder Spreads'!AD12:AD31)+2*STDEV('Feeder Spreads'!AD12:AD31),"")</f>
        <v>0</v>
      </c>
      <c r="EH12">
        <f>IFERROR(AVERAGE('Feeder Spreads'!AD12:AD31)-2*STDEV('Feeder Spreads'!AD12:AD31),"")</f>
        <v>0</v>
      </c>
      <c r="EI12" t="str">
        <f>IFERROR(('Feeder Spreads'!AD12-(AVERAGE('Feeder Spreads'!AD12:AD31)-2*STDEV('Feeder Spreads'!AD12:AD31)))/(4*STDEV('Feeder Spreads'!AD12:AD31)),"")</f>
        <v/>
      </c>
      <c r="EJ12" t="str">
        <f>IFERROR(4*STDEV('Feeder Spreads'!AD12:AD31)/AVERAGE('Feeder Spreads'!AD12:AD31),"")</f>
        <v/>
      </c>
      <c r="EK12">
        <v>55.5959</v>
      </c>
      <c r="EL12">
        <f>IFERROR(SQRT((SUMSQ('Feeder Spreads'!AD12:AD31)-2*SUMPRODUCT('Feeder Spreads'!AD12:AD31,'Feeder Spreads'!AD13:AD32)+SUMSQ('Feeder Spreads'!AD13:AD32)-('Feeder Spreads'!AD12-'Feeder Spreads'!AD32)^2/20)/19),"")</f>
        <v>0</v>
      </c>
      <c r="EN12">
        <f>IFERROR('Feeder Spreads'!AJ12,"")</f>
        <v>0</v>
      </c>
      <c r="EO12">
        <f>IFERROR(('Feeder Spreads'!AK12-AVERAGE('Feeder Spreads'!$AK$3:$AK$4308))/STDEV('Feeder Spreads'!$AK$3:$AK$4308),"")</f>
        <v>-9.2057461789832346E-2</v>
      </c>
      <c r="EP12">
        <f>IFERROR('Feeder Spreads'!AK12-'Feeder Spreads'!AK17,"")</f>
        <v>0</v>
      </c>
      <c r="EQ12">
        <f>IFERROR('Feeder Spreads'!AK12-'Feeder Spreads'!AK22,"")</f>
        <v>0</v>
      </c>
      <c r="ER12">
        <f>IFERROR(AVERAGE('Feeder Spreads'!AK12:AK31)+2*STDEV('Feeder Spreads'!AK12:AK31),"")</f>
        <v>0</v>
      </c>
      <c r="ES12">
        <f>IFERROR(AVERAGE('Feeder Spreads'!AK12:AK31)-2*STDEV('Feeder Spreads'!AK12:AK31),"")</f>
        <v>0</v>
      </c>
      <c r="ET12" t="str">
        <f>IFERROR(('Feeder Spreads'!AK12-(AVERAGE('Feeder Spreads'!AK12:AK31)-2*STDEV('Feeder Spreads'!AK12:AK31)))/(4*STDEV('Feeder Spreads'!AK12:AK31)),"")</f>
        <v/>
      </c>
      <c r="EU12" t="str">
        <f>IFERROR(4*STDEV('Feeder Spreads'!AK12:AK31)/AVERAGE('Feeder Spreads'!AK12:AK31),"")</f>
        <v/>
      </c>
      <c r="EV12">
        <v>63.9191</v>
      </c>
      <c r="EW12">
        <f>IFERROR(SQRT((SUMSQ('Feeder Spreads'!AK12:AK31)-2*SUMPRODUCT('Feeder Spreads'!AK12:AK31,'Feeder Spreads'!AK13:AK32)+SUMSQ('Feeder Spreads'!AK13:AK32)-('Feeder Spreads'!AK12-'Feeder Spreads'!AK32)^2/20)/19),"")</f>
        <v>0</v>
      </c>
      <c r="EY12">
        <f>IFERROR('Feeder Spreads'!AQ12,"")</f>
        <v>0</v>
      </c>
      <c r="EZ12">
        <f>IFERROR(('Feeder Spreads'!AR12-AVERAGE('Feeder Spreads'!$AR$3:$AR$4308))/STDEV('Feeder Spreads'!$AR$3:$AR$4308),"")</f>
        <v>-9.2057461789832332E-2</v>
      </c>
      <c r="FA12">
        <f>IFERROR('Feeder Spreads'!AR12-'Feeder Spreads'!AR17,"")</f>
        <v>0</v>
      </c>
      <c r="FB12">
        <f>IFERROR('Feeder Spreads'!AR12-'Feeder Spreads'!AR22,"")</f>
        <v>0</v>
      </c>
      <c r="FC12">
        <f>IFERROR(AVERAGE('Feeder Spreads'!AR12:AR31)+2*STDEV('Feeder Spreads'!AR12:AR31),"")</f>
        <v>0</v>
      </c>
      <c r="FD12">
        <f>IFERROR(AVERAGE('Feeder Spreads'!AR12:AR31)-2*STDEV('Feeder Spreads'!AR12:AR31),"")</f>
        <v>0</v>
      </c>
      <c r="FE12" t="str">
        <f>IFERROR(('Feeder Spreads'!AR12-(AVERAGE('Feeder Spreads'!AR12:AR31)-2*STDEV('Feeder Spreads'!AR12:AR31)))/(4*STDEV('Feeder Spreads'!AR12:AR31)),"")</f>
        <v/>
      </c>
      <c r="FF12" t="str">
        <f>IFERROR(4*STDEV('Feeder Spreads'!AR12:AR31)/AVERAGE('Feeder Spreads'!AR12:AR31),"")</f>
        <v/>
      </c>
      <c r="FG12">
        <v>57.255699999999997</v>
      </c>
      <c r="FH12">
        <f>IFERROR(SQRT((SUMSQ('Feeder Spreads'!AR12:AR31)-2*SUMPRODUCT('Feeder Spreads'!AR12:AR31,'Feeder Spreads'!AR13:AR32)+SUMSQ('Feeder Spreads'!AR13:AR32)-('Feeder Spreads'!AR12-'Feeder Spreads'!AR32)^2/20)/19),"")</f>
        <v>0</v>
      </c>
      <c r="FJ12">
        <f>IFERROR('Fat Spreads'!AX12,"")</f>
        <v>0</v>
      </c>
      <c r="FK12">
        <f>IFERROR(('Fat Spreads'!AY12-AVERAGE('Fat Spreads'!$AY$3:$AY$4308))/STDEV('Fat Spreads'!$AY$3:$AY$4308),"")</f>
        <v>9.2057461789832332E-2</v>
      </c>
      <c r="FL12">
        <f>IFERROR('Fat Spreads'!AY12-'Fat Spreads'!AY17,"")</f>
        <v>0</v>
      </c>
      <c r="FM12">
        <f>IFERROR('Fat Spreads'!AY12-'Fat Spreads'!AY22,"")</f>
        <v>0</v>
      </c>
      <c r="FN12">
        <f>IFERROR(AVERAGE('Fat Spreads'!AY12:AY31)+2*STDEV('Fat Spreads'!AY12:AY31),"")</f>
        <v>0</v>
      </c>
      <c r="FO12">
        <f>IFERROR(AVERAGE('Fat Spreads'!AY12:AY31)-2*STDEV('Fat Spreads'!AY12:AY31),"")</f>
        <v>0</v>
      </c>
      <c r="FP12" t="str">
        <f>IFERROR(('Fat Spreads'!AY12-(AVERAGE('Fat Spreads'!AY12:AY31)-2*STDEV('Fat Spreads'!AY12:AY31)))/(4*STDEV('Fat Spreads'!AY12:AY31)),"")</f>
        <v/>
      </c>
      <c r="FQ12" t="str">
        <f>IFERROR(4*STDEV('Fat Spreads'!AY12:AY31)/AVERAGE('Fat Spreads'!AY12:AY31),"")</f>
        <v/>
      </c>
      <c r="FR12">
        <v>42.470500000000001</v>
      </c>
      <c r="FS12">
        <f>IFERROR(SQRT((SUMSQ('Fat Spreads'!AY12:AY31)-2*SUMPRODUCT('Fat Spreads'!AY12:AY31,'Fat Spreads'!AY13:AY32)+SUMSQ('Fat Spreads'!AY13:AY32)-('Fat Spreads'!AY12-'Fat Spreads'!AY32)^2/20)/19),"")</f>
        <v>0</v>
      </c>
      <c r="FU12">
        <f>IFERROR('Fat Spreads'!BE12,"")</f>
        <v>0</v>
      </c>
      <c r="FV12">
        <f>IFERROR(('Fat Spreads'!BF12-AVERAGE('Fat Spreads'!$BF$3:$BF$4308))/STDEV('Fat Spreads'!$BF$3:$BF$4308),"")</f>
        <v>9.2057461789832332E-2</v>
      </c>
      <c r="FW12">
        <f>IFERROR('Fat Spreads'!BF12-'Fat Spreads'!BF17,"")</f>
        <v>0</v>
      </c>
      <c r="FX12">
        <f>IFERROR('Fat Spreads'!BF12-'Fat Spreads'!BF22,"")</f>
        <v>0</v>
      </c>
      <c r="FY12">
        <f>IFERROR(AVERAGE('Fat Spreads'!BF12:BF31)+2*STDEV('Fat Spreads'!BF12:BF31),"")</f>
        <v>0</v>
      </c>
      <c r="FZ12">
        <f>IFERROR(AVERAGE('Fat Spreads'!BF12:BF31)-2*STDEV('Fat Spreads'!BF12:BF31),"")</f>
        <v>0</v>
      </c>
      <c r="GA12" t="str">
        <f>IFERROR(('Fat Spreads'!BF12-(AVERAGE('Fat Spreads'!BF12:BF31)-2*STDEV('Fat Spreads'!BF12:BF31)))/(4*STDEV('Fat Spreads'!BF12:BF31)),"")</f>
        <v/>
      </c>
      <c r="GB12" t="str">
        <f>IFERROR(4*STDEV('Fat Spreads'!BF12:BF31)/AVERAGE('Fat Spreads'!BF12:BF31),"")</f>
        <v/>
      </c>
      <c r="GC12">
        <v>66.004900000000006</v>
      </c>
      <c r="GD12">
        <f>IFERROR(SQRT((SUMSQ('Fat Spreads'!BF12:BF31)-2*SUMPRODUCT('Fat Spreads'!BF12:BF31,'Fat Spreads'!BF13:BF32)+SUMSQ('Fat Spreads'!BF13:BF32)-('Fat Spreads'!BF12-'Fat Spreads'!BF32)^2/20)/19),"")</f>
        <v>0</v>
      </c>
    </row>
    <row r="13" spans="1:186" x14ac:dyDescent="0.25">
      <c r="A13">
        <f>IFERROR('Fat Spreads'!A13,"")</f>
        <v>0</v>
      </c>
      <c r="B13">
        <f>IFERROR(('Fat Spreads'!B13-AVERAGE('Fat Spreads'!$B$3:$B$4308))/STDEV('Fat Spreads'!$B$3:$B$4308),"")</f>
        <v>9.2057461789832346E-2</v>
      </c>
      <c r="C13">
        <f>IFERROR('Fat Spreads'!B13-'Fat Spreads'!B18,"")</f>
        <v>0</v>
      </c>
      <c r="D13">
        <f>IFERROR('Fat Spreads'!B13-'Fat Spreads'!B23,"")</f>
        <v>0</v>
      </c>
      <c r="E13">
        <f>IFERROR(AVERAGE('Fat Spreads'!B13:B32)+2*STDEV('Fat Spreads'!B13:B32),"")</f>
        <v>0</v>
      </c>
      <c r="F13">
        <f>IFERROR(AVERAGE('Fat Spreads'!B13:B32)-2*STDEV('Fat Spreads'!B13:B32),"")</f>
        <v>0</v>
      </c>
      <c r="G13" t="str">
        <f>IFERROR(('Fat Spreads'!B13-(AVERAGE('Fat Spreads'!B13:B32)-2*STDEV('Fat Spreads'!B13:B32)))/(4*STDEV('Fat Spreads'!B13:B32)),"")</f>
        <v/>
      </c>
      <c r="H13" t="str">
        <f>IFERROR(4*STDEV('Fat Spreads'!B13:B32)/AVERAGE('Fat Spreads'!B13:B32),"")</f>
        <v/>
      </c>
      <c r="I13">
        <v>64.223100000000002</v>
      </c>
      <c r="J13">
        <f>IFERROR(SQRT((SUMSQ('Fat Spreads'!B13:B32)-2*SUMPRODUCT('Fat Spreads'!B13:B32,'Fat Spreads'!B14:B33)+SUMSQ('Fat Spreads'!B14:B33)-('Fat Spreads'!B13-'Fat Spreads'!B33)^2/20)/19),"")</f>
        <v>0</v>
      </c>
      <c r="L13">
        <f>IFERROR('Fat Spreads'!H13,"")</f>
        <v>0</v>
      </c>
      <c r="M13">
        <f>IFERROR(('Fat Spreads'!I13-AVERAGE('Fat Spreads'!$I$3:$I$4308))/STDEV('Fat Spreads'!$I$3:$I$4308),"")</f>
        <v>-9.2057461789832332E-2</v>
      </c>
      <c r="N13">
        <f>IFERROR('Fat Spreads'!I13-'Fat Spreads'!I18,"")</f>
        <v>0</v>
      </c>
      <c r="O13">
        <f>IFERROR('Fat Spreads'!I13-'Fat Spreads'!I23,"")</f>
        <v>0</v>
      </c>
      <c r="P13">
        <f>IFERROR(AVERAGE('Fat Spreads'!I13:I32)+2*STDEV('Fat Spreads'!I13:I32),"")</f>
        <v>0</v>
      </c>
      <c r="Q13">
        <f>IFERROR(AVERAGE('Fat Spreads'!I13:I32)-2*STDEV('Fat Spreads'!I13:I32),"")</f>
        <v>0</v>
      </c>
      <c r="R13" t="str">
        <f>IFERROR(('Fat Spreads'!I13-(AVERAGE('Fat Spreads'!I13:I32)-2*STDEV('Fat Spreads'!I13:I32)))/(4*STDEV('Fat Spreads'!I13:I32)),"")</f>
        <v/>
      </c>
      <c r="S13" t="str">
        <f>IFERROR(4*STDEV('Fat Spreads'!I13:I32)/AVERAGE('Fat Spreads'!I13:I32),"")</f>
        <v/>
      </c>
      <c r="T13">
        <v>53.155999999999999</v>
      </c>
      <c r="U13">
        <f>IFERROR(SQRT((SUMSQ('Fat Spreads'!I13:I32)-2*SUMPRODUCT('Fat Spreads'!I13:I32,'Fat Spreads'!I14:I33)+SUMSQ('Fat Spreads'!I14:I33)-('Fat Spreads'!I13-'Fat Spreads'!I33)^2/20)/19),"")</f>
        <v>0</v>
      </c>
      <c r="W13">
        <f>IFERROR('Fat Spreads'!AQ13,"")</f>
        <v>0</v>
      </c>
      <c r="X13">
        <f>IFERROR(('Fat Spreads'!AR13-AVERAGE('Fat Spreads'!$AR$3:$AR$4308))/STDEV('Fat Spreads'!$AR$3:$AR$4308),"")</f>
        <v>-9.2057461789832346E-2</v>
      </c>
      <c r="Y13">
        <f>IFERROR('Fat Spreads'!AR13-'Fat Spreads'!AR18,"")</f>
        <v>0</v>
      </c>
      <c r="Z13">
        <f>IFERROR('Fat Spreads'!AR13-'Fat Spreads'!AR23,"")</f>
        <v>0</v>
      </c>
      <c r="AA13">
        <f>IFERROR(AVERAGE('Fat Spreads'!AR13:AR32)+2*STDEV('Fat Spreads'!AR13:AR32),"")</f>
        <v>0</v>
      </c>
      <c r="AB13">
        <f>IFERROR(AVERAGE('Fat Spreads'!AR13:AR32)-2*STDEV('Fat Spreads'!AR13:AR32),"")</f>
        <v>0</v>
      </c>
      <c r="AC13" t="str">
        <f>IFERROR(('Fat Spreads'!AR13-(AVERAGE('Fat Spreads'!AR13:AR32)-2*STDEV('Fat Spreads'!AR13:AR32)))/(4*STDEV('Fat Spreads'!AR13:AR32)),"")</f>
        <v/>
      </c>
      <c r="AD13" t="str">
        <f>IFERROR(4*STDEV('Fat Spreads'!AR13:AR32)/AVERAGE('Fat Spreads'!AR13:AR32),"")</f>
        <v/>
      </c>
      <c r="AE13">
        <v>56.020200000000003</v>
      </c>
      <c r="AF13">
        <f>IFERROR(SQRT((SUMSQ('Fat Spreads'!AR13:AR32)-2*SUMPRODUCT('Fat Spreads'!AR13:AR32,'Fat Spreads'!AR14:AR33)+SUMSQ('Fat Spreads'!AR14:AR33)-('Fat Spreads'!AR13-'Fat Spreads'!AR33)^2/20)/19),"")</f>
        <v>0</v>
      </c>
      <c r="AH13">
        <f>IFERROR('Fat Spreads'!O13,"")</f>
        <v>0</v>
      </c>
      <c r="AI13">
        <f>IFERROR(('Fat Spreads'!P13-AVERAGE('Fat Spreads'!$P$3:$P$4308))/STDEV('Fat Spreads'!$P$3:$P$4308),"")</f>
        <v>-9.2057461789832332E-2</v>
      </c>
      <c r="AJ13">
        <f>IFERROR('Fat Spreads'!P13-'Fat Spreads'!P18,"")</f>
        <v>0</v>
      </c>
      <c r="AK13">
        <f>IFERROR('Fat Spreads'!P13-'Fat Spreads'!P23,"")</f>
        <v>0</v>
      </c>
      <c r="AL13">
        <f>IFERROR(AVERAGE('Fat Spreads'!P13:P32)+2*STDEV('Fat Spreads'!P13:P32),"")</f>
        <v>0</v>
      </c>
      <c r="AM13">
        <f>IFERROR(AVERAGE('Fat Spreads'!P13:P32)-2*STDEV('Fat Spreads'!P13:P32),"")</f>
        <v>0</v>
      </c>
      <c r="AN13" t="str">
        <f>IFERROR(('Fat Spreads'!P13-(AVERAGE('Fat Spreads'!P13:P32)-2*STDEV('Fat Spreads'!P13:P32)))/(4*STDEV('Fat Spreads'!P13:P32)),"")</f>
        <v/>
      </c>
      <c r="AO13" t="str">
        <f>IFERROR(4*STDEV('Fat Spreads'!P13:P32)/AVERAGE('Fat Spreads'!P13:P32),"")</f>
        <v/>
      </c>
      <c r="AP13">
        <v>57.624699999999997</v>
      </c>
      <c r="AQ13">
        <f>IFERROR(SQRT((SUMSQ('Fat Spreads'!P13:P32)-2*SUMPRODUCT('Fat Spreads'!P13:P32,'Fat Spreads'!P14:P33)+SUMSQ('Fat Spreads'!P14:P33)-('Fat Spreads'!P13-'Fat Spreads'!P33)^2/20)/19),"")</f>
        <v>0</v>
      </c>
      <c r="AS13">
        <f>IFERROR('Fat Spreads'!AJ13,"")</f>
        <v>0</v>
      </c>
      <c r="AT13">
        <f>IFERROR(('Fat Spreads'!AK13-AVERAGE('Fat Spreads'!$AK$3:$AK$4308))/STDEV('Fat Spreads'!$AK$3:$AK$4308),"")</f>
        <v>-9.2057461789832332E-2</v>
      </c>
      <c r="AU13">
        <f>IFERROR('Fat Spreads'!AK13-'Fat Spreads'!AK18,"")</f>
        <v>0</v>
      </c>
      <c r="AV13">
        <f>IFERROR('Fat Spreads'!AK13-'Fat Spreads'!AK23,"")</f>
        <v>0</v>
      </c>
      <c r="AW13">
        <f>IFERROR(AVERAGE('Fat Spreads'!AK13:AK32)+2*STDEV('Fat Spreads'!AK13:AK32),"")</f>
        <v>0</v>
      </c>
      <c r="AX13">
        <f>IFERROR(AVERAGE('Fat Spreads'!AK13:AK32)-2*STDEV('Fat Spreads'!AK13:AK32),"")</f>
        <v>0</v>
      </c>
      <c r="AY13" t="str">
        <f>IFERROR(('Fat Spreads'!AK13-(AVERAGE('Fat Spreads'!AK13:AK32)-2*STDEV('Fat Spreads'!AK13:AK32)))/(4*STDEV('Fat Spreads'!AK13:AK32)),"")</f>
        <v/>
      </c>
      <c r="AZ13" t="str">
        <f>IFERROR(4*STDEV('Fat Spreads'!AK13:AK32)/AVERAGE('Fat Spreads'!AK13:AK32),"")</f>
        <v/>
      </c>
      <c r="BA13">
        <v>31.3324</v>
      </c>
      <c r="BB13">
        <f>IFERROR(SQRT((SUMSQ('Fat Spreads'!AK13:AK32)-2*SUMPRODUCT('Fat Spreads'!AK13:AK32,'Fat Spreads'!AK14:AK33)+SUMSQ('Fat Spreads'!AK14:AK33)-('Fat Spreads'!AK13-'Fat Spreads'!AK33)^2/20)/19),"")</f>
        <v>0</v>
      </c>
      <c r="BD13">
        <f>IFERROR('Fat Spreads'!V13,"")</f>
        <v>0</v>
      </c>
      <c r="BE13">
        <f>IFERROR(('Fat Spreads'!W13-AVERAGE('Fat Spreads'!$W$3:$W$4308))/STDEV('Fat Spreads'!$W$3:$W$4308),"")</f>
        <v>-9.2057461789832332E-2</v>
      </c>
      <c r="BF13">
        <f>IFERROR('Fat Spreads'!W13-'Fat Spreads'!W18,"")</f>
        <v>0</v>
      </c>
      <c r="BG13">
        <f>IFERROR('Fat Spreads'!W13-'Fat Spreads'!W23,"")</f>
        <v>0</v>
      </c>
      <c r="BH13">
        <f>IFERROR(AVERAGE('Fat Spreads'!W13:W32)+2*STDEV('Fat Spreads'!W13:W32),"")</f>
        <v>0</v>
      </c>
      <c r="BI13">
        <f>IFERROR(AVERAGE('Fat Spreads'!W13:W32)-2*STDEV('Fat Spreads'!W13:W32),"")</f>
        <v>0</v>
      </c>
      <c r="BJ13" t="str">
        <f>IFERROR(('Fat Spreads'!W13-(AVERAGE('Fat Spreads'!W13:W32)-2*STDEV('Fat Spreads'!W13:W32)))/(4*STDEV('Fat Spreads'!W13:W32)),"")</f>
        <v/>
      </c>
      <c r="BK13" t="str">
        <f>IFERROR(4*STDEV('Fat Spreads'!W13:W32)/AVERAGE('Fat Spreads'!W13:W32),"")</f>
        <v/>
      </c>
      <c r="BL13">
        <v>51.239800000000002</v>
      </c>
      <c r="BM13">
        <f>IFERROR(SQRT((SUMSQ('Fat Spreads'!W13:W32)-2*SUMPRODUCT('Fat Spreads'!W13:W32,'Fat Spreads'!W14:W33)+SUMSQ('Fat Spreads'!W14:W33)-('Fat Spreads'!W13-'Fat Spreads'!W33)^2/20)/19),"")</f>
        <v>0</v>
      </c>
      <c r="BO13">
        <f>IFERROR('Fat Spreads'!AC13,"")</f>
        <v>0</v>
      </c>
      <c r="BP13">
        <f>IFERROR(('Fat Spreads'!AD13-AVERAGE('Fat Spreads'!$AD$3:$AD$4308))/STDEV('Fat Spreads'!$AD$3:$AD$4308),"")</f>
        <v>-9.2057461789832332E-2</v>
      </c>
      <c r="BQ13">
        <f>IFERROR('Fat Spreads'!AD13-'Fat Spreads'!AD18,"")</f>
        <v>0</v>
      </c>
      <c r="BR13">
        <f>IFERROR('Fat Spreads'!AD13-'Fat Spreads'!AD23,"")</f>
        <v>0</v>
      </c>
      <c r="BS13">
        <f>IFERROR(AVERAGE('Fat Spreads'!AD13:AD32)+2*STDEV('Fat Spreads'!AD13:AD32),"")</f>
        <v>0</v>
      </c>
      <c r="BT13">
        <f>IFERROR(AVERAGE('Fat Spreads'!AD13:AD32)-2*STDEV('Fat Spreads'!AD13:AD32),"")</f>
        <v>0</v>
      </c>
      <c r="BU13" t="str">
        <f>IFERROR(('Fat Spreads'!AD13-(AVERAGE('Fat Spreads'!AD13:AD32)-2*STDEV('Fat Spreads'!AD13:AD32)))/(4*STDEV('Fat Spreads'!AD13:AD32)),"")</f>
        <v/>
      </c>
      <c r="BV13" t="str">
        <f>IFERROR(4*STDEV('Fat Spreads'!AD13:AD32)/AVERAGE('Fat Spreads'!AD13:AD32),"")</f>
        <v/>
      </c>
      <c r="BW13">
        <v>60.083300000000001</v>
      </c>
      <c r="BX13">
        <f>IFERROR(SQRT((SUMSQ('Fat Spreads'!AD13:AD32)-2*SUMPRODUCT('Fat Spreads'!AD13:AD32,'Fat Spreads'!AD14:AD33)+SUMSQ('Fat Spreads'!AD14:AD33)-('Fat Spreads'!AD13-'Fat Spreads'!AD33)^2/20)/19),"")</f>
        <v>0</v>
      </c>
      <c r="BZ13">
        <f>IFERROR('Feeder Spreads'!A13,"")</f>
        <v>0</v>
      </c>
      <c r="CA13">
        <f>IFERROR(('Feeder Spreads'!B13-AVERAGE('Feeder Spreads'!$B$3:$B$4308))/STDEV('Feeder Spreads'!$B$3:$B$4308),"")</f>
        <v>-9.2057461789832346E-2</v>
      </c>
      <c r="CB13">
        <f>IFERROR('Feeder Spreads'!B13-'Feeder Spreads'!B18,"")</f>
        <v>0</v>
      </c>
      <c r="CC13">
        <f>IFERROR('Feeder Spreads'!B13-'Feeder Spreads'!B23,"")</f>
        <v>0</v>
      </c>
      <c r="CD13">
        <f>IFERROR(AVERAGE('Feeder Spreads'!B13:B32)+2*STDEV('Feeder Spreads'!B13:B32),"")</f>
        <v>0</v>
      </c>
      <c r="CE13">
        <f>IFERROR(AVERAGE('Feeder Spreads'!B13:B32)-2*STDEV('Feeder Spreads'!B13:B32),"")</f>
        <v>0</v>
      </c>
      <c r="CF13" t="str">
        <f>IFERROR(('Feeder Spreads'!B13-(AVERAGE('Feeder Spreads'!B13:B32)-2*STDEV('Feeder Spreads'!B13:B32)))/(4*STDEV('Feeder Spreads'!B13:B32)),"")</f>
        <v/>
      </c>
      <c r="CG13" t="str">
        <f>IFERROR(4*STDEV('Feeder Spreads'!B13:B32)/AVERAGE('Feeder Spreads'!B13:B32),"")</f>
        <v/>
      </c>
      <c r="CH13">
        <v>55.999499999999998</v>
      </c>
      <c r="CI13">
        <f>IFERROR(SQRT((SUMSQ('Feeder Spreads'!B13:B32)-2*SUMPRODUCT('Feeder Spreads'!B13:B32,'Feeder Spreads'!B14:B33)+SUMSQ('Feeder Spreads'!B14:B33)-('Feeder Spreads'!B13-'Feeder Spreads'!B33)^2/20)/19),"")</f>
        <v>0</v>
      </c>
      <c r="CK13">
        <f>IFERROR('Feeder Spreads'!AX13,"")</f>
        <v>0</v>
      </c>
      <c r="CL13">
        <f>IFERROR(('Feeder Spreads'!AY13-AVERAGE('Feeder Spreads'!$AY$3:$AY$4308))/STDEV('Feeder Spreads'!$AY$3:$AY$4308),"")</f>
        <v>-9.2057461789832346E-2</v>
      </c>
      <c r="CM13">
        <f>IFERROR('Feeder Spreads'!AY13-'Feeder Spreads'!AY18,"")</f>
        <v>0</v>
      </c>
      <c r="CN13">
        <f>IFERROR('Feeder Spreads'!AY13-'Feeder Spreads'!AY23,"")</f>
        <v>0</v>
      </c>
      <c r="CO13">
        <f>IFERROR(AVERAGE('Feeder Spreads'!AY13:AY32)+2*STDEV('Feeder Spreads'!AY13:AY32),"")</f>
        <v>0</v>
      </c>
      <c r="CP13">
        <f>IFERROR(AVERAGE('Feeder Spreads'!AY13:AY32)-2*STDEV('Feeder Spreads'!AY13:AY32),"")</f>
        <v>0</v>
      </c>
      <c r="CQ13" t="str">
        <f>IFERROR(('Feeder Spreads'!AY13-(AVERAGE('Feeder Spreads'!AY13:AY32)-2*STDEV('Feeder Spreads'!AY13:AY32)))/(4*STDEV('Feeder Spreads'!AY13:AY32)),"")</f>
        <v/>
      </c>
      <c r="CR13" t="str">
        <f>IFERROR(4*STDEV('Feeder Spreads'!AY13:AY32)/AVERAGE('Feeder Spreads'!AY13:AY32),"")</f>
        <v/>
      </c>
      <c r="CS13">
        <v>53.3748</v>
      </c>
      <c r="CT13">
        <f>IFERROR(SQRT((SUMSQ('Feeder Spreads'!AY13:AY32)-2*SUMPRODUCT('Feeder Spreads'!AY13:AY32,'Feeder Spreads'!AY14:AY33)+SUMSQ('Feeder Spreads'!AY14:AY33)-('Feeder Spreads'!AY13-'Feeder Spreads'!AY33)^2/20)/19),"")</f>
        <v>0</v>
      </c>
      <c r="CV13">
        <f>IFERROR('Feeder Spreads'!H13,"")</f>
        <v>0</v>
      </c>
      <c r="CW13">
        <f>IFERROR(('Feeder Spreads'!I13-AVERAGE('Feeder Spreads'!$I$3:$I$4308))/STDEV('Feeder Spreads'!$I$3:$I$4308),"")</f>
        <v>-9.2057461789832332E-2</v>
      </c>
      <c r="CX13">
        <f>IFERROR('Feeder Spreads'!I13-'Feeder Spreads'!I18,"")</f>
        <v>0</v>
      </c>
      <c r="CY13">
        <f>IFERROR('Feeder Spreads'!I13-'Feeder Spreads'!I23,"")</f>
        <v>0</v>
      </c>
      <c r="CZ13">
        <f>IFERROR(AVERAGE('Feeder Spreads'!I13:I32)+2*STDEV('Feeder Spreads'!I13:I32),"")</f>
        <v>0</v>
      </c>
      <c r="DA13">
        <f>IFERROR(AVERAGE('Feeder Spreads'!I13:I32)-2*STDEV('Feeder Spreads'!I13:I32),"")</f>
        <v>0</v>
      </c>
      <c r="DB13" t="str">
        <f>IFERROR(('Feeder Spreads'!I13-(AVERAGE('Feeder Spreads'!I13:I32)-2*STDEV('Feeder Spreads'!I13:I32)))/(4*STDEV('Feeder Spreads'!I13:I32)),"")</f>
        <v/>
      </c>
      <c r="DC13" t="str">
        <f>IFERROR(4*STDEV('Feeder Spreads'!I13:I32)/AVERAGE('Feeder Spreads'!I13:I32),"")</f>
        <v/>
      </c>
      <c r="DD13">
        <v>44.978999999999999</v>
      </c>
      <c r="DE13">
        <f>IFERROR(SQRT((SUMSQ('Feeder Spreads'!I13:I32)-2*SUMPRODUCT('Feeder Spreads'!I13:I32,'Feeder Spreads'!I14:I33)+SUMSQ('Feeder Spreads'!I14:I33)-('Feeder Spreads'!I13-'Feeder Spreads'!I33)^2/20)/19),"")</f>
        <v>0</v>
      </c>
      <c r="DG13">
        <f>IFERROR('Feeder Spreads'!O13,"")</f>
        <v>0</v>
      </c>
      <c r="DH13">
        <f>IFERROR(('Feeder Spreads'!P13-AVERAGE('Feeder Spreads'!$P$3:$P$4308))/STDEV('Feeder Spreads'!$P$3:$P$4308),"")</f>
        <v>-9.2057461789832346E-2</v>
      </c>
      <c r="DI13">
        <f>IFERROR('Feeder Spreads'!P13-'Feeder Spreads'!P18,"")</f>
        <v>0</v>
      </c>
      <c r="DJ13">
        <f>IFERROR('Feeder Spreads'!P13-'Feeder Spreads'!P23,"")</f>
        <v>0</v>
      </c>
      <c r="DK13">
        <f>IFERROR(AVERAGE('Feeder Spreads'!P13:P32)+2*STDEV('Feeder Spreads'!P13:P32),"")</f>
        <v>0</v>
      </c>
      <c r="DL13">
        <f>IFERROR(AVERAGE('Feeder Spreads'!P13:P32)-2*STDEV('Feeder Spreads'!P13:P32),"")</f>
        <v>0</v>
      </c>
      <c r="DM13" t="str">
        <f>IFERROR(('Feeder Spreads'!P13-(AVERAGE('Feeder Spreads'!P13:P32)-2*STDEV('Feeder Spreads'!P13:P32)))/(4*STDEV('Feeder Spreads'!P13:P32)),"")</f>
        <v/>
      </c>
      <c r="DN13" t="str">
        <f>IFERROR(4*STDEV('Feeder Spreads'!P13:P32)/AVERAGE('Feeder Spreads'!P13:P32),"")</f>
        <v/>
      </c>
      <c r="DO13">
        <v>49.633800000000001</v>
      </c>
      <c r="DP13">
        <f>IFERROR(SQRT((SUMSQ('Feeder Spreads'!P13:P32)-2*SUMPRODUCT('Feeder Spreads'!P13:P32,'Feeder Spreads'!P14:P33)+SUMSQ('Feeder Spreads'!P14:P33)-('Feeder Spreads'!P13-'Feeder Spreads'!P33)^2/20)/19),"")</f>
        <v>0</v>
      </c>
      <c r="DR13">
        <f>IFERROR('Feeder Spreads'!V13,"")</f>
        <v>0</v>
      </c>
      <c r="DS13">
        <f>IFERROR(('Feeder Spreads'!W13-AVERAGE('Feeder Spreads'!$W$3:$W$4308))/STDEV('Feeder Spreads'!$W$3:$W$4308),"")</f>
        <v>-9.2057461789832332E-2</v>
      </c>
      <c r="DT13">
        <f>IFERROR('Feeder Spreads'!W13-'Feeder Spreads'!W18,"")</f>
        <v>0</v>
      </c>
      <c r="DU13">
        <f>IFERROR('Feeder Spreads'!W13-'Feeder Spreads'!W23,"")</f>
        <v>0</v>
      </c>
      <c r="DV13">
        <f>IFERROR(AVERAGE('Feeder Spreads'!W13:W32)+2*STDEV('Feeder Spreads'!W13:W32),"")</f>
        <v>0</v>
      </c>
      <c r="DW13">
        <f>IFERROR(AVERAGE('Feeder Spreads'!W13:W32)-2*STDEV('Feeder Spreads'!W13:W32),"")</f>
        <v>0</v>
      </c>
      <c r="DX13" t="str">
        <f>IFERROR(('Feeder Spreads'!W13-(AVERAGE('Feeder Spreads'!W13:W32)-2*STDEV('Feeder Spreads'!W13:W32)))/(4*STDEV('Feeder Spreads'!W13:W32)),"")</f>
        <v/>
      </c>
      <c r="DY13" t="str">
        <f>IFERROR(4*STDEV('Feeder Spreads'!W13:W32)/AVERAGE('Feeder Spreads'!W13:W32),"")</f>
        <v/>
      </c>
      <c r="DZ13">
        <v>23.441099999999999</v>
      </c>
      <c r="EA13">
        <f>IFERROR(SQRT((SUMSQ('Feeder Spreads'!W13:W32)-2*SUMPRODUCT('Feeder Spreads'!W13:W32,'Feeder Spreads'!W14:W33)+SUMSQ('Feeder Spreads'!W14:W33)-('Feeder Spreads'!W13-'Feeder Spreads'!W33)^2/20)/19),"")</f>
        <v>0</v>
      </c>
      <c r="EC13">
        <f>IFERROR('Feeder Spreads'!AC13,"")</f>
        <v>0</v>
      </c>
      <c r="ED13">
        <f>IFERROR(('Feeder Spreads'!AD13-AVERAGE('Feeder Spreads'!$AD$3:$AD$4308))/STDEV('Feeder Spreads'!$AD$3:$AD$4308),"")</f>
        <v>9.2057461789832318E-2</v>
      </c>
      <c r="EE13">
        <f>IFERROR('Feeder Spreads'!AD13-'Feeder Spreads'!AD18,"")</f>
        <v>0</v>
      </c>
      <c r="EF13">
        <f>IFERROR('Feeder Spreads'!AD13-'Feeder Spreads'!AD23,"")</f>
        <v>0</v>
      </c>
      <c r="EG13">
        <f>IFERROR(AVERAGE('Feeder Spreads'!AD13:AD32)+2*STDEV('Feeder Spreads'!AD13:AD32),"")</f>
        <v>0</v>
      </c>
      <c r="EH13">
        <f>IFERROR(AVERAGE('Feeder Spreads'!AD13:AD32)-2*STDEV('Feeder Spreads'!AD13:AD32),"")</f>
        <v>0</v>
      </c>
      <c r="EI13" t="str">
        <f>IFERROR(('Feeder Spreads'!AD13-(AVERAGE('Feeder Spreads'!AD13:AD32)-2*STDEV('Feeder Spreads'!AD13:AD32)))/(4*STDEV('Feeder Spreads'!AD13:AD32)),"")</f>
        <v/>
      </c>
      <c r="EJ13" t="str">
        <f>IFERROR(4*STDEV('Feeder Spreads'!AD13:AD32)/AVERAGE('Feeder Spreads'!AD13:AD32),"")</f>
        <v/>
      </c>
      <c r="EK13">
        <v>58.867600000000003</v>
      </c>
      <c r="EL13">
        <f>IFERROR(SQRT((SUMSQ('Feeder Spreads'!AD13:AD32)-2*SUMPRODUCT('Feeder Spreads'!AD13:AD32,'Feeder Spreads'!AD14:AD33)+SUMSQ('Feeder Spreads'!AD14:AD33)-('Feeder Spreads'!AD13-'Feeder Spreads'!AD33)^2/20)/19),"")</f>
        <v>0</v>
      </c>
      <c r="EN13">
        <f>IFERROR('Feeder Spreads'!AJ13,"")</f>
        <v>0</v>
      </c>
      <c r="EO13">
        <f>IFERROR(('Feeder Spreads'!AK13-AVERAGE('Feeder Spreads'!$AK$3:$AK$4308))/STDEV('Feeder Spreads'!$AK$3:$AK$4308),"")</f>
        <v>-9.2057461789832346E-2</v>
      </c>
      <c r="EP13">
        <f>IFERROR('Feeder Spreads'!AK13-'Feeder Spreads'!AK18,"")</f>
        <v>0</v>
      </c>
      <c r="EQ13">
        <f>IFERROR('Feeder Spreads'!AK13-'Feeder Spreads'!AK23,"")</f>
        <v>0</v>
      </c>
      <c r="ER13">
        <f>IFERROR(AVERAGE('Feeder Spreads'!AK13:AK32)+2*STDEV('Feeder Spreads'!AK13:AK32),"")</f>
        <v>0</v>
      </c>
      <c r="ES13">
        <f>IFERROR(AVERAGE('Feeder Spreads'!AK13:AK32)-2*STDEV('Feeder Spreads'!AK13:AK32),"")</f>
        <v>0</v>
      </c>
      <c r="ET13" t="str">
        <f>IFERROR(('Feeder Spreads'!AK13-(AVERAGE('Feeder Spreads'!AK13:AK32)-2*STDEV('Feeder Spreads'!AK13:AK32)))/(4*STDEV('Feeder Spreads'!AK13:AK32)),"")</f>
        <v/>
      </c>
      <c r="EU13" t="str">
        <f>IFERROR(4*STDEV('Feeder Spreads'!AK13:AK32)/AVERAGE('Feeder Spreads'!AK13:AK32),"")</f>
        <v/>
      </c>
      <c r="EV13">
        <v>60.406799999999997</v>
      </c>
      <c r="EW13">
        <f>IFERROR(SQRT((SUMSQ('Feeder Spreads'!AK13:AK32)-2*SUMPRODUCT('Feeder Spreads'!AK13:AK32,'Feeder Spreads'!AK14:AK33)+SUMSQ('Feeder Spreads'!AK14:AK33)-('Feeder Spreads'!AK13-'Feeder Spreads'!AK33)^2/20)/19),"")</f>
        <v>0</v>
      </c>
      <c r="EY13">
        <f>IFERROR('Feeder Spreads'!AQ13,"")</f>
        <v>0</v>
      </c>
      <c r="EZ13">
        <f>IFERROR(('Feeder Spreads'!AR13-AVERAGE('Feeder Spreads'!$AR$3:$AR$4308))/STDEV('Feeder Spreads'!$AR$3:$AR$4308),"")</f>
        <v>-9.2057461789832332E-2</v>
      </c>
      <c r="FA13">
        <f>IFERROR('Feeder Spreads'!AR13-'Feeder Spreads'!AR18,"")</f>
        <v>0</v>
      </c>
      <c r="FB13">
        <f>IFERROR('Feeder Spreads'!AR13-'Feeder Spreads'!AR23,"")</f>
        <v>0</v>
      </c>
      <c r="FC13">
        <f>IFERROR(AVERAGE('Feeder Spreads'!AR13:AR32)+2*STDEV('Feeder Spreads'!AR13:AR32),"")</f>
        <v>0</v>
      </c>
      <c r="FD13">
        <f>IFERROR(AVERAGE('Feeder Spreads'!AR13:AR32)-2*STDEV('Feeder Spreads'!AR13:AR32),"")</f>
        <v>0</v>
      </c>
      <c r="FE13" t="str">
        <f>IFERROR(('Feeder Spreads'!AR13-(AVERAGE('Feeder Spreads'!AR13:AR32)-2*STDEV('Feeder Spreads'!AR13:AR32)))/(4*STDEV('Feeder Spreads'!AR13:AR32)),"")</f>
        <v/>
      </c>
      <c r="FF13" t="str">
        <f>IFERROR(4*STDEV('Feeder Spreads'!AR13:AR32)/AVERAGE('Feeder Spreads'!AR13:AR32),"")</f>
        <v/>
      </c>
      <c r="FG13">
        <v>50.692799999999998</v>
      </c>
      <c r="FH13">
        <f>IFERROR(SQRT((SUMSQ('Feeder Spreads'!AR13:AR32)-2*SUMPRODUCT('Feeder Spreads'!AR13:AR32,'Feeder Spreads'!AR14:AR33)+SUMSQ('Feeder Spreads'!AR14:AR33)-('Feeder Spreads'!AR13-'Feeder Spreads'!AR33)^2/20)/19),"")</f>
        <v>0</v>
      </c>
      <c r="FJ13">
        <f>IFERROR('Fat Spreads'!AX13,"")</f>
        <v>0</v>
      </c>
      <c r="FK13">
        <f>IFERROR(('Fat Spreads'!AY13-AVERAGE('Fat Spreads'!$AY$3:$AY$4308))/STDEV('Fat Spreads'!$AY$3:$AY$4308),"")</f>
        <v>9.2057461789832332E-2</v>
      </c>
      <c r="FL13">
        <f>IFERROR('Fat Spreads'!AY13-'Fat Spreads'!AY18,"")</f>
        <v>0</v>
      </c>
      <c r="FM13">
        <f>IFERROR('Fat Spreads'!AY13-'Fat Spreads'!AY23,"")</f>
        <v>0</v>
      </c>
      <c r="FN13">
        <f>IFERROR(AVERAGE('Fat Spreads'!AY13:AY32)+2*STDEV('Fat Spreads'!AY13:AY32),"")</f>
        <v>0</v>
      </c>
      <c r="FO13">
        <f>IFERROR(AVERAGE('Fat Spreads'!AY13:AY32)-2*STDEV('Fat Spreads'!AY13:AY32),"")</f>
        <v>0</v>
      </c>
      <c r="FP13" t="str">
        <f>IFERROR(('Fat Spreads'!AY13-(AVERAGE('Fat Spreads'!AY13:AY32)-2*STDEV('Fat Spreads'!AY13:AY32)))/(4*STDEV('Fat Spreads'!AY13:AY32)),"")</f>
        <v/>
      </c>
      <c r="FQ13" t="str">
        <f>IFERROR(4*STDEV('Fat Spreads'!AY13:AY32)/AVERAGE('Fat Spreads'!AY13:AY32),"")</f>
        <v/>
      </c>
      <c r="FR13">
        <v>42.569699999999997</v>
      </c>
      <c r="FS13">
        <f>IFERROR(SQRT((SUMSQ('Fat Spreads'!AY13:AY32)-2*SUMPRODUCT('Fat Spreads'!AY13:AY32,'Fat Spreads'!AY14:AY33)+SUMSQ('Fat Spreads'!AY14:AY33)-('Fat Spreads'!AY13-'Fat Spreads'!AY33)^2/20)/19),"")</f>
        <v>0</v>
      </c>
      <c r="FU13">
        <f>IFERROR('Fat Spreads'!BE13,"")</f>
        <v>0</v>
      </c>
      <c r="FV13">
        <f>IFERROR(('Fat Spreads'!BF13-AVERAGE('Fat Spreads'!$BF$3:$BF$4308))/STDEV('Fat Spreads'!$BF$3:$BF$4308),"")</f>
        <v>9.2057461789832332E-2</v>
      </c>
      <c r="FW13">
        <f>IFERROR('Fat Spreads'!BF13-'Fat Spreads'!BF18,"")</f>
        <v>0</v>
      </c>
      <c r="FX13">
        <f>IFERROR('Fat Spreads'!BF13-'Fat Spreads'!BF23,"")</f>
        <v>0</v>
      </c>
      <c r="FY13">
        <f>IFERROR(AVERAGE('Fat Spreads'!BF13:BF32)+2*STDEV('Fat Spreads'!BF13:BF32),"")</f>
        <v>0</v>
      </c>
      <c r="FZ13">
        <f>IFERROR(AVERAGE('Fat Spreads'!BF13:BF32)-2*STDEV('Fat Spreads'!BF13:BF32),"")</f>
        <v>0</v>
      </c>
      <c r="GA13" t="str">
        <f>IFERROR(('Fat Spreads'!BF13-(AVERAGE('Fat Spreads'!BF13:BF32)-2*STDEV('Fat Spreads'!BF13:BF32)))/(4*STDEV('Fat Spreads'!BF13:BF32)),"")</f>
        <v/>
      </c>
      <c r="GB13" t="str">
        <f>IFERROR(4*STDEV('Fat Spreads'!BF13:BF32)/AVERAGE('Fat Spreads'!BF13:BF32),"")</f>
        <v/>
      </c>
      <c r="GC13">
        <v>66.536600000000007</v>
      </c>
      <c r="GD13">
        <f>IFERROR(SQRT((SUMSQ('Fat Spreads'!BF13:BF32)-2*SUMPRODUCT('Fat Spreads'!BF13:BF32,'Fat Spreads'!BF14:BF33)+SUMSQ('Fat Spreads'!BF14:BF33)-('Fat Spreads'!BF13-'Fat Spreads'!BF33)^2/20)/19),"")</f>
        <v>0</v>
      </c>
    </row>
    <row r="14" spans="1:186" x14ac:dyDescent="0.25">
      <c r="A14">
        <f>IFERROR('Fat Spreads'!A14,"")</f>
        <v>0</v>
      </c>
      <c r="B14">
        <f>IFERROR(('Fat Spreads'!B14-AVERAGE('Fat Spreads'!$B$3:$B$4308))/STDEV('Fat Spreads'!$B$3:$B$4308),"")</f>
        <v>9.2057461789832346E-2</v>
      </c>
      <c r="C14">
        <f>IFERROR('Fat Spreads'!B14-'Fat Spreads'!B19,"")</f>
        <v>0</v>
      </c>
      <c r="D14">
        <f>IFERROR('Fat Spreads'!B14-'Fat Spreads'!B24,"")</f>
        <v>0</v>
      </c>
      <c r="E14">
        <f>IFERROR(AVERAGE('Fat Spreads'!B14:B33)+2*STDEV('Fat Spreads'!B14:B33),"")</f>
        <v>0</v>
      </c>
      <c r="F14">
        <f>IFERROR(AVERAGE('Fat Spreads'!B14:B33)-2*STDEV('Fat Spreads'!B14:B33),"")</f>
        <v>0</v>
      </c>
      <c r="G14" t="str">
        <f>IFERROR(('Fat Spreads'!B14-(AVERAGE('Fat Spreads'!B14:B33)-2*STDEV('Fat Spreads'!B14:B33)))/(4*STDEV('Fat Spreads'!B14:B33)),"")</f>
        <v/>
      </c>
      <c r="H14" t="str">
        <f>IFERROR(4*STDEV('Fat Spreads'!B14:B33)/AVERAGE('Fat Spreads'!B14:B33),"")</f>
        <v/>
      </c>
      <c r="I14">
        <v>62.294400000000003</v>
      </c>
      <c r="J14">
        <f>IFERROR(SQRT((SUMSQ('Fat Spreads'!B14:B33)-2*SUMPRODUCT('Fat Spreads'!B14:B33,'Fat Spreads'!B15:B34)+SUMSQ('Fat Spreads'!B15:B34)-('Fat Spreads'!B14-'Fat Spreads'!B34)^2/20)/19),"")</f>
        <v>0</v>
      </c>
      <c r="L14">
        <f>IFERROR('Fat Spreads'!H14,"")</f>
        <v>0</v>
      </c>
      <c r="M14">
        <f>IFERROR(('Fat Spreads'!I14-AVERAGE('Fat Spreads'!$I$3:$I$4308))/STDEV('Fat Spreads'!$I$3:$I$4308),"")</f>
        <v>-9.2057461789832332E-2</v>
      </c>
      <c r="N14">
        <f>IFERROR('Fat Spreads'!I14-'Fat Spreads'!I19,"")</f>
        <v>0</v>
      </c>
      <c r="O14">
        <f>IFERROR('Fat Spreads'!I14-'Fat Spreads'!I24,"")</f>
        <v>0</v>
      </c>
      <c r="P14">
        <f>IFERROR(AVERAGE('Fat Spreads'!I14:I33)+2*STDEV('Fat Spreads'!I14:I33),"")</f>
        <v>0</v>
      </c>
      <c r="Q14">
        <f>IFERROR(AVERAGE('Fat Spreads'!I14:I33)-2*STDEV('Fat Spreads'!I14:I33),"")</f>
        <v>0</v>
      </c>
      <c r="R14" t="str">
        <f>IFERROR(('Fat Spreads'!I14-(AVERAGE('Fat Spreads'!I14:I33)-2*STDEV('Fat Spreads'!I14:I33)))/(4*STDEV('Fat Spreads'!I14:I33)),"")</f>
        <v/>
      </c>
      <c r="S14" t="str">
        <f>IFERROR(4*STDEV('Fat Spreads'!I14:I33)/AVERAGE('Fat Spreads'!I14:I33),"")</f>
        <v/>
      </c>
      <c r="T14">
        <v>62.491700000000002</v>
      </c>
      <c r="U14">
        <f>IFERROR(SQRT((SUMSQ('Fat Spreads'!I14:I33)-2*SUMPRODUCT('Fat Spreads'!I14:I33,'Fat Spreads'!I15:I34)+SUMSQ('Fat Spreads'!I15:I34)-('Fat Spreads'!I14-'Fat Spreads'!I34)^2/20)/19),"")</f>
        <v>0</v>
      </c>
      <c r="W14">
        <f>IFERROR('Fat Spreads'!AQ14,"")</f>
        <v>0</v>
      </c>
      <c r="X14">
        <f>IFERROR(('Fat Spreads'!AR14-AVERAGE('Fat Spreads'!$AR$3:$AR$4308))/STDEV('Fat Spreads'!$AR$3:$AR$4308),"")</f>
        <v>-9.2057461789832346E-2</v>
      </c>
      <c r="Y14">
        <f>IFERROR('Fat Spreads'!AR14-'Fat Spreads'!AR19,"")</f>
        <v>0</v>
      </c>
      <c r="Z14">
        <f>IFERROR('Fat Spreads'!AR14-'Fat Spreads'!AR24,"")</f>
        <v>0</v>
      </c>
      <c r="AA14">
        <f>IFERROR(AVERAGE('Fat Spreads'!AR14:AR33)+2*STDEV('Fat Spreads'!AR14:AR33),"")</f>
        <v>0</v>
      </c>
      <c r="AB14">
        <f>IFERROR(AVERAGE('Fat Spreads'!AR14:AR33)-2*STDEV('Fat Spreads'!AR14:AR33),"")</f>
        <v>0</v>
      </c>
      <c r="AC14" t="str">
        <f>IFERROR(('Fat Spreads'!AR14-(AVERAGE('Fat Spreads'!AR14:AR33)-2*STDEV('Fat Spreads'!AR14:AR33)))/(4*STDEV('Fat Spreads'!AR14:AR33)),"")</f>
        <v/>
      </c>
      <c r="AD14" t="str">
        <f>IFERROR(4*STDEV('Fat Spreads'!AR14:AR33)/AVERAGE('Fat Spreads'!AR14:AR33),"")</f>
        <v/>
      </c>
      <c r="AE14">
        <v>59.149700000000003</v>
      </c>
      <c r="AF14">
        <f>IFERROR(SQRT((SUMSQ('Fat Spreads'!AR14:AR33)-2*SUMPRODUCT('Fat Spreads'!AR14:AR33,'Fat Spreads'!AR15:AR34)+SUMSQ('Fat Spreads'!AR15:AR34)-('Fat Spreads'!AR14-'Fat Spreads'!AR34)^2/20)/19),"")</f>
        <v>0</v>
      </c>
      <c r="AH14">
        <f>IFERROR('Fat Spreads'!O14,"")</f>
        <v>0</v>
      </c>
      <c r="AI14">
        <f>IFERROR(('Fat Spreads'!P14-AVERAGE('Fat Spreads'!$P$3:$P$4308))/STDEV('Fat Spreads'!$P$3:$P$4308),"")</f>
        <v>-9.2057461789832332E-2</v>
      </c>
      <c r="AJ14">
        <f>IFERROR('Fat Spreads'!P14-'Fat Spreads'!P19,"")</f>
        <v>0</v>
      </c>
      <c r="AK14">
        <f>IFERROR('Fat Spreads'!P14-'Fat Spreads'!P24,"")</f>
        <v>0</v>
      </c>
      <c r="AL14">
        <f>IFERROR(AVERAGE('Fat Spreads'!P14:P33)+2*STDEV('Fat Spreads'!P14:P33),"")</f>
        <v>0</v>
      </c>
      <c r="AM14">
        <f>IFERROR(AVERAGE('Fat Spreads'!P14:P33)-2*STDEV('Fat Spreads'!P14:P33),"")</f>
        <v>0</v>
      </c>
      <c r="AN14" t="str">
        <f>IFERROR(('Fat Spreads'!P14-(AVERAGE('Fat Spreads'!P14:P33)-2*STDEV('Fat Spreads'!P14:P33)))/(4*STDEV('Fat Spreads'!P14:P33)),"")</f>
        <v/>
      </c>
      <c r="AO14" t="str">
        <f>IFERROR(4*STDEV('Fat Spreads'!P14:P33)/AVERAGE('Fat Spreads'!P14:P33),"")</f>
        <v/>
      </c>
      <c r="AP14">
        <v>62.421100000000003</v>
      </c>
      <c r="AQ14">
        <f>IFERROR(SQRT((SUMSQ('Fat Spreads'!P14:P33)-2*SUMPRODUCT('Fat Spreads'!P14:P33,'Fat Spreads'!P15:P34)+SUMSQ('Fat Spreads'!P15:P34)-('Fat Spreads'!P14-'Fat Spreads'!P34)^2/20)/19),"")</f>
        <v>0</v>
      </c>
      <c r="AS14">
        <f>IFERROR('Fat Spreads'!AJ14,"")</f>
        <v>0</v>
      </c>
      <c r="AT14">
        <f>IFERROR(('Fat Spreads'!AK14-AVERAGE('Fat Spreads'!$AK$3:$AK$4308))/STDEV('Fat Spreads'!$AK$3:$AK$4308),"")</f>
        <v>-9.2057461789832332E-2</v>
      </c>
      <c r="AU14">
        <f>IFERROR('Fat Spreads'!AK14-'Fat Spreads'!AK19,"")</f>
        <v>0</v>
      </c>
      <c r="AV14">
        <f>IFERROR('Fat Spreads'!AK14-'Fat Spreads'!AK24,"")</f>
        <v>0</v>
      </c>
      <c r="AW14">
        <f>IFERROR(AVERAGE('Fat Spreads'!AK14:AK33)+2*STDEV('Fat Spreads'!AK14:AK33),"")</f>
        <v>0</v>
      </c>
      <c r="AX14">
        <f>IFERROR(AVERAGE('Fat Spreads'!AK14:AK33)-2*STDEV('Fat Spreads'!AK14:AK33),"")</f>
        <v>0</v>
      </c>
      <c r="AY14" t="str">
        <f>IFERROR(('Fat Spreads'!AK14-(AVERAGE('Fat Spreads'!AK14:AK33)-2*STDEV('Fat Spreads'!AK14:AK33)))/(4*STDEV('Fat Spreads'!AK14:AK33)),"")</f>
        <v/>
      </c>
      <c r="AZ14" t="str">
        <f>IFERROR(4*STDEV('Fat Spreads'!AK14:AK33)/AVERAGE('Fat Spreads'!AK14:AK33),"")</f>
        <v/>
      </c>
      <c r="BA14">
        <v>27.834800000000001</v>
      </c>
      <c r="BB14">
        <f>IFERROR(SQRT((SUMSQ('Fat Spreads'!AK14:AK33)-2*SUMPRODUCT('Fat Spreads'!AK14:AK33,'Fat Spreads'!AK15:AK34)+SUMSQ('Fat Spreads'!AK15:AK34)-('Fat Spreads'!AK14-'Fat Spreads'!AK34)^2/20)/19),"")</f>
        <v>0</v>
      </c>
      <c r="BD14">
        <f>IFERROR('Fat Spreads'!V14,"")</f>
        <v>0</v>
      </c>
      <c r="BE14">
        <f>IFERROR(('Fat Spreads'!W14-AVERAGE('Fat Spreads'!$W$3:$W$4308))/STDEV('Fat Spreads'!$W$3:$W$4308),"")</f>
        <v>-9.2057461789832332E-2</v>
      </c>
      <c r="BF14">
        <f>IFERROR('Fat Spreads'!W14-'Fat Spreads'!W19,"")</f>
        <v>0</v>
      </c>
      <c r="BG14">
        <f>IFERROR('Fat Spreads'!W14-'Fat Spreads'!W24,"")</f>
        <v>0</v>
      </c>
      <c r="BH14">
        <f>IFERROR(AVERAGE('Fat Spreads'!W14:W33)+2*STDEV('Fat Spreads'!W14:W33),"")</f>
        <v>0</v>
      </c>
      <c r="BI14">
        <f>IFERROR(AVERAGE('Fat Spreads'!W14:W33)-2*STDEV('Fat Spreads'!W14:W33),"")</f>
        <v>0</v>
      </c>
      <c r="BJ14" t="str">
        <f>IFERROR(('Fat Spreads'!W14-(AVERAGE('Fat Spreads'!W14:W33)-2*STDEV('Fat Spreads'!W14:W33)))/(4*STDEV('Fat Spreads'!W14:W33)),"")</f>
        <v/>
      </c>
      <c r="BK14" t="str">
        <f>IFERROR(4*STDEV('Fat Spreads'!W14:W33)/AVERAGE('Fat Spreads'!W14:W33),"")</f>
        <v/>
      </c>
      <c r="BL14">
        <v>50.654499999999999</v>
      </c>
      <c r="BM14">
        <f>IFERROR(SQRT((SUMSQ('Fat Spreads'!W14:W33)-2*SUMPRODUCT('Fat Spreads'!W14:W33,'Fat Spreads'!W15:W34)+SUMSQ('Fat Spreads'!W15:W34)-('Fat Spreads'!W14-'Fat Spreads'!W34)^2/20)/19),"")</f>
        <v>0</v>
      </c>
      <c r="BO14">
        <f>IFERROR('Fat Spreads'!AC14,"")</f>
        <v>0</v>
      </c>
      <c r="BP14">
        <f>IFERROR(('Fat Spreads'!AD14-AVERAGE('Fat Spreads'!$AD$3:$AD$4308))/STDEV('Fat Spreads'!$AD$3:$AD$4308),"")</f>
        <v>-9.2057461789832332E-2</v>
      </c>
      <c r="BQ14">
        <f>IFERROR('Fat Spreads'!AD14-'Fat Spreads'!AD19,"")</f>
        <v>0</v>
      </c>
      <c r="BR14">
        <f>IFERROR('Fat Spreads'!AD14-'Fat Spreads'!AD24,"")</f>
        <v>0</v>
      </c>
      <c r="BS14">
        <f>IFERROR(AVERAGE('Fat Spreads'!AD14:AD33)+2*STDEV('Fat Spreads'!AD14:AD33),"")</f>
        <v>0</v>
      </c>
      <c r="BT14">
        <f>IFERROR(AVERAGE('Fat Spreads'!AD14:AD33)-2*STDEV('Fat Spreads'!AD14:AD33),"")</f>
        <v>0</v>
      </c>
      <c r="BU14" t="str">
        <f>IFERROR(('Fat Spreads'!AD14-(AVERAGE('Fat Spreads'!AD14:AD33)-2*STDEV('Fat Spreads'!AD14:AD33)))/(4*STDEV('Fat Spreads'!AD14:AD33)),"")</f>
        <v/>
      </c>
      <c r="BV14" t="str">
        <f>IFERROR(4*STDEV('Fat Spreads'!AD14:AD33)/AVERAGE('Fat Spreads'!AD14:AD33),"")</f>
        <v/>
      </c>
      <c r="BW14">
        <v>58.1417</v>
      </c>
      <c r="BX14">
        <f>IFERROR(SQRT((SUMSQ('Fat Spreads'!AD14:AD33)-2*SUMPRODUCT('Fat Spreads'!AD14:AD33,'Fat Spreads'!AD15:AD34)+SUMSQ('Fat Spreads'!AD15:AD34)-('Fat Spreads'!AD14-'Fat Spreads'!AD34)^2/20)/19),"")</f>
        <v>0</v>
      </c>
      <c r="BZ14">
        <f>IFERROR('Feeder Spreads'!A14,"")</f>
        <v>0</v>
      </c>
      <c r="CA14">
        <f>IFERROR(('Feeder Spreads'!B14-AVERAGE('Feeder Spreads'!$B$3:$B$4308))/STDEV('Feeder Spreads'!$B$3:$B$4308),"")</f>
        <v>-9.2057461789832346E-2</v>
      </c>
      <c r="CB14">
        <f>IFERROR('Feeder Spreads'!B14-'Feeder Spreads'!B19,"")</f>
        <v>0</v>
      </c>
      <c r="CC14">
        <f>IFERROR('Feeder Spreads'!B14-'Feeder Spreads'!B24,"")</f>
        <v>0</v>
      </c>
      <c r="CD14">
        <f>IFERROR(AVERAGE('Feeder Spreads'!B14:B33)+2*STDEV('Feeder Spreads'!B14:B33),"")</f>
        <v>0</v>
      </c>
      <c r="CE14">
        <f>IFERROR(AVERAGE('Feeder Spreads'!B14:B33)-2*STDEV('Feeder Spreads'!B14:B33),"")</f>
        <v>0</v>
      </c>
      <c r="CF14" t="str">
        <f>IFERROR(('Feeder Spreads'!B14-(AVERAGE('Feeder Spreads'!B14:B33)-2*STDEV('Feeder Spreads'!B14:B33)))/(4*STDEV('Feeder Spreads'!B14:B33)),"")</f>
        <v/>
      </c>
      <c r="CG14" t="str">
        <f>IFERROR(4*STDEV('Feeder Spreads'!B14:B33)/AVERAGE('Feeder Spreads'!B14:B33),"")</f>
        <v/>
      </c>
      <c r="CH14">
        <v>54.353499999999997</v>
      </c>
      <c r="CI14">
        <f>IFERROR(SQRT((SUMSQ('Feeder Spreads'!B14:B33)-2*SUMPRODUCT('Feeder Spreads'!B14:B33,'Feeder Spreads'!B15:B34)+SUMSQ('Feeder Spreads'!B15:B34)-('Feeder Spreads'!B14-'Feeder Spreads'!B34)^2/20)/19),"")</f>
        <v>0</v>
      </c>
      <c r="CK14">
        <f>IFERROR('Feeder Spreads'!AX14,"")</f>
        <v>0</v>
      </c>
      <c r="CL14">
        <f>IFERROR(('Feeder Spreads'!AY14-AVERAGE('Feeder Spreads'!$AY$3:$AY$4308))/STDEV('Feeder Spreads'!$AY$3:$AY$4308),"")</f>
        <v>-9.2057461789832346E-2</v>
      </c>
      <c r="CM14">
        <f>IFERROR('Feeder Spreads'!AY14-'Feeder Spreads'!AY19,"")</f>
        <v>0</v>
      </c>
      <c r="CN14">
        <f>IFERROR('Feeder Spreads'!AY14-'Feeder Spreads'!AY24,"")</f>
        <v>0</v>
      </c>
      <c r="CO14">
        <f>IFERROR(AVERAGE('Feeder Spreads'!AY14:AY33)+2*STDEV('Feeder Spreads'!AY14:AY33),"")</f>
        <v>0</v>
      </c>
      <c r="CP14">
        <f>IFERROR(AVERAGE('Feeder Spreads'!AY14:AY33)-2*STDEV('Feeder Spreads'!AY14:AY33),"")</f>
        <v>0</v>
      </c>
      <c r="CQ14" t="str">
        <f>IFERROR(('Feeder Spreads'!AY14-(AVERAGE('Feeder Spreads'!AY14:AY33)-2*STDEV('Feeder Spreads'!AY14:AY33)))/(4*STDEV('Feeder Spreads'!AY14:AY33)),"")</f>
        <v/>
      </c>
      <c r="CR14" t="str">
        <f>IFERROR(4*STDEV('Feeder Spreads'!AY14:AY33)/AVERAGE('Feeder Spreads'!AY14:AY33),"")</f>
        <v/>
      </c>
      <c r="CS14">
        <v>54.523600000000002</v>
      </c>
      <c r="CT14">
        <f>IFERROR(SQRT((SUMSQ('Feeder Spreads'!AY14:AY33)-2*SUMPRODUCT('Feeder Spreads'!AY14:AY33,'Feeder Spreads'!AY15:AY34)+SUMSQ('Feeder Spreads'!AY15:AY34)-('Feeder Spreads'!AY14-'Feeder Spreads'!AY34)^2/20)/19),"")</f>
        <v>0</v>
      </c>
      <c r="CV14">
        <f>IFERROR('Feeder Spreads'!H14,"")</f>
        <v>0</v>
      </c>
      <c r="CW14">
        <f>IFERROR(('Feeder Spreads'!I14-AVERAGE('Feeder Spreads'!$I$3:$I$4308))/STDEV('Feeder Spreads'!$I$3:$I$4308),"")</f>
        <v>-9.2057461789832332E-2</v>
      </c>
      <c r="CX14">
        <f>IFERROR('Feeder Spreads'!I14-'Feeder Spreads'!I19,"")</f>
        <v>0</v>
      </c>
      <c r="CY14">
        <f>IFERROR('Feeder Spreads'!I14-'Feeder Spreads'!I24,"")</f>
        <v>0</v>
      </c>
      <c r="CZ14">
        <f>IFERROR(AVERAGE('Feeder Spreads'!I14:I33)+2*STDEV('Feeder Spreads'!I14:I33),"")</f>
        <v>0</v>
      </c>
      <c r="DA14">
        <f>IFERROR(AVERAGE('Feeder Spreads'!I14:I33)-2*STDEV('Feeder Spreads'!I14:I33),"")</f>
        <v>0</v>
      </c>
      <c r="DB14" t="str">
        <f>IFERROR(('Feeder Spreads'!I14-(AVERAGE('Feeder Spreads'!I14:I33)-2*STDEV('Feeder Spreads'!I14:I33)))/(4*STDEV('Feeder Spreads'!I14:I33)),"")</f>
        <v/>
      </c>
      <c r="DC14" t="str">
        <f>IFERROR(4*STDEV('Feeder Spreads'!I14:I33)/AVERAGE('Feeder Spreads'!I14:I33),"")</f>
        <v/>
      </c>
      <c r="DD14">
        <v>46.421300000000002</v>
      </c>
      <c r="DE14">
        <f>IFERROR(SQRT((SUMSQ('Feeder Spreads'!I14:I33)-2*SUMPRODUCT('Feeder Spreads'!I14:I33,'Feeder Spreads'!I15:I34)+SUMSQ('Feeder Spreads'!I15:I34)-('Feeder Spreads'!I14-'Feeder Spreads'!I34)^2/20)/19),"")</f>
        <v>0</v>
      </c>
      <c r="DG14">
        <f>IFERROR('Feeder Spreads'!O14,"")</f>
        <v>0</v>
      </c>
      <c r="DH14">
        <f>IFERROR(('Feeder Spreads'!P14-AVERAGE('Feeder Spreads'!$P$3:$P$4308))/STDEV('Feeder Spreads'!$P$3:$P$4308),"")</f>
        <v>-9.2057461789832346E-2</v>
      </c>
      <c r="DI14">
        <f>IFERROR('Feeder Spreads'!P14-'Feeder Spreads'!P19,"")</f>
        <v>0</v>
      </c>
      <c r="DJ14">
        <f>IFERROR('Feeder Spreads'!P14-'Feeder Spreads'!P24,"")</f>
        <v>0</v>
      </c>
      <c r="DK14">
        <f>IFERROR(AVERAGE('Feeder Spreads'!P14:P33)+2*STDEV('Feeder Spreads'!P14:P33),"")</f>
        <v>0</v>
      </c>
      <c r="DL14">
        <f>IFERROR(AVERAGE('Feeder Spreads'!P14:P33)-2*STDEV('Feeder Spreads'!P14:P33),"")</f>
        <v>0</v>
      </c>
      <c r="DM14" t="str">
        <f>IFERROR(('Feeder Spreads'!P14-(AVERAGE('Feeder Spreads'!P14:P33)-2*STDEV('Feeder Spreads'!P14:P33)))/(4*STDEV('Feeder Spreads'!P14:P33)),"")</f>
        <v/>
      </c>
      <c r="DN14" t="str">
        <f>IFERROR(4*STDEV('Feeder Spreads'!P14:P33)/AVERAGE('Feeder Spreads'!P14:P33),"")</f>
        <v/>
      </c>
      <c r="DO14">
        <v>53.367699999999999</v>
      </c>
      <c r="DP14">
        <f>IFERROR(SQRT((SUMSQ('Feeder Spreads'!P14:P33)-2*SUMPRODUCT('Feeder Spreads'!P14:P33,'Feeder Spreads'!P15:P34)+SUMSQ('Feeder Spreads'!P15:P34)-('Feeder Spreads'!P14-'Feeder Spreads'!P34)^2/20)/19),"")</f>
        <v>0</v>
      </c>
      <c r="DR14">
        <f>IFERROR('Feeder Spreads'!V14,"")</f>
        <v>0</v>
      </c>
      <c r="DS14">
        <f>IFERROR(('Feeder Spreads'!W14-AVERAGE('Feeder Spreads'!$W$3:$W$4308))/STDEV('Feeder Spreads'!$W$3:$W$4308),"")</f>
        <v>-9.2057461789832332E-2</v>
      </c>
      <c r="DT14">
        <f>IFERROR('Feeder Spreads'!W14-'Feeder Spreads'!W19,"")</f>
        <v>0</v>
      </c>
      <c r="DU14">
        <f>IFERROR('Feeder Spreads'!W14-'Feeder Spreads'!W24,"")</f>
        <v>0</v>
      </c>
      <c r="DV14">
        <f>IFERROR(AVERAGE('Feeder Spreads'!W14:W33)+2*STDEV('Feeder Spreads'!W14:W33),"")</f>
        <v>0</v>
      </c>
      <c r="DW14">
        <f>IFERROR(AVERAGE('Feeder Spreads'!W14:W33)-2*STDEV('Feeder Spreads'!W14:W33),"")</f>
        <v>0</v>
      </c>
      <c r="DX14" t="str">
        <f>IFERROR(('Feeder Spreads'!W14-(AVERAGE('Feeder Spreads'!W14:W33)-2*STDEV('Feeder Spreads'!W14:W33)))/(4*STDEV('Feeder Spreads'!W14:W33)),"")</f>
        <v/>
      </c>
      <c r="DY14" t="str">
        <f>IFERROR(4*STDEV('Feeder Spreads'!W14:W33)/AVERAGE('Feeder Spreads'!W14:W33),"")</f>
        <v/>
      </c>
      <c r="DZ14">
        <v>24.882200000000001</v>
      </c>
      <c r="EA14">
        <f>IFERROR(SQRT((SUMSQ('Feeder Spreads'!W14:W33)-2*SUMPRODUCT('Feeder Spreads'!W14:W33,'Feeder Spreads'!W15:W34)+SUMSQ('Feeder Spreads'!W15:W34)-('Feeder Spreads'!W14-'Feeder Spreads'!W34)^2/20)/19),"")</f>
        <v>0</v>
      </c>
      <c r="EC14">
        <f>IFERROR('Feeder Spreads'!AC14,"")</f>
        <v>0</v>
      </c>
      <c r="ED14">
        <f>IFERROR(('Feeder Spreads'!AD14-AVERAGE('Feeder Spreads'!$AD$3:$AD$4308))/STDEV('Feeder Spreads'!$AD$3:$AD$4308),"")</f>
        <v>9.2057461789832318E-2</v>
      </c>
      <c r="EE14">
        <f>IFERROR('Feeder Spreads'!AD14-'Feeder Spreads'!AD19,"")</f>
        <v>0</v>
      </c>
      <c r="EF14">
        <f>IFERROR('Feeder Spreads'!AD14-'Feeder Spreads'!AD24,"")</f>
        <v>0</v>
      </c>
      <c r="EG14">
        <f>IFERROR(AVERAGE('Feeder Spreads'!AD14:AD33)+2*STDEV('Feeder Spreads'!AD14:AD33),"")</f>
        <v>0</v>
      </c>
      <c r="EH14">
        <f>IFERROR(AVERAGE('Feeder Spreads'!AD14:AD33)-2*STDEV('Feeder Spreads'!AD14:AD33),"")</f>
        <v>0</v>
      </c>
      <c r="EI14" t="str">
        <f>IFERROR(('Feeder Spreads'!AD14-(AVERAGE('Feeder Spreads'!AD14:AD33)-2*STDEV('Feeder Spreads'!AD14:AD33)))/(4*STDEV('Feeder Spreads'!AD14:AD33)),"")</f>
        <v/>
      </c>
      <c r="EJ14" t="str">
        <f>IFERROR(4*STDEV('Feeder Spreads'!AD14:AD33)/AVERAGE('Feeder Spreads'!AD14:AD33),"")</f>
        <v/>
      </c>
      <c r="EK14">
        <v>58.764000000000003</v>
      </c>
      <c r="EL14">
        <f>IFERROR(SQRT((SUMSQ('Feeder Spreads'!AD14:AD33)-2*SUMPRODUCT('Feeder Spreads'!AD14:AD33,'Feeder Spreads'!AD15:AD34)+SUMSQ('Feeder Spreads'!AD15:AD34)-('Feeder Spreads'!AD14-'Feeder Spreads'!AD34)^2/20)/19),"")</f>
        <v>0</v>
      </c>
      <c r="EN14">
        <f>IFERROR('Feeder Spreads'!AJ14,"")</f>
        <v>0</v>
      </c>
      <c r="EO14">
        <f>IFERROR(('Feeder Spreads'!AK14-AVERAGE('Feeder Spreads'!$AK$3:$AK$4308))/STDEV('Feeder Spreads'!$AK$3:$AK$4308),"")</f>
        <v>-9.2057461789832346E-2</v>
      </c>
      <c r="EP14">
        <f>IFERROR('Feeder Spreads'!AK14-'Feeder Spreads'!AK19,"")</f>
        <v>0</v>
      </c>
      <c r="EQ14">
        <f>IFERROR('Feeder Spreads'!AK14-'Feeder Spreads'!AK24,"")</f>
        <v>0</v>
      </c>
      <c r="ER14">
        <f>IFERROR(AVERAGE('Feeder Spreads'!AK14:AK33)+2*STDEV('Feeder Spreads'!AK14:AK33),"")</f>
        <v>0</v>
      </c>
      <c r="ES14">
        <f>IFERROR(AVERAGE('Feeder Spreads'!AK14:AK33)-2*STDEV('Feeder Spreads'!AK14:AK33),"")</f>
        <v>0</v>
      </c>
      <c r="ET14" t="str">
        <f>IFERROR(('Feeder Spreads'!AK14-(AVERAGE('Feeder Spreads'!AK14:AK33)-2*STDEV('Feeder Spreads'!AK14:AK33)))/(4*STDEV('Feeder Spreads'!AK14:AK33)),"")</f>
        <v/>
      </c>
      <c r="EU14" t="str">
        <f>IFERROR(4*STDEV('Feeder Spreads'!AK14:AK33)/AVERAGE('Feeder Spreads'!AK14:AK33),"")</f>
        <v/>
      </c>
      <c r="EV14">
        <v>57.081499999999998</v>
      </c>
      <c r="EW14">
        <f>IFERROR(SQRT((SUMSQ('Feeder Spreads'!AK14:AK33)-2*SUMPRODUCT('Feeder Spreads'!AK14:AK33,'Feeder Spreads'!AK15:AK34)+SUMSQ('Feeder Spreads'!AK15:AK34)-('Feeder Spreads'!AK14-'Feeder Spreads'!AK34)^2/20)/19),"")</f>
        <v>0</v>
      </c>
      <c r="EY14">
        <f>IFERROR('Feeder Spreads'!AQ14,"")</f>
        <v>0</v>
      </c>
      <c r="EZ14">
        <f>IFERROR(('Feeder Spreads'!AR14-AVERAGE('Feeder Spreads'!$AR$3:$AR$4308))/STDEV('Feeder Spreads'!$AR$3:$AR$4308),"")</f>
        <v>-9.2057461789832332E-2</v>
      </c>
      <c r="FA14">
        <f>IFERROR('Feeder Spreads'!AR14-'Feeder Spreads'!AR19,"")</f>
        <v>0</v>
      </c>
      <c r="FB14">
        <f>IFERROR('Feeder Spreads'!AR14-'Feeder Spreads'!AR24,"")</f>
        <v>0</v>
      </c>
      <c r="FC14">
        <f>IFERROR(AVERAGE('Feeder Spreads'!AR14:AR33)+2*STDEV('Feeder Spreads'!AR14:AR33),"")</f>
        <v>0</v>
      </c>
      <c r="FD14">
        <f>IFERROR(AVERAGE('Feeder Spreads'!AR14:AR33)-2*STDEV('Feeder Spreads'!AR14:AR33),"")</f>
        <v>0</v>
      </c>
      <c r="FE14" t="str">
        <f>IFERROR(('Feeder Spreads'!AR14-(AVERAGE('Feeder Spreads'!AR14:AR33)-2*STDEV('Feeder Spreads'!AR14:AR33)))/(4*STDEV('Feeder Spreads'!AR14:AR33)),"")</f>
        <v/>
      </c>
      <c r="FF14" t="str">
        <f>IFERROR(4*STDEV('Feeder Spreads'!AR14:AR33)/AVERAGE('Feeder Spreads'!AR14:AR33),"")</f>
        <v/>
      </c>
      <c r="FG14">
        <v>52.180700000000002</v>
      </c>
      <c r="FH14">
        <f>IFERROR(SQRT((SUMSQ('Feeder Spreads'!AR14:AR33)-2*SUMPRODUCT('Feeder Spreads'!AR14:AR33,'Feeder Spreads'!AR15:AR34)+SUMSQ('Feeder Spreads'!AR15:AR34)-('Feeder Spreads'!AR14-'Feeder Spreads'!AR34)^2/20)/19),"")</f>
        <v>0</v>
      </c>
      <c r="FJ14">
        <f>IFERROR('Fat Spreads'!AX14,"")</f>
        <v>0</v>
      </c>
      <c r="FK14">
        <f>IFERROR(('Fat Spreads'!AY14-AVERAGE('Fat Spreads'!$AY$3:$AY$4308))/STDEV('Fat Spreads'!$AY$3:$AY$4308),"")</f>
        <v>9.2057461789832332E-2</v>
      </c>
      <c r="FL14">
        <f>IFERROR('Fat Spreads'!AY14-'Fat Spreads'!AY19,"")</f>
        <v>0</v>
      </c>
      <c r="FM14">
        <f>IFERROR('Fat Spreads'!AY14-'Fat Spreads'!AY24,"")</f>
        <v>0</v>
      </c>
      <c r="FN14">
        <f>IFERROR(AVERAGE('Fat Spreads'!AY14:AY33)+2*STDEV('Fat Spreads'!AY14:AY33),"")</f>
        <v>0</v>
      </c>
      <c r="FO14">
        <f>IFERROR(AVERAGE('Fat Spreads'!AY14:AY33)-2*STDEV('Fat Spreads'!AY14:AY33),"")</f>
        <v>0</v>
      </c>
      <c r="FP14" t="str">
        <f>IFERROR(('Fat Spreads'!AY14-(AVERAGE('Fat Spreads'!AY14:AY33)-2*STDEV('Fat Spreads'!AY14:AY33)))/(4*STDEV('Fat Spreads'!AY14:AY33)),"")</f>
        <v/>
      </c>
      <c r="FQ14" t="str">
        <f>IFERROR(4*STDEV('Fat Spreads'!AY14:AY33)/AVERAGE('Fat Spreads'!AY14:AY33),"")</f>
        <v/>
      </c>
      <c r="FR14">
        <v>38.1417</v>
      </c>
      <c r="FS14">
        <f>IFERROR(SQRT((SUMSQ('Fat Spreads'!AY14:AY33)-2*SUMPRODUCT('Fat Spreads'!AY14:AY33,'Fat Spreads'!AY15:AY34)+SUMSQ('Fat Spreads'!AY15:AY34)-('Fat Spreads'!AY14-'Fat Spreads'!AY34)^2/20)/19),"")</f>
        <v>0</v>
      </c>
      <c r="FU14">
        <f>IFERROR('Fat Spreads'!BE14,"")</f>
        <v>0</v>
      </c>
      <c r="FV14">
        <f>IFERROR(('Fat Spreads'!BF14-AVERAGE('Fat Spreads'!$BF$3:$BF$4308))/STDEV('Fat Spreads'!$BF$3:$BF$4308),"")</f>
        <v>9.2057461789832332E-2</v>
      </c>
      <c r="FW14">
        <f>IFERROR('Fat Spreads'!BF14-'Fat Spreads'!BF19,"")</f>
        <v>0</v>
      </c>
      <c r="FX14">
        <f>IFERROR('Fat Spreads'!BF14-'Fat Spreads'!BF24,"")</f>
        <v>0</v>
      </c>
      <c r="FY14">
        <f>IFERROR(AVERAGE('Fat Spreads'!BF14:BF33)+2*STDEV('Fat Spreads'!BF14:BF33),"")</f>
        <v>0</v>
      </c>
      <c r="FZ14">
        <f>IFERROR(AVERAGE('Fat Spreads'!BF14:BF33)-2*STDEV('Fat Spreads'!BF14:BF33),"")</f>
        <v>0</v>
      </c>
      <c r="GA14" t="str">
        <f>IFERROR(('Fat Spreads'!BF14-(AVERAGE('Fat Spreads'!BF14:BF33)-2*STDEV('Fat Spreads'!BF14:BF33)))/(4*STDEV('Fat Spreads'!BF14:BF33)),"")</f>
        <v/>
      </c>
      <c r="GB14" t="str">
        <f>IFERROR(4*STDEV('Fat Spreads'!BF14:BF33)/AVERAGE('Fat Spreads'!BF14:BF33),"")</f>
        <v/>
      </c>
      <c r="GC14">
        <v>69.391800000000003</v>
      </c>
      <c r="GD14">
        <f>IFERROR(SQRT((SUMSQ('Fat Spreads'!BF14:BF33)-2*SUMPRODUCT('Fat Spreads'!BF14:BF33,'Fat Spreads'!BF15:BF34)+SUMSQ('Fat Spreads'!BF15:BF34)-('Fat Spreads'!BF14-'Fat Spreads'!BF34)^2/20)/19),"")</f>
        <v>0</v>
      </c>
    </row>
    <row r="15" spans="1:186" x14ac:dyDescent="0.25">
      <c r="A15">
        <f>IFERROR('Fat Spreads'!A15,"")</f>
        <v>0</v>
      </c>
      <c r="B15">
        <f>IFERROR(('Fat Spreads'!B15-AVERAGE('Fat Spreads'!$B$3:$B$4308))/STDEV('Fat Spreads'!$B$3:$B$4308),"")</f>
        <v>9.2057461789832346E-2</v>
      </c>
      <c r="C15">
        <f>IFERROR('Fat Spreads'!B15-'Fat Spreads'!B20,"")</f>
        <v>0</v>
      </c>
      <c r="D15">
        <f>IFERROR('Fat Spreads'!B15-'Fat Spreads'!B25,"")</f>
        <v>0</v>
      </c>
      <c r="E15">
        <f>IFERROR(AVERAGE('Fat Spreads'!B15:B34)+2*STDEV('Fat Spreads'!B15:B34),"")</f>
        <v>0</v>
      </c>
      <c r="F15">
        <f>IFERROR(AVERAGE('Fat Spreads'!B15:B34)-2*STDEV('Fat Spreads'!B15:B34),"")</f>
        <v>0</v>
      </c>
      <c r="G15" t="str">
        <f>IFERROR(('Fat Spreads'!B15-(AVERAGE('Fat Spreads'!B15:B34)-2*STDEV('Fat Spreads'!B15:B34)))/(4*STDEV('Fat Spreads'!B15:B34)),"")</f>
        <v/>
      </c>
      <c r="H15" t="str">
        <f>IFERROR(4*STDEV('Fat Spreads'!B15:B34)/AVERAGE('Fat Spreads'!B15:B34),"")</f>
        <v/>
      </c>
      <c r="I15">
        <v>56.545400000000001</v>
      </c>
      <c r="J15">
        <f>IFERROR(SQRT((SUMSQ('Fat Spreads'!B15:B34)-2*SUMPRODUCT('Fat Spreads'!B15:B34,'Fat Spreads'!B16:B35)+SUMSQ('Fat Spreads'!B16:B35)-('Fat Spreads'!B15-'Fat Spreads'!B35)^2/20)/19),"")</f>
        <v>0</v>
      </c>
      <c r="L15">
        <f>IFERROR('Fat Spreads'!H15,"")</f>
        <v>0</v>
      </c>
      <c r="M15">
        <f>IFERROR(('Fat Spreads'!I15-AVERAGE('Fat Spreads'!$I$3:$I$4308))/STDEV('Fat Spreads'!$I$3:$I$4308),"")</f>
        <v>-9.2057461789832332E-2</v>
      </c>
      <c r="N15">
        <f>IFERROR('Fat Spreads'!I15-'Fat Spreads'!I20,"")</f>
        <v>0</v>
      </c>
      <c r="O15">
        <f>IFERROR('Fat Spreads'!I15-'Fat Spreads'!I25,"")</f>
        <v>0</v>
      </c>
      <c r="P15">
        <f>IFERROR(AVERAGE('Fat Spreads'!I15:I34)+2*STDEV('Fat Spreads'!I15:I34),"")</f>
        <v>0</v>
      </c>
      <c r="Q15">
        <f>IFERROR(AVERAGE('Fat Spreads'!I15:I34)-2*STDEV('Fat Spreads'!I15:I34),"")</f>
        <v>0</v>
      </c>
      <c r="R15" t="str">
        <f>IFERROR(('Fat Spreads'!I15-(AVERAGE('Fat Spreads'!I15:I34)-2*STDEV('Fat Spreads'!I15:I34)))/(4*STDEV('Fat Spreads'!I15:I34)),"")</f>
        <v/>
      </c>
      <c r="S15" t="str">
        <f>IFERROR(4*STDEV('Fat Spreads'!I15:I34)/AVERAGE('Fat Spreads'!I15:I34),"")</f>
        <v/>
      </c>
      <c r="T15">
        <v>63.317799999999998</v>
      </c>
      <c r="U15">
        <f>IFERROR(SQRT((SUMSQ('Fat Spreads'!I15:I34)-2*SUMPRODUCT('Fat Spreads'!I15:I34,'Fat Spreads'!I16:I35)+SUMSQ('Fat Spreads'!I16:I35)-('Fat Spreads'!I15-'Fat Spreads'!I35)^2/20)/19),"")</f>
        <v>0</v>
      </c>
      <c r="W15">
        <f>IFERROR('Fat Spreads'!AQ15,"")</f>
        <v>0</v>
      </c>
      <c r="X15">
        <f>IFERROR(('Fat Spreads'!AR15-AVERAGE('Fat Spreads'!$AR$3:$AR$4308))/STDEV('Fat Spreads'!$AR$3:$AR$4308),"")</f>
        <v>-9.2057461789832346E-2</v>
      </c>
      <c r="Y15">
        <f>IFERROR('Fat Spreads'!AR15-'Fat Spreads'!AR20,"")</f>
        <v>0</v>
      </c>
      <c r="Z15">
        <f>IFERROR('Fat Spreads'!AR15-'Fat Spreads'!AR25,"")</f>
        <v>0</v>
      </c>
      <c r="AA15">
        <f>IFERROR(AVERAGE('Fat Spreads'!AR15:AR34)+2*STDEV('Fat Spreads'!AR15:AR34),"")</f>
        <v>0</v>
      </c>
      <c r="AB15">
        <f>IFERROR(AVERAGE('Fat Spreads'!AR15:AR34)-2*STDEV('Fat Spreads'!AR15:AR34),"")</f>
        <v>0</v>
      </c>
      <c r="AC15" t="str">
        <f>IFERROR(('Fat Spreads'!AR15-(AVERAGE('Fat Spreads'!AR15:AR34)-2*STDEV('Fat Spreads'!AR15:AR34)))/(4*STDEV('Fat Spreads'!AR15:AR34)),"")</f>
        <v/>
      </c>
      <c r="AD15" t="str">
        <f>IFERROR(4*STDEV('Fat Spreads'!AR15:AR34)/AVERAGE('Fat Spreads'!AR15:AR34),"")</f>
        <v/>
      </c>
      <c r="AE15">
        <v>63.126100000000001</v>
      </c>
      <c r="AF15">
        <f>IFERROR(SQRT((SUMSQ('Fat Spreads'!AR15:AR34)-2*SUMPRODUCT('Fat Spreads'!AR15:AR34,'Fat Spreads'!AR16:AR35)+SUMSQ('Fat Spreads'!AR16:AR35)-('Fat Spreads'!AR15-'Fat Spreads'!AR35)^2/20)/19),"")</f>
        <v>0</v>
      </c>
      <c r="AH15">
        <f>IFERROR('Fat Spreads'!O15,"")</f>
        <v>0</v>
      </c>
      <c r="AI15">
        <f>IFERROR(('Fat Spreads'!P15-AVERAGE('Fat Spreads'!$P$3:$P$4308))/STDEV('Fat Spreads'!$P$3:$P$4308),"")</f>
        <v>-9.2057461789832332E-2</v>
      </c>
      <c r="AJ15">
        <f>IFERROR('Fat Spreads'!P15-'Fat Spreads'!P20,"")</f>
        <v>0</v>
      </c>
      <c r="AK15">
        <f>IFERROR('Fat Spreads'!P15-'Fat Spreads'!P25,"")</f>
        <v>0</v>
      </c>
      <c r="AL15">
        <f>IFERROR(AVERAGE('Fat Spreads'!P15:P34)+2*STDEV('Fat Spreads'!P15:P34),"")</f>
        <v>0</v>
      </c>
      <c r="AM15">
        <f>IFERROR(AVERAGE('Fat Spreads'!P15:P34)-2*STDEV('Fat Spreads'!P15:P34),"")</f>
        <v>0</v>
      </c>
      <c r="AN15" t="str">
        <f>IFERROR(('Fat Spreads'!P15-(AVERAGE('Fat Spreads'!P15:P34)-2*STDEV('Fat Spreads'!P15:P34)))/(4*STDEV('Fat Spreads'!P15:P34)),"")</f>
        <v/>
      </c>
      <c r="AO15" t="str">
        <f>IFERROR(4*STDEV('Fat Spreads'!P15:P34)/AVERAGE('Fat Spreads'!P15:P34),"")</f>
        <v/>
      </c>
      <c r="AP15">
        <v>63.734699999999997</v>
      </c>
      <c r="AQ15">
        <f>IFERROR(SQRT((SUMSQ('Fat Spreads'!P15:P34)-2*SUMPRODUCT('Fat Spreads'!P15:P34,'Fat Spreads'!P16:P35)+SUMSQ('Fat Spreads'!P16:P35)-('Fat Spreads'!P15-'Fat Spreads'!P35)^2/20)/19),"")</f>
        <v>0</v>
      </c>
      <c r="AS15">
        <f>IFERROR('Fat Spreads'!AJ15,"")</f>
        <v>0</v>
      </c>
      <c r="AT15">
        <f>IFERROR(('Fat Spreads'!AK15-AVERAGE('Fat Spreads'!$AK$3:$AK$4308))/STDEV('Fat Spreads'!$AK$3:$AK$4308),"")</f>
        <v>-9.2057461789832332E-2</v>
      </c>
      <c r="AU15">
        <f>IFERROR('Fat Spreads'!AK15-'Fat Spreads'!AK20,"")</f>
        <v>0</v>
      </c>
      <c r="AV15">
        <f>IFERROR('Fat Spreads'!AK15-'Fat Spreads'!AK25,"")</f>
        <v>0</v>
      </c>
      <c r="AW15">
        <f>IFERROR(AVERAGE('Fat Spreads'!AK15:AK34)+2*STDEV('Fat Spreads'!AK15:AK34),"")</f>
        <v>0</v>
      </c>
      <c r="AX15">
        <f>IFERROR(AVERAGE('Fat Spreads'!AK15:AK34)-2*STDEV('Fat Spreads'!AK15:AK34),"")</f>
        <v>0</v>
      </c>
      <c r="AY15" t="str">
        <f>IFERROR(('Fat Spreads'!AK15-(AVERAGE('Fat Spreads'!AK15:AK34)-2*STDEV('Fat Spreads'!AK15:AK34)))/(4*STDEV('Fat Spreads'!AK15:AK34)),"")</f>
        <v/>
      </c>
      <c r="AZ15" t="str">
        <f>IFERROR(4*STDEV('Fat Spreads'!AK15:AK34)/AVERAGE('Fat Spreads'!AK15:AK34),"")</f>
        <v/>
      </c>
      <c r="BA15">
        <v>28.256900000000002</v>
      </c>
      <c r="BB15">
        <f>IFERROR(SQRT((SUMSQ('Fat Spreads'!AK15:AK34)-2*SUMPRODUCT('Fat Spreads'!AK15:AK34,'Fat Spreads'!AK16:AK35)+SUMSQ('Fat Spreads'!AK16:AK35)-('Fat Spreads'!AK15-'Fat Spreads'!AK35)^2/20)/19),"")</f>
        <v>0</v>
      </c>
      <c r="BD15">
        <f>IFERROR('Fat Spreads'!V15,"")</f>
        <v>0</v>
      </c>
      <c r="BE15">
        <f>IFERROR(('Fat Spreads'!W15-AVERAGE('Fat Spreads'!$W$3:$W$4308))/STDEV('Fat Spreads'!$W$3:$W$4308),"")</f>
        <v>-9.2057461789832332E-2</v>
      </c>
      <c r="BF15">
        <f>IFERROR('Fat Spreads'!W15-'Fat Spreads'!W20,"")</f>
        <v>0</v>
      </c>
      <c r="BG15">
        <f>IFERROR('Fat Spreads'!W15-'Fat Spreads'!W25,"")</f>
        <v>0</v>
      </c>
      <c r="BH15">
        <f>IFERROR(AVERAGE('Fat Spreads'!W15:W34)+2*STDEV('Fat Spreads'!W15:W34),"")</f>
        <v>0</v>
      </c>
      <c r="BI15">
        <f>IFERROR(AVERAGE('Fat Spreads'!W15:W34)-2*STDEV('Fat Spreads'!W15:W34),"")</f>
        <v>0</v>
      </c>
      <c r="BJ15" t="str">
        <f>IFERROR(('Fat Spreads'!W15-(AVERAGE('Fat Spreads'!W15:W34)-2*STDEV('Fat Spreads'!W15:W34)))/(4*STDEV('Fat Spreads'!W15:W34)),"")</f>
        <v/>
      </c>
      <c r="BK15" t="str">
        <f>IFERROR(4*STDEV('Fat Spreads'!W15:W34)/AVERAGE('Fat Spreads'!W15:W34),"")</f>
        <v/>
      </c>
      <c r="BL15">
        <v>59.237400000000001</v>
      </c>
      <c r="BM15">
        <f>IFERROR(SQRT((SUMSQ('Fat Spreads'!W15:W34)-2*SUMPRODUCT('Fat Spreads'!W15:W34,'Fat Spreads'!W16:W35)+SUMSQ('Fat Spreads'!W16:W35)-('Fat Spreads'!W15-'Fat Spreads'!W35)^2/20)/19),"")</f>
        <v>0</v>
      </c>
      <c r="BO15">
        <f>IFERROR('Fat Spreads'!AC15,"")</f>
        <v>0</v>
      </c>
      <c r="BP15">
        <f>IFERROR(('Fat Spreads'!AD15-AVERAGE('Fat Spreads'!$AD$3:$AD$4308))/STDEV('Fat Spreads'!$AD$3:$AD$4308),"")</f>
        <v>-9.2057461789832332E-2</v>
      </c>
      <c r="BQ15">
        <f>IFERROR('Fat Spreads'!AD15-'Fat Spreads'!AD20,"")</f>
        <v>0</v>
      </c>
      <c r="BR15">
        <f>IFERROR('Fat Spreads'!AD15-'Fat Spreads'!AD25,"")</f>
        <v>0</v>
      </c>
      <c r="BS15">
        <f>IFERROR(AVERAGE('Fat Spreads'!AD15:AD34)+2*STDEV('Fat Spreads'!AD15:AD34),"")</f>
        <v>0</v>
      </c>
      <c r="BT15">
        <f>IFERROR(AVERAGE('Fat Spreads'!AD15:AD34)-2*STDEV('Fat Spreads'!AD15:AD34),"")</f>
        <v>0</v>
      </c>
      <c r="BU15" t="str">
        <f>IFERROR(('Fat Spreads'!AD15-(AVERAGE('Fat Spreads'!AD15:AD34)-2*STDEV('Fat Spreads'!AD15:AD34)))/(4*STDEV('Fat Spreads'!AD15:AD34)),"")</f>
        <v/>
      </c>
      <c r="BV15" t="str">
        <f>IFERROR(4*STDEV('Fat Spreads'!AD15:AD34)/AVERAGE('Fat Spreads'!AD15:AD34),"")</f>
        <v/>
      </c>
      <c r="BW15">
        <v>63.915199999999999</v>
      </c>
      <c r="BX15">
        <f>IFERROR(SQRT((SUMSQ('Fat Spreads'!AD15:AD34)-2*SUMPRODUCT('Fat Spreads'!AD15:AD34,'Fat Spreads'!AD16:AD35)+SUMSQ('Fat Spreads'!AD16:AD35)-('Fat Spreads'!AD15-'Fat Spreads'!AD35)^2/20)/19),"")</f>
        <v>0</v>
      </c>
      <c r="BZ15">
        <f>IFERROR('Feeder Spreads'!A15,"")</f>
        <v>0</v>
      </c>
      <c r="CA15">
        <f>IFERROR(('Feeder Spreads'!B15-AVERAGE('Feeder Spreads'!$B$3:$B$4308))/STDEV('Feeder Spreads'!$B$3:$B$4308),"")</f>
        <v>-9.2057461789832346E-2</v>
      </c>
      <c r="CB15">
        <f>IFERROR('Feeder Spreads'!B15-'Feeder Spreads'!B20,"")</f>
        <v>0</v>
      </c>
      <c r="CC15">
        <f>IFERROR('Feeder Spreads'!B15-'Feeder Spreads'!B25,"")</f>
        <v>0</v>
      </c>
      <c r="CD15">
        <f>IFERROR(AVERAGE('Feeder Spreads'!B15:B34)+2*STDEV('Feeder Spreads'!B15:B34),"")</f>
        <v>0</v>
      </c>
      <c r="CE15">
        <f>IFERROR(AVERAGE('Feeder Spreads'!B15:B34)-2*STDEV('Feeder Spreads'!B15:B34),"")</f>
        <v>0</v>
      </c>
      <c r="CF15" t="str">
        <f>IFERROR(('Feeder Spreads'!B15-(AVERAGE('Feeder Spreads'!B15:B34)-2*STDEV('Feeder Spreads'!B15:B34)))/(4*STDEV('Feeder Spreads'!B15:B34)),"")</f>
        <v/>
      </c>
      <c r="CG15" t="str">
        <f>IFERROR(4*STDEV('Feeder Spreads'!B15:B34)/AVERAGE('Feeder Spreads'!B15:B34),"")</f>
        <v/>
      </c>
      <c r="CH15">
        <v>57.442999999999998</v>
      </c>
      <c r="CI15">
        <f>IFERROR(SQRT((SUMSQ('Feeder Spreads'!B15:B34)-2*SUMPRODUCT('Feeder Spreads'!B15:B34,'Feeder Spreads'!B16:B35)+SUMSQ('Feeder Spreads'!B16:B35)-('Feeder Spreads'!B15-'Feeder Spreads'!B35)^2/20)/19),"")</f>
        <v>0</v>
      </c>
      <c r="CK15">
        <f>IFERROR('Feeder Spreads'!AX15,"")</f>
        <v>0</v>
      </c>
      <c r="CL15">
        <f>IFERROR(('Feeder Spreads'!AY15-AVERAGE('Feeder Spreads'!$AY$3:$AY$4308))/STDEV('Feeder Spreads'!$AY$3:$AY$4308),"")</f>
        <v>-9.2057461789832346E-2</v>
      </c>
      <c r="CM15">
        <f>IFERROR('Feeder Spreads'!AY15-'Feeder Spreads'!AY20,"")</f>
        <v>0</v>
      </c>
      <c r="CN15">
        <f>IFERROR('Feeder Spreads'!AY15-'Feeder Spreads'!AY25,"")</f>
        <v>0</v>
      </c>
      <c r="CO15">
        <f>IFERROR(AVERAGE('Feeder Spreads'!AY15:AY34)+2*STDEV('Feeder Spreads'!AY15:AY34),"")</f>
        <v>0</v>
      </c>
      <c r="CP15">
        <f>IFERROR(AVERAGE('Feeder Spreads'!AY15:AY34)-2*STDEV('Feeder Spreads'!AY15:AY34),"")</f>
        <v>0</v>
      </c>
      <c r="CQ15" t="str">
        <f>IFERROR(('Feeder Spreads'!AY15-(AVERAGE('Feeder Spreads'!AY15:AY34)-2*STDEV('Feeder Spreads'!AY15:AY34)))/(4*STDEV('Feeder Spreads'!AY15:AY34)),"")</f>
        <v/>
      </c>
      <c r="CR15" t="str">
        <f>IFERROR(4*STDEV('Feeder Spreads'!AY15:AY34)/AVERAGE('Feeder Spreads'!AY15:AY34),"")</f>
        <v/>
      </c>
      <c r="CS15">
        <v>56.793900000000001</v>
      </c>
      <c r="CT15">
        <f>IFERROR(SQRT((SUMSQ('Feeder Spreads'!AY15:AY34)-2*SUMPRODUCT('Feeder Spreads'!AY15:AY34,'Feeder Spreads'!AY16:AY35)+SUMSQ('Feeder Spreads'!AY16:AY35)-('Feeder Spreads'!AY15-'Feeder Spreads'!AY35)^2/20)/19),"")</f>
        <v>0</v>
      </c>
      <c r="CV15">
        <f>IFERROR('Feeder Spreads'!H15,"")</f>
        <v>0</v>
      </c>
      <c r="CW15">
        <f>IFERROR(('Feeder Spreads'!I15-AVERAGE('Feeder Spreads'!$I$3:$I$4308))/STDEV('Feeder Spreads'!$I$3:$I$4308),"")</f>
        <v>-9.2057461789832332E-2</v>
      </c>
      <c r="CX15">
        <f>IFERROR('Feeder Spreads'!I15-'Feeder Spreads'!I20,"")</f>
        <v>0</v>
      </c>
      <c r="CY15">
        <f>IFERROR('Feeder Spreads'!I15-'Feeder Spreads'!I25,"")</f>
        <v>0</v>
      </c>
      <c r="CZ15">
        <f>IFERROR(AVERAGE('Feeder Spreads'!I15:I34)+2*STDEV('Feeder Spreads'!I15:I34),"")</f>
        <v>0</v>
      </c>
      <c r="DA15">
        <f>IFERROR(AVERAGE('Feeder Spreads'!I15:I34)-2*STDEV('Feeder Spreads'!I15:I34),"")</f>
        <v>0</v>
      </c>
      <c r="DB15" t="str">
        <f>IFERROR(('Feeder Spreads'!I15-(AVERAGE('Feeder Spreads'!I15:I34)-2*STDEV('Feeder Spreads'!I15:I34)))/(4*STDEV('Feeder Spreads'!I15:I34)),"")</f>
        <v/>
      </c>
      <c r="DC15" t="str">
        <f>IFERROR(4*STDEV('Feeder Spreads'!I15:I34)/AVERAGE('Feeder Spreads'!I15:I34),"")</f>
        <v/>
      </c>
      <c r="DD15">
        <v>44.777000000000001</v>
      </c>
      <c r="DE15">
        <f>IFERROR(SQRT((SUMSQ('Feeder Spreads'!I15:I34)-2*SUMPRODUCT('Feeder Spreads'!I15:I34,'Feeder Spreads'!I16:I35)+SUMSQ('Feeder Spreads'!I16:I35)-('Feeder Spreads'!I15-'Feeder Spreads'!I35)^2/20)/19),"")</f>
        <v>0</v>
      </c>
      <c r="DG15">
        <f>IFERROR('Feeder Spreads'!O15,"")</f>
        <v>0</v>
      </c>
      <c r="DH15">
        <f>IFERROR(('Feeder Spreads'!P15-AVERAGE('Feeder Spreads'!$P$3:$P$4308))/STDEV('Feeder Spreads'!$P$3:$P$4308),"")</f>
        <v>-9.2057461789832346E-2</v>
      </c>
      <c r="DI15">
        <f>IFERROR('Feeder Spreads'!P15-'Feeder Spreads'!P20,"")</f>
        <v>0</v>
      </c>
      <c r="DJ15">
        <f>IFERROR('Feeder Spreads'!P15-'Feeder Spreads'!P25,"")</f>
        <v>0</v>
      </c>
      <c r="DK15">
        <f>IFERROR(AVERAGE('Feeder Spreads'!P15:P34)+2*STDEV('Feeder Spreads'!P15:P34),"")</f>
        <v>0</v>
      </c>
      <c r="DL15">
        <f>IFERROR(AVERAGE('Feeder Spreads'!P15:P34)-2*STDEV('Feeder Spreads'!P15:P34),"")</f>
        <v>0</v>
      </c>
      <c r="DM15" t="str">
        <f>IFERROR(('Feeder Spreads'!P15-(AVERAGE('Feeder Spreads'!P15:P34)-2*STDEV('Feeder Spreads'!P15:P34)))/(4*STDEV('Feeder Spreads'!P15:P34)),"")</f>
        <v/>
      </c>
      <c r="DN15" t="str">
        <f>IFERROR(4*STDEV('Feeder Spreads'!P15:P34)/AVERAGE('Feeder Spreads'!P15:P34),"")</f>
        <v/>
      </c>
      <c r="DO15">
        <v>54.454599999999999</v>
      </c>
      <c r="DP15">
        <f>IFERROR(SQRT((SUMSQ('Feeder Spreads'!P15:P34)-2*SUMPRODUCT('Feeder Spreads'!P15:P34,'Feeder Spreads'!P16:P35)+SUMSQ('Feeder Spreads'!P16:P35)-('Feeder Spreads'!P15-'Feeder Spreads'!P35)^2/20)/19),"")</f>
        <v>0</v>
      </c>
      <c r="DR15">
        <f>IFERROR('Feeder Spreads'!V15,"")</f>
        <v>0</v>
      </c>
      <c r="DS15">
        <f>IFERROR(('Feeder Spreads'!W15-AVERAGE('Feeder Spreads'!$W$3:$W$4308))/STDEV('Feeder Spreads'!$W$3:$W$4308),"")</f>
        <v>-9.2057461789832332E-2</v>
      </c>
      <c r="DT15">
        <f>IFERROR('Feeder Spreads'!W15-'Feeder Spreads'!W20,"")</f>
        <v>0</v>
      </c>
      <c r="DU15">
        <f>IFERROR('Feeder Spreads'!W15-'Feeder Spreads'!W25,"")</f>
        <v>0</v>
      </c>
      <c r="DV15">
        <f>IFERROR(AVERAGE('Feeder Spreads'!W15:W34)+2*STDEV('Feeder Spreads'!W15:W34),"")</f>
        <v>0</v>
      </c>
      <c r="DW15">
        <f>IFERROR(AVERAGE('Feeder Spreads'!W15:W34)-2*STDEV('Feeder Spreads'!W15:W34),"")</f>
        <v>0</v>
      </c>
      <c r="DX15" t="str">
        <f>IFERROR(('Feeder Spreads'!W15-(AVERAGE('Feeder Spreads'!W15:W34)-2*STDEV('Feeder Spreads'!W15:W34)))/(4*STDEV('Feeder Spreads'!W15:W34)),"")</f>
        <v/>
      </c>
      <c r="DY15" t="str">
        <f>IFERROR(4*STDEV('Feeder Spreads'!W15:W34)/AVERAGE('Feeder Spreads'!W15:W34),"")</f>
        <v/>
      </c>
      <c r="DZ15">
        <v>24.563199999999998</v>
      </c>
      <c r="EA15">
        <f>IFERROR(SQRT((SUMSQ('Feeder Spreads'!W15:W34)-2*SUMPRODUCT('Feeder Spreads'!W15:W34,'Feeder Spreads'!W16:W35)+SUMSQ('Feeder Spreads'!W16:W35)-('Feeder Spreads'!W15-'Feeder Spreads'!W35)^2/20)/19),"")</f>
        <v>0</v>
      </c>
      <c r="EC15">
        <f>IFERROR('Feeder Spreads'!AC15,"")</f>
        <v>0</v>
      </c>
      <c r="ED15">
        <f>IFERROR(('Feeder Spreads'!AD15-AVERAGE('Feeder Spreads'!$AD$3:$AD$4308))/STDEV('Feeder Spreads'!$AD$3:$AD$4308),"")</f>
        <v>9.2057461789832318E-2</v>
      </c>
      <c r="EE15">
        <f>IFERROR('Feeder Spreads'!AD15-'Feeder Spreads'!AD20,"")</f>
        <v>0</v>
      </c>
      <c r="EF15">
        <f>IFERROR('Feeder Spreads'!AD15-'Feeder Spreads'!AD25,"")</f>
        <v>0</v>
      </c>
      <c r="EG15">
        <f>IFERROR(AVERAGE('Feeder Spreads'!AD15:AD34)+2*STDEV('Feeder Spreads'!AD15:AD34),"")</f>
        <v>0</v>
      </c>
      <c r="EH15">
        <f>IFERROR(AVERAGE('Feeder Spreads'!AD15:AD34)-2*STDEV('Feeder Spreads'!AD15:AD34),"")</f>
        <v>0</v>
      </c>
      <c r="EI15" t="str">
        <f>IFERROR(('Feeder Spreads'!AD15-(AVERAGE('Feeder Spreads'!AD15:AD34)-2*STDEV('Feeder Spreads'!AD15:AD34)))/(4*STDEV('Feeder Spreads'!AD15:AD34)),"")</f>
        <v/>
      </c>
      <c r="EJ15" t="str">
        <f>IFERROR(4*STDEV('Feeder Spreads'!AD15:AD34)/AVERAGE('Feeder Spreads'!AD15:AD34),"")</f>
        <v/>
      </c>
      <c r="EK15">
        <v>56.284599999999998</v>
      </c>
      <c r="EL15">
        <f>IFERROR(SQRT((SUMSQ('Feeder Spreads'!AD15:AD34)-2*SUMPRODUCT('Feeder Spreads'!AD15:AD34,'Feeder Spreads'!AD16:AD35)+SUMSQ('Feeder Spreads'!AD16:AD35)-('Feeder Spreads'!AD15-'Feeder Spreads'!AD35)^2/20)/19),"")</f>
        <v>0</v>
      </c>
      <c r="EN15">
        <f>IFERROR('Feeder Spreads'!AJ15,"")</f>
        <v>0</v>
      </c>
      <c r="EO15">
        <f>IFERROR(('Feeder Spreads'!AK15-AVERAGE('Feeder Spreads'!$AK$3:$AK$4308))/STDEV('Feeder Spreads'!$AK$3:$AK$4308),"")</f>
        <v>-9.2057461789832346E-2</v>
      </c>
      <c r="EP15">
        <f>IFERROR('Feeder Spreads'!AK15-'Feeder Spreads'!AK20,"")</f>
        <v>0</v>
      </c>
      <c r="EQ15">
        <f>IFERROR('Feeder Spreads'!AK15-'Feeder Spreads'!AK25,"")</f>
        <v>0</v>
      </c>
      <c r="ER15">
        <f>IFERROR(AVERAGE('Feeder Spreads'!AK15:AK34)+2*STDEV('Feeder Spreads'!AK15:AK34),"")</f>
        <v>0</v>
      </c>
      <c r="ES15">
        <f>IFERROR(AVERAGE('Feeder Spreads'!AK15:AK34)-2*STDEV('Feeder Spreads'!AK15:AK34),"")</f>
        <v>0</v>
      </c>
      <c r="ET15" t="str">
        <f>IFERROR(('Feeder Spreads'!AK15-(AVERAGE('Feeder Spreads'!AK15:AK34)-2*STDEV('Feeder Spreads'!AK15:AK34)))/(4*STDEV('Feeder Spreads'!AK15:AK34)),"")</f>
        <v/>
      </c>
      <c r="EU15" t="str">
        <f>IFERROR(4*STDEV('Feeder Spreads'!AK15:AK34)/AVERAGE('Feeder Spreads'!AK15:AK34),"")</f>
        <v/>
      </c>
      <c r="EV15">
        <v>55.936</v>
      </c>
      <c r="EW15">
        <f>IFERROR(SQRT((SUMSQ('Feeder Spreads'!AK15:AK34)-2*SUMPRODUCT('Feeder Spreads'!AK15:AK34,'Feeder Spreads'!AK16:AK35)+SUMSQ('Feeder Spreads'!AK16:AK35)-('Feeder Spreads'!AK15-'Feeder Spreads'!AK35)^2/20)/19),"")</f>
        <v>0</v>
      </c>
      <c r="EY15">
        <f>IFERROR('Feeder Spreads'!AQ15,"")</f>
        <v>0</v>
      </c>
      <c r="EZ15">
        <f>IFERROR(('Feeder Spreads'!AR15-AVERAGE('Feeder Spreads'!$AR$3:$AR$4308))/STDEV('Feeder Spreads'!$AR$3:$AR$4308),"")</f>
        <v>-9.2057461789832332E-2</v>
      </c>
      <c r="FA15">
        <f>IFERROR('Feeder Spreads'!AR15-'Feeder Spreads'!AR20,"")</f>
        <v>0</v>
      </c>
      <c r="FB15">
        <f>IFERROR('Feeder Spreads'!AR15-'Feeder Spreads'!AR25,"")</f>
        <v>0</v>
      </c>
      <c r="FC15">
        <f>IFERROR(AVERAGE('Feeder Spreads'!AR15:AR34)+2*STDEV('Feeder Spreads'!AR15:AR34),"")</f>
        <v>0</v>
      </c>
      <c r="FD15">
        <f>IFERROR(AVERAGE('Feeder Spreads'!AR15:AR34)-2*STDEV('Feeder Spreads'!AR15:AR34),"")</f>
        <v>0</v>
      </c>
      <c r="FE15" t="str">
        <f>IFERROR(('Feeder Spreads'!AR15-(AVERAGE('Feeder Spreads'!AR15:AR34)-2*STDEV('Feeder Spreads'!AR15:AR34)))/(4*STDEV('Feeder Spreads'!AR15:AR34)),"")</f>
        <v/>
      </c>
      <c r="FF15" t="str">
        <f>IFERROR(4*STDEV('Feeder Spreads'!AR15:AR34)/AVERAGE('Feeder Spreads'!AR15:AR34),"")</f>
        <v/>
      </c>
      <c r="FG15">
        <v>55.996099999999998</v>
      </c>
      <c r="FH15">
        <f>IFERROR(SQRT((SUMSQ('Feeder Spreads'!AR15:AR34)-2*SUMPRODUCT('Feeder Spreads'!AR15:AR34,'Feeder Spreads'!AR16:AR35)+SUMSQ('Feeder Spreads'!AR16:AR35)-('Feeder Spreads'!AR15-'Feeder Spreads'!AR35)^2/20)/19),"")</f>
        <v>0</v>
      </c>
      <c r="FJ15">
        <f>IFERROR('Fat Spreads'!AX15,"")</f>
        <v>0</v>
      </c>
      <c r="FK15">
        <f>IFERROR(('Fat Spreads'!AY15-AVERAGE('Fat Spreads'!$AY$3:$AY$4308))/STDEV('Fat Spreads'!$AY$3:$AY$4308),"")</f>
        <v>9.2057461789832332E-2</v>
      </c>
      <c r="FL15">
        <f>IFERROR('Fat Spreads'!AY15-'Fat Spreads'!AY20,"")</f>
        <v>0</v>
      </c>
      <c r="FM15">
        <f>IFERROR('Fat Spreads'!AY15-'Fat Spreads'!AY25,"")</f>
        <v>0</v>
      </c>
      <c r="FN15">
        <f>IFERROR(AVERAGE('Fat Spreads'!AY15:AY34)+2*STDEV('Fat Spreads'!AY15:AY34),"")</f>
        <v>0</v>
      </c>
      <c r="FO15">
        <f>IFERROR(AVERAGE('Fat Spreads'!AY15:AY34)-2*STDEV('Fat Spreads'!AY15:AY34),"")</f>
        <v>0</v>
      </c>
      <c r="FP15" t="str">
        <f>IFERROR(('Fat Spreads'!AY15-(AVERAGE('Fat Spreads'!AY15:AY34)-2*STDEV('Fat Spreads'!AY15:AY34)))/(4*STDEV('Fat Spreads'!AY15:AY34)),"")</f>
        <v/>
      </c>
      <c r="FQ15" t="str">
        <f>IFERROR(4*STDEV('Fat Spreads'!AY15:AY34)/AVERAGE('Fat Spreads'!AY15:AY34),"")</f>
        <v/>
      </c>
      <c r="FR15">
        <v>33.6815</v>
      </c>
      <c r="FS15">
        <f>IFERROR(SQRT((SUMSQ('Fat Spreads'!AY15:AY34)-2*SUMPRODUCT('Fat Spreads'!AY15:AY34,'Fat Spreads'!AY16:AY35)+SUMSQ('Fat Spreads'!AY16:AY35)-('Fat Spreads'!AY15-'Fat Spreads'!AY35)^2/20)/19),"")</f>
        <v>0</v>
      </c>
      <c r="FU15">
        <f>IFERROR('Fat Spreads'!BE15,"")</f>
        <v>0</v>
      </c>
      <c r="FV15">
        <f>IFERROR(('Fat Spreads'!BF15-AVERAGE('Fat Spreads'!$BF$3:$BF$4308))/STDEV('Fat Spreads'!$BF$3:$BF$4308),"")</f>
        <v>9.2057461789832332E-2</v>
      </c>
      <c r="FW15">
        <f>IFERROR('Fat Spreads'!BF15-'Fat Spreads'!BF20,"")</f>
        <v>0</v>
      </c>
      <c r="FX15">
        <f>IFERROR('Fat Spreads'!BF15-'Fat Spreads'!BF25,"")</f>
        <v>0</v>
      </c>
      <c r="FY15">
        <f>IFERROR(AVERAGE('Fat Spreads'!BF15:BF34)+2*STDEV('Fat Spreads'!BF15:BF34),"")</f>
        <v>0</v>
      </c>
      <c r="FZ15">
        <f>IFERROR(AVERAGE('Fat Spreads'!BF15:BF34)-2*STDEV('Fat Spreads'!BF15:BF34),"")</f>
        <v>0</v>
      </c>
      <c r="GA15" t="str">
        <f>IFERROR(('Fat Spreads'!BF15-(AVERAGE('Fat Spreads'!BF15:BF34)-2*STDEV('Fat Spreads'!BF15:BF34)))/(4*STDEV('Fat Spreads'!BF15:BF34)),"")</f>
        <v/>
      </c>
      <c r="GB15" t="str">
        <f>IFERROR(4*STDEV('Fat Spreads'!BF15:BF34)/AVERAGE('Fat Spreads'!BF15:BF34),"")</f>
        <v/>
      </c>
      <c r="GC15">
        <v>64.947800000000001</v>
      </c>
      <c r="GD15">
        <f>IFERROR(SQRT((SUMSQ('Fat Spreads'!BF15:BF34)-2*SUMPRODUCT('Fat Spreads'!BF15:BF34,'Fat Spreads'!BF16:BF35)+SUMSQ('Fat Spreads'!BF16:BF35)-('Fat Spreads'!BF15-'Fat Spreads'!BF35)^2/20)/19),"")</f>
        <v>0</v>
      </c>
    </row>
    <row r="16" spans="1:186" x14ac:dyDescent="0.25">
      <c r="A16">
        <f>IFERROR('Fat Spreads'!A16,"")</f>
        <v>0</v>
      </c>
      <c r="B16">
        <f>IFERROR(('Fat Spreads'!B16-AVERAGE('Fat Spreads'!$B$3:$B$4308))/STDEV('Fat Spreads'!$B$3:$B$4308),"")</f>
        <v>9.2057461789832346E-2</v>
      </c>
      <c r="C16">
        <f>IFERROR('Fat Spreads'!B16-'Fat Spreads'!B21,"")</f>
        <v>0</v>
      </c>
      <c r="D16">
        <f>IFERROR('Fat Spreads'!B16-'Fat Spreads'!B26,"")</f>
        <v>0</v>
      </c>
      <c r="E16">
        <f>IFERROR(AVERAGE('Fat Spreads'!B16:B35)+2*STDEV('Fat Spreads'!B16:B35),"")</f>
        <v>0</v>
      </c>
      <c r="F16">
        <f>IFERROR(AVERAGE('Fat Spreads'!B16:B35)-2*STDEV('Fat Spreads'!B16:B35),"")</f>
        <v>0</v>
      </c>
      <c r="G16" t="str">
        <f>IFERROR(('Fat Spreads'!B16-(AVERAGE('Fat Spreads'!B16:B35)-2*STDEV('Fat Spreads'!B16:B35)))/(4*STDEV('Fat Spreads'!B16:B35)),"")</f>
        <v/>
      </c>
      <c r="H16" t="str">
        <f>IFERROR(4*STDEV('Fat Spreads'!B16:B35)/AVERAGE('Fat Spreads'!B16:B35),"")</f>
        <v/>
      </c>
      <c r="I16">
        <v>57.201999999999998</v>
      </c>
      <c r="J16">
        <f>IFERROR(SQRT((SUMSQ('Fat Spreads'!B16:B35)-2*SUMPRODUCT('Fat Spreads'!B16:B35,'Fat Spreads'!B17:B36)+SUMSQ('Fat Spreads'!B17:B36)-('Fat Spreads'!B16-'Fat Spreads'!B36)^2/20)/19),"")</f>
        <v>0</v>
      </c>
      <c r="L16">
        <f>IFERROR('Fat Spreads'!H16,"")</f>
        <v>0</v>
      </c>
      <c r="M16">
        <f>IFERROR(('Fat Spreads'!I16-AVERAGE('Fat Spreads'!$I$3:$I$4308))/STDEV('Fat Spreads'!$I$3:$I$4308),"")</f>
        <v>-9.2057461789832332E-2</v>
      </c>
      <c r="N16">
        <f>IFERROR('Fat Spreads'!I16-'Fat Spreads'!I21,"")</f>
        <v>0</v>
      </c>
      <c r="O16">
        <f>IFERROR('Fat Spreads'!I16-'Fat Spreads'!I26,"")</f>
        <v>0</v>
      </c>
      <c r="P16">
        <f>IFERROR(AVERAGE('Fat Spreads'!I16:I35)+2*STDEV('Fat Spreads'!I16:I35),"")</f>
        <v>0</v>
      </c>
      <c r="Q16">
        <f>IFERROR(AVERAGE('Fat Spreads'!I16:I35)-2*STDEV('Fat Spreads'!I16:I35),"")</f>
        <v>0</v>
      </c>
      <c r="R16" t="str">
        <f>IFERROR(('Fat Spreads'!I16-(AVERAGE('Fat Spreads'!I16:I35)-2*STDEV('Fat Spreads'!I16:I35)))/(4*STDEV('Fat Spreads'!I16:I35)),"")</f>
        <v/>
      </c>
      <c r="S16" t="str">
        <f>IFERROR(4*STDEV('Fat Spreads'!I16:I35)/AVERAGE('Fat Spreads'!I16:I35),"")</f>
        <v/>
      </c>
      <c r="T16">
        <v>63.708799999999997</v>
      </c>
      <c r="U16">
        <f>IFERROR(SQRT((SUMSQ('Fat Spreads'!I16:I35)-2*SUMPRODUCT('Fat Spreads'!I16:I35,'Fat Spreads'!I17:I36)+SUMSQ('Fat Spreads'!I17:I36)-('Fat Spreads'!I16-'Fat Spreads'!I36)^2/20)/19),"")</f>
        <v>0</v>
      </c>
      <c r="W16">
        <f>IFERROR('Fat Spreads'!AQ16,"")</f>
        <v>0</v>
      </c>
      <c r="X16">
        <f>IFERROR(('Fat Spreads'!AR16-AVERAGE('Fat Spreads'!$AR$3:$AR$4308))/STDEV('Fat Spreads'!$AR$3:$AR$4308),"")</f>
        <v>-9.2057461789832346E-2</v>
      </c>
      <c r="Y16">
        <f>IFERROR('Fat Spreads'!AR16-'Fat Spreads'!AR21,"")</f>
        <v>0</v>
      </c>
      <c r="Z16">
        <f>IFERROR('Fat Spreads'!AR16-'Fat Spreads'!AR26,"")</f>
        <v>0</v>
      </c>
      <c r="AA16">
        <f>IFERROR(AVERAGE('Fat Spreads'!AR16:AR35)+2*STDEV('Fat Spreads'!AR16:AR35),"")</f>
        <v>0</v>
      </c>
      <c r="AB16">
        <f>IFERROR(AVERAGE('Fat Spreads'!AR16:AR35)-2*STDEV('Fat Spreads'!AR16:AR35),"")</f>
        <v>0</v>
      </c>
      <c r="AC16" t="str">
        <f>IFERROR(('Fat Spreads'!AR16-(AVERAGE('Fat Spreads'!AR16:AR35)-2*STDEV('Fat Spreads'!AR16:AR35)))/(4*STDEV('Fat Spreads'!AR16:AR35)),"")</f>
        <v/>
      </c>
      <c r="AD16" t="str">
        <f>IFERROR(4*STDEV('Fat Spreads'!AR16:AR35)/AVERAGE('Fat Spreads'!AR16:AR35),"")</f>
        <v/>
      </c>
      <c r="AE16">
        <v>62.715299999999999</v>
      </c>
      <c r="AF16">
        <f>IFERROR(SQRT((SUMSQ('Fat Spreads'!AR16:AR35)-2*SUMPRODUCT('Fat Spreads'!AR16:AR35,'Fat Spreads'!AR17:AR36)+SUMSQ('Fat Spreads'!AR17:AR36)-('Fat Spreads'!AR16-'Fat Spreads'!AR36)^2/20)/19),"")</f>
        <v>0</v>
      </c>
      <c r="AH16">
        <f>IFERROR('Fat Spreads'!O16,"")</f>
        <v>0</v>
      </c>
      <c r="AI16">
        <f>IFERROR(('Fat Spreads'!P16-AVERAGE('Fat Spreads'!$P$3:$P$4308))/STDEV('Fat Spreads'!$P$3:$P$4308),"")</f>
        <v>-9.2057461789832332E-2</v>
      </c>
      <c r="AJ16">
        <f>IFERROR('Fat Spreads'!P16-'Fat Spreads'!P21,"")</f>
        <v>0</v>
      </c>
      <c r="AK16">
        <f>IFERROR('Fat Spreads'!P16-'Fat Spreads'!P26,"")</f>
        <v>0</v>
      </c>
      <c r="AL16">
        <f>IFERROR(AVERAGE('Fat Spreads'!P16:P35)+2*STDEV('Fat Spreads'!P16:P35),"")</f>
        <v>0</v>
      </c>
      <c r="AM16">
        <f>IFERROR(AVERAGE('Fat Spreads'!P16:P35)-2*STDEV('Fat Spreads'!P16:P35),"")</f>
        <v>0</v>
      </c>
      <c r="AN16" t="str">
        <f>IFERROR(('Fat Spreads'!P16-(AVERAGE('Fat Spreads'!P16:P35)-2*STDEV('Fat Spreads'!P16:P35)))/(4*STDEV('Fat Spreads'!P16:P35)),"")</f>
        <v/>
      </c>
      <c r="AO16" t="str">
        <f>IFERROR(4*STDEV('Fat Spreads'!P16:P35)/AVERAGE('Fat Spreads'!P16:P35),"")</f>
        <v/>
      </c>
      <c r="AP16">
        <v>64.047600000000003</v>
      </c>
      <c r="AQ16">
        <f>IFERROR(SQRT((SUMSQ('Fat Spreads'!P16:P35)-2*SUMPRODUCT('Fat Spreads'!P16:P35,'Fat Spreads'!P17:P36)+SUMSQ('Fat Spreads'!P17:P36)-('Fat Spreads'!P16-'Fat Spreads'!P36)^2/20)/19),"")</f>
        <v>0</v>
      </c>
      <c r="AS16">
        <f>IFERROR('Fat Spreads'!AJ16,"")</f>
        <v>0</v>
      </c>
      <c r="AT16">
        <f>IFERROR(('Fat Spreads'!AK16-AVERAGE('Fat Spreads'!$AK$3:$AK$4308))/STDEV('Fat Spreads'!$AK$3:$AK$4308),"")</f>
        <v>-9.2057461789832332E-2</v>
      </c>
      <c r="AU16">
        <f>IFERROR('Fat Spreads'!AK16-'Fat Spreads'!AK21,"")</f>
        <v>0</v>
      </c>
      <c r="AV16">
        <f>IFERROR('Fat Spreads'!AK16-'Fat Spreads'!AK26,"")</f>
        <v>0</v>
      </c>
      <c r="AW16">
        <f>IFERROR(AVERAGE('Fat Spreads'!AK16:AK35)+2*STDEV('Fat Spreads'!AK16:AK35),"")</f>
        <v>0</v>
      </c>
      <c r="AX16">
        <f>IFERROR(AVERAGE('Fat Spreads'!AK16:AK35)-2*STDEV('Fat Spreads'!AK16:AK35),"")</f>
        <v>0</v>
      </c>
      <c r="AY16" t="str">
        <f>IFERROR(('Fat Spreads'!AK16-(AVERAGE('Fat Spreads'!AK16:AK35)-2*STDEV('Fat Spreads'!AK16:AK35)))/(4*STDEV('Fat Spreads'!AK16:AK35)),"")</f>
        <v/>
      </c>
      <c r="AZ16" t="str">
        <f>IFERROR(4*STDEV('Fat Spreads'!AK16:AK35)/AVERAGE('Fat Spreads'!AK16:AK35),"")</f>
        <v/>
      </c>
      <c r="BA16">
        <v>28.3901</v>
      </c>
      <c r="BB16">
        <f>IFERROR(SQRT((SUMSQ('Fat Spreads'!AK16:AK35)-2*SUMPRODUCT('Fat Spreads'!AK16:AK35,'Fat Spreads'!AK17:AK36)+SUMSQ('Fat Spreads'!AK17:AK36)-('Fat Spreads'!AK16-'Fat Spreads'!AK36)^2/20)/19),"")</f>
        <v>0</v>
      </c>
      <c r="BD16">
        <f>IFERROR('Fat Spreads'!V16,"")</f>
        <v>0</v>
      </c>
      <c r="BE16">
        <f>IFERROR(('Fat Spreads'!W16-AVERAGE('Fat Spreads'!$W$3:$W$4308))/STDEV('Fat Spreads'!$W$3:$W$4308),"")</f>
        <v>-9.2057461789832332E-2</v>
      </c>
      <c r="BF16">
        <f>IFERROR('Fat Spreads'!W16-'Fat Spreads'!W21,"")</f>
        <v>0</v>
      </c>
      <c r="BG16">
        <f>IFERROR('Fat Spreads'!W16-'Fat Spreads'!W26,"")</f>
        <v>0</v>
      </c>
      <c r="BH16">
        <f>IFERROR(AVERAGE('Fat Spreads'!W16:W35)+2*STDEV('Fat Spreads'!W16:W35),"")</f>
        <v>0</v>
      </c>
      <c r="BI16">
        <f>IFERROR(AVERAGE('Fat Spreads'!W16:W35)-2*STDEV('Fat Spreads'!W16:W35),"")</f>
        <v>0</v>
      </c>
      <c r="BJ16" t="str">
        <f>IFERROR(('Fat Spreads'!W16-(AVERAGE('Fat Spreads'!W16:W35)-2*STDEV('Fat Spreads'!W16:W35)))/(4*STDEV('Fat Spreads'!W16:W35)),"")</f>
        <v/>
      </c>
      <c r="BK16" t="str">
        <f>IFERROR(4*STDEV('Fat Spreads'!W16:W35)/AVERAGE('Fat Spreads'!W16:W35),"")</f>
        <v/>
      </c>
      <c r="BL16">
        <v>57.163600000000002</v>
      </c>
      <c r="BM16">
        <f>IFERROR(SQRT((SUMSQ('Fat Spreads'!W16:W35)-2*SUMPRODUCT('Fat Spreads'!W16:W35,'Fat Spreads'!W17:W36)+SUMSQ('Fat Spreads'!W17:W36)-('Fat Spreads'!W16-'Fat Spreads'!W36)^2/20)/19),"")</f>
        <v>0</v>
      </c>
      <c r="BO16">
        <f>IFERROR('Fat Spreads'!AC16,"")</f>
        <v>0</v>
      </c>
      <c r="BP16">
        <f>IFERROR(('Fat Spreads'!AD16-AVERAGE('Fat Spreads'!$AD$3:$AD$4308))/STDEV('Fat Spreads'!$AD$3:$AD$4308),"")</f>
        <v>-9.2057461789832332E-2</v>
      </c>
      <c r="BQ16">
        <f>IFERROR('Fat Spreads'!AD16-'Fat Spreads'!AD21,"")</f>
        <v>0</v>
      </c>
      <c r="BR16">
        <f>IFERROR('Fat Spreads'!AD16-'Fat Spreads'!AD26,"")</f>
        <v>0</v>
      </c>
      <c r="BS16">
        <f>IFERROR(AVERAGE('Fat Spreads'!AD16:AD35)+2*STDEV('Fat Spreads'!AD16:AD35),"")</f>
        <v>0</v>
      </c>
      <c r="BT16">
        <f>IFERROR(AVERAGE('Fat Spreads'!AD16:AD35)-2*STDEV('Fat Spreads'!AD16:AD35),"")</f>
        <v>0</v>
      </c>
      <c r="BU16" t="str">
        <f>IFERROR(('Fat Spreads'!AD16-(AVERAGE('Fat Spreads'!AD16:AD35)-2*STDEV('Fat Spreads'!AD16:AD35)))/(4*STDEV('Fat Spreads'!AD16:AD35)),"")</f>
        <v/>
      </c>
      <c r="BV16" t="str">
        <f>IFERROR(4*STDEV('Fat Spreads'!AD16:AD35)/AVERAGE('Fat Spreads'!AD16:AD35),"")</f>
        <v/>
      </c>
      <c r="BW16">
        <v>63.063800000000001</v>
      </c>
      <c r="BX16">
        <f>IFERROR(SQRT((SUMSQ('Fat Spreads'!AD16:AD35)-2*SUMPRODUCT('Fat Spreads'!AD16:AD35,'Fat Spreads'!AD17:AD36)+SUMSQ('Fat Spreads'!AD17:AD36)-('Fat Spreads'!AD16-'Fat Spreads'!AD36)^2/20)/19),"")</f>
        <v>0</v>
      </c>
      <c r="BZ16">
        <f>IFERROR('Feeder Spreads'!A16,"")</f>
        <v>0</v>
      </c>
      <c r="CA16">
        <f>IFERROR(('Feeder Spreads'!B16-AVERAGE('Feeder Spreads'!$B$3:$B$4308))/STDEV('Feeder Spreads'!$B$3:$B$4308),"")</f>
        <v>-9.2057461789832346E-2</v>
      </c>
      <c r="CB16">
        <f>IFERROR('Feeder Spreads'!B16-'Feeder Spreads'!B21,"")</f>
        <v>0</v>
      </c>
      <c r="CC16">
        <f>IFERROR('Feeder Spreads'!B16-'Feeder Spreads'!B26,"")</f>
        <v>0</v>
      </c>
      <c r="CD16">
        <f>IFERROR(AVERAGE('Feeder Spreads'!B16:B35)+2*STDEV('Feeder Spreads'!B16:B35),"")</f>
        <v>0</v>
      </c>
      <c r="CE16">
        <f>IFERROR(AVERAGE('Feeder Spreads'!B16:B35)-2*STDEV('Feeder Spreads'!B16:B35),"")</f>
        <v>0</v>
      </c>
      <c r="CF16" t="str">
        <f>IFERROR(('Feeder Spreads'!B16-(AVERAGE('Feeder Spreads'!B16:B35)-2*STDEV('Feeder Spreads'!B16:B35)))/(4*STDEV('Feeder Spreads'!B16:B35)),"")</f>
        <v/>
      </c>
      <c r="CG16" t="str">
        <f>IFERROR(4*STDEV('Feeder Spreads'!B16:B35)/AVERAGE('Feeder Spreads'!B16:B35),"")</f>
        <v/>
      </c>
      <c r="CH16">
        <v>55.433799999999998</v>
      </c>
      <c r="CI16">
        <f>IFERROR(SQRT((SUMSQ('Feeder Spreads'!B16:B35)-2*SUMPRODUCT('Feeder Spreads'!B16:B35,'Feeder Spreads'!B17:B36)+SUMSQ('Feeder Spreads'!B17:B36)-('Feeder Spreads'!B16-'Feeder Spreads'!B36)^2/20)/19),"")</f>
        <v>0</v>
      </c>
      <c r="CK16">
        <f>IFERROR('Feeder Spreads'!AX16,"")</f>
        <v>0</v>
      </c>
      <c r="CL16">
        <f>IFERROR(('Feeder Spreads'!AY16-AVERAGE('Feeder Spreads'!$AY$3:$AY$4308))/STDEV('Feeder Spreads'!$AY$3:$AY$4308),"")</f>
        <v>-9.2057461789832346E-2</v>
      </c>
      <c r="CM16">
        <f>IFERROR('Feeder Spreads'!AY16-'Feeder Spreads'!AY21,"")</f>
        <v>0</v>
      </c>
      <c r="CN16">
        <f>IFERROR('Feeder Spreads'!AY16-'Feeder Spreads'!AY26,"")</f>
        <v>0</v>
      </c>
      <c r="CO16">
        <f>IFERROR(AVERAGE('Feeder Spreads'!AY16:AY35)+2*STDEV('Feeder Spreads'!AY16:AY35),"")</f>
        <v>0</v>
      </c>
      <c r="CP16">
        <f>IFERROR(AVERAGE('Feeder Spreads'!AY16:AY35)-2*STDEV('Feeder Spreads'!AY16:AY35),"")</f>
        <v>0</v>
      </c>
      <c r="CQ16" t="str">
        <f>IFERROR(('Feeder Spreads'!AY16-(AVERAGE('Feeder Spreads'!AY16:AY35)-2*STDEV('Feeder Spreads'!AY16:AY35)))/(4*STDEV('Feeder Spreads'!AY16:AY35)),"")</f>
        <v/>
      </c>
      <c r="CR16" t="str">
        <f>IFERROR(4*STDEV('Feeder Spreads'!AY16:AY35)/AVERAGE('Feeder Spreads'!AY16:AY35),"")</f>
        <v/>
      </c>
      <c r="CS16">
        <v>64.245800000000003</v>
      </c>
      <c r="CT16">
        <f>IFERROR(SQRT((SUMSQ('Feeder Spreads'!AY16:AY35)-2*SUMPRODUCT('Feeder Spreads'!AY16:AY35,'Feeder Spreads'!AY17:AY36)+SUMSQ('Feeder Spreads'!AY17:AY36)-('Feeder Spreads'!AY16-'Feeder Spreads'!AY36)^2/20)/19),"")</f>
        <v>0</v>
      </c>
      <c r="CV16">
        <f>IFERROR('Feeder Spreads'!H16,"")</f>
        <v>0</v>
      </c>
      <c r="CW16">
        <f>IFERROR(('Feeder Spreads'!I16-AVERAGE('Feeder Spreads'!$I$3:$I$4308))/STDEV('Feeder Spreads'!$I$3:$I$4308),"")</f>
        <v>-9.2057461789832332E-2</v>
      </c>
      <c r="CX16">
        <f>IFERROR('Feeder Spreads'!I16-'Feeder Spreads'!I21,"")</f>
        <v>0</v>
      </c>
      <c r="CY16">
        <f>IFERROR('Feeder Spreads'!I16-'Feeder Spreads'!I26,"")</f>
        <v>0</v>
      </c>
      <c r="CZ16">
        <f>IFERROR(AVERAGE('Feeder Spreads'!I16:I35)+2*STDEV('Feeder Spreads'!I16:I35),"")</f>
        <v>0</v>
      </c>
      <c r="DA16">
        <f>IFERROR(AVERAGE('Feeder Spreads'!I16:I35)-2*STDEV('Feeder Spreads'!I16:I35),"")</f>
        <v>0</v>
      </c>
      <c r="DB16" t="str">
        <f>IFERROR(('Feeder Spreads'!I16-(AVERAGE('Feeder Spreads'!I16:I35)-2*STDEV('Feeder Spreads'!I16:I35)))/(4*STDEV('Feeder Spreads'!I16:I35)),"")</f>
        <v/>
      </c>
      <c r="DC16" t="str">
        <f>IFERROR(4*STDEV('Feeder Spreads'!I16:I35)/AVERAGE('Feeder Spreads'!I16:I35),"")</f>
        <v/>
      </c>
      <c r="DD16">
        <v>31.422499999999999</v>
      </c>
      <c r="DE16">
        <f>IFERROR(SQRT((SUMSQ('Feeder Spreads'!I16:I35)-2*SUMPRODUCT('Feeder Spreads'!I16:I35,'Feeder Spreads'!I17:I36)+SUMSQ('Feeder Spreads'!I17:I36)-('Feeder Spreads'!I16-'Feeder Spreads'!I36)^2/20)/19),"")</f>
        <v>0</v>
      </c>
      <c r="DG16">
        <f>IFERROR('Feeder Spreads'!O16,"")</f>
        <v>0</v>
      </c>
      <c r="DH16">
        <f>IFERROR(('Feeder Spreads'!P16-AVERAGE('Feeder Spreads'!$P$3:$P$4308))/STDEV('Feeder Spreads'!$P$3:$P$4308),"")</f>
        <v>-9.2057461789832346E-2</v>
      </c>
      <c r="DI16">
        <f>IFERROR('Feeder Spreads'!P16-'Feeder Spreads'!P21,"")</f>
        <v>0</v>
      </c>
      <c r="DJ16">
        <f>IFERROR('Feeder Spreads'!P16-'Feeder Spreads'!P26,"")</f>
        <v>0</v>
      </c>
      <c r="DK16">
        <f>IFERROR(AVERAGE('Feeder Spreads'!P16:P35)+2*STDEV('Feeder Spreads'!P16:P35),"")</f>
        <v>0</v>
      </c>
      <c r="DL16">
        <f>IFERROR(AVERAGE('Feeder Spreads'!P16:P35)-2*STDEV('Feeder Spreads'!P16:P35),"")</f>
        <v>0</v>
      </c>
      <c r="DM16" t="str">
        <f>IFERROR(('Feeder Spreads'!P16-(AVERAGE('Feeder Spreads'!P16:P35)-2*STDEV('Feeder Spreads'!P16:P35)))/(4*STDEV('Feeder Spreads'!P16:P35)),"")</f>
        <v/>
      </c>
      <c r="DN16" t="str">
        <f>IFERROR(4*STDEV('Feeder Spreads'!P16:P35)/AVERAGE('Feeder Spreads'!P16:P35),"")</f>
        <v/>
      </c>
      <c r="DO16">
        <v>62.762700000000002</v>
      </c>
      <c r="DP16">
        <f>IFERROR(SQRT((SUMSQ('Feeder Spreads'!P16:P35)-2*SUMPRODUCT('Feeder Spreads'!P16:P35,'Feeder Spreads'!P17:P36)+SUMSQ('Feeder Spreads'!P17:P36)-('Feeder Spreads'!P16-'Feeder Spreads'!P36)^2/20)/19),"")</f>
        <v>0</v>
      </c>
      <c r="DR16">
        <f>IFERROR('Feeder Spreads'!V16,"")</f>
        <v>0</v>
      </c>
      <c r="DS16">
        <f>IFERROR(('Feeder Spreads'!W16-AVERAGE('Feeder Spreads'!$W$3:$W$4308))/STDEV('Feeder Spreads'!$W$3:$W$4308),"")</f>
        <v>-9.2057461789832332E-2</v>
      </c>
      <c r="DT16">
        <f>IFERROR('Feeder Spreads'!W16-'Feeder Spreads'!W21,"")</f>
        <v>0</v>
      </c>
      <c r="DU16">
        <f>IFERROR('Feeder Spreads'!W16-'Feeder Spreads'!W26,"")</f>
        <v>0</v>
      </c>
      <c r="DV16">
        <f>IFERROR(AVERAGE('Feeder Spreads'!W16:W35)+2*STDEV('Feeder Spreads'!W16:W35),"")</f>
        <v>0</v>
      </c>
      <c r="DW16">
        <f>IFERROR(AVERAGE('Feeder Spreads'!W16:W35)-2*STDEV('Feeder Spreads'!W16:W35),"")</f>
        <v>0</v>
      </c>
      <c r="DX16" t="str">
        <f>IFERROR(('Feeder Spreads'!W16-(AVERAGE('Feeder Spreads'!W16:W35)-2*STDEV('Feeder Spreads'!W16:W35)))/(4*STDEV('Feeder Spreads'!W16:W35)),"")</f>
        <v/>
      </c>
      <c r="DY16" t="str">
        <f>IFERROR(4*STDEV('Feeder Spreads'!W16:W35)/AVERAGE('Feeder Spreads'!W16:W35),"")</f>
        <v/>
      </c>
      <c r="DZ16">
        <v>28.431100000000001</v>
      </c>
      <c r="EA16">
        <f>IFERROR(SQRT((SUMSQ('Feeder Spreads'!W16:W35)-2*SUMPRODUCT('Feeder Spreads'!W16:W35,'Feeder Spreads'!W17:W36)+SUMSQ('Feeder Spreads'!W17:W36)-('Feeder Spreads'!W16-'Feeder Spreads'!W36)^2/20)/19),"")</f>
        <v>0</v>
      </c>
      <c r="EC16">
        <f>IFERROR('Feeder Spreads'!AC16,"")</f>
        <v>0</v>
      </c>
      <c r="ED16">
        <f>IFERROR(('Feeder Spreads'!AD16-AVERAGE('Feeder Spreads'!$AD$3:$AD$4308))/STDEV('Feeder Spreads'!$AD$3:$AD$4308),"")</f>
        <v>9.2057461789832318E-2</v>
      </c>
      <c r="EE16">
        <f>IFERROR('Feeder Spreads'!AD16-'Feeder Spreads'!AD21,"")</f>
        <v>0</v>
      </c>
      <c r="EF16">
        <f>IFERROR('Feeder Spreads'!AD16-'Feeder Spreads'!AD26,"")</f>
        <v>0</v>
      </c>
      <c r="EG16">
        <f>IFERROR(AVERAGE('Feeder Spreads'!AD16:AD35)+2*STDEV('Feeder Spreads'!AD16:AD35),"")</f>
        <v>0</v>
      </c>
      <c r="EH16">
        <f>IFERROR(AVERAGE('Feeder Spreads'!AD16:AD35)-2*STDEV('Feeder Spreads'!AD16:AD35),"")</f>
        <v>0</v>
      </c>
      <c r="EI16" t="str">
        <f>IFERROR(('Feeder Spreads'!AD16-(AVERAGE('Feeder Spreads'!AD16:AD35)-2*STDEV('Feeder Spreads'!AD16:AD35)))/(4*STDEV('Feeder Spreads'!AD16:AD35)),"")</f>
        <v/>
      </c>
      <c r="EJ16" t="str">
        <f>IFERROR(4*STDEV('Feeder Spreads'!AD16:AD35)/AVERAGE('Feeder Spreads'!AD16:AD35),"")</f>
        <v/>
      </c>
      <c r="EK16">
        <v>54.828600000000002</v>
      </c>
      <c r="EL16">
        <f>IFERROR(SQRT((SUMSQ('Feeder Spreads'!AD16:AD35)-2*SUMPRODUCT('Feeder Spreads'!AD16:AD35,'Feeder Spreads'!AD17:AD36)+SUMSQ('Feeder Spreads'!AD17:AD36)-('Feeder Spreads'!AD16-'Feeder Spreads'!AD36)^2/20)/19),"")</f>
        <v>0</v>
      </c>
      <c r="EN16">
        <f>IFERROR('Feeder Spreads'!AJ16,"")</f>
        <v>0</v>
      </c>
      <c r="EO16">
        <f>IFERROR(('Feeder Spreads'!AK16-AVERAGE('Feeder Spreads'!$AK$3:$AK$4308))/STDEV('Feeder Spreads'!$AK$3:$AK$4308),"")</f>
        <v>-9.2057461789832346E-2</v>
      </c>
      <c r="EP16">
        <f>IFERROR('Feeder Spreads'!AK16-'Feeder Spreads'!AK21,"")</f>
        <v>0</v>
      </c>
      <c r="EQ16">
        <f>IFERROR('Feeder Spreads'!AK16-'Feeder Spreads'!AK26,"")</f>
        <v>0</v>
      </c>
      <c r="ER16">
        <f>IFERROR(AVERAGE('Feeder Spreads'!AK16:AK35)+2*STDEV('Feeder Spreads'!AK16:AK35),"")</f>
        <v>0</v>
      </c>
      <c r="ES16">
        <f>IFERROR(AVERAGE('Feeder Spreads'!AK16:AK35)-2*STDEV('Feeder Spreads'!AK16:AK35),"")</f>
        <v>0</v>
      </c>
      <c r="ET16" t="str">
        <f>IFERROR(('Feeder Spreads'!AK16-(AVERAGE('Feeder Spreads'!AK16:AK35)-2*STDEV('Feeder Spreads'!AK16:AK35)))/(4*STDEV('Feeder Spreads'!AK16:AK35)),"")</f>
        <v/>
      </c>
      <c r="EU16" t="str">
        <f>IFERROR(4*STDEV('Feeder Spreads'!AK16:AK35)/AVERAGE('Feeder Spreads'!AK16:AK35),"")</f>
        <v/>
      </c>
      <c r="EV16">
        <v>56.637900000000002</v>
      </c>
      <c r="EW16">
        <f>IFERROR(SQRT((SUMSQ('Feeder Spreads'!AK16:AK35)-2*SUMPRODUCT('Feeder Spreads'!AK16:AK35,'Feeder Spreads'!AK17:AK36)+SUMSQ('Feeder Spreads'!AK17:AK36)-('Feeder Spreads'!AK16-'Feeder Spreads'!AK36)^2/20)/19),"")</f>
        <v>0</v>
      </c>
      <c r="EY16">
        <f>IFERROR('Feeder Spreads'!AQ16,"")</f>
        <v>0</v>
      </c>
      <c r="EZ16">
        <f>IFERROR(('Feeder Spreads'!AR16-AVERAGE('Feeder Spreads'!$AR$3:$AR$4308))/STDEV('Feeder Spreads'!$AR$3:$AR$4308),"")</f>
        <v>-9.2057461789832332E-2</v>
      </c>
      <c r="FA16">
        <f>IFERROR('Feeder Spreads'!AR16-'Feeder Spreads'!AR21,"")</f>
        <v>0</v>
      </c>
      <c r="FB16">
        <f>IFERROR('Feeder Spreads'!AR16-'Feeder Spreads'!AR26,"")</f>
        <v>0</v>
      </c>
      <c r="FC16">
        <f>IFERROR(AVERAGE('Feeder Spreads'!AR16:AR35)+2*STDEV('Feeder Spreads'!AR16:AR35),"")</f>
        <v>0</v>
      </c>
      <c r="FD16">
        <f>IFERROR(AVERAGE('Feeder Spreads'!AR16:AR35)-2*STDEV('Feeder Spreads'!AR16:AR35),"")</f>
        <v>0</v>
      </c>
      <c r="FE16" t="str">
        <f>IFERROR(('Feeder Spreads'!AR16-(AVERAGE('Feeder Spreads'!AR16:AR35)-2*STDEV('Feeder Spreads'!AR16:AR35)))/(4*STDEV('Feeder Spreads'!AR16:AR35)),"")</f>
        <v/>
      </c>
      <c r="FF16" t="str">
        <f>IFERROR(4*STDEV('Feeder Spreads'!AR16:AR35)/AVERAGE('Feeder Spreads'!AR16:AR35),"")</f>
        <v/>
      </c>
      <c r="FG16">
        <v>62.820399999999999</v>
      </c>
      <c r="FH16">
        <f>IFERROR(SQRT((SUMSQ('Feeder Spreads'!AR16:AR35)-2*SUMPRODUCT('Feeder Spreads'!AR16:AR35,'Feeder Spreads'!AR17:AR36)+SUMSQ('Feeder Spreads'!AR17:AR36)-('Feeder Spreads'!AR16-'Feeder Spreads'!AR36)^2/20)/19),"")</f>
        <v>0</v>
      </c>
      <c r="FJ16">
        <f>IFERROR('Fat Spreads'!AX16,"")</f>
        <v>0</v>
      </c>
      <c r="FK16">
        <f>IFERROR(('Fat Spreads'!AY16-AVERAGE('Fat Spreads'!$AY$3:$AY$4308))/STDEV('Fat Spreads'!$AY$3:$AY$4308),"")</f>
        <v>9.2057461789832332E-2</v>
      </c>
      <c r="FL16">
        <f>IFERROR('Fat Spreads'!AY16-'Fat Spreads'!AY21,"")</f>
        <v>0</v>
      </c>
      <c r="FM16">
        <f>IFERROR('Fat Spreads'!AY16-'Fat Spreads'!AY26,"")</f>
        <v>0</v>
      </c>
      <c r="FN16">
        <f>IFERROR(AVERAGE('Fat Spreads'!AY16:AY35)+2*STDEV('Fat Spreads'!AY16:AY35),"")</f>
        <v>0</v>
      </c>
      <c r="FO16">
        <f>IFERROR(AVERAGE('Fat Spreads'!AY16:AY35)-2*STDEV('Fat Spreads'!AY16:AY35),"")</f>
        <v>0</v>
      </c>
      <c r="FP16" t="str">
        <f>IFERROR(('Fat Spreads'!AY16-(AVERAGE('Fat Spreads'!AY16:AY35)-2*STDEV('Fat Spreads'!AY16:AY35)))/(4*STDEV('Fat Spreads'!AY16:AY35)),"")</f>
        <v/>
      </c>
      <c r="FQ16" t="str">
        <f>IFERROR(4*STDEV('Fat Spreads'!AY16:AY35)/AVERAGE('Fat Spreads'!AY16:AY35),"")</f>
        <v/>
      </c>
      <c r="FR16">
        <v>34.049199999999999</v>
      </c>
      <c r="FS16">
        <f>IFERROR(SQRT((SUMSQ('Fat Spreads'!AY16:AY35)-2*SUMPRODUCT('Fat Spreads'!AY16:AY35,'Fat Spreads'!AY17:AY36)+SUMSQ('Fat Spreads'!AY17:AY36)-('Fat Spreads'!AY16-'Fat Spreads'!AY36)^2/20)/19),"")</f>
        <v>0</v>
      </c>
      <c r="FU16">
        <f>IFERROR('Fat Spreads'!BE16,"")</f>
        <v>0</v>
      </c>
      <c r="FV16">
        <f>IFERROR(('Fat Spreads'!BF16-AVERAGE('Fat Spreads'!$BF$3:$BF$4308))/STDEV('Fat Spreads'!$BF$3:$BF$4308),"")</f>
        <v>9.2057461789832332E-2</v>
      </c>
      <c r="FW16">
        <f>IFERROR('Fat Spreads'!BF16-'Fat Spreads'!BF21,"")</f>
        <v>0</v>
      </c>
      <c r="FX16">
        <f>IFERROR('Fat Spreads'!BF16-'Fat Spreads'!BF26,"")</f>
        <v>0</v>
      </c>
      <c r="FY16">
        <f>IFERROR(AVERAGE('Fat Spreads'!BF16:BF35)+2*STDEV('Fat Spreads'!BF16:BF35),"")</f>
        <v>0</v>
      </c>
      <c r="FZ16">
        <f>IFERROR(AVERAGE('Fat Spreads'!BF16:BF35)-2*STDEV('Fat Spreads'!BF16:BF35),"")</f>
        <v>0</v>
      </c>
      <c r="GA16" t="str">
        <f>IFERROR(('Fat Spreads'!BF16-(AVERAGE('Fat Spreads'!BF16:BF35)-2*STDEV('Fat Spreads'!BF16:BF35)))/(4*STDEV('Fat Spreads'!BF16:BF35)),"")</f>
        <v/>
      </c>
      <c r="GB16" t="str">
        <f>IFERROR(4*STDEV('Fat Spreads'!BF16:BF35)/AVERAGE('Fat Spreads'!BF16:BF35),"")</f>
        <v/>
      </c>
      <c r="GC16">
        <v>65.964100000000002</v>
      </c>
      <c r="GD16">
        <f>IFERROR(SQRT((SUMSQ('Fat Spreads'!BF16:BF35)-2*SUMPRODUCT('Fat Spreads'!BF16:BF35,'Fat Spreads'!BF17:BF36)+SUMSQ('Fat Spreads'!BF17:BF36)-('Fat Spreads'!BF16-'Fat Spreads'!BF36)^2/20)/19),"")</f>
        <v>0</v>
      </c>
    </row>
    <row r="17" spans="1:186" x14ac:dyDescent="0.25">
      <c r="A17">
        <f>IFERROR('Fat Spreads'!A17,"")</f>
        <v>0</v>
      </c>
      <c r="B17">
        <f>IFERROR(('Fat Spreads'!B17-AVERAGE('Fat Spreads'!$B$3:$B$4308))/STDEV('Fat Spreads'!$B$3:$B$4308),"")</f>
        <v>9.2057461789832346E-2</v>
      </c>
      <c r="C17">
        <f>IFERROR('Fat Spreads'!B17-'Fat Spreads'!B22,"")</f>
        <v>0</v>
      </c>
      <c r="D17">
        <f>IFERROR('Fat Spreads'!B17-'Fat Spreads'!B27,"")</f>
        <v>0</v>
      </c>
      <c r="E17">
        <f>IFERROR(AVERAGE('Fat Spreads'!B17:B36)+2*STDEV('Fat Spreads'!B17:B36),"")</f>
        <v>0</v>
      </c>
      <c r="F17">
        <f>IFERROR(AVERAGE('Fat Spreads'!B17:B36)-2*STDEV('Fat Spreads'!B17:B36),"")</f>
        <v>0</v>
      </c>
      <c r="G17" t="str">
        <f>IFERROR(('Fat Spreads'!B17-(AVERAGE('Fat Spreads'!B17:B36)-2*STDEV('Fat Spreads'!B17:B36)))/(4*STDEV('Fat Spreads'!B17:B36)),"")</f>
        <v/>
      </c>
      <c r="H17" t="str">
        <f>IFERROR(4*STDEV('Fat Spreads'!B17:B36)/AVERAGE('Fat Spreads'!B17:B36),"")</f>
        <v/>
      </c>
      <c r="I17">
        <v>48.723799999999997</v>
      </c>
      <c r="J17">
        <f>IFERROR(SQRT((SUMSQ('Fat Spreads'!B17:B36)-2*SUMPRODUCT('Fat Spreads'!B17:B36,'Fat Spreads'!B18:B37)+SUMSQ('Fat Spreads'!B18:B37)-('Fat Spreads'!B17-'Fat Spreads'!B37)^2/20)/19),"")</f>
        <v>0</v>
      </c>
      <c r="L17">
        <f>IFERROR('Fat Spreads'!H17,"")</f>
        <v>0</v>
      </c>
      <c r="M17">
        <f>IFERROR(('Fat Spreads'!I17-AVERAGE('Fat Spreads'!$I$3:$I$4308))/STDEV('Fat Spreads'!$I$3:$I$4308),"")</f>
        <v>-9.2057461789832332E-2</v>
      </c>
      <c r="N17">
        <f>IFERROR('Fat Spreads'!I17-'Fat Spreads'!I22,"")</f>
        <v>0</v>
      </c>
      <c r="O17">
        <f>IFERROR('Fat Spreads'!I17-'Fat Spreads'!I27,"")</f>
        <v>0</v>
      </c>
      <c r="P17">
        <f>IFERROR(AVERAGE('Fat Spreads'!I17:I36)+2*STDEV('Fat Spreads'!I17:I36),"")</f>
        <v>0</v>
      </c>
      <c r="Q17">
        <f>IFERROR(AVERAGE('Fat Spreads'!I17:I36)-2*STDEV('Fat Spreads'!I17:I36),"")</f>
        <v>0</v>
      </c>
      <c r="R17" t="str">
        <f>IFERROR(('Fat Spreads'!I17-(AVERAGE('Fat Spreads'!I17:I36)-2*STDEV('Fat Spreads'!I17:I36)))/(4*STDEV('Fat Spreads'!I17:I36)),"")</f>
        <v/>
      </c>
      <c r="S17" t="str">
        <f>IFERROR(4*STDEV('Fat Spreads'!I17:I36)/AVERAGE('Fat Spreads'!I17:I36),"")</f>
        <v/>
      </c>
      <c r="T17">
        <v>70.144499999999994</v>
      </c>
      <c r="U17">
        <f>IFERROR(SQRT((SUMSQ('Fat Spreads'!I17:I36)-2*SUMPRODUCT('Fat Spreads'!I17:I36,'Fat Spreads'!I18:I37)+SUMSQ('Fat Spreads'!I18:I37)-('Fat Spreads'!I17-'Fat Spreads'!I37)^2/20)/19),"")</f>
        <v>0</v>
      </c>
      <c r="W17">
        <f>IFERROR('Fat Spreads'!AQ17,"")</f>
        <v>0</v>
      </c>
      <c r="X17">
        <f>IFERROR(('Fat Spreads'!AR17-AVERAGE('Fat Spreads'!$AR$3:$AR$4308))/STDEV('Fat Spreads'!$AR$3:$AR$4308),"")</f>
        <v>-9.2057461789832346E-2</v>
      </c>
      <c r="Y17">
        <f>IFERROR('Fat Spreads'!AR17-'Fat Spreads'!AR22,"")</f>
        <v>0</v>
      </c>
      <c r="Z17">
        <f>IFERROR('Fat Spreads'!AR17-'Fat Spreads'!AR27,"")</f>
        <v>0</v>
      </c>
      <c r="AA17">
        <f>IFERROR(AVERAGE('Fat Spreads'!AR17:AR36)+2*STDEV('Fat Spreads'!AR17:AR36),"")</f>
        <v>0</v>
      </c>
      <c r="AB17">
        <f>IFERROR(AVERAGE('Fat Spreads'!AR17:AR36)-2*STDEV('Fat Spreads'!AR17:AR36),"")</f>
        <v>0</v>
      </c>
      <c r="AC17" t="str">
        <f>IFERROR(('Fat Spreads'!AR17-(AVERAGE('Fat Spreads'!AR17:AR36)-2*STDEV('Fat Spreads'!AR17:AR36)))/(4*STDEV('Fat Spreads'!AR17:AR36)),"")</f>
        <v/>
      </c>
      <c r="AD17" t="str">
        <f>IFERROR(4*STDEV('Fat Spreads'!AR17:AR36)/AVERAGE('Fat Spreads'!AR17:AR36),"")</f>
        <v/>
      </c>
      <c r="AE17">
        <v>71.885199999999998</v>
      </c>
      <c r="AF17">
        <f>IFERROR(SQRT((SUMSQ('Fat Spreads'!AR17:AR36)-2*SUMPRODUCT('Fat Spreads'!AR17:AR36,'Fat Spreads'!AR18:AR37)+SUMSQ('Fat Spreads'!AR18:AR37)-('Fat Spreads'!AR17-'Fat Spreads'!AR37)^2/20)/19),"")</f>
        <v>0</v>
      </c>
      <c r="AH17">
        <f>IFERROR('Fat Spreads'!O17,"")</f>
        <v>0</v>
      </c>
      <c r="AI17">
        <f>IFERROR(('Fat Spreads'!P17-AVERAGE('Fat Spreads'!$P$3:$P$4308))/STDEV('Fat Spreads'!$P$3:$P$4308),"")</f>
        <v>-9.2057461789832332E-2</v>
      </c>
      <c r="AJ17">
        <f>IFERROR('Fat Spreads'!P17-'Fat Spreads'!P22,"")</f>
        <v>0</v>
      </c>
      <c r="AK17">
        <f>IFERROR('Fat Spreads'!P17-'Fat Spreads'!P27,"")</f>
        <v>0</v>
      </c>
      <c r="AL17">
        <f>IFERROR(AVERAGE('Fat Spreads'!P17:P36)+2*STDEV('Fat Spreads'!P17:P36),"")</f>
        <v>0</v>
      </c>
      <c r="AM17">
        <f>IFERROR(AVERAGE('Fat Spreads'!P17:P36)-2*STDEV('Fat Spreads'!P17:P36),"")</f>
        <v>0</v>
      </c>
      <c r="AN17" t="str">
        <f>IFERROR(('Fat Spreads'!P17-(AVERAGE('Fat Spreads'!P17:P36)-2*STDEV('Fat Spreads'!P17:P36)))/(4*STDEV('Fat Spreads'!P17:P36)),"")</f>
        <v/>
      </c>
      <c r="AO17" t="str">
        <f>IFERROR(4*STDEV('Fat Spreads'!P17:P36)/AVERAGE('Fat Spreads'!P17:P36),"")</f>
        <v/>
      </c>
      <c r="AP17">
        <v>71.915700000000001</v>
      </c>
      <c r="AQ17">
        <f>IFERROR(SQRT((SUMSQ('Fat Spreads'!P17:P36)-2*SUMPRODUCT('Fat Spreads'!P17:P36,'Fat Spreads'!P18:P37)+SUMSQ('Fat Spreads'!P18:P37)-('Fat Spreads'!P17-'Fat Spreads'!P37)^2/20)/19),"")</f>
        <v>0</v>
      </c>
      <c r="AS17">
        <f>IFERROR('Fat Spreads'!AJ17,"")</f>
        <v>0</v>
      </c>
      <c r="AT17">
        <f>IFERROR(('Fat Spreads'!AK17-AVERAGE('Fat Spreads'!$AK$3:$AK$4308))/STDEV('Fat Spreads'!$AK$3:$AK$4308),"")</f>
        <v>-9.2057461789832332E-2</v>
      </c>
      <c r="AU17">
        <f>IFERROR('Fat Spreads'!AK17-'Fat Spreads'!AK22,"")</f>
        <v>0</v>
      </c>
      <c r="AV17">
        <f>IFERROR('Fat Spreads'!AK17-'Fat Spreads'!AK27,"")</f>
        <v>0</v>
      </c>
      <c r="AW17">
        <f>IFERROR(AVERAGE('Fat Spreads'!AK17:AK36)+2*STDEV('Fat Spreads'!AK17:AK36),"")</f>
        <v>0</v>
      </c>
      <c r="AX17">
        <f>IFERROR(AVERAGE('Fat Spreads'!AK17:AK36)-2*STDEV('Fat Spreads'!AK17:AK36),"")</f>
        <v>0</v>
      </c>
      <c r="AY17" t="str">
        <f>IFERROR(('Fat Spreads'!AK17-(AVERAGE('Fat Spreads'!AK17:AK36)-2*STDEV('Fat Spreads'!AK17:AK36)))/(4*STDEV('Fat Spreads'!AK17:AK36)),"")</f>
        <v/>
      </c>
      <c r="AZ17" t="str">
        <f>IFERROR(4*STDEV('Fat Spreads'!AK17:AK36)/AVERAGE('Fat Spreads'!AK17:AK36),"")</f>
        <v/>
      </c>
      <c r="BA17">
        <v>26.292400000000001</v>
      </c>
      <c r="BB17">
        <f>IFERROR(SQRT((SUMSQ('Fat Spreads'!AK17:AK36)-2*SUMPRODUCT('Fat Spreads'!AK17:AK36,'Fat Spreads'!AK18:AK37)+SUMSQ('Fat Spreads'!AK18:AK37)-('Fat Spreads'!AK17-'Fat Spreads'!AK37)^2/20)/19),"")</f>
        <v>0</v>
      </c>
      <c r="BD17">
        <f>IFERROR('Fat Spreads'!V17,"")</f>
        <v>0</v>
      </c>
      <c r="BE17">
        <f>IFERROR(('Fat Spreads'!W17-AVERAGE('Fat Spreads'!$W$3:$W$4308))/STDEV('Fat Spreads'!$W$3:$W$4308),"")</f>
        <v>-9.2057461789832332E-2</v>
      </c>
      <c r="BF17">
        <f>IFERROR('Fat Spreads'!W17-'Fat Spreads'!W22,"")</f>
        <v>0</v>
      </c>
      <c r="BG17">
        <f>IFERROR('Fat Spreads'!W17-'Fat Spreads'!W27,"")</f>
        <v>0</v>
      </c>
      <c r="BH17">
        <f>IFERROR(AVERAGE('Fat Spreads'!W17:W36)+2*STDEV('Fat Spreads'!W17:W36),"")</f>
        <v>0</v>
      </c>
      <c r="BI17">
        <f>IFERROR(AVERAGE('Fat Spreads'!W17:W36)-2*STDEV('Fat Spreads'!W17:W36),"")</f>
        <v>0</v>
      </c>
      <c r="BJ17" t="str">
        <f>IFERROR(('Fat Spreads'!W17-(AVERAGE('Fat Spreads'!W17:W36)-2*STDEV('Fat Spreads'!W17:W36)))/(4*STDEV('Fat Spreads'!W17:W36)),"")</f>
        <v/>
      </c>
      <c r="BK17" t="str">
        <f>IFERROR(4*STDEV('Fat Spreads'!W17:W36)/AVERAGE('Fat Spreads'!W17:W36),"")</f>
        <v/>
      </c>
      <c r="BL17">
        <v>67.531899999999993</v>
      </c>
      <c r="BM17">
        <f>IFERROR(SQRT((SUMSQ('Fat Spreads'!W17:W36)-2*SUMPRODUCT('Fat Spreads'!W17:W36,'Fat Spreads'!W18:W37)+SUMSQ('Fat Spreads'!W18:W37)-('Fat Spreads'!W17-'Fat Spreads'!W37)^2/20)/19),"")</f>
        <v>0</v>
      </c>
      <c r="BO17">
        <f>IFERROR('Fat Spreads'!AC17,"")</f>
        <v>0</v>
      </c>
      <c r="BP17">
        <f>IFERROR(('Fat Spreads'!AD17-AVERAGE('Fat Spreads'!$AD$3:$AD$4308))/STDEV('Fat Spreads'!$AD$3:$AD$4308),"")</f>
        <v>-9.2057461789832332E-2</v>
      </c>
      <c r="BQ17">
        <f>IFERROR('Fat Spreads'!AD17-'Fat Spreads'!AD22,"")</f>
        <v>0</v>
      </c>
      <c r="BR17">
        <f>IFERROR('Fat Spreads'!AD17-'Fat Spreads'!AD27,"")</f>
        <v>0</v>
      </c>
      <c r="BS17">
        <f>IFERROR(AVERAGE('Fat Spreads'!AD17:AD36)+2*STDEV('Fat Spreads'!AD17:AD36),"")</f>
        <v>0</v>
      </c>
      <c r="BT17">
        <f>IFERROR(AVERAGE('Fat Spreads'!AD17:AD36)-2*STDEV('Fat Spreads'!AD17:AD36),"")</f>
        <v>0</v>
      </c>
      <c r="BU17" t="str">
        <f>IFERROR(('Fat Spreads'!AD17-(AVERAGE('Fat Spreads'!AD17:AD36)-2*STDEV('Fat Spreads'!AD17:AD36)))/(4*STDEV('Fat Spreads'!AD17:AD36)),"")</f>
        <v/>
      </c>
      <c r="BV17" t="str">
        <f>IFERROR(4*STDEV('Fat Spreads'!AD17:AD36)/AVERAGE('Fat Spreads'!AD17:AD36),"")</f>
        <v/>
      </c>
      <c r="BW17">
        <v>65.953900000000004</v>
      </c>
      <c r="BX17">
        <f>IFERROR(SQRT((SUMSQ('Fat Spreads'!AD17:AD36)-2*SUMPRODUCT('Fat Spreads'!AD17:AD36,'Fat Spreads'!AD18:AD37)+SUMSQ('Fat Spreads'!AD18:AD37)-('Fat Spreads'!AD17-'Fat Spreads'!AD37)^2/20)/19),"")</f>
        <v>0</v>
      </c>
      <c r="BZ17">
        <f>IFERROR('Feeder Spreads'!A17,"")</f>
        <v>0</v>
      </c>
      <c r="CA17">
        <f>IFERROR(('Feeder Spreads'!B17-AVERAGE('Feeder Spreads'!$B$3:$B$4308))/STDEV('Feeder Spreads'!$B$3:$B$4308),"")</f>
        <v>-9.2057461789832346E-2</v>
      </c>
      <c r="CB17">
        <f>IFERROR('Feeder Spreads'!B17-'Feeder Spreads'!B22,"")</f>
        <v>0</v>
      </c>
      <c r="CC17">
        <f>IFERROR('Feeder Spreads'!B17-'Feeder Spreads'!B27,"")</f>
        <v>0</v>
      </c>
      <c r="CD17">
        <f>IFERROR(AVERAGE('Feeder Spreads'!B17:B36)+2*STDEV('Feeder Spreads'!B17:B36),"")</f>
        <v>0</v>
      </c>
      <c r="CE17">
        <f>IFERROR(AVERAGE('Feeder Spreads'!B17:B36)-2*STDEV('Feeder Spreads'!B17:B36),"")</f>
        <v>0</v>
      </c>
      <c r="CF17" t="str">
        <f>IFERROR(('Feeder Spreads'!B17-(AVERAGE('Feeder Spreads'!B17:B36)-2*STDEV('Feeder Spreads'!B17:B36)))/(4*STDEV('Feeder Spreads'!B17:B36)),"")</f>
        <v/>
      </c>
      <c r="CG17" t="str">
        <f>IFERROR(4*STDEV('Feeder Spreads'!B17:B36)/AVERAGE('Feeder Spreads'!B17:B36),"")</f>
        <v/>
      </c>
      <c r="CH17">
        <v>55.493200000000002</v>
      </c>
      <c r="CI17">
        <f>IFERROR(SQRT((SUMSQ('Feeder Spreads'!B17:B36)-2*SUMPRODUCT('Feeder Spreads'!B17:B36,'Feeder Spreads'!B18:B37)+SUMSQ('Feeder Spreads'!B18:B37)-('Feeder Spreads'!B17-'Feeder Spreads'!B37)^2/20)/19),"")</f>
        <v>0</v>
      </c>
      <c r="CK17">
        <f>IFERROR('Feeder Spreads'!AX17,"")</f>
        <v>0</v>
      </c>
      <c r="CL17">
        <f>IFERROR(('Feeder Spreads'!AY17-AVERAGE('Feeder Spreads'!$AY$3:$AY$4308))/STDEV('Feeder Spreads'!$AY$3:$AY$4308),"")</f>
        <v>-9.2057461789832346E-2</v>
      </c>
      <c r="CM17">
        <f>IFERROR('Feeder Spreads'!AY17-'Feeder Spreads'!AY22,"")</f>
        <v>0</v>
      </c>
      <c r="CN17">
        <f>IFERROR('Feeder Spreads'!AY17-'Feeder Spreads'!AY27,"")</f>
        <v>0</v>
      </c>
      <c r="CO17">
        <f>IFERROR(AVERAGE('Feeder Spreads'!AY17:AY36)+2*STDEV('Feeder Spreads'!AY17:AY36),"")</f>
        <v>0</v>
      </c>
      <c r="CP17">
        <f>IFERROR(AVERAGE('Feeder Spreads'!AY17:AY36)-2*STDEV('Feeder Spreads'!AY17:AY36),"")</f>
        <v>0</v>
      </c>
      <c r="CQ17" t="str">
        <f>IFERROR(('Feeder Spreads'!AY17-(AVERAGE('Feeder Spreads'!AY17:AY36)-2*STDEV('Feeder Spreads'!AY17:AY36)))/(4*STDEV('Feeder Spreads'!AY17:AY36)),"")</f>
        <v/>
      </c>
      <c r="CR17" t="str">
        <f>IFERROR(4*STDEV('Feeder Spreads'!AY17:AY36)/AVERAGE('Feeder Spreads'!AY17:AY36),"")</f>
        <v/>
      </c>
      <c r="CS17">
        <v>61.926400000000001</v>
      </c>
      <c r="CT17">
        <f>IFERROR(SQRT((SUMSQ('Feeder Spreads'!AY17:AY36)-2*SUMPRODUCT('Feeder Spreads'!AY17:AY36,'Feeder Spreads'!AY18:AY37)+SUMSQ('Feeder Spreads'!AY18:AY37)-('Feeder Spreads'!AY17-'Feeder Spreads'!AY37)^2/20)/19),"")</f>
        <v>0</v>
      </c>
      <c r="CV17">
        <f>IFERROR('Feeder Spreads'!H17,"")</f>
        <v>0</v>
      </c>
      <c r="CW17">
        <f>IFERROR(('Feeder Spreads'!I17-AVERAGE('Feeder Spreads'!$I$3:$I$4308))/STDEV('Feeder Spreads'!$I$3:$I$4308),"")</f>
        <v>-9.2057461789832332E-2</v>
      </c>
      <c r="CX17">
        <f>IFERROR('Feeder Spreads'!I17-'Feeder Spreads'!I22,"")</f>
        <v>0</v>
      </c>
      <c r="CY17">
        <f>IFERROR('Feeder Spreads'!I17-'Feeder Spreads'!I27,"")</f>
        <v>0</v>
      </c>
      <c r="CZ17">
        <f>IFERROR(AVERAGE('Feeder Spreads'!I17:I36)+2*STDEV('Feeder Spreads'!I17:I36),"")</f>
        <v>0</v>
      </c>
      <c r="DA17">
        <f>IFERROR(AVERAGE('Feeder Spreads'!I17:I36)-2*STDEV('Feeder Spreads'!I17:I36),"")</f>
        <v>0</v>
      </c>
      <c r="DB17" t="str">
        <f>IFERROR(('Feeder Spreads'!I17-(AVERAGE('Feeder Spreads'!I17:I36)-2*STDEV('Feeder Spreads'!I17:I36)))/(4*STDEV('Feeder Spreads'!I17:I36)),"")</f>
        <v/>
      </c>
      <c r="DC17" t="str">
        <f>IFERROR(4*STDEV('Feeder Spreads'!I17:I36)/AVERAGE('Feeder Spreads'!I17:I36),"")</f>
        <v/>
      </c>
      <c r="DD17">
        <v>32.675199999999997</v>
      </c>
      <c r="DE17">
        <f>IFERROR(SQRT((SUMSQ('Feeder Spreads'!I17:I36)-2*SUMPRODUCT('Feeder Spreads'!I17:I36,'Feeder Spreads'!I18:I37)+SUMSQ('Feeder Spreads'!I18:I37)-('Feeder Spreads'!I17-'Feeder Spreads'!I37)^2/20)/19),"")</f>
        <v>0</v>
      </c>
      <c r="DG17">
        <f>IFERROR('Feeder Spreads'!O17,"")</f>
        <v>0</v>
      </c>
      <c r="DH17">
        <f>IFERROR(('Feeder Spreads'!P17-AVERAGE('Feeder Spreads'!$P$3:$P$4308))/STDEV('Feeder Spreads'!$P$3:$P$4308),"")</f>
        <v>-9.2057461789832346E-2</v>
      </c>
      <c r="DI17">
        <f>IFERROR('Feeder Spreads'!P17-'Feeder Spreads'!P22,"")</f>
        <v>0</v>
      </c>
      <c r="DJ17">
        <f>IFERROR('Feeder Spreads'!P17-'Feeder Spreads'!P27,"")</f>
        <v>0</v>
      </c>
      <c r="DK17">
        <f>IFERROR(AVERAGE('Feeder Spreads'!P17:P36)+2*STDEV('Feeder Spreads'!P17:P36),"")</f>
        <v>0</v>
      </c>
      <c r="DL17">
        <f>IFERROR(AVERAGE('Feeder Spreads'!P17:P36)-2*STDEV('Feeder Spreads'!P17:P36),"")</f>
        <v>0</v>
      </c>
      <c r="DM17" t="str">
        <f>IFERROR(('Feeder Spreads'!P17-(AVERAGE('Feeder Spreads'!P17:P36)-2*STDEV('Feeder Spreads'!P17:P36)))/(4*STDEV('Feeder Spreads'!P17:P36)),"")</f>
        <v/>
      </c>
      <c r="DN17" t="str">
        <f>IFERROR(4*STDEV('Feeder Spreads'!P17:P36)/AVERAGE('Feeder Spreads'!P17:P36),"")</f>
        <v/>
      </c>
      <c r="DO17">
        <v>61.191899999999997</v>
      </c>
      <c r="DP17">
        <f>IFERROR(SQRT((SUMSQ('Feeder Spreads'!P17:P36)-2*SUMPRODUCT('Feeder Spreads'!P17:P36,'Feeder Spreads'!P18:P37)+SUMSQ('Feeder Spreads'!P18:P37)-('Feeder Spreads'!P17-'Feeder Spreads'!P37)^2/20)/19),"")</f>
        <v>0</v>
      </c>
      <c r="DR17">
        <f>IFERROR('Feeder Spreads'!V17,"")</f>
        <v>0</v>
      </c>
      <c r="DS17">
        <f>IFERROR(('Feeder Spreads'!W17-AVERAGE('Feeder Spreads'!$W$3:$W$4308))/STDEV('Feeder Spreads'!$W$3:$W$4308),"")</f>
        <v>-9.2057461789832332E-2</v>
      </c>
      <c r="DT17">
        <f>IFERROR('Feeder Spreads'!W17-'Feeder Spreads'!W22,"")</f>
        <v>0</v>
      </c>
      <c r="DU17">
        <f>IFERROR('Feeder Spreads'!W17-'Feeder Spreads'!W27,"")</f>
        <v>0</v>
      </c>
      <c r="DV17">
        <f>IFERROR(AVERAGE('Feeder Spreads'!W17:W36)+2*STDEV('Feeder Spreads'!W17:W36),"")</f>
        <v>0</v>
      </c>
      <c r="DW17">
        <f>IFERROR(AVERAGE('Feeder Spreads'!W17:W36)-2*STDEV('Feeder Spreads'!W17:W36),"")</f>
        <v>0</v>
      </c>
      <c r="DX17" t="str">
        <f>IFERROR(('Feeder Spreads'!W17-(AVERAGE('Feeder Spreads'!W17:W36)-2*STDEV('Feeder Spreads'!W17:W36)))/(4*STDEV('Feeder Spreads'!W17:W36)),"")</f>
        <v/>
      </c>
      <c r="DY17" t="str">
        <f>IFERROR(4*STDEV('Feeder Spreads'!W17:W36)/AVERAGE('Feeder Spreads'!W17:W36),"")</f>
        <v/>
      </c>
      <c r="DZ17">
        <v>30.956700000000001</v>
      </c>
      <c r="EA17">
        <f>IFERROR(SQRT((SUMSQ('Feeder Spreads'!W17:W36)-2*SUMPRODUCT('Feeder Spreads'!W17:W36,'Feeder Spreads'!W18:W37)+SUMSQ('Feeder Spreads'!W18:W37)-('Feeder Spreads'!W17-'Feeder Spreads'!W37)^2/20)/19),"")</f>
        <v>0</v>
      </c>
      <c r="EC17">
        <f>IFERROR('Feeder Spreads'!AC17,"")</f>
        <v>0</v>
      </c>
      <c r="ED17">
        <f>IFERROR(('Feeder Spreads'!AD17-AVERAGE('Feeder Spreads'!$AD$3:$AD$4308))/STDEV('Feeder Spreads'!$AD$3:$AD$4308),"")</f>
        <v>9.2057461789832318E-2</v>
      </c>
      <c r="EE17">
        <f>IFERROR('Feeder Spreads'!AD17-'Feeder Spreads'!AD22,"")</f>
        <v>0</v>
      </c>
      <c r="EF17">
        <f>IFERROR('Feeder Spreads'!AD17-'Feeder Spreads'!AD27,"")</f>
        <v>0</v>
      </c>
      <c r="EG17">
        <f>IFERROR(AVERAGE('Feeder Spreads'!AD17:AD36)+2*STDEV('Feeder Spreads'!AD17:AD36),"")</f>
        <v>0</v>
      </c>
      <c r="EH17">
        <f>IFERROR(AVERAGE('Feeder Spreads'!AD17:AD36)-2*STDEV('Feeder Spreads'!AD17:AD36),"")</f>
        <v>0</v>
      </c>
      <c r="EI17" t="str">
        <f>IFERROR(('Feeder Spreads'!AD17-(AVERAGE('Feeder Spreads'!AD17:AD36)-2*STDEV('Feeder Spreads'!AD17:AD36)))/(4*STDEV('Feeder Spreads'!AD17:AD36)),"")</f>
        <v/>
      </c>
      <c r="EJ17" t="str">
        <f>IFERROR(4*STDEV('Feeder Spreads'!AD17:AD36)/AVERAGE('Feeder Spreads'!AD17:AD36),"")</f>
        <v/>
      </c>
      <c r="EK17">
        <v>53.307200000000002</v>
      </c>
      <c r="EL17">
        <f>IFERROR(SQRT((SUMSQ('Feeder Spreads'!AD17:AD36)-2*SUMPRODUCT('Feeder Spreads'!AD17:AD36,'Feeder Spreads'!AD18:AD37)+SUMSQ('Feeder Spreads'!AD18:AD37)-('Feeder Spreads'!AD17-'Feeder Spreads'!AD37)^2/20)/19),"")</f>
        <v>0</v>
      </c>
      <c r="EN17">
        <f>IFERROR('Feeder Spreads'!AJ17,"")</f>
        <v>0</v>
      </c>
      <c r="EO17">
        <f>IFERROR(('Feeder Spreads'!AK17-AVERAGE('Feeder Spreads'!$AK$3:$AK$4308))/STDEV('Feeder Spreads'!$AK$3:$AK$4308),"")</f>
        <v>-9.2057461789832346E-2</v>
      </c>
      <c r="EP17">
        <f>IFERROR('Feeder Spreads'!AK17-'Feeder Spreads'!AK22,"")</f>
        <v>0</v>
      </c>
      <c r="EQ17">
        <f>IFERROR('Feeder Spreads'!AK17-'Feeder Spreads'!AK27,"")</f>
        <v>0</v>
      </c>
      <c r="ER17">
        <f>IFERROR(AVERAGE('Feeder Spreads'!AK17:AK36)+2*STDEV('Feeder Spreads'!AK17:AK36),"")</f>
        <v>0</v>
      </c>
      <c r="ES17">
        <f>IFERROR(AVERAGE('Feeder Spreads'!AK17:AK36)-2*STDEV('Feeder Spreads'!AK17:AK36),"")</f>
        <v>0</v>
      </c>
      <c r="ET17" t="str">
        <f>IFERROR(('Feeder Spreads'!AK17-(AVERAGE('Feeder Spreads'!AK17:AK36)-2*STDEV('Feeder Spreads'!AK17:AK36)))/(4*STDEV('Feeder Spreads'!AK17:AK36)),"")</f>
        <v/>
      </c>
      <c r="EU17" t="str">
        <f>IFERROR(4*STDEV('Feeder Spreads'!AK17:AK36)/AVERAGE('Feeder Spreads'!AK17:AK36),"")</f>
        <v/>
      </c>
      <c r="EV17">
        <v>51.558399999999999</v>
      </c>
      <c r="EW17">
        <f>IFERROR(SQRT((SUMSQ('Feeder Spreads'!AK17:AK36)-2*SUMPRODUCT('Feeder Spreads'!AK17:AK36,'Feeder Spreads'!AK18:AK37)+SUMSQ('Feeder Spreads'!AK18:AK37)-('Feeder Spreads'!AK17-'Feeder Spreads'!AK37)^2/20)/19),"")</f>
        <v>0</v>
      </c>
      <c r="EY17">
        <f>IFERROR('Feeder Spreads'!AQ17,"")</f>
        <v>0</v>
      </c>
      <c r="EZ17">
        <f>IFERROR(('Feeder Spreads'!AR17-AVERAGE('Feeder Spreads'!$AR$3:$AR$4308))/STDEV('Feeder Spreads'!$AR$3:$AR$4308),"")</f>
        <v>-9.2057461789832332E-2</v>
      </c>
      <c r="FA17">
        <f>IFERROR('Feeder Spreads'!AR17-'Feeder Spreads'!AR22,"")</f>
        <v>0</v>
      </c>
      <c r="FB17">
        <f>IFERROR('Feeder Spreads'!AR17-'Feeder Spreads'!AR27,"")</f>
        <v>0</v>
      </c>
      <c r="FC17">
        <f>IFERROR(AVERAGE('Feeder Spreads'!AR17:AR36)+2*STDEV('Feeder Spreads'!AR17:AR36),"")</f>
        <v>0</v>
      </c>
      <c r="FD17">
        <f>IFERROR(AVERAGE('Feeder Spreads'!AR17:AR36)-2*STDEV('Feeder Spreads'!AR17:AR36),"")</f>
        <v>0</v>
      </c>
      <c r="FE17" t="str">
        <f>IFERROR(('Feeder Spreads'!AR17-(AVERAGE('Feeder Spreads'!AR17:AR36)-2*STDEV('Feeder Spreads'!AR17:AR36)))/(4*STDEV('Feeder Spreads'!AR17:AR36)),"")</f>
        <v/>
      </c>
      <c r="FF17" t="str">
        <f>IFERROR(4*STDEV('Feeder Spreads'!AR17:AR36)/AVERAGE('Feeder Spreads'!AR17:AR36),"")</f>
        <v/>
      </c>
      <c r="FG17">
        <v>59.990499999999997</v>
      </c>
      <c r="FH17">
        <f>IFERROR(SQRT((SUMSQ('Feeder Spreads'!AR17:AR36)-2*SUMPRODUCT('Feeder Spreads'!AR17:AR36,'Feeder Spreads'!AR18:AR37)+SUMSQ('Feeder Spreads'!AR18:AR37)-('Feeder Spreads'!AR17-'Feeder Spreads'!AR37)^2/20)/19),"")</f>
        <v>0</v>
      </c>
      <c r="FJ17">
        <f>IFERROR('Fat Spreads'!AX17,"")</f>
        <v>0</v>
      </c>
      <c r="FK17">
        <f>IFERROR(('Fat Spreads'!AY17-AVERAGE('Fat Spreads'!$AY$3:$AY$4308))/STDEV('Fat Spreads'!$AY$3:$AY$4308),"")</f>
        <v>9.2057461789832332E-2</v>
      </c>
      <c r="FL17">
        <f>IFERROR('Fat Spreads'!AY17-'Fat Spreads'!AY22,"")</f>
        <v>0</v>
      </c>
      <c r="FM17">
        <f>IFERROR('Fat Spreads'!AY17-'Fat Spreads'!AY27,"")</f>
        <v>0</v>
      </c>
      <c r="FN17">
        <f>IFERROR(AVERAGE('Fat Spreads'!AY17:AY36)+2*STDEV('Fat Spreads'!AY17:AY36),"")</f>
        <v>0</v>
      </c>
      <c r="FO17">
        <f>IFERROR(AVERAGE('Fat Spreads'!AY17:AY36)-2*STDEV('Fat Spreads'!AY17:AY36),"")</f>
        <v>0</v>
      </c>
      <c r="FP17" t="str">
        <f>IFERROR(('Fat Spreads'!AY17-(AVERAGE('Fat Spreads'!AY17:AY36)-2*STDEV('Fat Spreads'!AY17:AY36)))/(4*STDEV('Fat Spreads'!AY17:AY36)),"")</f>
        <v/>
      </c>
      <c r="FQ17" t="str">
        <f>IFERROR(4*STDEV('Fat Spreads'!AY17:AY36)/AVERAGE('Fat Spreads'!AY17:AY36),"")</f>
        <v/>
      </c>
      <c r="FR17">
        <v>25.0883</v>
      </c>
      <c r="FS17">
        <f>IFERROR(SQRT((SUMSQ('Fat Spreads'!AY17:AY36)-2*SUMPRODUCT('Fat Spreads'!AY17:AY36,'Fat Spreads'!AY18:AY37)+SUMSQ('Fat Spreads'!AY18:AY37)-('Fat Spreads'!AY17-'Fat Spreads'!AY37)^2/20)/19),"")</f>
        <v>0</v>
      </c>
      <c r="FU17">
        <f>IFERROR('Fat Spreads'!BE17,"")</f>
        <v>0</v>
      </c>
      <c r="FV17">
        <f>IFERROR(('Fat Spreads'!BF17-AVERAGE('Fat Spreads'!$BF$3:$BF$4308))/STDEV('Fat Spreads'!$BF$3:$BF$4308),"")</f>
        <v>9.2057461789832332E-2</v>
      </c>
      <c r="FW17">
        <f>IFERROR('Fat Spreads'!BF17-'Fat Spreads'!BF22,"")</f>
        <v>0</v>
      </c>
      <c r="FX17">
        <f>IFERROR('Fat Spreads'!BF17-'Fat Spreads'!BF27,"")</f>
        <v>0</v>
      </c>
      <c r="FY17">
        <f>IFERROR(AVERAGE('Fat Spreads'!BF17:BF36)+2*STDEV('Fat Spreads'!BF17:BF36),"")</f>
        <v>0</v>
      </c>
      <c r="FZ17">
        <f>IFERROR(AVERAGE('Fat Spreads'!BF17:BF36)-2*STDEV('Fat Spreads'!BF17:BF36),"")</f>
        <v>0</v>
      </c>
      <c r="GA17" t="str">
        <f>IFERROR(('Fat Spreads'!BF17-(AVERAGE('Fat Spreads'!BF17:BF36)-2*STDEV('Fat Spreads'!BF17:BF36)))/(4*STDEV('Fat Spreads'!BF17:BF36)),"")</f>
        <v/>
      </c>
      <c r="GB17" t="str">
        <f>IFERROR(4*STDEV('Fat Spreads'!BF17:BF36)/AVERAGE('Fat Spreads'!BF17:BF36),"")</f>
        <v/>
      </c>
      <c r="GC17">
        <v>61.801000000000002</v>
      </c>
      <c r="GD17">
        <f>IFERROR(SQRT((SUMSQ('Fat Spreads'!BF17:BF36)-2*SUMPRODUCT('Fat Spreads'!BF17:BF36,'Fat Spreads'!BF18:BF37)+SUMSQ('Fat Spreads'!BF18:BF37)-('Fat Spreads'!BF17-'Fat Spreads'!BF37)^2/20)/19),"")</f>
        <v>0</v>
      </c>
    </row>
    <row r="18" spans="1:186" x14ac:dyDescent="0.25">
      <c r="A18">
        <f>IFERROR('Fat Spreads'!A18,"")</f>
        <v>0</v>
      </c>
      <c r="B18">
        <f>IFERROR(('Fat Spreads'!B18-AVERAGE('Fat Spreads'!$B$3:$B$4308))/STDEV('Fat Spreads'!$B$3:$B$4308),"")</f>
        <v>9.2057461789832346E-2</v>
      </c>
      <c r="C18">
        <f>IFERROR('Fat Spreads'!B18-'Fat Spreads'!B23,"")</f>
        <v>0</v>
      </c>
      <c r="D18">
        <f>IFERROR('Fat Spreads'!B18-'Fat Spreads'!B28,"")</f>
        <v>0</v>
      </c>
      <c r="E18">
        <f>IFERROR(AVERAGE('Fat Spreads'!B18:B37)+2*STDEV('Fat Spreads'!B18:B37),"")</f>
        <v>0</v>
      </c>
      <c r="F18">
        <f>IFERROR(AVERAGE('Fat Spreads'!B18:B37)-2*STDEV('Fat Spreads'!B18:B37),"")</f>
        <v>0</v>
      </c>
      <c r="G18" t="str">
        <f>IFERROR(('Fat Spreads'!B18-(AVERAGE('Fat Spreads'!B18:B37)-2*STDEV('Fat Spreads'!B18:B37)))/(4*STDEV('Fat Spreads'!B18:B37)),"")</f>
        <v/>
      </c>
      <c r="H18" t="str">
        <f>IFERROR(4*STDEV('Fat Spreads'!B18:B37)/AVERAGE('Fat Spreads'!B18:B37),"")</f>
        <v/>
      </c>
      <c r="I18">
        <v>45.218800000000002</v>
      </c>
      <c r="J18">
        <f>IFERROR(SQRT((SUMSQ('Fat Spreads'!B18:B37)-2*SUMPRODUCT('Fat Spreads'!B18:B37,'Fat Spreads'!B19:B38)+SUMSQ('Fat Spreads'!B19:B38)-('Fat Spreads'!B18-'Fat Spreads'!B38)^2/20)/19),"")</f>
        <v>0</v>
      </c>
      <c r="L18">
        <f>IFERROR('Fat Spreads'!H18,"")</f>
        <v>0</v>
      </c>
      <c r="M18">
        <f>IFERROR(('Fat Spreads'!I18-AVERAGE('Fat Spreads'!$I$3:$I$4308))/STDEV('Fat Spreads'!$I$3:$I$4308),"")</f>
        <v>-9.2057461789832332E-2</v>
      </c>
      <c r="N18">
        <f>IFERROR('Fat Spreads'!I18-'Fat Spreads'!I23,"")</f>
        <v>0</v>
      </c>
      <c r="O18">
        <f>IFERROR('Fat Spreads'!I18-'Fat Spreads'!I28,"")</f>
        <v>0</v>
      </c>
      <c r="P18">
        <f>IFERROR(AVERAGE('Fat Spreads'!I18:I37)+2*STDEV('Fat Spreads'!I18:I37),"")</f>
        <v>0</v>
      </c>
      <c r="Q18">
        <f>IFERROR(AVERAGE('Fat Spreads'!I18:I37)-2*STDEV('Fat Spreads'!I18:I37),"")</f>
        <v>0</v>
      </c>
      <c r="R18" t="str">
        <f>IFERROR(('Fat Spreads'!I18-(AVERAGE('Fat Spreads'!I18:I37)-2*STDEV('Fat Spreads'!I18:I37)))/(4*STDEV('Fat Spreads'!I18:I37)),"")</f>
        <v/>
      </c>
      <c r="S18" t="str">
        <f>IFERROR(4*STDEV('Fat Spreads'!I18:I37)/AVERAGE('Fat Spreads'!I18:I37),"")</f>
        <v/>
      </c>
      <c r="T18">
        <v>69.790300000000002</v>
      </c>
      <c r="U18">
        <f>IFERROR(SQRT((SUMSQ('Fat Spreads'!I18:I37)-2*SUMPRODUCT('Fat Spreads'!I18:I37,'Fat Spreads'!I19:I38)+SUMSQ('Fat Spreads'!I19:I38)-('Fat Spreads'!I18-'Fat Spreads'!I38)^2/20)/19),"")</f>
        <v>0</v>
      </c>
      <c r="W18">
        <f>IFERROR('Fat Spreads'!AQ18,"")</f>
        <v>0</v>
      </c>
      <c r="X18">
        <f>IFERROR(('Fat Spreads'!AR18-AVERAGE('Fat Spreads'!$AR$3:$AR$4308))/STDEV('Fat Spreads'!$AR$3:$AR$4308),"")</f>
        <v>-9.2057461789832346E-2</v>
      </c>
      <c r="Y18">
        <f>IFERROR('Fat Spreads'!AR18-'Fat Spreads'!AR23,"")</f>
        <v>0</v>
      </c>
      <c r="Z18">
        <f>IFERROR('Fat Spreads'!AR18-'Fat Spreads'!AR28,"")</f>
        <v>0</v>
      </c>
      <c r="AA18">
        <f>IFERROR(AVERAGE('Fat Spreads'!AR18:AR37)+2*STDEV('Fat Spreads'!AR18:AR37),"")</f>
        <v>0</v>
      </c>
      <c r="AB18">
        <f>IFERROR(AVERAGE('Fat Spreads'!AR18:AR37)-2*STDEV('Fat Spreads'!AR18:AR37),"")</f>
        <v>0</v>
      </c>
      <c r="AC18" t="str">
        <f>IFERROR(('Fat Spreads'!AR18-(AVERAGE('Fat Spreads'!AR18:AR37)-2*STDEV('Fat Spreads'!AR18:AR37)))/(4*STDEV('Fat Spreads'!AR18:AR37)),"")</f>
        <v/>
      </c>
      <c r="AD18" t="str">
        <f>IFERROR(4*STDEV('Fat Spreads'!AR18:AR37)/AVERAGE('Fat Spreads'!AR18:AR37),"")</f>
        <v/>
      </c>
      <c r="AE18">
        <v>67.329700000000003</v>
      </c>
      <c r="AF18">
        <f>IFERROR(SQRT((SUMSQ('Fat Spreads'!AR18:AR37)-2*SUMPRODUCT('Fat Spreads'!AR18:AR37,'Fat Spreads'!AR19:AR38)+SUMSQ('Fat Spreads'!AR19:AR38)-('Fat Spreads'!AR18-'Fat Spreads'!AR38)^2/20)/19),"")</f>
        <v>0</v>
      </c>
      <c r="AH18">
        <f>IFERROR('Fat Spreads'!O18,"")</f>
        <v>0</v>
      </c>
      <c r="AI18">
        <f>IFERROR(('Fat Spreads'!P18-AVERAGE('Fat Spreads'!$P$3:$P$4308))/STDEV('Fat Spreads'!$P$3:$P$4308),"")</f>
        <v>-9.2057461789832332E-2</v>
      </c>
      <c r="AJ18">
        <f>IFERROR('Fat Spreads'!P18-'Fat Spreads'!P23,"")</f>
        <v>0</v>
      </c>
      <c r="AK18">
        <f>IFERROR('Fat Spreads'!P18-'Fat Spreads'!P28,"")</f>
        <v>0</v>
      </c>
      <c r="AL18">
        <f>IFERROR(AVERAGE('Fat Spreads'!P18:P37)+2*STDEV('Fat Spreads'!P18:P37),"")</f>
        <v>0</v>
      </c>
      <c r="AM18">
        <f>IFERROR(AVERAGE('Fat Spreads'!P18:P37)-2*STDEV('Fat Spreads'!P18:P37),"")</f>
        <v>0</v>
      </c>
      <c r="AN18" t="str">
        <f>IFERROR(('Fat Spreads'!P18-(AVERAGE('Fat Spreads'!P18:P37)-2*STDEV('Fat Spreads'!P18:P37)))/(4*STDEV('Fat Spreads'!P18:P37)),"")</f>
        <v/>
      </c>
      <c r="AO18" t="str">
        <f>IFERROR(4*STDEV('Fat Spreads'!P18:P37)/AVERAGE('Fat Spreads'!P18:P37),"")</f>
        <v/>
      </c>
      <c r="AP18">
        <v>66.502399999999994</v>
      </c>
      <c r="AQ18">
        <f>IFERROR(SQRT((SUMSQ('Fat Spreads'!P18:P37)-2*SUMPRODUCT('Fat Spreads'!P18:P37,'Fat Spreads'!P19:P38)+SUMSQ('Fat Spreads'!P19:P38)-('Fat Spreads'!P18-'Fat Spreads'!P38)^2/20)/19),"")</f>
        <v>0</v>
      </c>
      <c r="AS18">
        <f>IFERROR('Fat Spreads'!AJ18,"")</f>
        <v>0</v>
      </c>
      <c r="AT18">
        <f>IFERROR(('Fat Spreads'!AK18-AVERAGE('Fat Spreads'!$AK$3:$AK$4308))/STDEV('Fat Spreads'!$AK$3:$AK$4308),"")</f>
        <v>-9.2057461789832332E-2</v>
      </c>
      <c r="AU18">
        <f>IFERROR('Fat Spreads'!AK18-'Fat Spreads'!AK23,"")</f>
        <v>0</v>
      </c>
      <c r="AV18">
        <f>IFERROR('Fat Spreads'!AK18-'Fat Spreads'!AK28,"")</f>
        <v>0</v>
      </c>
      <c r="AW18">
        <f>IFERROR(AVERAGE('Fat Spreads'!AK18:AK37)+2*STDEV('Fat Spreads'!AK18:AK37),"")</f>
        <v>0</v>
      </c>
      <c r="AX18">
        <f>IFERROR(AVERAGE('Fat Spreads'!AK18:AK37)-2*STDEV('Fat Spreads'!AK18:AK37),"")</f>
        <v>0</v>
      </c>
      <c r="AY18" t="str">
        <f>IFERROR(('Fat Spreads'!AK18-(AVERAGE('Fat Spreads'!AK18:AK37)-2*STDEV('Fat Spreads'!AK18:AK37)))/(4*STDEV('Fat Spreads'!AK18:AK37)),"")</f>
        <v/>
      </c>
      <c r="AZ18" t="str">
        <f>IFERROR(4*STDEV('Fat Spreads'!AK18:AK37)/AVERAGE('Fat Spreads'!AK18:AK37),"")</f>
        <v/>
      </c>
      <c r="BA18">
        <v>29.9239</v>
      </c>
      <c r="BB18">
        <f>IFERROR(SQRT((SUMSQ('Fat Spreads'!AK18:AK37)-2*SUMPRODUCT('Fat Spreads'!AK18:AK37,'Fat Spreads'!AK19:AK38)+SUMSQ('Fat Spreads'!AK19:AK38)-('Fat Spreads'!AK18-'Fat Spreads'!AK38)^2/20)/19),"")</f>
        <v>0</v>
      </c>
      <c r="BD18">
        <f>IFERROR('Fat Spreads'!V18,"")</f>
        <v>0</v>
      </c>
      <c r="BE18">
        <f>IFERROR(('Fat Spreads'!W18-AVERAGE('Fat Spreads'!$W$3:$W$4308))/STDEV('Fat Spreads'!$W$3:$W$4308),"")</f>
        <v>-9.2057461789832332E-2</v>
      </c>
      <c r="BF18">
        <f>IFERROR('Fat Spreads'!W18-'Fat Spreads'!W23,"")</f>
        <v>0</v>
      </c>
      <c r="BG18">
        <f>IFERROR('Fat Spreads'!W18-'Fat Spreads'!W28,"")</f>
        <v>0</v>
      </c>
      <c r="BH18">
        <f>IFERROR(AVERAGE('Fat Spreads'!W18:W37)+2*STDEV('Fat Spreads'!W18:W37),"")</f>
        <v>0</v>
      </c>
      <c r="BI18">
        <f>IFERROR(AVERAGE('Fat Spreads'!W18:W37)-2*STDEV('Fat Spreads'!W18:W37),"")</f>
        <v>0</v>
      </c>
      <c r="BJ18" t="str">
        <f>IFERROR(('Fat Spreads'!W18-(AVERAGE('Fat Spreads'!W18:W37)-2*STDEV('Fat Spreads'!W18:W37)))/(4*STDEV('Fat Spreads'!W18:W37)),"")</f>
        <v/>
      </c>
      <c r="BK18" t="str">
        <f>IFERROR(4*STDEV('Fat Spreads'!W18:W37)/AVERAGE('Fat Spreads'!W18:W37),"")</f>
        <v/>
      </c>
      <c r="BL18">
        <v>65.757300000000001</v>
      </c>
      <c r="BM18">
        <f>IFERROR(SQRT((SUMSQ('Fat Spreads'!W18:W37)-2*SUMPRODUCT('Fat Spreads'!W18:W37,'Fat Spreads'!W19:W38)+SUMSQ('Fat Spreads'!W19:W38)-('Fat Spreads'!W18-'Fat Spreads'!W38)^2/20)/19),"")</f>
        <v>0</v>
      </c>
      <c r="BO18">
        <f>IFERROR('Fat Spreads'!AC18,"")</f>
        <v>0</v>
      </c>
      <c r="BP18">
        <f>IFERROR(('Fat Spreads'!AD18-AVERAGE('Fat Spreads'!$AD$3:$AD$4308))/STDEV('Fat Spreads'!$AD$3:$AD$4308),"")</f>
        <v>-9.2057461789832332E-2</v>
      </c>
      <c r="BQ18">
        <f>IFERROR('Fat Spreads'!AD18-'Fat Spreads'!AD23,"")</f>
        <v>0</v>
      </c>
      <c r="BR18">
        <f>IFERROR('Fat Spreads'!AD18-'Fat Spreads'!AD28,"")</f>
        <v>0</v>
      </c>
      <c r="BS18">
        <f>IFERROR(AVERAGE('Fat Spreads'!AD18:AD37)+2*STDEV('Fat Spreads'!AD18:AD37),"")</f>
        <v>0</v>
      </c>
      <c r="BT18">
        <f>IFERROR(AVERAGE('Fat Spreads'!AD18:AD37)-2*STDEV('Fat Spreads'!AD18:AD37),"")</f>
        <v>0</v>
      </c>
      <c r="BU18" t="str">
        <f>IFERROR(('Fat Spreads'!AD18-(AVERAGE('Fat Spreads'!AD18:AD37)-2*STDEV('Fat Spreads'!AD18:AD37)))/(4*STDEV('Fat Spreads'!AD18:AD37)),"")</f>
        <v/>
      </c>
      <c r="BV18" t="str">
        <f>IFERROR(4*STDEV('Fat Spreads'!AD18:AD37)/AVERAGE('Fat Spreads'!AD18:AD37),"")</f>
        <v/>
      </c>
      <c r="BW18">
        <v>65.463999999999999</v>
      </c>
      <c r="BX18">
        <f>IFERROR(SQRT((SUMSQ('Fat Spreads'!AD18:AD37)-2*SUMPRODUCT('Fat Spreads'!AD18:AD37,'Fat Spreads'!AD19:AD38)+SUMSQ('Fat Spreads'!AD19:AD38)-('Fat Spreads'!AD18-'Fat Spreads'!AD38)^2/20)/19),"")</f>
        <v>0</v>
      </c>
      <c r="BZ18">
        <f>IFERROR('Feeder Spreads'!A18,"")</f>
        <v>0</v>
      </c>
      <c r="CA18">
        <f>IFERROR(('Feeder Spreads'!B18-AVERAGE('Feeder Spreads'!$B$3:$B$4308))/STDEV('Feeder Spreads'!$B$3:$B$4308),"")</f>
        <v>-9.2057461789832346E-2</v>
      </c>
      <c r="CB18">
        <f>IFERROR('Feeder Spreads'!B18-'Feeder Spreads'!B23,"")</f>
        <v>0</v>
      </c>
      <c r="CC18">
        <f>IFERROR('Feeder Spreads'!B18-'Feeder Spreads'!B28,"")</f>
        <v>0</v>
      </c>
      <c r="CD18">
        <f>IFERROR(AVERAGE('Feeder Spreads'!B18:B37)+2*STDEV('Feeder Spreads'!B18:B37),"")</f>
        <v>0</v>
      </c>
      <c r="CE18">
        <f>IFERROR(AVERAGE('Feeder Spreads'!B18:B37)-2*STDEV('Feeder Spreads'!B18:B37),"")</f>
        <v>0</v>
      </c>
      <c r="CF18" t="str">
        <f>IFERROR(('Feeder Spreads'!B18-(AVERAGE('Feeder Spreads'!B18:B37)-2*STDEV('Feeder Spreads'!B18:B37)))/(4*STDEV('Feeder Spreads'!B18:B37)),"")</f>
        <v/>
      </c>
      <c r="CG18" t="str">
        <f>IFERROR(4*STDEV('Feeder Spreads'!B18:B37)/AVERAGE('Feeder Spreads'!B18:B37),"")</f>
        <v/>
      </c>
      <c r="CH18">
        <v>62.409799999999997</v>
      </c>
      <c r="CI18">
        <f>IFERROR(SQRT((SUMSQ('Feeder Spreads'!B18:B37)-2*SUMPRODUCT('Feeder Spreads'!B18:B37,'Feeder Spreads'!B19:B38)+SUMSQ('Feeder Spreads'!B19:B38)-('Feeder Spreads'!B18-'Feeder Spreads'!B38)^2/20)/19),"")</f>
        <v>0</v>
      </c>
      <c r="CK18">
        <f>IFERROR('Feeder Spreads'!AX18,"")</f>
        <v>0</v>
      </c>
      <c r="CL18">
        <f>IFERROR(('Feeder Spreads'!AY18-AVERAGE('Feeder Spreads'!$AY$3:$AY$4308))/STDEV('Feeder Spreads'!$AY$3:$AY$4308),"")</f>
        <v>-9.2057461789832346E-2</v>
      </c>
      <c r="CM18">
        <f>IFERROR('Feeder Spreads'!AY18-'Feeder Spreads'!AY23,"")</f>
        <v>0</v>
      </c>
      <c r="CN18">
        <f>IFERROR('Feeder Spreads'!AY18-'Feeder Spreads'!AY28,"")</f>
        <v>0</v>
      </c>
      <c r="CO18">
        <f>IFERROR(AVERAGE('Feeder Spreads'!AY18:AY37)+2*STDEV('Feeder Spreads'!AY18:AY37),"")</f>
        <v>0</v>
      </c>
      <c r="CP18">
        <f>IFERROR(AVERAGE('Feeder Spreads'!AY18:AY37)-2*STDEV('Feeder Spreads'!AY18:AY37),"")</f>
        <v>0</v>
      </c>
      <c r="CQ18" t="str">
        <f>IFERROR(('Feeder Spreads'!AY18-(AVERAGE('Feeder Spreads'!AY18:AY37)-2*STDEV('Feeder Spreads'!AY18:AY37)))/(4*STDEV('Feeder Spreads'!AY18:AY37)),"")</f>
        <v/>
      </c>
      <c r="CR18" t="str">
        <f>IFERROR(4*STDEV('Feeder Spreads'!AY18:AY37)/AVERAGE('Feeder Spreads'!AY18:AY37),"")</f>
        <v/>
      </c>
      <c r="CS18">
        <v>62.766599999999997</v>
      </c>
      <c r="CT18">
        <f>IFERROR(SQRT((SUMSQ('Feeder Spreads'!AY18:AY37)-2*SUMPRODUCT('Feeder Spreads'!AY18:AY37,'Feeder Spreads'!AY19:AY38)+SUMSQ('Feeder Spreads'!AY19:AY38)-('Feeder Spreads'!AY18-'Feeder Spreads'!AY38)^2/20)/19),"")</f>
        <v>0</v>
      </c>
      <c r="CV18">
        <f>IFERROR('Feeder Spreads'!H18,"")</f>
        <v>0</v>
      </c>
      <c r="CW18">
        <f>IFERROR(('Feeder Spreads'!I18-AVERAGE('Feeder Spreads'!$I$3:$I$4308))/STDEV('Feeder Spreads'!$I$3:$I$4308),"")</f>
        <v>-9.2057461789832332E-2</v>
      </c>
      <c r="CX18">
        <f>IFERROR('Feeder Spreads'!I18-'Feeder Spreads'!I23,"")</f>
        <v>0</v>
      </c>
      <c r="CY18">
        <f>IFERROR('Feeder Spreads'!I18-'Feeder Spreads'!I28,"")</f>
        <v>0</v>
      </c>
      <c r="CZ18">
        <f>IFERROR(AVERAGE('Feeder Spreads'!I18:I37)+2*STDEV('Feeder Spreads'!I18:I37),"")</f>
        <v>0</v>
      </c>
      <c r="DA18">
        <f>IFERROR(AVERAGE('Feeder Spreads'!I18:I37)-2*STDEV('Feeder Spreads'!I18:I37),"")</f>
        <v>0</v>
      </c>
      <c r="DB18" t="str">
        <f>IFERROR(('Feeder Spreads'!I18-(AVERAGE('Feeder Spreads'!I18:I37)-2*STDEV('Feeder Spreads'!I18:I37)))/(4*STDEV('Feeder Spreads'!I18:I37)),"")</f>
        <v/>
      </c>
      <c r="DC18" t="str">
        <f>IFERROR(4*STDEV('Feeder Spreads'!I18:I37)/AVERAGE('Feeder Spreads'!I18:I37),"")</f>
        <v/>
      </c>
      <c r="DD18">
        <v>34.6935</v>
      </c>
      <c r="DE18">
        <f>IFERROR(SQRT((SUMSQ('Feeder Spreads'!I18:I37)-2*SUMPRODUCT('Feeder Spreads'!I18:I37,'Feeder Spreads'!I19:I38)+SUMSQ('Feeder Spreads'!I19:I38)-('Feeder Spreads'!I18-'Feeder Spreads'!I38)^2/20)/19),"")</f>
        <v>0</v>
      </c>
      <c r="DG18">
        <f>IFERROR('Feeder Spreads'!O18,"")</f>
        <v>0</v>
      </c>
      <c r="DH18">
        <f>IFERROR(('Feeder Spreads'!P18-AVERAGE('Feeder Spreads'!$P$3:$P$4308))/STDEV('Feeder Spreads'!$P$3:$P$4308),"")</f>
        <v>-9.2057461789832346E-2</v>
      </c>
      <c r="DI18">
        <f>IFERROR('Feeder Spreads'!P18-'Feeder Spreads'!P23,"")</f>
        <v>0</v>
      </c>
      <c r="DJ18">
        <f>IFERROR('Feeder Spreads'!P18-'Feeder Spreads'!P28,"")</f>
        <v>0</v>
      </c>
      <c r="DK18">
        <f>IFERROR(AVERAGE('Feeder Spreads'!P18:P37)+2*STDEV('Feeder Spreads'!P18:P37),"")</f>
        <v>0</v>
      </c>
      <c r="DL18">
        <f>IFERROR(AVERAGE('Feeder Spreads'!P18:P37)-2*STDEV('Feeder Spreads'!P18:P37),"")</f>
        <v>0</v>
      </c>
      <c r="DM18" t="str">
        <f>IFERROR(('Feeder Spreads'!P18-(AVERAGE('Feeder Spreads'!P18:P37)-2*STDEV('Feeder Spreads'!P18:P37)))/(4*STDEV('Feeder Spreads'!P18:P37)),"")</f>
        <v/>
      </c>
      <c r="DN18" t="str">
        <f>IFERROR(4*STDEV('Feeder Spreads'!P18:P37)/AVERAGE('Feeder Spreads'!P18:P37),"")</f>
        <v/>
      </c>
      <c r="DO18">
        <v>57.893000000000001</v>
      </c>
      <c r="DP18">
        <f>IFERROR(SQRT((SUMSQ('Feeder Spreads'!P18:P37)-2*SUMPRODUCT('Feeder Spreads'!P18:P37,'Feeder Spreads'!P19:P38)+SUMSQ('Feeder Spreads'!P19:P38)-('Feeder Spreads'!P18-'Feeder Spreads'!P38)^2/20)/19),"")</f>
        <v>0</v>
      </c>
      <c r="DR18">
        <f>IFERROR('Feeder Spreads'!V18,"")</f>
        <v>0</v>
      </c>
      <c r="DS18">
        <f>IFERROR(('Feeder Spreads'!W18-AVERAGE('Feeder Spreads'!$W$3:$W$4308))/STDEV('Feeder Spreads'!$W$3:$W$4308),"")</f>
        <v>-9.2057461789832332E-2</v>
      </c>
      <c r="DT18">
        <f>IFERROR('Feeder Spreads'!W18-'Feeder Spreads'!W23,"")</f>
        <v>0</v>
      </c>
      <c r="DU18">
        <f>IFERROR('Feeder Spreads'!W18-'Feeder Spreads'!W28,"")</f>
        <v>0</v>
      </c>
      <c r="DV18">
        <f>IFERROR(AVERAGE('Feeder Spreads'!W18:W37)+2*STDEV('Feeder Spreads'!W18:W37),"")</f>
        <v>0</v>
      </c>
      <c r="DW18">
        <f>IFERROR(AVERAGE('Feeder Spreads'!W18:W37)-2*STDEV('Feeder Spreads'!W18:W37),"")</f>
        <v>0</v>
      </c>
      <c r="DX18" t="str">
        <f>IFERROR(('Feeder Spreads'!W18-(AVERAGE('Feeder Spreads'!W18:W37)-2*STDEV('Feeder Spreads'!W18:W37)))/(4*STDEV('Feeder Spreads'!W18:W37)),"")</f>
        <v/>
      </c>
      <c r="DY18" t="str">
        <f>IFERROR(4*STDEV('Feeder Spreads'!W18:W37)/AVERAGE('Feeder Spreads'!W18:W37),"")</f>
        <v/>
      </c>
      <c r="DZ18">
        <v>30.057500000000001</v>
      </c>
      <c r="EA18">
        <f>IFERROR(SQRT((SUMSQ('Feeder Spreads'!W18:W37)-2*SUMPRODUCT('Feeder Spreads'!W18:W37,'Feeder Spreads'!W19:W38)+SUMSQ('Feeder Spreads'!W19:W38)-('Feeder Spreads'!W18-'Feeder Spreads'!W38)^2/20)/19),"")</f>
        <v>0</v>
      </c>
      <c r="EC18">
        <f>IFERROR('Feeder Spreads'!AC18,"")</f>
        <v>0</v>
      </c>
      <c r="ED18">
        <f>IFERROR(('Feeder Spreads'!AD18-AVERAGE('Feeder Spreads'!$AD$3:$AD$4308))/STDEV('Feeder Spreads'!$AD$3:$AD$4308),"")</f>
        <v>9.2057461789832318E-2</v>
      </c>
      <c r="EE18">
        <f>IFERROR('Feeder Spreads'!AD18-'Feeder Spreads'!AD23,"")</f>
        <v>0</v>
      </c>
      <c r="EF18">
        <f>IFERROR('Feeder Spreads'!AD18-'Feeder Spreads'!AD28,"")</f>
        <v>0</v>
      </c>
      <c r="EG18">
        <f>IFERROR(AVERAGE('Feeder Spreads'!AD18:AD37)+2*STDEV('Feeder Spreads'!AD18:AD37),"")</f>
        <v>0</v>
      </c>
      <c r="EH18">
        <f>IFERROR(AVERAGE('Feeder Spreads'!AD18:AD37)-2*STDEV('Feeder Spreads'!AD18:AD37),"")</f>
        <v>0</v>
      </c>
      <c r="EI18" t="str">
        <f>IFERROR(('Feeder Spreads'!AD18-(AVERAGE('Feeder Spreads'!AD18:AD37)-2*STDEV('Feeder Spreads'!AD18:AD37)))/(4*STDEV('Feeder Spreads'!AD18:AD37)),"")</f>
        <v/>
      </c>
      <c r="EJ18" t="str">
        <f>IFERROR(4*STDEV('Feeder Spreads'!AD18:AD37)/AVERAGE('Feeder Spreads'!AD18:AD37),"")</f>
        <v/>
      </c>
      <c r="EK18">
        <v>47.395400000000002</v>
      </c>
      <c r="EL18">
        <f>IFERROR(SQRT((SUMSQ('Feeder Spreads'!AD18:AD37)-2*SUMPRODUCT('Feeder Spreads'!AD18:AD37,'Feeder Spreads'!AD19:AD38)+SUMSQ('Feeder Spreads'!AD19:AD38)-('Feeder Spreads'!AD18-'Feeder Spreads'!AD38)^2/20)/19),"")</f>
        <v>0</v>
      </c>
      <c r="EN18">
        <f>IFERROR('Feeder Spreads'!AJ18,"")</f>
        <v>0</v>
      </c>
      <c r="EO18">
        <f>IFERROR(('Feeder Spreads'!AK18-AVERAGE('Feeder Spreads'!$AK$3:$AK$4308))/STDEV('Feeder Spreads'!$AK$3:$AK$4308),"")</f>
        <v>-9.2057461789832346E-2</v>
      </c>
      <c r="EP18">
        <f>IFERROR('Feeder Spreads'!AK18-'Feeder Spreads'!AK23,"")</f>
        <v>0</v>
      </c>
      <c r="EQ18">
        <f>IFERROR('Feeder Spreads'!AK18-'Feeder Spreads'!AK28,"")</f>
        <v>0</v>
      </c>
      <c r="ER18">
        <f>IFERROR(AVERAGE('Feeder Spreads'!AK18:AK37)+2*STDEV('Feeder Spreads'!AK18:AK37),"")</f>
        <v>0</v>
      </c>
      <c r="ES18">
        <f>IFERROR(AVERAGE('Feeder Spreads'!AK18:AK37)-2*STDEV('Feeder Spreads'!AK18:AK37),"")</f>
        <v>0</v>
      </c>
      <c r="ET18" t="str">
        <f>IFERROR(('Feeder Spreads'!AK18-(AVERAGE('Feeder Spreads'!AK18:AK37)-2*STDEV('Feeder Spreads'!AK18:AK37)))/(4*STDEV('Feeder Spreads'!AK18:AK37)),"")</f>
        <v/>
      </c>
      <c r="EU18" t="str">
        <f>IFERROR(4*STDEV('Feeder Spreads'!AK18:AK37)/AVERAGE('Feeder Spreads'!AK18:AK37),"")</f>
        <v/>
      </c>
      <c r="EV18">
        <v>51.558399999999999</v>
      </c>
      <c r="EW18">
        <f>IFERROR(SQRT((SUMSQ('Feeder Spreads'!AK18:AK37)-2*SUMPRODUCT('Feeder Spreads'!AK18:AK37,'Feeder Spreads'!AK19:AK38)+SUMSQ('Feeder Spreads'!AK19:AK38)-('Feeder Spreads'!AK18-'Feeder Spreads'!AK38)^2/20)/19),"")</f>
        <v>0</v>
      </c>
      <c r="EY18">
        <f>IFERROR('Feeder Spreads'!AQ18,"")</f>
        <v>0</v>
      </c>
      <c r="EZ18">
        <f>IFERROR(('Feeder Spreads'!AR18-AVERAGE('Feeder Spreads'!$AR$3:$AR$4308))/STDEV('Feeder Spreads'!$AR$3:$AR$4308),"")</f>
        <v>-9.2057461789832332E-2</v>
      </c>
      <c r="FA18">
        <f>IFERROR('Feeder Spreads'!AR18-'Feeder Spreads'!AR23,"")</f>
        <v>0</v>
      </c>
      <c r="FB18">
        <f>IFERROR('Feeder Spreads'!AR18-'Feeder Spreads'!AR28,"")</f>
        <v>0</v>
      </c>
      <c r="FC18">
        <f>IFERROR(AVERAGE('Feeder Spreads'!AR18:AR37)+2*STDEV('Feeder Spreads'!AR18:AR37),"")</f>
        <v>0</v>
      </c>
      <c r="FD18">
        <f>IFERROR(AVERAGE('Feeder Spreads'!AR18:AR37)-2*STDEV('Feeder Spreads'!AR18:AR37),"")</f>
        <v>0</v>
      </c>
      <c r="FE18" t="str">
        <f>IFERROR(('Feeder Spreads'!AR18-(AVERAGE('Feeder Spreads'!AR18:AR37)-2*STDEV('Feeder Spreads'!AR18:AR37)))/(4*STDEV('Feeder Spreads'!AR18:AR37)),"")</f>
        <v/>
      </c>
      <c r="FF18" t="str">
        <f>IFERROR(4*STDEV('Feeder Spreads'!AR18:AR37)/AVERAGE('Feeder Spreads'!AR18:AR37),"")</f>
        <v/>
      </c>
      <c r="FG18">
        <v>57.592799999999997</v>
      </c>
      <c r="FH18">
        <f>IFERROR(SQRT((SUMSQ('Feeder Spreads'!AR18:AR37)-2*SUMPRODUCT('Feeder Spreads'!AR18:AR37,'Feeder Spreads'!AR19:AR38)+SUMSQ('Feeder Spreads'!AR19:AR38)-('Feeder Spreads'!AR18-'Feeder Spreads'!AR38)^2/20)/19),"")</f>
        <v>0</v>
      </c>
      <c r="FJ18">
        <f>IFERROR('Fat Spreads'!AX18,"")</f>
        <v>0</v>
      </c>
      <c r="FK18">
        <f>IFERROR(('Fat Spreads'!AY18-AVERAGE('Fat Spreads'!$AY$3:$AY$4308))/STDEV('Fat Spreads'!$AY$3:$AY$4308),"")</f>
        <v>9.2057461789832332E-2</v>
      </c>
      <c r="FL18">
        <f>IFERROR('Fat Spreads'!AY18-'Fat Spreads'!AY23,"")</f>
        <v>0</v>
      </c>
      <c r="FM18">
        <f>IFERROR('Fat Spreads'!AY18-'Fat Spreads'!AY28,"")</f>
        <v>0</v>
      </c>
      <c r="FN18">
        <f>IFERROR(AVERAGE('Fat Spreads'!AY18:AY37)+2*STDEV('Fat Spreads'!AY18:AY37),"")</f>
        <v>0</v>
      </c>
      <c r="FO18">
        <f>IFERROR(AVERAGE('Fat Spreads'!AY18:AY37)-2*STDEV('Fat Spreads'!AY18:AY37),"")</f>
        <v>0</v>
      </c>
      <c r="FP18" t="str">
        <f>IFERROR(('Fat Spreads'!AY18-(AVERAGE('Fat Spreads'!AY18:AY37)-2*STDEV('Fat Spreads'!AY18:AY37)))/(4*STDEV('Fat Spreads'!AY18:AY37)),"")</f>
        <v/>
      </c>
      <c r="FQ18" t="str">
        <f>IFERROR(4*STDEV('Fat Spreads'!AY18:AY37)/AVERAGE('Fat Spreads'!AY18:AY37),"")</f>
        <v/>
      </c>
      <c r="FR18">
        <v>27.564</v>
      </c>
      <c r="FS18">
        <f>IFERROR(SQRT((SUMSQ('Fat Spreads'!AY18:AY37)-2*SUMPRODUCT('Fat Spreads'!AY18:AY37,'Fat Spreads'!AY19:AY38)+SUMSQ('Fat Spreads'!AY19:AY38)-('Fat Spreads'!AY18-'Fat Spreads'!AY38)^2/20)/19),"")</f>
        <v>0</v>
      </c>
      <c r="FU18">
        <f>IFERROR('Fat Spreads'!BE18,"")</f>
        <v>0</v>
      </c>
      <c r="FV18">
        <f>IFERROR(('Fat Spreads'!BF18-AVERAGE('Fat Spreads'!$BF$3:$BF$4308))/STDEV('Fat Spreads'!$BF$3:$BF$4308),"")</f>
        <v>9.2057461789832332E-2</v>
      </c>
      <c r="FW18">
        <f>IFERROR('Fat Spreads'!BF18-'Fat Spreads'!BF23,"")</f>
        <v>0</v>
      </c>
      <c r="FX18">
        <f>IFERROR('Fat Spreads'!BF18-'Fat Spreads'!BF28,"")</f>
        <v>0</v>
      </c>
      <c r="FY18">
        <f>IFERROR(AVERAGE('Fat Spreads'!BF18:BF37)+2*STDEV('Fat Spreads'!BF18:BF37),"")</f>
        <v>0</v>
      </c>
      <c r="FZ18">
        <f>IFERROR(AVERAGE('Fat Spreads'!BF18:BF37)-2*STDEV('Fat Spreads'!BF18:BF37),"")</f>
        <v>0</v>
      </c>
      <c r="GA18" t="str">
        <f>IFERROR(('Fat Spreads'!BF18-(AVERAGE('Fat Spreads'!BF18:BF37)-2*STDEV('Fat Spreads'!BF18:BF37)))/(4*STDEV('Fat Spreads'!BF18:BF37)),"")</f>
        <v/>
      </c>
      <c r="GB18" t="str">
        <f>IFERROR(4*STDEV('Fat Spreads'!BF18:BF37)/AVERAGE('Fat Spreads'!BF18:BF37),"")</f>
        <v/>
      </c>
      <c r="GC18">
        <v>59.007399999999997</v>
      </c>
      <c r="GD18">
        <f>IFERROR(SQRT((SUMSQ('Fat Spreads'!BF18:BF37)-2*SUMPRODUCT('Fat Spreads'!BF18:BF37,'Fat Spreads'!BF19:BF38)+SUMSQ('Fat Spreads'!BF19:BF38)-('Fat Spreads'!BF18-'Fat Spreads'!BF38)^2/20)/19),"")</f>
        <v>0</v>
      </c>
    </row>
    <row r="19" spans="1:186" x14ac:dyDescent="0.25">
      <c r="A19">
        <f>IFERROR('Fat Spreads'!A19,"")</f>
        <v>0</v>
      </c>
      <c r="B19">
        <f>IFERROR(('Fat Spreads'!B19-AVERAGE('Fat Spreads'!$B$3:$B$4308))/STDEV('Fat Spreads'!$B$3:$B$4308),"")</f>
        <v>9.2057461789832346E-2</v>
      </c>
      <c r="C19">
        <f>IFERROR('Fat Spreads'!B19-'Fat Spreads'!B24,"")</f>
        <v>0</v>
      </c>
      <c r="D19">
        <f>IFERROR('Fat Spreads'!B19-'Fat Spreads'!B29,"")</f>
        <v>0</v>
      </c>
      <c r="E19">
        <f>IFERROR(AVERAGE('Fat Spreads'!B19:B38)+2*STDEV('Fat Spreads'!B19:B38),"")</f>
        <v>0</v>
      </c>
      <c r="F19">
        <f>IFERROR(AVERAGE('Fat Spreads'!B19:B38)-2*STDEV('Fat Spreads'!B19:B38),"")</f>
        <v>0</v>
      </c>
      <c r="G19" t="str">
        <f>IFERROR(('Fat Spreads'!B19-(AVERAGE('Fat Spreads'!B19:B38)-2*STDEV('Fat Spreads'!B19:B38)))/(4*STDEV('Fat Spreads'!B19:B38)),"")</f>
        <v/>
      </c>
      <c r="H19" t="str">
        <f>IFERROR(4*STDEV('Fat Spreads'!B19:B38)/AVERAGE('Fat Spreads'!B19:B38),"")</f>
        <v/>
      </c>
      <c r="I19">
        <v>53.747599999999998</v>
      </c>
      <c r="J19">
        <f>IFERROR(SQRT((SUMSQ('Fat Spreads'!B19:B38)-2*SUMPRODUCT('Fat Spreads'!B19:B38,'Fat Spreads'!B20:B39)+SUMSQ('Fat Spreads'!B20:B39)-('Fat Spreads'!B19-'Fat Spreads'!B39)^2/20)/19),"")</f>
        <v>0</v>
      </c>
      <c r="L19">
        <f>IFERROR('Fat Spreads'!H19,"")</f>
        <v>0</v>
      </c>
      <c r="M19">
        <f>IFERROR(('Fat Spreads'!I19-AVERAGE('Fat Spreads'!$I$3:$I$4308))/STDEV('Fat Spreads'!$I$3:$I$4308),"")</f>
        <v>-9.2057461789832332E-2</v>
      </c>
      <c r="N19">
        <f>IFERROR('Fat Spreads'!I19-'Fat Spreads'!I24,"")</f>
        <v>0</v>
      </c>
      <c r="O19">
        <f>IFERROR('Fat Spreads'!I19-'Fat Spreads'!I29,"")</f>
        <v>0</v>
      </c>
      <c r="P19">
        <f>IFERROR(AVERAGE('Fat Spreads'!I19:I38)+2*STDEV('Fat Spreads'!I19:I38),"")</f>
        <v>0</v>
      </c>
      <c r="Q19">
        <f>IFERROR(AVERAGE('Fat Spreads'!I19:I38)-2*STDEV('Fat Spreads'!I19:I38),"")</f>
        <v>0</v>
      </c>
      <c r="R19" t="str">
        <f>IFERROR(('Fat Spreads'!I19-(AVERAGE('Fat Spreads'!I19:I38)-2*STDEV('Fat Spreads'!I19:I38)))/(4*STDEV('Fat Spreads'!I19:I38)),"")</f>
        <v/>
      </c>
      <c r="S19" t="str">
        <f>IFERROR(4*STDEV('Fat Spreads'!I19:I38)/AVERAGE('Fat Spreads'!I19:I38),"")</f>
        <v/>
      </c>
      <c r="T19">
        <v>63.078899999999997</v>
      </c>
      <c r="U19">
        <f>IFERROR(SQRT((SUMSQ('Fat Spreads'!I19:I38)-2*SUMPRODUCT('Fat Spreads'!I19:I38,'Fat Spreads'!I20:I39)+SUMSQ('Fat Spreads'!I20:I39)-('Fat Spreads'!I19-'Fat Spreads'!I39)^2/20)/19),"")</f>
        <v>0</v>
      </c>
      <c r="W19">
        <f>IFERROR('Fat Spreads'!AQ19,"")</f>
        <v>0</v>
      </c>
      <c r="X19">
        <f>IFERROR(('Fat Spreads'!AR19-AVERAGE('Fat Spreads'!$AR$3:$AR$4308))/STDEV('Fat Spreads'!$AR$3:$AR$4308),"")</f>
        <v>-9.2057461789832346E-2</v>
      </c>
      <c r="Y19">
        <f>IFERROR('Fat Spreads'!AR19-'Fat Spreads'!AR24,"")</f>
        <v>0</v>
      </c>
      <c r="Z19">
        <f>IFERROR('Fat Spreads'!AR19-'Fat Spreads'!AR29,"")</f>
        <v>0</v>
      </c>
      <c r="AA19">
        <f>IFERROR(AVERAGE('Fat Spreads'!AR19:AR38)+2*STDEV('Fat Spreads'!AR19:AR38),"")</f>
        <v>0</v>
      </c>
      <c r="AB19">
        <f>IFERROR(AVERAGE('Fat Spreads'!AR19:AR38)-2*STDEV('Fat Spreads'!AR19:AR38),"")</f>
        <v>0</v>
      </c>
      <c r="AC19" t="str">
        <f>IFERROR(('Fat Spreads'!AR19-(AVERAGE('Fat Spreads'!AR19:AR38)-2*STDEV('Fat Spreads'!AR19:AR38)))/(4*STDEV('Fat Spreads'!AR19:AR38)),"")</f>
        <v/>
      </c>
      <c r="AD19" t="str">
        <f>IFERROR(4*STDEV('Fat Spreads'!AR19:AR38)/AVERAGE('Fat Spreads'!AR19:AR38),"")</f>
        <v/>
      </c>
      <c r="AE19">
        <v>60.998199999999997</v>
      </c>
      <c r="AF19">
        <f>IFERROR(SQRT((SUMSQ('Fat Spreads'!AR19:AR38)-2*SUMPRODUCT('Fat Spreads'!AR19:AR38,'Fat Spreads'!AR20:AR39)+SUMSQ('Fat Spreads'!AR20:AR39)-('Fat Spreads'!AR19-'Fat Spreads'!AR39)^2/20)/19),"")</f>
        <v>0</v>
      </c>
      <c r="AH19">
        <f>IFERROR('Fat Spreads'!O19,"")</f>
        <v>0</v>
      </c>
      <c r="AI19">
        <f>IFERROR(('Fat Spreads'!P19-AVERAGE('Fat Spreads'!$P$3:$P$4308))/STDEV('Fat Spreads'!$P$3:$P$4308),"")</f>
        <v>-9.2057461789832332E-2</v>
      </c>
      <c r="AJ19">
        <f>IFERROR('Fat Spreads'!P19-'Fat Spreads'!P24,"")</f>
        <v>0</v>
      </c>
      <c r="AK19">
        <f>IFERROR('Fat Spreads'!P19-'Fat Spreads'!P29,"")</f>
        <v>0</v>
      </c>
      <c r="AL19">
        <f>IFERROR(AVERAGE('Fat Spreads'!P19:P38)+2*STDEV('Fat Spreads'!P19:P38),"")</f>
        <v>0</v>
      </c>
      <c r="AM19">
        <f>IFERROR(AVERAGE('Fat Spreads'!P19:P38)-2*STDEV('Fat Spreads'!P19:P38),"")</f>
        <v>0</v>
      </c>
      <c r="AN19" t="str">
        <f>IFERROR(('Fat Spreads'!P19-(AVERAGE('Fat Spreads'!P19:P38)-2*STDEV('Fat Spreads'!P19:P38)))/(4*STDEV('Fat Spreads'!P19:P38)),"")</f>
        <v/>
      </c>
      <c r="AO19" t="str">
        <f>IFERROR(4*STDEV('Fat Spreads'!P19:P38)/AVERAGE('Fat Spreads'!P19:P38),"")</f>
        <v/>
      </c>
      <c r="AP19">
        <v>59.199800000000003</v>
      </c>
      <c r="AQ19">
        <f>IFERROR(SQRT((SUMSQ('Fat Spreads'!P19:P38)-2*SUMPRODUCT('Fat Spreads'!P19:P38,'Fat Spreads'!P20:P39)+SUMSQ('Fat Spreads'!P20:P39)-('Fat Spreads'!P19-'Fat Spreads'!P39)^2/20)/19),"")</f>
        <v>0</v>
      </c>
      <c r="AS19">
        <f>IFERROR('Fat Spreads'!AJ19,"")</f>
        <v>0</v>
      </c>
      <c r="AT19">
        <f>IFERROR(('Fat Spreads'!AK19-AVERAGE('Fat Spreads'!$AK$3:$AK$4308))/STDEV('Fat Spreads'!$AK$3:$AK$4308),"")</f>
        <v>-9.2057461789832332E-2</v>
      </c>
      <c r="AU19">
        <f>IFERROR('Fat Spreads'!AK19-'Fat Spreads'!AK24,"")</f>
        <v>0</v>
      </c>
      <c r="AV19">
        <f>IFERROR('Fat Spreads'!AK19-'Fat Spreads'!AK29,"")</f>
        <v>0</v>
      </c>
      <c r="AW19">
        <f>IFERROR(AVERAGE('Fat Spreads'!AK19:AK38)+2*STDEV('Fat Spreads'!AK19:AK38),"")</f>
        <v>0</v>
      </c>
      <c r="AX19">
        <f>IFERROR(AVERAGE('Fat Spreads'!AK19:AK38)-2*STDEV('Fat Spreads'!AK19:AK38),"")</f>
        <v>0</v>
      </c>
      <c r="AY19" t="str">
        <f>IFERROR(('Fat Spreads'!AK19-(AVERAGE('Fat Spreads'!AK19:AK38)-2*STDEV('Fat Spreads'!AK19:AK38)))/(4*STDEV('Fat Spreads'!AK19:AK38)),"")</f>
        <v/>
      </c>
      <c r="AZ19" t="str">
        <f>IFERROR(4*STDEV('Fat Spreads'!AK19:AK38)/AVERAGE('Fat Spreads'!AK19:AK38),"")</f>
        <v/>
      </c>
      <c r="BA19">
        <v>31.823899999999998</v>
      </c>
      <c r="BB19">
        <f>IFERROR(SQRT((SUMSQ('Fat Spreads'!AK19:AK38)-2*SUMPRODUCT('Fat Spreads'!AK19:AK38,'Fat Spreads'!AK20:AK39)+SUMSQ('Fat Spreads'!AK20:AK39)-('Fat Spreads'!AK19-'Fat Spreads'!AK39)^2/20)/19),"")</f>
        <v>0</v>
      </c>
      <c r="BD19">
        <f>IFERROR('Fat Spreads'!V19,"")</f>
        <v>0</v>
      </c>
      <c r="BE19">
        <f>IFERROR(('Fat Spreads'!W19-AVERAGE('Fat Spreads'!$W$3:$W$4308))/STDEV('Fat Spreads'!$W$3:$W$4308),"")</f>
        <v>-9.2057461789832332E-2</v>
      </c>
      <c r="BF19">
        <f>IFERROR('Fat Spreads'!W19-'Fat Spreads'!W24,"")</f>
        <v>0</v>
      </c>
      <c r="BG19">
        <f>IFERROR('Fat Spreads'!W19-'Fat Spreads'!W29,"")</f>
        <v>0</v>
      </c>
      <c r="BH19">
        <f>IFERROR(AVERAGE('Fat Spreads'!W19:W38)+2*STDEV('Fat Spreads'!W19:W38),"")</f>
        <v>0</v>
      </c>
      <c r="BI19">
        <f>IFERROR(AVERAGE('Fat Spreads'!W19:W38)-2*STDEV('Fat Spreads'!W19:W38),"")</f>
        <v>0</v>
      </c>
      <c r="BJ19" t="str">
        <f>IFERROR(('Fat Spreads'!W19-(AVERAGE('Fat Spreads'!W19:W38)-2*STDEV('Fat Spreads'!W19:W38)))/(4*STDEV('Fat Spreads'!W19:W38)),"")</f>
        <v/>
      </c>
      <c r="BK19" t="str">
        <f>IFERROR(4*STDEV('Fat Spreads'!W19:W38)/AVERAGE('Fat Spreads'!W19:W38),"")</f>
        <v/>
      </c>
      <c r="BL19">
        <v>62.419699999999999</v>
      </c>
      <c r="BM19">
        <f>IFERROR(SQRT((SUMSQ('Fat Spreads'!W19:W38)-2*SUMPRODUCT('Fat Spreads'!W19:W38,'Fat Spreads'!W20:W39)+SUMSQ('Fat Spreads'!W20:W39)-('Fat Spreads'!W19-'Fat Spreads'!W39)^2/20)/19),"")</f>
        <v>0</v>
      </c>
      <c r="BO19">
        <f>IFERROR('Fat Spreads'!AC19,"")</f>
        <v>0</v>
      </c>
      <c r="BP19">
        <f>IFERROR(('Fat Spreads'!AD19-AVERAGE('Fat Spreads'!$AD$3:$AD$4308))/STDEV('Fat Spreads'!$AD$3:$AD$4308),"")</f>
        <v>-9.2057461789832332E-2</v>
      </c>
      <c r="BQ19">
        <f>IFERROR('Fat Spreads'!AD19-'Fat Spreads'!AD24,"")</f>
        <v>0</v>
      </c>
      <c r="BR19">
        <f>IFERROR('Fat Spreads'!AD19-'Fat Spreads'!AD29,"")</f>
        <v>0</v>
      </c>
      <c r="BS19">
        <f>IFERROR(AVERAGE('Fat Spreads'!AD19:AD38)+2*STDEV('Fat Spreads'!AD19:AD38),"")</f>
        <v>0</v>
      </c>
      <c r="BT19">
        <f>IFERROR(AVERAGE('Fat Spreads'!AD19:AD38)-2*STDEV('Fat Spreads'!AD19:AD38),"")</f>
        <v>0</v>
      </c>
      <c r="BU19" t="str">
        <f>IFERROR(('Fat Spreads'!AD19-(AVERAGE('Fat Spreads'!AD19:AD38)-2*STDEV('Fat Spreads'!AD19:AD38)))/(4*STDEV('Fat Spreads'!AD19:AD38)),"")</f>
        <v/>
      </c>
      <c r="BV19" t="str">
        <f>IFERROR(4*STDEV('Fat Spreads'!AD19:AD38)/AVERAGE('Fat Spreads'!AD19:AD38),"")</f>
        <v/>
      </c>
      <c r="BW19">
        <v>68.675600000000003</v>
      </c>
      <c r="BX19">
        <f>IFERROR(SQRT((SUMSQ('Fat Spreads'!AD19:AD38)-2*SUMPRODUCT('Fat Spreads'!AD19:AD38,'Fat Spreads'!AD20:AD39)+SUMSQ('Fat Spreads'!AD20:AD39)-('Fat Spreads'!AD19-'Fat Spreads'!AD39)^2/20)/19),"")</f>
        <v>0</v>
      </c>
      <c r="BZ19">
        <f>IFERROR('Feeder Spreads'!A19,"")</f>
        <v>0</v>
      </c>
      <c r="CA19">
        <f>IFERROR(('Feeder Spreads'!B19-AVERAGE('Feeder Spreads'!$B$3:$B$4308))/STDEV('Feeder Spreads'!$B$3:$B$4308),"")</f>
        <v>-9.2057461789832346E-2</v>
      </c>
      <c r="CB19">
        <f>IFERROR('Feeder Spreads'!B19-'Feeder Spreads'!B24,"")</f>
        <v>0</v>
      </c>
      <c r="CC19">
        <f>IFERROR('Feeder Spreads'!B19-'Feeder Spreads'!B29,"")</f>
        <v>0</v>
      </c>
      <c r="CD19">
        <f>IFERROR(AVERAGE('Feeder Spreads'!B19:B38)+2*STDEV('Feeder Spreads'!B19:B38),"")</f>
        <v>0</v>
      </c>
      <c r="CE19">
        <f>IFERROR(AVERAGE('Feeder Spreads'!B19:B38)-2*STDEV('Feeder Spreads'!B19:B38),"")</f>
        <v>0</v>
      </c>
      <c r="CF19" t="str">
        <f>IFERROR(('Feeder Spreads'!B19-(AVERAGE('Feeder Spreads'!B19:B38)-2*STDEV('Feeder Spreads'!B19:B38)))/(4*STDEV('Feeder Spreads'!B19:B38)),"")</f>
        <v/>
      </c>
      <c r="CG19" t="str">
        <f>IFERROR(4*STDEV('Feeder Spreads'!B19:B38)/AVERAGE('Feeder Spreads'!B19:B38),"")</f>
        <v/>
      </c>
      <c r="CH19">
        <v>62.311999999999998</v>
      </c>
      <c r="CI19">
        <f>IFERROR(SQRT((SUMSQ('Feeder Spreads'!B19:B38)-2*SUMPRODUCT('Feeder Spreads'!B19:B38,'Feeder Spreads'!B20:B39)+SUMSQ('Feeder Spreads'!B20:B39)-('Feeder Spreads'!B19-'Feeder Spreads'!B39)^2/20)/19),"")</f>
        <v>0</v>
      </c>
      <c r="CK19">
        <f>IFERROR('Feeder Spreads'!AX19,"")</f>
        <v>0</v>
      </c>
      <c r="CL19">
        <f>IFERROR(('Feeder Spreads'!AY19-AVERAGE('Feeder Spreads'!$AY$3:$AY$4308))/STDEV('Feeder Spreads'!$AY$3:$AY$4308),"")</f>
        <v>-9.2057461789832346E-2</v>
      </c>
      <c r="CM19">
        <f>IFERROR('Feeder Spreads'!AY19-'Feeder Spreads'!AY24,"")</f>
        <v>0</v>
      </c>
      <c r="CN19">
        <f>IFERROR('Feeder Spreads'!AY19-'Feeder Spreads'!AY29,"")</f>
        <v>0</v>
      </c>
      <c r="CO19">
        <f>IFERROR(AVERAGE('Feeder Spreads'!AY19:AY38)+2*STDEV('Feeder Spreads'!AY19:AY38),"")</f>
        <v>0</v>
      </c>
      <c r="CP19">
        <f>IFERROR(AVERAGE('Feeder Spreads'!AY19:AY38)-2*STDEV('Feeder Spreads'!AY19:AY38),"")</f>
        <v>0</v>
      </c>
      <c r="CQ19" t="str">
        <f>IFERROR(('Feeder Spreads'!AY19-(AVERAGE('Feeder Spreads'!AY19:AY38)-2*STDEV('Feeder Spreads'!AY19:AY38)))/(4*STDEV('Feeder Spreads'!AY19:AY38)),"")</f>
        <v/>
      </c>
      <c r="CR19" t="str">
        <f>IFERROR(4*STDEV('Feeder Spreads'!AY19:AY38)/AVERAGE('Feeder Spreads'!AY19:AY38),"")</f>
        <v/>
      </c>
      <c r="CS19">
        <v>60.5289</v>
      </c>
      <c r="CT19">
        <f>IFERROR(SQRT((SUMSQ('Feeder Spreads'!AY19:AY38)-2*SUMPRODUCT('Feeder Spreads'!AY19:AY38,'Feeder Spreads'!AY20:AY39)+SUMSQ('Feeder Spreads'!AY20:AY39)-('Feeder Spreads'!AY19-'Feeder Spreads'!AY39)^2/20)/19),"")</f>
        <v>0</v>
      </c>
      <c r="CV19">
        <f>IFERROR('Feeder Spreads'!H19,"")</f>
        <v>0</v>
      </c>
      <c r="CW19">
        <f>IFERROR(('Feeder Spreads'!I19-AVERAGE('Feeder Spreads'!$I$3:$I$4308))/STDEV('Feeder Spreads'!$I$3:$I$4308),"")</f>
        <v>-9.2057461789832332E-2</v>
      </c>
      <c r="CX19">
        <f>IFERROR('Feeder Spreads'!I19-'Feeder Spreads'!I24,"")</f>
        <v>0</v>
      </c>
      <c r="CY19">
        <f>IFERROR('Feeder Spreads'!I19-'Feeder Spreads'!I29,"")</f>
        <v>0</v>
      </c>
      <c r="CZ19">
        <f>IFERROR(AVERAGE('Feeder Spreads'!I19:I38)+2*STDEV('Feeder Spreads'!I19:I38),"")</f>
        <v>0</v>
      </c>
      <c r="DA19">
        <f>IFERROR(AVERAGE('Feeder Spreads'!I19:I38)-2*STDEV('Feeder Spreads'!I19:I38),"")</f>
        <v>0</v>
      </c>
      <c r="DB19" t="str">
        <f>IFERROR(('Feeder Spreads'!I19-(AVERAGE('Feeder Spreads'!I19:I38)-2*STDEV('Feeder Spreads'!I19:I38)))/(4*STDEV('Feeder Spreads'!I19:I38)),"")</f>
        <v/>
      </c>
      <c r="DC19" t="str">
        <f>IFERROR(4*STDEV('Feeder Spreads'!I19:I38)/AVERAGE('Feeder Spreads'!I19:I38),"")</f>
        <v/>
      </c>
      <c r="DD19">
        <v>38.508400000000002</v>
      </c>
      <c r="DE19">
        <f>IFERROR(SQRT((SUMSQ('Feeder Spreads'!I19:I38)-2*SUMPRODUCT('Feeder Spreads'!I19:I38,'Feeder Spreads'!I20:I39)+SUMSQ('Feeder Spreads'!I20:I39)-('Feeder Spreads'!I19-'Feeder Spreads'!I39)^2/20)/19),"")</f>
        <v>0</v>
      </c>
      <c r="DG19">
        <f>IFERROR('Feeder Spreads'!O19,"")</f>
        <v>0</v>
      </c>
      <c r="DH19">
        <f>IFERROR(('Feeder Spreads'!P19-AVERAGE('Feeder Spreads'!$P$3:$P$4308))/STDEV('Feeder Spreads'!$P$3:$P$4308),"")</f>
        <v>-9.2057461789832346E-2</v>
      </c>
      <c r="DI19">
        <f>IFERROR('Feeder Spreads'!P19-'Feeder Spreads'!P24,"")</f>
        <v>0</v>
      </c>
      <c r="DJ19">
        <f>IFERROR('Feeder Spreads'!P19-'Feeder Spreads'!P29,"")</f>
        <v>0</v>
      </c>
      <c r="DK19">
        <f>IFERROR(AVERAGE('Feeder Spreads'!P19:P38)+2*STDEV('Feeder Spreads'!P19:P38),"")</f>
        <v>0</v>
      </c>
      <c r="DL19">
        <f>IFERROR(AVERAGE('Feeder Spreads'!P19:P38)-2*STDEV('Feeder Spreads'!P19:P38),"")</f>
        <v>0</v>
      </c>
      <c r="DM19" t="str">
        <f>IFERROR(('Feeder Spreads'!P19-(AVERAGE('Feeder Spreads'!P19:P38)-2*STDEV('Feeder Spreads'!P19:P38)))/(4*STDEV('Feeder Spreads'!P19:P38)),"")</f>
        <v/>
      </c>
      <c r="DN19" t="str">
        <f>IFERROR(4*STDEV('Feeder Spreads'!P19:P38)/AVERAGE('Feeder Spreads'!P19:P38),"")</f>
        <v/>
      </c>
      <c r="DO19">
        <v>54.284599999999998</v>
      </c>
      <c r="DP19">
        <f>IFERROR(SQRT((SUMSQ('Feeder Spreads'!P19:P38)-2*SUMPRODUCT('Feeder Spreads'!P19:P38,'Feeder Spreads'!P20:P39)+SUMSQ('Feeder Spreads'!P20:P39)-('Feeder Spreads'!P19-'Feeder Spreads'!P39)^2/20)/19),"")</f>
        <v>0</v>
      </c>
      <c r="DR19">
        <f>IFERROR('Feeder Spreads'!V19,"")</f>
        <v>0</v>
      </c>
      <c r="DS19">
        <f>IFERROR(('Feeder Spreads'!W19-AVERAGE('Feeder Spreads'!$W$3:$W$4308))/STDEV('Feeder Spreads'!$W$3:$W$4308),"")</f>
        <v>-9.2057461789832332E-2</v>
      </c>
      <c r="DT19">
        <f>IFERROR('Feeder Spreads'!W19-'Feeder Spreads'!W24,"")</f>
        <v>0</v>
      </c>
      <c r="DU19">
        <f>IFERROR('Feeder Spreads'!W19-'Feeder Spreads'!W29,"")</f>
        <v>0</v>
      </c>
      <c r="DV19">
        <f>IFERROR(AVERAGE('Feeder Spreads'!W19:W38)+2*STDEV('Feeder Spreads'!W19:W38),"")</f>
        <v>0</v>
      </c>
      <c r="DW19">
        <f>IFERROR(AVERAGE('Feeder Spreads'!W19:W38)-2*STDEV('Feeder Spreads'!W19:W38),"")</f>
        <v>0</v>
      </c>
      <c r="DX19" t="str">
        <f>IFERROR(('Feeder Spreads'!W19-(AVERAGE('Feeder Spreads'!W19:W38)-2*STDEV('Feeder Spreads'!W19:W38)))/(4*STDEV('Feeder Spreads'!W19:W38)),"")</f>
        <v/>
      </c>
      <c r="DY19" t="str">
        <f>IFERROR(4*STDEV('Feeder Spreads'!W19:W38)/AVERAGE('Feeder Spreads'!W19:W38),"")</f>
        <v/>
      </c>
      <c r="DZ19">
        <v>25.953600000000002</v>
      </c>
      <c r="EA19">
        <f>IFERROR(SQRT((SUMSQ('Feeder Spreads'!W19:W38)-2*SUMPRODUCT('Feeder Spreads'!W19:W38,'Feeder Spreads'!W20:W39)+SUMSQ('Feeder Spreads'!W20:W39)-('Feeder Spreads'!W19-'Feeder Spreads'!W39)^2/20)/19),"")</f>
        <v>0</v>
      </c>
      <c r="EC19">
        <f>IFERROR('Feeder Spreads'!AC19,"")</f>
        <v>0</v>
      </c>
      <c r="ED19">
        <f>IFERROR(('Feeder Spreads'!AD19-AVERAGE('Feeder Spreads'!$AD$3:$AD$4308))/STDEV('Feeder Spreads'!$AD$3:$AD$4308),"")</f>
        <v>9.2057461789832318E-2</v>
      </c>
      <c r="EE19">
        <f>IFERROR('Feeder Spreads'!AD19-'Feeder Spreads'!AD24,"")</f>
        <v>0</v>
      </c>
      <c r="EF19">
        <f>IFERROR('Feeder Spreads'!AD19-'Feeder Spreads'!AD29,"")</f>
        <v>0</v>
      </c>
      <c r="EG19">
        <f>IFERROR(AVERAGE('Feeder Spreads'!AD19:AD38)+2*STDEV('Feeder Spreads'!AD19:AD38),"")</f>
        <v>0</v>
      </c>
      <c r="EH19">
        <f>IFERROR(AVERAGE('Feeder Spreads'!AD19:AD38)-2*STDEV('Feeder Spreads'!AD19:AD38),"")</f>
        <v>0</v>
      </c>
      <c r="EI19" t="str">
        <f>IFERROR(('Feeder Spreads'!AD19-(AVERAGE('Feeder Spreads'!AD19:AD38)-2*STDEV('Feeder Spreads'!AD19:AD38)))/(4*STDEV('Feeder Spreads'!AD19:AD38)),"")</f>
        <v/>
      </c>
      <c r="EJ19" t="str">
        <f>IFERROR(4*STDEV('Feeder Spreads'!AD19:AD38)/AVERAGE('Feeder Spreads'!AD19:AD38),"")</f>
        <v/>
      </c>
      <c r="EK19">
        <v>49.252699999999997</v>
      </c>
      <c r="EL19">
        <f>IFERROR(SQRT((SUMSQ('Feeder Spreads'!AD19:AD38)-2*SUMPRODUCT('Feeder Spreads'!AD19:AD38,'Feeder Spreads'!AD20:AD39)+SUMSQ('Feeder Spreads'!AD20:AD39)-('Feeder Spreads'!AD19-'Feeder Spreads'!AD39)^2/20)/19),"")</f>
        <v>0</v>
      </c>
      <c r="EN19">
        <f>IFERROR('Feeder Spreads'!AJ19,"")</f>
        <v>0</v>
      </c>
      <c r="EO19">
        <f>IFERROR(('Feeder Spreads'!AK19-AVERAGE('Feeder Spreads'!$AK$3:$AK$4308))/STDEV('Feeder Spreads'!$AK$3:$AK$4308),"")</f>
        <v>-9.2057461789832346E-2</v>
      </c>
      <c r="EP19">
        <f>IFERROR('Feeder Spreads'!AK19-'Feeder Spreads'!AK24,"")</f>
        <v>0</v>
      </c>
      <c r="EQ19">
        <f>IFERROR('Feeder Spreads'!AK19-'Feeder Spreads'!AK29,"")</f>
        <v>0</v>
      </c>
      <c r="ER19">
        <f>IFERROR(AVERAGE('Feeder Spreads'!AK19:AK38)+2*STDEV('Feeder Spreads'!AK19:AK38),"")</f>
        <v>0</v>
      </c>
      <c r="ES19">
        <f>IFERROR(AVERAGE('Feeder Spreads'!AK19:AK38)-2*STDEV('Feeder Spreads'!AK19:AK38),"")</f>
        <v>0</v>
      </c>
      <c r="ET19" t="str">
        <f>IFERROR(('Feeder Spreads'!AK19-(AVERAGE('Feeder Spreads'!AK19:AK38)-2*STDEV('Feeder Spreads'!AK19:AK38)))/(4*STDEV('Feeder Spreads'!AK19:AK38)),"")</f>
        <v/>
      </c>
      <c r="EU19" t="str">
        <f>IFERROR(4*STDEV('Feeder Spreads'!AK19:AK38)/AVERAGE('Feeder Spreads'!AK19:AK38),"")</f>
        <v/>
      </c>
      <c r="EV19">
        <v>48.061100000000003</v>
      </c>
      <c r="EW19">
        <f>IFERROR(SQRT((SUMSQ('Feeder Spreads'!AK19:AK38)-2*SUMPRODUCT('Feeder Spreads'!AK19:AK38,'Feeder Spreads'!AK20:AK39)+SUMSQ('Feeder Spreads'!AK20:AK39)-('Feeder Spreads'!AK19-'Feeder Spreads'!AK39)^2/20)/19),"")</f>
        <v>0</v>
      </c>
      <c r="EY19">
        <f>IFERROR('Feeder Spreads'!AQ19,"")</f>
        <v>0</v>
      </c>
      <c r="EZ19">
        <f>IFERROR(('Feeder Spreads'!AR19-AVERAGE('Feeder Spreads'!$AR$3:$AR$4308))/STDEV('Feeder Spreads'!$AR$3:$AR$4308),"")</f>
        <v>-9.2057461789832332E-2</v>
      </c>
      <c r="FA19">
        <f>IFERROR('Feeder Spreads'!AR19-'Feeder Spreads'!AR24,"")</f>
        <v>0</v>
      </c>
      <c r="FB19">
        <f>IFERROR('Feeder Spreads'!AR19-'Feeder Spreads'!AR29,"")</f>
        <v>0</v>
      </c>
      <c r="FC19">
        <f>IFERROR(AVERAGE('Feeder Spreads'!AR19:AR38)+2*STDEV('Feeder Spreads'!AR19:AR38),"")</f>
        <v>0</v>
      </c>
      <c r="FD19">
        <f>IFERROR(AVERAGE('Feeder Spreads'!AR19:AR38)-2*STDEV('Feeder Spreads'!AR19:AR38),"")</f>
        <v>0</v>
      </c>
      <c r="FE19" t="str">
        <f>IFERROR(('Feeder Spreads'!AR19-(AVERAGE('Feeder Spreads'!AR19:AR38)-2*STDEV('Feeder Spreads'!AR19:AR38)))/(4*STDEV('Feeder Spreads'!AR19:AR38)),"")</f>
        <v/>
      </c>
      <c r="FF19" t="str">
        <f>IFERROR(4*STDEV('Feeder Spreads'!AR19:AR38)/AVERAGE('Feeder Spreads'!AR19:AR38),"")</f>
        <v/>
      </c>
      <c r="FG19">
        <v>55.093899999999998</v>
      </c>
      <c r="FH19">
        <f>IFERROR(SQRT((SUMSQ('Feeder Spreads'!AR19:AR38)-2*SUMPRODUCT('Feeder Spreads'!AR19:AR38,'Feeder Spreads'!AR20:AR39)+SUMSQ('Feeder Spreads'!AR20:AR39)-('Feeder Spreads'!AR19-'Feeder Spreads'!AR39)^2/20)/19),"")</f>
        <v>0</v>
      </c>
      <c r="FJ19">
        <f>IFERROR('Fat Spreads'!AX19,"")</f>
        <v>0</v>
      </c>
      <c r="FK19">
        <f>IFERROR(('Fat Spreads'!AY19-AVERAGE('Fat Spreads'!$AY$3:$AY$4308))/STDEV('Fat Spreads'!$AY$3:$AY$4308),"")</f>
        <v>9.2057461789832332E-2</v>
      </c>
      <c r="FL19">
        <f>IFERROR('Fat Spreads'!AY19-'Fat Spreads'!AY24,"")</f>
        <v>0</v>
      </c>
      <c r="FM19">
        <f>IFERROR('Fat Spreads'!AY19-'Fat Spreads'!AY29,"")</f>
        <v>0</v>
      </c>
      <c r="FN19">
        <f>IFERROR(AVERAGE('Fat Spreads'!AY19:AY38)+2*STDEV('Fat Spreads'!AY19:AY38),"")</f>
        <v>0</v>
      </c>
      <c r="FO19">
        <f>IFERROR(AVERAGE('Fat Spreads'!AY19:AY38)-2*STDEV('Fat Spreads'!AY19:AY38),"")</f>
        <v>0</v>
      </c>
      <c r="FP19" t="str">
        <f>IFERROR(('Fat Spreads'!AY19-(AVERAGE('Fat Spreads'!AY19:AY38)-2*STDEV('Fat Spreads'!AY19:AY38)))/(4*STDEV('Fat Spreads'!AY19:AY38)),"")</f>
        <v/>
      </c>
      <c r="FQ19" t="str">
        <f>IFERROR(4*STDEV('Fat Spreads'!AY19:AY38)/AVERAGE('Fat Spreads'!AY19:AY38),"")</f>
        <v/>
      </c>
      <c r="FR19">
        <v>32.282600000000002</v>
      </c>
      <c r="FS19">
        <f>IFERROR(SQRT((SUMSQ('Fat Spreads'!AY19:AY38)-2*SUMPRODUCT('Fat Spreads'!AY19:AY38,'Fat Spreads'!AY20:AY39)+SUMSQ('Fat Spreads'!AY20:AY39)-('Fat Spreads'!AY19-'Fat Spreads'!AY39)^2/20)/19),"")</f>
        <v>0</v>
      </c>
      <c r="FU19">
        <f>IFERROR('Fat Spreads'!BE19,"")</f>
        <v>0</v>
      </c>
      <c r="FV19">
        <f>IFERROR(('Fat Spreads'!BF19-AVERAGE('Fat Spreads'!$BF$3:$BF$4308))/STDEV('Fat Spreads'!$BF$3:$BF$4308),"")</f>
        <v>9.2057461789832332E-2</v>
      </c>
      <c r="FW19">
        <f>IFERROR('Fat Spreads'!BF19-'Fat Spreads'!BF24,"")</f>
        <v>0</v>
      </c>
      <c r="FX19">
        <f>IFERROR('Fat Spreads'!BF19-'Fat Spreads'!BF29,"")</f>
        <v>0</v>
      </c>
      <c r="FY19">
        <f>IFERROR(AVERAGE('Fat Spreads'!BF19:BF38)+2*STDEV('Fat Spreads'!BF19:BF38),"")</f>
        <v>0</v>
      </c>
      <c r="FZ19">
        <f>IFERROR(AVERAGE('Fat Spreads'!BF19:BF38)-2*STDEV('Fat Spreads'!BF19:BF38),"")</f>
        <v>0</v>
      </c>
      <c r="GA19" t="str">
        <f>IFERROR(('Fat Spreads'!BF19-(AVERAGE('Fat Spreads'!BF19:BF38)-2*STDEV('Fat Spreads'!BF19:BF38)))/(4*STDEV('Fat Spreads'!BF19:BF38)),"")</f>
        <v/>
      </c>
      <c r="GB19" t="str">
        <f>IFERROR(4*STDEV('Fat Spreads'!BF19:BF38)/AVERAGE('Fat Spreads'!BF19:BF38),"")</f>
        <v/>
      </c>
      <c r="GC19">
        <v>60.607999999999997</v>
      </c>
      <c r="GD19">
        <f>IFERROR(SQRT((SUMSQ('Fat Spreads'!BF19:BF38)-2*SUMPRODUCT('Fat Spreads'!BF19:BF38,'Fat Spreads'!BF20:BF39)+SUMSQ('Fat Spreads'!BF20:BF39)-('Fat Spreads'!BF19-'Fat Spreads'!BF39)^2/20)/19),"")</f>
        <v>0</v>
      </c>
    </row>
    <row r="20" spans="1:186" x14ac:dyDescent="0.25">
      <c r="A20">
        <f>IFERROR('Fat Spreads'!A20,"")</f>
        <v>0</v>
      </c>
      <c r="B20">
        <f>IFERROR(('Fat Spreads'!B20-AVERAGE('Fat Spreads'!$B$3:$B$4308))/STDEV('Fat Spreads'!$B$3:$B$4308),"")</f>
        <v>9.2057461789832346E-2</v>
      </c>
      <c r="C20">
        <f>IFERROR('Fat Spreads'!B20-'Fat Spreads'!B25,"")</f>
        <v>0</v>
      </c>
      <c r="D20">
        <f>IFERROR('Fat Spreads'!B20-'Fat Spreads'!B30,"")</f>
        <v>0</v>
      </c>
      <c r="E20">
        <f>IFERROR(AVERAGE('Fat Spreads'!B20:B39)+2*STDEV('Fat Spreads'!B20:B39),"")</f>
        <v>0</v>
      </c>
      <c r="F20">
        <f>IFERROR(AVERAGE('Fat Spreads'!B20:B39)-2*STDEV('Fat Spreads'!B20:B39),"")</f>
        <v>0</v>
      </c>
      <c r="G20" t="str">
        <f>IFERROR(('Fat Spreads'!B20-(AVERAGE('Fat Spreads'!B20:B39)-2*STDEV('Fat Spreads'!B20:B39)))/(4*STDEV('Fat Spreads'!B20:B39)),"")</f>
        <v/>
      </c>
      <c r="H20" t="str">
        <f>IFERROR(4*STDEV('Fat Spreads'!B20:B39)/AVERAGE('Fat Spreads'!B20:B39),"")</f>
        <v/>
      </c>
      <c r="I20">
        <v>58.345999999999997</v>
      </c>
      <c r="J20">
        <f>IFERROR(SQRT((SUMSQ('Fat Spreads'!B20:B39)-2*SUMPRODUCT('Fat Spreads'!B20:B39,'Fat Spreads'!B21:B40)+SUMSQ('Fat Spreads'!B21:B40)-('Fat Spreads'!B20-'Fat Spreads'!B40)^2/20)/19),"")</f>
        <v>0</v>
      </c>
      <c r="L20">
        <f>IFERROR('Fat Spreads'!H20,"")</f>
        <v>0</v>
      </c>
      <c r="M20">
        <f>IFERROR(('Fat Spreads'!I20-AVERAGE('Fat Spreads'!$I$3:$I$4308))/STDEV('Fat Spreads'!$I$3:$I$4308),"")</f>
        <v>-9.2057461789832332E-2</v>
      </c>
      <c r="N20">
        <f>IFERROR('Fat Spreads'!I20-'Fat Spreads'!I25,"")</f>
        <v>0</v>
      </c>
      <c r="O20">
        <f>IFERROR('Fat Spreads'!I20-'Fat Spreads'!I30,"")</f>
        <v>0</v>
      </c>
      <c r="P20">
        <f>IFERROR(AVERAGE('Fat Spreads'!I20:I39)+2*STDEV('Fat Spreads'!I20:I39),"")</f>
        <v>0</v>
      </c>
      <c r="Q20">
        <f>IFERROR(AVERAGE('Fat Spreads'!I20:I39)-2*STDEV('Fat Spreads'!I20:I39),"")</f>
        <v>0</v>
      </c>
      <c r="R20" t="str">
        <f>IFERROR(('Fat Spreads'!I20-(AVERAGE('Fat Spreads'!I20:I39)-2*STDEV('Fat Spreads'!I20:I39)))/(4*STDEV('Fat Spreads'!I20:I39)),"")</f>
        <v/>
      </c>
      <c r="S20" t="str">
        <f>IFERROR(4*STDEV('Fat Spreads'!I20:I39)/AVERAGE('Fat Spreads'!I20:I39),"")</f>
        <v/>
      </c>
      <c r="T20">
        <v>69.605699999999999</v>
      </c>
      <c r="U20">
        <f>IFERROR(SQRT((SUMSQ('Fat Spreads'!I20:I39)-2*SUMPRODUCT('Fat Spreads'!I20:I39,'Fat Spreads'!I21:I40)+SUMSQ('Fat Spreads'!I21:I40)-('Fat Spreads'!I20-'Fat Spreads'!I40)^2/20)/19),"")</f>
        <v>0</v>
      </c>
      <c r="W20">
        <f>IFERROR('Fat Spreads'!AQ20,"")</f>
        <v>0</v>
      </c>
      <c r="X20">
        <f>IFERROR(('Fat Spreads'!AR20-AVERAGE('Fat Spreads'!$AR$3:$AR$4308))/STDEV('Fat Spreads'!$AR$3:$AR$4308),"")</f>
        <v>-9.2057461789832346E-2</v>
      </c>
      <c r="Y20">
        <f>IFERROR('Fat Spreads'!AR20-'Fat Spreads'!AR25,"")</f>
        <v>0</v>
      </c>
      <c r="Z20">
        <f>IFERROR('Fat Spreads'!AR20-'Fat Spreads'!AR30,"")</f>
        <v>0</v>
      </c>
      <c r="AA20">
        <f>IFERROR(AVERAGE('Fat Spreads'!AR20:AR39)+2*STDEV('Fat Spreads'!AR20:AR39),"")</f>
        <v>0</v>
      </c>
      <c r="AB20">
        <f>IFERROR(AVERAGE('Fat Spreads'!AR20:AR39)-2*STDEV('Fat Spreads'!AR20:AR39),"")</f>
        <v>0</v>
      </c>
      <c r="AC20" t="str">
        <f>IFERROR(('Fat Spreads'!AR20-(AVERAGE('Fat Spreads'!AR20:AR39)-2*STDEV('Fat Spreads'!AR20:AR39)))/(4*STDEV('Fat Spreads'!AR20:AR39)),"")</f>
        <v/>
      </c>
      <c r="AD20" t="str">
        <f>IFERROR(4*STDEV('Fat Spreads'!AR20:AR39)/AVERAGE('Fat Spreads'!AR20:AR39),"")</f>
        <v/>
      </c>
      <c r="AE20">
        <v>69.545100000000005</v>
      </c>
      <c r="AF20">
        <f>IFERROR(SQRT((SUMSQ('Fat Spreads'!AR20:AR39)-2*SUMPRODUCT('Fat Spreads'!AR20:AR39,'Fat Spreads'!AR21:AR40)+SUMSQ('Fat Spreads'!AR21:AR40)-('Fat Spreads'!AR20-'Fat Spreads'!AR40)^2/20)/19),"")</f>
        <v>0</v>
      </c>
      <c r="AH20">
        <f>IFERROR('Fat Spreads'!O20,"")</f>
        <v>0</v>
      </c>
      <c r="AI20">
        <f>IFERROR(('Fat Spreads'!P20-AVERAGE('Fat Spreads'!$P$3:$P$4308))/STDEV('Fat Spreads'!$P$3:$P$4308),"")</f>
        <v>-9.2057461789832332E-2</v>
      </c>
      <c r="AJ20">
        <f>IFERROR('Fat Spreads'!P20-'Fat Spreads'!P25,"")</f>
        <v>0</v>
      </c>
      <c r="AK20">
        <f>IFERROR('Fat Spreads'!P20-'Fat Spreads'!P30,"")</f>
        <v>0</v>
      </c>
      <c r="AL20">
        <f>IFERROR(AVERAGE('Fat Spreads'!P20:P39)+2*STDEV('Fat Spreads'!P20:P39),"")</f>
        <v>0</v>
      </c>
      <c r="AM20">
        <f>IFERROR(AVERAGE('Fat Spreads'!P20:P39)-2*STDEV('Fat Spreads'!P20:P39),"")</f>
        <v>0</v>
      </c>
      <c r="AN20" t="str">
        <f>IFERROR(('Fat Spreads'!P20-(AVERAGE('Fat Spreads'!P20:P39)-2*STDEV('Fat Spreads'!P20:P39)))/(4*STDEV('Fat Spreads'!P20:P39)),"")</f>
        <v/>
      </c>
      <c r="AO20" t="str">
        <f>IFERROR(4*STDEV('Fat Spreads'!P20:P39)/AVERAGE('Fat Spreads'!P20:P39),"")</f>
        <v/>
      </c>
      <c r="AP20">
        <v>68.122799999999998</v>
      </c>
      <c r="AQ20">
        <f>IFERROR(SQRT((SUMSQ('Fat Spreads'!P20:P39)-2*SUMPRODUCT('Fat Spreads'!P20:P39,'Fat Spreads'!P21:P40)+SUMSQ('Fat Spreads'!P21:P40)-('Fat Spreads'!P20-'Fat Spreads'!P40)^2/20)/19),"")</f>
        <v>0</v>
      </c>
      <c r="AS20">
        <f>IFERROR('Fat Spreads'!AJ20,"")</f>
        <v>0</v>
      </c>
      <c r="AT20">
        <f>IFERROR(('Fat Spreads'!AK20-AVERAGE('Fat Spreads'!$AK$3:$AK$4308))/STDEV('Fat Spreads'!$AK$3:$AK$4308),"")</f>
        <v>-9.2057461789832332E-2</v>
      </c>
      <c r="AU20">
        <f>IFERROR('Fat Spreads'!AK20-'Fat Spreads'!AK25,"")</f>
        <v>0</v>
      </c>
      <c r="AV20">
        <f>IFERROR('Fat Spreads'!AK20-'Fat Spreads'!AK30,"")</f>
        <v>0</v>
      </c>
      <c r="AW20">
        <f>IFERROR(AVERAGE('Fat Spreads'!AK20:AK39)+2*STDEV('Fat Spreads'!AK20:AK39),"")</f>
        <v>0</v>
      </c>
      <c r="AX20">
        <f>IFERROR(AVERAGE('Fat Spreads'!AK20:AK39)-2*STDEV('Fat Spreads'!AK20:AK39),"")</f>
        <v>0</v>
      </c>
      <c r="AY20" t="str">
        <f>IFERROR(('Fat Spreads'!AK20-(AVERAGE('Fat Spreads'!AK20:AK39)-2*STDEV('Fat Spreads'!AK20:AK39)))/(4*STDEV('Fat Spreads'!AK20:AK39)),"")</f>
        <v/>
      </c>
      <c r="AZ20" t="str">
        <f>IFERROR(4*STDEV('Fat Spreads'!AK20:AK39)/AVERAGE('Fat Spreads'!AK20:AK39),"")</f>
        <v/>
      </c>
      <c r="BA20">
        <v>21.936900000000001</v>
      </c>
      <c r="BB20">
        <f>IFERROR(SQRT((SUMSQ('Fat Spreads'!AK20:AK39)-2*SUMPRODUCT('Fat Spreads'!AK20:AK39,'Fat Spreads'!AK21:AK40)+SUMSQ('Fat Spreads'!AK21:AK40)-('Fat Spreads'!AK20-'Fat Spreads'!AK40)^2/20)/19),"")</f>
        <v>0</v>
      </c>
      <c r="BD20">
        <f>IFERROR('Fat Spreads'!V20,"")</f>
        <v>0</v>
      </c>
      <c r="BE20">
        <f>IFERROR(('Fat Spreads'!W20-AVERAGE('Fat Spreads'!$W$3:$W$4308))/STDEV('Fat Spreads'!$W$3:$W$4308),"")</f>
        <v>-9.2057461789832332E-2</v>
      </c>
      <c r="BF20">
        <f>IFERROR('Fat Spreads'!W20-'Fat Spreads'!W25,"")</f>
        <v>0</v>
      </c>
      <c r="BG20">
        <f>IFERROR('Fat Spreads'!W20-'Fat Spreads'!W30,"")</f>
        <v>0</v>
      </c>
      <c r="BH20">
        <f>IFERROR(AVERAGE('Fat Spreads'!W20:W39)+2*STDEV('Fat Spreads'!W20:W39),"")</f>
        <v>0</v>
      </c>
      <c r="BI20">
        <f>IFERROR(AVERAGE('Fat Spreads'!W20:W39)-2*STDEV('Fat Spreads'!W20:W39),"")</f>
        <v>0</v>
      </c>
      <c r="BJ20" t="str">
        <f>IFERROR(('Fat Spreads'!W20-(AVERAGE('Fat Spreads'!W20:W39)-2*STDEV('Fat Spreads'!W20:W39)))/(4*STDEV('Fat Spreads'!W20:W39)),"")</f>
        <v/>
      </c>
      <c r="BK20" t="str">
        <f>IFERROR(4*STDEV('Fat Spreads'!W20:W39)/AVERAGE('Fat Spreads'!W20:W39),"")</f>
        <v/>
      </c>
      <c r="BL20">
        <v>67.669399999999996</v>
      </c>
      <c r="BM20">
        <f>IFERROR(SQRT((SUMSQ('Fat Spreads'!W20:W39)-2*SUMPRODUCT('Fat Spreads'!W20:W39,'Fat Spreads'!W21:W40)+SUMSQ('Fat Spreads'!W21:W40)-('Fat Spreads'!W20-'Fat Spreads'!W40)^2/20)/19),"")</f>
        <v>0</v>
      </c>
      <c r="BO20">
        <f>IFERROR('Fat Spreads'!AC20,"")</f>
        <v>0</v>
      </c>
      <c r="BP20">
        <f>IFERROR(('Fat Spreads'!AD20-AVERAGE('Fat Spreads'!$AD$3:$AD$4308))/STDEV('Fat Spreads'!$AD$3:$AD$4308),"")</f>
        <v>-9.2057461789832332E-2</v>
      </c>
      <c r="BQ20">
        <f>IFERROR('Fat Spreads'!AD20-'Fat Spreads'!AD25,"")</f>
        <v>0</v>
      </c>
      <c r="BR20">
        <f>IFERROR('Fat Spreads'!AD20-'Fat Spreads'!AD30,"")</f>
        <v>0</v>
      </c>
      <c r="BS20">
        <f>IFERROR(AVERAGE('Fat Spreads'!AD20:AD39)+2*STDEV('Fat Spreads'!AD20:AD39),"")</f>
        <v>0</v>
      </c>
      <c r="BT20">
        <f>IFERROR(AVERAGE('Fat Spreads'!AD20:AD39)-2*STDEV('Fat Spreads'!AD20:AD39),"")</f>
        <v>0</v>
      </c>
      <c r="BU20" t="str">
        <f>IFERROR(('Fat Spreads'!AD20-(AVERAGE('Fat Spreads'!AD20:AD39)-2*STDEV('Fat Spreads'!AD20:AD39)))/(4*STDEV('Fat Spreads'!AD20:AD39)),"")</f>
        <v/>
      </c>
      <c r="BV20" t="str">
        <f>IFERROR(4*STDEV('Fat Spreads'!AD20:AD39)/AVERAGE('Fat Spreads'!AD20:AD39),"")</f>
        <v/>
      </c>
      <c r="BW20">
        <v>68.051900000000003</v>
      </c>
      <c r="BX20">
        <f>IFERROR(SQRT((SUMSQ('Fat Spreads'!AD20:AD39)-2*SUMPRODUCT('Fat Spreads'!AD20:AD39,'Fat Spreads'!AD21:AD40)+SUMSQ('Fat Spreads'!AD21:AD40)-('Fat Spreads'!AD20-'Fat Spreads'!AD40)^2/20)/19),"")</f>
        <v>0</v>
      </c>
      <c r="BZ20">
        <f>IFERROR('Feeder Spreads'!A20,"")</f>
        <v>0</v>
      </c>
      <c r="CA20">
        <f>IFERROR(('Feeder Spreads'!B20-AVERAGE('Feeder Spreads'!$B$3:$B$4308))/STDEV('Feeder Spreads'!$B$3:$B$4308),"")</f>
        <v>-9.2057461789832346E-2</v>
      </c>
      <c r="CB20">
        <f>IFERROR('Feeder Spreads'!B20-'Feeder Spreads'!B25,"")</f>
        <v>0</v>
      </c>
      <c r="CC20">
        <f>IFERROR('Feeder Spreads'!B20-'Feeder Spreads'!B30,"")</f>
        <v>0</v>
      </c>
      <c r="CD20">
        <f>IFERROR(AVERAGE('Feeder Spreads'!B20:B39)+2*STDEV('Feeder Spreads'!B20:B39),"")</f>
        <v>0</v>
      </c>
      <c r="CE20">
        <f>IFERROR(AVERAGE('Feeder Spreads'!B20:B39)-2*STDEV('Feeder Spreads'!B20:B39),"")</f>
        <v>0</v>
      </c>
      <c r="CF20" t="str">
        <f>IFERROR(('Feeder Spreads'!B20-(AVERAGE('Feeder Spreads'!B20:B39)-2*STDEV('Feeder Spreads'!B20:B39)))/(4*STDEV('Feeder Spreads'!B20:B39)),"")</f>
        <v/>
      </c>
      <c r="CG20" t="str">
        <f>IFERROR(4*STDEV('Feeder Spreads'!B20:B39)/AVERAGE('Feeder Spreads'!B20:B39),"")</f>
        <v/>
      </c>
      <c r="CH20">
        <v>62.462899999999998</v>
      </c>
      <c r="CI20">
        <f>IFERROR(SQRT((SUMSQ('Feeder Spreads'!B20:B39)-2*SUMPRODUCT('Feeder Spreads'!B20:B39,'Feeder Spreads'!B21:B40)+SUMSQ('Feeder Spreads'!B21:B40)-('Feeder Spreads'!B20-'Feeder Spreads'!B40)^2/20)/19),"")</f>
        <v>0</v>
      </c>
      <c r="CK20">
        <f>IFERROR('Feeder Spreads'!AX20,"")</f>
        <v>0</v>
      </c>
      <c r="CL20">
        <f>IFERROR(('Feeder Spreads'!AY20-AVERAGE('Feeder Spreads'!$AY$3:$AY$4308))/STDEV('Feeder Spreads'!$AY$3:$AY$4308),"")</f>
        <v>-9.2057461789832346E-2</v>
      </c>
      <c r="CM20">
        <f>IFERROR('Feeder Spreads'!AY20-'Feeder Spreads'!AY25,"")</f>
        <v>0</v>
      </c>
      <c r="CN20">
        <f>IFERROR('Feeder Spreads'!AY20-'Feeder Spreads'!AY30,"")</f>
        <v>0</v>
      </c>
      <c r="CO20">
        <f>IFERROR(AVERAGE('Feeder Spreads'!AY20:AY39)+2*STDEV('Feeder Spreads'!AY20:AY39),"")</f>
        <v>0</v>
      </c>
      <c r="CP20">
        <f>IFERROR(AVERAGE('Feeder Spreads'!AY20:AY39)-2*STDEV('Feeder Spreads'!AY20:AY39),"")</f>
        <v>0</v>
      </c>
      <c r="CQ20" t="str">
        <f>IFERROR(('Feeder Spreads'!AY20-(AVERAGE('Feeder Spreads'!AY20:AY39)-2*STDEV('Feeder Spreads'!AY20:AY39)))/(4*STDEV('Feeder Spreads'!AY20:AY39)),"")</f>
        <v/>
      </c>
      <c r="CR20" t="str">
        <f>IFERROR(4*STDEV('Feeder Spreads'!AY20:AY39)/AVERAGE('Feeder Spreads'!AY20:AY39),"")</f>
        <v/>
      </c>
      <c r="CS20">
        <v>66.736199999999997</v>
      </c>
      <c r="CT20">
        <f>IFERROR(SQRT((SUMSQ('Feeder Spreads'!AY20:AY39)-2*SUMPRODUCT('Feeder Spreads'!AY20:AY39,'Feeder Spreads'!AY21:AY40)+SUMSQ('Feeder Spreads'!AY21:AY40)-('Feeder Spreads'!AY20-'Feeder Spreads'!AY40)^2/20)/19),"")</f>
        <v>0</v>
      </c>
      <c r="CV20">
        <f>IFERROR('Feeder Spreads'!H20,"")</f>
        <v>0</v>
      </c>
      <c r="CW20">
        <f>IFERROR(('Feeder Spreads'!I20-AVERAGE('Feeder Spreads'!$I$3:$I$4308))/STDEV('Feeder Spreads'!$I$3:$I$4308),"")</f>
        <v>-9.2057461789832332E-2</v>
      </c>
      <c r="CX20">
        <f>IFERROR('Feeder Spreads'!I20-'Feeder Spreads'!I25,"")</f>
        <v>0</v>
      </c>
      <c r="CY20">
        <f>IFERROR('Feeder Spreads'!I20-'Feeder Spreads'!I30,"")</f>
        <v>0</v>
      </c>
      <c r="CZ20">
        <f>IFERROR(AVERAGE('Feeder Spreads'!I20:I39)+2*STDEV('Feeder Spreads'!I20:I39),"")</f>
        <v>0</v>
      </c>
      <c r="DA20">
        <f>IFERROR(AVERAGE('Feeder Spreads'!I20:I39)-2*STDEV('Feeder Spreads'!I20:I39),"")</f>
        <v>0</v>
      </c>
      <c r="DB20" t="str">
        <f>IFERROR(('Feeder Spreads'!I20-(AVERAGE('Feeder Spreads'!I20:I39)-2*STDEV('Feeder Spreads'!I20:I39)))/(4*STDEV('Feeder Spreads'!I20:I39)),"")</f>
        <v/>
      </c>
      <c r="DC20" t="str">
        <f>IFERROR(4*STDEV('Feeder Spreads'!I20:I39)/AVERAGE('Feeder Spreads'!I20:I39),"")</f>
        <v/>
      </c>
      <c r="DD20">
        <v>42.130899999999997</v>
      </c>
      <c r="DE20">
        <f>IFERROR(SQRT((SUMSQ('Feeder Spreads'!I20:I39)-2*SUMPRODUCT('Feeder Spreads'!I20:I39,'Feeder Spreads'!I21:I40)+SUMSQ('Feeder Spreads'!I21:I40)-('Feeder Spreads'!I20-'Feeder Spreads'!I40)^2/20)/19),"")</f>
        <v>0</v>
      </c>
      <c r="DG20">
        <f>IFERROR('Feeder Spreads'!O20,"")</f>
        <v>0</v>
      </c>
      <c r="DH20">
        <f>IFERROR(('Feeder Spreads'!P20-AVERAGE('Feeder Spreads'!$P$3:$P$4308))/STDEV('Feeder Spreads'!$P$3:$P$4308),"")</f>
        <v>-9.2057461789832346E-2</v>
      </c>
      <c r="DI20">
        <f>IFERROR('Feeder Spreads'!P20-'Feeder Spreads'!P25,"")</f>
        <v>0</v>
      </c>
      <c r="DJ20">
        <f>IFERROR('Feeder Spreads'!P20-'Feeder Spreads'!P30,"")</f>
        <v>0</v>
      </c>
      <c r="DK20">
        <f>IFERROR(AVERAGE('Feeder Spreads'!P20:P39)+2*STDEV('Feeder Spreads'!P20:P39),"")</f>
        <v>0</v>
      </c>
      <c r="DL20">
        <f>IFERROR(AVERAGE('Feeder Spreads'!P20:P39)-2*STDEV('Feeder Spreads'!P20:P39),"")</f>
        <v>0</v>
      </c>
      <c r="DM20" t="str">
        <f>IFERROR(('Feeder Spreads'!P20-(AVERAGE('Feeder Spreads'!P20:P39)-2*STDEV('Feeder Spreads'!P20:P39)))/(4*STDEV('Feeder Spreads'!P20:P39)),"")</f>
        <v/>
      </c>
      <c r="DN20" t="str">
        <f>IFERROR(4*STDEV('Feeder Spreads'!P20:P39)/AVERAGE('Feeder Spreads'!P20:P39),"")</f>
        <v/>
      </c>
      <c r="DO20">
        <v>60.280700000000003</v>
      </c>
      <c r="DP20">
        <f>IFERROR(SQRT((SUMSQ('Feeder Spreads'!P20:P39)-2*SUMPRODUCT('Feeder Spreads'!P20:P39,'Feeder Spreads'!P21:P40)+SUMSQ('Feeder Spreads'!P21:P40)-('Feeder Spreads'!P20-'Feeder Spreads'!P40)^2/20)/19),"")</f>
        <v>0</v>
      </c>
      <c r="DR20">
        <f>IFERROR('Feeder Spreads'!V20,"")</f>
        <v>0</v>
      </c>
      <c r="DS20">
        <f>IFERROR(('Feeder Spreads'!W20-AVERAGE('Feeder Spreads'!$W$3:$W$4308))/STDEV('Feeder Spreads'!$W$3:$W$4308),"")</f>
        <v>-9.2057461789832332E-2</v>
      </c>
      <c r="DT20">
        <f>IFERROR('Feeder Spreads'!W20-'Feeder Spreads'!W25,"")</f>
        <v>0</v>
      </c>
      <c r="DU20">
        <f>IFERROR('Feeder Spreads'!W20-'Feeder Spreads'!W30,"")</f>
        <v>0</v>
      </c>
      <c r="DV20">
        <f>IFERROR(AVERAGE('Feeder Spreads'!W20:W39)+2*STDEV('Feeder Spreads'!W20:W39),"")</f>
        <v>0</v>
      </c>
      <c r="DW20">
        <f>IFERROR(AVERAGE('Feeder Spreads'!W20:W39)-2*STDEV('Feeder Spreads'!W20:W39),"")</f>
        <v>0</v>
      </c>
      <c r="DX20" t="str">
        <f>IFERROR(('Feeder Spreads'!W20-(AVERAGE('Feeder Spreads'!W20:W39)-2*STDEV('Feeder Spreads'!W20:W39)))/(4*STDEV('Feeder Spreads'!W20:W39)),"")</f>
        <v/>
      </c>
      <c r="DY20" t="str">
        <f>IFERROR(4*STDEV('Feeder Spreads'!W20:W39)/AVERAGE('Feeder Spreads'!W20:W39),"")</f>
        <v/>
      </c>
      <c r="DZ20">
        <v>25.212800000000001</v>
      </c>
      <c r="EA20">
        <f>IFERROR(SQRT((SUMSQ('Feeder Spreads'!W20:W39)-2*SUMPRODUCT('Feeder Spreads'!W20:W39,'Feeder Spreads'!W21:W40)+SUMSQ('Feeder Spreads'!W21:W40)-('Feeder Spreads'!W20-'Feeder Spreads'!W40)^2/20)/19),"")</f>
        <v>0</v>
      </c>
      <c r="EC20">
        <f>IFERROR('Feeder Spreads'!AC20,"")</f>
        <v>0</v>
      </c>
      <c r="ED20">
        <f>IFERROR(('Feeder Spreads'!AD20-AVERAGE('Feeder Spreads'!$AD$3:$AD$4308))/STDEV('Feeder Spreads'!$AD$3:$AD$4308),"")</f>
        <v>9.2057461789832318E-2</v>
      </c>
      <c r="EE20">
        <f>IFERROR('Feeder Spreads'!AD20-'Feeder Spreads'!AD25,"")</f>
        <v>0</v>
      </c>
      <c r="EF20">
        <f>IFERROR('Feeder Spreads'!AD20-'Feeder Spreads'!AD30,"")</f>
        <v>0</v>
      </c>
      <c r="EG20">
        <f>IFERROR(AVERAGE('Feeder Spreads'!AD20:AD39)+2*STDEV('Feeder Spreads'!AD20:AD39),"")</f>
        <v>0</v>
      </c>
      <c r="EH20">
        <f>IFERROR(AVERAGE('Feeder Spreads'!AD20:AD39)-2*STDEV('Feeder Spreads'!AD20:AD39),"")</f>
        <v>0</v>
      </c>
      <c r="EI20" t="str">
        <f>IFERROR(('Feeder Spreads'!AD20-(AVERAGE('Feeder Spreads'!AD20:AD39)-2*STDEV('Feeder Spreads'!AD20:AD39)))/(4*STDEV('Feeder Spreads'!AD20:AD39)),"")</f>
        <v/>
      </c>
      <c r="EJ20" t="str">
        <f>IFERROR(4*STDEV('Feeder Spreads'!AD20:AD39)/AVERAGE('Feeder Spreads'!AD20:AD39),"")</f>
        <v/>
      </c>
      <c r="EK20">
        <v>47.972000000000001</v>
      </c>
      <c r="EL20">
        <f>IFERROR(SQRT((SUMSQ('Feeder Spreads'!AD20:AD39)-2*SUMPRODUCT('Feeder Spreads'!AD20:AD39,'Feeder Spreads'!AD21:AD40)+SUMSQ('Feeder Spreads'!AD21:AD40)-('Feeder Spreads'!AD20-'Feeder Spreads'!AD40)^2/20)/19),"")</f>
        <v>0</v>
      </c>
      <c r="EN20">
        <f>IFERROR('Feeder Spreads'!AJ20,"")</f>
        <v>0</v>
      </c>
      <c r="EO20">
        <f>IFERROR(('Feeder Spreads'!AK20-AVERAGE('Feeder Spreads'!$AK$3:$AK$4308))/STDEV('Feeder Spreads'!$AK$3:$AK$4308),"")</f>
        <v>-9.2057461789832346E-2</v>
      </c>
      <c r="EP20">
        <f>IFERROR('Feeder Spreads'!AK20-'Feeder Spreads'!AK25,"")</f>
        <v>0</v>
      </c>
      <c r="EQ20">
        <f>IFERROR('Feeder Spreads'!AK20-'Feeder Spreads'!AK30,"")</f>
        <v>0</v>
      </c>
      <c r="ER20">
        <f>IFERROR(AVERAGE('Feeder Spreads'!AK20:AK39)+2*STDEV('Feeder Spreads'!AK20:AK39),"")</f>
        <v>0</v>
      </c>
      <c r="ES20">
        <f>IFERROR(AVERAGE('Feeder Spreads'!AK20:AK39)-2*STDEV('Feeder Spreads'!AK20:AK39),"")</f>
        <v>0</v>
      </c>
      <c r="ET20" t="str">
        <f>IFERROR(('Feeder Spreads'!AK20-(AVERAGE('Feeder Spreads'!AK20:AK39)-2*STDEV('Feeder Spreads'!AK20:AK39)))/(4*STDEV('Feeder Spreads'!AK20:AK39)),"")</f>
        <v/>
      </c>
      <c r="EU20" t="str">
        <f>IFERROR(4*STDEV('Feeder Spreads'!AK20:AK39)/AVERAGE('Feeder Spreads'!AK20:AK39),"")</f>
        <v/>
      </c>
      <c r="EV20">
        <v>52.139099999999999</v>
      </c>
      <c r="EW20">
        <f>IFERROR(SQRT((SUMSQ('Feeder Spreads'!AK20:AK39)-2*SUMPRODUCT('Feeder Spreads'!AK20:AK39,'Feeder Spreads'!AK21:AK40)+SUMSQ('Feeder Spreads'!AK21:AK40)-('Feeder Spreads'!AK20-'Feeder Spreads'!AK40)^2/20)/19),"")</f>
        <v>0</v>
      </c>
      <c r="EY20">
        <f>IFERROR('Feeder Spreads'!AQ20,"")</f>
        <v>0</v>
      </c>
      <c r="EZ20">
        <f>IFERROR(('Feeder Spreads'!AR20-AVERAGE('Feeder Spreads'!$AR$3:$AR$4308))/STDEV('Feeder Spreads'!$AR$3:$AR$4308),"")</f>
        <v>-9.2057461789832332E-2</v>
      </c>
      <c r="FA20">
        <f>IFERROR('Feeder Spreads'!AR20-'Feeder Spreads'!AR25,"")</f>
        <v>0</v>
      </c>
      <c r="FB20">
        <f>IFERROR('Feeder Spreads'!AR20-'Feeder Spreads'!AR30,"")</f>
        <v>0</v>
      </c>
      <c r="FC20">
        <f>IFERROR(AVERAGE('Feeder Spreads'!AR20:AR39)+2*STDEV('Feeder Spreads'!AR20:AR39),"")</f>
        <v>0</v>
      </c>
      <c r="FD20">
        <f>IFERROR(AVERAGE('Feeder Spreads'!AR20:AR39)-2*STDEV('Feeder Spreads'!AR20:AR39),"")</f>
        <v>0</v>
      </c>
      <c r="FE20" t="str">
        <f>IFERROR(('Feeder Spreads'!AR20-(AVERAGE('Feeder Spreads'!AR20:AR39)-2*STDEV('Feeder Spreads'!AR20:AR39)))/(4*STDEV('Feeder Spreads'!AR20:AR39)),"")</f>
        <v/>
      </c>
      <c r="FF20" t="str">
        <f>IFERROR(4*STDEV('Feeder Spreads'!AR20:AR39)/AVERAGE('Feeder Spreads'!AR20:AR39),"")</f>
        <v/>
      </c>
      <c r="FG20">
        <v>57.451599999999999</v>
      </c>
      <c r="FH20">
        <f>IFERROR(SQRT((SUMSQ('Feeder Spreads'!AR20:AR39)-2*SUMPRODUCT('Feeder Spreads'!AR20:AR39,'Feeder Spreads'!AR21:AR40)+SUMSQ('Feeder Spreads'!AR21:AR40)-('Feeder Spreads'!AR20-'Feeder Spreads'!AR40)^2/20)/19),"")</f>
        <v>0</v>
      </c>
      <c r="FJ20">
        <f>IFERROR('Fat Spreads'!AX20,"")</f>
        <v>0</v>
      </c>
      <c r="FK20">
        <f>IFERROR(('Fat Spreads'!AY20-AVERAGE('Fat Spreads'!$AY$3:$AY$4308))/STDEV('Fat Spreads'!$AY$3:$AY$4308),"")</f>
        <v>9.2057461789832332E-2</v>
      </c>
      <c r="FL20">
        <f>IFERROR('Fat Spreads'!AY20-'Fat Spreads'!AY25,"")</f>
        <v>0</v>
      </c>
      <c r="FM20">
        <f>IFERROR('Fat Spreads'!AY20-'Fat Spreads'!AY30,"")</f>
        <v>0</v>
      </c>
      <c r="FN20">
        <f>IFERROR(AVERAGE('Fat Spreads'!AY20:AY39)+2*STDEV('Fat Spreads'!AY20:AY39),"")</f>
        <v>0</v>
      </c>
      <c r="FO20">
        <f>IFERROR(AVERAGE('Fat Spreads'!AY20:AY39)-2*STDEV('Fat Spreads'!AY20:AY39),"")</f>
        <v>0</v>
      </c>
      <c r="FP20" t="str">
        <f>IFERROR(('Fat Spreads'!AY20-(AVERAGE('Fat Spreads'!AY20:AY39)-2*STDEV('Fat Spreads'!AY20:AY39)))/(4*STDEV('Fat Spreads'!AY20:AY39)),"")</f>
        <v/>
      </c>
      <c r="FQ20" t="str">
        <f>IFERROR(4*STDEV('Fat Spreads'!AY20:AY39)/AVERAGE('Fat Spreads'!AY20:AY39),"")</f>
        <v/>
      </c>
      <c r="FR20">
        <v>25.182200000000002</v>
      </c>
      <c r="FS20">
        <f>IFERROR(SQRT((SUMSQ('Fat Spreads'!AY20:AY39)-2*SUMPRODUCT('Fat Spreads'!AY20:AY39,'Fat Spreads'!AY21:AY40)+SUMSQ('Fat Spreads'!AY21:AY40)-('Fat Spreads'!AY20-'Fat Spreads'!AY40)^2/20)/19),"")</f>
        <v>0</v>
      </c>
      <c r="FU20">
        <f>IFERROR('Fat Spreads'!BE20,"")</f>
        <v>0</v>
      </c>
      <c r="FV20">
        <f>IFERROR(('Fat Spreads'!BF20-AVERAGE('Fat Spreads'!$BF$3:$BF$4308))/STDEV('Fat Spreads'!$BF$3:$BF$4308),"")</f>
        <v>9.2057461789832332E-2</v>
      </c>
      <c r="FW20">
        <f>IFERROR('Fat Spreads'!BF20-'Fat Spreads'!BF25,"")</f>
        <v>0</v>
      </c>
      <c r="FX20">
        <f>IFERROR('Fat Spreads'!BF20-'Fat Spreads'!BF30,"")</f>
        <v>0</v>
      </c>
      <c r="FY20">
        <f>IFERROR(AVERAGE('Fat Spreads'!BF20:BF39)+2*STDEV('Fat Spreads'!BF20:BF39),"")</f>
        <v>0</v>
      </c>
      <c r="FZ20">
        <f>IFERROR(AVERAGE('Fat Spreads'!BF20:BF39)-2*STDEV('Fat Spreads'!BF20:BF39),"")</f>
        <v>0</v>
      </c>
      <c r="GA20" t="str">
        <f>IFERROR(('Fat Spreads'!BF20-(AVERAGE('Fat Spreads'!BF20:BF39)-2*STDEV('Fat Spreads'!BF20:BF39)))/(4*STDEV('Fat Spreads'!BF20:BF39)),"")</f>
        <v/>
      </c>
      <c r="GB20" t="str">
        <f>IFERROR(4*STDEV('Fat Spreads'!BF20:BF39)/AVERAGE('Fat Spreads'!BF20:BF39),"")</f>
        <v/>
      </c>
      <c r="GC20">
        <v>68.7744</v>
      </c>
      <c r="GD20">
        <f>IFERROR(SQRT((SUMSQ('Fat Spreads'!BF20:BF39)-2*SUMPRODUCT('Fat Spreads'!BF20:BF39,'Fat Spreads'!BF21:BF40)+SUMSQ('Fat Spreads'!BF21:BF40)-('Fat Spreads'!BF20-'Fat Spreads'!BF40)^2/20)/19),"")</f>
        <v>0</v>
      </c>
    </row>
    <row r="21" spans="1:186" x14ac:dyDescent="0.25">
      <c r="A21">
        <f>IFERROR('Fat Spreads'!A21,"")</f>
        <v>0</v>
      </c>
      <c r="B21">
        <f>IFERROR(('Fat Spreads'!B21-AVERAGE('Fat Spreads'!$B$3:$B$4308))/STDEV('Fat Spreads'!$B$3:$B$4308),"")</f>
        <v>9.2057461789832346E-2</v>
      </c>
      <c r="C21">
        <f>IFERROR('Fat Spreads'!B21-'Fat Spreads'!B26,"")</f>
        <v>0</v>
      </c>
      <c r="D21">
        <f>IFERROR('Fat Spreads'!B21-'Fat Spreads'!B31,"")</f>
        <v>0</v>
      </c>
      <c r="E21">
        <f>IFERROR(AVERAGE('Fat Spreads'!B21:B40)+2*STDEV('Fat Spreads'!B21:B40),"")</f>
        <v>0</v>
      </c>
      <c r="F21">
        <f>IFERROR(AVERAGE('Fat Spreads'!B21:B40)-2*STDEV('Fat Spreads'!B21:B40),"")</f>
        <v>0</v>
      </c>
      <c r="G21" t="str">
        <f>IFERROR(('Fat Spreads'!B21-(AVERAGE('Fat Spreads'!B21:B40)-2*STDEV('Fat Spreads'!B21:B40)))/(4*STDEV('Fat Spreads'!B21:B40)),"")</f>
        <v/>
      </c>
      <c r="H21" t="str">
        <f>IFERROR(4*STDEV('Fat Spreads'!B21:B40)/AVERAGE('Fat Spreads'!B21:B40),"")</f>
        <v/>
      </c>
      <c r="I21">
        <v>58.345999999999997</v>
      </c>
      <c r="J21">
        <f>IFERROR(SQRT((SUMSQ('Fat Spreads'!B21:B40)-2*SUMPRODUCT('Fat Spreads'!B21:B40,'Fat Spreads'!B22:B41)+SUMSQ('Fat Spreads'!B22:B41)-('Fat Spreads'!B21-'Fat Spreads'!B41)^2/20)/19),"")</f>
        <v>0</v>
      </c>
      <c r="L21">
        <f>IFERROR('Fat Spreads'!H21,"")</f>
        <v>0</v>
      </c>
      <c r="M21">
        <f>IFERROR(('Fat Spreads'!I21-AVERAGE('Fat Spreads'!$I$3:$I$4308))/STDEV('Fat Spreads'!$I$3:$I$4308),"")</f>
        <v>-9.2057461789832332E-2</v>
      </c>
      <c r="N21">
        <f>IFERROR('Fat Spreads'!I21-'Fat Spreads'!I26,"")</f>
        <v>0</v>
      </c>
      <c r="O21">
        <f>IFERROR('Fat Spreads'!I21-'Fat Spreads'!I31,"")</f>
        <v>0</v>
      </c>
      <c r="P21">
        <f>IFERROR(AVERAGE('Fat Spreads'!I21:I40)+2*STDEV('Fat Spreads'!I21:I40),"")</f>
        <v>0</v>
      </c>
      <c r="Q21">
        <f>IFERROR(AVERAGE('Fat Spreads'!I21:I40)-2*STDEV('Fat Spreads'!I21:I40),"")</f>
        <v>0</v>
      </c>
      <c r="R21" t="str">
        <f>IFERROR(('Fat Spreads'!I21-(AVERAGE('Fat Spreads'!I21:I40)-2*STDEV('Fat Spreads'!I21:I40)))/(4*STDEV('Fat Spreads'!I21:I40)),"")</f>
        <v/>
      </c>
      <c r="S21" t="str">
        <f>IFERROR(4*STDEV('Fat Spreads'!I21:I40)/AVERAGE('Fat Spreads'!I21:I40),"")</f>
        <v/>
      </c>
      <c r="T21">
        <v>64.084500000000006</v>
      </c>
      <c r="U21">
        <f>IFERROR(SQRT((SUMSQ('Fat Spreads'!I21:I40)-2*SUMPRODUCT('Fat Spreads'!I21:I40,'Fat Spreads'!I22:I41)+SUMSQ('Fat Spreads'!I22:I41)-('Fat Spreads'!I21-'Fat Spreads'!I41)^2/20)/19),"")</f>
        <v>0</v>
      </c>
      <c r="W21">
        <f>IFERROR('Fat Spreads'!AQ21,"")</f>
        <v>0</v>
      </c>
      <c r="X21">
        <f>IFERROR(('Fat Spreads'!AR21-AVERAGE('Fat Spreads'!$AR$3:$AR$4308))/STDEV('Fat Spreads'!$AR$3:$AR$4308),"")</f>
        <v>-9.2057461789832346E-2</v>
      </c>
      <c r="Y21">
        <f>IFERROR('Fat Spreads'!AR21-'Fat Spreads'!AR26,"")</f>
        <v>0</v>
      </c>
      <c r="Z21">
        <f>IFERROR('Fat Spreads'!AR21-'Fat Spreads'!AR31,"")</f>
        <v>0</v>
      </c>
      <c r="AA21">
        <f>IFERROR(AVERAGE('Fat Spreads'!AR21:AR40)+2*STDEV('Fat Spreads'!AR21:AR40),"")</f>
        <v>0</v>
      </c>
      <c r="AB21">
        <f>IFERROR(AVERAGE('Fat Spreads'!AR21:AR40)-2*STDEV('Fat Spreads'!AR21:AR40),"")</f>
        <v>0</v>
      </c>
      <c r="AC21" t="str">
        <f>IFERROR(('Fat Spreads'!AR21-(AVERAGE('Fat Spreads'!AR21:AR40)-2*STDEV('Fat Spreads'!AR21:AR40)))/(4*STDEV('Fat Spreads'!AR21:AR40)),"")</f>
        <v/>
      </c>
      <c r="AD21" t="str">
        <f>IFERROR(4*STDEV('Fat Spreads'!AR21:AR40)/AVERAGE('Fat Spreads'!AR21:AR40),"")</f>
        <v/>
      </c>
      <c r="AE21">
        <v>64.802000000000007</v>
      </c>
      <c r="AF21">
        <f>IFERROR(SQRT((SUMSQ('Fat Spreads'!AR21:AR40)-2*SUMPRODUCT('Fat Spreads'!AR21:AR40,'Fat Spreads'!AR22:AR41)+SUMSQ('Fat Spreads'!AR22:AR41)-('Fat Spreads'!AR21-'Fat Spreads'!AR41)^2/20)/19),"")</f>
        <v>0</v>
      </c>
      <c r="AH21">
        <f>IFERROR('Fat Spreads'!O21,"")</f>
        <v>0</v>
      </c>
      <c r="AI21">
        <f>IFERROR(('Fat Spreads'!P21-AVERAGE('Fat Spreads'!$P$3:$P$4308))/STDEV('Fat Spreads'!$P$3:$P$4308),"")</f>
        <v>-9.2057461789832332E-2</v>
      </c>
      <c r="AJ21">
        <f>IFERROR('Fat Spreads'!P21-'Fat Spreads'!P26,"")</f>
        <v>0</v>
      </c>
      <c r="AK21">
        <f>IFERROR('Fat Spreads'!P21-'Fat Spreads'!P31,"")</f>
        <v>0</v>
      </c>
      <c r="AL21">
        <f>IFERROR(AVERAGE('Fat Spreads'!P21:P40)+2*STDEV('Fat Spreads'!P21:P40),"")</f>
        <v>0</v>
      </c>
      <c r="AM21">
        <f>IFERROR(AVERAGE('Fat Spreads'!P21:P40)-2*STDEV('Fat Spreads'!P21:P40),"")</f>
        <v>0</v>
      </c>
      <c r="AN21" t="str">
        <f>IFERROR(('Fat Spreads'!P21-(AVERAGE('Fat Spreads'!P21:P40)-2*STDEV('Fat Spreads'!P21:P40)))/(4*STDEV('Fat Spreads'!P21:P40)),"")</f>
        <v/>
      </c>
      <c r="AO21" t="str">
        <f>IFERROR(4*STDEV('Fat Spreads'!P21:P40)/AVERAGE('Fat Spreads'!P21:P40),"")</f>
        <v/>
      </c>
      <c r="AP21">
        <v>63.4756</v>
      </c>
      <c r="AQ21">
        <f>IFERROR(SQRT((SUMSQ('Fat Spreads'!P21:P40)-2*SUMPRODUCT('Fat Spreads'!P21:P40,'Fat Spreads'!P22:P41)+SUMSQ('Fat Spreads'!P22:P41)-('Fat Spreads'!P21-'Fat Spreads'!P41)^2/20)/19),"")</f>
        <v>0</v>
      </c>
      <c r="AS21">
        <f>IFERROR('Fat Spreads'!AJ21,"")</f>
        <v>0</v>
      </c>
      <c r="AT21">
        <f>IFERROR(('Fat Spreads'!AK21-AVERAGE('Fat Spreads'!$AK$3:$AK$4308))/STDEV('Fat Spreads'!$AK$3:$AK$4308),"")</f>
        <v>-9.2057461789832332E-2</v>
      </c>
      <c r="AU21">
        <f>IFERROR('Fat Spreads'!AK21-'Fat Spreads'!AK26,"")</f>
        <v>0</v>
      </c>
      <c r="AV21">
        <f>IFERROR('Fat Spreads'!AK21-'Fat Spreads'!AK31,"")</f>
        <v>0</v>
      </c>
      <c r="AW21">
        <f>IFERROR(AVERAGE('Fat Spreads'!AK21:AK40)+2*STDEV('Fat Spreads'!AK21:AK40),"")</f>
        <v>0</v>
      </c>
      <c r="AX21">
        <f>IFERROR(AVERAGE('Fat Spreads'!AK21:AK40)-2*STDEV('Fat Spreads'!AK21:AK40),"")</f>
        <v>0</v>
      </c>
      <c r="AY21" t="str">
        <f>IFERROR(('Fat Spreads'!AK21-(AVERAGE('Fat Spreads'!AK21:AK40)-2*STDEV('Fat Spreads'!AK21:AK40)))/(4*STDEV('Fat Spreads'!AK21:AK40)),"")</f>
        <v/>
      </c>
      <c r="AZ21" t="str">
        <f>IFERROR(4*STDEV('Fat Spreads'!AK21:AK40)/AVERAGE('Fat Spreads'!AK21:AK40),"")</f>
        <v/>
      </c>
      <c r="BA21">
        <v>25.081600000000002</v>
      </c>
      <c r="BB21">
        <f>IFERROR(SQRT((SUMSQ('Fat Spreads'!AK21:AK40)-2*SUMPRODUCT('Fat Spreads'!AK21:AK40,'Fat Spreads'!AK22:AK41)+SUMSQ('Fat Spreads'!AK22:AK41)-('Fat Spreads'!AK21-'Fat Spreads'!AK41)^2/20)/19),"")</f>
        <v>0</v>
      </c>
      <c r="BD21">
        <f>IFERROR('Fat Spreads'!V21,"")</f>
        <v>0</v>
      </c>
      <c r="BE21">
        <f>IFERROR(('Fat Spreads'!W21-AVERAGE('Fat Spreads'!$W$3:$W$4308))/STDEV('Fat Spreads'!$W$3:$W$4308),"")</f>
        <v>-9.2057461789832332E-2</v>
      </c>
      <c r="BF21">
        <f>IFERROR('Fat Spreads'!W21-'Fat Spreads'!W26,"")</f>
        <v>0</v>
      </c>
      <c r="BG21">
        <f>IFERROR('Fat Spreads'!W21-'Fat Spreads'!W31,"")</f>
        <v>0</v>
      </c>
      <c r="BH21">
        <f>IFERROR(AVERAGE('Fat Spreads'!W21:W40)+2*STDEV('Fat Spreads'!W21:W40),"")</f>
        <v>0</v>
      </c>
      <c r="BI21">
        <f>IFERROR(AVERAGE('Fat Spreads'!W21:W40)-2*STDEV('Fat Spreads'!W21:W40),"")</f>
        <v>0</v>
      </c>
      <c r="BJ21" t="str">
        <f>IFERROR(('Fat Spreads'!W21-(AVERAGE('Fat Spreads'!W21:W40)-2*STDEV('Fat Spreads'!W21:W40)))/(4*STDEV('Fat Spreads'!W21:W40)),"")</f>
        <v/>
      </c>
      <c r="BK21" t="str">
        <f>IFERROR(4*STDEV('Fat Spreads'!W21:W40)/AVERAGE('Fat Spreads'!W21:W40),"")</f>
        <v/>
      </c>
      <c r="BL21">
        <v>63.3795</v>
      </c>
      <c r="BM21">
        <f>IFERROR(SQRT((SUMSQ('Fat Spreads'!W21:W40)-2*SUMPRODUCT('Fat Spreads'!W21:W40,'Fat Spreads'!W22:W41)+SUMSQ('Fat Spreads'!W22:W41)-('Fat Spreads'!W21-'Fat Spreads'!W41)^2/20)/19),"")</f>
        <v>0</v>
      </c>
      <c r="BO21">
        <f>IFERROR('Fat Spreads'!AC21,"")</f>
        <v>0</v>
      </c>
      <c r="BP21">
        <f>IFERROR(('Fat Spreads'!AD21-AVERAGE('Fat Spreads'!$AD$3:$AD$4308))/STDEV('Fat Spreads'!$AD$3:$AD$4308),"")</f>
        <v>-9.2057461789832332E-2</v>
      </c>
      <c r="BQ21">
        <f>IFERROR('Fat Spreads'!AD21-'Fat Spreads'!AD26,"")</f>
        <v>0</v>
      </c>
      <c r="BR21">
        <f>IFERROR('Fat Spreads'!AD21-'Fat Spreads'!AD31,"")</f>
        <v>0</v>
      </c>
      <c r="BS21">
        <f>IFERROR(AVERAGE('Fat Spreads'!AD21:AD40)+2*STDEV('Fat Spreads'!AD21:AD40),"")</f>
        <v>0</v>
      </c>
      <c r="BT21">
        <f>IFERROR(AVERAGE('Fat Spreads'!AD21:AD40)-2*STDEV('Fat Spreads'!AD21:AD40),"")</f>
        <v>0</v>
      </c>
      <c r="BU21" t="str">
        <f>IFERROR(('Fat Spreads'!AD21-(AVERAGE('Fat Spreads'!AD21:AD40)-2*STDEV('Fat Spreads'!AD21:AD40)))/(4*STDEV('Fat Spreads'!AD21:AD40)),"")</f>
        <v/>
      </c>
      <c r="BV21" t="str">
        <f>IFERROR(4*STDEV('Fat Spreads'!AD21:AD40)/AVERAGE('Fat Spreads'!AD21:AD40),"")</f>
        <v/>
      </c>
      <c r="BW21">
        <v>67.853800000000007</v>
      </c>
      <c r="BX21">
        <f>IFERROR(SQRT((SUMSQ('Fat Spreads'!AD21:AD40)-2*SUMPRODUCT('Fat Spreads'!AD21:AD40,'Fat Spreads'!AD22:AD41)+SUMSQ('Fat Spreads'!AD22:AD41)-('Fat Spreads'!AD21-'Fat Spreads'!AD41)^2/20)/19),"")</f>
        <v>0</v>
      </c>
      <c r="BZ21">
        <f>IFERROR('Feeder Spreads'!A21,"")</f>
        <v>0</v>
      </c>
      <c r="CA21">
        <f>IFERROR(('Feeder Spreads'!B21-AVERAGE('Feeder Spreads'!$B$3:$B$4308))/STDEV('Feeder Spreads'!$B$3:$B$4308),"")</f>
        <v>-9.2057461789832346E-2</v>
      </c>
      <c r="CB21">
        <f>IFERROR('Feeder Spreads'!B21-'Feeder Spreads'!B26,"")</f>
        <v>0</v>
      </c>
      <c r="CC21">
        <f>IFERROR('Feeder Spreads'!B21-'Feeder Spreads'!B31,"")</f>
        <v>0</v>
      </c>
      <c r="CD21">
        <f>IFERROR(AVERAGE('Feeder Spreads'!B21:B40)+2*STDEV('Feeder Spreads'!B21:B40),"")</f>
        <v>0</v>
      </c>
      <c r="CE21">
        <f>IFERROR(AVERAGE('Feeder Spreads'!B21:B40)-2*STDEV('Feeder Spreads'!B21:B40),"")</f>
        <v>0</v>
      </c>
      <c r="CF21" t="str">
        <f>IFERROR(('Feeder Spreads'!B21-(AVERAGE('Feeder Spreads'!B21:B40)-2*STDEV('Feeder Spreads'!B21:B40)))/(4*STDEV('Feeder Spreads'!B21:B40)),"")</f>
        <v/>
      </c>
      <c r="CG21" t="str">
        <f>IFERROR(4*STDEV('Feeder Spreads'!B21:B40)/AVERAGE('Feeder Spreads'!B21:B40),"")</f>
        <v/>
      </c>
      <c r="CH21">
        <v>63.4039</v>
      </c>
      <c r="CI21">
        <f>IFERROR(SQRT((SUMSQ('Feeder Spreads'!B21:B40)-2*SUMPRODUCT('Feeder Spreads'!B21:B40,'Feeder Spreads'!B22:B41)+SUMSQ('Feeder Spreads'!B22:B41)-('Feeder Spreads'!B21-'Feeder Spreads'!B41)^2/20)/19),"")</f>
        <v>0</v>
      </c>
      <c r="CK21">
        <f>IFERROR('Feeder Spreads'!AX21,"")</f>
        <v>0</v>
      </c>
      <c r="CL21">
        <f>IFERROR(('Feeder Spreads'!AY21-AVERAGE('Feeder Spreads'!$AY$3:$AY$4308))/STDEV('Feeder Spreads'!$AY$3:$AY$4308),"")</f>
        <v>-9.2057461789832346E-2</v>
      </c>
      <c r="CM21">
        <f>IFERROR('Feeder Spreads'!AY21-'Feeder Spreads'!AY26,"")</f>
        <v>0</v>
      </c>
      <c r="CN21">
        <f>IFERROR('Feeder Spreads'!AY21-'Feeder Spreads'!AY31,"")</f>
        <v>0</v>
      </c>
      <c r="CO21">
        <f>IFERROR(AVERAGE('Feeder Spreads'!AY21:AY40)+2*STDEV('Feeder Spreads'!AY21:AY40),"")</f>
        <v>0</v>
      </c>
      <c r="CP21">
        <f>IFERROR(AVERAGE('Feeder Spreads'!AY21:AY40)-2*STDEV('Feeder Spreads'!AY21:AY40),"")</f>
        <v>0</v>
      </c>
      <c r="CQ21" t="str">
        <f>IFERROR(('Feeder Spreads'!AY21-(AVERAGE('Feeder Spreads'!AY21:AY40)-2*STDEV('Feeder Spreads'!AY21:AY40)))/(4*STDEV('Feeder Spreads'!AY21:AY40)),"")</f>
        <v/>
      </c>
      <c r="CR21" t="str">
        <f>IFERROR(4*STDEV('Feeder Spreads'!AY21:AY40)/AVERAGE('Feeder Spreads'!AY21:AY40),"")</f>
        <v/>
      </c>
      <c r="CS21">
        <v>64.481300000000005</v>
      </c>
      <c r="CT21">
        <f>IFERROR(SQRT((SUMSQ('Feeder Spreads'!AY21:AY40)-2*SUMPRODUCT('Feeder Spreads'!AY21:AY40,'Feeder Spreads'!AY22:AY41)+SUMSQ('Feeder Spreads'!AY22:AY41)-('Feeder Spreads'!AY21-'Feeder Spreads'!AY41)^2/20)/19),"")</f>
        <v>0</v>
      </c>
      <c r="CV21">
        <f>IFERROR('Feeder Spreads'!H21,"")</f>
        <v>0</v>
      </c>
      <c r="CW21">
        <f>IFERROR(('Feeder Spreads'!I21-AVERAGE('Feeder Spreads'!$I$3:$I$4308))/STDEV('Feeder Spreads'!$I$3:$I$4308),"")</f>
        <v>-9.2057461789832332E-2</v>
      </c>
      <c r="CX21">
        <f>IFERROR('Feeder Spreads'!I21-'Feeder Spreads'!I26,"")</f>
        <v>0</v>
      </c>
      <c r="CY21">
        <f>IFERROR('Feeder Spreads'!I21-'Feeder Spreads'!I31,"")</f>
        <v>0</v>
      </c>
      <c r="CZ21">
        <f>IFERROR(AVERAGE('Feeder Spreads'!I21:I40)+2*STDEV('Feeder Spreads'!I21:I40),"")</f>
        <v>0</v>
      </c>
      <c r="DA21">
        <f>IFERROR(AVERAGE('Feeder Spreads'!I21:I40)-2*STDEV('Feeder Spreads'!I21:I40),"")</f>
        <v>0</v>
      </c>
      <c r="DB21" t="str">
        <f>IFERROR(('Feeder Spreads'!I21-(AVERAGE('Feeder Spreads'!I21:I40)-2*STDEV('Feeder Spreads'!I21:I40)))/(4*STDEV('Feeder Spreads'!I21:I40)),"")</f>
        <v/>
      </c>
      <c r="DC21" t="str">
        <f>IFERROR(4*STDEV('Feeder Spreads'!I21:I40)/AVERAGE('Feeder Spreads'!I21:I40),"")</f>
        <v/>
      </c>
      <c r="DD21">
        <v>46.163499999999999</v>
      </c>
      <c r="DE21">
        <f>IFERROR(SQRT((SUMSQ('Feeder Spreads'!I21:I40)-2*SUMPRODUCT('Feeder Spreads'!I21:I40,'Feeder Spreads'!I22:I41)+SUMSQ('Feeder Spreads'!I22:I41)-('Feeder Spreads'!I21-'Feeder Spreads'!I41)^2/20)/19),"")</f>
        <v>0</v>
      </c>
      <c r="DG21">
        <f>IFERROR('Feeder Spreads'!O21,"")</f>
        <v>0</v>
      </c>
      <c r="DH21">
        <f>IFERROR(('Feeder Spreads'!P21-AVERAGE('Feeder Spreads'!$P$3:$P$4308))/STDEV('Feeder Spreads'!$P$3:$P$4308),"")</f>
        <v>-9.2057461789832346E-2</v>
      </c>
      <c r="DI21">
        <f>IFERROR('Feeder Spreads'!P21-'Feeder Spreads'!P26,"")</f>
        <v>0</v>
      </c>
      <c r="DJ21">
        <f>IFERROR('Feeder Spreads'!P21-'Feeder Spreads'!P31,"")</f>
        <v>0</v>
      </c>
      <c r="DK21">
        <f>IFERROR(AVERAGE('Feeder Spreads'!P21:P40)+2*STDEV('Feeder Spreads'!P21:P40),"")</f>
        <v>0</v>
      </c>
      <c r="DL21">
        <f>IFERROR(AVERAGE('Feeder Spreads'!P21:P40)-2*STDEV('Feeder Spreads'!P21:P40),"")</f>
        <v>0</v>
      </c>
      <c r="DM21" t="str">
        <f>IFERROR(('Feeder Spreads'!P21-(AVERAGE('Feeder Spreads'!P21:P40)-2*STDEV('Feeder Spreads'!P21:P40)))/(4*STDEV('Feeder Spreads'!P21:P40)),"")</f>
        <v/>
      </c>
      <c r="DN21" t="str">
        <f>IFERROR(4*STDEV('Feeder Spreads'!P21:P40)/AVERAGE('Feeder Spreads'!P21:P40),"")</f>
        <v/>
      </c>
      <c r="DO21">
        <v>57.676099999999998</v>
      </c>
      <c r="DP21">
        <f>IFERROR(SQRT((SUMSQ('Feeder Spreads'!P21:P40)-2*SUMPRODUCT('Feeder Spreads'!P21:P40,'Feeder Spreads'!P22:P41)+SUMSQ('Feeder Spreads'!P22:P41)-('Feeder Spreads'!P21-'Feeder Spreads'!P41)^2/20)/19),"")</f>
        <v>0</v>
      </c>
      <c r="DR21">
        <f>IFERROR('Feeder Spreads'!V21,"")</f>
        <v>0</v>
      </c>
      <c r="DS21">
        <f>IFERROR(('Feeder Spreads'!W21-AVERAGE('Feeder Spreads'!$W$3:$W$4308))/STDEV('Feeder Spreads'!$W$3:$W$4308),"")</f>
        <v>-9.2057461789832332E-2</v>
      </c>
      <c r="DT21">
        <f>IFERROR('Feeder Spreads'!W21-'Feeder Spreads'!W26,"")</f>
        <v>0</v>
      </c>
      <c r="DU21">
        <f>IFERROR('Feeder Spreads'!W21-'Feeder Spreads'!W31,"")</f>
        <v>0</v>
      </c>
      <c r="DV21">
        <f>IFERROR(AVERAGE('Feeder Spreads'!W21:W40)+2*STDEV('Feeder Spreads'!W21:W40),"")</f>
        <v>0</v>
      </c>
      <c r="DW21">
        <f>IFERROR(AVERAGE('Feeder Spreads'!W21:W40)-2*STDEV('Feeder Spreads'!W21:W40),"")</f>
        <v>0</v>
      </c>
      <c r="DX21" t="str">
        <f>IFERROR(('Feeder Spreads'!W21-(AVERAGE('Feeder Spreads'!W21:W40)-2*STDEV('Feeder Spreads'!W21:W40)))/(4*STDEV('Feeder Spreads'!W21:W40)),"")</f>
        <v/>
      </c>
      <c r="DY21" t="str">
        <f>IFERROR(4*STDEV('Feeder Spreads'!W21:W40)/AVERAGE('Feeder Spreads'!W21:W40),"")</f>
        <v/>
      </c>
      <c r="DZ21">
        <v>23.0685</v>
      </c>
      <c r="EA21">
        <f>IFERROR(SQRT((SUMSQ('Feeder Spreads'!W21:W40)-2*SUMPRODUCT('Feeder Spreads'!W21:W40,'Feeder Spreads'!W22:W41)+SUMSQ('Feeder Spreads'!W22:W41)-('Feeder Spreads'!W21-'Feeder Spreads'!W41)^2/20)/19),"")</f>
        <v>0</v>
      </c>
      <c r="EC21">
        <f>IFERROR('Feeder Spreads'!AC21,"")</f>
        <v>0</v>
      </c>
      <c r="ED21">
        <f>IFERROR(('Feeder Spreads'!AD21-AVERAGE('Feeder Spreads'!$AD$3:$AD$4308))/STDEV('Feeder Spreads'!$AD$3:$AD$4308),"")</f>
        <v>9.2057461789832318E-2</v>
      </c>
      <c r="EE21">
        <f>IFERROR('Feeder Spreads'!AD21-'Feeder Spreads'!AD26,"")</f>
        <v>0</v>
      </c>
      <c r="EF21">
        <f>IFERROR('Feeder Spreads'!AD21-'Feeder Spreads'!AD31,"")</f>
        <v>0</v>
      </c>
      <c r="EG21">
        <f>IFERROR(AVERAGE('Feeder Spreads'!AD21:AD40)+2*STDEV('Feeder Spreads'!AD21:AD40),"")</f>
        <v>0</v>
      </c>
      <c r="EH21">
        <f>IFERROR(AVERAGE('Feeder Spreads'!AD21:AD40)-2*STDEV('Feeder Spreads'!AD21:AD40),"")</f>
        <v>0</v>
      </c>
      <c r="EI21" t="str">
        <f>IFERROR(('Feeder Spreads'!AD21-(AVERAGE('Feeder Spreads'!AD21:AD40)-2*STDEV('Feeder Spreads'!AD21:AD40)))/(4*STDEV('Feeder Spreads'!AD21:AD40)),"")</f>
        <v/>
      </c>
      <c r="EJ21" t="str">
        <f>IFERROR(4*STDEV('Feeder Spreads'!AD21:AD40)/AVERAGE('Feeder Spreads'!AD21:AD40),"")</f>
        <v/>
      </c>
      <c r="EK21">
        <v>48.045400000000001</v>
      </c>
      <c r="EL21">
        <f>IFERROR(SQRT((SUMSQ('Feeder Spreads'!AD21:AD40)-2*SUMPRODUCT('Feeder Spreads'!AD21:AD40,'Feeder Spreads'!AD22:AD41)+SUMSQ('Feeder Spreads'!AD22:AD41)-('Feeder Spreads'!AD21-'Feeder Spreads'!AD41)^2/20)/19),"")</f>
        <v>0</v>
      </c>
      <c r="EN21">
        <f>IFERROR('Feeder Spreads'!AJ21,"")</f>
        <v>0</v>
      </c>
      <c r="EO21">
        <f>IFERROR(('Feeder Spreads'!AK21-AVERAGE('Feeder Spreads'!$AK$3:$AK$4308))/STDEV('Feeder Spreads'!$AK$3:$AK$4308),"")</f>
        <v>-9.2057461789832346E-2</v>
      </c>
      <c r="EP21">
        <f>IFERROR('Feeder Spreads'!AK21-'Feeder Spreads'!AK26,"")</f>
        <v>0</v>
      </c>
      <c r="EQ21">
        <f>IFERROR('Feeder Spreads'!AK21-'Feeder Spreads'!AK31,"")</f>
        <v>0</v>
      </c>
      <c r="ER21">
        <f>IFERROR(AVERAGE('Feeder Spreads'!AK21:AK40)+2*STDEV('Feeder Spreads'!AK21:AK40),"")</f>
        <v>0</v>
      </c>
      <c r="ES21">
        <f>IFERROR(AVERAGE('Feeder Spreads'!AK21:AK40)-2*STDEV('Feeder Spreads'!AK21:AK40),"")</f>
        <v>0</v>
      </c>
      <c r="ET21" t="str">
        <f>IFERROR(('Feeder Spreads'!AK21-(AVERAGE('Feeder Spreads'!AK21:AK40)-2*STDEV('Feeder Spreads'!AK21:AK40)))/(4*STDEV('Feeder Spreads'!AK21:AK40)),"")</f>
        <v/>
      </c>
      <c r="EU21" t="str">
        <f>IFERROR(4*STDEV('Feeder Spreads'!AK21:AK40)/AVERAGE('Feeder Spreads'!AK21:AK40),"")</f>
        <v/>
      </c>
      <c r="EV21">
        <v>49.2849</v>
      </c>
      <c r="EW21">
        <f>IFERROR(SQRT((SUMSQ('Feeder Spreads'!AK21:AK40)-2*SUMPRODUCT('Feeder Spreads'!AK21:AK40,'Feeder Spreads'!AK22:AK41)+SUMSQ('Feeder Spreads'!AK22:AK41)-('Feeder Spreads'!AK21-'Feeder Spreads'!AK41)^2/20)/19),"")</f>
        <v>0</v>
      </c>
      <c r="EY21">
        <f>IFERROR('Feeder Spreads'!AQ21,"")</f>
        <v>0</v>
      </c>
      <c r="EZ21">
        <f>IFERROR(('Feeder Spreads'!AR21-AVERAGE('Feeder Spreads'!$AR$3:$AR$4308))/STDEV('Feeder Spreads'!$AR$3:$AR$4308),"")</f>
        <v>-9.2057461789832332E-2</v>
      </c>
      <c r="FA21">
        <f>IFERROR('Feeder Spreads'!AR21-'Feeder Spreads'!AR26,"")</f>
        <v>0</v>
      </c>
      <c r="FB21">
        <f>IFERROR('Feeder Spreads'!AR21-'Feeder Spreads'!AR31,"")</f>
        <v>0</v>
      </c>
      <c r="FC21">
        <f>IFERROR(AVERAGE('Feeder Spreads'!AR21:AR40)+2*STDEV('Feeder Spreads'!AR21:AR40),"")</f>
        <v>0</v>
      </c>
      <c r="FD21">
        <f>IFERROR(AVERAGE('Feeder Spreads'!AR21:AR40)-2*STDEV('Feeder Spreads'!AR21:AR40),"")</f>
        <v>0</v>
      </c>
      <c r="FE21" t="str">
        <f>IFERROR(('Feeder Spreads'!AR21-(AVERAGE('Feeder Spreads'!AR21:AR40)-2*STDEV('Feeder Spreads'!AR21:AR40)))/(4*STDEV('Feeder Spreads'!AR21:AR40)),"")</f>
        <v/>
      </c>
      <c r="FF21" t="str">
        <f>IFERROR(4*STDEV('Feeder Spreads'!AR21:AR40)/AVERAGE('Feeder Spreads'!AR21:AR40),"")</f>
        <v/>
      </c>
      <c r="FG21">
        <v>56.880499999999998</v>
      </c>
      <c r="FH21">
        <f>IFERROR(SQRT((SUMSQ('Feeder Spreads'!AR21:AR40)-2*SUMPRODUCT('Feeder Spreads'!AR21:AR40,'Feeder Spreads'!AR22:AR41)+SUMSQ('Feeder Spreads'!AR22:AR41)-('Feeder Spreads'!AR21-'Feeder Spreads'!AR41)^2/20)/19),"")</f>
        <v>0</v>
      </c>
      <c r="FJ21">
        <f>IFERROR('Fat Spreads'!AX21,"")</f>
        <v>0</v>
      </c>
      <c r="FK21">
        <f>IFERROR(('Fat Spreads'!AY21-AVERAGE('Fat Spreads'!$AY$3:$AY$4308))/STDEV('Fat Spreads'!$AY$3:$AY$4308),"")</f>
        <v>9.2057461789832332E-2</v>
      </c>
      <c r="FL21">
        <f>IFERROR('Fat Spreads'!AY21-'Fat Spreads'!AY26,"")</f>
        <v>0</v>
      </c>
      <c r="FM21">
        <f>IFERROR('Fat Spreads'!AY21-'Fat Spreads'!AY31,"")</f>
        <v>0</v>
      </c>
      <c r="FN21">
        <f>IFERROR(AVERAGE('Fat Spreads'!AY21:AY40)+2*STDEV('Fat Spreads'!AY21:AY40),"")</f>
        <v>0</v>
      </c>
      <c r="FO21">
        <f>IFERROR(AVERAGE('Fat Spreads'!AY21:AY40)-2*STDEV('Fat Spreads'!AY21:AY40),"")</f>
        <v>0</v>
      </c>
      <c r="FP21" t="str">
        <f>IFERROR(('Fat Spreads'!AY21-(AVERAGE('Fat Spreads'!AY21:AY40)-2*STDEV('Fat Spreads'!AY21:AY40)))/(4*STDEV('Fat Spreads'!AY21:AY40)),"")</f>
        <v/>
      </c>
      <c r="FQ21" t="str">
        <f>IFERROR(4*STDEV('Fat Spreads'!AY21:AY40)/AVERAGE('Fat Spreads'!AY21:AY40),"")</f>
        <v/>
      </c>
      <c r="FR21">
        <v>28.993099999999998</v>
      </c>
      <c r="FS21">
        <f>IFERROR(SQRT((SUMSQ('Fat Spreads'!AY21:AY40)-2*SUMPRODUCT('Fat Spreads'!AY21:AY40,'Fat Spreads'!AY22:AY41)+SUMSQ('Fat Spreads'!AY22:AY41)-('Fat Spreads'!AY21-'Fat Spreads'!AY41)^2/20)/19),"")</f>
        <v>0</v>
      </c>
      <c r="FU21">
        <f>IFERROR('Fat Spreads'!BE21,"")</f>
        <v>0</v>
      </c>
      <c r="FV21">
        <f>IFERROR(('Fat Spreads'!BF21-AVERAGE('Fat Spreads'!$BF$3:$BF$4308))/STDEV('Fat Spreads'!$BF$3:$BF$4308),"")</f>
        <v>9.2057461789832332E-2</v>
      </c>
      <c r="FW21">
        <f>IFERROR('Fat Spreads'!BF21-'Fat Spreads'!BF26,"")</f>
        <v>0</v>
      </c>
      <c r="FX21">
        <f>IFERROR('Fat Spreads'!BF21-'Fat Spreads'!BF31,"")</f>
        <v>0</v>
      </c>
      <c r="FY21">
        <f>IFERROR(AVERAGE('Fat Spreads'!BF21:BF40)+2*STDEV('Fat Spreads'!BF21:BF40),"")</f>
        <v>0</v>
      </c>
      <c r="FZ21">
        <f>IFERROR(AVERAGE('Fat Spreads'!BF21:BF40)-2*STDEV('Fat Spreads'!BF21:BF40),"")</f>
        <v>0</v>
      </c>
      <c r="GA21" t="str">
        <f>IFERROR(('Fat Spreads'!BF21-(AVERAGE('Fat Spreads'!BF21:BF40)-2*STDEV('Fat Spreads'!BF21:BF40)))/(4*STDEV('Fat Spreads'!BF21:BF40)),"")</f>
        <v/>
      </c>
      <c r="GB21" t="str">
        <f>IFERROR(4*STDEV('Fat Spreads'!BF21:BF40)/AVERAGE('Fat Spreads'!BF21:BF40),"")</f>
        <v/>
      </c>
      <c r="GC21">
        <v>65.648600000000002</v>
      </c>
      <c r="GD21">
        <f>IFERROR(SQRT((SUMSQ('Fat Spreads'!BF21:BF40)-2*SUMPRODUCT('Fat Spreads'!BF21:BF40,'Fat Spreads'!BF22:BF41)+SUMSQ('Fat Spreads'!BF22:BF41)-('Fat Spreads'!BF21-'Fat Spreads'!BF41)^2/20)/19),"")</f>
        <v>0</v>
      </c>
    </row>
    <row r="22" spans="1:186" x14ac:dyDescent="0.25">
      <c r="A22">
        <f>IFERROR('Fat Spreads'!A22,"")</f>
        <v>0</v>
      </c>
      <c r="B22">
        <f>IFERROR(('Fat Spreads'!B22-AVERAGE('Fat Spreads'!$B$3:$B$4308))/STDEV('Fat Spreads'!$B$3:$B$4308),"")</f>
        <v>9.2057461789832346E-2</v>
      </c>
      <c r="C22">
        <f>IFERROR('Fat Spreads'!B22-'Fat Spreads'!B27,"")</f>
        <v>0</v>
      </c>
      <c r="D22">
        <f>IFERROR('Fat Spreads'!B22-'Fat Spreads'!B32,"")</f>
        <v>0</v>
      </c>
      <c r="E22">
        <f>IFERROR(AVERAGE('Fat Spreads'!B22:B41)+2*STDEV('Fat Spreads'!B22:B41),"")</f>
        <v>0</v>
      </c>
      <c r="F22">
        <f>IFERROR(AVERAGE('Fat Spreads'!B22:B41)-2*STDEV('Fat Spreads'!B22:B41),"")</f>
        <v>0</v>
      </c>
      <c r="G22" t="str">
        <f>IFERROR(('Fat Spreads'!B22-(AVERAGE('Fat Spreads'!B22:B41)-2*STDEV('Fat Spreads'!B22:B41)))/(4*STDEV('Fat Spreads'!B22:B41)),"")</f>
        <v/>
      </c>
      <c r="H22" t="str">
        <f>IFERROR(4*STDEV('Fat Spreads'!B22:B41)/AVERAGE('Fat Spreads'!B22:B41),"")</f>
        <v/>
      </c>
      <c r="I22">
        <v>63.555399999999999</v>
      </c>
      <c r="J22">
        <f>IFERROR(SQRT((SUMSQ('Fat Spreads'!B22:B41)-2*SUMPRODUCT('Fat Spreads'!B22:B41,'Fat Spreads'!B23:B42)+SUMSQ('Fat Spreads'!B23:B42)-('Fat Spreads'!B22-'Fat Spreads'!B42)^2/20)/19),"")</f>
        <v>0</v>
      </c>
      <c r="L22">
        <f>IFERROR('Fat Spreads'!H22,"")</f>
        <v>0</v>
      </c>
      <c r="M22">
        <f>IFERROR(('Fat Spreads'!I22-AVERAGE('Fat Spreads'!$I$3:$I$4308))/STDEV('Fat Spreads'!$I$3:$I$4308),"")</f>
        <v>-9.2057461789832332E-2</v>
      </c>
      <c r="N22">
        <f>IFERROR('Fat Spreads'!I22-'Fat Spreads'!I27,"")</f>
        <v>0</v>
      </c>
      <c r="O22">
        <f>IFERROR('Fat Spreads'!I22-'Fat Spreads'!I32,"")</f>
        <v>0</v>
      </c>
      <c r="P22">
        <f>IFERROR(AVERAGE('Fat Spreads'!I22:I41)+2*STDEV('Fat Spreads'!I22:I41),"")</f>
        <v>0</v>
      </c>
      <c r="Q22">
        <f>IFERROR(AVERAGE('Fat Spreads'!I22:I41)-2*STDEV('Fat Spreads'!I22:I41),"")</f>
        <v>0</v>
      </c>
      <c r="R22" t="str">
        <f>IFERROR(('Fat Spreads'!I22-(AVERAGE('Fat Spreads'!I22:I41)-2*STDEV('Fat Spreads'!I22:I41)))/(4*STDEV('Fat Spreads'!I22:I41)),"")</f>
        <v/>
      </c>
      <c r="S22" t="str">
        <f>IFERROR(4*STDEV('Fat Spreads'!I22:I41)/AVERAGE('Fat Spreads'!I22:I41),"")</f>
        <v/>
      </c>
      <c r="T22">
        <v>60.1648</v>
      </c>
      <c r="U22">
        <f>IFERROR(SQRT((SUMSQ('Fat Spreads'!I22:I41)-2*SUMPRODUCT('Fat Spreads'!I22:I41,'Fat Spreads'!I23:I42)+SUMSQ('Fat Spreads'!I23:I42)-('Fat Spreads'!I22-'Fat Spreads'!I42)^2/20)/19),"")</f>
        <v>0</v>
      </c>
      <c r="W22">
        <f>IFERROR('Fat Spreads'!AQ22,"")</f>
        <v>0</v>
      </c>
      <c r="X22">
        <f>IFERROR(('Fat Spreads'!AR22-AVERAGE('Fat Spreads'!$AR$3:$AR$4308))/STDEV('Fat Spreads'!$AR$3:$AR$4308),"")</f>
        <v>-9.2057461789832346E-2</v>
      </c>
      <c r="Y22">
        <f>IFERROR('Fat Spreads'!AR22-'Fat Spreads'!AR27,"")</f>
        <v>0</v>
      </c>
      <c r="Z22">
        <f>IFERROR('Fat Spreads'!AR22-'Fat Spreads'!AR32,"")</f>
        <v>0</v>
      </c>
      <c r="AA22">
        <f>IFERROR(AVERAGE('Fat Spreads'!AR22:AR41)+2*STDEV('Fat Spreads'!AR22:AR41),"")</f>
        <v>0</v>
      </c>
      <c r="AB22">
        <f>IFERROR(AVERAGE('Fat Spreads'!AR22:AR41)-2*STDEV('Fat Spreads'!AR22:AR41),"")</f>
        <v>0</v>
      </c>
      <c r="AC22" t="str">
        <f>IFERROR(('Fat Spreads'!AR22-(AVERAGE('Fat Spreads'!AR22:AR41)-2*STDEV('Fat Spreads'!AR22:AR41)))/(4*STDEV('Fat Spreads'!AR22:AR41)),"")</f>
        <v/>
      </c>
      <c r="AD22" t="str">
        <f>IFERROR(4*STDEV('Fat Spreads'!AR22:AR41)/AVERAGE('Fat Spreads'!AR22:AR41),"")</f>
        <v/>
      </c>
      <c r="AE22">
        <v>67.145899999999997</v>
      </c>
      <c r="AF22">
        <f>IFERROR(SQRT((SUMSQ('Fat Spreads'!AR22:AR41)-2*SUMPRODUCT('Fat Spreads'!AR22:AR41,'Fat Spreads'!AR23:AR42)+SUMSQ('Fat Spreads'!AR23:AR42)-('Fat Spreads'!AR22-'Fat Spreads'!AR42)^2/20)/19),"")</f>
        <v>0</v>
      </c>
      <c r="AH22">
        <f>IFERROR('Fat Spreads'!O22,"")</f>
        <v>0</v>
      </c>
      <c r="AI22">
        <f>IFERROR(('Fat Spreads'!P22-AVERAGE('Fat Spreads'!$P$3:$P$4308))/STDEV('Fat Spreads'!$P$3:$P$4308),"")</f>
        <v>-9.2057461789832332E-2</v>
      </c>
      <c r="AJ22">
        <f>IFERROR('Fat Spreads'!P22-'Fat Spreads'!P27,"")</f>
        <v>0</v>
      </c>
      <c r="AK22">
        <f>IFERROR('Fat Spreads'!P22-'Fat Spreads'!P32,"")</f>
        <v>0</v>
      </c>
      <c r="AL22">
        <f>IFERROR(AVERAGE('Fat Spreads'!P22:P41)+2*STDEV('Fat Spreads'!P22:P41),"")</f>
        <v>0</v>
      </c>
      <c r="AM22">
        <f>IFERROR(AVERAGE('Fat Spreads'!P22:P41)-2*STDEV('Fat Spreads'!P22:P41),"")</f>
        <v>0</v>
      </c>
      <c r="AN22" t="str">
        <f>IFERROR(('Fat Spreads'!P22-(AVERAGE('Fat Spreads'!P22:P41)-2*STDEV('Fat Spreads'!P22:P41)))/(4*STDEV('Fat Spreads'!P22:P41)),"")</f>
        <v/>
      </c>
      <c r="AO22" t="str">
        <f>IFERROR(4*STDEV('Fat Spreads'!P22:P41)/AVERAGE('Fat Spreads'!P22:P41),"")</f>
        <v/>
      </c>
      <c r="AP22">
        <v>63.908099999999997</v>
      </c>
      <c r="AQ22">
        <f>IFERROR(SQRT((SUMSQ('Fat Spreads'!P22:P41)-2*SUMPRODUCT('Fat Spreads'!P22:P41,'Fat Spreads'!P23:P42)+SUMSQ('Fat Spreads'!P23:P42)-('Fat Spreads'!P22-'Fat Spreads'!P42)^2/20)/19),"")</f>
        <v>0</v>
      </c>
      <c r="AS22">
        <f>IFERROR('Fat Spreads'!AJ22,"")</f>
        <v>0</v>
      </c>
      <c r="AT22">
        <f>IFERROR(('Fat Spreads'!AK22-AVERAGE('Fat Spreads'!$AK$3:$AK$4308))/STDEV('Fat Spreads'!$AK$3:$AK$4308),"")</f>
        <v>-9.2057461789832332E-2</v>
      </c>
      <c r="AU22">
        <f>IFERROR('Fat Spreads'!AK22-'Fat Spreads'!AK27,"")</f>
        <v>0</v>
      </c>
      <c r="AV22">
        <f>IFERROR('Fat Spreads'!AK22-'Fat Spreads'!AK32,"")</f>
        <v>0</v>
      </c>
      <c r="AW22">
        <f>IFERROR(AVERAGE('Fat Spreads'!AK22:AK41)+2*STDEV('Fat Spreads'!AK22:AK41),"")</f>
        <v>0</v>
      </c>
      <c r="AX22">
        <f>IFERROR(AVERAGE('Fat Spreads'!AK22:AK41)-2*STDEV('Fat Spreads'!AK22:AK41),"")</f>
        <v>0</v>
      </c>
      <c r="AY22" t="str">
        <f>IFERROR(('Fat Spreads'!AK22-(AVERAGE('Fat Spreads'!AK22:AK41)-2*STDEV('Fat Spreads'!AK22:AK41)))/(4*STDEV('Fat Spreads'!AK22:AK41)),"")</f>
        <v/>
      </c>
      <c r="AZ22" t="str">
        <f>IFERROR(4*STDEV('Fat Spreads'!AK22:AK41)/AVERAGE('Fat Spreads'!AK22:AK41),"")</f>
        <v/>
      </c>
      <c r="BA22">
        <v>23.5745</v>
      </c>
      <c r="BB22">
        <f>IFERROR(SQRT((SUMSQ('Fat Spreads'!AK22:AK41)-2*SUMPRODUCT('Fat Spreads'!AK22:AK41,'Fat Spreads'!AK23:AK42)+SUMSQ('Fat Spreads'!AK23:AK42)-('Fat Spreads'!AK22-'Fat Spreads'!AK42)^2/20)/19),"")</f>
        <v>0</v>
      </c>
      <c r="BD22">
        <f>IFERROR('Fat Spreads'!V22,"")</f>
        <v>0</v>
      </c>
      <c r="BE22">
        <f>IFERROR(('Fat Spreads'!W22-AVERAGE('Fat Spreads'!$W$3:$W$4308))/STDEV('Fat Spreads'!$W$3:$W$4308),"")</f>
        <v>-9.2057461789832332E-2</v>
      </c>
      <c r="BF22">
        <f>IFERROR('Fat Spreads'!W22-'Fat Spreads'!W27,"")</f>
        <v>0</v>
      </c>
      <c r="BG22">
        <f>IFERROR('Fat Spreads'!W22-'Fat Spreads'!W32,"")</f>
        <v>0</v>
      </c>
      <c r="BH22">
        <f>IFERROR(AVERAGE('Fat Spreads'!W22:W41)+2*STDEV('Fat Spreads'!W22:W41),"")</f>
        <v>0</v>
      </c>
      <c r="BI22">
        <f>IFERROR(AVERAGE('Fat Spreads'!W22:W41)-2*STDEV('Fat Spreads'!W22:W41),"")</f>
        <v>0</v>
      </c>
      <c r="BJ22" t="str">
        <f>IFERROR(('Fat Spreads'!W22-(AVERAGE('Fat Spreads'!W22:W41)-2*STDEV('Fat Spreads'!W22:W41)))/(4*STDEV('Fat Spreads'!W22:W41)),"")</f>
        <v/>
      </c>
      <c r="BK22" t="str">
        <f>IFERROR(4*STDEV('Fat Spreads'!W22:W41)/AVERAGE('Fat Spreads'!W22:W41),"")</f>
        <v/>
      </c>
      <c r="BL22">
        <v>69.051400000000001</v>
      </c>
      <c r="BM22">
        <f>IFERROR(SQRT((SUMSQ('Fat Spreads'!W22:W41)-2*SUMPRODUCT('Fat Spreads'!W22:W41,'Fat Spreads'!W23:W42)+SUMSQ('Fat Spreads'!W23:W42)-('Fat Spreads'!W22-'Fat Spreads'!W42)^2/20)/19),"")</f>
        <v>0</v>
      </c>
      <c r="BO22">
        <f>IFERROR('Fat Spreads'!AC22,"")</f>
        <v>0</v>
      </c>
      <c r="BP22">
        <f>IFERROR(('Fat Spreads'!AD22-AVERAGE('Fat Spreads'!$AD$3:$AD$4308))/STDEV('Fat Spreads'!$AD$3:$AD$4308),"")</f>
        <v>-9.2057461789832332E-2</v>
      </c>
      <c r="BQ22">
        <f>IFERROR('Fat Spreads'!AD22-'Fat Spreads'!AD27,"")</f>
        <v>0</v>
      </c>
      <c r="BR22">
        <f>IFERROR('Fat Spreads'!AD22-'Fat Spreads'!AD32,"")</f>
        <v>0</v>
      </c>
      <c r="BS22">
        <f>IFERROR(AVERAGE('Fat Spreads'!AD22:AD41)+2*STDEV('Fat Spreads'!AD22:AD41),"")</f>
        <v>0</v>
      </c>
      <c r="BT22">
        <f>IFERROR(AVERAGE('Fat Spreads'!AD22:AD41)-2*STDEV('Fat Spreads'!AD22:AD41),"")</f>
        <v>0</v>
      </c>
      <c r="BU22" t="str">
        <f>IFERROR(('Fat Spreads'!AD22-(AVERAGE('Fat Spreads'!AD22:AD41)-2*STDEV('Fat Spreads'!AD22:AD41)))/(4*STDEV('Fat Spreads'!AD22:AD41)),"")</f>
        <v/>
      </c>
      <c r="BV22" t="str">
        <f>IFERROR(4*STDEV('Fat Spreads'!AD22:AD41)/AVERAGE('Fat Spreads'!AD22:AD41),"")</f>
        <v/>
      </c>
      <c r="BW22">
        <v>66.900700000000001</v>
      </c>
      <c r="BX22">
        <f>IFERROR(SQRT((SUMSQ('Fat Spreads'!AD22:AD41)-2*SUMPRODUCT('Fat Spreads'!AD22:AD41,'Fat Spreads'!AD23:AD42)+SUMSQ('Fat Spreads'!AD23:AD42)-('Fat Spreads'!AD22-'Fat Spreads'!AD42)^2/20)/19),"")</f>
        <v>0</v>
      </c>
      <c r="BZ22">
        <f>IFERROR('Feeder Spreads'!A22,"")</f>
        <v>0</v>
      </c>
      <c r="CA22">
        <f>IFERROR(('Feeder Spreads'!B22-AVERAGE('Feeder Spreads'!$B$3:$B$4308))/STDEV('Feeder Spreads'!$B$3:$B$4308),"")</f>
        <v>-9.2057461789832346E-2</v>
      </c>
      <c r="CB22">
        <f>IFERROR('Feeder Spreads'!B22-'Feeder Spreads'!B27,"")</f>
        <v>0</v>
      </c>
      <c r="CC22">
        <f>IFERROR('Feeder Spreads'!B22-'Feeder Spreads'!B32,"")</f>
        <v>0</v>
      </c>
      <c r="CD22">
        <f>IFERROR(AVERAGE('Feeder Spreads'!B22:B41)+2*STDEV('Feeder Spreads'!B22:B41),"")</f>
        <v>0</v>
      </c>
      <c r="CE22">
        <f>IFERROR(AVERAGE('Feeder Spreads'!B22:B41)-2*STDEV('Feeder Spreads'!B22:B41),"")</f>
        <v>0</v>
      </c>
      <c r="CF22" t="str">
        <f>IFERROR(('Feeder Spreads'!B22-(AVERAGE('Feeder Spreads'!B22:B41)-2*STDEV('Feeder Spreads'!B22:B41)))/(4*STDEV('Feeder Spreads'!B22:B41)),"")</f>
        <v/>
      </c>
      <c r="CG22" t="str">
        <f>IFERROR(4*STDEV('Feeder Spreads'!B22:B41)/AVERAGE('Feeder Spreads'!B22:B41),"")</f>
        <v/>
      </c>
      <c r="CH22">
        <v>62.448799999999999</v>
      </c>
      <c r="CI22">
        <f>IFERROR(SQRT((SUMSQ('Feeder Spreads'!B22:B41)-2*SUMPRODUCT('Feeder Spreads'!B22:B41,'Feeder Spreads'!B23:B42)+SUMSQ('Feeder Spreads'!B23:B42)-('Feeder Spreads'!B22-'Feeder Spreads'!B42)^2/20)/19),"")</f>
        <v>0</v>
      </c>
      <c r="CK22">
        <f>IFERROR('Feeder Spreads'!AX22,"")</f>
        <v>0</v>
      </c>
      <c r="CL22">
        <f>IFERROR(('Feeder Spreads'!AY22-AVERAGE('Feeder Spreads'!$AY$3:$AY$4308))/STDEV('Feeder Spreads'!$AY$3:$AY$4308),"")</f>
        <v>-9.2057461789832346E-2</v>
      </c>
      <c r="CM22">
        <f>IFERROR('Feeder Spreads'!AY22-'Feeder Spreads'!AY27,"")</f>
        <v>0</v>
      </c>
      <c r="CN22">
        <f>IFERROR('Feeder Spreads'!AY22-'Feeder Spreads'!AY32,"")</f>
        <v>0</v>
      </c>
      <c r="CO22">
        <f>IFERROR(AVERAGE('Feeder Spreads'!AY22:AY41)+2*STDEV('Feeder Spreads'!AY22:AY41),"")</f>
        <v>0</v>
      </c>
      <c r="CP22">
        <f>IFERROR(AVERAGE('Feeder Spreads'!AY22:AY41)-2*STDEV('Feeder Spreads'!AY22:AY41),"")</f>
        <v>0</v>
      </c>
      <c r="CQ22" t="str">
        <f>IFERROR(('Feeder Spreads'!AY22-(AVERAGE('Feeder Spreads'!AY22:AY41)-2*STDEV('Feeder Spreads'!AY22:AY41)))/(4*STDEV('Feeder Spreads'!AY22:AY41)),"")</f>
        <v/>
      </c>
      <c r="CR22" t="str">
        <f>IFERROR(4*STDEV('Feeder Spreads'!AY22:AY41)/AVERAGE('Feeder Spreads'!AY22:AY41),"")</f>
        <v/>
      </c>
      <c r="CS22">
        <v>65.3035</v>
      </c>
      <c r="CT22">
        <f>IFERROR(SQRT((SUMSQ('Feeder Spreads'!AY22:AY41)-2*SUMPRODUCT('Feeder Spreads'!AY22:AY41,'Feeder Spreads'!AY23:AY42)+SUMSQ('Feeder Spreads'!AY23:AY42)-('Feeder Spreads'!AY22-'Feeder Spreads'!AY42)^2/20)/19),"")</f>
        <v>0</v>
      </c>
      <c r="CV22">
        <f>IFERROR('Feeder Spreads'!H22,"")</f>
        <v>0</v>
      </c>
      <c r="CW22">
        <f>IFERROR(('Feeder Spreads'!I22-AVERAGE('Feeder Spreads'!$I$3:$I$4308))/STDEV('Feeder Spreads'!$I$3:$I$4308),"")</f>
        <v>-9.2057461789832332E-2</v>
      </c>
      <c r="CX22">
        <f>IFERROR('Feeder Spreads'!I22-'Feeder Spreads'!I27,"")</f>
        <v>0</v>
      </c>
      <c r="CY22">
        <f>IFERROR('Feeder Spreads'!I22-'Feeder Spreads'!I32,"")</f>
        <v>0</v>
      </c>
      <c r="CZ22">
        <f>IFERROR(AVERAGE('Feeder Spreads'!I22:I41)+2*STDEV('Feeder Spreads'!I22:I41),"")</f>
        <v>0</v>
      </c>
      <c r="DA22">
        <f>IFERROR(AVERAGE('Feeder Spreads'!I22:I41)-2*STDEV('Feeder Spreads'!I22:I41),"")</f>
        <v>0</v>
      </c>
      <c r="DB22" t="str">
        <f>IFERROR(('Feeder Spreads'!I22-(AVERAGE('Feeder Spreads'!I22:I41)-2*STDEV('Feeder Spreads'!I22:I41)))/(4*STDEV('Feeder Spreads'!I22:I41)),"")</f>
        <v/>
      </c>
      <c r="DC22" t="str">
        <f>IFERROR(4*STDEV('Feeder Spreads'!I22:I41)/AVERAGE('Feeder Spreads'!I22:I41),"")</f>
        <v/>
      </c>
      <c r="DD22">
        <v>42.997</v>
      </c>
      <c r="DE22">
        <f>IFERROR(SQRT((SUMSQ('Feeder Spreads'!I22:I41)-2*SUMPRODUCT('Feeder Spreads'!I22:I41,'Feeder Spreads'!I23:I42)+SUMSQ('Feeder Spreads'!I23:I42)-('Feeder Spreads'!I22-'Feeder Spreads'!I42)^2/20)/19),"")</f>
        <v>0</v>
      </c>
      <c r="DG22">
        <f>IFERROR('Feeder Spreads'!O22,"")</f>
        <v>0</v>
      </c>
      <c r="DH22">
        <f>IFERROR(('Feeder Spreads'!P22-AVERAGE('Feeder Spreads'!$P$3:$P$4308))/STDEV('Feeder Spreads'!$P$3:$P$4308),"")</f>
        <v>-9.2057461789832346E-2</v>
      </c>
      <c r="DI22">
        <f>IFERROR('Feeder Spreads'!P22-'Feeder Spreads'!P27,"")</f>
        <v>0</v>
      </c>
      <c r="DJ22">
        <f>IFERROR('Feeder Spreads'!P22-'Feeder Spreads'!P32,"")</f>
        <v>0</v>
      </c>
      <c r="DK22">
        <f>IFERROR(AVERAGE('Feeder Spreads'!P22:P41)+2*STDEV('Feeder Spreads'!P22:P41),"")</f>
        <v>0</v>
      </c>
      <c r="DL22">
        <f>IFERROR(AVERAGE('Feeder Spreads'!P22:P41)-2*STDEV('Feeder Spreads'!P22:P41),"")</f>
        <v>0</v>
      </c>
      <c r="DM22" t="str">
        <f>IFERROR(('Feeder Spreads'!P22-(AVERAGE('Feeder Spreads'!P22:P41)-2*STDEV('Feeder Spreads'!P22:P41)))/(4*STDEV('Feeder Spreads'!P22:P41)),"")</f>
        <v/>
      </c>
      <c r="DN22" t="str">
        <f>IFERROR(4*STDEV('Feeder Spreads'!P22:P41)/AVERAGE('Feeder Spreads'!P22:P41),"")</f>
        <v/>
      </c>
      <c r="DO22">
        <v>60.116399999999999</v>
      </c>
      <c r="DP22">
        <f>IFERROR(SQRT((SUMSQ('Feeder Spreads'!P22:P41)-2*SUMPRODUCT('Feeder Spreads'!P22:P41,'Feeder Spreads'!P23:P42)+SUMSQ('Feeder Spreads'!P23:P42)-('Feeder Spreads'!P22-'Feeder Spreads'!P42)^2/20)/19),"")</f>
        <v>0</v>
      </c>
      <c r="DR22">
        <f>IFERROR('Feeder Spreads'!V22,"")</f>
        <v>0</v>
      </c>
      <c r="DS22">
        <f>IFERROR(('Feeder Spreads'!W22-AVERAGE('Feeder Spreads'!$W$3:$W$4308))/STDEV('Feeder Spreads'!$W$3:$W$4308),"")</f>
        <v>-9.2057461789832332E-2</v>
      </c>
      <c r="DT22">
        <f>IFERROR('Feeder Spreads'!W22-'Feeder Spreads'!W27,"")</f>
        <v>0</v>
      </c>
      <c r="DU22">
        <f>IFERROR('Feeder Spreads'!W22-'Feeder Spreads'!W32,"")</f>
        <v>0</v>
      </c>
      <c r="DV22">
        <f>IFERROR(AVERAGE('Feeder Spreads'!W22:W41)+2*STDEV('Feeder Spreads'!W22:W41),"")</f>
        <v>0</v>
      </c>
      <c r="DW22">
        <f>IFERROR(AVERAGE('Feeder Spreads'!W22:W41)-2*STDEV('Feeder Spreads'!W22:W41),"")</f>
        <v>0</v>
      </c>
      <c r="DX22" t="str">
        <f>IFERROR(('Feeder Spreads'!W22-(AVERAGE('Feeder Spreads'!W22:W41)-2*STDEV('Feeder Spreads'!W22:W41)))/(4*STDEV('Feeder Spreads'!W22:W41)),"")</f>
        <v/>
      </c>
      <c r="DY22" t="str">
        <f>IFERROR(4*STDEV('Feeder Spreads'!W22:W41)/AVERAGE('Feeder Spreads'!W22:W41),"")</f>
        <v/>
      </c>
      <c r="DZ22">
        <v>23.634799999999998</v>
      </c>
      <c r="EA22">
        <f>IFERROR(SQRT((SUMSQ('Feeder Spreads'!W22:W41)-2*SUMPRODUCT('Feeder Spreads'!W22:W41,'Feeder Spreads'!W23:W42)+SUMSQ('Feeder Spreads'!W23:W42)-('Feeder Spreads'!W22-'Feeder Spreads'!W42)^2/20)/19),"")</f>
        <v>0</v>
      </c>
      <c r="EC22">
        <f>IFERROR('Feeder Spreads'!AC22,"")</f>
        <v>0</v>
      </c>
      <c r="ED22">
        <f>IFERROR(('Feeder Spreads'!AD22-AVERAGE('Feeder Spreads'!$AD$3:$AD$4308))/STDEV('Feeder Spreads'!$AD$3:$AD$4308),"")</f>
        <v>9.2057461789832318E-2</v>
      </c>
      <c r="EE22">
        <f>IFERROR('Feeder Spreads'!AD22-'Feeder Spreads'!AD27,"")</f>
        <v>0</v>
      </c>
      <c r="EF22">
        <f>IFERROR('Feeder Spreads'!AD22-'Feeder Spreads'!AD32,"")</f>
        <v>0</v>
      </c>
      <c r="EG22">
        <f>IFERROR(AVERAGE('Feeder Spreads'!AD22:AD41)+2*STDEV('Feeder Spreads'!AD22:AD41),"")</f>
        <v>0</v>
      </c>
      <c r="EH22">
        <f>IFERROR(AVERAGE('Feeder Spreads'!AD22:AD41)-2*STDEV('Feeder Spreads'!AD22:AD41),"")</f>
        <v>0</v>
      </c>
      <c r="EI22" t="str">
        <f>IFERROR(('Feeder Spreads'!AD22-(AVERAGE('Feeder Spreads'!AD22:AD41)-2*STDEV('Feeder Spreads'!AD22:AD41)))/(4*STDEV('Feeder Spreads'!AD22:AD41)),"")</f>
        <v/>
      </c>
      <c r="EJ22" t="str">
        <f>IFERROR(4*STDEV('Feeder Spreads'!AD22:AD41)/AVERAGE('Feeder Spreads'!AD22:AD41),"")</f>
        <v/>
      </c>
      <c r="EK22">
        <v>48.644599999999997</v>
      </c>
      <c r="EL22">
        <f>IFERROR(SQRT((SUMSQ('Feeder Spreads'!AD22:AD41)-2*SUMPRODUCT('Feeder Spreads'!AD22:AD41,'Feeder Spreads'!AD23:AD42)+SUMSQ('Feeder Spreads'!AD23:AD42)-('Feeder Spreads'!AD22-'Feeder Spreads'!AD42)^2/20)/19),"")</f>
        <v>0</v>
      </c>
      <c r="EN22">
        <f>IFERROR('Feeder Spreads'!AJ22,"")</f>
        <v>0</v>
      </c>
      <c r="EO22">
        <f>IFERROR(('Feeder Spreads'!AK22-AVERAGE('Feeder Spreads'!$AK$3:$AK$4308))/STDEV('Feeder Spreads'!$AK$3:$AK$4308),"")</f>
        <v>-9.2057461789832346E-2</v>
      </c>
      <c r="EP22">
        <f>IFERROR('Feeder Spreads'!AK22-'Feeder Spreads'!AK27,"")</f>
        <v>0</v>
      </c>
      <c r="EQ22">
        <f>IFERROR('Feeder Spreads'!AK22-'Feeder Spreads'!AK32,"")</f>
        <v>0</v>
      </c>
      <c r="ER22">
        <f>IFERROR(AVERAGE('Feeder Spreads'!AK22:AK41)+2*STDEV('Feeder Spreads'!AK22:AK41),"")</f>
        <v>0</v>
      </c>
      <c r="ES22">
        <f>IFERROR(AVERAGE('Feeder Spreads'!AK22:AK41)-2*STDEV('Feeder Spreads'!AK22:AK41),"")</f>
        <v>0</v>
      </c>
      <c r="ET22" t="str">
        <f>IFERROR(('Feeder Spreads'!AK22-(AVERAGE('Feeder Spreads'!AK22:AK41)-2*STDEV('Feeder Spreads'!AK22:AK41)))/(4*STDEV('Feeder Spreads'!AK22:AK41)),"")</f>
        <v/>
      </c>
      <c r="EU22" t="str">
        <f>IFERROR(4*STDEV('Feeder Spreads'!AK22:AK41)/AVERAGE('Feeder Spreads'!AK22:AK41),"")</f>
        <v/>
      </c>
      <c r="EV22">
        <v>54.741199999999999</v>
      </c>
      <c r="EW22">
        <f>IFERROR(SQRT((SUMSQ('Feeder Spreads'!AK22:AK41)-2*SUMPRODUCT('Feeder Spreads'!AK22:AK41,'Feeder Spreads'!AK23:AK42)+SUMSQ('Feeder Spreads'!AK23:AK42)-('Feeder Spreads'!AK22-'Feeder Spreads'!AK42)^2/20)/19),"")</f>
        <v>0</v>
      </c>
      <c r="EY22">
        <f>IFERROR('Feeder Spreads'!AQ22,"")</f>
        <v>0</v>
      </c>
      <c r="EZ22">
        <f>IFERROR(('Feeder Spreads'!AR22-AVERAGE('Feeder Spreads'!$AR$3:$AR$4308))/STDEV('Feeder Spreads'!$AR$3:$AR$4308),"")</f>
        <v>-9.2057461789832332E-2</v>
      </c>
      <c r="FA22">
        <f>IFERROR('Feeder Spreads'!AR22-'Feeder Spreads'!AR27,"")</f>
        <v>0</v>
      </c>
      <c r="FB22">
        <f>IFERROR('Feeder Spreads'!AR22-'Feeder Spreads'!AR32,"")</f>
        <v>0</v>
      </c>
      <c r="FC22">
        <f>IFERROR(AVERAGE('Feeder Spreads'!AR22:AR41)+2*STDEV('Feeder Spreads'!AR22:AR41),"")</f>
        <v>0</v>
      </c>
      <c r="FD22">
        <f>IFERROR(AVERAGE('Feeder Spreads'!AR22:AR41)-2*STDEV('Feeder Spreads'!AR22:AR41),"")</f>
        <v>0</v>
      </c>
      <c r="FE22" t="str">
        <f>IFERROR(('Feeder Spreads'!AR22-(AVERAGE('Feeder Spreads'!AR22:AR41)-2*STDEV('Feeder Spreads'!AR22:AR41)))/(4*STDEV('Feeder Spreads'!AR22:AR41)),"")</f>
        <v/>
      </c>
      <c r="FF22" t="str">
        <f>IFERROR(4*STDEV('Feeder Spreads'!AR22:AR41)/AVERAGE('Feeder Spreads'!AR22:AR41),"")</f>
        <v/>
      </c>
      <c r="FG22">
        <v>58.334699999999998</v>
      </c>
      <c r="FH22">
        <f>IFERROR(SQRT((SUMSQ('Feeder Spreads'!AR22:AR41)-2*SUMPRODUCT('Feeder Spreads'!AR22:AR41,'Feeder Spreads'!AR23:AR42)+SUMSQ('Feeder Spreads'!AR23:AR42)-('Feeder Spreads'!AR22-'Feeder Spreads'!AR42)^2/20)/19),"")</f>
        <v>0</v>
      </c>
      <c r="FJ22">
        <f>IFERROR('Fat Spreads'!AX22,"")</f>
        <v>0</v>
      </c>
      <c r="FK22">
        <f>IFERROR(('Fat Spreads'!AY22-AVERAGE('Fat Spreads'!$AY$3:$AY$4308))/STDEV('Fat Spreads'!$AY$3:$AY$4308),"")</f>
        <v>9.2057461789832332E-2</v>
      </c>
      <c r="FL22">
        <f>IFERROR('Fat Spreads'!AY22-'Fat Spreads'!AY27,"")</f>
        <v>0</v>
      </c>
      <c r="FM22">
        <f>IFERROR('Fat Spreads'!AY22-'Fat Spreads'!AY32,"")</f>
        <v>0</v>
      </c>
      <c r="FN22">
        <f>IFERROR(AVERAGE('Fat Spreads'!AY22:AY41)+2*STDEV('Fat Spreads'!AY22:AY41),"")</f>
        <v>0</v>
      </c>
      <c r="FO22">
        <f>IFERROR(AVERAGE('Fat Spreads'!AY22:AY41)-2*STDEV('Fat Spreads'!AY22:AY41),"")</f>
        <v>0</v>
      </c>
      <c r="FP22" t="str">
        <f>IFERROR(('Fat Spreads'!AY22-(AVERAGE('Fat Spreads'!AY22:AY41)-2*STDEV('Fat Spreads'!AY22:AY41)))/(4*STDEV('Fat Spreads'!AY22:AY41)),"")</f>
        <v/>
      </c>
      <c r="FQ22" t="str">
        <f>IFERROR(4*STDEV('Fat Spreads'!AY22:AY41)/AVERAGE('Fat Spreads'!AY22:AY41),"")</f>
        <v/>
      </c>
      <c r="FR22">
        <v>29.927700000000002</v>
      </c>
      <c r="FS22">
        <f>IFERROR(SQRT((SUMSQ('Fat Spreads'!AY22:AY41)-2*SUMPRODUCT('Fat Spreads'!AY22:AY41,'Fat Spreads'!AY23:AY42)+SUMSQ('Fat Spreads'!AY23:AY42)-('Fat Spreads'!AY22-'Fat Spreads'!AY42)^2/20)/19),"")</f>
        <v>0</v>
      </c>
      <c r="FU22">
        <f>IFERROR('Fat Spreads'!BE22,"")</f>
        <v>0</v>
      </c>
      <c r="FV22">
        <f>IFERROR(('Fat Spreads'!BF22-AVERAGE('Fat Spreads'!$BF$3:$BF$4308))/STDEV('Fat Spreads'!$BF$3:$BF$4308),"")</f>
        <v>9.2057461789832332E-2</v>
      </c>
      <c r="FW22">
        <f>IFERROR('Fat Spreads'!BF22-'Fat Spreads'!BF27,"")</f>
        <v>0</v>
      </c>
      <c r="FX22">
        <f>IFERROR('Fat Spreads'!BF22-'Fat Spreads'!BF32,"")</f>
        <v>0</v>
      </c>
      <c r="FY22">
        <f>IFERROR(AVERAGE('Fat Spreads'!BF22:BF41)+2*STDEV('Fat Spreads'!BF22:BF41),"")</f>
        <v>0</v>
      </c>
      <c r="FZ22">
        <f>IFERROR(AVERAGE('Fat Spreads'!BF22:BF41)-2*STDEV('Fat Spreads'!BF22:BF41),"")</f>
        <v>0</v>
      </c>
      <c r="GA22" t="str">
        <f>IFERROR(('Fat Spreads'!BF22-(AVERAGE('Fat Spreads'!BF22:BF41)-2*STDEV('Fat Spreads'!BF22:BF41)))/(4*STDEV('Fat Spreads'!BF22:BF41)),"")</f>
        <v/>
      </c>
      <c r="GB22" t="str">
        <f>IFERROR(4*STDEV('Fat Spreads'!BF22:BF41)/AVERAGE('Fat Spreads'!BF22:BF41),"")</f>
        <v/>
      </c>
      <c r="GC22">
        <v>67.210400000000007</v>
      </c>
      <c r="GD22">
        <f>IFERROR(SQRT((SUMSQ('Fat Spreads'!BF22:BF41)-2*SUMPRODUCT('Fat Spreads'!BF22:BF41,'Fat Spreads'!BF23:BF42)+SUMSQ('Fat Spreads'!BF23:BF42)-('Fat Spreads'!BF22-'Fat Spreads'!BF42)^2/20)/19),"")</f>
        <v>0</v>
      </c>
    </row>
    <row r="23" spans="1:186" x14ac:dyDescent="0.25">
      <c r="A23">
        <f>IFERROR('Fat Spreads'!A23,"")</f>
        <v>0</v>
      </c>
      <c r="B23">
        <f>IFERROR(('Fat Spreads'!B23-AVERAGE('Fat Spreads'!$B$3:$B$4308))/STDEV('Fat Spreads'!$B$3:$B$4308),"")</f>
        <v>9.2057461789832346E-2</v>
      </c>
      <c r="C23">
        <f>IFERROR('Fat Spreads'!B23-'Fat Spreads'!B28,"")</f>
        <v>0</v>
      </c>
      <c r="D23">
        <f>IFERROR('Fat Spreads'!B23-'Fat Spreads'!B33,"")</f>
        <v>0</v>
      </c>
      <c r="E23">
        <f>IFERROR(AVERAGE('Fat Spreads'!B23:B42)+2*STDEV('Fat Spreads'!B23:B42),"")</f>
        <v>0</v>
      </c>
      <c r="F23">
        <f>IFERROR(AVERAGE('Fat Spreads'!B23:B42)-2*STDEV('Fat Spreads'!B23:B42),"")</f>
        <v>0</v>
      </c>
      <c r="G23" t="str">
        <f>IFERROR(('Fat Spreads'!B23-(AVERAGE('Fat Spreads'!B23:B42)-2*STDEV('Fat Spreads'!B23:B42)))/(4*STDEV('Fat Spreads'!B23:B42)),"")</f>
        <v/>
      </c>
      <c r="H23" t="str">
        <f>IFERROR(4*STDEV('Fat Spreads'!B23:B42)/AVERAGE('Fat Spreads'!B23:B42),"")</f>
        <v/>
      </c>
      <c r="I23">
        <v>58.962299999999999</v>
      </c>
      <c r="J23">
        <f>IFERROR(SQRT((SUMSQ('Fat Spreads'!B23:B42)-2*SUMPRODUCT('Fat Spreads'!B23:B42,'Fat Spreads'!B24:B43)+SUMSQ('Fat Spreads'!B24:B43)-('Fat Spreads'!B23-'Fat Spreads'!B43)^2/20)/19),"")</f>
        <v>0</v>
      </c>
      <c r="L23">
        <f>IFERROR('Fat Spreads'!H23,"")</f>
        <v>0</v>
      </c>
      <c r="M23">
        <f>IFERROR(('Fat Spreads'!I23-AVERAGE('Fat Spreads'!$I$3:$I$4308))/STDEV('Fat Spreads'!$I$3:$I$4308),"")</f>
        <v>-9.2057461789832332E-2</v>
      </c>
      <c r="N23">
        <f>IFERROR('Fat Spreads'!I23-'Fat Spreads'!I28,"")</f>
        <v>0</v>
      </c>
      <c r="O23">
        <f>IFERROR('Fat Spreads'!I23-'Fat Spreads'!I33,"")</f>
        <v>0</v>
      </c>
      <c r="P23">
        <f>IFERROR(AVERAGE('Fat Spreads'!I23:I42)+2*STDEV('Fat Spreads'!I23:I42),"")</f>
        <v>0</v>
      </c>
      <c r="Q23">
        <f>IFERROR(AVERAGE('Fat Spreads'!I23:I42)-2*STDEV('Fat Spreads'!I23:I42),"")</f>
        <v>0</v>
      </c>
      <c r="R23" t="str">
        <f>IFERROR(('Fat Spreads'!I23-(AVERAGE('Fat Spreads'!I23:I42)-2*STDEV('Fat Spreads'!I23:I42)))/(4*STDEV('Fat Spreads'!I23:I42)),"")</f>
        <v/>
      </c>
      <c r="S23" t="str">
        <f>IFERROR(4*STDEV('Fat Spreads'!I23:I42)/AVERAGE('Fat Spreads'!I23:I42),"")</f>
        <v/>
      </c>
      <c r="T23">
        <v>59.2806</v>
      </c>
      <c r="U23">
        <f>IFERROR(SQRT((SUMSQ('Fat Spreads'!I23:I42)-2*SUMPRODUCT('Fat Spreads'!I23:I42,'Fat Spreads'!I24:I43)+SUMSQ('Fat Spreads'!I24:I43)-('Fat Spreads'!I23-'Fat Spreads'!I43)^2/20)/19),"")</f>
        <v>0</v>
      </c>
      <c r="W23">
        <f>IFERROR('Fat Spreads'!AQ23,"")</f>
        <v>0</v>
      </c>
      <c r="X23">
        <f>IFERROR(('Fat Spreads'!AR23-AVERAGE('Fat Spreads'!$AR$3:$AR$4308))/STDEV('Fat Spreads'!$AR$3:$AR$4308),"")</f>
        <v>-9.2057461789832346E-2</v>
      </c>
      <c r="Y23">
        <f>IFERROR('Fat Spreads'!AR23-'Fat Spreads'!AR28,"")</f>
        <v>0</v>
      </c>
      <c r="Z23">
        <f>IFERROR('Fat Spreads'!AR23-'Fat Spreads'!AR33,"")</f>
        <v>0</v>
      </c>
      <c r="AA23">
        <f>IFERROR(AVERAGE('Fat Spreads'!AR23:AR42)+2*STDEV('Fat Spreads'!AR23:AR42),"")</f>
        <v>0</v>
      </c>
      <c r="AB23">
        <f>IFERROR(AVERAGE('Fat Spreads'!AR23:AR42)-2*STDEV('Fat Spreads'!AR23:AR42),"")</f>
        <v>0</v>
      </c>
      <c r="AC23" t="str">
        <f>IFERROR(('Fat Spreads'!AR23-(AVERAGE('Fat Spreads'!AR23:AR42)-2*STDEV('Fat Spreads'!AR23:AR42)))/(4*STDEV('Fat Spreads'!AR23:AR42)),"")</f>
        <v/>
      </c>
      <c r="AD23" t="str">
        <f>IFERROR(4*STDEV('Fat Spreads'!AR23:AR42)/AVERAGE('Fat Spreads'!AR23:AR42),"")</f>
        <v/>
      </c>
      <c r="AE23">
        <v>88.339100000000002</v>
      </c>
      <c r="AF23">
        <f>IFERROR(SQRT((SUMSQ('Fat Spreads'!AR23:AR42)-2*SUMPRODUCT('Fat Spreads'!AR23:AR42,'Fat Spreads'!AR24:AR43)+SUMSQ('Fat Spreads'!AR24:AR43)-('Fat Spreads'!AR23-'Fat Spreads'!AR43)^2/20)/19),"")</f>
        <v>0</v>
      </c>
      <c r="AH23">
        <f>IFERROR('Fat Spreads'!O23,"")</f>
        <v>0</v>
      </c>
      <c r="AI23">
        <f>IFERROR(('Fat Spreads'!P23-AVERAGE('Fat Spreads'!$P$3:$P$4308))/STDEV('Fat Spreads'!$P$3:$P$4308),"")</f>
        <v>-9.2057461789832332E-2</v>
      </c>
      <c r="AJ23">
        <f>IFERROR('Fat Spreads'!P23-'Fat Spreads'!P28,"")</f>
        <v>0</v>
      </c>
      <c r="AK23">
        <f>IFERROR('Fat Spreads'!P23-'Fat Spreads'!P33,"")</f>
        <v>0</v>
      </c>
      <c r="AL23">
        <f>IFERROR(AVERAGE('Fat Spreads'!P23:P42)+2*STDEV('Fat Spreads'!P23:P42),"")</f>
        <v>0</v>
      </c>
      <c r="AM23">
        <f>IFERROR(AVERAGE('Fat Spreads'!P23:P42)-2*STDEV('Fat Spreads'!P23:P42),"")</f>
        <v>0</v>
      </c>
      <c r="AN23" t="str">
        <f>IFERROR(('Fat Spreads'!P23-(AVERAGE('Fat Spreads'!P23:P42)-2*STDEV('Fat Spreads'!P23:P42)))/(4*STDEV('Fat Spreads'!P23:P42)),"")</f>
        <v/>
      </c>
      <c r="AO23" t="str">
        <f>IFERROR(4*STDEV('Fat Spreads'!P23:P42)/AVERAGE('Fat Spreads'!P23:P42),"")</f>
        <v/>
      </c>
      <c r="AP23">
        <v>86.298100000000005</v>
      </c>
      <c r="AQ23">
        <f>IFERROR(SQRT((SUMSQ('Fat Spreads'!P23:P42)-2*SUMPRODUCT('Fat Spreads'!P23:P42,'Fat Spreads'!P24:P43)+SUMSQ('Fat Spreads'!P24:P43)-('Fat Spreads'!P23-'Fat Spreads'!P43)^2/20)/19),"")</f>
        <v>0</v>
      </c>
      <c r="AS23">
        <f>IFERROR('Fat Spreads'!AJ23,"")</f>
        <v>0</v>
      </c>
      <c r="AT23">
        <f>IFERROR(('Fat Spreads'!AK23-AVERAGE('Fat Spreads'!$AK$3:$AK$4308))/STDEV('Fat Spreads'!$AK$3:$AK$4308),"")</f>
        <v>-9.2057461789832332E-2</v>
      </c>
      <c r="AU23">
        <f>IFERROR('Fat Spreads'!AK23-'Fat Spreads'!AK28,"")</f>
        <v>0</v>
      </c>
      <c r="AV23">
        <f>IFERROR('Fat Spreads'!AK23-'Fat Spreads'!AK33,"")</f>
        <v>0</v>
      </c>
      <c r="AW23">
        <f>IFERROR(AVERAGE('Fat Spreads'!AK23:AK42)+2*STDEV('Fat Spreads'!AK23:AK42),"")</f>
        <v>0</v>
      </c>
      <c r="AX23">
        <f>IFERROR(AVERAGE('Fat Spreads'!AK23:AK42)-2*STDEV('Fat Spreads'!AK23:AK42),"")</f>
        <v>0</v>
      </c>
      <c r="AY23" t="str">
        <f>IFERROR(('Fat Spreads'!AK23-(AVERAGE('Fat Spreads'!AK23:AK42)-2*STDEV('Fat Spreads'!AK23:AK42)))/(4*STDEV('Fat Spreads'!AK23:AK42)),"")</f>
        <v/>
      </c>
      <c r="AZ23" t="str">
        <f>IFERROR(4*STDEV('Fat Spreads'!AK23:AK42)/AVERAGE('Fat Spreads'!AK23:AK42),"")</f>
        <v/>
      </c>
      <c r="BA23">
        <v>20.6084</v>
      </c>
      <c r="BB23">
        <f>IFERROR(SQRT((SUMSQ('Fat Spreads'!AK23:AK42)-2*SUMPRODUCT('Fat Spreads'!AK23:AK42,'Fat Spreads'!AK24:AK43)+SUMSQ('Fat Spreads'!AK24:AK43)-('Fat Spreads'!AK23-'Fat Spreads'!AK43)^2/20)/19),"")</f>
        <v>0</v>
      </c>
      <c r="BD23">
        <f>IFERROR('Fat Spreads'!V23,"")</f>
        <v>0</v>
      </c>
      <c r="BE23">
        <f>IFERROR(('Fat Spreads'!W23-AVERAGE('Fat Spreads'!$W$3:$W$4308))/STDEV('Fat Spreads'!$W$3:$W$4308),"")</f>
        <v>-9.2057461789832332E-2</v>
      </c>
      <c r="BF23">
        <f>IFERROR('Fat Spreads'!W23-'Fat Spreads'!W28,"")</f>
        <v>0</v>
      </c>
      <c r="BG23">
        <f>IFERROR('Fat Spreads'!W23-'Fat Spreads'!W33,"")</f>
        <v>0</v>
      </c>
      <c r="BH23">
        <f>IFERROR(AVERAGE('Fat Spreads'!W23:W42)+2*STDEV('Fat Spreads'!W23:W42),"")</f>
        <v>0</v>
      </c>
      <c r="BI23">
        <f>IFERROR(AVERAGE('Fat Spreads'!W23:W42)-2*STDEV('Fat Spreads'!W23:W42),"")</f>
        <v>0</v>
      </c>
      <c r="BJ23" t="str">
        <f>IFERROR(('Fat Spreads'!W23-(AVERAGE('Fat Spreads'!W23:W42)-2*STDEV('Fat Spreads'!W23:W42)))/(4*STDEV('Fat Spreads'!W23:W42)),"")</f>
        <v/>
      </c>
      <c r="BK23" t="str">
        <f>IFERROR(4*STDEV('Fat Spreads'!W23:W42)/AVERAGE('Fat Spreads'!W23:W42),"")</f>
        <v/>
      </c>
      <c r="BL23">
        <v>78.884100000000004</v>
      </c>
      <c r="BM23">
        <f>IFERROR(SQRT((SUMSQ('Fat Spreads'!W23:W42)-2*SUMPRODUCT('Fat Spreads'!W23:W42,'Fat Spreads'!W24:W43)+SUMSQ('Fat Spreads'!W24:W43)-('Fat Spreads'!W23-'Fat Spreads'!W43)^2/20)/19),"")</f>
        <v>0</v>
      </c>
      <c r="BO23">
        <f>IFERROR('Fat Spreads'!AC23,"")</f>
        <v>0</v>
      </c>
      <c r="BP23">
        <f>IFERROR(('Fat Spreads'!AD23-AVERAGE('Fat Spreads'!$AD$3:$AD$4308))/STDEV('Fat Spreads'!$AD$3:$AD$4308),"")</f>
        <v>-9.2057461789832332E-2</v>
      </c>
      <c r="BQ23">
        <f>IFERROR('Fat Spreads'!AD23-'Fat Spreads'!AD28,"")</f>
        <v>0</v>
      </c>
      <c r="BR23">
        <f>IFERROR('Fat Spreads'!AD23-'Fat Spreads'!AD33,"")</f>
        <v>0</v>
      </c>
      <c r="BS23">
        <f>IFERROR(AVERAGE('Fat Spreads'!AD23:AD42)+2*STDEV('Fat Spreads'!AD23:AD42),"")</f>
        <v>0</v>
      </c>
      <c r="BT23">
        <f>IFERROR(AVERAGE('Fat Spreads'!AD23:AD42)-2*STDEV('Fat Spreads'!AD23:AD42),"")</f>
        <v>0</v>
      </c>
      <c r="BU23" t="str">
        <f>IFERROR(('Fat Spreads'!AD23-(AVERAGE('Fat Spreads'!AD23:AD42)-2*STDEV('Fat Spreads'!AD23:AD42)))/(4*STDEV('Fat Spreads'!AD23:AD42)),"")</f>
        <v/>
      </c>
      <c r="BV23" t="str">
        <f>IFERROR(4*STDEV('Fat Spreads'!AD23:AD42)/AVERAGE('Fat Spreads'!AD23:AD42),"")</f>
        <v/>
      </c>
      <c r="BW23">
        <v>66.1554</v>
      </c>
      <c r="BX23">
        <f>IFERROR(SQRT((SUMSQ('Fat Spreads'!AD23:AD42)-2*SUMPRODUCT('Fat Spreads'!AD23:AD42,'Fat Spreads'!AD24:AD43)+SUMSQ('Fat Spreads'!AD24:AD43)-('Fat Spreads'!AD23-'Fat Spreads'!AD43)^2/20)/19),"")</f>
        <v>0</v>
      </c>
      <c r="BZ23">
        <f>IFERROR('Feeder Spreads'!A23,"")</f>
        <v>0</v>
      </c>
      <c r="CA23">
        <f>IFERROR(('Feeder Spreads'!B23-AVERAGE('Feeder Spreads'!$B$3:$B$4308))/STDEV('Feeder Spreads'!$B$3:$B$4308),"")</f>
        <v>-9.2057461789832346E-2</v>
      </c>
      <c r="CB23">
        <f>IFERROR('Feeder Spreads'!B23-'Feeder Spreads'!B28,"")</f>
        <v>0</v>
      </c>
      <c r="CC23">
        <f>IFERROR('Feeder Spreads'!B23-'Feeder Spreads'!B33,"")</f>
        <v>0</v>
      </c>
      <c r="CD23">
        <f>IFERROR(AVERAGE('Feeder Spreads'!B23:B42)+2*STDEV('Feeder Spreads'!B23:B42),"")</f>
        <v>0</v>
      </c>
      <c r="CE23">
        <f>IFERROR(AVERAGE('Feeder Spreads'!B23:B42)-2*STDEV('Feeder Spreads'!B23:B42),"")</f>
        <v>0</v>
      </c>
      <c r="CF23" t="str">
        <f>IFERROR(('Feeder Spreads'!B23-(AVERAGE('Feeder Spreads'!B23:B42)-2*STDEV('Feeder Spreads'!B23:B42)))/(4*STDEV('Feeder Spreads'!B23:B42)),"")</f>
        <v/>
      </c>
      <c r="CG23" t="str">
        <f>IFERROR(4*STDEV('Feeder Spreads'!B23:B42)/AVERAGE('Feeder Spreads'!B23:B42),"")</f>
        <v/>
      </c>
      <c r="CH23">
        <v>59.345199999999998</v>
      </c>
      <c r="CI23">
        <f>IFERROR(SQRT((SUMSQ('Feeder Spreads'!B23:B42)-2*SUMPRODUCT('Feeder Spreads'!B23:B42,'Feeder Spreads'!B24:B43)+SUMSQ('Feeder Spreads'!B24:B43)-('Feeder Spreads'!B23-'Feeder Spreads'!B43)^2/20)/19),"")</f>
        <v>0</v>
      </c>
      <c r="CK23">
        <f>IFERROR('Feeder Spreads'!AX23,"")</f>
        <v>0</v>
      </c>
      <c r="CL23">
        <f>IFERROR(('Feeder Spreads'!AY23-AVERAGE('Feeder Spreads'!$AY$3:$AY$4308))/STDEV('Feeder Spreads'!$AY$3:$AY$4308),"")</f>
        <v>-9.2057461789832346E-2</v>
      </c>
      <c r="CM23">
        <f>IFERROR('Feeder Spreads'!AY23-'Feeder Spreads'!AY28,"")</f>
        <v>0</v>
      </c>
      <c r="CN23">
        <f>IFERROR('Feeder Spreads'!AY23-'Feeder Spreads'!AY33,"")</f>
        <v>0</v>
      </c>
      <c r="CO23">
        <f>IFERROR(AVERAGE('Feeder Spreads'!AY23:AY42)+2*STDEV('Feeder Spreads'!AY23:AY42),"")</f>
        <v>0</v>
      </c>
      <c r="CP23">
        <f>IFERROR(AVERAGE('Feeder Spreads'!AY23:AY42)-2*STDEV('Feeder Spreads'!AY23:AY42),"")</f>
        <v>0</v>
      </c>
      <c r="CQ23" t="str">
        <f>IFERROR(('Feeder Spreads'!AY23-(AVERAGE('Feeder Spreads'!AY23:AY42)-2*STDEV('Feeder Spreads'!AY23:AY42)))/(4*STDEV('Feeder Spreads'!AY23:AY42)),"")</f>
        <v/>
      </c>
      <c r="CR23" t="str">
        <f>IFERROR(4*STDEV('Feeder Spreads'!AY23:AY42)/AVERAGE('Feeder Spreads'!AY23:AY42),"")</f>
        <v/>
      </c>
      <c r="CS23">
        <v>62.886800000000001</v>
      </c>
      <c r="CT23">
        <f>IFERROR(SQRT((SUMSQ('Feeder Spreads'!AY23:AY42)-2*SUMPRODUCT('Feeder Spreads'!AY23:AY42,'Feeder Spreads'!AY24:AY43)+SUMSQ('Feeder Spreads'!AY24:AY43)-('Feeder Spreads'!AY23-'Feeder Spreads'!AY43)^2/20)/19),"")</f>
        <v>0</v>
      </c>
      <c r="CV23">
        <f>IFERROR('Feeder Spreads'!H23,"")</f>
        <v>0</v>
      </c>
      <c r="CW23">
        <f>IFERROR(('Feeder Spreads'!I23-AVERAGE('Feeder Spreads'!$I$3:$I$4308))/STDEV('Feeder Spreads'!$I$3:$I$4308),"")</f>
        <v>-9.2057461789832332E-2</v>
      </c>
      <c r="CX23">
        <f>IFERROR('Feeder Spreads'!I23-'Feeder Spreads'!I28,"")</f>
        <v>0</v>
      </c>
      <c r="CY23">
        <f>IFERROR('Feeder Spreads'!I23-'Feeder Spreads'!I33,"")</f>
        <v>0</v>
      </c>
      <c r="CZ23">
        <f>IFERROR(AVERAGE('Feeder Spreads'!I23:I42)+2*STDEV('Feeder Spreads'!I23:I42),"")</f>
        <v>0</v>
      </c>
      <c r="DA23">
        <f>IFERROR(AVERAGE('Feeder Spreads'!I23:I42)-2*STDEV('Feeder Spreads'!I23:I42),"")</f>
        <v>0</v>
      </c>
      <c r="DB23" t="str">
        <f>IFERROR(('Feeder Spreads'!I23-(AVERAGE('Feeder Spreads'!I23:I42)-2*STDEV('Feeder Spreads'!I23:I42)))/(4*STDEV('Feeder Spreads'!I23:I42)),"")</f>
        <v/>
      </c>
      <c r="DC23" t="str">
        <f>IFERROR(4*STDEV('Feeder Spreads'!I23:I42)/AVERAGE('Feeder Spreads'!I23:I42),"")</f>
        <v/>
      </c>
      <c r="DD23">
        <v>48.5672</v>
      </c>
      <c r="DE23">
        <f>IFERROR(SQRT((SUMSQ('Feeder Spreads'!I23:I42)-2*SUMPRODUCT('Feeder Spreads'!I23:I42,'Feeder Spreads'!I24:I43)+SUMSQ('Feeder Spreads'!I24:I43)-('Feeder Spreads'!I23-'Feeder Spreads'!I43)^2/20)/19),"")</f>
        <v>0</v>
      </c>
      <c r="DG23">
        <f>IFERROR('Feeder Spreads'!O23,"")</f>
        <v>0</v>
      </c>
      <c r="DH23">
        <f>IFERROR(('Feeder Spreads'!P23-AVERAGE('Feeder Spreads'!$P$3:$P$4308))/STDEV('Feeder Spreads'!$P$3:$P$4308),"")</f>
        <v>-9.2057461789832346E-2</v>
      </c>
      <c r="DI23">
        <f>IFERROR('Feeder Spreads'!P23-'Feeder Spreads'!P28,"")</f>
        <v>0</v>
      </c>
      <c r="DJ23">
        <f>IFERROR('Feeder Spreads'!P23-'Feeder Spreads'!P33,"")</f>
        <v>0</v>
      </c>
      <c r="DK23">
        <f>IFERROR(AVERAGE('Feeder Spreads'!P23:P42)+2*STDEV('Feeder Spreads'!P23:P42),"")</f>
        <v>0</v>
      </c>
      <c r="DL23">
        <f>IFERROR(AVERAGE('Feeder Spreads'!P23:P42)-2*STDEV('Feeder Spreads'!P23:P42),"")</f>
        <v>0</v>
      </c>
      <c r="DM23" t="str">
        <f>IFERROR(('Feeder Spreads'!P23-(AVERAGE('Feeder Spreads'!P23:P42)-2*STDEV('Feeder Spreads'!P23:P42)))/(4*STDEV('Feeder Spreads'!P23:P42)),"")</f>
        <v/>
      </c>
      <c r="DN23" t="str">
        <f>IFERROR(4*STDEV('Feeder Spreads'!P23:P42)/AVERAGE('Feeder Spreads'!P23:P42),"")</f>
        <v/>
      </c>
      <c r="DO23">
        <v>56.248800000000003</v>
      </c>
      <c r="DP23">
        <f>IFERROR(SQRT((SUMSQ('Feeder Spreads'!P23:P42)-2*SUMPRODUCT('Feeder Spreads'!P23:P42,'Feeder Spreads'!P24:P43)+SUMSQ('Feeder Spreads'!P24:P43)-('Feeder Spreads'!P23-'Feeder Spreads'!P43)^2/20)/19),"")</f>
        <v>0</v>
      </c>
      <c r="DR23">
        <f>IFERROR('Feeder Spreads'!V23,"")</f>
        <v>0</v>
      </c>
      <c r="DS23">
        <f>IFERROR(('Feeder Spreads'!W23-AVERAGE('Feeder Spreads'!$W$3:$W$4308))/STDEV('Feeder Spreads'!$W$3:$W$4308),"")</f>
        <v>-9.2057461789832332E-2</v>
      </c>
      <c r="DT23">
        <f>IFERROR('Feeder Spreads'!W23-'Feeder Spreads'!W28,"")</f>
        <v>0</v>
      </c>
      <c r="DU23">
        <f>IFERROR('Feeder Spreads'!W23-'Feeder Spreads'!W33,"")</f>
        <v>0</v>
      </c>
      <c r="DV23">
        <f>IFERROR(AVERAGE('Feeder Spreads'!W23:W42)+2*STDEV('Feeder Spreads'!W23:W42),"")</f>
        <v>0</v>
      </c>
      <c r="DW23">
        <f>IFERROR(AVERAGE('Feeder Spreads'!W23:W42)-2*STDEV('Feeder Spreads'!W23:W42),"")</f>
        <v>0</v>
      </c>
      <c r="DX23" t="str">
        <f>IFERROR(('Feeder Spreads'!W23-(AVERAGE('Feeder Spreads'!W23:W42)-2*STDEV('Feeder Spreads'!W23:W42)))/(4*STDEV('Feeder Spreads'!W23:W42)),"")</f>
        <v/>
      </c>
      <c r="DY23" t="str">
        <f>IFERROR(4*STDEV('Feeder Spreads'!W23:W42)/AVERAGE('Feeder Spreads'!W23:W42),"")</f>
        <v/>
      </c>
      <c r="DZ23">
        <v>23.937999999999999</v>
      </c>
      <c r="EA23">
        <f>IFERROR(SQRT((SUMSQ('Feeder Spreads'!W23:W42)-2*SUMPRODUCT('Feeder Spreads'!W23:W42,'Feeder Spreads'!W24:W43)+SUMSQ('Feeder Spreads'!W24:W43)-('Feeder Spreads'!W23-'Feeder Spreads'!W43)^2/20)/19),"")</f>
        <v>0</v>
      </c>
      <c r="EC23">
        <f>IFERROR('Feeder Spreads'!AC23,"")</f>
        <v>0</v>
      </c>
      <c r="ED23">
        <f>IFERROR(('Feeder Spreads'!AD23-AVERAGE('Feeder Spreads'!$AD$3:$AD$4308))/STDEV('Feeder Spreads'!$AD$3:$AD$4308),"")</f>
        <v>9.2057461789832318E-2</v>
      </c>
      <c r="EE23">
        <f>IFERROR('Feeder Spreads'!AD23-'Feeder Spreads'!AD28,"")</f>
        <v>0</v>
      </c>
      <c r="EF23">
        <f>IFERROR('Feeder Spreads'!AD23-'Feeder Spreads'!AD33,"")</f>
        <v>0</v>
      </c>
      <c r="EG23">
        <f>IFERROR(AVERAGE('Feeder Spreads'!AD23:AD42)+2*STDEV('Feeder Spreads'!AD23:AD42),"")</f>
        <v>0</v>
      </c>
      <c r="EH23">
        <f>IFERROR(AVERAGE('Feeder Spreads'!AD23:AD42)-2*STDEV('Feeder Spreads'!AD23:AD42),"")</f>
        <v>0</v>
      </c>
      <c r="EI23" t="str">
        <f>IFERROR(('Feeder Spreads'!AD23-(AVERAGE('Feeder Spreads'!AD23:AD42)-2*STDEV('Feeder Spreads'!AD23:AD42)))/(4*STDEV('Feeder Spreads'!AD23:AD42)),"")</f>
        <v/>
      </c>
      <c r="EJ23" t="str">
        <f>IFERROR(4*STDEV('Feeder Spreads'!AD23:AD42)/AVERAGE('Feeder Spreads'!AD23:AD42),"")</f>
        <v/>
      </c>
      <c r="EK23">
        <v>52.884700000000002</v>
      </c>
      <c r="EL23">
        <f>IFERROR(SQRT((SUMSQ('Feeder Spreads'!AD23:AD42)-2*SUMPRODUCT('Feeder Spreads'!AD23:AD42,'Feeder Spreads'!AD24:AD43)+SUMSQ('Feeder Spreads'!AD24:AD43)-('Feeder Spreads'!AD23-'Feeder Spreads'!AD43)^2/20)/19),"")</f>
        <v>0</v>
      </c>
      <c r="EN23">
        <f>IFERROR('Feeder Spreads'!AJ23,"")</f>
        <v>0</v>
      </c>
      <c r="EO23">
        <f>IFERROR(('Feeder Spreads'!AK23-AVERAGE('Feeder Spreads'!$AK$3:$AK$4308))/STDEV('Feeder Spreads'!$AK$3:$AK$4308),"")</f>
        <v>-9.2057461789832346E-2</v>
      </c>
      <c r="EP23">
        <f>IFERROR('Feeder Spreads'!AK23-'Feeder Spreads'!AK28,"")</f>
        <v>0</v>
      </c>
      <c r="EQ23">
        <f>IFERROR('Feeder Spreads'!AK23-'Feeder Spreads'!AK33,"")</f>
        <v>0</v>
      </c>
      <c r="ER23">
        <f>IFERROR(AVERAGE('Feeder Spreads'!AK23:AK42)+2*STDEV('Feeder Spreads'!AK23:AK42),"")</f>
        <v>0</v>
      </c>
      <c r="ES23">
        <f>IFERROR(AVERAGE('Feeder Spreads'!AK23:AK42)-2*STDEV('Feeder Spreads'!AK23:AK42),"")</f>
        <v>0</v>
      </c>
      <c r="ET23" t="str">
        <f>IFERROR(('Feeder Spreads'!AK23-(AVERAGE('Feeder Spreads'!AK23:AK42)-2*STDEV('Feeder Spreads'!AK23:AK42)))/(4*STDEV('Feeder Spreads'!AK23:AK42)),"")</f>
        <v/>
      </c>
      <c r="EU23" t="str">
        <f>IFERROR(4*STDEV('Feeder Spreads'!AK23:AK42)/AVERAGE('Feeder Spreads'!AK23:AK42),"")</f>
        <v/>
      </c>
      <c r="EV23">
        <v>53.135300000000001</v>
      </c>
      <c r="EW23">
        <f>IFERROR(SQRT((SUMSQ('Feeder Spreads'!AK23:AK42)-2*SUMPRODUCT('Feeder Spreads'!AK23:AK42,'Feeder Spreads'!AK24:AK43)+SUMSQ('Feeder Spreads'!AK24:AK43)-('Feeder Spreads'!AK23-'Feeder Spreads'!AK43)^2/20)/19),"")</f>
        <v>0</v>
      </c>
      <c r="EY23">
        <f>IFERROR('Feeder Spreads'!AQ23,"")</f>
        <v>0</v>
      </c>
      <c r="EZ23">
        <f>IFERROR(('Feeder Spreads'!AR23-AVERAGE('Feeder Spreads'!$AR$3:$AR$4308))/STDEV('Feeder Spreads'!$AR$3:$AR$4308),"")</f>
        <v>-9.2057461789832332E-2</v>
      </c>
      <c r="FA23">
        <f>IFERROR('Feeder Spreads'!AR23-'Feeder Spreads'!AR28,"")</f>
        <v>0</v>
      </c>
      <c r="FB23">
        <f>IFERROR('Feeder Spreads'!AR23-'Feeder Spreads'!AR33,"")</f>
        <v>0</v>
      </c>
      <c r="FC23">
        <f>IFERROR(AVERAGE('Feeder Spreads'!AR23:AR42)+2*STDEV('Feeder Spreads'!AR23:AR42),"")</f>
        <v>0</v>
      </c>
      <c r="FD23">
        <f>IFERROR(AVERAGE('Feeder Spreads'!AR23:AR42)-2*STDEV('Feeder Spreads'!AR23:AR42),"")</f>
        <v>0</v>
      </c>
      <c r="FE23" t="str">
        <f>IFERROR(('Feeder Spreads'!AR23-(AVERAGE('Feeder Spreads'!AR23:AR42)-2*STDEV('Feeder Spreads'!AR23:AR42)))/(4*STDEV('Feeder Spreads'!AR23:AR42)),"")</f>
        <v/>
      </c>
      <c r="FF23" t="str">
        <f>IFERROR(4*STDEV('Feeder Spreads'!AR23:AR42)/AVERAGE('Feeder Spreads'!AR23:AR42),"")</f>
        <v/>
      </c>
      <c r="FG23">
        <v>56.257800000000003</v>
      </c>
      <c r="FH23">
        <f>IFERROR(SQRT((SUMSQ('Feeder Spreads'!AR23:AR42)-2*SUMPRODUCT('Feeder Spreads'!AR23:AR42,'Feeder Spreads'!AR24:AR43)+SUMSQ('Feeder Spreads'!AR24:AR43)-('Feeder Spreads'!AR23-'Feeder Spreads'!AR43)^2/20)/19),"")</f>
        <v>0</v>
      </c>
      <c r="FJ23">
        <f>IFERROR('Fat Spreads'!AX23,"")</f>
        <v>0</v>
      </c>
      <c r="FK23">
        <f>IFERROR(('Fat Spreads'!AY23-AVERAGE('Fat Spreads'!$AY$3:$AY$4308))/STDEV('Fat Spreads'!$AY$3:$AY$4308),"")</f>
        <v>9.2057461789832332E-2</v>
      </c>
      <c r="FL23">
        <f>IFERROR('Fat Spreads'!AY23-'Fat Spreads'!AY28,"")</f>
        <v>0</v>
      </c>
      <c r="FM23">
        <f>IFERROR('Fat Spreads'!AY23-'Fat Spreads'!AY33,"")</f>
        <v>0</v>
      </c>
      <c r="FN23">
        <f>IFERROR(AVERAGE('Fat Spreads'!AY23:AY42)+2*STDEV('Fat Spreads'!AY23:AY42),"")</f>
        <v>0</v>
      </c>
      <c r="FO23">
        <f>IFERROR(AVERAGE('Fat Spreads'!AY23:AY42)-2*STDEV('Fat Spreads'!AY23:AY42),"")</f>
        <v>0</v>
      </c>
      <c r="FP23" t="str">
        <f>IFERROR(('Fat Spreads'!AY23-(AVERAGE('Fat Spreads'!AY23:AY42)-2*STDEV('Fat Spreads'!AY23:AY42)))/(4*STDEV('Fat Spreads'!AY23:AY42)),"")</f>
        <v/>
      </c>
      <c r="FQ23" t="str">
        <f>IFERROR(4*STDEV('Fat Spreads'!AY23:AY42)/AVERAGE('Fat Spreads'!AY23:AY42),"")</f>
        <v/>
      </c>
      <c r="FR23">
        <v>21.5092</v>
      </c>
      <c r="FS23">
        <f>IFERROR(SQRT((SUMSQ('Fat Spreads'!AY23:AY42)-2*SUMPRODUCT('Fat Spreads'!AY23:AY42,'Fat Spreads'!AY24:AY43)+SUMSQ('Fat Spreads'!AY24:AY43)-('Fat Spreads'!AY23-'Fat Spreads'!AY43)^2/20)/19),"")</f>
        <v>0</v>
      </c>
      <c r="FU23">
        <f>IFERROR('Fat Spreads'!BE23,"")</f>
        <v>0</v>
      </c>
      <c r="FV23">
        <f>IFERROR(('Fat Spreads'!BF23-AVERAGE('Fat Spreads'!$BF$3:$BF$4308))/STDEV('Fat Spreads'!$BF$3:$BF$4308),"")</f>
        <v>9.2057461789832332E-2</v>
      </c>
      <c r="FW23">
        <f>IFERROR('Fat Spreads'!BF23-'Fat Spreads'!BF28,"")</f>
        <v>0</v>
      </c>
      <c r="FX23">
        <f>IFERROR('Fat Spreads'!BF23-'Fat Spreads'!BF33,"")</f>
        <v>0</v>
      </c>
      <c r="FY23">
        <f>IFERROR(AVERAGE('Fat Spreads'!BF23:BF42)+2*STDEV('Fat Spreads'!BF23:BF42),"")</f>
        <v>0</v>
      </c>
      <c r="FZ23">
        <f>IFERROR(AVERAGE('Fat Spreads'!BF23:BF42)-2*STDEV('Fat Spreads'!BF23:BF42),"")</f>
        <v>0</v>
      </c>
      <c r="GA23" t="str">
        <f>IFERROR(('Fat Spreads'!BF23-(AVERAGE('Fat Spreads'!BF23:BF42)-2*STDEV('Fat Spreads'!BF23:BF42)))/(4*STDEV('Fat Spreads'!BF23:BF42)),"")</f>
        <v/>
      </c>
      <c r="GB23" t="str">
        <f>IFERROR(4*STDEV('Fat Spreads'!BF23:BF42)/AVERAGE('Fat Spreads'!BF23:BF42),"")</f>
        <v/>
      </c>
      <c r="GC23">
        <v>63.138800000000003</v>
      </c>
      <c r="GD23">
        <f>IFERROR(SQRT((SUMSQ('Fat Spreads'!BF23:BF42)-2*SUMPRODUCT('Fat Spreads'!BF23:BF42,'Fat Spreads'!BF24:BF43)+SUMSQ('Fat Spreads'!BF24:BF43)-('Fat Spreads'!BF23-'Fat Spreads'!BF43)^2/20)/19),"")</f>
        <v>0</v>
      </c>
    </row>
    <row r="24" spans="1:186" x14ac:dyDescent="0.25">
      <c r="A24">
        <f>IFERROR('Fat Spreads'!A24,"")</f>
        <v>0</v>
      </c>
      <c r="B24">
        <f>IFERROR(('Fat Spreads'!B24-AVERAGE('Fat Spreads'!$B$3:$B$4308))/STDEV('Fat Spreads'!$B$3:$B$4308),"")</f>
        <v>9.2057461789832346E-2</v>
      </c>
      <c r="C24">
        <f>IFERROR('Fat Spreads'!B24-'Fat Spreads'!B29,"")</f>
        <v>0</v>
      </c>
      <c r="D24">
        <f>IFERROR('Fat Spreads'!B24-'Fat Spreads'!B34,"")</f>
        <v>0</v>
      </c>
      <c r="E24">
        <f>IFERROR(AVERAGE('Fat Spreads'!B24:B43)+2*STDEV('Fat Spreads'!B24:B43),"")</f>
        <v>0</v>
      </c>
      <c r="F24">
        <f>IFERROR(AVERAGE('Fat Spreads'!B24:B43)-2*STDEV('Fat Spreads'!B24:B43),"")</f>
        <v>0</v>
      </c>
      <c r="G24" t="str">
        <f>IFERROR(('Fat Spreads'!B24-(AVERAGE('Fat Spreads'!B24:B43)-2*STDEV('Fat Spreads'!B24:B43)))/(4*STDEV('Fat Spreads'!B24:B43)),"")</f>
        <v/>
      </c>
      <c r="H24" t="str">
        <f>IFERROR(4*STDEV('Fat Spreads'!B24:B43)/AVERAGE('Fat Spreads'!B24:B43),"")</f>
        <v/>
      </c>
      <c r="I24">
        <v>45.808599999999998</v>
      </c>
      <c r="J24">
        <f>IFERROR(SQRT((SUMSQ('Fat Spreads'!B24:B43)-2*SUMPRODUCT('Fat Spreads'!B24:B43,'Fat Spreads'!B25:B44)+SUMSQ('Fat Spreads'!B25:B44)-('Fat Spreads'!B24-'Fat Spreads'!B44)^2/20)/19),"")</f>
        <v>0</v>
      </c>
      <c r="L24">
        <f>IFERROR('Fat Spreads'!H24,"")</f>
        <v>0</v>
      </c>
      <c r="M24">
        <f>IFERROR(('Fat Spreads'!I24-AVERAGE('Fat Spreads'!$I$3:$I$4308))/STDEV('Fat Spreads'!$I$3:$I$4308),"")</f>
        <v>-9.2057461789832332E-2</v>
      </c>
      <c r="N24">
        <f>IFERROR('Fat Spreads'!I24-'Fat Spreads'!I29,"")</f>
        <v>0</v>
      </c>
      <c r="O24">
        <f>IFERROR('Fat Spreads'!I24-'Fat Spreads'!I34,"")</f>
        <v>0</v>
      </c>
      <c r="P24">
        <f>IFERROR(AVERAGE('Fat Spreads'!I24:I43)+2*STDEV('Fat Spreads'!I24:I43),"")</f>
        <v>0</v>
      </c>
      <c r="Q24">
        <f>IFERROR(AVERAGE('Fat Spreads'!I24:I43)-2*STDEV('Fat Spreads'!I24:I43),"")</f>
        <v>0</v>
      </c>
      <c r="R24" t="str">
        <f>IFERROR(('Fat Spreads'!I24-(AVERAGE('Fat Spreads'!I24:I43)-2*STDEV('Fat Spreads'!I24:I43)))/(4*STDEV('Fat Spreads'!I24:I43)),"")</f>
        <v/>
      </c>
      <c r="S24" t="str">
        <f>IFERROR(4*STDEV('Fat Spreads'!I24:I43)/AVERAGE('Fat Spreads'!I24:I43),"")</f>
        <v/>
      </c>
      <c r="T24">
        <v>74.031400000000005</v>
      </c>
      <c r="U24">
        <f>IFERROR(SQRT((SUMSQ('Fat Spreads'!I24:I43)-2*SUMPRODUCT('Fat Spreads'!I24:I43,'Fat Spreads'!I25:I44)+SUMSQ('Fat Spreads'!I25:I44)-('Fat Spreads'!I24-'Fat Spreads'!I44)^2/20)/19),"")</f>
        <v>0</v>
      </c>
      <c r="W24">
        <f>IFERROR('Fat Spreads'!AQ24,"")</f>
        <v>0</v>
      </c>
      <c r="X24">
        <f>IFERROR(('Fat Spreads'!AR24-AVERAGE('Fat Spreads'!$AR$3:$AR$4308))/STDEV('Fat Spreads'!$AR$3:$AR$4308),"")</f>
        <v>-9.2057461789832346E-2</v>
      </c>
      <c r="Y24">
        <f>IFERROR('Fat Spreads'!AR24-'Fat Spreads'!AR29,"")</f>
        <v>0</v>
      </c>
      <c r="Z24">
        <f>IFERROR('Fat Spreads'!AR24-'Fat Spreads'!AR34,"")</f>
        <v>0</v>
      </c>
      <c r="AA24">
        <f>IFERROR(AVERAGE('Fat Spreads'!AR24:AR43)+2*STDEV('Fat Spreads'!AR24:AR43),"")</f>
        <v>0</v>
      </c>
      <c r="AB24">
        <f>IFERROR(AVERAGE('Fat Spreads'!AR24:AR43)-2*STDEV('Fat Spreads'!AR24:AR43),"")</f>
        <v>0</v>
      </c>
      <c r="AC24" t="str">
        <f>IFERROR(('Fat Spreads'!AR24-(AVERAGE('Fat Spreads'!AR24:AR43)-2*STDEV('Fat Spreads'!AR24:AR43)))/(4*STDEV('Fat Spreads'!AR24:AR43)),"")</f>
        <v/>
      </c>
      <c r="AD24" t="str">
        <f>IFERROR(4*STDEV('Fat Spreads'!AR24:AR43)/AVERAGE('Fat Spreads'!AR24:AR43),"")</f>
        <v/>
      </c>
      <c r="AE24">
        <v>87.377300000000005</v>
      </c>
      <c r="AF24">
        <f>IFERROR(SQRT((SUMSQ('Fat Spreads'!AR24:AR43)-2*SUMPRODUCT('Fat Spreads'!AR24:AR43,'Fat Spreads'!AR25:AR44)+SUMSQ('Fat Spreads'!AR25:AR44)-('Fat Spreads'!AR24-'Fat Spreads'!AR44)^2/20)/19),"")</f>
        <v>0</v>
      </c>
      <c r="AH24">
        <f>IFERROR('Fat Spreads'!O24,"")</f>
        <v>0</v>
      </c>
      <c r="AI24">
        <f>IFERROR(('Fat Spreads'!P24-AVERAGE('Fat Spreads'!$P$3:$P$4308))/STDEV('Fat Spreads'!$P$3:$P$4308),"")</f>
        <v>-9.2057461789832332E-2</v>
      </c>
      <c r="AJ24">
        <f>IFERROR('Fat Spreads'!P24-'Fat Spreads'!P29,"")</f>
        <v>0</v>
      </c>
      <c r="AK24">
        <f>IFERROR('Fat Spreads'!P24-'Fat Spreads'!P34,"")</f>
        <v>0</v>
      </c>
      <c r="AL24">
        <f>IFERROR(AVERAGE('Fat Spreads'!P24:P43)+2*STDEV('Fat Spreads'!P24:P43),"")</f>
        <v>0</v>
      </c>
      <c r="AM24">
        <f>IFERROR(AVERAGE('Fat Spreads'!P24:P43)-2*STDEV('Fat Spreads'!P24:P43),"")</f>
        <v>0</v>
      </c>
      <c r="AN24" t="str">
        <f>IFERROR(('Fat Spreads'!P24-(AVERAGE('Fat Spreads'!P24:P43)-2*STDEV('Fat Spreads'!P24:P43)))/(4*STDEV('Fat Spreads'!P24:P43)),"")</f>
        <v/>
      </c>
      <c r="AO24" t="str">
        <f>IFERROR(4*STDEV('Fat Spreads'!P24:P43)/AVERAGE('Fat Spreads'!P24:P43),"")</f>
        <v/>
      </c>
      <c r="AP24">
        <v>86.298100000000005</v>
      </c>
      <c r="AQ24">
        <f>IFERROR(SQRT((SUMSQ('Fat Spreads'!P24:P43)-2*SUMPRODUCT('Fat Spreads'!P24:P43,'Fat Spreads'!P25:P44)+SUMSQ('Fat Spreads'!P25:P44)-('Fat Spreads'!P24-'Fat Spreads'!P44)^2/20)/19),"")</f>
        <v>0</v>
      </c>
      <c r="AS24">
        <f>IFERROR('Fat Spreads'!AJ24,"")</f>
        <v>0</v>
      </c>
      <c r="AT24">
        <f>IFERROR(('Fat Spreads'!AK24-AVERAGE('Fat Spreads'!$AK$3:$AK$4308))/STDEV('Fat Spreads'!$AK$3:$AK$4308),"")</f>
        <v>-9.2057461789832332E-2</v>
      </c>
      <c r="AU24">
        <f>IFERROR('Fat Spreads'!AK24-'Fat Spreads'!AK29,"")</f>
        <v>0</v>
      </c>
      <c r="AV24">
        <f>IFERROR('Fat Spreads'!AK24-'Fat Spreads'!AK34,"")</f>
        <v>0</v>
      </c>
      <c r="AW24">
        <f>IFERROR(AVERAGE('Fat Spreads'!AK24:AK43)+2*STDEV('Fat Spreads'!AK24:AK43),"")</f>
        <v>0</v>
      </c>
      <c r="AX24">
        <f>IFERROR(AVERAGE('Fat Spreads'!AK24:AK43)-2*STDEV('Fat Spreads'!AK24:AK43),"")</f>
        <v>0</v>
      </c>
      <c r="AY24" t="str">
        <f>IFERROR(('Fat Spreads'!AK24-(AVERAGE('Fat Spreads'!AK24:AK43)-2*STDEV('Fat Spreads'!AK24:AK43)))/(4*STDEV('Fat Spreads'!AK24:AK43)),"")</f>
        <v/>
      </c>
      <c r="AZ24" t="str">
        <f>IFERROR(4*STDEV('Fat Spreads'!AK24:AK43)/AVERAGE('Fat Spreads'!AK24:AK43),"")</f>
        <v/>
      </c>
      <c r="BA24">
        <v>22.8184</v>
      </c>
      <c r="BB24">
        <f>IFERROR(SQRT((SUMSQ('Fat Spreads'!AK24:AK43)-2*SUMPRODUCT('Fat Spreads'!AK24:AK43,'Fat Spreads'!AK25:AK44)+SUMSQ('Fat Spreads'!AK25:AK44)-('Fat Spreads'!AK24-'Fat Spreads'!AK44)^2/20)/19),"")</f>
        <v>0</v>
      </c>
      <c r="BD24">
        <f>IFERROR('Fat Spreads'!V24,"")</f>
        <v>0</v>
      </c>
      <c r="BE24">
        <f>IFERROR(('Fat Spreads'!W24-AVERAGE('Fat Spreads'!$W$3:$W$4308))/STDEV('Fat Spreads'!$W$3:$W$4308),"")</f>
        <v>-9.2057461789832332E-2</v>
      </c>
      <c r="BF24">
        <f>IFERROR('Fat Spreads'!W24-'Fat Spreads'!W29,"")</f>
        <v>0</v>
      </c>
      <c r="BG24">
        <f>IFERROR('Fat Spreads'!W24-'Fat Spreads'!W34,"")</f>
        <v>0</v>
      </c>
      <c r="BH24">
        <f>IFERROR(AVERAGE('Fat Spreads'!W24:W43)+2*STDEV('Fat Spreads'!W24:W43),"")</f>
        <v>0</v>
      </c>
      <c r="BI24">
        <f>IFERROR(AVERAGE('Fat Spreads'!W24:W43)-2*STDEV('Fat Spreads'!W24:W43),"")</f>
        <v>0</v>
      </c>
      <c r="BJ24" t="str">
        <f>IFERROR(('Fat Spreads'!W24-(AVERAGE('Fat Spreads'!W24:W43)-2*STDEV('Fat Spreads'!W24:W43)))/(4*STDEV('Fat Spreads'!W24:W43)),"")</f>
        <v/>
      </c>
      <c r="BK24" t="str">
        <f>IFERROR(4*STDEV('Fat Spreads'!W24:W43)/AVERAGE('Fat Spreads'!W24:W43),"")</f>
        <v/>
      </c>
      <c r="BL24">
        <v>73.899000000000001</v>
      </c>
      <c r="BM24">
        <f>IFERROR(SQRT((SUMSQ('Fat Spreads'!W24:W43)-2*SUMPRODUCT('Fat Spreads'!W24:W43,'Fat Spreads'!W25:W44)+SUMSQ('Fat Spreads'!W25:W44)-('Fat Spreads'!W24-'Fat Spreads'!W44)^2/20)/19),"")</f>
        <v>0</v>
      </c>
      <c r="BO24">
        <f>IFERROR('Fat Spreads'!AC24,"")</f>
        <v>0</v>
      </c>
      <c r="BP24">
        <f>IFERROR(('Fat Spreads'!AD24-AVERAGE('Fat Spreads'!$AD$3:$AD$4308))/STDEV('Fat Spreads'!$AD$3:$AD$4308),"")</f>
        <v>-9.2057461789832332E-2</v>
      </c>
      <c r="BQ24">
        <f>IFERROR('Fat Spreads'!AD24-'Fat Spreads'!AD29,"")</f>
        <v>0</v>
      </c>
      <c r="BR24">
        <f>IFERROR('Fat Spreads'!AD24-'Fat Spreads'!AD34,"")</f>
        <v>0</v>
      </c>
      <c r="BS24">
        <f>IFERROR(AVERAGE('Fat Spreads'!AD24:AD43)+2*STDEV('Fat Spreads'!AD24:AD43),"")</f>
        <v>0</v>
      </c>
      <c r="BT24">
        <f>IFERROR(AVERAGE('Fat Spreads'!AD24:AD43)-2*STDEV('Fat Spreads'!AD24:AD43),"")</f>
        <v>0</v>
      </c>
      <c r="BU24" t="str">
        <f>IFERROR(('Fat Spreads'!AD24-(AVERAGE('Fat Spreads'!AD24:AD43)-2*STDEV('Fat Spreads'!AD24:AD43)))/(4*STDEV('Fat Spreads'!AD24:AD43)),"")</f>
        <v/>
      </c>
      <c r="BV24" t="str">
        <f>IFERROR(4*STDEV('Fat Spreads'!AD24:AD43)/AVERAGE('Fat Spreads'!AD24:AD43),"")</f>
        <v/>
      </c>
      <c r="BW24">
        <v>65.616100000000003</v>
      </c>
      <c r="BX24">
        <f>IFERROR(SQRT((SUMSQ('Fat Spreads'!AD24:AD43)-2*SUMPRODUCT('Fat Spreads'!AD24:AD43,'Fat Spreads'!AD25:AD44)+SUMSQ('Fat Spreads'!AD25:AD44)-('Fat Spreads'!AD24-'Fat Spreads'!AD44)^2/20)/19),"")</f>
        <v>0</v>
      </c>
      <c r="BZ24">
        <f>IFERROR('Feeder Spreads'!A24,"")</f>
        <v>0</v>
      </c>
      <c r="CA24">
        <f>IFERROR(('Feeder Spreads'!B24-AVERAGE('Feeder Spreads'!$B$3:$B$4308))/STDEV('Feeder Spreads'!$B$3:$B$4308),"")</f>
        <v>-9.2057461789832346E-2</v>
      </c>
      <c r="CB24">
        <f>IFERROR('Feeder Spreads'!B24-'Feeder Spreads'!B29,"")</f>
        <v>0</v>
      </c>
      <c r="CC24">
        <f>IFERROR('Feeder Spreads'!B24-'Feeder Spreads'!B34,"")</f>
        <v>0</v>
      </c>
      <c r="CD24">
        <f>IFERROR(AVERAGE('Feeder Spreads'!B24:B43)+2*STDEV('Feeder Spreads'!B24:B43),"")</f>
        <v>0</v>
      </c>
      <c r="CE24">
        <f>IFERROR(AVERAGE('Feeder Spreads'!B24:B43)-2*STDEV('Feeder Spreads'!B24:B43),"")</f>
        <v>0</v>
      </c>
      <c r="CF24" t="str">
        <f>IFERROR(('Feeder Spreads'!B24-(AVERAGE('Feeder Spreads'!B24:B43)-2*STDEV('Feeder Spreads'!B24:B43)))/(4*STDEV('Feeder Spreads'!B24:B43)),"")</f>
        <v/>
      </c>
      <c r="CG24" t="str">
        <f>IFERROR(4*STDEV('Feeder Spreads'!B24:B43)/AVERAGE('Feeder Spreads'!B24:B43),"")</f>
        <v/>
      </c>
      <c r="CH24">
        <v>64.278300000000002</v>
      </c>
      <c r="CI24">
        <f>IFERROR(SQRT((SUMSQ('Feeder Spreads'!B24:B43)-2*SUMPRODUCT('Feeder Spreads'!B24:B43,'Feeder Spreads'!B25:B44)+SUMSQ('Feeder Spreads'!B25:B44)-('Feeder Spreads'!B24-'Feeder Spreads'!B44)^2/20)/19),"")</f>
        <v>0</v>
      </c>
      <c r="CK24">
        <f>IFERROR('Feeder Spreads'!AX24,"")</f>
        <v>0</v>
      </c>
      <c r="CL24">
        <f>IFERROR(('Feeder Spreads'!AY24-AVERAGE('Feeder Spreads'!$AY$3:$AY$4308))/STDEV('Feeder Spreads'!$AY$3:$AY$4308),"")</f>
        <v>-9.2057461789832346E-2</v>
      </c>
      <c r="CM24">
        <f>IFERROR('Feeder Spreads'!AY24-'Feeder Spreads'!AY29,"")</f>
        <v>0</v>
      </c>
      <c r="CN24">
        <f>IFERROR('Feeder Spreads'!AY24-'Feeder Spreads'!AY34,"")</f>
        <v>0</v>
      </c>
      <c r="CO24">
        <f>IFERROR(AVERAGE('Feeder Spreads'!AY24:AY43)+2*STDEV('Feeder Spreads'!AY24:AY43),"")</f>
        <v>0</v>
      </c>
      <c r="CP24">
        <f>IFERROR(AVERAGE('Feeder Spreads'!AY24:AY43)-2*STDEV('Feeder Spreads'!AY24:AY43),"")</f>
        <v>0</v>
      </c>
      <c r="CQ24" t="str">
        <f>IFERROR(('Feeder Spreads'!AY24-(AVERAGE('Feeder Spreads'!AY24:AY43)-2*STDEV('Feeder Spreads'!AY24:AY43)))/(4*STDEV('Feeder Spreads'!AY24:AY43)),"")</f>
        <v/>
      </c>
      <c r="CR24" t="str">
        <f>IFERROR(4*STDEV('Feeder Spreads'!AY24:AY43)/AVERAGE('Feeder Spreads'!AY24:AY43),"")</f>
        <v/>
      </c>
      <c r="CS24">
        <v>62.667299999999997</v>
      </c>
      <c r="CT24">
        <f>IFERROR(SQRT((SUMSQ('Feeder Spreads'!AY24:AY43)-2*SUMPRODUCT('Feeder Spreads'!AY24:AY43,'Feeder Spreads'!AY25:AY44)+SUMSQ('Feeder Spreads'!AY25:AY44)-('Feeder Spreads'!AY24-'Feeder Spreads'!AY44)^2/20)/19),"")</f>
        <v>0</v>
      </c>
      <c r="CV24">
        <f>IFERROR('Feeder Spreads'!H24,"")</f>
        <v>0</v>
      </c>
      <c r="CW24">
        <f>IFERROR(('Feeder Spreads'!I24-AVERAGE('Feeder Spreads'!$I$3:$I$4308))/STDEV('Feeder Spreads'!$I$3:$I$4308),"")</f>
        <v>-9.2057461789832332E-2</v>
      </c>
      <c r="CX24">
        <f>IFERROR('Feeder Spreads'!I24-'Feeder Spreads'!I29,"")</f>
        <v>0</v>
      </c>
      <c r="CY24">
        <f>IFERROR('Feeder Spreads'!I24-'Feeder Spreads'!I34,"")</f>
        <v>0</v>
      </c>
      <c r="CZ24">
        <f>IFERROR(AVERAGE('Feeder Spreads'!I24:I43)+2*STDEV('Feeder Spreads'!I24:I43),"")</f>
        <v>0</v>
      </c>
      <c r="DA24">
        <f>IFERROR(AVERAGE('Feeder Spreads'!I24:I43)-2*STDEV('Feeder Spreads'!I24:I43),"")</f>
        <v>0</v>
      </c>
      <c r="DB24" t="str">
        <f>IFERROR(('Feeder Spreads'!I24-(AVERAGE('Feeder Spreads'!I24:I43)-2*STDEV('Feeder Spreads'!I24:I43)))/(4*STDEV('Feeder Spreads'!I24:I43)),"")</f>
        <v/>
      </c>
      <c r="DC24" t="str">
        <f>IFERROR(4*STDEV('Feeder Spreads'!I24:I43)/AVERAGE('Feeder Spreads'!I24:I43),"")</f>
        <v/>
      </c>
      <c r="DD24">
        <v>47.9711</v>
      </c>
      <c r="DE24">
        <f>IFERROR(SQRT((SUMSQ('Feeder Spreads'!I24:I43)-2*SUMPRODUCT('Feeder Spreads'!I24:I43,'Feeder Spreads'!I25:I44)+SUMSQ('Feeder Spreads'!I25:I44)-('Feeder Spreads'!I24-'Feeder Spreads'!I44)^2/20)/19),"")</f>
        <v>0</v>
      </c>
      <c r="DG24">
        <f>IFERROR('Feeder Spreads'!O24,"")</f>
        <v>0</v>
      </c>
      <c r="DH24">
        <f>IFERROR(('Feeder Spreads'!P24-AVERAGE('Feeder Spreads'!$P$3:$P$4308))/STDEV('Feeder Spreads'!$P$3:$P$4308),"")</f>
        <v>-9.2057461789832346E-2</v>
      </c>
      <c r="DI24">
        <f>IFERROR('Feeder Spreads'!P24-'Feeder Spreads'!P29,"")</f>
        <v>0</v>
      </c>
      <c r="DJ24">
        <f>IFERROR('Feeder Spreads'!P24-'Feeder Spreads'!P34,"")</f>
        <v>0</v>
      </c>
      <c r="DK24">
        <f>IFERROR(AVERAGE('Feeder Spreads'!P24:P43)+2*STDEV('Feeder Spreads'!P24:P43),"")</f>
        <v>0</v>
      </c>
      <c r="DL24">
        <f>IFERROR(AVERAGE('Feeder Spreads'!P24:P43)-2*STDEV('Feeder Spreads'!P24:P43),"")</f>
        <v>0</v>
      </c>
      <c r="DM24" t="str">
        <f>IFERROR(('Feeder Spreads'!P24-(AVERAGE('Feeder Spreads'!P24:P43)-2*STDEV('Feeder Spreads'!P24:P43)))/(4*STDEV('Feeder Spreads'!P24:P43)),"")</f>
        <v/>
      </c>
      <c r="DN24" t="str">
        <f>IFERROR(4*STDEV('Feeder Spreads'!P24:P43)/AVERAGE('Feeder Spreads'!P24:P43),"")</f>
        <v/>
      </c>
      <c r="DO24">
        <v>57.397300000000001</v>
      </c>
      <c r="DP24">
        <f>IFERROR(SQRT((SUMSQ('Feeder Spreads'!P24:P43)-2*SUMPRODUCT('Feeder Spreads'!P24:P43,'Feeder Spreads'!P25:P44)+SUMSQ('Feeder Spreads'!P25:P44)-('Feeder Spreads'!P24-'Feeder Spreads'!P44)^2/20)/19),"")</f>
        <v>0</v>
      </c>
      <c r="DR24">
        <f>IFERROR('Feeder Spreads'!V24,"")</f>
        <v>0</v>
      </c>
      <c r="DS24">
        <f>IFERROR(('Feeder Spreads'!W24-AVERAGE('Feeder Spreads'!$W$3:$W$4308))/STDEV('Feeder Spreads'!$W$3:$W$4308),"")</f>
        <v>-9.2057461789832332E-2</v>
      </c>
      <c r="DT24">
        <f>IFERROR('Feeder Spreads'!W24-'Feeder Spreads'!W29,"")</f>
        <v>0</v>
      </c>
      <c r="DU24">
        <f>IFERROR('Feeder Spreads'!W24-'Feeder Spreads'!W34,"")</f>
        <v>0</v>
      </c>
      <c r="DV24">
        <f>IFERROR(AVERAGE('Feeder Spreads'!W24:W43)+2*STDEV('Feeder Spreads'!W24:W43),"")</f>
        <v>0</v>
      </c>
      <c r="DW24">
        <f>IFERROR(AVERAGE('Feeder Spreads'!W24:W43)-2*STDEV('Feeder Spreads'!W24:W43),"")</f>
        <v>0</v>
      </c>
      <c r="DX24" t="str">
        <f>IFERROR(('Feeder Spreads'!W24-(AVERAGE('Feeder Spreads'!W24:W43)-2*STDEV('Feeder Spreads'!W24:W43)))/(4*STDEV('Feeder Spreads'!W24:W43)),"")</f>
        <v/>
      </c>
      <c r="DY24" t="str">
        <f>IFERROR(4*STDEV('Feeder Spreads'!W24:W43)/AVERAGE('Feeder Spreads'!W24:W43),"")</f>
        <v/>
      </c>
      <c r="DZ24">
        <v>18.640599999999999</v>
      </c>
      <c r="EA24">
        <f>IFERROR(SQRT((SUMSQ('Feeder Spreads'!W24:W43)-2*SUMPRODUCT('Feeder Spreads'!W24:W43,'Feeder Spreads'!W25:W44)+SUMSQ('Feeder Spreads'!W25:W44)-('Feeder Spreads'!W24-'Feeder Spreads'!W44)^2/20)/19),"")</f>
        <v>0</v>
      </c>
      <c r="EC24">
        <f>IFERROR('Feeder Spreads'!AC24,"")</f>
        <v>0</v>
      </c>
      <c r="ED24">
        <f>IFERROR(('Feeder Spreads'!AD24-AVERAGE('Feeder Spreads'!$AD$3:$AD$4308))/STDEV('Feeder Spreads'!$AD$3:$AD$4308),"")</f>
        <v>9.2057461789832318E-2</v>
      </c>
      <c r="EE24">
        <f>IFERROR('Feeder Spreads'!AD24-'Feeder Spreads'!AD29,"")</f>
        <v>0</v>
      </c>
      <c r="EF24">
        <f>IFERROR('Feeder Spreads'!AD24-'Feeder Spreads'!AD34,"")</f>
        <v>0</v>
      </c>
      <c r="EG24">
        <f>IFERROR(AVERAGE('Feeder Spreads'!AD24:AD43)+2*STDEV('Feeder Spreads'!AD24:AD43),"")</f>
        <v>0</v>
      </c>
      <c r="EH24">
        <f>IFERROR(AVERAGE('Feeder Spreads'!AD24:AD43)-2*STDEV('Feeder Spreads'!AD24:AD43),"")</f>
        <v>0</v>
      </c>
      <c r="EI24" t="str">
        <f>IFERROR(('Feeder Spreads'!AD24-(AVERAGE('Feeder Spreads'!AD24:AD43)-2*STDEV('Feeder Spreads'!AD24:AD43)))/(4*STDEV('Feeder Spreads'!AD24:AD43)),"")</f>
        <v/>
      </c>
      <c r="EJ24" t="str">
        <f>IFERROR(4*STDEV('Feeder Spreads'!AD24:AD43)/AVERAGE('Feeder Spreads'!AD24:AD43),"")</f>
        <v/>
      </c>
      <c r="EK24">
        <v>50.339100000000002</v>
      </c>
      <c r="EL24">
        <f>IFERROR(SQRT((SUMSQ('Feeder Spreads'!AD24:AD43)-2*SUMPRODUCT('Feeder Spreads'!AD24:AD43,'Feeder Spreads'!AD25:AD44)+SUMSQ('Feeder Spreads'!AD25:AD44)-('Feeder Spreads'!AD24-'Feeder Spreads'!AD44)^2/20)/19),"")</f>
        <v>0</v>
      </c>
      <c r="EN24">
        <f>IFERROR('Feeder Spreads'!AJ24,"")</f>
        <v>0</v>
      </c>
      <c r="EO24">
        <f>IFERROR(('Feeder Spreads'!AK24-AVERAGE('Feeder Spreads'!$AK$3:$AK$4308))/STDEV('Feeder Spreads'!$AK$3:$AK$4308),"")</f>
        <v>-9.2057461789832346E-2</v>
      </c>
      <c r="EP24">
        <f>IFERROR('Feeder Spreads'!AK24-'Feeder Spreads'!AK29,"")</f>
        <v>0</v>
      </c>
      <c r="EQ24">
        <f>IFERROR('Feeder Spreads'!AK24-'Feeder Spreads'!AK34,"")</f>
        <v>0</v>
      </c>
      <c r="ER24">
        <f>IFERROR(AVERAGE('Feeder Spreads'!AK24:AK43)+2*STDEV('Feeder Spreads'!AK24:AK43),"")</f>
        <v>0</v>
      </c>
      <c r="ES24">
        <f>IFERROR(AVERAGE('Feeder Spreads'!AK24:AK43)-2*STDEV('Feeder Spreads'!AK24:AK43),"")</f>
        <v>0</v>
      </c>
      <c r="ET24" t="str">
        <f>IFERROR(('Feeder Spreads'!AK24-(AVERAGE('Feeder Spreads'!AK24:AK43)-2*STDEV('Feeder Spreads'!AK24:AK43)))/(4*STDEV('Feeder Spreads'!AK24:AK43)),"")</f>
        <v/>
      </c>
      <c r="EU24" t="str">
        <f>IFERROR(4*STDEV('Feeder Spreads'!AK24:AK43)/AVERAGE('Feeder Spreads'!AK24:AK43),"")</f>
        <v/>
      </c>
      <c r="EV24">
        <v>54.328600000000002</v>
      </c>
      <c r="EW24">
        <f>IFERROR(SQRT((SUMSQ('Feeder Spreads'!AK24:AK43)-2*SUMPRODUCT('Feeder Spreads'!AK24:AK43,'Feeder Spreads'!AK25:AK44)+SUMSQ('Feeder Spreads'!AK25:AK44)-('Feeder Spreads'!AK24-'Feeder Spreads'!AK44)^2/20)/19),"")</f>
        <v>0</v>
      </c>
      <c r="EY24">
        <f>IFERROR('Feeder Spreads'!AQ24,"")</f>
        <v>0</v>
      </c>
      <c r="EZ24">
        <f>IFERROR(('Feeder Spreads'!AR24-AVERAGE('Feeder Spreads'!$AR$3:$AR$4308))/STDEV('Feeder Spreads'!$AR$3:$AR$4308),"")</f>
        <v>-9.2057461789832332E-2</v>
      </c>
      <c r="FA24">
        <f>IFERROR('Feeder Spreads'!AR24-'Feeder Spreads'!AR29,"")</f>
        <v>0</v>
      </c>
      <c r="FB24">
        <f>IFERROR('Feeder Spreads'!AR24-'Feeder Spreads'!AR34,"")</f>
        <v>0</v>
      </c>
      <c r="FC24">
        <f>IFERROR(AVERAGE('Feeder Spreads'!AR24:AR43)+2*STDEV('Feeder Spreads'!AR24:AR43),"")</f>
        <v>0</v>
      </c>
      <c r="FD24">
        <f>IFERROR(AVERAGE('Feeder Spreads'!AR24:AR43)-2*STDEV('Feeder Spreads'!AR24:AR43),"")</f>
        <v>0</v>
      </c>
      <c r="FE24" t="str">
        <f>IFERROR(('Feeder Spreads'!AR24-(AVERAGE('Feeder Spreads'!AR24:AR43)-2*STDEV('Feeder Spreads'!AR24:AR43)))/(4*STDEV('Feeder Spreads'!AR24:AR43)),"")</f>
        <v/>
      </c>
      <c r="FF24" t="str">
        <f>IFERROR(4*STDEV('Feeder Spreads'!AR24:AR43)/AVERAGE('Feeder Spreads'!AR24:AR43),"")</f>
        <v/>
      </c>
      <c r="FG24">
        <v>60.455399999999997</v>
      </c>
      <c r="FH24">
        <f>IFERROR(SQRT((SUMSQ('Feeder Spreads'!AR24:AR43)-2*SUMPRODUCT('Feeder Spreads'!AR24:AR43,'Feeder Spreads'!AR25:AR44)+SUMSQ('Feeder Spreads'!AR25:AR44)-('Feeder Spreads'!AR24-'Feeder Spreads'!AR44)^2/20)/19),"")</f>
        <v>0</v>
      </c>
      <c r="FJ24">
        <f>IFERROR('Fat Spreads'!AX24,"")</f>
        <v>0</v>
      </c>
      <c r="FK24">
        <f>IFERROR(('Fat Spreads'!AY24-AVERAGE('Fat Spreads'!$AY$3:$AY$4308))/STDEV('Fat Spreads'!$AY$3:$AY$4308),"")</f>
        <v>9.2057461789832332E-2</v>
      </c>
      <c r="FL24">
        <f>IFERROR('Fat Spreads'!AY24-'Fat Spreads'!AY29,"")</f>
        <v>0</v>
      </c>
      <c r="FM24">
        <f>IFERROR('Fat Spreads'!AY24-'Fat Spreads'!AY34,"")</f>
        <v>0</v>
      </c>
      <c r="FN24">
        <f>IFERROR(AVERAGE('Fat Spreads'!AY24:AY43)+2*STDEV('Fat Spreads'!AY24:AY43),"")</f>
        <v>0</v>
      </c>
      <c r="FO24">
        <f>IFERROR(AVERAGE('Fat Spreads'!AY24:AY43)-2*STDEV('Fat Spreads'!AY24:AY43),"")</f>
        <v>0</v>
      </c>
      <c r="FP24" t="str">
        <f>IFERROR(('Fat Spreads'!AY24-(AVERAGE('Fat Spreads'!AY24:AY43)-2*STDEV('Fat Spreads'!AY24:AY43)))/(4*STDEV('Fat Spreads'!AY24:AY43)),"")</f>
        <v/>
      </c>
      <c r="FQ24" t="str">
        <f>IFERROR(4*STDEV('Fat Spreads'!AY24:AY43)/AVERAGE('Fat Spreads'!AY24:AY43),"")</f>
        <v/>
      </c>
      <c r="FR24">
        <v>18.769500000000001</v>
      </c>
      <c r="FS24">
        <f>IFERROR(SQRT((SUMSQ('Fat Spreads'!AY24:AY43)-2*SUMPRODUCT('Fat Spreads'!AY24:AY43,'Fat Spreads'!AY25:AY44)+SUMSQ('Fat Spreads'!AY25:AY44)-('Fat Spreads'!AY24-'Fat Spreads'!AY44)^2/20)/19),"")</f>
        <v>0</v>
      </c>
      <c r="FU24">
        <f>IFERROR('Fat Spreads'!BE24,"")</f>
        <v>0</v>
      </c>
      <c r="FV24">
        <f>IFERROR(('Fat Spreads'!BF24-AVERAGE('Fat Spreads'!$BF$3:$BF$4308))/STDEV('Fat Spreads'!$BF$3:$BF$4308),"")</f>
        <v>9.2057461789832332E-2</v>
      </c>
      <c r="FW24">
        <f>IFERROR('Fat Spreads'!BF24-'Fat Spreads'!BF29,"")</f>
        <v>0</v>
      </c>
      <c r="FX24">
        <f>IFERROR('Fat Spreads'!BF24-'Fat Spreads'!BF34,"")</f>
        <v>0</v>
      </c>
      <c r="FY24">
        <f>IFERROR(AVERAGE('Fat Spreads'!BF24:BF43)+2*STDEV('Fat Spreads'!BF24:BF43),"")</f>
        <v>0</v>
      </c>
      <c r="FZ24">
        <f>IFERROR(AVERAGE('Fat Spreads'!BF24:BF43)-2*STDEV('Fat Spreads'!BF24:BF43),"")</f>
        <v>0</v>
      </c>
      <c r="GA24" t="str">
        <f>IFERROR(('Fat Spreads'!BF24-(AVERAGE('Fat Spreads'!BF24:BF43)-2*STDEV('Fat Spreads'!BF24:BF43)))/(4*STDEV('Fat Spreads'!BF24:BF43)),"")</f>
        <v/>
      </c>
      <c r="GB24" t="str">
        <f>IFERROR(4*STDEV('Fat Spreads'!BF24:BF43)/AVERAGE('Fat Spreads'!BF24:BF43),"")</f>
        <v/>
      </c>
      <c r="GC24">
        <v>58.870699999999999</v>
      </c>
      <c r="GD24">
        <f>IFERROR(SQRT((SUMSQ('Fat Spreads'!BF24:BF43)-2*SUMPRODUCT('Fat Spreads'!BF24:BF43,'Fat Spreads'!BF25:BF44)+SUMSQ('Fat Spreads'!BF25:BF44)-('Fat Spreads'!BF24-'Fat Spreads'!BF44)^2/20)/19),"")</f>
        <v>0</v>
      </c>
    </row>
    <row r="25" spans="1:186" x14ac:dyDescent="0.25">
      <c r="A25">
        <f>IFERROR('Fat Spreads'!A25,"")</f>
        <v>0</v>
      </c>
      <c r="B25">
        <f>IFERROR(('Fat Spreads'!B25-AVERAGE('Fat Spreads'!$B$3:$B$4308))/STDEV('Fat Spreads'!$B$3:$B$4308),"")</f>
        <v>9.2057461789832346E-2</v>
      </c>
      <c r="C25">
        <f>IFERROR('Fat Spreads'!B25-'Fat Spreads'!B30,"")</f>
        <v>0</v>
      </c>
      <c r="D25">
        <f>IFERROR('Fat Spreads'!B25-'Fat Spreads'!B35,"")</f>
        <v>0</v>
      </c>
      <c r="E25">
        <f>IFERROR(AVERAGE('Fat Spreads'!B25:B44)+2*STDEV('Fat Spreads'!B25:B44),"")</f>
        <v>0</v>
      </c>
      <c r="F25">
        <f>IFERROR(AVERAGE('Fat Spreads'!B25:B44)-2*STDEV('Fat Spreads'!B25:B44),"")</f>
        <v>0</v>
      </c>
      <c r="G25" t="str">
        <f>IFERROR(('Fat Spreads'!B25-(AVERAGE('Fat Spreads'!B25:B44)-2*STDEV('Fat Spreads'!B25:B44)))/(4*STDEV('Fat Spreads'!B25:B44)),"")</f>
        <v/>
      </c>
      <c r="H25" t="str">
        <f>IFERROR(4*STDEV('Fat Spreads'!B25:B44)/AVERAGE('Fat Spreads'!B25:B44),"")</f>
        <v/>
      </c>
      <c r="I25">
        <v>28.773599999999998</v>
      </c>
      <c r="J25">
        <f>IFERROR(SQRT((SUMSQ('Fat Spreads'!B25:B44)-2*SUMPRODUCT('Fat Spreads'!B25:B44,'Fat Spreads'!B26:B45)+SUMSQ('Fat Spreads'!B26:B45)-('Fat Spreads'!B25-'Fat Spreads'!B45)^2/20)/19),"")</f>
        <v>0</v>
      </c>
      <c r="L25">
        <f>IFERROR('Fat Spreads'!H25,"")</f>
        <v>0</v>
      </c>
      <c r="M25">
        <f>IFERROR(('Fat Spreads'!I25-AVERAGE('Fat Spreads'!$I$3:$I$4308))/STDEV('Fat Spreads'!$I$3:$I$4308),"")</f>
        <v>-9.2057461789832332E-2</v>
      </c>
      <c r="N25">
        <f>IFERROR('Fat Spreads'!I25-'Fat Spreads'!I30,"")</f>
        <v>0</v>
      </c>
      <c r="O25">
        <f>IFERROR('Fat Spreads'!I25-'Fat Spreads'!I35,"")</f>
        <v>0</v>
      </c>
      <c r="P25">
        <f>IFERROR(AVERAGE('Fat Spreads'!I25:I44)+2*STDEV('Fat Spreads'!I25:I44),"")</f>
        <v>0</v>
      </c>
      <c r="Q25">
        <f>IFERROR(AVERAGE('Fat Spreads'!I25:I44)-2*STDEV('Fat Spreads'!I25:I44),"")</f>
        <v>0</v>
      </c>
      <c r="R25" t="str">
        <f>IFERROR(('Fat Spreads'!I25-(AVERAGE('Fat Spreads'!I25:I44)-2*STDEV('Fat Spreads'!I25:I44)))/(4*STDEV('Fat Spreads'!I25:I44)),"")</f>
        <v/>
      </c>
      <c r="S25" t="str">
        <f>IFERROR(4*STDEV('Fat Spreads'!I25:I44)/AVERAGE('Fat Spreads'!I25:I44),"")</f>
        <v/>
      </c>
      <c r="T25">
        <v>74.031400000000005</v>
      </c>
      <c r="U25">
        <f>IFERROR(SQRT((SUMSQ('Fat Spreads'!I25:I44)-2*SUMPRODUCT('Fat Spreads'!I25:I44,'Fat Spreads'!I26:I45)+SUMSQ('Fat Spreads'!I26:I45)-('Fat Spreads'!I25-'Fat Spreads'!I45)^2/20)/19),"")</f>
        <v>0</v>
      </c>
      <c r="W25">
        <f>IFERROR('Fat Spreads'!AQ25,"")</f>
        <v>0</v>
      </c>
      <c r="X25">
        <f>IFERROR(('Fat Spreads'!AR25-AVERAGE('Fat Spreads'!$AR$3:$AR$4308))/STDEV('Fat Spreads'!$AR$3:$AR$4308),"")</f>
        <v>-9.2057461789832346E-2</v>
      </c>
      <c r="Y25">
        <f>IFERROR('Fat Spreads'!AR25-'Fat Spreads'!AR30,"")</f>
        <v>0</v>
      </c>
      <c r="Z25">
        <f>IFERROR('Fat Spreads'!AR25-'Fat Spreads'!AR35,"")</f>
        <v>0</v>
      </c>
      <c r="AA25">
        <f>IFERROR(AVERAGE('Fat Spreads'!AR25:AR44)+2*STDEV('Fat Spreads'!AR25:AR44),"")</f>
        <v>0</v>
      </c>
      <c r="AB25">
        <f>IFERROR(AVERAGE('Fat Spreads'!AR25:AR44)-2*STDEV('Fat Spreads'!AR25:AR44),"")</f>
        <v>0</v>
      </c>
      <c r="AC25" t="str">
        <f>IFERROR(('Fat Spreads'!AR25-(AVERAGE('Fat Spreads'!AR25:AR44)-2*STDEV('Fat Spreads'!AR25:AR44)))/(4*STDEV('Fat Spreads'!AR25:AR44)),"")</f>
        <v/>
      </c>
      <c r="AD25" t="str">
        <f>IFERROR(4*STDEV('Fat Spreads'!AR25:AR44)/AVERAGE('Fat Spreads'!AR25:AR44),"")</f>
        <v/>
      </c>
      <c r="AE25">
        <v>86.670400000000001</v>
      </c>
      <c r="AF25">
        <f>IFERROR(SQRT((SUMSQ('Fat Spreads'!AR25:AR44)-2*SUMPRODUCT('Fat Spreads'!AR25:AR44,'Fat Spreads'!AR26:AR45)+SUMSQ('Fat Spreads'!AR26:AR45)-('Fat Spreads'!AR25-'Fat Spreads'!AR45)^2/20)/19),"")</f>
        <v>0</v>
      </c>
      <c r="AH25">
        <f>IFERROR('Fat Spreads'!O25,"")</f>
        <v>0</v>
      </c>
      <c r="AI25">
        <f>IFERROR(('Fat Spreads'!P25-AVERAGE('Fat Spreads'!$P$3:$P$4308))/STDEV('Fat Spreads'!$P$3:$P$4308),"")</f>
        <v>-9.2057461789832332E-2</v>
      </c>
      <c r="AJ25">
        <f>IFERROR('Fat Spreads'!P25-'Fat Spreads'!P30,"")</f>
        <v>0</v>
      </c>
      <c r="AK25">
        <f>IFERROR('Fat Spreads'!P25-'Fat Spreads'!P35,"")</f>
        <v>0</v>
      </c>
      <c r="AL25">
        <f>IFERROR(AVERAGE('Fat Spreads'!P25:P44)+2*STDEV('Fat Spreads'!P25:P44),"")</f>
        <v>0</v>
      </c>
      <c r="AM25">
        <f>IFERROR(AVERAGE('Fat Spreads'!P25:P44)-2*STDEV('Fat Spreads'!P25:P44),"")</f>
        <v>0</v>
      </c>
      <c r="AN25" t="str">
        <f>IFERROR(('Fat Spreads'!P25-(AVERAGE('Fat Spreads'!P25:P44)-2*STDEV('Fat Spreads'!P25:P44)))/(4*STDEV('Fat Spreads'!P25:P44)),"")</f>
        <v/>
      </c>
      <c r="AO25" t="str">
        <f>IFERROR(4*STDEV('Fat Spreads'!P25:P44)/AVERAGE('Fat Spreads'!P25:P44),"")</f>
        <v/>
      </c>
      <c r="AP25">
        <v>84.969200000000001</v>
      </c>
      <c r="AQ25">
        <f>IFERROR(SQRT((SUMSQ('Fat Spreads'!P25:P44)-2*SUMPRODUCT('Fat Spreads'!P25:P44,'Fat Spreads'!P26:P45)+SUMSQ('Fat Spreads'!P26:P45)-('Fat Spreads'!P25-'Fat Spreads'!P45)^2/20)/19),"")</f>
        <v>0</v>
      </c>
      <c r="AS25">
        <f>IFERROR('Fat Spreads'!AJ25,"")</f>
        <v>0</v>
      </c>
      <c r="AT25">
        <f>IFERROR(('Fat Spreads'!AK25-AVERAGE('Fat Spreads'!$AK$3:$AK$4308))/STDEV('Fat Spreads'!$AK$3:$AK$4308),"")</f>
        <v>-9.2057461789832332E-2</v>
      </c>
      <c r="AU25">
        <f>IFERROR('Fat Spreads'!AK25-'Fat Spreads'!AK30,"")</f>
        <v>0</v>
      </c>
      <c r="AV25">
        <f>IFERROR('Fat Spreads'!AK25-'Fat Spreads'!AK35,"")</f>
        <v>0</v>
      </c>
      <c r="AW25">
        <f>IFERROR(AVERAGE('Fat Spreads'!AK25:AK44)+2*STDEV('Fat Spreads'!AK25:AK44),"")</f>
        <v>0</v>
      </c>
      <c r="AX25">
        <f>IFERROR(AVERAGE('Fat Spreads'!AK25:AK44)-2*STDEV('Fat Spreads'!AK25:AK44),"")</f>
        <v>0</v>
      </c>
      <c r="AY25" t="str">
        <f>IFERROR(('Fat Spreads'!AK25-(AVERAGE('Fat Spreads'!AK25:AK44)-2*STDEV('Fat Spreads'!AK25:AK44)))/(4*STDEV('Fat Spreads'!AK25:AK44)),"")</f>
        <v/>
      </c>
      <c r="AZ25" t="str">
        <f>IFERROR(4*STDEV('Fat Spreads'!AK25:AK44)/AVERAGE('Fat Spreads'!AK25:AK44),"")</f>
        <v/>
      </c>
      <c r="BA25">
        <v>25.8064</v>
      </c>
      <c r="BB25">
        <f>IFERROR(SQRT((SUMSQ('Fat Spreads'!AK25:AK44)-2*SUMPRODUCT('Fat Spreads'!AK25:AK44,'Fat Spreads'!AK26:AK45)+SUMSQ('Fat Spreads'!AK26:AK45)-('Fat Spreads'!AK25-'Fat Spreads'!AK45)^2/20)/19),"")</f>
        <v>0</v>
      </c>
      <c r="BD25">
        <f>IFERROR('Fat Spreads'!V25,"")</f>
        <v>0</v>
      </c>
      <c r="BE25">
        <f>IFERROR(('Fat Spreads'!W25-AVERAGE('Fat Spreads'!$W$3:$W$4308))/STDEV('Fat Spreads'!$W$3:$W$4308),"")</f>
        <v>-9.2057461789832332E-2</v>
      </c>
      <c r="BF25">
        <f>IFERROR('Fat Spreads'!W25-'Fat Spreads'!W30,"")</f>
        <v>0</v>
      </c>
      <c r="BG25">
        <f>IFERROR('Fat Spreads'!W25-'Fat Spreads'!W35,"")</f>
        <v>0</v>
      </c>
      <c r="BH25">
        <f>IFERROR(AVERAGE('Fat Spreads'!W25:W44)+2*STDEV('Fat Spreads'!W25:W44),"")</f>
        <v>0</v>
      </c>
      <c r="BI25">
        <f>IFERROR(AVERAGE('Fat Spreads'!W25:W44)-2*STDEV('Fat Spreads'!W25:W44),"")</f>
        <v>0</v>
      </c>
      <c r="BJ25" t="str">
        <f>IFERROR(('Fat Spreads'!W25-(AVERAGE('Fat Spreads'!W25:W44)-2*STDEV('Fat Spreads'!W25:W44)))/(4*STDEV('Fat Spreads'!W25:W44)),"")</f>
        <v/>
      </c>
      <c r="BK25" t="str">
        <f>IFERROR(4*STDEV('Fat Spreads'!W25:W44)/AVERAGE('Fat Spreads'!W25:W44),"")</f>
        <v/>
      </c>
      <c r="BL25">
        <v>77.836699999999993</v>
      </c>
      <c r="BM25">
        <f>IFERROR(SQRT((SUMSQ('Fat Spreads'!W25:W44)-2*SUMPRODUCT('Fat Spreads'!W25:W44,'Fat Spreads'!W26:W45)+SUMSQ('Fat Spreads'!W26:W45)-('Fat Spreads'!W25-'Fat Spreads'!W45)^2/20)/19),"")</f>
        <v>0</v>
      </c>
      <c r="BO25">
        <f>IFERROR('Fat Spreads'!AC25,"")</f>
        <v>0</v>
      </c>
      <c r="BP25">
        <f>IFERROR(('Fat Spreads'!AD25-AVERAGE('Fat Spreads'!$AD$3:$AD$4308))/STDEV('Fat Spreads'!$AD$3:$AD$4308),"")</f>
        <v>-9.2057461789832332E-2</v>
      </c>
      <c r="BQ25">
        <f>IFERROR('Fat Spreads'!AD25-'Fat Spreads'!AD30,"")</f>
        <v>0</v>
      </c>
      <c r="BR25">
        <f>IFERROR('Fat Spreads'!AD25-'Fat Spreads'!AD35,"")</f>
        <v>0</v>
      </c>
      <c r="BS25">
        <f>IFERROR(AVERAGE('Fat Spreads'!AD25:AD44)+2*STDEV('Fat Spreads'!AD25:AD44),"")</f>
        <v>0</v>
      </c>
      <c r="BT25">
        <f>IFERROR(AVERAGE('Fat Spreads'!AD25:AD44)-2*STDEV('Fat Spreads'!AD25:AD44),"")</f>
        <v>0</v>
      </c>
      <c r="BU25" t="str">
        <f>IFERROR(('Fat Spreads'!AD25-(AVERAGE('Fat Spreads'!AD25:AD44)-2*STDEV('Fat Spreads'!AD25:AD44)))/(4*STDEV('Fat Spreads'!AD25:AD44)),"")</f>
        <v/>
      </c>
      <c r="BV25" t="str">
        <f>IFERROR(4*STDEV('Fat Spreads'!AD25:AD44)/AVERAGE('Fat Spreads'!AD25:AD44),"")</f>
        <v/>
      </c>
      <c r="BW25">
        <v>66.936599999999999</v>
      </c>
      <c r="BX25">
        <f>IFERROR(SQRT((SUMSQ('Fat Spreads'!AD25:AD44)-2*SUMPRODUCT('Fat Spreads'!AD25:AD44,'Fat Spreads'!AD26:AD45)+SUMSQ('Fat Spreads'!AD26:AD45)-('Fat Spreads'!AD25-'Fat Spreads'!AD45)^2/20)/19),"")</f>
        <v>0</v>
      </c>
      <c r="BZ25">
        <f>IFERROR('Feeder Spreads'!A25,"")</f>
        <v>0</v>
      </c>
      <c r="CA25">
        <f>IFERROR(('Feeder Spreads'!B25-AVERAGE('Feeder Spreads'!$B$3:$B$4308))/STDEV('Feeder Spreads'!$B$3:$B$4308),"")</f>
        <v>-9.2057461789832346E-2</v>
      </c>
      <c r="CB25">
        <f>IFERROR('Feeder Spreads'!B25-'Feeder Spreads'!B30,"")</f>
        <v>0</v>
      </c>
      <c r="CC25">
        <f>IFERROR('Feeder Spreads'!B25-'Feeder Spreads'!B35,"")</f>
        <v>0</v>
      </c>
      <c r="CD25">
        <f>IFERROR(AVERAGE('Feeder Spreads'!B25:B44)+2*STDEV('Feeder Spreads'!B25:B44),"")</f>
        <v>0</v>
      </c>
      <c r="CE25">
        <f>IFERROR(AVERAGE('Feeder Spreads'!B25:B44)-2*STDEV('Feeder Spreads'!B25:B44),"")</f>
        <v>0</v>
      </c>
      <c r="CF25" t="str">
        <f>IFERROR(('Feeder Spreads'!B25-(AVERAGE('Feeder Spreads'!B25:B44)-2*STDEV('Feeder Spreads'!B25:B44)))/(4*STDEV('Feeder Spreads'!B25:B44)),"")</f>
        <v/>
      </c>
      <c r="CG25" t="str">
        <f>IFERROR(4*STDEV('Feeder Spreads'!B25:B44)/AVERAGE('Feeder Spreads'!B25:B44),"")</f>
        <v/>
      </c>
      <c r="CH25">
        <v>66.309299999999993</v>
      </c>
      <c r="CI25">
        <f>IFERROR(SQRT((SUMSQ('Feeder Spreads'!B25:B44)-2*SUMPRODUCT('Feeder Spreads'!B25:B44,'Feeder Spreads'!B26:B45)+SUMSQ('Feeder Spreads'!B26:B45)-('Feeder Spreads'!B25-'Feeder Spreads'!B45)^2/20)/19),"")</f>
        <v>0</v>
      </c>
      <c r="CK25">
        <f>IFERROR('Feeder Spreads'!AX25,"")</f>
        <v>0</v>
      </c>
      <c r="CL25">
        <f>IFERROR(('Feeder Spreads'!AY25-AVERAGE('Feeder Spreads'!$AY$3:$AY$4308))/STDEV('Feeder Spreads'!$AY$3:$AY$4308),"")</f>
        <v>-9.2057461789832346E-2</v>
      </c>
      <c r="CM25">
        <f>IFERROR('Feeder Spreads'!AY25-'Feeder Spreads'!AY30,"")</f>
        <v>0</v>
      </c>
      <c r="CN25">
        <f>IFERROR('Feeder Spreads'!AY25-'Feeder Spreads'!AY35,"")</f>
        <v>0</v>
      </c>
      <c r="CO25">
        <f>IFERROR(AVERAGE('Feeder Spreads'!AY25:AY44)+2*STDEV('Feeder Spreads'!AY25:AY44),"")</f>
        <v>0</v>
      </c>
      <c r="CP25">
        <f>IFERROR(AVERAGE('Feeder Spreads'!AY25:AY44)-2*STDEV('Feeder Spreads'!AY25:AY44),"")</f>
        <v>0</v>
      </c>
      <c r="CQ25" t="str">
        <f>IFERROR(('Feeder Spreads'!AY25-(AVERAGE('Feeder Spreads'!AY25:AY44)-2*STDEV('Feeder Spreads'!AY25:AY44)))/(4*STDEV('Feeder Spreads'!AY25:AY44)),"")</f>
        <v/>
      </c>
      <c r="CR25" t="str">
        <f>IFERROR(4*STDEV('Feeder Spreads'!AY25:AY44)/AVERAGE('Feeder Spreads'!AY25:AY44),"")</f>
        <v/>
      </c>
      <c r="CS25">
        <v>61.613300000000002</v>
      </c>
      <c r="CT25">
        <f>IFERROR(SQRT((SUMSQ('Feeder Spreads'!AY25:AY44)-2*SUMPRODUCT('Feeder Spreads'!AY25:AY44,'Feeder Spreads'!AY26:AY45)+SUMSQ('Feeder Spreads'!AY26:AY45)-('Feeder Spreads'!AY25-'Feeder Spreads'!AY45)^2/20)/19),"")</f>
        <v>0</v>
      </c>
      <c r="CV25">
        <f>IFERROR('Feeder Spreads'!H25,"")</f>
        <v>0</v>
      </c>
      <c r="CW25">
        <f>IFERROR(('Feeder Spreads'!I25-AVERAGE('Feeder Spreads'!$I$3:$I$4308))/STDEV('Feeder Spreads'!$I$3:$I$4308),"")</f>
        <v>-9.2057461789832332E-2</v>
      </c>
      <c r="CX25">
        <f>IFERROR('Feeder Spreads'!I25-'Feeder Spreads'!I30,"")</f>
        <v>0</v>
      </c>
      <c r="CY25">
        <f>IFERROR('Feeder Spreads'!I25-'Feeder Spreads'!I35,"")</f>
        <v>0</v>
      </c>
      <c r="CZ25">
        <f>IFERROR(AVERAGE('Feeder Spreads'!I25:I44)+2*STDEV('Feeder Spreads'!I25:I44),"")</f>
        <v>0</v>
      </c>
      <c r="DA25">
        <f>IFERROR(AVERAGE('Feeder Spreads'!I25:I44)-2*STDEV('Feeder Spreads'!I25:I44),"")</f>
        <v>0</v>
      </c>
      <c r="DB25" t="str">
        <f>IFERROR(('Feeder Spreads'!I25-(AVERAGE('Feeder Spreads'!I25:I44)-2*STDEV('Feeder Spreads'!I25:I44)))/(4*STDEV('Feeder Spreads'!I25:I44)),"")</f>
        <v/>
      </c>
      <c r="DC25" t="str">
        <f>IFERROR(4*STDEV('Feeder Spreads'!I25:I44)/AVERAGE('Feeder Spreads'!I25:I44),"")</f>
        <v/>
      </c>
      <c r="DD25">
        <v>55.084699999999998</v>
      </c>
      <c r="DE25">
        <f>IFERROR(SQRT((SUMSQ('Feeder Spreads'!I25:I44)-2*SUMPRODUCT('Feeder Spreads'!I25:I44,'Feeder Spreads'!I26:I45)+SUMSQ('Feeder Spreads'!I26:I45)-('Feeder Spreads'!I25-'Feeder Spreads'!I45)^2/20)/19),"")</f>
        <v>0</v>
      </c>
      <c r="DG25">
        <f>IFERROR('Feeder Spreads'!O25,"")</f>
        <v>0</v>
      </c>
      <c r="DH25">
        <f>IFERROR(('Feeder Spreads'!P25-AVERAGE('Feeder Spreads'!$P$3:$P$4308))/STDEV('Feeder Spreads'!$P$3:$P$4308),"")</f>
        <v>-9.2057461789832346E-2</v>
      </c>
      <c r="DI25">
        <f>IFERROR('Feeder Spreads'!P25-'Feeder Spreads'!P30,"")</f>
        <v>0</v>
      </c>
      <c r="DJ25">
        <f>IFERROR('Feeder Spreads'!P25-'Feeder Spreads'!P35,"")</f>
        <v>0</v>
      </c>
      <c r="DK25">
        <f>IFERROR(AVERAGE('Feeder Spreads'!P25:P44)+2*STDEV('Feeder Spreads'!P25:P44),"")</f>
        <v>0</v>
      </c>
      <c r="DL25">
        <f>IFERROR(AVERAGE('Feeder Spreads'!P25:P44)-2*STDEV('Feeder Spreads'!P25:P44),"")</f>
        <v>0</v>
      </c>
      <c r="DM25" t="str">
        <f>IFERROR(('Feeder Spreads'!P25-(AVERAGE('Feeder Spreads'!P25:P44)-2*STDEV('Feeder Spreads'!P25:P44)))/(4*STDEV('Feeder Spreads'!P25:P44)),"")</f>
        <v/>
      </c>
      <c r="DN25" t="str">
        <f>IFERROR(4*STDEV('Feeder Spreads'!P25:P44)/AVERAGE('Feeder Spreads'!P25:P44),"")</f>
        <v/>
      </c>
      <c r="DO25">
        <v>60.859099999999998</v>
      </c>
      <c r="DP25">
        <f>IFERROR(SQRT((SUMSQ('Feeder Spreads'!P25:P44)-2*SUMPRODUCT('Feeder Spreads'!P25:P44,'Feeder Spreads'!P26:P45)+SUMSQ('Feeder Spreads'!P26:P45)-('Feeder Spreads'!P25-'Feeder Spreads'!P45)^2/20)/19),"")</f>
        <v>0</v>
      </c>
      <c r="DR25">
        <f>IFERROR('Feeder Spreads'!V25,"")</f>
        <v>0</v>
      </c>
      <c r="DS25">
        <f>IFERROR(('Feeder Spreads'!W25-AVERAGE('Feeder Spreads'!$W$3:$W$4308))/STDEV('Feeder Spreads'!$W$3:$W$4308),"")</f>
        <v>-9.2057461789832332E-2</v>
      </c>
      <c r="DT25">
        <f>IFERROR('Feeder Spreads'!W25-'Feeder Spreads'!W30,"")</f>
        <v>0</v>
      </c>
      <c r="DU25">
        <f>IFERROR('Feeder Spreads'!W25-'Feeder Spreads'!W35,"")</f>
        <v>0</v>
      </c>
      <c r="DV25">
        <f>IFERROR(AVERAGE('Feeder Spreads'!W25:W44)+2*STDEV('Feeder Spreads'!W25:W44),"")</f>
        <v>0</v>
      </c>
      <c r="DW25">
        <f>IFERROR(AVERAGE('Feeder Spreads'!W25:W44)-2*STDEV('Feeder Spreads'!W25:W44),"")</f>
        <v>0</v>
      </c>
      <c r="DX25" t="str">
        <f>IFERROR(('Feeder Spreads'!W25-(AVERAGE('Feeder Spreads'!W25:W44)-2*STDEV('Feeder Spreads'!W25:W44)))/(4*STDEV('Feeder Spreads'!W25:W44)),"")</f>
        <v/>
      </c>
      <c r="DY25" t="str">
        <f>IFERROR(4*STDEV('Feeder Spreads'!W25:W44)/AVERAGE('Feeder Spreads'!W25:W44),"")</f>
        <v/>
      </c>
      <c r="DZ25">
        <v>17.600899999999999</v>
      </c>
      <c r="EA25">
        <f>IFERROR(SQRT((SUMSQ('Feeder Spreads'!W25:W44)-2*SUMPRODUCT('Feeder Spreads'!W25:W44,'Feeder Spreads'!W26:W45)+SUMSQ('Feeder Spreads'!W26:W45)-('Feeder Spreads'!W25-'Feeder Spreads'!W45)^2/20)/19),"")</f>
        <v>0</v>
      </c>
      <c r="EC25">
        <f>IFERROR('Feeder Spreads'!AC25,"")</f>
        <v>0</v>
      </c>
      <c r="ED25">
        <f>IFERROR(('Feeder Spreads'!AD25-AVERAGE('Feeder Spreads'!$AD$3:$AD$4308))/STDEV('Feeder Spreads'!$AD$3:$AD$4308),"")</f>
        <v>9.2057461789832318E-2</v>
      </c>
      <c r="EE25">
        <f>IFERROR('Feeder Spreads'!AD25-'Feeder Spreads'!AD30,"")</f>
        <v>0</v>
      </c>
      <c r="EF25">
        <f>IFERROR('Feeder Spreads'!AD25-'Feeder Spreads'!AD35,"")</f>
        <v>0</v>
      </c>
      <c r="EG25">
        <f>IFERROR(AVERAGE('Feeder Spreads'!AD25:AD44)+2*STDEV('Feeder Spreads'!AD25:AD44),"")</f>
        <v>0</v>
      </c>
      <c r="EH25">
        <f>IFERROR(AVERAGE('Feeder Spreads'!AD25:AD44)-2*STDEV('Feeder Spreads'!AD25:AD44),"")</f>
        <v>0</v>
      </c>
      <c r="EI25" t="str">
        <f>IFERROR(('Feeder Spreads'!AD25-(AVERAGE('Feeder Spreads'!AD25:AD44)-2*STDEV('Feeder Spreads'!AD25:AD44)))/(4*STDEV('Feeder Spreads'!AD25:AD44)),"")</f>
        <v/>
      </c>
      <c r="EJ25" t="str">
        <f>IFERROR(4*STDEV('Feeder Spreads'!AD25:AD44)/AVERAGE('Feeder Spreads'!AD25:AD44),"")</f>
        <v/>
      </c>
      <c r="EK25">
        <v>48.124499999999998</v>
      </c>
      <c r="EL25">
        <f>IFERROR(SQRT((SUMSQ('Feeder Spreads'!AD25:AD44)-2*SUMPRODUCT('Feeder Spreads'!AD25:AD44,'Feeder Spreads'!AD26:AD45)+SUMSQ('Feeder Spreads'!AD26:AD45)-('Feeder Spreads'!AD25-'Feeder Spreads'!AD45)^2/20)/19),"")</f>
        <v>0</v>
      </c>
      <c r="EN25">
        <f>IFERROR('Feeder Spreads'!AJ25,"")</f>
        <v>0</v>
      </c>
      <c r="EO25">
        <f>IFERROR(('Feeder Spreads'!AK25-AVERAGE('Feeder Spreads'!$AK$3:$AK$4308))/STDEV('Feeder Spreads'!$AK$3:$AK$4308),"")</f>
        <v>-9.2057461789832346E-2</v>
      </c>
      <c r="EP25">
        <f>IFERROR('Feeder Spreads'!AK25-'Feeder Spreads'!AK30,"")</f>
        <v>0</v>
      </c>
      <c r="EQ25">
        <f>IFERROR('Feeder Spreads'!AK25-'Feeder Spreads'!AK35,"")</f>
        <v>0</v>
      </c>
      <c r="ER25">
        <f>IFERROR(AVERAGE('Feeder Spreads'!AK25:AK44)+2*STDEV('Feeder Spreads'!AK25:AK44),"")</f>
        <v>0</v>
      </c>
      <c r="ES25">
        <f>IFERROR(AVERAGE('Feeder Spreads'!AK25:AK44)-2*STDEV('Feeder Spreads'!AK25:AK44),"")</f>
        <v>0</v>
      </c>
      <c r="ET25" t="str">
        <f>IFERROR(('Feeder Spreads'!AK25-(AVERAGE('Feeder Spreads'!AK25:AK44)-2*STDEV('Feeder Spreads'!AK25:AK44)))/(4*STDEV('Feeder Spreads'!AK25:AK44)),"")</f>
        <v/>
      </c>
      <c r="EU25" t="str">
        <f>IFERROR(4*STDEV('Feeder Spreads'!AK25:AK44)/AVERAGE('Feeder Spreads'!AK25:AK44),"")</f>
        <v/>
      </c>
      <c r="EV25">
        <v>59.273099999999999</v>
      </c>
      <c r="EW25">
        <f>IFERROR(SQRT((SUMSQ('Feeder Spreads'!AK25:AK44)-2*SUMPRODUCT('Feeder Spreads'!AK25:AK44,'Feeder Spreads'!AK26:AK45)+SUMSQ('Feeder Spreads'!AK26:AK45)-('Feeder Spreads'!AK25-'Feeder Spreads'!AK45)^2/20)/19),"")</f>
        <v>0</v>
      </c>
      <c r="EY25">
        <f>IFERROR('Feeder Spreads'!AQ25,"")</f>
        <v>0</v>
      </c>
      <c r="EZ25">
        <f>IFERROR(('Feeder Spreads'!AR25-AVERAGE('Feeder Spreads'!$AR$3:$AR$4308))/STDEV('Feeder Spreads'!$AR$3:$AR$4308),"")</f>
        <v>-9.2057461789832332E-2</v>
      </c>
      <c r="FA25">
        <f>IFERROR('Feeder Spreads'!AR25-'Feeder Spreads'!AR30,"")</f>
        <v>0</v>
      </c>
      <c r="FB25">
        <f>IFERROR('Feeder Spreads'!AR25-'Feeder Spreads'!AR35,"")</f>
        <v>0</v>
      </c>
      <c r="FC25">
        <f>IFERROR(AVERAGE('Feeder Spreads'!AR25:AR44)+2*STDEV('Feeder Spreads'!AR25:AR44),"")</f>
        <v>0</v>
      </c>
      <c r="FD25">
        <f>IFERROR(AVERAGE('Feeder Spreads'!AR25:AR44)-2*STDEV('Feeder Spreads'!AR25:AR44),"")</f>
        <v>0</v>
      </c>
      <c r="FE25" t="str">
        <f>IFERROR(('Feeder Spreads'!AR25-(AVERAGE('Feeder Spreads'!AR25:AR44)-2*STDEV('Feeder Spreads'!AR25:AR44)))/(4*STDEV('Feeder Spreads'!AR25:AR44)),"")</f>
        <v/>
      </c>
      <c r="FF25" t="str">
        <f>IFERROR(4*STDEV('Feeder Spreads'!AR25:AR44)/AVERAGE('Feeder Spreads'!AR25:AR44),"")</f>
        <v/>
      </c>
      <c r="FG25">
        <v>64.159700000000001</v>
      </c>
      <c r="FH25">
        <f>IFERROR(SQRT((SUMSQ('Feeder Spreads'!AR25:AR44)-2*SUMPRODUCT('Feeder Spreads'!AR25:AR44,'Feeder Spreads'!AR26:AR45)+SUMSQ('Feeder Spreads'!AR26:AR45)-('Feeder Spreads'!AR25-'Feeder Spreads'!AR45)^2/20)/19),"")</f>
        <v>0</v>
      </c>
      <c r="FJ25">
        <f>IFERROR('Fat Spreads'!AX25,"")</f>
        <v>0</v>
      </c>
      <c r="FK25">
        <f>IFERROR(('Fat Spreads'!AY25-AVERAGE('Fat Spreads'!$AY$3:$AY$4308))/STDEV('Fat Spreads'!$AY$3:$AY$4308),"")</f>
        <v>9.2057461789832332E-2</v>
      </c>
      <c r="FL25">
        <f>IFERROR('Fat Spreads'!AY25-'Fat Spreads'!AY30,"")</f>
        <v>0</v>
      </c>
      <c r="FM25">
        <f>IFERROR('Fat Spreads'!AY25-'Fat Spreads'!AY35,"")</f>
        <v>0</v>
      </c>
      <c r="FN25">
        <f>IFERROR(AVERAGE('Fat Spreads'!AY25:AY44)+2*STDEV('Fat Spreads'!AY25:AY44),"")</f>
        <v>0</v>
      </c>
      <c r="FO25">
        <f>IFERROR(AVERAGE('Fat Spreads'!AY25:AY44)-2*STDEV('Fat Spreads'!AY25:AY44),"")</f>
        <v>0</v>
      </c>
      <c r="FP25" t="str">
        <f>IFERROR(('Fat Spreads'!AY25-(AVERAGE('Fat Spreads'!AY25:AY44)-2*STDEV('Fat Spreads'!AY25:AY44)))/(4*STDEV('Fat Spreads'!AY25:AY44)),"")</f>
        <v/>
      </c>
      <c r="FQ25" t="str">
        <f>IFERROR(4*STDEV('Fat Spreads'!AY25:AY44)/AVERAGE('Fat Spreads'!AY25:AY44),"")</f>
        <v/>
      </c>
      <c r="FR25">
        <v>19.006399999999999</v>
      </c>
      <c r="FS25">
        <f>IFERROR(SQRT((SUMSQ('Fat Spreads'!AY25:AY44)-2*SUMPRODUCT('Fat Spreads'!AY25:AY44,'Fat Spreads'!AY26:AY45)+SUMSQ('Fat Spreads'!AY26:AY45)-('Fat Spreads'!AY25-'Fat Spreads'!AY45)^2/20)/19),"")</f>
        <v>0</v>
      </c>
      <c r="FU25">
        <f>IFERROR('Fat Spreads'!BE25,"")</f>
        <v>0</v>
      </c>
      <c r="FV25">
        <f>IFERROR(('Fat Spreads'!BF25-AVERAGE('Fat Spreads'!$BF$3:$BF$4308))/STDEV('Fat Spreads'!$BF$3:$BF$4308),"")</f>
        <v>9.2057461789832332E-2</v>
      </c>
      <c r="FW25">
        <f>IFERROR('Fat Spreads'!BF25-'Fat Spreads'!BF30,"")</f>
        <v>0</v>
      </c>
      <c r="FX25">
        <f>IFERROR('Fat Spreads'!BF25-'Fat Spreads'!BF35,"")</f>
        <v>0</v>
      </c>
      <c r="FY25">
        <f>IFERROR(AVERAGE('Fat Spreads'!BF25:BF44)+2*STDEV('Fat Spreads'!BF25:BF44),"")</f>
        <v>0</v>
      </c>
      <c r="FZ25">
        <f>IFERROR(AVERAGE('Fat Spreads'!BF25:BF44)-2*STDEV('Fat Spreads'!BF25:BF44),"")</f>
        <v>0</v>
      </c>
      <c r="GA25" t="str">
        <f>IFERROR(('Fat Spreads'!BF25-(AVERAGE('Fat Spreads'!BF25:BF44)-2*STDEV('Fat Spreads'!BF25:BF44)))/(4*STDEV('Fat Spreads'!BF25:BF44)),"")</f>
        <v/>
      </c>
      <c r="GB25" t="str">
        <f>IFERROR(4*STDEV('Fat Spreads'!BF25:BF44)/AVERAGE('Fat Spreads'!BF25:BF44),"")</f>
        <v/>
      </c>
      <c r="GC25">
        <v>49.891199999999998</v>
      </c>
      <c r="GD25">
        <f>IFERROR(SQRT((SUMSQ('Fat Spreads'!BF25:BF44)-2*SUMPRODUCT('Fat Spreads'!BF25:BF44,'Fat Spreads'!BF26:BF45)+SUMSQ('Fat Spreads'!BF26:BF45)-('Fat Spreads'!BF25-'Fat Spreads'!BF45)^2/20)/19),"")</f>
        <v>0</v>
      </c>
    </row>
    <row r="26" spans="1:186" x14ac:dyDescent="0.25">
      <c r="A26">
        <f>IFERROR('Fat Spreads'!A26,"")</f>
        <v>0</v>
      </c>
      <c r="B26">
        <f>IFERROR(('Fat Spreads'!B26-AVERAGE('Fat Spreads'!$B$3:$B$4308))/STDEV('Fat Spreads'!$B$3:$B$4308),"")</f>
        <v>9.2057461789832346E-2</v>
      </c>
      <c r="C26">
        <f>IFERROR('Fat Spreads'!B26-'Fat Spreads'!B31,"")</f>
        <v>0</v>
      </c>
      <c r="D26">
        <f>IFERROR('Fat Spreads'!B26-'Fat Spreads'!B36,"")</f>
        <v>0</v>
      </c>
      <c r="E26">
        <f>IFERROR(AVERAGE('Fat Spreads'!B26:B45)+2*STDEV('Fat Spreads'!B26:B45),"")</f>
        <v>0</v>
      </c>
      <c r="F26">
        <f>IFERROR(AVERAGE('Fat Spreads'!B26:B45)-2*STDEV('Fat Spreads'!B26:B45),"")</f>
        <v>0</v>
      </c>
      <c r="G26" t="str">
        <f>IFERROR(('Fat Spreads'!B26-(AVERAGE('Fat Spreads'!B26:B45)-2*STDEV('Fat Spreads'!B26:B45)))/(4*STDEV('Fat Spreads'!B26:B45)),"")</f>
        <v/>
      </c>
      <c r="H26" t="str">
        <f>IFERROR(4*STDEV('Fat Spreads'!B26:B45)/AVERAGE('Fat Spreads'!B26:B45),"")</f>
        <v/>
      </c>
      <c r="I26">
        <v>25.3856</v>
      </c>
      <c r="J26">
        <f>IFERROR(SQRT((SUMSQ('Fat Spreads'!B26:B45)-2*SUMPRODUCT('Fat Spreads'!B26:B45,'Fat Spreads'!B27:B46)+SUMSQ('Fat Spreads'!B27:B46)-('Fat Spreads'!B26-'Fat Spreads'!B46)^2/20)/19),"")</f>
        <v>0</v>
      </c>
      <c r="L26">
        <f>IFERROR('Fat Spreads'!H26,"")</f>
        <v>0</v>
      </c>
      <c r="M26">
        <f>IFERROR(('Fat Spreads'!I26-AVERAGE('Fat Spreads'!$I$3:$I$4308))/STDEV('Fat Spreads'!$I$3:$I$4308),"")</f>
        <v>-9.2057461789832332E-2</v>
      </c>
      <c r="N26">
        <f>IFERROR('Fat Spreads'!I26-'Fat Spreads'!I31,"")</f>
        <v>0</v>
      </c>
      <c r="O26">
        <f>IFERROR('Fat Spreads'!I26-'Fat Spreads'!I36,"")</f>
        <v>0</v>
      </c>
      <c r="P26">
        <f>IFERROR(AVERAGE('Fat Spreads'!I26:I45)+2*STDEV('Fat Spreads'!I26:I45),"")</f>
        <v>0</v>
      </c>
      <c r="Q26">
        <f>IFERROR(AVERAGE('Fat Spreads'!I26:I45)-2*STDEV('Fat Spreads'!I26:I45),"")</f>
        <v>0</v>
      </c>
      <c r="R26" t="str">
        <f>IFERROR(('Fat Spreads'!I26-(AVERAGE('Fat Spreads'!I26:I45)-2*STDEV('Fat Spreads'!I26:I45)))/(4*STDEV('Fat Spreads'!I26:I45)),"")</f>
        <v/>
      </c>
      <c r="S26" t="str">
        <f>IFERROR(4*STDEV('Fat Spreads'!I26:I45)/AVERAGE('Fat Spreads'!I26:I45),"")</f>
        <v/>
      </c>
      <c r="T26">
        <v>69.783900000000003</v>
      </c>
      <c r="U26">
        <f>IFERROR(SQRT((SUMSQ('Fat Spreads'!I26:I45)-2*SUMPRODUCT('Fat Spreads'!I26:I45,'Fat Spreads'!I27:I46)+SUMSQ('Fat Spreads'!I27:I46)-('Fat Spreads'!I26-'Fat Spreads'!I46)^2/20)/19),"")</f>
        <v>0</v>
      </c>
      <c r="W26">
        <f>IFERROR('Fat Spreads'!AQ26,"")</f>
        <v>0</v>
      </c>
      <c r="X26">
        <f>IFERROR(('Fat Spreads'!AR26-AVERAGE('Fat Spreads'!$AR$3:$AR$4308))/STDEV('Fat Spreads'!$AR$3:$AR$4308),"")</f>
        <v>-9.2057461789832346E-2</v>
      </c>
      <c r="Y26">
        <f>IFERROR('Fat Spreads'!AR26-'Fat Spreads'!AR31,"")</f>
        <v>0</v>
      </c>
      <c r="Z26">
        <f>IFERROR('Fat Spreads'!AR26-'Fat Spreads'!AR36,"")</f>
        <v>0</v>
      </c>
      <c r="AA26">
        <f>IFERROR(AVERAGE('Fat Spreads'!AR26:AR45)+2*STDEV('Fat Spreads'!AR26:AR45),"")</f>
        <v>0</v>
      </c>
      <c r="AB26">
        <f>IFERROR(AVERAGE('Fat Spreads'!AR26:AR45)-2*STDEV('Fat Spreads'!AR26:AR45),"")</f>
        <v>0</v>
      </c>
      <c r="AC26" t="str">
        <f>IFERROR(('Fat Spreads'!AR26-(AVERAGE('Fat Spreads'!AR26:AR45)-2*STDEV('Fat Spreads'!AR26:AR45)))/(4*STDEV('Fat Spreads'!AR26:AR45)),"")</f>
        <v/>
      </c>
      <c r="AD26" t="str">
        <f>IFERROR(4*STDEV('Fat Spreads'!AR26:AR45)/AVERAGE('Fat Spreads'!AR26:AR45),"")</f>
        <v/>
      </c>
      <c r="AE26">
        <v>86.108599999999996</v>
      </c>
      <c r="AF26">
        <f>IFERROR(SQRT((SUMSQ('Fat Spreads'!AR26:AR45)-2*SUMPRODUCT('Fat Spreads'!AR26:AR45,'Fat Spreads'!AR27:AR46)+SUMSQ('Fat Spreads'!AR27:AR46)-('Fat Spreads'!AR26-'Fat Spreads'!AR46)^2/20)/19),"")</f>
        <v>0</v>
      </c>
      <c r="AH26">
        <f>IFERROR('Fat Spreads'!O26,"")</f>
        <v>0</v>
      </c>
      <c r="AI26">
        <f>IFERROR(('Fat Spreads'!P26-AVERAGE('Fat Spreads'!$P$3:$P$4308))/STDEV('Fat Spreads'!$P$3:$P$4308),"")</f>
        <v>-9.2057461789832332E-2</v>
      </c>
      <c r="AJ26">
        <f>IFERROR('Fat Spreads'!P26-'Fat Spreads'!P31,"")</f>
        <v>0</v>
      </c>
      <c r="AK26">
        <f>IFERROR('Fat Spreads'!P26-'Fat Spreads'!P36,"")</f>
        <v>0</v>
      </c>
      <c r="AL26">
        <f>IFERROR(AVERAGE('Fat Spreads'!P26:P45)+2*STDEV('Fat Spreads'!P26:P45),"")</f>
        <v>0</v>
      </c>
      <c r="AM26">
        <f>IFERROR(AVERAGE('Fat Spreads'!P26:P45)-2*STDEV('Fat Spreads'!P26:P45),"")</f>
        <v>0</v>
      </c>
      <c r="AN26" t="str">
        <f>IFERROR(('Fat Spreads'!P26-(AVERAGE('Fat Spreads'!P26:P45)-2*STDEV('Fat Spreads'!P26:P45)))/(4*STDEV('Fat Spreads'!P26:P45)),"")</f>
        <v/>
      </c>
      <c r="AO26" t="str">
        <f>IFERROR(4*STDEV('Fat Spreads'!P26:P45)/AVERAGE('Fat Spreads'!P26:P45),"")</f>
        <v/>
      </c>
      <c r="AP26">
        <v>84.1357</v>
      </c>
      <c r="AQ26">
        <f>IFERROR(SQRT((SUMSQ('Fat Spreads'!P26:P45)-2*SUMPRODUCT('Fat Spreads'!P26:P45,'Fat Spreads'!P27:P46)+SUMSQ('Fat Spreads'!P27:P46)-('Fat Spreads'!P26-'Fat Spreads'!P46)^2/20)/19),"")</f>
        <v>0</v>
      </c>
      <c r="AS26">
        <f>IFERROR('Fat Spreads'!AJ26,"")</f>
        <v>0</v>
      </c>
      <c r="AT26">
        <f>IFERROR(('Fat Spreads'!AK26-AVERAGE('Fat Spreads'!$AK$3:$AK$4308))/STDEV('Fat Spreads'!$AK$3:$AK$4308),"")</f>
        <v>-9.2057461789832332E-2</v>
      </c>
      <c r="AU26">
        <f>IFERROR('Fat Spreads'!AK26-'Fat Spreads'!AK31,"")</f>
        <v>0</v>
      </c>
      <c r="AV26">
        <f>IFERROR('Fat Spreads'!AK26-'Fat Spreads'!AK36,"")</f>
        <v>0</v>
      </c>
      <c r="AW26">
        <f>IFERROR(AVERAGE('Fat Spreads'!AK26:AK45)+2*STDEV('Fat Spreads'!AK26:AK45),"")</f>
        <v>0</v>
      </c>
      <c r="AX26">
        <f>IFERROR(AVERAGE('Fat Spreads'!AK26:AK45)-2*STDEV('Fat Spreads'!AK26:AK45),"")</f>
        <v>0</v>
      </c>
      <c r="AY26" t="str">
        <f>IFERROR(('Fat Spreads'!AK26-(AVERAGE('Fat Spreads'!AK26:AK45)-2*STDEV('Fat Spreads'!AK26:AK45)))/(4*STDEV('Fat Spreads'!AK26:AK45)),"")</f>
        <v/>
      </c>
      <c r="AZ26" t="str">
        <f>IFERROR(4*STDEV('Fat Spreads'!AK26:AK45)/AVERAGE('Fat Spreads'!AK26:AK45),"")</f>
        <v/>
      </c>
      <c r="BA26">
        <v>28.6645</v>
      </c>
      <c r="BB26">
        <f>IFERROR(SQRT((SUMSQ('Fat Spreads'!AK26:AK45)-2*SUMPRODUCT('Fat Spreads'!AK26:AK45,'Fat Spreads'!AK27:AK46)+SUMSQ('Fat Spreads'!AK27:AK46)-('Fat Spreads'!AK26-'Fat Spreads'!AK46)^2/20)/19),"")</f>
        <v>0</v>
      </c>
      <c r="BD26">
        <f>IFERROR('Fat Spreads'!V26,"")</f>
        <v>0</v>
      </c>
      <c r="BE26">
        <f>IFERROR(('Fat Spreads'!W26-AVERAGE('Fat Spreads'!$W$3:$W$4308))/STDEV('Fat Spreads'!$W$3:$W$4308),"")</f>
        <v>-9.2057461789832332E-2</v>
      </c>
      <c r="BF26">
        <f>IFERROR('Fat Spreads'!W26-'Fat Spreads'!W31,"")</f>
        <v>0</v>
      </c>
      <c r="BG26">
        <f>IFERROR('Fat Spreads'!W26-'Fat Spreads'!W36,"")</f>
        <v>0</v>
      </c>
      <c r="BH26">
        <f>IFERROR(AVERAGE('Fat Spreads'!W26:W45)+2*STDEV('Fat Spreads'!W26:W45),"")</f>
        <v>0</v>
      </c>
      <c r="BI26">
        <f>IFERROR(AVERAGE('Fat Spreads'!W26:W45)-2*STDEV('Fat Spreads'!W26:W45),"")</f>
        <v>0</v>
      </c>
      <c r="BJ26" t="str">
        <f>IFERROR(('Fat Spreads'!W26-(AVERAGE('Fat Spreads'!W26:W45)-2*STDEV('Fat Spreads'!W26:W45)))/(4*STDEV('Fat Spreads'!W26:W45)),"")</f>
        <v/>
      </c>
      <c r="BK26" t="str">
        <f>IFERROR(4*STDEV('Fat Spreads'!W26:W45)/AVERAGE('Fat Spreads'!W26:W45),"")</f>
        <v/>
      </c>
      <c r="BL26">
        <v>77.836699999999993</v>
      </c>
      <c r="BM26">
        <f>IFERROR(SQRT((SUMSQ('Fat Spreads'!W26:W45)-2*SUMPRODUCT('Fat Spreads'!W26:W45,'Fat Spreads'!W27:W46)+SUMSQ('Fat Spreads'!W27:W46)-('Fat Spreads'!W26-'Fat Spreads'!W46)^2/20)/19),"")</f>
        <v>0</v>
      </c>
      <c r="BO26">
        <f>IFERROR('Fat Spreads'!AC26,"")</f>
        <v>0</v>
      </c>
      <c r="BP26">
        <f>IFERROR(('Fat Spreads'!AD26-AVERAGE('Fat Spreads'!$AD$3:$AD$4308))/STDEV('Fat Spreads'!$AD$3:$AD$4308),"")</f>
        <v>-9.2057461789832332E-2</v>
      </c>
      <c r="BQ26">
        <f>IFERROR('Fat Spreads'!AD26-'Fat Spreads'!AD31,"")</f>
        <v>0</v>
      </c>
      <c r="BR26">
        <f>IFERROR('Fat Spreads'!AD26-'Fat Spreads'!AD36,"")</f>
        <v>0</v>
      </c>
      <c r="BS26">
        <f>IFERROR(AVERAGE('Fat Spreads'!AD26:AD45)+2*STDEV('Fat Spreads'!AD26:AD45),"")</f>
        <v>0</v>
      </c>
      <c r="BT26">
        <f>IFERROR(AVERAGE('Fat Spreads'!AD26:AD45)-2*STDEV('Fat Spreads'!AD26:AD45),"")</f>
        <v>0</v>
      </c>
      <c r="BU26" t="str">
        <f>IFERROR(('Fat Spreads'!AD26-(AVERAGE('Fat Spreads'!AD26:AD45)-2*STDEV('Fat Spreads'!AD26:AD45)))/(4*STDEV('Fat Spreads'!AD26:AD45)),"")</f>
        <v/>
      </c>
      <c r="BV26" t="str">
        <f>IFERROR(4*STDEV('Fat Spreads'!AD26:AD45)/AVERAGE('Fat Spreads'!AD26:AD45),"")</f>
        <v/>
      </c>
      <c r="BW26">
        <v>65.652900000000002</v>
      </c>
      <c r="BX26">
        <f>IFERROR(SQRT((SUMSQ('Fat Spreads'!AD26:AD45)-2*SUMPRODUCT('Fat Spreads'!AD26:AD45,'Fat Spreads'!AD27:AD46)+SUMSQ('Fat Spreads'!AD27:AD46)-('Fat Spreads'!AD26-'Fat Spreads'!AD46)^2/20)/19),"")</f>
        <v>0</v>
      </c>
      <c r="BZ26">
        <f>IFERROR('Feeder Spreads'!A26,"")</f>
        <v>0</v>
      </c>
      <c r="CA26">
        <f>IFERROR(('Feeder Spreads'!B26-AVERAGE('Feeder Spreads'!$B$3:$B$4308))/STDEV('Feeder Spreads'!$B$3:$B$4308),"")</f>
        <v>-9.2057461789832346E-2</v>
      </c>
      <c r="CB26">
        <f>IFERROR('Feeder Spreads'!B26-'Feeder Spreads'!B31,"")</f>
        <v>0</v>
      </c>
      <c r="CC26">
        <f>IFERROR('Feeder Spreads'!B26-'Feeder Spreads'!B36,"")</f>
        <v>0</v>
      </c>
      <c r="CD26">
        <f>IFERROR(AVERAGE('Feeder Spreads'!B26:B45)+2*STDEV('Feeder Spreads'!B26:B45),"")</f>
        <v>0</v>
      </c>
      <c r="CE26">
        <f>IFERROR(AVERAGE('Feeder Spreads'!B26:B45)-2*STDEV('Feeder Spreads'!B26:B45),"")</f>
        <v>0</v>
      </c>
      <c r="CF26" t="str">
        <f>IFERROR(('Feeder Spreads'!B26-(AVERAGE('Feeder Spreads'!B26:B45)-2*STDEV('Feeder Spreads'!B26:B45)))/(4*STDEV('Feeder Spreads'!B26:B45)),"")</f>
        <v/>
      </c>
      <c r="CG26" t="str">
        <f>IFERROR(4*STDEV('Feeder Spreads'!B26:B45)/AVERAGE('Feeder Spreads'!B26:B45),"")</f>
        <v/>
      </c>
      <c r="CH26">
        <v>65.976500000000001</v>
      </c>
      <c r="CI26">
        <f>IFERROR(SQRT((SUMSQ('Feeder Spreads'!B26:B45)-2*SUMPRODUCT('Feeder Spreads'!B26:B45,'Feeder Spreads'!B27:B46)+SUMSQ('Feeder Spreads'!B27:B46)-('Feeder Spreads'!B26-'Feeder Spreads'!B46)^2/20)/19),"")</f>
        <v>0</v>
      </c>
      <c r="CK26">
        <f>IFERROR('Feeder Spreads'!AX26,"")</f>
        <v>0</v>
      </c>
      <c r="CL26">
        <f>IFERROR(('Feeder Spreads'!AY26-AVERAGE('Feeder Spreads'!$AY$3:$AY$4308))/STDEV('Feeder Spreads'!$AY$3:$AY$4308),"")</f>
        <v>-9.2057461789832346E-2</v>
      </c>
      <c r="CM26">
        <f>IFERROR('Feeder Spreads'!AY26-'Feeder Spreads'!AY31,"")</f>
        <v>0</v>
      </c>
      <c r="CN26">
        <f>IFERROR('Feeder Spreads'!AY26-'Feeder Spreads'!AY36,"")</f>
        <v>0</v>
      </c>
      <c r="CO26">
        <f>IFERROR(AVERAGE('Feeder Spreads'!AY26:AY45)+2*STDEV('Feeder Spreads'!AY26:AY45),"")</f>
        <v>0</v>
      </c>
      <c r="CP26">
        <f>IFERROR(AVERAGE('Feeder Spreads'!AY26:AY45)-2*STDEV('Feeder Spreads'!AY26:AY45),"")</f>
        <v>0</v>
      </c>
      <c r="CQ26" t="str">
        <f>IFERROR(('Feeder Spreads'!AY26-(AVERAGE('Feeder Spreads'!AY26:AY45)-2*STDEV('Feeder Spreads'!AY26:AY45)))/(4*STDEV('Feeder Spreads'!AY26:AY45)),"")</f>
        <v/>
      </c>
      <c r="CR26" t="str">
        <f>IFERROR(4*STDEV('Feeder Spreads'!AY26:AY45)/AVERAGE('Feeder Spreads'!AY26:AY45),"")</f>
        <v/>
      </c>
      <c r="CS26">
        <v>65.022800000000004</v>
      </c>
      <c r="CT26">
        <f>IFERROR(SQRT((SUMSQ('Feeder Spreads'!AY26:AY45)-2*SUMPRODUCT('Feeder Spreads'!AY26:AY45,'Feeder Spreads'!AY27:AY46)+SUMSQ('Feeder Spreads'!AY27:AY46)-('Feeder Spreads'!AY26-'Feeder Spreads'!AY46)^2/20)/19),"")</f>
        <v>0</v>
      </c>
      <c r="CV26">
        <f>IFERROR('Feeder Spreads'!H26,"")</f>
        <v>0</v>
      </c>
      <c r="CW26">
        <f>IFERROR(('Feeder Spreads'!I26-AVERAGE('Feeder Spreads'!$I$3:$I$4308))/STDEV('Feeder Spreads'!$I$3:$I$4308),"")</f>
        <v>-9.2057461789832332E-2</v>
      </c>
      <c r="CX26">
        <f>IFERROR('Feeder Spreads'!I26-'Feeder Spreads'!I31,"")</f>
        <v>0</v>
      </c>
      <c r="CY26">
        <f>IFERROR('Feeder Spreads'!I26-'Feeder Spreads'!I36,"")</f>
        <v>0</v>
      </c>
      <c r="CZ26">
        <f>IFERROR(AVERAGE('Feeder Spreads'!I26:I45)+2*STDEV('Feeder Spreads'!I26:I45),"")</f>
        <v>0</v>
      </c>
      <c r="DA26">
        <f>IFERROR(AVERAGE('Feeder Spreads'!I26:I45)-2*STDEV('Feeder Spreads'!I26:I45),"")</f>
        <v>0</v>
      </c>
      <c r="DB26" t="str">
        <f>IFERROR(('Feeder Spreads'!I26-(AVERAGE('Feeder Spreads'!I26:I45)-2*STDEV('Feeder Spreads'!I26:I45)))/(4*STDEV('Feeder Spreads'!I26:I45)),"")</f>
        <v/>
      </c>
      <c r="DC26" t="str">
        <f>IFERROR(4*STDEV('Feeder Spreads'!I26:I45)/AVERAGE('Feeder Spreads'!I26:I45),"")</f>
        <v/>
      </c>
      <c r="DD26">
        <v>55.4026</v>
      </c>
      <c r="DE26">
        <f>IFERROR(SQRT((SUMSQ('Feeder Spreads'!I26:I45)-2*SUMPRODUCT('Feeder Spreads'!I26:I45,'Feeder Spreads'!I27:I46)+SUMSQ('Feeder Spreads'!I27:I46)-('Feeder Spreads'!I26-'Feeder Spreads'!I46)^2/20)/19),"")</f>
        <v>0</v>
      </c>
      <c r="DG26">
        <f>IFERROR('Feeder Spreads'!O26,"")</f>
        <v>0</v>
      </c>
      <c r="DH26">
        <f>IFERROR(('Feeder Spreads'!P26-AVERAGE('Feeder Spreads'!$P$3:$P$4308))/STDEV('Feeder Spreads'!$P$3:$P$4308),"")</f>
        <v>-9.2057461789832346E-2</v>
      </c>
      <c r="DI26">
        <f>IFERROR('Feeder Spreads'!P26-'Feeder Spreads'!P31,"")</f>
        <v>0</v>
      </c>
      <c r="DJ26">
        <f>IFERROR('Feeder Spreads'!P26-'Feeder Spreads'!P36,"")</f>
        <v>0</v>
      </c>
      <c r="DK26">
        <f>IFERROR(AVERAGE('Feeder Spreads'!P26:P45)+2*STDEV('Feeder Spreads'!P26:P45),"")</f>
        <v>0</v>
      </c>
      <c r="DL26">
        <f>IFERROR(AVERAGE('Feeder Spreads'!P26:P45)-2*STDEV('Feeder Spreads'!P26:P45),"")</f>
        <v>0</v>
      </c>
      <c r="DM26" t="str">
        <f>IFERROR(('Feeder Spreads'!P26-(AVERAGE('Feeder Spreads'!P26:P45)-2*STDEV('Feeder Spreads'!P26:P45)))/(4*STDEV('Feeder Spreads'!P26:P45)),"")</f>
        <v/>
      </c>
      <c r="DN26" t="str">
        <f>IFERROR(4*STDEV('Feeder Spreads'!P26:P45)/AVERAGE('Feeder Spreads'!P26:P45),"")</f>
        <v/>
      </c>
      <c r="DO26">
        <v>60.490299999999998</v>
      </c>
      <c r="DP26">
        <f>IFERROR(SQRT((SUMSQ('Feeder Spreads'!P26:P45)-2*SUMPRODUCT('Feeder Spreads'!P26:P45,'Feeder Spreads'!P27:P46)+SUMSQ('Feeder Spreads'!P27:P46)-('Feeder Spreads'!P26-'Feeder Spreads'!P46)^2/20)/19),"")</f>
        <v>0</v>
      </c>
      <c r="DR26">
        <f>IFERROR('Feeder Spreads'!V26,"")</f>
        <v>0</v>
      </c>
      <c r="DS26">
        <f>IFERROR(('Feeder Spreads'!W26-AVERAGE('Feeder Spreads'!$W$3:$W$4308))/STDEV('Feeder Spreads'!$W$3:$W$4308),"")</f>
        <v>-9.2057461789832332E-2</v>
      </c>
      <c r="DT26">
        <f>IFERROR('Feeder Spreads'!W26-'Feeder Spreads'!W31,"")</f>
        <v>0</v>
      </c>
      <c r="DU26">
        <f>IFERROR('Feeder Spreads'!W26-'Feeder Spreads'!W36,"")</f>
        <v>0</v>
      </c>
      <c r="DV26">
        <f>IFERROR(AVERAGE('Feeder Spreads'!W26:W45)+2*STDEV('Feeder Spreads'!W26:W45),"")</f>
        <v>0</v>
      </c>
      <c r="DW26">
        <f>IFERROR(AVERAGE('Feeder Spreads'!W26:W45)-2*STDEV('Feeder Spreads'!W26:W45),"")</f>
        <v>0</v>
      </c>
      <c r="DX26" t="str">
        <f>IFERROR(('Feeder Spreads'!W26-(AVERAGE('Feeder Spreads'!W26:W45)-2*STDEV('Feeder Spreads'!W26:W45)))/(4*STDEV('Feeder Spreads'!W26:W45)),"")</f>
        <v/>
      </c>
      <c r="DY26" t="str">
        <f>IFERROR(4*STDEV('Feeder Spreads'!W26:W45)/AVERAGE('Feeder Spreads'!W26:W45),"")</f>
        <v/>
      </c>
      <c r="DZ26">
        <v>16.2971</v>
      </c>
      <c r="EA26">
        <f>IFERROR(SQRT((SUMSQ('Feeder Spreads'!W26:W45)-2*SUMPRODUCT('Feeder Spreads'!W26:W45,'Feeder Spreads'!W27:W46)+SUMSQ('Feeder Spreads'!W27:W46)-('Feeder Spreads'!W26-'Feeder Spreads'!W46)^2/20)/19),"")</f>
        <v>0</v>
      </c>
      <c r="EC26">
        <f>IFERROR('Feeder Spreads'!AC26,"")</f>
        <v>0</v>
      </c>
      <c r="ED26">
        <f>IFERROR(('Feeder Spreads'!AD26-AVERAGE('Feeder Spreads'!$AD$3:$AD$4308))/STDEV('Feeder Spreads'!$AD$3:$AD$4308),"")</f>
        <v>9.2057461789832318E-2</v>
      </c>
      <c r="EE26">
        <f>IFERROR('Feeder Spreads'!AD26-'Feeder Spreads'!AD31,"")</f>
        <v>0</v>
      </c>
      <c r="EF26">
        <f>IFERROR('Feeder Spreads'!AD26-'Feeder Spreads'!AD36,"")</f>
        <v>0</v>
      </c>
      <c r="EG26">
        <f>IFERROR(AVERAGE('Feeder Spreads'!AD26:AD45)+2*STDEV('Feeder Spreads'!AD26:AD45),"")</f>
        <v>0</v>
      </c>
      <c r="EH26">
        <f>IFERROR(AVERAGE('Feeder Spreads'!AD26:AD45)-2*STDEV('Feeder Spreads'!AD26:AD45),"")</f>
        <v>0</v>
      </c>
      <c r="EI26" t="str">
        <f>IFERROR(('Feeder Spreads'!AD26-(AVERAGE('Feeder Spreads'!AD26:AD45)-2*STDEV('Feeder Spreads'!AD26:AD45)))/(4*STDEV('Feeder Spreads'!AD26:AD45)),"")</f>
        <v/>
      </c>
      <c r="EJ26" t="str">
        <f>IFERROR(4*STDEV('Feeder Spreads'!AD26:AD45)/AVERAGE('Feeder Spreads'!AD26:AD45),"")</f>
        <v/>
      </c>
      <c r="EK26">
        <v>48.960500000000003</v>
      </c>
      <c r="EL26">
        <f>IFERROR(SQRT((SUMSQ('Feeder Spreads'!AD26:AD45)-2*SUMPRODUCT('Feeder Spreads'!AD26:AD45,'Feeder Spreads'!AD27:AD46)+SUMSQ('Feeder Spreads'!AD27:AD46)-('Feeder Spreads'!AD26-'Feeder Spreads'!AD46)^2/20)/19),"")</f>
        <v>0</v>
      </c>
      <c r="EN26">
        <f>IFERROR('Feeder Spreads'!AJ26,"")</f>
        <v>0</v>
      </c>
      <c r="EO26">
        <f>IFERROR(('Feeder Spreads'!AK26-AVERAGE('Feeder Spreads'!$AK$3:$AK$4308))/STDEV('Feeder Spreads'!$AK$3:$AK$4308),"")</f>
        <v>-9.2057461789832346E-2</v>
      </c>
      <c r="EP26">
        <f>IFERROR('Feeder Spreads'!AK26-'Feeder Spreads'!AK31,"")</f>
        <v>0</v>
      </c>
      <c r="EQ26">
        <f>IFERROR('Feeder Spreads'!AK26-'Feeder Spreads'!AK36,"")</f>
        <v>0</v>
      </c>
      <c r="ER26">
        <f>IFERROR(AVERAGE('Feeder Spreads'!AK26:AK45)+2*STDEV('Feeder Spreads'!AK26:AK45),"")</f>
        <v>0</v>
      </c>
      <c r="ES26">
        <f>IFERROR(AVERAGE('Feeder Spreads'!AK26:AK45)-2*STDEV('Feeder Spreads'!AK26:AK45),"")</f>
        <v>0</v>
      </c>
      <c r="ET26" t="str">
        <f>IFERROR(('Feeder Spreads'!AK26-(AVERAGE('Feeder Spreads'!AK26:AK45)-2*STDEV('Feeder Spreads'!AK26:AK45)))/(4*STDEV('Feeder Spreads'!AK26:AK45)),"")</f>
        <v/>
      </c>
      <c r="EU26" t="str">
        <f>IFERROR(4*STDEV('Feeder Spreads'!AK26:AK45)/AVERAGE('Feeder Spreads'!AK26:AK45),"")</f>
        <v/>
      </c>
      <c r="EV26">
        <v>58.394100000000002</v>
      </c>
      <c r="EW26">
        <f>IFERROR(SQRT((SUMSQ('Feeder Spreads'!AK26:AK45)-2*SUMPRODUCT('Feeder Spreads'!AK26:AK45,'Feeder Spreads'!AK27:AK46)+SUMSQ('Feeder Spreads'!AK27:AK46)-('Feeder Spreads'!AK26-'Feeder Spreads'!AK46)^2/20)/19),"")</f>
        <v>0</v>
      </c>
      <c r="EY26">
        <f>IFERROR('Feeder Spreads'!AQ26,"")</f>
        <v>0</v>
      </c>
      <c r="EZ26">
        <f>IFERROR(('Feeder Spreads'!AR26-AVERAGE('Feeder Spreads'!$AR$3:$AR$4308))/STDEV('Feeder Spreads'!$AR$3:$AR$4308),"")</f>
        <v>-9.2057461789832332E-2</v>
      </c>
      <c r="FA26">
        <f>IFERROR('Feeder Spreads'!AR26-'Feeder Spreads'!AR31,"")</f>
        <v>0</v>
      </c>
      <c r="FB26">
        <f>IFERROR('Feeder Spreads'!AR26-'Feeder Spreads'!AR36,"")</f>
        <v>0</v>
      </c>
      <c r="FC26">
        <f>IFERROR(AVERAGE('Feeder Spreads'!AR26:AR45)+2*STDEV('Feeder Spreads'!AR26:AR45),"")</f>
        <v>0</v>
      </c>
      <c r="FD26">
        <f>IFERROR(AVERAGE('Feeder Spreads'!AR26:AR45)-2*STDEV('Feeder Spreads'!AR26:AR45),"")</f>
        <v>0</v>
      </c>
      <c r="FE26" t="str">
        <f>IFERROR(('Feeder Spreads'!AR26-(AVERAGE('Feeder Spreads'!AR26:AR45)-2*STDEV('Feeder Spreads'!AR26:AR45)))/(4*STDEV('Feeder Spreads'!AR26:AR45)),"")</f>
        <v/>
      </c>
      <c r="FF26" t="str">
        <f>IFERROR(4*STDEV('Feeder Spreads'!AR26:AR45)/AVERAGE('Feeder Spreads'!AR26:AR45),"")</f>
        <v/>
      </c>
      <c r="FG26">
        <v>63.325099999999999</v>
      </c>
      <c r="FH26">
        <f>IFERROR(SQRT((SUMSQ('Feeder Spreads'!AR26:AR45)-2*SUMPRODUCT('Feeder Spreads'!AR26:AR45,'Feeder Spreads'!AR27:AR46)+SUMSQ('Feeder Spreads'!AR27:AR46)-('Feeder Spreads'!AR26-'Feeder Spreads'!AR46)^2/20)/19),"")</f>
        <v>0</v>
      </c>
      <c r="FJ26">
        <f>IFERROR('Fat Spreads'!AX26,"")</f>
        <v>0</v>
      </c>
      <c r="FK26">
        <f>IFERROR(('Fat Spreads'!AY26-AVERAGE('Fat Spreads'!$AY$3:$AY$4308))/STDEV('Fat Spreads'!$AY$3:$AY$4308),"")</f>
        <v>9.2057461789832332E-2</v>
      </c>
      <c r="FL26">
        <f>IFERROR('Fat Spreads'!AY26-'Fat Spreads'!AY31,"")</f>
        <v>0</v>
      </c>
      <c r="FM26">
        <f>IFERROR('Fat Spreads'!AY26-'Fat Spreads'!AY36,"")</f>
        <v>0</v>
      </c>
      <c r="FN26">
        <f>IFERROR(AVERAGE('Fat Spreads'!AY26:AY45)+2*STDEV('Fat Spreads'!AY26:AY45),"")</f>
        <v>0</v>
      </c>
      <c r="FO26">
        <f>IFERROR(AVERAGE('Fat Spreads'!AY26:AY45)-2*STDEV('Fat Spreads'!AY26:AY45),"")</f>
        <v>0</v>
      </c>
      <c r="FP26" t="str">
        <f>IFERROR(('Fat Spreads'!AY26-(AVERAGE('Fat Spreads'!AY26:AY45)-2*STDEV('Fat Spreads'!AY26:AY45)))/(4*STDEV('Fat Spreads'!AY26:AY45)),"")</f>
        <v/>
      </c>
      <c r="FQ26" t="str">
        <f>IFERROR(4*STDEV('Fat Spreads'!AY26:AY45)/AVERAGE('Fat Spreads'!AY26:AY45),"")</f>
        <v/>
      </c>
      <c r="FR26">
        <v>20.6526</v>
      </c>
      <c r="FS26">
        <f>IFERROR(SQRT((SUMSQ('Fat Spreads'!AY26:AY45)-2*SUMPRODUCT('Fat Spreads'!AY26:AY45,'Fat Spreads'!AY27:AY46)+SUMSQ('Fat Spreads'!AY27:AY46)-('Fat Spreads'!AY26-'Fat Spreads'!AY46)^2/20)/19),"")</f>
        <v>0</v>
      </c>
      <c r="FU26">
        <f>IFERROR('Fat Spreads'!BE26,"")</f>
        <v>0</v>
      </c>
      <c r="FV26">
        <f>IFERROR(('Fat Spreads'!BF26-AVERAGE('Fat Spreads'!$BF$3:$BF$4308))/STDEV('Fat Spreads'!$BF$3:$BF$4308),"")</f>
        <v>9.2057461789832332E-2</v>
      </c>
      <c r="FW26">
        <f>IFERROR('Fat Spreads'!BF26-'Fat Spreads'!BF31,"")</f>
        <v>0</v>
      </c>
      <c r="FX26">
        <f>IFERROR('Fat Spreads'!BF26-'Fat Spreads'!BF36,"")</f>
        <v>0</v>
      </c>
      <c r="FY26">
        <f>IFERROR(AVERAGE('Fat Spreads'!BF26:BF45)+2*STDEV('Fat Spreads'!BF26:BF45),"")</f>
        <v>0</v>
      </c>
      <c r="FZ26">
        <f>IFERROR(AVERAGE('Fat Spreads'!BF26:BF45)-2*STDEV('Fat Spreads'!BF26:BF45),"")</f>
        <v>0</v>
      </c>
      <c r="GA26" t="str">
        <f>IFERROR(('Fat Spreads'!BF26-(AVERAGE('Fat Spreads'!BF26:BF45)-2*STDEV('Fat Spreads'!BF26:BF45)))/(4*STDEV('Fat Spreads'!BF26:BF45)),"")</f>
        <v/>
      </c>
      <c r="GB26" t="str">
        <f>IFERROR(4*STDEV('Fat Spreads'!BF26:BF45)/AVERAGE('Fat Spreads'!BF26:BF45),"")</f>
        <v/>
      </c>
      <c r="GC26">
        <v>43.243200000000002</v>
      </c>
      <c r="GD26">
        <f>IFERROR(SQRT((SUMSQ('Fat Spreads'!BF26:BF45)-2*SUMPRODUCT('Fat Spreads'!BF26:BF45,'Fat Spreads'!BF27:BF46)+SUMSQ('Fat Spreads'!BF27:BF46)-('Fat Spreads'!BF26-'Fat Spreads'!BF46)^2/20)/19),"")</f>
        <v>0</v>
      </c>
    </row>
    <row r="27" spans="1:186" x14ac:dyDescent="0.25">
      <c r="A27">
        <f>IFERROR('Fat Spreads'!A27,"")</f>
        <v>0</v>
      </c>
      <c r="B27">
        <f>IFERROR(('Fat Spreads'!B27-AVERAGE('Fat Spreads'!$B$3:$B$4308))/STDEV('Fat Spreads'!$B$3:$B$4308),"")</f>
        <v>9.2057461789832346E-2</v>
      </c>
      <c r="C27">
        <f>IFERROR('Fat Spreads'!B27-'Fat Spreads'!B32,"")</f>
        <v>0</v>
      </c>
      <c r="D27">
        <f>IFERROR('Fat Spreads'!B27-'Fat Spreads'!B37,"")</f>
        <v>0</v>
      </c>
      <c r="E27">
        <f>IFERROR(AVERAGE('Fat Spreads'!B27:B46)+2*STDEV('Fat Spreads'!B27:B46),"")</f>
        <v>0</v>
      </c>
      <c r="F27">
        <f>IFERROR(AVERAGE('Fat Spreads'!B27:B46)-2*STDEV('Fat Spreads'!B27:B46),"")</f>
        <v>0</v>
      </c>
      <c r="G27" t="str">
        <f>IFERROR(('Fat Spreads'!B27-(AVERAGE('Fat Spreads'!B27:B46)-2*STDEV('Fat Spreads'!B27:B46)))/(4*STDEV('Fat Spreads'!B27:B46)),"")</f>
        <v/>
      </c>
      <c r="H27" t="str">
        <f>IFERROR(4*STDEV('Fat Spreads'!B27:B46)/AVERAGE('Fat Spreads'!B27:B46),"")</f>
        <v/>
      </c>
      <c r="I27">
        <v>25.71</v>
      </c>
      <c r="J27">
        <f>IFERROR(SQRT((SUMSQ('Fat Spreads'!B27:B46)-2*SUMPRODUCT('Fat Spreads'!B27:B46,'Fat Spreads'!B28:B47)+SUMSQ('Fat Spreads'!B28:B47)-('Fat Spreads'!B27-'Fat Spreads'!B47)^2/20)/19),"")</f>
        <v>0</v>
      </c>
      <c r="L27">
        <f>IFERROR('Fat Spreads'!H27,"")</f>
        <v>0</v>
      </c>
      <c r="M27">
        <f>IFERROR(('Fat Spreads'!I27-AVERAGE('Fat Spreads'!$I$3:$I$4308))/STDEV('Fat Spreads'!$I$3:$I$4308),"")</f>
        <v>-9.2057461789832332E-2</v>
      </c>
      <c r="N27">
        <f>IFERROR('Fat Spreads'!I27-'Fat Spreads'!I32,"")</f>
        <v>0</v>
      </c>
      <c r="O27">
        <f>IFERROR('Fat Spreads'!I27-'Fat Spreads'!I37,"")</f>
        <v>0</v>
      </c>
      <c r="P27">
        <f>IFERROR(AVERAGE('Fat Spreads'!I27:I46)+2*STDEV('Fat Spreads'!I27:I46),"")</f>
        <v>0</v>
      </c>
      <c r="Q27">
        <f>IFERROR(AVERAGE('Fat Spreads'!I27:I46)-2*STDEV('Fat Spreads'!I27:I46),"")</f>
        <v>0</v>
      </c>
      <c r="R27" t="str">
        <f>IFERROR(('Fat Spreads'!I27-(AVERAGE('Fat Spreads'!I27:I46)-2*STDEV('Fat Spreads'!I27:I46)))/(4*STDEV('Fat Spreads'!I27:I46)),"")</f>
        <v/>
      </c>
      <c r="S27" t="str">
        <f>IFERROR(4*STDEV('Fat Spreads'!I27:I46)/AVERAGE('Fat Spreads'!I27:I46),"")</f>
        <v/>
      </c>
      <c r="T27">
        <v>67.719700000000003</v>
      </c>
      <c r="U27">
        <f>IFERROR(SQRT((SUMSQ('Fat Spreads'!I27:I46)-2*SUMPRODUCT('Fat Spreads'!I27:I46,'Fat Spreads'!I28:I47)+SUMSQ('Fat Spreads'!I28:I47)-('Fat Spreads'!I27-'Fat Spreads'!I47)^2/20)/19),"")</f>
        <v>0</v>
      </c>
      <c r="W27">
        <f>IFERROR('Fat Spreads'!AQ27,"")</f>
        <v>0</v>
      </c>
      <c r="X27">
        <f>IFERROR(('Fat Spreads'!AR27-AVERAGE('Fat Spreads'!$AR$3:$AR$4308))/STDEV('Fat Spreads'!$AR$3:$AR$4308),"")</f>
        <v>-9.2057461789832346E-2</v>
      </c>
      <c r="Y27">
        <f>IFERROR('Fat Spreads'!AR27-'Fat Spreads'!AR32,"")</f>
        <v>0</v>
      </c>
      <c r="Z27">
        <f>IFERROR('Fat Spreads'!AR27-'Fat Spreads'!AR37,"")</f>
        <v>0</v>
      </c>
      <c r="AA27">
        <f>IFERROR(AVERAGE('Fat Spreads'!AR27:AR46)+2*STDEV('Fat Spreads'!AR27:AR46),"")</f>
        <v>0</v>
      </c>
      <c r="AB27">
        <f>IFERROR(AVERAGE('Fat Spreads'!AR27:AR46)-2*STDEV('Fat Spreads'!AR27:AR46),"")</f>
        <v>0</v>
      </c>
      <c r="AC27" t="str">
        <f>IFERROR(('Fat Spreads'!AR27-(AVERAGE('Fat Spreads'!AR27:AR46)-2*STDEV('Fat Spreads'!AR27:AR46)))/(4*STDEV('Fat Spreads'!AR27:AR46)),"")</f>
        <v/>
      </c>
      <c r="AD27" t="str">
        <f>IFERROR(4*STDEV('Fat Spreads'!AR27:AR46)/AVERAGE('Fat Spreads'!AR27:AR46),"")</f>
        <v/>
      </c>
      <c r="AE27">
        <v>84.457599999999999</v>
      </c>
      <c r="AF27">
        <f>IFERROR(SQRT((SUMSQ('Fat Spreads'!AR27:AR46)-2*SUMPRODUCT('Fat Spreads'!AR27:AR46,'Fat Spreads'!AR28:AR47)+SUMSQ('Fat Spreads'!AR28:AR47)-('Fat Spreads'!AR27-'Fat Spreads'!AR47)^2/20)/19),"")</f>
        <v>0</v>
      </c>
      <c r="AH27">
        <f>IFERROR('Fat Spreads'!O27,"")</f>
        <v>0</v>
      </c>
      <c r="AI27">
        <f>IFERROR(('Fat Spreads'!P27-AVERAGE('Fat Spreads'!$P$3:$P$4308))/STDEV('Fat Spreads'!$P$3:$P$4308),"")</f>
        <v>-9.2057461789832332E-2</v>
      </c>
      <c r="AJ27">
        <f>IFERROR('Fat Spreads'!P27-'Fat Spreads'!P32,"")</f>
        <v>0</v>
      </c>
      <c r="AK27">
        <f>IFERROR('Fat Spreads'!P27-'Fat Spreads'!P37,"")</f>
        <v>0</v>
      </c>
      <c r="AL27">
        <f>IFERROR(AVERAGE('Fat Spreads'!P27:P46)+2*STDEV('Fat Spreads'!P27:P46),"")</f>
        <v>0</v>
      </c>
      <c r="AM27">
        <f>IFERROR(AVERAGE('Fat Spreads'!P27:P46)-2*STDEV('Fat Spreads'!P27:P46),"")</f>
        <v>0</v>
      </c>
      <c r="AN27" t="str">
        <f>IFERROR(('Fat Spreads'!P27-(AVERAGE('Fat Spreads'!P27:P46)-2*STDEV('Fat Spreads'!P27:P46)))/(4*STDEV('Fat Spreads'!P27:P46)),"")</f>
        <v/>
      </c>
      <c r="AO27" t="str">
        <f>IFERROR(4*STDEV('Fat Spreads'!P27:P46)/AVERAGE('Fat Spreads'!P27:P46),"")</f>
        <v/>
      </c>
      <c r="AP27">
        <v>82.314499999999995</v>
      </c>
      <c r="AQ27">
        <f>IFERROR(SQRT((SUMSQ('Fat Spreads'!P27:P46)-2*SUMPRODUCT('Fat Spreads'!P27:P46,'Fat Spreads'!P28:P47)+SUMSQ('Fat Spreads'!P28:P47)-('Fat Spreads'!P27-'Fat Spreads'!P47)^2/20)/19),"")</f>
        <v>0</v>
      </c>
      <c r="AS27">
        <f>IFERROR('Fat Spreads'!AJ27,"")</f>
        <v>0</v>
      </c>
      <c r="AT27">
        <f>IFERROR(('Fat Spreads'!AK27-AVERAGE('Fat Spreads'!$AK$3:$AK$4308))/STDEV('Fat Spreads'!$AK$3:$AK$4308),"")</f>
        <v>-9.2057461789832332E-2</v>
      </c>
      <c r="AU27">
        <f>IFERROR('Fat Spreads'!AK27-'Fat Spreads'!AK32,"")</f>
        <v>0</v>
      </c>
      <c r="AV27">
        <f>IFERROR('Fat Spreads'!AK27-'Fat Spreads'!AK37,"")</f>
        <v>0</v>
      </c>
      <c r="AW27">
        <f>IFERROR(AVERAGE('Fat Spreads'!AK27:AK46)+2*STDEV('Fat Spreads'!AK27:AK46),"")</f>
        <v>0</v>
      </c>
      <c r="AX27">
        <f>IFERROR(AVERAGE('Fat Spreads'!AK27:AK46)-2*STDEV('Fat Spreads'!AK27:AK46),"")</f>
        <v>0</v>
      </c>
      <c r="AY27" t="str">
        <f>IFERROR(('Fat Spreads'!AK27-(AVERAGE('Fat Spreads'!AK27:AK46)-2*STDEV('Fat Spreads'!AK27:AK46)))/(4*STDEV('Fat Spreads'!AK27:AK46)),"")</f>
        <v/>
      </c>
      <c r="AZ27" t="str">
        <f>IFERROR(4*STDEV('Fat Spreads'!AK27:AK46)/AVERAGE('Fat Spreads'!AK27:AK46),"")</f>
        <v/>
      </c>
      <c r="BA27">
        <v>30.4194</v>
      </c>
      <c r="BB27">
        <f>IFERROR(SQRT((SUMSQ('Fat Spreads'!AK27:AK46)-2*SUMPRODUCT('Fat Spreads'!AK27:AK46,'Fat Spreads'!AK28:AK47)+SUMSQ('Fat Spreads'!AK28:AK47)-('Fat Spreads'!AK27-'Fat Spreads'!AK47)^2/20)/19),"")</f>
        <v>0</v>
      </c>
      <c r="BD27">
        <f>IFERROR('Fat Spreads'!V27,"")</f>
        <v>0</v>
      </c>
      <c r="BE27">
        <f>IFERROR(('Fat Spreads'!W27-AVERAGE('Fat Spreads'!$W$3:$W$4308))/STDEV('Fat Spreads'!$W$3:$W$4308),"")</f>
        <v>-9.2057461789832332E-2</v>
      </c>
      <c r="BF27">
        <f>IFERROR('Fat Spreads'!W27-'Fat Spreads'!W32,"")</f>
        <v>0</v>
      </c>
      <c r="BG27">
        <f>IFERROR('Fat Spreads'!W27-'Fat Spreads'!W37,"")</f>
        <v>0</v>
      </c>
      <c r="BH27">
        <f>IFERROR(AVERAGE('Fat Spreads'!W27:W46)+2*STDEV('Fat Spreads'!W27:W46),"")</f>
        <v>0</v>
      </c>
      <c r="BI27">
        <f>IFERROR(AVERAGE('Fat Spreads'!W27:W46)-2*STDEV('Fat Spreads'!W27:W46),"")</f>
        <v>0</v>
      </c>
      <c r="BJ27" t="str">
        <f>IFERROR(('Fat Spreads'!W27-(AVERAGE('Fat Spreads'!W27:W46)-2*STDEV('Fat Spreads'!W27:W46)))/(4*STDEV('Fat Spreads'!W27:W46)),"")</f>
        <v/>
      </c>
      <c r="BK27" t="str">
        <f>IFERROR(4*STDEV('Fat Spreads'!W27:W46)/AVERAGE('Fat Spreads'!W27:W46),"")</f>
        <v/>
      </c>
      <c r="BL27">
        <v>75.998800000000003</v>
      </c>
      <c r="BM27">
        <f>IFERROR(SQRT((SUMSQ('Fat Spreads'!W27:W46)-2*SUMPRODUCT('Fat Spreads'!W27:W46,'Fat Spreads'!W28:W47)+SUMSQ('Fat Spreads'!W28:W47)-('Fat Spreads'!W27-'Fat Spreads'!W47)^2/20)/19),"")</f>
        <v>0</v>
      </c>
      <c r="BO27">
        <f>IFERROR('Fat Spreads'!AC27,"")</f>
        <v>0</v>
      </c>
      <c r="BP27">
        <f>IFERROR(('Fat Spreads'!AD27-AVERAGE('Fat Spreads'!$AD$3:$AD$4308))/STDEV('Fat Spreads'!$AD$3:$AD$4308),"")</f>
        <v>-9.2057461789832332E-2</v>
      </c>
      <c r="BQ27">
        <f>IFERROR('Fat Spreads'!AD27-'Fat Spreads'!AD32,"")</f>
        <v>0</v>
      </c>
      <c r="BR27">
        <f>IFERROR('Fat Spreads'!AD27-'Fat Spreads'!AD37,"")</f>
        <v>0</v>
      </c>
      <c r="BS27">
        <f>IFERROR(AVERAGE('Fat Spreads'!AD27:AD46)+2*STDEV('Fat Spreads'!AD27:AD46),"")</f>
        <v>0</v>
      </c>
      <c r="BT27">
        <f>IFERROR(AVERAGE('Fat Spreads'!AD27:AD46)-2*STDEV('Fat Spreads'!AD27:AD46),"")</f>
        <v>0</v>
      </c>
      <c r="BU27" t="str">
        <f>IFERROR(('Fat Spreads'!AD27-(AVERAGE('Fat Spreads'!AD27:AD46)-2*STDEV('Fat Spreads'!AD27:AD46)))/(4*STDEV('Fat Spreads'!AD27:AD46)),"")</f>
        <v/>
      </c>
      <c r="BV27" t="str">
        <f>IFERROR(4*STDEV('Fat Spreads'!AD27:AD46)/AVERAGE('Fat Spreads'!AD27:AD46),"")</f>
        <v/>
      </c>
      <c r="BW27">
        <v>66.25</v>
      </c>
      <c r="BX27">
        <f>IFERROR(SQRT((SUMSQ('Fat Spreads'!AD27:AD46)-2*SUMPRODUCT('Fat Spreads'!AD27:AD46,'Fat Spreads'!AD28:AD47)+SUMSQ('Fat Spreads'!AD28:AD47)-('Fat Spreads'!AD27-'Fat Spreads'!AD47)^2/20)/19),"")</f>
        <v>0</v>
      </c>
      <c r="BZ27">
        <f>IFERROR('Feeder Spreads'!A27,"")</f>
        <v>0</v>
      </c>
      <c r="CA27">
        <f>IFERROR(('Feeder Spreads'!B27-AVERAGE('Feeder Spreads'!$B$3:$B$4308))/STDEV('Feeder Spreads'!$B$3:$B$4308),"")</f>
        <v>-9.2057461789832346E-2</v>
      </c>
      <c r="CB27">
        <f>IFERROR('Feeder Spreads'!B27-'Feeder Spreads'!B32,"")</f>
        <v>0</v>
      </c>
      <c r="CC27">
        <f>IFERROR('Feeder Spreads'!B27-'Feeder Spreads'!B37,"")</f>
        <v>0</v>
      </c>
      <c r="CD27">
        <f>IFERROR(AVERAGE('Feeder Spreads'!B27:B46)+2*STDEV('Feeder Spreads'!B27:B46),"")</f>
        <v>0</v>
      </c>
      <c r="CE27">
        <f>IFERROR(AVERAGE('Feeder Spreads'!B27:B46)-2*STDEV('Feeder Spreads'!B27:B46),"")</f>
        <v>0</v>
      </c>
      <c r="CF27" t="str">
        <f>IFERROR(('Feeder Spreads'!B27-(AVERAGE('Feeder Spreads'!B27:B46)-2*STDEV('Feeder Spreads'!B27:B46)))/(4*STDEV('Feeder Spreads'!B27:B46)),"")</f>
        <v/>
      </c>
      <c r="CG27" t="str">
        <f>IFERROR(4*STDEV('Feeder Spreads'!B27:B46)/AVERAGE('Feeder Spreads'!B27:B46),"")</f>
        <v/>
      </c>
      <c r="CH27">
        <v>67.209299999999999</v>
      </c>
      <c r="CI27">
        <f>IFERROR(SQRT((SUMSQ('Feeder Spreads'!B27:B46)-2*SUMPRODUCT('Feeder Spreads'!B27:B46,'Feeder Spreads'!B28:B47)+SUMSQ('Feeder Spreads'!B28:B47)-('Feeder Spreads'!B27-'Feeder Spreads'!B47)^2/20)/19),"")</f>
        <v>0</v>
      </c>
      <c r="CK27">
        <f>IFERROR('Feeder Spreads'!AX27,"")</f>
        <v>0</v>
      </c>
      <c r="CL27">
        <f>IFERROR(('Feeder Spreads'!AY27-AVERAGE('Feeder Spreads'!$AY$3:$AY$4308))/STDEV('Feeder Spreads'!$AY$3:$AY$4308),"")</f>
        <v>-9.2057461789832346E-2</v>
      </c>
      <c r="CM27">
        <f>IFERROR('Feeder Spreads'!AY27-'Feeder Spreads'!AY32,"")</f>
        <v>0</v>
      </c>
      <c r="CN27">
        <f>IFERROR('Feeder Spreads'!AY27-'Feeder Spreads'!AY37,"")</f>
        <v>0</v>
      </c>
      <c r="CO27">
        <f>IFERROR(AVERAGE('Feeder Spreads'!AY27:AY46)+2*STDEV('Feeder Spreads'!AY27:AY46),"")</f>
        <v>0</v>
      </c>
      <c r="CP27">
        <f>IFERROR(AVERAGE('Feeder Spreads'!AY27:AY46)-2*STDEV('Feeder Spreads'!AY27:AY46),"")</f>
        <v>0</v>
      </c>
      <c r="CQ27" t="str">
        <f>IFERROR(('Feeder Spreads'!AY27-(AVERAGE('Feeder Spreads'!AY27:AY46)-2*STDEV('Feeder Spreads'!AY27:AY46)))/(4*STDEV('Feeder Spreads'!AY27:AY46)),"")</f>
        <v/>
      </c>
      <c r="CR27" t="str">
        <f>IFERROR(4*STDEV('Feeder Spreads'!AY27:AY46)/AVERAGE('Feeder Spreads'!AY27:AY46),"")</f>
        <v/>
      </c>
      <c r="CS27">
        <v>60.564799999999998</v>
      </c>
      <c r="CT27">
        <f>IFERROR(SQRT((SUMSQ('Feeder Spreads'!AY27:AY46)-2*SUMPRODUCT('Feeder Spreads'!AY27:AY46,'Feeder Spreads'!AY28:AY47)+SUMSQ('Feeder Spreads'!AY28:AY47)-('Feeder Spreads'!AY27-'Feeder Spreads'!AY47)^2/20)/19),"")</f>
        <v>0</v>
      </c>
      <c r="CV27">
        <f>IFERROR('Feeder Spreads'!H27,"")</f>
        <v>0</v>
      </c>
      <c r="CW27">
        <f>IFERROR(('Feeder Spreads'!I27-AVERAGE('Feeder Spreads'!$I$3:$I$4308))/STDEV('Feeder Spreads'!$I$3:$I$4308),"")</f>
        <v>-9.2057461789832332E-2</v>
      </c>
      <c r="CX27">
        <f>IFERROR('Feeder Spreads'!I27-'Feeder Spreads'!I32,"")</f>
        <v>0</v>
      </c>
      <c r="CY27">
        <f>IFERROR('Feeder Spreads'!I27-'Feeder Spreads'!I37,"")</f>
        <v>0</v>
      </c>
      <c r="CZ27">
        <f>IFERROR(AVERAGE('Feeder Spreads'!I27:I46)+2*STDEV('Feeder Spreads'!I27:I46),"")</f>
        <v>0</v>
      </c>
      <c r="DA27">
        <f>IFERROR(AVERAGE('Feeder Spreads'!I27:I46)-2*STDEV('Feeder Spreads'!I27:I46),"")</f>
        <v>0</v>
      </c>
      <c r="DB27" t="str">
        <f>IFERROR(('Feeder Spreads'!I27-(AVERAGE('Feeder Spreads'!I27:I46)-2*STDEV('Feeder Spreads'!I27:I46)))/(4*STDEV('Feeder Spreads'!I27:I46)),"")</f>
        <v/>
      </c>
      <c r="DC27" t="str">
        <f>IFERROR(4*STDEV('Feeder Spreads'!I27:I46)/AVERAGE('Feeder Spreads'!I27:I46),"")</f>
        <v/>
      </c>
      <c r="DD27">
        <v>68.643799999999999</v>
      </c>
      <c r="DE27">
        <f>IFERROR(SQRT((SUMSQ('Feeder Spreads'!I27:I46)-2*SUMPRODUCT('Feeder Spreads'!I27:I46,'Feeder Spreads'!I28:I47)+SUMSQ('Feeder Spreads'!I28:I47)-('Feeder Spreads'!I27-'Feeder Spreads'!I47)^2/20)/19),"")</f>
        <v>0</v>
      </c>
      <c r="DG27">
        <f>IFERROR('Feeder Spreads'!O27,"")</f>
        <v>0</v>
      </c>
      <c r="DH27">
        <f>IFERROR(('Feeder Spreads'!P27-AVERAGE('Feeder Spreads'!$P$3:$P$4308))/STDEV('Feeder Spreads'!$P$3:$P$4308),"")</f>
        <v>-9.2057461789832346E-2</v>
      </c>
      <c r="DI27">
        <f>IFERROR('Feeder Spreads'!P27-'Feeder Spreads'!P32,"")</f>
        <v>0</v>
      </c>
      <c r="DJ27">
        <f>IFERROR('Feeder Spreads'!P27-'Feeder Spreads'!P37,"")</f>
        <v>0</v>
      </c>
      <c r="DK27">
        <f>IFERROR(AVERAGE('Feeder Spreads'!P27:P46)+2*STDEV('Feeder Spreads'!P27:P46),"")</f>
        <v>0</v>
      </c>
      <c r="DL27">
        <f>IFERROR(AVERAGE('Feeder Spreads'!P27:P46)-2*STDEV('Feeder Spreads'!P27:P46),"")</f>
        <v>0</v>
      </c>
      <c r="DM27" t="str">
        <f>IFERROR(('Feeder Spreads'!P27-(AVERAGE('Feeder Spreads'!P27:P46)-2*STDEV('Feeder Spreads'!P27:P46)))/(4*STDEV('Feeder Spreads'!P27:P46)),"")</f>
        <v/>
      </c>
      <c r="DN27" t="str">
        <f>IFERROR(4*STDEV('Feeder Spreads'!P27:P46)/AVERAGE('Feeder Spreads'!P27:P46),"")</f>
        <v/>
      </c>
      <c r="DO27">
        <v>59.4253</v>
      </c>
      <c r="DP27">
        <f>IFERROR(SQRT((SUMSQ('Feeder Spreads'!P27:P46)-2*SUMPRODUCT('Feeder Spreads'!P27:P46,'Feeder Spreads'!P28:P47)+SUMSQ('Feeder Spreads'!P28:P47)-('Feeder Spreads'!P27-'Feeder Spreads'!P47)^2/20)/19),"")</f>
        <v>0</v>
      </c>
      <c r="DR27">
        <f>IFERROR('Feeder Spreads'!V27,"")</f>
        <v>0</v>
      </c>
      <c r="DS27">
        <f>IFERROR(('Feeder Spreads'!W27-AVERAGE('Feeder Spreads'!$W$3:$W$4308))/STDEV('Feeder Spreads'!$W$3:$W$4308),"")</f>
        <v>-9.2057461789832332E-2</v>
      </c>
      <c r="DT27">
        <f>IFERROR('Feeder Spreads'!W27-'Feeder Spreads'!W32,"")</f>
        <v>0</v>
      </c>
      <c r="DU27">
        <f>IFERROR('Feeder Spreads'!W27-'Feeder Spreads'!W37,"")</f>
        <v>0</v>
      </c>
      <c r="DV27">
        <f>IFERROR(AVERAGE('Feeder Spreads'!W27:W46)+2*STDEV('Feeder Spreads'!W27:W46),"")</f>
        <v>0</v>
      </c>
      <c r="DW27">
        <f>IFERROR(AVERAGE('Feeder Spreads'!W27:W46)-2*STDEV('Feeder Spreads'!W27:W46),"")</f>
        <v>0</v>
      </c>
      <c r="DX27" t="str">
        <f>IFERROR(('Feeder Spreads'!W27-(AVERAGE('Feeder Spreads'!W27:W46)-2*STDEV('Feeder Spreads'!W27:W46)))/(4*STDEV('Feeder Spreads'!W27:W46)),"")</f>
        <v/>
      </c>
      <c r="DY27" t="str">
        <f>IFERROR(4*STDEV('Feeder Spreads'!W27:W46)/AVERAGE('Feeder Spreads'!W27:W46),"")</f>
        <v/>
      </c>
      <c r="DZ27">
        <v>17.4968</v>
      </c>
      <c r="EA27">
        <f>IFERROR(SQRT((SUMSQ('Feeder Spreads'!W27:W46)-2*SUMPRODUCT('Feeder Spreads'!W27:W46,'Feeder Spreads'!W28:W47)+SUMSQ('Feeder Spreads'!W28:W47)-('Feeder Spreads'!W27-'Feeder Spreads'!W47)^2/20)/19),"")</f>
        <v>0</v>
      </c>
      <c r="EC27">
        <f>IFERROR('Feeder Spreads'!AC27,"")</f>
        <v>0</v>
      </c>
      <c r="ED27">
        <f>IFERROR(('Feeder Spreads'!AD27-AVERAGE('Feeder Spreads'!$AD$3:$AD$4308))/STDEV('Feeder Spreads'!$AD$3:$AD$4308),"")</f>
        <v>9.2057461789832318E-2</v>
      </c>
      <c r="EE27">
        <f>IFERROR('Feeder Spreads'!AD27-'Feeder Spreads'!AD32,"")</f>
        <v>0</v>
      </c>
      <c r="EF27">
        <f>IFERROR('Feeder Spreads'!AD27-'Feeder Spreads'!AD37,"")</f>
        <v>0</v>
      </c>
      <c r="EG27">
        <f>IFERROR(AVERAGE('Feeder Spreads'!AD27:AD46)+2*STDEV('Feeder Spreads'!AD27:AD46),"")</f>
        <v>0</v>
      </c>
      <c r="EH27">
        <f>IFERROR(AVERAGE('Feeder Spreads'!AD27:AD46)-2*STDEV('Feeder Spreads'!AD27:AD46),"")</f>
        <v>0</v>
      </c>
      <c r="EI27" t="str">
        <f>IFERROR(('Feeder Spreads'!AD27-(AVERAGE('Feeder Spreads'!AD27:AD46)-2*STDEV('Feeder Spreads'!AD27:AD46)))/(4*STDEV('Feeder Spreads'!AD27:AD46)),"")</f>
        <v/>
      </c>
      <c r="EJ27" t="str">
        <f>IFERROR(4*STDEV('Feeder Spreads'!AD27:AD46)/AVERAGE('Feeder Spreads'!AD27:AD46),"")</f>
        <v/>
      </c>
      <c r="EK27">
        <v>45.156300000000002</v>
      </c>
      <c r="EL27">
        <f>IFERROR(SQRT((SUMSQ('Feeder Spreads'!AD27:AD46)-2*SUMPRODUCT('Feeder Spreads'!AD27:AD46,'Feeder Spreads'!AD28:AD47)+SUMSQ('Feeder Spreads'!AD28:AD47)-('Feeder Spreads'!AD27-'Feeder Spreads'!AD47)^2/20)/19),"")</f>
        <v>0</v>
      </c>
      <c r="EN27">
        <f>IFERROR('Feeder Spreads'!AJ27,"")</f>
        <v>0</v>
      </c>
      <c r="EO27">
        <f>IFERROR(('Feeder Spreads'!AK27-AVERAGE('Feeder Spreads'!$AK$3:$AK$4308))/STDEV('Feeder Spreads'!$AK$3:$AK$4308),"")</f>
        <v>-9.2057461789832346E-2</v>
      </c>
      <c r="EP27">
        <f>IFERROR('Feeder Spreads'!AK27-'Feeder Spreads'!AK32,"")</f>
        <v>0</v>
      </c>
      <c r="EQ27">
        <f>IFERROR('Feeder Spreads'!AK27-'Feeder Spreads'!AK37,"")</f>
        <v>0</v>
      </c>
      <c r="ER27">
        <f>IFERROR(AVERAGE('Feeder Spreads'!AK27:AK46)+2*STDEV('Feeder Spreads'!AK27:AK46),"")</f>
        <v>0</v>
      </c>
      <c r="ES27">
        <f>IFERROR(AVERAGE('Feeder Spreads'!AK27:AK46)-2*STDEV('Feeder Spreads'!AK27:AK46),"")</f>
        <v>0</v>
      </c>
      <c r="ET27" t="str">
        <f>IFERROR(('Feeder Spreads'!AK27-(AVERAGE('Feeder Spreads'!AK27:AK46)-2*STDEV('Feeder Spreads'!AK27:AK46)))/(4*STDEV('Feeder Spreads'!AK27:AK46)),"")</f>
        <v/>
      </c>
      <c r="EU27" t="str">
        <f>IFERROR(4*STDEV('Feeder Spreads'!AK27:AK46)/AVERAGE('Feeder Spreads'!AK27:AK46),"")</f>
        <v/>
      </c>
      <c r="EV27">
        <v>64.182599999999994</v>
      </c>
      <c r="EW27">
        <f>IFERROR(SQRT((SUMSQ('Feeder Spreads'!AK27:AK46)-2*SUMPRODUCT('Feeder Spreads'!AK27:AK46,'Feeder Spreads'!AK28:AK47)+SUMSQ('Feeder Spreads'!AK28:AK47)-('Feeder Spreads'!AK27-'Feeder Spreads'!AK47)^2/20)/19),"")</f>
        <v>0</v>
      </c>
      <c r="EY27">
        <f>IFERROR('Feeder Spreads'!AQ27,"")</f>
        <v>0</v>
      </c>
      <c r="EZ27">
        <f>IFERROR(('Feeder Spreads'!AR27-AVERAGE('Feeder Spreads'!$AR$3:$AR$4308))/STDEV('Feeder Spreads'!$AR$3:$AR$4308),"")</f>
        <v>-9.2057461789832332E-2</v>
      </c>
      <c r="FA27">
        <f>IFERROR('Feeder Spreads'!AR27-'Feeder Spreads'!AR32,"")</f>
        <v>0</v>
      </c>
      <c r="FB27">
        <f>IFERROR('Feeder Spreads'!AR27-'Feeder Spreads'!AR37,"")</f>
        <v>0</v>
      </c>
      <c r="FC27">
        <f>IFERROR(AVERAGE('Feeder Spreads'!AR27:AR46)+2*STDEV('Feeder Spreads'!AR27:AR46),"")</f>
        <v>0</v>
      </c>
      <c r="FD27">
        <f>IFERROR(AVERAGE('Feeder Spreads'!AR27:AR46)-2*STDEV('Feeder Spreads'!AR27:AR46),"")</f>
        <v>0</v>
      </c>
      <c r="FE27" t="str">
        <f>IFERROR(('Feeder Spreads'!AR27-(AVERAGE('Feeder Spreads'!AR27:AR46)-2*STDEV('Feeder Spreads'!AR27:AR46)))/(4*STDEV('Feeder Spreads'!AR27:AR46)),"")</f>
        <v/>
      </c>
      <c r="FF27" t="str">
        <f>IFERROR(4*STDEV('Feeder Spreads'!AR27:AR46)/AVERAGE('Feeder Spreads'!AR27:AR46),"")</f>
        <v/>
      </c>
      <c r="FG27">
        <v>66.187799999999996</v>
      </c>
      <c r="FH27">
        <f>IFERROR(SQRT((SUMSQ('Feeder Spreads'!AR27:AR46)-2*SUMPRODUCT('Feeder Spreads'!AR27:AR46,'Feeder Spreads'!AR28:AR47)+SUMSQ('Feeder Spreads'!AR28:AR47)-('Feeder Spreads'!AR27-'Feeder Spreads'!AR47)^2/20)/19),"")</f>
        <v>0</v>
      </c>
      <c r="FJ27">
        <f>IFERROR('Fat Spreads'!AX27,"")</f>
        <v>0</v>
      </c>
      <c r="FK27">
        <f>IFERROR(('Fat Spreads'!AY27-AVERAGE('Fat Spreads'!$AY$3:$AY$4308))/STDEV('Fat Spreads'!$AY$3:$AY$4308),"")</f>
        <v>9.2057461789832332E-2</v>
      </c>
      <c r="FL27">
        <f>IFERROR('Fat Spreads'!AY27-'Fat Spreads'!AY32,"")</f>
        <v>0</v>
      </c>
      <c r="FM27">
        <f>IFERROR('Fat Spreads'!AY27-'Fat Spreads'!AY37,"")</f>
        <v>0</v>
      </c>
      <c r="FN27">
        <f>IFERROR(AVERAGE('Fat Spreads'!AY27:AY46)+2*STDEV('Fat Spreads'!AY27:AY46),"")</f>
        <v>0</v>
      </c>
      <c r="FO27">
        <f>IFERROR(AVERAGE('Fat Spreads'!AY27:AY46)-2*STDEV('Fat Spreads'!AY27:AY46),"")</f>
        <v>0</v>
      </c>
      <c r="FP27" t="str">
        <f>IFERROR(('Fat Spreads'!AY27-(AVERAGE('Fat Spreads'!AY27:AY46)-2*STDEV('Fat Spreads'!AY27:AY46)))/(4*STDEV('Fat Spreads'!AY27:AY46)),"")</f>
        <v/>
      </c>
      <c r="FQ27" t="str">
        <f>IFERROR(4*STDEV('Fat Spreads'!AY27:AY46)/AVERAGE('Fat Spreads'!AY27:AY46),"")</f>
        <v/>
      </c>
      <c r="FR27">
        <v>21.950600000000001</v>
      </c>
      <c r="FS27">
        <f>IFERROR(SQRT((SUMSQ('Fat Spreads'!AY27:AY46)-2*SUMPRODUCT('Fat Spreads'!AY27:AY46,'Fat Spreads'!AY28:AY47)+SUMSQ('Fat Spreads'!AY28:AY47)-('Fat Spreads'!AY27-'Fat Spreads'!AY47)^2/20)/19),"")</f>
        <v>0</v>
      </c>
      <c r="FU27">
        <f>IFERROR('Fat Spreads'!BE27,"")</f>
        <v>0</v>
      </c>
      <c r="FV27">
        <f>IFERROR(('Fat Spreads'!BF27-AVERAGE('Fat Spreads'!$BF$3:$BF$4308))/STDEV('Fat Spreads'!$BF$3:$BF$4308),"")</f>
        <v>9.2057461789832332E-2</v>
      </c>
      <c r="FW27">
        <f>IFERROR('Fat Spreads'!BF27-'Fat Spreads'!BF32,"")</f>
        <v>0</v>
      </c>
      <c r="FX27">
        <f>IFERROR('Fat Spreads'!BF27-'Fat Spreads'!BF37,"")</f>
        <v>0</v>
      </c>
      <c r="FY27">
        <f>IFERROR(AVERAGE('Fat Spreads'!BF27:BF46)+2*STDEV('Fat Spreads'!BF27:BF46),"")</f>
        <v>0</v>
      </c>
      <c r="FZ27">
        <f>IFERROR(AVERAGE('Fat Spreads'!BF27:BF46)-2*STDEV('Fat Spreads'!BF27:BF46),"")</f>
        <v>0</v>
      </c>
      <c r="GA27" t="str">
        <f>IFERROR(('Fat Spreads'!BF27-(AVERAGE('Fat Spreads'!BF27:BF46)-2*STDEV('Fat Spreads'!BF27:BF46)))/(4*STDEV('Fat Spreads'!BF27:BF46)),"")</f>
        <v/>
      </c>
      <c r="GB27" t="str">
        <f>IFERROR(4*STDEV('Fat Spreads'!BF27:BF46)/AVERAGE('Fat Spreads'!BF27:BF46),"")</f>
        <v/>
      </c>
      <c r="GC27">
        <v>41.5824</v>
      </c>
      <c r="GD27">
        <f>IFERROR(SQRT((SUMSQ('Fat Spreads'!BF27:BF46)-2*SUMPRODUCT('Fat Spreads'!BF27:BF46,'Fat Spreads'!BF28:BF47)+SUMSQ('Fat Spreads'!BF28:BF47)-('Fat Spreads'!BF27-'Fat Spreads'!BF47)^2/20)/19),"")</f>
        <v>0</v>
      </c>
    </row>
    <row r="28" spans="1:186" x14ac:dyDescent="0.25">
      <c r="A28">
        <f>IFERROR('Fat Spreads'!A28,"")</f>
        <v>0</v>
      </c>
      <c r="B28">
        <f>IFERROR(('Fat Spreads'!B28-AVERAGE('Fat Spreads'!$B$3:$B$4308))/STDEV('Fat Spreads'!$B$3:$B$4308),"")</f>
        <v>9.2057461789832346E-2</v>
      </c>
      <c r="C28">
        <f>IFERROR('Fat Spreads'!B28-'Fat Spreads'!B33,"")</f>
        <v>0</v>
      </c>
      <c r="D28">
        <f>IFERROR('Fat Spreads'!B28-'Fat Spreads'!B38,"")</f>
        <v>0</v>
      </c>
      <c r="E28">
        <f>IFERROR(AVERAGE('Fat Spreads'!B28:B47)+2*STDEV('Fat Spreads'!B28:B47),"")</f>
        <v>0</v>
      </c>
      <c r="F28">
        <f>IFERROR(AVERAGE('Fat Spreads'!B28:B47)-2*STDEV('Fat Spreads'!B28:B47),"")</f>
        <v>0</v>
      </c>
      <c r="G28" t="str">
        <f>IFERROR(('Fat Spreads'!B28-(AVERAGE('Fat Spreads'!B28:B47)-2*STDEV('Fat Spreads'!B28:B47)))/(4*STDEV('Fat Spreads'!B28:B47)),"")</f>
        <v/>
      </c>
      <c r="H28" t="str">
        <f>IFERROR(4*STDEV('Fat Spreads'!B28:B47)/AVERAGE('Fat Spreads'!B28:B47),"")</f>
        <v/>
      </c>
      <c r="I28">
        <v>17.916799999999999</v>
      </c>
      <c r="J28">
        <f>IFERROR(SQRT((SUMSQ('Fat Spreads'!B28:B47)-2*SUMPRODUCT('Fat Spreads'!B28:B47,'Fat Spreads'!B29:B48)+SUMSQ('Fat Spreads'!B29:B48)-('Fat Spreads'!B28-'Fat Spreads'!B48)^2/20)/19),"")</f>
        <v>0</v>
      </c>
      <c r="L28">
        <f>IFERROR('Fat Spreads'!H28,"")</f>
        <v>0</v>
      </c>
      <c r="M28">
        <f>IFERROR(('Fat Spreads'!I28-AVERAGE('Fat Spreads'!$I$3:$I$4308))/STDEV('Fat Spreads'!$I$3:$I$4308),"")</f>
        <v>-9.2057461789832332E-2</v>
      </c>
      <c r="N28">
        <f>IFERROR('Fat Spreads'!I28-'Fat Spreads'!I33,"")</f>
        <v>0</v>
      </c>
      <c r="O28">
        <f>IFERROR('Fat Spreads'!I28-'Fat Spreads'!I38,"")</f>
        <v>0</v>
      </c>
      <c r="P28">
        <f>IFERROR(AVERAGE('Fat Spreads'!I28:I47)+2*STDEV('Fat Spreads'!I28:I47),"")</f>
        <v>0</v>
      </c>
      <c r="Q28">
        <f>IFERROR(AVERAGE('Fat Spreads'!I28:I47)-2*STDEV('Fat Spreads'!I28:I47),"")</f>
        <v>0</v>
      </c>
      <c r="R28" t="str">
        <f>IFERROR(('Fat Spreads'!I28-(AVERAGE('Fat Spreads'!I28:I47)-2*STDEV('Fat Spreads'!I28:I47)))/(4*STDEV('Fat Spreads'!I28:I47)),"")</f>
        <v/>
      </c>
      <c r="S28" t="str">
        <f>IFERROR(4*STDEV('Fat Spreads'!I28:I47)/AVERAGE('Fat Spreads'!I28:I47),"")</f>
        <v/>
      </c>
      <c r="T28">
        <v>60.518999999999998</v>
      </c>
      <c r="U28">
        <f>IFERROR(SQRT((SUMSQ('Fat Spreads'!I28:I47)-2*SUMPRODUCT('Fat Spreads'!I28:I47,'Fat Spreads'!I29:I48)+SUMSQ('Fat Spreads'!I29:I48)-('Fat Spreads'!I28-'Fat Spreads'!I48)^2/20)/19),"")</f>
        <v>0</v>
      </c>
      <c r="W28">
        <f>IFERROR('Fat Spreads'!AQ28,"")</f>
        <v>0</v>
      </c>
      <c r="X28">
        <f>IFERROR(('Fat Spreads'!AR28-AVERAGE('Fat Spreads'!$AR$3:$AR$4308))/STDEV('Fat Spreads'!$AR$3:$AR$4308),"")</f>
        <v>-9.2057461789832346E-2</v>
      </c>
      <c r="Y28">
        <f>IFERROR('Fat Spreads'!AR28-'Fat Spreads'!AR33,"")</f>
        <v>0</v>
      </c>
      <c r="Z28">
        <f>IFERROR('Fat Spreads'!AR28-'Fat Spreads'!AR38,"")</f>
        <v>0</v>
      </c>
      <c r="AA28">
        <f>IFERROR(AVERAGE('Fat Spreads'!AR28:AR47)+2*STDEV('Fat Spreads'!AR28:AR47),"")</f>
        <v>0</v>
      </c>
      <c r="AB28">
        <f>IFERROR(AVERAGE('Fat Spreads'!AR28:AR47)-2*STDEV('Fat Spreads'!AR28:AR47),"")</f>
        <v>0</v>
      </c>
      <c r="AC28" t="str">
        <f>IFERROR(('Fat Spreads'!AR28-(AVERAGE('Fat Spreads'!AR28:AR47)-2*STDEV('Fat Spreads'!AR28:AR47)))/(4*STDEV('Fat Spreads'!AR28:AR47)),"")</f>
        <v/>
      </c>
      <c r="AD28" t="str">
        <f>IFERROR(4*STDEV('Fat Spreads'!AR28:AR47)/AVERAGE('Fat Spreads'!AR28:AR47),"")</f>
        <v/>
      </c>
      <c r="AE28">
        <v>80.771799999999999</v>
      </c>
      <c r="AF28">
        <f>IFERROR(SQRT((SUMSQ('Fat Spreads'!AR28:AR47)-2*SUMPRODUCT('Fat Spreads'!AR28:AR47,'Fat Spreads'!AR29:AR48)+SUMSQ('Fat Spreads'!AR29:AR48)-('Fat Spreads'!AR28-'Fat Spreads'!AR48)^2/20)/19),"")</f>
        <v>0</v>
      </c>
      <c r="AH28">
        <f>IFERROR('Fat Spreads'!O28,"")</f>
        <v>0</v>
      </c>
      <c r="AI28">
        <f>IFERROR(('Fat Spreads'!P28-AVERAGE('Fat Spreads'!$P$3:$P$4308))/STDEV('Fat Spreads'!$P$3:$P$4308),"")</f>
        <v>-9.2057461789832332E-2</v>
      </c>
      <c r="AJ28">
        <f>IFERROR('Fat Spreads'!P28-'Fat Spreads'!P33,"")</f>
        <v>0</v>
      </c>
      <c r="AK28">
        <f>IFERROR('Fat Spreads'!P28-'Fat Spreads'!P38,"")</f>
        <v>0</v>
      </c>
      <c r="AL28">
        <f>IFERROR(AVERAGE('Fat Spreads'!P28:P47)+2*STDEV('Fat Spreads'!P28:P47),"")</f>
        <v>0</v>
      </c>
      <c r="AM28">
        <f>IFERROR(AVERAGE('Fat Spreads'!P28:P47)-2*STDEV('Fat Spreads'!P28:P47),"")</f>
        <v>0</v>
      </c>
      <c r="AN28" t="str">
        <f>IFERROR(('Fat Spreads'!P28-(AVERAGE('Fat Spreads'!P28:P47)-2*STDEV('Fat Spreads'!P28:P47)))/(4*STDEV('Fat Spreads'!P28:P47)),"")</f>
        <v/>
      </c>
      <c r="AO28" t="str">
        <f>IFERROR(4*STDEV('Fat Spreads'!P28:P47)/AVERAGE('Fat Spreads'!P28:P47),"")</f>
        <v/>
      </c>
      <c r="AP28">
        <v>77.949100000000001</v>
      </c>
      <c r="AQ28">
        <f>IFERROR(SQRT((SUMSQ('Fat Spreads'!P28:P47)-2*SUMPRODUCT('Fat Spreads'!P28:P47,'Fat Spreads'!P29:P48)+SUMSQ('Fat Spreads'!P29:P48)-('Fat Spreads'!P28-'Fat Spreads'!P48)^2/20)/19),"")</f>
        <v>0</v>
      </c>
      <c r="AS28">
        <f>IFERROR('Fat Spreads'!AJ28,"")</f>
        <v>0</v>
      </c>
      <c r="AT28">
        <f>IFERROR(('Fat Spreads'!AK28-AVERAGE('Fat Spreads'!$AK$3:$AK$4308))/STDEV('Fat Spreads'!$AK$3:$AK$4308),"")</f>
        <v>-9.2057461789832332E-2</v>
      </c>
      <c r="AU28">
        <f>IFERROR('Fat Spreads'!AK28-'Fat Spreads'!AK33,"")</f>
        <v>0</v>
      </c>
      <c r="AV28">
        <f>IFERROR('Fat Spreads'!AK28-'Fat Spreads'!AK38,"")</f>
        <v>0</v>
      </c>
      <c r="AW28">
        <f>IFERROR(AVERAGE('Fat Spreads'!AK28:AK47)+2*STDEV('Fat Spreads'!AK28:AK47),"")</f>
        <v>0</v>
      </c>
      <c r="AX28">
        <f>IFERROR(AVERAGE('Fat Spreads'!AK28:AK47)-2*STDEV('Fat Spreads'!AK28:AK47),"")</f>
        <v>0</v>
      </c>
      <c r="AY28" t="str">
        <f>IFERROR(('Fat Spreads'!AK28-(AVERAGE('Fat Spreads'!AK28:AK47)-2*STDEV('Fat Spreads'!AK28:AK47)))/(4*STDEV('Fat Spreads'!AK28:AK47)),"")</f>
        <v/>
      </c>
      <c r="AZ28" t="str">
        <f>IFERROR(4*STDEV('Fat Spreads'!AK28:AK47)/AVERAGE('Fat Spreads'!AK28:AK47),"")</f>
        <v/>
      </c>
      <c r="BA28">
        <v>37.341700000000003</v>
      </c>
      <c r="BB28">
        <f>IFERROR(SQRT((SUMSQ('Fat Spreads'!AK28:AK47)-2*SUMPRODUCT('Fat Spreads'!AK28:AK47,'Fat Spreads'!AK29:AK48)+SUMSQ('Fat Spreads'!AK29:AK48)-('Fat Spreads'!AK28-'Fat Spreads'!AK48)^2/20)/19),"")</f>
        <v>0</v>
      </c>
      <c r="BD28">
        <f>IFERROR('Fat Spreads'!V28,"")</f>
        <v>0</v>
      </c>
      <c r="BE28">
        <f>IFERROR(('Fat Spreads'!W28-AVERAGE('Fat Spreads'!$W$3:$W$4308))/STDEV('Fat Spreads'!$W$3:$W$4308),"")</f>
        <v>-9.2057461789832332E-2</v>
      </c>
      <c r="BF28">
        <f>IFERROR('Fat Spreads'!W28-'Fat Spreads'!W33,"")</f>
        <v>0</v>
      </c>
      <c r="BG28">
        <f>IFERROR('Fat Spreads'!W28-'Fat Spreads'!W38,"")</f>
        <v>0</v>
      </c>
      <c r="BH28">
        <f>IFERROR(AVERAGE('Fat Spreads'!W28:W47)+2*STDEV('Fat Spreads'!W28:W47),"")</f>
        <v>0</v>
      </c>
      <c r="BI28">
        <f>IFERROR(AVERAGE('Fat Spreads'!W28:W47)-2*STDEV('Fat Spreads'!W28:W47),"")</f>
        <v>0</v>
      </c>
      <c r="BJ28" t="str">
        <f>IFERROR(('Fat Spreads'!W28-(AVERAGE('Fat Spreads'!W28:W47)-2*STDEV('Fat Spreads'!W28:W47)))/(4*STDEV('Fat Spreads'!W28:W47)),"")</f>
        <v/>
      </c>
      <c r="BK28" t="str">
        <f>IFERROR(4*STDEV('Fat Spreads'!W28:W47)/AVERAGE('Fat Spreads'!W28:W47),"")</f>
        <v/>
      </c>
      <c r="BL28">
        <v>73.098799999999997</v>
      </c>
      <c r="BM28">
        <f>IFERROR(SQRT((SUMSQ('Fat Spreads'!W28:W47)-2*SUMPRODUCT('Fat Spreads'!W28:W47,'Fat Spreads'!W29:W48)+SUMSQ('Fat Spreads'!W29:W48)-('Fat Spreads'!W28-'Fat Spreads'!W48)^2/20)/19),"")</f>
        <v>0</v>
      </c>
      <c r="BO28">
        <f>IFERROR('Fat Spreads'!AC28,"")</f>
        <v>0</v>
      </c>
      <c r="BP28">
        <f>IFERROR(('Fat Spreads'!AD28-AVERAGE('Fat Spreads'!$AD$3:$AD$4308))/STDEV('Fat Spreads'!$AD$3:$AD$4308),"")</f>
        <v>-9.2057461789832332E-2</v>
      </c>
      <c r="BQ28">
        <f>IFERROR('Fat Spreads'!AD28-'Fat Spreads'!AD33,"")</f>
        <v>0</v>
      </c>
      <c r="BR28">
        <f>IFERROR('Fat Spreads'!AD28-'Fat Spreads'!AD38,"")</f>
        <v>0</v>
      </c>
      <c r="BS28">
        <f>IFERROR(AVERAGE('Fat Spreads'!AD28:AD47)+2*STDEV('Fat Spreads'!AD28:AD47),"")</f>
        <v>0</v>
      </c>
      <c r="BT28">
        <f>IFERROR(AVERAGE('Fat Spreads'!AD28:AD47)-2*STDEV('Fat Spreads'!AD28:AD47),"")</f>
        <v>0</v>
      </c>
      <c r="BU28" t="str">
        <f>IFERROR(('Fat Spreads'!AD28-(AVERAGE('Fat Spreads'!AD28:AD47)-2*STDEV('Fat Spreads'!AD28:AD47)))/(4*STDEV('Fat Spreads'!AD28:AD47)),"")</f>
        <v/>
      </c>
      <c r="BV28" t="str">
        <f>IFERROR(4*STDEV('Fat Spreads'!AD28:AD47)/AVERAGE('Fat Spreads'!AD28:AD47),"")</f>
        <v/>
      </c>
      <c r="BW28">
        <v>65.816999999999993</v>
      </c>
      <c r="BX28">
        <f>IFERROR(SQRT((SUMSQ('Fat Spreads'!AD28:AD47)-2*SUMPRODUCT('Fat Spreads'!AD28:AD47,'Fat Spreads'!AD29:AD48)+SUMSQ('Fat Spreads'!AD29:AD48)-('Fat Spreads'!AD28-'Fat Spreads'!AD48)^2/20)/19),"")</f>
        <v>0</v>
      </c>
      <c r="BZ28">
        <f>IFERROR('Feeder Spreads'!A28,"")</f>
        <v>0</v>
      </c>
      <c r="CA28">
        <f>IFERROR(('Feeder Spreads'!B28-AVERAGE('Feeder Spreads'!$B$3:$B$4308))/STDEV('Feeder Spreads'!$B$3:$B$4308),"")</f>
        <v>-9.2057461789832346E-2</v>
      </c>
      <c r="CB28">
        <f>IFERROR('Feeder Spreads'!B28-'Feeder Spreads'!B33,"")</f>
        <v>0</v>
      </c>
      <c r="CC28">
        <f>IFERROR('Feeder Spreads'!B28-'Feeder Spreads'!B38,"")</f>
        <v>0</v>
      </c>
      <c r="CD28">
        <f>IFERROR(AVERAGE('Feeder Spreads'!B28:B47)+2*STDEV('Feeder Spreads'!B28:B47),"")</f>
        <v>0</v>
      </c>
      <c r="CE28">
        <f>IFERROR(AVERAGE('Feeder Spreads'!B28:B47)-2*STDEV('Feeder Spreads'!B28:B47),"")</f>
        <v>0</v>
      </c>
      <c r="CF28" t="str">
        <f>IFERROR(('Feeder Spreads'!B28-(AVERAGE('Feeder Spreads'!B28:B47)-2*STDEV('Feeder Spreads'!B28:B47)))/(4*STDEV('Feeder Spreads'!B28:B47)),"")</f>
        <v/>
      </c>
      <c r="CG28" t="str">
        <f>IFERROR(4*STDEV('Feeder Spreads'!B28:B47)/AVERAGE('Feeder Spreads'!B28:B47),"")</f>
        <v/>
      </c>
      <c r="CH28">
        <v>66.488299999999995</v>
      </c>
      <c r="CI28">
        <f>IFERROR(SQRT((SUMSQ('Feeder Spreads'!B28:B47)-2*SUMPRODUCT('Feeder Spreads'!B28:B47,'Feeder Spreads'!B29:B48)+SUMSQ('Feeder Spreads'!B29:B48)-('Feeder Spreads'!B28-'Feeder Spreads'!B48)^2/20)/19),"")</f>
        <v>0</v>
      </c>
      <c r="CK28">
        <f>IFERROR('Feeder Spreads'!AX28,"")</f>
        <v>0</v>
      </c>
      <c r="CL28">
        <f>IFERROR(('Feeder Spreads'!AY28-AVERAGE('Feeder Spreads'!$AY$3:$AY$4308))/STDEV('Feeder Spreads'!$AY$3:$AY$4308),"")</f>
        <v>-9.2057461789832346E-2</v>
      </c>
      <c r="CM28">
        <f>IFERROR('Feeder Spreads'!AY28-'Feeder Spreads'!AY33,"")</f>
        <v>0</v>
      </c>
      <c r="CN28">
        <f>IFERROR('Feeder Spreads'!AY28-'Feeder Spreads'!AY38,"")</f>
        <v>0</v>
      </c>
      <c r="CO28">
        <f>IFERROR(AVERAGE('Feeder Spreads'!AY28:AY47)+2*STDEV('Feeder Spreads'!AY28:AY47),"")</f>
        <v>0</v>
      </c>
      <c r="CP28">
        <f>IFERROR(AVERAGE('Feeder Spreads'!AY28:AY47)-2*STDEV('Feeder Spreads'!AY28:AY47),"")</f>
        <v>0</v>
      </c>
      <c r="CQ28" t="str">
        <f>IFERROR(('Feeder Spreads'!AY28-(AVERAGE('Feeder Spreads'!AY28:AY47)-2*STDEV('Feeder Spreads'!AY28:AY47)))/(4*STDEV('Feeder Spreads'!AY28:AY47)),"")</f>
        <v/>
      </c>
      <c r="CR28" t="str">
        <f>IFERROR(4*STDEV('Feeder Spreads'!AY28:AY47)/AVERAGE('Feeder Spreads'!AY28:AY47),"")</f>
        <v/>
      </c>
      <c r="CS28">
        <v>58.7913</v>
      </c>
      <c r="CT28">
        <f>IFERROR(SQRT((SUMSQ('Feeder Spreads'!AY28:AY47)-2*SUMPRODUCT('Feeder Spreads'!AY28:AY47,'Feeder Spreads'!AY29:AY48)+SUMSQ('Feeder Spreads'!AY29:AY48)-('Feeder Spreads'!AY28-'Feeder Spreads'!AY48)^2/20)/19),"")</f>
        <v>0</v>
      </c>
      <c r="CV28">
        <f>IFERROR('Feeder Spreads'!H28,"")</f>
        <v>0</v>
      </c>
      <c r="CW28">
        <f>IFERROR(('Feeder Spreads'!I28-AVERAGE('Feeder Spreads'!$I$3:$I$4308))/STDEV('Feeder Spreads'!$I$3:$I$4308),"")</f>
        <v>-9.2057461789832332E-2</v>
      </c>
      <c r="CX28">
        <f>IFERROR('Feeder Spreads'!I28-'Feeder Spreads'!I33,"")</f>
        <v>0</v>
      </c>
      <c r="CY28">
        <f>IFERROR('Feeder Spreads'!I28-'Feeder Spreads'!I38,"")</f>
        <v>0</v>
      </c>
      <c r="CZ28">
        <f>IFERROR(AVERAGE('Feeder Spreads'!I28:I47)+2*STDEV('Feeder Spreads'!I28:I47),"")</f>
        <v>0</v>
      </c>
      <c r="DA28">
        <f>IFERROR(AVERAGE('Feeder Spreads'!I28:I47)-2*STDEV('Feeder Spreads'!I28:I47),"")</f>
        <v>0</v>
      </c>
      <c r="DB28" t="str">
        <f>IFERROR(('Feeder Spreads'!I28-(AVERAGE('Feeder Spreads'!I28:I47)-2*STDEV('Feeder Spreads'!I28:I47)))/(4*STDEV('Feeder Spreads'!I28:I47)),"")</f>
        <v/>
      </c>
      <c r="DC28" t="str">
        <f>IFERROR(4*STDEV('Feeder Spreads'!I28:I47)/AVERAGE('Feeder Spreads'!I28:I47),"")</f>
        <v/>
      </c>
      <c r="DD28">
        <v>65.912000000000006</v>
      </c>
      <c r="DE28">
        <f>IFERROR(SQRT((SUMSQ('Feeder Spreads'!I28:I47)-2*SUMPRODUCT('Feeder Spreads'!I28:I47,'Feeder Spreads'!I29:I48)+SUMSQ('Feeder Spreads'!I29:I48)-('Feeder Spreads'!I28-'Feeder Spreads'!I48)^2/20)/19),"")</f>
        <v>0</v>
      </c>
      <c r="DG28">
        <f>IFERROR('Feeder Spreads'!O28,"")</f>
        <v>0</v>
      </c>
      <c r="DH28">
        <f>IFERROR(('Feeder Spreads'!P28-AVERAGE('Feeder Spreads'!$P$3:$P$4308))/STDEV('Feeder Spreads'!$P$3:$P$4308),"")</f>
        <v>-9.2057461789832346E-2</v>
      </c>
      <c r="DI28">
        <f>IFERROR('Feeder Spreads'!P28-'Feeder Spreads'!P33,"")</f>
        <v>0</v>
      </c>
      <c r="DJ28">
        <f>IFERROR('Feeder Spreads'!P28-'Feeder Spreads'!P38,"")</f>
        <v>0</v>
      </c>
      <c r="DK28">
        <f>IFERROR(AVERAGE('Feeder Spreads'!P28:P47)+2*STDEV('Feeder Spreads'!P28:P47),"")</f>
        <v>0</v>
      </c>
      <c r="DL28">
        <f>IFERROR(AVERAGE('Feeder Spreads'!P28:P47)-2*STDEV('Feeder Spreads'!P28:P47),"")</f>
        <v>0</v>
      </c>
      <c r="DM28" t="str">
        <f>IFERROR(('Feeder Spreads'!P28-(AVERAGE('Feeder Spreads'!P28:P47)-2*STDEV('Feeder Spreads'!P28:P47)))/(4*STDEV('Feeder Spreads'!P28:P47)),"")</f>
        <v/>
      </c>
      <c r="DN28" t="str">
        <f>IFERROR(4*STDEV('Feeder Spreads'!P28:P47)/AVERAGE('Feeder Spreads'!P28:P47),"")</f>
        <v/>
      </c>
      <c r="DO28">
        <v>54.4893</v>
      </c>
      <c r="DP28">
        <f>IFERROR(SQRT((SUMSQ('Feeder Spreads'!P28:P47)-2*SUMPRODUCT('Feeder Spreads'!P28:P47,'Feeder Spreads'!P29:P48)+SUMSQ('Feeder Spreads'!P29:P48)-('Feeder Spreads'!P28-'Feeder Spreads'!P48)^2/20)/19),"")</f>
        <v>0</v>
      </c>
      <c r="DR28">
        <f>IFERROR('Feeder Spreads'!V28,"")</f>
        <v>0</v>
      </c>
      <c r="DS28">
        <f>IFERROR(('Feeder Spreads'!W28-AVERAGE('Feeder Spreads'!$W$3:$W$4308))/STDEV('Feeder Spreads'!$W$3:$W$4308),"")</f>
        <v>-9.2057461789832332E-2</v>
      </c>
      <c r="DT28">
        <f>IFERROR('Feeder Spreads'!W28-'Feeder Spreads'!W33,"")</f>
        <v>0</v>
      </c>
      <c r="DU28">
        <f>IFERROR('Feeder Spreads'!W28-'Feeder Spreads'!W38,"")</f>
        <v>0</v>
      </c>
      <c r="DV28">
        <f>IFERROR(AVERAGE('Feeder Spreads'!W28:W47)+2*STDEV('Feeder Spreads'!W28:W47),"")</f>
        <v>0</v>
      </c>
      <c r="DW28">
        <f>IFERROR(AVERAGE('Feeder Spreads'!W28:W47)-2*STDEV('Feeder Spreads'!W28:W47),"")</f>
        <v>0</v>
      </c>
      <c r="DX28" t="str">
        <f>IFERROR(('Feeder Spreads'!W28-(AVERAGE('Feeder Spreads'!W28:W47)-2*STDEV('Feeder Spreads'!W28:W47)))/(4*STDEV('Feeder Spreads'!W28:W47)),"")</f>
        <v/>
      </c>
      <c r="DY28" t="str">
        <f>IFERROR(4*STDEV('Feeder Spreads'!W28:W47)/AVERAGE('Feeder Spreads'!W28:W47),"")</f>
        <v/>
      </c>
      <c r="DZ28">
        <v>16.858899999999998</v>
      </c>
      <c r="EA28">
        <f>IFERROR(SQRT((SUMSQ('Feeder Spreads'!W28:W47)-2*SUMPRODUCT('Feeder Spreads'!W28:W47,'Feeder Spreads'!W29:W48)+SUMSQ('Feeder Spreads'!W29:W48)-('Feeder Spreads'!W28-'Feeder Spreads'!W48)^2/20)/19),"")</f>
        <v>0</v>
      </c>
      <c r="EC28">
        <f>IFERROR('Feeder Spreads'!AC28,"")</f>
        <v>0</v>
      </c>
      <c r="ED28">
        <f>IFERROR(('Feeder Spreads'!AD28-AVERAGE('Feeder Spreads'!$AD$3:$AD$4308))/STDEV('Feeder Spreads'!$AD$3:$AD$4308),"")</f>
        <v>9.2057461789832318E-2</v>
      </c>
      <c r="EE28">
        <f>IFERROR('Feeder Spreads'!AD28-'Feeder Spreads'!AD33,"")</f>
        <v>0</v>
      </c>
      <c r="EF28">
        <f>IFERROR('Feeder Spreads'!AD28-'Feeder Spreads'!AD38,"")</f>
        <v>0</v>
      </c>
      <c r="EG28">
        <f>IFERROR(AVERAGE('Feeder Spreads'!AD28:AD47)+2*STDEV('Feeder Spreads'!AD28:AD47),"")</f>
        <v>0</v>
      </c>
      <c r="EH28">
        <f>IFERROR(AVERAGE('Feeder Spreads'!AD28:AD47)-2*STDEV('Feeder Spreads'!AD28:AD47),"")</f>
        <v>0</v>
      </c>
      <c r="EI28" t="str">
        <f>IFERROR(('Feeder Spreads'!AD28-(AVERAGE('Feeder Spreads'!AD28:AD47)-2*STDEV('Feeder Spreads'!AD28:AD47)))/(4*STDEV('Feeder Spreads'!AD28:AD47)),"")</f>
        <v/>
      </c>
      <c r="EJ28" t="str">
        <f>IFERROR(4*STDEV('Feeder Spreads'!AD28:AD47)/AVERAGE('Feeder Spreads'!AD28:AD47),"")</f>
        <v/>
      </c>
      <c r="EK28">
        <v>47.689300000000003</v>
      </c>
      <c r="EL28">
        <f>IFERROR(SQRT((SUMSQ('Feeder Spreads'!AD28:AD47)-2*SUMPRODUCT('Feeder Spreads'!AD28:AD47,'Feeder Spreads'!AD29:AD48)+SUMSQ('Feeder Spreads'!AD29:AD48)-('Feeder Spreads'!AD28-'Feeder Spreads'!AD48)^2/20)/19),"")</f>
        <v>0</v>
      </c>
      <c r="EN28">
        <f>IFERROR('Feeder Spreads'!AJ28,"")</f>
        <v>0</v>
      </c>
      <c r="EO28">
        <f>IFERROR(('Feeder Spreads'!AK28-AVERAGE('Feeder Spreads'!$AK$3:$AK$4308))/STDEV('Feeder Spreads'!$AK$3:$AK$4308),"")</f>
        <v>-9.2057461789832346E-2</v>
      </c>
      <c r="EP28">
        <f>IFERROR('Feeder Spreads'!AK28-'Feeder Spreads'!AK33,"")</f>
        <v>0</v>
      </c>
      <c r="EQ28">
        <f>IFERROR('Feeder Spreads'!AK28-'Feeder Spreads'!AK38,"")</f>
        <v>0</v>
      </c>
      <c r="ER28">
        <f>IFERROR(AVERAGE('Feeder Spreads'!AK28:AK47)+2*STDEV('Feeder Spreads'!AK28:AK47),"")</f>
        <v>0</v>
      </c>
      <c r="ES28">
        <f>IFERROR(AVERAGE('Feeder Spreads'!AK28:AK47)-2*STDEV('Feeder Spreads'!AK28:AK47),"")</f>
        <v>0</v>
      </c>
      <c r="ET28" t="str">
        <f>IFERROR(('Feeder Spreads'!AK28-(AVERAGE('Feeder Spreads'!AK28:AK47)-2*STDEV('Feeder Spreads'!AK28:AK47)))/(4*STDEV('Feeder Spreads'!AK28:AK47)),"")</f>
        <v/>
      </c>
      <c r="EU28" t="str">
        <f>IFERROR(4*STDEV('Feeder Spreads'!AK28:AK47)/AVERAGE('Feeder Spreads'!AK28:AK47),"")</f>
        <v/>
      </c>
      <c r="EV28">
        <v>59.642299999999999</v>
      </c>
      <c r="EW28">
        <f>IFERROR(SQRT((SUMSQ('Feeder Spreads'!AK28:AK47)-2*SUMPRODUCT('Feeder Spreads'!AK28:AK47,'Feeder Spreads'!AK29:AK48)+SUMSQ('Feeder Spreads'!AK29:AK48)-('Feeder Spreads'!AK28-'Feeder Spreads'!AK48)^2/20)/19),"")</f>
        <v>0</v>
      </c>
      <c r="EY28">
        <f>IFERROR('Feeder Spreads'!AQ28,"")</f>
        <v>0</v>
      </c>
      <c r="EZ28">
        <f>IFERROR(('Feeder Spreads'!AR28-AVERAGE('Feeder Spreads'!$AR$3:$AR$4308))/STDEV('Feeder Spreads'!$AR$3:$AR$4308),"")</f>
        <v>-9.2057461789832332E-2</v>
      </c>
      <c r="FA28">
        <f>IFERROR('Feeder Spreads'!AR28-'Feeder Spreads'!AR33,"")</f>
        <v>0</v>
      </c>
      <c r="FB28">
        <f>IFERROR('Feeder Spreads'!AR28-'Feeder Spreads'!AR38,"")</f>
        <v>0</v>
      </c>
      <c r="FC28">
        <f>IFERROR(AVERAGE('Feeder Spreads'!AR28:AR47)+2*STDEV('Feeder Spreads'!AR28:AR47),"")</f>
        <v>0</v>
      </c>
      <c r="FD28">
        <f>IFERROR(AVERAGE('Feeder Spreads'!AR28:AR47)-2*STDEV('Feeder Spreads'!AR28:AR47),"")</f>
        <v>0</v>
      </c>
      <c r="FE28" t="str">
        <f>IFERROR(('Feeder Spreads'!AR28-(AVERAGE('Feeder Spreads'!AR28:AR47)-2*STDEV('Feeder Spreads'!AR28:AR47)))/(4*STDEV('Feeder Spreads'!AR28:AR47)),"")</f>
        <v/>
      </c>
      <c r="FF28" t="str">
        <f>IFERROR(4*STDEV('Feeder Spreads'!AR28:AR47)/AVERAGE('Feeder Spreads'!AR28:AR47),"")</f>
        <v/>
      </c>
      <c r="FG28">
        <v>60.3645</v>
      </c>
      <c r="FH28">
        <f>IFERROR(SQRT((SUMSQ('Feeder Spreads'!AR28:AR47)-2*SUMPRODUCT('Feeder Spreads'!AR28:AR47,'Feeder Spreads'!AR29:AR48)+SUMSQ('Feeder Spreads'!AR29:AR48)-('Feeder Spreads'!AR28-'Feeder Spreads'!AR48)^2/20)/19),"")</f>
        <v>0</v>
      </c>
      <c r="FJ28">
        <f>IFERROR('Fat Spreads'!AX28,"")</f>
        <v>0</v>
      </c>
      <c r="FK28">
        <f>IFERROR(('Fat Spreads'!AY28-AVERAGE('Fat Spreads'!$AY$3:$AY$4308))/STDEV('Fat Spreads'!$AY$3:$AY$4308),"")</f>
        <v>9.2057461789832332E-2</v>
      </c>
      <c r="FL28">
        <f>IFERROR('Fat Spreads'!AY28-'Fat Spreads'!AY33,"")</f>
        <v>0</v>
      </c>
      <c r="FM28">
        <f>IFERROR('Fat Spreads'!AY28-'Fat Spreads'!AY38,"")</f>
        <v>0</v>
      </c>
      <c r="FN28">
        <f>IFERROR(AVERAGE('Fat Spreads'!AY28:AY47)+2*STDEV('Fat Spreads'!AY28:AY47),"")</f>
        <v>0</v>
      </c>
      <c r="FO28">
        <f>IFERROR(AVERAGE('Fat Spreads'!AY28:AY47)-2*STDEV('Fat Spreads'!AY28:AY47),"")</f>
        <v>0</v>
      </c>
      <c r="FP28" t="str">
        <f>IFERROR(('Fat Spreads'!AY28-(AVERAGE('Fat Spreads'!AY28:AY47)-2*STDEV('Fat Spreads'!AY28:AY47)))/(4*STDEV('Fat Spreads'!AY28:AY47)),"")</f>
        <v/>
      </c>
      <c r="FQ28" t="str">
        <f>IFERROR(4*STDEV('Fat Spreads'!AY28:AY47)/AVERAGE('Fat Spreads'!AY28:AY47),"")</f>
        <v/>
      </c>
      <c r="FR28">
        <v>25.456900000000001</v>
      </c>
      <c r="FS28">
        <f>IFERROR(SQRT((SUMSQ('Fat Spreads'!AY28:AY47)-2*SUMPRODUCT('Fat Spreads'!AY28:AY47,'Fat Spreads'!AY29:AY48)+SUMSQ('Fat Spreads'!AY29:AY48)-('Fat Spreads'!AY28-'Fat Spreads'!AY48)^2/20)/19),"")</f>
        <v>0</v>
      </c>
      <c r="FU28">
        <f>IFERROR('Fat Spreads'!BE28,"")</f>
        <v>0</v>
      </c>
      <c r="FV28">
        <f>IFERROR(('Fat Spreads'!BF28-AVERAGE('Fat Spreads'!$BF$3:$BF$4308))/STDEV('Fat Spreads'!$BF$3:$BF$4308),"")</f>
        <v>9.2057461789832332E-2</v>
      </c>
      <c r="FW28">
        <f>IFERROR('Fat Spreads'!BF28-'Fat Spreads'!BF33,"")</f>
        <v>0</v>
      </c>
      <c r="FX28">
        <f>IFERROR('Fat Spreads'!BF28-'Fat Spreads'!BF38,"")</f>
        <v>0</v>
      </c>
      <c r="FY28">
        <f>IFERROR(AVERAGE('Fat Spreads'!BF28:BF47)+2*STDEV('Fat Spreads'!BF28:BF47),"")</f>
        <v>0</v>
      </c>
      <c r="FZ28">
        <f>IFERROR(AVERAGE('Fat Spreads'!BF28:BF47)-2*STDEV('Fat Spreads'!BF28:BF47),"")</f>
        <v>0</v>
      </c>
      <c r="GA28" t="str">
        <f>IFERROR(('Fat Spreads'!BF28-(AVERAGE('Fat Spreads'!BF28:BF47)-2*STDEV('Fat Spreads'!BF28:BF47)))/(4*STDEV('Fat Spreads'!BF28:BF47)),"")</f>
        <v/>
      </c>
      <c r="GB28" t="str">
        <f>IFERROR(4*STDEV('Fat Spreads'!BF28:BF47)/AVERAGE('Fat Spreads'!BF28:BF47),"")</f>
        <v/>
      </c>
      <c r="GC28">
        <v>29.052</v>
      </c>
      <c r="GD28">
        <f>IFERROR(SQRT((SUMSQ('Fat Spreads'!BF28:BF47)-2*SUMPRODUCT('Fat Spreads'!BF28:BF47,'Fat Spreads'!BF29:BF48)+SUMSQ('Fat Spreads'!BF29:BF48)-('Fat Spreads'!BF28-'Fat Spreads'!BF48)^2/20)/19),"")</f>
        <v>0</v>
      </c>
    </row>
    <row r="29" spans="1:186" x14ac:dyDescent="0.25">
      <c r="A29">
        <f>IFERROR('Fat Spreads'!A29,"")</f>
        <v>0</v>
      </c>
      <c r="B29">
        <f>IFERROR(('Fat Spreads'!B29-AVERAGE('Fat Spreads'!$B$3:$B$4308))/STDEV('Fat Spreads'!$B$3:$B$4308),"")</f>
        <v>9.2057461789832346E-2</v>
      </c>
      <c r="C29">
        <f>IFERROR('Fat Spreads'!B29-'Fat Spreads'!B34,"")</f>
        <v>0</v>
      </c>
      <c r="D29">
        <f>IFERROR('Fat Spreads'!B29-'Fat Spreads'!B39,"")</f>
        <v>0</v>
      </c>
      <c r="E29">
        <f>IFERROR(AVERAGE('Fat Spreads'!B29:B48)+2*STDEV('Fat Spreads'!B29:B48),"")</f>
        <v>0</v>
      </c>
      <c r="F29">
        <f>IFERROR(AVERAGE('Fat Spreads'!B29:B48)-2*STDEV('Fat Spreads'!B29:B48),"")</f>
        <v>0</v>
      </c>
      <c r="G29" t="str">
        <f>IFERROR(('Fat Spreads'!B29-(AVERAGE('Fat Spreads'!B29:B48)-2*STDEV('Fat Spreads'!B29:B48)))/(4*STDEV('Fat Spreads'!B29:B48)),"")</f>
        <v/>
      </c>
      <c r="H29" t="str">
        <f>IFERROR(4*STDEV('Fat Spreads'!B29:B48)/AVERAGE('Fat Spreads'!B29:B48),"")</f>
        <v/>
      </c>
      <c r="I29">
        <v>19.717400000000001</v>
      </c>
      <c r="J29">
        <f>IFERROR(SQRT((SUMSQ('Fat Spreads'!B29:B48)-2*SUMPRODUCT('Fat Spreads'!B29:B48,'Fat Spreads'!B30:B49)+SUMSQ('Fat Spreads'!B30:B49)-('Fat Spreads'!B29-'Fat Spreads'!B49)^2/20)/19),"")</f>
        <v>0</v>
      </c>
      <c r="L29">
        <f>IFERROR('Fat Spreads'!H29,"")</f>
        <v>0</v>
      </c>
      <c r="M29">
        <f>IFERROR(('Fat Spreads'!I29-AVERAGE('Fat Spreads'!$I$3:$I$4308))/STDEV('Fat Spreads'!$I$3:$I$4308),"")</f>
        <v>-9.2057461789832332E-2</v>
      </c>
      <c r="N29">
        <f>IFERROR('Fat Spreads'!I29-'Fat Spreads'!I34,"")</f>
        <v>0</v>
      </c>
      <c r="O29">
        <f>IFERROR('Fat Spreads'!I29-'Fat Spreads'!I39,"")</f>
        <v>0</v>
      </c>
      <c r="P29">
        <f>IFERROR(AVERAGE('Fat Spreads'!I29:I48)+2*STDEV('Fat Spreads'!I29:I48),"")</f>
        <v>0</v>
      </c>
      <c r="Q29">
        <f>IFERROR(AVERAGE('Fat Spreads'!I29:I48)-2*STDEV('Fat Spreads'!I29:I48),"")</f>
        <v>0</v>
      </c>
      <c r="R29" t="str">
        <f>IFERROR(('Fat Spreads'!I29-(AVERAGE('Fat Spreads'!I29:I48)-2*STDEV('Fat Spreads'!I29:I48)))/(4*STDEV('Fat Spreads'!I29:I48)),"")</f>
        <v/>
      </c>
      <c r="S29" t="str">
        <f>IFERROR(4*STDEV('Fat Spreads'!I29:I48)/AVERAGE('Fat Spreads'!I29:I48),"")</f>
        <v/>
      </c>
      <c r="T29">
        <v>57.862699999999997</v>
      </c>
      <c r="U29">
        <f>IFERROR(SQRT((SUMSQ('Fat Spreads'!I29:I48)-2*SUMPRODUCT('Fat Spreads'!I29:I48,'Fat Spreads'!I30:I49)+SUMSQ('Fat Spreads'!I30:I49)-('Fat Spreads'!I29-'Fat Spreads'!I49)^2/20)/19),"")</f>
        <v>0</v>
      </c>
      <c r="W29">
        <f>IFERROR('Fat Spreads'!AQ29,"")</f>
        <v>0</v>
      </c>
      <c r="X29">
        <f>IFERROR(('Fat Spreads'!AR29-AVERAGE('Fat Spreads'!$AR$3:$AR$4308))/STDEV('Fat Spreads'!$AR$3:$AR$4308),"")</f>
        <v>-9.2057461789832346E-2</v>
      </c>
      <c r="Y29">
        <f>IFERROR('Fat Spreads'!AR29-'Fat Spreads'!AR34,"")</f>
        <v>0</v>
      </c>
      <c r="Z29">
        <f>IFERROR('Fat Spreads'!AR29-'Fat Spreads'!AR39,"")</f>
        <v>0</v>
      </c>
      <c r="AA29">
        <f>IFERROR(AVERAGE('Fat Spreads'!AR29:AR48)+2*STDEV('Fat Spreads'!AR29:AR48),"")</f>
        <v>0</v>
      </c>
      <c r="AB29">
        <f>IFERROR(AVERAGE('Fat Spreads'!AR29:AR48)-2*STDEV('Fat Spreads'!AR29:AR48),"")</f>
        <v>0</v>
      </c>
      <c r="AC29" t="str">
        <f>IFERROR(('Fat Spreads'!AR29-(AVERAGE('Fat Spreads'!AR29:AR48)-2*STDEV('Fat Spreads'!AR29:AR48)))/(4*STDEV('Fat Spreads'!AR29:AR48)),"")</f>
        <v/>
      </c>
      <c r="AD29" t="str">
        <f>IFERROR(4*STDEV('Fat Spreads'!AR29:AR48)/AVERAGE('Fat Spreads'!AR29:AR48),"")</f>
        <v/>
      </c>
      <c r="AE29">
        <v>80.108199999999997</v>
      </c>
      <c r="AF29">
        <f>IFERROR(SQRT((SUMSQ('Fat Spreads'!AR29:AR48)-2*SUMPRODUCT('Fat Spreads'!AR29:AR48,'Fat Spreads'!AR30:AR49)+SUMSQ('Fat Spreads'!AR30:AR49)-('Fat Spreads'!AR29-'Fat Spreads'!AR49)^2/20)/19),"")</f>
        <v>0</v>
      </c>
      <c r="AH29">
        <f>IFERROR('Fat Spreads'!O29,"")</f>
        <v>0</v>
      </c>
      <c r="AI29">
        <f>IFERROR(('Fat Spreads'!P29-AVERAGE('Fat Spreads'!$P$3:$P$4308))/STDEV('Fat Spreads'!$P$3:$P$4308),"")</f>
        <v>-9.2057461789832332E-2</v>
      </c>
      <c r="AJ29">
        <f>IFERROR('Fat Spreads'!P29-'Fat Spreads'!P34,"")</f>
        <v>0</v>
      </c>
      <c r="AK29">
        <f>IFERROR('Fat Spreads'!P29-'Fat Spreads'!P39,"")</f>
        <v>0</v>
      </c>
      <c r="AL29">
        <f>IFERROR(AVERAGE('Fat Spreads'!P29:P48)+2*STDEV('Fat Spreads'!P29:P48),"")</f>
        <v>0</v>
      </c>
      <c r="AM29">
        <f>IFERROR(AVERAGE('Fat Spreads'!P29:P48)-2*STDEV('Fat Spreads'!P29:P48),"")</f>
        <v>0</v>
      </c>
      <c r="AN29" t="str">
        <f>IFERROR(('Fat Spreads'!P29-(AVERAGE('Fat Spreads'!P29:P48)-2*STDEV('Fat Spreads'!P29:P48)))/(4*STDEV('Fat Spreads'!P29:P48)),"")</f>
        <v/>
      </c>
      <c r="AO29" t="str">
        <f>IFERROR(4*STDEV('Fat Spreads'!P29:P48)/AVERAGE('Fat Spreads'!P29:P48),"")</f>
        <v/>
      </c>
      <c r="AP29">
        <v>76.717600000000004</v>
      </c>
      <c r="AQ29">
        <f>IFERROR(SQRT((SUMSQ('Fat Spreads'!P29:P48)-2*SUMPRODUCT('Fat Spreads'!P29:P48,'Fat Spreads'!P30:P49)+SUMSQ('Fat Spreads'!P30:P49)-('Fat Spreads'!P29-'Fat Spreads'!P49)^2/20)/19),"")</f>
        <v>0</v>
      </c>
      <c r="AS29">
        <f>IFERROR('Fat Spreads'!AJ29,"")</f>
        <v>0</v>
      </c>
      <c r="AT29">
        <f>IFERROR(('Fat Spreads'!AK29-AVERAGE('Fat Spreads'!$AK$3:$AK$4308))/STDEV('Fat Spreads'!$AK$3:$AK$4308),"")</f>
        <v>-9.2057461789832332E-2</v>
      </c>
      <c r="AU29">
        <f>IFERROR('Fat Spreads'!AK29-'Fat Spreads'!AK34,"")</f>
        <v>0</v>
      </c>
      <c r="AV29">
        <f>IFERROR('Fat Spreads'!AK29-'Fat Spreads'!AK39,"")</f>
        <v>0</v>
      </c>
      <c r="AW29">
        <f>IFERROR(AVERAGE('Fat Spreads'!AK29:AK48)+2*STDEV('Fat Spreads'!AK29:AK48),"")</f>
        <v>0</v>
      </c>
      <c r="AX29">
        <f>IFERROR(AVERAGE('Fat Spreads'!AK29:AK48)-2*STDEV('Fat Spreads'!AK29:AK48),"")</f>
        <v>0</v>
      </c>
      <c r="AY29" t="str">
        <f>IFERROR(('Fat Spreads'!AK29-(AVERAGE('Fat Spreads'!AK29:AK48)-2*STDEV('Fat Spreads'!AK29:AK48)))/(4*STDEV('Fat Spreads'!AK29:AK48)),"")</f>
        <v/>
      </c>
      <c r="AZ29" t="str">
        <f>IFERROR(4*STDEV('Fat Spreads'!AK29:AK48)/AVERAGE('Fat Spreads'!AK29:AK48),"")</f>
        <v/>
      </c>
      <c r="BA29">
        <v>37.447200000000002</v>
      </c>
      <c r="BB29">
        <f>IFERROR(SQRT((SUMSQ('Fat Spreads'!AK29:AK48)-2*SUMPRODUCT('Fat Spreads'!AK29:AK48,'Fat Spreads'!AK30:AK49)+SUMSQ('Fat Spreads'!AK30:AK49)-('Fat Spreads'!AK29-'Fat Spreads'!AK49)^2/20)/19),"")</f>
        <v>0</v>
      </c>
      <c r="BD29">
        <f>IFERROR('Fat Spreads'!V29,"")</f>
        <v>0</v>
      </c>
      <c r="BE29">
        <f>IFERROR(('Fat Spreads'!W29-AVERAGE('Fat Spreads'!$W$3:$W$4308))/STDEV('Fat Spreads'!$W$3:$W$4308),"")</f>
        <v>-9.2057461789832332E-2</v>
      </c>
      <c r="BF29">
        <f>IFERROR('Fat Spreads'!W29-'Fat Spreads'!W34,"")</f>
        <v>0</v>
      </c>
      <c r="BG29">
        <f>IFERROR('Fat Spreads'!W29-'Fat Spreads'!W39,"")</f>
        <v>0</v>
      </c>
      <c r="BH29">
        <f>IFERROR(AVERAGE('Fat Spreads'!W29:W48)+2*STDEV('Fat Spreads'!W29:W48),"")</f>
        <v>0</v>
      </c>
      <c r="BI29">
        <f>IFERROR(AVERAGE('Fat Spreads'!W29:W48)-2*STDEV('Fat Spreads'!W29:W48),"")</f>
        <v>0</v>
      </c>
      <c r="BJ29" t="str">
        <f>IFERROR(('Fat Spreads'!W29-(AVERAGE('Fat Spreads'!W29:W48)-2*STDEV('Fat Spreads'!W29:W48)))/(4*STDEV('Fat Spreads'!W29:W48)),"")</f>
        <v/>
      </c>
      <c r="BK29" t="str">
        <f>IFERROR(4*STDEV('Fat Spreads'!W29:W48)/AVERAGE('Fat Spreads'!W29:W48),"")</f>
        <v/>
      </c>
      <c r="BL29">
        <v>74.289500000000004</v>
      </c>
      <c r="BM29">
        <f>IFERROR(SQRT((SUMSQ('Fat Spreads'!W29:W48)-2*SUMPRODUCT('Fat Spreads'!W29:W48,'Fat Spreads'!W30:W49)+SUMSQ('Fat Spreads'!W30:W49)-('Fat Spreads'!W29-'Fat Spreads'!W49)^2/20)/19),"")</f>
        <v>0</v>
      </c>
      <c r="BO29">
        <f>IFERROR('Fat Spreads'!AC29,"")</f>
        <v>0</v>
      </c>
      <c r="BP29">
        <f>IFERROR(('Fat Spreads'!AD29-AVERAGE('Fat Spreads'!$AD$3:$AD$4308))/STDEV('Fat Spreads'!$AD$3:$AD$4308),"")</f>
        <v>-9.2057461789832332E-2</v>
      </c>
      <c r="BQ29">
        <f>IFERROR('Fat Spreads'!AD29-'Fat Spreads'!AD34,"")</f>
        <v>0</v>
      </c>
      <c r="BR29">
        <f>IFERROR('Fat Spreads'!AD29-'Fat Spreads'!AD39,"")</f>
        <v>0</v>
      </c>
      <c r="BS29">
        <f>IFERROR(AVERAGE('Fat Spreads'!AD29:AD48)+2*STDEV('Fat Spreads'!AD29:AD48),"")</f>
        <v>0</v>
      </c>
      <c r="BT29">
        <f>IFERROR(AVERAGE('Fat Spreads'!AD29:AD48)-2*STDEV('Fat Spreads'!AD29:AD48),"")</f>
        <v>0</v>
      </c>
      <c r="BU29" t="str">
        <f>IFERROR(('Fat Spreads'!AD29-(AVERAGE('Fat Spreads'!AD29:AD48)-2*STDEV('Fat Spreads'!AD29:AD48)))/(4*STDEV('Fat Spreads'!AD29:AD48)),"")</f>
        <v/>
      </c>
      <c r="BV29" t="str">
        <f>IFERROR(4*STDEV('Fat Spreads'!AD29:AD48)/AVERAGE('Fat Spreads'!AD29:AD48),"")</f>
        <v/>
      </c>
      <c r="BW29">
        <v>65.265299999999996</v>
      </c>
      <c r="BX29">
        <f>IFERROR(SQRT((SUMSQ('Fat Spreads'!AD29:AD48)-2*SUMPRODUCT('Fat Spreads'!AD29:AD48,'Fat Spreads'!AD30:AD49)+SUMSQ('Fat Spreads'!AD30:AD49)-('Fat Spreads'!AD29-'Fat Spreads'!AD49)^2/20)/19),"")</f>
        <v>0</v>
      </c>
      <c r="BZ29">
        <f>IFERROR('Feeder Spreads'!A29,"")</f>
        <v>0</v>
      </c>
      <c r="CA29">
        <f>IFERROR(('Feeder Spreads'!B29-AVERAGE('Feeder Spreads'!$B$3:$B$4308))/STDEV('Feeder Spreads'!$B$3:$B$4308),"")</f>
        <v>-9.2057461789832346E-2</v>
      </c>
      <c r="CB29">
        <f>IFERROR('Feeder Spreads'!B29-'Feeder Spreads'!B34,"")</f>
        <v>0</v>
      </c>
      <c r="CC29">
        <f>IFERROR('Feeder Spreads'!B29-'Feeder Spreads'!B39,"")</f>
        <v>0</v>
      </c>
      <c r="CD29">
        <f>IFERROR(AVERAGE('Feeder Spreads'!B29:B48)+2*STDEV('Feeder Spreads'!B29:B48),"")</f>
        <v>0</v>
      </c>
      <c r="CE29">
        <f>IFERROR(AVERAGE('Feeder Spreads'!B29:B48)-2*STDEV('Feeder Spreads'!B29:B48),"")</f>
        <v>0</v>
      </c>
      <c r="CF29" t="str">
        <f>IFERROR(('Feeder Spreads'!B29-(AVERAGE('Feeder Spreads'!B29:B48)-2*STDEV('Feeder Spreads'!B29:B48)))/(4*STDEV('Feeder Spreads'!B29:B48)),"")</f>
        <v/>
      </c>
      <c r="CG29" t="str">
        <f>IFERROR(4*STDEV('Feeder Spreads'!B29:B48)/AVERAGE('Feeder Spreads'!B29:B48),"")</f>
        <v/>
      </c>
      <c r="CH29">
        <v>68.287400000000005</v>
      </c>
      <c r="CI29">
        <f>IFERROR(SQRT((SUMSQ('Feeder Spreads'!B29:B48)-2*SUMPRODUCT('Feeder Spreads'!B29:B48,'Feeder Spreads'!B30:B49)+SUMSQ('Feeder Spreads'!B30:B49)-('Feeder Spreads'!B29-'Feeder Spreads'!B49)^2/20)/19),"")</f>
        <v>0</v>
      </c>
      <c r="CK29">
        <f>IFERROR('Feeder Spreads'!AX29,"")</f>
        <v>0</v>
      </c>
      <c r="CL29">
        <f>IFERROR(('Feeder Spreads'!AY29-AVERAGE('Feeder Spreads'!$AY$3:$AY$4308))/STDEV('Feeder Spreads'!$AY$3:$AY$4308),"")</f>
        <v>-9.2057461789832346E-2</v>
      </c>
      <c r="CM29">
        <f>IFERROR('Feeder Spreads'!AY29-'Feeder Spreads'!AY34,"")</f>
        <v>0</v>
      </c>
      <c r="CN29">
        <f>IFERROR('Feeder Spreads'!AY29-'Feeder Spreads'!AY39,"")</f>
        <v>0</v>
      </c>
      <c r="CO29">
        <f>IFERROR(AVERAGE('Feeder Spreads'!AY29:AY48)+2*STDEV('Feeder Spreads'!AY29:AY48),"")</f>
        <v>0</v>
      </c>
      <c r="CP29">
        <f>IFERROR(AVERAGE('Feeder Spreads'!AY29:AY48)-2*STDEV('Feeder Spreads'!AY29:AY48),"")</f>
        <v>0</v>
      </c>
      <c r="CQ29" t="str">
        <f>IFERROR(('Feeder Spreads'!AY29-(AVERAGE('Feeder Spreads'!AY29:AY48)-2*STDEV('Feeder Spreads'!AY29:AY48)))/(4*STDEV('Feeder Spreads'!AY29:AY48)),"")</f>
        <v/>
      </c>
      <c r="CR29" t="str">
        <f>IFERROR(4*STDEV('Feeder Spreads'!AY29:AY48)/AVERAGE('Feeder Spreads'!AY29:AY48),"")</f>
        <v/>
      </c>
      <c r="CS29">
        <v>60.366900000000001</v>
      </c>
      <c r="CT29">
        <f>IFERROR(SQRT((SUMSQ('Feeder Spreads'!AY29:AY48)-2*SUMPRODUCT('Feeder Spreads'!AY29:AY48,'Feeder Spreads'!AY30:AY49)+SUMSQ('Feeder Spreads'!AY30:AY49)-('Feeder Spreads'!AY29-'Feeder Spreads'!AY49)^2/20)/19),"")</f>
        <v>0</v>
      </c>
      <c r="CV29">
        <f>IFERROR('Feeder Spreads'!H29,"")</f>
        <v>0</v>
      </c>
      <c r="CW29">
        <f>IFERROR(('Feeder Spreads'!I29-AVERAGE('Feeder Spreads'!$I$3:$I$4308))/STDEV('Feeder Spreads'!$I$3:$I$4308),"")</f>
        <v>-9.2057461789832332E-2</v>
      </c>
      <c r="CX29">
        <f>IFERROR('Feeder Spreads'!I29-'Feeder Spreads'!I34,"")</f>
        <v>0</v>
      </c>
      <c r="CY29">
        <f>IFERROR('Feeder Spreads'!I29-'Feeder Spreads'!I39,"")</f>
        <v>0</v>
      </c>
      <c r="CZ29">
        <f>IFERROR(AVERAGE('Feeder Spreads'!I29:I48)+2*STDEV('Feeder Spreads'!I29:I48),"")</f>
        <v>0</v>
      </c>
      <c r="DA29">
        <f>IFERROR(AVERAGE('Feeder Spreads'!I29:I48)-2*STDEV('Feeder Spreads'!I29:I48),"")</f>
        <v>0</v>
      </c>
      <c r="DB29" t="str">
        <f>IFERROR(('Feeder Spreads'!I29-(AVERAGE('Feeder Spreads'!I29:I48)-2*STDEV('Feeder Spreads'!I29:I48)))/(4*STDEV('Feeder Spreads'!I29:I48)),"")</f>
        <v/>
      </c>
      <c r="DC29" t="str">
        <f>IFERROR(4*STDEV('Feeder Spreads'!I29:I48)/AVERAGE('Feeder Spreads'!I29:I48),"")</f>
        <v/>
      </c>
      <c r="DD29">
        <v>71.231300000000005</v>
      </c>
      <c r="DE29">
        <f>IFERROR(SQRT((SUMSQ('Feeder Spreads'!I29:I48)-2*SUMPRODUCT('Feeder Spreads'!I29:I48,'Feeder Spreads'!I30:I49)+SUMSQ('Feeder Spreads'!I30:I49)-('Feeder Spreads'!I29-'Feeder Spreads'!I49)^2/20)/19),"")</f>
        <v>0</v>
      </c>
      <c r="DG29">
        <f>IFERROR('Feeder Spreads'!O29,"")</f>
        <v>0</v>
      </c>
      <c r="DH29">
        <f>IFERROR(('Feeder Spreads'!P29-AVERAGE('Feeder Spreads'!$P$3:$P$4308))/STDEV('Feeder Spreads'!$P$3:$P$4308),"")</f>
        <v>-9.2057461789832346E-2</v>
      </c>
      <c r="DI29">
        <f>IFERROR('Feeder Spreads'!P29-'Feeder Spreads'!P34,"")</f>
        <v>0</v>
      </c>
      <c r="DJ29">
        <f>IFERROR('Feeder Spreads'!P29-'Feeder Spreads'!P39,"")</f>
        <v>0</v>
      </c>
      <c r="DK29">
        <f>IFERROR(AVERAGE('Feeder Spreads'!P29:P48)+2*STDEV('Feeder Spreads'!P29:P48),"")</f>
        <v>0</v>
      </c>
      <c r="DL29">
        <f>IFERROR(AVERAGE('Feeder Spreads'!P29:P48)-2*STDEV('Feeder Spreads'!P29:P48),"")</f>
        <v>0</v>
      </c>
      <c r="DM29" t="str">
        <f>IFERROR(('Feeder Spreads'!P29-(AVERAGE('Feeder Spreads'!P29:P48)-2*STDEV('Feeder Spreads'!P29:P48)))/(4*STDEV('Feeder Spreads'!P29:P48)),"")</f>
        <v/>
      </c>
      <c r="DN29" t="str">
        <f>IFERROR(4*STDEV('Feeder Spreads'!P29:P48)/AVERAGE('Feeder Spreads'!P29:P48),"")</f>
        <v/>
      </c>
      <c r="DO29">
        <v>54.966900000000003</v>
      </c>
      <c r="DP29">
        <f>IFERROR(SQRT((SUMSQ('Feeder Spreads'!P29:P48)-2*SUMPRODUCT('Feeder Spreads'!P29:P48,'Feeder Spreads'!P30:P49)+SUMSQ('Feeder Spreads'!P30:P49)-('Feeder Spreads'!P29-'Feeder Spreads'!P49)^2/20)/19),"")</f>
        <v>0</v>
      </c>
      <c r="DR29">
        <f>IFERROR('Feeder Spreads'!V29,"")</f>
        <v>0</v>
      </c>
      <c r="DS29">
        <f>IFERROR(('Feeder Spreads'!W29-AVERAGE('Feeder Spreads'!$W$3:$W$4308))/STDEV('Feeder Spreads'!$W$3:$W$4308),"")</f>
        <v>-9.2057461789832332E-2</v>
      </c>
      <c r="DT29">
        <f>IFERROR('Feeder Spreads'!W29-'Feeder Spreads'!W34,"")</f>
        <v>0</v>
      </c>
      <c r="DU29">
        <f>IFERROR('Feeder Spreads'!W29-'Feeder Spreads'!W39,"")</f>
        <v>0</v>
      </c>
      <c r="DV29">
        <f>IFERROR(AVERAGE('Feeder Spreads'!W29:W48)+2*STDEV('Feeder Spreads'!W29:W48),"")</f>
        <v>0</v>
      </c>
      <c r="DW29">
        <f>IFERROR(AVERAGE('Feeder Spreads'!W29:W48)-2*STDEV('Feeder Spreads'!W29:W48),"")</f>
        <v>0</v>
      </c>
      <c r="DX29" t="str">
        <f>IFERROR(('Feeder Spreads'!W29-(AVERAGE('Feeder Spreads'!W29:W48)-2*STDEV('Feeder Spreads'!W29:W48)))/(4*STDEV('Feeder Spreads'!W29:W48)),"")</f>
        <v/>
      </c>
      <c r="DY29" t="str">
        <f>IFERROR(4*STDEV('Feeder Spreads'!W29:W48)/AVERAGE('Feeder Spreads'!W29:W48),"")</f>
        <v/>
      </c>
      <c r="DZ29">
        <v>17.911000000000001</v>
      </c>
      <c r="EA29">
        <f>IFERROR(SQRT((SUMSQ('Feeder Spreads'!W29:W48)-2*SUMPRODUCT('Feeder Spreads'!W29:W48,'Feeder Spreads'!W30:W49)+SUMSQ('Feeder Spreads'!W30:W49)-('Feeder Spreads'!W29-'Feeder Spreads'!W49)^2/20)/19),"")</f>
        <v>0</v>
      </c>
      <c r="EC29">
        <f>IFERROR('Feeder Spreads'!AC29,"")</f>
        <v>0</v>
      </c>
      <c r="ED29">
        <f>IFERROR(('Feeder Spreads'!AD29-AVERAGE('Feeder Spreads'!$AD$3:$AD$4308))/STDEV('Feeder Spreads'!$AD$3:$AD$4308),"")</f>
        <v>9.2057461789832318E-2</v>
      </c>
      <c r="EE29">
        <f>IFERROR('Feeder Spreads'!AD29-'Feeder Spreads'!AD34,"")</f>
        <v>0</v>
      </c>
      <c r="EF29">
        <f>IFERROR('Feeder Spreads'!AD29-'Feeder Spreads'!AD39,"")</f>
        <v>0</v>
      </c>
      <c r="EG29">
        <f>IFERROR(AVERAGE('Feeder Spreads'!AD29:AD48)+2*STDEV('Feeder Spreads'!AD29:AD48),"")</f>
        <v>0</v>
      </c>
      <c r="EH29">
        <f>IFERROR(AVERAGE('Feeder Spreads'!AD29:AD48)-2*STDEV('Feeder Spreads'!AD29:AD48),"")</f>
        <v>0</v>
      </c>
      <c r="EI29" t="str">
        <f>IFERROR(('Feeder Spreads'!AD29-(AVERAGE('Feeder Spreads'!AD29:AD48)-2*STDEV('Feeder Spreads'!AD29:AD48)))/(4*STDEV('Feeder Spreads'!AD29:AD48)),"")</f>
        <v/>
      </c>
      <c r="EJ29" t="str">
        <f>IFERROR(4*STDEV('Feeder Spreads'!AD29:AD48)/AVERAGE('Feeder Spreads'!AD29:AD48),"")</f>
        <v/>
      </c>
      <c r="EK29">
        <v>43.328499999999998</v>
      </c>
      <c r="EL29">
        <f>IFERROR(SQRT((SUMSQ('Feeder Spreads'!AD29:AD48)-2*SUMPRODUCT('Feeder Spreads'!AD29:AD48,'Feeder Spreads'!AD30:AD49)+SUMSQ('Feeder Spreads'!AD30:AD49)-('Feeder Spreads'!AD29-'Feeder Spreads'!AD49)^2/20)/19),"")</f>
        <v>0</v>
      </c>
      <c r="EN29">
        <f>IFERROR('Feeder Spreads'!AJ29,"")</f>
        <v>0</v>
      </c>
      <c r="EO29">
        <f>IFERROR(('Feeder Spreads'!AK29-AVERAGE('Feeder Spreads'!$AK$3:$AK$4308))/STDEV('Feeder Spreads'!$AK$3:$AK$4308),"")</f>
        <v>-9.2057461789832346E-2</v>
      </c>
      <c r="EP29">
        <f>IFERROR('Feeder Spreads'!AK29-'Feeder Spreads'!AK34,"")</f>
        <v>0</v>
      </c>
      <c r="EQ29">
        <f>IFERROR('Feeder Spreads'!AK29-'Feeder Spreads'!AK39,"")</f>
        <v>0</v>
      </c>
      <c r="ER29">
        <f>IFERROR(AVERAGE('Feeder Spreads'!AK29:AK48)+2*STDEV('Feeder Spreads'!AK29:AK48),"")</f>
        <v>0</v>
      </c>
      <c r="ES29">
        <f>IFERROR(AVERAGE('Feeder Spreads'!AK29:AK48)-2*STDEV('Feeder Spreads'!AK29:AK48),"")</f>
        <v>0</v>
      </c>
      <c r="ET29" t="str">
        <f>IFERROR(('Feeder Spreads'!AK29-(AVERAGE('Feeder Spreads'!AK29:AK48)-2*STDEV('Feeder Spreads'!AK29:AK48)))/(4*STDEV('Feeder Spreads'!AK29:AK48)),"")</f>
        <v/>
      </c>
      <c r="EU29" t="str">
        <f>IFERROR(4*STDEV('Feeder Spreads'!AK29:AK48)/AVERAGE('Feeder Spreads'!AK29:AK48),"")</f>
        <v/>
      </c>
      <c r="EV29">
        <v>65.226100000000002</v>
      </c>
      <c r="EW29">
        <f>IFERROR(SQRT((SUMSQ('Feeder Spreads'!AK29:AK48)-2*SUMPRODUCT('Feeder Spreads'!AK29:AK48,'Feeder Spreads'!AK30:AK49)+SUMSQ('Feeder Spreads'!AK30:AK49)-('Feeder Spreads'!AK29-'Feeder Spreads'!AK49)^2/20)/19),"")</f>
        <v>0</v>
      </c>
      <c r="EY29">
        <f>IFERROR('Feeder Spreads'!AQ29,"")</f>
        <v>0</v>
      </c>
      <c r="EZ29">
        <f>IFERROR(('Feeder Spreads'!AR29-AVERAGE('Feeder Spreads'!$AR$3:$AR$4308))/STDEV('Feeder Spreads'!$AR$3:$AR$4308),"")</f>
        <v>-9.2057461789832332E-2</v>
      </c>
      <c r="FA29">
        <f>IFERROR('Feeder Spreads'!AR29-'Feeder Spreads'!AR34,"")</f>
        <v>0</v>
      </c>
      <c r="FB29">
        <f>IFERROR('Feeder Spreads'!AR29-'Feeder Spreads'!AR39,"")</f>
        <v>0</v>
      </c>
      <c r="FC29">
        <f>IFERROR(AVERAGE('Feeder Spreads'!AR29:AR48)+2*STDEV('Feeder Spreads'!AR29:AR48),"")</f>
        <v>0</v>
      </c>
      <c r="FD29">
        <f>IFERROR(AVERAGE('Feeder Spreads'!AR29:AR48)-2*STDEV('Feeder Spreads'!AR29:AR48),"")</f>
        <v>0</v>
      </c>
      <c r="FE29" t="str">
        <f>IFERROR(('Feeder Spreads'!AR29-(AVERAGE('Feeder Spreads'!AR29:AR48)-2*STDEV('Feeder Spreads'!AR29:AR48)))/(4*STDEV('Feeder Spreads'!AR29:AR48)),"")</f>
        <v/>
      </c>
      <c r="FF29" t="str">
        <f>IFERROR(4*STDEV('Feeder Spreads'!AR29:AR48)/AVERAGE('Feeder Spreads'!AR29:AR48),"")</f>
        <v/>
      </c>
      <c r="FG29">
        <v>59.906500000000001</v>
      </c>
      <c r="FH29">
        <f>IFERROR(SQRT((SUMSQ('Feeder Spreads'!AR29:AR48)-2*SUMPRODUCT('Feeder Spreads'!AR29:AR48,'Feeder Spreads'!AR30:AR49)+SUMSQ('Feeder Spreads'!AR30:AR49)-('Feeder Spreads'!AR29-'Feeder Spreads'!AR49)^2/20)/19),"")</f>
        <v>0</v>
      </c>
      <c r="FJ29">
        <f>IFERROR('Fat Spreads'!AX29,"")</f>
        <v>0</v>
      </c>
      <c r="FK29">
        <f>IFERROR(('Fat Spreads'!AY29-AVERAGE('Fat Spreads'!$AY$3:$AY$4308))/STDEV('Fat Spreads'!$AY$3:$AY$4308),"")</f>
        <v>9.2057461789832332E-2</v>
      </c>
      <c r="FL29">
        <f>IFERROR('Fat Spreads'!AY29-'Fat Spreads'!AY34,"")</f>
        <v>0</v>
      </c>
      <c r="FM29">
        <f>IFERROR('Fat Spreads'!AY29-'Fat Spreads'!AY39,"")</f>
        <v>0</v>
      </c>
      <c r="FN29">
        <f>IFERROR(AVERAGE('Fat Spreads'!AY29:AY48)+2*STDEV('Fat Spreads'!AY29:AY48),"")</f>
        <v>0</v>
      </c>
      <c r="FO29">
        <f>IFERROR(AVERAGE('Fat Spreads'!AY29:AY48)-2*STDEV('Fat Spreads'!AY29:AY48),"")</f>
        <v>0</v>
      </c>
      <c r="FP29" t="str">
        <f>IFERROR(('Fat Spreads'!AY29-(AVERAGE('Fat Spreads'!AY29:AY48)-2*STDEV('Fat Spreads'!AY29:AY48)))/(4*STDEV('Fat Spreads'!AY29:AY48)),"")</f>
        <v/>
      </c>
      <c r="FQ29" t="str">
        <f>IFERROR(4*STDEV('Fat Spreads'!AY29:AY48)/AVERAGE('Fat Spreads'!AY29:AY48),"")</f>
        <v/>
      </c>
      <c r="FR29">
        <v>26.523800000000001</v>
      </c>
      <c r="FS29">
        <f>IFERROR(SQRT((SUMSQ('Fat Spreads'!AY29:AY48)-2*SUMPRODUCT('Fat Spreads'!AY29:AY48,'Fat Spreads'!AY30:AY49)+SUMSQ('Fat Spreads'!AY30:AY49)-('Fat Spreads'!AY29-'Fat Spreads'!AY49)^2/20)/19),"")</f>
        <v>0</v>
      </c>
      <c r="FU29">
        <f>IFERROR('Fat Spreads'!BE29,"")</f>
        <v>0</v>
      </c>
      <c r="FV29">
        <f>IFERROR(('Fat Spreads'!BF29-AVERAGE('Fat Spreads'!$BF$3:$BF$4308))/STDEV('Fat Spreads'!$BF$3:$BF$4308),"")</f>
        <v>9.2057461789832332E-2</v>
      </c>
      <c r="FW29">
        <f>IFERROR('Fat Spreads'!BF29-'Fat Spreads'!BF34,"")</f>
        <v>0</v>
      </c>
      <c r="FX29">
        <f>IFERROR('Fat Spreads'!BF29-'Fat Spreads'!BF39,"")</f>
        <v>0</v>
      </c>
      <c r="FY29">
        <f>IFERROR(AVERAGE('Fat Spreads'!BF29:BF48)+2*STDEV('Fat Spreads'!BF29:BF48),"")</f>
        <v>0</v>
      </c>
      <c r="FZ29">
        <f>IFERROR(AVERAGE('Fat Spreads'!BF29:BF48)-2*STDEV('Fat Spreads'!BF29:BF48),"")</f>
        <v>0</v>
      </c>
      <c r="GA29" t="str">
        <f>IFERROR(('Fat Spreads'!BF29-(AVERAGE('Fat Spreads'!BF29:BF48)-2*STDEV('Fat Spreads'!BF29:BF48)))/(4*STDEV('Fat Spreads'!BF29:BF48)),"")</f>
        <v/>
      </c>
      <c r="GB29" t="str">
        <f>IFERROR(4*STDEV('Fat Spreads'!BF29:BF48)/AVERAGE('Fat Spreads'!BF29:BF48),"")</f>
        <v/>
      </c>
      <c r="GC29">
        <v>30.2895</v>
      </c>
      <c r="GD29">
        <f>IFERROR(SQRT((SUMSQ('Fat Spreads'!BF29:BF48)-2*SUMPRODUCT('Fat Spreads'!BF29:BF48,'Fat Spreads'!BF30:BF49)+SUMSQ('Fat Spreads'!BF30:BF49)-('Fat Spreads'!BF29-'Fat Spreads'!BF49)^2/20)/19),"")</f>
        <v>0</v>
      </c>
    </row>
    <row r="30" spans="1:186" x14ac:dyDescent="0.25">
      <c r="A30">
        <f>IFERROR('Fat Spreads'!A30,"")</f>
        <v>0</v>
      </c>
      <c r="B30">
        <f>IFERROR(('Fat Spreads'!B30-AVERAGE('Fat Spreads'!$B$3:$B$4308))/STDEV('Fat Spreads'!$B$3:$B$4308),"")</f>
        <v>9.2057461789832346E-2</v>
      </c>
      <c r="C30">
        <f>IFERROR('Fat Spreads'!B30-'Fat Spreads'!B35,"")</f>
        <v>0</v>
      </c>
      <c r="D30">
        <f>IFERROR('Fat Spreads'!B30-'Fat Spreads'!B40,"")</f>
        <v>0</v>
      </c>
      <c r="E30">
        <f>IFERROR(AVERAGE('Fat Spreads'!B30:B49)+2*STDEV('Fat Spreads'!B30:B49),"")</f>
        <v>0</v>
      </c>
      <c r="F30">
        <f>IFERROR(AVERAGE('Fat Spreads'!B30:B49)-2*STDEV('Fat Spreads'!B30:B49),"")</f>
        <v>0</v>
      </c>
      <c r="G30" t="str">
        <f>IFERROR(('Fat Spreads'!B30-(AVERAGE('Fat Spreads'!B30:B49)-2*STDEV('Fat Spreads'!B30:B49)))/(4*STDEV('Fat Spreads'!B30:B49)),"")</f>
        <v/>
      </c>
      <c r="H30" t="str">
        <f>IFERROR(4*STDEV('Fat Spreads'!B30:B49)/AVERAGE('Fat Spreads'!B30:B49),"")</f>
        <v/>
      </c>
      <c r="I30">
        <v>23.01</v>
      </c>
      <c r="J30">
        <f>IFERROR(SQRT((SUMSQ('Fat Spreads'!B30:B49)-2*SUMPRODUCT('Fat Spreads'!B30:B49,'Fat Spreads'!B31:B50)+SUMSQ('Fat Spreads'!B31:B50)-('Fat Spreads'!B30-'Fat Spreads'!B50)^2/20)/19),"")</f>
        <v>0</v>
      </c>
      <c r="L30">
        <f>IFERROR('Fat Spreads'!H30,"")</f>
        <v>0</v>
      </c>
      <c r="M30">
        <f>IFERROR(('Fat Spreads'!I30-AVERAGE('Fat Spreads'!$I$3:$I$4308))/STDEV('Fat Spreads'!$I$3:$I$4308),"")</f>
        <v>-9.2057461789832332E-2</v>
      </c>
      <c r="N30">
        <f>IFERROR('Fat Spreads'!I30-'Fat Spreads'!I35,"")</f>
        <v>0</v>
      </c>
      <c r="O30">
        <f>IFERROR('Fat Spreads'!I30-'Fat Spreads'!I40,"")</f>
        <v>0</v>
      </c>
      <c r="P30">
        <f>IFERROR(AVERAGE('Fat Spreads'!I30:I49)+2*STDEV('Fat Spreads'!I30:I49),"")</f>
        <v>0</v>
      </c>
      <c r="Q30">
        <f>IFERROR(AVERAGE('Fat Spreads'!I30:I49)-2*STDEV('Fat Spreads'!I30:I49),"")</f>
        <v>0</v>
      </c>
      <c r="R30" t="str">
        <f>IFERROR(('Fat Spreads'!I30-(AVERAGE('Fat Spreads'!I30:I49)-2*STDEV('Fat Spreads'!I30:I49)))/(4*STDEV('Fat Spreads'!I30:I49)),"")</f>
        <v/>
      </c>
      <c r="S30" t="str">
        <f>IFERROR(4*STDEV('Fat Spreads'!I30:I49)/AVERAGE('Fat Spreads'!I30:I49),"")</f>
        <v/>
      </c>
      <c r="T30">
        <v>52.331899999999997</v>
      </c>
      <c r="U30">
        <f>IFERROR(SQRT((SUMSQ('Fat Spreads'!I30:I49)-2*SUMPRODUCT('Fat Spreads'!I30:I49,'Fat Spreads'!I31:I50)+SUMSQ('Fat Spreads'!I31:I50)-('Fat Spreads'!I30-'Fat Spreads'!I50)^2/20)/19),"")</f>
        <v>0</v>
      </c>
      <c r="W30">
        <f>IFERROR('Fat Spreads'!AQ30,"")</f>
        <v>0</v>
      </c>
      <c r="X30">
        <f>IFERROR(('Fat Spreads'!AR30-AVERAGE('Fat Spreads'!$AR$3:$AR$4308))/STDEV('Fat Spreads'!$AR$3:$AR$4308),"")</f>
        <v>-9.2057461789832346E-2</v>
      </c>
      <c r="Y30">
        <f>IFERROR('Fat Spreads'!AR30-'Fat Spreads'!AR35,"")</f>
        <v>0</v>
      </c>
      <c r="Z30">
        <f>IFERROR('Fat Spreads'!AR30-'Fat Spreads'!AR40,"")</f>
        <v>0</v>
      </c>
      <c r="AA30">
        <f>IFERROR(AVERAGE('Fat Spreads'!AR30:AR49)+2*STDEV('Fat Spreads'!AR30:AR49),"")</f>
        <v>0</v>
      </c>
      <c r="AB30">
        <f>IFERROR(AVERAGE('Fat Spreads'!AR30:AR49)-2*STDEV('Fat Spreads'!AR30:AR49),"")</f>
        <v>0</v>
      </c>
      <c r="AC30" t="str">
        <f>IFERROR(('Fat Spreads'!AR30-(AVERAGE('Fat Spreads'!AR30:AR49)-2*STDEV('Fat Spreads'!AR30:AR49)))/(4*STDEV('Fat Spreads'!AR30:AR49)),"")</f>
        <v/>
      </c>
      <c r="AD30" t="str">
        <f>IFERROR(4*STDEV('Fat Spreads'!AR30:AR49)/AVERAGE('Fat Spreads'!AR30:AR49),"")</f>
        <v/>
      </c>
      <c r="AE30">
        <v>72.044399999999996</v>
      </c>
      <c r="AF30">
        <f>IFERROR(SQRT((SUMSQ('Fat Spreads'!AR30:AR49)-2*SUMPRODUCT('Fat Spreads'!AR30:AR49,'Fat Spreads'!AR31:AR50)+SUMSQ('Fat Spreads'!AR31:AR50)-('Fat Spreads'!AR30-'Fat Spreads'!AR50)^2/20)/19),"")</f>
        <v>0</v>
      </c>
      <c r="AH30">
        <f>IFERROR('Fat Spreads'!O30,"")</f>
        <v>0</v>
      </c>
      <c r="AI30">
        <f>IFERROR(('Fat Spreads'!P30-AVERAGE('Fat Spreads'!$P$3:$P$4308))/STDEV('Fat Spreads'!$P$3:$P$4308),"")</f>
        <v>-9.2057461789832332E-2</v>
      </c>
      <c r="AJ30">
        <f>IFERROR('Fat Spreads'!P30-'Fat Spreads'!P35,"")</f>
        <v>0</v>
      </c>
      <c r="AK30">
        <f>IFERROR('Fat Spreads'!P30-'Fat Spreads'!P40,"")</f>
        <v>0</v>
      </c>
      <c r="AL30">
        <f>IFERROR(AVERAGE('Fat Spreads'!P30:P49)+2*STDEV('Fat Spreads'!P30:P49),"")</f>
        <v>0</v>
      </c>
      <c r="AM30">
        <f>IFERROR(AVERAGE('Fat Spreads'!P30:P49)-2*STDEV('Fat Spreads'!P30:P49),"")</f>
        <v>0</v>
      </c>
      <c r="AN30" t="str">
        <f>IFERROR(('Fat Spreads'!P30-(AVERAGE('Fat Spreads'!P30:P49)-2*STDEV('Fat Spreads'!P30:P49)))/(4*STDEV('Fat Spreads'!P30:P49)),"")</f>
        <v/>
      </c>
      <c r="AO30" t="str">
        <f>IFERROR(4*STDEV('Fat Spreads'!P30:P49)/AVERAGE('Fat Spreads'!P30:P49),"")</f>
        <v/>
      </c>
      <c r="AP30">
        <v>68.196200000000005</v>
      </c>
      <c r="AQ30">
        <f>IFERROR(SQRT((SUMSQ('Fat Spreads'!P30:P49)-2*SUMPRODUCT('Fat Spreads'!P30:P49,'Fat Spreads'!P31:P50)+SUMSQ('Fat Spreads'!P31:P50)-('Fat Spreads'!P30-'Fat Spreads'!P50)^2/20)/19),"")</f>
        <v>0</v>
      </c>
      <c r="AS30">
        <f>IFERROR('Fat Spreads'!AJ30,"")</f>
        <v>0</v>
      </c>
      <c r="AT30">
        <f>IFERROR(('Fat Spreads'!AK30-AVERAGE('Fat Spreads'!$AK$3:$AK$4308))/STDEV('Fat Spreads'!$AK$3:$AK$4308),"")</f>
        <v>-9.2057461789832332E-2</v>
      </c>
      <c r="AU30">
        <f>IFERROR('Fat Spreads'!AK30-'Fat Spreads'!AK35,"")</f>
        <v>0</v>
      </c>
      <c r="AV30">
        <f>IFERROR('Fat Spreads'!AK30-'Fat Spreads'!AK40,"")</f>
        <v>0</v>
      </c>
      <c r="AW30">
        <f>IFERROR(AVERAGE('Fat Spreads'!AK30:AK49)+2*STDEV('Fat Spreads'!AK30:AK49),"")</f>
        <v>0</v>
      </c>
      <c r="AX30">
        <f>IFERROR(AVERAGE('Fat Spreads'!AK30:AK49)-2*STDEV('Fat Spreads'!AK30:AK49),"")</f>
        <v>0</v>
      </c>
      <c r="AY30" t="str">
        <f>IFERROR(('Fat Spreads'!AK30-(AVERAGE('Fat Spreads'!AK30:AK49)-2*STDEV('Fat Spreads'!AK30:AK49)))/(4*STDEV('Fat Spreads'!AK30:AK49)),"")</f>
        <v/>
      </c>
      <c r="AZ30" t="str">
        <f>IFERROR(4*STDEV('Fat Spreads'!AK30:AK49)/AVERAGE('Fat Spreads'!AK30:AK49),"")</f>
        <v/>
      </c>
      <c r="BA30">
        <v>42.084600000000002</v>
      </c>
      <c r="BB30">
        <f>IFERROR(SQRT((SUMSQ('Fat Spreads'!AK30:AK49)-2*SUMPRODUCT('Fat Spreads'!AK30:AK49,'Fat Spreads'!AK31:AK50)+SUMSQ('Fat Spreads'!AK31:AK50)-('Fat Spreads'!AK30-'Fat Spreads'!AK50)^2/20)/19),"")</f>
        <v>0</v>
      </c>
      <c r="BD30">
        <f>IFERROR('Fat Spreads'!V30,"")</f>
        <v>0</v>
      </c>
      <c r="BE30">
        <f>IFERROR(('Fat Spreads'!W30-AVERAGE('Fat Spreads'!$W$3:$W$4308))/STDEV('Fat Spreads'!$W$3:$W$4308),"")</f>
        <v>-9.2057461789832332E-2</v>
      </c>
      <c r="BF30">
        <f>IFERROR('Fat Spreads'!W30-'Fat Spreads'!W35,"")</f>
        <v>0</v>
      </c>
      <c r="BG30">
        <f>IFERROR('Fat Spreads'!W30-'Fat Spreads'!W40,"")</f>
        <v>0</v>
      </c>
      <c r="BH30">
        <f>IFERROR(AVERAGE('Fat Spreads'!W30:W49)+2*STDEV('Fat Spreads'!W30:W49),"")</f>
        <v>0</v>
      </c>
      <c r="BI30">
        <f>IFERROR(AVERAGE('Fat Spreads'!W30:W49)-2*STDEV('Fat Spreads'!W30:W49),"")</f>
        <v>0</v>
      </c>
      <c r="BJ30" t="str">
        <f>IFERROR(('Fat Spreads'!W30-(AVERAGE('Fat Spreads'!W30:W49)-2*STDEV('Fat Spreads'!W30:W49)))/(4*STDEV('Fat Spreads'!W30:W49)),"")</f>
        <v/>
      </c>
      <c r="BK30" t="str">
        <f>IFERROR(4*STDEV('Fat Spreads'!W30:W49)/AVERAGE('Fat Spreads'!W30:W49),"")</f>
        <v/>
      </c>
      <c r="BL30">
        <v>67.382499999999993</v>
      </c>
      <c r="BM30">
        <f>IFERROR(SQRT((SUMSQ('Fat Spreads'!W30:W49)-2*SUMPRODUCT('Fat Spreads'!W30:W49,'Fat Spreads'!W31:W50)+SUMSQ('Fat Spreads'!W31:W50)-('Fat Spreads'!W30-'Fat Spreads'!W50)^2/20)/19),"")</f>
        <v>0</v>
      </c>
      <c r="BO30">
        <f>IFERROR('Fat Spreads'!AC30,"")</f>
        <v>0</v>
      </c>
      <c r="BP30">
        <f>IFERROR(('Fat Spreads'!AD30-AVERAGE('Fat Spreads'!$AD$3:$AD$4308))/STDEV('Fat Spreads'!$AD$3:$AD$4308),"")</f>
        <v>-9.2057461789832332E-2</v>
      </c>
      <c r="BQ30">
        <f>IFERROR('Fat Spreads'!AD30-'Fat Spreads'!AD35,"")</f>
        <v>0</v>
      </c>
      <c r="BR30">
        <f>IFERROR('Fat Spreads'!AD30-'Fat Spreads'!AD40,"")</f>
        <v>0</v>
      </c>
      <c r="BS30">
        <f>IFERROR(AVERAGE('Fat Spreads'!AD30:AD49)+2*STDEV('Fat Spreads'!AD30:AD49),"")</f>
        <v>0</v>
      </c>
      <c r="BT30">
        <f>IFERROR(AVERAGE('Fat Spreads'!AD30:AD49)-2*STDEV('Fat Spreads'!AD30:AD49),"")</f>
        <v>0</v>
      </c>
      <c r="BU30" t="str">
        <f>IFERROR(('Fat Spreads'!AD30-(AVERAGE('Fat Spreads'!AD30:AD49)-2*STDEV('Fat Spreads'!AD30:AD49)))/(4*STDEV('Fat Spreads'!AD30:AD49)),"")</f>
        <v/>
      </c>
      <c r="BV30" t="str">
        <f>IFERROR(4*STDEV('Fat Spreads'!AD30:AD49)/AVERAGE('Fat Spreads'!AD30:AD49),"")</f>
        <v/>
      </c>
      <c r="BW30">
        <v>64.329700000000003</v>
      </c>
      <c r="BX30">
        <f>IFERROR(SQRT((SUMSQ('Fat Spreads'!AD30:AD49)-2*SUMPRODUCT('Fat Spreads'!AD30:AD49,'Fat Spreads'!AD31:AD50)+SUMSQ('Fat Spreads'!AD31:AD50)-('Fat Spreads'!AD30-'Fat Spreads'!AD50)^2/20)/19),"")</f>
        <v>0</v>
      </c>
      <c r="BZ30">
        <f>IFERROR('Feeder Spreads'!A30,"")</f>
        <v>0</v>
      </c>
      <c r="CA30">
        <f>IFERROR(('Feeder Spreads'!B30-AVERAGE('Feeder Spreads'!$B$3:$B$4308))/STDEV('Feeder Spreads'!$B$3:$B$4308),"")</f>
        <v>-9.2057461789832346E-2</v>
      </c>
      <c r="CB30">
        <f>IFERROR('Feeder Spreads'!B30-'Feeder Spreads'!B35,"")</f>
        <v>0</v>
      </c>
      <c r="CC30">
        <f>IFERROR('Feeder Spreads'!B30-'Feeder Spreads'!B40,"")</f>
        <v>0</v>
      </c>
      <c r="CD30">
        <f>IFERROR(AVERAGE('Feeder Spreads'!B30:B49)+2*STDEV('Feeder Spreads'!B30:B49),"")</f>
        <v>0</v>
      </c>
      <c r="CE30">
        <f>IFERROR(AVERAGE('Feeder Spreads'!B30:B49)-2*STDEV('Feeder Spreads'!B30:B49),"")</f>
        <v>0</v>
      </c>
      <c r="CF30" t="str">
        <f>IFERROR(('Feeder Spreads'!B30-(AVERAGE('Feeder Spreads'!B30:B49)-2*STDEV('Feeder Spreads'!B30:B49)))/(4*STDEV('Feeder Spreads'!B30:B49)),"")</f>
        <v/>
      </c>
      <c r="CG30" t="str">
        <f>IFERROR(4*STDEV('Feeder Spreads'!B30:B49)/AVERAGE('Feeder Spreads'!B30:B49),"")</f>
        <v/>
      </c>
      <c r="CH30">
        <v>47.300800000000002</v>
      </c>
      <c r="CI30">
        <f>IFERROR(SQRT((SUMSQ('Feeder Spreads'!B30:B49)-2*SUMPRODUCT('Feeder Spreads'!B30:B49,'Feeder Spreads'!B31:B50)+SUMSQ('Feeder Spreads'!B31:B50)-('Feeder Spreads'!B30-'Feeder Spreads'!B50)^2/20)/19),"")</f>
        <v>0</v>
      </c>
      <c r="CK30">
        <f>IFERROR('Feeder Spreads'!AX30,"")</f>
        <v>0</v>
      </c>
      <c r="CL30">
        <f>IFERROR(('Feeder Spreads'!AY30-AVERAGE('Feeder Spreads'!$AY$3:$AY$4308))/STDEV('Feeder Spreads'!$AY$3:$AY$4308),"")</f>
        <v>-9.2057461789832346E-2</v>
      </c>
      <c r="CM30">
        <f>IFERROR('Feeder Spreads'!AY30-'Feeder Spreads'!AY35,"")</f>
        <v>0</v>
      </c>
      <c r="CN30">
        <f>IFERROR('Feeder Spreads'!AY30-'Feeder Spreads'!AY40,"")</f>
        <v>0</v>
      </c>
      <c r="CO30">
        <f>IFERROR(AVERAGE('Feeder Spreads'!AY30:AY49)+2*STDEV('Feeder Spreads'!AY30:AY49),"")</f>
        <v>0</v>
      </c>
      <c r="CP30">
        <f>IFERROR(AVERAGE('Feeder Spreads'!AY30:AY49)-2*STDEV('Feeder Spreads'!AY30:AY49),"")</f>
        <v>0</v>
      </c>
      <c r="CQ30" t="str">
        <f>IFERROR(('Feeder Spreads'!AY30-(AVERAGE('Feeder Spreads'!AY30:AY49)-2*STDEV('Feeder Spreads'!AY30:AY49)))/(4*STDEV('Feeder Spreads'!AY30:AY49)),"")</f>
        <v/>
      </c>
      <c r="CR30" t="str">
        <f>IFERROR(4*STDEV('Feeder Spreads'!AY30:AY49)/AVERAGE('Feeder Spreads'!AY30:AY49),"")</f>
        <v/>
      </c>
      <c r="CS30">
        <v>55.243499999999997</v>
      </c>
      <c r="CT30">
        <f>IFERROR(SQRT((SUMSQ('Feeder Spreads'!AY30:AY49)-2*SUMPRODUCT('Feeder Spreads'!AY30:AY49,'Feeder Spreads'!AY31:AY50)+SUMSQ('Feeder Spreads'!AY31:AY50)-('Feeder Spreads'!AY30-'Feeder Spreads'!AY50)^2/20)/19),"")</f>
        <v>0</v>
      </c>
      <c r="CV30">
        <f>IFERROR('Feeder Spreads'!H30,"")</f>
        <v>0</v>
      </c>
      <c r="CW30">
        <f>IFERROR(('Feeder Spreads'!I30-AVERAGE('Feeder Spreads'!$I$3:$I$4308))/STDEV('Feeder Spreads'!$I$3:$I$4308),"")</f>
        <v>-9.2057461789832332E-2</v>
      </c>
      <c r="CX30">
        <f>IFERROR('Feeder Spreads'!I30-'Feeder Spreads'!I35,"")</f>
        <v>0</v>
      </c>
      <c r="CY30">
        <f>IFERROR('Feeder Spreads'!I30-'Feeder Spreads'!I40,"")</f>
        <v>0</v>
      </c>
      <c r="CZ30">
        <f>IFERROR(AVERAGE('Feeder Spreads'!I30:I49)+2*STDEV('Feeder Spreads'!I30:I49),"")</f>
        <v>0</v>
      </c>
      <c r="DA30">
        <f>IFERROR(AVERAGE('Feeder Spreads'!I30:I49)-2*STDEV('Feeder Spreads'!I30:I49),"")</f>
        <v>0</v>
      </c>
      <c r="DB30" t="str">
        <f>IFERROR(('Feeder Spreads'!I30-(AVERAGE('Feeder Spreads'!I30:I49)-2*STDEV('Feeder Spreads'!I30:I49)))/(4*STDEV('Feeder Spreads'!I30:I49)),"")</f>
        <v/>
      </c>
      <c r="DC30" t="str">
        <f>IFERROR(4*STDEV('Feeder Spreads'!I30:I49)/AVERAGE('Feeder Spreads'!I30:I49),"")</f>
        <v/>
      </c>
      <c r="DD30">
        <v>65.654700000000005</v>
      </c>
      <c r="DE30">
        <f>IFERROR(SQRT((SUMSQ('Feeder Spreads'!I30:I49)-2*SUMPRODUCT('Feeder Spreads'!I30:I49,'Feeder Spreads'!I31:I50)+SUMSQ('Feeder Spreads'!I31:I50)-('Feeder Spreads'!I30-'Feeder Spreads'!I50)^2/20)/19),"")</f>
        <v>0</v>
      </c>
      <c r="DG30">
        <f>IFERROR('Feeder Spreads'!O30,"")</f>
        <v>0</v>
      </c>
      <c r="DH30">
        <f>IFERROR(('Feeder Spreads'!P30-AVERAGE('Feeder Spreads'!$P$3:$P$4308))/STDEV('Feeder Spreads'!$P$3:$P$4308),"")</f>
        <v>-9.2057461789832346E-2</v>
      </c>
      <c r="DI30">
        <f>IFERROR('Feeder Spreads'!P30-'Feeder Spreads'!P35,"")</f>
        <v>0</v>
      </c>
      <c r="DJ30">
        <f>IFERROR('Feeder Spreads'!P30-'Feeder Spreads'!P40,"")</f>
        <v>0</v>
      </c>
      <c r="DK30">
        <f>IFERROR(AVERAGE('Feeder Spreads'!P30:P49)+2*STDEV('Feeder Spreads'!P30:P49),"")</f>
        <v>0</v>
      </c>
      <c r="DL30">
        <f>IFERROR(AVERAGE('Feeder Spreads'!P30:P49)-2*STDEV('Feeder Spreads'!P30:P49),"")</f>
        <v>0</v>
      </c>
      <c r="DM30" t="str">
        <f>IFERROR(('Feeder Spreads'!P30-(AVERAGE('Feeder Spreads'!P30:P49)-2*STDEV('Feeder Spreads'!P30:P49)))/(4*STDEV('Feeder Spreads'!P30:P49)),"")</f>
        <v/>
      </c>
      <c r="DN30" t="str">
        <f>IFERROR(4*STDEV('Feeder Spreads'!P30:P49)/AVERAGE('Feeder Spreads'!P30:P49),"")</f>
        <v/>
      </c>
      <c r="DO30">
        <v>37.735300000000002</v>
      </c>
      <c r="DP30">
        <f>IFERROR(SQRT((SUMSQ('Feeder Spreads'!P30:P49)-2*SUMPRODUCT('Feeder Spreads'!P30:P49,'Feeder Spreads'!P31:P50)+SUMSQ('Feeder Spreads'!P31:P50)-('Feeder Spreads'!P30-'Feeder Spreads'!P50)^2/20)/19),"")</f>
        <v>0</v>
      </c>
      <c r="DR30">
        <f>IFERROR('Feeder Spreads'!V30,"")</f>
        <v>0</v>
      </c>
      <c r="DS30">
        <f>IFERROR(('Feeder Spreads'!W30-AVERAGE('Feeder Spreads'!$W$3:$W$4308))/STDEV('Feeder Spreads'!$W$3:$W$4308),"")</f>
        <v>-9.2057461789832332E-2</v>
      </c>
      <c r="DT30">
        <f>IFERROR('Feeder Spreads'!W30-'Feeder Spreads'!W35,"")</f>
        <v>0</v>
      </c>
      <c r="DU30">
        <f>IFERROR('Feeder Spreads'!W30-'Feeder Spreads'!W40,"")</f>
        <v>0</v>
      </c>
      <c r="DV30">
        <f>IFERROR(AVERAGE('Feeder Spreads'!W30:W49)+2*STDEV('Feeder Spreads'!W30:W49),"")</f>
        <v>0</v>
      </c>
      <c r="DW30">
        <f>IFERROR(AVERAGE('Feeder Spreads'!W30:W49)-2*STDEV('Feeder Spreads'!W30:W49),"")</f>
        <v>0</v>
      </c>
      <c r="DX30" t="str">
        <f>IFERROR(('Feeder Spreads'!W30-(AVERAGE('Feeder Spreads'!W30:W49)-2*STDEV('Feeder Spreads'!W30:W49)))/(4*STDEV('Feeder Spreads'!W30:W49)),"")</f>
        <v/>
      </c>
      <c r="DY30" t="str">
        <f>IFERROR(4*STDEV('Feeder Spreads'!W30:W49)/AVERAGE('Feeder Spreads'!W30:W49),"")</f>
        <v/>
      </c>
      <c r="DZ30">
        <v>67.989400000000003</v>
      </c>
      <c r="EA30">
        <f>IFERROR(SQRT((SUMSQ('Feeder Spreads'!W30:W49)-2*SUMPRODUCT('Feeder Spreads'!W30:W49,'Feeder Spreads'!W31:W50)+SUMSQ('Feeder Spreads'!W31:W50)-('Feeder Spreads'!W30-'Feeder Spreads'!W50)^2/20)/19),"")</f>
        <v>0</v>
      </c>
      <c r="EC30">
        <f>IFERROR('Feeder Spreads'!AC30,"")</f>
        <v>0</v>
      </c>
      <c r="ED30">
        <f>IFERROR(('Feeder Spreads'!AD30-AVERAGE('Feeder Spreads'!$AD$3:$AD$4308))/STDEV('Feeder Spreads'!$AD$3:$AD$4308),"")</f>
        <v>9.2057461789832318E-2</v>
      </c>
      <c r="EE30">
        <f>IFERROR('Feeder Spreads'!AD30-'Feeder Spreads'!AD35,"")</f>
        <v>0</v>
      </c>
      <c r="EF30">
        <f>IFERROR('Feeder Spreads'!AD30-'Feeder Spreads'!AD40,"")</f>
        <v>0</v>
      </c>
      <c r="EG30">
        <f>IFERROR(AVERAGE('Feeder Spreads'!AD30:AD49)+2*STDEV('Feeder Spreads'!AD30:AD49),"")</f>
        <v>0</v>
      </c>
      <c r="EH30">
        <f>IFERROR(AVERAGE('Feeder Spreads'!AD30:AD49)-2*STDEV('Feeder Spreads'!AD30:AD49),"")</f>
        <v>0</v>
      </c>
      <c r="EI30" t="str">
        <f>IFERROR(('Feeder Spreads'!AD30-(AVERAGE('Feeder Spreads'!AD30:AD49)-2*STDEV('Feeder Spreads'!AD30:AD49)))/(4*STDEV('Feeder Spreads'!AD30:AD49)),"")</f>
        <v/>
      </c>
      <c r="EJ30" t="str">
        <f>IFERROR(4*STDEV('Feeder Spreads'!AD30:AD49)/AVERAGE('Feeder Spreads'!AD30:AD49),"")</f>
        <v/>
      </c>
      <c r="EK30">
        <v>48.1873</v>
      </c>
      <c r="EL30">
        <f>IFERROR(SQRT((SUMSQ('Feeder Spreads'!AD30:AD49)-2*SUMPRODUCT('Feeder Spreads'!AD30:AD49,'Feeder Spreads'!AD31:AD50)+SUMSQ('Feeder Spreads'!AD31:AD50)-('Feeder Spreads'!AD30-'Feeder Spreads'!AD50)^2/20)/19),"")</f>
        <v>0</v>
      </c>
      <c r="EN30">
        <f>IFERROR('Feeder Spreads'!AJ30,"")</f>
        <v>0</v>
      </c>
      <c r="EO30">
        <f>IFERROR(('Feeder Spreads'!AK30-AVERAGE('Feeder Spreads'!$AK$3:$AK$4308))/STDEV('Feeder Spreads'!$AK$3:$AK$4308),"")</f>
        <v>-9.2057461789832346E-2</v>
      </c>
      <c r="EP30">
        <f>IFERROR('Feeder Spreads'!AK30-'Feeder Spreads'!AK35,"")</f>
        <v>0</v>
      </c>
      <c r="EQ30">
        <f>IFERROR('Feeder Spreads'!AK30-'Feeder Spreads'!AK40,"")</f>
        <v>0</v>
      </c>
      <c r="ER30">
        <f>IFERROR(AVERAGE('Feeder Spreads'!AK30:AK49)+2*STDEV('Feeder Spreads'!AK30:AK49),"")</f>
        <v>0</v>
      </c>
      <c r="ES30">
        <f>IFERROR(AVERAGE('Feeder Spreads'!AK30:AK49)-2*STDEV('Feeder Spreads'!AK30:AK49),"")</f>
        <v>0</v>
      </c>
      <c r="ET30" t="str">
        <f>IFERROR(('Feeder Spreads'!AK30-(AVERAGE('Feeder Spreads'!AK30:AK49)-2*STDEV('Feeder Spreads'!AK30:AK49)))/(4*STDEV('Feeder Spreads'!AK30:AK49)),"")</f>
        <v/>
      </c>
      <c r="EU30" t="str">
        <f>IFERROR(4*STDEV('Feeder Spreads'!AK30:AK49)/AVERAGE('Feeder Spreads'!AK30:AK49),"")</f>
        <v/>
      </c>
      <c r="EV30">
        <v>50.786700000000003</v>
      </c>
      <c r="EW30">
        <f>IFERROR(SQRT((SUMSQ('Feeder Spreads'!AK30:AK49)-2*SUMPRODUCT('Feeder Spreads'!AK30:AK49,'Feeder Spreads'!AK31:AK50)+SUMSQ('Feeder Spreads'!AK31:AK50)-('Feeder Spreads'!AK30-'Feeder Spreads'!AK50)^2/20)/19),"")</f>
        <v>0</v>
      </c>
      <c r="EY30">
        <f>IFERROR('Feeder Spreads'!AQ30,"")</f>
        <v>0</v>
      </c>
      <c r="EZ30">
        <f>IFERROR(('Feeder Spreads'!AR30-AVERAGE('Feeder Spreads'!$AR$3:$AR$4308))/STDEV('Feeder Spreads'!$AR$3:$AR$4308),"")</f>
        <v>-9.2057461789832332E-2</v>
      </c>
      <c r="FA30">
        <f>IFERROR('Feeder Spreads'!AR30-'Feeder Spreads'!AR35,"")</f>
        <v>0</v>
      </c>
      <c r="FB30">
        <f>IFERROR('Feeder Spreads'!AR30-'Feeder Spreads'!AR40,"")</f>
        <v>0</v>
      </c>
      <c r="FC30">
        <f>IFERROR(AVERAGE('Feeder Spreads'!AR30:AR49)+2*STDEV('Feeder Spreads'!AR30:AR49),"")</f>
        <v>0</v>
      </c>
      <c r="FD30">
        <f>IFERROR(AVERAGE('Feeder Spreads'!AR30:AR49)-2*STDEV('Feeder Spreads'!AR30:AR49),"")</f>
        <v>0</v>
      </c>
      <c r="FE30" t="str">
        <f>IFERROR(('Feeder Spreads'!AR30-(AVERAGE('Feeder Spreads'!AR30:AR49)-2*STDEV('Feeder Spreads'!AR30:AR49)))/(4*STDEV('Feeder Spreads'!AR30:AR49)),"")</f>
        <v/>
      </c>
      <c r="FF30" t="str">
        <f>IFERROR(4*STDEV('Feeder Spreads'!AR30:AR49)/AVERAGE('Feeder Spreads'!AR30:AR49),"")</f>
        <v/>
      </c>
      <c r="FG30">
        <v>48.951799999999999</v>
      </c>
      <c r="FH30">
        <f>IFERROR(SQRT((SUMSQ('Feeder Spreads'!AR30:AR49)-2*SUMPRODUCT('Feeder Spreads'!AR30:AR49,'Feeder Spreads'!AR31:AR50)+SUMSQ('Feeder Spreads'!AR31:AR50)-('Feeder Spreads'!AR30-'Feeder Spreads'!AR50)^2/20)/19),"")</f>
        <v>0</v>
      </c>
      <c r="FJ30">
        <f>IFERROR('Fat Spreads'!AX30,"")</f>
        <v>0</v>
      </c>
      <c r="FK30">
        <f>IFERROR(('Fat Spreads'!AY30-AVERAGE('Fat Spreads'!$AY$3:$AY$4308))/STDEV('Fat Spreads'!$AY$3:$AY$4308),"")</f>
        <v>9.2057461789832332E-2</v>
      </c>
      <c r="FL30">
        <f>IFERROR('Fat Spreads'!AY30-'Fat Spreads'!AY35,"")</f>
        <v>0</v>
      </c>
      <c r="FM30">
        <f>IFERROR('Fat Spreads'!AY30-'Fat Spreads'!AY40,"")</f>
        <v>0</v>
      </c>
      <c r="FN30">
        <f>IFERROR(AVERAGE('Fat Spreads'!AY30:AY49)+2*STDEV('Fat Spreads'!AY30:AY49),"")</f>
        <v>0</v>
      </c>
      <c r="FO30">
        <f>IFERROR(AVERAGE('Fat Spreads'!AY30:AY49)-2*STDEV('Fat Spreads'!AY30:AY49),"")</f>
        <v>0</v>
      </c>
      <c r="FP30" t="str">
        <f>IFERROR(('Fat Spreads'!AY30-(AVERAGE('Fat Spreads'!AY30:AY49)-2*STDEV('Fat Spreads'!AY30:AY49)))/(4*STDEV('Fat Spreads'!AY30:AY49)),"")</f>
        <v/>
      </c>
      <c r="FQ30" t="str">
        <f>IFERROR(4*STDEV('Fat Spreads'!AY30:AY49)/AVERAGE('Fat Spreads'!AY30:AY49),"")</f>
        <v/>
      </c>
      <c r="FR30">
        <v>31.5046</v>
      </c>
      <c r="FS30">
        <f>IFERROR(SQRT((SUMSQ('Fat Spreads'!AY30:AY49)-2*SUMPRODUCT('Fat Spreads'!AY30:AY49,'Fat Spreads'!AY31:AY50)+SUMSQ('Fat Spreads'!AY31:AY50)-('Fat Spreads'!AY30-'Fat Spreads'!AY50)^2/20)/19),"")</f>
        <v>0</v>
      </c>
      <c r="FU30">
        <f>IFERROR('Fat Spreads'!BE30,"")</f>
        <v>0</v>
      </c>
      <c r="FV30">
        <f>IFERROR(('Fat Spreads'!BF30-AVERAGE('Fat Spreads'!$BF$3:$BF$4308))/STDEV('Fat Spreads'!$BF$3:$BF$4308),"")</f>
        <v>9.2057461789832332E-2</v>
      </c>
      <c r="FW30">
        <f>IFERROR('Fat Spreads'!BF30-'Fat Spreads'!BF35,"")</f>
        <v>0</v>
      </c>
      <c r="FX30">
        <f>IFERROR('Fat Spreads'!BF30-'Fat Spreads'!BF40,"")</f>
        <v>0</v>
      </c>
      <c r="FY30">
        <f>IFERROR(AVERAGE('Fat Spreads'!BF30:BF49)+2*STDEV('Fat Spreads'!BF30:BF49),"")</f>
        <v>0</v>
      </c>
      <c r="FZ30">
        <f>IFERROR(AVERAGE('Fat Spreads'!BF30:BF49)-2*STDEV('Fat Spreads'!BF30:BF49),"")</f>
        <v>0</v>
      </c>
      <c r="GA30" t="str">
        <f>IFERROR(('Fat Spreads'!BF30-(AVERAGE('Fat Spreads'!BF30:BF49)-2*STDEV('Fat Spreads'!BF30:BF49)))/(4*STDEV('Fat Spreads'!BF30:BF49)),"")</f>
        <v/>
      </c>
      <c r="GB30" t="str">
        <f>IFERROR(4*STDEV('Fat Spreads'!BF30:BF49)/AVERAGE('Fat Spreads'!BF30:BF49),"")</f>
        <v/>
      </c>
      <c r="GC30">
        <v>31.864999999999998</v>
      </c>
      <c r="GD30">
        <f>IFERROR(SQRT((SUMSQ('Fat Spreads'!BF30:BF49)-2*SUMPRODUCT('Fat Spreads'!BF30:BF49,'Fat Spreads'!BF31:BF50)+SUMSQ('Fat Spreads'!BF31:BF50)-('Fat Spreads'!BF30-'Fat Spreads'!BF50)^2/20)/19),"")</f>
        <v>0</v>
      </c>
    </row>
    <row r="31" spans="1:186" x14ac:dyDescent="0.25">
      <c r="A31">
        <f>IFERROR('Fat Spreads'!A31,"")</f>
        <v>0</v>
      </c>
      <c r="B31">
        <f>IFERROR(('Fat Spreads'!B31-AVERAGE('Fat Spreads'!$B$3:$B$4308))/STDEV('Fat Spreads'!$B$3:$B$4308),"")</f>
        <v>9.2057461789832346E-2</v>
      </c>
      <c r="C31">
        <f>IFERROR('Fat Spreads'!B31-'Fat Spreads'!B36,"")</f>
        <v>0</v>
      </c>
      <c r="D31">
        <f>IFERROR('Fat Spreads'!B31-'Fat Spreads'!B41,"")</f>
        <v>0</v>
      </c>
      <c r="E31">
        <f>IFERROR(AVERAGE('Fat Spreads'!B31:B50)+2*STDEV('Fat Spreads'!B31:B50),"")</f>
        <v>0</v>
      </c>
      <c r="F31">
        <f>IFERROR(AVERAGE('Fat Spreads'!B31:B50)-2*STDEV('Fat Spreads'!B31:B50),"")</f>
        <v>0</v>
      </c>
      <c r="G31" t="str">
        <f>IFERROR(('Fat Spreads'!B31-(AVERAGE('Fat Spreads'!B31:B50)-2*STDEV('Fat Spreads'!B31:B50)))/(4*STDEV('Fat Spreads'!B31:B50)),"")</f>
        <v/>
      </c>
      <c r="H31" t="str">
        <f>IFERROR(4*STDEV('Fat Spreads'!B31:B50)/AVERAGE('Fat Spreads'!B31:B50),"")</f>
        <v/>
      </c>
      <c r="I31">
        <v>24.853100000000001</v>
      </c>
      <c r="J31">
        <f>IFERROR(SQRT((SUMSQ('Fat Spreads'!B31:B50)-2*SUMPRODUCT('Fat Spreads'!B31:B50,'Fat Spreads'!B32:B51)+SUMSQ('Fat Spreads'!B32:B51)-('Fat Spreads'!B31-'Fat Spreads'!B51)^2/20)/19),"")</f>
        <v>0</v>
      </c>
      <c r="L31">
        <f>IFERROR('Fat Spreads'!H31,"")</f>
        <v>0</v>
      </c>
      <c r="M31">
        <f>IFERROR(('Fat Spreads'!I31-AVERAGE('Fat Spreads'!$I$3:$I$4308))/STDEV('Fat Spreads'!$I$3:$I$4308),"")</f>
        <v>-9.2057461789832332E-2</v>
      </c>
      <c r="N31">
        <f>IFERROR('Fat Spreads'!I31-'Fat Spreads'!I36,"")</f>
        <v>0</v>
      </c>
      <c r="O31">
        <f>IFERROR('Fat Spreads'!I31-'Fat Spreads'!I41,"")</f>
        <v>0</v>
      </c>
      <c r="P31">
        <f>IFERROR(AVERAGE('Fat Spreads'!I31:I50)+2*STDEV('Fat Spreads'!I31:I50),"")</f>
        <v>0</v>
      </c>
      <c r="Q31">
        <f>IFERROR(AVERAGE('Fat Spreads'!I31:I50)-2*STDEV('Fat Spreads'!I31:I50),"")</f>
        <v>0</v>
      </c>
      <c r="R31" t="str">
        <f>IFERROR(('Fat Spreads'!I31-(AVERAGE('Fat Spreads'!I31:I50)-2*STDEV('Fat Spreads'!I31:I50)))/(4*STDEV('Fat Spreads'!I31:I50)),"")</f>
        <v/>
      </c>
      <c r="S31" t="str">
        <f>IFERROR(4*STDEV('Fat Spreads'!I31:I50)/AVERAGE('Fat Spreads'!I31:I50),"")</f>
        <v/>
      </c>
      <c r="T31">
        <v>49.490600000000001</v>
      </c>
      <c r="U31">
        <f>IFERROR(SQRT((SUMSQ('Fat Spreads'!I31:I50)-2*SUMPRODUCT('Fat Spreads'!I31:I50,'Fat Spreads'!I32:I51)+SUMSQ('Fat Spreads'!I32:I51)-('Fat Spreads'!I31-'Fat Spreads'!I51)^2/20)/19),"")</f>
        <v>0</v>
      </c>
      <c r="W31">
        <f>IFERROR('Fat Spreads'!AQ31,"")</f>
        <v>0</v>
      </c>
      <c r="X31">
        <f>IFERROR(('Fat Spreads'!AR31-AVERAGE('Fat Spreads'!$AR$3:$AR$4308))/STDEV('Fat Spreads'!$AR$3:$AR$4308),"")</f>
        <v>-9.2057461789832346E-2</v>
      </c>
      <c r="Y31">
        <f>IFERROR('Fat Spreads'!AR31-'Fat Spreads'!AR36,"")</f>
        <v>0</v>
      </c>
      <c r="Z31">
        <f>IFERROR('Fat Spreads'!AR31-'Fat Spreads'!AR41,"")</f>
        <v>0</v>
      </c>
      <c r="AA31">
        <f>IFERROR(AVERAGE('Fat Spreads'!AR31:AR50)+2*STDEV('Fat Spreads'!AR31:AR50),"")</f>
        <v>0</v>
      </c>
      <c r="AB31">
        <f>IFERROR(AVERAGE('Fat Spreads'!AR31:AR50)-2*STDEV('Fat Spreads'!AR31:AR50),"")</f>
        <v>0</v>
      </c>
      <c r="AC31" t="str">
        <f>IFERROR(('Fat Spreads'!AR31-(AVERAGE('Fat Spreads'!AR31:AR50)-2*STDEV('Fat Spreads'!AR31:AR50)))/(4*STDEV('Fat Spreads'!AR31:AR50)),"")</f>
        <v/>
      </c>
      <c r="AD31" t="str">
        <f>IFERROR(4*STDEV('Fat Spreads'!AR31:AR50)/AVERAGE('Fat Spreads'!AR31:AR50),"")</f>
        <v/>
      </c>
      <c r="AE31">
        <v>69.7684</v>
      </c>
      <c r="AF31">
        <f>IFERROR(SQRT((SUMSQ('Fat Spreads'!AR31:AR50)-2*SUMPRODUCT('Fat Spreads'!AR31:AR50,'Fat Spreads'!AR32:AR51)+SUMSQ('Fat Spreads'!AR32:AR51)-('Fat Spreads'!AR31-'Fat Spreads'!AR51)^2/20)/19),"")</f>
        <v>0</v>
      </c>
      <c r="AH31">
        <f>IFERROR('Fat Spreads'!O31,"")</f>
        <v>0</v>
      </c>
      <c r="AI31">
        <f>IFERROR(('Fat Spreads'!P31-AVERAGE('Fat Spreads'!$P$3:$P$4308))/STDEV('Fat Spreads'!$P$3:$P$4308),"")</f>
        <v>-9.2057461789832332E-2</v>
      </c>
      <c r="AJ31">
        <f>IFERROR('Fat Spreads'!P31-'Fat Spreads'!P36,"")</f>
        <v>0</v>
      </c>
      <c r="AK31">
        <f>IFERROR('Fat Spreads'!P31-'Fat Spreads'!P41,"")</f>
        <v>0</v>
      </c>
      <c r="AL31">
        <f>IFERROR(AVERAGE('Fat Spreads'!P31:P50)+2*STDEV('Fat Spreads'!P31:P50),"")</f>
        <v>0</v>
      </c>
      <c r="AM31">
        <f>IFERROR(AVERAGE('Fat Spreads'!P31:P50)-2*STDEV('Fat Spreads'!P31:P50),"")</f>
        <v>0</v>
      </c>
      <c r="AN31" t="str">
        <f>IFERROR(('Fat Spreads'!P31-(AVERAGE('Fat Spreads'!P31:P50)-2*STDEV('Fat Spreads'!P31:P50)))/(4*STDEV('Fat Spreads'!P31:P50)),"")</f>
        <v/>
      </c>
      <c r="AO31" t="str">
        <f>IFERROR(4*STDEV('Fat Spreads'!P31:P50)/AVERAGE('Fat Spreads'!P31:P50),"")</f>
        <v/>
      </c>
      <c r="AP31">
        <v>65.956900000000005</v>
      </c>
      <c r="AQ31">
        <f>IFERROR(SQRT((SUMSQ('Fat Spreads'!P31:P50)-2*SUMPRODUCT('Fat Spreads'!P31:P50,'Fat Spreads'!P32:P51)+SUMSQ('Fat Spreads'!P32:P51)-('Fat Spreads'!P31-'Fat Spreads'!P51)^2/20)/19),"")</f>
        <v>0</v>
      </c>
      <c r="AS31">
        <f>IFERROR('Fat Spreads'!AJ31,"")</f>
        <v>0</v>
      </c>
      <c r="AT31">
        <f>IFERROR(('Fat Spreads'!AK31-AVERAGE('Fat Spreads'!$AK$3:$AK$4308))/STDEV('Fat Spreads'!$AK$3:$AK$4308),"")</f>
        <v>-9.2057461789832332E-2</v>
      </c>
      <c r="AU31">
        <f>IFERROR('Fat Spreads'!AK31-'Fat Spreads'!AK36,"")</f>
        <v>0</v>
      </c>
      <c r="AV31">
        <f>IFERROR('Fat Spreads'!AK31-'Fat Spreads'!AK41,"")</f>
        <v>0</v>
      </c>
      <c r="AW31">
        <f>IFERROR(AVERAGE('Fat Spreads'!AK31:AK50)+2*STDEV('Fat Spreads'!AK31:AK50),"")</f>
        <v>0</v>
      </c>
      <c r="AX31">
        <f>IFERROR(AVERAGE('Fat Spreads'!AK31:AK50)-2*STDEV('Fat Spreads'!AK31:AK50),"")</f>
        <v>0</v>
      </c>
      <c r="AY31" t="str">
        <f>IFERROR(('Fat Spreads'!AK31-(AVERAGE('Fat Spreads'!AK31:AK50)-2*STDEV('Fat Spreads'!AK31:AK50)))/(4*STDEV('Fat Spreads'!AK31:AK50)),"")</f>
        <v/>
      </c>
      <c r="AZ31" t="str">
        <f>IFERROR(4*STDEV('Fat Spreads'!AK31:AK50)/AVERAGE('Fat Spreads'!AK31:AK50),"")</f>
        <v/>
      </c>
      <c r="BA31">
        <v>42.316299999999998</v>
      </c>
      <c r="BB31">
        <f>IFERROR(SQRT((SUMSQ('Fat Spreads'!AK31:AK50)-2*SUMPRODUCT('Fat Spreads'!AK31:AK50,'Fat Spreads'!AK32:AK51)+SUMSQ('Fat Spreads'!AK32:AK51)-('Fat Spreads'!AK31-'Fat Spreads'!AK51)^2/20)/19),"")</f>
        <v>0</v>
      </c>
      <c r="BD31">
        <f>IFERROR('Fat Spreads'!V31,"")</f>
        <v>0</v>
      </c>
      <c r="BE31">
        <f>IFERROR(('Fat Spreads'!W31-AVERAGE('Fat Spreads'!$W$3:$W$4308))/STDEV('Fat Spreads'!$W$3:$W$4308),"")</f>
        <v>-9.2057461789832332E-2</v>
      </c>
      <c r="BF31">
        <f>IFERROR('Fat Spreads'!W31-'Fat Spreads'!W36,"")</f>
        <v>0</v>
      </c>
      <c r="BG31">
        <f>IFERROR('Fat Spreads'!W31-'Fat Spreads'!W41,"")</f>
        <v>0</v>
      </c>
      <c r="BH31">
        <f>IFERROR(AVERAGE('Fat Spreads'!W31:W50)+2*STDEV('Fat Spreads'!W31:W50),"")</f>
        <v>0</v>
      </c>
      <c r="BI31">
        <f>IFERROR(AVERAGE('Fat Spreads'!W31:W50)-2*STDEV('Fat Spreads'!W31:W50),"")</f>
        <v>0</v>
      </c>
      <c r="BJ31" t="str">
        <f>IFERROR(('Fat Spreads'!W31-(AVERAGE('Fat Spreads'!W31:W50)-2*STDEV('Fat Spreads'!W31:W50)))/(4*STDEV('Fat Spreads'!W31:W50)),"")</f>
        <v/>
      </c>
      <c r="BK31" t="str">
        <f>IFERROR(4*STDEV('Fat Spreads'!W31:W50)/AVERAGE('Fat Spreads'!W31:W50),"")</f>
        <v/>
      </c>
      <c r="BL31">
        <v>65.540400000000005</v>
      </c>
      <c r="BM31">
        <f>IFERROR(SQRT((SUMSQ('Fat Spreads'!W31:W50)-2*SUMPRODUCT('Fat Spreads'!W31:W50,'Fat Spreads'!W32:W51)+SUMSQ('Fat Spreads'!W32:W51)-('Fat Spreads'!W31-'Fat Spreads'!W51)^2/20)/19),"")</f>
        <v>0</v>
      </c>
      <c r="BO31">
        <f>IFERROR('Fat Spreads'!AC31,"")</f>
        <v>0</v>
      </c>
      <c r="BP31">
        <f>IFERROR(('Fat Spreads'!AD31-AVERAGE('Fat Spreads'!$AD$3:$AD$4308))/STDEV('Fat Spreads'!$AD$3:$AD$4308),"")</f>
        <v>-9.2057461789832332E-2</v>
      </c>
      <c r="BQ31">
        <f>IFERROR('Fat Spreads'!AD31-'Fat Spreads'!AD36,"")</f>
        <v>0</v>
      </c>
      <c r="BR31">
        <f>IFERROR('Fat Spreads'!AD31-'Fat Spreads'!AD41,"")</f>
        <v>0</v>
      </c>
      <c r="BS31">
        <f>IFERROR(AVERAGE('Fat Spreads'!AD31:AD50)+2*STDEV('Fat Spreads'!AD31:AD50),"")</f>
        <v>0</v>
      </c>
      <c r="BT31">
        <f>IFERROR(AVERAGE('Fat Spreads'!AD31:AD50)-2*STDEV('Fat Spreads'!AD31:AD50),"")</f>
        <v>0</v>
      </c>
      <c r="BU31" t="str">
        <f>IFERROR(('Fat Spreads'!AD31-(AVERAGE('Fat Spreads'!AD31:AD50)-2*STDEV('Fat Spreads'!AD31:AD50)))/(4*STDEV('Fat Spreads'!AD31:AD50)),"")</f>
        <v/>
      </c>
      <c r="BV31" t="str">
        <f>IFERROR(4*STDEV('Fat Spreads'!AD31:AD50)/AVERAGE('Fat Spreads'!AD31:AD50),"")</f>
        <v/>
      </c>
      <c r="BW31">
        <v>64.792699999999996</v>
      </c>
      <c r="BX31">
        <f>IFERROR(SQRT((SUMSQ('Fat Spreads'!AD31:AD50)-2*SUMPRODUCT('Fat Spreads'!AD31:AD50,'Fat Spreads'!AD32:AD51)+SUMSQ('Fat Spreads'!AD32:AD51)-('Fat Spreads'!AD31-'Fat Spreads'!AD51)^2/20)/19),"")</f>
        <v>0</v>
      </c>
      <c r="BZ31">
        <f>IFERROR('Feeder Spreads'!A31,"")</f>
        <v>0</v>
      </c>
      <c r="CA31">
        <f>IFERROR(('Feeder Spreads'!B31-AVERAGE('Feeder Spreads'!$B$3:$B$4308))/STDEV('Feeder Spreads'!$B$3:$B$4308),"")</f>
        <v>-9.2057461789832346E-2</v>
      </c>
      <c r="CB31">
        <f>IFERROR('Feeder Spreads'!B31-'Feeder Spreads'!B36,"")</f>
        <v>0</v>
      </c>
      <c r="CC31">
        <f>IFERROR('Feeder Spreads'!B31-'Feeder Spreads'!B41,"")</f>
        <v>0</v>
      </c>
      <c r="CD31">
        <f>IFERROR(AVERAGE('Feeder Spreads'!B31:B50)+2*STDEV('Feeder Spreads'!B31:B50),"")</f>
        <v>0</v>
      </c>
      <c r="CE31">
        <f>IFERROR(AVERAGE('Feeder Spreads'!B31:B50)-2*STDEV('Feeder Spreads'!B31:B50),"")</f>
        <v>0</v>
      </c>
      <c r="CF31" t="str">
        <f>IFERROR(('Feeder Spreads'!B31-(AVERAGE('Feeder Spreads'!B31:B50)-2*STDEV('Feeder Spreads'!B31:B50)))/(4*STDEV('Feeder Spreads'!B31:B50)),"")</f>
        <v/>
      </c>
      <c r="CG31" t="str">
        <f>IFERROR(4*STDEV('Feeder Spreads'!B31:B50)/AVERAGE('Feeder Spreads'!B31:B50),"")</f>
        <v/>
      </c>
      <c r="CH31">
        <v>47.438699999999997</v>
      </c>
      <c r="CI31">
        <f>IFERROR(SQRT((SUMSQ('Feeder Spreads'!B31:B50)-2*SUMPRODUCT('Feeder Spreads'!B31:B50,'Feeder Spreads'!B32:B51)+SUMSQ('Feeder Spreads'!B32:B51)-('Feeder Spreads'!B31-'Feeder Spreads'!B51)^2/20)/19),"")</f>
        <v>0</v>
      </c>
      <c r="CK31">
        <f>IFERROR('Feeder Spreads'!AX31,"")</f>
        <v>0</v>
      </c>
      <c r="CL31">
        <f>IFERROR(('Feeder Spreads'!AY31-AVERAGE('Feeder Spreads'!$AY$3:$AY$4308))/STDEV('Feeder Spreads'!$AY$3:$AY$4308),"")</f>
        <v>-9.2057461789832346E-2</v>
      </c>
      <c r="CM31">
        <f>IFERROR('Feeder Spreads'!AY31-'Feeder Spreads'!AY36,"")</f>
        <v>0</v>
      </c>
      <c r="CN31">
        <f>IFERROR('Feeder Spreads'!AY31-'Feeder Spreads'!AY41,"")</f>
        <v>0</v>
      </c>
      <c r="CO31">
        <f>IFERROR(AVERAGE('Feeder Spreads'!AY31:AY50)+2*STDEV('Feeder Spreads'!AY31:AY50),"")</f>
        <v>0</v>
      </c>
      <c r="CP31">
        <f>IFERROR(AVERAGE('Feeder Spreads'!AY31:AY50)-2*STDEV('Feeder Spreads'!AY31:AY50),"")</f>
        <v>0</v>
      </c>
      <c r="CQ31" t="str">
        <f>IFERROR(('Feeder Spreads'!AY31-(AVERAGE('Feeder Spreads'!AY31:AY50)-2*STDEV('Feeder Spreads'!AY31:AY50)))/(4*STDEV('Feeder Spreads'!AY31:AY50)),"")</f>
        <v/>
      </c>
      <c r="CR31" t="str">
        <f>IFERROR(4*STDEV('Feeder Spreads'!AY31:AY50)/AVERAGE('Feeder Spreads'!AY31:AY50),"")</f>
        <v/>
      </c>
      <c r="CS31">
        <v>57.338200000000001</v>
      </c>
      <c r="CT31">
        <f>IFERROR(SQRT((SUMSQ('Feeder Spreads'!AY31:AY50)-2*SUMPRODUCT('Feeder Spreads'!AY31:AY50,'Feeder Spreads'!AY32:AY51)+SUMSQ('Feeder Spreads'!AY32:AY51)-('Feeder Spreads'!AY31-'Feeder Spreads'!AY51)^2/20)/19),"")</f>
        <v>0</v>
      </c>
      <c r="CV31">
        <f>IFERROR('Feeder Spreads'!H31,"")</f>
        <v>0</v>
      </c>
      <c r="CW31">
        <f>IFERROR(('Feeder Spreads'!I31-AVERAGE('Feeder Spreads'!$I$3:$I$4308))/STDEV('Feeder Spreads'!$I$3:$I$4308),"")</f>
        <v>-9.2057461789832332E-2</v>
      </c>
      <c r="CX31">
        <f>IFERROR('Feeder Spreads'!I31-'Feeder Spreads'!I36,"")</f>
        <v>0</v>
      </c>
      <c r="CY31">
        <f>IFERROR('Feeder Spreads'!I31-'Feeder Spreads'!I41,"")</f>
        <v>0</v>
      </c>
      <c r="CZ31">
        <f>IFERROR(AVERAGE('Feeder Spreads'!I31:I50)+2*STDEV('Feeder Spreads'!I31:I50),"")</f>
        <v>0</v>
      </c>
      <c r="DA31">
        <f>IFERROR(AVERAGE('Feeder Spreads'!I31:I50)-2*STDEV('Feeder Spreads'!I31:I50),"")</f>
        <v>0</v>
      </c>
      <c r="DB31" t="str">
        <f>IFERROR(('Feeder Spreads'!I31-(AVERAGE('Feeder Spreads'!I31:I50)-2*STDEV('Feeder Spreads'!I31:I50)))/(4*STDEV('Feeder Spreads'!I31:I50)),"")</f>
        <v/>
      </c>
      <c r="DC31" t="str">
        <f>IFERROR(4*STDEV('Feeder Spreads'!I31:I50)/AVERAGE('Feeder Spreads'!I31:I50),"")</f>
        <v/>
      </c>
      <c r="DD31">
        <v>59.483899999999998</v>
      </c>
      <c r="DE31">
        <f>IFERROR(SQRT((SUMSQ('Feeder Spreads'!I31:I50)-2*SUMPRODUCT('Feeder Spreads'!I31:I50,'Feeder Spreads'!I32:I51)+SUMSQ('Feeder Spreads'!I32:I51)-('Feeder Spreads'!I31-'Feeder Spreads'!I51)^2/20)/19),"")</f>
        <v>0</v>
      </c>
      <c r="DG31">
        <f>IFERROR('Feeder Spreads'!O31,"")</f>
        <v>0</v>
      </c>
      <c r="DH31">
        <f>IFERROR(('Feeder Spreads'!P31-AVERAGE('Feeder Spreads'!$P$3:$P$4308))/STDEV('Feeder Spreads'!$P$3:$P$4308),"")</f>
        <v>-9.2057461789832346E-2</v>
      </c>
      <c r="DI31">
        <f>IFERROR('Feeder Spreads'!P31-'Feeder Spreads'!P36,"")</f>
        <v>0</v>
      </c>
      <c r="DJ31">
        <f>IFERROR('Feeder Spreads'!P31-'Feeder Spreads'!P41,"")</f>
        <v>0</v>
      </c>
      <c r="DK31">
        <f>IFERROR(AVERAGE('Feeder Spreads'!P31:P50)+2*STDEV('Feeder Spreads'!P31:P50),"")</f>
        <v>0</v>
      </c>
      <c r="DL31">
        <f>IFERROR(AVERAGE('Feeder Spreads'!P31:P50)-2*STDEV('Feeder Spreads'!P31:P50),"")</f>
        <v>0</v>
      </c>
      <c r="DM31" t="str">
        <f>IFERROR(('Feeder Spreads'!P31-(AVERAGE('Feeder Spreads'!P31:P50)-2*STDEV('Feeder Spreads'!P31:P50)))/(4*STDEV('Feeder Spreads'!P31:P50)),"")</f>
        <v/>
      </c>
      <c r="DN31" t="str">
        <f>IFERROR(4*STDEV('Feeder Spreads'!P31:P50)/AVERAGE('Feeder Spreads'!P31:P50),"")</f>
        <v/>
      </c>
      <c r="DO31">
        <v>41.177900000000001</v>
      </c>
      <c r="DP31">
        <f>IFERROR(SQRT((SUMSQ('Feeder Spreads'!P31:P50)-2*SUMPRODUCT('Feeder Spreads'!P31:P50,'Feeder Spreads'!P32:P51)+SUMSQ('Feeder Spreads'!P32:P51)-('Feeder Spreads'!P31-'Feeder Spreads'!P51)^2/20)/19),"")</f>
        <v>0</v>
      </c>
      <c r="DR31">
        <f>IFERROR('Feeder Spreads'!V31,"")</f>
        <v>0</v>
      </c>
      <c r="DS31">
        <f>IFERROR(('Feeder Spreads'!W31-AVERAGE('Feeder Spreads'!$W$3:$W$4308))/STDEV('Feeder Spreads'!$W$3:$W$4308),"")</f>
        <v>-9.2057461789832332E-2</v>
      </c>
      <c r="DT31">
        <f>IFERROR('Feeder Spreads'!W31-'Feeder Spreads'!W36,"")</f>
        <v>0</v>
      </c>
      <c r="DU31">
        <f>IFERROR('Feeder Spreads'!W31-'Feeder Spreads'!W41,"")</f>
        <v>0</v>
      </c>
      <c r="DV31">
        <f>IFERROR(AVERAGE('Feeder Spreads'!W31:W50)+2*STDEV('Feeder Spreads'!W31:W50),"")</f>
        <v>0</v>
      </c>
      <c r="DW31">
        <f>IFERROR(AVERAGE('Feeder Spreads'!W31:W50)-2*STDEV('Feeder Spreads'!W31:W50),"")</f>
        <v>0</v>
      </c>
      <c r="DX31" t="str">
        <f>IFERROR(('Feeder Spreads'!W31-(AVERAGE('Feeder Spreads'!W31:W50)-2*STDEV('Feeder Spreads'!W31:W50)))/(4*STDEV('Feeder Spreads'!W31:W50)),"")</f>
        <v/>
      </c>
      <c r="DY31" t="str">
        <f>IFERROR(4*STDEV('Feeder Spreads'!W31:W50)/AVERAGE('Feeder Spreads'!W31:W50),"")</f>
        <v/>
      </c>
      <c r="DZ31">
        <v>57.723300000000002</v>
      </c>
      <c r="EA31">
        <f>IFERROR(SQRT((SUMSQ('Feeder Spreads'!W31:W50)-2*SUMPRODUCT('Feeder Spreads'!W31:W50,'Feeder Spreads'!W32:W51)+SUMSQ('Feeder Spreads'!W32:W51)-('Feeder Spreads'!W31-'Feeder Spreads'!W51)^2/20)/19),"")</f>
        <v>0</v>
      </c>
      <c r="EC31">
        <f>IFERROR('Feeder Spreads'!AC31,"")</f>
        <v>0</v>
      </c>
      <c r="ED31">
        <f>IFERROR(('Feeder Spreads'!AD31-AVERAGE('Feeder Spreads'!$AD$3:$AD$4308))/STDEV('Feeder Spreads'!$AD$3:$AD$4308),"")</f>
        <v>9.2057461789832318E-2</v>
      </c>
      <c r="EE31">
        <f>IFERROR('Feeder Spreads'!AD31-'Feeder Spreads'!AD36,"")</f>
        <v>0</v>
      </c>
      <c r="EF31">
        <f>IFERROR('Feeder Spreads'!AD31-'Feeder Spreads'!AD41,"")</f>
        <v>0</v>
      </c>
      <c r="EG31">
        <f>IFERROR(AVERAGE('Feeder Spreads'!AD31:AD50)+2*STDEV('Feeder Spreads'!AD31:AD50),"")</f>
        <v>0</v>
      </c>
      <c r="EH31">
        <f>IFERROR(AVERAGE('Feeder Spreads'!AD31:AD50)-2*STDEV('Feeder Spreads'!AD31:AD50),"")</f>
        <v>0</v>
      </c>
      <c r="EI31" t="str">
        <f>IFERROR(('Feeder Spreads'!AD31-(AVERAGE('Feeder Spreads'!AD31:AD50)-2*STDEV('Feeder Spreads'!AD31:AD50)))/(4*STDEV('Feeder Spreads'!AD31:AD50)),"")</f>
        <v/>
      </c>
      <c r="EJ31" t="str">
        <f>IFERROR(4*STDEV('Feeder Spreads'!AD31:AD50)/AVERAGE('Feeder Spreads'!AD31:AD50),"")</f>
        <v/>
      </c>
      <c r="EK31">
        <v>50.5062</v>
      </c>
      <c r="EL31">
        <f>IFERROR(SQRT((SUMSQ('Feeder Spreads'!AD31:AD50)-2*SUMPRODUCT('Feeder Spreads'!AD31:AD50,'Feeder Spreads'!AD32:AD51)+SUMSQ('Feeder Spreads'!AD32:AD51)-('Feeder Spreads'!AD31-'Feeder Spreads'!AD51)^2/20)/19),"")</f>
        <v>0</v>
      </c>
      <c r="EN31">
        <f>IFERROR('Feeder Spreads'!AJ31,"")</f>
        <v>0</v>
      </c>
      <c r="EO31">
        <f>IFERROR(('Feeder Spreads'!AK31-AVERAGE('Feeder Spreads'!$AK$3:$AK$4308))/STDEV('Feeder Spreads'!$AK$3:$AK$4308),"")</f>
        <v>-9.2057461789832346E-2</v>
      </c>
      <c r="EP31">
        <f>IFERROR('Feeder Spreads'!AK31-'Feeder Spreads'!AK36,"")</f>
        <v>0</v>
      </c>
      <c r="EQ31">
        <f>IFERROR('Feeder Spreads'!AK31-'Feeder Spreads'!AK41,"")</f>
        <v>0</v>
      </c>
      <c r="ER31">
        <f>IFERROR(AVERAGE('Feeder Spreads'!AK31:AK50)+2*STDEV('Feeder Spreads'!AK31:AK50),"")</f>
        <v>0</v>
      </c>
      <c r="ES31">
        <f>IFERROR(AVERAGE('Feeder Spreads'!AK31:AK50)-2*STDEV('Feeder Spreads'!AK31:AK50),"")</f>
        <v>0</v>
      </c>
      <c r="ET31" t="str">
        <f>IFERROR(('Feeder Spreads'!AK31-(AVERAGE('Feeder Spreads'!AK31:AK50)-2*STDEV('Feeder Spreads'!AK31:AK50)))/(4*STDEV('Feeder Spreads'!AK31:AK50)),"")</f>
        <v/>
      </c>
      <c r="EU31" t="str">
        <f>IFERROR(4*STDEV('Feeder Spreads'!AK31:AK50)/AVERAGE('Feeder Spreads'!AK31:AK50),"")</f>
        <v/>
      </c>
      <c r="EV31">
        <v>50.786700000000003</v>
      </c>
      <c r="EW31">
        <f>IFERROR(SQRT((SUMSQ('Feeder Spreads'!AK31:AK50)-2*SUMPRODUCT('Feeder Spreads'!AK31:AK50,'Feeder Spreads'!AK32:AK51)+SUMSQ('Feeder Spreads'!AK32:AK51)-('Feeder Spreads'!AK31-'Feeder Spreads'!AK51)^2/20)/19),"")</f>
        <v>0</v>
      </c>
      <c r="EY31">
        <f>IFERROR('Feeder Spreads'!AQ31,"")</f>
        <v>0</v>
      </c>
      <c r="EZ31">
        <f>IFERROR(('Feeder Spreads'!AR31-AVERAGE('Feeder Spreads'!$AR$3:$AR$4308))/STDEV('Feeder Spreads'!$AR$3:$AR$4308),"")</f>
        <v>-9.2057461789832332E-2</v>
      </c>
      <c r="FA31">
        <f>IFERROR('Feeder Spreads'!AR31-'Feeder Spreads'!AR36,"")</f>
        <v>0</v>
      </c>
      <c r="FB31">
        <f>IFERROR('Feeder Spreads'!AR31-'Feeder Spreads'!AR41,"")</f>
        <v>0</v>
      </c>
      <c r="FC31">
        <f>IFERROR(AVERAGE('Feeder Spreads'!AR31:AR50)+2*STDEV('Feeder Spreads'!AR31:AR50),"")</f>
        <v>0</v>
      </c>
      <c r="FD31">
        <f>IFERROR(AVERAGE('Feeder Spreads'!AR31:AR50)-2*STDEV('Feeder Spreads'!AR31:AR50),"")</f>
        <v>0</v>
      </c>
      <c r="FE31" t="str">
        <f>IFERROR(('Feeder Spreads'!AR31-(AVERAGE('Feeder Spreads'!AR31:AR50)-2*STDEV('Feeder Spreads'!AR31:AR50)))/(4*STDEV('Feeder Spreads'!AR31:AR50)),"")</f>
        <v/>
      </c>
      <c r="FF31" t="str">
        <f>IFERROR(4*STDEV('Feeder Spreads'!AR31:AR50)/AVERAGE('Feeder Spreads'!AR31:AR50),"")</f>
        <v/>
      </c>
      <c r="FG31">
        <v>46.222999999999999</v>
      </c>
      <c r="FH31">
        <f>IFERROR(SQRT((SUMSQ('Feeder Spreads'!AR31:AR50)-2*SUMPRODUCT('Feeder Spreads'!AR31:AR50,'Feeder Spreads'!AR32:AR51)+SUMSQ('Feeder Spreads'!AR32:AR51)-('Feeder Spreads'!AR31-'Feeder Spreads'!AR51)^2/20)/19),"")</f>
        <v>0</v>
      </c>
      <c r="FJ31">
        <f>IFERROR('Fat Spreads'!AX31,"")</f>
        <v>0</v>
      </c>
      <c r="FK31">
        <f>IFERROR(('Fat Spreads'!AY31-AVERAGE('Fat Spreads'!$AY$3:$AY$4308))/STDEV('Fat Spreads'!$AY$3:$AY$4308),"")</f>
        <v>9.2057461789832332E-2</v>
      </c>
      <c r="FL31">
        <f>IFERROR('Fat Spreads'!AY31-'Fat Spreads'!AY36,"")</f>
        <v>0</v>
      </c>
      <c r="FM31">
        <f>IFERROR('Fat Spreads'!AY31-'Fat Spreads'!AY41,"")</f>
        <v>0</v>
      </c>
      <c r="FN31">
        <f>IFERROR(AVERAGE('Fat Spreads'!AY31:AY50)+2*STDEV('Fat Spreads'!AY31:AY50),"")</f>
        <v>0</v>
      </c>
      <c r="FO31">
        <f>IFERROR(AVERAGE('Fat Spreads'!AY31:AY50)-2*STDEV('Fat Spreads'!AY31:AY50),"")</f>
        <v>0</v>
      </c>
      <c r="FP31" t="str">
        <f>IFERROR(('Fat Spreads'!AY31-(AVERAGE('Fat Spreads'!AY31:AY50)-2*STDEV('Fat Spreads'!AY31:AY50)))/(4*STDEV('Fat Spreads'!AY31:AY50)),"")</f>
        <v/>
      </c>
      <c r="FQ31" t="str">
        <f>IFERROR(4*STDEV('Fat Spreads'!AY31:AY50)/AVERAGE('Fat Spreads'!AY31:AY50),"")</f>
        <v/>
      </c>
      <c r="FR31">
        <v>32.643000000000001</v>
      </c>
      <c r="FS31">
        <f>IFERROR(SQRT((SUMSQ('Fat Spreads'!AY31:AY50)-2*SUMPRODUCT('Fat Spreads'!AY31:AY50,'Fat Spreads'!AY32:AY51)+SUMSQ('Fat Spreads'!AY32:AY51)-('Fat Spreads'!AY31-'Fat Spreads'!AY51)^2/20)/19),"")</f>
        <v>0</v>
      </c>
      <c r="FU31">
        <f>IFERROR('Fat Spreads'!BE31,"")</f>
        <v>0</v>
      </c>
      <c r="FV31">
        <f>IFERROR(('Fat Spreads'!BF31-AVERAGE('Fat Spreads'!$BF$3:$BF$4308))/STDEV('Fat Spreads'!$BF$3:$BF$4308),"")</f>
        <v>9.2057461789832332E-2</v>
      </c>
      <c r="FW31">
        <f>IFERROR('Fat Spreads'!BF31-'Fat Spreads'!BF36,"")</f>
        <v>0</v>
      </c>
      <c r="FX31">
        <f>IFERROR('Fat Spreads'!BF31-'Fat Spreads'!BF41,"")</f>
        <v>0</v>
      </c>
      <c r="FY31">
        <f>IFERROR(AVERAGE('Fat Spreads'!BF31:BF50)+2*STDEV('Fat Spreads'!BF31:BF50),"")</f>
        <v>0</v>
      </c>
      <c r="FZ31">
        <f>IFERROR(AVERAGE('Fat Spreads'!BF31:BF50)-2*STDEV('Fat Spreads'!BF31:BF50),"")</f>
        <v>0</v>
      </c>
      <c r="GA31" t="str">
        <f>IFERROR(('Fat Spreads'!BF31-(AVERAGE('Fat Spreads'!BF31:BF50)-2*STDEV('Fat Spreads'!BF31:BF50)))/(4*STDEV('Fat Spreads'!BF31:BF50)),"")</f>
        <v/>
      </c>
      <c r="GB31" t="str">
        <f>IFERROR(4*STDEV('Fat Spreads'!BF31:BF50)/AVERAGE('Fat Spreads'!BF31:BF50),"")</f>
        <v/>
      </c>
      <c r="GC31">
        <v>32.653599999999997</v>
      </c>
      <c r="GD31">
        <f>IFERROR(SQRT((SUMSQ('Fat Spreads'!BF31:BF50)-2*SUMPRODUCT('Fat Spreads'!BF31:BF50,'Fat Spreads'!BF32:BF51)+SUMSQ('Fat Spreads'!BF32:BF51)-('Fat Spreads'!BF31-'Fat Spreads'!BF51)^2/20)/19),"")</f>
        <v>0</v>
      </c>
    </row>
    <row r="32" spans="1:186" x14ac:dyDescent="0.25">
      <c r="A32">
        <f>IFERROR('Fat Spreads'!A32,"")</f>
        <v>0</v>
      </c>
      <c r="B32">
        <f>IFERROR(('Fat Spreads'!B32-AVERAGE('Fat Spreads'!$B$3:$B$4308))/STDEV('Fat Spreads'!$B$3:$B$4308),"")</f>
        <v>9.2057461789832346E-2</v>
      </c>
      <c r="C32">
        <f>IFERROR('Fat Spreads'!B32-'Fat Spreads'!B37,"")</f>
        <v>0</v>
      </c>
      <c r="D32">
        <f>IFERROR('Fat Spreads'!B32-'Fat Spreads'!B42,"")</f>
        <v>0</v>
      </c>
      <c r="E32">
        <f>IFERROR(AVERAGE('Fat Spreads'!B32:B51)+2*STDEV('Fat Spreads'!B32:B51),"")</f>
        <v>0</v>
      </c>
      <c r="F32">
        <f>IFERROR(AVERAGE('Fat Spreads'!B32:B51)-2*STDEV('Fat Spreads'!B32:B51),"")</f>
        <v>0</v>
      </c>
      <c r="G32" t="str">
        <f>IFERROR(('Fat Spreads'!B32-(AVERAGE('Fat Spreads'!B32:B51)-2*STDEV('Fat Spreads'!B32:B51)))/(4*STDEV('Fat Spreads'!B32:B51)),"")</f>
        <v/>
      </c>
      <c r="H32" t="str">
        <f>IFERROR(4*STDEV('Fat Spreads'!B32:B51)/AVERAGE('Fat Spreads'!B32:B51),"")</f>
        <v/>
      </c>
      <c r="I32">
        <v>26.2743</v>
      </c>
      <c r="J32">
        <f>IFERROR(SQRT((SUMSQ('Fat Spreads'!B32:B51)-2*SUMPRODUCT('Fat Spreads'!B32:B51,'Fat Spreads'!B33:B52)+SUMSQ('Fat Spreads'!B33:B52)-('Fat Spreads'!B32-'Fat Spreads'!B52)^2/20)/19),"")</f>
        <v>0</v>
      </c>
      <c r="L32">
        <f>IFERROR('Fat Spreads'!H32,"")</f>
        <v>0</v>
      </c>
      <c r="M32">
        <f>IFERROR(('Fat Spreads'!I32-AVERAGE('Fat Spreads'!$I$3:$I$4308))/STDEV('Fat Spreads'!$I$3:$I$4308),"")</f>
        <v>-9.2057461789832332E-2</v>
      </c>
      <c r="N32">
        <f>IFERROR('Fat Spreads'!I32-'Fat Spreads'!I37,"")</f>
        <v>0</v>
      </c>
      <c r="O32">
        <f>IFERROR('Fat Spreads'!I32-'Fat Spreads'!I42,"")</f>
        <v>0</v>
      </c>
      <c r="P32">
        <f>IFERROR(AVERAGE('Fat Spreads'!I32:I51)+2*STDEV('Fat Spreads'!I32:I51),"")</f>
        <v>0</v>
      </c>
      <c r="Q32">
        <f>IFERROR(AVERAGE('Fat Spreads'!I32:I51)-2*STDEV('Fat Spreads'!I32:I51),"")</f>
        <v>0</v>
      </c>
      <c r="R32" t="str">
        <f>IFERROR(('Fat Spreads'!I32-(AVERAGE('Fat Spreads'!I32:I51)-2*STDEV('Fat Spreads'!I32:I51)))/(4*STDEV('Fat Spreads'!I32:I51)),"")</f>
        <v/>
      </c>
      <c r="S32" t="str">
        <f>IFERROR(4*STDEV('Fat Spreads'!I32:I51)/AVERAGE('Fat Spreads'!I32:I51),"")</f>
        <v/>
      </c>
      <c r="T32">
        <v>54.5199</v>
      </c>
      <c r="U32">
        <f>IFERROR(SQRT((SUMSQ('Fat Spreads'!I32:I51)-2*SUMPRODUCT('Fat Spreads'!I32:I51,'Fat Spreads'!I33:I52)+SUMSQ('Fat Spreads'!I33:I52)-('Fat Spreads'!I32-'Fat Spreads'!I52)^2/20)/19),"")</f>
        <v>0</v>
      </c>
      <c r="W32">
        <f>IFERROR('Fat Spreads'!AQ32,"")</f>
        <v>0</v>
      </c>
      <c r="X32">
        <f>IFERROR(('Fat Spreads'!AR32-AVERAGE('Fat Spreads'!$AR$3:$AR$4308))/STDEV('Fat Spreads'!$AR$3:$AR$4308),"")</f>
        <v>-9.2057461789832346E-2</v>
      </c>
      <c r="Y32">
        <f>IFERROR('Fat Spreads'!AR32-'Fat Spreads'!AR37,"")</f>
        <v>0</v>
      </c>
      <c r="Z32">
        <f>IFERROR('Fat Spreads'!AR32-'Fat Spreads'!AR42,"")</f>
        <v>0</v>
      </c>
      <c r="AA32">
        <f>IFERROR(AVERAGE('Fat Spreads'!AR32:AR51)+2*STDEV('Fat Spreads'!AR32:AR51),"")</f>
        <v>0</v>
      </c>
      <c r="AB32">
        <f>IFERROR(AVERAGE('Fat Spreads'!AR32:AR51)-2*STDEV('Fat Spreads'!AR32:AR51),"")</f>
        <v>0</v>
      </c>
      <c r="AC32" t="str">
        <f>IFERROR(('Fat Spreads'!AR32-(AVERAGE('Fat Spreads'!AR32:AR51)-2*STDEV('Fat Spreads'!AR32:AR51)))/(4*STDEV('Fat Spreads'!AR32:AR51)),"")</f>
        <v/>
      </c>
      <c r="AD32" t="str">
        <f>IFERROR(4*STDEV('Fat Spreads'!AR32:AR51)/AVERAGE('Fat Spreads'!AR32:AR51),"")</f>
        <v/>
      </c>
      <c r="AE32">
        <v>72.194100000000006</v>
      </c>
      <c r="AF32">
        <f>IFERROR(SQRT((SUMSQ('Fat Spreads'!AR32:AR51)-2*SUMPRODUCT('Fat Spreads'!AR32:AR51,'Fat Spreads'!AR33:AR52)+SUMSQ('Fat Spreads'!AR33:AR52)-('Fat Spreads'!AR32-'Fat Spreads'!AR52)^2/20)/19),"")</f>
        <v>0</v>
      </c>
      <c r="AH32">
        <f>IFERROR('Fat Spreads'!O32,"")</f>
        <v>0</v>
      </c>
      <c r="AI32">
        <f>IFERROR(('Fat Spreads'!P32-AVERAGE('Fat Spreads'!$P$3:$P$4308))/STDEV('Fat Spreads'!$P$3:$P$4308),"")</f>
        <v>-9.2057461789832332E-2</v>
      </c>
      <c r="AJ32">
        <f>IFERROR('Fat Spreads'!P32-'Fat Spreads'!P37,"")</f>
        <v>0</v>
      </c>
      <c r="AK32">
        <f>IFERROR('Fat Spreads'!P32-'Fat Spreads'!P42,"")</f>
        <v>0</v>
      </c>
      <c r="AL32">
        <f>IFERROR(AVERAGE('Fat Spreads'!P32:P51)+2*STDEV('Fat Spreads'!P32:P51),"")</f>
        <v>0</v>
      </c>
      <c r="AM32">
        <f>IFERROR(AVERAGE('Fat Spreads'!P32:P51)-2*STDEV('Fat Spreads'!P32:P51),"")</f>
        <v>0</v>
      </c>
      <c r="AN32" t="str">
        <f>IFERROR(('Fat Spreads'!P32-(AVERAGE('Fat Spreads'!P32:P51)-2*STDEV('Fat Spreads'!P32:P51)))/(4*STDEV('Fat Spreads'!P32:P51)),"")</f>
        <v/>
      </c>
      <c r="AO32" t="str">
        <f>IFERROR(4*STDEV('Fat Spreads'!P32:P51)/AVERAGE('Fat Spreads'!P32:P51),"")</f>
        <v/>
      </c>
      <c r="AP32">
        <v>70.570899999999995</v>
      </c>
      <c r="AQ32">
        <f>IFERROR(SQRT((SUMSQ('Fat Spreads'!P32:P51)-2*SUMPRODUCT('Fat Spreads'!P32:P51,'Fat Spreads'!P33:P52)+SUMSQ('Fat Spreads'!P33:P52)-('Fat Spreads'!P32-'Fat Spreads'!P52)^2/20)/19),"")</f>
        <v>0</v>
      </c>
      <c r="AS32">
        <f>IFERROR('Fat Spreads'!AJ32,"")</f>
        <v>0</v>
      </c>
      <c r="AT32">
        <f>IFERROR(('Fat Spreads'!AK32-AVERAGE('Fat Spreads'!$AK$3:$AK$4308))/STDEV('Fat Spreads'!$AK$3:$AK$4308),"")</f>
        <v>-9.2057461789832332E-2</v>
      </c>
      <c r="AU32">
        <f>IFERROR('Fat Spreads'!AK32-'Fat Spreads'!AK37,"")</f>
        <v>0</v>
      </c>
      <c r="AV32">
        <f>IFERROR('Fat Spreads'!AK32-'Fat Spreads'!AK42,"")</f>
        <v>0</v>
      </c>
      <c r="AW32">
        <f>IFERROR(AVERAGE('Fat Spreads'!AK32:AK51)+2*STDEV('Fat Spreads'!AK32:AK51),"")</f>
        <v>0</v>
      </c>
      <c r="AX32">
        <f>IFERROR(AVERAGE('Fat Spreads'!AK32:AK51)-2*STDEV('Fat Spreads'!AK32:AK51),"")</f>
        <v>0</v>
      </c>
      <c r="AY32" t="str">
        <f>IFERROR(('Fat Spreads'!AK32-(AVERAGE('Fat Spreads'!AK32:AK51)-2*STDEV('Fat Spreads'!AK32:AK51)))/(4*STDEV('Fat Spreads'!AK32:AK51)),"")</f>
        <v/>
      </c>
      <c r="AZ32" t="str">
        <f>IFERROR(4*STDEV('Fat Spreads'!AK32:AK51)/AVERAGE('Fat Spreads'!AK32:AK51),"")</f>
        <v/>
      </c>
      <c r="BA32">
        <v>38.545999999999999</v>
      </c>
      <c r="BB32">
        <f>IFERROR(SQRT((SUMSQ('Fat Spreads'!AK32:AK51)-2*SUMPRODUCT('Fat Spreads'!AK32:AK51,'Fat Spreads'!AK33:AK52)+SUMSQ('Fat Spreads'!AK33:AK52)-('Fat Spreads'!AK32-'Fat Spreads'!AK52)^2/20)/19),"")</f>
        <v>0</v>
      </c>
      <c r="BD32">
        <f>IFERROR('Fat Spreads'!V32,"")</f>
        <v>0</v>
      </c>
      <c r="BE32">
        <f>IFERROR(('Fat Spreads'!W32-AVERAGE('Fat Spreads'!$W$3:$W$4308))/STDEV('Fat Spreads'!$W$3:$W$4308),"")</f>
        <v>-9.2057461789832332E-2</v>
      </c>
      <c r="BF32">
        <f>IFERROR('Fat Spreads'!W32-'Fat Spreads'!W37,"")</f>
        <v>0</v>
      </c>
      <c r="BG32">
        <f>IFERROR('Fat Spreads'!W32-'Fat Spreads'!W42,"")</f>
        <v>0</v>
      </c>
      <c r="BH32">
        <f>IFERROR(AVERAGE('Fat Spreads'!W32:W51)+2*STDEV('Fat Spreads'!W32:W51),"")</f>
        <v>0</v>
      </c>
      <c r="BI32">
        <f>IFERROR(AVERAGE('Fat Spreads'!W32:W51)-2*STDEV('Fat Spreads'!W32:W51),"")</f>
        <v>0</v>
      </c>
      <c r="BJ32" t="str">
        <f>IFERROR(('Fat Spreads'!W32-(AVERAGE('Fat Spreads'!W32:W51)-2*STDEV('Fat Spreads'!W32:W51)))/(4*STDEV('Fat Spreads'!W32:W51)),"")</f>
        <v/>
      </c>
      <c r="BK32" t="str">
        <f>IFERROR(4*STDEV('Fat Spreads'!W32:W51)/AVERAGE('Fat Spreads'!W32:W51),"")</f>
        <v/>
      </c>
      <c r="BL32">
        <v>64.292000000000002</v>
      </c>
      <c r="BM32">
        <f>IFERROR(SQRT((SUMSQ('Fat Spreads'!W32:W51)-2*SUMPRODUCT('Fat Spreads'!W32:W51,'Fat Spreads'!W33:W52)+SUMSQ('Fat Spreads'!W33:W52)-('Fat Spreads'!W32-'Fat Spreads'!W52)^2/20)/19),"")</f>
        <v>0</v>
      </c>
      <c r="BO32">
        <f>IFERROR('Fat Spreads'!AC32,"")</f>
        <v>0</v>
      </c>
      <c r="BP32">
        <f>IFERROR(('Fat Spreads'!AD32-AVERAGE('Fat Spreads'!$AD$3:$AD$4308))/STDEV('Fat Spreads'!$AD$3:$AD$4308),"")</f>
        <v>-9.2057461789832332E-2</v>
      </c>
      <c r="BQ32">
        <f>IFERROR('Fat Spreads'!AD32-'Fat Spreads'!AD37,"")</f>
        <v>0</v>
      </c>
      <c r="BR32">
        <f>IFERROR('Fat Spreads'!AD32-'Fat Spreads'!AD42,"")</f>
        <v>0</v>
      </c>
      <c r="BS32">
        <f>IFERROR(AVERAGE('Fat Spreads'!AD32:AD51)+2*STDEV('Fat Spreads'!AD32:AD51),"")</f>
        <v>0</v>
      </c>
      <c r="BT32">
        <f>IFERROR(AVERAGE('Fat Spreads'!AD32:AD51)-2*STDEV('Fat Spreads'!AD32:AD51),"")</f>
        <v>0</v>
      </c>
      <c r="BU32" t="str">
        <f>IFERROR(('Fat Spreads'!AD32-(AVERAGE('Fat Spreads'!AD32:AD51)-2*STDEV('Fat Spreads'!AD32:AD51)))/(4*STDEV('Fat Spreads'!AD32:AD51)),"")</f>
        <v/>
      </c>
      <c r="BV32" t="str">
        <f>IFERROR(4*STDEV('Fat Spreads'!AD32:AD51)/AVERAGE('Fat Spreads'!AD32:AD51),"")</f>
        <v/>
      </c>
      <c r="BW32">
        <v>65.2286</v>
      </c>
      <c r="BX32">
        <f>IFERROR(SQRT((SUMSQ('Fat Spreads'!AD32:AD51)-2*SUMPRODUCT('Fat Spreads'!AD32:AD51,'Fat Spreads'!AD33:AD52)+SUMSQ('Fat Spreads'!AD33:AD52)-('Fat Spreads'!AD32-'Fat Spreads'!AD52)^2/20)/19),"")</f>
        <v>0</v>
      </c>
      <c r="BZ32">
        <f>IFERROR('Feeder Spreads'!A32,"")</f>
        <v>0</v>
      </c>
      <c r="CA32">
        <f>IFERROR(('Feeder Spreads'!B32-AVERAGE('Feeder Spreads'!$B$3:$B$4308))/STDEV('Feeder Spreads'!$B$3:$B$4308),"")</f>
        <v>-9.2057461789832346E-2</v>
      </c>
      <c r="CB32">
        <f>IFERROR('Feeder Spreads'!B32-'Feeder Spreads'!B37,"")</f>
        <v>0</v>
      </c>
      <c r="CC32">
        <f>IFERROR('Feeder Spreads'!B32-'Feeder Spreads'!B42,"")</f>
        <v>0</v>
      </c>
      <c r="CD32">
        <f>IFERROR(AVERAGE('Feeder Spreads'!B32:B51)+2*STDEV('Feeder Spreads'!B32:B51),"")</f>
        <v>0</v>
      </c>
      <c r="CE32">
        <f>IFERROR(AVERAGE('Feeder Spreads'!B32:B51)-2*STDEV('Feeder Spreads'!B32:B51),"")</f>
        <v>0</v>
      </c>
      <c r="CF32" t="str">
        <f>IFERROR(('Feeder Spreads'!B32-(AVERAGE('Feeder Spreads'!B32:B51)-2*STDEV('Feeder Spreads'!B32:B51)))/(4*STDEV('Feeder Spreads'!B32:B51)),"")</f>
        <v/>
      </c>
      <c r="CG32" t="str">
        <f>IFERROR(4*STDEV('Feeder Spreads'!B32:B51)/AVERAGE('Feeder Spreads'!B32:B51),"")</f>
        <v/>
      </c>
      <c r="CH32">
        <v>50.760599999999997</v>
      </c>
      <c r="CI32">
        <f>IFERROR(SQRT((SUMSQ('Feeder Spreads'!B32:B51)-2*SUMPRODUCT('Feeder Spreads'!B32:B51,'Feeder Spreads'!B33:B52)+SUMSQ('Feeder Spreads'!B33:B52)-('Feeder Spreads'!B32-'Feeder Spreads'!B52)^2/20)/19),"")</f>
        <v>0</v>
      </c>
      <c r="CK32">
        <f>IFERROR('Feeder Spreads'!AX32,"")</f>
        <v>0</v>
      </c>
      <c r="CL32">
        <f>IFERROR(('Feeder Spreads'!AY32-AVERAGE('Feeder Spreads'!$AY$3:$AY$4308))/STDEV('Feeder Spreads'!$AY$3:$AY$4308),"")</f>
        <v>-9.2057461789832346E-2</v>
      </c>
      <c r="CM32">
        <f>IFERROR('Feeder Spreads'!AY32-'Feeder Spreads'!AY37,"")</f>
        <v>0</v>
      </c>
      <c r="CN32">
        <f>IFERROR('Feeder Spreads'!AY32-'Feeder Spreads'!AY42,"")</f>
        <v>0</v>
      </c>
      <c r="CO32">
        <f>IFERROR(AVERAGE('Feeder Spreads'!AY32:AY51)+2*STDEV('Feeder Spreads'!AY32:AY51),"")</f>
        <v>0</v>
      </c>
      <c r="CP32">
        <f>IFERROR(AVERAGE('Feeder Spreads'!AY32:AY51)-2*STDEV('Feeder Spreads'!AY32:AY51),"")</f>
        <v>0</v>
      </c>
      <c r="CQ32" t="str">
        <f>IFERROR(('Feeder Spreads'!AY32-(AVERAGE('Feeder Spreads'!AY32:AY51)-2*STDEV('Feeder Spreads'!AY32:AY51)))/(4*STDEV('Feeder Spreads'!AY32:AY51)),"")</f>
        <v/>
      </c>
      <c r="CR32" t="str">
        <f>IFERROR(4*STDEV('Feeder Spreads'!AY32:AY51)/AVERAGE('Feeder Spreads'!AY32:AY51),"")</f>
        <v/>
      </c>
      <c r="CS32">
        <v>55.781300000000002</v>
      </c>
      <c r="CT32">
        <f>IFERROR(SQRT((SUMSQ('Feeder Spreads'!AY32:AY51)-2*SUMPRODUCT('Feeder Spreads'!AY32:AY51,'Feeder Spreads'!AY33:AY52)+SUMSQ('Feeder Spreads'!AY33:AY52)-('Feeder Spreads'!AY32-'Feeder Spreads'!AY52)^2/20)/19),"")</f>
        <v>0</v>
      </c>
      <c r="CV32">
        <f>IFERROR('Feeder Spreads'!H32,"")</f>
        <v>0</v>
      </c>
      <c r="CW32">
        <f>IFERROR(('Feeder Spreads'!I32-AVERAGE('Feeder Spreads'!$I$3:$I$4308))/STDEV('Feeder Spreads'!$I$3:$I$4308),"")</f>
        <v>-9.2057461789832332E-2</v>
      </c>
      <c r="CX32">
        <f>IFERROR('Feeder Spreads'!I32-'Feeder Spreads'!I37,"")</f>
        <v>0</v>
      </c>
      <c r="CY32">
        <f>IFERROR('Feeder Spreads'!I32-'Feeder Spreads'!I42,"")</f>
        <v>0</v>
      </c>
      <c r="CZ32">
        <f>IFERROR(AVERAGE('Feeder Spreads'!I32:I51)+2*STDEV('Feeder Spreads'!I32:I51),"")</f>
        <v>0</v>
      </c>
      <c r="DA32">
        <f>IFERROR(AVERAGE('Feeder Spreads'!I32:I51)-2*STDEV('Feeder Spreads'!I32:I51),"")</f>
        <v>0</v>
      </c>
      <c r="DB32" t="str">
        <f>IFERROR(('Feeder Spreads'!I32-(AVERAGE('Feeder Spreads'!I32:I51)-2*STDEV('Feeder Spreads'!I32:I51)))/(4*STDEV('Feeder Spreads'!I32:I51)),"")</f>
        <v/>
      </c>
      <c r="DC32" t="str">
        <f>IFERROR(4*STDEV('Feeder Spreads'!I32:I51)/AVERAGE('Feeder Spreads'!I32:I51),"")</f>
        <v/>
      </c>
      <c r="DD32">
        <v>54.671500000000002</v>
      </c>
      <c r="DE32">
        <f>IFERROR(SQRT((SUMSQ('Feeder Spreads'!I32:I51)-2*SUMPRODUCT('Feeder Spreads'!I32:I51,'Feeder Spreads'!I33:I52)+SUMSQ('Feeder Spreads'!I33:I52)-('Feeder Spreads'!I32-'Feeder Spreads'!I52)^2/20)/19),"")</f>
        <v>0</v>
      </c>
      <c r="DG32">
        <f>IFERROR('Feeder Spreads'!O32,"")</f>
        <v>0</v>
      </c>
      <c r="DH32">
        <f>IFERROR(('Feeder Spreads'!P32-AVERAGE('Feeder Spreads'!$P$3:$P$4308))/STDEV('Feeder Spreads'!$P$3:$P$4308),"")</f>
        <v>-9.2057461789832346E-2</v>
      </c>
      <c r="DI32">
        <f>IFERROR('Feeder Spreads'!P32-'Feeder Spreads'!P37,"")</f>
        <v>0</v>
      </c>
      <c r="DJ32">
        <f>IFERROR('Feeder Spreads'!P32-'Feeder Spreads'!P42,"")</f>
        <v>0</v>
      </c>
      <c r="DK32">
        <f>IFERROR(AVERAGE('Feeder Spreads'!P32:P51)+2*STDEV('Feeder Spreads'!P32:P51),"")</f>
        <v>0</v>
      </c>
      <c r="DL32">
        <f>IFERROR(AVERAGE('Feeder Spreads'!P32:P51)-2*STDEV('Feeder Spreads'!P32:P51),"")</f>
        <v>0</v>
      </c>
      <c r="DM32" t="str">
        <f>IFERROR(('Feeder Spreads'!P32-(AVERAGE('Feeder Spreads'!P32:P51)-2*STDEV('Feeder Spreads'!P32:P51)))/(4*STDEV('Feeder Spreads'!P32:P51)),"")</f>
        <v/>
      </c>
      <c r="DN32" t="str">
        <f>IFERROR(4*STDEV('Feeder Spreads'!P32:P51)/AVERAGE('Feeder Spreads'!P32:P51),"")</f>
        <v/>
      </c>
      <c r="DO32">
        <v>35.733699999999999</v>
      </c>
      <c r="DP32">
        <f>IFERROR(SQRT((SUMSQ('Feeder Spreads'!P32:P51)-2*SUMPRODUCT('Feeder Spreads'!P32:P51,'Feeder Spreads'!P33:P52)+SUMSQ('Feeder Spreads'!P33:P52)-('Feeder Spreads'!P32-'Feeder Spreads'!P52)^2/20)/19),"")</f>
        <v>0</v>
      </c>
      <c r="DR32">
        <f>IFERROR('Feeder Spreads'!V32,"")</f>
        <v>0</v>
      </c>
      <c r="DS32">
        <f>IFERROR(('Feeder Spreads'!W32-AVERAGE('Feeder Spreads'!$W$3:$W$4308))/STDEV('Feeder Spreads'!$W$3:$W$4308),"")</f>
        <v>-9.2057461789832332E-2</v>
      </c>
      <c r="DT32">
        <f>IFERROR('Feeder Spreads'!W32-'Feeder Spreads'!W37,"")</f>
        <v>0</v>
      </c>
      <c r="DU32">
        <f>IFERROR('Feeder Spreads'!W32-'Feeder Spreads'!W42,"")</f>
        <v>0</v>
      </c>
      <c r="DV32">
        <f>IFERROR(AVERAGE('Feeder Spreads'!W32:W51)+2*STDEV('Feeder Spreads'!W32:W51),"")</f>
        <v>0</v>
      </c>
      <c r="DW32">
        <f>IFERROR(AVERAGE('Feeder Spreads'!W32:W51)-2*STDEV('Feeder Spreads'!W32:W51),"")</f>
        <v>0</v>
      </c>
      <c r="DX32" t="str">
        <f>IFERROR(('Feeder Spreads'!W32-(AVERAGE('Feeder Spreads'!W32:W51)-2*STDEV('Feeder Spreads'!W32:W51)))/(4*STDEV('Feeder Spreads'!W32:W51)),"")</f>
        <v/>
      </c>
      <c r="DY32" t="str">
        <f>IFERROR(4*STDEV('Feeder Spreads'!W32:W51)/AVERAGE('Feeder Spreads'!W32:W51),"")</f>
        <v/>
      </c>
      <c r="DZ32">
        <v>58.5379</v>
      </c>
      <c r="EA32">
        <f>IFERROR(SQRT((SUMSQ('Feeder Spreads'!W32:W51)-2*SUMPRODUCT('Feeder Spreads'!W32:W51,'Feeder Spreads'!W33:W52)+SUMSQ('Feeder Spreads'!W33:W52)-('Feeder Spreads'!W32-'Feeder Spreads'!W52)^2/20)/19),"")</f>
        <v>0</v>
      </c>
      <c r="EC32">
        <f>IFERROR('Feeder Spreads'!AC32,"")</f>
        <v>0</v>
      </c>
      <c r="ED32">
        <f>IFERROR(('Feeder Spreads'!AD32-AVERAGE('Feeder Spreads'!$AD$3:$AD$4308))/STDEV('Feeder Spreads'!$AD$3:$AD$4308),"")</f>
        <v>9.2057461789832318E-2</v>
      </c>
      <c r="EE32">
        <f>IFERROR('Feeder Spreads'!AD32-'Feeder Spreads'!AD37,"")</f>
        <v>0</v>
      </c>
      <c r="EF32">
        <f>IFERROR('Feeder Spreads'!AD32-'Feeder Spreads'!AD42,"")</f>
        <v>0</v>
      </c>
      <c r="EG32">
        <f>IFERROR(AVERAGE('Feeder Spreads'!AD32:AD51)+2*STDEV('Feeder Spreads'!AD32:AD51),"")</f>
        <v>0</v>
      </c>
      <c r="EH32">
        <f>IFERROR(AVERAGE('Feeder Spreads'!AD32:AD51)-2*STDEV('Feeder Spreads'!AD32:AD51),"")</f>
        <v>0</v>
      </c>
      <c r="EI32" t="str">
        <f>IFERROR(('Feeder Spreads'!AD32-(AVERAGE('Feeder Spreads'!AD32:AD51)-2*STDEV('Feeder Spreads'!AD32:AD51)))/(4*STDEV('Feeder Spreads'!AD32:AD51)),"")</f>
        <v/>
      </c>
      <c r="EJ32" t="str">
        <f>IFERROR(4*STDEV('Feeder Spreads'!AD32:AD51)/AVERAGE('Feeder Spreads'!AD32:AD51),"")</f>
        <v/>
      </c>
      <c r="EK32">
        <v>48.342100000000002</v>
      </c>
      <c r="EL32">
        <f>IFERROR(SQRT((SUMSQ('Feeder Spreads'!AD32:AD51)-2*SUMPRODUCT('Feeder Spreads'!AD32:AD51,'Feeder Spreads'!AD33:AD52)+SUMSQ('Feeder Spreads'!AD33:AD52)-('Feeder Spreads'!AD32-'Feeder Spreads'!AD52)^2/20)/19),"")</f>
        <v>0</v>
      </c>
      <c r="EN32">
        <f>IFERROR('Feeder Spreads'!AJ32,"")</f>
        <v>0</v>
      </c>
      <c r="EO32">
        <f>IFERROR(('Feeder Spreads'!AK32-AVERAGE('Feeder Spreads'!$AK$3:$AK$4308))/STDEV('Feeder Spreads'!$AK$3:$AK$4308),"")</f>
        <v>-9.2057461789832346E-2</v>
      </c>
      <c r="EP32">
        <f>IFERROR('Feeder Spreads'!AK32-'Feeder Spreads'!AK37,"")</f>
        <v>0</v>
      </c>
      <c r="EQ32">
        <f>IFERROR('Feeder Spreads'!AK32-'Feeder Spreads'!AK42,"")</f>
        <v>0</v>
      </c>
      <c r="ER32">
        <f>IFERROR(AVERAGE('Feeder Spreads'!AK32:AK51)+2*STDEV('Feeder Spreads'!AK32:AK51),"")</f>
        <v>0</v>
      </c>
      <c r="ES32">
        <f>IFERROR(AVERAGE('Feeder Spreads'!AK32:AK51)-2*STDEV('Feeder Spreads'!AK32:AK51),"")</f>
        <v>0</v>
      </c>
      <c r="ET32" t="str">
        <f>IFERROR(('Feeder Spreads'!AK32-(AVERAGE('Feeder Spreads'!AK32:AK51)-2*STDEV('Feeder Spreads'!AK32:AK51)))/(4*STDEV('Feeder Spreads'!AK32:AK51)),"")</f>
        <v/>
      </c>
      <c r="EU32" t="str">
        <f>IFERROR(4*STDEV('Feeder Spreads'!AK32:AK51)/AVERAGE('Feeder Spreads'!AK32:AK51),"")</f>
        <v/>
      </c>
      <c r="EV32">
        <v>44.1173</v>
      </c>
      <c r="EW32">
        <f>IFERROR(SQRT((SUMSQ('Feeder Spreads'!AK32:AK51)-2*SUMPRODUCT('Feeder Spreads'!AK32:AK51,'Feeder Spreads'!AK33:AK52)+SUMSQ('Feeder Spreads'!AK33:AK52)-('Feeder Spreads'!AK32-'Feeder Spreads'!AK52)^2/20)/19),"")</f>
        <v>0</v>
      </c>
      <c r="EY32">
        <f>IFERROR('Feeder Spreads'!AQ32,"")</f>
        <v>0</v>
      </c>
      <c r="EZ32">
        <f>IFERROR(('Feeder Spreads'!AR32-AVERAGE('Feeder Spreads'!$AR$3:$AR$4308))/STDEV('Feeder Spreads'!$AR$3:$AR$4308),"")</f>
        <v>-9.2057461789832332E-2</v>
      </c>
      <c r="FA32">
        <f>IFERROR('Feeder Spreads'!AR32-'Feeder Spreads'!AR37,"")</f>
        <v>0</v>
      </c>
      <c r="FB32">
        <f>IFERROR('Feeder Spreads'!AR32-'Feeder Spreads'!AR42,"")</f>
        <v>0</v>
      </c>
      <c r="FC32">
        <f>IFERROR(AVERAGE('Feeder Spreads'!AR32:AR51)+2*STDEV('Feeder Spreads'!AR32:AR51),"")</f>
        <v>0</v>
      </c>
      <c r="FD32">
        <f>IFERROR(AVERAGE('Feeder Spreads'!AR32:AR51)-2*STDEV('Feeder Spreads'!AR32:AR51),"")</f>
        <v>0</v>
      </c>
      <c r="FE32" t="str">
        <f>IFERROR(('Feeder Spreads'!AR32-(AVERAGE('Feeder Spreads'!AR32:AR51)-2*STDEV('Feeder Spreads'!AR32:AR51)))/(4*STDEV('Feeder Spreads'!AR32:AR51)),"")</f>
        <v/>
      </c>
      <c r="FF32" t="str">
        <f>IFERROR(4*STDEV('Feeder Spreads'!AR32:AR51)/AVERAGE('Feeder Spreads'!AR32:AR51),"")</f>
        <v/>
      </c>
      <c r="FG32">
        <v>41.107399999999998</v>
      </c>
      <c r="FH32">
        <f>IFERROR(SQRT((SUMSQ('Feeder Spreads'!AR32:AR51)-2*SUMPRODUCT('Feeder Spreads'!AR32:AR51,'Feeder Spreads'!AR33:AR52)+SUMSQ('Feeder Spreads'!AR33:AR52)-('Feeder Spreads'!AR32-'Feeder Spreads'!AR52)^2/20)/19),"")</f>
        <v>0</v>
      </c>
      <c r="FJ32">
        <f>IFERROR('Fat Spreads'!AX32,"")</f>
        <v>0</v>
      </c>
      <c r="FK32">
        <f>IFERROR(('Fat Spreads'!AY32-AVERAGE('Fat Spreads'!$AY$3:$AY$4308))/STDEV('Fat Spreads'!$AY$3:$AY$4308),"")</f>
        <v>9.2057461789832332E-2</v>
      </c>
      <c r="FL32">
        <f>IFERROR('Fat Spreads'!AY32-'Fat Spreads'!AY37,"")</f>
        <v>0</v>
      </c>
      <c r="FM32">
        <f>IFERROR('Fat Spreads'!AY32-'Fat Spreads'!AY42,"")</f>
        <v>0</v>
      </c>
      <c r="FN32">
        <f>IFERROR(AVERAGE('Fat Spreads'!AY32:AY51)+2*STDEV('Fat Spreads'!AY32:AY51),"")</f>
        <v>0</v>
      </c>
      <c r="FO32">
        <f>IFERROR(AVERAGE('Fat Spreads'!AY32:AY51)-2*STDEV('Fat Spreads'!AY32:AY51),"")</f>
        <v>0</v>
      </c>
      <c r="FP32" t="str">
        <f>IFERROR(('Fat Spreads'!AY32-(AVERAGE('Fat Spreads'!AY32:AY51)-2*STDEV('Fat Spreads'!AY32:AY51)))/(4*STDEV('Fat Spreads'!AY32:AY51)),"")</f>
        <v/>
      </c>
      <c r="FQ32" t="str">
        <f>IFERROR(4*STDEV('Fat Spreads'!AY32:AY51)/AVERAGE('Fat Spreads'!AY32:AY51),"")</f>
        <v/>
      </c>
      <c r="FR32">
        <v>29.741499999999998</v>
      </c>
      <c r="FS32">
        <f>IFERROR(SQRT((SUMSQ('Fat Spreads'!AY32:AY51)-2*SUMPRODUCT('Fat Spreads'!AY32:AY51,'Fat Spreads'!AY33:AY52)+SUMSQ('Fat Spreads'!AY33:AY52)-('Fat Spreads'!AY32-'Fat Spreads'!AY52)^2/20)/19),"")</f>
        <v>0</v>
      </c>
      <c r="FU32">
        <f>IFERROR('Fat Spreads'!BE32,"")</f>
        <v>0</v>
      </c>
      <c r="FV32">
        <f>IFERROR(('Fat Spreads'!BF32-AVERAGE('Fat Spreads'!$BF$3:$BF$4308))/STDEV('Fat Spreads'!$BF$3:$BF$4308),"")</f>
        <v>9.2057461789832332E-2</v>
      </c>
      <c r="FW32">
        <f>IFERROR('Fat Spreads'!BF32-'Fat Spreads'!BF37,"")</f>
        <v>0</v>
      </c>
      <c r="FX32">
        <f>IFERROR('Fat Spreads'!BF32-'Fat Spreads'!BF42,"")</f>
        <v>0</v>
      </c>
      <c r="FY32">
        <f>IFERROR(AVERAGE('Fat Spreads'!BF32:BF51)+2*STDEV('Fat Spreads'!BF32:BF51),"")</f>
        <v>0</v>
      </c>
      <c r="FZ32">
        <f>IFERROR(AVERAGE('Fat Spreads'!BF32:BF51)-2*STDEV('Fat Spreads'!BF32:BF51),"")</f>
        <v>0</v>
      </c>
      <c r="GA32" t="str">
        <f>IFERROR(('Fat Spreads'!BF32-(AVERAGE('Fat Spreads'!BF32:BF51)-2*STDEV('Fat Spreads'!BF32:BF51)))/(4*STDEV('Fat Spreads'!BF32:BF51)),"")</f>
        <v/>
      </c>
      <c r="GB32" t="str">
        <f>IFERROR(4*STDEV('Fat Spreads'!BF32:BF51)/AVERAGE('Fat Spreads'!BF32:BF51),"")</f>
        <v/>
      </c>
      <c r="GC32">
        <v>35.598500000000001</v>
      </c>
      <c r="GD32">
        <f>IFERROR(SQRT((SUMSQ('Fat Spreads'!BF32:BF51)-2*SUMPRODUCT('Fat Spreads'!BF32:BF51,'Fat Spreads'!BF33:BF52)+SUMSQ('Fat Spreads'!BF33:BF52)-('Fat Spreads'!BF32-'Fat Spreads'!BF52)^2/20)/19),"")</f>
        <v>0</v>
      </c>
    </row>
    <row r="33" spans="1:186" x14ac:dyDescent="0.25">
      <c r="A33">
        <f>IFERROR('Fat Spreads'!A33,"")</f>
        <v>0</v>
      </c>
      <c r="B33">
        <f>IFERROR(('Fat Spreads'!B33-AVERAGE('Fat Spreads'!$B$3:$B$4308))/STDEV('Fat Spreads'!$B$3:$B$4308),"")</f>
        <v>9.2057461789832346E-2</v>
      </c>
      <c r="C33">
        <f>IFERROR('Fat Spreads'!B33-'Fat Spreads'!B38,"")</f>
        <v>0</v>
      </c>
      <c r="D33">
        <f>IFERROR('Fat Spreads'!B33-'Fat Spreads'!B43,"")</f>
        <v>0</v>
      </c>
      <c r="E33">
        <f>IFERROR(AVERAGE('Fat Spreads'!B33:B52)+2*STDEV('Fat Spreads'!B33:B52),"")</f>
        <v>0</v>
      </c>
      <c r="F33">
        <f>IFERROR(AVERAGE('Fat Spreads'!B33:B52)-2*STDEV('Fat Spreads'!B33:B52),"")</f>
        <v>0</v>
      </c>
      <c r="G33" t="str">
        <f>IFERROR(('Fat Spreads'!B33-(AVERAGE('Fat Spreads'!B33:B52)-2*STDEV('Fat Spreads'!B33:B52)))/(4*STDEV('Fat Spreads'!B33:B52)),"")</f>
        <v/>
      </c>
      <c r="H33" t="str">
        <f>IFERROR(4*STDEV('Fat Spreads'!B33:B52)/AVERAGE('Fat Spreads'!B33:B52),"")</f>
        <v/>
      </c>
      <c r="I33">
        <v>23.743500000000001</v>
      </c>
      <c r="J33">
        <f>IFERROR(SQRT((SUMSQ('Fat Spreads'!B33:B52)-2*SUMPRODUCT('Fat Spreads'!B33:B52,'Fat Spreads'!B34:B53)+SUMSQ('Fat Spreads'!B34:B53)-('Fat Spreads'!B33-'Fat Spreads'!B53)^2/20)/19),"")</f>
        <v>0</v>
      </c>
      <c r="L33">
        <f>IFERROR('Fat Spreads'!H33,"")</f>
        <v>0</v>
      </c>
      <c r="M33">
        <f>IFERROR(('Fat Spreads'!I33-AVERAGE('Fat Spreads'!$I$3:$I$4308))/STDEV('Fat Spreads'!$I$3:$I$4308),"")</f>
        <v>-9.2057461789832332E-2</v>
      </c>
      <c r="N33">
        <f>IFERROR('Fat Spreads'!I33-'Fat Spreads'!I38,"")</f>
        <v>0</v>
      </c>
      <c r="O33">
        <f>IFERROR('Fat Spreads'!I33-'Fat Spreads'!I43,"")</f>
        <v>0</v>
      </c>
      <c r="P33">
        <f>IFERROR(AVERAGE('Fat Spreads'!I33:I52)+2*STDEV('Fat Spreads'!I33:I52),"")</f>
        <v>0</v>
      </c>
      <c r="Q33">
        <f>IFERROR(AVERAGE('Fat Spreads'!I33:I52)-2*STDEV('Fat Spreads'!I33:I52),"")</f>
        <v>0</v>
      </c>
      <c r="R33" t="str">
        <f>IFERROR(('Fat Spreads'!I33-(AVERAGE('Fat Spreads'!I33:I52)-2*STDEV('Fat Spreads'!I33:I52)))/(4*STDEV('Fat Spreads'!I33:I52)),"")</f>
        <v/>
      </c>
      <c r="S33" t="str">
        <f>IFERROR(4*STDEV('Fat Spreads'!I33:I52)/AVERAGE('Fat Spreads'!I33:I52),"")</f>
        <v/>
      </c>
      <c r="T33">
        <v>64.215000000000003</v>
      </c>
      <c r="U33">
        <f>IFERROR(SQRT((SUMSQ('Fat Spreads'!I33:I52)-2*SUMPRODUCT('Fat Spreads'!I33:I52,'Fat Spreads'!I34:I53)+SUMSQ('Fat Spreads'!I34:I53)-('Fat Spreads'!I33-'Fat Spreads'!I53)^2/20)/19),"")</f>
        <v>0</v>
      </c>
      <c r="W33">
        <f>IFERROR('Fat Spreads'!AQ33,"")</f>
        <v>0</v>
      </c>
      <c r="X33">
        <f>IFERROR(('Fat Spreads'!AR33-AVERAGE('Fat Spreads'!$AR$3:$AR$4308))/STDEV('Fat Spreads'!$AR$3:$AR$4308),"")</f>
        <v>-9.2057461789832346E-2</v>
      </c>
      <c r="Y33">
        <f>IFERROR('Fat Spreads'!AR33-'Fat Spreads'!AR38,"")</f>
        <v>0</v>
      </c>
      <c r="Z33">
        <f>IFERROR('Fat Spreads'!AR33-'Fat Spreads'!AR43,"")</f>
        <v>0</v>
      </c>
      <c r="AA33">
        <f>IFERROR(AVERAGE('Fat Spreads'!AR33:AR52)+2*STDEV('Fat Spreads'!AR33:AR52),"")</f>
        <v>0</v>
      </c>
      <c r="AB33">
        <f>IFERROR(AVERAGE('Fat Spreads'!AR33:AR52)-2*STDEV('Fat Spreads'!AR33:AR52),"")</f>
        <v>0</v>
      </c>
      <c r="AC33" t="str">
        <f>IFERROR(('Fat Spreads'!AR33-(AVERAGE('Fat Spreads'!AR33:AR52)-2*STDEV('Fat Spreads'!AR33:AR52)))/(4*STDEV('Fat Spreads'!AR33:AR52)),"")</f>
        <v/>
      </c>
      <c r="AD33" t="str">
        <f>IFERROR(4*STDEV('Fat Spreads'!AR33:AR52)/AVERAGE('Fat Spreads'!AR33:AR52),"")</f>
        <v/>
      </c>
      <c r="AE33">
        <v>77.849000000000004</v>
      </c>
      <c r="AF33">
        <f>IFERROR(SQRT((SUMSQ('Fat Spreads'!AR33:AR52)-2*SUMPRODUCT('Fat Spreads'!AR33:AR52,'Fat Spreads'!AR34:AR53)+SUMSQ('Fat Spreads'!AR34:AR53)-('Fat Spreads'!AR33-'Fat Spreads'!AR53)^2/20)/19),"")</f>
        <v>0</v>
      </c>
      <c r="AH33">
        <f>IFERROR('Fat Spreads'!O33,"")</f>
        <v>0</v>
      </c>
      <c r="AI33">
        <f>IFERROR(('Fat Spreads'!P33-AVERAGE('Fat Spreads'!$P$3:$P$4308))/STDEV('Fat Spreads'!$P$3:$P$4308),"")</f>
        <v>-9.2057461789832332E-2</v>
      </c>
      <c r="AJ33">
        <f>IFERROR('Fat Spreads'!P33-'Fat Spreads'!P38,"")</f>
        <v>0</v>
      </c>
      <c r="AK33">
        <f>IFERROR('Fat Spreads'!P33-'Fat Spreads'!P43,"")</f>
        <v>0</v>
      </c>
      <c r="AL33">
        <f>IFERROR(AVERAGE('Fat Spreads'!P33:P52)+2*STDEV('Fat Spreads'!P33:P52),"")</f>
        <v>0</v>
      </c>
      <c r="AM33">
        <f>IFERROR(AVERAGE('Fat Spreads'!P33:P52)-2*STDEV('Fat Spreads'!P33:P52),"")</f>
        <v>0</v>
      </c>
      <c r="AN33" t="str">
        <f>IFERROR(('Fat Spreads'!P33-(AVERAGE('Fat Spreads'!P33:P52)-2*STDEV('Fat Spreads'!P33:P52)))/(4*STDEV('Fat Spreads'!P33:P52)),"")</f>
        <v/>
      </c>
      <c r="AO33" t="str">
        <f>IFERROR(4*STDEV('Fat Spreads'!P33:P52)/AVERAGE('Fat Spreads'!P33:P52),"")</f>
        <v/>
      </c>
      <c r="AP33">
        <v>81.108099999999993</v>
      </c>
      <c r="AQ33">
        <f>IFERROR(SQRT((SUMSQ('Fat Spreads'!P33:P52)-2*SUMPRODUCT('Fat Spreads'!P33:P52,'Fat Spreads'!P34:P53)+SUMSQ('Fat Spreads'!P34:P53)-('Fat Spreads'!P33-'Fat Spreads'!P53)^2/20)/19),"")</f>
        <v>0</v>
      </c>
      <c r="AS33">
        <f>IFERROR('Fat Spreads'!AJ33,"")</f>
        <v>0</v>
      </c>
      <c r="AT33">
        <f>IFERROR(('Fat Spreads'!AK33-AVERAGE('Fat Spreads'!$AK$3:$AK$4308))/STDEV('Fat Spreads'!$AK$3:$AK$4308),"")</f>
        <v>-9.2057461789832332E-2</v>
      </c>
      <c r="AU33">
        <f>IFERROR('Fat Spreads'!AK33-'Fat Spreads'!AK38,"")</f>
        <v>0</v>
      </c>
      <c r="AV33">
        <f>IFERROR('Fat Spreads'!AK33-'Fat Spreads'!AK43,"")</f>
        <v>0</v>
      </c>
      <c r="AW33">
        <f>IFERROR(AVERAGE('Fat Spreads'!AK33:AK52)+2*STDEV('Fat Spreads'!AK33:AK52),"")</f>
        <v>0</v>
      </c>
      <c r="AX33">
        <f>IFERROR(AVERAGE('Fat Spreads'!AK33:AK52)-2*STDEV('Fat Spreads'!AK33:AK52),"")</f>
        <v>0</v>
      </c>
      <c r="AY33" t="str">
        <f>IFERROR(('Fat Spreads'!AK33-(AVERAGE('Fat Spreads'!AK33:AK52)-2*STDEV('Fat Spreads'!AK33:AK52)))/(4*STDEV('Fat Spreads'!AK33:AK52)),"")</f>
        <v/>
      </c>
      <c r="AZ33" t="str">
        <f>IFERROR(4*STDEV('Fat Spreads'!AK33:AK52)/AVERAGE('Fat Spreads'!AK33:AK52),"")</f>
        <v/>
      </c>
      <c r="BA33">
        <v>35.785299999999999</v>
      </c>
      <c r="BB33">
        <f>IFERROR(SQRT((SUMSQ('Fat Spreads'!AK33:AK52)-2*SUMPRODUCT('Fat Spreads'!AK33:AK52,'Fat Spreads'!AK34:AK53)+SUMSQ('Fat Spreads'!AK34:AK53)-('Fat Spreads'!AK33-'Fat Spreads'!AK53)^2/20)/19),"")</f>
        <v>0</v>
      </c>
      <c r="BD33">
        <f>IFERROR('Fat Spreads'!V33,"")</f>
        <v>0</v>
      </c>
      <c r="BE33">
        <f>IFERROR(('Fat Spreads'!W33-AVERAGE('Fat Spreads'!$W$3:$W$4308))/STDEV('Fat Spreads'!$W$3:$W$4308),"")</f>
        <v>-9.2057461789832332E-2</v>
      </c>
      <c r="BF33">
        <f>IFERROR('Fat Spreads'!W33-'Fat Spreads'!W38,"")</f>
        <v>0</v>
      </c>
      <c r="BG33">
        <f>IFERROR('Fat Spreads'!W33-'Fat Spreads'!W43,"")</f>
        <v>0</v>
      </c>
      <c r="BH33">
        <f>IFERROR(AVERAGE('Fat Spreads'!W33:W52)+2*STDEV('Fat Spreads'!W33:W52),"")</f>
        <v>0</v>
      </c>
      <c r="BI33">
        <f>IFERROR(AVERAGE('Fat Spreads'!W33:W52)-2*STDEV('Fat Spreads'!W33:W52),"")</f>
        <v>0</v>
      </c>
      <c r="BJ33" t="str">
        <f>IFERROR(('Fat Spreads'!W33-(AVERAGE('Fat Spreads'!W33:W52)-2*STDEV('Fat Spreads'!W33:W52)))/(4*STDEV('Fat Spreads'!W33:W52)),"")</f>
        <v/>
      </c>
      <c r="BK33" t="str">
        <f>IFERROR(4*STDEV('Fat Spreads'!W33:W52)/AVERAGE('Fat Spreads'!W33:W52),"")</f>
        <v/>
      </c>
      <c r="BL33">
        <v>62.394500000000001</v>
      </c>
      <c r="BM33">
        <f>IFERROR(SQRT((SUMSQ('Fat Spreads'!W33:W52)-2*SUMPRODUCT('Fat Spreads'!W33:W52,'Fat Spreads'!W34:W53)+SUMSQ('Fat Spreads'!W34:W53)-('Fat Spreads'!W33-'Fat Spreads'!W53)^2/20)/19),"")</f>
        <v>0</v>
      </c>
      <c r="BO33">
        <f>IFERROR('Fat Spreads'!AC33,"")</f>
        <v>0</v>
      </c>
      <c r="BP33">
        <f>IFERROR(('Fat Spreads'!AD33-AVERAGE('Fat Spreads'!$AD$3:$AD$4308))/STDEV('Fat Spreads'!$AD$3:$AD$4308),"")</f>
        <v>-9.2057461789832332E-2</v>
      </c>
      <c r="BQ33">
        <f>IFERROR('Fat Spreads'!AD33-'Fat Spreads'!AD38,"")</f>
        <v>0</v>
      </c>
      <c r="BR33">
        <f>IFERROR('Fat Spreads'!AD33-'Fat Spreads'!AD43,"")</f>
        <v>0</v>
      </c>
      <c r="BS33">
        <f>IFERROR(AVERAGE('Fat Spreads'!AD33:AD52)+2*STDEV('Fat Spreads'!AD33:AD52),"")</f>
        <v>0</v>
      </c>
      <c r="BT33">
        <f>IFERROR(AVERAGE('Fat Spreads'!AD33:AD52)-2*STDEV('Fat Spreads'!AD33:AD52),"")</f>
        <v>0</v>
      </c>
      <c r="BU33" t="str">
        <f>IFERROR(('Fat Spreads'!AD33-(AVERAGE('Fat Spreads'!AD33:AD52)-2*STDEV('Fat Spreads'!AD33:AD52)))/(4*STDEV('Fat Spreads'!AD33:AD52)),"")</f>
        <v/>
      </c>
      <c r="BV33" t="str">
        <f>IFERROR(4*STDEV('Fat Spreads'!AD33:AD52)/AVERAGE('Fat Spreads'!AD33:AD52),"")</f>
        <v/>
      </c>
      <c r="BW33">
        <v>64.899699999999996</v>
      </c>
      <c r="BX33">
        <f>IFERROR(SQRT((SUMSQ('Fat Spreads'!AD33:AD52)-2*SUMPRODUCT('Fat Spreads'!AD33:AD52,'Fat Spreads'!AD34:AD53)+SUMSQ('Fat Spreads'!AD34:AD53)-('Fat Spreads'!AD33-'Fat Spreads'!AD53)^2/20)/19),"")</f>
        <v>0</v>
      </c>
      <c r="BZ33">
        <f>IFERROR('Feeder Spreads'!A33,"")</f>
        <v>0</v>
      </c>
      <c r="CA33">
        <f>IFERROR(('Feeder Spreads'!B33-AVERAGE('Feeder Spreads'!$B$3:$B$4308))/STDEV('Feeder Spreads'!$B$3:$B$4308),"")</f>
        <v>-9.2057461789832346E-2</v>
      </c>
      <c r="CB33">
        <f>IFERROR('Feeder Spreads'!B33-'Feeder Spreads'!B38,"")</f>
        <v>0</v>
      </c>
      <c r="CC33">
        <f>IFERROR('Feeder Spreads'!B33-'Feeder Spreads'!B43,"")</f>
        <v>0</v>
      </c>
      <c r="CD33">
        <f>IFERROR(AVERAGE('Feeder Spreads'!B33:B52)+2*STDEV('Feeder Spreads'!B33:B52),"")</f>
        <v>0</v>
      </c>
      <c r="CE33">
        <f>IFERROR(AVERAGE('Feeder Spreads'!B33:B52)-2*STDEV('Feeder Spreads'!B33:B52),"")</f>
        <v>0</v>
      </c>
      <c r="CF33" t="str">
        <f>IFERROR(('Feeder Spreads'!B33-(AVERAGE('Feeder Spreads'!B33:B52)-2*STDEV('Feeder Spreads'!B33:B52)))/(4*STDEV('Feeder Spreads'!B33:B52)),"")</f>
        <v/>
      </c>
      <c r="CG33" t="str">
        <f>IFERROR(4*STDEV('Feeder Spreads'!B33:B52)/AVERAGE('Feeder Spreads'!B33:B52),"")</f>
        <v/>
      </c>
      <c r="CH33">
        <v>49.769500000000001</v>
      </c>
      <c r="CI33">
        <f>IFERROR(SQRT((SUMSQ('Feeder Spreads'!B33:B52)-2*SUMPRODUCT('Feeder Spreads'!B33:B52,'Feeder Spreads'!B34:B53)+SUMSQ('Feeder Spreads'!B34:B53)-('Feeder Spreads'!B33-'Feeder Spreads'!B53)^2/20)/19),"")</f>
        <v>0</v>
      </c>
      <c r="CK33">
        <f>IFERROR('Feeder Spreads'!AX33,"")</f>
        <v>0</v>
      </c>
      <c r="CL33">
        <f>IFERROR(('Feeder Spreads'!AY33-AVERAGE('Feeder Spreads'!$AY$3:$AY$4308))/STDEV('Feeder Spreads'!$AY$3:$AY$4308),"")</f>
        <v>-9.2057461789832346E-2</v>
      </c>
      <c r="CM33">
        <f>IFERROR('Feeder Spreads'!AY33-'Feeder Spreads'!AY38,"")</f>
        <v>0</v>
      </c>
      <c r="CN33">
        <f>IFERROR('Feeder Spreads'!AY33-'Feeder Spreads'!AY43,"")</f>
        <v>0</v>
      </c>
      <c r="CO33">
        <f>IFERROR(AVERAGE('Feeder Spreads'!AY33:AY52)+2*STDEV('Feeder Spreads'!AY33:AY52),"")</f>
        <v>0</v>
      </c>
      <c r="CP33">
        <f>IFERROR(AVERAGE('Feeder Spreads'!AY33:AY52)-2*STDEV('Feeder Spreads'!AY33:AY52),"")</f>
        <v>0</v>
      </c>
      <c r="CQ33" t="str">
        <f>IFERROR(('Feeder Spreads'!AY33-(AVERAGE('Feeder Spreads'!AY33:AY52)-2*STDEV('Feeder Spreads'!AY33:AY52)))/(4*STDEV('Feeder Spreads'!AY33:AY52)),"")</f>
        <v/>
      </c>
      <c r="CR33" t="str">
        <f>IFERROR(4*STDEV('Feeder Spreads'!AY33:AY52)/AVERAGE('Feeder Spreads'!AY33:AY52),"")</f>
        <v/>
      </c>
      <c r="CS33">
        <v>56.326700000000002</v>
      </c>
      <c r="CT33">
        <f>IFERROR(SQRT((SUMSQ('Feeder Spreads'!AY33:AY52)-2*SUMPRODUCT('Feeder Spreads'!AY33:AY52,'Feeder Spreads'!AY34:AY53)+SUMSQ('Feeder Spreads'!AY34:AY53)-('Feeder Spreads'!AY33-'Feeder Spreads'!AY53)^2/20)/19),"")</f>
        <v>0</v>
      </c>
      <c r="CV33">
        <f>IFERROR('Feeder Spreads'!H33,"")</f>
        <v>0</v>
      </c>
      <c r="CW33">
        <f>IFERROR(('Feeder Spreads'!I33-AVERAGE('Feeder Spreads'!$I$3:$I$4308))/STDEV('Feeder Spreads'!$I$3:$I$4308),"")</f>
        <v>-9.2057461789832332E-2</v>
      </c>
      <c r="CX33">
        <f>IFERROR('Feeder Spreads'!I33-'Feeder Spreads'!I38,"")</f>
        <v>0</v>
      </c>
      <c r="CY33">
        <f>IFERROR('Feeder Spreads'!I33-'Feeder Spreads'!I43,"")</f>
        <v>0</v>
      </c>
      <c r="CZ33">
        <f>IFERROR(AVERAGE('Feeder Spreads'!I33:I52)+2*STDEV('Feeder Spreads'!I33:I52),"")</f>
        <v>0</v>
      </c>
      <c r="DA33">
        <f>IFERROR(AVERAGE('Feeder Spreads'!I33:I52)-2*STDEV('Feeder Spreads'!I33:I52),"")</f>
        <v>0</v>
      </c>
      <c r="DB33" t="str">
        <f>IFERROR(('Feeder Spreads'!I33-(AVERAGE('Feeder Spreads'!I33:I52)-2*STDEV('Feeder Spreads'!I33:I52)))/(4*STDEV('Feeder Spreads'!I33:I52)),"")</f>
        <v/>
      </c>
      <c r="DC33" t="str">
        <f>IFERROR(4*STDEV('Feeder Spreads'!I33:I52)/AVERAGE('Feeder Spreads'!I33:I52),"")</f>
        <v/>
      </c>
      <c r="DD33">
        <v>48.133699999999997</v>
      </c>
      <c r="DE33">
        <f>IFERROR(SQRT((SUMSQ('Feeder Spreads'!I33:I52)-2*SUMPRODUCT('Feeder Spreads'!I33:I52,'Feeder Spreads'!I34:I53)+SUMSQ('Feeder Spreads'!I34:I53)-('Feeder Spreads'!I33-'Feeder Spreads'!I53)^2/20)/19),"")</f>
        <v>0</v>
      </c>
      <c r="DG33">
        <f>IFERROR('Feeder Spreads'!O33,"")</f>
        <v>0</v>
      </c>
      <c r="DH33">
        <f>IFERROR(('Feeder Spreads'!P33-AVERAGE('Feeder Spreads'!$P$3:$P$4308))/STDEV('Feeder Spreads'!$P$3:$P$4308),"")</f>
        <v>-9.2057461789832346E-2</v>
      </c>
      <c r="DI33">
        <f>IFERROR('Feeder Spreads'!P33-'Feeder Spreads'!P38,"")</f>
        <v>0</v>
      </c>
      <c r="DJ33">
        <f>IFERROR('Feeder Spreads'!P33-'Feeder Spreads'!P43,"")</f>
        <v>0</v>
      </c>
      <c r="DK33">
        <f>IFERROR(AVERAGE('Feeder Spreads'!P33:P52)+2*STDEV('Feeder Spreads'!P33:P52),"")</f>
        <v>0</v>
      </c>
      <c r="DL33">
        <f>IFERROR(AVERAGE('Feeder Spreads'!P33:P52)-2*STDEV('Feeder Spreads'!P33:P52),"")</f>
        <v>0</v>
      </c>
      <c r="DM33" t="str">
        <f>IFERROR(('Feeder Spreads'!P33-(AVERAGE('Feeder Spreads'!P33:P52)-2*STDEV('Feeder Spreads'!P33:P52)))/(4*STDEV('Feeder Spreads'!P33:P52)),"")</f>
        <v/>
      </c>
      <c r="DN33" t="str">
        <f>IFERROR(4*STDEV('Feeder Spreads'!P33:P52)/AVERAGE('Feeder Spreads'!P33:P52),"")</f>
        <v/>
      </c>
      <c r="DO33">
        <v>34.322499999999998</v>
      </c>
      <c r="DP33">
        <f>IFERROR(SQRT((SUMSQ('Feeder Spreads'!P33:P52)-2*SUMPRODUCT('Feeder Spreads'!P33:P52,'Feeder Spreads'!P34:P53)+SUMSQ('Feeder Spreads'!P34:P53)-('Feeder Spreads'!P33-'Feeder Spreads'!P53)^2/20)/19),"")</f>
        <v>0</v>
      </c>
      <c r="DR33">
        <f>IFERROR('Feeder Spreads'!V33,"")</f>
        <v>0</v>
      </c>
      <c r="DS33">
        <f>IFERROR(('Feeder Spreads'!W33-AVERAGE('Feeder Spreads'!$W$3:$W$4308))/STDEV('Feeder Spreads'!$W$3:$W$4308),"")</f>
        <v>-9.2057461789832332E-2</v>
      </c>
      <c r="DT33">
        <f>IFERROR('Feeder Spreads'!W33-'Feeder Spreads'!W38,"")</f>
        <v>0</v>
      </c>
      <c r="DU33">
        <f>IFERROR('Feeder Spreads'!W33-'Feeder Spreads'!W43,"")</f>
        <v>0</v>
      </c>
      <c r="DV33">
        <f>IFERROR(AVERAGE('Feeder Spreads'!W33:W52)+2*STDEV('Feeder Spreads'!W33:W52),"")</f>
        <v>0</v>
      </c>
      <c r="DW33">
        <f>IFERROR(AVERAGE('Feeder Spreads'!W33:W52)-2*STDEV('Feeder Spreads'!W33:W52),"")</f>
        <v>0</v>
      </c>
      <c r="DX33" t="str">
        <f>IFERROR(('Feeder Spreads'!W33-(AVERAGE('Feeder Spreads'!W33:W52)-2*STDEV('Feeder Spreads'!W33:W52)))/(4*STDEV('Feeder Spreads'!W33:W52)),"")</f>
        <v/>
      </c>
      <c r="DY33" t="str">
        <f>IFERROR(4*STDEV('Feeder Spreads'!W33:W52)/AVERAGE('Feeder Spreads'!W33:W52),"")</f>
        <v/>
      </c>
      <c r="DZ33">
        <v>62.467100000000002</v>
      </c>
      <c r="EA33">
        <f>IFERROR(SQRT((SUMSQ('Feeder Spreads'!W33:W52)-2*SUMPRODUCT('Feeder Spreads'!W33:W52,'Feeder Spreads'!W34:W53)+SUMSQ('Feeder Spreads'!W34:W53)-('Feeder Spreads'!W33-'Feeder Spreads'!W53)^2/20)/19),"")</f>
        <v>0</v>
      </c>
      <c r="EC33">
        <f>IFERROR('Feeder Spreads'!AC33,"")</f>
        <v>0</v>
      </c>
      <c r="ED33">
        <f>IFERROR(('Feeder Spreads'!AD33-AVERAGE('Feeder Spreads'!$AD$3:$AD$4308))/STDEV('Feeder Spreads'!$AD$3:$AD$4308),"")</f>
        <v>9.2057461789832318E-2</v>
      </c>
      <c r="EE33">
        <f>IFERROR('Feeder Spreads'!AD33-'Feeder Spreads'!AD38,"")</f>
        <v>0</v>
      </c>
      <c r="EF33">
        <f>IFERROR('Feeder Spreads'!AD33-'Feeder Spreads'!AD43,"")</f>
        <v>0</v>
      </c>
      <c r="EG33">
        <f>IFERROR(AVERAGE('Feeder Spreads'!AD33:AD52)+2*STDEV('Feeder Spreads'!AD33:AD52),"")</f>
        <v>0</v>
      </c>
      <c r="EH33">
        <f>IFERROR(AVERAGE('Feeder Spreads'!AD33:AD52)-2*STDEV('Feeder Spreads'!AD33:AD52),"")</f>
        <v>0</v>
      </c>
      <c r="EI33" t="str">
        <f>IFERROR(('Feeder Spreads'!AD33-(AVERAGE('Feeder Spreads'!AD33:AD52)-2*STDEV('Feeder Spreads'!AD33:AD52)))/(4*STDEV('Feeder Spreads'!AD33:AD52)),"")</f>
        <v/>
      </c>
      <c r="EJ33" t="str">
        <f>IFERROR(4*STDEV('Feeder Spreads'!AD33:AD52)/AVERAGE('Feeder Spreads'!AD33:AD52),"")</f>
        <v/>
      </c>
      <c r="EK33">
        <v>49.1402</v>
      </c>
      <c r="EL33">
        <f>IFERROR(SQRT((SUMSQ('Feeder Spreads'!AD33:AD52)-2*SUMPRODUCT('Feeder Spreads'!AD33:AD52,'Feeder Spreads'!AD34:AD53)+SUMSQ('Feeder Spreads'!AD34:AD53)-('Feeder Spreads'!AD33-'Feeder Spreads'!AD53)^2/20)/19),"")</f>
        <v>0</v>
      </c>
      <c r="EN33">
        <f>IFERROR('Feeder Spreads'!AJ33,"")</f>
        <v>0</v>
      </c>
      <c r="EO33">
        <f>IFERROR(('Feeder Spreads'!AK33-AVERAGE('Feeder Spreads'!$AK$3:$AK$4308))/STDEV('Feeder Spreads'!$AK$3:$AK$4308),"")</f>
        <v>-9.2057461789832346E-2</v>
      </c>
      <c r="EP33">
        <f>IFERROR('Feeder Spreads'!AK33-'Feeder Spreads'!AK38,"")</f>
        <v>0</v>
      </c>
      <c r="EQ33">
        <f>IFERROR('Feeder Spreads'!AK33-'Feeder Spreads'!AK43,"")</f>
        <v>0</v>
      </c>
      <c r="ER33">
        <f>IFERROR(AVERAGE('Feeder Spreads'!AK33:AK52)+2*STDEV('Feeder Spreads'!AK33:AK52),"")</f>
        <v>0</v>
      </c>
      <c r="ES33">
        <f>IFERROR(AVERAGE('Feeder Spreads'!AK33:AK52)-2*STDEV('Feeder Spreads'!AK33:AK52),"")</f>
        <v>0</v>
      </c>
      <c r="ET33" t="str">
        <f>IFERROR(('Feeder Spreads'!AK33-(AVERAGE('Feeder Spreads'!AK33:AK52)-2*STDEV('Feeder Spreads'!AK33:AK52)))/(4*STDEV('Feeder Spreads'!AK33:AK52)),"")</f>
        <v/>
      </c>
      <c r="EU33" t="str">
        <f>IFERROR(4*STDEV('Feeder Spreads'!AK33:AK52)/AVERAGE('Feeder Spreads'!AK33:AK52),"")</f>
        <v/>
      </c>
      <c r="EV33">
        <v>39.916899999999998</v>
      </c>
      <c r="EW33">
        <f>IFERROR(SQRT((SUMSQ('Feeder Spreads'!AK33:AK52)-2*SUMPRODUCT('Feeder Spreads'!AK33:AK52,'Feeder Spreads'!AK34:AK53)+SUMSQ('Feeder Spreads'!AK34:AK53)-('Feeder Spreads'!AK33-'Feeder Spreads'!AK53)^2/20)/19),"")</f>
        <v>0</v>
      </c>
      <c r="EY33">
        <f>IFERROR('Feeder Spreads'!AQ33,"")</f>
        <v>0</v>
      </c>
      <c r="EZ33">
        <f>IFERROR(('Feeder Spreads'!AR33-AVERAGE('Feeder Spreads'!$AR$3:$AR$4308))/STDEV('Feeder Spreads'!$AR$3:$AR$4308),"")</f>
        <v>-9.2057461789832332E-2</v>
      </c>
      <c r="FA33">
        <f>IFERROR('Feeder Spreads'!AR33-'Feeder Spreads'!AR38,"")</f>
        <v>0</v>
      </c>
      <c r="FB33">
        <f>IFERROR('Feeder Spreads'!AR33-'Feeder Spreads'!AR43,"")</f>
        <v>0</v>
      </c>
      <c r="FC33">
        <f>IFERROR(AVERAGE('Feeder Spreads'!AR33:AR52)+2*STDEV('Feeder Spreads'!AR33:AR52),"")</f>
        <v>0</v>
      </c>
      <c r="FD33">
        <f>IFERROR(AVERAGE('Feeder Spreads'!AR33:AR52)-2*STDEV('Feeder Spreads'!AR33:AR52),"")</f>
        <v>0</v>
      </c>
      <c r="FE33" t="str">
        <f>IFERROR(('Feeder Spreads'!AR33-(AVERAGE('Feeder Spreads'!AR33:AR52)-2*STDEV('Feeder Spreads'!AR33:AR52)))/(4*STDEV('Feeder Spreads'!AR33:AR52)),"")</f>
        <v/>
      </c>
      <c r="FF33" t="str">
        <f>IFERROR(4*STDEV('Feeder Spreads'!AR33:AR52)/AVERAGE('Feeder Spreads'!AR33:AR52),"")</f>
        <v/>
      </c>
      <c r="FG33">
        <v>40.354700000000001</v>
      </c>
      <c r="FH33">
        <f>IFERROR(SQRT((SUMSQ('Feeder Spreads'!AR33:AR52)-2*SUMPRODUCT('Feeder Spreads'!AR33:AR52,'Feeder Spreads'!AR34:AR53)+SUMSQ('Feeder Spreads'!AR34:AR53)-('Feeder Spreads'!AR33-'Feeder Spreads'!AR53)^2/20)/19),"")</f>
        <v>0</v>
      </c>
      <c r="FJ33">
        <f>IFERROR('Fat Spreads'!AX33,"")</f>
        <v>0</v>
      </c>
      <c r="FK33">
        <f>IFERROR(('Fat Spreads'!AY33-AVERAGE('Fat Spreads'!$AY$3:$AY$4308))/STDEV('Fat Spreads'!$AY$3:$AY$4308),"")</f>
        <v>9.2057461789832332E-2</v>
      </c>
      <c r="FL33">
        <f>IFERROR('Fat Spreads'!AY33-'Fat Spreads'!AY38,"")</f>
        <v>0</v>
      </c>
      <c r="FM33">
        <f>IFERROR('Fat Spreads'!AY33-'Fat Spreads'!AY43,"")</f>
        <v>0</v>
      </c>
      <c r="FN33">
        <f>IFERROR(AVERAGE('Fat Spreads'!AY33:AY52)+2*STDEV('Fat Spreads'!AY33:AY52),"")</f>
        <v>0</v>
      </c>
      <c r="FO33">
        <f>IFERROR(AVERAGE('Fat Spreads'!AY33:AY52)-2*STDEV('Fat Spreads'!AY33:AY52),"")</f>
        <v>0</v>
      </c>
      <c r="FP33" t="str">
        <f>IFERROR(('Fat Spreads'!AY33-(AVERAGE('Fat Spreads'!AY33:AY52)-2*STDEV('Fat Spreads'!AY33:AY52)))/(4*STDEV('Fat Spreads'!AY33:AY52)),"")</f>
        <v/>
      </c>
      <c r="FQ33" t="str">
        <f>IFERROR(4*STDEV('Fat Spreads'!AY33:AY52)/AVERAGE('Fat Spreads'!AY33:AY52),"")</f>
        <v/>
      </c>
      <c r="FR33">
        <v>25.6526</v>
      </c>
      <c r="FS33">
        <f>IFERROR(SQRT((SUMSQ('Fat Spreads'!AY33:AY52)-2*SUMPRODUCT('Fat Spreads'!AY33:AY52,'Fat Spreads'!AY34:AY53)+SUMSQ('Fat Spreads'!AY34:AY53)-('Fat Spreads'!AY33-'Fat Spreads'!AY53)^2/20)/19),"")</f>
        <v>0</v>
      </c>
      <c r="FU33">
        <f>IFERROR('Fat Spreads'!BE33,"")</f>
        <v>0</v>
      </c>
      <c r="FV33">
        <f>IFERROR(('Fat Spreads'!BF33-AVERAGE('Fat Spreads'!$BF$3:$BF$4308))/STDEV('Fat Spreads'!$BF$3:$BF$4308),"")</f>
        <v>9.2057461789832332E-2</v>
      </c>
      <c r="FW33">
        <f>IFERROR('Fat Spreads'!BF33-'Fat Spreads'!BF38,"")</f>
        <v>0</v>
      </c>
      <c r="FX33">
        <f>IFERROR('Fat Spreads'!BF33-'Fat Spreads'!BF43,"")</f>
        <v>0</v>
      </c>
      <c r="FY33">
        <f>IFERROR(AVERAGE('Fat Spreads'!BF33:BF52)+2*STDEV('Fat Spreads'!BF33:BF52),"")</f>
        <v>0</v>
      </c>
      <c r="FZ33">
        <f>IFERROR(AVERAGE('Fat Spreads'!BF33:BF52)-2*STDEV('Fat Spreads'!BF33:BF52),"")</f>
        <v>0</v>
      </c>
      <c r="GA33" t="str">
        <f>IFERROR(('Fat Spreads'!BF33-(AVERAGE('Fat Spreads'!BF33:BF52)-2*STDEV('Fat Spreads'!BF33:BF52)))/(4*STDEV('Fat Spreads'!BF33:BF52)),"")</f>
        <v/>
      </c>
      <c r="GB33" t="str">
        <f>IFERROR(4*STDEV('Fat Spreads'!BF33:BF52)/AVERAGE('Fat Spreads'!BF33:BF52),"")</f>
        <v/>
      </c>
      <c r="GC33">
        <v>37.518700000000003</v>
      </c>
      <c r="GD33">
        <f>IFERROR(SQRT((SUMSQ('Fat Spreads'!BF33:BF52)-2*SUMPRODUCT('Fat Spreads'!BF33:BF52,'Fat Spreads'!BF34:BF53)+SUMSQ('Fat Spreads'!BF34:BF53)-('Fat Spreads'!BF33-'Fat Spreads'!BF53)^2/20)/19),"")</f>
        <v>0</v>
      </c>
    </row>
    <row r="34" spans="1:186" x14ac:dyDescent="0.25">
      <c r="A34">
        <f>IFERROR('Fat Spreads'!A34,"")</f>
        <v>0</v>
      </c>
      <c r="B34">
        <f>IFERROR(('Fat Spreads'!B34-AVERAGE('Fat Spreads'!$B$3:$B$4308))/STDEV('Fat Spreads'!$B$3:$B$4308),"")</f>
        <v>9.2057461789832346E-2</v>
      </c>
      <c r="C34">
        <f>IFERROR('Fat Spreads'!B34-'Fat Spreads'!B39,"")</f>
        <v>0</v>
      </c>
      <c r="D34">
        <f>IFERROR('Fat Spreads'!B34-'Fat Spreads'!B44,"")</f>
        <v>0</v>
      </c>
      <c r="E34">
        <f>IFERROR(AVERAGE('Fat Spreads'!B34:B53)+2*STDEV('Fat Spreads'!B34:B53),"")</f>
        <v>0</v>
      </c>
      <c r="F34">
        <f>IFERROR(AVERAGE('Fat Spreads'!B34:B53)-2*STDEV('Fat Spreads'!B34:B53),"")</f>
        <v>0</v>
      </c>
      <c r="G34" t="str">
        <f>IFERROR(('Fat Spreads'!B34-(AVERAGE('Fat Spreads'!B34:B53)-2*STDEV('Fat Spreads'!B34:B53)))/(4*STDEV('Fat Spreads'!B34:B53)),"")</f>
        <v/>
      </c>
      <c r="H34" t="str">
        <f>IFERROR(4*STDEV('Fat Spreads'!B34:B53)/AVERAGE('Fat Spreads'!B34:B53),"")</f>
        <v/>
      </c>
      <c r="I34">
        <v>23.254200000000001</v>
      </c>
      <c r="J34">
        <f>IFERROR(SQRT((SUMSQ('Fat Spreads'!B34:B53)-2*SUMPRODUCT('Fat Spreads'!B34:B53,'Fat Spreads'!B35:B54)+SUMSQ('Fat Spreads'!B35:B54)-('Fat Spreads'!B34-'Fat Spreads'!B54)^2/20)/19),"")</f>
        <v>0</v>
      </c>
      <c r="L34">
        <f>IFERROR('Fat Spreads'!H34,"")</f>
        <v>0</v>
      </c>
      <c r="M34">
        <f>IFERROR(('Fat Spreads'!I34-AVERAGE('Fat Spreads'!$I$3:$I$4308))/STDEV('Fat Spreads'!$I$3:$I$4308),"")</f>
        <v>-9.2057461789832332E-2</v>
      </c>
      <c r="N34">
        <f>IFERROR('Fat Spreads'!I34-'Fat Spreads'!I39,"")</f>
        <v>0</v>
      </c>
      <c r="O34">
        <f>IFERROR('Fat Spreads'!I34-'Fat Spreads'!I44,"")</f>
        <v>0</v>
      </c>
      <c r="P34">
        <f>IFERROR(AVERAGE('Fat Spreads'!I34:I53)+2*STDEV('Fat Spreads'!I34:I53),"")</f>
        <v>0</v>
      </c>
      <c r="Q34">
        <f>IFERROR(AVERAGE('Fat Spreads'!I34:I53)-2*STDEV('Fat Spreads'!I34:I53),"")</f>
        <v>0</v>
      </c>
      <c r="R34" t="str">
        <f>IFERROR(('Fat Spreads'!I34-(AVERAGE('Fat Spreads'!I34:I53)-2*STDEV('Fat Spreads'!I34:I53)))/(4*STDEV('Fat Spreads'!I34:I53)),"")</f>
        <v/>
      </c>
      <c r="S34" t="str">
        <f>IFERROR(4*STDEV('Fat Spreads'!I34:I53)/AVERAGE('Fat Spreads'!I34:I53),"")</f>
        <v/>
      </c>
      <c r="T34">
        <v>59.156799999999997</v>
      </c>
      <c r="U34">
        <f>IFERROR(SQRT((SUMSQ('Fat Spreads'!I34:I53)-2*SUMPRODUCT('Fat Spreads'!I34:I53,'Fat Spreads'!I35:I54)+SUMSQ('Fat Spreads'!I35:I54)-('Fat Spreads'!I34-'Fat Spreads'!I54)^2/20)/19),"")</f>
        <v>0</v>
      </c>
      <c r="W34">
        <f>IFERROR('Fat Spreads'!AQ34,"")</f>
        <v>0</v>
      </c>
      <c r="X34">
        <f>IFERROR(('Fat Spreads'!AR34-AVERAGE('Fat Spreads'!$AR$3:$AR$4308))/STDEV('Fat Spreads'!$AR$3:$AR$4308),"")</f>
        <v>-9.2057461789832346E-2</v>
      </c>
      <c r="Y34">
        <f>IFERROR('Fat Spreads'!AR34-'Fat Spreads'!AR39,"")</f>
        <v>0</v>
      </c>
      <c r="Z34">
        <f>IFERROR('Fat Spreads'!AR34-'Fat Spreads'!AR44,"")</f>
        <v>0</v>
      </c>
      <c r="AA34">
        <f>IFERROR(AVERAGE('Fat Spreads'!AR34:AR53)+2*STDEV('Fat Spreads'!AR34:AR53),"")</f>
        <v>0</v>
      </c>
      <c r="AB34">
        <f>IFERROR(AVERAGE('Fat Spreads'!AR34:AR53)-2*STDEV('Fat Spreads'!AR34:AR53),"")</f>
        <v>0</v>
      </c>
      <c r="AC34" t="str">
        <f>IFERROR(('Fat Spreads'!AR34-(AVERAGE('Fat Spreads'!AR34:AR53)-2*STDEV('Fat Spreads'!AR34:AR53)))/(4*STDEV('Fat Spreads'!AR34:AR53)),"")</f>
        <v/>
      </c>
      <c r="AD34" t="str">
        <f>IFERROR(4*STDEV('Fat Spreads'!AR34:AR53)/AVERAGE('Fat Spreads'!AR34:AR53),"")</f>
        <v/>
      </c>
      <c r="AE34">
        <v>75.901499999999999</v>
      </c>
      <c r="AF34">
        <f>IFERROR(SQRT((SUMSQ('Fat Spreads'!AR34:AR53)-2*SUMPRODUCT('Fat Spreads'!AR34:AR53,'Fat Spreads'!AR35:AR54)+SUMSQ('Fat Spreads'!AR35:AR54)-('Fat Spreads'!AR34-'Fat Spreads'!AR54)^2/20)/19),"")</f>
        <v>0</v>
      </c>
      <c r="AH34">
        <f>IFERROR('Fat Spreads'!O34,"")</f>
        <v>0</v>
      </c>
      <c r="AI34">
        <f>IFERROR(('Fat Spreads'!P34-AVERAGE('Fat Spreads'!$P$3:$P$4308))/STDEV('Fat Spreads'!$P$3:$P$4308),"")</f>
        <v>-9.2057461789832332E-2</v>
      </c>
      <c r="AJ34">
        <f>IFERROR('Fat Spreads'!P34-'Fat Spreads'!P39,"")</f>
        <v>0</v>
      </c>
      <c r="AK34">
        <f>IFERROR('Fat Spreads'!P34-'Fat Spreads'!P44,"")</f>
        <v>0</v>
      </c>
      <c r="AL34">
        <f>IFERROR(AVERAGE('Fat Spreads'!P34:P53)+2*STDEV('Fat Spreads'!P34:P53),"")</f>
        <v>0</v>
      </c>
      <c r="AM34">
        <f>IFERROR(AVERAGE('Fat Spreads'!P34:P53)-2*STDEV('Fat Spreads'!P34:P53),"")</f>
        <v>0</v>
      </c>
      <c r="AN34" t="str">
        <f>IFERROR(('Fat Spreads'!P34-(AVERAGE('Fat Spreads'!P34:P53)-2*STDEV('Fat Spreads'!P34:P53)))/(4*STDEV('Fat Spreads'!P34:P53)),"")</f>
        <v/>
      </c>
      <c r="AO34" t="str">
        <f>IFERROR(4*STDEV('Fat Spreads'!P34:P53)/AVERAGE('Fat Spreads'!P34:P53),"")</f>
        <v/>
      </c>
      <c r="AP34">
        <v>79.949799999999996</v>
      </c>
      <c r="AQ34">
        <f>IFERROR(SQRT((SUMSQ('Fat Spreads'!P34:P53)-2*SUMPRODUCT('Fat Spreads'!P34:P53,'Fat Spreads'!P35:P54)+SUMSQ('Fat Spreads'!P35:P54)-('Fat Spreads'!P34-'Fat Spreads'!P54)^2/20)/19),"")</f>
        <v>0</v>
      </c>
      <c r="AS34">
        <f>IFERROR('Fat Spreads'!AJ34,"")</f>
        <v>0</v>
      </c>
      <c r="AT34">
        <f>IFERROR(('Fat Spreads'!AK34-AVERAGE('Fat Spreads'!$AK$3:$AK$4308))/STDEV('Fat Spreads'!$AK$3:$AK$4308),"")</f>
        <v>-9.2057461789832332E-2</v>
      </c>
      <c r="AU34">
        <f>IFERROR('Fat Spreads'!AK34-'Fat Spreads'!AK39,"")</f>
        <v>0</v>
      </c>
      <c r="AV34">
        <f>IFERROR('Fat Spreads'!AK34-'Fat Spreads'!AK44,"")</f>
        <v>0</v>
      </c>
      <c r="AW34">
        <f>IFERROR(AVERAGE('Fat Spreads'!AK34:AK53)+2*STDEV('Fat Spreads'!AK34:AK53),"")</f>
        <v>0</v>
      </c>
      <c r="AX34">
        <f>IFERROR(AVERAGE('Fat Spreads'!AK34:AK53)-2*STDEV('Fat Spreads'!AK34:AK53),"")</f>
        <v>0</v>
      </c>
      <c r="AY34" t="str">
        <f>IFERROR(('Fat Spreads'!AK34-(AVERAGE('Fat Spreads'!AK34:AK53)-2*STDEV('Fat Spreads'!AK34:AK53)))/(4*STDEV('Fat Spreads'!AK34:AK53)),"")</f>
        <v/>
      </c>
      <c r="AZ34" t="str">
        <f>IFERROR(4*STDEV('Fat Spreads'!AK34:AK53)/AVERAGE('Fat Spreads'!AK34:AK53),"")</f>
        <v/>
      </c>
      <c r="BA34">
        <v>37.925699999999999</v>
      </c>
      <c r="BB34">
        <f>IFERROR(SQRT((SUMSQ('Fat Spreads'!AK34:AK53)-2*SUMPRODUCT('Fat Spreads'!AK34:AK53,'Fat Spreads'!AK35:AK54)+SUMSQ('Fat Spreads'!AK35:AK54)-('Fat Spreads'!AK34-'Fat Spreads'!AK54)^2/20)/19),"")</f>
        <v>0</v>
      </c>
      <c r="BD34">
        <f>IFERROR('Fat Spreads'!V34,"")</f>
        <v>0</v>
      </c>
      <c r="BE34">
        <f>IFERROR(('Fat Spreads'!W34-AVERAGE('Fat Spreads'!$W$3:$W$4308))/STDEV('Fat Spreads'!$W$3:$W$4308),"")</f>
        <v>-9.2057461789832332E-2</v>
      </c>
      <c r="BF34">
        <f>IFERROR('Fat Spreads'!W34-'Fat Spreads'!W39,"")</f>
        <v>0</v>
      </c>
      <c r="BG34">
        <f>IFERROR('Fat Spreads'!W34-'Fat Spreads'!W44,"")</f>
        <v>0</v>
      </c>
      <c r="BH34">
        <f>IFERROR(AVERAGE('Fat Spreads'!W34:W53)+2*STDEV('Fat Spreads'!W34:W53),"")</f>
        <v>0</v>
      </c>
      <c r="BI34">
        <f>IFERROR(AVERAGE('Fat Spreads'!W34:W53)-2*STDEV('Fat Spreads'!W34:W53),"")</f>
        <v>0</v>
      </c>
      <c r="BJ34" t="str">
        <f>IFERROR(('Fat Spreads'!W34-(AVERAGE('Fat Spreads'!W34:W53)-2*STDEV('Fat Spreads'!W34:W53)))/(4*STDEV('Fat Spreads'!W34:W53)),"")</f>
        <v/>
      </c>
      <c r="BK34" t="str">
        <f>IFERROR(4*STDEV('Fat Spreads'!W34:W53)/AVERAGE('Fat Spreads'!W34:W53),"")</f>
        <v/>
      </c>
      <c r="BL34">
        <v>59.024700000000003</v>
      </c>
      <c r="BM34">
        <f>IFERROR(SQRT((SUMSQ('Fat Spreads'!W34:W53)-2*SUMPRODUCT('Fat Spreads'!W34:W53,'Fat Spreads'!W35:W54)+SUMSQ('Fat Spreads'!W35:W54)-('Fat Spreads'!W34-'Fat Spreads'!W54)^2/20)/19),"")</f>
        <v>0</v>
      </c>
      <c r="BO34">
        <f>IFERROR('Fat Spreads'!AC34,"")</f>
        <v>0</v>
      </c>
      <c r="BP34">
        <f>IFERROR(('Fat Spreads'!AD34-AVERAGE('Fat Spreads'!$AD$3:$AD$4308))/STDEV('Fat Spreads'!$AD$3:$AD$4308),"")</f>
        <v>-9.2057461789832332E-2</v>
      </c>
      <c r="BQ34">
        <f>IFERROR('Fat Spreads'!AD34-'Fat Spreads'!AD39,"")</f>
        <v>0</v>
      </c>
      <c r="BR34">
        <f>IFERROR('Fat Spreads'!AD34-'Fat Spreads'!AD44,"")</f>
        <v>0</v>
      </c>
      <c r="BS34">
        <f>IFERROR(AVERAGE('Fat Spreads'!AD34:AD53)+2*STDEV('Fat Spreads'!AD34:AD53),"")</f>
        <v>0</v>
      </c>
      <c r="BT34">
        <f>IFERROR(AVERAGE('Fat Spreads'!AD34:AD53)-2*STDEV('Fat Spreads'!AD34:AD53),"")</f>
        <v>0</v>
      </c>
      <c r="BU34" t="str">
        <f>IFERROR(('Fat Spreads'!AD34-(AVERAGE('Fat Spreads'!AD34:AD53)-2*STDEV('Fat Spreads'!AD34:AD53)))/(4*STDEV('Fat Spreads'!AD34:AD53)),"")</f>
        <v/>
      </c>
      <c r="BV34" t="str">
        <f>IFERROR(4*STDEV('Fat Spreads'!AD34:AD53)/AVERAGE('Fat Spreads'!AD34:AD53),"")</f>
        <v/>
      </c>
      <c r="BW34">
        <v>64.899699999999996</v>
      </c>
      <c r="BX34">
        <f>IFERROR(SQRT((SUMSQ('Fat Spreads'!AD34:AD53)-2*SUMPRODUCT('Fat Spreads'!AD34:AD53,'Fat Spreads'!AD35:AD54)+SUMSQ('Fat Spreads'!AD35:AD54)-('Fat Spreads'!AD34-'Fat Spreads'!AD54)^2/20)/19),"")</f>
        <v>0</v>
      </c>
      <c r="BZ34">
        <f>IFERROR('Feeder Spreads'!A34,"")</f>
        <v>0</v>
      </c>
      <c r="CA34">
        <f>IFERROR(('Feeder Spreads'!B34-AVERAGE('Feeder Spreads'!$B$3:$B$4308))/STDEV('Feeder Spreads'!$B$3:$B$4308),"")</f>
        <v>-9.2057461789832346E-2</v>
      </c>
      <c r="CB34">
        <f>IFERROR('Feeder Spreads'!B34-'Feeder Spreads'!B39,"")</f>
        <v>0</v>
      </c>
      <c r="CC34">
        <f>IFERROR('Feeder Spreads'!B34-'Feeder Spreads'!B44,"")</f>
        <v>0</v>
      </c>
      <c r="CD34">
        <f>IFERROR(AVERAGE('Feeder Spreads'!B34:B53)+2*STDEV('Feeder Spreads'!B34:B53),"")</f>
        <v>0</v>
      </c>
      <c r="CE34">
        <f>IFERROR(AVERAGE('Feeder Spreads'!B34:B53)-2*STDEV('Feeder Spreads'!B34:B53),"")</f>
        <v>0</v>
      </c>
      <c r="CF34" t="str">
        <f>IFERROR(('Feeder Spreads'!B34-(AVERAGE('Feeder Spreads'!B34:B53)-2*STDEV('Feeder Spreads'!B34:B53)))/(4*STDEV('Feeder Spreads'!B34:B53)),"")</f>
        <v/>
      </c>
      <c r="CG34" t="str">
        <f>IFERROR(4*STDEV('Feeder Spreads'!B34:B53)/AVERAGE('Feeder Spreads'!B34:B53),"")</f>
        <v/>
      </c>
      <c r="CH34">
        <v>50.024500000000003</v>
      </c>
      <c r="CI34">
        <f>IFERROR(SQRT((SUMSQ('Feeder Spreads'!B34:B53)-2*SUMPRODUCT('Feeder Spreads'!B34:B53,'Feeder Spreads'!B35:B54)+SUMSQ('Feeder Spreads'!B35:B54)-('Feeder Spreads'!B34-'Feeder Spreads'!B54)^2/20)/19),"")</f>
        <v>0</v>
      </c>
      <c r="CK34">
        <f>IFERROR('Feeder Spreads'!AX34,"")</f>
        <v>0</v>
      </c>
      <c r="CL34">
        <f>IFERROR(('Feeder Spreads'!AY34-AVERAGE('Feeder Spreads'!$AY$3:$AY$4308))/STDEV('Feeder Spreads'!$AY$3:$AY$4308),"")</f>
        <v>-9.2057461789832346E-2</v>
      </c>
      <c r="CM34">
        <f>IFERROR('Feeder Spreads'!AY34-'Feeder Spreads'!AY39,"")</f>
        <v>0</v>
      </c>
      <c r="CN34">
        <f>IFERROR('Feeder Spreads'!AY34-'Feeder Spreads'!AY44,"")</f>
        <v>0</v>
      </c>
      <c r="CO34">
        <f>IFERROR(AVERAGE('Feeder Spreads'!AY34:AY53)+2*STDEV('Feeder Spreads'!AY34:AY53),"")</f>
        <v>0</v>
      </c>
      <c r="CP34">
        <f>IFERROR(AVERAGE('Feeder Spreads'!AY34:AY53)-2*STDEV('Feeder Spreads'!AY34:AY53),"")</f>
        <v>0</v>
      </c>
      <c r="CQ34" t="str">
        <f>IFERROR(('Feeder Spreads'!AY34-(AVERAGE('Feeder Spreads'!AY34:AY53)-2*STDEV('Feeder Spreads'!AY34:AY53)))/(4*STDEV('Feeder Spreads'!AY34:AY53)),"")</f>
        <v/>
      </c>
      <c r="CR34" t="str">
        <f>IFERROR(4*STDEV('Feeder Spreads'!AY34:AY53)/AVERAGE('Feeder Spreads'!AY34:AY53),"")</f>
        <v/>
      </c>
      <c r="CS34">
        <v>59.286999999999999</v>
      </c>
      <c r="CT34">
        <f>IFERROR(SQRT((SUMSQ('Feeder Spreads'!AY34:AY53)-2*SUMPRODUCT('Feeder Spreads'!AY34:AY53,'Feeder Spreads'!AY35:AY54)+SUMSQ('Feeder Spreads'!AY35:AY54)-('Feeder Spreads'!AY34-'Feeder Spreads'!AY54)^2/20)/19),"")</f>
        <v>0</v>
      </c>
      <c r="CV34">
        <f>IFERROR('Feeder Spreads'!H34,"")</f>
        <v>0</v>
      </c>
      <c r="CW34">
        <f>IFERROR(('Feeder Spreads'!I34-AVERAGE('Feeder Spreads'!$I$3:$I$4308))/STDEV('Feeder Spreads'!$I$3:$I$4308),"")</f>
        <v>-9.2057461789832332E-2</v>
      </c>
      <c r="CX34">
        <f>IFERROR('Feeder Spreads'!I34-'Feeder Spreads'!I39,"")</f>
        <v>0</v>
      </c>
      <c r="CY34">
        <f>IFERROR('Feeder Spreads'!I34-'Feeder Spreads'!I44,"")</f>
        <v>0</v>
      </c>
      <c r="CZ34">
        <f>IFERROR(AVERAGE('Feeder Spreads'!I34:I53)+2*STDEV('Feeder Spreads'!I34:I53),"")</f>
        <v>0</v>
      </c>
      <c r="DA34">
        <f>IFERROR(AVERAGE('Feeder Spreads'!I34:I53)-2*STDEV('Feeder Spreads'!I34:I53),"")</f>
        <v>0</v>
      </c>
      <c r="DB34" t="str">
        <f>IFERROR(('Feeder Spreads'!I34-(AVERAGE('Feeder Spreads'!I34:I53)-2*STDEV('Feeder Spreads'!I34:I53)))/(4*STDEV('Feeder Spreads'!I34:I53)),"")</f>
        <v/>
      </c>
      <c r="DC34" t="str">
        <f>IFERROR(4*STDEV('Feeder Spreads'!I34:I53)/AVERAGE('Feeder Spreads'!I34:I53),"")</f>
        <v/>
      </c>
      <c r="DD34">
        <v>51.129600000000003</v>
      </c>
      <c r="DE34">
        <f>IFERROR(SQRT((SUMSQ('Feeder Spreads'!I34:I53)-2*SUMPRODUCT('Feeder Spreads'!I34:I53,'Feeder Spreads'!I35:I54)+SUMSQ('Feeder Spreads'!I35:I54)-('Feeder Spreads'!I34-'Feeder Spreads'!I54)^2/20)/19),"")</f>
        <v>0</v>
      </c>
      <c r="DG34">
        <f>IFERROR('Feeder Spreads'!O34,"")</f>
        <v>0</v>
      </c>
      <c r="DH34">
        <f>IFERROR(('Feeder Spreads'!P34-AVERAGE('Feeder Spreads'!$P$3:$P$4308))/STDEV('Feeder Spreads'!$P$3:$P$4308),"")</f>
        <v>-9.2057461789832346E-2</v>
      </c>
      <c r="DI34">
        <f>IFERROR('Feeder Spreads'!P34-'Feeder Spreads'!P39,"")</f>
        <v>0</v>
      </c>
      <c r="DJ34">
        <f>IFERROR('Feeder Spreads'!P34-'Feeder Spreads'!P44,"")</f>
        <v>0</v>
      </c>
      <c r="DK34">
        <f>IFERROR(AVERAGE('Feeder Spreads'!P34:P53)+2*STDEV('Feeder Spreads'!P34:P53),"")</f>
        <v>0</v>
      </c>
      <c r="DL34">
        <f>IFERROR(AVERAGE('Feeder Spreads'!P34:P53)-2*STDEV('Feeder Spreads'!P34:P53),"")</f>
        <v>0</v>
      </c>
      <c r="DM34" t="str">
        <f>IFERROR(('Feeder Spreads'!P34-(AVERAGE('Feeder Spreads'!P34:P53)-2*STDEV('Feeder Spreads'!P34:P53)))/(4*STDEV('Feeder Spreads'!P34:P53)),"")</f>
        <v/>
      </c>
      <c r="DN34" t="str">
        <f>IFERROR(4*STDEV('Feeder Spreads'!P34:P53)/AVERAGE('Feeder Spreads'!P34:P53),"")</f>
        <v/>
      </c>
      <c r="DO34">
        <v>32.955599999999997</v>
      </c>
      <c r="DP34">
        <f>IFERROR(SQRT((SUMSQ('Feeder Spreads'!P34:P53)-2*SUMPRODUCT('Feeder Spreads'!P34:P53,'Feeder Spreads'!P35:P54)+SUMSQ('Feeder Spreads'!P35:P54)-('Feeder Spreads'!P34-'Feeder Spreads'!P54)^2/20)/19),"")</f>
        <v>0</v>
      </c>
      <c r="DR34">
        <f>IFERROR('Feeder Spreads'!V34,"")</f>
        <v>0</v>
      </c>
      <c r="DS34">
        <f>IFERROR(('Feeder Spreads'!W34-AVERAGE('Feeder Spreads'!$W$3:$W$4308))/STDEV('Feeder Spreads'!$W$3:$W$4308),"")</f>
        <v>-9.2057461789832332E-2</v>
      </c>
      <c r="DT34">
        <f>IFERROR('Feeder Spreads'!W34-'Feeder Spreads'!W39,"")</f>
        <v>0</v>
      </c>
      <c r="DU34">
        <f>IFERROR('Feeder Spreads'!W34-'Feeder Spreads'!W44,"")</f>
        <v>0</v>
      </c>
      <c r="DV34">
        <f>IFERROR(AVERAGE('Feeder Spreads'!W34:W53)+2*STDEV('Feeder Spreads'!W34:W53),"")</f>
        <v>0</v>
      </c>
      <c r="DW34">
        <f>IFERROR(AVERAGE('Feeder Spreads'!W34:W53)-2*STDEV('Feeder Spreads'!W34:W53),"")</f>
        <v>0</v>
      </c>
      <c r="DX34" t="str">
        <f>IFERROR(('Feeder Spreads'!W34-(AVERAGE('Feeder Spreads'!W34:W53)-2*STDEV('Feeder Spreads'!W34:W53)))/(4*STDEV('Feeder Spreads'!W34:W53)),"")</f>
        <v/>
      </c>
      <c r="DY34" t="str">
        <f>IFERROR(4*STDEV('Feeder Spreads'!W34:W53)/AVERAGE('Feeder Spreads'!W34:W53),"")</f>
        <v/>
      </c>
      <c r="DZ34">
        <v>69.306799999999996</v>
      </c>
      <c r="EA34">
        <f>IFERROR(SQRT((SUMSQ('Feeder Spreads'!W34:W53)-2*SUMPRODUCT('Feeder Spreads'!W34:W53,'Feeder Spreads'!W35:W54)+SUMSQ('Feeder Spreads'!W35:W54)-('Feeder Spreads'!W34-'Feeder Spreads'!W54)^2/20)/19),"")</f>
        <v>0</v>
      </c>
      <c r="EC34">
        <f>IFERROR('Feeder Spreads'!AC34,"")</f>
        <v>0</v>
      </c>
      <c r="ED34">
        <f>IFERROR(('Feeder Spreads'!AD34-AVERAGE('Feeder Spreads'!$AD$3:$AD$4308))/STDEV('Feeder Spreads'!$AD$3:$AD$4308),"")</f>
        <v>9.2057461789832318E-2</v>
      </c>
      <c r="EE34">
        <f>IFERROR('Feeder Spreads'!AD34-'Feeder Spreads'!AD39,"")</f>
        <v>0</v>
      </c>
      <c r="EF34">
        <f>IFERROR('Feeder Spreads'!AD34-'Feeder Spreads'!AD44,"")</f>
        <v>0</v>
      </c>
      <c r="EG34">
        <f>IFERROR(AVERAGE('Feeder Spreads'!AD34:AD53)+2*STDEV('Feeder Spreads'!AD34:AD53),"")</f>
        <v>0</v>
      </c>
      <c r="EH34">
        <f>IFERROR(AVERAGE('Feeder Spreads'!AD34:AD53)-2*STDEV('Feeder Spreads'!AD34:AD53),"")</f>
        <v>0</v>
      </c>
      <c r="EI34" t="str">
        <f>IFERROR(('Feeder Spreads'!AD34-(AVERAGE('Feeder Spreads'!AD34:AD53)-2*STDEV('Feeder Spreads'!AD34:AD53)))/(4*STDEV('Feeder Spreads'!AD34:AD53)),"")</f>
        <v/>
      </c>
      <c r="EJ34" t="str">
        <f>IFERROR(4*STDEV('Feeder Spreads'!AD34:AD53)/AVERAGE('Feeder Spreads'!AD34:AD53),"")</f>
        <v/>
      </c>
      <c r="EK34">
        <v>48.040199999999999</v>
      </c>
      <c r="EL34">
        <f>IFERROR(SQRT((SUMSQ('Feeder Spreads'!AD34:AD53)-2*SUMPRODUCT('Feeder Spreads'!AD34:AD53,'Feeder Spreads'!AD35:AD54)+SUMSQ('Feeder Spreads'!AD35:AD54)-('Feeder Spreads'!AD34-'Feeder Spreads'!AD54)^2/20)/19),"")</f>
        <v>0</v>
      </c>
      <c r="EN34">
        <f>IFERROR('Feeder Spreads'!AJ34,"")</f>
        <v>0</v>
      </c>
      <c r="EO34">
        <f>IFERROR(('Feeder Spreads'!AK34-AVERAGE('Feeder Spreads'!$AK$3:$AK$4308))/STDEV('Feeder Spreads'!$AK$3:$AK$4308),"")</f>
        <v>-9.2057461789832346E-2</v>
      </c>
      <c r="EP34">
        <f>IFERROR('Feeder Spreads'!AK34-'Feeder Spreads'!AK39,"")</f>
        <v>0</v>
      </c>
      <c r="EQ34">
        <f>IFERROR('Feeder Spreads'!AK34-'Feeder Spreads'!AK44,"")</f>
        <v>0</v>
      </c>
      <c r="ER34">
        <f>IFERROR(AVERAGE('Feeder Spreads'!AK34:AK53)+2*STDEV('Feeder Spreads'!AK34:AK53),"")</f>
        <v>0</v>
      </c>
      <c r="ES34">
        <f>IFERROR(AVERAGE('Feeder Spreads'!AK34:AK53)-2*STDEV('Feeder Spreads'!AK34:AK53),"")</f>
        <v>0</v>
      </c>
      <c r="ET34" t="str">
        <f>IFERROR(('Feeder Spreads'!AK34-(AVERAGE('Feeder Spreads'!AK34:AK53)-2*STDEV('Feeder Spreads'!AK34:AK53)))/(4*STDEV('Feeder Spreads'!AK34:AK53)),"")</f>
        <v/>
      </c>
      <c r="EU34" t="str">
        <f>IFERROR(4*STDEV('Feeder Spreads'!AK34:AK53)/AVERAGE('Feeder Spreads'!AK34:AK53),"")</f>
        <v/>
      </c>
      <c r="EV34">
        <v>39.066299999999998</v>
      </c>
      <c r="EW34">
        <f>IFERROR(SQRT((SUMSQ('Feeder Spreads'!AK34:AK53)-2*SUMPRODUCT('Feeder Spreads'!AK34:AK53,'Feeder Spreads'!AK35:AK54)+SUMSQ('Feeder Spreads'!AK35:AK54)-('Feeder Spreads'!AK34-'Feeder Spreads'!AK54)^2/20)/19),"")</f>
        <v>0</v>
      </c>
      <c r="EY34">
        <f>IFERROR('Feeder Spreads'!AQ34,"")</f>
        <v>0</v>
      </c>
      <c r="EZ34">
        <f>IFERROR(('Feeder Spreads'!AR34-AVERAGE('Feeder Spreads'!$AR$3:$AR$4308))/STDEV('Feeder Spreads'!$AR$3:$AR$4308),"")</f>
        <v>-9.2057461789832332E-2</v>
      </c>
      <c r="FA34">
        <f>IFERROR('Feeder Spreads'!AR34-'Feeder Spreads'!AR39,"")</f>
        <v>0</v>
      </c>
      <c r="FB34">
        <f>IFERROR('Feeder Spreads'!AR34-'Feeder Spreads'!AR44,"")</f>
        <v>0</v>
      </c>
      <c r="FC34">
        <f>IFERROR(AVERAGE('Feeder Spreads'!AR34:AR53)+2*STDEV('Feeder Spreads'!AR34:AR53),"")</f>
        <v>0</v>
      </c>
      <c r="FD34">
        <f>IFERROR(AVERAGE('Feeder Spreads'!AR34:AR53)-2*STDEV('Feeder Spreads'!AR34:AR53),"")</f>
        <v>0</v>
      </c>
      <c r="FE34" t="str">
        <f>IFERROR(('Feeder Spreads'!AR34-(AVERAGE('Feeder Spreads'!AR34:AR53)-2*STDEV('Feeder Spreads'!AR34:AR53)))/(4*STDEV('Feeder Spreads'!AR34:AR53)),"")</f>
        <v/>
      </c>
      <c r="FF34" t="str">
        <f>IFERROR(4*STDEV('Feeder Spreads'!AR34:AR53)/AVERAGE('Feeder Spreads'!AR34:AR53),"")</f>
        <v/>
      </c>
      <c r="FG34">
        <v>34.951000000000001</v>
      </c>
      <c r="FH34">
        <f>IFERROR(SQRT((SUMSQ('Feeder Spreads'!AR34:AR53)-2*SUMPRODUCT('Feeder Spreads'!AR34:AR53,'Feeder Spreads'!AR35:AR54)+SUMSQ('Feeder Spreads'!AR35:AR54)-('Feeder Spreads'!AR34-'Feeder Spreads'!AR54)^2/20)/19),"")</f>
        <v>0</v>
      </c>
      <c r="FJ34">
        <f>IFERROR('Fat Spreads'!AX34,"")</f>
        <v>0</v>
      </c>
      <c r="FK34">
        <f>IFERROR(('Fat Spreads'!AY34-AVERAGE('Fat Spreads'!$AY$3:$AY$4308))/STDEV('Fat Spreads'!$AY$3:$AY$4308),"")</f>
        <v>9.2057461789832332E-2</v>
      </c>
      <c r="FL34">
        <f>IFERROR('Fat Spreads'!AY34-'Fat Spreads'!AY39,"")</f>
        <v>0</v>
      </c>
      <c r="FM34">
        <f>IFERROR('Fat Spreads'!AY34-'Fat Spreads'!AY44,"")</f>
        <v>0</v>
      </c>
      <c r="FN34">
        <f>IFERROR(AVERAGE('Fat Spreads'!AY34:AY53)+2*STDEV('Fat Spreads'!AY34:AY53),"")</f>
        <v>0</v>
      </c>
      <c r="FO34">
        <f>IFERROR(AVERAGE('Fat Spreads'!AY34:AY53)-2*STDEV('Fat Spreads'!AY34:AY53),"")</f>
        <v>0</v>
      </c>
      <c r="FP34" t="str">
        <f>IFERROR(('Fat Spreads'!AY34-(AVERAGE('Fat Spreads'!AY34:AY53)-2*STDEV('Fat Spreads'!AY34:AY53)))/(4*STDEV('Fat Spreads'!AY34:AY53)),"")</f>
        <v/>
      </c>
      <c r="FQ34" t="str">
        <f>IFERROR(4*STDEV('Fat Spreads'!AY34:AY53)/AVERAGE('Fat Spreads'!AY34:AY53),"")</f>
        <v/>
      </c>
      <c r="FR34">
        <v>27.118099999999998</v>
      </c>
      <c r="FS34">
        <f>IFERROR(SQRT((SUMSQ('Fat Spreads'!AY34:AY53)-2*SUMPRODUCT('Fat Spreads'!AY34:AY53,'Fat Spreads'!AY35:AY54)+SUMSQ('Fat Spreads'!AY35:AY54)-('Fat Spreads'!AY34-'Fat Spreads'!AY54)^2/20)/19),"")</f>
        <v>0</v>
      </c>
      <c r="FU34">
        <f>IFERROR('Fat Spreads'!BE34,"")</f>
        <v>0</v>
      </c>
      <c r="FV34">
        <f>IFERROR(('Fat Spreads'!BF34-AVERAGE('Fat Spreads'!$BF$3:$BF$4308))/STDEV('Fat Spreads'!$BF$3:$BF$4308),"")</f>
        <v>9.2057461789832332E-2</v>
      </c>
      <c r="FW34">
        <f>IFERROR('Fat Spreads'!BF34-'Fat Spreads'!BF39,"")</f>
        <v>0</v>
      </c>
      <c r="FX34">
        <f>IFERROR('Fat Spreads'!BF34-'Fat Spreads'!BF44,"")</f>
        <v>0</v>
      </c>
      <c r="FY34">
        <f>IFERROR(AVERAGE('Fat Spreads'!BF34:BF53)+2*STDEV('Fat Spreads'!BF34:BF53),"")</f>
        <v>0</v>
      </c>
      <c r="FZ34">
        <f>IFERROR(AVERAGE('Fat Spreads'!BF34:BF53)-2*STDEV('Fat Spreads'!BF34:BF53),"")</f>
        <v>0</v>
      </c>
      <c r="GA34" t="str">
        <f>IFERROR(('Fat Spreads'!BF34-(AVERAGE('Fat Spreads'!BF34:BF53)-2*STDEV('Fat Spreads'!BF34:BF53)))/(4*STDEV('Fat Spreads'!BF34:BF53)),"")</f>
        <v/>
      </c>
      <c r="GB34" t="str">
        <f>IFERROR(4*STDEV('Fat Spreads'!BF34:BF53)/AVERAGE('Fat Spreads'!BF34:BF53),"")</f>
        <v/>
      </c>
      <c r="GC34">
        <v>33.587600000000002</v>
      </c>
      <c r="GD34">
        <f>IFERROR(SQRT((SUMSQ('Fat Spreads'!BF34:BF53)-2*SUMPRODUCT('Fat Spreads'!BF34:BF53,'Fat Spreads'!BF35:BF54)+SUMSQ('Fat Spreads'!BF35:BF54)-('Fat Spreads'!BF34-'Fat Spreads'!BF54)^2/20)/19),"")</f>
        <v>0</v>
      </c>
    </row>
    <row r="35" spans="1:186" x14ac:dyDescent="0.25">
      <c r="A35">
        <f>IFERROR('Fat Spreads'!A35,"")</f>
        <v>0</v>
      </c>
      <c r="B35">
        <f>IFERROR(('Fat Spreads'!B35-AVERAGE('Fat Spreads'!$B$3:$B$4308))/STDEV('Fat Spreads'!$B$3:$B$4308),"")</f>
        <v>9.2057461789832346E-2</v>
      </c>
      <c r="C35">
        <f>IFERROR('Fat Spreads'!B35-'Fat Spreads'!B40,"")</f>
        <v>0</v>
      </c>
      <c r="D35">
        <f>IFERROR('Fat Spreads'!B35-'Fat Spreads'!B45,"")</f>
        <v>0</v>
      </c>
      <c r="E35">
        <f>IFERROR(AVERAGE('Fat Spreads'!B35:B54)+2*STDEV('Fat Spreads'!B35:B54),"")</f>
        <v>0</v>
      </c>
      <c r="F35">
        <f>IFERROR(AVERAGE('Fat Spreads'!B35:B54)-2*STDEV('Fat Spreads'!B35:B54),"")</f>
        <v>0</v>
      </c>
      <c r="G35" t="str">
        <f>IFERROR(('Fat Spreads'!B35-(AVERAGE('Fat Spreads'!B35:B54)-2*STDEV('Fat Spreads'!B35:B54)))/(4*STDEV('Fat Spreads'!B35:B54)),"")</f>
        <v/>
      </c>
      <c r="H35" t="str">
        <f>IFERROR(4*STDEV('Fat Spreads'!B35:B54)/AVERAGE('Fat Spreads'!B35:B54),"")</f>
        <v/>
      </c>
      <c r="I35">
        <v>30.0596</v>
      </c>
      <c r="J35">
        <f>IFERROR(SQRT((SUMSQ('Fat Spreads'!B35:B54)-2*SUMPRODUCT('Fat Spreads'!B35:B54,'Fat Spreads'!B36:B55)+SUMSQ('Fat Spreads'!B36:B55)-('Fat Spreads'!B35-'Fat Spreads'!B55)^2/20)/19),"")</f>
        <v>0</v>
      </c>
      <c r="L35">
        <f>IFERROR('Fat Spreads'!H35,"")</f>
        <v>0</v>
      </c>
      <c r="M35">
        <f>IFERROR(('Fat Spreads'!I35-AVERAGE('Fat Spreads'!$I$3:$I$4308))/STDEV('Fat Spreads'!$I$3:$I$4308),"")</f>
        <v>-9.2057461789832332E-2</v>
      </c>
      <c r="N35">
        <f>IFERROR('Fat Spreads'!I35-'Fat Spreads'!I40,"")</f>
        <v>0</v>
      </c>
      <c r="O35">
        <f>IFERROR('Fat Spreads'!I35-'Fat Spreads'!I45,"")</f>
        <v>0</v>
      </c>
      <c r="P35">
        <f>IFERROR(AVERAGE('Fat Spreads'!I35:I54)+2*STDEV('Fat Spreads'!I35:I54),"")</f>
        <v>0</v>
      </c>
      <c r="Q35">
        <f>IFERROR(AVERAGE('Fat Spreads'!I35:I54)-2*STDEV('Fat Spreads'!I35:I54),"")</f>
        <v>0</v>
      </c>
      <c r="R35" t="str">
        <f>IFERROR(('Fat Spreads'!I35-(AVERAGE('Fat Spreads'!I35:I54)-2*STDEV('Fat Spreads'!I35:I54)))/(4*STDEV('Fat Spreads'!I35:I54)),"")</f>
        <v/>
      </c>
      <c r="S35" t="str">
        <f>IFERROR(4*STDEV('Fat Spreads'!I35:I54)/AVERAGE('Fat Spreads'!I35:I54),"")</f>
        <v/>
      </c>
      <c r="T35">
        <v>59.156799999999997</v>
      </c>
      <c r="U35">
        <f>IFERROR(SQRT((SUMSQ('Fat Spreads'!I35:I54)-2*SUMPRODUCT('Fat Spreads'!I35:I54,'Fat Spreads'!I36:I55)+SUMSQ('Fat Spreads'!I36:I55)-('Fat Spreads'!I35-'Fat Spreads'!I55)^2/20)/19),"")</f>
        <v>0</v>
      </c>
      <c r="W35">
        <f>IFERROR('Fat Spreads'!AQ35,"")</f>
        <v>0</v>
      </c>
      <c r="X35">
        <f>IFERROR(('Fat Spreads'!AR35-AVERAGE('Fat Spreads'!$AR$3:$AR$4308))/STDEV('Fat Spreads'!$AR$3:$AR$4308),"")</f>
        <v>-9.2057461789832346E-2</v>
      </c>
      <c r="Y35">
        <f>IFERROR('Fat Spreads'!AR35-'Fat Spreads'!AR40,"")</f>
        <v>0</v>
      </c>
      <c r="Z35">
        <f>IFERROR('Fat Spreads'!AR35-'Fat Spreads'!AR45,"")</f>
        <v>0</v>
      </c>
      <c r="AA35">
        <f>IFERROR(AVERAGE('Fat Spreads'!AR35:AR54)+2*STDEV('Fat Spreads'!AR35:AR54),"")</f>
        <v>0</v>
      </c>
      <c r="AB35">
        <f>IFERROR(AVERAGE('Fat Spreads'!AR35:AR54)-2*STDEV('Fat Spreads'!AR35:AR54),"")</f>
        <v>0</v>
      </c>
      <c r="AC35" t="str">
        <f>IFERROR(('Fat Spreads'!AR35-(AVERAGE('Fat Spreads'!AR35:AR54)-2*STDEV('Fat Spreads'!AR35:AR54)))/(4*STDEV('Fat Spreads'!AR35:AR54)),"")</f>
        <v/>
      </c>
      <c r="AD35" t="str">
        <f>IFERROR(4*STDEV('Fat Spreads'!AR35:AR54)/AVERAGE('Fat Spreads'!AR35:AR54),"")</f>
        <v/>
      </c>
      <c r="AE35">
        <v>71.749899999999997</v>
      </c>
      <c r="AF35">
        <f>IFERROR(SQRT((SUMSQ('Fat Spreads'!AR35:AR54)-2*SUMPRODUCT('Fat Spreads'!AR35:AR54,'Fat Spreads'!AR36:AR55)+SUMSQ('Fat Spreads'!AR36:AR55)-('Fat Spreads'!AR35-'Fat Spreads'!AR55)^2/20)/19),"")</f>
        <v>0</v>
      </c>
      <c r="AH35">
        <f>IFERROR('Fat Spreads'!O35,"")</f>
        <v>0</v>
      </c>
      <c r="AI35">
        <f>IFERROR(('Fat Spreads'!P35-AVERAGE('Fat Spreads'!$P$3:$P$4308))/STDEV('Fat Spreads'!$P$3:$P$4308),"")</f>
        <v>-9.2057461789832332E-2</v>
      </c>
      <c r="AJ35">
        <f>IFERROR('Fat Spreads'!P35-'Fat Spreads'!P40,"")</f>
        <v>0</v>
      </c>
      <c r="AK35">
        <f>IFERROR('Fat Spreads'!P35-'Fat Spreads'!P45,"")</f>
        <v>0</v>
      </c>
      <c r="AL35">
        <f>IFERROR(AVERAGE('Fat Spreads'!P35:P54)+2*STDEV('Fat Spreads'!P35:P54),"")</f>
        <v>0</v>
      </c>
      <c r="AM35">
        <f>IFERROR(AVERAGE('Fat Spreads'!P35:P54)-2*STDEV('Fat Spreads'!P35:P54),"")</f>
        <v>0</v>
      </c>
      <c r="AN35" t="str">
        <f>IFERROR(('Fat Spreads'!P35-(AVERAGE('Fat Spreads'!P35:P54)-2*STDEV('Fat Spreads'!P35:P54)))/(4*STDEV('Fat Spreads'!P35:P54)),"")</f>
        <v/>
      </c>
      <c r="AO35" t="str">
        <f>IFERROR(4*STDEV('Fat Spreads'!P35:P54)/AVERAGE('Fat Spreads'!P35:P54),"")</f>
        <v/>
      </c>
      <c r="AP35">
        <v>75.819900000000004</v>
      </c>
      <c r="AQ35">
        <f>IFERROR(SQRT((SUMSQ('Fat Spreads'!P35:P54)-2*SUMPRODUCT('Fat Spreads'!P35:P54,'Fat Spreads'!P36:P55)+SUMSQ('Fat Spreads'!P36:P55)-('Fat Spreads'!P35-'Fat Spreads'!P55)^2/20)/19),"")</f>
        <v>0</v>
      </c>
      <c r="AS35">
        <f>IFERROR('Fat Spreads'!AJ35,"")</f>
        <v>0</v>
      </c>
      <c r="AT35">
        <f>IFERROR(('Fat Spreads'!AK35-AVERAGE('Fat Spreads'!$AK$3:$AK$4308))/STDEV('Fat Spreads'!$AK$3:$AK$4308),"")</f>
        <v>-9.2057461789832332E-2</v>
      </c>
      <c r="AU35">
        <f>IFERROR('Fat Spreads'!AK35-'Fat Spreads'!AK40,"")</f>
        <v>0</v>
      </c>
      <c r="AV35">
        <f>IFERROR('Fat Spreads'!AK35-'Fat Spreads'!AK45,"")</f>
        <v>0</v>
      </c>
      <c r="AW35">
        <f>IFERROR(AVERAGE('Fat Spreads'!AK35:AK54)+2*STDEV('Fat Spreads'!AK35:AK54),"")</f>
        <v>0</v>
      </c>
      <c r="AX35">
        <f>IFERROR(AVERAGE('Fat Spreads'!AK35:AK54)-2*STDEV('Fat Spreads'!AK35:AK54),"")</f>
        <v>0</v>
      </c>
      <c r="AY35" t="str">
        <f>IFERROR(('Fat Spreads'!AK35-(AVERAGE('Fat Spreads'!AK35:AK54)-2*STDEV('Fat Spreads'!AK35:AK54)))/(4*STDEV('Fat Spreads'!AK35:AK54)),"")</f>
        <v/>
      </c>
      <c r="AZ35" t="str">
        <f>IFERROR(4*STDEV('Fat Spreads'!AK35:AK54)/AVERAGE('Fat Spreads'!AK35:AK54),"")</f>
        <v/>
      </c>
      <c r="BA35">
        <v>34.940800000000003</v>
      </c>
      <c r="BB35">
        <f>IFERROR(SQRT((SUMSQ('Fat Spreads'!AK35:AK54)-2*SUMPRODUCT('Fat Spreads'!AK35:AK54,'Fat Spreads'!AK36:AK55)+SUMSQ('Fat Spreads'!AK36:AK55)-('Fat Spreads'!AK35-'Fat Spreads'!AK55)^2/20)/19),"")</f>
        <v>0</v>
      </c>
      <c r="BD35">
        <f>IFERROR('Fat Spreads'!V35,"")</f>
        <v>0</v>
      </c>
      <c r="BE35">
        <f>IFERROR(('Fat Spreads'!W35-AVERAGE('Fat Spreads'!$W$3:$W$4308))/STDEV('Fat Spreads'!$W$3:$W$4308),"")</f>
        <v>-9.2057461789832332E-2</v>
      </c>
      <c r="BF35">
        <f>IFERROR('Fat Spreads'!W35-'Fat Spreads'!W40,"")</f>
        <v>0</v>
      </c>
      <c r="BG35">
        <f>IFERROR('Fat Spreads'!W35-'Fat Spreads'!W45,"")</f>
        <v>0</v>
      </c>
      <c r="BH35">
        <f>IFERROR(AVERAGE('Fat Spreads'!W35:W54)+2*STDEV('Fat Spreads'!W35:W54),"")</f>
        <v>0</v>
      </c>
      <c r="BI35">
        <f>IFERROR(AVERAGE('Fat Spreads'!W35:W54)-2*STDEV('Fat Spreads'!W35:W54),"")</f>
        <v>0</v>
      </c>
      <c r="BJ35" t="str">
        <f>IFERROR(('Fat Spreads'!W35-(AVERAGE('Fat Spreads'!W35:W54)-2*STDEV('Fat Spreads'!W35:W54)))/(4*STDEV('Fat Spreads'!W35:W54)),"")</f>
        <v/>
      </c>
      <c r="BK35" t="str">
        <f>IFERROR(4*STDEV('Fat Spreads'!W35:W54)/AVERAGE('Fat Spreads'!W35:W54),"")</f>
        <v/>
      </c>
      <c r="BL35">
        <v>56.871499999999997</v>
      </c>
      <c r="BM35">
        <f>IFERROR(SQRT((SUMSQ('Fat Spreads'!W35:W54)-2*SUMPRODUCT('Fat Spreads'!W35:W54,'Fat Spreads'!W36:W55)+SUMSQ('Fat Spreads'!W36:W55)-('Fat Spreads'!W35-'Fat Spreads'!W55)^2/20)/19),"")</f>
        <v>0</v>
      </c>
      <c r="BO35">
        <f>IFERROR('Fat Spreads'!AC35,"")</f>
        <v>0</v>
      </c>
      <c r="BP35">
        <f>IFERROR(('Fat Spreads'!AD35-AVERAGE('Fat Spreads'!$AD$3:$AD$4308))/STDEV('Fat Spreads'!$AD$3:$AD$4308),"")</f>
        <v>-9.2057461789832332E-2</v>
      </c>
      <c r="BQ35">
        <f>IFERROR('Fat Spreads'!AD35-'Fat Spreads'!AD40,"")</f>
        <v>0</v>
      </c>
      <c r="BR35">
        <f>IFERROR('Fat Spreads'!AD35-'Fat Spreads'!AD45,"")</f>
        <v>0</v>
      </c>
      <c r="BS35">
        <f>IFERROR(AVERAGE('Fat Spreads'!AD35:AD54)+2*STDEV('Fat Spreads'!AD35:AD54),"")</f>
        <v>0</v>
      </c>
      <c r="BT35">
        <f>IFERROR(AVERAGE('Fat Spreads'!AD35:AD54)-2*STDEV('Fat Spreads'!AD35:AD54),"")</f>
        <v>0</v>
      </c>
      <c r="BU35" t="str">
        <f>IFERROR(('Fat Spreads'!AD35-(AVERAGE('Fat Spreads'!AD35:AD54)-2*STDEV('Fat Spreads'!AD35:AD54)))/(4*STDEV('Fat Spreads'!AD35:AD54)),"")</f>
        <v/>
      </c>
      <c r="BV35" t="str">
        <f>IFERROR(4*STDEV('Fat Spreads'!AD35:AD54)/AVERAGE('Fat Spreads'!AD35:AD54),"")</f>
        <v/>
      </c>
      <c r="BW35">
        <v>64.804000000000002</v>
      </c>
      <c r="BX35">
        <f>IFERROR(SQRT((SUMSQ('Fat Spreads'!AD35:AD54)-2*SUMPRODUCT('Fat Spreads'!AD35:AD54,'Fat Spreads'!AD36:AD55)+SUMSQ('Fat Spreads'!AD36:AD55)-('Fat Spreads'!AD35-'Fat Spreads'!AD55)^2/20)/19),"")</f>
        <v>0</v>
      </c>
      <c r="BZ35">
        <f>IFERROR('Feeder Spreads'!A35,"")</f>
        <v>0</v>
      </c>
      <c r="CA35">
        <f>IFERROR(('Feeder Spreads'!B35-AVERAGE('Feeder Spreads'!$B$3:$B$4308))/STDEV('Feeder Spreads'!$B$3:$B$4308),"")</f>
        <v>-9.2057461789832346E-2</v>
      </c>
      <c r="CB35">
        <f>IFERROR('Feeder Spreads'!B35-'Feeder Spreads'!B40,"")</f>
        <v>0</v>
      </c>
      <c r="CC35">
        <f>IFERROR('Feeder Spreads'!B35-'Feeder Spreads'!B45,"")</f>
        <v>0</v>
      </c>
      <c r="CD35">
        <f>IFERROR(AVERAGE('Feeder Spreads'!B35:B54)+2*STDEV('Feeder Spreads'!B35:B54),"")</f>
        <v>0</v>
      </c>
      <c r="CE35">
        <f>IFERROR(AVERAGE('Feeder Spreads'!B35:B54)-2*STDEV('Feeder Spreads'!B35:B54),"")</f>
        <v>0</v>
      </c>
      <c r="CF35" t="str">
        <f>IFERROR(('Feeder Spreads'!B35-(AVERAGE('Feeder Spreads'!B35:B54)-2*STDEV('Feeder Spreads'!B35:B54)))/(4*STDEV('Feeder Spreads'!B35:B54)),"")</f>
        <v/>
      </c>
      <c r="CG35" t="str">
        <f>IFERROR(4*STDEV('Feeder Spreads'!B35:B54)/AVERAGE('Feeder Spreads'!B35:B54),"")</f>
        <v/>
      </c>
      <c r="CH35">
        <v>45.010199999999998</v>
      </c>
      <c r="CI35">
        <f>IFERROR(SQRT((SUMSQ('Feeder Spreads'!B35:B54)-2*SUMPRODUCT('Feeder Spreads'!B35:B54,'Feeder Spreads'!B36:B55)+SUMSQ('Feeder Spreads'!B36:B55)-('Feeder Spreads'!B35-'Feeder Spreads'!B55)^2/20)/19),"")</f>
        <v>0</v>
      </c>
      <c r="CK35">
        <f>IFERROR('Feeder Spreads'!AX35,"")</f>
        <v>0</v>
      </c>
      <c r="CL35">
        <f>IFERROR(('Feeder Spreads'!AY35-AVERAGE('Feeder Spreads'!$AY$3:$AY$4308))/STDEV('Feeder Spreads'!$AY$3:$AY$4308),"")</f>
        <v>-9.2057461789832346E-2</v>
      </c>
      <c r="CM35">
        <f>IFERROR('Feeder Spreads'!AY35-'Feeder Spreads'!AY40,"")</f>
        <v>0</v>
      </c>
      <c r="CN35">
        <f>IFERROR('Feeder Spreads'!AY35-'Feeder Spreads'!AY45,"")</f>
        <v>0</v>
      </c>
      <c r="CO35">
        <f>IFERROR(AVERAGE('Feeder Spreads'!AY35:AY54)+2*STDEV('Feeder Spreads'!AY35:AY54),"")</f>
        <v>0</v>
      </c>
      <c r="CP35">
        <f>IFERROR(AVERAGE('Feeder Spreads'!AY35:AY54)-2*STDEV('Feeder Spreads'!AY35:AY54),"")</f>
        <v>0</v>
      </c>
      <c r="CQ35" t="str">
        <f>IFERROR(('Feeder Spreads'!AY35-(AVERAGE('Feeder Spreads'!AY35:AY54)-2*STDEV('Feeder Spreads'!AY35:AY54)))/(4*STDEV('Feeder Spreads'!AY35:AY54)),"")</f>
        <v/>
      </c>
      <c r="CR35" t="str">
        <f>IFERROR(4*STDEV('Feeder Spreads'!AY35:AY54)/AVERAGE('Feeder Spreads'!AY35:AY54),"")</f>
        <v/>
      </c>
      <c r="CS35">
        <v>58.922499999999999</v>
      </c>
      <c r="CT35">
        <f>IFERROR(SQRT((SUMSQ('Feeder Spreads'!AY35:AY54)-2*SUMPRODUCT('Feeder Spreads'!AY35:AY54,'Feeder Spreads'!AY36:AY55)+SUMSQ('Feeder Spreads'!AY36:AY55)-('Feeder Spreads'!AY35-'Feeder Spreads'!AY55)^2/20)/19),"")</f>
        <v>0</v>
      </c>
      <c r="CV35">
        <f>IFERROR('Feeder Spreads'!H35,"")</f>
        <v>0</v>
      </c>
      <c r="CW35">
        <f>IFERROR(('Feeder Spreads'!I35-AVERAGE('Feeder Spreads'!$I$3:$I$4308))/STDEV('Feeder Spreads'!$I$3:$I$4308),"")</f>
        <v>-9.2057461789832332E-2</v>
      </c>
      <c r="CX35">
        <f>IFERROR('Feeder Spreads'!I35-'Feeder Spreads'!I40,"")</f>
        <v>0</v>
      </c>
      <c r="CY35">
        <f>IFERROR('Feeder Spreads'!I35-'Feeder Spreads'!I45,"")</f>
        <v>0</v>
      </c>
      <c r="CZ35">
        <f>IFERROR(AVERAGE('Feeder Spreads'!I35:I54)+2*STDEV('Feeder Spreads'!I35:I54),"")</f>
        <v>0</v>
      </c>
      <c r="DA35">
        <f>IFERROR(AVERAGE('Feeder Spreads'!I35:I54)-2*STDEV('Feeder Spreads'!I35:I54),"")</f>
        <v>0</v>
      </c>
      <c r="DB35" t="str">
        <f>IFERROR(('Feeder Spreads'!I35-(AVERAGE('Feeder Spreads'!I35:I54)-2*STDEV('Feeder Spreads'!I35:I54)))/(4*STDEV('Feeder Spreads'!I35:I54)),"")</f>
        <v/>
      </c>
      <c r="DC35" t="str">
        <f>IFERROR(4*STDEV('Feeder Spreads'!I35:I54)/AVERAGE('Feeder Spreads'!I35:I54),"")</f>
        <v/>
      </c>
      <c r="DD35">
        <v>47.673299999999998</v>
      </c>
      <c r="DE35">
        <f>IFERROR(SQRT((SUMSQ('Feeder Spreads'!I35:I54)-2*SUMPRODUCT('Feeder Spreads'!I35:I54,'Feeder Spreads'!I36:I55)+SUMSQ('Feeder Spreads'!I36:I55)-('Feeder Spreads'!I35-'Feeder Spreads'!I55)^2/20)/19),"")</f>
        <v>0</v>
      </c>
      <c r="DG35">
        <f>IFERROR('Feeder Spreads'!O35,"")</f>
        <v>0</v>
      </c>
      <c r="DH35">
        <f>IFERROR(('Feeder Spreads'!P35-AVERAGE('Feeder Spreads'!$P$3:$P$4308))/STDEV('Feeder Spreads'!$P$3:$P$4308),"")</f>
        <v>-9.2057461789832346E-2</v>
      </c>
      <c r="DI35">
        <f>IFERROR('Feeder Spreads'!P35-'Feeder Spreads'!P40,"")</f>
        <v>0</v>
      </c>
      <c r="DJ35">
        <f>IFERROR('Feeder Spreads'!P35-'Feeder Spreads'!P45,"")</f>
        <v>0</v>
      </c>
      <c r="DK35">
        <f>IFERROR(AVERAGE('Feeder Spreads'!P35:P54)+2*STDEV('Feeder Spreads'!P35:P54),"")</f>
        <v>0</v>
      </c>
      <c r="DL35">
        <f>IFERROR(AVERAGE('Feeder Spreads'!P35:P54)-2*STDEV('Feeder Spreads'!P35:P54),"")</f>
        <v>0</v>
      </c>
      <c r="DM35" t="str">
        <f>IFERROR(('Feeder Spreads'!P35-(AVERAGE('Feeder Spreads'!P35:P54)-2*STDEV('Feeder Spreads'!P35:P54)))/(4*STDEV('Feeder Spreads'!P35:P54)),"")</f>
        <v/>
      </c>
      <c r="DN35" t="str">
        <f>IFERROR(4*STDEV('Feeder Spreads'!P35:P54)/AVERAGE('Feeder Spreads'!P35:P54),"")</f>
        <v/>
      </c>
      <c r="DO35">
        <v>32.301400000000001</v>
      </c>
      <c r="DP35">
        <f>IFERROR(SQRT((SUMSQ('Feeder Spreads'!P35:P54)-2*SUMPRODUCT('Feeder Spreads'!P35:P54,'Feeder Spreads'!P36:P55)+SUMSQ('Feeder Spreads'!P36:P55)-('Feeder Spreads'!P35-'Feeder Spreads'!P55)^2/20)/19),"")</f>
        <v>0</v>
      </c>
      <c r="DR35">
        <f>IFERROR('Feeder Spreads'!V35,"")</f>
        <v>0</v>
      </c>
      <c r="DS35">
        <f>IFERROR(('Feeder Spreads'!W35-AVERAGE('Feeder Spreads'!$W$3:$W$4308))/STDEV('Feeder Spreads'!$W$3:$W$4308),"")</f>
        <v>-9.2057461789832332E-2</v>
      </c>
      <c r="DT35">
        <f>IFERROR('Feeder Spreads'!W35-'Feeder Spreads'!W40,"")</f>
        <v>0</v>
      </c>
      <c r="DU35">
        <f>IFERROR('Feeder Spreads'!W35-'Feeder Spreads'!W45,"")</f>
        <v>0</v>
      </c>
      <c r="DV35">
        <f>IFERROR(AVERAGE('Feeder Spreads'!W35:W54)+2*STDEV('Feeder Spreads'!W35:W54),"")</f>
        <v>0</v>
      </c>
      <c r="DW35">
        <f>IFERROR(AVERAGE('Feeder Spreads'!W35:W54)-2*STDEV('Feeder Spreads'!W35:W54),"")</f>
        <v>0</v>
      </c>
      <c r="DX35" t="str">
        <f>IFERROR(('Feeder Spreads'!W35-(AVERAGE('Feeder Spreads'!W35:W54)-2*STDEV('Feeder Spreads'!W35:W54)))/(4*STDEV('Feeder Spreads'!W35:W54)),"")</f>
        <v/>
      </c>
      <c r="DY35" t="str">
        <f>IFERROR(4*STDEV('Feeder Spreads'!W35:W54)/AVERAGE('Feeder Spreads'!W35:W54),"")</f>
        <v/>
      </c>
      <c r="DZ35">
        <v>57.315199999999997</v>
      </c>
      <c r="EA35">
        <f>IFERROR(SQRT((SUMSQ('Feeder Spreads'!W35:W54)-2*SUMPRODUCT('Feeder Spreads'!W35:W54,'Feeder Spreads'!W36:W55)+SUMSQ('Feeder Spreads'!W36:W55)-('Feeder Spreads'!W35-'Feeder Spreads'!W55)^2/20)/19),"")</f>
        <v>0</v>
      </c>
      <c r="EC35">
        <f>IFERROR('Feeder Spreads'!AC35,"")</f>
        <v>0</v>
      </c>
      <c r="ED35">
        <f>IFERROR(('Feeder Spreads'!AD35-AVERAGE('Feeder Spreads'!$AD$3:$AD$4308))/STDEV('Feeder Spreads'!$AD$3:$AD$4308),"")</f>
        <v>9.2057461789832318E-2</v>
      </c>
      <c r="EE35">
        <f>IFERROR('Feeder Spreads'!AD35-'Feeder Spreads'!AD40,"")</f>
        <v>0</v>
      </c>
      <c r="EF35">
        <f>IFERROR('Feeder Spreads'!AD35-'Feeder Spreads'!AD45,"")</f>
        <v>0</v>
      </c>
      <c r="EG35">
        <f>IFERROR(AVERAGE('Feeder Spreads'!AD35:AD54)+2*STDEV('Feeder Spreads'!AD35:AD54),"")</f>
        <v>0</v>
      </c>
      <c r="EH35">
        <f>IFERROR(AVERAGE('Feeder Spreads'!AD35:AD54)-2*STDEV('Feeder Spreads'!AD35:AD54),"")</f>
        <v>0</v>
      </c>
      <c r="EI35" t="str">
        <f>IFERROR(('Feeder Spreads'!AD35-(AVERAGE('Feeder Spreads'!AD35:AD54)-2*STDEV('Feeder Spreads'!AD35:AD54)))/(4*STDEV('Feeder Spreads'!AD35:AD54)),"")</f>
        <v/>
      </c>
      <c r="EJ35" t="str">
        <f>IFERROR(4*STDEV('Feeder Spreads'!AD35:AD54)/AVERAGE('Feeder Spreads'!AD35:AD54),"")</f>
        <v/>
      </c>
      <c r="EK35">
        <v>54.902900000000002</v>
      </c>
      <c r="EL35">
        <f>IFERROR(SQRT((SUMSQ('Feeder Spreads'!AD35:AD54)-2*SUMPRODUCT('Feeder Spreads'!AD35:AD54,'Feeder Spreads'!AD36:AD55)+SUMSQ('Feeder Spreads'!AD36:AD55)-('Feeder Spreads'!AD35-'Feeder Spreads'!AD55)^2/20)/19),"")</f>
        <v>0</v>
      </c>
      <c r="EN35">
        <f>IFERROR('Feeder Spreads'!AJ35,"")</f>
        <v>0</v>
      </c>
      <c r="EO35">
        <f>IFERROR(('Feeder Spreads'!AK35-AVERAGE('Feeder Spreads'!$AK$3:$AK$4308))/STDEV('Feeder Spreads'!$AK$3:$AK$4308),"")</f>
        <v>-9.2057461789832346E-2</v>
      </c>
      <c r="EP35">
        <f>IFERROR('Feeder Spreads'!AK35-'Feeder Spreads'!AK40,"")</f>
        <v>0</v>
      </c>
      <c r="EQ35">
        <f>IFERROR('Feeder Spreads'!AK35-'Feeder Spreads'!AK45,"")</f>
        <v>0</v>
      </c>
      <c r="ER35">
        <f>IFERROR(AVERAGE('Feeder Spreads'!AK35:AK54)+2*STDEV('Feeder Spreads'!AK35:AK54),"")</f>
        <v>0</v>
      </c>
      <c r="ES35">
        <f>IFERROR(AVERAGE('Feeder Spreads'!AK35:AK54)-2*STDEV('Feeder Spreads'!AK35:AK54),"")</f>
        <v>0</v>
      </c>
      <c r="ET35" t="str">
        <f>IFERROR(('Feeder Spreads'!AK35-(AVERAGE('Feeder Spreads'!AK35:AK54)-2*STDEV('Feeder Spreads'!AK35:AK54)))/(4*STDEV('Feeder Spreads'!AK35:AK54)),"")</f>
        <v/>
      </c>
      <c r="EU35" t="str">
        <f>IFERROR(4*STDEV('Feeder Spreads'!AK35:AK54)/AVERAGE('Feeder Spreads'!AK35:AK54),"")</f>
        <v/>
      </c>
      <c r="EV35">
        <v>30.889800000000001</v>
      </c>
      <c r="EW35">
        <f>IFERROR(SQRT((SUMSQ('Feeder Spreads'!AK35:AK54)-2*SUMPRODUCT('Feeder Spreads'!AK35:AK54,'Feeder Spreads'!AK36:AK55)+SUMSQ('Feeder Spreads'!AK36:AK55)-('Feeder Spreads'!AK35-'Feeder Spreads'!AK55)^2/20)/19),"")</f>
        <v>0</v>
      </c>
      <c r="EY35">
        <f>IFERROR('Feeder Spreads'!AQ35,"")</f>
        <v>0</v>
      </c>
      <c r="EZ35">
        <f>IFERROR(('Feeder Spreads'!AR35-AVERAGE('Feeder Spreads'!$AR$3:$AR$4308))/STDEV('Feeder Spreads'!$AR$3:$AR$4308),"")</f>
        <v>-9.2057461789832332E-2</v>
      </c>
      <c r="FA35">
        <f>IFERROR('Feeder Spreads'!AR35-'Feeder Spreads'!AR40,"")</f>
        <v>0</v>
      </c>
      <c r="FB35">
        <f>IFERROR('Feeder Spreads'!AR35-'Feeder Spreads'!AR45,"")</f>
        <v>0</v>
      </c>
      <c r="FC35">
        <f>IFERROR(AVERAGE('Feeder Spreads'!AR35:AR54)+2*STDEV('Feeder Spreads'!AR35:AR54),"")</f>
        <v>0</v>
      </c>
      <c r="FD35">
        <f>IFERROR(AVERAGE('Feeder Spreads'!AR35:AR54)-2*STDEV('Feeder Spreads'!AR35:AR54),"")</f>
        <v>0</v>
      </c>
      <c r="FE35" t="str">
        <f>IFERROR(('Feeder Spreads'!AR35-(AVERAGE('Feeder Spreads'!AR35:AR54)-2*STDEV('Feeder Spreads'!AR35:AR54)))/(4*STDEV('Feeder Spreads'!AR35:AR54)),"")</f>
        <v/>
      </c>
      <c r="FF35" t="str">
        <f>IFERROR(4*STDEV('Feeder Spreads'!AR35:AR54)/AVERAGE('Feeder Spreads'!AR35:AR54),"")</f>
        <v/>
      </c>
      <c r="FG35">
        <v>29.896000000000001</v>
      </c>
      <c r="FH35">
        <f>IFERROR(SQRT((SUMSQ('Feeder Spreads'!AR35:AR54)-2*SUMPRODUCT('Feeder Spreads'!AR35:AR54,'Feeder Spreads'!AR36:AR55)+SUMSQ('Feeder Spreads'!AR36:AR55)-('Feeder Spreads'!AR35-'Feeder Spreads'!AR55)^2/20)/19),"")</f>
        <v>0</v>
      </c>
      <c r="FJ35">
        <f>IFERROR('Fat Spreads'!AX35,"")</f>
        <v>0</v>
      </c>
      <c r="FK35">
        <f>IFERROR(('Fat Spreads'!AY35-AVERAGE('Fat Spreads'!$AY$3:$AY$4308))/STDEV('Fat Spreads'!$AY$3:$AY$4308),"")</f>
        <v>9.2057461789832332E-2</v>
      </c>
      <c r="FL35">
        <f>IFERROR('Fat Spreads'!AY35-'Fat Spreads'!AY40,"")</f>
        <v>0</v>
      </c>
      <c r="FM35">
        <f>IFERROR('Fat Spreads'!AY35-'Fat Spreads'!AY45,"")</f>
        <v>0</v>
      </c>
      <c r="FN35">
        <f>IFERROR(AVERAGE('Fat Spreads'!AY35:AY54)+2*STDEV('Fat Spreads'!AY35:AY54),"")</f>
        <v>0</v>
      </c>
      <c r="FO35">
        <f>IFERROR(AVERAGE('Fat Spreads'!AY35:AY54)-2*STDEV('Fat Spreads'!AY35:AY54),"")</f>
        <v>0</v>
      </c>
      <c r="FP35" t="str">
        <f>IFERROR(('Fat Spreads'!AY35-(AVERAGE('Fat Spreads'!AY35:AY54)-2*STDEV('Fat Spreads'!AY35:AY54)))/(4*STDEV('Fat Spreads'!AY35:AY54)),"")</f>
        <v/>
      </c>
      <c r="FQ35" t="str">
        <f>IFERROR(4*STDEV('Fat Spreads'!AY35:AY54)/AVERAGE('Fat Spreads'!AY35:AY54),"")</f>
        <v/>
      </c>
      <c r="FR35">
        <v>28.420100000000001</v>
      </c>
      <c r="FS35">
        <f>IFERROR(SQRT((SUMSQ('Fat Spreads'!AY35:AY54)-2*SUMPRODUCT('Fat Spreads'!AY35:AY54,'Fat Spreads'!AY36:AY55)+SUMSQ('Fat Spreads'!AY36:AY55)-('Fat Spreads'!AY35-'Fat Spreads'!AY55)^2/20)/19),"")</f>
        <v>0</v>
      </c>
      <c r="FU35">
        <f>IFERROR('Fat Spreads'!BE35,"")</f>
        <v>0</v>
      </c>
      <c r="FV35">
        <f>IFERROR(('Fat Spreads'!BF35-AVERAGE('Fat Spreads'!$BF$3:$BF$4308))/STDEV('Fat Spreads'!$BF$3:$BF$4308),"")</f>
        <v>9.2057461789832332E-2</v>
      </c>
      <c r="FW35">
        <f>IFERROR('Fat Spreads'!BF35-'Fat Spreads'!BF40,"")</f>
        <v>0</v>
      </c>
      <c r="FX35">
        <f>IFERROR('Fat Spreads'!BF35-'Fat Spreads'!BF45,"")</f>
        <v>0</v>
      </c>
      <c r="FY35">
        <f>IFERROR(AVERAGE('Fat Spreads'!BF35:BF54)+2*STDEV('Fat Spreads'!BF35:BF54),"")</f>
        <v>0</v>
      </c>
      <c r="FZ35">
        <f>IFERROR(AVERAGE('Fat Spreads'!BF35:BF54)-2*STDEV('Fat Spreads'!BF35:BF54),"")</f>
        <v>0</v>
      </c>
      <c r="GA35" t="str">
        <f>IFERROR(('Fat Spreads'!BF35-(AVERAGE('Fat Spreads'!BF35:BF54)-2*STDEV('Fat Spreads'!BF35:BF54)))/(4*STDEV('Fat Spreads'!BF35:BF54)),"")</f>
        <v/>
      </c>
      <c r="GB35" t="str">
        <f>IFERROR(4*STDEV('Fat Spreads'!BF35:BF54)/AVERAGE('Fat Spreads'!BF35:BF54),"")</f>
        <v/>
      </c>
      <c r="GC35">
        <v>40.5047</v>
      </c>
      <c r="GD35">
        <f>IFERROR(SQRT((SUMSQ('Fat Spreads'!BF35:BF54)-2*SUMPRODUCT('Fat Spreads'!BF35:BF54,'Fat Spreads'!BF36:BF55)+SUMSQ('Fat Spreads'!BF36:BF55)-('Fat Spreads'!BF35-'Fat Spreads'!BF55)^2/20)/19),"")</f>
        <v>0</v>
      </c>
    </row>
    <row r="36" spans="1:186" x14ac:dyDescent="0.25">
      <c r="A36">
        <f>IFERROR('Fat Spreads'!A36,"")</f>
        <v>0</v>
      </c>
      <c r="B36">
        <f>IFERROR(('Fat Spreads'!B36-AVERAGE('Fat Spreads'!$B$3:$B$4308))/STDEV('Fat Spreads'!$B$3:$B$4308),"")</f>
        <v>9.2057461789832346E-2</v>
      </c>
      <c r="C36">
        <f>IFERROR('Fat Spreads'!B36-'Fat Spreads'!B41,"")</f>
        <v>0</v>
      </c>
      <c r="D36">
        <f>IFERROR('Fat Spreads'!B36-'Fat Spreads'!B46,"")</f>
        <v>0</v>
      </c>
      <c r="E36">
        <f>IFERROR(AVERAGE('Fat Spreads'!B36:B55)+2*STDEV('Fat Spreads'!B36:B55),"")</f>
        <v>0</v>
      </c>
      <c r="F36">
        <f>IFERROR(AVERAGE('Fat Spreads'!B36:B55)-2*STDEV('Fat Spreads'!B36:B55),"")</f>
        <v>0</v>
      </c>
      <c r="G36" t="str">
        <f>IFERROR(('Fat Spreads'!B36-(AVERAGE('Fat Spreads'!B36:B55)-2*STDEV('Fat Spreads'!B36:B55)))/(4*STDEV('Fat Spreads'!B36:B55)),"")</f>
        <v/>
      </c>
      <c r="H36" t="str">
        <f>IFERROR(4*STDEV('Fat Spreads'!B36:B55)/AVERAGE('Fat Spreads'!B36:B55),"")</f>
        <v/>
      </c>
      <c r="I36">
        <v>26.373899999999999</v>
      </c>
      <c r="J36">
        <f>IFERROR(SQRT((SUMSQ('Fat Spreads'!B36:B55)-2*SUMPRODUCT('Fat Spreads'!B36:B55,'Fat Spreads'!B37:B56)+SUMSQ('Fat Spreads'!B37:B56)-('Fat Spreads'!B36-'Fat Spreads'!B56)^2/20)/19),"")</f>
        <v>0</v>
      </c>
      <c r="L36">
        <f>IFERROR('Fat Spreads'!H36,"")</f>
        <v>0</v>
      </c>
      <c r="M36">
        <f>IFERROR(('Fat Spreads'!I36-AVERAGE('Fat Spreads'!$I$3:$I$4308))/STDEV('Fat Spreads'!$I$3:$I$4308),"")</f>
        <v>-9.2057461789832332E-2</v>
      </c>
      <c r="N36">
        <f>IFERROR('Fat Spreads'!I36-'Fat Spreads'!I41,"")</f>
        <v>0</v>
      </c>
      <c r="O36">
        <f>IFERROR('Fat Spreads'!I36-'Fat Spreads'!I46,"")</f>
        <v>0</v>
      </c>
      <c r="P36">
        <f>IFERROR(AVERAGE('Fat Spreads'!I36:I55)+2*STDEV('Fat Spreads'!I36:I55),"")</f>
        <v>0</v>
      </c>
      <c r="Q36">
        <f>IFERROR(AVERAGE('Fat Spreads'!I36:I55)-2*STDEV('Fat Spreads'!I36:I55),"")</f>
        <v>0</v>
      </c>
      <c r="R36" t="str">
        <f>IFERROR(('Fat Spreads'!I36-(AVERAGE('Fat Spreads'!I36:I55)-2*STDEV('Fat Spreads'!I36:I55)))/(4*STDEV('Fat Spreads'!I36:I55)),"")</f>
        <v/>
      </c>
      <c r="S36" t="str">
        <f>IFERROR(4*STDEV('Fat Spreads'!I36:I55)/AVERAGE('Fat Spreads'!I36:I55),"")</f>
        <v/>
      </c>
      <c r="T36">
        <v>55.544800000000002</v>
      </c>
      <c r="U36">
        <f>IFERROR(SQRT((SUMSQ('Fat Spreads'!I36:I55)-2*SUMPRODUCT('Fat Spreads'!I36:I55,'Fat Spreads'!I37:I56)+SUMSQ('Fat Spreads'!I37:I56)-('Fat Spreads'!I36-'Fat Spreads'!I56)^2/20)/19),"")</f>
        <v>0</v>
      </c>
      <c r="W36">
        <f>IFERROR('Fat Spreads'!AQ36,"")</f>
        <v>0</v>
      </c>
      <c r="X36">
        <f>IFERROR(('Fat Spreads'!AR36-AVERAGE('Fat Spreads'!$AR$3:$AR$4308))/STDEV('Fat Spreads'!$AR$3:$AR$4308),"")</f>
        <v>-9.2057461789832346E-2</v>
      </c>
      <c r="Y36">
        <f>IFERROR('Fat Spreads'!AR36-'Fat Spreads'!AR41,"")</f>
        <v>0</v>
      </c>
      <c r="Z36">
        <f>IFERROR('Fat Spreads'!AR36-'Fat Spreads'!AR46,"")</f>
        <v>0</v>
      </c>
      <c r="AA36">
        <f>IFERROR(AVERAGE('Fat Spreads'!AR36:AR55)+2*STDEV('Fat Spreads'!AR36:AR55),"")</f>
        <v>0</v>
      </c>
      <c r="AB36">
        <f>IFERROR(AVERAGE('Fat Spreads'!AR36:AR55)-2*STDEV('Fat Spreads'!AR36:AR55),"")</f>
        <v>0</v>
      </c>
      <c r="AC36" t="str">
        <f>IFERROR(('Fat Spreads'!AR36-(AVERAGE('Fat Spreads'!AR36:AR55)-2*STDEV('Fat Spreads'!AR36:AR55)))/(4*STDEV('Fat Spreads'!AR36:AR55)),"")</f>
        <v/>
      </c>
      <c r="AD36" t="str">
        <f>IFERROR(4*STDEV('Fat Spreads'!AR36:AR55)/AVERAGE('Fat Spreads'!AR36:AR55),"")</f>
        <v/>
      </c>
      <c r="AE36">
        <v>68.994500000000002</v>
      </c>
      <c r="AF36">
        <f>IFERROR(SQRT((SUMSQ('Fat Spreads'!AR36:AR55)-2*SUMPRODUCT('Fat Spreads'!AR36:AR55,'Fat Spreads'!AR37:AR56)+SUMSQ('Fat Spreads'!AR37:AR56)-('Fat Spreads'!AR36-'Fat Spreads'!AR56)^2/20)/19),"")</f>
        <v>0</v>
      </c>
      <c r="AH36">
        <f>IFERROR('Fat Spreads'!O36,"")</f>
        <v>0</v>
      </c>
      <c r="AI36">
        <f>IFERROR(('Fat Spreads'!P36-AVERAGE('Fat Spreads'!$P$3:$P$4308))/STDEV('Fat Spreads'!$P$3:$P$4308),"")</f>
        <v>-9.2057461789832332E-2</v>
      </c>
      <c r="AJ36">
        <f>IFERROR('Fat Spreads'!P36-'Fat Spreads'!P41,"")</f>
        <v>0</v>
      </c>
      <c r="AK36">
        <f>IFERROR('Fat Spreads'!P36-'Fat Spreads'!P46,"")</f>
        <v>0</v>
      </c>
      <c r="AL36">
        <f>IFERROR(AVERAGE('Fat Spreads'!P36:P55)+2*STDEV('Fat Spreads'!P36:P55),"")</f>
        <v>0</v>
      </c>
      <c r="AM36">
        <f>IFERROR(AVERAGE('Fat Spreads'!P36:P55)-2*STDEV('Fat Spreads'!P36:P55),"")</f>
        <v>0</v>
      </c>
      <c r="AN36" t="str">
        <f>IFERROR(('Fat Spreads'!P36-(AVERAGE('Fat Spreads'!P36:P55)-2*STDEV('Fat Spreads'!P36:P55)))/(4*STDEV('Fat Spreads'!P36:P55)),"")</f>
        <v/>
      </c>
      <c r="AO36" t="str">
        <f>IFERROR(4*STDEV('Fat Spreads'!P36:P55)/AVERAGE('Fat Spreads'!P36:P55),"")</f>
        <v/>
      </c>
      <c r="AP36">
        <v>72.286000000000001</v>
      </c>
      <c r="AQ36">
        <f>IFERROR(SQRT((SUMSQ('Fat Spreads'!P36:P55)-2*SUMPRODUCT('Fat Spreads'!P36:P55,'Fat Spreads'!P37:P56)+SUMSQ('Fat Spreads'!P37:P56)-('Fat Spreads'!P36-'Fat Spreads'!P56)^2/20)/19),"")</f>
        <v>0</v>
      </c>
      <c r="AS36">
        <f>IFERROR('Fat Spreads'!AJ36,"")</f>
        <v>0</v>
      </c>
      <c r="AT36">
        <f>IFERROR(('Fat Spreads'!AK36-AVERAGE('Fat Spreads'!$AK$3:$AK$4308))/STDEV('Fat Spreads'!$AK$3:$AK$4308),"")</f>
        <v>-9.2057461789832332E-2</v>
      </c>
      <c r="AU36">
        <f>IFERROR('Fat Spreads'!AK36-'Fat Spreads'!AK41,"")</f>
        <v>0</v>
      </c>
      <c r="AV36">
        <f>IFERROR('Fat Spreads'!AK36-'Fat Spreads'!AK46,"")</f>
        <v>0</v>
      </c>
      <c r="AW36">
        <f>IFERROR(AVERAGE('Fat Spreads'!AK36:AK55)+2*STDEV('Fat Spreads'!AK36:AK55),"")</f>
        <v>0</v>
      </c>
      <c r="AX36">
        <f>IFERROR(AVERAGE('Fat Spreads'!AK36:AK55)-2*STDEV('Fat Spreads'!AK36:AK55),"")</f>
        <v>0</v>
      </c>
      <c r="AY36" t="str">
        <f>IFERROR(('Fat Spreads'!AK36-(AVERAGE('Fat Spreads'!AK36:AK55)-2*STDEV('Fat Spreads'!AK36:AK55)))/(4*STDEV('Fat Spreads'!AK36:AK55)),"")</f>
        <v/>
      </c>
      <c r="AZ36" t="str">
        <f>IFERROR(4*STDEV('Fat Spreads'!AK36:AK55)/AVERAGE('Fat Spreads'!AK36:AK55),"")</f>
        <v/>
      </c>
      <c r="BA36">
        <v>36.845799999999997</v>
      </c>
      <c r="BB36">
        <f>IFERROR(SQRT((SUMSQ('Fat Spreads'!AK36:AK55)-2*SUMPRODUCT('Fat Spreads'!AK36:AK55,'Fat Spreads'!AK37:AK56)+SUMSQ('Fat Spreads'!AK37:AK56)-('Fat Spreads'!AK36-'Fat Spreads'!AK56)^2/20)/19),"")</f>
        <v>0</v>
      </c>
      <c r="BD36">
        <f>IFERROR('Fat Spreads'!V36,"")</f>
        <v>0</v>
      </c>
      <c r="BE36">
        <f>IFERROR(('Fat Spreads'!W36-AVERAGE('Fat Spreads'!$W$3:$W$4308))/STDEV('Fat Spreads'!$W$3:$W$4308),"")</f>
        <v>-9.2057461789832332E-2</v>
      </c>
      <c r="BF36">
        <f>IFERROR('Fat Spreads'!W36-'Fat Spreads'!W41,"")</f>
        <v>0</v>
      </c>
      <c r="BG36">
        <f>IFERROR('Fat Spreads'!W36-'Fat Spreads'!W46,"")</f>
        <v>0</v>
      </c>
      <c r="BH36">
        <f>IFERROR(AVERAGE('Fat Spreads'!W36:W55)+2*STDEV('Fat Spreads'!W36:W55),"")</f>
        <v>0</v>
      </c>
      <c r="BI36">
        <f>IFERROR(AVERAGE('Fat Spreads'!W36:W55)-2*STDEV('Fat Spreads'!W36:W55),"")</f>
        <v>0</v>
      </c>
      <c r="BJ36" t="str">
        <f>IFERROR(('Fat Spreads'!W36-(AVERAGE('Fat Spreads'!W36:W55)-2*STDEV('Fat Spreads'!W36:W55)))/(4*STDEV('Fat Spreads'!W36:W55)),"")</f>
        <v/>
      </c>
      <c r="BK36" t="str">
        <f>IFERROR(4*STDEV('Fat Spreads'!W36:W55)/AVERAGE('Fat Spreads'!W36:W55),"")</f>
        <v/>
      </c>
      <c r="BL36">
        <v>56.871499999999997</v>
      </c>
      <c r="BM36">
        <f>IFERROR(SQRT((SUMSQ('Fat Spreads'!W36:W55)-2*SUMPRODUCT('Fat Spreads'!W36:W55,'Fat Spreads'!W37:W56)+SUMSQ('Fat Spreads'!W37:W56)-('Fat Spreads'!W36-'Fat Spreads'!W56)^2/20)/19),"")</f>
        <v>0</v>
      </c>
      <c r="BO36">
        <f>IFERROR('Fat Spreads'!AC36,"")</f>
        <v>0</v>
      </c>
      <c r="BP36">
        <f>IFERROR(('Fat Spreads'!AD36-AVERAGE('Fat Spreads'!$AD$3:$AD$4308))/STDEV('Fat Spreads'!$AD$3:$AD$4308),"")</f>
        <v>-9.2057461789832332E-2</v>
      </c>
      <c r="BQ36">
        <f>IFERROR('Fat Spreads'!AD36-'Fat Spreads'!AD41,"")</f>
        <v>0</v>
      </c>
      <c r="BR36">
        <f>IFERROR('Fat Spreads'!AD36-'Fat Spreads'!AD46,"")</f>
        <v>0</v>
      </c>
      <c r="BS36">
        <f>IFERROR(AVERAGE('Fat Spreads'!AD36:AD55)+2*STDEV('Fat Spreads'!AD36:AD55),"")</f>
        <v>0</v>
      </c>
      <c r="BT36">
        <f>IFERROR(AVERAGE('Fat Spreads'!AD36:AD55)-2*STDEV('Fat Spreads'!AD36:AD55),"")</f>
        <v>0</v>
      </c>
      <c r="BU36" t="str">
        <f>IFERROR(('Fat Spreads'!AD36-(AVERAGE('Fat Spreads'!AD36:AD55)-2*STDEV('Fat Spreads'!AD36:AD55)))/(4*STDEV('Fat Spreads'!AD36:AD55)),"")</f>
        <v/>
      </c>
      <c r="BV36" t="str">
        <f>IFERROR(4*STDEV('Fat Spreads'!AD36:AD55)/AVERAGE('Fat Spreads'!AD36:AD55),"")</f>
        <v/>
      </c>
      <c r="BW36">
        <v>65.299899999999994</v>
      </c>
      <c r="BX36">
        <f>IFERROR(SQRT((SUMSQ('Fat Spreads'!AD36:AD55)-2*SUMPRODUCT('Fat Spreads'!AD36:AD55,'Fat Spreads'!AD37:AD56)+SUMSQ('Fat Spreads'!AD37:AD56)-('Fat Spreads'!AD36-'Fat Spreads'!AD56)^2/20)/19),"")</f>
        <v>0</v>
      </c>
      <c r="BZ36">
        <f>IFERROR('Feeder Spreads'!A36,"")</f>
        <v>0</v>
      </c>
      <c r="CA36">
        <f>IFERROR(('Feeder Spreads'!B36-AVERAGE('Feeder Spreads'!$B$3:$B$4308))/STDEV('Feeder Spreads'!$B$3:$B$4308),"")</f>
        <v>-9.2057461789832346E-2</v>
      </c>
      <c r="CB36">
        <f>IFERROR('Feeder Spreads'!B36-'Feeder Spreads'!B41,"")</f>
        <v>0</v>
      </c>
      <c r="CC36">
        <f>IFERROR('Feeder Spreads'!B36-'Feeder Spreads'!B46,"")</f>
        <v>0</v>
      </c>
      <c r="CD36">
        <f>IFERROR(AVERAGE('Feeder Spreads'!B36:B55)+2*STDEV('Feeder Spreads'!B36:B55),"")</f>
        <v>0</v>
      </c>
      <c r="CE36">
        <f>IFERROR(AVERAGE('Feeder Spreads'!B36:B55)-2*STDEV('Feeder Spreads'!B36:B55),"")</f>
        <v>0</v>
      </c>
      <c r="CF36" t="str">
        <f>IFERROR(('Feeder Spreads'!B36-(AVERAGE('Feeder Spreads'!B36:B55)-2*STDEV('Feeder Spreads'!B36:B55)))/(4*STDEV('Feeder Spreads'!B36:B55)),"")</f>
        <v/>
      </c>
      <c r="CG36" t="str">
        <f>IFERROR(4*STDEV('Feeder Spreads'!B36:B55)/AVERAGE('Feeder Spreads'!B36:B55),"")</f>
        <v/>
      </c>
      <c r="CH36">
        <v>48.338999999999999</v>
      </c>
      <c r="CI36">
        <f>IFERROR(SQRT((SUMSQ('Feeder Spreads'!B36:B55)-2*SUMPRODUCT('Feeder Spreads'!B36:B55,'Feeder Spreads'!B37:B56)+SUMSQ('Feeder Spreads'!B37:B56)-('Feeder Spreads'!B36-'Feeder Spreads'!B56)^2/20)/19),"")</f>
        <v>0</v>
      </c>
      <c r="CK36">
        <f>IFERROR('Feeder Spreads'!AX36,"")</f>
        <v>0</v>
      </c>
      <c r="CL36">
        <f>IFERROR(('Feeder Spreads'!AY36-AVERAGE('Feeder Spreads'!$AY$3:$AY$4308))/STDEV('Feeder Spreads'!$AY$3:$AY$4308),"")</f>
        <v>-9.2057461789832346E-2</v>
      </c>
      <c r="CM36">
        <f>IFERROR('Feeder Spreads'!AY36-'Feeder Spreads'!AY41,"")</f>
        <v>0</v>
      </c>
      <c r="CN36">
        <f>IFERROR('Feeder Spreads'!AY36-'Feeder Spreads'!AY46,"")</f>
        <v>0</v>
      </c>
      <c r="CO36">
        <f>IFERROR(AVERAGE('Feeder Spreads'!AY36:AY55)+2*STDEV('Feeder Spreads'!AY36:AY55),"")</f>
        <v>0</v>
      </c>
      <c r="CP36">
        <f>IFERROR(AVERAGE('Feeder Spreads'!AY36:AY55)-2*STDEV('Feeder Spreads'!AY36:AY55),"")</f>
        <v>0</v>
      </c>
      <c r="CQ36" t="str">
        <f>IFERROR(('Feeder Spreads'!AY36-(AVERAGE('Feeder Spreads'!AY36:AY55)-2*STDEV('Feeder Spreads'!AY36:AY55)))/(4*STDEV('Feeder Spreads'!AY36:AY55)),"")</f>
        <v/>
      </c>
      <c r="CR36" t="str">
        <f>IFERROR(4*STDEV('Feeder Spreads'!AY36:AY55)/AVERAGE('Feeder Spreads'!AY36:AY55),"")</f>
        <v/>
      </c>
      <c r="CS36">
        <v>61.212400000000002</v>
      </c>
      <c r="CT36">
        <f>IFERROR(SQRT((SUMSQ('Feeder Spreads'!AY36:AY55)-2*SUMPRODUCT('Feeder Spreads'!AY36:AY55,'Feeder Spreads'!AY37:AY56)+SUMSQ('Feeder Spreads'!AY37:AY56)-('Feeder Spreads'!AY36-'Feeder Spreads'!AY56)^2/20)/19),"")</f>
        <v>0</v>
      </c>
      <c r="CV36">
        <f>IFERROR('Feeder Spreads'!H36,"")</f>
        <v>0</v>
      </c>
      <c r="CW36">
        <f>IFERROR(('Feeder Spreads'!I36-AVERAGE('Feeder Spreads'!$I$3:$I$4308))/STDEV('Feeder Spreads'!$I$3:$I$4308),"")</f>
        <v>-9.2057461789832332E-2</v>
      </c>
      <c r="CX36">
        <f>IFERROR('Feeder Spreads'!I36-'Feeder Spreads'!I41,"")</f>
        <v>0</v>
      </c>
      <c r="CY36">
        <f>IFERROR('Feeder Spreads'!I36-'Feeder Spreads'!I46,"")</f>
        <v>0</v>
      </c>
      <c r="CZ36">
        <f>IFERROR(AVERAGE('Feeder Spreads'!I36:I55)+2*STDEV('Feeder Spreads'!I36:I55),"")</f>
        <v>0</v>
      </c>
      <c r="DA36">
        <f>IFERROR(AVERAGE('Feeder Spreads'!I36:I55)-2*STDEV('Feeder Spreads'!I36:I55),"")</f>
        <v>0</v>
      </c>
      <c r="DB36" t="str">
        <f>IFERROR(('Feeder Spreads'!I36-(AVERAGE('Feeder Spreads'!I36:I55)-2*STDEV('Feeder Spreads'!I36:I55)))/(4*STDEV('Feeder Spreads'!I36:I55)),"")</f>
        <v/>
      </c>
      <c r="DC36" t="str">
        <f>IFERROR(4*STDEV('Feeder Spreads'!I36:I55)/AVERAGE('Feeder Spreads'!I36:I55),"")</f>
        <v/>
      </c>
      <c r="DD36">
        <v>48.067900000000002</v>
      </c>
      <c r="DE36">
        <f>IFERROR(SQRT((SUMSQ('Feeder Spreads'!I36:I55)-2*SUMPRODUCT('Feeder Spreads'!I36:I55,'Feeder Spreads'!I37:I56)+SUMSQ('Feeder Spreads'!I37:I56)-('Feeder Spreads'!I36-'Feeder Spreads'!I56)^2/20)/19),"")</f>
        <v>0</v>
      </c>
      <c r="DG36">
        <f>IFERROR('Feeder Spreads'!O36,"")</f>
        <v>0</v>
      </c>
      <c r="DH36">
        <f>IFERROR(('Feeder Spreads'!P36-AVERAGE('Feeder Spreads'!$P$3:$P$4308))/STDEV('Feeder Spreads'!$P$3:$P$4308),"")</f>
        <v>-9.2057461789832346E-2</v>
      </c>
      <c r="DI36">
        <f>IFERROR('Feeder Spreads'!P36-'Feeder Spreads'!P41,"")</f>
        <v>0</v>
      </c>
      <c r="DJ36">
        <f>IFERROR('Feeder Spreads'!P36-'Feeder Spreads'!P46,"")</f>
        <v>0</v>
      </c>
      <c r="DK36">
        <f>IFERROR(AVERAGE('Feeder Spreads'!P36:P55)+2*STDEV('Feeder Spreads'!P36:P55),"")</f>
        <v>0</v>
      </c>
      <c r="DL36">
        <f>IFERROR(AVERAGE('Feeder Spreads'!P36:P55)-2*STDEV('Feeder Spreads'!P36:P55),"")</f>
        <v>0</v>
      </c>
      <c r="DM36" t="str">
        <f>IFERROR(('Feeder Spreads'!P36-(AVERAGE('Feeder Spreads'!P36:P55)-2*STDEV('Feeder Spreads'!P36:P55)))/(4*STDEV('Feeder Spreads'!P36:P55)),"")</f>
        <v/>
      </c>
      <c r="DN36" t="str">
        <f>IFERROR(4*STDEV('Feeder Spreads'!P36:P55)/AVERAGE('Feeder Spreads'!P36:P55),"")</f>
        <v/>
      </c>
      <c r="DO36">
        <v>36.994100000000003</v>
      </c>
      <c r="DP36">
        <f>IFERROR(SQRT((SUMSQ('Feeder Spreads'!P36:P55)-2*SUMPRODUCT('Feeder Spreads'!P36:P55,'Feeder Spreads'!P37:P56)+SUMSQ('Feeder Spreads'!P37:P56)-('Feeder Spreads'!P36-'Feeder Spreads'!P56)^2/20)/19),"")</f>
        <v>0</v>
      </c>
      <c r="DR36">
        <f>IFERROR('Feeder Spreads'!V36,"")</f>
        <v>0</v>
      </c>
      <c r="DS36">
        <f>IFERROR(('Feeder Spreads'!W36-AVERAGE('Feeder Spreads'!$W$3:$W$4308))/STDEV('Feeder Spreads'!$W$3:$W$4308),"")</f>
        <v>-9.2057461789832332E-2</v>
      </c>
      <c r="DT36">
        <f>IFERROR('Feeder Spreads'!W36-'Feeder Spreads'!W41,"")</f>
        <v>0</v>
      </c>
      <c r="DU36">
        <f>IFERROR('Feeder Spreads'!W36-'Feeder Spreads'!W46,"")</f>
        <v>0</v>
      </c>
      <c r="DV36">
        <f>IFERROR(AVERAGE('Feeder Spreads'!W36:W55)+2*STDEV('Feeder Spreads'!W36:W55),"")</f>
        <v>0</v>
      </c>
      <c r="DW36">
        <f>IFERROR(AVERAGE('Feeder Spreads'!W36:W55)-2*STDEV('Feeder Spreads'!W36:W55),"")</f>
        <v>0</v>
      </c>
      <c r="DX36" t="str">
        <f>IFERROR(('Feeder Spreads'!W36-(AVERAGE('Feeder Spreads'!W36:W55)-2*STDEV('Feeder Spreads'!W36:W55)))/(4*STDEV('Feeder Spreads'!W36:W55)),"")</f>
        <v/>
      </c>
      <c r="DY36" t="str">
        <f>IFERROR(4*STDEV('Feeder Spreads'!W36:W55)/AVERAGE('Feeder Spreads'!W36:W55),"")</f>
        <v/>
      </c>
      <c r="DZ36">
        <v>58.118400000000001</v>
      </c>
      <c r="EA36">
        <f>IFERROR(SQRT((SUMSQ('Feeder Spreads'!W36:W55)-2*SUMPRODUCT('Feeder Spreads'!W36:W55,'Feeder Spreads'!W37:W56)+SUMSQ('Feeder Spreads'!W37:W56)-('Feeder Spreads'!W36-'Feeder Spreads'!W56)^2/20)/19),"")</f>
        <v>0</v>
      </c>
      <c r="EC36">
        <f>IFERROR('Feeder Spreads'!AC36,"")</f>
        <v>0</v>
      </c>
      <c r="ED36">
        <f>IFERROR(('Feeder Spreads'!AD36-AVERAGE('Feeder Spreads'!$AD$3:$AD$4308))/STDEV('Feeder Spreads'!$AD$3:$AD$4308),"")</f>
        <v>9.2057461789832318E-2</v>
      </c>
      <c r="EE36">
        <f>IFERROR('Feeder Spreads'!AD36-'Feeder Spreads'!AD41,"")</f>
        <v>0</v>
      </c>
      <c r="EF36">
        <f>IFERROR('Feeder Spreads'!AD36-'Feeder Spreads'!AD46,"")</f>
        <v>0</v>
      </c>
      <c r="EG36">
        <f>IFERROR(AVERAGE('Feeder Spreads'!AD36:AD55)+2*STDEV('Feeder Spreads'!AD36:AD55),"")</f>
        <v>0</v>
      </c>
      <c r="EH36">
        <f>IFERROR(AVERAGE('Feeder Spreads'!AD36:AD55)-2*STDEV('Feeder Spreads'!AD36:AD55),"")</f>
        <v>0</v>
      </c>
      <c r="EI36" t="str">
        <f>IFERROR(('Feeder Spreads'!AD36-(AVERAGE('Feeder Spreads'!AD36:AD55)-2*STDEV('Feeder Spreads'!AD36:AD55)))/(4*STDEV('Feeder Spreads'!AD36:AD55)),"")</f>
        <v/>
      </c>
      <c r="EJ36" t="str">
        <f>IFERROR(4*STDEV('Feeder Spreads'!AD36:AD55)/AVERAGE('Feeder Spreads'!AD36:AD55),"")</f>
        <v/>
      </c>
      <c r="EK36">
        <v>50.956299999999999</v>
      </c>
      <c r="EL36">
        <f>IFERROR(SQRT((SUMSQ('Feeder Spreads'!AD36:AD55)-2*SUMPRODUCT('Feeder Spreads'!AD36:AD55,'Feeder Spreads'!AD37:AD56)+SUMSQ('Feeder Spreads'!AD37:AD56)-('Feeder Spreads'!AD36-'Feeder Spreads'!AD56)^2/20)/19),"")</f>
        <v>0</v>
      </c>
      <c r="EN36">
        <f>IFERROR('Feeder Spreads'!AJ36,"")</f>
        <v>0</v>
      </c>
      <c r="EO36">
        <f>IFERROR(('Feeder Spreads'!AK36-AVERAGE('Feeder Spreads'!$AK$3:$AK$4308))/STDEV('Feeder Spreads'!$AK$3:$AK$4308),"")</f>
        <v>-9.2057461789832346E-2</v>
      </c>
      <c r="EP36">
        <f>IFERROR('Feeder Spreads'!AK36-'Feeder Spreads'!AK41,"")</f>
        <v>0</v>
      </c>
      <c r="EQ36">
        <f>IFERROR('Feeder Spreads'!AK36-'Feeder Spreads'!AK46,"")</f>
        <v>0</v>
      </c>
      <c r="ER36">
        <f>IFERROR(AVERAGE('Feeder Spreads'!AK36:AK55)+2*STDEV('Feeder Spreads'!AK36:AK55),"")</f>
        <v>0</v>
      </c>
      <c r="ES36">
        <f>IFERROR(AVERAGE('Feeder Spreads'!AK36:AK55)-2*STDEV('Feeder Spreads'!AK36:AK55),"")</f>
        <v>0</v>
      </c>
      <c r="ET36" t="str">
        <f>IFERROR(('Feeder Spreads'!AK36-(AVERAGE('Feeder Spreads'!AK36:AK55)-2*STDEV('Feeder Spreads'!AK36:AK55)))/(4*STDEV('Feeder Spreads'!AK36:AK55)),"")</f>
        <v/>
      </c>
      <c r="EU36" t="str">
        <f>IFERROR(4*STDEV('Feeder Spreads'!AK36:AK55)/AVERAGE('Feeder Spreads'!AK36:AK55),"")</f>
        <v/>
      </c>
      <c r="EV36">
        <v>34.204700000000003</v>
      </c>
      <c r="EW36">
        <f>IFERROR(SQRT((SUMSQ('Feeder Spreads'!AK36:AK55)-2*SUMPRODUCT('Feeder Spreads'!AK36:AK55,'Feeder Spreads'!AK37:AK56)+SUMSQ('Feeder Spreads'!AK37:AK56)-('Feeder Spreads'!AK36-'Feeder Spreads'!AK56)^2/20)/19),"")</f>
        <v>0</v>
      </c>
      <c r="EY36">
        <f>IFERROR('Feeder Spreads'!AQ36,"")</f>
        <v>0</v>
      </c>
      <c r="EZ36">
        <f>IFERROR(('Feeder Spreads'!AR36-AVERAGE('Feeder Spreads'!$AR$3:$AR$4308))/STDEV('Feeder Spreads'!$AR$3:$AR$4308),"")</f>
        <v>-9.2057461789832332E-2</v>
      </c>
      <c r="FA36">
        <f>IFERROR('Feeder Spreads'!AR36-'Feeder Spreads'!AR41,"")</f>
        <v>0</v>
      </c>
      <c r="FB36">
        <f>IFERROR('Feeder Spreads'!AR36-'Feeder Spreads'!AR46,"")</f>
        <v>0</v>
      </c>
      <c r="FC36">
        <f>IFERROR(AVERAGE('Feeder Spreads'!AR36:AR55)+2*STDEV('Feeder Spreads'!AR36:AR55),"")</f>
        <v>0</v>
      </c>
      <c r="FD36">
        <f>IFERROR(AVERAGE('Feeder Spreads'!AR36:AR55)-2*STDEV('Feeder Spreads'!AR36:AR55),"")</f>
        <v>0</v>
      </c>
      <c r="FE36" t="str">
        <f>IFERROR(('Feeder Spreads'!AR36-(AVERAGE('Feeder Spreads'!AR36:AR55)-2*STDEV('Feeder Spreads'!AR36:AR55)))/(4*STDEV('Feeder Spreads'!AR36:AR55)),"")</f>
        <v/>
      </c>
      <c r="FF36" t="str">
        <f>IFERROR(4*STDEV('Feeder Spreads'!AR36:AR55)/AVERAGE('Feeder Spreads'!AR36:AR55),"")</f>
        <v/>
      </c>
      <c r="FG36">
        <v>35.948900000000002</v>
      </c>
      <c r="FH36">
        <f>IFERROR(SQRT((SUMSQ('Feeder Spreads'!AR36:AR55)-2*SUMPRODUCT('Feeder Spreads'!AR36:AR55,'Feeder Spreads'!AR37:AR56)+SUMSQ('Feeder Spreads'!AR37:AR56)-('Feeder Spreads'!AR36-'Feeder Spreads'!AR56)^2/20)/19),"")</f>
        <v>0</v>
      </c>
      <c r="FJ36">
        <f>IFERROR('Fat Spreads'!AX36,"")</f>
        <v>0</v>
      </c>
      <c r="FK36">
        <f>IFERROR(('Fat Spreads'!AY36-AVERAGE('Fat Spreads'!$AY$3:$AY$4308))/STDEV('Fat Spreads'!$AY$3:$AY$4308),"")</f>
        <v>9.2057461789832332E-2</v>
      </c>
      <c r="FL36">
        <f>IFERROR('Fat Spreads'!AY36-'Fat Spreads'!AY41,"")</f>
        <v>0</v>
      </c>
      <c r="FM36">
        <f>IFERROR('Fat Spreads'!AY36-'Fat Spreads'!AY46,"")</f>
        <v>0</v>
      </c>
      <c r="FN36">
        <f>IFERROR(AVERAGE('Fat Spreads'!AY36:AY55)+2*STDEV('Fat Spreads'!AY36:AY55),"")</f>
        <v>0</v>
      </c>
      <c r="FO36">
        <f>IFERROR(AVERAGE('Fat Spreads'!AY36:AY55)-2*STDEV('Fat Spreads'!AY36:AY55),"")</f>
        <v>0</v>
      </c>
      <c r="FP36" t="str">
        <f>IFERROR(('Fat Spreads'!AY36-(AVERAGE('Fat Spreads'!AY36:AY55)-2*STDEV('Fat Spreads'!AY36:AY55)))/(4*STDEV('Fat Spreads'!AY36:AY55)),"")</f>
        <v/>
      </c>
      <c r="FQ36" t="str">
        <f>IFERROR(4*STDEV('Fat Spreads'!AY36:AY55)/AVERAGE('Fat Spreads'!AY36:AY55),"")</f>
        <v/>
      </c>
      <c r="FR36">
        <v>29.457000000000001</v>
      </c>
      <c r="FS36">
        <f>IFERROR(SQRT((SUMSQ('Fat Spreads'!AY36:AY55)-2*SUMPRODUCT('Fat Spreads'!AY36:AY55,'Fat Spreads'!AY37:AY56)+SUMSQ('Fat Spreads'!AY37:AY56)-('Fat Spreads'!AY36-'Fat Spreads'!AY56)^2/20)/19),"")</f>
        <v>0</v>
      </c>
      <c r="FU36">
        <f>IFERROR('Fat Spreads'!BE36,"")</f>
        <v>0</v>
      </c>
      <c r="FV36">
        <f>IFERROR(('Fat Spreads'!BF36-AVERAGE('Fat Spreads'!$BF$3:$BF$4308))/STDEV('Fat Spreads'!$BF$3:$BF$4308),"")</f>
        <v>9.2057461789832332E-2</v>
      </c>
      <c r="FW36">
        <f>IFERROR('Fat Spreads'!BF36-'Fat Spreads'!BF41,"")</f>
        <v>0</v>
      </c>
      <c r="FX36">
        <f>IFERROR('Fat Spreads'!BF36-'Fat Spreads'!BF46,"")</f>
        <v>0</v>
      </c>
      <c r="FY36">
        <f>IFERROR(AVERAGE('Fat Spreads'!BF36:BF55)+2*STDEV('Fat Spreads'!BF36:BF55),"")</f>
        <v>0</v>
      </c>
      <c r="FZ36">
        <f>IFERROR(AVERAGE('Fat Spreads'!BF36:BF55)-2*STDEV('Fat Spreads'!BF36:BF55),"")</f>
        <v>0</v>
      </c>
      <c r="GA36" t="str">
        <f>IFERROR(('Fat Spreads'!BF36-(AVERAGE('Fat Spreads'!BF36:BF55)-2*STDEV('Fat Spreads'!BF36:BF55)))/(4*STDEV('Fat Spreads'!BF36:BF55)),"")</f>
        <v/>
      </c>
      <c r="GB36" t="str">
        <f>IFERROR(4*STDEV('Fat Spreads'!BF36:BF55)/AVERAGE('Fat Spreads'!BF36:BF55),"")</f>
        <v/>
      </c>
      <c r="GC36">
        <v>35.646900000000002</v>
      </c>
      <c r="GD36">
        <f>IFERROR(SQRT((SUMSQ('Fat Spreads'!BF36:BF55)-2*SUMPRODUCT('Fat Spreads'!BF36:BF55,'Fat Spreads'!BF37:BF56)+SUMSQ('Fat Spreads'!BF37:BF56)-('Fat Spreads'!BF36-'Fat Spreads'!BF56)^2/20)/19),"")</f>
        <v>0</v>
      </c>
    </row>
    <row r="37" spans="1:186" x14ac:dyDescent="0.25">
      <c r="A37">
        <f>IFERROR('Fat Spreads'!A37,"")</f>
        <v>0</v>
      </c>
      <c r="B37">
        <f>IFERROR(('Fat Spreads'!B37-AVERAGE('Fat Spreads'!$B$3:$B$4308))/STDEV('Fat Spreads'!$B$3:$B$4308),"")</f>
        <v>9.2057461789832346E-2</v>
      </c>
      <c r="C37">
        <f>IFERROR('Fat Spreads'!B37-'Fat Spreads'!B42,"")</f>
        <v>0</v>
      </c>
      <c r="D37">
        <f>IFERROR('Fat Spreads'!B37-'Fat Spreads'!B47,"")</f>
        <v>0</v>
      </c>
      <c r="E37">
        <f>IFERROR(AVERAGE('Fat Spreads'!B37:B56)+2*STDEV('Fat Spreads'!B37:B56),"")</f>
        <v>0</v>
      </c>
      <c r="F37">
        <f>IFERROR(AVERAGE('Fat Spreads'!B37:B56)-2*STDEV('Fat Spreads'!B37:B56),"")</f>
        <v>0</v>
      </c>
      <c r="G37" t="str">
        <f>IFERROR(('Fat Spreads'!B37-(AVERAGE('Fat Spreads'!B37:B56)-2*STDEV('Fat Spreads'!B37:B56)))/(4*STDEV('Fat Spreads'!B37:B56)),"")</f>
        <v/>
      </c>
      <c r="H37" t="str">
        <f>IFERROR(4*STDEV('Fat Spreads'!B37:B56)/AVERAGE('Fat Spreads'!B37:B56),"")</f>
        <v/>
      </c>
      <c r="I37">
        <v>27.3291</v>
      </c>
      <c r="J37">
        <f>IFERROR(SQRT((SUMSQ('Fat Spreads'!B37:B56)-2*SUMPRODUCT('Fat Spreads'!B37:B56,'Fat Spreads'!B38:B57)+SUMSQ('Fat Spreads'!B38:B57)-('Fat Spreads'!B37-'Fat Spreads'!B57)^2/20)/19),"")</f>
        <v>0</v>
      </c>
      <c r="L37">
        <f>IFERROR('Fat Spreads'!H37,"")</f>
        <v>0</v>
      </c>
      <c r="M37">
        <f>IFERROR(('Fat Spreads'!I37-AVERAGE('Fat Spreads'!$I$3:$I$4308))/STDEV('Fat Spreads'!$I$3:$I$4308),"")</f>
        <v>-9.2057461789832332E-2</v>
      </c>
      <c r="N37">
        <f>IFERROR('Fat Spreads'!I37-'Fat Spreads'!I42,"")</f>
        <v>0</v>
      </c>
      <c r="O37">
        <f>IFERROR('Fat Spreads'!I37-'Fat Spreads'!I47,"")</f>
        <v>0</v>
      </c>
      <c r="P37">
        <f>IFERROR(AVERAGE('Fat Spreads'!I37:I56)+2*STDEV('Fat Spreads'!I37:I56),"")</f>
        <v>0</v>
      </c>
      <c r="Q37">
        <f>IFERROR(AVERAGE('Fat Spreads'!I37:I56)-2*STDEV('Fat Spreads'!I37:I56),"")</f>
        <v>0</v>
      </c>
      <c r="R37" t="str">
        <f>IFERROR(('Fat Spreads'!I37-(AVERAGE('Fat Spreads'!I37:I56)-2*STDEV('Fat Spreads'!I37:I56)))/(4*STDEV('Fat Spreads'!I37:I56)),"")</f>
        <v/>
      </c>
      <c r="S37" t="str">
        <f>IFERROR(4*STDEV('Fat Spreads'!I37:I56)/AVERAGE('Fat Spreads'!I37:I56),"")</f>
        <v/>
      </c>
      <c r="T37">
        <v>55.0837</v>
      </c>
      <c r="U37">
        <f>IFERROR(SQRT((SUMSQ('Fat Spreads'!I37:I56)-2*SUMPRODUCT('Fat Spreads'!I37:I56,'Fat Spreads'!I38:I57)+SUMSQ('Fat Spreads'!I38:I57)-('Fat Spreads'!I37-'Fat Spreads'!I57)^2/20)/19),"")</f>
        <v>0</v>
      </c>
      <c r="W37">
        <f>IFERROR('Fat Spreads'!AQ37,"")</f>
        <v>0</v>
      </c>
      <c r="X37">
        <f>IFERROR(('Fat Spreads'!AR37-AVERAGE('Fat Spreads'!$AR$3:$AR$4308))/STDEV('Fat Spreads'!$AR$3:$AR$4308),"")</f>
        <v>-9.2057461789832346E-2</v>
      </c>
      <c r="Y37">
        <f>IFERROR('Fat Spreads'!AR37-'Fat Spreads'!AR42,"")</f>
        <v>0</v>
      </c>
      <c r="Z37">
        <f>IFERROR('Fat Spreads'!AR37-'Fat Spreads'!AR47,"")</f>
        <v>0</v>
      </c>
      <c r="AA37">
        <f>IFERROR(AVERAGE('Fat Spreads'!AR37:AR56)+2*STDEV('Fat Spreads'!AR37:AR56),"")</f>
        <v>0</v>
      </c>
      <c r="AB37">
        <f>IFERROR(AVERAGE('Fat Spreads'!AR37:AR56)-2*STDEV('Fat Spreads'!AR37:AR56),"")</f>
        <v>0</v>
      </c>
      <c r="AC37" t="str">
        <f>IFERROR(('Fat Spreads'!AR37-(AVERAGE('Fat Spreads'!AR37:AR56)-2*STDEV('Fat Spreads'!AR37:AR56)))/(4*STDEV('Fat Spreads'!AR37:AR56)),"")</f>
        <v/>
      </c>
      <c r="AD37" t="str">
        <f>IFERROR(4*STDEV('Fat Spreads'!AR37:AR56)/AVERAGE('Fat Spreads'!AR37:AR56),"")</f>
        <v/>
      </c>
      <c r="AE37">
        <v>68.994500000000002</v>
      </c>
      <c r="AF37">
        <f>IFERROR(SQRT((SUMSQ('Fat Spreads'!AR37:AR56)-2*SUMPRODUCT('Fat Spreads'!AR37:AR56,'Fat Spreads'!AR38:AR57)+SUMSQ('Fat Spreads'!AR38:AR57)-('Fat Spreads'!AR37-'Fat Spreads'!AR57)^2/20)/19),"")</f>
        <v>0</v>
      </c>
      <c r="AH37">
        <f>IFERROR('Fat Spreads'!O37,"")</f>
        <v>0</v>
      </c>
      <c r="AI37">
        <f>IFERROR(('Fat Spreads'!P37-AVERAGE('Fat Spreads'!$P$3:$P$4308))/STDEV('Fat Spreads'!$P$3:$P$4308),"")</f>
        <v>-9.2057461789832332E-2</v>
      </c>
      <c r="AJ37">
        <f>IFERROR('Fat Spreads'!P37-'Fat Spreads'!P42,"")</f>
        <v>0</v>
      </c>
      <c r="AK37">
        <f>IFERROR('Fat Spreads'!P37-'Fat Spreads'!P47,"")</f>
        <v>0</v>
      </c>
      <c r="AL37">
        <f>IFERROR(AVERAGE('Fat Spreads'!P37:P56)+2*STDEV('Fat Spreads'!P37:P56),"")</f>
        <v>0</v>
      </c>
      <c r="AM37">
        <f>IFERROR(AVERAGE('Fat Spreads'!P37:P56)-2*STDEV('Fat Spreads'!P37:P56),"")</f>
        <v>0</v>
      </c>
      <c r="AN37" t="str">
        <f>IFERROR(('Fat Spreads'!P37-(AVERAGE('Fat Spreads'!P37:P56)-2*STDEV('Fat Spreads'!P37:P56)))/(4*STDEV('Fat Spreads'!P37:P56)),"")</f>
        <v/>
      </c>
      <c r="AO37" t="str">
        <f>IFERROR(4*STDEV('Fat Spreads'!P37:P56)/AVERAGE('Fat Spreads'!P37:P56),"")</f>
        <v/>
      </c>
      <c r="AP37">
        <v>71.109800000000007</v>
      </c>
      <c r="AQ37">
        <f>IFERROR(SQRT((SUMSQ('Fat Spreads'!P37:P56)-2*SUMPRODUCT('Fat Spreads'!P37:P56,'Fat Spreads'!P38:P57)+SUMSQ('Fat Spreads'!P38:P57)-('Fat Spreads'!P37-'Fat Spreads'!P57)^2/20)/19),"")</f>
        <v>0</v>
      </c>
      <c r="AS37">
        <f>IFERROR('Fat Spreads'!AJ37,"")</f>
        <v>0</v>
      </c>
      <c r="AT37">
        <f>IFERROR(('Fat Spreads'!AK37-AVERAGE('Fat Spreads'!$AK$3:$AK$4308))/STDEV('Fat Spreads'!$AK$3:$AK$4308),"")</f>
        <v>-9.2057461789832332E-2</v>
      </c>
      <c r="AU37">
        <f>IFERROR('Fat Spreads'!AK37-'Fat Spreads'!AK42,"")</f>
        <v>0</v>
      </c>
      <c r="AV37">
        <f>IFERROR('Fat Spreads'!AK37-'Fat Spreads'!AK47,"")</f>
        <v>0</v>
      </c>
      <c r="AW37">
        <f>IFERROR(AVERAGE('Fat Spreads'!AK37:AK56)+2*STDEV('Fat Spreads'!AK37:AK56),"")</f>
        <v>0</v>
      </c>
      <c r="AX37">
        <f>IFERROR(AVERAGE('Fat Spreads'!AK37:AK56)-2*STDEV('Fat Spreads'!AK37:AK56),"")</f>
        <v>0</v>
      </c>
      <c r="AY37" t="str">
        <f>IFERROR(('Fat Spreads'!AK37-(AVERAGE('Fat Spreads'!AK37:AK56)-2*STDEV('Fat Spreads'!AK37:AK56)))/(4*STDEV('Fat Spreads'!AK37:AK56)),"")</f>
        <v/>
      </c>
      <c r="AZ37" t="str">
        <f>IFERROR(4*STDEV('Fat Spreads'!AK37:AK56)/AVERAGE('Fat Spreads'!AK37:AK56),"")</f>
        <v/>
      </c>
      <c r="BA37">
        <v>35.661299999999997</v>
      </c>
      <c r="BB37">
        <f>IFERROR(SQRT((SUMSQ('Fat Spreads'!AK37:AK56)-2*SUMPRODUCT('Fat Spreads'!AK37:AK56,'Fat Spreads'!AK38:AK57)+SUMSQ('Fat Spreads'!AK38:AK57)-('Fat Spreads'!AK37-'Fat Spreads'!AK57)^2/20)/19),"")</f>
        <v>0</v>
      </c>
      <c r="BD37">
        <f>IFERROR('Fat Spreads'!V37,"")</f>
        <v>0</v>
      </c>
      <c r="BE37">
        <f>IFERROR(('Fat Spreads'!W37-AVERAGE('Fat Spreads'!$W$3:$W$4308))/STDEV('Fat Spreads'!$W$3:$W$4308),"")</f>
        <v>-9.2057461789832332E-2</v>
      </c>
      <c r="BF37">
        <f>IFERROR('Fat Spreads'!W37-'Fat Spreads'!W42,"")</f>
        <v>0</v>
      </c>
      <c r="BG37">
        <f>IFERROR('Fat Spreads'!W37-'Fat Spreads'!W47,"")</f>
        <v>0</v>
      </c>
      <c r="BH37">
        <f>IFERROR(AVERAGE('Fat Spreads'!W37:W56)+2*STDEV('Fat Spreads'!W37:W56),"")</f>
        <v>0</v>
      </c>
      <c r="BI37">
        <f>IFERROR(AVERAGE('Fat Spreads'!W37:W56)-2*STDEV('Fat Spreads'!W37:W56),"")</f>
        <v>0</v>
      </c>
      <c r="BJ37" t="str">
        <f>IFERROR(('Fat Spreads'!W37-(AVERAGE('Fat Spreads'!W37:W56)-2*STDEV('Fat Spreads'!W37:W56)))/(4*STDEV('Fat Spreads'!W37:W56)),"")</f>
        <v/>
      </c>
      <c r="BK37" t="str">
        <f>IFERROR(4*STDEV('Fat Spreads'!W37:W56)/AVERAGE('Fat Spreads'!W37:W56),"")</f>
        <v/>
      </c>
      <c r="BL37">
        <v>59.570599999999999</v>
      </c>
      <c r="BM37">
        <f>IFERROR(SQRT((SUMSQ('Fat Spreads'!W37:W56)-2*SUMPRODUCT('Fat Spreads'!W37:W56,'Fat Spreads'!W38:W57)+SUMSQ('Fat Spreads'!W38:W57)-('Fat Spreads'!W37-'Fat Spreads'!W57)^2/20)/19),"")</f>
        <v>0</v>
      </c>
      <c r="BO37">
        <f>IFERROR('Fat Spreads'!AC37,"")</f>
        <v>0</v>
      </c>
      <c r="BP37">
        <f>IFERROR(('Fat Spreads'!AD37-AVERAGE('Fat Spreads'!$AD$3:$AD$4308))/STDEV('Fat Spreads'!$AD$3:$AD$4308),"")</f>
        <v>-9.2057461789832332E-2</v>
      </c>
      <c r="BQ37">
        <f>IFERROR('Fat Spreads'!AD37-'Fat Spreads'!AD42,"")</f>
        <v>0</v>
      </c>
      <c r="BR37">
        <f>IFERROR('Fat Spreads'!AD37-'Fat Spreads'!AD47,"")</f>
        <v>0</v>
      </c>
      <c r="BS37">
        <f>IFERROR(AVERAGE('Fat Spreads'!AD37:AD56)+2*STDEV('Fat Spreads'!AD37:AD56),"")</f>
        <v>0</v>
      </c>
      <c r="BT37">
        <f>IFERROR(AVERAGE('Fat Spreads'!AD37:AD56)-2*STDEV('Fat Spreads'!AD37:AD56),"")</f>
        <v>0</v>
      </c>
      <c r="BU37" t="str">
        <f>IFERROR(('Fat Spreads'!AD37-(AVERAGE('Fat Spreads'!AD37:AD56)-2*STDEV('Fat Spreads'!AD37:AD56)))/(4*STDEV('Fat Spreads'!AD37:AD56)),"")</f>
        <v/>
      </c>
      <c r="BV37" t="str">
        <f>IFERROR(4*STDEV('Fat Spreads'!AD37:AD56)/AVERAGE('Fat Spreads'!AD37:AD56),"")</f>
        <v/>
      </c>
      <c r="BW37">
        <v>65.924599999999998</v>
      </c>
      <c r="BX37">
        <f>IFERROR(SQRT((SUMSQ('Fat Spreads'!AD37:AD56)-2*SUMPRODUCT('Fat Spreads'!AD37:AD56,'Fat Spreads'!AD38:AD57)+SUMSQ('Fat Spreads'!AD38:AD57)-('Fat Spreads'!AD37-'Fat Spreads'!AD57)^2/20)/19),"")</f>
        <v>0</v>
      </c>
      <c r="BZ37">
        <f>IFERROR('Feeder Spreads'!A37,"")</f>
        <v>0</v>
      </c>
      <c r="CA37">
        <f>IFERROR(('Feeder Spreads'!B37-AVERAGE('Feeder Spreads'!$B$3:$B$4308))/STDEV('Feeder Spreads'!$B$3:$B$4308),"")</f>
        <v>-9.2057461789832346E-2</v>
      </c>
      <c r="CB37">
        <f>IFERROR('Feeder Spreads'!B37-'Feeder Spreads'!B42,"")</f>
        <v>0</v>
      </c>
      <c r="CC37">
        <f>IFERROR('Feeder Spreads'!B37-'Feeder Spreads'!B47,"")</f>
        <v>0</v>
      </c>
      <c r="CD37">
        <f>IFERROR(AVERAGE('Feeder Spreads'!B37:B56)+2*STDEV('Feeder Spreads'!B37:B56),"")</f>
        <v>0</v>
      </c>
      <c r="CE37">
        <f>IFERROR(AVERAGE('Feeder Spreads'!B37:B56)-2*STDEV('Feeder Spreads'!B37:B56),"")</f>
        <v>0</v>
      </c>
      <c r="CF37" t="str">
        <f>IFERROR(('Feeder Spreads'!B37-(AVERAGE('Feeder Spreads'!B37:B56)-2*STDEV('Feeder Spreads'!B37:B56)))/(4*STDEV('Feeder Spreads'!B37:B56)),"")</f>
        <v/>
      </c>
      <c r="CG37" t="str">
        <f>IFERROR(4*STDEV('Feeder Spreads'!B37:B56)/AVERAGE('Feeder Spreads'!B37:B56),"")</f>
        <v/>
      </c>
      <c r="CH37">
        <v>52.403399999999998</v>
      </c>
      <c r="CI37">
        <f>IFERROR(SQRT((SUMSQ('Feeder Spreads'!B37:B56)-2*SUMPRODUCT('Feeder Spreads'!B37:B56,'Feeder Spreads'!B38:B57)+SUMSQ('Feeder Spreads'!B38:B57)-('Feeder Spreads'!B37-'Feeder Spreads'!B57)^2/20)/19),"")</f>
        <v>0</v>
      </c>
      <c r="CK37">
        <f>IFERROR('Feeder Spreads'!AX37,"")</f>
        <v>0</v>
      </c>
      <c r="CL37">
        <f>IFERROR(('Feeder Spreads'!AY37-AVERAGE('Feeder Spreads'!$AY$3:$AY$4308))/STDEV('Feeder Spreads'!$AY$3:$AY$4308),"")</f>
        <v>-9.2057461789832346E-2</v>
      </c>
      <c r="CM37">
        <f>IFERROR('Feeder Spreads'!AY37-'Feeder Spreads'!AY42,"")</f>
        <v>0</v>
      </c>
      <c r="CN37">
        <f>IFERROR('Feeder Spreads'!AY37-'Feeder Spreads'!AY47,"")</f>
        <v>0</v>
      </c>
      <c r="CO37">
        <f>IFERROR(AVERAGE('Feeder Spreads'!AY37:AY56)+2*STDEV('Feeder Spreads'!AY37:AY56),"")</f>
        <v>0</v>
      </c>
      <c r="CP37">
        <f>IFERROR(AVERAGE('Feeder Spreads'!AY37:AY56)-2*STDEV('Feeder Spreads'!AY37:AY56),"")</f>
        <v>0</v>
      </c>
      <c r="CQ37" t="str">
        <f>IFERROR(('Feeder Spreads'!AY37-(AVERAGE('Feeder Spreads'!AY37:AY56)-2*STDEV('Feeder Spreads'!AY37:AY56)))/(4*STDEV('Feeder Spreads'!AY37:AY56)),"")</f>
        <v/>
      </c>
      <c r="CR37" t="str">
        <f>IFERROR(4*STDEV('Feeder Spreads'!AY37:AY56)/AVERAGE('Feeder Spreads'!AY37:AY56),"")</f>
        <v/>
      </c>
      <c r="CS37">
        <v>60.418799999999997</v>
      </c>
      <c r="CT37">
        <f>IFERROR(SQRT((SUMSQ('Feeder Spreads'!AY37:AY56)-2*SUMPRODUCT('Feeder Spreads'!AY37:AY56,'Feeder Spreads'!AY38:AY57)+SUMSQ('Feeder Spreads'!AY38:AY57)-('Feeder Spreads'!AY37-'Feeder Spreads'!AY57)^2/20)/19),"")</f>
        <v>0</v>
      </c>
      <c r="CV37">
        <f>IFERROR('Feeder Spreads'!H37,"")</f>
        <v>0</v>
      </c>
      <c r="CW37">
        <f>IFERROR(('Feeder Spreads'!I37-AVERAGE('Feeder Spreads'!$I$3:$I$4308))/STDEV('Feeder Spreads'!$I$3:$I$4308),"")</f>
        <v>-9.2057461789832332E-2</v>
      </c>
      <c r="CX37">
        <f>IFERROR('Feeder Spreads'!I37-'Feeder Spreads'!I42,"")</f>
        <v>0</v>
      </c>
      <c r="CY37">
        <f>IFERROR('Feeder Spreads'!I37-'Feeder Spreads'!I47,"")</f>
        <v>0</v>
      </c>
      <c r="CZ37">
        <f>IFERROR(AVERAGE('Feeder Spreads'!I37:I56)+2*STDEV('Feeder Spreads'!I37:I56),"")</f>
        <v>0</v>
      </c>
      <c r="DA37">
        <f>IFERROR(AVERAGE('Feeder Spreads'!I37:I56)-2*STDEV('Feeder Spreads'!I37:I56),"")</f>
        <v>0</v>
      </c>
      <c r="DB37" t="str">
        <f>IFERROR(('Feeder Spreads'!I37-(AVERAGE('Feeder Spreads'!I37:I56)-2*STDEV('Feeder Spreads'!I37:I56)))/(4*STDEV('Feeder Spreads'!I37:I56)),"")</f>
        <v/>
      </c>
      <c r="DC37" t="str">
        <f>IFERROR(4*STDEV('Feeder Spreads'!I37:I56)/AVERAGE('Feeder Spreads'!I37:I56),"")</f>
        <v/>
      </c>
      <c r="DD37">
        <v>48.440199999999997</v>
      </c>
      <c r="DE37">
        <f>IFERROR(SQRT((SUMSQ('Feeder Spreads'!I37:I56)-2*SUMPRODUCT('Feeder Spreads'!I37:I56,'Feeder Spreads'!I38:I57)+SUMSQ('Feeder Spreads'!I38:I57)-('Feeder Spreads'!I37-'Feeder Spreads'!I57)^2/20)/19),"")</f>
        <v>0</v>
      </c>
      <c r="DG37">
        <f>IFERROR('Feeder Spreads'!O37,"")</f>
        <v>0</v>
      </c>
      <c r="DH37">
        <f>IFERROR(('Feeder Spreads'!P37-AVERAGE('Feeder Spreads'!$P$3:$P$4308))/STDEV('Feeder Spreads'!$P$3:$P$4308),"")</f>
        <v>-9.2057461789832346E-2</v>
      </c>
      <c r="DI37">
        <f>IFERROR('Feeder Spreads'!P37-'Feeder Spreads'!P42,"")</f>
        <v>0</v>
      </c>
      <c r="DJ37">
        <f>IFERROR('Feeder Spreads'!P37-'Feeder Spreads'!P47,"")</f>
        <v>0</v>
      </c>
      <c r="DK37">
        <f>IFERROR(AVERAGE('Feeder Spreads'!P37:P56)+2*STDEV('Feeder Spreads'!P37:P56),"")</f>
        <v>0</v>
      </c>
      <c r="DL37">
        <f>IFERROR(AVERAGE('Feeder Spreads'!P37:P56)-2*STDEV('Feeder Spreads'!P37:P56),"")</f>
        <v>0</v>
      </c>
      <c r="DM37" t="str">
        <f>IFERROR(('Feeder Spreads'!P37-(AVERAGE('Feeder Spreads'!P37:P56)-2*STDEV('Feeder Spreads'!P37:P56)))/(4*STDEV('Feeder Spreads'!P37:P56)),"")</f>
        <v/>
      </c>
      <c r="DN37" t="str">
        <f>IFERROR(4*STDEV('Feeder Spreads'!P37:P56)/AVERAGE('Feeder Spreads'!P37:P56),"")</f>
        <v/>
      </c>
      <c r="DO37">
        <v>38.4771</v>
      </c>
      <c r="DP37">
        <f>IFERROR(SQRT((SUMSQ('Feeder Spreads'!P37:P56)-2*SUMPRODUCT('Feeder Spreads'!P37:P56,'Feeder Spreads'!P38:P57)+SUMSQ('Feeder Spreads'!P38:P57)-('Feeder Spreads'!P37-'Feeder Spreads'!P57)^2/20)/19),"")</f>
        <v>0</v>
      </c>
      <c r="DR37">
        <f>IFERROR('Feeder Spreads'!V37,"")</f>
        <v>0</v>
      </c>
      <c r="DS37">
        <f>IFERROR(('Feeder Spreads'!W37-AVERAGE('Feeder Spreads'!$W$3:$W$4308))/STDEV('Feeder Spreads'!$W$3:$W$4308),"")</f>
        <v>-9.2057461789832332E-2</v>
      </c>
      <c r="DT37">
        <f>IFERROR('Feeder Spreads'!W37-'Feeder Spreads'!W42,"")</f>
        <v>0</v>
      </c>
      <c r="DU37">
        <f>IFERROR('Feeder Spreads'!W37-'Feeder Spreads'!W47,"")</f>
        <v>0</v>
      </c>
      <c r="DV37">
        <f>IFERROR(AVERAGE('Feeder Spreads'!W37:W56)+2*STDEV('Feeder Spreads'!W37:W56),"")</f>
        <v>0</v>
      </c>
      <c r="DW37">
        <f>IFERROR(AVERAGE('Feeder Spreads'!W37:W56)-2*STDEV('Feeder Spreads'!W37:W56),"")</f>
        <v>0</v>
      </c>
      <c r="DX37" t="str">
        <f>IFERROR(('Feeder Spreads'!W37-(AVERAGE('Feeder Spreads'!W37:W56)-2*STDEV('Feeder Spreads'!W37:W56)))/(4*STDEV('Feeder Spreads'!W37:W56)),"")</f>
        <v/>
      </c>
      <c r="DY37" t="str">
        <f>IFERROR(4*STDEV('Feeder Spreads'!W37:W56)/AVERAGE('Feeder Spreads'!W37:W56),"")</f>
        <v/>
      </c>
      <c r="DZ37">
        <v>63.040500000000002</v>
      </c>
      <c r="EA37">
        <f>IFERROR(SQRT((SUMSQ('Feeder Spreads'!W37:W56)-2*SUMPRODUCT('Feeder Spreads'!W37:W56,'Feeder Spreads'!W38:W57)+SUMSQ('Feeder Spreads'!W38:W57)-('Feeder Spreads'!W37-'Feeder Spreads'!W57)^2/20)/19),"")</f>
        <v>0</v>
      </c>
      <c r="EC37">
        <f>IFERROR('Feeder Spreads'!AC37,"")</f>
        <v>0</v>
      </c>
      <c r="ED37">
        <f>IFERROR(('Feeder Spreads'!AD37-AVERAGE('Feeder Spreads'!$AD$3:$AD$4308))/STDEV('Feeder Spreads'!$AD$3:$AD$4308),"")</f>
        <v>9.2057461789832318E-2</v>
      </c>
      <c r="EE37">
        <f>IFERROR('Feeder Spreads'!AD37-'Feeder Spreads'!AD42,"")</f>
        <v>0</v>
      </c>
      <c r="EF37">
        <f>IFERROR('Feeder Spreads'!AD37-'Feeder Spreads'!AD47,"")</f>
        <v>0</v>
      </c>
      <c r="EG37">
        <f>IFERROR(AVERAGE('Feeder Spreads'!AD37:AD56)+2*STDEV('Feeder Spreads'!AD37:AD56),"")</f>
        <v>0</v>
      </c>
      <c r="EH37">
        <f>IFERROR(AVERAGE('Feeder Spreads'!AD37:AD56)-2*STDEV('Feeder Spreads'!AD37:AD56),"")</f>
        <v>0</v>
      </c>
      <c r="EI37" t="str">
        <f>IFERROR(('Feeder Spreads'!AD37-(AVERAGE('Feeder Spreads'!AD37:AD56)-2*STDEV('Feeder Spreads'!AD37:AD56)))/(4*STDEV('Feeder Spreads'!AD37:AD56)),"")</f>
        <v/>
      </c>
      <c r="EJ37" t="str">
        <f>IFERROR(4*STDEV('Feeder Spreads'!AD37:AD56)/AVERAGE('Feeder Spreads'!AD37:AD56),"")</f>
        <v/>
      </c>
      <c r="EK37">
        <v>46.4236</v>
      </c>
      <c r="EL37">
        <f>IFERROR(SQRT((SUMSQ('Feeder Spreads'!AD37:AD56)-2*SUMPRODUCT('Feeder Spreads'!AD37:AD56,'Feeder Spreads'!AD38:AD57)+SUMSQ('Feeder Spreads'!AD38:AD57)-('Feeder Spreads'!AD37-'Feeder Spreads'!AD57)^2/20)/19),"")</f>
        <v>0</v>
      </c>
      <c r="EN37">
        <f>IFERROR('Feeder Spreads'!AJ37,"")</f>
        <v>0</v>
      </c>
      <c r="EO37">
        <f>IFERROR(('Feeder Spreads'!AK37-AVERAGE('Feeder Spreads'!$AK$3:$AK$4308))/STDEV('Feeder Spreads'!$AK$3:$AK$4308),"")</f>
        <v>-9.2057461789832346E-2</v>
      </c>
      <c r="EP37">
        <f>IFERROR('Feeder Spreads'!AK37-'Feeder Spreads'!AK42,"")</f>
        <v>0</v>
      </c>
      <c r="EQ37">
        <f>IFERROR('Feeder Spreads'!AK37-'Feeder Spreads'!AK47,"")</f>
        <v>0</v>
      </c>
      <c r="ER37">
        <f>IFERROR(AVERAGE('Feeder Spreads'!AK37:AK56)+2*STDEV('Feeder Spreads'!AK37:AK56),"")</f>
        <v>0</v>
      </c>
      <c r="ES37">
        <f>IFERROR(AVERAGE('Feeder Spreads'!AK37:AK56)-2*STDEV('Feeder Spreads'!AK37:AK56),"")</f>
        <v>0</v>
      </c>
      <c r="ET37" t="str">
        <f>IFERROR(('Feeder Spreads'!AK37-(AVERAGE('Feeder Spreads'!AK37:AK56)-2*STDEV('Feeder Spreads'!AK37:AK56)))/(4*STDEV('Feeder Spreads'!AK37:AK56)),"")</f>
        <v/>
      </c>
      <c r="EU37" t="str">
        <f>IFERROR(4*STDEV('Feeder Spreads'!AK37:AK56)/AVERAGE('Feeder Spreads'!AK37:AK56),"")</f>
        <v/>
      </c>
      <c r="EV37">
        <v>38.6006</v>
      </c>
      <c r="EW37">
        <f>IFERROR(SQRT((SUMSQ('Feeder Spreads'!AK37:AK56)-2*SUMPRODUCT('Feeder Spreads'!AK37:AK56,'Feeder Spreads'!AK38:AK57)+SUMSQ('Feeder Spreads'!AK38:AK57)-('Feeder Spreads'!AK37-'Feeder Spreads'!AK57)^2/20)/19),"")</f>
        <v>0</v>
      </c>
      <c r="EY37">
        <f>IFERROR('Feeder Spreads'!AQ37,"")</f>
        <v>0</v>
      </c>
      <c r="EZ37">
        <f>IFERROR(('Feeder Spreads'!AR37-AVERAGE('Feeder Spreads'!$AR$3:$AR$4308))/STDEV('Feeder Spreads'!$AR$3:$AR$4308),"")</f>
        <v>-9.2057461789832332E-2</v>
      </c>
      <c r="FA37">
        <f>IFERROR('Feeder Spreads'!AR37-'Feeder Spreads'!AR42,"")</f>
        <v>0</v>
      </c>
      <c r="FB37">
        <f>IFERROR('Feeder Spreads'!AR37-'Feeder Spreads'!AR47,"")</f>
        <v>0</v>
      </c>
      <c r="FC37">
        <f>IFERROR(AVERAGE('Feeder Spreads'!AR37:AR56)+2*STDEV('Feeder Spreads'!AR37:AR56),"")</f>
        <v>0</v>
      </c>
      <c r="FD37">
        <f>IFERROR(AVERAGE('Feeder Spreads'!AR37:AR56)-2*STDEV('Feeder Spreads'!AR37:AR56),"")</f>
        <v>0</v>
      </c>
      <c r="FE37" t="str">
        <f>IFERROR(('Feeder Spreads'!AR37-(AVERAGE('Feeder Spreads'!AR37:AR56)-2*STDEV('Feeder Spreads'!AR37:AR56)))/(4*STDEV('Feeder Spreads'!AR37:AR56)),"")</f>
        <v/>
      </c>
      <c r="FF37" t="str">
        <f>IFERROR(4*STDEV('Feeder Spreads'!AR37:AR56)/AVERAGE('Feeder Spreads'!AR37:AR56),"")</f>
        <v/>
      </c>
      <c r="FG37">
        <v>37.9895</v>
      </c>
      <c r="FH37">
        <f>IFERROR(SQRT((SUMSQ('Feeder Spreads'!AR37:AR56)-2*SUMPRODUCT('Feeder Spreads'!AR37:AR56,'Feeder Spreads'!AR38:AR57)+SUMSQ('Feeder Spreads'!AR38:AR57)-('Feeder Spreads'!AR37-'Feeder Spreads'!AR57)^2/20)/19),"")</f>
        <v>0</v>
      </c>
      <c r="FJ37">
        <f>IFERROR('Fat Spreads'!AX37,"")</f>
        <v>0</v>
      </c>
      <c r="FK37">
        <f>IFERROR(('Fat Spreads'!AY37-AVERAGE('Fat Spreads'!$AY$3:$AY$4308))/STDEV('Fat Spreads'!$AY$3:$AY$4308),"")</f>
        <v>9.2057461789832332E-2</v>
      </c>
      <c r="FL37">
        <f>IFERROR('Fat Spreads'!AY37-'Fat Spreads'!AY42,"")</f>
        <v>0</v>
      </c>
      <c r="FM37">
        <f>IFERROR('Fat Spreads'!AY37-'Fat Spreads'!AY47,"")</f>
        <v>0</v>
      </c>
      <c r="FN37">
        <f>IFERROR(AVERAGE('Fat Spreads'!AY37:AY56)+2*STDEV('Fat Spreads'!AY37:AY56),"")</f>
        <v>0</v>
      </c>
      <c r="FO37">
        <f>IFERROR(AVERAGE('Fat Spreads'!AY37:AY56)-2*STDEV('Fat Spreads'!AY37:AY56),"")</f>
        <v>0</v>
      </c>
      <c r="FP37" t="str">
        <f>IFERROR(('Fat Spreads'!AY37-(AVERAGE('Fat Spreads'!AY37:AY56)-2*STDEV('Fat Spreads'!AY37:AY56)))/(4*STDEV('Fat Spreads'!AY37:AY56)),"")</f>
        <v/>
      </c>
      <c r="FQ37" t="str">
        <f>IFERROR(4*STDEV('Fat Spreads'!AY37:AY56)/AVERAGE('Fat Spreads'!AY37:AY56),"")</f>
        <v/>
      </c>
      <c r="FR37">
        <v>28.9758</v>
      </c>
      <c r="FS37">
        <f>IFERROR(SQRT((SUMSQ('Fat Spreads'!AY37:AY56)-2*SUMPRODUCT('Fat Spreads'!AY37:AY56,'Fat Spreads'!AY38:AY57)+SUMSQ('Fat Spreads'!AY38:AY57)-('Fat Spreads'!AY37-'Fat Spreads'!AY57)^2/20)/19),"")</f>
        <v>0</v>
      </c>
      <c r="FU37">
        <f>IFERROR('Fat Spreads'!BE37,"")</f>
        <v>0</v>
      </c>
      <c r="FV37">
        <f>IFERROR(('Fat Spreads'!BF37-AVERAGE('Fat Spreads'!$BF$3:$BF$4308))/STDEV('Fat Spreads'!$BF$3:$BF$4308),"")</f>
        <v>9.2057461789832332E-2</v>
      </c>
      <c r="FW37">
        <f>IFERROR('Fat Spreads'!BF37-'Fat Spreads'!BF42,"")</f>
        <v>0</v>
      </c>
      <c r="FX37">
        <f>IFERROR('Fat Spreads'!BF37-'Fat Spreads'!BF47,"")</f>
        <v>0</v>
      </c>
      <c r="FY37">
        <f>IFERROR(AVERAGE('Fat Spreads'!BF37:BF56)+2*STDEV('Fat Spreads'!BF37:BF56),"")</f>
        <v>0</v>
      </c>
      <c r="FZ37">
        <f>IFERROR(AVERAGE('Fat Spreads'!BF37:BF56)-2*STDEV('Fat Spreads'!BF37:BF56),"")</f>
        <v>0</v>
      </c>
      <c r="GA37" t="str">
        <f>IFERROR(('Fat Spreads'!BF37-(AVERAGE('Fat Spreads'!BF37:BF56)-2*STDEV('Fat Spreads'!BF37:BF56)))/(4*STDEV('Fat Spreads'!BF37:BF56)),"")</f>
        <v/>
      </c>
      <c r="GB37" t="str">
        <f>IFERROR(4*STDEV('Fat Spreads'!BF37:BF56)/AVERAGE('Fat Spreads'!BF37:BF56),"")</f>
        <v/>
      </c>
      <c r="GC37">
        <v>36.3825</v>
      </c>
      <c r="GD37">
        <f>IFERROR(SQRT((SUMSQ('Fat Spreads'!BF37:BF56)-2*SUMPRODUCT('Fat Spreads'!BF37:BF56,'Fat Spreads'!BF38:BF57)+SUMSQ('Fat Spreads'!BF38:BF57)-('Fat Spreads'!BF37-'Fat Spreads'!BF57)^2/20)/19),"")</f>
        <v>0</v>
      </c>
    </row>
    <row r="38" spans="1:186" x14ac:dyDescent="0.25">
      <c r="A38">
        <f>IFERROR('Fat Spreads'!A38,"")</f>
        <v>0</v>
      </c>
      <c r="B38">
        <f>IFERROR(('Fat Spreads'!B38-AVERAGE('Fat Spreads'!$B$3:$B$4308))/STDEV('Fat Spreads'!$B$3:$B$4308),"")</f>
        <v>9.2057461789832346E-2</v>
      </c>
      <c r="C38">
        <f>IFERROR('Fat Spreads'!B38-'Fat Spreads'!B43,"")</f>
        <v>0</v>
      </c>
      <c r="D38">
        <f>IFERROR('Fat Spreads'!B38-'Fat Spreads'!B48,"")</f>
        <v>0</v>
      </c>
      <c r="E38">
        <f>IFERROR(AVERAGE('Fat Spreads'!B38:B57)+2*STDEV('Fat Spreads'!B38:B57),"")</f>
        <v>0</v>
      </c>
      <c r="F38">
        <f>IFERROR(AVERAGE('Fat Spreads'!B38:B57)-2*STDEV('Fat Spreads'!B38:B57),"")</f>
        <v>0</v>
      </c>
      <c r="G38" t="str">
        <f>IFERROR(('Fat Spreads'!B38-(AVERAGE('Fat Spreads'!B38:B57)-2*STDEV('Fat Spreads'!B38:B57)))/(4*STDEV('Fat Spreads'!B38:B57)),"")</f>
        <v/>
      </c>
      <c r="H38" t="str">
        <f>IFERROR(4*STDEV('Fat Spreads'!B38:B57)/AVERAGE('Fat Spreads'!B38:B57),"")</f>
        <v/>
      </c>
      <c r="I38">
        <v>24.273099999999999</v>
      </c>
      <c r="J38">
        <f>IFERROR(SQRT((SUMSQ('Fat Spreads'!B38:B57)-2*SUMPRODUCT('Fat Spreads'!B38:B57,'Fat Spreads'!B39:B58)+SUMSQ('Fat Spreads'!B39:B58)-('Fat Spreads'!B38-'Fat Spreads'!B58)^2/20)/19),"")</f>
        <v>0</v>
      </c>
      <c r="L38">
        <f>IFERROR('Fat Spreads'!H38,"")</f>
        <v>0</v>
      </c>
      <c r="M38">
        <f>IFERROR(('Fat Spreads'!I38-AVERAGE('Fat Spreads'!$I$3:$I$4308))/STDEV('Fat Spreads'!$I$3:$I$4308),"")</f>
        <v>-9.2057461789832332E-2</v>
      </c>
      <c r="N38">
        <f>IFERROR('Fat Spreads'!I38-'Fat Spreads'!I43,"")</f>
        <v>0</v>
      </c>
      <c r="O38">
        <f>IFERROR('Fat Spreads'!I38-'Fat Spreads'!I48,"")</f>
        <v>0</v>
      </c>
      <c r="P38">
        <f>IFERROR(AVERAGE('Fat Spreads'!I38:I57)+2*STDEV('Fat Spreads'!I38:I57),"")</f>
        <v>0</v>
      </c>
      <c r="Q38">
        <f>IFERROR(AVERAGE('Fat Spreads'!I38:I57)-2*STDEV('Fat Spreads'!I38:I57),"")</f>
        <v>0</v>
      </c>
      <c r="R38" t="str">
        <f>IFERROR(('Fat Spreads'!I38-(AVERAGE('Fat Spreads'!I38:I57)-2*STDEV('Fat Spreads'!I38:I57)))/(4*STDEV('Fat Spreads'!I38:I57)),"")</f>
        <v/>
      </c>
      <c r="S38" t="str">
        <f>IFERROR(4*STDEV('Fat Spreads'!I38:I57)/AVERAGE('Fat Spreads'!I38:I57),"")</f>
        <v/>
      </c>
      <c r="T38">
        <v>51.836799999999997</v>
      </c>
      <c r="U38">
        <f>IFERROR(SQRT((SUMSQ('Fat Spreads'!I38:I57)-2*SUMPRODUCT('Fat Spreads'!I38:I57,'Fat Spreads'!I39:I58)+SUMSQ('Fat Spreads'!I39:I58)-('Fat Spreads'!I38-'Fat Spreads'!I58)^2/20)/19),"")</f>
        <v>0</v>
      </c>
      <c r="W38">
        <f>IFERROR('Fat Spreads'!AQ38,"")</f>
        <v>0</v>
      </c>
      <c r="X38">
        <f>IFERROR(('Fat Spreads'!AR38-AVERAGE('Fat Spreads'!$AR$3:$AR$4308))/STDEV('Fat Spreads'!$AR$3:$AR$4308),"")</f>
        <v>-9.2057461789832346E-2</v>
      </c>
      <c r="Y38">
        <f>IFERROR('Fat Spreads'!AR38-'Fat Spreads'!AR43,"")</f>
        <v>0</v>
      </c>
      <c r="Z38">
        <f>IFERROR('Fat Spreads'!AR38-'Fat Spreads'!AR48,"")</f>
        <v>0</v>
      </c>
      <c r="AA38">
        <f>IFERROR(AVERAGE('Fat Spreads'!AR38:AR57)+2*STDEV('Fat Spreads'!AR38:AR57),"")</f>
        <v>0</v>
      </c>
      <c r="AB38">
        <f>IFERROR(AVERAGE('Fat Spreads'!AR38:AR57)-2*STDEV('Fat Spreads'!AR38:AR57),"")</f>
        <v>0</v>
      </c>
      <c r="AC38" t="str">
        <f>IFERROR(('Fat Spreads'!AR38-(AVERAGE('Fat Spreads'!AR38:AR57)-2*STDEV('Fat Spreads'!AR38:AR57)))/(4*STDEV('Fat Spreads'!AR38:AR57)),"")</f>
        <v/>
      </c>
      <c r="AD38" t="str">
        <f>IFERROR(4*STDEV('Fat Spreads'!AR38:AR57)/AVERAGE('Fat Spreads'!AR38:AR57),"")</f>
        <v/>
      </c>
      <c r="AE38">
        <v>68.994500000000002</v>
      </c>
      <c r="AF38">
        <f>IFERROR(SQRT((SUMSQ('Fat Spreads'!AR38:AR57)-2*SUMPRODUCT('Fat Spreads'!AR38:AR57,'Fat Spreads'!AR39:AR58)+SUMSQ('Fat Spreads'!AR39:AR58)-('Fat Spreads'!AR38-'Fat Spreads'!AR58)^2/20)/19),"")</f>
        <v>0</v>
      </c>
      <c r="AH38">
        <f>IFERROR('Fat Spreads'!O38,"")</f>
        <v>0</v>
      </c>
      <c r="AI38">
        <f>IFERROR(('Fat Spreads'!P38-AVERAGE('Fat Spreads'!$P$3:$P$4308))/STDEV('Fat Spreads'!$P$3:$P$4308),"")</f>
        <v>-9.2057461789832332E-2</v>
      </c>
      <c r="AJ38">
        <f>IFERROR('Fat Spreads'!P38-'Fat Spreads'!P43,"")</f>
        <v>0</v>
      </c>
      <c r="AK38">
        <f>IFERROR('Fat Spreads'!P38-'Fat Spreads'!P48,"")</f>
        <v>0</v>
      </c>
      <c r="AL38">
        <f>IFERROR(AVERAGE('Fat Spreads'!P38:P57)+2*STDEV('Fat Spreads'!P38:P57),"")</f>
        <v>0</v>
      </c>
      <c r="AM38">
        <f>IFERROR(AVERAGE('Fat Spreads'!P38:P57)-2*STDEV('Fat Spreads'!P38:P57),"")</f>
        <v>0</v>
      </c>
      <c r="AN38" t="str">
        <f>IFERROR(('Fat Spreads'!P38-(AVERAGE('Fat Spreads'!P38:P57)-2*STDEV('Fat Spreads'!P38:P57)))/(4*STDEV('Fat Spreads'!P38:P57)),"")</f>
        <v/>
      </c>
      <c r="AO38" t="str">
        <f>IFERROR(4*STDEV('Fat Spreads'!P38:P57)/AVERAGE('Fat Spreads'!P38:P57),"")</f>
        <v/>
      </c>
      <c r="AP38">
        <v>69.078900000000004</v>
      </c>
      <c r="AQ38">
        <f>IFERROR(SQRT((SUMSQ('Fat Spreads'!P38:P57)-2*SUMPRODUCT('Fat Spreads'!P38:P57,'Fat Spreads'!P39:P58)+SUMSQ('Fat Spreads'!P39:P58)-('Fat Spreads'!P38-'Fat Spreads'!P58)^2/20)/19),"")</f>
        <v>0</v>
      </c>
      <c r="AS38">
        <f>IFERROR('Fat Spreads'!AJ38,"")</f>
        <v>0</v>
      </c>
      <c r="AT38">
        <f>IFERROR(('Fat Spreads'!AK38-AVERAGE('Fat Spreads'!$AK$3:$AK$4308))/STDEV('Fat Spreads'!$AK$3:$AK$4308),"")</f>
        <v>-9.2057461789832332E-2</v>
      </c>
      <c r="AU38">
        <f>IFERROR('Fat Spreads'!AK38-'Fat Spreads'!AK43,"")</f>
        <v>0</v>
      </c>
      <c r="AV38">
        <f>IFERROR('Fat Spreads'!AK38-'Fat Spreads'!AK48,"")</f>
        <v>0</v>
      </c>
      <c r="AW38">
        <f>IFERROR(AVERAGE('Fat Spreads'!AK38:AK57)+2*STDEV('Fat Spreads'!AK38:AK57),"")</f>
        <v>0</v>
      </c>
      <c r="AX38">
        <f>IFERROR(AVERAGE('Fat Spreads'!AK38:AK57)-2*STDEV('Fat Spreads'!AK38:AK57),"")</f>
        <v>0</v>
      </c>
      <c r="AY38" t="str">
        <f>IFERROR(('Fat Spreads'!AK38-(AVERAGE('Fat Spreads'!AK38:AK57)-2*STDEV('Fat Spreads'!AK38:AK57)))/(4*STDEV('Fat Spreads'!AK38:AK57)),"")</f>
        <v/>
      </c>
      <c r="AZ38" t="str">
        <f>IFERROR(4*STDEV('Fat Spreads'!AK38:AK57)/AVERAGE('Fat Spreads'!AK38:AK57),"")</f>
        <v/>
      </c>
      <c r="BA38">
        <v>36.6999</v>
      </c>
      <c r="BB38">
        <f>IFERROR(SQRT((SUMSQ('Fat Spreads'!AK38:AK57)-2*SUMPRODUCT('Fat Spreads'!AK38:AK57,'Fat Spreads'!AK39:AK58)+SUMSQ('Fat Spreads'!AK39:AK58)-('Fat Spreads'!AK38-'Fat Spreads'!AK58)^2/20)/19),"")</f>
        <v>0</v>
      </c>
      <c r="BD38">
        <f>IFERROR('Fat Spreads'!V38,"")</f>
        <v>0</v>
      </c>
      <c r="BE38">
        <f>IFERROR(('Fat Spreads'!W38-AVERAGE('Fat Spreads'!$W$3:$W$4308))/STDEV('Fat Spreads'!$W$3:$W$4308),"")</f>
        <v>-9.2057461789832332E-2</v>
      </c>
      <c r="BF38">
        <f>IFERROR('Fat Spreads'!W38-'Fat Spreads'!W43,"")</f>
        <v>0</v>
      </c>
      <c r="BG38">
        <f>IFERROR('Fat Spreads'!W38-'Fat Spreads'!W48,"")</f>
        <v>0</v>
      </c>
      <c r="BH38">
        <f>IFERROR(AVERAGE('Fat Spreads'!W38:W57)+2*STDEV('Fat Spreads'!W38:W57),"")</f>
        <v>0</v>
      </c>
      <c r="BI38">
        <f>IFERROR(AVERAGE('Fat Spreads'!W38:W57)-2*STDEV('Fat Spreads'!W38:W57),"")</f>
        <v>0</v>
      </c>
      <c r="BJ38" t="str">
        <f>IFERROR(('Fat Spreads'!W38-(AVERAGE('Fat Spreads'!W38:W57)-2*STDEV('Fat Spreads'!W38:W57)))/(4*STDEV('Fat Spreads'!W38:W57)),"")</f>
        <v/>
      </c>
      <c r="BK38" t="str">
        <f>IFERROR(4*STDEV('Fat Spreads'!W38:W57)/AVERAGE('Fat Spreads'!W38:W57),"")</f>
        <v/>
      </c>
      <c r="BL38">
        <v>64.293000000000006</v>
      </c>
      <c r="BM38">
        <f>IFERROR(SQRT((SUMSQ('Fat Spreads'!W38:W57)-2*SUMPRODUCT('Fat Spreads'!W38:W57,'Fat Spreads'!W39:W58)+SUMSQ('Fat Spreads'!W39:W58)-('Fat Spreads'!W38-'Fat Spreads'!W58)^2/20)/19),"")</f>
        <v>0</v>
      </c>
      <c r="BO38">
        <f>IFERROR('Fat Spreads'!AC38,"")</f>
        <v>0</v>
      </c>
      <c r="BP38">
        <f>IFERROR(('Fat Spreads'!AD38-AVERAGE('Fat Spreads'!$AD$3:$AD$4308))/STDEV('Fat Spreads'!$AD$3:$AD$4308),"")</f>
        <v>-9.2057461789832332E-2</v>
      </c>
      <c r="BQ38">
        <f>IFERROR('Fat Spreads'!AD38-'Fat Spreads'!AD43,"")</f>
        <v>0</v>
      </c>
      <c r="BR38">
        <f>IFERROR('Fat Spreads'!AD38-'Fat Spreads'!AD48,"")</f>
        <v>0</v>
      </c>
      <c r="BS38">
        <f>IFERROR(AVERAGE('Fat Spreads'!AD38:AD57)+2*STDEV('Fat Spreads'!AD38:AD57),"")</f>
        <v>0</v>
      </c>
      <c r="BT38">
        <f>IFERROR(AVERAGE('Fat Spreads'!AD38:AD57)-2*STDEV('Fat Spreads'!AD38:AD57),"")</f>
        <v>0</v>
      </c>
      <c r="BU38" t="str">
        <f>IFERROR(('Fat Spreads'!AD38-(AVERAGE('Fat Spreads'!AD38:AD57)-2*STDEV('Fat Spreads'!AD38:AD57)))/(4*STDEV('Fat Spreads'!AD38:AD57)),"")</f>
        <v/>
      </c>
      <c r="BV38" t="str">
        <f>IFERROR(4*STDEV('Fat Spreads'!AD38:AD57)/AVERAGE('Fat Spreads'!AD38:AD57),"")</f>
        <v/>
      </c>
      <c r="BW38">
        <v>65.924599999999998</v>
      </c>
      <c r="BX38">
        <f>IFERROR(SQRT((SUMSQ('Fat Spreads'!AD38:AD57)-2*SUMPRODUCT('Fat Spreads'!AD38:AD57,'Fat Spreads'!AD39:AD58)+SUMSQ('Fat Spreads'!AD39:AD58)-('Fat Spreads'!AD38-'Fat Spreads'!AD58)^2/20)/19),"")</f>
        <v>0</v>
      </c>
      <c r="BZ38">
        <f>IFERROR('Feeder Spreads'!A38,"")</f>
        <v>0</v>
      </c>
      <c r="CA38">
        <f>IFERROR(('Feeder Spreads'!B38-AVERAGE('Feeder Spreads'!$B$3:$B$4308))/STDEV('Feeder Spreads'!$B$3:$B$4308),"")</f>
        <v>-9.2057461789832346E-2</v>
      </c>
      <c r="CB38">
        <f>IFERROR('Feeder Spreads'!B38-'Feeder Spreads'!B43,"")</f>
        <v>0</v>
      </c>
      <c r="CC38">
        <f>IFERROR('Feeder Spreads'!B38-'Feeder Spreads'!B48,"")</f>
        <v>0</v>
      </c>
      <c r="CD38">
        <f>IFERROR(AVERAGE('Feeder Spreads'!B38:B57)+2*STDEV('Feeder Spreads'!B38:B57),"")</f>
        <v>0</v>
      </c>
      <c r="CE38">
        <f>IFERROR(AVERAGE('Feeder Spreads'!B38:B57)-2*STDEV('Feeder Spreads'!B38:B57),"")</f>
        <v>0</v>
      </c>
      <c r="CF38" t="str">
        <f>IFERROR(('Feeder Spreads'!B38-(AVERAGE('Feeder Spreads'!B38:B57)-2*STDEV('Feeder Spreads'!B38:B57)))/(4*STDEV('Feeder Spreads'!B38:B57)),"")</f>
        <v/>
      </c>
      <c r="CG38" t="str">
        <f>IFERROR(4*STDEV('Feeder Spreads'!B38:B57)/AVERAGE('Feeder Spreads'!B38:B57),"")</f>
        <v/>
      </c>
      <c r="CH38">
        <v>53.848700000000001</v>
      </c>
      <c r="CI38">
        <f>IFERROR(SQRT((SUMSQ('Feeder Spreads'!B38:B57)-2*SUMPRODUCT('Feeder Spreads'!B38:B57,'Feeder Spreads'!B39:B58)+SUMSQ('Feeder Spreads'!B39:B58)-('Feeder Spreads'!B38-'Feeder Spreads'!B58)^2/20)/19),"")</f>
        <v>0</v>
      </c>
      <c r="CK38">
        <f>IFERROR('Feeder Spreads'!AX38,"")</f>
        <v>0</v>
      </c>
      <c r="CL38">
        <f>IFERROR(('Feeder Spreads'!AY38-AVERAGE('Feeder Spreads'!$AY$3:$AY$4308))/STDEV('Feeder Spreads'!$AY$3:$AY$4308),"")</f>
        <v>-9.2057461789832346E-2</v>
      </c>
      <c r="CM38">
        <f>IFERROR('Feeder Spreads'!AY38-'Feeder Spreads'!AY43,"")</f>
        <v>0</v>
      </c>
      <c r="CN38">
        <f>IFERROR('Feeder Spreads'!AY38-'Feeder Spreads'!AY48,"")</f>
        <v>0</v>
      </c>
      <c r="CO38">
        <f>IFERROR(AVERAGE('Feeder Spreads'!AY38:AY57)+2*STDEV('Feeder Spreads'!AY38:AY57),"")</f>
        <v>0</v>
      </c>
      <c r="CP38">
        <f>IFERROR(AVERAGE('Feeder Spreads'!AY38:AY57)-2*STDEV('Feeder Spreads'!AY38:AY57),"")</f>
        <v>0</v>
      </c>
      <c r="CQ38" t="str">
        <f>IFERROR(('Feeder Spreads'!AY38-(AVERAGE('Feeder Spreads'!AY38:AY57)-2*STDEV('Feeder Spreads'!AY38:AY57)))/(4*STDEV('Feeder Spreads'!AY38:AY57)),"")</f>
        <v/>
      </c>
      <c r="CR38" t="str">
        <f>IFERROR(4*STDEV('Feeder Spreads'!AY38:AY57)/AVERAGE('Feeder Spreads'!AY38:AY57),"")</f>
        <v/>
      </c>
      <c r="CS38">
        <v>58.362299999999998</v>
      </c>
      <c r="CT38">
        <f>IFERROR(SQRT((SUMSQ('Feeder Spreads'!AY38:AY57)-2*SUMPRODUCT('Feeder Spreads'!AY38:AY57,'Feeder Spreads'!AY39:AY58)+SUMSQ('Feeder Spreads'!AY39:AY58)-('Feeder Spreads'!AY38-'Feeder Spreads'!AY58)^2/20)/19),"")</f>
        <v>0</v>
      </c>
      <c r="CV38">
        <f>IFERROR('Feeder Spreads'!H38,"")</f>
        <v>0</v>
      </c>
      <c r="CW38">
        <f>IFERROR(('Feeder Spreads'!I38-AVERAGE('Feeder Spreads'!$I$3:$I$4308))/STDEV('Feeder Spreads'!$I$3:$I$4308),"")</f>
        <v>-9.2057461789832332E-2</v>
      </c>
      <c r="CX38">
        <f>IFERROR('Feeder Spreads'!I38-'Feeder Spreads'!I43,"")</f>
        <v>0</v>
      </c>
      <c r="CY38">
        <f>IFERROR('Feeder Spreads'!I38-'Feeder Spreads'!I48,"")</f>
        <v>0</v>
      </c>
      <c r="CZ38">
        <f>IFERROR(AVERAGE('Feeder Spreads'!I38:I57)+2*STDEV('Feeder Spreads'!I38:I57),"")</f>
        <v>0</v>
      </c>
      <c r="DA38">
        <f>IFERROR(AVERAGE('Feeder Spreads'!I38:I57)-2*STDEV('Feeder Spreads'!I38:I57),"")</f>
        <v>0</v>
      </c>
      <c r="DB38" t="str">
        <f>IFERROR(('Feeder Spreads'!I38-(AVERAGE('Feeder Spreads'!I38:I57)-2*STDEV('Feeder Spreads'!I38:I57)))/(4*STDEV('Feeder Spreads'!I38:I57)),"")</f>
        <v/>
      </c>
      <c r="DC38" t="str">
        <f>IFERROR(4*STDEV('Feeder Spreads'!I38:I57)/AVERAGE('Feeder Spreads'!I38:I57),"")</f>
        <v/>
      </c>
      <c r="DD38">
        <v>50.624699999999997</v>
      </c>
      <c r="DE38">
        <f>IFERROR(SQRT((SUMSQ('Feeder Spreads'!I38:I57)-2*SUMPRODUCT('Feeder Spreads'!I38:I57,'Feeder Spreads'!I39:I58)+SUMSQ('Feeder Spreads'!I39:I58)-('Feeder Spreads'!I38-'Feeder Spreads'!I58)^2/20)/19),"")</f>
        <v>0</v>
      </c>
      <c r="DG38">
        <f>IFERROR('Feeder Spreads'!O38,"")</f>
        <v>0</v>
      </c>
      <c r="DH38">
        <f>IFERROR(('Feeder Spreads'!P38-AVERAGE('Feeder Spreads'!$P$3:$P$4308))/STDEV('Feeder Spreads'!$P$3:$P$4308),"")</f>
        <v>-9.2057461789832346E-2</v>
      </c>
      <c r="DI38">
        <f>IFERROR('Feeder Spreads'!P38-'Feeder Spreads'!P43,"")</f>
        <v>0</v>
      </c>
      <c r="DJ38">
        <f>IFERROR('Feeder Spreads'!P38-'Feeder Spreads'!P48,"")</f>
        <v>0</v>
      </c>
      <c r="DK38">
        <f>IFERROR(AVERAGE('Feeder Spreads'!P38:P57)+2*STDEV('Feeder Spreads'!P38:P57),"")</f>
        <v>0</v>
      </c>
      <c r="DL38">
        <f>IFERROR(AVERAGE('Feeder Spreads'!P38:P57)-2*STDEV('Feeder Spreads'!P38:P57),"")</f>
        <v>0</v>
      </c>
      <c r="DM38" t="str">
        <f>IFERROR(('Feeder Spreads'!P38-(AVERAGE('Feeder Spreads'!P38:P57)-2*STDEV('Feeder Spreads'!P38:P57)))/(4*STDEV('Feeder Spreads'!P38:P57)),"")</f>
        <v/>
      </c>
      <c r="DN38" t="str">
        <f>IFERROR(4*STDEV('Feeder Spreads'!P38:P57)/AVERAGE('Feeder Spreads'!P38:P57),"")</f>
        <v/>
      </c>
      <c r="DO38">
        <v>31.460799999999999</v>
      </c>
      <c r="DP38">
        <f>IFERROR(SQRT((SUMSQ('Feeder Spreads'!P38:P57)-2*SUMPRODUCT('Feeder Spreads'!P38:P57,'Feeder Spreads'!P39:P58)+SUMSQ('Feeder Spreads'!P39:P58)-('Feeder Spreads'!P38-'Feeder Spreads'!P58)^2/20)/19),"")</f>
        <v>0</v>
      </c>
      <c r="DR38">
        <f>IFERROR('Feeder Spreads'!V38,"")</f>
        <v>0</v>
      </c>
      <c r="DS38">
        <f>IFERROR(('Feeder Spreads'!W38-AVERAGE('Feeder Spreads'!$W$3:$W$4308))/STDEV('Feeder Spreads'!$W$3:$W$4308),"")</f>
        <v>-9.2057461789832332E-2</v>
      </c>
      <c r="DT38">
        <f>IFERROR('Feeder Spreads'!W38-'Feeder Spreads'!W43,"")</f>
        <v>0</v>
      </c>
      <c r="DU38">
        <f>IFERROR('Feeder Spreads'!W38-'Feeder Spreads'!W48,"")</f>
        <v>0</v>
      </c>
      <c r="DV38">
        <f>IFERROR(AVERAGE('Feeder Spreads'!W38:W57)+2*STDEV('Feeder Spreads'!W38:W57),"")</f>
        <v>0</v>
      </c>
      <c r="DW38">
        <f>IFERROR(AVERAGE('Feeder Spreads'!W38:W57)-2*STDEV('Feeder Spreads'!W38:W57),"")</f>
        <v>0</v>
      </c>
      <c r="DX38" t="str">
        <f>IFERROR(('Feeder Spreads'!W38-(AVERAGE('Feeder Spreads'!W38:W57)-2*STDEV('Feeder Spreads'!W38:W57)))/(4*STDEV('Feeder Spreads'!W38:W57)),"")</f>
        <v/>
      </c>
      <c r="DY38" t="str">
        <f>IFERROR(4*STDEV('Feeder Spreads'!W38:W57)/AVERAGE('Feeder Spreads'!W38:W57),"")</f>
        <v/>
      </c>
      <c r="DZ38">
        <v>70.168099999999995</v>
      </c>
      <c r="EA38">
        <f>IFERROR(SQRT((SUMSQ('Feeder Spreads'!W38:W57)-2*SUMPRODUCT('Feeder Spreads'!W38:W57,'Feeder Spreads'!W39:W58)+SUMSQ('Feeder Spreads'!W39:W58)-('Feeder Spreads'!W38-'Feeder Spreads'!W58)^2/20)/19),"")</f>
        <v>0</v>
      </c>
      <c r="EC38">
        <f>IFERROR('Feeder Spreads'!AC38,"")</f>
        <v>0</v>
      </c>
      <c r="ED38">
        <f>IFERROR(('Feeder Spreads'!AD38-AVERAGE('Feeder Spreads'!$AD$3:$AD$4308))/STDEV('Feeder Spreads'!$AD$3:$AD$4308),"")</f>
        <v>9.2057461789832318E-2</v>
      </c>
      <c r="EE38">
        <f>IFERROR('Feeder Spreads'!AD38-'Feeder Spreads'!AD43,"")</f>
        <v>0</v>
      </c>
      <c r="EF38">
        <f>IFERROR('Feeder Spreads'!AD38-'Feeder Spreads'!AD48,"")</f>
        <v>0</v>
      </c>
      <c r="EG38">
        <f>IFERROR(AVERAGE('Feeder Spreads'!AD38:AD57)+2*STDEV('Feeder Spreads'!AD38:AD57),"")</f>
        <v>0</v>
      </c>
      <c r="EH38">
        <f>IFERROR(AVERAGE('Feeder Spreads'!AD38:AD57)-2*STDEV('Feeder Spreads'!AD38:AD57),"")</f>
        <v>0</v>
      </c>
      <c r="EI38" t="str">
        <f>IFERROR(('Feeder Spreads'!AD38-(AVERAGE('Feeder Spreads'!AD38:AD57)-2*STDEV('Feeder Spreads'!AD38:AD57)))/(4*STDEV('Feeder Spreads'!AD38:AD57)),"")</f>
        <v/>
      </c>
      <c r="EJ38" t="str">
        <f>IFERROR(4*STDEV('Feeder Spreads'!AD38:AD57)/AVERAGE('Feeder Spreads'!AD38:AD57),"")</f>
        <v/>
      </c>
      <c r="EK38">
        <v>45.037500000000001</v>
      </c>
      <c r="EL38">
        <f>IFERROR(SQRT((SUMSQ('Feeder Spreads'!AD38:AD57)-2*SUMPRODUCT('Feeder Spreads'!AD38:AD57,'Feeder Spreads'!AD39:AD58)+SUMSQ('Feeder Spreads'!AD39:AD58)-('Feeder Spreads'!AD38-'Feeder Spreads'!AD58)^2/20)/19),"")</f>
        <v>0</v>
      </c>
      <c r="EN38">
        <f>IFERROR('Feeder Spreads'!AJ38,"")</f>
        <v>0</v>
      </c>
      <c r="EO38">
        <f>IFERROR(('Feeder Spreads'!AK38-AVERAGE('Feeder Spreads'!$AK$3:$AK$4308))/STDEV('Feeder Spreads'!$AK$3:$AK$4308),"")</f>
        <v>-9.2057461789832346E-2</v>
      </c>
      <c r="EP38">
        <f>IFERROR('Feeder Spreads'!AK38-'Feeder Spreads'!AK43,"")</f>
        <v>0</v>
      </c>
      <c r="EQ38">
        <f>IFERROR('Feeder Spreads'!AK38-'Feeder Spreads'!AK48,"")</f>
        <v>0</v>
      </c>
      <c r="ER38">
        <f>IFERROR(AVERAGE('Feeder Spreads'!AK38:AK57)+2*STDEV('Feeder Spreads'!AK38:AK57),"")</f>
        <v>0</v>
      </c>
      <c r="ES38">
        <f>IFERROR(AVERAGE('Feeder Spreads'!AK38:AK57)-2*STDEV('Feeder Spreads'!AK38:AK57),"")</f>
        <v>0</v>
      </c>
      <c r="ET38" t="str">
        <f>IFERROR(('Feeder Spreads'!AK38-(AVERAGE('Feeder Spreads'!AK38:AK57)-2*STDEV('Feeder Spreads'!AK38:AK57)))/(4*STDEV('Feeder Spreads'!AK38:AK57)),"")</f>
        <v/>
      </c>
      <c r="EU38" t="str">
        <f>IFERROR(4*STDEV('Feeder Spreads'!AK38:AK57)/AVERAGE('Feeder Spreads'!AK38:AK57),"")</f>
        <v/>
      </c>
      <c r="EV38">
        <v>33.651899999999998</v>
      </c>
      <c r="EW38">
        <f>IFERROR(SQRT((SUMSQ('Feeder Spreads'!AK38:AK57)-2*SUMPRODUCT('Feeder Spreads'!AK38:AK57,'Feeder Spreads'!AK39:AK58)+SUMSQ('Feeder Spreads'!AK39:AK58)-('Feeder Spreads'!AK38-'Feeder Spreads'!AK58)^2/20)/19),"")</f>
        <v>0</v>
      </c>
      <c r="EY38">
        <f>IFERROR('Feeder Spreads'!AQ38,"")</f>
        <v>0</v>
      </c>
      <c r="EZ38">
        <f>IFERROR(('Feeder Spreads'!AR38-AVERAGE('Feeder Spreads'!$AR$3:$AR$4308))/STDEV('Feeder Spreads'!$AR$3:$AR$4308),"")</f>
        <v>-9.2057461789832332E-2</v>
      </c>
      <c r="FA38">
        <f>IFERROR('Feeder Spreads'!AR38-'Feeder Spreads'!AR43,"")</f>
        <v>0</v>
      </c>
      <c r="FB38">
        <f>IFERROR('Feeder Spreads'!AR38-'Feeder Spreads'!AR48,"")</f>
        <v>0</v>
      </c>
      <c r="FC38">
        <f>IFERROR(AVERAGE('Feeder Spreads'!AR38:AR57)+2*STDEV('Feeder Spreads'!AR38:AR57),"")</f>
        <v>0</v>
      </c>
      <c r="FD38">
        <f>IFERROR(AVERAGE('Feeder Spreads'!AR38:AR57)-2*STDEV('Feeder Spreads'!AR38:AR57),"")</f>
        <v>0</v>
      </c>
      <c r="FE38" t="str">
        <f>IFERROR(('Feeder Spreads'!AR38-(AVERAGE('Feeder Spreads'!AR38:AR57)-2*STDEV('Feeder Spreads'!AR38:AR57)))/(4*STDEV('Feeder Spreads'!AR38:AR57)),"")</f>
        <v/>
      </c>
      <c r="FF38" t="str">
        <f>IFERROR(4*STDEV('Feeder Spreads'!AR38:AR57)/AVERAGE('Feeder Spreads'!AR38:AR57),"")</f>
        <v/>
      </c>
      <c r="FG38">
        <v>31.688300000000002</v>
      </c>
      <c r="FH38">
        <f>IFERROR(SQRT((SUMSQ('Feeder Spreads'!AR38:AR57)-2*SUMPRODUCT('Feeder Spreads'!AR38:AR57,'Feeder Spreads'!AR39:AR58)+SUMSQ('Feeder Spreads'!AR39:AR58)-('Feeder Spreads'!AR38-'Feeder Spreads'!AR58)^2/20)/19),"")</f>
        <v>0</v>
      </c>
      <c r="FJ38">
        <f>IFERROR('Fat Spreads'!AX38,"")</f>
        <v>0</v>
      </c>
      <c r="FK38">
        <f>IFERROR(('Fat Spreads'!AY38-AVERAGE('Fat Spreads'!$AY$3:$AY$4308))/STDEV('Fat Spreads'!$AY$3:$AY$4308),"")</f>
        <v>9.2057461789832332E-2</v>
      </c>
      <c r="FL38">
        <f>IFERROR('Fat Spreads'!AY38-'Fat Spreads'!AY43,"")</f>
        <v>0</v>
      </c>
      <c r="FM38">
        <f>IFERROR('Fat Spreads'!AY38-'Fat Spreads'!AY48,"")</f>
        <v>0</v>
      </c>
      <c r="FN38">
        <f>IFERROR(AVERAGE('Fat Spreads'!AY38:AY57)+2*STDEV('Fat Spreads'!AY38:AY57),"")</f>
        <v>0</v>
      </c>
      <c r="FO38">
        <f>IFERROR(AVERAGE('Fat Spreads'!AY38:AY57)-2*STDEV('Fat Spreads'!AY38:AY57),"")</f>
        <v>0</v>
      </c>
      <c r="FP38" t="str">
        <f>IFERROR(('Fat Spreads'!AY38-(AVERAGE('Fat Spreads'!AY38:AY57)-2*STDEV('Fat Spreads'!AY38:AY57)))/(4*STDEV('Fat Spreads'!AY38:AY57)),"")</f>
        <v/>
      </c>
      <c r="FQ38" t="str">
        <f>IFERROR(4*STDEV('Fat Spreads'!AY38:AY57)/AVERAGE('Fat Spreads'!AY38:AY57),"")</f>
        <v/>
      </c>
      <c r="FR38">
        <v>29.410499999999999</v>
      </c>
      <c r="FS38">
        <f>IFERROR(SQRT((SUMSQ('Fat Spreads'!AY38:AY57)-2*SUMPRODUCT('Fat Spreads'!AY38:AY57,'Fat Spreads'!AY39:AY58)+SUMSQ('Fat Spreads'!AY39:AY58)-('Fat Spreads'!AY38-'Fat Spreads'!AY58)^2/20)/19),"")</f>
        <v>0</v>
      </c>
      <c r="FU38">
        <f>IFERROR('Fat Spreads'!BE38,"")</f>
        <v>0</v>
      </c>
      <c r="FV38">
        <f>IFERROR(('Fat Spreads'!BF38-AVERAGE('Fat Spreads'!$BF$3:$BF$4308))/STDEV('Fat Spreads'!$BF$3:$BF$4308),"")</f>
        <v>9.2057461789832332E-2</v>
      </c>
      <c r="FW38">
        <f>IFERROR('Fat Spreads'!BF38-'Fat Spreads'!BF43,"")</f>
        <v>0</v>
      </c>
      <c r="FX38">
        <f>IFERROR('Fat Spreads'!BF38-'Fat Spreads'!BF48,"")</f>
        <v>0</v>
      </c>
      <c r="FY38">
        <f>IFERROR(AVERAGE('Fat Spreads'!BF38:BF57)+2*STDEV('Fat Spreads'!BF38:BF57),"")</f>
        <v>0</v>
      </c>
      <c r="FZ38">
        <f>IFERROR(AVERAGE('Fat Spreads'!BF38:BF57)-2*STDEV('Fat Spreads'!BF38:BF57),"")</f>
        <v>0</v>
      </c>
      <c r="GA38" t="str">
        <f>IFERROR(('Fat Spreads'!BF38-(AVERAGE('Fat Spreads'!BF38:BF57)-2*STDEV('Fat Spreads'!BF38:BF57)))/(4*STDEV('Fat Spreads'!BF38:BF57)),"")</f>
        <v/>
      </c>
      <c r="GB38" t="str">
        <f>IFERROR(4*STDEV('Fat Spreads'!BF38:BF57)/AVERAGE('Fat Spreads'!BF38:BF57),"")</f>
        <v/>
      </c>
      <c r="GC38">
        <v>32.157600000000002</v>
      </c>
      <c r="GD38">
        <f>IFERROR(SQRT((SUMSQ('Fat Spreads'!BF38:BF57)-2*SUMPRODUCT('Fat Spreads'!BF38:BF57,'Fat Spreads'!BF39:BF58)+SUMSQ('Fat Spreads'!BF39:BF58)-('Fat Spreads'!BF38-'Fat Spreads'!BF58)^2/20)/19),"")</f>
        <v>0</v>
      </c>
    </row>
    <row r="39" spans="1:186" x14ac:dyDescent="0.25">
      <c r="A39">
        <f>IFERROR('Fat Spreads'!A39,"")</f>
        <v>0</v>
      </c>
      <c r="B39">
        <f>IFERROR(('Fat Spreads'!B39-AVERAGE('Fat Spreads'!$B$3:$B$4308))/STDEV('Fat Spreads'!$B$3:$B$4308),"")</f>
        <v>9.2057461789832346E-2</v>
      </c>
      <c r="C39">
        <f>IFERROR('Fat Spreads'!B39-'Fat Spreads'!B44,"")</f>
        <v>0</v>
      </c>
      <c r="D39">
        <f>IFERROR('Fat Spreads'!B39-'Fat Spreads'!B49,"")</f>
        <v>0</v>
      </c>
      <c r="E39">
        <f>IFERROR(AVERAGE('Fat Spreads'!B39:B58)+2*STDEV('Fat Spreads'!B39:B58),"")</f>
        <v>0</v>
      </c>
      <c r="F39">
        <f>IFERROR(AVERAGE('Fat Spreads'!B39:B58)-2*STDEV('Fat Spreads'!B39:B58),"")</f>
        <v>0</v>
      </c>
      <c r="G39" t="str">
        <f>IFERROR(('Fat Spreads'!B39-(AVERAGE('Fat Spreads'!B39:B58)-2*STDEV('Fat Spreads'!B39:B58)))/(4*STDEV('Fat Spreads'!B39:B58)),"")</f>
        <v/>
      </c>
      <c r="H39" t="str">
        <f>IFERROR(4*STDEV('Fat Spreads'!B39:B58)/AVERAGE('Fat Spreads'!B39:B58),"")</f>
        <v/>
      </c>
      <c r="I39">
        <v>28.546199999999999</v>
      </c>
      <c r="J39">
        <f>IFERROR(SQRT((SUMSQ('Fat Spreads'!B39:B58)-2*SUMPRODUCT('Fat Spreads'!B39:B58,'Fat Spreads'!B40:B59)+SUMSQ('Fat Spreads'!B40:B59)-('Fat Spreads'!B39-'Fat Spreads'!B59)^2/20)/19),"")</f>
        <v>0</v>
      </c>
      <c r="L39">
        <f>IFERROR('Fat Spreads'!H39,"")</f>
        <v>0</v>
      </c>
      <c r="M39">
        <f>IFERROR(('Fat Spreads'!I39-AVERAGE('Fat Spreads'!$I$3:$I$4308))/STDEV('Fat Spreads'!$I$3:$I$4308),"")</f>
        <v>-9.2057461789832332E-2</v>
      </c>
      <c r="N39">
        <f>IFERROR('Fat Spreads'!I39-'Fat Spreads'!I44,"")</f>
        <v>0</v>
      </c>
      <c r="O39">
        <f>IFERROR('Fat Spreads'!I39-'Fat Spreads'!I49,"")</f>
        <v>0</v>
      </c>
      <c r="P39">
        <f>IFERROR(AVERAGE('Fat Spreads'!I39:I58)+2*STDEV('Fat Spreads'!I39:I58),"")</f>
        <v>0</v>
      </c>
      <c r="Q39">
        <f>IFERROR(AVERAGE('Fat Spreads'!I39:I58)-2*STDEV('Fat Spreads'!I39:I58),"")</f>
        <v>0</v>
      </c>
      <c r="R39" t="str">
        <f>IFERROR(('Fat Spreads'!I39-(AVERAGE('Fat Spreads'!I39:I58)-2*STDEV('Fat Spreads'!I39:I58)))/(4*STDEV('Fat Spreads'!I39:I58)),"")</f>
        <v/>
      </c>
      <c r="S39" t="str">
        <f>IFERROR(4*STDEV('Fat Spreads'!I39:I58)/AVERAGE('Fat Spreads'!I39:I58),"")</f>
        <v/>
      </c>
      <c r="T39">
        <v>50.410200000000003</v>
      </c>
      <c r="U39">
        <f>IFERROR(SQRT((SUMSQ('Fat Spreads'!I39:I58)-2*SUMPRODUCT('Fat Spreads'!I39:I58,'Fat Spreads'!I40:I59)+SUMSQ('Fat Spreads'!I40:I59)-('Fat Spreads'!I39-'Fat Spreads'!I59)^2/20)/19),"")</f>
        <v>0</v>
      </c>
      <c r="W39">
        <f>IFERROR('Fat Spreads'!AQ39,"")</f>
        <v>0</v>
      </c>
      <c r="X39">
        <f>IFERROR(('Fat Spreads'!AR39-AVERAGE('Fat Spreads'!$AR$3:$AR$4308))/STDEV('Fat Spreads'!$AR$3:$AR$4308),"")</f>
        <v>-9.2057461789832346E-2</v>
      </c>
      <c r="Y39">
        <f>IFERROR('Fat Spreads'!AR39-'Fat Spreads'!AR44,"")</f>
        <v>0</v>
      </c>
      <c r="Z39">
        <f>IFERROR('Fat Spreads'!AR39-'Fat Spreads'!AR49,"")</f>
        <v>0</v>
      </c>
      <c r="AA39">
        <f>IFERROR(AVERAGE('Fat Spreads'!AR39:AR58)+2*STDEV('Fat Spreads'!AR39:AR58),"")</f>
        <v>0</v>
      </c>
      <c r="AB39">
        <f>IFERROR(AVERAGE('Fat Spreads'!AR39:AR58)-2*STDEV('Fat Spreads'!AR39:AR58),"")</f>
        <v>0</v>
      </c>
      <c r="AC39" t="str">
        <f>IFERROR(('Fat Spreads'!AR39-(AVERAGE('Fat Spreads'!AR39:AR58)-2*STDEV('Fat Spreads'!AR39:AR58)))/(4*STDEV('Fat Spreads'!AR39:AR58)),"")</f>
        <v/>
      </c>
      <c r="AD39" t="str">
        <f>IFERROR(4*STDEV('Fat Spreads'!AR39:AR58)/AVERAGE('Fat Spreads'!AR39:AR58),"")</f>
        <v/>
      </c>
      <c r="AE39">
        <v>66.080600000000004</v>
      </c>
      <c r="AF39">
        <f>IFERROR(SQRT((SUMSQ('Fat Spreads'!AR39:AR58)-2*SUMPRODUCT('Fat Spreads'!AR39:AR58,'Fat Spreads'!AR40:AR59)+SUMSQ('Fat Spreads'!AR40:AR59)-('Fat Spreads'!AR39-'Fat Spreads'!AR59)^2/20)/19),"")</f>
        <v>0</v>
      </c>
      <c r="AH39">
        <f>IFERROR('Fat Spreads'!O39,"")</f>
        <v>0</v>
      </c>
      <c r="AI39">
        <f>IFERROR(('Fat Spreads'!P39-AVERAGE('Fat Spreads'!$P$3:$P$4308))/STDEV('Fat Spreads'!$P$3:$P$4308),"")</f>
        <v>-9.2057461789832332E-2</v>
      </c>
      <c r="AJ39">
        <f>IFERROR('Fat Spreads'!P39-'Fat Spreads'!P44,"")</f>
        <v>0</v>
      </c>
      <c r="AK39">
        <f>IFERROR('Fat Spreads'!P39-'Fat Spreads'!P49,"")</f>
        <v>0</v>
      </c>
      <c r="AL39">
        <f>IFERROR(AVERAGE('Fat Spreads'!P39:P58)+2*STDEV('Fat Spreads'!P39:P58),"")</f>
        <v>0</v>
      </c>
      <c r="AM39">
        <f>IFERROR(AVERAGE('Fat Spreads'!P39:P58)-2*STDEV('Fat Spreads'!P39:P58),"")</f>
        <v>0</v>
      </c>
      <c r="AN39" t="str">
        <f>IFERROR(('Fat Spreads'!P39-(AVERAGE('Fat Spreads'!P39:P58)-2*STDEV('Fat Spreads'!P39:P58)))/(4*STDEV('Fat Spreads'!P39:P58)),"")</f>
        <v/>
      </c>
      <c r="AO39" t="str">
        <f>IFERROR(4*STDEV('Fat Spreads'!P39:P58)/AVERAGE('Fat Spreads'!P39:P58),"")</f>
        <v/>
      </c>
      <c r="AP39">
        <v>67.375100000000003</v>
      </c>
      <c r="AQ39">
        <f>IFERROR(SQRT((SUMSQ('Fat Spreads'!P39:P58)-2*SUMPRODUCT('Fat Spreads'!P39:P58,'Fat Spreads'!P40:P59)+SUMSQ('Fat Spreads'!P40:P59)-('Fat Spreads'!P39-'Fat Spreads'!P59)^2/20)/19),"")</f>
        <v>0</v>
      </c>
      <c r="AS39">
        <f>IFERROR('Fat Spreads'!AJ39,"")</f>
        <v>0</v>
      </c>
      <c r="AT39">
        <f>IFERROR(('Fat Spreads'!AK39-AVERAGE('Fat Spreads'!$AK$3:$AK$4308))/STDEV('Fat Spreads'!$AK$3:$AK$4308),"")</f>
        <v>-9.2057461789832332E-2</v>
      </c>
      <c r="AU39">
        <f>IFERROR('Fat Spreads'!AK39-'Fat Spreads'!AK44,"")</f>
        <v>0</v>
      </c>
      <c r="AV39">
        <f>IFERROR('Fat Spreads'!AK39-'Fat Spreads'!AK49,"")</f>
        <v>0</v>
      </c>
      <c r="AW39">
        <f>IFERROR(AVERAGE('Fat Spreads'!AK39:AK58)+2*STDEV('Fat Spreads'!AK39:AK58),"")</f>
        <v>0</v>
      </c>
      <c r="AX39">
        <f>IFERROR(AVERAGE('Fat Spreads'!AK39:AK58)-2*STDEV('Fat Spreads'!AK39:AK58),"")</f>
        <v>0</v>
      </c>
      <c r="AY39" t="str">
        <f>IFERROR(('Fat Spreads'!AK39-(AVERAGE('Fat Spreads'!AK39:AK58)-2*STDEV('Fat Spreads'!AK39:AK58)))/(4*STDEV('Fat Spreads'!AK39:AK58)),"")</f>
        <v/>
      </c>
      <c r="AZ39" t="str">
        <f>IFERROR(4*STDEV('Fat Spreads'!AK39:AK58)/AVERAGE('Fat Spreads'!AK39:AK58),"")</f>
        <v/>
      </c>
      <c r="BA39">
        <v>36.435499999999998</v>
      </c>
      <c r="BB39">
        <f>IFERROR(SQRT((SUMSQ('Fat Spreads'!AK39:AK58)-2*SUMPRODUCT('Fat Spreads'!AK39:AK58,'Fat Spreads'!AK40:AK59)+SUMSQ('Fat Spreads'!AK40:AK59)-('Fat Spreads'!AK39-'Fat Spreads'!AK59)^2/20)/19),"")</f>
        <v>0</v>
      </c>
      <c r="BD39">
        <f>IFERROR('Fat Spreads'!V39,"")</f>
        <v>0</v>
      </c>
      <c r="BE39">
        <f>IFERROR(('Fat Spreads'!W39-AVERAGE('Fat Spreads'!$W$3:$W$4308))/STDEV('Fat Spreads'!$W$3:$W$4308),"")</f>
        <v>-9.2057461789832332E-2</v>
      </c>
      <c r="BF39">
        <f>IFERROR('Fat Spreads'!W39-'Fat Spreads'!W44,"")</f>
        <v>0</v>
      </c>
      <c r="BG39">
        <f>IFERROR('Fat Spreads'!W39-'Fat Spreads'!W49,"")</f>
        <v>0</v>
      </c>
      <c r="BH39">
        <f>IFERROR(AVERAGE('Fat Spreads'!W39:W58)+2*STDEV('Fat Spreads'!W39:W58),"")</f>
        <v>0</v>
      </c>
      <c r="BI39">
        <f>IFERROR(AVERAGE('Fat Spreads'!W39:W58)-2*STDEV('Fat Spreads'!W39:W58),"")</f>
        <v>0</v>
      </c>
      <c r="BJ39" t="str">
        <f>IFERROR(('Fat Spreads'!W39-(AVERAGE('Fat Spreads'!W39:W58)-2*STDEV('Fat Spreads'!W39:W58)))/(4*STDEV('Fat Spreads'!W39:W58)),"")</f>
        <v/>
      </c>
      <c r="BK39" t="str">
        <f>IFERROR(4*STDEV('Fat Spreads'!W39:W58)/AVERAGE('Fat Spreads'!W39:W58),"")</f>
        <v/>
      </c>
      <c r="BL39">
        <v>60.190399999999997</v>
      </c>
      <c r="BM39">
        <f>IFERROR(SQRT((SUMSQ('Fat Spreads'!W39:W58)-2*SUMPRODUCT('Fat Spreads'!W39:W58,'Fat Spreads'!W40:W59)+SUMSQ('Fat Spreads'!W40:W59)-('Fat Spreads'!W39-'Fat Spreads'!W59)^2/20)/19),"")</f>
        <v>0</v>
      </c>
      <c r="BO39">
        <f>IFERROR('Fat Spreads'!AC39,"")</f>
        <v>0</v>
      </c>
      <c r="BP39">
        <f>IFERROR(('Fat Spreads'!AD39-AVERAGE('Fat Spreads'!$AD$3:$AD$4308))/STDEV('Fat Spreads'!$AD$3:$AD$4308),"")</f>
        <v>-9.2057461789832332E-2</v>
      </c>
      <c r="BQ39">
        <f>IFERROR('Fat Spreads'!AD39-'Fat Spreads'!AD44,"")</f>
        <v>0</v>
      </c>
      <c r="BR39">
        <f>IFERROR('Fat Spreads'!AD39-'Fat Spreads'!AD49,"")</f>
        <v>0</v>
      </c>
      <c r="BS39">
        <f>IFERROR(AVERAGE('Fat Spreads'!AD39:AD58)+2*STDEV('Fat Spreads'!AD39:AD58),"")</f>
        <v>0</v>
      </c>
      <c r="BT39">
        <f>IFERROR(AVERAGE('Fat Spreads'!AD39:AD58)-2*STDEV('Fat Spreads'!AD39:AD58),"")</f>
        <v>0</v>
      </c>
      <c r="BU39" t="str">
        <f>IFERROR(('Fat Spreads'!AD39-(AVERAGE('Fat Spreads'!AD39:AD58)-2*STDEV('Fat Spreads'!AD39:AD58)))/(4*STDEV('Fat Spreads'!AD39:AD58)),"")</f>
        <v/>
      </c>
      <c r="BV39" t="str">
        <f>IFERROR(4*STDEV('Fat Spreads'!AD39:AD58)/AVERAGE('Fat Spreads'!AD39:AD58),"")</f>
        <v/>
      </c>
      <c r="BW39">
        <v>65.4255</v>
      </c>
      <c r="BX39">
        <f>IFERROR(SQRT((SUMSQ('Fat Spreads'!AD39:AD58)-2*SUMPRODUCT('Fat Spreads'!AD39:AD58,'Fat Spreads'!AD40:AD59)+SUMSQ('Fat Spreads'!AD40:AD59)-('Fat Spreads'!AD39-'Fat Spreads'!AD59)^2/20)/19),"")</f>
        <v>0</v>
      </c>
      <c r="BZ39">
        <f>IFERROR('Feeder Spreads'!A39,"")</f>
        <v>0</v>
      </c>
      <c r="CA39">
        <f>IFERROR(('Feeder Spreads'!B39-AVERAGE('Feeder Spreads'!$B$3:$B$4308))/STDEV('Feeder Spreads'!$B$3:$B$4308),"")</f>
        <v>-9.2057461789832346E-2</v>
      </c>
      <c r="CB39">
        <f>IFERROR('Feeder Spreads'!B39-'Feeder Spreads'!B44,"")</f>
        <v>0</v>
      </c>
      <c r="CC39">
        <f>IFERROR('Feeder Spreads'!B39-'Feeder Spreads'!B49,"")</f>
        <v>0</v>
      </c>
      <c r="CD39">
        <f>IFERROR(AVERAGE('Feeder Spreads'!B39:B58)+2*STDEV('Feeder Spreads'!B39:B58),"")</f>
        <v>0</v>
      </c>
      <c r="CE39">
        <f>IFERROR(AVERAGE('Feeder Spreads'!B39:B58)-2*STDEV('Feeder Spreads'!B39:B58),"")</f>
        <v>0</v>
      </c>
      <c r="CF39" t="str">
        <f>IFERROR(('Feeder Spreads'!B39-(AVERAGE('Feeder Spreads'!B39:B58)-2*STDEV('Feeder Spreads'!B39:B58)))/(4*STDEV('Feeder Spreads'!B39:B58)),"")</f>
        <v/>
      </c>
      <c r="CG39" t="str">
        <f>IFERROR(4*STDEV('Feeder Spreads'!B39:B58)/AVERAGE('Feeder Spreads'!B39:B58),"")</f>
        <v/>
      </c>
      <c r="CH39">
        <v>50.3626</v>
      </c>
      <c r="CI39">
        <f>IFERROR(SQRT((SUMSQ('Feeder Spreads'!B39:B58)-2*SUMPRODUCT('Feeder Spreads'!B39:B58,'Feeder Spreads'!B40:B59)+SUMSQ('Feeder Spreads'!B40:B59)-('Feeder Spreads'!B39-'Feeder Spreads'!B59)^2/20)/19),"")</f>
        <v>0</v>
      </c>
      <c r="CK39">
        <f>IFERROR('Feeder Spreads'!AX39,"")</f>
        <v>0</v>
      </c>
      <c r="CL39">
        <f>IFERROR(('Feeder Spreads'!AY39-AVERAGE('Feeder Spreads'!$AY$3:$AY$4308))/STDEV('Feeder Spreads'!$AY$3:$AY$4308),"")</f>
        <v>-9.2057461789832346E-2</v>
      </c>
      <c r="CM39">
        <f>IFERROR('Feeder Spreads'!AY39-'Feeder Spreads'!AY44,"")</f>
        <v>0</v>
      </c>
      <c r="CN39">
        <f>IFERROR('Feeder Spreads'!AY39-'Feeder Spreads'!AY49,"")</f>
        <v>0</v>
      </c>
      <c r="CO39">
        <f>IFERROR(AVERAGE('Feeder Spreads'!AY39:AY58)+2*STDEV('Feeder Spreads'!AY39:AY58),"")</f>
        <v>0</v>
      </c>
      <c r="CP39">
        <f>IFERROR(AVERAGE('Feeder Spreads'!AY39:AY58)-2*STDEV('Feeder Spreads'!AY39:AY58),"")</f>
        <v>0</v>
      </c>
      <c r="CQ39" t="str">
        <f>IFERROR(('Feeder Spreads'!AY39-(AVERAGE('Feeder Spreads'!AY39:AY58)-2*STDEV('Feeder Spreads'!AY39:AY58)))/(4*STDEV('Feeder Spreads'!AY39:AY58)),"")</f>
        <v/>
      </c>
      <c r="CR39" t="str">
        <f>IFERROR(4*STDEV('Feeder Spreads'!AY39:AY58)/AVERAGE('Feeder Spreads'!AY39:AY58),"")</f>
        <v/>
      </c>
      <c r="CS39">
        <v>62.540199999999999</v>
      </c>
      <c r="CT39">
        <f>IFERROR(SQRT((SUMSQ('Feeder Spreads'!AY39:AY58)-2*SUMPRODUCT('Feeder Spreads'!AY39:AY58,'Feeder Spreads'!AY40:AY59)+SUMSQ('Feeder Spreads'!AY40:AY59)-('Feeder Spreads'!AY39-'Feeder Spreads'!AY59)^2/20)/19),"")</f>
        <v>0</v>
      </c>
      <c r="CV39">
        <f>IFERROR('Feeder Spreads'!H39,"")</f>
        <v>0</v>
      </c>
      <c r="CW39">
        <f>IFERROR(('Feeder Spreads'!I39-AVERAGE('Feeder Spreads'!$I$3:$I$4308))/STDEV('Feeder Spreads'!$I$3:$I$4308),"")</f>
        <v>-9.2057461789832332E-2</v>
      </c>
      <c r="CX39">
        <f>IFERROR('Feeder Spreads'!I39-'Feeder Spreads'!I44,"")</f>
        <v>0</v>
      </c>
      <c r="CY39">
        <f>IFERROR('Feeder Spreads'!I39-'Feeder Spreads'!I49,"")</f>
        <v>0</v>
      </c>
      <c r="CZ39">
        <f>IFERROR(AVERAGE('Feeder Spreads'!I39:I58)+2*STDEV('Feeder Spreads'!I39:I58),"")</f>
        <v>0</v>
      </c>
      <c r="DA39">
        <f>IFERROR(AVERAGE('Feeder Spreads'!I39:I58)-2*STDEV('Feeder Spreads'!I39:I58),"")</f>
        <v>0</v>
      </c>
      <c r="DB39" t="str">
        <f>IFERROR(('Feeder Spreads'!I39-(AVERAGE('Feeder Spreads'!I39:I58)-2*STDEV('Feeder Spreads'!I39:I58)))/(4*STDEV('Feeder Spreads'!I39:I58)),"")</f>
        <v/>
      </c>
      <c r="DC39" t="str">
        <f>IFERROR(4*STDEV('Feeder Spreads'!I39:I58)/AVERAGE('Feeder Spreads'!I39:I58),"")</f>
        <v/>
      </c>
      <c r="DD39">
        <v>41.667999999999999</v>
      </c>
      <c r="DE39">
        <f>IFERROR(SQRT((SUMSQ('Feeder Spreads'!I39:I58)-2*SUMPRODUCT('Feeder Spreads'!I39:I58,'Feeder Spreads'!I40:I59)+SUMSQ('Feeder Spreads'!I40:I59)-('Feeder Spreads'!I39-'Feeder Spreads'!I59)^2/20)/19),"")</f>
        <v>0</v>
      </c>
      <c r="DG39">
        <f>IFERROR('Feeder Spreads'!O39,"")</f>
        <v>0</v>
      </c>
      <c r="DH39">
        <f>IFERROR(('Feeder Spreads'!P39-AVERAGE('Feeder Spreads'!$P$3:$P$4308))/STDEV('Feeder Spreads'!$P$3:$P$4308),"")</f>
        <v>-9.2057461789832346E-2</v>
      </c>
      <c r="DI39">
        <f>IFERROR('Feeder Spreads'!P39-'Feeder Spreads'!P44,"")</f>
        <v>0</v>
      </c>
      <c r="DJ39">
        <f>IFERROR('Feeder Spreads'!P39-'Feeder Spreads'!P49,"")</f>
        <v>0</v>
      </c>
      <c r="DK39">
        <f>IFERROR(AVERAGE('Feeder Spreads'!P39:P58)+2*STDEV('Feeder Spreads'!P39:P58),"")</f>
        <v>0</v>
      </c>
      <c r="DL39">
        <f>IFERROR(AVERAGE('Feeder Spreads'!P39:P58)-2*STDEV('Feeder Spreads'!P39:P58),"")</f>
        <v>0</v>
      </c>
      <c r="DM39" t="str">
        <f>IFERROR(('Feeder Spreads'!P39-(AVERAGE('Feeder Spreads'!P39:P58)-2*STDEV('Feeder Spreads'!P39:P58)))/(4*STDEV('Feeder Spreads'!P39:P58)),"")</f>
        <v/>
      </c>
      <c r="DN39" t="str">
        <f>IFERROR(4*STDEV('Feeder Spreads'!P39:P58)/AVERAGE('Feeder Spreads'!P39:P58),"")</f>
        <v/>
      </c>
      <c r="DO39">
        <v>26.508299999999998</v>
      </c>
      <c r="DP39">
        <f>IFERROR(SQRT((SUMSQ('Feeder Spreads'!P39:P58)-2*SUMPRODUCT('Feeder Spreads'!P39:P58,'Feeder Spreads'!P40:P59)+SUMSQ('Feeder Spreads'!P40:P59)-('Feeder Spreads'!P39-'Feeder Spreads'!P59)^2/20)/19),"")</f>
        <v>0</v>
      </c>
      <c r="DR39">
        <f>IFERROR('Feeder Spreads'!V39,"")</f>
        <v>0</v>
      </c>
      <c r="DS39">
        <f>IFERROR(('Feeder Spreads'!W39-AVERAGE('Feeder Spreads'!$W$3:$W$4308))/STDEV('Feeder Spreads'!$W$3:$W$4308),"")</f>
        <v>-9.2057461789832332E-2</v>
      </c>
      <c r="DT39">
        <f>IFERROR('Feeder Spreads'!W39-'Feeder Spreads'!W44,"")</f>
        <v>0</v>
      </c>
      <c r="DU39">
        <f>IFERROR('Feeder Spreads'!W39-'Feeder Spreads'!W49,"")</f>
        <v>0</v>
      </c>
      <c r="DV39">
        <f>IFERROR(AVERAGE('Feeder Spreads'!W39:W58)+2*STDEV('Feeder Spreads'!W39:W58),"")</f>
        <v>0</v>
      </c>
      <c r="DW39">
        <f>IFERROR(AVERAGE('Feeder Spreads'!W39:W58)-2*STDEV('Feeder Spreads'!W39:W58),"")</f>
        <v>0</v>
      </c>
      <c r="DX39" t="str">
        <f>IFERROR(('Feeder Spreads'!W39-(AVERAGE('Feeder Spreads'!W39:W58)-2*STDEV('Feeder Spreads'!W39:W58)))/(4*STDEV('Feeder Spreads'!W39:W58)),"")</f>
        <v/>
      </c>
      <c r="DY39" t="str">
        <f>IFERROR(4*STDEV('Feeder Spreads'!W39:W58)/AVERAGE('Feeder Spreads'!W39:W58),"")</f>
        <v/>
      </c>
      <c r="DZ39">
        <v>64.662999999999997</v>
      </c>
      <c r="EA39">
        <f>IFERROR(SQRT((SUMSQ('Feeder Spreads'!W39:W58)-2*SUMPRODUCT('Feeder Spreads'!W39:W58,'Feeder Spreads'!W40:W59)+SUMSQ('Feeder Spreads'!W40:W59)-('Feeder Spreads'!W39-'Feeder Spreads'!W59)^2/20)/19),"")</f>
        <v>0</v>
      </c>
      <c r="EC39">
        <f>IFERROR('Feeder Spreads'!AC39,"")</f>
        <v>0</v>
      </c>
      <c r="ED39">
        <f>IFERROR(('Feeder Spreads'!AD39-AVERAGE('Feeder Spreads'!$AD$3:$AD$4308))/STDEV('Feeder Spreads'!$AD$3:$AD$4308),"")</f>
        <v>9.2057461789832318E-2</v>
      </c>
      <c r="EE39">
        <f>IFERROR('Feeder Spreads'!AD39-'Feeder Spreads'!AD44,"")</f>
        <v>0</v>
      </c>
      <c r="EF39">
        <f>IFERROR('Feeder Spreads'!AD39-'Feeder Spreads'!AD49,"")</f>
        <v>0</v>
      </c>
      <c r="EG39">
        <f>IFERROR(AVERAGE('Feeder Spreads'!AD39:AD58)+2*STDEV('Feeder Spreads'!AD39:AD58),"")</f>
        <v>0</v>
      </c>
      <c r="EH39">
        <f>IFERROR(AVERAGE('Feeder Spreads'!AD39:AD58)-2*STDEV('Feeder Spreads'!AD39:AD58),"")</f>
        <v>0</v>
      </c>
      <c r="EI39" t="str">
        <f>IFERROR(('Feeder Spreads'!AD39-(AVERAGE('Feeder Spreads'!AD39:AD58)-2*STDEV('Feeder Spreads'!AD39:AD58)))/(4*STDEV('Feeder Spreads'!AD39:AD58)),"")</f>
        <v/>
      </c>
      <c r="EJ39" t="str">
        <f>IFERROR(4*STDEV('Feeder Spreads'!AD39:AD58)/AVERAGE('Feeder Spreads'!AD39:AD58),"")</f>
        <v/>
      </c>
      <c r="EK39">
        <v>49.491599999999998</v>
      </c>
      <c r="EL39">
        <f>IFERROR(SQRT((SUMSQ('Feeder Spreads'!AD39:AD58)-2*SUMPRODUCT('Feeder Spreads'!AD39:AD58,'Feeder Spreads'!AD40:AD59)+SUMSQ('Feeder Spreads'!AD40:AD59)-('Feeder Spreads'!AD39-'Feeder Spreads'!AD59)^2/20)/19),"")</f>
        <v>0</v>
      </c>
      <c r="EN39">
        <f>IFERROR('Feeder Spreads'!AJ39,"")</f>
        <v>0</v>
      </c>
      <c r="EO39">
        <f>IFERROR(('Feeder Spreads'!AK39-AVERAGE('Feeder Spreads'!$AK$3:$AK$4308))/STDEV('Feeder Spreads'!$AK$3:$AK$4308),"")</f>
        <v>-9.2057461789832346E-2</v>
      </c>
      <c r="EP39">
        <f>IFERROR('Feeder Spreads'!AK39-'Feeder Spreads'!AK44,"")</f>
        <v>0</v>
      </c>
      <c r="EQ39">
        <f>IFERROR('Feeder Spreads'!AK39-'Feeder Spreads'!AK49,"")</f>
        <v>0</v>
      </c>
      <c r="ER39">
        <f>IFERROR(AVERAGE('Feeder Spreads'!AK39:AK58)+2*STDEV('Feeder Spreads'!AK39:AK58),"")</f>
        <v>0</v>
      </c>
      <c r="ES39">
        <f>IFERROR(AVERAGE('Feeder Spreads'!AK39:AK58)-2*STDEV('Feeder Spreads'!AK39:AK58),"")</f>
        <v>0</v>
      </c>
      <c r="ET39" t="str">
        <f>IFERROR(('Feeder Spreads'!AK39-(AVERAGE('Feeder Spreads'!AK39:AK58)-2*STDEV('Feeder Spreads'!AK39:AK58)))/(4*STDEV('Feeder Spreads'!AK39:AK58)),"")</f>
        <v/>
      </c>
      <c r="EU39" t="str">
        <f>IFERROR(4*STDEV('Feeder Spreads'!AK39:AK58)/AVERAGE('Feeder Spreads'!AK39:AK58),"")</f>
        <v/>
      </c>
      <c r="EV39">
        <v>25.886399999999998</v>
      </c>
      <c r="EW39">
        <f>IFERROR(SQRT((SUMSQ('Feeder Spreads'!AK39:AK58)-2*SUMPRODUCT('Feeder Spreads'!AK39:AK58,'Feeder Spreads'!AK40:AK59)+SUMSQ('Feeder Spreads'!AK40:AK59)-('Feeder Spreads'!AK39-'Feeder Spreads'!AK59)^2/20)/19),"")</f>
        <v>0</v>
      </c>
      <c r="EY39">
        <f>IFERROR('Feeder Spreads'!AQ39,"")</f>
        <v>0</v>
      </c>
      <c r="EZ39">
        <f>IFERROR(('Feeder Spreads'!AR39-AVERAGE('Feeder Spreads'!$AR$3:$AR$4308))/STDEV('Feeder Spreads'!$AR$3:$AR$4308),"")</f>
        <v>-9.2057461789832332E-2</v>
      </c>
      <c r="FA39">
        <f>IFERROR('Feeder Spreads'!AR39-'Feeder Spreads'!AR44,"")</f>
        <v>0</v>
      </c>
      <c r="FB39">
        <f>IFERROR('Feeder Spreads'!AR39-'Feeder Spreads'!AR49,"")</f>
        <v>0</v>
      </c>
      <c r="FC39">
        <f>IFERROR(AVERAGE('Feeder Spreads'!AR39:AR58)+2*STDEV('Feeder Spreads'!AR39:AR58),"")</f>
        <v>0</v>
      </c>
      <c r="FD39">
        <f>IFERROR(AVERAGE('Feeder Spreads'!AR39:AR58)-2*STDEV('Feeder Spreads'!AR39:AR58),"")</f>
        <v>0</v>
      </c>
      <c r="FE39" t="str">
        <f>IFERROR(('Feeder Spreads'!AR39-(AVERAGE('Feeder Spreads'!AR39:AR58)-2*STDEV('Feeder Spreads'!AR39:AR58)))/(4*STDEV('Feeder Spreads'!AR39:AR58)),"")</f>
        <v/>
      </c>
      <c r="FF39" t="str">
        <f>IFERROR(4*STDEV('Feeder Spreads'!AR39:AR58)/AVERAGE('Feeder Spreads'!AR39:AR58),"")</f>
        <v/>
      </c>
      <c r="FG39">
        <v>25.677299999999999</v>
      </c>
      <c r="FH39">
        <f>IFERROR(SQRT((SUMSQ('Feeder Spreads'!AR39:AR58)-2*SUMPRODUCT('Feeder Spreads'!AR39:AR58,'Feeder Spreads'!AR40:AR59)+SUMSQ('Feeder Spreads'!AR40:AR59)-('Feeder Spreads'!AR39-'Feeder Spreads'!AR59)^2/20)/19),"")</f>
        <v>0</v>
      </c>
      <c r="FJ39">
        <f>IFERROR('Fat Spreads'!AX39,"")</f>
        <v>0</v>
      </c>
      <c r="FK39">
        <f>IFERROR(('Fat Spreads'!AY39-AVERAGE('Fat Spreads'!$AY$3:$AY$4308))/STDEV('Fat Spreads'!$AY$3:$AY$4308),"")</f>
        <v>9.2057461789832332E-2</v>
      </c>
      <c r="FL39">
        <f>IFERROR('Fat Spreads'!AY39-'Fat Spreads'!AY44,"")</f>
        <v>0</v>
      </c>
      <c r="FM39">
        <f>IFERROR('Fat Spreads'!AY39-'Fat Spreads'!AY49,"")</f>
        <v>0</v>
      </c>
      <c r="FN39">
        <f>IFERROR(AVERAGE('Fat Spreads'!AY39:AY58)+2*STDEV('Fat Spreads'!AY39:AY58),"")</f>
        <v>0</v>
      </c>
      <c r="FO39">
        <f>IFERROR(AVERAGE('Fat Spreads'!AY39:AY58)-2*STDEV('Fat Spreads'!AY39:AY58),"")</f>
        <v>0</v>
      </c>
      <c r="FP39" t="str">
        <f>IFERROR(('Fat Spreads'!AY39-(AVERAGE('Fat Spreads'!AY39:AY58)-2*STDEV('Fat Spreads'!AY39:AY58)))/(4*STDEV('Fat Spreads'!AY39:AY58)),"")</f>
        <v/>
      </c>
      <c r="FQ39" t="str">
        <f>IFERROR(4*STDEV('Fat Spreads'!AY39:AY58)/AVERAGE('Fat Spreads'!AY39:AY58),"")</f>
        <v/>
      </c>
      <c r="FR39">
        <v>30.693100000000001</v>
      </c>
      <c r="FS39">
        <f>IFERROR(SQRT((SUMSQ('Fat Spreads'!AY39:AY58)-2*SUMPRODUCT('Fat Spreads'!AY39:AY58,'Fat Spreads'!AY40:AY59)+SUMSQ('Fat Spreads'!AY40:AY59)-('Fat Spreads'!AY39-'Fat Spreads'!AY59)^2/20)/19),"")</f>
        <v>0</v>
      </c>
      <c r="FU39">
        <f>IFERROR('Fat Spreads'!BE39,"")</f>
        <v>0</v>
      </c>
      <c r="FV39">
        <f>IFERROR(('Fat Spreads'!BF39-AVERAGE('Fat Spreads'!$BF$3:$BF$4308))/STDEV('Fat Spreads'!$BF$3:$BF$4308),"")</f>
        <v>9.2057461789832332E-2</v>
      </c>
      <c r="FW39">
        <f>IFERROR('Fat Spreads'!BF39-'Fat Spreads'!BF44,"")</f>
        <v>0</v>
      </c>
      <c r="FX39">
        <f>IFERROR('Fat Spreads'!BF39-'Fat Spreads'!BF49,"")</f>
        <v>0</v>
      </c>
      <c r="FY39">
        <f>IFERROR(AVERAGE('Fat Spreads'!BF39:BF58)+2*STDEV('Fat Spreads'!BF39:BF58),"")</f>
        <v>0</v>
      </c>
      <c r="FZ39">
        <f>IFERROR(AVERAGE('Fat Spreads'!BF39:BF58)-2*STDEV('Fat Spreads'!BF39:BF58),"")</f>
        <v>0</v>
      </c>
      <c r="GA39" t="str">
        <f>IFERROR(('Fat Spreads'!BF39-(AVERAGE('Fat Spreads'!BF39:BF58)-2*STDEV('Fat Spreads'!BF39:BF58)))/(4*STDEV('Fat Spreads'!BF39:BF58)),"")</f>
        <v/>
      </c>
      <c r="GB39" t="str">
        <f>IFERROR(4*STDEV('Fat Spreads'!BF39:BF58)/AVERAGE('Fat Spreads'!BF39:BF58),"")</f>
        <v/>
      </c>
      <c r="GC39">
        <v>35.528199999999998</v>
      </c>
      <c r="GD39">
        <f>IFERROR(SQRT((SUMSQ('Fat Spreads'!BF39:BF58)-2*SUMPRODUCT('Fat Spreads'!BF39:BF58,'Fat Spreads'!BF40:BF59)+SUMSQ('Fat Spreads'!BF40:BF59)-('Fat Spreads'!BF39-'Fat Spreads'!BF59)^2/20)/19),"")</f>
        <v>0</v>
      </c>
    </row>
    <row r="40" spans="1:186" x14ac:dyDescent="0.25">
      <c r="A40">
        <f>IFERROR('Fat Spreads'!A40,"")</f>
        <v>0</v>
      </c>
      <c r="B40">
        <f>IFERROR(('Fat Spreads'!B40-AVERAGE('Fat Spreads'!$B$3:$B$4308))/STDEV('Fat Spreads'!$B$3:$B$4308),"")</f>
        <v>9.2057461789832346E-2</v>
      </c>
      <c r="C40">
        <f>IFERROR('Fat Spreads'!B40-'Fat Spreads'!B45,"")</f>
        <v>0</v>
      </c>
      <c r="D40">
        <f>IFERROR('Fat Spreads'!B40-'Fat Spreads'!B50,"")</f>
        <v>0</v>
      </c>
      <c r="E40">
        <f>IFERROR(AVERAGE('Fat Spreads'!B40:B59)+2*STDEV('Fat Spreads'!B40:B59),"")</f>
        <v>0</v>
      </c>
      <c r="F40">
        <f>IFERROR(AVERAGE('Fat Spreads'!B40:B59)-2*STDEV('Fat Spreads'!B40:B59),"")</f>
        <v>0</v>
      </c>
      <c r="G40" t="str">
        <f>IFERROR(('Fat Spreads'!B40-(AVERAGE('Fat Spreads'!B40:B59)-2*STDEV('Fat Spreads'!B40:B59)))/(4*STDEV('Fat Spreads'!B40:B59)),"")</f>
        <v/>
      </c>
      <c r="H40" t="str">
        <f>IFERROR(4*STDEV('Fat Spreads'!B40:B59)/AVERAGE('Fat Spreads'!B40:B59),"")</f>
        <v/>
      </c>
      <c r="I40">
        <v>26.9894</v>
      </c>
      <c r="J40">
        <f>IFERROR(SQRT((SUMSQ('Fat Spreads'!B40:B59)-2*SUMPRODUCT('Fat Spreads'!B40:B59,'Fat Spreads'!B41:B60)+SUMSQ('Fat Spreads'!B41:B60)-('Fat Spreads'!B40-'Fat Spreads'!B60)^2/20)/19),"")</f>
        <v>0</v>
      </c>
      <c r="L40">
        <f>IFERROR('Fat Spreads'!H40,"")</f>
        <v>0</v>
      </c>
      <c r="M40">
        <f>IFERROR(('Fat Spreads'!I40-AVERAGE('Fat Spreads'!$I$3:$I$4308))/STDEV('Fat Spreads'!$I$3:$I$4308),"")</f>
        <v>-9.2057461789832332E-2</v>
      </c>
      <c r="N40">
        <f>IFERROR('Fat Spreads'!I40-'Fat Spreads'!I45,"")</f>
        <v>0</v>
      </c>
      <c r="O40">
        <f>IFERROR('Fat Spreads'!I40-'Fat Spreads'!I50,"")</f>
        <v>0</v>
      </c>
      <c r="P40">
        <f>IFERROR(AVERAGE('Fat Spreads'!I40:I59)+2*STDEV('Fat Spreads'!I40:I59),"")</f>
        <v>0</v>
      </c>
      <c r="Q40">
        <f>IFERROR(AVERAGE('Fat Spreads'!I40:I59)-2*STDEV('Fat Spreads'!I40:I59),"")</f>
        <v>0</v>
      </c>
      <c r="R40" t="str">
        <f>IFERROR(('Fat Spreads'!I40-(AVERAGE('Fat Spreads'!I40:I59)-2*STDEV('Fat Spreads'!I40:I59)))/(4*STDEV('Fat Spreads'!I40:I59)),"")</f>
        <v/>
      </c>
      <c r="S40" t="str">
        <f>IFERROR(4*STDEV('Fat Spreads'!I40:I59)/AVERAGE('Fat Spreads'!I40:I59),"")</f>
        <v/>
      </c>
      <c r="T40">
        <v>49.951300000000003</v>
      </c>
      <c r="U40">
        <f>IFERROR(SQRT((SUMSQ('Fat Spreads'!I40:I59)-2*SUMPRODUCT('Fat Spreads'!I40:I59,'Fat Spreads'!I41:I60)+SUMSQ('Fat Spreads'!I41:I60)-('Fat Spreads'!I40-'Fat Spreads'!I60)^2/20)/19),"")</f>
        <v>0</v>
      </c>
      <c r="W40">
        <f>IFERROR('Fat Spreads'!AQ40,"")</f>
        <v>0</v>
      </c>
      <c r="X40">
        <f>IFERROR(('Fat Spreads'!AR40-AVERAGE('Fat Spreads'!$AR$3:$AR$4308))/STDEV('Fat Spreads'!$AR$3:$AR$4308),"")</f>
        <v>-9.2057461789832346E-2</v>
      </c>
      <c r="Y40">
        <f>IFERROR('Fat Spreads'!AR40-'Fat Spreads'!AR45,"")</f>
        <v>0</v>
      </c>
      <c r="Z40">
        <f>IFERROR('Fat Spreads'!AR40-'Fat Spreads'!AR50,"")</f>
        <v>0</v>
      </c>
      <c r="AA40">
        <f>IFERROR(AVERAGE('Fat Spreads'!AR40:AR59)+2*STDEV('Fat Spreads'!AR40:AR59),"")</f>
        <v>0</v>
      </c>
      <c r="AB40">
        <f>IFERROR(AVERAGE('Fat Spreads'!AR40:AR59)-2*STDEV('Fat Spreads'!AR40:AR59),"")</f>
        <v>0</v>
      </c>
      <c r="AC40" t="str">
        <f>IFERROR(('Fat Spreads'!AR40-(AVERAGE('Fat Spreads'!AR40:AR59)-2*STDEV('Fat Spreads'!AR40:AR59)))/(4*STDEV('Fat Spreads'!AR40:AR59)),"")</f>
        <v/>
      </c>
      <c r="AD40" t="str">
        <f>IFERROR(4*STDEV('Fat Spreads'!AR40:AR59)/AVERAGE('Fat Spreads'!AR40:AR59),"")</f>
        <v/>
      </c>
      <c r="AE40">
        <v>65.533799999999999</v>
      </c>
      <c r="AF40">
        <f>IFERROR(SQRT((SUMSQ('Fat Spreads'!AR40:AR59)-2*SUMPRODUCT('Fat Spreads'!AR40:AR59,'Fat Spreads'!AR41:AR60)+SUMSQ('Fat Spreads'!AR41:AR60)-('Fat Spreads'!AR40-'Fat Spreads'!AR60)^2/20)/19),"")</f>
        <v>0</v>
      </c>
      <c r="AH40">
        <f>IFERROR('Fat Spreads'!O40,"")</f>
        <v>0</v>
      </c>
      <c r="AI40">
        <f>IFERROR(('Fat Spreads'!P40-AVERAGE('Fat Spreads'!$P$3:$P$4308))/STDEV('Fat Spreads'!$P$3:$P$4308),"")</f>
        <v>-9.2057461789832332E-2</v>
      </c>
      <c r="AJ40">
        <f>IFERROR('Fat Spreads'!P40-'Fat Spreads'!P45,"")</f>
        <v>0</v>
      </c>
      <c r="AK40">
        <f>IFERROR('Fat Spreads'!P40-'Fat Spreads'!P50,"")</f>
        <v>0</v>
      </c>
      <c r="AL40">
        <f>IFERROR(AVERAGE('Fat Spreads'!P40:P59)+2*STDEV('Fat Spreads'!P40:P59),"")</f>
        <v>0</v>
      </c>
      <c r="AM40">
        <f>IFERROR(AVERAGE('Fat Spreads'!P40:P59)-2*STDEV('Fat Spreads'!P40:P59),"")</f>
        <v>0</v>
      </c>
      <c r="AN40" t="str">
        <f>IFERROR(('Fat Spreads'!P40-(AVERAGE('Fat Spreads'!P40:P59)-2*STDEV('Fat Spreads'!P40:P59)))/(4*STDEV('Fat Spreads'!P40:P59)),"")</f>
        <v/>
      </c>
      <c r="AO40" t="str">
        <f>IFERROR(4*STDEV('Fat Spreads'!P40:P59)/AVERAGE('Fat Spreads'!P40:P59),"")</f>
        <v/>
      </c>
      <c r="AP40">
        <v>67.375100000000003</v>
      </c>
      <c r="AQ40">
        <f>IFERROR(SQRT((SUMSQ('Fat Spreads'!P40:P59)-2*SUMPRODUCT('Fat Spreads'!P40:P59,'Fat Spreads'!P41:P60)+SUMSQ('Fat Spreads'!P41:P60)-('Fat Spreads'!P40-'Fat Spreads'!P60)^2/20)/19),"")</f>
        <v>0</v>
      </c>
      <c r="AS40">
        <f>IFERROR('Fat Spreads'!AJ40,"")</f>
        <v>0</v>
      </c>
      <c r="AT40">
        <f>IFERROR(('Fat Spreads'!AK40-AVERAGE('Fat Spreads'!$AK$3:$AK$4308))/STDEV('Fat Spreads'!$AK$3:$AK$4308),"")</f>
        <v>-9.2057461789832332E-2</v>
      </c>
      <c r="AU40">
        <f>IFERROR('Fat Spreads'!AK40-'Fat Spreads'!AK45,"")</f>
        <v>0</v>
      </c>
      <c r="AV40">
        <f>IFERROR('Fat Spreads'!AK40-'Fat Spreads'!AK50,"")</f>
        <v>0</v>
      </c>
      <c r="AW40">
        <f>IFERROR(AVERAGE('Fat Spreads'!AK40:AK59)+2*STDEV('Fat Spreads'!AK40:AK59),"")</f>
        <v>0</v>
      </c>
      <c r="AX40">
        <f>IFERROR(AVERAGE('Fat Spreads'!AK40:AK59)-2*STDEV('Fat Spreads'!AK40:AK59),"")</f>
        <v>0</v>
      </c>
      <c r="AY40" t="str">
        <f>IFERROR(('Fat Spreads'!AK40-(AVERAGE('Fat Spreads'!AK40:AK59)-2*STDEV('Fat Spreads'!AK40:AK59)))/(4*STDEV('Fat Spreads'!AK40:AK59)),"")</f>
        <v/>
      </c>
      <c r="AZ40" t="str">
        <f>IFERROR(4*STDEV('Fat Spreads'!AK40:AK59)/AVERAGE('Fat Spreads'!AK40:AK59),"")</f>
        <v/>
      </c>
      <c r="BA40">
        <v>37.009799999999998</v>
      </c>
      <c r="BB40">
        <f>IFERROR(SQRT((SUMSQ('Fat Spreads'!AK40:AK59)-2*SUMPRODUCT('Fat Spreads'!AK40:AK59,'Fat Spreads'!AK41:AK60)+SUMSQ('Fat Spreads'!AK41:AK60)-('Fat Spreads'!AK40-'Fat Spreads'!AK60)^2/20)/19),"")</f>
        <v>0</v>
      </c>
      <c r="BD40">
        <f>IFERROR('Fat Spreads'!V40,"")</f>
        <v>0</v>
      </c>
      <c r="BE40">
        <f>IFERROR(('Fat Spreads'!W40-AVERAGE('Fat Spreads'!$W$3:$W$4308))/STDEV('Fat Spreads'!$W$3:$W$4308),"")</f>
        <v>-9.2057461789832332E-2</v>
      </c>
      <c r="BF40">
        <f>IFERROR('Fat Spreads'!W40-'Fat Spreads'!W45,"")</f>
        <v>0</v>
      </c>
      <c r="BG40">
        <f>IFERROR('Fat Spreads'!W40-'Fat Spreads'!W50,"")</f>
        <v>0</v>
      </c>
      <c r="BH40">
        <f>IFERROR(AVERAGE('Fat Spreads'!W40:W59)+2*STDEV('Fat Spreads'!W40:W59),"")</f>
        <v>0</v>
      </c>
      <c r="BI40">
        <f>IFERROR(AVERAGE('Fat Spreads'!W40:W59)-2*STDEV('Fat Spreads'!W40:W59),"")</f>
        <v>0</v>
      </c>
      <c r="BJ40" t="str">
        <f>IFERROR(('Fat Spreads'!W40-(AVERAGE('Fat Spreads'!W40:W59)-2*STDEV('Fat Spreads'!W40:W59)))/(4*STDEV('Fat Spreads'!W40:W59)),"")</f>
        <v/>
      </c>
      <c r="BK40" t="str">
        <f>IFERROR(4*STDEV('Fat Spreads'!W40:W59)/AVERAGE('Fat Spreads'!W40:W59),"")</f>
        <v/>
      </c>
      <c r="BL40">
        <v>58.938800000000001</v>
      </c>
      <c r="BM40">
        <f>IFERROR(SQRT((SUMSQ('Fat Spreads'!W40:W59)-2*SUMPRODUCT('Fat Spreads'!W40:W59,'Fat Spreads'!W41:W60)+SUMSQ('Fat Spreads'!W41:W60)-('Fat Spreads'!W40-'Fat Spreads'!W60)^2/20)/19),"")</f>
        <v>0</v>
      </c>
      <c r="BO40">
        <f>IFERROR('Fat Spreads'!AC40,"")</f>
        <v>0</v>
      </c>
      <c r="BP40">
        <f>IFERROR(('Fat Spreads'!AD40-AVERAGE('Fat Spreads'!$AD$3:$AD$4308))/STDEV('Fat Spreads'!$AD$3:$AD$4308),"")</f>
        <v>-9.2057461789832332E-2</v>
      </c>
      <c r="BQ40">
        <f>IFERROR('Fat Spreads'!AD40-'Fat Spreads'!AD45,"")</f>
        <v>0</v>
      </c>
      <c r="BR40">
        <f>IFERROR('Fat Spreads'!AD40-'Fat Spreads'!AD50,"")</f>
        <v>0</v>
      </c>
      <c r="BS40">
        <f>IFERROR(AVERAGE('Fat Spreads'!AD40:AD59)+2*STDEV('Fat Spreads'!AD40:AD59),"")</f>
        <v>0</v>
      </c>
      <c r="BT40">
        <f>IFERROR(AVERAGE('Fat Spreads'!AD40:AD59)-2*STDEV('Fat Spreads'!AD40:AD59),"")</f>
        <v>0</v>
      </c>
      <c r="BU40" t="str">
        <f>IFERROR(('Fat Spreads'!AD40-(AVERAGE('Fat Spreads'!AD40:AD59)-2*STDEV('Fat Spreads'!AD40:AD59)))/(4*STDEV('Fat Spreads'!AD40:AD59)),"")</f>
        <v/>
      </c>
      <c r="BV40" t="str">
        <f>IFERROR(4*STDEV('Fat Spreads'!AD40:AD59)/AVERAGE('Fat Spreads'!AD40:AD59),"")</f>
        <v/>
      </c>
      <c r="BW40">
        <v>65.290700000000001</v>
      </c>
      <c r="BX40">
        <f>IFERROR(SQRT((SUMSQ('Fat Spreads'!AD40:AD59)-2*SUMPRODUCT('Fat Spreads'!AD40:AD59,'Fat Spreads'!AD41:AD60)+SUMSQ('Fat Spreads'!AD41:AD60)-('Fat Spreads'!AD40-'Fat Spreads'!AD60)^2/20)/19),"")</f>
        <v>0</v>
      </c>
      <c r="BZ40">
        <f>IFERROR('Feeder Spreads'!A40,"")</f>
        <v>0</v>
      </c>
      <c r="CA40">
        <f>IFERROR(('Feeder Spreads'!B40-AVERAGE('Feeder Spreads'!$B$3:$B$4308))/STDEV('Feeder Spreads'!$B$3:$B$4308),"")</f>
        <v>-9.2057461789832346E-2</v>
      </c>
      <c r="CB40">
        <f>IFERROR('Feeder Spreads'!B40-'Feeder Spreads'!B45,"")</f>
        <v>0</v>
      </c>
      <c r="CC40">
        <f>IFERROR('Feeder Spreads'!B40-'Feeder Spreads'!B50,"")</f>
        <v>0</v>
      </c>
      <c r="CD40">
        <f>IFERROR(AVERAGE('Feeder Spreads'!B40:B59)+2*STDEV('Feeder Spreads'!B40:B59),"")</f>
        <v>0</v>
      </c>
      <c r="CE40">
        <f>IFERROR(AVERAGE('Feeder Spreads'!B40:B59)-2*STDEV('Feeder Spreads'!B40:B59),"")</f>
        <v>0</v>
      </c>
      <c r="CF40" t="str">
        <f>IFERROR(('Feeder Spreads'!B40-(AVERAGE('Feeder Spreads'!B40:B59)-2*STDEV('Feeder Spreads'!B40:B59)))/(4*STDEV('Feeder Spreads'!B40:B59)),"")</f>
        <v/>
      </c>
      <c r="CG40" t="str">
        <f>IFERROR(4*STDEV('Feeder Spreads'!B40:B59)/AVERAGE('Feeder Spreads'!B40:B59),"")</f>
        <v/>
      </c>
      <c r="CH40">
        <v>49.341799999999999</v>
      </c>
      <c r="CI40">
        <f>IFERROR(SQRT((SUMSQ('Feeder Spreads'!B40:B59)-2*SUMPRODUCT('Feeder Spreads'!B40:B59,'Feeder Spreads'!B41:B60)+SUMSQ('Feeder Spreads'!B41:B60)-('Feeder Spreads'!B40-'Feeder Spreads'!B60)^2/20)/19),"")</f>
        <v>0</v>
      </c>
      <c r="CK40">
        <f>IFERROR('Feeder Spreads'!AX40,"")</f>
        <v>0</v>
      </c>
      <c r="CL40">
        <f>IFERROR(('Feeder Spreads'!AY40-AVERAGE('Feeder Spreads'!$AY$3:$AY$4308))/STDEV('Feeder Spreads'!$AY$3:$AY$4308),"")</f>
        <v>-9.2057461789832346E-2</v>
      </c>
      <c r="CM40">
        <f>IFERROR('Feeder Spreads'!AY40-'Feeder Spreads'!AY45,"")</f>
        <v>0</v>
      </c>
      <c r="CN40">
        <f>IFERROR('Feeder Spreads'!AY40-'Feeder Spreads'!AY50,"")</f>
        <v>0</v>
      </c>
      <c r="CO40">
        <f>IFERROR(AVERAGE('Feeder Spreads'!AY40:AY59)+2*STDEV('Feeder Spreads'!AY40:AY59),"")</f>
        <v>0</v>
      </c>
      <c r="CP40">
        <f>IFERROR(AVERAGE('Feeder Spreads'!AY40:AY59)-2*STDEV('Feeder Spreads'!AY40:AY59),"")</f>
        <v>0</v>
      </c>
      <c r="CQ40" t="str">
        <f>IFERROR(('Feeder Spreads'!AY40-(AVERAGE('Feeder Spreads'!AY40:AY59)-2*STDEV('Feeder Spreads'!AY40:AY59)))/(4*STDEV('Feeder Spreads'!AY40:AY59)),"")</f>
        <v/>
      </c>
      <c r="CR40" t="str">
        <f>IFERROR(4*STDEV('Feeder Spreads'!AY40:AY59)/AVERAGE('Feeder Spreads'!AY40:AY59),"")</f>
        <v/>
      </c>
      <c r="CS40">
        <v>68.622200000000007</v>
      </c>
      <c r="CT40">
        <f>IFERROR(SQRT((SUMSQ('Feeder Spreads'!AY40:AY59)-2*SUMPRODUCT('Feeder Spreads'!AY40:AY59,'Feeder Spreads'!AY41:AY60)+SUMSQ('Feeder Spreads'!AY41:AY60)-('Feeder Spreads'!AY40-'Feeder Spreads'!AY60)^2/20)/19),"")</f>
        <v>0</v>
      </c>
      <c r="CV40">
        <f>IFERROR('Feeder Spreads'!H40,"")</f>
        <v>0</v>
      </c>
      <c r="CW40">
        <f>IFERROR(('Feeder Spreads'!I40-AVERAGE('Feeder Spreads'!$I$3:$I$4308))/STDEV('Feeder Spreads'!$I$3:$I$4308),"")</f>
        <v>-9.2057461789832332E-2</v>
      </c>
      <c r="CX40">
        <f>IFERROR('Feeder Spreads'!I40-'Feeder Spreads'!I45,"")</f>
        <v>0</v>
      </c>
      <c r="CY40">
        <f>IFERROR('Feeder Spreads'!I40-'Feeder Spreads'!I50,"")</f>
        <v>0</v>
      </c>
      <c r="CZ40">
        <f>IFERROR(AVERAGE('Feeder Spreads'!I40:I59)+2*STDEV('Feeder Spreads'!I40:I59),"")</f>
        <v>0</v>
      </c>
      <c r="DA40">
        <f>IFERROR(AVERAGE('Feeder Spreads'!I40:I59)-2*STDEV('Feeder Spreads'!I40:I59),"")</f>
        <v>0</v>
      </c>
      <c r="DB40" t="str">
        <f>IFERROR(('Feeder Spreads'!I40-(AVERAGE('Feeder Spreads'!I40:I59)-2*STDEV('Feeder Spreads'!I40:I59)))/(4*STDEV('Feeder Spreads'!I40:I59)),"")</f>
        <v/>
      </c>
      <c r="DC40" t="str">
        <f>IFERROR(4*STDEV('Feeder Spreads'!I40:I59)/AVERAGE('Feeder Spreads'!I40:I59),"")</f>
        <v/>
      </c>
      <c r="DD40">
        <v>41.9895</v>
      </c>
      <c r="DE40">
        <f>IFERROR(SQRT((SUMSQ('Feeder Spreads'!I40:I59)-2*SUMPRODUCT('Feeder Spreads'!I40:I59,'Feeder Spreads'!I41:I60)+SUMSQ('Feeder Spreads'!I41:I60)-('Feeder Spreads'!I40-'Feeder Spreads'!I60)^2/20)/19),"")</f>
        <v>0</v>
      </c>
      <c r="DG40">
        <f>IFERROR('Feeder Spreads'!O40,"")</f>
        <v>0</v>
      </c>
      <c r="DH40">
        <f>IFERROR(('Feeder Spreads'!P40-AVERAGE('Feeder Spreads'!$P$3:$P$4308))/STDEV('Feeder Spreads'!$P$3:$P$4308),"")</f>
        <v>-9.2057461789832346E-2</v>
      </c>
      <c r="DI40">
        <f>IFERROR('Feeder Spreads'!P40-'Feeder Spreads'!P45,"")</f>
        <v>0</v>
      </c>
      <c r="DJ40">
        <f>IFERROR('Feeder Spreads'!P40-'Feeder Spreads'!P50,"")</f>
        <v>0</v>
      </c>
      <c r="DK40">
        <f>IFERROR(AVERAGE('Feeder Spreads'!P40:P59)+2*STDEV('Feeder Spreads'!P40:P59),"")</f>
        <v>0</v>
      </c>
      <c r="DL40">
        <f>IFERROR(AVERAGE('Feeder Spreads'!P40:P59)-2*STDEV('Feeder Spreads'!P40:P59),"")</f>
        <v>0</v>
      </c>
      <c r="DM40" t="str">
        <f>IFERROR(('Feeder Spreads'!P40-(AVERAGE('Feeder Spreads'!P40:P59)-2*STDEV('Feeder Spreads'!P40:P59)))/(4*STDEV('Feeder Spreads'!P40:P59)),"")</f>
        <v/>
      </c>
      <c r="DN40" t="str">
        <f>IFERROR(4*STDEV('Feeder Spreads'!P40:P59)/AVERAGE('Feeder Spreads'!P40:P59),"")</f>
        <v/>
      </c>
      <c r="DO40">
        <v>34.862499999999997</v>
      </c>
      <c r="DP40">
        <f>IFERROR(SQRT((SUMSQ('Feeder Spreads'!P40:P59)-2*SUMPRODUCT('Feeder Spreads'!P40:P59,'Feeder Spreads'!P41:P60)+SUMSQ('Feeder Spreads'!P41:P60)-('Feeder Spreads'!P40-'Feeder Spreads'!P60)^2/20)/19),"")</f>
        <v>0</v>
      </c>
      <c r="DR40">
        <f>IFERROR('Feeder Spreads'!V40,"")</f>
        <v>0</v>
      </c>
      <c r="DS40">
        <f>IFERROR(('Feeder Spreads'!W40-AVERAGE('Feeder Spreads'!$W$3:$W$4308))/STDEV('Feeder Spreads'!$W$3:$W$4308),"")</f>
        <v>-9.2057461789832332E-2</v>
      </c>
      <c r="DT40">
        <f>IFERROR('Feeder Spreads'!W40-'Feeder Spreads'!W45,"")</f>
        <v>0</v>
      </c>
      <c r="DU40">
        <f>IFERROR('Feeder Spreads'!W40-'Feeder Spreads'!W50,"")</f>
        <v>0</v>
      </c>
      <c r="DV40">
        <f>IFERROR(AVERAGE('Feeder Spreads'!W40:W59)+2*STDEV('Feeder Spreads'!W40:W59),"")</f>
        <v>0</v>
      </c>
      <c r="DW40">
        <f>IFERROR(AVERAGE('Feeder Spreads'!W40:W59)-2*STDEV('Feeder Spreads'!W40:W59),"")</f>
        <v>0</v>
      </c>
      <c r="DX40" t="str">
        <f>IFERROR(('Feeder Spreads'!W40-(AVERAGE('Feeder Spreads'!W40:W59)-2*STDEV('Feeder Spreads'!W40:W59)))/(4*STDEV('Feeder Spreads'!W40:W59)),"")</f>
        <v/>
      </c>
      <c r="DY40" t="str">
        <f>IFERROR(4*STDEV('Feeder Spreads'!W40:W59)/AVERAGE('Feeder Spreads'!W40:W59),"")</f>
        <v/>
      </c>
      <c r="DZ40">
        <v>66.649199999999993</v>
      </c>
      <c r="EA40">
        <f>IFERROR(SQRT((SUMSQ('Feeder Spreads'!W40:W59)-2*SUMPRODUCT('Feeder Spreads'!W40:W59,'Feeder Spreads'!W41:W60)+SUMSQ('Feeder Spreads'!W41:W60)-('Feeder Spreads'!W40-'Feeder Spreads'!W60)^2/20)/19),"")</f>
        <v>0</v>
      </c>
      <c r="EC40">
        <f>IFERROR('Feeder Spreads'!AC40,"")</f>
        <v>0</v>
      </c>
      <c r="ED40">
        <f>IFERROR(('Feeder Spreads'!AD40-AVERAGE('Feeder Spreads'!$AD$3:$AD$4308))/STDEV('Feeder Spreads'!$AD$3:$AD$4308),"")</f>
        <v>9.2057461789832318E-2</v>
      </c>
      <c r="EE40">
        <f>IFERROR('Feeder Spreads'!AD40-'Feeder Spreads'!AD45,"")</f>
        <v>0</v>
      </c>
      <c r="EF40">
        <f>IFERROR('Feeder Spreads'!AD40-'Feeder Spreads'!AD50,"")</f>
        <v>0</v>
      </c>
      <c r="EG40">
        <f>IFERROR(AVERAGE('Feeder Spreads'!AD40:AD59)+2*STDEV('Feeder Spreads'!AD40:AD59),"")</f>
        <v>0</v>
      </c>
      <c r="EH40">
        <f>IFERROR(AVERAGE('Feeder Spreads'!AD40:AD59)-2*STDEV('Feeder Spreads'!AD40:AD59),"")</f>
        <v>0</v>
      </c>
      <c r="EI40" t="str">
        <f>IFERROR(('Feeder Spreads'!AD40-(AVERAGE('Feeder Spreads'!AD40:AD59)-2*STDEV('Feeder Spreads'!AD40:AD59)))/(4*STDEV('Feeder Spreads'!AD40:AD59)),"")</f>
        <v/>
      </c>
      <c r="EJ40" t="str">
        <f>IFERROR(4*STDEV('Feeder Spreads'!AD40:AD59)/AVERAGE('Feeder Spreads'!AD40:AD59),"")</f>
        <v/>
      </c>
      <c r="EK40">
        <v>49.156799999999997</v>
      </c>
      <c r="EL40">
        <f>IFERROR(SQRT((SUMSQ('Feeder Spreads'!AD40:AD59)-2*SUMPRODUCT('Feeder Spreads'!AD40:AD59,'Feeder Spreads'!AD41:AD60)+SUMSQ('Feeder Spreads'!AD41:AD60)-('Feeder Spreads'!AD40-'Feeder Spreads'!AD60)^2/20)/19),"")</f>
        <v>0</v>
      </c>
      <c r="EN40">
        <f>IFERROR('Feeder Spreads'!AJ40,"")</f>
        <v>0</v>
      </c>
      <c r="EO40">
        <f>IFERROR(('Feeder Spreads'!AK40-AVERAGE('Feeder Spreads'!$AK$3:$AK$4308))/STDEV('Feeder Spreads'!$AK$3:$AK$4308),"")</f>
        <v>-9.2057461789832346E-2</v>
      </c>
      <c r="EP40">
        <f>IFERROR('Feeder Spreads'!AK40-'Feeder Spreads'!AK45,"")</f>
        <v>0</v>
      </c>
      <c r="EQ40">
        <f>IFERROR('Feeder Spreads'!AK40-'Feeder Spreads'!AK50,"")</f>
        <v>0</v>
      </c>
      <c r="ER40">
        <f>IFERROR(AVERAGE('Feeder Spreads'!AK40:AK59)+2*STDEV('Feeder Spreads'!AK40:AK59),"")</f>
        <v>0</v>
      </c>
      <c r="ES40">
        <f>IFERROR(AVERAGE('Feeder Spreads'!AK40:AK59)-2*STDEV('Feeder Spreads'!AK40:AK59),"")</f>
        <v>0</v>
      </c>
      <c r="ET40" t="str">
        <f>IFERROR(('Feeder Spreads'!AK40-(AVERAGE('Feeder Spreads'!AK40:AK59)-2*STDEV('Feeder Spreads'!AK40:AK59)))/(4*STDEV('Feeder Spreads'!AK40:AK59)),"")</f>
        <v/>
      </c>
      <c r="EU40" t="str">
        <f>IFERROR(4*STDEV('Feeder Spreads'!AK40:AK59)/AVERAGE('Feeder Spreads'!AK40:AK59),"")</f>
        <v/>
      </c>
      <c r="EV40">
        <v>27.1511</v>
      </c>
      <c r="EW40">
        <f>IFERROR(SQRT((SUMSQ('Feeder Spreads'!AK40:AK59)-2*SUMPRODUCT('Feeder Spreads'!AK40:AK59,'Feeder Spreads'!AK41:AK60)+SUMSQ('Feeder Spreads'!AK41:AK60)-('Feeder Spreads'!AK40-'Feeder Spreads'!AK60)^2/20)/19),"")</f>
        <v>0</v>
      </c>
      <c r="EY40">
        <f>IFERROR('Feeder Spreads'!AQ40,"")</f>
        <v>0</v>
      </c>
      <c r="EZ40">
        <f>IFERROR(('Feeder Spreads'!AR40-AVERAGE('Feeder Spreads'!$AR$3:$AR$4308))/STDEV('Feeder Spreads'!$AR$3:$AR$4308),"")</f>
        <v>-9.2057461789832332E-2</v>
      </c>
      <c r="FA40">
        <f>IFERROR('Feeder Spreads'!AR40-'Feeder Spreads'!AR45,"")</f>
        <v>0</v>
      </c>
      <c r="FB40">
        <f>IFERROR('Feeder Spreads'!AR40-'Feeder Spreads'!AR50,"")</f>
        <v>0</v>
      </c>
      <c r="FC40">
        <f>IFERROR(AVERAGE('Feeder Spreads'!AR40:AR59)+2*STDEV('Feeder Spreads'!AR40:AR59),"")</f>
        <v>0</v>
      </c>
      <c r="FD40">
        <f>IFERROR(AVERAGE('Feeder Spreads'!AR40:AR59)-2*STDEV('Feeder Spreads'!AR40:AR59),"")</f>
        <v>0</v>
      </c>
      <c r="FE40" t="str">
        <f>IFERROR(('Feeder Spreads'!AR40-(AVERAGE('Feeder Spreads'!AR40:AR59)-2*STDEV('Feeder Spreads'!AR40:AR59)))/(4*STDEV('Feeder Spreads'!AR40:AR59)),"")</f>
        <v/>
      </c>
      <c r="FF40" t="str">
        <f>IFERROR(4*STDEV('Feeder Spreads'!AR40:AR59)/AVERAGE('Feeder Spreads'!AR40:AR59),"")</f>
        <v/>
      </c>
      <c r="FG40">
        <v>29.2639</v>
      </c>
      <c r="FH40">
        <f>IFERROR(SQRT((SUMSQ('Feeder Spreads'!AR40:AR59)-2*SUMPRODUCT('Feeder Spreads'!AR40:AR59,'Feeder Spreads'!AR41:AR60)+SUMSQ('Feeder Spreads'!AR41:AR60)-('Feeder Spreads'!AR40-'Feeder Spreads'!AR60)^2/20)/19),"")</f>
        <v>0</v>
      </c>
      <c r="FJ40">
        <f>IFERROR('Fat Spreads'!AX40,"")</f>
        <v>0</v>
      </c>
      <c r="FK40">
        <f>IFERROR(('Fat Spreads'!AY40-AVERAGE('Fat Spreads'!$AY$3:$AY$4308))/STDEV('Fat Spreads'!$AY$3:$AY$4308),"")</f>
        <v>9.2057461789832332E-2</v>
      </c>
      <c r="FL40">
        <f>IFERROR('Fat Spreads'!AY40-'Fat Spreads'!AY45,"")</f>
        <v>0</v>
      </c>
      <c r="FM40">
        <f>IFERROR('Fat Spreads'!AY40-'Fat Spreads'!AY50,"")</f>
        <v>0</v>
      </c>
      <c r="FN40">
        <f>IFERROR(AVERAGE('Fat Spreads'!AY40:AY59)+2*STDEV('Fat Spreads'!AY40:AY59),"")</f>
        <v>0</v>
      </c>
      <c r="FO40">
        <f>IFERROR(AVERAGE('Fat Spreads'!AY40:AY59)-2*STDEV('Fat Spreads'!AY40:AY59),"")</f>
        <v>0</v>
      </c>
      <c r="FP40" t="str">
        <f>IFERROR(('Fat Spreads'!AY40-(AVERAGE('Fat Spreads'!AY40:AY59)-2*STDEV('Fat Spreads'!AY40:AY59)))/(4*STDEV('Fat Spreads'!AY40:AY59)),"")</f>
        <v/>
      </c>
      <c r="FQ40" t="str">
        <f>IFERROR(4*STDEV('Fat Spreads'!AY40:AY59)/AVERAGE('Fat Spreads'!AY40:AY59),"")</f>
        <v/>
      </c>
      <c r="FR40">
        <v>30.992000000000001</v>
      </c>
      <c r="FS40">
        <f>IFERROR(SQRT((SUMSQ('Fat Spreads'!AY40:AY59)-2*SUMPRODUCT('Fat Spreads'!AY40:AY59,'Fat Spreads'!AY41:AY60)+SUMSQ('Fat Spreads'!AY41:AY60)-('Fat Spreads'!AY40-'Fat Spreads'!AY60)^2/20)/19),"")</f>
        <v>0</v>
      </c>
      <c r="FU40">
        <f>IFERROR('Fat Spreads'!BE40,"")</f>
        <v>0</v>
      </c>
      <c r="FV40">
        <f>IFERROR(('Fat Spreads'!BF40-AVERAGE('Fat Spreads'!$BF$3:$BF$4308))/STDEV('Fat Spreads'!$BF$3:$BF$4308),"")</f>
        <v>9.2057461789832332E-2</v>
      </c>
      <c r="FW40">
        <f>IFERROR('Fat Spreads'!BF40-'Fat Spreads'!BF45,"")</f>
        <v>0</v>
      </c>
      <c r="FX40">
        <f>IFERROR('Fat Spreads'!BF40-'Fat Spreads'!BF50,"")</f>
        <v>0</v>
      </c>
      <c r="FY40">
        <f>IFERROR(AVERAGE('Fat Spreads'!BF40:BF59)+2*STDEV('Fat Spreads'!BF40:BF59),"")</f>
        <v>0</v>
      </c>
      <c r="FZ40">
        <f>IFERROR(AVERAGE('Fat Spreads'!BF40:BF59)-2*STDEV('Fat Spreads'!BF40:BF59),"")</f>
        <v>0</v>
      </c>
      <c r="GA40" t="str">
        <f>IFERROR(('Fat Spreads'!BF40-(AVERAGE('Fat Spreads'!BF40:BF59)-2*STDEV('Fat Spreads'!BF40:BF59)))/(4*STDEV('Fat Spreads'!BF40:BF59)),"")</f>
        <v/>
      </c>
      <c r="GB40" t="str">
        <f>IFERROR(4*STDEV('Fat Spreads'!BF40:BF59)/AVERAGE('Fat Spreads'!BF40:BF59),"")</f>
        <v/>
      </c>
      <c r="GC40">
        <v>34.2483</v>
      </c>
      <c r="GD40">
        <f>IFERROR(SQRT((SUMSQ('Fat Spreads'!BF40:BF59)-2*SUMPRODUCT('Fat Spreads'!BF40:BF59,'Fat Spreads'!BF41:BF60)+SUMSQ('Fat Spreads'!BF41:BF60)-('Fat Spreads'!BF40-'Fat Spreads'!BF60)^2/20)/19),"")</f>
        <v>0</v>
      </c>
    </row>
    <row r="41" spans="1:186" x14ac:dyDescent="0.25">
      <c r="A41">
        <f>IFERROR('Fat Spreads'!A41,"")</f>
        <v>0</v>
      </c>
      <c r="B41">
        <f>IFERROR(('Fat Spreads'!B41-AVERAGE('Fat Spreads'!$B$3:$B$4308))/STDEV('Fat Spreads'!$B$3:$B$4308),"")</f>
        <v>9.2057461789832346E-2</v>
      </c>
      <c r="C41">
        <f>IFERROR('Fat Spreads'!B41-'Fat Spreads'!B46,"")</f>
        <v>0</v>
      </c>
      <c r="D41">
        <f>IFERROR('Fat Spreads'!B41-'Fat Spreads'!B51,"")</f>
        <v>0</v>
      </c>
      <c r="E41">
        <f>IFERROR(AVERAGE('Fat Spreads'!B41:B60)+2*STDEV('Fat Spreads'!B41:B60),"")</f>
        <v>0</v>
      </c>
      <c r="F41">
        <f>IFERROR(AVERAGE('Fat Spreads'!B41:B60)-2*STDEV('Fat Spreads'!B41:B60),"")</f>
        <v>0</v>
      </c>
      <c r="G41" t="str">
        <f>IFERROR(('Fat Spreads'!B41-(AVERAGE('Fat Spreads'!B41:B60)-2*STDEV('Fat Spreads'!B41:B60)))/(4*STDEV('Fat Spreads'!B41:B60)),"")</f>
        <v/>
      </c>
      <c r="H41" t="str">
        <f>IFERROR(4*STDEV('Fat Spreads'!B41:B60)/AVERAGE('Fat Spreads'!B41:B60),"")</f>
        <v/>
      </c>
      <c r="I41">
        <v>28.528500000000001</v>
      </c>
      <c r="J41">
        <f>IFERROR(SQRT((SUMSQ('Fat Spreads'!B41:B60)-2*SUMPRODUCT('Fat Spreads'!B41:B60,'Fat Spreads'!B42:B61)+SUMSQ('Fat Spreads'!B42:B61)-('Fat Spreads'!B41-'Fat Spreads'!B61)^2/20)/19),"")</f>
        <v>0</v>
      </c>
      <c r="L41">
        <f>IFERROR('Fat Spreads'!H41,"")</f>
        <v>0</v>
      </c>
      <c r="M41">
        <f>IFERROR(('Fat Spreads'!I41-AVERAGE('Fat Spreads'!$I$3:$I$4308))/STDEV('Fat Spreads'!$I$3:$I$4308),"")</f>
        <v>-9.2057461789832332E-2</v>
      </c>
      <c r="N41">
        <f>IFERROR('Fat Spreads'!I41-'Fat Spreads'!I46,"")</f>
        <v>0</v>
      </c>
      <c r="O41">
        <f>IFERROR('Fat Spreads'!I41-'Fat Spreads'!I51,"")</f>
        <v>0</v>
      </c>
      <c r="P41">
        <f>IFERROR(AVERAGE('Fat Spreads'!I41:I60)+2*STDEV('Fat Spreads'!I41:I60),"")</f>
        <v>0</v>
      </c>
      <c r="Q41">
        <f>IFERROR(AVERAGE('Fat Spreads'!I41:I60)-2*STDEV('Fat Spreads'!I41:I60),"")</f>
        <v>0</v>
      </c>
      <c r="R41" t="str">
        <f>IFERROR(('Fat Spreads'!I41-(AVERAGE('Fat Spreads'!I41:I60)-2*STDEV('Fat Spreads'!I41:I60)))/(4*STDEV('Fat Spreads'!I41:I60)),"")</f>
        <v/>
      </c>
      <c r="S41" t="str">
        <f>IFERROR(4*STDEV('Fat Spreads'!I41:I60)/AVERAGE('Fat Spreads'!I41:I60),"")</f>
        <v/>
      </c>
      <c r="T41">
        <v>46.257300000000001</v>
      </c>
      <c r="U41">
        <f>IFERROR(SQRT((SUMSQ('Fat Spreads'!I41:I60)-2*SUMPRODUCT('Fat Spreads'!I41:I60,'Fat Spreads'!I42:I61)+SUMSQ('Fat Spreads'!I42:I61)-('Fat Spreads'!I41-'Fat Spreads'!I61)^2/20)/19),"")</f>
        <v>0</v>
      </c>
      <c r="W41">
        <f>IFERROR('Fat Spreads'!AQ41,"")</f>
        <v>0</v>
      </c>
      <c r="X41">
        <f>IFERROR(('Fat Spreads'!AR41-AVERAGE('Fat Spreads'!$AR$3:$AR$4308))/STDEV('Fat Spreads'!$AR$3:$AR$4308),"")</f>
        <v>-9.2057461789832346E-2</v>
      </c>
      <c r="Y41">
        <f>IFERROR('Fat Spreads'!AR41-'Fat Spreads'!AR46,"")</f>
        <v>0</v>
      </c>
      <c r="Z41">
        <f>IFERROR('Fat Spreads'!AR41-'Fat Spreads'!AR51,"")</f>
        <v>0</v>
      </c>
      <c r="AA41">
        <f>IFERROR(AVERAGE('Fat Spreads'!AR41:AR60)+2*STDEV('Fat Spreads'!AR41:AR60),"")</f>
        <v>0</v>
      </c>
      <c r="AB41">
        <f>IFERROR(AVERAGE('Fat Spreads'!AR41:AR60)-2*STDEV('Fat Spreads'!AR41:AR60),"")</f>
        <v>0</v>
      </c>
      <c r="AC41" t="str">
        <f>IFERROR(('Fat Spreads'!AR41-(AVERAGE('Fat Spreads'!AR41:AR60)-2*STDEV('Fat Spreads'!AR41:AR60)))/(4*STDEV('Fat Spreads'!AR41:AR60)),"")</f>
        <v/>
      </c>
      <c r="AD41" t="str">
        <f>IFERROR(4*STDEV('Fat Spreads'!AR41:AR60)/AVERAGE('Fat Spreads'!AR41:AR60),"")</f>
        <v/>
      </c>
      <c r="AE41">
        <v>63.3384</v>
      </c>
      <c r="AF41">
        <f>IFERROR(SQRT((SUMSQ('Fat Spreads'!AR41:AR60)-2*SUMPRODUCT('Fat Spreads'!AR41:AR60,'Fat Spreads'!AR42:AR61)+SUMSQ('Fat Spreads'!AR42:AR61)-('Fat Spreads'!AR41-'Fat Spreads'!AR61)^2/20)/19),"")</f>
        <v>0</v>
      </c>
      <c r="AH41">
        <f>IFERROR('Fat Spreads'!O41,"")</f>
        <v>0</v>
      </c>
      <c r="AI41">
        <f>IFERROR(('Fat Spreads'!P41-AVERAGE('Fat Spreads'!$P$3:$P$4308))/STDEV('Fat Spreads'!$P$3:$P$4308),"")</f>
        <v>-9.2057461789832332E-2</v>
      </c>
      <c r="AJ41">
        <f>IFERROR('Fat Spreads'!P41-'Fat Spreads'!P46,"")</f>
        <v>0</v>
      </c>
      <c r="AK41">
        <f>IFERROR('Fat Spreads'!P41-'Fat Spreads'!P51,"")</f>
        <v>0</v>
      </c>
      <c r="AL41">
        <f>IFERROR(AVERAGE('Fat Spreads'!P41:P60)+2*STDEV('Fat Spreads'!P41:P60),"")</f>
        <v>0</v>
      </c>
      <c r="AM41">
        <f>IFERROR(AVERAGE('Fat Spreads'!P41:P60)-2*STDEV('Fat Spreads'!P41:P60),"")</f>
        <v>0</v>
      </c>
      <c r="AN41" t="str">
        <f>IFERROR(('Fat Spreads'!P41-(AVERAGE('Fat Spreads'!P41:P60)-2*STDEV('Fat Spreads'!P41:P60)))/(4*STDEV('Fat Spreads'!P41:P60)),"")</f>
        <v/>
      </c>
      <c r="AO41" t="str">
        <f>IFERROR(4*STDEV('Fat Spreads'!P41:P60)/AVERAGE('Fat Spreads'!P41:P60),"")</f>
        <v/>
      </c>
      <c r="AP41">
        <v>63.470300000000002</v>
      </c>
      <c r="AQ41">
        <f>IFERROR(SQRT((SUMSQ('Fat Spreads'!P41:P60)-2*SUMPRODUCT('Fat Spreads'!P41:P60,'Fat Spreads'!P42:P61)+SUMSQ('Fat Spreads'!P42:P61)-('Fat Spreads'!P41-'Fat Spreads'!P61)^2/20)/19),"")</f>
        <v>0</v>
      </c>
      <c r="AS41">
        <f>IFERROR('Fat Spreads'!AJ41,"")</f>
        <v>0</v>
      </c>
      <c r="AT41">
        <f>IFERROR(('Fat Spreads'!AK41-AVERAGE('Fat Spreads'!$AK$3:$AK$4308))/STDEV('Fat Spreads'!$AK$3:$AK$4308),"")</f>
        <v>-9.2057461789832332E-2</v>
      </c>
      <c r="AU41">
        <f>IFERROR('Fat Spreads'!AK41-'Fat Spreads'!AK46,"")</f>
        <v>0</v>
      </c>
      <c r="AV41">
        <f>IFERROR('Fat Spreads'!AK41-'Fat Spreads'!AK51,"")</f>
        <v>0</v>
      </c>
      <c r="AW41">
        <f>IFERROR(AVERAGE('Fat Spreads'!AK41:AK60)+2*STDEV('Fat Spreads'!AK41:AK60),"")</f>
        <v>0</v>
      </c>
      <c r="AX41">
        <f>IFERROR(AVERAGE('Fat Spreads'!AK41:AK60)-2*STDEV('Fat Spreads'!AK41:AK60),"")</f>
        <v>0</v>
      </c>
      <c r="AY41" t="str">
        <f>IFERROR(('Fat Spreads'!AK41-(AVERAGE('Fat Spreads'!AK41:AK60)-2*STDEV('Fat Spreads'!AK41:AK60)))/(4*STDEV('Fat Spreads'!AK41:AK60)),"")</f>
        <v/>
      </c>
      <c r="AZ41" t="str">
        <f>IFERROR(4*STDEV('Fat Spreads'!AK41:AK60)/AVERAGE('Fat Spreads'!AK41:AK60),"")</f>
        <v/>
      </c>
      <c r="BA41">
        <v>37.282600000000002</v>
      </c>
      <c r="BB41">
        <f>IFERROR(SQRT((SUMSQ('Fat Spreads'!AK41:AK60)-2*SUMPRODUCT('Fat Spreads'!AK41:AK60,'Fat Spreads'!AK42:AK61)+SUMSQ('Fat Spreads'!AK42:AK61)-('Fat Spreads'!AK41-'Fat Spreads'!AK61)^2/20)/19),"")</f>
        <v>0</v>
      </c>
      <c r="BD41">
        <f>IFERROR('Fat Spreads'!V41,"")</f>
        <v>0</v>
      </c>
      <c r="BE41">
        <f>IFERROR(('Fat Spreads'!W41-AVERAGE('Fat Spreads'!$W$3:$W$4308))/STDEV('Fat Spreads'!$W$3:$W$4308),"")</f>
        <v>-9.2057461789832332E-2</v>
      </c>
      <c r="BF41">
        <f>IFERROR('Fat Spreads'!W41-'Fat Spreads'!W46,"")</f>
        <v>0</v>
      </c>
      <c r="BG41">
        <f>IFERROR('Fat Spreads'!W41-'Fat Spreads'!W51,"")</f>
        <v>0</v>
      </c>
      <c r="BH41">
        <f>IFERROR(AVERAGE('Fat Spreads'!W41:W60)+2*STDEV('Fat Spreads'!W41:W60),"")</f>
        <v>0</v>
      </c>
      <c r="BI41">
        <f>IFERROR(AVERAGE('Fat Spreads'!W41:W60)-2*STDEV('Fat Spreads'!W41:W60),"")</f>
        <v>0</v>
      </c>
      <c r="BJ41" t="str">
        <f>IFERROR(('Fat Spreads'!W41-(AVERAGE('Fat Spreads'!W41:W60)-2*STDEV('Fat Spreads'!W41:W60)))/(4*STDEV('Fat Spreads'!W41:W60)),"")</f>
        <v/>
      </c>
      <c r="BK41" t="str">
        <f>IFERROR(4*STDEV('Fat Spreads'!W41:W60)/AVERAGE('Fat Spreads'!W41:W60),"")</f>
        <v/>
      </c>
      <c r="BL41">
        <v>59.811900000000001</v>
      </c>
      <c r="BM41">
        <f>IFERROR(SQRT((SUMSQ('Fat Spreads'!W41:W60)-2*SUMPRODUCT('Fat Spreads'!W41:W60,'Fat Spreads'!W42:W61)+SUMSQ('Fat Spreads'!W42:W61)-('Fat Spreads'!W41-'Fat Spreads'!W61)^2/20)/19),"")</f>
        <v>0</v>
      </c>
      <c r="BO41">
        <f>IFERROR('Fat Spreads'!AC41,"")</f>
        <v>0</v>
      </c>
      <c r="BP41">
        <f>IFERROR(('Fat Spreads'!AD41-AVERAGE('Fat Spreads'!$AD$3:$AD$4308))/STDEV('Fat Spreads'!$AD$3:$AD$4308),"")</f>
        <v>-9.2057461789832332E-2</v>
      </c>
      <c r="BQ41">
        <f>IFERROR('Fat Spreads'!AD41-'Fat Spreads'!AD46,"")</f>
        <v>0</v>
      </c>
      <c r="BR41">
        <f>IFERROR('Fat Spreads'!AD41-'Fat Spreads'!AD51,"")</f>
        <v>0</v>
      </c>
      <c r="BS41">
        <f>IFERROR(AVERAGE('Fat Spreads'!AD41:AD60)+2*STDEV('Fat Spreads'!AD41:AD60),"")</f>
        <v>0</v>
      </c>
      <c r="BT41">
        <f>IFERROR(AVERAGE('Fat Spreads'!AD41:AD60)-2*STDEV('Fat Spreads'!AD41:AD60),"")</f>
        <v>0</v>
      </c>
      <c r="BU41" t="str">
        <f>IFERROR(('Fat Spreads'!AD41-(AVERAGE('Fat Spreads'!AD41:AD60)-2*STDEV('Fat Spreads'!AD41:AD60)))/(4*STDEV('Fat Spreads'!AD41:AD60)),"")</f>
        <v/>
      </c>
      <c r="BV41" t="str">
        <f>IFERROR(4*STDEV('Fat Spreads'!AD41:AD60)/AVERAGE('Fat Spreads'!AD41:AD60),"")</f>
        <v/>
      </c>
      <c r="BW41">
        <v>65.767099999999999</v>
      </c>
      <c r="BX41">
        <f>IFERROR(SQRT((SUMSQ('Fat Spreads'!AD41:AD60)-2*SUMPRODUCT('Fat Spreads'!AD41:AD60,'Fat Spreads'!AD42:AD61)+SUMSQ('Fat Spreads'!AD42:AD61)-('Fat Spreads'!AD41-'Fat Spreads'!AD61)^2/20)/19),"")</f>
        <v>0</v>
      </c>
      <c r="BZ41">
        <f>IFERROR('Feeder Spreads'!A41,"")</f>
        <v>0</v>
      </c>
      <c r="CA41">
        <f>IFERROR(('Feeder Spreads'!B41-AVERAGE('Feeder Spreads'!$B$3:$B$4308))/STDEV('Feeder Spreads'!$B$3:$B$4308),"")</f>
        <v>-9.2057461789832346E-2</v>
      </c>
      <c r="CB41">
        <f>IFERROR('Feeder Spreads'!B41-'Feeder Spreads'!B46,"")</f>
        <v>0</v>
      </c>
      <c r="CC41">
        <f>IFERROR('Feeder Spreads'!B41-'Feeder Spreads'!B51,"")</f>
        <v>0</v>
      </c>
      <c r="CD41">
        <f>IFERROR(AVERAGE('Feeder Spreads'!B41:B60)+2*STDEV('Feeder Spreads'!B41:B60),"")</f>
        <v>0</v>
      </c>
      <c r="CE41">
        <f>IFERROR(AVERAGE('Feeder Spreads'!B41:B60)-2*STDEV('Feeder Spreads'!B41:B60),"")</f>
        <v>0</v>
      </c>
      <c r="CF41" t="str">
        <f>IFERROR(('Feeder Spreads'!B41-(AVERAGE('Feeder Spreads'!B41:B60)-2*STDEV('Feeder Spreads'!B41:B60)))/(4*STDEV('Feeder Spreads'!B41:B60)),"")</f>
        <v/>
      </c>
      <c r="CG41" t="str">
        <f>IFERROR(4*STDEV('Feeder Spreads'!B41:B60)/AVERAGE('Feeder Spreads'!B41:B60),"")</f>
        <v/>
      </c>
      <c r="CH41">
        <v>44.999099999999999</v>
      </c>
      <c r="CI41">
        <f>IFERROR(SQRT((SUMSQ('Feeder Spreads'!B41:B60)-2*SUMPRODUCT('Feeder Spreads'!B41:B60,'Feeder Spreads'!B42:B61)+SUMSQ('Feeder Spreads'!B42:B61)-('Feeder Spreads'!B41-'Feeder Spreads'!B61)^2/20)/19),"")</f>
        <v>0</v>
      </c>
      <c r="CK41">
        <f>IFERROR('Feeder Spreads'!AX41,"")</f>
        <v>0</v>
      </c>
      <c r="CL41">
        <f>IFERROR(('Feeder Spreads'!AY41-AVERAGE('Feeder Spreads'!$AY$3:$AY$4308))/STDEV('Feeder Spreads'!$AY$3:$AY$4308),"")</f>
        <v>-9.2057461789832346E-2</v>
      </c>
      <c r="CM41">
        <f>IFERROR('Feeder Spreads'!AY41-'Feeder Spreads'!AY46,"")</f>
        <v>0</v>
      </c>
      <c r="CN41">
        <f>IFERROR('Feeder Spreads'!AY41-'Feeder Spreads'!AY51,"")</f>
        <v>0</v>
      </c>
      <c r="CO41">
        <f>IFERROR(AVERAGE('Feeder Spreads'!AY41:AY60)+2*STDEV('Feeder Spreads'!AY41:AY60),"")</f>
        <v>0</v>
      </c>
      <c r="CP41">
        <f>IFERROR(AVERAGE('Feeder Spreads'!AY41:AY60)-2*STDEV('Feeder Spreads'!AY41:AY60),"")</f>
        <v>0</v>
      </c>
      <c r="CQ41" t="str">
        <f>IFERROR(('Feeder Spreads'!AY41-(AVERAGE('Feeder Spreads'!AY41:AY60)-2*STDEV('Feeder Spreads'!AY41:AY60)))/(4*STDEV('Feeder Spreads'!AY41:AY60)),"")</f>
        <v/>
      </c>
      <c r="CR41" t="str">
        <f>IFERROR(4*STDEV('Feeder Spreads'!AY41:AY60)/AVERAGE('Feeder Spreads'!AY41:AY60),"")</f>
        <v/>
      </c>
      <c r="CS41">
        <v>72.151399999999995</v>
      </c>
      <c r="CT41">
        <f>IFERROR(SQRT((SUMSQ('Feeder Spreads'!AY41:AY60)-2*SUMPRODUCT('Feeder Spreads'!AY41:AY60,'Feeder Spreads'!AY42:AY61)+SUMSQ('Feeder Spreads'!AY42:AY61)-('Feeder Spreads'!AY41-'Feeder Spreads'!AY61)^2/20)/19),"")</f>
        <v>0</v>
      </c>
      <c r="CV41">
        <f>IFERROR('Feeder Spreads'!H41,"")</f>
        <v>0</v>
      </c>
      <c r="CW41">
        <f>IFERROR(('Feeder Spreads'!I41-AVERAGE('Feeder Spreads'!$I$3:$I$4308))/STDEV('Feeder Spreads'!$I$3:$I$4308),"")</f>
        <v>-9.2057461789832332E-2</v>
      </c>
      <c r="CX41">
        <f>IFERROR('Feeder Spreads'!I41-'Feeder Spreads'!I46,"")</f>
        <v>0</v>
      </c>
      <c r="CY41">
        <f>IFERROR('Feeder Spreads'!I41-'Feeder Spreads'!I51,"")</f>
        <v>0</v>
      </c>
      <c r="CZ41">
        <f>IFERROR(AVERAGE('Feeder Spreads'!I41:I60)+2*STDEV('Feeder Spreads'!I41:I60),"")</f>
        <v>0</v>
      </c>
      <c r="DA41">
        <f>IFERROR(AVERAGE('Feeder Spreads'!I41:I60)-2*STDEV('Feeder Spreads'!I41:I60),"")</f>
        <v>0</v>
      </c>
      <c r="DB41" t="str">
        <f>IFERROR(('Feeder Spreads'!I41-(AVERAGE('Feeder Spreads'!I41:I60)-2*STDEV('Feeder Spreads'!I41:I60)))/(4*STDEV('Feeder Spreads'!I41:I60)),"")</f>
        <v/>
      </c>
      <c r="DC41" t="str">
        <f>IFERROR(4*STDEV('Feeder Spreads'!I41:I60)/AVERAGE('Feeder Spreads'!I41:I60),"")</f>
        <v/>
      </c>
      <c r="DD41">
        <v>43.875599999999999</v>
      </c>
      <c r="DE41">
        <f>IFERROR(SQRT((SUMSQ('Feeder Spreads'!I41:I60)-2*SUMPRODUCT('Feeder Spreads'!I41:I60,'Feeder Spreads'!I42:I61)+SUMSQ('Feeder Spreads'!I42:I61)-('Feeder Spreads'!I41-'Feeder Spreads'!I61)^2/20)/19),"")</f>
        <v>0</v>
      </c>
      <c r="DG41">
        <f>IFERROR('Feeder Spreads'!O41,"")</f>
        <v>0</v>
      </c>
      <c r="DH41">
        <f>IFERROR(('Feeder Spreads'!P41-AVERAGE('Feeder Spreads'!$P$3:$P$4308))/STDEV('Feeder Spreads'!$P$3:$P$4308),"")</f>
        <v>-9.2057461789832346E-2</v>
      </c>
      <c r="DI41">
        <f>IFERROR('Feeder Spreads'!P41-'Feeder Spreads'!P46,"")</f>
        <v>0</v>
      </c>
      <c r="DJ41">
        <f>IFERROR('Feeder Spreads'!P41-'Feeder Spreads'!P51,"")</f>
        <v>0</v>
      </c>
      <c r="DK41">
        <f>IFERROR(AVERAGE('Feeder Spreads'!P41:P60)+2*STDEV('Feeder Spreads'!P41:P60),"")</f>
        <v>0</v>
      </c>
      <c r="DL41">
        <f>IFERROR(AVERAGE('Feeder Spreads'!P41:P60)-2*STDEV('Feeder Spreads'!P41:P60),"")</f>
        <v>0</v>
      </c>
      <c r="DM41" t="str">
        <f>IFERROR(('Feeder Spreads'!P41-(AVERAGE('Feeder Spreads'!P41:P60)-2*STDEV('Feeder Spreads'!P41:P60)))/(4*STDEV('Feeder Spreads'!P41:P60)),"")</f>
        <v/>
      </c>
      <c r="DN41" t="str">
        <f>IFERROR(4*STDEV('Feeder Spreads'!P41:P60)/AVERAGE('Feeder Spreads'!P41:P60),"")</f>
        <v/>
      </c>
      <c r="DO41">
        <v>34.091000000000001</v>
      </c>
      <c r="DP41">
        <f>IFERROR(SQRT((SUMSQ('Feeder Spreads'!P41:P60)-2*SUMPRODUCT('Feeder Spreads'!P41:P60,'Feeder Spreads'!P42:P61)+SUMSQ('Feeder Spreads'!P42:P61)-('Feeder Spreads'!P41-'Feeder Spreads'!P61)^2/20)/19),"")</f>
        <v>0</v>
      </c>
      <c r="DR41">
        <f>IFERROR('Feeder Spreads'!V41,"")</f>
        <v>0</v>
      </c>
      <c r="DS41">
        <f>IFERROR(('Feeder Spreads'!W41-AVERAGE('Feeder Spreads'!$W$3:$W$4308))/STDEV('Feeder Spreads'!$W$3:$W$4308),"")</f>
        <v>-9.2057461789832332E-2</v>
      </c>
      <c r="DT41">
        <f>IFERROR('Feeder Spreads'!W41-'Feeder Spreads'!W46,"")</f>
        <v>0</v>
      </c>
      <c r="DU41">
        <f>IFERROR('Feeder Spreads'!W41-'Feeder Spreads'!W51,"")</f>
        <v>0</v>
      </c>
      <c r="DV41">
        <f>IFERROR(AVERAGE('Feeder Spreads'!W41:W60)+2*STDEV('Feeder Spreads'!W41:W60),"")</f>
        <v>0</v>
      </c>
      <c r="DW41">
        <f>IFERROR(AVERAGE('Feeder Spreads'!W41:W60)-2*STDEV('Feeder Spreads'!W41:W60),"")</f>
        <v>0</v>
      </c>
      <c r="DX41" t="str">
        <f>IFERROR(('Feeder Spreads'!W41-(AVERAGE('Feeder Spreads'!W41:W60)-2*STDEV('Feeder Spreads'!W41:W60)))/(4*STDEV('Feeder Spreads'!W41:W60)),"")</f>
        <v/>
      </c>
      <c r="DY41" t="str">
        <f>IFERROR(4*STDEV('Feeder Spreads'!W41:W60)/AVERAGE('Feeder Spreads'!W41:W60),"")</f>
        <v/>
      </c>
      <c r="DZ41">
        <v>55.557699999999997</v>
      </c>
      <c r="EA41">
        <f>IFERROR(SQRT((SUMSQ('Feeder Spreads'!W41:W60)-2*SUMPRODUCT('Feeder Spreads'!W41:W60,'Feeder Spreads'!W42:W61)+SUMSQ('Feeder Spreads'!W42:W61)-('Feeder Spreads'!W41-'Feeder Spreads'!W61)^2/20)/19),"")</f>
        <v>0</v>
      </c>
      <c r="EC41">
        <f>IFERROR('Feeder Spreads'!AC41,"")</f>
        <v>0</v>
      </c>
      <c r="ED41">
        <f>IFERROR(('Feeder Spreads'!AD41-AVERAGE('Feeder Spreads'!$AD$3:$AD$4308))/STDEV('Feeder Spreads'!$AD$3:$AD$4308),"")</f>
        <v>9.2057461789832318E-2</v>
      </c>
      <c r="EE41">
        <f>IFERROR('Feeder Spreads'!AD41-'Feeder Spreads'!AD46,"")</f>
        <v>0</v>
      </c>
      <c r="EF41">
        <f>IFERROR('Feeder Spreads'!AD41-'Feeder Spreads'!AD51,"")</f>
        <v>0</v>
      </c>
      <c r="EG41">
        <f>IFERROR(AVERAGE('Feeder Spreads'!AD41:AD60)+2*STDEV('Feeder Spreads'!AD41:AD60),"")</f>
        <v>0</v>
      </c>
      <c r="EH41">
        <f>IFERROR(AVERAGE('Feeder Spreads'!AD41:AD60)-2*STDEV('Feeder Spreads'!AD41:AD60),"")</f>
        <v>0</v>
      </c>
      <c r="EI41" t="str">
        <f>IFERROR(('Feeder Spreads'!AD41-(AVERAGE('Feeder Spreads'!AD41:AD60)-2*STDEV('Feeder Spreads'!AD41:AD60)))/(4*STDEV('Feeder Spreads'!AD41:AD60)),"")</f>
        <v/>
      </c>
      <c r="EJ41" t="str">
        <f>IFERROR(4*STDEV('Feeder Spreads'!AD41:AD60)/AVERAGE('Feeder Spreads'!AD41:AD60),"")</f>
        <v/>
      </c>
      <c r="EK41">
        <v>53.934100000000001</v>
      </c>
      <c r="EL41">
        <f>IFERROR(SQRT((SUMSQ('Feeder Spreads'!AD41:AD60)-2*SUMPRODUCT('Feeder Spreads'!AD41:AD60,'Feeder Spreads'!AD42:AD61)+SUMSQ('Feeder Spreads'!AD42:AD61)-('Feeder Spreads'!AD41-'Feeder Spreads'!AD61)^2/20)/19),"")</f>
        <v>0</v>
      </c>
      <c r="EN41">
        <f>IFERROR('Feeder Spreads'!AJ41,"")</f>
        <v>0</v>
      </c>
      <c r="EO41">
        <f>IFERROR(('Feeder Spreads'!AK41-AVERAGE('Feeder Spreads'!$AK$3:$AK$4308))/STDEV('Feeder Spreads'!$AK$3:$AK$4308),"")</f>
        <v>-9.2057461789832346E-2</v>
      </c>
      <c r="EP41">
        <f>IFERROR('Feeder Spreads'!AK41-'Feeder Spreads'!AK46,"")</f>
        <v>0</v>
      </c>
      <c r="EQ41">
        <f>IFERROR('Feeder Spreads'!AK41-'Feeder Spreads'!AK51,"")</f>
        <v>0</v>
      </c>
      <c r="ER41">
        <f>IFERROR(AVERAGE('Feeder Spreads'!AK41:AK60)+2*STDEV('Feeder Spreads'!AK41:AK60),"")</f>
        <v>0</v>
      </c>
      <c r="ES41">
        <f>IFERROR(AVERAGE('Feeder Spreads'!AK41:AK60)-2*STDEV('Feeder Spreads'!AK41:AK60),"")</f>
        <v>0</v>
      </c>
      <c r="ET41" t="str">
        <f>IFERROR(('Feeder Spreads'!AK41-(AVERAGE('Feeder Spreads'!AK41:AK60)-2*STDEV('Feeder Spreads'!AK41:AK60)))/(4*STDEV('Feeder Spreads'!AK41:AK60)),"")</f>
        <v/>
      </c>
      <c r="EU41" t="str">
        <f>IFERROR(4*STDEV('Feeder Spreads'!AK41:AK60)/AVERAGE('Feeder Spreads'!AK41:AK60),"")</f>
        <v/>
      </c>
      <c r="EV41">
        <v>29.3718</v>
      </c>
      <c r="EW41">
        <f>IFERROR(SQRT((SUMSQ('Feeder Spreads'!AK41:AK60)-2*SUMPRODUCT('Feeder Spreads'!AK41:AK60,'Feeder Spreads'!AK42:AK61)+SUMSQ('Feeder Spreads'!AK42:AK61)-('Feeder Spreads'!AK41-'Feeder Spreads'!AK61)^2/20)/19),"")</f>
        <v>0</v>
      </c>
      <c r="EY41">
        <f>IFERROR('Feeder Spreads'!AQ41,"")</f>
        <v>0</v>
      </c>
      <c r="EZ41">
        <f>IFERROR(('Feeder Spreads'!AR41-AVERAGE('Feeder Spreads'!$AR$3:$AR$4308))/STDEV('Feeder Spreads'!$AR$3:$AR$4308),"")</f>
        <v>-9.2057461789832332E-2</v>
      </c>
      <c r="FA41">
        <f>IFERROR('Feeder Spreads'!AR41-'Feeder Spreads'!AR46,"")</f>
        <v>0</v>
      </c>
      <c r="FB41">
        <f>IFERROR('Feeder Spreads'!AR41-'Feeder Spreads'!AR51,"")</f>
        <v>0</v>
      </c>
      <c r="FC41">
        <f>IFERROR(AVERAGE('Feeder Spreads'!AR41:AR60)+2*STDEV('Feeder Spreads'!AR41:AR60),"")</f>
        <v>0</v>
      </c>
      <c r="FD41">
        <f>IFERROR(AVERAGE('Feeder Spreads'!AR41:AR60)-2*STDEV('Feeder Spreads'!AR41:AR60),"")</f>
        <v>0</v>
      </c>
      <c r="FE41" t="str">
        <f>IFERROR(('Feeder Spreads'!AR41-(AVERAGE('Feeder Spreads'!AR41:AR60)-2*STDEV('Feeder Spreads'!AR41:AR60)))/(4*STDEV('Feeder Spreads'!AR41:AR60)),"")</f>
        <v/>
      </c>
      <c r="FF41" t="str">
        <f>IFERROR(4*STDEV('Feeder Spreads'!AR41:AR60)/AVERAGE('Feeder Spreads'!AR41:AR60),"")</f>
        <v/>
      </c>
      <c r="FG41">
        <v>30.586300000000001</v>
      </c>
      <c r="FH41">
        <f>IFERROR(SQRT((SUMSQ('Feeder Spreads'!AR41:AR60)-2*SUMPRODUCT('Feeder Spreads'!AR41:AR60,'Feeder Spreads'!AR42:AR61)+SUMSQ('Feeder Spreads'!AR42:AR61)-('Feeder Spreads'!AR41-'Feeder Spreads'!AR61)^2/20)/19),"")</f>
        <v>0</v>
      </c>
      <c r="FJ41">
        <f>IFERROR('Fat Spreads'!AX41,"")</f>
        <v>0</v>
      </c>
      <c r="FK41">
        <f>IFERROR(('Fat Spreads'!AY41-AVERAGE('Fat Spreads'!$AY$3:$AY$4308))/STDEV('Fat Spreads'!$AY$3:$AY$4308),"")</f>
        <v>9.2057461789832332E-2</v>
      </c>
      <c r="FL41">
        <f>IFERROR('Fat Spreads'!AY41-'Fat Spreads'!AY46,"")</f>
        <v>0</v>
      </c>
      <c r="FM41">
        <f>IFERROR('Fat Spreads'!AY41-'Fat Spreads'!AY51,"")</f>
        <v>0</v>
      </c>
      <c r="FN41">
        <f>IFERROR(AVERAGE('Fat Spreads'!AY41:AY60)+2*STDEV('Fat Spreads'!AY41:AY60),"")</f>
        <v>0</v>
      </c>
      <c r="FO41">
        <f>IFERROR(AVERAGE('Fat Spreads'!AY41:AY60)-2*STDEV('Fat Spreads'!AY41:AY60),"")</f>
        <v>0</v>
      </c>
      <c r="FP41" t="str">
        <f>IFERROR(('Fat Spreads'!AY41-(AVERAGE('Fat Spreads'!AY41:AY60)-2*STDEV('Fat Spreads'!AY41:AY60)))/(4*STDEV('Fat Spreads'!AY41:AY60)),"")</f>
        <v/>
      </c>
      <c r="FQ41" t="str">
        <f>IFERROR(4*STDEV('Fat Spreads'!AY41:AY60)/AVERAGE('Fat Spreads'!AY41:AY60),"")</f>
        <v/>
      </c>
      <c r="FR41">
        <v>31.679400000000001</v>
      </c>
      <c r="FS41">
        <f>IFERROR(SQRT((SUMSQ('Fat Spreads'!AY41:AY60)-2*SUMPRODUCT('Fat Spreads'!AY41:AY60,'Fat Spreads'!AY42:AY61)+SUMSQ('Fat Spreads'!AY42:AY61)-('Fat Spreads'!AY41-'Fat Spreads'!AY61)^2/20)/19),"")</f>
        <v>0</v>
      </c>
      <c r="FU41">
        <f>IFERROR('Fat Spreads'!BE41,"")</f>
        <v>0</v>
      </c>
      <c r="FV41">
        <f>IFERROR(('Fat Spreads'!BF41-AVERAGE('Fat Spreads'!$BF$3:$BF$4308))/STDEV('Fat Spreads'!$BF$3:$BF$4308),"")</f>
        <v>9.2057461789832332E-2</v>
      </c>
      <c r="FW41">
        <f>IFERROR('Fat Spreads'!BF41-'Fat Spreads'!BF46,"")</f>
        <v>0</v>
      </c>
      <c r="FX41">
        <f>IFERROR('Fat Spreads'!BF41-'Fat Spreads'!BF51,"")</f>
        <v>0</v>
      </c>
      <c r="FY41">
        <f>IFERROR(AVERAGE('Fat Spreads'!BF41:BF60)+2*STDEV('Fat Spreads'!BF41:BF60),"")</f>
        <v>0</v>
      </c>
      <c r="FZ41">
        <f>IFERROR(AVERAGE('Fat Spreads'!BF41:BF60)-2*STDEV('Fat Spreads'!BF41:BF60),"")</f>
        <v>0</v>
      </c>
      <c r="GA41" t="str">
        <f>IFERROR(('Fat Spreads'!BF41-(AVERAGE('Fat Spreads'!BF41:BF60)-2*STDEV('Fat Spreads'!BF41:BF60)))/(4*STDEV('Fat Spreads'!BF41:BF60)),"")</f>
        <v/>
      </c>
      <c r="GB41" t="str">
        <f>IFERROR(4*STDEV('Fat Spreads'!BF41:BF60)/AVERAGE('Fat Spreads'!BF41:BF60),"")</f>
        <v/>
      </c>
      <c r="GC41">
        <v>34.2483</v>
      </c>
      <c r="GD41">
        <f>IFERROR(SQRT((SUMSQ('Fat Spreads'!BF41:BF60)-2*SUMPRODUCT('Fat Spreads'!BF41:BF60,'Fat Spreads'!BF42:BF61)+SUMSQ('Fat Spreads'!BF42:BF61)-('Fat Spreads'!BF41-'Fat Spreads'!BF61)^2/20)/19),"")</f>
        <v>0</v>
      </c>
    </row>
    <row r="42" spans="1:186" x14ac:dyDescent="0.25">
      <c r="A42">
        <f>IFERROR('Fat Spreads'!A42,"")</f>
        <v>0</v>
      </c>
      <c r="B42">
        <f>IFERROR(('Fat Spreads'!B42-AVERAGE('Fat Spreads'!$B$3:$B$4308))/STDEV('Fat Spreads'!$B$3:$B$4308),"")</f>
        <v>9.2057461789832346E-2</v>
      </c>
      <c r="C42">
        <f>IFERROR('Fat Spreads'!B42-'Fat Spreads'!B47,"")</f>
        <v>0</v>
      </c>
      <c r="D42">
        <f>IFERROR('Fat Spreads'!B42-'Fat Spreads'!B52,"")</f>
        <v>0</v>
      </c>
      <c r="E42">
        <f>IFERROR(AVERAGE('Fat Spreads'!B42:B61)+2*STDEV('Fat Spreads'!B42:B61),"")</f>
        <v>0</v>
      </c>
      <c r="F42">
        <f>IFERROR(AVERAGE('Fat Spreads'!B42:B61)-2*STDEV('Fat Spreads'!B42:B61),"")</f>
        <v>0</v>
      </c>
      <c r="G42" t="str">
        <f>IFERROR(('Fat Spreads'!B42-(AVERAGE('Fat Spreads'!B42:B61)-2*STDEV('Fat Spreads'!B42:B61)))/(4*STDEV('Fat Spreads'!B42:B61)),"")</f>
        <v/>
      </c>
      <c r="H42" t="str">
        <f>IFERROR(4*STDEV('Fat Spreads'!B42:B61)/AVERAGE('Fat Spreads'!B42:B61),"")</f>
        <v/>
      </c>
      <c r="I42">
        <v>29.304300000000001</v>
      </c>
      <c r="J42">
        <f>IFERROR(SQRT((SUMSQ('Fat Spreads'!B42:B61)-2*SUMPRODUCT('Fat Spreads'!B42:B61,'Fat Spreads'!B43:B62)+SUMSQ('Fat Spreads'!B43:B62)-('Fat Spreads'!B42-'Fat Spreads'!B62)^2/20)/19),"")</f>
        <v>0</v>
      </c>
      <c r="L42">
        <f>IFERROR('Fat Spreads'!H42,"")</f>
        <v>0</v>
      </c>
      <c r="M42">
        <f>IFERROR(('Fat Spreads'!I42-AVERAGE('Fat Spreads'!$I$3:$I$4308))/STDEV('Fat Spreads'!$I$3:$I$4308),"")</f>
        <v>-9.2057461789832332E-2</v>
      </c>
      <c r="N42">
        <f>IFERROR('Fat Spreads'!I42-'Fat Spreads'!I47,"")</f>
        <v>0</v>
      </c>
      <c r="O42">
        <f>IFERROR('Fat Spreads'!I42-'Fat Spreads'!I52,"")</f>
        <v>0</v>
      </c>
      <c r="P42">
        <f>IFERROR(AVERAGE('Fat Spreads'!I42:I61)+2*STDEV('Fat Spreads'!I42:I61),"")</f>
        <v>0</v>
      </c>
      <c r="Q42">
        <f>IFERROR(AVERAGE('Fat Spreads'!I42:I61)-2*STDEV('Fat Spreads'!I42:I61),"")</f>
        <v>0</v>
      </c>
      <c r="R42" t="str">
        <f>IFERROR(('Fat Spreads'!I42-(AVERAGE('Fat Spreads'!I42:I61)-2*STDEV('Fat Spreads'!I42:I61)))/(4*STDEV('Fat Spreads'!I42:I61)),"")</f>
        <v/>
      </c>
      <c r="S42" t="str">
        <f>IFERROR(4*STDEV('Fat Spreads'!I42:I61)/AVERAGE('Fat Spreads'!I42:I61),"")</f>
        <v/>
      </c>
      <c r="T42">
        <v>45.320399999999999</v>
      </c>
      <c r="U42">
        <f>IFERROR(SQRT((SUMSQ('Fat Spreads'!I42:I61)-2*SUMPRODUCT('Fat Spreads'!I42:I61,'Fat Spreads'!I43:I62)+SUMSQ('Fat Spreads'!I43:I62)-('Fat Spreads'!I42-'Fat Spreads'!I62)^2/20)/19),"")</f>
        <v>0</v>
      </c>
      <c r="W42">
        <f>IFERROR('Fat Spreads'!AQ42,"")</f>
        <v>0</v>
      </c>
      <c r="X42">
        <f>IFERROR(('Fat Spreads'!AR42-AVERAGE('Fat Spreads'!$AR$3:$AR$4308))/STDEV('Fat Spreads'!$AR$3:$AR$4308),"")</f>
        <v>-9.2057461789832346E-2</v>
      </c>
      <c r="Y42">
        <f>IFERROR('Fat Spreads'!AR42-'Fat Spreads'!AR47,"")</f>
        <v>0</v>
      </c>
      <c r="Z42">
        <f>IFERROR('Fat Spreads'!AR42-'Fat Spreads'!AR52,"")</f>
        <v>0</v>
      </c>
      <c r="AA42">
        <f>IFERROR(AVERAGE('Fat Spreads'!AR42:AR61)+2*STDEV('Fat Spreads'!AR42:AR61),"")</f>
        <v>0</v>
      </c>
      <c r="AB42">
        <f>IFERROR(AVERAGE('Fat Spreads'!AR42:AR61)-2*STDEV('Fat Spreads'!AR42:AR61),"")</f>
        <v>0</v>
      </c>
      <c r="AC42" t="str">
        <f>IFERROR(('Fat Spreads'!AR42-(AVERAGE('Fat Spreads'!AR42:AR61)-2*STDEV('Fat Spreads'!AR42:AR61)))/(4*STDEV('Fat Spreads'!AR42:AR61)),"")</f>
        <v/>
      </c>
      <c r="AD42" t="str">
        <f>IFERROR(4*STDEV('Fat Spreads'!AR42:AR61)/AVERAGE('Fat Spreads'!AR42:AR61),"")</f>
        <v/>
      </c>
      <c r="AE42">
        <v>63.065300000000001</v>
      </c>
      <c r="AF42">
        <f>IFERROR(SQRT((SUMSQ('Fat Spreads'!AR42:AR61)-2*SUMPRODUCT('Fat Spreads'!AR42:AR61,'Fat Spreads'!AR43:AR62)+SUMSQ('Fat Spreads'!AR43:AR62)-('Fat Spreads'!AR42-'Fat Spreads'!AR62)^2/20)/19),"")</f>
        <v>0</v>
      </c>
      <c r="AH42">
        <f>IFERROR('Fat Spreads'!O42,"")</f>
        <v>0</v>
      </c>
      <c r="AI42">
        <f>IFERROR(('Fat Spreads'!P42-AVERAGE('Fat Spreads'!$P$3:$P$4308))/STDEV('Fat Spreads'!$P$3:$P$4308),"")</f>
        <v>-9.2057461789832332E-2</v>
      </c>
      <c r="AJ42">
        <f>IFERROR('Fat Spreads'!P42-'Fat Spreads'!P47,"")</f>
        <v>0</v>
      </c>
      <c r="AK42">
        <f>IFERROR('Fat Spreads'!P42-'Fat Spreads'!P52,"")</f>
        <v>0</v>
      </c>
      <c r="AL42">
        <f>IFERROR(AVERAGE('Fat Spreads'!P42:P61)+2*STDEV('Fat Spreads'!P42:P61),"")</f>
        <v>0</v>
      </c>
      <c r="AM42">
        <f>IFERROR(AVERAGE('Fat Spreads'!P42:P61)-2*STDEV('Fat Spreads'!P42:P61),"")</f>
        <v>0</v>
      </c>
      <c r="AN42" t="str">
        <f>IFERROR(('Fat Spreads'!P42-(AVERAGE('Fat Spreads'!P42:P61)-2*STDEV('Fat Spreads'!P42:P61)))/(4*STDEV('Fat Spreads'!P42:P61)),"")</f>
        <v/>
      </c>
      <c r="AO42" t="str">
        <f>IFERROR(4*STDEV('Fat Spreads'!P42:P61)/AVERAGE('Fat Spreads'!P42:P61),"")</f>
        <v/>
      </c>
      <c r="AP42">
        <v>62.545200000000001</v>
      </c>
      <c r="AQ42">
        <f>IFERROR(SQRT((SUMSQ('Fat Spreads'!P42:P61)-2*SUMPRODUCT('Fat Spreads'!P42:P61,'Fat Spreads'!P43:P62)+SUMSQ('Fat Spreads'!P43:P62)-('Fat Spreads'!P42-'Fat Spreads'!P62)^2/20)/19),"")</f>
        <v>0</v>
      </c>
      <c r="AS42">
        <f>IFERROR('Fat Spreads'!AJ42,"")</f>
        <v>0</v>
      </c>
      <c r="AT42">
        <f>IFERROR(('Fat Spreads'!AK42-AVERAGE('Fat Spreads'!$AK$3:$AK$4308))/STDEV('Fat Spreads'!$AK$3:$AK$4308),"")</f>
        <v>-9.2057461789832332E-2</v>
      </c>
      <c r="AU42">
        <f>IFERROR('Fat Spreads'!AK42-'Fat Spreads'!AK47,"")</f>
        <v>0</v>
      </c>
      <c r="AV42">
        <f>IFERROR('Fat Spreads'!AK42-'Fat Spreads'!AK52,"")</f>
        <v>0</v>
      </c>
      <c r="AW42">
        <f>IFERROR(AVERAGE('Fat Spreads'!AK42:AK61)+2*STDEV('Fat Spreads'!AK42:AK61),"")</f>
        <v>0</v>
      </c>
      <c r="AX42">
        <f>IFERROR(AVERAGE('Fat Spreads'!AK42:AK61)-2*STDEV('Fat Spreads'!AK42:AK61),"")</f>
        <v>0</v>
      </c>
      <c r="AY42" t="str">
        <f>IFERROR(('Fat Spreads'!AK42-(AVERAGE('Fat Spreads'!AK42:AK61)-2*STDEV('Fat Spreads'!AK42:AK61)))/(4*STDEV('Fat Spreads'!AK42:AK61)),"")</f>
        <v/>
      </c>
      <c r="AZ42" t="str">
        <f>IFERROR(4*STDEV('Fat Spreads'!AK42:AK61)/AVERAGE('Fat Spreads'!AK42:AK61),"")</f>
        <v/>
      </c>
      <c r="BA42">
        <v>36.411999999999999</v>
      </c>
      <c r="BB42">
        <f>IFERROR(SQRT((SUMSQ('Fat Spreads'!AK42:AK61)-2*SUMPRODUCT('Fat Spreads'!AK42:AK61,'Fat Spreads'!AK43:AK62)+SUMSQ('Fat Spreads'!AK43:AK62)-('Fat Spreads'!AK42-'Fat Spreads'!AK62)^2/20)/19),"")</f>
        <v>0</v>
      </c>
      <c r="BD42">
        <f>IFERROR('Fat Spreads'!V42,"")</f>
        <v>0</v>
      </c>
      <c r="BE42">
        <f>IFERROR(('Fat Spreads'!W42-AVERAGE('Fat Spreads'!$W$3:$W$4308))/STDEV('Fat Spreads'!$W$3:$W$4308),"")</f>
        <v>-9.2057461789832332E-2</v>
      </c>
      <c r="BF42">
        <f>IFERROR('Fat Spreads'!W42-'Fat Spreads'!W47,"")</f>
        <v>0</v>
      </c>
      <c r="BG42">
        <f>IFERROR('Fat Spreads'!W42-'Fat Spreads'!W52,"")</f>
        <v>0</v>
      </c>
      <c r="BH42">
        <f>IFERROR(AVERAGE('Fat Spreads'!W42:W61)+2*STDEV('Fat Spreads'!W42:W61),"")</f>
        <v>0</v>
      </c>
      <c r="BI42">
        <f>IFERROR(AVERAGE('Fat Spreads'!W42:W61)-2*STDEV('Fat Spreads'!W42:W61),"")</f>
        <v>0</v>
      </c>
      <c r="BJ42" t="str">
        <f>IFERROR(('Fat Spreads'!W42-(AVERAGE('Fat Spreads'!W42:W61)-2*STDEV('Fat Spreads'!W42:W61)))/(4*STDEV('Fat Spreads'!W42:W61)),"")</f>
        <v/>
      </c>
      <c r="BK42" t="str">
        <f>IFERROR(4*STDEV('Fat Spreads'!W42:W61)/AVERAGE('Fat Spreads'!W42:W61),"")</f>
        <v/>
      </c>
      <c r="BL42">
        <v>60.646099999999997</v>
      </c>
      <c r="BM42">
        <f>IFERROR(SQRT((SUMSQ('Fat Spreads'!W42:W61)-2*SUMPRODUCT('Fat Spreads'!W42:W61,'Fat Spreads'!W43:W62)+SUMSQ('Fat Spreads'!W43:W62)-('Fat Spreads'!W42-'Fat Spreads'!W62)^2/20)/19),"")</f>
        <v>0</v>
      </c>
      <c r="BO42">
        <f>IFERROR('Fat Spreads'!AC42,"")</f>
        <v>0</v>
      </c>
      <c r="BP42">
        <f>IFERROR(('Fat Spreads'!AD42-AVERAGE('Fat Spreads'!$AD$3:$AD$4308))/STDEV('Fat Spreads'!$AD$3:$AD$4308),"")</f>
        <v>-9.2057461789832332E-2</v>
      </c>
      <c r="BQ42">
        <f>IFERROR('Fat Spreads'!AD42-'Fat Spreads'!AD47,"")</f>
        <v>0</v>
      </c>
      <c r="BR42">
        <f>IFERROR('Fat Spreads'!AD42-'Fat Spreads'!AD52,"")</f>
        <v>0</v>
      </c>
      <c r="BS42">
        <f>IFERROR(AVERAGE('Fat Spreads'!AD42:AD61)+2*STDEV('Fat Spreads'!AD42:AD61),"")</f>
        <v>0</v>
      </c>
      <c r="BT42">
        <f>IFERROR(AVERAGE('Fat Spreads'!AD42:AD61)-2*STDEV('Fat Spreads'!AD42:AD61),"")</f>
        <v>0</v>
      </c>
      <c r="BU42" t="str">
        <f>IFERROR(('Fat Spreads'!AD42-(AVERAGE('Fat Spreads'!AD42:AD61)-2*STDEV('Fat Spreads'!AD42:AD61)))/(4*STDEV('Fat Spreads'!AD42:AD61)),"")</f>
        <v/>
      </c>
      <c r="BV42" t="str">
        <f>IFERROR(4*STDEV('Fat Spreads'!AD42:AD61)/AVERAGE('Fat Spreads'!AD42:AD61),"")</f>
        <v/>
      </c>
      <c r="BW42">
        <v>66.556399999999996</v>
      </c>
      <c r="BX42">
        <f>IFERROR(SQRT((SUMSQ('Fat Spreads'!AD42:AD61)-2*SUMPRODUCT('Fat Spreads'!AD42:AD61,'Fat Spreads'!AD43:AD62)+SUMSQ('Fat Spreads'!AD43:AD62)-('Fat Spreads'!AD42-'Fat Spreads'!AD62)^2/20)/19),"")</f>
        <v>0</v>
      </c>
      <c r="BZ42">
        <f>IFERROR('Feeder Spreads'!A42,"")</f>
        <v>0</v>
      </c>
      <c r="CA42">
        <f>IFERROR(('Feeder Spreads'!B42-AVERAGE('Feeder Spreads'!$B$3:$B$4308))/STDEV('Feeder Spreads'!$B$3:$B$4308),"")</f>
        <v>-9.2057461789832346E-2</v>
      </c>
      <c r="CB42">
        <f>IFERROR('Feeder Spreads'!B42-'Feeder Spreads'!B47,"")</f>
        <v>0</v>
      </c>
      <c r="CC42">
        <f>IFERROR('Feeder Spreads'!B42-'Feeder Spreads'!B52,"")</f>
        <v>0</v>
      </c>
      <c r="CD42">
        <f>IFERROR(AVERAGE('Feeder Spreads'!B42:B61)+2*STDEV('Feeder Spreads'!B42:B61),"")</f>
        <v>0</v>
      </c>
      <c r="CE42">
        <f>IFERROR(AVERAGE('Feeder Spreads'!B42:B61)-2*STDEV('Feeder Spreads'!B42:B61),"")</f>
        <v>0</v>
      </c>
      <c r="CF42" t="str">
        <f>IFERROR(('Feeder Spreads'!B42-(AVERAGE('Feeder Spreads'!B42:B61)-2*STDEV('Feeder Spreads'!B42:B61)))/(4*STDEV('Feeder Spreads'!B42:B61)),"")</f>
        <v/>
      </c>
      <c r="CG42" t="str">
        <f>IFERROR(4*STDEV('Feeder Spreads'!B42:B61)/AVERAGE('Feeder Spreads'!B42:B61),"")</f>
        <v/>
      </c>
      <c r="CH42">
        <v>50.642899999999997</v>
      </c>
      <c r="CI42">
        <f>IFERROR(SQRT((SUMSQ('Feeder Spreads'!B42:B61)-2*SUMPRODUCT('Feeder Spreads'!B42:B61,'Feeder Spreads'!B43:B62)+SUMSQ('Feeder Spreads'!B43:B62)-('Feeder Spreads'!B42-'Feeder Spreads'!B62)^2/20)/19),"")</f>
        <v>0</v>
      </c>
      <c r="CK42">
        <f>IFERROR('Feeder Spreads'!AX42,"")</f>
        <v>0</v>
      </c>
      <c r="CL42">
        <f>IFERROR(('Feeder Spreads'!AY42-AVERAGE('Feeder Spreads'!$AY$3:$AY$4308))/STDEV('Feeder Spreads'!$AY$3:$AY$4308),"")</f>
        <v>-9.2057461789832346E-2</v>
      </c>
      <c r="CM42">
        <f>IFERROR('Feeder Spreads'!AY42-'Feeder Spreads'!AY47,"")</f>
        <v>0</v>
      </c>
      <c r="CN42">
        <f>IFERROR('Feeder Spreads'!AY42-'Feeder Spreads'!AY52,"")</f>
        <v>0</v>
      </c>
      <c r="CO42">
        <f>IFERROR(AVERAGE('Feeder Spreads'!AY42:AY61)+2*STDEV('Feeder Spreads'!AY42:AY61),"")</f>
        <v>0</v>
      </c>
      <c r="CP42">
        <f>IFERROR(AVERAGE('Feeder Spreads'!AY42:AY61)-2*STDEV('Feeder Spreads'!AY42:AY61),"")</f>
        <v>0</v>
      </c>
      <c r="CQ42" t="str">
        <f>IFERROR(('Feeder Spreads'!AY42-(AVERAGE('Feeder Spreads'!AY42:AY61)-2*STDEV('Feeder Spreads'!AY42:AY61)))/(4*STDEV('Feeder Spreads'!AY42:AY61)),"")</f>
        <v/>
      </c>
      <c r="CR42" t="str">
        <f>IFERROR(4*STDEV('Feeder Spreads'!AY42:AY61)/AVERAGE('Feeder Spreads'!AY42:AY61),"")</f>
        <v/>
      </c>
      <c r="CS42">
        <v>71.736099999999993</v>
      </c>
      <c r="CT42">
        <f>IFERROR(SQRT((SUMSQ('Feeder Spreads'!AY42:AY61)-2*SUMPRODUCT('Feeder Spreads'!AY42:AY61,'Feeder Spreads'!AY43:AY62)+SUMSQ('Feeder Spreads'!AY43:AY62)-('Feeder Spreads'!AY42-'Feeder Spreads'!AY62)^2/20)/19),"")</f>
        <v>0</v>
      </c>
      <c r="CV42">
        <f>IFERROR('Feeder Spreads'!H42,"")</f>
        <v>0</v>
      </c>
      <c r="CW42">
        <f>IFERROR(('Feeder Spreads'!I42-AVERAGE('Feeder Spreads'!$I$3:$I$4308))/STDEV('Feeder Spreads'!$I$3:$I$4308),"")</f>
        <v>-9.2057461789832332E-2</v>
      </c>
      <c r="CX42">
        <f>IFERROR('Feeder Spreads'!I42-'Feeder Spreads'!I47,"")</f>
        <v>0</v>
      </c>
      <c r="CY42">
        <f>IFERROR('Feeder Spreads'!I42-'Feeder Spreads'!I52,"")</f>
        <v>0</v>
      </c>
      <c r="CZ42">
        <f>IFERROR(AVERAGE('Feeder Spreads'!I42:I61)+2*STDEV('Feeder Spreads'!I42:I61),"")</f>
        <v>0</v>
      </c>
      <c r="DA42">
        <f>IFERROR(AVERAGE('Feeder Spreads'!I42:I61)-2*STDEV('Feeder Spreads'!I42:I61),"")</f>
        <v>0</v>
      </c>
      <c r="DB42" t="str">
        <f>IFERROR(('Feeder Spreads'!I42-(AVERAGE('Feeder Spreads'!I42:I61)-2*STDEV('Feeder Spreads'!I42:I61)))/(4*STDEV('Feeder Spreads'!I42:I61)),"")</f>
        <v/>
      </c>
      <c r="DC42" t="str">
        <f>IFERROR(4*STDEV('Feeder Spreads'!I42:I61)/AVERAGE('Feeder Spreads'!I42:I61),"")</f>
        <v/>
      </c>
      <c r="DD42">
        <v>54.013500000000001</v>
      </c>
      <c r="DE42">
        <f>IFERROR(SQRT((SUMSQ('Feeder Spreads'!I42:I61)-2*SUMPRODUCT('Feeder Spreads'!I42:I61,'Feeder Spreads'!I43:I62)+SUMSQ('Feeder Spreads'!I43:I62)-('Feeder Spreads'!I42-'Feeder Spreads'!I62)^2/20)/19),"")</f>
        <v>0</v>
      </c>
      <c r="DG42">
        <f>IFERROR('Feeder Spreads'!O42,"")</f>
        <v>0</v>
      </c>
      <c r="DH42">
        <f>IFERROR(('Feeder Spreads'!P42-AVERAGE('Feeder Spreads'!$P$3:$P$4308))/STDEV('Feeder Spreads'!$P$3:$P$4308),"")</f>
        <v>-9.2057461789832346E-2</v>
      </c>
      <c r="DI42">
        <f>IFERROR('Feeder Spreads'!P42-'Feeder Spreads'!P47,"")</f>
        <v>0</v>
      </c>
      <c r="DJ42">
        <f>IFERROR('Feeder Spreads'!P42-'Feeder Spreads'!P52,"")</f>
        <v>0</v>
      </c>
      <c r="DK42">
        <f>IFERROR(AVERAGE('Feeder Spreads'!P42:P61)+2*STDEV('Feeder Spreads'!P42:P61),"")</f>
        <v>0</v>
      </c>
      <c r="DL42">
        <f>IFERROR(AVERAGE('Feeder Spreads'!P42:P61)-2*STDEV('Feeder Spreads'!P42:P61),"")</f>
        <v>0</v>
      </c>
      <c r="DM42" t="str">
        <f>IFERROR(('Feeder Spreads'!P42-(AVERAGE('Feeder Spreads'!P42:P61)-2*STDEV('Feeder Spreads'!P42:P61)))/(4*STDEV('Feeder Spreads'!P42:P61)),"")</f>
        <v/>
      </c>
      <c r="DN42" t="str">
        <f>IFERROR(4*STDEV('Feeder Spreads'!P42:P61)/AVERAGE('Feeder Spreads'!P42:P61),"")</f>
        <v/>
      </c>
      <c r="DO42">
        <v>40.826300000000003</v>
      </c>
      <c r="DP42">
        <f>IFERROR(SQRT((SUMSQ('Feeder Spreads'!P42:P61)-2*SUMPRODUCT('Feeder Spreads'!P42:P61,'Feeder Spreads'!P43:P62)+SUMSQ('Feeder Spreads'!P43:P62)-('Feeder Spreads'!P42-'Feeder Spreads'!P62)^2/20)/19),"")</f>
        <v>0</v>
      </c>
      <c r="DR42">
        <f>IFERROR('Feeder Spreads'!V42,"")</f>
        <v>0</v>
      </c>
      <c r="DS42">
        <f>IFERROR(('Feeder Spreads'!W42-AVERAGE('Feeder Spreads'!$W$3:$W$4308))/STDEV('Feeder Spreads'!$W$3:$W$4308),"")</f>
        <v>-9.2057461789832332E-2</v>
      </c>
      <c r="DT42">
        <f>IFERROR('Feeder Spreads'!W42-'Feeder Spreads'!W47,"")</f>
        <v>0</v>
      </c>
      <c r="DU42">
        <f>IFERROR('Feeder Spreads'!W42-'Feeder Spreads'!W52,"")</f>
        <v>0</v>
      </c>
      <c r="DV42">
        <f>IFERROR(AVERAGE('Feeder Spreads'!W42:W61)+2*STDEV('Feeder Spreads'!W42:W61),"")</f>
        <v>0</v>
      </c>
      <c r="DW42">
        <f>IFERROR(AVERAGE('Feeder Spreads'!W42:W61)-2*STDEV('Feeder Spreads'!W42:W61),"")</f>
        <v>0</v>
      </c>
      <c r="DX42" t="str">
        <f>IFERROR(('Feeder Spreads'!W42-(AVERAGE('Feeder Spreads'!W42:W61)-2*STDEV('Feeder Spreads'!W42:W61)))/(4*STDEV('Feeder Spreads'!W42:W61)),"")</f>
        <v/>
      </c>
      <c r="DY42" t="str">
        <f>IFERROR(4*STDEV('Feeder Spreads'!W42:W61)/AVERAGE('Feeder Spreads'!W42:W61),"")</f>
        <v/>
      </c>
      <c r="DZ42">
        <v>60.0623</v>
      </c>
      <c r="EA42">
        <f>IFERROR(SQRT((SUMSQ('Feeder Spreads'!W42:W61)-2*SUMPRODUCT('Feeder Spreads'!W42:W61,'Feeder Spreads'!W43:W62)+SUMSQ('Feeder Spreads'!W43:W62)-('Feeder Spreads'!W42-'Feeder Spreads'!W62)^2/20)/19),"")</f>
        <v>0</v>
      </c>
      <c r="EC42">
        <f>IFERROR('Feeder Spreads'!AC42,"")</f>
        <v>0</v>
      </c>
      <c r="ED42">
        <f>IFERROR(('Feeder Spreads'!AD42-AVERAGE('Feeder Spreads'!$AD$3:$AD$4308))/STDEV('Feeder Spreads'!$AD$3:$AD$4308),"")</f>
        <v>9.2057461789832318E-2</v>
      </c>
      <c r="EE42">
        <f>IFERROR('Feeder Spreads'!AD42-'Feeder Spreads'!AD47,"")</f>
        <v>0</v>
      </c>
      <c r="EF42">
        <f>IFERROR('Feeder Spreads'!AD42-'Feeder Spreads'!AD52,"")</f>
        <v>0</v>
      </c>
      <c r="EG42">
        <f>IFERROR(AVERAGE('Feeder Spreads'!AD42:AD61)+2*STDEV('Feeder Spreads'!AD42:AD61),"")</f>
        <v>0</v>
      </c>
      <c r="EH42">
        <f>IFERROR(AVERAGE('Feeder Spreads'!AD42:AD61)-2*STDEV('Feeder Spreads'!AD42:AD61),"")</f>
        <v>0</v>
      </c>
      <c r="EI42" t="str">
        <f>IFERROR(('Feeder Spreads'!AD42-(AVERAGE('Feeder Spreads'!AD42:AD61)-2*STDEV('Feeder Spreads'!AD42:AD61)))/(4*STDEV('Feeder Spreads'!AD42:AD61)),"")</f>
        <v/>
      </c>
      <c r="EJ42" t="str">
        <f>IFERROR(4*STDEV('Feeder Spreads'!AD42:AD61)/AVERAGE('Feeder Spreads'!AD42:AD61),"")</f>
        <v/>
      </c>
      <c r="EK42">
        <v>46.732900000000001</v>
      </c>
      <c r="EL42">
        <f>IFERROR(SQRT((SUMSQ('Feeder Spreads'!AD42:AD61)-2*SUMPRODUCT('Feeder Spreads'!AD42:AD61,'Feeder Spreads'!AD43:AD62)+SUMSQ('Feeder Spreads'!AD43:AD62)-('Feeder Spreads'!AD42-'Feeder Spreads'!AD62)^2/20)/19),"")</f>
        <v>0</v>
      </c>
      <c r="EN42">
        <f>IFERROR('Feeder Spreads'!AJ42,"")</f>
        <v>0</v>
      </c>
      <c r="EO42">
        <f>IFERROR(('Feeder Spreads'!AK42-AVERAGE('Feeder Spreads'!$AK$3:$AK$4308))/STDEV('Feeder Spreads'!$AK$3:$AK$4308),"")</f>
        <v>-9.2057461789832346E-2</v>
      </c>
      <c r="EP42">
        <f>IFERROR('Feeder Spreads'!AK42-'Feeder Spreads'!AK47,"")</f>
        <v>0</v>
      </c>
      <c r="EQ42">
        <f>IFERROR('Feeder Spreads'!AK42-'Feeder Spreads'!AK52,"")</f>
        <v>0</v>
      </c>
      <c r="ER42">
        <f>IFERROR(AVERAGE('Feeder Spreads'!AK42:AK61)+2*STDEV('Feeder Spreads'!AK42:AK61),"")</f>
        <v>0</v>
      </c>
      <c r="ES42">
        <f>IFERROR(AVERAGE('Feeder Spreads'!AK42:AK61)-2*STDEV('Feeder Spreads'!AK42:AK61),"")</f>
        <v>0</v>
      </c>
      <c r="ET42" t="str">
        <f>IFERROR(('Feeder Spreads'!AK42-(AVERAGE('Feeder Spreads'!AK42:AK61)-2*STDEV('Feeder Spreads'!AK42:AK61)))/(4*STDEV('Feeder Spreads'!AK42:AK61)),"")</f>
        <v/>
      </c>
      <c r="EU42" t="str">
        <f>IFERROR(4*STDEV('Feeder Spreads'!AK42:AK61)/AVERAGE('Feeder Spreads'!AK42:AK61),"")</f>
        <v/>
      </c>
      <c r="EV42">
        <v>40.424300000000002</v>
      </c>
      <c r="EW42">
        <f>IFERROR(SQRT((SUMSQ('Feeder Spreads'!AK42:AK61)-2*SUMPRODUCT('Feeder Spreads'!AK42:AK61,'Feeder Spreads'!AK43:AK62)+SUMSQ('Feeder Spreads'!AK43:AK62)-('Feeder Spreads'!AK42-'Feeder Spreads'!AK62)^2/20)/19),"")</f>
        <v>0</v>
      </c>
      <c r="EY42">
        <f>IFERROR('Feeder Spreads'!AQ42,"")</f>
        <v>0</v>
      </c>
      <c r="EZ42">
        <f>IFERROR(('Feeder Spreads'!AR42-AVERAGE('Feeder Spreads'!$AR$3:$AR$4308))/STDEV('Feeder Spreads'!$AR$3:$AR$4308),"")</f>
        <v>-9.2057461789832332E-2</v>
      </c>
      <c r="FA42">
        <f>IFERROR('Feeder Spreads'!AR42-'Feeder Spreads'!AR47,"")</f>
        <v>0</v>
      </c>
      <c r="FB42">
        <f>IFERROR('Feeder Spreads'!AR42-'Feeder Spreads'!AR52,"")</f>
        <v>0</v>
      </c>
      <c r="FC42">
        <f>IFERROR(AVERAGE('Feeder Spreads'!AR42:AR61)+2*STDEV('Feeder Spreads'!AR42:AR61),"")</f>
        <v>0</v>
      </c>
      <c r="FD42">
        <f>IFERROR(AVERAGE('Feeder Spreads'!AR42:AR61)-2*STDEV('Feeder Spreads'!AR42:AR61),"")</f>
        <v>0</v>
      </c>
      <c r="FE42" t="str">
        <f>IFERROR(('Feeder Spreads'!AR42-(AVERAGE('Feeder Spreads'!AR42:AR61)-2*STDEV('Feeder Spreads'!AR42:AR61)))/(4*STDEV('Feeder Spreads'!AR42:AR61)),"")</f>
        <v/>
      </c>
      <c r="FF42" t="str">
        <f>IFERROR(4*STDEV('Feeder Spreads'!AR42:AR61)/AVERAGE('Feeder Spreads'!AR42:AR61),"")</f>
        <v/>
      </c>
      <c r="FG42">
        <v>38.034100000000002</v>
      </c>
      <c r="FH42">
        <f>IFERROR(SQRT((SUMSQ('Feeder Spreads'!AR42:AR61)-2*SUMPRODUCT('Feeder Spreads'!AR42:AR61,'Feeder Spreads'!AR43:AR62)+SUMSQ('Feeder Spreads'!AR43:AR62)-('Feeder Spreads'!AR42-'Feeder Spreads'!AR62)^2/20)/19),"")</f>
        <v>0</v>
      </c>
      <c r="FJ42">
        <f>IFERROR('Fat Spreads'!AX42,"")</f>
        <v>0</v>
      </c>
      <c r="FK42">
        <f>IFERROR(('Fat Spreads'!AY42-AVERAGE('Fat Spreads'!$AY$3:$AY$4308))/STDEV('Fat Spreads'!$AY$3:$AY$4308),"")</f>
        <v>9.2057461789832332E-2</v>
      </c>
      <c r="FL42">
        <f>IFERROR('Fat Spreads'!AY42-'Fat Spreads'!AY47,"")</f>
        <v>0</v>
      </c>
      <c r="FM42">
        <f>IFERROR('Fat Spreads'!AY42-'Fat Spreads'!AY52,"")</f>
        <v>0</v>
      </c>
      <c r="FN42">
        <f>IFERROR(AVERAGE('Fat Spreads'!AY42:AY61)+2*STDEV('Fat Spreads'!AY42:AY61),"")</f>
        <v>0</v>
      </c>
      <c r="FO42">
        <f>IFERROR(AVERAGE('Fat Spreads'!AY42:AY61)-2*STDEV('Fat Spreads'!AY42:AY61),"")</f>
        <v>0</v>
      </c>
      <c r="FP42" t="str">
        <f>IFERROR(('Fat Spreads'!AY42-(AVERAGE('Fat Spreads'!AY42:AY61)-2*STDEV('Fat Spreads'!AY42:AY61)))/(4*STDEV('Fat Spreads'!AY42:AY61)),"")</f>
        <v/>
      </c>
      <c r="FQ42" t="str">
        <f>IFERROR(4*STDEV('Fat Spreads'!AY42:AY61)/AVERAGE('Fat Spreads'!AY42:AY61),"")</f>
        <v/>
      </c>
      <c r="FR42">
        <v>31.207100000000001</v>
      </c>
      <c r="FS42">
        <f>IFERROR(SQRT((SUMSQ('Fat Spreads'!AY42:AY61)-2*SUMPRODUCT('Fat Spreads'!AY42:AY61,'Fat Spreads'!AY43:AY62)+SUMSQ('Fat Spreads'!AY43:AY62)-('Fat Spreads'!AY42-'Fat Spreads'!AY62)^2/20)/19),"")</f>
        <v>0</v>
      </c>
      <c r="FU42">
        <f>IFERROR('Fat Spreads'!BE42,"")</f>
        <v>0</v>
      </c>
      <c r="FV42">
        <f>IFERROR(('Fat Spreads'!BF42-AVERAGE('Fat Spreads'!$BF$3:$BF$4308))/STDEV('Fat Spreads'!$BF$3:$BF$4308),"")</f>
        <v>9.2057461789832332E-2</v>
      </c>
      <c r="FW42">
        <f>IFERROR('Fat Spreads'!BF42-'Fat Spreads'!BF47,"")</f>
        <v>0</v>
      </c>
      <c r="FX42">
        <f>IFERROR('Fat Spreads'!BF42-'Fat Spreads'!BF52,"")</f>
        <v>0</v>
      </c>
      <c r="FY42">
        <f>IFERROR(AVERAGE('Fat Spreads'!BF42:BF61)+2*STDEV('Fat Spreads'!BF42:BF61),"")</f>
        <v>0</v>
      </c>
      <c r="FZ42">
        <f>IFERROR(AVERAGE('Fat Spreads'!BF42:BF61)-2*STDEV('Fat Spreads'!BF42:BF61),"")</f>
        <v>0</v>
      </c>
      <c r="GA42" t="str">
        <f>IFERROR(('Fat Spreads'!BF42-(AVERAGE('Fat Spreads'!BF42:BF61)-2*STDEV('Fat Spreads'!BF42:BF61)))/(4*STDEV('Fat Spreads'!BF42:BF61)),"")</f>
        <v/>
      </c>
      <c r="GB42" t="str">
        <f>IFERROR(4*STDEV('Fat Spreads'!BF42:BF61)/AVERAGE('Fat Spreads'!BF42:BF61),"")</f>
        <v/>
      </c>
      <c r="GC42">
        <v>34.543999999999997</v>
      </c>
      <c r="GD42">
        <f>IFERROR(SQRT((SUMSQ('Fat Spreads'!BF42:BF61)-2*SUMPRODUCT('Fat Spreads'!BF42:BF61,'Fat Spreads'!BF43:BF62)+SUMSQ('Fat Spreads'!BF43:BF62)-('Fat Spreads'!BF42-'Fat Spreads'!BF62)^2/20)/19),"")</f>
        <v>0</v>
      </c>
    </row>
    <row r="43" spans="1:186" x14ac:dyDescent="0.25">
      <c r="A43">
        <f>IFERROR('Fat Spreads'!A43,"")</f>
        <v>0</v>
      </c>
      <c r="B43">
        <f>IFERROR(('Fat Spreads'!B43-AVERAGE('Fat Spreads'!$B$3:$B$4308))/STDEV('Fat Spreads'!$B$3:$B$4308),"")</f>
        <v>9.2057461789832346E-2</v>
      </c>
      <c r="C43">
        <f>IFERROR('Fat Spreads'!B43-'Fat Spreads'!B48,"")</f>
        <v>0</v>
      </c>
      <c r="D43">
        <f>IFERROR('Fat Spreads'!B43-'Fat Spreads'!B53,"")</f>
        <v>0</v>
      </c>
      <c r="E43">
        <f>IFERROR(AVERAGE('Fat Spreads'!B43:B62)+2*STDEV('Fat Spreads'!B43:B62),"")</f>
        <v>0</v>
      </c>
      <c r="F43">
        <f>IFERROR(AVERAGE('Fat Spreads'!B43:B62)-2*STDEV('Fat Spreads'!B43:B62),"")</f>
        <v>0</v>
      </c>
      <c r="G43" t="str">
        <f>IFERROR(('Fat Spreads'!B43-(AVERAGE('Fat Spreads'!B43:B62)-2*STDEV('Fat Spreads'!B43:B62)))/(4*STDEV('Fat Spreads'!B43:B62)),"")</f>
        <v/>
      </c>
      <c r="H43" t="str">
        <f>IFERROR(4*STDEV('Fat Spreads'!B43:B62)/AVERAGE('Fat Spreads'!B43:B62),"")</f>
        <v/>
      </c>
      <c r="I43">
        <v>34.030900000000003</v>
      </c>
      <c r="J43">
        <f>IFERROR(SQRT((SUMSQ('Fat Spreads'!B43:B62)-2*SUMPRODUCT('Fat Spreads'!B43:B62,'Fat Spreads'!B44:B63)+SUMSQ('Fat Spreads'!B44:B63)-('Fat Spreads'!B43-'Fat Spreads'!B63)^2/20)/19),"")</f>
        <v>0</v>
      </c>
      <c r="L43">
        <f>IFERROR('Fat Spreads'!H43,"")</f>
        <v>0</v>
      </c>
      <c r="M43">
        <f>IFERROR(('Fat Spreads'!I43-AVERAGE('Fat Spreads'!$I$3:$I$4308))/STDEV('Fat Spreads'!$I$3:$I$4308),"")</f>
        <v>-9.2057461789832332E-2</v>
      </c>
      <c r="N43">
        <f>IFERROR('Fat Spreads'!I43-'Fat Spreads'!I48,"")</f>
        <v>0</v>
      </c>
      <c r="O43">
        <f>IFERROR('Fat Spreads'!I43-'Fat Spreads'!I53,"")</f>
        <v>0</v>
      </c>
      <c r="P43">
        <f>IFERROR(AVERAGE('Fat Spreads'!I43:I62)+2*STDEV('Fat Spreads'!I43:I62),"")</f>
        <v>0</v>
      </c>
      <c r="Q43">
        <f>IFERROR(AVERAGE('Fat Spreads'!I43:I62)-2*STDEV('Fat Spreads'!I43:I62),"")</f>
        <v>0</v>
      </c>
      <c r="R43" t="str">
        <f>IFERROR(('Fat Spreads'!I43-(AVERAGE('Fat Spreads'!I43:I62)-2*STDEV('Fat Spreads'!I43:I62)))/(4*STDEV('Fat Spreads'!I43:I62)),"")</f>
        <v/>
      </c>
      <c r="S43" t="str">
        <f>IFERROR(4*STDEV('Fat Spreads'!I43:I62)/AVERAGE('Fat Spreads'!I43:I62),"")</f>
        <v/>
      </c>
      <c r="T43">
        <v>45.320399999999999</v>
      </c>
      <c r="U43">
        <f>IFERROR(SQRT((SUMSQ('Fat Spreads'!I43:I62)-2*SUMPRODUCT('Fat Spreads'!I43:I62,'Fat Spreads'!I44:I63)+SUMSQ('Fat Spreads'!I44:I63)-('Fat Spreads'!I43-'Fat Spreads'!I63)^2/20)/19),"")</f>
        <v>0</v>
      </c>
      <c r="W43">
        <f>IFERROR('Fat Spreads'!AQ43,"")</f>
        <v>0</v>
      </c>
      <c r="X43">
        <f>IFERROR(('Fat Spreads'!AR43-AVERAGE('Fat Spreads'!$AR$3:$AR$4308))/STDEV('Fat Spreads'!$AR$3:$AR$4308),"")</f>
        <v>-9.2057461789832346E-2</v>
      </c>
      <c r="Y43">
        <f>IFERROR('Fat Spreads'!AR43-'Fat Spreads'!AR48,"")</f>
        <v>0</v>
      </c>
      <c r="Z43">
        <f>IFERROR('Fat Spreads'!AR43-'Fat Spreads'!AR53,"")</f>
        <v>0</v>
      </c>
      <c r="AA43">
        <f>IFERROR(AVERAGE('Fat Spreads'!AR43:AR62)+2*STDEV('Fat Spreads'!AR43:AR62),"")</f>
        <v>0</v>
      </c>
      <c r="AB43">
        <f>IFERROR(AVERAGE('Fat Spreads'!AR43:AR62)-2*STDEV('Fat Spreads'!AR43:AR62),"")</f>
        <v>0</v>
      </c>
      <c r="AC43" t="str">
        <f>IFERROR(('Fat Spreads'!AR43-(AVERAGE('Fat Spreads'!AR43:AR62)-2*STDEV('Fat Spreads'!AR43:AR62)))/(4*STDEV('Fat Spreads'!AR43:AR62)),"")</f>
        <v/>
      </c>
      <c r="AD43" t="str">
        <f>IFERROR(4*STDEV('Fat Spreads'!AR43:AR62)/AVERAGE('Fat Spreads'!AR43:AR62),"")</f>
        <v/>
      </c>
      <c r="AE43">
        <v>62.014400000000002</v>
      </c>
      <c r="AF43">
        <f>IFERROR(SQRT((SUMSQ('Fat Spreads'!AR43:AR62)-2*SUMPRODUCT('Fat Spreads'!AR43:AR62,'Fat Spreads'!AR44:AR63)+SUMSQ('Fat Spreads'!AR44:AR63)-('Fat Spreads'!AR43-'Fat Spreads'!AR63)^2/20)/19),"")</f>
        <v>0</v>
      </c>
      <c r="AH43">
        <f>IFERROR('Fat Spreads'!O43,"")</f>
        <v>0</v>
      </c>
      <c r="AI43">
        <f>IFERROR(('Fat Spreads'!P43-AVERAGE('Fat Spreads'!$P$3:$P$4308))/STDEV('Fat Spreads'!$P$3:$P$4308),"")</f>
        <v>-9.2057461789832332E-2</v>
      </c>
      <c r="AJ43">
        <f>IFERROR('Fat Spreads'!P43-'Fat Spreads'!P48,"")</f>
        <v>0</v>
      </c>
      <c r="AK43">
        <f>IFERROR('Fat Spreads'!P43-'Fat Spreads'!P53,"")</f>
        <v>0</v>
      </c>
      <c r="AL43">
        <f>IFERROR(AVERAGE('Fat Spreads'!P43:P62)+2*STDEV('Fat Spreads'!P43:P62),"")</f>
        <v>0</v>
      </c>
      <c r="AM43">
        <f>IFERROR(AVERAGE('Fat Spreads'!P43:P62)-2*STDEV('Fat Spreads'!P43:P62),"")</f>
        <v>0</v>
      </c>
      <c r="AN43" t="str">
        <f>IFERROR(('Fat Spreads'!P43-(AVERAGE('Fat Spreads'!P43:P62)-2*STDEV('Fat Spreads'!P43:P62)))/(4*STDEV('Fat Spreads'!P43:P62)),"")</f>
        <v/>
      </c>
      <c r="AO43" t="str">
        <f>IFERROR(4*STDEV('Fat Spreads'!P43:P62)/AVERAGE('Fat Spreads'!P43:P62),"")</f>
        <v/>
      </c>
      <c r="AP43">
        <v>62.545200000000001</v>
      </c>
      <c r="AQ43">
        <f>IFERROR(SQRT((SUMSQ('Fat Spreads'!P43:P62)-2*SUMPRODUCT('Fat Spreads'!P43:P62,'Fat Spreads'!P44:P63)+SUMSQ('Fat Spreads'!P44:P63)-('Fat Spreads'!P43-'Fat Spreads'!P63)^2/20)/19),"")</f>
        <v>0</v>
      </c>
      <c r="AS43">
        <f>IFERROR('Fat Spreads'!AJ43,"")</f>
        <v>0</v>
      </c>
      <c r="AT43">
        <f>IFERROR(('Fat Spreads'!AK43-AVERAGE('Fat Spreads'!$AK$3:$AK$4308))/STDEV('Fat Spreads'!$AK$3:$AK$4308),"")</f>
        <v>-9.2057461789832332E-2</v>
      </c>
      <c r="AU43">
        <f>IFERROR('Fat Spreads'!AK43-'Fat Spreads'!AK48,"")</f>
        <v>0</v>
      </c>
      <c r="AV43">
        <f>IFERROR('Fat Spreads'!AK43-'Fat Spreads'!AK53,"")</f>
        <v>0</v>
      </c>
      <c r="AW43">
        <f>IFERROR(AVERAGE('Fat Spreads'!AK43:AK62)+2*STDEV('Fat Spreads'!AK43:AK62),"")</f>
        <v>0</v>
      </c>
      <c r="AX43">
        <f>IFERROR(AVERAGE('Fat Spreads'!AK43:AK62)-2*STDEV('Fat Spreads'!AK43:AK62),"")</f>
        <v>0</v>
      </c>
      <c r="AY43" t="str">
        <f>IFERROR(('Fat Spreads'!AK43-(AVERAGE('Fat Spreads'!AK43:AK62)-2*STDEV('Fat Spreads'!AK43:AK62)))/(4*STDEV('Fat Spreads'!AK43:AK62)),"")</f>
        <v/>
      </c>
      <c r="AZ43" t="str">
        <f>IFERROR(4*STDEV('Fat Spreads'!AK43:AK62)/AVERAGE('Fat Spreads'!AK43:AK62),"")</f>
        <v/>
      </c>
      <c r="BA43">
        <v>34.621200000000002</v>
      </c>
      <c r="BB43">
        <f>IFERROR(SQRT((SUMSQ('Fat Spreads'!AK43:AK62)-2*SUMPRODUCT('Fat Spreads'!AK43:AK62,'Fat Spreads'!AK44:AK63)+SUMSQ('Fat Spreads'!AK44:AK63)-('Fat Spreads'!AK43-'Fat Spreads'!AK63)^2/20)/19),"")</f>
        <v>0</v>
      </c>
      <c r="BD43">
        <f>IFERROR('Fat Spreads'!V43,"")</f>
        <v>0</v>
      </c>
      <c r="BE43">
        <f>IFERROR(('Fat Spreads'!W43-AVERAGE('Fat Spreads'!$W$3:$W$4308))/STDEV('Fat Spreads'!$W$3:$W$4308),"")</f>
        <v>-9.2057461789832332E-2</v>
      </c>
      <c r="BF43">
        <f>IFERROR('Fat Spreads'!W43-'Fat Spreads'!W48,"")</f>
        <v>0</v>
      </c>
      <c r="BG43">
        <f>IFERROR('Fat Spreads'!W43-'Fat Spreads'!W53,"")</f>
        <v>0</v>
      </c>
      <c r="BH43">
        <f>IFERROR(AVERAGE('Fat Spreads'!W43:W62)+2*STDEV('Fat Spreads'!W43:W62),"")</f>
        <v>0</v>
      </c>
      <c r="BI43">
        <f>IFERROR(AVERAGE('Fat Spreads'!W43:W62)-2*STDEV('Fat Spreads'!W43:W62),"")</f>
        <v>0</v>
      </c>
      <c r="BJ43" t="str">
        <f>IFERROR(('Fat Spreads'!W43-(AVERAGE('Fat Spreads'!W43:W62)-2*STDEV('Fat Spreads'!W43:W62)))/(4*STDEV('Fat Spreads'!W43:W62)),"")</f>
        <v/>
      </c>
      <c r="BK43" t="str">
        <f>IFERROR(4*STDEV('Fat Spreads'!W43:W62)/AVERAGE('Fat Spreads'!W43:W62),"")</f>
        <v/>
      </c>
      <c r="BL43">
        <v>58.496000000000002</v>
      </c>
      <c r="BM43">
        <f>IFERROR(SQRT((SUMSQ('Fat Spreads'!W43:W62)-2*SUMPRODUCT('Fat Spreads'!W43:W62,'Fat Spreads'!W44:W63)+SUMSQ('Fat Spreads'!W44:W63)-('Fat Spreads'!W43-'Fat Spreads'!W63)^2/20)/19),"")</f>
        <v>0</v>
      </c>
      <c r="BO43">
        <f>IFERROR('Fat Spreads'!AC43,"")</f>
        <v>0</v>
      </c>
      <c r="BP43">
        <f>IFERROR(('Fat Spreads'!AD43-AVERAGE('Fat Spreads'!$AD$3:$AD$4308))/STDEV('Fat Spreads'!$AD$3:$AD$4308),"")</f>
        <v>-9.2057461789832332E-2</v>
      </c>
      <c r="BQ43">
        <f>IFERROR('Fat Spreads'!AD43-'Fat Spreads'!AD48,"")</f>
        <v>0</v>
      </c>
      <c r="BR43">
        <f>IFERROR('Fat Spreads'!AD43-'Fat Spreads'!AD53,"")</f>
        <v>0</v>
      </c>
      <c r="BS43">
        <f>IFERROR(AVERAGE('Fat Spreads'!AD43:AD62)+2*STDEV('Fat Spreads'!AD43:AD62),"")</f>
        <v>0</v>
      </c>
      <c r="BT43">
        <f>IFERROR(AVERAGE('Fat Spreads'!AD43:AD62)-2*STDEV('Fat Spreads'!AD43:AD62),"")</f>
        <v>0</v>
      </c>
      <c r="BU43" t="str">
        <f>IFERROR(('Fat Spreads'!AD43-(AVERAGE('Fat Spreads'!AD43:AD62)-2*STDEV('Fat Spreads'!AD43:AD62)))/(4*STDEV('Fat Spreads'!AD43:AD62)),"")</f>
        <v/>
      </c>
      <c r="BV43" t="str">
        <f>IFERROR(4*STDEV('Fat Spreads'!AD43:AD62)/AVERAGE('Fat Spreads'!AD43:AD62),"")</f>
        <v/>
      </c>
      <c r="BW43">
        <v>66.503</v>
      </c>
      <c r="BX43">
        <f>IFERROR(SQRT((SUMSQ('Fat Spreads'!AD43:AD62)-2*SUMPRODUCT('Fat Spreads'!AD43:AD62,'Fat Spreads'!AD44:AD63)+SUMSQ('Fat Spreads'!AD44:AD63)-('Fat Spreads'!AD43-'Fat Spreads'!AD63)^2/20)/19),"")</f>
        <v>0</v>
      </c>
      <c r="BZ43">
        <f>IFERROR('Feeder Spreads'!A43,"")</f>
        <v>0</v>
      </c>
      <c r="CA43">
        <f>IFERROR(('Feeder Spreads'!B43-AVERAGE('Feeder Spreads'!$B$3:$B$4308))/STDEV('Feeder Spreads'!$B$3:$B$4308),"")</f>
        <v>-9.2057461789832346E-2</v>
      </c>
      <c r="CB43">
        <f>IFERROR('Feeder Spreads'!B43-'Feeder Spreads'!B48,"")</f>
        <v>0</v>
      </c>
      <c r="CC43">
        <f>IFERROR('Feeder Spreads'!B43-'Feeder Spreads'!B53,"")</f>
        <v>0</v>
      </c>
      <c r="CD43">
        <f>IFERROR(AVERAGE('Feeder Spreads'!B43:B62)+2*STDEV('Feeder Spreads'!B43:B62),"")</f>
        <v>0</v>
      </c>
      <c r="CE43">
        <f>IFERROR(AVERAGE('Feeder Spreads'!B43:B62)-2*STDEV('Feeder Spreads'!B43:B62),"")</f>
        <v>0</v>
      </c>
      <c r="CF43" t="str">
        <f>IFERROR(('Feeder Spreads'!B43-(AVERAGE('Feeder Spreads'!B43:B62)-2*STDEV('Feeder Spreads'!B43:B62)))/(4*STDEV('Feeder Spreads'!B43:B62)),"")</f>
        <v/>
      </c>
      <c r="CG43" t="str">
        <f>IFERROR(4*STDEV('Feeder Spreads'!B43:B62)/AVERAGE('Feeder Spreads'!B43:B62),"")</f>
        <v/>
      </c>
      <c r="CH43">
        <v>43.643500000000003</v>
      </c>
      <c r="CI43">
        <f>IFERROR(SQRT((SUMSQ('Feeder Spreads'!B43:B62)-2*SUMPRODUCT('Feeder Spreads'!B43:B62,'Feeder Spreads'!B44:B63)+SUMSQ('Feeder Spreads'!B44:B63)-('Feeder Spreads'!B43-'Feeder Spreads'!B63)^2/20)/19),"")</f>
        <v>0</v>
      </c>
      <c r="CK43">
        <f>IFERROR('Feeder Spreads'!AX43,"")</f>
        <v>0</v>
      </c>
      <c r="CL43">
        <f>IFERROR(('Feeder Spreads'!AY43-AVERAGE('Feeder Spreads'!$AY$3:$AY$4308))/STDEV('Feeder Spreads'!$AY$3:$AY$4308),"")</f>
        <v>-9.2057461789832346E-2</v>
      </c>
      <c r="CM43">
        <f>IFERROR('Feeder Spreads'!AY43-'Feeder Spreads'!AY48,"")</f>
        <v>0</v>
      </c>
      <c r="CN43">
        <f>IFERROR('Feeder Spreads'!AY43-'Feeder Spreads'!AY53,"")</f>
        <v>0</v>
      </c>
      <c r="CO43">
        <f>IFERROR(AVERAGE('Feeder Spreads'!AY43:AY62)+2*STDEV('Feeder Spreads'!AY43:AY62),"")</f>
        <v>0</v>
      </c>
      <c r="CP43">
        <f>IFERROR(AVERAGE('Feeder Spreads'!AY43:AY62)-2*STDEV('Feeder Spreads'!AY43:AY62),"")</f>
        <v>0</v>
      </c>
      <c r="CQ43" t="str">
        <f>IFERROR(('Feeder Spreads'!AY43-(AVERAGE('Feeder Spreads'!AY43:AY62)-2*STDEV('Feeder Spreads'!AY43:AY62)))/(4*STDEV('Feeder Spreads'!AY43:AY62)),"")</f>
        <v/>
      </c>
      <c r="CR43" t="str">
        <f>IFERROR(4*STDEV('Feeder Spreads'!AY43:AY62)/AVERAGE('Feeder Spreads'!AY43:AY62),"")</f>
        <v/>
      </c>
      <c r="CS43">
        <v>70.827100000000002</v>
      </c>
      <c r="CT43">
        <f>IFERROR(SQRT((SUMSQ('Feeder Spreads'!AY43:AY62)-2*SUMPRODUCT('Feeder Spreads'!AY43:AY62,'Feeder Spreads'!AY44:AY63)+SUMSQ('Feeder Spreads'!AY44:AY63)-('Feeder Spreads'!AY43-'Feeder Spreads'!AY63)^2/20)/19),"")</f>
        <v>0</v>
      </c>
      <c r="CV43">
        <f>IFERROR('Feeder Spreads'!H43,"")</f>
        <v>0</v>
      </c>
      <c r="CW43">
        <f>IFERROR(('Feeder Spreads'!I43-AVERAGE('Feeder Spreads'!$I$3:$I$4308))/STDEV('Feeder Spreads'!$I$3:$I$4308),"")</f>
        <v>-9.2057461789832332E-2</v>
      </c>
      <c r="CX43">
        <f>IFERROR('Feeder Spreads'!I43-'Feeder Spreads'!I48,"")</f>
        <v>0</v>
      </c>
      <c r="CY43">
        <f>IFERROR('Feeder Spreads'!I43-'Feeder Spreads'!I53,"")</f>
        <v>0</v>
      </c>
      <c r="CZ43">
        <f>IFERROR(AVERAGE('Feeder Spreads'!I43:I62)+2*STDEV('Feeder Spreads'!I43:I62),"")</f>
        <v>0</v>
      </c>
      <c r="DA43">
        <f>IFERROR(AVERAGE('Feeder Spreads'!I43:I62)-2*STDEV('Feeder Spreads'!I43:I62),"")</f>
        <v>0</v>
      </c>
      <c r="DB43" t="str">
        <f>IFERROR(('Feeder Spreads'!I43-(AVERAGE('Feeder Spreads'!I43:I62)-2*STDEV('Feeder Spreads'!I43:I62)))/(4*STDEV('Feeder Spreads'!I43:I62)),"")</f>
        <v/>
      </c>
      <c r="DC43" t="str">
        <f>IFERROR(4*STDEV('Feeder Spreads'!I43:I62)/AVERAGE('Feeder Spreads'!I43:I62),"")</f>
        <v/>
      </c>
      <c r="DD43">
        <v>46.830800000000004</v>
      </c>
      <c r="DE43">
        <f>IFERROR(SQRT((SUMSQ('Feeder Spreads'!I43:I62)-2*SUMPRODUCT('Feeder Spreads'!I43:I62,'Feeder Spreads'!I44:I63)+SUMSQ('Feeder Spreads'!I44:I63)-('Feeder Spreads'!I43-'Feeder Spreads'!I63)^2/20)/19),"")</f>
        <v>0</v>
      </c>
      <c r="DG43">
        <f>IFERROR('Feeder Spreads'!O43,"")</f>
        <v>0</v>
      </c>
      <c r="DH43">
        <f>IFERROR(('Feeder Spreads'!P43-AVERAGE('Feeder Spreads'!$P$3:$P$4308))/STDEV('Feeder Spreads'!$P$3:$P$4308),"")</f>
        <v>-9.2057461789832346E-2</v>
      </c>
      <c r="DI43">
        <f>IFERROR('Feeder Spreads'!P43-'Feeder Spreads'!P48,"")</f>
        <v>0</v>
      </c>
      <c r="DJ43">
        <f>IFERROR('Feeder Spreads'!P43-'Feeder Spreads'!P53,"")</f>
        <v>0</v>
      </c>
      <c r="DK43">
        <f>IFERROR(AVERAGE('Feeder Spreads'!P43:P62)+2*STDEV('Feeder Spreads'!P43:P62),"")</f>
        <v>0</v>
      </c>
      <c r="DL43">
        <f>IFERROR(AVERAGE('Feeder Spreads'!P43:P62)-2*STDEV('Feeder Spreads'!P43:P62),"")</f>
        <v>0</v>
      </c>
      <c r="DM43" t="str">
        <f>IFERROR(('Feeder Spreads'!P43-(AVERAGE('Feeder Spreads'!P43:P62)-2*STDEV('Feeder Spreads'!P43:P62)))/(4*STDEV('Feeder Spreads'!P43:P62)),"")</f>
        <v/>
      </c>
      <c r="DN43" t="str">
        <f>IFERROR(4*STDEV('Feeder Spreads'!P43:P62)/AVERAGE('Feeder Spreads'!P43:P62),"")</f>
        <v/>
      </c>
      <c r="DO43">
        <v>42.926400000000001</v>
      </c>
      <c r="DP43">
        <f>IFERROR(SQRT((SUMSQ('Feeder Spreads'!P43:P62)-2*SUMPRODUCT('Feeder Spreads'!P43:P62,'Feeder Spreads'!P44:P63)+SUMSQ('Feeder Spreads'!P44:P63)-('Feeder Spreads'!P43-'Feeder Spreads'!P63)^2/20)/19),"")</f>
        <v>0</v>
      </c>
      <c r="DR43">
        <f>IFERROR('Feeder Spreads'!V43,"")</f>
        <v>0</v>
      </c>
      <c r="DS43">
        <f>IFERROR(('Feeder Spreads'!W43-AVERAGE('Feeder Spreads'!$W$3:$W$4308))/STDEV('Feeder Spreads'!$W$3:$W$4308),"")</f>
        <v>-9.2057461789832332E-2</v>
      </c>
      <c r="DT43">
        <f>IFERROR('Feeder Spreads'!W43-'Feeder Spreads'!W48,"")</f>
        <v>0</v>
      </c>
      <c r="DU43">
        <f>IFERROR('Feeder Spreads'!W43-'Feeder Spreads'!W53,"")</f>
        <v>0</v>
      </c>
      <c r="DV43">
        <f>IFERROR(AVERAGE('Feeder Spreads'!W43:W62)+2*STDEV('Feeder Spreads'!W43:W62),"")</f>
        <v>0</v>
      </c>
      <c r="DW43">
        <f>IFERROR(AVERAGE('Feeder Spreads'!W43:W62)-2*STDEV('Feeder Spreads'!W43:W62),"")</f>
        <v>0</v>
      </c>
      <c r="DX43" t="str">
        <f>IFERROR(('Feeder Spreads'!W43-(AVERAGE('Feeder Spreads'!W43:W62)-2*STDEV('Feeder Spreads'!W43:W62)))/(4*STDEV('Feeder Spreads'!W43:W62)),"")</f>
        <v/>
      </c>
      <c r="DY43" t="str">
        <f>IFERROR(4*STDEV('Feeder Spreads'!W43:W62)/AVERAGE('Feeder Spreads'!W43:W62),"")</f>
        <v/>
      </c>
      <c r="DZ43">
        <v>59.341999999999999</v>
      </c>
      <c r="EA43">
        <f>IFERROR(SQRT((SUMSQ('Feeder Spreads'!W43:W62)-2*SUMPRODUCT('Feeder Spreads'!W43:W62,'Feeder Spreads'!W44:W63)+SUMSQ('Feeder Spreads'!W44:W63)-('Feeder Spreads'!W43-'Feeder Spreads'!W63)^2/20)/19),"")</f>
        <v>0</v>
      </c>
      <c r="EC43">
        <f>IFERROR('Feeder Spreads'!AC43,"")</f>
        <v>0</v>
      </c>
      <c r="ED43">
        <f>IFERROR(('Feeder Spreads'!AD43-AVERAGE('Feeder Spreads'!$AD$3:$AD$4308))/STDEV('Feeder Spreads'!$AD$3:$AD$4308),"")</f>
        <v>9.2057461789832318E-2</v>
      </c>
      <c r="EE43">
        <f>IFERROR('Feeder Spreads'!AD43-'Feeder Spreads'!AD48,"")</f>
        <v>0</v>
      </c>
      <c r="EF43">
        <f>IFERROR('Feeder Spreads'!AD43-'Feeder Spreads'!AD53,"")</f>
        <v>0</v>
      </c>
      <c r="EG43">
        <f>IFERROR(AVERAGE('Feeder Spreads'!AD43:AD62)+2*STDEV('Feeder Spreads'!AD43:AD62),"")</f>
        <v>0</v>
      </c>
      <c r="EH43">
        <f>IFERROR(AVERAGE('Feeder Spreads'!AD43:AD62)-2*STDEV('Feeder Spreads'!AD43:AD62),"")</f>
        <v>0</v>
      </c>
      <c r="EI43" t="str">
        <f>IFERROR(('Feeder Spreads'!AD43-(AVERAGE('Feeder Spreads'!AD43:AD62)-2*STDEV('Feeder Spreads'!AD43:AD62)))/(4*STDEV('Feeder Spreads'!AD43:AD62)),"")</f>
        <v/>
      </c>
      <c r="EJ43" t="str">
        <f>IFERROR(4*STDEV('Feeder Spreads'!AD43:AD62)/AVERAGE('Feeder Spreads'!AD43:AD62),"")</f>
        <v/>
      </c>
      <c r="EK43">
        <v>53.6357</v>
      </c>
      <c r="EL43">
        <f>IFERROR(SQRT((SUMSQ('Feeder Spreads'!AD43:AD62)-2*SUMPRODUCT('Feeder Spreads'!AD43:AD62,'Feeder Spreads'!AD44:AD63)+SUMSQ('Feeder Spreads'!AD44:AD63)-('Feeder Spreads'!AD43-'Feeder Spreads'!AD63)^2/20)/19),"")</f>
        <v>0</v>
      </c>
      <c r="EN43">
        <f>IFERROR('Feeder Spreads'!AJ43,"")</f>
        <v>0</v>
      </c>
      <c r="EO43">
        <f>IFERROR(('Feeder Spreads'!AK43-AVERAGE('Feeder Spreads'!$AK$3:$AK$4308))/STDEV('Feeder Spreads'!$AK$3:$AK$4308),"")</f>
        <v>-9.2057461789832346E-2</v>
      </c>
      <c r="EP43">
        <f>IFERROR('Feeder Spreads'!AK43-'Feeder Spreads'!AK48,"")</f>
        <v>0</v>
      </c>
      <c r="EQ43">
        <f>IFERROR('Feeder Spreads'!AK43-'Feeder Spreads'!AK53,"")</f>
        <v>0</v>
      </c>
      <c r="ER43">
        <f>IFERROR(AVERAGE('Feeder Spreads'!AK43:AK62)+2*STDEV('Feeder Spreads'!AK43:AK62),"")</f>
        <v>0</v>
      </c>
      <c r="ES43">
        <f>IFERROR(AVERAGE('Feeder Spreads'!AK43:AK62)-2*STDEV('Feeder Spreads'!AK43:AK62),"")</f>
        <v>0</v>
      </c>
      <c r="ET43" t="str">
        <f>IFERROR(('Feeder Spreads'!AK43-(AVERAGE('Feeder Spreads'!AK43:AK62)-2*STDEV('Feeder Spreads'!AK43:AK62)))/(4*STDEV('Feeder Spreads'!AK43:AK62)),"")</f>
        <v/>
      </c>
      <c r="EU43" t="str">
        <f>IFERROR(4*STDEV('Feeder Spreads'!AK43:AK62)/AVERAGE('Feeder Spreads'!AK43:AK62),"")</f>
        <v/>
      </c>
      <c r="EV43">
        <v>40.424300000000002</v>
      </c>
      <c r="EW43">
        <f>IFERROR(SQRT((SUMSQ('Feeder Spreads'!AK43:AK62)-2*SUMPRODUCT('Feeder Spreads'!AK43:AK62,'Feeder Spreads'!AK44:AK63)+SUMSQ('Feeder Spreads'!AK44:AK63)-('Feeder Spreads'!AK43-'Feeder Spreads'!AK63)^2/20)/19),"")</f>
        <v>0</v>
      </c>
      <c r="EY43">
        <f>IFERROR('Feeder Spreads'!AQ43,"")</f>
        <v>0</v>
      </c>
      <c r="EZ43">
        <f>IFERROR(('Feeder Spreads'!AR43-AVERAGE('Feeder Spreads'!$AR$3:$AR$4308))/STDEV('Feeder Spreads'!$AR$3:$AR$4308),"")</f>
        <v>-9.2057461789832332E-2</v>
      </c>
      <c r="FA43">
        <f>IFERROR('Feeder Spreads'!AR43-'Feeder Spreads'!AR48,"")</f>
        <v>0</v>
      </c>
      <c r="FB43">
        <f>IFERROR('Feeder Spreads'!AR43-'Feeder Spreads'!AR53,"")</f>
        <v>0</v>
      </c>
      <c r="FC43">
        <f>IFERROR(AVERAGE('Feeder Spreads'!AR43:AR62)+2*STDEV('Feeder Spreads'!AR43:AR62),"")</f>
        <v>0</v>
      </c>
      <c r="FD43">
        <f>IFERROR(AVERAGE('Feeder Spreads'!AR43:AR62)-2*STDEV('Feeder Spreads'!AR43:AR62),"")</f>
        <v>0</v>
      </c>
      <c r="FE43" t="str">
        <f>IFERROR(('Feeder Spreads'!AR43-(AVERAGE('Feeder Spreads'!AR43:AR62)-2*STDEV('Feeder Spreads'!AR43:AR62)))/(4*STDEV('Feeder Spreads'!AR43:AR62)),"")</f>
        <v/>
      </c>
      <c r="FF43" t="str">
        <f>IFERROR(4*STDEV('Feeder Spreads'!AR43:AR62)/AVERAGE('Feeder Spreads'!AR43:AR62),"")</f>
        <v/>
      </c>
      <c r="FG43">
        <v>39.970799999999997</v>
      </c>
      <c r="FH43">
        <f>IFERROR(SQRT((SUMSQ('Feeder Spreads'!AR43:AR62)-2*SUMPRODUCT('Feeder Spreads'!AR43:AR62,'Feeder Spreads'!AR44:AR63)+SUMSQ('Feeder Spreads'!AR44:AR63)-('Feeder Spreads'!AR43-'Feeder Spreads'!AR63)^2/20)/19),"")</f>
        <v>0</v>
      </c>
      <c r="FJ43">
        <f>IFERROR('Fat Spreads'!AX43,"")</f>
        <v>0</v>
      </c>
      <c r="FK43">
        <f>IFERROR(('Fat Spreads'!AY43-AVERAGE('Fat Spreads'!$AY$3:$AY$4308))/STDEV('Fat Spreads'!$AY$3:$AY$4308),"")</f>
        <v>9.2057461789832332E-2</v>
      </c>
      <c r="FL43">
        <f>IFERROR('Fat Spreads'!AY43-'Fat Spreads'!AY48,"")</f>
        <v>0</v>
      </c>
      <c r="FM43">
        <f>IFERROR('Fat Spreads'!AY43-'Fat Spreads'!AY53,"")</f>
        <v>0</v>
      </c>
      <c r="FN43">
        <f>IFERROR(AVERAGE('Fat Spreads'!AY43:AY62)+2*STDEV('Fat Spreads'!AY43:AY62),"")</f>
        <v>0</v>
      </c>
      <c r="FO43">
        <f>IFERROR(AVERAGE('Fat Spreads'!AY43:AY62)-2*STDEV('Fat Spreads'!AY43:AY62),"")</f>
        <v>0</v>
      </c>
      <c r="FP43" t="str">
        <f>IFERROR(('Fat Spreads'!AY43-(AVERAGE('Fat Spreads'!AY43:AY62)-2*STDEV('Fat Spreads'!AY43:AY62)))/(4*STDEV('Fat Spreads'!AY43:AY62)),"")</f>
        <v/>
      </c>
      <c r="FQ43" t="str">
        <f>IFERROR(4*STDEV('Fat Spreads'!AY43:AY62)/AVERAGE('Fat Spreads'!AY43:AY62),"")</f>
        <v/>
      </c>
      <c r="FR43">
        <v>31.459499999999998</v>
      </c>
      <c r="FS43">
        <f>IFERROR(SQRT((SUMSQ('Fat Spreads'!AY43:AY62)-2*SUMPRODUCT('Fat Spreads'!AY43:AY62,'Fat Spreads'!AY44:AY63)+SUMSQ('Fat Spreads'!AY44:AY63)-('Fat Spreads'!AY43-'Fat Spreads'!AY63)^2/20)/19),"")</f>
        <v>0</v>
      </c>
      <c r="FU43">
        <f>IFERROR('Fat Spreads'!BE43,"")</f>
        <v>0</v>
      </c>
      <c r="FV43">
        <f>IFERROR(('Fat Spreads'!BF43-AVERAGE('Fat Spreads'!$BF$3:$BF$4308))/STDEV('Fat Spreads'!$BF$3:$BF$4308),"")</f>
        <v>9.2057461789832332E-2</v>
      </c>
      <c r="FW43">
        <f>IFERROR('Fat Spreads'!BF43-'Fat Spreads'!BF48,"")</f>
        <v>0</v>
      </c>
      <c r="FX43">
        <f>IFERROR('Fat Spreads'!BF43-'Fat Spreads'!BF53,"")</f>
        <v>0</v>
      </c>
      <c r="FY43">
        <f>IFERROR(AVERAGE('Fat Spreads'!BF43:BF62)+2*STDEV('Fat Spreads'!BF43:BF62),"")</f>
        <v>0</v>
      </c>
      <c r="FZ43">
        <f>IFERROR(AVERAGE('Fat Spreads'!BF43:BF62)-2*STDEV('Fat Spreads'!BF43:BF62),"")</f>
        <v>0</v>
      </c>
      <c r="GA43" t="str">
        <f>IFERROR(('Fat Spreads'!BF43-(AVERAGE('Fat Spreads'!BF43:BF62)-2*STDEV('Fat Spreads'!BF43:BF62)))/(4*STDEV('Fat Spreads'!BF43:BF62)),"")</f>
        <v/>
      </c>
      <c r="GB43" t="str">
        <f>IFERROR(4*STDEV('Fat Spreads'!BF43:BF62)/AVERAGE('Fat Spreads'!BF43:BF62),"")</f>
        <v/>
      </c>
      <c r="GC43">
        <v>37.884500000000003</v>
      </c>
      <c r="GD43">
        <f>IFERROR(SQRT((SUMSQ('Fat Spreads'!BF43:BF62)-2*SUMPRODUCT('Fat Spreads'!BF43:BF62,'Fat Spreads'!BF44:BF63)+SUMSQ('Fat Spreads'!BF44:BF63)-('Fat Spreads'!BF43-'Fat Spreads'!BF63)^2/20)/19),"")</f>
        <v>0</v>
      </c>
    </row>
    <row r="44" spans="1:186" x14ac:dyDescent="0.25">
      <c r="A44">
        <f>IFERROR('Fat Spreads'!A44,"")</f>
        <v>0</v>
      </c>
      <c r="B44">
        <f>IFERROR(('Fat Spreads'!B44-AVERAGE('Fat Spreads'!$B$3:$B$4308))/STDEV('Fat Spreads'!$B$3:$B$4308),"")</f>
        <v>9.2057461789832346E-2</v>
      </c>
      <c r="C44">
        <f>IFERROR('Fat Spreads'!B44-'Fat Spreads'!B49,"")</f>
        <v>0</v>
      </c>
      <c r="D44">
        <f>IFERROR('Fat Spreads'!B44-'Fat Spreads'!B54,"")</f>
        <v>0</v>
      </c>
      <c r="E44">
        <f>IFERROR(AVERAGE('Fat Spreads'!B44:B63)+2*STDEV('Fat Spreads'!B44:B63),"")</f>
        <v>0</v>
      </c>
      <c r="F44">
        <f>IFERROR(AVERAGE('Fat Spreads'!B44:B63)-2*STDEV('Fat Spreads'!B44:B63),"")</f>
        <v>0</v>
      </c>
      <c r="G44" t="str">
        <f>IFERROR(('Fat Spreads'!B44-(AVERAGE('Fat Spreads'!B44:B63)-2*STDEV('Fat Spreads'!B44:B63)))/(4*STDEV('Fat Spreads'!B44:B63)),"")</f>
        <v/>
      </c>
      <c r="H44" t="str">
        <f>IFERROR(4*STDEV('Fat Spreads'!B44:B63)/AVERAGE('Fat Spreads'!B44:B63),"")</f>
        <v/>
      </c>
      <c r="I44">
        <v>37.901299999999999</v>
      </c>
      <c r="J44">
        <f>IFERROR(SQRT((SUMSQ('Fat Spreads'!B44:B63)-2*SUMPRODUCT('Fat Spreads'!B44:B63,'Fat Spreads'!B45:B64)+SUMSQ('Fat Spreads'!B45:B64)-('Fat Spreads'!B44-'Fat Spreads'!B64)^2/20)/19),"")</f>
        <v>0</v>
      </c>
      <c r="L44">
        <f>IFERROR('Fat Spreads'!H44,"")</f>
        <v>0</v>
      </c>
      <c r="M44">
        <f>IFERROR(('Fat Spreads'!I44-AVERAGE('Fat Spreads'!$I$3:$I$4308))/STDEV('Fat Spreads'!$I$3:$I$4308),"")</f>
        <v>-9.2057461789832332E-2</v>
      </c>
      <c r="N44">
        <f>IFERROR('Fat Spreads'!I44-'Fat Spreads'!I49,"")</f>
        <v>0</v>
      </c>
      <c r="O44">
        <f>IFERROR('Fat Spreads'!I44-'Fat Spreads'!I54,"")</f>
        <v>0</v>
      </c>
      <c r="P44">
        <f>IFERROR(AVERAGE('Fat Spreads'!I44:I63)+2*STDEV('Fat Spreads'!I44:I63),"")</f>
        <v>0</v>
      </c>
      <c r="Q44">
        <f>IFERROR(AVERAGE('Fat Spreads'!I44:I63)-2*STDEV('Fat Spreads'!I44:I63),"")</f>
        <v>0</v>
      </c>
      <c r="R44" t="str">
        <f>IFERROR(('Fat Spreads'!I44-(AVERAGE('Fat Spreads'!I44:I63)-2*STDEV('Fat Spreads'!I44:I63)))/(4*STDEV('Fat Spreads'!I44:I63)),"")</f>
        <v/>
      </c>
      <c r="S44" t="str">
        <f>IFERROR(4*STDEV('Fat Spreads'!I44:I63)/AVERAGE('Fat Spreads'!I44:I63),"")</f>
        <v/>
      </c>
      <c r="T44">
        <v>51.078800000000001</v>
      </c>
      <c r="U44">
        <f>IFERROR(SQRT((SUMSQ('Fat Spreads'!I44:I63)-2*SUMPRODUCT('Fat Spreads'!I44:I63,'Fat Spreads'!I45:I64)+SUMSQ('Fat Spreads'!I45:I64)-('Fat Spreads'!I44-'Fat Spreads'!I64)^2/20)/19),"")</f>
        <v>0</v>
      </c>
      <c r="W44">
        <f>IFERROR('Fat Spreads'!AQ44,"")</f>
        <v>0</v>
      </c>
      <c r="X44">
        <f>IFERROR(('Fat Spreads'!AR44-AVERAGE('Fat Spreads'!$AR$3:$AR$4308))/STDEV('Fat Spreads'!$AR$3:$AR$4308),"")</f>
        <v>-9.2057461789832346E-2</v>
      </c>
      <c r="Y44">
        <f>IFERROR('Fat Spreads'!AR44-'Fat Spreads'!AR49,"")</f>
        <v>0</v>
      </c>
      <c r="Z44">
        <f>IFERROR('Fat Spreads'!AR44-'Fat Spreads'!AR54,"")</f>
        <v>0</v>
      </c>
      <c r="AA44">
        <f>IFERROR(AVERAGE('Fat Spreads'!AR44:AR63)+2*STDEV('Fat Spreads'!AR44:AR63),"")</f>
        <v>0</v>
      </c>
      <c r="AB44">
        <f>IFERROR(AVERAGE('Fat Spreads'!AR44:AR63)-2*STDEV('Fat Spreads'!AR44:AR63),"")</f>
        <v>0</v>
      </c>
      <c r="AC44" t="str">
        <f>IFERROR(('Fat Spreads'!AR44-(AVERAGE('Fat Spreads'!AR44:AR63)-2*STDEV('Fat Spreads'!AR44:AR63)))/(4*STDEV('Fat Spreads'!AR44:AR63)),"")</f>
        <v/>
      </c>
      <c r="AD44" t="str">
        <f>IFERROR(4*STDEV('Fat Spreads'!AR44:AR63)/AVERAGE('Fat Spreads'!AR44:AR63),"")</f>
        <v/>
      </c>
      <c r="AE44">
        <v>62.014400000000002</v>
      </c>
      <c r="AF44">
        <f>IFERROR(SQRT((SUMSQ('Fat Spreads'!AR44:AR63)-2*SUMPRODUCT('Fat Spreads'!AR44:AR63,'Fat Spreads'!AR45:AR64)+SUMSQ('Fat Spreads'!AR45:AR64)-('Fat Spreads'!AR44-'Fat Spreads'!AR64)^2/20)/19),"")</f>
        <v>0</v>
      </c>
      <c r="AH44">
        <f>IFERROR('Fat Spreads'!O44,"")</f>
        <v>0</v>
      </c>
      <c r="AI44">
        <f>IFERROR(('Fat Spreads'!P44-AVERAGE('Fat Spreads'!$P$3:$P$4308))/STDEV('Fat Spreads'!$P$3:$P$4308),"")</f>
        <v>-9.2057461789832332E-2</v>
      </c>
      <c r="AJ44">
        <f>IFERROR('Fat Spreads'!P44-'Fat Spreads'!P49,"")</f>
        <v>0</v>
      </c>
      <c r="AK44">
        <f>IFERROR('Fat Spreads'!P44-'Fat Spreads'!P54,"")</f>
        <v>0</v>
      </c>
      <c r="AL44">
        <f>IFERROR(AVERAGE('Fat Spreads'!P44:P63)+2*STDEV('Fat Spreads'!P44:P63),"")</f>
        <v>0</v>
      </c>
      <c r="AM44">
        <f>IFERROR(AVERAGE('Fat Spreads'!P44:P63)-2*STDEV('Fat Spreads'!P44:P63),"")</f>
        <v>0</v>
      </c>
      <c r="AN44" t="str">
        <f>IFERROR(('Fat Spreads'!P44-(AVERAGE('Fat Spreads'!P44:P63)-2*STDEV('Fat Spreads'!P44:P63)))/(4*STDEV('Fat Spreads'!P44:P63)),"")</f>
        <v/>
      </c>
      <c r="AO44" t="str">
        <f>IFERROR(4*STDEV('Fat Spreads'!P44:P63)/AVERAGE('Fat Spreads'!P44:P63),"")</f>
        <v/>
      </c>
      <c r="AP44">
        <v>61.276899999999998</v>
      </c>
      <c r="AQ44">
        <f>IFERROR(SQRT((SUMSQ('Fat Spreads'!P44:P63)-2*SUMPRODUCT('Fat Spreads'!P44:P63,'Fat Spreads'!P45:P64)+SUMSQ('Fat Spreads'!P45:P64)-('Fat Spreads'!P44-'Fat Spreads'!P64)^2/20)/19),"")</f>
        <v>0</v>
      </c>
      <c r="AS44">
        <f>IFERROR('Fat Spreads'!AJ44,"")</f>
        <v>0</v>
      </c>
      <c r="AT44">
        <f>IFERROR(('Fat Spreads'!AK44-AVERAGE('Fat Spreads'!$AK$3:$AK$4308))/STDEV('Fat Spreads'!$AK$3:$AK$4308),"")</f>
        <v>-9.2057461789832332E-2</v>
      </c>
      <c r="AU44">
        <f>IFERROR('Fat Spreads'!AK44-'Fat Spreads'!AK49,"")</f>
        <v>0</v>
      </c>
      <c r="AV44">
        <f>IFERROR('Fat Spreads'!AK44-'Fat Spreads'!AK54,"")</f>
        <v>0</v>
      </c>
      <c r="AW44">
        <f>IFERROR(AVERAGE('Fat Spreads'!AK44:AK63)+2*STDEV('Fat Spreads'!AK44:AK63),"")</f>
        <v>0</v>
      </c>
      <c r="AX44">
        <f>IFERROR(AVERAGE('Fat Spreads'!AK44:AK63)-2*STDEV('Fat Spreads'!AK44:AK63),"")</f>
        <v>0</v>
      </c>
      <c r="AY44" t="str">
        <f>IFERROR(('Fat Spreads'!AK44-(AVERAGE('Fat Spreads'!AK44:AK63)-2*STDEV('Fat Spreads'!AK44:AK63)))/(4*STDEV('Fat Spreads'!AK44:AK63)),"")</f>
        <v/>
      </c>
      <c r="AZ44" t="str">
        <f>IFERROR(4*STDEV('Fat Spreads'!AK44:AK63)/AVERAGE('Fat Spreads'!AK44:AK63),"")</f>
        <v/>
      </c>
      <c r="BA44">
        <v>31.5684</v>
      </c>
      <c r="BB44">
        <f>IFERROR(SQRT((SUMSQ('Fat Spreads'!AK44:AK63)-2*SUMPRODUCT('Fat Spreads'!AK44:AK63,'Fat Spreads'!AK45:AK64)+SUMSQ('Fat Spreads'!AK45:AK64)-('Fat Spreads'!AK44-'Fat Spreads'!AK64)^2/20)/19),"")</f>
        <v>0</v>
      </c>
      <c r="BD44">
        <f>IFERROR('Fat Spreads'!V44,"")</f>
        <v>0</v>
      </c>
      <c r="BE44">
        <f>IFERROR(('Fat Spreads'!W44-AVERAGE('Fat Spreads'!$W$3:$W$4308))/STDEV('Fat Spreads'!$W$3:$W$4308),"")</f>
        <v>-9.2057461789832332E-2</v>
      </c>
      <c r="BF44">
        <f>IFERROR('Fat Spreads'!W44-'Fat Spreads'!W49,"")</f>
        <v>0</v>
      </c>
      <c r="BG44">
        <f>IFERROR('Fat Spreads'!W44-'Fat Spreads'!W54,"")</f>
        <v>0</v>
      </c>
      <c r="BH44">
        <f>IFERROR(AVERAGE('Fat Spreads'!W44:W63)+2*STDEV('Fat Spreads'!W44:W63),"")</f>
        <v>0</v>
      </c>
      <c r="BI44">
        <f>IFERROR(AVERAGE('Fat Spreads'!W44:W63)-2*STDEV('Fat Spreads'!W44:W63),"")</f>
        <v>0</v>
      </c>
      <c r="BJ44" t="str">
        <f>IFERROR(('Fat Spreads'!W44-(AVERAGE('Fat Spreads'!W44:W63)-2*STDEV('Fat Spreads'!W44:W63)))/(4*STDEV('Fat Spreads'!W44:W63)),"")</f>
        <v/>
      </c>
      <c r="BK44" t="str">
        <f>IFERROR(4*STDEV('Fat Spreads'!W44:W63)/AVERAGE('Fat Spreads'!W44:W63),"")</f>
        <v/>
      </c>
      <c r="BL44">
        <v>60.809800000000003</v>
      </c>
      <c r="BM44">
        <f>IFERROR(SQRT((SUMSQ('Fat Spreads'!W44:W63)-2*SUMPRODUCT('Fat Spreads'!W44:W63,'Fat Spreads'!W45:W64)+SUMSQ('Fat Spreads'!W45:W64)-('Fat Spreads'!W44-'Fat Spreads'!W64)^2/20)/19),"")</f>
        <v>0</v>
      </c>
      <c r="BO44">
        <f>IFERROR('Fat Spreads'!AC44,"")</f>
        <v>0</v>
      </c>
      <c r="BP44">
        <f>IFERROR(('Fat Spreads'!AD44-AVERAGE('Fat Spreads'!$AD$3:$AD$4308))/STDEV('Fat Spreads'!$AD$3:$AD$4308),"")</f>
        <v>-9.2057461789832332E-2</v>
      </c>
      <c r="BQ44">
        <f>IFERROR('Fat Spreads'!AD44-'Fat Spreads'!AD49,"")</f>
        <v>0</v>
      </c>
      <c r="BR44">
        <f>IFERROR('Fat Spreads'!AD44-'Fat Spreads'!AD54,"")</f>
        <v>0</v>
      </c>
      <c r="BS44">
        <f>IFERROR(AVERAGE('Fat Spreads'!AD44:AD63)+2*STDEV('Fat Spreads'!AD44:AD63),"")</f>
        <v>0</v>
      </c>
      <c r="BT44">
        <f>IFERROR(AVERAGE('Fat Spreads'!AD44:AD63)-2*STDEV('Fat Spreads'!AD44:AD63),"")</f>
        <v>0</v>
      </c>
      <c r="BU44" t="str">
        <f>IFERROR(('Fat Spreads'!AD44-(AVERAGE('Fat Spreads'!AD44:AD63)-2*STDEV('Fat Spreads'!AD44:AD63)))/(4*STDEV('Fat Spreads'!AD44:AD63)),"")</f>
        <v/>
      </c>
      <c r="BV44" t="str">
        <f>IFERROR(4*STDEV('Fat Spreads'!AD44:AD63)/AVERAGE('Fat Spreads'!AD44:AD63),"")</f>
        <v/>
      </c>
      <c r="BW44">
        <v>66.453400000000002</v>
      </c>
      <c r="BX44">
        <f>IFERROR(SQRT((SUMSQ('Fat Spreads'!AD44:AD63)-2*SUMPRODUCT('Fat Spreads'!AD44:AD63,'Fat Spreads'!AD45:AD64)+SUMSQ('Fat Spreads'!AD45:AD64)-('Fat Spreads'!AD44-'Fat Spreads'!AD64)^2/20)/19),"")</f>
        <v>0</v>
      </c>
      <c r="BZ44">
        <f>IFERROR('Feeder Spreads'!A44,"")</f>
        <v>0</v>
      </c>
      <c r="CA44">
        <f>IFERROR(('Feeder Spreads'!B44-AVERAGE('Feeder Spreads'!$B$3:$B$4308))/STDEV('Feeder Spreads'!$B$3:$B$4308),"")</f>
        <v>-9.2057461789832346E-2</v>
      </c>
      <c r="CB44">
        <f>IFERROR('Feeder Spreads'!B44-'Feeder Spreads'!B49,"")</f>
        <v>0</v>
      </c>
      <c r="CC44">
        <f>IFERROR('Feeder Spreads'!B44-'Feeder Spreads'!B54,"")</f>
        <v>0</v>
      </c>
      <c r="CD44">
        <f>IFERROR(AVERAGE('Feeder Spreads'!B44:B63)+2*STDEV('Feeder Spreads'!B44:B63),"")</f>
        <v>0</v>
      </c>
      <c r="CE44">
        <f>IFERROR(AVERAGE('Feeder Spreads'!B44:B63)-2*STDEV('Feeder Spreads'!B44:B63),"")</f>
        <v>0</v>
      </c>
      <c r="CF44" t="str">
        <f>IFERROR(('Feeder Spreads'!B44-(AVERAGE('Feeder Spreads'!B44:B63)-2*STDEV('Feeder Spreads'!B44:B63)))/(4*STDEV('Feeder Spreads'!B44:B63)),"")</f>
        <v/>
      </c>
      <c r="CG44" t="str">
        <f>IFERROR(4*STDEV('Feeder Spreads'!B44:B63)/AVERAGE('Feeder Spreads'!B44:B63),"")</f>
        <v/>
      </c>
      <c r="CH44">
        <v>42.366799999999998</v>
      </c>
      <c r="CI44">
        <f>IFERROR(SQRT((SUMSQ('Feeder Spreads'!B44:B63)-2*SUMPRODUCT('Feeder Spreads'!B44:B63,'Feeder Spreads'!B45:B64)+SUMSQ('Feeder Spreads'!B45:B64)-('Feeder Spreads'!B44-'Feeder Spreads'!B64)^2/20)/19),"")</f>
        <v>0</v>
      </c>
      <c r="CK44">
        <f>IFERROR('Feeder Spreads'!AX44,"")</f>
        <v>0</v>
      </c>
      <c r="CL44">
        <f>IFERROR(('Feeder Spreads'!AY44-AVERAGE('Feeder Spreads'!$AY$3:$AY$4308))/STDEV('Feeder Spreads'!$AY$3:$AY$4308),"")</f>
        <v>-9.2057461789832346E-2</v>
      </c>
      <c r="CM44">
        <f>IFERROR('Feeder Spreads'!AY44-'Feeder Spreads'!AY49,"")</f>
        <v>0</v>
      </c>
      <c r="CN44">
        <f>IFERROR('Feeder Spreads'!AY44-'Feeder Spreads'!AY54,"")</f>
        <v>0</v>
      </c>
      <c r="CO44">
        <f>IFERROR(AVERAGE('Feeder Spreads'!AY44:AY63)+2*STDEV('Feeder Spreads'!AY44:AY63),"")</f>
        <v>0</v>
      </c>
      <c r="CP44">
        <f>IFERROR(AVERAGE('Feeder Spreads'!AY44:AY63)-2*STDEV('Feeder Spreads'!AY44:AY63),"")</f>
        <v>0</v>
      </c>
      <c r="CQ44" t="str">
        <f>IFERROR(('Feeder Spreads'!AY44-(AVERAGE('Feeder Spreads'!AY44:AY63)-2*STDEV('Feeder Spreads'!AY44:AY63)))/(4*STDEV('Feeder Spreads'!AY44:AY63)),"")</f>
        <v/>
      </c>
      <c r="CR44" t="str">
        <f>IFERROR(4*STDEV('Feeder Spreads'!AY44:AY63)/AVERAGE('Feeder Spreads'!AY44:AY63),"")</f>
        <v/>
      </c>
      <c r="CS44">
        <v>71.300299999999993</v>
      </c>
      <c r="CT44">
        <f>IFERROR(SQRT((SUMSQ('Feeder Spreads'!AY44:AY63)-2*SUMPRODUCT('Feeder Spreads'!AY44:AY63,'Feeder Spreads'!AY45:AY64)+SUMSQ('Feeder Spreads'!AY45:AY64)-('Feeder Spreads'!AY44-'Feeder Spreads'!AY64)^2/20)/19),"")</f>
        <v>0</v>
      </c>
      <c r="CV44">
        <f>IFERROR('Feeder Spreads'!H44,"")</f>
        <v>0</v>
      </c>
      <c r="CW44">
        <f>IFERROR(('Feeder Spreads'!I44-AVERAGE('Feeder Spreads'!$I$3:$I$4308))/STDEV('Feeder Spreads'!$I$3:$I$4308),"")</f>
        <v>-9.2057461789832332E-2</v>
      </c>
      <c r="CX44">
        <f>IFERROR('Feeder Spreads'!I44-'Feeder Spreads'!I49,"")</f>
        <v>0</v>
      </c>
      <c r="CY44">
        <f>IFERROR('Feeder Spreads'!I44-'Feeder Spreads'!I54,"")</f>
        <v>0</v>
      </c>
      <c r="CZ44">
        <f>IFERROR(AVERAGE('Feeder Spreads'!I44:I63)+2*STDEV('Feeder Spreads'!I44:I63),"")</f>
        <v>0</v>
      </c>
      <c r="DA44">
        <f>IFERROR(AVERAGE('Feeder Spreads'!I44:I63)-2*STDEV('Feeder Spreads'!I44:I63),"")</f>
        <v>0</v>
      </c>
      <c r="DB44" t="str">
        <f>IFERROR(('Feeder Spreads'!I44-(AVERAGE('Feeder Spreads'!I44:I63)-2*STDEV('Feeder Spreads'!I44:I63)))/(4*STDEV('Feeder Spreads'!I44:I63)),"")</f>
        <v/>
      </c>
      <c r="DC44" t="str">
        <f>IFERROR(4*STDEV('Feeder Spreads'!I44:I63)/AVERAGE('Feeder Spreads'!I44:I63),"")</f>
        <v/>
      </c>
      <c r="DD44">
        <v>41.324399999999997</v>
      </c>
      <c r="DE44">
        <f>IFERROR(SQRT((SUMSQ('Feeder Spreads'!I44:I63)-2*SUMPRODUCT('Feeder Spreads'!I44:I63,'Feeder Spreads'!I45:I64)+SUMSQ('Feeder Spreads'!I45:I64)-('Feeder Spreads'!I44-'Feeder Spreads'!I64)^2/20)/19),"")</f>
        <v>0</v>
      </c>
      <c r="DG44">
        <f>IFERROR('Feeder Spreads'!O44,"")</f>
        <v>0</v>
      </c>
      <c r="DH44">
        <f>IFERROR(('Feeder Spreads'!P44-AVERAGE('Feeder Spreads'!$P$3:$P$4308))/STDEV('Feeder Spreads'!$P$3:$P$4308),"")</f>
        <v>-9.2057461789832346E-2</v>
      </c>
      <c r="DI44">
        <f>IFERROR('Feeder Spreads'!P44-'Feeder Spreads'!P49,"")</f>
        <v>0</v>
      </c>
      <c r="DJ44">
        <f>IFERROR('Feeder Spreads'!P44-'Feeder Spreads'!P54,"")</f>
        <v>0</v>
      </c>
      <c r="DK44">
        <f>IFERROR(AVERAGE('Feeder Spreads'!P44:P63)+2*STDEV('Feeder Spreads'!P44:P63),"")</f>
        <v>0</v>
      </c>
      <c r="DL44">
        <f>IFERROR(AVERAGE('Feeder Spreads'!P44:P63)-2*STDEV('Feeder Spreads'!P44:P63),"")</f>
        <v>0</v>
      </c>
      <c r="DM44" t="str">
        <f>IFERROR(('Feeder Spreads'!P44-(AVERAGE('Feeder Spreads'!P44:P63)-2*STDEV('Feeder Spreads'!P44:P63)))/(4*STDEV('Feeder Spreads'!P44:P63)),"")</f>
        <v/>
      </c>
      <c r="DN44" t="str">
        <f>IFERROR(4*STDEV('Feeder Spreads'!P44:P63)/AVERAGE('Feeder Spreads'!P44:P63),"")</f>
        <v/>
      </c>
      <c r="DO44">
        <v>38.521700000000003</v>
      </c>
      <c r="DP44">
        <f>IFERROR(SQRT((SUMSQ('Feeder Spreads'!P44:P63)-2*SUMPRODUCT('Feeder Spreads'!P44:P63,'Feeder Spreads'!P45:P64)+SUMSQ('Feeder Spreads'!P45:P64)-('Feeder Spreads'!P44-'Feeder Spreads'!P64)^2/20)/19),"")</f>
        <v>0</v>
      </c>
      <c r="DR44">
        <f>IFERROR('Feeder Spreads'!V44,"")</f>
        <v>0</v>
      </c>
      <c r="DS44">
        <f>IFERROR(('Feeder Spreads'!W44-AVERAGE('Feeder Spreads'!$W$3:$W$4308))/STDEV('Feeder Spreads'!$W$3:$W$4308),"")</f>
        <v>-9.2057461789832332E-2</v>
      </c>
      <c r="DT44">
        <f>IFERROR('Feeder Spreads'!W44-'Feeder Spreads'!W49,"")</f>
        <v>0</v>
      </c>
      <c r="DU44">
        <f>IFERROR('Feeder Spreads'!W44-'Feeder Spreads'!W54,"")</f>
        <v>0</v>
      </c>
      <c r="DV44">
        <f>IFERROR(AVERAGE('Feeder Spreads'!W44:W63)+2*STDEV('Feeder Spreads'!W44:W63),"")</f>
        <v>0</v>
      </c>
      <c r="DW44">
        <f>IFERROR(AVERAGE('Feeder Spreads'!W44:W63)-2*STDEV('Feeder Spreads'!W44:W63),"")</f>
        <v>0</v>
      </c>
      <c r="DX44" t="str">
        <f>IFERROR(('Feeder Spreads'!W44-(AVERAGE('Feeder Spreads'!W44:W63)-2*STDEV('Feeder Spreads'!W44:W63)))/(4*STDEV('Feeder Spreads'!W44:W63)),"")</f>
        <v/>
      </c>
      <c r="DY44" t="str">
        <f>IFERROR(4*STDEV('Feeder Spreads'!W44:W63)/AVERAGE('Feeder Spreads'!W44:W63),"")</f>
        <v/>
      </c>
      <c r="DZ44">
        <v>56.423099999999998</v>
      </c>
      <c r="EA44">
        <f>IFERROR(SQRT((SUMSQ('Feeder Spreads'!W44:W63)-2*SUMPRODUCT('Feeder Spreads'!W44:W63,'Feeder Spreads'!W45:W64)+SUMSQ('Feeder Spreads'!W45:W64)-('Feeder Spreads'!W44-'Feeder Spreads'!W64)^2/20)/19),"")</f>
        <v>0</v>
      </c>
      <c r="EC44">
        <f>IFERROR('Feeder Spreads'!AC44,"")</f>
        <v>0</v>
      </c>
      <c r="ED44">
        <f>IFERROR(('Feeder Spreads'!AD44-AVERAGE('Feeder Spreads'!$AD$3:$AD$4308))/STDEV('Feeder Spreads'!$AD$3:$AD$4308),"")</f>
        <v>9.2057461789832318E-2</v>
      </c>
      <c r="EE44">
        <f>IFERROR('Feeder Spreads'!AD44-'Feeder Spreads'!AD49,"")</f>
        <v>0</v>
      </c>
      <c r="EF44">
        <f>IFERROR('Feeder Spreads'!AD44-'Feeder Spreads'!AD54,"")</f>
        <v>0</v>
      </c>
      <c r="EG44">
        <f>IFERROR(AVERAGE('Feeder Spreads'!AD44:AD63)+2*STDEV('Feeder Spreads'!AD44:AD63),"")</f>
        <v>0</v>
      </c>
      <c r="EH44">
        <f>IFERROR(AVERAGE('Feeder Spreads'!AD44:AD63)-2*STDEV('Feeder Spreads'!AD44:AD63),"")</f>
        <v>0</v>
      </c>
      <c r="EI44" t="str">
        <f>IFERROR(('Feeder Spreads'!AD44-(AVERAGE('Feeder Spreads'!AD44:AD63)-2*STDEV('Feeder Spreads'!AD44:AD63)))/(4*STDEV('Feeder Spreads'!AD44:AD63)),"")</f>
        <v/>
      </c>
      <c r="EJ44" t="str">
        <f>IFERROR(4*STDEV('Feeder Spreads'!AD44:AD63)/AVERAGE('Feeder Spreads'!AD44:AD63),"")</f>
        <v/>
      </c>
      <c r="EK44">
        <v>55.563000000000002</v>
      </c>
      <c r="EL44">
        <f>IFERROR(SQRT((SUMSQ('Feeder Spreads'!AD44:AD63)-2*SUMPRODUCT('Feeder Spreads'!AD44:AD63,'Feeder Spreads'!AD45:AD64)+SUMSQ('Feeder Spreads'!AD45:AD64)-('Feeder Spreads'!AD44-'Feeder Spreads'!AD64)^2/20)/19),"")</f>
        <v>0</v>
      </c>
      <c r="EN44">
        <f>IFERROR('Feeder Spreads'!AJ44,"")</f>
        <v>0</v>
      </c>
      <c r="EO44">
        <f>IFERROR(('Feeder Spreads'!AK44-AVERAGE('Feeder Spreads'!$AK$3:$AK$4308))/STDEV('Feeder Spreads'!$AK$3:$AK$4308),"")</f>
        <v>-9.2057461789832346E-2</v>
      </c>
      <c r="EP44">
        <f>IFERROR('Feeder Spreads'!AK44-'Feeder Spreads'!AK49,"")</f>
        <v>0</v>
      </c>
      <c r="EQ44">
        <f>IFERROR('Feeder Spreads'!AK44-'Feeder Spreads'!AK54,"")</f>
        <v>0</v>
      </c>
      <c r="ER44">
        <f>IFERROR(AVERAGE('Feeder Spreads'!AK44:AK63)+2*STDEV('Feeder Spreads'!AK44:AK63),"")</f>
        <v>0</v>
      </c>
      <c r="ES44">
        <f>IFERROR(AVERAGE('Feeder Spreads'!AK44:AK63)-2*STDEV('Feeder Spreads'!AK44:AK63),"")</f>
        <v>0</v>
      </c>
      <c r="ET44" t="str">
        <f>IFERROR(('Feeder Spreads'!AK44-(AVERAGE('Feeder Spreads'!AK44:AK63)-2*STDEV('Feeder Spreads'!AK44:AK63)))/(4*STDEV('Feeder Spreads'!AK44:AK63)),"")</f>
        <v/>
      </c>
      <c r="EU44" t="str">
        <f>IFERROR(4*STDEV('Feeder Spreads'!AK44:AK63)/AVERAGE('Feeder Spreads'!AK44:AK63),"")</f>
        <v/>
      </c>
      <c r="EV44">
        <v>40.424300000000002</v>
      </c>
      <c r="EW44">
        <f>IFERROR(SQRT((SUMSQ('Feeder Spreads'!AK44:AK63)-2*SUMPRODUCT('Feeder Spreads'!AK44:AK63,'Feeder Spreads'!AK45:AK64)+SUMSQ('Feeder Spreads'!AK45:AK64)-('Feeder Spreads'!AK44-'Feeder Spreads'!AK64)^2/20)/19),"")</f>
        <v>0</v>
      </c>
      <c r="EY44">
        <f>IFERROR('Feeder Spreads'!AQ44,"")</f>
        <v>0</v>
      </c>
      <c r="EZ44">
        <f>IFERROR(('Feeder Spreads'!AR44-AVERAGE('Feeder Spreads'!$AR$3:$AR$4308))/STDEV('Feeder Spreads'!$AR$3:$AR$4308),"")</f>
        <v>-9.2057461789832332E-2</v>
      </c>
      <c r="FA44">
        <f>IFERROR('Feeder Spreads'!AR44-'Feeder Spreads'!AR49,"")</f>
        <v>0</v>
      </c>
      <c r="FB44">
        <f>IFERROR('Feeder Spreads'!AR44-'Feeder Spreads'!AR54,"")</f>
        <v>0</v>
      </c>
      <c r="FC44">
        <f>IFERROR(AVERAGE('Feeder Spreads'!AR44:AR63)+2*STDEV('Feeder Spreads'!AR44:AR63),"")</f>
        <v>0</v>
      </c>
      <c r="FD44">
        <f>IFERROR(AVERAGE('Feeder Spreads'!AR44:AR63)-2*STDEV('Feeder Spreads'!AR44:AR63),"")</f>
        <v>0</v>
      </c>
      <c r="FE44" t="str">
        <f>IFERROR(('Feeder Spreads'!AR44-(AVERAGE('Feeder Spreads'!AR44:AR63)-2*STDEV('Feeder Spreads'!AR44:AR63)))/(4*STDEV('Feeder Spreads'!AR44:AR63)),"")</f>
        <v/>
      </c>
      <c r="FF44" t="str">
        <f>IFERROR(4*STDEV('Feeder Spreads'!AR44:AR63)/AVERAGE('Feeder Spreads'!AR44:AR63),"")</f>
        <v/>
      </c>
      <c r="FG44">
        <v>38.017000000000003</v>
      </c>
      <c r="FH44">
        <f>IFERROR(SQRT((SUMSQ('Feeder Spreads'!AR44:AR63)-2*SUMPRODUCT('Feeder Spreads'!AR44:AR63,'Feeder Spreads'!AR45:AR64)+SUMSQ('Feeder Spreads'!AR45:AR64)-('Feeder Spreads'!AR44-'Feeder Spreads'!AR64)^2/20)/19),"")</f>
        <v>0</v>
      </c>
      <c r="FJ44">
        <f>IFERROR('Fat Spreads'!AX44,"")</f>
        <v>0</v>
      </c>
      <c r="FK44">
        <f>IFERROR(('Fat Spreads'!AY44-AVERAGE('Fat Spreads'!$AY$3:$AY$4308))/STDEV('Fat Spreads'!$AY$3:$AY$4308),"")</f>
        <v>9.2057461789832332E-2</v>
      </c>
      <c r="FL44">
        <f>IFERROR('Fat Spreads'!AY44-'Fat Spreads'!AY49,"")</f>
        <v>0</v>
      </c>
      <c r="FM44">
        <f>IFERROR('Fat Spreads'!AY44-'Fat Spreads'!AY54,"")</f>
        <v>0</v>
      </c>
      <c r="FN44">
        <f>IFERROR(AVERAGE('Fat Spreads'!AY44:AY63)+2*STDEV('Fat Spreads'!AY44:AY63),"")</f>
        <v>0</v>
      </c>
      <c r="FO44">
        <f>IFERROR(AVERAGE('Fat Spreads'!AY44:AY63)-2*STDEV('Fat Spreads'!AY44:AY63),"")</f>
        <v>0</v>
      </c>
      <c r="FP44" t="str">
        <f>IFERROR(('Fat Spreads'!AY44-(AVERAGE('Fat Spreads'!AY44:AY63)-2*STDEV('Fat Spreads'!AY44:AY63)))/(4*STDEV('Fat Spreads'!AY44:AY63)),"")</f>
        <v/>
      </c>
      <c r="FQ44" t="str">
        <f>IFERROR(4*STDEV('Fat Spreads'!AY44:AY63)/AVERAGE('Fat Spreads'!AY44:AY63),"")</f>
        <v/>
      </c>
      <c r="FR44">
        <v>29.987200000000001</v>
      </c>
      <c r="FS44">
        <f>IFERROR(SQRT((SUMSQ('Fat Spreads'!AY44:AY63)-2*SUMPRODUCT('Fat Spreads'!AY44:AY63,'Fat Spreads'!AY45:AY64)+SUMSQ('Fat Spreads'!AY45:AY64)-('Fat Spreads'!AY44-'Fat Spreads'!AY64)^2/20)/19),"")</f>
        <v>0</v>
      </c>
      <c r="FU44">
        <f>IFERROR('Fat Spreads'!BE44,"")</f>
        <v>0</v>
      </c>
      <c r="FV44">
        <f>IFERROR(('Fat Spreads'!BF44-AVERAGE('Fat Spreads'!$BF$3:$BF$4308))/STDEV('Fat Spreads'!$BF$3:$BF$4308),"")</f>
        <v>9.2057461789832332E-2</v>
      </c>
      <c r="FW44">
        <f>IFERROR('Fat Spreads'!BF44-'Fat Spreads'!BF49,"")</f>
        <v>0</v>
      </c>
      <c r="FX44">
        <f>IFERROR('Fat Spreads'!BF44-'Fat Spreads'!BF54,"")</f>
        <v>0</v>
      </c>
      <c r="FY44">
        <f>IFERROR(AVERAGE('Fat Spreads'!BF44:BF63)+2*STDEV('Fat Spreads'!BF44:BF63),"")</f>
        <v>0</v>
      </c>
      <c r="FZ44">
        <f>IFERROR(AVERAGE('Fat Spreads'!BF44:BF63)-2*STDEV('Fat Spreads'!BF44:BF63),"")</f>
        <v>0</v>
      </c>
      <c r="GA44" t="str">
        <f>IFERROR(('Fat Spreads'!BF44-(AVERAGE('Fat Spreads'!BF44:BF63)-2*STDEV('Fat Spreads'!BF44:BF63)))/(4*STDEV('Fat Spreads'!BF44:BF63)),"")</f>
        <v/>
      </c>
      <c r="GB44" t="str">
        <f>IFERROR(4*STDEV('Fat Spreads'!BF44:BF63)/AVERAGE('Fat Spreads'!BF44:BF63),"")</f>
        <v/>
      </c>
      <c r="GC44">
        <v>43.1706</v>
      </c>
      <c r="GD44">
        <f>IFERROR(SQRT((SUMSQ('Fat Spreads'!BF44:BF63)-2*SUMPRODUCT('Fat Spreads'!BF44:BF63,'Fat Spreads'!BF45:BF64)+SUMSQ('Fat Spreads'!BF45:BF64)-('Fat Spreads'!BF44-'Fat Spreads'!BF64)^2/20)/19),"")</f>
        <v>0</v>
      </c>
    </row>
    <row r="45" spans="1:186" x14ac:dyDescent="0.25">
      <c r="A45">
        <f>IFERROR('Fat Spreads'!A45,"")</f>
        <v>0</v>
      </c>
      <c r="B45">
        <f>IFERROR(('Fat Spreads'!B45-AVERAGE('Fat Spreads'!$B$3:$B$4308))/STDEV('Fat Spreads'!$B$3:$B$4308),"")</f>
        <v>9.2057461789832346E-2</v>
      </c>
      <c r="C45">
        <f>IFERROR('Fat Spreads'!B45-'Fat Spreads'!B50,"")</f>
        <v>0</v>
      </c>
      <c r="D45">
        <f>IFERROR('Fat Spreads'!B45-'Fat Spreads'!B55,"")</f>
        <v>0</v>
      </c>
      <c r="E45">
        <f>IFERROR(AVERAGE('Fat Spreads'!B45:B64)+2*STDEV('Fat Spreads'!B45:B64),"")</f>
        <v>0</v>
      </c>
      <c r="F45">
        <f>IFERROR(AVERAGE('Fat Spreads'!B45:B64)-2*STDEV('Fat Spreads'!B45:B64),"")</f>
        <v>0</v>
      </c>
      <c r="G45" t="str">
        <f>IFERROR(('Fat Spreads'!B45-(AVERAGE('Fat Spreads'!B45:B64)-2*STDEV('Fat Spreads'!B45:B64)))/(4*STDEV('Fat Spreads'!B45:B64)),"")</f>
        <v/>
      </c>
      <c r="H45" t="str">
        <f>IFERROR(4*STDEV('Fat Spreads'!B45:B64)/AVERAGE('Fat Spreads'!B45:B64),"")</f>
        <v/>
      </c>
      <c r="I45">
        <v>39.573</v>
      </c>
      <c r="J45">
        <f>IFERROR(SQRT((SUMSQ('Fat Spreads'!B45:B64)-2*SUMPRODUCT('Fat Spreads'!B45:B64,'Fat Spreads'!B46:B65)+SUMSQ('Fat Spreads'!B46:B65)-('Fat Spreads'!B45-'Fat Spreads'!B65)^2/20)/19),"")</f>
        <v>0</v>
      </c>
      <c r="L45">
        <f>IFERROR('Fat Spreads'!H45,"")</f>
        <v>0</v>
      </c>
      <c r="M45">
        <f>IFERROR(('Fat Spreads'!I45-AVERAGE('Fat Spreads'!$I$3:$I$4308))/STDEV('Fat Spreads'!$I$3:$I$4308),"")</f>
        <v>-9.2057461789832332E-2</v>
      </c>
      <c r="N45">
        <f>IFERROR('Fat Spreads'!I45-'Fat Spreads'!I50,"")</f>
        <v>0</v>
      </c>
      <c r="O45">
        <f>IFERROR('Fat Spreads'!I45-'Fat Spreads'!I55,"")</f>
        <v>0</v>
      </c>
      <c r="P45">
        <f>IFERROR(AVERAGE('Fat Spreads'!I45:I64)+2*STDEV('Fat Spreads'!I45:I64),"")</f>
        <v>0</v>
      </c>
      <c r="Q45">
        <f>IFERROR(AVERAGE('Fat Spreads'!I45:I64)-2*STDEV('Fat Spreads'!I45:I64),"")</f>
        <v>0</v>
      </c>
      <c r="R45" t="str">
        <f>IFERROR(('Fat Spreads'!I45-(AVERAGE('Fat Spreads'!I45:I64)-2*STDEV('Fat Spreads'!I45:I64)))/(4*STDEV('Fat Spreads'!I45:I64)),"")</f>
        <v/>
      </c>
      <c r="S45" t="str">
        <f>IFERROR(4*STDEV('Fat Spreads'!I45:I64)/AVERAGE('Fat Spreads'!I45:I64),"")</f>
        <v/>
      </c>
      <c r="T45">
        <v>45.024999999999999</v>
      </c>
      <c r="U45">
        <f>IFERROR(SQRT((SUMSQ('Fat Spreads'!I45:I64)-2*SUMPRODUCT('Fat Spreads'!I45:I64,'Fat Spreads'!I46:I65)+SUMSQ('Fat Spreads'!I46:I65)-('Fat Spreads'!I45-'Fat Spreads'!I65)^2/20)/19),"")</f>
        <v>0</v>
      </c>
      <c r="W45">
        <f>IFERROR('Fat Spreads'!AQ45,"")</f>
        <v>0</v>
      </c>
      <c r="X45">
        <f>IFERROR(('Fat Spreads'!AR45-AVERAGE('Fat Spreads'!$AR$3:$AR$4308))/STDEV('Fat Spreads'!$AR$3:$AR$4308),"")</f>
        <v>-9.2057461789832346E-2</v>
      </c>
      <c r="Y45">
        <f>IFERROR('Fat Spreads'!AR45-'Fat Spreads'!AR50,"")</f>
        <v>0</v>
      </c>
      <c r="Z45">
        <f>IFERROR('Fat Spreads'!AR45-'Fat Spreads'!AR55,"")</f>
        <v>0</v>
      </c>
      <c r="AA45">
        <f>IFERROR(AVERAGE('Fat Spreads'!AR45:AR64)+2*STDEV('Fat Spreads'!AR45:AR64),"")</f>
        <v>0</v>
      </c>
      <c r="AB45">
        <f>IFERROR(AVERAGE('Fat Spreads'!AR45:AR64)-2*STDEV('Fat Spreads'!AR45:AR64),"")</f>
        <v>0</v>
      </c>
      <c r="AC45" t="str">
        <f>IFERROR(('Fat Spreads'!AR45-(AVERAGE('Fat Spreads'!AR45:AR64)-2*STDEV('Fat Spreads'!AR45:AR64)))/(4*STDEV('Fat Spreads'!AR45:AR64)),"")</f>
        <v/>
      </c>
      <c r="AD45" t="str">
        <f>IFERROR(4*STDEV('Fat Spreads'!AR45:AR64)/AVERAGE('Fat Spreads'!AR45:AR64),"")</f>
        <v/>
      </c>
      <c r="AE45">
        <v>58.723300000000002</v>
      </c>
      <c r="AF45">
        <f>IFERROR(SQRT((SUMSQ('Fat Spreads'!AR45:AR64)-2*SUMPRODUCT('Fat Spreads'!AR45:AR64,'Fat Spreads'!AR46:AR65)+SUMSQ('Fat Spreads'!AR46:AR65)-('Fat Spreads'!AR45-'Fat Spreads'!AR65)^2/20)/19),"")</f>
        <v>0</v>
      </c>
      <c r="AH45">
        <f>IFERROR('Fat Spreads'!O45,"")</f>
        <v>0</v>
      </c>
      <c r="AI45">
        <f>IFERROR(('Fat Spreads'!P45-AVERAGE('Fat Spreads'!$P$3:$P$4308))/STDEV('Fat Spreads'!$P$3:$P$4308),"")</f>
        <v>-9.2057461789832332E-2</v>
      </c>
      <c r="AJ45">
        <f>IFERROR('Fat Spreads'!P45-'Fat Spreads'!P50,"")</f>
        <v>0</v>
      </c>
      <c r="AK45">
        <f>IFERROR('Fat Spreads'!P45-'Fat Spreads'!P55,"")</f>
        <v>0</v>
      </c>
      <c r="AL45">
        <f>IFERROR(AVERAGE('Fat Spreads'!P45:P64)+2*STDEV('Fat Spreads'!P45:P64),"")</f>
        <v>0</v>
      </c>
      <c r="AM45">
        <f>IFERROR(AVERAGE('Fat Spreads'!P45:P64)-2*STDEV('Fat Spreads'!P45:P64),"")</f>
        <v>0</v>
      </c>
      <c r="AN45" t="str">
        <f>IFERROR(('Fat Spreads'!P45-(AVERAGE('Fat Spreads'!P45:P64)-2*STDEV('Fat Spreads'!P45:P64)))/(4*STDEV('Fat Spreads'!P45:P64)),"")</f>
        <v/>
      </c>
      <c r="AO45" t="str">
        <f>IFERROR(4*STDEV('Fat Spreads'!P45:P64)/AVERAGE('Fat Spreads'!P45:P64),"")</f>
        <v/>
      </c>
      <c r="AP45">
        <v>57.2438</v>
      </c>
      <c r="AQ45">
        <f>IFERROR(SQRT((SUMSQ('Fat Spreads'!P45:P64)-2*SUMPRODUCT('Fat Spreads'!P45:P64,'Fat Spreads'!P46:P65)+SUMSQ('Fat Spreads'!P46:P65)-('Fat Spreads'!P45-'Fat Spreads'!P65)^2/20)/19),"")</f>
        <v>0</v>
      </c>
      <c r="AS45">
        <f>IFERROR('Fat Spreads'!AJ45,"")</f>
        <v>0</v>
      </c>
      <c r="AT45">
        <f>IFERROR(('Fat Spreads'!AK45-AVERAGE('Fat Spreads'!$AK$3:$AK$4308))/STDEV('Fat Spreads'!$AK$3:$AK$4308),"")</f>
        <v>-9.2057461789832332E-2</v>
      </c>
      <c r="AU45">
        <f>IFERROR('Fat Spreads'!AK45-'Fat Spreads'!AK50,"")</f>
        <v>0</v>
      </c>
      <c r="AV45">
        <f>IFERROR('Fat Spreads'!AK45-'Fat Spreads'!AK55,"")</f>
        <v>0</v>
      </c>
      <c r="AW45">
        <f>IFERROR(AVERAGE('Fat Spreads'!AK45:AK64)+2*STDEV('Fat Spreads'!AK45:AK64),"")</f>
        <v>0</v>
      </c>
      <c r="AX45">
        <f>IFERROR(AVERAGE('Fat Spreads'!AK45:AK64)-2*STDEV('Fat Spreads'!AK45:AK64),"")</f>
        <v>0</v>
      </c>
      <c r="AY45" t="str">
        <f>IFERROR(('Fat Spreads'!AK45-(AVERAGE('Fat Spreads'!AK45:AK64)-2*STDEV('Fat Spreads'!AK45:AK64)))/(4*STDEV('Fat Spreads'!AK45:AK64)),"")</f>
        <v/>
      </c>
      <c r="AZ45" t="str">
        <f>IFERROR(4*STDEV('Fat Spreads'!AK45:AK64)/AVERAGE('Fat Spreads'!AK45:AK64),"")</f>
        <v/>
      </c>
      <c r="BA45">
        <v>32.2926</v>
      </c>
      <c r="BB45">
        <f>IFERROR(SQRT((SUMSQ('Fat Spreads'!AK45:AK64)-2*SUMPRODUCT('Fat Spreads'!AK45:AK64,'Fat Spreads'!AK46:AK65)+SUMSQ('Fat Spreads'!AK46:AK65)-('Fat Spreads'!AK45-'Fat Spreads'!AK65)^2/20)/19),"")</f>
        <v>0</v>
      </c>
      <c r="BD45">
        <f>IFERROR('Fat Spreads'!V45,"")</f>
        <v>0</v>
      </c>
      <c r="BE45">
        <f>IFERROR(('Fat Spreads'!W45-AVERAGE('Fat Spreads'!$W$3:$W$4308))/STDEV('Fat Spreads'!$W$3:$W$4308),"")</f>
        <v>-9.2057461789832332E-2</v>
      </c>
      <c r="BF45">
        <f>IFERROR('Fat Spreads'!W45-'Fat Spreads'!W50,"")</f>
        <v>0</v>
      </c>
      <c r="BG45">
        <f>IFERROR('Fat Spreads'!W45-'Fat Spreads'!W55,"")</f>
        <v>0</v>
      </c>
      <c r="BH45">
        <f>IFERROR(AVERAGE('Fat Spreads'!W45:W64)+2*STDEV('Fat Spreads'!W45:W64),"")</f>
        <v>0</v>
      </c>
      <c r="BI45">
        <f>IFERROR(AVERAGE('Fat Spreads'!W45:W64)-2*STDEV('Fat Spreads'!W45:W64),"")</f>
        <v>0</v>
      </c>
      <c r="BJ45" t="str">
        <f>IFERROR(('Fat Spreads'!W45-(AVERAGE('Fat Spreads'!W45:W64)-2*STDEV('Fat Spreads'!W45:W64)))/(4*STDEV('Fat Spreads'!W45:W64)),"")</f>
        <v/>
      </c>
      <c r="BK45" t="str">
        <f>IFERROR(4*STDEV('Fat Spreads'!W45:W64)/AVERAGE('Fat Spreads'!W45:W64),"")</f>
        <v/>
      </c>
      <c r="BL45">
        <v>58.791699999999999</v>
      </c>
      <c r="BM45">
        <f>IFERROR(SQRT((SUMSQ('Fat Spreads'!W45:W64)-2*SUMPRODUCT('Fat Spreads'!W45:W64,'Fat Spreads'!W46:W65)+SUMSQ('Fat Spreads'!W46:W65)-('Fat Spreads'!W45-'Fat Spreads'!W65)^2/20)/19),"")</f>
        <v>0</v>
      </c>
      <c r="BO45">
        <f>IFERROR('Fat Spreads'!AC45,"")</f>
        <v>0</v>
      </c>
      <c r="BP45">
        <f>IFERROR(('Fat Spreads'!AD45-AVERAGE('Fat Spreads'!$AD$3:$AD$4308))/STDEV('Fat Spreads'!$AD$3:$AD$4308),"")</f>
        <v>-9.2057461789832332E-2</v>
      </c>
      <c r="BQ45">
        <f>IFERROR('Fat Spreads'!AD45-'Fat Spreads'!AD50,"")</f>
        <v>0</v>
      </c>
      <c r="BR45">
        <f>IFERROR('Fat Spreads'!AD45-'Fat Spreads'!AD55,"")</f>
        <v>0</v>
      </c>
      <c r="BS45">
        <f>IFERROR(AVERAGE('Fat Spreads'!AD45:AD64)+2*STDEV('Fat Spreads'!AD45:AD64),"")</f>
        <v>0</v>
      </c>
      <c r="BT45">
        <f>IFERROR(AVERAGE('Fat Spreads'!AD45:AD64)-2*STDEV('Fat Spreads'!AD45:AD64),"")</f>
        <v>0</v>
      </c>
      <c r="BU45" t="str">
        <f>IFERROR(('Fat Spreads'!AD45-(AVERAGE('Fat Spreads'!AD45:AD64)-2*STDEV('Fat Spreads'!AD45:AD64)))/(4*STDEV('Fat Spreads'!AD45:AD64)),"")</f>
        <v/>
      </c>
      <c r="BV45" t="str">
        <f>IFERROR(4*STDEV('Fat Spreads'!AD45:AD64)/AVERAGE('Fat Spreads'!AD45:AD64),"")</f>
        <v/>
      </c>
      <c r="BW45">
        <v>67.006900000000002</v>
      </c>
      <c r="BX45">
        <f>IFERROR(SQRT((SUMSQ('Fat Spreads'!AD45:AD64)-2*SUMPRODUCT('Fat Spreads'!AD45:AD64,'Fat Spreads'!AD46:AD65)+SUMSQ('Fat Spreads'!AD46:AD65)-('Fat Spreads'!AD45-'Fat Spreads'!AD65)^2/20)/19),"")</f>
        <v>0</v>
      </c>
      <c r="BZ45">
        <f>IFERROR('Feeder Spreads'!A45,"")</f>
        <v>0</v>
      </c>
      <c r="CA45">
        <f>IFERROR(('Feeder Spreads'!B45-AVERAGE('Feeder Spreads'!$B$3:$B$4308))/STDEV('Feeder Spreads'!$B$3:$B$4308),"")</f>
        <v>-9.2057461789832346E-2</v>
      </c>
      <c r="CB45">
        <f>IFERROR('Feeder Spreads'!B45-'Feeder Spreads'!B50,"")</f>
        <v>0</v>
      </c>
      <c r="CC45">
        <f>IFERROR('Feeder Spreads'!B45-'Feeder Spreads'!B55,"")</f>
        <v>0</v>
      </c>
      <c r="CD45">
        <f>IFERROR(AVERAGE('Feeder Spreads'!B45:B64)+2*STDEV('Feeder Spreads'!B45:B64),"")</f>
        <v>0</v>
      </c>
      <c r="CE45">
        <f>IFERROR(AVERAGE('Feeder Spreads'!B45:B64)-2*STDEV('Feeder Spreads'!B45:B64),"")</f>
        <v>0</v>
      </c>
      <c r="CF45" t="str">
        <f>IFERROR(('Feeder Spreads'!B45-(AVERAGE('Feeder Spreads'!B45:B64)-2*STDEV('Feeder Spreads'!B45:B64)))/(4*STDEV('Feeder Spreads'!B45:B64)),"")</f>
        <v/>
      </c>
      <c r="CG45" t="str">
        <f>IFERROR(4*STDEV('Feeder Spreads'!B45:B64)/AVERAGE('Feeder Spreads'!B45:B64),"")</f>
        <v/>
      </c>
      <c r="CH45">
        <v>46.476599999999998</v>
      </c>
      <c r="CI45">
        <f>IFERROR(SQRT((SUMSQ('Feeder Spreads'!B45:B64)-2*SUMPRODUCT('Feeder Spreads'!B45:B64,'Feeder Spreads'!B46:B65)+SUMSQ('Feeder Spreads'!B46:B65)-('Feeder Spreads'!B45-'Feeder Spreads'!B65)^2/20)/19),"")</f>
        <v>0</v>
      </c>
      <c r="CK45">
        <f>IFERROR('Feeder Spreads'!AX45,"")</f>
        <v>0</v>
      </c>
      <c r="CL45">
        <f>IFERROR(('Feeder Spreads'!AY45-AVERAGE('Feeder Spreads'!$AY$3:$AY$4308))/STDEV('Feeder Spreads'!$AY$3:$AY$4308),"")</f>
        <v>-9.2057461789832346E-2</v>
      </c>
      <c r="CM45">
        <f>IFERROR('Feeder Spreads'!AY45-'Feeder Spreads'!AY50,"")</f>
        <v>0</v>
      </c>
      <c r="CN45">
        <f>IFERROR('Feeder Spreads'!AY45-'Feeder Spreads'!AY55,"")</f>
        <v>0</v>
      </c>
      <c r="CO45">
        <f>IFERROR(AVERAGE('Feeder Spreads'!AY45:AY64)+2*STDEV('Feeder Spreads'!AY45:AY64),"")</f>
        <v>0</v>
      </c>
      <c r="CP45">
        <f>IFERROR(AVERAGE('Feeder Spreads'!AY45:AY64)-2*STDEV('Feeder Spreads'!AY45:AY64),"")</f>
        <v>0</v>
      </c>
      <c r="CQ45" t="str">
        <f>IFERROR(('Feeder Spreads'!AY45-(AVERAGE('Feeder Spreads'!AY45:AY64)-2*STDEV('Feeder Spreads'!AY45:AY64)))/(4*STDEV('Feeder Spreads'!AY45:AY64)),"")</f>
        <v/>
      </c>
      <c r="CR45" t="str">
        <f>IFERROR(4*STDEV('Feeder Spreads'!AY45:AY64)/AVERAGE('Feeder Spreads'!AY45:AY64),"")</f>
        <v/>
      </c>
      <c r="CS45">
        <v>74.537000000000006</v>
      </c>
      <c r="CT45">
        <f>IFERROR(SQRT((SUMSQ('Feeder Spreads'!AY45:AY64)-2*SUMPRODUCT('Feeder Spreads'!AY45:AY64,'Feeder Spreads'!AY46:AY65)+SUMSQ('Feeder Spreads'!AY46:AY65)-('Feeder Spreads'!AY45-'Feeder Spreads'!AY65)^2/20)/19),"")</f>
        <v>0</v>
      </c>
      <c r="CV45">
        <f>IFERROR('Feeder Spreads'!H45,"")</f>
        <v>0</v>
      </c>
      <c r="CW45">
        <f>IFERROR(('Feeder Spreads'!I45-AVERAGE('Feeder Spreads'!$I$3:$I$4308))/STDEV('Feeder Spreads'!$I$3:$I$4308),"")</f>
        <v>-9.2057461789832332E-2</v>
      </c>
      <c r="CX45">
        <f>IFERROR('Feeder Spreads'!I45-'Feeder Spreads'!I50,"")</f>
        <v>0</v>
      </c>
      <c r="CY45">
        <f>IFERROR('Feeder Spreads'!I45-'Feeder Spreads'!I55,"")</f>
        <v>0</v>
      </c>
      <c r="CZ45">
        <f>IFERROR(AVERAGE('Feeder Spreads'!I45:I64)+2*STDEV('Feeder Spreads'!I45:I64),"")</f>
        <v>0</v>
      </c>
      <c r="DA45">
        <f>IFERROR(AVERAGE('Feeder Spreads'!I45:I64)-2*STDEV('Feeder Spreads'!I45:I64),"")</f>
        <v>0</v>
      </c>
      <c r="DB45" t="str">
        <f>IFERROR(('Feeder Spreads'!I45-(AVERAGE('Feeder Spreads'!I45:I64)-2*STDEV('Feeder Spreads'!I45:I64)))/(4*STDEV('Feeder Spreads'!I45:I64)),"")</f>
        <v/>
      </c>
      <c r="DC45" t="str">
        <f>IFERROR(4*STDEV('Feeder Spreads'!I45:I64)/AVERAGE('Feeder Spreads'!I45:I64),"")</f>
        <v/>
      </c>
      <c r="DD45">
        <v>41.688800000000001</v>
      </c>
      <c r="DE45">
        <f>IFERROR(SQRT((SUMSQ('Feeder Spreads'!I45:I64)-2*SUMPRODUCT('Feeder Spreads'!I45:I64,'Feeder Spreads'!I46:I65)+SUMSQ('Feeder Spreads'!I46:I65)-('Feeder Spreads'!I45-'Feeder Spreads'!I65)^2/20)/19),"")</f>
        <v>0</v>
      </c>
      <c r="DG45">
        <f>IFERROR('Feeder Spreads'!O45,"")</f>
        <v>0</v>
      </c>
      <c r="DH45">
        <f>IFERROR(('Feeder Spreads'!P45-AVERAGE('Feeder Spreads'!$P$3:$P$4308))/STDEV('Feeder Spreads'!$P$3:$P$4308),"")</f>
        <v>-9.2057461789832346E-2</v>
      </c>
      <c r="DI45">
        <f>IFERROR('Feeder Spreads'!P45-'Feeder Spreads'!P50,"")</f>
        <v>0</v>
      </c>
      <c r="DJ45">
        <f>IFERROR('Feeder Spreads'!P45-'Feeder Spreads'!P55,"")</f>
        <v>0</v>
      </c>
      <c r="DK45">
        <f>IFERROR(AVERAGE('Feeder Spreads'!P45:P64)+2*STDEV('Feeder Spreads'!P45:P64),"")</f>
        <v>0</v>
      </c>
      <c r="DL45">
        <f>IFERROR(AVERAGE('Feeder Spreads'!P45:P64)-2*STDEV('Feeder Spreads'!P45:P64),"")</f>
        <v>0</v>
      </c>
      <c r="DM45" t="str">
        <f>IFERROR(('Feeder Spreads'!P45-(AVERAGE('Feeder Spreads'!P45:P64)-2*STDEV('Feeder Spreads'!P45:P64)))/(4*STDEV('Feeder Spreads'!P45:P64)),"")</f>
        <v/>
      </c>
      <c r="DN45" t="str">
        <f>IFERROR(4*STDEV('Feeder Spreads'!P45:P64)/AVERAGE('Feeder Spreads'!P45:P64),"")</f>
        <v/>
      </c>
      <c r="DO45">
        <v>39.464399999999998</v>
      </c>
      <c r="DP45">
        <f>IFERROR(SQRT((SUMSQ('Feeder Spreads'!P45:P64)-2*SUMPRODUCT('Feeder Spreads'!P45:P64,'Feeder Spreads'!P46:P65)+SUMSQ('Feeder Spreads'!P46:P65)-('Feeder Spreads'!P45-'Feeder Spreads'!P65)^2/20)/19),"")</f>
        <v>0</v>
      </c>
      <c r="DR45">
        <f>IFERROR('Feeder Spreads'!V45,"")</f>
        <v>0</v>
      </c>
      <c r="DS45">
        <f>IFERROR(('Feeder Spreads'!W45-AVERAGE('Feeder Spreads'!$W$3:$W$4308))/STDEV('Feeder Spreads'!$W$3:$W$4308),"")</f>
        <v>-9.2057461789832332E-2</v>
      </c>
      <c r="DT45">
        <f>IFERROR('Feeder Spreads'!W45-'Feeder Spreads'!W50,"")</f>
        <v>0</v>
      </c>
      <c r="DU45">
        <f>IFERROR('Feeder Spreads'!W45-'Feeder Spreads'!W55,"")</f>
        <v>0</v>
      </c>
      <c r="DV45">
        <f>IFERROR(AVERAGE('Feeder Spreads'!W45:W64)+2*STDEV('Feeder Spreads'!W45:W64),"")</f>
        <v>0</v>
      </c>
      <c r="DW45">
        <f>IFERROR(AVERAGE('Feeder Spreads'!W45:W64)-2*STDEV('Feeder Spreads'!W45:W64),"")</f>
        <v>0</v>
      </c>
      <c r="DX45" t="str">
        <f>IFERROR(('Feeder Spreads'!W45-(AVERAGE('Feeder Spreads'!W45:W64)-2*STDEV('Feeder Spreads'!W45:W64)))/(4*STDEV('Feeder Spreads'!W45:W64)),"")</f>
        <v/>
      </c>
      <c r="DY45" t="str">
        <f>IFERROR(4*STDEV('Feeder Spreads'!W45:W64)/AVERAGE('Feeder Spreads'!W45:W64),"")</f>
        <v/>
      </c>
      <c r="DZ45">
        <v>53.101100000000002</v>
      </c>
      <c r="EA45">
        <f>IFERROR(SQRT((SUMSQ('Feeder Spreads'!W45:W64)-2*SUMPRODUCT('Feeder Spreads'!W45:W64,'Feeder Spreads'!W46:W65)+SUMSQ('Feeder Spreads'!W46:W65)-('Feeder Spreads'!W45-'Feeder Spreads'!W65)^2/20)/19),"")</f>
        <v>0</v>
      </c>
      <c r="EC45">
        <f>IFERROR('Feeder Spreads'!AC45,"")</f>
        <v>0</v>
      </c>
      <c r="ED45">
        <f>IFERROR(('Feeder Spreads'!AD45-AVERAGE('Feeder Spreads'!$AD$3:$AD$4308))/STDEV('Feeder Spreads'!$AD$3:$AD$4308),"")</f>
        <v>9.2057461789832318E-2</v>
      </c>
      <c r="EE45">
        <f>IFERROR('Feeder Spreads'!AD45-'Feeder Spreads'!AD50,"")</f>
        <v>0</v>
      </c>
      <c r="EF45">
        <f>IFERROR('Feeder Spreads'!AD45-'Feeder Spreads'!AD55,"")</f>
        <v>0</v>
      </c>
      <c r="EG45">
        <f>IFERROR(AVERAGE('Feeder Spreads'!AD45:AD64)+2*STDEV('Feeder Spreads'!AD45:AD64),"")</f>
        <v>0</v>
      </c>
      <c r="EH45">
        <f>IFERROR(AVERAGE('Feeder Spreads'!AD45:AD64)-2*STDEV('Feeder Spreads'!AD45:AD64),"")</f>
        <v>0</v>
      </c>
      <c r="EI45" t="str">
        <f>IFERROR(('Feeder Spreads'!AD45-(AVERAGE('Feeder Spreads'!AD45:AD64)-2*STDEV('Feeder Spreads'!AD45:AD64)))/(4*STDEV('Feeder Spreads'!AD45:AD64)),"")</f>
        <v/>
      </c>
      <c r="EJ45" t="str">
        <f>IFERROR(4*STDEV('Feeder Spreads'!AD45:AD64)/AVERAGE('Feeder Spreads'!AD45:AD64),"")</f>
        <v/>
      </c>
      <c r="EK45">
        <v>51.3048</v>
      </c>
      <c r="EL45">
        <f>IFERROR(SQRT((SUMSQ('Feeder Spreads'!AD45:AD64)-2*SUMPRODUCT('Feeder Spreads'!AD45:AD64,'Feeder Spreads'!AD46:AD65)+SUMSQ('Feeder Spreads'!AD46:AD65)-('Feeder Spreads'!AD45-'Feeder Spreads'!AD65)^2/20)/19),"")</f>
        <v>0</v>
      </c>
      <c r="EN45">
        <f>IFERROR('Feeder Spreads'!AJ45,"")</f>
        <v>0</v>
      </c>
      <c r="EO45">
        <f>IFERROR(('Feeder Spreads'!AK45-AVERAGE('Feeder Spreads'!$AK$3:$AK$4308))/STDEV('Feeder Spreads'!$AK$3:$AK$4308),"")</f>
        <v>-9.2057461789832346E-2</v>
      </c>
      <c r="EP45">
        <f>IFERROR('Feeder Spreads'!AK45-'Feeder Spreads'!AK50,"")</f>
        <v>0</v>
      </c>
      <c r="EQ45">
        <f>IFERROR('Feeder Spreads'!AK45-'Feeder Spreads'!AK55,"")</f>
        <v>0</v>
      </c>
      <c r="ER45">
        <f>IFERROR(AVERAGE('Feeder Spreads'!AK45:AK64)+2*STDEV('Feeder Spreads'!AK45:AK64),"")</f>
        <v>0</v>
      </c>
      <c r="ES45">
        <f>IFERROR(AVERAGE('Feeder Spreads'!AK45:AK64)-2*STDEV('Feeder Spreads'!AK45:AK64),"")</f>
        <v>0</v>
      </c>
      <c r="ET45" t="str">
        <f>IFERROR(('Feeder Spreads'!AK45-(AVERAGE('Feeder Spreads'!AK45:AK64)-2*STDEV('Feeder Spreads'!AK45:AK64)))/(4*STDEV('Feeder Spreads'!AK45:AK64)),"")</f>
        <v/>
      </c>
      <c r="EU45" t="str">
        <f>IFERROR(4*STDEV('Feeder Spreads'!AK45:AK64)/AVERAGE('Feeder Spreads'!AK45:AK64),"")</f>
        <v/>
      </c>
      <c r="EV45">
        <v>41.112400000000001</v>
      </c>
      <c r="EW45">
        <f>IFERROR(SQRT((SUMSQ('Feeder Spreads'!AK45:AK64)-2*SUMPRODUCT('Feeder Spreads'!AK45:AK64,'Feeder Spreads'!AK46:AK65)+SUMSQ('Feeder Spreads'!AK46:AK65)-('Feeder Spreads'!AK45-'Feeder Spreads'!AK65)^2/20)/19),"")</f>
        <v>0</v>
      </c>
      <c r="EY45">
        <f>IFERROR('Feeder Spreads'!AQ45,"")</f>
        <v>0</v>
      </c>
      <c r="EZ45">
        <f>IFERROR(('Feeder Spreads'!AR45-AVERAGE('Feeder Spreads'!$AR$3:$AR$4308))/STDEV('Feeder Spreads'!$AR$3:$AR$4308),"")</f>
        <v>-9.2057461789832332E-2</v>
      </c>
      <c r="FA45">
        <f>IFERROR('Feeder Spreads'!AR45-'Feeder Spreads'!AR50,"")</f>
        <v>0</v>
      </c>
      <c r="FB45">
        <f>IFERROR('Feeder Spreads'!AR45-'Feeder Spreads'!AR55,"")</f>
        <v>0</v>
      </c>
      <c r="FC45">
        <f>IFERROR(AVERAGE('Feeder Spreads'!AR45:AR64)+2*STDEV('Feeder Spreads'!AR45:AR64),"")</f>
        <v>0</v>
      </c>
      <c r="FD45">
        <f>IFERROR(AVERAGE('Feeder Spreads'!AR45:AR64)-2*STDEV('Feeder Spreads'!AR45:AR64),"")</f>
        <v>0</v>
      </c>
      <c r="FE45" t="str">
        <f>IFERROR(('Feeder Spreads'!AR45-(AVERAGE('Feeder Spreads'!AR45:AR64)-2*STDEV('Feeder Spreads'!AR45:AR64)))/(4*STDEV('Feeder Spreads'!AR45:AR64)),"")</f>
        <v/>
      </c>
      <c r="FF45" t="str">
        <f>IFERROR(4*STDEV('Feeder Spreads'!AR45:AR64)/AVERAGE('Feeder Spreads'!AR45:AR64),"")</f>
        <v/>
      </c>
      <c r="FG45">
        <v>38.017000000000003</v>
      </c>
      <c r="FH45">
        <f>IFERROR(SQRT((SUMSQ('Feeder Spreads'!AR45:AR64)-2*SUMPRODUCT('Feeder Spreads'!AR45:AR64,'Feeder Spreads'!AR46:AR65)+SUMSQ('Feeder Spreads'!AR46:AR65)-('Feeder Spreads'!AR45-'Feeder Spreads'!AR65)^2/20)/19),"")</f>
        <v>0</v>
      </c>
      <c r="FJ45">
        <f>IFERROR('Fat Spreads'!AX45,"")</f>
        <v>0</v>
      </c>
      <c r="FK45">
        <f>IFERROR(('Fat Spreads'!AY45-AVERAGE('Fat Spreads'!$AY$3:$AY$4308))/STDEV('Fat Spreads'!$AY$3:$AY$4308),"")</f>
        <v>9.2057461789832332E-2</v>
      </c>
      <c r="FL45">
        <f>IFERROR('Fat Spreads'!AY45-'Fat Spreads'!AY50,"")</f>
        <v>0</v>
      </c>
      <c r="FM45">
        <f>IFERROR('Fat Spreads'!AY45-'Fat Spreads'!AY55,"")</f>
        <v>0</v>
      </c>
      <c r="FN45">
        <f>IFERROR(AVERAGE('Fat Spreads'!AY45:AY64)+2*STDEV('Fat Spreads'!AY45:AY64),"")</f>
        <v>0</v>
      </c>
      <c r="FO45">
        <f>IFERROR(AVERAGE('Fat Spreads'!AY45:AY64)-2*STDEV('Fat Spreads'!AY45:AY64),"")</f>
        <v>0</v>
      </c>
      <c r="FP45" t="str">
        <f>IFERROR(('Fat Spreads'!AY45-(AVERAGE('Fat Spreads'!AY45:AY64)-2*STDEV('Fat Spreads'!AY45:AY64)))/(4*STDEV('Fat Spreads'!AY45:AY64)),"")</f>
        <v/>
      </c>
      <c r="FQ45" t="str">
        <f>IFERROR(4*STDEV('Fat Spreads'!AY45:AY64)/AVERAGE('Fat Spreads'!AY45:AY64),"")</f>
        <v/>
      </c>
      <c r="FR45">
        <v>30.912099999999999</v>
      </c>
      <c r="FS45">
        <f>IFERROR(SQRT((SUMSQ('Fat Spreads'!AY45:AY64)-2*SUMPRODUCT('Fat Spreads'!AY45:AY64,'Fat Spreads'!AY46:AY65)+SUMSQ('Fat Spreads'!AY46:AY65)-('Fat Spreads'!AY45-'Fat Spreads'!AY65)^2/20)/19),"")</f>
        <v>0</v>
      </c>
      <c r="FU45">
        <f>IFERROR('Fat Spreads'!BE45,"")</f>
        <v>0</v>
      </c>
      <c r="FV45">
        <f>IFERROR(('Fat Spreads'!BF45-AVERAGE('Fat Spreads'!$BF$3:$BF$4308))/STDEV('Fat Spreads'!$BF$3:$BF$4308),"")</f>
        <v>9.2057461789832332E-2</v>
      </c>
      <c r="FW45">
        <f>IFERROR('Fat Spreads'!BF45-'Fat Spreads'!BF50,"")</f>
        <v>0</v>
      </c>
      <c r="FX45">
        <f>IFERROR('Fat Spreads'!BF45-'Fat Spreads'!BF55,"")</f>
        <v>0</v>
      </c>
      <c r="FY45">
        <f>IFERROR(AVERAGE('Fat Spreads'!BF45:BF64)+2*STDEV('Fat Spreads'!BF45:BF64),"")</f>
        <v>0</v>
      </c>
      <c r="FZ45">
        <f>IFERROR(AVERAGE('Fat Spreads'!BF45:BF64)-2*STDEV('Fat Spreads'!BF45:BF64),"")</f>
        <v>0</v>
      </c>
      <c r="GA45" t="str">
        <f>IFERROR(('Fat Spreads'!BF45-(AVERAGE('Fat Spreads'!BF45:BF64)-2*STDEV('Fat Spreads'!BF45:BF64)))/(4*STDEV('Fat Spreads'!BF45:BF64)),"")</f>
        <v/>
      </c>
      <c r="GB45" t="str">
        <f>IFERROR(4*STDEV('Fat Spreads'!BF45:BF64)/AVERAGE('Fat Spreads'!BF45:BF64),"")</f>
        <v/>
      </c>
      <c r="GC45">
        <v>41.136800000000001</v>
      </c>
      <c r="GD45">
        <f>IFERROR(SQRT((SUMSQ('Fat Spreads'!BF45:BF64)-2*SUMPRODUCT('Fat Spreads'!BF45:BF64,'Fat Spreads'!BF46:BF65)+SUMSQ('Fat Spreads'!BF46:BF65)-('Fat Spreads'!BF45-'Fat Spreads'!BF65)^2/20)/19),"")</f>
        <v>0</v>
      </c>
    </row>
    <row r="46" spans="1:186" x14ac:dyDescent="0.25">
      <c r="A46">
        <f>IFERROR('Fat Spreads'!A46,"")</f>
        <v>0</v>
      </c>
      <c r="B46">
        <f>IFERROR(('Fat Spreads'!B46-AVERAGE('Fat Spreads'!$B$3:$B$4308))/STDEV('Fat Spreads'!$B$3:$B$4308),"")</f>
        <v>9.2057461789832346E-2</v>
      </c>
      <c r="C46">
        <f>IFERROR('Fat Spreads'!B46-'Fat Spreads'!B51,"")</f>
        <v>0</v>
      </c>
      <c r="D46">
        <f>IFERROR('Fat Spreads'!B46-'Fat Spreads'!B56,"")</f>
        <v>0</v>
      </c>
      <c r="E46">
        <f>IFERROR(AVERAGE('Fat Spreads'!B46:B65)+2*STDEV('Fat Spreads'!B46:B65),"")</f>
        <v>0</v>
      </c>
      <c r="F46">
        <f>IFERROR(AVERAGE('Fat Spreads'!B46:B65)-2*STDEV('Fat Spreads'!B46:B65),"")</f>
        <v>0</v>
      </c>
      <c r="G46" t="str">
        <f>IFERROR(('Fat Spreads'!B46-(AVERAGE('Fat Spreads'!B46:B65)-2*STDEV('Fat Spreads'!B46:B65)))/(4*STDEV('Fat Spreads'!B46:B65)),"")</f>
        <v/>
      </c>
      <c r="H46" t="str">
        <f>IFERROR(4*STDEV('Fat Spreads'!B46:B65)/AVERAGE('Fat Spreads'!B46:B65),"")</f>
        <v/>
      </c>
      <c r="I46">
        <v>38.309699999999999</v>
      </c>
      <c r="J46">
        <f>IFERROR(SQRT((SUMSQ('Fat Spreads'!B46:B65)-2*SUMPRODUCT('Fat Spreads'!B46:B65,'Fat Spreads'!B47:B66)+SUMSQ('Fat Spreads'!B47:B66)-('Fat Spreads'!B46-'Fat Spreads'!B66)^2/20)/19),"")</f>
        <v>0</v>
      </c>
      <c r="L46">
        <f>IFERROR('Fat Spreads'!H46,"")</f>
        <v>0</v>
      </c>
      <c r="M46">
        <f>IFERROR(('Fat Spreads'!I46-AVERAGE('Fat Spreads'!$I$3:$I$4308))/STDEV('Fat Spreads'!$I$3:$I$4308),"")</f>
        <v>-9.2057461789832332E-2</v>
      </c>
      <c r="N46">
        <f>IFERROR('Fat Spreads'!I46-'Fat Spreads'!I51,"")</f>
        <v>0</v>
      </c>
      <c r="O46">
        <f>IFERROR('Fat Spreads'!I46-'Fat Spreads'!I56,"")</f>
        <v>0</v>
      </c>
      <c r="P46">
        <f>IFERROR(AVERAGE('Fat Spreads'!I46:I65)+2*STDEV('Fat Spreads'!I46:I65),"")</f>
        <v>0</v>
      </c>
      <c r="Q46">
        <f>IFERROR(AVERAGE('Fat Spreads'!I46:I65)-2*STDEV('Fat Spreads'!I46:I65),"")</f>
        <v>0</v>
      </c>
      <c r="R46" t="str">
        <f>IFERROR(('Fat Spreads'!I46-(AVERAGE('Fat Spreads'!I46:I65)-2*STDEV('Fat Spreads'!I46:I65)))/(4*STDEV('Fat Spreads'!I46:I65)),"")</f>
        <v/>
      </c>
      <c r="S46" t="str">
        <f>IFERROR(4*STDEV('Fat Spreads'!I46:I65)/AVERAGE('Fat Spreads'!I46:I65),"")</f>
        <v/>
      </c>
      <c r="T46">
        <v>46.161700000000003</v>
      </c>
      <c r="U46">
        <f>IFERROR(SQRT((SUMSQ('Fat Spreads'!I46:I65)-2*SUMPRODUCT('Fat Spreads'!I46:I65,'Fat Spreads'!I47:I66)+SUMSQ('Fat Spreads'!I47:I66)-('Fat Spreads'!I46-'Fat Spreads'!I66)^2/20)/19),"")</f>
        <v>0</v>
      </c>
      <c r="W46">
        <f>IFERROR('Fat Spreads'!AQ46,"")</f>
        <v>0</v>
      </c>
      <c r="X46">
        <f>IFERROR(('Fat Spreads'!AR46-AVERAGE('Fat Spreads'!$AR$3:$AR$4308))/STDEV('Fat Spreads'!$AR$3:$AR$4308),"")</f>
        <v>-9.2057461789832346E-2</v>
      </c>
      <c r="Y46">
        <f>IFERROR('Fat Spreads'!AR46-'Fat Spreads'!AR51,"")</f>
        <v>0</v>
      </c>
      <c r="Z46">
        <f>IFERROR('Fat Spreads'!AR46-'Fat Spreads'!AR56,"")</f>
        <v>0</v>
      </c>
      <c r="AA46">
        <f>IFERROR(AVERAGE('Fat Spreads'!AR46:AR65)+2*STDEV('Fat Spreads'!AR46:AR65),"")</f>
        <v>0</v>
      </c>
      <c r="AB46">
        <f>IFERROR(AVERAGE('Fat Spreads'!AR46:AR65)-2*STDEV('Fat Spreads'!AR46:AR65),"")</f>
        <v>0</v>
      </c>
      <c r="AC46" t="str">
        <f>IFERROR(('Fat Spreads'!AR46-(AVERAGE('Fat Spreads'!AR46:AR65)-2*STDEV('Fat Spreads'!AR46:AR65)))/(4*STDEV('Fat Spreads'!AR46:AR65)),"")</f>
        <v/>
      </c>
      <c r="AD46" t="str">
        <f>IFERROR(4*STDEV('Fat Spreads'!AR46:AR65)/AVERAGE('Fat Spreads'!AR46:AR65),"")</f>
        <v/>
      </c>
      <c r="AE46">
        <v>58.723300000000002</v>
      </c>
      <c r="AF46">
        <f>IFERROR(SQRT((SUMSQ('Fat Spreads'!AR46:AR65)-2*SUMPRODUCT('Fat Spreads'!AR46:AR65,'Fat Spreads'!AR47:AR66)+SUMSQ('Fat Spreads'!AR47:AR66)-('Fat Spreads'!AR46-'Fat Spreads'!AR66)^2/20)/19),"")</f>
        <v>0</v>
      </c>
      <c r="AH46">
        <f>IFERROR('Fat Spreads'!O46,"")</f>
        <v>0</v>
      </c>
      <c r="AI46">
        <f>IFERROR(('Fat Spreads'!P46-AVERAGE('Fat Spreads'!$P$3:$P$4308))/STDEV('Fat Spreads'!$P$3:$P$4308),"")</f>
        <v>-9.2057461789832332E-2</v>
      </c>
      <c r="AJ46">
        <f>IFERROR('Fat Spreads'!P46-'Fat Spreads'!P51,"")</f>
        <v>0</v>
      </c>
      <c r="AK46">
        <f>IFERROR('Fat Spreads'!P46-'Fat Spreads'!P56,"")</f>
        <v>0</v>
      </c>
      <c r="AL46">
        <f>IFERROR(AVERAGE('Fat Spreads'!P46:P65)+2*STDEV('Fat Spreads'!P46:P65),"")</f>
        <v>0</v>
      </c>
      <c r="AM46">
        <f>IFERROR(AVERAGE('Fat Spreads'!P46:P65)-2*STDEV('Fat Spreads'!P46:P65),"")</f>
        <v>0</v>
      </c>
      <c r="AN46" t="str">
        <f>IFERROR(('Fat Spreads'!P46-(AVERAGE('Fat Spreads'!P46:P65)-2*STDEV('Fat Spreads'!P46:P65)))/(4*STDEV('Fat Spreads'!P46:P65)),"")</f>
        <v/>
      </c>
      <c r="AO46" t="str">
        <f>IFERROR(4*STDEV('Fat Spreads'!P46:P65)/AVERAGE('Fat Spreads'!P46:P65),"")</f>
        <v/>
      </c>
      <c r="AP46">
        <v>57.2438</v>
      </c>
      <c r="AQ46">
        <f>IFERROR(SQRT((SUMSQ('Fat Spreads'!P46:P65)-2*SUMPRODUCT('Fat Spreads'!P46:P65,'Fat Spreads'!P47:P66)+SUMSQ('Fat Spreads'!P47:P66)-('Fat Spreads'!P46-'Fat Spreads'!P66)^2/20)/19),"")</f>
        <v>0</v>
      </c>
      <c r="AS46">
        <f>IFERROR('Fat Spreads'!AJ46,"")</f>
        <v>0</v>
      </c>
      <c r="AT46">
        <f>IFERROR(('Fat Spreads'!AK46-AVERAGE('Fat Spreads'!$AK$3:$AK$4308))/STDEV('Fat Spreads'!$AK$3:$AK$4308),"")</f>
        <v>-9.2057461789832332E-2</v>
      </c>
      <c r="AU46">
        <f>IFERROR('Fat Spreads'!AK46-'Fat Spreads'!AK51,"")</f>
        <v>0</v>
      </c>
      <c r="AV46">
        <f>IFERROR('Fat Spreads'!AK46-'Fat Spreads'!AK56,"")</f>
        <v>0</v>
      </c>
      <c r="AW46">
        <f>IFERROR(AVERAGE('Fat Spreads'!AK46:AK65)+2*STDEV('Fat Spreads'!AK46:AK65),"")</f>
        <v>0</v>
      </c>
      <c r="AX46">
        <f>IFERROR(AVERAGE('Fat Spreads'!AK46:AK65)-2*STDEV('Fat Spreads'!AK46:AK65),"")</f>
        <v>0</v>
      </c>
      <c r="AY46" t="str">
        <f>IFERROR(('Fat Spreads'!AK46-(AVERAGE('Fat Spreads'!AK46:AK65)-2*STDEV('Fat Spreads'!AK46:AK65)))/(4*STDEV('Fat Spreads'!AK46:AK65)),"")</f>
        <v/>
      </c>
      <c r="AZ46" t="str">
        <f>IFERROR(4*STDEV('Fat Spreads'!AK46:AK65)/AVERAGE('Fat Spreads'!AK46:AK65),"")</f>
        <v/>
      </c>
      <c r="BA46">
        <v>32.2926</v>
      </c>
      <c r="BB46">
        <f>IFERROR(SQRT((SUMSQ('Fat Spreads'!AK46:AK65)-2*SUMPRODUCT('Fat Spreads'!AK46:AK65,'Fat Spreads'!AK47:AK66)+SUMSQ('Fat Spreads'!AK47:AK66)-('Fat Spreads'!AK46-'Fat Spreads'!AK66)^2/20)/19),"")</f>
        <v>0</v>
      </c>
      <c r="BD46">
        <f>IFERROR('Fat Spreads'!V46,"")</f>
        <v>0</v>
      </c>
      <c r="BE46">
        <f>IFERROR(('Fat Spreads'!W46-AVERAGE('Fat Spreads'!$W$3:$W$4308))/STDEV('Fat Spreads'!$W$3:$W$4308),"")</f>
        <v>-9.2057461789832332E-2</v>
      </c>
      <c r="BF46">
        <f>IFERROR('Fat Spreads'!W46-'Fat Spreads'!W51,"")</f>
        <v>0</v>
      </c>
      <c r="BG46">
        <f>IFERROR('Fat Spreads'!W46-'Fat Spreads'!W56,"")</f>
        <v>0</v>
      </c>
      <c r="BH46">
        <f>IFERROR(AVERAGE('Fat Spreads'!W46:W65)+2*STDEV('Fat Spreads'!W46:W65),"")</f>
        <v>0</v>
      </c>
      <c r="BI46">
        <f>IFERROR(AVERAGE('Fat Spreads'!W46:W65)-2*STDEV('Fat Spreads'!W46:W65),"")</f>
        <v>0</v>
      </c>
      <c r="BJ46" t="str">
        <f>IFERROR(('Fat Spreads'!W46-(AVERAGE('Fat Spreads'!W46:W65)-2*STDEV('Fat Spreads'!W46:W65)))/(4*STDEV('Fat Spreads'!W46:W65)),"")</f>
        <v/>
      </c>
      <c r="BK46" t="str">
        <f>IFERROR(4*STDEV('Fat Spreads'!W46:W65)/AVERAGE('Fat Spreads'!W46:W65),"")</f>
        <v/>
      </c>
      <c r="BL46">
        <v>58.791699999999999</v>
      </c>
      <c r="BM46">
        <f>IFERROR(SQRT((SUMSQ('Fat Spreads'!W46:W65)-2*SUMPRODUCT('Fat Spreads'!W46:W65,'Fat Spreads'!W47:W66)+SUMSQ('Fat Spreads'!W47:W66)-('Fat Spreads'!W46-'Fat Spreads'!W66)^2/20)/19),"")</f>
        <v>0</v>
      </c>
      <c r="BO46">
        <f>IFERROR('Fat Spreads'!AC46,"")</f>
        <v>0</v>
      </c>
      <c r="BP46">
        <f>IFERROR(('Fat Spreads'!AD46-AVERAGE('Fat Spreads'!$AD$3:$AD$4308))/STDEV('Fat Spreads'!$AD$3:$AD$4308),"")</f>
        <v>-9.2057461789832332E-2</v>
      </c>
      <c r="BQ46">
        <f>IFERROR('Fat Spreads'!AD46-'Fat Spreads'!AD51,"")</f>
        <v>0</v>
      </c>
      <c r="BR46">
        <f>IFERROR('Fat Spreads'!AD46-'Fat Spreads'!AD56,"")</f>
        <v>0</v>
      </c>
      <c r="BS46">
        <f>IFERROR(AVERAGE('Fat Spreads'!AD46:AD65)+2*STDEV('Fat Spreads'!AD46:AD65),"")</f>
        <v>0</v>
      </c>
      <c r="BT46">
        <f>IFERROR(AVERAGE('Fat Spreads'!AD46:AD65)-2*STDEV('Fat Spreads'!AD46:AD65),"")</f>
        <v>0</v>
      </c>
      <c r="BU46" t="str">
        <f>IFERROR(('Fat Spreads'!AD46-(AVERAGE('Fat Spreads'!AD46:AD65)-2*STDEV('Fat Spreads'!AD46:AD65)))/(4*STDEV('Fat Spreads'!AD46:AD65)),"")</f>
        <v/>
      </c>
      <c r="BV46" t="str">
        <f>IFERROR(4*STDEV('Fat Spreads'!AD46:AD65)/AVERAGE('Fat Spreads'!AD46:AD65),"")</f>
        <v/>
      </c>
      <c r="BW46">
        <v>67.006900000000002</v>
      </c>
      <c r="BX46">
        <f>IFERROR(SQRT((SUMSQ('Fat Spreads'!AD46:AD65)-2*SUMPRODUCT('Fat Spreads'!AD46:AD65,'Fat Spreads'!AD47:AD66)+SUMSQ('Fat Spreads'!AD47:AD66)-('Fat Spreads'!AD46-'Fat Spreads'!AD66)^2/20)/19),"")</f>
        <v>0</v>
      </c>
      <c r="BZ46">
        <f>IFERROR('Feeder Spreads'!A46,"")</f>
        <v>0</v>
      </c>
      <c r="CA46">
        <f>IFERROR(('Feeder Spreads'!B46-AVERAGE('Feeder Spreads'!$B$3:$B$4308))/STDEV('Feeder Spreads'!$B$3:$B$4308),"")</f>
        <v>-9.2057461789832346E-2</v>
      </c>
      <c r="CB46">
        <f>IFERROR('Feeder Spreads'!B46-'Feeder Spreads'!B51,"")</f>
        <v>0</v>
      </c>
      <c r="CC46">
        <f>IFERROR('Feeder Spreads'!B46-'Feeder Spreads'!B56,"")</f>
        <v>0</v>
      </c>
      <c r="CD46">
        <f>IFERROR(AVERAGE('Feeder Spreads'!B46:B65)+2*STDEV('Feeder Spreads'!B46:B65),"")</f>
        <v>0</v>
      </c>
      <c r="CE46">
        <f>IFERROR(AVERAGE('Feeder Spreads'!B46:B65)-2*STDEV('Feeder Spreads'!B46:B65),"")</f>
        <v>0</v>
      </c>
      <c r="CF46" t="str">
        <f>IFERROR(('Feeder Spreads'!B46-(AVERAGE('Feeder Spreads'!B46:B65)-2*STDEV('Feeder Spreads'!B46:B65)))/(4*STDEV('Feeder Spreads'!B46:B65)),"")</f>
        <v/>
      </c>
      <c r="CG46" t="str">
        <f>IFERROR(4*STDEV('Feeder Spreads'!B46:B65)/AVERAGE('Feeder Spreads'!B46:B65),"")</f>
        <v/>
      </c>
      <c r="CH46">
        <v>53.260800000000003</v>
      </c>
      <c r="CI46">
        <f>IFERROR(SQRT((SUMSQ('Feeder Spreads'!B46:B65)-2*SUMPRODUCT('Feeder Spreads'!B46:B65,'Feeder Spreads'!B47:B66)+SUMSQ('Feeder Spreads'!B47:B66)-('Feeder Spreads'!B46-'Feeder Spreads'!B66)^2/20)/19),"")</f>
        <v>0</v>
      </c>
      <c r="CK46">
        <f>IFERROR('Feeder Spreads'!AX46,"")</f>
        <v>0</v>
      </c>
      <c r="CL46">
        <f>IFERROR(('Feeder Spreads'!AY46-AVERAGE('Feeder Spreads'!$AY$3:$AY$4308))/STDEV('Feeder Spreads'!$AY$3:$AY$4308),"")</f>
        <v>-9.2057461789832346E-2</v>
      </c>
      <c r="CM46">
        <f>IFERROR('Feeder Spreads'!AY46-'Feeder Spreads'!AY51,"")</f>
        <v>0</v>
      </c>
      <c r="CN46">
        <f>IFERROR('Feeder Spreads'!AY46-'Feeder Spreads'!AY56,"")</f>
        <v>0</v>
      </c>
      <c r="CO46">
        <f>IFERROR(AVERAGE('Feeder Spreads'!AY46:AY65)+2*STDEV('Feeder Spreads'!AY46:AY65),"")</f>
        <v>0</v>
      </c>
      <c r="CP46">
        <f>IFERROR(AVERAGE('Feeder Spreads'!AY46:AY65)-2*STDEV('Feeder Spreads'!AY46:AY65),"")</f>
        <v>0</v>
      </c>
      <c r="CQ46" t="str">
        <f>IFERROR(('Feeder Spreads'!AY46-(AVERAGE('Feeder Spreads'!AY46:AY65)-2*STDEV('Feeder Spreads'!AY46:AY65)))/(4*STDEV('Feeder Spreads'!AY46:AY65)),"")</f>
        <v/>
      </c>
      <c r="CR46" t="str">
        <f>IFERROR(4*STDEV('Feeder Spreads'!AY46:AY65)/AVERAGE('Feeder Spreads'!AY46:AY65),"")</f>
        <v/>
      </c>
      <c r="CS46">
        <v>73.6648</v>
      </c>
      <c r="CT46">
        <f>IFERROR(SQRT((SUMSQ('Feeder Spreads'!AY46:AY65)-2*SUMPRODUCT('Feeder Spreads'!AY46:AY65,'Feeder Spreads'!AY47:AY66)+SUMSQ('Feeder Spreads'!AY47:AY66)-('Feeder Spreads'!AY46-'Feeder Spreads'!AY66)^2/20)/19),"")</f>
        <v>0</v>
      </c>
      <c r="CV46">
        <f>IFERROR('Feeder Spreads'!H46,"")</f>
        <v>0</v>
      </c>
      <c r="CW46">
        <f>IFERROR(('Feeder Spreads'!I46-AVERAGE('Feeder Spreads'!$I$3:$I$4308))/STDEV('Feeder Spreads'!$I$3:$I$4308),"")</f>
        <v>-9.2057461789832332E-2</v>
      </c>
      <c r="CX46">
        <f>IFERROR('Feeder Spreads'!I46-'Feeder Spreads'!I51,"")</f>
        <v>0</v>
      </c>
      <c r="CY46">
        <f>IFERROR('Feeder Spreads'!I46-'Feeder Spreads'!I56,"")</f>
        <v>0</v>
      </c>
      <c r="CZ46">
        <f>IFERROR(AVERAGE('Feeder Spreads'!I46:I65)+2*STDEV('Feeder Spreads'!I46:I65),"")</f>
        <v>0</v>
      </c>
      <c r="DA46">
        <f>IFERROR(AVERAGE('Feeder Spreads'!I46:I65)-2*STDEV('Feeder Spreads'!I46:I65),"")</f>
        <v>0</v>
      </c>
      <c r="DB46" t="str">
        <f>IFERROR(('Feeder Spreads'!I46-(AVERAGE('Feeder Spreads'!I46:I65)-2*STDEV('Feeder Spreads'!I46:I65)))/(4*STDEV('Feeder Spreads'!I46:I65)),"")</f>
        <v/>
      </c>
      <c r="DC46" t="str">
        <f>IFERROR(4*STDEV('Feeder Spreads'!I46:I65)/AVERAGE('Feeder Spreads'!I46:I65),"")</f>
        <v/>
      </c>
      <c r="DD46">
        <v>47.527299999999997</v>
      </c>
      <c r="DE46">
        <f>IFERROR(SQRT((SUMSQ('Feeder Spreads'!I46:I65)-2*SUMPRODUCT('Feeder Spreads'!I46:I65,'Feeder Spreads'!I47:I66)+SUMSQ('Feeder Spreads'!I47:I66)-('Feeder Spreads'!I46-'Feeder Spreads'!I66)^2/20)/19),"")</f>
        <v>0</v>
      </c>
      <c r="DG46">
        <f>IFERROR('Feeder Spreads'!O46,"")</f>
        <v>0</v>
      </c>
      <c r="DH46">
        <f>IFERROR(('Feeder Spreads'!P46-AVERAGE('Feeder Spreads'!$P$3:$P$4308))/STDEV('Feeder Spreads'!$P$3:$P$4308),"")</f>
        <v>-9.2057461789832346E-2</v>
      </c>
      <c r="DI46">
        <f>IFERROR('Feeder Spreads'!P46-'Feeder Spreads'!P51,"")</f>
        <v>0</v>
      </c>
      <c r="DJ46">
        <f>IFERROR('Feeder Spreads'!P46-'Feeder Spreads'!P56,"")</f>
        <v>0</v>
      </c>
      <c r="DK46">
        <f>IFERROR(AVERAGE('Feeder Spreads'!P46:P65)+2*STDEV('Feeder Spreads'!P46:P65),"")</f>
        <v>0</v>
      </c>
      <c r="DL46">
        <f>IFERROR(AVERAGE('Feeder Spreads'!P46:P65)-2*STDEV('Feeder Spreads'!P46:P65),"")</f>
        <v>0</v>
      </c>
      <c r="DM46" t="str">
        <f>IFERROR(('Feeder Spreads'!P46-(AVERAGE('Feeder Spreads'!P46:P65)-2*STDEV('Feeder Spreads'!P46:P65)))/(4*STDEV('Feeder Spreads'!P46:P65)),"")</f>
        <v/>
      </c>
      <c r="DN46" t="str">
        <f>IFERROR(4*STDEV('Feeder Spreads'!P46:P65)/AVERAGE('Feeder Spreads'!P46:P65),"")</f>
        <v/>
      </c>
      <c r="DO46">
        <v>41.343400000000003</v>
      </c>
      <c r="DP46">
        <f>IFERROR(SQRT((SUMSQ('Feeder Spreads'!P46:P65)-2*SUMPRODUCT('Feeder Spreads'!P46:P65,'Feeder Spreads'!P47:P66)+SUMSQ('Feeder Spreads'!P47:P66)-('Feeder Spreads'!P46-'Feeder Spreads'!P66)^2/20)/19),"")</f>
        <v>0</v>
      </c>
      <c r="DR46">
        <f>IFERROR('Feeder Spreads'!V46,"")</f>
        <v>0</v>
      </c>
      <c r="DS46">
        <f>IFERROR(('Feeder Spreads'!W46-AVERAGE('Feeder Spreads'!$W$3:$W$4308))/STDEV('Feeder Spreads'!$W$3:$W$4308),"")</f>
        <v>-9.2057461789832332E-2</v>
      </c>
      <c r="DT46">
        <f>IFERROR('Feeder Spreads'!W46-'Feeder Spreads'!W51,"")</f>
        <v>0</v>
      </c>
      <c r="DU46">
        <f>IFERROR('Feeder Spreads'!W46-'Feeder Spreads'!W56,"")</f>
        <v>0</v>
      </c>
      <c r="DV46">
        <f>IFERROR(AVERAGE('Feeder Spreads'!W46:W65)+2*STDEV('Feeder Spreads'!W46:W65),"")</f>
        <v>0</v>
      </c>
      <c r="DW46">
        <f>IFERROR(AVERAGE('Feeder Spreads'!W46:W65)-2*STDEV('Feeder Spreads'!W46:W65),"")</f>
        <v>0</v>
      </c>
      <c r="DX46" t="str">
        <f>IFERROR(('Feeder Spreads'!W46-(AVERAGE('Feeder Spreads'!W46:W65)-2*STDEV('Feeder Spreads'!W46:W65)))/(4*STDEV('Feeder Spreads'!W46:W65)),"")</f>
        <v/>
      </c>
      <c r="DY46" t="str">
        <f>IFERROR(4*STDEV('Feeder Spreads'!W46:W65)/AVERAGE('Feeder Spreads'!W46:W65),"")</f>
        <v/>
      </c>
      <c r="DZ46">
        <v>60.393900000000002</v>
      </c>
      <c r="EA46">
        <f>IFERROR(SQRT((SUMSQ('Feeder Spreads'!W46:W65)-2*SUMPRODUCT('Feeder Spreads'!W46:W65,'Feeder Spreads'!W47:W66)+SUMSQ('Feeder Spreads'!W47:W66)-('Feeder Spreads'!W46-'Feeder Spreads'!W66)^2/20)/19),"")</f>
        <v>0</v>
      </c>
      <c r="EC46">
        <f>IFERROR('Feeder Spreads'!AC46,"")</f>
        <v>0</v>
      </c>
      <c r="ED46">
        <f>IFERROR(('Feeder Spreads'!AD46-AVERAGE('Feeder Spreads'!$AD$3:$AD$4308))/STDEV('Feeder Spreads'!$AD$3:$AD$4308),"")</f>
        <v>9.2057461789832318E-2</v>
      </c>
      <c r="EE46">
        <f>IFERROR('Feeder Spreads'!AD46-'Feeder Spreads'!AD51,"")</f>
        <v>0</v>
      </c>
      <c r="EF46">
        <f>IFERROR('Feeder Spreads'!AD46-'Feeder Spreads'!AD56,"")</f>
        <v>0</v>
      </c>
      <c r="EG46">
        <f>IFERROR(AVERAGE('Feeder Spreads'!AD46:AD65)+2*STDEV('Feeder Spreads'!AD46:AD65),"")</f>
        <v>0</v>
      </c>
      <c r="EH46">
        <f>IFERROR(AVERAGE('Feeder Spreads'!AD46:AD65)-2*STDEV('Feeder Spreads'!AD46:AD65),"")</f>
        <v>0</v>
      </c>
      <c r="EI46" t="str">
        <f>IFERROR(('Feeder Spreads'!AD46-(AVERAGE('Feeder Spreads'!AD46:AD65)-2*STDEV('Feeder Spreads'!AD46:AD65)))/(4*STDEV('Feeder Spreads'!AD46:AD65)),"")</f>
        <v/>
      </c>
      <c r="EJ46" t="str">
        <f>IFERROR(4*STDEV('Feeder Spreads'!AD46:AD65)/AVERAGE('Feeder Spreads'!AD46:AD65),"")</f>
        <v/>
      </c>
      <c r="EK46">
        <v>43.4221</v>
      </c>
      <c r="EL46">
        <f>IFERROR(SQRT((SUMSQ('Feeder Spreads'!AD46:AD65)-2*SUMPRODUCT('Feeder Spreads'!AD46:AD65,'Feeder Spreads'!AD47:AD66)+SUMSQ('Feeder Spreads'!AD47:AD66)-('Feeder Spreads'!AD46-'Feeder Spreads'!AD66)^2/20)/19),"")</f>
        <v>0</v>
      </c>
      <c r="EN46">
        <f>IFERROR('Feeder Spreads'!AJ46,"")</f>
        <v>0</v>
      </c>
      <c r="EO46">
        <f>IFERROR(('Feeder Spreads'!AK46-AVERAGE('Feeder Spreads'!$AK$3:$AK$4308))/STDEV('Feeder Spreads'!$AK$3:$AK$4308),"")</f>
        <v>-9.2057461789832346E-2</v>
      </c>
      <c r="EP46">
        <f>IFERROR('Feeder Spreads'!AK46-'Feeder Spreads'!AK51,"")</f>
        <v>0</v>
      </c>
      <c r="EQ46">
        <f>IFERROR('Feeder Spreads'!AK46-'Feeder Spreads'!AK56,"")</f>
        <v>0</v>
      </c>
      <c r="ER46">
        <f>IFERROR(AVERAGE('Feeder Spreads'!AK46:AK65)+2*STDEV('Feeder Spreads'!AK46:AK65),"")</f>
        <v>0</v>
      </c>
      <c r="ES46">
        <f>IFERROR(AVERAGE('Feeder Spreads'!AK46:AK65)-2*STDEV('Feeder Spreads'!AK46:AK65),"")</f>
        <v>0</v>
      </c>
      <c r="ET46" t="str">
        <f>IFERROR(('Feeder Spreads'!AK46-(AVERAGE('Feeder Spreads'!AK46:AK65)-2*STDEV('Feeder Spreads'!AK46:AK65)))/(4*STDEV('Feeder Spreads'!AK46:AK65)),"")</f>
        <v/>
      </c>
      <c r="EU46" t="str">
        <f>IFERROR(4*STDEV('Feeder Spreads'!AK46:AK65)/AVERAGE('Feeder Spreads'!AK46:AK65),"")</f>
        <v/>
      </c>
      <c r="EV46">
        <v>38.180900000000001</v>
      </c>
      <c r="EW46">
        <f>IFERROR(SQRT((SUMSQ('Feeder Spreads'!AK46:AK65)-2*SUMPRODUCT('Feeder Spreads'!AK46:AK65,'Feeder Spreads'!AK47:AK66)+SUMSQ('Feeder Spreads'!AK47:AK66)-('Feeder Spreads'!AK46-'Feeder Spreads'!AK66)^2/20)/19),"")</f>
        <v>0</v>
      </c>
      <c r="EY46">
        <f>IFERROR('Feeder Spreads'!AQ46,"")</f>
        <v>0</v>
      </c>
      <c r="EZ46">
        <f>IFERROR(('Feeder Spreads'!AR46-AVERAGE('Feeder Spreads'!$AR$3:$AR$4308))/STDEV('Feeder Spreads'!$AR$3:$AR$4308),"")</f>
        <v>-9.2057461789832332E-2</v>
      </c>
      <c r="FA46">
        <f>IFERROR('Feeder Spreads'!AR46-'Feeder Spreads'!AR51,"")</f>
        <v>0</v>
      </c>
      <c r="FB46">
        <f>IFERROR('Feeder Spreads'!AR46-'Feeder Spreads'!AR56,"")</f>
        <v>0</v>
      </c>
      <c r="FC46">
        <f>IFERROR(AVERAGE('Feeder Spreads'!AR46:AR65)+2*STDEV('Feeder Spreads'!AR46:AR65),"")</f>
        <v>0</v>
      </c>
      <c r="FD46">
        <f>IFERROR(AVERAGE('Feeder Spreads'!AR46:AR65)-2*STDEV('Feeder Spreads'!AR46:AR65),"")</f>
        <v>0</v>
      </c>
      <c r="FE46" t="str">
        <f>IFERROR(('Feeder Spreads'!AR46-(AVERAGE('Feeder Spreads'!AR46:AR65)-2*STDEV('Feeder Spreads'!AR46:AR65)))/(4*STDEV('Feeder Spreads'!AR46:AR65)),"")</f>
        <v/>
      </c>
      <c r="FF46" t="str">
        <f>IFERROR(4*STDEV('Feeder Spreads'!AR46:AR65)/AVERAGE('Feeder Spreads'!AR46:AR65),"")</f>
        <v/>
      </c>
      <c r="FG46">
        <v>39.114699999999999</v>
      </c>
      <c r="FH46">
        <f>IFERROR(SQRT((SUMSQ('Feeder Spreads'!AR46:AR65)-2*SUMPRODUCT('Feeder Spreads'!AR46:AR65,'Feeder Spreads'!AR47:AR66)+SUMSQ('Feeder Spreads'!AR47:AR66)-('Feeder Spreads'!AR46-'Feeder Spreads'!AR66)^2/20)/19),"")</f>
        <v>0</v>
      </c>
      <c r="FJ46">
        <f>IFERROR('Fat Spreads'!AX46,"")</f>
        <v>0</v>
      </c>
      <c r="FK46">
        <f>IFERROR(('Fat Spreads'!AY46-AVERAGE('Fat Spreads'!$AY$3:$AY$4308))/STDEV('Fat Spreads'!$AY$3:$AY$4308),"")</f>
        <v>9.2057461789832332E-2</v>
      </c>
      <c r="FL46">
        <f>IFERROR('Fat Spreads'!AY46-'Fat Spreads'!AY51,"")</f>
        <v>0</v>
      </c>
      <c r="FM46">
        <f>IFERROR('Fat Spreads'!AY46-'Fat Spreads'!AY56,"")</f>
        <v>0</v>
      </c>
      <c r="FN46">
        <f>IFERROR(AVERAGE('Fat Spreads'!AY46:AY65)+2*STDEV('Fat Spreads'!AY46:AY65),"")</f>
        <v>0</v>
      </c>
      <c r="FO46">
        <f>IFERROR(AVERAGE('Fat Spreads'!AY46:AY65)-2*STDEV('Fat Spreads'!AY46:AY65),"")</f>
        <v>0</v>
      </c>
      <c r="FP46" t="str">
        <f>IFERROR(('Fat Spreads'!AY46-(AVERAGE('Fat Spreads'!AY46:AY65)-2*STDEV('Fat Spreads'!AY46:AY65)))/(4*STDEV('Fat Spreads'!AY46:AY65)),"")</f>
        <v/>
      </c>
      <c r="FQ46" t="str">
        <f>IFERROR(4*STDEV('Fat Spreads'!AY46:AY65)/AVERAGE('Fat Spreads'!AY46:AY65),"")</f>
        <v/>
      </c>
      <c r="FR46">
        <v>30.6282</v>
      </c>
      <c r="FS46">
        <f>IFERROR(SQRT((SUMSQ('Fat Spreads'!AY46:AY65)-2*SUMPRODUCT('Fat Spreads'!AY46:AY65,'Fat Spreads'!AY47:AY66)+SUMSQ('Fat Spreads'!AY47:AY66)-('Fat Spreads'!AY46-'Fat Spreads'!AY66)^2/20)/19),"")</f>
        <v>0</v>
      </c>
      <c r="FU46">
        <f>IFERROR('Fat Spreads'!BE46,"")</f>
        <v>0</v>
      </c>
      <c r="FV46">
        <f>IFERROR(('Fat Spreads'!BF46-AVERAGE('Fat Spreads'!$BF$3:$BF$4308))/STDEV('Fat Spreads'!$BF$3:$BF$4308),"")</f>
        <v>9.2057461789832332E-2</v>
      </c>
      <c r="FW46">
        <f>IFERROR('Fat Spreads'!BF46-'Fat Spreads'!BF51,"")</f>
        <v>0</v>
      </c>
      <c r="FX46">
        <f>IFERROR('Fat Spreads'!BF46-'Fat Spreads'!BF56,"")</f>
        <v>0</v>
      </c>
      <c r="FY46">
        <f>IFERROR(AVERAGE('Fat Spreads'!BF46:BF65)+2*STDEV('Fat Spreads'!BF46:BF65),"")</f>
        <v>0</v>
      </c>
      <c r="FZ46">
        <f>IFERROR(AVERAGE('Fat Spreads'!BF46:BF65)-2*STDEV('Fat Spreads'!BF46:BF65),"")</f>
        <v>0</v>
      </c>
      <c r="GA46" t="str">
        <f>IFERROR(('Fat Spreads'!BF46-(AVERAGE('Fat Spreads'!BF46:BF65)-2*STDEV('Fat Spreads'!BF46:BF65)))/(4*STDEV('Fat Spreads'!BF46:BF65)),"")</f>
        <v/>
      </c>
      <c r="GB46" t="str">
        <f>IFERROR(4*STDEV('Fat Spreads'!BF46:BF65)/AVERAGE('Fat Spreads'!BF46:BF65),"")</f>
        <v/>
      </c>
      <c r="GC46">
        <v>41.136800000000001</v>
      </c>
      <c r="GD46">
        <f>IFERROR(SQRT((SUMSQ('Fat Spreads'!BF46:BF65)-2*SUMPRODUCT('Fat Spreads'!BF46:BF65,'Fat Spreads'!BF47:BF66)+SUMSQ('Fat Spreads'!BF47:BF66)-('Fat Spreads'!BF46-'Fat Spreads'!BF66)^2/20)/19),"")</f>
        <v>0</v>
      </c>
    </row>
    <row r="47" spans="1:186" x14ac:dyDescent="0.25">
      <c r="A47">
        <f>IFERROR('Fat Spreads'!A47,"")</f>
        <v>0</v>
      </c>
      <c r="B47">
        <f>IFERROR(('Fat Spreads'!B47-AVERAGE('Fat Spreads'!$B$3:$B$4308))/STDEV('Fat Spreads'!$B$3:$B$4308),"")</f>
        <v>9.2057461789832346E-2</v>
      </c>
      <c r="C47">
        <f>IFERROR('Fat Spreads'!B47-'Fat Spreads'!B52,"")</f>
        <v>0</v>
      </c>
      <c r="D47">
        <f>IFERROR('Fat Spreads'!B47-'Fat Spreads'!B57,"")</f>
        <v>0</v>
      </c>
      <c r="E47">
        <f>IFERROR(AVERAGE('Fat Spreads'!B47:B66)+2*STDEV('Fat Spreads'!B47:B66),"")</f>
        <v>0</v>
      </c>
      <c r="F47">
        <f>IFERROR(AVERAGE('Fat Spreads'!B47:B66)-2*STDEV('Fat Spreads'!B47:B66),"")</f>
        <v>0</v>
      </c>
      <c r="G47" t="str">
        <f>IFERROR(('Fat Spreads'!B47-(AVERAGE('Fat Spreads'!B47:B66)-2*STDEV('Fat Spreads'!B47:B66)))/(4*STDEV('Fat Spreads'!B47:B66)),"")</f>
        <v/>
      </c>
      <c r="H47" t="str">
        <f>IFERROR(4*STDEV('Fat Spreads'!B47:B66)/AVERAGE('Fat Spreads'!B47:B66),"")</f>
        <v/>
      </c>
      <c r="I47">
        <v>41.245600000000003</v>
      </c>
      <c r="J47">
        <f>IFERROR(SQRT((SUMSQ('Fat Spreads'!B47:B66)-2*SUMPRODUCT('Fat Spreads'!B47:B66,'Fat Spreads'!B48:B67)+SUMSQ('Fat Spreads'!B48:B67)-('Fat Spreads'!B47-'Fat Spreads'!B67)^2/20)/19),"")</f>
        <v>0</v>
      </c>
      <c r="L47">
        <f>IFERROR('Fat Spreads'!H47,"")</f>
        <v>0</v>
      </c>
      <c r="M47">
        <f>IFERROR(('Fat Spreads'!I47-AVERAGE('Fat Spreads'!$I$3:$I$4308))/STDEV('Fat Spreads'!$I$3:$I$4308),"")</f>
        <v>-9.2057461789832332E-2</v>
      </c>
      <c r="N47">
        <f>IFERROR('Fat Spreads'!I47-'Fat Spreads'!I52,"")</f>
        <v>0</v>
      </c>
      <c r="O47">
        <f>IFERROR('Fat Spreads'!I47-'Fat Spreads'!I57,"")</f>
        <v>0</v>
      </c>
      <c r="P47">
        <f>IFERROR(AVERAGE('Fat Spreads'!I47:I66)+2*STDEV('Fat Spreads'!I47:I66),"")</f>
        <v>0</v>
      </c>
      <c r="Q47">
        <f>IFERROR(AVERAGE('Fat Spreads'!I47:I66)-2*STDEV('Fat Spreads'!I47:I66),"")</f>
        <v>0</v>
      </c>
      <c r="R47" t="str">
        <f>IFERROR(('Fat Spreads'!I47-(AVERAGE('Fat Spreads'!I47:I66)-2*STDEV('Fat Spreads'!I47:I66)))/(4*STDEV('Fat Spreads'!I47:I66)),"")</f>
        <v/>
      </c>
      <c r="S47" t="str">
        <f>IFERROR(4*STDEV('Fat Spreads'!I47:I66)/AVERAGE('Fat Spreads'!I47:I66),"")</f>
        <v/>
      </c>
      <c r="T47">
        <v>43.046500000000002</v>
      </c>
      <c r="U47">
        <f>IFERROR(SQRT((SUMSQ('Fat Spreads'!I47:I66)-2*SUMPRODUCT('Fat Spreads'!I47:I66,'Fat Spreads'!I48:I67)+SUMSQ('Fat Spreads'!I48:I67)-('Fat Spreads'!I47-'Fat Spreads'!I67)^2/20)/19),"")</f>
        <v>0</v>
      </c>
      <c r="W47">
        <f>IFERROR('Fat Spreads'!AQ47,"")</f>
        <v>0</v>
      </c>
      <c r="X47">
        <f>IFERROR(('Fat Spreads'!AR47-AVERAGE('Fat Spreads'!$AR$3:$AR$4308))/STDEV('Fat Spreads'!$AR$3:$AR$4308),"")</f>
        <v>-9.2057461789832346E-2</v>
      </c>
      <c r="Y47">
        <f>IFERROR('Fat Spreads'!AR47-'Fat Spreads'!AR52,"")</f>
        <v>0</v>
      </c>
      <c r="Z47">
        <f>IFERROR('Fat Spreads'!AR47-'Fat Spreads'!AR57,"")</f>
        <v>0</v>
      </c>
      <c r="AA47">
        <f>IFERROR(AVERAGE('Fat Spreads'!AR47:AR66)+2*STDEV('Fat Spreads'!AR47:AR66),"")</f>
        <v>0</v>
      </c>
      <c r="AB47">
        <f>IFERROR(AVERAGE('Fat Spreads'!AR47:AR66)-2*STDEV('Fat Spreads'!AR47:AR66),"")</f>
        <v>0</v>
      </c>
      <c r="AC47" t="str">
        <f>IFERROR(('Fat Spreads'!AR47-(AVERAGE('Fat Spreads'!AR47:AR66)-2*STDEV('Fat Spreads'!AR47:AR66)))/(4*STDEV('Fat Spreads'!AR47:AR66)),"")</f>
        <v/>
      </c>
      <c r="AD47" t="str">
        <f>IFERROR(4*STDEV('Fat Spreads'!AR47:AR66)/AVERAGE('Fat Spreads'!AR47:AR66),"")</f>
        <v/>
      </c>
      <c r="AE47">
        <v>52.119599999999998</v>
      </c>
      <c r="AF47">
        <f>IFERROR(SQRT((SUMSQ('Fat Spreads'!AR47:AR66)-2*SUMPRODUCT('Fat Spreads'!AR47:AR66,'Fat Spreads'!AR48:AR67)+SUMSQ('Fat Spreads'!AR48:AR67)-('Fat Spreads'!AR47-'Fat Spreads'!AR67)^2/20)/19),"")</f>
        <v>0</v>
      </c>
      <c r="AH47">
        <f>IFERROR('Fat Spreads'!O47,"")</f>
        <v>0</v>
      </c>
      <c r="AI47">
        <f>IFERROR(('Fat Spreads'!P47-AVERAGE('Fat Spreads'!$P$3:$P$4308))/STDEV('Fat Spreads'!$P$3:$P$4308),"")</f>
        <v>-9.2057461789832332E-2</v>
      </c>
      <c r="AJ47">
        <f>IFERROR('Fat Spreads'!P47-'Fat Spreads'!P52,"")</f>
        <v>0</v>
      </c>
      <c r="AK47">
        <f>IFERROR('Fat Spreads'!P47-'Fat Spreads'!P57,"")</f>
        <v>0</v>
      </c>
      <c r="AL47">
        <f>IFERROR(AVERAGE('Fat Spreads'!P47:P66)+2*STDEV('Fat Spreads'!P47:P66),"")</f>
        <v>0</v>
      </c>
      <c r="AM47">
        <f>IFERROR(AVERAGE('Fat Spreads'!P47:P66)-2*STDEV('Fat Spreads'!P47:P66),"")</f>
        <v>0</v>
      </c>
      <c r="AN47" t="str">
        <f>IFERROR(('Fat Spreads'!P47-(AVERAGE('Fat Spreads'!P47:P66)-2*STDEV('Fat Spreads'!P47:P66)))/(4*STDEV('Fat Spreads'!P47:P66)),"")</f>
        <v/>
      </c>
      <c r="AO47" t="str">
        <f>IFERROR(4*STDEV('Fat Spreads'!P47:P66)/AVERAGE('Fat Spreads'!P47:P66),"")</f>
        <v/>
      </c>
      <c r="AP47">
        <v>50.301000000000002</v>
      </c>
      <c r="AQ47">
        <f>IFERROR(SQRT((SUMSQ('Fat Spreads'!P47:P66)-2*SUMPRODUCT('Fat Spreads'!P47:P66,'Fat Spreads'!P48:P67)+SUMSQ('Fat Spreads'!P48:P67)-('Fat Spreads'!P47-'Fat Spreads'!P67)^2/20)/19),"")</f>
        <v>0</v>
      </c>
      <c r="AS47">
        <f>IFERROR('Fat Spreads'!AJ47,"")</f>
        <v>0</v>
      </c>
      <c r="AT47">
        <f>IFERROR(('Fat Spreads'!AK47-AVERAGE('Fat Spreads'!$AK$3:$AK$4308))/STDEV('Fat Spreads'!$AK$3:$AK$4308),"")</f>
        <v>-9.2057461789832332E-2</v>
      </c>
      <c r="AU47">
        <f>IFERROR('Fat Spreads'!AK47-'Fat Spreads'!AK52,"")</f>
        <v>0</v>
      </c>
      <c r="AV47">
        <f>IFERROR('Fat Spreads'!AK47-'Fat Spreads'!AK57,"")</f>
        <v>0</v>
      </c>
      <c r="AW47">
        <f>IFERROR(AVERAGE('Fat Spreads'!AK47:AK66)+2*STDEV('Fat Spreads'!AK47:AK66),"")</f>
        <v>0</v>
      </c>
      <c r="AX47">
        <f>IFERROR(AVERAGE('Fat Spreads'!AK47:AK66)-2*STDEV('Fat Spreads'!AK47:AK66),"")</f>
        <v>0</v>
      </c>
      <c r="AY47" t="str">
        <f>IFERROR(('Fat Spreads'!AK47-(AVERAGE('Fat Spreads'!AK47:AK66)-2*STDEV('Fat Spreads'!AK47:AK66)))/(4*STDEV('Fat Spreads'!AK47:AK66)),"")</f>
        <v/>
      </c>
      <c r="AZ47" t="str">
        <f>IFERROR(4*STDEV('Fat Spreads'!AK47:AK66)/AVERAGE('Fat Spreads'!AK47:AK66),"")</f>
        <v/>
      </c>
      <c r="BA47">
        <v>33.302700000000002</v>
      </c>
      <c r="BB47">
        <f>IFERROR(SQRT((SUMSQ('Fat Spreads'!AK47:AK66)-2*SUMPRODUCT('Fat Spreads'!AK47:AK66,'Fat Spreads'!AK48:AK67)+SUMSQ('Fat Spreads'!AK48:AK67)-('Fat Spreads'!AK47-'Fat Spreads'!AK67)^2/20)/19),"")</f>
        <v>0</v>
      </c>
      <c r="BD47">
        <f>IFERROR('Fat Spreads'!V47,"")</f>
        <v>0</v>
      </c>
      <c r="BE47">
        <f>IFERROR(('Fat Spreads'!W47-AVERAGE('Fat Spreads'!$W$3:$W$4308))/STDEV('Fat Spreads'!$W$3:$W$4308),"")</f>
        <v>-9.2057461789832332E-2</v>
      </c>
      <c r="BF47">
        <f>IFERROR('Fat Spreads'!W47-'Fat Spreads'!W52,"")</f>
        <v>0</v>
      </c>
      <c r="BG47">
        <f>IFERROR('Fat Spreads'!W47-'Fat Spreads'!W57,"")</f>
        <v>0</v>
      </c>
      <c r="BH47">
        <f>IFERROR(AVERAGE('Fat Spreads'!W47:W66)+2*STDEV('Fat Spreads'!W47:W66),"")</f>
        <v>0</v>
      </c>
      <c r="BI47">
        <f>IFERROR(AVERAGE('Fat Spreads'!W47:W66)-2*STDEV('Fat Spreads'!W47:W66),"")</f>
        <v>0</v>
      </c>
      <c r="BJ47" t="str">
        <f>IFERROR(('Fat Spreads'!W47-(AVERAGE('Fat Spreads'!W47:W66)-2*STDEV('Fat Spreads'!W47:W66)))/(4*STDEV('Fat Spreads'!W47:W66)),"")</f>
        <v/>
      </c>
      <c r="BK47" t="str">
        <f>IFERROR(4*STDEV('Fat Spreads'!W47:W66)/AVERAGE('Fat Spreads'!W47:W66),"")</f>
        <v/>
      </c>
      <c r="BL47">
        <v>53.646299999999997</v>
      </c>
      <c r="BM47">
        <f>IFERROR(SQRT((SUMSQ('Fat Spreads'!W47:W66)-2*SUMPRODUCT('Fat Spreads'!W47:W66,'Fat Spreads'!W48:W67)+SUMSQ('Fat Spreads'!W48:W67)-('Fat Spreads'!W47-'Fat Spreads'!W67)^2/20)/19),"")</f>
        <v>0</v>
      </c>
      <c r="BO47">
        <f>IFERROR('Fat Spreads'!AC47,"")</f>
        <v>0</v>
      </c>
      <c r="BP47">
        <f>IFERROR(('Fat Spreads'!AD47-AVERAGE('Fat Spreads'!$AD$3:$AD$4308))/STDEV('Fat Spreads'!$AD$3:$AD$4308),"")</f>
        <v>-9.2057461789832332E-2</v>
      </c>
      <c r="BQ47">
        <f>IFERROR('Fat Spreads'!AD47-'Fat Spreads'!AD52,"")</f>
        <v>0</v>
      </c>
      <c r="BR47">
        <f>IFERROR('Fat Spreads'!AD47-'Fat Spreads'!AD57,"")</f>
        <v>0</v>
      </c>
      <c r="BS47">
        <f>IFERROR(AVERAGE('Fat Spreads'!AD47:AD66)+2*STDEV('Fat Spreads'!AD47:AD66),"")</f>
        <v>0</v>
      </c>
      <c r="BT47">
        <f>IFERROR(AVERAGE('Fat Spreads'!AD47:AD66)-2*STDEV('Fat Spreads'!AD47:AD66),"")</f>
        <v>0</v>
      </c>
      <c r="BU47" t="str">
        <f>IFERROR(('Fat Spreads'!AD47-(AVERAGE('Fat Spreads'!AD47:AD66)-2*STDEV('Fat Spreads'!AD47:AD66)))/(4*STDEV('Fat Spreads'!AD47:AD66)),"")</f>
        <v/>
      </c>
      <c r="BV47" t="str">
        <f>IFERROR(4*STDEV('Fat Spreads'!AD47:AD66)/AVERAGE('Fat Spreads'!AD47:AD66),"")</f>
        <v/>
      </c>
      <c r="BW47">
        <v>66.888000000000005</v>
      </c>
      <c r="BX47">
        <f>IFERROR(SQRT((SUMSQ('Fat Spreads'!AD47:AD66)-2*SUMPRODUCT('Fat Spreads'!AD47:AD66,'Fat Spreads'!AD48:AD67)+SUMSQ('Fat Spreads'!AD48:AD67)-('Fat Spreads'!AD47-'Fat Spreads'!AD67)^2/20)/19),"")</f>
        <v>0</v>
      </c>
      <c r="BZ47">
        <f>IFERROR('Feeder Spreads'!A47,"")</f>
        <v>0</v>
      </c>
      <c r="CA47">
        <f>IFERROR(('Feeder Spreads'!B47-AVERAGE('Feeder Spreads'!$B$3:$B$4308))/STDEV('Feeder Spreads'!$B$3:$B$4308),"")</f>
        <v>-9.2057461789832346E-2</v>
      </c>
      <c r="CB47">
        <f>IFERROR('Feeder Spreads'!B47-'Feeder Spreads'!B52,"")</f>
        <v>0</v>
      </c>
      <c r="CC47">
        <f>IFERROR('Feeder Spreads'!B47-'Feeder Spreads'!B57,"")</f>
        <v>0</v>
      </c>
      <c r="CD47">
        <f>IFERROR(AVERAGE('Feeder Spreads'!B47:B66)+2*STDEV('Feeder Spreads'!B47:B66),"")</f>
        <v>0</v>
      </c>
      <c r="CE47">
        <f>IFERROR(AVERAGE('Feeder Spreads'!B47:B66)-2*STDEV('Feeder Spreads'!B47:B66),"")</f>
        <v>0</v>
      </c>
      <c r="CF47" t="str">
        <f>IFERROR(('Feeder Spreads'!B47-(AVERAGE('Feeder Spreads'!B47:B66)-2*STDEV('Feeder Spreads'!B47:B66)))/(4*STDEV('Feeder Spreads'!B47:B66)),"")</f>
        <v/>
      </c>
      <c r="CG47" t="str">
        <f>IFERROR(4*STDEV('Feeder Spreads'!B47:B66)/AVERAGE('Feeder Spreads'!B47:B66),"")</f>
        <v/>
      </c>
      <c r="CH47">
        <v>46.481299999999997</v>
      </c>
      <c r="CI47">
        <f>IFERROR(SQRT((SUMSQ('Feeder Spreads'!B47:B66)-2*SUMPRODUCT('Feeder Spreads'!B47:B66,'Feeder Spreads'!B48:B67)+SUMSQ('Feeder Spreads'!B48:B67)-('Feeder Spreads'!B47-'Feeder Spreads'!B67)^2/20)/19),"")</f>
        <v>0</v>
      </c>
      <c r="CK47">
        <f>IFERROR('Feeder Spreads'!AX47,"")</f>
        <v>0</v>
      </c>
      <c r="CL47">
        <f>IFERROR(('Feeder Spreads'!AY47-AVERAGE('Feeder Spreads'!$AY$3:$AY$4308))/STDEV('Feeder Spreads'!$AY$3:$AY$4308),"")</f>
        <v>-9.2057461789832346E-2</v>
      </c>
      <c r="CM47">
        <f>IFERROR('Feeder Spreads'!AY47-'Feeder Spreads'!AY52,"")</f>
        <v>0</v>
      </c>
      <c r="CN47">
        <f>IFERROR('Feeder Spreads'!AY47-'Feeder Spreads'!AY57,"")</f>
        <v>0</v>
      </c>
      <c r="CO47">
        <f>IFERROR(AVERAGE('Feeder Spreads'!AY47:AY66)+2*STDEV('Feeder Spreads'!AY47:AY66),"")</f>
        <v>0</v>
      </c>
      <c r="CP47">
        <f>IFERROR(AVERAGE('Feeder Spreads'!AY47:AY66)-2*STDEV('Feeder Spreads'!AY47:AY66),"")</f>
        <v>0</v>
      </c>
      <c r="CQ47" t="str">
        <f>IFERROR(('Feeder Spreads'!AY47-(AVERAGE('Feeder Spreads'!AY47:AY66)-2*STDEV('Feeder Spreads'!AY47:AY66)))/(4*STDEV('Feeder Spreads'!AY47:AY66)),"")</f>
        <v/>
      </c>
      <c r="CR47" t="str">
        <f>IFERROR(4*STDEV('Feeder Spreads'!AY47:AY66)/AVERAGE('Feeder Spreads'!AY47:AY66),"")</f>
        <v/>
      </c>
      <c r="CS47">
        <v>74.093299999999999</v>
      </c>
      <c r="CT47">
        <f>IFERROR(SQRT((SUMSQ('Feeder Spreads'!AY47:AY66)-2*SUMPRODUCT('Feeder Spreads'!AY47:AY66,'Feeder Spreads'!AY48:AY67)+SUMSQ('Feeder Spreads'!AY48:AY67)-('Feeder Spreads'!AY47-'Feeder Spreads'!AY67)^2/20)/19),"")</f>
        <v>0</v>
      </c>
      <c r="CV47">
        <f>IFERROR('Feeder Spreads'!H47,"")</f>
        <v>0</v>
      </c>
      <c r="CW47">
        <f>IFERROR(('Feeder Spreads'!I47-AVERAGE('Feeder Spreads'!$I$3:$I$4308))/STDEV('Feeder Spreads'!$I$3:$I$4308),"")</f>
        <v>-9.2057461789832332E-2</v>
      </c>
      <c r="CX47">
        <f>IFERROR('Feeder Spreads'!I47-'Feeder Spreads'!I52,"")</f>
        <v>0</v>
      </c>
      <c r="CY47">
        <f>IFERROR('Feeder Spreads'!I47-'Feeder Spreads'!I57,"")</f>
        <v>0</v>
      </c>
      <c r="CZ47">
        <f>IFERROR(AVERAGE('Feeder Spreads'!I47:I66)+2*STDEV('Feeder Spreads'!I47:I66),"")</f>
        <v>0</v>
      </c>
      <c r="DA47">
        <f>IFERROR(AVERAGE('Feeder Spreads'!I47:I66)-2*STDEV('Feeder Spreads'!I47:I66),"")</f>
        <v>0</v>
      </c>
      <c r="DB47" t="str">
        <f>IFERROR(('Feeder Spreads'!I47-(AVERAGE('Feeder Spreads'!I47:I66)-2*STDEV('Feeder Spreads'!I47:I66)))/(4*STDEV('Feeder Spreads'!I47:I66)),"")</f>
        <v/>
      </c>
      <c r="DC47" t="str">
        <f>IFERROR(4*STDEV('Feeder Spreads'!I47:I66)/AVERAGE('Feeder Spreads'!I47:I66),"")</f>
        <v/>
      </c>
      <c r="DD47">
        <v>39.076300000000003</v>
      </c>
      <c r="DE47">
        <f>IFERROR(SQRT((SUMSQ('Feeder Spreads'!I47:I66)-2*SUMPRODUCT('Feeder Spreads'!I47:I66,'Feeder Spreads'!I48:I67)+SUMSQ('Feeder Spreads'!I48:I67)-('Feeder Spreads'!I47-'Feeder Spreads'!I67)^2/20)/19),"")</f>
        <v>0</v>
      </c>
      <c r="DG47">
        <f>IFERROR('Feeder Spreads'!O47,"")</f>
        <v>0</v>
      </c>
      <c r="DH47">
        <f>IFERROR(('Feeder Spreads'!P47-AVERAGE('Feeder Spreads'!$P$3:$P$4308))/STDEV('Feeder Spreads'!$P$3:$P$4308),"")</f>
        <v>-9.2057461789832346E-2</v>
      </c>
      <c r="DI47">
        <f>IFERROR('Feeder Spreads'!P47-'Feeder Spreads'!P52,"")</f>
        <v>0</v>
      </c>
      <c r="DJ47">
        <f>IFERROR('Feeder Spreads'!P47-'Feeder Spreads'!P57,"")</f>
        <v>0</v>
      </c>
      <c r="DK47">
        <f>IFERROR(AVERAGE('Feeder Spreads'!P47:P66)+2*STDEV('Feeder Spreads'!P47:P66),"")</f>
        <v>0</v>
      </c>
      <c r="DL47">
        <f>IFERROR(AVERAGE('Feeder Spreads'!P47:P66)-2*STDEV('Feeder Spreads'!P47:P66),"")</f>
        <v>0</v>
      </c>
      <c r="DM47" t="str">
        <f>IFERROR(('Feeder Spreads'!P47-(AVERAGE('Feeder Spreads'!P47:P66)-2*STDEV('Feeder Spreads'!P47:P66)))/(4*STDEV('Feeder Spreads'!P47:P66)),"")</f>
        <v/>
      </c>
      <c r="DN47" t="str">
        <f>IFERROR(4*STDEV('Feeder Spreads'!P47:P66)/AVERAGE('Feeder Spreads'!P47:P66),"")</f>
        <v/>
      </c>
      <c r="DO47">
        <v>42.277999999999999</v>
      </c>
      <c r="DP47">
        <f>IFERROR(SQRT((SUMSQ('Feeder Spreads'!P47:P66)-2*SUMPRODUCT('Feeder Spreads'!P47:P66,'Feeder Spreads'!P48:P67)+SUMSQ('Feeder Spreads'!P48:P67)-('Feeder Spreads'!P47-'Feeder Spreads'!P67)^2/20)/19),"")</f>
        <v>0</v>
      </c>
      <c r="DR47">
        <f>IFERROR('Feeder Spreads'!V47,"")</f>
        <v>0</v>
      </c>
      <c r="DS47">
        <f>IFERROR(('Feeder Spreads'!W47-AVERAGE('Feeder Spreads'!$W$3:$W$4308))/STDEV('Feeder Spreads'!$W$3:$W$4308),"")</f>
        <v>-9.2057461789832332E-2</v>
      </c>
      <c r="DT47">
        <f>IFERROR('Feeder Spreads'!W47-'Feeder Spreads'!W52,"")</f>
        <v>0</v>
      </c>
      <c r="DU47">
        <f>IFERROR('Feeder Spreads'!W47-'Feeder Spreads'!W57,"")</f>
        <v>0</v>
      </c>
      <c r="DV47">
        <f>IFERROR(AVERAGE('Feeder Spreads'!W47:W66)+2*STDEV('Feeder Spreads'!W47:W66),"")</f>
        <v>0</v>
      </c>
      <c r="DW47">
        <f>IFERROR(AVERAGE('Feeder Spreads'!W47:W66)-2*STDEV('Feeder Spreads'!W47:W66),"")</f>
        <v>0</v>
      </c>
      <c r="DX47" t="str">
        <f>IFERROR(('Feeder Spreads'!W47-(AVERAGE('Feeder Spreads'!W47:W66)-2*STDEV('Feeder Spreads'!W47:W66)))/(4*STDEV('Feeder Spreads'!W47:W66)),"")</f>
        <v/>
      </c>
      <c r="DY47" t="str">
        <f>IFERROR(4*STDEV('Feeder Spreads'!W47:W66)/AVERAGE('Feeder Spreads'!W47:W66),"")</f>
        <v/>
      </c>
      <c r="DZ47">
        <v>60.9298</v>
      </c>
      <c r="EA47">
        <f>IFERROR(SQRT((SUMSQ('Feeder Spreads'!W47:W66)-2*SUMPRODUCT('Feeder Spreads'!W47:W66,'Feeder Spreads'!W48:W67)+SUMSQ('Feeder Spreads'!W48:W67)-('Feeder Spreads'!W47-'Feeder Spreads'!W67)^2/20)/19),"")</f>
        <v>0</v>
      </c>
      <c r="EC47">
        <f>IFERROR('Feeder Spreads'!AC47,"")</f>
        <v>0</v>
      </c>
      <c r="ED47">
        <f>IFERROR(('Feeder Spreads'!AD47-AVERAGE('Feeder Spreads'!$AD$3:$AD$4308))/STDEV('Feeder Spreads'!$AD$3:$AD$4308),"")</f>
        <v>9.2057461789832318E-2</v>
      </c>
      <c r="EE47">
        <f>IFERROR('Feeder Spreads'!AD47-'Feeder Spreads'!AD52,"")</f>
        <v>0</v>
      </c>
      <c r="EF47">
        <f>IFERROR('Feeder Spreads'!AD47-'Feeder Spreads'!AD57,"")</f>
        <v>0</v>
      </c>
      <c r="EG47">
        <f>IFERROR(AVERAGE('Feeder Spreads'!AD47:AD66)+2*STDEV('Feeder Spreads'!AD47:AD66),"")</f>
        <v>0</v>
      </c>
      <c r="EH47">
        <f>IFERROR(AVERAGE('Feeder Spreads'!AD47:AD66)-2*STDEV('Feeder Spreads'!AD47:AD66),"")</f>
        <v>0</v>
      </c>
      <c r="EI47" t="str">
        <f>IFERROR(('Feeder Spreads'!AD47-(AVERAGE('Feeder Spreads'!AD47:AD66)-2*STDEV('Feeder Spreads'!AD47:AD66)))/(4*STDEV('Feeder Spreads'!AD47:AD66)),"")</f>
        <v/>
      </c>
      <c r="EJ47" t="str">
        <f>IFERROR(4*STDEV('Feeder Spreads'!AD47:AD66)/AVERAGE('Feeder Spreads'!AD47:AD66),"")</f>
        <v/>
      </c>
      <c r="EK47">
        <v>49.868200000000002</v>
      </c>
      <c r="EL47">
        <f>IFERROR(SQRT((SUMSQ('Feeder Spreads'!AD47:AD66)-2*SUMPRODUCT('Feeder Spreads'!AD47:AD66,'Feeder Spreads'!AD48:AD67)+SUMSQ('Feeder Spreads'!AD48:AD67)-('Feeder Spreads'!AD47-'Feeder Spreads'!AD67)^2/20)/19),"")</f>
        <v>0</v>
      </c>
      <c r="EN47">
        <f>IFERROR('Feeder Spreads'!AJ47,"")</f>
        <v>0</v>
      </c>
      <c r="EO47">
        <f>IFERROR(('Feeder Spreads'!AK47-AVERAGE('Feeder Spreads'!$AK$3:$AK$4308))/STDEV('Feeder Spreads'!$AK$3:$AK$4308),"")</f>
        <v>-9.2057461789832346E-2</v>
      </c>
      <c r="EP47">
        <f>IFERROR('Feeder Spreads'!AK47-'Feeder Spreads'!AK52,"")</f>
        <v>0</v>
      </c>
      <c r="EQ47">
        <f>IFERROR('Feeder Spreads'!AK47-'Feeder Spreads'!AK57,"")</f>
        <v>0</v>
      </c>
      <c r="ER47">
        <f>IFERROR(AVERAGE('Feeder Spreads'!AK47:AK66)+2*STDEV('Feeder Spreads'!AK47:AK66),"")</f>
        <v>0</v>
      </c>
      <c r="ES47">
        <f>IFERROR(AVERAGE('Feeder Spreads'!AK47:AK66)-2*STDEV('Feeder Spreads'!AK47:AK66),"")</f>
        <v>0</v>
      </c>
      <c r="ET47" t="str">
        <f>IFERROR(('Feeder Spreads'!AK47-(AVERAGE('Feeder Spreads'!AK47:AK66)-2*STDEV('Feeder Spreads'!AK47:AK66)))/(4*STDEV('Feeder Spreads'!AK47:AK66)),"")</f>
        <v/>
      </c>
      <c r="EU47" t="str">
        <f>IFERROR(4*STDEV('Feeder Spreads'!AK47:AK66)/AVERAGE('Feeder Spreads'!AK47:AK66),"")</f>
        <v/>
      </c>
      <c r="EV47">
        <v>40.031399999999998</v>
      </c>
      <c r="EW47">
        <f>IFERROR(SQRT((SUMSQ('Feeder Spreads'!AK47:AK66)-2*SUMPRODUCT('Feeder Spreads'!AK47:AK66,'Feeder Spreads'!AK48:AK67)+SUMSQ('Feeder Spreads'!AK48:AK67)-('Feeder Spreads'!AK47-'Feeder Spreads'!AK67)^2/20)/19),"")</f>
        <v>0</v>
      </c>
      <c r="EY47">
        <f>IFERROR('Feeder Spreads'!AQ47,"")</f>
        <v>0</v>
      </c>
      <c r="EZ47">
        <f>IFERROR(('Feeder Spreads'!AR47-AVERAGE('Feeder Spreads'!$AR$3:$AR$4308))/STDEV('Feeder Spreads'!$AR$3:$AR$4308),"")</f>
        <v>-9.2057461789832332E-2</v>
      </c>
      <c r="FA47">
        <f>IFERROR('Feeder Spreads'!AR47-'Feeder Spreads'!AR52,"")</f>
        <v>0</v>
      </c>
      <c r="FB47">
        <f>IFERROR('Feeder Spreads'!AR47-'Feeder Spreads'!AR57,"")</f>
        <v>0</v>
      </c>
      <c r="FC47">
        <f>IFERROR(AVERAGE('Feeder Spreads'!AR47:AR66)+2*STDEV('Feeder Spreads'!AR47:AR66),"")</f>
        <v>0</v>
      </c>
      <c r="FD47">
        <f>IFERROR(AVERAGE('Feeder Spreads'!AR47:AR66)-2*STDEV('Feeder Spreads'!AR47:AR66),"")</f>
        <v>0</v>
      </c>
      <c r="FE47" t="str">
        <f>IFERROR(('Feeder Spreads'!AR47-(AVERAGE('Feeder Spreads'!AR47:AR66)-2*STDEV('Feeder Spreads'!AR47:AR66)))/(4*STDEV('Feeder Spreads'!AR47:AR66)),"")</f>
        <v/>
      </c>
      <c r="FF47" t="str">
        <f>IFERROR(4*STDEV('Feeder Spreads'!AR47:AR66)/AVERAGE('Feeder Spreads'!AR47:AR66),"")</f>
        <v/>
      </c>
      <c r="FG47">
        <v>39.114699999999999</v>
      </c>
      <c r="FH47">
        <f>IFERROR(SQRT((SUMSQ('Feeder Spreads'!AR47:AR66)-2*SUMPRODUCT('Feeder Spreads'!AR47:AR66,'Feeder Spreads'!AR48:AR67)+SUMSQ('Feeder Spreads'!AR48:AR67)-('Feeder Spreads'!AR47-'Feeder Spreads'!AR67)^2/20)/19),"")</f>
        <v>0</v>
      </c>
      <c r="FJ47">
        <f>IFERROR('Fat Spreads'!AX47,"")</f>
        <v>0</v>
      </c>
      <c r="FK47">
        <f>IFERROR(('Fat Spreads'!AY47-AVERAGE('Fat Spreads'!$AY$3:$AY$4308))/STDEV('Fat Spreads'!$AY$3:$AY$4308),"")</f>
        <v>9.2057461789832332E-2</v>
      </c>
      <c r="FL47">
        <f>IFERROR('Fat Spreads'!AY47-'Fat Spreads'!AY52,"")</f>
        <v>0</v>
      </c>
      <c r="FM47">
        <f>IFERROR('Fat Spreads'!AY47-'Fat Spreads'!AY57,"")</f>
        <v>0</v>
      </c>
      <c r="FN47">
        <f>IFERROR(AVERAGE('Fat Spreads'!AY47:AY66)+2*STDEV('Fat Spreads'!AY47:AY66),"")</f>
        <v>0</v>
      </c>
      <c r="FO47">
        <f>IFERROR(AVERAGE('Fat Spreads'!AY47:AY66)-2*STDEV('Fat Spreads'!AY47:AY66),"")</f>
        <v>0</v>
      </c>
      <c r="FP47" t="str">
        <f>IFERROR(('Fat Spreads'!AY47-(AVERAGE('Fat Spreads'!AY47:AY66)-2*STDEV('Fat Spreads'!AY47:AY66)))/(4*STDEV('Fat Spreads'!AY47:AY66)),"")</f>
        <v/>
      </c>
      <c r="FQ47" t="str">
        <f>IFERROR(4*STDEV('Fat Spreads'!AY47:AY66)/AVERAGE('Fat Spreads'!AY47:AY66),"")</f>
        <v/>
      </c>
      <c r="FR47">
        <v>32.012300000000003</v>
      </c>
      <c r="FS47">
        <f>IFERROR(SQRT((SUMSQ('Fat Spreads'!AY47:AY66)-2*SUMPRODUCT('Fat Spreads'!AY47:AY66,'Fat Spreads'!AY48:AY67)+SUMSQ('Fat Spreads'!AY48:AY67)-('Fat Spreads'!AY47-'Fat Spreads'!AY67)^2/20)/19),"")</f>
        <v>0</v>
      </c>
      <c r="FU47">
        <f>IFERROR('Fat Spreads'!BE47,"")</f>
        <v>0</v>
      </c>
      <c r="FV47">
        <f>IFERROR(('Fat Spreads'!BF47-AVERAGE('Fat Spreads'!$BF$3:$BF$4308))/STDEV('Fat Spreads'!$BF$3:$BF$4308),"")</f>
        <v>9.2057461789832332E-2</v>
      </c>
      <c r="FW47">
        <f>IFERROR('Fat Spreads'!BF47-'Fat Spreads'!BF52,"")</f>
        <v>0</v>
      </c>
      <c r="FX47">
        <f>IFERROR('Fat Spreads'!BF47-'Fat Spreads'!BF57,"")</f>
        <v>0</v>
      </c>
      <c r="FY47">
        <f>IFERROR(AVERAGE('Fat Spreads'!BF47:BF66)+2*STDEV('Fat Spreads'!BF47:BF66),"")</f>
        <v>0</v>
      </c>
      <c r="FZ47">
        <f>IFERROR(AVERAGE('Fat Spreads'!BF47:BF66)-2*STDEV('Fat Spreads'!BF47:BF66),"")</f>
        <v>0</v>
      </c>
      <c r="GA47" t="str">
        <f>IFERROR(('Fat Spreads'!BF47-(AVERAGE('Fat Spreads'!BF47:BF66)-2*STDEV('Fat Spreads'!BF47:BF66)))/(4*STDEV('Fat Spreads'!BF47:BF66)),"")</f>
        <v/>
      </c>
      <c r="GB47" t="str">
        <f>IFERROR(4*STDEV('Fat Spreads'!BF47:BF66)/AVERAGE('Fat Spreads'!BF47:BF66),"")</f>
        <v/>
      </c>
      <c r="GC47">
        <v>41.781500000000001</v>
      </c>
      <c r="GD47">
        <f>IFERROR(SQRT((SUMSQ('Fat Spreads'!BF47:BF66)-2*SUMPRODUCT('Fat Spreads'!BF47:BF66,'Fat Spreads'!BF48:BF67)+SUMSQ('Fat Spreads'!BF48:BF67)-('Fat Spreads'!BF47-'Fat Spreads'!BF67)^2/20)/19),"")</f>
        <v>0</v>
      </c>
    </row>
    <row r="48" spans="1:186" x14ac:dyDescent="0.25">
      <c r="A48">
        <f>IFERROR('Fat Spreads'!A48,"")</f>
        <v>0</v>
      </c>
      <c r="B48">
        <f>IFERROR(('Fat Spreads'!B48-AVERAGE('Fat Spreads'!$B$3:$B$4308))/STDEV('Fat Spreads'!$B$3:$B$4308),"")</f>
        <v>9.2057461789832346E-2</v>
      </c>
      <c r="C48">
        <f>IFERROR('Fat Spreads'!B48-'Fat Spreads'!B53,"")</f>
        <v>0</v>
      </c>
      <c r="D48">
        <f>IFERROR('Fat Spreads'!B48-'Fat Spreads'!B58,"")</f>
        <v>0</v>
      </c>
      <c r="E48">
        <f>IFERROR(AVERAGE('Fat Spreads'!B48:B67)+2*STDEV('Fat Spreads'!B48:B67),"")</f>
        <v>0</v>
      </c>
      <c r="F48">
        <f>IFERROR(AVERAGE('Fat Spreads'!B48:B67)-2*STDEV('Fat Spreads'!B48:B67),"")</f>
        <v>0</v>
      </c>
      <c r="G48" t="str">
        <f>IFERROR(('Fat Spreads'!B48-(AVERAGE('Fat Spreads'!B48:B67)-2*STDEV('Fat Spreads'!B48:B67)))/(4*STDEV('Fat Spreads'!B48:B67)),"")</f>
        <v/>
      </c>
      <c r="H48" t="str">
        <f>IFERROR(4*STDEV('Fat Spreads'!B48:B67)/AVERAGE('Fat Spreads'!B48:B67),"")</f>
        <v/>
      </c>
      <c r="I48">
        <v>41.245600000000003</v>
      </c>
      <c r="J48">
        <f>IFERROR(SQRT((SUMSQ('Fat Spreads'!B48:B67)-2*SUMPRODUCT('Fat Spreads'!B48:B67,'Fat Spreads'!B49:B68)+SUMSQ('Fat Spreads'!B49:B68)-('Fat Spreads'!B48-'Fat Spreads'!B68)^2/20)/19),"")</f>
        <v>0</v>
      </c>
      <c r="L48">
        <f>IFERROR('Fat Spreads'!H48,"")</f>
        <v>0</v>
      </c>
      <c r="M48">
        <f>IFERROR(('Fat Spreads'!I48-AVERAGE('Fat Spreads'!$I$3:$I$4308))/STDEV('Fat Spreads'!$I$3:$I$4308),"")</f>
        <v>-9.2057461789832332E-2</v>
      </c>
      <c r="N48">
        <f>IFERROR('Fat Spreads'!I48-'Fat Spreads'!I53,"")</f>
        <v>0</v>
      </c>
      <c r="O48">
        <f>IFERROR('Fat Spreads'!I48-'Fat Spreads'!I58,"")</f>
        <v>0</v>
      </c>
      <c r="P48">
        <f>IFERROR(AVERAGE('Fat Spreads'!I48:I67)+2*STDEV('Fat Spreads'!I48:I67),"")</f>
        <v>0</v>
      </c>
      <c r="Q48">
        <f>IFERROR(AVERAGE('Fat Spreads'!I48:I67)-2*STDEV('Fat Spreads'!I48:I67),"")</f>
        <v>0</v>
      </c>
      <c r="R48" t="str">
        <f>IFERROR(('Fat Spreads'!I48-(AVERAGE('Fat Spreads'!I48:I67)-2*STDEV('Fat Spreads'!I48:I67)))/(4*STDEV('Fat Spreads'!I48:I67)),"")</f>
        <v/>
      </c>
      <c r="S48" t="str">
        <f>IFERROR(4*STDEV('Fat Spreads'!I48:I67)/AVERAGE('Fat Spreads'!I48:I67),"")</f>
        <v/>
      </c>
      <c r="T48">
        <v>37.268599999999999</v>
      </c>
      <c r="U48">
        <f>IFERROR(SQRT((SUMSQ('Fat Spreads'!I48:I67)-2*SUMPRODUCT('Fat Spreads'!I48:I67,'Fat Spreads'!I49:I68)+SUMSQ('Fat Spreads'!I49:I68)-('Fat Spreads'!I48-'Fat Spreads'!I68)^2/20)/19),"")</f>
        <v>0</v>
      </c>
      <c r="W48">
        <f>IFERROR('Fat Spreads'!AQ48,"")</f>
        <v>0</v>
      </c>
      <c r="X48">
        <f>IFERROR(('Fat Spreads'!AR48-AVERAGE('Fat Spreads'!$AR$3:$AR$4308))/STDEV('Fat Spreads'!$AR$3:$AR$4308),"")</f>
        <v>-9.2057461789832346E-2</v>
      </c>
      <c r="Y48">
        <f>IFERROR('Fat Spreads'!AR48-'Fat Spreads'!AR53,"")</f>
        <v>0</v>
      </c>
      <c r="Z48">
        <f>IFERROR('Fat Spreads'!AR48-'Fat Spreads'!AR58,"")</f>
        <v>0</v>
      </c>
      <c r="AA48">
        <f>IFERROR(AVERAGE('Fat Spreads'!AR48:AR67)+2*STDEV('Fat Spreads'!AR48:AR67),"")</f>
        <v>0</v>
      </c>
      <c r="AB48">
        <f>IFERROR(AVERAGE('Fat Spreads'!AR48:AR67)-2*STDEV('Fat Spreads'!AR48:AR67),"")</f>
        <v>0</v>
      </c>
      <c r="AC48" t="str">
        <f>IFERROR(('Fat Spreads'!AR48-(AVERAGE('Fat Spreads'!AR48:AR67)-2*STDEV('Fat Spreads'!AR48:AR67)))/(4*STDEV('Fat Spreads'!AR48:AR67)),"")</f>
        <v/>
      </c>
      <c r="AD48" t="str">
        <f>IFERROR(4*STDEV('Fat Spreads'!AR48:AR67)/AVERAGE('Fat Spreads'!AR48:AR67),"")</f>
        <v/>
      </c>
      <c r="AE48">
        <v>47.929600000000001</v>
      </c>
      <c r="AF48">
        <f>IFERROR(SQRT((SUMSQ('Fat Spreads'!AR48:AR67)-2*SUMPRODUCT('Fat Spreads'!AR48:AR67,'Fat Spreads'!AR49:AR68)+SUMSQ('Fat Spreads'!AR49:AR68)-('Fat Spreads'!AR48-'Fat Spreads'!AR68)^2/20)/19),"")</f>
        <v>0</v>
      </c>
      <c r="AH48">
        <f>IFERROR('Fat Spreads'!O48,"")</f>
        <v>0</v>
      </c>
      <c r="AI48">
        <f>IFERROR(('Fat Spreads'!P48-AVERAGE('Fat Spreads'!$P$3:$P$4308))/STDEV('Fat Spreads'!$P$3:$P$4308),"")</f>
        <v>-9.2057461789832332E-2</v>
      </c>
      <c r="AJ48">
        <f>IFERROR('Fat Spreads'!P48-'Fat Spreads'!P53,"")</f>
        <v>0</v>
      </c>
      <c r="AK48">
        <f>IFERROR('Fat Spreads'!P48-'Fat Spreads'!P58,"")</f>
        <v>0</v>
      </c>
      <c r="AL48">
        <f>IFERROR(AVERAGE('Fat Spreads'!P48:P67)+2*STDEV('Fat Spreads'!P48:P67),"")</f>
        <v>0</v>
      </c>
      <c r="AM48">
        <f>IFERROR(AVERAGE('Fat Spreads'!P48:P67)-2*STDEV('Fat Spreads'!P48:P67),"")</f>
        <v>0</v>
      </c>
      <c r="AN48" t="str">
        <f>IFERROR(('Fat Spreads'!P48-(AVERAGE('Fat Spreads'!P48:P67)-2*STDEV('Fat Spreads'!P48:P67)))/(4*STDEV('Fat Spreads'!P48:P67)),"")</f>
        <v/>
      </c>
      <c r="AO48" t="str">
        <f>IFERROR(4*STDEV('Fat Spreads'!P48:P67)/AVERAGE('Fat Spreads'!P48:P67),"")</f>
        <v/>
      </c>
      <c r="AP48">
        <v>43.621699999999997</v>
      </c>
      <c r="AQ48">
        <f>IFERROR(SQRT((SUMSQ('Fat Spreads'!P48:P67)-2*SUMPRODUCT('Fat Spreads'!P48:P67,'Fat Spreads'!P49:P68)+SUMSQ('Fat Spreads'!P49:P68)-('Fat Spreads'!P48-'Fat Spreads'!P68)^2/20)/19),"")</f>
        <v>0</v>
      </c>
      <c r="AS48">
        <f>IFERROR('Fat Spreads'!AJ48,"")</f>
        <v>0</v>
      </c>
      <c r="AT48">
        <f>IFERROR(('Fat Spreads'!AK48-AVERAGE('Fat Spreads'!$AK$3:$AK$4308))/STDEV('Fat Spreads'!$AK$3:$AK$4308),"")</f>
        <v>-9.2057461789832332E-2</v>
      </c>
      <c r="AU48">
        <f>IFERROR('Fat Spreads'!AK48-'Fat Spreads'!AK53,"")</f>
        <v>0</v>
      </c>
      <c r="AV48">
        <f>IFERROR('Fat Spreads'!AK48-'Fat Spreads'!AK58,"")</f>
        <v>0</v>
      </c>
      <c r="AW48">
        <f>IFERROR(AVERAGE('Fat Spreads'!AK48:AK67)+2*STDEV('Fat Spreads'!AK48:AK67),"")</f>
        <v>0</v>
      </c>
      <c r="AX48">
        <f>IFERROR(AVERAGE('Fat Spreads'!AK48:AK67)-2*STDEV('Fat Spreads'!AK48:AK67),"")</f>
        <v>0</v>
      </c>
      <c r="AY48" t="str">
        <f>IFERROR(('Fat Spreads'!AK48-(AVERAGE('Fat Spreads'!AK48:AK67)-2*STDEV('Fat Spreads'!AK48:AK67)))/(4*STDEV('Fat Spreads'!AK48:AK67)),"")</f>
        <v/>
      </c>
      <c r="AZ48" t="str">
        <f>IFERROR(4*STDEV('Fat Spreads'!AK48:AK67)/AVERAGE('Fat Spreads'!AK48:AK67),"")</f>
        <v/>
      </c>
      <c r="BA48">
        <v>34.343600000000002</v>
      </c>
      <c r="BB48">
        <f>IFERROR(SQRT((SUMSQ('Fat Spreads'!AK48:AK67)-2*SUMPRODUCT('Fat Spreads'!AK48:AK67,'Fat Spreads'!AK49:AK68)+SUMSQ('Fat Spreads'!AK49:AK68)-('Fat Spreads'!AK48-'Fat Spreads'!AK68)^2/20)/19),"")</f>
        <v>0</v>
      </c>
      <c r="BD48">
        <f>IFERROR('Fat Spreads'!V48,"")</f>
        <v>0</v>
      </c>
      <c r="BE48">
        <f>IFERROR(('Fat Spreads'!W48-AVERAGE('Fat Spreads'!$W$3:$W$4308))/STDEV('Fat Spreads'!$W$3:$W$4308),"")</f>
        <v>-9.2057461789832332E-2</v>
      </c>
      <c r="BF48">
        <f>IFERROR('Fat Spreads'!W48-'Fat Spreads'!W53,"")</f>
        <v>0</v>
      </c>
      <c r="BG48">
        <f>IFERROR('Fat Spreads'!W48-'Fat Spreads'!W58,"")</f>
        <v>0</v>
      </c>
      <c r="BH48">
        <f>IFERROR(AVERAGE('Fat Spreads'!W48:W67)+2*STDEV('Fat Spreads'!W48:W67),"")</f>
        <v>0</v>
      </c>
      <c r="BI48">
        <f>IFERROR(AVERAGE('Fat Spreads'!W48:W67)-2*STDEV('Fat Spreads'!W48:W67),"")</f>
        <v>0</v>
      </c>
      <c r="BJ48" t="str">
        <f>IFERROR(('Fat Spreads'!W48-(AVERAGE('Fat Spreads'!W48:W67)-2*STDEV('Fat Spreads'!W48:W67)))/(4*STDEV('Fat Spreads'!W48:W67)),"")</f>
        <v/>
      </c>
      <c r="BK48" t="str">
        <f>IFERROR(4*STDEV('Fat Spreads'!W48:W67)/AVERAGE('Fat Spreads'!W48:W67),"")</f>
        <v/>
      </c>
      <c r="BL48">
        <v>52.545900000000003</v>
      </c>
      <c r="BM48">
        <f>IFERROR(SQRT((SUMSQ('Fat Spreads'!W48:W67)-2*SUMPRODUCT('Fat Spreads'!W48:W67,'Fat Spreads'!W49:W68)+SUMSQ('Fat Spreads'!W49:W68)-('Fat Spreads'!W48-'Fat Spreads'!W68)^2/20)/19),"")</f>
        <v>0</v>
      </c>
      <c r="BO48">
        <f>IFERROR('Fat Spreads'!AC48,"")</f>
        <v>0</v>
      </c>
      <c r="BP48">
        <f>IFERROR(('Fat Spreads'!AD48-AVERAGE('Fat Spreads'!$AD$3:$AD$4308))/STDEV('Fat Spreads'!$AD$3:$AD$4308),"")</f>
        <v>-9.2057461789832332E-2</v>
      </c>
      <c r="BQ48">
        <f>IFERROR('Fat Spreads'!AD48-'Fat Spreads'!AD53,"")</f>
        <v>0</v>
      </c>
      <c r="BR48">
        <f>IFERROR('Fat Spreads'!AD48-'Fat Spreads'!AD58,"")</f>
        <v>0</v>
      </c>
      <c r="BS48">
        <f>IFERROR(AVERAGE('Fat Spreads'!AD48:AD67)+2*STDEV('Fat Spreads'!AD48:AD67),"")</f>
        <v>0</v>
      </c>
      <c r="BT48">
        <f>IFERROR(AVERAGE('Fat Spreads'!AD48:AD67)-2*STDEV('Fat Spreads'!AD48:AD67),"")</f>
        <v>0</v>
      </c>
      <c r="BU48" t="str">
        <f>IFERROR(('Fat Spreads'!AD48-(AVERAGE('Fat Spreads'!AD48:AD67)-2*STDEV('Fat Spreads'!AD48:AD67)))/(4*STDEV('Fat Spreads'!AD48:AD67)),"")</f>
        <v/>
      </c>
      <c r="BV48" t="str">
        <f>IFERROR(4*STDEV('Fat Spreads'!AD48:AD67)/AVERAGE('Fat Spreads'!AD48:AD67),"")</f>
        <v/>
      </c>
      <c r="BW48">
        <v>66.962699999999998</v>
      </c>
      <c r="BX48">
        <f>IFERROR(SQRT((SUMSQ('Fat Spreads'!AD48:AD67)-2*SUMPRODUCT('Fat Spreads'!AD48:AD67,'Fat Spreads'!AD49:AD68)+SUMSQ('Fat Spreads'!AD49:AD68)-('Fat Spreads'!AD48-'Fat Spreads'!AD68)^2/20)/19),"")</f>
        <v>0</v>
      </c>
      <c r="BZ48">
        <f>IFERROR('Feeder Spreads'!A48,"")</f>
        <v>0</v>
      </c>
      <c r="CA48">
        <f>IFERROR(('Feeder Spreads'!B48-AVERAGE('Feeder Spreads'!$B$3:$B$4308))/STDEV('Feeder Spreads'!$B$3:$B$4308),"")</f>
        <v>-9.2057461789832346E-2</v>
      </c>
      <c r="CB48">
        <f>IFERROR('Feeder Spreads'!B48-'Feeder Spreads'!B53,"")</f>
        <v>0</v>
      </c>
      <c r="CC48">
        <f>IFERROR('Feeder Spreads'!B48-'Feeder Spreads'!B58,"")</f>
        <v>0</v>
      </c>
      <c r="CD48">
        <f>IFERROR(AVERAGE('Feeder Spreads'!B48:B67)+2*STDEV('Feeder Spreads'!B48:B67),"")</f>
        <v>0</v>
      </c>
      <c r="CE48">
        <f>IFERROR(AVERAGE('Feeder Spreads'!B48:B67)-2*STDEV('Feeder Spreads'!B48:B67),"")</f>
        <v>0</v>
      </c>
      <c r="CF48" t="str">
        <f>IFERROR(('Feeder Spreads'!B48-(AVERAGE('Feeder Spreads'!B48:B67)-2*STDEV('Feeder Spreads'!B48:B67)))/(4*STDEV('Feeder Spreads'!B48:B67)),"")</f>
        <v/>
      </c>
      <c r="CG48" t="str">
        <f>IFERROR(4*STDEV('Feeder Spreads'!B48:B67)/AVERAGE('Feeder Spreads'!B48:B67),"")</f>
        <v/>
      </c>
      <c r="CH48">
        <v>47.878500000000003</v>
      </c>
      <c r="CI48">
        <f>IFERROR(SQRT((SUMSQ('Feeder Spreads'!B48:B67)-2*SUMPRODUCT('Feeder Spreads'!B48:B67,'Feeder Spreads'!B49:B68)+SUMSQ('Feeder Spreads'!B49:B68)-('Feeder Spreads'!B48-'Feeder Spreads'!B68)^2/20)/19),"")</f>
        <v>0</v>
      </c>
      <c r="CK48">
        <f>IFERROR('Feeder Spreads'!AX48,"")</f>
        <v>0</v>
      </c>
      <c r="CL48">
        <f>IFERROR(('Feeder Spreads'!AY48-AVERAGE('Feeder Spreads'!$AY$3:$AY$4308))/STDEV('Feeder Spreads'!$AY$3:$AY$4308),"")</f>
        <v>-9.2057461789832346E-2</v>
      </c>
      <c r="CM48">
        <f>IFERROR('Feeder Spreads'!AY48-'Feeder Spreads'!AY53,"")</f>
        <v>0</v>
      </c>
      <c r="CN48">
        <f>IFERROR('Feeder Spreads'!AY48-'Feeder Spreads'!AY58,"")</f>
        <v>0</v>
      </c>
      <c r="CO48">
        <f>IFERROR(AVERAGE('Feeder Spreads'!AY48:AY67)+2*STDEV('Feeder Spreads'!AY48:AY67),"")</f>
        <v>0</v>
      </c>
      <c r="CP48">
        <f>IFERROR(AVERAGE('Feeder Spreads'!AY48:AY67)-2*STDEV('Feeder Spreads'!AY48:AY67),"")</f>
        <v>0</v>
      </c>
      <c r="CQ48" t="str">
        <f>IFERROR(('Feeder Spreads'!AY48-(AVERAGE('Feeder Spreads'!AY48:AY67)-2*STDEV('Feeder Spreads'!AY48:AY67)))/(4*STDEV('Feeder Spreads'!AY48:AY67)),"")</f>
        <v/>
      </c>
      <c r="CR48" t="str">
        <f>IFERROR(4*STDEV('Feeder Spreads'!AY48:AY67)/AVERAGE('Feeder Spreads'!AY48:AY67),"")</f>
        <v/>
      </c>
      <c r="CS48">
        <v>73.447900000000004</v>
      </c>
      <c r="CT48">
        <f>IFERROR(SQRT((SUMSQ('Feeder Spreads'!AY48:AY67)-2*SUMPRODUCT('Feeder Spreads'!AY48:AY67,'Feeder Spreads'!AY49:AY68)+SUMSQ('Feeder Spreads'!AY49:AY68)-('Feeder Spreads'!AY48-'Feeder Spreads'!AY68)^2/20)/19),"")</f>
        <v>0</v>
      </c>
      <c r="CV48">
        <f>IFERROR('Feeder Spreads'!H48,"")</f>
        <v>0</v>
      </c>
      <c r="CW48">
        <f>IFERROR(('Feeder Spreads'!I48-AVERAGE('Feeder Spreads'!$I$3:$I$4308))/STDEV('Feeder Spreads'!$I$3:$I$4308),"")</f>
        <v>-9.2057461789832332E-2</v>
      </c>
      <c r="CX48">
        <f>IFERROR('Feeder Spreads'!I48-'Feeder Spreads'!I53,"")</f>
        <v>0</v>
      </c>
      <c r="CY48">
        <f>IFERROR('Feeder Spreads'!I48-'Feeder Spreads'!I58,"")</f>
        <v>0</v>
      </c>
      <c r="CZ48">
        <f>IFERROR(AVERAGE('Feeder Spreads'!I48:I67)+2*STDEV('Feeder Spreads'!I48:I67),"")</f>
        <v>0</v>
      </c>
      <c r="DA48">
        <f>IFERROR(AVERAGE('Feeder Spreads'!I48:I67)-2*STDEV('Feeder Spreads'!I48:I67),"")</f>
        <v>0</v>
      </c>
      <c r="DB48" t="str">
        <f>IFERROR(('Feeder Spreads'!I48-(AVERAGE('Feeder Spreads'!I48:I67)-2*STDEV('Feeder Spreads'!I48:I67)))/(4*STDEV('Feeder Spreads'!I48:I67)),"")</f>
        <v/>
      </c>
      <c r="DC48" t="str">
        <f>IFERROR(4*STDEV('Feeder Spreads'!I48:I67)/AVERAGE('Feeder Spreads'!I48:I67),"")</f>
        <v/>
      </c>
      <c r="DD48">
        <v>43.1053</v>
      </c>
      <c r="DE48">
        <f>IFERROR(SQRT((SUMSQ('Feeder Spreads'!I48:I67)-2*SUMPRODUCT('Feeder Spreads'!I48:I67,'Feeder Spreads'!I49:I68)+SUMSQ('Feeder Spreads'!I49:I68)-('Feeder Spreads'!I48-'Feeder Spreads'!I68)^2/20)/19),"")</f>
        <v>0</v>
      </c>
      <c r="DG48">
        <f>IFERROR('Feeder Spreads'!O48,"")</f>
        <v>0</v>
      </c>
      <c r="DH48">
        <f>IFERROR(('Feeder Spreads'!P48-AVERAGE('Feeder Spreads'!$P$3:$P$4308))/STDEV('Feeder Spreads'!$P$3:$P$4308),"")</f>
        <v>-9.2057461789832346E-2</v>
      </c>
      <c r="DI48">
        <f>IFERROR('Feeder Spreads'!P48-'Feeder Spreads'!P53,"")</f>
        <v>0</v>
      </c>
      <c r="DJ48">
        <f>IFERROR('Feeder Spreads'!P48-'Feeder Spreads'!P58,"")</f>
        <v>0</v>
      </c>
      <c r="DK48">
        <f>IFERROR(AVERAGE('Feeder Spreads'!P48:P67)+2*STDEV('Feeder Spreads'!P48:P67),"")</f>
        <v>0</v>
      </c>
      <c r="DL48">
        <f>IFERROR(AVERAGE('Feeder Spreads'!P48:P67)-2*STDEV('Feeder Spreads'!P48:P67),"")</f>
        <v>0</v>
      </c>
      <c r="DM48" t="str">
        <f>IFERROR(('Feeder Spreads'!P48-(AVERAGE('Feeder Spreads'!P48:P67)-2*STDEV('Feeder Spreads'!P48:P67)))/(4*STDEV('Feeder Spreads'!P48:P67)),"")</f>
        <v/>
      </c>
      <c r="DN48" t="str">
        <f>IFERROR(4*STDEV('Feeder Spreads'!P48:P67)/AVERAGE('Feeder Spreads'!P48:P67),"")</f>
        <v/>
      </c>
      <c r="DO48">
        <v>46.153100000000002</v>
      </c>
      <c r="DP48">
        <f>IFERROR(SQRT((SUMSQ('Feeder Spreads'!P48:P67)-2*SUMPRODUCT('Feeder Spreads'!P48:P67,'Feeder Spreads'!P49:P68)+SUMSQ('Feeder Spreads'!P49:P68)-('Feeder Spreads'!P48-'Feeder Spreads'!P68)^2/20)/19),"")</f>
        <v>0</v>
      </c>
      <c r="DR48">
        <f>IFERROR('Feeder Spreads'!V48,"")</f>
        <v>0</v>
      </c>
      <c r="DS48">
        <f>IFERROR(('Feeder Spreads'!W48-AVERAGE('Feeder Spreads'!$W$3:$W$4308))/STDEV('Feeder Spreads'!$W$3:$W$4308),"")</f>
        <v>-9.2057461789832332E-2</v>
      </c>
      <c r="DT48">
        <f>IFERROR('Feeder Spreads'!W48-'Feeder Spreads'!W53,"")</f>
        <v>0</v>
      </c>
      <c r="DU48">
        <f>IFERROR('Feeder Spreads'!W48-'Feeder Spreads'!W58,"")</f>
        <v>0</v>
      </c>
      <c r="DV48">
        <f>IFERROR(AVERAGE('Feeder Spreads'!W48:W67)+2*STDEV('Feeder Spreads'!W48:W67),"")</f>
        <v>0</v>
      </c>
      <c r="DW48">
        <f>IFERROR(AVERAGE('Feeder Spreads'!W48:W67)-2*STDEV('Feeder Spreads'!W48:W67),"")</f>
        <v>0</v>
      </c>
      <c r="DX48" t="str">
        <f>IFERROR(('Feeder Spreads'!W48-(AVERAGE('Feeder Spreads'!W48:W67)-2*STDEV('Feeder Spreads'!W48:W67)))/(4*STDEV('Feeder Spreads'!W48:W67)),"")</f>
        <v/>
      </c>
      <c r="DY48" t="str">
        <f>IFERROR(4*STDEV('Feeder Spreads'!W48:W67)/AVERAGE('Feeder Spreads'!W48:W67),"")</f>
        <v/>
      </c>
      <c r="DZ48">
        <v>63.821899999999999</v>
      </c>
      <c r="EA48">
        <f>IFERROR(SQRT((SUMSQ('Feeder Spreads'!W48:W67)-2*SUMPRODUCT('Feeder Spreads'!W48:W67,'Feeder Spreads'!W49:W68)+SUMSQ('Feeder Spreads'!W49:W68)-('Feeder Spreads'!W48-'Feeder Spreads'!W68)^2/20)/19),"")</f>
        <v>0</v>
      </c>
      <c r="EC48">
        <f>IFERROR('Feeder Spreads'!AC48,"")</f>
        <v>0</v>
      </c>
      <c r="ED48">
        <f>IFERROR(('Feeder Spreads'!AD48-AVERAGE('Feeder Spreads'!$AD$3:$AD$4308))/STDEV('Feeder Spreads'!$AD$3:$AD$4308),"")</f>
        <v>9.2057461789832318E-2</v>
      </c>
      <c r="EE48">
        <f>IFERROR('Feeder Spreads'!AD48-'Feeder Spreads'!AD53,"")</f>
        <v>0</v>
      </c>
      <c r="EF48">
        <f>IFERROR('Feeder Spreads'!AD48-'Feeder Spreads'!AD58,"")</f>
        <v>0</v>
      </c>
      <c r="EG48">
        <f>IFERROR(AVERAGE('Feeder Spreads'!AD48:AD67)+2*STDEV('Feeder Spreads'!AD48:AD67),"")</f>
        <v>0</v>
      </c>
      <c r="EH48">
        <f>IFERROR(AVERAGE('Feeder Spreads'!AD48:AD67)-2*STDEV('Feeder Spreads'!AD48:AD67),"")</f>
        <v>0</v>
      </c>
      <c r="EI48" t="str">
        <f>IFERROR(('Feeder Spreads'!AD48-(AVERAGE('Feeder Spreads'!AD48:AD67)-2*STDEV('Feeder Spreads'!AD48:AD67)))/(4*STDEV('Feeder Spreads'!AD48:AD67)),"")</f>
        <v/>
      </c>
      <c r="EJ48" t="str">
        <f>IFERROR(4*STDEV('Feeder Spreads'!AD48:AD67)/AVERAGE('Feeder Spreads'!AD48:AD67),"")</f>
        <v/>
      </c>
      <c r="EK48">
        <v>47.756999999999998</v>
      </c>
      <c r="EL48">
        <f>IFERROR(SQRT((SUMSQ('Feeder Spreads'!AD48:AD67)-2*SUMPRODUCT('Feeder Spreads'!AD48:AD67,'Feeder Spreads'!AD49:AD68)+SUMSQ('Feeder Spreads'!AD49:AD68)-('Feeder Spreads'!AD48-'Feeder Spreads'!AD68)^2/20)/19),"")</f>
        <v>0</v>
      </c>
      <c r="EN48">
        <f>IFERROR('Feeder Spreads'!AJ48,"")</f>
        <v>0</v>
      </c>
      <c r="EO48">
        <f>IFERROR(('Feeder Spreads'!AK48-AVERAGE('Feeder Spreads'!$AK$3:$AK$4308))/STDEV('Feeder Spreads'!$AK$3:$AK$4308),"")</f>
        <v>-9.2057461789832346E-2</v>
      </c>
      <c r="EP48">
        <f>IFERROR('Feeder Spreads'!AK48-'Feeder Spreads'!AK53,"")</f>
        <v>0</v>
      </c>
      <c r="EQ48">
        <f>IFERROR('Feeder Spreads'!AK48-'Feeder Spreads'!AK58,"")</f>
        <v>0</v>
      </c>
      <c r="ER48">
        <f>IFERROR(AVERAGE('Feeder Spreads'!AK48:AK67)+2*STDEV('Feeder Spreads'!AK48:AK67),"")</f>
        <v>0</v>
      </c>
      <c r="ES48">
        <f>IFERROR(AVERAGE('Feeder Spreads'!AK48:AK67)-2*STDEV('Feeder Spreads'!AK48:AK67),"")</f>
        <v>0</v>
      </c>
      <c r="ET48" t="str">
        <f>IFERROR(('Feeder Spreads'!AK48-(AVERAGE('Feeder Spreads'!AK48:AK67)-2*STDEV('Feeder Spreads'!AK48:AK67)))/(4*STDEV('Feeder Spreads'!AK48:AK67)),"")</f>
        <v/>
      </c>
      <c r="EU48" t="str">
        <f>IFERROR(4*STDEV('Feeder Spreads'!AK48:AK67)/AVERAGE('Feeder Spreads'!AK48:AK67),"")</f>
        <v/>
      </c>
      <c r="EV48">
        <v>40.640999999999998</v>
      </c>
      <c r="EW48">
        <f>IFERROR(SQRT((SUMSQ('Feeder Spreads'!AK48:AK67)-2*SUMPRODUCT('Feeder Spreads'!AK48:AK67,'Feeder Spreads'!AK49:AK68)+SUMSQ('Feeder Spreads'!AK49:AK68)-('Feeder Spreads'!AK48-'Feeder Spreads'!AK68)^2/20)/19),"")</f>
        <v>0</v>
      </c>
      <c r="EY48">
        <f>IFERROR('Feeder Spreads'!AQ48,"")</f>
        <v>0</v>
      </c>
      <c r="EZ48">
        <f>IFERROR(('Feeder Spreads'!AR48-AVERAGE('Feeder Spreads'!$AR$3:$AR$4308))/STDEV('Feeder Spreads'!$AR$3:$AR$4308),"")</f>
        <v>-9.2057461789832332E-2</v>
      </c>
      <c r="FA48">
        <f>IFERROR('Feeder Spreads'!AR48-'Feeder Spreads'!AR53,"")</f>
        <v>0</v>
      </c>
      <c r="FB48">
        <f>IFERROR('Feeder Spreads'!AR48-'Feeder Spreads'!AR58,"")</f>
        <v>0</v>
      </c>
      <c r="FC48">
        <f>IFERROR(AVERAGE('Feeder Spreads'!AR48:AR67)+2*STDEV('Feeder Spreads'!AR48:AR67),"")</f>
        <v>0</v>
      </c>
      <c r="FD48">
        <f>IFERROR(AVERAGE('Feeder Spreads'!AR48:AR67)-2*STDEV('Feeder Spreads'!AR48:AR67),"")</f>
        <v>0</v>
      </c>
      <c r="FE48" t="str">
        <f>IFERROR(('Feeder Spreads'!AR48-(AVERAGE('Feeder Spreads'!AR48:AR67)-2*STDEV('Feeder Spreads'!AR48:AR67)))/(4*STDEV('Feeder Spreads'!AR48:AR67)),"")</f>
        <v/>
      </c>
      <c r="FF48" t="str">
        <f>IFERROR(4*STDEV('Feeder Spreads'!AR48:AR67)/AVERAGE('Feeder Spreads'!AR48:AR67),"")</f>
        <v/>
      </c>
      <c r="FG48">
        <v>41.164400000000001</v>
      </c>
      <c r="FH48">
        <f>IFERROR(SQRT((SUMSQ('Feeder Spreads'!AR48:AR67)-2*SUMPRODUCT('Feeder Spreads'!AR48:AR67,'Feeder Spreads'!AR49:AR68)+SUMSQ('Feeder Spreads'!AR49:AR68)-('Feeder Spreads'!AR48-'Feeder Spreads'!AR68)^2/20)/19),"")</f>
        <v>0</v>
      </c>
      <c r="FJ48">
        <f>IFERROR('Fat Spreads'!AX48,"")</f>
        <v>0</v>
      </c>
      <c r="FK48">
        <f>IFERROR(('Fat Spreads'!AY48-AVERAGE('Fat Spreads'!$AY$3:$AY$4308))/STDEV('Fat Spreads'!$AY$3:$AY$4308),"")</f>
        <v>9.2057461789832332E-2</v>
      </c>
      <c r="FL48">
        <f>IFERROR('Fat Spreads'!AY48-'Fat Spreads'!AY53,"")</f>
        <v>0</v>
      </c>
      <c r="FM48">
        <f>IFERROR('Fat Spreads'!AY48-'Fat Spreads'!AY58,"")</f>
        <v>0</v>
      </c>
      <c r="FN48">
        <f>IFERROR(AVERAGE('Fat Spreads'!AY48:AY67)+2*STDEV('Fat Spreads'!AY48:AY67),"")</f>
        <v>0</v>
      </c>
      <c r="FO48">
        <f>IFERROR(AVERAGE('Fat Spreads'!AY48:AY67)-2*STDEV('Fat Spreads'!AY48:AY67),"")</f>
        <v>0</v>
      </c>
      <c r="FP48" t="str">
        <f>IFERROR(('Fat Spreads'!AY48-(AVERAGE('Fat Spreads'!AY48:AY67)-2*STDEV('Fat Spreads'!AY48:AY67)))/(4*STDEV('Fat Spreads'!AY48:AY67)),"")</f>
        <v/>
      </c>
      <c r="FQ48" t="str">
        <f>IFERROR(4*STDEV('Fat Spreads'!AY48:AY67)/AVERAGE('Fat Spreads'!AY48:AY67),"")</f>
        <v/>
      </c>
      <c r="FR48">
        <v>32.989400000000003</v>
      </c>
      <c r="FS48">
        <f>IFERROR(SQRT((SUMSQ('Fat Spreads'!AY48:AY67)-2*SUMPRODUCT('Fat Spreads'!AY48:AY67,'Fat Spreads'!AY49:AY68)+SUMSQ('Fat Spreads'!AY49:AY68)-('Fat Spreads'!AY48-'Fat Spreads'!AY68)^2/20)/19),"")</f>
        <v>0</v>
      </c>
      <c r="FU48">
        <f>IFERROR('Fat Spreads'!BE48,"")</f>
        <v>0</v>
      </c>
      <c r="FV48">
        <f>IFERROR(('Fat Spreads'!BF48-AVERAGE('Fat Spreads'!$BF$3:$BF$4308))/STDEV('Fat Spreads'!$BF$3:$BF$4308),"")</f>
        <v>9.2057461789832332E-2</v>
      </c>
      <c r="FW48">
        <f>IFERROR('Fat Spreads'!BF48-'Fat Spreads'!BF53,"")</f>
        <v>0</v>
      </c>
      <c r="FX48">
        <f>IFERROR('Fat Spreads'!BF48-'Fat Spreads'!BF58,"")</f>
        <v>0</v>
      </c>
      <c r="FY48">
        <f>IFERROR(AVERAGE('Fat Spreads'!BF48:BF67)+2*STDEV('Fat Spreads'!BF48:BF67),"")</f>
        <v>0</v>
      </c>
      <c r="FZ48">
        <f>IFERROR(AVERAGE('Fat Spreads'!BF48:BF67)-2*STDEV('Fat Spreads'!BF48:BF67),"")</f>
        <v>0</v>
      </c>
      <c r="GA48" t="str">
        <f>IFERROR(('Fat Spreads'!BF48-(AVERAGE('Fat Spreads'!BF48:BF67)-2*STDEV('Fat Spreads'!BF48:BF67)))/(4*STDEV('Fat Spreads'!BF48:BF67)),"")</f>
        <v/>
      </c>
      <c r="GB48" t="str">
        <f>IFERROR(4*STDEV('Fat Spreads'!BF48:BF67)/AVERAGE('Fat Spreads'!BF48:BF67),"")</f>
        <v/>
      </c>
      <c r="GC48">
        <v>39.124000000000002</v>
      </c>
      <c r="GD48">
        <f>IFERROR(SQRT((SUMSQ('Fat Spreads'!BF48:BF67)-2*SUMPRODUCT('Fat Spreads'!BF48:BF67,'Fat Spreads'!BF49:BF68)+SUMSQ('Fat Spreads'!BF49:BF68)-('Fat Spreads'!BF48-'Fat Spreads'!BF68)^2/20)/19),"")</f>
        <v>0</v>
      </c>
    </row>
    <row r="49" spans="1:186" x14ac:dyDescent="0.25">
      <c r="A49">
        <f>IFERROR('Fat Spreads'!A49,"")</f>
        <v>0</v>
      </c>
      <c r="B49">
        <f>IFERROR(('Fat Spreads'!B49-AVERAGE('Fat Spreads'!$B$3:$B$4308))/STDEV('Fat Spreads'!$B$3:$B$4308),"")</f>
        <v>9.2057461789832346E-2</v>
      </c>
      <c r="C49">
        <f>IFERROR('Fat Spreads'!B49-'Fat Spreads'!B54,"")</f>
        <v>0</v>
      </c>
      <c r="D49">
        <f>IFERROR('Fat Spreads'!B49-'Fat Spreads'!B59,"")</f>
        <v>0</v>
      </c>
      <c r="E49">
        <f>IFERROR(AVERAGE('Fat Spreads'!B49:B68)+2*STDEV('Fat Spreads'!B49:B68),"")</f>
        <v>0</v>
      </c>
      <c r="F49">
        <f>IFERROR(AVERAGE('Fat Spreads'!B49:B68)-2*STDEV('Fat Spreads'!B49:B68),"")</f>
        <v>0</v>
      </c>
      <c r="G49" t="str">
        <f>IFERROR(('Fat Spreads'!B49-(AVERAGE('Fat Spreads'!B49:B68)-2*STDEV('Fat Spreads'!B49:B68)))/(4*STDEV('Fat Spreads'!B49:B68)),"")</f>
        <v/>
      </c>
      <c r="H49" t="str">
        <f>IFERROR(4*STDEV('Fat Spreads'!B49:B68)/AVERAGE('Fat Spreads'!B49:B68),"")</f>
        <v/>
      </c>
      <c r="I49">
        <v>35.427199999999999</v>
      </c>
      <c r="J49">
        <f>IFERROR(SQRT((SUMSQ('Fat Spreads'!B49:B68)-2*SUMPRODUCT('Fat Spreads'!B49:B68,'Fat Spreads'!B50:B69)+SUMSQ('Fat Spreads'!B50:B69)-('Fat Spreads'!B49-'Fat Spreads'!B69)^2/20)/19),"")</f>
        <v>0</v>
      </c>
      <c r="L49">
        <f>IFERROR('Fat Spreads'!H49,"")</f>
        <v>0</v>
      </c>
      <c r="M49">
        <f>IFERROR(('Fat Spreads'!I49-AVERAGE('Fat Spreads'!$I$3:$I$4308))/STDEV('Fat Spreads'!$I$3:$I$4308),"")</f>
        <v>-9.2057461789832332E-2</v>
      </c>
      <c r="N49">
        <f>IFERROR('Fat Spreads'!I49-'Fat Spreads'!I54,"")</f>
        <v>0</v>
      </c>
      <c r="O49">
        <f>IFERROR('Fat Spreads'!I49-'Fat Spreads'!I59,"")</f>
        <v>0</v>
      </c>
      <c r="P49">
        <f>IFERROR(AVERAGE('Fat Spreads'!I49:I68)+2*STDEV('Fat Spreads'!I49:I68),"")</f>
        <v>0</v>
      </c>
      <c r="Q49">
        <f>IFERROR(AVERAGE('Fat Spreads'!I49:I68)-2*STDEV('Fat Spreads'!I49:I68),"")</f>
        <v>0</v>
      </c>
      <c r="R49" t="str">
        <f>IFERROR(('Fat Spreads'!I49-(AVERAGE('Fat Spreads'!I49:I68)-2*STDEV('Fat Spreads'!I49:I68)))/(4*STDEV('Fat Spreads'!I49:I68)),"")</f>
        <v/>
      </c>
      <c r="S49" t="str">
        <f>IFERROR(4*STDEV('Fat Spreads'!I49:I68)/AVERAGE('Fat Spreads'!I49:I68),"")</f>
        <v/>
      </c>
      <c r="T49">
        <v>34.7057</v>
      </c>
      <c r="U49">
        <f>IFERROR(SQRT((SUMSQ('Fat Spreads'!I49:I68)-2*SUMPRODUCT('Fat Spreads'!I49:I68,'Fat Spreads'!I50:I69)+SUMSQ('Fat Spreads'!I50:I69)-('Fat Spreads'!I49-'Fat Spreads'!I69)^2/20)/19),"")</f>
        <v>0</v>
      </c>
      <c r="W49">
        <f>IFERROR('Fat Spreads'!AQ49,"")</f>
        <v>0</v>
      </c>
      <c r="X49">
        <f>IFERROR(('Fat Spreads'!AR49-AVERAGE('Fat Spreads'!$AR$3:$AR$4308))/STDEV('Fat Spreads'!$AR$3:$AR$4308),"")</f>
        <v>-9.2057461789832346E-2</v>
      </c>
      <c r="Y49">
        <f>IFERROR('Fat Spreads'!AR49-'Fat Spreads'!AR54,"")</f>
        <v>0</v>
      </c>
      <c r="Z49">
        <f>IFERROR('Fat Spreads'!AR49-'Fat Spreads'!AR59,"")</f>
        <v>0</v>
      </c>
      <c r="AA49">
        <f>IFERROR(AVERAGE('Fat Spreads'!AR49:AR68)+2*STDEV('Fat Spreads'!AR49:AR68),"")</f>
        <v>0</v>
      </c>
      <c r="AB49">
        <f>IFERROR(AVERAGE('Fat Spreads'!AR49:AR68)-2*STDEV('Fat Spreads'!AR49:AR68),"")</f>
        <v>0</v>
      </c>
      <c r="AC49" t="str">
        <f>IFERROR(('Fat Spreads'!AR49-(AVERAGE('Fat Spreads'!AR49:AR68)-2*STDEV('Fat Spreads'!AR49:AR68)))/(4*STDEV('Fat Spreads'!AR49:AR68)),"")</f>
        <v/>
      </c>
      <c r="AD49" t="str">
        <f>IFERROR(4*STDEV('Fat Spreads'!AR49:AR68)/AVERAGE('Fat Spreads'!AR49:AR68),"")</f>
        <v/>
      </c>
      <c r="AE49">
        <v>51.468499999999999</v>
      </c>
      <c r="AF49">
        <f>IFERROR(SQRT((SUMSQ('Fat Spreads'!AR49:AR68)-2*SUMPRODUCT('Fat Spreads'!AR49:AR68,'Fat Spreads'!AR50:AR69)+SUMSQ('Fat Spreads'!AR50:AR69)-('Fat Spreads'!AR49-'Fat Spreads'!AR69)^2/20)/19),"")</f>
        <v>0</v>
      </c>
      <c r="AH49">
        <f>IFERROR('Fat Spreads'!O49,"")</f>
        <v>0</v>
      </c>
      <c r="AI49">
        <f>IFERROR(('Fat Spreads'!P49-AVERAGE('Fat Spreads'!$P$3:$P$4308))/STDEV('Fat Spreads'!$P$3:$P$4308),"")</f>
        <v>-9.2057461789832332E-2</v>
      </c>
      <c r="AJ49">
        <f>IFERROR('Fat Spreads'!P49-'Fat Spreads'!P54,"")</f>
        <v>0</v>
      </c>
      <c r="AK49">
        <f>IFERROR('Fat Spreads'!P49-'Fat Spreads'!P59,"")</f>
        <v>0</v>
      </c>
      <c r="AL49">
        <f>IFERROR(AVERAGE('Fat Spreads'!P49:P68)+2*STDEV('Fat Spreads'!P49:P68),"")</f>
        <v>0</v>
      </c>
      <c r="AM49">
        <f>IFERROR(AVERAGE('Fat Spreads'!P49:P68)-2*STDEV('Fat Spreads'!P49:P68),"")</f>
        <v>0</v>
      </c>
      <c r="AN49" t="str">
        <f>IFERROR(('Fat Spreads'!P49-(AVERAGE('Fat Spreads'!P49:P68)-2*STDEV('Fat Spreads'!P49:P68)))/(4*STDEV('Fat Spreads'!P49:P68)),"")</f>
        <v/>
      </c>
      <c r="AO49" t="str">
        <f>IFERROR(4*STDEV('Fat Spreads'!P49:P68)/AVERAGE('Fat Spreads'!P49:P68),"")</f>
        <v/>
      </c>
      <c r="AP49">
        <v>47.384799999999998</v>
      </c>
      <c r="AQ49">
        <f>IFERROR(SQRT((SUMSQ('Fat Spreads'!P49:P68)-2*SUMPRODUCT('Fat Spreads'!P49:P68,'Fat Spreads'!P50:P69)+SUMSQ('Fat Spreads'!P50:P69)-('Fat Spreads'!P49-'Fat Spreads'!P69)^2/20)/19),"")</f>
        <v>0</v>
      </c>
      <c r="AS49">
        <f>IFERROR('Fat Spreads'!AJ49,"")</f>
        <v>0</v>
      </c>
      <c r="AT49">
        <f>IFERROR(('Fat Spreads'!AK49-AVERAGE('Fat Spreads'!$AK$3:$AK$4308))/STDEV('Fat Spreads'!$AK$3:$AK$4308),"")</f>
        <v>-9.2057461789832332E-2</v>
      </c>
      <c r="AU49">
        <f>IFERROR('Fat Spreads'!AK49-'Fat Spreads'!AK54,"")</f>
        <v>0</v>
      </c>
      <c r="AV49">
        <f>IFERROR('Fat Spreads'!AK49-'Fat Spreads'!AK59,"")</f>
        <v>0</v>
      </c>
      <c r="AW49">
        <f>IFERROR(AVERAGE('Fat Spreads'!AK49:AK68)+2*STDEV('Fat Spreads'!AK49:AK68),"")</f>
        <v>0</v>
      </c>
      <c r="AX49">
        <f>IFERROR(AVERAGE('Fat Spreads'!AK49:AK68)-2*STDEV('Fat Spreads'!AK49:AK68),"")</f>
        <v>0</v>
      </c>
      <c r="AY49" t="str">
        <f>IFERROR(('Fat Spreads'!AK49-(AVERAGE('Fat Spreads'!AK49:AK68)-2*STDEV('Fat Spreads'!AK49:AK68)))/(4*STDEV('Fat Spreads'!AK49:AK68)),"")</f>
        <v/>
      </c>
      <c r="AZ49" t="str">
        <f>IFERROR(4*STDEV('Fat Spreads'!AK49:AK68)/AVERAGE('Fat Spreads'!AK49:AK68),"")</f>
        <v/>
      </c>
      <c r="BA49">
        <v>34.636800000000001</v>
      </c>
      <c r="BB49">
        <f>IFERROR(SQRT((SUMSQ('Fat Spreads'!AK49:AK68)-2*SUMPRODUCT('Fat Spreads'!AK49:AK68,'Fat Spreads'!AK50:AK69)+SUMSQ('Fat Spreads'!AK50:AK69)-('Fat Spreads'!AK49-'Fat Spreads'!AK69)^2/20)/19),"")</f>
        <v>0</v>
      </c>
      <c r="BD49">
        <f>IFERROR('Fat Spreads'!V49,"")</f>
        <v>0</v>
      </c>
      <c r="BE49">
        <f>IFERROR(('Fat Spreads'!W49-AVERAGE('Fat Spreads'!$W$3:$W$4308))/STDEV('Fat Spreads'!$W$3:$W$4308),"")</f>
        <v>-9.2057461789832332E-2</v>
      </c>
      <c r="BF49">
        <f>IFERROR('Fat Spreads'!W49-'Fat Spreads'!W54,"")</f>
        <v>0</v>
      </c>
      <c r="BG49">
        <f>IFERROR('Fat Spreads'!W49-'Fat Spreads'!W59,"")</f>
        <v>0</v>
      </c>
      <c r="BH49">
        <f>IFERROR(AVERAGE('Fat Spreads'!W49:W68)+2*STDEV('Fat Spreads'!W49:W68),"")</f>
        <v>0</v>
      </c>
      <c r="BI49">
        <f>IFERROR(AVERAGE('Fat Spreads'!W49:W68)-2*STDEV('Fat Spreads'!W49:W68),"")</f>
        <v>0</v>
      </c>
      <c r="BJ49" t="str">
        <f>IFERROR(('Fat Spreads'!W49-(AVERAGE('Fat Spreads'!W49:W68)-2*STDEV('Fat Spreads'!W49:W68)))/(4*STDEV('Fat Spreads'!W49:W68)),"")</f>
        <v/>
      </c>
      <c r="BK49" t="str">
        <f>IFERROR(4*STDEV('Fat Spreads'!W49:W68)/AVERAGE('Fat Spreads'!W49:W68),"")</f>
        <v/>
      </c>
      <c r="BL49">
        <v>54.969299999999997</v>
      </c>
      <c r="BM49">
        <f>IFERROR(SQRT((SUMSQ('Fat Spreads'!W49:W68)-2*SUMPRODUCT('Fat Spreads'!W49:W68,'Fat Spreads'!W50:W69)+SUMSQ('Fat Spreads'!W50:W69)-('Fat Spreads'!W49-'Fat Spreads'!W69)^2/20)/19),"")</f>
        <v>0</v>
      </c>
      <c r="BO49">
        <f>IFERROR('Fat Spreads'!AC49,"")</f>
        <v>0</v>
      </c>
      <c r="BP49">
        <f>IFERROR(('Fat Spreads'!AD49-AVERAGE('Fat Spreads'!$AD$3:$AD$4308))/STDEV('Fat Spreads'!$AD$3:$AD$4308),"")</f>
        <v>-9.2057461789832332E-2</v>
      </c>
      <c r="BQ49">
        <f>IFERROR('Fat Spreads'!AD49-'Fat Spreads'!AD54,"")</f>
        <v>0</v>
      </c>
      <c r="BR49">
        <f>IFERROR('Fat Spreads'!AD49-'Fat Spreads'!AD59,"")</f>
        <v>0</v>
      </c>
      <c r="BS49">
        <f>IFERROR(AVERAGE('Fat Spreads'!AD49:AD68)+2*STDEV('Fat Spreads'!AD49:AD68),"")</f>
        <v>0</v>
      </c>
      <c r="BT49">
        <f>IFERROR(AVERAGE('Fat Spreads'!AD49:AD68)-2*STDEV('Fat Spreads'!AD49:AD68),"")</f>
        <v>0</v>
      </c>
      <c r="BU49" t="str">
        <f>IFERROR(('Fat Spreads'!AD49-(AVERAGE('Fat Spreads'!AD49:AD68)-2*STDEV('Fat Spreads'!AD49:AD68)))/(4*STDEV('Fat Spreads'!AD49:AD68)),"")</f>
        <v/>
      </c>
      <c r="BV49" t="str">
        <f>IFERROR(4*STDEV('Fat Spreads'!AD49:AD68)/AVERAGE('Fat Spreads'!AD49:AD68),"")</f>
        <v/>
      </c>
      <c r="BW49">
        <v>67.101900000000001</v>
      </c>
      <c r="BX49">
        <f>IFERROR(SQRT((SUMSQ('Fat Spreads'!AD49:AD68)-2*SUMPRODUCT('Fat Spreads'!AD49:AD68,'Fat Spreads'!AD50:AD69)+SUMSQ('Fat Spreads'!AD50:AD69)-('Fat Spreads'!AD49-'Fat Spreads'!AD69)^2/20)/19),"")</f>
        <v>0</v>
      </c>
      <c r="BZ49">
        <f>IFERROR('Feeder Spreads'!A49,"")</f>
        <v>0</v>
      </c>
      <c r="CA49">
        <f>IFERROR(('Feeder Spreads'!B49-AVERAGE('Feeder Spreads'!$B$3:$B$4308))/STDEV('Feeder Spreads'!$B$3:$B$4308),"")</f>
        <v>-9.2057461789832346E-2</v>
      </c>
      <c r="CB49">
        <f>IFERROR('Feeder Spreads'!B49-'Feeder Spreads'!B54,"")</f>
        <v>0</v>
      </c>
      <c r="CC49">
        <f>IFERROR('Feeder Spreads'!B49-'Feeder Spreads'!B59,"")</f>
        <v>0</v>
      </c>
      <c r="CD49">
        <f>IFERROR(AVERAGE('Feeder Spreads'!B49:B68)+2*STDEV('Feeder Spreads'!B49:B68),"")</f>
        <v>0</v>
      </c>
      <c r="CE49">
        <f>IFERROR(AVERAGE('Feeder Spreads'!B49:B68)-2*STDEV('Feeder Spreads'!B49:B68),"")</f>
        <v>0</v>
      </c>
      <c r="CF49" t="str">
        <f>IFERROR(('Feeder Spreads'!B49-(AVERAGE('Feeder Spreads'!B49:B68)-2*STDEV('Feeder Spreads'!B49:B68)))/(4*STDEV('Feeder Spreads'!B49:B68)),"")</f>
        <v/>
      </c>
      <c r="CG49" t="str">
        <f>IFERROR(4*STDEV('Feeder Spreads'!B49:B68)/AVERAGE('Feeder Spreads'!B49:B68),"")</f>
        <v/>
      </c>
      <c r="CH49">
        <v>38.844299999999997</v>
      </c>
      <c r="CI49">
        <f>IFERROR(SQRT((SUMSQ('Feeder Spreads'!B49:B68)-2*SUMPRODUCT('Feeder Spreads'!B49:B68,'Feeder Spreads'!B50:B69)+SUMSQ('Feeder Spreads'!B50:B69)-('Feeder Spreads'!B49-'Feeder Spreads'!B69)^2/20)/19),"")</f>
        <v>0</v>
      </c>
      <c r="CK49">
        <f>IFERROR('Feeder Spreads'!AX49,"")</f>
        <v>0</v>
      </c>
      <c r="CL49">
        <f>IFERROR(('Feeder Spreads'!AY49-AVERAGE('Feeder Spreads'!$AY$3:$AY$4308))/STDEV('Feeder Spreads'!$AY$3:$AY$4308),"")</f>
        <v>-9.2057461789832346E-2</v>
      </c>
      <c r="CM49">
        <f>IFERROR('Feeder Spreads'!AY49-'Feeder Spreads'!AY54,"")</f>
        <v>0</v>
      </c>
      <c r="CN49">
        <f>IFERROR('Feeder Spreads'!AY49-'Feeder Spreads'!AY59,"")</f>
        <v>0</v>
      </c>
      <c r="CO49">
        <f>IFERROR(AVERAGE('Feeder Spreads'!AY49:AY68)+2*STDEV('Feeder Spreads'!AY49:AY68),"")</f>
        <v>0</v>
      </c>
      <c r="CP49">
        <f>IFERROR(AVERAGE('Feeder Spreads'!AY49:AY68)-2*STDEV('Feeder Spreads'!AY49:AY68),"")</f>
        <v>0</v>
      </c>
      <c r="CQ49" t="str">
        <f>IFERROR(('Feeder Spreads'!AY49-(AVERAGE('Feeder Spreads'!AY49:AY68)-2*STDEV('Feeder Spreads'!AY49:AY68)))/(4*STDEV('Feeder Spreads'!AY49:AY68)),"")</f>
        <v/>
      </c>
      <c r="CR49" t="str">
        <f>IFERROR(4*STDEV('Feeder Spreads'!AY49:AY68)/AVERAGE('Feeder Spreads'!AY49:AY68),"")</f>
        <v/>
      </c>
      <c r="CS49">
        <v>74.793599999999998</v>
      </c>
      <c r="CT49">
        <f>IFERROR(SQRT((SUMSQ('Feeder Spreads'!AY49:AY68)-2*SUMPRODUCT('Feeder Spreads'!AY49:AY68,'Feeder Spreads'!AY50:AY69)+SUMSQ('Feeder Spreads'!AY50:AY69)-('Feeder Spreads'!AY49-'Feeder Spreads'!AY69)^2/20)/19),"")</f>
        <v>0</v>
      </c>
      <c r="CV49">
        <f>IFERROR('Feeder Spreads'!H49,"")</f>
        <v>0</v>
      </c>
      <c r="CW49">
        <f>IFERROR(('Feeder Spreads'!I49-AVERAGE('Feeder Spreads'!$I$3:$I$4308))/STDEV('Feeder Spreads'!$I$3:$I$4308),"")</f>
        <v>-9.2057461789832332E-2</v>
      </c>
      <c r="CX49">
        <f>IFERROR('Feeder Spreads'!I49-'Feeder Spreads'!I54,"")</f>
        <v>0</v>
      </c>
      <c r="CY49">
        <f>IFERROR('Feeder Spreads'!I49-'Feeder Spreads'!I59,"")</f>
        <v>0</v>
      </c>
      <c r="CZ49">
        <f>IFERROR(AVERAGE('Feeder Spreads'!I49:I68)+2*STDEV('Feeder Spreads'!I49:I68),"")</f>
        <v>0</v>
      </c>
      <c r="DA49">
        <f>IFERROR(AVERAGE('Feeder Spreads'!I49:I68)-2*STDEV('Feeder Spreads'!I49:I68),"")</f>
        <v>0</v>
      </c>
      <c r="DB49" t="str">
        <f>IFERROR(('Feeder Spreads'!I49-(AVERAGE('Feeder Spreads'!I49:I68)-2*STDEV('Feeder Spreads'!I49:I68)))/(4*STDEV('Feeder Spreads'!I49:I68)),"")</f>
        <v/>
      </c>
      <c r="DC49" t="str">
        <f>IFERROR(4*STDEV('Feeder Spreads'!I49:I68)/AVERAGE('Feeder Spreads'!I49:I68),"")</f>
        <v/>
      </c>
      <c r="DD49">
        <v>37.740499999999997</v>
      </c>
      <c r="DE49">
        <f>IFERROR(SQRT((SUMSQ('Feeder Spreads'!I49:I68)-2*SUMPRODUCT('Feeder Spreads'!I49:I68,'Feeder Spreads'!I50:I69)+SUMSQ('Feeder Spreads'!I50:I69)-('Feeder Spreads'!I49-'Feeder Spreads'!I69)^2/20)/19),"")</f>
        <v>0</v>
      </c>
      <c r="DG49">
        <f>IFERROR('Feeder Spreads'!O49,"")</f>
        <v>0</v>
      </c>
      <c r="DH49">
        <f>IFERROR(('Feeder Spreads'!P49-AVERAGE('Feeder Spreads'!$P$3:$P$4308))/STDEV('Feeder Spreads'!$P$3:$P$4308),"")</f>
        <v>-9.2057461789832346E-2</v>
      </c>
      <c r="DI49">
        <f>IFERROR('Feeder Spreads'!P49-'Feeder Spreads'!P54,"")</f>
        <v>0</v>
      </c>
      <c r="DJ49">
        <f>IFERROR('Feeder Spreads'!P49-'Feeder Spreads'!P59,"")</f>
        <v>0</v>
      </c>
      <c r="DK49">
        <f>IFERROR(AVERAGE('Feeder Spreads'!P49:P68)+2*STDEV('Feeder Spreads'!P49:P68),"")</f>
        <v>0</v>
      </c>
      <c r="DL49">
        <f>IFERROR(AVERAGE('Feeder Spreads'!P49:P68)-2*STDEV('Feeder Spreads'!P49:P68),"")</f>
        <v>0</v>
      </c>
      <c r="DM49" t="str">
        <f>IFERROR(('Feeder Spreads'!P49-(AVERAGE('Feeder Spreads'!P49:P68)-2*STDEV('Feeder Spreads'!P49:P68)))/(4*STDEV('Feeder Spreads'!P49:P68)),"")</f>
        <v/>
      </c>
      <c r="DN49" t="str">
        <f>IFERROR(4*STDEV('Feeder Spreads'!P49:P68)/AVERAGE('Feeder Spreads'!P49:P68),"")</f>
        <v/>
      </c>
      <c r="DO49">
        <v>46.153100000000002</v>
      </c>
      <c r="DP49">
        <f>IFERROR(SQRT((SUMSQ('Feeder Spreads'!P49:P68)-2*SUMPRODUCT('Feeder Spreads'!P49:P68,'Feeder Spreads'!P50:P69)+SUMSQ('Feeder Spreads'!P50:P69)-('Feeder Spreads'!P49-'Feeder Spreads'!P69)^2/20)/19),"")</f>
        <v>0</v>
      </c>
      <c r="DR49">
        <f>IFERROR('Feeder Spreads'!V49,"")</f>
        <v>0</v>
      </c>
      <c r="DS49">
        <f>IFERROR(('Feeder Spreads'!W49-AVERAGE('Feeder Spreads'!$W$3:$W$4308))/STDEV('Feeder Spreads'!$W$3:$W$4308),"")</f>
        <v>-9.2057461789832332E-2</v>
      </c>
      <c r="DT49">
        <f>IFERROR('Feeder Spreads'!W49-'Feeder Spreads'!W54,"")</f>
        <v>0</v>
      </c>
      <c r="DU49">
        <f>IFERROR('Feeder Spreads'!W49-'Feeder Spreads'!W59,"")</f>
        <v>0</v>
      </c>
      <c r="DV49">
        <f>IFERROR(AVERAGE('Feeder Spreads'!W49:W68)+2*STDEV('Feeder Spreads'!W49:W68),"")</f>
        <v>0</v>
      </c>
      <c r="DW49">
        <f>IFERROR(AVERAGE('Feeder Spreads'!W49:W68)-2*STDEV('Feeder Spreads'!W49:W68),"")</f>
        <v>0</v>
      </c>
      <c r="DX49" t="str">
        <f>IFERROR(('Feeder Spreads'!W49-(AVERAGE('Feeder Spreads'!W49:W68)-2*STDEV('Feeder Spreads'!W49:W68)))/(4*STDEV('Feeder Spreads'!W49:W68)),"")</f>
        <v/>
      </c>
      <c r="DY49" t="str">
        <f>IFERROR(4*STDEV('Feeder Spreads'!W49:W68)/AVERAGE('Feeder Spreads'!W49:W68),"")</f>
        <v/>
      </c>
      <c r="DZ49">
        <v>54.067300000000003</v>
      </c>
      <c r="EA49">
        <f>IFERROR(SQRT((SUMSQ('Feeder Spreads'!W49:W68)-2*SUMPRODUCT('Feeder Spreads'!W49:W68,'Feeder Spreads'!W50:W69)+SUMSQ('Feeder Spreads'!W50:W69)-('Feeder Spreads'!W49-'Feeder Spreads'!W69)^2/20)/19),"")</f>
        <v>0</v>
      </c>
      <c r="EC49">
        <f>IFERROR('Feeder Spreads'!AC49,"")</f>
        <v>0</v>
      </c>
      <c r="ED49">
        <f>IFERROR(('Feeder Spreads'!AD49-AVERAGE('Feeder Spreads'!$AD$3:$AD$4308))/STDEV('Feeder Spreads'!$AD$3:$AD$4308),"")</f>
        <v>9.2057461789832318E-2</v>
      </c>
      <c r="EE49">
        <f>IFERROR('Feeder Spreads'!AD49-'Feeder Spreads'!AD54,"")</f>
        <v>0</v>
      </c>
      <c r="EF49">
        <f>IFERROR('Feeder Spreads'!AD49-'Feeder Spreads'!AD59,"")</f>
        <v>0</v>
      </c>
      <c r="EG49">
        <f>IFERROR(AVERAGE('Feeder Spreads'!AD49:AD68)+2*STDEV('Feeder Spreads'!AD49:AD68),"")</f>
        <v>0</v>
      </c>
      <c r="EH49">
        <f>IFERROR(AVERAGE('Feeder Spreads'!AD49:AD68)-2*STDEV('Feeder Spreads'!AD49:AD68),"")</f>
        <v>0</v>
      </c>
      <c r="EI49" t="str">
        <f>IFERROR(('Feeder Spreads'!AD49-(AVERAGE('Feeder Spreads'!AD49:AD68)-2*STDEV('Feeder Spreads'!AD49:AD68)))/(4*STDEV('Feeder Spreads'!AD49:AD68)),"")</f>
        <v/>
      </c>
      <c r="EJ49" t="str">
        <f>IFERROR(4*STDEV('Feeder Spreads'!AD49:AD68)/AVERAGE('Feeder Spreads'!AD49:AD68),"")</f>
        <v/>
      </c>
      <c r="EK49">
        <v>57.5914</v>
      </c>
      <c r="EL49">
        <f>IFERROR(SQRT((SUMSQ('Feeder Spreads'!AD49:AD68)-2*SUMPRODUCT('Feeder Spreads'!AD49:AD68,'Feeder Spreads'!AD50:AD69)+SUMSQ('Feeder Spreads'!AD50:AD69)-('Feeder Spreads'!AD49-'Feeder Spreads'!AD69)^2/20)/19),"")</f>
        <v>0</v>
      </c>
      <c r="EN49">
        <f>IFERROR('Feeder Spreads'!AJ49,"")</f>
        <v>0</v>
      </c>
      <c r="EO49">
        <f>IFERROR(('Feeder Spreads'!AK49-AVERAGE('Feeder Spreads'!$AK$3:$AK$4308))/STDEV('Feeder Spreads'!$AK$3:$AK$4308),"")</f>
        <v>-9.2057461789832346E-2</v>
      </c>
      <c r="EP49">
        <f>IFERROR('Feeder Spreads'!AK49-'Feeder Spreads'!AK54,"")</f>
        <v>0</v>
      </c>
      <c r="EQ49">
        <f>IFERROR('Feeder Spreads'!AK49-'Feeder Spreads'!AK59,"")</f>
        <v>0</v>
      </c>
      <c r="ER49">
        <f>IFERROR(AVERAGE('Feeder Spreads'!AK49:AK68)+2*STDEV('Feeder Spreads'!AK49:AK68),"")</f>
        <v>0</v>
      </c>
      <c r="ES49">
        <f>IFERROR(AVERAGE('Feeder Spreads'!AK49:AK68)-2*STDEV('Feeder Spreads'!AK49:AK68),"")</f>
        <v>0</v>
      </c>
      <c r="ET49" t="str">
        <f>IFERROR(('Feeder Spreads'!AK49-(AVERAGE('Feeder Spreads'!AK49:AK68)-2*STDEV('Feeder Spreads'!AK49:AK68)))/(4*STDEV('Feeder Spreads'!AK49:AK68)),"")</f>
        <v/>
      </c>
      <c r="EU49" t="str">
        <f>IFERROR(4*STDEV('Feeder Spreads'!AK49:AK68)/AVERAGE('Feeder Spreads'!AK49:AK68),"")</f>
        <v/>
      </c>
      <c r="EV49">
        <v>42.441699999999997</v>
      </c>
      <c r="EW49">
        <f>IFERROR(SQRT((SUMSQ('Feeder Spreads'!AK49:AK68)-2*SUMPRODUCT('Feeder Spreads'!AK49:AK68,'Feeder Spreads'!AK50:AK69)+SUMSQ('Feeder Spreads'!AK50:AK69)-('Feeder Spreads'!AK49-'Feeder Spreads'!AK69)^2/20)/19),"")</f>
        <v>0</v>
      </c>
      <c r="EY49">
        <f>IFERROR('Feeder Spreads'!AQ49,"")</f>
        <v>0</v>
      </c>
      <c r="EZ49">
        <f>IFERROR(('Feeder Spreads'!AR49-AVERAGE('Feeder Spreads'!$AR$3:$AR$4308))/STDEV('Feeder Spreads'!$AR$3:$AR$4308),"")</f>
        <v>-9.2057461789832332E-2</v>
      </c>
      <c r="FA49">
        <f>IFERROR('Feeder Spreads'!AR49-'Feeder Spreads'!AR54,"")</f>
        <v>0</v>
      </c>
      <c r="FB49">
        <f>IFERROR('Feeder Spreads'!AR49-'Feeder Spreads'!AR59,"")</f>
        <v>0</v>
      </c>
      <c r="FC49">
        <f>IFERROR(AVERAGE('Feeder Spreads'!AR49:AR68)+2*STDEV('Feeder Spreads'!AR49:AR68),"")</f>
        <v>0</v>
      </c>
      <c r="FD49">
        <f>IFERROR(AVERAGE('Feeder Spreads'!AR49:AR68)-2*STDEV('Feeder Spreads'!AR49:AR68),"")</f>
        <v>0</v>
      </c>
      <c r="FE49" t="str">
        <f>IFERROR(('Feeder Spreads'!AR49-(AVERAGE('Feeder Spreads'!AR49:AR68)-2*STDEV('Feeder Spreads'!AR49:AR68)))/(4*STDEV('Feeder Spreads'!AR49:AR68)),"")</f>
        <v/>
      </c>
      <c r="FF49" t="str">
        <f>IFERROR(4*STDEV('Feeder Spreads'!AR49:AR68)/AVERAGE('Feeder Spreads'!AR49:AR68),"")</f>
        <v/>
      </c>
      <c r="FG49">
        <v>42.723599999999998</v>
      </c>
      <c r="FH49">
        <f>IFERROR(SQRT((SUMSQ('Feeder Spreads'!AR49:AR68)-2*SUMPRODUCT('Feeder Spreads'!AR49:AR68,'Feeder Spreads'!AR50:AR69)+SUMSQ('Feeder Spreads'!AR50:AR69)-('Feeder Spreads'!AR49-'Feeder Spreads'!AR69)^2/20)/19),"")</f>
        <v>0</v>
      </c>
      <c r="FJ49">
        <f>IFERROR('Fat Spreads'!AX49,"")</f>
        <v>0</v>
      </c>
      <c r="FK49">
        <f>IFERROR(('Fat Spreads'!AY49-AVERAGE('Fat Spreads'!$AY$3:$AY$4308))/STDEV('Fat Spreads'!$AY$3:$AY$4308),"")</f>
        <v>9.2057461789832332E-2</v>
      </c>
      <c r="FL49">
        <f>IFERROR('Fat Spreads'!AY49-'Fat Spreads'!AY54,"")</f>
        <v>0</v>
      </c>
      <c r="FM49">
        <f>IFERROR('Fat Spreads'!AY49-'Fat Spreads'!AY59,"")</f>
        <v>0</v>
      </c>
      <c r="FN49">
        <f>IFERROR(AVERAGE('Fat Spreads'!AY49:AY68)+2*STDEV('Fat Spreads'!AY49:AY68),"")</f>
        <v>0</v>
      </c>
      <c r="FO49">
        <f>IFERROR(AVERAGE('Fat Spreads'!AY49:AY68)-2*STDEV('Fat Spreads'!AY49:AY68),"")</f>
        <v>0</v>
      </c>
      <c r="FP49" t="str">
        <f>IFERROR(('Fat Spreads'!AY49-(AVERAGE('Fat Spreads'!AY49:AY68)-2*STDEV('Fat Spreads'!AY49:AY68)))/(4*STDEV('Fat Spreads'!AY49:AY68)),"")</f>
        <v/>
      </c>
      <c r="FQ49" t="str">
        <f>IFERROR(4*STDEV('Fat Spreads'!AY49:AY68)/AVERAGE('Fat Spreads'!AY49:AY68),"")</f>
        <v/>
      </c>
      <c r="FR49">
        <v>32.350299999999997</v>
      </c>
      <c r="FS49">
        <f>IFERROR(SQRT((SUMSQ('Fat Spreads'!AY49:AY68)-2*SUMPRODUCT('Fat Spreads'!AY49:AY68,'Fat Spreads'!AY50:AY69)+SUMSQ('Fat Spreads'!AY50:AY69)-('Fat Spreads'!AY49-'Fat Spreads'!AY69)^2/20)/19),"")</f>
        <v>0</v>
      </c>
      <c r="FU49">
        <f>IFERROR('Fat Spreads'!BE49,"")</f>
        <v>0</v>
      </c>
      <c r="FV49">
        <f>IFERROR(('Fat Spreads'!BF49-AVERAGE('Fat Spreads'!$BF$3:$BF$4308))/STDEV('Fat Spreads'!$BF$3:$BF$4308),"")</f>
        <v>9.2057461789832332E-2</v>
      </c>
      <c r="FW49">
        <f>IFERROR('Fat Spreads'!BF49-'Fat Spreads'!BF54,"")</f>
        <v>0</v>
      </c>
      <c r="FX49">
        <f>IFERROR('Fat Spreads'!BF49-'Fat Spreads'!BF59,"")</f>
        <v>0</v>
      </c>
      <c r="FY49">
        <f>IFERROR(AVERAGE('Fat Spreads'!BF49:BF68)+2*STDEV('Fat Spreads'!BF49:BF68),"")</f>
        <v>0</v>
      </c>
      <c r="FZ49">
        <f>IFERROR(AVERAGE('Fat Spreads'!BF49:BF68)-2*STDEV('Fat Spreads'!BF49:BF68),"")</f>
        <v>0</v>
      </c>
      <c r="GA49" t="str">
        <f>IFERROR(('Fat Spreads'!BF49-(AVERAGE('Fat Spreads'!BF49:BF68)-2*STDEV('Fat Spreads'!BF49:BF68)))/(4*STDEV('Fat Spreads'!BF49:BF68)),"")</f>
        <v/>
      </c>
      <c r="GB49" t="str">
        <f>IFERROR(4*STDEV('Fat Spreads'!BF49:BF68)/AVERAGE('Fat Spreads'!BF49:BF68),"")</f>
        <v/>
      </c>
      <c r="GC49">
        <v>34.496600000000001</v>
      </c>
      <c r="GD49">
        <f>IFERROR(SQRT((SUMSQ('Fat Spreads'!BF49:BF68)-2*SUMPRODUCT('Fat Spreads'!BF49:BF68,'Fat Spreads'!BF50:BF69)+SUMSQ('Fat Spreads'!BF50:BF69)-('Fat Spreads'!BF49-'Fat Spreads'!BF69)^2/20)/19),"")</f>
        <v>0</v>
      </c>
    </row>
    <row r="50" spans="1:186" x14ac:dyDescent="0.25">
      <c r="A50">
        <f>IFERROR('Fat Spreads'!A50,"")</f>
        <v>0</v>
      </c>
      <c r="B50">
        <f>IFERROR(('Fat Spreads'!B50-AVERAGE('Fat Spreads'!$B$3:$B$4308))/STDEV('Fat Spreads'!$B$3:$B$4308),"")</f>
        <v>9.2057461789832346E-2</v>
      </c>
      <c r="C50">
        <f>IFERROR('Fat Spreads'!B50-'Fat Spreads'!B55,"")</f>
        <v>0</v>
      </c>
      <c r="D50">
        <f>IFERROR('Fat Spreads'!B50-'Fat Spreads'!B60,"")</f>
        <v>0</v>
      </c>
      <c r="E50">
        <f>IFERROR(AVERAGE('Fat Spreads'!B50:B69)+2*STDEV('Fat Spreads'!B50:B69),"")</f>
        <v>0</v>
      </c>
      <c r="F50">
        <f>IFERROR(AVERAGE('Fat Spreads'!B50:B69)-2*STDEV('Fat Spreads'!B50:B69),"")</f>
        <v>0</v>
      </c>
      <c r="G50" t="str">
        <f>IFERROR(('Fat Spreads'!B50-(AVERAGE('Fat Spreads'!B50:B69)-2*STDEV('Fat Spreads'!B50:B69)))/(4*STDEV('Fat Spreads'!B50:B69)),"")</f>
        <v/>
      </c>
      <c r="H50" t="str">
        <f>IFERROR(4*STDEV('Fat Spreads'!B50:B69)/AVERAGE('Fat Spreads'!B50:B69),"")</f>
        <v/>
      </c>
      <c r="I50">
        <v>39.5488</v>
      </c>
      <c r="J50">
        <f>IFERROR(SQRT((SUMSQ('Fat Spreads'!B50:B69)-2*SUMPRODUCT('Fat Spreads'!B50:B69,'Fat Spreads'!B51:B70)+SUMSQ('Fat Spreads'!B51:B70)-('Fat Spreads'!B50-'Fat Spreads'!B70)^2/20)/19),"")</f>
        <v>0</v>
      </c>
      <c r="L50">
        <f>IFERROR('Fat Spreads'!H50,"")</f>
        <v>0</v>
      </c>
      <c r="M50">
        <f>IFERROR(('Fat Spreads'!I50-AVERAGE('Fat Spreads'!$I$3:$I$4308))/STDEV('Fat Spreads'!$I$3:$I$4308),"")</f>
        <v>-9.2057461789832332E-2</v>
      </c>
      <c r="N50">
        <f>IFERROR('Fat Spreads'!I50-'Fat Spreads'!I55,"")</f>
        <v>0</v>
      </c>
      <c r="O50">
        <f>IFERROR('Fat Spreads'!I50-'Fat Spreads'!I60,"")</f>
        <v>0</v>
      </c>
      <c r="P50">
        <f>IFERROR(AVERAGE('Fat Spreads'!I50:I69)+2*STDEV('Fat Spreads'!I50:I69),"")</f>
        <v>0</v>
      </c>
      <c r="Q50">
        <f>IFERROR(AVERAGE('Fat Spreads'!I50:I69)-2*STDEV('Fat Spreads'!I50:I69),"")</f>
        <v>0</v>
      </c>
      <c r="R50" t="str">
        <f>IFERROR(('Fat Spreads'!I50-(AVERAGE('Fat Spreads'!I50:I69)-2*STDEV('Fat Spreads'!I50:I69)))/(4*STDEV('Fat Spreads'!I50:I69)),"")</f>
        <v/>
      </c>
      <c r="S50" t="str">
        <f>IFERROR(4*STDEV('Fat Spreads'!I50:I69)/AVERAGE('Fat Spreads'!I50:I69),"")</f>
        <v/>
      </c>
      <c r="T50">
        <v>40.551600000000001</v>
      </c>
      <c r="U50">
        <f>IFERROR(SQRT((SUMSQ('Fat Spreads'!I50:I69)-2*SUMPRODUCT('Fat Spreads'!I50:I69,'Fat Spreads'!I51:I70)+SUMSQ('Fat Spreads'!I51:I70)-('Fat Spreads'!I50-'Fat Spreads'!I70)^2/20)/19),"")</f>
        <v>0</v>
      </c>
      <c r="W50">
        <f>IFERROR('Fat Spreads'!AQ50,"")</f>
        <v>0</v>
      </c>
      <c r="X50">
        <f>IFERROR(('Fat Spreads'!AR50-AVERAGE('Fat Spreads'!$AR$3:$AR$4308))/STDEV('Fat Spreads'!$AR$3:$AR$4308),"")</f>
        <v>-9.2057461789832346E-2</v>
      </c>
      <c r="Y50">
        <f>IFERROR('Fat Spreads'!AR50-'Fat Spreads'!AR55,"")</f>
        <v>0</v>
      </c>
      <c r="Z50">
        <f>IFERROR('Fat Spreads'!AR50-'Fat Spreads'!AR60,"")</f>
        <v>0</v>
      </c>
      <c r="AA50">
        <f>IFERROR(AVERAGE('Fat Spreads'!AR50:AR69)+2*STDEV('Fat Spreads'!AR50:AR69),"")</f>
        <v>0</v>
      </c>
      <c r="AB50">
        <f>IFERROR(AVERAGE('Fat Spreads'!AR50:AR69)-2*STDEV('Fat Spreads'!AR50:AR69),"")</f>
        <v>0</v>
      </c>
      <c r="AC50" t="str">
        <f>IFERROR(('Fat Spreads'!AR50-(AVERAGE('Fat Spreads'!AR50:AR69)-2*STDEV('Fat Spreads'!AR50:AR69)))/(4*STDEV('Fat Spreads'!AR50:AR69)),"")</f>
        <v/>
      </c>
      <c r="AD50" t="str">
        <f>IFERROR(4*STDEV('Fat Spreads'!AR50:AR69)/AVERAGE('Fat Spreads'!AR50:AR69),"")</f>
        <v/>
      </c>
      <c r="AE50">
        <v>55.629199999999997</v>
      </c>
      <c r="AF50">
        <f>IFERROR(SQRT((SUMSQ('Fat Spreads'!AR50:AR69)-2*SUMPRODUCT('Fat Spreads'!AR50:AR69,'Fat Spreads'!AR51:AR70)+SUMSQ('Fat Spreads'!AR51:AR70)-('Fat Spreads'!AR50-'Fat Spreads'!AR70)^2/20)/19),"")</f>
        <v>0</v>
      </c>
      <c r="AH50">
        <f>IFERROR('Fat Spreads'!O50,"")</f>
        <v>0</v>
      </c>
      <c r="AI50">
        <f>IFERROR(('Fat Spreads'!P50-AVERAGE('Fat Spreads'!$P$3:$P$4308))/STDEV('Fat Spreads'!$P$3:$P$4308),"")</f>
        <v>-9.2057461789832332E-2</v>
      </c>
      <c r="AJ50">
        <f>IFERROR('Fat Spreads'!P50-'Fat Spreads'!P55,"")</f>
        <v>0</v>
      </c>
      <c r="AK50">
        <f>IFERROR('Fat Spreads'!P50-'Fat Spreads'!P60,"")</f>
        <v>0</v>
      </c>
      <c r="AL50">
        <f>IFERROR(AVERAGE('Fat Spreads'!P50:P69)+2*STDEV('Fat Spreads'!P50:P69),"")</f>
        <v>0</v>
      </c>
      <c r="AM50">
        <f>IFERROR(AVERAGE('Fat Spreads'!P50:P69)-2*STDEV('Fat Spreads'!P50:P69),"")</f>
        <v>0</v>
      </c>
      <c r="AN50" t="str">
        <f>IFERROR(('Fat Spreads'!P50-(AVERAGE('Fat Spreads'!P50:P69)-2*STDEV('Fat Spreads'!P50:P69)))/(4*STDEV('Fat Spreads'!P50:P69)),"")</f>
        <v/>
      </c>
      <c r="AO50" t="str">
        <f>IFERROR(4*STDEV('Fat Spreads'!P50:P69)/AVERAGE('Fat Spreads'!P50:P69),"")</f>
        <v/>
      </c>
      <c r="AP50">
        <v>47.933300000000003</v>
      </c>
      <c r="AQ50">
        <f>IFERROR(SQRT((SUMSQ('Fat Spreads'!P50:P69)-2*SUMPRODUCT('Fat Spreads'!P50:P69,'Fat Spreads'!P51:P70)+SUMSQ('Fat Spreads'!P51:P70)-('Fat Spreads'!P50-'Fat Spreads'!P70)^2/20)/19),"")</f>
        <v>0</v>
      </c>
      <c r="AS50">
        <f>IFERROR('Fat Spreads'!AJ50,"")</f>
        <v>0</v>
      </c>
      <c r="AT50">
        <f>IFERROR(('Fat Spreads'!AK50-AVERAGE('Fat Spreads'!$AK$3:$AK$4308))/STDEV('Fat Spreads'!$AK$3:$AK$4308),"")</f>
        <v>-9.2057461789832332E-2</v>
      </c>
      <c r="AU50">
        <f>IFERROR('Fat Spreads'!AK50-'Fat Spreads'!AK55,"")</f>
        <v>0</v>
      </c>
      <c r="AV50">
        <f>IFERROR('Fat Spreads'!AK50-'Fat Spreads'!AK60,"")</f>
        <v>0</v>
      </c>
      <c r="AW50">
        <f>IFERROR(AVERAGE('Fat Spreads'!AK50:AK69)+2*STDEV('Fat Spreads'!AK50:AK69),"")</f>
        <v>0</v>
      </c>
      <c r="AX50">
        <f>IFERROR(AVERAGE('Fat Spreads'!AK50:AK69)-2*STDEV('Fat Spreads'!AK50:AK69),"")</f>
        <v>0</v>
      </c>
      <c r="AY50" t="str">
        <f>IFERROR(('Fat Spreads'!AK50-(AVERAGE('Fat Spreads'!AK50:AK69)-2*STDEV('Fat Spreads'!AK50:AK69)))/(4*STDEV('Fat Spreads'!AK50:AK69)),"")</f>
        <v/>
      </c>
      <c r="AZ50" t="str">
        <f>IFERROR(4*STDEV('Fat Spreads'!AK50:AK69)/AVERAGE('Fat Spreads'!AK50:AK69),"")</f>
        <v/>
      </c>
      <c r="BA50">
        <v>89.167000000000002</v>
      </c>
      <c r="BB50">
        <f>IFERROR(SQRT((SUMSQ('Fat Spreads'!AK50:AK69)-2*SUMPRODUCT('Fat Spreads'!AK50:AK69,'Fat Spreads'!AK51:AK70)+SUMSQ('Fat Spreads'!AK51:AK70)-('Fat Spreads'!AK50-'Fat Spreads'!AK70)^2/20)/19),"")</f>
        <v>0</v>
      </c>
      <c r="BD50">
        <f>IFERROR('Fat Spreads'!V50,"")</f>
        <v>0</v>
      </c>
      <c r="BE50">
        <f>IFERROR(('Fat Spreads'!W50-AVERAGE('Fat Spreads'!$W$3:$W$4308))/STDEV('Fat Spreads'!$W$3:$W$4308),"")</f>
        <v>-9.2057461789832332E-2</v>
      </c>
      <c r="BF50">
        <f>IFERROR('Fat Spreads'!W50-'Fat Spreads'!W55,"")</f>
        <v>0</v>
      </c>
      <c r="BG50">
        <f>IFERROR('Fat Spreads'!W50-'Fat Spreads'!W60,"")</f>
        <v>0</v>
      </c>
      <c r="BH50">
        <f>IFERROR(AVERAGE('Fat Spreads'!W50:W69)+2*STDEV('Fat Spreads'!W50:W69),"")</f>
        <v>0</v>
      </c>
      <c r="BI50">
        <f>IFERROR(AVERAGE('Fat Spreads'!W50:W69)-2*STDEV('Fat Spreads'!W50:W69),"")</f>
        <v>0</v>
      </c>
      <c r="BJ50" t="str">
        <f>IFERROR(('Fat Spreads'!W50-(AVERAGE('Fat Spreads'!W50:W69)-2*STDEV('Fat Spreads'!W50:W69)))/(4*STDEV('Fat Spreads'!W50:W69)),"")</f>
        <v/>
      </c>
      <c r="BK50" t="str">
        <f>IFERROR(4*STDEV('Fat Spreads'!W50:W69)/AVERAGE('Fat Spreads'!W50:W69),"")</f>
        <v/>
      </c>
      <c r="BL50">
        <v>62.307499999999997</v>
      </c>
      <c r="BM50">
        <f>IFERROR(SQRT((SUMSQ('Fat Spreads'!W50:W69)-2*SUMPRODUCT('Fat Spreads'!W50:W69,'Fat Spreads'!W51:W70)+SUMSQ('Fat Spreads'!W51:W70)-('Fat Spreads'!W50-'Fat Spreads'!W70)^2/20)/19),"")</f>
        <v>0</v>
      </c>
      <c r="BO50">
        <f>IFERROR('Fat Spreads'!AC50,"")</f>
        <v>0</v>
      </c>
      <c r="BP50">
        <f>IFERROR(('Fat Spreads'!AD50-AVERAGE('Fat Spreads'!$AD$3:$AD$4308))/STDEV('Fat Spreads'!$AD$3:$AD$4308),"")</f>
        <v>-9.2057461789832332E-2</v>
      </c>
      <c r="BQ50">
        <f>IFERROR('Fat Spreads'!AD50-'Fat Spreads'!AD55,"")</f>
        <v>0</v>
      </c>
      <c r="BR50">
        <f>IFERROR('Fat Spreads'!AD50-'Fat Spreads'!AD60,"")</f>
        <v>0</v>
      </c>
      <c r="BS50">
        <f>IFERROR(AVERAGE('Fat Spreads'!AD50:AD69)+2*STDEV('Fat Spreads'!AD50:AD69),"")</f>
        <v>0</v>
      </c>
      <c r="BT50">
        <f>IFERROR(AVERAGE('Fat Spreads'!AD50:AD69)-2*STDEV('Fat Spreads'!AD50:AD69),"")</f>
        <v>0</v>
      </c>
      <c r="BU50" t="str">
        <f>IFERROR(('Fat Spreads'!AD50-(AVERAGE('Fat Spreads'!AD50:AD69)-2*STDEV('Fat Spreads'!AD50:AD69)))/(4*STDEV('Fat Spreads'!AD50:AD69)),"")</f>
        <v/>
      </c>
      <c r="BV50" t="str">
        <f>IFERROR(4*STDEV('Fat Spreads'!AD50:AD69)/AVERAGE('Fat Spreads'!AD50:AD69),"")</f>
        <v/>
      </c>
      <c r="BW50">
        <v>23.953700000000001</v>
      </c>
      <c r="BX50">
        <f>IFERROR(SQRT((SUMSQ('Fat Spreads'!AD50:AD69)-2*SUMPRODUCT('Fat Spreads'!AD50:AD69,'Fat Spreads'!AD51:AD70)+SUMSQ('Fat Spreads'!AD51:AD70)-('Fat Spreads'!AD50-'Fat Spreads'!AD70)^2/20)/19),"")</f>
        <v>0</v>
      </c>
      <c r="BZ50">
        <f>IFERROR('Feeder Spreads'!A50,"")</f>
        <v>0</v>
      </c>
      <c r="CA50">
        <f>IFERROR(('Feeder Spreads'!B50-AVERAGE('Feeder Spreads'!$B$3:$B$4308))/STDEV('Feeder Spreads'!$B$3:$B$4308),"")</f>
        <v>-9.2057461789832346E-2</v>
      </c>
      <c r="CB50">
        <f>IFERROR('Feeder Spreads'!B50-'Feeder Spreads'!B55,"")</f>
        <v>0</v>
      </c>
      <c r="CC50">
        <f>IFERROR('Feeder Spreads'!B50-'Feeder Spreads'!B60,"")</f>
        <v>0</v>
      </c>
      <c r="CD50">
        <f>IFERROR(AVERAGE('Feeder Spreads'!B50:B69)+2*STDEV('Feeder Spreads'!B50:B69),"")</f>
        <v>0</v>
      </c>
      <c r="CE50">
        <f>IFERROR(AVERAGE('Feeder Spreads'!B50:B69)-2*STDEV('Feeder Spreads'!B50:B69),"")</f>
        <v>0</v>
      </c>
      <c r="CF50" t="str">
        <f>IFERROR(('Feeder Spreads'!B50-(AVERAGE('Feeder Spreads'!B50:B69)-2*STDEV('Feeder Spreads'!B50:B69)))/(4*STDEV('Feeder Spreads'!B50:B69)),"")</f>
        <v/>
      </c>
      <c r="CG50" t="str">
        <f>IFERROR(4*STDEV('Feeder Spreads'!B50:B69)/AVERAGE('Feeder Spreads'!B50:B69),"")</f>
        <v/>
      </c>
      <c r="CH50">
        <v>41.073500000000003</v>
      </c>
      <c r="CI50">
        <f>IFERROR(SQRT((SUMSQ('Feeder Spreads'!B50:B69)-2*SUMPRODUCT('Feeder Spreads'!B50:B69,'Feeder Spreads'!B51:B70)+SUMSQ('Feeder Spreads'!B51:B70)-('Feeder Spreads'!B50-'Feeder Spreads'!B70)^2/20)/19),"")</f>
        <v>0</v>
      </c>
      <c r="CK50">
        <f>IFERROR('Feeder Spreads'!AX50,"")</f>
        <v>0</v>
      </c>
      <c r="CL50">
        <f>IFERROR(('Feeder Spreads'!AY50-AVERAGE('Feeder Spreads'!$AY$3:$AY$4308))/STDEV('Feeder Spreads'!$AY$3:$AY$4308),"")</f>
        <v>-9.2057461789832346E-2</v>
      </c>
      <c r="CM50">
        <f>IFERROR('Feeder Spreads'!AY50-'Feeder Spreads'!AY55,"")</f>
        <v>0</v>
      </c>
      <c r="CN50">
        <f>IFERROR('Feeder Spreads'!AY50-'Feeder Spreads'!AY60,"")</f>
        <v>0</v>
      </c>
      <c r="CO50">
        <f>IFERROR(AVERAGE('Feeder Spreads'!AY50:AY69)+2*STDEV('Feeder Spreads'!AY50:AY69),"")</f>
        <v>0</v>
      </c>
      <c r="CP50">
        <f>IFERROR(AVERAGE('Feeder Spreads'!AY50:AY69)-2*STDEV('Feeder Spreads'!AY50:AY69),"")</f>
        <v>0</v>
      </c>
      <c r="CQ50" t="str">
        <f>IFERROR(('Feeder Spreads'!AY50-(AVERAGE('Feeder Spreads'!AY50:AY69)-2*STDEV('Feeder Spreads'!AY50:AY69)))/(4*STDEV('Feeder Spreads'!AY50:AY69)),"")</f>
        <v/>
      </c>
      <c r="CR50" t="str">
        <f>IFERROR(4*STDEV('Feeder Spreads'!AY50:AY69)/AVERAGE('Feeder Spreads'!AY50:AY69),"")</f>
        <v/>
      </c>
      <c r="CS50">
        <v>74.608400000000003</v>
      </c>
      <c r="CT50">
        <f>IFERROR(SQRT((SUMSQ('Feeder Spreads'!AY50:AY69)-2*SUMPRODUCT('Feeder Spreads'!AY50:AY69,'Feeder Spreads'!AY51:AY70)+SUMSQ('Feeder Spreads'!AY51:AY70)-('Feeder Spreads'!AY50-'Feeder Spreads'!AY70)^2/20)/19),"")</f>
        <v>0</v>
      </c>
      <c r="CV50">
        <f>IFERROR('Feeder Spreads'!H50,"")</f>
        <v>0</v>
      </c>
      <c r="CW50">
        <f>IFERROR(('Feeder Spreads'!I50-AVERAGE('Feeder Spreads'!$I$3:$I$4308))/STDEV('Feeder Spreads'!$I$3:$I$4308),"")</f>
        <v>-9.2057461789832332E-2</v>
      </c>
      <c r="CX50">
        <f>IFERROR('Feeder Spreads'!I50-'Feeder Spreads'!I55,"")</f>
        <v>0</v>
      </c>
      <c r="CY50">
        <f>IFERROR('Feeder Spreads'!I50-'Feeder Spreads'!I60,"")</f>
        <v>0</v>
      </c>
      <c r="CZ50">
        <f>IFERROR(AVERAGE('Feeder Spreads'!I50:I69)+2*STDEV('Feeder Spreads'!I50:I69),"")</f>
        <v>0</v>
      </c>
      <c r="DA50">
        <f>IFERROR(AVERAGE('Feeder Spreads'!I50:I69)-2*STDEV('Feeder Spreads'!I50:I69),"")</f>
        <v>0</v>
      </c>
      <c r="DB50" t="str">
        <f>IFERROR(('Feeder Spreads'!I50-(AVERAGE('Feeder Spreads'!I50:I69)-2*STDEV('Feeder Spreads'!I50:I69)))/(4*STDEV('Feeder Spreads'!I50:I69)),"")</f>
        <v/>
      </c>
      <c r="DC50" t="str">
        <f>IFERROR(4*STDEV('Feeder Spreads'!I50:I69)/AVERAGE('Feeder Spreads'!I50:I69),"")</f>
        <v/>
      </c>
      <c r="DD50">
        <v>39.670200000000001</v>
      </c>
      <c r="DE50">
        <f>IFERROR(SQRT((SUMSQ('Feeder Spreads'!I50:I69)-2*SUMPRODUCT('Feeder Spreads'!I50:I69,'Feeder Spreads'!I51:I70)+SUMSQ('Feeder Spreads'!I51:I70)-('Feeder Spreads'!I50-'Feeder Spreads'!I70)^2/20)/19),"")</f>
        <v>0</v>
      </c>
      <c r="DG50">
        <f>IFERROR('Feeder Spreads'!O50,"")</f>
        <v>0</v>
      </c>
      <c r="DH50">
        <f>IFERROR(('Feeder Spreads'!P50-AVERAGE('Feeder Spreads'!$P$3:$P$4308))/STDEV('Feeder Spreads'!$P$3:$P$4308),"")</f>
        <v>-9.2057461789832346E-2</v>
      </c>
      <c r="DI50">
        <f>IFERROR('Feeder Spreads'!P50-'Feeder Spreads'!P55,"")</f>
        <v>0</v>
      </c>
      <c r="DJ50">
        <f>IFERROR('Feeder Spreads'!P50-'Feeder Spreads'!P60,"")</f>
        <v>0</v>
      </c>
      <c r="DK50">
        <f>IFERROR(AVERAGE('Feeder Spreads'!P50:P69)+2*STDEV('Feeder Spreads'!P50:P69),"")</f>
        <v>0</v>
      </c>
      <c r="DL50">
        <f>IFERROR(AVERAGE('Feeder Spreads'!P50:P69)-2*STDEV('Feeder Spreads'!P50:P69),"")</f>
        <v>0</v>
      </c>
      <c r="DM50" t="str">
        <f>IFERROR(('Feeder Spreads'!P50-(AVERAGE('Feeder Spreads'!P50:P69)-2*STDEV('Feeder Spreads'!P50:P69)))/(4*STDEV('Feeder Spreads'!P50:P69)),"")</f>
        <v/>
      </c>
      <c r="DN50" t="str">
        <f>IFERROR(4*STDEV('Feeder Spreads'!P50:P69)/AVERAGE('Feeder Spreads'!P50:P69),"")</f>
        <v/>
      </c>
      <c r="DO50">
        <v>50.113700000000001</v>
      </c>
      <c r="DP50">
        <f>IFERROR(SQRT((SUMSQ('Feeder Spreads'!P50:P69)-2*SUMPRODUCT('Feeder Spreads'!P50:P69,'Feeder Spreads'!P51:P70)+SUMSQ('Feeder Spreads'!P51:P70)-('Feeder Spreads'!P50-'Feeder Spreads'!P70)^2/20)/19),"")</f>
        <v>0</v>
      </c>
      <c r="DR50">
        <f>IFERROR('Feeder Spreads'!V50,"")</f>
        <v>0</v>
      </c>
      <c r="DS50">
        <f>IFERROR(('Feeder Spreads'!W50-AVERAGE('Feeder Spreads'!$W$3:$W$4308))/STDEV('Feeder Spreads'!$W$3:$W$4308),"")</f>
        <v>-9.2057461789832332E-2</v>
      </c>
      <c r="DT50">
        <f>IFERROR('Feeder Spreads'!W50-'Feeder Spreads'!W55,"")</f>
        <v>0</v>
      </c>
      <c r="DU50">
        <f>IFERROR('Feeder Spreads'!W50-'Feeder Spreads'!W60,"")</f>
        <v>0</v>
      </c>
      <c r="DV50">
        <f>IFERROR(AVERAGE('Feeder Spreads'!W50:W69)+2*STDEV('Feeder Spreads'!W50:W69),"")</f>
        <v>0</v>
      </c>
      <c r="DW50">
        <f>IFERROR(AVERAGE('Feeder Spreads'!W50:W69)-2*STDEV('Feeder Spreads'!W50:W69),"")</f>
        <v>0</v>
      </c>
      <c r="DX50" t="str">
        <f>IFERROR(('Feeder Spreads'!W50-(AVERAGE('Feeder Spreads'!W50:W69)-2*STDEV('Feeder Spreads'!W50:W69)))/(4*STDEV('Feeder Spreads'!W50:W69)),"")</f>
        <v/>
      </c>
      <c r="DY50" t="str">
        <f>IFERROR(4*STDEV('Feeder Spreads'!W50:W69)/AVERAGE('Feeder Spreads'!W50:W69),"")</f>
        <v/>
      </c>
      <c r="DZ50">
        <v>47.9163</v>
      </c>
      <c r="EA50">
        <f>IFERROR(SQRT((SUMSQ('Feeder Spreads'!W50:W69)-2*SUMPRODUCT('Feeder Spreads'!W50:W69,'Feeder Spreads'!W51:W70)+SUMSQ('Feeder Spreads'!W51:W70)-('Feeder Spreads'!W50-'Feeder Spreads'!W70)^2/20)/19),"")</f>
        <v>0</v>
      </c>
      <c r="EC50">
        <f>IFERROR('Feeder Spreads'!AC50,"")</f>
        <v>0</v>
      </c>
      <c r="ED50">
        <f>IFERROR(('Feeder Spreads'!AD50-AVERAGE('Feeder Spreads'!$AD$3:$AD$4308))/STDEV('Feeder Spreads'!$AD$3:$AD$4308),"")</f>
        <v>9.2057461789832318E-2</v>
      </c>
      <c r="EE50">
        <f>IFERROR('Feeder Spreads'!AD50-'Feeder Spreads'!AD55,"")</f>
        <v>0</v>
      </c>
      <c r="EF50">
        <f>IFERROR('Feeder Spreads'!AD50-'Feeder Spreads'!AD60,"")</f>
        <v>0</v>
      </c>
      <c r="EG50">
        <f>IFERROR(AVERAGE('Feeder Spreads'!AD50:AD69)+2*STDEV('Feeder Spreads'!AD50:AD69),"")</f>
        <v>0</v>
      </c>
      <c r="EH50">
        <f>IFERROR(AVERAGE('Feeder Spreads'!AD50:AD69)-2*STDEV('Feeder Spreads'!AD50:AD69),"")</f>
        <v>0</v>
      </c>
      <c r="EI50" t="str">
        <f>IFERROR(('Feeder Spreads'!AD50-(AVERAGE('Feeder Spreads'!AD50:AD69)-2*STDEV('Feeder Spreads'!AD50:AD69)))/(4*STDEV('Feeder Spreads'!AD50:AD69)),"")</f>
        <v/>
      </c>
      <c r="EJ50" t="str">
        <f>IFERROR(4*STDEV('Feeder Spreads'!AD50:AD69)/AVERAGE('Feeder Spreads'!AD50:AD69),"")</f>
        <v/>
      </c>
      <c r="EK50">
        <v>55.124099999999999</v>
      </c>
      <c r="EL50">
        <f>IFERROR(SQRT((SUMSQ('Feeder Spreads'!AD50:AD69)-2*SUMPRODUCT('Feeder Spreads'!AD50:AD69,'Feeder Spreads'!AD51:AD70)+SUMSQ('Feeder Spreads'!AD51:AD70)-('Feeder Spreads'!AD50-'Feeder Spreads'!AD70)^2/20)/19),"")</f>
        <v>0</v>
      </c>
      <c r="EN50">
        <f>IFERROR('Feeder Spreads'!AJ50,"")</f>
        <v>0</v>
      </c>
      <c r="EO50">
        <f>IFERROR(('Feeder Spreads'!AK50-AVERAGE('Feeder Spreads'!$AK$3:$AK$4308))/STDEV('Feeder Spreads'!$AK$3:$AK$4308),"")</f>
        <v>-9.2057461789832346E-2</v>
      </c>
      <c r="EP50">
        <f>IFERROR('Feeder Spreads'!AK50-'Feeder Spreads'!AK55,"")</f>
        <v>0</v>
      </c>
      <c r="EQ50">
        <f>IFERROR('Feeder Spreads'!AK50-'Feeder Spreads'!AK60,"")</f>
        <v>0</v>
      </c>
      <c r="ER50">
        <f>IFERROR(AVERAGE('Feeder Spreads'!AK50:AK69)+2*STDEV('Feeder Spreads'!AK50:AK69),"")</f>
        <v>0</v>
      </c>
      <c r="ES50">
        <f>IFERROR(AVERAGE('Feeder Spreads'!AK50:AK69)-2*STDEV('Feeder Spreads'!AK50:AK69),"")</f>
        <v>0</v>
      </c>
      <c r="ET50" t="str">
        <f>IFERROR(('Feeder Spreads'!AK50-(AVERAGE('Feeder Spreads'!AK50:AK69)-2*STDEV('Feeder Spreads'!AK50:AK69)))/(4*STDEV('Feeder Spreads'!AK50:AK69)),"")</f>
        <v/>
      </c>
      <c r="EU50" t="str">
        <f>IFERROR(4*STDEV('Feeder Spreads'!AK50:AK69)/AVERAGE('Feeder Spreads'!AK50:AK69),"")</f>
        <v/>
      </c>
      <c r="EV50">
        <v>45.566099999999999</v>
      </c>
      <c r="EW50">
        <f>IFERROR(SQRT((SUMSQ('Feeder Spreads'!AK50:AK69)-2*SUMPRODUCT('Feeder Spreads'!AK50:AK69,'Feeder Spreads'!AK51:AK70)+SUMSQ('Feeder Spreads'!AK51:AK70)-('Feeder Spreads'!AK50-'Feeder Spreads'!AK70)^2/20)/19),"")</f>
        <v>0</v>
      </c>
      <c r="EY50">
        <f>IFERROR('Feeder Spreads'!AQ50,"")</f>
        <v>0</v>
      </c>
      <c r="EZ50">
        <f>IFERROR(('Feeder Spreads'!AR50-AVERAGE('Feeder Spreads'!$AR$3:$AR$4308))/STDEV('Feeder Spreads'!$AR$3:$AR$4308),"")</f>
        <v>-9.2057461789832332E-2</v>
      </c>
      <c r="FA50">
        <f>IFERROR('Feeder Spreads'!AR50-'Feeder Spreads'!AR55,"")</f>
        <v>0</v>
      </c>
      <c r="FB50">
        <f>IFERROR('Feeder Spreads'!AR50-'Feeder Spreads'!AR60,"")</f>
        <v>0</v>
      </c>
      <c r="FC50">
        <f>IFERROR(AVERAGE('Feeder Spreads'!AR50:AR69)+2*STDEV('Feeder Spreads'!AR50:AR69),"")</f>
        <v>0</v>
      </c>
      <c r="FD50">
        <f>IFERROR(AVERAGE('Feeder Spreads'!AR50:AR69)-2*STDEV('Feeder Spreads'!AR50:AR69),"")</f>
        <v>0</v>
      </c>
      <c r="FE50" t="str">
        <f>IFERROR(('Feeder Spreads'!AR50-(AVERAGE('Feeder Spreads'!AR50:AR69)-2*STDEV('Feeder Spreads'!AR50:AR69)))/(4*STDEV('Feeder Spreads'!AR50:AR69)),"")</f>
        <v/>
      </c>
      <c r="FF50" t="str">
        <f>IFERROR(4*STDEV('Feeder Spreads'!AR50:AR69)/AVERAGE('Feeder Spreads'!AR50:AR69),"")</f>
        <v/>
      </c>
      <c r="FG50">
        <v>46.543199999999999</v>
      </c>
      <c r="FH50">
        <f>IFERROR(SQRT((SUMSQ('Feeder Spreads'!AR50:AR69)-2*SUMPRODUCT('Feeder Spreads'!AR50:AR69,'Feeder Spreads'!AR51:AR70)+SUMSQ('Feeder Spreads'!AR51:AR70)-('Feeder Spreads'!AR50-'Feeder Spreads'!AR70)^2/20)/19),"")</f>
        <v>0</v>
      </c>
      <c r="FJ50">
        <f>IFERROR('Fat Spreads'!AX50,"")</f>
        <v>0</v>
      </c>
      <c r="FK50">
        <f>IFERROR(('Fat Spreads'!AY50-AVERAGE('Fat Spreads'!$AY$3:$AY$4308))/STDEV('Fat Spreads'!$AY$3:$AY$4308),"")</f>
        <v>9.2057461789832332E-2</v>
      </c>
      <c r="FL50">
        <f>IFERROR('Fat Spreads'!AY50-'Fat Spreads'!AY55,"")</f>
        <v>0</v>
      </c>
      <c r="FM50">
        <f>IFERROR('Fat Spreads'!AY50-'Fat Spreads'!AY60,"")</f>
        <v>0</v>
      </c>
      <c r="FN50">
        <f>IFERROR(AVERAGE('Fat Spreads'!AY50:AY69)+2*STDEV('Fat Spreads'!AY50:AY69),"")</f>
        <v>0</v>
      </c>
      <c r="FO50">
        <f>IFERROR(AVERAGE('Fat Spreads'!AY50:AY69)-2*STDEV('Fat Spreads'!AY50:AY69),"")</f>
        <v>0</v>
      </c>
      <c r="FP50" t="str">
        <f>IFERROR(('Fat Spreads'!AY50-(AVERAGE('Fat Spreads'!AY50:AY69)-2*STDEV('Fat Spreads'!AY50:AY69)))/(4*STDEV('Fat Spreads'!AY50:AY69)),"")</f>
        <v/>
      </c>
      <c r="FQ50" t="str">
        <f>IFERROR(4*STDEV('Fat Spreads'!AY50:AY69)/AVERAGE('Fat Spreads'!AY50:AY69),"")</f>
        <v/>
      </c>
      <c r="FR50">
        <v>84.385099999999994</v>
      </c>
      <c r="FS50">
        <f>IFERROR(SQRT((SUMSQ('Fat Spreads'!AY50:AY69)-2*SUMPRODUCT('Fat Spreads'!AY50:AY69,'Fat Spreads'!AY51:AY70)+SUMSQ('Fat Spreads'!AY51:AY70)-('Fat Spreads'!AY50-'Fat Spreads'!AY70)^2/20)/19),"")</f>
        <v>0</v>
      </c>
      <c r="FU50">
        <f>IFERROR('Fat Spreads'!BE50,"")</f>
        <v>0</v>
      </c>
      <c r="FV50">
        <f>IFERROR(('Fat Spreads'!BF50-AVERAGE('Fat Spreads'!$BF$3:$BF$4308))/STDEV('Fat Spreads'!$BF$3:$BF$4308),"")</f>
        <v>9.2057461789832332E-2</v>
      </c>
      <c r="FW50">
        <f>IFERROR('Fat Spreads'!BF50-'Fat Spreads'!BF55,"")</f>
        <v>0</v>
      </c>
      <c r="FX50">
        <f>IFERROR('Fat Spreads'!BF50-'Fat Spreads'!BF60,"")</f>
        <v>0</v>
      </c>
      <c r="FY50">
        <f>IFERROR(AVERAGE('Fat Spreads'!BF50:BF69)+2*STDEV('Fat Spreads'!BF50:BF69),"")</f>
        <v>0</v>
      </c>
      <c r="FZ50">
        <f>IFERROR(AVERAGE('Fat Spreads'!BF50:BF69)-2*STDEV('Fat Spreads'!BF50:BF69),"")</f>
        <v>0</v>
      </c>
      <c r="GA50" t="str">
        <f>IFERROR(('Fat Spreads'!BF50-(AVERAGE('Fat Spreads'!BF50:BF69)-2*STDEV('Fat Spreads'!BF50:BF69)))/(4*STDEV('Fat Spreads'!BF50:BF69)),"")</f>
        <v/>
      </c>
      <c r="GB50" t="str">
        <f>IFERROR(4*STDEV('Fat Spreads'!BF50:BF69)/AVERAGE('Fat Spreads'!BF50:BF69),"")</f>
        <v/>
      </c>
      <c r="GC50">
        <v>39.517299999999999</v>
      </c>
      <c r="GD50">
        <f>IFERROR(SQRT((SUMSQ('Fat Spreads'!BF50:BF69)-2*SUMPRODUCT('Fat Spreads'!BF50:BF69,'Fat Spreads'!BF51:BF70)+SUMSQ('Fat Spreads'!BF51:BF70)-('Fat Spreads'!BF50-'Fat Spreads'!BF70)^2/20)/19),"")</f>
        <v>0</v>
      </c>
    </row>
    <row r="51" spans="1:186" x14ac:dyDescent="0.25">
      <c r="A51">
        <f>IFERROR('Fat Spreads'!A51,"")</f>
        <v>0</v>
      </c>
      <c r="B51">
        <f>IFERROR(('Fat Spreads'!B51-AVERAGE('Fat Spreads'!$B$3:$B$4308))/STDEV('Fat Spreads'!$B$3:$B$4308),"")</f>
        <v>9.2057461789832346E-2</v>
      </c>
      <c r="C51">
        <f>IFERROR('Fat Spreads'!B51-'Fat Spreads'!B56,"")</f>
        <v>0</v>
      </c>
      <c r="D51">
        <f>IFERROR('Fat Spreads'!B51-'Fat Spreads'!B61,"")</f>
        <v>0</v>
      </c>
      <c r="E51">
        <f>IFERROR(AVERAGE('Fat Spreads'!B51:B70)+2*STDEV('Fat Spreads'!B51:B70),"")</f>
        <v>0</v>
      </c>
      <c r="F51">
        <f>IFERROR(AVERAGE('Fat Spreads'!B51:B70)-2*STDEV('Fat Spreads'!B51:B70),"")</f>
        <v>0</v>
      </c>
      <c r="G51" t="str">
        <f>IFERROR(('Fat Spreads'!B51-(AVERAGE('Fat Spreads'!B51:B70)-2*STDEV('Fat Spreads'!B51:B70)))/(4*STDEV('Fat Spreads'!B51:B70)),"")</f>
        <v/>
      </c>
      <c r="H51" t="str">
        <f>IFERROR(4*STDEV('Fat Spreads'!B51:B70)/AVERAGE('Fat Spreads'!B51:B70),"")</f>
        <v/>
      </c>
      <c r="I51">
        <v>40.317500000000003</v>
      </c>
      <c r="J51">
        <f>IFERROR(SQRT((SUMSQ('Fat Spreads'!B51:B70)-2*SUMPRODUCT('Fat Spreads'!B51:B70,'Fat Spreads'!B52:B71)+SUMSQ('Fat Spreads'!B52:B71)-('Fat Spreads'!B51-'Fat Spreads'!B71)^2/20)/19),"")</f>
        <v>0</v>
      </c>
      <c r="L51">
        <f>IFERROR('Fat Spreads'!H51,"")</f>
        <v>0</v>
      </c>
      <c r="M51">
        <f>IFERROR(('Fat Spreads'!I51-AVERAGE('Fat Spreads'!$I$3:$I$4308))/STDEV('Fat Spreads'!$I$3:$I$4308),"")</f>
        <v>-9.2057461789832332E-2</v>
      </c>
      <c r="N51">
        <f>IFERROR('Fat Spreads'!I51-'Fat Spreads'!I56,"")</f>
        <v>0</v>
      </c>
      <c r="O51">
        <f>IFERROR('Fat Spreads'!I51-'Fat Spreads'!I61,"")</f>
        <v>0</v>
      </c>
      <c r="P51">
        <f>IFERROR(AVERAGE('Fat Spreads'!I51:I70)+2*STDEV('Fat Spreads'!I51:I70),"")</f>
        <v>0</v>
      </c>
      <c r="Q51">
        <f>IFERROR(AVERAGE('Fat Spreads'!I51:I70)-2*STDEV('Fat Spreads'!I51:I70),"")</f>
        <v>0</v>
      </c>
      <c r="R51" t="str">
        <f>IFERROR(('Fat Spreads'!I51-(AVERAGE('Fat Spreads'!I51:I70)-2*STDEV('Fat Spreads'!I51:I70)))/(4*STDEV('Fat Spreads'!I51:I70)),"")</f>
        <v/>
      </c>
      <c r="S51" t="str">
        <f>IFERROR(4*STDEV('Fat Spreads'!I51:I70)/AVERAGE('Fat Spreads'!I51:I70),"")</f>
        <v/>
      </c>
      <c r="T51">
        <v>44.589399999999998</v>
      </c>
      <c r="U51">
        <f>IFERROR(SQRT((SUMSQ('Fat Spreads'!I51:I70)-2*SUMPRODUCT('Fat Spreads'!I51:I70,'Fat Spreads'!I52:I71)+SUMSQ('Fat Spreads'!I52:I71)-('Fat Spreads'!I51-'Fat Spreads'!I71)^2/20)/19),"")</f>
        <v>0</v>
      </c>
      <c r="W51">
        <f>IFERROR('Fat Spreads'!AQ51,"")</f>
        <v>0</v>
      </c>
      <c r="X51">
        <f>IFERROR(('Fat Spreads'!AR51-AVERAGE('Fat Spreads'!$AR$3:$AR$4308))/STDEV('Fat Spreads'!$AR$3:$AR$4308),"")</f>
        <v>-9.2057461789832346E-2</v>
      </c>
      <c r="Y51">
        <f>IFERROR('Fat Spreads'!AR51-'Fat Spreads'!AR56,"")</f>
        <v>0</v>
      </c>
      <c r="Z51">
        <f>IFERROR('Fat Spreads'!AR51-'Fat Spreads'!AR61,"")</f>
        <v>0</v>
      </c>
      <c r="AA51">
        <f>IFERROR(AVERAGE('Fat Spreads'!AR51:AR70)+2*STDEV('Fat Spreads'!AR51:AR70),"")</f>
        <v>0</v>
      </c>
      <c r="AB51">
        <f>IFERROR(AVERAGE('Fat Spreads'!AR51:AR70)-2*STDEV('Fat Spreads'!AR51:AR70),"")</f>
        <v>0</v>
      </c>
      <c r="AC51" t="str">
        <f>IFERROR(('Fat Spreads'!AR51-(AVERAGE('Fat Spreads'!AR51:AR70)-2*STDEV('Fat Spreads'!AR51:AR70)))/(4*STDEV('Fat Spreads'!AR51:AR70)),"")</f>
        <v/>
      </c>
      <c r="AD51" t="str">
        <f>IFERROR(4*STDEV('Fat Spreads'!AR51:AR70)/AVERAGE('Fat Spreads'!AR51:AR70),"")</f>
        <v/>
      </c>
      <c r="AE51">
        <v>60.143900000000002</v>
      </c>
      <c r="AF51">
        <f>IFERROR(SQRT((SUMSQ('Fat Spreads'!AR51:AR70)-2*SUMPRODUCT('Fat Spreads'!AR51:AR70,'Fat Spreads'!AR52:AR71)+SUMSQ('Fat Spreads'!AR52:AR71)-('Fat Spreads'!AR51-'Fat Spreads'!AR71)^2/20)/19),"")</f>
        <v>0</v>
      </c>
      <c r="AH51">
        <f>IFERROR('Fat Spreads'!O51,"")</f>
        <v>0</v>
      </c>
      <c r="AI51">
        <f>IFERROR(('Fat Spreads'!P51-AVERAGE('Fat Spreads'!$P$3:$P$4308))/STDEV('Fat Spreads'!$P$3:$P$4308),"")</f>
        <v>-9.2057461789832332E-2</v>
      </c>
      <c r="AJ51">
        <f>IFERROR('Fat Spreads'!P51-'Fat Spreads'!P56,"")</f>
        <v>0</v>
      </c>
      <c r="AK51">
        <f>IFERROR('Fat Spreads'!P51-'Fat Spreads'!P61,"")</f>
        <v>0</v>
      </c>
      <c r="AL51">
        <f>IFERROR(AVERAGE('Fat Spreads'!P51:P70)+2*STDEV('Fat Spreads'!P51:P70),"")</f>
        <v>0</v>
      </c>
      <c r="AM51">
        <f>IFERROR(AVERAGE('Fat Spreads'!P51:P70)-2*STDEV('Fat Spreads'!P51:P70),"")</f>
        <v>0</v>
      </c>
      <c r="AN51" t="str">
        <f>IFERROR(('Fat Spreads'!P51-(AVERAGE('Fat Spreads'!P51:P70)-2*STDEV('Fat Spreads'!P51:P70)))/(4*STDEV('Fat Spreads'!P51:P70)),"")</f>
        <v/>
      </c>
      <c r="AO51" t="str">
        <f>IFERROR(4*STDEV('Fat Spreads'!P51:P70)/AVERAGE('Fat Spreads'!P51:P70),"")</f>
        <v/>
      </c>
      <c r="AP51">
        <v>53.067100000000003</v>
      </c>
      <c r="AQ51">
        <f>IFERROR(SQRT((SUMSQ('Fat Spreads'!P51:P70)-2*SUMPRODUCT('Fat Spreads'!P51:P70,'Fat Spreads'!P52:P71)+SUMSQ('Fat Spreads'!P52:P71)-('Fat Spreads'!P51-'Fat Spreads'!P71)^2/20)/19),"")</f>
        <v>0</v>
      </c>
      <c r="AS51">
        <f>IFERROR('Fat Spreads'!AJ51,"")</f>
        <v>0</v>
      </c>
      <c r="AT51">
        <f>IFERROR(('Fat Spreads'!AK51-AVERAGE('Fat Spreads'!$AK$3:$AK$4308))/STDEV('Fat Spreads'!$AK$3:$AK$4308),"")</f>
        <v>-9.2057461789832332E-2</v>
      </c>
      <c r="AU51">
        <f>IFERROR('Fat Spreads'!AK51-'Fat Spreads'!AK56,"")</f>
        <v>0</v>
      </c>
      <c r="AV51">
        <f>IFERROR('Fat Spreads'!AK51-'Fat Spreads'!AK61,"")</f>
        <v>0</v>
      </c>
      <c r="AW51">
        <f>IFERROR(AVERAGE('Fat Spreads'!AK51:AK70)+2*STDEV('Fat Spreads'!AK51:AK70),"")</f>
        <v>0</v>
      </c>
      <c r="AX51">
        <f>IFERROR(AVERAGE('Fat Spreads'!AK51:AK70)-2*STDEV('Fat Spreads'!AK51:AK70),"")</f>
        <v>0</v>
      </c>
      <c r="AY51" t="str">
        <f>IFERROR(('Fat Spreads'!AK51-(AVERAGE('Fat Spreads'!AK51:AK70)-2*STDEV('Fat Spreads'!AK51:AK70)))/(4*STDEV('Fat Spreads'!AK51:AK70)),"")</f>
        <v/>
      </c>
      <c r="AZ51" t="str">
        <f>IFERROR(4*STDEV('Fat Spreads'!AK51:AK70)/AVERAGE('Fat Spreads'!AK51:AK70),"")</f>
        <v/>
      </c>
      <c r="BA51">
        <v>82.927400000000006</v>
      </c>
      <c r="BB51">
        <f>IFERROR(SQRT((SUMSQ('Fat Spreads'!AK51:AK70)-2*SUMPRODUCT('Fat Spreads'!AK51:AK70,'Fat Spreads'!AK52:AK71)+SUMSQ('Fat Spreads'!AK52:AK71)-('Fat Spreads'!AK51-'Fat Spreads'!AK71)^2/20)/19),"")</f>
        <v>0</v>
      </c>
      <c r="BD51">
        <f>IFERROR('Fat Spreads'!V51,"")</f>
        <v>0</v>
      </c>
      <c r="BE51">
        <f>IFERROR(('Fat Spreads'!W51-AVERAGE('Fat Spreads'!$W$3:$W$4308))/STDEV('Fat Spreads'!$W$3:$W$4308),"")</f>
        <v>-9.2057461789832332E-2</v>
      </c>
      <c r="BF51">
        <f>IFERROR('Fat Spreads'!W51-'Fat Spreads'!W56,"")</f>
        <v>0</v>
      </c>
      <c r="BG51">
        <f>IFERROR('Fat Spreads'!W51-'Fat Spreads'!W61,"")</f>
        <v>0</v>
      </c>
      <c r="BH51">
        <f>IFERROR(AVERAGE('Fat Spreads'!W51:W70)+2*STDEV('Fat Spreads'!W51:W70),"")</f>
        <v>0</v>
      </c>
      <c r="BI51">
        <f>IFERROR(AVERAGE('Fat Spreads'!W51:W70)-2*STDEV('Fat Spreads'!W51:W70),"")</f>
        <v>0</v>
      </c>
      <c r="BJ51" t="str">
        <f>IFERROR(('Fat Spreads'!W51-(AVERAGE('Fat Spreads'!W51:W70)-2*STDEV('Fat Spreads'!W51:W70)))/(4*STDEV('Fat Spreads'!W51:W70)),"")</f>
        <v/>
      </c>
      <c r="BK51" t="str">
        <f>IFERROR(4*STDEV('Fat Spreads'!W51:W70)/AVERAGE('Fat Spreads'!W51:W70),"")</f>
        <v/>
      </c>
      <c r="BL51">
        <v>64.4876</v>
      </c>
      <c r="BM51">
        <f>IFERROR(SQRT((SUMSQ('Fat Spreads'!W51:W70)-2*SUMPRODUCT('Fat Spreads'!W51:W70,'Fat Spreads'!W52:W71)+SUMSQ('Fat Spreads'!W52:W71)-('Fat Spreads'!W51-'Fat Spreads'!W71)^2/20)/19),"")</f>
        <v>0</v>
      </c>
      <c r="BO51">
        <f>IFERROR('Fat Spreads'!AC51,"")</f>
        <v>0</v>
      </c>
      <c r="BP51">
        <f>IFERROR(('Fat Spreads'!AD51-AVERAGE('Fat Spreads'!$AD$3:$AD$4308))/STDEV('Fat Spreads'!$AD$3:$AD$4308),"")</f>
        <v>-9.2057461789832332E-2</v>
      </c>
      <c r="BQ51">
        <f>IFERROR('Fat Spreads'!AD51-'Fat Spreads'!AD56,"")</f>
        <v>0</v>
      </c>
      <c r="BR51">
        <f>IFERROR('Fat Spreads'!AD51-'Fat Spreads'!AD61,"")</f>
        <v>0</v>
      </c>
      <c r="BS51">
        <f>IFERROR(AVERAGE('Fat Spreads'!AD51:AD70)+2*STDEV('Fat Spreads'!AD51:AD70),"")</f>
        <v>0</v>
      </c>
      <c r="BT51">
        <f>IFERROR(AVERAGE('Fat Spreads'!AD51:AD70)-2*STDEV('Fat Spreads'!AD51:AD70),"")</f>
        <v>0</v>
      </c>
      <c r="BU51" t="str">
        <f>IFERROR(('Fat Spreads'!AD51-(AVERAGE('Fat Spreads'!AD51:AD70)-2*STDEV('Fat Spreads'!AD51:AD70)))/(4*STDEV('Fat Spreads'!AD51:AD70)),"")</f>
        <v/>
      </c>
      <c r="BV51" t="str">
        <f>IFERROR(4*STDEV('Fat Spreads'!AD51:AD70)/AVERAGE('Fat Spreads'!AD51:AD70),"")</f>
        <v/>
      </c>
      <c r="BW51">
        <v>30.938500000000001</v>
      </c>
      <c r="BX51">
        <f>IFERROR(SQRT((SUMSQ('Fat Spreads'!AD51:AD70)-2*SUMPRODUCT('Fat Spreads'!AD51:AD70,'Fat Spreads'!AD52:AD71)+SUMSQ('Fat Spreads'!AD52:AD71)-('Fat Spreads'!AD51-'Fat Spreads'!AD71)^2/20)/19),"")</f>
        <v>0</v>
      </c>
      <c r="BZ51">
        <f>IFERROR('Feeder Spreads'!A51,"")</f>
        <v>0</v>
      </c>
      <c r="CA51">
        <f>IFERROR(('Feeder Spreads'!B51-AVERAGE('Feeder Spreads'!$B$3:$B$4308))/STDEV('Feeder Spreads'!$B$3:$B$4308),"")</f>
        <v>-9.2057461789832346E-2</v>
      </c>
      <c r="CB51">
        <f>IFERROR('Feeder Spreads'!B51-'Feeder Spreads'!B56,"")</f>
        <v>0</v>
      </c>
      <c r="CC51">
        <f>IFERROR('Feeder Spreads'!B51-'Feeder Spreads'!B61,"")</f>
        <v>0</v>
      </c>
      <c r="CD51">
        <f>IFERROR(AVERAGE('Feeder Spreads'!B51:B70)+2*STDEV('Feeder Spreads'!B51:B70),"")</f>
        <v>0</v>
      </c>
      <c r="CE51">
        <f>IFERROR(AVERAGE('Feeder Spreads'!B51:B70)-2*STDEV('Feeder Spreads'!B51:B70),"")</f>
        <v>0</v>
      </c>
      <c r="CF51" t="str">
        <f>IFERROR(('Feeder Spreads'!B51-(AVERAGE('Feeder Spreads'!B51:B70)-2*STDEV('Feeder Spreads'!B51:B70)))/(4*STDEV('Feeder Spreads'!B51:B70)),"")</f>
        <v/>
      </c>
      <c r="CG51" t="str">
        <f>IFERROR(4*STDEV('Feeder Spreads'!B51:B70)/AVERAGE('Feeder Spreads'!B51:B70),"")</f>
        <v/>
      </c>
      <c r="CH51">
        <v>45.435899999999997</v>
      </c>
      <c r="CI51">
        <f>IFERROR(SQRT((SUMSQ('Feeder Spreads'!B51:B70)-2*SUMPRODUCT('Feeder Spreads'!B51:B70,'Feeder Spreads'!B52:B71)+SUMSQ('Feeder Spreads'!B52:B71)-('Feeder Spreads'!B51-'Feeder Spreads'!B71)^2/20)/19),"")</f>
        <v>0</v>
      </c>
      <c r="CK51">
        <f>IFERROR('Feeder Spreads'!AX51,"")</f>
        <v>0</v>
      </c>
      <c r="CL51">
        <f>IFERROR(('Feeder Spreads'!AY51-AVERAGE('Feeder Spreads'!$AY$3:$AY$4308))/STDEV('Feeder Spreads'!$AY$3:$AY$4308),"")</f>
        <v>-9.2057461789832346E-2</v>
      </c>
      <c r="CM51">
        <f>IFERROR('Feeder Spreads'!AY51-'Feeder Spreads'!AY56,"")</f>
        <v>0</v>
      </c>
      <c r="CN51">
        <f>IFERROR('Feeder Spreads'!AY51-'Feeder Spreads'!AY61,"")</f>
        <v>0</v>
      </c>
      <c r="CO51">
        <f>IFERROR(AVERAGE('Feeder Spreads'!AY51:AY70)+2*STDEV('Feeder Spreads'!AY51:AY70),"")</f>
        <v>0</v>
      </c>
      <c r="CP51">
        <f>IFERROR(AVERAGE('Feeder Spreads'!AY51:AY70)-2*STDEV('Feeder Spreads'!AY51:AY70),"")</f>
        <v>0</v>
      </c>
      <c r="CQ51" t="str">
        <f>IFERROR(('Feeder Spreads'!AY51-(AVERAGE('Feeder Spreads'!AY51:AY70)-2*STDEV('Feeder Spreads'!AY51:AY70)))/(4*STDEV('Feeder Spreads'!AY51:AY70)),"")</f>
        <v/>
      </c>
      <c r="CR51" t="str">
        <f>IFERROR(4*STDEV('Feeder Spreads'!AY51:AY70)/AVERAGE('Feeder Spreads'!AY51:AY70),"")</f>
        <v/>
      </c>
      <c r="CS51">
        <v>77.976600000000005</v>
      </c>
      <c r="CT51">
        <f>IFERROR(SQRT((SUMSQ('Feeder Spreads'!AY51:AY70)-2*SUMPRODUCT('Feeder Spreads'!AY51:AY70,'Feeder Spreads'!AY52:AY71)+SUMSQ('Feeder Spreads'!AY52:AY71)-('Feeder Spreads'!AY51-'Feeder Spreads'!AY71)^2/20)/19),"")</f>
        <v>0</v>
      </c>
      <c r="CV51">
        <f>IFERROR('Feeder Spreads'!H51,"")</f>
        <v>0</v>
      </c>
      <c r="CW51">
        <f>IFERROR(('Feeder Spreads'!I51-AVERAGE('Feeder Spreads'!$I$3:$I$4308))/STDEV('Feeder Spreads'!$I$3:$I$4308),"")</f>
        <v>-9.2057461789832332E-2</v>
      </c>
      <c r="CX51">
        <f>IFERROR('Feeder Spreads'!I51-'Feeder Spreads'!I56,"")</f>
        <v>0</v>
      </c>
      <c r="CY51">
        <f>IFERROR('Feeder Spreads'!I51-'Feeder Spreads'!I61,"")</f>
        <v>0</v>
      </c>
      <c r="CZ51">
        <f>IFERROR(AVERAGE('Feeder Spreads'!I51:I70)+2*STDEV('Feeder Spreads'!I51:I70),"")</f>
        <v>0</v>
      </c>
      <c r="DA51">
        <f>IFERROR(AVERAGE('Feeder Spreads'!I51:I70)-2*STDEV('Feeder Spreads'!I51:I70),"")</f>
        <v>0</v>
      </c>
      <c r="DB51" t="str">
        <f>IFERROR(('Feeder Spreads'!I51-(AVERAGE('Feeder Spreads'!I51:I70)-2*STDEV('Feeder Spreads'!I51:I70)))/(4*STDEV('Feeder Spreads'!I51:I70)),"")</f>
        <v/>
      </c>
      <c r="DC51" t="str">
        <f>IFERROR(4*STDEV('Feeder Spreads'!I51:I70)/AVERAGE('Feeder Spreads'!I51:I70),"")</f>
        <v/>
      </c>
      <c r="DD51">
        <v>43.377299999999998</v>
      </c>
      <c r="DE51">
        <f>IFERROR(SQRT((SUMSQ('Feeder Spreads'!I51:I70)-2*SUMPRODUCT('Feeder Spreads'!I51:I70,'Feeder Spreads'!I52:I71)+SUMSQ('Feeder Spreads'!I52:I71)-('Feeder Spreads'!I51-'Feeder Spreads'!I71)^2/20)/19),"")</f>
        <v>0</v>
      </c>
      <c r="DG51">
        <f>IFERROR('Feeder Spreads'!O51,"")</f>
        <v>0</v>
      </c>
      <c r="DH51">
        <f>IFERROR(('Feeder Spreads'!P51-AVERAGE('Feeder Spreads'!$P$3:$P$4308))/STDEV('Feeder Spreads'!$P$3:$P$4308),"")</f>
        <v>-9.2057461789832346E-2</v>
      </c>
      <c r="DI51">
        <f>IFERROR('Feeder Spreads'!P51-'Feeder Spreads'!P56,"")</f>
        <v>0</v>
      </c>
      <c r="DJ51">
        <f>IFERROR('Feeder Spreads'!P51-'Feeder Spreads'!P61,"")</f>
        <v>0</v>
      </c>
      <c r="DK51">
        <f>IFERROR(AVERAGE('Feeder Spreads'!P51:P70)+2*STDEV('Feeder Spreads'!P51:P70),"")</f>
        <v>0</v>
      </c>
      <c r="DL51">
        <f>IFERROR(AVERAGE('Feeder Spreads'!P51:P70)-2*STDEV('Feeder Spreads'!P51:P70),"")</f>
        <v>0</v>
      </c>
      <c r="DM51" t="str">
        <f>IFERROR(('Feeder Spreads'!P51-(AVERAGE('Feeder Spreads'!P51:P70)-2*STDEV('Feeder Spreads'!P51:P70)))/(4*STDEV('Feeder Spreads'!P51:P70)),"")</f>
        <v/>
      </c>
      <c r="DN51" t="str">
        <f>IFERROR(4*STDEV('Feeder Spreads'!P51:P70)/AVERAGE('Feeder Spreads'!P51:P70),"")</f>
        <v/>
      </c>
      <c r="DO51">
        <v>53.869799999999998</v>
      </c>
      <c r="DP51">
        <f>IFERROR(SQRT((SUMSQ('Feeder Spreads'!P51:P70)-2*SUMPRODUCT('Feeder Spreads'!P51:P70,'Feeder Spreads'!P52:P71)+SUMSQ('Feeder Spreads'!P52:P71)-('Feeder Spreads'!P51-'Feeder Spreads'!P71)^2/20)/19),"")</f>
        <v>0</v>
      </c>
      <c r="DR51">
        <f>IFERROR('Feeder Spreads'!V51,"")</f>
        <v>0</v>
      </c>
      <c r="DS51">
        <f>IFERROR(('Feeder Spreads'!W51-AVERAGE('Feeder Spreads'!$W$3:$W$4308))/STDEV('Feeder Spreads'!$W$3:$W$4308),"")</f>
        <v>-9.2057461789832332E-2</v>
      </c>
      <c r="DT51">
        <f>IFERROR('Feeder Spreads'!W51-'Feeder Spreads'!W56,"")</f>
        <v>0</v>
      </c>
      <c r="DU51">
        <f>IFERROR('Feeder Spreads'!W51-'Feeder Spreads'!W61,"")</f>
        <v>0</v>
      </c>
      <c r="DV51">
        <f>IFERROR(AVERAGE('Feeder Spreads'!W51:W70)+2*STDEV('Feeder Spreads'!W51:W70),"")</f>
        <v>0</v>
      </c>
      <c r="DW51">
        <f>IFERROR(AVERAGE('Feeder Spreads'!W51:W70)-2*STDEV('Feeder Spreads'!W51:W70),"")</f>
        <v>0</v>
      </c>
      <c r="DX51" t="str">
        <f>IFERROR(('Feeder Spreads'!W51-(AVERAGE('Feeder Spreads'!W51:W70)-2*STDEV('Feeder Spreads'!W51:W70)))/(4*STDEV('Feeder Spreads'!W51:W70)),"")</f>
        <v/>
      </c>
      <c r="DY51" t="str">
        <f>IFERROR(4*STDEV('Feeder Spreads'!W51:W70)/AVERAGE('Feeder Spreads'!W51:W70),"")</f>
        <v/>
      </c>
      <c r="DZ51">
        <v>54.720700000000001</v>
      </c>
      <c r="EA51">
        <f>IFERROR(SQRT((SUMSQ('Feeder Spreads'!W51:W70)-2*SUMPRODUCT('Feeder Spreads'!W51:W70,'Feeder Spreads'!W52:W71)+SUMSQ('Feeder Spreads'!W52:W71)-('Feeder Spreads'!W51-'Feeder Spreads'!W71)^2/20)/19),"")</f>
        <v>0</v>
      </c>
      <c r="EC51">
        <f>IFERROR('Feeder Spreads'!AC51,"")</f>
        <v>0</v>
      </c>
      <c r="ED51">
        <f>IFERROR(('Feeder Spreads'!AD51-AVERAGE('Feeder Spreads'!$AD$3:$AD$4308))/STDEV('Feeder Spreads'!$AD$3:$AD$4308),"")</f>
        <v>9.2057461789832318E-2</v>
      </c>
      <c r="EE51">
        <f>IFERROR('Feeder Spreads'!AD51-'Feeder Spreads'!AD56,"")</f>
        <v>0</v>
      </c>
      <c r="EF51">
        <f>IFERROR('Feeder Spreads'!AD51-'Feeder Spreads'!AD61,"")</f>
        <v>0</v>
      </c>
      <c r="EG51">
        <f>IFERROR(AVERAGE('Feeder Spreads'!AD51:AD70)+2*STDEV('Feeder Spreads'!AD51:AD70),"")</f>
        <v>0</v>
      </c>
      <c r="EH51">
        <f>IFERROR(AVERAGE('Feeder Spreads'!AD51:AD70)-2*STDEV('Feeder Spreads'!AD51:AD70),"")</f>
        <v>0</v>
      </c>
      <c r="EI51" t="str">
        <f>IFERROR(('Feeder Spreads'!AD51-(AVERAGE('Feeder Spreads'!AD51:AD70)-2*STDEV('Feeder Spreads'!AD51:AD70)))/(4*STDEV('Feeder Spreads'!AD51:AD70)),"")</f>
        <v/>
      </c>
      <c r="EJ51" t="str">
        <f>IFERROR(4*STDEV('Feeder Spreads'!AD51:AD70)/AVERAGE('Feeder Spreads'!AD51:AD70),"")</f>
        <v/>
      </c>
      <c r="EK51">
        <v>47.987299999999998</v>
      </c>
      <c r="EL51">
        <f>IFERROR(SQRT((SUMSQ('Feeder Spreads'!AD51:AD70)-2*SUMPRODUCT('Feeder Spreads'!AD51:AD70,'Feeder Spreads'!AD52:AD71)+SUMSQ('Feeder Spreads'!AD52:AD71)-('Feeder Spreads'!AD51-'Feeder Spreads'!AD71)^2/20)/19),"")</f>
        <v>0</v>
      </c>
      <c r="EN51">
        <f>IFERROR('Feeder Spreads'!AJ51,"")</f>
        <v>0</v>
      </c>
      <c r="EO51">
        <f>IFERROR(('Feeder Spreads'!AK51-AVERAGE('Feeder Spreads'!$AK$3:$AK$4308))/STDEV('Feeder Spreads'!$AK$3:$AK$4308),"")</f>
        <v>-9.2057461789832346E-2</v>
      </c>
      <c r="EP51">
        <f>IFERROR('Feeder Spreads'!AK51-'Feeder Spreads'!AK56,"")</f>
        <v>0</v>
      </c>
      <c r="EQ51">
        <f>IFERROR('Feeder Spreads'!AK51-'Feeder Spreads'!AK61,"")</f>
        <v>0</v>
      </c>
      <c r="ER51">
        <f>IFERROR(AVERAGE('Feeder Spreads'!AK51:AK70)+2*STDEV('Feeder Spreads'!AK51:AK70),"")</f>
        <v>0</v>
      </c>
      <c r="ES51">
        <f>IFERROR(AVERAGE('Feeder Spreads'!AK51:AK70)-2*STDEV('Feeder Spreads'!AK51:AK70),"")</f>
        <v>0</v>
      </c>
      <c r="ET51" t="str">
        <f>IFERROR(('Feeder Spreads'!AK51-(AVERAGE('Feeder Spreads'!AK51:AK70)-2*STDEV('Feeder Spreads'!AK51:AK70)))/(4*STDEV('Feeder Spreads'!AK51:AK70)),"")</f>
        <v/>
      </c>
      <c r="EU51" t="str">
        <f>IFERROR(4*STDEV('Feeder Spreads'!AK51:AK70)/AVERAGE('Feeder Spreads'!AK51:AK70),"")</f>
        <v/>
      </c>
      <c r="EV51">
        <v>51.161799999999999</v>
      </c>
      <c r="EW51">
        <f>IFERROR(SQRT((SUMSQ('Feeder Spreads'!AK51:AK70)-2*SUMPRODUCT('Feeder Spreads'!AK51:AK70,'Feeder Spreads'!AK52:AK71)+SUMSQ('Feeder Spreads'!AK52:AK71)-('Feeder Spreads'!AK51-'Feeder Spreads'!AK71)^2/20)/19),"")</f>
        <v>0</v>
      </c>
      <c r="EY51">
        <f>IFERROR('Feeder Spreads'!AQ51,"")</f>
        <v>0</v>
      </c>
      <c r="EZ51">
        <f>IFERROR(('Feeder Spreads'!AR51-AVERAGE('Feeder Spreads'!$AR$3:$AR$4308))/STDEV('Feeder Spreads'!$AR$3:$AR$4308),"")</f>
        <v>-9.2057461789832332E-2</v>
      </c>
      <c r="FA51">
        <f>IFERROR('Feeder Spreads'!AR51-'Feeder Spreads'!AR56,"")</f>
        <v>0</v>
      </c>
      <c r="FB51">
        <f>IFERROR('Feeder Spreads'!AR51-'Feeder Spreads'!AR61,"")</f>
        <v>0</v>
      </c>
      <c r="FC51">
        <f>IFERROR(AVERAGE('Feeder Spreads'!AR51:AR70)+2*STDEV('Feeder Spreads'!AR51:AR70),"")</f>
        <v>0</v>
      </c>
      <c r="FD51">
        <f>IFERROR(AVERAGE('Feeder Spreads'!AR51:AR70)-2*STDEV('Feeder Spreads'!AR51:AR70),"")</f>
        <v>0</v>
      </c>
      <c r="FE51" t="str">
        <f>IFERROR(('Feeder Spreads'!AR51-(AVERAGE('Feeder Spreads'!AR51:AR70)-2*STDEV('Feeder Spreads'!AR51:AR70)))/(4*STDEV('Feeder Spreads'!AR51:AR70)),"")</f>
        <v/>
      </c>
      <c r="FF51" t="str">
        <f>IFERROR(4*STDEV('Feeder Spreads'!AR51:AR70)/AVERAGE('Feeder Spreads'!AR51:AR70),"")</f>
        <v/>
      </c>
      <c r="FG51">
        <v>52.805700000000002</v>
      </c>
      <c r="FH51">
        <f>IFERROR(SQRT((SUMSQ('Feeder Spreads'!AR51:AR70)-2*SUMPRODUCT('Feeder Spreads'!AR51:AR70,'Feeder Spreads'!AR52:AR71)+SUMSQ('Feeder Spreads'!AR52:AR71)-('Feeder Spreads'!AR51-'Feeder Spreads'!AR71)^2/20)/19),"")</f>
        <v>0</v>
      </c>
      <c r="FJ51">
        <f>IFERROR('Fat Spreads'!AX51,"")</f>
        <v>0</v>
      </c>
      <c r="FK51">
        <f>IFERROR(('Fat Spreads'!AY51-AVERAGE('Fat Spreads'!$AY$3:$AY$4308))/STDEV('Fat Spreads'!$AY$3:$AY$4308),"")</f>
        <v>9.2057461789832332E-2</v>
      </c>
      <c r="FL51">
        <f>IFERROR('Fat Spreads'!AY51-'Fat Spreads'!AY56,"")</f>
        <v>0</v>
      </c>
      <c r="FM51">
        <f>IFERROR('Fat Spreads'!AY51-'Fat Spreads'!AY61,"")</f>
        <v>0</v>
      </c>
      <c r="FN51">
        <f>IFERROR(AVERAGE('Fat Spreads'!AY51:AY70)+2*STDEV('Fat Spreads'!AY51:AY70),"")</f>
        <v>0</v>
      </c>
      <c r="FO51">
        <f>IFERROR(AVERAGE('Fat Spreads'!AY51:AY70)-2*STDEV('Fat Spreads'!AY51:AY70),"")</f>
        <v>0</v>
      </c>
      <c r="FP51" t="str">
        <f>IFERROR(('Fat Spreads'!AY51-(AVERAGE('Fat Spreads'!AY51:AY70)-2*STDEV('Fat Spreads'!AY51:AY70)))/(4*STDEV('Fat Spreads'!AY51:AY70)),"")</f>
        <v/>
      </c>
      <c r="FQ51" t="str">
        <f>IFERROR(4*STDEV('Fat Spreads'!AY51:AY70)/AVERAGE('Fat Spreads'!AY51:AY70),"")</f>
        <v/>
      </c>
      <c r="FR51">
        <v>75.829899999999995</v>
      </c>
      <c r="FS51">
        <f>IFERROR(SQRT((SUMSQ('Fat Spreads'!AY51:AY70)-2*SUMPRODUCT('Fat Spreads'!AY51:AY70,'Fat Spreads'!AY52:AY71)+SUMSQ('Fat Spreads'!AY52:AY71)-('Fat Spreads'!AY51-'Fat Spreads'!AY71)^2/20)/19),"")</f>
        <v>0</v>
      </c>
      <c r="FU51">
        <f>IFERROR('Fat Spreads'!BE51,"")</f>
        <v>0</v>
      </c>
      <c r="FV51">
        <f>IFERROR(('Fat Spreads'!BF51-AVERAGE('Fat Spreads'!$BF$3:$BF$4308))/STDEV('Fat Spreads'!$BF$3:$BF$4308),"")</f>
        <v>9.2057461789832332E-2</v>
      </c>
      <c r="FW51">
        <f>IFERROR('Fat Spreads'!BF51-'Fat Spreads'!BF56,"")</f>
        <v>0</v>
      </c>
      <c r="FX51">
        <f>IFERROR('Fat Spreads'!BF51-'Fat Spreads'!BF61,"")</f>
        <v>0</v>
      </c>
      <c r="FY51">
        <f>IFERROR(AVERAGE('Fat Spreads'!BF51:BF70)+2*STDEV('Fat Spreads'!BF51:BF70),"")</f>
        <v>0</v>
      </c>
      <c r="FZ51">
        <f>IFERROR(AVERAGE('Fat Spreads'!BF51:BF70)-2*STDEV('Fat Spreads'!BF51:BF70),"")</f>
        <v>0</v>
      </c>
      <c r="GA51" t="str">
        <f>IFERROR(('Fat Spreads'!BF51-(AVERAGE('Fat Spreads'!BF51:BF70)-2*STDEV('Fat Spreads'!BF51:BF70)))/(4*STDEV('Fat Spreads'!BF51:BF70)),"")</f>
        <v/>
      </c>
      <c r="GB51" t="str">
        <f>IFERROR(4*STDEV('Fat Spreads'!BF51:BF70)/AVERAGE('Fat Spreads'!BF51:BF70),"")</f>
        <v/>
      </c>
      <c r="GC51">
        <v>41.709400000000002</v>
      </c>
      <c r="GD51">
        <f>IFERROR(SQRT((SUMSQ('Fat Spreads'!BF51:BF70)-2*SUMPRODUCT('Fat Spreads'!BF51:BF70,'Fat Spreads'!BF52:BF71)+SUMSQ('Fat Spreads'!BF52:BF71)-('Fat Spreads'!BF51-'Fat Spreads'!BF71)^2/20)/19),"")</f>
        <v>0</v>
      </c>
    </row>
    <row r="52" spans="1:186" x14ac:dyDescent="0.25">
      <c r="A52">
        <f>IFERROR('Fat Spreads'!A52,"")</f>
        <v>0</v>
      </c>
      <c r="B52">
        <f>IFERROR(('Fat Spreads'!B52-AVERAGE('Fat Spreads'!$B$3:$B$4308))/STDEV('Fat Spreads'!$B$3:$B$4308),"")</f>
        <v>9.2057461789832346E-2</v>
      </c>
      <c r="C52">
        <f>IFERROR('Fat Spreads'!B52-'Fat Spreads'!B57,"")</f>
        <v>0</v>
      </c>
      <c r="D52">
        <f>IFERROR('Fat Spreads'!B52-'Fat Spreads'!B62,"")</f>
        <v>0</v>
      </c>
      <c r="E52">
        <f>IFERROR(AVERAGE('Fat Spreads'!B52:B71)+2*STDEV('Fat Spreads'!B52:B71),"")</f>
        <v>0</v>
      </c>
      <c r="F52">
        <f>IFERROR(AVERAGE('Fat Spreads'!B52:B71)-2*STDEV('Fat Spreads'!B52:B71),"")</f>
        <v>0</v>
      </c>
      <c r="G52" t="str">
        <f>IFERROR(('Fat Spreads'!B52-(AVERAGE('Fat Spreads'!B52:B71)-2*STDEV('Fat Spreads'!B52:B71)))/(4*STDEV('Fat Spreads'!B52:B71)),"")</f>
        <v/>
      </c>
      <c r="H52" t="str">
        <f>IFERROR(4*STDEV('Fat Spreads'!B52:B71)/AVERAGE('Fat Spreads'!B52:B71),"")</f>
        <v/>
      </c>
      <c r="I52">
        <v>39.956299999999999</v>
      </c>
      <c r="J52">
        <f>IFERROR(SQRT((SUMSQ('Fat Spreads'!B52:B71)-2*SUMPRODUCT('Fat Spreads'!B52:B71,'Fat Spreads'!B53:B72)+SUMSQ('Fat Spreads'!B53:B72)-('Fat Spreads'!B52-'Fat Spreads'!B72)^2/20)/19),"")</f>
        <v>0</v>
      </c>
      <c r="L52">
        <f>IFERROR('Fat Spreads'!H52,"")</f>
        <v>0</v>
      </c>
      <c r="M52">
        <f>IFERROR(('Fat Spreads'!I52-AVERAGE('Fat Spreads'!$I$3:$I$4308))/STDEV('Fat Spreads'!$I$3:$I$4308),"")</f>
        <v>-9.2057461789832332E-2</v>
      </c>
      <c r="N52">
        <f>IFERROR('Fat Spreads'!I52-'Fat Spreads'!I57,"")</f>
        <v>0</v>
      </c>
      <c r="O52">
        <f>IFERROR('Fat Spreads'!I52-'Fat Spreads'!I62,"")</f>
        <v>0</v>
      </c>
      <c r="P52">
        <f>IFERROR(AVERAGE('Fat Spreads'!I52:I71)+2*STDEV('Fat Spreads'!I52:I71),"")</f>
        <v>0</v>
      </c>
      <c r="Q52">
        <f>IFERROR(AVERAGE('Fat Spreads'!I52:I71)-2*STDEV('Fat Spreads'!I52:I71),"")</f>
        <v>0</v>
      </c>
      <c r="R52" t="str">
        <f>IFERROR(('Fat Spreads'!I52-(AVERAGE('Fat Spreads'!I52:I71)-2*STDEV('Fat Spreads'!I52:I71)))/(4*STDEV('Fat Spreads'!I52:I71)),"")</f>
        <v/>
      </c>
      <c r="S52" t="str">
        <f>IFERROR(4*STDEV('Fat Spreads'!I52:I71)/AVERAGE('Fat Spreads'!I52:I71),"")</f>
        <v/>
      </c>
      <c r="T52">
        <v>43.155999999999999</v>
      </c>
      <c r="U52">
        <f>IFERROR(SQRT((SUMSQ('Fat Spreads'!I52:I71)-2*SUMPRODUCT('Fat Spreads'!I52:I71,'Fat Spreads'!I53:I72)+SUMSQ('Fat Spreads'!I53:I72)-('Fat Spreads'!I52-'Fat Spreads'!I72)^2/20)/19),"")</f>
        <v>0</v>
      </c>
      <c r="W52">
        <f>IFERROR('Fat Spreads'!AQ52,"")</f>
        <v>0</v>
      </c>
      <c r="X52">
        <f>IFERROR(('Fat Spreads'!AR52-AVERAGE('Fat Spreads'!$AR$3:$AR$4308))/STDEV('Fat Spreads'!$AR$3:$AR$4308),"")</f>
        <v>-9.2057461789832346E-2</v>
      </c>
      <c r="Y52">
        <f>IFERROR('Fat Spreads'!AR52-'Fat Spreads'!AR57,"")</f>
        <v>0</v>
      </c>
      <c r="Z52">
        <f>IFERROR('Fat Spreads'!AR52-'Fat Spreads'!AR62,"")</f>
        <v>0</v>
      </c>
      <c r="AA52">
        <f>IFERROR(AVERAGE('Fat Spreads'!AR52:AR71)+2*STDEV('Fat Spreads'!AR52:AR71),"")</f>
        <v>0</v>
      </c>
      <c r="AB52">
        <f>IFERROR(AVERAGE('Fat Spreads'!AR52:AR71)-2*STDEV('Fat Spreads'!AR52:AR71),"")</f>
        <v>0</v>
      </c>
      <c r="AC52" t="str">
        <f>IFERROR(('Fat Spreads'!AR52-(AVERAGE('Fat Spreads'!AR52:AR71)-2*STDEV('Fat Spreads'!AR52:AR71)))/(4*STDEV('Fat Spreads'!AR52:AR71)),"")</f>
        <v/>
      </c>
      <c r="AD52" t="str">
        <f>IFERROR(4*STDEV('Fat Spreads'!AR52:AR71)/AVERAGE('Fat Spreads'!AR52:AR71),"")</f>
        <v/>
      </c>
      <c r="AE52">
        <v>59.892000000000003</v>
      </c>
      <c r="AF52">
        <f>IFERROR(SQRT((SUMSQ('Fat Spreads'!AR52:AR71)-2*SUMPRODUCT('Fat Spreads'!AR52:AR71,'Fat Spreads'!AR53:AR72)+SUMSQ('Fat Spreads'!AR53:AR72)-('Fat Spreads'!AR52-'Fat Spreads'!AR72)^2/20)/19),"")</f>
        <v>0</v>
      </c>
      <c r="AH52">
        <f>IFERROR('Fat Spreads'!O52,"")</f>
        <v>0</v>
      </c>
      <c r="AI52">
        <f>IFERROR(('Fat Spreads'!P52-AVERAGE('Fat Spreads'!$P$3:$P$4308))/STDEV('Fat Spreads'!$P$3:$P$4308),"")</f>
        <v>-9.2057461789832332E-2</v>
      </c>
      <c r="AJ52">
        <f>IFERROR('Fat Spreads'!P52-'Fat Spreads'!P57,"")</f>
        <v>0</v>
      </c>
      <c r="AK52">
        <f>IFERROR('Fat Spreads'!P52-'Fat Spreads'!P62,"")</f>
        <v>0</v>
      </c>
      <c r="AL52">
        <f>IFERROR(AVERAGE('Fat Spreads'!P52:P71)+2*STDEV('Fat Spreads'!P52:P71),"")</f>
        <v>0</v>
      </c>
      <c r="AM52">
        <f>IFERROR(AVERAGE('Fat Spreads'!P52:P71)-2*STDEV('Fat Spreads'!P52:P71),"")</f>
        <v>0</v>
      </c>
      <c r="AN52" t="str">
        <f>IFERROR(('Fat Spreads'!P52-(AVERAGE('Fat Spreads'!P52:P71)-2*STDEV('Fat Spreads'!P52:P71)))/(4*STDEV('Fat Spreads'!P52:P71)),"")</f>
        <v/>
      </c>
      <c r="AO52" t="str">
        <f>IFERROR(4*STDEV('Fat Spreads'!P52:P71)/AVERAGE('Fat Spreads'!P52:P71),"")</f>
        <v/>
      </c>
      <c r="AP52">
        <v>53.66</v>
      </c>
      <c r="AQ52">
        <f>IFERROR(SQRT((SUMSQ('Fat Spreads'!P52:P71)-2*SUMPRODUCT('Fat Spreads'!P52:P71,'Fat Spreads'!P53:P72)+SUMSQ('Fat Spreads'!P53:P72)-('Fat Spreads'!P52-'Fat Spreads'!P72)^2/20)/19),"")</f>
        <v>0</v>
      </c>
      <c r="AS52">
        <f>IFERROR('Fat Spreads'!AJ52,"")</f>
        <v>0</v>
      </c>
      <c r="AT52">
        <f>IFERROR(('Fat Spreads'!AK52-AVERAGE('Fat Spreads'!$AK$3:$AK$4308))/STDEV('Fat Spreads'!$AK$3:$AK$4308),"")</f>
        <v>-9.2057461789832332E-2</v>
      </c>
      <c r="AU52">
        <f>IFERROR('Fat Spreads'!AK52-'Fat Spreads'!AK57,"")</f>
        <v>0</v>
      </c>
      <c r="AV52">
        <f>IFERROR('Fat Spreads'!AK52-'Fat Spreads'!AK62,"")</f>
        <v>0</v>
      </c>
      <c r="AW52">
        <f>IFERROR(AVERAGE('Fat Spreads'!AK52:AK71)+2*STDEV('Fat Spreads'!AK52:AK71),"")</f>
        <v>0</v>
      </c>
      <c r="AX52">
        <f>IFERROR(AVERAGE('Fat Spreads'!AK52:AK71)-2*STDEV('Fat Spreads'!AK52:AK71),"")</f>
        <v>0</v>
      </c>
      <c r="AY52" t="str">
        <f>IFERROR(('Fat Spreads'!AK52-(AVERAGE('Fat Spreads'!AK52:AK71)-2*STDEV('Fat Spreads'!AK52:AK71)))/(4*STDEV('Fat Spreads'!AK52:AK71)),"")</f>
        <v/>
      </c>
      <c r="AZ52" t="str">
        <f>IFERROR(4*STDEV('Fat Spreads'!AK52:AK71)/AVERAGE('Fat Spreads'!AK52:AK71),"")</f>
        <v/>
      </c>
      <c r="BA52">
        <v>85.641800000000003</v>
      </c>
      <c r="BB52">
        <f>IFERROR(SQRT((SUMSQ('Fat Spreads'!AK52:AK71)-2*SUMPRODUCT('Fat Spreads'!AK52:AK71,'Fat Spreads'!AK53:AK72)+SUMSQ('Fat Spreads'!AK53:AK72)-('Fat Spreads'!AK52-'Fat Spreads'!AK72)^2/20)/19),"")</f>
        <v>0</v>
      </c>
      <c r="BD52">
        <f>IFERROR('Fat Spreads'!V52,"")</f>
        <v>0</v>
      </c>
      <c r="BE52">
        <f>IFERROR(('Fat Spreads'!W52-AVERAGE('Fat Spreads'!$W$3:$W$4308))/STDEV('Fat Spreads'!$W$3:$W$4308),"")</f>
        <v>-9.2057461789832332E-2</v>
      </c>
      <c r="BF52">
        <f>IFERROR('Fat Spreads'!W52-'Fat Spreads'!W57,"")</f>
        <v>0</v>
      </c>
      <c r="BG52">
        <f>IFERROR('Fat Spreads'!W52-'Fat Spreads'!W62,"")</f>
        <v>0</v>
      </c>
      <c r="BH52">
        <f>IFERROR(AVERAGE('Fat Spreads'!W52:W71)+2*STDEV('Fat Spreads'!W52:W71),"")</f>
        <v>0</v>
      </c>
      <c r="BI52">
        <f>IFERROR(AVERAGE('Fat Spreads'!W52:W71)-2*STDEV('Fat Spreads'!W52:W71),"")</f>
        <v>0</v>
      </c>
      <c r="BJ52" t="str">
        <f>IFERROR(('Fat Spreads'!W52-(AVERAGE('Fat Spreads'!W52:W71)-2*STDEV('Fat Spreads'!W52:W71)))/(4*STDEV('Fat Spreads'!W52:W71)),"")</f>
        <v/>
      </c>
      <c r="BK52" t="str">
        <f>IFERROR(4*STDEV('Fat Spreads'!W52:W71)/AVERAGE('Fat Spreads'!W52:W71),"")</f>
        <v/>
      </c>
      <c r="BL52">
        <v>63.7014</v>
      </c>
      <c r="BM52">
        <f>IFERROR(SQRT((SUMSQ('Fat Spreads'!W52:W71)-2*SUMPRODUCT('Fat Spreads'!W52:W71,'Fat Spreads'!W53:W72)+SUMSQ('Fat Spreads'!W53:W72)-('Fat Spreads'!W52-'Fat Spreads'!W72)^2/20)/19),"")</f>
        <v>0</v>
      </c>
      <c r="BO52">
        <f>IFERROR('Fat Spreads'!AC52,"")</f>
        <v>0</v>
      </c>
      <c r="BP52">
        <f>IFERROR(('Fat Spreads'!AD52-AVERAGE('Fat Spreads'!$AD$3:$AD$4308))/STDEV('Fat Spreads'!$AD$3:$AD$4308),"")</f>
        <v>-9.2057461789832332E-2</v>
      </c>
      <c r="BQ52">
        <f>IFERROR('Fat Spreads'!AD52-'Fat Spreads'!AD57,"")</f>
        <v>0</v>
      </c>
      <c r="BR52">
        <f>IFERROR('Fat Spreads'!AD52-'Fat Spreads'!AD62,"")</f>
        <v>0</v>
      </c>
      <c r="BS52">
        <f>IFERROR(AVERAGE('Fat Spreads'!AD52:AD71)+2*STDEV('Fat Spreads'!AD52:AD71),"")</f>
        <v>0</v>
      </c>
      <c r="BT52">
        <f>IFERROR(AVERAGE('Fat Spreads'!AD52:AD71)-2*STDEV('Fat Spreads'!AD52:AD71),"")</f>
        <v>0</v>
      </c>
      <c r="BU52" t="str">
        <f>IFERROR(('Fat Spreads'!AD52-(AVERAGE('Fat Spreads'!AD52:AD71)-2*STDEV('Fat Spreads'!AD52:AD71)))/(4*STDEV('Fat Spreads'!AD52:AD71)),"")</f>
        <v/>
      </c>
      <c r="BV52" t="str">
        <f>IFERROR(4*STDEV('Fat Spreads'!AD52:AD71)/AVERAGE('Fat Spreads'!AD52:AD71),"")</f>
        <v/>
      </c>
      <c r="BW52">
        <v>30.42</v>
      </c>
      <c r="BX52">
        <f>IFERROR(SQRT((SUMSQ('Fat Spreads'!AD52:AD71)-2*SUMPRODUCT('Fat Spreads'!AD52:AD71,'Fat Spreads'!AD53:AD72)+SUMSQ('Fat Spreads'!AD53:AD72)-('Fat Spreads'!AD52-'Fat Spreads'!AD72)^2/20)/19),"")</f>
        <v>0</v>
      </c>
      <c r="BZ52">
        <f>IFERROR('Feeder Spreads'!A52,"")</f>
        <v>0</v>
      </c>
      <c r="CA52">
        <f>IFERROR(('Feeder Spreads'!B52-AVERAGE('Feeder Spreads'!$B$3:$B$4308))/STDEV('Feeder Spreads'!$B$3:$B$4308),"")</f>
        <v>-9.2057461789832346E-2</v>
      </c>
      <c r="CB52">
        <f>IFERROR('Feeder Spreads'!B52-'Feeder Spreads'!B57,"")</f>
        <v>0</v>
      </c>
      <c r="CC52">
        <f>IFERROR('Feeder Spreads'!B52-'Feeder Spreads'!B62,"")</f>
        <v>0</v>
      </c>
      <c r="CD52">
        <f>IFERROR(AVERAGE('Feeder Spreads'!B52:B71)+2*STDEV('Feeder Spreads'!B52:B71),"")</f>
        <v>0</v>
      </c>
      <c r="CE52">
        <f>IFERROR(AVERAGE('Feeder Spreads'!B52:B71)-2*STDEV('Feeder Spreads'!B52:B71),"")</f>
        <v>0</v>
      </c>
      <c r="CF52" t="str">
        <f>IFERROR(('Feeder Spreads'!B52-(AVERAGE('Feeder Spreads'!B52:B71)-2*STDEV('Feeder Spreads'!B52:B71)))/(4*STDEV('Feeder Spreads'!B52:B71)),"")</f>
        <v/>
      </c>
      <c r="CG52" t="str">
        <f>IFERROR(4*STDEV('Feeder Spreads'!B52:B71)/AVERAGE('Feeder Spreads'!B52:B71),"")</f>
        <v/>
      </c>
      <c r="CH52">
        <v>44.0092</v>
      </c>
      <c r="CI52">
        <f>IFERROR(SQRT((SUMSQ('Feeder Spreads'!B52:B71)-2*SUMPRODUCT('Feeder Spreads'!B52:B71,'Feeder Spreads'!B53:B72)+SUMSQ('Feeder Spreads'!B53:B72)-('Feeder Spreads'!B52-'Feeder Spreads'!B72)^2/20)/19),"")</f>
        <v>0</v>
      </c>
      <c r="CK52">
        <f>IFERROR('Feeder Spreads'!AX52,"")</f>
        <v>0</v>
      </c>
      <c r="CL52">
        <f>IFERROR(('Feeder Spreads'!AY52-AVERAGE('Feeder Spreads'!$AY$3:$AY$4308))/STDEV('Feeder Spreads'!$AY$3:$AY$4308),"")</f>
        <v>-9.2057461789832346E-2</v>
      </c>
      <c r="CM52">
        <f>IFERROR('Feeder Spreads'!AY52-'Feeder Spreads'!AY57,"")</f>
        <v>0</v>
      </c>
      <c r="CN52">
        <f>IFERROR('Feeder Spreads'!AY52-'Feeder Spreads'!AY62,"")</f>
        <v>0</v>
      </c>
      <c r="CO52">
        <f>IFERROR(AVERAGE('Feeder Spreads'!AY52:AY71)+2*STDEV('Feeder Spreads'!AY52:AY71),"")</f>
        <v>0</v>
      </c>
      <c r="CP52">
        <f>IFERROR(AVERAGE('Feeder Spreads'!AY52:AY71)-2*STDEV('Feeder Spreads'!AY52:AY71),"")</f>
        <v>0</v>
      </c>
      <c r="CQ52" t="str">
        <f>IFERROR(('Feeder Spreads'!AY52-(AVERAGE('Feeder Spreads'!AY52:AY71)-2*STDEV('Feeder Spreads'!AY52:AY71)))/(4*STDEV('Feeder Spreads'!AY52:AY71)),"")</f>
        <v/>
      </c>
      <c r="CR52" t="str">
        <f>IFERROR(4*STDEV('Feeder Spreads'!AY52:AY71)/AVERAGE('Feeder Spreads'!AY52:AY71),"")</f>
        <v/>
      </c>
      <c r="CS52">
        <v>78.496099999999998</v>
      </c>
      <c r="CT52">
        <f>IFERROR(SQRT((SUMSQ('Feeder Spreads'!AY52:AY71)-2*SUMPRODUCT('Feeder Spreads'!AY52:AY71,'Feeder Spreads'!AY53:AY72)+SUMSQ('Feeder Spreads'!AY53:AY72)-('Feeder Spreads'!AY52-'Feeder Spreads'!AY72)^2/20)/19),"")</f>
        <v>0</v>
      </c>
      <c r="CV52">
        <f>IFERROR('Feeder Spreads'!H52,"")</f>
        <v>0</v>
      </c>
      <c r="CW52">
        <f>IFERROR(('Feeder Spreads'!I52-AVERAGE('Feeder Spreads'!$I$3:$I$4308))/STDEV('Feeder Spreads'!$I$3:$I$4308),"")</f>
        <v>-9.2057461789832332E-2</v>
      </c>
      <c r="CX52">
        <f>IFERROR('Feeder Spreads'!I52-'Feeder Spreads'!I57,"")</f>
        <v>0</v>
      </c>
      <c r="CY52">
        <f>IFERROR('Feeder Spreads'!I52-'Feeder Spreads'!I62,"")</f>
        <v>0</v>
      </c>
      <c r="CZ52">
        <f>IFERROR(AVERAGE('Feeder Spreads'!I52:I71)+2*STDEV('Feeder Spreads'!I52:I71),"")</f>
        <v>0</v>
      </c>
      <c r="DA52">
        <f>IFERROR(AVERAGE('Feeder Spreads'!I52:I71)-2*STDEV('Feeder Spreads'!I52:I71),"")</f>
        <v>0</v>
      </c>
      <c r="DB52" t="str">
        <f>IFERROR(('Feeder Spreads'!I52-(AVERAGE('Feeder Spreads'!I52:I71)-2*STDEV('Feeder Spreads'!I52:I71)))/(4*STDEV('Feeder Spreads'!I52:I71)),"")</f>
        <v/>
      </c>
      <c r="DC52" t="str">
        <f>IFERROR(4*STDEV('Feeder Spreads'!I52:I71)/AVERAGE('Feeder Spreads'!I52:I71),"")</f>
        <v/>
      </c>
      <c r="DD52">
        <v>45.574300000000001</v>
      </c>
      <c r="DE52">
        <f>IFERROR(SQRT((SUMSQ('Feeder Spreads'!I52:I71)-2*SUMPRODUCT('Feeder Spreads'!I52:I71,'Feeder Spreads'!I53:I72)+SUMSQ('Feeder Spreads'!I53:I72)-('Feeder Spreads'!I52-'Feeder Spreads'!I72)^2/20)/19),"")</f>
        <v>0</v>
      </c>
      <c r="DG52">
        <f>IFERROR('Feeder Spreads'!O52,"")</f>
        <v>0</v>
      </c>
      <c r="DH52">
        <f>IFERROR(('Feeder Spreads'!P52-AVERAGE('Feeder Spreads'!$P$3:$P$4308))/STDEV('Feeder Spreads'!$P$3:$P$4308),"")</f>
        <v>-9.2057461789832346E-2</v>
      </c>
      <c r="DI52">
        <f>IFERROR('Feeder Spreads'!P52-'Feeder Spreads'!P57,"")</f>
        <v>0</v>
      </c>
      <c r="DJ52">
        <f>IFERROR('Feeder Spreads'!P52-'Feeder Spreads'!P62,"")</f>
        <v>0</v>
      </c>
      <c r="DK52">
        <f>IFERROR(AVERAGE('Feeder Spreads'!P52:P71)+2*STDEV('Feeder Spreads'!P52:P71),"")</f>
        <v>0</v>
      </c>
      <c r="DL52">
        <f>IFERROR(AVERAGE('Feeder Spreads'!P52:P71)-2*STDEV('Feeder Spreads'!P52:P71),"")</f>
        <v>0</v>
      </c>
      <c r="DM52" t="str">
        <f>IFERROR(('Feeder Spreads'!P52-(AVERAGE('Feeder Spreads'!P52:P71)-2*STDEV('Feeder Spreads'!P52:P71)))/(4*STDEV('Feeder Spreads'!P52:P71)),"")</f>
        <v/>
      </c>
      <c r="DN52" t="str">
        <f>IFERROR(4*STDEV('Feeder Spreads'!P52:P71)/AVERAGE('Feeder Spreads'!P52:P71),"")</f>
        <v/>
      </c>
      <c r="DO52">
        <v>53.406500000000001</v>
      </c>
      <c r="DP52">
        <f>IFERROR(SQRT((SUMSQ('Feeder Spreads'!P52:P71)-2*SUMPRODUCT('Feeder Spreads'!P52:P71,'Feeder Spreads'!P53:P72)+SUMSQ('Feeder Spreads'!P53:P72)-('Feeder Spreads'!P52-'Feeder Spreads'!P72)^2/20)/19),"")</f>
        <v>0</v>
      </c>
      <c r="DR52">
        <f>IFERROR('Feeder Spreads'!V52,"")</f>
        <v>0</v>
      </c>
      <c r="DS52">
        <f>IFERROR(('Feeder Spreads'!W52-AVERAGE('Feeder Spreads'!$W$3:$W$4308))/STDEV('Feeder Spreads'!$W$3:$W$4308),"")</f>
        <v>-9.2057461789832332E-2</v>
      </c>
      <c r="DT52">
        <f>IFERROR('Feeder Spreads'!W52-'Feeder Spreads'!W57,"")</f>
        <v>0</v>
      </c>
      <c r="DU52">
        <f>IFERROR('Feeder Spreads'!W52-'Feeder Spreads'!W62,"")</f>
        <v>0</v>
      </c>
      <c r="DV52">
        <f>IFERROR(AVERAGE('Feeder Spreads'!W52:W71)+2*STDEV('Feeder Spreads'!W52:W71),"")</f>
        <v>0</v>
      </c>
      <c r="DW52">
        <f>IFERROR(AVERAGE('Feeder Spreads'!W52:W71)-2*STDEV('Feeder Spreads'!W52:W71),"")</f>
        <v>0</v>
      </c>
      <c r="DX52" t="str">
        <f>IFERROR(('Feeder Spreads'!W52-(AVERAGE('Feeder Spreads'!W52:W71)-2*STDEV('Feeder Spreads'!W52:W71)))/(4*STDEV('Feeder Spreads'!W52:W71)),"")</f>
        <v/>
      </c>
      <c r="DY52" t="str">
        <f>IFERROR(4*STDEV('Feeder Spreads'!W52:W71)/AVERAGE('Feeder Spreads'!W52:W71),"")</f>
        <v/>
      </c>
      <c r="DZ52">
        <v>55.304099999999998</v>
      </c>
      <c r="EA52">
        <f>IFERROR(SQRT((SUMSQ('Feeder Spreads'!W52:W71)-2*SUMPRODUCT('Feeder Spreads'!W52:W71,'Feeder Spreads'!W53:W72)+SUMSQ('Feeder Spreads'!W53:W72)-('Feeder Spreads'!W52-'Feeder Spreads'!W72)^2/20)/19),"")</f>
        <v>0</v>
      </c>
      <c r="EC52">
        <f>IFERROR('Feeder Spreads'!AC52,"")</f>
        <v>0</v>
      </c>
      <c r="ED52">
        <f>IFERROR(('Feeder Spreads'!AD52-AVERAGE('Feeder Spreads'!$AD$3:$AD$4308))/STDEV('Feeder Spreads'!$AD$3:$AD$4308),"")</f>
        <v>9.2057461789832318E-2</v>
      </c>
      <c r="EE52">
        <f>IFERROR('Feeder Spreads'!AD52-'Feeder Spreads'!AD57,"")</f>
        <v>0</v>
      </c>
      <c r="EF52">
        <f>IFERROR('Feeder Spreads'!AD52-'Feeder Spreads'!AD62,"")</f>
        <v>0</v>
      </c>
      <c r="EG52">
        <f>IFERROR(AVERAGE('Feeder Spreads'!AD52:AD71)+2*STDEV('Feeder Spreads'!AD52:AD71),"")</f>
        <v>0</v>
      </c>
      <c r="EH52">
        <f>IFERROR(AVERAGE('Feeder Spreads'!AD52:AD71)-2*STDEV('Feeder Spreads'!AD52:AD71),"")</f>
        <v>0</v>
      </c>
      <c r="EI52" t="str">
        <f>IFERROR(('Feeder Spreads'!AD52-(AVERAGE('Feeder Spreads'!AD52:AD71)-2*STDEV('Feeder Spreads'!AD52:AD71)))/(4*STDEV('Feeder Spreads'!AD52:AD71)),"")</f>
        <v/>
      </c>
      <c r="EJ52" t="str">
        <f>IFERROR(4*STDEV('Feeder Spreads'!AD52:AD71)/AVERAGE('Feeder Spreads'!AD52:AD71),"")</f>
        <v/>
      </c>
      <c r="EK52">
        <v>49.332599999999999</v>
      </c>
      <c r="EL52">
        <f>IFERROR(SQRT((SUMSQ('Feeder Spreads'!AD52:AD71)-2*SUMPRODUCT('Feeder Spreads'!AD52:AD71,'Feeder Spreads'!AD53:AD72)+SUMSQ('Feeder Spreads'!AD53:AD72)-('Feeder Spreads'!AD52-'Feeder Spreads'!AD72)^2/20)/19),"")</f>
        <v>0</v>
      </c>
      <c r="EN52">
        <f>IFERROR('Feeder Spreads'!AJ52,"")</f>
        <v>0</v>
      </c>
      <c r="EO52">
        <f>IFERROR(('Feeder Spreads'!AK52-AVERAGE('Feeder Spreads'!$AK$3:$AK$4308))/STDEV('Feeder Spreads'!$AK$3:$AK$4308),"")</f>
        <v>-9.2057461789832346E-2</v>
      </c>
      <c r="EP52">
        <f>IFERROR('Feeder Spreads'!AK52-'Feeder Spreads'!AK57,"")</f>
        <v>0</v>
      </c>
      <c r="EQ52">
        <f>IFERROR('Feeder Spreads'!AK52-'Feeder Spreads'!AK62,"")</f>
        <v>0</v>
      </c>
      <c r="ER52">
        <f>IFERROR(AVERAGE('Feeder Spreads'!AK52:AK71)+2*STDEV('Feeder Spreads'!AK52:AK71),"")</f>
        <v>0</v>
      </c>
      <c r="ES52">
        <f>IFERROR(AVERAGE('Feeder Spreads'!AK52:AK71)-2*STDEV('Feeder Spreads'!AK52:AK71),"")</f>
        <v>0</v>
      </c>
      <c r="ET52" t="str">
        <f>IFERROR(('Feeder Spreads'!AK52-(AVERAGE('Feeder Spreads'!AK52:AK71)-2*STDEV('Feeder Spreads'!AK52:AK71)))/(4*STDEV('Feeder Spreads'!AK52:AK71)),"")</f>
        <v/>
      </c>
      <c r="EU52" t="str">
        <f>IFERROR(4*STDEV('Feeder Spreads'!AK52:AK71)/AVERAGE('Feeder Spreads'!AK52:AK71),"")</f>
        <v/>
      </c>
      <c r="EV52">
        <v>48.9801</v>
      </c>
      <c r="EW52">
        <f>IFERROR(SQRT((SUMSQ('Feeder Spreads'!AK52:AK71)-2*SUMPRODUCT('Feeder Spreads'!AK52:AK71,'Feeder Spreads'!AK53:AK72)+SUMSQ('Feeder Spreads'!AK53:AK72)-('Feeder Spreads'!AK52-'Feeder Spreads'!AK72)^2/20)/19),"")</f>
        <v>0</v>
      </c>
      <c r="EY52">
        <f>IFERROR('Feeder Spreads'!AQ52,"")</f>
        <v>0</v>
      </c>
      <c r="EZ52">
        <f>IFERROR(('Feeder Spreads'!AR52-AVERAGE('Feeder Spreads'!$AR$3:$AR$4308))/STDEV('Feeder Spreads'!$AR$3:$AR$4308),"")</f>
        <v>-9.2057461789832332E-2</v>
      </c>
      <c r="FA52">
        <f>IFERROR('Feeder Spreads'!AR52-'Feeder Spreads'!AR57,"")</f>
        <v>0</v>
      </c>
      <c r="FB52">
        <f>IFERROR('Feeder Spreads'!AR52-'Feeder Spreads'!AR62,"")</f>
        <v>0</v>
      </c>
      <c r="FC52">
        <f>IFERROR(AVERAGE('Feeder Spreads'!AR52:AR71)+2*STDEV('Feeder Spreads'!AR52:AR71),"")</f>
        <v>0</v>
      </c>
      <c r="FD52">
        <f>IFERROR(AVERAGE('Feeder Spreads'!AR52:AR71)-2*STDEV('Feeder Spreads'!AR52:AR71),"")</f>
        <v>0</v>
      </c>
      <c r="FE52" t="str">
        <f>IFERROR(('Feeder Spreads'!AR52-(AVERAGE('Feeder Spreads'!AR52:AR71)-2*STDEV('Feeder Spreads'!AR52:AR71)))/(4*STDEV('Feeder Spreads'!AR52:AR71)),"")</f>
        <v/>
      </c>
      <c r="FF52" t="str">
        <f>IFERROR(4*STDEV('Feeder Spreads'!AR52:AR71)/AVERAGE('Feeder Spreads'!AR52:AR71),"")</f>
        <v/>
      </c>
      <c r="FG52">
        <v>49.661000000000001</v>
      </c>
      <c r="FH52">
        <f>IFERROR(SQRT((SUMSQ('Feeder Spreads'!AR52:AR71)-2*SUMPRODUCT('Feeder Spreads'!AR52:AR71,'Feeder Spreads'!AR53:AR72)+SUMSQ('Feeder Spreads'!AR53:AR72)-('Feeder Spreads'!AR52-'Feeder Spreads'!AR72)^2/20)/19),"")</f>
        <v>0</v>
      </c>
      <c r="FJ52">
        <f>IFERROR('Fat Spreads'!AX52,"")</f>
        <v>0</v>
      </c>
      <c r="FK52">
        <f>IFERROR(('Fat Spreads'!AY52-AVERAGE('Fat Spreads'!$AY$3:$AY$4308))/STDEV('Fat Spreads'!$AY$3:$AY$4308),"")</f>
        <v>9.2057461789832332E-2</v>
      </c>
      <c r="FL52">
        <f>IFERROR('Fat Spreads'!AY52-'Fat Spreads'!AY57,"")</f>
        <v>0</v>
      </c>
      <c r="FM52">
        <f>IFERROR('Fat Spreads'!AY52-'Fat Spreads'!AY62,"")</f>
        <v>0</v>
      </c>
      <c r="FN52">
        <f>IFERROR(AVERAGE('Fat Spreads'!AY52:AY71)+2*STDEV('Fat Spreads'!AY52:AY71),"")</f>
        <v>0</v>
      </c>
      <c r="FO52">
        <f>IFERROR(AVERAGE('Fat Spreads'!AY52:AY71)-2*STDEV('Fat Spreads'!AY52:AY71),"")</f>
        <v>0</v>
      </c>
      <c r="FP52" t="str">
        <f>IFERROR(('Fat Spreads'!AY52-(AVERAGE('Fat Spreads'!AY52:AY71)-2*STDEV('Fat Spreads'!AY52:AY71)))/(4*STDEV('Fat Spreads'!AY52:AY71)),"")</f>
        <v/>
      </c>
      <c r="FQ52" t="str">
        <f>IFERROR(4*STDEV('Fat Spreads'!AY52:AY71)/AVERAGE('Fat Spreads'!AY52:AY71),"")</f>
        <v/>
      </c>
      <c r="FR52">
        <v>77.932500000000005</v>
      </c>
      <c r="FS52">
        <f>IFERROR(SQRT((SUMSQ('Fat Spreads'!AY52:AY71)-2*SUMPRODUCT('Fat Spreads'!AY52:AY71,'Fat Spreads'!AY53:AY72)+SUMSQ('Fat Spreads'!AY53:AY72)-('Fat Spreads'!AY52-'Fat Spreads'!AY72)^2/20)/19),"")</f>
        <v>0</v>
      </c>
      <c r="FU52">
        <f>IFERROR('Fat Spreads'!BE52,"")</f>
        <v>0</v>
      </c>
      <c r="FV52">
        <f>IFERROR(('Fat Spreads'!BF52-AVERAGE('Fat Spreads'!$BF$3:$BF$4308))/STDEV('Fat Spreads'!$BF$3:$BF$4308),"")</f>
        <v>9.2057461789832332E-2</v>
      </c>
      <c r="FW52">
        <f>IFERROR('Fat Spreads'!BF52-'Fat Spreads'!BF57,"")</f>
        <v>0</v>
      </c>
      <c r="FX52">
        <f>IFERROR('Fat Spreads'!BF52-'Fat Spreads'!BF62,"")</f>
        <v>0</v>
      </c>
      <c r="FY52">
        <f>IFERROR(AVERAGE('Fat Spreads'!BF52:BF71)+2*STDEV('Fat Spreads'!BF52:BF71),"")</f>
        <v>0</v>
      </c>
      <c r="FZ52">
        <f>IFERROR(AVERAGE('Fat Spreads'!BF52:BF71)-2*STDEV('Fat Spreads'!BF52:BF71),"")</f>
        <v>0</v>
      </c>
      <c r="GA52" t="str">
        <f>IFERROR(('Fat Spreads'!BF52-(AVERAGE('Fat Spreads'!BF52:BF71)-2*STDEV('Fat Spreads'!BF52:BF71)))/(4*STDEV('Fat Spreads'!BF52:BF71)),"")</f>
        <v/>
      </c>
      <c r="GB52" t="str">
        <f>IFERROR(4*STDEV('Fat Spreads'!BF52:BF71)/AVERAGE('Fat Spreads'!BF52:BF71),"")</f>
        <v/>
      </c>
      <c r="GC52">
        <v>40.838799999999999</v>
      </c>
      <c r="GD52">
        <f>IFERROR(SQRT((SUMSQ('Fat Spreads'!BF52:BF71)-2*SUMPRODUCT('Fat Spreads'!BF52:BF71,'Fat Spreads'!BF53:BF72)+SUMSQ('Fat Spreads'!BF53:BF72)-('Fat Spreads'!BF52-'Fat Spreads'!BF72)^2/20)/19),"")</f>
        <v>0</v>
      </c>
    </row>
    <row r="53" spans="1:186" x14ac:dyDescent="0.25">
      <c r="A53">
        <f>IFERROR('Fat Spreads'!A53,"")</f>
        <v>0</v>
      </c>
      <c r="B53">
        <f>IFERROR(('Fat Spreads'!B53-AVERAGE('Fat Spreads'!$B$3:$B$4308))/STDEV('Fat Spreads'!$B$3:$B$4308),"")</f>
        <v>9.2057461789832346E-2</v>
      </c>
      <c r="C53">
        <f>IFERROR('Fat Spreads'!B53-'Fat Spreads'!B58,"")</f>
        <v>0</v>
      </c>
      <c r="D53">
        <f>IFERROR('Fat Spreads'!B53-'Fat Spreads'!B63,"")</f>
        <v>0</v>
      </c>
      <c r="E53">
        <f>IFERROR(AVERAGE('Fat Spreads'!B53:B72)+2*STDEV('Fat Spreads'!B53:B72),"")</f>
        <v>0</v>
      </c>
      <c r="F53">
        <f>IFERROR(AVERAGE('Fat Spreads'!B53:B72)-2*STDEV('Fat Spreads'!B53:B72),"")</f>
        <v>0</v>
      </c>
      <c r="G53" t="str">
        <f>IFERROR(('Fat Spreads'!B53-(AVERAGE('Fat Spreads'!B53:B72)-2*STDEV('Fat Spreads'!B53:B72)))/(4*STDEV('Fat Spreads'!B53:B72)),"")</f>
        <v/>
      </c>
      <c r="H53" t="str">
        <f>IFERROR(4*STDEV('Fat Spreads'!B53:B72)/AVERAGE('Fat Spreads'!B53:B72),"")</f>
        <v/>
      </c>
      <c r="I53">
        <v>42.3354</v>
      </c>
      <c r="J53">
        <f>IFERROR(SQRT((SUMSQ('Fat Spreads'!B53:B72)-2*SUMPRODUCT('Fat Spreads'!B53:B72,'Fat Spreads'!B54:B73)+SUMSQ('Fat Spreads'!B54:B73)-('Fat Spreads'!B53-'Fat Spreads'!B73)^2/20)/19),"")</f>
        <v>0</v>
      </c>
      <c r="L53">
        <f>IFERROR('Fat Spreads'!H53,"")</f>
        <v>0</v>
      </c>
      <c r="M53">
        <f>IFERROR(('Fat Spreads'!I53-AVERAGE('Fat Spreads'!$I$3:$I$4308))/STDEV('Fat Spreads'!$I$3:$I$4308),"")</f>
        <v>-9.2057461789832332E-2</v>
      </c>
      <c r="N53">
        <f>IFERROR('Fat Spreads'!I53-'Fat Spreads'!I58,"")</f>
        <v>0</v>
      </c>
      <c r="O53">
        <f>IFERROR('Fat Spreads'!I53-'Fat Spreads'!I63,"")</f>
        <v>0</v>
      </c>
      <c r="P53">
        <f>IFERROR(AVERAGE('Fat Spreads'!I53:I72)+2*STDEV('Fat Spreads'!I53:I72),"")</f>
        <v>0</v>
      </c>
      <c r="Q53">
        <f>IFERROR(AVERAGE('Fat Spreads'!I53:I72)-2*STDEV('Fat Spreads'!I53:I72),"")</f>
        <v>0</v>
      </c>
      <c r="R53" t="str">
        <f>IFERROR(('Fat Spreads'!I53-(AVERAGE('Fat Spreads'!I53:I72)-2*STDEV('Fat Spreads'!I53:I72)))/(4*STDEV('Fat Spreads'!I53:I72)),"")</f>
        <v/>
      </c>
      <c r="S53" t="str">
        <f>IFERROR(4*STDEV('Fat Spreads'!I53:I72)/AVERAGE('Fat Spreads'!I53:I72),"")</f>
        <v/>
      </c>
      <c r="T53">
        <v>44.2181</v>
      </c>
      <c r="U53">
        <f>IFERROR(SQRT((SUMSQ('Fat Spreads'!I53:I72)-2*SUMPRODUCT('Fat Spreads'!I53:I72,'Fat Spreads'!I54:I73)+SUMSQ('Fat Spreads'!I54:I73)-('Fat Spreads'!I53-'Fat Spreads'!I73)^2/20)/19),"")</f>
        <v>0</v>
      </c>
      <c r="W53">
        <f>IFERROR('Fat Spreads'!AQ53,"")</f>
        <v>0</v>
      </c>
      <c r="X53">
        <f>IFERROR(('Fat Spreads'!AR53-AVERAGE('Fat Spreads'!$AR$3:$AR$4308))/STDEV('Fat Spreads'!$AR$3:$AR$4308),"")</f>
        <v>-9.2057461789832346E-2</v>
      </c>
      <c r="Y53">
        <f>IFERROR('Fat Spreads'!AR53-'Fat Spreads'!AR58,"")</f>
        <v>0</v>
      </c>
      <c r="Z53">
        <f>IFERROR('Fat Spreads'!AR53-'Fat Spreads'!AR63,"")</f>
        <v>0</v>
      </c>
      <c r="AA53">
        <f>IFERROR(AVERAGE('Fat Spreads'!AR53:AR72)+2*STDEV('Fat Spreads'!AR53:AR72),"")</f>
        <v>0</v>
      </c>
      <c r="AB53">
        <f>IFERROR(AVERAGE('Fat Spreads'!AR53:AR72)-2*STDEV('Fat Spreads'!AR53:AR72),"")</f>
        <v>0</v>
      </c>
      <c r="AC53" t="str">
        <f>IFERROR(('Fat Spreads'!AR53-(AVERAGE('Fat Spreads'!AR53:AR72)-2*STDEV('Fat Spreads'!AR53:AR72)))/(4*STDEV('Fat Spreads'!AR53:AR72)),"")</f>
        <v/>
      </c>
      <c r="AD53" t="str">
        <f>IFERROR(4*STDEV('Fat Spreads'!AR53:AR72)/AVERAGE('Fat Spreads'!AR53:AR72),"")</f>
        <v/>
      </c>
      <c r="AE53">
        <v>64.025000000000006</v>
      </c>
      <c r="AF53">
        <f>IFERROR(SQRT((SUMSQ('Fat Spreads'!AR53:AR72)-2*SUMPRODUCT('Fat Spreads'!AR53:AR72,'Fat Spreads'!AR54:AR73)+SUMSQ('Fat Spreads'!AR54:AR73)-('Fat Spreads'!AR53-'Fat Spreads'!AR73)^2/20)/19),"")</f>
        <v>0</v>
      </c>
      <c r="AH53">
        <f>IFERROR('Fat Spreads'!O53,"")</f>
        <v>0</v>
      </c>
      <c r="AI53">
        <f>IFERROR(('Fat Spreads'!P53-AVERAGE('Fat Spreads'!$P$3:$P$4308))/STDEV('Fat Spreads'!$P$3:$P$4308),"")</f>
        <v>-9.2057461789832332E-2</v>
      </c>
      <c r="AJ53">
        <f>IFERROR('Fat Spreads'!P53-'Fat Spreads'!P58,"")</f>
        <v>0</v>
      </c>
      <c r="AK53">
        <f>IFERROR('Fat Spreads'!P53-'Fat Spreads'!P63,"")</f>
        <v>0</v>
      </c>
      <c r="AL53">
        <f>IFERROR(AVERAGE('Fat Spreads'!P53:P72)+2*STDEV('Fat Spreads'!P53:P72),"")</f>
        <v>0</v>
      </c>
      <c r="AM53">
        <f>IFERROR(AVERAGE('Fat Spreads'!P53:P72)-2*STDEV('Fat Spreads'!P53:P72),"")</f>
        <v>0</v>
      </c>
      <c r="AN53" t="str">
        <f>IFERROR(('Fat Spreads'!P53-(AVERAGE('Fat Spreads'!P53:P72)-2*STDEV('Fat Spreads'!P53:P72)))/(4*STDEV('Fat Spreads'!P53:P72)),"")</f>
        <v/>
      </c>
      <c r="AO53" t="str">
        <f>IFERROR(4*STDEV('Fat Spreads'!P53:P72)/AVERAGE('Fat Spreads'!P53:P72),"")</f>
        <v/>
      </c>
      <c r="AP53">
        <v>57.862499999999997</v>
      </c>
      <c r="AQ53">
        <f>IFERROR(SQRT((SUMSQ('Fat Spreads'!P53:P72)-2*SUMPRODUCT('Fat Spreads'!P53:P72,'Fat Spreads'!P54:P73)+SUMSQ('Fat Spreads'!P54:P73)-('Fat Spreads'!P53-'Fat Spreads'!P73)^2/20)/19),"")</f>
        <v>0</v>
      </c>
      <c r="AS53">
        <f>IFERROR('Fat Spreads'!AJ53,"")</f>
        <v>0</v>
      </c>
      <c r="AT53">
        <f>IFERROR(('Fat Spreads'!AK53-AVERAGE('Fat Spreads'!$AK$3:$AK$4308))/STDEV('Fat Spreads'!$AK$3:$AK$4308),"")</f>
        <v>-9.2057461789832332E-2</v>
      </c>
      <c r="AU53">
        <f>IFERROR('Fat Spreads'!AK53-'Fat Spreads'!AK58,"")</f>
        <v>0</v>
      </c>
      <c r="AV53">
        <f>IFERROR('Fat Spreads'!AK53-'Fat Spreads'!AK63,"")</f>
        <v>0</v>
      </c>
      <c r="AW53">
        <f>IFERROR(AVERAGE('Fat Spreads'!AK53:AK72)+2*STDEV('Fat Spreads'!AK53:AK72),"")</f>
        <v>0</v>
      </c>
      <c r="AX53">
        <f>IFERROR(AVERAGE('Fat Spreads'!AK53:AK72)-2*STDEV('Fat Spreads'!AK53:AK72),"")</f>
        <v>0</v>
      </c>
      <c r="AY53" t="str">
        <f>IFERROR(('Fat Spreads'!AK53-(AVERAGE('Fat Spreads'!AK53:AK72)-2*STDEV('Fat Spreads'!AK53:AK72)))/(4*STDEV('Fat Spreads'!AK53:AK72)),"")</f>
        <v/>
      </c>
      <c r="AZ53" t="str">
        <f>IFERROR(4*STDEV('Fat Spreads'!AK53:AK72)/AVERAGE('Fat Spreads'!AK53:AK72),"")</f>
        <v/>
      </c>
      <c r="BA53">
        <v>85.191699999999997</v>
      </c>
      <c r="BB53">
        <f>IFERROR(SQRT((SUMSQ('Fat Spreads'!AK53:AK72)-2*SUMPRODUCT('Fat Spreads'!AK53:AK72,'Fat Spreads'!AK54:AK73)+SUMSQ('Fat Spreads'!AK54:AK73)-('Fat Spreads'!AK53-'Fat Spreads'!AK73)^2/20)/19),"")</f>
        <v>0</v>
      </c>
      <c r="BD53">
        <f>IFERROR('Fat Spreads'!V53,"")</f>
        <v>0</v>
      </c>
      <c r="BE53">
        <f>IFERROR(('Fat Spreads'!W53-AVERAGE('Fat Spreads'!$W$3:$W$4308))/STDEV('Fat Spreads'!$W$3:$W$4308),"")</f>
        <v>-9.2057461789832332E-2</v>
      </c>
      <c r="BF53">
        <f>IFERROR('Fat Spreads'!W53-'Fat Spreads'!W58,"")</f>
        <v>0</v>
      </c>
      <c r="BG53">
        <f>IFERROR('Fat Spreads'!W53-'Fat Spreads'!W63,"")</f>
        <v>0</v>
      </c>
      <c r="BH53">
        <f>IFERROR(AVERAGE('Fat Spreads'!W53:W72)+2*STDEV('Fat Spreads'!W53:W72),"")</f>
        <v>0</v>
      </c>
      <c r="BI53">
        <f>IFERROR(AVERAGE('Fat Spreads'!W53:W72)-2*STDEV('Fat Spreads'!W53:W72),"")</f>
        <v>0</v>
      </c>
      <c r="BJ53" t="str">
        <f>IFERROR(('Fat Spreads'!W53-(AVERAGE('Fat Spreads'!W53:W72)-2*STDEV('Fat Spreads'!W53:W72)))/(4*STDEV('Fat Spreads'!W53:W72)),"")</f>
        <v/>
      </c>
      <c r="BK53" t="str">
        <f>IFERROR(4*STDEV('Fat Spreads'!W53:W72)/AVERAGE('Fat Spreads'!W53:W72),"")</f>
        <v/>
      </c>
      <c r="BL53">
        <v>66.432900000000004</v>
      </c>
      <c r="BM53">
        <f>IFERROR(SQRT((SUMSQ('Fat Spreads'!W53:W72)-2*SUMPRODUCT('Fat Spreads'!W53:W72,'Fat Spreads'!W54:W73)+SUMSQ('Fat Spreads'!W54:W73)-('Fat Spreads'!W53-'Fat Spreads'!W73)^2/20)/19),"")</f>
        <v>0</v>
      </c>
      <c r="BO53">
        <f>IFERROR('Fat Spreads'!AC53,"")</f>
        <v>0</v>
      </c>
      <c r="BP53">
        <f>IFERROR(('Fat Spreads'!AD53-AVERAGE('Fat Spreads'!$AD$3:$AD$4308))/STDEV('Fat Spreads'!$AD$3:$AD$4308),"")</f>
        <v>-9.2057461789832332E-2</v>
      </c>
      <c r="BQ53">
        <f>IFERROR('Fat Spreads'!AD53-'Fat Spreads'!AD58,"")</f>
        <v>0</v>
      </c>
      <c r="BR53">
        <f>IFERROR('Fat Spreads'!AD53-'Fat Spreads'!AD63,"")</f>
        <v>0</v>
      </c>
      <c r="BS53">
        <f>IFERROR(AVERAGE('Fat Spreads'!AD53:AD72)+2*STDEV('Fat Spreads'!AD53:AD72),"")</f>
        <v>0</v>
      </c>
      <c r="BT53">
        <f>IFERROR(AVERAGE('Fat Spreads'!AD53:AD72)-2*STDEV('Fat Spreads'!AD53:AD72),"")</f>
        <v>0</v>
      </c>
      <c r="BU53" t="str">
        <f>IFERROR(('Fat Spreads'!AD53-(AVERAGE('Fat Spreads'!AD53:AD72)-2*STDEV('Fat Spreads'!AD53:AD72)))/(4*STDEV('Fat Spreads'!AD53:AD72)),"")</f>
        <v/>
      </c>
      <c r="BV53" t="str">
        <f>IFERROR(4*STDEV('Fat Spreads'!AD53:AD72)/AVERAGE('Fat Spreads'!AD53:AD72),"")</f>
        <v/>
      </c>
      <c r="BW53">
        <v>27.732800000000001</v>
      </c>
      <c r="BX53">
        <f>IFERROR(SQRT((SUMSQ('Fat Spreads'!AD53:AD72)-2*SUMPRODUCT('Fat Spreads'!AD53:AD72,'Fat Spreads'!AD54:AD73)+SUMSQ('Fat Spreads'!AD54:AD73)-('Fat Spreads'!AD53-'Fat Spreads'!AD73)^2/20)/19),"")</f>
        <v>0</v>
      </c>
      <c r="BZ53">
        <f>IFERROR('Feeder Spreads'!A53,"")</f>
        <v>0</v>
      </c>
      <c r="CA53">
        <f>IFERROR(('Feeder Spreads'!B53-AVERAGE('Feeder Spreads'!$B$3:$B$4308))/STDEV('Feeder Spreads'!$B$3:$B$4308),"")</f>
        <v>-9.2057461789832346E-2</v>
      </c>
      <c r="CB53">
        <f>IFERROR('Feeder Spreads'!B53-'Feeder Spreads'!B58,"")</f>
        <v>0</v>
      </c>
      <c r="CC53">
        <f>IFERROR('Feeder Spreads'!B53-'Feeder Spreads'!B63,"")</f>
        <v>0</v>
      </c>
      <c r="CD53">
        <f>IFERROR(AVERAGE('Feeder Spreads'!B53:B72)+2*STDEV('Feeder Spreads'!B53:B72),"")</f>
        <v>0</v>
      </c>
      <c r="CE53">
        <f>IFERROR(AVERAGE('Feeder Spreads'!B53:B72)-2*STDEV('Feeder Spreads'!B53:B72),"")</f>
        <v>0</v>
      </c>
      <c r="CF53" t="str">
        <f>IFERROR(('Feeder Spreads'!B53-(AVERAGE('Feeder Spreads'!B53:B72)-2*STDEV('Feeder Spreads'!B53:B72)))/(4*STDEV('Feeder Spreads'!B53:B72)),"")</f>
        <v/>
      </c>
      <c r="CG53" t="str">
        <f>IFERROR(4*STDEV('Feeder Spreads'!B53:B72)/AVERAGE('Feeder Spreads'!B53:B72),"")</f>
        <v/>
      </c>
      <c r="CH53">
        <v>39.551699999999997</v>
      </c>
      <c r="CI53">
        <f>IFERROR(SQRT((SUMSQ('Feeder Spreads'!B53:B72)-2*SUMPRODUCT('Feeder Spreads'!B53:B72,'Feeder Spreads'!B54:B73)+SUMSQ('Feeder Spreads'!B54:B73)-('Feeder Spreads'!B53-'Feeder Spreads'!B73)^2/20)/19),"")</f>
        <v>0</v>
      </c>
      <c r="CK53">
        <f>IFERROR('Feeder Spreads'!AX53,"")</f>
        <v>0</v>
      </c>
      <c r="CL53">
        <f>IFERROR(('Feeder Spreads'!AY53-AVERAGE('Feeder Spreads'!$AY$3:$AY$4308))/STDEV('Feeder Spreads'!$AY$3:$AY$4308),"")</f>
        <v>-9.2057461789832346E-2</v>
      </c>
      <c r="CM53">
        <f>IFERROR('Feeder Spreads'!AY53-'Feeder Spreads'!AY58,"")</f>
        <v>0</v>
      </c>
      <c r="CN53">
        <f>IFERROR('Feeder Spreads'!AY53-'Feeder Spreads'!AY63,"")</f>
        <v>0</v>
      </c>
      <c r="CO53">
        <f>IFERROR(AVERAGE('Feeder Spreads'!AY53:AY72)+2*STDEV('Feeder Spreads'!AY53:AY72),"")</f>
        <v>0</v>
      </c>
      <c r="CP53">
        <f>IFERROR(AVERAGE('Feeder Spreads'!AY53:AY72)-2*STDEV('Feeder Spreads'!AY53:AY72),"")</f>
        <v>0</v>
      </c>
      <c r="CQ53" t="str">
        <f>IFERROR(('Feeder Spreads'!AY53-(AVERAGE('Feeder Spreads'!AY53:AY72)-2*STDEV('Feeder Spreads'!AY53:AY72)))/(4*STDEV('Feeder Spreads'!AY53:AY72)),"")</f>
        <v/>
      </c>
      <c r="CR53" t="str">
        <f>IFERROR(4*STDEV('Feeder Spreads'!AY53:AY72)/AVERAGE('Feeder Spreads'!AY53:AY72),"")</f>
        <v/>
      </c>
      <c r="CS53">
        <v>79.149000000000001</v>
      </c>
      <c r="CT53">
        <f>IFERROR(SQRT((SUMSQ('Feeder Spreads'!AY53:AY72)-2*SUMPRODUCT('Feeder Spreads'!AY53:AY72,'Feeder Spreads'!AY54:AY73)+SUMSQ('Feeder Spreads'!AY54:AY73)-('Feeder Spreads'!AY53-'Feeder Spreads'!AY73)^2/20)/19),"")</f>
        <v>0</v>
      </c>
      <c r="CV53">
        <f>IFERROR('Feeder Spreads'!H53,"")</f>
        <v>0</v>
      </c>
      <c r="CW53">
        <f>IFERROR(('Feeder Spreads'!I53-AVERAGE('Feeder Spreads'!$I$3:$I$4308))/STDEV('Feeder Spreads'!$I$3:$I$4308),"")</f>
        <v>-9.2057461789832332E-2</v>
      </c>
      <c r="CX53">
        <f>IFERROR('Feeder Spreads'!I53-'Feeder Spreads'!I58,"")</f>
        <v>0</v>
      </c>
      <c r="CY53">
        <f>IFERROR('Feeder Spreads'!I53-'Feeder Spreads'!I63,"")</f>
        <v>0</v>
      </c>
      <c r="CZ53">
        <f>IFERROR(AVERAGE('Feeder Spreads'!I53:I72)+2*STDEV('Feeder Spreads'!I53:I72),"")</f>
        <v>0</v>
      </c>
      <c r="DA53">
        <f>IFERROR(AVERAGE('Feeder Spreads'!I53:I72)-2*STDEV('Feeder Spreads'!I53:I72),"")</f>
        <v>0</v>
      </c>
      <c r="DB53" t="str">
        <f>IFERROR(('Feeder Spreads'!I53-(AVERAGE('Feeder Spreads'!I53:I72)-2*STDEV('Feeder Spreads'!I53:I72)))/(4*STDEV('Feeder Spreads'!I53:I72)),"")</f>
        <v/>
      </c>
      <c r="DC53" t="str">
        <f>IFERROR(4*STDEV('Feeder Spreads'!I53:I72)/AVERAGE('Feeder Spreads'!I53:I72),"")</f>
        <v/>
      </c>
      <c r="DD53">
        <v>45.574300000000001</v>
      </c>
      <c r="DE53">
        <f>IFERROR(SQRT((SUMSQ('Feeder Spreads'!I53:I72)-2*SUMPRODUCT('Feeder Spreads'!I53:I72,'Feeder Spreads'!I54:I73)+SUMSQ('Feeder Spreads'!I54:I73)-('Feeder Spreads'!I53-'Feeder Spreads'!I73)^2/20)/19),"")</f>
        <v>0</v>
      </c>
      <c r="DG53">
        <f>IFERROR('Feeder Spreads'!O53,"")</f>
        <v>0</v>
      </c>
      <c r="DH53">
        <f>IFERROR(('Feeder Spreads'!P53-AVERAGE('Feeder Spreads'!$P$3:$P$4308))/STDEV('Feeder Spreads'!$P$3:$P$4308),"")</f>
        <v>-9.2057461789832346E-2</v>
      </c>
      <c r="DI53">
        <f>IFERROR('Feeder Spreads'!P53-'Feeder Spreads'!P58,"")</f>
        <v>0</v>
      </c>
      <c r="DJ53">
        <f>IFERROR('Feeder Spreads'!P53-'Feeder Spreads'!P63,"")</f>
        <v>0</v>
      </c>
      <c r="DK53">
        <f>IFERROR(AVERAGE('Feeder Spreads'!P53:P72)+2*STDEV('Feeder Spreads'!P53:P72),"")</f>
        <v>0</v>
      </c>
      <c r="DL53">
        <f>IFERROR(AVERAGE('Feeder Spreads'!P53:P72)-2*STDEV('Feeder Spreads'!P53:P72),"")</f>
        <v>0</v>
      </c>
      <c r="DM53" t="str">
        <f>IFERROR(('Feeder Spreads'!P53-(AVERAGE('Feeder Spreads'!P53:P72)-2*STDEV('Feeder Spreads'!P53:P72)))/(4*STDEV('Feeder Spreads'!P53:P72)),"")</f>
        <v/>
      </c>
      <c r="DN53" t="str">
        <f>IFERROR(4*STDEV('Feeder Spreads'!P53:P72)/AVERAGE('Feeder Spreads'!P53:P72),"")</f>
        <v/>
      </c>
      <c r="DO53">
        <v>52.968000000000004</v>
      </c>
      <c r="DP53">
        <f>IFERROR(SQRT((SUMSQ('Feeder Spreads'!P53:P72)-2*SUMPRODUCT('Feeder Spreads'!P53:P72,'Feeder Spreads'!P54:P73)+SUMSQ('Feeder Spreads'!P54:P73)-('Feeder Spreads'!P53-'Feeder Spreads'!P73)^2/20)/19),"")</f>
        <v>0</v>
      </c>
      <c r="DR53">
        <f>IFERROR('Feeder Spreads'!V53,"")</f>
        <v>0</v>
      </c>
      <c r="DS53">
        <f>IFERROR(('Feeder Spreads'!W53-AVERAGE('Feeder Spreads'!$W$3:$W$4308))/STDEV('Feeder Spreads'!$W$3:$W$4308),"")</f>
        <v>-9.2057461789832332E-2</v>
      </c>
      <c r="DT53">
        <f>IFERROR('Feeder Spreads'!W53-'Feeder Spreads'!W58,"")</f>
        <v>0</v>
      </c>
      <c r="DU53">
        <f>IFERROR('Feeder Spreads'!W53-'Feeder Spreads'!W63,"")</f>
        <v>0</v>
      </c>
      <c r="DV53">
        <f>IFERROR(AVERAGE('Feeder Spreads'!W53:W72)+2*STDEV('Feeder Spreads'!W53:W72),"")</f>
        <v>0</v>
      </c>
      <c r="DW53">
        <f>IFERROR(AVERAGE('Feeder Spreads'!W53:W72)-2*STDEV('Feeder Spreads'!W53:W72),"")</f>
        <v>0</v>
      </c>
      <c r="DX53" t="str">
        <f>IFERROR(('Feeder Spreads'!W53-(AVERAGE('Feeder Spreads'!W53:W72)-2*STDEV('Feeder Spreads'!W53:W72)))/(4*STDEV('Feeder Spreads'!W53:W72)),"")</f>
        <v/>
      </c>
      <c r="DY53" t="str">
        <f>IFERROR(4*STDEV('Feeder Spreads'!W53:W72)/AVERAGE('Feeder Spreads'!W53:W72),"")</f>
        <v/>
      </c>
      <c r="DZ53">
        <v>55.5792</v>
      </c>
      <c r="EA53">
        <f>IFERROR(SQRT((SUMSQ('Feeder Spreads'!W53:W72)-2*SUMPRODUCT('Feeder Spreads'!W53:W72,'Feeder Spreads'!W54:W73)+SUMSQ('Feeder Spreads'!W54:W73)-('Feeder Spreads'!W53-'Feeder Spreads'!W73)^2/20)/19),"")</f>
        <v>0</v>
      </c>
      <c r="EC53">
        <f>IFERROR('Feeder Spreads'!AC53,"")</f>
        <v>0</v>
      </c>
      <c r="ED53">
        <f>IFERROR(('Feeder Spreads'!AD53-AVERAGE('Feeder Spreads'!$AD$3:$AD$4308))/STDEV('Feeder Spreads'!$AD$3:$AD$4308),"")</f>
        <v>9.2057461789832318E-2</v>
      </c>
      <c r="EE53">
        <f>IFERROR('Feeder Spreads'!AD53-'Feeder Spreads'!AD58,"")</f>
        <v>0</v>
      </c>
      <c r="EF53">
        <f>IFERROR('Feeder Spreads'!AD53-'Feeder Spreads'!AD63,"")</f>
        <v>0</v>
      </c>
      <c r="EG53">
        <f>IFERROR(AVERAGE('Feeder Spreads'!AD53:AD72)+2*STDEV('Feeder Spreads'!AD53:AD72),"")</f>
        <v>0</v>
      </c>
      <c r="EH53">
        <f>IFERROR(AVERAGE('Feeder Spreads'!AD53:AD72)-2*STDEV('Feeder Spreads'!AD53:AD72),"")</f>
        <v>0</v>
      </c>
      <c r="EI53" t="str">
        <f>IFERROR(('Feeder Spreads'!AD53-(AVERAGE('Feeder Spreads'!AD53:AD72)-2*STDEV('Feeder Spreads'!AD53:AD72)))/(4*STDEV('Feeder Spreads'!AD53:AD72)),"")</f>
        <v/>
      </c>
      <c r="EJ53" t="str">
        <f>IFERROR(4*STDEV('Feeder Spreads'!AD53:AD72)/AVERAGE('Feeder Spreads'!AD53:AD72),"")</f>
        <v/>
      </c>
      <c r="EK53">
        <v>53.769599999999997</v>
      </c>
      <c r="EL53">
        <f>IFERROR(SQRT((SUMSQ('Feeder Spreads'!AD53:AD72)-2*SUMPRODUCT('Feeder Spreads'!AD53:AD72,'Feeder Spreads'!AD54:AD73)+SUMSQ('Feeder Spreads'!AD54:AD73)-('Feeder Spreads'!AD53-'Feeder Spreads'!AD73)^2/20)/19),"")</f>
        <v>0</v>
      </c>
      <c r="EN53">
        <f>IFERROR('Feeder Spreads'!AJ53,"")</f>
        <v>0</v>
      </c>
      <c r="EO53">
        <f>IFERROR(('Feeder Spreads'!AK53-AVERAGE('Feeder Spreads'!$AK$3:$AK$4308))/STDEV('Feeder Spreads'!$AK$3:$AK$4308),"")</f>
        <v>-9.2057461789832346E-2</v>
      </c>
      <c r="EP53">
        <f>IFERROR('Feeder Spreads'!AK53-'Feeder Spreads'!AK58,"")</f>
        <v>0</v>
      </c>
      <c r="EQ53">
        <f>IFERROR('Feeder Spreads'!AK53-'Feeder Spreads'!AK63,"")</f>
        <v>0</v>
      </c>
      <c r="ER53">
        <f>IFERROR(AVERAGE('Feeder Spreads'!AK53:AK72)+2*STDEV('Feeder Spreads'!AK53:AK72),"")</f>
        <v>0</v>
      </c>
      <c r="ES53">
        <f>IFERROR(AVERAGE('Feeder Spreads'!AK53:AK72)-2*STDEV('Feeder Spreads'!AK53:AK72),"")</f>
        <v>0</v>
      </c>
      <c r="ET53" t="str">
        <f>IFERROR(('Feeder Spreads'!AK53-(AVERAGE('Feeder Spreads'!AK53:AK72)-2*STDEV('Feeder Spreads'!AK53:AK72)))/(4*STDEV('Feeder Spreads'!AK53:AK72)),"")</f>
        <v/>
      </c>
      <c r="EU53" t="str">
        <f>IFERROR(4*STDEV('Feeder Spreads'!AK53:AK72)/AVERAGE('Feeder Spreads'!AK53:AK72),"")</f>
        <v/>
      </c>
      <c r="EV53">
        <v>46.772100000000002</v>
      </c>
      <c r="EW53">
        <f>IFERROR(SQRT((SUMSQ('Feeder Spreads'!AK53:AK72)-2*SUMPRODUCT('Feeder Spreads'!AK53:AK72,'Feeder Spreads'!AK54:AK73)+SUMSQ('Feeder Spreads'!AK54:AK73)-('Feeder Spreads'!AK53-'Feeder Spreads'!AK73)^2/20)/19),"")</f>
        <v>0</v>
      </c>
      <c r="EY53">
        <f>IFERROR('Feeder Spreads'!AQ53,"")</f>
        <v>0</v>
      </c>
      <c r="EZ53">
        <f>IFERROR(('Feeder Spreads'!AR53-AVERAGE('Feeder Spreads'!$AR$3:$AR$4308))/STDEV('Feeder Spreads'!$AR$3:$AR$4308),"")</f>
        <v>-9.2057461789832332E-2</v>
      </c>
      <c r="FA53">
        <f>IFERROR('Feeder Spreads'!AR53-'Feeder Spreads'!AR58,"")</f>
        <v>0</v>
      </c>
      <c r="FB53">
        <f>IFERROR('Feeder Spreads'!AR53-'Feeder Spreads'!AR63,"")</f>
        <v>0</v>
      </c>
      <c r="FC53">
        <f>IFERROR(AVERAGE('Feeder Spreads'!AR53:AR72)+2*STDEV('Feeder Spreads'!AR53:AR72),"")</f>
        <v>0</v>
      </c>
      <c r="FD53">
        <f>IFERROR(AVERAGE('Feeder Spreads'!AR53:AR72)-2*STDEV('Feeder Spreads'!AR53:AR72),"")</f>
        <v>0</v>
      </c>
      <c r="FE53" t="str">
        <f>IFERROR(('Feeder Spreads'!AR53-(AVERAGE('Feeder Spreads'!AR53:AR72)-2*STDEV('Feeder Spreads'!AR53:AR72)))/(4*STDEV('Feeder Spreads'!AR53:AR72)),"")</f>
        <v/>
      </c>
      <c r="FF53" t="str">
        <f>IFERROR(4*STDEV('Feeder Spreads'!AR53:AR72)/AVERAGE('Feeder Spreads'!AR53:AR72),"")</f>
        <v/>
      </c>
      <c r="FG53">
        <v>46.340899999999998</v>
      </c>
      <c r="FH53">
        <f>IFERROR(SQRT((SUMSQ('Feeder Spreads'!AR53:AR72)-2*SUMPRODUCT('Feeder Spreads'!AR53:AR72,'Feeder Spreads'!AR54:AR73)+SUMSQ('Feeder Spreads'!AR54:AR73)-('Feeder Spreads'!AR53-'Feeder Spreads'!AR73)^2/20)/19),"")</f>
        <v>0</v>
      </c>
      <c r="FJ53">
        <f>IFERROR('Fat Spreads'!AX53,"")</f>
        <v>0</v>
      </c>
      <c r="FK53">
        <f>IFERROR(('Fat Spreads'!AY53-AVERAGE('Fat Spreads'!$AY$3:$AY$4308))/STDEV('Fat Spreads'!$AY$3:$AY$4308),"")</f>
        <v>9.2057461789832332E-2</v>
      </c>
      <c r="FL53">
        <f>IFERROR('Fat Spreads'!AY53-'Fat Spreads'!AY58,"")</f>
        <v>0</v>
      </c>
      <c r="FM53">
        <f>IFERROR('Fat Spreads'!AY53-'Fat Spreads'!AY63,"")</f>
        <v>0</v>
      </c>
      <c r="FN53">
        <f>IFERROR(AVERAGE('Fat Spreads'!AY53:AY72)+2*STDEV('Fat Spreads'!AY53:AY72),"")</f>
        <v>0</v>
      </c>
      <c r="FO53">
        <f>IFERROR(AVERAGE('Fat Spreads'!AY53:AY72)-2*STDEV('Fat Spreads'!AY53:AY72),"")</f>
        <v>0</v>
      </c>
      <c r="FP53" t="str">
        <f>IFERROR(('Fat Spreads'!AY53-(AVERAGE('Fat Spreads'!AY53:AY72)-2*STDEV('Fat Spreads'!AY53:AY72)))/(4*STDEV('Fat Spreads'!AY53:AY72)),"")</f>
        <v/>
      </c>
      <c r="FQ53" t="str">
        <f>IFERROR(4*STDEV('Fat Spreads'!AY53:AY72)/AVERAGE('Fat Spreads'!AY53:AY72),"")</f>
        <v/>
      </c>
      <c r="FR53">
        <v>78.510000000000005</v>
      </c>
      <c r="FS53">
        <f>IFERROR(SQRT((SUMSQ('Fat Spreads'!AY53:AY72)-2*SUMPRODUCT('Fat Spreads'!AY53:AY72,'Fat Spreads'!AY54:AY73)+SUMSQ('Fat Spreads'!AY54:AY73)-('Fat Spreads'!AY53-'Fat Spreads'!AY73)^2/20)/19),"")</f>
        <v>0</v>
      </c>
      <c r="FU53">
        <f>IFERROR('Fat Spreads'!BE53,"")</f>
        <v>0</v>
      </c>
      <c r="FV53">
        <f>IFERROR(('Fat Spreads'!BF53-AVERAGE('Fat Spreads'!$BF$3:$BF$4308))/STDEV('Fat Spreads'!$BF$3:$BF$4308),"")</f>
        <v>9.2057461789832332E-2</v>
      </c>
      <c r="FW53">
        <f>IFERROR('Fat Spreads'!BF53-'Fat Spreads'!BF58,"")</f>
        <v>0</v>
      </c>
      <c r="FX53">
        <f>IFERROR('Fat Spreads'!BF53-'Fat Spreads'!BF63,"")</f>
        <v>0</v>
      </c>
      <c r="FY53">
        <f>IFERROR(AVERAGE('Fat Spreads'!BF53:BF72)+2*STDEV('Fat Spreads'!BF53:BF72),"")</f>
        <v>0</v>
      </c>
      <c r="FZ53">
        <f>IFERROR(AVERAGE('Fat Spreads'!BF53:BF72)-2*STDEV('Fat Spreads'!BF53:BF72),"")</f>
        <v>0</v>
      </c>
      <c r="GA53" t="str">
        <f>IFERROR(('Fat Spreads'!BF53-(AVERAGE('Fat Spreads'!BF53:BF72)-2*STDEV('Fat Spreads'!BF53:BF72)))/(4*STDEV('Fat Spreads'!BF53:BF72)),"")</f>
        <v/>
      </c>
      <c r="GB53" t="str">
        <f>IFERROR(4*STDEV('Fat Spreads'!BF53:BF72)/AVERAGE('Fat Spreads'!BF53:BF72),"")</f>
        <v/>
      </c>
      <c r="GC53">
        <v>42.766599999999997</v>
      </c>
      <c r="GD53">
        <f>IFERROR(SQRT((SUMSQ('Fat Spreads'!BF53:BF72)-2*SUMPRODUCT('Fat Spreads'!BF53:BF72,'Fat Spreads'!BF54:BF73)+SUMSQ('Fat Spreads'!BF54:BF73)-('Fat Spreads'!BF53-'Fat Spreads'!BF73)^2/20)/19),"")</f>
        <v>0</v>
      </c>
    </row>
    <row r="54" spans="1:186" x14ac:dyDescent="0.25">
      <c r="A54">
        <f>IFERROR('Fat Spreads'!A54,"")</f>
        <v>0</v>
      </c>
      <c r="B54">
        <f>IFERROR(('Fat Spreads'!B54-AVERAGE('Fat Spreads'!$B$3:$B$4308))/STDEV('Fat Spreads'!$B$3:$B$4308),"")</f>
        <v>9.2057461789832346E-2</v>
      </c>
      <c r="C54">
        <f>IFERROR('Fat Spreads'!B54-'Fat Spreads'!B59,"")</f>
        <v>0</v>
      </c>
      <c r="D54">
        <f>IFERROR('Fat Spreads'!B54-'Fat Spreads'!B64,"")</f>
        <v>0</v>
      </c>
      <c r="E54">
        <f>IFERROR(AVERAGE('Fat Spreads'!B54:B73)+2*STDEV('Fat Spreads'!B54:B73),"")</f>
        <v>0</v>
      </c>
      <c r="F54">
        <f>IFERROR(AVERAGE('Fat Spreads'!B54:B73)-2*STDEV('Fat Spreads'!B54:B73),"")</f>
        <v>0</v>
      </c>
      <c r="G54" t="str">
        <f>IFERROR(('Fat Spreads'!B54-(AVERAGE('Fat Spreads'!B54:B73)-2*STDEV('Fat Spreads'!B54:B73)))/(4*STDEV('Fat Spreads'!B54:B73)),"")</f>
        <v/>
      </c>
      <c r="H54" t="str">
        <f>IFERROR(4*STDEV('Fat Spreads'!B54:B73)/AVERAGE('Fat Spreads'!B54:B73),"")</f>
        <v/>
      </c>
      <c r="I54">
        <v>49.764400000000002</v>
      </c>
      <c r="J54">
        <f>IFERROR(SQRT((SUMSQ('Fat Spreads'!B54:B73)-2*SUMPRODUCT('Fat Spreads'!B54:B73,'Fat Spreads'!B55:B74)+SUMSQ('Fat Spreads'!B55:B74)-('Fat Spreads'!B54-'Fat Spreads'!B74)^2/20)/19),"")</f>
        <v>0</v>
      </c>
      <c r="L54">
        <f>IFERROR('Fat Spreads'!H54,"")</f>
        <v>0</v>
      </c>
      <c r="M54">
        <f>IFERROR(('Fat Spreads'!I54-AVERAGE('Fat Spreads'!$I$3:$I$4308))/STDEV('Fat Spreads'!$I$3:$I$4308),"")</f>
        <v>-9.2057461789832332E-2</v>
      </c>
      <c r="N54">
        <f>IFERROR('Fat Spreads'!I54-'Fat Spreads'!I59,"")</f>
        <v>0</v>
      </c>
      <c r="O54">
        <f>IFERROR('Fat Spreads'!I54-'Fat Spreads'!I64,"")</f>
        <v>0</v>
      </c>
      <c r="P54">
        <f>IFERROR(AVERAGE('Fat Spreads'!I54:I73)+2*STDEV('Fat Spreads'!I54:I73),"")</f>
        <v>0</v>
      </c>
      <c r="Q54">
        <f>IFERROR(AVERAGE('Fat Spreads'!I54:I73)-2*STDEV('Fat Spreads'!I54:I73),"")</f>
        <v>0</v>
      </c>
      <c r="R54" t="str">
        <f>IFERROR(('Fat Spreads'!I54-(AVERAGE('Fat Spreads'!I54:I73)-2*STDEV('Fat Spreads'!I54:I73)))/(4*STDEV('Fat Spreads'!I54:I73)),"")</f>
        <v/>
      </c>
      <c r="S54" t="str">
        <f>IFERROR(4*STDEV('Fat Spreads'!I54:I73)/AVERAGE('Fat Spreads'!I54:I73),"")</f>
        <v/>
      </c>
      <c r="T54">
        <v>51.244900000000001</v>
      </c>
      <c r="U54">
        <f>IFERROR(SQRT((SUMSQ('Fat Spreads'!I54:I73)-2*SUMPRODUCT('Fat Spreads'!I54:I73,'Fat Spreads'!I55:I74)+SUMSQ('Fat Spreads'!I55:I74)-('Fat Spreads'!I54-'Fat Spreads'!I74)^2/20)/19),"")</f>
        <v>0</v>
      </c>
      <c r="W54">
        <f>IFERROR('Fat Spreads'!AQ54,"")</f>
        <v>0</v>
      </c>
      <c r="X54">
        <f>IFERROR(('Fat Spreads'!AR54-AVERAGE('Fat Spreads'!$AR$3:$AR$4308))/STDEV('Fat Spreads'!$AR$3:$AR$4308),"")</f>
        <v>-9.2057461789832346E-2</v>
      </c>
      <c r="Y54">
        <f>IFERROR('Fat Spreads'!AR54-'Fat Spreads'!AR59,"")</f>
        <v>0</v>
      </c>
      <c r="Z54">
        <f>IFERROR('Fat Spreads'!AR54-'Fat Spreads'!AR64,"")</f>
        <v>0</v>
      </c>
      <c r="AA54">
        <f>IFERROR(AVERAGE('Fat Spreads'!AR54:AR73)+2*STDEV('Fat Spreads'!AR54:AR73),"")</f>
        <v>0</v>
      </c>
      <c r="AB54">
        <f>IFERROR(AVERAGE('Fat Spreads'!AR54:AR73)-2*STDEV('Fat Spreads'!AR54:AR73),"")</f>
        <v>0</v>
      </c>
      <c r="AC54" t="str">
        <f>IFERROR(('Fat Spreads'!AR54-(AVERAGE('Fat Spreads'!AR54:AR73)-2*STDEV('Fat Spreads'!AR54:AR73)))/(4*STDEV('Fat Spreads'!AR54:AR73)),"")</f>
        <v/>
      </c>
      <c r="AD54" t="str">
        <f>IFERROR(4*STDEV('Fat Spreads'!AR54:AR73)/AVERAGE('Fat Spreads'!AR54:AR73),"")</f>
        <v/>
      </c>
      <c r="AE54">
        <v>71.062100000000001</v>
      </c>
      <c r="AF54">
        <f>IFERROR(SQRT((SUMSQ('Fat Spreads'!AR54:AR73)-2*SUMPRODUCT('Fat Spreads'!AR54:AR73,'Fat Spreads'!AR55:AR74)+SUMSQ('Fat Spreads'!AR55:AR74)-('Fat Spreads'!AR54-'Fat Spreads'!AR74)^2/20)/19),"")</f>
        <v>0</v>
      </c>
      <c r="AH54">
        <f>IFERROR('Fat Spreads'!O54,"")</f>
        <v>0</v>
      </c>
      <c r="AI54">
        <f>IFERROR(('Fat Spreads'!P54-AVERAGE('Fat Spreads'!$P$3:$P$4308))/STDEV('Fat Spreads'!$P$3:$P$4308),"")</f>
        <v>-9.2057461789832332E-2</v>
      </c>
      <c r="AJ54">
        <f>IFERROR('Fat Spreads'!P54-'Fat Spreads'!P59,"")</f>
        <v>0</v>
      </c>
      <c r="AK54">
        <f>IFERROR('Fat Spreads'!P54-'Fat Spreads'!P64,"")</f>
        <v>0</v>
      </c>
      <c r="AL54">
        <f>IFERROR(AVERAGE('Fat Spreads'!P54:P73)+2*STDEV('Fat Spreads'!P54:P73),"")</f>
        <v>0</v>
      </c>
      <c r="AM54">
        <f>IFERROR(AVERAGE('Fat Spreads'!P54:P73)-2*STDEV('Fat Spreads'!P54:P73),"")</f>
        <v>0</v>
      </c>
      <c r="AN54" t="str">
        <f>IFERROR(('Fat Spreads'!P54-(AVERAGE('Fat Spreads'!P54:P73)-2*STDEV('Fat Spreads'!P54:P73)))/(4*STDEV('Fat Spreads'!P54:P73)),"")</f>
        <v/>
      </c>
      <c r="AO54" t="str">
        <f>IFERROR(4*STDEV('Fat Spreads'!P54:P73)/AVERAGE('Fat Spreads'!P54:P73),"")</f>
        <v/>
      </c>
      <c r="AP54">
        <v>66.897499999999994</v>
      </c>
      <c r="AQ54">
        <f>IFERROR(SQRT((SUMSQ('Fat Spreads'!P54:P73)-2*SUMPRODUCT('Fat Spreads'!P54:P73,'Fat Spreads'!P55:P74)+SUMSQ('Fat Spreads'!P55:P74)-('Fat Spreads'!P54-'Fat Spreads'!P74)^2/20)/19),"")</f>
        <v>0</v>
      </c>
      <c r="AS54">
        <f>IFERROR('Fat Spreads'!AJ54,"")</f>
        <v>0</v>
      </c>
      <c r="AT54">
        <f>IFERROR(('Fat Spreads'!AK54-AVERAGE('Fat Spreads'!$AK$3:$AK$4308))/STDEV('Fat Spreads'!$AK$3:$AK$4308),"")</f>
        <v>-9.2057461789832332E-2</v>
      </c>
      <c r="AU54">
        <f>IFERROR('Fat Spreads'!AK54-'Fat Spreads'!AK59,"")</f>
        <v>0</v>
      </c>
      <c r="AV54">
        <f>IFERROR('Fat Spreads'!AK54-'Fat Spreads'!AK64,"")</f>
        <v>0</v>
      </c>
      <c r="AW54">
        <f>IFERROR(AVERAGE('Fat Spreads'!AK54:AK73)+2*STDEV('Fat Spreads'!AK54:AK73),"")</f>
        <v>0</v>
      </c>
      <c r="AX54">
        <f>IFERROR(AVERAGE('Fat Spreads'!AK54:AK73)-2*STDEV('Fat Spreads'!AK54:AK73),"")</f>
        <v>0</v>
      </c>
      <c r="AY54" t="str">
        <f>IFERROR(('Fat Spreads'!AK54-(AVERAGE('Fat Spreads'!AK54:AK73)-2*STDEV('Fat Spreads'!AK54:AK73)))/(4*STDEV('Fat Spreads'!AK54:AK73)),"")</f>
        <v/>
      </c>
      <c r="AZ54" t="str">
        <f>IFERROR(4*STDEV('Fat Spreads'!AK54:AK73)/AVERAGE('Fat Spreads'!AK54:AK73),"")</f>
        <v/>
      </c>
      <c r="BA54">
        <v>82.215100000000007</v>
      </c>
      <c r="BB54">
        <f>IFERROR(SQRT((SUMSQ('Fat Spreads'!AK54:AK73)-2*SUMPRODUCT('Fat Spreads'!AK54:AK73,'Fat Spreads'!AK55:AK74)+SUMSQ('Fat Spreads'!AK55:AK74)-('Fat Spreads'!AK54-'Fat Spreads'!AK74)^2/20)/19),"")</f>
        <v>0</v>
      </c>
      <c r="BD54">
        <f>IFERROR('Fat Spreads'!V54,"")</f>
        <v>0</v>
      </c>
      <c r="BE54">
        <f>IFERROR(('Fat Spreads'!W54-AVERAGE('Fat Spreads'!$W$3:$W$4308))/STDEV('Fat Spreads'!$W$3:$W$4308),"")</f>
        <v>-9.2057461789832332E-2</v>
      </c>
      <c r="BF54">
        <f>IFERROR('Fat Spreads'!W54-'Fat Spreads'!W59,"")</f>
        <v>0</v>
      </c>
      <c r="BG54">
        <f>IFERROR('Fat Spreads'!W54-'Fat Spreads'!W64,"")</f>
        <v>0</v>
      </c>
      <c r="BH54">
        <f>IFERROR(AVERAGE('Fat Spreads'!W54:W73)+2*STDEV('Fat Spreads'!W54:W73),"")</f>
        <v>0</v>
      </c>
      <c r="BI54">
        <f>IFERROR(AVERAGE('Fat Spreads'!W54:W73)-2*STDEV('Fat Spreads'!W54:W73),"")</f>
        <v>0</v>
      </c>
      <c r="BJ54" t="str">
        <f>IFERROR(('Fat Spreads'!W54-(AVERAGE('Fat Spreads'!W54:W73)-2*STDEV('Fat Spreads'!W54:W73)))/(4*STDEV('Fat Spreads'!W54:W73)),"")</f>
        <v/>
      </c>
      <c r="BK54" t="str">
        <f>IFERROR(4*STDEV('Fat Spreads'!W54:W73)/AVERAGE('Fat Spreads'!W54:W73),"")</f>
        <v/>
      </c>
      <c r="BL54">
        <v>69.187799999999996</v>
      </c>
      <c r="BM54">
        <f>IFERROR(SQRT((SUMSQ('Fat Spreads'!W54:W73)-2*SUMPRODUCT('Fat Spreads'!W54:W73,'Fat Spreads'!W55:W74)+SUMSQ('Fat Spreads'!W55:W74)-('Fat Spreads'!W54-'Fat Spreads'!W74)^2/20)/19),"")</f>
        <v>0</v>
      </c>
      <c r="BO54">
        <f>IFERROR('Fat Spreads'!AC54,"")</f>
        <v>0</v>
      </c>
      <c r="BP54">
        <f>IFERROR(('Fat Spreads'!AD54-AVERAGE('Fat Spreads'!$AD$3:$AD$4308))/STDEV('Fat Spreads'!$AD$3:$AD$4308),"")</f>
        <v>-9.2057461789832332E-2</v>
      </c>
      <c r="BQ54">
        <f>IFERROR('Fat Spreads'!AD54-'Fat Spreads'!AD59,"")</f>
        <v>0</v>
      </c>
      <c r="BR54">
        <f>IFERROR('Fat Spreads'!AD54-'Fat Spreads'!AD64,"")</f>
        <v>0</v>
      </c>
      <c r="BS54">
        <f>IFERROR(AVERAGE('Fat Spreads'!AD54:AD73)+2*STDEV('Fat Spreads'!AD54:AD73),"")</f>
        <v>0</v>
      </c>
      <c r="BT54">
        <f>IFERROR(AVERAGE('Fat Spreads'!AD54:AD73)-2*STDEV('Fat Spreads'!AD54:AD73),"")</f>
        <v>0</v>
      </c>
      <c r="BU54" t="str">
        <f>IFERROR(('Fat Spreads'!AD54-(AVERAGE('Fat Spreads'!AD54:AD73)-2*STDEV('Fat Spreads'!AD54:AD73)))/(4*STDEV('Fat Spreads'!AD54:AD73)),"")</f>
        <v/>
      </c>
      <c r="BV54" t="str">
        <f>IFERROR(4*STDEV('Fat Spreads'!AD54:AD73)/AVERAGE('Fat Spreads'!AD54:AD73),"")</f>
        <v/>
      </c>
      <c r="BW54">
        <v>25.044799999999999</v>
      </c>
      <c r="BX54">
        <f>IFERROR(SQRT((SUMSQ('Fat Spreads'!AD54:AD73)-2*SUMPRODUCT('Fat Spreads'!AD54:AD73,'Fat Spreads'!AD55:AD74)+SUMSQ('Fat Spreads'!AD55:AD74)-('Fat Spreads'!AD54-'Fat Spreads'!AD74)^2/20)/19),"")</f>
        <v>0</v>
      </c>
      <c r="BZ54">
        <f>IFERROR('Feeder Spreads'!A54,"")</f>
        <v>0</v>
      </c>
      <c r="CA54">
        <f>IFERROR(('Feeder Spreads'!B54-AVERAGE('Feeder Spreads'!$B$3:$B$4308))/STDEV('Feeder Spreads'!$B$3:$B$4308),"")</f>
        <v>-9.2057461789832346E-2</v>
      </c>
      <c r="CB54">
        <f>IFERROR('Feeder Spreads'!B54-'Feeder Spreads'!B59,"")</f>
        <v>0</v>
      </c>
      <c r="CC54">
        <f>IFERROR('Feeder Spreads'!B54-'Feeder Spreads'!B64,"")</f>
        <v>0</v>
      </c>
      <c r="CD54">
        <f>IFERROR(AVERAGE('Feeder Spreads'!B54:B73)+2*STDEV('Feeder Spreads'!B54:B73),"")</f>
        <v>0</v>
      </c>
      <c r="CE54">
        <f>IFERROR(AVERAGE('Feeder Spreads'!B54:B73)-2*STDEV('Feeder Spreads'!B54:B73),"")</f>
        <v>0</v>
      </c>
      <c r="CF54" t="str">
        <f>IFERROR(('Feeder Spreads'!B54-(AVERAGE('Feeder Spreads'!B54:B73)-2*STDEV('Feeder Spreads'!B54:B73)))/(4*STDEV('Feeder Spreads'!B54:B73)),"")</f>
        <v/>
      </c>
      <c r="CG54" t="str">
        <f>IFERROR(4*STDEV('Feeder Spreads'!B54:B73)/AVERAGE('Feeder Spreads'!B54:B73),"")</f>
        <v/>
      </c>
      <c r="CH54">
        <v>40.093899999999998</v>
      </c>
      <c r="CI54">
        <f>IFERROR(SQRT((SUMSQ('Feeder Spreads'!B54:B73)-2*SUMPRODUCT('Feeder Spreads'!B54:B73,'Feeder Spreads'!B55:B74)+SUMSQ('Feeder Spreads'!B55:B74)-('Feeder Spreads'!B54-'Feeder Spreads'!B74)^2/20)/19),"")</f>
        <v>0</v>
      </c>
      <c r="CK54">
        <f>IFERROR('Feeder Spreads'!AX54,"")</f>
        <v>0</v>
      </c>
      <c r="CL54">
        <f>IFERROR(('Feeder Spreads'!AY54-AVERAGE('Feeder Spreads'!$AY$3:$AY$4308))/STDEV('Feeder Spreads'!$AY$3:$AY$4308),"")</f>
        <v>-9.2057461789832346E-2</v>
      </c>
      <c r="CM54">
        <f>IFERROR('Feeder Spreads'!AY54-'Feeder Spreads'!AY59,"")</f>
        <v>0</v>
      </c>
      <c r="CN54">
        <f>IFERROR('Feeder Spreads'!AY54-'Feeder Spreads'!AY64,"")</f>
        <v>0</v>
      </c>
      <c r="CO54">
        <f>IFERROR(AVERAGE('Feeder Spreads'!AY54:AY73)+2*STDEV('Feeder Spreads'!AY54:AY73),"")</f>
        <v>0</v>
      </c>
      <c r="CP54">
        <f>IFERROR(AVERAGE('Feeder Spreads'!AY54:AY73)-2*STDEV('Feeder Spreads'!AY54:AY73),"")</f>
        <v>0</v>
      </c>
      <c r="CQ54" t="str">
        <f>IFERROR(('Feeder Spreads'!AY54-(AVERAGE('Feeder Spreads'!AY54:AY73)-2*STDEV('Feeder Spreads'!AY54:AY73)))/(4*STDEV('Feeder Spreads'!AY54:AY73)),"")</f>
        <v/>
      </c>
      <c r="CR54" t="str">
        <f>IFERROR(4*STDEV('Feeder Spreads'!AY54:AY73)/AVERAGE('Feeder Spreads'!AY54:AY73),"")</f>
        <v/>
      </c>
      <c r="CS54">
        <v>78.612099999999998</v>
      </c>
      <c r="CT54">
        <f>IFERROR(SQRT((SUMSQ('Feeder Spreads'!AY54:AY73)-2*SUMPRODUCT('Feeder Spreads'!AY54:AY73,'Feeder Spreads'!AY55:AY74)+SUMSQ('Feeder Spreads'!AY55:AY74)-('Feeder Spreads'!AY54-'Feeder Spreads'!AY74)^2/20)/19),"")</f>
        <v>0</v>
      </c>
      <c r="CV54">
        <f>IFERROR('Feeder Spreads'!H54,"")</f>
        <v>0</v>
      </c>
      <c r="CW54">
        <f>IFERROR(('Feeder Spreads'!I54-AVERAGE('Feeder Spreads'!$I$3:$I$4308))/STDEV('Feeder Spreads'!$I$3:$I$4308),"")</f>
        <v>-9.2057461789832332E-2</v>
      </c>
      <c r="CX54">
        <f>IFERROR('Feeder Spreads'!I54-'Feeder Spreads'!I59,"")</f>
        <v>0</v>
      </c>
      <c r="CY54">
        <f>IFERROR('Feeder Spreads'!I54-'Feeder Spreads'!I64,"")</f>
        <v>0</v>
      </c>
      <c r="CZ54">
        <f>IFERROR(AVERAGE('Feeder Spreads'!I54:I73)+2*STDEV('Feeder Spreads'!I54:I73),"")</f>
        <v>0</v>
      </c>
      <c r="DA54">
        <f>IFERROR(AVERAGE('Feeder Spreads'!I54:I73)-2*STDEV('Feeder Spreads'!I54:I73),"")</f>
        <v>0</v>
      </c>
      <c r="DB54" t="str">
        <f>IFERROR(('Feeder Spreads'!I54-(AVERAGE('Feeder Spreads'!I54:I73)-2*STDEV('Feeder Spreads'!I54:I73)))/(4*STDEV('Feeder Spreads'!I54:I73)),"")</f>
        <v/>
      </c>
      <c r="DC54" t="str">
        <f>IFERROR(4*STDEV('Feeder Spreads'!I54:I73)/AVERAGE('Feeder Spreads'!I54:I73),"")</f>
        <v/>
      </c>
      <c r="DD54">
        <v>44.6066</v>
      </c>
      <c r="DE54">
        <f>IFERROR(SQRT((SUMSQ('Feeder Spreads'!I54:I73)-2*SUMPRODUCT('Feeder Spreads'!I54:I73,'Feeder Spreads'!I55:I74)+SUMSQ('Feeder Spreads'!I55:I74)-('Feeder Spreads'!I54-'Feeder Spreads'!I74)^2/20)/19),"")</f>
        <v>0</v>
      </c>
      <c r="DG54">
        <f>IFERROR('Feeder Spreads'!O54,"")</f>
        <v>0</v>
      </c>
      <c r="DH54">
        <f>IFERROR(('Feeder Spreads'!P54-AVERAGE('Feeder Spreads'!$P$3:$P$4308))/STDEV('Feeder Spreads'!$P$3:$P$4308),"")</f>
        <v>-9.2057461789832346E-2</v>
      </c>
      <c r="DI54">
        <f>IFERROR('Feeder Spreads'!P54-'Feeder Spreads'!P59,"")</f>
        <v>0</v>
      </c>
      <c r="DJ54">
        <f>IFERROR('Feeder Spreads'!P54-'Feeder Spreads'!P64,"")</f>
        <v>0</v>
      </c>
      <c r="DK54">
        <f>IFERROR(AVERAGE('Feeder Spreads'!P54:P73)+2*STDEV('Feeder Spreads'!P54:P73),"")</f>
        <v>0</v>
      </c>
      <c r="DL54">
        <f>IFERROR(AVERAGE('Feeder Spreads'!P54:P73)-2*STDEV('Feeder Spreads'!P54:P73),"")</f>
        <v>0</v>
      </c>
      <c r="DM54" t="str">
        <f>IFERROR(('Feeder Spreads'!P54-(AVERAGE('Feeder Spreads'!P54:P73)-2*STDEV('Feeder Spreads'!P54:P73)))/(4*STDEV('Feeder Spreads'!P54:P73)),"")</f>
        <v/>
      </c>
      <c r="DN54" t="str">
        <f>IFERROR(4*STDEV('Feeder Spreads'!P54:P73)/AVERAGE('Feeder Spreads'!P54:P73),"")</f>
        <v/>
      </c>
      <c r="DO54">
        <v>55.388500000000001</v>
      </c>
      <c r="DP54">
        <f>IFERROR(SQRT((SUMSQ('Feeder Spreads'!P54:P73)-2*SUMPRODUCT('Feeder Spreads'!P54:P73,'Feeder Spreads'!P55:P74)+SUMSQ('Feeder Spreads'!P55:P74)-('Feeder Spreads'!P54-'Feeder Spreads'!P74)^2/20)/19),"")</f>
        <v>0</v>
      </c>
      <c r="DR54">
        <f>IFERROR('Feeder Spreads'!V54,"")</f>
        <v>0</v>
      </c>
      <c r="DS54">
        <f>IFERROR(('Feeder Spreads'!W54-AVERAGE('Feeder Spreads'!$W$3:$W$4308))/STDEV('Feeder Spreads'!$W$3:$W$4308),"")</f>
        <v>-9.2057461789832332E-2</v>
      </c>
      <c r="DT54">
        <f>IFERROR('Feeder Spreads'!W54-'Feeder Spreads'!W59,"")</f>
        <v>0</v>
      </c>
      <c r="DU54">
        <f>IFERROR('Feeder Spreads'!W54-'Feeder Spreads'!W64,"")</f>
        <v>0</v>
      </c>
      <c r="DV54">
        <f>IFERROR(AVERAGE('Feeder Spreads'!W54:W73)+2*STDEV('Feeder Spreads'!W54:W73),"")</f>
        <v>0</v>
      </c>
      <c r="DW54">
        <f>IFERROR(AVERAGE('Feeder Spreads'!W54:W73)-2*STDEV('Feeder Spreads'!W54:W73),"")</f>
        <v>0</v>
      </c>
      <c r="DX54" t="str">
        <f>IFERROR(('Feeder Spreads'!W54-(AVERAGE('Feeder Spreads'!W54:W73)-2*STDEV('Feeder Spreads'!W54:W73)))/(4*STDEV('Feeder Spreads'!W54:W73)),"")</f>
        <v/>
      </c>
      <c r="DY54" t="str">
        <f>IFERROR(4*STDEV('Feeder Spreads'!W54:W73)/AVERAGE('Feeder Spreads'!W54:W73),"")</f>
        <v/>
      </c>
      <c r="DZ54">
        <v>52.507899999999999</v>
      </c>
      <c r="EA54">
        <f>IFERROR(SQRT((SUMSQ('Feeder Spreads'!W54:W73)-2*SUMPRODUCT('Feeder Spreads'!W54:W73,'Feeder Spreads'!W55:W74)+SUMSQ('Feeder Spreads'!W55:W74)-('Feeder Spreads'!W54-'Feeder Spreads'!W74)^2/20)/19),"")</f>
        <v>0</v>
      </c>
      <c r="EC54">
        <f>IFERROR('Feeder Spreads'!AC54,"")</f>
        <v>0</v>
      </c>
      <c r="ED54">
        <f>IFERROR(('Feeder Spreads'!AD54-AVERAGE('Feeder Spreads'!$AD$3:$AD$4308))/STDEV('Feeder Spreads'!$AD$3:$AD$4308),"")</f>
        <v>9.2057461789832318E-2</v>
      </c>
      <c r="EE54">
        <f>IFERROR('Feeder Spreads'!AD54-'Feeder Spreads'!AD59,"")</f>
        <v>0</v>
      </c>
      <c r="EF54">
        <f>IFERROR('Feeder Spreads'!AD54-'Feeder Spreads'!AD64,"")</f>
        <v>0</v>
      </c>
      <c r="EG54">
        <f>IFERROR(AVERAGE('Feeder Spreads'!AD54:AD73)+2*STDEV('Feeder Spreads'!AD54:AD73),"")</f>
        <v>0</v>
      </c>
      <c r="EH54">
        <f>IFERROR(AVERAGE('Feeder Spreads'!AD54:AD73)-2*STDEV('Feeder Spreads'!AD54:AD73),"")</f>
        <v>0</v>
      </c>
      <c r="EI54" t="str">
        <f>IFERROR(('Feeder Spreads'!AD54-(AVERAGE('Feeder Spreads'!AD54:AD73)-2*STDEV('Feeder Spreads'!AD54:AD73)))/(4*STDEV('Feeder Spreads'!AD54:AD73)),"")</f>
        <v/>
      </c>
      <c r="EJ54" t="str">
        <f>IFERROR(4*STDEV('Feeder Spreads'!AD54:AD73)/AVERAGE('Feeder Spreads'!AD54:AD73),"")</f>
        <v/>
      </c>
      <c r="EK54">
        <v>53.375599999999999</v>
      </c>
      <c r="EL54">
        <f>IFERROR(SQRT((SUMSQ('Feeder Spreads'!AD54:AD73)-2*SUMPRODUCT('Feeder Spreads'!AD54:AD73,'Feeder Spreads'!AD55:AD74)+SUMSQ('Feeder Spreads'!AD55:AD74)-('Feeder Spreads'!AD54-'Feeder Spreads'!AD74)^2/20)/19),"")</f>
        <v>0</v>
      </c>
      <c r="EN54">
        <f>IFERROR('Feeder Spreads'!AJ54,"")</f>
        <v>0</v>
      </c>
      <c r="EO54">
        <f>IFERROR(('Feeder Spreads'!AK54-AVERAGE('Feeder Spreads'!$AK$3:$AK$4308))/STDEV('Feeder Spreads'!$AK$3:$AK$4308),"")</f>
        <v>-9.2057461789832346E-2</v>
      </c>
      <c r="EP54">
        <f>IFERROR('Feeder Spreads'!AK54-'Feeder Spreads'!AK59,"")</f>
        <v>0</v>
      </c>
      <c r="EQ54">
        <f>IFERROR('Feeder Spreads'!AK54-'Feeder Spreads'!AK64,"")</f>
        <v>0</v>
      </c>
      <c r="ER54">
        <f>IFERROR(AVERAGE('Feeder Spreads'!AK54:AK73)+2*STDEV('Feeder Spreads'!AK54:AK73),"")</f>
        <v>0</v>
      </c>
      <c r="ES54">
        <f>IFERROR(AVERAGE('Feeder Spreads'!AK54:AK73)-2*STDEV('Feeder Spreads'!AK54:AK73),"")</f>
        <v>0</v>
      </c>
      <c r="ET54" t="str">
        <f>IFERROR(('Feeder Spreads'!AK54-(AVERAGE('Feeder Spreads'!AK54:AK73)-2*STDEV('Feeder Spreads'!AK54:AK73)))/(4*STDEV('Feeder Spreads'!AK54:AK73)),"")</f>
        <v/>
      </c>
      <c r="EU54" t="str">
        <f>IFERROR(4*STDEV('Feeder Spreads'!AK54:AK73)/AVERAGE('Feeder Spreads'!AK54:AK73),"")</f>
        <v/>
      </c>
      <c r="EV54">
        <v>49.420099999999998</v>
      </c>
      <c r="EW54">
        <f>IFERROR(SQRT((SUMSQ('Feeder Spreads'!AK54:AK73)-2*SUMPRODUCT('Feeder Spreads'!AK54:AK73,'Feeder Spreads'!AK55:AK74)+SUMSQ('Feeder Spreads'!AK55:AK74)-('Feeder Spreads'!AK54-'Feeder Spreads'!AK74)^2/20)/19),"")</f>
        <v>0</v>
      </c>
      <c r="EY54">
        <f>IFERROR('Feeder Spreads'!AQ54,"")</f>
        <v>0</v>
      </c>
      <c r="EZ54">
        <f>IFERROR(('Feeder Spreads'!AR54-AVERAGE('Feeder Spreads'!$AR$3:$AR$4308))/STDEV('Feeder Spreads'!$AR$3:$AR$4308),"")</f>
        <v>-9.2057461789832332E-2</v>
      </c>
      <c r="FA54">
        <f>IFERROR('Feeder Spreads'!AR54-'Feeder Spreads'!AR59,"")</f>
        <v>0</v>
      </c>
      <c r="FB54">
        <f>IFERROR('Feeder Spreads'!AR54-'Feeder Spreads'!AR64,"")</f>
        <v>0</v>
      </c>
      <c r="FC54">
        <f>IFERROR(AVERAGE('Feeder Spreads'!AR54:AR73)+2*STDEV('Feeder Spreads'!AR54:AR73),"")</f>
        <v>0</v>
      </c>
      <c r="FD54">
        <f>IFERROR(AVERAGE('Feeder Spreads'!AR54:AR73)-2*STDEV('Feeder Spreads'!AR54:AR73),"")</f>
        <v>0</v>
      </c>
      <c r="FE54" t="str">
        <f>IFERROR(('Feeder Spreads'!AR54-(AVERAGE('Feeder Spreads'!AR54:AR73)-2*STDEV('Feeder Spreads'!AR54:AR73)))/(4*STDEV('Feeder Spreads'!AR54:AR73)),"")</f>
        <v/>
      </c>
      <c r="FF54" t="str">
        <f>IFERROR(4*STDEV('Feeder Spreads'!AR54:AR73)/AVERAGE('Feeder Spreads'!AR54:AR73),"")</f>
        <v/>
      </c>
      <c r="FG54">
        <v>50.686799999999998</v>
      </c>
      <c r="FH54">
        <f>IFERROR(SQRT((SUMSQ('Feeder Spreads'!AR54:AR73)-2*SUMPRODUCT('Feeder Spreads'!AR54:AR73,'Feeder Spreads'!AR55:AR74)+SUMSQ('Feeder Spreads'!AR55:AR74)-('Feeder Spreads'!AR54-'Feeder Spreads'!AR74)^2/20)/19),"")</f>
        <v>0</v>
      </c>
      <c r="FJ54">
        <f>IFERROR('Fat Spreads'!AX54,"")</f>
        <v>0</v>
      </c>
      <c r="FK54">
        <f>IFERROR(('Fat Spreads'!AY54-AVERAGE('Fat Spreads'!$AY$3:$AY$4308))/STDEV('Fat Spreads'!$AY$3:$AY$4308),"")</f>
        <v>9.2057461789832332E-2</v>
      </c>
      <c r="FL54">
        <f>IFERROR('Fat Spreads'!AY54-'Fat Spreads'!AY59,"")</f>
        <v>0</v>
      </c>
      <c r="FM54">
        <f>IFERROR('Fat Spreads'!AY54-'Fat Spreads'!AY64,"")</f>
        <v>0</v>
      </c>
      <c r="FN54">
        <f>IFERROR(AVERAGE('Fat Spreads'!AY54:AY73)+2*STDEV('Fat Spreads'!AY54:AY73),"")</f>
        <v>0</v>
      </c>
      <c r="FO54">
        <f>IFERROR(AVERAGE('Fat Spreads'!AY54:AY73)-2*STDEV('Fat Spreads'!AY54:AY73),"")</f>
        <v>0</v>
      </c>
      <c r="FP54" t="str">
        <f>IFERROR(('Fat Spreads'!AY54-(AVERAGE('Fat Spreads'!AY54:AY73)-2*STDEV('Fat Spreads'!AY54:AY73)))/(4*STDEV('Fat Spreads'!AY54:AY73)),"")</f>
        <v/>
      </c>
      <c r="FQ54" t="str">
        <f>IFERROR(4*STDEV('Fat Spreads'!AY54:AY73)/AVERAGE('Fat Spreads'!AY54:AY73),"")</f>
        <v/>
      </c>
      <c r="FR54">
        <v>77.006900000000002</v>
      </c>
      <c r="FS54">
        <f>IFERROR(SQRT((SUMSQ('Fat Spreads'!AY54:AY73)-2*SUMPRODUCT('Fat Spreads'!AY54:AY73,'Fat Spreads'!AY55:AY74)+SUMSQ('Fat Spreads'!AY55:AY74)-('Fat Spreads'!AY54-'Fat Spreads'!AY74)^2/20)/19),"")</f>
        <v>0</v>
      </c>
      <c r="FU54">
        <f>IFERROR('Fat Spreads'!BE54,"")</f>
        <v>0</v>
      </c>
      <c r="FV54">
        <f>IFERROR(('Fat Spreads'!BF54-AVERAGE('Fat Spreads'!$BF$3:$BF$4308))/STDEV('Fat Spreads'!$BF$3:$BF$4308),"")</f>
        <v>9.2057461789832332E-2</v>
      </c>
      <c r="FW54">
        <f>IFERROR('Fat Spreads'!BF54-'Fat Spreads'!BF59,"")</f>
        <v>0</v>
      </c>
      <c r="FX54">
        <f>IFERROR('Fat Spreads'!BF54-'Fat Spreads'!BF64,"")</f>
        <v>0</v>
      </c>
      <c r="FY54">
        <f>IFERROR(AVERAGE('Fat Spreads'!BF54:BF73)+2*STDEV('Fat Spreads'!BF54:BF73),"")</f>
        <v>0</v>
      </c>
      <c r="FZ54">
        <f>IFERROR(AVERAGE('Fat Spreads'!BF54:BF73)-2*STDEV('Fat Spreads'!BF54:BF73),"")</f>
        <v>0</v>
      </c>
      <c r="GA54" t="str">
        <f>IFERROR(('Fat Spreads'!BF54-(AVERAGE('Fat Spreads'!BF54:BF73)-2*STDEV('Fat Spreads'!BF54:BF73)))/(4*STDEV('Fat Spreads'!BF54:BF73)),"")</f>
        <v/>
      </c>
      <c r="GB54" t="str">
        <f>IFERROR(4*STDEV('Fat Spreads'!BF54:BF73)/AVERAGE('Fat Spreads'!BF54:BF73),"")</f>
        <v/>
      </c>
      <c r="GC54">
        <v>50.416400000000003</v>
      </c>
      <c r="GD54">
        <f>IFERROR(SQRT((SUMSQ('Fat Spreads'!BF54:BF73)-2*SUMPRODUCT('Fat Spreads'!BF54:BF73,'Fat Spreads'!BF55:BF74)+SUMSQ('Fat Spreads'!BF55:BF74)-('Fat Spreads'!BF54-'Fat Spreads'!BF74)^2/20)/19),"")</f>
        <v>0</v>
      </c>
    </row>
    <row r="55" spans="1:186" x14ac:dyDescent="0.25">
      <c r="A55">
        <f>IFERROR('Fat Spreads'!A55,"")</f>
        <v>0</v>
      </c>
      <c r="B55">
        <f>IFERROR(('Fat Spreads'!B55-AVERAGE('Fat Spreads'!$B$3:$B$4308))/STDEV('Fat Spreads'!$B$3:$B$4308),"")</f>
        <v>9.2057461789832346E-2</v>
      </c>
      <c r="C55">
        <f>IFERROR('Fat Spreads'!B55-'Fat Spreads'!B60,"")</f>
        <v>0</v>
      </c>
      <c r="D55">
        <f>IFERROR('Fat Spreads'!B55-'Fat Spreads'!B65,"")</f>
        <v>0</v>
      </c>
      <c r="E55">
        <f>IFERROR(AVERAGE('Fat Spreads'!B55:B74)+2*STDEV('Fat Spreads'!B55:B74),"")</f>
        <v>0</v>
      </c>
      <c r="F55">
        <f>IFERROR(AVERAGE('Fat Spreads'!B55:B74)-2*STDEV('Fat Spreads'!B55:B74),"")</f>
        <v>0</v>
      </c>
      <c r="G55" t="str">
        <f>IFERROR(('Fat Spreads'!B55-(AVERAGE('Fat Spreads'!B55:B74)-2*STDEV('Fat Spreads'!B55:B74)))/(4*STDEV('Fat Spreads'!B55:B74)),"")</f>
        <v/>
      </c>
      <c r="H55" t="str">
        <f>IFERROR(4*STDEV('Fat Spreads'!B55:B74)/AVERAGE('Fat Spreads'!B55:B74),"")</f>
        <v/>
      </c>
      <c r="I55">
        <v>50.682000000000002</v>
      </c>
      <c r="J55">
        <f>IFERROR(SQRT((SUMSQ('Fat Spreads'!B55:B74)-2*SUMPRODUCT('Fat Spreads'!B55:B74,'Fat Spreads'!B56:B75)+SUMSQ('Fat Spreads'!B56:B75)-('Fat Spreads'!B55-'Fat Spreads'!B75)^2/20)/19),"")</f>
        <v>0</v>
      </c>
      <c r="L55">
        <f>IFERROR('Fat Spreads'!H55,"")</f>
        <v>0</v>
      </c>
      <c r="M55">
        <f>IFERROR(('Fat Spreads'!I55-AVERAGE('Fat Spreads'!$I$3:$I$4308))/STDEV('Fat Spreads'!$I$3:$I$4308),"")</f>
        <v>-9.2057461789832332E-2</v>
      </c>
      <c r="N55">
        <f>IFERROR('Fat Spreads'!I55-'Fat Spreads'!I60,"")</f>
        <v>0</v>
      </c>
      <c r="O55">
        <f>IFERROR('Fat Spreads'!I55-'Fat Spreads'!I65,"")</f>
        <v>0</v>
      </c>
      <c r="P55">
        <f>IFERROR(AVERAGE('Fat Spreads'!I55:I74)+2*STDEV('Fat Spreads'!I55:I74),"")</f>
        <v>0</v>
      </c>
      <c r="Q55">
        <f>IFERROR(AVERAGE('Fat Spreads'!I55:I74)-2*STDEV('Fat Spreads'!I55:I74),"")</f>
        <v>0</v>
      </c>
      <c r="R55" t="str">
        <f>IFERROR(('Fat Spreads'!I55-(AVERAGE('Fat Spreads'!I55:I74)-2*STDEV('Fat Spreads'!I55:I74)))/(4*STDEV('Fat Spreads'!I55:I74)),"")</f>
        <v/>
      </c>
      <c r="S55" t="str">
        <f>IFERROR(4*STDEV('Fat Spreads'!I55:I74)/AVERAGE('Fat Spreads'!I55:I74),"")</f>
        <v/>
      </c>
      <c r="T55">
        <v>55.326900000000002</v>
      </c>
      <c r="U55">
        <f>IFERROR(SQRT((SUMSQ('Fat Spreads'!I55:I74)-2*SUMPRODUCT('Fat Spreads'!I55:I74,'Fat Spreads'!I56:I75)+SUMSQ('Fat Spreads'!I56:I75)-('Fat Spreads'!I55-'Fat Spreads'!I75)^2/20)/19),"")</f>
        <v>0</v>
      </c>
      <c r="W55">
        <f>IFERROR('Fat Spreads'!AQ55,"")</f>
        <v>0</v>
      </c>
      <c r="X55">
        <f>IFERROR(('Fat Spreads'!AR55-AVERAGE('Fat Spreads'!$AR$3:$AR$4308))/STDEV('Fat Spreads'!$AR$3:$AR$4308),"")</f>
        <v>-9.2057461789832346E-2</v>
      </c>
      <c r="Y55">
        <f>IFERROR('Fat Spreads'!AR55-'Fat Spreads'!AR60,"")</f>
        <v>0</v>
      </c>
      <c r="Z55">
        <f>IFERROR('Fat Spreads'!AR55-'Fat Spreads'!AR65,"")</f>
        <v>0</v>
      </c>
      <c r="AA55">
        <f>IFERROR(AVERAGE('Fat Spreads'!AR55:AR74)+2*STDEV('Fat Spreads'!AR55:AR74),"")</f>
        <v>0</v>
      </c>
      <c r="AB55">
        <f>IFERROR(AVERAGE('Fat Spreads'!AR55:AR74)-2*STDEV('Fat Spreads'!AR55:AR74),"")</f>
        <v>0</v>
      </c>
      <c r="AC55" t="str">
        <f>IFERROR(('Fat Spreads'!AR55-(AVERAGE('Fat Spreads'!AR55:AR74)-2*STDEV('Fat Spreads'!AR55:AR74)))/(4*STDEV('Fat Spreads'!AR55:AR74)),"")</f>
        <v/>
      </c>
      <c r="AD55" t="str">
        <f>IFERROR(4*STDEV('Fat Spreads'!AR55:AR74)/AVERAGE('Fat Spreads'!AR55:AR74),"")</f>
        <v/>
      </c>
      <c r="AE55">
        <v>69.213800000000006</v>
      </c>
      <c r="AF55">
        <f>IFERROR(SQRT((SUMSQ('Fat Spreads'!AR55:AR74)-2*SUMPRODUCT('Fat Spreads'!AR55:AR74,'Fat Spreads'!AR56:AR75)+SUMSQ('Fat Spreads'!AR56:AR75)-('Fat Spreads'!AR55-'Fat Spreads'!AR75)^2/20)/19),"")</f>
        <v>0</v>
      </c>
      <c r="AH55">
        <f>IFERROR('Fat Spreads'!O55,"")</f>
        <v>0</v>
      </c>
      <c r="AI55">
        <f>IFERROR(('Fat Spreads'!P55-AVERAGE('Fat Spreads'!$P$3:$P$4308))/STDEV('Fat Spreads'!$P$3:$P$4308),"")</f>
        <v>-9.2057461789832332E-2</v>
      </c>
      <c r="AJ55">
        <f>IFERROR('Fat Spreads'!P55-'Fat Spreads'!P60,"")</f>
        <v>0</v>
      </c>
      <c r="AK55">
        <f>IFERROR('Fat Spreads'!P55-'Fat Spreads'!P65,"")</f>
        <v>0</v>
      </c>
      <c r="AL55">
        <f>IFERROR(AVERAGE('Fat Spreads'!P55:P74)+2*STDEV('Fat Spreads'!P55:P74),"")</f>
        <v>0</v>
      </c>
      <c r="AM55">
        <f>IFERROR(AVERAGE('Fat Spreads'!P55:P74)-2*STDEV('Fat Spreads'!P55:P74),"")</f>
        <v>0</v>
      </c>
      <c r="AN55" t="str">
        <f>IFERROR(('Fat Spreads'!P55-(AVERAGE('Fat Spreads'!P55:P74)-2*STDEV('Fat Spreads'!P55:P74)))/(4*STDEV('Fat Spreads'!P55:P74)),"")</f>
        <v/>
      </c>
      <c r="AO55" t="str">
        <f>IFERROR(4*STDEV('Fat Spreads'!P55:P74)/AVERAGE('Fat Spreads'!P55:P74),"")</f>
        <v/>
      </c>
      <c r="AP55">
        <v>62.742100000000001</v>
      </c>
      <c r="AQ55">
        <f>IFERROR(SQRT((SUMSQ('Fat Spreads'!P55:P74)-2*SUMPRODUCT('Fat Spreads'!P55:P74,'Fat Spreads'!P56:P75)+SUMSQ('Fat Spreads'!P56:P75)-('Fat Spreads'!P55-'Fat Spreads'!P75)^2/20)/19),"")</f>
        <v>0</v>
      </c>
      <c r="AS55">
        <f>IFERROR('Fat Spreads'!AJ55,"")</f>
        <v>0</v>
      </c>
      <c r="AT55">
        <f>IFERROR(('Fat Spreads'!AK55-AVERAGE('Fat Spreads'!$AK$3:$AK$4308))/STDEV('Fat Spreads'!$AK$3:$AK$4308),"")</f>
        <v>-9.2057461789832332E-2</v>
      </c>
      <c r="AU55">
        <f>IFERROR('Fat Spreads'!AK55-'Fat Spreads'!AK60,"")</f>
        <v>0</v>
      </c>
      <c r="AV55">
        <f>IFERROR('Fat Spreads'!AK55-'Fat Spreads'!AK65,"")</f>
        <v>0</v>
      </c>
      <c r="AW55">
        <f>IFERROR(AVERAGE('Fat Spreads'!AK55:AK74)+2*STDEV('Fat Spreads'!AK55:AK74),"")</f>
        <v>0</v>
      </c>
      <c r="AX55">
        <f>IFERROR(AVERAGE('Fat Spreads'!AK55:AK74)-2*STDEV('Fat Spreads'!AK55:AK74),"")</f>
        <v>0</v>
      </c>
      <c r="AY55" t="str">
        <f>IFERROR(('Fat Spreads'!AK55-(AVERAGE('Fat Spreads'!AK55:AK74)-2*STDEV('Fat Spreads'!AK55:AK74)))/(4*STDEV('Fat Spreads'!AK55:AK74)),"")</f>
        <v/>
      </c>
      <c r="AZ55" t="str">
        <f>IFERROR(4*STDEV('Fat Spreads'!AK55:AK74)/AVERAGE('Fat Spreads'!AK55:AK74),"")</f>
        <v/>
      </c>
      <c r="BA55">
        <v>80.644400000000005</v>
      </c>
      <c r="BB55">
        <f>IFERROR(SQRT((SUMSQ('Fat Spreads'!AK55:AK74)-2*SUMPRODUCT('Fat Spreads'!AK55:AK74,'Fat Spreads'!AK56:AK75)+SUMSQ('Fat Spreads'!AK56:AK75)-('Fat Spreads'!AK55-'Fat Spreads'!AK75)^2/20)/19),"")</f>
        <v>0</v>
      </c>
      <c r="BD55">
        <f>IFERROR('Fat Spreads'!V55,"")</f>
        <v>0</v>
      </c>
      <c r="BE55">
        <f>IFERROR(('Fat Spreads'!W55-AVERAGE('Fat Spreads'!$W$3:$W$4308))/STDEV('Fat Spreads'!$W$3:$W$4308),"")</f>
        <v>-9.2057461789832332E-2</v>
      </c>
      <c r="BF55">
        <f>IFERROR('Fat Spreads'!W55-'Fat Spreads'!W60,"")</f>
        <v>0</v>
      </c>
      <c r="BG55">
        <f>IFERROR('Fat Spreads'!W55-'Fat Spreads'!W65,"")</f>
        <v>0</v>
      </c>
      <c r="BH55">
        <f>IFERROR(AVERAGE('Fat Spreads'!W55:W74)+2*STDEV('Fat Spreads'!W55:W74),"")</f>
        <v>0</v>
      </c>
      <c r="BI55">
        <f>IFERROR(AVERAGE('Fat Spreads'!W55:W74)-2*STDEV('Fat Spreads'!W55:W74),"")</f>
        <v>0</v>
      </c>
      <c r="BJ55" t="str">
        <f>IFERROR(('Fat Spreads'!W55-(AVERAGE('Fat Spreads'!W55:W74)-2*STDEV('Fat Spreads'!W55:W74)))/(4*STDEV('Fat Spreads'!W55:W74)),"")</f>
        <v/>
      </c>
      <c r="BK55" t="str">
        <f>IFERROR(4*STDEV('Fat Spreads'!W55:W74)/AVERAGE('Fat Spreads'!W55:W74),"")</f>
        <v/>
      </c>
      <c r="BL55">
        <v>69.187799999999996</v>
      </c>
      <c r="BM55">
        <f>IFERROR(SQRT((SUMSQ('Fat Spreads'!W55:W74)-2*SUMPRODUCT('Fat Spreads'!W55:W74,'Fat Spreads'!W56:W75)+SUMSQ('Fat Spreads'!W56:W75)-('Fat Spreads'!W55-'Fat Spreads'!W75)^2/20)/19),"")</f>
        <v>0</v>
      </c>
      <c r="BO55">
        <f>IFERROR('Fat Spreads'!AC55,"")</f>
        <v>0</v>
      </c>
      <c r="BP55">
        <f>IFERROR(('Fat Spreads'!AD55-AVERAGE('Fat Spreads'!$AD$3:$AD$4308))/STDEV('Fat Spreads'!$AD$3:$AD$4308),"")</f>
        <v>-9.2057461789832332E-2</v>
      </c>
      <c r="BQ55">
        <f>IFERROR('Fat Spreads'!AD55-'Fat Spreads'!AD60,"")</f>
        <v>0</v>
      </c>
      <c r="BR55">
        <f>IFERROR('Fat Spreads'!AD55-'Fat Spreads'!AD65,"")</f>
        <v>0</v>
      </c>
      <c r="BS55">
        <f>IFERROR(AVERAGE('Fat Spreads'!AD55:AD74)+2*STDEV('Fat Spreads'!AD55:AD74),"")</f>
        <v>0</v>
      </c>
      <c r="BT55">
        <f>IFERROR(AVERAGE('Fat Spreads'!AD55:AD74)-2*STDEV('Fat Spreads'!AD55:AD74),"")</f>
        <v>0</v>
      </c>
      <c r="BU55" t="str">
        <f>IFERROR(('Fat Spreads'!AD55-(AVERAGE('Fat Spreads'!AD55:AD74)-2*STDEV('Fat Spreads'!AD55:AD74)))/(4*STDEV('Fat Spreads'!AD55:AD74)),"")</f>
        <v/>
      </c>
      <c r="BV55" t="str">
        <f>IFERROR(4*STDEV('Fat Spreads'!AD55:AD74)/AVERAGE('Fat Spreads'!AD55:AD74),"")</f>
        <v/>
      </c>
      <c r="BW55">
        <v>26.057300000000001</v>
      </c>
      <c r="BX55">
        <f>IFERROR(SQRT((SUMSQ('Fat Spreads'!AD55:AD74)-2*SUMPRODUCT('Fat Spreads'!AD55:AD74,'Fat Spreads'!AD56:AD75)+SUMSQ('Fat Spreads'!AD56:AD75)-('Fat Spreads'!AD55-'Fat Spreads'!AD75)^2/20)/19),"")</f>
        <v>0</v>
      </c>
      <c r="BZ55">
        <f>IFERROR('Feeder Spreads'!A55,"")</f>
        <v>0</v>
      </c>
      <c r="CA55">
        <f>IFERROR(('Feeder Spreads'!B55-AVERAGE('Feeder Spreads'!$B$3:$B$4308))/STDEV('Feeder Spreads'!$B$3:$B$4308),"")</f>
        <v>-9.2057461789832346E-2</v>
      </c>
      <c r="CB55">
        <f>IFERROR('Feeder Spreads'!B55-'Feeder Spreads'!B60,"")</f>
        <v>0</v>
      </c>
      <c r="CC55">
        <f>IFERROR('Feeder Spreads'!B55-'Feeder Spreads'!B65,"")</f>
        <v>0</v>
      </c>
      <c r="CD55">
        <f>IFERROR(AVERAGE('Feeder Spreads'!B55:B74)+2*STDEV('Feeder Spreads'!B55:B74),"")</f>
        <v>0</v>
      </c>
      <c r="CE55">
        <f>IFERROR(AVERAGE('Feeder Spreads'!B55:B74)-2*STDEV('Feeder Spreads'!B55:B74),"")</f>
        <v>0</v>
      </c>
      <c r="CF55" t="str">
        <f>IFERROR(('Feeder Spreads'!B55-(AVERAGE('Feeder Spreads'!B55:B74)-2*STDEV('Feeder Spreads'!B55:B74)))/(4*STDEV('Feeder Spreads'!B55:B74)),"")</f>
        <v/>
      </c>
      <c r="CG55" t="str">
        <f>IFERROR(4*STDEV('Feeder Spreads'!B55:B74)/AVERAGE('Feeder Spreads'!B55:B74),"")</f>
        <v/>
      </c>
      <c r="CH55">
        <v>41.814900000000002</v>
      </c>
      <c r="CI55">
        <f>IFERROR(SQRT((SUMSQ('Feeder Spreads'!B55:B74)-2*SUMPRODUCT('Feeder Spreads'!B55:B74,'Feeder Spreads'!B56:B75)+SUMSQ('Feeder Spreads'!B56:B75)-('Feeder Spreads'!B55-'Feeder Spreads'!B75)^2/20)/19),"")</f>
        <v>0</v>
      </c>
      <c r="CK55">
        <f>IFERROR('Feeder Spreads'!AX55,"")</f>
        <v>0</v>
      </c>
      <c r="CL55">
        <f>IFERROR(('Feeder Spreads'!AY55-AVERAGE('Feeder Spreads'!$AY$3:$AY$4308))/STDEV('Feeder Spreads'!$AY$3:$AY$4308),"")</f>
        <v>-9.2057461789832346E-2</v>
      </c>
      <c r="CM55">
        <f>IFERROR('Feeder Spreads'!AY55-'Feeder Spreads'!AY60,"")</f>
        <v>0</v>
      </c>
      <c r="CN55">
        <f>IFERROR('Feeder Spreads'!AY55-'Feeder Spreads'!AY65,"")</f>
        <v>0</v>
      </c>
      <c r="CO55">
        <f>IFERROR(AVERAGE('Feeder Spreads'!AY55:AY74)+2*STDEV('Feeder Spreads'!AY55:AY74),"")</f>
        <v>0</v>
      </c>
      <c r="CP55">
        <f>IFERROR(AVERAGE('Feeder Spreads'!AY55:AY74)-2*STDEV('Feeder Spreads'!AY55:AY74),"")</f>
        <v>0</v>
      </c>
      <c r="CQ55" t="str">
        <f>IFERROR(('Feeder Spreads'!AY55-(AVERAGE('Feeder Spreads'!AY55:AY74)-2*STDEV('Feeder Spreads'!AY55:AY74)))/(4*STDEV('Feeder Spreads'!AY55:AY74)),"")</f>
        <v/>
      </c>
      <c r="CR55" t="str">
        <f>IFERROR(4*STDEV('Feeder Spreads'!AY55:AY74)/AVERAGE('Feeder Spreads'!AY55:AY74),"")</f>
        <v/>
      </c>
      <c r="CS55">
        <v>78.333200000000005</v>
      </c>
      <c r="CT55">
        <f>IFERROR(SQRT((SUMSQ('Feeder Spreads'!AY55:AY74)-2*SUMPRODUCT('Feeder Spreads'!AY55:AY74,'Feeder Spreads'!AY56:AY75)+SUMSQ('Feeder Spreads'!AY56:AY75)-('Feeder Spreads'!AY55-'Feeder Spreads'!AY75)^2/20)/19),"")</f>
        <v>0</v>
      </c>
      <c r="CV55">
        <f>IFERROR('Feeder Spreads'!H55,"")</f>
        <v>0</v>
      </c>
      <c r="CW55">
        <f>IFERROR(('Feeder Spreads'!I55-AVERAGE('Feeder Spreads'!$I$3:$I$4308))/STDEV('Feeder Spreads'!$I$3:$I$4308),"")</f>
        <v>-9.2057461789832332E-2</v>
      </c>
      <c r="CX55">
        <f>IFERROR('Feeder Spreads'!I55-'Feeder Spreads'!I60,"")</f>
        <v>0</v>
      </c>
      <c r="CY55">
        <f>IFERROR('Feeder Spreads'!I55-'Feeder Spreads'!I65,"")</f>
        <v>0</v>
      </c>
      <c r="CZ55">
        <f>IFERROR(AVERAGE('Feeder Spreads'!I55:I74)+2*STDEV('Feeder Spreads'!I55:I74),"")</f>
        <v>0</v>
      </c>
      <c r="DA55">
        <f>IFERROR(AVERAGE('Feeder Spreads'!I55:I74)-2*STDEV('Feeder Spreads'!I55:I74),"")</f>
        <v>0</v>
      </c>
      <c r="DB55" t="str">
        <f>IFERROR(('Feeder Spreads'!I55-(AVERAGE('Feeder Spreads'!I55:I74)-2*STDEV('Feeder Spreads'!I55:I74)))/(4*STDEV('Feeder Spreads'!I55:I74)),"")</f>
        <v/>
      </c>
      <c r="DC55" t="str">
        <f>IFERROR(4*STDEV('Feeder Spreads'!I55:I74)/AVERAGE('Feeder Spreads'!I55:I74),"")</f>
        <v/>
      </c>
      <c r="DD55">
        <v>43.6768</v>
      </c>
      <c r="DE55">
        <f>IFERROR(SQRT((SUMSQ('Feeder Spreads'!I55:I74)-2*SUMPRODUCT('Feeder Spreads'!I55:I74,'Feeder Spreads'!I56:I75)+SUMSQ('Feeder Spreads'!I56:I75)-('Feeder Spreads'!I55-'Feeder Spreads'!I75)^2/20)/19),"")</f>
        <v>0</v>
      </c>
      <c r="DG55">
        <f>IFERROR('Feeder Spreads'!O55,"")</f>
        <v>0</v>
      </c>
      <c r="DH55">
        <f>IFERROR(('Feeder Spreads'!P55-AVERAGE('Feeder Spreads'!$P$3:$P$4308))/STDEV('Feeder Spreads'!$P$3:$P$4308),"")</f>
        <v>-9.2057461789832346E-2</v>
      </c>
      <c r="DI55">
        <f>IFERROR('Feeder Spreads'!P55-'Feeder Spreads'!P60,"")</f>
        <v>0</v>
      </c>
      <c r="DJ55">
        <f>IFERROR('Feeder Spreads'!P55-'Feeder Spreads'!P65,"")</f>
        <v>0</v>
      </c>
      <c r="DK55">
        <f>IFERROR(AVERAGE('Feeder Spreads'!P55:P74)+2*STDEV('Feeder Spreads'!P55:P74),"")</f>
        <v>0</v>
      </c>
      <c r="DL55">
        <f>IFERROR(AVERAGE('Feeder Spreads'!P55:P74)-2*STDEV('Feeder Spreads'!P55:P74),"")</f>
        <v>0</v>
      </c>
      <c r="DM55" t="str">
        <f>IFERROR(('Feeder Spreads'!P55-(AVERAGE('Feeder Spreads'!P55:P74)-2*STDEV('Feeder Spreads'!P55:P74)))/(4*STDEV('Feeder Spreads'!P55:P74)),"")</f>
        <v/>
      </c>
      <c r="DN55" t="str">
        <f>IFERROR(4*STDEV('Feeder Spreads'!P55:P74)/AVERAGE('Feeder Spreads'!P55:P74),"")</f>
        <v/>
      </c>
      <c r="DO55">
        <v>55.006700000000002</v>
      </c>
      <c r="DP55">
        <f>IFERROR(SQRT((SUMSQ('Feeder Spreads'!P55:P74)-2*SUMPRODUCT('Feeder Spreads'!P55:P74,'Feeder Spreads'!P56:P75)+SUMSQ('Feeder Spreads'!P56:P75)-('Feeder Spreads'!P55-'Feeder Spreads'!P75)^2/20)/19),"")</f>
        <v>0</v>
      </c>
      <c r="DR55">
        <f>IFERROR('Feeder Spreads'!V55,"")</f>
        <v>0</v>
      </c>
      <c r="DS55">
        <f>IFERROR(('Feeder Spreads'!W55-AVERAGE('Feeder Spreads'!$W$3:$W$4308))/STDEV('Feeder Spreads'!$W$3:$W$4308),"")</f>
        <v>-9.2057461789832332E-2</v>
      </c>
      <c r="DT55">
        <f>IFERROR('Feeder Spreads'!W55-'Feeder Spreads'!W60,"")</f>
        <v>0</v>
      </c>
      <c r="DU55">
        <f>IFERROR('Feeder Spreads'!W55-'Feeder Spreads'!W65,"")</f>
        <v>0</v>
      </c>
      <c r="DV55">
        <f>IFERROR(AVERAGE('Feeder Spreads'!W55:W74)+2*STDEV('Feeder Spreads'!W55:W74),"")</f>
        <v>0</v>
      </c>
      <c r="DW55">
        <f>IFERROR(AVERAGE('Feeder Spreads'!W55:W74)-2*STDEV('Feeder Spreads'!W55:W74),"")</f>
        <v>0</v>
      </c>
      <c r="DX55" t="str">
        <f>IFERROR(('Feeder Spreads'!W55-(AVERAGE('Feeder Spreads'!W55:W74)-2*STDEV('Feeder Spreads'!W55:W74)))/(4*STDEV('Feeder Spreads'!W55:W74)),"")</f>
        <v/>
      </c>
      <c r="DY55" t="str">
        <f>IFERROR(4*STDEV('Feeder Spreads'!W55:W74)/AVERAGE('Feeder Spreads'!W55:W74),"")</f>
        <v/>
      </c>
      <c r="DZ55">
        <v>52.068300000000001</v>
      </c>
      <c r="EA55">
        <f>IFERROR(SQRT((SUMSQ('Feeder Spreads'!W55:W74)-2*SUMPRODUCT('Feeder Spreads'!W55:W74,'Feeder Spreads'!W56:W75)+SUMSQ('Feeder Spreads'!W56:W75)-('Feeder Spreads'!W55-'Feeder Spreads'!W75)^2/20)/19),"")</f>
        <v>0</v>
      </c>
      <c r="EC55">
        <f>IFERROR('Feeder Spreads'!AC55,"")</f>
        <v>0</v>
      </c>
      <c r="ED55">
        <f>IFERROR(('Feeder Spreads'!AD55-AVERAGE('Feeder Spreads'!$AD$3:$AD$4308))/STDEV('Feeder Spreads'!$AD$3:$AD$4308),"")</f>
        <v>9.2057461789832318E-2</v>
      </c>
      <c r="EE55">
        <f>IFERROR('Feeder Spreads'!AD55-'Feeder Spreads'!AD60,"")</f>
        <v>0</v>
      </c>
      <c r="EF55">
        <f>IFERROR('Feeder Spreads'!AD55-'Feeder Spreads'!AD65,"")</f>
        <v>0</v>
      </c>
      <c r="EG55">
        <f>IFERROR(AVERAGE('Feeder Spreads'!AD55:AD74)+2*STDEV('Feeder Spreads'!AD55:AD74),"")</f>
        <v>0</v>
      </c>
      <c r="EH55">
        <f>IFERROR(AVERAGE('Feeder Spreads'!AD55:AD74)-2*STDEV('Feeder Spreads'!AD55:AD74),"")</f>
        <v>0</v>
      </c>
      <c r="EI55" t="str">
        <f>IFERROR(('Feeder Spreads'!AD55-(AVERAGE('Feeder Spreads'!AD55:AD74)-2*STDEV('Feeder Spreads'!AD55:AD74)))/(4*STDEV('Feeder Spreads'!AD55:AD74)),"")</f>
        <v/>
      </c>
      <c r="EJ55" t="str">
        <f>IFERROR(4*STDEV('Feeder Spreads'!AD55:AD74)/AVERAGE('Feeder Spreads'!AD55:AD74),"")</f>
        <v/>
      </c>
      <c r="EK55">
        <v>51.360300000000002</v>
      </c>
      <c r="EL55">
        <f>IFERROR(SQRT((SUMSQ('Feeder Spreads'!AD55:AD74)-2*SUMPRODUCT('Feeder Spreads'!AD55:AD74,'Feeder Spreads'!AD56:AD75)+SUMSQ('Feeder Spreads'!AD56:AD75)-('Feeder Spreads'!AD55-'Feeder Spreads'!AD75)^2/20)/19),"")</f>
        <v>0</v>
      </c>
      <c r="EN55">
        <f>IFERROR('Feeder Spreads'!AJ55,"")</f>
        <v>0</v>
      </c>
      <c r="EO55">
        <f>IFERROR(('Feeder Spreads'!AK55-AVERAGE('Feeder Spreads'!$AK$3:$AK$4308))/STDEV('Feeder Spreads'!$AK$3:$AK$4308),"")</f>
        <v>-9.2057461789832346E-2</v>
      </c>
      <c r="EP55">
        <f>IFERROR('Feeder Spreads'!AK55-'Feeder Spreads'!AK60,"")</f>
        <v>0</v>
      </c>
      <c r="EQ55">
        <f>IFERROR('Feeder Spreads'!AK55-'Feeder Spreads'!AK65,"")</f>
        <v>0</v>
      </c>
      <c r="ER55">
        <f>IFERROR(AVERAGE('Feeder Spreads'!AK55:AK74)+2*STDEV('Feeder Spreads'!AK55:AK74),"")</f>
        <v>0</v>
      </c>
      <c r="ES55">
        <f>IFERROR(AVERAGE('Feeder Spreads'!AK55:AK74)-2*STDEV('Feeder Spreads'!AK55:AK74),"")</f>
        <v>0</v>
      </c>
      <c r="ET55" t="str">
        <f>IFERROR(('Feeder Spreads'!AK55-(AVERAGE('Feeder Spreads'!AK55:AK74)-2*STDEV('Feeder Spreads'!AK55:AK74)))/(4*STDEV('Feeder Spreads'!AK55:AK74)),"")</f>
        <v/>
      </c>
      <c r="EU55" t="str">
        <f>IFERROR(4*STDEV('Feeder Spreads'!AK55:AK74)/AVERAGE('Feeder Spreads'!AK55:AK74),"")</f>
        <v/>
      </c>
      <c r="EV55">
        <v>48.746499999999997</v>
      </c>
      <c r="EW55">
        <f>IFERROR(SQRT((SUMSQ('Feeder Spreads'!AK55:AK74)-2*SUMPRODUCT('Feeder Spreads'!AK55:AK74,'Feeder Spreads'!AK56:AK75)+SUMSQ('Feeder Spreads'!AK56:AK75)-('Feeder Spreads'!AK55-'Feeder Spreads'!AK75)^2/20)/19),"")</f>
        <v>0</v>
      </c>
      <c r="EY55">
        <f>IFERROR('Feeder Spreads'!AQ55,"")</f>
        <v>0</v>
      </c>
      <c r="EZ55">
        <f>IFERROR(('Feeder Spreads'!AR55-AVERAGE('Feeder Spreads'!$AR$3:$AR$4308))/STDEV('Feeder Spreads'!$AR$3:$AR$4308),"")</f>
        <v>-9.2057461789832332E-2</v>
      </c>
      <c r="FA55">
        <f>IFERROR('Feeder Spreads'!AR55-'Feeder Spreads'!AR60,"")</f>
        <v>0</v>
      </c>
      <c r="FB55">
        <f>IFERROR('Feeder Spreads'!AR55-'Feeder Spreads'!AR65,"")</f>
        <v>0</v>
      </c>
      <c r="FC55">
        <f>IFERROR(AVERAGE('Feeder Spreads'!AR55:AR74)+2*STDEV('Feeder Spreads'!AR55:AR74),"")</f>
        <v>0</v>
      </c>
      <c r="FD55">
        <f>IFERROR(AVERAGE('Feeder Spreads'!AR55:AR74)-2*STDEV('Feeder Spreads'!AR55:AR74),"")</f>
        <v>0</v>
      </c>
      <c r="FE55" t="str">
        <f>IFERROR(('Feeder Spreads'!AR55-(AVERAGE('Feeder Spreads'!AR55:AR74)-2*STDEV('Feeder Spreads'!AR55:AR74)))/(4*STDEV('Feeder Spreads'!AR55:AR74)),"")</f>
        <v/>
      </c>
      <c r="FF55" t="str">
        <f>IFERROR(4*STDEV('Feeder Spreads'!AR55:AR74)/AVERAGE('Feeder Spreads'!AR55:AR74),"")</f>
        <v/>
      </c>
      <c r="FG55">
        <v>54.0488</v>
      </c>
      <c r="FH55">
        <f>IFERROR(SQRT((SUMSQ('Feeder Spreads'!AR55:AR74)-2*SUMPRODUCT('Feeder Spreads'!AR55:AR74,'Feeder Spreads'!AR56:AR75)+SUMSQ('Feeder Spreads'!AR56:AR75)-('Feeder Spreads'!AR55-'Feeder Spreads'!AR75)^2/20)/19),"")</f>
        <v>0</v>
      </c>
      <c r="FJ55">
        <f>IFERROR('Fat Spreads'!AX55,"")</f>
        <v>0</v>
      </c>
      <c r="FK55">
        <f>IFERROR(('Fat Spreads'!AY55-AVERAGE('Fat Spreads'!$AY$3:$AY$4308))/STDEV('Fat Spreads'!$AY$3:$AY$4308),"")</f>
        <v>9.2057461789832332E-2</v>
      </c>
      <c r="FL55">
        <f>IFERROR('Fat Spreads'!AY55-'Fat Spreads'!AY60,"")</f>
        <v>0</v>
      </c>
      <c r="FM55">
        <f>IFERROR('Fat Spreads'!AY55-'Fat Spreads'!AY65,"")</f>
        <v>0</v>
      </c>
      <c r="FN55">
        <f>IFERROR(AVERAGE('Fat Spreads'!AY55:AY74)+2*STDEV('Fat Spreads'!AY55:AY74),"")</f>
        <v>0</v>
      </c>
      <c r="FO55">
        <f>IFERROR(AVERAGE('Fat Spreads'!AY55:AY74)-2*STDEV('Fat Spreads'!AY55:AY74),"")</f>
        <v>0</v>
      </c>
      <c r="FP55" t="str">
        <f>IFERROR(('Fat Spreads'!AY55-(AVERAGE('Fat Spreads'!AY55:AY74)-2*STDEV('Fat Spreads'!AY55:AY74)))/(4*STDEV('Fat Spreads'!AY55:AY74)),"")</f>
        <v/>
      </c>
      <c r="FQ55" t="str">
        <f>IFERROR(4*STDEV('Fat Spreads'!AY55:AY74)/AVERAGE('Fat Spreads'!AY55:AY74),"")</f>
        <v/>
      </c>
      <c r="FR55">
        <v>75.588200000000001</v>
      </c>
      <c r="FS55">
        <f>IFERROR(SQRT((SUMSQ('Fat Spreads'!AY55:AY74)-2*SUMPRODUCT('Fat Spreads'!AY55:AY74,'Fat Spreads'!AY56:AY75)+SUMSQ('Fat Spreads'!AY56:AY75)-('Fat Spreads'!AY55-'Fat Spreads'!AY75)^2/20)/19),"")</f>
        <v>0</v>
      </c>
      <c r="FU55">
        <f>IFERROR('Fat Spreads'!BE55,"")</f>
        <v>0</v>
      </c>
      <c r="FV55">
        <f>IFERROR(('Fat Spreads'!BF55-AVERAGE('Fat Spreads'!$BF$3:$BF$4308))/STDEV('Fat Spreads'!$BF$3:$BF$4308),"")</f>
        <v>9.2057461789832332E-2</v>
      </c>
      <c r="FW55">
        <f>IFERROR('Fat Spreads'!BF55-'Fat Spreads'!BF60,"")</f>
        <v>0</v>
      </c>
      <c r="FX55">
        <f>IFERROR('Fat Spreads'!BF55-'Fat Spreads'!BF65,"")</f>
        <v>0</v>
      </c>
      <c r="FY55">
        <f>IFERROR(AVERAGE('Fat Spreads'!BF55:BF74)+2*STDEV('Fat Spreads'!BF55:BF74),"")</f>
        <v>0</v>
      </c>
      <c r="FZ55">
        <f>IFERROR(AVERAGE('Fat Spreads'!BF55:BF74)-2*STDEV('Fat Spreads'!BF55:BF74),"")</f>
        <v>0</v>
      </c>
      <c r="GA55" t="str">
        <f>IFERROR(('Fat Spreads'!BF55-(AVERAGE('Fat Spreads'!BF55:BF74)-2*STDEV('Fat Spreads'!BF55:BF74)))/(4*STDEV('Fat Spreads'!BF55:BF74)),"")</f>
        <v/>
      </c>
      <c r="GB55" t="str">
        <f>IFERROR(4*STDEV('Fat Spreads'!BF55:BF74)/AVERAGE('Fat Spreads'!BF55:BF74),"")</f>
        <v/>
      </c>
      <c r="GC55">
        <v>52.753</v>
      </c>
      <c r="GD55">
        <f>IFERROR(SQRT((SUMSQ('Fat Spreads'!BF55:BF74)-2*SUMPRODUCT('Fat Spreads'!BF55:BF74,'Fat Spreads'!BF56:BF75)+SUMSQ('Fat Spreads'!BF56:BF75)-('Fat Spreads'!BF55-'Fat Spreads'!BF75)^2/20)/19),"")</f>
        <v>0</v>
      </c>
    </row>
    <row r="56" spans="1:186" x14ac:dyDescent="0.25">
      <c r="A56">
        <f>IFERROR('Fat Spreads'!A56,"")</f>
        <v>0</v>
      </c>
      <c r="B56">
        <f>IFERROR(('Fat Spreads'!B56-AVERAGE('Fat Spreads'!$B$3:$B$4308))/STDEV('Fat Spreads'!$B$3:$B$4308),"")</f>
        <v>9.2057461789832346E-2</v>
      </c>
      <c r="C56">
        <f>IFERROR('Fat Spreads'!B56-'Fat Spreads'!B61,"")</f>
        <v>0</v>
      </c>
      <c r="D56">
        <f>IFERROR('Fat Spreads'!B56-'Fat Spreads'!B66,"")</f>
        <v>0</v>
      </c>
      <c r="E56">
        <f>IFERROR(AVERAGE('Fat Spreads'!B56:B75)+2*STDEV('Fat Spreads'!B56:B75),"")</f>
        <v>0</v>
      </c>
      <c r="F56">
        <f>IFERROR(AVERAGE('Fat Spreads'!B56:B75)-2*STDEV('Fat Spreads'!B56:B75),"")</f>
        <v>0</v>
      </c>
      <c r="G56" t="str">
        <f>IFERROR(('Fat Spreads'!B56-(AVERAGE('Fat Spreads'!B56:B75)-2*STDEV('Fat Spreads'!B56:B75)))/(4*STDEV('Fat Spreads'!B56:B75)),"")</f>
        <v/>
      </c>
      <c r="H56" t="str">
        <f>IFERROR(4*STDEV('Fat Spreads'!B56:B75)/AVERAGE('Fat Spreads'!B56:B75),"")</f>
        <v/>
      </c>
      <c r="I56">
        <v>45.035400000000003</v>
      </c>
      <c r="J56">
        <f>IFERROR(SQRT((SUMSQ('Fat Spreads'!B56:B75)-2*SUMPRODUCT('Fat Spreads'!B56:B75,'Fat Spreads'!B57:B76)+SUMSQ('Fat Spreads'!B57:B76)-('Fat Spreads'!B56-'Fat Spreads'!B76)^2/20)/19),"")</f>
        <v>0</v>
      </c>
      <c r="L56">
        <f>IFERROR('Fat Spreads'!H56,"")</f>
        <v>0</v>
      </c>
      <c r="M56">
        <f>IFERROR(('Fat Spreads'!I56-AVERAGE('Fat Spreads'!$I$3:$I$4308))/STDEV('Fat Spreads'!$I$3:$I$4308),"")</f>
        <v>-9.2057461789832332E-2</v>
      </c>
      <c r="N56">
        <f>IFERROR('Fat Spreads'!I56-'Fat Spreads'!I61,"")</f>
        <v>0</v>
      </c>
      <c r="O56">
        <f>IFERROR('Fat Spreads'!I56-'Fat Spreads'!I66,"")</f>
        <v>0</v>
      </c>
      <c r="P56">
        <f>IFERROR(AVERAGE('Fat Spreads'!I56:I75)+2*STDEV('Fat Spreads'!I56:I75),"")</f>
        <v>0</v>
      </c>
      <c r="Q56">
        <f>IFERROR(AVERAGE('Fat Spreads'!I56:I75)-2*STDEV('Fat Spreads'!I56:I75),"")</f>
        <v>0</v>
      </c>
      <c r="R56" t="str">
        <f>IFERROR(('Fat Spreads'!I56-(AVERAGE('Fat Spreads'!I56:I75)-2*STDEV('Fat Spreads'!I56:I75)))/(4*STDEV('Fat Spreads'!I56:I75)),"")</f>
        <v/>
      </c>
      <c r="S56" t="str">
        <f>IFERROR(4*STDEV('Fat Spreads'!I56:I75)/AVERAGE('Fat Spreads'!I56:I75),"")</f>
        <v/>
      </c>
      <c r="T56">
        <v>49.045299999999997</v>
      </c>
      <c r="U56">
        <f>IFERROR(SQRT((SUMSQ('Fat Spreads'!I56:I75)-2*SUMPRODUCT('Fat Spreads'!I56:I75,'Fat Spreads'!I57:I76)+SUMSQ('Fat Spreads'!I57:I76)-('Fat Spreads'!I56-'Fat Spreads'!I76)^2/20)/19),"")</f>
        <v>0</v>
      </c>
      <c r="W56">
        <f>IFERROR('Fat Spreads'!AQ56,"")</f>
        <v>0</v>
      </c>
      <c r="X56">
        <f>IFERROR(('Fat Spreads'!AR56-AVERAGE('Fat Spreads'!$AR$3:$AR$4308))/STDEV('Fat Spreads'!$AR$3:$AR$4308),"")</f>
        <v>-9.2057461789832346E-2</v>
      </c>
      <c r="Y56">
        <f>IFERROR('Fat Spreads'!AR56-'Fat Spreads'!AR61,"")</f>
        <v>0</v>
      </c>
      <c r="Z56">
        <f>IFERROR('Fat Spreads'!AR56-'Fat Spreads'!AR66,"")</f>
        <v>0</v>
      </c>
      <c r="AA56">
        <f>IFERROR(AVERAGE('Fat Spreads'!AR56:AR75)+2*STDEV('Fat Spreads'!AR56:AR75),"")</f>
        <v>0</v>
      </c>
      <c r="AB56">
        <f>IFERROR(AVERAGE('Fat Spreads'!AR56:AR75)-2*STDEV('Fat Spreads'!AR56:AR75),"")</f>
        <v>0</v>
      </c>
      <c r="AC56" t="str">
        <f>IFERROR(('Fat Spreads'!AR56-(AVERAGE('Fat Spreads'!AR56:AR75)-2*STDEV('Fat Spreads'!AR56:AR75)))/(4*STDEV('Fat Spreads'!AR56:AR75)),"")</f>
        <v/>
      </c>
      <c r="AD56" t="str">
        <f>IFERROR(4*STDEV('Fat Spreads'!AR56:AR75)/AVERAGE('Fat Spreads'!AR56:AR75),"")</f>
        <v/>
      </c>
      <c r="AE56">
        <v>65.986099999999993</v>
      </c>
      <c r="AF56">
        <f>IFERROR(SQRT((SUMSQ('Fat Spreads'!AR56:AR75)-2*SUMPRODUCT('Fat Spreads'!AR56:AR75,'Fat Spreads'!AR57:AR76)+SUMSQ('Fat Spreads'!AR57:AR76)-('Fat Spreads'!AR56-'Fat Spreads'!AR76)^2/20)/19),"")</f>
        <v>0</v>
      </c>
      <c r="AH56">
        <f>IFERROR('Fat Spreads'!O56,"")</f>
        <v>0</v>
      </c>
      <c r="AI56">
        <f>IFERROR(('Fat Spreads'!P56-AVERAGE('Fat Spreads'!$P$3:$P$4308))/STDEV('Fat Spreads'!$P$3:$P$4308),"")</f>
        <v>-9.2057461789832332E-2</v>
      </c>
      <c r="AJ56">
        <f>IFERROR('Fat Spreads'!P56-'Fat Spreads'!P61,"")</f>
        <v>0</v>
      </c>
      <c r="AK56">
        <f>IFERROR('Fat Spreads'!P56-'Fat Spreads'!P66,"")</f>
        <v>0</v>
      </c>
      <c r="AL56">
        <f>IFERROR(AVERAGE('Fat Spreads'!P56:P75)+2*STDEV('Fat Spreads'!P56:P75),"")</f>
        <v>0</v>
      </c>
      <c r="AM56">
        <f>IFERROR(AVERAGE('Fat Spreads'!P56:P75)-2*STDEV('Fat Spreads'!P56:P75),"")</f>
        <v>0</v>
      </c>
      <c r="AN56" t="str">
        <f>IFERROR(('Fat Spreads'!P56-(AVERAGE('Fat Spreads'!P56:P75)-2*STDEV('Fat Spreads'!P56:P75)))/(4*STDEV('Fat Spreads'!P56:P75)),"")</f>
        <v/>
      </c>
      <c r="AO56" t="str">
        <f>IFERROR(4*STDEV('Fat Spreads'!P56:P75)/AVERAGE('Fat Spreads'!P56:P75),"")</f>
        <v/>
      </c>
      <c r="AP56">
        <v>57.262</v>
      </c>
      <c r="AQ56">
        <f>IFERROR(SQRT((SUMSQ('Fat Spreads'!P56:P75)-2*SUMPRODUCT('Fat Spreads'!P56:P75,'Fat Spreads'!P57:P76)+SUMSQ('Fat Spreads'!P57:P76)-('Fat Spreads'!P56-'Fat Spreads'!P76)^2/20)/19),"")</f>
        <v>0</v>
      </c>
      <c r="AS56">
        <f>IFERROR('Fat Spreads'!AJ56,"")</f>
        <v>0</v>
      </c>
      <c r="AT56">
        <f>IFERROR(('Fat Spreads'!AK56-AVERAGE('Fat Spreads'!$AK$3:$AK$4308))/STDEV('Fat Spreads'!$AK$3:$AK$4308),"")</f>
        <v>-9.2057461789832332E-2</v>
      </c>
      <c r="AU56">
        <f>IFERROR('Fat Spreads'!AK56-'Fat Spreads'!AK61,"")</f>
        <v>0</v>
      </c>
      <c r="AV56">
        <f>IFERROR('Fat Spreads'!AK56-'Fat Spreads'!AK66,"")</f>
        <v>0</v>
      </c>
      <c r="AW56">
        <f>IFERROR(AVERAGE('Fat Spreads'!AK56:AK75)+2*STDEV('Fat Spreads'!AK56:AK75),"")</f>
        <v>0</v>
      </c>
      <c r="AX56">
        <f>IFERROR(AVERAGE('Fat Spreads'!AK56:AK75)-2*STDEV('Fat Spreads'!AK56:AK75),"")</f>
        <v>0</v>
      </c>
      <c r="AY56" t="str">
        <f>IFERROR(('Fat Spreads'!AK56-(AVERAGE('Fat Spreads'!AK56:AK75)-2*STDEV('Fat Spreads'!AK56:AK75)))/(4*STDEV('Fat Spreads'!AK56:AK75)),"")</f>
        <v/>
      </c>
      <c r="AZ56" t="str">
        <f>IFERROR(4*STDEV('Fat Spreads'!AK56:AK75)/AVERAGE('Fat Spreads'!AK56:AK75),"")</f>
        <v/>
      </c>
      <c r="BA56">
        <v>80.644400000000005</v>
      </c>
      <c r="BB56">
        <f>IFERROR(SQRT((SUMSQ('Fat Spreads'!AK56:AK75)-2*SUMPRODUCT('Fat Spreads'!AK56:AK75,'Fat Spreads'!AK57:AK76)+SUMSQ('Fat Spreads'!AK57:AK76)-('Fat Spreads'!AK56-'Fat Spreads'!AK76)^2/20)/19),"")</f>
        <v>0</v>
      </c>
      <c r="BD56">
        <f>IFERROR('Fat Spreads'!V56,"")</f>
        <v>0</v>
      </c>
      <c r="BE56">
        <f>IFERROR(('Fat Spreads'!W56-AVERAGE('Fat Spreads'!$W$3:$W$4308))/STDEV('Fat Spreads'!$W$3:$W$4308),"")</f>
        <v>-9.2057461789832332E-2</v>
      </c>
      <c r="BF56">
        <f>IFERROR('Fat Spreads'!W56-'Fat Spreads'!W61,"")</f>
        <v>0</v>
      </c>
      <c r="BG56">
        <f>IFERROR('Fat Spreads'!W56-'Fat Spreads'!W66,"")</f>
        <v>0</v>
      </c>
      <c r="BH56">
        <f>IFERROR(AVERAGE('Fat Spreads'!W56:W75)+2*STDEV('Fat Spreads'!W56:W75),"")</f>
        <v>0</v>
      </c>
      <c r="BI56">
        <f>IFERROR(AVERAGE('Fat Spreads'!W56:W75)-2*STDEV('Fat Spreads'!W56:W75),"")</f>
        <v>0</v>
      </c>
      <c r="BJ56" t="str">
        <f>IFERROR(('Fat Spreads'!W56-(AVERAGE('Fat Spreads'!W56:W75)-2*STDEV('Fat Spreads'!W56:W75)))/(4*STDEV('Fat Spreads'!W56:W75)),"")</f>
        <v/>
      </c>
      <c r="BK56" t="str">
        <f>IFERROR(4*STDEV('Fat Spreads'!W56:W75)/AVERAGE('Fat Spreads'!W56:W75),"")</f>
        <v/>
      </c>
      <c r="BL56">
        <v>67.746200000000002</v>
      </c>
      <c r="BM56">
        <f>IFERROR(SQRT((SUMSQ('Fat Spreads'!W56:W75)-2*SUMPRODUCT('Fat Spreads'!W56:W75,'Fat Spreads'!W57:W76)+SUMSQ('Fat Spreads'!W57:W76)-('Fat Spreads'!W56-'Fat Spreads'!W76)^2/20)/19),"")</f>
        <v>0</v>
      </c>
      <c r="BO56">
        <f>IFERROR('Fat Spreads'!AC56,"")</f>
        <v>0</v>
      </c>
      <c r="BP56">
        <f>IFERROR(('Fat Spreads'!AD56-AVERAGE('Fat Spreads'!$AD$3:$AD$4308))/STDEV('Fat Spreads'!$AD$3:$AD$4308),"")</f>
        <v>-9.2057461789832332E-2</v>
      </c>
      <c r="BQ56">
        <f>IFERROR('Fat Spreads'!AD56-'Fat Spreads'!AD61,"")</f>
        <v>0</v>
      </c>
      <c r="BR56">
        <f>IFERROR('Fat Spreads'!AD56-'Fat Spreads'!AD66,"")</f>
        <v>0</v>
      </c>
      <c r="BS56">
        <f>IFERROR(AVERAGE('Fat Spreads'!AD56:AD75)+2*STDEV('Fat Spreads'!AD56:AD75),"")</f>
        <v>0</v>
      </c>
      <c r="BT56">
        <f>IFERROR(AVERAGE('Fat Spreads'!AD56:AD75)-2*STDEV('Fat Spreads'!AD56:AD75),"")</f>
        <v>0</v>
      </c>
      <c r="BU56" t="str">
        <f>IFERROR(('Fat Spreads'!AD56-(AVERAGE('Fat Spreads'!AD56:AD75)-2*STDEV('Fat Spreads'!AD56:AD75)))/(4*STDEV('Fat Spreads'!AD56:AD75)),"")</f>
        <v/>
      </c>
      <c r="BV56" t="str">
        <f>IFERROR(4*STDEV('Fat Spreads'!AD56:AD75)/AVERAGE('Fat Spreads'!AD56:AD75),"")</f>
        <v/>
      </c>
      <c r="BW56">
        <v>29.023099999999999</v>
      </c>
      <c r="BX56">
        <f>IFERROR(SQRT((SUMSQ('Fat Spreads'!AD56:AD75)-2*SUMPRODUCT('Fat Spreads'!AD56:AD75,'Fat Spreads'!AD57:AD76)+SUMSQ('Fat Spreads'!AD57:AD76)-('Fat Spreads'!AD56-'Fat Spreads'!AD76)^2/20)/19),"")</f>
        <v>0</v>
      </c>
      <c r="BZ56">
        <f>IFERROR('Feeder Spreads'!A56,"")</f>
        <v>0</v>
      </c>
      <c r="CA56">
        <f>IFERROR(('Feeder Spreads'!B56-AVERAGE('Feeder Spreads'!$B$3:$B$4308))/STDEV('Feeder Spreads'!$B$3:$B$4308),"")</f>
        <v>-9.2057461789832346E-2</v>
      </c>
      <c r="CB56">
        <f>IFERROR('Feeder Spreads'!B56-'Feeder Spreads'!B61,"")</f>
        <v>0</v>
      </c>
      <c r="CC56">
        <f>IFERROR('Feeder Spreads'!B56-'Feeder Spreads'!B66,"")</f>
        <v>0</v>
      </c>
      <c r="CD56">
        <f>IFERROR(AVERAGE('Feeder Spreads'!B56:B75)+2*STDEV('Feeder Spreads'!B56:B75),"")</f>
        <v>0</v>
      </c>
      <c r="CE56">
        <f>IFERROR(AVERAGE('Feeder Spreads'!B56:B75)-2*STDEV('Feeder Spreads'!B56:B75),"")</f>
        <v>0</v>
      </c>
      <c r="CF56" t="str">
        <f>IFERROR(('Feeder Spreads'!B56-(AVERAGE('Feeder Spreads'!B56:B75)-2*STDEV('Feeder Spreads'!B56:B75)))/(4*STDEV('Feeder Spreads'!B56:B75)),"")</f>
        <v/>
      </c>
      <c r="CG56" t="str">
        <f>IFERROR(4*STDEV('Feeder Spreads'!B56:B75)/AVERAGE('Feeder Spreads'!B56:B75),"")</f>
        <v/>
      </c>
      <c r="CH56">
        <v>41.866500000000002</v>
      </c>
      <c r="CI56">
        <f>IFERROR(SQRT((SUMSQ('Feeder Spreads'!B56:B75)-2*SUMPRODUCT('Feeder Spreads'!B56:B75,'Feeder Spreads'!B57:B76)+SUMSQ('Feeder Spreads'!B57:B76)-('Feeder Spreads'!B56-'Feeder Spreads'!B76)^2/20)/19),"")</f>
        <v>0</v>
      </c>
      <c r="CK56">
        <f>IFERROR('Feeder Spreads'!AX56,"")</f>
        <v>0</v>
      </c>
      <c r="CL56">
        <f>IFERROR(('Feeder Spreads'!AY56-AVERAGE('Feeder Spreads'!$AY$3:$AY$4308))/STDEV('Feeder Spreads'!$AY$3:$AY$4308),"")</f>
        <v>-9.2057461789832346E-2</v>
      </c>
      <c r="CM56">
        <f>IFERROR('Feeder Spreads'!AY56-'Feeder Spreads'!AY61,"")</f>
        <v>0</v>
      </c>
      <c r="CN56">
        <f>IFERROR('Feeder Spreads'!AY56-'Feeder Spreads'!AY66,"")</f>
        <v>0</v>
      </c>
      <c r="CO56">
        <f>IFERROR(AVERAGE('Feeder Spreads'!AY56:AY75)+2*STDEV('Feeder Spreads'!AY56:AY75),"")</f>
        <v>0</v>
      </c>
      <c r="CP56">
        <f>IFERROR(AVERAGE('Feeder Spreads'!AY56:AY75)-2*STDEV('Feeder Spreads'!AY56:AY75),"")</f>
        <v>0</v>
      </c>
      <c r="CQ56" t="str">
        <f>IFERROR(('Feeder Spreads'!AY56-(AVERAGE('Feeder Spreads'!AY56:AY75)-2*STDEV('Feeder Spreads'!AY56:AY75)))/(4*STDEV('Feeder Spreads'!AY56:AY75)),"")</f>
        <v/>
      </c>
      <c r="CR56" t="str">
        <f>IFERROR(4*STDEV('Feeder Spreads'!AY56:AY75)/AVERAGE('Feeder Spreads'!AY56:AY75),"")</f>
        <v/>
      </c>
      <c r="CS56">
        <v>79.994</v>
      </c>
      <c r="CT56">
        <f>IFERROR(SQRT((SUMSQ('Feeder Spreads'!AY56:AY75)-2*SUMPRODUCT('Feeder Spreads'!AY56:AY75,'Feeder Spreads'!AY57:AY76)+SUMSQ('Feeder Spreads'!AY57:AY76)-('Feeder Spreads'!AY56-'Feeder Spreads'!AY76)^2/20)/19),"")</f>
        <v>0</v>
      </c>
      <c r="CV56">
        <f>IFERROR('Feeder Spreads'!H56,"")</f>
        <v>0</v>
      </c>
      <c r="CW56">
        <f>IFERROR(('Feeder Spreads'!I56-AVERAGE('Feeder Spreads'!$I$3:$I$4308))/STDEV('Feeder Spreads'!$I$3:$I$4308),"")</f>
        <v>-9.2057461789832332E-2</v>
      </c>
      <c r="CX56">
        <f>IFERROR('Feeder Spreads'!I56-'Feeder Spreads'!I61,"")</f>
        <v>0</v>
      </c>
      <c r="CY56">
        <f>IFERROR('Feeder Spreads'!I56-'Feeder Spreads'!I66,"")</f>
        <v>0</v>
      </c>
      <c r="CZ56">
        <f>IFERROR(AVERAGE('Feeder Spreads'!I56:I75)+2*STDEV('Feeder Spreads'!I56:I75),"")</f>
        <v>0</v>
      </c>
      <c r="DA56">
        <f>IFERROR(AVERAGE('Feeder Spreads'!I56:I75)-2*STDEV('Feeder Spreads'!I56:I75),"")</f>
        <v>0</v>
      </c>
      <c r="DB56" t="str">
        <f>IFERROR(('Feeder Spreads'!I56-(AVERAGE('Feeder Spreads'!I56:I75)-2*STDEV('Feeder Spreads'!I56:I75)))/(4*STDEV('Feeder Spreads'!I56:I75)),"")</f>
        <v/>
      </c>
      <c r="DC56" t="str">
        <f>IFERROR(4*STDEV('Feeder Spreads'!I56:I75)/AVERAGE('Feeder Spreads'!I56:I75),"")</f>
        <v/>
      </c>
      <c r="DD56">
        <v>43.234400000000001</v>
      </c>
      <c r="DE56">
        <f>IFERROR(SQRT((SUMSQ('Feeder Spreads'!I56:I75)-2*SUMPRODUCT('Feeder Spreads'!I56:I75,'Feeder Spreads'!I57:I76)+SUMSQ('Feeder Spreads'!I57:I76)-('Feeder Spreads'!I56-'Feeder Spreads'!I76)^2/20)/19),"")</f>
        <v>0</v>
      </c>
      <c r="DG56">
        <f>IFERROR('Feeder Spreads'!O56,"")</f>
        <v>0</v>
      </c>
      <c r="DH56">
        <f>IFERROR(('Feeder Spreads'!P56-AVERAGE('Feeder Spreads'!$P$3:$P$4308))/STDEV('Feeder Spreads'!$P$3:$P$4308),"")</f>
        <v>-9.2057461789832346E-2</v>
      </c>
      <c r="DI56">
        <f>IFERROR('Feeder Spreads'!P56-'Feeder Spreads'!P61,"")</f>
        <v>0</v>
      </c>
      <c r="DJ56">
        <f>IFERROR('Feeder Spreads'!P56-'Feeder Spreads'!P66,"")</f>
        <v>0</v>
      </c>
      <c r="DK56">
        <f>IFERROR(AVERAGE('Feeder Spreads'!P56:P75)+2*STDEV('Feeder Spreads'!P56:P75),"")</f>
        <v>0</v>
      </c>
      <c r="DL56">
        <f>IFERROR(AVERAGE('Feeder Spreads'!P56:P75)-2*STDEV('Feeder Spreads'!P56:P75),"")</f>
        <v>0</v>
      </c>
      <c r="DM56" t="str">
        <f>IFERROR(('Feeder Spreads'!P56-(AVERAGE('Feeder Spreads'!P56:P75)-2*STDEV('Feeder Spreads'!P56:P75)))/(4*STDEV('Feeder Spreads'!P56:P75)),"")</f>
        <v/>
      </c>
      <c r="DN56" t="str">
        <f>IFERROR(4*STDEV('Feeder Spreads'!P56:P75)/AVERAGE('Feeder Spreads'!P56:P75),"")</f>
        <v/>
      </c>
      <c r="DO56">
        <v>49.822000000000003</v>
      </c>
      <c r="DP56">
        <f>IFERROR(SQRT((SUMSQ('Feeder Spreads'!P56:P75)-2*SUMPRODUCT('Feeder Spreads'!P56:P75,'Feeder Spreads'!P57:P76)+SUMSQ('Feeder Spreads'!P57:P76)-('Feeder Spreads'!P56-'Feeder Spreads'!P76)^2/20)/19),"")</f>
        <v>0</v>
      </c>
      <c r="DR56">
        <f>IFERROR('Feeder Spreads'!V56,"")</f>
        <v>0</v>
      </c>
      <c r="DS56">
        <f>IFERROR(('Feeder Spreads'!W56-AVERAGE('Feeder Spreads'!$W$3:$W$4308))/STDEV('Feeder Spreads'!$W$3:$W$4308),"")</f>
        <v>-9.2057461789832332E-2</v>
      </c>
      <c r="DT56">
        <f>IFERROR('Feeder Spreads'!W56-'Feeder Spreads'!W61,"")</f>
        <v>0</v>
      </c>
      <c r="DU56">
        <f>IFERROR('Feeder Spreads'!W56-'Feeder Spreads'!W66,"")</f>
        <v>0</v>
      </c>
      <c r="DV56">
        <f>IFERROR(AVERAGE('Feeder Spreads'!W56:W75)+2*STDEV('Feeder Spreads'!W56:W75),"")</f>
        <v>0</v>
      </c>
      <c r="DW56">
        <f>IFERROR(AVERAGE('Feeder Spreads'!W56:W75)-2*STDEV('Feeder Spreads'!W56:W75),"")</f>
        <v>0</v>
      </c>
      <c r="DX56" t="str">
        <f>IFERROR(('Feeder Spreads'!W56-(AVERAGE('Feeder Spreads'!W56:W75)-2*STDEV('Feeder Spreads'!W56:W75)))/(4*STDEV('Feeder Spreads'!W56:W75)),"")</f>
        <v/>
      </c>
      <c r="DY56" t="str">
        <f>IFERROR(4*STDEV('Feeder Spreads'!W56:W75)/AVERAGE('Feeder Spreads'!W56:W75),"")</f>
        <v/>
      </c>
      <c r="DZ56">
        <v>57.779699999999998</v>
      </c>
      <c r="EA56">
        <f>IFERROR(SQRT((SUMSQ('Feeder Spreads'!W56:W75)-2*SUMPRODUCT('Feeder Spreads'!W56:W75,'Feeder Spreads'!W57:W76)+SUMSQ('Feeder Spreads'!W57:W76)-('Feeder Spreads'!W56-'Feeder Spreads'!W76)^2/20)/19),"")</f>
        <v>0</v>
      </c>
      <c r="EC56">
        <f>IFERROR('Feeder Spreads'!AC56,"")</f>
        <v>0</v>
      </c>
      <c r="ED56">
        <f>IFERROR(('Feeder Spreads'!AD56-AVERAGE('Feeder Spreads'!$AD$3:$AD$4308))/STDEV('Feeder Spreads'!$AD$3:$AD$4308),"")</f>
        <v>9.2057461789832318E-2</v>
      </c>
      <c r="EE56">
        <f>IFERROR('Feeder Spreads'!AD56-'Feeder Spreads'!AD61,"")</f>
        <v>0</v>
      </c>
      <c r="EF56">
        <f>IFERROR('Feeder Spreads'!AD56-'Feeder Spreads'!AD66,"")</f>
        <v>0</v>
      </c>
      <c r="EG56">
        <f>IFERROR(AVERAGE('Feeder Spreads'!AD56:AD75)+2*STDEV('Feeder Spreads'!AD56:AD75),"")</f>
        <v>0</v>
      </c>
      <c r="EH56">
        <f>IFERROR(AVERAGE('Feeder Spreads'!AD56:AD75)-2*STDEV('Feeder Spreads'!AD56:AD75),"")</f>
        <v>0</v>
      </c>
      <c r="EI56" t="str">
        <f>IFERROR(('Feeder Spreads'!AD56-(AVERAGE('Feeder Spreads'!AD56:AD75)-2*STDEV('Feeder Spreads'!AD56:AD75)))/(4*STDEV('Feeder Spreads'!AD56:AD75)),"")</f>
        <v/>
      </c>
      <c r="EJ56" t="str">
        <f>IFERROR(4*STDEV('Feeder Spreads'!AD56:AD75)/AVERAGE('Feeder Spreads'!AD56:AD75),"")</f>
        <v/>
      </c>
      <c r="EK56">
        <v>50.625500000000002</v>
      </c>
      <c r="EL56">
        <f>IFERROR(SQRT((SUMSQ('Feeder Spreads'!AD56:AD75)-2*SUMPRODUCT('Feeder Spreads'!AD56:AD75,'Feeder Spreads'!AD57:AD76)+SUMSQ('Feeder Spreads'!AD57:AD76)-('Feeder Spreads'!AD56-'Feeder Spreads'!AD76)^2/20)/19),"")</f>
        <v>0</v>
      </c>
      <c r="EN56">
        <f>IFERROR('Feeder Spreads'!AJ56,"")</f>
        <v>0</v>
      </c>
      <c r="EO56">
        <f>IFERROR(('Feeder Spreads'!AK56-AVERAGE('Feeder Spreads'!$AK$3:$AK$4308))/STDEV('Feeder Spreads'!$AK$3:$AK$4308),"")</f>
        <v>-9.2057461789832346E-2</v>
      </c>
      <c r="EP56">
        <f>IFERROR('Feeder Spreads'!AK56-'Feeder Spreads'!AK61,"")</f>
        <v>0</v>
      </c>
      <c r="EQ56">
        <f>IFERROR('Feeder Spreads'!AK56-'Feeder Spreads'!AK66,"")</f>
        <v>0</v>
      </c>
      <c r="ER56">
        <f>IFERROR(AVERAGE('Feeder Spreads'!AK56:AK75)+2*STDEV('Feeder Spreads'!AK56:AK75),"")</f>
        <v>0</v>
      </c>
      <c r="ES56">
        <f>IFERROR(AVERAGE('Feeder Spreads'!AK56:AK75)-2*STDEV('Feeder Spreads'!AK56:AK75),"")</f>
        <v>0</v>
      </c>
      <c r="ET56" t="str">
        <f>IFERROR(('Feeder Spreads'!AK56-(AVERAGE('Feeder Spreads'!AK56:AK75)-2*STDEV('Feeder Spreads'!AK56:AK75)))/(4*STDEV('Feeder Spreads'!AK56:AK75)),"")</f>
        <v/>
      </c>
      <c r="EU56" t="str">
        <f>IFERROR(4*STDEV('Feeder Spreads'!AK56:AK75)/AVERAGE('Feeder Spreads'!AK56:AK75),"")</f>
        <v/>
      </c>
      <c r="EV56">
        <v>53.366100000000003</v>
      </c>
      <c r="EW56">
        <f>IFERROR(SQRT((SUMSQ('Feeder Spreads'!AK56:AK75)-2*SUMPRODUCT('Feeder Spreads'!AK56:AK75,'Feeder Spreads'!AK57:AK76)+SUMSQ('Feeder Spreads'!AK57:AK76)-('Feeder Spreads'!AK56-'Feeder Spreads'!AK76)^2/20)/19),"")</f>
        <v>0</v>
      </c>
      <c r="EY56">
        <f>IFERROR('Feeder Spreads'!AQ56,"")</f>
        <v>0</v>
      </c>
      <c r="EZ56">
        <f>IFERROR(('Feeder Spreads'!AR56-AVERAGE('Feeder Spreads'!$AR$3:$AR$4308))/STDEV('Feeder Spreads'!$AR$3:$AR$4308),"")</f>
        <v>-9.2057461789832332E-2</v>
      </c>
      <c r="FA56">
        <f>IFERROR('Feeder Spreads'!AR56-'Feeder Spreads'!AR61,"")</f>
        <v>0</v>
      </c>
      <c r="FB56">
        <f>IFERROR('Feeder Spreads'!AR56-'Feeder Spreads'!AR66,"")</f>
        <v>0</v>
      </c>
      <c r="FC56">
        <f>IFERROR(AVERAGE('Feeder Spreads'!AR56:AR75)+2*STDEV('Feeder Spreads'!AR56:AR75),"")</f>
        <v>0</v>
      </c>
      <c r="FD56">
        <f>IFERROR(AVERAGE('Feeder Spreads'!AR56:AR75)-2*STDEV('Feeder Spreads'!AR56:AR75),"")</f>
        <v>0</v>
      </c>
      <c r="FE56" t="str">
        <f>IFERROR(('Feeder Spreads'!AR56-(AVERAGE('Feeder Spreads'!AR56:AR75)-2*STDEV('Feeder Spreads'!AR56:AR75)))/(4*STDEV('Feeder Spreads'!AR56:AR75)),"")</f>
        <v/>
      </c>
      <c r="FF56" t="str">
        <f>IFERROR(4*STDEV('Feeder Spreads'!AR56:AR75)/AVERAGE('Feeder Spreads'!AR56:AR75),"")</f>
        <v/>
      </c>
      <c r="FG56">
        <v>55.414000000000001</v>
      </c>
      <c r="FH56">
        <f>IFERROR(SQRT((SUMSQ('Feeder Spreads'!AR56:AR75)-2*SUMPRODUCT('Feeder Spreads'!AR56:AR75,'Feeder Spreads'!AR57:AR76)+SUMSQ('Feeder Spreads'!AR57:AR76)-('Feeder Spreads'!AR56-'Feeder Spreads'!AR76)^2/20)/19),"")</f>
        <v>0</v>
      </c>
      <c r="FJ56">
        <f>IFERROR('Fat Spreads'!AX56,"")</f>
        <v>0</v>
      </c>
      <c r="FK56">
        <f>IFERROR(('Fat Spreads'!AY56-AVERAGE('Fat Spreads'!$AY$3:$AY$4308))/STDEV('Fat Spreads'!$AY$3:$AY$4308),"")</f>
        <v>9.2057461789832332E-2</v>
      </c>
      <c r="FL56">
        <f>IFERROR('Fat Spreads'!AY56-'Fat Spreads'!AY61,"")</f>
        <v>0</v>
      </c>
      <c r="FM56">
        <f>IFERROR('Fat Spreads'!AY56-'Fat Spreads'!AY66,"")</f>
        <v>0</v>
      </c>
      <c r="FN56">
        <f>IFERROR(AVERAGE('Fat Spreads'!AY56:AY75)+2*STDEV('Fat Spreads'!AY56:AY75),"")</f>
        <v>0</v>
      </c>
      <c r="FO56">
        <f>IFERROR(AVERAGE('Fat Spreads'!AY56:AY75)-2*STDEV('Fat Spreads'!AY56:AY75),"")</f>
        <v>0</v>
      </c>
      <c r="FP56" t="str">
        <f>IFERROR(('Fat Spreads'!AY56-(AVERAGE('Fat Spreads'!AY56:AY75)-2*STDEV('Fat Spreads'!AY56:AY75)))/(4*STDEV('Fat Spreads'!AY56:AY75)),"")</f>
        <v/>
      </c>
      <c r="FQ56" t="str">
        <f>IFERROR(4*STDEV('Fat Spreads'!AY56:AY75)/AVERAGE('Fat Spreads'!AY56:AY75),"")</f>
        <v/>
      </c>
      <c r="FR56">
        <v>74.011799999999994</v>
      </c>
      <c r="FS56">
        <f>IFERROR(SQRT((SUMSQ('Fat Spreads'!AY56:AY75)-2*SUMPRODUCT('Fat Spreads'!AY56:AY75,'Fat Spreads'!AY57:AY76)+SUMSQ('Fat Spreads'!AY57:AY76)-('Fat Spreads'!AY56-'Fat Spreads'!AY76)^2/20)/19),"")</f>
        <v>0</v>
      </c>
      <c r="FU56">
        <f>IFERROR('Fat Spreads'!BE56,"")</f>
        <v>0</v>
      </c>
      <c r="FV56">
        <f>IFERROR(('Fat Spreads'!BF56-AVERAGE('Fat Spreads'!$BF$3:$BF$4308))/STDEV('Fat Spreads'!$BF$3:$BF$4308),"")</f>
        <v>9.2057461789832332E-2</v>
      </c>
      <c r="FW56">
        <f>IFERROR('Fat Spreads'!BF56-'Fat Spreads'!BF61,"")</f>
        <v>0</v>
      </c>
      <c r="FX56">
        <f>IFERROR('Fat Spreads'!BF56-'Fat Spreads'!BF66,"")</f>
        <v>0</v>
      </c>
      <c r="FY56">
        <f>IFERROR(AVERAGE('Fat Spreads'!BF56:BF75)+2*STDEV('Fat Spreads'!BF56:BF75),"")</f>
        <v>0</v>
      </c>
      <c r="FZ56">
        <f>IFERROR(AVERAGE('Fat Spreads'!BF56:BF75)-2*STDEV('Fat Spreads'!BF56:BF75),"")</f>
        <v>0</v>
      </c>
      <c r="GA56" t="str">
        <f>IFERROR(('Fat Spreads'!BF56-(AVERAGE('Fat Spreads'!BF56:BF75)-2*STDEV('Fat Spreads'!BF56:BF75)))/(4*STDEV('Fat Spreads'!BF56:BF75)),"")</f>
        <v/>
      </c>
      <c r="GB56" t="str">
        <f>IFERROR(4*STDEV('Fat Spreads'!BF56:BF75)/AVERAGE('Fat Spreads'!BF56:BF75),"")</f>
        <v/>
      </c>
      <c r="GC56">
        <v>46.410899999999998</v>
      </c>
      <c r="GD56">
        <f>IFERROR(SQRT((SUMSQ('Fat Spreads'!BF56:BF75)-2*SUMPRODUCT('Fat Spreads'!BF56:BF75,'Fat Spreads'!BF57:BF76)+SUMSQ('Fat Spreads'!BF57:BF76)-('Fat Spreads'!BF56-'Fat Spreads'!BF76)^2/20)/19),"")</f>
        <v>0</v>
      </c>
    </row>
    <row r="57" spans="1:186" x14ac:dyDescent="0.25">
      <c r="A57">
        <f>IFERROR('Fat Spreads'!A57,"")</f>
        <v>0</v>
      </c>
      <c r="B57">
        <f>IFERROR(('Fat Spreads'!B57-AVERAGE('Fat Spreads'!$B$3:$B$4308))/STDEV('Fat Spreads'!$B$3:$B$4308),"")</f>
        <v>9.2057461789832346E-2</v>
      </c>
      <c r="C57">
        <f>IFERROR('Fat Spreads'!B57-'Fat Spreads'!B62,"")</f>
        <v>0</v>
      </c>
      <c r="D57">
        <f>IFERROR('Fat Spreads'!B57-'Fat Spreads'!B67,"")</f>
        <v>0</v>
      </c>
      <c r="E57">
        <f>IFERROR(AVERAGE('Fat Spreads'!B57:B76)+2*STDEV('Fat Spreads'!B57:B76),"")</f>
        <v>0</v>
      </c>
      <c r="F57">
        <f>IFERROR(AVERAGE('Fat Spreads'!B57:B76)-2*STDEV('Fat Spreads'!B57:B76),"")</f>
        <v>0</v>
      </c>
      <c r="G57" t="str">
        <f>IFERROR(('Fat Spreads'!B57-(AVERAGE('Fat Spreads'!B57:B76)-2*STDEV('Fat Spreads'!B57:B76)))/(4*STDEV('Fat Spreads'!B57:B76)),"")</f>
        <v/>
      </c>
      <c r="H57" t="str">
        <f>IFERROR(4*STDEV('Fat Spreads'!B57:B76)/AVERAGE('Fat Spreads'!B57:B76),"")</f>
        <v/>
      </c>
      <c r="I57">
        <v>47.862400000000001</v>
      </c>
      <c r="J57">
        <f>IFERROR(SQRT((SUMSQ('Fat Spreads'!B57:B76)-2*SUMPRODUCT('Fat Spreads'!B57:B76,'Fat Spreads'!B58:B77)+SUMSQ('Fat Spreads'!B58:B77)-('Fat Spreads'!B57-'Fat Spreads'!B77)^2/20)/19),"")</f>
        <v>0</v>
      </c>
      <c r="L57">
        <f>IFERROR('Fat Spreads'!H57,"")</f>
        <v>0</v>
      </c>
      <c r="M57">
        <f>IFERROR(('Fat Spreads'!I57-AVERAGE('Fat Spreads'!$I$3:$I$4308))/STDEV('Fat Spreads'!$I$3:$I$4308),"")</f>
        <v>-9.2057461789832332E-2</v>
      </c>
      <c r="N57">
        <f>IFERROR('Fat Spreads'!I57-'Fat Spreads'!I62,"")</f>
        <v>0</v>
      </c>
      <c r="O57">
        <f>IFERROR('Fat Spreads'!I57-'Fat Spreads'!I67,"")</f>
        <v>0</v>
      </c>
      <c r="P57">
        <f>IFERROR(AVERAGE('Fat Spreads'!I57:I76)+2*STDEV('Fat Spreads'!I57:I76),"")</f>
        <v>0</v>
      </c>
      <c r="Q57">
        <f>IFERROR(AVERAGE('Fat Spreads'!I57:I76)-2*STDEV('Fat Spreads'!I57:I76),"")</f>
        <v>0</v>
      </c>
      <c r="R57" t="str">
        <f>IFERROR(('Fat Spreads'!I57-(AVERAGE('Fat Spreads'!I57:I76)-2*STDEV('Fat Spreads'!I57:I76)))/(4*STDEV('Fat Spreads'!I57:I76)),"")</f>
        <v/>
      </c>
      <c r="S57" t="str">
        <f>IFERROR(4*STDEV('Fat Spreads'!I57:I76)/AVERAGE('Fat Spreads'!I57:I76),"")</f>
        <v/>
      </c>
      <c r="T57">
        <v>52.227600000000002</v>
      </c>
      <c r="U57">
        <f>IFERROR(SQRT((SUMSQ('Fat Spreads'!I57:I76)-2*SUMPRODUCT('Fat Spreads'!I57:I76,'Fat Spreads'!I58:I77)+SUMSQ('Fat Spreads'!I58:I77)-('Fat Spreads'!I57-'Fat Spreads'!I77)^2/20)/19),"")</f>
        <v>0</v>
      </c>
      <c r="W57">
        <f>IFERROR('Fat Spreads'!AQ57,"")</f>
        <v>0</v>
      </c>
      <c r="X57">
        <f>IFERROR(('Fat Spreads'!AR57-AVERAGE('Fat Spreads'!$AR$3:$AR$4308))/STDEV('Fat Spreads'!$AR$3:$AR$4308),"")</f>
        <v>-9.2057461789832346E-2</v>
      </c>
      <c r="Y57">
        <f>IFERROR('Fat Spreads'!AR57-'Fat Spreads'!AR62,"")</f>
        <v>0</v>
      </c>
      <c r="Z57">
        <f>IFERROR('Fat Spreads'!AR57-'Fat Spreads'!AR67,"")</f>
        <v>0</v>
      </c>
      <c r="AA57">
        <f>IFERROR(AVERAGE('Fat Spreads'!AR57:AR76)+2*STDEV('Fat Spreads'!AR57:AR76),"")</f>
        <v>0</v>
      </c>
      <c r="AB57">
        <f>IFERROR(AVERAGE('Fat Spreads'!AR57:AR76)-2*STDEV('Fat Spreads'!AR57:AR76),"")</f>
        <v>0</v>
      </c>
      <c r="AC57" t="str">
        <f>IFERROR(('Fat Spreads'!AR57-(AVERAGE('Fat Spreads'!AR57:AR76)-2*STDEV('Fat Spreads'!AR57:AR76)))/(4*STDEV('Fat Spreads'!AR57:AR76)),"")</f>
        <v/>
      </c>
      <c r="AD57" t="str">
        <f>IFERROR(4*STDEV('Fat Spreads'!AR57:AR76)/AVERAGE('Fat Spreads'!AR57:AR76),"")</f>
        <v/>
      </c>
      <c r="AE57">
        <v>64.697299999999998</v>
      </c>
      <c r="AF57">
        <f>IFERROR(SQRT((SUMSQ('Fat Spreads'!AR57:AR76)-2*SUMPRODUCT('Fat Spreads'!AR57:AR76,'Fat Spreads'!AR58:AR77)+SUMSQ('Fat Spreads'!AR58:AR77)-('Fat Spreads'!AR57-'Fat Spreads'!AR77)^2/20)/19),"")</f>
        <v>0</v>
      </c>
      <c r="AH57">
        <f>IFERROR('Fat Spreads'!O57,"")</f>
        <v>0</v>
      </c>
      <c r="AI57">
        <f>IFERROR(('Fat Spreads'!P57-AVERAGE('Fat Spreads'!$P$3:$P$4308))/STDEV('Fat Spreads'!$P$3:$P$4308),"")</f>
        <v>-9.2057461789832332E-2</v>
      </c>
      <c r="AJ57">
        <f>IFERROR('Fat Spreads'!P57-'Fat Spreads'!P62,"")</f>
        <v>0</v>
      </c>
      <c r="AK57">
        <f>IFERROR('Fat Spreads'!P57-'Fat Spreads'!P67,"")</f>
        <v>0</v>
      </c>
      <c r="AL57">
        <f>IFERROR(AVERAGE('Fat Spreads'!P57:P76)+2*STDEV('Fat Spreads'!P57:P76),"")</f>
        <v>0</v>
      </c>
      <c r="AM57">
        <f>IFERROR(AVERAGE('Fat Spreads'!P57:P76)-2*STDEV('Fat Spreads'!P57:P76),"")</f>
        <v>0</v>
      </c>
      <c r="AN57" t="str">
        <f>IFERROR(('Fat Spreads'!P57-(AVERAGE('Fat Spreads'!P57:P76)-2*STDEV('Fat Spreads'!P57:P76)))/(4*STDEV('Fat Spreads'!P57:P76)),"")</f>
        <v/>
      </c>
      <c r="AO57" t="str">
        <f>IFERROR(4*STDEV('Fat Spreads'!P57:P76)/AVERAGE('Fat Spreads'!P57:P76),"")</f>
        <v/>
      </c>
      <c r="AP57">
        <v>56.724699999999999</v>
      </c>
      <c r="AQ57">
        <f>IFERROR(SQRT((SUMSQ('Fat Spreads'!P57:P76)-2*SUMPRODUCT('Fat Spreads'!P57:P76,'Fat Spreads'!P58:P77)+SUMSQ('Fat Spreads'!P58:P77)-('Fat Spreads'!P57-'Fat Spreads'!P77)^2/20)/19),"")</f>
        <v>0</v>
      </c>
      <c r="AS57">
        <f>IFERROR('Fat Spreads'!AJ57,"")</f>
        <v>0</v>
      </c>
      <c r="AT57">
        <f>IFERROR(('Fat Spreads'!AK57-AVERAGE('Fat Spreads'!$AK$3:$AK$4308))/STDEV('Fat Spreads'!$AK$3:$AK$4308),"")</f>
        <v>-9.2057461789832332E-2</v>
      </c>
      <c r="AU57">
        <f>IFERROR('Fat Spreads'!AK57-'Fat Spreads'!AK62,"")</f>
        <v>0</v>
      </c>
      <c r="AV57">
        <f>IFERROR('Fat Spreads'!AK57-'Fat Spreads'!AK67,"")</f>
        <v>0</v>
      </c>
      <c r="AW57">
        <f>IFERROR(AVERAGE('Fat Spreads'!AK57:AK76)+2*STDEV('Fat Spreads'!AK57:AK76),"")</f>
        <v>0</v>
      </c>
      <c r="AX57">
        <f>IFERROR(AVERAGE('Fat Spreads'!AK57:AK76)-2*STDEV('Fat Spreads'!AK57:AK76),"")</f>
        <v>0</v>
      </c>
      <c r="AY57" t="str">
        <f>IFERROR(('Fat Spreads'!AK57-(AVERAGE('Fat Spreads'!AK57:AK76)-2*STDEV('Fat Spreads'!AK57:AK76)))/(4*STDEV('Fat Spreads'!AK57:AK76)),"")</f>
        <v/>
      </c>
      <c r="AZ57" t="str">
        <f>IFERROR(4*STDEV('Fat Spreads'!AK57:AK76)/AVERAGE('Fat Spreads'!AK57:AK76),"")</f>
        <v/>
      </c>
      <c r="BA57">
        <v>79.636399999999995</v>
      </c>
      <c r="BB57">
        <f>IFERROR(SQRT((SUMSQ('Fat Spreads'!AK57:AK76)-2*SUMPRODUCT('Fat Spreads'!AK57:AK76,'Fat Spreads'!AK58:AK77)+SUMSQ('Fat Spreads'!AK58:AK77)-('Fat Spreads'!AK57-'Fat Spreads'!AK77)^2/20)/19),"")</f>
        <v>0</v>
      </c>
      <c r="BD57">
        <f>IFERROR('Fat Spreads'!V57,"")</f>
        <v>0</v>
      </c>
      <c r="BE57">
        <f>IFERROR(('Fat Spreads'!W57-AVERAGE('Fat Spreads'!$W$3:$W$4308))/STDEV('Fat Spreads'!$W$3:$W$4308),"")</f>
        <v>-9.2057461789832332E-2</v>
      </c>
      <c r="BF57">
        <f>IFERROR('Fat Spreads'!W57-'Fat Spreads'!W62,"")</f>
        <v>0</v>
      </c>
      <c r="BG57">
        <f>IFERROR('Fat Spreads'!W57-'Fat Spreads'!W67,"")</f>
        <v>0</v>
      </c>
      <c r="BH57">
        <f>IFERROR(AVERAGE('Fat Spreads'!W57:W76)+2*STDEV('Fat Spreads'!W57:W76),"")</f>
        <v>0</v>
      </c>
      <c r="BI57">
        <f>IFERROR(AVERAGE('Fat Spreads'!W57:W76)-2*STDEV('Fat Spreads'!W57:W76),"")</f>
        <v>0</v>
      </c>
      <c r="BJ57" t="str">
        <f>IFERROR(('Fat Spreads'!W57-(AVERAGE('Fat Spreads'!W57:W76)-2*STDEV('Fat Spreads'!W57:W76)))/(4*STDEV('Fat Spreads'!W57:W76)),"")</f>
        <v/>
      </c>
      <c r="BK57" t="str">
        <f>IFERROR(4*STDEV('Fat Spreads'!W57:W76)/AVERAGE('Fat Spreads'!W57:W76),"")</f>
        <v/>
      </c>
      <c r="BL57">
        <v>66.281300000000002</v>
      </c>
      <c r="BM57">
        <f>IFERROR(SQRT((SUMSQ('Fat Spreads'!W57:W76)-2*SUMPRODUCT('Fat Spreads'!W57:W76,'Fat Spreads'!W58:W77)+SUMSQ('Fat Spreads'!W58:W77)-('Fat Spreads'!W57-'Fat Spreads'!W77)^2/20)/19),"")</f>
        <v>0</v>
      </c>
      <c r="BO57">
        <f>IFERROR('Fat Spreads'!AC57,"")</f>
        <v>0</v>
      </c>
      <c r="BP57">
        <f>IFERROR(('Fat Spreads'!AD57-AVERAGE('Fat Spreads'!$AD$3:$AD$4308))/STDEV('Fat Spreads'!$AD$3:$AD$4308),"")</f>
        <v>-9.2057461789832332E-2</v>
      </c>
      <c r="BQ57">
        <f>IFERROR('Fat Spreads'!AD57-'Fat Spreads'!AD62,"")</f>
        <v>0</v>
      </c>
      <c r="BR57">
        <f>IFERROR('Fat Spreads'!AD57-'Fat Spreads'!AD67,"")</f>
        <v>0</v>
      </c>
      <c r="BS57">
        <f>IFERROR(AVERAGE('Fat Spreads'!AD57:AD76)+2*STDEV('Fat Spreads'!AD57:AD76),"")</f>
        <v>0</v>
      </c>
      <c r="BT57">
        <f>IFERROR(AVERAGE('Fat Spreads'!AD57:AD76)-2*STDEV('Fat Spreads'!AD57:AD76),"")</f>
        <v>0</v>
      </c>
      <c r="BU57" t="str">
        <f>IFERROR(('Fat Spreads'!AD57-(AVERAGE('Fat Spreads'!AD57:AD76)-2*STDEV('Fat Spreads'!AD57:AD76)))/(4*STDEV('Fat Spreads'!AD57:AD76)),"")</f>
        <v/>
      </c>
      <c r="BV57" t="str">
        <f>IFERROR(4*STDEV('Fat Spreads'!AD57:AD76)/AVERAGE('Fat Spreads'!AD57:AD76),"")</f>
        <v/>
      </c>
      <c r="BW57">
        <v>29.148900000000001</v>
      </c>
      <c r="BX57">
        <f>IFERROR(SQRT((SUMSQ('Fat Spreads'!AD57:AD76)-2*SUMPRODUCT('Fat Spreads'!AD57:AD76,'Fat Spreads'!AD58:AD77)+SUMSQ('Fat Spreads'!AD58:AD77)-('Fat Spreads'!AD57-'Fat Spreads'!AD77)^2/20)/19),"")</f>
        <v>0</v>
      </c>
      <c r="BZ57">
        <f>IFERROR('Feeder Spreads'!A57,"")</f>
        <v>0</v>
      </c>
      <c r="CA57">
        <f>IFERROR(('Feeder Spreads'!B57-AVERAGE('Feeder Spreads'!$B$3:$B$4308))/STDEV('Feeder Spreads'!$B$3:$B$4308),"")</f>
        <v>-9.2057461789832346E-2</v>
      </c>
      <c r="CB57">
        <f>IFERROR('Feeder Spreads'!B57-'Feeder Spreads'!B62,"")</f>
        <v>0</v>
      </c>
      <c r="CC57">
        <f>IFERROR('Feeder Spreads'!B57-'Feeder Spreads'!B67,"")</f>
        <v>0</v>
      </c>
      <c r="CD57">
        <f>IFERROR(AVERAGE('Feeder Spreads'!B57:B76)+2*STDEV('Feeder Spreads'!B57:B76),"")</f>
        <v>0</v>
      </c>
      <c r="CE57">
        <f>IFERROR(AVERAGE('Feeder Spreads'!B57:B76)-2*STDEV('Feeder Spreads'!B57:B76),"")</f>
        <v>0</v>
      </c>
      <c r="CF57" t="str">
        <f>IFERROR(('Feeder Spreads'!B57-(AVERAGE('Feeder Spreads'!B57:B76)-2*STDEV('Feeder Spreads'!B57:B76)))/(4*STDEV('Feeder Spreads'!B57:B76)),"")</f>
        <v/>
      </c>
      <c r="CG57" t="str">
        <f>IFERROR(4*STDEV('Feeder Spreads'!B57:B76)/AVERAGE('Feeder Spreads'!B57:B76),"")</f>
        <v/>
      </c>
      <c r="CH57">
        <v>45.013300000000001</v>
      </c>
      <c r="CI57">
        <f>IFERROR(SQRT((SUMSQ('Feeder Spreads'!B57:B76)-2*SUMPRODUCT('Feeder Spreads'!B57:B76,'Feeder Spreads'!B58:B77)+SUMSQ('Feeder Spreads'!B58:B77)-('Feeder Spreads'!B57-'Feeder Spreads'!B77)^2/20)/19),"")</f>
        <v>0</v>
      </c>
      <c r="CK57">
        <f>IFERROR('Feeder Spreads'!AX57,"")</f>
        <v>0</v>
      </c>
      <c r="CL57">
        <f>IFERROR(('Feeder Spreads'!AY57-AVERAGE('Feeder Spreads'!$AY$3:$AY$4308))/STDEV('Feeder Spreads'!$AY$3:$AY$4308),"")</f>
        <v>-9.2057461789832346E-2</v>
      </c>
      <c r="CM57">
        <f>IFERROR('Feeder Spreads'!AY57-'Feeder Spreads'!AY62,"")</f>
        <v>0</v>
      </c>
      <c r="CN57">
        <f>IFERROR('Feeder Spreads'!AY57-'Feeder Spreads'!AY67,"")</f>
        <v>0</v>
      </c>
      <c r="CO57">
        <f>IFERROR(AVERAGE('Feeder Spreads'!AY57:AY76)+2*STDEV('Feeder Spreads'!AY57:AY76),"")</f>
        <v>0</v>
      </c>
      <c r="CP57">
        <f>IFERROR(AVERAGE('Feeder Spreads'!AY57:AY76)-2*STDEV('Feeder Spreads'!AY57:AY76),"")</f>
        <v>0</v>
      </c>
      <c r="CQ57" t="str">
        <f>IFERROR(('Feeder Spreads'!AY57-(AVERAGE('Feeder Spreads'!AY57:AY76)-2*STDEV('Feeder Spreads'!AY57:AY76)))/(4*STDEV('Feeder Spreads'!AY57:AY76)),"")</f>
        <v/>
      </c>
      <c r="CR57" t="str">
        <f>IFERROR(4*STDEV('Feeder Spreads'!AY57:AY76)/AVERAGE('Feeder Spreads'!AY57:AY76),"")</f>
        <v/>
      </c>
      <c r="CS57">
        <v>79.861800000000002</v>
      </c>
      <c r="CT57">
        <f>IFERROR(SQRT((SUMSQ('Feeder Spreads'!AY57:AY76)-2*SUMPRODUCT('Feeder Spreads'!AY57:AY76,'Feeder Spreads'!AY58:AY77)+SUMSQ('Feeder Spreads'!AY58:AY77)-('Feeder Spreads'!AY57-'Feeder Spreads'!AY77)^2/20)/19),"")</f>
        <v>0</v>
      </c>
      <c r="CV57">
        <f>IFERROR('Feeder Spreads'!H57,"")</f>
        <v>0</v>
      </c>
      <c r="CW57">
        <f>IFERROR(('Feeder Spreads'!I57-AVERAGE('Feeder Spreads'!$I$3:$I$4308))/STDEV('Feeder Spreads'!$I$3:$I$4308),"")</f>
        <v>-9.2057461789832332E-2</v>
      </c>
      <c r="CX57">
        <f>IFERROR('Feeder Spreads'!I57-'Feeder Spreads'!I62,"")</f>
        <v>0</v>
      </c>
      <c r="CY57">
        <f>IFERROR('Feeder Spreads'!I57-'Feeder Spreads'!I67,"")</f>
        <v>0</v>
      </c>
      <c r="CZ57">
        <f>IFERROR(AVERAGE('Feeder Spreads'!I57:I76)+2*STDEV('Feeder Spreads'!I57:I76),"")</f>
        <v>0</v>
      </c>
      <c r="DA57">
        <f>IFERROR(AVERAGE('Feeder Spreads'!I57:I76)-2*STDEV('Feeder Spreads'!I57:I76),"")</f>
        <v>0</v>
      </c>
      <c r="DB57" t="str">
        <f>IFERROR(('Feeder Spreads'!I57-(AVERAGE('Feeder Spreads'!I57:I76)-2*STDEV('Feeder Spreads'!I57:I76)))/(4*STDEV('Feeder Spreads'!I57:I76)),"")</f>
        <v/>
      </c>
      <c r="DC57" t="str">
        <f>IFERROR(4*STDEV('Feeder Spreads'!I57:I76)/AVERAGE('Feeder Spreads'!I57:I76),"")</f>
        <v/>
      </c>
      <c r="DD57">
        <v>40.180199999999999</v>
      </c>
      <c r="DE57">
        <f>IFERROR(SQRT((SUMSQ('Feeder Spreads'!I57:I76)-2*SUMPRODUCT('Feeder Spreads'!I57:I76,'Feeder Spreads'!I58:I77)+SUMSQ('Feeder Spreads'!I58:I77)-('Feeder Spreads'!I57-'Feeder Spreads'!I77)^2/20)/19),"")</f>
        <v>0</v>
      </c>
      <c r="DG57">
        <f>IFERROR('Feeder Spreads'!O57,"")</f>
        <v>0</v>
      </c>
      <c r="DH57">
        <f>IFERROR(('Feeder Spreads'!P57-AVERAGE('Feeder Spreads'!$P$3:$P$4308))/STDEV('Feeder Spreads'!$P$3:$P$4308),"")</f>
        <v>-9.2057461789832346E-2</v>
      </c>
      <c r="DI57">
        <f>IFERROR('Feeder Spreads'!P57-'Feeder Spreads'!P62,"")</f>
        <v>0</v>
      </c>
      <c r="DJ57">
        <f>IFERROR('Feeder Spreads'!P57-'Feeder Spreads'!P67,"")</f>
        <v>0</v>
      </c>
      <c r="DK57">
        <f>IFERROR(AVERAGE('Feeder Spreads'!P57:P76)+2*STDEV('Feeder Spreads'!P57:P76),"")</f>
        <v>0</v>
      </c>
      <c r="DL57">
        <f>IFERROR(AVERAGE('Feeder Spreads'!P57:P76)-2*STDEV('Feeder Spreads'!P57:P76),"")</f>
        <v>0</v>
      </c>
      <c r="DM57" t="str">
        <f>IFERROR(('Feeder Spreads'!P57-(AVERAGE('Feeder Spreads'!P57:P76)-2*STDEV('Feeder Spreads'!P57:P76)))/(4*STDEV('Feeder Spreads'!P57:P76)),"")</f>
        <v/>
      </c>
      <c r="DN57" t="str">
        <f>IFERROR(4*STDEV('Feeder Spreads'!P57:P76)/AVERAGE('Feeder Spreads'!P57:P76),"")</f>
        <v/>
      </c>
      <c r="DO57">
        <v>55.282299999999999</v>
      </c>
      <c r="DP57">
        <f>IFERROR(SQRT((SUMSQ('Feeder Spreads'!P57:P76)-2*SUMPRODUCT('Feeder Spreads'!P57:P76,'Feeder Spreads'!P58:P77)+SUMSQ('Feeder Spreads'!P58:P77)-('Feeder Spreads'!P57-'Feeder Spreads'!P77)^2/20)/19),"")</f>
        <v>0</v>
      </c>
      <c r="DR57">
        <f>IFERROR('Feeder Spreads'!V57,"")</f>
        <v>0</v>
      </c>
      <c r="DS57">
        <f>IFERROR(('Feeder Spreads'!W57-AVERAGE('Feeder Spreads'!$W$3:$W$4308))/STDEV('Feeder Spreads'!$W$3:$W$4308),"")</f>
        <v>-9.2057461789832332E-2</v>
      </c>
      <c r="DT57">
        <f>IFERROR('Feeder Spreads'!W57-'Feeder Spreads'!W62,"")</f>
        <v>0</v>
      </c>
      <c r="DU57">
        <f>IFERROR('Feeder Spreads'!W57-'Feeder Spreads'!W67,"")</f>
        <v>0</v>
      </c>
      <c r="DV57">
        <f>IFERROR(AVERAGE('Feeder Spreads'!W57:W76)+2*STDEV('Feeder Spreads'!W57:W76),"")</f>
        <v>0</v>
      </c>
      <c r="DW57">
        <f>IFERROR(AVERAGE('Feeder Spreads'!W57:W76)-2*STDEV('Feeder Spreads'!W57:W76),"")</f>
        <v>0</v>
      </c>
      <c r="DX57" t="str">
        <f>IFERROR(('Feeder Spreads'!W57-(AVERAGE('Feeder Spreads'!W57:W76)-2*STDEV('Feeder Spreads'!W57:W76)))/(4*STDEV('Feeder Spreads'!W57:W76)),"")</f>
        <v/>
      </c>
      <c r="DY57" t="str">
        <f>IFERROR(4*STDEV('Feeder Spreads'!W57:W76)/AVERAGE('Feeder Spreads'!W57:W76),"")</f>
        <v/>
      </c>
      <c r="DZ57">
        <v>54.122700000000002</v>
      </c>
      <c r="EA57">
        <f>IFERROR(SQRT((SUMSQ('Feeder Spreads'!W57:W76)-2*SUMPRODUCT('Feeder Spreads'!W57:W76,'Feeder Spreads'!W58:W77)+SUMSQ('Feeder Spreads'!W58:W77)-('Feeder Spreads'!W57-'Feeder Spreads'!W77)^2/20)/19),"")</f>
        <v>0</v>
      </c>
      <c r="EC57">
        <f>IFERROR('Feeder Spreads'!AC57,"")</f>
        <v>0</v>
      </c>
      <c r="ED57">
        <f>IFERROR(('Feeder Spreads'!AD57-AVERAGE('Feeder Spreads'!$AD$3:$AD$4308))/STDEV('Feeder Spreads'!$AD$3:$AD$4308),"")</f>
        <v>9.2057461789832318E-2</v>
      </c>
      <c r="EE57">
        <f>IFERROR('Feeder Spreads'!AD57-'Feeder Spreads'!AD62,"")</f>
        <v>0</v>
      </c>
      <c r="EF57">
        <f>IFERROR('Feeder Spreads'!AD57-'Feeder Spreads'!AD67,"")</f>
        <v>0</v>
      </c>
      <c r="EG57">
        <f>IFERROR(AVERAGE('Feeder Spreads'!AD57:AD76)+2*STDEV('Feeder Spreads'!AD57:AD76),"")</f>
        <v>0</v>
      </c>
      <c r="EH57">
        <f>IFERROR(AVERAGE('Feeder Spreads'!AD57:AD76)-2*STDEV('Feeder Spreads'!AD57:AD76),"")</f>
        <v>0</v>
      </c>
      <c r="EI57" t="str">
        <f>IFERROR(('Feeder Spreads'!AD57-(AVERAGE('Feeder Spreads'!AD57:AD76)-2*STDEV('Feeder Spreads'!AD57:AD76)))/(4*STDEV('Feeder Spreads'!AD57:AD76)),"")</f>
        <v/>
      </c>
      <c r="EJ57" t="str">
        <f>IFERROR(4*STDEV('Feeder Spreads'!AD57:AD76)/AVERAGE('Feeder Spreads'!AD57:AD76),"")</f>
        <v/>
      </c>
      <c r="EK57">
        <v>47.070500000000003</v>
      </c>
      <c r="EL57">
        <f>IFERROR(SQRT((SUMSQ('Feeder Spreads'!AD57:AD76)-2*SUMPRODUCT('Feeder Spreads'!AD57:AD76,'Feeder Spreads'!AD58:AD77)+SUMSQ('Feeder Spreads'!AD58:AD77)-('Feeder Spreads'!AD57-'Feeder Spreads'!AD77)^2/20)/19),"")</f>
        <v>0</v>
      </c>
      <c r="EN57">
        <f>IFERROR('Feeder Spreads'!AJ57,"")</f>
        <v>0</v>
      </c>
      <c r="EO57">
        <f>IFERROR(('Feeder Spreads'!AK57-AVERAGE('Feeder Spreads'!$AK$3:$AK$4308))/STDEV('Feeder Spreads'!$AK$3:$AK$4308),"")</f>
        <v>-9.2057461789832346E-2</v>
      </c>
      <c r="EP57">
        <f>IFERROR('Feeder Spreads'!AK57-'Feeder Spreads'!AK62,"")</f>
        <v>0</v>
      </c>
      <c r="EQ57">
        <f>IFERROR('Feeder Spreads'!AK57-'Feeder Spreads'!AK67,"")</f>
        <v>0</v>
      </c>
      <c r="ER57">
        <f>IFERROR(AVERAGE('Feeder Spreads'!AK57:AK76)+2*STDEV('Feeder Spreads'!AK57:AK76),"")</f>
        <v>0</v>
      </c>
      <c r="ES57">
        <f>IFERROR(AVERAGE('Feeder Spreads'!AK57:AK76)-2*STDEV('Feeder Spreads'!AK57:AK76),"")</f>
        <v>0</v>
      </c>
      <c r="ET57" t="str">
        <f>IFERROR(('Feeder Spreads'!AK57-(AVERAGE('Feeder Spreads'!AK57:AK76)-2*STDEV('Feeder Spreads'!AK57:AK76)))/(4*STDEV('Feeder Spreads'!AK57:AK76)),"")</f>
        <v/>
      </c>
      <c r="EU57" t="str">
        <f>IFERROR(4*STDEV('Feeder Spreads'!AK57:AK76)/AVERAGE('Feeder Spreads'!AK57:AK76),"")</f>
        <v/>
      </c>
      <c r="EV57">
        <v>50.238199999999999</v>
      </c>
      <c r="EW57">
        <f>IFERROR(SQRT((SUMSQ('Feeder Spreads'!AK57:AK76)-2*SUMPRODUCT('Feeder Spreads'!AK57:AK76,'Feeder Spreads'!AK58:AK77)+SUMSQ('Feeder Spreads'!AK58:AK77)-('Feeder Spreads'!AK57-'Feeder Spreads'!AK77)^2/20)/19),"")</f>
        <v>0</v>
      </c>
      <c r="EY57">
        <f>IFERROR('Feeder Spreads'!AQ57,"")</f>
        <v>0</v>
      </c>
      <c r="EZ57">
        <f>IFERROR(('Feeder Spreads'!AR57-AVERAGE('Feeder Spreads'!$AR$3:$AR$4308))/STDEV('Feeder Spreads'!$AR$3:$AR$4308),"")</f>
        <v>-9.2057461789832332E-2</v>
      </c>
      <c r="FA57">
        <f>IFERROR('Feeder Spreads'!AR57-'Feeder Spreads'!AR62,"")</f>
        <v>0</v>
      </c>
      <c r="FB57">
        <f>IFERROR('Feeder Spreads'!AR57-'Feeder Spreads'!AR67,"")</f>
        <v>0</v>
      </c>
      <c r="FC57">
        <f>IFERROR(AVERAGE('Feeder Spreads'!AR57:AR76)+2*STDEV('Feeder Spreads'!AR57:AR76),"")</f>
        <v>0</v>
      </c>
      <c r="FD57">
        <f>IFERROR(AVERAGE('Feeder Spreads'!AR57:AR76)-2*STDEV('Feeder Spreads'!AR57:AR76),"")</f>
        <v>0</v>
      </c>
      <c r="FE57" t="str">
        <f>IFERROR(('Feeder Spreads'!AR57-(AVERAGE('Feeder Spreads'!AR57:AR76)-2*STDEV('Feeder Spreads'!AR57:AR76)))/(4*STDEV('Feeder Spreads'!AR57:AR76)),"")</f>
        <v/>
      </c>
      <c r="FF57" t="str">
        <f>IFERROR(4*STDEV('Feeder Spreads'!AR57:AR76)/AVERAGE('Feeder Spreads'!AR57:AR76),"")</f>
        <v/>
      </c>
      <c r="FG57">
        <v>53.788200000000003</v>
      </c>
      <c r="FH57">
        <f>IFERROR(SQRT((SUMSQ('Feeder Spreads'!AR57:AR76)-2*SUMPRODUCT('Feeder Spreads'!AR57:AR76,'Feeder Spreads'!AR58:AR77)+SUMSQ('Feeder Spreads'!AR58:AR77)-('Feeder Spreads'!AR57-'Feeder Spreads'!AR77)^2/20)/19),"")</f>
        <v>0</v>
      </c>
      <c r="FJ57">
        <f>IFERROR('Fat Spreads'!AX57,"")</f>
        <v>0</v>
      </c>
      <c r="FK57">
        <f>IFERROR(('Fat Spreads'!AY57-AVERAGE('Fat Spreads'!$AY$3:$AY$4308))/STDEV('Fat Spreads'!$AY$3:$AY$4308),"")</f>
        <v>9.2057461789832332E-2</v>
      </c>
      <c r="FL57">
        <f>IFERROR('Fat Spreads'!AY57-'Fat Spreads'!AY62,"")</f>
        <v>0</v>
      </c>
      <c r="FM57">
        <f>IFERROR('Fat Spreads'!AY57-'Fat Spreads'!AY67,"")</f>
        <v>0</v>
      </c>
      <c r="FN57">
        <f>IFERROR(AVERAGE('Fat Spreads'!AY57:AY76)+2*STDEV('Fat Spreads'!AY57:AY76),"")</f>
        <v>0</v>
      </c>
      <c r="FO57">
        <f>IFERROR(AVERAGE('Fat Spreads'!AY57:AY76)-2*STDEV('Fat Spreads'!AY57:AY76),"")</f>
        <v>0</v>
      </c>
      <c r="FP57" t="str">
        <f>IFERROR(('Fat Spreads'!AY57-(AVERAGE('Fat Spreads'!AY57:AY76)-2*STDEV('Fat Spreads'!AY57:AY76)))/(4*STDEV('Fat Spreads'!AY57:AY76)),"")</f>
        <v/>
      </c>
      <c r="FQ57" t="str">
        <f>IFERROR(4*STDEV('Fat Spreads'!AY57:AY76)/AVERAGE('Fat Spreads'!AY57:AY76),"")</f>
        <v/>
      </c>
      <c r="FR57">
        <v>73.749399999999994</v>
      </c>
      <c r="FS57">
        <f>IFERROR(SQRT((SUMSQ('Fat Spreads'!AY57:AY76)-2*SUMPRODUCT('Fat Spreads'!AY57:AY76,'Fat Spreads'!AY58:AY77)+SUMSQ('Fat Spreads'!AY58:AY77)-('Fat Spreads'!AY57-'Fat Spreads'!AY77)^2/20)/19),"")</f>
        <v>0</v>
      </c>
      <c r="FU57">
        <f>IFERROR('Fat Spreads'!BE57,"")</f>
        <v>0</v>
      </c>
      <c r="FV57">
        <f>IFERROR(('Fat Spreads'!BF57-AVERAGE('Fat Spreads'!$BF$3:$BF$4308))/STDEV('Fat Spreads'!$BF$3:$BF$4308),"")</f>
        <v>9.2057461789832332E-2</v>
      </c>
      <c r="FW57">
        <f>IFERROR('Fat Spreads'!BF57-'Fat Spreads'!BF62,"")</f>
        <v>0</v>
      </c>
      <c r="FX57">
        <f>IFERROR('Fat Spreads'!BF57-'Fat Spreads'!BF67,"")</f>
        <v>0</v>
      </c>
      <c r="FY57">
        <f>IFERROR(AVERAGE('Fat Spreads'!BF57:BF76)+2*STDEV('Fat Spreads'!BF57:BF76),"")</f>
        <v>0</v>
      </c>
      <c r="FZ57">
        <f>IFERROR(AVERAGE('Fat Spreads'!BF57:BF76)-2*STDEV('Fat Spreads'!BF57:BF76),"")</f>
        <v>0</v>
      </c>
      <c r="GA57" t="str">
        <f>IFERROR(('Fat Spreads'!BF57-(AVERAGE('Fat Spreads'!BF57:BF76)-2*STDEV('Fat Spreads'!BF57:BF76)))/(4*STDEV('Fat Spreads'!BF57:BF76)),"")</f>
        <v/>
      </c>
      <c r="GB57" t="str">
        <f>IFERROR(4*STDEV('Fat Spreads'!BF57:BF76)/AVERAGE('Fat Spreads'!BF57:BF76),"")</f>
        <v/>
      </c>
      <c r="GC57">
        <v>49.595500000000001</v>
      </c>
      <c r="GD57">
        <f>IFERROR(SQRT((SUMSQ('Fat Spreads'!BF57:BF76)-2*SUMPRODUCT('Fat Spreads'!BF57:BF76,'Fat Spreads'!BF58:BF77)+SUMSQ('Fat Spreads'!BF58:BF77)-('Fat Spreads'!BF57-'Fat Spreads'!BF77)^2/20)/19),"")</f>
        <v>0</v>
      </c>
    </row>
    <row r="58" spans="1:186" x14ac:dyDescent="0.25">
      <c r="A58">
        <f>IFERROR('Fat Spreads'!A58,"")</f>
        <v>0</v>
      </c>
      <c r="B58">
        <f>IFERROR(('Fat Spreads'!B58-AVERAGE('Fat Spreads'!$B$3:$B$4308))/STDEV('Fat Spreads'!$B$3:$B$4308),"")</f>
        <v>9.2057461789832346E-2</v>
      </c>
      <c r="C58">
        <f>IFERROR('Fat Spreads'!B58-'Fat Spreads'!B63,"")</f>
        <v>0</v>
      </c>
      <c r="D58">
        <f>IFERROR('Fat Spreads'!B58-'Fat Spreads'!B68,"")</f>
        <v>0</v>
      </c>
      <c r="E58">
        <f>IFERROR(AVERAGE('Fat Spreads'!B58:B77)+2*STDEV('Fat Spreads'!B58:B77),"")</f>
        <v>0</v>
      </c>
      <c r="F58">
        <f>IFERROR(AVERAGE('Fat Spreads'!B58:B77)-2*STDEV('Fat Spreads'!B58:B77),"")</f>
        <v>0</v>
      </c>
      <c r="G58" t="str">
        <f>IFERROR(('Fat Spreads'!B58-(AVERAGE('Fat Spreads'!B58:B77)-2*STDEV('Fat Spreads'!B58:B77)))/(4*STDEV('Fat Spreads'!B58:B77)),"")</f>
        <v/>
      </c>
      <c r="H58" t="str">
        <f>IFERROR(4*STDEV('Fat Spreads'!B58:B77)/AVERAGE('Fat Spreads'!B58:B77),"")</f>
        <v/>
      </c>
      <c r="I58">
        <v>49.299100000000003</v>
      </c>
      <c r="J58">
        <f>IFERROR(SQRT((SUMSQ('Fat Spreads'!B58:B77)-2*SUMPRODUCT('Fat Spreads'!B58:B77,'Fat Spreads'!B59:B78)+SUMSQ('Fat Spreads'!B59:B78)-('Fat Spreads'!B58-'Fat Spreads'!B78)^2/20)/19),"")</f>
        <v>0</v>
      </c>
      <c r="L58">
        <f>IFERROR('Fat Spreads'!H58,"")</f>
        <v>0</v>
      </c>
      <c r="M58">
        <f>IFERROR(('Fat Spreads'!I58-AVERAGE('Fat Spreads'!$I$3:$I$4308))/STDEV('Fat Spreads'!$I$3:$I$4308),"")</f>
        <v>-9.2057461789832332E-2</v>
      </c>
      <c r="N58">
        <f>IFERROR('Fat Spreads'!I58-'Fat Spreads'!I63,"")</f>
        <v>0</v>
      </c>
      <c r="O58">
        <f>IFERROR('Fat Spreads'!I58-'Fat Spreads'!I68,"")</f>
        <v>0</v>
      </c>
      <c r="P58">
        <f>IFERROR(AVERAGE('Fat Spreads'!I58:I77)+2*STDEV('Fat Spreads'!I58:I77),"")</f>
        <v>0</v>
      </c>
      <c r="Q58">
        <f>IFERROR(AVERAGE('Fat Spreads'!I58:I77)-2*STDEV('Fat Spreads'!I58:I77),"")</f>
        <v>0</v>
      </c>
      <c r="R58" t="str">
        <f>IFERROR(('Fat Spreads'!I58-(AVERAGE('Fat Spreads'!I58:I77)-2*STDEV('Fat Spreads'!I58:I77)))/(4*STDEV('Fat Spreads'!I58:I77)),"")</f>
        <v/>
      </c>
      <c r="S58" t="str">
        <f>IFERROR(4*STDEV('Fat Spreads'!I58:I77)/AVERAGE('Fat Spreads'!I58:I77),"")</f>
        <v/>
      </c>
      <c r="T58">
        <v>49.626100000000001</v>
      </c>
      <c r="U58">
        <f>IFERROR(SQRT((SUMSQ('Fat Spreads'!I58:I77)-2*SUMPRODUCT('Fat Spreads'!I58:I77,'Fat Spreads'!I59:I78)+SUMSQ('Fat Spreads'!I59:I78)-('Fat Spreads'!I58-'Fat Spreads'!I78)^2/20)/19),"")</f>
        <v>0</v>
      </c>
      <c r="W58">
        <f>IFERROR('Fat Spreads'!AQ58,"")</f>
        <v>0</v>
      </c>
      <c r="X58">
        <f>IFERROR(('Fat Spreads'!AR58-AVERAGE('Fat Spreads'!$AR$3:$AR$4308))/STDEV('Fat Spreads'!$AR$3:$AR$4308),"")</f>
        <v>-9.2057461789832346E-2</v>
      </c>
      <c r="Y58">
        <f>IFERROR('Fat Spreads'!AR58-'Fat Spreads'!AR63,"")</f>
        <v>0</v>
      </c>
      <c r="Z58">
        <f>IFERROR('Fat Spreads'!AR58-'Fat Spreads'!AR68,"")</f>
        <v>0</v>
      </c>
      <c r="AA58">
        <f>IFERROR(AVERAGE('Fat Spreads'!AR58:AR77)+2*STDEV('Fat Spreads'!AR58:AR77),"")</f>
        <v>0</v>
      </c>
      <c r="AB58">
        <f>IFERROR(AVERAGE('Fat Spreads'!AR58:AR77)-2*STDEV('Fat Spreads'!AR58:AR77),"")</f>
        <v>0</v>
      </c>
      <c r="AC58" t="str">
        <f>IFERROR(('Fat Spreads'!AR58-(AVERAGE('Fat Spreads'!AR58:AR77)-2*STDEV('Fat Spreads'!AR58:AR77)))/(4*STDEV('Fat Spreads'!AR58:AR77)),"")</f>
        <v/>
      </c>
      <c r="AD58" t="str">
        <f>IFERROR(4*STDEV('Fat Spreads'!AR58:AR77)/AVERAGE('Fat Spreads'!AR58:AR77),"")</f>
        <v/>
      </c>
      <c r="AE58">
        <v>62.262999999999998</v>
      </c>
      <c r="AF58">
        <f>IFERROR(SQRT((SUMSQ('Fat Spreads'!AR58:AR77)-2*SUMPRODUCT('Fat Spreads'!AR58:AR77,'Fat Spreads'!AR59:AR78)+SUMSQ('Fat Spreads'!AR59:AR78)-('Fat Spreads'!AR58-'Fat Spreads'!AR78)^2/20)/19),"")</f>
        <v>0</v>
      </c>
      <c r="AH58">
        <f>IFERROR('Fat Spreads'!O58,"")</f>
        <v>0</v>
      </c>
      <c r="AI58">
        <f>IFERROR(('Fat Spreads'!P58-AVERAGE('Fat Spreads'!$P$3:$P$4308))/STDEV('Fat Spreads'!$P$3:$P$4308),"")</f>
        <v>-9.2057461789832332E-2</v>
      </c>
      <c r="AJ58">
        <f>IFERROR('Fat Spreads'!P58-'Fat Spreads'!P63,"")</f>
        <v>0</v>
      </c>
      <c r="AK58">
        <f>IFERROR('Fat Spreads'!P58-'Fat Spreads'!P68,"")</f>
        <v>0</v>
      </c>
      <c r="AL58">
        <f>IFERROR(AVERAGE('Fat Spreads'!P58:P77)+2*STDEV('Fat Spreads'!P58:P77),"")</f>
        <v>0</v>
      </c>
      <c r="AM58">
        <f>IFERROR(AVERAGE('Fat Spreads'!P58:P77)-2*STDEV('Fat Spreads'!P58:P77),"")</f>
        <v>0</v>
      </c>
      <c r="AN58" t="str">
        <f>IFERROR(('Fat Spreads'!P58-(AVERAGE('Fat Spreads'!P58:P77)-2*STDEV('Fat Spreads'!P58:P77)))/(4*STDEV('Fat Spreads'!P58:P77)),"")</f>
        <v/>
      </c>
      <c r="AO58" t="str">
        <f>IFERROR(4*STDEV('Fat Spreads'!P58:P77)/AVERAGE('Fat Spreads'!P58:P77),"")</f>
        <v/>
      </c>
      <c r="AP58">
        <v>52.2667</v>
      </c>
      <c r="AQ58">
        <f>IFERROR(SQRT((SUMSQ('Fat Spreads'!P58:P77)-2*SUMPRODUCT('Fat Spreads'!P58:P77,'Fat Spreads'!P59:P78)+SUMSQ('Fat Spreads'!P59:P78)-('Fat Spreads'!P58-'Fat Spreads'!P78)^2/20)/19),"")</f>
        <v>0</v>
      </c>
      <c r="AS58">
        <f>IFERROR('Fat Spreads'!AJ58,"")</f>
        <v>0</v>
      </c>
      <c r="AT58">
        <f>IFERROR(('Fat Spreads'!AK58-AVERAGE('Fat Spreads'!$AK$3:$AK$4308))/STDEV('Fat Spreads'!$AK$3:$AK$4308),"")</f>
        <v>-9.2057461789832332E-2</v>
      </c>
      <c r="AU58">
        <f>IFERROR('Fat Spreads'!AK58-'Fat Spreads'!AK63,"")</f>
        <v>0</v>
      </c>
      <c r="AV58">
        <f>IFERROR('Fat Spreads'!AK58-'Fat Spreads'!AK68,"")</f>
        <v>0</v>
      </c>
      <c r="AW58">
        <f>IFERROR(AVERAGE('Fat Spreads'!AK58:AK77)+2*STDEV('Fat Spreads'!AK58:AK77),"")</f>
        <v>0</v>
      </c>
      <c r="AX58">
        <f>IFERROR(AVERAGE('Fat Spreads'!AK58:AK77)-2*STDEV('Fat Spreads'!AK58:AK77),"")</f>
        <v>0</v>
      </c>
      <c r="AY58" t="str">
        <f>IFERROR(('Fat Spreads'!AK58-(AVERAGE('Fat Spreads'!AK58:AK77)-2*STDEV('Fat Spreads'!AK58:AK77)))/(4*STDEV('Fat Spreads'!AK58:AK77)),"")</f>
        <v/>
      </c>
      <c r="AZ58" t="str">
        <f>IFERROR(4*STDEV('Fat Spreads'!AK58:AK77)/AVERAGE('Fat Spreads'!AK58:AK77),"")</f>
        <v/>
      </c>
      <c r="BA58">
        <v>74.752899999999997</v>
      </c>
      <c r="BB58">
        <f>IFERROR(SQRT((SUMSQ('Fat Spreads'!AK58:AK77)-2*SUMPRODUCT('Fat Spreads'!AK58:AK77,'Fat Spreads'!AK59:AK78)+SUMSQ('Fat Spreads'!AK59:AK78)-('Fat Spreads'!AK58-'Fat Spreads'!AK78)^2/20)/19),"")</f>
        <v>0</v>
      </c>
      <c r="BD58">
        <f>IFERROR('Fat Spreads'!V58,"")</f>
        <v>0</v>
      </c>
      <c r="BE58">
        <f>IFERROR(('Fat Spreads'!W58-AVERAGE('Fat Spreads'!$W$3:$W$4308))/STDEV('Fat Spreads'!$W$3:$W$4308),"")</f>
        <v>-9.2057461789832332E-2</v>
      </c>
      <c r="BF58">
        <f>IFERROR('Fat Spreads'!W58-'Fat Spreads'!W63,"")</f>
        <v>0</v>
      </c>
      <c r="BG58">
        <f>IFERROR('Fat Spreads'!W58-'Fat Spreads'!W68,"")</f>
        <v>0</v>
      </c>
      <c r="BH58">
        <f>IFERROR(AVERAGE('Fat Spreads'!W58:W77)+2*STDEV('Fat Spreads'!W58:W77),"")</f>
        <v>0</v>
      </c>
      <c r="BI58">
        <f>IFERROR(AVERAGE('Fat Spreads'!W58:W77)-2*STDEV('Fat Spreads'!W58:W77),"")</f>
        <v>0</v>
      </c>
      <c r="BJ58" t="str">
        <f>IFERROR(('Fat Spreads'!W58-(AVERAGE('Fat Spreads'!W58:W77)-2*STDEV('Fat Spreads'!W58:W77)))/(4*STDEV('Fat Spreads'!W58:W77)),"")</f>
        <v/>
      </c>
      <c r="BK58" t="str">
        <f>IFERROR(4*STDEV('Fat Spreads'!W58:W77)/AVERAGE('Fat Spreads'!W58:W77),"")</f>
        <v/>
      </c>
      <c r="BL58">
        <v>65.405900000000003</v>
      </c>
      <c r="BM58">
        <f>IFERROR(SQRT((SUMSQ('Fat Spreads'!W58:W77)-2*SUMPRODUCT('Fat Spreads'!W58:W77,'Fat Spreads'!W59:W78)+SUMSQ('Fat Spreads'!W59:W78)-('Fat Spreads'!W58-'Fat Spreads'!W78)^2/20)/19),"")</f>
        <v>0</v>
      </c>
      <c r="BO58">
        <f>IFERROR('Fat Spreads'!AC58,"")</f>
        <v>0</v>
      </c>
      <c r="BP58">
        <f>IFERROR(('Fat Spreads'!AD58-AVERAGE('Fat Spreads'!$AD$3:$AD$4308))/STDEV('Fat Spreads'!$AD$3:$AD$4308),"")</f>
        <v>-9.2057461789832332E-2</v>
      </c>
      <c r="BQ58">
        <f>IFERROR('Fat Spreads'!AD58-'Fat Spreads'!AD63,"")</f>
        <v>0</v>
      </c>
      <c r="BR58">
        <f>IFERROR('Fat Spreads'!AD58-'Fat Spreads'!AD68,"")</f>
        <v>0</v>
      </c>
      <c r="BS58">
        <f>IFERROR(AVERAGE('Fat Spreads'!AD58:AD77)+2*STDEV('Fat Spreads'!AD58:AD77),"")</f>
        <v>0</v>
      </c>
      <c r="BT58">
        <f>IFERROR(AVERAGE('Fat Spreads'!AD58:AD77)-2*STDEV('Fat Spreads'!AD58:AD77),"")</f>
        <v>0</v>
      </c>
      <c r="BU58" t="str">
        <f>IFERROR(('Fat Spreads'!AD58-(AVERAGE('Fat Spreads'!AD58:AD77)-2*STDEV('Fat Spreads'!AD58:AD77)))/(4*STDEV('Fat Spreads'!AD58:AD77)),"")</f>
        <v/>
      </c>
      <c r="BV58" t="str">
        <f>IFERROR(4*STDEV('Fat Spreads'!AD58:AD77)/AVERAGE('Fat Spreads'!AD58:AD77),"")</f>
        <v/>
      </c>
      <c r="BW58">
        <v>33.456000000000003</v>
      </c>
      <c r="BX58">
        <f>IFERROR(SQRT((SUMSQ('Fat Spreads'!AD58:AD77)-2*SUMPRODUCT('Fat Spreads'!AD58:AD77,'Fat Spreads'!AD59:AD78)+SUMSQ('Fat Spreads'!AD59:AD78)-('Fat Spreads'!AD58-'Fat Spreads'!AD78)^2/20)/19),"")</f>
        <v>0</v>
      </c>
      <c r="BZ58">
        <f>IFERROR('Feeder Spreads'!A58,"")</f>
        <v>0</v>
      </c>
      <c r="CA58">
        <f>IFERROR(('Feeder Spreads'!B58-AVERAGE('Feeder Spreads'!$B$3:$B$4308))/STDEV('Feeder Spreads'!$B$3:$B$4308),"")</f>
        <v>-9.2057461789832346E-2</v>
      </c>
      <c r="CB58">
        <f>IFERROR('Feeder Spreads'!B58-'Feeder Spreads'!B63,"")</f>
        <v>0</v>
      </c>
      <c r="CC58">
        <f>IFERROR('Feeder Spreads'!B58-'Feeder Spreads'!B68,"")</f>
        <v>0</v>
      </c>
      <c r="CD58">
        <f>IFERROR(AVERAGE('Feeder Spreads'!B58:B77)+2*STDEV('Feeder Spreads'!B58:B77),"")</f>
        <v>0</v>
      </c>
      <c r="CE58">
        <f>IFERROR(AVERAGE('Feeder Spreads'!B58:B77)-2*STDEV('Feeder Spreads'!B58:B77),"")</f>
        <v>0</v>
      </c>
      <c r="CF58" t="str">
        <f>IFERROR(('Feeder Spreads'!B58-(AVERAGE('Feeder Spreads'!B58:B77)-2*STDEV('Feeder Spreads'!B58:B77)))/(4*STDEV('Feeder Spreads'!B58:B77)),"")</f>
        <v/>
      </c>
      <c r="CG58" t="str">
        <f>IFERROR(4*STDEV('Feeder Spreads'!B58:B77)/AVERAGE('Feeder Spreads'!B58:B77),"")</f>
        <v/>
      </c>
      <c r="CH58">
        <v>42.375999999999998</v>
      </c>
      <c r="CI58">
        <f>IFERROR(SQRT((SUMSQ('Feeder Spreads'!B58:B77)-2*SUMPRODUCT('Feeder Spreads'!B58:B77,'Feeder Spreads'!B59:B78)+SUMSQ('Feeder Spreads'!B59:B78)-('Feeder Spreads'!B58-'Feeder Spreads'!B78)^2/20)/19),"")</f>
        <v>0</v>
      </c>
      <c r="CK58">
        <f>IFERROR('Feeder Spreads'!AX58,"")</f>
        <v>0</v>
      </c>
      <c r="CL58">
        <f>IFERROR(('Feeder Spreads'!AY58-AVERAGE('Feeder Spreads'!$AY$3:$AY$4308))/STDEV('Feeder Spreads'!$AY$3:$AY$4308),"")</f>
        <v>-9.2057461789832346E-2</v>
      </c>
      <c r="CM58">
        <f>IFERROR('Feeder Spreads'!AY58-'Feeder Spreads'!AY63,"")</f>
        <v>0</v>
      </c>
      <c r="CN58">
        <f>IFERROR('Feeder Spreads'!AY58-'Feeder Spreads'!AY68,"")</f>
        <v>0</v>
      </c>
      <c r="CO58">
        <f>IFERROR(AVERAGE('Feeder Spreads'!AY58:AY77)+2*STDEV('Feeder Spreads'!AY58:AY77),"")</f>
        <v>0</v>
      </c>
      <c r="CP58">
        <f>IFERROR(AVERAGE('Feeder Spreads'!AY58:AY77)-2*STDEV('Feeder Spreads'!AY58:AY77),"")</f>
        <v>0</v>
      </c>
      <c r="CQ58" t="str">
        <f>IFERROR(('Feeder Spreads'!AY58-(AVERAGE('Feeder Spreads'!AY58:AY77)-2*STDEV('Feeder Spreads'!AY58:AY77)))/(4*STDEV('Feeder Spreads'!AY58:AY77)),"")</f>
        <v/>
      </c>
      <c r="CR58" t="str">
        <f>IFERROR(4*STDEV('Feeder Spreads'!AY58:AY77)/AVERAGE('Feeder Spreads'!AY58:AY77),"")</f>
        <v/>
      </c>
      <c r="CS58">
        <v>79.706199999999995</v>
      </c>
      <c r="CT58">
        <f>IFERROR(SQRT((SUMSQ('Feeder Spreads'!AY58:AY77)-2*SUMPRODUCT('Feeder Spreads'!AY58:AY77,'Feeder Spreads'!AY59:AY78)+SUMSQ('Feeder Spreads'!AY59:AY78)-('Feeder Spreads'!AY58-'Feeder Spreads'!AY78)^2/20)/19),"")</f>
        <v>0</v>
      </c>
      <c r="CV58">
        <f>IFERROR('Feeder Spreads'!H58,"")</f>
        <v>0</v>
      </c>
      <c r="CW58">
        <f>IFERROR(('Feeder Spreads'!I58-AVERAGE('Feeder Spreads'!$I$3:$I$4308))/STDEV('Feeder Spreads'!$I$3:$I$4308),"")</f>
        <v>-9.2057461789832332E-2</v>
      </c>
      <c r="CX58">
        <f>IFERROR('Feeder Spreads'!I58-'Feeder Spreads'!I63,"")</f>
        <v>0</v>
      </c>
      <c r="CY58">
        <f>IFERROR('Feeder Spreads'!I58-'Feeder Spreads'!I68,"")</f>
        <v>0</v>
      </c>
      <c r="CZ58">
        <f>IFERROR(AVERAGE('Feeder Spreads'!I58:I77)+2*STDEV('Feeder Spreads'!I58:I77),"")</f>
        <v>0</v>
      </c>
      <c r="DA58">
        <f>IFERROR(AVERAGE('Feeder Spreads'!I58:I77)-2*STDEV('Feeder Spreads'!I58:I77),"")</f>
        <v>0</v>
      </c>
      <c r="DB58" t="str">
        <f>IFERROR(('Feeder Spreads'!I58-(AVERAGE('Feeder Spreads'!I58:I77)-2*STDEV('Feeder Spreads'!I58:I77)))/(4*STDEV('Feeder Spreads'!I58:I77)),"")</f>
        <v/>
      </c>
      <c r="DC58" t="str">
        <f>IFERROR(4*STDEV('Feeder Spreads'!I58:I77)/AVERAGE('Feeder Spreads'!I58:I77),"")</f>
        <v/>
      </c>
      <c r="DD58">
        <v>36.5578</v>
      </c>
      <c r="DE58">
        <f>IFERROR(SQRT((SUMSQ('Feeder Spreads'!I58:I77)-2*SUMPRODUCT('Feeder Spreads'!I58:I77,'Feeder Spreads'!I59:I78)+SUMSQ('Feeder Spreads'!I59:I78)-('Feeder Spreads'!I58-'Feeder Spreads'!I78)^2/20)/19),"")</f>
        <v>0</v>
      </c>
      <c r="DG58">
        <f>IFERROR('Feeder Spreads'!O58,"")</f>
        <v>0</v>
      </c>
      <c r="DH58">
        <f>IFERROR(('Feeder Spreads'!P58-AVERAGE('Feeder Spreads'!$P$3:$P$4308))/STDEV('Feeder Spreads'!$P$3:$P$4308),"")</f>
        <v>-9.2057461789832346E-2</v>
      </c>
      <c r="DI58">
        <f>IFERROR('Feeder Spreads'!P58-'Feeder Spreads'!P63,"")</f>
        <v>0</v>
      </c>
      <c r="DJ58">
        <f>IFERROR('Feeder Spreads'!P58-'Feeder Spreads'!P68,"")</f>
        <v>0</v>
      </c>
      <c r="DK58">
        <f>IFERROR(AVERAGE('Feeder Spreads'!P58:P77)+2*STDEV('Feeder Spreads'!P58:P77),"")</f>
        <v>0</v>
      </c>
      <c r="DL58">
        <f>IFERROR(AVERAGE('Feeder Spreads'!P58:P77)-2*STDEV('Feeder Spreads'!P58:P77),"")</f>
        <v>0</v>
      </c>
      <c r="DM58" t="str">
        <f>IFERROR(('Feeder Spreads'!P58-(AVERAGE('Feeder Spreads'!P58:P77)-2*STDEV('Feeder Spreads'!P58:P77)))/(4*STDEV('Feeder Spreads'!P58:P77)),"")</f>
        <v/>
      </c>
      <c r="DN58" t="str">
        <f>IFERROR(4*STDEV('Feeder Spreads'!P58:P77)/AVERAGE('Feeder Spreads'!P58:P77),"")</f>
        <v/>
      </c>
      <c r="DO58">
        <v>56.725499999999997</v>
      </c>
      <c r="DP58">
        <f>IFERROR(SQRT((SUMSQ('Feeder Spreads'!P58:P77)-2*SUMPRODUCT('Feeder Spreads'!P58:P77,'Feeder Spreads'!P59:P78)+SUMSQ('Feeder Spreads'!P59:P78)-('Feeder Spreads'!P58-'Feeder Spreads'!P78)^2/20)/19),"")</f>
        <v>0</v>
      </c>
      <c r="DR58">
        <f>IFERROR('Feeder Spreads'!V58,"")</f>
        <v>0</v>
      </c>
      <c r="DS58">
        <f>IFERROR(('Feeder Spreads'!W58-AVERAGE('Feeder Spreads'!$W$3:$W$4308))/STDEV('Feeder Spreads'!$W$3:$W$4308),"")</f>
        <v>-9.2057461789832332E-2</v>
      </c>
      <c r="DT58">
        <f>IFERROR('Feeder Spreads'!W58-'Feeder Spreads'!W63,"")</f>
        <v>0</v>
      </c>
      <c r="DU58">
        <f>IFERROR('Feeder Spreads'!W58-'Feeder Spreads'!W68,"")</f>
        <v>0</v>
      </c>
      <c r="DV58">
        <f>IFERROR(AVERAGE('Feeder Spreads'!W58:W77)+2*STDEV('Feeder Spreads'!W58:W77),"")</f>
        <v>0</v>
      </c>
      <c r="DW58">
        <f>IFERROR(AVERAGE('Feeder Spreads'!W58:W77)-2*STDEV('Feeder Spreads'!W58:W77),"")</f>
        <v>0</v>
      </c>
      <c r="DX58" t="str">
        <f>IFERROR(('Feeder Spreads'!W58-(AVERAGE('Feeder Spreads'!W58:W77)-2*STDEV('Feeder Spreads'!W58:W77)))/(4*STDEV('Feeder Spreads'!W58:W77)),"")</f>
        <v/>
      </c>
      <c r="DY58" t="str">
        <f>IFERROR(4*STDEV('Feeder Spreads'!W58:W77)/AVERAGE('Feeder Spreads'!W58:W77),"")</f>
        <v/>
      </c>
      <c r="DZ58">
        <v>48.611800000000002</v>
      </c>
      <c r="EA58">
        <f>IFERROR(SQRT((SUMSQ('Feeder Spreads'!W58:W77)-2*SUMPRODUCT('Feeder Spreads'!W58:W77,'Feeder Spreads'!W59:W78)+SUMSQ('Feeder Spreads'!W59:W78)-('Feeder Spreads'!W58-'Feeder Spreads'!W78)^2/20)/19),"")</f>
        <v>0</v>
      </c>
      <c r="EC58">
        <f>IFERROR('Feeder Spreads'!AC58,"")</f>
        <v>0</v>
      </c>
      <c r="ED58">
        <f>IFERROR(('Feeder Spreads'!AD58-AVERAGE('Feeder Spreads'!$AD$3:$AD$4308))/STDEV('Feeder Spreads'!$AD$3:$AD$4308),"")</f>
        <v>9.2057461789832318E-2</v>
      </c>
      <c r="EE58">
        <f>IFERROR('Feeder Spreads'!AD58-'Feeder Spreads'!AD63,"")</f>
        <v>0</v>
      </c>
      <c r="EF58">
        <f>IFERROR('Feeder Spreads'!AD58-'Feeder Spreads'!AD68,"")</f>
        <v>0</v>
      </c>
      <c r="EG58">
        <f>IFERROR(AVERAGE('Feeder Spreads'!AD58:AD77)+2*STDEV('Feeder Spreads'!AD58:AD77),"")</f>
        <v>0</v>
      </c>
      <c r="EH58">
        <f>IFERROR(AVERAGE('Feeder Spreads'!AD58:AD77)-2*STDEV('Feeder Spreads'!AD58:AD77),"")</f>
        <v>0</v>
      </c>
      <c r="EI58" t="str">
        <f>IFERROR(('Feeder Spreads'!AD58-(AVERAGE('Feeder Spreads'!AD58:AD77)-2*STDEV('Feeder Spreads'!AD58:AD77)))/(4*STDEV('Feeder Spreads'!AD58:AD77)),"")</f>
        <v/>
      </c>
      <c r="EJ58" t="str">
        <f>IFERROR(4*STDEV('Feeder Spreads'!AD58:AD77)/AVERAGE('Feeder Spreads'!AD58:AD77),"")</f>
        <v/>
      </c>
      <c r="EK58">
        <v>50.997999999999998</v>
      </c>
      <c r="EL58">
        <f>IFERROR(SQRT((SUMSQ('Feeder Spreads'!AD58:AD77)-2*SUMPRODUCT('Feeder Spreads'!AD58:AD77,'Feeder Spreads'!AD59:AD78)+SUMSQ('Feeder Spreads'!AD59:AD78)-('Feeder Spreads'!AD58-'Feeder Spreads'!AD78)^2/20)/19),"")</f>
        <v>0</v>
      </c>
      <c r="EN58">
        <f>IFERROR('Feeder Spreads'!AJ58,"")</f>
        <v>0</v>
      </c>
      <c r="EO58">
        <f>IFERROR(('Feeder Spreads'!AK58-AVERAGE('Feeder Spreads'!$AK$3:$AK$4308))/STDEV('Feeder Spreads'!$AK$3:$AK$4308),"")</f>
        <v>-9.2057461789832346E-2</v>
      </c>
      <c r="EP58">
        <f>IFERROR('Feeder Spreads'!AK58-'Feeder Spreads'!AK63,"")</f>
        <v>0</v>
      </c>
      <c r="EQ58">
        <f>IFERROR('Feeder Spreads'!AK58-'Feeder Spreads'!AK68,"")</f>
        <v>0</v>
      </c>
      <c r="ER58">
        <f>IFERROR(AVERAGE('Feeder Spreads'!AK58:AK77)+2*STDEV('Feeder Spreads'!AK58:AK77),"")</f>
        <v>0</v>
      </c>
      <c r="ES58">
        <f>IFERROR(AVERAGE('Feeder Spreads'!AK58:AK77)-2*STDEV('Feeder Spreads'!AK58:AK77),"")</f>
        <v>0</v>
      </c>
      <c r="ET58" t="str">
        <f>IFERROR(('Feeder Spreads'!AK58-(AVERAGE('Feeder Spreads'!AK58:AK77)-2*STDEV('Feeder Spreads'!AK58:AK77)))/(4*STDEV('Feeder Spreads'!AK58:AK77)),"")</f>
        <v/>
      </c>
      <c r="EU58" t="str">
        <f>IFERROR(4*STDEV('Feeder Spreads'!AK58:AK77)/AVERAGE('Feeder Spreads'!AK58:AK77),"")</f>
        <v/>
      </c>
      <c r="EV58">
        <v>38.804099999999998</v>
      </c>
      <c r="EW58">
        <f>IFERROR(SQRT((SUMSQ('Feeder Spreads'!AK58:AK77)-2*SUMPRODUCT('Feeder Spreads'!AK58:AK77,'Feeder Spreads'!AK59:AK78)+SUMSQ('Feeder Spreads'!AK59:AK78)-('Feeder Spreads'!AK58-'Feeder Spreads'!AK78)^2/20)/19),"")</f>
        <v>0</v>
      </c>
      <c r="EY58">
        <f>IFERROR('Feeder Spreads'!AQ58,"")</f>
        <v>0</v>
      </c>
      <c r="EZ58">
        <f>IFERROR(('Feeder Spreads'!AR58-AVERAGE('Feeder Spreads'!$AR$3:$AR$4308))/STDEV('Feeder Spreads'!$AR$3:$AR$4308),"")</f>
        <v>-9.2057461789832332E-2</v>
      </c>
      <c r="FA58">
        <f>IFERROR('Feeder Spreads'!AR58-'Feeder Spreads'!AR63,"")</f>
        <v>0</v>
      </c>
      <c r="FB58">
        <f>IFERROR('Feeder Spreads'!AR58-'Feeder Spreads'!AR68,"")</f>
        <v>0</v>
      </c>
      <c r="FC58">
        <f>IFERROR(AVERAGE('Feeder Spreads'!AR58:AR77)+2*STDEV('Feeder Spreads'!AR58:AR77),"")</f>
        <v>0</v>
      </c>
      <c r="FD58">
        <f>IFERROR(AVERAGE('Feeder Spreads'!AR58:AR77)-2*STDEV('Feeder Spreads'!AR58:AR77),"")</f>
        <v>0</v>
      </c>
      <c r="FE58" t="str">
        <f>IFERROR(('Feeder Spreads'!AR58-(AVERAGE('Feeder Spreads'!AR58:AR77)-2*STDEV('Feeder Spreads'!AR58:AR77)))/(4*STDEV('Feeder Spreads'!AR58:AR77)),"")</f>
        <v/>
      </c>
      <c r="FF58" t="str">
        <f>IFERROR(4*STDEV('Feeder Spreads'!AR58:AR77)/AVERAGE('Feeder Spreads'!AR58:AR77),"")</f>
        <v/>
      </c>
      <c r="FG58">
        <v>45.841799999999999</v>
      </c>
      <c r="FH58">
        <f>IFERROR(SQRT((SUMSQ('Feeder Spreads'!AR58:AR77)-2*SUMPRODUCT('Feeder Spreads'!AR58:AR77,'Feeder Spreads'!AR59:AR78)+SUMSQ('Feeder Spreads'!AR59:AR78)-('Feeder Spreads'!AR58-'Feeder Spreads'!AR78)^2/20)/19),"")</f>
        <v>0</v>
      </c>
      <c r="FJ58">
        <f>IFERROR('Fat Spreads'!AX58,"")</f>
        <v>0</v>
      </c>
      <c r="FK58">
        <f>IFERROR(('Fat Spreads'!AY58-AVERAGE('Fat Spreads'!$AY$3:$AY$4308))/STDEV('Fat Spreads'!$AY$3:$AY$4308),"")</f>
        <v>9.2057461789832332E-2</v>
      </c>
      <c r="FL58">
        <f>IFERROR('Fat Spreads'!AY58-'Fat Spreads'!AY63,"")</f>
        <v>0</v>
      </c>
      <c r="FM58">
        <f>IFERROR('Fat Spreads'!AY58-'Fat Spreads'!AY68,"")</f>
        <v>0</v>
      </c>
      <c r="FN58">
        <f>IFERROR(AVERAGE('Fat Spreads'!AY58:AY77)+2*STDEV('Fat Spreads'!AY58:AY77),"")</f>
        <v>0</v>
      </c>
      <c r="FO58">
        <f>IFERROR(AVERAGE('Fat Spreads'!AY58:AY77)-2*STDEV('Fat Spreads'!AY58:AY77),"")</f>
        <v>0</v>
      </c>
      <c r="FP58" t="str">
        <f>IFERROR(('Fat Spreads'!AY58-(AVERAGE('Fat Spreads'!AY58:AY77)-2*STDEV('Fat Spreads'!AY58:AY77)))/(4*STDEV('Fat Spreads'!AY58:AY77)),"")</f>
        <v/>
      </c>
      <c r="FQ58" t="str">
        <f>IFERROR(4*STDEV('Fat Spreads'!AY58:AY77)/AVERAGE('Fat Spreads'!AY58:AY77),"")</f>
        <v/>
      </c>
      <c r="FR58">
        <v>69.230599999999995</v>
      </c>
      <c r="FS58">
        <f>IFERROR(SQRT((SUMSQ('Fat Spreads'!AY58:AY77)-2*SUMPRODUCT('Fat Spreads'!AY58:AY77,'Fat Spreads'!AY59:AY78)+SUMSQ('Fat Spreads'!AY59:AY78)-('Fat Spreads'!AY58-'Fat Spreads'!AY78)^2/20)/19),"")</f>
        <v>0</v>
      </c>
      <c r="FU58">
        <f>IFERROR('Fat Spreads'!BE58,"")</f>
        <v>0</v>
      </c>
      <c r="FV58">
        <f>IFERROR(('Fat Spreads'!BF58-AVERAGE('Fat Spreads'!$BF$3:$BF$4308))/STDEV('Fat Spreads'!$BF$3:$BF$4308),"")</f>
        <v>9.2057461789832332E-2</v>
      </c>
      <c r="FW58">
        <f>IFERROR('Fat Spreads'!BF58-'Fat Spreads'!BF63,"")</f>
        <v>0</v>
      </c>
      <c r="FX58">
        <f>IFERROR('Fat Spreads'!BF58-'Fat Spreads'!BF68,"")</f>
        <v>0</v>
      </c>
      <c r="FY58">
        <f>IFERROR(AVERAGE('Fat Spreads'!BF58:BF77)+2*STDEV('Fat Spreads'!BF58:BF77),"")</f>
        <v>0</v>
      </c>
      <c r="FZ58">
        <f>IFERROR(AVERAGE('Fat Spreads'!BF58:BF77)-2*STDEV('Fat Spreads'!BF58:BF77),"")</f>
        <v>0</v>
      </c>
      <c r="GA58" t="str">
        <f>IFERROR(('Fat Spreads'!BF58-(AVERAGE('Fat Spreads'!BF58:BF77)-2*STDEV('Fat Spreads'!BF58:BF77)))/(4*STDEV('Fat Spreads'!BF58:BF77)),"")</f>
        <v/>
      </c>
      <c r="GB58" t="str">
        <f>IFERROR(4*STDEV('Fat Spreads'!BF58:BF77)/AVERAGE('Fat Spreads'!BF58:BF77),"")</f>
        <v/>
      </c>
      <c r="GC58">
        <v>49.405900000000003</v>
      </c>
      <c r="GD58">
        <f>IFERROR(SQRT((SUMSQ('Fat Spreads'!BF58:BF77)-2*SUMPRODUCT('Fat Spreads'!BF58:BF77,'Fat Spreads'!BF59:BF78)+SUMSQ('Fat Spreads'!BF59:BF78)-('Fat Spreads'!BF58-'Fat Spreads'!BF78)^2/20)/19),"")</f>
        <v>0</v>
      </c>
    </row>
    <row r="59" spans="1:186" x14ac:dyDescent="0.25">
      <c r="A59">
        <f>IFERROR('Fat Spreads'!A59,"")</f>
        <v>0</v>
      </c>
      <c r="B59">
        <f>IFERROR(('Fat Spreads'!B59-AVERAGE('Fat Spreads'!$B$3:$B$4308))/STDEV('Fat Spreads'!$B$3:$B$4308),"")</f>
        <v>9.2057461789832346E-2</v>
      </c>
      <c r="C59">
        <f>IFERROR('Fat Spreads'!B59-'Fat Spreads'!B64,"")</f>
        <v>0</v>
      </c>
      <c r="D59">
        <f>IFERROR('Fat Spreads'!B59-'Fat Spreads'!B69,"")</f>
        <v>0</v>
      </c>
      <c r="E59">
        <f>IFERROR(AVERAGE('Fat Spreads'!B59:B78)+2*STDEV('Fat Spreads'!B59:B78),"")</f>
        <v>0</v>
      </c>
      <c r="F59">
        <f>IFERROR(AVERAGE('Fat Spreads'!B59:B78)-2*STDEV('Fat Spreads'!B59:B78),"")</f>
        <v>0</v>
      </c>
      <c r="G59" t="str">
        <f>IFERROR(('Fat Spreads'!B59-(AVERAGE('Fat Spreads'!B59:B78)-2*STDEV('Fat Spreads'!B59:B78)))/(4*STDEV('Fat Spreads'!B59:B78)),"")</f>
        <v/>
      </c>
      <c r="H59" t="str">
        <f>IFERROR(4*STDEV('Fat Spreads'!B59:B78)/AVERAGE('Fat Spreads'!B59:B78),"")</f>
        <v/>
      </c>
      <c r="I59">
        <v>48.436799999999998</v>
      </c>
      <c r="J59">
        <f>IFERROR(SQRT((SUMSQ('Fat Spreads'!B59:B78)-2*SUMPRODUCT('Fat Spreads'!B59:B78,'Fat Spreads'!B60:B79)+SUMSQ('Fat Spreads'!B60:B79)-('Fat Spreads'!B59-'Fat Spreads'!B79)^2/20)/19),"")</f>
        <v>0</v>
      </c>
      <c r="L59">
        <f>IFERROR('Fat Spreads'!H59,"")</f>
        <v>0</v>
      </c>
      <c r="M59">
        <f>IFERROR(('Fat Spreads'!I59-AVERAGE('Fat Spreads'!$I$3:$I$4308))/STDEV('Fat Spreads'!$I$3:$I$4308),"")</f>
        <v>-9.2057461789832332E-2</v>
      </c>
      <c r="N59">
        <f>IFERROR('Fat Spreads'!I59-'Fat Spreads'!I64,"")</f>
        <v>0</v>
      </c>
      <c r="O59">
        <f>IFERROR('Fat Spreads'!I59-'Fat Spreads'!I69,"")</f>
        <v>0</v>
      </c>
      <c r="P59">
        <f>IFERROR(AVERAGE('Fat Spreads'!I59:I78)+2*STDEV('Fat Spreads'!I59:I78),"")</f>
        <v>0</v>
      </c>
      <c r="Q59">
        <f>IFERROR(AVERAGE('Fat Spreads'!I59:I78)-2*STDEV('Fat Spreads'!I59:I78),"")</f>
        <v>0</v>
      </c>
      <c r="R59" t="str">
        <f>IFERROR(('Fat Spreads'!I59-(AVERAGE('Fat Spreads'!I59:I78)-2*STDEV('Fat Spreads'!I59:I78)))/(4*STDEV('Fat Spreads'!I59:I78)),"")</f>
        <v/>
      </c>
      <c r="S59" t="str">
        <f>IFERROR(4*STDEV('Fat Spreads'!I59:I78)/AVERAGE('Fat Spreads'!I59:I78),"")</f>
        <v/>
      </c>
      <c r="T59">
        <v>44.99</v>
      </c>
      <c r="U59">
        <f>IFERROR(SQRT((SUMSQ('Fat Spreads'!I59:I78)-2*SUMPRODUCT('Fat Spreads'!I59:I78,'Fat Spreads'!I60:I79)+SUMSQ('Fat Spreads'!I60:I79)-('Fat Spreads'!I59-'Fat Spreads'!I79)^2/20)/19),"")</f>
        <v>0</v>
      </c>
      <c r="W59">
        <f>IFERROR('Fat Spreads'!AQ59,"")</f>
        <v>0</v>
      </c>
      <c r="X59">
        <f>IFERROR(('Fat Spreads'!AR59-AVERAGE('Fat Spreads'!$AR$3:$AR$4308))/STDEV('Fat Spreads'!$AR$3:$AR$4308),"")</f>
        <v>-9.2057461789832346E-2</v>
      </c>
      <c r="Y59">
        <f>IFERROR('Fat Spreads'!AR59-'Fat Spreads'!AR64,"")</f>
        <v>0</v>
      </c>
      <c r="Z59">
        <f>IFERROR('Fat Spreads'!AR59-'Fat Spreads'!AR69,"")</f>
        <v>0</v>
      </c>
      <c r="AA59">
        <f>IFERROR(AVERAGE('Fat Spreads'!AR59:AR78)+2*STDEV('Fat Spreads'!AR59:AR78),"")</f>
        <v>0</v>
      </c>
      <c r="AB59">
        <f>IFERROR(AVERAGE('Fat Spreads'!AR59:AR78)-2*STDEV('Fat Spreads'!AR59:AR78),"")</f>
        <v>0</v>
      </c>
      <c r="AC59" t="str">
        <f>IFERROR(('Fat Spreads'!AR59-(AVERAGE('Fat Spreads'!AR59:AR78)-2*STDEV('Fat Spreads'!AR59:AR78)))/(4*STDEV('Fat Spreads'!AR59:AR78)),"")</f>
        <v/>
      </c>
      <c r="AD59" t="str">
        <f>IFERROR(4*STDEV('Fat Spreads'!AR59:AR78)/AVERAGE('Fat Spreads'!AR59:AR78),"")</f>
        <v/>
      </c>
      <c r="AE59">
        <v>63.747300000000003</v>
      </c>
      <c r="AF59">
        <f>IFERROR(SQRT((SUMSQ('Fat Spreads'!AR59:AR78)-2*SUMPRODUCT('Fat Spreads'!AR59:AR78,'Fat Spreads'!AR60:AR79)+SUMSQ('Fat Spreads'!AR60:AR79)-('Fat Spreads'!AR59-'Fat Spreads'!AR79)^2/20)/19),"")</f>
        <v>0</v>
      </c>
      <c r="AH59">
        <f>IFERROR('Fat Spreads'!O59,"")</f>
        <v>0</v>
      </c>
      <c r="AI59">
        <f>IFERROR(('Fat Spreads'!P59-AVERAGE('Fat Spreads'!$P$3:$P$4308))/STDEV('Fat Spreads'!$P$3:$P$4308),"")</f>
        <v>-9.2057461789832332E-2</v>
      </c>
      <c r="AJ59">
        <f>IFERROR('Fat Spreads'!P59-'Fat Spreads'!P64,"")</f>
        <v>0</v>
      </c>
      <c r="AK59">
        <f>IFERROR('Fat Spreads'!P59-'Fat Spreads'!P69,"")</f>
        <v>0</v>
      </c>
      <c r="AL59">
        <f>IFERROR(AVERAGE('Fat Spreads'!P59:P78)+2*STDEV('Fat Spreads'!P59:P78),"")</f>
        <v>0</v>
      </c>
      <c r="AM59">
        <f>IFERROR(AVERAGE('Fat Spreads'!P59:P78)-2*STDEV('Fat Spreads'!P59:P78),"")</f>
        <v>0</v>
      </c>
      <c r="AN59" t="str">
        <f>IFERROR(('Fat Spreads'!P59-(AVERAGE('Fat Spreads'!P59:P78)-2*STDEV('Fat Spreads'!P59:P78)))/(4*STDEV('Fat Spreads'!P59:P78)),"")</f>
        <v/>
      </c>
      <c r="AO59" t="str">
        <f>IFERROR(4*STDEV('Fat Spreads'!P59:P78)/AVERAGE('Fat Spreads'!P59:P78),"")</f>
        <v/>
      </c>
      <c r="AP59">
        <v>51.097299999999997</v>
      </c>
      <c r="AQ59">
        <f>IFERROR(SQRT((SUMSQ('Fat Spreads'!P59:P78)-2*SUMPRODUCT('Fat Spreads'!P59:P78,'Fat Spreads'!P60:P79)+SUMSQ('Fat Spreads'!P60:P79)-('Fat Spreads'!P59-'Fat Spreads'!P79)^2/20)/19),"")</f>
        <v>0</v>
      </c>
      <c r="AS59">
        <f>IFERROR('Fat Spreads'!AJ59,"")</f>
        <v>0</v>
      </c>
      <c r="AT59">
        <f>IFERROR(('Fat Spreads'!AK59-AVERAGE('Fat Spreads'!$AK$3:$AK$4308))/STDEV('Fat Spreads'!$AK$3:$AK$4308),"")</f>
        <v>-9.2057461789832332E-2</v>
      </c>
      <c r="AU59">
        <f>IFERROR('Fat Spreads'!AK59-'Fat Spreads'!AK64,"")</f>
        <v>0</v>
      </c>
      <c r="AV59">
        <f>IFERROR('Fat Spreads'!AK59-'Fat Spreads'!AK69,"")</f>
        <v>0</v>
      </c>
      <c r="AW59">
        <f>IFERROR(AVERAGE('Fat Spreads'!AK59:AK78)+2*STDEV('Fat Spreads'!AK59:AK78),"")</f>
        <v>0</v>
      </c>
      <c r="AX59">
        <f>IFERROR(AVERAGE('Fat Spreads'!AK59:AK78)-2*STDEV('Fat Spreads'!AK59:AK78),"")</f>
        <v>0</v>
      </c>
      <c r="AY59" t="str">
        <f>IFERROR(('Fat Spreads'!AK59-(AVERAGE('Fat Spreads'!AK59:AK78)-2*STDEV('Fat Spreads'!AK59:AK78)))/(4*STDEV('Fat Spreads'!AK59:AK78)),"")</f>
        <v/>
      </c>
      <c r="AZ59" t="str">
        <f>IFERROR(4*STDEV('Fat Spreads'!AK59:AK78)/AVERAGE('Fat Spreads'!AK59:AK78),"")</f>
        <v/>
      </c>
      <c r="BA59">
        <v>71.860799999999998</v>
      </c>
      <c r="BB59">
        <f>IFERROR(SQRT((SUMSQ('Fat Spreads'!AK59:AK78)-2*SUMPRODUCT('Fat Spreads'!AK59:AK78,'Fat Spreads'!AK60:AK79)+SUMSQ('Fat Spreads'!AK60:AK79)-('Fat Spreads'!AK59-'Fat Spreads'!AK79)^2/20)/19),"")</f>
        <v>0</v>
      </c>
      <c r="BD59">
        <f>IFERROR('Fat Spreads'!V59,"")</f>
        <v>0</v>
      </c>
      <c r="BE59">
        <f>IFERROR(('Fat Spreads'!W59-AVERAGE('Fat Spreads'!$W$3:$W$4308))/STDEV('Fat Spreads'!$W$3:$W$4308),"")</f>
        <v>-9.2057461789832332E-2</v>
      </c>
      <c r="BF59">
        <f>IFERROR('Fat Spreads'!W59-'Fat Spreads'!W64,"")</f>
        <v>0</v>
      </c>
      <c r="BG59">
        <f>IFERROR('Fat Spreads'!W59-'Fat Spreads'!W69,"")</f>
        <v>0</v>
      </c>
      <c r="BH59">
        <f>IFERROR(AVERAGE('Fat Spreads'!W59:W78)+2*STDEV('Fat Spreads'!W59:W78),"")</f>
        <v>0</v>
      </c>
      <c r="BI59">
        <f>IFERROR(AVERAGE('Fat Spreads'!W59:W78)-2*STDEV('Fat Spreads'!W59:W78),"")</f>
        <v>0</v>
      </c>
      <c r="BJ59" t="str">
        <f>IFERROR(('Fat Spreads'!W59-(AVERAGE('Fat Spreads'!W59:W78)-2*STDEV('Fat Spreads'!W59:W78)))/(4*STDEV('Fat Spreads'!W59:W78)),"")</f>
        <v/>
      </c>
      <c r="BK59" t="str">
        <f>IFERROR(4*STDEV('Fat Spreads'!W59:W78)/AVERAGE('Fat Spreads'!W59:W78),"")</f>
        <v/>
      </c>
      <c r="BL59">
        <v>68.719099999999997</v>
      </c>
      <c r="BM59">
        <f>IFERROR(SQRT((SUMSQ('Fat Spreads'!W59:W78)-2*SUMPRODUCT('Fat Spreads'!W59:W78,'Fat Spreads'!W60:W79)+SUMSQ('Fat Spreads'!W60:W79)-('Fat Spreads'!W59-'Fat Spreads'!W79)^2/20)/19),"")</f>
        <v>0</v>
      </c>
      <c r="BO59">
        <f>IFERROR('Fat Spreads'!AC59,"")</f>
        <v>0</v>
      </c>
      <c r="BP59">
        <f>IFERROR(('Fat Spreads'!AD59-AVERAGE('Fat Spreads'!$AD$3:$AD$4308))/STDEV('Fat Spreads'!$AD$3:$AD$4308),"")</f>
        <v>-9.2057461789832332E-2</v>
      </c>
      <c r="BQ59">
        <f>IFERROR('Fat Spreads'!AD59-'Fat Spreads'!AD64,"")</f>
        <v>0</v>
      </c>
      <c r="BR59">
        <f>IFERROR('Fat Spreads'!AD59-'Fat Spreads'!AD69,"")</f>
        <v>0</v>
      </c>
      <c r="BS59">
        <f>IFERROR(AVERAGE('Fat Spreads'!AD59:AD78)+2*STDEV('Fat Spreads'!AD59:AD78),"")</f>
        <v>0</v>
      </c>
      <c r="BT59">
        <f>IFERROR(AVERAGE('Fat Spreads'!AD59:AD78)-2*STDEV('Fat Spreads'!AD59:AD78),"")</f>
        <v>0</v>
      </c>
      <c r="BU59" t="str">
        <f>IFERROR(('Fat Spreads'!AD59-(AVERAGE('Fat Spreads'!AD59:AD78)-2*STDEV('Fat Spreads'!AD59:AD78)))/(4*STDEV('Fat Spreads'!AD59:AD78)),"")</f>
        <v/>
      </c>
      <c r="BV59" t="str">
        <f>IFERROR(4*STDEV('Fat Spreads'!AD59:AD78)/AVERAGE('Fat Spreads'!AD59:AD78),"")</f>
        <v/>
      </c>
      <c r="BW59">
        <v>36.003100000000003</v>
      </c>
      <c r="BX59">
        <f>IFERROR(SQRT((SUMSQ('Fat Spreads'!AD59:AD78)-2*SUMPRODUCT('Fat Spreads'!AD59:AD78,'Fat Spreads'!AD60:AD79)+SUMSQ('Fat Spreads'!AD60:AD79)-('Fat Spreads'!AD59-'Fat Spreads'!AD79)^2/20)/19),"")</f>
        <v>0</v>
      </c>
      <c r="BZ59">
        <f>IFERROR('Feeder Spreads'!A59,"")</f>
        <v>0</v>
      </c>
      <c r="CA59">
        <f>IFERROR(('Feeder Spreads'!B59-AVERAGE('Feeder Spreads'!$B$3:$B$4308))/STDEV('Feeder Spreads'!$B$3:$B$4308),"")</f>
        <v>-9.2057461789832346E-2</v>
      </c>
      <c r="CB59">
        <f>IFERROR('Feeder Spreads'!B59-'Feeder Spreads'!B64,"")</f>
        <v>0</v>
      </c>
      <c r="CC59">
        <f>IFERROR('Feeder Spreads'!B59-'Feeder Spreads'!B69,"")</f>
        <v>0</v>
      </c>
      <c r="CD59">
        <f>IFERROR(AVERAGE('Feeder Spreads'!B59:B78)+2*STDEV('Feeder Spreads'!B59:B78),"")</f>
        <v>0</v>
      </c>
      <c r="CE59">
        <f>IFERROR(AVERAGE('Feeder Spreads'!B59:B78)-2*STDEV('Feeder Spreads'!B59:B78),"")</f>
        <v>0</v>
      </c>
      <c r="CF59" t="str">
        <f>IFERROR(('Feeder Spreads'!B59-(AVERAGE('Feeder Spreads'!B59:B78)-2*STDEV('Feeder Spreads'!B59:B78)))/(4*STDEV('Feeder Spreads'!B59:B78)),"")</f>
        <v/>
      </c>
      <c r="CG59" t="str">
        <f>IFERROR(4*STDEV('Feeder Spreads'!B59:B78)/AVERAGE('Feeder Spreads'!B59:B78),"")</f>
        <v/>
      </c>
      <c r="CH59">
        <v>40.453299999999999</v>
      </c>
      <c r="CI59">
        <f>IFERROR(SQRT((SUMSQ('Feeder Spreads'!B59:B78)-2*SUMPRODUCT('Feeder Spreads'!B59:B78,'Feeder Spreads'!B60:B79)+SUMSQ('Feeder Spreads'!B60:B79)-('Feeder Spreads'!B59-'Feeder Spreads'!B79)^2/20)/19),"")</f>
        <v>0</v>
      </c>
      <c r="CK59">
        <f>IFERROR('Feeder Spreads'!AX59,"")</f>
        <v>0</v>
      </c>
      <c r="CL59">
        <f>IFERROR(('Feeder Spreads'!AY59-AVERAGE('Feeder Spreads'!$AY$3:$AY$4308))/STDEV('Feeder Spreads'!$AY$3:$AY$4308),"")</f>
        <v>-9.2057461789832346E-2</v>
      </c>
      <c r="CM59">
        <f>IFERROR('Feeder Spreads'!AY59-'Feeder Spreads'!AY64,"")</f>
        <v>0</v>
      </c>
      <c r="CN59">
        <f>IFERROR('Feeder Spreads'!AY59-'Feeder Spreads'!AY69,"")</f>
        <v>0</v>
      </c>
      <c r="CO59">
        <f>IFERROR(AVERAGE('Feeder Spreads'!AY59:AY78)+2*STDEV('Feeder Spreads'!AY59:AY78),"")</f>
        <v>0</v>
      </c>
      <c r="CP59">
        <f>IFERROR(AVERAGE('Feeder Spreads'!AY59:AY78)-2*STDEV('Feeder Spreads'!AY59:AY78),"")</f>
        <v>0</v>
      </c>
      <c r="CQ59" t="str">
        <f>IFERROR(('Feeder Spreads'!AY59-(AVERAGE('Feeder Spreads'!AY59:AY78)-2*STDEV('Feeder Spreads'!AY59:AY78)))/(4*STDEV('Feeder Spreads'!AY59:AY78)),"")</f>
        <v/>
      </c>
      <c r="CR59" t="str">
        <f>IFERROR(4*STDEV('Feeder Spreads'!AY59:AY78)/AVERAGE('Feeder Spreads'!AY59:AY78),"")</f>
        <v/>
      </c>
      <c r="CS59">
        <v>81.221299999999999</v>
      </c>
      <c r="CT59">
        <f>IFERROR(SQRT((SUMSQ('Feeder Spreads'!AY59:AY78)-2*SUMPRODUCT('Feeder Spreads'!AY59:AY78,'Feeder Spreads'!AY60:AY79)+SUMSQ('Feeder Spreads'!AY60:AY79)-('Feeder Spreads'!AY59-'Feeder Spreads'!AY79)^2/20)/19),"")</f>
        <v>0</v>
      </c>
      <c r="CV59">
        <f>IFERROR('Feeder Spreads'!H59,"")</f>
        <v>0</v>
      </c>
      <c r="CW59">
        <f>IFERROR(('Feeder Spreads'!I59-AVERAGE('Feeder Spreads'!$I$3:$I$4308))/STDEV('Feeder Spreads'!$I$3:$I$4308),"")</f>
        <v>-9.2057461789832332E-2</v>
      </c>
      <c r="CX59">
        <f>IFERROR('Feeder Spreads'!I59-'Feeder Spreads'!I64,"")</f>
        <v>0</v>
      </c>
      <c r="CY59">
        <f>IFERROR('Feeder Spreads'!I59-'Feeder Spreads'!I69,"")</f>
        <v>0</v>
      </c>
      <c r="CZ59">
        <f>IFERROR(AVERAGE('Feeder Spreads'!I59:I78)+2*STDEV('Feeder Spreads'!I59:I78),"")</f>
        <v>0</v>
      </c>
      <c r="DA59">
        <f>IFERROR(AVERAGE('Feeder Spreads'!I59:I78)-2*STDEV('Feeder Spreads'!I59:I78),"")</f>
        <v>0</v>
      </c>
      <c r="DB59" t="str">
        <f>IFERROR(('Feeder Spreads'!I59-(AVERAGE('Feeder Spreads'!I59:I78)-2*STDEV('Feeder Spreads'!I59:I78)))/(4*STDEV('Feeder Spreads'!I59:I78)),"")</f>
        <v/>
      </c>
      <c r="DC59" t="str">
        <f>IFERROR(4*STDEV('Feeder Spreads'!I59:I78)/AVERAGE('Feeder Spreads'!I59:I78),"")</f>
        <v/>
      </c>
      <c r="DD59">
        <v>40.234099999999998</v>
      </c>
      <c r="DE59">
        <f>IFERROR(SQRT((SUMSQ('Feeder Spreads'!I59:I78)-2*SUMPRODUCT('Feeder Spreads'!I59:I78,'Feeder Spreads'!I60:I79)+SUMSQ('Feeder Spreads'!I60:I79)-('Feeder Spreads'!I59-'Feeder Spreads'!I79)^2/20)/19),"")</f>
        <v>0</v>
      </c>
      <c r="DG59">
        <f>IFERROR('Feeder Spreads'!O59,"")</f>
        <v>0</v>
      </c>
      <c r="DH59">
        <f>IFERROR(('Feeder Spreads'!P59-AVERAGE('Feeder Spreads'!$P$3:$P$4308))/STDEV('Feeder Spreads'!$P$3:$P$4308),"")</f>
        <v>-9.2057461789832346E-2</v>
      </c>
      <c r="DI59">
        <f>IFERROR('Feeder Spreads'!P59-'Feeder Spreads'!P64,"")</f>
        <v>0</v>
      </c>
      <c r="DJ59">
        <f>IFERROR('Feeder Spreads'!P59-'Feeder Spreads'!P69,"")</f>
        <v>0</v>
      </c>
      <c r="DK59">
        <f>IFERROR(AVERAGE('Feeder Spreads'!P59:P78)+2*STDEV('Feeder Spreads'!P59:P78),"")</f>
        <v>0</v>
      </c>
      <c r="DL59">
        <f>IFERROR(AVERAGE('Feeder Spreads'!P59:P78)-2*STDEV('Feeder Spreads'!P59:P78),"")</f>
        <v>0</v>
      </c>
      <c r="DM59" t="str">
        <f>IFERROR(('Feeder Spreads'!P59-(AVERAGE('Feeder Spreads'!P59:P78)-2*STDEV('Feeder Spreads'!P59:P78)))/(4*STDEV('Feeder Spreads'!P59:P78)),"")</f>
        <v/>
      </c>
      <c r="DN59" t="str">
        <f>IFERROR(4*STDEV('Feeder Spreads'!P59:P78)/AVERAGE('Feeder Spreads'!P59:P78),"")</f>
        <v/>
      </c>
      <c r="DO59">
        <v>56.372999999999998</v>
      </c>
      <c r="DP59">
        <f>IFERROR(SQRT((SUMSQ('Feeder Spreads'!P59:P78)-2*SUMPRODUCT('Feeder Spreads'!P59:P78,'Feeder Spreads'!P60:P79)+SUMSQ('Feeder Spreads'!P60:P79)-('Feeder Spreads'!P59-'Feeder Spreads'!P79)^2/20)/19),"")</f>
        <v>0</v>
      </c>
      <c r="DR59">
        <f>IFERROR('Feeder Spreads'!V59,"")</f>
        <v>0</v>
      </c>
      <c r="DS59">
        <f>IFERROR(('Feeder Spreads'!W59-AVERAGE('Feeder Spreads'!$W$3:$W$4308))/STDEV('Feeder Spreads'!$W$3:$W$4308),"")</f>
        <v>-9.2057461789832332E-2</v>
      </c>
      <c r="DT59">
        <f>IFERROR('Feeder Spreads'!W59-'Feeder Spreads'!W64,"")</f>
        <v>0</v>
      </c>
      <c r="DU59">
        <f>IFERROR('Feeder Spreads'!W59-'Feeder Spreads'!W69,"")</f>
        <v>0</v>
      </c>
      <c r="DV59">
        <f>IFERROR(AVERAGE('Feeder Spreads'!W59:W78)+2*STDEV('Feeder Spreads'!W59:W78),"")</f>
        <v>0</v>
      </c>
      <c r="DW59">
        <f>IFERROR(AVERAGE('Feeder Spreads'!W59:W78)-2*STDEV('Feeder Spreads'!W59:W78),"")</f>
        <v>0</v>
      </c>
      <c r="DX59" t="str">
        <f>IFERROR(('Feeder Spreads'!W59-(AVERAGE('Feeder Spreads'!W59:W78)-2*STDEV('Feeder Spreads'!W59:W78)))/(4*STDEV('Feeder Spreads'!W59:W78)),"")</f>
        <v/>
      </c>
      <c r="DY59" t="str">
        <f>IFERROR(4*STDEV('Feeder Spreads'!W59:W78)/AVERAGE('Feeder Spreads'!W59:W78),"")</f>
        <v/>
      </c>
      <c r="DZ59">
        <v>56.4878</v>
      </c>
      <c r="EA59">
        <f>IFERROR(SQRT((SUMSQ('Feeder Spreads'!W59:W78)-2*SUMPRODUCT('Feeder Spreads'!W59:W78,'Feeder Spreads'!W60:W79)+SUMSQ('Feeder Spreads'!W60:W79)-('Feeder Spreads'!W59-'Feeder Spreads'!W79)^2/20)/19),"")</f>
        <v>0</v>
      </c>
      <c r="EC59">
        <f>IFERROR('Feeder Spreads'!AC59,"")</f>
        <v>0</v>
      </c>
      <c r="ED59">
        <f>IFERROR(('Feeder Spreads'!AD59-AVERAGE('Feeder Spreads'!$AD$3:$AD$4308))/STDEV('Feeder Spreads'!$AD$3:$AD$4308),"")</f>
        <v>9.2057461789832318E-2</v>
      </c>
      <c r="EE59">
        <f>IFERROR('Feeder Spreads'!AD59-'Feeder Spreads'!AD64,"")</f>
        <v>0</v>
      </c>
      <c r="EF59">
        <f>IFERROR('Feeder Spreads'!AD59-'Feeder Spreads'!AD69,"")</f>
        <v>0</v>
      </c>
      <c r="EG59">
        <f>IFERROR(AVERAGE('Feeder Spreads'!AD59:AD78)+2*STDEV('Feeder Spreads'!AD59:AD78),"")</f>
        <v>0</v>
      </c>
      <c r="EH59">
        <f>IFERROR(AVERAGE('Feeder Spreads'!AD59:AD78)-2*STDEV('Feeder Spreads'!AD59:AD78),"")</f>
        <v>0</v>
      </c>
      <c r="EI59" t="str">
        <f>IFERROR(('Feeder Spreads'!AD59-(AVERAGE('Feeder Spreads'!AD59:AD78)-2*STDEV('Feeder Spreads'!AD59:AD78)))/(4*STDEV('Feeder Spreads'!AD59:AD78)),"")</f>
        <v/>
      </c>
      <c r="EJ59" t="str">
        <f>IFERROR(4*STDEV('Feeder Spreads'!AD59:AD78)/AVERAGE('Feeder Spreads'!AD59:AD78),"")</f>
        <v/>
      </c>
      <c r="EK59">
        <v>51.436</v>
      </c>
      <c r="EL59">
        <f>IFERROR(SQRT((SUMSQ('Feeder Spreads'!AD59:AD78)-2*SUMPRODUCT('Feeder Spreads'!AD59:AD78,'Feeder Spreads'!AD60:AD79)+SUMSQ('Feeder Spreads'!AD60:AD79)-('Feeder Spreads'!AD59-'Feeder Spreads'!AD79)^2/20)/19),"")</f>
        <v>0</v>
      </c>
      <c r="EN59">
        <f>IFERROR('Feeder Spreads'!AJ59,"")</f>
        <v>0</v>
      </c>
      <c r="EO59">
        <f>IFERROR(('Feeder Spreads'!AK59-AVERAGE('Feeder Spreads'!$AK$3:$AK$4308))/STDEV('Feeder Spreads'!$AK$3:$AK$4308),"")</f>
        <v>-9.2057461789832346E-2</v>
      </c>
      <c r="EP59">
        <f>IFERROR('Feeder Spreads'!AK59-'Feeder Spreads'!AK64,"")</f>
        <v>0</v>
      </c>
      <c r="EQ59">
        <f>IFERROR('Feeder Spreads'!AK59-'Feeder Spreads'!AK69,"")</f>
        <v>0</v>
      </c>
      <c r="ER59">
        <f>IFERROR(AVERAGE('Feeder Spreads'!AK59:AK78)+2*STDEV('Feeder Spreads'!AK59:AK78),"")</f>
        <v>0</v>
      </c>
      <c r="ES59">
        <f>IFERROR(AVERAGE('Feeder Spreads'!AK59:AK78)-2*STDEV('Feeder Spreads'!AK59:AK78),"")</f>
        <v>0</v>
      </c>
      <c r="ET59" t="str">
        <f>IFERROR(('Feeder Spreads'!AK59-(AVERAGE('Feeder Spreads'!AK59:AK78)-2*STDEV('Feeder Spreads'!AK59:AK78)))/(4*STDEV('Feeder Spreads'!AK59:AK78)),"")</f>
        <v/>
      </c>
      <c r="EU59" t="str">
        <f>IFERROR(4*STDEV('Feeder Spreads'!AK59:AK78)/AVERAGE('Feeder Spreads'!AK59:AK78),"")</f>
        <v/>
      </c>
      <c r="EV59">
        <v>43.095100000000002</v>
      </c>
      <c r="EW59">
        <f>IFERROR(SQRT((SUMSQ('Feeder Spreads'!AK59:AK78)-2*SUMPRODUCT('Feeder Spreads'!AK59:AK78,'Feeder Spreads'!AK60:AK79)+SUMSQ('Feeder Spreads'!AK60:AK79)-('Feeder Spreads'!AK59-'Feeder Spreads'!AK79)^2/20)/19),"")</f>
        <v>0</v>
      </c>
      <c r="EY59">
        <f>IFERROR('Feeder Spreads'!AQ59,"")</f>
        <v>0</v>
      </c>
      <c r="EZ59">
        <f>IFERROR(('Feeder Spreads'!AR59-AVERAGE('Feeder Spreads'!$AR$3:$AR$4308))/STDEV('Feeder Spreads'!$AR$3:$AR$4308),"")</f>
        <v>-9.2057461789832332E-2</v>
      </c>
      <c r="FA59">
        <f>IFERROR('Feeder Spreads'!AR59-'Feeder Spreads'!AR64,"")</f>
        <v>0</v>
      </c>
      <c r="FB59">
        <f>IFERROR('Feeder Spreads'!AR59-'Feeder Spreads'!AR69,"")</f>
        <v>0</v>
      </c>
      <c r="FC59">
        <f>IFERROR(AVERAGE('Feeder Spreads'!AR59:AR78)+2*STDEV('Feeder Spreads'!AR59:AR78),"")</f>
        <v>0</v>
      </c>
      <c r="FD59">
        <f>IFERROR(AVERAGE('Feeder Spreads'!AR59:AR78)-2*STDEV('Feeder Spreads'!AR59:AR78),"")</f>
        <v>0</v>
      </c>
      <c r="FE59" t="str">
        <f>IFERROR(('Feeder Spreads'!AR59-(AVERAGE('Feeder Spreads'!AR59:AR78)-2*STDEV('Feeder Spreads'!AR59:AR78)))/(4*STDEV('Feeder Spreads'!AR59:AR78)),"")</f>
        <v/>
      </c>
      <c r="FF59" t="str">
        <f>IFERROR(4*STDEV('Feeder Spreads'!AR59:AR78)/AVERAGE('Feeder Spreads'!AR59:AR78),"")</f>
        <v/>
      </c>
      <c r="FG59">
        <v>48.841299999999997</v>
      </c>
      <c r="FH59">
        <f>IFERROR(SQRT((SUMSQ('Feeder Spreads'!AR59:AR78)-2*SUMPRODUCT('Feeder Spreads'!AR59:AR78,'Feeder Spreads'!AR60:AR79)+SUMSQ('Feeder Spreads'!AR60:AR79)-('Feeder Spreads'!AR59-'Feeder Spreads'!AR79)^2/20)/19),"")</f>
        <v>0</v>
      </c>
      <c r="FJ59">
        <f>IFERROR('Fat Spreads'!AX59,"")</f>
        <v>0</v>
      </c>
      <c r="FK59">
        <f>IFERROR(('Fat Spreads'!AY59-AVERAGE('Fat Spreads'!$AY$3:$AY$4308))/STDEV('Fat Spreads'!$AY$3:$AY$4308),"")</f>
        <v>9.2057461789832332E-2</v>
      </c>
      <c r="FL59">
        <f>IFERROR('Fat Spreads'!AY59-'Fat Spreads'!AY64,"")</f>
        <v>0</v>
      </c>
      <c r="FM59">
        <f>IFERROR('Fat Spreads'!AY59-'Fat Spreads'!AY69,"")</f>
        <v>0</v>
      </c>
      <c r="FN59">
        <f>IFERROR(AVERAGE('Fat Spreads'!AY59:AY78)+2*STDEV('Fat Spreads'!AY59:AY78),"")</f>
        <v>0</v>
      </c>
      <c r="FO59">
        <f>IFERROR(AVERAGE('Fat Spreads'!AY59:AY78)-2*STDEV('Fat Spreads'!AY59:AY78),"")</f>
        <v>0</v>
      </c>
      <c r="FP59" t="str">
        <f>IFERROR(('Fat Spreads'!AY59-(AVERAGE('Fat Spreads'!AY59:AY78)-2*STDEV('Fat Spreads'!AY59:AY78)))/(4*STDEV('Fat Spreads'!AY59:AY78)),"")</f>
        <v/>
      </c>
      <c r="FQ59" t="str">
        <f>IFERROR(4*STDEV('Fat Spreads'!AY59:AY78)/AVERAGE('Fat Spreads'!AY59:AY78),"")</f>
        <v/>
      </c>
      <c r="FR59">
        <v>66.119399999999999</v>
      </c>
      <c r="FS59">
        <f>IFERROR(SQRT((SUMSQ('Fat Spreads'!AY59:AY78)-2*SUMPRODUCT('Fat Spreads'!AY59:AY78,'Fat Spreads'!AY60:AY79)+SUMSQ('Fat Spreads'!AY60:AY79)-('Fat Spreads'!AY59-'Fat Spreads'!AY79)^2/20)/19),"")</f>
        <v>0</v>
      </c>
      <c r="FU59">
        <f>IFERROR('Fat Spreads'!BE59,"")</f>
        <v>0</v>
      </c>
      <c r="FV59">
        <f>IFERROR(('Fat Spreads'!BF59-AVERAGE('Fat Spreads'!$BF$3:$BF$4308))/STDEV('Fat Spreads'!$BF$3:$BF$4308),"")</f>
        <v>9.2057461789832332E-2</v>
      </c>
      <c r="FW59">
        <f>IFERROR('Fat Spreads'!BF59-'Fat Spreads'!BF64,"")</f>
        <v>0</v>
      </c>
      <c r="FX59">
        <f>IFERROR('Fat Spreads'!BF59-'Fat Spreads'!BF69,"")</f>
        <v>0</v>
      </c>
      <c r="FY59">
        <f>IFERROR(AVERAGE('Fat Spreads'!BF59:BF78)+2*STDEV('Fat Spreads'!BF59:BF78),"")</f>
        <v>0</v>
      </c>
      <c r="FZ59">
        <f>IFERROR(AVERAGE('Fat Spreads'!BF59:BF78)-2*STDEV('Fat Spreads'!BF59:BF78),"")</f>
        <v>0</v>
      </c>
      <c r="GA59" t="str">
        <f>IFERROR(('Fat Spreads'!BF59-(AVERAGE('Fat Spreads'!BF59:BF78)-2*STDEV('Fat Spreads'!BF59:BF78)))/(4*STDEV('Fat Spreads'!BF59:BF78)),"")</f>
        <v/>
      </c>
      <c r="GB59" t="str">
        <f>IFERROR(4*STDEV('Fat Spreads'!BF59:BF78)/AVERAGE('Fat Spreads'!BF59:BF78),"")</f>
        <v/>
      </c>
      <c r="GC59">
        <v>46.998899999999999</v>
      </c>
      <c r="GD59">
        <f>IFERROR(SQRT((SUMSQ('Fat Spreads'!BF59:BF78)-2*SUMPRODUCT('Fat Spreads'!BF59:BF78,'Fat Spreads'!BF60:BF79)+SUMSQ('Fat Spreads'!BF60:BF79)-('Fat Spreads'!BF59-'Fat Spreads'!BF79)^2/20)/19),"")</f>
        <v>0</v>
      </c>
    </row>
    <row r="60" spans="1:186" x14ac:dyDescent="0.25">
      <c r="A60">
        <f>IFERROR('Fat Spreads'!A60,"")</f>
        <v>0</v>
      </c>
      <c r="B60">
        <f>IFERROR(('Fat Spreads'!B60-AVERAGE('Fat Spreads'!$B$3:$B$4308))/STDEV('Fat Spreads'!$B$3:$B$4308),"")</f>
        <v>9.2057461789832346E-2</v>
      </c>
      <c r="C60">
        <f>IFERROR('Fat Spreads'!B60-'Fat Spreads'!B65,"")</f>
        <v>0</v>
      </c>
      <c r="D60">
        <f>IFERROR('Fat Spreads'!B60-'Fat Spreads'!B70,"")</f>
        <v>0</v>
      </c>
      <c r="E60">
        <f>IFERROR(AVERAGE('Fat Spreads'!B60:B79)+2*STDEV('Fat Spreads'!B60:B79),"")</f>
        <v>0</v>
      </c>
      <c r="F60">
        <f>IFERROR(AVERAGE('Fat Spreads'!B60:B79)-2*STDEV('Fat Spreads'!B60:B79),"")</f>
        <v>0</v>
      </c>
      <c r="G60" t="str">
        <f>IFERROR(('Fat Spreads'!B60-(AVERAGE('Fat Spreads'!B60:B79)-2*STDEV('Fat Spreads'!B60:B79)))/(4*STDEV('Fat Spreads'!B60:B79)),"")</f>
        <v/>
      </c>
      <c r="H60" t="str">
        <f>IFERROR(4*STDEV('Fat Spreads'!B60:B79)/AVERAGE('Fat Spreads'!B60:B79),"")</f>
        <v/>
      </c>
      <c r="I60">
        <v>48.436799999999998</v>
      </c>
      <c r="J60">
        <f>IFERROR(SQRT((SUMSQ('Fat Spreads'!B60:B79)-2*SUMPRODUCT('Fat Spreads'!B60:B79,'Fat Spreads'!B61:B80)+SUMSQ('Fat Spreads'!B61:B80)-('Fat Spreads'!B60-'Fat Spreads'!B80)^2/20)/19),"")</f>
        <v>0</v>
      </c>
      <c r="L60">
        <f>IFERROR('Fat Spreads'!H60,"")</f>
        <v>0</v>
      </c>
      <c r="M60">
        <f>IFERROR(('Fat Spreads'!I60-AVERAGE('Fat Spreads'!$I$3:$I$4308))/STDEV('Fat Spreads'!$I$3:$I$4308),"")</f>
        <v>-9.2057461789832332E-2</v>
      </c>
      <c r="N60">
        <f>IFERROR('Fat Spreads'!I60-'Fat Spreads'!I65,"")</f>
        <v>0</v>
      </c>
      <c r="O60">
        <f>IFERROR('Fat Spreads'!I60-'Fat Spreads'!I70,"")</f>
        <v>0</v>
      </c>
      <c r="P60">
        <f>IFERROR(AVERAGE('Fat Spreads'!I60:I79)+2*STDEV('Fat Spreads'!I60:I79),"")</f>
        <v>0</v>
      </c>
      <c r="Q60">
        <f>IFERROR(AVERAGE('Fat Spreads'!I60:I79)-2*STDEV('Fat Spreads'!I60:I79),"")</f>
        <v>0</v>
      </c>
      <c r="R60" t="str">
        <f>IFERROR(('Fat Spreads'!I60-(AVERAGE('Fat Spreads'!I60:I79)-2*STDEV('Fat Spreads'!I60:I79)))/(4*STDEV('Fat Spreads'!I60:I79)),"")</f>
        <v/>
      </c>
      <c r="S60" t="str">
        <f>IFERROR(4*STDEV('Fat Spreads'!I60:I79)/AVERAGE('Fat Spreads'!I60:I79),"")</f>
        <v/>
      </c>
      <c r="T60">
        <v>47.852600000000002</v>
      </c>
      <c r="U60">
        <f>IFERROR(SQRT((SUMSQ('Fat Spreads'!I60:I79)-2*SUMPRODUCT('Fat Spreads'!I60:I79,'Fat Spreads'!I61:I80)+SUMSQ('Fat Spreads'!I61:I80)-('Fat Spreads'!I60-'Fat Spreads'!I80)^2/20)/19),"")</f>
        <v>0</v>
      </c>
      <c r="W60">
        <f>IFERROR('Fat Spreads'!AQ60,"")</f>
        <v>0</v>
      </c>
      <c r="X60">
        <f>IFERROR(('Fat Spreads'!AR60-AVERAGE('Fat Spreads'!$AR$3:$AR$4308))/STDEV('Fat Spreads'!$AR$3:$AR$4308),"")</f>
        <v>-9.2057461789832346E-2</v>
      </c>
      <c r="Y60">
        <f>IFERROR('Fat Spreads'!AR60-'Fat Spreads'!AR65,"")</f>
        <v>0</v>
      </c>
      <c r="Z60">
        <f>IFERROR('Fat Spreads'!AR60-'Fat Spreads'!AR70,"")</f>
        <v>0</v>
      </c>
      <c r="AA60">
        <f>IFERROR(AVERAGE('Fat Spreads'!AR60:AR79)+2*STDEV('Fat Spreads'!AR60:AR79),"")</f>
        <v>0</v>
      </c>
      <c r="AB60">
        <f>IFERROR(AVERAGE('Fat Spreads'!AR60:AR79)-2*STDEV('Fat Spreads'!AR60:AR79),"")</f>
        <v>0</v>
      </c>
      <c r="AC60" t="str">
        <f>IFERROR(('Fat Spreads'!AR60-(AVERAGE('Fat Spreads'!AR60:AR79)-2*STDEV('Fat Spreads'!AR60:AR79)))/(4*STDEV('Fat Spreads'!AR60:AR79)),"")</f>
        <v/>
      </c>
      <c r="AD60" t="str">
        <f>IFERROR(4*STDEV('Fat Spreads'!AR60:AR79)/AVERAGE('Fat Spreads'!AR60:AR79),"")</f>
        <v/>
      </c>
      <c r="AE60">
        <v>66.700100000000006</v>
      </c>
      <c r="AF60">
        <f>IFERROR(SQRT((SUMSQ('Fat Spreads'!AR60:AR79)-2*SUMPRODUCT('Fat Spreads'!AR60:AR79,'Fat Spreads'!AR61:AR80)+SUMSQ('Fat Spreads'!AR61:AR80)-('Fat Spreads'!AR60-'Fat Spreads'!AR80)^2/20)/19),"")</f>
        <v>0</v>
      </c>
      <c r="AH60">
        <f>IFERROR('Fat Spreads'!O60,"")</f>
        <v>0</v>
      </c>
      <c r="AI60">
        <f>IFERROR(('Fat Spreads'!P60-AVERAGE('Fat Spreads'!$P$3:$P$4308))/STDEV('Fat Spreads'!$P$3:$P$4308),"")</f>
        <v>-9.2057461789832332E-2</v>
      </c>
      <c r="AJ60">
        <f>IFERROR('Fat Spreads'!P60-'Fat Spreads'!P65,"")</f>
        <v>0</v>
      </c>
      <c r="AK60">
        <f>IFERROR('Fat Spreads'!P60-'Fat Spreads'!P70,"")</f>
        <v>0</v>
      </c>
      <c r="AL60">
        <f>IFERROR(AVERAGE('Fat Spreads'!P60:P79)+2*STDEV('Fat Spreads'!P60:P79),"")</f>
        <v>0</v>
      </c>
      <c r="AM60">
        <f>IFERROR(AVERAGE('Fat Spreads'!P60:P79)-2*STDEV('Fat Spreads'!P60:P79),"")</f>
        <v>0</v>
      </c>
      <c r="AN60" t="str">
        <f>IFERROR(('Fat Spreads'!P60-(AVERAGE('Fat Spreads'!P60:P79)-2*STDEV('Fat Spreads'!P60:P79)))/(4*STDEV('Fat Spreads'!P60:P79)),"")</f>
        <v/>
      </c>
      <c r="AO60" t="str">
        <f>IFERROR(4*STDEV('Fat Spreads'!P60:P79)/AVERAGE('Fat Spreads'!P60:P79),"")</f>
        <v/>
      </c>
      <c r="AP60">
        <v>53.533000000000001</v>
      </c>
      <c r="AQ60">
        <f>IFERROR(SQRT((SUMSQ('Fat Spreads'!P60:P79)-2*SUMPRODUCT('Fat Spreads'!P60:P79,'Fat Spreads'!P61:P80)+SUMSQ('Fat Spreads'!P61:P80)-('Fat Spreads'!P60-'Fat Spreads'!P80)^2/20)/19),"")</f>
        <v>0</v>
      </c>
      <c r="AS60">
        <f>IFERROR('Fat Spreads'!AJ60,"")</f>
        <v>0</v>
      </c>
      <c r="AT60">
        <f>IFERROR(('Fat Spreads'!AK60-AVERAGE('Fat Spreads'!$AK$3:$AK$4308))/STDEV('Fat Spreads'!$AK$3:$AK$4308),"")</f>
        <v>-9.2057461789832332E-2</v>
      </c>
      <c r="AU60">
        <f>IFERROR('Fat Spreads'!AK60-'Fat Spreads'!AK65,"")</f>
        <v>0</v>
      </c>
      <c r="AV60">
        <f>IFERROR('Fat Spreads'!AK60-'Fat Spreads'!AK70,"")</f>
        <v>0</v>
      </c>
      <c r="AW60">
        <f>IFERROR(AVERAGE('Fat Spreads'!AK60:AK79)+2*STDEV('Fat Spreads'!AK60:AK79),"")</f>
        <v>0</v>
      </c>
      <c r="AX60">
        <f>IFERROR(AVERAGE('Fat Spreads'!AK60:AK79)-2*STDEV('Fat Spreads'!AK60:AK79),"")</f>
        <v>0</v>
      </c>
      <c r="AY60" t="str">
        <f>IFERROR(('Fat Spreads'!AK60-(AVERAGE('Fat Spreads'!AK60:AK79)-2*STDEV('Fat Spreads'!AK60:AK79)))/(4*STDEV('Fat Spreads'!AK60:AK79)),"")</f>
        <v/>
      </c>
      <c r="AZ60" t="str">
        <f>IFERROR(4*STDEV('Fat Spreads'!AK60:AK79)/AVERAGE('Fat Spreads'!AK60:AK79),"")</f>
        <v/>
      </c>
      <c r="BA60">
        <v>69.273399999999995</v>
      </c>
      <c r="BB60">
        <f>IFERROR(SQRT((SUMSQ('Fat Spreads'!AK60:AK79)-2*SUMPRODUCT('Fat Spreads'!AK60:AK79,'Fat Spreads'!AK61:AK80)+SUMSQ('Fat Spreads'!AK61:AK80)-('Fat Spreads'!AK60-'Fat Spreads'!AK80)^2/20)/19),"")</f>
        <v>0</v>
      </c>
      <c r="BD60">
        <f>IFERROR('Fat Spreads'!V60,"")</f>
        <v>0</v>
      </c>
      <c r="BE60">
        <f>IFERROR(('Fat Spreads'!W60-AVERAGE('Fat Spreads'!$W$3:$W$4308))/STDEV('Fat Spreads'!$W$3:$W$4308),"")</f>
        <v>-9.2057461789832332E-2</v>
      </c>
      <c r="BF60">
        <f>IFERROR('Fat Spreads'!W60-'Fat Spreads'!W65,"")</f>
        <v>0</v>
      </c>
      <c r="BG60">
        <f>IFERROR('Fat Spreads'!W60-'Fat Spreads'!W70,"")</f>
        <v>0</v>
      </c>
      <c r="BH60">
        <f>IFERROR(AVERAGE('Fat Spreads'!W60:W79)+2*STDEV('Fat Spreads'!W60:W79),"")</f>
        <v>0</v>
      </c>
      <c r="BI60">
        <f>IFERROR(AVERAGE('Fat Spreads'!W60:W79)-2*STDEV('Fat Spreads'!W60:W79),"")</f>
        <v>0</v>
      </c>
      <c r="BJ60" t="str">
        <f>IFERROR(('Fat Spreads'!W60-(AVERAGE('Fat Spreads'!W60:W79)-2*STDEV('Fat Spreads'!W60:W79)))/(4*STDEV('Fat Spreads'!W60:W79)),"")</f>
        <v/>
      </c>
      <c r="BK60" t="str">
        <f>IFERROR(4*STDEV('Fat Spreads'!W60:W79)/AVERAGE('Fat Spreads'!W60:W79),"")</f>
        <v/>
      </c>
      <c r="BL60">
        <v>70.943799999999996</v>
      </c>
      <c r="BM60">
        <f>IFERROR(SQRT((SUMSQ('Fat Spreads'!W60:W79)-2*SUMPRODUCT('Fat Spreads'!W60:W79,'Fat Spreads'!W61:W80)+SUMSQ('Fat Spreads'!W61:W80)-('Fat Spreads'!W60-'Fat Spreads'!W80)^2/20)/19),"")</f>
        <v>0</v>
      </c>
      <c r="BO60">
        <f>IFERROR('Fat Spreads'!AC60,"")</f>
        <v>0</v>
      </c>
      <c r="BP60">
        <f>IFERROR(('Fat Spreads'!AD60-AVERAGE('Fat Spreads'!$AD$3:$AD$4308))/STDEV('Fat Spreads'!$AD$3:$AD$4308),"")</f>
        <v>-9.2057461789832332E-2</v>
      </c>
      <c r="BQ60">
        <f>IFERROR('Fat Spreads'!AD60-'Fat Spreads'!AD65,"")</f>
        <v>0</v>
      </c>
      <c r="BR60">
        <f>IFERROR('Fat Spreads'!AD60-'Fat Spreads'!AD70,"")</f>
        <v>0</v>
      </c>
      <c r="BS60">
        <f>IFERROR(AVERAGE('Fat Spreads'!AD60:AD79)+2*STDEV('Fat Spreads'!AD60:AD79),"")</f>
        <v>0</v>
      </c>
      <c r="BT60">
        <f>IFERROR(AVERAGE('Fat Spreads'!AD60:AD79)-2*STDEV('Fat Spreads'!AD60:AD79),"")</f>
        <v>0</v>
      </c>
      <c r="BU60" t="str">
        <f>IFERROR(('Fat Spreads'!AD60-(AVERAGE('Fat Spreads'!AD60:AD79)-2*STDEV('Fat Spreads'!AD60:AD79)))/(4*STDEV('Fat Spreads'!AD60:AD79)),"")</f>
        <v/>
      </c>
      <c r="BV60" t="str">
        <f>IFERROR(4*STDEV('Fat Spreads'!AD60:AD79)/AVERAGE('Fat Spreads'!AD60:AD79),"")</f>
        <v/>
      </c>
      <c r="BW60">
        <v>36.314300000000003</v>
      </c>
      <c r="BX60">
        <f>IFERROR(SQRT((SUMSQ('Fat Spreads'!AD60:AD79)-2*SUMPRODUCT('Fat Spreads'!AD60:AD79,'Fat Spreads'!AD61:AD80)+SUMSQ('Fat Spreads'!AD61:AD80)-('Fat Spreads'!AD60-'Fat Spreads'!AD80)^2/20)/19),"")</f>
        <v>0</v>
      </c>
      <c r="BZ60">
        <f>IFERROR('Feeder Spreads'!A60,"")</f>
        <v>0</v>
      </c>
      <c r="CA60">
        <f>IFERROR(('Feeder Spreads'!B60-AVERAGE('Feeder Spreads'!$B$3:$B$4308))/STDEV('Feeder Spreads'!$B$3:$B$4308),"")</f>
        <v>-9.2057461789832346E-2</v>
      </c>
      <c r="CB60">
        <f>IFERROR('Feeder Spreads'!B60-'Feeder Spreads'!B65,"")</f>
        <v>0</v>
      </c>
      <c r="CC60">
        <f>IFERROR('Feeder Spreads'!B60-'Feeder Spreads'!B70,"")</f>
        <v>0</v>
      </c>
      <c r="CD60">
        <f>IFERROR(AVERAGE('Feeder Spreads'!B60:B79)+2*STDEV('Feeder Spreads'!B60:B79),"")</f>
        <v>0</v>
      </c>
      <c r="CE60">
        <f>IFERROR(AVERAGE('Feeder Spreads'!B60:B79)-2*STDEV('Feeder Spreads'!B60:B79),"")</f>
        <v>0</v>
      </c>
      <c r="CF60" t="str">
        <f>IFERROR(('Feeder Spreads'!B60-(AVERAGE('Feeder Spreads'!B60:B79)-2*STDEV('Feeder Spreads'!B60:B79)))/(4*STDEV('Feeder Spreads'!B60:B79)),"")</f>
        <v/>
      </c>
      <c r="CG60" t="str">
        <f>IFERROR(4*STDEV('Feeder Spreads'!B60:B79)/AVERAGE('Feeder Spreads'!B60:B79),"")</f>
        <v/>
      </c>
      <c r="CH60">
        <v>42.448799999999999</v>
      </c>
      <c r="CI60">
        <f>IFERROR(SQRT((SUMSQ('Feeder Spreads'!B60:B79)-2*SUMPRODUCT('Feeder Spreads'!B60:B79,'Feeder Spreads'!B61:B80)+SUMSQ('Feeder Spreads'!B61:B80)-('Feeder Spreads'!B60-'Feeder Spreads'!B80)^2/20)/19),"")</f>
        <v>0</v>
      </c>
      <c r="CK60">
        <f>IFERROR('Feeder Spreads'!AX60,"")</f>
        <v>0</v>
      </c>
      <c r="CL60">
        <f>IFERROR(('Feeder Spreads'!AY60-AVERAGE('Feeder Spreads'!$AY$3:$AY$4308))/STDEV('Feeder Spreads'!$AY$3:$AY$4308),"")</f>
        <v>-9.2057461789832346E-2</v>
      </c>
      <c r="CM60">
        <f>IFERROR('Feeder Spreads'!AY60-'Feeder Spreads'!AY65,"")</f>
        <v>0</v>
      </c>
      <c r="CN60">
        <f>IFERROR('Feeder Spreads'!AY60-'Feeder Spreads'!AY70,"")</f>
        <v>0</v>
      </c>
      <c r="CO60">
        <f>IFERROR(AVERAGE('Feeder Spreads'!AY60:AY79)+2*STDEV('Feeder Spreads'!AY60:AY79),"")</f>
        <v>0</v>
      </c>
      <c r="CP60">
        <f>IFERROR(AVERAGE('Feeder Spreads'!AY60:AY79)-2*STDEV('Feeder Spreads'!AY60:AY79),"")</f>
        <v>0</v>
      </c>
      <c r="CQ60" t="str">
        <f>IFERROR(('Feeder Spreads'!AY60-(AVERAGE('Feeder Spreads'!AY60:AY79)-2*STDEV('Feeder Spreads'!AY60:AY79)))/(4*STDEV('Feeder Spreads'!AY60:AY79)),"")</f>
        <v/>
      </c>
      <c r="CR60" t="str">
        <f>IFERROR(4*STDEV('Feeder Spreads'!AY60:AY79)/AVERAGE('Feeder Spreads'!AY60:AY79),"")</f>
        <v/>
      </c>
      <c r="CS60">
        <v>81.067099999999996</v>
      </c>
      <c r="CT60">
        <f>IFERROR(SQRT((SUMSQ('Feeder Spreads'!AY60:AY79)-2*SUMPRODUCT('Feeder Spreads'!AY60:AY79,'Feeder Spreads'!AY61:AY80)+SUMSQ('Feeder Spreads'!AY61:AY80)-('Feeder Spreads'!AY60-'Feeder Spreads'!AY80)^2/20)/19),"")</f>
        <v>0</v>
      </c>
      <c r="CV60">
        <f>IFERROR('Feeder Spreads'!H60,"")</f>
        <v>0</v>
      </c>
      <c r="CW60">
        <f>IFERROR(('Feeder Spreads'!I60-AVERAGE('Feeder Spreads'!$I$3:$I$4308))/STDEV('Feeder Spreads'!$I$3:$I$4308),"")</f>
        <v>-9.2057461789832332E-2</v>
      </c>
      <c r="CX60">
        <f>IFERROR('Feeder Spreads'!I60-'Feeder Spreads'!I65,"")</f>
        <v>0</v>
      </c>
      <c r="CY60">
        <f>IFERROR('Feeder Spreads'!I60-'Feeder Spreads'!I70,"")</f>
        <v>0</v>
      </c>
      <c r="CZ60">
        <f>IFERROR(AVERAGE('Feeder Spreads'!I60:I79)+2*STDEV('Feeder Spreads'!I60:I79),"")</f>
        <v>0</v>
      </c>
      <c r="DA60">
        <f>IFERROR(AVERAGE('Feeder Spreads'!I60:I79)-2*STDEV('Feeder Spreads'!I60:I79),"")</f>
        <v>0</v>
      </c>
      <c r="DB60" t="str">
        <f>IFERROR(('Feeder Spreads'!I60-(AVERAGE('Feeder Spreads'!I60:I79)-2*STDEV('Feeder Spreads'!I60:I79)))/(4*STDEV('Feeder Spreads'!I60:I79)),"")</f>
        <v/>
      </c>
      <c r="DC60" t="str">
        <f>IFERROR(4*STDEV('Feeder Spreads'!I60:I79)/AVERAGE('Feeder Spreads'!I60:I79),"")</f>
        <v/>
      </c>
      <c r="DD60">
        <v>46.593000000000004</v>
      </c>
      <c r="DE60">
        <f>IFERROR(SQRT((SUMSQ('Feeder Spreads'!I60:I79)-2*SUMPRODUCT('Feeder Spreads'!I60:I79,'Feeder Spreads'!I61:I80)+SUMSQ('Feeder Spreads'!I61:I80)-('Feeder Spreads'!I60-'Feeder Spreads'!I80)^2/20)/19),"")</f>
        <v>0</v>
      </c>
      <c r="DG60">
        <f>IFERROR('Feeder Spreads'!O60,"")</f>
        <v>0</v>
      </c>
      <c r="DH60">
        <f>IFERROR(('Feeder Spreads'!P60-AVERAGE('Feeder Spreads'!$P$3:$P$4308))/STDEV('Feeder Spreads'!$P$3:$P$4308),"")</f>
        <v>-9.2057461789832346E-2</v>
      </c>
      <c r="DI60">
        <f>IFERROR('Feeder Spreads'!P60-'Feeder Spreads'!P65,"")</f>
        <v>0</v>
      </c>
      <c r="DJ60">
        <f>IFERROR('Feeder Spreads'!P60-'Feeder Spreads'!P70,"")</f>
        <v>0</v>
      </c>
      <c r="DK60">
        <f>IFERROR(AVERAGE('Feeder Spreads'!P60:P79)+2*STDEV('Feeder Spreads'!P60:P79),"")</f>
        <v>0</v>
      </c>
      <c r="DL60">
        <f>IFERROR(AVERAGE('Feeder Spreads'!P60:P79)-2*STDEV('Feeder Spreads'!P60:P79),"")</f>
        <v>0</v>
      </c>
      <c r="DM60" t="str">
        <f>IFERROR(('Feeder Spreads'!P60-(AVERAGE('Feeder Spreads'!P60:P79)-2*STDEV('Feeder Spreads'!P60:P79)))/(4*STDEV('Feeder Spreads'!P60:P79)),"")</f>
        <v/>
      </c>
      <c r="DN60" t="str">
        <f>IFERROR(4*STDEV('Feeder Spreads'!P60:P79)/AVERAGE('Feeder Spreads'!P60:P79),"")</f>
        <v/>
      </c>
      <c r="DO60">
        <v>53.1858</v>
      </c>
      <c r="DP60">
        <f>IFERROR(SQRT((SUMSQ('Feeder Spreads'!P60:P79)-2*SUMPRODUCT('Feeder Spreads'!P60:P79,'Feeder Spreads'!P61:P80)+SUMSQ('Feeder Spreads'!P61:P80)-('Feeder Spreads'!P60-'Feeder Spreads'!P80)^2/20)/19),"")</f>
        <v>0</v>
      </c>
      <c r="DR60">
        <f>IFERROR('Feeder Spreads'!V60,"")</f>
        <v>0</v>
      </c>
      <c r="DS60">
        <f>IFERROR(('Feeder Spreads'!W60-AVERAGE('Feeder Spreads'!$W$3:$W$4308))/STDEV('Feeder Spreads'!$W$3:$W$4308),"")</f>
        <v>-9.2057461789832332E-2</v>
      </c>
      <c r="DT60">
        <f>IFERROR('Feeder Spreads'!W60-'Feeder Spreads'!W65,"")</f>
        <v>0</v>
      </c>
      <c r="DU60">
        <f>IFERROR('Feeder Spreads'!W60-'Feeder Spreads'!W70,"")</f>
        <v>0</v>
      </c>
      <c r="DV60">
        <f>IFERROR(AVERAGE('Feeder Spreads'!W60:W79)+2*STDEV('Feeder Spreads'!W60:W79),"")</f>
        <v>0</v>
      </c>
      <c r="DW60">
        <f>IFERROR(AVERAGE('Feeder Spreads'!W60:W79)-2*STDEV('Feeder Spreads'!W60:W79),"")</f>
        <v>0</v>
      </c>
      <c r="DX60" t="str">
        <f>IFERROR(('Feeder Spreads'!W60-(AVERAGE('Feeder Spreads'!W60:W79)-2*STDEV('Feeder Spreads'!W60:W79)))/(4*STDEV('Feeder Spreads'!W60:W79)),"")</f>
        <v/>
      </c>
      <c r="DY60" t="str">
        <f>IFERROR(4*STDEV('Feeder Spreads'!W60:W79)/AVERAGE('Feeder Spreads'!W60:W79),"")</f>
        <v/>
      </c>
      <c r="DZ60">
        <v>64.957300000000004</v>
      </c>
      <c r="EA60">
        <f>IFERROR(SQRT((SUMSQ('Feeder Spreads'!W60:W79)-2*SUMPRODUCT('Feeder Spreads'!W60:W79,'Feeder Spreads'!W61:W80)+SUMSQ('Feeder Spreads'!W61:W80)-('Feeder Spreads'!W60-'Feeder Spreads'!W80)^2/20)/19),"")</f>
        <v>0</v>
      </c>
      <c r="EC60">
        <f>IFERROR('Feeder Spreads'!AC60,"")</f>
        <v>0</v>
      </c>
      <c r="ED60">
        <f>IFERROR(('Feeder Spreads'!AD60-AVERAGE('Feeder Spreads'!$AD$3:$AD$4308))/STDEV('Feeder Spreads'!$AD$3:$AD$4308),"")</f>
        <v>9.2057461789832318E-2</v>
      </c>
      <c r="EE60">
        <f>IFERROR('Feeder Spreads'!AD60-'Feeder Spreads'!AD65,"")</f>
        <v>0</v>
      </c>
      <c r="EF60">
        <f>IFERROR('Feeder Spreads'!AD60-'Feeder Spreads'!AD70,"")</f>
        <v>0</v>
      </c>
      <c r="EG60">
        <f>IFERROR(AVERAGE('Feeder Spreads'!AD60:AD79)+2*STDEV('Feeder Spreads'!AD60:AD79),"")</f>
        <v>0</v>
      </c>
      <c r="EH60">
        <f>IFERROR(AVERAGE('Feeder Spreads'!AD60:AD79)-2*STDEV('Feeder Spreads'!AD60:AD79),"")</f>
        <v>0</v>
      </c>
      <c r="EI60" t="str">
        <f>IFERROR(('Feeder Spreads'!AD60-(AVERAGE('Feeder Spreads'!AD60:AD79)-2*STDEV('Feeder Spreads'!AD60:AD79)))/(4*STDEV('Feeder Spreads'!AD60:AD79)),"")</f>
        <v/>
      </c>
      <c r="EJ60" t="str">
        <f>IFERROR(4*STDEV('Feeder Spreads'!AD60:AD79)/AVERAGE('Feeder Spreads'!AD60:AD79),"")</f>
        <v/>
      </c>
      <c r="EK60">
        <v>48.259099999999997</v>
      </c>
      <c r="EL60">
        <f>IFERROR(SQRT((SUMSQ('Feeder Spreads'!AD60:AD79)-2*SUMPRODUCT('Feeder Spreads'!AD60:AD79,'Feeder Spreads'!AD61:AD80)+SUMSQ('Feeder Spreads'!AD61:AD80)-('Feeder Spreads'!AD60-'Feeder Spreads'!AD80)^2/20)/19),"")</f>
        <v>0</v>
      </c>
      <c r="EN60">
        <f>IFERROR('Feeder Spreads'!AJ60,"")</f>
        <v>0</v>
      </c>
      <c r="EO60">
        <f>IFERROR(('Feeder Spreads'!AK60-AVERAGE('Feeder Spreads'!$AK$3:$AK$4308))/STDEV('Feeder Spreads'!$AK$3:$AK$4308),"")</f>
        <v>-9.2057461789832346E-2</v>
      </c>
      <c r="EP60">
        <f>IFERROR('Feeder Spreads'!AK60-'Feeder Spreads'!AK65,"")</f>
        <v>0</v>
      </c>
      <c r="EQ60">
        <f>IFERROR('Feeder Spreads'!AK60-'Feeder Spreads'!AK70,"")</f>
        <v>0</v>
      </c>
      <c r="ER60">
        <f>IFERROR(AVERAGE('Feeder Spreads'!AK60:AK79)+2*STDEV('Feeder Spreads'!AK60:AK79),"")</f>
        <v>0</v>
      </c>
      <c r="ES60">
        <f>IFERROR(AVERAGE('Feeder Spreads'!AK60:AK79)-2*STDEV('Feeder Spreads'!AK60:AK79),"")</f>
        <v>0</v>
      </c>
      <c r="ET60" t="str">
        <f>IFERROR(('Feeder Spreads'!AK60-(AVERAGE('Feeder Spreads'!AK60:AK79)-2*STDEV('Feeder Spreads'!AK60:AK79)))/(4*STDEV('Feeder Spreads'!AK60:AK79)),"")</f>
        <v/>
      </c>
      <c r="EU60" t="str">
        <f>IFERROR(4*STDEV('Feeder Spreads'!AK60:AK79)/AVERAGE('Feeder Spreads'!AK60:AK79),"")</f>
        <v/>
      </c>
      <c r="EV60">
        <v>41.375100000000003</v>
      </c>
      <c r="EW60">
        <f>IFERROR(SQRT((SUMSQ('Feeder Spreads'!AK60:AK79)-2*SUMPRODUCT('Feeder Spreads'!AK60:AK79,'Feeder Spreads'!AK61:AK80)+SUMSQ('Feeder Spreads'!AK61:AK80)-('Feeder Spreads'!AK60-'Feeder Spreads'!AK80)^2/20)/19),"")</f>
        <v>0</v>
      </c>
      <c r="EY60">
        <f>IFERROR('Feeder Spreads'!AQ60,"")</f>
        <v>0</v>
      </c>
      <c r="EZ60">
        <f>IFERROR(('Feeder Spreads'!AR60-AVERAGE('Feeder Spreads'!$AR$3:$AR$4308))/STDEV('Feeder Spreads'!$AR$3:$AR$4308),"")</f>
        <v>-9.2057461789832332E-2</v>
      </c>
      <c r="FA60">
        <f>IFERROR('Feeder Spreads'!AR60-'Feeder Spreads'!AR65,"")</f>
        <v>0</v>
      </c>
      <c r="FB60">
        <f>IFERROR('Feeder Spreads'!AR60-'Feeder Spreads'!AR70,"")</f>
        <v>0</v>
      </c>
      <c r="FC60">
        <f>IFERROR(AVERAGE('Feeder Spreads'!AR60:AR79)+2*STDEV('Feeder Spreads'!AR60:AR79),"")</f>
        <v>0</v>
      </c>
      <c r="FD60">
        <f>IFERROR(AVERAGE('Feeder Spreads'!AR60:AR79)-2*STDEV('Feeder Spreads'!AR60:AR79),"")</f>
        <v>0</v>
      </c>
      <c r="FE60" t="str">
        <f>IFERROR(('Feeder Spreads'!AR60-(AVERAGE('Feeder Spreads'!AR60:AR79)-2*STDEV('Feeder Spreads'!AR60:AR79)))/(4*STDEV('Feeder Spreads'!AR60:AR79)),"")</f>
        <v/>
      </c>
      <c r="FF60" t="str">
        <f>IFERROR(4*STDEV('Feeder Spreads'!AR60:AR79)/AVERAGE('Feeder Spreads'!AR60:AR79),"")</f>
        <v/>
      </c>
      <c r="FG60">
        <v>44.817999999999998</v>
      </c>
      <c r="FH60">
        <f>IFERROR(SQRT((SUMSQ('Feeder Spreads'!AR60:AR79)-2*SUMPRODUCT('Feeder Spreads'!AR60:AR79,'Feeder Spreads'!AR61:AR80)+SUMSQ('Feeder Spreads'!AR61:AR80)-('Feeder Spreads'!AR60-'Feeder Spreads'!AR80)^2/20)/19),"")</f>
        <v>0</v>
      </c>
      <c r="FJ60">
        <f>IFERROR('Fat Spreads'!AX60,"")</f>
        <v>0</v>
      </c>
      <c r="FK60">
        <f>IFERROR(('Fat Spreads'!AY60-AVERAGE('Fat Spreads'!$AY$3:$AY$4308))/STDEV('Fat Spreads'!$AY$3:$AY$4308),"")</f>
        <v>9.2057461789832332E-2</v>
      </c>
      <c r="FL60">
        <f>IFERROR('Fat Spreads'!AY60-'Fat Spreads'!AY65,"")</f>
        <v>0</v>
      </c>
      <c r="FM60">
        <f>IFERROR('Fat Spreads'!AY60-'Fat Spreads'!AY70,"")</f>
        <v>0</v>
      </c>
      <c r="FN60">
        <f>IFERROR(AVERAGE('Fat Spreads'!AY60:AY79)+2*STDEV('Fat Spreads'!AY60:AY79),"")</f>
        <v>0</v>
      </c>
      <c r="FO60">
        <f>IFERROR(AVERAGE('Fat Spreads'!AY60:AY79)-2*STDEV('Fat Spreads'!AY60:AY79),"")</f>
        <v>0</v>
      </c>
      <c r="FP60" t="str">
        <f>IFERROR(('Fat Spreads'!AY60-(AVERAGE('Fat Spreads'!AY60:AY79)-2*STDEV('Fat Spreads'!AY60:AY79)))/(4*STDEV('Fat Spreads'!AY60:AY79)),"")</f>
        <v/>
      </c>
      <c r="FQ60" t="str">
        <f>IFERROR(4*STDEV('Fat Spreads'!AY60:AY79)/AVERAGE('Fat Spreads'!AY60:AY79),"")</f>
        <v/>
      </c>
      <c r="FR60">
        <v>63.7226</v>
      </c>
      <c r="FS60">
        <f>IFERROR(SQRT((SUMSQ('Fat Spreads'!AY60:AY79)-2*SUMPRODUCT('Fat Spreads'!AY60:AY79,'Fat Spreads'!AY61:AY80)+SUMSQ('Fat Spreads'!AY61:AY80)-('Fat Spreads'!AY60-'Fat Spreads'!AY80)^2/20)/19),"")</f>
        <v>0</v>
      </c>
      <c r="FU60">
        <f>IFERROR('Fat Spreads'!BE60,"")</f>
        <v>0</v>
      </c>
      <c r="FV60">
        <f>IFERROR(('Fat Spreads'!BF60-AVERAGE('Fat Spreads'!$BF$3:$BF$4308))/STDEV('Fat Spreads'!$BF$3:$BF$4308),"")</f>
        <v>9.2057461789832332E-2</v>
      </c>
      <c r="FW60">
        <f>IFERROR('Fat Spreads'!BF60-'Fat Spreads'!BF65,"")</f>
        <v>0</v>
      </c>
      <c r="FX60">
        <f>IFERROR('Fat Spreads'!BF60-'Fat Spreads'!BF70,"")</f>
        <v>0</v>
      </c>
      <c r="FY60">
        <f>IFERROR(AVERAGE('Fat Spreads'!BF60:BF79)+2*STDEV('Fat Spreads'!BF60:BF79),"")</f>
        <v>0</v>
      </c>
      <c r="FZ60">
        <f>IFERROR(AVERAGE('Fat Spreads'!BF60:BF79)-2*STDEV('Fat Spreads'!BF60:BF79),"")</f>
        <v>0</v>
      </c>
      <c r="GA60" t="str">
        <f>IFERROR(('Fat Spreads'!BF60-(AVERAGE('Fat Spreads'!BF60:BF79)-2*STDEV('Fat Spreads'!BF60:BF79)))/(4*STDEV('Fat Spreads'!BF60:BF79)),"")</f>
        <v/>
      </c>
      <c r="GB60" t="str">
        <f>IFERROR(4*STDEV('Fat Spreads'!BF60:BF79)/AVERAGE('Fat Spreads'!BF60:BF79),"")</f>
        <v/>
      </c>
      <c r="GC60">
        <v>48.144100000000002</v>
      </c>
      <c r="GD60">
        <f>IFERROR(SQRT((SUMSQ('Fat Spreads'!BF60:BF79)-2*SUMPRODUCT('Fat Spreads'!BF60:BF79,'Fat Spreads'!BF61:BF80)+SUMSQ('Fat Spreads'!BF61:BF80)-('Fat Spreads'!BF60-'Fat Spreads'!BF80)^2/20)/19),"")</f>
        <v>0</v>
      </c>
    </row>
    <row r="61" spans="1:186" x14ac:dyDescent="0.25">
      <c r="A61">
        <f>IFERROR('Fat Spreads'!A61,"")</f>
        <v>0</v>
      </c>
      <c r="B61">
        <f>IFERROR(('Fat Spreads'!B61-AVERAGE('Fat Spreads'!$B$3:$B$4308))/STDEV('Fat Spreads'!$B$3:$B$4308),"")</f>
        <v>9.2057461789832346E-2</v>
      </c>
      <c r="C61">
        <f>IFERROR('Fat Spreads'!B61-'Fat Spreads'!B66,"")</f>
        <v>0</v>
      </c>
      <c r="D61">
        <f>IFERROR('Fat Spreads'!B61-'Fat Spreads'!B71,"")</f>
        <v>0</v>
      </c>
      <c r="E61">
        <f>IFERROR(AVERAGE('Fat Spreads'!B61:B80)+2*STDEV('Fat Spreads'!B61:B80),"")</f>
        <v>0</v>
      </c>
      <c r="F61">
        <f>IFERROR(AVERAGE('Fat Spreads'!B61:B80)-2*STDEV('Fat Spreads'!B61:B80),"")</f>
        <v>0</v>
      </c>
      <c r="G61" t="str">
        <f>IFERROR(('Fat Spreads'!B61-(AVERAGE('Fat Spreads'!B61:B80)-2*STDEV('Fat Spreads'!B61:B80)))/(4*STDEV('Fat Spreads'!B61:B80)),"")</f>
        <v/>
      </c>
      <c r="H61" t="str">
        <f>IFERROR(4*STDEV('Fat Spreads'!B61:B80)/AVERAGE('Fat Spreads'!B61:B80),"")</f>
        <v/>
      </c>
      <c r="I61">
        <v>39.226599999999998</v>
      </c>
      <c r="J61">
        <f>IFERROR(SQRT((SUMSQ('Fat Spreads'!B61:B80)-2*SUMPRODUCT('Fat Spreads'!B61:B80,'Fat Spreads'!B62:B81)+SUMSQ('Fat Spreads'!B62:B81)-('Fat Spreads'!B61-'Fat Spreads'!B81)^2/20)/19),"")</f>
        <v>0</v>
      </c>
      <c r="L61">
        <f>IFERROR('Fat Spreads'!H61,"")</f>
        <v>0</v>
      </c>
      <c r="M61">
        <f>IFERROR(('Fat Spreads'!I61-AVERAGE('Fat Spreads'!$I$3:$I$4308))/STDEV('Fat Spreads'!$I$3:$I$4308),"")</f>
        <v>-9.2057461789832332E-2</v>
      </c>
      <c r="N61">
        <f>IFERROR('Fat Spreads'!I61-'Fat Spreads'!I66,"")</f>
        <v>0</v>
      </c>
      <c r="O61">
        <f>IFERROR('Fat Spreads'!I61-'Fat Spreads'!I71,"")</f>
        <v>0</v>
      </c>
      <c r="P61">
        <f>IFERROR(AVERAGE('Fat Spreads'!I61:I80)+2*STDEV('Fat Spreads'!I61:I80),"")</f>
        <v>0</v>
      </c>
      <c r="Q61">
        <f>IFERROR(AVERAGE('Fat Spreads'!I61:I80)-2*STDEV('Fat Spreads'!I61:I80),"")</f>
        <v>0</v>
      </c>
      <c r="R61" t="str">
        <f>IFERROR(('Fat Spreads'!I61-(AVERAGE('Fat Spreads'!I61:I80)-2*STDEV('Fat Spreads'!I61:I80)))/(4*STDEV('Fat Spreads'!I61:I80)),"")</f>
        <v/>
      </c>
      <c r="S61" t="str">
        <f>IFERROR(4*STDEV('Fat Spreads'!I61:I80)/AVERAGE('Fat Spreads'!I61:I80),"")</f>
        <v/>
      </c>
      <c r="T61">
        <v>34.6053</v>
      </c>
      <c r="U61">
        <f>IFERROR(SQRT((SUMSQ('Fat Spreads'!I61:I80)-2*SUMPRODUCT('Fat Spreads'!I61:I80,'Fat Spreads'!I62:I81)+SUMSQ('Fat Spreads'!I62:I81)-('Fat Spreads'!I61-'Fat Spreads'!I81)^2/20)/19),"")</f>
        <v>0</v>
      </c>
      <c r="W61">
        <f>IFERROR('Fat Spreads'!AQ61,"")</f>
        <v>0</v>
      </c>
      <c r="X61">
        <f>IFERROR(('Fat Spreads'!AR61-AVERAGE('Fat Spreads'!$AR$3:$AR$4308))/STDEV('Fat Spreads'!$AR$3:$AR$4308),"")</f>
        <v>-9.2057461789832346E-2</v>
      </c>
      <c r="Y61">
        <f>IFERROR('Fat Spreads'!AR61-'Fat Spreads'!AR66,"")</f>
        <v>0</v>
      </c>
      <c r="Z61">
        <f>IFERROR('Fat Spreads'!AR61-'Fat Spreads'!AR71,"")</f>
        <v>0</v>
      </c>
      <c r="AA61">
        <f>IFERROR(AVERAGE('Fat Spreads'!AR61:AR80)+2*STDEV('Fat Spreads'!AR61:AR80),"")</f>
        <v>0</v>
      </c>
      <c r="AB61">
        <f>IFERROR(AVERAGE('Fat Spreads'!AR61:AR80)-2*STDEV('Fat Spreads'!AR61:AR80),"")</f>
        <v>0</v>
      </c>
      <c r="AC61" t="str">
        <f>IFERROR(('Fat Spreads'!AR61-(AVERAGE('Fat Spreads'!AR61:AR80)-2*STDEV('Fat Spreads'!AR61:AR80)))/(4*STDEV('Fat Spreads'!AR61:AR80)),"")</f>
        <v/>
      </c>
      <c r="AD61" t="str">
        <f>IFERROR(4*STDEV('Fat Spreads'!AR61:AR80)/AVERAGE('Fat Spreads'!AR61:AR80),"")</f>
        <v/>
      </c>
      <c r="AE61">
        <v>62.911299999999997</v>
      </c>
      <c r="AF61">
        <f>IFERROR(SQRT((SUMSQ('Fat Spreads'!AR61:AR80)-2*SUMPRODUCT('Fat Spreads'!AR61:AR80,'Fat Spreads'!AR62:AR81)+SUMSQ('Fat Spreads'!AR62:AR81)-('Fat Spreads'!AR61-'Fat Spreads'!AR81)^2/20)/19),"")</f>
        <v>0</v>
      </c>
      <c r="AH61">
        <f>IFERROR('Fat Spreads'!O61,"")</f>
        <v>0</v>
      </c>
      <c r="AI61">
        <f>IFERROR(('Fat Spreads'!P61-AVERAGE('Fat Spreads'!$P$3:$P$4308))/STDEV('Fat Spreads'!$P$3:$P$4308),"")</f>
        <v>-9.2057461789832332E-2</v>
      </c>
      <c r="AJ61">
        <f>IFERROR('Fat Spreads'!P61-'Fat Spreads'!P66,"")</f>
        <v>0</v>
      </c>
      <c r="AK61">
        <f>IFERROR('Fat Spreads'!P61-'Fat Spreads'!P71,"")</f>
        <v>0</v>
      </c>
      <c r="AL61">
        <f>IFERROR(AVERAGE('Fat Spreads'!P61:P80)+2*STDEV('Fat Spreads'!P61:P80),"")</f>
        <v>0</v>
      </c>
      <c r="AM61">
        <f>IFERROR(AVERAGE('Fat Spreads'!P61:P80)-2*STDEV('Fat Spreads'!P61:P80),"")</f>
        <v>0</v>
      </c>
      <c r="AN61" t="str">
        <f>IFERROR(('Fat Spreads'!P61-(AVERAGE('Fat Spreads'!P61:P80)-2*STDEV('Fat Spreads'!P61:P80)))/(4*STDEV('Fat Spreads'!P61:P80)),"")</f>
        <v/>
      </c>
      <c r="AO61" t="str">
        <f>IFERROR(4*STDEV('Fat Spreads'!P61:P80)/AVERAGE('Fat Spreads'!P61:P80),"")</f>
        <v/>
      </c>
      <c r="AP61">
        <v>44.284799999999997</v>
      </c>
      <c r="AQ61">
        <f>IFERROR(SQRT((SUMSQ('Fat Spreads'!P61:P80)-2*SUMPRODUCT('Fat Spreads'!P61:P80,'Fat Spreads'!P62:P81)+SUMSQ('Fat Spreads'!P62:P81)-('Fat Spreads'!P61-'Fat Spreads'!P81)^2/20)/19),"")</f>
        <v>0</v>
      </c>
      <c r="AS61">
        <f>IFERROR('Fat Spreads'!AJ61,"")</f>
        <v>0</v>
      </c>
      <c r="AT61">
        <f>IFERROR(('Fat Spreads'!AK61-AVERAGE('Fat Spreads'!$AK$3:$AK$4308))/STDEV('Fat Spreads'!$AK$3:$AK$4308),"")</f>
        <v>-9.2057461789832332E-2</v>
      </c>
      <c r="AU61">
        <f>IFERROR('Fat Spreads'!AK61-'Fat Spreads'!AK66,"")</f>
        <v>0</v>
      </c>
      <c r="AV61">
        <f>IFERROR('Fat Spreads'!AK61-'Fat Spreads'!AK71,"")</f>
        <v>0</v>
      </c>
      <c r="AW61">
        <f>IFERROR(AVERAGE('Fat Spreads'!AK61:AK80)+2*STDEV('Fat Spreads'!AK61:AK80),"")</f>
        <v>0</v>
      </c>
      <c r="AX61">
        <f>IFERROR(AVERAGE('Fat Spreads'!AK61:AK80)-2*STDEV('Fat Spreads'!AK61:AK80),"")</f>
        <v>0</v>
      </c>
      <c r="AY61" t="str">
        <f>IFERROR(('Fat Spreads'!AK61-(AVERAGE('Fat Spreads'!AK61:AK80)-2*STDEV('Fat Spreads'!AK61:AK80)))/(4*STDEV('Fat Spreads'!AK61:AK80)),"")</f>
        <v/>
      </c>
      <c r="AZ61" t="str">
        <f>IFERROR(4*STDEV('Fat Spreads'!AK61:AK80)/AVERAGE('Fat Spreads'!AK61:AK80),"")</f>
        <v/>
      </c>
      <c r="BA61">
        <v>73.221999999999994</v>
      </c>
      <c r="BB61">
        <f>IFERROR(SQRT((SUMSQ('Fat Spreads'!AK61:AK80)-2*SUMPRODUCT('Fat Spreads'!AK61:AK80,'Fat Spreads'!AK62:AK81)+SUMSQ('Fat Spreads'!AK62:AK81)-('Fat Spreads'!AK61-'Fat Spreads'!AK81)^2/20)/19),"")</f>
        <v>0</v>
      </c>
      <c r="BD61">
        <f>IFERROR('Fat Spreads'!V61,"")</f>
        <v>0</v>
      </c>
      <c r="BE61">
        <f>IFERROR(('Fat Spreads'!W61-AVERAGE('Fat Spreads'!$W$3:$W$4308))/STDEV('Fat Spreads'!$W$3:$W$4308),"")</f>
        <v>-9.2057461789832332E-2</v>
      </c>
      <c r="BF61">
        <f>IFERROR('Fat Spreads'!W61-'Fat Spreads'!W66,"")</f>
        <v>0</v>
      </c>
      <c r="BG61">
        <f>IFERROR('Fat Spreads'!W61-'Fat Spreads'!W71,"")</f>
        <v>0</v>
      </c>
      <c r="BH61">
        <f>IFERROR(AVERAGE('Fat Spreads'!W61:W80)+2*STDEV('Fat Spreads'!W61:W80),"")</f>
        <v>0</v>
      </c>
      <c r="BI61">
        <f>IFERROR(AVERAGE('Fat Spreads'!W61:W80)-2*STDEV('Fat Spreads'!W61:W80),"")</f>
        <v>0</v>
      </c>
      <c r="BJ61" t="str">
        <f>IFERROR(('Fat Spreads'!W61-(AVERAGE('Fat Spreads'!W61:W80)-2*STDEV('Fat Spreads'!W61:W80)))/(4*STDEV('Fat Spreads'!W61:W80)),"")</f>
        <v/>
      </c>
      <c r="BK61" t="str">
        <f>IFERROR(4*STDEV('Fat Spreads'!W61:W80)/AVERAGE('Fat Spreads'!W61:W80),"")</f>
        <v/>
      </c>
      <c r="BL61">
        <v>70.043199999999999</v>
      </c>
      <c r="BM61">
        <f>IFERROR(SQRT((SUMSQ('Fat Spreads'!W61:W80)-2*SUMPRODUCT('Fat Spreads'!W61:W80,'Fat Spreads'!W62:W81)+SUMSQ('Fat Spreads'!W62:W81)-('Fat Spreads'!W61-'Fat Spreads'!W81)^2/20)/19),"")</f>
        <v>0</v>
      </c>
      <c r="BO61">
        <f>IFERROR('Fat Spreads'!AC61,"")</f>
        <v>0</v>
      </c>
      <c r="BP61">
        <f>IFERROR(('Fat Spreads'!AD61-AVERAGE('Fat Spreads'!$AD$3:$AD$4308))/STDEV('Fat Spreads'!$AD$3:$AD$4308),"")</f>
        <v>-9.2057461789832332E-2</v>
      </c>
      <c r="BQ61">
        <f>IFERROR('Fat Spreads'!AD61-'Fat Spreads'!AD66,"")</f>
        <v>0</v>
      </c>
      <c r="BR61">
        <f>IFERROR('Fat Spreads'!AD61-'Fat Spreads'!AD71,"")</f>
        <v>0</v>
      </c>
      <c r="BS61">
        <f>IFERROR(AVERAGE('Fat Spreads'!AD61:AD80)+2*STDEV('Fat Spreads'!AD61:AD80),"")</f>
        <v>0</v>
      </c>
      <c r="BT61">
        <f>IFERROR(AVERAGE('Fat Spreads'!AD61:AD80)-2*STDEV('Fat Spreads'!AD61:AD80),"")</f>
        <v>0</v>
      </c>
      <c r="BU61" t="str">
        <f>IFERROR(('Fat Spreads'!AD61-(AVERAGE('Fat Spreads'!AD61:AD80)-2*STDEV('Fat Spreads'!AD61:AD80)))/(4*STDEV('Fat Spreads'!AD61:AD80)),"")</f>
        <v/>
      </c>
      <c r="BV61" t="str">
        <f>IFERROR(4*STDEV('Fat Spreads'!AD61:AD80)/AVERAGE('Fat Spreads'!AD61:AD80),"")</f>
        <v/>
      </c>
      <c r="BW61">
        <v>41.473700000000001</v>
      </c>
      <c r="BX61">
        <f>IFERROR(SQRT((SUMSQ('Fat Spreads'!AD61:AD80)-2*SUMPRODUCT('Fat Spreads'!AD61:AD80,'Fat Spreads'!AD62:AD81)+SUMSQ('Fat Spreads'!AD62:AD81)-('Fat Spreads'!AD61-'Fat Spreads'!AD81)^2/20)/19),"")</f>
        <v>0</v>
      </c>
      <c r="BZ61">
        <f>IFERROR('Feeder Spreads'!A61,"")</f>
        <v>0</v>
      </c>
      <c r="CA61">
        <f>IFERROR(('Feeder Spreads'!B61-AVERAGE('Feeder Spreads'!$B$3:$B$4308))/STDEV('Feeder Spreads'!$B$3:$B$4308),"")</f>
        <v>-9.2057461789832346E-2</v>
      </c>
      <c r="CB61">
        <f>IFERROR('Feeder Spreads'!B61-'Feeder Spreads'!B66,"")</f>
        <v>0</v>
      </c>
      <c r="CC61">
        <f>IFERROR('Feeder Spreads'!B61-'Feeder Spreads'!B71,"")</f>
        <v>0</v>
      </c>
      <c r="CD61">
        <f>IFERROR(AVERAGE('Feeder Spreads'!B61:B80)+2*STDEV('Feeder Spreads'!B61:B80),"")</f>
        <v>0</v>
      </c>
      <c r="CE61">
        <f>IFERROR(AVERAGE('Feeder Spreads'!B61:B80)-2*STDEV('Feeder Spreads'!B61:B80),"")</f>
        <v>0</v>
      </c>
      <c r="CF61" t="str">
        <f>IFERROR(('Feeder Spreads'!B61-(AVERAGE('Feeder Spreads'!B61:B80)-2*STDEV('Feeder Spreads'!B61:B80)))/(4*STDEV('Feeder Spreads'!B61:B80)),"")</f>
        <v/>
      </c>
      <c r="CG61" t="str">
        <f>IFERROR(4*STDEV('Feeder Spreads'!B61:B80)/AVERAGE('Feeder Spreads'!B61:B80),"")</f>
        <v/>
      </c>
      <c r="CH61">
        <v>37.268000000000001</v>
      </c>
      <c r="CI61">
        <f>IFERROR(SQRT((SUMSQ('Feeder Spreads'!B61:B80)-2*SUMPRODUCT('Feeder Spreads'!B61:B80,'Feeder Spreads'!B62:B81)+SUMSQ('Feeder Spreads'!B62:B81)-('Feeder Spreads'!B61-'Feeder Spreads'!B81)^2/20)/19),"")</f>
        <v>0</v>
      </c>
      <c r="CK61">
        <f>IFERROR('Feeder Spreads'!AX61,"")</f>
        <v>0</v>
      </c>
      <c r="CL61">
        <f>IFERROR(('Feeder Spreads'!AY61-AVERAGE('Feeder Spreads'!$AY$3:$AY$4308))/STDEV('Feeder Spreads'!$AY$3:$AY$4308),"")</f>
        <v>-9.2057461789832346E-2</v>
      </c>
      <c r="CM61">
        <f>IFERROR('Feeder Spreads'!AY61-'Feeder Spreads'!AY66,"")</f>
        <v>0</v>
      </c>
      <c r="CN61">
        <f>IFERROR('Feeder Spreads'!AY61-'Feeder Spreads'!AY71,"")</f>
        <v>0</v>
      </c>
      <c r="CO61">
        <f>IFERROR(AVERAGE('Feeder Spreads'!AY61:AY80)+2*STDEV('Feeder Spreads'!AY61:AY80),"")</f>
        <v>0</v>
      </c>
      <c r="CP61">
        <f>IFERROR(AVERAGE('Feeder Spreads'!AY61:AY80)-2*STDEV('Feeder Spreads'!AY61:AY80),"")</f>
        <v>0</v>
      </c>
      <c r="CQ61" t="str">
        <f>IFERROR(('Feeder Spreads'!AY61-(AVERAGE('Feeder Spreads'!AY61:AY80)-2*STDEV('Feeder Spreads'!AY61:AY80)))/(4*STDEV('Feeder Spreads'!AY61:AY80)),"")</f>
        <v/>
      </c>
      <c r="CR61" t="str">
        <f>IFERROR(4*STDEV('Feeder Spreads'!AY61:AY80)/AVERAGE('Feeder Spreads'!AY61:AY80),"")</f>
        <v/>
      </c>
      <c r="CS61">
        <v>80.823300000000003</v>
      </c>
      <c r="CT61">
        <f>IFERROR(SQRT((SUMSQ('Feeder Spreads'!AY61:AY80)-2*SUMPRODUCT('Feeder Spreads'!AY61:AY80,'Feeder Spreads'!AY62:AY81)+SUMSQ('Feeder Spreads'!AY62:AY81)-('Feeder Spreads'!AY61-'Feeder Spreads'!AY81)^2/20)/19),"")</f>
        <v>0</v>
      </c>
      <c r="CV61">
        <f>IFERROR('Feeder Spreads'!H61,"")</f>
        <v>0</v>
      </c>
      <c r="CW61">
        <f>IFERROR(('Feeder Spreads'!I61-AVERAGE('Feeder Spreads'!$I$3:$I$4308))/STDEV('Feeder Spreads'!$I$3:$I$4308),"")</f>
        <v>-9.2057461789832332E-2</v>
      </c>
      <c r="CX61">
        <f>IFERROR('Feeder Spreads'!I61-'Feeder Spreads'!I66,"")</f>
        <v>0</v>
      </c>
      <c r="CY61">
        <f>IFERROR('Feeder Spreads'!I61-'Feeder Spreads'!I71,"")</f>
        <v>0</v>
      </c>
      <c r="CZ61">
        <f>IFERROR(AVERAGE('Feeder Spreads'!I61:I80)+2*STDEV('Feeder Spreads'!I61:I80),"")</f>
        <v>0</v>
      </c>
      <c r="DA61">
        <f>IFERROR(AVERAGE('Feeder Spreads'!I61:I80)-2*STDEV('Feeder Spreads'!I61:I80),"")</f>
        <v>0</v>
      </c>
      <c r="DB61" t="str">
        <f>IFERROR(('Feeder Spreads'!I61-(AVERAGE('Feeder Spreads'!I61:I80)-2*STDEV('Feeder Spreads'!I61:I80)))/(4*STDEV('Feeder Spreads'!I61:I80)),"")</f>
        <v/>
      </c>
      <c r="DC61" t="str">
        <f>IFERROR(4*STDEV('Feeder Spreads'!I61:I80)/AVERAGE('Feeder Spreads'!I61:I80),"")</f>
        <v/>
      </c>
      <c r="DD61">
        <v>46.177199999999999</v>
      </c>
      <c r="DE61">
        <f>IFERROR(SQRT((SUMSQ('Feeder Spreads'!I61:I80)-2*SUMPRODUCT('Feeder Spreads'!I61:I80,'Feeder Spreads'!I62:I81)+SUMSQ('Feeder Spreads'!I62:I81)-('Feeder Spreads'!I61-'Feeder Spreads'!I81)^2/20)/19),"")</f>
        <v>0</v>
      </c>
      <c r="DG61">
        <f>IFERROR('Feeder Spreads'!O61,"")</f>
        <v>0</v>
      </c>
      <c r="DH61">
        <f>IFERROR(('Feeder Spreads'!P61-AVERAGE('Feeder Spreads'!$P$3:$P$4308))/STDEV('Feeder Spreads'!$P$3:$P$4308),"")</f>
        <v>-9.2057461789832346E-2</v>
      </c>
      <c r="DI61">
        <f>IFERROR('Feeder Spreads'!P61-'Feeder Spreads'!P66,"")</f>
        <v>0</v>
      </c>
      <c r="DJ61">
        <f>IFERROR('Feeder Spreads'!P61-'Feeder Spreads'!P71,"")</f>
        <v>0</v>
      </c>
      <c r="DK61">
        <f>IFERROR(AVERAGE('Feeder Spreads'!P61:P80)+2*STDEV('Feeder Spreads'!P61:P80),"")</f>
        <v>0</v>
      </c>
      <c r="DL61">
        <f>IFERROR(AVERAGE('Feeder Spreads'!P61:P80)-2*STDEV('Feeder Spreads'!P61:P80),"")</f>
        <v>0</v>
      </c>
      <c r="DM61" t="str">
        <f>IFERROR(('Feeder Spreads'!P61-(AVERAGE('Feeder Spreads'!P61:P80)-2*STDEV('Feeder Spreads'!P61:P80)))/(4*STDEV('Feeder Spreads'!P61:P80)),"")</f>
        <v/>
      </c>
      <c r="DN61" t="str">
        <f>IFERROR(4*STDEV('Feeder Spreads'!P61:P80)/AVERAGE('Feeder Spreads'!P61:P80),"")</f>
        <v/>
      </c>
      <c r="DO61">
        <v>53.589799999999997</v>
      </c>
      <c r="DP61">
        <f>IFERROR(SQRT((SUMSQ('Feeder Spreads'!P61:P80)-2*SUMPRODUCT('Feeder Spreads'!P61:P80,'Feeder Spreads'!P62:P81)+SUMSQ('Feeder Spreads'!P62:P81)-('Feeder Spreads'!P61-'Feeder Spreads'!P81)^2/20)/19),"")</f>
        <v>0</v>
      </c>
      <c r="DR61">
        <f>IFERROR('Feeder Spreads'!V61,"")</f>
        <v>0</v>
      </c>
      <c r="DS61">
        <f>IFERROR(('Feeder Spreads'!W61-AVERAGE('Feeder Spreads'!$W$3:$W$4308))/STDEV('Feeder Spreads'!$W$3:$W$4308),"")</f>
        <v>-9.2057461789832332E-2</v>
      </c>
      <c r="DT61">
        <f>IFERROR('Feeder Spreads'!W61-'Feeder Spreads'!W66,"")</f>
        <v>0</v>
      </c>
      <c r="DU61">
        <f>IFERROR('Feeder Spreads'!W61-'Feeder Spreads'!W71,"")</f>
        <v>0</v>
      </c>
      <c r="DV61">
        <f>IFERROR(AVERAGE('Feeder Spreads'!W61:W80)+2*STDEV('Feeder Spreads'!W61:W80),"")</f>
        <v>0</v>
      </c>
      <c r="DW61">
        <f>IFERROR(AVERAGE('Feeder Spreads'!W61:W80)-2*STDEV('Feeder Spreads'!W61:W80),"")</f>
        <v>0</v>
      </c>
      <c r="DX61" t="str">
        <f>IFERROR(('Feeder Spreads'!W61-(AVERAGE('Feeder Spreads'!W61:W80)-2*STDEV('Feeder Spreads'!W61:W80)))/(4*STDEV('Feeder Spreads'!W61:W80)),"")</f>
        <v/>
      </c>
      <c r="DY61" t="str">
        <f>IFERROR(4*STDEV('Feeder Spreads'!W61:W80)/AVERAGE('Feeder Spreads'!W61:W80),"")</f>
        <v/>
      </c>
      <c r="DZ61">
        <v>77.389600000000002</v>
      </c>
      <c r="EA61">
        <f>IFERROR(SQRT((SUMSQ('Feeder Spreads'!W61:W80)-2*SUMPRODUCT('Feeder Spreads'!W61:W80,'Feeder Spreads'!W62:W81)+SUMSQ('Feeder Spreads'!W62:W81)-('Feeder Spreads'!W61-'Feeder Spreads'!W81)^2/20)/19),"")</f>
        <v>0</v>
      </c>
      <c r="EC61">
        <f>IFERROR('Feeder Spreads'!AC61,"")</f>
        <v>0</v>
      </c>
      <c r="ED61">
        <f>IFERROR(('Feeder Spreads'!AD61-AVERAGE('Feeder Spreads'!$AD$3:$AD$4308))/STDEV('Feeder Spreads'!$AD$3:$AD$4308),"")</f>
        <v>9.2057461789832318E-2</v>
      </c>
      <c r="EE61">
        <f>IFERROR('Feeder Spreads'!AD61-'Feeder Spreads'!AD66,"")</f>
        <v>0</v>
      </c>
      <c r="EF61">
        <f>IFERROR('Feeder Spreads'!AD61-'Feeder Spreads'!AD71,"")</f>
        <v>0</v>
      </c>
      <c r="EG61">
        <f>IFERROR(AVERAGE('Feeder Spreads'!AD61:AD80)+2*STDEV('Feeder Spreads'!AD61:AD80),"")</f>
        <v>0</v>
      </c>
      <c r="EH61">
        <f>IFERROR(AVERAGE('Feeder Spreads'!AD61:AD80)-2*STDEV('Feeder Spreads'!AD61:AD80),"")</f>
        <v>0</v>
      </c>
      <c r="EI61" t="str">
        <f>IFERROR(('Feeder Spreads'!AD61-(AVERAGE('Feeder Spreads'!AD61:AD80)-2*STDEV('Feeder Spreads'!AD61:AD80)))/(4*STDEV('Feeder Spreads'!AD61:AD80)),"")</f>
        <v/>
      </c>
      <c r="EJ61" t="str">
        <f>IFERROR(4*STDEV('Feeder Spreads'!AD61:AD80)/AVERAGE('Feeder Spreads'!AD61:AD80),"")</f>
        <v/>
      </c>
      <c r="EK61">
        <v>52.9133</v>
      </c>
      <c r="EL61">
        <f>IFERROR(SQRT((SUMSQ('Feeder Spreads'!AD61:AD80)-2*SUMPRODUCT('Feeder Spreads'!AD61:AD80,'Feeder Spreads'!AD62:AD81)+SUMSQ('Feeder Spreads'!AD62:AD81)-('Feeder Spreads'!AD61-'Feeder Spreads'!AD81)^2/20)/19),"")</f>
        <v>0</v>
      </c>
      <c r="EN61">
        <f>IFERROR('Feeder Spreads'!AJ61,"")</f>
        <v>0</v>
      </c>
      <c r="EO61">
        <f>IFERROR(('Feeder Spreads'!AK61-AVERAGE('Feeder Spreads'!$AK$3:$AK$4308))/STDEV('Feeder Spreads'!$AK$3:$AK$4308),"")</f>
        <v>-9.2057461789832346E-2</v>
      </c>
      <c r="EP61">
        <f>IFERROR('Feeder Spreads'!AK61-'Feeder Spreads'!AK66,"")</f>
        <v>0</v>
      </c>
      <c r="EQ61">
        <f>IFERROR('Feeder Spreads'!AK61-'Feeder Spreads'!AK71,"")</f>
        <v>0</v>
      </c>
      <c r="ER61">
        <f>IFERROR(AVERAGE('Feeder Spreads'!AK61:AK80)+2*STDEV('Feeder Spreads'!AK61:AK80),"")</f>
        <v>0</v>
      </c>
      <c r="ES61">
        <f>IFERROR(AVERAGE('Feeder Spreads'!AK61:AK80)-2*STDEV('Feeder Spreads'!AK61:AK80),"")</f>
        <v>0</v>
      </c>
      <c r="ET61" t="str">
        <f>IFERROR(('Feeder Spreads'!AK61-(AVERAGE('Feeder Spreads'!AK61:AK80)-2*STDEV('Feeder Spreads'!AK61:AK80)))/(4*STDEV('Feeder Spreads'!AK61:AK80)),"")</f>
        <v/>
      </c>
      <c r="EU61" t="str">
        <f>IFERROR(4*STDEV('Feeder Spreads'!AK61:AK80)/AVERAGE('Feeder Spreads'!AK61:AK80),"")</f>
        <v/>
      </c>
      <c r="EV61">
        <v>39.682299999999998</v>
      </c>
      <c r="EW61">
        <f>IFERROR(SQRT((SUMSQ('Feeder Spreads'!AK61:AK80)-2*SUMPRODUCT('Feeder Spreads'!AK61:AK80,'Feeder Spreads'!AK62:AK81)+SUMSQ('Feeder Spreads'!AK62:AK81)-('Feeder Spreads'!AK61-'Feeder Spreads'!AK81)^2/20)/19),"")</f>
        <v>0</v>
      </c>
      <c r="EY61">
        <f>IFERROR('Feeder Spreads'!AQ61,"")</f>
        <v>0</v>
      </c>
      <c r="EZ61">
        <f>IFERROR(('Feeder Spreads'!AR61-AVERAGE('Feeder Spreads'!$AR$3:$AR$4308))/STDEV('Feeder Spreads'!$AR$3:$AR$4308),"")</f>
        <v>-9.2057461789832332E-2</v>
      </c>
      <c r="FA61">
        <f>IFERROR('Feeder Spreads'!AR61-'Feeder Spreads'!AR66,"")</f>
        <v>0</v>
      </c>
      <c r="FB61">
        <f>IFERROR('Feeder Spreads'!AR61-'Feeder Spreads'!AR71,"")</f>
        <v>0</v>
      </c>
      <c r="FC61">
        <f>IFERROR(AVERAGE('Feeder Spreads'!AR61:AR80)+2*STDEV('Feeder Spreads'!AR61:AR80),"")</f>
        <v>0</v>
      </c>
      <c r="FD61">
        <f>IFERROR(AVERAGE('Feeder Spreads'!AR61:AR80)-2*STDEV('Feeder Spreads'!AR61:AR80),"")</f>
        <v>0</v>
      </c>
      <c r="FE61" t="str">
        <f>IFERROR(('Feeder Spreads'!AR61-(AVERAGE('Feeder Spreads'!AR61:AR80)-2*STDEV('Feeder Spreads'!AR61:AR80)))/(4*STDEV('Feeder Spreads'!AR61:AR80)),"")</f>
        <v/>
      </c>
      <c r="FF61" t="str">
        <f>IFERROR(4*STDEV('Feeder Spreads'!AR61:AR80)/AVERAGE('Feeder Spreads'!AR61:AR80),"")</f>
        <v/>
      </c>
      <c r="FG61">
        <v>42.726799999999997</v>
      </c>
      <c r="FH61">
        <f>IFERROR(SQRT((SUMSQ('Feeder Spreads'!AR61:AR80)-2*SUMPRODUCT('Feeder Spreads'!AR61:AR80,'Feeder Spreads'!AR62:AR81)+SUMSQ('Feeder Spreads'!AR62:AR81)-('Feeder Spreads'!AR61-'Feeder Spreads'!AR81)^2/20)/19),"")</f>
        <v>0</v>
      </c>
      <c r="FJ61">
        <f>IFERROR('Fat Spreads'!AX61,"")</f>
        <v>0</v>
      </c>
      <c r="FK61">
        <f>IFERROR(('Fat Spreads'!AY61-AVERAGE('Fat Spreads'!$AY$3:$AY$4308))/STDEV('Fat Spreads'!$AY$3:$AY$4308),"")</f>
        <v>9.2057461789832332E-2</v>
      </c>
      <c r="FL61">
        <f>IFERROR('Fat Spreads'!AY61-'Fat Spreads'!AY66,"")</f>
        <v>0</v>
      </c>
      <c r="FM61">
        <f>IFERROR('Fat Spreads'!AY61-'Fat Spreads'!AY71,"")</f>
        <v>0</v>
      </c>
      <c r="FN61">
        <f>IFERROR(AVERAGE('Fat Spreads'!AY61:AY80)+2*STDEV('Fat Spreads'!AY61:AY80),"")</f>
        <v>0</v>
      </c>
      <c r="FO61">
        <f>IFERROR(AVERAGE('Fat Spreads'!AY61:AY80)-2*STDEV('Fat Spreads'!AY61:AY80),"")</f>
        <v>0</v>
      </c>
      <c r="FP61" t="str">
        <f>IFERROR(('Fat Spreads'!AY61-(AVERAGE('Fat Spreads'!AY61:AY80)-2*STDEV('Fat Spreads'!AY61:AY80)))/(4*STDEV('Fat Spreads'!AY61:AY80)),"")</f>
        <v/>
      </c>
      <c r="FQ61" t="str">
        <f>IFERROR(4*STDEV('Fat Spreads'!AY61:AY80)/AVERAGE('Fat Spreads'!AY61:AY80),"")</f>
        <v/>
      </c>
      <c r="FR61">
        <v>61.171900000000001</v>
      </c>
      <c r="FS61">
        <f>IFERROR(SQRT((SUMSQ('Fat Spreads'!AY61:AY80)-2*SUMPRODUCT('Fat Spreads'!AY61:AY80,'Fat Spreads'!AY62:AY81)+SUMSQ('Fat Spreads'!AY62:AY81)-('Fat Spreads'!AY61-'Fat Spreads'!AY81)^2/20)/19),"")</f>
        <v>0</v>
      </c>
      <c r="FU61">
        <f>IFERROR('Fat Spreads'!BE61,"")</f>
        <v>0</v>
      </c>
      <c r="FV61">
        <f>IFERROR(('Fat Spreads'!BF61-AVERAGE('Fat Spreads'!$BF$3:$BF$4308))/STDEV('Fat Spreads'!$BF$3:$BF$4308),"")</f>
        <v>9.2057461789832332E-2</v>
      </c>
      <c r="FW61">
        <f>IFERROR('Fat Spreads'!BF61-'Fat Spreads'!BF66,"")</f>
        <v>0</v>
      </c>
      <c r="FX61">
        <f>IFERROR('Fat Spreads'!BF61-'Fat Spreads'!BF71,"")</f>
        <v>0</v>
      </c>
      <c r="FY61">
        <f>IFERROR(AVERAGE('Fat Spreads'!BF61:BF80)+2*STDEV('Fat Spreads'!BF61:BF80),"")</f>
        <v>0</v>
      </c>
      <c r="FZ61">
        <f>IFERROR(AVERAGE('Fat Spreads'!BF61:BF80)-2*STDEV('Fat Spreads'!BF61:BF80),"")</f>
        <v>0</v>
      </c>
      <c r="GA61" t="str">
        <f>IFERROR(('Fat Spreads'!BF61-(AVERAGE('Fat Spreads'!BF61:BF80)-2*STDEV('Fat Spreads'!BF61:BF80)))/(4*STDEV('Fat Spreads'!BF61:BF80)),"")</f>
        <v/>
      </c>
      <c r="GB61" t="str">
        <f>IFERROR(4*STDEV('Fat Spreads'!BF61:BF80)/AVERAGE('Fat Spreads'!BF61:BF80),"")</f>
        <v/>
      </c>
      <c r="GC61">
        <v>36.932099999999998</v>
      </c>
      <c r="GD61">
        <f>IFERROR(SQRT((SUMSQ('Fat Spreads'!BF61:BF80)-2*SUMPRODUCT('Fat Spreads'!BF61:BF80,'Fat Spreads'!BF62:BF81)+SUMSQ('Fat Spreads'!BF62:BF81)-('Fat Spreads'!BF61-'Fat Spreads'!BF81)^2/20)/19),"")</f>
        <v>0</v>
      </c>
    </row>
    <row r="62" spans="1:186" x14ac:dyDescent="0.25">
      <c r="A62">
        <f>IFERROR('Fat Spreads'!A62,"")</f>
        <v>0</v>
      </c>
      <c r="B62">
        <f>IFERROR(('Fat Spreads'!B62-AVERAGE('Fat Spreads'!$B$3:$B$4308))/STDEV('Fat Spreads'!$B$3:$B$4308),"")</f>
        <v>9.2057461789832346E-2</v>
      </c>
      <c r="C62">
        <f>IFERROR('Fat Spreads'!B62-'Fat Spreads'!B67,"")</f>
        <v>0</v>
      </c>
      <c r="D62">
        <f>IFERROR('Fat Spreads'!B62-'Fat Spreads'!B72,"")</f>
        <v>0</v>
      </c>
      <c r="E62">
        <f>IFERROR(AVERAGE('Fat Spreads'!B62:B81)+2*STDEV('Fat Spreads'!B62:B81),"")</f>
        <v>0</v>
      </c>
      <c r="F62">
        <f>IFERROR(AVERAGE('Fat Spreads'!B62:B81)-2*STDEV('Fat Spreads'!B62:B81),"")</f>
        <v>0</v>
      </c>
      <c r="G62" t="str">
        <f>IFERROR(('Fat Spreads'!B62-(AVERAGE('Fat Spreads'!B62:B81)-2*STDEV('Fat Spreads'!B62:B81)))/(4*STDEV('Fat Spreads'!B62:B81)),"")</f>
        <v/>
      </c>
      <c r="H62" t="str">
        <f>IFERROR(4*STDEV('Fat Spreads'!B62:B81)/AVERAGE('Fat Spreads'!B62:B81),"")</f>
        <v/>
      </c>
      <c r="I62">
        <v>41.444000000000003</v>
      </c>
      <c r="J62">
        <f>IFERROR(SQRT((SUMSQ('Fat Spreads'!B62:B81)-2*SUMPRODUCT('Fat Spreads'!B62:B81,'Fat Spreads'!B63:B82)+SUMSQ('Fat Spreads'!B63:B82)-('Fat Spreads'!B62-'Fat Spreads'!B82)^2/20)/19),"")</f>
        <v>0</v>
      </c>
      <c r="L62">
        <f>IFERROR('Fat Spreads'!H62,"")</f>
        <v>0</v>
      </c>
      <c r="M62">
        <f>IFERROR(('Fat Spreads'!I62-AVERAGE('Fat Spreads'!$I$3:$I$4308))/STDEV('Fat Spreads'!$I$3:$I$4308),"")</f>
        <v>-9.2057461789832332E-2</v>
      </c>
      <c r="N62">
        <f>IFERROR('Fat Spreads'!I62-'Fat Spreads'!I67,"")</f>
        <v>0</v>
      </c>
      <c r="O62">
        <f>IFERROR('Fat Spreads'!I62-'Fat Spreads'!I72,"")</f>
        <v>0</v>
      </c>
      <c r="P62">
        <f>IFERROR(AVERAGE('Fat Spreads'!I62:I81)+2*STDEV('Fat Spreads'!I62:I81),"")</f>
        <v>0</v>
      </c>
      <c r="Q62">
        <f>IFERROR(AVERAGE('Fat Spreads'!I62:I81)-2*STDEV('Fat Spreads'!I62:I81),"")</f>
        <v>0</v>
      </c>
      <c r="R62" t="str">
        <f>IFERROR(('Fat Spreads'!I62-(AVERAGE('Fat Spreads'!I62:I81)-2*STDEV('Fat Spreads'!I62:I81)))/(4*STDEV('Fat Spreads'!I62:I81)),"")</f>
        <v/>
      </c>
      <c r="S62" t="str">
        <f>IFERROR(4*STDEV('Fat Spreads'!I62:I81)/AVERAGE('Fat Spreads'!I62:I81),"")</f>
        <v/>
      </c>
      <c r="T62">
        <v>34.6053</v>
      </c>
      <c r="U62">
        <f>IFERROR(SQRT((SUMSQ('Fat Spreads'!I62:I81)-2*SUMPRODUCT('Fat Spreads'!I62:I81,'Fat Spreads'!I63:I82)+SUMSQ('Fat Spreads'!I63:I82)-('Fat Spreads'!I62-'Fat Spreads'!I82)^2/20)/19),"")</f>
        <v>0</v>
      </c>
      <c r="W62">
        <f>IFERROR('Fat Spreads'!AQ62,"")</f>
        <v>0</v>
      </c>
      <c r="X62">
        <f>IFERROR(('Fat Spreads'!AR62-AVERAGE('Fat Spreads'!$AR$3:$AR$4308))/STDEV('Fat Spreads'!$AR$3:$AR$4308),"")</f>
        <v>-9.2057461789832346E-2</v>
      </c>
      <c r="Y62">
        <f>IFERROR('Fat Spreads'!AR62-'Fat Spreads'!AR67,"")</f>
        <v>0</v>
      </c>
      <c r="Z62">
        <f>IFERROR('Fat Spreads'!AR62-'Fat Spreads'!AR72,"")</f>
        <v>0</v>
      </c>
      <c r="AA62">
        <f>IFERROR(AVERAGE('Fat Spreads'!AR62:AR81)+2*STDEV('Fat Spreads'!AR62:AR81),"")</f>
        <v>0</v>
      </c>
      <c r="AB62">
        <f>IFERROR(AVERAGE('Fat Spreads'!AR62:AR81)-2*STDEV('Fat Spreads'!AR62:AR81),"")</f>
        <v>0</v>
      </c>
      <c r="AC62" t="str">
        <f>IFERROR(('Fat Spreads'!AR62-(AVERAGE('Fat Spreads'!AR62:AR81)-2*STDEV('Fat Spreads'!AR62:AR81)))/(4*STDEV('Fat Spreads'!AR62:AR81)),"")</f>
        <v/>
      </c>
      <c r="AD62" t="str">
        <f>IFERROR(4*STDEV('Fat Spreads'!AR62:AR81)/AVERAGE('Fat Spreads'!AR62:AR81),"")</f>
        <v/>
      </c>
      <c r="AE62">
        <v>62.2821</v>
      </c>
      <c r="AF62">
        <f>IFERROR(SQRT((SUMSQ('Fat Spreads'!AR62:AR81)-2*SUMPRODUCT('Fat Spreads'!AR62:AR81,'Fat Spreads'!AR63:AR82)+SUMSQ('Fat Spreads'!AR63:AR82)-('Fat Spreads'!AR62-'Fat Spreads'!AR82)^2/20)/19),"")</f>
        <v>0</v>
      </c>
      <c r="AH62">
        <f>IFERROR('Fat Spreads'!O62,"")</f>
        <v>0</v>
      </c>
      <c r="AI62">
        <f>IFERROR(('Fat Spreads'!P62-AVERAGE('Fat Spreads'!$P$3:$P$4308))/STDEV('Fat Spreads'!$P$3:$P$4308),"")</f>
        <v>-9.2057461789832332E-2</v>
      </c>
      <c r="AJ62">
        <f>IFERROR('Fat Spreads'!P62-'Fat Spreads'!P67,"")</f>
        <v>0</v>
      </c>
      <c r="AK62">
        <f>IFERROR('Fat Spreads'!P62-'Fat Spreads'!P72,"")</f>
        <v>0</v>
      </c>
      <c r="AL62">
        <f>IFERROR(AVERAGE('Fat Spreads'!P62:P81)+2*STDEV('Fat Spreads'!P62:P81),"")</f>
        <v>0</v>
      </c>
      <c r="AM62">
        <f>IFERROR(AVERAGE('Fat Spreads'!P62:P81)-2*STDEV('Fat Spreads'!P62:P81),"")</f>
        <v>0</v>
      </c>
      <c r="AN62" t="str">
        <f>IFERROR(('Fat Spreads'!P62-(AVERAGE('Fat Spreads'!P62:P81)-2*STDEV('Fat Spreads'!P62:P81)))/(4*STDEV('Fat Spreads'!P62:P81)),"")</f>
        <v/>
      </c>
      <c r="AO62" t="str">
        <f>IFERROR(4*STDEV('Fat Spreads'!P62:P81)/AVERAGE('Fat Spreads'!P62:P81),"")</f>
        <v/>
      </c>
      <c r="AP62">
        <v>44.284799999999997</v>
      </c>
      <c r="AQ62">
        <f>IFERROR(SQRT((SUMSQ('Fat Spreads'!P62:P81)-2*SUMPRODUCT('Fat Spreads'!P62:P81,'Fat Spreads'!P63:P82)+SUMSQ('Fat Spreads'!P63:P82)-('Fat Spreads'!P62-'Fat Spreads'!P82)^2/20)/19),"")</f>
        <v>0</v>
      </c>
      <c r="AS62">
        <f>IFERROR('Fat Spreads'!AJ62,"")</f>
        <v>0</v>
      </c>
      <c r="AT62">
        <f>IFERROR(('Fat Spreads'!AK62-AVERAGE('Fat Spreads'!$AK$3:$AK$4308))/STDEV('Fat Spreads'!$AK$3:$AK$4308),"")</f>
        <v>-9.2057461789832332E-2</v>
      </c>
      <c r="AU62">
        <f>IFERROR('Fat Spreads'!AK62-'Fat Spreads'!AK67,"")</f>
        <v>0</v>
      </c>
      <c r="AV62">
        <f>IFERROR('Fat Spreads'!AK62-'Fat Spreads'!AK72,"")</f>
        <v>0</v>
      </c>
      <c r="AW62">
        <f>IFERROR(AVERAGE('Fat Spreads'!AK62:AK81)+2*STDEV('Fat Spreads'!AK62:AK81),"")</f>
        <v>0</v>
      </c>
      <c r="AX62">
        <f>IFERROR(AVERAGE('Fat Spreads'!AK62:AK81)-2*STDEV('Fat Spreads'!AK62:AK81),"")</f>
        <v>0</v>
      </c>
      <c r="AY62" t="str">
        <f>IFERROR(('Fat Spreads'!AK62-(AVERAGE('Fat Spreads'!AK62:AK81)-2*STDEV('Fat Spreads'!AK62:AK81)))/(4*STDEV('Fat Spreads'!AK62:AK81)),"")</f>
        <v/>
      </c>
      <c r="AZ62" t="str">
        <f>IFERROR(4*STDEV('Fat Spreads'!AK62:AK81)/AVERAGE('Fat Spreads'!AK62:AK81),"")</f>
        <v/>
      </c>
      <c r="BA62">
        <v>70.198700000000002</v>
      </c>
      <c r="BB62">
        <f>IFERROR(SQRT((SUMSQ('Fat Spreads'!AK62:AK81)-2*SUMPRODUCT('Fat Spreads'!AK62:AK81,'Fat Spreads'!AK63:AK82)+SUMSQ('Fat Spreads'!AK63:AK82)-('Fat Spreads'!AK62-'Fat Spreads'!AK82)^2/20)/19),"")</f>
        <v>0</v>
      </c>
      <c r="BD62">
        <f>IFERROR('Fat Spreads'!V62,"")</f>
        <v>0</v>
      </c>
      <c r="BE62">
        <f>IFERROR(('Fat Spreads'!W62-AVERAGE('Fat Spreads'!$W$3:$W$4308))/STDEV('Fat Spreads'!$W$3:$W$4308),"")</f>
        <v>-9.2057461789832332E-2</v>
      </c>
      <c r="BF62">
        <f>IFERROR('Fat Spreads'!W62-'Fat Spreads'!W67,"")</f>
        <v>0</v>
      </c>
      <c r="BG62">
        <f>IFERROR('Fat Spreads'!W62-'Fat Spreads'!W72,"")</f>
        <v>0</v>
      </c>
      <c r="BH62">
        <f>IFERROR(AVERAGE('Fat Spreads'!W62:W81)+2*STDEV('Fat Spreads'!W62:W81),"")</f>
        <v>0</v>
      </c>
      <c r="BI62">
        <f>IFERROR(AVERAGE('Fat Spreads'!W62:W81)-2*STDEV('Fat Spreads'!W62:W81),"")</f>
        <v>0</v>
      </c>
      <c r="BJ62" t="str">
        <f>IFERROR(('Fat Spreads'!W62-(AVERAGE('Fat Spreads'!W62:W81)-2*STDEV('Fat Spreads'!W62:W81)))/(4*STDEV('Fat Spreads'!W62:W81)),"")</f>
        <v/>
      </c>
      <c r="BK62" t="str">
        <f>IFERROR(4*STDEV('Fat Spreads'!W62:W81)/AVERAGE('Fat Spreads'!W62:W81),"")</f>
        <v/>
      </c>
      <c r="BL62">
        <v>69.382400000000004</v>
      </c>
      <c r="BM62">
        <f>IFERROR(SQRT((SUMSQ('Fat Spreads'!W62:W81)-2*SUMPRODUCT('Fat Spreads'!W62:W81,'Fat Spreads'!W63:W82)+SUMSQ('Fat Spreads'!W63:W82)-('Fat Spreads'!W62-'Fat Spreads'!W82)^2/20)/19),"")</f>
        <v>0</v>
      </c>
      <c r="BO62">
        <f>IFERROR('Fat Spreads'!AC62,"")</f>
        <v>0</v>
      </c>
      <c r="BP62">
        <f>IFERROR(('Fat Spreads'!AD62-AVERAGE('Fat Spreads'!$AD$3:$AD$4308))/STDEV('Fat Spreads'!$AD$3:$AD$4308),"")</f>
        <v>-9.2057461789832332E-2</v>
      </c>
      <c r="BQ62">
        <f>IFERROR('Fat Spreads'!AD62-'Fat Spreads'!AD67,"")</f>
        <v>0</v>
      </c>
      <c r="BR62">
        <f>IFERROR('Fat Spreads'!AD62-'Fat Spreads'!AD72,"")</f>
        <v>0</v>
      </c>
      <c r="BS62">
        <f>IFERROR(AVERAGE('Fat Spreads'!AD62:AD81)+2*STDEV('Fat Spreads'!AD62:AD81),"")</f>
        <v>0</v>
      </c>
      <c r="BT62">
        <f>IFERROR(AVERAGE('Fat Spreads'!AD62:AD81)-2*STDEV('Fat Spreads'!AD62:AD81),"")</f>
        <v>0</v>
      </c>
      <c r="BU62" t="str">
        <f>IFERROR(('Fat Spreads'!AD62-(AVERAGE('Fat Spreads'!AD62:AD81)-2*STDEV('Fat Spreads'!AD62:AD81)))/(4*STDEV('Fat Spreads'!AD62:AD81)),"")</f>
        <v/>
      </c>
      <c r="BV62" t="str">
        <f>IFERROR(4*STDEV('Fat Spreads'!AD62:AD81)/AVERAGE('Fat Spreads'!AD62:AD81),"")</f>
        <v/>
      </c>
      <c r="BW62">
        <v>42.935499999999998</v>
      </c>
      <c r="BX62">
        <f>IFERROR(SQRT((SUMSQ('Fat Spreads'!AD62:AD81)-2*SUMPRODUCT('Fat Spreads'!AD62:AD81,'Fat Spreads'!AD63:AD82)+SUMSQ('Fat Spreads'!AD63:AD82)-('Fat Spreads'!AD62-'Fat Spreads'!AD82)^2/20)/19),"")</f>
        <v>0</v>
      </c>
      <c r="BZ62">
        <f>IFERROR('Feeder Spreads'!A62,"")</f>
        <v>0</v>
      </c>
      <c r="CA62">
        <f>IFERROR(('Feeder Spreads'!B62-AVERAGE('Feeder Spreads'!$B$3:$B$4308))/STDEV('Feeder Spreads'!$B$3:$B$4308),"")</f>
        <v>-9.2057461789832346E-2</v>
      </c>
      <c r="CB62">
        <f>IFERROR('Feeder Spreads'!B62-'Feeder Spreads'!B67,"")</f>
        <v>0</v>
      </c>
      <c r="CC62">
        <f>IFERROR('Feeder Spreads'!B62-'Feeder Spreads'!B72,"")</f>
        <v>0</v>
      </c>
      <c r="CD62">
        <f>IFERROR(AVERAGE('Feeder Spreads'!B62:B81)+2*STDEV('Feeder Spreads'!B62:B81),"")</f>
        <v>0</v>
      </c>
      <c r="CE62">
        <f>IFERROR(AVERAGE('Feeder Spreads'!B62:B81)-2*STDEV('Feeder Spreads'!B62:B81),"")</f>
        <v>0</v>
      </c>
      <c r="CF62" t="str">
        <f>IFERROR(('Feeder Spreads'!B62-(AVERAGE('Feeder Spreads'!B62:B81)-2*STDEV('Feeder Spreads'!B62:B81)))/(4*STDEV('Feeder Spreads'!B62:B81)),"")</f>
        <v/>
      </c>
      <c r="CG62" t="str">
        <f>IFERROR(4*STDEV('Feeder Spreads'!B62:B81)/AVERAGE('Feeder Spreads'!B62:B81),"")</f>
        <v/>
      </c>
      <c r="CH62">
        <v>37.651499999999999</v>
      </c>
      <c r="CI62">
        <f>IFERROR(SQRT((SUMSQ('Feeder Spreads'!B62:B81)-2*SUMPRODUCT('Feeder Spreads'!B62:B81,'Feeder Spreads'!B63:B82)+SUMSQ('Feeder Spreads'!B63:B82)-('Feeder Spreads'!B62-'Feeder Spreads'!B82)^2/20)/19),"")</f>
        <v>0</v>
      </c>
      <c r="CK62">
        <f>IFERROR('Feeder Spreads'!AX62,"")</f>
        <v>0</v>
      </c>
      <c r="CL62">
        <f>IFERROR(('Feeder Spreads'!AY62-AVERAGE('Feeder Spreads'!$AY$3:$AY$4308))/STDEV('Feeder Spreads'!$AY$3:$AY$4308),"")</f>
        <v>-9.2057461789832346E-2</v>
      </c>
      <c r="CM62">
        <f>IFERROR('Feeder Spreads'!AY62-'Feeder Spreads'!AY67,"")</f>
        <v>0</v>
      </c>
      <c r="CN62">
        <f>IFERROR('Feeder Spreads'!AY62-'Feeder Spreads'!AY72,"")</f>
        <v>0</v>
      </c>
      <c r="CO62">
        <f>IFERROR(AVERAGE('Feeder Spreads'!AY62:AY81)+2*STDEV('Feeder Spreads'!AY62:AY81),"")</f>
        <v>0</v>
      </c>
      <c r="CP62">
        <f>IFERROR(AVERAGE('Feeder Spreads'!AY62:AY81)-2*STDEV('Feeder Spreads'!AY62:AY81),"")</f>
        <v>0</v>
      </c>
      <c r="CQ62" t="str">
        <f>IFERROR(('Feeder Spreads'!AY62-(AVERAGE('Feeder Spreads'!AY62:AY81)-2*STDEV('Feeder Spreads'!AY62:AY81)))/(4*STDEV('Feeder Spreads'!AY62:AY81)),"")</f>
        <v/>
      </c>
      <c r="CR62" t="str">
        <f>IFERROR(4*STDEV('Feeder Spreads'!AY62:AY81)/AVERAGE('Feeder Spreads'!AY62:AY81),"")</f>
        <v/>
      </c>
      <c r="CS62">
        <v>81.1143</v>
      </c>
      <c r="CT62">
        <f>IFERROR(SQRT((SUMSQ('Feeder Spreads'!AY62:AY81)-2*SUMPRODUCT('Feeder Spreads'!AY62:AY81,'Feeder Spreads'!AY63:AY82)+SUMSQ('Feeder Spreads'!AY63:AY82)-('Feeder Spreads'!AY62-'Feeder Spreads'!AY82)^2/20)/19),"")</f>
        <v>0</v>
      </c>
      <c r="CV62">
        <f>IFERROR('Feeder Spreads'!H62,"")</f>
        <v>0</v>
      </c>
      <c r="CW62">
        <f>IFERROR(('Feeder Spreads'!I62-AVERAGE('Feeder Spreads'!$I$3:$I$4308))/STDEV('Feeder Spreads'!$I$3:$I$4308),"")</f>
        <v>-9.2057461789832332E-2</v>
      </c>
      <c r="CX62">
        <f>IFERROR('Feeder Spreads'!I62-'Feeder Spreads'!I67,"")</f>
        <v>0</v>
      </c>
      <c r="CY62">
        <f>IFERROR('Feeder Spreads'!I62-'Feeder Spreads'!I72,"")</f>
        <v>0</v>
      </c>
      <c r="CZ62">
        <f>IFERROR(AVERAGE('Feeder Spreads'!I62:I81)+2*STDEV('Feeder Spreads'!I62:I81),"")</f>
        <v>0</v>
      </c>
      <c r="DA62">
        <f>IFERROR(AVERAGE('Feeder Spreads'!I62:I81)-2*STDEV('Feeder Spreads'!I62:I81),"")</f>
        <v>0</v>
      </c>
      <c r="DB62" t="str">
        <f>IFERROR(('Feeder Spreads'!I62-(AVERAGE('Feeder Spreads'!I62:I81)-2*STDEV('Feeder Spreads'!I62:I81)))/(4*STDEV('Feeder Spreads'!I62:I81)),"")</f>
        <v/>
      </c>
      <c r="DC62" t="str">
        <f>IFERROR(4*STDEV('Feeder Spreads'!I62:I81)/AVERAGE('Feeder Spreads'!I62:I81),"")</f>
        <v/>
      </c>
      <c r="DD62">
        <v>49.011299999999999</v>
      </c>
      <c r="DE62">
        <f>IFERROR(SQRT((SUMSQ('Feeder Spreads'!I62:I81)-2*SUMPRODUCT('Feeder Spreads'!I62:I81,'Feeder Spreads'!I63:I82)+SUMSQ('Feeder Spreads'!I63:I82)-('Feeder Spreads'!I62-'Feeder Spreads'!I82)^2/20)/19),"")</f>
        <v>0</v>
      </c>
      <c r="DG62">
        <f>IFERROR('Feeder Spreads'!O62,"")</f>
        <v>0</v>
      </c>
      <c r="DH62">
        <f>IFERROR(('Feeder Spreads'!P62-AVERAGE('Feeder Spreads'!$P$3:$P$4308))/STDEV('Feeder Spreads'!$P$3:$P$4308),"")</f>
        <v>-9.2057461789832346E-2</v>
      </c>
      <c r="DI62">
        <f>IFERROR('Feeder Spreads'!P62-'Feeder Spreads'!P67,"")</f>
        <v>0</v>
      </c>
      <c r="DJ62">
        <f>IFERROR('Feeder Spreads'!P62-'Feeder Spreads'!P72,"")</f>
        <v>0</v>
      </c>
      <c r="DK62">
        <f>IFERROR(AVERAGE('Feeder Spreads'!P62:P81)+2*STDEV('Feeder Spreads'!P62:P81),"")</f>
        <v>0</v>
      </c>
      <c r="DL62">
        <f>IFERROR(AVERAGE('Feeder Spreads'!P62:P81)-2*STDEV('Feeder Spreads'!P62:P81),"")</f>
        <v>0</v>
      </c>
      <c r="DM62" t="str">
        <f>IFERROR(('Feeder Spreads'!P62-(AVERAGE('Feeder Spreads'!P62:P81)-2*STDEV('Feeder Spreads'!P62:P81)))/(4*STDEV('Feeder Spreads'!P62:P81)),"")</f>
        <v/>
      </c>
      <c r="DN62" t="str">
        <f>IFERROR(4*STDEV('Feeder Spreads'!P62:P81)/AVERAGE('Feeder Spreads'!P62:P81),"")</f>
        <v/>
      </c>
      <c r="DO62">
        <v>53.589799999999997</v>
      </c>
      <c r="DP62">
        <f>IFERROR(SQRT((SUMSQ('Feeder Spreads'!P62:P81)-2*SUMPRODUCT('Feeder Spreads'!P62:P81,'Feeder Spreads'!P63:P82)+SUMSQ('Feeder Spreads'!P63:P82)-('Feeder Spreads'!P62-'Feeder Spreads'!P82)^2/20)/19),"")</f>
        <v>0</v>
      </c>
      <c r="DR62">
        <f>IFERROR('Feeder Spreads'!V62,"")</f>
        <v>0</v>
      </c>
      <c r="DS62">
        <f>IFERROR(('Feeder Spreads'!W62-AVERAGE('Feeder Spreads'!$W$3:$W$4308))/STDEV('Feeder Spreads'!$W$3:$W$4308),"")</f>
        <v>-9.2057461789832332E-2</v>
      </c>
      <c r="DT62">
        <f>IFERROR('Feeder Spreads'!W62-'Feeder Spreads'!W67,"")</f>
        <v>0</v>
      </c>
      <c r="DU62">
        <f>IFERROR('Feeder Spreads'!W62-'Feeder Spreads'!W72,"")</f>
        <v>0</v>
      </c>
      <c r="DV62">
        <f>IFERROR(AVERAGE('Feeder Spreads'!W62:W81)+2*STDEV('Feeder Spreads'!W62:W81),"")</f>
        <v>0</v>
      </c>
      <c r="DW62">
        <f>IFERROR(AVERAGE('Feeder Spreads'!W62:W81)-2*STDEV('Feeder Spreads'!W62:W81),"")</f>
        <v>0</v>
      </c>
      <c r="DX62" t="str">
        <f>IFERROR(('Feeder Spreads'!W62-(AVERAGE('Feeder Spreads'!W62:W81)-2*STDEV('Feeder Spreads'!W62:W81)))/(4*STDEV('Feeder Spreads'!W62:W81)),"")</f>
        <v/>
      </c>
      <c r="DY62" t="str">
        <f>IFERROR(4*STDEV('Feeder Spreads'!W62:W81)/AVERAGE('Feeder Spreads'!W62:W81),"")</f>
        <v/>
      </c>
      <c r="DZ62">
        <v>84.937200000000004</v>
      </c>
      <c r="EA62">
        <f>IFERROR(SQRT((SUMSQ('Feeder Spreads'!W62:W81)-2*SUMPRODUCT('Feeder Spreads'!W62:W81,'Feeder Spreads'!W63:W82)+SUMSQ('Feeder Spreads'!W63:W82)-('Feeder Spreads'!W62-'Feeder Spreads'!W82)^2/20)/19),"")</f>
        <v>0</v>
      </c>
      <c r="EC62">
        <f>IFERROR('Feeder Spreads'!AC62,"")</f>
        <v>0</v>
      </c>
      <c r="ED62">
        <f>IFERROR(('Feeder Spreads'!AD62-AVERAGE('Feeder Spreads'!$AD$3:$AD$4308))/STDEV('Feeder Spreads'!$AD$3:$AD$4308),"")</f>
        <v>9.2057461789832318E-2</v>
      </c>
      <c r="EE62">
        <f>IFERROR('Feeder Spreads'!AD62-'Feeder Spreads'!AD67,"")</f>
        <v>0</v>
      </c>
      <c r="EF62">
        <f>IFERROR('Feeder Spreads'!AD62-'Feeder Spreads'!AD72,"")</f>
        <v>0</v>
      </c>
      <c r="EG62">
        <f>IFERROR(AVERAGE('Feeder Spreads'!AD62:AD81)+2*STDEV('Feeder Spreads'!AD62:AD81),"")</f>
        <v>0</v>
      </c>
      <c r="EH62">
        <f>IFERROR(AVERAGE('Feeder Spreads'!AD62:AD81)-2*STDEV('Feeder Spreads'!AD62:AD81),"")</f>
        <v>0</v>
      </c>
      <c r="EI62" t="str">
        <f>IFERROR(('Feeder Spreads'!AD62-(AVERAGE('Feeder Spreads'!AD62:AD81)-2*STDEV('Feeder Spreads'!AD62:AD81)))/(4*STDEV('Feeder Spreads'!AD62:AD81)),"")</f>
        <v/>
      </c>
      <c r="EJ62" t="str">
        <f>IFERROR(4*STDEV('Feeder Spreads'!AD62:AD81)/AVERAGE('Feeder Spreads'!AD62:AD81),"")</f>
        <v/>
      </c>
      <c r="EK62">
        <v>51.830100000000002</v>
      </c>
      <c r="EL62">
        <f>IFERROR(SQRT((SUMSQ('Feeder Spreads'!AD62:AD81)-2*SUMPRODUCT('Feeder Spreads'!AD62:AD81,'Feeder Spreads'!AD63:AD82)+SUMSQ('Feeder Spreads'!AD63:AD82)-('Feeder Spreads'!AD62-'Feeder Spreads'!AD82)^2/20)/19),"")</f>
        <v>0</v>
      </c>
      <c r="EN62">
        <f>IFERROR('Feeder Spreads'!AJ62,"")</f>
        <v>0</v>
      </c>
      <c r="EO62">
        <f>IFERROR(('Feeder Spreads'!AK62-AVERAGE('Feeder Spreads'!$AK$3:$AK$4308))/STDEV('Feeder Spreads'!$AK$3:$AK$4308),"")</f>
        <v>-9.2057461789832346E-2</v>
      </c>
      <c r="EP62">
        <f>IFERROR('Feeder Spreads'!AK62-'Feeder Spreads'!AK67,"")</f>
        <v>0</v>
      </c>
      <c r="EQ62">
        <f>IFERROR('Feeder Spreads'!AK62-'Feeder Spreads'!AK72,"")</f>
        <v>0</v>
      </c>
      <c r="ER62">
        <f>IFERROR(AVERAGE('Feeder Spreads'!AK62:AK81)+2*STDEV('Feeder Spreads'!AK62:AK81),"")</f>
        <v>0</v>
      </c>
      <c r="ES62">
        <f>IFERROR(AVERAGE('Feeder Spreads'!AK62:AK81)-2*STDEV('Feeder Spreads'!AK62:AK81),"")</f>
        <v>0</v>
      </c>
      <c r="ET62" t="str">
        <f>IFERROR(('Feeder Spreads'!AK62-(AVERAGE('Feeder Spreads'!AK62:AK81)-2*STDEV('Feeder Spreads'!AK62:AK81)))/(4*STDEV('Feeder Spreads'!AK62:AK81)),"")</f>
        <v/>
      </c>
      <c r="EU62" t="str">
        <f>IFERROR(4*STDEV('Feeder Spreads'!AK62:AK81)/AVERAGE('Feeder Spreads'!AK62:AK81),"")</f>
        <v/>
      </c>
      <c r="EV62">
        <v>40.775599999999997</v>
      </c>
      <c r="EW62">
        <f>IFERROR(SQRT((SUMSQ('Feeder Spreads'!AK62:AK81)-2*SUMPRODUCT('Feeder Spreads'!AK62:AK81,'Feeder Spreads'!AK63:AK82)+SUMSQ('Feeder Spreads'!AK63:AK82)-('Feeder Spreads'!AK62-'Feeder Spreads'!AK82)^2/20)/19),"")</f>
        <v>0</v>
      </c>
      <c r="EY62">
        <f>IFERROR('Feeder Spreads'!AQ62,"")</f>
        <v>0</v>
      </c>
      <c r="EZ62">
        <f>IFERROR(('Feeder Spreads'!AR62-AVERAGE('Feeder Spreads'!$AR$3:$AR$4308))/STDEV('Feeder Spreads'!$AR$3:$AR$4308),"")</f>
        <v>-9.2057461789832332E-2</v>
      </c>
      <c r="FA62">
        <f>IFERROR('Feeder Spreads'!AR62-'Feeder Spreads'!AR67,"")</f>
        <v>0</v>
      </c>
      <c r="FB62">
        <f>IFERROR('Feeder Spreads'!AR62-'Feeder Spreads'!AR72,"")</f>
        <v>0</v>
      </c>
      <c r="FC62">
        <f>IFERROR(AVERAGE('Feeder Spreads'!AR62:AR81)+2*STDEV('Feeder Spreads'!AR62:AR81),"")</f>
        <v>0</v>
      </c>
      <c r="FD62">
        <f>IFERROR(AVERAGE('Feeder Spreads'!AR62:AR81)-2*STDEV('Feeder Spreads'!AR62:AR81),"")</f>
        <v>0</v>
      </c>
      <c r="FE62" t="str">
        <f>IFERROR(('Feeder Spreads'!AR62-(AVERAGE('Feeder Spreads'!AR62:AR81)-2*STDEV('Feeder Spreads'!AR62:AR81)))/(4*STDEV('Feeder Spreads'!AR62:AR81)),"")</f>
        <v/>
      </c>
      <c r="FF62" t="str">
        <f>IFERROR(4*STDEV('Feeder Spreads'!AR62:AR81)/AVERAGE('Feeder Spreads'!AR62:AR81),"")</f>
        <v/>
      </c>
      <c r="FG62">
        <v>42.046999999999997</v>
      </c>
      <c r="FH62">
        <f>IFERROR(SQRT((SUMSQ('Feeder Spreads'!AR62:AR81)-2*SUMPRODUCT('Feeder Spreads'!AR62:AR81,'Feeder Spreads'!AR63:AR82)+SUMSQ('Feeder Spreads'!AR63:AR82)-('Feeder Spreads'!AR62-'Feeder Spreads'!AR82)^2/20)/19),"")</f>
        <v>0</v>
      </c>
      <c r="FJ62">
        <f>IFERROR('Fat Spreads'!AX62,"")</f>
        <v>0</v>
      </c>
      <c r="FK62">
        <f>IFERROR(('Fat Spreads'!AY62-AVERAGE('Fat Spreads'!$AY$3:$AY$4308))/STDEV('Fat Spreads'!$AY$3:$AY$4308),"")</f>
        <v>9.2057461789832332E-2</v>
      </c>
      <c r="FL62">
        <f>IFERROR('Fat Spreads'!AY62-'Fat Spreads'!AY67,"")</f>
        <v>0</v>
      </c>
      <c r="FM62">
        <f>IFERROR('Fat Spreads'!AY62-'Fat Spreads'!AY72,"")</f>
        <v>0</v>
      </c>
      <c r="FN62">
        <f>IFERROR(AVERAGE('Fat Spreads'!AY62:AY81)+2*STDEV('Fat Spreads'!AY62:AY81),"")</f>
        <v>0</v>
      </c>
      <c r="FO62">
        <f>IFERROR(AVERAGE('Fat Spreads'!AY62:AY81)-2*STDEV('Fat Spreads'!AY62:AY81),"")</f>
        <v>0</v>
      </c>
      <c r="FP62" t="str">
        <f>IFERROR(('Fat Spreads'!AY62-(AVERAGE('Fat Spreads'!AY62:AY81)-2*STDEV('Fat Spreads'!AY62:AY81)))/(4*STDEV('Fat Spreads'!AY62:AY81)),"")</f>
        <v/>
      </c>
      <c r="FQ62" t="str">
        <f>IFERROR(4*STDEV('Fat Spreads'!AY62:AY81)/AVERAGE('Fat Spreads'!AY62:AY81),"")</f>
        <v/>
      </c>
      <c r="FR62">
        <v>59.356400000000001</v>
      </c>
      <c r="FS62">
        <f>IFERROR(SQRT((SUMSQ('Fat Spreads'!AY62:AY81)-2*SUMPRODUCT('Fat Spreads'!AY62:AY81,'Fat Spreads'!AY63:AY82)+SUMSQ('Fat Spreads'!AY63:AY82)-('Fat Spreads'!AY62-'Fat Spreads'!AY82)^2/20)/19),"")</f>
        <v>0</v>
      </c>
      <c r="FU62">
        <f>IFERROR('Fat Spreads'!BE62,"")</f>
        <v>0</v>
      </c>
      <c r="FV62">
        <f>IFERROR(('Fat Spreads'!BF62-AVERAGE('Fat Spreads'!$BF$3:$BF$4308))/STDEV('Fat Spreads'!$BF$3:$BF$4308),"")</f>
        <v>9.2057461789832332E-2</v>
      </c>
      <c r="FW62">
        <f>IFERROR('Fat Spreads'!BF62-'Fat Spreads'!BF67,"")</f>
        <v>0</v>
      </c>
      <c r="FX62">
        <f>IFERROR('Fat Spreads'!BF62-'Fat Spreads'!BF72,"")</f>
        <v>0</v>
      </c>
      <c r="FY62">
        <f>IFERROR(AVERAGE('Fat Spreads'!BF62:BF81)+2*STDEV('Fat Spreads'!BF62:BF81),"")</f>
        <v>0</v>
      </c>
      <c r="FZ62">
        <f>IFERROR(AVERAGE('Fat Spreads'!BF62:BF81)-2*STDEV('Fat Spreads'!BF62:BF81),"")</f>
        <v>0</v>
      </c>
      <c r="GA62" t="str">
        <f>IFERROR(('Fat Spreads'!BF62-(AVERAGE('Fat Spreads'!BF62:BF81)-2*STDEV('Fat Spreads'!BF62:BF81)))/(4*STDEV('Fat Spreads'!BF62:BF81)),"")</f>
        <v/>
      </c>
      <c r="GB62" t="str">
        <f>IFERROR(4*STDEV('Fat Spreads'!BF62:BF81)/AVERAGE('Fat Spreads'!BF62:BF81),"")</f>
        <v/>
      </c>
      <c r="GC62">
        <v>38.331299999999999</v>
      </c>
      <c r="GD62">
        <f>IFERROR(SQRT((SUMSQ('Fat Spreads'!BF62:BF81)-2*SUMPRODUCT('Fat Spreads'!BF62:BF81,'Fat Spreads'!BF63:BF82)+SUMSQ('Fat Spreads'!BF63:BF82)-('Fat Spreads'!BF62-'Fat Spreads'!BF82)^2/20)/19),"")</f>
        <v>0</v>
      </c>
    </row>
    <row r="63" spans="1:186" x14ac:dyDescent="0.25">
      <c r="A63">
        <f>IFERROR('Fat Spreads'!A63,"")</f>
        <v>0</v>
      </c>
      <c r="B63">
        <f>IFERROR(('Fat Spreads'!B63-AVERAGE('Fat Spreads'!$B$3:$B$4308))/STDEV('Fat Spreads'!$B$3:$B$4308),"")</f>
        <v>9.2057461789832346E-2</v>
      </c>
      <c r="C63">
        <f>IFERROR('Fat Spreads'!B63-'Fat Spreads'!B68,"")</f>
        <v>0</v>
      </c>
      <c r="D63">
        <f>IFERROR('Fat Spreads'!B63-'Fat Spreads'!B73,"")</f>
        <v>0</v>
      </c>
      <c r="E63">
        <f>IFERROR(AVERAGE('Fat Spreads'!B63:B82)+2*STDEV('Fat Spreads'!B63:B82),"")</f>
        <v>0</v>
      </c>
      <c r="F63">
        <f>IFERROR(AVERAGE('Fat Spreads'!B63:B82)-2*STDEV('Fat Spreads'!B63:B82),"")</f>
        <v>0</v>
      </c>
      <c r="G63" t="str">
        <f>IFERROR(('Fat Spreads'!B63-(AVERAGE('Fat Spreads'!B63:B82)-2*STDEV('Fat Spreads'!B63:B82)))/(4*STDEV('Fat Spreads'!B63:B82)),"")</f>
        <v/>
      </c>
      <c r="H63" t="str">
        <f>IFERROR(4*STDEV('Fat Spreads'!B63:B82)/AVERAGE('Fat Spreads'!B63:B82),"")</f>
        <v/>
      </c>
      <c r="I63">
        <v>34.9572</v>
      </c>
      <c r="J63">
        <f>IFERROR(SQRT((SUMSQ('Fat Spreads'!B63:B82)-2*SUMPRODUCT('Fat Spreads'!B63:B82,'Fat Spreads'!B64:B83)+SUMSQ('Fat Spreads'!B64:B83)-('Fat Spreads'!B63-'Fat Spreads'!B83)^2/20)/19),"")</f>
        <v>0</v>
      </c>
      <c r="L63">
        <f>IFERROR('Fat Spreads'!H63,"")</f>
        <v>0</v>
      </c>
      <c r="M63">
        <f>IFERROR(('Fat Spreads'!I63-AVERAGE('Fat Spreads'!$I$3:$I$4308))/STDEV('Fat Spreads'!$I$3:$I$4308),"")</f>
        <v>-9.2057461789832332E-2</v>
      </c>
      <c r="N63">
        <f>IFERROR('Fat Spreads'!I63-'Fat Spreads'!I68,"")</f>
        <v>0</v>
      </c>
      <c r="O63">
        <f>IFERROR('Fat Spreads'!I63-'Fat Spreads'!I73,"")</f>
        <v>0</v>
      </c>
      <c r="P63">
        <f>IFERROR(AVERAGE('Fat Spreads'!I63:I82)+2*STDEV('Fat Spreads'!I63:I82),"")</f>
        <v>0</v>
      </c>
      <c r="Q63">
        <f>IFERROR(AVERAGE('Fat Spreads'!I63:I82)-2*STDEV('Fat Spreads'!I63:I82),"")</f>
        <v>0</v>
      </c>
      <c r="R63" t="str">
        <f>IFERROR(('Fat Spreads'!I63-(AVERAGE('Fat Spreads'!I63:I82)-2*STDEV('Fat Spreads'!I63:I82)))/(4*STDEV('Fat Spreads'!I63:I82)),"")</f>
        <v/>
      </c>
      <c r="S63" t="str">
        <f>IFERROR(4*STDEV('Fat Spreads'!I63:I82)/AVERAGE('Fat Spreads'!I63:I82),"")</f>
        <v/>
      </c>
      <c r="T63">
        <v>33.389499999999998</v>
      </c>
      <c r="U63">
        <f>IFERROR(SQRT((SUMSQ('Fat Spreads'!I63:I82)-2*SUMPRODUCT('Fat Spreads'!I63:I82,'Fat Spreads'!I64:I83)+SUMSQ('Fat Spreads'!I64:I83)-('Fat Spreads'!I63-'Fat Spreads'!I83)^2/20)/19),"")</f>
        <v>0</v>
      </c>
      <c r="W63">
        <f>IFERROR('Fat Spreads'!AQ63,"")</f>
        <v>0</v>
      </c>
      <c r="X63">
        <f>IFERROR(('Fat Spreads'!AR63-AVERAGE('Fat Spreads'!$AR$3:$AR$4308))/STDEV('Fat Spreads'!$AR$3:$AR$4308),"")</f>
        <v>-9.2057461789832346E-2</v>
      </c>
      <c r="Y63">
        <f>IFERROR('Fat Spreads'!AR63-'Fat Spreads'!AR68,"")</f>
        <v>0</v>
      </c>
      <c r="Z63">
        <f>IFERROR('Fat Spreads'!AR63-'Fat Spreads'!AR73,"")</f>
        <v>0</v>
      </c>
      <c r="AA63">
        <f>IFERROR(AVERAGE('Fat Spreads'!AR63:AR82)+2*STDEV('Fat Spreads'!AR63:AR82),"")</f>
        <v>0</v>
      </c>
      <c r="AB63">
        <f>IFERROR(AVERAGE('Fat Spreads'!AR63:AR82)-2*STDEV('Fat Spreads'!AR63:AR82),"")</f>
        <v>0</v>
      </c>
      <c r="AC63" t="str">
        <f>IFERROR(('Fat Spreads'!AR63-(AVERAGE('Fat Spreads'!AR63:AR82)-2*STDEV('Fat Spreads'!AR63:AR82)))/(4*STDEV('Fat Spreads'!AR63:AR82)),"")</f>
        <v/>
      </c>
      <c r="AD63" t="str">
        <f>IFERROR(4*STDEV('Fat Spreads'!AR63:AR82)/AVERAGE('Fat Spreads'!AR63:AR82),"")</f>
        <v/>
      </c>
      <c r="AE63">
        <v>62.2821</v>
      </c>
      <c r="AF63">
        <f>IFERROR(SQRT((SUMSQ('Fat Spreads'!AR63:AR82)-2*SUMPRODUCT('Fat Spreads'!AR63:AR82,'Fat Spreads'!AR64:AR83)+SUMSQ('Fat Spreads'!AR64:AR83)-('Fat Spreads'!AR63-'Fat Spreads'!AR83)^2/20)/19),"")</f>
        <v>0</v>
      </c>
      <c r="AH63">
        <f>IFERROR('Fat Spreads'!O63,"")</f>
        <v>0</v>
      </c>
      <c r="AI63">
        <f>IFERROR(('Fat Spreads'!P63-AVERAGE('Fat Spreads'!$P$3:$P$4308))/STDEV('Fat Spreads'!$P$3:$P$4308),"")</f>
        <v>-9.2057461789832332E-2</v>
      </c>
      <c r="AJ63">
        <f>IFERROR('Fat Spreads'!P63-'Fat Spreads'!P68,"")</f>
        <v>0</v>
      </c>
      <c r="AK63">
        <f>IFERROR('Fat Spreads'!P63-'Fat Spreads'!P73,"")</f>
        <v>0</v>
      </c>
      <c r="AL63">
        <f>IFERROR(AVERAGE('Fat Spreads'!P63:P82)+2*STDEV('Fat Spreads'!P63:P82),"")</f>
        <v>0</v>
      </c>
      <c r="AM63">
        <f>IFERROR(AVERAGE('Fat Spreads'!P63:P82)-2*STDEV('Fat Spreads'!P63:P82),"")</f>
        <v>0</v>
      </c>
      <c r="AN63" t="str">
        <f>IFERROR(('Fat Spreads'!P63-(AVERAGE('Fat Spreads'!P63:P82)-2*STDEV('Fat Spreads'!P63:P82)))/(4*STDEV('Fat Spreads'!P63:P82)),"")</f>
        <v/>
      </c>
      <c r="AO63" t="str">
        <f>IFERROR(4*STDEV('Fat Spreads'!P63:P82)/AVERAGE('Fat Spreads'!P63:P82),"")</f>
        <v/>
      </c>
      <c r="AP63">
        <v>44.284799999999997</v>
      </c>
      <c r="AQ63">
        <f>IFERROR(SQRT((SUMSQ('Fat Spreads'!P63:P82)-2*SUMPRODUCT('Fat Spreads'!P63:P82,'Fat Spreads'!P64:P83)+SUMSQ('Fat Spreads'!P64:P83)-('Fat Spreads'!P63-'Fat Spreads'!P83)^2/20)/19),"")</f>
        <v>0</v>
      </c>
      <c r="AS63">
        <f>IFERROR('Fat Spreads'!AJ63,"")</f>
        <v>0</v>
      </c>
      <c r="AT63">
        <f>IFERROR(('Fat Spreads'!AK63-AVERAGE('Fat Spreads'!$AK$3:$AK$4308))/STDEV('Fat Spreads'!$AK$3:$AK$4308),"")</f>
        <v>-9.2057461789832332E-2</v>
      </c>
      <c r="AU63">
        <f>IFERROR('Fat Spreads'!AK63-'Fat Spreads'!AK68,"")</f>
        <v>0</v>
      </c>
      <c r="AV63">
        <f>IFERROR('Fat Spreads'!AK63-'Fat Spreads'!AK73,"")</f>
        <v>0</v>
      </c>
      <c r="AW63">
        <f>IFERROR(AVERAGE('Fat Spreads'!AK63:AK82)+2*STDEV('Fat Spreads'!AK63:AK82),"")</f>
        <v>0</v>
      </c>
      <c r="AX63">
        <f>IFERROR(AVERAGE('Fat Spreads'!AK63:AK82)-2*STDEV('Fat Spreads'!AK63:AK82),"")</f>
        <v>0</v>
      </c>
      <c r="AY63" t="str">
        <f>IFERROR(('Fat Spreads'!AK63-(AVERAGE('Fat Spreads'!AK63:AK82)-2*STDEV('Fat Spreads'!AK63:AK82)))/(4*STDEV('Fat Spreads'!AK63:AK82)),"")</f>
        <v/>
      </c>
      <c r="AZ63" t="str">
        <f>IFERROR(4*STDEV('Fat Spreads'!AK63:AK82)/AVERAGE('Fat Spreads'!AK63:AK82),"")</f>
        <v/>
      </c>
      <c r="BA63">
        <v>66.538200000000003</v>
      </c>
      <c r="BB63">
        <f>IFERROR(SQRT((SUMSQ('Fat Spreads'!AK63:AK82)-2*SUMPRODUCT('Fat Spreads'!AK63:AK82,'Fat Spreads'!AK64:AK83)+SUMSQ('Fat Spreads'!AK64:AK83)-('Fat Spreads'!AK63-'Fat Spreads'!AK83)^2/20)/19),"")</f>
        <v>0</v>
      </c>
      <c r="BD63">
        <f>IFERROR('Fat Spreads'!V63,"")</f>
        <v>0</v>
      </c>
      <c r="BE63">
        <f>IFERROR(('Fat Spreads'!W63-AVERAGE('Fat Spreads'!$W$3:$W$4308))/STDEV('Fat Spreads'!$W$3:$W$4308),"")</f>
        <v>-9.2057461789832332E-2</v>
      </c>
      <c r="BF63">
        <f>IFERROR('Fat Spreads'!W63-'Fat Spreads'!W68,"")</f>
        <v>0</v>
      </c>
      <c r="BG63">
        <f>IFERROR('Fat Spreads'!W63-'Fat Spreads'!W73,"")</f>
        <v>0</v>
      </c>
      <c r="BH63">
        <f>IFERROR(AVERAGE('Fat Spreads'!W63:W82)+2*STDEV('Fat Spreads'!W63:W82),"")</f>
        <v>0</v>
      </c>
      <c r="BI63">
        <f>IFERROR(AVERAGE('Fat Spreads'!W63:W82)-2*STDEV('Fat Spreads'!W63:W82),"")</f>
        <v>0</v>
      </c>
      <c r="BJ63" t="str">
        <f>IFERROR(('Fat Spreads'!W63-(AVERAGE('Fat Spreads'!W63:W82)-2*STDEV('Fat Spreads'!W63:W82)))/(4*STDEV('Fat Spreads'!W63:W82)),"")</f>
        <v/>
      </c>
      <c r="BK63" t="str">
        <f>IFERROR(4*STDEV('Fat Spreads'!W63:W82)/AVERAGE('Fat Spreads'!W63:W82),"")</f>
        <v/>
      </c>
      <c r="BL63">
        <v>69.382400000000004</v>
      </c>
      <c r="BM63">
        <f>IFERROR(SQRT((SUMSQ('Fat Spreads'!W63:W82)-2*SUMPRODUCT('Fat Spreads'!W63:W82,'Fat Spreads'!W64:W83)+SUMSQ('Fat Spreads'!W64:W83)-('Fat Spreads'!W63-'Fat Spreads'!W83)^2/20)/19),"")</f>
        <v>0</v>
      </c>
      <c r="BO63">
        <f>IFERROR('Fat Spreads'!AC63,"")</f>
        <v>0</v>
      </c>
      <c r="BP63">
        <f>IFERROR(('Fat Spreads'!AD63-AVERAGE('Fat Spreads'!$AD$3:$AD$4308))/STDEV('Fat Spreads'!$AD$3:$AD$4308),"")</f>
        <v>-9.2057461789832332E-2</v>
      </c>
      <c r="BQ63">
        <f>IFERROR('Fat Spreads'!AD63-'Fat Spreads'!AD68,"")</f>
        <v>0</v>
      </c>
      <c r="BR63">
        <f>IFERROR('Fat Spreads'!AD63-'Fat Spreads'!AD73,"")</f>
        <v>0</v>
      </c>
      <c r="BS63">
        <f>IFERROR(AVERAGE('Fat Spreads'!AD63:AD82)+2*STDEV('Fat Spreads'!AD63:AD82),"")</f>
        <v>0</v>
      </c>
      <c r="BT63">
        <f>IFERROR(AVERAGE('Fat Spreads'!AD63:AD82)-2*STDEV('Fat Spreads'!AD63:AD82),"")</f>
        <v>0</v>
      </c>
      <c r="BU63" t="str">
        <f>IFERROR(('Fat Spreads'!AD63-(AVERAGE('Fat Spreads'!AD63:AD82)-2*STDEV('Fat Spreads'!AD63:AD82)))/(4*STDEV('Fat Spreads'!AD63:AD82)),"")</f>
        <v/>
      </c>
      <c r="BV63" t="str">
        <f>IFERROR(4*STDEV('Fat Spreads'!AD63:AD82)/AVERAGE('Fat Spreads'!AD63:AD82),"")</f>
        <v/>
      </c>
      <c r="BW63">
        <v>47.288400000000003</v>
      </c>
      <c r="BX63">
        <f>IFERROR(SQRT((SUMSQ('Fat Spreads'!AD63:AD82)-2*SUMPRODUCT('Fat Spreads'!AD63:AD82,'Fat Spreads'!AD64:AD83)+SUMSQ('Fat Spreads'!AD64:AD83)-('Fat Spreads'!AD63-'Fat Spreads'!AD83)^2/20)/19),"")</f>
        <v>0</v>
      </c>
      <c r="BZ63">
        <f>IFERROR('Feeder Spreads'!A63,"")</f>
        <v>0</v>
      </c>
      <c r="CA63">
        <f>IFERROR(('Feeder Spreads'!B63-AVERAGE('Feeder Spreads'!$B$3:$B$4308))/STDEV('Feeder Spreads'!$B$3:$B$4308),"")</f>
        <v>-9.2057461789832346E-2</v>
      </c>
      <c r="CB63">
        <f>IFERROR('Feeder Spreads'!B63-'Feeder Spreads'!B68,"")</f>
        <v>0</v>
      </c>
      <c r="CC63">
        <f>IFERROR('Feeder Spreads'!B63-'Feeder Spreads'!B73,"")</f>
        <v>0</v>
      </c>
      <c r="CD63">
        <f>IFERROR(AVERAGE('Feeder Spreads'!B63:B82)+2*STDEV('Feeder Spreads'!B63:B82),"")</f>
        <v>0</v>
      </c>
      <c r="CE63">
        <f>IFERROR(AVERAGE('Feeder Spreads'!B63:B82)-2*STDEV('Feeder Spreads'!B63:B82),"")</f>
        <v>0</v>
      </c>
      <c r="CF63" t="str">
        <f>IFERROR(('Feeder Spreads'!B63-(AVERAGE('Feeder Spreads'!B63:B82)-2*STDEV('Feeder Spreads'!B63:B82)))/(4*STDEV('Feeder Spreads'!B63:B82)),"")</f>
        <v/>
      </c>
      <c r="CG63" t="str">
        <f>IFERROR(4*STDEV('Feeder Spreads'!B63:B82)/AVERAGE('Feeder Spreads'!B63:B82),"")</f>
        <v/>
      </c>
      <c r="CH63">
        <v>39.0274</v>
      </c>
      <c r="CI63">
        <f>IFERROR(SQRT((SUMSQ('Feeder Spreads'!B63:B82)-2*SUMPRODUCT('Feeder Spreads'!B63:B82,'Feeder Spreads'!B64:B83)+SUMSQ('Feeder Spreads'!B64:B83)-('Feeder Spreads'!B63-'Feeder Spreads'!B83)^2/20)/19),"")</f>
        <v>0</v>
      </c>
      <c r="CK63">
        <f>IFERROR('Feeder Spreads'!AX63,"")</f>
        <v>0</v>
      </c>
      <c r="CL63">
        <f>IFERROR(('Feeder Spreads'!AY63-AVERAGE('Feeder Spreads'!$AY$3:$AY$4308))/STDEV('Feeder Spreads'!$AY$3:$AY$4308),"")</f>
        <v>-9.2057461789832346E-2</v>
      </c>
      <c r="CM63">
        <f>IFERROR('Feeder Spreads'!AY63-'Feeder Spreads'!AY68,"")</f>
        <v>0</v>
      </c>
      <c r="CN63">
        <f>IFERROR('Feeder Spreads'!AY63-'Feeder Spreads'!AY73,"")</f>
        <v>0</v>
      </c>
      <c r="CO63">
        <f>IFERROR(AVERAGE('Feeder Spreads'!AY63:AY82)+2*STDEV('Feeder Spreads'!AY63:AY82),"")</f>
        <v>0</v>
      </c>
      <c r="CP63">
        <f>IFERROR(AVERAGE('Feeder Spreads'!AY63:AY82)-2*STDEV('Feeder Spreads'!AY63:AY82),"")</f>
        <v>0</v>
      </c>
      <c r="CQ63" t="str">
        <f>IFERROR(('Feeder Spreads'!AY63-(AVERAGE('Feeder Spreads'!AY63:AY82)-2*STDEV('Feeder Spreads'!AY63:AY82)))/(4*STDEV('Feeder Spreads'!AY63:AY82)),"")</f>
        <v/>
      </c>
      <c r="CR63" t="str">
        <f>IFERROR(4*STDEV('Feeder Spreads'!AY63:AY82)/AVERAGE('Feeder Spreads'!AY63:AY82),"")</f>
        <v/>
      </c>
      <c r="CS63">
        <v>80.987200000000001</v>
      </c>
      <c r="CT63">
        <f>IFERROR(SQRT((SUMSQ('Feeder Spreads'!AY63:AY82)-2*SUMPRODUCT('Feeder Spreads'!AY63:AY82,'Feeder Spreads'!AY64:AY83)+SUMSQ('Feeder Spreads'!AY64:AY83)-('Feeder Spreads'!AY63-'Feeder Spreads'!AY83)^2/20)/19),"")</f>
        <v>0</v>
      </c>
      <c r="CV63">
        <f>IFERROR('Feeder Spreads'!H63,"")</f>
        <v>0</v>
      </c>
      <c r="CW63">
        <f>IFERROR(('Feeder Spreads'!I63-AVERAGE('Feeder Spreads'!$I$3:$I$4308))/STDEV('Feeder Spreads'!$I$3:$I$4308),"")</f>
        <v>-9.2057461789832332E-2</v>
      </c>
      <c r="CX63">
        <f>IFERROR('Feeder Spreads'!I63-'Feeder Spreads'!I68,"")</f>
        <v>0</v>
      </c>
      <c r="CY63">
        <f>IFERROR('Feeder Spreads'!I63-'Feeder Spreads'!I73,"")</f>
        <v>0</v>
      </c>
      <c r="CZ63">
        <f>IFERROR(AVERAGE('Feeder Spreads'!I63:I82)+2*STDEV('Feeder Spreads'!I63:I82),"")</f>
        <v>0</v>
      </c>
      <c r="DA63">
        <f>IFERROR(AVERAGE('Feeder Spreads'!I63:I82)-2*STDEV('Feeder Spreads'!I63:I82),"")</f>
        <v>0</v>
      </c>
      <c r="DB63" t="str">
        <f>IFERROR(('Feeder Spreads'!I63-(AVERAGE('Feeder Spreads'!I63:I82)-2*STDEV('Feeder Spreads'!I63:I82)))/(4*STDEV('Feeder Spreads'!I63:I82)),"")</f>
        <v/>
      </c>
      <c r="DC63" t="str">
        <f>IFERROR(4*STDEV('Feeder Spreads'!I63:I82)/AVERAGE('Feeder Spreads'!I63:I82),"")</f>
        <v/>
      </c>
      <c r="DD63">
        <v>54.013500000000001</v>
      </c>
      <c r="DE63">
        <f>IFERROR(SQRT((SUMSQ('Feeder Spreads'!I63:I82)-2*SUMPRODUCT('Feeder Spreads'!I63:I82,'Feeder Spreads'!I64:I83)+SUMSQ('Feeder Spreads'!I64:I83)-('Feeder Spreads'!I63-'Feeder Spreads'!I83)^2/20)/19),"")</f>
        <v>0</v>
      </c>
      <c r="DG63">
        <f>IFERROR('Feeder Spreads'!O63,"")</f>
        <v>0</v>
      </c>
      <c r="DH63">
        <f>IFERROR(('Feeder Spreads'!P63-AVERAGE('Feeder Spreads'!$P$3:$P$4308))/STDEV('Feeder Spreads'!$P$3:$P$4308),"")</f>
        <v>-9.2057461789832346E-2</v>
      </c>
      <c r="DI63">
        <f>IFERROR('Feeder Spreads'!P63-'Feeder Spreads'!P68,"")</f>
        <v>0</v>
      </c>
      <c r="DJ63">
        <f>IFERROR('Feeder Spreads'!P63-'Feeder Spreads'!P73,"")</f>
        <v>0</v>
      </c>
      <c r="DK63">
        <f>IFERROR(AVERAGE('Feeder Spreads'!P63:P82)+2*STDEV('Feeder Spreads'!P63:P82),"")</f>
        <v>0</v>
      </c>
      <c r="DL63">
        <f>IFERROR(AVERAGE('Feeder Spreads'!P63:P82)-2*STDEV('Feeder Spreads'!P63:P82),"")</f>
        <v>0</v>
      </c>
      <c r="DM63" t="str">
        <f>IFERROR(('Feeder Spreads'!P63-(AVERAGE('Feeder Spreads'!P63:P82)-2*STDEV('Feeder Spreads'!P63:P82)))/(4*STDEV('Feeder Spreads'!P63:P82)),"")</f>
        <v/>
      </c>
      <c r="DN63" t="str">
        <f>IFERROR(4*STDEV('Feeder Spreads'!P63:P82)/AVERAGE('Feeder Spreads'!P63:P82),"")</f>
        <v/>
      </c>
      <c r="DO63">
        <v>52.9739</v>
      </c>
      <c r="DP63">
        <f>IFERROR(SQRT((SUMSQ('Feeder Spreads'!P63:P82)-2*SUMPRODUCT('Feeder Spreads'!P63:P82,'Feeder Spreads'!P64:P83)+SUMSQ('Feeder Spreads'!P64:P83)-('Feeder Spreads'!P63-'Feeder Spreads'!P83)^2/20)/19),"")</f>
        <v>0</v>
      </c>
      <c r="DR63">
        <f>IFERROR('Feeder Spreads'!V63,"")</f>
        <v>0</v>
      </c>
      <c r="DS63">
        <f>IFERROR(('Feeder Spreads'!W63-AVERAGE('Feeder Spreads'!$W$3:$W$4308))/STDEV('Feeder Spreads'!$W$3:$W$4308),"")</f>
        <v>-9.2057461789832332E-2</v>
      </c>
      <c r="DT63">
        <f>IFERROR('Feeder Spreads'!W63-'Feeder Spreads'!W68,"")</f>
        <v>0</v>
      </c>
      <c r="DU63">
        <f>IFERROR('Feeder Spreads'!W63-'Feeder Spreads'!W73,"")</f>
        <v>0</v>
      </c>
      <c r="DV63">
        <f>IFERROR(AVERAGE('Feeder Spreads'!W63:W82)+2*STDEV('Feeder Spreads'!W63:W82),"")</f>
        <v>0</v>
      </c>
      <c r="DW63">
        <f>IFERROR(AVERAGE('Feeder Spreads'!W63:W82)-2*STDEV('Feeder Spreads'!W63:W82),"")</f>
        <v>0</v>
      </c>
      <c r="DX63" t="str">
        <f>IFERROR(('Feeder Spreads'!W63-(AVERAGE('Feeder Spreads'!W63:W82)-2*STDEV('Feeder Spreads'!W63:W82)))/(4*STDEV('Feeder Spreads'!W63:W82)),"")</f>
        <v/>
      </c>
      <c r="DY63" t="str">
        <f>IFERROR(4*STDEV('Feeder Spreads'!W63:W82)/AVERAGE('Feeder Spreads'!W63:W82),"")</f>
        <v/>
      </c>
      <c r="DZ63">
        <v>79.8202</v>
      </c>
      <c r="EA63">
        <f>IFERROR(SQRT((SUMSQ('Feeder Spreads'!W63:W82)-2*SUMPRODUCT('Feeder Spreads'!W63:W82,'Feeder Spreads'!W64:W83)+SUMSQ('Feeder Spreads'!W64:W83)-('Feeder Spreads'!W63-'Feeder Spreads'!W83)^2/20)/19),"")</f>
        <v>0</v>
      </c>
      <c r="EC63">
        <f>IFERROR('Feeder Spreads'!AC63,"")</f>
        <v>0</v>
      </c>
      <c r="ED63">
        <f>IFERROR(('Feeder Spreads'!AD63-AVERAGE('Feeder Spreads'!$AD$3:$AD$4308))/STDEV('Feeder Spreads'!$AD$3:$AD$4308),"")</f>
        <v>9.2057461789832318E-2</v>
      </c>
      <c r="EE63">
        <f>IFERROR('Feeder Spreads'!AD63-'Feeder Spreads'!AD68,"")</f>
        <v>0</v>
      </c>
      <c r="EF63">
        <f>IFERROR('Feeder Spreads'!AD63-'Feeder Spreads'!AD73,"")</f>
        <v>0</v>
      </c>
      <c r="EG63">
        <f>IFERROR(AVERAGE('Feeder Spreads'!AD63:AD82)+2*STDEV('Feeder Spreads'!AD63:AD82),"")</f>
        <v>0</v>
      </c>
      <c r="EH63">
        <f>IFERROR(AVERAGE('Feeder Spreads'!AD63:AD82)-2*STDEV('Feeder Spreads'!AD63:AD82),"")</f>
        <v>0</v>
      </c>
      <c r="EI63" t="str">
        <f>IFERROR(('Feeder Spreads'!AD63-(AVERAGE('Feeder Spreads'!AD63:AD82)-2*STDEV('Feeder Spreads'!AD63:AD82)))/(4*STDEV('Feeder Spreads'!AD63:AD82)),"")</f>
        <v/>
      </c>
      <c r="EJ63" t="str">
        <f>IFERROR(4*STDEV('Feeder Spreads'!AD63:AD82)/AVERAGE('Feeder Spreads'!AD63:AD82),"")</f>
        <v/>
      </c>
      <c r="EK63">
        <v>50.585900000000002</v>
      </c>
      <c r="EL63">
        <f>IFERROR(SQRT((SUMSQ('Feeder Spreads'!AD63:AD82)-2*SUMPRODUCT('Feeder Spreads'!AD63:AD82,'Feeder Spreads'!AD64:AD83)+SUMSQ('Feeder Spreads'!AD64:AD83)-('Feeder Spreads'!AD63-'Feeder Spreads'!AD83)^2/20)/19),"")</f>
        <v>0</v>
      </c>
      <c r="EN63">
        <f>IFERROR('Feeder Spreads'!AJ63,"")</f>
        <v>0</v>
      </c>
      <c r="EO63">
        <f>IFERROR(('Feeder Spreads'!AK63-AVERAGE('Feeder Spreads'!$AK$3:$AK$4308))/STDEV('Feeder Spreads'!$AK$3:$AK$4308),"")</f>
        <v>-9.2057461789832346E-2</v>
      </c>
      <c r="EP63">
        <f>IFERROR('Feeder Spreads'!AK63-'Feeder Spreads'!AK68,"")</f>
        <v>0</v>
      </c>
      <c r="EQ63">
        <f>IFERROR('Feeder Spreads'!AK63-'Feeder Spreads'!AK73,"")</f>
        <v>0</v>
      </c>
      <c r="ER63">
        <f>IFERROR(AVERAGE('Feeder Spreads'!AK63:AK82)+2*STDEV('Feeder Spreads'!AK63:AK82),"")</f>
        <v>0</v>
      </c>
      <c r="ES63">
        <f>IFERROR(AVERAGE('Feeder Spreads'!AK63:AK82)-2*STDEV('Feeder Spreads'!AK63:AK82),"")</f>
        <v>0</v>
      </c>
      <c r="ET63" t="str">
        <f>IFERROR(('Feeder Spreads'!AK63-(AVERAGE('Feeder Spreads'!AK63:AK82)-2*STDEV('Feeder Spreads'!AK63:AK82)))/(4*STDEV('Feeder Spreads'!AK63:AK82)),"")</f>
        <v/>
      </c>
      <c r="EU63" t="str">
        <f>IFERROR(4*STDEV('Feeder Spreads'!AK63:AK82)/AVERAGE('Feeder Spreads'!AK63:AK82),"")</f>
        <v/>
      </c>
      <c r="EV63">
        <v>39.220599999999997</v>
      </c>
      <c r="EW63">
        <f>IFERROR(SQRT((SUMSQ('Feeder Spreads'!AK63:AK82)-2*SUMPRODUCT('Feeder Spreads'!AK63:AK82,'Feeder Spreads'!AK64:AK83)+SUMSQ('Feeder Spreads'!AK64:AK83)-('Feeder Spreads'!AK63-'Feeder Spreads'!AK83)^2/20)/19),"")</f>
        <v>0</v>
      </c>
      <c r="EY63">
        <f>IFERROR('Feeder Spreads'!AQ63,"")</f>
        <v>0</v>
      </c>
      <c r="EZ63">
        <f>IFERROR(('Feeder Spreads'!AR63-AVERAGE('Feeder Spreads'!$AR$3:$AR$4308))/STDEV('Feeder Spreads'!$AR$3:$AR$4308),"")</f>
        <v>-9.2057461789832332E-2</v>
      </c>
      <c r="FA63">
        <f>IFERROR('Feeder Spreads'!AR63-'Feeder Spreads'!AR68,"")</f>
        <v>0</v>
      </c>
      <c r="FB63">
        <f>IFERROR('Feeder Spreads'!AR63-'Feeder Spreads'!AR73,"")</f>
        <v>0</v>
      </c>
      <c r="FC63">
        <f>IFERROR(AVERAGE('Feeder Spreads'!AR63:AR82)+2*STDEV('Feeder Spreads'!AR63:AR82),"")</f>
        <v>0</v>
      </c>
      <c r="FD63">
        <f>IFERROR(AVERAGE('Feeder Spreads'!AR63:AR82)-2*STDEV('Feeder Spreads'!AR63:AR82),"")</f>
        <v>0</v>
      </c>
      <c r="FE63" t="str">
        <f>IFERROR(('Feeder Spreads'!AR63-(AVERAGE('Feeder Spreads'!AR63:AR82)-2*STDEV('Feeder Spreads'!AR63:AR82)))/(4*STDEV('Feeder Spreads'!AR63:AR82)),"")</f>
        <v/>
      </c>
      <c r="FF63" t="str">
        <f>IFERROR(4*STDEV('Feeder Spreads'!AR63:AR82)/AVERAGE('Feeder Spreads'!AR63:AR82),"")</f>
        <v/>
      </c>
      <c r="FG63">
        <v>40.7408</v>
      </c>
      <c r="FH63">
        <f>IFERROR(SQRT((SUMSQ('Feeder Spreads'!AR63:AR82)-2*SUMPRODUCT('Feeder Spreads'!AR63:AR82,'Feeder Spreads'!AR64:AR83)+SUMSQ('Feeder Spreads'!AR64:AR83)-('Feeder Spreads'!AR63-'Feeder Spreads'!AR83)^2/20)/19),"")</f>
        <v>0</v>
      </c>
      <c r="FJ63">
        <f>IFERROR('Fat Spreads'!AX63,"")</f>
        <v>0</v>
      </c>
      <c r="FK63">
        <f>IFERROR(('Fat Spreads'!AY63-AVERAGE('Fat Spreads'!$AY$3:$AY$4308))/STDEV('Fat Spreads'!$AY$3:$AY$4308),"")</f>
        <v>9.2057461789832332E-2</v>
      </c>
      <c r="FL63">
        <f>IFERROR('Fat Spreads'!AY63-'Fat Spreads'!AY68,"")</f>
        <v>0</v>
      </c>
      <c r="FM63">
        <f>IFERROR('Fat Spreads'!AY63-'Fat Spreads'!AY73,"")</f>
        <v>0</v>
      </c>
      <c r="FN63">
        <f>IFERROR(AVERAGE('Fat Spreads'!AY63:AY82)+2*STDEV('Fat Spreads'!AY63:AY82),"")</f>
        <v>0</v>
      </c>
      <c r="FO63">
        <f>IFERROR(AVERAGE('Fat Spreads'!AY63:AY82)-2*STDEV('Fat Spreads'!AY63:AY82),"")</f>
        <v>0</v>
      </c>
      <c r="FP63" t="str">
        <f>IFERROR(('Fat Spreads'!AY63-(AVERAGE('Fat Spreads'!AY63:AY82)-2*STDEV('Fat Spreads'!AY63:AY82)))/(4*STDEV('Fat Spreads'!AY63:AY82)),"")</f>
        <v/>
      </c>
      <c r="FQ63" t="str">
        <f>IFERROR(4*STDEV('Fat Spreads'!AY63:AY82)/AVERAGE('Fat Spreads'!AY63:AY82),"")</f>
        <v/>
      </c>
      <c r="FR63">
        <v>52.540300000000002</v>
      </c>
      <c r="FS63">
        <f>IFERROR(SQRT((SUMSQ('Fat Spreads'!AY63:AY82)-2*SUMPRODUCT('Fat Spreads'!AY63:AY82,'Fat Spreads'!AY64:AY83)+SUMSQ('Fat Spreads'!AY64:AY83)-('Fat Spreads'!AY63-'Fat Spreads'!AY83)^2/20)/19),"")</f>
        <v>0</v>
      </c>
      <c r="FU63">
        <f>IFERROR('Fat Spreads'!BE63,"")</f>
        <v>0</v>
      </c>
      <c r="FV63">
        <f>IFERROR(('Fat Spreads'!BF63-AVERAGE('Fat Spreads'!$BF$3:$BF$4308))/STDEV('Fat Spreads'!$BF$3:$BF$4308),"")</f>
        <v>9.2057461789832332E-2</v>
      </c>
      <c r="FW63">
        <f>IFERROR('Fat Spreads'!BF63-'Fat Spreads'!BF68,"")</f>
        <v>0</v>
      </c>
      <c r="FX63">
        <f>IFERROR('Fat Spreads'!BF63-'Fat Spreads'!BF73,"")</f>
        <v>0</v>
      </c>
      <c r="FY63">
        <f>IFERROR(AVERAGE('Fat Spreads'!BF63:BF82)+2*STDEV('Fat Spreads'!BF63:BF82),"")</f>
        <v>0</v>
      </c>
      <c r="FZ63">
        <f>IFERROR(AVERAGE('Fat Spreads'!BF63:BF82)-2*STDEV('Fat Spreads'!BF63:BF82),"")</f>
        <v>0</v>
      </c>
      <c r="GA63" t="str">
        <f>IFERROR(('Fat Spreads'!BF63-(AVERAGE('Fat Spreads'!BF63:BF82)-2*STDEV('Fat Spreads'!BF63:BF82)))/(4*STDEV('Fat Spreads'!BF63:BF82)),"")</f>
        <v/>
      </c>
      <c r="GB63" t="str">
        <f>IFERROR(4*STDEV('Fat Spreads'!BF63:BF82)/AVERAGE('Fat Spreads'!BF63:BF82),"")</f>
        <v/>
      </c>
      <c r="GC63">
        <v>33.411900000000003</v>
      </c>
      <c r="GD63">
        <f>IFERROR(SQRT((SUMSQ('Fat Spreads'!BF63:BF82)-2*SUMPRODUCT('Fat Spreads'!BF63:BF82,'Fat Spreads'!BF64:BF83)+SUMSQ('Fat Spreads'!BF64:BF83)-('Fat Spreads'!BF63-'Fat Spreads'!BF83)^2/20)/19),"")</f>
        <v>0</v>
      </c>
    </row>
    <row r="64" spans="1:186" x14ac:dyDescent="0.25">
      <c r="A64">
        <f>IFERROR('Fat Spreads'!A64,"")</f>
        <v>0</v>
      </c>
      <c r="B64">
        <f>IFERROR(('Fat Spreads'!B64-AVERAGE('Fat Spreads'!$B$3:$B$4308))/STDEV('Fat Spreads'!$B$3:$B$4308),"")</f>
        <v>9.2057461789832346E-2</v>
      </c>
      <c r="C64">
        <f>IFERROR('Fat Spreads'!B64-'Fat Spreads'!B69,"")</f>
        <v>0</v>
      </c>
      <c r="D64">
        <f>IFERROR('Fat Spreads'!B64-'Fat Spreads'!B74,"")</f>
        <v>0</v>
      </c>
      <c r="E64">
        <f>IFERROR(AVERAGE('Fat Spreads'!B64:B83)+2*STDEV('Fat Spreads'!B64:B83),"")</f>
        <v>0</v>
      </c>
      <c r="F64">
        <f>IFERROR(AVERAGE('Fat Spreads'!B64:B83)-2*STDEV('Fat Spreads'!B64:B83),"")</f>
        <v>0</v>
      </c>
      <c r="G64" t="str">
        <f>IFERROR(('Fat Spreads'!B64-(AVERAGE('Fat Spreads'!B64:B83)-2*STDEV('Fat Spreads'!B64:B83)))/(4*STDEV('Fat Spreads'!B64:B83)),"")</f>
        <v/>
      </c>
      <c r="H64" t="str">
        <f>IFERROR(4*STDEV('Fat Spreads'!B64:B83)/AVERAGE('Fat Spreads'!B64:B83),"")</f>
        <v/>
      </c>
      <c r="I64">
        <v>34.9572</v>
      </c>
      <c r="J64">
        <f>IFERROR(SQRT((SUMSQ('Fat Spreads'!B64:B83)-2*SUMPRODUCT('Fat Spreads'!B64:B83,'Fat Spreads'!B65:B84)+SUMSQ('Fat Spreads'!B65:B84)-('Fat Spreads'!B64-'Fat Spreads'!B84)^2/20)/19),"")</f>
        <v>0</v>
      </c>
      <c r="L64">
        <f>IFERROR('Fat Spreads'!H64,"")</f>
        <v>0</v>
      </c>
      <c r="M64">
        <f>IFERROR(('Fat Spreads'!I64-AVERAGE('Fat Spreads'!$I$3:$I$4308))/STDEV('Fat Spreads'!$I$3:$I$4308),"")</f>
        <v>-9.2057461789832332E-2</v>
      </c>
      <c r="N64">
        <f>IFERROR('Fat Spreads'!I64-'Fat Spreads'!I69,"")</f>
        <v>0</v>
      </c>
      <c r="O64">
        <f>IFERROR('Fat Spreads'!I64-'Fat Spreads'!I74,"")</f>
        <v>0</v>
      </c>
      <c r="P64">
        <f>IFERROR(AVERAGE('Fat Spreads'!I64:I83)+2*STDEV('Fat Spreads'!I64:I83),"")</f>
        <v>0</v>
      </c>
      <c r="Q64">
        <f>IFERROR(AVERAGE('Fat Spreads'!I64:I83)-2*STDEV('Fat Spreads'!I64:I83),"")</f>
        <v>0</v>
      </c>
      <c r="R64" t="str">
        <f>IFERROR(('Fat Spreads'!I64-(AVERAGE('Fat Spreads'!I64:I83)-2*STDEV('Fat Spreads'!I64:I83)))/(4*STDEV('Fat Spreads'!I64:I83)),"")</f>
        <v/>
      </c>
      <c r="S64" t="str">
        <f>IFERROR(4*STDEV('Fat Spreads'!I64:I83)/AVERAGE('Fat Spreads'!I64:I83),"")</f>
        <v/>
      </c>
      <c r="T64">
        <v>33.976100000000002</v>
      </c>
      <c r="U64">
        <f>IFERROR(SQRT((SUMSQ('Fat Spreads'!I64:I83)-2*SUMPRODUCT('Fat Spreads'!I64:I83,'Fat Spreads'!I65:I84)+SUMSQ('Fat Spreads'!I65:I84)-('Fat Spreads'!I64-'Fat Spreads'!I84)^2/20)/19),"")</f>
        <v>0</v>
      </c>
      <c r="W64">
        <f>IFERROR('Fat Spreads'!AQ64,"")</f>
        <v>0</v>
      </c>
      <c r="X64">
        <f>IFERROR(('Fat Spreads'!AR64-AVERAGE('Fat Spreads'!$AR$3:$AR$4308))/STDEV('Fat Spreads'!$AR$3:$AR$4308),"")</f>
        <v>-9.2057461789832346E-2</v>
      </c>
      <c r="Y64">
        <f>IFERROR('Fat Spreads'!AR64-'Fat Spreads'!AR69,"")</f>
        <v>0</v>
      </c>
      <c r="Z64">
        <f>IFERROR('Fat Spreads'!AR64-'Fat Spreads'!AR74,"")</f>
        <v>0</v>
      </c>
      <c r="AA64">
        <f>IFERROR(AVERAGE('Fat Spreads'!AR64:AR83)+2*STDEV('Fat Spreads'!AR64:AR83),"")</f>
        <v>0</v>
      </c>
      <c r="AB64">
        <f>IFERROR(AVERAGE('Fat Spreads'!AR64:AR83)-2*STDEV('Fat Spreads'!AR64:AR83),"")</f>
        <v>0</v>
      </c>
      <c r="AC64" t="str">
        <f>IFERROR(('Fat Spreads'!AR64-(AVERAGE('Fat Spreads'!AR64:AR83)-2*STDEV('Fat Spreads'!AR64:AR83)))/(4*STDEV('Fat Spreads'!AR64:AR83)),"")</f>
        <v/>
      </c>
      <c r="AD64" t="str">
        <f>IFERROR(4*STDEV('Fat Spreads'!AR64:AR83)/AVERAGE('Fat Spreads'!AR64:AR83),"")</f>
        <v/>
      </c>
      <c r="AE64">
        <v>61.5319</v>
      </c>
      <c r="AF64">
        <f>IFERROR(SQRT((SUMSQ('Fat Spreads'!AR64:AR83)-2*SUMPRODUCT('Fat Spreads'!AR64:AR83,'Fat Spreads'!AR65:AR84)+SUMSQ('Fat Spreads'!AR65:AR84)-('Fat Spreads'!AR64-'Fat Spreads'!AR84)^2/20)/19),"")</f>
        <v>0</v>
      </c>
      <c r="AH64">
        <f>IFERROR('Fat Spreads'!O64,"")</f>
        <v>0</v>
      </c>
      <c r="AI64">
        <f>IFERROR(('Fat Spreads'!P64-AVERAGE('Fat Spreads'!$P$3:$P$4308))/STDEV('Fat Spreads'!$P$3:$P$4308),"")</f>
        <v>-9.2057461789832332E-2</v>
      </c>
      <c r="AJ64">
        <f>IFERROR('Fat Spreads'!P64-'Fat Spreads'!P69,"")</f>
        <v>0</v>
      </c>
      <c r="AK64">
        <f>IFERROR('Fat Spreads'!P64-'Fat Spreads'!P74,"")</f>
        <v>0</v>
      </c>
      <c r="AL64">
        <f>IFERROR(AVERAGE('Fat Spreads'!P64:P83)+2*STDEV('Fat Spreads'!P64:P83),"")</f>
        <v>0</v>
      </c>
      <c r="AM64">
        <f>IFERROR(AVERAGE('Fat Spreads'!P64:P83)-2*STDEV('Fat Spreads'!P64:P83),"")</f>
        <v>0</v>
      </c>
      <c r="AN64" t="str">
        <f>IFERROR(('Fat Spreads'!P64-(AVERAGE('Fat Spreads'!P64:P83)-2*STDEV('Fat Spreads'!P64:P83)))/(4*STDEV('Fat Spreads'!P64:P83)),"")</f>
        <v/>
      </c>
      <c r="AO64" t="str">
        <f>IFERROR(4*STDEV('Fat Spreads'!P64:P83)/AVERAGE('Fat Spreads'!P64:P83),"")</f>
        <v/>
      </c>
      <c r="AP64">
        <v>41.159399999999998</v>
      </c>
      <c r="AQ64">
        <f>IFERROR(SQRT((SUMSQ('Fat Spreads'!P64:P83)-2*SUMPRODUCT('Fat Spreads'!P64:P83,'Fat Spreads'!P65:P84)+SUMSQ('Fat Spreads'!P65:P84)-('Fat Spreads'!P64-'Fat Spreads'!P84)^2/20)/19),"")</f>
        <v>0</v>
      </c>
      <c r="AS64">
        <f>IFERROR('Fat Spreads'!AJ64,"")</f>
        <v>0</v>
      </c>
      <c r="AT64">
        <f>IFERROR(('Fat Spreads'!AK64-AVERAGE('Fat Spreads'!$AK$3:$AK$4308))/STDEV('Fat Spreads'!$AK$3:$AK$4308),"")</f>
        <v>-9.2057461789832332E-2</v>
      </c>
      <c r="AU64">
        <f>IFERROR('Fat Spreads'!AK64-'Fat Spreads'!AK69,"")</f>
        <v>0</v>
      </c>
      <c r="AV64">
        <f>IFERROR('Fat Spreads'!AK64-'Fat Spreads'!AK74,"")</f>
        <v>0</v>
      </c>
      <c r="AW64">
        <f>IFERROR(AVERAGE('Fat Spreads'!AK64:AK83)+2*STDEV('Fat Spreads'!AK64:AK83),"")</f>
        <v>0</v>
      </c>
      <c r="AX64">
        <f>IFERROR(AVERAGE('Fat Spreads'!AK64:AK83)-2*STDEV('Fat Spreads'!AK64:AK83),"")</f>
        <v>0</v>
      </c>
      <c r="AY64" t="str">
        <f>IFERROR(('Fat Spreads'!AK64-(AVERAGE('Fat Spreads'!AK64:AK83)-2*STDEV('Fat Spreads'!AK64:AK83)))/(4*STDEV('Fat Spreads'!AK64:AK83)),"")</f>
        <v/>
      </c>
      <c r="AZ64" t="str">
        <f>IFERROR(4*STDEV('Fat Spreads'!AK64:AK83)/AVERAGE('Fat Spreads'!AK64:AK83),"")</f>
        <v/>
      </c>
      <c r="BA64">
        <v>60.089300000000001</v>
      </c>
      <c r="BB64">
        <f>IFERROR(SQRT((SUMSQ('Fat Spreads'!AK64:AK83)-2*SUMPRODUCT('Fat Spreads'!AK64:AK83,'Fat Spreads'!AK65:AK84)+SUMSQ('Fat Spreads'!AK65:AK84)-('Fat Spreads'!AK64-'Fat Spreads'!AK84)^2/20)/19),"")</f>
        <v>0</v>
      </c>
      <c r="BD64">
        <f>IFERROR('Fat Spreads'!V64,"")</f>
        <v>0</v>
      </c>
      <c r="BE64">
        <f>IFERROR(('Fat Spreads'!W64-AVERAGE('Fat Spreads'!$W$3:$W$4308))/STDEV('Fat Spreads'!$W$3:$W$4308),"")</f>
        <v>-9.2057461789832332E-2</v>
      </c>
      <c r="BF64">
        <f>IFERROR('Fat Spreads'!W64-'Fat Spreads'!W69,"")</f>
        <v>0</v>
      </c>
      <c r="BG64">
        <f>IFERROR('Fat Spreads'!W64-'Fat Spreads'!W74,"")</f>
        <v>0</v>
      </c>
      <c r="BH64">
        <f>IFERROR(AVERAGE('Fat Spreads'!W64:W83)+2*STDEV('Fat Spreads'!W64:W83),"")</f>
        <v>0</v>
      </c>
      <c r="BI64">
        <f>IFERROR(AVERAGE('Fat Spreads'!W64:W83)-2*STDEV('Fat Spreads'!W64:W83),"")</f>
        <v>0</v>
      </c>
      <c r="BJ64" t="str">
        <f>IFERROR(('Fat Spreads'!W64-(AVERAGE('Fat Spreads'!W64:W83)-2*STDEV('Fat Spreads'!W64:W83)))/(4*STDEV('Fat Spreads'!W64:W83)),"")</f>
        <v/>
      </c>
      <c r="BK64" t="str">
        <f>IFERROR(4*STDEV('Fat Spreads'!W64:W83)/AVERAGE('Fat Spreads'!W64:W83),"")</f>
        <v/>
      </c>
      <c r="BL64">
        <v>69.825100000000006</v>
      </c>
      <c r="BM64">
        <f>IFERROR(SQRT((SUMSQ('Fat Spreads'!W64:W83)-2*SUMPRODUCT('Fat Spreads'!W64:W83,'Fat Spreads'!W65:W84)+SUMSQ('Fat Spreads'!W65:W84)-('Fat Spreads'!W64-'Fat Spreads'!W84)^2/20)/19),"")</f>
        <v>0</v>
      </c>
      <c r="BO64">
        <f>IFERROR('Fat Spreads'!AC64,"")</f>
        <v>0</v>
      </c>
      <c r="BP64">
        <f>IFERROR(('Fat Spreads'!AD64-AVERAGE('Fat Spreads'!$AD$3:$AD$4308))/STDEV('Fat Spreads'!$AD$3:$AD$4308),"")</f>
        <v>-9.2057461789832332E-2</v>
      </c>
      <c r="BQ64">
        <f>IFERROR('Fat Spreads'!AD64-'Fat Spreads'!AD69,"")</f>
        <v>0</v>
      </c>
      <c r="BR64">
        <f>IFERROR('Fat Spreads'!AD64-'Fat Spreads'!AD74,"")</f>
        <v>0</v>
      </c>
      <c r="BS64">
        <f>IFERROR(AVERAGE('Fat Spreads'!AD64:AD83)+2*STDEV('Fat Spreads'!AD64:AD83),"")</f>
        <v>0</v>
      </c>
      <c r="BT64">
        <f>IFERROR(AVERAGE('Fat Spreads'!AD64:AD83)-2*STDEV('Fat Spreads'!AD64:AD83),"")</f>
        <v>0</v>
      </c>
      <c r="BU64" t="str">
        <f>IFERROR(('Fat Spreads'!AD64-(AVERAGE('Fat Spreads'!AD64:AD83)-2*STDEV('Fat Spreads'!AD64:AD83)))/(4*STDEV('Fat Spreads'!AD64:AD83)),"")</f>
        <v/>
      </c>
      <c r="BV64" t="str">
        <f>IFERROR(4*STDEV('Fat Spreads'!AD64:AD83)/AVERAGE('Fat Spreads'!AD64:AD83),"")</f>
        <v/>
      </c>
      <c r="BW64">
        <v>51.139800000000001</v>
      </c>
      <c r="BX64">
        <f>IFERROR(SQRT((SUMSQ('Fat Spreads'!AD64:AD83)-2*SUMPRODUCT('Fat Spreads'!AD64:AD83,'Fat Spreads'!AD65:AD84)+SUMSQ('Fat Spreads'!AD65:AD84)-('Fat Spreads'!AD64-'Fat Spreads'!AD84)^2/20)/19),"")</f>
        <v>0</v>
      </c>
      <c r="BZ64">
        <f>IFERROR('Feeder Spreads'!A64,"")</f>
        <v>0</v>
      </c>
      <c r="CA64">
        <f>IFERROR(('Feeder Spreads'!B64-AVERAGE('Feeder Spreads'!$B$3:$B$4308))/STDEV('Feeder Spreads'!$B$3:$B$4308),"")</f>
        <v>-9.2057461789832346E-2</v>
      </c>
      <c r="CB64">
        <f>IFERROR('Feeder Spreads'!B64-'Feeder Spreads'!B69,"")</f>
        <v>0</v>
      </c>
      <c r="CC64">
        <f>IFERROR('Feeder Spreads'!B64-'Feeder Spreads'!B74,"")</f>
        <v>0</v>
      </c>
      <c r="CD64">
        <f>IFERROR(AVERAGE('Feeder Spreads'!B64:B83)+2*STDEV('Feeder Spreads'!B64:B83),"")</f>
        <v>0</v>
      </c>
      <c r="CE64">
        <f>IFERROR(AVERAGE('Feeder Spreads'!B64:B83)-2*STDEV('Feeder Spreads'!B64:B83),"")</f>
        <v>0</v>
      </c>
      <c r="CF64" t="str">
        <f>IFERROR(('Feeder Spreads'!B64-(AVERAGE('Feeder Spreads'!B64:B83)-2*STDEV('Feeder Spreads'!B64:B83)))/(4*STDEV('Feeder Spreads'!B64:B83)),"")</f>
        <v/>
      </c>
      <c r="CG64" t="str">
        <f>IFERROR(4*STDEV('Feeder Spreads'!B64:B83)/AVERAGE('Feeder Spreads'!B64:B83),"")</f>
        <v/>
      </c>
      <c r="CH64">
        <v>32.236400000000003</v>
      </c>
      <c r="CI64">
        <f>IFERROR(SQRT((SUMSQ('Feeder Spreads'!B64:B83)-2*SUMPRODUCT('Feeder Spreads'!B64:B83,'Feeder Spreads'!B65:B84)+SUMSQ('Feeder Spreads'!B65:B84)-('Feeder Spreads'!B64-'Feeder Spreads'!B84)^2/20)/19),"")</f>
        <v>0</v>
      </c>
      <c r="CK64">
        <f>IFERROR('Feeder Spreads'!AX64,"")</f>
        <v>0</v>
      </c>
      <c r="CL64">
        <f>IFERROR(('Feeder Spreads'!AY64-AVERAGE('Feeder Spreads'!$AY$3:$AY$4308))/STDEV('Feeder Spreads'!$AY$3:$AY$4308),"")</f>
        <v>-9.2057461789832346E-2</v>
      </c>
      <c r="CM64">
        <f>IFERROR('Feeder Spreads'!AY64-'Feeder Spreads'!AY69,"")</f>
        <v>0</v>
      </c>
      <c r="CN64">
        <f>IFERROR('Feeder Spreads'!AY64-'Feeder Spreads'!AY74,"")</f>
        <v>0</v>
      </c>
      <c r="CO64">
        <f>IFERROR(AVERAGE('Feeder Spreads'!AY64:AY83)+2*STDEV('Feeder Spreads'!AY64:AY83),"")</f>
        <v>0</v>
      </c>
      <c r="CP64">
        <f>IFERROR(AVERAGE('Feeder Spreads'!AY64:AY83)-2*STDEV('Feeder Spreads'!AY64:AY83),"")</f>
        <v>0</v>
      </c>
      <c r="CQ64" t="str">
        <f>IFERROR(('Feeder Spreads'!AY64-(AVERAGE('Feeder Spreads'!AY64:AY83)-2*STDEV('Feeder Spreads'!AY64:AY83)))/(4*STDEV('Feeder Spreads'!AY64:AY83)),"")</f>
        <v/>
      </c>
      <c r="CR64" t="str">
        <f>IFERROR(4*STDEV('Feeder Spreads'!AY64:AY83)/AVERAGE('Feeder Spreads'!AY64:AY83),"")</f>
        <v/>
      </c>
      <c r="CS64">
        <v>81.071600000000004</v>
      </c>
      <c r="CT64">
        <f>IFERROR(SQRT((SUMSQ('Feeder Spreads'!AY64:AY83)-2*SUMPRODUCT('Feeder Spreads'!AY64:AY83,'Feeder Spreads'!AY65:AY84)+SUMSQ('Feeder Spreads'!AY65:AY84)-('Feeder Spreads'!AY64-'Feeder Spreads'!AY84)^2/20)/19),"")</f>
        <v>0</v>
      </c>
      <c r="CV64">
        <f>IFERROR('Feeder Spreads'!H64,"")</f>
        <v>0</v>
      </c>
      <c r="CW64">
        <f>IFERROR(('Feeder Spreads'!I64-AVERAGE('Feeder Spreads'!$I$3:$I$4308))/STDEV('Feeder Spreads'!$I$3:$I$4308),"")</f>
        <v>-9.2057461789832332E-2</v>
      </c>
      <c r="CX64">
        <f>IFERROR('Feeder Spreads'!I64-'Feeder Spreads'!I69,"")</f>
        <v>0</v>
      </c>
      <c r="CY64">
        <f>IFERROR('Feeder Spreads'!I64-'Feeder Spreads'!I74,"")</f>
        <v>0</v>
      </c>
      <c r="CZ64">
        <f>IFERROR(AVERAGE('Feeder Spreads'!I64:I83)+2*STDEV('Feeder Spreads'!I64:I83),"")</f>
        <v>0</v>
      </c>
      <c r="DA64">
        <f>IFERROR(AVERAGE('Feeder Spreads'!I64:I83)-2*STDEV('Feeder Spreads'!I64:I83),"")</f>
        <v>0</v>
      </c>
      <c r="DB64" t="str">
        <f>IFERROR(('Feeder Spreads'!I64-(AVERAGE('Feeder Spreads'!I64:I83)-2*STDEV('Feeder Spreads'!I64:I83)))/(4*STDEV('Feeder Spreads'!I64:I83)),"")</f>
        <v/>
      </c>
      <c r="DC64" t="str">
        <f>IFERROR(4*STDEV('Feeder Spreads'!I64:I83)/AVERAGE('Feeder Spreads'!I64:I83),"")</f>
        <v/>
      </c>
      <c r="DD64">
        <v>54.410200000000003</v>
      </c>
      <c r="DE64">
        <f>IFERROR(SQRT((SUMSQ('Feeder Spreads'!I64:I83)-2*SUMPRODUCT('Feeder Spreads'!I64:I83,'Feeder Spreads'!I65:I84)+SUMSQ('Feeder Spreads'!I65:I84)-('Feeder Spreads'!I64-'Feeder Spreads'!I84)^2/20)/19),"")</f>
        <v>0</v>
      </c>
      <c r="DG64">
        <f>IFERROR('Feeder Spreads'!O64,"")</f>
        <v>0</v>
      </c>
      <c r="DH64">
        <f>IFERROR(('Feeder Spreads'!P64-AVERAGE('Feeder Spreads'!$P$3:$P$4308))/STDEV('Feeder Spreads'!$P$3:$P$4308),"")</f>
        <v>-9.2057461789832346E-2</v>
      </c>
      <c r="DI64">
        <f>IFERROR('Feeder Spreads'!P64-'Feeder Spreads'!P69,"")</f>
        <v>0</v>
      </c>
      <c r="DJ64">
        <f>IFERROR('Feeder Spreads'!P64-'Feeder Spreads'!P74,"")</f>
        <v>0</v>
      </c>
      <c r="DK64">
        <f>IFERROR(AVERAGE('Feeder Spreads'!P64:P83)+2*STDEV('Feeder Spreads'!P64:P83),"")</f>
        <v>0</v>
      </c>
      <c r="DL64">
        <f>IFERROR(AVERAGE('Feeder Spreads'!P64:P83)-2*STDEV('Feeder Spreads'!P64:P83),"")</f>
        <v>0</v>
      </c>
      <c r="DM64" t="str">
        <f>IFERROR(('Feeder Spreads'!P64-(AVERAGE('Feeder Spreads'!P64:P83)-2*STDEV('Feeder Spreads'!P64:P83)))/(4*STDEV('Feeder Spreads'!P64:P83)),"")</f>
        <v/>
      </c>
      <c r="DN64" t="str">
        <f>IFERROR(4*STDEV('Feeder Spreads'!P64:P83)/AVERAGE('Feeder Spreads'!P64:P83),"")</f>
        <v/>
      </c>
      <c r="DO64">
        <v>56.825200000000002</v>
      </c>
      <c r="DP64">
        <f>IFERROR(SQRT((SUMSQ('Feeder Spreads'!P64:P83)-2*SUMPRODUCT('Feeder Spreads'!P64:P83,'Feeder Spreads'!P65:P84)+SUMSQ('Feeder Spreads'!P65:P84)-('Feeder Spreads'!P64-'Feeder Spreads'!P84)^2/20)/19),"")</f>
        <v>0</v>
      </c>
      <c r="DR64">
        <f>IFERROR('Feeder Spreads'!V64,"")</f>
        <v>0</v>
      </c>
      <c r="DS64">
        <f>IFERROR(('Feeder Spreads'!W64-AVERAGE('Feeder Spreads'!$W$3:$W$4308))/STDEV('Feeder Spreads'!$W$3:$W$4308),"")</f>
        <v>-9.2057461789832332E-2</v>
      </c>
      <c r="DT64">
        <f>IFERROR('Feeder Spreads'!W64-'Feeder Spreads'!W69,"")</f>
        <v>0</v>
      </c>
      <c r="DU64">
        <f>IFERROR('Feeder Spreads'!W64-'Feeder Spreads'!W74,"")</f>
        <v>0</v>
      </c>
      <c r="DV64">
        <f>IFERROR(AVERAGE('Feeder Spreads'!W64:W83)+2*STDEV('Feeder Spreads'!W64:W83),"")</f>
        <v>0</v>
      </c>
      <c r="DW64">
        <f>IFERROR(AVERAGE('Feeder Spreads'!W64:W83)-2*STDEV('Feeder Spreads'!W64:W83),"")</f>
        <v>0</v>
      </c>
      <c r="DX64" t="str">
        <f>IFERROR(('Feeder Spreads'!W64-(AVERAGE('Feeder Spreads'!W64:W83)-2*STDEV('Feeder Spreads'!W64:W83)))/(4*STDEV('Feeder Spreads'!W64:W83)),"")</f>
        <v/>
      </c>
      <c r="DY64" t="str">
        <f>IFERROR(4*STDEV('Feeder Spreads'!W64:W83)/AVERAGE('Feeder Spreads'!W64:W83),"")</f>
        <v/>
      </c>
      <c r="DZ64">
        <v>71.154300000000006</v>
      </c>
      <c r="EA64">
        <f>IFERROR(SQRT((SUMSQ('Feeder Spreads'!W64:W83)-2*SUMPRODUCT('Feeder Spreads'!W64:W83,'Feeder Spreads'!W65:W84)+SUMSQ('Feeder Spreads'!W65:W84)-('Feeder Spreads'!W64-'Feeder Spreads'!W84)^2/20)/19),"")</f>
        <v>0</v>
      </c>
      <c r="EC64">
        <f>IFERROR('Feeder Spreads'!AC64,"")</f>
        <v>0</v>
      </c>
      <c r="ED64">
        <f>IFERROR(('Feeder Spreads'!AD64-AVERAGE('Feeder Spreads'!$AD$3:$AD$4308))/STDEV('Feeder Spreads'!$AD$3:$AD$4308),"")</f>
        <v>9.2057461789832318E-2</v>
      </c>
      <c r="EE64">
        <f>IFERROR('Feeder Spreads'!AD64-'Feeder Spreads'!AD69,"")</f>
        <v>0</v>
      </c>
      <c r="EF64">
        <f>IFERROR('Feeder Spreads'!AD64-'Feeder Spreads'!AD74,"")</f>
        <v>0</v>
      </c>
      <c r="EG64">
        <f>IFERROR(AVERAGE('Feeder Spreads'!AD64:AD83)+2*STDEV('Feeder Spreads'!AD64:AD83),"")</f>
        <v>0</v>
      </c>
      <c r="EH64">
        <f>IFERROR(AVERAGE('Feeder Spreads'!AD64:AD83)-2*STDEV('Feeder Spreads'!AD64:AD83),"")</f>
        <v>0</v>
      </c>
      <c r="EI64" t="str">
        <f>IFERROR(('Feeder Spreads'!AD64-(AVERAGE('Feeder Spreads'!AD64:AD83)-2*STDEV('Feeder Spreads'!AD64:AD83)))/(4*STDEV('Feeder Spreads'!AD64:AD83)),"")</f>
        <v/>
      </c>
      <c r="EJ64" t="str">
        <f>IFERROR(4*STDEV('Feeder Spreads'!AD64:AD83)/AVERAGE('Feeder Spreads'!AD64:AD83),"")</f>
        <v/>
      </c>
      <c r="EK64">
        <v>57.171599999999998</v>
      </c>
      <c r="EL64">
        <f>IFERROR(SQRT((SUMSQ('Feeder Spreads'!AD64:AD83)-2*SUMPRODUCT('Feeder Spreads'!AD64:AD83,'Feeder Spreads'!AD65:AD84)+SUMSQ('Feeder Spreads'!AD65:AD84)-('Feeder Spreads'!AD64-'Feeder Spreads'!AD84)^2/20)/19),"")</f>
        <v>0</v>
      </c>
      <c r="EN64">
        <f>IFERROR('Feeder Spreads'!AJ64,"")</f>
        <v>0</v>
      </c>
      <c r="EO64">
        <f>IFERROR(('Feeder Spreads'!AK64-AVERAGE('Feeder Spreads'!$AK$3:$AK$4308))/STDEV('Feeder Spreads'!$AK$3:$AK$4308),"")</f>
        <v>-9.2057461789832346E-2</v>
      </c>
      <c r="EP64">
        <f>IFERROR('Feeder Spreads'!AK64-'Feeder Spreads'!AK69,"")</f>
        <v>0</v>
      </c>
      <c r="EQ64">
        <f>IFERROR('Feeder Spreads'!AK64-'Feeder Spreads'!AK74,"")</f>
        <v>0</v>
      </c>
      <c r="ER64">
        <f>IFERROR(AVERAGE('Feeder Spreads'!AK64:AK83)+2*STDEV('Feeder Spreads'!AK64:AK83),"")</f>
        <v>0</v>
      </c>
      <c r="ES64">
        <f>IFERROR(AVERAGE('Feeder Spreads'!AK64:AK83)-2*STDEV('Feeder Spreads'!AK64:AK83),"")</f>
        <v>0</v>
      </c>
      <c r="ET64" t="str">
        <f>IFERROR(('Feeder Spreads'!AK64-(AVERAGE('Feeder Spreads'!AK64:AK83)-2*STDEV('Feeder Spreads'!AK64:AK83)))/(4*STDEV('Feeder Spreads'!AK64:AK83)),"")</f>
        <v/>
      </c>
      <c r="EU64" t="str">
        <f>IFERROR(4*STDEV('Feeder Spreads'!AK64:AK83)/AVERAGE('Feeder Spreads'!AK64:AK83),"")</f>
        <v/>
      </c>
      <c r="EV64">
        <v>45.941099999999999</v>
      </c>
      <c r="EW64">
        <f>IFERROR(SQRT((SUMSQ('Feeder Spreads'!AK64:AK83)-2*SUMPRODUCT('Feeder Spreads'!AK64:AK83,'Feeder Spreads'!AK65:AK84)+SUMSQ('Feeder Spreads'!AK65:AK84)-('Feeder Spreads'!AK64-'Feeder Spreads'!AK84)^2/20)/19),"")</f>
        <v>0</v>
      </c>
      <c r="EY64">
        <f>IFERROR('Feeder Spreads'!AQ64,"")</f>
        <v>0</v>
      </c>
      <c r="EZ64">
        <f>IFERROR(('Feeder Spreads'!AR64-AVERAGE('Feeder Spreads'!$AR$3:$AR$4308))/STDEV('Feeder Spreads'!$AR$3:$AR$4308),"")</f>
        <v>-9.2057461789832332E-2</v>
      </c>
      <c r="FA64">
        <f>IFERROR('Feeder Spreads'!AR64-'Feeder Spreads'!AR69,"")</f>
        <v>0</v>
      </c>
      <c r="FB64">
        <f>IFERROR('Feeder Spreads'!AR64-'Feeder Spreads'!AR74,"")</f>
        <v>0</v>
      </c>
      <c r="FC64">
        <f>IFERROR(AVERAGE('Feeder Spreads'!AR64:AR83)+2*STDEV('Feeder Spreads'!AR64:AR83),"")</f>
        <v>0</v>
      </c>
      <c r="FD64">
        <f>IFERROR(AVERAGE('Feeder Spreads'!AR64:AR83)-2*STDEV('Feeder Spreads'!AR64:AR83),"")</f>
        <v>0</v>
      </c>
      <c r="FE64" t="str">
        <f>IFERROR(('Feeder Spreads'!AR64-(AVERAGE('Feeder Spreads'!AR64:AR83)-2*STDEV('Feeder Spreads'!AR64:AR83)))/(4*STDEV('Feeder Spreads'!AR64:AR83)),"")</f>
        <v/>
      </c>
      <c r="FF64" t="str">
        <f>IFERROR(4*STDEV('Feeder Spreads'!AR64:AR83)/AVERAGE('Feeder Spreads'!AR64:AR83),"")</f>
        <v/>
      </c>
      <c r="FG64">
        <v>47.734099999999998</v>
      </c>
      <c r="FH64">
        <f>IFERROR(SQRT((SUMSQ('Feeder Spreads'!AR64:AR83)-2*SUMPRODUCT('Feeder Spreads'!AR64:AR83,'Feeder Spreads'!AR65:AR84)+SUMSQ('Feeder Spreads'!AR65:AR84)-('Feeder Spreads'!AR64-'Feeder Spreads'!AR84)^2/20)/19),"")</f>
        <v>0</v>
      </c>
      <c r="FJ64">
        <f>IFERROR('Fat Spreads'!AX64,"")</f>
        <v>0</v>
      </c>
      <c r="FK64">
        <f>IFERROR(('Fat Spreads'!AY64-AVERAGE('Fat Spreads'!$AY$3:$AY$4308))/STDEV('Fat Spreads'!$AY$3:$AY$4308),"")</f>
        <v>9.2057461789832332E-2</v>
      </c>
      <c r="FL64">
        <f>IFERROR('Fat Spreads'!AY64-'Fat Spreads'!AY69,"")</f>
        <v>0</v>
      </c>
      <c r="FM64">
        <f>IFERROR('Fat Spreads'!AY64-'Fat Spreads'!AY74,"")</f>
        <v>0</v>
      </c>
      <c r="FN64">
        <f>IFERROR(AVERAGE('Fat Spreads'!AY64:AY83)+2*STDEV('Fat Spreads'!AY64:AY83),"")</f>
        <v>0</v>
      </c>
      <c r="FO64">
        <f>IFERROR(AVERAGE('Fat Spreads'!AY64:AY83)-2*STDEV('Fat Spreads'!AY64:AY83),"")</f>
        <v>0</v>
      </c>
      <c r="FP64" t="str">
        <f>IFERROR(('Fat Spreads'!AY64-(AVERAGE('Fat Spreads'!AY64:AY83)-2*STDEV('Fat Spreads'!AY64:AY83)))/(4*STDEV('Fat Spreads'!AY64:AY83)),"")</f>
        <v/>
      </c>
      <c r="FQ64" t="str">
        <f>IFERROR(4*STDEV('Fat Spreads'!AY64:AY83)/AVERAGE('Fat Spreads'!AY64:AY83),"")</f>
        <v/>
      </c>
      <c r="FR64">
        <v>45.875999999999998</v>
      </c>
      <c r="FS64">
        <f>IFERROR(SQRT((SUMSQ('Fat Spreads'!AY64:AY83)-2*SUMPRODUCT('Fat Spreads'!AY64:AY83,'Fat Spreads'!AY65:AY84)+SUMSQ('Fat Spreads'!AY65:AY84)-('Fat Spreads'!AY64-'Fat Spreads'!AY84)^2/20)/19),"")</f>
        <v>0</v>
      </c>
      <c r="FU64">
        <f>IFERROR('Fat Spreads'!BE64,"")</f>
        <v>0</v>
      </c>
      <c r="FV64">
        <f>IFERROR(('Fat Spreads'!BF64-AVERAGE('Fat Spreads'!$BF$3:$BF$4308))/STDEV('Fat Spreads'!$BF$3:$BF$4308),"")</f>
        <v>9.2057461789832332E-2</v>
      </c>
      <c r="FW64">
        <f>IFERROR('Fat Spreads'!BF64-'Fat Spreads'!BF69,"")</f>
        <v>0</v>
      </c>
      <c r="FX64">
        <f>IFERROR('Fat Spreads'!BF64-'Fat Spreads'!BF74,"")</f>
        <v>0</v>
      </c>
      <c r="FY64">
        <f>IFERROR(AVERAGE('Fat Spreads'!BF64:BF83)+2*STDEV('Fat Spreads'!BF64:BF83),"")</f>
        <v>0</v>
      </c>
      <c r="FZ64">
        <f>IFERROR(AVERAGE('Fat Spreads'!BF64:BF83)-2*STDEV('Fat Spreads'!BF64:BF83),"")</f>
        <v>0</v>
      </c>
      <c r="GA64" t="str">
        <f>IFERROR(('Fat Spreads'!BF64-(AVERAGE('Fat Spreads'!BF64:BF83)-2*STDEV('Fat Spreads'!BF64:BF83)))/(4*STDEV('Fat Spreads'!BF64:BF83)),"")</f>
        <v/>
      </c>
      <c r="GB64" t="str">
        <f>IFERROR(4*STDEV('Fat Spreads'!BF64:BF83)/AVERAGE('Fat Spreads'!BF64:BF83),"")</f>
        <v/>
      </c>
      <c r="GC64">
        <v>33.6492</v>
      </c>
      <c r="GD64">
        <f>IFERROR(SQRT((SUMSQ('Fat Spreads'!BF64:BF83)-2*SUMPRODUCT('Fat Spreads'!BF64:BF83,'Fat Spreads'!BF65:BF84)+SUMSQ('Fat Spreads'!BF65:BF84)-('Fat Spreads'!BF64-'Fat Spreads'!BF84)^2/20)/19),"")</f>
        <v>0</v>
      </c>
    </row>
    <row r="65" spans="1:186" x14ac:dyDescent="0.25">
      <c r="A65">
        <f>IFERROR('Fat Spreads'!A65,"")</f>
        <v>0</v>
      </c>
      <c r="B65">
        <f>IFERROR(('Fat Spreads'!B65-AVERAGE('Fat Spreads'!$B$3:$B$4308))/STDEV('Fat Spreads'!$B$3:$B$4308),"")</f>
        <v>9.2057461789832346E-2</v>
      </c>
      <c r="C65">
        <f>IFERROR('Fat Spreads'!B65-'Fat Spreads'!B70,"")</f>
        <v>0</v>
      </c>
      <c r="D65">
        <f>IFERROR('Fat Spreads'!B65-'Fat Spreads'!B75,"")</f>
        <v>0</v>
      </c>
      <c r="E65">
        <f>IFERROR(AVERAGE('Fat Spreads'!B65:B84)+2*STDEV('Fat Spreads'!B65:B84),"")</f>
        <v>0</v>
      </c>
      <c r="F65">
        <f>IFERROR(AVERAGE('Fat Spreads'!B65:B84)-2*STDEV('Fat Spreads'!B65:B84),"")</f>
        <v>0</v>
      </c>
      <c r="G65" t="str">
        <f>IFERROR(('Fat Spreads'!B65-(AVERAGE('Fat Spreads'!B65:B84)-2*STDEV('Fat Spreads'!B65:B84)))/(4*STDEV('Fat Spreads'!B65:B84)),"")</f>
        <v/>
      </c>
      <c r="H65" t="str">
        <f>IFERROR(4*STDEV('Fat Spreads'!B65:B84)/AVERAGE('Fat Spreads'!B65:B84),"")</f>
        <v/>
      </c>
      <c r="I65">
        <v>45.772500000000001</v>
      </c>
      <c r="J65">
        <f>IFERROR(SQRT((SUMSQ('Fat Spreads'!B65:B84)-2*SUMPRODUCT('Fat Spreads'!B65:B84,'Fat Spreads'!B66:B85)+SUMSQ('Fat Spreads'!B66:B85)-('Fat Spreads'!B65-'Fat Spreads'!B85)^2/20)/19),"")</f>
        <v>0</v>
      </c>
      <c r="L65">
        <f>IFERROR('Fat Spreads'!H65,"")</f>
        <v>0</v>
      </c>
      <c r="M65">
        <f>IFERROR(('Fat Spreads'!I65-AVERAGE('Fat Spreads'!$I$3:$I$4308))/STDEV('Fat Spreads'!$I$3:$I$4308),"")</f>
        <v>-9.2057461789832332E-2</v>
      </c>
      <c r="N65">
        <f>IFERROR('Fat Spreads'!I65-'Fat Spreads'!I70,"")</f>
        <v>0</v>
      </c>
      <c r="O65">
        <f>IFERROR('Fat Spreads'!I65-'Fat Spreads'!I75,"")</f>
        <v>0</v>
      </c>
      <c r="P65">
        <f>IFERROR(AVERAGE('Fat Spreads'!I65:I84)+2*STDEV('Fat Spreads'!I65:I84),"")</f>
        <v>0</v>
      </c>
      <c r="Q65">
        <f>IFERROR(AVERAGE('Fat Spreads'!I65:I84)-2*STDEV('Fat Spreads'!I65:I84),"")</f>
        <v>0</v>
      </c>
      <c r="R65" t="str">
        <f>IFERROR(('Fat Spreads'!I65-(AVERAGE('Fat Spreads'!I65:I84)-2*STDEV('Fat Spreads'!I65:I84)))/(4*STDEV('Fat Spreads'!I65:I84)),"")</f>
        <v/>
      </c>
      <c r="S65" t="str">
        <f>IFERROR(4*STDEV('Fat Spreads'!I65:I84)/AVERAGE('Fat Spreads'!I65:I84),"")</f>
        <v/>
      </c>
      <c r="T65">
        <v>44.983400000000003</v>
      </c>
      <c r="U65">
        <f>IFERROR(SQRT((SUMSQ('Fat Spreads'!I65:I84)-2*SUMPRODUCT('Fat Spreads'!I65:I84,'Fat Spreads'!I66:I85)+SUMSQ('Fat Spreads'!I66:I85)-('Fat Spreads'!I65-'Fat Spreads'!I85)^2/20)/19),"")</f>
        <v>0</v>
      </c>
      <c r="W65">
        <f>IFERROR('Fat Spreads'!AQ65,"")</f>
        <v>0</v>
      </c>
      <c r="X65">
        <f>IFERROR(('Fat Spreads'!AR65-AVERAGE('Fat Spreads'!$AR$3:$AR$4308))/STDEV('Fat Spreads'!$AR$3:$AR$4308),"")</f>
        <v>-9.2057461789832346E-2</v>
      </c>
      <c r="Y65">
        <f>IFERROR('Fat Spreads'!AR65-'Fat Spreads'!AR70,"")</f>
        <v>0</v>
      </c>
      <c r="Z65">
        <f>IFERROR('Fat Spreads'!AR65-'Fat Spreads'!AR75,"")</f>
        <v>0</v>
      </c>
      <c r="AA65">
        <f>IFERROR(AVERAGE('Fat Spreads'!AR65:AR84)+2*STDEV('Fat Spreads'!AR65:AR84),"")</f>
        <v>0</v>
      </c>
      <c r="AB65">
        <f>IFERROR(AVERAGE('Fat Spreads'!AR65:AR84)-2*STDEV('Fat Spreads'!AR65:AR84),"")</f>
        <v>0</v>
      </c>
      <c r="AC65" t="str">
        <f>IFERROR(('Fat Spreads'!AR65-(AVERAGE('Fat Spreads'!AR65:AR84)-2*STDEV('Fat Spreads'!AR65:AR84)))/(4*STDEV('Fat Spreads'!AR65:AR84)),"")</f>
        <v/>
      </c>
      <c r="AD65" t="str">
        <f>IFERROR(4*STDEV('Fat Spreads'!AR65:AR84)/AVERAGE('Fat Spreads'!AR65:AR84),"")</f>
        <v/>
      </c>
      <c r="AE65">
        <v>65.141499999999994</v>
      </c>
      <c r="AF65">
        <f>IFERROR(SQRT((SUMSQ('Fat Spreads'!AR65:AR84)-2*SUMPRODUCT('Fat Spreads'!AR65:AR84,'Fat Spreads'!AR66:AR85)+SUMSQ('Fat Spreads'!AR66:AR85)-('Fat Spreads'!AR65-'Fat Spreads'!AR85)^2/20)/19),"")</f>
        <v>0</v>
      </c>
      <c r="AH65">
        <f>IFERROR('Fat Spreads'!O65,"")</f>
        <v>0</v>
      </c>
      <c r="AI65">
        <f>IFERROR(('Fat Spreads'!P65-AVERAGE('Fat Spreads'!$P$3:$P$4308))/STDEV('Fat Spreads'!$P$3:$P$4308),"")</f>
        <v>-9.2057461789832332E-2</v>
      </c>
      <c r="AJ65">
        <f>IFERROR('Fat Spreads'!P65-'Fat Spreads'!P70,"")</f>
        <v>0</v>
      </c>
      <c r="AK65">
        <f>IFERROR('Fat Spreads'!P65-'Fat Spreads'!P75,"")</f>
        <v>0</v>
      </c>
      <c r="AL65">
        <f>IFERROR(AVERAGE('Fat Spreads'!P65:P84)+2*STDEV('Fat Spreads'!P65:P84),"")</f>
        <v>0</v>
      </c>
      <c r="AM65">
        <f>IFERROR(AVERAGE('Fat Spreads'!P65:P84)-2*STDEV('Fat Spreads'!P65:P84),"")</f>
        <v>0</v>
      </c>
      <c r="AN65" t="str">
        <f>IFERROR(('Fat Spreads'!P65-(AVERAGE('Fat Spreads'!P65:P84)-2*STDEV('Fat Spreads'!P65:P84)))/(4*STDEV('Fat Spreads'!P65:P84)),"")</f>
        <v/>
      </c>
      <c r="AO65" t="str">
        <f>IFERROR(4*STDEV('Fat Spreads'!P65:P84)/AVERAGE('Fat Spreads'!P65:P84),"")</f>
        <v/>
      </c>
      <c r="AP65">
        <v>48.782699999999998</v>
      </c>
      <c r="AQ65">
        <f>IFERROR(SQRT((SUMSQ('Fat Spreads'!P65:P84)-2*SUMPRODUCT('Fat Spreads'!P65:P84,'Fat Spreads'!P66:P85)+SUMSQ('Fat Spreads'!P66:P85)-('Fat Spreads'!P65-'Fat Spreads'!P85)^2/20)/19),"")</f>
        <v>0</v>
      </c>
      <c r="AS65">
        <f>IFERROR('Fat Spreads'!AJ65,"")</f>
        <v>0</v>
      </c>
      <c r="AT65">
        <f>IFERROR(('Fat Spreads'!AK65-AVERAGE('Fat Spreads'!$AK$3:$AK$4308))/STDEV('Fat Spreads'!$AK$3:$AK$4308),"")</f>
        <v>-9.2057461789832332E-2</v>
      </c>
      <c r="AU65">
        <f>IFERROR('Fat Spreads'!AK65-'Fat Spreads'!AK70,"")</f>
        <v>0</v>
      </c>
      <c r="AV65">
        <f>IFERROR('Fat Spreads'!AK65-'Fat Spreads'!AK75,"")</f>
        <v>0</v>
      </c>
      <c r="AW65">
        <f>IFERROR(AVERAGE('Fat Spreads'!AK65:AK84)+2*STDEV('Fat Spreads'!AK65:AK84),"")</f>
        <v>0</v>
      </c>
      <c r="AX65">
        <f>IFERROR(AVERAGE('Fat Spreads'!AK65:AK84)-2*STDEV('Fat Spreads'!AK65:AK84),"")</f>
        <v>0</v>
      </c>
      <c r="AY65" t="str">
        <f>IFERROR(('Fat Spreads'!AK65-(AVERAGE('Fat Spreads'!AK65:AK84)-2*STDEV('Fat Spreads'!AK65:AK84)))/(4*STDEV('Fat Spreads'!AK65:AK84)),"")</f>
        <v/>
      </c>
      <c r="AZ65" t="str">
        <f>IFERROR(4*STDEV('Fat Spreads'!AK65:AK84)/AVERAGE('Fat Spreads'!AK65:AK84),"")</f>
        <v/>
      </c>
      <c r="BA65">
        <v>50.437100000000001</v>
      </c>
      <c r="BB65">
        <f>IFERROR(SQRT((SUMSQ('Fat Spreads'!AK65:AK84)-2*SUMPRODUCT('Fat Spreads'!AK65:AK84,'Fat Spreads'!AK66:AK85)+SUMSQ('Fat Spreads'!AK66:AK85)-('Fat Spreads'!AK65-'Fat Spreads'!AK85)^2/20)/19),"")</f>
        <v>0</v>
      </c>
      <c r="BD65">
        <f>IFERROR('Fat Spreads'!V65,"")</f>
        <v>0</v>
      </c>
      <c r="BE65">
        <f>IFERROR(('Fat Spreads'!W65-AVERAGE('Fat Spreads'!$W$3:$W$4308))/STDEV('Fat Spreads'!$W$3:$W$4308),"")</f>
        <v>-9.2057461789832332E-2</v>
      </c>
      <c r="BF65">
        <f>IFERROR('Fat Spreads'!W65-'Fat Spreads'!W70,"")</f>
        <v>0</v>
      </c>
      <c r="BG65">
        <f>IFERROR('Fat Spreads'!W65-'Fat Spreads'!W75,"")</f>
        <v>0</v>
      </c>
      <c r="BH65">
        <f>IFERROR(AVERAGE('Fat Spreads'!W65:W84)+2*STDEV('Fat Spreads'!W65:W84),"")</f>
        <v>0</v>
      </c>
      <c r="BI65">
        <f>IFERROR(AVERAGE('Fat Spreads'!W65:W84)-2*STDEV('Fat Spreads'!W65:W84),"")</f>
        <v>0</v>
      </c>
      <c r="BJ65" t="str">
        <f>IFERROR(('Fat Spreads'!W65-(AVERAGE('Fat Spreads'!W65:W84)-2*STDEV('Fat Spreads'!W65:W84)))/(4*STDEV('Fat Spreads'!W65:W84)),"")</f>
        <v/>
      </c>
      <c r="BK65" t="str">
        <f>IFERROR(4*STDEV('Fat Spreads'!W65:W84)/AVERAGE('Fat Spreads'!W65:W84),"")</f>
        <v/>
      </c>
      <c r="BL65">
        <v>69.278999999999996</v>
      </c>
      <c r="BM65">
        <f>IFERROR(SQRT((SUMSQ('Fat Spreads'!W65:W84)-2*SUMPRODUCT('Fat Spreads'!W65:W84,'Fat Spreads'!W66:W85)+SUMSQ('Fat Spreads'!W66:W85)-('Fat Spreads'!W65-'Fat Spreads'!W85)^2/20)/19),"")</f>
        <v>0</v>
      </c>
      <c r="BO65">
        <f>IFERROR('Fat Spreads'!AC65,"")</f>
        <v>0</v>
      </c>
      <c r="BP65">
        <f>IFERROR(('Fat Spreads'!AD65-AVERAGE('Fat Spreads'!$AD$3:$AD$4308))/STDEV('Fat Spreads'!$AD$3:$AD$4308),"")</f>
        <v>-9.2057461789832332E-2</v>
      </c>
      <c r="BQ65">
        <f>IFERROR('Fat Spreads'!AD65-'Fat Spreads'!AD70,"")</f>
        <v>0</v>
      </c>
      <c r="BR65">
        <f>IFERROR('Fat Spreads'!AD65-'Fat Spreads'!AD75,"")</f>
        <v>0</v>
      </c>
      <c r="BS65">
        <f>IFERROR(AVERAGE('Fat Spreads'!AD65:AD84)+2*STDEV('Fat Spreads'!AD65:AD84),"")</f>
        <v>0</v>
      </c>
      <c r="BT65">
        <f>IFERROR(AVERAGE('Fat Spreads'!AD65:AD84)-2*STDEV('Fat Spreads'!AD65:AD84),"")</f>
        <v>0</v>
      </c>
      <c r="BU65" t="str">
        <f>IFERROR(('Fat Spreads'!AD65-(AVERAGE('Fat Spreads'!AD65:AD84)-2*STDEV('Fat Spreads'!AD65:AD84)))/(4*STDEV('Fat Spreads'!AD65:AD84)),"")</f>
        <v/>
      </c>
      <c r="BV65" t="str">
        <f>IFERROR(4*STDEV('Fat Spreads'!AD65:AD84)/AVERAGE('Fat Spreads'!AD65:AD84),"")</f>
        <v/>
      </c>
      <c r="BW65">
        <v>45.1477</v>
      </c>
      <c r="BX65">
        <f>IFERROR(SQRT((SUMSQ('Fat Spreads'!AD65:AD84)-2*SUMPRODUCT('Fat Spreads'!AD65:AD84,'Fat Spreads'!AD66:AD85)+SUMSQ('Fat Spreads'!AD66:AD85)-('Fat Spreads'!AD65-'Fat Spreads'!AD85)^2/20)/19),"")</f>
        <v>0</v>
      </c>
      <c r="BZ65">
        <f>IFERROR('Feeder Spreads'!A65,"")</f>
        <v>0</v>
      </c>
      <c r="CA65">
        <f>IFERROR(('Feeder Spreads'!B65-AVERAGE('Feeder Spreads'!$B$3:$B$4308))/STDEV('Feeder Spreads'!$B$3:$B$4308),"")</f>
        <v>-9.2057461789832346E-2</v>
      </c>
      <c r="CB65">
        <f>IFERROR('Feeder Spreads'!B65-'Feeder Spreads'!B70,"")</f>
        <v>0</v>
      </c>
      <c r="CC65">
        <f>IFERROR('Feeder Spreads'!B65-'Feeder Spreads'!B75,"")</f>
        <v>0</v>
      </c>
      <c r="CD65">
        <f>IFERROR(AVERAGE('Feeder Spreads'!B65:B84)+2*STDEV('Feeder Spreads'!B65:B84),"")</f>
        <v>0</v>
      </c>
      <c r="CE65">
        <f>IFERROR(AVERAGE('Feeder Spreads'!B65:B84)-2*STDEV('Feeder Spreads'!B65:B84),"")</f>
        <v>0</v>
      </c>
      <c r="CF65" t="str">
        <f>IFERROR(('Feeder Spreads'!B65-(AVERAGE('Feeder Spreads'!B65:B84)-2*STDEV('Feeder Spreads'!B65:B84)))/(4*STDEV('Feeder Spreads'!B65:B84)),"")</f>
        <v/>
      </c>
      <c r="CG65" t="str">
        <f>IFERROR(4*STDEV('Feeder Spreads'!B65:B84)/AVERAGE('Feeder Spreads'!B65:B84),"")</f>
        <v/>
      </c>
      <c r="CH65">
        <v>36.113199999999999</v>
      </c>
      <c r="CI65">
        <f>IFERROR(SQRT((SUMSQ('Feeder Spreads'!B65:B84)-2*SUMPRODUCT('Feeder Spreads'!B65:B84,'Feeder Spreads'!B66:B85)+SUMSQ('Feeder Spreads'!B66:B85)-('Feeder Spreads'!B65-'Feeder Spreads'!B85)^2/20)/19),"")</f>
        <v>0</v>
      </c>
      <c r="CK65">
        <f>IFERROR('Feeder Spreads'!AX65,"")</f>
        <v>0</v>
      </c>
      <c r="CL65">
        <f>IFERROR(('Feeder Spreads'!AY65-AVERAGE('Feeder Spreads'!$AY$3:$AY$4308))/STDEV('Feeder Spreads'!$AY$3:$AY$4308),"")</f>
        <v>-9.2057461789832346E-2</v>
      </c>
      <c r="CM65">
        <f>IFERROR('Feeder Spreads'!AY65-'Feeder Spreads'!AY70,"")</f>
        <v>0</v>
      </c>
      <c r="CN65">
        <f>IFERROR('Feeder Spreads'!AY65-'Feeder Spreads'!AY75,"")</f>
        <v>0</v>
      </c>
      <c r="CO65">
        <f>IFERROR(AVERAGE('Feeder Spreads'!AY65:AY84)+2*STDEV('Feeder Spreads'!AY65:AY84),"")</f>
        <v>0</v>
      </c>
      <c r="CP65">
        <f>IFERROR(AVERAGE('Feeder Spreads'!AY65:AY84)-2*STDEV('Feeder Spreads'!AY65:AY84),"")</f>
        <v>0</v>
      </c>
      <c r="CQ65" t="str">
        <f>IFERROR(('Feeder Spreads'!AY65-(AVERAGE('Feeder Spreads'!AY65:AY84)-2*STDEV('Feeder Spreads'!AY65:AY84)))/(4*STDEV('Feeder Spreads'!AY65:AY84)),"")</f>
        <v/>
      </c>
      <c r="CR65" t="str">
        <f>IFERROR(4*STDEV('Feeder Spreads'!AY65:AY84)/AVERAGE('Feeder Spreads'!AY65:AY84),"")</f>
        <v/>
      </c>
      <c r="CS65">
        <v>82.590800000000002</v>
      </c>
      <c r="CT65">
        <f>IFERROR(SQRT((SUMSQ('Feeder Spreads'!AY65:AY84)-2*SUMPRODUCT('Feeder Spreads'!AY65:AY84,'Feeder Spreads'!AY66:AY85)+SUMSQ('Feeder Spreads'!AY66:AY85)-('Feeder Spreads'!AY65-'Feeder Spreads'!AY85)^2/20)/19),"")</f>
        <v>0</v>
      </c>
      <c r="CV65">
        <f>IFERROR('Feeder Spreads'!H65,"")</f>
        <v>0</v>
      </c>
      <c r="CW65">
        <f>IFERROR(('Feeder Spreads'!I65-AVERAGE('Feeder Spreads'!$I$3:$I$4308))/STDEV('Feeder Spreads'!$I$3:$I$4308),"")</f>
        <v>-9.2057461789832332E-2</v>
      </c>
      <c r="CX65">
        <f>IFERROR('Feeder Spreads'!I65-'Feeder Spreads'!I70,"")</f>
        <v>0</v>
      </c>
      <c r="CY65">
        <f>IFERROR('Feeder Spreads'!I65-'Feeder Spreads'!I75,"")</f>
        <v>0</v>
      </c>
      <c r="CZ65">
        <f>IFERROR(AVERAGE('Feeder Spreads'!I65:I84)+2*STDEV('Feeder Spreads'!I65:I84),"")</f>
        <v>0</v>
      </c>
      <c r="DA65">
        <f>IFERROR(AVERAGE('Feeder Spreads'!I65:I84)-2*STDEV('Feeder Spreads'!I65:I84),"")</f>
        <v>0</v>
      </c>
      <c r="DB65" t="str">
        <f>IFERROR(('Feeder Spreads'!I65-(AVERAGE('Feeder Spreads'!I65:I84)-2*STDEV('Feeder Spreads'!I65:I84)))/(4*STDEV('Feeder Spreads'!I65:I84)),"")</f>
        <v/>
      </c>
      <c r="DC65" t="str">
        <f>IFERROR(4*STDEV('Feeder Spreads'!I65:I84)/AVERAGE('Feeder Spreads'!I65:I84),"")</f>
        <v/>
      </c>
      <c r="DD65">
        <v>59.259399999999999</v>
      </c>
      <c r="DE65">
        <f>IFERROR(SQRT((SUMSQ('Feeder Spreads'!I65:I84)-2*SUMPRODUCT('Feeder Spreads'!I65:I84,'Feeder Spreads'!I66:I85)+SUMSQ('Feeder Spreads'!I66:I85)-('Feeder Spreads'!I65-'Feeder Spreads'!I85)^2/20)/19),"")</f>
        <v>0</v>
      </c>
      <c r="DG65">
        <f>IFERROR('Feeder Spreads'!O65,"")</f>
        <v>0</v>
      </c>
      <c r="DH65">
        <f>IFERROR(('Feeder Spreads'!P65-AVERAGE('Feeder Spreads'!$P$3:$P$4308))/STDEV('Feeder Spreads'!$P$3:$P$4308),"")</f>
        <v>-9.2057461789832346E-2</v>
      </c>
      <c r="DI65">
        <f>IFERROR('Feeder Spreads'!P65-'Feeder Spreads'!P70,"")</f>
        <v>0</v>
      </c>
      <c r="DJ65">
        <f>IFERROR('Feeder Spreads'!P65-'Feeder Spreads'!P75,"")</f>
        <v>0</v>
      </c>
      <c r="DK65">
        <f>IFERROR(AVERAGE('Feeder Spreads'!P65:P84)+2*STDEV('Feeder Spreads'!P65:P84),"")</f>
        <v>0</v>
      </c>
      <c r="DL65">
        <f>IFERROR(AVERAGE('Feeder Spreads'!P65:P84)-2*STDEV('Feeder Spreads'!P65:P84),"")</f>
        <v>0</v>
      </c>
      <c r="DM65" t="str">
        <f>IFERROR(('Feeder Spreads'!P65-(AVERAGE('Feeder Spreads'!P65:P84)-2*STDEV('Feeder Spreads'!P65:P84)))/(4*STDEV('Feeder Spreads'!P65:P84)),"")</f>
        <v/>
      </c>
      <c r="DN65" t="str">
        <f>IFERROR(4*STDEV('Feeder Spreads'!P65:P84)/AVERAGE('Feeder Spreads'!P65:P84),"")</f>
        <v/>
      </c>
      <c r="DO65">
        <v>60.147300000000001</v>
      </c>
      <c r="DP65">
        <f>IFERROR(SQRT((SUMSQ('Feeder Spreads'!P65:P84)-2*SUMPRODUCT('Feeder Spreads'!P65:P84,'Feeder Spreads'!P66:P85)+SUMSQ('Feeder Spreads'!P66:P85)-('Feeder Spreads'!P65-'Feeder Spreads'!P85)^2/20)/19),"")</f>
        <v>0</v>
      </c>
      <c r="DR65">
        <f>IFERROR('Feeder Spreads'!V65,"")</f>
        <v>0</v>
      </c>
      <c r="DS65">
        <f>IFERROR(('Feeder Spreads'!W65-AVERAGE('Feeder Spreads'!$W$3:$W$4308))/STDEV('Feeder Spreads'!$W$3:$W$4308),"")</f>
        <v>-9.2057461789832332E-2</v>
      </c>
      <c r="DT65">
        <f>IFERROR('Feeder Spreads'!W65-'Feeder Spreads'!W70,"")</f>
        <v>0</v>
      </c>
      <c r="DU65">
        <f>IFERROR('Feeder Spreads'!W65-'Feeder Spreads'!W75,"")</f>
        <v>0</v>
      </c>
      <c r="DV65">
        <f>IFERROR(AVERAGE('Feeder Spreads'!W65:W84)+2*STDEV('Feeder Spreads'!W65:W84),"")</f>
        <v>0</v>
      </c>
      <c r="DW65">
        <f>IFERROR(AVERAGE('Feeder Spreads'!W65:W84)-2*STDEV('Feeder Spreads'!W65:W84),"")</f>
        <v>0</v>
      </c>
      <c r="DX65" t="str">
        <f>IFERROR(('Feeder Spreads'!W65-(AVERAGE('Feeder Spreads'!W65:W84)-2*STDEV('Feeder Spreads'!W65:W84)))/(4*STDEV('Feeder Spreads'!W65:W84)),"")</f>
        <v/>
      </c>
      <c r="DY65" t="str">
        <f>IFERROR(4*STDEV('Feeder Spreads'!W65:W84)/AVERAGE('Feeder Spreads'!W65:W84),"")</f>
        <v/>
      </c>
      <c r="DZ65">
        <v>63.516399999999997</v>
      </c>
      <c r="EA65">
        <f>IFERROR(SQRT((SUMSQ('Feeder Spreads'!W65:W84)-2*SUMPRODUCT('Feeder Spreads'!W65:W84,'Feeder Spreads'!W66:W85)+SUMSQ('Feeder Spreads'!W66:W85)-('Feeder Spreads'!W65-'Feeder Spreads'!W85)^2/20)/19),"")</f>
        <v>0</v>
      </c>
      <c r="EC65">
        <f>IFERROR('Feeder Spreads'!AC65,"")</f>
        <v>0</v>
      </c>
      <c r="ED65">
        <f>IFERROR(('Feeder Spreads'!AD65-AVERAGE('Feeder Spreads'!$AD$3:$AD$4308))/STDEV('Feeder Spreads'!$AD$3:$AD$4308),"")</f>
        <v>9.2057461789832318E-2</v>
      </c>
      <c r="EE65">
        <f>IFERROR('Feeder Spreads'!AD65-'Feeder Spreads'!AD70,"")</f>
        <v>0</v>
      </c>
      <c r="EF65">
        <f>IFERROR('Feeder Spreads'!AD65-'Feeder Spreads'!AD75,"")</f>
        <v>0</v>
      </c>
      <c r="EG65">
        <f>IFERROR(AVERAGE('Feeder Spreads'!AD65:AD84)+2*STDEV('Feeder Spreads'!AD65:AD84),"")</f>
        <v>0</v>
      </c>
      <c r="EH65">
        <f>IFERROR(AVERAGE('Feeder Spreads'!AD65:AD84)-2*STDEV('Feeder Spreads'!AD65:AD84),"")</f>
        <v>0</v>
      </c>
      <c r="EI65" t="str">
        <f>IFERROR(('Feeder Spreads'!AD65-(AVERAGE('Feeder Spreads'!AD65:AD84)-2*STDEV('Feeder Spreads'!AD65:AD84)))/(4*STDEV('Feeder Spreads'!AD65:AD84)),"")</f>
        <v/>
      </c>
      <c r="EJ65" t="str">
        <f>IFERROR(4*STDEV('Feeder Spreads'!AD65:AD84)/AVERAGE('Feeder Spreads'!AD65:AD84),"")</f>
        <v/>
      </c>
      <c r="EK65">
        <v>50.202100000000002</v>
      </c>
      <c r="EL65">
        <f>IFERROR(SQRT((SUMSQ('Feeder Spreads'!AD65:AD84)-2*SUMPRODUCT('Feeder Spreads'!AD65:AD84,'Feeder Spreads'!AD66:AD85)+SUMSQ('Feeder Spreads'!AD66:AD85)-('Feeder Spreads'!AD65-'Feeder Spreads'!AD85)^2/20)/19),"")</f>
        <v>0</v>
      </c>
      <c r="EN65">
        <f>IFERROR('Feeder Spreads'!AJ65,"")</f>
        <v>0</v>
      </c>
      <c r="EO65">
        <f>IFERROR(('Feeder Spreads'!AK65-AVERAGE('Feeder Spreads'!$AK$3:$AK$4308))/STDEV('Feeder Spreads'!$AK$3:$AK$4308),"")</f>
        <v>-9.2057461789832346E-2</v>
      </c>
      <c r="EP65">
        <f>IFERROR('Feeder Spreads'!AK65-'Feeder Spreads'!AK70,"")</f>
        <v>0</v>
      </c>
      <c r="EQ65">
        <f>IFERROR('Feeder Spreads'!AK65-'Feeder Spreads'!AK75,"")</f>
        <v>0</v>
      </c>
      <c r="ER65">
        <f>IFERROR(AVERAGE('Feeder Spreads'!AK65:AK84)+2*STDEV('Feeder Spreads'!AK65:AK84),"")</f>
        <v>0</v>
      </c>
      <c r="ES65">
        <f>IFERROR(AVERAGE('Feeder Spreads'!AK65:AK84)-2*STDEV('Feeder Spreads'!AK65:AK84),"")</f>
        <v>0</v>
      </c>
      <c r="ET65" t="str">
        <f>IFERROR(('Feeder Spreads'!AK65-(AVERAGE('Feeder Spreads'!AK65:AK84)-2*STDEV('Feeder Spreads'!AK65:AK84)))/(4*STDEV('Feeder Spreads'!AK65:AK84)),"")</f>
        <v/>
      </c>
      <c r="EU65" t="str">
        <f>IFERROR(4*STDEV('Feeder Spreads'!AK65:AK84)/AVERAGE('Feeder Spreads'!AK65:AK84),"")</f>
        <v/>
      </c>
      <c r="EV65">
        <v>52.166200000000003</v>
      </c>
      <c r="EW65">
        <f>IFERROR(SQRT((SUMSQ('Feeder Spreads'!AK65:AK84)-2*SUMPRODUCT('Feeder Spreads'!AK65:AK84,'Feeder Spreads'!AK66:AK85)+SUMSQ('Feeder Spreads'!AK66:AK85)-('Feeder Spreads'!AK65-'Feeder Spreads'!AK85)^2/20)/19),"")</f>
        <v>0</v>
      </c>
      <c r="EY65">
        <f>IFERROR('Feeder Spreads'!AQ65,"")</f>
        <v>0</v>
      </c>
      <c r="EZ65">
        <f>IFERROR(('Feeder Spreads'!AR65-AVERAGE('Feeder Spreads'!$AR$3:$AR$4308))/STDEV('Feeder Spreads'!$AR$3:$AR$4308),"")</f>
        <v>-9.2057461789832332E-2</v>
      </c>
      <c r="FA65">
        <f>IFERROR('Feeder Spreads'!AR65-'Feeder Spreads'!AR70,"")</f>
        <v>0</v>
      </c>
      <c r="FB65">
        <f>IFERROR('Feeder Spreads'!AR65-'Feeder Spreads'!AR75,"")</f>
        <v>0</v>
      </c>
      <c r="FC65">
        <f>IFERROR(AVERAGE('Feeder Spreads'!AR65:AR84)+2*STDEV('Feeder Spreads'!AR65:AR84),"")</f>
        <v>0</v>
      </c>
      <c r="FD65">
        <f>IFERROR(AVERAGE('Feeder Spreads'!AR65:AR84)-2*STDEV('Feeder Spreads'!AR65:AR84),"")</f>
        <v>0</v>
      </c>
      <c r="FE65" t="str">
        <f>IFERROR(('Feeder Spreads'!AR65-(AVERAGE('Feeder Spreads'!AR65:AR84)-2*STDEV('Feeder Spreads'!AR65:AR84)))/(4*STDEV('Feeder Spreads'!AR65:AR84)),"")</f>
        <v/>
      </c>
      <c r="FF65" t="str">
        <f>IFERROR(4*STDEV('Feeder Spreads'!AR65:AR84)/AVERAGE('Feeder Spreads'!AR65:AR84),"")</f>
        <v/>
      </c>
      <c r="FG65">
        <v>54.568199999999997</v>
      </c>
      <c r="FH65">
        <f>IFERROR(SQRT((SUMSQ('Feeder Spreads'!AR65:AR84)-2*SUMPRODUCT('Feeder Spreads'!AR65:AR84,'Feeder Spreads'!AR66:AR85)+SUMSQ('Feeder Spreads'!AR66:AR85)-('Feeder Spreads'!AR65-'Feeder Spreads'!AR85)^2/20)/19),"")</f>
        <v>0</v>
      </c>
      <c r="FJ65">
        <f>IFERROR('Fat Spreads'!AX65,"")</f>
        <v>0</v>
      </c>
      <c r="FK65">
        <f>IFERROR(('Fat Spreads'!AY65-AVERAGE('Fat Spreads'!$AY$3:$AY$4308))/STDEV('Fat Spreads'!$AY$3:$AY$4308),"")</f>
        <v>9.2057461789832332E-2</v>
      </c>
      <c r="FL65">
        <f>IFERROR('Fat Spreads'!AY65-'Fat Spreads'!AY70,"")</f>
        <v>0</v>
      </c>
      <c r="FM65">
        <f>IFERROR('Fat Spreads'!AY65-'Fat Spreads'!AY75,"")</f>
        <v>0</v>
      </c>
      <c r="FN65">
        <f>IFERROR(AVERAGE('Fat Spreads'!AY65:AY84)+2*STDEV('Fat Spreads'!AY65:AY84),"")</f>
        <v>0</v>
      </c>
      <c r="FO65">
        <f>IFERROR(AVERAGE('Fat Spreads'!AY65:AY84)-2*STDEV('Fat Spreads'!AY65:AY84),"")</f>
        <v>0</v>
      </c>
      <c r="FP65" t="str">
        <f>IFERROR(('Fat Spreads'!AY65-(AVERAGE('Fat Spreads'!AY65:AY84)-2*STDEV('Fat Spreads'!AY65:AY84)))/(4*STDEV('Fat Spreads'!AY65:AY84)),"")</f>
        <v/>
      </c>
      <c r="FQ65" t="str">
        <f>IFERROR(4*STDEV('Fat Spreads'!AY65:AY84)/AVERAGE('Fat Spreads'!AY65:AY84),"")</f>
        <v/>
      </c>
      <c r="FR65">
        <v>47.705500000000001</v>
      </c>
      <c r="FS65">
        <f>IFERROR(SQRT((SUMSQ('Fat Spreads'!AY65:AY84)-2*SUMPRODUCT('Fat Spreads'!AY65:AY84,'Fat Spreads'!AY66:AY85)+SUMSQ('Fat Spreads'!AY66:AY85)-('Fat Spreads'!AY65-'Fat Spreads'!AY85)^2/20)/19),"")</f>
        <v>0</v>
      </c>
      <c r="FU65">
        <f>IFERROR('Fat Spreads'!BE65,"")</f>
        <v>0</v>
      </c>
      <c r="FV65">
        <f>IFERROR(('Fat Spreads'!BF65-AVERAGE('Fat Spreads'!$BF$3:$BF$4308))/STDEV('Fat Spreads'!$BF$3:$BF$4308),"")</f>
        <v>9.2057461789832332E-2</v>
      </c>
      <c r="FW65">
        <f>IFERROR('Fat Spreads'!BF65-'Fat Spreads'!BF70,"")</f>
        <v>0</v>
      </c>
      <c r="FX65">
        <f>IFERROR('Fat Spreads'!BF65-'Fat Spreads'!BF75,"")</f>
        <v>0</v>
      </c>
      <c r="FY65">
        <f>IFERROR(AVERAGE('Fat Spreads'!BF65:BF84)+2*STDEV('Fat Spreads'!BF65:BF84),"")</f>
        <v>0</v>
      </c>
      <c r="FZ65">
        <f>IFERROR(AVERAGE('Fat Spreads'!BF65:BF84)-2*STDEV('Fat Spreads'!BF65:BF84),"")</f>
        <v>0</v>
      </c>
      <c r="GA65" t="str">
        <f>IFERROR(('Fat Spreads'!BF65-(AVERAGE('Fat Spreads'!BF65:BF84)-2*STDEV('Fat Spreads'!BF65:BF84)))/(4*STDEV('Fat Spreads'!BF65:BF84)),"")</f>
        <v/>
      </c>
      <c r="GB65" t="str">
        <f>IFERROR(4*STDEV('Fat Spreads'!BF65:BF84)/AVERAGE('Fat Spreads'!BF65:BF84),"")</f>
        <v/>
      </c>
      <c r="GC65">
        <v>45.106099999999998</v>
      </c>
      <c r="GD65">
        <f>IFERROR(SQRT((SUMSQ('Fat Spreads'!BF65:BF84)-2*SUMPRODUCT('Fat Spreads'!BF65:BF84,'Fat Spreads'!BF66:BF85)+SUMSQ('Fat Spreads'!BF66:BF85)-('Fat Spreads'!BF65-'Fat Spreads'!BF85)^2/20)/19),"")</f>
        <v>0</v>
      </c>
    </row>
    <row r="66" spans="1:186" x14ac:dyDescent="0.25">
      <c r="A66">
        <f>IFERROR('Fat Spreads'!A66,"")</f>
        <v>0</v>
      </c>
      <c r="B66">
        <f>IFERROR(('Fat Spreads'!B66-AVERAGE('Fat Spreads'!$B$3:$B$4308))/STDEV('Fat Spreads'!$B$3:$B$4308),"")</f>
        <v>9.2057461789832346E-2</v>
      </c>
      <c r="C66">
        <f>IFERROR('Fat Spreads'!B66-'Fat Spreads'!B71,"")</f>
        <v>0</v>
      </c>
      <c r="D66">
        <f>IFERROR('Fat Spreads'!B66-'Fat Spreads'!B76,"")</f>
        <v>0</v>
      </c>
      <c r="E66">
        <f>IFERROR(AVERAGE('Fat Spreads'!B66:B85)+2*STDEV('Fat Spreads'!B66:B85),"")</f>
        <v>0</v>
      </c>
      <c r="F66">
        <f>IFERROR(AVERAGE('Fat Spreads'!B66:B85)-2*STDEV('Fat Spreads'!B66:B85),"")</f>
        <v>0</v>
      </c>
      <c r="G66" t="str">
        <f>IFERROR(('Fat Spreads'!B66-(AVERAGE('Fat Spreads'!B66:B85)-2*STDEV('Fat Spreads'!B66:B85)))/(4*STDEV('Fat Spreads'!B66:B85)),"")</f>
        <v/>
      </c>
      <c r="H66" t="str">
        <f>IFERROR(4*STDEV('Fat Spreads'!B66:B85)/AVERAGE('Fat Spreads'!B66:B85),"")</f>
        <v/>
      </c>
      <c r="I66">
        <v>51.080399999999997</v>
      </c>
      <c r="J66">
        <f>IFERROR(SQRT((SUMSQ('Fat Spreads'!B66:B85)-2*SUMPRODUCT('Fat Spreads'!B66:B85,'Fat Spreads'!B67:B86)+SUMSQ('Fat Spreads'!B67:B86)-('Fat Spreads'!B66-'Fat Spreads'!B86)^2/20)/19),"")</f>
        <v>0</v>
      </c>
      <c r="L66">
        <f>IFERROR('Fat Spreads'!H66,"")</f>
        <v>0</v>
      </c>
      <c r="M66">
        <f>IFERROR(('Fat Spreads'!I66-AVERAGE('Fat Spreads'!$I$3:$I$4308))/STDEV('Fat Spreads'!$I$3:$I$4308),"")</f>
        <v>-9.2057461789832332E-2</v>
      </c>
      <c r="N66">
        <f>IFERROR('Fat Spreads'!I66-'Fat Spreads'!I71,"")</f>
        <v>0</v>
      </c>
      <c r="O66">
        <f>IFERROR('Fat Spreads'!I66-'Fat Spreads'!I76,"")</f>
        <v>0</v>
      </c>
      <c r="P66">
        <f>IFERROR(AVERAGE('Fat Spreads'!I66:I85)+2*STDEV('Fat Spreads'!I66:I85),"")</f>
        <v>0</v>
      </c>
      <c r="Q66">
        <f>IFERROR(AVERAGE('Fat Spreads'!I66:I85)-2*STDEV('Fat Spreads'!I66:I85),"")</f>
        <v>0</v>
      </c>
      <c r="R66" t="str">
        <f>IFERROR(('Fat Spreads'!I66-(AVERAGE('Fat Spreads'!I66:I85)-2*STDEV('Fat Spreads'!I66:I85)))/(4*STDEV('Fat Spreads'!I66:I85)),"")</f>
        <v/>
      </c>
      <c r="S66" t="str">
        <f>IFERROR(4*STDEV('Fat Spreads'!I66:I85)/AVERAGE('Fat Spreads'!I66:I85),"")</f>
        <v/>
      </c>
      <c r="T66">
        <v>51.136800000000001</v>
      </c>
      <c r="U66">
        <f>IFERROR(SQRT((SUMSQ('Fat Spreads'!I66:I85)-2*SUMPRODUCT('Fat Spreads'!I66:I85,'Fat Spreads'!I67:I86)+SUMSQ('Fat Spreads'!I67:I86)-('Fat Spreads'!I66-'Fat Spreads'!I86)^2/20)/19),"")</f>
        <v>0</v>
      </c>
      <c r="W66">
        <f>IFERROR('Fat Spreads'!AQ66,"")</f>
        <v>0</v>
      </c>
      <c r="X66">
        <f>IFERROR(('Fat Spreads'!AR66-AVERAGE('Fat Spreads'!$AR$3:$AR$4308))/STDEV('Fat Spreads'!$AR$3:$AR$4308),"")</f>
        <v>-9.2057461789832346E-2</v>
      </c>
      <c r="Y66">
        <f>IFERROR('Fat Spreads'!AR66-'Fat Spreads'!AR71,"")</f>
        <v>0</v>
      </c>
      <c r="Z66">
        <f>IFERROR('Fat Spreads'!AR66-'Fat Spreads'!AR76,"")</f>
        <v>0</v>
      </c>
      <c r="AA66">
        <f>IFERROR(AVERAGE('Fat Spreads'!AR66:AR85)+2*STDEV('Fat Spreads'!AR66:AR85),"")</f>
        <v>0</v>
      </c>
      <c r="AB66">
        <f>IFERROR(AVERAGE('Fat Spreads'!AR66:AR85)-2*STDEV('Fat Spreads'!AR66:AR85),"")</f>
        <v>0</v>
      </c>
      <c r="AC66" t="str">
        <f>IFERROR(('Fat Spreads'!AR66-(AVERAGE('Fat Spreads'!AR66:AR85)-2*STDEV('Fat Spreads'!AR66:AR85)))/(4*STDEV('Fat Spreads'!AR66:AR85)),"")</f>
        <v/>
      </c>
      <c r="AD66" t="str">
        <f>IFERROR(4*STDEV('Fat Spreads'!AR66:AR85)/AVERAGE('Fat Spreads'!AR66:AR85),"")</f>
        <v/>
      </c>
      <c r="AE66">
        <v>67.279300000000006</v>
      </c>
      <c r="AF66">
        <f>IFERROR(SQRT((SUMSQ('Fat Spreads'!AR66:AR85)-2*SUMPRODUCT('Fat Spreads'!AR66:AR85,'Fat Spreads'!AR67:AR86)+SUMSQ('Fat Spreads'!AR67:AR86)-('Fat Spreads'!AR66-'Fat Spreads'!AR86)^2/20)/19),"")</f>
        <v>0</v>
      </c>
      <c r="AH66">
        <f>IFERROR('Fat Spreads'!O66,"")</f>
        <v>0</v>
      </c>
      <c r="AI66">
        <f>IFERROR(('Fat Spreads'!P66-AVERAGE('Fat Spreads'!$P$3:$P$4308))/STDEV('Fat Spreads'!$P$3:$P$4308),"")</f>
        <v>-9.2057461789832332E-2</v>
      </c>
      <c r="AJ66">
        <f>IFERROR('Fat Spreads'!P66-'Fat Spreads'!P71,"")</f>
        <v>0</v>
      </c>
      <c r="AK66">
        <f>IFERROR('Fat Spreads'!P66-'Fat Spreads'!P76,"")</f>
        <v>0</v>
      </c>
      <c r="AL66">
        <f>IFERROR(AVERAGE('Fat Spreads'!P66:P85)+2*STDEV('Fat Spreads'!P66:P85),"")</f>
        <v>0</v>
      </c>
      <c r="AM66">
        <f>IFERROR(AVERAGE('Fat Spreads'!P66:P85)-2*STDEV('Fat Spreads'!P66:P85),"")</f>
        <v>0</v>
      </c>
      <c r="AN66" t="str">
        <f>IFERROR(('Fat Spreads'!P66-(AVERAGE('Fat Spreads'!P66:P85)-2*STDEV('Fat Spreads'!P66:P85)))/(4*STDEV('Fat Spreads'!P66:P85)),"")</f>
        <v/>
      </c>
      <c r="AO66" t="str">
        <f>IFERROR(4*STDEV('Fat Spreads'!P66:P85)/AVERAGE('Fat Spreads'!P66:P85),"")</f>
        <v/>
      </c>
      <c r="AP66">
        <v>53.709099999999999</v>
      </c>
      <c r="AQ66">
        <f>IFERROR(SQRT((SUMSQ('Fat Spreads'!P66:P85)-2*SUMPRODUCT('Fat Spreads'!P66:P85,'Fat Spreads'!P67:P86)+SUMSQ('Fat Spreads'!P67:P86)-('Fat Spreads'!P66-'Fat Spreads'!P86)^2/20)/19),"")</f>
        <v>0</v>
      </c>
      <c r="AS66">
        <f>IFERROR('Fat Spreads'!AJ66,"")</f>
        <v>0</v>
      </c>
      <c r="AT66">
        <f>IFERROR(('Fat Spreads'!AK66-AVERAGE('Fat Spreads'!$AK$3:$AK$4308))/STDEV('Fat Spreads'!$AK$3:$AK$4308),"")</f>
        <v>-9.2057461789832332E-2</v>
      </c>
      <c r="AU66">
        <f>IFERROR('Fat Spreads'!AK66-'Fat Spreads'!AK71,"")</f>
        <v>0</v>
      </c>
      <c r="AV66">
        <f>IFERROR('Fat Spreads'!AK66-'Fat Spreads'!AK76,"")</f>
        <v>0</v>
      </c>
      <c r="AW66">
        <f>IFERROR(AVERAGE('Fat Spreads'!AK66:AK85)+2*STDEV('Fat Spreads'!AK66:AK85),"")</f>
        <v>0</v>
      </c>
      <c r="AX66">
        <f>IFERROR(AVERAGE('Fat Spreads'!AK66:AK85)-2*STDEV('Fat Spreads'!AK66:AK85),"")</f>
        <v>0</v>
      </c>
      <c r="AY66" t="str">
        <f>IFERROR(('Fat Spreads'!AK66-(AVERAGE('Fat Spreads'!AK66:AK85)-2*STDEV('Fat Spreads'!AK66:AK85)))/(4*STDEV('Fat Spreads'!AK66:AK85)),"")</f>
        <v/>
      </c>
      <c r="AZ66" t="str">
        <f>IFERROR(4*STDEV('Fat Spreads'!AK66:AK85)/AVERAGE('Fat Spreads'!AK66:AK85),"")</f>
        <v/>
      </c>
      <c r="BA66">
        <v>50.134399999999999</v>
      </c>
      <c r="BB66">
        <f>IFERROR(SQRT((SUMSQ('Fat Spreads'!AK66:AK85)-2*SUMPRODUCT('Fat Spreads'!AK66:AK85,'Fat Spreads'!AK67:AK86)+SUMSQ('Fat Spreads'!AK67:AK86)-('Fat Spreads'!AK66-'Fat Spreads'!AK86)^2/20)/19),"")</f>
        <v>0</v>
      </c>
      <c r="BD66">
        <f>IFERROR('Fat Spreads'!V66,"")</f>
        <v>0</v>
      </c>
      <c r="BE66">
        <f>IFERROR(('Fat Spreads'!W66-AVERAGE('Fat Spreads'!$W$3:$W$4308))/STDEV('Fat Spreads'!$W$3:$W$4308),"")</f>
        <v>-9.2057461789832332E-2</v>
      </c>
      <c r="BF66">
        <f>IFERROR('Fat Spreads'!W66-'Fat Spreads'!W71,"")</f>
        <v>0</v>
      </c>
      <c r="BG66">
        <f>IFERROR('Fat Spreads'!W66-'Fat Spreads'!W76,"")</f>
        <v>0</v>
      </c>
      <c r="BH66">
        <f>IFERROR(AVERAGE('Fat Spreads'!W66:W85)+2*STDEV('Fat Spreads'!W66:W85),"")</f>
        <v>0</v>
      </c>
      <c r="BI66">
        <f>IFERROR(AVERAGE('Fat Spreads'!W66:W85)-2*STDEV('Fat Spreads'!W66:W85),"")</f>
        <v>0</v>
      </c>
      <c r="BJ66" t="str">
        <f>IFERROR(('Fat Spreads'!W66-(AVERAGE('Fat Spreads'!W66:W85)-2*STDEV('Fat Spreads'!W66:W85)))/(4*STDEV('Fat Spreads'!W66:W85)),"")</f>
        <v/>
      </c>
      <c r="BK66" t="str">
        <f>IFERROR(4*STDEV('Fat Spreads'!W66:W85)/AVERAGE('Fat Spreads'!W66:W85),"")</f>
        <v/>
      </c>
      <c r="BL66">
        <v>69.105999999999995</v>
      </c>
      <c r="BM66">
        <f>IFERROR(SQRT((SUMSQ('Fat Spreads'!W66:W85)-2*SUMPRODUCT('Fat Spreads'!W66:W85,'Fat Spreads'!W67:W86)+SUMSQ('Fat Spreads'!W67:W86)-('Fat Spreads'!W66-'Fat Spreads'!W86)^2/20)/19),"")</f>
        <v>0</v>
      </c>
      <c r="BO66">
        <f>IFERROR('Fat Spreads'!AC66,"")</f>
        <v>0</v>
      </c>
      <c r="BP66">
        <f>IFERROR(('Fat Spreads'!AD66-AVERAGE('Fat Spreads'!$AD$3:$AD$4308))/STDEV('Fat Spreads'!$AD$3:$AD$4308),"")</f>
        <v>-9.2057461789832332E-2</v>
      </c>
      <c r="BQ66">
        <f>IFERROR('Fat Spreads'!AD66-'Fat Spreads'!AD71,"")</f>
        <v>0</v>
      </c>
      <c r="BR66">
        <f>IFERROR('Fat Spreads'!AD66-'Fat Spreads'!AD76,"")</f>
        <v>0</v>
      </c>
      <c r="BS66">
        <f>IFERROR(AVERAGE('Fat Spreads'!AD66:AD85)+2*STDEV('Fat Spreads'!AD66:AD85),"")</f>
        <v>0</v>
      </c>
      <c r="BT66">
        <f>IFERROR(AVERAGE('Fat Spreads'!AD66:AD85)-2*STDEV('Fat Spreads'!AD66:AD85),"")</f>
        <v>0</v>
      </c>
      <c r="BU66" t="str">
        <f>IFERROR(('Fat Spreads'!AD66-(AVERAGE('Fat Spreads'!AD66:AD85)-2*STDEV('Fat Spreads'!AD66:AD85)))/(4*STDEV('Fat Spreads'!AD66:AD85)),"")</f>
        <v/>
      </c>
      <c r="BV66" t="str">
        <f>IFERROR(4*STDEV('Fat Spreads'!AD66:AD85)/AVERAGE('Fat Spreads'!AD66:AD85),"")</f>
        <v/>
      </c>
      <c r="BW66">
        <v>40.5944</v>
      </c>
      <c r="BX66">
        <f>IFERROR(SQRT((SUMSQ('Fat Spreads'!AD66:AD85)-2*SUMPRODUCT('Fat Spreads'!AD66:AD85,'Fat Spreads'!AD67:AD86)+SUMSQ('Fat Spreads'!AD67:AD86)-('Fat Spreads'!AD66-'Fat Spreads'!AD86)^2/20)/19),"")</f>
        <v>0</v>
      </c>
      <c r="BZ66">
        <f>IFERROR('Feeder Spreads'!A66,"")</f>
        <v>0</v>
      </c>
      <c r="CA66">
        <f>IFERROR(('Feeder Spreads'!B66-AVERAGE('Feeder Spreads'!$B$3:$B$4308))/STDEV('Feeder Spreads'!$B$3:$B$4308),"")</f>
        <v>-9.2057461789832346E-2</v>
      </c>
      <c r="CB66">
        <f>IFERROR('Feeder Spreads'!B66-'Feeder Spreads'!B71,"")</f>
        <v>0</v>
      </c>
      <c r="CC66">
        <f>IFERROR('Feeder Spreads'!B66-'Feeder Spreads'!B76,"")</f>
        <v>0</v>
      </c>
      <c r="CD66">
        <f>IFERROR(AVERAGE('Feeder Spreads'!B66:B85)+2*STDEV('Feeder Spreads'!B66:B85),"")</f>
        <v>0</v>
      </c>
      <c r="CE66">
        <f>IFERROR(AVERAGE('Feeder Spreads'!B66:B85)-2*STDEV('Feeder Spreads'!B66:B85),"")</f>
        <v>0</v>
      </c>
      <c r="CF66" t="str">
        <f>IFERROR(('Feeder Spreads'!B66-(AVERAGE('Feeder Spreads'!B66:B85)-2*STDEV('Feeder Spreads'!B66:B85)))/(4*STDEV('Feeder Spreads'!B66:B85)),"")</f>
        <v/>
      </c>
      <c r="CG66" t="str">
        <f>IFERROR(4*STDEV('Feeder Spreads'!B66:B85)/AVERAGE('Feeder Spreads'!B66:B85),"")</f>
        <v/>
      </c>
      <c r="CH66">
        <v>36.162399999999998</v>
      </c>
      <c r="CI66">
        <f>IFERROR(SQRT((SUMSQ('Feeder Spreads'!B66:B85)-2*SUMPRODUCT('Feeder Spreads'!B66:B85,'Feeder Spreads'!B67:B86)+SUMSQ('Feeder Spreads'!B67:B86)-('Feeder Spreads'!B66-'Feeder Spreads'!B86)^2/20)/19),"")</f>
        <v>0</v>
      </c>
      <c r="CK66">
        <f>IFERROR('Feeder Spreads'!AX66,"")</f>
        <v>0</v>
      </c>
      <c r="CL66">
        <f>IFERROR(('Feeder Spreads'!AY66-AVERAGE('Feeder Spreads'!$AY$3:$AY$4308))/STDEV('Feeder Spreads'!$AY$3:$AY$4308),"")</f>
        <v>-9.2057461789832346E-2</v>
      </c>
      <c r="CM66">
        <f>IFERROR('Feeder Spreads'!AY66-'Feeder Spreads'!AY71,"")</f>
        <v>0</v>
      </c>
      <c r="CN66">
        <f>IFERROR('Feeder Spreads'!AY66-'Feeder Spreads'!AY76,"")</f>
        <v>0</v>
      </c>
      <c r="CO66">
        <f>IFERROR(AVERAGE('Feeder Spreads'!AY66:AY85)+2*STDEV('Feeder Spreads'!AY66:AY85),"")</f>
        <v>0</v>
      </c>
      <c r="CP66">
        <f>IFERROR(AVERAGE('Feeder Spreads'!AY66:AY85)-2*STDEV('Feeder Spreads'!AY66:AY85),"")</f>
        <v>0</v>
      </c>
      <c r="CQ66" t="str">
        <f>IFERROR(('Feeder Spreads'!AY66-(AVERAGE('Feeder Spreads'!AY66:AY85)-2*STDEV('Feeder Spreads'!AY66:AY85)))/(4*STDEV('Feeder Spreads'!AY66:AY85)),"")</f>
        <v/>
      </c>
      <c r="CR66" t="str">
        <f>IFERROR(4*STDEV('Feeder Spreads'!AY66:AY85)/AVERAGE('Feeder Spreads'!AY66:AY85),"")</f>
        <v/>
      </c>
      <c r="CS66">
        <v>82.558899999999994</v>
      </c>
      <c r="CT66">
        <f>IFERROR(SQRT((SUMSQ('Feeder Spreads'!AY66:AY85)-2*SUMPRODUCT('Feeder Spreads'!AY66:AY85,'Feeder Spreads'!AY67:AY86)+SUMSQ('Feeder Spreads'!AY67:AY86)-('Feeder Spreads'!AY66-'Feeder Spreads'!AY86)^2/20)/19),"")</f>
        <v>0</v>
      </c>
      <c r="CV66">
        <f>IFERROR('Feeder Spreads'!H66,"")</f>
        <v>0</v>
      </c>
      <c r="CW66">
        <f>IFERROR(('Feeder Spreads'!I66-AVERAGE('Feeder Spreads'!$I$3:$I$4308))/STDEV('Feeder Spreads'!$I$3:$I$4308),"")</f>
        <v>-9.2057461789832332E-2</v>
      </c>
      <c r="CX66">
        <f>IFERROR('Feeder Spreads'!I66-'Feeder Spreads'!I71,"")</f>
        <v>0</v>
      </c>
      <c r="CY66">
        <f>IFERROR('Feeder Spreads'!I66-'Feeder Spreads'!I76,"")</f>
        <v>0</v>
      </c>
      <c r="CZ66">
        <f>IFERROR(AVERAGE('Feeder Spreads'!I66:I85)+2*STDEV('Feeder Spreads'!I66:I85),"")</f>
        <v>0</v>
      </c>
      <c r="DA66">
        <f>IFERROR(AVERAGE('Feeder Spreads'!I66:I85)-2*STDEV('Feeder Spreads'!I66:I85),"")</f>
        <v>0</v>
      </c>
      <c r="DB66" t="str">
        <f>IFERROR(('Feeder Spreads'!I66-(AVERAGE('Feeder Spreads'!I66:I85)-2*STDEV('Feeder Spreads'!I66:I85)))/(4*STDEV('Feeder Spreads'!I66:I85)),"")</f>
        <v/>
      </c>
      <c r="DC66" t="str">
        <f>IFERROR(4*STDEV('Feeder Spreads'!I66:I85)/AVERAGE('Feeder Spreads'!I66:I85),"")</f>
        <v/>
      </c>
      <c r="DD66">
        <v>60.9405</v>
      </c>
      <c r="DE66">
        <f>IFERROR(SQRT((SUMSQ('Feeder Spreads'!I66:I85)-2*SUMPRODUCT('Feeder Spreads'!I66:I85,'Feeder Spreads'!I67:I86)+SUMSQ('Feeder Spreads'!I67:I86)-('Feeder Spreads'!I66-'Feeder Spreads'!I86)^2/20)/19),"")</f>
        <v>0</v>
      </c>
      <c r="DG66">
        <f>IFERROR('Feeder Spreads'!O66,"")</f>
        <v>0</v>
      </c>
      <c r="DH66">
        <f>IFERROR(('Feeder Spreads'!P66-AVERAGE('Feeder Spreads'!$P$3:$P$4308))/STDEV('Feeder Spreads'!$P$3:$P$4308),"")</f>
        <v>-9.2057461789832346E-2</v>
      </c>
      <c r="DI66">
        <f>IFERROR('Feeder Spreads'!P66-'Feeder Spreads'!P71,"")</f>
        <v>0</v>
      </c>
      <c r="DJ66">
        <f>IFERROR('Feeder Spreads'!P66-'Feeder Spreads'!P76,"")</f>
        <v>0</v>
      </c>
      <c r="DK66">
        <f>IFERROR(AVERAGE('Feeder Spreads'!P66:P85)+2*STDEV('Feeder Spreads'!P66:P85),"")</f>
        <v>0</v>
      </c>
      <c r="DL66">
        <f>IFERROR(AVERAGE('Feeder Spreads'!P66:P85)-2*STDEV('Feeder Spreads'!P66:P85),"")</f>
        <v>0</v>
      </c>
      <c r="DM66" t="str">
        <f>IFERROR(('Feeder Spreads'!P66-(AVERAGE('Feeder Spreads'!P66:P85)-2*STDEV('Feeder Spreads'!P66:P85)))/(4*STDEV('Feeder Spreads'!P66:P85)),"")</f>
        <v/>
      </c>
      <c r="DN66" t="str">
        <f>IFERROR(4*STDEV('Feeder Spreads'!P66:P85)/AVERAGE('Feeder Spreads'!P66:P85),"")</f>
        <v/>
      </c>
      <c r="DO66">
        <v>60.881799999999998</v>
      </c>
      <c r="DP66">
        <f>IFERROR(SQRT((SUMSQ('Feeder Spreads'!P66:P85)-2*SUMPRODUCT('Feeder Spreads'!P66:P85,'Feeder Spreads'!P67:P86)+SUMSQ('Feeder Spreads'!P67:P86)-('Feeder Spreads'!P66-'Feeder Spreads'!P86)^2/20)/19),"")</f>
        <v>0</v>
      </c>
      <c r="DR66">
        <f>IFERROR('Feeder Spreads'!V66,"")</f>
        <v>0</v>
      </c>
      <c r="DS66">
        <f>IFERROR(('Feeder Spreads'!W66-AVERAGE('Feeder Spreads'!$W$3:$W$4308))/STDEV('Feeder Spreads'!$W$3:$W$4308),"")</f>
        <v>-9.2057461789832332E-2</v>
      </c>
      <c r="DT66">
        <f>IFERROR('Feeder Spreads'!W66-'Feeder Spreads'!W71,"")</f>
        <v>0</v>
      </c>
      <c r="DU66">
        <f>IFERROR('Feeder Spreads'!W66-'Feeder Spreads'!W76,"")</f>
        <v>0</v>
      </c>
      <c r="DV66">
        <f>IFERROR(AVERAGE('Feeder Spreads'!W66:W85)+2*STDEV('Feeder Spreads'!W66:W85),"")</f>
        <v>0</v>
      </c>
      <c r="DW66">
        <f>IFERROR(AVERAGE('Feeder Spreads'!W66:W85)-2*STDEV('Feeder Spreads'!W66:W85),"")</f>
        <v>0</v>
      </c>
      <c r="DX66" t="str">
        <f>IFERROR(('Feeder Spreads'!W66-(AVERAGE('Feeder Spreads'!W66:W85)-2*STDEV('Feeder Spreads'!W66:W85)))/(4*STDEV('Feeder Spreads'!W66:W85)),"")</f>
        <v/>
      </c>
      <c r="DY66" t="str">
        <f>IFERROR(4*STDEV('Feeder Spreads'!W66:W85)/AVERAGE('Feeder Spreads'!W66:W85),"")</f>
        <v/>
      </c>
      <c r="DZ66">
        <v>67.465900000000005</v>
      </c>
      <c r="EA66">
        <f>IFERROR(SQRT((SUMSQ('Feeder Spreads'!W66:W85)-2*SUMPRODUCT('Feeder Spreads'!W66:W85,'Feeder Spreads'!W67:W86)+SUMSQ('Feeder Spreads'!W67:W86)-('Feeder Spreads'!W66-'Feeder Spreads'!W86)^2/20)/19),"")</f>
        <v>0</v>
      </c>
      <c r="EC66">
        <f>IFERROR('Feeder Spreads'!AC66,"")</f>
        <v>0</v>
      </c>
      <c r="ED66">
        <f>IFERROR(('Feeder Spreads'!AD66-AVERAGE('Feeder Spreads'!$AD$3:$AD$4308))/STDEV('Feeder Spreads'!$AD$3:$AD$4308),"")</f>
        <v>9.2057461789832318E-2</v>
      </c>
      <c r="EE66">
        <f>IFERROR('Feeder Spreads'!AD66-'Feeder Spreads'!AD71,"")</f>
        <v>0</v>
      </c>
      <c r="EF66">
        <f>IFERROR('Feeder Spreads'!AD66-'Feeder Spreads'!AD76,"")</f>
        <v>0</v>
      </c>
      <c r="EG66">
        <f>IFERROR(AVERAGE('Feeder Spreads'!AD66:AD85)+2*STDEV('Feeder Spreads'!AD66:AD85),"")</f>
        <v>0</v>
      </c>
      <c r="EH66">
        <f>IFERROR(AVERAGE('Feeder Spreads'!AD66:AD85)-2*STDEV('Feeder Spreads'!AD66:AD85),"")</f>
        <v>0</v>
      </c>
      <c r="EI66" t="str">
        <f>IFERROR(('Feeder Spreads'!AD66-(AVERAGE('Feeder Spreads'!AD66:AD85)-2*STDEV('Feeder Spreads'!AD66:AD85)))/(4*STDEV('Feeder Spreads'!AD66:AD85)),"")</f>
        <v/>
      </c>
      <c r="EJ66" t="str">
        <f>IFERROR(4*STDEV('Feeder Spreads'!AD66:AD85)/AVERAGE('Feeder Spreads'!AD66:AD85),"")</f>
        <v/>
      </c>
      <c r="EK66">
        <v>49.9133</v>
      </c>
      <c r="EL66">
        <f>IFERROR(SQRT((SUMSQ('Feeder Spreads'!AD66:AD85)-2*SUMPRODUCT('Feeder Spreads'!AD66:AD85,'Feeder Spreads'!AD67:AD86)+SUMSQ('Feeder Spreads'!AD67:AD86)-('Feeder Spreads'!AD66-'Feeder Spreads'!AD86)^2/20)/19),"")</f>
        <v>0</v>
      </c>
      <c r="EN66">
        <f>IFERROR('Feeder Spreads'!AJ66,"")</f>
        <v>0</v>
      </c>
      <c r="EO66">
        <f>IFERROR(('Feeder Spreads'!AK66-AVERAGE('Feeder Spreads'!$AK$3:$AK$4308))/STDEV('Feeder Spreads'!$AK$3:$AK$4308),"")</f>
        <v>-9.2057461789832346E-2</v>
      </c>
      <c r="EP66">
        <f>IFERROR('Feeder Spreads'!AK66-'Feeder Spreads'!AK71,"")</f>
        <v>0</v>
      </c>
      <c r="EQ66">
        <f>IFERROR('Feeder Spreads'!AK66-'Feeder Spreads'!AK76,"")</f>
        <v>0</v>
      </c>
      <c r="ER66">
        <f>IFERROR(AVERAGE('Feeder Spreads'!AK66:AK85)+2*STDEV('Feeder Spreads'!AK66:AK85),"")</f>
        <v>0</v>
      </c>
      <c r="ES66">
        <f>IFERROR(AVERAGE('Feeder Spreads'!AK66:AK85)-2*STDEV('Feeder Spreads'!AK66:AK85),"")</f>
        <v>0</v>
      </c>
      <c r="ET66" t="str">
        <f>IFERROR(('Feeder Spreads'!AK66-(AVERAGE('Feeder Spreads'!AK66:AK85)-2*STDEV('Feeder Spreads'!AK66:AK85)))/(4*STDEV('Feeder Spreads'!AK66:AK85)),"")</f>
        <v/>
      </c>
      <c r="EU66" t="str">
        <f>IFERROR(4*STDEV('Feeder Spreads'!AK66:AK85)/AVERAGE('Feeder Spreads'!AK66:AK85),"")</f>
        <v/>
      </c>
      <c r="EV66">
        <v>53.666800000000002</v>
      </c>
      <c r="EW66">
        <f>IFERROR(SQRT((SUMSQ('Feeder Spreads'!AK66:AK85)-2*SUMPRODUCT('Feeder Spreads'!AK66:AK85,'Feeder Spreads'!AK67:AK86)+SUMSQ('Feeder Spreads'!AK67:AK86)-('Feeder Spreads'!AK66-'Feeder Spreads'!AK86)^2/20)/19),"")</f>
        <v>0</v>
      </c>
      <c r="EY66">
        <f>IFERROR('Feeder Spreads'!AQ66,"")</f>
        <v>0</v>
      </c>
      <c r="EZ66">
        <f>IFERROR(('Feeder Spreads'!AR66-AVERAGE('Feeder Spreads'!$AR$3:$AR$4308))/STDEV('Feeder Spreads'!$AR$3:$AR$4308),"")</f>
        <v>-9.2057461789832332E-2</v>
      </c>
      <c r="FA66">
        <f>IFERROR('Feeder Spreads'!AR66-'Feeder Spreads'!AR71,"")</f>
        <v>0</v>
      </c>
      <c r="FB66">
        <f>IFERROR('Feeder Spreads'!AR66-'Feeder Spreads'!AR76,"")</f>
        <v>0</v>
      </c>
      <c r="FC66">
        <f>IFERROR(AVERAGE('Feeder Spreads'!AR66:AR85)+2*STDEV('Feeder Spreads'!AR66:AR85),"")</f>
        <v>0</v>
      </c>
      <c r="FD66">
        <f>IFERROR(AVERAGE('Feeder Spreads'!AR66:AR85)-2*STDEV('Feeder Spreads'!AR66:AR85),"")</f>
        <v>0</v>
      </c>
      <c r="FE66" t="str">
        <f>IFERROR(('Feeder Spreads'!AR66-(AVERAGE('Feeder Spreads'!AR66:AR85)-2*STDEV('Feeder Spreads'!AR66:AR85)))/(4*STDEV('Feeder Spreads'!AR66:AR85)),"")</f>
        <v/>
      </c>
      <c r="FF66" t="str">
        <f>IFERROR(4*STDEV('Feeder Spreads'!AR66:AR85)/AVERAGE('Feeder Spreads'!AR66:AR85),"")</f>
        <v/>
      </c>
      <c r="FG66">
        <v>54.0124</v>
      </c>
      <c r="FH66">
        <f>IFERROR(SQRT((SUMSQ('Feeder Spreads'!AR66:AR85)-2*SUMPRODUCT('Feeder Spreads'!AR66:AR85,'Feeder Spreads'!AR67:AR86)+SUMSQ('Feeder Spreads'!AR67:AR86)-('Feeder Spreads'!AR66-'Feeder Spreads'!AR86)^2/20)/19),"")</f>
        <v>0</v>
      </c>
      <c r="FJ66">
        <f>IFERROR('Fat Spreads'!AX66,"")</f>
        <v>0</v>
      </c>
      <c r="FK66">
        <f>IFERROR(('Fat Spreads'!AY66-AVERAGE('Fat Spreads'!$AY$3:$AY$4308))/STDEV('Fat Spreads'!$AY$3:$AY$4308),"")</f>
        <v>9.2057461789832332E-2</v>
      </c>
      <c r="FL66">
        <f>IFERROR('Fat Spreads'!AY66-'Fat Spreads'!AY71,"")</f>
        <v>0</v>
      </c>
      <c r="FM66">
        <f>IFERROR('Fat Spreads'!AY66-'Fat Spreads'!AY76,"")</f>
        <v>0</v>
      </c>
      <c r="FN66">
        <f>IFERROR(AVERAGE('Fat Spreads'!AY66:AY85)+2*STDEV('Fat Spreads'!AY66:AY85),"")</f>
        <v>0</v>
      </c>
      <c r="FO66">
        <f>IFERROR(AVERAGE('Fat Spreads'!AY66:AY85)-2*STDEV('Fat Spreads'!AY66:AY85),"")</f>
        <v>0</v>
      </c>
      <c r="FP66" t="str">
        <f>IFERROR(('Fat Spreads'!AY66-(AVERAGE('Fat Spreads'!AY66:AY85)-2*STDEV('Fat Spreads'!AY66:AY85)))/(4*STDEV('Fat Spreads'!AY66:AY85)),"")</f>
        <v/>
      </c>
      <c r="FQ66" t="str">
        <f>IFERROR(4*STDEV('Fat Spreads'!AY66:AY85)/AVERAGE('Fat Spreads'!AY66:AY85),"")</f>
        <v/>
      </c>
      <c r="FR66">
        <v>50.710099999999997</v>
      </c>
      <c r="FS66">
        <f>IFERROR(SQRT((SUMSQ('Fat Spreads'!AY66:AY85)-2*SUMPRODUCT('Fat Spreads'!AY66:AY85,'Fat Spreads'!AY67:AY86)+SUMSQ('Fat Spreads'!AY67:AY86)-('Fat Spreads'!AY66-'Fat Spreads'!AY86)^2/20)/19),"")</f>
        <v>0</v>
      </c>
      <c r="FU66">
        <f>IFERROR('Fat Spreads'!BE66,"")</f>
        <v>0</v>
      </c>
      <c r="FV66">
        <f>IFERROR(('Fat Spreads'!BF66-AVERAGE('Fat Spreads'!$BF$3:$BF$4308))/STDEV('Fat Spreads'!$BF$3:$BF$4308),"")</f>
        <v>9.2057461789832332E-2</v>
      </c>
      <c r="FW66">
        <f>IFERROR('Fat Spreads'!BF66-'Fat Spreads'!BF71,"")</f>
        <v>0</v>
      </c>
      <c r="FX66">
        <f>IFERROR('Fat Spreads'!BF66-'Fat Spreads'!BF76,"")</f>
        <v>0</v>
      </c>
      <c r="FY66">
        <f>IFERROR(AVERAGE('Fat Spreads'!BF66:BF85)+2*STDEV('Fat Spreads'!BF66:BF85),"")</f>
        <v>0</v>
      </c>
      <c r="FZ66">
        <f>IFERROR(AVERAGE('Fat Spreads'!BF66:BF85)-2*STDEV('Fat Spreads'!BF66:BF85),"")</f>
        <v>0</v>
      </c>
      <c r="GA66" t="str">
        <f>IFERROR(('Fat Spreads'!BF66-(AVERAGE('Fat Spreads'!BF66:BF85)-2*STDEV('Fat Spreads'!BF66:BF85)))/(4*STDEV('Fat Spreads'!BF66:BF85)),"")</f>
        <v/>
      </c>
      <c r="GB66" t="str">
        <f>IFERROR(4*STDEV('Fat Spreads'!BF66:BF85)/AVERAGE('Fat Spreads'!BF66:BF85),"")</f>
        <v/>
      </c>
      <c r="GC66">
        <v>51.203000000000003</v>
      </c>
      <c r="GD66">
        <f>IFERROR(SQRT((SUMSQ('Fat Spreads'!BF66:BF85)-2*SUMPRODUCT('Fat Spreads'!BF66:BF85,'Fat Spreads'!BF67:BF86)+SUMSQ('Fat Spreads'!BF67:BF86)-('Fat Spreads'!BF66-'Fat Spreads'!BF86)^2/20)/19),"")</f>
        <v>0</v>
      </c>
    </row>
    <row r="67" spans="1:186" x14ac:dyDescent="0.25">
      <c r="A67">
        <f>IFERROR('Fat Spreads'!A67,"")</f>
        <v>0</v>
      </c>
      <c r="B67">
        <f>IFERROR(('Fat Spreads'!B67-AVERAGE('Fat Spreads'!$B$3:$B$4308))/STDEV('Fat Spreads'!$B$3:$B$4308),"")</f>
        <v>9.2057461789832346E-2</v>
      </c>
      <c r="C67">
        <f>IFERROR('Fat Spreads'!B67-'Fat Spreads'!B72,"")</f>
        <v>0</v>
      </c>
      <c r="D67">
        <f>IFERROR('Fat Spreads'!B67-'Fat Spreads'!B77,"")</f>
        <v>0</v>
      </c>
      <c r="E67">
        <f>IFERROR(AVERAGE('Fat Spreads'!B67:B86)+2*STDEV('Fat Spreads'!B67:B86),"")</f>
        <v>0</v>
      </c>
      <c r="F67">
        <f>IFERROR(AVERAGE('Fat Spreads'!B67:B86)-2*STDEV('Fat Spreads'!B67:B86),"")</f>
        <v>0</v>
      </c>
      <c r="G67" t="str">
        <f>IFERROR(('Fat Spreads'!B67-(AVERAGE('Fat Spreads'!B67:B86)-2*STDEV('Fat Spreads'!B67:B86)))/(4*STDEV('Fat Spreads'!B67:B86)),"")</f>
        <v/>
      </c>
      <c r="H67" t="str">
        <f>IFERROR(4*STDEV('Fat Spreads'!B67:B86)/AVERAGE('Fat Spreads'!B67:B86),"")</f>
        <v/>
      </c>
      <c r="I67">
        <v>54.905900000000003</v>
      </c>
      <c r="J67">
        <f>IFERROR(SQRT((SUMSQ('Fat Spreads'!B67:B86)-2*SUMPRODUCT('Fat Spreads'!B67:B86,'Fat Spreads'!B68:B87)+SUMSQ('Fat Spreads'!B68:B87)-('Fat Spreads'!B67-'Fat Spreads'!B87)^2/20)/19),"")</f>
        <v>0</v>
      </c>
      <c r="L67">
        <f>IFERROR('Fat Spreads'!H67,"")</f>
        <v>0</v>
      </c>
      <c r="M67">
        <f>IFERROR(('Fat Spreads'!I67-AVERAGE('Fat Spreads'!$I$3:$I$4308))/STDEV('Fat Spreads'!$I$3:$I$4308),"")</f>
        <v>-9.2057461789832332E-2</v>
      </c>
      <c r="N67">
        <f>IFERROR('Fat Spreads'!I67-'Fat Spreads'!I72,"")</f>
        <v>0</v>
      </c>
      <c r="O67">
        <f>IFERROR('Fat Spreads'!I67-'Fat Spreads'!I77,"")</f>
        <v>0</v>
      </c>
      <c r="P67">
        <f>IFERROR(AVERAGE('Fat Spreads'!I67:I86)+2*STDEV('Fat Spreads'!I67:I86),"")</f>
        <v>0</v>
      </c>
      <c r="Q67">
        <f>IFERROR(AVERAGE('Fat Spreads'!I67:I86)-2*STDEV('Fat Spreads'!I67:I86),"")</f>
        <v>0</v>
      </c>
      <c r="R67" t="str">
        <f>IFERROR(('Fat Spreads'!I67-(AVERAGE('Fat Spreads'!I67:I86)-2*STDEV('Fat Spreads'!I67:I86)))/(4*STDEV('Fat Spreads'!I67:I86)),"")</f>
        <v/>
      </c>
      <c r="S67" t="str">
        <f>IFERROR(4*STDEV('Fat Spreads'!I67:I86)/AVERAGE('Fat Spreads'!I67:I86),"")</f>
        <v/>
      </c>
      <c r="T67">
        <v>48.976500000000001</v>
      </c>
      <c r="U67">
        <f>IFERROR(SQRT((SUMSQ('Fat Spreads'!I67:I86)-2*SUMPRODUCT('Fat Spreads'!I67:I86,'Fat Spreads'!I68:I87)+SUMSQ('Fat Spreads'!I68:I87)-('Fat Spreads'!I67-'Fat Spreads'!I87)^2/20)/19),"")</f>
        <v>0</v>
      </c>
      <c r="W67">
        <f>IFERROR('Fat Spreads'!AQ67,"")</f>
        <v>0</v>
      </c>
      <c r="X67">
        <f>IFERROR(('Fat Spreads'!AR67-AVERAGE('Fat Spreads'!$AR$3:$AR$4308))/STDEV('Fat Spreads'!$AR$3:$AR$4308),"")</f>
        <v>-9.2057461789832346E-2</v>
      </c>
      <c r="Y67">
        <f>IFERROR('Fat Spreads'!AR67-'Fat Spreads'!AR72,"")</f>
        <v>0</v>
      </c>
      <c r="Z67">
        <f>IFERROR('Fat Spreads'!AR67-'Fat Spreads'!AR77,"")</f>
        <v>0</v>
      </c>
      <c r="AA67">
        <f>IFERROR(AVERAGE('Fat Spreads'!AR67:AR86)+2*STDEV('Fat Spreads'!AR67:AR86),"")</f>
        <v>0</v>
      </c>
      <c r="AB67">
        <f>IFERROR(AVERAGE('Fat Spreads'!AR67:AR86)-2*STDEV('Fat Spreads'!AR67:AR86),"")</f>
        <v>0</v>
      </c>
      <c r="AC67" t="str">
        <f>IFERROR(('Fat Spreads'!AR67-(AVERAGE('Fat Spreads'!AR67:AR86)-2*STDEV('Fat Spreads'!AR67:AR86)))/(4*STDEV('Fat Spreads'!AR67:AR86)),"")</f>
        <v/>
      </c>
      <c r="AD67" t="str">
        <f>IFERROR(4*STDEV('Fat Spreads'!AR67:AR86)/AVERAGE('Fat Spreads'!AR67:AR86),"")</f>
        <v/>
      </c>
      <c r="AE67">
        <v>66.846299999999999</v>
      </c>
      <c r="AF67">
        <f>IFERROR(SQRT((SUMSQ('Fat Spreads'!AR67:AR86)-2*SUMPRODUCT('Fat Spreads'!AR67:AR86,'Fat Spreads'!AR68:AR87)+SUMSQ('Fat Spreads'!AR68:AR87)-('Fat Spreads'!AR67-'Fat Spreads'!AR87)^2/20)/19),"")</f>
        <v>0</v>
      </c>
      <c r="AH67">
        <f>IFERROR('Fat Spreads'!O67,"")</f>
        <v>0</v>
      </c>
      <c r="AI67">
        <f>IFERROR(('Fat Spreads'!P67-AVERAGE('Fat Spreads'!$P$3:$P$4308))/STDEV('Fat Spreads'!$P$3:$P$4308),"")</f>
        <v>-9.2057461789832332E-2</v>
      </c>
      <c r="AJ67">
        <f>IFERROR('Fat Spreads'!P67-'Fat Spreads'!P72,"")</f>
        <v>0</v>
      </c>
      <c r="AK67">
        <f>IFERROR('Fat Spreads'!P67-'Fat Spreads'!P77,"")</f>
        <v>0</v>
      </c>
      <c r="AL67">
        <f>IFERROR(AVERAGE('Fat Spreads'!P67:P86)+2*STDEV('Fat Spreads'!P67:P86),"")</f>
        <v>0</v>
      </c>
      <c r="AM67">
        <f>IFERROR(AVERAGE('Fat Spreads'!P67:P86)-2*STDEV('Fat Spreads'!P67:P86),"")</f>
        <v>0</v>
      </c>
      <c r="AN67" t="str">
        <f>IFERROR(('Fat Spreads'!P67-(AVERAGE('Fat Spreads'!P67:P86)-2*STDEV('Fat Spreads'!P67:P86)))/(4*STDEV('Fat Spreads'!P67:P86)),"")</f>
        <v/>
      </c>
      <c r="AO67" t="str">
        <f>IFERROR(4*STDEV('Fat Spreads'!P67:P86)/AVERAGE('Fat Spreads'!P67:P86),"")</f>
        <v/>
      </c>
      <c r="AP67">
        <v>50.827199999999998</v>
      </c>
      <c r="AQ67">
        <f>IFERROR(SQRT((SUMSQ('Fat Spreads'!P67:P86)-2*SUMPRODUCT('Fat Spreads'!P67:P86,'Fat Spreads'!P68:P87)+SUMSQ('Fat Spreads'!P68:P87)-('Fat Spreads'!P67-'Fat Spreads'!P87)^2/20)/19),"")</f>
        <v>0</v>
      </c>
      <c r="AS67">
        <f>IFERROR('Fat Spreads'!AJ67,"")</f>
        <v>0</v>
      </c>
      <c r="AT67">
        <f>IFERROR(('Fat Spreads'!AK67-AVERAGE('Fat Spreads'!$AK$3:$AK$4308))/STDEV('Fat Spreads'!$AK$3:$AK$4308),"")</f>
        <v>-9.2057461789832332E-2</v>
      </c>
      <c r="AU67">
        <f>IFERROR('Fat Spreads'!AK67-'Fat Spreads'!AK72,"")</f>
        <v>0</v>
      </c>
      <c r="AV67">
        <f>IFERROR('Fat Spreads'!AK67-'Fat Spreads'!AK77,"")</f>
        <v>0</v>
      </c>
      <c r="AW67">
        <f>IFERROR(AVERAGE('Fat Spreads'!AK67:AK86)+2*STDEV('Fat Spreads'!AK67:AK86),"")</f>
        <v>0</v>
      </c>
      <c r="AX67">
        <f>IFERROR(AVERAGE('Fat Spreads'!AK67:AK86)-2*STDEV('Fat Spreads'!AK67:AK86),"")</f>
        <v>0</v>
      </c>
      <c r="AY67" t="str">
        <f>IFERROR(('Fat Spreads'!AK67-(AVERAGE('Fat Spreads'!AK67:AK86)-2*STDEV('Fat Spreads'!AK67:AK86)))/(4*STDEV('Fat Spreads'!AK67:AK86)),"")</f>
        <v/>
      </c>
      <c r="AZ67" t="str">
        <f>IFERROR(4*STDEV('Fat Spreads'!AK67:AK86)/AVERAGE('Fat Spreads'!AK67:AK86),"")</f>
        <v/>
      </c>
      <c r="BA67">
        <v>49.562399999999997</v>
      </c>
      <c r="BB67">
        <f>IFERROR(SQRT((SUMSQ('Fat Spreads'!AK67:AK86)-2*SUMPRODUCT('Fat Spreads'!AK67:AK86,'Fat Spreads'!AK68:AK87)+SUMSQ('Fat Spreads'!AK68:AK87)-('Fat Spreads'!AK67-'Fat Spreads'!AK87)^2/20)/19),"")</f>
        <v>0</v>
      </c>
      <c r="BD67">
        <f>IFERROR('Fat Spreads'!V67,"")</f>
        <v>0</v>
      </c>
      <c r="BE67">
        <f>IFERROR(('Fat Spreads'!W67-AVERAGE('Fat Spreads'!$W$3:$W$4308))/STDEV('Fat Spreads'!$W$3:$W$4308),"")</f>
        <v>-9.2057461789832332E-2</v>
      </c>
      <c r="BF67">
        <f>IFERROR('Fat Spreads'!W67-'Fat Spreads'!W72,"")</f>
        <v>0</v>
      </c>
      <c r="BG67">
        <f>IFERROR('Fat Spreads'!W67-'Fat Spreads'!W77,"")</f>
        <v>0</v>
      </c>
      <c r="BH67">
        <f>IFERROR(AVERAGE('Fat Spreads'!W67:W86)+2*STDEV('Fat Spreads'!W67:W86),"")</f>
        <v>0</v>
      </c>
      <c r="BI67">
        <f>IFERROR(AVERAGE('Fat Spreads'!W67:W86)-2*STDEV('Fat Spreads'!W67:W86),"")</f>
        <v>0</v>
      </c>
      <c r="BJ67" t="str">
        <f>IFERROR(('Fat Spreads'!W67-(AVERAGE('Fat Spreads'!W67:W86)-2*STDEV('Fat Spreads'!W67:W86)))/(4*STDEV('Fat Spreads'!W67:W86)),"")</f>
        <v/>
      </c>
      <c r="BK67" t="str">
        <f>IFERROR(4*STDEV('Fat Spreads'!W67:W86)/AVERAGE('Fat Spreads'!W67:W86),"")</f>
        <v/>
      </c>
      <c r="BL67">
        <v>69.836600000000004</v>
      </c>
      <c r="BM67">
        <f>IFERROR(SQRT((SUMSQ('Fat Spreads'!W67:W86)-2*SUMPRODUCT('Fat Spreads'!W67:W86,'Fat Spreads'!W68:W87)+SUMSQ('Fat Spreads'!W68:W87)-('Fat Spreads'!W67-'Fat Spreads'!W87)^2/20)/19),"")</f>
        <v>0</v>
      </c>
      <c r="BO67">
        <f>IFERROR('Fat Spreads'!AC67,"")</f>
        <v>0</v>
      </c>
      <c r="BP67">
        <f>IFERROR(('Fat Spreads'!AD67-AVERAGE('Fat Spreads'!$AD$3:$AD$4308))/STDEV('Fat Spreads'!$AD$3:$AD$4308),"")</f>
        <v>-9.2057461789832332E-2</v>
      </c>
      <c r="BQ67">
        <f>IFERROR('Fat Spreads'!AD67-'Fat Spreads'!AD72,"")</f>
        <v>0</v>
      </c>
      <c r="BR67">
        <f>IFERROR('Fat Spreads'!AD67-'Fat Spreads'!AD77,"")</f>
        <v>0</v>
      </c>
      <c r="BS67">
        <f>IFERROR(AVERAGE('Fat Spreads'!AD67:AD86)+2*STDEV('Fat Spreads'!AD67:AD86),"")</f>
        <v>0</v>
      </c>
      <c r="BT67">
        <f>IFERROR(AVERAGE('Fat Spreads'!AD67:AD86)-2*STDEV('Fat Spreads'!AD67:AD86),"")</f>
        <v>0</v>
      </c>
      <c r="BU67" t="str">
        <f>IFERROR(('Fat Spreads'!AD67-(AVERAGE('Fat Spreads'!AD67:AD86)-2*STDEV('Fat Spreads'!AD67:AD86)))/(4*STDEV('Fat Spreads'!AD67:AD86)),"")</f>
        <v/>
      </c>
      <c r="BV67" t="str">
        <f>IFERROR(4*STDEV('Fat Spreads'!AD67:AD86)/AVERAGE('Fat Spreads'!AD67:AD86),"")</f>
        <v/>
      </c>
      <c r="BW67">
        <v>40.331600000000002</v>
      </c>
      <c r="BX67">
        <f>IFERROR(SQRT((SUMSQ('Fat Spreads'!AD67:AD86)-2*SUMPRODUCT('Fat Spreads'!AD67:AD86,'Fat Spreads'!AD68:AD87)+SUMSQ('Fat Spreads'!AD68:AD87)-('Fat Spreads'!AD67-'Fat Spreads'!AD87)^2/20)/19),"")</f>
        <v>0</v>
      </c>
      <c r="BZ67">
        <f>IFERROR('Feeder Spreads'!A67,"")</f>
        <v>0</v>
      </c>
      <c r="CA67">
        <f>IFERROR(('Feeder Spreads'!B67-AVERAGE('Feeder Spreads'!$B$3:$B$4308))/STDEV('Feeder Spreads'!$B$3:$B$4308),"")</f>
        <v>-9.2057461789832346E-2</v>
      </c>
      <c r="CB67">
        <f>IFERROR('Feeder Spreads'!B67-'Feeder Spreads'!B72,"")</f>
        <v>0</v>
      </c>
      <c r="CC67">
        <f>IFERROR('Feeder Spreads'!B67-'Feeder Spreads'!B77,"")</f>
        <v>0</v>
      </c>
      <c r="CD67">
        <f>IFERROR(AVERAGE('Feeder Spreads'!B67:B86)+2*STDEV('Feeder Spreads'!B67:B86),"")</f>
        <v>0</v>
      </c>
      <c r="CE67">
        <f>IFERROR(AVERAGE('Feeder Spreads'!B67:B86)-2*STDEV('Feeder Spreads'!B67:B86),"")</f>
        <v>0</v>
      </c>
      <c r="CF67" t="str">
        <f>IFERROR(('Feeder Spreads'!B67-(AVERAGE('Feeder Spreads'!B67:B86)-2*STDEV('Feeder Spreads'!B67:B86)))/(4*STDEV('Feeder Spreads'!B67:B86)),"")</f>
        <v/>
      </c>
      <c r="CG67" t="str">
        <f>IFERROR(4*STDEV('Feeder Spreads'!B67:B86)/AVERAGE('Feeder Spreads'!B67:B86),"")</f>
        <v/>
      </c>
      <c r="CH67">
        <v>38.308999999999997</v>
      </c>
      <c r="CI67">
        <f>IFERROR(SQRT((SUMSQ('Feeder Spreads'!B67:B86)-2*SUMPRODUCT('Feeder Spreads'!B67:B86,'Feeder Spreads'!B68:B87)+SUMSQ('Feeder Spreads'!B68:B87)-('Feeder Spreads'!B67-'Feeder Spreads'!B87)^2/20)/19),"")</f>
        <v>0</v>
      </c>
      <c r="CK67">
        <f>IFERROR('Feeder Spreads'!AX67,"")</f>
        <v>0</v>
      </c>
      <c r="CL67">
        <f>IFERROR(('Feeder Spreads'!AY67-AVERAGE('Feeder Spreads'!$AY$3:$AY$4308))/STDEV('Feeder Spreads'!$AY$3:$AY$4308),"")</f>
        <v>-9.2057461789832346E-2</v>
      </c>
      <c r="CM67">
        <f>IFERROR('Feeder Spreads'!AY67-'Feeder Spreads'!AY72,"")</f>
        <v>0</v>
      </c>
      <c r="CN67">
        <f>IFERROR('Feeder Spreads'!AY67-'Feeder Spreads'!AY77,"")</f>
        <v>0</v>
      </c>
      <c r="CO67">
        <f>IFERROR(AVERAGE('Feeder Spreads'!AY67:AY86)+2*STDEV('Feeder Spreads'!AY67:AY86),"")</f>
        <v>0</v>
      </c>
      <c r="CP67">
        <f>IFERROR(AVERAGE('Feeder Spreads'!AY67:AY86)-2*STDEV('Feeder Spreads'!AY67:AY86),"")</f>
        <v>0</v>
      </c>
      <c r="CQ67" t="str">
        <f>IFERROR(('Feeder Spreads'!AY67-(AVERAGE('Feeder Spreads'!AY67:AY86)-2*STDEV('Feeder Spreads'!AY67:AY86)))/(4*STDEV('Feeder Spreads'!AY67:AY86)),"")</f>
        <v/>
      </c>
      <c r="CR67" t="str">
        <f>IFERROR(4*STDEV('Feeder Spreads'!AY67:AY86)/AVERAGE('Feeder Spreads'!AY67:AY86),"")</f>
        <v/>
      </c>
      <c r="CS67">
        <v>82.333100000000002</v>
      </c>
      <c r="CT67">
        <f>IFERROR(SQRT((SUMSQ('Feeder Spreads'!AY67:AY86)-2*SUMPRODUCT('Feeder Spreads'!AY67:AY86,'Feeder Spreads'!AY68:AY87)+SUMSQ('Feeder Spreads'!AY68:AY87)-('Feeder Spreads'!AY67-'Feeder Spreads'!AY87)^2/20)/19),"")</f>
        <v>0</v>
      </c>
      <c r="CV67">
        <f>IFERROR('Feeder Spreads'!H67,"")</f>
        <v>0</v>
      </c>
      <c r="CW67">
        <f>IFERROR(('Feeder Spreads'!I67-AVERAGE('Feeder Spreads'!$I$3:$I$4308))/STDEV('Feeder Spreads'!$I$3:$I$4308),"")</f>
        <v>-9.2057461789832332E-2</v>
      </c>
      <c r="CX67">
        <f>IFERROR('Feeder Spreads'!I67-'Feeder Spreads'!I72,"")</f>
        <v>0</v>
      </c>
      <c r="CY67">
        <f>IFERROR('Feeder Spreads'!I67-'Feeder Spreads'!I77,"")</f>
        <v>0</v>
      </c>
      <c r="CZ67">
        <f>IFERROR(AVERAGE('Feeder Spreads'!I67:I86)+2*STDEV('Feeder Spreads'!I67:I86),"")</f>
        <v>0</v>
      </c>
      <c r="DA67">
        <f>IFERROR(AVERAGE('Feeder Spreads'!I67:I86)-2*STDEV('Feeder Spreads'!I67:I86),"")</f>
        <v>0</v>
      </c>
      <c r="DB67" t="str">
        <f>IFERROR(('Feeder Spreads'!I67-(AVERAGE('Feeder Spreads'!I67:I86)-2*STDEV('Feeder Spreads'!I67:I86)))/(4*STDEV('Feeder Spreads'!I67:I86)),"")</f>
        <v/>
      </c>
      <c r="DC67" t="str">
        <f>IFERROR(4*STDEV('Feeder Spreads'!I67:I86)/AVERAGE('Feeder Spreads'!I67:I86),"")</f>
        <v/>
      </c>
      <c r="DD67">
        <v>64.329599999999999</v>
      </c>
      <c r="DE67">
        <f>IFERROR(SQRT((SUMSQ('Feeder Spreads'!I67:I86)-2*SUMPRODUCT('Feeder Spreads'!I67:I86,'Feeder Spreads'!I68:I87)+SUMSQ('Feeder Spreads'!I68:I87)-('Feeder Spreads'!I67-'Feeder Spreads'!I87)^2/20)/19),"")</f>
        <v>0</v>
      </c>
      <c r="DG67">
        <f>IFERROR('Feeder Spreads'!O67,"")</f>
        <v>0</v>
      </c>
      <c r="DH67">
        <f>IFERROR(('Feeder Spreads'!P67-AVERAGE('Feeder Spreads'!$P$3:$P$4308))/STDEV('Feeder Spreads'!$P$3:$P$4308),"")</f>
        <v>-9.2057461789832346E-2</v>
      </c>
      <c r="DI67">
        <f>IFERROR('Feeder Spreads'!P67-'Feeder Spreads'!P72,"")</f>
        <v>0</v>
      </c>
      <c r="DJ67">
        <f>IFERROR('Feeder Spreads'!P67-'Feeder Spreads'!P77,"")</f>
        <v>0</v>
      </c>
      <c r="DK67">
        <f>IFERROR(AVERAGE('Feeder Spreads'!P67:P86)+2*STDEV('Feeder Spreads'!P67:P86),"")</f>
        <v>0</v>
      </c>
      <c r="DL67">
        <f>IFERROR(AVERAGE('Feeder Spreads'!P67:P86)-2*STDEV('Feeder Spreads'!P67:P86),"")</f>
        <v>0</v>
      </c>
      <c r="DM67" t="str">
        <f>IFERROR(('Feeder Spreads'!P67-(AVERAGE('Feeder Spreads'!P67:P86)-2*STDEV('Feeder Spreads'!P67:P86)))/(4*STDEV('Feeder Spreads'!P67:P86)),"")</f>
        <v/>
      </c>
      <c r="DN67" t="str">
        <f>IFERROR(4*STDEV('Feeder Spreads'!P67:P86)/AVERAGE('Feeder Spreads'!P67:P86),"")</f>
        <v/>
      </c>
      <c r="DO67">
        <v>58.778500000000001</v>
      </c>
      <c r="DP67">
        <f>IFERROR(SQRT((SUMSQ('Feeder Spreads'!P67:P86)-2*SUMPRODUCT('Feeder Spreads'!P67:P86,'Feeder Spreads'!P68:P87)+SUMSQ('Feeder Spreads'!P68:P87)-('Feeder Spreads'!P67-'Feeder Spreads'!P87)^2/20)/19),"")</f>
        <v>0</v>
      </c>
      <c r="DR67">
        <f>IFERROR('Feeder Spreads'!V67,"")</f>
        <v>0</v>
      </c>
      <c r="DS67">
        <f>IFERROR(('Feeder Spreads'!W67-AVERAGE('Feeder Spreads'!$W$3:$W$4308))/STDEV('Feeder Spreads'!$W$3:$W$4308),"")</f>
        <v>-9.2057461789832332E-2</v>
      </c>
      <c r="DT67">
        <f>IFERROR('Feeder Spreads'!W67-'Feeder Spreads'!W72,"")</f>
        <v>0</v>
      </c>
      <c r="DU67">
        <f>IFERROR('Feeder Spreads'!W67-'Feeder Spreads'!W77,"")</f>
        <v>0</v>
      </c>
      <c r="DV67">
        <f>IFERROR(AVERAGE('Feeder Spreads'!W67:W86)+2*STDEV('Feeder Spreads'!W67:W86),"")</f>
        <v>0</v>
      </c>
      <c r="DW67">
        <f>IFERROR(AVERAGE('Feeder Spreads'!W67:W86)-2*STDEV('Feeder Spreads'!W67:W86),"")</f>
        <v>0</v>
      </c>
      <c r="DX67" t="str">
        <f>IFERROR(('Feeder Spreads'!W67-(AVERAGE('Feeder Spreads'!W67:W86)-2*STDEV('Feeder Spreads'!W67:W86)))/(4*STDEV('Feeder Spreads'!W67:W86)),"")</f>
        <v/>
      </c>
      <c r="DY67" t="str">
        <f>IFERROR(4*STDEV('Feeder Spreads'!W67:W86)/AVERAGE('Feeder Spreads'!W67:W86),"")</f>
        <v/>
      </c>
      <c r="DZ67">
        <v>64.604699999999994</v>
      </c>
      <c r="EA67">
        <f>IFERROR(SQRT((SUMSQ('Feeder Spreads'!W67:W86)-2*SUMPRODUCT('Feeder Spreads'!W67:W86,'Feeder Spreads'!W68:W87)+SUMSQ('Feeder Spreads'!W68:W87)-('Feeder Spreads'!W67-'Feeder Spreads'!W87)^2/20)/19),"")</f>
        <v>0</v>
      </c>
      <c r="EC67">
        <f>IFERROR('Feeder Spreads'!AC67,"")</f>
        <v>0</v>
      </c>
      <c r="ED67">
        <f>IFERROR(('Feeder Spreads'!AD67-AVERAGE('Feeder Spreads'!$AD$3:$AD$4308))/STDEV('Feeder Spreads'!$AD$3:$AD$4308),"")</f>
        <v>9.2057461789832318E-2</v>
      </c>
      <c r="EE67">
        <f>IFERROR('Feeder Spreads'!AD67-'Feeder Spreads'!AD72,"")</f>
        <v>0</v>
      </c>
      <c r="EF67">
        <f>IFERROR('Feeder Spreads'!AD67-'Feeder Spreads'!AD77,"")</f>
        <v>0</v>
      </c>
      <c r="EG67">
        <f>IFERROR(AVERAGE('Feeder Spreads'!AD67:AD86)+2*STDEV('Feeder Spreads'!AD67:AD86),"")</f>
        <v>0</v>
      </c>
      <c r="EH67">
        <f>IFERROR(AVERAGE('Feeder Spreads'!AD67:AD86)-2*STDEV('Feeder Spreads'!AD67:AD86),"")</f>
        <v>0</v>
      </c>
      <c r="EI67" t="str">
        <f>IFERROR(('Feeder Spreads'!AD67-(AVERAGE('Feeder Spreads'!AD67:AD86)-2*STDEV('Feeder Spreads'!AD67:AD86)))/(4*STDEV('Feeder Spreads'!AD67:AD86)),"")</f>
        <v/>
      </c>
      <c r="EJ67" t="str">
        <f>IFERROR(4*STDEV('Feeder Spreads'!AD67:AD86)/AVERAGE('Feeder Spreads'!AD67:AD86),"")</f>
        <v/>
      </c>
      <c r="EK67">
        <v>46.7605</v>
      </c>
      <c r="EL67">
        <f>IFERROR(SQRT((SUMSQ('Feeder Spreads'!AD67:AD86)-2*SUMPRODUCT('Feeder Spreads'!AD67:AD86,'Feeder Spreads'!AD68:AD87)+SUMSQ('Feeder Spreads'!AD68:AD87)-('Feeder Spreads'!AD67-'Feeder Spreads'!AD87)^2/20)/19),"")</f>
        <v>0</v>
      </c>
      <c r="EN67">
        <f>IFERROR('Feeder Spreads'!AJ67,"")</f>
        <v>0</v>
      </c>
      <c r="EO67">
        <f>IFERROR(('Feeder Spreads'!AK67-AVERAGE('Feeder Spreads'!$AK$3:$AK$4308))/STDEV('Feeder Spreads'!$AK$3:$AK$4308),"")</f>
        <v>-9.2057461789832346E-2</v>
      </c>
      <c r="EP67">
        <f>IFERROR('Feeder Spreads'!AK67-'Feeder Spreads'!AK72,"")</f>
        <v>0</v>
      </c>
      <c r="EQ67">
        <f>IFERROR('Feeder Spreads'!AK67-'Feeder Spreads'!AK77,"")</f>
        <v>0</v>
      </c>
      <c r="ER67">
        <f>IFERROR(AVERAGE('Feeder Spreads'!AK67:AK86)+2*STDEV('Feeder Spreads'!AK67:AK86),"")</f>
        <v>0</v>
      </c>
      <c r="ES67">
        <f>IFERROR(AVERAGE('Feeder Spreads'!AK67:AK86)-2*STDEV('Feeder Spreads'!AK67:AK86),"")</f>
        <v>0</v>
      </c>
      <c r="ET67" t="str">
        <f>IFERROR(('Feeder Spreads'!AK67-(AVERAGE('Feeder Spreads'!AK67:AK86)-2*STDEV('Feeder Spreads'!AK67:AK86)))/(4*STDEV('Feeder Spreads'!AK67:AK86)),"")</f>
        <v/>
      </c>
      <c r="EU67" t="str">
        <f>IFERROR(4*STDEV('Feeder Spreads'!AK67:AK86)/AVERAGE('Feeder Spreads'!AK67:AK86),"")</f>
        <v/>
      </c>
      <c r="EV67">
        <v>53.666800000000002</v>
      </c>
      <c r="EW67">
        <f>IFERROR(SQRT((SUMSQ('Feeder Spreads'!AK67:AK86)-2*SUMPRODUCT('Feeder Spreads'!AK67:AK86,'Feeder Spreads'!AK68:AK87)+SUMSQ('Feeder Spreads'!AK68:AK87)-('Feeder Spreads'!AK67-'Feeder Spreads'!AK87)^2/20)/19),"")</f>
        <v>0</v>
      </c>
      <c r="EY67">
        <f>IFERROR('Feeder Spreads'!AQ67,"")</f>
        <v>0</v>
      </c>
      <c r="EZ67">
        <f>IFERROR(('Feeder Spreads'!AR67-AVERAGE('Feeder Spreads'!$AR$3:$AR$4308))/STDEV('Feeder Spreads'!$AR$3:$AR$4308),"")</f>
        <v>-9.2057461789832332E-2</v>
      </c>
      <c r="FA67">
        <f>IFERROR('Feeder Spreads'!AR67-'Feeder Spreads'!AR72,"")</f>
        <v>0</v>
      </c>
      <c r="FB67">
        <f>IFERROR('Feeder Spreads'!AR67-'Feeder Spreads'!AR77,"")</f>
        <v>0</v>
      </c>
      <c r="FC67">
        <f>IFERROR(AVERAGE('Feeder Spreads'!AR67:AR86)+2*STDEV('Feeder Spreads'!AR67:AR86),"")</f>
        <v>0</v>
      </c>
      <c r="FD67">
        <f>IFERROR(AVERAGE('Feeder Spreads'!AR67:AR86)-2*STDEV('Feeder Spreads'!AR67:AR86),"")</f>
        <v>0</v>
      </c>
      <c r="FE67" t="str">
        <f>IFERROR(('Feeder Spreads'!AR67-(AVERAGE('Feeder Spreads'!AR67:AR86)-2*STDEV('Feeder Spreads'!AR67:AR86)))/(4*STDEV('Feeder Spreads'!AR67:AR86)),"")</f>
        <v/>
      </c>
      <c r="FF67" t="str">
        <f>IFERROR(4*STDEV('Feeder Spreads'!AR67:AR86)/AVERAGE('Feeder Spreads'!AR67:AR86),"")</f>
        <v/>
      </c>
      <c r="FG67">
        <v>54.0124</v>
      </c>
      <c r="FH67">
        <f>IFERROR(SQRT((SUMSQ('Feeder Spreads'!AR67:AR86)-2*SUMPRODUCT('Feeder Spreads'!AR67:AR86,'Feeder Spreads'!AR68:AR87)+SUMSQ('Feeder Spreads'!AR68:AR87)-('Feeder Spreads'!AR67-'Feeder Spreads'!AR87)^2/20)/19),"")</f>
        <v>0</v>
      </c>
      <c r="FJ67">
        <f>IFERROR('Fat Spreads'!AX67,"")</f>
        <v>0</v>
      </c>
      <c r="FK67">
        <f>IFERROR(('Fat Spreads'!AY67-AVERAGE('Fat Spreads'!$AY$3:$AY$4308))/STDEV('Fat Spreads'!$AY$3:$AY$4308),"")</f>
        <v>9.2057461789832332E-2</v>
      </c>
      <c r="FL67">
        <f>IFERROR('Fat Spreads'!AY67-'Fat Spreads'!AY72,"")</f>
        <v>0</v>
      </c>
      <c r="FM67">
        <f>IFERROR('Fat Spreads'!AY67-'Fat Spreads'!AY77,"")</f>
        <v>0</v>
      </c>
      <c r="FN67">
        <f>IFERROR(AVERAGE('Fat Spreads'!AY67:AY86)+2*STDEV('Fat Spreads'!AY67:AY86),"")</f>
        <v>0</v>
      </c>
      <c r="FO67">
        <f>IFERROR(AVERAGE('Fat Spreads'!AY67:AY86)-2*STDEV('Fat Spreads'!AY67:AY86),"")</f>
        <v>0</v>
      </c>
      <c r="FP67" t="str">
        <f>IFERROR(('Fat Spreads'!AY67-(AVERAGE('Fat Spreads'!AY67:AY86)-2*STDEV('Fat Spreads'!AY67:AY86)))/(4*STDEV('Fat Spreads'!AY67:AY86)),"")</f>
        <v/>
      </c>
      <c r="FQ67" t="str">
        <f>IFERROR(4*STDEV('Fat Spreads'!AY67:AY86)/AVERAGE('Fat Spreads'!AY67:AY86),"")</f>
        <v/>
      </c>
      <c r="FR67">
        <v>52.435000000000002</v>
      </c>
      <c r="FS67">
        <f>IFERROR(SQRT((SUMSQ('Fat Spreads'!AY67:AY86)-2*SUMPRODUCT('Fat Spreads'!AY67:AY86,'Fat Spreads'!AY68:AY87)+SUMSQ('Fat Spreads'!AY68:AY87)-('Fat Spreads'!AY67-'Fat Spreads'!AY87)^2/20)/19),"")</f>
        <v>0</v>
      </c>
      <c r="FU67">
        <f>IFERROR('Fat Spreads'!BE67,"")</f>
        <v>0</v>
      </c>
      <c r="FV67">
        <f>IFERROR(('Fat Spreads'!BF67-AVERAGE('Fat Spreads'!$BF$3:$BF$4308))/STDEV('Fat Spreads'!$BF$3:$BF$4308),"")</f>
        <v>9.2057461789832332E-2</v>
      </c>
      <c r="FW67">
        <f>IFERROR('Fat Spreads'!BF67-'Fat Spreads'!BF72,"")</f>
        <v>0</v>
      </c>
      <c r="FX67">
        <f>IFERROR('Fat Spreads'!BF67-'Fat Spreads'!BF77,"")</f>
        <v>0</v>
      </c>
      <c r="FY67">
        <f>IFERROR(AVERAGE('Fat Spreads'!BF67:BF86)+2*STDEV('Fat Spreads'!BF67:BF86),"")</f>
        <v>0</v>
      </c>
      <c r="FZ67">
        <f>IFERROR(AVERAGE('Fat Spreads'!BF67:BF86)-2*STDEV('Fat Spreads'!BF67:BF86),"")</f>
        <v>0</v>
      </c>
      <c r="GA67" t="str">
        <f>IFERROR(('Fat Spreads'!BF67-(AVERAGE('Fat Spreads'!BF67:BF86)-2*STDEV('Fat Spreads'!BF67:BF86)))/(4*STDEV('Fat Spreads'!BF67:BF86)),"")</f>
        <v/>
      </c>
      <c r="GB67" t="str">
        <f>IFERROR(4*STDEV('Fat Spreads'!BF67:BF86)/AVERAGE('Fat Spreads'!BF67:BF86),"")</f>
        <v/>
      </c>
      <c r="GC67">
        <v>52.802799999999998</v>
      </c>
      <c r="GD67">
        <f>IFERROR(SQRT((SUMSQ('Fat Spreads'!BF67:BF86)-2*SUMPRODUCT('Fat Spreads'!BF67:BF86,'Fat Spreads'!BF68:BF87)+SUMSQ('Fat Spreads'!BF68:BF87)-('Fat Spreads'!BF67-'Fat Spreads'!BF87)^2/20)/19),"")</f>
        <v>0</v>
      </c>
    </row>
    <row r="68" spans="1:186" x14ac:dyDescent="0.25">
      <c r="A68">
        <f>IFERROR('Fat Spreads'!A68,"")</f>
        <v>0</v>
      </c>
      <c r="B68">
        <f>IFERROR(('Fat Spreads'!B68-AVERAGE('Fat Spreads'!$B$3:$B$4308))/STDEV('Fat Spreads'!$B$3:$B$4308),"")</f>
        <v>9.2057461789832346E-2</v>
      </c>
      <c r="C68">
        <f>IFERROR('Fat Spreads'!B68-'Fat Spreads'!B73,"")</f>
        <v>0</v>
      </c>
      <c r="D68">
        <f>IFERROR('Fat Spreads'!B68-'Fat Spreads'!B78,"")</f>
        <v>0</v>
      </c>
      <c r="E68">
        <f>IFERROR(AVERAGE('Fat Spreads'!B68:B87)+2*STDEV('Fat Spreads'!B68:B87),"")</f>
        <v>0</v>
      </c>
      <c r="F68">
        <f>IFERROR(AVERAGE('Fat Spreads'!B68:B87)-2*STDEV('Fat Spreads'!B68:B87),"")</f>
        <v>0</v>
      </c>
      <c r="G68" t="str">
        <f>IFERROR(('Fat Spreads'!B68-(AVERAGE('Fat Spreads'!B68:B87)-2*STDEV('Fat Spreads'!B68:B87)))/(4*STDEV('Fat Spreads'!B68:B87)),"")</f>
        <v/>
      </c>
      <c r="H68" t="str">
        <f>IFERROR(4*STDEV('Fat Spreads'!B68:B87)/AVERAGE('Fat Spreads'!B68:B87),"")</f>
        <v/>
      </c>
      <c r="I68">
        <v>52.503700000000002</v>
      </c>
      <c r="J68">
        <f>IFERROR(SQRT((SUMSQ('Fat Spreads'!B68:B87)-2*SUMPRODUCT('Fat Spreads'!B68:B87,'Fat Spreads'!B69:B88)+SUMSQ('Fat Spreads'!B69:B88)-('Fat Spreads'!B68-'Fat Spreads'!B88)^2/20)/19),"")</f>
        <v>0</v>
      </c>
      <c r="L68">
        <f>IFERROR('Fat Spreads'!H68,"")</f>
        <v>0</v>
      </c>
      <c r="M68">
        <f>IFERROR(('Fat Spreads'!I68-AVERAGE('Fat Spreads'!$I$3:$I$4308))/STDEV('Fat Spreads'!$I$3:$I$4308),"")</f>
        <v>-9.2057461789832332E-2</v>
      </c>
      <c r="N68">
        <f>IFERROR('Fat Spreads'!I68-'Fat Spreads'!I73,"")</f>
        <v>0</v>
      </c>
      <c r="O68">
        <f>IFERROR('Fat Spreads'!I68-'Fat Spreads'!I78,"")</f>
        <v>0</v>
      </c>
      <c r="P68">
        <f>IFERROR(AVERAGE('Fat Spreads'!I68:I87)+2*STDEV('Fat Spreads'!I68:I87),"")</f>
        <v>0</v>
      </c>
      <c r="Q68">
        <f>IFERROR(AVERAGE('Fat Spreads'!I68:I87)-2*STDEV('Fat Spreads'!I68:I87),"")</f>
        <v>0</v>
      </c>
      <c r="R68" t="str">
        <f>IFERROR(('Fat Spreads'!I68-(AVERAGE('Fat Spreads'!I68:I87)-2*STDEV('Fat Spreads'!I68:I87)))/(4*STDEV('Fat Spreads'!I68:I87)),"")</f>
        <v/>
      </c>
      <c r="S68" t="str">
        <f>IFERROR(4*STDEV('Fat Spreads'!I68:I87)/AVERAGE('Fat Spreads'!I68:I87),"")</f>
        <v/>
      </c>
      <c r="T68">
        <v>50.002899999999997</v>
      </c>
      <c r="U68">
        <f>IFERROR(SQRT((SUMSQ('Fat Spreads'!I68:I87)-2*SUMPRODUCT('Fat Spreads'!I68:I87,'Fat Spreads'!I69:I88)+SUMSQ('Fat Spreads'!I69:I88)-('Fat Spreads'!I68-'Fat Spreads'!I88)^2/20)/19),"")</f>
        <v>0</v>
      </c>
      <c r="W68">
        <f>IFERROR('Fat Spreads'!AQ68,"")</f>
        <v>0</v>
      </c>
      <c r="X68">
        <f>IFERROR(('Fat Spreads'!AR68-AVERAGE('Fat Spreads'!$AR$3:$AR$4308))/STDEV('Fat Spreads'!$AR$3:$AR$4308),"")</f>
        <v>-9.2057461789832346E-2</v>
      </c>
      <c r="Y68">
        <f>IFERROR('Fat Spreads'!AR68-'Fat Spreads'!AR73,"")</f>
        <v>0</v>
      </c>
      <c r="Z68">
        <f>IFERROR('Fat Spreads'!AR68-'Fat Spreads'!AR78,"")</f>
        <v>0</v>
      </c>
      <c r="AA68">
        <f>IFERROR(AVERAGE('Fat Spreads'!AR68:AR87)+2*STDEV('Fat Spreads'!AR68:AR87),"")</f>
        <v>0</v>
      </c>
      <c r="AB68">
        <f>IFERROR(AVERAGE('Fat Spreads'!AR68:AR87)-2*STDEV('Fat Spreads'!AR68:AR87),"")</f>
        <v>0</v>
      </c>
      <c r="AC68" t="str">
        <f>IFERROR(('Fat Spreads'!AR68-(AVERAGE('Fat Spreads'!AR68:AR87)-2*STDEV('Fat Spreads'!AR68:AR87)))/(4*STDEV('Fat Spreads'!AR68:AR87)),"")</f>
        <v/>
      </c>
      <c r="AD68" t="str">
        <f>IFERROR(4*STDEV('Fat Spreads'!AR68:AR87)/AVERAGE('Fat Spreads'!AR68:AR87),"")</f>
        <v/>
      </c>
      <c r="AE68">
        <v>67.121300000000005</v>
      </c>
      <c r="AF68">
        <f>IFERROR(SQRT((SUMSQ('Fat Spreads'!AR68:AR87)-2*SUMPRODUCT('Fat Spreads'!AR68:AR87,'Fat Spreads'!AR69:AR88)+SUMSQ('Fat Spreads'!AR69:AR88)-('Fat Spreads'!AR68-'Fat Spreads'!AR88)^2/20)/19),"")</f>
        <v>0</v>
      </c>
      <c r="AH68">
        <f>IFERROR('Fat Spreads'!O68,"")</f>
        <v>0</v>
      </c>
      <c r="AI68">
        <f>IFERROR(('Fat Spreads'!P68-AVERAGE('Fat Spreads'!$P$3:$P$4308))/STDEV('Fat Spreads'!$P$3:$P$4308),"")</f>
        <v>-9.2057461789832332E-2</v>
      </c>
      <c r="AJ68">
        <f>IFERROR('Fat Spreads'!P68-'Fat Spreads'!P73,"")</f>
        <v>0</v>
      </c>
      <c r="AK68">
        <f>IFERROR('Fat Spreads'!P68-'Fat Spreads'!P78,"")</f>
        <v>0</v>
      </c>
      <c r="AL68">
        <f>IFERROR(AVERAGE('Fat Spreads'!P68:P87)+2*STDEV('Fat Spreads'!P68:P87),"")</f>
        <v>0</v>
      </c>
      <c r="AM68">
        <f>IFERROR(AVERAGE('Fat Spreads'!P68:P87)-2*STDEV('Fat Spreads'!P68:P87),"")</f>
        <v>0</v>
      </c>
      <c r="AN68" t="str">
        <f>IFERROR(('Fat Spreads'!P68-(AVERAGE('Fat Spreads'!P68:P87)-2*STDEV('Fat Spreads'!P68:P87)))/(4*STDEV('Fat Spreads'!P68:P87)),"")</f>
        <v/>
      </c>
      <c r="AO68" t="str">
        <f>IFERROR(4*STDEV('Fat Spreads'!P68:P87)/AVERAGE('Fat Spreads'!P68:P87),"")</f>
        <v/>
      </c>
      <c r="AP68">
        <v>52.653500000000001</v>
      </c>
      <c r="AQ68">
        <f>IFERROR(SQRT((SUMSQ('Fat Spreads'!P68:P87)-2*SUMPRODUCT('Fat Spreads'!P68:P87,'Fat Spreads'!P69:P88)+SUMSQ('Fat Spreads'!P69:P88)-('Fat Spreads'!P68-'Fat Spreads'!P88)^2/20)/19),"")</f>
        <v>0</v>
      </c>
      <c r="AS68">
        <f>IFERROR('Fat Spreads'!AJ68,"")</f>
        <v>0</v>
      </c>
      <c r="AT68">
        <f>IFERROR(('Fat Spreads'!AK68-AVERAGE('Fat Spreads'!$AK$3:$AK$4308))/STDEV('Fat Spreads'!$AK$3:$AK$4308),"")</f>
        <v>-9.2057461789832332E-2</v>
      </c>
      <c r="AU68">
        <f>IFERROR('Fat Spreads'!AK68-'Fat Spreads'!AK73,"")</f>
        <v>0</v>
      </c>
      <c r="AV68">
        <f>IFERROR('Fat Spreads'!AK68-'Fat Spreads'!AK78,"")</f>
        <v>0</v>
      </c>
      <c r="AW68">
        <f>IFERROR(AVERAGE('Fat Spreads'!AK68:AK87)+2*STDEV('Fat Spreads'!AK68:AK87),"")</f>
        <v>0</v>
      </c>
      <c r="AX68">
        <f>IFERROR(AVERAGE('Fat Spreads'!AK68:AK87)-2*STDEV('Fat Spreads'!AK68:AK87),"")</f>
        <v>0</v>
      </c>
      <c r="AY68" t="str">
        <f>IFERROR(('Fat Spreads'!AK68-(AVERAGE('Fat Spreads'!AK68:AK87)-2*STDEV('Fat Spreads'!AK68:AK87)))/(4*STDEV('Fat Spreads'!AK68:AK87)),"")</f>
        <v/>
      </c>
      <c r="AZ68" t="str">
        <f>IFERROR(4*STDEV('Fat Spreads'!AK68:AK87)/AVERAGE('Fat Spreads'!AK68:AK87),"")</f>
        <v/>
      </c>
      <c r="BA68">
        <v>54.179099999999998</v>
      </c>
      <c r="BB68">
        <f>IFERROR(SQRT((SUMSQ('Fat Spreads'!AK68:AK87)-2*SUMPRODUCT('Fat Spreads'!AK68:AK87,'Fat Spreads'!AK69:AK88)+SUMSQ('Fat Spreads'!AK69:AK88)-('Fat Spreads'!AK68-'Fat Spreads'!AK88)^2/20)/19),"")</f>
        <v>0</v>
      </c>
      <c r="BD68">
        <f>IFERROR('Fat Spreads'!V68,"")</f>
        <v>0</v>
      </c>
      <c r="BE68">
        <f>IFERROR(('Fat Spreads'!W68-AVERAGE('Fat Spreads'!$W$3:$W$4308))/STDEV('Fat Spreads'!$W$3:$W$4308),"")</f>
        <v>-9.2057461789832332E-2</v>
      </c>
      <c r="BF68">
        <f>IFERROR('Fat Spreads'!W68-'Fat Spreads'!W73,"")</f>
        <v>0</v>
      </c>
      <c r="BG68">
        <f>IFERROR('Fat Spreads'!W68-'Fat Spreads'!W78,"")</f>
        <v>0</v>
      </c>
      <c r="BH68">
        <f>IFERROR(AVERAGE('Fat Spreads'!W68:W87)+2*STDEV('Fat Spreads'!W68:W87),"")</f>
        <v>0</v>
      </c>
      <c r="BI68">
        <f>IFERROR(AVERAGE('Fat Spreads'!W68:W87)-2*STDEV('Fat Spreads'!W68:W87),"")</f>
        <v>0</v>
      </c>
      <c r="BJ68" t="str">
        <f>IFERROR(('Fat Spreads'!W68-(AVERAGE('Fat Spreads'!W68:W87)-2*STDEV('Fat Spreads'!W68:W87)))/(4*STDEV('Fat Spreads'!W68:W87)),"")</f>
        <v/>
      </c>
      <c r="BK68" t="str">
        <f>IFERROR(4*STDEV('Fat Spreads'!W68:W87)/AVERAGE('Fat Spreads'!W68:W87),"")</f>
        <v/>
      </c>
      <c r="BL68">
        <v>69.537499999999994</v>
      </c>
      <c r="BM68">
        <f>IFERROR(SQRT((SUMSQ('Fat Spreads'!W68:W87)-2*SUMPRODUCT('Fat Spreads'!W68:W87,'Fat Spreads'!W69:W88)+SUMSQ('Fat Spreads'!W69:W88)-('Fat Spreads'!W68-'Fat Spreads'!W88)^2/20)/19),"")</f>
        <v>0</v>
      </c>
      <c r="BO68">
        <f>IFERROR('Fat Spreads'!AC68,"")</f>
        <v>0</v>
      </c>
      <c r="BP68">
        <f>IFERROR(('Fat Spreads'!AD68-AVERAGE('Fat Spreads'!$AD$3:$AD$4308))/STDEV('Fat Spreads'!$AD$3:$AD$4308),"")</f>
        <v>-9.2057461789832332E-2</v>
      </c>
      <c r="BQ68">
        <f>IFERROR('Fat Spreads'!AD68-'Fat Spreads'!AD73,"")</f>
        <v>0</v>
      </c>
      <c r="BR68">
        <f>IFERROR('Fat Spreads'!AD68-'Fat Spreads'!AD78,"")</f>
        <v>0</v>
      </c>
      <c r="BS68">
        <f>IFERROR(AVERAGE('Fat Spreads'!AD68:AD87)+2*STDEV('Fat Spreads'!AD68:AD87),"")</f>
        <v>0</v>
      </c>
      <c r="BT68">
        <f>IFERROR(AVERAGE('Fat Spreads'!AD68:AD87)-2*STDEV('Fat Spreads'!AD68:AD87),"")</f>
        <v>0</v>
      </c>
      <c r="BU68" t="str">
        <f>IFERROR(('Fat Spreads'!AD68-(AVERAGE('Fat Spreads'!AD68:AD87)-2*STDEV('Fat Spreads'!AD68:AD87)))/(4*STDEV('Fat Spreads'!AD68:AD87)),"")</f>
        <v/>
      </c>
      <c r="BV68" t="str">
        <f>IFERROR(4*STDEV('Fat Spreads'!AD68:AD87)/AVERAGE('Fat Spreads'!AD68:AD87),"")</f>
        <v/>
      </c>
      <c r="BW68">
        <v>38.952199999999998</v>
      </c>
      <c r="BX68">
        <f>IFERROR(SQRT((SUMSQ('Fat Spreads'!AD68:AD87)-2*SUMPRODUCT('Fat Spreads'!AD68:AD87,'Fat Spreads'!AD69:AD88)+SUMSQ('Fat Spreads'!AD69:AD88)-('Fat Spreads'!AD68-'Fat Spreads'!AD88)^2/20)/19),"")</f>
        <v>0</v>
      </c>
      <c r="BZ68">
        <f>IFERROR('Feeder Spreads'!A68,"")</f>
        <v>0</v>
      </c>
      <c r="CA68">
        <f>IFERROR(('Feeder Spreads'!B68-AVERAGE('Feeder Spreads'!$B$3:$B$4308))/STDEV('Feeder Spreads'!$B$3:$B$4308),"")</f>
        <v>-9.2057461789832346E-2</v>
      </c>
      <c r="CB68">
        <f>IFERROR('Feeder Spreads'!B68-'Feeder Spreads'!B73,"")</f>
        <v>0</v>
      </c>
      <c r="CC68">
        <f>IFERROR('Feeder Spreads'!B68-'Feeder Spreads'!B78,"")</f>
        <v>0</v>
      </c>
      <c r="CD68">
        <f>IFERROR(AVERAGE('Feeder Spreads'!B68:B87)+2*STDEV('Feeder Spreads'!B68:B87),"")</f>
        <v>0</v>
      </c>
      <c r="CE68">
        <f>IFERROR(AVERAGE('Feeder Spreads'!B68:B87)-2*STDEV('Feeder Spreads'!B68:B87),"")</f>
        <v>0</v>
      </c>
      <c r="CF68" t="str">
        <f>IFERROR(('Feeder Spreads'!B68-(AVERAGE('Feeder Spreads'!B68:B87)-2*STDEV('Feeder Spreads'!B68:B87)))/(4*STDEV('Feeder Spreads'!B68:B87)),"")</f>
        <v/>
      </c>
      <c r="CG68" t="str">
        <f>IFERROR(4*STDEV('Feeder Spreads'!B68:B87)/AVERAGE('Feeder Spreads'!B68:B87),"")</f>
        <v/>
      </c>
      <c r="CH68">
        <v>30.250800000000002</v>
      </c>
      <c r="CI68">
        <f>IFERROR(SQRT((SUMSQ('Feeder Spreads'!B68:B87)-2*SUMPRODUCT('Feeder Spreads'!B68:B87,'Feeder Spreads'!B69:B88)+SUMSQ('Feeder Spreads'!B69:B88)-('Feeder Spreads'!B68-'Feeder Spreads'!B88)^2/20)/19),"")</f>
        <v>0</v>
      </c>
      <c r="CK68">
        <f>IFERROR('Feeder Spreads'!AX68,"")</f>
        <v>0</v>
      </c>
      <c r="CL68">
        <f>IFERROR(('Feeder Spreads'!AY68-AVERAGE('Feeder Spreads'!$AY$3:$AY$4308))/STDEV('Feeder Spreads'!$AY$3:$AY$4308),"")</f>
        <v>-9.2057461789832346E-2</v>
      </c>
      <c r="CM68">
        <f>IFERROR('Feeder Spreads'!AY68-'Feeder Spreads'!AY73,"")</f>
        <v>0</v>
      </c>
      <c r="CN68">
        <f>IFERROR('Feeder Spreads'!AY68-'Feeder Spreads'!AY78,"")</f>
        <v>0</v>
      </c>
      <c r="CO68">
        <f>IFERROR(AVERAGE('Feeder Spreads'!AY68:AY87)+2*STDEV('Feeder Spreads'!AY68:AY87),"")</f>
        <v>0</v>
      </c>
      <c r="CP68">
        <f>IFERROR(AVERAGE('Feeder Spreads'!AY68:AY87)-2*STDEV('Feeder Spreads'!AY68:AY87),"")</f>
        <v>0</v>
      </c>
      <c r="CQ68" t="str">
        <f>IFERROR(('Feeder Spreads'!AY68-(AVERAGE('Feeder Spreads'!AY68:AY87)-2*STDEV('Feeder Spreads'!AY68:AY87)))/(4*STDEV('Feeder Spreads'!AY68:AY87)),"")</f>
        <v/>
      </c>
      <c r="CR68" t="str">
        <f>IFERROR(4*STDEV('Feeder Spreads'!AY68:AY87)/AVERAGE('Feeder Spreads'!AY68:AY87),"")</f>
        <v/>
      </c>
      <c r="CS68">
        <v>82.730900000000005</v>
      </c>
      <c r="CT68">
        <f>IFERROR(SQRT((SUMSQ('Feeder Spreads'!AY68:AY87)-2*SUMPRODUCT('Feeder Spreads'!AY68:AY87,'Feeder Spreads'!AY69:AY88)+SUMSQ('Feeder Spreads'!AY69:AY88)-('Feeder Spreads'!AY68-'Feeder Spreads'!AY88)^2/20)/19),"")</f>
        <v>0</v>
      </c>
      <c r="CV68">
        <f>IFERROR('Feeder Spreads'!H68,"")</f>
        <v>0</v>
      </c>
      <c r="CW68">
        <f>IFERROR(('Feeder Spreads'!I68-AVERAGE('Feeder Spreads'!$I$3:$I$4308))/STDEV('Feeder Spreads'!$I$3:$I$4308),"")</f>
        <v>-9.2057461789832332E-2</v>
      </c>
      <c r="CX68">
        <f>IFERROR('Feeder Spreads'!I68-'Feeder Spreads'!I73,"")</f>
        <v>0</v>
      </c>
      <c r="CY68">
        <f>IFERROR('Feeder Spreads'!I68-'Feeder Spreads'!I78,"")</f>
        <v>0</v>
      </c>
      <c r="CZ68">
        <f>IFERROR(AVERAGE('Feeder Spreads'!I68:I87)+2*STDEV('Feeder Spreads'!I68:I87),"")</f>
        <v>0</v>
      </c>
      <c r="DA68">
        <f>IFERROR(AVERAGE('Feeder Spreads'!I68:I87)-2*STDEV('Feeder Spreads'!I68:I87),"")</f>
        <v>0</v>
      </c>
      <c r="DB68" t="str">
        <f>IFERROR(('Feeder Spreads'!I68-(AVERAGE('Feeder Spreads'!I68:I87)-2*STDEV('Feeder Spreads'!I68:I87)))/(4*STDEV('Feeder Spreads'!I68:I87)),"")</f>
        <v/>
      </c>
      <c r="DC68" t="str">
        <f>IFERROR(4*STDEV('Feeder Spreads'!I68:I87)/AVERAGE('Feeder Spreads'!I68:I87),"")</f>
        <v/>
      </c>
      <c r="DD68">
        <v>56.46</v>
      </c>
      <c r="DE68">
        <f>IFERROR(SQRT((SUMSQ('Feeder Spreads'!I68:I87)-2*SUMPRODUCT('Feeder Spreads'!I68:I87,'Feeder Spreads'!I69:I88)+SUMSQ('Feeder Spreads'!I69:I88)-('Feeder Spreads'!I68-'Feeder Spreads'!I88)^2/20)/19),"")</f>
        <v>0</v>
      </c>
      <c r="DG68">
        <f>IFERROR('Feeder Spreads'!O68,"")</f>
        <v>0</v>
      </c>
      <c r="DH68">
        <f>IFERROR(('Feeder Spreads'!P68-AVERAGE('Feeder Spreads'!$P$3:$P$4308))/STDEV('Feeder Spreads'!$P$3:$P$4308),"")</f>
        <v>-9.2057461789832346E-2</v>
      </c>
      <c r="DI68">
        <f>IFERROR('Feeder Spreads'!P68-'Feeder Spreads'!P73,"")</f>
        <v>0</v>
      </c>
      <c r="DJ68">
        <f>IFERROR('Feeder Spreads'!P68-'Feeder Spreads'!P78,"")</f>
        <v>0</v>
      </c>
      <c r="DK68">
        <f>IFERROR(AVERAGE('Feeder Spreads'!P68:P87)+2*STDEV('Feeder Spreads'!P68:P87),"")</f>
        <v>0</v>
      </c>
      <c r="DL68">
        <f>IFERROR(AVERAGE('Feeder Spreads'!P68:P87)-2*STDEV('Feeder Spreads'!P68:P87),"")</f>
        <v>0</v>
      </c>
      <c r="DM68" t="str">
        <f>IFERROR(('Feeder Spreads'!P68-(AVERAGE('Feeder Spreads'!P68:P87)-2*STDEV('Feeder Spreads'!P68:P87)))/(4*STDEV('Feeder Spreads'!P68:P87)),"")</f>
        <v/>
      </c>
      <c r="DN68" t="str">
        <f>IFERROR(4*STDEV('Feeder Spreads'!P68:P87)/AVERAGE('Feeder Spreads'!P68:P87),"")</f>
        <v/>
      </c>
      <c r="DO68">
        <v>58.316000000000003</v>
      </c>
      <c r="DP68">
        <f>IFERROR(SQRT((SUMSQ('Feeder Spreads'!P68:P87)-2*SUMPRODUCT('Feeder Spreads'!P68:P87,'Feeder Spreads'!P69:P88)+SUMSQ('Feeder Spreads'!P69:P88)-('Feeder Spreads'!P68-'Feeder Spreads'!P88)^2/20)/19),"")</f>
        <v>0</v>
      </c>
      <c r="DR68">
        <f>IFERROR('Feeder Spreads'!V68,"")</f>
        <v>0</v>
      </c>
      <c r="DS68">
        <f>IFERROR(('Feeder Spreads'!W68-AVERAGE('Feeder Spreads'!$W$3:$W$4308))/STDEV('Feeder Spreads'!$W$3:$W$4308),"")</f>
        <v>-9.2057461789832332E-2</v>
      </c>
      <c r="DT68">
        <f>IFERROR('Feeder Spreads'!W68-'Feeder Spreads'!W73,"")</f>
        <v>0</v>
      </c>
      <c r="DU68">
        <f>IFERROR('Feeder Spreads'!W68-'Feeder Spreads'!W78,"")</f>
        <v>0</v>
      </c>
      <c r="DV68">
        <f>IFERROR(AVERAGE('Feeder Spreads'!W68:W87)+2*STDEV('Feeder Spreads'!W68:W87),"")</f>
        <v>0</v>
      </c>
      <c r="DW68">
        <f>IFERROR(AVERAGE('Feeder Spreads'!W68:W87)-2*STDEV('Feeder Spreads'!W68:W87),"")</f>
        <v>0</v>
      </c>
      <c r="DX68" t="str">
        <f>IFERROR(('Feeder Spreads'!W68-(AVERAGE('Feeder Spreads'!W68:W87)-2*STDEV('Feeder Spreads'!W68:W87)))/(4*STDEV('Feeder Spreads'!W68:W87)),"")</f>
        <v/>
      </c>
      <c r="DY68" t="str">
        <f>IFERROR(4*STDEV('Feeder Spreads'!W68:W87)/AVERAGE('Feeder Spreads'!W68:W87),"")</f>
        <v/>
      </c>
      <c r="DZ68">
        <v>62.872199999999999</v>
      </c>
      <c r="EA68">
        <f>IFERROR(SQRT((SUMSQ('Feeder Spreads'!W68:W87)-2*SUMPRODUCT('Feeder Spreads'!W68:W87,'Feeder Spreads'!W69:W88)+SUMSQ('Feeder Spreads'!W69:W88)-('Feeder Spreads'!W68-'Feeder Spreads'!W88)^2/20)/19),"")</f>
        <v>0</v>
      </c>
      <c r="EC68">
        <f>IFERROR('Feeder Spreads'!AC68,"")</f>
        <v>0</v>
      </c>
      <c r="ED68">
        <f>IFERROR(('Feeder Spreads'!AD68-AVERAGE('Feeder Spreads'!$AD$3:$AD$4308))/STDEV('Feeder Spreads'!$AD$3:$AD$4308),"")</f>
        <v>9.2057461789832318E-2</v>
      </c>
      <c r="EE68">
        <f>IFERROR('Feeder Spreads'!AD68-'Feeder Spreads'!AD73,"")</f>
        <v>0</v>
      </c>
      <c r="EF68">
        <f>IFERROR('Feeder Spreads'!AD68-'Feeder Spreads'!AD78,"")</f>
        <v>0</v>
      </c>
      <c r="EG68">
        <f>IFERROR(AVERAGE('Feeder Spreads'!AD68:AD87)+2*STDEV('Feeder Spreads'!AD68:AD87),"")</f>
        <v>0</v>
      </c>
      <c r="EH68">
        <f>IFERROR(AVERAGE('Feeder Spreads'!AD68:AD87)-2*STDEV('Feeder Spreads'!AD68:AD87),"")</f>
        <v>0</v>
      </c>
      <c r="EI68" t="str">
        <f>IFERROR(('Feeder Spreads'!AD68-(AVERAGE('Feeder Spreads'!AD68:AD87)-2*STDEV('Feeder Spreads'!AD68:AD87)))/(4*STDEV('Feeder Spreads'!AD68:AD87)),"")</f>
        <v/>
      </c>
      <c r="EJ68" t="str">
        <f>IFERROR(4*STDEV('Feeder Spreads'!AD68:AD87)/AVERAGE('Feeder Spreads'!AD68:AD87),"")</f>
        <v/>
      </c>
      <c r="EK68">
        <v>55.303800000000003</v>
      </c>
      <c r="EL68">
        <f>IFERROR(SQRT((SUMSQ('Feeder Spreads'!AD68:AD87)-2*SUMPRODUCT('Feeder Spreads'!AD68:AD87,'Feeder Spreads'!AD69:AD88)+SUMSQ('Feeder Spreads'!AD69:AD88)-('Feeder Spreads'!AD68-'Feeder Spreads'!AD88)^2/20)/19),"")</f>
        <v>0</v>
      </c>
      <c r="EN68">
        <f>IFERROR('Feeder Spreads'!AJ68,"")</f>
        <v>0</v>
      </c>
      <c r="EO68">
        <f>IFERROR(('Feeder Spreads'!AK68-AVERAGE('Feeder Spreads'!$AK$3:$AK$4308))/STDEV('Feeder Spreads'!$AK$3:$AK$4308),"")</f>
        <v>-9.2057461789832346E-2</v>
      </c>
      <c r="EP68">
        <f>IFERROR('Feeder Spreads'!AK68-'Feeder Spreads'!AK73,"")</f>
        <v>0</v>
      </c>
      <c r="EQ68">
        <f>IFERROR('Feeder Spreads'!AK68-'Feeder Spreads'!AK78,"")</f>
        <v>0</v>
      </c>
      <c r="ER68">
        <f>IFERROR(AVERAGE('Feeder Spreads'!AK68:AK87)+2*STDEV('Feeder Spreads'!AK68:AK87),"")</f>
        <v>0</v>
      </c>
      <c r="ES68">
        <f>IFERROR(AVERAGE('Feeder Spreads'!AK68:AK87)-2*STDEV('Feeder Spreads'!AK68:AK87),"")</f>
        <v>0</v>
      </c>
      <c r="ET68" t="str">
        <f>IFERROR(('Feeder Spreads'!AK68-(AVERAGE('Feeder Spreads'!AK68:AK87)-2*STDEV('Feeder Spreads'!AK68:AK87)))/(4*STDEV('Feeder Spreads'!AK68:AK87)),"")</f>
        <v/>
      </c>
      <c r="EU68" t="str">
        <f>IFERROR(4*STDEV('Feeder Spreads'!AK68:AK87)/AVERAGE('Feeder Spreads'!AK68:AK87),"")</f>
        <v/>
      </c>
      <c r="EV68">
        <v>50.603900000000003</v>
      </c>
      <c r="EW68">
        <f>IFERROR(SQRT((SUMSQ('Feeder Spreads'!AK68:AK87)-2*SUMPRODUCT('Feeder Spreads'!AK68:AK87,'Feeder Spreads'!AK69:AK88)+SUMSQ('Feeder Spreads'!AK69:AK88)-('Feeder Spreads'!AK68-'Feeder Spreads'!AK88)^2/20)/19),"")</f>
        <v>0</v>
      </c>
      <c r="EY68">
        <f>IFERROR('Feeder Spreads'!AQ68,"")</f>
        <v>0</v>
      </c>
      <c r="EZ68">
        <f>IFERROR(('Feeder Spreads'!AR68-AVERAGE('Feeder Spreads'!$AR$3:$AR$4308))/STDEV('Feeder Spreads'!$AR$3:$AR$4308),"")</f>
        <v>-9.2057461789832332E-2</v>
      </c>
      <c r="FA68">
        <f>IFERROR('Feeder Spreads'!AR68-'Feeder Spreads'!AR73,"")</f>
        <v>0</v>
      </c>
      <c r="FB68">
        <f>IFERROR('Feeder Spreads'!AR68-'Feeder Spreads'!AR78,"")</f>
        <v>0</v>
      </c>
      <c r="FC68">
        <f>IFERROR(AVERAGE('Feeder Spreads'!AR68:AR87)+2*STDEV('Feeder Spreads'!AR68:AR87),"")</f>
        <v>0</v>
      </c>
      <c r="FD68">
        <f>IFERROR(AVERAGE('Feeder Spreads'!AR68:AR87)-2*STDEV('Feeder Spreads'!AR68:AR87),"")</f>
        <v>0</v>
      </c>
      <c r="FE68" t="str">
        <f>IFERROR(('Feeder Spreads'!AR68-(AVERAGE('Feeder Spreads'!AR68:AR87)-2*STDEV('Feeder Spreads'!AR68:AR87)))/(4*STDEV('Feeder Spreads'!AR68:AR87)),"")</f>
        <v/>
      </c>
      <c r="FF68" t="str">
        <f>IFERROR(4*STDEV('Feeder Spreads'!AR68:AR87)/AVERAGE('Feeder Spreads'!AR68:AR87),"")</f>
        <v/>
      </c>
      <c r="FG68">
        <v>52.509599999999999</v>
      </c>
      <c r="FH68">
        <f>IFERROR(SQRT((SUMSQ('Feeder Spreads'!AR68:AR87)-2*SUMPRODUCT('Feeder Spreads'!AR68:AR87,'Feeder Spreads'!AR69:AR88)+SUMSQ('Feeder Spreads'!AR69:AR88)-('Feeder Spreads'!AR68-'Feeder Spreads'!AR88)^2/20)/19),"")</f>
        <v>0</v>
      </c>
      <c r="FJ68">
        <f>IFERROR('Fat Spreads'!AX68,"")</f>
        <v>0</v>
      </c>
      <c r="FK68">
        <f>IFERROR(('Fat Spreads'!AY68-AVERAGE('Fat Spreads'!$AY$3:$AY$4308))/STDEV('Fat Spreads'!$AY$3:$AY$4308),"")</f>
        <v>9.2057461789832332E-2</v>
      </c>
      <c r="FL68">
        <f>IFERROR('Fat Spreads'!AY68-'Fat Spreads'!AY73,"")</f>
        <v>0</v>
      </c>
      <c r="FM68">
        <f>IFERROR('Fat Spreads'!AY68-'Fat Spreads'!AY78,"")</f>
        <v>0</v>
      </c>
      <c r="FN68">
        <f>IFERROR(AVERAGE('Fat Spreads'!AY68:AY87)+2*STDEV('Fat Spreads'!AY68:AY87),"")</f>
        <v>0</v>
      </c>
      <c r="FO68">
        <f>IFERROR(AVERAGE('Fat Spreads'!AY68:AY87)-2*STDEV('Fat Spreads'!AY68:AY87),"")</f>
        <v>0</v>
      </c>
      <c r="FP68" t="str">
        <f>IFERROR(('Fat Spreads'!AY68-(AVERAGE('Fat Spreads'!AY68:AY87)-2*STDEV('Fat Spreads'!AY68:AY87)))/(4*STDEV('Fat Spreads'!AY68:AY87)),"")</f>
        <v/>
      </c>
      <c r="FQ68" t="str">
        <f>IFERROR(4*STDEV('Fat Spreads'!AY68:AY87)/AVERAGE('Fat Spreads'!AY68:AY87),"")</f>
        <v/>
      </c>
      <c r="FR68">
        <v>53.9497</v>
      </c>
      <c r="FS68">
        <f>IFERROR(SQRT((SUMSQ('Fat Spreads'!AY68:AY87)-2*SUMPRODUCT('Fat Spreads'!AY68:AY87,'Fat Spreads'!AY69:AY88)+SUMSQ('Fat Spreads'!AY69:AY88)-('Fat Spreads'!AY68-'Fat Spreads'!AY88)^2/20)/19),"")</f>
        <v>0</v>
      </c>
      <c r="FU68">
        <f>IFERROR('Fat Spreads'!BE68,"")</f>
        <v>0</v>
      </c>
      <c r="FV68">
        <f>IFERROR(('Fat Spreads'!BF68-AVERAGE('Fat Spreads'!$BF$3:$BF$4308))/STDEV('Fat Spreads'!$BF$3:$BF$4308),"")</f>
        <v>9.2057461789832332E-2</v>
      </c>
      <c r="FW68">
        <f>IFERROR('Fat Spreads'!BF68-'Fat Spreads'!BF73,"")</f>
        <v>0</v>
      </c>
      <c r="FX68">
        <f>IFERROR('Fat Spreads'!BF68-'Fat Spreads'!BF78,"")</f>
        <v>0</v>
      </c>
      <c r="FY68">
        <f>IFERROR(AVERAGE('Fat Spreads'!BF68:BF87)+2*STDEV('Fat Spreads'!BF68:BF87),"")</f>
        <v>0</v>
      </c>
      <c r="FZ68">
        <f>IFERROR(AVERAGE('Fat Spreads'!BF68:BF87)-2*STDEV('Fat Spreads'!BF68:BF87),"")</f>
        <v>0</v>
      </c>
      <c r="GA68" t="str">
        <f>IFERROR(('Fat Spreads'!BF68-(AVERAGE('Fat Spreads'!BF68:BF87)-2*STDEV('Fat Spreads'!BF68:BF87)))/(4*STDEV('Fat Spreads'!BF68:BF87)),"")</f>
        <v/>
      </c>
      <c r="GB68" t="str">
        <f>IFERROR(4*STDEV('Fat Spreads'!BF68:BF87)/AVERAGE('Fat Spreads'!BF68:BF87),"")</f>
        <v/>
      </c>
      <c r="GC68">
        <v>51.599200000000003</v>
      </c>
      <c r="GD68">
        <f>IFERROR(SQRT((SUMSQ('Fat Spreads'!BF68:BF87)-2*SUMPRODUCT('Fat Spreads'!BF68:BF87,'Fat Spreads'!BF69:BF88)+SUMSQ('Fat Spreads'!BF69:BF88)-('Fat Spreads'!BF68-'Fat Spreads'!BF88)^2/20)/19),"")</f>
        <v>0</v>
      </c>
    </row>
    <row r="69" spans="1:186" x14ac:dyDescent="0.25">
      <c r="A69">
        <f>IFERROR('Fat Spreads'!A69,"")</f>
        <v>0</v>
      </c>
      <c r="B69">
        <f>IFERROR(('Fat Spreads'!B69-AVERAGE('Fat Spreads'!$B$3:$B$4308))/STDEV('Fat Spreads'!$B$3:$B$4308),"")</f>
        <v>9.2057461789832346E-2</v>
      </c>
      <c r="C69">
        <f>IFERROR('Fat Spreads'!B69-'Fat Spreads'!B74,"")</f>
        <v>0</v>
      </c>
      <c r="D69">
        <f>IFERROR('Fat Spreads'!B69-'Fat Spreads'!B79,"")</f>
        <v>0</v>
      </c>
      <c r="E69">
        <f>IFERROR(AVERAGE('Fat Spreads'!B69:B88)+2*STDEV('Fat Spreads'!B69:B88),"")</f>
        <v>0</v>
      </c>
      <c r="F69">
        <f>IFERROR(AVERAGE('Fat Spreads'!B69:B88)-2*STDEV('Fat Spreads'!B69:B88),"")</f>
        <v>0</v>
      </c>
      <c r="G69" t="str">
        <f>IFERROR(('Fat Spreads'!B69-(AVERAGE('Fat Spreads'!B69:B88)-2*STDEV('Fat Spreads'!B69:B88)))/(4*STDEV('Fat Spreads'!B69:B88)),"")</f>
        <v/>
      </c>
      <c r="H69" t="str">
        <f>IFERROR(4*STDEV('Fat Spreads'!B69:B88)/AVERAGE('Fat Spreads'!B69:B88),"")</f>
        <v/>
      </c>
      <c r="I69">
        <v>35.301499999999997</v>
      </c>
      <c r="J69">
        <f>IFERROR(SQRT((SUMSQ('Fat Spreads'!B69:B88)-2*SUMPRODUCT('Fat Spreads'!B69:B88,'Fat Spreads'!B70:B89)+SUMSQ('Fat Spreads'!B70:B89)-('Fat Spreads'!B69-'Fat Spreads'!B89)^2/20)/19),"")</f>
        <v>0</v>
      </c>
      <c r="L69">
        <f>IFERROR('Fat Spreads'!H69,"")</f>
        <v>0</v>
      </c>
      <c r="M69">
        <f>IFERROR(('Fat Spreads'!I69-AVERAGE('Fat Spreads'!$I$3:$I$4308))/STDEV('Fat Spreads'!$I$3:$I$4308),"")</f>
        <v>-9.2057461789832332E-2</v>
      </c>
      <c r="N69">
        <f>IFERROR('Fat Spreads'!I69-'Fat Spreads'!I74,"")</f>
        <v>0</v>
      </c>
      <c r="O69">
        <f>IFERROR('Fat Spreads'!I69-'Fat Spreads'!I79,"")</f>
        <v>0</v>
      </c>
      <c r="P69">
        <f>IFERROR(AVERAGE('Fat Spreads'!I69:I88)+2*STDEV('Fat Spreads'!I69:I88),"")</f>
        <v>0</v>
      </c>
      <c r="Q69">
        <f>IFERROR(AVERAGE('Fat Spreads'!I69:I88)-2*STDEV('Fat Spreads'!I69:I88),"")</f>
        <v>0</v>
      </c>
      <c r="R69" t="str">
        <f>IFERROR(('Fat Spreads'!I69-(AVERAGE('Fat Spreads'!I69:I88)-2*STDEV('Fat Spreads'!I69:I88)))/(4*STDEV('Fat Spreads'!I69:I88)),"")</f>
        <v/>
      </c>
      <c r="S69" t="str">
        <f>IFERROR(4*STDEV('Fat Spreads'!I69:I88)/AVERAGE('Fat Spreads'!I69:I88),"")</f>
        <v/>
      </c>
      <c r="T69">
        <v>31.280200000000001</v>
      </c>
      <c r="U69">
        <f>IFERROR(SQRT((SUMSQ('Fat Spreads'!I69:I88)-2*SUMPRODUCT('Fat Spreads'!I69:I88,'Fat Spreads'!I70:I89)+SUMSQ('Fat Spreads'!I70:I89)-('Fat Spreads'!I69-'Fat Spreads'!I89)^2/20)/19),"")</f>
        <v>0</v>
      </c>
      <c r="W69">
        <f>IFERROR('Fat Spreads'!AQ69,"")</f>
        <v>0</v>
      </c>
      <c r="X69">
        <f>IFERROR(('Fat Spreads'!AR69-AVERAGE('Fat Spreads'!$AR$3:$AR$4308))/STDEV('Fat Spreads'!$AR$3:$AR$4308),"")</f>
        <v>-9.2057461789832346E-2</v>
      </c>
      <c r="Y69">
        <f>IFERROR('Fat Spreads'!AR69-'Fat Spreads'!AR74,"")</f>
        <v>0</v>
      </c>
      <c r="Z69">
        <f>IFERROR('Fat Spreads'!AR69-'Fat Spreads'!AR79,"")</f>
        <v>0</v>
      </c>
      <c r="AA69">
        <f>IFERROR(AVERAGE('Fat Spreads'!AR69:AR88)+2*STDEV('Fat Spreads'!AR69:AR88),"")</f>
        <v>0</v>
      </c>
      <c r="AB69">
        <f>IFERROR(AVERAGE('Fat Spreads'!AR69:AR88)-2*STDEV('Fat Spreads'!AR69:AR88),"")</f>
        <v>0</v>
      </c>
      <c r="AC69" t="str">
        <f>IFERROR(('Fat Spreads'!AR69-(AVERAGE('Fat Spreads'!AR69:AR88)-2*STDEV('Fat Spreads'!AR69:AR88)))/(4*STDEV('Fat Spreads'!AR69:AR88)),"")</f>
        <v/>
      </c>
      <c r="AD69" t="str">
        <f>IFERROR(4*STDEV('Fat Spreads'!AR69:AR88)/AVERAGE('Fat Spreads'!AR69:AR88),"")</f>
        <v/>
      </c>
      <c r="AE69">
        <v>65.679500000000004</v>
      </c>
      <c r="AF69">
        <f>IFERROR(SQRT((SUMSQ('Fat Spreads'!AR69:AR88)-2*SUMPRODUCT('Fat Spreads'!AR69:AR88,'Fat Spreads'!AR70:AR89)+SUMSQ('Fat Spreads'!AR70:AR89)-('Fat Spreads'!AR69-'Fat Spreads'!AR89)^2/20)/19),"")</f>
        <v>0</v>
      </c>
      <c r="AH69">
        <f>IFERROR('Fat Spreads'!O69,"")</f>
        <v>0</v>
      </c>
      <c r="AI69">
        <f>IFERROR(('Fat Spreads'!P69-AVERAGE('Fat Spreads'!$P$3:$P$4308))/STDEV('Fat Spreads'!$P$3:$P$4308),"")</f>
        <v>-9.2057461789832332E-2</v>
      </c>
      <c r="AJ69">
        <f>IFERROR('Fat Spreads'!P69-'Fat Spreads'!P74,"")</f>
        <v>0</v>
      </c>
      <c r="AK69">
        <f>IFERROR('Fat Spreads'!P69-'Fat Spreads'!P79,"")</f>
        <v>0</v>
      </c>
      <c r="AL69">
        <f>IFERROR(AVERAGE('Fat Spreads'!P69:P88)+2*STDEV('Fat Spreads'!P69:P88),"")</f>
        <v>0</v>
      </c>
      <c r="AM69">
        <f>IFERROR(AVERAGE('Fat Spreads'!P69:P88)-2*STDEV('Fat Spreads'!P69:P88),"")</f>
        <v>0</v>
      </c>
      <c r="AN69" t="str">
        <f>IFERROR(('Fat Spreads'!P69-(AVERAGE('Fat Spreads'!P69:P88)-2*STDEV('Fat Spreads'!P69:P88)))/(4*STDEV('Fat Spreads'!P69:P88)),"")</f>
        <v/>
      </c>
      <c r="AO69" t="str">
        <f>IFERROR(4*STDEV('Fat Spreads'!P69:P88)/AVERAGE('Fat Spreads'!P69:P88),"")</f>
        <v/>
      </c>
      <c r="AP69">
        <v>44.650700000000001</v>
      </c>
      <c r="AQ69">
        <f>IFERROR(SQRT((SUMSQ('Fat Spreads'!P69:P88)-2*SUMPRODUCT('Fat Spreads'!P69:P88,'Fat Spreads'!P70:P89)+SUMSQ('Fat Spreads'!P70:P89)-('Fat Spreads'!P69-'Fat Spreads'!P89)^2/20)/19),"")</f>
        <v>0</v>
      </c>
      <c r="AS69">
        <f>IFERROR('Fat Spreads'!AJ69,"")</f>
        <v>0</v>
      </c>
      <c r="AT69">
        <f>IFERROR(('Fat Spreads'!AK69-AVERAGE('Fat Spreads'!$AK$3:$AK$4308))/STDEV('Fat Spreads'!$AK$3:$AK$4308),"")</f>
        <v>-9.2057461789832332E-2</v>
      </c>
      <c r="AU69">
        <f>IFERROR('Fat Spreads'!AK69-'Fat Spreads'!AK74,"")</f>
        <v>0</v>
      </c>
      <c r="AV69">
        <f>IFERROR('Fat Spreads'!AK69-'Fat Spreads'!AK79,"")</f>
        <v>0</v>
      </c>
      <c r="AW69">
        <f>IFERROR(AVERAGE('Fat Spreads'!AK69:AK88)+2*STDEV('Fat Spreads'!AK69:AK88),"")</f>
        <v>0</v>
      </c>
      <c r="AX69">
        <f>IFERROR(AVERAGE('Fat Spreads'!AK69:AK88)-2*STDEV('Fat Spreads'!AK69:AK88),"")</f>
        <v>0</v>
      </c>
      <c r="AY69" t="str">
        <f>IFERROR(('Fat Spreads'!AK69-(AVERAGE('Fat Spreads'!AK69:AK88)-2*STDEV('Fat Spreads'!AK69:AK88)))/(4*STDEV('Fat Spreads'!AK69:AK88)),"")</f>
        <v/>
      </c>
      <c r="AZ69" t="str">
        <f>IFERROR(4*STDEV('Fat Spreads'!AK69:AK88)/AVERAGE('Fat Spreads'!AK69:AK88),"")</f>
        <v/>
      </c>
      <c r="BA69">
        <v>44.229799999999997</v>
      </c>
      <c r="BB69">
        <f>IFERROR(SQRT((SUMSQ('Fat Spreads'!AK69:AK88)-2*SUMPRODUCT('Fat Spreads'!AK69:AK88,'Fat Spreads'!AK70:AK89)+SUMSQ('Fat Spreads'!AK70:AK89)-('Fat Spreads'!AK69-'Fat Spreads'!AK89)^2/20)/19),"")</f>
        <v>0</v>
      </c>
      <c r="BD69">
        <f>IFERROR('Fat Spreads'!V69,"")</f>
        <v>0</v>
      </c>
      <c r="BE69">
        <f>IFERROR(('Fat Spreads'!W69-AVERAGE('Fat Spreads'!$W$3:$W$4308))/STDEV('Fat Spreads'!$W$3:$W$4308),"")</f>
        <v>-9.2057461789832332E-2</v>
      </c>
      <c r="BF69">
        <f>IFERROR('Fat Spreads'!W69-'Fat Spreads'!W74,"")</f>
        <v>0</v>
      </c>
      <c r="BG69">
        <f>IFERROR('Fat Spreads'!W69-'Fat Spreads'!W79,"")</f>
        <v>0</v>
      </c>
      <c r="BH69">
        <f>IFERROR(AVERAGE('Fat Spreads'!W69:W88)+2*STDEV('Fat Spreads'!W69:W88),"")</f>
        <v>0</v>
      </c>
      <c r="BI69">
        <f>IFERROR(AVERAGE('Fat Spreads'!W69:W88)-2*STDEV('Fat Spreads'!W69:W88),"")</f>
        <v>0</v>
      </c>
      <c r="BJ69" t="str">
        <f>IFERROR(('Fat Spreads'!W69-(AVERAGE('Fat Spreads'!W69:W88)-2*STDEV('Fat Spreads'!W69:W88)))/(4*STDEV('Fat Spreads'!W69:W88)),"")</f>
        <v/>
      </c>
      <c r="BK69" t="str">
        <f>IFERROR(4*STDEV('Fat Spreads'!W69:W88)/AVERAGE('Fat Spreads'!W69:W88),"")</f>
        <v/>
      </c>
      <c r="BL69">
        <v>70.183599999999998</v>
      </c>
      <c r="BM69">
        <f>IFERROR(SQRT((SUMSQ('Fat Spreads'!W69:W88)-2*SUMPRODUCT('Fat Spreads'!W69:W88,'Fat Spreads'!W70:W89)+SUMSQ('Fat Spreads'!W70:W89)-('Fat Spreads'!W69-'Fat Spreads'!W89)^2/20)/19),"")</f>
        <v>0</v>
      </c>
      <c r="BO69">
        <f>IFERROR('Fat Spreads'!AC69,"")</f>
        <v>0</v>
      </c>
      <c r="BP69">
        <f>IFERROR(('Fat Spreads'!AD69-AVERAGE('Fat Spreads'!$AD$3:$AD$4308))/STDEV('Fat Spreads'!$AD$3:$AD$4308),"")</f>
        <v>-9.2057461789832332E-2</v>
      </c>
      <c r="BQ69">
        <f>IFERROR('Fat Spreads'!AD69-'Fat Spreads'!AD74,"")</f>
        <v>0</v>
      </c>
      <c r="BR69">
        <f>IFERROR('Fat Spreads'!AD69-'Fat Spreads'!AD79,"")</f>
        <v>0</v>
      </c>
      <c r="BS69">
        <f>IFERROR(AVERAGE('Fat Spreads'!AD69:AD88)+2*STDEV('Fat Spreads'!AD69:AD88),"")</f>
        <v>0</v>
      </c>
      <c r="BT69">
        <f>IFERROR(AVERAGE('Fat Spreads'!AD69:AD88)-2*STDEV('Fat Spreads'!AD69:AD88),"")</f>
        <v>0</v>
      </c>
      <c r="BU69" t="str">
        <f>IFERROR(('Fat Spreads'!AD69-(AVERAGE('Fat Spreads'!AD69:AD88)-2*STDEV('Fat Spreads'!AD69:AD88)))/(4*STDEV('Fat Spreads'!AD69:AD88)),"")</f>
        <v/>
      </c>
      <c r="BV69" t="str">
        <f>IFERROR(4*STDEV('Fat Spreads'!AD69:AD88)/AVERAGE('Fat Spreads'!AD69:AD88),"")</f>
        <v/>
      </c>
      <c r="BW69">
        <v>50.222999999999999</v>
      </c>
      <c r="BX69">
        <f>IFERROR(SQRT((SUMSQ('Fat Spreads'!AD69:AD88)-2*SUMPRODUCT('Fat Spreads'!AD69:AD88,'Fat Spreads'!AD70:AD89)+SUMSQ('Fat Spreads'!AD70:AD89)-('Fat Spreads'!AD69-'Fat Spreads'!AD89)^2/20)/19),"")</f>
        <v>0</v>
      </c>
      <c r="BZ69">
        <f>IFERROR('Feeder Spreads'!A69,"")</f>
        <v>0</v>
      </c>
      <c r="CA69">
        <f>IFERROR(('Feeder Spreads'!B69-AVERAGE('Feeder Spreads'!$B$3:$B$4308))/STDEV('Feeder Spreads'!$B$3:$B$4308),"")</f>
        <v>-9.2057461789832346E-2</v>
      </c>
      <c r="CB69">
        <f>IFERROR('Feeder Spreads'!B69-'Feeder Spreads'!B74,"")</f>
        <v>0</v>
      </c>
      <c r="CC69">
        <f>IFERROR('Feeder Spreads'!B69-'Feeder Spreads'!B79,"")</f>
        <v>0</v>
      </c>
      <c r="CD69">
        <f>IFERROR(AVERAGE('Feeder Spreads'!B69:B88)+2*STDEV('Feeder Spreads'!B69:B88),"")</f>
        <v>0</v>
      </c>
      <c r="CE69">
        <f>IFERROR(AVERAGE('Feeder Spreads'!B69:B88)-2*STDEV('Feeder Spreads'!B69:B88),"")</f>
        <v>0</v>
      </c>
      <c r="CF69" t="str">
        <f>IFERROR(('Feeder Spreads'!B69-(AVERAGE('Feeder Spreads'!B69:B88)-2*STDEV('Feeder Spreads'!B69:B88)))/(4*STDEV('Feeder Spreads'!B69:B88)),"")</f>
        <v/>
      </c>
      <c r="CG69" t="str">
        <f>IFERROR(4*STDEV('Feeder Spreads'!B69:B88)/AVERAGE('Feeder Spreads'!B69:B88),"")</f>
        <v/>
      </c>
      <c r="CH69">
        <v>31.7562</v>
      </c>
      <c r="CI69">
        <f>IFERROR(SQRT((SUMSQ('Feeder Spreads'!B69:B88)-2*SUMPRODUCT('Feeder Spreads'!B69:B88,'Feeder Spreads'!B70:B89)+SUMSQ('Feeder Spreads'!B70:B89)-('Feeder Spreads'!B69-'Feeder Spreads'!B89)^2/20)/19),"")</f>
        <v>0</v>
      </c>
      <c r="CK69">
        <f>IFERROR('Feeder Spreads'!AX69,"")</f>
        <v>0</v>
      </c>
      <c r="CL69">
        <f>IFERROR(('Feeder Spreads'!AY69-AVERAGE('Feeder Spreads'!$AY$3:$AY$4308))/STDEV('Feeder Spreads'!$AY$3:$AY$4308),"")</f>
        <v>-9.2057461789832346E-2</v>
      </c>
      <c r="CM69">
        <f>IFERROR('Feeder Spreads'!AY69-'Feeder Spreads'!AY74,"")</f>
        <v>0</v>
      </c>
      <c r="CN69">
        <f>IFERROR('Feeder Spreads'!AY69-'Feeder Spreads'!AY79,"")</f>
        <v>0</v>
      </c>
      <c r="CO69">
        <f>IFERROR(AVERAGE('Feeder Spreads'!AY69:AY88)+2*STDEV('Feeder Spreads'!AY69:AY88),"")</f>
        <v>0</v>
      </c>
      <c r="CP69">
        <f>IFERROR(AVERAGE('Feeder Spreads'!AY69:AY88)-2*STDEV('Feeder Spreads'!AY69:AY88),"")</f>
        <v>0</v>
      </c>
      <c r="CQ69" t="str">
        <f>IFERROR(('Feeder Spreads'!AY69-(AVERAGE('Feeder Spreads'!AY69:AY88)-2*STDEV('Feeder Spreads'!AY69:AY88)))/(4*STDEV('Feeder Spreads'!AY69:AY88)),"")</f>
        <v/>
      </c>
      <c r="CR69" t="str">
        <f>IFERROR(4*STDEV('Feeder Spreads'!AY69:AY88)/AVERAGE('Feeder Spreads'!AY69:AY88),"")</f>
        <v/>
      </c>
      <c r="CS69">
        <v>82.679100000000005</v>
      </c>
      <c r="CT69">
        <f>IFERROR(SQRT((SUMSQ('Feeder Spreads'!AY69:AY88)-2*SUMPRODUCT('Feeder Spreads'!AY69:AY88,'Feeder Spreads'!AY70:AY89)+SUMSQ('Feeder Spreads'!AY70:AY89)-('Feeder Spreads'!AY69-'Feeder Spreads'!AY89)^2/20)/19),"")</f>
        <v>0</v>
      </c>
      <c r="CV69">
        <f>IFERROR('Feeder Spreads'!H69,"")</f>
        <v>0</v>
      </c>
      <c r="CW69">
        <f>IFERROR(('Feeder Spreads'!I69-AVERAGE('Feeder Spreads'!$I$3:$I$4308))/STDEV('Feeder Spreads'!$I$3:$I$4308),"")</f>
        <v>-9.2057461789832332E-2</v>
      </c>
      <c r="CX69">
        <f>IFERROR('Feeder Spreads'!I69-'Feeder Spreads'!I74,"")</f>
        <v>0</v>
      </c>
      <c r="CY69">
        <f>IFERROR('Feeder Spreads'!I69-'Feeder Spreads'!I79,"")</f>
        <v>0</v>
      </c>
      <c r="CZ69">
        <f>IFERROR(AVERAGE('Feeder Spreads'!I69:I88)+2*STDEV('Feeder Spreads'!I69:I88),"")</f>
        <v>0</v>
      </c>
      <c r="DA69">
        <f>IFERROR(AVERAGE('Feeder Spreads'!I69:I88)-2*STDEV('Feeder Spreads'!I69:I88),"")</f>
        <v>0</v>
      </c>
      <c r="DB69" t="str">
        <f>IFERROR(('Feeder Spreads'!I69-(AVERAGE('Feeder Spreads'!I69:I88)-2*STDEV('Feeder Spreads'!I69:I88)))/(4*STDEV('Feeder Spreads'!I69:I88)),"")</f>
        <v/>
      </c>
      <c r="DC69" t="str">
        <f>IFERROR(4*STDEV('Feeder Spreads'!I69:I88)/AVERAGE('Feeder Spreads'!I69:I88),"")</f>
        <v/>
      </c>
      <c r="DD69">
        <v>61.401600000000002</v>
      </c>
      <c r="DE69">
        <f>IFERROR(SQRT((SUMSQ('Feeder Spreads'!I69:I88)-2*SUMPRODUCT('Feeder Spreads'!I69:I88,'Feeder Spreads'!I70:I89)+SUMSQ('Feeder Spreads'!I70:I89)-('Feeder Spreads'!I69-'Feeder Spreads'!I89)^2/20)/19),"")</f>
        <v>0</v>
      </c>
      <c r="DG69">
        <f>IFERROR('Feeder Spreads'!O69,"")</f>
        <v>0</v>
      </c>
      <c r="DH69">
        <f>IFERROR(('Feeder Spreads'!P69-AVERAGE('Feeder Spreads'!$P$3:$P$4308))/STDEV('Feeder Spreads'!$P$3:$P$4308),"")</f>
        <v>-9.2057461789832346E-2</v>
      </c>
      <c r="DI69">
        <f>IFERROR('Feeder Spreads'!P69-'Feeder Spreads'!P74,"")</f>
        <v>0</v>
      </c>
      <c r="DJ69">
        <f>IFERROR('Feeder Spreads'!P69-'Feeder Spreads'!P79,"")</f>
        <v>0</v>
      </c>
      <c r="DK69">
        <f>IFERROR(AVERAGE('Feeder Spreads'!P69:P88)+2*STDEV('Feeder Spreads'!P69:P88),"")</f>
        <v>0</v>
      </c>
      <c r="DL69">
        <f>IFERROR(AVERAGE('Feeder Spreads'!P69:P88)-2*STDEV('Feeder Spreads'!P69:P88),"")</f>
        <v>0</v>
      </c>
      <c r="DM69" t="str">
        <f>IFERROR(('Feeder Spreads'!P69-(AVERAGE('Feeder Spreads'!P69:P88)-2*STDEV('Feeder Spreads'!P69:P88)))/(4*STDEV('Feeder Spreads'!P69:P88)),"")</f>
        <v/>
      </c>
      <c r="DN69" t="str">
        <f>IFERROR(4*STDEV('Feeder Spreads'!P69:P88)/AVERAGE('Feeder Spreads'!P69:P88),"")</f>
        <v/>
      </c>
      <c r="DO69">
        <v>58.316000000000003</v>
      </c>
      <c r="DP69">
        <f>IFERROR(SQRT((SUMSQ('Feeder Spreads'!P69:P88)-2*SUMPRODUCT('Feeder Spreads'!P69:P88,'Feeder Spreads'!P70:P89)+SUMSQ('Feeder Spreads'!P70:P89)-('Feeder Spreads'!P69-'Feeder Spreads'!P89)^2/20)/19),"")</f>
        <v>0</v>
      </c>
      <c r="DR69">
        <f>IFERROR('Feeder Spreads'!V69,"")</f>
        <v>0</v>
      </c>
      <c r="DS69">
        <f>IFERROR(('Feeder Spreads'!W69-AVERAGE('Feeder Spreads'!$W$3:$W$4308))/STDEV('Feeder Spreads'!$W$3:$W$4308),"")</f>
        <v>-9.2057461789832332E-2</v>
      </c>
      <c r="DT69">
        <f>IFERROR('Feeder Spreads'!W69-'Feeder Spreads'!W74,"")</f>
        <v>0</v>
      </c>
      <c r="DU69">
        <f>IFERROR('Feeder Spreads'!W69-'Feeder Spreads'!W79,"")</f>
        <v>0</v>
      </c>
      <c r="DV69">
        <f>IFERROR(AVERAGE('Feeder Spreads'!W69:W88)+2*STDEV('Feeder Spreads'!W69:W88),"")</f>
        <v>0</v>
      </c>
      <c r="DW69">
        <f>IFERROR(AVERAGE('Feeder Spreads'!W69:W88)-2*STDEV('Feeder Spreads'!W69:W88),"")</f>
        <v>0</v>
      </c>
      <c r="DX69" t="str">
        <f>IFERROR(('Feeder Spreads'!W69-(AVERAGE('Feeder Spreads'!W69:W88)-2*STDEV('Feeder Spreads'!W69:W88)))/(4*STDEV('Feeder Spreads'!W69:W88)),"")</f>
        <v/>
      </c>
      <c r="DY69" t="str">
        <f>IFERROR(4*STDEV('Feeder Spreads'!W69:W88)/AVERAGE('Feeder Spreads'!W69:W88),"")</f>
        <v/>
      </c>
      <c r="DZ69">
        <v>55.848500000000001</v>
      </c>
      <c r="EA69">
        <f>IFERROR(SQRT((SUMSQ('Feeder Spreads'!W69:W88)-2*SUMPRODUCT('Feeder Spreads'!W69:W88,'Feeder Spreads'!W70:W89)+SUMSQ('Feeder Spreads'!W70:W89)-('Feeder Spreads'!W69-'Feeder Spreads'!W89)^2/20)/19),"")</f>
        <v>0</v>
      </c>
      <c r="EC69">
        <f>IFERROR('Feeder Spreads'!AC69,"")</f>
        <v>0</v>
      </c>
      <c r="ED69">
        <f>IFERROR(('Feeder Spreads'!AD69-AVERAGE('Feeder Spreads'!$AD$3:$AD$4308))/STDEV('Feeder Spreads'!$AD$3:$AD$4308),"")</f>
        <v>9.2057461789832318E-2</v>
      </c>
      <c r="EE69">
        <f>IFERROR('Feeder Spreads'!AD69-'Feeder Spreads'!AD74,"")</f>
        <v>0</v>
      </c>
      <c r="EF69">
        <f>IFERROR('Feeder Spreads'!AD69-'Feeder Spreads'!AD79,"")</f>
        <v>0</v>
      </c>
      <c r="EG69">
        <f>IFERROR(AVERAGE('Feeder Spreads'!AD69:AD88)+2*STDEV('Feeder Spreads'!AD69:AD88),"")</f>
        <v>0</v>
      </c>
      <c r="EH69">
        <f>IFERROR(AVERAGE('Feeder Spreads'!AD69:AD88)-2*STDEV('Feeder Spreads'!AD69:AD88),"")</f>
        <v>0</v>
      </c>
      <c r="EI69" t="str">
        <f>IFERROR(('Feeder Spreads'!AD69-(AVERAGE('Feeder Spreads'!AD69:AD88)-2*STDEV('Feeder Spreads'!AD69:AD88)))/(4*STDEV('Feeder Spreads'!AD69:AD88)),"")</f>
        <v/>
      </c>
      <c r="EJ69" t="str">
        <f>IFERROR(4*STDEV('Feeder Spreads'!AD69:AD88)/AVERAGE('Feeder Spreads'!AD69:AD88),"")</f>
        <v/>
      </c>
      <c r="EK69">
        <v>52.301499999999997</v>
      </c>
      <c r="EL69">
        <f>IFERROR(SQRT((SUMSQ('Feeder Spreads'!AD69:AD88)-2*SUMPRODUCT('Feeder Spreads'!AD69:AD88,'Feeder Spreads'!AD70:AD89)+SUMSQ('Feeder Spreads'!AD70:AD89)-('Feeder Spreads'!AD69-'Feeder Spreads'!AD89)^2/20)/19),"")</f>
        <v>0</v>
      </c>
      <c r="EN69">
        <f>IFERROR('Feeder Spreads'!AJ69,"")</f>
        <v>0</v>
      </c>
      <c r="EO69">
        <f>IFERROR(('Feeder Spreads'!AK69-AVERAGE('Feeder Spreads'!$AK$3:$AK$4308))/STDEV('Feeder Spreads'!$AK$3:$AK$4308),"")</f>
        <v>-9.2057461789832346E-2</v>
      </c>
      <c r="EP69">
        <f>IFERROR('Feeder Spreads'!AK69-'Feeder Spreads'!AK74,"")</f>
        <v>0</v>
      </c>
      <c r="EQ69">
        <f>IFERROR('Feeder Spreads'!AK69-'Feeder Spreads'!AK79,"")</f>
        <v>0</v>
      </c>
      <c r="ER69">
        <f>IFERROR(AVERAGE('Feeder Spreads'!AK69:AK88)+2*STDEV('Feeder Spreads'!AK69:AK88),"")</f>
        <v>0</v>
      </c>
      <c r="ES69">
        <f>IFERROR(AVERAGE('Feeder Spreads'!AK69:AK88)-2*STDEV('Feeder Spreads'!AK69:AK88),"")</f>
        <v>0</v>
      </c>
      <c r="ET69" t="str">
        <f>IFERROR(('Feeder Spreads'!AK69-(AVERAGE('Feeder Spreads'!AK69:AK88)-2*STDEV('Feeder Spreads'!AK69:AK88)))/(4*STDEV('Feeder Spreads'!AK69:AK88)),"")</f>
        <v/>
      </c>
      <c r="EU69" t="str">
        <f>IFERROR(4*STDEV('Feeder Spreads'!AK69:AK88)/AVERAGE('Feeder Spreads'!AK69:AK88),"")</f>
        <v/>
      </c>
      <c r="EV69">
        <v>56.115200000000002</v>
      </c>
      <c r="EW69">
        <f>IFERROR(SQRT((SUMSQ('Feeder Spreads'!AK69:AK88)-2*SUMPRODUCT('Feeder Spreads'!AK69:AK88,'Feeder Spreads'!AK70:AK89)+SUMSQ('Feeder Spreads'!AK70:AK89)-('Feeder Spreads'!AK69-'Feeder Spreads'!AK89)^2/20)/19),"")</f>
        <v>0</v>
      </c>
      <c r="EY69">
        <f>IFERROR('Feeder Spreads'!AQ69,"")</f>
        <v>0</v>
      </c>
      <c r="EZ69">
        <f>IFERROR(('Feeder Spreads'!AR69-AVERAGE('Feeder Spreads'!$AR$3:$AR$4308))/STDEV('Feeder Spreads'!$AR$3:$AR$4308),"")</f>
        <v>-9.2057461789832332E-2</v>
      </c>
      <c r="FA69">
        <f>IFERROR('Feeder Spreads'!AR69-'Feeder Spreads'!AR74,"")</f>
        <v>0</v>
      </c>
      <c r="FB69">
        <f>IFERROR('Feeder Spreads'!AR69-'Feeder Spreads'!AR79,"")</f>
        <v>0</v>
      </c>
      <c r="FC69">
        <f>IFERROR(AVERAGE('Feeder Spreads'!AR69:AR88)+2*STDEV('Feeder Spreads'!AR69:AR88),"")</f>
        <v>0</v>
      </c>
      <c r="FD69">
        <f>IFERROR(AVERAGE('Feeder Spreads'!AR69:AR88)-2*STDEV('Feeder Spreads'!AR69:AR88),"")</f>
        <v>0</v>
      </c>
      <c r="FE69" t="str">
        <f>IFERROR(('Feeder Spreads'!AR69-(AVERAGE('Feeder Spreads'!AR69:AR88)-2*STDEV('Feeder Spreads'!AR69:AR88)))/(4*STDEV('Feeder Spreads'!AR69:AR88)),"")</f>
        <v/>
      </c>
      <c r="FF69" t="str">
        <f>IFERROR(4*STDEV('Feeder Spreads'!AR69:AR88)/AVERAGE('Feeder Spreads'!AR69:AR88),"")</f>
        <v/>
      </c>
      <c r="FG69">
        <v>55.306699999999999</v>
      </c>
      <c r="FH69">
        <f>IFERROR(SQRT((SUMSQ('Feeder Spreads'!AR69:AR88)-2*SUMPRODUCT('Feeder Spreads'!AR69:AR88,'Feeder Spreads'!AR70:AR89)+SUMSQ('Feeder Spreads'!AR70:AR89)-('Feeder Spreads'!AR69-'Feeder Spreads'!AR89)^2/20)/19),"")</f>
        <v>0</v>
      </c>
      <c r="FJ69">
        <f>IFERROR('Fat Spreads'!AX69,"")</f>
        <v>0</v>
      </c>
      <c r="FK69">
        <f>IFERROR(('Fat Spreads'!AY69-AVERAGE('Fat Spreads'!$AY$3:$AY$4308))/STDEV('Fat Spreads'!$AY$3:$AY$4308),"")</f>
        <v>9.2057461789832332E-2</v>
      </c>
      <c r="FL69">
        <f>IFERROR('Fat Spreads'!AY69-'Fat Spreads'!AY74,"")</f>
        <v>0</v>
      </c>
      <c r="FM69">
        <f>IFERROR('Fat Spreads'!AY69-'Fat Spreads'!AY79,"")</f>
        <v>0</v>
      </c>
      <c r="FN69">
        <f>IFERROR(AVERAGE('Fat Spreads'!AY69:AY88)+2*STDEV('Fat Spreads'!AY69:AY88),"")</f>
        <v>0</v>
      </c>
      <c r="FO69">
        <f>IFERROR(AVERAGE('Fat Spreads'!AY69:AY88)-2*STDEV('Fat Spreads'!AY69:AY88),"")</f>
        <v>0</v>
      </c>
      <c r="FP69" t="str">
        <f>IFERROR(('Fat Spreads'!AY69-(AVERAGE('Fat Spreads'!AY69:AY88)-2*STDEV('Fat Spreads'!AY69:AY88)))/(4*STDEV('Fat Spreads'!AY69:AY88)),"")</f>
        <v/>
      </c>
      <c r="FQ69" t="str">
        <f>IFERROR(4*STDEV('Fat Spreads'!AY69:AY88)/AVERAGE('Fat Spreads'!AY69:AY88),"")</f>
        <v/>
      </c>
      <c r="FR69">
        <v>38.201900000000002</v>
      </c>
      <c r="FS69">
        <f>IFERROR(SQRT((SUMSQ('Fat Spreads'!AY69:AY88)-2*SUMPRODUCT('Fat Spreads'!AY69:AY88,'Fat Spreads'!AY70:AY89)+SUMSQ('Fat Spreads'!AY70:AY89)-('Fat Spreads'!AY69-'Fat Spreads'!AY89)^2/20)/19),"")</f>
        <v>0</v>
      </c>
      <c r="FU69">
        <f>IFERROR('Fat Spreads'!BE69,"")</f>
        <v>0</v>
      </c>
      <c r="FV69">
        <f>IFERROR(('Fat Spreads'!BF69-AVERAGE('Fat Spreads'!$BF$3:$BF$4308))/STDEV('Fat Spreads'!$BF$3:$BF$4308),"")</f>
        <v>9.2057461789832332E-2</v>
      </c>
      <c r="FW69">
        <f>IFERROR('Fat Spreads'!BF69-'Fat Spreads'!BF74,"")</f>
        <v>0</v>
      </c>
      <c r="FX69">
        <f>IFERROR('Fat Spreads'!BF69-'Fat Spreads'!BF79,"")</f>
        <v>0</v>
      </c>
      <c r="FY69">
        <f>IFERROR(AVERAGE('Fat Spreads'!BF69:BF88)+2*STDEV('Fat Spreads'!BF69:BF88),"")</f>
        <v>0</v>
      </c>
      <c r="FZ69">
        <f>IFERROR(AVERAGE('Fat Spreads'!BF69:BF88)-2*STDEV('Fat Spreads'!BF69:BF88),"")</f>
        <v>0</v>
      </c>
      <c r="GA69" t="str">
        <f>IFERROR(('Fat Spreads'!BF69-(AVERAGE('Fat Spreads'!BF69:BF88)-2*STDEV('Fat Spreads'!BF69:BF88)))/(4*STDEV('Fat Spreads'!BF69:BF88)),"")</f>
        <v/>
      </c>
      <c r="GB69" t="str">
        <f>IFERROR(4*STDEV('Fat Spreads'!BF69:BF88)/AVERAGE('Fat Spreads'!BF69:BF88),"")</f>
        <v/>
      </c>
      <c r="GC69">
        <v>32.757399999999997</v>
      </c>
      <c r="GD69">
        <f>IFERROR(SQRT((SUMSQ('Fat Spreads'!BF69:BF88)-2*SUMPRODUCT('Fat Spreads'!BF69:BF88,'Fat Spreads'!BF70:BF89)+SUMSQ('Fat Spreads'!BF70:BF89)-('Fat Spreads'!BF69-'Fat Spreads'!BF89)^2/20)/19),"")</f>
        <v>0</v>
      </c>
    </row>
    <row r="70" spans="1:186" x14ac:dyDescent="0.25">
      <c r="A70">
        <f>IFERROR('Fat Spreads'!A70,"")</f>
        <v>0</v>
      </c>
      <c r="B70">
        <f>IFERROR(('Fat Spreads'!B70-AVERAGE('Fat Spreads'!$B$3:$B$4308))/STDEV('Fat Spreads'!$B$3:$B$4308),"")</f>
        <v>9.2057461789832346E-2</v>
      </c>
      <c r="C70">
        <f>IFERROR('Fat Spreads'!B70-'Fat Spreads'!B75,"")</f>
        <v>0</v>
      </c>
      <c r="D70">
        <f>IFERROR('Fat Spreads'!B70-'Fat Spreads'!B80,"")</f>
        <v>0</v>
      </c>
      <c r="E70">
        <f>IFERROR(AVERAGE('Fat Spreads'!B70:B89)+2*STDEV('Fat Spreads'!B70:B89),"")</f>
        <v>0</v>
      </c>
      <c r="F70">
        <f>IFERROR(AVERAGE('Fat Spreads'!B70:B89)-2*STDEV('Fat Spreads'!B70:B89),"")</f>
        <v>0</v>
      </c>
      <c r="G70" t="str">
        <f>IFERROR(('Fat Spreads'!B70-(AVERAGE('Fat Spreads'!B70:B89)-2*STDEV('Fat Spreads'!B70:B89)))/(4*STDEV('Fat Spreads'!B70:B89)),"")</f>
        <v/>
      </c>
      <c r="H70" t="str">
        <f>IFERROR(4*STDEV('Fat Spreads'!B70:B89)/AVERAGE('Fat Spreads'!B70:B89),"")</f>
        <v/>
      </c>
      <c r="I70">
        <v>38.624499999999998</v>
      </c>
      <c r="J70">
        <f>IFERROR(SQRT((SUMSQ('Fat Spreads'!B70:B89)-2*SUMPRODUCT('Fat Spreads'!B70:B89,'Fat Spreads'!B71:B90)+SUMSQ('Fat Spreads'!B71:B90)-('Fat Spreads'!B70-'Fat Spreads'!B90)^2/20)/19),"")</f>
        <v>0</v>
      </c>
      <c r="L70">
        <f>IFERROR('Fat Spreads'!H70,"")</f>
        <v>0</v>
      </c>
      <c r="M70">
        <f>IFERROR(('Fat Spreads'!I70-AVERAGE('Fat Spreads'!$I$3:$I$4308))/STDEV('Fat Spreads'!$I$3:$I$4308),"")</f>
        <v>-9.2057461789832332E-2</v>
      </c>
      <c r="N70">
        <f>IFERROR('Fat Spreads'!I70-'Fat Spreads'!I75,"")</f>
        <v>0</v>
      </c>
      <c r="O70">
        <f>IFERROR('Fat Spreads'!I70-'Fat Spreads'!I80,"")</f>
        <v>0</v>
      </c>
      <c r="P70">
        <f>IFERROR(AVERAGE('Fat Spreads'!I70:I89)+2*STDEV('Fat Spreads'!I70:I89),"")</f>
        <v>0</v>
      </c>
      <c r="Q70">
        <f>IFERROR(AVERAGE('Fat Spreads'!I70:I89)-2*STDEV('Fat Spreads'!I70:I89),"")</f>
        <v>0</v>
      </c>
      <c r="R70" t="str">
        <f>IFERROR(('Fat Spreads'!I70-(AVERAGE('Fat Spreads'!I70:I89)-2*STDEV('Fat Spreads'!I70:I89)))/(4*STDEV('Fat Spreads'!I70:I89)),"")</f>
        <v/>
      </c>
      <c r="S70" t="str">
        <f>IFERROR(4*STDEV('Fat Spreads'!I70:I89)/AVERAGE('Fat Spreads'!I70:I89),"")</f>
        <v/>
      </c>
      <c r="T70">
        <v>32.490699999999997</v>
      </c>
      <c r="U70">
        <f>IFERROR(SQRT((SUMSQ('Fat Spreads'!I70:I89)-2*SUMPRODUCT('Fat Spreads'!I70:I89,'Fat Spreads'!I71:I90)+SUMSQ('Fat Spreads'!I71:I90)-('Fat Spreads'!I70-'Fat Spreads'!I90)^2/20)/19),"")</f>
        <v>0</v>
      </c>
      <c r="W70">
        <f>IFERROR('Fat Spreads'!AQ70,"")</f>
        <v>0</v>
      </c>
      <c r="X70">
        <f>IFERROR(('Fat Spreads'!AR70-AVERAGE('Fat Spreads'!$AR$3:$AR$4308))/STDEV('Fat Spreads'!$AR$3:$AR$4308),"")</f>
        <v>-9.2057461789832346E-2</v>
      </c>
      <c r="Y70">
        <f>IFERROR('Fat Spreads'!AR70-'Fat Spreads'!AR75,"")</f>
        <v>0</v>
      </c>
      <c r="Z70">
        <f>IFERROR('Fat Spreads'!AR70-'Fat Spreads'!AR80,"")</f>
        <v>0</v>
      </c>
      <c r="AA70">
        <f>IFERROR(AVERAGE('Fat Spreads'!AR70:AR89)+2*STDEV('Fat Spreads'!AR70:AR89),"")</f>
        <v>0</v>
      </c>
      <c r="AB70">
        <f>IFERROR(AVERAGE('Fat Spreads'!AR70:AR89)-2*STDEV('Fat Spreads'!AR70:AR89),"")</f>
        <v>0</v>
      </c>
      <c r="AC70" t="str">
        <f>IFERROR(('Fat Spreads'!AR70-(AVERAGE('Fat Spreads'!AR70:AR89)-2*STDEV('Fat Spreads'!AR70:AR89)))/(4*STDEV('Fat Spreads'!AR70:AR89)),"")</f>
        <v/>
      </c>
      <c r="AD70" t="str">
        <f>IFERROR(4*STDEV('Fat Spreads'!AR70:AR89)/AVERAGE('Fat Spreads'!AR70:AR89),"")</f>
        <v/>
      </c>
      <c r="AE70">
        <v>67.683899999999994</v>
      </c>
      <c r="AF70">
        <f>IFERROR(SQRT((SUMSQ('Fat Spreads'!AR70:AR89)-2*SUMPRODUCT('Fat Spreads'!AR70:AR89,'Fat Spreads'!AR71:AR90)+SUMSQ('Fat Spreads'!AR71:AR90)-('Fat Spreads'!AR70-'Fat Spreads'!AR90)^2/20)/19),"")</f>
        <v>0</v>
      </c>
      <c r="AH70">
        <f>IFERROR('Fat Spreads'!O70,"")</f>
        <v>0</v>
      </c>
      <c r="AI70">
        <f>IFERROR(('Fat Spreads'!P70-AVERAGE('Fat Spreads'!$P$3:$P$4308))/STDEV('Fat Spreads'!$P$3:$P$4308),"")</f>
        <v>-9.2057461789832332E-2</v>
      </c>
      <c r="AJ70">
        <f>IFERROR('Fat Spreads'!P70-'Fat Spreads'!P75,"")</f>
        <v>0</v>
      </c>
      <c r="AK70">
        <f>IFERROR('Fat Spreads'!P70-'Fat Spreads'!P80,"")</f>
        <v>0</v>
      </c>
      <c r="AL70">
        <f>IFERROR(AVERAGE('Fat Spreads'!P70:P89)+2*STDEV('Fat Spreads'!P70:P89),"")</f>
        <v>0</v>
      </c>
      <c r="AM70">
        <f>IFERROR(AVERAGE('Fat Spreads'!P70:P89)-2*STDEV('Fat Spreads'!P70:P89),"")</f>
        <v>0</v>
      </c>
      <c r="AN70" t="str">
        <f>IFERROR(('Fat Spreads'!P70-(AVERAGE('Fat Spreads'!P70:P89)-2*STDEV('Fat Spreads'!P70:P89)))/(4*STDEV('Fat Spreads'!P70:P89)),"")</f>
        <v/>
      </c>
      <c r="AO70" t="str">
        <f>IFERROR(4*STDEV('Fat Spreads'!P70:P89)/AVERAGE('Fat Spreads'!P70:P89),"")</f>
        <v/>
      </c>
      <c r="AP70">
        <v>47.519300000000001</v>
      </c>
      <c r="AQ70">
        <f>IFERROR(SQRT((SUMSQ('Fat Spreads'!P70:P89)-2*SUMPRODUCT('Fat Spreads'!P70:P89,'Fat Spreads'!P71:P90)+SUMSQ('Fat Spreads'!P71:P90)-('Fat Spreads'!P70-'Fat Spreads'!P90)^2/20)/19),"")</f>
        <v>0</v>
      </c>
      <c r="AS70">
        <f>IFERROR('Fat Spreads'!AJ70,"")</f>
        <v>0</v>
      </c>
      <c r="AT70">
        <f>IFERROR(('Fat Spreads'!AK70-AVERAGE('Fat Spreads'!$AK$3:$AK$4308))/STDEV('Fat Spreads'!$AK$3:$AK$4308),"")</f>
        <v>-9.2057461789832332E-2</v>
      </c>
      <c r="AU70">
        <f>IFERROR('Fat Spreads'!AK70-'Fat Spreads'!AK75,"")</f>
        <v>0</v>
      </c>
      <c r="AV70">
        <f>IFERROR('Fat Spreads'!AK70-'Fat Spreads'!AK80,"")</f>
        <v>0</v>
      </c>
      <c r="AW70">
        <f>IFERROR(AVERAGE('Fat Spreads'!AK70:AK89)+2*STDEV('Fat Spreads'!AK70:AK89),"")</f>
        <v>0</v>
      </c>
      <c r="AX70">
        <f>IFERROR(AVERAGE('Fat Spreads'!AK70:AK89)-2*STDEV('Fat Spreads'!AK70:AK89),"")</f>
        <v>0</v>
      </c>
      <c r="AY70" t="str">
        <f>IFERROR(('Fat Spreads'!AK70-(AVERAGE('Fat Spreads'!AK70:AK89)-2*STDEV('Fat Spreads'!AK70:AK89)))/(4*STDEV('Fat Spreads'!AK70:AK89)),"")</f>
        <v/>
      </c>
      <c r="AZ70" t="str">
        <f>IFERROR(4*STDEV('Fat Spreads'!AK70:AK89)/AVERAGE('Fat Spreads'!AK70:AK89),"")</f>
        <v/>
      </c>
      <c r="BA70">
        <v>42.4724</v>
      </c>
      <c r="BB70">
        <f>IFERROR(SQRT((SUMSQ('Fat Spreads'!AK70:AK89)-2*SUMPRODUCT('Fat Spreads'!AK70:AK89,'Fat Spreads'!AK71:AK90)+SUMSQ('Fat Spreads'!AK71:AK90)-('Fat Spreads'!AK70-'Fat Spreads'!AK90)^2/20)/19),"")</f>
        <v>0</v>
      </c>
      <c r="BD70">
        <f>IFERROR('Fat Spreads'!V70,"")</f>
        <v>0</v>
      </c>
      <c r="BE70">
        <f>IFERROR(('Fat Spreads'!W70-AVERAGE('Fat Spreads'!$W$3:$W$4308))/STDEV('Fat Spreads'!$W$3:$W$4308),"")</f>
        <v>-9.2057461789832332E-2</v>
      </c>
      <c r="BF70">
        <f>IFERROR('Fat Spreads'!W70-'Fat Spreads'!W75,"")</f>
        <v>0</v>
      </c>
      <c r="BG70">
        <f>IFERROR('Fat Spreads'!W70-'Fat Spreads'!W80,"")</f>
        <v>0</v>
      </c>
      <c r="BH70">
        <f>IFERROR(AVERAGE('Fat Spreads'!W70:W89)+2*STDEV('Fat Spreads'!W70:W89),"")</f>
        <v>0</v>
      </c>
      <c r="BI70">
        <f>IFERROR(AVERAGE('Fat Spreads'!W70:W89)-2*STDEV('Fat Spreads'!W70:W89),"")</f>
        <v>0</v>
      </c>
      <c r="BJ70" t="str">
        <f>IFERROR(('Fat Spreads'!W70-(AVERAGE('Fat Spreads'!W70:W89)-2*STDEV('Fat Spreads'!W70:W89)))/(4*STDEV('Fat Spreads'!W70:W89)),"")</f>
        <v/>
      </c>
      <c r="BK70" t="str">
        <f>IFERROR(4*STDEV('Fat Spreads'!W70:W89)/AVERAGE('Fat Spreads'!W70:W89),"")</f>
        <v/>
      </c>
      <c r="BL70">
        <v>71.103800000000007</v>
      </c>
      <c r="BM70">
        <f>IFERROR(SQRT((SUMSQ('Fat Spreads'!W70:W89)-2*SUMPRODUCT('Fat Spreads'!W70:W89,'Fat Spreads'!W71:W90)+SUMSQ('Fat Spreads'!W71:W90)-('Fat Spreads'!W70-'Fat Spreads'!W90)^2/20)/19),"")</f>
        <v>0</v>
      </c>
      <c r="BO70">
        <f>IFERROR('Fat Spreads'!AC70,"")</f>
        <v>0</v>
      </c>
      <c r="BP70">
        <f>IFERROR(('Fat Spreads'!AD70-AVERAGE('Fat Spreads'!$AD$3:$AD$4308))/STDEV('Fat Spreads'!$AD$3:$AD$4308),"")</f>
        <v>-9.2057461789832332E-2</v>
      </c>
      <c r="BQ70">
        <f>IFERROR('Fat Spreads'!AD70-'Fat Spreads'!AD75,"")</f>
        <v>0</v>
      </c>
      <c r="BR70">
        <f>IFERROR('Fat Spreads'!AD70-'Fat Spreads'!AD80,"")</f>
        <v>0</v>
      </c>
      <c r="BS70">
        <f>IFERROR(AVERAGE('Fat Spreads'!AD70:AD89)+2*STDEV('Fat Spreads'!AD70:AD89),"")</f>
        <v>0</v>
      </c>
      <c r="BT70">
        <f>IFERROR(AVERAGE('Fat Spreads'!AD70:AD89)-2*STDEV('Fat Spreads'!AD70:AD89),"")</f>
        <v>0</v>
      </c>
      <c r="BU70" t="str">
        <f>IFERROR(('Fat Spreads'!AD70-(AVERAGE('Fat Spreads'!AD70:AD89)-2*STDEV('Fat Spreads'!AD70:AD89)))/(4*STDEV('Fat Spreads'!AD70:AD89)),"")</f>
        <v/>
      </c>
      <c r="BV70" t="str">
        <f>IFERROR(4*STDEV('Fat Spreads'!AD70:AD89)/AVERAGE('Fat Spreads'!AD70:AD89),"")</f>
        <v/>
      </c>
      <c r="BW70">
        <v>48.164200000000001</v>
      </c>
      <c r="BX70">
        <f>IFERROR(SQRT((SUMSQ('Fat Spreads'!AD70:AD89)-2*SUMPRODUCT('Fat Spreads'!AD70:AD89,'Fat Spreads'!AD71:AD90)+SUMSQ('Fat Spreads'!AD71:AD90)-('Fat Spreads'!AD70-'Fat Spreads'!AD90)^2/20)/19),"")</f>
        <v>0</v>
      </c>
      <c r="BZ70">
        <f>IFERROR('Feeder Spreads'!A70,"")</f>
        <v>0</v>
      </c>
      <c r="CA70">
        <f>IFERROR(('Feeder Spreads'!B70-AVERAGE('Feeder Spreads'!$B$3:$B$4308))/STDEV('Feeder Spreads'!$B$3:$B$4308),"")</f>
        <v>-9.2057461789832346E-2</v>
      </c>
      <c r="CB70">
        <f>IFERROR('Feeder Spreads'!B70-'Feeder Spreads'!B75,"")</f>
        <v>0</v>
      </c>
      <c r="CC70">
        <f>IFERROR('Feeder Spreads'!B70-'Feeder Spreads'!B80,"")</f>
        <v>0</v>
      </c>
      <c r="CD70">
        <f>IFERROR(AVERAGE('Feeder Spreads'!B70:B89)+2*STDEV('Feeder Spreads'!B70:B89),"")</f>
        <v>0</v>
      </c>
      <c r="CE70">
        <f>IFERROR(AVERAGE('Feeder Spreads'!B70:B89)-2*STDEV('Feeder Spreads'!B70:B89),"")</f>
        <v>0</v>
      </c>
      <c r="CF70" t="str">
        <f>IFERROR(('Feeder Spreads'!B70-(AVERAGE('Feeder Spreads'!B70:B89)-2*STDEV('Feeder Spreads'!B70:B89)))/(4*STDEV('Feeder Spreads'!B70:B89)),"")</f>
        <v/>
      </c>
      <c r="CG70" t="str">
        <f>IFERROR(4*STDEV('Feeder Spreads'!B70:B89)/AVERAGE('Feeder Spreads'!B70:B89),"")</f>
        <v/>
      </c>
      <c r="CH70">
        <v>50.482799999999997</v>
      </c>
      <c r="CI70">
        <f>IFERROR(SQRT((SUMSQ('Feeder Spreads'!B70:B89)-2*SUMPRODUCT('Feeder Spreads'!B70:B89,'Feeder Spreads'!B71:B90)+SUMSQ('Feeder Spreads'!B71:B90)-('Feeder Spreads'!B70-'Feeder Spreads'!B90)^2/20)/19),"")</f>
        <v>0</v>
      </c>
      <c r="CK70">
        <f>IFERROR('Feeder Spreads'!AX70,"")</f>
        <v>0</v>
      </c>
      <c r="CL70">
        <f>IFERROR(('Feeder Spreads'!AY70-AVERAGE('Feeder Spreads'!$AY$3:$AY$4308))/STDEV('Feeder Spreads'!$AY$3:$AY$4308),"")</f>
        <v>-9.2057461789832346E-2</v>
      </c>
      <c r="CM70">
        <f>IFERROR('Feeder Spreads'!AY70-'Feeder Spreads'!AY75,"")</f>
        <v>0</v>
      </c>
      <c r="CN70">
        <f>IFERROR('Feeder Spreads'!AY70-'Feeder Spreads'!AY80,"")</f>
        <v>0</v>
      </c>
      <c r="CO70">
        <f>IFERROR(AVERAGE('Feeder Spreads'!AY70:AY89)+2*STDEV('Feeder Spreads'!AY70:AY89),"")</f>
        <v>0</v>
      </c>
      <c r="CP70">
        <f>IFERROR(AVERAGE('Feeder Spreads'!AY70:AY89)-2*STDEV('Feeder Spreads'!AY70:AY89),"")</f>
        <v>0</v>
      </c>
      <c r="CQ70" t="str">
        <f>IFERROR(('Feeder Spreads'!AY70-(AVERAGE('Feeder Spreads'!AY70:AY89)-2*STDEV('Feeder Spreads'!AY70:AY89)))/(4*STDEV('Feeder Spreads'!AY70:AY89)),"")</f>
        <v/>
      </c>
      <c r="CR70" t="str">
        <f>IFERROR(4*STDEV('Feeder Spreads'!AY70:AY89)/AVERAGE('Feeder Spreads'!AY70:AY89),"")</f>
        <v/>
      </c>
      <c r="CS70">
        <v>49.648600000000002</v>
      </c>
      <c r="CT70">
        <f>IFERROR(SQRT((SUMSQ('Feeder Spreads'!AY70:AY89)-2*SUMPRODUCT('Feeder Spreads'!AY70:AY89,'Feeder Spreads'!AY71:AY90)+SUMSQ('Feeder Spreads'!AY71:AY90)-('Feeder Spreads'!AY70-'Feeder Spreads'!AY90)^2/20)/19),"")</f>
        <v>0</v>
      </c>
      <c r="CV70">
        <f>IFERROR('Feeder Spreads'!H70,"")</f>
        <v>0</v>
      </c>
      <c r="CW70">
        <f>IFERROR(('Feeder Spreads'!I70-AVERAGE('Feeder Spreads'!$I$3:$I$4308))/STDEV('Feeder Spreads'!$I$3:$I$4308),"")</f>
        <v>-9.2057461789832332E-2</v>
      </c>
      <c r="CX70">
        <f>IFERROR('Feeder Spreads'!I70-'Feeder Spreads'!I75,"")</f>
        <v>0</v>
      </c>
      <c r="CY70">
        <f>IFERROR('Feeder Spreads'!I70-'Feeder Spreads'!I80,"")</f>
        <v>0</v>
      </c>
      <c r="CZ70">
        <f>IFERROR(AVERAGE('Feeder Spreads'!I70:I89)+2*STDEV('Feeder Spreads'!I70:I89),"")</f>
        <v>0</v>
      </c>
      <c r="DA70">
        <f>IFERROR(AVERAGE('Feeder Spreads'!I70:I89)-2*STDEV('Feeder Spreads'!I70:I89),"")</f>
        <v>0</v>
      </c>
      <c r="DB70" t="str">
        <f>IFERROR(('Feeder Spreads'!I70-(AVERAGE('Feeder Spreads'!I70:I89)-2*STDEV('Feeder Spreads'!I70:I89)))/(4*STDEV('Feeder Spreads'!I70:I89)),"")</f>
        <v/>
      </c>
      <c r="DC70" t="str">
        <f>IFERROR(4*STDEV('Feeder Spreads'!I70:I89)/AVERAGE('Feeder Spreads'!I70:I89),"")</f>
        <v/>
      </c>
      <c r="DD70">
        <v>59.920999999999999</v>
      </c>
      <c r="DE70">
        <f>IFERROR(SQRT((SUMSQ('Feeder Spreads'!I70:I89)-2*SUMPRODUCT('Feeder Spreads'!I70:I89,'Feeder Spreads'!I71:I90)+SUMSQ('Feeder Spreads'!I71:I90)-('Feeder Spreads'!I70-'Feeder Spreads'!I90)^2/20)/19),"")</f>
        <v>0</v>
      </c>
      <c r="DG70">
        <f>IFERROR('Feeder Spreads'!O70,"")</f>
        <v>0</v>
      </c>
      <c r="DH70">
        <f>IFERROR(('Feeder Spreads'!P70-AVERAGE('Feeder Spreads'!$P$3:$P$4308))/STDEV('Feeder Spreads'!$P$3:$P$4308),"")</f>
        <v>-9.2057461789832346E-2</v>
      </c>
      <c r="DI70">
        <f>IFERROR('Feeder Spreads'!P70-'Feeder Spreads'!P75,"")</f>
        <v>0</v>
      </c>
      <c r="DJ70">
        <f>IFERROR('Feeder Spreads'!P70-'Feeder Spreads'!P80,"")</f>
        <v>0</v>
      </c>
      <c r="DK70">
        <f>IFERROR(AVERAGE('Feeder Spreads'!P70:P89)+2*STDEV('Feeder Spreads'!P70:P89),"")</f>
        <v>0</v>
      </c>
      <c r="DL70">
        <f>IFERROR(AVERAGE('Feeder Spreads'!P70:P89)-2*STDEV('Feeder Spreads'!P70:P89),"")</f>
        <v>0</v>
      </c>
      <c r="DM70" t="str">
        <f>IFERROR(('Feeder Spreads'!P70-(AVERAGE('Feeder Spreads'!P70:P89)-2*STDEV('Feeder Spreads'!P70:P89)))/(4*STDEV('Feeder Spreads'!P70:P89)),"")</f>
        <v/>
      </c>
      <c r="DN70" t="str">
        <f>IFERROR(4*STDEV('Feeder Spreads'!P70:P89)/AVERAGE('Feeder Spreads'!P70:P89),"")</f>
        <v/>
      </c>
      <c r="DO70">
        <v>57.908799999999999</v>
      </c>
      <c r="DP70">
        <f>IFERROR(SQRT((SUMSQ('Feeder Spreads'!P70:P89)-2*SUMPRODUCT('Feeder Spreads'!P70:P89,'Feeder Spreads'!P71:P90)+SUMSQ('Feeder Spreads'!P71:P90)-('Feeder Spreads'!P70-'Feeder Spreads'!P90)^2/20)/19),"")</f>
        <v>0</v>
      </c>
      <c r="DR70">
        <f>IFERROR('Feeder Spreads'!V70,"")</f>
        <v>0</v>
      </c>
      <c r="DS70">
        <f>IFERROR(('Feeder Spreads'!W70-AVERAGE('Feeder Spreads'!$W$3:$W$4308))/STDEV('Feeder Spreads'!$W$3:$W$4308),"")</f>
        <v>-9.2057461789832332E-2</v>
      </c>
      <c r="DT70">
        <f>IFERROR('Feeder Spreads'!W70-'Feeder Spreads'!W75,"")</f>
        <v>0</v>
      </c>
      <c r="DU70">
        <f>IFERROR('Feeder Spreads'!W70-'Feeder Spreads'!W80,"")</f>
        <v>0</v>
      </c>
      <c r="DV70">
        <f>IFERROR(AVERAGE('Feeder Spreads'!W70:W89)+2*STDEV('Feeder Spreads'!W70:W89),"")</f>
        <v>0</v>
      </c>
      <c r="DW70">
        <f>IFERROR(AVERAGE('Feeder Spreads'!W70:W89)-2*STDEV('Feeder Spreads'!W70:W89),"")</f>
        <v>0</v>
      </c>
      <c r="DX70" t="str">
        <f>IFERROR(('Feeder Spreads'!W70-(AVERAGE('Feeder Spreads'!W70:W89)-2*STDEV('Feeder Spreads'!W70:W89)))/(4*STDEV('Feeder Spreads'!W70:W89)),"")</f>
        <v/>
      </c>
      <c r="DY70" t="str">
        <f>IFERROR(4*STDEV('Feeder Spreads'!W70:W89)/AVERAGE('Feeder Spreads'!W70:W89),"")</f>
        <v/>
      </c>
      <c r="DZ70">
        <v>50.922199999999997</v>
      </c>
      <c r="EA70">
        <f>IFERROR(SQRT((SUMSQ('Feeder Spreads'!W70:W89)-2*SUMPRODUCT('Feeder Spreads'!W70:W89,'Feeder Spreads'!W71:W90)+SUMSQ('Feeder Spreads'!W71:W90)-('Feeder Spreads'!W70-'Feeder Spreads'!W90)^2/20)/19),"")</f>
        <v>0</v>
      </c>
      <c r="EC70">
        <f>IFERROR('Feeder Spreads'!AC70,"")</f>
        <v>0</v>
      </c>
      <c r="ED70">
        <f>IFERROR(('Feeder Spreads'!AD70-AVERAGE('Feeder Spreads'!$AD$3:$AD$4308))/STDEV('Feeder Spreads'!$AD$3:$AD$4308),"")</f>
        <v>9.2057461789832318E-2</v>
      </c>
      <c r="EE70">
        <f>IFERROR('Feeder Spreads'!AD70-'Feeder Spreads'!AD75,"")</f>
        <v>0</v>
      </c>
      <c r="EF70">
        <f>IFERROR('Feeder Spreads'!AD70-'Feeder Spreads'!AD80,"")</f>
        <v>0</v>
      </c>
      <c r="EG70">
        <f>IFERROR(AVERAGE('Feeder Spreads'!AD70:AD89)+2*STDEV('Feeder Spreads'!AD70:AD89),"")</f>
        <v>0</v>
      </c>
      <c r="EH70">
        <f>IFERROR(AVERAGE('Feeder Spreads'!AD70:AD89)-2*STDEV('Feeder Spreads'!AD70:AD89),"")</f>
        <v>0</v>
      </c>
      <c r="EI70" t="str">
        <f>IFERROR(('Feeder Spreads'!AD70-(AVERAGE('Feeder Spreads'!AD70:AD89)-2*STDEV('Feeder Spreads'!AD70:AD89)))/(4*STDEV('Feeder Spreads'!AD70:AD89)),"")</f>
        <v/>
      </c>
      <c r="EJ70" t="str">
        <f>IFERROR(4*STDEV('Feeder Spreads'!AD70:AD89)/AVERAGE('Feeder Spreads'!AD70:AD89),"")</f>
        <v/>
      </c>
      <c r="EK70">
        <v>47.982799999999997</v>
      </c>
      <c r="EL70">
        <f>IFERROR(SQRT((SUMSQ('Feeder Spreads'!AD70:AD89)-2*SUMPRODUCT('Feeder Spreads'!AD70:AD89,'Feeder Spreads'!AD71:AD90)+SUMSQ('Feeder Spreads'!AD71:AD90)-('Feeder Spreads'!AD70-'Feeder Spreads'!AD90)^2/20)/19),"")</f>
        <v>0</v>
      </c>
      <c r="EN70">
        <f>IFERROR('Feeder Spreads'!AJ70,"")</f>
        <v>0</v>
      </c>
      <c r="EO70">
        <f>IFERROR(('Feeder Spreads'!AK70-AVERAGE('Feeder Spreads'!$AK$3:$AK$4308))/STDEV('Feeder Spreads'!$AK$3:$AK$4308),"")</f>
        <v>-9.2057461789832346E-2</v>
      </c>
      <c r="EP70">
        <f>IFERROR('Feeder Spreads'!AK70-'Feeder Spreads'!AK75,"")</f>
        <v>0</v>
      </c>
      <c r="EQ70">
        <f>IFERROR('Feeder Spreads'!AK70-'Feeder Spreads'!AK80,"")</f>
        <v>0</v>
      </c>
      <c r="ER70">
        <f>IFERROR(AVERAGE('Feeder Spreads'!AK70:AK89)+2*STDEV('Feeder Spreads'!AK70:AK89),"")</f>
        <v>0</v>
      </c>
      <c r="ES70">
        <f>IFERROR(AVERAGE('Feeder Spreads'!AK70:AK89)-2*STDEV('Feeder Spreads'!AK70:AK89),"")</f>
        <v>0</v>
      </c>
      <c r="ET70" t="str">
        <f>IFERROR(('Feeder Spreads'!AK70-(AVERAGE('Feeder Spreads'!AK70:AK89)-2*STDEV('Feeder Spreads'!AK70:AK89)))/(4*STDEV('Feeder Spreads'!AK70:AK89)),"")</f>
        <v/>
      </c>
      <c r="EU70" t="str">
        <f>IFERROR(4*STDEV('Feeder Spreads'!AK70:AK89)/AVERAGE('Feeder Spreads'!AK70:AK89),"")</f>
        <v/>
      </c>
      <c r="EV70">
        <v>52.513399999999997</v>
      </c>
      <c r="EW70">
        <f>IFERROR(SQRT((SUMSQ('Feeder Spreads'!AK70:AK89)-2*SUMPRODUCT('Feeder Spreads'!AK70:AK89,'Feeder Spreads'!AK71:AK90)+SUMSQ('Feeder Spreads'!AK71:AK90)-('Feeder Spreads'!AK70-'Feeder Spreads'!AK90)^2/20)/19),"")</f>
        <v>0</v>
      </c>
      <c r="EY70">
        <f>IFERROR('Feeder Spreads'!AQ70,"")</f>
        <v>0</v>
      </c>
      <c r="EZ70">
        <f>IFERROR(('Feeder Spreads'!AR70-AVERAGE('Feeder Spreads'!$AR$3:$AR$4308))/STDEV('Feeder Spreads'!$AR$3:$AR$4308),"")</f>
        <v>-9.2057461789832332E-2</v>
      </c>
      <c r="FA70">
        <f>IFERROR('Feeder Spreads'!AR70-'Feeder Spreads'!AR75,"")</f>
        <v>0</v>
      </c>
      <c r="FB70">
        <f>IFERROR('Feeder Spreads'!AR70-'Feeder Spreads'!AR80,"")</f>
        <v>0</v>
      </c>
      <c r="FC70">
        <f>IFERROR(AVERAGE('Feeder Spreads'!AR70:AR89)+2*STDEV('Feeder Spreads'!AR70:AR89),"")</f>
        <v>0</v>
      </c>
      <c r="FD70">
        <f>IFERROR(AVERAGE('Feeder Spreads'!AR70:AR89)-2*STDEV('Feeder Spreads'!AR70:AR89),"")</f>
        <v>0</v>
      </c>
      <c r="FE70" t="str">
        <f>IFERROR(('Feeder Spreads'!AR70-(AVERAGE('Feeder Spreads'!AR70:AR89)-2*STDEV('Feeder Spreads'!AR70:AR89)))/(4*STDEV('Feeder Spreads'!AR70:AR89)),"")</f>
        <v/>
      </c>
      <c r="FF70" t="str">
        <f>IFERROR(4*STDEV('Feeder Spreads'!AR70:AR89)/AVERAGE('Feeder Spreads'!AR70:AR89),"")</f>
        <v/>
      </c>
      <c r="FG70">
        <v>55.306699999999999</v>
      </c>
      <c r="FH70">
        <f>IFERROR(SQRT((SUMSQ('Feeder Spreads'!AR70:AR89)-2*SUMPRODUCT('Feeder Spreads'!AR70:AR89,'Feeder Spreads'!AR71:AR90)+SUMSQ('Feeder Spreads'!AR71:AR90)-('Feeder Spreads'!AR70-'Feeder Spreads'!AR90)^2/20)/19),"")</f>
        <v>0</v>
      </c>
      <c r="FJ70">
        <f>IFERROR('Fat Spreads'!AX70,"")</f>
        <v>0</v>
      </c>
      <c r="FK70">
        <f>IFERROR(('Fat Spreads'!AY70-AVERAGE('Fat Spreads'!$AY$3:$AY$4308))/STDEV('Fat Spreads'!$AY$3:$AY$4308),"")</f>
        <v>9.2057461789832332E-2</v>
      </c>
      <c r="FL70">
        <f>IFERROR('Fat Spreads'!AY70-'Fat Spreads'!AY75,"")</f>
        <v>0</v>
      </c>
      <c r="FM70">
        <f>IFERROR('Fat Spreads'!AY70-'Fat Spreads'!AY80,"")</f>
        <v>0</v>
      </c>
      <c r="FN70">
        <f>IFERROR(AVERAGE('Fat Spreads'!AY70:AY89)+2*STDEV('Fat Spreads'!AY70:AY89),"")</f>
        <v>0</v>
      </c>
      <c r="FO70">
        <f>IFERROR(AVERAGE('Fat Spreads'!AY70:AY89)-2*STDEV('Fat Spreads'!AY70:AY89),"")</f>
        <v>0</v>
      </c>
      <c r="FP70" t="str">
        <f>IFERROR(('Fat Spreads'!AY70-(AVERAGE('Fat Spreads'!AY70:AY89)-2*STDEV('Fat Spreads'!AY70:AY89)))/(4*STDEV('Fat Spreads'!AY70:AY89)),"")</f>
        <v/>
      </c>
      <c r="FQ70" t="str">
        <f>IFERROR(4*STDEV('Fat Spreads'!AY70:AY89)/AVERAGE('Fat Spreads'!AY70:AY89),"")</f>
        <v/>
      </c>
      <c r="FR70">
        <v>39.184199999999997</v>
      </c>
      <c r="FS70">
        <f>IFERROR(SQRT((SUMSQ('Fat Spreads'!AY70:AY89)-2*SUMPRODUCT('Fat Spreads'!AY70:AY89,'Fat Spreads'!AY71:AY90)+SUMSQ('Fat Spreads'!AY71:AY90)-('Fat Spreads'!AY70-'Fat Spreads'!AY90)^2/20)/19),"")</f>
        <v>0</v>
      </c>
      <c r="FU70">
        <f>IFERROR('Fat Spreads'!BE70,"")</f>
        <v>0</v>
      </c>
      <c r="FV70">
        <f>IFERROR(('Fat Spreads'!BF70-AVERAGE('Fat Spreads'!$BF$3:$BF$4308))/STDEV('Fat Spreads'!$BF$3:$BF$4308),"")</f>
        <v>9.2057461789832332E-2</v>
      </c>
      <c r="FW70">
        <f>IFERROR('Fat Spreads'!BF70-'Fat Spreads'!BF75,"")</f>
        <v>0</v>
      </c>
      <c r="FX70">
        <f>IFERROR('Fat Spreads'!BF70-'Fat Spreads'!BF80,"")</f>
        <v>0</v>
      </c>
      <c r="FY70">
        <f>IFERROR(AVERAGE('Fat Spreads'!BF70:BF89)+2*STDEV('Fat Spreads'!BF70:BF89),"")</f>
        <v>0</v>
      </c>
      <c r="FZ70">
        <f>IFERROR(AVERAGE('Fat Spreads'!BF70:BF89)-2*STDEV('Fat Spreads'!BF70:BF89),"")</f>
        <v>0</v>
      </c>
      <c r="GA70" t="str">
        <f>IFERROR(('Fat Spreads'!BF70-(AVERAGE('Fat Spreads'!BF70:BF89)-2*STDEV('Fat Spreads'!BF70:BF89)))/(4*STDEV('Fat Spreads'!BF70:BF89)),"")</f>
        <v/>
      </c>
      <c r="GB70" t="str">
        <f>IFERROR(4*STDEV('Fat Spreads'!BF70:BF89)/AVERAGE('Fat Spreads'!BF70:BF89),"")</f>
        <v/>
      </c>
      <c r="GC70">
        <v>35.271500000000003</v>
      </c>
      <c r="GD70">
        <f>IFERROR(SQRT((SUMSQ('Fat Spreads'!BF70:BF89)-2*SUMPRODUCT('Fat Spreads'!BF70:BF89,'Fat Spreads'!BF71:BF90)+SUMSQ('Fat Spreads'!BF71:BF90)-('Fat Spreads'!BF70-'Fat Spreads'!BF90)^2/20)/19),"")</f>
        <v>0</v>
      </c>
    </row>
    <row r="71" spans="1:186" x14ac:dyDescent="0.25">
      <c r="A71">
        <f>IFERROR('Fat Spreads'!A71,"")</f>
        <v>0</v>
      </c>
      <c r="B71">
        <f>IFERROR(('Fat Spreads'!B71-AVERAGE('Fat Spreads'!$B$3:$B$4308))/STDEV('Fat Spreads'!$B$3:$B$4308),"")</f>
        <v>9.2057461789832346E-2</v>
      </c>
      <c r="C71">
        <f>IFERROR('Fat Spreads'!B71-'Fat Spreads'!B76,"")</f>
        <v>0</v>
      </c>
      <c r="D71">
        <f>IFERROR('Fat Spreads'!B71-'Fat Spreads'!B81,"")</f>
        <v>0</v>
      </c>
      <c r="E71">
        <f>IFERROR(AVERAGE('Fat Spreads'!B71:B90)+2*STDEV('Fat Spreads'!B71:B90),"")</f>
        <v>0</v>
      </c>
      <c r="F71">
        <f>IFERROR(AVERAGE('Fat Spreads'!B71:B90)-2*STDEV('Fat Spreads'!B71:B90),"")</f>
        <v>0</v>
      </c>
      <c r="G71" t="str">
        <f>IFERROR(('Fat Spreads'!B71-(AVERAGE('Fat Spreads'!B71:B90)-2*STDEV('Fat Spreads'!B71:B90)))/(4*STDEV('Fat Spreads'!B71:B90)),"")</f>
        <v/>
      </c>
      <c r="H71" t="str">
        <f>IFERROR(4*STDEV('Fat Spreads'!B71:B90)/AVERAGE('Fat Spreads'!B71:B90),"")</f>
        <v/>
      </c>
      <c r="I71">
        <v>36.085099999999997</v>
      </c>
      <c r="J71">
        <f>IFERROR(SQRT((SUMSQ('Fat Spreads'!B71:B90)-2*SUMPRODUCT('Fat Spreads'!B71:B90,'Fat Spreads'!B72:B91)+SUMSQ('Fat Spreads'!B72:B91)-('Fat Spreads'!B71-'Fat Spreads'!B91)^2/20)/19),"")</f>
        <v>0</v>
      </c>
      <c r="L71">
        <f>IFERROR('Fat Spreads'!H71,"")</f>
        <v>0</v>
      </c>
      <c r="M71">
        <f>IFERROR(('Fat Spreads'!I71-AVERAGE('Fat Spreads'!$I$3:$I$4308))/STDEV('Fat Spreads'!$I$3:$I$4308),"")</f>
        <v>-9.2057461789832332E-2</v>
      </c>
      <c r="N71">
        <f>IFERROR('Fat Spreads'!I71-'Fat Spreads'!I76,"")</f>
        <v>0</v>
      </c>
      <c r="O71">
        <f>IFERROR('Fat Spreads'!I71-'Fat Spreads'!I81,"")</f>
        <v>0</v>
      </c>
      <c r="P71">
        <f>IFERROR(AVERAGE('Fat Spreads'!I71:I90)+2*STDEV('Fat Spreads'!I71:I90),"")</f>
        <v>0</v>
      </c>
      <c r="Q71">
        <f>IFERROR(AVERAGE('Fat Spreads'!I71:I90)-2*STDEV('Fat Spreads'!I71:I90),"")</f>
        <v>0</v>
      </c>
      <c r="R71" t="str">
        <f>IFERROR(('Fat Spreads'!I71-(AVERAGE('Fat Spreads'!I71:I90)-2*STDEV('Fat Spreads'!I71:I90)))/(4*STDEV('Fat Spreads'!I71:I90)),"")</f>
        <v/>
      </c>
      <c r="S71" t="str">
        <f>IFERROR(4*STDEV('Fat Spreads'!I71:I90)/AVERAGE('Fat Spreads'!I71:I90),"")</f>
        <v/>
      </c>
      <c r="T71">
        <v>34.125799999999998</v>
      </c>
      <c r="U71">
        <f>IFERROR(SQRT((SUMSQ('Fat Spreads'!I71:I90)-2*SUMPRODUCT('Fat Spreads'!I71:I90,'Fat Spreads'!I72:I91)+SUMSQ('Fat Spreads'!I72:I91)-('Fat Spreads'!I71-'Fat Spreads'!I91)^2/20)/19),"")</f>
        <v>0</v>
      </c>
      <c r="W71">
        <f>IFERROR('Fat Spreads'!AQ71,"")</f>
        <v>0</v>
      </c>
      <c r="X71">
        <f>IFERROR(('Fat Spreads'!AR71-AVERAGE('Fat Spreads'!$AR$3:$AR$4308))/STDEV('Fat Spreads'!$AR$3:$AR$4308),"")</f>
        <v>-9.2057461789832346E-2</v>
      </c>
      <c r="Y71">
        <f>IFERROR('Fat Spreads'!AR71-'Fat Spreads'!AR76,"")</f>
        <v>0</v>
      </c>
      <c r="Z71">
        <f>IFERROR('Fat Spreads'!AR71-'Fat Spreads'!AR81,"")</f>
        <v>0</v>
      </c>
      <c r="AA71">
        <f>IFERROR(AVERAGE('Fat Spreads'!AR71:AR90)+2*STDEV('Fat Spreads'!AR71:AR90),"")</f>
        <v>0</v>
      </c>
      <c r="AB71">
        <f>IFERROR(AVERAGE('Fat Spreads'!AR71:AR90)-2*STDEV('Fat Spreads'!AR71:AR90),"")</f>
        <v>0</v>
      </c>
      <c r="AC71" t="str">
        <f>IFERROR(('Fat Spreads'!AR71-(AVERAGE('Fat Spreads'!AR71:AR90)-2*STDEV('Fat Spreads'!AR71:AR90)))/(4*STDEV('Fat Spreads'!AR71:AR90)),"")</f>
        <v/>
      </c>
      <c r="AD71" t="str">
        <f>IFERROR(4*STDEV('Fat Spreads'!AR71:AR90)/AVERAGE('Fat Spreads'!AR71:AR90),"")</f>
        <v/>
      </c>
      <c r="AE71">
        <v>67.219399999999993</v>
      </c>
      <c r="AF71">
        <f>IFERROR(SQRT((SUMSQ('Fat Spreads'!AR71:AR90)-2*SUMPRODUCT('Fat Spreads'!AR71:AR90,'Fat Spreads'!AR72:AR91)+SUMSQ('Fat Spreads'!AR72:AR91)-('Fat Spreads'!AR71-'Fat Spreads'!AR91)^2/20)/19),"")</f>
        <v>0</v>
      </c>
      <c r="AH71">
        <f>IFERROR('Fat Spreads'!O71,"")</f>
        <v>0</v>
      </c>
      <c r="AI71">
        <f>IFERROR(('Fat Spreads'!P71-AVERAGE('Fat Spreads'!$P$3:$P$4308))/STDEV('Fat Spreads'!$P$3:$P$4308),"")</f>
        <v>-9.2057461789832332E-2</v>
      </c>
      <c r="AJ71">
        <f>IFERROR('Fat Spreads'!P71-'Fat Spreads'!P76,"")</f>
        <v>0</v>
      </c>
      <c r="AK71">
        <f>IFERROR('Fat Spreads'!P71-'Fat Spreads'!P81,"")</f>
        <v>0</v>
      </c>
      <c r="AL71">
        <f>IFERROR(AVERAGE('Fat Spreads'!P71:P90)+2*STDEV('Fat Spreads'!P71:P90),"")</f>
        <v>0</v>
      </c>
      <c r="AM71">
        <f>IFERROR(AVERAGE('Fat Spreads'!P71:P90)-2*STDEV('Fat Spreads'!P71:P90),"")</f>
        <v>0</v>
      </c>
      <c r="AN71" t="str">
        <f>IFERROR(('Fat Spreads'!P71-(AVERAGE('Fat Spreads'!P71:P90)-2*STDEV('Fat Spreads'!P71:P90)))/(4*STDEV('Fat Spreads'!P71:P90)),"")</f>
        <v/>
      </c>
      <c r="AO71" t="str">
        <f>IFERROR(4*STDEV('Fat Spreads'!P71:P90)/AVERAGE('Fat Spreads'!P71:P90),"")</f>
        <v/>
      </c>
      <c r="AP71">
        <v>47.519300000000001</v>
      </c>
      <c r="AQ71">
        <f>IFERROR(SQRT((SUMSQ('Fat Spreads'!P71:P90)-2*SUMPRODUCT('Fat Spreads'!P71:P90,'Fat Spreads'!P72:P91)+SUMSQ('Fat Spreads'!P72:P91)-('Fat Spreads'!P71-'Fat Spreads'!P91)^2/20)/19),"")</f>
        <v>0</v>
      </c>
      <c r="AS71">
        <f>IFERROR('Fat Spreads'!AJ71,"")</f>
        <v>0</v>
      </c>
      <c r="AT71">
        <f>IFERROR(('Fat Spreads'!AK71-AVERAGE('Fat Spreads'!$AK$3:$AK$4308))/STDEV('Fat Spreads'!$AK$3:$AK$4308),"")</f>
        <v>-9.2057461789832332E-2</v>
      </c>
      <c r="AU71">
        <f>IFERROR('Fat Spreads'!AK71-'Fat Spreads'!AK76,"")</f>
        <v>0</v>
      </c>
      <c r="AV71">
        <f>IFERROR('Fat Spreads'!AK71-'Fat Spreads'!AK81,"")</f>
        <v>0</v>
      </c>
      <c r="AW71">
        <f>IFERROR(AVERAGE('Fat Spreads'!AK71:AK90)+2*STDEV('Fat Spreads'!AK71:AK90),"")</f>
        <v>0</v>
      </c>
      <c r="AX71">
        <f>IFERROR(AVERAGE('Fat Spreads'!AK71:AK90)-2*STDEV('Fat Spreads'!AK71:AK90),"")</f>
        <v>0</v>
      </c>
      <c r="AY71" t="str">
        <f>IFERROR(('Fat Spreads'!AK71-(AVERAGE('Fat Spreads'!AK71:AK90)-2*STDEV('Fat Spreads'!AK71:AK90)))/(4*STDEV('Fat Spreads'!AK71:AK90)),"")</f>
        <v/>
      </c>
      <c r="AZ71" t="str">
        <f>IFERROR(4*STDEV('Fat Spreads'!AK71:AK90)/AVERAGE('Fat Spreads'!AK71:AK90),"")</f>
        <v/>
      </c>
      <c r="BA71">
        <v>43.490499999999997</v>
      </c>
      <c r="BB71">
        <f>IFERROR(SQRT((SUMSQ('Fat Spreads'!AK71:AK90)-2*SUMPRODUCT('Fat Spreads'!AK71:AK90,'Fat Spreads'!AK72:AK91)+SUMSQ('Fat Spreads'!AK72:AK91)-('Fat Spreads'!AK71-'Fat Spreads'!AK91)^2/20)/19),"")</f>
        <v>0</v>
      </c>
      <c r="BD71">
        <f>IFERROR('Fat Spreads'!V71,"")</f>
        <v>0</v>
      </c>
      <c r="BE71">
        <f>IFERROR(('Fat Spreads'!W71-AVERAGE('Fat Spreads'!$W$3:$W$4308))/STDEV('Fat Spreads'!$W$3:$W$4308),"")</f>
        <v>-9.2057461789832332E-2</v>
      </c>
      <c r="BF71">
        <f>IFERROR('Fat Spreads'!W71-'Fat Spreads'!W76,"")</f>
        <v>0</v>
      </c>
      <c r="BG71">
        <f>IFERROR('Fat Spreads'!W71-'Fat Spreads'!W81,"")</f>
        <v>0</v>
      </c>
      <c r="BH71">
        <f>IFERROR(AVERAGE('Fat Spreads'!W71:W90)+2*STDEV('Fat Spreads'!W71:W90),"")</f>
        <v>0</v>
      </c>
      <c r="BI71">
        <f>IFERROR(AVERAGE('Fat Spreads'!W71:W90)-2*STDEV('Fat Spreads'!W71:W90),"")</f>
        <v>0</v>
      </c>
      <c r="BJ71" t="str">
        <f>IFERROR(('Fat Spreads'!W71-(AVERAGE('Fat Spreads'!W71:W90)-2*STDEV('Fat Spreads'!W71:W90)))/(4*STDEV('Fat Spreads'!W71:W90)),"")</f>
        <v/>
      </c>
      <c r="BK71" t="str">
        <f>IFERROR(4*STDEV('Fat Spreads'!W71:W90)/AVERAGE('Fat Spreads'!W71:W90),"")</f>
        <v/>
      </c>
      <c r="BL71">
        <v>70.626999999999995</v>
      </c>
      <c r="BM71">
        <f>IFERROR(SQRT((SUMSQ('Fat Spreads'!W71:W90)-2*SUMPRODUCT('Fat Spreads'!W71:W90,'Fat Spreads'!W72:W91)+SUMSQ('Fat Spreads'!W72:W91)-('Fat Spreads'!W71-'Fat Spreads'!W91)^2/20)/19),"")</f>
        <v>0</v>
      </c>
      <c r="BO71">
        <f>IFERROR('Fat Spreads'!AC71,"")</f>
        <v>0</v>
      </c>
      <c r="BP71">
        <f>IFERROR(('Fat Spreads'!AD71-AVERAGE('Fat Spreads'!$AD$3:$AD$4308))/STDEV('Fat Spreads'!$AD$3:$AD$4308),"")</f>
        <v>-9.2057461789832332E-2</v>
      </c>
      <c r="BQ71">
        <f>IFERROR('Fat Spreads'!AD71-'Fat Spreads'!AD76,"")</f>
        <v>0</v>
      </c>
      <c r="BR71">
        <f>IFERROR('Fat Spreads'!AD71-'Fat Spreads'!AD81,"")</f>
        <v>0</v>
      </c>
      <c r="BS71">
        <f>IFERROR(AVERAGE('Fat Spreads'!AD71:AD90)+2*STDEV('Fat Spreads'!AD71:AD90),"")</f>
        <v>0</v>
      </c>
      <c r="BT71">
        <f>IFERROR(AVERAGE('Fat Spreads'!AD71:AD90)-2*STDEV('Fat Spreads'!AD71:AD90),"")</f>
        <v>0</v>
      </c>
      <c r="BU71" t="str">
        <f>IFERROR(('Fat Spreads'!AD71-(AVERAGE('Fat Spreads'!AD71:AD90)-2*STDEV('Fat Spreads'!AD71:AD90)))/(4*STDEV('Fat Spreads'!AD71:AD90)),"")</f>
        <v/>
      </c>
      <c r="BV71" t="str">
        <f>IFERROR(4*STDEV('Fat Spreads'!AD71:AD90)/AVERAGE('Fat Spreads'!AD71:AD90),"")</f>
        <v/>
      </c>
      <c r="BW71">
        <v>48.273299999999999</v>
      </c>
      <c r="BX71">
        <f>IFERROR(SQRT((SUMSQ('Fat Spreads'!AD71:AD90)-2*SUMPRODUCT('Fat Spreads'!AD71:AD90,'Fat Spreads'!AD72:AD91)+SUMSQ('Fat Spreads'!AD72:AD91)-('Fat Spreads'!AD71-'Fat Spreads'!AD91)^2/20)/19),"")</f>
        <v>0</v>
      </c>
      <c r="BZ71">
        <f>IFERROR('Feeder Spreads'!A71,"")</f>
        <v>0</v>
      </c>
      <c r="CA71">
        <f>IFERROR(('Feeder Spreads'!B71-AVERAGE('Feeder Spreads'!$B$3:$B$4308))/STDEV('Feeder Spreads'!$B$3:$B$4308),"")</f>
        <v>-9.2057461789832346E-2</v>
      </c>
      <c r="CB71">
        <f>IFERROR('Feeder Spreads'!B71-'Feeder Spreads'!B76,"")</f>
        <v>0</v>
      </c>
      <c r="CC71">
        <f>IFERROR('Feeder Spreads'!B71-'Feeder Spreads'!B81,"")</f>
        <v>0</v>
      </c>
      <c r="CD71">
        <f>IFERROR(AVERAGE('Feeder Spreads'!B71:B90)+2*STDEV('Feeder Spreads'!B71:B90),"")</f>
        <v>0</v>
      </c>
      <c r="CE71">
        <f>IFERROR(AVERAGE('Feeder Spreads'!B71:B90)-2*STDEV('Feeder Spreads'!B71:B90),"")</f>
        <v>0</v>
      </c>
      <c r="CF71" t="str">
        <f>IFERROR(('Feeder Spreads'!B71-(AVERAGE('Feeder Spreads'!B71:B90)-2*STDEV('Feeder Spreads'!B71:B90)))/(4*STDEV('Feeder Spreads'!B71:B90)),"")</f>
        <v/>
      </c>
      <c r="CG71" t="str">
        <f>IFERROR(4*STDEV('Feeder Spreads'!B71:B90)/AVERAGE('Feeder Spreads'!B71:B90),"")</f>
        <v/>
      </c>
      <c r="CH71">
        <v>48.696899999999999</v>
      </c>
      <c r="CI71">
        <f>IFERROR(SQRT((SUMSQ('Feeder Spreads'!B71:B90)-2*SUMPRODUCT('Feeder Spreads'!B71:B90,'Feeder Spreads'!B72:B91)+SUMSQ('Feeder Spreads'!B72:B91)-('Feeder Spreads'!B71-'Feeder Spreads'!B91)^2/20)/19),"")</f>
        <v>0</v>
      </c>
      <c r="CK71">
        <f>IFERROR('Feeder Spreads'!AX71,"")</f>
        <v>0</v>
      </c>
      <c r="CL71">
        <f>IFERROR(('Feeder Spreads'!AY71-AVERAGE('Feeder Spreads'!$AY$3:$AY$4308))/STDEV('Feeder Spreads'!$AY$3:$AY$4308),"")</f>
        <v>-9.2057461789832346E-2</v>
      </c>
      <c r="CM71">
        <f>IFERROR('Feeder Spreads'!AY71-'Feeder Spreads'!AY76,"")</f>
        <v>0</v>
      </c>
      <c r="CN71">
        <f>IFERROR('Feeder Spreads'!AY71-'Feeder Spreads'!AY81,"")</f>
        <v>0</v>
      </c>
      <c r="CO71">
        <f>IFERROR(AVERAGE('Feeder Spreads'!AY71:AY90)+2*STDEV('Feeder Spreads'!AY71:AY90),"")</f>
        <v>0</v>
      </c>
      <c r="CP71">
        <f>IFERROR(AVERAGE('Feeder Spreads'!AY71:AY90)-2*STDEV('Feeder Spreads'!AY71:AY90),"")</f>
        <v>0</v>
      </c>
      <c r="CQ71" t="str">
        <f>IFERROR(('Feeder Spreads'!AY71-(AVERAGE('Feeder Spreads'!AY71:AY90)-2*STDEV('Feeder Spreads'!AY71:AY90)))/(4*STDEV('Feeder Spreads'!AY71:AY90)),"")</f>
        <v/>
      </c>
      <c r="CR71" t="str">
        <f>IFERROR(4*STDEV('Feeder Spreads'!AY71:AY90)/AVERAGE('Feeder Spreads'!AY71:AY90),"")</f>
        <v/>
      </c>
      <c r="CS71">
        <v>41.384799999999998</v>
      </c>
      <c r="CT71">
        <f>IFERROR(SQRT((SUMSQ('Feeder Spreads'!AY71:AY90)-2*SUMPRODUCT('Feeder Spreads'!AY71:AY90,'Feeder Spreads'!AY72:AY91)+SUMSQ('Feeder Spreads'!AY72:AY91)-('Feeder Spreads'!AY71-'Feeder Spreads'!AY91)^2/20)/19),"")</f>
        <v>0</v>
      </c>
      <c r="CV71">
        <f>IFERROR('Feeder Spreads'!H71,"")</f>
        <v>0</v>
      </c>
      <c r="CW71">
        <f>IFERROR(('Feeder Spreads'!I71-AVERAGE('Feeder Spreads'!$I$3:$I$4308))/STDEV('Feeder Spreads'!$I$3:$I$4308),"")</f>
        <v>-9.2057461789832332E-2</v>
      </c>
      <c r="CX71">
        <f>IFERROR('Feeder Spreads'!I71-'Feeder Spreads'!I76,"")</f>
        <v>0</v>
      </c>
      <c r="CY71">
        <f>IFERROR('Feeder Spreads'!I71-'Feeder Spreads'!I81,"")</f>
        <v>0</v>
      </c>
      <c r="CZ71">
        <f>IFERROR(AVERAGE('Feeder Spreads'!I71:I90)+2*STDEV('Feeder Spreads'!I71:I90),"")</f>
        <v>0</v>
      </c>
      <c r="DA71">
        <f>IFERROR(AVERAGE('Feeder Spreads'!I71:I90)-2*STDEV('Feeder Spreads'!I71:I90),"")</f>
        <v>0</v>
      </c>
      <c r="DB71" t="str">
        <f>IFERROR(('Feeder Spreads'!I71-(AVERAGE('Feeder Spreads'!I71:I90)-2*STDEV('Feeder Spreads'!I71:I90)))/(4*STDEV('Feeder Spreads'!I71:I90)),"")</f>
        <v/>
      </c>
      <c r="DC71" t="str">
        <f>IFERROR(4*STDEV('Feeder Spreads'!I71:I90)/AVERAGE('Feeder Spreads'!I71:I90),"")</f>
        <v/>
      </c>
      <c r="DD71">
        <v>52.472200000000001</v>
      </c>
      <c r="DE71">
        <f>IFERROR(SQRT((SUMSQ('Feeder Spreads'!I71:I90)-2*SUMPRODUCT('Feeder Spreads'!I71:I90,'Feeder Spreads'!I72:I91)+SUMSQ('Feeder Spreads'!I72:I91)-('Feeder Spreads'!I71-'Feeder Spreads'!I91)^2/20)/19),"")</f>
        <v>0</v>
      </c>
      <c r="DG71">
        <f>IFERROR('Feeder Spreads'!O71,"")</f>
        <v>0</v>
      </c>
      <c r="DH71">
        <f>IFERROR(('Feeder Spreads'!P71-AVERAGE('Feeder Spreads'!$P$3:$P$4308))/STDEV('Feeder Spreads'!$P$3:$P$4308),"")</f>
        <v>-9.2057461789832346E-2</v>
      </c>
      <c r="DI71">
        <f>IFERROR('Feeder Spreads'!P71-'Feeder Spreads'!P76,"")</f>
        <v>0</v>
      </c>
      <c r="DJ71">
        <f>IFERROR('Feeder Spreads'!P71-'Feeder Spreads'!P81,"")</f>
        <v>0</v>
      </c>
      <c r="DK71">
        <f>IFERROR(AVERAGE('Feeder Spreads'!P71:P90)+2*STDEV('Feeder Spreads'!P71:P90),"")</f>
        <v>0</v>
      </c>
      <c r="DL71">
        <f>IFERROR(AVERAGE('Feeder Spreads'!P71:P90)-2*STDEV('Feeder Spreads'!P71:P90),"")</f>
        <v>0</v>
      </c>
      <c r="DM71" t="str">
        <f>IFERROR(('Feeder Spreads'!P71-(AVERAGE('Feeder Spreads'!P71:P90)-2*STDEV('Feeder Spreads'!P71:P90)))/(4*STDEV('Feeder Spreads'!P71:P90)),"")</f>
        <v/>
      </c>
      <c r="DN71" t="str">
        <f>IFERROR(4*STDEV('Feeder Spreads'!P71:P90)/AVERAGE('Feeder Spreads'!P71:P90),"")</f>
        <v/>
      </c>
      <c r="DO71">
        <v>59.252499999999998</v>
      </c>
      <c r="DP71">
        <f>IFERROR(SQRT((SUMSQ('Feeder Spreads'!P71:P90)-2*SUMPRODUCT('Feeder Spreads'!P71:P90,'Feeder Spreads'!P72:P91)+SUMSQ('Feeder Spreads'!P72:P91)-('Feeder Spreads'!P71-'Feeder Spreads'!P91)^2/20)/19),"")</f>
        <v>0</v>
      </c>
      <c r="DR71">
        <f>IFERROR('Feeder Spreads'!V71,"")</f>
        <v>0</v>
      </c>
      <c r="DS71">
        <f>IFERROR(('Feeder Spreads'!W71-AVERAGE('Feeder Spreads'!$W$3:$W$4308))/STDEV('Feeder Spreads'!$W$3:$W$4308),"")</f>
        <v>-9.2057461789832332E-2</v>
      </c>
      <c r="DT71">
        <f>IFERROR('Feeder Spreads'!W71-'Feeder Spreads'!W76,"")</f>
        <v>0</v>
      </c>
      <c r="DU71">
        <f>IFERROR('Feeder Spreads'!W71-'Feeder Spreads'!W81,"")</f>
        <v>0</v>
      </c>
      <c r="DV71">
        <f>IFERROR(AVERAGE('Feeder Spreads'!W71:W90)+2*STDEV('Feeder Spreads'!W71:W90),"")</f>
        <v>0</v>
      </c>
      <c r="DW71">
        <f>IFERROR(AVERAGE('Feeder Spreads'!W71:W90)-2*STDEV('Feeder Spreads'!W71:W90),"")</f>
        <v>0</v>
      </c>
      <c r="DX71" t="str">
        <f>IFERROR(('Feeder Spreads'!W71-(AVERAGE('Feeder Spreads'!W71:W90)-2*STDEV('Feeder Spreads'!W71:W90)))/(4*STDEV('Feeder Spreads'!W71:W90)),"")</f>
        <v/>
      </c>
      <c r="DY71" t="str">
        <f>IFERROR(4*STDEV('Feeder Spreads'!W71:W90)/AVERAGE('Feeder Spreads'!W71:W90),"")</f>
        <v/>
      </c>
      <c r="DZ71">
        <v>52.276200000000003</v>
      </c>
      <c r="EA71">
        <f>IFERROR(SQRT((SUMSQ('Feeder Spreads'!W71:W90)-2*SUMPRODUCT('Feeder Spreads'!W71:W90,'Feeder Spreads'!W72:W91)+SUMSQ('Feeder Spreads'!W72:W91)-('Feeder Spreads'!W71-'Feeder Spreads'!W91)^2/20)/19),"")</f>
        <v>0</v>
      </c>
      <c r="EC71">
        <f>IFERROR('Feeder Spreads'!AC71,"")</f>
        <v>0</v>
      </c>
      <c r="ED71">
        <f>IFERROR(('Feeder Spreads'!AD71-AVERAGE('Feeder Spreads'!$AD$3:$AD$4308))/STDEV('Feeder Spreads'!$AD$3:$AD$4308),"")</f>
        <v>9.2057461789832318E-2</v>
      </c>
      <c r="EE71">
        <f>IFERROR('Feeder Spreads'!AD71-'Feeder Spreads'!AD76,"")</f>
        <v>0</v>
      </c>
      <c r="EF71">
        <f>IFERROR('Feeder Spreads'!AD71-'Feeder Spreads'!AD81,"")</f>
        <v>0</v>
      </c>
      <c r="EG71">
        <f>IFERROR(AVERAGE('Feeder Spreads'!AD71:AD90)+2*STDEV('Feeder Spreads'!AD71:AD90),"")</f>
        <v>0</v>
      </c>
      <c r="EH71">
        <f>IFERROR(AVERAGE('Feeder Spreads'!AD71:AD90)-2*STDEV('Feeder Spreads'!AD71:AD90),"")</f>
        <v>0</v>
      </c>
      <c r="EI71" t="str">
        <f>IFERROR(('Feeder Spreads'!AD71-(AVERAGE('Feeder Spreads'!AD71:AD90)-2*STDEV('Feeder Spreads'!AD71:AD90)))/(4*STDEV('Feeder Spreads'!AD71:AD90)),"")</f>
        <v/>
      </c>
      <c r="EJ71" t="str">
        <f>IFERROR(4*STDEV('Feeder Spreads'!AD71:AD90)/AVERAGE('Feeder Spreads'!AD71:AD90),"")</f>
        <v/>
      </c>
      <c r="EK71">
        <v>51.378300000000003</v>
      </c>
      <c r="EL71">
        <f>IFERROR(SQRT((SUMSQ('Feeder Spreads'!AD71:AD90)-2*SUMPRODUCT('Feeder Spreads'!AD71:AD90,'Feeder Spreads'!AD72:AD91)+SUMSQ('Feeder Spreads'!AD72:AD91)-('Feeder Spreads'!AD71-'Feeder Spreads'!AD91)^2/20)/19),"")</f>
        <v>0</v>
      </c>
      <c r="EN71">
        <f>IFERROR('Feeder Spreads'!AJ71,"")</f>
        <v>0</v>
      </c>
      <c r="EO71">
        <f>IFERROR(('Feeder Spreads'!AK71-AVERAGE('Feeder Spreads'!$AK$3:$AK$4308))/STDEV('Feeder Spreads'!$AK$3:$AK$4308),"")</f>
        <v>-9.2057461789832346E-2</v>
      </c>
      <c r="EP71">
        <f>IFERROR('Feeder Spreads'!AK71-'Feeder Spreads'!AK76,"")</f>
        <v>0</v>
      </c>
      <c r="EQ71">
        <f>IFERROR('Feeder Spreads'!AK71-'Feeder Spreads'!AK81,"")</f>
        <v>0</v>
      </c>
      <c r="ER71">
        <f>IFERROR(AVERAGE('Feeder Spreads'!AK71:AK90)+2*STDEV('Feeder Spreads'!AK71:AK90),"")</f>
        <v>0</v>
      </c>
      <c r="ES71">
        <f>IFERROR(AVERAGE('Feeder Spreads'!AK71:AK90)-2*STDEV('Feeder Spreads'!AK71:AK90),"")</f>
        <v>0</v>
      </c>
      <c r="ET71" t="str">
        <f>IFERROR(('Feeder Spreads'!AK71-(AVERAGE('Feeder Spreads'!AK71:AK90)-2*STDEV('Feeder Spreads'!AK71:AK90)))/(4*STDEV('Feeder Spreads'!AK71:AK90)),"")</f>
        <v/>
      </c>
      <c r="EU71" t="str">
        <f>IFERROR(4*STDEV('Feeder Spreads'!AK71:AK90)/AVERAGE('Feeder Spreads'!AK71:AK90),"")</f>
        <v/>
      </c>
      <c r="EV71">
        <v>54.593699999999998</v>
      </c>
      <c r="EW71">
        <f>IFERROR(SQRT((SUMSQ('Feeder Spreads'!AK71:AK90)-2*SUMPRODUCT('Feeder Spreads'!AK71:AK90,'Feeder Spreads'!AK72:AK91)+SUMSQ('Feeder Spreads'!AK72:AK91)-('Feeder Spreads'!AK71-'Feeder Spreads'!AK91)^2/20)/19),"")</f>
        <v>0</v>
      </c>
      <c r="EY71">
        <f>IFERROR('Feeder Spreads'!AQ71,"")</f>
        <v>0</v>
      </c>
      <c r="EZ71">
        <f>IFERROR(('Feeder Spreads'!AR71-AVERAGE('Feeder Spreads'!$AR$3:$AR$4308))/STDEV('Feeder Spreads'!$AR$3:$AR$4308),"")</f>
        <v>-9.2057461789832332E-2</v>
      </c>
      <c r="FA71">
        <f>IFERROR('Feeder Spreads'!AR71-'Feeder Spreads'!AR76,"")</f>
        <v>0</v>
      </c>
      <c r="FB71">
        <f>IFERROR('Feeder Spreads'!AR71-'Feeder Spreads'!AR81,"")</f>
        <v>0</v>
      </c>
      <c r="FC71">
        <f>IFERROR(AVERAGE('Feeder Spreads'!AR71:AR90)+2*STDEV('Feeder Spreads'!AR71:AR90),"")</f>
        <v>0</v>
      </c>
      <c r="FD71">
        <f>IFERROR(AVERAGE('Feeder Spreads'!AR71:AR90)-2*STDEV('Feeder Spreads'!AR71:AR90),"")</f>
        <v>0</v>
      </c>
      <c r="FE71" t="str">
        <f>IFERROR(('Feeder Spreads'!AR71-(AVERAGE('Feeder Spreads'!AR71:AR90)-2*STDEV('Feeder Spreads'!AR71:AR90)))/(4*STDEV('Feeder Spreads'!AR71:AR90)),"")</f>
        <v/>
      </c>
      <c r="FF71" t="str">
        <f>IFERROR(4*STDEV('Feeder Spreads'!AR71:AR90)/AVERAGE('Feeder Spreads'!AR71:AR90),"")</f>
        <v/>
      </c>
      <c r="FG71">
        <v>56.874000000000002</v>
      </c>
      <c r="FH71">
        <f>IFERROR(SQRT((SUMSQ('Feeder Spreads'!AR71:AR90)-2*SUMPRODUCT('Feeder Spreads'!AR71:AR90,'Feeder Spreads'!AR72:AR91)+SUMSQ('Feeder Spreads'!AR72:AR91)-('Feeder Spreads'!AR71-'Feeder Spreads'!AR91)^2/20)/19),"")</f>
        <v>0</v>
      </c>
      <c r="FJ71">
        <f>IFERROR('Fat Spreads'!AX71,"")</f>
        <v>0</v>
      </c>
      <c r="FK71">
        <f>IFERROR(('Fat Spreads'!AY71-AVERAGE('Fat Spreads'!$AY$3:$AY$4308))/STDEV('Fat Spreads'!$AY$3:$AY$4308),"")</f>
        <v>9.2057461789832332E-2</v>
      </c>
      <c r="FL71">
        <f>IFERROR('Fat Spreads'!AY71-'Fat Spreads'!AY76,"")</f>
        <v>0</v>
      </c>
      <c r="FM71">
        <f>IFERROR('Fat Spreads'!AY71-'Fat Spreads'!AY81,"")</f>
        <v>0</v>
      </c>
      <c r="FN71">
        <f>IFERROR(AVERAGE('Fat Spreads'!AY71:AY90)+2*STDEV('Fat Spreads'!AY71:AY90),"")</f>
        <v>0</v>
      </c>
      <c r="FO71">
        <f>IFERROR(AVERAGE('Fat Spreads'!AY71:AY90)-2*STDEV('Fat Spreads'!AY71:AY90),"")</f>
        <v>0</v>
      </c>
      <c r="FP71" t="str">
        <f>IFERROR(('Fat Spreads'!AY71-(AVERAGE('Fat Spreads'!AY71:AY90)-2*STDEV('Fat Spreads'!AY71:AY90)))/(4*STDEV('Fat Spreads'!AY71:AY90)),"")</f>
        <v/>
      </c>
      <c r="FQ71" t="str">
        <f>IFERROR(4*STDEV('Fat Spreads'!AY71:AY90)/AVERAGE('Fat Spreads'!AY71:AY90),"")</f>
        <v/>
      </c>
      <c r="FR71">
        <v>38.941200000000002</v>
      </c>
      <c r="FS71">
        <f>IFERROR(SQRT((SUMSQ('Fat Spreads'!AY71:AY90)-2*SUMPRODUCT('Fat Spreads'!AY71:AY90,'Fat Spreads'!AY72:AY91)+SUMSQ('Fat Spreads'!AY72:AY91)-('Fat Spreads'!AY71-'Fat Spreads'!AY91)^2/20)/19),"")</f>
        <v>0</v>
      </c>
      <c r="FU71">
        <f>IFERROR('Fat Spreads'!BE71,"")</f>
        <v>0</v>
      </c>
      <c r="FV71">
        <f>IFERROR(('Fat Spreads'!BF71-AVERAGE('Fat Spreads'!$BF$3:$BF$4308))/STDEV('Fat Spreads'!$BF$3:$BF$4308),"")</f>
        <v>9.2057461789832332E-2</v>
      </c>
      <c r="FW71">
        <f>IFERROR('Fat Spreads'!BF71-'Fat Spreads'!BF76,"")</f>
        <v>0</v>
      </c>
      <c r="FX71">
        <f>IFERROR('Fat Spreads'!BF71-'Fat Spreads'!BF81,"")</f>
        <v>0</v>
      </c>
      <c r="FY71">
        <f>IFERROR(AVERAGE('Fat Spreads'!BF71:BF90)+2*STDEV('Fat Spreads'!BF71:BF90),"")</f>
        <v>0</v>
      </c>
      <c r="FZ71">
        <f>IFERROR(AVERAGE('Fat Spreads'!BF71:BF90)-2*STDEV('Fat Spreads'!BF71:BF90),"")</f>
        <v>0</v>
      </c>
      <c r="GA71" t="str">
        <f>IFERROR(('Fat Spreads'!BF71-(AVERAGE('Fat Spreads'!BF71:BF90)-2*STDEV('Fat Spreads'!BF71:BF90)))/(4*STDEV('Fat Spreads'!BF71:BF90)),"")</f>
        <v/>
      </c>
      <c r="GB71" t="str">
        <f>IFERROR(4*STDEV('Fat Spreads'!BF71:BF90)/AVERAGE('Fat Spreads'!BF71:BF90),"")</f>
        <v/>
      </c>
      <c r="GC71">
        <v>34.940300000000001</v>
      </c>
      <c r="GD71">
        <f>IFERROR(SQRT((SUMSQ('Fat Spreads'!BF71:BF90)-2*SUMPRODUCT('Fat Spreads'!BF71:BF90,'Fat Spreads'!BF72:BF91)+SUMSQ('Fat Spreads'!BF72:BF91)-('Fat Spreads'!BF71-'Fat Spreads'!BF91)^2/20)/19),"")</f>
        <v>0</v>
      </c>
    </row>
    <row r="72" spans="1:186" x14ac:dyDescent="0.25">
      <c r="A72">
        <f>IFERROR('Fat Spreads'!A72,"")</f>
        <v>0</v>
      </c>
      <c r="B72">
        <f>IFERROR(('Fat Spreads'!B72-AVERAGE('Fat Spreads'!$B$3:$B$4308))/STDEV('Fat Spreads'!$B$3:$B$4308),"")</f>
        <v>9.2057461789832346E-2</v>
      </c>
      <c r="C72">
        <f>IFERROR('Fat Spreads'!B72-'Fat Spreads'!B77,"")</f>
        <v>0</v>
      </c>
      <c r="D72">
        <f>IFERROR('Fat Spreads'!B72-'Fat Spreads'!B82,"")</f>
        <v>0</v>
      </c>
      <c r="E72">
        <f>IFERROR(AVERAGE('Fat Spreads'!B72:B91)+2*STDEV('Fat Spreads'!B72:B91),"")</f>
        <v>0</v>
      </c>
      <c r="F72">
        <f>IFERROR(AVERAGE('Fat Spreads'!B72:B91)-2*STDEV('Fat Spreads'!B72:B91),"")</f>
        <v>0</v>
      </c>
      <c r="G72" t="str">
        <f>IFERROR(('Fat Spreads'!B72-(AVERAGE('Fat Spreads'!B72:B91)-2*STDEV('Fat Spreads'!B72:B91)))/(4*STDEV('Fat Spreads'!B72:B91)),"")</f>
        <v/>
      </c>
      <c r="H72" t="str">
        <f>IFERROR(4*STDEV('Fat Spreads'!B72:B91)/AVERAGE('Fat Spreads'!B72:B91),"")</f>
        <v/>
      </c>
      <c r="I72">
        <v>38.765999999999998</v>
      </c>
      <c r="J72">
        <f>IFERROR(SQRT((SUMSQ('Fat Spreads'!B72:B91)-2*SUMPRODUCT('Fat Spreads'!B72:B91,'Fat Spreads'!B73:B92)+SUMSQ('Fat Spreads'!B73:B92)-('Fat Spreads'!B72-'Fat Spreads'!B92)^2/20)/19),"")</f>
        <v>0</v>
      </c>
      <c r="L72">
        <f>IFERROR('Fat Spreads'!H72,"")</f>
        <v>0</v>
      </c>
      <c r="M72">
        <f>IFERROR(('Fat Spreads'!I72-AVERAGE('Fat Spreads'!$I$3:$I$4308))/STDEV('Fat Spreads'!$I$3:$I$4308),"")</f>
        <v>-9.2057461789832332E-2</v>
      </c>
      <c r="N72">
        <f>IFERROR('Fat Spreads'!I72-'Fat Spreads'!I77,"")</f>
        <v>0</v>
      </c>
      <c r="O72">
        <f>IFERROR('Fat Spreads'!I72-'Fat Spreads'!I82,"")</f>
        <v>0</v>
      </c>
      <c r="P72">
        <f>IFERROR(AVERAGE('Fat Spreads'!I72:I91)+2*STDEV('Fat Spreads'!I72:I91),"")</f>
        <v>0</v>
      </c>
      <c r="Q72">
        <f>IFERROR(AVERAGE('Fat Spreads'!I72:I91)-2*STDEV('Fat Spreads'!I72:I91),"")</f>
        <v>0</v>
      </c>
      <c r="R72" t="str">
        <f>IFERROR(('Fat Spreads'!I72-(AVERAGE('Fat Spreads'!I72:I91)-2*STDEV('Fat Spreads'!I72:I91)))/(4*STDEV('Fat Spreads'!I72:I91)),"")</f>
        <v/>
      </c>
      <c r="S72" t="str">
        <f>IFERROR(4*STDEV('Fat Spreads'!I72:I91)/AVERAGE('Fat Spreads'!I72:I91),"")</f>
        <v/>
      </c>
      <c r="T72">
        <v>38.135300000000001</v>
      </c>
      <c r="U72">
        <f>IFERROR(SQRT((SUMSQ('Fat Spreads'!I72:I91)-2*SUMPRODUCT('Fat Spreads'!I72:I91,'Fat Spreads'!I73:I92)+SUMSQ('Fat Spreads'!I73:I92)-('Fat Spreads'!I72-'Fat Spreads'!I92)^2/20)/19),"")</f>
        <v>0</v>
      </c>
      <c r="W72">
        <f>IFERROR('Fat Spreads'!AQ72,"")</f>
        <v>0</v>
      </c>
      <c r="X72">
        <f>IFERROR(('Fat Spreads'!AR72-AVERAGE('Fat Spreads'!$AR$3:$AR$4308))/STDEV('Fat Spreads'!$AR$3:$AR$4308),"")</f>
        <v>-9.2057461789832346E-2</v>
      </c>
      <c r="Y72">
        <f>IFERROR('Fat Spreads'!AR72-'Fat Spreads'!AR77,"")</f>
        <v>0</v>
      </c>
      <c r="Z72">
        <f>IFERROR('Fat Spreads'!AR72-'Fat Spreads'!AR82,"")</f>
        <v>0</v>
      </c>
      <c r="AA72">
        <f>IFERROR(AVERAGE('Fat Spreads'!AR72:AR91)+2*STDEV('Fat Spreads'!AR72:AR91),"")</f>
        <v>0</v>
      </c>
      <c r="AB72">
        <f>IFERROR(AVERAGE('Fat Spreads'!AR72:AR91)-2*STDEV('Fat Spreads'!AR72:AR91),"")</f>
        <v>0</v>
      </c>
      <c r="AC72" t="str">
        <f>IFERROR(('Fat Spreads'!AR72-(AVERAGE('Fat Spreads'!AR72:AR91)-2*STDEV('Fat Spreads'!AR72:AR91)))/(4*STDEV('Fat Spreads'!AR72:AR91)),"")</f>
        <v/>
      </c>
      <c r="AD72" t="str">
        <f>IFERROR(4*STDEV('Fat Spreads'!AR72:AR91)/AVERAGE('Fat Spreads'!AR72:AR91),"")</f>
        <v/>
      </c>
      <c r="AE72">
        <v>67.109700000000004</v>
      </c>
      <c r="AF72">
        <f>IFERROR(SQRT((SUMSQ('Fat Spreads'!AR72:AR91)-2*SUMPRODUCT('Fat Spreads'!AR72:AR91,'Fat Spreads'!AR73:AR92)+SUMSQ('Fat Spreads'!AR73:AR92)-('Fat Spreads'!AR72-'Fat Spreads'!AR92)^2/20)/19),"")</f>
        <v>0</v>
      </c>
      <c r="AH72">
        <f>IFERROR('Fat Spreads'!O72,"")</f>
        <v>0</v>
      </c>
      <c r="AI72">
        <f>IFERROR(('Fat Spreads'!P72-AVERAGE('Fat Spreads'!$P$3:$P$4308))/STDEV('Fat Spreads'!$P$3:$P$4308),"")</f>
        <v>-9.2057461789832332E-2</v>
      </c>
      <c r="AJ72">
        <f>IFERROR('Fat Spreads'!P72-'Fat Spreads'!P77,"")</f>
        <v>0</v>
      </c>
      <c r="AK72">
        <f>IFERROR('Fat Spreads'!P72-'Fat Spreads'!P82,"")</f>
        <v>0</v>
      </c>
      <c r="AL72">
        <f>IFERROR(AVERAGE('Fat Spreads'!P72:P91)+2*STDEV('Fat Spreads'!P72:P91),"")</f>
        <v>0</v>
      </c>
      <c r="AM72">
        <f>IFERROR(AVERAGE('Fat Spreads'!P72:P91)-2*STDEV('Fat Spreads'!P72:P91),"")</f>
        <v>0</v>
      </c>
      <c r="AN72" t="str">
        <f>IFERROR(('Fat Spreads'!P72-(AVERAGE('Fat Spreads'!P72:P91)-2*STDEV('Fat Spreads'!P72:P91)))/(4*STDEV('Fat Spreads'!P72:P91)),"")</f>
        <v/>
      </c>
      <c r="AO72" t="str">
        <f>IFERROR(4*STDEV('Fat Spreads'!P72:P91)/AVERAGE('Fat Spreads'!P72:P91),"")</f>
        <v/>
      </c>
      <c r="AP72">
        <v>48.051699999999997</v>
      </c>
      <c r="AQ72">
        <f>IFERROR(SQRT((SUMSQ('Fat Spreads'!P72:P91)-2*SUMPRODUCT('Fat Spreads'!P72:P91,'Fat Spreads'!P73:P92)+SUMSQ('Fat Spreads'!P73:P92)-('Fat Spreads'!P72-'Fat Spreads'!P92)^2/20)/19),"")</f>
        <v>0</v>
      </c>
      <c r="AS72">
        <f>IFERROR('Fat Spreads'!AJ72,"")</f>
        <v>0</v>
      </c>
      <c r="AT72">
        <f>IFERROR(('Fat Spreads'!AK72-AVERAGE('Fat Spreads'!$AK$3:$AK$4308))/STDEV('Fat Spreads'!$AK$3:$AK$4308),"")</f>
        <v>-9.2057461789832332E-2</v>
      </c>
      <c r="AU72">
        <f>IFERROR('Fat Spreads'!AK72-'Fat Spreads'!AK77,"")</f>
        <v>0</v>
      </c>
      <c r="AV72">
        <f>IFERROR('Fat Spreads'!AK72-'Fat Spreads'!AK82,"")</f>
        <v>0</v>
      </c>
      <c r="AW72">
        <f>IFERROR(AVERAGE('Fat Spreads'!AK72:AK91)+2*STDEV('Fat Spreads'!AK72:AK91),"")</f>
        <v>0</v>
      </c>
      <c r="AX72">
        <f>IFERROR(AVERAGE('Fat Spreads'!AK72:AK91)-2*STDEV('Fat Spreads'!AK72:AK91),"")</f>
        <v>0</v>
      </c>
      <c r="AY72" t="str">
        <f>IFERROR(('Fat Spreads'!AK72-(AVERAGE('Fat Spreads'!AK72:AK91)-2*STDEV('Fat Spreads'!AK72:AK91)))/(4*STDEV('Fat Spreads'!AK72:AK91)),"")</f>
        <v/>
      </c>
      <c r="AZ72" t="str">
        <f>IFERROR(4*STDEV('Fat Spreads'!AK72:AK91)/AVERAGE('Fat Spreads'!AK72:AK91),"")</f>
        <v/>
      </c>
      <c r="BA72">
        <v>41.200200000000002</v>
      </c>
      <c r="BB72">
        <f>IFERROR(SQRT((SUMSQ('Fat Spreads'!AK72:AK91)-2*SUMPRODUCT('Fat Spreads'!AK72:AK91,'Fat Spreads'!AK73:AK92)+SUMSQ('Fat Spreads'!AK73:AK92)-('Fat Spreads'!AK72-'Fat Spreads'!AK92)^2/20)/19),"")</f>
        <v>0</v>
      </c>
      <c r="BD72">
        <f>IFERROR('Fat Spreads'!V72,"")</f>
        <v>0</v>
      </c>
      <c r="BE72">
        <f>IFERROR(('Fat Spreads'!W72-AVERAGE('Fat Spreads'!$W$3:$W$4308))/STDEV('Fat Spreads'!$W$3:$W$4308),"")</f>
        <v>-9.2057461789832332E-2</v>
      </c>
      <c r="BF72">
        <f>IFERROR('Fat Spreads'!W72-'Fat Spreads'!W77,"")</f>
        <v>0</v>
      </c>
      <c r="BG72">
        <f>IFERROR('Fat Spreads'!W72-'Fat Spreads'!W82,"")</f>
        <v>0</v>
      </c>
      <c r="BH72">
        <f>IFERROR(AVERAGE('Fat Spreads'!W72:W91)+2*STDEV('Fat Spreads'!W72:W91),"")</f>
        <v>0</v>
      </c>
      <c r="BI72">
        <f>IFERROR(AVERAGE('Fat Spreads'!W72:W91)-2*STDEV('Fat Spreads'!W72:W91),"")</f>
        <v>0</v>
      </c>
      <c r="BJ72" t="str">
        <f>IFERROR(('Fat Spreads'!W72-(AVERAGE('Fat Spreads'!W72:W91)-2*STDEV('Fat Spreads'!W72:W91)))/(4*STDEV('Fat Spreads'!W72:W91)),"")</f>
        <v/>
      </c>
      <c r="BK72" t="str">
        <f>IFERROR(4*STDEV('Fat Spreads'!W72:W91)/AVERAGE('Fat Spreads'!W72:W91),"")</f>
        <v/>
      </c>
      <c r="BL72">
        <v>70.400300000000001</v>
      </c>
      <c r="BM72">
        <f>IFERROR(SQRT((SUMSQ('Fat Spreads'!W72:W91)-2*SUMPRODUCT('Fat Spreads'!W72:W91,'Fat Spreads'!W73:W92)+SUMSQ('Fat Spreads'!W73:W92)-('Fat Spreads'!W72-'Fat Spreads'!W92)^2/20)/19),"")</f>
        <v>0</v>
      </c>
      <c r="BO72">
        <f>IFERROR('Fat Spreads'!AC72,"")</f>
        <v>0</v>
      </c>
      <c r="BP72">
        <f>IFERROR(('Fat Spreads'!AD72-AVERAGE('Fat Spreads'!$AD$3:$AD$4308))/STDEV('Fat Spreads'!$AD$3:$AD$4308),"")</f>
        <v>-9.2057461789832332E-2</v>
      </c>
      <c r="BQ72">
        <f>IFERROR('Fat Spreads'!AD72-'Fat Spreads'!AD77,"")</f>
        <v>0</v>
      </c>
      <c r="BR72">
        <f>IFERROR('Fat Spreads'!AD72-'Fat Spreads'!AD82,"")</f>
        <v>0</v>
      </c>
      <c r="BS72">
        <f>IFERROR(AVERAGE('Fat Spreads'!AD72:AD91)+2*STDEV('Fat Spreads'!AD72:AD91),"")</f>
        <v>0</v>
      </c>
      <c r="BT72">
        <f>IFERROR(AVERAGE('Fat Spreads'!AD72:AD91)-2*STDEV('Fat Spreads'!AD72:AD91),"")</f>
        <v>0</v>
      </c>
      <c r="BU72" t="str">
        <f>IFERROR(('Fat Spreads'!AD72-(AVERAGE('Fat Spreads'!AD72:AD91)-2*STDEV('Fat Spreads'!AD72:AD91)))/(4*STDEV('Fat Spreads'!AD72:AD91)),"")</f>
        <v/>
      </c>
      <c r="BV72" t="str">
        <f>IFERROR(4*STDEV('Fat Spreads'!AD72:AD91)/AVERAGE('Fat Spreads'!AD72:AD91),"")</f>
        <v/>
      </c>
      <c r="BW72">
        <v>47.162300000000002</v>
      </c>
      <c r="BX72">
        <f>IFERROR(SQRT((SUMSQ('Fat Spreads'!AD72:AD91)-2*SUMPRODUCT('Fat Spreads'!AD72:AD91,'Fat Spreads'!AD73:AD92)+SUMSQ('Fat Spreads'!AD73:AD92)-('Fat Spreads'!AD72-'Fat Spreads'!AD92)^2/20)/19),"")</f>
        <v>0</v>
      </c>
      <c r="BZ72">
        <f>IFERROR('Feeder Spreads'!A72,"")</f>
        <v>0</v>
      </c>
      <c r="CA72">
        <f>IFERROR(('Feeder Spreads'!B72-AVERAGE('Feeder Spreads'!$B$3:$B$4308))/STDEV('Feeder Spreads'!$B$3:$B$4308),"")</f>
        <v>-9.2057461789832346E-2</v>
      </c>
      <c r="CB72">
        <f>IFERROR('Feeder Spreads'!B72-'Feeder Spreads'!B77,"")</f>
        <v>0</v>
      </c>
      <c r="CC72">
        <f>IFERROR('Feeder Spreads'!B72-'Feeder Spreads'!B82,"")</f>
        <v>0</v>
      </c>
      <c r="CD72">
        <f>IFERROR(AVERAGE('Feeder Spreads'!B72:B91)+2*STDEV('Feeder Spreads'!B72:B91),"")</f>
        <v>0</v>
      </c>
      <c r="CE72">
        <f>IFERROR(AVERAGE('Feeder Spreads'!B72:B91)-2*STDEV('Feeder Spreads'!B72:B91),"")</f>
        <v>0</v>
      </c>
      <c r="CF72" t="str">
        <f>IFERROR(('Feeder Spreads'!B72-(AVERAGE('Feeder Spreads'!B72:B91)-2*STDEV('Feeder Spreads'!B72:B91)))/(4*STDEV('Feeder Spreads'!B72:B91)),"")</f>
        <v/>
      </c>
      <c r="CG72" t="str">
        <f>IFERROR(4*STDEV('Feeder Spreads'!B72:B91)/AVERAGE('Feeder Spreads'!B72:B91),"")</f>
        <v/>
      </c>
      <c r="CH72">
        <v>50.788600000000002</v>
      </c>
      <c r="CI72">
        <f>IFERROR(SQRT((SUMSQ('Feeder Spreads'!B72:B91)-2*SUMPRODUCT('Feeder Spreads'!B72:B91,'Feeder Spreads'!B73:B92)+SUMSQ('Feeder Spreads'!B73:B92)-('Feeder Spreads'!B72-'Feeder Spreads'!B92)^2/20)/19),"")</f>
        <v>0</v>
      </c>
      <c r="CK72">
        <f>IFERROR('Feeder Spreads'!AX72,"")</f>
        <v>0</v>
      </c>
      <c r="CL72">
        <f>IFERROR(('Feeder Spreads'!AY72-AVERAGE('Feeder Spreads'!$AY$3:$AY$4308))/STDEV('Feeder Spreads'!$AY$3:$AY$4308),"")</f>
        <v>-9.2057461789832346E-2</v>
      </c>
      <c r="CM72">
        <f>IFERROR('Feeder Spreads'!AY72-'Feeder Spreads'!AY77,"")</f>
        <v>0</v>
      </c>
      <c r="CN72">
        <f>IFERROR('Feeder Spreads'!AY72-'Feeder Spreads'!AY82,"")</f>
        <v>0</v>
      </c>
      <c r="CO72">
        <f>IFERROR(AVERAGE('Feeder Spreads'!AY72:AY91)+2*STDEV('Feeder Spreads'!AY72:AY91),"")</f>
        <v>0</v>
      </c>
      <c r="CP72">
        <f>IFERROR(AVERAGE('Feeder Spreads'!AY72:AY91)-2*STDEV('Feeder Spreads'!AY72:AY91),"")</f>
        <v>0</v>
      </c>
      <c r="CQ72" t="str">
        <f>IFERROR(('Feeder Spreads'!AY72-(AVERAGE('Feeder Spreads'!AY72:AY91)-2*STDEV('Feeder Spreads'!AY72:AY91)))/(4*STDEV('Feeder Spreads'!AY72:AY91)),"")</f>
        <v/>
      </c>
      <c r="CR72" t="str">
        <f>IFERROR(4*STDEV('Feeder Spreads'!AY72:AY91)/AVERAGE('Feeder Spreads'!AY72:AY91),"")</f>
        <v/>
      </c>
      <c r="CS72">
        <v>42.243200000000002</v>
      </c>
      <c r="CT72">
        <f>IFERROR(SQRT((SUMSQ('Feeder Spreads'!AY72:AY91)-2*SUMPRODUCT('Feeder Spreads'!AY72:AY91,'Feeder Spreads'!AY73:AY92)+SUMSQ('Feeder Spreads'!AY73:AY92)-('Feeder Spreads'!AY72-'Feeder Spreads'!AY92)^2/20)/19),"")</f>
        <v>0</v>
      </c>
      <c r="CV72">
        <f>IFERROR('Feeder Spreads'!H72,"")</f>
        <v>0</v>
      </c>
      <c r="CW72">
        <f>IFERROR(('Feeder Spreads'!I72-AVERAGE('Feeder Spreads'!$I$3:$I$4308))/STDEV('Feeder Spreads'!$I$3:$I$4308),"")</f>
        <v>-9.2057461789832332E-2</v>
      </c>
      <c r="CX72">
        <f>IFERROR('Feeder Spreads'!I72-'Feeder Spreads'!I77,"")</f>
        <v>0</v>
      </c>
      <c r="CY72">
        <f>IFERROR('Feeder Spreads'!I72-'Feeder Spreads'!I82,"")</f>
        <v>0</v>
      </c>
      <c r="CZ72">
        <f>IFERROR(AVERAGE('Feeder Spreads'!I72:I91)+2*STDEV('Feeder Spreads'!I72:I91),"")</f>
        <v>0</v>
      </c>
      <c r="DA72">
        <f>IFERROR(AVERAGE('Feeder Spreads'!I72:I91)-2*STDEV('Feeder Spreads'!I72:I91),"")</f>
        <v>0</v>
      </c>
      <c r="DB72" t="str">
        <f>IFERROR(('Feeder Spreads'!I72-(AVERAGE('Feeder Spreads'!I72:I91)-2*STDEV('Feeder Spreads'!I72:I91)))/(4*STDEV('Feeder Spreads'!I72:I91)),"")</f>
        <v/>
      </c>
      <c r="DC72" t="str">
        <f>IFERROR(4*STDEV('Feeder Spreads'!I72:I91)/AVERAGE('Feeder Spreads'!I72:I91),"")</f>
        <v/>
      </c>
      <c r="DD72">
        <v>56.938699999999997</v>
      </c>
      <c r="DE72">
        <f>IFERROR(SQRT((SUMSQ('Feeder Spreads'!I72:I91)-2*SUMPRODUCT('Feeder Spreads'!I72:I91,'Feeder Spreads'!I73:I92)+SUMSQ('Feeder Spreads'!I73:I92)-('Feeder Spreads'!I72-'Feeder Spreads'!I92)^2/20)/19),"")</f>
        <v>0</v>
      </c>
      <c r="DG72">
        <f>IFERROR('Feeder Spreads'!O72,"")</f>
        <v>0</v>
      </c>
      <c r="DH72">
        <f>IFERROR(('Feeder Spreads'!P72-AVERAGE('Feeder Spreads'!$P$3:$P$4308))/STDEV('Feeder Spreads'!$P$3:$P$4308),"")</f>
        <v>-9.2057461789832346E-2</v>
      </c>
      <c r="DI72">
        <f>IFERROR('Feeder Spreads'!P72-'Feeder Spreads'!P77,"")</f>
        <v>0</v>
      </c>
      <c r="DJ72">
        <f>IFERROR('Feeder Spreads'!P72-'Feeder Spreads'!P82,"")</f>
        <v>0</v>
      </c>
      <c r="DK72">
        <f>IFERROR(AVERAGE('Feeder Spreads'!P72:P91)+2*STDEV('Feeder Spreads'!P72:P91),"")</f>
        <v>0</v>
      </c>
      <c r="DL72">
        <f>IFERROR(AVERAGE('Feeder Spreads'!P72:P91)-2*STDEV('Feeder Spreads'!P72:P91),"")</f>
        <v>0</v>
      </c>
      <c r="DM72" t="str">
        <f>IFERROR(('Feeder Spreads'!P72-(AVERAGE('Feeder Spreads'!P72:P91)-2*STDEV('Feeder Spreads'!P72:P91)))/(4*STDEV('Feeder Spreads'!P72:P91)),"")</f>
        <v/>
      </c>
      <c r="DN72" t="str">
        <f>IFERROR(4*STDEV('Feeder Spreads'!P72:P91)/AVERAGE('Feeder Spreads'!P72:P91),"")</f>
        <v/>
      </c>
      <c r="DO72">
        <v>58.537799999999997</v>
      </c>
      <c r="DP72">
        <f>IFERROR(SQRT((SUMSQ('Feeder Spreads'!P72:P91)-2*SUMPRODUCT('Feeder Spreads'!P72:P91,'Feeder Spreads'!P73:P92)+SUMSQ('Feeder Spreads'!P73:P92)-('Feeder Spreads'!P72-'Feeder Spreads'!P92)^2/20)/19),"")</f>
        <v>0</v>
      </c>
      <c r="DR72">
        <f>IFERROR('Feeder Spreads'!V72,"")</f>
        <v>0</v>
      </c>
      <c r="DS72">
        <f>IFERROR(('Feeder Spreads'!W72-AVERAGE('Feeder Spreads'!$W$3:$W$4308))/STDEV('Feeder Spreads'!$W$3:$W$4308),"")</f>
        <v>-9.2057461789832332E-2</v>
      </c>
      <c r="DT72">
        <f>IFERROR('Feeder Spreads'!W72-'Feeder Spreads'!W77,"")</f>
        <v>0</v>
      </c>
      <c r="DU72">
        <f>IFERROR('Feeder Spreads'!W72-'Feeder Spreads'!W82,"")</f>
        <v>0</v>
      </c>
      <c r="DV72">
        <f>IFERROR(AVERAGE('Feeder Spreads'!W72:W91)+2*STDEV('Feeder Spreads'!W72:W91),"")</f>
        <v>0</v>
      </c>
      <c r="DW72">
        <f>IFERROR(AVERAGE('Feeder Spreads'!W72:W91)-2*STDEV('Feeder Spreads'!W72:W91),"")</f>
        <v>0</v>
      </c>
      <c r="DX72" t="str">
        <f>IFERROR(('Feeder Spreads'!W72-(AVERAGE('Feeder Spreads'!W72:W91)-2*STDEV('Feeder Spreads'!W72:W91)))/(4*STDEV('Feeder Spreads'!W72:W91)),"")</f>
        <v/>
      </c>
      <c r="DY72" t="str">
        <f>IFERROR(4*STDEV('Feeder Spreads'!W72:W91)/AVERAGE('Feeder Spreads'!W72:W91),"")</f>
        <v/>
      </c>
      <c r="DZ72">
        <v>52.929699999999997</v>
      </c>
      <c r="EA72">
        <f>IFERROR(SQRT((SUMSQ('Feeder Spreads'!W72:W91)-2*SUMPRODUCT('Feeder Spreads'!W72:W91,'Feeder Spreads'!W73:W92)+SUMSQ('Feeder Spreads'!W73:W92)-('Feeder Spreads'!W72-'Feeder Spreads'!W92)^2/20)/19),"")</f>
        <v>0</v>
      </c>
      <c r="EC72">
        <f>IFERROR('Feeder Spreads'!AC72,"")</f>
        <v>0</v>
      </c>
      <c r="ED72">
        <f>IFERROR(('Feeder Spreads'!AD72-AVERAGE('Feeder Spreads'!$AD$3:$AD$4308))/STDEV('Feeder Spreads'!$AD$3:$AD$4308),"")</f>
        <v>9.2057461789832318E-2</v>
      </c>
      <c r="EE72">
        <f>IFERROR('Feeder Spreads'!AD72-'Feeder Spreads'!AD77,"")</f>
        <v>0</v>
      </c>
      <c r="EF72">
        <f>IFERROR('Feeder Spreads'!AD72-'Feeder Spreads'!AD82,"")</f>
        <v>0</v>
      </c>
      <c r="EG72">
        <f>IFERROR(AVERAGE('Feeder Spreads'!AD72:AD91)+2*STDEV('Feeder Spreads'!AD72:AD91),"")</f>
        <v>0</v>
      </c>
      <c r="EH72">
        <f>IFERROR(AVERAGE('Feeder Spreads'!AD72:AD91)-2*STDEV('Feeder Spreads'!AD72:AD91),"")</f>
        <v>0</v>
      </c>
      <c r="EI72" t="str">
        <f>IFERROR(('Feeder Spreads'!AD72-(AVERAGE('Feeder Spreads'!AD72:AD91)-2*STDEV('Feeder Spreads'!AD72:AD91)))/(4*STDEV('Feeder Spreads'!AD72:AD91)),"")</f>
        <v/>
      </c>
      <c r="EJ72" t="str">
        <f>IFERROR(4*STDEV('Feeder Spreads'!AD72:AD91)/AVERAGE('Feeder Spreads'!AD72:AD91),"")</f>
        <v/>
      </c>
      <c r="EK72">
        <v>48.846699999999998</v>
      </c>
      <c r="EL72">
        <f>IFERROR(SQRT((SUMSQ('Feeder Spreads'!AD72:AD91)-2*SUMPRODUCT('Feeder Spreads'!AD72:AD91,'Feeder Spreads'!AD73:AD92)+SUMSQ('Feeder Spreads'!AD73:AD92)-('Feeder Spreads'!AD72-'Feeder Spreads'!AD92)^2/20)/19),"")</f>
        <v>0</v>
      </c>
      <c r="EN72">
        <f>IFERROR('Feeder Spreads'!AJ72,"")</f>
        <v>0</v>
      </c>
      <c r="EO72">
        <f>IFERROR(('Feeder Spreads'!AK72-AVERAGE('Feeder Spreads'!$AK$3:$AK$4308))/STDEV('Feeder Spreads'!$AK$3:$AK$4308),"")</f>
        <v>-9.2057461789832346E-2</v>
      </c>
      <c r="EP72">
        <f>IFERROR('Feeder Spreads'!AK72-'Feeder Spreads'!AK77,"")</f>
        <v>0</v>
      </c>
      <c r="EQ72">
        <f>IFERROR('Feeder Spreads'!AK72-'Feeder Spreads'!AK82,"")</f>
        <v>0</v>
      </c>
      <c r="ER72">
        <f>IFERROR(AVERAGE('Feeder Spreads'!AK72:AK91)+2*STDEV('Feeder Spreads'!AK72:AK91),"")</f>
        <v>0</v>
      </c>
      <c r="ES72">
        <f>IFERROR(AVERAGE('Feeder Spreads'!AK72:AK91)-2*STDEV('Feeder Spreads'!AK72:AK91),"")</f>
        <v>0</v>
      </c>
      <c r="ET72" t="str">
        <f>IFERROR(('Feeder Spreads'!AK72-(AVERAGE('Feeder Spreads'!AK72:AK91)-2*STDEV('Feeder Spreads'!AK72:AK91)))/(4*STDEV('Feeder Spreads'!AK72:AK91)),"")</f>
        <v/>
      </c>
      <c r="EU72" t="str">
        <f>IFERROR(4*STDEV('Feeder Spreads'!AK72:AK91)/AVERAGE('Feeder Spreads'!AK72:AK91),"")</f>
        <v/>
      </c>
      <c r="EV72">
        <v>57.409500000000001</v>
      </c>
      <c r="EW72">
        <f>IFERROR(SQRT((SUMSQ('Feeder Spreads'!AK72:AK91)-2*SUMPRODUCT('Feeder Spreads'!AK72:AK91,'Feeder Spreads'!AK73:AK92)+SUMSQ('Feeder Spreads'!AK73:AK92)-('Feeder Spreads'!AK72-'Feeder Spreads'!AK92)^2/20)/19),"")</f>
        <v>0</v>
      </c>
      <c r="EY72">
        <f>IFERROR('Feeder Spreads'!AQ72,"")</f>
        <v>0</v>
      </c>
      <c r="EZ72">
        <f>IFERROR(('Feeder Spreads'!AR72-AVERAGE('Feeder Spreads'!$AR$3:$AR$4308))/STDEV('Feeder Spreads'!$AR$3:$AR$4308),"")</f>
        <v>-9.2057461789832332E-2</v>
      </c>
      <c r="FA72">
        <f>IFERROR('Feeder Spreads'!AR72-'Feeder Spreads'!AR77,"")</f>
        <v>0</v>
      </c>
      <c r="FB72">
        <f>IFERROR('Feeder Spreads'!AR72-'Feeder Spreads'!AR82,"")</f>
        <v>0</v>
      </c>
      <c r="FC72">
        <f>IFERROR(AVERAGE('Feeder Spreads'!AR72:AR91)+2*STDEV('Feeder Spreads'!AR72:AR91),"")</f>
        <v>0</v>
      </c>
      <c r="FD72">
        <f>IFERROR(AVERAGE('Feeder Spreads'!AR72:AR91)-2*STDEV('Feeder Spreads'!AR72:AR91),"")</f>
        <v>0</v>
      </c>
      <c r="FE72" t="str">
        <f>IFERROR(('Feeder Spreads'!AR72-(AVERAGE('Feeder Spreads'!AR72:AR91)-2*STDEV('Feeder Spreads'!AR72:AR91)))/(4*STDEV('Feeder Spreads'!AR72:AR91)),"")</f>
        <v/>
      </c>
      <c r="FF72" t="str">
        <f>IFERROR(4*STDEV('Feeder Spreads'!AR72:AR91)/AVERAGE('Feeder Spreads'!AR72:AR91),"")</f>
        <v/>
      </c>
      <c r="FG72">
        <v>60.5946</v>
      </c>
      <c r="FH72">
        <f>IFERROR(SQRT((SUMSQ('Feeder Spreads'!AR72:AR91)-2*SUMPRODUCT('Feeder Spreads'!AR72:AR91,'Feeder Spreads'!AR73:AR92)+SUMSQ('Feeder Spreads'!AR73:AR92)-('Feeder Spreads'!AR72-'Feeder Spreads'!AR92)^2/20)/19),"")</f>
        <v>0</v>
      </c>
      <c r="FJ72">
        <f>IFERROR('Fat Spreads'!AX72,"")</f>
        <v>0</v>
      </c>
      <c r="FK72">
        <f>IFERROR(('Fat Spreads'!AY72-AVERAGE('Fat Spreads'!$AY$3:$AY$4308))/STDEV('Fat Spreads'!$AY$3:$AY$4308),"")</f>
        <v>9.2057461789832332E-2</v>
      </c>
      <c r="FL72">
        <f>IFERROR('Fat Spreads'!AY72-'Fat Spreads'!AY77,"")</f>
        <v>0</v>
      </c>
      <c r="FM72">
        <f>IFERROR('Fat Spreads'!AY72-'Fat Spreads'!AY82,"")</f>
        <v>0</v>
      </c>
      <c r="FN72">
        <f>IFERROR(AVERAGE('Fat Spreads'!AY72:AY91)+2*STDEV('Fat Spreads'!AY72:AY91),"")</f>
        <v>0</v>
      </c>
      <c r="FO72">
        <f>IFERROR(AVERAGE('Fat Spreads'!AY72:AY91)-2*STDEV('Fat Spreads'!AY72:AY91),"")</f>
        <v>0</v>
      </c>
      <c r="FP72" t="str">
        <f>IFERROR(('Fat Spreads'!AY72-(AVERAGE('Fat Spreads'!AY72:AY91)-2*STDEV('Fat Spreads'!AY72:AY91)))/(4*STDEV('Fat Spreads'!AY72:AY91)),"")</f>
        <v/>
      </c>
      <c r="FQ72" t="str">
        <f>IFERROR(4*STDEV('Fat Spreads'!AY72:AY91)/AVERAGE('Fat Spreads'!AY72:AY91),"")</f>
        <v/>
      </c>
      <c r="FR72">
        <v>39.232300000000002</v>
      </c>
      <c r="FS72">
        <f>IFERROR(SQRT((SUMSQ('Fat Spreads'!AY72:AY91)-2*SUMPRODUCT('Fat Spreads'!AY72:AY91,'Fat Spreads'!AY73:AY92)+SUMSQ('Fat Spreads'!AY73:AY92)-('Fat Spreads'!AY72-'Fat Spreads'!AY92)^2/20)/19),"")</f>
        <v>0</v>
      </c>
      <c r="FU72">
        <f>IFERROR('Fat Spreads'!BE72,"")</f>
        <v>0</v>
      </c>
      <c r="FV72">
        <f>IFERROR(('Fat Spreads'!BF72-AVERAGE('Fat Spreads'!$BF$3:$BF$4308))/STDEV('Fat Spreads'!$BF$3:$BF$4308),"")</f>
        <v>9.2057461789832332E-2</v>
      </c>
      <c r="FW72">
        <f>IFERROR('Fat Spreads'!BF72-'Fat Spreads'!BF77,"")</f>
        <v>0</v>
      </c>
      <c r="FX72">
        <f>IFERROR('Fat Spreads'!BF72-'Fat Spreads'!BF82,"")</f>
        <v>0</v>
      </c>
      <c r="FY72">
        <f>IFERROR(AVERAGE('Fat Spreads'!BF72:BF91)+2*STDEV('Fat Spreads'!BF72:BF91),"")</f>
        <v>0</v>
      </c>
      <c r="FZ72">
        <f>IFERROR(AVERAGE('Fat Spreads'!BF72:BF91)-2*STDEV('Fat Spreads'!BF72:BF91),"")</f>
        <v>0</v>
      </c>
      <c r="GA72" t="str">
        <f>IFERROR(('Fat Spreads'!BF72-(AVERAGE('Fat Spreads'!BF72:BF91)-2*STDEV('Fat Spreads'!BF72:BF91)))/(4*STDEV('Fat Spreads'!BF72:BF91)),"")</f>
        <v/>
      </c>
      <c r="GB72" t="str">
        <f>IFERROR(4*STDEV('Fat Spreads'!BF72:BF91)/AVERAGE('Fat Spreads'!BF72:BF91),"")</f>
        <v/>
      </c>
      <c r="GC72">
        <v>38.207799999999999</v>
      </c>
      <c r="GD72">
        <f>IFERROR(SQRT((SUMSQ('Fat Spreads'!BF72:BF91)-2*SUMPRODUCT('Fat Spreads'!BF72:BF91,'Fat Spreads'!BF73:BF92)+SUMSQ('Fat Spreads'!BF73:BF92)-('Fat Spreads'!BF72-'Fat Spreads'!BF92)^2/20)/19),"")</f>
        <v>0</v>
      </c>
    </row>
    <row r="73" spans="1:186" x14ac:dyDescent="0.25">
      <c r="A73">
        <f>IFERROR('Fat Spreads'!A73,"")</f>
        <v>0</v>
      </c>
      <c r="B73">
        <f>IFERROR(('Fat Spreads'!B73-AVERAGE('Fat Spreads'!$B$3:$B$4308))/STDEV('Fat Spreads'!$B$3:$B$4308),"")</f>
        <v>9.2057461789832346E-2</v>
      </c>
      <c r="C73">
        <f>IFERROR('Fat Spreads'!B73-'Fat Spreads'!B78,"")</f>
        <v>0</v>
      </c>
      <c r="D73">
        <f>IFERROR('Fat Spreads'!B73-'Fat Spreads'!B83,"")</f>
        <v>0</v>
      </c>
      <c r="E73">
        <f>IFERROR(AVERAGE('Fat Spreads'!B73:B92)+2*STDEV('Fat Spreads'!B73:B92),"")</f>
        <v>0</v>
      </c>
      <c r="F73">
        <f>IFERROR(AVERAGE('Fat Spreads'!B73:B92)-2*STDEV('Fat Spreads'!B73:B92),"")</f>
        <v>0</v>
      </c>
      <c r="G73" t="str">
        <f>IFERROR(('Fat Spreads'!B73-(AVERAGE('Fat Spreads'!B73:B92)-2*STDEV('Fat Spreads'!B73:B92)))/(4*STDEV('Fat Spreads'!B73:B92)),"")</f>
        <v/>
      </c>
      <c r="H73" t="str">
        <f>IFERROR(4*STDEV('Fat Spreads'!B73:B92)/AVERAGE('Fat Spreads'!B73:B92),"")</f>
        <v/>
      </c>
      <c r="I73">
        <v>39.369500000000002</v>
      </c>
      <c r="J73">
        <f>IFERROR(SQRT((SUMSQ('Fat Spreads'!B73:B92)-2*SUMPRODUCT('Fat Spreads'!B73:B92,'Fat Spreads'!B74:B93)+SUMSQ('Fat Spreads'!B74:B93)-('Fat Spreads'!B73-'Fat Spreads'!B93)^2/20)/19),"")</f>
        <v>0</v>
      </c>
      <c r="L73">
        <f>IFERROR('Fat Spreads'!H73,"")</f>
        <v>0</v>
      </c>
      <c r="M73">
        <f>IFERROR(('Fat Spreads'!I73-AVERAGE('Fat Spreads'!$I$3:$I$4308))/STDEV('Fat Spreads'!$I$3:$I$4308),"")</f>
        <v>-9.2057461789832332E-2</v>
      </c>
      <c r="N73">
        <f>IFERROR('Fat Spreads'!I73-'Fat Spreads'!I78,"")</f>
        <v>0</v>
      </c>
      <c r="O73">
        <f>IFERROR('Fat Spreads'!I73-'Fat Spreads'!I83,"")</f>
        <v>0</v>
      </c>
      <c r="P73">
        <f>IFERROR(AVERAGE('Fat Spreads'!I73:I92)+2*STDEV('Fat Spreads'!I73:I92),"")</f>
        <v>0</v>
      </c>
      <c r="Q73">
        <f>IFERROR(AVERAGE('Fat Spreads'!I73:I92)-2*STDEV('Fat Spreads'!I73:I92),"")</f>
        <v>0</v>
      </c>
      <c r="R73" t="str">
        <f>IFERROR(('Fat Spreads'!I73-(AVERAGE('Fat Spreads'!I73:I92)-2*STDEV('Fat Spreads'!I73:I92)))/(4*STDEV('Fat Spreads'!I73:I92)),"")</f>
        <v/>
      </c>
      <c r="S73" t="str">
        <f>IFERROR(4*STDEV('Fat Spreads'!I73:I92)/AVERAGE('Fat Spreads'!I73:I92),"")</f>
        <v/>
      </c>
      <c r="T73">
        <v>38.603200000000001</v>
      </c>
      <c r="U73">
        <f>IFERROR(SQRT((SUMSQ('Fat Spreads'!I73:I92)-2*SUMPRODUCT('Fat Spreads'!I73:I92,'Fat Spreads'!I74:I93)+SUMSQ('Fat Spreads'!I74:I93)-('Fat Spreads'!I73-'Fat Spreads'!I93)^2/20)/19),"")</f>
        <v>0</v>
      </c>
      <c r="W73">
        <f>IFERROR('Fat Spreads'!AQ73,"")</f>
        <v>0</v>
      </c>
      <c r="X73">
        <f>IFERROR(('Fat Spreads'!AR73-AVERAGE('Fat Spreads'!$AR$3:$AR$4308))/STDEV('Fat Spreads'!$AR$3:$AR$4308),"")</f>
        <v>-9.2057461789832346E-2</v>
      </c>
      <c r="Y73">
        <f>IFERROR('Fat Spreads'!AR73-'Fat Spreads'!AR78,"")</f>
        <v>0</v>
      </c>
      <c r="Z73">
        <f>IFERROR('Fat Spreads'!AR73-'Fat Spreads'!AR83,"")</f>
        <v>0</v>
      </c>
      <c r="AA73">
        <f>IFERROR(AVERAGE('Fat Spreads'!AR73:AR92)+2*STDEV('Fat Spreads'!AR73:AR92),"")</f>
        <v>0</v>
      </c>
      <c r="AB73">
        <f>IFERROR(AVERAGE('Fat Spreads'!AR73:AR92)-2*STDEV('Fat Spreads'!AR73:AR92),"")</f>
        <v>0</v>
      </c>
      <c r="AC73" t="str">
        <f>IFERROR(('Fat Spreads'!AR73-(AVERAGE('Fat Spreads'!AR73:AR92)-2*STDEV('Fat Spreads'!AR73:AR92)))/(4*STDEV('Fat Spreads'!AR73:AR92)),"")</f>
        <v/>
      </c>
      <c r="AD73" t="str">
        <f>IFERROR(4*STDEV('Fat Spreads'!AR73:AR92)/AVERAGE('Fat Spreads'!AR73:AR92),"")</f>
        <v/>
      </c>
      <c r="AE73">
        <v>67.954599999999999</v>
      </c>
      <c r="AF73">
        <f>IFERROR(SQRT((SUMSQ('Fat Spreads'!AR73:AR92)-2*SUMPRODUCT('Fat Spreads'!AR73:AR92,'Fat Spreads'!AR74:AR93)+SUMSQ('Fat Spreads'!AR74:AR93)-('Fat Spreads'!AR73-'Fat Spreads'!AR93)^2/20)/19),"")</f>
        <v>0</v>
      </c>
      <c r="AH73">
        <f>IFERROR('Fat Spreads'!O73,"")</f>
        <v>0</v>
      </c>
      <c r="AI73">
        <f>IFERROR(('Fat Spreads'!P73-AVERAGE('Fat Spreads'!$P$3:$P$4308))/STDEV('Fat Spreads'!$P$3:$P$4308),"")</f>
        <v>-9.2057461789832332E-2</v>
      </c>
      <c r="AJ73">
        <f>IFERROR('Fat Spreads'!P73-'Fat Spreads'!P78,"")</f>
        <v>0</v>
      </c>
      <c r="AK73">
        <f>IFERROR('Fat Spreads'!P73-'Fat Spreads'!P83,"")</f>
        <v>0</v>
      </c>
      <c r="AL73">
        <f>IFERROR(AVERAGE('Fat Spreads'!P73:P92)+2*STDEV('Fat Spreads'!P73:P92),"")</f>
        <v>0</v>
      </c>
      <c r="AM73">
        <f>IFERROR(AVERAGE('Fat Spreads'!P73:P92)-2*STDEV('Fat Spreads'!P73:P92),"")</f>
        <v>0</v>
      </c>
      <c r="AN73" t="str">
        <f>IFERROR(('Fat Spreads'!P73-(AVERAGE('Fat Spreads'!P73:P92)-2*STDEV('Fat Spreads'!P73:P92)))/(4*STDEV('Fat Spreads'!P73:P92)),"")</f>
        <v/>
      </c>
      <c r="AO73" t="str">
        <f>IFERROR(4*STDEV('Fat Spreads'!P73:P92)/AVERAGE('Fat Spreads'!P73:P92),"")</f>
        <v/>
      </c>
      <c r="AP73">
        <v>50.137999999999998</v>
      </c>
      <c r="AQ73">
        <f>IFERROR(SQRT((SUMSQ('Fat Spreads'!P73:P92)-2*SUMPRODUCT('Fat Spreads'!P73:P92,'Fat Spreads'!P74:P93)+SUMSQ('Fat Spreads'!P74:P93)-('Fat Spreads'!P73-'Fat Spreads'!P93)^2/20)/19),"")</f>
        <v>0</v>
      </c>
      <c r="AS73">
        <f>IFERROR('Fat Spreads'!AJ73,"")</f>
        <v>0</v>
      </c>
      <c r="AT73">
        <f>IFERROR(('Fat Spreads'!AK73-AVERAGE('Fat Spreads'!$AK$3:$AK$4308))/STDEV('Fat Spreads'!$AK$3:$AK$4308),"")</f>
        <v>-9.2057461789832332E-2</v>
      </c>
      <c r="AU73">
        <f>IFERROR('Fat Spreads'!AK73-'Fat Spreads'!AK78,"")</f>
        <v>0</v>
      </c>
      <c r="AV73">
        <f>IFERROR('Fat Spreads'!AK73-'Fat Spreads'!AK83,"")</f>
        <v>0</v>
      </c>
      <c r="AW73">
        <f>IFERROR(AVERAGE('Fat Spreads'!AK73:AK92)+2*STDEV('Fat Spreads'!AK73:AK92),"")</f>
        <v>0</v>
      </c>
      <c r="AX73">
        <f>IFERROR(AVERAGE('Fat Spreads'!AK73:AK92)-2*STDEV('Fat Spreads'!AK73:AK92),"")</f>
        <v>0</v>
      </c>
      <c r="AY73" t="str">
        <f>IFERROR(('Fat Spreads'!AK73-(AVERAGE('Fat Spreads'!AK73:AK92)-2*STDEV('Fat Spreads'!AK73:AK92)))/(4*STDEV('Fat Spreads'!AK73:AK92)),"")</f>
        <v/>
      </c>
      <c r="AZ73" t="str">
        <f>IFERROR(4*STDEV('Fat Spreads'!AK73:AK92)/AVERAGE('Fat Spreads'!AK73:AK92),"")</f>
        <v/>
      </c>
      <c r="BA73">
        <v>40.561</v>
      </c>
      <c r="BB73">
        <f>IFERROR(SQRT((SUMSQ('Fat Spreads'!AK73:AK92)-2*SUMPRODUCT('Fat Spreads'!AK73:AK92,'Fat Spreads'!AK74:AK93)+SUMSQ('Fat Spreads'!AK74:AK93)-('Fat Spreads'!AK73-'Fat Spreads'!AK93)^2/20)/19),"")</f>
        <v>0</v>
      </c>
      <c r="BD73">
        <f>IFERROR('Fat Spreads'!V73,"")</f>
        <v>0</v>
      </c>
      <c r="BE73">
        <f>IFERROR(('Fat Spreads'!W73-AVERAGE('Fat Spreads'!$W$3:$W$4308))/STDEV('Fat Spreads'!$W$3:$W$4308),"")</f>
        <v>-9.2057461789832332E-2</v>
      </c>
      <c r="BF73">
        <f>IFERROR('Fat Spreads'!W73-'Fat Spreads'!W78,"")</f>
        <v>0</v>
      </c>
      <c r="BG73">
        <f>IFERROR('Fat Spreads'!W73-'Fat Spreads'!W83,"")</f>
        <v>0</v>
      </c>
      <c r="BH73">
        <f>IFERROR(AVERAGE('Fat Spreads'!W73:W92)+2*STDEV('Fat Spreads'!W73:W92),"")</f>
        <v>0</v>
      </c>
      <c r="BI73">
        <f>IFERROR(AVERAGE('Fat Spreads'!W73:W92)-2*STDEV('Fat Spreads'!W73:W92),"")</f>
        <v>0</v>
      </c>
      <c r="BJ73" t="str">
        <f>IFERROR(('Fat Spreads'!W73-(AVERAGE('Fat Spreads'!W73:W92)-2*STDEV('Fat Spreads'!W73:W92)))/(4*STDEV('Fat Spreads'!W73:W92)),"")</f>
        <v/>
      </c>
      <c r="BK73" t="str">
        <f>IFERROR(4*STDEV('Fat Spreads'!W73:W92)/AVERAGE('Fat Spreads'!W73:W92),"")</f>
        <v/>
      </c>
      <c r="BL73">
        <v>70.400300000000001</v>
      </c>
      <c r="BM73">
        <f>IFERROR(SQRT((SUMSQ('Fat Spreads'!W73:W92)-2*SUMPRODUCT('Fat Spreads'!W73:W92,'Fat Spreads'!W74:W93)+SUMSQ('Fat Spreads'!W74:W93)-('Fat Spreads'!W73-'Fat Spreads'!W93)^2/20)/19),"")</f>
        <v>0</v>
      </c>
      <c r="BO73">
        <f>IFERROR('Fat Spreads'!AC73,"")</f>
        <v>0</v>
      </c>
      <c r="BP73">
        <f>IFERROR(('Fat Spreads'!AD73-AVERAGE('Fat Spreads'!$AD$3:$AD$4308))/STDEV('Fat Spreads'!$AD$3:$AD$4308),"")</f>
        <v>-9.2057461789832332E-2</v>
      </c>
      <c r="BQ73">
        <f>IFERROR('Fat Spreads'!AD73-'Fat Spreads'!AD78,"")</f>
        <v>0</v>
      </c>
      <c r="BR73">
        <f>IFERROR('Fat Spreads'!AD73-'Fat Spreads'!AD83,"")</f>
        <v>0</v>
      </c>
      <c r="BS73">
        <f>IFERROR(AVERAGE('Fat Spreads'!AD73:AD92)+2*STDEV('Fat Spreads'!AD73:AD92),"")</f>
        <v>0</v>
      </c>
      <c r="BT73">
        <f>IFERROR(AVERAGE('Fat Spreads'!AD73:AD92)-2*STDEV('Fat Spreads'!AD73:AD92),"")</f>
        <v>0</v>
      </c>
      <c r="BU73" t="str">
        <f>IFERROR(('Fat Spreads'!AD73-(AVERAGE('Fat Spreads'!AD73:AD92)-2*STDEV('Fat Spreads'!AD73:AD92)))/(4*STDEV('Fat Spreads'!AD73:AD92)),"")</f>
        <v/>
      </c>
      <c r="BV73" t="str">
        <f>IFERROR(4*STDEV('Fat Spreads'!AD73:AD92)/AVERAGE('Fat Spreads'!AD73:AD92),"")</f>
        <v/>
      </c>
      <c r="BW73">
        <v>46.630099999999999</v>
      </c>
      <c r="BX73">
        <f>IFERROR(SQRT((SUMSQ('Fat Spreads'!AD73:AD92)-2*SUMPRODUCT('Fat Spreads'!AD73:AD92,'Fat Spreads'!AD74:AD93)+SUMSQ('Fat Spreads'!AD74:AD93)-('Fat Spreads'!AD73-'Fat Spreads'!AD93)^2/20)/19),"")</f>
        <v>0</v>
      </c>
      <c r="BZ73">
        <f>IFERROR('Feeder Spreads'!A73,"")</f>
        <v>0</v>
      </c>
      <c r="CA73">
        <f>IFERROR(('Feeder Spreads'!B73-AVERAGE('Feeder Spreads'!$B$3:$B$4308))/STDEV('Feeder Spreads'!$B$3:$B$4308),"")</f>
        <v>-9.2057461789832346E-2</v>
      </c>
      <c r="CB73">
        <f>IFERROR('Feeder Spreads'!B73-'Feeder Spreads'!B78,"")</f>
        <v>0</v>
      </c>
      <c r="CC73">
        <f>IFERROR('Feeder Spreads'!B73-'Feeder Spreads'!B83,"")</f>
        <v>0</v>
      </c>
      <c r="CD73">
        <f>IFERROR(AVERAGE('Feeder Spreads'!B73:B92)+2*STDEV('Feeder Spreads'!B73:B92),"")</f>
        <v>0</v>
      </c>
      <c r="CE73">
        <f>IFERROR(AVERAGE('Feeder Spreads'!B73:B92)-2*STDEV('Feeder Spreads'!B73:B92),"")</f>
        <v>0</v>
      </c>
      <c r="CF73" t="str">
        <f>IFERROR(('Feeder Spreads'!B73-(AVERAGE('Feeder Spreads'!B73:B92)-2*STDEV('Feeder Spreads'!B73:B92)))/(4*STDEV('Feeder Spreads'!B73:B92)),"")</f>
        <v/>
      </c>
      <c r="CG73" t="str">
        <f>IFERROR(4*STDEV('Feeder Spreads'!B73:B92)/AVERAGE('Feeder Spreads'!B73:B92),"")</f>
        <v/>
      </c>
      <c r="CH73">
        <v>49.910400000000003</v>
      </c>
      <c r="CI73">
        <f>IFERROR(SQRT((SUMSQ('Feeder Spreads'!B73:B92)-2*SUMPRODUCT('Feeder Spreads'!B73:B92,'Feeder Spreads'!B74:B93)+SUMSQ('Feeder Spreads'!B74:B93)-('Feeder Spreads'!B73-'Feeder Spreads'!B93)^2/20)/19),"")</f>
        <v>0</v>
      </c>
      <c r="CK73">
        <f>IFERROR('Feeder Spreads'!AX73,"")</f>
        <v>0</v>
      </c>
      <c r="CL73">
        <f>IFERROR(('Feeder Spreads'!AY73-AVERAGE('Feeder Spreads'!$AY$3:$AY$4308))/STDEV('Feeder Spreads'!$AY$3:$AY$4308),"")</f>
        <v>-9.2057461789832346E-2</v>
      </c>
      <c r="CM73">
        <f>IFERROR('Feeder Spreads'!AY73-'Feeder Spreads'!AY78,"")</f>
        <v>0</v>
      </c>
      <c r="CN73">
        <f>IFERROR('Feeder Spreads'!AY73-'Feeder Spreads'!AY83,"")</f>
        <v>0</v>
      </c>
      <c r="CO73">
        <f>IFERROR(AVERAGE('Feeder Spreads'!AY73:AY92)+2*STDEV('Feeder Spreads'!AY73:AY92),"")</f>
        <v>0</v>
      </c>
      <c r="CP73">
        <f>IFERROR(AVERAGE('Feeder Spreads'!AY73:AY92)-2*STDEV('Feeder Spreads'!AY73:AY92),"")</f>
        <v>0</v>
      </c>
      <c r="CQ73" t="str">
        <f>IFERROR(('Feeder Spreads'!AY73-(AVERAGE('Feeder Spreads'!AY73:AY92)-2*STDEV('Feeder Spreads'!AY73:AY92)))/(4*STDEV('Feeder Spreads'!AY73:AY92)),"")</f>
        <v/>
      </c>
      <c r="CR73" t="str">
        <f>IFERROR(4*STDEV('Feeder Spreads'!AY73:AY92)/AVERAGE('Feeder Spreads'!AY73:AY92),"")</f>
        <v/>
      </c>
      <c r="CS73">
        <v>39.444000000000003</v>
      </c>
      <c r="CT73">
        <f>IFERROR(SQRT((SUMSQ('Feeder Spreads'!AY73:AY92)-2*SUMPRODUCT('Feeder Spreads'!AY73:AY92,'Feeder Spreads'!AY74:AY93)+SUMSQ('Feeder Spreads'!AY74:AY93)-('Feeder Spreads'!AY73-'Feeder Spreads'!AY93)^2/20)/19),"")</f>
        <v>0</v>
      </c>
      <c r="CV73">
        <f>IFERROR('Feeder Spreads'!H73,"")</f>
        <v>0</v>
      </c>
      <c r="CW73">
        <f>IFERROR(('Feeder Spreads'!I73-AVERAGE('Feeder Spreads'!$I$3:$I$4308))/STDEV('Feeder Spreads'!$I$3:$I$4308),"")</f>
        <v>-9.2057461789832332E-2</v>
      </c>
      <c r="CX73">
        <f>IFERROR('Feeder Spreads'!I73-'Feeder Spreads'!I78,"")</f>
        <v>0</v>
      </c>
      <c r="CY73">
        <f>IFERROR('Feeder Spreads'!I73-'Feeder Spreads'!I83,"")</f>
        <v>0</v>
      </c>
      <c r="CZ73">
        <f>IFERROR(AVERAGE('Feeder Spreads'!I73:I92)+2*STDEV('Feeder Spreads'!I73:I92),"")</f>
        <v>0</v>
      </c>
      <c r="DA73">
        <f>IFERROR(AVERAGE('Feeder Spreads'!I73:I92)-2*STDEV('Feeder Spreads'!I73:I92),"")</f>
        <v>0</v>
      </c>
      <c r="DB73" t="str">
        <f>IFERROR(('Feeder Spreads'!I73-(AVERAGE('Feeder Spreads'!I73:I92)-2*STDEV('Feeder Spreads'!I73:I92)))/(4*STDEV('Feeder Spreads'!I73:I92)),"")</f>
        <v/>
      </c>
      <c r="DC73" t="str">
        <f>IFERROR(4*STDEV('Feeder Spreads'!I73:I92)/AVERAGE('Feeder Spreads'!I73:I92),"")</f>
        <v/>
      </c>
      <c r="DD73">
        <v>54.031999999999996</v>
      </c>
      <c r="DE73">
        <f>IFERROR(SQRT((SUMSQ('Feeder Spreads'!I73:I92)-2*SUMPRODUCT('Feeder Spreads'!I73:I92,'Feeder Spreads'!I74:I93)+SUMSQ('Feeder Spreads'!I74:I93)-('Feeder Spreads'!I73-'Feeder Spreads'!I93)^2/20)/19),"")</f>
        <v>0</v>
      </c>
      <c r="DG73">
        <f>IFERROR('Feeder Spreads'!O73,"")</f>
        <v>0</v>
      </c>
      <c r="DH73">
        <f>IFERROR(('Feeder Spreads'!P73-AVERAGE('Feeder Spreads'!$P$3:$P$4308))/STDEV('Feeder Spreads'!$P$3:$P$4308),"")</f>
        <v>-9.2057461789832346E-2</v>
      </c>
      <c r="DI73">
        <f>IFERROR('Feeder Spreads'!P73-'Feeder Spreads'!P78,"")</f>
        <v>0</v>
      </c>
      <c r="DJ73">
        <f>IFERROR('Feeder Spreads'!P73-'Feeder Spreads'!P83,"")</f>
        <v>0</v>
      </c>
      <c r="DK73">
        <f>IFERROR(AVERAGE('Feeder Spreads'!P73:P92)+2*STDEV('Feeder Spreads'!P73:P92),"")</f>
        <v>0</v>
      </c>
      <c r="DL73">
        <f>IFERROR(AVERAGE('Feeder Spreads'!P73:P92)-2*STDEV('Feeder Spreads'!P73:P92),"")</f>
        <v>0</v>
      </c>
      <c r="DM73" t="str">
        <f>IFERROR(('Feeder Spreads'!P73-(AVERAGE('Feeder Spreads'!P73:P92)-2*STDEV('Feeder Spreads'!P73:P92)))/(4*STDEV('Feeder Spreads'!P73:P92)),"")</f>
        <v/>
      </c>
      <c r="DN73" t="str">
        <f>IFERROR(4*STDEV('Feeder Spreads'!P73:P92)/AVERAGE('Feeder Spreads'!P73:P92),"")</f>
        <v/>
      </c>
      <c r="DO73">
        <v>61.282400000000003</v>
      </c>
      <c r="DP73">
        <f>IFERROR(SQRT((SUMSQ('Feeder Spreads'!P73:P92)-2*SUMPRODUCT('Feeder Spreads'!P73:P92,'Feeder Spreads'!P74:P93)+SUMSQ('Feeder Spreads'!P74:P93)-('Feeder Spreads'!P73-'Feeder Spreads'!P93)^2/20)/19),"")</f>
        <v>0</v>
      </c>
      <c r="DR73">
        <f>IFERROR('Feeder Spreads'!V73,"")</f>
        <v>0</v>
      </c>
      <c r="DS73">
        <f>IFERROR(('Feeder Spreads'!W73-AVERAGE('Feeder Spreads'!$W$3:$W$4308))/STDEV('Feeder Spreads'!$W$3:$W$4308),"")</f>
        <v>-9.2057461789832332E-2</v>
      </c>
      <c r="DT73">
        <f>IFERROR('Feeder Spreads'!W73-'Feeder Spreads'!W78,"")</f>
        <v>0</v>
      </c>
      <c r="DU73">
        <f>IFERROR('Feeder Spreads'!W73-'Feeder Spreads'!W83,"")</f>
        <v>0</v>
      </c>
      <c r="DV73">
        <f>IFERROR(AVERAGE('Feeder Spreads'!W73:W92)+2*STDEV('Feeder Spreads'!W73:W92),"")</f>
        <v>0</v>
      </c>
      <c r="DW73">
        <f>IFERROR(AVERAGE('Feeder Spreads'!W73:W92)-2*STDEV('Feeder Spreads'!W73:W92),"")</f>
        <v>0</v>
      </c>
      <c r="DX73" t="str">
        <f>IFERROR(('Feeder Spreads'!W73-(AVERAGE('Feeder Spreads'!W73:W92)-2*STDEV('Feeder Spreads'!W73:W92)))/(4*STDEV('Feeder Spreads'!W73:W92)),"")</f>
        <v/>
      </c>
      <c r="DY73" t="str">
        <f>IFERROR(4*STDEV('Feeder Spreads'!W73:W92)/AVERAGE('Feeder Spreads'!W73:W92),"")</f>
        <v/>
      </c>
      <c r="DZ73">
        <v>50.637900000000002</v>
      </c>
      <c r="EA73">
        <f>IFERROR(SQRT((SUMSQ('Feeder Spreads'!W73:W92)-2*SUMPRODUCT('Feeder Spreads'!W73:W92,'Feeder Spreads'!W74:W93)+SUMSQ('Feeder Spreads'!W74:W93)-('Feeder Spreads'!W73-'Feeder Spreads'!W93)^2/20)/19),"")</f>
        <v>0</v>
      </c>
      <c r="EC73">
        <f>IFERROR('Feeder Spreads'!AC73,"")</f>
        <v>0</v>
      </c>
      <c r="ED73">
        <f>IFERROR(('Feeder Spreads'!AD73-AVERAGE('Feeder Spreads'!$AD$3:$AD$4308))/STDEV('Feeder Spreads'!$AD$3:$AD$4308),"")</f>
        <v>9.2057461789832318E-2</v>
      </c>
      <c r="EE73">
        <f>IFERROR('Feeder Spreads'!AD73-'Feeder Spreads'!AD78,"")</f>
        <v>0</v>
      </c>
      <c r="EF73">
        <f>IFERROR('Feeder Spreads'!AD73-'Feeder Spreads'!AD83,"")</f>
        <v>0</v>
      </c>
      <c r="EG73">
        <f>IFERROR(AVERAGE('Feeder Spreads'!AD73:AD92)+2*STDEV('Feeder Spreads'!AD73:AD92),"")</f>
        <v>0</v>
      </c>
      <c r="EH73">
        <f>IFERROR(AVERAGE('Feeder Spreads'!AD73:AD92)-2*STDEV('Feeder Spreads'!AD73:AD92),"")</f>
        <v>0</v>
      </c>
      <c r="EI73" t="str">
        <f>IFERROR(('Feeder Spreads'!AD73-(AVERAGE('Feeder Spreads'!AD73:AD92)-2*STDEV('Feeder Spreads'!AD73:AD92)))/(4*STDEV('Feeder Spreads'!AD73:AD92)),"")</f>
        <v/>
      </c>
      <c r="EJ73" t="str">
        <f>IFERROR(4*STDEV('Feeder Spreads'!AD73:AD92)/AVERAGE('Feeder Spreads'!AD73:AD92),"")</f>
        <v/>
      </c>
      <c r="EK73">
        <v>50.171700000000001</v>
      </c>
      <c r="EL73">
        <f>IFERROR(SQRT((SUMSQ('Feeder Spreads'!AD73:AD92)-2*SUMPRODUCT('Feeder Spreads'!AD73:AD92,'Feeder Spreads'!AD74:AD93)+SUMSQ('Feeder Spreads'!AD74:AD93)-('Feeder Spreads'!AD73-'Feeder Spreads'!AD93)^2/20)/19),"")</f>
        <v>0</v>
      </c>
      <c r="EN73">
        <f>IFERROR('Feeder Spreads'!AJ73,"")</f>
        <v>0</v>
      </c>
      <c r="EO73">
        <f>IFERROR(('Feeder Spreads'!AK73-AVERAGE('Feeder Spreads'!$AK$3:$AK$4308))/STDEV('Feeder Spreads'!$AK$3:$AK$4308),"")</f>
        <v>-9.2057461789832346E-2</v>
      </c>
      <c r="EP73">
        <f>IFERROR('Feeder Spreads'!AK73-'Feeder Spreads'!AK78,"")</f>
        <v>0</v>
      </c>
      <c r="EQ73">
        <f>IFERROR('Feeder Spreads'!AK73-'Feeder Spreads'!AK83,"")</f>
        <v>0</v>
      </c>
      <c r="ER73">
        <f>IFERROR(AVERAGE('Feeder Spreads'!AK73:AK92)+2*STDEV('Feeder Spreads'!AK73:AK92),"")</f>
        <v>0</v>
      </c>
      <c r="ES73">
        <f>IFERROR(AVERAGE('Feeder Spreads'!AK73:AK92)-2*STDEV('Feeder Spreads'!AK73:AK92),"")</f>
        <v>0</v>
      </c>
      <c r="ET73" t="str">
        <f>IFERROR(('Feeder Spreads'!AK73-(AVERAGE('Feeder Spreads'!AK73:AK92)-2*STDEV('Feeder Spreads'!AK73:AK92)))/(4*STDEV('Feeder Spreads'!AK73:AK92)),"")</f>
        <v/>
      </c>
      <c r="EU73" t="str">
        <f>IFERROR(4*STDEV('Feeder Spreads'!AK73:AK92)/AVERAGE('Feeder Spreads'!AK73:AK92),"")</f>
        <v/>
      </c>
      <c r="EV73">
        <v>58.817999999999998</v>
      </c>
      <c r="EW73">
        <f>IFERROR(SQRT((SUMSQ('Feeder Spreads'!AK73:AK92)-2*SUMPRODUCT('Feeder Spreads'!AK73:AK92,'Feeder Spreads'!AK74:AK93)+SUMSQ('Feeder Spreads'!AK74:AK93)-('Feeder Spreads'!AK73-'Feeder Spreads'!AK93)^2/20)/19),"")</f>
        <v>0</v>
      </c>
      <c r="EY73">
        <f>IFERROR('Feeder Spreads'!AQ73,"")</f>
        <v>0</v>
      </c>
      <c r="EZ73">
        <f>IFERROR(('Feeder Spreads'!AR73-AVERAGE('Feeder Spreads'!$AR$3:$AR$4308))/STDEV('Feeder Spreads'!$AR$3:$AR$4308),"")</f>
        <v>-9.2057461789832332E-2</v>
      </c>
      <c r="FA73">
        <f>IFERROR('Feeder Spreads'!AR73-'Feeder Spreads'!AR78,"")</f>
        <v>0</v>
      </c>
      <c r="FB73">
        <f>IFERROR('Feeder Spreads'!AR73-'Feeder Spreads'!AR83,"")</f>
        <v>0</v>
      </c>
      <c r="FC73">
        <f>IFERROR(AVERAGE('Feeder Spreads'!AR73:AR92)+2*STDEV('Feeder Spreads'!AR73:AR92),"")</f>
        <v>0</v>
      </c>
      <c r="FD73">
        <f>IFERROR(AVERAGE('Feeder Spreads'!AR73:AR92)-2*STDEV('Feeder Spreads'!AR73:AR92),"")</f>
        <v>0</v>
      </c>
      <c r="FE73" t="str">
        <f>IFERROR(('Feeder Spreads'!AR73-(AVERAGE('Feeder Spreads'!AR73:AR92)-2*STDEV('Feeder Spreads'!AR73:AR92)))/(4*STDEV('Feeder Spreads'!AR73:AR92)),"")</f>
        <v/>
      </c>
      <c r="FF73" t="str">
        <f>IFERROR(4*STDEV('Feeder Spreads'!AR73:AR92)/AVERAGE('Feeder Spreads'!AR73:AR92),"")</f>
        <v/>
      </c>
      <c r="FG73">
        <v>59.898600000000002</v>
      </c>
      <c r="FH73">
        <f>IFERROR(SQRT((SUMSQ('Feeder Spreads'!AR73:AR92)-2*SUMPRODUCT('Feeder Spreads'!AR73:AR92,'Feeder Spreads'!AR74:AR93)+SUMSQ('Feeder Spreads'!AR74:AR93)-('Feeder Spreads'!AR73-'Feeder Spreads'!AR93)^2/20)/19),"")</f>
        <v>0</v>
      </c>
      <c r="FJ73">
        <f>IFERROR('Fat Spreads'!AX73,"")</f>
        <v>0</v>
      </c>
      <c r="FK73">
        <f>IFERROR(('Fat Spreads'!AY73-AVERAGE('Fat Spreads'!$AY$3:$AY$4308))/STDEV('Fat Spreads'!$AY$3:$AY$4308),"")</f>
        <v>9.2057461789832332E-2</v>
      </c>
      <c r="FL73">
        <f>IFERROR('Fat Spreads'!AY73-'Fat Spreads'!AY78,"")</f>
        <v>0</v>
      </c>
      <c r="FM73">
        <f>IFERROR('Fat Spreads'!AY73-'Fat Spreads'!AY83,"")</f>
        <v>0</v>
      </c>
      <c r="FN73">
        <f>IFERROR(AVERAGE('Fat Spreads'!AY73:AY92)+2*STDEV('Fat Spreads'!AY73:AY92),"")</f>
        <v>0</v>
      </c>
      <c r="FO73">
        <f>IFERROR(AVERAGE('Fat Spreads'!AY73:AY92)-2*STDEV('Fat Spreads'!AY73:AY92),"")</f>
        <v>0</v>
      </c>
      <c r="FP73" t="str">
        <f>IFERROR(('Fat Spreads'!AY73-(AVERAGE('Fat Spreads'!AY73:AY92)-2*STDEV('Fat Spreads'!AY73:AY92)))/(4*STDEV('Fat Spreads'!AY73:AY92)),"")</f>
        <v/>
      </c>
      <c r="FQ73" t="str">
        <f>IFERROR(4*STDEV('Fat Spreads'!AY73:AY92)/AVERAGE('Fat Spreads'!AY73:AY92),"")</f>
        <v/>
      </c>
      <c r="FR73">
        <v>39.232300000000002</v>
      </c>
      <c r="FS73">
        <f>IFERROR(SQRT((SUMSQ('Fat Spreads'!AY73:AY92)-2*SUMPRODUCT('Fat Spreads'!AY73:AY92,'Fat Spreads'!AY74:AY93)+SUMSQ('Fat Spreads'!AY74:AY93)-('Fat Spreads'!AY73-'Fat Spreads'!AY93)^2/20)/19),"")</f>
        <v>0</v>
      </c>
      <c r="FU73">
        <f>IFERROR('Fat Spreads'!BE73,"")</f>
        <v>0</v>
      </c>
      <c r="FV73">
        <f>IFERROR(('Fat Spreads'!BF73-AVERAGE('Fat Spreads'!$BF$3:$BF$4308))/STDEV('Fat Spreads'!$BF$3:$BF$4308),"")</f>
        <v>9.2057461789832332E-2</v>
      </c>
      <c r="FW73">
        <f>IFERROR('Fat Spreads'!BF73-'Fat Spreads'!BF78,"")</f>
        <v>0</v>
      </c>
      <c r="FX73">
        <f>IFERROR('Fat Spreads'!BF73-'Fat Spreads'!BF83,"")</f>
        <v>0</v>
      </c>
      <c r="FY73">
        <f>IFERROR(AVERAGE('Fat Spreads'!BF73:BF92)+2*STDEV('Fat Spreads'!BF73:BF92),"")</f>
        <v>0</v>
      </c>
      <c r="FZ73">
        <f>IFERROR(AVERAGE('Fat Spreads'!BF73:BF92)-2*STDEV('Fat Spreads'!BF73:BF92),"")</f>
        <v>0</v>
      </c>
      <c r="GA73" t="str">
        <f>IFERROR(('Fat Spreads'!BF73-(AVERAGE('Fat Spreads'!BF73:BF92)-2*STDEV('Fat Spreads'!BF73:BF92)))/(4*STDEV('Fat Spreads'!BF73:BF92)),"")</f>
        <v/>
      </c>
      <c r="GB73" t="str">
        <f>IFERROR(4*STDEV('Fat Spreads'!BF73:BF92)/AVERAGE('Fat Spreads'!BF73:BF92),"")</f>
        <v/>
      </c>
      <c r="GC73">
        <v>38.768900000000002</v>
      </c>
      <c r="GD73">
        <f>IFERROR(SQRT((SUMSQ('Fat Spreads'!BF73:BF92)-2*SUMPRODUCT('Fat Spreads'!BF73:BF92,'Fat Spreads'!BF74:BF93)+SUMSQ('Fat Spreads'!BF74:BF93)-('Fat Spreads'!BF73-'Fat Spreads'!BF93)^2/20)/19),"")</f>
        <v>0</v>
      </c>
    </row>
    <row r="74" spans="1:186" x14ac:dyDescent="0.25">
      <c r="A74">
        <f>IFERROR('Fat Spreads'!A74,"")</f>
        <v>0</v>
      </c>
      <c r="B74">
        <f>IFERROR(('Fat Spreads'!B74-AVERAGE('Fat Spreads'!$B$3:$B$4308))/STDEV('Fat Spreads'!$B$3:$B$4308),"")</f>
        <v>9.2057461789832346E-2</v>
      </c>
      <c r="C74">
        <f>IFERROR('Fat Spreads'!B74-'Fat Spreads'!B79,"")</f>
        <v>0</v>
      </c>
      <c r="D74">
        <f>IFERROR('Fat Spreads'!B74-'Fat Spreads'!B84,"")</f>
        <v>0</v>
      </c>
      <c r="E74">
        <f>IFERROR(AVERAGE('Fat Spreads'!B74:B93)+2*STDEV('Fat Spreads'!B74:B93),"")</f>
        <v>0</v>
      </c>
      <c r="F74">
        <f>IFERROR(AVERAGE('Fat Spreads'!B74:B93)-2*STDEV('Fat Spreads'!B74:B93),"")</f>
        <v>0</v>
      </c>
      <c r="G74" t="str">
        <f>IFERROR(('Fat Spreads'!B74-(AVERAGE('Fat Spreads'!B74:B93)-2*STDEV('Fat Spreads'!B74:B93)))/(4*STDEV('Fat Spreads'!B74:B93)),"")</f>
        <v/>
      </c>
      <c r="H74" t="str">
        <f>IFERROR(4*STDEV('Fat Spreads'!B74:B93)/AVERAGE('Fat Spreads'!B74:B93),"")</f>
        <v/>
      </c>
      <c r="I74">
        <v>29.123000000000001</v>
      </c>
      <c r="J74">
        <f>IFERROR(SQRT((SUMSQ('Fat Spreads'!B74:B93)-2*SUMPRODUCT('Fat Spreads'!B74:B93,'Fat Spreads'!B75:B94)+SUMSQ('Fat Spreads'!B75:B94)-('Fat Spreads'!B74-'Fat Spreads'!B94)^2/20)/19),"")</f>
        <v>0</v>
      </c>
      <c r="L74">
        <f>IFERROR('Fat Spreads'!H74,"")</f>
        <v>0</v>
      </c>
      <c r="M74">
        <f>IFERROR(('Fat Spreads'!I74-AVERAGE('Fat Spreads'!$I$3:$I$4308))/STDEV('Fat Spreads'!$I$3:$I$4308),"")</f>
        <v>-9.2057461789832332E-2</v>
      </c>
      <c r="N74">
        <f>IFERROR('Fat Spreads'!I74-'Fat Spreads'!I79,"")</f>
        <v>0</v>
      </c>
      <c r="O74">
        <f>IFERROR('Fat Spreads'!I74-'Fat Spreads'!I84,"")</f>
        <v>0</v>
      </c>
      <c r="P74">
        <f>IFERROR(AVERAGE('Fat Spreads'!I74:I93)+2*STDEV('Fat Spreads'!I74:I93),"")</f>
        <v>0</v>
      </c>
      <c r="Q74">
        <f>IFERROR(AVERAGE('Fat Spreads'!I74:I93)-2*STDEV('Fat Spreads'!I74:I93),"")</f>
        <v>0</v>
      </c>
      <c r="R74" t="str">
        <f>IFERROR(('Fat Spreads'!I74-(AVERAGE('Fat Spreads'!I74:I93)-2*STDEV('Fat Spreads'!I74:I93)))/(4*STDEV('Fat Spreads'!I74:I93)),"")</f>
        <v/>
      </c>
      <c r="S74" t="str">
        <f>IFERROR(4*STDEV('Fat Spreads'!I74:I93)/AVERAGE('Fat Spreads'!I74:I93),"")</f>
        <v/>
      </c>
      <c r="T74">
        <v>27.927199999999999</v>
      </c>
      <c r="U74">
        <f>IFERROR(SQRT((SUMSQ('Fat Spreads'!I74:I93)-2*SUMPRODUCT('Fat Spreads'!I74:I93,'Fat Spreads'!I75:I94)+SUMSQ('Fat Spreads'!I75:I94)-('Fat Spreads'!I74-'Fat Spreads'!I94)^2/20)/19),"")</f>
        <v>0</v>
      </c>
      <c r="W74">
        <f>IFERROR('Fat Spreads'!AQ74,"")</f>
        <v>0</v>
      </c>
      <c r="X74">
        <f>IFERROR(('Fat Spreads'!AR74-AVERAGE('Fat Spreads'!$AR$3:$AR$4308))/STDEV('Fat Spreads'!$AR$3:$AR$4308),"")</f>
        <v>-9.2057461789832346E-2</v>
      </c>
      <c r="Y74">
        <f>IFERROR('Fat Spreads'!AR74-'Fat Spreads'!AR79,"")</f>
        <v>0</v>
      </c>
      <c r="Z74">
        <f>IFERROR('Fat Spreads'!AR74-'Fat Spreads'!AR84,"")</f>
        <v>0</v>
      </c>
      <c r="AA74">
        <f>IFERROR(AVERAGE('Fat Spreads'!AR74:AR93)+2*STDEV('Fat Spreads'!AR74:AR93),"")</f>
        <v>0</v>
      </c>
      <c r="AB74">
        <f>IFERROR(AVERAGE('Fat Spreads'!AR74:AR93)-2*STDEV('Fat Spreads'!AR74:AR93),"")</f>
        <v>0</v>
      </c>
      <c r="AC74" t="str">
        <f>IFERROR(('Fat Spreads'!AR74-(AVERAGE('Fat Spreads'!AR74:AR93)-2*STDEV('Fat Spreads'!AR74:AR93)))/(4*STDEV('Fat Spreads'!AR74:AR93)),"")</f>
        <v/>
      </c>
      <c r="AD74" t="str">
        <f>IFERROR(4*STDEV('Fat Spreads'!AR74:AR93)/AVERAGE('Fat Spreads'!AR74:AR93),"")</f>
        <v/>
      </c>
      <c r="AE74">
        <v>65.859099999999998</v>
      </c>
      <c r="AF74">
        <f>IFERROR(SQRT((SUMSQ('Fat Spreads'!AR74:AR93)-2*SUMPRODUCT('Fat Spreads'!AR74:AR93,'Fat Spreads'!AR75:AR94)+SUMSQ('Fat Spreads'!AR75:AR94)-('Fat Spreads'!AR74-'Fat Spreads'!AR94)^2/20)/19),"")</f>
        <v>0</v>
      </c>
      <c r="AH74">
        <f>IFERROR('Fat Spreads'!O74,"")</f>
        <v>0</v>
      </c>
      <c r="AI74">
        <f>IFERROR(('Fat Spreads'!P74-AVERAGE('Fat Spreads'!$P$3:$P$4308))/STDEV('Fat Spreads'!$P$3:$P$4308),"")</f>
        <v>-9.2057461789832332E-2</v>
      </c>
      <c r="AJ74">
        <f>IFERROR('Fat Spreads'!P74-'Fat Spreads'!P79,"")</f>
        <v>0</v>
      </c>
      <c r="AK74">
        <f>IFERROR('Fat Spreads'!P74-'Fat Spreads'!P84,"")</f>
        <v>0</v>
      </c>
      <c r="AL74">
        <f>IFERROR(AVERAGE('Fat Spreads'!P74:P93)+2*STDEV('Fat Spreads'!P74:P93),"")</f>
        <v>0</v>
      </c>
      <c r="AM74">
        <f>IFERROR(AVERAGE('Fat Spreads'!P74:P93)-2*STDEV('Fat Spreads'!P74:P93),"")</f>
        <v>0</v>
      </c>
      <c r="AN74" t="str">
        <f>IFERROR(('Fat Spreads'!P74-(AVERAGE('Fat Spreads'!P74:P93)-2*STDEV('Fat Spreads'!P74:P93)))/(4*STDEV('Fat Spreads'!P74:P93)),"")</f>
        <v/>
      </c>
      <c r="AO74" t="str">
        <f>IFERROR(4*STDEV('Fat Spreads'!P74:P93)/AVERAGE('Fat Spreads'!P74:P93),"")</f>
        <v/>
      </c>
      <c r="AP74">
        <v>42.619399999999999</v>
      </c>
      <c r="AQ74">
        <f>IFERROR(SQRT((SUMSQ('Fat Spreads'!P74:P93)-2*SUMPRODUCT('Fat Spreads'!P74:P93,'Fat Spreads'!P75:P94)+SUMSQ('Fat Spreads'!P75:P94)-('Fat Spreads'!P74-'Fat Spreads'!P94)^2/20)/19),"")</f>
        <v>0</v>
      </c>
      <c r="AS74">
        <f>IFERROR('Fat Spreads'!AJ74,"")</f>
        <v>0</v>
      </c>
      <c r="AT74">
        <f>IFERROR(('Fat Spreads'!AK74-AVERAGE('Fat Spreads'!$AK$3:$AK$4308))/STDEV('Fat Spreads'!$AK$3:$AK$4308),"")</f>
        <v>-9.2057461789832332E-2</v>
      </c>
      <c r="AU74">
        <f>IFERROR('Fat Spreads'!AK74-'Fat Spreads'!AK79,"")</f>
        <v>0</v>
      </c>
      <c r="AV74">
        <f>IFERROR('Fat Spreads'!AK74-'Fat Spreads'!AK84,"")</f>
        <v>0</v>
      </c>
      <c r="AW74">
        <f>IFERROR(AVERAGE('Fat Spreads'!AK74:AK93)+2*STDEV('Fat Spreads'!AK74:AK93),"")</f>
        <v>0</v>
      </c>
      <c r="AX74">
        <f>IFERROR(AVERAGE('Fat Spreads'!AK74:AK93)-2*STDEV('Fat Spreads'!AK74:AK93),"")</f>
        <v>0</v>
      </c>
      <c r="AY74" t="str">
        <f>IFERROR(('Fat Spreads'!AK74-(AVERAGE('Fat Spreads'!AK74:AK93)-2*STDEV('Fat Spreads'!AK74:AK93)))/(4*STDEV('Fat Spreads'!AK74:AK93)),"")</f>
        <v/>
      </c>
      <c r="AZ74" t="str">
        <f>IFERROR(4*STDEV('Fat Spreads'!AK74:AK93)/AVERAGE('Fat Spreads'!AK74:AK93),"")</f>
        <v/>
      </c>
      <c r="BA74">
        <v>34.982999999999997</v>
      </c>
      <c r="BB74">
        <f>IFERROR(SQRT((SUMSQ('Fat Spreads'!AK74:AK93)-2*SUMPRODUCT('Fat Spreads'!AK74:AK93,'Fat Spreads'!AK75:AK94)+SUMSQ('Fat Spreads'!AK75:AK94)-('Fat Spreads'!AK74-'Fat Spreads'!AK94)^2/20)/19),"")</f>
        <v>0</v>
      </c>
      <c r="BD74">
        <f>IFERROR('Fat Spreads'!V74,"")</f>
        <v>0</v>
      </c>
      <c r="BE74">
        <f>IFERROR(('Fat Spreads'!W74-AVERAGE('Fat Spreads'!$W$3:$W$4308))/STDEV('Fat Spreads'!$W$3:$W$4308),"")</f>
        <v>-9.2057461789832332E-2</v>
      </c>
      <c r="BF74">
        <f>IFERROR('Fat Spreads'!W74-'Fat Spreads'!W79,"")</f>
        <v>0</v>
      </c>
      <c r="BG74">
        <f>IFERROR('Fat Spreads'!W74-'Fat Spreads'!W84,"")</f>
        <v>0</v>
      </c>
      <c r="BH74">
        <f>IFERROR(AVERAGE('Fat Spreads'!W74:W93)+2*STDEV('Fat Spreads'!W74:W93),"")</f>
        <v>0</v>
      </c>
      <c r="BI74">
        <f>IFERROR(AVERAGE('Fat Spreads'!W74:W93)-2*STDEV('Fat Spreads'!W74:W93),"")</f>
        <v>0</v>
      </c>
      <c r="BJ74" t="str">
        <f>IFERROR(('Fat Spreads'!W74-(AVERAGE('Fat Spreads'!W74:W93)-2*STDEV('Fat Spreads'!W74:W93)))/(4*STDEV('Fat Spreads'!W74:W93)),"")</f>
        <v/>
      </c>
      <c r="BK74" t="str">
        <f>IFERROR(4*STDEV('Fat Spreads'!W74:W93)/AVERAGE('Fat Spreads'!W74:W93),"")</f>
        <v/>
      </c>
      <c r="BL74">
        <v>69.590500000000006</v>
      </c>
      <c r="BM74">
        <f>IFERROR(SQRT((SUMSQ('Fat Spreads'!W74:W93)-2*SUMPRODUCT('Fat Spreads'!W74:W93,'Fat Spreads'!W75:W94)+SUMSQ('Fat Spreads'!W75:W94)-('Fat Spreads'!W74-'Fat Spreads'!W94)^2/20)/19),"")</f>
        <v>0</v>
      </c>
      <c r="BO74">
        <f>IFERROR('Fat Spreads'!AC74,"")</f>
        <v>0</v>
      </c>
      <c r="BP74">
        <f>IFERROR(('Fat Spreads'!AD74-AVERAGE('Fat Spreads'!$AD$3:$AD$4308))/STDEV('Fat Spreads'!$AD$3:$AD$4308),"")</f>
        <v>-9.2057461789832332E-2</v>
      </c>
      <c r="BQ74">
        <f>IFERROR('Fat Spreads'!AD74-'Fat Spreads'!AD79,"")</f>
        <v>0</v>
      </c>
      <c r="BR74">
        <f>IFERROR('Fat Spreads'!AD74-'Fat Spreads'!AD84,"")</f>
        <v>0</v>
      </c>
      <c r="BS74">
        <f>IFERROR(AVERAGE('Fat Spreads'!AD74:AD93)+2*STDEV('Fat Spreads'!AD74:AD93),"")</f>
        <v>0</v>
      </c>
      <c r="BT74">
        <f>IFERROR(AVERAGE('Fat Spreads'!AD74:AD93)-2*STDEV('Fat Spreads'!AD74:AD93),"")</f>
        <v>0</v>
      </c>
      <c r="BU74" t="str">
        <f>IFERROR(('Fat Spreads'!AD74-(AVERAGE('Fat Spreads'!AD74:AD93)-2*STDEV('Fat Spreads'!AD74:AD93)))/(4*STDEV('Fat Spreads'!AD74:AD93)),"")</f>
        <v/>
      </c>
      <c r="BV74" t="str">
        <f>IFERROR(4*STDEV('Fat Spreads'!AD74:AD93)/AVERAGE('Fat Spreads'!AD74:AD93),"")</f>
        <v/>
      </c>
      <c r="BW74">
        <v>53.7714</v>
      </c>
      <c r="BX74">
        <f>IFERROR(SQRT((SUMSQ('Fat Spreads'!AD74:AD93)-2*SUMPRODUCT('Fat Spreads'!AD74:AD93,'Fat Spreads'!AD75:AD94)+SUMSQ('Fat Spreads'!AD75:AD94)-('Fat Spreads'!AD74-'Fat Spreads'!AD94)^2/20)/19),"")</f>
        <v>0</v>
      </c>
      <c r="BZ74">
        <f>IFERROR('Feeder Spreads'!A74,"")</f>
        <v>0</v>
      </c>
      <c r="CA74">
        <f>IFERROR(('Feeder Spreads'!B74-AVERAGE('Feeder Spreads'!$B$3:$B$4308))/STDEV('Feeder Spreads'!$B$3:$B$4308),"")</f>
        <v>-9.2057461789832346E-2</v>
      </c>
      <c r="CB74">
        <f>IFERROR('Feeder Spreads'!B74-'Feeder Spreads'!B79,"")</f>
        <v>0</v>
      </c>
      <c r="CC74">
        <f>IFERROR('Feeder Spreads'!B74-'Feeder Spreads'!B84,"")</f>
        <v>0</v>
      </c>
      <c r="CD74">
        <f>IFERROR(AVERAGE('Feeder Spreads'!B74:B93)+2*STDEV('Feeder Spreads'!B74:B93),"")</f>
        <v>0</v>
      </c>
      <c r="CE74">
        <f>IFERROR(AVERAGE('Feeder Spreads'!B74:B93)-2*STDEV('Feeder Spreads'!B74:B93),"")</f>
        <v>0</v>
      </c>
      <c r="CF74" t="str">
        <f>IFERROR(('Feeder Spreads'!B74-(AVERAGE('Feeder Spreads'!B74:B93)-2*STDEV('Feeder Spreads'!B74:B93)))/(4*STDEV('Feeder Spreads'!B74:B93)),"")</f>
        <v/>
      </c>
      <c r="CG74" t="str">
        <f>IFERROR(4*STDEV('Feeder Spreads'!B74:B93)/AVERAGE('Feeder Spreads'!B74:B93),"")</f>
        <v/>
      </c>
      <c r="CH74">
        <v>48.915799999999997</v>
      </c>
      <c r="CI74">
        <f>IFERROR(SQRT((SUMSQ('Feeder Spreads'!B74:B93)-2*SUMPRODUCT('Feeder Spreads'!B74:B93,'Feeder Spreads'!B75:B94)+SUMSQ('Feeder Spreads'!B75:B94)-('Feeder Spreads'!B74-'Feeder Spreads'!B94)^2/20)/19),"")</f>
        <v>0</v>
      </c>
      <c r="CK74">
        <f>IFERROR('Feeder Spreads'!AX74,"")</f>
        <v>0</v>
      </c>
      <c r="CL74">
        <f>IFERROR(('Feeder Spreads'!AY74-AVERAGE('Feeder Spreads'!$AY$3:$AY$4308))/STDEV('Feeder Spreads'!$AY$3:$AY$4308),"")</f>
        <v>-9.2057461789832346E-2</v>
      </c>
      <c r="CM74">
        <f>IFERROR('Feeder Spreads'!AY74-'Feeder Spreads'!AY79,"")</f>
        <v>0</v>
      </c>
      <c r="CN74">
        <f>IFERROR('Feeder Spreads'!AY74-'Feeder Spreads'!AY84,"")</f>
        <v>0</v>
      </c>
      <c r="CO74">
        <f>IFERROR(AVERAGE('Feeder Spreads'!AY74:AY93)+2*STDEV('Feeder Spreads'!AY74:AY93),"")</f>
        <v>0</v>
      </c>
      <c r="CP74">
        <f>IFERROR(AVERAGE('Feeder Spreads'!AY74:AY93)-2*STDEV('Feeder Spreads'!AY74:AY93),"")</f>
        <v>0</v>
      </c>
      <c r="CQ74" t="str">
        <f>IFERROR(('Feeder Spreads'!AY74-(AVERAGE('Feeder Spreads'!AY74:AY93)-2*STDEV('Feeder Spreads'!AY74:AY93)))/(4*STDEV('Feeder Spreads'!AY74:AY93)),"")</f>
        <v/>
      </c>
      <c r="CR74" t="str">
        <f>IFERROR(4*STDEV('Feeder Spreads'!AY74:AY93)/AVERAGE('Feeder Spreads'!AY74:AY93),"")</f>
        <v/>
      </c>
      <c r="CS74">
        <v>41.547499999999999</v>
      </c>
      <c r="CT74">
        <f>IFERROR(SQRT((SUMSQ('Feeder Spreads'!AY74:AY93)-2*SUMPRODUCT('Feeder Spreads'!AY74:AY93,'Feeder Spreads'!AY75:AY94)+SUMSQ('Feeder Spreads'!AY75:AY94)-('Feeder Spreads'!AY74-'Feeder Spreads'!AY94)^2/20)/19),"")</f>
        <v>0</v>
      </c>
      <c r="CV74">
        <f>IFERROR('Feeder Spreads'!H74,"")</f>
        <v>0</v>
      </c>
      <c r="CW74">
        <f>IFERROR(('Feeder Spreads'!I74-AVERAGE('Feeder Spreads'!$I$3:$I$4308))/STDEV('Feeder Spreads'!$I$3:$I$4308),"")</f>
        <v>-9.2057461789832332E-2</v>
      </c>
      <c r="CX74">
        <f>IFERROR('Feeder Spreads'!I74-'Feeder Spreads'!I79,"")</f>
        <v>0</v>
      </c>
      <c r="CY74">
        <f>IFERROR('Feeder Spreads'!I74-'Feeder Spreads'!I84,"")</f>
        <v>0</v>
      </c>
      <c r="CZ74">
        <f>IFERROR(AVERAGE('Feeder Spreads'!I74:I93)+2*STDEV('Feeder Spreads'!I74:I93),"")</f>
        <v>0</v>
      </c>
      <c r="DA74">
        <f>IFERROR(AVERAGE('Feeder Spreads'!I74:I93)-2*STDEV('Feeder Spreads'!I74:I93),"")</f>
        <v>0</v>
      </c>
      <c r="DB74" t="str">
        <f>IFERROR(('Feeder Spreads'!I74-(AVERAGE('Feeder Spreads'!I74:I93)-2*STDEV('Feeder Spreads'!I74:I93)))/(4*STDEV('Feeder Spreads'!I74:I93)),"")</f>
        <v/>
      </c>
      <c r="DC74" t="str">
        <f>IFERROR(4*STDEV('Feeder Spreads'!I74:I93)/AVERAGE('Feeder Spreads'!I74:I93),"")</f>
        <v/>
      </c>
      <c r="DD74">
        <v>51.364600000000003</v>
      </c>
      <c r="DE74">
        <f>IFERROR(SQRT((SUMSQ('Feeder Spreads'!I74:I93)-2*SUMPRODUCT('Feeder Spreads'!I74:I93,'Feeder Spreads'!I75:I94)+SUMSQ('Feeder Spreads'!I75:I94)-('Feeder Spreads'!I74-'Feeder Spreads'!I94)^2/20)/19),"")</f>
        <v>0</v>
      </c>
      <c r="DG74">
        <f>IFERROR('Feeder Spreads'!O74,"")</f>
        <v>0</v>
      </c>
      <c r="DH74">
        <f>IFERROR(('Feeder Spreads'!P74-AVERAGE('Feeder Spreads'!$P$3:$P$4308))/STDEV('Feeder Spreads'!$P$3:$P$4308),"")</f>
        <v>-9.2057461789832346E-2</v>
      </c>
      <c r="DI74">
        <f>IFERROR('Feeder Spreads'!P74-'Feeder Spreads'!P79,"")</f>
        <v>0</v>
      </c>
      <c r="DJ74">
        <f>IFERROR('Feeder Spreads'!P74-'Feeder Spreads'!P84,"")</f>
        <v>0</v>
      </c>
      <c r="DK74">
        <f>IFERROR(AVERAGE('Feeder Spreads'!P74:P93)+2*STDEV('Feeder Spreads'!P74:P93),"")</f>
        <v>0</v>
      </c>
      <c r="DL74">
        <f>IFERROR(AVERAGE('Feeder Spreads'!P74:P93)-2*STDEV('Feeder Spreads'!P74:P93),"")</f>
        <v>0</v>
      </c>
      <c r="DM74" t="str">
        <f>IFERROR(('Feeder Spreads'!P74-(AVERAGE('Feeder Spreads'!P74:P93)-2*STDEV('Feeder Spreads'!P74:P93)))/(4*STDEV('Feeder Spreads'!P74:P93)),"")</f>
        <v/>
      </c>
      <c r="DN74" t="str">
        <f>IFERROR(4*STDEV('Feeder Spreads'!P74:P93)/AVERAGE('Feeder Spreads'!P74:P93),"")</f>
        <v/>
      </c>
      <c r="DO74">
        <v>60.8172</v>
      </c>
      <c r="DP74">
        <f>IFERROR(SQRT((SUMSQ('Feeder Spreads'!P74:P93)-2*SUMPRODUCT('Feeder Spreads'!P74:P93,'Feeder Spreads'!P75:P94)+SUMSQ('Feeder Spreads'!P75:P94)-('Feeder Spreads'!P74-'Feeder Spreads'!P94)^2/20)/19),"")</f>
        <v>0</v>
      </c>
      <c r="DR74">
        <f>IFERROR('Feeder Spreads'!V74,"")</f>
        <v>0</v>
      </c>
      <c r="DS74">
        <f>IFERROR(('Feeder Spreads'!W74-AVERAGE('Feeder Spreads'!$W$3:$W$4308))/STDEV('Feeder Spreads'!$W$3:$W$4308),"")</f>
        <v>-9.2057461789832332E-2</v>
      </c>
      <c r="DT74">
        <f>IFERROR('Feeder Spreads'!W74-'Feeder Spreads'!W79,"")</f>
        <v>0</v>
      </c>
      <c r="DU74">
        <f>IFERROR('Feeder Spreads'!W74-'Feeder Spreads'!W84,"")</f>
        <v>0</v>
      </c>
      <c r="DV74">
        <f>IFERROR(AVERAGE('Feeder Spreads'!W74:W93)+2*STDEV('Feeder Spreads'!W74:W93),"")</f>
        <v>0</v>
      </c>
      <c r="DW74">
        <f>IFERROR(AVERAGE('Feeder Spreads'!W74:W93)-2*STDEV('Feeder Spreads'!W74:W93),"")</f>
        <v>0</v>
      </c>
      <c r="DX74" t="str">
        <f>IFERROR(('Feeder Spreads'!W74-(AVERAGE('Feeder Spreads'!W74:W93)-2*STDEV('Feeder Spreads'!W74:W93)))/(4*STDEV('Feeder Spreads'!W74:W93)),"")</f>
        <v/>
      </c>
      <c r="DY74" t="str">
        <f>IFERROR(4*STDEV('Feeder Spreads'!W74:W93)/AVERAGE('Feeder Spreads'!W74:W93),"")</f>
        <v/>
      </c>
      <c r="DZ74">
        <v>48.905299999999997</v>
      </c>
      <c r="EA74">
        <f>IFERROR(SQRT((SUMSQ('Feeder Spreads'!W74:W93)-2*SUMPRODUCT('Feeder Spreads'!W74:W93,'Feeder Spreads'!W75:W94)+SUMSQ('Feeder Spreads'!W75:W94)-('Feeder Spreads'!W74-'Feeder Spreads'!W94)^2/20)/19),"")</f>
        <v>0</v>
      </c>
      <c r="EC74">
        <f>IFERROR('Feeder Spreads'!AC74,"")</f>
        <v>0</v>
      </c>
      <c r="ED74">
        <f>IFERROR(('Feeder Spreads'!AD74-AVERAGE('Feeder Spreads'!$AD$3:$AD$4308))/STDEV('Feeder Spreads'!$AD$3:$AD$4308),"")</f>
        <v>9.2057461789832318E-2</v>
      </c>
      <c r="EE74">
        <f>IFERROR('Feeder Spreads'!AD74-'Feeder Spreads'!AD79,"")</f>
        <v>0</v>
      </c>
      <c r="EF74">
        <f>IFERROR('Feeder Spreads'!AD74-'Feeder Spreads'!AD84,"")</f>
        <v>0</v>
      </c>
      <c r="EG74">
        <f>IFERROR(AVERAGE('Feeder Spreads'!AD74:AD93)+2*STDEV('Feeder Spreads'!AD74:AD93),"")</f>
        <v>0</v>
      </c>
      <c r="EH74">
        <f>IFERROR(AVERAGE('Feeder Spreads'!AD74:AD93)-2*STDEV('Feeder Spreads'!AD74:AD93),"")</f>
        <v>0</v>
      </c>
      <c r="EI74" t="str">
        <f>IFERROR(('Feeder Spreads'!AD74-(AVERAGE('Feeder Spreads'!AD74:AD93)-2*STDEV('Feeder Spreads'!AD74:AD93)))/(4*STDEV('Feeder Spreads'!AD74:AD93)),"")</f>
        <v/>
      </c>
      <c r="EJ74" t="str">
        <f>IFERROR(4*STDEV('Feeder Spreads'!AD74:AD93)/AVERAGE('Feeder Spreads'!AD74:AD93),"")</f>
        <v/>
      </c>
      <c r="EK74">
        <v>50.761800000000001</v>
      </c>
      <c r="EL74">
        <f>IFERROR(SQRT((SUMSQ('Feeder Spreads'!AD74:AD93)-2*SUMPRODUCT('Feeder Spreads'!AD74:AD93,'Feeder Spreads'!AD75:AD94)+SUMSQ('Feeder Spreads'!AD75:AD94)-('Feeder Spreads'!AD74-'Feeder Spreads'!AD94)^2/20)/19),"")</f>
        <v>0</v>
      </c>
      <c r="EN74">
        <f>IFERROR('Feeder Spreads'!AJ74,"")</f>
        <v>0</v>
      </c>
      <c r="EO74">
        <f>IFERROR(('Feeder Spreads'!AK74-AVERAGE('Feeder Spreads'!$AK$3:$AK$4308))/STDEV('Feeder Spreads'!$AK$3:$AK$4308),"")</f>
        <v>-9.2057461789832346E-2</v>
      </c>
      <c r="EP74">
        <f>IFERROR('Feeder Spreads'!AK74-'Feeder Spreads'!AK79,"")</f>
        <v>0</v>
      </c>
      <c r="EQ74">
        <f>IFERROR('Feeder Spreads'!AK74-'Feeder Spreads'!AK84,"")</f>
        <v>0</v>
      </c>
      <c r="ER74">
        <f>IFERROR(AVERAGE('Feeder Spreads'!AK74:AK93)+2*STDEV('Feeder Spreads'!AK74:AK93),"")</f>
        <v>0</v>
      </c>
      <c r="ES74">
        <f>IFERROR(AVERAGE('Feeder Spreads'!AK74:AK93)-2*STDEV('Feeder Spreads'!AK74:AK93),"")</f>
        <v>0</v>
      </c>
      <c r="ET74" t="str">
        <f>IFERROR(('Feeder Spreads'!AK74-(AVERAGE('Feeder Spreads'!AK74:AK93)-2*STDEV('Feeder Spreads'!AK74:AK93)))/(4*STDEV('Feeder Spreads'!AK74:AK93)),"")</f>
        <v/>
      </c>
      <c r="EU74" t="str">
        <f>IFERROR(4*STDEV('Feeder Spreads'!AK74:AK93)/AVERAGE('Feeder Spreads'!AK74:AK93),"")</f>
        <v/>
      </c>
      <c r="EV74">
        <v>58.817999999999998</v>
      </c>
      <c r="EW74">
        <f>IFERROR(SQRT((SUMSQ('Feeder Spreads'!AK74:AK93)-2*SUMPRODUCT('Feeder Spreads'!AK74:AK93,'Feeder Spreads'!AK75:AK94)+SUMSQ('Feeder Spreads'!AK75:AK94)-('Feeder Spreads'!AK74-'Feeder Spreads'!AK94)^2/20)/19),"")</f>
        <v>0</v>
      </c>
      <c r="EY74">
        <f>IFERROR('Feeder Spreads'!AQ74,"")</f>
        <v>0</v>
      </c>
      <c r="EZ74">
        <f>IFERROR(('Feeder Spreads'!AR74-AVERAGE('Feeder Spreads'!$AR$3:$AR$4308))/STDEV('Feeder Spreads'!$AR$3:$AR$4308),"")</f>
        <v>-9.2057461789832332E-2</v>
      </c>
      <c r="FA74">
        <f>IFERROR('Feeder Spreads'!AR74-'Feeder Spreads'!AR79,"")</f>
        <v>0</v>
      </c>
      <c r="FB74">
        <f>IFERROR('Feeder Spreads'!AR74-'Feeder Spreads'!AR84,"")</f>
        <v>0</v>
      </c>
      <c r="FC74">
        <f>IFERROR(AVERAGE('Feeder Spreads'!AR74:AR93)+2*STDEV('Feeder Spreads'!AR74:AR93),"")</f>
        <v>0</v>
      </c>
      <c r="FD74">
        <f>IFERROR(AVERAGE('Feeder Spreads'!AR74:AR93)-2*STDEV('Feeder Spreads'!AR74:AR93),"")</f>
        <v>0</v>
      </c>
      <c r="FE74" t="str">
        <f>IFERROR(('Feeder Spreads'!AR74-(AVERAGE('Feeder Spreads'!AR74:AR93)-2*STDEV('Feeder Spreads'!AR74:AR93)))/(4*STDEV('Feeder Spreads'!AR74:AR93)),"")</f>
        <v/>
      </c>
      <c r="FF74" t="str">
        <f>IFERROR(4*STDEV('Feeder Spreads'!AR74:AR93)/AVERAGE('Feeder Spreads'!AR74:AR93),"")</f>
        <v/>
      </c>
      <c r="FG74">
        <v>61.409399999999998</v>
      </c>
      <c r="FH74">
        <f>IFERROR(SQRT((SUMSQ('Feeder Spreads'!AR74:AR93)-2*SUMPRODUCT('Feeder Spreads'!AR74:AR93,'Feeder Spreads'!AR75:AR94)+SUMSQ('Feeder Spreads'!AR75:AR94)-('Feeder Spreads'!AR74-'Feeder Spreads'!AR94)^2/20)/19),"")</f>
        <v>0</v>
      </c>
      <c r="FJ74">
        <f>IFERROR('Fat Spreads'!AX74,"")</f>
        <v>0</v>
      </c>
      <c r="FK74">
        <f>IFERROR(('Fat Spreads'!AY74-AVERAGE('Fat Spreads'!$AY$3:$AY$4308))/STDEV('Fat Spreads'!$AY$3:$AY$4308),"")</f>
        <v>9.2057461789832332E-2</v>
      </c>
      <c r="FL74">
        <f>IFERROR('Fat Spreads'!AY74-'Fat Spreads'!AY79,"")</f>
        <v>0</v>
      </c>
      <c r="FM74">
        <f>IFERROR('Fat Spreads'!AY74-'Fat Spreads'!AY84,"")</f>
        <v>0</v>
      </c>
      <c r="FN74">
        <f>IFERROR(AVERAGE('Fat Spreads'!AY74:AY93)+2*STDEV('Fat Spreads'!AY74:AY93),"")</f>
        <v>0</v>
      </c>
      <c r="FO74">
        <f>IFERROR(AVERAGE('Fat Spreads'!AY74:AY93)-2*STDEV('Fat Spreads'!AY74:AY93),"")</f>
        <v>0</v>
      </c>
      <c r="FP74" t="str">
        <f>IFERROR(('Fat Spreads'!AY74-(AVERAGE('Fat Spreads'!AY74:AY93)-2*STDEV('Fat Spreads'!AY74:AY93)))/(4*STDEV('Fat Spreads'!AY74:AY93)),"")</f>
        <v/>
      </c>
      <c r="FQ74" t="str">
        <f>IFERROR(4*STDEV('Fat Spreads'!AY74:AY93)/AVERAGE('Fat Spreads'!AY74:AY93),"")</f>
        <v/>
      </c>
      <c r="FR74">
        <v>31.004899999999999</v>
      </c>
      <c r="FS74">
        <f>IFERROR(SQRT((SUMSQ('Fat Spreads'!AY74:AY93)-2*SUMPRODUCT('Fat Spreads'!AY74:AY93,'Fat Spreads'!AY75:AY94)+SUMSQ('Fat Spreads'!AY75:AY94)-('Fat Spreads'!AY74-'Fat Spreads'!AY94)^2/20)/19),"")</f>
        <v>0</v>
      </c>
      <c r="FU74">
        <f>IFERROR('Fat Spreads'!BE74,"")</f>
        <v>0</v>
      </c>
      <c r="FV74">
        <f>IFERROR(('Fat Spreads'!BF74-AVERAGE('Fat Spreads'!$BF$3:$BF$4308))/STDEV('Fat Spreads'!$BF$3:$BF$4308),"")</f>
        <v>9.2057461789832332E-2</v>
      </c>
      <c r="FW74">
        <f>IFERROR('Fat Spreads'!BF74-'Fat Spreads'!BF79,"")</f>
        <v>0</v>
      </c>
      <c r="FX74">
        <f>IFERROR('Fat Spreads'!BF74-'Fat Spreads'!BF84,"")</f>
        <v>0</v>
      </c>
      <c r="FY74">
        <f>IFERROR(AVERAGE('Fat Spreads'!BF74:BF93)+2*STDEV('Fat Spreads'!BF74:BF93),"")</f>
        <v>0</v>
      </c>
      <c r="FZ74">
        <f>IFERROR(AVERAGE('Fat Spreads'!BF74:BF93)-2*STDEV('Fat Spreads'!BF74:BF93),"")</f>
        <v>0</v>
      </c>
      <c r="GA74" t="str">
        <f>IFERROR(('Fat Spreads'!BF74-(AVERAGE('Fat Spreads'!BF74:BF93)-2*STDEV('Fat Spreads'!BF74:BF93)))/(4*STDEV('Fat Spreads'!BF74:BF93)),"")</f>
        <v/>
      </c>
      <c r="GB74" t="str">
        <f>IFERROR(4*STDEV('Fat Spreads'!BF74:BF93)/AVERAGE('Fat Spreads'!BF74:BF93),"")</f>
        <v/>
      </c>
      <c r="GC74">
        <v>27.9635</v>
      </c>
      <c r="GD74">
        <f>IFERROR(SQRT((SUMSQ('Fat Spreads'!BF74:BF93)-2*SUMPRODUCT('Fat Spreads'!BF74:BF93,'Fat Spreads'!BF75:BF94)+SUMSQ('Fat Spreads'!BF75:BF94)-('Fat Spreads'!BF74-'Fat Spreads'!BF94)^2/20)/19),"")</f>
        <v>0</v>
      </c>
    </row>
    <row r="75" spans="1:186" x14ac:dyDescent="0.25">
      <c r="A75">
        <f>IFERROR('Fat Spreads'!A75,"")</f>
        <v>0</v>
      </c>
      <c r="B75">
        <f>IFERROR(('Fat Spreads'!B75-AVERAGE('Fat Spreads'!$B$3:$B$4308))/STDEV('Fat Spreads'!$B$3:$B$4308),"")</f>
        <v>9.2057461789832346E-2</v>
      </c>
      <c r="C75">
        <f>IFERROR('Fat Spreads'!B75-'Fat Spreads'!B80,"")</f>
        <v>0</v>
      </c>
      <c r="D75">
        <f>IFERROR('Fat Spreads'!B75-'Fat Spreads'!B85,"")</f>
        <v>0</v>
      </c>
      <c r="E75">
        <f>IFERROR(AVERAGE('Fat Spreads'!B75:B94)+2*STDEV('Fat Spreads'!B75:B94),"")</f>
        <v>0</v>
      </c>
      <c r="F75">
        <f>IFERROR(AVERAGE('Fat Spreads'!B75:B94)-2*STDEV('Fat Spreads'!B75:B94),"")</f>
        <v>0</v>
      </c>
      <c r="G75" t="str">
        <f>IFERROR(('Fat Spreads'!B75-(AVERAGE('Fat Spreads'!B75:B94)-2*STDEV('Fat Spreads'!B75:B94)))/(4*STDEV('Fat Spreads'!B75:B94)),"")</f>
        <v/>
      </c>
      <c r="H75" t="str">
        <f>IFERROR(4*STDEV('Fat Spreads'!B75:B94)/AVERAGE('Fat Spreads'!B75:B94),"")</f>
        <v/>
      </c>
      <c r="I75">
        <v>30.561800000000002</v>
      </c>
      <c r="J75">
        <f>IFERROR(SQRT((SUMSQ('Fat Spreads'!B75:B94)-2*SUMPRODUCT('Fat Spreads'!B75:B94,'Fat Spreads'!B76:B95)+SUMSQ('Fat Spreads'!B76:B95)-('Fat Spreads'!B75-'Fat Spreads'!B95)^2/20)/19),"")</f>
        <v>0</v>
      </c>
      <c r="L75">
        <f>IFERROR('Fat Spreads'!H75,"")</f>
        <v>0</v>
      </c>
      <c r="M75">
        <f>IFERROR(('Fat Spreads'!I75-AVERAGE('Fat Spreads'!$I$3:$I$4308))/STDEV('Fat Spreads'!$I$3:$I$4308),"")</f>
        <v>-9.2057461789832332E-2</v>
      </c>
      <c r="N75">
        <f>IFERROR('Fat Spreads'!I75-'Fat Spreads'!I80,"")</f>
        <v>0</v>
      </c>
      <c r="O75">
        <f>IFERROR('Fat Spreads'!I75-'Fat Spreads'!I85,"")</f>
        <v>0</v>
      </c>
      <c r="P75">
        <f>IFERROR(AVERAGE('Fat Spreads'!I75:I94)+2*STDEV('Fat Spreads'!I75:I94),"")</f>
        <v>0</v>
      </c>
      <c r="Q75">
        <f>IFERROR(AVERAGE('Fat Spreads'!I75:I94)-2*STDEV('Fat Spreads'!I75:I94),"")</f>
        <v>0</v>
      </c>
      <c r="R75" t="str">
        <f>IFERROR(('Fat Spreads'!I75-(AVERAGE('Fat Spreads'!I75:I94)-2*STDEV('Fat Spreads'!I75:I94)))/(4*STDEV('Fat Spreads'!I75:I94)),"")</f>
        <v/>
      </c>
      <c r="S75" t="str">
        <f>IFERROR(4*STDEV('Fat Spreads'!I75:I94)/AVERAGE('Fat Spreads'!I75:I94),"")</f>
        <v/>
      </c>
      <c r="T75">
        <v>27.927199999999999</v>
      </c>
      <c r="U75">
        <f>IFERROR(SQRT((SUMSQ('Fat Spreads'!I75:I94)-2*SUMPRODUCT('Fat Spreads'!I75:I94,'Fat Spreads'!I76:I95)+SUMSQ('Fat Spreads'!I76:I95)-('Fat Spreads'!I75-'Fat Spreads'!I95)^2/20)/19),"")</f>
        <v>0</v>
      </c>
      <c r="W75">
        <f>IFERROR('Fat Spreads'!AQ75,"")</f>
        <v>0</v>
      </c>
      <c r="X75">
        <f>IFERROR(('Fat Spreads'!AR75-AVERAGE('Fat Spreads'!$AR$3:$AR$4308))/STDEV('Fat Spreads'!$AR$3:$AR$4308),"")</f>
        <v>-9.2057461789832346E-2</v>
      </c>
      <c r="Y75">
        <f>IFERROR('Fat Spreads'!AR75-'Fat Spreads'!AR80,"")</f>
        <v>0</v>
      </c>
      <c r="Z75">
        <f>IFERROR('Fat Spreads'!AR75-'Fat Spreads'!AR85,"")</f>
        <v>0</v>
      </c>
      <c r="AA75">
        <f>IFERROR(AVERAGE('Fat Spreads'!AR75:AR94)+2*STDEV('Fat Spreads'!AR75:AR94),"")</f>
        <v>0</v>
      </c>
      <c r="AB75">
        <f>IFERROR(AVERAGE('Fat Spreads'!AR75:AR94)-2*STDEV('Fat Spreads'!AR75:AR94),"")</f>
        <v>0</v>
      </c>
      <c r="AC75" t="str">
        <f>IFERROR(('Fat Spreads'!AR75-(AVERAGE('Fat Spreads'!AR75:AR94)-2*STDEV('Fat Spreads'!AR75:AR94)))/(4*STDEV('Fat Spreads'!AR75:AR94)),"")</f>
        <v/>
      </c>
      <c r="AD75" t="str">
        <f>IFERROR(4*STDEV('Fat Spreads'!AR75:AR94)/AVERAGE('Fat Spreads'!AR75:AR94),"")</f>
        <v/>
      </c>
      <c r="AE75">
        <v>65.560299999999998</v>
      </c>
      <c r="AF75">
        <f>IFERROR(SQRT((SUMSQ('Fat Spreads'!AR75:AR94)-2*SUMPRODUCT('Fat Spreads'!AR75:AR94,'Fat Spreads'!AR76:AR95)+SUMSQ('Fat Spreads'!AR76:AR95)-('Fat Spreads'!AR75-'Fat Spreads'!AR95)^2/20)/19),"")</f>
        <v>0</v>
      </c>
      <c r="AH75">
        <f>IFERROR('Fat Spreads'!O75,"")</f>
        <v>0</v>
      </c>
      <c r="AI75">
        <f>IFERROR(('Fat Spreads'!P75-AVERAGE('Fat Spreads'!$P$3:$P$4308))/STDEV('Fat Spreads'!$P$3:$P$4308),"")</f>
        <v>-9.2057461789832332E-2</v>
      </c>
      <c r="AJ75">
        <f>IFERROR('Fat Spreads'!P75-'Fat Spreads'!P80,"")</f>
        <v>0</v>
      </c>
      <c r="AK75">
        <f>IFERROR('Fat Spreads'!P75-'Fat Spreads'!P85,"")</f>
        <v>0</v>
      </c>
      <c r="AL75">
        <f>IFERROR(AVERAGE('Fat Spreads'!P75:P94)+2*STDEV('Fat Spreads'!P75:P94),"")</f>
        <v>0</v>
      </c>
      <c r="AM75">
        <f>IFERROR(AVERAGE('Fat Spreads'!P75:P94)-2*STDEV('Fat Spreads'!P75:P94),"")</f>
        <v>0</v>
      </c>
      <c r="AN75" t="str">
        <f>IFERROR(('Fat Spreads'!P75-(AVERAGE('Fat Spreads'!P75:P94)-2*STDEV('Fat Spreads'!P75:P94)))/(4*STDEV('Fat Spreads'!P75:P94)),"")</f>
        <v/>
      </c>
      <c r="AO75" t="str">
        <f>IFERROR(4*STDEV('Fat Spreads'!P75:P94)/AVERAGE('Fat Spreads'!P75:P94),"")</f>
        <v/>
      </c>
      <c r="AP75">
        <v>40.703400000000002</v>
      </c>
      <c r="AQ75">
        <f>IFERROR(SQRT((SUMSQ('Fat Spreads'!P75:P94)-2*SUMPRODUCT('Fat Spreads'!P75:P94,'Fat Spreads'!P76:P95)+SUMSQ('Fat Spreads'!P76:P95)-('Fat Spreads'!P75-'Fat Spreads'!P95)^2/20)/19),"")</f>
        <v>0</v>
      </c>
      <c r="AS75">
        <f>IFERROR('Fat Spreads'!AJ75,"")</f>
        <v>0</v>
      </c>
      <c r="AT75">
        <f>IFERROR(('Fat Spreads'!AK75-AVERAGE('Fat Spreads'!$AK$3:$AK$4308))/STDEV('Fat Spreads'!$AK$3:$AK$4308),"")</f>
        <v>-9.2057461789832332E-2</v>
      </c>
      <c r="AU75">
        <f>IFERROR('Fat Spreads'!AK75-'Fat Spreads'!AK80,"")</f>
        <v>0</v>
      </c>
      <c r="AV75">
        <f>IFERROR('Fat Spreads'!AK75-'Fat Spreads'!AK85,"")</f>
        <v>0</v>
      </c>
      <c r="AW75">
        <f>IFERROR(AVERAGE('Fat Spreads'!AK75:AK94)+2*STDEV('Fat Spreads'!AK75:AK94),"")</f>
        <v>0</v>
      </c>
      <c r="AX75">
        <f>IFERROR(AVERAGE('Fat Spreads'!AK75:AK94)-2*STDEV('Fat Spreads'!AK75:AK94),"")</f>
        <v>0</v>
      </c>
      <c r="AY75" t="str">
        <f>IFERROR(('Fat Spreads'!AK75-(AVERAGE('Fat Spreads'!AK75:AK94)-2*STDEV('Fat Spreads'!AK75:AK94)))/(4*STDEV('Fat Spreads'!AK75:AK94)),"")</f>
        <v/>
      </c>
      <c r="AZ75" t="str">
        <f>IFERROR(4*STDEV('Fat Spreads'!AK75:AK94)/AVERAGE('Fat Spreads'!AK75:AK94),"")</f>
        <v/>
      </c>
      <c r="BA75">
        <v>39.890500000000003</v>
      </c>
      <c r="BB75">
        <f>IFERROR(SQRT((SUMSQ('Fat Spreads'!AK75:AK94)-2*SUMPRODUCT('Fat Spreads'!AK75:AK94,'Fat Spreads'!AK76:AK95)+SUMSQ('Fat Spreads'!AK76:AK95)-('Fat Spreads'!AK75-'Fat Spreads'!AK95)^2/20)/19),"")</f>
        <v>0</v>
      </c>
      <c r="BD75">
        <f>IFERROR('Fat Spreads'!V75,"")</f>
        <v>0</v>
      </c>
      <c r="BE75">
        <f>IFERROR(('Fat Spreads'!W75-AVERAGE('Fat Spreads'!$W$3:$W$4308))/STDEV('Fat Spreads'!$W$3:$W$4308),"")</f>
        <v>-9.2057461789832332E-2</v>
      </c>
      <c r="BF75">
        <f>IFERROR('Fat Spreads'!W75-'Fat Spreads'!W80,"")</f>
        <v>0</v>
      </c>
      <c r="BG75">
        <f>IFERROR('Fat Spreads'!W75-'Fat Spreads'!W85,"")</f>
        <v>0</v>
      </c>
      <c r="BH75">
        <f>IFERROR(AVERAGE('Fat Spreads'!W75:W94)+2*STDEV('Fat Spreads'!W75:W94),"")</f>
        <v>0</v>
      </c>
      <c r="BI75">
        <f>IFERROR(AVERAGE('Fat Spreads'!W75:W94)-2*STDEV('Fat Spreads'!W75:W94),"")</f>
        <v>0</v>
      </c>
      <c r="BJ75" t="str">
        <f>IFERROR(('Fat Spreads'!W75-(AVERAGE('Fat Spreads'!W75:W94)-2*STDEV('Fat Spreads'!W75:W94)))/(4*STDEV('Fat Spreads'!W75:W94)),"")</f>
        <v/>
      </c>
      <c r="BK75" t="str">
        <f>IFERROR(4*STDEV('Fat Spreads'!W75:W94)/AVERAGE('Fat Spreads'!W75:W94),"")</f>
        <v/>
      </c>
      <c r="BL75">
        <v>69.590500000000006</v>
      </c>
      <c r="BM75">
        <f>IFERROR(SQRT((SUMSQ('Fat Spreads'!W75:W94)-2*SUMPRODUCT('Fat Spreads'!W75:W94,'Fat Spreads'!W76:W95)+SUMSQ('Fat Spreads'!W76:W95)-('Fat Spreads'!W75-'Fat Spreads'!W95)^2/20)/19),"")</f>
        <v>0</v>
      </c>
      <c r="BO75">
        <f>IFERROR('Fat Spreads'!AC75,"")</f>
        <v>0</v>
      </c>
      <c r="BP75">
        <f>IFERROR(('Fat Spreads'!AD75-AVERAGE('Fat Spreads'!$AD$3:$AD$4308))/STDEV('Fat Spreads'!$AD$3:$AD$4308),"")</f>
        <v>-9.2057461789832332E-2</v>
      </c>
      <c r="BQ75">
        <f>IFERROR('Fat Spreads'!AD75-'Fat Spreads'!AD80,"")</f>
        <v>0</v>
      </c>
      <c r="BR75">
        <f>IFERROR('Fat Spreads'!AD75-'Fat Spreads'!AD85,"")</f>
        <v>0</v>
      </c>
      <c r="BS75">
        <f>IFERROR(AVERAGE('Fat Spreads'!AD75:AD94)+2*STDEV('Fat Spreads'!AD75:AD94),"")</f>
        <v>0</v>
      </c>
      <c r="BT75">
        <f>IFERROR(AVERAGE('Fat Spreads'!AD75:AD94)-2*STDEV('Fat Spreads'!AD75:AD94),"")</f>
        <v>0</v>
      </c>
      <c r="BU75" t="str">
        <f>IFERROR(('Fat Spreads'!AD75-(AVERAGE('Fat Spreads'!AD75:AD94)-2*STDEV('Fat Spreads'!AD75:AD94)))/(4*STDEV('Fat Spreads'!AD75:AD94)),"")</f>
        <v/>
      </c>
      <c r="BV75" t="str">
        <f>IFERROR(4*STDEV('Fat Spreads'!AD75:AD94)/AVERAGE('Fat Spreads'!AD75:AD94),"")</f>
        <v/>
      </c>
      <c r="BW75">
        <v>51.128500000000003</v>
      </c>
      <c r="BX75">
        <f>IFERROR(SQRT((SUMSQ('Fat Spreads'!AD75:AD94)-2*SUMPRODUCT('Fat Spreads'!AD75:AD94,'Fat Spreads'!AD76:AD95)+SUMSQ('Fat Spreads'!AD76:AD95)-('Fat Spreads'!AD75-'Fat Spreads'!AD95)^2/20)/19),"")</f>
        <v>0</v>
      </c>
      <c r="BZ75">
        <f>IFERROR('Feeder Spreads'!A75,"")</f>
        <v>0</v>
      </c>
      <c r="CA75">
        <f>IFERROR(('Feeder Spreads'!B75-AVERAGE('Feeder Spreads'!$B$3:$B$4308))/STDEV('Feeder Spreads'!$B$3:$B$4308),"")</f>
        <v>-9.2057461789832346E-2</v>
      </c>
      <c r="CB75">
        <f>IFERROR('Feeder Spreads'!B75-'Feeder Spreads'!B80,"")</f>
        <v>0</v>
      </c>
      <c r="CC75">
        <f>IFERROR('Feeder Spreads'!B75-'Feeder Spreads'!B85,"")</f>
        <v>0</v>
      </c>
      <c r="CD75">
        <f>IFERROR(AVERAGE('Feeder Spreads'!B75:B94)+2*STDEV('Feeder Spreads'!B75:B94),"")</f>
        <v>0</v>
      </c>
      <c r="CE75">
        <f>IFERROR(AVERAGE('Feeder Spreads'!B75:B94)-2*STDEV('Feeder Spreads'!B75:B94),"")</f>
        <v>0</v>
      </c>
      <c r="CF75" t="str">
        <f>IFERROR(('Feeder Spreads'!B75-(AVERAGE('Feeder Spreads'!B75:B94)-2*STDEV('Feeder Spreads'!B75:B94)))/(4*STDEV('Feeder Spreads'!B75:B94)),"")</f>
        <v/>
      </c>
      <c r="CG75" t="str">
        <f>IFERROR(4*STDEV('Feeder Spreads'!B75:B94)/AVERAGE('Feeder Spreads'!B75:B94),"")</f>
        <v/>
      </c>
      <c r="CH75">
        <v>49.854599999999998</v>
      </c>
      <c r="CI75">
        <f>IFERROR(SQRT((SUMSQ('Feeder Spreads'!B75:B94)-2*SUMPRODUCT('Feeder Spreads'!B75:B94,'Feeder Spreads'!B76:B95)+SUMSQ('Feeder Spreads'!B76:B95)-('Feeder Spreads'!B75-'Feeder Spreads'!B95)^2/20)/19),"")</f>
        <v>0</v>
      </c>
      <c r="CK75">
        <f>IFERROR('Feeder Spreads'!AX75,"")</f>
        <v>0</v>
      </c>
      <c r="CL75">
        <f>IFERROR(('Feeder Spreads'!AY75-AVERAGE('Feeder Spreads'!$AY$3:$AY$4308))/STDEV('Feeder Spreads'!$AY$3:$AY$4308),"")</f>
        <v>-9.2057461789832346E-2</v>
      </c>
      <c r="CM75">
        <f>IFERROR('Feeder Spreads'!AY75-'Feeder Spreads'!AY80,"")</f>
        <v>0</v>
      </c>
      <c r="CN75">
        <f>IFERROR('Feeder Spreads'!AY75-'Feeder Spreads'!AY85,"")</f>
        <v>0</v>
      </c>
      <c r="CO75">
        <f>IFERROR(AVERAGE('Feeder Spreads'!AY75:AY94)+2*STDEV('Feeder Spreads'!AY75:AY94),"")</f>
        <v>0</v>
      </c>
      <c r="CP75">
        <f>IFERROR(AVERAGE('Feeder Spreads'!AY75:AY94)-2*STDEV('Feeder Spreads'!AY75:AY94),"")</f>
        <v>0</v>
      </c>
      <c r="CQ75" t="str">
        <f>IFERROR(('Feeder Spreads'!AY75-(AVERAGE('Feeder Spreads'!AY75:AY94)-2*STDEV('Feeder Spreads'!AY75:AY94)))/(4*STDEV('Feeder Spreads'!AY75:AY94)),"")</f>
        <v/>
      </c>
      <c r="CR75" t="str">
        <f>IFERROR(4*STDEV('Feeder Spreads'!AY75:AY94)/AVERAGE('Feeder Spreads'!AY75:AY94),"")</f>
        <v/>
      </c>
      <c r="CS75">
        <v>41.115499999999997</v>
      </c>
      <c r="CT75">
        <f>IFERROR(SQRT((SUMSQ('Feeder Spreads'!AY75:AY94)-2*SUMPRODUCT('Feeder Spreads'!AY75:AY94,'Feeder Spreads'!AY76:AY95)+SUMSQ('Feeder Spreads'!AY76:AY95)-('Feeder Spreads'!AY75-'Feeder Spreads'!AY95)^2/20)/19),"")</f>
        <v>0</v>
      </c>
      <c r="CV75">
        <f>IFERROR('Feeder Spreads'!H75,"")</f>
        <v>0</v>
      </c>
      <c r="CW75">
        <f>IFERROR(('Feeder Spreads'!I75-AVERAGE('Feeder Spreads'!$I$3:$I$4308))/STDEV('Feeder Spreads'!$I$3:$I$4308),"")</f>
        <v>-9.2057461789832332E-2</v>
      </c>
      <c r="CX75">
        <f>IFERROR('Feeder Spreads'!I75-'Feeder Spreads'!I80,"")</f>
        <v>0</v>
      </c>
      <c r="CY75">
        <f>IFERROR('Feeder Spreads'!I75-'Feeder Spreads'!I85,"")</f>
        <v>0</v>
      </c>
      <c r="CZ75">
        <f>IFERROR(AVERAGE('Feeder Spreads'!I75:I94)+2*STDEV('Feeder Spreads'!I75:I94),"")</f>
        <v>0</v>
      </c>
      <c r="DA75">
        <f>IFERROR(AVERAGE('Feeder Spreads'!I75:I94)-2*STDEV('Feeder Spreads'!I75:I94),"")</f>
        <v>0</v>
      </c>
      <c r="DB75" t="str">
        <f>IFERROR(('Feeder Spreads'!I75-(AVERAGE('Feeder Spreads'!I75:I94)-2*STDEV('Feeder Spreads'!I75:I94)))/(4*STDEV('Feeder Spreads'!I75:I94)),"")</f>
        <v/>
      </c>
      <c r="DC75" t="str">
        <f>IFERROR(4*STDEV('Feeder Spreads'!I75:I94)/AVERAGE('Feeder Spreads'!I75:I94),"")</f>
        <v/>
      </c>
      <c r="DD75">
        <v>60.711199999999998</v>
      </c>
      <c r="DE75">
        <f>IFERROR(SQRT((SUMSQ('Feeder Spreads'!I75:I94)-2*SUMPRODUCT('Feeder Spreads'!I75:I94,'Feeder Spreads'!I76:I95)+SUMSQ('Feeder Spreads'!I76:I95)-('Feeder Spreads'!I75-'Feeder Spreads'!I95)^2/20)/19),"")</f>
        <v>0</v>
      </c>
      <c r="DG75">
        <f>IFERROR('Feeder Spreads'!O75,"")</f>
        <v>0</v>
      </c>
      <c r="DH75">
        <f>IFERROR(('Feeder Spreads'!P75-AVERAGE('Feeder Spreads'!$P$3:$P$4308))/STDEV('Feeder Spreads'!$P$3:$P$4308),"")</f>
        <v>-9.2057461789832346E-2</v>
      </c>
      <c r="DI75">
        <f>IFERROR('Feeder Spreads'!P75-'Feeder Spreads'!P80,"")</f>
        <v>0</v>
      </c>
      <c r="DJ75">
        <f>IFERROR('Feeder Spreads'!P75-'Feeder Spreads'!P85,"")</f>
        <v>0</v>
      </c>
      <c r="DK75">
        <f>IFERROR(AVERAGE('Feeder Spreads'!P75:P94)+2*STDEV('Feeder Spreads'!P75:P94),"")</f>
        <v>0</v>
      </c>
      <c r="DL75">
        <f>IFERROR(AVERAGE('Feeder Spreads'!P75:P94)-2*STDEV('Feeder Spreads'!P75:P94),"")</f>
        <v>0</v>
      </c>
      <c r="DM75" t="str">
        <f>IFERROR(('Feeder Spreads'!P75-(AVERAGE('Feeder Spreads'!P75:P94)-2*STDEV('Feeder Spreads'!P75:P94)))/(4*STDEV('Feeder Spreads'!P75:P94)),"")</f>
        <v/>
      </c>
      <c r="DN75" t="str">
        <f>IFERROR(4*STDEV('Feeder Spreads'!P75:P94)/AVERAGE('Feeder Spreads'!P75:P94),"")</f>
        <v/>
      </c>
      <c r="DO75">
        <v>61.273000000000003</v>
      </c>
      <c r="DP75">
        <f>IFERROR(SQRT((SUMSQ('Feeder Spreads'!P75:P94)-2*SUMPRODUCT('Feeder Spreads'!P75:P94,'Feeder Spreads'!P76:P95)+SUMSQ('Feeder Spreads'!P76:P95)-('Feeder Spreads'!P75-'Feeder Spreads'!P95)^2/20)/19),"")</f>
        <v>0</v>
      </c>
      <c r="DR75">
        <f>IFERROR('Feeder Spreads'!V75,"")</f>
        <v>0</v>
      </c>
      <c r="DS75">
        <f>IFERROR(('Feeder Spreads'!W75-AVERAGE('Feeder Spreads'!$W$3:$W$4308))/STDEV('Feeder Spreads'!$W$3:$W$4308),"")</f>
        <v>-9.2057461789832332E-2</v>
      </c>
      <c r="DT75">
        <f>IFERROR('Feeder Spreads'!W75-'Feeder Spreads'!W80,"")</f>
        <v>0</v>
      </c>
      <c r="DU75">
        <f>IFERROR('Feeder Spreads'!W75-'Feeder Spreads'!W85,"")</f>
        <v>0</v>
      </c>
      <c r="DV75">
        <f>IFERROR(AVERAGE('Feeder Spreads'!W75:W94)+2*STDEV('Feeder Spreads'!W75:W94),"")</f>
        <v>0</v>
      </c>
      <c r="DW75">
        <f>IFERROR(AVERAGE('Feeder Spreads'!W75:W94)-2*STDEV('Feeder Spreads'!W75:W94),"")</f>
        <v>0</v>
      </c>
      <c r="DX75" t="str">
        <f>IFERROR(('Feeder Spreads'!W75-(AVERAGE('Feeder Spreads'!W75:W94)-2*STDEV('Feeder Spreads'!W75:W94)))/(4*STDEV('Feeder Spreads'!W75:W94)),"")</f>
        <v/>
      </c>
      <c r="DY75" t="str">
        <f>IFERROR(4*STDEV('Feeder Spreads'!W75:W94)/AVERAGE('Feeder Spreads'!W75:W94),"")</f>
        <v/>
      </c>
      <c r="DZ75">
        <v>48.344099999999997</v>
      </c>
      <c r="EA75">
        <f>IFERROR(SQRT((SUMSQ('Feeder Spreads'!W75:W94)-2*SUMPRODUCT('Feeder Spreads'!W75:W94,'Feeder Spreads'!W76:W95)+SUMSQ('Feeder Spreads'!W76:W95)-('Feeder Spreads'!W75-'Feeder Spreads'!W95)^2/20)/19),"")</f>
        <v>0</v>
      </c>
      <c r="EC75">
        <f>IFERROR('Feeder Spreads'!AC75,"")</f>
        <v>0</v>
      </c>
      <c r="ED75">
        <f>IFERROR(('Feeder Spreads'!AD75-AVERAGE('Feeder Spreads'!$AD$3:$AD$4308))/STDEV('Feeder Spreads'!$AD$3:$AD$4308),"")</f>
        <v>9.2057461789832318E-2</v>
      </c>
      <c r="EE75">
        <f>IFERROR('Feeder Spreads'!AD75-'Feeder Spreads'!AD80,"")</f>
        <v>0</v>
      </c>
      <c r="EF75">
        <f>IFERROR('Feeder Spreads'!AD75-'Feeder Spreads'!AD85,"")</f>
        <v>0</v>
      </c>
      <c r="EG75">
        <f>IFERROR(AVERAGE('Feeder Spreads'!AD75:AD94)+2*STDEV('Feeder Spreads'!AD75:AD94),"")</f>
        <v>0</v>
      </c>
      <c r="EH75">
        <f>IFERROR(AVERAGE('Feeder Spreads'!AD75:AD94)-2*STDEV('Feeder Spreads'!AD75:AD94),"")</f>
        <v>0</v>
      </c>
      <c r="EI75" t="str">
        <f>IFERROR(('Feeder Spreads'!AD75-(AVERAGE('Feeder Spreads'!AD75:AD94)-2*STDEV('Feeder Spreads'!AD75:AD94)))/(4*STDEV('Feeder Spreads'!AD75:AD94)),"")</f>
        <v/>
      </c>
      <c r="EJ75" t="str">
        <f>IFERROR(4*STDEV('Feeder Spreads'!AD75:AD94)/AVERAGE('Feeder Spreads'!AD75:AD94),"")</f>
        <v/>
      </c>
      <c r="EK75">
        <v>49.455300000000001</v>
      </c>
      <c r="EL75">
        <f>IFERROR(SQRT((SUMSQ('Feeder Spreads'!AD75:AD94)-2*SUMPRODUCT('Feeder Spreads'!AD75:AD94,'Feeder Spreads'!AD76:AD95)+SUMSQ('Feeder Spreads'!AD76:AD95)-('Feeder Spreads'!AD75-'Feeder Spreads'!AD95)^2/20)/19),"")</f>
        <v>0</v>
      </c>
      <c r="EN75">
        <f>IFERROR('Feeder Spreads'!AJ75,"")</f>
        <v>0</v>
      </c>
      <c r="EO75">
        <f>IFERROR(('Feeder Spreads'!AK75-AVERAGE('Feeder Spreads'!$AK$3:$AK$4308))/STDEV('Feeder Spreads'!$AK$3:$AK$4308),"")</f>
        <v>-9.2057461789832346E-2</v>
      </c>
      <c r="EP75">
        <f>IFERROR('Feeder Spreads'!AK75-'Feeder Spreads'!AK80,"")</f>
        <v>0</v>
      </c>
      <c r="EQ75">
        <f>IFERROR('Feeder Spreads'!AK75-'Feeder Spreads'!AK85,"")</f>
        <v>0</v>
      </c>
      <c r="ER75">
        <f>IFERROR(AVERAGE('Feeder Spreads'!AK75:AK94)+2*STDEV('Feeder Spreads'!AK75:AK94),"")</f>
        <v>0</v>
      </c>
      <c r="ES75">
        <f>IFERROR(AVERAGE('Feeder Spreads'!AK75:AK94)-2*STDEV('Feeder Spreads'!AK75:AK94),"")</f>
        <v>0</v>
      </c>
      <c r="ET75" t="str">
        <f>IFERROR(('Feeder Spreads'!AK75-(AVERAGE('Feeder Spreads'!AK75:AK94)-2*STDEV('Feeder Spreads'!AK75:AK94)))/(4*STDEV('Feeder Spreads'!AK75:AK94)),"")</f>
        <v/>
      </c>
      <c r="EU75" t="str">
        <f>IFERROR(4*STDEV('Feeder Spreads'!AK75:AK94)/AVERAGE('Feeder Spreads'!AK75:AK94),"")</f>
        <v/>
      </c>
      <c r="EV75">
        <v>62.1023</v>
      </c>
      <c r="EW75">
        <f>IFERROR(SQRT((SUMSQ('Feeder Spreads'!AK75:AK94)-2*SUMPRODUCT('Feeder Spreads'!AK75:AK94,'Feeder Spreads'!AK76:AK95)+SUMSQ('Feeder Spreads'!AK76:AK95)-('Feeder Spreads'!AK75-'Feeder Spreads'!AK95)^2/20)/19),"")</f>
        <v>0</v>
      </c>
      <c r="EY75">
        <f>IFERROR('Feeder Spreads'!AQ75,"")</f>
        <v>0</v>
      </c>
      <c r="EZ75">
        <f>IFERROR(('Feeder Spreads'!AR75-AVERAGE('Feeder Spreads'!$AR$3:$AR$4308))/STDEV('Feeder Spreads'!$AR$3:$AR$4308),"")</f>
        <v>-9.2057461789832332E-2</v>
      </c>
      <c r="FA75">
        <f>IFERROR('Feeder Spreads'!AR75-'Feeder Spreads'!AR80,"")</f>
        <v>0</v>
      </c>
      <c r="FB75">
        <f>IFERROR('Feeder Spreads'!AR75-'Feeder Spreads'!AR85,"")</f>
        <v>0</v>
      </c>
      <c r="FC75">
        <f>IFERROR(AVERAGE('Feeder Spreads'!AR75:AR94)+2*STDEV('Feeder Spreads'!AR75:AR94),"")</f>
        <v>0</v>
      </c>
      <c r="FD75">
        <f>IFERROR(AVERAGE('Feeder Spreads'!AR75:AR94)-2*STDEV('Feeder Spreads'!AR75:AR94),"")</f>
        <v>0</v>
      </c>
      <c r="FE75" t="str">
        <f>IFERROR(('Feeder Spreads'!AR75-(AVERAGE('Feeder Spreads'!AR75:AR94)-2*STDEV('Feeder Spreads'!AR75:AR94)))/(4*STDEV('Feeder Spreads'!AR75:AR94)),"")</f>
        <v/>
      </c>
      <c r="FF75" t="str">
        <f>IFERROR(4*STDEV('Feeder Spreads'!AR75:AR94)/AVERAGE('Feeder Spreads'!AR75:AR94),"")</f>
        <v/>
      </c>
      <c r="FG75">
        <v>61.892600000000002</v>
      </c>
      <c r="FH75">
        <f>IFERROR(SQRT((SUMSQ('Feeder Spreads'!AR75:AR94)-2*SUMPRODUCT('Feeder Spreads'!AR75:AR94,'Feeder Spreads'!AR76:AR95)+SUMSQ('Feeder Spreads'!AR76:AR95)-('Feeder Spreads'!AR75-'Feeder Spreads'!AR95)^2/20)/19),"")</f>
        <v>0</v>
      </c>
      <c r="FJ75">
        <f>IFERROR('Fat Spreads'!AX75,"")</f>
        <v>0</v>
      </c>
      <c r="FK75">
        <f>IFERROR(('Fat Spreads'!AY75-AVERAGE('Fat Spreads'!$AY$3:$AY$4308))/STDEV('Fat Spreads'!$AY$3:$AY$4308),"")</f>
        <v>9.2057461789832332E-2</v>
      </c>
      <c r="FL75">
        <f>IFERROR('Fat Spreads'!AY75-'Fat Spreads'!AY80,"")</f>
        <v>0</v>
      </c>
      <c r="FM75">
        <f>IFERROR('Fat Spreads'!AY75-'Fat Spreads'!AY85,"")</f>
        <v>0</v>
      </c>
      <c r="FN75">
        <f>IFERROR(AVERAGE('Fat Spreads'!AY75:AY94)+2*STDEV('Fat Spreads'!AY75:AY94),"")</f>
        <v>0</v>
      </c>
      <c r="FO75">
        <f>IFERROR(AVERAGE('Fat Spreads'!AY75:AY94)-2*STDEV('Fat Spreads'!AY75:AY94),"")</f>
        <v>0</v>
      </c>
      <c r="FP75" t="str">
        <f>IFERROR(('Fat Spreads'!AY75-(AVERAGE('Fat Spreads'!AY75:AY94)-2*STDEV('Fat Spreads'!AY75:AY94)))/(4*STDEV('Fat Spreads'!AY75:AY94)),"")</f>
        <v/>
      </c>
      <c r="FQ75" t="str">
        <f>IFERROR(4*STDEV('Fat Spreads'!AY75:AY94)/AVERAGE('Fat Spreads'!AY75:AY94),"")</f>
        <v/>
      </c>
      <c r="FR75">
        <v>34.524099999999997</v>
      </c>
      <c r="FS75">
        <f>IFERROR(SQRT((SUMSQ('Fat Spreads'!AY75:AY94)-2*SUMPRODUCT('Fat Spreads'!AY75:AY94,'Fat Spreads'!AY76:AY95)+SUMSQ('Fat Spreads'!AY76:AY95)-('Fat Spreads'!AY75-'Fat Spreads'!AY95)^2/20)/19),"")</f>
        <v>0</v>
      </c>
      <c r="FU75">
        <f>IFERROR('Fat Spreads'!BE75,"")</f>
        <v>0</v>
      </c>
      <c r="FV75">
        <f>IFERROR(('Fat Spreads'!BF75-AVERAGE('Fat Spreads'!$BF$3:$BF$4308))/STDEV('Fat Spreads'!$BF$3:$BF$4308),"")</f>
        <v>9.2057461789832332E-2</v>
      </c>
      <c r="FW75">
        <f>IFERROR('Fat Spreads'!BF75-'Fat Spreads'!BF80,"")</f>
        <v>0</v>
      </c>
      <c r="FX75">
        <f>IFERROR('Fat Spreads'!BF75-'Fat Spreads'!BF85,"")</f>
        <v>0</v>
      </c>
      <c r="FY75">
        <f>IFERROR(AVERAGE('Fat Spreads'!BF75:BF94)+2*STDEV('Fat Spreads'!BF75:BF94),"")</f>
        <v>0</v>
      </c>
      <c r="FZ75">
        <f>IFERROR(AVERAGE('Fat Spreads'!BF75:BF94)-2*STDEV('Fat Spreads'!BF75:BF94),"")</f>
        <v>0</v>
      </c>
      <c r="GA75" t="str">
        <f>IFERROR(('Fat Spreads'!BF75-(AVERAGE('Fat Spreads'!BF75:BF94)-2*STDEV('Fat Spreads'!BF75:BF94)))/(4*STDEV('Fat Spreads'!BF75:BF94)),"")</f>
        <v/>
      </c>
      <c r="GB75" t="str">
        <f>IFERROR(4*STDEV('Fat Spreads'!BF75:BF94)/AVERAGE('Fat Spreads'!BF75:BF94),"")</f>
        <v/>
      </c>
      <c r="GC75">
        <v>28.822199999999999</v>
      </c>
      <c r="GD75">
        <f>IFERROR(SQRT((SUMSQ('Fat Spreads'!BF75:BF94)-2*SUMPRODUCT('Fat Spreads'!BF75:BF94,'Fat Spreads'!BF76:BF95)+SUMSQ('Fat Spreads'!BF76:BF95)-('Fat Spreads'!BF75-'Fat Spreads'!BF95)^2/20)/19),"")</f>
        <v>0</v>
      </c>
    </row>
    <row r="76" spans="1:186" x14ac:dyDescent="0.25">
      <c r="A76">
        <f>IFERROR('Fat Spreads'!A76,"")</f>
        <v>0</v>
      </c>
      <c r="B76">
        <f>IFERROR(('Fat Spreads'!B76-AVERAGE('Fat Spreads'!$B$3:$B$4308))/STDEV('Fat Spreads'!$B$3:$B$4308),"")</f>
        <v>9.2057461789832346E-2</v>
      </c>
      <c r="C76">
        <f>IFERROR('Fat Spreads'!B76-'Fat Spreads'!B81,"")</f>
        <v>0</v>
      </c>
      <c r="D76">
        <f>IFERROR('Fat Spreads'!B76-'Fat Spreads'!B86,"")</f>
        <v>0</v>
      </c>
      <c r="E76">
        <f>IFERROR(AVERAGE('Fat Spreads'!B76:B95)+2*STDEV('Fat Spreads'!B76:B95),"")</f>
        <v>0</v>
      </c>
      <c r="F76">
        <f>IFERROR(AVERAGE('Fat Spreads'!B76:B95)-2*STDEV('Fat Spreads'!B76:B95),"")</f>
        <v>0</v>
      </c>
      <c r="G76" t="str">
        <f>IFERROR(('Fat Spreads'!B76-(AVERAGE('Fat Spreads'!B76:B95)-2*STDEV('Fat Spreads'!B76:B95)))/(4*STDEV('Fat Spreads'!B76:B95)),"")</f>
        <v/>
      </c>
      <c r="H76" t="str">
        <f>IFERROR(4*STDEV('Fat Spreads'!B76:B95)/AVERAGE('Fat Spreads'!B76:B95),"")</f>
        <v/>
      </c>
      <c r="I76">
        <v>28.371200000000002</v>
      </c>
      <c r="J76">
        <f>IFERROR(SQRT((SUMSQ('Fat Spreads'!B76:B95)-2*SUMPRODUCT('Fat Spreads'!B76:B95,'Fat Spreads'!B77:B96)+SUMSQ('Fat Spreads'!B77:B96)-('Fat Spreads'!B76-'Fat Spreads'!B96)^2/20)/19),"")</f>
        <v>0</v>
      </c>
      <c r="L76">
        <f>IFERROR('Fat Spreads'!H76,"")</f>
        <v>0</v>
      </c>
      <c r="M76">
        <f>IFERROR(('Fat Spreads'!I76-AVERAGE('Fat Spreads'!$I$3:$I$4308))/STDEV('Fat Spreads'!$I$3:$I$4308),"")</f>
        <v>-9.2057461789832332E-2</v>
      </c>
      <c r="N76">
        <f>IFERROR('Fat Spreads'!I76-'Fat Spreads'!I81,"")</f>
        <v>0</v>
      </c>
      <c r="O76">
        <f>IFERROR('Fat Spreads'!I76-'Fat Spreads'!I86,"")</f>
        <v>0</v>
      </c>
      <c r="P76">
        <f>IFERROR(AVERAGE('Fat Spreads'!I76:I95)+2*STDEV('Fat Spreads'!I76:I95),"")</f>
        <v>0</v>
      </c>
      <c r="Q76">
        <f>IFERROR(AVERAGE('Fat Spreads'!I76:I95)-2*STDEV('Fat Spreads'!I76:I95),"")</f>
        <v>0</v>
      </c>
      <c r="R76" t="str">
        <f>IFERROR(('Fat Spreads'!I76-(AVERAGE('Fat Spreads'!I76:I95)-2*STDEV('Fat Spreads'!I76:I95)))/(4*STDEV('Fat Spreads'!I76:I95)),"")</f>
        <v/>
      </c>
      <c r="S76" t="str">
        <f>IFERROR(4*STDEV('Fat Spreads'!I76:I95)/AVERAGE('Fat Spreads'!I76:I95),"")</f>
        <v/>
      </c>
      <c r="T76">
        <v>28.586600000000001</v>
      </c>
      <c r="U76">
        <f>IFERROR(SQRT((SUMSQ('Fat Spreads'!I76:I95)-2*SUMPRODUCT('Fat Spreads'!I76:I95,'Fat Spreads'!I77:I96)+SUMSQ('Fat Spreads'!I77:I96)-('Fat Spreads'!I76-'Fat Spreads'!I96)^2/20)/19),"")</f>
        <v>0</v>
      </c>
      <c r="W76">
        <f>IFERROR('Fat Spreads'!AQ76,"")</f>
        <v>0</v>
      </c>
      <c r="X76">
        <f>IFERROR(('Fat Spreads'!AR76-AVERAGE('Fat Spreads'!$AR$3:$AR$4308))/STDEV('Fat Spreads'!$AR$3:$AR$4308),"")</f>
        <v>-9.2057461789832346E-2</v>
      </c>
      <c r="Y76">
        <f>IFERROR('Fat Spreads'!AR76-'Fat Spreads'!AR81,"")</f>
        <v>0</v>
      </c>
      <c r="Z76">
        <f>IFERROR('Fat Spreads'!AR76-'Fat Spreads'!AR86,"")</f>
        <v>0</v>
      </c>
      <c r="AA76">
        <f>IFERROR(AVERAGE('Fat Spreads'!AR76:AR95)+2*STDEV('Fat Spreads'!AR76:AR95),"")</f>
        <v>0</v>
      </c>
      <c r="AB76">
        <f>IFERROR(AVERAGE('Fat Spreads'!AR76:AR95)-2*STDEV('Fat Spreads'!AR76:AR95),"")</f>
        <v>0</v>
      </c>
      <c r="AC76" t="str">
        <f>IFERROR(('Fat Spreads'!AR76-(AVERAGE('Fat Spreads'!AR76:AR95)-2*STDEV('Fat Spreads'!AR76:AR95)))/(4*STDEV('Fat Spreads'!AR76:AR95)),"")</f>
        <v/>
      </c>
      <c r="AD76" t="str">
        <f>IFERROR(4*STDEV('Fat Spreads'!AR76:AR95)/AVERAGE('Fat Spreads'!AR76:AR95),"")</f>
        <v/>
      </c>
      <c r="AE76">
        <v>66.827299999999994</v>
      </c>
      <c r="AF76">
        <f>IFERROR(SQRT((SUMSQ('Fat Spreads'!AR76:AR95)-2*SUMPRODUCT('Fat Spreads'!AR76:AR95,'Fat Spreads'!AR77:AR96)+SUMSQ('Fat Spreads'!AR77:AR96)-('Fat Spreads'!AR76-'Fat Spreads'!AR96)^2/20)/19),"")</f>
        <v>0</v>
      </c>
      <c r="AH76">
        <f>IFERROR('Fat Spreads'!O76,"")</f>
        <v>0</v>
      </c>
      <c r="AI76">
        <f>IFERROR(('Fat Spreads'!P76-AVERAGE('Fat Spreads'!$P$3:$P$4308))/STDEV('Fat Spreads'!$P$3:$P$4308),"")</f>
        <v>-9.2057461789832332E-2</v>
      </c>
      <c r="AJ76">
        <f>IFERROR('Fat Spreads'!P76-'Fat Spreads'!P81,"")</f>
        <v>0</v>
      </c>
      <c r="AK76">
        <f>IFERROR('Fat Spreads'!P76-'Fat Spreads'!P86,"")</f>
        <v>0</v>
      </c>
      <c r="AL76">
        <f>IFERROR(AVERAGE('Fat Spreads'!P76:P95)+2*STDEV('Fat Spreads'!P76:P95),"")</f>
        <v>0</v>
      </c>
      <c r="AM76">
        <f>IFERROR(AVERAGE('Fat Spreads'!P76:P95)-2*STDEV('Fat Spreads'!P76:P95),"")</f>
        <v>0</v>
      </c>
      <c r="AN76" t="str">
        <f>IFERROR(('Fat Spreads'!P76-(AVERAGE('Fat Spreads'!P76:P95)-2*STDEV('Fat Spreads'!P76:P95)))/(4*STDEV('Fat Spreads'!P76:P95)),"")</f>
        <v/>
      </c>
      <c r="AO76" t="str">
        <f>IFERROR(4*STDEV('Fat Spreads'!P76:P95)/AVERAGE('Fat Spreads'!P76:P95),"")</f>
        <v/>
      </c>
      <c r="AP76">
        <v>43.394300000000001</v>
      </c>
      <c r="AQ76">
        <f>IFERROR(SQRT((SUMSQ('Fat Spreads'!P76:P95)-2*SUMPRODUCT('Fat Spreads'!P76:P95,'Fat Spreads'!P77:P96)+SUMSQ('Fat Spreads'!P77:P96)-('Fat Spreads'!P76-'Fat Spreads'!P96)^2/20)/19),"")</f>
        <v>0</v>
      </c>
      <c r="AS76">
        <f>IFERROR('Fat Spreads'!AJ76,"")</f>
        <v>0</v>
      </c>
      <c r="AT76">
        <f>IFERROR(('Fat Spreads'!AK76-AVERAGE('Fat Spreads'!$AK$3:$AK$4308))/STDEV('Fat Spreads'!$AK$3:$AK$4308),"")</f>
        <v>-9.2057461789832332E-2</v>
      </c>
      <c r="AU76">
        <f>IFERROR('Fat Spreads'!AK76-'Fat Spreads'!AK81,"")</f>
        <v>0</v>
      </c>
      <c r="AV76">
        <f>IFERROR('Fat Spreads'!AK76-'Fat Spreads'!AK86,"")</f>
        <v>0</v>
      </c>
      <c r="AW76">
        <f>IFERROR(AVERAGE('Fat Spreads'!AK76:AK95)+2*STDEV('Fat Spreads'!AK76:AK95),"")</f>
        <v>0</v>
      </c>
      <c r="AX76">
        <f>IFERROR(AVERAGE('Fat Spreads'!AK76:AK95)-2*STDEV('Fat Spreads'!AK76:AK95),"")</f>
        <v>0</v>
      </c>
      <c r="AY76" t="str">
        <f>IFERROR(('Fat Spreads'!AK76-(AVERAGE('Fat Spreads'!AK76:AK95)-2*STDEV('Fat Spreads'!AK76:AK95)))/(4*STDEV('Fat Spreads'!AK76:AK95)),"")</f>
        <v/>
      </c>
      <c r="AZ76" t="str">
        <f>IFERROR(4*STDEV('Fat Spreads'!AK76:AK95)/AVERAGE('Fat Spreads'!AK76:AK95),"")</f>
        <v/>
      </c>
      <c r="BA76">
        <v>34.947400000000002</v>
      </c>
      <c r="BB76">
        <f>IFERROR(SQRT((SUMSQ('Fat Spreads'!AK76:AK95)-2*SUMPRODUCT('Fat Spreads'!AK76:AK95,'Fat Spreads'!AK77:AK96)+SUMSQ('Fat Spreads'!AK77:AK96)-('Fat Spreads'!AK76-'Fat Spreads'!AK96)^2/20)/19),"")</f>
        <v>0</v>
      </c>
      <c r="BD76">
        <f>IFERROR('Fat Spreads'!V76,"")</f>
        <v>0</v>
      </c>
      <c r="BE76">
        <f>IFERROR(('Fat Spreads'!W76-AVERAGE('Fat Spreads'!$W$3:$W$4308))/STDEV('Fat Spreads'!$W$3:$W$4308),"")</f>
        <v>-9.2057461789832332E-2</v>
      </c>
      <c r="BF76">
        <f>IFERROR('Fat Spreads'!W76-'Fat Spreads'!W81,"")</f>
        <v>0</v>
      </c>
      <c r="BG76">
        <f>IFERROR('Fat Spreads'!W76-'Fat Spreads'!W86,"")</f>
        <v>0</v>
      </c>
      <c r="BH76">
        <f>IFERROR(AVERAGE('Fat Spreads'!W76:W95)+2*STDEV('Fat Spreads'!W76:W95),"")</f>
        <v>0</v>
      </c>
      <c r="BI76">
        <f>IFERROR(AVERAGE('Fat Spreads'!W76:W95)-2*STDEV('Fat Spreads'!W76:W95),"")</f>
        <v>0</v>
      </c>
      <c r="BJ76" t="str">
        <f>IFERROR(('Fat Spreads'!W76-(AVERAGE('Fat Spreads'!W76:W95)-2*STDEV('Fat Spreads'!W76:W95)))/(4*STDEV('Fat Spreads'!W76:W95)),"")</f>
        <v/>
      </c>
      <c r="BK76" t="str">
        <f>IFERROR(4*STDEV('Fat Spreads'!W76:W95)/AVERAGE('Fat Spreads'!W76:W95),"")</f>
        <v/>
      </c>
      <c r="BL76">
        <v>69.796300000000002</v>
      </c>
      <c r="BM76">
        <f>IFERROR(SQRT((SUMSQ('Fat Spreads'!W76:W95)-2*SUMPRODUCT('Fat Spreads'!W76:W95,'Fat Spreads'!W77:W96)+SUMSQ('Fat Spreads'!W77:W96)-('Fat Spreads'!W76-'Fat Spreads'!W96)^2/20)/19),"")</f>
        <v>0</v>
      </c>
      <c r="BO76">
        <f>IFERROR('Fat Spreads'!AC76,"")</f>
        <v>0</v>
      </c>
      <c r="BP76">
        <f>IFERROR(('Fat Spreads'!AD76-AVERAGE('Fat Spreads'!$AD$3:$AD$4308))/STDEV('Fat Spreads'!$AD$3:$AD$4308),"")</f>
        <v>-9.2057461789832332E-2</v>
      </c>
      <c r="BQ76">
        <f>IFERROR('Fat Spreads'!AD76-'Fat Spreads'!AD81,"")</f>
        <v>0</v>
      </c>
      <c r="BR76">
        <f>IFERROR('Fat Spreads'!AD76-'Fat Spreads'!AD86,"")</f>
        <v>0</v>
      </c>
      <c r="BS76">
        <f>IFERROR(AVERAGE('Fat Spreads'!AD76:AD95)+2*STDEV('Fat Spreads'!AD76:AD95),"")</f>
        <v>0</v>
      </c>
      <c r="BT76">
        <f>IFERROR(AVERAGE('Fat Spreads'!AD76:AD95)-2*STDEV('Fat Spreads'!AD76:AD95),"")</f>
        <v>0</v>
      </c>
      <c r="BU76" t="str">
        <f>IFERROR(('Fat Spreads'!AD76-(AVERAGE('Fat Spreads'!AD76:AD95)-2*STDEV('Fat Spreads'!AD76:AD95)))/(4*STDEV('Fat Spreads'!AD76:AD95)),"")</f>
        <v/>
      </c>
      <c r="BV76" t="str">
        <f>IFERROR(4*STDEV('Fat Spreads'!AD76:AD95)/AVERAGE('Fat Spreads'!AD76:AD95),"")</f>
        <v/>
      </c>
      <c r="BW76">
        <v>52.049500000000002</v>
      </c>
      <c r="BX76">
        <f>IFERROR(SQRT((SUMSQ('Fat Spreads'!AD76:AD95)-2*SUMPRODUCT('Fat Spreads'!AD76:AD95,'Fat Spreads'!AD77:AD96)+SUMSQ('Fat Spreads'!AD77:AD96)-('Fat Spreads'!AD76-'Fat Spreads'!AD96)^2/20)/19),"")</f>
        <v>0</v>
      </c>
      <c r="BZ76">
        <f>IFERROR('Feeder Spreads'!A76,"")</f>
        <v>0</v>
      </c>
      <c r="CA76">
        <f>IFERROR(('Feeder Spreads'!B76-AVERAGE('Feeder Spreads'!$B$3:$B$4308))/STDEV('Feeder Spreads'!$B$3:$B$4308),"")</f>
        <v>-9.2057461789832346E-2</v>
      </c>
      <c r="CB76">
        <f>IFERROR('Feeder Spreads'!B76-'Feeder Spreads'!B81,"")</f>
        <v>0</v>
      </c>
      <c r="CC76">
        <f>IFERROR('Feeder Spreads'!B76-'Feeder Spreads'!B86,"")</f>
        <v>0</v>
      </c>
      <c r="CD76">
        <f>IFERROR(AVERAGE('Feeder Spreads'!B76:B95)+2*STDEV('Feeder Spreads'!B76:B95),"")</f>
        <v>0</v>
      </c>
      <c r="CE76">
        <f>IFERROR(AVERAGE('Feeder Spreads'!B76:B95)-2*STDEV('Feeder Spreads'!B76:B95),"")</f>
        <v>0</v>
      </c>
      <c r="CF76" t="str">
        <f>IFERROR(('Feeder Spreads'!B76-(AVERAGE('Feeder Spreads'!B76:B95)-2*STDEV('Feeder Spreads'!B76:B95)))/(4*STDEV('Feeder Spreads'!B76:B95)),"")</f>
        <v/>
      </c>
      <c r="CG76" t="str">
        <f>IFERROR(4*STDEV('Feeder Spreads'!B76:B95)/AVERAGE('Feeder Spreads'!B76:B95),"")</f>
        <v/>
      </c>
      <c r="CH76">
        <v>50.3217</v>
      </c>
      <c r="CI76">
        <f>IFERROR(SQRT((SUMSQ('Feeder Spreads'!B76:B95)-2*SUMPRODUCT('Feeder Spreads'!B76:B95,'Feeder Spreads'!B77:B96)+SUMSQ('Feeder Spreads'!B77:B96)-('Feeder Spreads'!B76-'Feeder Spreads'!B96)^2/20)/19),"")</f>
        <v>0</v>
      </c>
      <c r="CK76">
        <f>IFERROR('Feeder Spreads'!AX76,"")</f>
        <v>0</v>
      </c>
      <c r="CL76">
        <f>IFERROR(('Feeder Spreads'!AY76-AVERAGE('Feeder Spreads'!$AY$3:$AY$4308))/STDEV('Feeder Spreads'!$AY$3:$AY$4308),"")</f>
        <v>-9.2057461789832346E-2</v>
      </c>
      <c r="CM76">
        <f>IFERROR('Feeder Spreads'!AY76-'Feeder Spreads'!AY81,"")</f>
        <v>0</v>
      </c>
      <c r="CN76">
        <f>IFERROR('Feeder Spreads'!AY76-'Feeder Spreads'!AY86,"")</f>
        <v>0</v>
      </c>
      <c r="CO76">
        <f>IFERROR(AVERAGE('Feeder Spreads'!AY76:AY95)+2*STDEV('Feeder Spreads'!AY76:AY95),"")</f>
        <v>0</v>
      </c>
      <c r="CP76">
        <f>IFERROR(AVERAGE('Feeder Spreads'!AY76:AY95)-2*STDEV('Feeder Spreads'!AY76:AY95),"")</f>
        <v>0</v>
      </c>
      <c r="CQ76" t="str">
        <f>IFERROR(('Feeder Spreads'!AY76-(AVERAGE('Feeder Spreads'!AY76:AY95)-2*STDEV('Feeder Spreads'!AY76:AY95)))/(4*STDEV('Feeder Spreads'!AY76:AY95)),"")</f>
        <v/>
      </c>
      <c r="CR76" t="str">
        <f>IFERROR(4*STDEV('Feeder Spreads'!AY76:AY95)/AVERAGE('Feeder Spreads'!AY76:AY95),"")</f>
        <v/>
      </c>
      <c r="CS76">
        <v>37.353900000000003</v>
      </c>
      <c r="CT76">
        <f>IFERROR(SQRT((SUMSQ('Feeder Spreads'!AY76:AY95)-2*SUMPRODUCT('Feeder Spreads'!AY76:AY95,'Feeder Spreads'!AY77:AY96)+SUMSQ('Feeder Spreads'!AY77:AY96)-('Feeder Spreads'!AY76-'Feeder Spreads'!AY96)^2/20)/19),"")</f>
        <v>0</v>
      </c>
      <c r="CV76">
        <f>IFERROR('Feeder Spreads'!H76,"")</f>
        <v>0</v>
      </c>
      <c r="CW76">
        <f>IFERROR(('Feeder Spreads'!I76-AVERAGE('Feeder Spreads'!$I$3:$I$4308))/STDEV('Feeder Spreads'!$I$3:$I$4308),"")</f>
        <v>-9.2057461789832332E-2</v>
      </c>
      <c r="CX76">
        <f>IFERROR('Feeder Spreads'!I76-'Feeder Spreads'!I81,"")</f>
        <v>0</v>
      </c>
      <c r="CY76">
        <f>IFERROR('Feeder Spreads'!I76-'Feeder Spreads'!I86,"")</f>
        <v>0</v>
      </c>
      <c r="CZ76">
        <f>IFERROR(AVERAGE('Feeder Spreads'!I76:I95)+2*STDEV('Feeder Spreads'!I76:I95),"")</f>
        <v>0</v>
      </c>
      <c r="DA76">
        <f>IFERROR(AVERAGE('Feeder Spreads'!I76:I95)-2*STDEV('Feeder Spreads'!I76:I95),"")</f>
        <v>0</v>
      </c>
      <c r="DB76" t="str">
        <f>IFERROR(('Feeder Spreads'!I76-(AVERAGE('Feeder Spreads'!I76:I95)-2*STDEV('Feeder Spreads'!I76:I95)))/(4*STDEV('Feeder Spreads'!I76:I95)),"")</f>
        <v/>
      </c>
      <c r="DC76" t="str">
        <f>IFERROR(4*STDEV('Feeder Spreads'!I76:I95)/AVERAGE('Feeder Spreads'!I76:I95),"")</f>
        <v/>
      </c>
      <c r="DD76">
        <v>61.228499999999997</v>
      </c>
      <c r="DE76">
        <f>IFERROR(SQRT((SUMSQ('Feeder Spreads'!I76:I95)-2*SUMPRODUCT('Feeder Spreads'!I76:I95,'Feeder Spreads'!I77:I96)+SUMSQ('Feeder Spreads'!I77:I96)-('Feeder Spreads'!I76-'Feeder Spreads'!I96)^2/20)/19),"")</f>
        <v>0</v>
      </c>
      <c r="DG76">
        <f>IFERROR('Feeder Spreads'!O76,"")</f>
        <v>0</v>
      </c>
      <c r="DH76">
        <f>IFERROR(('Feeder Spreads'!P76-AVERAGE('Feeder Spreads'!$P$3:$P$4308))/STDEV('Feeder Spreads'!$P$3:$P$4308),"")</f>
        <v>-9.2057461789832346E-2</v>
      </c>
      <c r="DI76">
        <f>IFERROR('Feeder Spreads'!P76-'Feeder Spreads'!P81,"")</f>
        <v>0</v>
      </c>
      <c r="DJ76">
        <f>IFERROR('Feeder Spreads'!P76-'Feeder Spreads'!P86,"")</f>
        <v>0</v>
      </c>
      <c r="DK76">
        <f>IFERROR(AVERAGE('Feeder Spreads'!P76:P95)+2*STDEV('Feeder Spreads'!P76:P95),"")</f>
        <v>0</v>
      </c>
      <c r="DL76">
        <f>IFERROR(AVERAGE('Feeder Spreads'!P76:P95)-2*STDEV('Feeder Spreads'!P76:P95),"")</f>
        <v>0</v>
      </c>
      <c r="DM76" t="str">
        <f>IFERROR(('Feeder Spreads'!P76-(AVERAGE('Feeder Spreads'!P76:P95)-2*STDEV('Feeder Spreads'!P76:P95)))/(4*STDEV('Feeder Spreads'!P76:P95)),"")</f>
        <v/>
      </c>
      <c r="DN76" t="str">
        <f>IFERROR(4*STDEV('Feeder Spreads'!P76:P95)/AVERAGE('Feeder Spreads'!P76:P95),"")</f>
        <v/>
      </c>
      <c r="DO76">
        <v>61.137799999999999</v>
      </c>
      <c r="DP76">
        <f>IFERROR(SQRT((SUMSQ('Feeder Spreads'!P76:P95)-2*SUMPRODUCT('Feeder Spreads'!P76:P95,'Feeder Spreads'!P77:P96)+SUMSQ('Feeder Spreads'!P77:P96)-('Feeder Spreads'!P76-'Feeder Spreads'!P96)^2/20)/19),"")</f>
        <v>0</v>
      </c>
      <c r="DR76">
        <f>IFERROR('Feeder Spreads'!V76,"")</f>
        <v>0</v>
      </c>
      <c r="DS76">
        <f>IFERROR(('Feeder Spreads'!W76-AVERAGE('Feeder Spreads'!$W$3:$W$4308))/STDEV('Feeder Spreads'!$W$3:$W$4308),"")</f>
        <v>-9.2057461789832332E-2</v>
      </c>
      <c r="DT76">
        <f>IFERROR('Feeder Spreads'!W76-'Feeder Spreads'!W81,"")</f>
        <v>0</v>
      </c>
      <c r="DU76">
        <f>IFERROR('Feeder Spreads'!W76-'Feeder Spreads'!W86,"")</f>
        <v>0</v>
      </c>
      <c r="DV76">
        <f>IFERROR(AVERAGE('Feeder Spreads'!W76:W95)+2*STDEV('Feeder Spreads'!W76:W95),"")</f>
        <v>0</v>
      </c>
      <c r="DW76">
        <f>IFERROR(AVERAGE('Feeder Spreads'!W76:W95)-2*STDEV('Feeder Spreads'!W76:W95),"")</f>
        <v>0</v>
      </c>
      <c r="DX76" t="str">
        <f>IFERROR(('Feeder Spreads'!W76-(AVERAGE('Feeder Spreads'!W76:W95)-2*STDEV('Feeder Spreads'!W76:W95)))/(4*STDEV('Feeder Spreads'!W76:W95)),"")</f>
        <v/>
      </c>
      <c r="DY76" t="str">
        <f>IFERROR(4*STDEV('Feeder Spreads'!W76:W95)/AVERAGE('Feeder Spreads'!W76:W95),"")</f>
        <v/>
      </c>
      <c r="DZ76">
        <v>55.733499999999999</v>
      </c>
      <c r="EA76">
        <f>IFERROR(SQRT((SUMSQ('Feeder Spreads'!W76:W95)-2*SUMPRODUCT('Feeder Spreads'!W76:W95,'Feeder Spreads'!W77:W96)+SUMSQ('Feeder Spreads'!W77:W96)-('Feeder Spreads'!W76-'Feeder Spreads'!W96)^2/20)/19),"")</f>
        <v>0</v>
      </c>
      <c r="EC76">
        <f>IFERROR('Feeder Spreads'!AC76,"")</f>
        <v>0</v>
      </c>
      <c r="ED76">
        <f>IFERROR(('Feeder Spreads'!AD76-AVERAGE('Feeder Spreads'!$AD$3:$AD$4308))/STDEV('Feeder Spreads'!$AD$3:$AD$4308),"")</f>
        <v>9.2057461789832318E-2</v>
      </c>
      <c r="EE76">
        <f>IFERROR('Feeder Spreads'!AD76-'Feeder Spreads'!AD81,"")</f>
        <v>0</v>
      </c>
      <c r="EF76">
        <f>IFERROR('Feeder Spreads'!AD76-'Feeder Spreads'!AD86,"")</f>
        <v>0</v>
      </c>
      <c r="EG76">
        <f>IFERROR(AVERAGE('Feeder Spreads'!AD76:AD95)+2*STDEV('Feeder Spreads'!AD76:AD95),"")</f>
        <v>0</v>
      </c>
      <c r="EH76">
        <f>IFERROR(AVERAGE('Feeder Spreads'!AD76:AD95)-2*STDEV('Feeder Spreads'!AD76:AD95),"")</f>
        <v>0</v>
      </c>
      <c r="EI76" t="str">
        <f>IFERROR(('Feeder Spreads'!AD76-(AVERAGE('Feeder Spreads'!AD76:AD95)-2*STDEV('Feeder Spreads'!AD76:AD95)))/(4*STDEV('Feeder Spreads'!AD76:AD95)),"")</f>
        <v/>
      </c>
      <c r="EJ76" t="str">
        <f>IFERROR(4*STDEV('Feeder Spreads'!AD76:AD95)/AVERAGE('Feeder Spreads'!AD76:AD95),"")</f>
        <v/>
      </c>
      <c r="EK76">
        <v>49.541200000000003</v>
      </c>
      <c r="EL76">
        <f>IFERROR(SQRT((SUMSQ('Feeder Spreads'!AD76:AD95)-2*SUMPRODUCT('Feeder Spreads'!AD76:AD95,'Feeder Spreads'!AD77:AD96)+SUMSQ('Feeder Spreads'!AD77:AD96)-('Feeder Spreads'!AD76-'Feeder Spreads'!AD96)^2/20)/19),"")</f>
        <v>0</v>
      </c>
      <c r="EN76">
        <f>IFERROR('Feeder Spreads'!AJ76,"")</f>
        <v>0</v>
      </c>
      <c r="EO76">
        <f>IFERROR(('Feeder Spreads'!AK76-AVERAGE('Feeder Spreads'!$AK$3:$AK$4308))/STDEV('Feeder Spreads'!$AK$3:$AK$4308),"")</f>
        <v>-9.2057461789832346E-2</v>
      </c>
      <c r="EP76">
        <f>IFERROR('Feeder Spreads'!AK76-'Feeder Spreads'!AK81,"")</f>
        <v>0</v>
      </c>
      <c r="EQ76">
        <f>IFERROR('Feeder Spreads'!AK76-'Feeder Spreads'!AK86,"")</f>
        <v>0</v>
      </c>
      <c r="ER76">
        <f>IFERROR(AVERAGE('Feeder Spreads'!AK76:AK95)+2*STDEV('Feeder Spreads'!AK76:AK95),"")</f>
        <v>0</v>
      </c>
      <c r="ES76">
        <f>IFERROR(AVERAGE('Feeder Spreads'!AK76:AK95)-2*STDEV('Feeder Spreads'!AK76:AK95),"")</f>
        <v>0</v>
      </c>
      <c r="ET76" t="str">
        <f>IFERROR(('Feeder Spreads'!AK76-(AVERAGE('Feeder Spreads'!AK76:AK95)-2*STDEV('Feeder Spreads'!AK76:AK95)))/(4*STDEV('Feeder Spreads'!AK76:AK95)),"")</f>
        <v/>
      </c>
      <c r="EU76" t="str">
        <f>IFERROR(4*STDEV('Feeder Spreads'!AK76:AK95)/AVERAGE('Feeder Spreads'!AK76:AK95),"")</f>
        <v/>
      </c>
      <c r="EV76">
        <v>60.029800000000002</v>
      </c>
      <c r="EW76">
        <f>IFERROR(SQRT((SUMSQ('Feeder Spreads'!AK76:AK95)-2*SUMPRODUCT('Feeder Spreads'!AK76:AK95,'Feeder Spreads'!AK77:AK96)+SUMSQ('Feeder Spreads'!AK77:AK96)-('Feeder Spreads'!AK76-'Feeder Spreads'!AK96)^2/20)/19),"")</f>
        <v>0</v>
      </c>
      <c r="EY76">
        <f>IFERROR('Feeder Spreads'!AQ76,"")</f>
        <v>0</v>
      </c>
      <c r="EZ76">
        <f>IFERROR(('Feeder Spreads'!AR76-AVERAGE('Feeder Spreads'!$AR$3:$AR$4308))/STDEV('Feeder Spreads'!$AR$3:$AR$4308),"")</f>
        <v>-9.2057461789832332E-2</v>
      </c>
      <c r="FA76">
        <f>IFERROR('Feeder Spreads'!AR76-'Feeder Spreads'!AR81,"")</f>
        <v>0</v>
      </c>
      <c r="FB76">
        <f>IFERROR('Feeder Spreads'!AR76-'Feeder Spreads'!AR86,"")</f>
        <v>0</v>
      </c>
      <c r="FC76">
        <f>IFERROR(AVERAGE('Feeder Spreads'!AR76:AR95)+2*STDEV('Feeder Spreads'!AR76:AR95),"")</f>
        <v>0</v>
      </c>
      <c r="FD76">
        <f>IFERROR(AVERAGE('Feeder Spreads'!AR76:AR95)-2*STDEV('Feeder Spreads'!AR76:AR95),"")</f>
        <v>0</v>
      </c>
      <c r="FE76" t="str">
        <f>IFERROR(('Feeder Spreads'!AR76-(AVERAGE('Feeder Spreads'!AR76:AR95)-2*STDEV('Feeder Spreads'!AR76:AR95)))/(4*STDEV('Feeder Spreads'!AR76:AR95)),"")</f>
        <v/>
      </c>
      <c r="FF76" t="str">
        <f>IFERROR(4*STDEV('Feeder Spreads'!AR76:AR95)/AVERAGE('Feeder Spreads'!AR76:AR95),"")</f>
        <v/>
      </c>
      <c r="FG76">
        <v>61.038600000000002</v>
      </c>
      <c r="FH76">
        <f>IFERROR(SQRT((SUMSQ('Feeder Spreads'!AR76:AR95)-2*SUMPRODUCT('Feeder Spreads'!AR76:AR95,'Feeder Spreads'!AR77:AR96)+SUMSQ('Feeder Spreads'!AR77:AR96)-('Feeder Spreads'!AR76-'Feeder Spreads'!AR96)^2/20)/19),"")</f>
        <v>0</v>
      </c>
      <c r="FJ76">
        <f>IFERROR('Fat Spreads'!AX76,"")</f>
        <v>0</v>
      </c>
      <c r="FK76">
        <f>IFERROR(('Fat Spreads'!AY76-AVERAGE('Fat Spreads'!$AY$3:$AY$4308))/STDEV('Fat Spreads'!$AY$3:$AY$4308),"")</f>
        <v>9.2057461789832332E-2</v>
      </c>
      <c r="FL76">
        <f>IFERROR('Fat Spreads'!AY76-'Fat Spreads'!AY81,"")</f>
        <v>0</v>
      </c>
      <c r="FM76">
        <f>IFERROR('Fat Spreads'!AY76-'Fat Spreads'!AY86,"")</f>
        <v>0</v>
      </c>
      <c r="FN76">
        <f>IFERROR(AVERAGE('Fat Spreads'!AY76:AY95)+2*STDEV('Fat Spreads'!AY76:AY95),"")</f>
        <v>0</v>
      </c>
      <c r="FO76">
        <f>IFERROR(AVERAGE('Fat Spreads'!AY76:AY95)-2*STDEV('Fat Spreads'!AY76:AY95),"")</f>
        <v>0</v>
      </c>
      <c r="FP76" t="str">
        <f>IFERROR(('Fat Spreads'!AY76-(AVERAGE('Fat Spreads'!AY76:AY95)-2*STDEV('Fat Spreads'!AY76:AY95)))/(4*STDEV('Fat Spreads'!AY76:AY95)),"")</f>
        <v/>
      </c>
      <c r="FQ76" t="str">
        <f>IFERROR(4*STDEV('Fat Spreads'!AY76:AY95)/AVERAGE('Fat Spreads'!AY76:AY95),"")</f>
        <v/>
      </c>
      <c r="FR76">
        <v>30.103999999999999</v>
      </c>
      <c r="FS76">
        <f>IFERROR(SQRT((SUMSQ('Fat Spreads'!AY76:AY95)-2*SUMPRODUCT('Fat Spreads'!AY76:AY95,'Fat Spreads'!AY77:AY96)+SUMSQ('Fat Spreads'!AY77:AY96)-('Fat Spreads'!AY76-'Fat Spreads'!AY96)^2/20)/19),"")</f>
        <v>0</v>
      </c>
      <c r="FU76">
        <f>IFERROR('Fat Spreads'!BE76,"")</f>
        <v>0</v>
      </c>
      <c r="FV76">
        <f>IFERROR(('Fat Spreads'!BF76-AVERAGE('Fat Spreads'!$BF$3:$BF$4308))/STDEV('Fat Spreads'!$BF$3:$BF$4308),"")</f>
        <v>9.2057461789832332E-2</v>
      </c>
      <c r="FW76">
        <f>IFERROR('Fat Spreads'!BF76-'Fat Spreads'!BF81,"")</f>
        <v>0</v>
      </c>
      <c r="FX76">
        <f>IFERROR('Fat Spreads'!BF76-'Fat Spreads'!BF86,"")</f>
        <v>0</v>
      </c>
      <c r="FY76">
        <f>IFERROR(AVERAGE('Fat Spreads'!BF76:BF95)+2*STDEV('Fat Spreads'!BF76:BF95),"")</f>
        <v>0</v>
      </c>
      <c r="FZ76">
        <f>IFERROR(AVERAGE('Fat Spreads'!BF76:BF95)-2*STDEV('Fat Spreads'!BF76:BF95),"")</f>
        <v>0</v>
      </c>
      <c r="GA76" t="str">
        <f>IFERROR(('Fat Spreads'!BF76-(AVERAGE('Fat Spreads'!BF76:BF95)-2*STDEV('Fat Spreads'!BF76:BF95)))/(4*STDEV('Fat Spreads'!BF76:BF95)),"")</f>
        <v/>
      </c>
      <c r="GB76" t="str">
        <f>IFERROR(4*STDEV('Fat Spreads'!BF76:BF95)/AVERAGE('Fat Spreads'!BF76:BF95),"")</f>
        <v/>
      </c>
      <c r="GC76">
        <v>28.139199999999999</v>
      </c>
      <c r="GD76">
        <f>IFERROR(SQRT((SUMSQ('Fat Spreads'!BF76:BF95)-2*SUMPRODUCT('Fat Spreads'!BF76:BF95,'Fat Spreads'!BF77:BF96)+SUMSQ('Fat Spreads'!BF77:BF96)-('Fat Spreads'!BF76-'Fat Spreads'!BF96)^2/20)/19),"")</f>
        <v>0</v>
      </c>
    </row>
    <row r="77" spans="1:186" x14ac:dyDescent="0.25">
      <c r="A77">
        <f>IFERROR('Fat Spreads'!A77,"")</f>
        <v>0</v>
      </c>
      <c r="B77">
        <f>IFERROR(('Fat Spreads'!B77-AVERAGE('Fat Spreads'!$B$3:$B$4308))/STDEV('Fat Spreads'!$B$3:$B$4308),"")</f>
        <v>9.2057461789832346E-2</v>
      </c>
      <c r="C77">
        <f>IFERROR('Fat Spreads'!B77-'Fat Spreads'!B82,"")</f>
        <v>0</v>
      </c>
      <c r="D77">
        <f>IFERROR('Fat Spreads'!B77-'Fat Spreads'!B87,"")</f>
        <v>0</v>
      </c>
      <c r="E77">
        <f>IFERROR(AVERAGE('Fat Spreads'!B77:B96)+2*STDEV('Fat Spreads'!B77:B96),"")</f>
        <v>0</v>
      </c>
      <c r="F77">
        <f>IFERROR(AVERAGE('Fat Spreads'!B77:B96)-2*STDEV('Fat Spreads'!B77:B96),"")</f>
        <v>0</v>
      </c>
      <c r="G77" t="str">
        <f>IFERROR(('Fat Spreads'!B77-(AVERAGE('Fat Spreads'!B77:B96)-2*STDEV('Fat Spreads'!B77:B96)))/(4*STDEV('Fat Spreads'!B77:B96)),"")</f>
        <v/>
      </c>
      <c r="H77" t="str">
        <f>IFERROR(4*STDEV('Fat Spreads'!B77:B96)/AVERAGE('Fat Spreads'!B77:B96),"")</f>
        <v/>
      </c>
      <c r="I77">
        <v>32.136899999999997</v>
      </c>
      <c r="J77">
        <f>IFERROR(SQRT((SUMSQ('Fat Spreads'!B77:B96)-2*SUMPRODUCT('Fat Spreads'!B77:B96,'Fat Spreads'!B78:B97)+SUMSQ('Fat Spreads'!B78:B97)-('Fat Spreads'!B77-'Fat Spreads'!B97)^2/20)/19),"")</f>
        <v>0</v>
      </c>
      <c r="L77">
        <f>IFERROR('Fat Spreads'!H77,"")</f>
        <v>0</v>
      </c>
      <c r="M77">
        <f>IFERROR(('Fat Spreads'!I77-AVERAGE('Fat Spreads'!$I$3:$I$4308))/STDEV('Fat Spreads'!$I$3:$I$4308),"")</f>
        <v>-9.2057461789832332E-2</v>
      </c>
      <c r="N77">
        <f>IFERROR('Fat Spreads'!I77-'Fat Spreads'!I82,"")</f>
        <v>0</v>
      </c>
      <c r="O77">
        <f>IFERROR('Fat Spreads'!I77-'Fat Spreads'!I87,"")</f>
        <v>0</v>
      </c>
      <c r="P77">
        <f>IFERROR(AVERAGE('Fat Spreads'!I77:I96)+2*STDEV('Fat Spreads'!I77:I96),"")</f>
        <v>0</v>
      </c>
      <c r="Q77">
        <f>IFERROR(AVERAGE('Fat Spreads'!I77:I96)-2*STDEV('Fat Spreads'!I77:I96),"")</f>
        <v>0</v>
      </c>
      <c r="R77" t="str">
        <f>IFERROR(('Fat Spreads'!I77-(AVERAGE('Fat Spreads'!I77:I96)-2*STDEV('Fat Spreads'!I77:I96)))/(4*STDEV('Fat Spreads'!I77:I96)),"")</f>
        <v/>
      </c>
      <c r="S77" t="str">
        <f>IFERROR(4*STDEV('Fat Spreads'!I77:I96)/AVERAGE('Fat Spreads'!I77:I96),"")</f>
        <v/>
      </c>
      <c r="T77">
        <v>30.5992</v>
      </c>
      <c r="U77">
        <f>IFERROR(SQRT((SUMSQ('Fat Spreads'!I77:I96)-2*SUMPRODUCT('Fat Spreads'!I77:I96,'Fat Spreads'!I78:I97)+SUMSQ('Fat Spreads'!I78:I97)-('Fat Spreads'!I77-'Fat Spreads'!I97)^2/20)/19),"")</f>
        <v>0</v>
      </c>
      <c r="W77">
        <f>IFERROR('Fat Spreads'!AQ77,"")</f>
        <v>0</v>
      </c>
      <c r="X77">
        <f>IFERROR(('Fat Spreads'!AR77-AVERAGE('Fat Spreads'!$AR$3:$AR$4308))/STDEV('Fat Spreads'!$AR$3:$AR$4308),"")</f>
        <v>-9.2057461789832346E-2</v>
      </c>
      <c r="Y77">
        <f>IFERROR('Fat Spreads'!AR77-'Fat Spreads'!AR82,"")</f>
        <v>0</v>
      </c>
      <c r="Z77">
        <f>IFERROR('Fat Spreads'!AR77-'Fat Spreads'!AR87,"")</f>
        <v>0</v>
      </c>
      <c r="AA77">
        <f>IFERROR(AVERAGE('Fat Spreads'!AR77:AR96)+2*STDEV('Fat Spreads'!AR77:AR96),"")</f>
        <v>0</v>
      </c>
      <c r="AB77">
        <f>IFERROR(AVERAGE('Fat Spreads'!AR77:AR96)-2*STDEV('Fat Spreads'!AR77:AR96),"")</f>
        <v>0</v>
      </c>
      <c r="AC77" t="str">
        <f>IFERROR(('Fat Spreads'!AR77-(AVERAGE('Fat Spreads'!AR77:AR96)-2*STDEV('Fat Spreads'!AR77:AR96)))/(4*STDEV('Fat Spreads'!AR77:AR96)),"")</f>
        <v/>
      </c>
      <c r="AD77" t="str">
        <f>IFERROR(4*STDEV('Fat Spreads'!AR77:AR96)/AVERAGE('Fat Spreads'!AR77:AR96),"")</f>
        <v/>
      </c>
      <c r="AE77">
        <v>67.171700000000001</v>
      </c>
      <c r="AF77">
        <f>IFERROR(SQRT((SUMSQ('Fat Spreads'!AR77:AR96)-2*SUMPRODUCT('Fat Spreads'!AR77:AR96,'Fat Spreads'!AR78:AR97)+SUMSQ('Fat Spreads'!AR78:AR97)-('Fat Spreads'!AR77-'Fat Spreads'!AR97)^2/20)/19),"")</f>
        <v>0</v>
      </c>
      <c r="AH77">
        <f>IFERROR('Fat Spreads'!O77,"")</f>
        <v>0</v>
      </c>
      <c r="AI77">
        <f>IFERROR(('Fat Spreads'!P77-AVERAGE('Fat Spreads'!$P$3:$P$4308))/STDEV('Fat Spreads'!$P$3:$P$4308),"")</f>
        <v>-9.2057461789832332E-2</v>
      </c>
      <c r="AJ77">
        <f>IFERROR('Fat Spreads'!P77-'Fat Spreads'!P82,"")</f>
        <v>0</v>
      </c>
      <c r="AK77">
        <f>IFERROR('Fat Spreads'!P77-'Fat Spreads'!P87,"")</f>
        <v>0</v>
      </c>
      <c r="AL77">
        <f>IFERROR(AVERAGE('Fat Spreads'!P77:P96)+2*STDEV('Fat Spreads'!P77:P96),"")</f>
        <v>0</v>
      </c>
      <c r="AM77">
        <f>IFERROR(AVERAGE('Fat Spreads'!P77:P96)-2*STDEV('Fat Spreads'!P77:P96),"")</f>
        <v>0</v>
      </c>
      <c r="AN77" t="str">
        <f>IFERROR(('Fat Spreads'!P77-(AVERAGE('Fat Spreads'!P77:P96)-2*STDEV('Fat Spreads'!P77:P96)))/(4*STDEV('Fat Spreads'!P77:P96)),"")</f>
        <v/>
      </c>
      <c r="AO77" t="str">
        <f>IFERROR(4*STDEV('Fat Spreads'!P77:P96)/AVERAGE('Fat Spreads'!P77:P96),"")</f>
        <v/>
      </c>
      <c r="AP77">
        <v>44.300899999999999</v>
      </c>
      <c r="AQ77">
        <f>IFERROR(SQRT((SUMSQ('Fat Spreads'!P77:P96)-2*SUMPRODUCT('Fat Spreads'!P77:P96,'Fat Spreads'!P78:P97)+SUMSQ('Fat Spreads'!P78:P97)-('Fat Spreads'!P77-'Fat Spreads'!P97)^2/20)/19),"")</f>
        <v>0</v>
      </c>
      <c r="AS77">
        <f>IFERROR('Fat Spreads'!AJ77,"")</f>
        <v>0</v>
      </c>
      <c r="AT77">
        <f>IFERROR(('Fat Spreads'!AK77-AVERAGE('Fat Spreads'!$AK$3:$AK$4308))/STDEV('Fat Spreads'!$AK$3:$AK$4308),"")</f>
        <v>-9.2057461789832332E-2</v>
      </c>
      <c r="AU77">
        <f>IFERROR('Fat Spreads'!AK77-'Fat Spreads'!AK82,"")</f>
        <v>0</v>
      </c>
      <c r="AV77">
        <f>IFERROR('Fat Spreads'!AK77-'Fat Spreads'!AK87,"")</f>
        <v>0</v>
      </c>
      <c r="AW77">
        <f>IFERROR(AVERAGE('Fat Spreads'!AK77:AK96)+2*STDEV('Fat Spreads'!AK77:AK96),"")</f>
        <v>0</v>
      </c>
      <c r="AX77">
        <f>IFERROR(AVERAGE('Fat Spreads'!AK77:AK96)-2*STDEV('Fat Spreads'!AK77:AK96),"")</f>
        <v>0</v>
      </c>
      <c r="AY77" t="str">
        <f>IFERROR(('Fat Spreads'!AK77-(AVERAGE('Fat Spreads'!AK77:AK96)-2*STDEV('Fat Spreads'!AK77:AK96)))/(4*STDEV('Fat Spreads'!AK77:AK96)),"")</f>
        <v/>
      </c>
      <c r="AZ77" t="str">
        <f>IFERROR(4*STDEV('Fat Spreads'!AK77:AK96)/AVERAGE('Fat Spreads'!AK77:AK96),"")</f>
        <v/>
      </c>
      <c r="BA77">
        <v>38.061399999999999</v>
      </c>
      <c r="BB77">
        <f>IFERROR(SQRT((SUMSQ('Fat Spreads'!AK77:AK96)-2*SUMPRODUCT('Fat Spreads'!AK77:AK96,'Fat Spreads'!AK78:AK97)+SUMSQ('Fat Spreads'!AK78:AK97)-('Fat Spreads'!AK77-'Fat Spreads'!AK97)^2/20)/19),"")</f>
        <v>0</v>
      </c>
      <c r="BD77">
        <f>IFERROR('Fat Spreads'!V77,"")</f>
        <v>0</v>
      </c>
      <c r="BE77">
        <f>IFERROR(('Fat Spreads'!W77-AVERAGE('Fat Spreads'!$W$3:$W$4308))/STDEV('Fat Spreads'!$W$3:$W$4308),"")</f>
        <v>-9.2057461789832332E-2</v>
      </c>
      <c r="BF77">
        <f>IFERROR('Fat Spreads'!W77-'Fat Spreads'!W82,"")</f>
        <v>0</v>
      </c>
      <c r="BG77">
        <f>IFERROR('Fat Spreads'!W77-'Fat Spreads'!W87,"")</f>
        <v>0</v>
      </c>
      <c r="BH77">
        <f>IFERROR(AVERAGE('Fat Spreads'!W77:W96)+2*STDEV('Fat Spreads'!W77:W96),"")</f>
        <v>0</v>
      </c>
      <c r="BI77">
        <f>IFERROR(AVERAGE('Fat Spreads'!W77:W96)-2*STDEV('Fat Spreads'!W77:W96),"")</f>
        <v>0</v>
      </c>
      <c r="BJ77" t="str">
        <f>IFERROR(('Fat Spreads'!W77-(AVERAGE('Fat Spreads'!W77:W96)-2*STDEV('Fat Spreads'!W77:W96)))/(4*STDEV('Fat Spreads'!W77:W96)),"")</f>
        <v/>
      </c>
      <c r="BK77" t="str">
        <f>IFERROR(4*STDEV('Fat Spreads'!W77:W96)/AVERAGE('Fat Spreads'!W77:W96),"")</f>
        <v/>
      </c>
      <c r="BL77">
        <v>69.796300000000002</v>
      </c>
      <c r="BM77">
        <f>IFERROR(SQRT((SUMSQ('Fat Spreads'!W77:W96)-2*SUMPRODUCT('Fat Spreads'!W77:W96,'Fat Spreads'!W78:W97)+SUMSQ('Fat Spreads'!W78:W97)-('Fat Spreads'!W77-'Fat Spreads'!W97)^2/20)/19),"")</f>
        <v>0</v>
      </c>
      <c r="BO77">
        <f>IFERROR('Fat Spreads'!AC77,"")</f>
        <v>0</v>
      </c>
      <c r="BP77">
        <f>IFERROR(('Fat Spreads'!AD77-AVERAGE('Fat Spreads'!$AD$3:$AD$4308))/STDEV('Fat Spreads'!$AD$3:$AD$4308),"")</f>
        <v>-9.2057461789832332E-2</v>
      </c>
      <c r="BQ77">
        <f>IFERROR('Fat Spreads'!AD77-'Fat Spreads'!AD82,"")</f>
        <v>0</v>
      </c>
      <c r="BR77">
        <f>IFERROR('Fat Spreads'!AD77-'Fat Spreads'!AD87,"")</f>
        <v>0</v>
      </c>
      <c r="BS77">
        <f>IFERROR(AVERAGE('Fat Spreads'!AD77:AD96)+2*STDEV('Fat Spreads'!AD77:AD96),"")</f>
        <v>0</v>
      </c>
      <c r="BT77">
        <f>IFERROR(AVERAGE('Fat Spreads'!AD77:AD96)-2*STDEV('Fat Spreads'!AD77:AD96),"")</f>
        <v>0</v>
      </c>
      <c r="BU77" t="str">
        <f>IFERROR(('Fat Spreads'!AD77-(AVERAGE('Fat Spreads'!AD77:AD96)-2*STDEV('Fat Spreads'!AD77:AD96)))/(4*STDEV('Fat Spreads'!AD77:AD96)),"")</f>
        <v/>
      </c>
      <c r="BV77" t="str">
        <f>IFERROR(4*STDEV('Fat Spreads'!AD77:AD96)/AVERAGE('Fat Spreads'!AD77:AD96),"")</f>
        <v/>
      </c>
      <c r="BW77">
        <v>48.302100000000003</v>
      </c>
      <c r="BX77">
        <f>IFERROR(SQRT((SUMSQ('Fat Spreads'!AD77:AD96)-2*SUMPRODUCT('Fat Spreads'!AD77:AD96,'Fat Spreads'!AD78:AD97)+SUMSQ('Fat Spreads'!AD78:AD97)-('Fat Spreads'!AD77-'Fat Spreads'!AD97)^2/20)/19),"")</f>
        <v>0</v>
      </c>
      <c r="BZ77">
        <f>IFERROR('Feeder Spreads'!A77,"")</f>
        <v>0</v>
      </c>
      <c r="CA77">
        <f>IFERROR(('Feeder Spreads'!B77-AVERAGE('Feeder Spreads'!$B$3:$B$4308))/STDEV('Feeder Spreads'!$B$3:$B$4308),"")</f>
        <v>-9.2057461789832346E-2</v>
      </c>
      <c r="CB77">
        <f>IFERROR('Feeder Spreads'!B77-'Feeder Spreads'!B82,"")</f>
        <v>0</v>
      </c>
      <c r="CC77">
        <f>IFERROR('Feeder Spreads'!B77-'Feeder Spreads'!B87,"")</f>
        <v>0</v>
      </c>
      <c r="CD77">
        <f>IFERROR(AVERAGE('Feeder Spreads'!B77:B96)+2*STDEV('Feeder Spreads'!B77:B96),"")</f>
        <v>0</v>
      </c>
      <c r="CE77">
        <f>IFERROR(AVERAGE('Feeder Spreads'!B77:B96)-2*STDEV('Feeder Spreads'!B77:B96),"")</f>
        <v>0</v>
      </c>
      <c r="CF77" t="str">
        <f>IFERROR(('Feeder Spreads'!B77-(AVERAGE('Feeder Spreads'!B77:B96)-2*STDEV('Feeder Spreads'!B77:B96)))/(4*STDEV('Feeder Spreads'!B77:B96)),"")</f>
        <v/>
      </c>
      <c r="CG77" t="str">
        <f>IFERROR(4*STDEV('Feeder Spreads'!B77:B96)/AVERAGE('Feeder Spreads'!B77:B96),"")</f>
        <v/>
      </c>
      <c r="CH77">
        <v>43.387</v>
      </c>
      <c r="CI77">
        <f>IFERROR(SQRT((SUMSQ('Feeder Spreads'!B77:B96)-2*SUMPRODUCT('Feeder Spreads'!B77:B96,'Feeder Spreads'!B78:B97)+SUMSQ('Feeder Spreads'!B78:B97)-('Feeder Spreads'!B77-'Feeder Spreads'!B97)^2/20)/19),"")</f>
        <v>0</v>
      </c>
      <c r="CK77">
        <f>IFERROR('Feeder Spreads'!AX77,"")</f>
        <v>0</v>
      </c>
      <c r="CL77">
        <f>IFERROR(('Feeder Spreads'!AY77-AVERAGE('Feeder Spreads'!$AY$3:$AY$4308))/STDEV('Feeder Spreads'!$AY$3:$AY$4308),"")</f>
        <v>-9.2057461789832346E-2</v>
      </c>
      <c r="CM77">
        <f>IFERROR('Feeder Spreads'!AY77-'Feeder Spreads'!AY82,"")</f>
        <v>0</v>
      </c>
      <c r="CN77">
        <f>IFERROR('Feeder Spreads'!AY77-'Feeder Spreads'!AY87,"")</f>
        <v>0</v>
      </c>
      <c r="CO77">
        <f>IFERROR(AVERAGE('Feeder Spreads'!AY77:AY96)+2*STDEV('Feeder Spreads'!AY77:AY96),"")</f>
        <v>0</v>
      </c>
      <c r="CP77">
        <f>IFERROR(AVERAGE('Feeder Spreads'!AY77:AY96)-2*STDEV('Feeder Spreads'!AY77:AY96),"")</f>
        <v>0</v>
      </c>
      <c r="CQ77" t="str">
        <f>IFERROR(('Feeder Spreads'!AY77-(AVERAGE('Feeder Spreads'!AY77:AY96)-2*STDEV('Feeder Spreads'!AY77:AY96)))/(4*STDEV('Feeder Spreads'!AY77:AY96)),"")</f>
        <v/>
      </c>
      <c r="CR77" t="str">
        <f>IFERROR(4*STDEV('Feeder Spreads'!AY77:AY96)/AVERAGE('Feeder Spreads'!AY77:AY96),"")</f>
        <v/>
      </c>
      <c r="CS77">
        <v>34.115699999999997</v>
      </c>
      <c r="CT77">
        <f>IFERROR(SQRT((SUMSQ('Feeder Spreads'!AY77:AY96)-2*SUMPRODUCT('Feeder Spreads'!AY77:AY96,'Feeder Spreads'!AY78:AY97)+SUMSQ('Feeder Spreads'!AY78:AY97)-('Feeder Spreads'!AY77-'Feeder Spreads'!AY97)^2/20)/19),"")</f>
        <v>0</v>
      </c>
      <c r="CV77">
        <f>IFERROR('Feeder Spreads'!H77,"")</f>
        <v>0</v>
      </c>
      <c r="CW77">
        <f>IFERROR(('Feeder Spreads'!I77-AVERAGE('Feeder Spreads'!$I$3:$I$4308))/STDEV('Feeder Spreads'!$I$3:$I$4308),"")</f>
        <v>-9.2057461789832332E-2</v>
      </c>
      <c r="CX77">
        <f>IFERROR('Feeder Spreads'!I77-'Feeder Spreads'!I82,"")</f>
        <v>0</v>
      </c>
      <c r="CY77">
        <f>IFERROR('Feeder Spreads'!I77-'Feeder Spreads'!I87,"")</f>
        <v>0</v>
      </c>
      <c r="CZ77">
        <f>IFERROR(AVERAGE('Feeder Spreads'!I77:I96)+2*STDEV('Feeder Spreads'!I77:I96),"")</f>
        <v>0</v>
      </c>
      <c r="DA77">
        <f>IFERROR(AVERAGE('Feeder Spreads'!I77:I96)-2*STDEV('Feeder Spreads'!I77:I96),"")</f>
        <v>0</v>
      </c>
      <c r="DB77" t="str">
        <f>IFERROR(('Feeder Spreads'!I77-(AVERAGE('Feeder Spreads'!I77:I96)-2*STDEV('Feeder Spreads'!I77:I96)))/(4*STDEV('Feeder Spreads'!I77:I96)),"")</f>
        <v/>
      </c>
      <c r="DC77" t="str">
        <f>IFERROR(4*STDEV('Feeder Spreads'!I77:I96)/AVERAGE('Feeder Spreads'!I77:I96),"")</f>
        <v/>
      </c>
      <c r="DD77">
        <v>61.228499999999997</v>
      </c>
      <c r="DE77">
        <f>IFERROR(SQRT((SUMSQ('Feeder Spreads'!I77:I96)-2*SUMPRODUCT('Feeder Spreads'!I77:I96,'Feeder Spreads'!I78:I97)+SUMSQ('Feeder Spreads'!I78:I97)-('Feeder Spreads'!I77-'Feeder Spreads'!I97)^2/20)/19),"")</f>
        <v>0</v>
      </c>
      <c r="DG77">
        <f>IFERROR('Feeder Spreads'!O77,"")</f>
        <v>0</v>
      </c>
      <c r="DH77">
        <f>IFERROR(('Feeder Spreads'!P77-AVERAGE('Feeder Spreads'!$P$3:$P$4308))/STDEV('Feeder Spreads'!$P$3:$P$4308),"")</f>
        <v>-9.2057461789832346E-2</v>
      </c>
      <c r="DI77">
        <f>IFERROR('Feeder Spreads'!P77-'Feeder Spreads'!P82,"")</f>
        <v>0</v>
      </c>
      <c r="DJ77">
        <f>IFERROR('Feeder Spreads'!P77-'Feeder Spreads'!P87,"")</f>
        <v>0</v>
      </c>
      <c r="DK77">
        <f>IFERROR(AVERAGE('Feeder Spreads'!P77:P96)+2*STDEV('Feeder Spreads'!P77:P96),"")</f>
        <v>0</v>
      </c>
      <c r="DL77">
        <f>IFERROR(AVERAGE('Feeder Spreads'!P77:P96)-2*STDEV('Feeder Spreads'!P77:P96),"")</f>
        <v>0</v>
      </c>
      <c r="DM77" t="str">
        <f>IFERROR(('Feeder Spreads'!P77-(AVERAGE('Feeder Spreads'!P77:P96)-2*STDEV('Feeder Spreads'!P77:P96)))/(4*STDEV('Feeder Spreads'!P77:P96)),"")</f>
        <v/>
      </c>
      <c r="DN77" t="str">
        <f>IFERROR(4*STDEV('Feeder Spreads'!P77:P96)/AVERAGE('Feeder Spreads'!P77:P96),"")</f>
        <v/>
      </c>
      <c r="DO77">
        <v>60.497399999999999</v>
      </c>
      <c r="DP77">
        <f>IFERROR(SQRT((SUMSQ('Feeder Spreads'!P77:P96)-2*SUMPRODUCT('Feeder Spreads'!P77:P96,'Feeder Spreads'!P78:P97)+SUMSQ('Feeder Spreads'!P78:P97)-('Feeder Spreads'!P77-'Feeder Spreads'!P97)^2/20)/19),"")</f>
        <v>0</v>
      </c>
      <c r="DR77">
        <f>IFERROR('Feeder Spreads'!V77,"")</f>
        <v>0</v>
      </c>
      <c r="DS77">
        <f>IFERROR(('Feeder Spreads'!W77-AVERAGE('Feeder Spreads'!$W$3:$W$4308))/STDEV('Feeder Spreads'!$W$3:$W$4308),"")</f>
        <v>-9.2057461789832332E-2</v>
      </c>
      <c r="DT77">
        <f>IFERROR('Feeder Spreads'!W77-'Feeder Spreads'!W82,"")</f>
        <v>0</v>
      </c>
      <c r="DU77">
        <f>IFERROR('Feeder Spreads'!W77-'Feeder Spreads'!W87,"")</f>
        <v>0</v>
      </c>
      <c r="DV77">
        <f>IFERROR(AVERAGE('Feeder Spreads'!W77:W96)+2*STDEV('Feeder Spreads'!W77:W96),"")</f>
        <v>0</v>
      </c>
      <c r="DW77">
        <f>IFERROR(AVERAGE('Feeder Spreads'!W77:W96)-2*STDEV('Feeder Spreads'!W77:W96),"")</f>
        <v>0</v>
      </c>
      <c r="DX77" t="str">
        <f>IFERROR(('Feeder Spreads'!W77-(AVERAGE('Feeder Spreads'!W77:W96)-2*STDEV('Feeder Spreads'!W77:W96)))/(4*STDEV('Feeder Spreads'!W77:W96)),"")</f>
        <v/>
      </c>
      <c r="DY77" t="str">
        <f>IFERROR(4*STDEV('Feeder Spreads'!W77:W96)/AVERAGE('Feeder Spreads'!W77:W96),"")</f>
        <v/>
      </c>
      <c r="DZ77">
        <v>57.620800000000003</v>
      </c>
      <c r="EA77">
        <f>IFERROR(SQRT((SUMSQ('Feeder Spreads'!W77:W96)-2*SUMPRODUCT('Feeder Spreads'!W77:W96,'Feeder Spreads'!W78:W97)+SUMSQ('Feeder Spreads'!W78:W97)-('Feeder Spreads'!W77-'Feeder Spreads'!W97)^2/20)/19),"")</f>
        <v>0</v>
      </c>
      <c r="EC77">
        <f>IFERROR('Feeder Spreads'!AC77,"")</f>
        <v>0</v>
      </c>
      <c r="ED77">
        <f>IFERROR(('Feeder Spreads'!AD77-AVERAGE('Feeder Spreads'!$AD$3:$AD$4308))/STDEV('Feeder Spreads'!$AD$3:$AD$4308),"")</f>
        <v>9.2057461789832318E-2</v>
      </c>
      <c r="EE77">
        <f>IFERROR('Feeder Spreads'!AD77-'Feeder Spreads'!AD82,"")</f>
        <v>0</v>
      </c>
      <c r="EF77">
        <f>IFERROR('Feeder Spreads'!AD77-'Feeder Spreads'!AD87,"")</f>
        <v>0</v>
      </c>
      <c r="EG77">
        <f>IFERROR(AVERAGE('Feeder Spreads'!AD77:AD96)+2*STDEV('Feeder Spreads'!AD77:AD96),"")</f>
        <v>0</v>
      </c>
      <c r="EH77">
        <f>IFERROR(AVERAGE('Feeder Spreads'!AD77:AD96)-2*STDEV('Feeder Spreads'!AD77:AD96),"")</f>
        <v>0</v>
      </c>
      <c r="EI77" t="str">
        <f>IFERROR(('Feeder Spreads'!AD77-(AVERAGE('Feeder Spreads'!AD77:AD96)-2*STDEV('Feeder Spreads'!AD77:AD96)))/(4*STDEV('Feeder Spreads'!AD77:AD96)),"")</f>
        <v/>
      </c>
      <c r="EJ77" t="str">
        <f>IFERROR(4*STDEV('Feeder Spreads'!AD77:AD96)/AVERAGE('Feeder Spreads'!AD77:AD96),"")</f>
        <v/>
      </c>
      <c r="EK77">
        <v>56.592700000000001</v>
      </c>
      <c r="EL77">
        <f>IFERROR(SQRT((SUMSQ('Feeder Spreads'!AD77:AD96)-2*SUMPRODUCT('Feeder Spreads'!AD77:AD96,'Feeder Spreads'!AD78:AD97)+SUMSQ('Feeder Spreads'!AD78:AD97)-('Feeder Spreads'!AD77-'Feeder Spreads'!AD97)^2/20)/19),"")</f>
        <v>0</v>
      </c>
      <c r="EN77">
        <f>IFERROR('Feeder Spreads'!AJ77,"")</f>
        <v>0</v>
      </c>
      <c r="EO77">
        <f>IFERROR(('Feeder Spreads'!AK77-AVERAGE('Feeder Spreads'!$AK$3:$AK$4308))/STDEV('Feeder Spreads'!$AK$3:$AK$4308),"")</f>
        <v>-9.2057461789832346E-2</v>
      </c>
      <c r="EP77">
        <f>IFERROR('Feeder Spreads'!AK77-'Feeder Spreads'!AK82,"")</f>
        <v>0</v>
      </c>
      <c r="EQ77">
        <f>IFERROR('Feeder Spreads'!AK77-'Feeder Spreads'!AK87,"")</f>
        <v>0</v>
      </c>
      <c r="ER77">
        <f>IFERROR(AVERAGE('Feeder Spreads'!AK77:AK96)+2*STDEV('Feeder Spreads'!AK77:AK96),"")</f>
        <v>0</v>
      </c>
      <c r="ES77">
        <f>IFERROR(AVERAGE('Feeder Spreads'!AK77:AK96)-2*STDEV('Feeder Spreads'!AK77:AK96),"")</f>
        <v>0</v>
      </c>
      <c r="ET77" t="str">
        <f>IFERROR(('Feeder Spreads'!AK77-(AVERAGE('Feeder Spreads'!AK77:AK96)-2*STDEV('Feeder Spreads'!AK77:AK96)))/(4*STDEV('Feeder Spreads'!AK77:AK96)),"")</f>
        <v/>
      </c>
      <c r="EU77" t="str">
        <f>IFERROR(4*STDEV('Feeder Spreads'!AK77:AK96)/AVERAGE('Feeder Spreads'!AK77:AK96),"")</f>
        <v/>
      </c>
      <c r="EV77">
        <v>60.029800000000002</v>
      </c>
      <c r="EW77">
        <f>IFERROR(SQRT((SUMSQ('Feeder Spreads'!AK77:AK96)-2*SUMPRODUCT('Feeder Spreads'!AK77:AK96,'Feeder Spreads'!AK78:AK97)+SUMSQ('Feeder Spreads'!AK78:AK97)-('Feeder Spreads'!AK77-'Feeder Spreads'!AK97)^2/20)/19),"")</f>
        <v>0</v>
      </c>
      <c r="EY77">
        <f>IFERROR('Feeder Spreads'!AQ77,"")</f>
        <v>0</v>
      </c>
      <c r="EZ77">
        <f>IFERROR(('Feeder Spreads'!AR77-AVERAGE('Feeder Spreads'!$AR$3:$AR$4308))/STDEV('Feeder Spreads'!$AR$3:$AR$4308),"")</f>
        <v>-9.2057461789832332E-2</v>
      </c>
      <c r="FA77">
        <f>IFERROR('Feeder Spreads'!AR77-'Feeder Spreads'!AR82,"")</f>
        <v>0</v>
      </c>
      <c r="FB77">
        <f>IFERROR('Feeder Spreads'!AR77-'Feeder Spreads'!AR87,"")</f>
        <v>0</v>
      </c>
      <c r="FC77">
        <f>IFERROR(AVERAGE('Feeder Spreads'!AR77:AR96)+2*STDEV('Feeder Spreads'!AR77:AR96),"")</f>
        <v>0</v>
      </c>
      <c r="FD77">
        <f>IFERROR(AVERAGE('Feeder Spreads'!AR77:AR96)-2*STDEV('Feeder Spreads'!AR77:AR96),"")</f>
        <v>0</v>
      </c>
      <c r="FE77" t="str">
        <f>IFERROR(('Feeder Spreads'!AR77-(AVERAGE('Feeder Spreads'!AR77:AR96)-2*STDEV('Feeder Spreads'!AR77:AR96)))/(4*STDEV('Feeder Spreads'!AR77:AR96)),"")</f>
        <v/>
      </c>
      <c r="FF77" t="str">
        <f>IFERROR(4*STDEV('Feeder Spreads'!AR77:AR96)/AVERAGE('Feeder Spreads'!AR77:AR96),"")</f>
        <v/>
      </c>
      <c r="FG77">
        <v>60.210599999999999</v>
      </c>
      <c r="FH77">
        <f>IFERROR(SQRT((SUMSQ('Feeder Spreads'!AR77:AR96)-2*SUMPRODUCT('Feeder Spreads'!AR77:AR96,'Feeder Spreads'!AR78:AR97)+SUMSQ('Feeder Spreads'!AR78:AR97)-('Feeder Spreads'!AR77-'Feeder Spreads'!AR97)^2/20)/19),"")</f>
        <v>0</v>
      </c>
      <c r="FJ77">
        <f>IFERROR('Fat Spreads'!AX77,"")</f>
        <v>0</v>
      </c>
      <c r="FK77">
        <f>IFERROR(('Fat Spreads'!AY77-AVERAGE('Fat Spreads'!$AY$3:$AY$4308))/STDEV('Fat Spreads'!$AY$3:$AY$4308),"")</f>
        <v>9.2057461789832332E-2</v>
      </c>
      <c r="FL77">
        <f>IFERROR('Fat Spreads'!AY77-'Fat Spreads'!AY82,"")</f>
        <v>0</v>
      </c>
      <c r="FM77">
        <f>IFERROR('Fat Spreads'!AY77-'Fat Spreads'!AY87,"")</f>
        <v>0</v>
      </c>
      <c r="FN77">
        <f>IFERROR(AVERAGE('Fat Spreads'!AY77:AY96)+2*STDEV('Fat Spreads'!AY77:AY96),"")</f>
        <v>0</v>
      </c>
      <c r="FO77">
        <f>IFERROR(AVERAGE('Fat Spreads'!AY77:AY96)-2*STDEV('Fat Spreads'!AY77:AY96),"")</f>
        <v>0</v>
      </c>
      <c r="FP77" t="str">
        <f>IFERROR(('Fat Spreads'!AY77-(AVERAGE('Fat Spreads'!AY77:AY96)-2*STDEV('Fat Spreads'!AY77:AY96)))/(4*STDEV('Fat Spreads'!AY77:AY96)),"")</f>
        <v/>
      </c>
      <c r="FQ77" t="str">
        <f>IFERROR(4*STDEV('Fat Spreads'!AY77:AY96)/AVERAGE('Fat Spreads'!AY77:AY96),"")</f>
        <v/>
      </c>
      <c r="FR77">
        <v>33.747300000000003</v>
      </c>
      <c r="FS77">
        <f>IFERROR(SQRT((SUMSQ('Fat Spreads'!AY77:AY96)-2*SUMPRODUCT('Fat Spreads'!AY77:AY96,'Fat Spreads'!AY78:AY97)+SUMSQ('Fat Spreads'!AY78:AY97)-('Fat Spreads'!AY77-'Fat Spreads'!AY97)^2/20)/19),"")</f>
        <v>0</v>
      </c>
      <c r="FU77">
        <f>IFERROR('Fat Spreads'!BE77,"")</f>
        <v>0</v>
      </c>
      <c r="FV77">
        <f>IFERROR(('Fat Spreads'!BF77-AVERAGE('Fat Spreads'!$BF$3:$BF$4308))/STDEV('Fat Spreads'!$BF$3:$BF$4308),"")</f>
        <v>9.2057461789832332E-2</v>
      </c>
      <c r="FW77">
        <f>IFERROR('Fat Spreads'!BF77-'Fat Spreads'!BF82,"")</f>
        <v>0</v>
      </c>
      <c r="FX77">
        <f>IFERROR('Fat Spreads'!BF77-'Fat Spreads'!BF87,"")</f>
        <v>0</v>
      </c>
      <c r="FY77">
        <f>IFERROR(AVERAGE('Fat Spreads'!BF77:BF96)+2*STDEV('Fat Spreads'!BF77:BF96),"")</f>
        <v>0</v>
      </c>
      <c r="FZ77">
        <f>IFERROR(AVERAGE('Fat Spreads'!BF77:BF96)-2*STDEV('Fat Spreads'!BF77:BF96),"")</f>
        <v>0</v>
      </c>
      <c r="GA77" t="str">
        <f>IFERROR(('Fat Spreads'!BF77-(AVERAGE('Fat Spreads'!BF77:BF96)-2*STDEV('Fat Spreads'!BF77:BF96)))/(4*STDEV('Fat Spreads'!BF77:BF96)),"")</f>
        <v/>
      </c>
      <c r="GB77" t="str">
        <f>IFERROR(4*STDEV('Fat Spreads'!BF77:BF96)/AVERAGE('Fat Spreads'!BF77:BF96),"")</f>
        <v/>
      </c>
      <c r="GC77">
        <v>31.197099999999999</v>
      </c>
      <c r="GD77">
        <f>IFERROR(SQRT((SUMSQ('Fat Spreads'!BF77:BF96)-2*SUMPRODUCT('Fat Spreads'!BF77:BF96,'Fat Spreads'!BF78:BF97)+SUMSQ('Fat Spreads'!BF78:BF97)-('Fat Spreads'!BF77-'Fat Spreads'!BF97)^2/20)/19),"")</f>
        <v>0</v>
      </c>
    </row>
    <row r="78" spans="1:186" x14ac:dyDescent="0.25">
      <c r="A78">
        <f>IFERROR('Fat Spreads'!A78,"")</f>
        <v>0</v>
      </c>
      <c r="B78">
        <f>IFERROR(('Fat Spreads'!B78-AVERAGE('Fat Spreads'!$B$3:$B$4308))/STDEV('Fat Spreads'!$B$3:$B$4308),"")</f>
        <v>9.2057461789832346E-2</v>
      </c>
      <c r="C78">
        <f>IFERROR('Fat Spreads'!B78-'Fat Spreads'!B83,"")</f>
        <v>0</v>
      </c>
      <c r="D78">
        <f>IFERROR('Fat Spreads'!B78-'Fat Spreads'!B88,"")</f>
        <v>0</v>
      </c>
      <c r="E78">
        <f>IFERROR(AVERAGE('Fat Spreads'!B78:B97)+2*STDEV('Fat Spreads'!B78:B97),"")</f>
        <v>0</v>
      </c>
      <c r="F78">
        <f>IFERROR(AVERAGE('Fat Spreads'!B78:B97)-2*STDEV('Fat Spreads'!B78:B97),"")</f>
        <v>0</v>
      </c>
      <c r="G78" t="str">
        <f>IFERROR(('Fat Spreads'!B78-(AVERAGE('Fat Spreads'!B78:B97)-2*STDEV('Fat Spreads'!B78:B97)))/(4*STDEV('Fat Spreads'!B78:B97)),"")</f>
        <v/>
      </c>
      <c r="H78" t="str">
        <f>IFERROR(4*STDEV('Fat Spreads'!B78:B97)/AVERAGE('Fat Spreads'!B78:B97),"")</f>
        <v/>
      </c>
      <c r="I78">
        <v>33.694299999999998</v>
      </c>
      <c r="J78">
        <f>IFERROR(SQRT((SUMSQ('Fat Spreads'!B78:B97)-2*SUMPRODUCT('Fat Spreads'!B78:B97,'Fat Spreads'!B79:B98)+SUMSQ('Fat Spreads'!B79:B98)-('Fat Spreads'!B78-'Fat Spreads'!B98)^2/20)/19),"")</f>
        <v>0</v>
      </c>
      <c r="L78">
        <f>IFERROR('Fat Spreads'!H78,"")</f>
        <v>0</v>
      </c>
      <c r="M78">
        <f>IFERROR(('Fat Spreads'!I78-AVERAGE('Fat Spreads'!$I$3:$I$4308))/STDEV('Fat Spreads'!$I$3:$I$4308),"")</f>
        <v>-9.2057461789832332E-2</v>
      </c>
      <c r="N78">
        <f>IFERROR('Fat Spreads'!I78-'Fat Spreads'!I83,"")</f>
        <v>0</v>
      </c>
      <c r="O78">
        <f>IFERROR('Fat Spreads'!I78-'Fat Spreads'!I88,"")</f>
        <v>0</v>
      </c>
      <c r="P78">
        <f>IFERROR(AVERAGE('Fat Spreads'!I78:I97)+2*STDEV('Fat Spreads'!I78:I97),"")</f>
        <v>0</v>
      </c>
      <c r="Q78">
        <f>IFERROR(AVERAGE('Fat Spreads'!I78:I97)-2*STDEV('Fat Spreads'!I78:I97),"")</f>
        <v>0</v>
      </c>
      <c r="R78" t="str">
        <f>IFERROR(('Fat Spreads'!I78-(AVERAGE('Fat Spreads'!I78:I97)-2*STDEV('Fat Spreads'!I78:I97)))/(4*STDEV('Fat Spreads'!I78:I97)),"")</f>
        <v/>
      </c>
      <c r="S78" t="str">
        <f>IFERROR(4*STDEV('Fat Spreads'!I78:I97)/AVERAGE('Fat Spreads'!I78:I97),"")</f>
        <v/>
      </c>
      <c r="T78">
        <v>38.064799999999998</v>
      </c>
      <c r="U78">
        <f>IFERROR(SQRT((SUMSQ('Fat Spreads'!I78:I97)-2*SUMPRODUCT('Fat Spreads'!I78:I97,'Fat Spreads'!I79:I98)+SUMSQ('Fat Spreads'!I79:I98)-('Fat Spreads'!I78-'Fat Spreads'!I98)^2/20)/19),"")</f>
        <v>0</v>
      </c>
      <c r="W78">
        <f>IFERROR('Fat Spreads'!AQ78,"")</f>
        <v>0</v>
      </c>
      <c r="X78">
        <f>IFERROR(('Fat Spreads'!AR78-AVERAGE('Fat Spreads'!$AR$3:$AR$4308))/STDEV('Fat Spreads'!$AR$3:$AR$4308),"")</f>
        <v>-9.2057461789832346E-2</v>
      </c>
      <c r="Y78">
        <f>IFERROR('Fat Spreads'!AR78-'Fat Spreads'!AR83,"")</f>
        <v>0</v>
      </c>
      <c r="Z78">
        <f>IFERROR('Fat Spreads'!AR78-'Fat Spreads'!AR88,"")</f>
        <v>0</v>
      </c>
      <c r="AA78">
        <f>IFERROR(AVERAGE('Fat Spreads'!AR78:AR97)+2*STDEV('Fat Spreads'!AR78:AR97),"")</f>
        <v>0</v>
      </c>
      <c r="AB78">
        <f>IFERROR(AVERAGE('Fat Spreads'!AR78:AR97)-2*STDEV('Fat Spreads'!AR78:AR97),"")</f>
        <v>0</v>
      </c>
      <c r="AC78" t="str">
        <f>IFERROR(('Fat Spreads'!AR78-(AVERAGE('Fat Spreads'!AR78:AR97)-2*STDEV('Fat Spreads'!AR78:AR97)))/(4*STDEV('Fat Spreads'!AR78:AR97)),"")</f>
        <v/>
      </c>
      <c r="AD78" t="str">
        <f>IFERROR(4*STDEV('Fat Spreads'!AR78:AR97)/AVERAGE('Fat Spreads'!AR78:AR97),"")</f>
        <v/>
      </c>
      <c r="AE78">
        <v>70.547899999999998</v>
      </c>
      <c r="AF78">
        <f>IFERROR(SQRT((SUMSQ('Fat Spreads'!AR78:AR97)-2*SUMPRODUCT('Fat Spreads'!AR78:AR97,'Fat Spreads'!AR79:AR98)+SUMSQ('Fat Spreads'!AR79:AR98)-('Fat Spreads'!AR78-'Fat Spreads'!AR98)^2/20)/19),"")</f>
        <v>0</v>
      </c>
      <c r="AH78">
        <f>IFERROR('Fat Spreads'!O78,"")</f>
        <v>0</v>
      </c>
      <c r="AI78">
        <f>IFERROR(('Fat Spreads'!P78-AVERAGE('Fat Spreads'!$P$3:$P$4308))/STDEV('Fat Spreads'!$P$3:$P$4308),"")</f>
        <v>-9.2057461789832332E-2</v>
      </c>
      <c r="AJ78">
        <f>IFERROR('Fat Spreads'!P78-'Fat Spreads'!P83,"")</f>
        <v>0</v>
      </c>
      <c r="AK78">
        <f>IFERROR('Fat Spreads'!P78-'Fat Spreads'!P88,"")</f>
        <v>0</v>
      </c>
      <c r="AL78">
        <f>IFERROR(AVERAGE('Fat Spreads'!P78:P97)+2*STDEV('Fat Spreads'!P78:P97),"")</f>
        <v>0</v>
      </c>
      <c r="AM78">
        <f>IFERROR(AVERAGE('Fat Spreads'!P78:P97)-2*STDEV('Fat Spreads'!P78:P97),"")</f>
        <v>0</v>
      </c>
      <c r="AN78" t="str">
        <f>IFERROR(('Fat Spreads'!P78-(AVERAGE('Fat Spreads'!P78:P97)-2*STDEV('Fat Spreads'!P78:P97)))/(4*STDEV('Fat Spreads'!P78:P97)),"")</f>
        <v/>
      </c>
      <c r="AO78" t="str">
        <f>IFERROR(4*STDEV('Fat Spreads'!P78:P97)/AVERAGE('Fat Spreads'!P78:P97),"")</f>
        <v/>
      </c>
      <c r="AP78">
        <v>50.136200000000002</v>
      </c>
      <c r="AQ78">
        <f>IFERROR(SQRT((SUMSQ('Fat Spreads'!P78:P97)-2*SUMPRODUCT('Fat Spreads'!P78:P97,'Fat Spreads'!P79:P98)+SUMSQ('Fat Spreads'!P79:P98)-('Fat Spreads'!P78-'Fat Spreads'!P98)^2/20)/19),"")</f>
        <v>0</v>
      </c>
      <c r="AS78">
        <f>IFERROR('Fat Spreads'!AJ78,"")</f>
        <v>0</v>
      </c>
      <c r="AT78">
        <f>IFERROR(('Fat Spreads'!AK78-AVERAGE('Fat Spreads'!$AK$3:$AK$4308))/STDEV('Fat Spreads'!$AK$3:$AK$4308),"")</f>
        <v>-9.2057461789832332E-2</v>
      </c>
      <c r="AU78">
        <f>IFERROR('Fat Spreads'!AK78-'Fat Spreads'!AK83,"")</f>
        <v>0</v>
      </c>
      <c r="AV78">
        <f>IFERROR('Fat Spreads'!AK78-'Fat Spreads'!AK88,"")</f>
        <v>0</v>
      </c>
      <c r="AW78">
        <f>IFERROR(AVERAGE('Fat Spreads'!AK78:AK97)+2*STDEV('Fat Spreads'!AK78:AK97),"")</f>
        <v>0</v>
      </c>
      <c r="AX78">
        <f>IFERROR(AVERAGE('Fat Spreads'!AK78:AK97)-2*STDEV('Fat Spreads'!AK78:AK97),"")</f>
        <v>0</v>
      </c>
      <c r="AY78" t="str">
        <f>IFERROR(('Fat Spreads'!AK78-(AVERAGE('Fat Spreads'!AK78:AK97)-2*STDEV('Fat Spreads'!AK78:AK97)))/(4*STDEV('Fat Spreads'!AK78:AK97)),"")</f>
        <v/>
      </c>
      <c r="AZ78" t="str">
        <f>IFERROR(4*STDEV('Fat Spreads'!AK78:AK97)/AVERAGE('Fat Spreads'!AK78:AK97),"")</f>
        <v/>
      </c>
      <c r="BA78">
        <v>29.507000000000001</v>
      </c>
      <c r="BB78">
        <f>IFERROR(SQRT((SUMSQ('Fat Spreads'!AK78:AK97)-2*SUMPRODUCT('Fat Spreads'!AK78:AK97,'Fat Spreads'!AK79:AK98)+SUMSQ('Fat Spreads'!AK79:AK98)-('Fat Spreads'!AK78-'Fat Spreads'!AK98)^2/20)/19),"")</f>
        <v>0</v>
      </c>
      <c r="BD78">
        <f>IFERROR('Fat Spreads'!V78,"")</f>
        <v>0</v>
      </c>
      <c r="BE78">
        <f>IFERROR(('Fat Spreads'!W78-AVERAGE('Fat Spreads'!$W$3:$W$4308))/STDEV('Fat Spreads'!$W$3:$W$4308),"")</f>
        <v>-9.2057461789832332E-2</v>
      </c>
      <c r="BF78">
        <f>IFERROR('Fat Spreads'!W78-'Fat Spreads'!W83,"")</f>
        <v>0</v>
      </c>
      <c r="BG78">
        <f>IFERROR('Fat Spreads'!W78-'Fat Spreads'!W88,"")</f>
        <v>0</v>
      </c>
      <c r="BH78">
        <f>IFERROR(AVERAGE('Fat Spreads'!W78:W97)+2*STDEV('Fat Spreads'!W78:W97),"")</f>
        <v>0</v>
      </c>
      <c r="BI78">
        <f>IFERROR(AVERAGE('Fat Spreads'!W78:W97)-2*STDEV('Fat Spreads'!W78:W97),"")</f>
        <v>0</v>
      </c>
      <c r="BJ78" t="str">
        <f>IFERROR(('Fat Spreads'!W78-(AVERAGE('Fat Spreads'!W78:W97)-2*STDEV('Fat Spreads'!W78:W97)))/(4*STDEV('Fat Spreads'!W78:W97)),"")</f>
        <v/>
      </c>
      <c r="BK78" t="str">
        <f>IFERROR(4*STDEV('Fat Spreads'!W78:W97)/AVERAGE('Fat Spreads'!W78:W97),"")</f>
        <v/>
      </c>
      <c r="BL78">
        <v>71.249700000000004</v>
      </c>
      <c r="BM78">
        <f>IFERROR(SQRT((SUMSQ('Fat Spreads'!W78:W97)-2*SUMPRODUCT('Fat Spreads'!W78:W97,'Fat Spreads'!W79:W98)+SUMSQ('Fat Spreads'!W79:W98)-('Fat Spreads'!W78-'Fat Spreads'!W98)^2/20)/19),"")</f>
        <v>0</v>
      </c>
      <c r="BO78">
        <f>IFERROR('Fat Spreads'!AC78,"")</f>
        <v>0</v>
      </c>
      <c r="BP78">
        <f>IFERROR(('Fat Spreads'!AD78-AVERAGE('Fat Spreads'!$AD$3:$AD$4308))/STDEV('Fat Spreads'!$AD$3:$AD$4308),"")</f>
        <v>-9.2057461789832332E-2</v>
      </c>
      <c r="BQ78">
        <f>IFERROR('Fat Spreads'!AD78-'Fat Spreads'!AD83,"")</f>
        <v>0</v>
      </c>
      <c r="BR78">
        <f>IFERROR('Fat Spreads'!AD78-'Fat Spreads'!AD88,"")</f>
        <v>0</v>
      </c>
      <c r="BS78">
        <f>IFERROR(AVERAGE('Fat Spreads'!AD78:AD97)+2*STDEV('Fat Spreads'!AD78:AD97),"")</f>
        <v>0</v>
      </c>
      <c r="BT78">
        <f>IFERROR(AVERAGE('Fat Spreads'!AD78:AD97)-2*STDEV('Fat Spreads'!AD78:AD97),"")</f>
        <v>0</v>
      </c>
      <c r="BU78" t="str">
        <f>IFERROR(('Fat Spreads'!AD78-(AVERAGE('Fat Spreads'!AD78:AD97)-2*STDEV('Fat Spreads'!AD78:AD97)))/(4*STDEV('Fat Spreads'!AD78:AD97)),"")</f>
        <v/>
      </c>
      <c r="BV78" t="str">
        <f>IFERROR(4*STDEV('Fat Spreads'!AD78:AD97)/AVERAGE('Fat Spreads'!AD78:AD97),"")</f>
        <v/>
      </c>
      <c r="BW78">
        <v>46.095399999999998</v>
      </c>
      <c r="BX78">
        <f>IFERROR(SQRT((SUMSQ('Fat Spreads'!AD78:AD97)-2*SUMPRODUCT('Fat Spreads'!AD78:AD97,'Fat Spreads'!AD79:AD98)+SUMSQ('Fat Spreads'!AD79:AD98)-('Fat Spreads'!AD78-'Fat Spreads'!AD98)^2/20)/19),"")</f>
        <v>0</v>
      </c>
      <c r="BZ78">
        <f>IFERROR('Feeder Spreads'!A78,"")</f>
        <v>0</v>
      </c>
      <c r="CA78">
        <f>IFERROR(('Feeder Spreads'!B78-AVERAGE('Feeder Spreads'!$B$3:$B$4308))/STDEV('Feeder Spreads'!$B$3:$B$4308),"")</f>
        <v>-9.2057461789832346E-2</v>
      </c>
      <c r="CB78">
        <f>IFERROR('Feeder Spreads'!B78-'Feeder Spreads'!B83,"")</f>
        <v>0</v>
      </c>
      <c r="CC78">
        <f>IFERROR('Feeder Spreads'!B78-'Feeder Spreads'!B88,"")</f>
        <v>0</v>
      </c>
      <c r="CD78">
        <f>IFERROR(AVERAGE('Feeder Spreads'!B78:B97)+2*STDEV('Feeder Spreads'!B78:B97),"")</f>
        <v>0</v>
      </c>
      <c r="CE78">
        <f>IFERROR(AVERAGE('Feeder Spreads'!B78:B97)-2*STDEV('Feeder Spreads'!B78:B97),"")</f>
        <v>0</v>
      </c>
      <c r="CF78" t="str">
        <f>IFERROR(('Feeder Spreads'!B78-(AVERAGE('Feeder Spreads'!B78:B97)-2*STDEV('Feeder Spreads'!B78:B97)))/(4*STDEV('Feeder Spreads'!B78:B97)),"")</f>
        <v/>
      </c>
      <c r="CG78" t="str">
        <f>IFERROR(4*STDEV('Feeder Spreads'!B78:B97)/AVERAGE('Feeder Spreads'!B78:B97),"")</f>
        <v/>
      </c>
      <c r="CH78">
        <v>52.096600000000002</v>
      </c>
      <c r="CI78">
        <f>IFERROR(SQRT((SUMSQ('Feeder Spreads'!B78:B97)-2*SUMPRODUCT('Feeder Spreads'!B78:B97,'Feeder Spreads'!B79:B98)+SUMSQ('Feeder Spreads'!B79:B98)-('Feeder Spreads'!B78-'Feeder Spreads'!B98)^2/20)/19),"")</f>
        <v>0</v>
      </c>
      <c r="CK78">
        <f>IFERROR('Feeder Spreads'!AX78,"")</f>
        <v>0</v>
      </c>
      <c r="CL78">
        <f>IFERROR(('Feeder Spreads'!AY78-AVERAGE('Feeder Spreads'!$AY$3:$AY$4308))/STDEV('Feeder Spreads'!$AY$3:$AY$4308),"")</f>
        <v>-9.2057461789832346E-2</v>
      </c>
      <c r="CM78">
        <f>IFERROR('Feeder Spreads'!AY78-'Feeder Spreads'!AY83,"")</f>
        <v>0</v>
      </c>
      <c r="CN78">
        <f>IFERROR('Feeder Spreads'!AY78-'Feeder Spreads'!AY88,"")</f>
        <v>0</v>
      </c>
      <c r="CO78">
        <f>IFERROR(AVERAGE('Feeder Spreads'!AY78:AY97)+2*STDEV('Feeder Spreads'!AY78:AY97),"")</f>
        <v>0</v>
      </c>
      <c r="CP78">
        <f>IFERROR(AVERAGE('Feeder Spreads'!AY78:AY97)-2*STDEV('Feeder Spreads'!AY78:AY97),"")</f>
        <v>0</v>
      </c>
      <c r="CQ78" t="str">
        <f>IFERROR(('Feeder Spreads'!AY78-(AVERAGE('Feeder Spreads'!AY78:AY97)-2*STDEV('Feeder Spreads'!AY78:AY97)))/(4*STDEV('Feeder Spreads'!AY78:AY97)),"")</f>
        <v/>
      </c>
      <c r="CR78" t="str">
        <f>IFERROR(4*STDEV('Feeder Spreads'!AY78:AY97)/AVERAGE('Feeder Spreads'!AY78:AY97),"")</f>
        <v/>
      </c>
      <c r="CS78">
        <v>34.807000000000002</v>
      </c>
      <c r="CT78">
        <f>IFERROR(SQRT((SUMSQ('Feeder Spreads'!AY78:AY97)-2*SUMPRODUCT('Feeder Spreads'!AY78:AY97,'Feeder Spreads'!AY79:AY98)+SUMSQ('Feeder Spreads'!AY79:AY98)-('Feeder Spreads'!AY78-'Feeder Spreads'!AY98)^2/20)/19),"")</f>
        <v>0</v>
      </c>
      <c r="CV78">
        <f>IFERROR('Feeder Spreads'!H78,"")</f>
        <v>0</v>
      </c>
      <c r="CW78">
        <f>IFERROR(('Feeder Spreads'!I78-AVERAGE('Feeder Spreads'!$I$3:$I$4308))/STDEV('Feeder Spreads'!$I$3:$I$4308),"")</f>
        <v>-9.2057461789832332E-2</v>
      </c>
      <c r="CX78">
        <f>IFERROR('Feeder Spreads'!I78-'Feeder Spreads'!I83,"")</f>
        <v>0</v>
      </c>
      <c r="CY78">
        <f>IFERROR('Feeder Spreads'!I78-'Feeder Spreads'!I88,"")</f>
        <v>0</v>
      </c>
      <c r="CZ78">
        <f>IFERROR(AVERAGE('Feeder Spreads'!I78:I97)+2*STDEV('Feeder Spreads'!I78:I97),"")</f>
        <v>0</v>
      </c>
      <c r="DA78">
        <f>IFERROR(AVERAGE('Feeder Spreads'!I78:I97)-2*STDEV('Feeder Spreads'!I78:I97),"")</f>
        <v>0</v>
      </c>
      <c r="DB78" t="str">
        <f>IFERROR(('Feeder Spreads'!I78-(AVERAGE('Feeder Spreads'!I78:I97)-2*STDEV('Feeder Spreads'!I78:I97)))/(4*STDEV('Feeder Spreads'!I78:I97)),"")</f>
        <v/>
      </c>
      <c r="DC78" t="str">
        <f>IFERROR(4*STDEV('Feeder Spreads'!I78:I97)/AVERAGE('Feeder Spreads'!I78:I97),"")</f>
        <v/>
      </c>
      <c r="DD78">
        <v>69.966899999999995</v>
      </c>
      <c r="DE78">
        <f>IFERROR(SQRT((SUMSQ('Feeder Spreads'!I78:I97)-2*SUMPRODUCT('Feeder Spreads'!I78:I97,'Feeder Spreads'!I79:I98)+SUMSQ('Feeder Spreads'!I79:I98)-('Feeder Spreads'!I78-'Feeder Spreads'!I98)^2/20)/19),"")</f>
        <v>0</v>
      </c>
      <c r="DG78">
        <f>IFERROR('Feeder Spreads'!O78,"")</f>
        <v>0</v>
      </c>
      <c r="DH78">
        <f>IFERROR(('Feeder Spreads'!P78-AVERAGE('Feeder Spreads'!$P$3:$P$4308))/STDEV('Feeder Spreads'!$P$3:$P$4308),"")</f>
        <v>-9.2057461789832346E-2</v>
      </c>
      <c r="DI78">
        <f>IFERROR('Feeder Spreads'!P78-'Feeder Spreads'!P83,"")</f>
        <v>0</v>
      </c>
      <c r="DJ78">
        <f>IFERROR('Feeder Spreads'!P78-'Feeder Spreads'!P88,"")</f>
        <v>0</v>
      </c>
      <c r="DK78">
        <f>IFERROR(AVERAGE('Feeder Spreads'!P78:P97)+2*STDEV('Feeder Spreads'!P78:P97),"")</f>
        <v>0</v>
      </c>
      <c r="DL78">
        <f>IFERROR(AVERAGE('Feeder Spreads'!P78:P97)-2*STDEV('Feeder Spreads'!P78:P97),"")</f>
        <v>0</v>
      </c>
      <c r="DM78" t="str">
        <f>IFERROR(('Feeder Spreads'!P78-(AVERAGE('Feeder Spreads'!P78:P97)-2*STDEV('Feeder Spreads'!P78:P97)))/(4*STDEV('Feeder Spreads'!P78:P97)),"")</f>
        <v/>
      </c>
      <c r="DN78" t="str">
        <f>IFERROR(4*STDEV('Feeder Spreads'!P78:P97)/AVERAGE('Feeder Spreads'!P78:P97),"")</f>
        <v/>
      </c>
      <c r="DO78">
        <v>60.869900000000001</v>
      </c>
      <c r="DP78">
        <f>IFERROR(SQRT((SUMSQ('Feeder Spreads'!P78:P97)-2*SUMPRODUCT('Feeder Spreads'!P78:P97,'Feeder Spreads'!P79:P98)+SUMSQ('Feeder Spreads'!P79:P98)-('Feeder Spreads'!P78-'Feeder Spreads'!P98)^2/20)/19),"")</f>
        <v>0</v>
      </c>
      <c r="DR78">
        <f>IFERROR('Feeder Spreads'!V78,"")</f>
        <v>0</v>
      </c>
      <c r="DS78">
        <f>IFERROR(('Feeder Spreads'!W78-AVERAGE('Feeder Spreads'!$W$3:$W$4308))/STDEV('Feeder Spreads'!$W$3:$W$4308),"")</f>
        <v>-9.2057461789832332E-2</v>
      </c>
      <c r="DT78">
        <f>IFERROR('Feeder Spreads'!W78-'Feeder Spreads'!W83,"")</f>
        <v>0</v>
      </c>
      <c r="DU78">
        <f>IFERROR('Feeder Spreads'!W78-'Feeder Spreads'!W88,"")</f>
        <v>0</v>
      </c>
      <c r="DV78">
        <f>IFERROR(AVERAGE('Feeder Spreads'!W78:W97)+2*STDEV('Feeder Spreads'!W78:W97),"")</f>
        <v>0</v>
      </c>
      <c r="DW78">
        <f>IFERROR(AVERAGE('Feeder Spreads'!W78:W97)-2*STDEV('Feeder Spreads'!W78:W97),"")</f>
        <v>0</v>
      </c>
      <c r="DX78" t="str">
        <f>IFERROR(('Feeder Spreads'!W78-(AVERAGE('Feeder Spreads'!W78:W97)-2*STDEV('Feeder Spreads'!W78:W97)))/(4*STDEV('Feeder Spreads'!W78:W97)),"")</f>
        <v/>
      </c>
      <c r="DY78" t="str">
        <f>IFERROR(4*STDEV('Feeder Spreads'!W78:W97)/AVERAGE('Feeder Spreads'!W78:W97),"")</f>
        <v/>
      </c>
      <c r="DZ78">
        <v>55.766300000000001</v>
      </c>
      <c r="EA78">
        <f>IFERROR(SQRT((SUMSQ('Feeder Spreads'!W78:W97)-2*SUMPRODUCT('Feeder Spreads'!W78:W97,'Feeder Spreads'!W79:W98)+SUMSQ('Feeder Spreads'!W79:W98)-('Feeder Spreads'!W78-'Feeder Spreads'!W98)^2/20)/19),"")</f>
        <v>0</v>
      </c>
      <c r="EC78">
        <f>IFERROR('Feeder Spreads'!AC78,"")</f>
        <v>0</v>
      </c>
      <c r="ED78">
        <f>IFERROR(('Feeder Spreads'!AD78-AVERAGE('Feeder Spreads'!$AD$3:$AD$4308))/STDEV('Feeder Spreads'!$AD$3:$AD$4308),"")</f>
        <v>9.2057461789832318E-2</v>
      </c>
      <c r="EE78">
        <f>IFERROR('Feeder Spreads'!AD78-'Feeder Spreads'!AD83,"")</f>
        <v>0</v>
      </c>
      <c r="EF78">
        <f>IFERROR('Feeder Spreads'!AD78-'Feeder Spreads'!AD88,"")</f>
        <v>0</v>
      </c>
      <c r="EG78">
        <f>IFERROR(AVERAGE('Feeder Spreads'!AD78:AD97)+2*STDEV('Feeder Spreads'!AD78:AD97),"")</f>
        <v>0</v>
      </c>
      <c r="EH78">
        <f>IFERROR(AVERAGE('Feeder Spreads'!AD78:AD97)-2*STDEV('Feeder Spreads'!AD78:AD97),"")</f>
        <v>0</v>
      </c>
      <c r="EI78" t="str">
        <f>IFERROR(('Feeder Spreads'!AD78-(AVERAGE('Feeder Spreads'!AD78:AD97)-2*STDEV('Feeder Spreads'!AD78:AD97)))/(4*STDEV('Feeder Spreads'!AD78:AD97)),"")</f>
        <v/>
      </c>
      <c r="EJ78" t="str">
        <f>IFERROR(4*STDEV('Feeder Spreads'!AD78:AD97)/AVERAGE('Feeder Spreads'!AD78:AD97),"")</f>
        <v/>
      </c>
      <c r="EK78">
        <v>47.626199999999997</v>
      </c>
      <c r="EL78">
        <f>IFERROR(SQRT((SUMSQ('Feeder Spreads'!AD78:AD97)-2*SUMPRODUCT('Feeder Spreads'!AD78:AD97,'Feeder Spreads'!AD79:AD98)+SUMSQ('Feeder Spreads'!AD79:AD98)-('Feeder Spreads'!AD78-'Feeder Spreads'!AD98)^2/20)/19),"")</f>
        <v>0</v>
      </c>
      <c r="EN78">
        <f>IFERROR('Feeder Spreads'!AJ78,"")</f>
        <v>0</v>
      </c>
      <c r="EO78">
        <f>IFERROR(('Feeder Spreads'!AK78-AVERAGE('Feeder Spreads'!$AK$3:$AK$4308))/STDEV('Feeder Spreads'!$AK$3:$AK$4308),"")</f>
        <v>-9.2057461789832346E-2</v>
      </c>
      <c r="EP78">
        <f>IFERROR('Feeder Spreads'!AK78-'Feeder Spreads'!AK83,"")</f>
        <v>0</v>
      </c>
      <c r="EQ78">
        <f>IFERROR('Feeder Spreads'!AK78-'Feeder Spreads'!AK88,"")</f>
        <v>0</v>
      </c>
      <c r="ER78">
        <f>IFERROR(AVERAGE('Feeder Spreads'!AK78:AK97)+2*STDEV('Feeder Spreads'!AK78:AK97),"")</f>
        <v>0</v>
      </c>
      <c r="ES78">
        <f>IFERROR(AVERAGE('Feeder Spreads'!AK78:AK97)-2*STDEV('Feeder Spreads'!AK78:AK97),"")</f>
        <v>0</v>
      </c>
      <c r="ET78" t="str">
        <f>IFERROR(('Feeder Spreads'!AK78-(AVERAGE('Feeder Spreads'!AK78:AK97)-2*STDEV('Feeder Spreads'!AK78:AK97)))/(4*STDEV('Feeder Spreads'!AK78:AK97)),"")</f>
        <v/>
      </c>
      <c r="EU78" t="str">
        <f>IFERROR(4*STDEV('Feeder Spreads'!AK78:AK97)/AVERAGE('Feeder Spreads'!AK78:AK97),"")</f>
        <v/>
      </c>
      <c r="EV78">
        <v>66.2804</v>
      </c>
      <c r="EW78">
        <f>IFERROR(SQRT((SUMSQ('Feeder Spreads'!AK78:AK97)-2*SUMPRODUCT('Feeder Spreads'!AK78:AK97,'Feeder Spreads'!AK79:AK98)+SUMSQ('Feeder Spreads'!AK79:AK98)-('Feeder Spreads'!AK78-'Feeder Spreads'!AK98)^2/20)/19),"")</f>
        <v>0</v>
      </c>
      <c r="EY78">
        <f>IFERROR('Feeder Spreads'!AQ78,"")</f>
        <v>0</v>
      </c>
      <c r="EZ78">
        <f>IFERROR(('Feeder Spreads'!AR78-AVERAGE('Feeder Spreads'!$AR$3:$AR$4308))/STDEV('Feeder Spreads'!$AR$3:$AR$4308),"")</f>
        <v>-9.2057461789832332E-2</v>
      </c>
      <c r="FA78">
        <f>IFERROR('Feeder Spreads'!AR78-'Feeder Spreads'!AR83,"")</f>
        <v>0</v>
      </c>
      <c r="FB78">
        <f>IFERROR('Feeder Spreads'!AR78-'Feeder Spreads'!AR88,"")</f>
        <v>0</v>
      </c>
      <c r="FC78">
        <f>IFERROR(AVERAGE('Feeder Spreads'!AR78:AR97)+2*STDEV('Feeder Spreads'!AR78:AR97),"")</f>
        <v>0</v>
      </c>
      <c r="FD78">
        <f>IFERROR(AVERAGE('Feeder Spreads'!AR78:AR97)-2*STDEV('Feeder Spreads'!AR78:AR97),"")</f>
        <v>0</v>
      </c>
      <c r="FE78" t="str">
        <f>IFERROR(('Feeder Spreads'!AR78-(AVERAGE('Feeder Spreads'!AR78:AR97)-2*STDEV('Feeder Spreads'!AR78:AR97)))/(4*STDEV('Feeder Spreads'!AR78:AR97)),"")</f>
        <v/>
      </c>
      <c r="FF78" t="str">
        <f>IFERROR(4*STDEV('Feeder Spreads'!AR78:AR97)/AVERAGE('Feeder Spreads'!AR78:AR97),"")</f>
        <v/>
      </c>
      <c r="FG78">
        <v>63.999400000000001</v>
      </c>
      <c r="FH78">
        <f>IFERROR(SQRT((SUMSQ('Feeder Spreads'!AR78:AR97)-2*SUMPRODUCT('Feeder Spreads'!AR78:AR97,'Feeder Spreads'!AR79:AR98)+SUMSQ('Feeder Spreads'!AR79:AR98)-('Feeder Spreads'!AR78-'Feeder Spreads'!AR98)^2/20)/19),"")</f>
        <v>0</v>
      </c>
      <c r="FJ78">
        <f>IFERROR('Fat Spreads'!AX78,"")</f>
        <v>0</v>
      </c>
      <c r="FK78">
        <f>IFERROR(('Fat Spreads'!AY78-AVERAGE('Fat Spreads'!$AY$3:$AY$4308))/STDEV('Fat Spreads'!$AY$3:$AY$4308),"")</f>
        <v>9.2057461789832332E-2</v>
      </c>
      <c r="FL78">
        <f>IFERROR('Fat Spreads'!AY78-'Fat Spreads'!AY83,"")</f>
        <v>0</v>
      </c>
      <c r="FM78">
        <f>IFERROR('Fat Spreads'!AY78-'Fat Spreads'!AY88,"")</f>
        <v>0</v>
      </c>
      <c r="FN78">
        <f>IFERROR(AVERAGE('Fat Spreads'!AY78:AY97)+2*STDEV('Fat Spreads'!AY78:AY97),"")</f>
        <v>0</v>
      </c>
      <c r="FO78">
        <f>IFERROR(AVERAGE('Fat Spreads'!AY78:AY97)-2*STDEV('Fat Spreads'!AY78:AY97),"")</f>
        <v>0</v>
      </c>
      <c r="FP78" t="str">
        <f>IFERROR(('Fat Spreads'!AY78-(AVERAGE('Fat Spreads'!AY78:AY97)-2*STDEV('Fat Spreads'!AY78:AY97)))/(4*STDEV('Fat Spreads'!AY78:AY97)),"")</f>
        <v/>
      </c>
      <c r="FQ78" t="str">
        <f>IFERROR(4*STDEV('Fat Spreads'!AY78:AY97)/AVERAGE('Fat Spreads'!AY78:AY97),"")</f>
        <v/>
      </c>
      <c r="FR78">
        <v>29.6678</v>
      </c>
      <c r="FS78">
        <f>IFERROR(SQRT((SUMSQ('Fat Spreads'!AY78:AY97)-2*SUMPRODUCT('Fat Spreads'!AY78:AY97,'Fat Spreads'!AY79:AY98)+SUMSQ('Fat Spreads'!AY79:AY98)-('Fat Spreads'!AY78-'Fat Spreads'!AY98)^2/20)/19),"")</f>
        <v>0</v>
      </c>
      <c r="FU78">
        <f>IFERROR('Fat Spreads'!BE78,"")</f>
        <v>0</v>
      </c>
      <c r="FV78">
        <f>IFERROR(('Fat Spreads'!BF78-AVERAGE('Fat Spreads'!$BF$3:$BF$4308))/STDEV('Fat Spreads'!$BF$3:$BF$4308),"")</f>
        <v>9.2057461789832332E-2</v>
      </c>
      <c r="FW78">
        <f>IFERROR('Fat Spreads'!BF78-'Fat Spreads'!BF83,"")</f>
        <v>0</v>
      </c>
      <c r="FX78">
        <f>IFERROR('Fat Spreads'!BF78-'Fat Spreads'!BF88,"")</f>
        <v>0</v>
      </c>
      <c r="FY78">
        <f>IFERROR(AVERAGE('Fat Spreads'!BF78:BF97)+2*STDEV('Fat Spreads'!BF78:BF97),"")</f>
        <v>0</v>
      </c>
      <c r="FZ78">
        <f>IFERROR(AVERAGE('Fat Spreads'!BF78:BF97)-2*STDEV('Fat Spreads'!BF78:BF97),"")</f>
        <v>0</v>
      </c>
      <c r="GA78" t="str">
        <f>IFERROR(('Fat Spreads'!BF78-(AVERAGE('Fat Spreads'!BF78:BF97)-2*STDEV('Fat Spreads'!BF78:BF97)))/(4*STDEV('Fat Spreads'!BF78:BF97)),"")</f>
        <v/>
      </c>
      <c r="GB78" t="str">
        <f>IFERROR(4*STDEV('Fat Spreads'!BF78:BF97)/AVERAGE('Fat Spreads'!BF78:BF97),"")</f>
        <v/>
      </c>
      <c r="GC78">
        <v>35.056100000000001</v>
      </c>
      <c r="GD78">
        <f>IFERROR(SQRT((SUMSQ('Fat Spreads'!BF78:BF97)-2*SUMPRODUCT('Fat Spreads'!BF78:BF97,'Fat Spreads'!BF79:BF98)+SUMSQ('Fat Spreads'!BF79:BF98)-('Fat Spreads'!BF78-'Fat Spreads'!BF98)^2/20)/19),"")</f>
        <v>0</v>
      </c>
    </row>
    <row r="79" spans="1:186" x14ac:dyDescent="0.25">
      <c r="A79">
        <f>IFERROR('Fat Spreads'!A79,"")</f>
        <v>0</v>
      </c>
      <c r="B79">
        <f>IFERROR(('Fat Spreads'!B79-AVERAGE('Fat Spreads'!$B$3:$B$4308))/STDEV('Fat Spreads'!$B$3:$B$4308),"")</f>
        <v>9.2057461789832346E-2</v>
      </c>
      <c r="C79">
        <f>IFERROR('Fat Spreads'!B79-'Fat Spreads'!B84,"")</f>
        <v>0</v>
      </c>
      <c r="D79">
        <f>IFERROR('Fat Spreads'!B79-'Fat Spreads'!B89,"")</f>
        <v>0</v>
      </c>
      <c r="E79">
        <f>IFERROR(AVERAGE('Fat Spreads'!B79:B98)+2*STDEV('Fat Spreads'!B79:B98),"")</f>
        <v>0</v>
      </c>
      <c r="F79">
        <f>IFERROR(AVERAGE('Fat Spreads'!B79:B98)-2*STDEV('Fat Spreads'!B79:B98),"")</f>
        <v>0</v>
      </c>
      <c r="G79" t="str">
        <f>IFERROR(('Fat Spreads'!B79-(AVERAGE('Fat Spreads'!B79:B98)-2*STDEV('Fat Spreads'!B79:B98)))/(4*STDEV('Fat Spreads'!B79:B98)),"")</f>
        <v/>
      </c>
      <c r="H79" t="str">
        <f>IFERROR(4*STDEV('Fat Spreads'!B79:B98)/AVERAGE('Fat Spreads'!B79:B98),"")</f>
        <v/>
      </c>
      <c r="I79">
        <v>39.293300000000002</v>
      </c>
      <c r="J79">
        <f>IFERROR(SQRT((SUMSQ('Fat Spreads'!B79:B98)-2*SUMPRODUCT('Fat Spreads'!B79:B98,'Fat Spreads'!B80:B99)+SUMSQ('Fat Spreads'!B80:B99)-('Fat Spreads'!B79-'Fat Spreads'!B99)^2/20)/19),"")</f>
        <v>0</v>
      </c>
      <c r="L79">
        <f>IFERROR('Fat Spreads'!H79,"")</f>
        <v>0</v>
      </c>
      <c r="M79">
        <f>IFERROR(('Fat Spreads'!I79-AVERAGE('Fat Spreads'!$I$3:$I$4308))/STDEV('Fat Spreads'!$I$3:$I$4308),"")</f>
        <v>-9.2057461789832332E-2</v>
      </c>
      <c r="N79">
        <f>IFERROR('Fat Spreads'!I79-'Fat Spreads'!I84,"")</f>
        <v>0</v>
      </c>
      <c r="O79">
        <f>IFERROR('Fat Spreads'!I79-'Fat Spreads'!I89,"")</f>
        <v>0</v>
      </c>
      <c r="P79">
        <f>IFERROR(AVERAGE('Fat Spreads'!I79:I98)+2*STDEV('Fat Spreads'!I79:I98),"")</f>
        <v>0</v>
      </c>
      <c r="Q79">
        <f>IFERROR(AVERAGE('Fat Spreads'!I79:I98)-2*STDEV('Fat Spreads'!I79:I98),"")</f>
        <v>0</v>
      </c>
      <c r="R79" t="str">
        <f>IFERROR(('Fat Spreads'!I79-(AVERAGE('Fat Spreads'!I79:I98)-2*STDEV('Fat Spreads'!I79:I98)))/(4*STDEV('Fat Spreads'!I79:I98)),"")</f>
        <v/>
      </c>
      <c r="S79" t="str">
        <f>IFERROR(4*STDEV('Fat Spreads'!I79:I98)/AVERAGE('Fat Spreads'!I79:I98),"")</f>
        <v/>
      </c>
      <c r="T79">
        <v>43.545499999999997</v>
      </c>
      <c r="U79">
        <f>IFERROR(SQRT((SUMSQ('Fat Spreads'!I79:I98)-2*SUMPRODUCT('Fat Spreads'!I79:I98,'Fat Spreads'!I80:I99)+SUMSQ('Fat Spreads'!I80:I99)-('Fat Spreads'!I79-'Fat Spreads'!I99)^2/20)/19),"")</f>
        <v>0</v>
      </c>
      <c r="W79">
        <f>IFERROR('Fat Spreads'!AQ79,"")</f>
        <v>0</v>
      </c>
      <c r="X79">
        <f>IFERROR(('Fat Spreads'!AR79-AVERAGE('Fat Spreads'!$AR$3:$AR$4308))/STDEV('Fat Spreads'!$AR$3:$AR$4308),"")</f>
        <v>-9.2057461789832346E-2</v>
      </c>
      <c r="Y79">
        <f>IFERROR('Fat Spreads'!AR79-'Fat Spreads'!AR84,"")</f>
        <v>0</v>
      </c>
      <c r="Z79">
        <f>IFERROR('Fat Spreads'!AR79-'Fat Spreads'!AR89,"")</f>
        <v>0</v>
      </c>
      <c r="AA79">
        <f>IFERROR(AVERAGE('Fat Spreads'!AR79:AR98)+2*STDEV('Fat Spreads'!AR79:AR98),"")</f>
        <v>0</v>
      </c>
      <c r="AB79">
        <f>IFERROR(AVERAGE('Fat Spreads'!AR79:AR98)-2*STDEV('Fat Spreads'!AR79:AR98),"")</f>
        <v>0</v>
      </c>
      <c r="AC79" t="str">
        <f>IFERROR(('Fat Spreads'!AR79-(AVERAGE('Fat Spreads'!AR79:AR98)-2*STDEV('Fat Spreads'!AR79:AR98)))/(4*STDEV('Fat Spreads'!AR79:AR98)),"")</f>
        <v/>
      </c>
      <c r="AD79" t="str">
        <f>IFERROR(4*STDEV('Fat Spreads'!AR79:AR98)/AVERAGE('Fat Spreads'!AR79:AR98),"")</f>
        <v/>
      </c>
      <c r="AE79">
        <v>71.549800000000005</v>
      </c>
      <c r="AF79">
        <f>IFERROR(SQRT((SUMSQ('Fat Spreads'!AR79:AR98)-2*SUMPRODUCT('Fat Spreads'!AR79:AR98,'Fat Spreads'!AR80:AR99)+SUMSQ('Fat Spreads'!AR80:AR99)-('Fat Spreads'!AR79-'Fat Spreads'!AR99)^2/20)/19),"")</f>
        <v>0</v>
      </c>
      <c r="AH79">
        <f>IFERROR('Fat Spreads'!O79,"")</f>
        <v>0</v>
      </c>
      <c r="AI79">
        <f>IFERROR(('Fat Spreads'!P79-AVERAGE('Fat Spreads'!$P$3:$P$4308))/STDEV('Fat Spreads'!$P$3:$P$4308),"")</f>
        <v>-9.2057461789832332E-2</v>
      </c>
      <c r="AJ79">
        <f>IFERROR('Fat Spreads'!P79-'Fat Spreads'!P84,"")</f>
        <v>0</v>
      </c>
      <c r="AK79">
        <f>IFERROR('Fat Spreads'!P79-'Fat Spreads'!P89,"")</f>
        <v>0</v>
      </c>
      <c r="AL79">
        <f>IFERROR(AVERAGE('Fat Spreads'!P79:P98)+2*STDEV('Fat Spreads'!P79:P98),"")</f>
        <v>0</v>
      </c>
      <c r="AM79">
        <f>IFERROR(AVERAGE('Fat Spreads'!P79:P98)-2*STDEV('Fat Spreads'!P79:P98),"")</f>
        <v>0</v>
      </c>
      <c r="AN79" t="str">
        <f>IFERROR(('Fat Spreads'!P79-(AVERAGE('Fat Spreads'!P79:P98)-2*STDEV('Fat Spreads'!P79:P98)))/(4*STDEV('Fat Spreads'!P79:P98)),"")</f>
        <v/>
      </c>
      <c r="AO79" t="str">
        <f>IFERROR(4*STDEV('Fat Spreads'!P79:P98)/AVERAGE('Fat Spreads'!P79:P98),"")</f>
        <v/>
      </c>
      <c r="AP79">
        <v>52.828400000000002</v>
      </c>
      <c r="AQ79">
        <f>IFERROR(SQRT((SUMSQ('Fat Spreads'!P79:P98)-2*SUMPRODUCT('Fat Spreads'!P79:P98,'Fat Spreads'!P80:P99)+SUMSQ('Fat Spreads'!P80:P99)-('Fat Spreads'!P79-'Fat Spreads'!P99)^2/20)/19),"")</f>
        <v>0</v>
      </c>
      <c r="AS79">
        <f>IFERROR('Fat Spreads'!AJ79,"")</f>
        <v>0</v>
      </c>
      <c r="AT79">
        <f>IFERROR(('Fat Spreads'!AK79-AVERAGE('Fat Spreads'!$AK$3:$AK$4308))/STDEV('Fat Spreads'!$AK$3:$AK$4308),"")</f>
        <v>-9.2057461789832332E-2</v>
      </c>
      <c r="AU79">
        <f>IFERROR('Fat Spreads'!AK79-'Fat Spreads'!AK84,"")</f>
        <v>0</v>
      </c>
      <c r="AV79">
        <f>IFERROR('Fat Spreads'!AK79-'Fat Spreads'!AK89,"")</f>
        <v>0</v>
      </c>
      <c r="AW79">
        <f>IFERROR(AVERAGE('Fat Spreads'!AK79:AK98)+2*STDEV('Fat Spreads'!AK79:AK98),"")</f>
        <v>0</v>
      </c>
      <c r="AX79">
        <f>IFERROR(AVERAGE('Fat Spreads'!AK79:AK98)-2*STDEV('Fat Spreads'!AK79:AK98),"")</f>
        <v>0</v>
      </c>
      <c r="AY79" t="str">
        <f>IFERROR(('Fat Spreads'!AK79-(AVERAGE('Fat Spreads'!AK79:AK98)-2*STDEV('Fat Spreads'!AK79:AK98)))/(4*STDEV('Fat Spreads'!AK79:AK98)),"")</f>
        <v/>
      </c>
      <c r="AZ79" t="str">
        <f>IFERROR(4*STDEV('Fat Spreads'!AK79:AK98)/AVERAGE('Fat Spreads'!AK79:AK98),"")</f>
        <v/>
      </c>
      <c r="BA79">
        <v>30.950399999999998</v>
      </c>
      <c r="BB79">
        <f>IFERROR(SQRT((SUMSQ('Fat Spreads'!AK79:AK98)-2*SUMPRODUCT('Fat Spreads'!AK79:AK98,'Fat Spreads'!AK80:AK99)+SUMSQ('Fat Spreads'!AK80:AK99)-('Fat Spreads'!AK79-'Fat Spreads'!AK99)^2/20)/19),"")</f>
        <v>0</v>
      </c>
      <c r="BD79">
        <f>IFERROR('Fat Spreads'!V79,"")</f>
        <v>0</v>
      </c>
      <c r="BE79">
        <f>IFERROR(('Fat Spreads'!W79-AVERAGE('Fat Spreads'!$W$3:$W$4308))/STDEV('Fat Spreads'!$W$3:$W$4308),"")</f>
        <v>-9.2057461789832332E-2</v>
      </c>
      <c r="BF79">
        <f>IFERROR('Fat Spreads'!W79-'Fat Spreads'!W84,"")</f>
        <v>0</v>
      </c>
      <c r="BG79">
        <f>IFERROR('Fat Spreads'!W79-'Fat Spreads'!W89,"")</f>
        <v>0</v>
      </c>
      <c r="BH79">
        <f>IFERROR(AVERAGE('Fat Spreads'!W79:W98)+2*STDEV('Fat Spreads'!W79:W98),"")</f>
        <v>0</v>
      </c>
      <c r="BI79">
        <f>IFERROR(AVERAGE('Fat Spreads'!W79:W98)-2*STDEV('Fat Spreads'!W79:W98),"")</f>
        <v>0</v>
      </c>
      <c r="BJ79" t="str">
        <f>IFERROR(('Fat Spreads'!W79-(AVERAGE('Fat Spreads'!W79:W98)-2*STDEV('Fat Spreads'!W79:W98)))/(4*STDEV('Fat Spreads'!W79:W98)),"")</f>
        <v/>
      </c>
      <c r="BK79" t="str">
        <f>IFERROR(4*STDEV('Fat Spreads'!W79:W98)/AVERAGE('Fat Spreads'!W79:W98),"")</f>
        <v/>
      </c>
      <c r="BL79">
        <v>71.422300000000007</v>
      </c>
      <c r="BM79">
        <f>IFERROR(SQRT((SUMSQ('Fat Spreads'!W79:W98)-2*SUMPRODUCT('Fat Spreads'!W79:W98,'Fat Spreads'!W80:W99)+SUMSQ('Fat Spreads'!W80:W99)-('Fat Spreads'!W79-'Fat Spreads'!W99)^2/20)/19),"")</f>
        <v>0</v>
      </c>
      <c r="BO79">
        <f>IFERROR('Fat Spreads'!AC79,"")</f>
        <v>0</v>
      </c>
      <c r="BP79">
        <f>IFERROR(('Fat Spreads'!AD79-AVERAGE('Fat Spreads'!$AD$3:$AD$4308))/STDEV('Fat Spreads'!$AD$3:$AD$4308),"")</f>
        <v>-9.2057461789832332E-2</v>
      </c>
      <c r="BQ79">
        <f>IFERROR('Fat Spreads'!AD79-'Fat Spreads'!AD84,"")</f>
        <v>0</v>
      </c>
      <c r="BR79">
        <f>IFERROR('Fat Spreads'!AD79-'Fat Spreads'!AD89,"")</f>
        <v>0</v>
      </c>
      <c r="BS79">
        <f>IFERROR(AVERAGE('Fat Spreads'!AD79:AD98)+2*STDEV('Fat Spreads'!AD79:AD98),"")</f>
        <v>0</v>
      </c>
      <c r="BT79">
        <f>IFERROR(AVERAGE('Fat Spreads'!AD79:AD98)-2*STDEV('Fat Spreads'!AD79:AD98),"")</f>
        <v>0</v>
      </c>
      <c r="BU79" t="str">
        <f>IFERROR(('Fat Spreads'!AD79-(AVERAGE('Fat Spreads'!AD79:AD98)-2*STDEV('Fat Spreads'!AD79:AD98)))/(4*STDEV('Fat Spreads'!AD79:AD98)),"")</f>
        <v/>
      </c>
      <c r="BV79" t="str">
        <f>IFERROR(4*STDEV('Fat Spreads'!AD79:AD98)/AVERAGE('Fat Spreads'!AD79:AD98),"")</f>
        <v/>
      </c>
      <c r="BW79">
        <v>41.568800000000003</v>
      </c>
      <c r="BX79">
        <f>IFERROR(SQRT((SUMSQ('Fat Spreads'!AD79:AD98)-2*SUMPRODUCT('Fat Spreads'!AD79:AD98,'Fat Spreads'!AD80:AD99)+SUMSQ('Fat Spreads'!AD80:AD99)-('Fat Spreads'!AD79-'Fat Spreads'!AD99)^2/20)/19),"")</f>
        <v>0</v>
      </c>
      <c r="BZ79">
        <f>IFERROR('Feeder Spreads'!A79,"")</f>
        <v>0</v>
      </c>
      <c r="CA79">
        <f>IFERROR(('Feeder Spreads'!B79-AVERAGE('Feeder Spreads'!$B$3:$B$4308))/STDEV('Feeder Spreads'!$B$3:$B$4308),"")</f>
        <v>-9.2057461789832346E-2</v>
      </c>
      <c r="CB79">
        <f>IFERROR('Feeder Spreads'!B79-'Feeder Spreads'!B84,"")</f>
        <v>0</v>
      </c>
      <c r="CC79">
        <f>IFERROR('Feeder Spreads'!B79-'Feeder Spreads'!B89,"")</f>
        <v>0</v>
      </c>
      <c r="CD79">
        <f>IFERROR(AVERAGE('Feeder Spreads'!B79:B98)+2*STDEV('Feeder Spreads'!B79:B98),"")</f>
        <v>0</v>
      </c>
      <c r="CE79">
        <f>IFERROR(AVERAGE('Feeder Spreads'!B79:B98)-2*STDEV('Feeder Spreads'!B79:B98),"")</f>
        <v>0</v>
      </c>
      <c r="CF79" t="str">
        <f>IFERROR(('Feeder Spreads'!B79-(AVERAGE('Feeder Spreads'!B79:B98)-2*STDEV('Feeder Spreads'!B79:B98)))/(4*STDEV('Feeder Spreads'!B79:B98)),"")</f>
        <v/>
      </c>
      <c r="CG79" t="str">
        <f>IFERROR(4*STDEV('Feeder Spreads'!B79:B98)/AVERAGE('Feeder Spreads'!B79:B98),"")</f>
        <v/>
      </c>
      <c r="CH79">
        <v>46.763300000000001</v>
      </c>
      <c r="CI79">
        <f>IFERROR(SQRT((SUMSQ('Feeder Spreads'!B79:B98)-2*SUMPRODUCT('Feeder Spreads'!B79:B98,'Feeder Spreads'!B80:B99)+SUMSQ('Feeder Spreads'!B80:B99)-('Feeder Spreads'!B79-'Feeder Spreads'!B99)^2/20)/19),"")</f>
        <v>0</v>
      </c>
      <c r="CK79">
        <f>IFERROR('Feeder Spreads'!AX79,"")</f>
        <v>0</v>
      </c>
      <c r="CL79">
        <f>IFERROR(('Feeder Spreads'!AY79-AVERAGE('Feeder Spreads'!$AY$3:$AY$4308))/STDEV('Feeder Spreads'!$AY$3:$AY$4308),"")</f>
        <v>-9.2057461789832346E-2</v>
      </c>
      <c r="CM79">
        <f>IFERROR('Feeder Spreads'!AY79-'Feeder Spreads'!AY84,"")</f>
        <v>0</v>
      </c>
      <c r="CN79">
        <f>IFERROR('Feeder Spreads'!AY79-'Feeder Spreads'!AY89,"")</f>
        <v>0</v>
      </c>
      <c r="CO79">
        <f>IFERROR(AVERAGE('Feeder Spreads'!AY79:AY98)+2*STDEV('Feeder Spreads'!AY79:AY98),"")</f>
        <v>0</v>
      </c>
      <c r="CP79">
        <f>IFERROR(AVERAGE('Feeder Spreads'!AY79:AY98)-2*STDEV('Feeder Spreads'!AY79:AY98),"")</f>
        <v>0</v>
      </c>
      <c r="CQ79" t="str">
        <f>IFERROR(('Feeder Spreads'!AY79-(AVERAGE('Feeder Spreads'!AY79:AY98)-2*STDEV('Feeder Spreads'!AY79:AY98)))/(4*STDEV('Feeder Spreads'!AY79:AY98)),"")</f>
        <v/>
      </c>
      <c r="CR79" t="str">
        <f>IFERROR(4*STDEV('Feeder Spreads'!AY79:AY98)/AVERAGE('Feeder Spreads'!AY79:AY98),"")</f>
        <v/>
      </c>
      <c r="CS79">
        <v>36.2271</v>
      </c>
      <c r="CT79">
        <f>IFERROR(SQRT((SUMSQ('Feeder Spreads'!AY79:AY98)-2*SUMPRODUCT('Feeder Spreads'!AY79:AY98,'Feeder Spreads'!AY80:AY99)+SUMSQ('Feeder Spreads'!AY80:AY99)-('Feeder Spreads'!AY79-'Feeder Spreads'!AY99)^2/20)/19),"")</f>
        <v>0</v>
      </c>
      <c r="CV79">
        <f>IFERROR('Feeder Spreads'!H79,"")</f>
        <v>0</v>
      </c>
      <c r="CW79">
        <f>IFERROR(('Feeder Spreads'!I79-AVERAGE('Feeder Spreads'!$I$3:$I$4308))/STDEV('Feeder Spreads'!$I$3:$I$4308),"")</f>
        <v>-9.2057461789832332E-2</v>
      </c>
      <c r="CX79">
        <f>IFERROR('Feeder Spreads'!I79-'Feeder Spreads'!I84,"")</f>
        <v>0</v>
      </c>
      <c r="CY79">
        <f>IFERROR('Feeder Spreads'!I79-'Feeder Spreads'!I89,"")</f>
        <v>0</v>
      </c>
      <c r="CZ79">
        <f>IFERROR(AVERAGE('Feeder Spreads'!I79:I98)+2*STDEV('Feeder Spreads'!I79:I98),"")</f>
        <v>0</v>
      </c>
      <c r="DA79">
        <f>IFERROR(AVERAGE('Feeder Spreads'!I79:I98)-2*STDEV('Feeder Spreads'!I79:I98),"")</f>
        <v>0</v>
      </c>
      <c r="DB79" t="str">
        <f>IFERROR(('Feeder Spreads'!I79-(AVERAGE('Feeder Spreads'!I79:I98)-2*STDEV('Feeder Spreads'!I79:I98)))/(4*STDEV('Feeder Spreads'!I79:I98)),"")</f>
        <v/>
      </c>
      <c r="DC79" t="str">
        <f>IFERROR(4*STDEV('Feeder Spreads'!I79:I98)/AVERAGE('Feeder Spreads'!I79:I98),"")</f>
        <v/>
      </c>
      <c r="DD79">
        <v>65.064800000000005</v>
      </c>
      <c r="DE79">
        <f>IFERROR(SQRT((SUMSQ('Feeder Spreads'!I79:I98)-2*SUMPRODUCT('Feeder Spreads'!I79:I98,'Feeder Spreads'!I80:I99)+SUMSQ('Feeder Spreads'!I80:I99)-('Feeder Spreads'!I79-'Feeder Spreads'!I99)^2/20)/19),"")</f>
        <v>0</v>
      </c>
      <c r="DG79">
        <f>IFERROR('Feeder Spreads'!O79,"")</f>
        <v>0</v>
      </c>
      <c r="DH79">
        <f>IFERROR(('Feeder Spreads'!P79-AVERAGE('Feeder Spreads'!$P$3:$P$4308))/STDEV('Feeder Spreads'!$P$3:$P$4308),"")</f>
        <v>-9.2057461789832346E-2</v>
      </c>
      <c r="DI79">
        <f>IFERROR('Feeder Spreads'!P79-'Feeder Spreads'!P84,"")</f>
        <v>0</v>
      </c>
      <c r="DJ79">
        <f>IFERROR('Feeder Spreads'!P79-'Feeder Spreads'!P89,"")</f>
        <v>0</v>
      </c>
      <c r="DK79">
        <f>IFERROR(AVERAGE('Feeder Spreads'!P79:P98)+2*STDEV('Feeder Spreads'!P79:P98),"")</f>
        <v>0</v>
      </c>
      <c r="DL79">
        <f>IFERROR(AVERAGE('Feeder Spreads'!P79:P98)-2*STDEV('Feeder Spreads'!P79:P98),"")</f>
        <v>0</v>
      </c>
      <c r="DM79" t="str">
        <f>IFERROR(('Feeder Spreads'!P79-(AVERAGE('Feeder Spreads'!P79:P98)-2*STDEV('Feeder Spreads'!P79:P98)))/(4*STDEV('Feeder Spreads'!P79:P98)),"")</f>
        <v/>
      </c>
      <c r="DN79" t="str">
        <f>IFERROR(4*STDEV('Feeder Spreads'!P79:P98)/AVERAGE('Feeder Spreads'!P79:P98),"")</f>
        <v/>
      </c>
      <c r="DO79">
        <v>59.7181</v>
      </c>
      <c r="DP79">
        <f>IFERROR(SQRT((SUMSQ('Feeder Spreads'!P79:P98)-2*SUMPRODUCT('Feeder Spreads'!P79:P98,'Feeder Spreads'!P80:P99)+SUMSQ('Feeder Spreads'!P80:P99)-('Feeder Spreads'!P79-'Feeder Spreads'!P99)^2/20)/19),"")</f>
        <v>0</v>
      </c>
      <c r="DR79">
        <f>IFERROR('Feeder Spreads'!V79,"")</f>
        <v>0</v>
      </c>
      <c r="DS79">
        <f>IFERROR(('Feeder Spreads'!W79-AVERAGE('Feeder Spreads'!$W$3:$W$4308))/STDEV('Feeder Spreads'!$W$3:$W$4308),"")</f>
        <v>-9.2057461789832332E-2</v>
      </c>
      <c r="DT79">
        <f>IFERROR('Feeder Spreads'!W79-'Feeder Spreads'!W84,"")</f>
        <v>0</v>
      </c>
      <c r="DU79">
        <f>IFERROR('Feeder Spreads'!W79-'Feeder Spreads'!W89,"")</f>
        <v>0</v>
      </c>
      <c r="DV79">
        <f>IFERROR(AVERAGE('Feeder Spreads'!W79:W98)+2*STDEV('Feeder Spreads'!W79:W98),"")</f>
        <v>0</v>
      </c>
      <c r="DW79">
        <f>IFERROR(AVERAGE('Feeder Spreads'!W79:W98)-2*STDEV('Feeder Spreads'!W79:W98),"")</f>
        <v>0</v>
      </c>
      <c r="DX79" t="str">
        <f>IFERROR(('Feeder Spreads'!W79-(AVERAGE('Feeder Spreads'!W79:W98)-2*STDEV('Feeder Spreads'!W79:W98)))/(4*STDEV('Feeder Spreads'!W79:W98)),"")</f>
        <v/>
      </c>
      <c r="DY79" t="str">
        <f>IFERROR(4*STDEV('Feeder Spreads'!W79:W98)/AVERAGE('Feeder Spreads'!W79:W98),"")</f>
        <v/>
      </c>
      <c r="DZ79">
        <v>55.766300000000001</v>
      </c>
      <c r="EA79">
        <f>IFERROR(SQRT((SUMSQ('Feeder Spreads'!W79:W98)-2*SUMPRODUCT('Feeder Spreads'!W79:W98,'Feeder Spreads'!W80:W99)+SUMSQ('Feeder Spreads'!W80:W99)-('Feeder Spreads'!W79-'Feeder Spreads'!W99)^2/20)/19),"")</f>
        <v>0</v>
      </c>
      <c r="EC79">
        <f>IFERROR('Feeder Spreads'!AC79,"")</f>
        <v>0</v>
      </c>
      <c r="ED79">
        <f>IFERROR(('Feeder Spreads'!AD79-AVERAGE('Feeder Spreads'!$AD$3:$AD$4308))/STDEV('Feeder Spreads'!$AD$3:$AD$4308),"")</f>
        <v>9.2057461789832318E-2</v>
      </c>
      <c r="EE79">
        <f>IFERROR('Feeder Spreads'!AD79-'Feeder Spreads'!AD84,"")</f>
        <v>0</v>
      </c>
      <c r="EF79">
        <f>IFERROR('Feeder Spreads'!AD79-'Feeder Spreads'!AD89,"")</f>
        <v>0</v>
      </c>
      <c r="EG79">
        <f>IFERROR(AVERAGE('Feeder Spreads'!AD79:AD98)+2*STDEV('Feeder Spreads'!AD79:AD98),"")</f>
        <v>0</v>
      </c>
      <c r="EH79">
        <f>IFERROR(AVERAGE('Feeder Spreads'!AD79:AD98)-2*STDEV('Feeder Spreads'!AD79:AD98),"")</f>
        <v>0</v>
      </c>
      <c r="EI79" t="str">
        <f>IFERROR(('Feeder Spreads'!AD79-(AVERAGE('Feeder Spreads'!AD79:AD98)-2*STDEV('Feeder Spreads'!AD79:AD98)))/(4*STDEV('Feeder Spreads'!AD79:AD98)),"")</f>
        <v/>
      </c>
      <c r="EJ79" t="str">
        <f>IFERROR(4*STDEV('Feeder Spreads'!AD79:AD98)/AVERAGE('Feeder Spreads'!AD79:AD98),"")</f>
        <v/>
      </c>
      <c r="EK79">
        <v>53.403500000000001</v>
      </c>
      <c r="EL79">
        <f>IFERROR(SQRT((SUMSQ('Feeder Spreads'!AD79:AD98)-2*SUMPRODUCT('Feeder Spreads'!AD79:AD98,'Feeder Spreads'!AD80:AD99)+SUMSQ('Feeder Spreads'!AD80:AD99)-('Feeder Spreads'!AD79-'Feeder Spreads'!AD99)^2/20)/19),"")</f>
        <v>0</v>
      </c>
      <c r="EN79">
        <f>IFERROR('Feeder Spreads'!AJ79,"")</f>
        <v>0</v>
      </c>
      <c r="EO79">
        <f>IFERROR(('Feeder Spreads'!AK79-AVERAGE('Feeder Spreads'!$AK$3:$AK$4308))/STDEV('Feeder Spreads'!$AK$3:$AK$4308),"")</f>
        <v>-9.2057461789832346E-2</v>
      </c>
      <c r="EP79">
        <f>IFERROR('Feeder Spreads'!AK79-'Feeder Spreads'!AK84,"")</f>
        <v>0</v>
      </c>
      <c r="EQ79">
        <f>IFERROR('Feeder Spreads'!AK79-'Feeder Spreads'!AK89,"")</f>
        <v>0</v>
      </c>
      <c r="ER79">
        <f>IFERROR(AVERAGE('Feeder Spreads'!AK79:AK98)+2*STDEV('Feeder Spreads'!AK79:AK98),"")</f>
        <v>0</v>
      </c>
      <c r="ES79">
        <f>IFERROR(AVERAGE('Feeder Spreads'!AK79:AK98)-2*STDEV('Feeder Spreads'!AK79:AK98),"")</f>
        <v>0</v>
      </c>
      <c r="ET79" t="str">
        <f>IFERROR(('Feeder Spreads'!AK79-(AVERAGE('Feeder Spreads'!AK79:AK98)-2*STDEV('Feeder Spreads'!AK79:AK98)))/(4*STDEV('Feeder Spreads'!AK79:AK98)),"")</f>
        <v/>
      </c>
      <c r="EU79" t="str">
        <f>IFERROR(4*STDEV('Feeder Spreads'!AK79:AK98)/AVERAGE('Feeder Spreads'!AK79:AK98),"")</f>
        <v/>
      </c>
      <c r="EV79">
        <v>59.647799999999997</v>
      </c>
      <c r="EW79">
        <f>IFERROR(SQRT((SUMSQ('Feeder Spreads'!AK79:AK98)-2*SUMPRODUCT('Feeder Spreads'!AK79:AK98,'Feeder Spreads'!AK80:AK99)+SUMSQ('Feeder Spreads'!AK80:AK99)-('Feeder Spreads'!AK79-'Feeder Spreads'!AK99)^2/20)/19),"")</f>
        <v>0</v>
      </c>
      <c r="EY79">
        <f>IFERROR('Feeder Spreads'!AQ79,"")</f>
        <v>0</v>
      </c>
      <c r="EZ79">
        <f>IFERROR(('Feeder Spreads'!AR79-AVERAGE('Feeder Spreads'!$AR$3:$AR$4308))/STDEV('Feeder Spreads'!$AR$3:$AR$4308),"")</f>
        <v>-9.2057461789832332E-2</v>
      </c>
      <c r="FA79">
        <f>IFERROR('Feeder Spreads'!AR79-'Feeder Spreads'!AR84,"")</f>
        <v>0</v>
      </c>
      <c r="FB79">
        <f>IFERROR('Feeder Spreads'!AR79-'Feeder Spreads'!AR89,"")</f>
        <v>0</v>
      </c>
      <c r="FC79">
        <f>IFERROR(AVERAGE('Feeder Spreads'!AR79:AR98)+2*STDEV('Feeder Spreads'!AR79:AR98),"")</f>
        <v>0</v>
      </c>
      <c r="FD79">
        <f>IFERROR(AVERAGE('Feeder Spreads'!AR79:AR98)-2*STDEV('Feeder Spreads'!AR79:AR98),"")</f>
        <v>0</v>
      </c>
      <c r="FE79" t="str">
        <f>IFERROR(('Feeder Spreads'!AR79-(AVERAGE('Feeder Spreads'!AR79:AR98)-2*STDEV('Feeder Spreads'!AR79:AR98)))/(4*STDEV('Feeder Spreads'!AR79:AR98)),"")</f>
        <v/>
      </c>
      <c r="FF79" t="str">
        <f>IFERROR(4*STDEV('Feeder Spreads'!AR79:AR98)/AVERAGE('Feeder Spreads'!AR79:AR98),"")</f>
        <v/>
      </c>
      <c r="FG79">
        <v>59.235599999999998</v>
      </c>
      <c r="FH79">
        <f>IFERROR(SQRT((SUMSQ('Feeder Spreads'!AR79:AR98)-2*SUMPRODUCT('Feeder Spreads'!AR79:AR98,'Feeder Spreads'!AR80:AR99)+SUMSQ('Feeder Spreads'!AR80:AR99)-('Feeder Spreads'!AR79-'Feeder Spreads'!AR99)^2/20)/19),"")</f>
        <v>0</v>
      </c>
      <c r="FJ79">
        <f>IFERROR('Fat Spreads'!AX79,"")</f>
        <v>0</v>
      </c>
      <c r="FK79">
        <f>IFERROR(('Fat Spreads'!AY79-AVERAGE('Fat Spreads'!$AY$3:$AY$4308))/STDEV('Fat Spreads'!$AY$3:$AY$4308),"")</f>
        <v>9.2057461789832332E-2</v>
      </c>
      <c r="FL79">
        <f>IFERROR('Fat Spreads'!AY79-'Fat Spreads'!AY84,"")</f>
        <v>0</v>
      </c>
      <c r="FM79">
        <f>IFERROR('Fat Spreads'!AY79-'Fat Spreads'!AY89,"")</f>
        <v>0</v>
      </c>
      <c r="FN79">
        <f>IFERROR(AVERAGE('Fat Spreads'!AY79:AY98)+2*STDEV('Fat Spreads'!AY79:AY98),"")</f>
        <v>0</v>
      </c>
      <c r="FO79">
        <f>IFERROR(AVERAGE('Fat Spreads'!AY79:AY98)-2*STDEV('Fat Spreads'!AY79:AY98),"")</f>
        <v>0</v>
      </c>
      <c r="FP79" t="str">
        <f>IFERROR(('Fat Spreads'!AY79-(AVERAGE('Fat Spreads'!AY79:AY98)-2*STDEV('Fat Spreads'!AY79:AY98)))/(4*STDEV('Fat Spreads'!AY79:AY98)),"")</f>
        <v/>
      </c>
      <c r="FQ79" t="str">
        <f>IFERROR(4*STDEV('Fat Spreads'!AY79:AY98)/AVERAGE('Fat Spreads'!AY79:AY98),"")</f>
        <v/>
      </c>
      <c r="FR79">
        <v>32.835999999999999</v>
      </c>
      <c r="FS79">
        <f>IFERROR(SQRT((SUMSQ('Fat Spreads'!AY79:AY98)-2*SUMPRODUCT('Fat Spreads'!AY79:AY98,'Fat Spreads'!AY80:AY99)+SUMSQ('Fat Spreads'!AY80:AY99)-('Fat Spreads'!AY79-'Fat Spreads'!AY99)^2/20)/19),"")</f>
        <v>0</v>
      </c>
      <c r="FU79">
        <f>IFERROR('Fat Spreads'!BE79,"")</f>
        <v>0</v>
      </c>
      <c r="FV79">
        <f>IFERROR(('Fat Spreads'!BF79-AVERAGE('Fat Spreads'!$BF$3:$BF$4308))/STDEV('Fat Spreads'!$BF$3:$BF$4308),"")</f>
        <v>9.2057461789832332E-2</v>
      </c>
      <c r="FW79">
        <f>IFERROR('Fat Spreads'!BF79-'Fat Spreads'!BF84,"")</f>
        <v>0</v>
      </c>
      <c r="FX79">
        <f>IFERROR('Fat Spreads'!BF79-'Fat Spreads'!BF89,"")</f>
        <v>0</v>
      </c>
      <c r="FY79">
        <f>IFERROR(AVERAGE('Fat Spreads'!BF79:BF98)+2*STDEV('Fat Spreads'!BF79:BF98),"")</f>
        <v>0</v>
      </c>
      <c r="FZ79">
        <f>IFERROR(AVERAGE('Fat Spreads'!BF79:BF98)-2*STDEV('Fat Spreads'!BF79:BF98),"")</f>
        <v>0</v>
      </c>
      <c r="GA79" t="str">
        <f>IFERROR(('Fat Spreads'!BF79-(AVERAGE('Fat Spreads'!BF79:BF98)-2*STDEV('Fat Spreads'!BF79:BF98)))/(4*STDEV('Fat Spreads'!BF79:BF98)),"")</f>
        <v/>
      </c>
      <c r="GB79" t="str">
        <f>IFERROR(4*STDEV('Fat Spreads'!BF79:BF98)/AVERAGE('Fat Spreads'!BF79:BF98),"")</f>
        <v/>
      </c>
      <c r="GC79">
        <v>40.7057</v>
      </c>
      <c r="GD79">
        <f>IFERROR(SQRT((SUMSQ('Fat Spreads'!BF79:BF98)-2*SUMPRODUCT('Fat Spreads'!BF79:BF98,'Fat Spreads'!BF80:BF99)+SUMSQ('Fat Spreads'!BF80:BF99)-('Fat Spreads'!BF79-'Fat Spreads'!BF99)^2/20)/19),"")</f>
        <v>0</v>
      </c>
    </row>
    <row r="80" spans="1:186" x14ac:dyDescent="0.25">
      <c r="A80">
        <f>IFERROR('Fat Spreads'!A80,"")</f>
        <v>0</v>
      </c>
      <c r="B80">
        <f>IFERROR(('Fat Spreads'!B80-AVERAGE('Fat Spreads'!$B$3:$B$4308))/STDEV('Fat Spreads'!$B$3:$B$4308),"")</f>
        <v>9.2057461789832346E-2</v>
      </c>
      <c r="C80">
        <f>IFERROR('Fat Spreads'!B80-'Fat Spreads'!B85,"")</f>
        <v>0</v>
      </c>
      <c r="D80">
        <f>IFERROR('Fat Spreads'!B80-'Fat Spreads'!B90,"")</f>
        <v>0</v>
      </c>
      <c r="E80">
        <f>IFERROR(AVERAGE('Fat Spreads'!B80:B99)+2*STDEV('Fat Spreads'!B80:B99),"")</f>
        <v>0</v>
      </c>
      <c r="F80">
        <f>IFERROR(AVERAGE('Fat Spreads'!B80:B99)-2*STDEV('Fat Spreads'!B80:B99),"")</f>
        <v>0</v>
      </c>
      <c r="G80" t="str">
        <f>IFERROR(('Fat Spreads'!B80-(AVERAGE('Fat Spreads'!B80:B99)-2*STDEV('Fat Spreads'!B80:B99)))/(4*STDEV('Fat Spreads'!B80:B99)),"")</f>
        <v/>
      </c>
      <c r="H80" t="str">
        <f>IFERROR(4*STDEV('Fat Spreads'!B80:B99)/AVERAGE('Fat Spreads'!B80:B99),"")</f>
        <v/>
      </c>
      <c r="I80">
        <v>48.318600000000004</v>
      </c>
      <c r="J80">
        <f>IFERROR(SQRT((SUMSQ('Fat Spreads'!B80:B99)-2*SUMPRODUCT('Fat Spreads'!B80:B99,'Fat Spreads'!B81:B100)+SUMSQ('Fat Spreads'!B81:B100)-('Fat Spreads'!B80-'Fat Spreads'!B100)^2/20)/19),"")</f>
        <v>0</v>
      </c>
      <c r="L80">
        <f>IFERROR('Fat Spreads'!H80,"")</f>
        <v>0</v>
      </c>
      <c r="M80">
        <f>IFERROR(('Fat Spreads'!I80-AVERAGE('Fat Spreads'!$I$3:$I$4308))/STDEV('Fat Spreads'!$I$3:$I$4308),"")</f>
        <v>-9.2057461789832332E-2</v>
      </c>
      <c r="N80">
        <f>IFERROR('Fat Spreads'!I80-'Fat Spreads'!I85,"")</f>
        <v>0</v>
      </c>
      <c r="O80">
        <f>IFERROR('Fat Spreads'!I80-'Fat Spreads'!I90,"")</f>
        <v>0</v>
      </c>
      <c r="P80">
        <f>IFERROR(AVERAGE('Fat Spreads'!I80:I99)+2*STDEV('Fat Spreads'!I80:I99),"")</f>
        <v>0</v>
      </c>
      <c r="Q80">
        <f>IFERROR(AVERAGE('Fat Spreads'!I80:I99)-2*STDEV('Fat Spreads'!I80:I99),"")</f>
        <v>0</v>
      </c>
      <c r="R80" t="str">
        <f>IFERROR(('Fat Spreads'!I80-(AVERAGE('Fat Spreads'!I80:I99)-2*STDEV('Fat Spreads'!I80:I99)))/(4*STDEV('Fat Spreads'!I80:I99)),"")</f>
        <v/>
      </c>
      <c r="S80" t="str">
        <f>IFERROR(4*STDEV('Fat Spreads'!I80:I99)/AVERAGE('Fat Spreads'!I80:I99),"")</f>
        <v/>
      </c>
      <c r="T80">
        <v>44.741799999999998</v>
      </c>
      <c r="U80">
        <f>IFERROR(SQRT((SUMSQ('Fat Spreads'!I80:I99)-2*SUMPRODUCT('Fat Spreads'!I80:I99,'Fat Spreads'!I81:I100)+SUMSQ('Fat Spreads'!I81:I100)-('Fat Spreads'!I80-'Fat Spreads'!I100)^2/20)/19),"")</f>
        <v>0</v>
      </c>
      <c r="W80">
        <f>IFERROR('Fat Spreads'!AQ80,"")</f>
        <v>0</v>
      </c>
      <c r="X80">
        <f>IFERROR(('Fat Spreads'!AR80-AVERAGE('Fat Spreads'!$AR$3:$AR$4308))/STDEV('Fat Spreads'!$AR$3:$AR$4308),"")</f>
        <v>-9.2057461789832346E-2</v>
      </c>
      <c r="Y80">
        <f>IFERROR('Fat Spreads'!AR80-'Fat Spreads'!AR85,"")</f>
        <v>0</v>
      </c>
      <c r="Z80">
        <f>IFERROR('Fat Spreads'!AR80-'Fat Spreads'!AR90,"")</f>
        <v>0</v>
      </c>
      <c r="AA80">
        <f>IFERROR(AVERAGE('Fat Spreads'!AR80:AR99)+2*STDEV('Fat Spreads'!AR80:AR99),"")</f>
        <v>0</v>
      </c>
      <c r="AB80">
        <f>IFERROR(AVERAGE('Fat Spreads'!AR80:AR99)-2*STDEV('Fat Spreads'!AR80:AR99),"")</f>
        <v>0</v>
      </c>
      <c r="AC80" t="str">
        <f>IFERROR(('Fat Spreads'!AR80-(AVERAGE('Fat Spreads'!AR80:AR99)-2*STDEV('Fat Spreads'!AR80:AR99)))/(4*STDEV('Fat Spreads'!AR80:AR99)),"")</f>
        <v/>
      </c>
      <c r="AD80" t="str">
        <f>IFERROR(4*STDEV('Fat Spreads'!AR80:AR99)/AVERAGE('Fat Spreads'!AR80:AR99),"")</f>
        <v/>
      </c>
      <c r="AE80">
        <v>71.105199999999996</v>
      </c>
      <c r="AF80">
        <f>IFERROR(SQRT((SUMSQ('Fat Spreads'!AR80:AR99)-2*SUMPRODUCT('Fat Spreads'!AR80:AR99,'Fat Spreads'!AR81:AR100)+SUMSQ('Fat Spreads'!AR81:AR100)-('Fat Spreads'!AR80-'Fat Spreads'!AR100)^2/20)/19),"")</f>
        <v>0</v>
      </c>
      <c r="AH80">
        <f>IFERROR('Fat Spreads'!O80,"")</f>
        <v>0</v>
      </c>
      <c r="AI80">
        <f>IFERROR(('Fat Spreads'!P80-AVERAGE('Fat Spreads'!$P$3:$P$4308))/STDEV('Fat Spreads'!$P$3:$P$4308),"")</f>
        <v>-9.2057461789832332E-2</v>
      </c>
      <c r="AJ80">
        <f>IFERROR('Fat Spreads'!P80-'Fat Spreads'!P85,"")</f>
        <v>0</v>
      </c>
      <c r="AK80">
        <f>IFERROR('Fat Spreads'!P80-'Fat Spreads'!P90,"")</f>
        <v>0</v>
      </c>
      <c r="AL80">
        <f>IFERROR(AVERAGE('Fat Spreads'!P80:P99)+2*STDEV('Fat Spreads'!P80:P99),"")</f>
        <v>0</v>
      </c>
      <c r="AM80">
        <f>IFERROR(AVERAGE('Fat Spreads'!P80:P99)-2*STDEV('Fat Spreads'!P80:P99),"")</f>
        <v>0</v>
      </c>
      <c r="AN80" t="str">
        <f>IFERROR(('Fat Spreads'!P80-(AVERAGE('Fat Spreads'!P80:P99)-2*STDEV('Fat Spreads'!P80:P99)))/(4*STDEV('Fat Spreads'!P80:P99)),"")</f>
        <v/>
      </c>
      <c r="AO80" t="str">
        <f>IFERROR(4*STDEV('Fat Spreads'!P80:P99)/AVERAGE('Fat Spreads'!P80:P99),"")</f>
        <v/>
      </c>
      <c r="AP80">
        <v>49.2883</v>
      </c>
      <c r="AQ80">
        <f>IFERROR(SQRT((SUMSQ('Fat Spreads'!P80:P99)-2*SUMPRODUCT('Fat Spreads'!P80:P99,'Fat Spreads'!P81:P100)+SUMSQ('Fat Spreads'!P81:P100)-('Fat Spreads'!P80-'Fat Spreads'!P100)^2/20)/19),"")</f>
        <v>0</v>
      </c>
      <c r="AS80">
        <f>IFERROR('Fat Spreads'!AJ80,"")</f>
        <v>0</v>
      </c>
      <c r="AT80">
        <f>IFERROR(('Fat Spreads'!AK80-AVERAGE('Fat Spreads'!$AK$3:$AK$4308))/STDEV('Fat Spreads'!$AK$3:$AK$4308),"")</f>
        <v>-9.2057461789832332E-2</v>
      </c>
      <c r="AU80">
        <f>IFERROR('Fat Spreads'!AK80-'Fat Spreads'!AK85,"")</f>
        <v>0</v>
      </c>
      <c r="AV80">
        <f>IFERROR('Fat Spreads'!AK80-'Fat Spreads'!AK90,"")</f>
        <v>0</v>
      </c>
      <c r="AW80">
        <f>IFERROR(AVERAGE('Fat Spreads'!AK80:AK99)+2*STDEV('Fat Spreads'!AK80:AK99),"")</f>
        <v>0</v>
      </c>
      <c r="AX80">
        <f>IFERROR(AVERAGE('Fat Spreads'!AK80:AK99)-2*STDEV('Fat Spreads'!AK80:AK99),"")</f>
        <v>0</v>
      </c>
      <c r="AY80" t="str">
        <f>IFERROR(('Fat Spreads'!AK80-(AVERAGE('Fat Spreads'!AK80:AK99)-2*STDEV('Fat Spreads'!AK80:AK99)))/(4*STDEV('Fat Spreads'!AK80:AK99)),"")</f>
        <v/>
      </c>
      <c r="AZ80" t="str">
        <f>IFERROR(4*STDEV('Fat Spreads'!AK80:AK99)/AVERAGE('Fat Spreads'!AK80:AK99),"")</f>
        <v/>
      </c>
      <c r="BA80">
        <v>34.473500000000001</v>
      </c>
      <c r="BB80">
        <f>IFERROR(SQRT((SUMSQ('Fat Spreads'!AK80:AK99)-2*SUMPRODUCT('Fat Spreads'!AK80:AK99,'Fat Spreads'!AK81:AK100)+SUMSQ('Fat Spreads'!AK81:AK100)-('Fat Spreads'!AK80-'Fat Spreads'!AK100)^2/20)/19),"")</f>
        <v>0</v>
      </c>
      <c r="BD80">
        <f>IFERROR('Fat Spreads'!V80,"")</f>
        <v>0</v>
      </c>
      <c r="BE80">
        <f>IFERROR(('Fat Spreads'!W80-AVERAGE('Fat Spreads'!$W$3:$W$4308))/STDEV('Fat Spreads'!$W$3:$W$4308),"")</f>
        <v>-9.2057461789832332E-2</v>
      </c>
      <c r="BF80">
        <f>IFERROR('Fat Spreads'!W80-'Fat Spreads'!W85,"")</f>
        <v>0</v>
      </c>
      <c r="BG80">
        <f>IFERROR('Fat Spreads'!W80-'Fat Spreads'!W90,"")</f>
        <v>0</v>
      </c>
      <c r="BH80">
        <f>IFERROR(AVERAGE('Fat Spreads'!W80:W99)+2*STDEV('Fat Spreads'!W80:W99),"")</f>
        <v>0</v>
      </c>
      <c r="BI80">
        <f>IFERROR(AVERAGE('Fat Spreads'!W80:W99)-2*STDEV('Fat Spreads'!W80:W99),"")</f>
        <v>0</v>
      </c>
      <c r="BJ80" t="str">
        <f>IFERROR(('Fat Spreads'!W80-(AVERAGE('Fat Spreads'!W80:W99)-2*STDEV('Fat Spreads'!W80:W99)))/(4*STDEV('Fat Spreads'!W80:W99)),"")</f>
        <v/>
      </c>
      <c r="BK80" t="str">
        <f>IFERROR(4*STDEV('Fat Spreads'!W80:W99)/AVERAGE('Fat Spreads'!W80:W99),"")</f>
        <v/>
      </c>
      <c r="BL80">
        <v>71.422300000000007</v>
      </c>
      <c r="BM80">
        <f>IFERROR(SQRT((SUMSQ('Fat Spreads'!W80:W99)-2*SUMPRODUCT('Fat Spreads'!W80:W99,'Fat Spreads'!W81:W100)+SUMSQ('Fat Spreads'!W81:W100)-('Fat Spreads'!W80-'Fat Spreads'!W100)^2/20)/19),"")</f>
        <v>0</v>
      </c>
      <c r="BO80">
        <f>IFERROR('Fat Spreads'!AC80,"")</f>
        <v>0</v>
      </c>
      <c r="BP80">
        <f>IFERROR(('Fat Spreads'!AD80-AVERAGE('Fat Spreads'!$AD$3:$AD$4308))/STDEV('Fat Spreads'!$AD$3:$AD$4308),"")</f>
        <v>-9.2057461789832332E-2</v>
      </c>
      <c r="BQ80">
        <f>IFERROR('Fat Spreads'!AD80-'Fat Spreads'!AD85,"")</f>
        <v>0</v>
      </c>
      <c r="BR80">
        <f>IFERROR('Fat Spreads'!AD80-'Fat Spreads'!AD90,"")</f>
        <v>0</v>
      </c>
      <c r="BS80">
        <f>IFERROR(AVERAGE('Fat Spreads'!AD80:AD99)+2*STDEV('Fat Spreads'!AD80:AD99),"")</f>
        <v>0</v>
      </c>
      <c r="BT80">
        <f>IFERROR(AVERAGE('Fat Spreads'!AD80:AD99)-2*STDEV('Fat Spreads'!AD80:AD99),"")</f>
        <v>0</v>
      </c>
      <c r="BU80" t="str">
        <f>IFERROR(('Fat Spreads'!AD80-(AVERAGE('Fat Spreads'!AD80:AD99)-2*STDEV('Fat Spreads'!AD80:AD99)))/(4*STDEV('Fat Spreads'!AD80:AD99)),"")</f>
        <v/>
      </c>
      <c r="BV80" t="str">
        <f>IFERROR(4*STDEV('Fat Spreads'!AD80:AD99)/AVERAGE('Fat Spreads'!AD80:AD99),"")</f>
        <v/>
      </c>
      <c r="BW80">
        <v>37.487900000000003</v>
      </c>
      <c r="BX80">
        <f>IFERROR(SQRT((SUMSQ('Fat Spreads'!AD80:AD99)-2*SUMPRODUCT('Fat Spreads'!AD80:AD99,'Fat Spreads'!AD81:AD100)+SUMSQ('Fat Spreads'!AD81:AD100)-('Fat Spreads'!AD80-'Fat Spreads'!AD100)^2/20)/19),"")</f>
        <v>0</v>
      </c>
      <c r="BZ80">
        <f>IFERROR('Feeder Spreads'!A80,"")</f>
        <v>0</v>
      </c>
      <c r="CA80">
        <f>IFERROR(('Feeder Spreads'!B80-AVERAGE('Feeder Spreads'!$B$3:$B$4308))/STDEV('Feeder Spreads'!$B$3:$B$4308),"")</f>
        <v>-9.2057461789832346E-2</v>
      </c>
      <c r="CB80">
        <f>IFERROR('Feeder Spreads'!B80-'Feeder Spreads'!B85,"")</f>
        <v>0</v>
      </c>
      <c r="CC80">
        <f>IFERROR('Feeder Spreads'!B80-'Feeder Spreads'!B90,"")</f>
        <v>0</v>
      </c>
      <c r="CD80">
        <f>IFERROR(AVERAGE('Feeder Spreads'!B80:B99)+2*STDEV('Feeder Spreads'!B80:B99),"")</f>
        <v>0</v>
      </c>
      <c r="CE80">
        <f>IFERROR(AVERAGE('Feeder Spreads'!B80:B99)-2*STDEV('Feeder Spreads'!B80:B99),"")</f>
        <v>0</v>
      </c>
      <c r="CF80" t="str">
        <f>IFERROR(('Feeder Spreads'!B80-(AVERAGE('Feeder Spreads'!B80:B99)-2*STDEV('Feeder Spreads'!B80:B99)))/(4*STDEV('Feeder Spreads'!B80:B99)),"")</f>
        <v/>
      </c>
      <c r="CG80" t="str">
        <f>IFERROR(4*STDEV('Feeder Spreads'!B80:B99)/AVERAGE('Feeder Spreads'!B80:B99),"")</f>
        <v/>
      </c>
      <c r="CH80">
        <v>53.546900000000001</v>
      </c>
      <c r="CI80">
        <f>IFERROR(SQRT((SUMSQ('Feeder Spreads'!B80:B99)-2*SUMPRODUCT('Feeder Spreads'!B80:B99,'Feeder Spreads'!B81:B100)+SUMSQ('Feeder Spreads'!B81:B100)-('Feeder Spreads'!B80-'Feeder Spreads'!B100)^2/20)/19),"")</f>
        <v>0</v>
      </c>
      <c r="CK80">
        <f>IFERROR('Feeder Spreads'!AX80,"")</f>
        <v>0</v>
      </c>
      <c r="CL80">
        <f>IFERROR(('Feeder Spreads'!AY80-AVERAGE('Feeder Spreads'!$AY$3:$AY$4308))/STDEV('Feeder Spreads'!$AY$3:$AY$4308),"")</f>
        <v>-9.2057461789832346E-2</v>
      </c>
      <c r="CM80">
        <f>IFERROR('Feeder Spreads'!AY80-'Feeder Spreads'!AY85,"")</f>
        <v>0</v>
      </c>
      <c r="CN80">
        <f>IFERROR('Feeder Spreads'!AY80-'Feeder Spreads'!AY90,"")</f>
        <v>0</v>
      </c>
      <c r="CO80">
        <f>IFERROR(AVERAGE('Feeder Spreads'!AY80:AY99)+2*STDEV('Feeder Spreads'!AY80:AY99),"")</f>
        <v>0</v>
      </c>
      <c r="CP80">
        <f>IFERROR(AVERAGE('Feeder Spreads'!AY80:AY99)-2*STDEV('Feeder Spreads'!AY80:AY99),"")</f>
        <v>0</v>
      </c>
      <c r="CQ80" t="str">
        <f>IFERROR(('Feeder Spreads'!AY80-(AVERAGE('Feeder Spreads'!AY80:AY99)-2*STDEV('Feeder Spreads'!AY80:AY99)))/(4*STDEV('Feeder Spreads'!AY80:AY99)),"")</f>
        <v/>
      </c>
      <c r="CR80" t="str">
        <f>IFERROR(4*STDEV('Feeder Spreads'!AY80:AY99)/AVERAGE('Feeder Spreads'!AY80:AY99),"")</f>
        <v/>
      </c>
      <c r="CS80">
        <v>37.0124</v>
      </c>
      <c r="CT80">
        <f>IFERROR(SQRT((SUMSQ('Feeder Spreads'!AY80:AY99)-2*SUMPRODUCT('Feeder Spreads'!AY80:AY99,'Feeder Spreads'!AY81:AY100)+SUMSQ('Feeder Spreads'!AY81:AY100)-('Feeder Spreads'!AY80-'Feeder Spreads'!AY100)^2/20)/19),"")</f>
        <v>0</v>
      </c>
      <c r="CV80">
        <f>IFERROR('Feeder Spreads'!H80,"")</f>
        <v>0</v>
      </c>
      <c r="CW80">
        <f>IFERROR(('Feeder Spreads'!I80-AVERAGE('Feeder Spreads'!$I$3:$I$4308))/STDEV('Feeder Spreads'!$I$3:$I$4308),"")</f>
        <v>-9.2057461789832332E-2</v>
      </c>
      <c r="CX80">
        <f>IFERROR('Feeder Spreads'!I80-'Feeder Spreads'!I85,"")</f>
        <v>0</v>
      </c>
      <c r="CY80">
        <f>IFERROR('Feeder Spreads'!I80-'Feeder Spreads'!I90,"")</f>
        <v>0</v>
      </c>
      <c r="CZ80">
        <f>IFERROR(AVERAGE('Feeder Spreads'!I80:I99)+2*STDEV('Feeder Spreads'!I80:I99),"")</f>
        <v>0</v>
      </c>
      <c r="DA80">
        <f>IFERROR(AVERAGE('Feeder Spreads'!I80:I99)-2*STDEV('Feeder Spreads'!I80:I99),"")</f>
        <v>0</v>
      </c>
      <c r="DB80" t="str">
        <f>IFERROR(('Feeder Spreads'!I80-(AVERAGE('Feeder Spreads'!I80:I99)-2*STDEV('Feeder Spreads'!I80:I99)))/(4*STDEV('Feeder Spreads'!I80:I99)),"")</f>
        <v/>
      </c>
      <c r="DC80" t="str">
        <f>IFERROR(4*STDEV('Feeder Spreads'!I80:I99)/AVERAGE('Feeder Spreads'!I80:I99),"")</f>
        <v/>
      </c>
      <c r="DD80">
        <v>67.332700000000003</v>
      </c>
      <c r="DE80">
        <f>IFERROR(SQRT((SUMSQ('Feeder Spreads'!I80:I99)-2*SUMPRODUCT('Feeder Spreads'!I80:I99,'Feeder Spreads'!I81:I100)+SUMSQ('Feeder Spreads'!I81:I100)-('Feeder Spreads'!I80-'Feeder Spreads'!I100)^2/20)/19),"")</f>
        <v>0</v>
      </c>
      <c r="DG80">
        <f>IFERROR('Feeder Spreads'!O80,"")</f>
        <v>0</v>
      </c>
      <c r="DH80">
        <f>IFERROR(('Feeder Spreads'!P80-AVERAGE('Feeder Spreads'!$P$3:$P$4308))/STDEV('Feeder Spreads'!$P$3:$P$4308),"")</f>
        <v>-9.2057461789832346E-2</v>
      </c>
      <c r="DI80">
        <f>IFERROR('Feeder Spreads'!P80-'Feeder Spreads'!P85,"")</f>
        <v>0</v>
      </c>
      <c r="DJ80">
        <f>IFERROR('Feeder Spreads'!P80-'Feeder Spreads'!P90,"")</f>
        <v>0</v>
      </c>
      <c r="DK80">
        <f>IFERROR(AVERAGE('Feeder Spreads'!P80:P99)+2*STDEV('Feeder Spreads'!P80:P99),"")</f>
        <v>0</v>
      </c>
      <c r="DL80">
        <f>IFERROR(AVERAGE('Feeder Spreads'!P80:P99)-2*STDEV('Feeder Spreads'!P80:P99),"")</f>
        <v>0</v>
      </c>
      <c r="DM80" t="str">
        <f>IFERROR(('Feeder Spreads'!P80-(AVERAGE('Feeder Spreads'!P80:P99)-2*STDEV('Feeder Spreads'!P80:P99)))/(4*STDEV('Feeder Spreads'!P80:P99)),"")</f>
        <v/>
      </c>
      <c r="DN80" t="str">
        <f>IFERROR(4*STDEV('Feeder Spreads'!P80:P99)/AVERAGE('Feeder Spreads'!P80:P99),"")</f>
        <v/>
      </c>
      <c r="DO80">
        <v>60.883000000000003</v>
      </c>
      <c r="DP80">
        <f>IFERROR(SQRT((SUMSQ('Feeder Spreads'!P80:P99)-2*SUMPRODUCT('Feeder Spreads'!P80:P99,'Feeder Spreads'!P81:P100)+SUMSQ('Feeder Spreads'!P81:P100)-('Feeder Spreads'!P80-'Feeder Spreads'!P100)^2/20)/19),"")</f>
        <v>0</v>
      </c>
      <c r="DR80">
        <f>IFERROR('Feeder Spreads'!V80,"")</f>
        <v>0</v>
      </c>
      <c r="DS80">
        <f>IFERROR(('Feeder Spreads'!W80-AVERAGE('Feeder Spreads'!$W$3:$W$4308))/STDEV('Feeder Spreads'!$W$3:$W$4308),"")</f>
        <v>-9.2057461789832332E-2</v>
      </c>
      <c r="DT80">
        <f>IFERROR('Feeder Spreads'!W80-'Feeder Spreads'!W85,"")</f>
        <v>0</v>
      </c>
      <c r="DU80">
        <f>IFERROR('Feeder Spreads'!W80-'Feeder Spreads'!W90,"")</f>
        <v>0</v>
      </c>
      <c r="DV80">
        <f>IFERROR(AVERAGE('Feeder Spreads'!W80:W99)+2*STDEV('Feeder Spreads'!W80:W99),"")</f>
        <v>0</v>
      </c>
      <c r="DW80">
        <f>IFERROR(AVERAGE('Feeder Spreads'!W80:W99)-2*STDEV('Feeder Spreads'!W80:W99),"")</f>
        <v>0</v>
      </c>
      <c r="DX80" t="str">
        <f>IFERROR(('Feeder Spreads'!W80-(AVERAGE('Feeder Spreads'!W80:W99)-2*STDEV('Feeder Spreads'!W80:W99)))/(4*STDEV('Feeder Spreads'!W80:W99)),"")</f>
        <v/>
      </c>
      <c r="DY80" t="str">
        <f>IFERROR(4*STDEV('Feeder Spreads'!W80:W99)/AVERAGE('Feeder Spreads'!W80:W99),"")</f>
        <v/>
      </c>
      <c r="DZ80">
        <v>60.318100000000001</v>
      </c>
      <c r="EA80">
        <f>IFERROR(SQRT((SUMSQ('Feeder Spreads'!W80:W99)-2*SUMPRODUCT('Feeder Spreads'!W80:W99,'Feeder Spreads'!W81:W100)+SUMSQ('Feeder Spreads'!W81:W100)-('Feeder Spreads'!W80-'Feeder Spreads'!W100)^2/20)/19),"")</f>
        <v>0</v>
      </c>
      <c r="EC80">
        <f>IFERROR('Feeder Spreads'!AC80,"")</f>
        <v>0</v>
      </c>
      <c r="ED80">
        <f>IFERROR(('Feeder Spreads'!AD80-AVERAGE('Feeder Spreads'!$AD$3:$AD$4308))/STDEV('Feeder Spreads'!$AD$3:$AD$4308),"")</f>
        <v>9.2057461789832318E-2</v>
      </c>
      <c r="EE80">
        <f>IFERROR('Feeder Spreads'!AD80-'Feeder Spreads'!AD85,"")</f>
        <v>0</v>
      </c>
      <c r="EF80">
        <f>IFERROR('Feeder Spreads'!AD80-'Feeder Spreads'!AD90,"")</f>
        <v>0</v>
      </c>
      <c r="EG80">
        <f>IFERROR(AVERAGE('Feeder Spreads'!AD80:AD99)+2*STDEV('Feeder Spreads'!AD80:AD99),"")</f>
        <v>0</v>
      </c>
      <c r="EH80">
        <f>IFERROR(AVERAGE('Feeder Spreads'!AD80:AD99)-2*STDEV('Feeder Spreads'!AD80:AD99),"")</f>
        <v>0</v>
      </c>
      <c r="EI80" t="str">
        <f>IFERROR(('Feeder Spreads'!AD80-(AVERAGE('Feeder Spreads'!AD80:AD99)-2*STDEV('Feeder Spreads'!AD80:AD99)))/(4*STDEV('Feeder Spreads'!AD80:AD99)),"")</f>
        <v/>
      </c>
      <c r="EJ80" t="str">
        <f>IFERROR(4*STDEV('Feeder Spreads'!AD80:AD99)/AVERAGE('Feeder Spreads'!AD80:AD99),"")</f>
        <v/>
      </c>
      <c r="EK80">
        <v>46.080800000000004</v>
      </c>
      <c r="EL80">
        <f>IFERROR(SQRT((SUMSQ('Feeder Spreads'!AD80:AD99)-2*SUMPRODUCT('Feeder Spreads'!AD80:AD99,'Feeder Spreads'!AD81:AD100)+SUMSQ('Feeder Spreads'!AD81:AD100)-('Feeder Spreads'!AD80-'Feeder Spreads'!AD100)^2/20)/19),"")</f>
        <v>0</v>
      </c>
      <c r="EN80">
        <f>IFERROR('Feeder Spreads'!AJ80,"")</f>
        <v>0</v>
      </c>
      <c r="EO80">
        <f>IFERROR(('Feeder Spreads'!AK80-AVERAGE('Feeder Spreads'!$AK$3:$AK$4308))/STDEV('Feeder Spreads'!$AK$3:$AK$4308),"")</f>
        <v>-9.2057461789832346E-2</v>
      </c>
      <c r="EP80">
        <f>IFERROR('Feeder Spreads'!AK80-'Feeder Spreads'!AK85,"")</f>
        <v>0</v>
      </c>
      <c r="EQ80">
        <f>IFERROR('Feeder Spreads'!AK80-'Feeder Spreads'!AK90,"")</f>
        <v>0</v>
      </c>
      <c r="ER80">
        <f>IFERROR(AVERAGE('Feeder Spreads'!AK80:AK99)+2*STDEV('Feeder Spreads'!AK80:AK99),"")</f>
        <v>0</v>
      </c>
      <c r="ES80">
        <f>IFERROR(AVERAGE('Feeder Spreads'!AK80:AK99)-2*STDEV('Feeder Spreads'!AK80:AK99),"")</f>
        <v>0</v>
      </c>
      <c r="ET80" t="str">
        <f>IFERROR(('Feeder Spreads'!AK80-(AVERAGE('Feeder Spreads'!AK80:AK99)-2*STDEV('Feeder Spreads'!AK80:AK99)))/(4*STDEV('Feeder Spreads'!AK80:AK99)),"")</f>
        <v/>
      </c>
      <c r="EU80" t="str">
        <f>IFERROR(4*STDEV('Feeder Spreads'!AK80:AK99)/AVERAGE('Feeder Spreads'!AK80:AK99),"")</f>
        <v/>
      </c>
      <c r="EV80">
        <v>60.957700000000003</v>
      </c>
      <c r="EW80">
        <f>IFERROR(SQRT((SUMSQ('Feeder Spreads'!AK80:AK99)-2*SUMPRODUCT('Feeder Spreads'!AK80:AK99,'Feeder Spreads'!AK81:AK100)+SUMSQ('Feeder Spreads'!AK81:AK100)-('Feeder Spreads'!AK80-'Feeder Spreads'!AK100)^2/20)/19),"")</f>
        <v>0</v>
      </c>
      <c r="EY80">
        <f>IFERROR('Feeder Spreads'!AQ80,"")</f>
        <v>0</v>
      </c>
      <c r="EZ80">
        <f>IFERROR(('Feeder Spreads'!AR80-AVERAGE('Feeder Spreads'!$AR$3:$AR$4308))/STDEV('Feeder Spreads'!$AR$3:$AR$4308),"")</f>
        <v>-9.2057461789832332E-2</v>
      </c>
      <c r="FA80">
        <f>IFERROR('Feeder Spreads'!AR80-'Feeder Spreads'!AR85,"")</f>
        <v>0</v>
      </c>
      <c r="FB80">
        <f>IFERROR('Feeder Spreads'!AR80-'Feeder Spreads'!AR90,"")</f>
        <v>0</v>
      </c>
      <c r="FC80">
        <f>IFERROR(AVERAGE('Feeder Spreads'!AR80:AR99)+2*STDEV('Feeder Spreads'!AR80:AR99),"")</f>
        <v>0</v>
      </c>
      <c r="FD80">
        <f>IFERROR(AVERAGE('Feeder Spreads'!AR80:AR99)-2*STDEV('Feeder Spreads'!AR80:AR99),"")</f>
        <v>0</v>
      </c>
      <c r="FE80" t="str">
        <f>IFERROR(('Feeder Spreads'!AR80-(AVERAGE('Feeder Spreads'!AR80:AR99)-2*STDEV('Feeder Spreads'!AR80:AR99)))/(4*STDEV('Feeder Spreads'!AR80:AR99)),"")</f>
        <v/>
      </c>
      <c r="FF80" t="str">
        <f>IFERROR(4*STDEV('Feeder Spreads'!AR80:AR99)/AVERAGE('Feeder Spreads'!AR80:AR99),"")</f>
        <v/>
      </c>
      <c r="FG80">
        <v>61.7654</v>
      </c>
      <c r="FH80">
        <f>IFERROR(SQRT((SUMSQ('Feeder Spreads'!AR80:AR99)-2*SUMPRODUCT('Feeder Spreads'!AR80:AR99,'Feeder Spreads'!AR81:AR100)+SUMSQ('Feeder Spreads'!AR81:AR100)-('Feeder Spreads'!AR80-'Feeder Spreads'!AR100)^2/20)/19),"")</f>
        <v>0</v>
      </c>
      <c r="FJ80">
        <f>IFERROR('Fat Spreads'!AX80,"")</f>
        <v>0</v>
      </c>
      <c r="FK80">
        <f>IFERROR(('Fat Spreads'!AY80-AVERAGE('Fat Spreads'!$AY$3:$AY$4308))/STDEV('Fat Spreads'!$AY$3:$AY$4308),"")</f>
        <v>9.2057461789832332E-2</v>
      </c>
      <c r="FL80">
        <f>IFERROR('Fat Spreads'!AY80-'Fat Spreads'!AY85,"")</f>
        <v>0</v>
      </c>
      <c r="FM80">
        <f>IFERROR('Fat Spreads'!AY80-'Fat Spreads'!AY90,"")</f>
        <v>0</v>
      </c>
      <c r="FN80">
        <f>IFERROR(AVERAGE('Fat Spreads'!AY80:AY99)+2*STDEV('Fat Spreads'!AY80:AY99),"")</f>
        <v>0</v>
      </c>
      <c r="FO80">
        <f>IFERROR(AVERAGE('Fat Spreads'!AY80:AY99)-2*STDEV('Fat Spreads'!AY80:AY99),"")</f>
        <v>0</v>
      </c>
      <c r="FP80" t="str">
        <f>IFERROR(('Fat Spreads'!AY80-(AVERAGE('Fat Spreads'!AY80:AY99)-2*STDEV('Fat Spreads'!AY80:AY99)))/(4*STDEV('Fat Spreads'!AY80:AY99)),"")</f>
        <v/>
      </c>
      <c r="FQ80" t="str">
        <f>IFERROR(4*STDEV('Fat Spreads'!AY80:AY99)/AVERAGE('Fat Spreads'!AY80:AY99),"")</f>
        <v/>
      </c>
      <c r="FR80">
        <v>38.6569</v>
      </c>
      <c r="FS80">
        <f>IFERROR(SQRT((SUMSQ('Fat Spreads'!AY80:AY99)-2*SUMPRODUCT('Fat Spreads'!AY80:AY99,'Fat Spreads'!AY81:AY100)+SUMSQ('Fat Spreads'!AY81:AY100)-('Fat Spreads'!AY80-'Fat Spreads'!AY100)^2/20)/19),"")</f>
        <v>0</v>
      </c>
      <c r="FU80">
        <f>IFERROR('Fat Spreads'!BE80,"")</f>
        <v>0</v>
      </c>
      <c r="FV80">
        <f>IFERROR(('Fat Spreads'!BF80-AVERAGE('Fat Spreads'!$BF$3:$BF$4308))/STDEV('Fat Spreads'!$BF$3:$BF$4308),"")</f>
        <v>9.2057461789832332E-2</v>
      </c>
      <c r="FW80">
        <f>IFERROR('Fat Spreads'!BF80-'Fat Spreads'!BF85,"")</f>
        <v>0</v>
      </c>
      <c r="FX80">
        <f>IFERROR('Fat Spreads'!BF80-'Fat Spreads'!BF90,"")</f>
        <v>0</v>
      </c>
      <c r="FY80">
        <f>IFERROR(AVERAGE('Fat Spreads'!BF80:BF99)+2*STDEV('Fat Spreads'!BF80:BF99),"")</f>
        <v>0</v>
      </c>
      <c r="FZ80">
        <f>IFERROR(AVERAGE('Fat Spreads'!BF80:BF99)-2*STDEV('Fat Spreads'!BF80:BF99),"")</f>
        <v>0</v>
      </c>
      <c r="GA80" t="str">
        <f>IFERROR(('Fat Spreads'!BF80-(AVERAGE('Fat Spreads'!BF80:BF99)-2*STDEV('Fat Spreads'!BF80:BF99)))/(4*STDEV('Fat Spreads'!BF80:BF99)),"")</f>
        <v/>
      </c>
      <c r="GB80" t="str">
        <f>IFERROR(4*STDEV('Fat Spreads'!BF80:BF99)/AVERAGE('Fat Spreads'!BF80:BF99),"")</f>
        <v/>
      </c>
      <c r="GC80">
        <v>46.7348</v>
      </c>
      <c r="GD80">
        <f>IFERROR(SQRT((SUMSQ('Fat Spreads'!BF80:BF99)-2*SUMPRODUCT('Fat Spreads'!BF80:BF99,'Fat Spreads'!BF81:BF100)+SUMSQ('Fat Spreads'!BF81:BF100)-('Fat Spreads'!BF80-'Fat Spreads'!BF100)^2/20)/19),"")</f>
        <v>0</v>
      </c>
    </row>
    <row r="81" spans="1:186" x14ac:dyDescent="0.25">
      <c r="A81">
        <f>IFERROR('Fat Spreads'!A81,"")</f>
        <v>0</v>
      </c>
      <c r="B81">
        <f>IFERROR(('Fat Spreads'!B81-AVERAGE('Fat Spreads'!$B$3:$B$4308))/STDEV('Fat Spreads'!$B$3:$B$4308),"")</f>
        <v>9.2057461789832346E-2</v>
      </c>
      <c r="C81">
        <f>IFERROR('Fat Spreads'!B81-'Fat Spreads'!B86,"")</f>
        <v>0</v>
      </c>
      <c r="D81">
        <f>IFERROR('Fat Spreads'!B81-'Fat Spreads'!B91,"")</f>
        <v>0</v>
      </c>
      <c r="E81">
        <f>IFERROR(AVERAGE('Fat Spreads'!B81:B100)+2*STDEV('Fat Spreads'!B81:B100),"")</f>
        <v>0</v>
      </c>
      <c r="F81">
        <f>IFERROR(AVERAGE('Fat Spreads'!B81:B100)-2*STDEV('Fat Spreads'!B81:B100),"")</f>
        <v>0</v>
      </c>
      <c r="G81" t="str">
        <f>IFERROR(('Fat Spreads'!B81-(AVERAGE('Fat Spreads'!B81:B100)-2*STDEV('Fat Spreads'!B81:B100)))/(4*STDEV('Fat Spreads'!B81:B100)),"")</f>
        <v/>
      </c>
      <c r="H81" t="str">
        <f>IFERROR(4*STDEV('Fat Spreads'!B81:B100)/AVERAGE('Fat Spreads'!B81:B100),"")</f>
        <v/>
      </c>
      <c r="I81">
        <v>46.327800000000003</v>
      </c>
      <c r="J81">
        <f>IFERROR(SQRT((SUMSQ('Fat Spreads'!B81:B100)-2*SUMPRODUCT('Fat Spreads'!B81:B100,'Fat Spreads'!B82:B101)+SUMSQ('Fat Spreads'!B82:B101)-('Fat Spreads'!B81-'Fat Spreads'!B101)^2/20)/19),"")</f>
        <v>0</v>
      </c>
      <c r="L81">
        <f>IFERROR('Fat Spreads'!H81,"")</f>
        <v>0</v>
      </c>
      <c r="M81">
        <f>IFERROR(('Fat Spreads'!I81-AVERAGE('Fat Spreads'!$I$3:$I$4308))/STDEV('Fat Spreads'!$I$3:$I$4308),"")</f>
        <v>-9.2057461789832332E-2</v>
      </c>
      <c r="N81">
        <f>IFERROR('Fat Spreads'!I81-'Fat Spreads'!I86,"")</f>
        <v>0</v>
      </c>
      <c r="O81">
        <f>IFERROR('Fat Spreads'!I81-'Fat Spreads'!I91,"")</f>
        <v>0</v>
      </c>
      <c r="P81">
        <f>IFERROR(AVERAGE('Fat Spreads'!I81:I100)+2*STDEV('Fat Spreads'!I81:I100),"")</f>
        <v>0</v>
      </c>
      <c r="Q81">
        <f>IFERROR(AVERAGE('Fat Spreads'!I81:I100)-2*STDEV('Fat Spreads'!I81:I100),"")</f>
        <v>0</v>
      </c>
      <c r="R81" t="str">
        <f>IFERROR(('Fat Spreads'!I81-(AVERAGE('Fat Spreads'!I81:I100)-2*STDEV('Fat Spreads'!I81:I100)))/(4*STDEV('Fat Spreads'!I81:I100)),"")</f>
        <v/>
      </c>
      <c r="S81" t="str">
        <f>IFERROR(4*STDEV('Fat Spreads'!I81:I100)/AVERAGE('Fat Spreads'!I81:I100),"")</f>
        <v/>
      </c>
      <c r="T81">
        <v>40.977400000000003</v>
      </c>
      <c r="U81">
        <f>IFERROR(SQRT((SUMSQ('Fat Spreads'!I81:I100)-2*SUMPRODUCT('Fat Spreads'!I81:I100,'Fat Spreads'!I82:I101)+SUMSQ('Fat Spreads'!I82:I101)-('Fat Spreads'!I81-'Fat Spreads'!I101)^2/20)/19),"")</f>
        <v>0</v>
      </c>
      <c r="W81">
        <f>IFERROR('Fat Spreads'!AQ81,"")</f>
        <v>0</v>
      </c>
      <c r="X81">
        <f>IFERROR(('Fat Spreads'!AR81-AVERAGE('Fat Spreads'!$AR$3:$AR$4308))/STDEV('Fat Spreads'!$AR$3:$AR$4308),"")</f>
        <v>-9.2057461789832346E-2</v>
      </c>
      <c r="Y81">
        <f>IFERROR('Fat Spreads'!AR81-'Fat Spreads'!AR86,"")</f>
        <v>0</v>
      </c>
      <c r="Z81">
        <f>IFERROR('Fat Spreads'!AR81-'Fat Spreads'!AR91,"")</f>
        <v>0</v>
      </c>
      <c r="AA81">
        <f>IFERROR(AVERAGE('Fat Spreads'!AR81:AR100)+2*STDEV('Fat Spreads'!AR81:AR100),"")</f>
        <v>0</v>
      </c>
      <c r="AB81">
        <f>IFERROR(AVERAGE('Fat Spreads'!AR81:AR100)-2*STDEV('Fat Spreads'!AR81:AR100),"")</f>
        <v>0</v>
      </c>
      <c r="AC81" t="str">
        <f>IFERROR(('Fat Spreads'!AR81-(AVERAGE('Fat Spreads'!AR81:AR100)-2*STDEV('Fat Spreads'!AR81:AR100)))/(4*STDEV('Fat Spreads'!AR81:AR100)),"")</f>
        <v/>
      </c>
      <c r="AD81" t="str">
        <f>IFERROR(4*STDEV('Fat Spreads'!AR81:AR100)/AVERAGE('Fat Spreads'!AR81:AR100),"")</f>
        <v/>
      </c>
      <c r="AE81">
        <v>70.679900000000004</v>
      </c>
      <c r="AF81">
        <f>IFERROR(SQRT((SUMSQ('Fat Spreads'!AR81:AR100)-2*SUMPRODUCT('Fat Spreads'!AR81:AR100,'Fat Spreads'!AR82:AR101)+SUMSQ('Fat Spreads'!AR82:AR101)-('Fat Spreads'!AR81-'Fat Spreads'!AR101)^2/20)/19),"")</f>
        <v>0</v>
      </c>
      <c r="AH81">
        <f>IFERROR('Fat Spreads'!O81,"")</f>
        <v>0</v>
      </c>
      <c r="AI81">
        <f>IFERROR(('Fat Spreads'!P81-AVERAGE('Fat Spreads'!$P$3:$P$4308))/STDEV('Fat Spreads'!$P$3:$P$4308),"")</f>
        <v>-9.2057461789832332E-2</v>
      </c>
      <c r="AJ81">
        <f>IFERROR('Fat Spreads'!P81-'Fat Spreads'!P86,"")</f>
        <v>0</v>
      </c>
      <c r="AK81">
        <f>IFERROR('Fat Spreads'!P81-'Fat Spreads'!P91,"")</f>
        <v>0</v>
      </c>
      <c r="AL81">
        <f>IFERROR(AVERAGE('Fat Spreads'!P81:P100)+2*STDEV('Fat Spreads'!P81:P100),"")</f>
        <v>0</v>
      </c>
      <c r="AM81">
        <f>IFERROR(AVERAGE('Fat Spreads'!P81:P100)-2*STDEV('Fat Spreads'!P81:P100),"")</f>
        <v>0</v>
      </c>
      <c r="AN81" t="str">
        <f>IFERROR(('Fat Spreads'!P81-(AVERAGE('Fat Spreads'!P81:P100)-2*STDEV('Fat Spreads'!P81:P100)))/(4*STDEV('Fat Spreads'!P81:P100)),"")</f>
        <v/>
      </c>
      <c r="AO81" t="str">
        <f>IFERROR(4*STDEV('Fat Spreads'!P81:P100)/AVERAGE('Fat Spreads'!P81:P100),"")</f>
        <v/>
      </c>
      <c r="AP81">
        <v>46.631799999999998</v>
      </c>
      <c r="AQ81">
        <f>IFERROR(SQRT((SUMSQ('Fat Spreads'!P81:P100)-2*SUMPRODUCT('Fat Spreads'!P81:P100,'Fat Spreads'!P82:P101)+SUMSQ('Fat Spreads'!P82:P101)-('Fat Spreads'!P81-'Fat Spreads'!P101)^2/20)/19),"")</f>
        <v>0</v>
      </c>
      <c r="AS81">
        <f>IFERROR('Fat Spreads'!AJ81,"")</f>
        <v>0</v>
      </c>
      <c r="AT81">
        <f>IFERROR(('Fat Spreads'!AK81-AVERAGE('Fat Spreads'!$AK$3:$AK$4308))/STDEV('Fat Spreads'!$AK$3:$AK$4308),"")</f>
        <v>-9.2057461789832332E-2</v>
      </c>
      <c r="AU81">
        <f>IFERROR('Fat Spreads'!AK81-'Fat Spreads'!AK86,"")</f>
        <v>0</v>
      </c>
      <c r="AV81">
        <f>IFERROR('Fat Spreads'!AK81-'Fat Spreads'!AK91,"")</f>
        <v>0</v>
      </c>
      <c r="AW81">
        <f>IFERROR(AVERAGE('Fat Spreads'!AK81:AK100)+2*STDEV('Fat Spreads'!AK81:AK100),"")</f>
        <v>0</v>
      </c>
      <c r="AX81">
        <f>IFERROR(AVERAGE('Fat Spreads'!AK81:AK100)-2*STDEV('Fat Spreads'!AK81:AK100),"")</f>
        <v>0</v>
      </c>
      <c r="AY81" t="str">
        <f>IFERROR(('Fat Spreads'!AK81-(AVERAGE('Fat Spreads'!AK81:AK100)-2*STDEV('Fat Spreads'!AK81:AK100)))/(4*STDEV('Fat Spreads'!AK81:AK100)),"")</f>
        <v/>
      </c>
      <c r="AZ81" t="str">
        <f>IFERROR(4*STDEV('Fat Spreads'!AK81:AK100)/AVERAGE('Fat Spreads'!AK81:AK100),"")</f>
        <v/>
      </c>
      <c r="BA81">
        <v>43.7151</v>
      </c>
      <c r="BB81">
        <f>IFERROR(SQRT((SUMSQ('Fat Spreads'!AK81:AK100)-2*SUMPRODUCT('Fat Spreads'!AK81:AK100,'Fat Spreads'!AK82:AK101)+SUMSQ('Fat Spreads'!AK82:AK101)-('Fat Spreads'!AK81-'Fat Spreads'!AK101)^2/20)/19),"")</f>
        <v>0</v>
      </c>
      <c r="BD81">
        <f>IFERROR('Fat Spreads'!V81,"")</f>
        <v>0</v>
      </c>
      <c r="BE81">
        <f>IFERROR(('Fat Spreads'!W81-AVERAGE('Fat Spreads'!$W$3:$W$4308))/STDEV('Fat Spreads'!$W$3:$W$4308),"")</f>
        <v>-9.2057461789832332E-2</v>
      </c>
      <c r="BF81">
        <f>IFERROR('Fat Spreads'!W81-'Fat Spreads'!W86,"")</f>
        <v>0</v>
      </c>
      <c r="BG81">
        <f>IFERROR('Fat Spreads'!W81-'Fat Spreads'!W91,"")</f>
        <v>0</v>
      </c>
      <c r="BH81">
        <f>IFERROR(AVERAGE('Fat Spreads'!W81:W100)+2*STDEV('Fat Spreads'!W81:W100),"")</f>
        <v>0</v>
      </c>
      <c r="BI81">
        <f>IFERROR(AVERAGE('Fat Spreads'!W81:W100)-2*STDEV('Fat Spreads'!W81:W100),"")</f>
        <v>0</v>
      </c>
      <c r="BJ81" t="str">
        <f>IFERROR(('Fat Spreads'!W81-(AVERAGE('Fat Spreads'!W81:W100)-2*STDEV('Fat Spreads'!W81:W100)))/(4*STDEV('Fat Spreads'!W81:W100)),"")</f>
        <v/>
      </c>
      <c r="BK81" t="str">
        <f>IFERROR(4*STDEV('Fat Spreads'!W81:W100)/AVERAGE('Fat Spreads'!W81:W100),"")</f>
        <v/>
      </c>
      <c r="BL81">
        <v>71.302400000000006</v>
      </c>
      <c r="BM81">
        <f>IFERROR(SQRT((SUMSQ('Fat Spreads'!W81:W100)-2*SUMPRODUCT('Fat Spreads'!W81:W100,'Fat Spreads'!W82:W101)+SUMSQ('Fat Spreads'!W82:W101)-('Fat Spreads'!W81-'Fat Spreads'!W101)^2/20)/19),"")</f>
        <v>0</v>
      </c>
      <c r="BO81">
        <f>IFERROR('Fat Spreads'!AC81,"")</f>
        <v>0</v>
      </c>
      <c r="BP81">
        <f>IFERROR(('Fat Spreads'!AD81-AVERAGE('Fat Spreads'!$AD$3:$AD$4308))/STDEV('Fat Spreads'!$AD$3:$AD$4308),"")</f>
        <v>-9.2057461789832332E-2</v>
      </c>
      <c r="BQ81">
        <f>IFERROR('Fat Spreads'!AD81-'Fat Spreads'!AD86,"")</f>
        <v>0</v>
      </c>
      <c r="BR81">
        <f>IFERROR('Fat Spreads'!AD81-'Fat Spreads'!AD91,"")</f>
        <v>0</v>
      </c>
      <c r="BS81">
        <f>IFERROR(AVERAGE('Fat Spreads'!AD81:AD100)+2*STDEV('Fat Spreads'!AD81:AD100),"")</f>
        <v>0</v>
      </c>
      <c r="BT81">
        <f>IFERROR(AVERAGE('Fat Spreads'!AD81:AD100)-2*STDEV('Fat Spreads'!AD81:AD100),"")</f>
        <v>0</v>
      </c>
      <c r="BU81" t="str">
        <f>IFERROR(('Fat Spreads'!AD81-(AVERAGE('Fat Spreads'!AD81:AD100)-2*STDEV('Fat Spreads'!AD81:AD100)))/(4*STDEV('Fat Spreads'!AD81:AD100)),"")</f>
        <v/>
      </c>
      <c r="BV81" t="str">
        <f>IFERROR(4*STDEV('Fat Spreads'!AD81:AD100)/AVERAGE('Fat Spreads'!AD81:AD100),"")</f>
        <v/>
      </c>
      <c r="BW81">
        <v>35.151400000000002</v>
      </c>
      <c r="BX81">
        <f>IFERROR(SQRT((SUMSQ('Fat Spreads'!AD81:AD100)-2*SUMPRODUCT('Fat Spreads'!AD81:AD100,'Fat Spreads'!AD82:AD101)+SUMSQ('Fat Spreads'!AD82:AD101)-('Fat Spreads'!AD81-'Fat Spreads'!AD101)^2/20)/19),"")</f>
        <v>0</v>
      </c>
      <c r="BZ81">
        <f>IFERROR('Feeder Spreads'!A81,"")</f>
        <v>0</v>
      </c>
      <c r="CA81">
        <f>IFERROR(('Feeder Spreads'!B81-AVERAGE('Feeder Spreads'!$B$3:$B$4308))/STDEV('Feeder Spreads'!$B$3:$B$4308),"")</f>
        <v>-9.2057461789832346E-2</v>
      </c>
      <c r="CB81">
        <f>IFERROR('Feeder Spreads'!B81-'Feeder Spreads'!B86,"")</f>
        <v>0</v>
      </c>
      <c r="CC81">
        <f>IFERROR('Feeder Spreads'!B81-'Feeder Spreads'!B91,"")</f>
        <v>0</v>
      </c>
      <c r="CD81">
        <f>IFERROR(AVERAGE('Feeder Spreads'!B81:B100)+2*STDEV('Feeder Spreads'!B81:B100),"")</f>
        <v>0</v>
      </c>
      <c r="CE81">
        <f>IFERROR(AVERAGE('Feeder Spreads'!B81:B100)-2*STDEV('Feeder Spreads'!B81:B100),"")</f>
        <v>0</v>
      </c>
      <c r="CF81" t="str">
        <f>IFERROR(('Feeder Spreads'!B81-(AVERAGE('Feeder Spreads'!B81:B100)-2*STDEV('Feeder Spreads'!B81:B100)))/(4*STDEV('Feeder Spreads'!B81:B100)),"")</f>
        <v/>
      </c>
      <c r="CG81" t="str">
        <f>IFERROR(4*STDEV('Feeder Spreads'!B81:B100)/AVERAGE('Feeder Spreads'!B81:B100),"")</f>
        <v/>
      </c>
      <c r="CH81">
        <v>51.124899999999997</v>
      </c>
      <c r="CI81">
        <f>IFERROR(SQRT((SUMSQ('Feeder Spreads'!B81:B100)-2*SUMPRODUCT('Feeder Spreads'!B81:B100,'Feeder Spreads'!B82:B101)+SUMSQ('Feeder Spreads'!B82:B101)-('Feeder Spreads'!B81-'Feeder Spreads'!B101)^2/20)/19),"")</f>
        <v>0</v>
      </c>
      <c r="CK81">
        <f>IFERROR('Feeder Spreads'!AX81,"")</f>
        <v>0</v>
      </c>
      <c r="CL81">
        <f>IFERROR(('Feeder Spreads'!AY81-AVERAGE('Feeder Spreads'!$AY$3:$AY$4308))/STDEV('Feeder Spreads'!$AY$3:$AY$4308),"")</f>
        <v>-9.2057461789832346E-2</v>
      </c>
      <c r="CM81">
        <f>IFERROR('Feeder Spreads'!AY81-'Feeder Spreads'!AY86,"")</f>
        <v>0</v>
      </c>
      <c r="CN81">
        <f>IFERROR('Feeder Spreads'!AY81-'Feeder Spreads'!AY91,"")</f>
        <v>0</v>
      </c>
      <c r="CO81">
        <f>IFERROR(AVERAGE('Feeder Spreads'!AY81:AY100)+2*STDEV('Feeder Spreads'!AY81:AY100),"")</f>
        <v>0</v>
      </c>
      <c r="CP81">
        <f>IFERROR(AVERAGE('Feeder Spreads'!AY81:AY100)-2*STDEV('Feeder Spreads'!AY81:AY100),"")</f>
        <v>0</v>
      </c>
      <c r="CQ81" t="str">
        <f>IFERROR(('Feeder Spreads'!AY81-(AVERAGE('Feeder Spreads'!AY81:AY100)-2*STDEV('Feeder Spreads'!AY81:AY100)))/(4*STDEV('Feeder Spreads'!AY81:AY100)),"")</f>
        <v/>
      </c>
      <c r="CR81" t="str">
        <f>IFERROR(4*STDEV('Feeder Spreads'!AY81:AY100)/AVERAGE('Feeder Spreads'!AY81:AY100),"")</f>
        <v/>
      </c>
      <c r="CS81">
        <v>34.271999999999998</v>
      </c>
      <c r="CT81">
        <f>IFERROR(SQRT((SUMSQ('Feeder Spreads'!AY81:AY100)-2*SUMPRODUCT('Feeder Spreads'!AY81:AY100,'Feeder Spreads'!AY82:AY101)+SUMSQ('Feeder Spreads'!AY82:AY101)-('Feeder Spreads'!AY81-'Feeder Spreads'!AY101)^2/20)/19),"")</f>
        <v>0</v>
      </c>
      <c r="CV81">
        <f>IFERROR('Feeder Spreads'!H81,"")</f>
        <v>0</v>
      </c>
      <c r="CW81">
        <f>IFERROR(('Feeder Spreads'!I81-AVERAGE('Feeder Spreads'!$I$3:$I$4308))/STDEV('Feeder Spreads'!$I$3:$I$4308),"")</f>
        <v>-9.2057461789832332E-2</v>
      </c>
      <c r="CX81">
        <f>IFERROR('Feeder Spreads'!I81-'Feeder Spreads'!I86,"")</f>
        <v>0</v>
      </c>
      <c r="CY81">
        <f>IFERROR('Feeder Spreads'!I81-'Feeder Spreads'!I91,"")</f>
        <v>0</v>
      </c>
      <c r="CZ81">
        <f>IFERROR(AVERAGE('Feeder Spreads'!I81:I100)+2*STDEV('Feeder Spreads'!I81:I100),"")</f>
        <v>0</v>
      </c>
      <c r="DA81">
        <f>IFERROR(AVERAGE('Feeder Spreads'!I81:I100)-2*STDEV('Feeder Spreads'!I81:I100),"")</f>
        <v>0</v>
      </c>
      <c r="DB81" t="str">
        <f>IFERROR(('Feeder Spreads'!I81-(AVERAGE('Feeder Spreads'!I81:I100)-2*STDEV('Feeder Spreads'!I81:I100)))/(4*STDEV('Feeder Spreads'!I81:I100)),"")</f>
        <v/>
      </c>
      <c r="DC81" t="str">
        <f>IFERROR(4*STDEV('Feeder Spreads'!I81:I100)/AVERAGE('Feeder Spreads'!I81:I100),"")</f>
        <v/>
      </c>
      <c r="DD81">
        <v>63.4925</v>
      </c>
      <c r="DE81">
        <f>IFERROR(SQRT((SUMSQ('Feeder Spreads'!I81:I100)-2*SUMPRODUCT('Feeder Spreads'!I81:I100,'Feeder Spreads'!I82:I101)+SUMSQ('Feeder Spreads'!I82:I101)-('Feeder Spreads'!I81-'Feeder Spreads'!I101)^2/20)/19),"")</f>
        <v>0</v>
      </c>
      <c r="DG81">
        <f>IFERROR('Feeder Spreads'!O81,"")</f>
        <v>0</v>
      </c>
      <c r="DH81">
        <f>IFERROR(('Feeder Spreads'!P81-AVERAGE('Feeder Spreads'!$P$3:$P$4308))/STDEV('Feeder Spreads'!$P$3:$P$4308),"")</f>
        <v>-9.2057461789832346E-2</v>
      </c>
      <c r="DI81">
        <f>IFERROR('Feeder Spreads'!P81-'Feeder Spreads'!P86,"")</f>
        <v>0</v>
      </c>
      <c r="DJ81">
        <f>IFERROR('Feeder Spreads'!P81-'Feeder Spreads'!P91,"")</f>
        <v>0</v>
      </c>
      <c r="DK81">
        <f>IFERROR(AVERAGE('Feeder Spreads'!P81:P100)+2*STDEV('Feeder Spreads'!P81:P100),"")</f>
        <v>0</v>
      </c>
      <c r="DL81">
        <f>IFERROR(AVERAGE('Feeder Spreads'!P81:P100)-2*STDEV('Feeder Spreads'!P81:P100),"")</f>
        <v>0</v>
      </c>
      <c r="DM81" t="str">
        <f>IFERROR(('Feeder Spreads'!P81-(AVERAGE('Feeder Spreads'!P81:P100)-2*STDEV('Feeder Spreads'!P81:P100)))/(4*STDEV('Feeder Spreads'!P81:P100)),"")</f>
        <v/>
      </c>
      <c r="DN81" t="str">
        <f>IFERROR(4*STDEV('Feeder Spreads'!P81:P100)/AVERAGE('Feeder Spreads'!P81:P100),"")</f>
        <v/>
      </c>
      <c r="DO81">
        <v>60.266100000000002</v>
      </c>
      <c r="DP81">
        <f>IFERROR(SQRT((SUMSQ('Feeder Spreads'!P81:P100)-2*SUMPRODUCT('Feeder Spreads'!P81:P100,'Feeder Spreads'!P82:P101)+SUMSQ('Feeder Spreads'!P82:P101)-('Feeder Spreads'!P81-'Feeder Spreads'!P101)^2/20)/19),"")</f>
        <v>0</v>
      </c>
      <c r="DR81">
        <f>IFERROR('Feeder Spreads'!V81,"")</f>
        <v>0</v>
      </c>
      <c r="DS81">
        <f>IFERROR(('Feeder Spreads'!W81-AVERAGE('Feeder Spreads'!$W$3:$W$4308))/STDEV('Feeder Spreads'!$W$3:$W$4308),"")</f>
        <v>-9.2057461789832332E-2</v>
      </c>
      <c r="DT81">
        <f>IFERROR('Feeder Spreads'!W81-'Feeder Spreads'!W86,"")</f>
        <v>0</v>
      </c>
      <c r="DU81">
        <f>IFERROR('Feeder Spreads'!W81-'Feeder Spreads'!W91,"")</f>
        <v>0</v>
      </c>
      <c r="DV81">
        <f>IFERROR(AVERAGE('Feeder Spreads'!W81:W100)+2*STDEV('Feeder Spreads'!W81:W100),"")</f>
        <v>0</v>
      </c>
      <c r="DW81">
        <f>IFERROR(AVERAGE('Feeder Spreads'!W81:W100)-2*STDEV('Feeder Spreads'!W81:W100),"")</f>
        <v>0</v>
      </c>
      <c r="DX81" t="str">
        <f>IFERROR(('Feeder Spreads'!W81-(AVERAGE('Feeder Spreads'!W81:W100)-2*STDEV('Feeder Spreads'!W81:W100)))/(4*STDEV('Feeder Spreads'!W81:W100)),"")</f>
        <v/>
      </c>
      <c r="DY81" t="str">
        <f>IFERROR(4*STDEV('Feeder Spreads'!W81:W100)/AVERAGE('Feeder Spreads'!W81:W100),"")</f>
        <v/>
      </c>
      <c r="DZ81">
        <v>59.157299999999999</v>
      </c>
      <c r="EA81">
        <f>IFERROR(SQRT((SUMSQ('Feeder Spreads'!W81:W100)-2*SUMPRODUCT('Feeder Spreads'!W81:W100,'Feeder Spreads'!W82:W101)+SUMSQ('Feeder Spreads'!W82:W101)-('Feeder Spreads'!W81-'Feeder Spreads'!W101)^2/20)/19),"")</f>
        <v>0</v>
      </c>
      <c r="EC81">
        <f>IFERROR('Feeder Spreads'!AC81,"")</f>
        <v>0</v>
      </c>
      <c r="ED81">
        <f>IFERROR(('Feeder Spreads'!AD81-AVERAGE('Feeder Spreads'!$AD$3:$AD$4308))/STDEV('Feeder Spreads'!$AD$3:$AD$4308),"")</f>
        <v>9.2057461789832318E-2</v>
      </c>
      <c r="EE81">
        <f>IFERROR('Feeder Spreads'!AD81-'Feeder Spreads'!AD86,"")</f>
        <v>0</v>
      </c>
      <c r="EF81">
        <f>IFERROR('Feeder Spreads'!AD81-'Feeder Spreads'!AD91,"")</f>
        <v>0</v>
      </c>
      <c r="EG81">
        <f>IFERROR(AVERAGE('Feeder Spreads'!AD81:AD100)+2*STDEV('Feeder Spreads'!AD81:AD100),"")</f>
        <v>0</v>
      </c>
      <c r="EH81">
        <f>IFERROR(AVERAGE('Feeder Spreads'!AD81:AD100)-2*STDEV('Feeder Spreads'!AD81:AD100),"")</f>
        <v>0</v>
      </c>
      <c r="EI81" t="str">
        <f>IFERROR(('Feeder Spreads'!AD81-(AVERAGE('Feeder Spreads'!AD81:AD100)-2*STDEV('Feeder Spreads'!AD81:AD100)))/(4*STDEV('Feeder Spreads'!AD81:AD100)),"")</f>
        <v/>
      </c>
      <c r="EJ81" t="str">
        <f>IFERROR(4*STDEV('Feeder Spreads'!AD81:AD100)/AVERAGE('Feeder Spreads'!AD81:AD100),"")</f>
        <v/>
      </c>
      <c r="EK81">
        <v>50.0319</v>
      </c>
      <c r="EL81">
        <f>IFERROR(SQRT((SUMSQ('Feeder Spreads'!AD81:AD100)-2*SUMPRODUCT('Feeder Spreads'!AD81:AD100,'Feeder Spreads'!AD82:AD101)+SUMSQ('Feeder Spreads'!AD82:AD101)-('Feeder Spreads'!AD81-'Feeder Spreads'!AD101)^2/20)/19),"")</f>
        <v>0</v>
      </c>
      <c r="EN81">
        <f>IFERROR('Feeder Spreads'!AJ81,"")</f>
        <v>0</v>
      </c>
      <c r="EO81">
        <f>IFERROR(('Feeder Spreads'!AK81-AVERAGE('Feeder Spreads'!$AK$3:$AK$4308))/STDEV('Feeder Spreads'!$AK$3:$AK$4308),"")</f>
        <v>-9.2057461789832346E-2</v>
      </c>
      <c r="EP81">
        <f>IFERROR('Feeder Spreads'!AK81-'Feeder Spreads'!AK86,"")</f>
        <v>0</v>
      </c>
      <c r="EQ81">
        <f>IFERROR('Feeder Spreads'!AK81-'Feeder Spreads'!AK91,"")</f>
        <v>0</v>
      </c>
      <c r="ER81">
        <f>IFERROR(AVERAGE('Feeder Spreads'!AK81:AK100)+2*STDEV('Feeder Spreads'!AK81:AK100),"")</f>
        <v>0</v>
      </c>
      <c r="ES81">
        <f>IFERROR(AVERAGE('Feeder Spreads'!AK81:AK100)-2*STDEV('Feeder Spreads'!AK81:AK100),"")</f>
        <v>0</v>
      </c>
      <c r="ET81" t="str">
        <f>IFERROR(('Feeder Spreads'!AK81-(AVERAGE('Feeder Spreads'!AK81:AK100)-2*STDEV('Feeder Spreads'!AK81:AK100)))/(4*STDEV('Feeder Spreads'!AK81:AK100)),"")</f>
        <v/>
      </c>
      <c r="EU81" t="str">
        <f>IFERROR(4*STDEV('Feeder Spreads'!AK81:AK100)/AVERAGE('Feeder Spreads'!AK81:AK100),"")</f>
        <v/>
      </c>
      <c r="EV81">
        <v>56.025799999999997</v>
      </c>
      <c r="EW81">
        <f>IFERROR(SQRT((SUMSQ('Feeder Spreads'!AK81:AK100)-2*SUMPRODUCT('Feeder Spreads'!AK81:AK100,'Feeder Spreads'!AK82:AK101)+SUMSQ('Feeder Spreads'!AK82:AK101)-('Feeder Spreads'!AK81-'Feeder Spreads'!AK101)^2/20)/19),"")</f>
        <v>0</v>
      </c>
      <c r="EY81">
        <f>IFERROR('Feeder Spreads'!AQ81,"")</f>
        <v>0</v>
      </c>
      <c r="EZ81">
        <f>IFERROR(('Feeder Spreads'!AR81-AVERAGE('Feeder Spreads'!$AR$3:$AR$4308))/STDEV('Feeder Spreads'!$AR$3:$AR$4308),"")</f>
        <v>-9.2057461789832332E-2</v>
      </c>
      <c r="FA81">
        <f>IFERROR('Feeder Spreads'!AR81-'Feeder Spreads'!AR86,"")</f>
        <v>0</v>
      </c>
      <c r="FB81">
        <f>IFERROR('Feeder Spreads'!AR81-'Feeder Spreads'!AR91,"")</f>
        <v>0</v>
      </c>
      <c r="FC81">
        <f>IFERROR(AVERAGE('Feeder Spreads'!AR81:AR100)+2*STDEV('Feeder Spreads'!AR81:AR100),"")</f>
        <v>0</v>
      </c>
      <c r="FD81">
        <f>IFERROR(AVERAGE('Feeder Spreads'!AR81:AR100)-2*STDEV('Feeder Spreads'!AR81:AR100),"")</f>
        <v>0</v>
      </c>
      <c r="FE81" t="str">
        <f>IFERROR(('Feeder Spreads'!AR81-(AVERAGE('Feeder Spreads'!AR81:AR100)-2*STDEV('Feeder Spreads'!AR81:AR100)))/(4*STDEV('Feeder Spreads'!AR81:AR100)),"")</f>
        <v/>
      </c>
      <c r="FF81" t="str">
        <f>IFERROR(4*STDEV('Feeder Spreads'!AR81:AR100)/AVERAGE('Feeder Spreads'!AR81:AR100),"")</f>
        <v/>
      </c>
      <c r="FG81">
        <v>58.471699999999998</v>
      </c>
      <c r="FH81">
        <f>IFERROR(SQRT((SUMSQ('Feeder Spreads'!AR81:AR100)-2*SUMPRODUCT('Feeder Spreads'!AR81:AR100,'Feeder Spreads'!AR82:AR101)+SUMSQ('Feeder Spreads'!AR82:AR101)-('Feeder Spreads'!AR81-'Feeder Spreads'!AR101)^2/20)/19),"")</f>
        <v>0</v>
      </c>
      <c r="FJ81">
        <f>IFERROR('Fat Spreads'!AX81,"")</f>
        <v>0</v>
      </c>
      <c r="FK81">
        <f>IFERROR(('Fat Spreads'!AY81-AVERAGE('Fat Spreads'!$AY$3:$AY$4308))/STDEV('Fat Spreads'!$AY$3:$AY$4308),"")</f>
        <v>9.2057461789832332E-2</v>
      </c>
      <c r="FL81">
        <f>IFERROR('Fat Spreads'!AY81-'Fat Spreads'!AY86,"")</f>
        <v>0</v>
      </c>
      <c r="FM81">
        <f>IFERROR('Fat Spreads'!AY81-'Fat Spreads'!AY91,"")</f>
        <v>0</v>
      </c>
      <c r="FN81">
        <f>IFERROR(AVERAGE('Fat Spreads'!AY81:AY100)+2*STDEV('Fat Spreads'!AY81:AY100),"")</f>
        <v>0</v>
      </c>
      <c r="FO81">
        <f>IFERROR(AVERAGE('Fat Spreads'!AY81:AY100)-2*STDEV('Fat Spreads'!AY81:AY100),"")</f>
        <v>0</v>
      </c>
      <c r="FP81" t="str">
        <f>IFERROR(('Fat Spreads'!AY81-(AVERAGE('Fat Spreads'!AY81:AY100)-2*STDEV('Fat Spreads'!AY81:AY100)))/(4*STDEV('Fat Spreads'!AY81:AY100)),"")</f>
        <v/>
      </c>
      <c r="FQ81" t="str">
        <f>IFERROR(4*STDEV('Fat Spreads'!AY81:AY100)/AVERAGE('Fat Spreads'!AY81:AY100),"")</f>
        <v/>
      </c>
      <c r="FR81">
        <v>44.355400000000003</v>
      </c>
      <c r="FS81">
        <f>IFERROR(SQRT((SUMSQ('Fat Spreads'!AY81:AY100)-2*SUMPRODUCT('Fat Spreads'!AY81:AY100,'Fat Spreads'!AY82:AY101)+SUMSQ('Fat Spreads'!AY82:AY101)-('Fat Spreads'!AY81-'Fat Spreads'!AY101)^2/20)/19),"")</f>
        <v>0</v>
      </c>
      <c r="FU81">
        <f>IFERROR('Fat Spreads'!BE81,"")</f>
        <v>0</v>
      </c>
      <c r="FV81">
        <f>IFERROR(('Fat Spreads'!BF81-AVERAGE('Fat Spreads'!$BF$3:$BF$4308))/STDEV('Fat Spreads'!$BF$3:$BF$4308),"")</f>
        <v>9.2057461789832332E-2</v>
      </c>
      <c r="FW81">
        <f>IFERROR('Fat Spreads'!BF81-'Fat Spreads'!BF86,"")</f>
        <v>0</v>
      </c>
      <c r="FX81">
        <f>IFERROR('Fat Spreads'!BF81-'Fat Spreads'!BF91,"")</f>
        <v>0</v>
      </c>
      <c r="FY81">
        <f>IFERROR(AVERAGE('Fat Spreads'!BF81:BF100)+2*STDEV('Fat Spreads'!BF81:BF100),"")</f>
        <v>0</v>
      </c>
      <c r="FZ81">
        <f>IFERROR(AVERAGE('Fat Spreads'!BF81:BF100)-2*STDEV('Fat Spreads'!BF81:BF100),"")</f>
        <v>0</v>
      </c>
      <c r="GA81" t="str">
        <f>IFERROR(('Fat Spreads'!BF81-(AVERAGE('Fat Spreads'!BF81:BF100)-2*STDEV('Fat Spreads'!BF81:BF100)))/(4*STDEV('Fat Spreads'!BF81:BF100)),"")</f>
        <v/>
      </c>
      <c r="GB81" t="str">
        <f>IFERROR(4*STDEV('Fat Spreads'!BF81:BF100)/AVERAGE('Fat Spreads'!BF81:BF100),"")</f>
        <v/>
      </c>
      <c r="GC81">
        <v>43.960099999999997</v>
      </c>
      <c r="GD81">
        <f>IFERROR(SQRT((SUMSQ('Fat Spreads'!BF81:BF100)-2*SUMPRODUCT('Fat Spreads'!BF81:BF100,'Fat Spreads'!BF82:BF101)+SUMSQ('Fat Spreads'!BF82:BF101)-('Fat Spreads'!BF81-'Fat Spreads'!BF101)^2/20)/19),"")</f>
        <v>0</v>
      </c>
    </row>
    <row r="82" spans="1:186" x14ac:dyDescent="0.25">
      <c r="A82">
        <f>IFERROR('Fat Spreads'!A82,"")</f>
        <v>0</v>
      </c>
      <c r="B82">
        <f>IFERROR(('Fat Spreads'!B82-AVERAGE('Fat Spreads'!$B$3:$B$4308))/STDEV('Fat Spreads'!$B$3:$B$4308),"")</f>
        <v>9.2057461789832346E-2</v>
      </c>
      <c r="C82">
        <f>IFERROR('Fat Spreads'!B82-'Fat Spreads'!B87,"")</f>
        <v>0</v>
      </c>
      <c r="D82">
        <f>IFERROR('Fat Spreads'!B82-'Fat Spreads'!B92,"")</f>
        <v>0</v>
      </c>
      <c r="E82">
        <f>IFERROR(AVERAGE('Fat Spreads'!B82:B101)+2*STDEV('Fat Spreads'!B82:B101),"")</f>
        <v>0</v>
      </c>
      <c r="F82">
        <f>IFERROR(AVERAGE('Fat Spreads'!B82:B101)-2*STDEV('Fat Spreads'!B82:B101),"")</f>
        <v>0</v>
      </c>
      <c r="G82" t="str">
        <f>IFERROR(('Fat Spreads'!B82-(AVERAGE('Fat Spreads'!B82:B101)-2*STDEV('Fat Spreads'!B82:B101)))/(4*STDEV('Fat Spreads'!B82:B101)),"")</f>
        <v/>
      </c>
      <c r="H82" t="str">
        <f>IFERROR(4*STDEV('Fat Spreads'!B82:B101)/AVERAGE('Fat Spreads'!B82:B101),"")</f>
        <v/>
      </c>
      <c r="I82">
        <v>33.182299999999998</v>
      </c>
      <c r="J82">
        <f>IFERROR(SQRT((SUMSQ('Fat Spreads'!B82:B101)-2*SUMPRODUCT('Fat Spreads'!B82:B101,'Fat Spreads'!B83:B102)+SUMSQ('Fat Spreads'!B83:B102)-('Fat Spreads'!B82-'Fat Spreads'!B102)^2/20)/19),"")</f>
        <v>0</v>
      </c>
      <c r="L82">
        <f>IFERROR('Fat Spreads'!H82,"")</f>
        <v>0</v>
      </c>
      <c r="M82">
        <f>IFERROR(('Fat Spreads'!I82-AVERAGE('Fat Spreads'!$I$3:$I$4308))/STDEV('Fat Spreads'!$I$3:$I$4308),"")</f>
        <v>-9.2057461789832332E-2</v>
      </c>
      <c r="N82">
        <f>IFERROR('Fat Spreads'!I82-'Fat Spreads'!I87,"")</f>
        <v>0</v>
      </c>
      <c r="O82">
        <f>IFERROR('Fat Spreads'!I82-'Fat Spreads'!I92,"")</f>
        <v>0</v>
      </c>
      <c r="P82">
        <f>IFERROR(AVERAGE('Fat Spreads'!I82:I101)+2*STDEV('Fat Spreads'!I82:I101),"")</f>
        <v>0</v>
      </c>
      <c r="Q82">
        <f>IFERROR(AVERAGE('Fat Spreads'!I82:I101)-2*STDEV('Fat Spreads'!I82:I101),"")</f>
        <v>0</v>
      </c>
      <c r="R82" t="str">
        <f>IFERROR(('Fat Spreads'!I82-(AVERAGE('Fat Spreads'!I82:I101)-2*STDEV('Fat Spreads'!I82:I101)))/(4*STDEV('Fat Spreads'!I82:I101)),"")</f>
        <v/>
      </c>
      <c r="S82" t="str">
        <f>IFERROR(4*STDEV('Fat Spreads'!I82:I101)/AVERAGE('Fat Spreads'!I82:I101),"")</f>
        <v/>
      </c>
      <c r="T82">
        <v>28.2727</v>
      </c>
      <c r="U82">
        <f>IFERROR(SQRT((SUMSQ('Fat Spreads'!I82:I101)-2*SUMPRODUCT('Fat Spreads'!I82:I101,'Fat Spreads'!I83:I102)+SUMSQ('Fat Spreads'!I83:I102)-('Fat Spreads'!I82-'Fat Spreads'!I102)^2/20)/19),"")</f>
        <v>0</v>
      </c>
      <c r="W82">
        <f>IFERROR('Fat Spreads'!AQ82,"")</f>
        <v>0</v>
      </c>
      <c r="X82">
        <f>IFERROR(('Fat Spreads'!AR82-AVERAGE('Fat Spreads'!$AR$3:$AR$4308))/STDEV('Fat Spreads'!$AR$3:$AR$4308),"")</f>
        <v>-9.2057461789832346E-2</v>
      </c>
      <c r="Y82">
        <f>IFERROR('Fat Spreads'!AR82-'Fat Spreads'!AR87,"")</f>
        <v>0</v>
      </c>
      <c r="Z82">
        <f>IFERROR('Fat Spreads'!AR82-'Fat Spreads'!AR92,"")</f>
        <v>0</v>
      </c>
      <c r="AA82">
        <f>IFERROR(AVERAGE('Fat Spreads'!AR82:AR101)+2*STDEV('Fat Spreads'!AR82:AR101),"")</f>
        <v>0</v>
      </c>
      <c r="AB82">
        <f>IFERROR(AVERAGE('Fat Spreads'!AR82:AR101)-2*STDEV('Fat Spreads'!AR82:AR101),"")</f>
        <v>0</v>
      </c>
      <c r="AC82" t="str">
        <f>IFERROR(('Fat Spreads'!AR82-(AVERAGE('Fat Spreads'!AR82:AR101)-2*STDEV('Fat Spreads'!AR82:AR101)))/(4*STDEV('Fat Spreads'!AR82:AR101)),"")</f>
        <v/>
      </c>
      <c r="AD82" t="str">
        <f>IFERROR(4*STDEV('Fat Spreads'!AR82:AR101)/AVERAGE('Fat Spreads'!AR82:AR101),"")</f>
        <v/>
      </c>
      <c r="AE82">
        <v>70.214500000000001</v>
      </c>
      <c r="AF82">
        <f>IFERROR(SQRT((SUMSQ('Fat Spreads'!AR82:AR101)-2*SUMPRODUCT('Fat Spreads'!AR82:AR101,'Fat Spreads'!AR83:AR102)+SUMSQ('Fat Spreads'!AR83:AR102)-('Fat Spreads'!AR82-'Fat Spreads'!AR102)^2/20)/19),"")</f>
        <v>0</v>
      </c>
      <c r="AH82">
        <f>IFERROR('Fat Spreads'!O82,"")</f>
        <v>0</v>
      </c>
      <c r="AI82">
        <f>IFERROR(('Fat Spreads'!P82-AVERAGE('Fat Spreads'!$P$3:$P$4308))/STDEV('Fat Spreads'!$P$3:$P$4308),"")</f>
        <v>-9.2057461789832332E-2</v>
      </c>
      <c r="AJ82">
        <f>IFERROR('Fat Spreads'!P82-'Fat Spreads'!P87,"")</f>
        <v>0</v>
      </c>
      <c r="AK82">
        <f>IFERROR('Fat Spreads'!P82-'Fat Spreads'!P92,"")</f>
        <v>0</v>
      </c>
      <c r="AL82">
        <f>IFERROR(AVERAGE('Fat Spreads'!P82:P101)+2*STDEV('Fat Spreads'!P82:P101),"")</f>
        <v>0</v>
      </c>
      <c r="AM82">
        <f>IFERROR(AVERAGE('Fat Spreads'!P82:P101)-2*STDEV('Fat Spreads'!P82:P101),"")</f>
        <v>0</v>
      </c>
      <c r="AN82" t="str">
        <f>IFERROR(('Fat Spreads'!P82-(AVERAGE('Fat Spreads'!P82:P101)-2*STDEV('Fat Spreads'!P82:P101)))/(4*STDEV('Fat Spreads'!P82:P101)),"")</f>
        <v/>
      </c>
      <c r="AO82" t="str">
        <f>IFERROR(4*STDEV('Fat Spreads'!P82:P101)/AVERAGE('Fat Spreads'!P82:P101),"")</f>
        <v/>
      </c>
      <c r="AP82">
        <v>41.510599999999997</v>
      </c>
      <c r="AQ82">
        <f>IFERROR(SQRT((SUMSQ('Fat Spreads'!P82:P101)-2*SUMPRODUCT('Fat Spreads'!P82:P101,'Fat Spreads'!P83:P102)+SUMSQ('Fat Spreads'!P83:P102)-('Fat Spreads'!P82-'Fat Spreads'!P102)^2/20)/19),"")</f>
        <v>0</v>
      </c>
      <c r="AS82">
        <f>IFERROR('Fat Spreads'!AJ82,"")</f>
        <v>0</v>
      </c>
      <c r="AT82">
        <f>IFERROR(('Fat Spreads'!AK82-AVERAGE('Fat Spreads'!$AK$3:$AK$4308))/STDEV('Fat Spreads'!$AK$3:$AK$4308),"")</f>
        <v>-9.2057461789832332E-2</v>
      </c>
      <c r="AU82">
        <f>IFERROR('Fat Spreads'!AK82-'Fat Spreads'!AK87,"")</f>
        <v>0</v>
      </c>
      <c r="AV82">
        <f>IFERROR('Fat Spreads'!AK82-'Fat Spreads'!AK92,"")</f>
        <v>0</v>
      </c>
      <c r="AW82">
        <f>IFERROR(AVERAGE('Fat Spreads'!AK82:AK101)+2*STDEV('Fat Spreads'!AK82:AK101),"")</f>
        <v>0</v>
      </c>
      <c r="AX82">
        <f>IFERROR(AVERAGE('Fat Spreads'!AK82:AK101)-2*STDEV('Fat Spreads'!AK82:AK101),"")</f>
        <v>0</v>
      </c>
      <c r="AY82" t="str">
        <f>IFERROR(('Fat Spreads'!AK82-(AVERAGE('Fat Spreads'!AK82:AK101)-2*STDEV('Fat Spreads'!AK82:AK101)))/(4*STDEV('Fat Spreads'!AK82:AK101)),"")</f>
        <v/>
      </c>
      <c r="AZ82" t="str">
        <f>IFERROR(4*STDEV('Fat Spreads'!AK82:AK101)/AVERAGE('Fat Spreads'!AK82:AK101),"")</f>
        <v/>
      </c>
      <c r="BA82">
        <v>41.6995</v>
      </c>
      <c r="BB82">
        <f>IFERROR(SQRT((SUMSQ('Fat Spreads'!AK82:AK101)-2*SUMPRODUCT('Fat Spreads'!AK82:AK101,'Fat Spreads'!AK83:AK102)+SUMSQ('Fat Spreads'!AK83:AK102)-('Fat Spreads'!AK82-'Fat Spreads'!AK102)^2/20)/19),"")</f>
        <v>0</v>
      </c>
      <c r="BD82">
        <f>IFERROR('Fat Spreads'!V82,"")</f>
        <v>0</v>
      </c>
      <c r="BE82">
        <f>IFERROR(('Fat Spreads'!W82-AVERAGE('Fat Spreads'!$W$3:$W$4308))/STDEV('Fat Spreads'!$W$3:$W$4308),"")</f>
        <v>-9.2057461789832332E-2</v>
      </c>
      <c r="BF82">
        <f>IFERROR('Fat Spreads'!W82-'Fat Spreads'!W87,"")</f>
        <v>0</v>
      </c>
      <c r="BG82">
        <f>IFERROR('Fat Spreads'!W82-'Fat Spreads'!W92,"")</f>
        <v>0</v>
      </c>
      <c r="BH82">
        <f>IFERROR(AVERAGE('Fat Spreads'!W82:W101)+2*STDEV('Fat Spreads'!W82:W101),"")</f>
        <v>0</v>
      </c>
      <c r="BI82">
        <f>IFERROR(AVERAGE('Fat Spreads'!W82:W101)-2*STDEV('Fat Spreads'!W82:W101),"")</f>
        <v>0</v>
      </c>
      <c r="BJ82" t="str">
        <f>IFERROR(('Fat Spreads'!W82-(AVERAGE('Fat Spreads'!W82:W101)-2*STDEV('Fat Spreads'!W82:W101)))/(4*STDEV('Fat Spreads'!W82:W101)),"")</f>
        <v/>
      </c>
      <c r="BK82" t="str">
        <f>IFERROR(4*STDEV('Fat Spreads'!W82:W101)/AVERAGE('Fat Spreads'!W82:W101),"")</f>
        <v/>
      </c>
      <c r="BL82">
        <v>71.441599999999994</v>
      </c>
      <c r="BM82">
        <f>IFERROR(SQRT((SUMSQ('Fat Spreads'!W82:W101)-2*SUMPRODUCT('Fat Spreads'!W82:W101,'Fat Spreads'!W83:W102)+SUMSQ('Fat Spreads'!W83:W102)-('Fat Spreads'!W82-'Fat Spreads'!W102)^2/20)/19),"")</f>
        <v>0</v>
      </c>
      <c r="BO82">
        <f>IFERROR('Fat Spreads'!AC82,"")</f>
        <v>0</v>
      </c>
      <c r="BP82">
        <f>IFERROR(('Fat Spreads'!AD82-AVERAGE('Fat Spreads'!$AD$3:$AD$4308))/STDEV('Fat Spreads'!$AD$3:$AD$4308),"")</f>
        <v>-9.2057461789832332E-2</v>
      </c>
      <c r="BQ82">
        <f>IFERROR('Fat Spreads'!AD82-'Fat Spreads'!AD87,"")</f>
        <v>0</v>
      </c>
      <c r="BR82">
        <f>IFERROR('Fat Spreads'!AD82-'Fat Spreads'!AD92,"")</f>
        <v>0</v>
      </c>
      <c r="BS82">
        <f>IFERROR(AVERAGE('Fat Spreads'!AD82:AD101)+2*STDEV('Fat Spreads'!AD82:AD101),"")</f>
        <v>0</v>
      </c>
      <c r="BT82">
        <f>IFERROR(AVERAGE('Fat Spreads'!AD82:AD101)-2*STDEV('Fat Spreads'!AD82:AD101),"")</f>
        <v>0</v>
      </c>
      <c r="BU82" t="str">
        <f>IFERROR(('Fat Spreads'!AD82-(AVERAGE('Fat Spreads'!AD82:AD101)-2*STDEV('Fat Spreads'!AD82:AD101)))/(4*STDEV('Fat Spreads'!AD82:AD101)),"")</f>
        <v/>
      </c>
      <c r="BV82" t="str">
        <f>IFERROR(4*STDEV('Fat Spreads'!AD82:AD101)/AVERAGE('Fat Spreads'!AD82:AD101),"")</f>
        <v/>
      </c>
      <c r="BW82">
        <v>38.418100000000003</v>
      </c>
      <c r="BX82">
        <f>IFERROR(SQRT((SUMSQ('Fat Spreads'!AD82:AD101)-2*SUMPRODUCT('Fat Spreads'!AD82:AD101,'Fat Spreads'!AD83:AD102)+SUMSQ('Fat Spreads'!AD83:AD102)-('Fat Spreads'!AD82-'Fat Spreads'!AD102)^2/20)/19),"")</f>
        <v>0</v>
      </c>
      <c r="BZ82">
        <f>IFERROR('Feeder Spreads'!A82,"")</f>
        <v>0</v>
      </c>
      <c r="CA82">
        <f>IFERROR(('Feeder Spreads'!B82-AVERAGE('Feeder Spreads'!$B$3:$B$4308))/STDEV('Feeder Spreads'!$B$3:$B$4308),"")</f>
        <v>-9.2057461789832346E-2</v>
      </c>
      <c r="CB82">
        <f>IFERROR('Feeder Spreads'!B82-'Feeder Spreads'!B87,"")</f>
        <v>0</v>
      </c>
      <c r="CC82">
        <f>IFERROR('Feeder Spreads'!B82-'Feeder Spreads'!B92,"")</f>
        <v>0</v>
      </c>
      <c r="CD82">
        <f>IFERROR(AVERAGE('Feeder Spreads'!B82:B101)+2*STDEV('Feeder Spreads'!B82:B101),"")</f>
        <v>0</v>
      </c>
      <c r="CE82">
        <f>IFERROR(AVERAGE('Feeder Spreads'!B82:B101)-2*STDEV('Feeder Spreads'!B82:B101),"")</f>
        <v>0</v>
      </c>
      <c r="CF82" t="str">
        <f>IFERROR(('Feeder Spreads'!B82-(AVERAGE('Feeder Spreads'!B82:B101)-2*STDEV('Feeder Spreads'!B82:B101)))/(4*STDEV('Feeder Spreads'!B82:B101)),"")</f>
        <v/>
      </c>
      <c r="CG82" t="str">
        <f>IFERROR(4*STDEV('Feeder Spreads'!B82:B101)/AVERAGE('Feeder Spreads'!B82:B101),"")</f>
        <v/>
      </c>
      <c r="CH82">
        <v>47.071399999999997</v>
      </c>
      <c r="CI82">
        <f>IFERROR(SQRT((SUMSQ('Feeder Spreads'!B82:B101)-2*SUMPRODUCT('Feeder Spreads'!B82:B101,'Feeder Spreads'!B83:B102)+SUMSQ('Feeder Spreads'!B83:B102)-('Feeder Spreads'!B82-'Feeder Spreads'!B102)^2/20)/19),"")</f>
        <v>0</v>
      </c>
      <c r="CK82">
        <f>IFERROR('Feeder Spreads'!AX82,"")</f>
        <v>0</v>
      </c>
      <c r="CL82">
        <f>IFERROR(('Feeder Spreads'!AY82-AVERAGE('Feeder Spreads'!$AY$3:$AY$4308))/STDEV('Feeder Spreads'!$AY$3:$AY$4308),"")</f>
        <v>-9.2057461789832346E-2</v>
      </c>
      <c r="CM82">
        <f>IFERROR('Feeder Spreads'!AY82-'Feeder Spreads'!AY87,"")</f>
        <v>0</v>
      </c>
      <c r="CN82">
        <f>IFERROR('Feeder Spreads'!AY82-'Feeder Spreads'!AY92,"")</f>
        <v>0</v>
      </c>
      <c r="CO82">
        <f>IFERROR(AVERAGE('Feeder Spreads'!AY82:AY101)+2*STDEV('Feeder Spreads'!AY82:AY101),"")</f>
        <v>0</v>
      </c>
      <c r="CP82">
        <f>IFERROR(AVERAGE('Feeder Spreads'!AY82:AY101)-2*STDEV('Feeder Spreads'!AY82:AY101),"")</f>
        <v>0</v>
      </c>
      <c r="CQ82" t="str">
        <f>IFERROR(('Feeder Spreads'!AY82-(AVERAGE('Feeder Spreads'!AY82:AY101)-2*STDEV('Feeder Spreads'!AY82:AY101)))/(4*STDEV('Feeder Spreads'!AY82:AY101)),"")</f>
        <v/>
      </c>
      <c r="CR82" t="str">
        <f>IFERROR(4*STDEV('Feeder Spreads'!AY82:AY101)/AVERAGE('Feeder Spreads'!AY82:AY101),"")</f>
        <v/>
      </c>
      <c r="CS82">
        <v>35.203800000000001</v>
      </c>
      <c r="CT82">
        <f>IFERROR(SQRT((SUMSQ('Feeder Spreads'!AY82:AY101)-2*SUMPRODUCT('Feeder Spreads'!AY82:AY101,'Feeder Spreads'!AY83:AY102)+SUMSQ('Feeder Spreads'!AY83:AY102)-('Feeder Spreads'!AY82-'Feeder Spreads'!AY102)^2/20)/19),"")</f>
        <v>0</v>
      </c>
      <c r="CV82">
        <f>IFERROR('Feeder Spreads'!H82,"")</f>
        <v>0</v>
      </c>
      <c r="CW82">
        <f>IFERROR(('Feeder Spreads'!I82-AVERAGE('Feeder Spreads'!$I$3:$I$4308))/STDEV('Feeder Spreads'!$I$3:$I$4308),"")</f>
        <v>-9.2057461789832332E-2</v>
      </c>
      <c r="CX82">
        <f>IFERROR('Feeder Spreads'!I82-'Feeder Spreads'!I87,"")</f>
        <v>0</v>
      </c>
      <c r="CY82">
        <f>IFERROR('Feeder Spreads'!I82-'Feeder Spreads'!I92,"")</f>
        <v>0</v>
      </c>
      <c r="CZ82">
        <f>IFERROR(AVERAGE('Feeder Spreads'!I82:I101)+2*STDEV('Feeder Spreads'!I82:I101),"")</f>
        <v>0</v>
      </c>
      <c r="DA82">
        <f>IFERROR(AVERAGE('Feeder Spreads'!I82:I101)-2*STDEV('Feeder Spreads'!I82:I101),"")</f>
        <v>0</v>
      </c>
      <c r="DB82" t="str">
        <f>IFERROR(('Feeder Spreads'!I82-(AVERAGE('Feeder Spreads'!I82:I101)-2*STDEV('Feeder Spreads'!I82:I101)))/(4*STDEV('Feeder Spreads'!I82:I101)),"")</f>
        <v/>
      </c>
      <c r="DC82" t="str">
        <f>IFERROR(4*STDEV('Feeder Spreads'!I82:I101)/AVERAGE('Feeder Spreads'!I82:I101),"")</f>
        <v/>
      </c>
      <c r="DD82">
        <v>58.231900000000003</v>
      </c>
      <c r="DE82">
        <f>IFERROR(SQRT((SUMSQ('Feeder Spreads'!I82:I101)-2*SUMPRODUCT('Feeder Spreads'!I82:I101,'Feeder Spreads'!I83:I102)+SUMSQ('Feeder Spreads'!I83:I102)-('Feeder Spreads'!I82-'Feeder Spreads'!I102)^2/20)/19),"")</f>
        <v>0</v>
      </c>
      <c r="DG82">
        <f>IFERROR('Feeder Spreads'!O82,"")</f>
        <v>0</v>
      </c>
      <c r="DH82">
        <f>IFERROR(('Feeder Spreads'!P82-AVERAGE('Feeder Spreads'!$P$3:$P$4308))/STDEV('Feeder Spreads'!$P$3:$P$4308),"")</f>
        <v>-9.2057461789832346E-2</v>
      </c>
      <c r="DI82">
        <f>IFERROR('Feeder Spreads'!P82-'Feeder Spreads'!P87,"")</f>
        <v>0</v>
      </c>
      <c r="DJ82">
        <f>IFERROR('Feeder Spreads'!P82-'Feeder Spreads'!P92,"")</f>
        <v>0</v>
      </c>
      <c r="DK82">
        <f>IFERROR(AVERAGE('Feeder Spreads'!P82:P101)+2*STDEV('Feeder Spreads'!P82:P101),"")</f>
        <v>0</v>
      </c>
      <c r="DL82">
        <f>IFERROR(AVERAGE('Feeder Spreads'!P82:P101)-2*STDEV('Feeder Spreads'!P82:P101),"")</f>
        <v>0</v>
      </c>
      <c r="DM82" t="str">
        <f>IFERROR(('Feeder Spreads'!P82-(AVERAGE('Feeder Spreads'!P82:P101)-2*STDEV('Feeder Spreads'!P82:P101)))/(4*STDEV('Feeder Spreads'!P82:P101)),"")</f>
        <v/>
      </c>
      <c r="DN82" t="str">
        <f>IFERROR(4*STDEV('Feeder Spreads'!P82:P101)/AVERAGE('Feeder Spreads'!P82:P101),"")</f>
        <v/>
      </c>
      <c r="DO82">
        <v>60.710599999999999</v>
      </c>
      <c r="DP82">
        <f>IFERROR(SQRT((SUMSQ('Feeder Spreads'!P82:P101)-2*SUMPRODUCT('Feeder Spreads'!P82:P101,'Feeder Spreads'!P83:P102)+SUMSQ('Feeder Spreads'!P83:P102)-('Feeder Spreads'!P82-'Feeder Spreads'!P102)^2/20)/19),"")</f>
        <v>0</v>
      </c>
      <c r="DR82">
        <f>IFERROR('Feeder Spreads'!V82,"")</f>
        <v>0</v>
      </c>
      <c r="DS82">
        <f>IFERROR(('Feeder Spreads'!W82-AVERAGE('Feeder Spreads'!$W$3:$W$4308))/STDEV('Feeder Spreads'!$W$3:$W$4308),"")</f>
        <v>-9.2057461789832332E-2</v>
      </c>
      <c r="DT82">
        <f>IFERROR('Feeder Spreads'!W82-'Feeder Spreads'!W87,"")</f>
        <v>0</v>
      </c>
      <c r="DU82">
        <f>IFERROR('Feeder Spreads'!W82-'Feeder Spreads'!W92,"")</f>
        <v>0</v>
      </c>
      <c r="DV82">
        <f>IFERROR(AVERAGE('Feeder Spreads'!W82:W101)+2*STDEV('Feeder Spreads'!W82:W101),"")</f>
        <v>0</v>
      </c>
      <c r="DW82">
        <f>IFERROR(AVERAGE('Feeder Spreads'!W82:W101)-2*STDEV('Feeder Spreads'!W82:W101),"")</f>
        <v>0</v>
      </c>
      <c r="DX82" t="str">
        <f>IFERROR(('Feeder Spreads'!W82-(AVERAGE('Feeder Spreads'!W82:W101)-2*STDEV('Feeder Spreads'!W82:W101)))/(4*STDEV('Feeder Spreads'!W82:W101)),"")</f>
        <v/>
      </c>
      <c r="DY82" t="str">
        <f>IFERROR(4*STDEV('Feeder Spreads'!W82:W101)/AVERAGE('Feeder Spreads'!W82:W101),"")</f>
        <v/>
      </c>
      <c r="DZ82">
        <v>48.997300000000003</v>
      </c>
      <c r="EA82">
        <f>IFERROR(SQRT((SUMSQ('Feeder Spreads'!W82:W101)-2*SUMPRODUCT('Feeder Spreads'!W82:W101,'Feeder Spreads'!W83:W102)+SUMSQ('Feeder Spreads'!W83:W102)-('Feeder Spreads'!W82-'Feeder Spreads'!W102)^2/20)/19),"")</f>
        <v>0</v>
      </c>
      <c r="EC82">
        <f>IFERROR('Feeder Spreads'!AC82,"")</f>
        <v>0</v>
      </c>
      <c r="ED82">
        <f>IFERROR(('Feeder Spreads'!AD82-AVERAGE('Feeder Spreads'!$AD$3:$AD$4308))/STDEV('Feeder Spreads'!$AD$3:$AD$4308),"")</f>
        <v>9.2057461789832318E-2</v>
      </c>
      <c r="EE82">
        <f>IFERROR('Feeder Spreads'!AD82-'Feeder Spreads'!AD87,"")</f>
        <v>0</v>
      </c>
      <c r="EF82">
        <f>IFERROR('Feeder Spreads'!AD82-'Feeder Spreads'!AD92,"")</f>
        <v>0</v>
      </c>
      <c r="EG82">
        <f>IFERROR(AVERAGE('Feeder Spreads'!AD82:AD101)+2*STDEV('Feeder Spreads'!AD82:AD101),"")</f>
        <v>0</v>
      </c>
      <c r="EH82">
        <f>IFERROR(AVERAGE('Feeder Spreads'!AD82:AD101)-2*STDEV('Feeder Spreads'!AD82:AD101),"")</f>
        <v>0</v>
      </c>
      <c r="EI82" t="str">
        <f>IFERROR(('Feeder Spreads'!AD82-(AVERAGE('Feeder Spreads'!AD82:AD101)-2*STDEV('Feeder Spreads'!AD82:AD101)))/(4*STDEV('Feeder Spreads'!AD82:AD101)),"")</f>
        <v/>
      </c>
      <c r="EJ82" t="str">
        <f>IFERROR(4*STDEV('Feeder Spreads'!AD82:AD101)/AVERAGE('Feeder Spreads'!AD82:AD101),"")</f>
        <v/>
      </c>
      <c r="EK82">
        <v>54.771900000000002</v>
      </c>
      <c r="EL82">
        <f>IFERROR(SQRT((SUMSQ('Feeder Spreads'!AD82:AD101)-2*SUMPRODUCT('Feeder Spreads'!AD82:AD101,'Feeder Spreads'!AD83:AD102)+SUMSQ('Feeder Spreads'!AD83:AD102)-('Feeder Spreads'!AD82-'Feeder Spreads'!AD102)^2/20)/19),"")</f>
        <v>0</v>
      </c>
      <c r="EN82">
        <f>IFERROR('Feeder Spreads'!AJ82,"")</f>
        <v>0</v>
      </c>
      <c r="EO82">
        <f>IFERROR(('Feeder Spreads'!AK82-AVERAGE('Feeder Spreads'!$AK$3:$AK$4308))/STDEV('Feeder Spreads'!$AK$3:$AK$4308),"")</f>
        <v>-9.2057461789832346E-2</v>
      </c>
      <c r="EP82">
        <f>IFERROR('Feeder Spreads'!AK82-'Feeder Spreads'!AK87,"")</f>
        <v>0</v>
      </c>
      <c r="EQ82">
        <f>IFERROR('Feeder Spreads'!AK82-'Feeder Spreads'!AK92,"")</f>
        <v>0</v>
      </c>
      <c r="ER82">
        <f>IFERROR(AVERAGE('Feeder Spreads'!AK82:AK101)+2*STDEV('Feeder Spreads'!AK82:AK101),"")</f>
        <v>0</v>
      </c>
      <c r="ES82">
        <f>IFERROR(AVERAGE('Feeder Spreads'!AK82:AK101)-2*STDEV('Feeder Spreads'!AK82:AK101),"")</f>
        <v>0</v>
      </c>
      <c r="ET82" t="str">
        <f>IFERROR(('Feeder Spreads'!AK82-(AVERAGE('Feeder Spreads'!AK82:AK101)-2*STDEV('Feeder Spreads'!AK82:AK101)))/(4*STDEV('Feeder Spreads'!AK82:AK101)),"")</f>
        <v/>
      </c>
      <c r="EU82" t="str">
        <f>IFERROR(4*STDEV('Feeder Spreads'!AK82:AK101)/AVERAGE('Feeder Spreads'!AK82:AK101),"")</f>
        <v/>
      </c>
      <c r="EV82">
        <v>53.02</v>
      </c>
      <c r="EW82">
        <f>IFERROR(SQRT((SUMSQ('Feeder Spreads'!AK82:AK101)-2*SUMPRODUCT('Feeder Spreads'!AK82:AK101,'Feeder Spreads'!AK83:AK102)+SUMSQ('Feeder Spreads'!AK83:AK102)-('Feeder Spreads'!AK82-'Feeder Spreads'!AK102)^2/20)/19),"")</f>
        <v>0</v>
      </c>
      <c r="EY82">
        <f>IFERROR('Feeder Spreads'!AQ82,"")</f>
        <v>0</v>
      </c>
      <c r="EZ82">
        <f>IFERROR(('Feeder Spreads'!AR82-AVERAGE('Feeder Spreads'!$AR$3:$AR$4308))/STDEV('Feeder Spreads'!$AR$3:$AR$4308),"")</f>
        <v>-9.2057461789832332E-2</v>
      </c>
      <c r="FA82">
        <f>IFERROR('Feeder Spreads'!AR82-'Feeder Spreads'!AR87,"")</f>
        <v>0</v>
      </c>
      <c r="FB82">
        <f>IFERROR('Feeder Spreads'!AR82-'Feeder Spreads'!AR92,"")</f>
        <v>0</v>
      </c>
      <c r="FC82">
        <f>IFERROR(AVERAGE('Feeder Spreads'!AR82:AR101)+2*STDEV('Feeder Spreads'!AR82:AR101),"")</f>
        <v>0</v>
      </c>
      <c r="FD82">
        <f>IFERROR(AVERAGE('Feeder Spreads'!AR82:AR101)-2*STDEV('Feeder Spreads'!AR82:AR101),"")</f>
        <v>0</v>
      </c>
      <c r="FE82" t="str">
        <f>IFERROR(('Feeder Spreads'!AR82-(AVERAGE('Feeder Spreads'!AR82:AR101)-2*STDEV('Feeder Spreads'!AR82:AR101)))/(4*STDEV('Feeder Spreads'!AR82:AR101)),"")</f>
        <v/>
      </c>
      <c r="FF82" t="str">
        <f>IFERROR(4*STDEV('Feeder Spreads'!AR82:AR101)/AVERAGE('Feeder Spreads'!AR82:AR101),"")</f>
        <v/>
      </c>
      <c r="FG82">
        <v>57.0398</v>
      </c>
      <c r="FH82">
        <f>IFERROR(SQRT((SUMSQ('Feeder Spreads'!AR82:AR101)-2*SUMPRODUCT('Feeder Spreads'!AR82:AR101,'Feeder Spreads'!AR83:AR102)+SUMSQ('Feeder Spreads'!AR83:AR102)-('Feeder Spreads'!AR82-'Feeder Spreads'!AR102)^2/20)/19),"")</f>
        <v>0</v>
      </c>
      <c r="FJ82">
        <f>IFERROR('Fat Spreads'!AX82,"")</f>
        <v>0</v>
      </c>
      <c r="FK82">
        <f>IFERROR(('Fat Spreads'!AY82-AVERAGE('Fat Spreads'!$AY$3:$AY$4308))/STDEV('Fat Spreads'!$AY$3:$AY$4308),"")</f>
        <v>9.2057461789832332E-2</v>
      </c>
      <c r="FL82">
        <f>IFERROR('Fat Spreads'!AY82-'Fat Spreads'!AY87,"")</f>
        <v>0</v>
      </c>
      <c r="FM82">
        <f>IFERROR('Fat Spreads'!AY82-'Fat Spreads'!AY92,"")</f>
        <v>0</v>
      </c>
      <c r="FN82">
        <f>IFERROR(AVERAGE('Fat Spreads'!AY82:AY101)+2*STDEV('Fat Spreads'!AY82:AY101),"")</f>
        <v>0</v>
      </c>
      <c r="FO82">
        <f>IFERROR(AVERAGE('Fat Spreads'!AY82:AY101)-2*STDEV('Fat Spreads'!AY82:AY101),"")</f>
        <v>0</v>
      </c>
      <c r="FP82" t="str">
        <f>IFERROR(('Fat Spreads'!AY82-(AVERAGE('Fat Spreads'!AY82:AY101)-2*STDEV('Fat Spreads'!AY82:AY101)))/(4*STDEV('Fat Spreads'!AY82:AY101)),"")</f>
        <v/>
      </c>
      <c r="FQ82" t="str">
        <f>IFERROR(4*STDEV('Fat Spreads'!AY82:AY101)/AVERAGE('Fat Spreads'!AY82:AY101),"")</f>
        <v/>
      </c>
      <c r="FR82">
        <v>37.089500000000001</v>
      </c>
      <c r="FS82">
        <f>IFERROR(SQRT((SUMSQ('Fat Spreads'!AY82:AY101)-2*SUMPRODUCT('Fat Spreads'!AY82:AY101,'Fat Spreads'!AY83:AY102)+SUMSQ('Fat Spreads'!AY83:AY102)-('Fat Spreads'!AY82-'Fat Spreads'!AY102)^2/20)/19),"")</f>
        <v>0</v>
      </c>
      <c r="FU82">
        <f>IFERROR('Fat Spreads'!BE82,"")</f>
        <v>0</v>
      </c>
      <c r="FV82">
        <f>IFERROR(('Fat Spreads'!BF82-AVERAGE('Fat Spreads'!$BF$3:$BF$4308))/STDEV('Fat Spreads'!$BF$3:$BF$4308),"")</f>
        <v>9.2057461789832332E-2</v>
      </c>
      <c r="FW82">
        <f>IFERROR('Fat Spreads'!BF82-'Fat Spreads'!BF87,"")</f>
        <v>0</v>
      </c>
      <c r="FX82">
        <f>IFERROR('Fat Spreads'!BF82-'Fat Spreads'!BF92,"")</f>
        <v>0</v>
      </c>
      <c r="FY82">
        <f>IFERROR(AVERAGE('Fat Spreads'!BF82:BF101)+2*STDEV('Fat Spreads'!BF82:BF101),"")</f>
        <v>0</v>
      </c>
      <c r="FZ82">
        <f>IFERROR(AVERAGE('Fat Spreads'!BF82:BF101)-2*STDEV('Fat Spreads'!BF82:BF101),"")</f>
        <v>0</v>
      </c>
      <c r="GA82" t="str">
        <f>IFERROR(('Fat Spreads'!BF82-(AVERAGE('Fat Spreads'!BF82:BF101)-2*STDEV('Fat Spreads'!BF82:BF101)))/(4*STDEV('Fat Spreads'!BF82:BF101)),"")</f>
        <v/>
      </c>
      <c r="GB82" t="str">
        <f>IFERROR(4*STDEV('Fat Spreads'!BF82:BF101)/AVERAGE('Fat Spreads'!BF82:BF101),"")</f>
        <v/>
      </c>
      <c r="GC82">
        <v>30.516100000000002</v>
      </c>
      <c r="GD82">
        <f>IFERROR(SQRT((SUMSQ('Fat Spreads'!BF82:BF101)-2*SUMPRODUCT('Fat Spreads'!BF82:BF101,'Fat Spreads'!BF83:BF102)+SUMSQ('Fat Spreads'!BF83:BF102)-('Fat Spreads'!BF82-'Fat Spreads'!BF102)^2/20)/19),"")</f>
        <v>0</v>
      </c>
    </row>
    <row r="83" spans="1:186" x14ac:dyDescent="0.25">
      <c r="A83">
        <f>IFERROR('Fat Spreads'!A83,"")</f>
        <v>0</v>
      </c>
      <c r="B83">
        <f>IFERROR(('Fat Spreads'!B83-AVERAGE('Fat Spreads'!$B$3:$B$4308))/STDEV('Fat Spreads'!$B$3:$B$4308),"")</f>
        <v>9.2057461789832346E-2</v>
      </c>
      <c r="C83">
        <f>IFERROR('Fat Spreads'!B83-'Fat Spreads'!B88,"")</f>
        <v>0</v>
      </c>
      <c r="D83">
        <f>IFERROR('Fat Spreads'!B83-'Fat Spreads'!B93,"")</f>
        <v>0</v>
      </c>
      <c r="E83">
        <f>IFERROR(AVERAGE('Fat Spreads'!B83:B102)+2*STDEV('Fat Spreads'!B83:B102),"")</f>
        <v>0</v>
      </c>
      <c r="F83">
        <f>IFERROR(AVERAGE('Fat Spreads'!B83:B102)-2*STDEV('Fat Spreads'!B83:B102),"")</f>
        <v>0</v>
      </c>
      <c r="G83" t="str">
        <f>IFERROR(('Fat Spreads'!B83-(AVERAGE('Fat Spreads'!B83:B102)-2*STDEV('Fat Spreads'!B83:B102)))/(4*STDEV('Fat Spreads'!B83:B102)),"")</f>
        <v/>
      </c>
      <c r="H83" t="str">
        <f>IFERROR(4*STDEV('Fat Spreads'!B83:B102)/AVERAGE('Fat Spreads'!B83:B102),"")</f>
        <v/>
      </c>
      <c r="I83">
        <v>33.5289</v>
      </c>
      <c r="J83">
        <f>IFERROR(SQRT((SUMSQ('Fat Spreads'!B83:B102)-2*SUMPRODUCT('Fat Spreads'!B83:B102,'Fat Spreads'!B84:B103)+SUMSQ('Fat Spreads'!B84:B103)-('Fat Spreads'!B83-'Fat Spreads'!B103)^2/20)/19),"")</f>
        <v>0</v>
      </c>
      <c r="L83">
        <f>IFERROR('Fat Spreads'!H83,"")</f>
        <v>0</v>
      </c>
      <c r="M83">
        <f>IFERROR(('Fat Spreads'!I83-AVERAGE('Fat Spreads'!$I$3:$I$4308))/STDEV('Fat Spreads'!$I$3:$I$4308),"")</f>
        <v>-9.2057461789832332E-2</v>
      </c>
      <c r="N83">
        <f>IFERROR('Fat Spreads'!I83-'Fat Spreads'!I88,"")</f>
        <v>0</v>
      </c>
      <c r="O83">
        <f>IFERROR('Fat Spreads'!I83-'Fat Spreads'!I93,"")</f>
        <v>0</v>
      </c>
      <c r="P83">
        <f>IFERROR(AVERAGE('Fat Spreads'!I83:I102)+2*STDEV('Fat Spreads'!I83:I102),"")</f>
        <v>0</v>
      </c>
      <c r="Q83">
        <f>IFERROR(AVERAGE('Fat Spreads'!I83:I102)-2*STDEV('Fat Spreads'!I83:I102),"")</f>
        <v>0</v>
      </c>
      <c r="R83" t="str">
        <f>IFERROR(('Fat Spreads'!I83-(AVERAGE('Fat Spreads'!I83:I102)-2*STDEV('Fat Spreads'!I83:I102)))/(4*STDEV('Fat Spreads'!I83:I102)),"")</f>
        <v/>
      </c>
      <c r="S83" t="str">
        <f>IFERROR(4*STDEV('Fat Spreads'!I83:I102)/AVERAGE('Fat Spreads'!I83:I102),"")</f>
        <v/>
      </c>
      <c r="T83">
        <v>31.411899999999999</v>
      </c>
      <c r="U83">
        <f>IFERROR(SQRT((SUMSQ('Fat Spreads'!I83:I102)-2*SUMPRODUCT('Fat Spreads'!I83:I102,'Fat Spreads'!I84:I103)+SUMSQ('Fat Spreads'!I84:I103)-('Fat Spreads'!I83-'Fat Spreads'!I103)^2/20)/19),"")</f>
        <v>0</v>
      </c>
      <c r="W83">
        <f>IFERROR('Fat Spreads'!AQ83,"")</f>
        <v>0</v>
      </c>
      <c r="X83">
        <f>IFERROR(('Fat Spreads'!AR83-AVERAGE('Fat Spreads'!$AR$3:$AR$4308))/STDEV('Fat Spreads'!$AR$3:$AR$4308),"")</f>
        <v>-9.2057461789832346E-2</v>
      </c>
      <c r="Y83">
        <f>IFERROR('Fat Spreads'!AR83-'Fat Spreads'!AR88,"")</f>
        <v>0</v>
      </c>
      <c r="Z83">
        <f>IFERROR('Fat Spreads'!AR83-'Fat Spreads'!AR93,"")</f>
        <v>0</v>
      </c>
      <c r="AA83">
        <f>IFERROR(AVERAGE('Fat Spreads'!AR83:AR102)+2*STDEV('Fat Spreads'!AR83:AR102),"")</f>
        <v>0</v>
      </c>
      <c r="AB83">
        <f>IFERROR(AVERAGE('Fat Spreads'!AR83:AR102)-2*STDEV('Fat Spreads'!AR83:AR102),"")</f>
        <v>0</v>
      </c>
      <c r="AC83" t="str">
        <f>IFERROR(('Fat Spreads'!AR83-(AVERAGE('Fat Spreads'!AR83:AR102)-2*STDEV('Fat Spreads'!AR83:AR102)))/(4*STDEV('Fat Spreads'!AR83:AR102)),"")</f>
        <v/>
      </c>
      <c r="AD83" t="str">
        <f>IFERROR(4*STDEV('Fat Spreads'!AR83:AR102)/AVERAGE('Fat Spreads'!AR83:AR102),"")</f>
        <v/>
      </c>
      <c r="AE83">
        <v>72.484499999999997</v>
      </c>
      <c r="AF83">
        <f>IFERROR(SQRT((SUMSQ('Fat Spreads'!AR83:AR102)-2*SUMPRODUCT('Fat Spreads'!AR83:AR102,'Fat Spreads'!AR84:AR103)+SUMSQ('Fat Spreads'!AR84:AR103)-('Fat Spreads'!AR83-'Fat Spreads'!AR103)^2/20)/19),"")</f>
        <v>0</v>
      </c>
      <c r="AH83">
        <f>IFERROR('Fat Spreads'!O83,"")</f>
        <v>0</v>
      </c>
      <c r="AI83">
        <f>IFERROR(('Fat Spreads'!P83-AVERAGE('Fat Spreads'!$P$3:$P$4308))/STDEV('Fat Spreads'!$P$3:$P$4308),"")</f>
        <v>-9.2057461789832332E-2</v>
      </c>
      <c r="AJ83">
        <f>IFERROR('Fat Spreads'!P83-'Fat Spreads'!P88,"")</f>
        <v>0</v>
      </c>
      <c r="AK83">
        <f>IFERROR('Fat Spreads'!P83-'Fat Spreads'!P93,"")</f>
        <v>0</v>
      </c>
      <c r="AL83">
        <f>IFERROR(AVERAGE('Fat Spreads'!P83:P102)+2*STDEV('Fat Spreads'!P83:P102),"")</f>
        <v>0</v>
      </c>
      <c r="AM83">
        <f>IFERROR(AVERAGE('Fat Spreads'!P83:P102)-2*STDEV('Fat Spreads'!P83:P102),"")</f>
        <v>0</v>
      </c>
      <c r="AN83" t="str">
        <f>IFERROR(('Fat Spreads'!P83-(AVERAGE('Fat Spreads'!P83:P102)-2*STDEV('Fat Spreads'!P83:P102)))/(4*STDEV('Fat Spreads'!P83:P102)),"")</f>
        <v/>
      </c>
      <c r="AO83" t="str">
        <f>IFERROR(4*STDEV('Fat Spreads'!P83:P102)/AVERAGE('Fat Spreads'!P83:P102),"")</f>
        <v/>
      </c>
      <c r="AP83">
        <v>45.571199999999997</v>
      </c>
      <c r="AQ83">
        <f>IFERROR(SQRT((SUMSQ('Fat Spreads'!P83:P102)-2*SUMPRODUCT('Fat Spreads'!P83:P102,'Fat Spreads'!P84:P103)+SUMSQ('Fat Spreads'!P84:P103)-('Fat Spreads'!P83-'Fat Spreads'!P103)^2/20)/19),"")</f>
        <v>0</v>
      </c>
      <c r="AS83">
        <f>IFERROR('Fat Spreads'!AJ83,"")</f>
        <v>0</v>
      </c>
      <c r="AT83">
        <f>IFERROR(('Fat Spreads'!AK83-AVERAGE('Fat Spreads'!$AK$3:$AK$4308))/STDEV('Fat Spreads'!$AK$3:$AK$4308),"")</f>
        <v>-9.2057461789832332E-2</v>
      </c>
      <c r="AU83">
        <f>IFERROR('Fat Spreads'!AK83-'Fat Spreads'!AK88,"")</f>
        <v>0</v>
      </c>
      <c r="AV83">
        <f>IFERROR('Fat Spreads'!AK83-'Fat Spreads'!AK93,"")</f>
        <v>0</v>
      </c>
      <c r="AW83">
        <f>IFERROR(AVERAGE('Fat Spreads'!AK83:AK102)+2*STDEV('Fat Spreads'!AK83:AK102),"")</f>
        <v>0</v>
      </c>
      <c r="AX83">
        <f>IFERROR(AVERAGE('Fat Spreads'!AK83:AK102)-2*STDEV('Fat Spreads'!AK83:AK102),"")</f>
        <v>0</v>
      </c>
      <c r="AY83" t="str">
        <f>IFERROR(('Fat Spreads'!AK83-(AVERAGE('Fat Spreads'!AK83:AK102)-2*STDEV('Fat Spreads'!AK83:AK102)))/(4*STDEV('Fat Spreads'!AK83:AK102)),"")</f>
        <v/>
      </c>
      <c r="AZ83" t="str">
        <f>IFERROR(4*STDEV('Fat Spreads'!AK83:AK102)/AVERAGE('Fat Spreads'!AK83:AK102),"")</f>
        <v/>
      </c>
      <c r="BA83">
        <v>41.6995</v>
      </c>
      <c r="BB83">
        <f>IFERROR(SQRT((SUMSQ('Fat Spreads'!AK83:AK102)-2*SUMPRODUCT('Fat Spreads'!AK83:AK102,'Fat Spreads'!AK84:AK103)+SUMSQ('Fat Spreads'!AK84:AK103)-('Fat Spreads'!AK83-'Fat Spreads'!AK103)^2/20)/19),"")</f>
        <v>0</v>
      </c>
      <c r="BD83">
        <f>IFERROR('Fat Spreads'!V83,"")</f>
        <v>0</v>
      </c>
      <c r="BE83">
        <f>IFERROR(('Fat Spreads'!W83-AVERAGE('Fat Spreads'!$W$3:$W$4308))/STDEV('Fat Spreads'!$W$3:$W$4308),"")</f>
        <v>-9.2057461789832332E-2</v>
      </c>
      <c r="BF83">
        <f>IFERROR('Fat Spreads'!W83-'Fat Spreads'!W88,"")</f>
        <v>0</v>
      </c>
      <c r="BG83">
        <f>IFERROR('Fat Spreads'!W83-'Fat Spreads'!W93,"")</f>
        <v>0</v>
      </c>
      <c r="BH83">
        <f>IFERROR(AVERAGE('Fat Spreads'!W83:W102)+2*STDEV('Fat Spreads'!W83:W102),"")</f>
        <v>0</v>
      </c>
      <c r="BI83">
        <f>IFERROR(AVERAGE('Fat Spreads'!W83:W102)-2*STDEV('Fat Spreads'!W83:W102),"")</f>
        <v>0</v>
      </c>
      <c r="BJ83" t="str">
        <f>IFERROR(('Fat Spreads'!W83-(AVERAGE('Fat Spreads'!W83:W102)-2*STDEV('Fat Spreads'!W83:W102)))/(4*STDEV('Fat Spreads'!W83:W102)),"")</f>
        <v/>
      </c>
      <c r="BK83" t="str">
        <f>IFERROR(4*STDEV('Fat Spreads'!W83:W102)/AVERAGE('Fat Spreads'!W83:W102),"")</f>
        <v/>
      </c>
      <c r="BL83">
        <v>72.492699999999999</v>
      </c>
      <c r="BM83">
        <f>IFERROR(SQRT((SUMSQ('Fat Spreads'!W83:W102)-2*SUMPRODUCT('Fat Spreads'!W83:W102,'Fat Spreads'!W84:W103)+SUMSQ('Fat Spreads'!W84:W103)-('Fat Spreads'!W83-'Fat Spreads'!W103)^2/20)/19),"")</f>
        <v>0</v>
      </c>
      <c r="BO83">
        <f>IFERROR('Fat Spreads'!AC83,"")</f>
        <v>0</v>
      </c>
      <c r="BP83">
        <f>IFERROR(('Fat Spreads'!AD83-AVERAGE('Fat Spreads'!$AD$3:$AD$4308))/STDEV('Fat Spreads'!$AD$3:$AD$4308),"")</f>
        <v>-9.2057461789832332E-2</v>
      </c>
      <c r="BQ83">
        <f>IFERROR('Fat Spreads'!AD83-'Fat Spreads'!AD88,"")</f>
        <v>0</v>
      </c>
      <c r="BR83">
        <f>IFERROR('Fat Spreads'!AD83-'Fat Spreads'!AD93,"")</f>
        <v>0</v>
      </c>
      <c r="BS83">
        <f>IFERROR(AVERAGE('Fat Spreads'!AD83:AD102)+2*STDEV('Fat Spreads'!AD83:AD102),"")</f>
        <v>0</v>
      </c>
      <c r="BT83">
        <f>IFERROR(AVERAGE('Fat Spreads'!AD83:AD102)-2*STDEV('Fat Spreads'!AD83:AD102),"")</f>
        <v>0</v>
      </c>
      <c r="BU83" t="str">
        <f>IFERROR(('Fat Spreads'!AD83-(AVERAGE('Fat Spreads'!AD83:AD102)-2*STDEV('Fat Spreads'!AD83:AD102)))/(4*STDEV('Fat Spreads'!AD83:AD102)),"")</f>
        <v/>
      </c>
      <c r="BV83" t="str">
        <f>IFERROR(4*STDEV('Fat Spreads'!AD83:AD102)/AVERAGE('Fat Spreads'!AD83:AD102),"")</f>
        <v/>
      </c>
      <c r="BW83">
        <v>35.581899999999997</v>
      </c>
      <c r="BX83">
        <f>IFERROR(SQRT((SUMSQ('Fat Spreads'!AD83:AD102)-2*SUMPRODUCT('Fat Spreads'!AD83:AD102,'Fat Spreads'!AD84:AD103)+SUMSQ('Fat Spreads'!AD84:AD103)-('Fat Spreads'!AD83-'Fat Spreads'!AD103)^2/20)/19),"")</f>
        <v>0</v>
      </c>
      <c r="BZ83">
        <f>IFERROR('Feeder Spreads'!A83,"")</f>
        <v>0</v>
      </c>
      <c r="CA83">
        <f>IFERROR(('Feeder Spreads'!B83-AVERAGE('Feeder Spreads'!$B$3:$B$4308))/STDEV('Feeder Spreads'!$B$3:$B$4308),"")</f>
        <v>-9.2057461789832346E-2</v>
      </c>
      <c r="CB83">
        <f>IFERROR('Feeder Spreads'!B83-'Feeder Spreads'!B88,"")</f>
        <v>0</v>
      </c>
      <c r="CC83">
        <f>IFERROR('Feeder Spreads'!B83-'Feeder Spreads'!B93,"")</f>
        <v>0</v>
      </c>
      <c r="CD83">
        <f>IFERROR(AVERAGE('Feeder Spreads'!B83:B102)+2*STDEV('Feeder Spreads'!B83:B102),"")</f>
        <v>0</v>
      </c>
      <c r="CE83">
        <f>IFERROR(AVERAGE('Feeder Spreads'!B83:B102)-2*STDEV('Feeder Spreads'!B83:B102),"")</f>
        <v>0</v>
      </c>
      <c r="CF83" t="str">
        <f>IFERROR(('Feeder Spreads'!B83-(AVERAGE('Feeder Spreads'!B83:B102)-2*STDEV('Feeder Spreads'!B83:B102)))/(4*STDEV('Feeder Spreads'!B83:B102)),"")</f>
        <v/>
      </c>
      <c r="CG83" t="str">
        <f>IFERROR(4*STDEV('Feeder Spreads'!B83:B102)/AVERAGE('Feeder Spreads'!B83:B102),"")</f>
        <v/>
      </c>
      <c r="CH83">
        <v>50.634700000000002</v>
      </c>
      <c r="CI83">
        <f>IFERROR(SQRT((SUMSQ('Feeder Spreads'!B83:B102)-2*SUMPRODUCT('Feeder Spreads'!B83:B102,'Feeder Spreads'!B84:B103)+SUMSQ('Feeder Spreads'!B84:B103)-('Feeder Spreads'!B83-'Feeder Spreads'!B103)^2/20)/19),"")</f>
        <v>0</v>
      </c>
      <c r="CK83">
        <f>IFERROR('Feeder Spreads'!AX83,"")</f>
        <v>0</v>
      </c>
      <c r="CL83">
        <f>IFERROR(('Feeder Spreads'!AY83-AVERAGE('Feeder Spreads'!$AY$3:$AY$4308))/STDEV('Feeder Spreads'!$AY$3:$AY$4308),"")</f>
        <v>-9.2057461789832346E-2</v>
      </c>
      <c r="CM83">
        <f>IFERROR('Feeder Spreads'!AY83-'Feeder Spreads'!AY88,"")</f>
        <v>0</v>
      </c>
      <c r="CN83">
        <f>IFERROR('Feeder Spreads'!AY83-'Feeder Spreads'!AY93,"")</f>
        <v>0</v>
      </c>
      <c r="CO83">
        <f>IFERROR(AVERAGE('Feeder Spreads'!AY83:AY102)+2*STDEV('Feeder Spreads'!AY83:AY102),"")</f>
        <v>0</v>
      </c>
      <c r="CP83">
        <f>IFERROR(AVERAGE('Feeder Spreads'!AY83:AY102)-2*STDEV('Feeder Spreads'!AY83:AY102),"")</f>
        <v>0</v>
      </c>
      <c r="CQ83" t="str">
        <f>IFERROR(('Feeder Spreads'!AY83-(AVERAGE('Feeder Spreads'!AY83:AY102)-2*STDEV('Feeder Spreads'!AY83:AY102)))/(4*STDEV('Feeder Spreads'!AY83:AY102)),"")</f>
        <v/>
      </c>
      <c r="CR83" t="str">
        <f>IFERROR(4*STDEV('Feeder Spreads'!AY83:AY102)/AVERAGE('Feeder Spreads'!AY83:AY102),"")</f>
        <v/>
      </c>
      <c r="CS83">
        <v>41.358699999999999</v>
      </c>
      <c r="CT83">
        <f>IFERROR(SQRT((SUMSQ('Feeder Spreads'!AY83:AY102)-2*SUMPRODUCT('Feeder Spreads'!AY83:AY102,'Feeder Spreads'!AY84:AY103)+SUMSQ('Feeder Spreads'!AY84:AY103)-('Feeder Spreads'!AY83-'Feeder Spreads'!AY103)^2/20)/19),"")</f>
        <v>0</v>
      </c>
      <c r="CV83">
        <f>IFERROR('Feeder Spreads'!H83,"")</f>
        <v>0</v>
      </c>
      <c r="CW83">
        <f>IFERROR(('Feeder Spreads'!I83-AVERAGE('Feeder Spreads'!$I$3:$I$4308))/STDEV('Feeder Spreads'!$I$3:$I$4308),"")</f>
        <v>-9.2057461789832332E-2</v>
      </c>
      <c r="CX83">
        <f>IFERROR('Feeder Spreads'!I83-'Feeder Spreads'!I88,"")</f>
        <v>0</v>
      </c>
      <c r="CY83">
        <f>IFERROR('Feeder Spreads'!I83-'Feeder Spreads'!I93,"")</f>
        <v>0</v>
      </c>
      <c r="CZ83">
        <f>IFERROR(AVERAGE('Feeder Spreads'!I83:I102)+2*STDEV('Feeder Spreads'!I83:I102),"")</f>
        <v>0</v>
      </c>
      <c r="DA83">
        <f>IFERROR(AVERAGE('Feeder Spreads'!I83:I102)-2*STDEV('Feeder Spreads'!I83:I102),"")</f>
        <v>0</v>
      </c>
      <c r="DB83" t="str">
        <f>IFERROR(('Feeder Spreads'!I83-(AVERAGE('Feeder Spreads'!I83:I102)-2*STDEV('Feeder Spreads'!I83:I102)))/(4*STDEV('Feeder Spreads'!I83:I102)),"")</f>
        <v/>
      </c>
      <c r="DC83" t="str">
        <f>IFERROR(4*STDEV('Feeder Spreads'!I83:I102)/AVERAGE('Feeder Spreads'!I83:I102),"")</f>
        <v/>
      </c>
      <c r="DD83">
        <v>54.141100000000002</v>
      </c>
      <c r="DE83">
        <f>IFERROR(SQRT((SUMSQ('Feeder Spreads'!I83:I102)-2*SUMPRODUCT('Feeder Spreads'!I83:I102,'Feeder Spreads'!I84:I103)+SUMSQ('Feeder Spreads'!I84:I103)-('Feeder Spreads'!I83-'Feeder Spreads'!I103)^2/20)/19),"")</f>
        <v>0</v>
      </c>
      <c r="DG83">
        <f>IFERROR('Feeder Spreads'!O83,"")</f>
        <v>0</v>
      </c>
      <c r="DH83">
        <f>IFERROR(('Feeder Spreads'!P83-AVERAGE('Feeder Spreads'!$P$3:$P$4308))/STDEV('Feeder Spreads'!$P$3:$P$4308),"")</f>
        <v>-9.2057461789832346E-2</v>
      </c>
      <c r="DI83">
        <f>IFERROR('Feeder Spreads'!P83-'Feeder Spreads'!P88,"")</f>
        <v>0</v>
      </c>
      <c r="DJ83">
        <f>IFERROR('Feeder Spreads'!P83-'Feeder Spreads'!P93,"")</f>
        <v>0</v>
      </c>
      <c r="DK83">
        <f>IFERROR(AVERAGE('Feeder Spreads'!P83:P102)+2*STDEV('Feeder Spreads'!P83:P102),"")</f>
        <v>0</v>
      </c>
      <c r="DL83">
        <f>IFERROR(AVERAGE('Feeder Spreads'!P83:P102)-2*STDEV('Feeder Spreads'!P83:P102),"")</f>
        <v>0</v>
      </c>
      <c r="DM83" t="str">
        <f>IFERROR(('Feeder Spreads'!P83-(AVERAGE('Feeder Spreads'!P83:P102)-2*STDEV('Feeder Spreads'!P83:P102)))/(4*STDEV('Feeder Spreads'!P83:P102)),"")</f>
        <v/>
      </c>
      <c r="DN83" t="str">
        <f>IFERROR(4*STDEV('Feeder Spreads'!P83:P102)/AVERAGE('Feeder Spreads'!P83:P102),"")</f>
        <v/>
      </c>
      <c r="DO83">
        <v>59.698599999999999</v>
      </c>
      <c r="DP83">
        <f>IFERROR(SQRT((SUMSQ('Feeder Spreads'!P83:P102)-2*SUMPRODUCT('Feeder Spreads'!P83:P102,'Feeder Spreads'!P84:P103)+SUMSQ('Feeder Spreads'!P84:P103)-('Feeder Spreads'!P83-'Feeder Spreads'!P103)^2/20)/19),"")</f>
        <v>0</v>
      </c>
      <c r="DR83">
        <f>IFERROR('Feeder Spreads'!V83,"")</f>
        <v>0</v>
      </c>
      <c r="DS83">
        <f>IFERROR(('Feeder Spreads'!W83-AVERAGE('Feeder Spreads'!$W$3:$W$4308))/STDEV('Feeder Spreads'!$W$3:$W$4308),"")</f>
        <v>-9.2057461789832332E-2</v>
      </c>
      <c r="DT83">
        <f>IFERROR('Feeder Spreads'!W83-'Feeder Spreads'!W88,"")</f>
        <v>0</v>
      </c>
      <c r="DU83">
        <f>IFERROR('Feeder Spreads'!W83-'Feeder Spreads'!W93,"")</f>
        <v>0</v>
      </c>
      <c r="DV83">
        <f>IFERROR(AVERAGE('Feeder Spreads'!W83:W102)+2*STDEV('Feeder Spreads'!W83:W102),"")</f>
        <v>0</v>
      </c>
      <c r="DW83">
        <f>IFERROR(AVERAGE('Feeder Spreads'!W83:W102)-2*STDEV('Feeder Spreads'!W83:W102),"")</f>
        <v>0</v>
      </c>
      <c r="DX83" t="str">
        <f>IFERROR(('Feeder Spreads'!W83-(AVERAGE('Feeder Spreads'!W83:W102)-2*STDEV('Feeder Spreads'!W83:W102)))/(4*STDEV('Feeder Spreads'!W83:W102)),"")</f>
        <v/>
      </c>
      <c r="DY83" t="str">
        <f>IFERROR(4*STDEV('Feeder Spreads'!W83:W102)/AVERAGE('Feeder Spreads'!W83:W102),"")</f>
        <v/>
      </c>
      <c r="DZ83">
        <v>42.337600000000002</v>
      </c>
      <c r="EA83">
        <f>IFERROR(SQRT((SUMSQ('Feeder Spreads'!W83:W102)-2*SUMPRODUCT('Feeder Spreads'!W83:W102,'Feeder Spreads'!W84:W103)+SUMSQ('Feeder Spreads'!W84:W103)-('Feeder Spreads'!W83-'Feeder Spreads'!W103)^2/20)/19),"")</f>
        <v>0</v>
      </c>
      <c r="EC83">
        <f>IFERROR('Feeder Spreads'!AC83,"")</f>
        <v>0</v>
      </c>
      <c r="ED83">
        <f>IFERROR(('Feeder Spreads'!AD83-AVERAGE('Feeder Spreads'!$AD$3:$AD$4308))/STDEV('Feeder Spreads'!$AD$3:$AD$4308),"")</f>
        <v>9.2057461789832318E-2</v>
      </c>
      <c r="EE83">
        <f>IFERROR('Feeder Spreads'!AD83-'Feeder Spreads'!AD88,"")</f>
        <v>0</v>
      </c>
      <c r="EF83">
        <f>IFERROR('Feeder Spreads'!AD83-'Feeder Spreads'!AD93,"")</f>
        <v>0</v>
      </c>
      <c r="EG83">
        <f>IFERROR(AVERAGE('Feeder Spreads'!AD83:AD102)+2*STDEV('Feeder Spreads'!AD83:AD102),"")</f>
        <v>0</v>
      </c>
      <c r="EH83">
        <f>IFERROR(AVERAGE('Feeder Spreads'!AD83:AD102)-2*STDEV('Feeder Spreads'!AD83:AD102),"")</f>
        <v>0</v>
      </c>
      <c r="EI83" t="str">
        <f>IFERROR(('Feeder Spreads'!AD83-(AVERAGE('Feeder Spreads'!AD83:AD102)-2*STDEV('Feeder Spreads'!AD83:AD102)))/(4*STDEV('Feeder Spreads'!AD83:AD102)),"")</f>
        <v/>
      </c>
      <c r="EJ83" t="str">
        <f>IFERROR(4*STDEV('Feeder Spreads'!AD83:AD102)/AVERAGE('Feeder Spreads'!AD83:AD102),"")</f>
        <v/>
      </c>
      <c r="EK83">
        <v>49.458599999999997</v>
      </c>
      <c r="EL83">
        <f>IFERROR(SQRT((SUMSQ('Feeder Spreads'!AD83:AD102)-2*SUMPRODUCT('Feeder Spreads'!AD83:AD102,'Feeder Spreads'!AD84:AD103)+SUMSQ('Feeder Spreads'!AD84:AD103)-('Feeder Spreads'!AD83-'Feeder Spreads'!AD103)^2/20)/19),"")</f>
        <v>0</v>
      </c>
      <c r="EN83">
        <f>IFERROR('Feeder Spreads'!AJ83,"")</f>
        <v>0</v>
      </c>
      <c r="EO83">
        <f>IFERROR(('Feeder Spreads'!AK83-AVERAGE('Feeder Spreads'!$AK$3:$AK$4308))/STDEV('Feeder Spreads'!$AK$3:$AK$4308),"")</f>
        <v>-9.2057461789832346E-2</v>
      </c>
      <c r="EP83">
        <f>IFERROR('Feeder Spreads'!AK83-'Feeder Spreads'!AK88,"")</f>
        <v>0</v>
      </c>
      <c r="EQ83">
        <f>IFERROR('Feeder Spreads'!AK83-'Feeder Spreads'!AK93,"")</f>
        <v>0</v>
      </c>
      <c r="ER83">
        <f>IFERROR(AVERAGE('Feeder Spreads'!AK83:AK102)+2*STDEV('Feeder Spreads'!AK83:AK102),"")</f>
        <v>0</v>
      </c>
      <c r="ES83">
        <f>IFERROR(AVERAGE('Feeder Spreads'!AK83:AK102)-2*STDEV('Feeder Spreads'!AK83:AK102),"")</f>
        <v>0</v>
      </c>
      <c r="ET83" t="str">
        <f>IFERROR(('Feeder Spreads'!AK83-(AVERAGE('Feeder Spreads'!AK83:AK102)-2*STDEV('Feeder Spreads'!AK83:AK102)))/(4*STDEV('Feeder Spreads'!AK83:AK102)),"")</f>
        <v/>
      </c>
      <c r="EU83" t="str">
        <f>IFERROR(4*STDEV('Feeder Spreads'!AK83:AK102)/AVERAGE('Feeder Spreads'!AK83:AK102),"")</f>
        <v/>
      </c>
      <c r="EV83">
        <v>53.02</v>
      </c>
      <c r="EW83">
        <f>IFERROR(SQRT((SUMSQ('Feeder Spreads'!AK83:AK102)-2*SUMPRODUCT('Feeder Spreads'!AK83:AK102,'Feeder Spreads'!AK84:AK103)+SUMSQ('Feeder Spreads'!AK84:AK103)-('Feeder Spreads'!AK83-'Feeder Spreads'!AK103)^2/20)/19),"")</f>
        <v>0</v>
      </c>
      <c r="EY83">
        <f>IFERROR('Feeder Spreads'!AQ83,"")</f>
        <v>0</v>
      </c>
      <c r="EZ83">
        <f>IFERROR(('Feeder Spreads'!AR83-AVERAGE('Feeder Spreads'!$AR$3:$AR$4308))/STDEV('Feeder Spreads'!$AR$3:$AR$4308),"")</f>
        <v>-9.2057461789832332E-2</v>
      </c>
      <c r="FA83">
        <f>IFERROR('Feeder Spreads'!AR83-'Feeder Spreads'!AR88,"")</f>
        <v>0</v>
      </c>
      <c r="FB83">
        <f>IFERROR('Feeder Spreads'!AR83-'Feeder Spreads'!AR93,"")</f>
        <v>0</v>
      </c>
      <c r="FC83">
        <f>IFERROR(AVERAGE('Feeder Spreads'!AR83:AR102)+2*STDEV('Feeder Spreads'!AR83:AR102),"")</f>
        <v>0</v>
      </c>
      <c r="FD83">
        <f>IFERROR(AVERAGE('Feeder Spreads'!AR83:AR102)-2*STDEV('Feeder Spreads'!AR83:AR102),"")</f>
        <v>0</v>
      </c>
      <c r="FE83" t="str">
        <f>IFERROR(('Feeder Spreads'!AR83-(AVERAGE('Feeder Spreads'!AR83:AR102)-2*STDEV('Feeder Spreads'!AR83:AR102)))/(4*STDEV('Feeder Spreads'!AR83:AR102)),"")</f>
        <v/>
      </c>
      <c r="FF83" t="str">
        <f>IFERROR(4*STDEV('Feeder Spreads'!AR83:AR102)/AVERAGE('Feeder Spreads'!AR83:AR102),"")</f>
        <v/>
      </c>
      <c r="FG83">
        <v>57.0398</v>
      </c>
      <c r="FH83">
        <f>IFERROR(SQRT((SUMSQ('Feeder Spreads'!AR83:AR102)-2*SUMPRODUCT('Feeder Spreads'!AR83:AR102,'Feeder Spreads'!AR84:AR103)+SUMSQ('Feeder Spreads'!AR84:AR103)-('Feeder Spreads'!AR83-'Feeder Spreads'!AR103)^2/20)/19),"")</f>
        <v>0</v>
      </c>
      <c r="FJ83">
        <f>IFERROR('Fat Spreads'!AX83,"")</f>
        <v>0</v>
      </c>
      <c r="FK83">
        <f>IFERROR(('Fat Spreads'!AY83-AVERAGE('Fat Spreads'!$AY$3:$AY$4308))/STDEV('Fat Spreads'!$AY$3:$AY$4308),"")</f>
        <v>9.2057461789832332E-2</v>
      </c>
      <c r="FL83">
        <f>IFERROR('Fat Spreads'!AY83-'Fat Spreads'!AY88,"")</f>
        <v>0</v>
      </c>
      <c r="FM83">
        <f>IFERROR('Fat Spreads'!AY83-'Fat Spreads'!AY93,"")</f>
        <v>0</v>
      </c>
      <c r="FN83">
        <f>IFERROR(AVERAGE('Fat Spreads'!AY83:AY102)+2*STDEV('Fat Spreads'!AY83:AY102),"")</f>
        <v>0</v>
      </c>
      <c r="FO83">
        <f>IFERROR(AVERAGE('Fat Spreads'!AY83:AY102)-2*STDEV('Fat Spreads'!AY83:AY102),"")</f>
        <v>0</v>
      </c>
      <c r="FP83" t="str">
        <f>IFERROR(('Fat Spreads'!AY83-(AVERAGE('Fat Spreads'!AY83:AY102)-2*STDEV('Fat Spreads'!AY83:AY102)))/(4*STDEV('Fat Spreads'!AY83:AY102)),"")</f>
        <v/>
      </c>
      <c r="FQ83" t="str">
        <f>IFERROR(4*STDEV('Fat Spreads'!AY83:AY102)/AVERAGE('Fat Spreads'!AY83:AY102),"")</f>
        <v/>
      </c>
      <c r="FR83">
        <v>37.256799999999998</v>
      </c>
      <c r="FS83">
        <f>IFERROR(SQRT((SUMSQ('Fat Spreads'!AY83:AY102)-2*SUMPRODUCT('Fat Spreads'!AY83:AY102,'Fat Spreads'!AY84:AY103)+SUMSQ('Fat Spreads'!AY84:AY103)-('Fat Spreads'!AY83-'Fat Spreads'!AY103)^2/20)/19),"")</f>
        <v>0</v>
      </c>
      <c r="FU83">
        <f>IFERROR('Fat Spreads'!BE83,"")</f>
        <v>0</v>
      </c>
      <c r="FV83">
        <f>IFERROR(('Fat Spreads'!BF83-AVERAGE('Fat Spreads'!$BF$3:$BF$4308))/STDEV('Fat Spreads'!$BF$3:$BF$4308),"")</f>
        <v>9.2057461789832332E-2</v>
      </c>
      <c r="FW83">
        <f>IFERROR('Fat Spreads'!BF83-'Fat Spreads'!BF88,"")</f>
        <v>0</v>
      </c>
      <c r="FX83">
        <f>IFERROR('Fat Spreads'!BF83-'Fat Spreads'!BF93,"")</f>
        <v>0</v>
      </c>
      <c r="FY83">
        <f>IFERROR(AVERAGE('Fat Spreads'!BF83:BF102)+2*STDEV('Fat Spreads'!BF83:BF102),"")</f>
        <v>0</v>
      </c>
      <c r="FZ83">
        <f>IFERROR(AVERAGE('Fat Spreads'!BF83:BF102)-2*STDEV('Fat Spreads'!BF83:BF102),"")</f>
        <v>0</v>
      </c>
      <c r="GA83" t="str">
        <f>IFERROR(('Fat Spreads'!BF83-(AVERAGE('Fat Spreads'!BF83:BF102)-2*STDEV('Fat Spreads'!BF83:BF102)))/(4*STDEV('Fat Spreads'!BF83:BF102)),"")</f>
        <v/>
      </c>
      <c r="GB83" t="str">
        <f>IFERROR(4*STDEV('Fat Spreads'!BF83:BF102)/AVERAGE('Fat Spreads'!BF83:BF102),"")</f>
        <v/>
      </c>
      <c r="GC83">
        <v>32.105400000000003</v>
      </c>
      <c r="GD83">
        <f>IFERROR(SQRT((SUMSQ('Fat Spreads'!BF83:BF102)-2*SUMPRODUCT('Fat Spreads'!BF83:BF102,'Fat Spreads'!BF84:BF103)+SUMSQ('Fat Spreads'!BF84:BF103)-('Fat Spreads'!BF83-'Fat Spreads'!BF103)^2/20)/19),"")</f>
        <v>0</v>
      </c>
    </row>
    <row r="84" spans="1:186" x14ac:dyDescent="0.25">
      <c r="A84">
        <f>IFERROR('Fat Spreads'!A84,"")</f>
        <v>0</v>
      </c>
      <c r="B84">
        <f>IFERROR(('Fat Spreads'!B84-AVERAGE('Fat Spreads'!$B$3:$B$4308))/STDEV('Fat Spreads'!$B$3:$B$4308),"")</f>
        <v>9.2057461789832346E-2</v>
      </c>
      <c r="C84">
        <f>IFERROR('Fat Spreads'!B84-'Fat Spreads'!B89,"")</f>
        <v>0</v>
      </c>
      <c r="D84">
        <f>IFERROR('Fat Spreads'!B84-'Fat Spreads'!B94,"")</f>
        <v>0</v>
      </c>
      <c r="E84">
        <f>IFERROR(AVERAGE('Fat Spreads'!B84:B103)+2*STDEV('Fat Spreads'!B84:B103),"")</f>
        <v>0</v>
      </c>
      <c r="F84">
        <f>IFERROR(AVERAGE('Fat Spreads'!B84:B103)-2*STDEV('Fat Spreads'!B84:B103),"")</f>
        <v>0</v>
      </c>
      <c r="G84" t="str">
        <f>IFERROR(('Fat Spreads'!B84-(AVERAGE('Fat Spreads'!B84:B103)-2*STDEV('Fat Spreads'!B84:B103)))/(4*STDEV('Fat Spreads'!B84:B103)),"")</f>
        <v/>
      </c>
      <c r="H84" t="str">
        <f>IFERROR(4*STDEV('Fat Spreads'!B84:B103)/AVERAGE('Fat Spreads'!B84:B103),"")</f>
        <v/>
      </c>
      <c r="I84">
        <v>36.349499999999999</v>
      </c>
      <c r="J84">
        <f>IFERROR(SQRT((SUMSQ('Fat Spreads'!B84:B103)-2*SUMPRODUCT('Fat Spreads'!B84:B103,'Fat Spreads'!B85:B104)+SUMSQ('Fat Spreads'!B85:B104)-('Fat Spreads'!B84-'Fat Spreads'!B104)^2/20)/19),"")</f>
        <v>0</v>
      </c>
      <c r="L84">
        <f>IFERROR('Fat Spreads'!H84,"")</f>
        <v>0</v>
      </c>
      <c r="M84">
        <f>IFERROR(('Fat Spreads'!I84-AVERAGE('Fat Spreads'!$I$3:$I$4308))/STDEV('Fat Spreads'!$I$3:$I$4308),"")</f>
        <v>-9.2057461789832332E-2</v>
      </c>
      <c r="N84">
        <f>IFERROR('Fat Spreads'!I84-'Fat Spreads'!I89,"")</f>
        <v>0</v>
      </c>
      <c r="O84">
        <f>IFERROR('Fat Spreads'!I84-'Fat Spreads'!I94,"")</f>
        <v>0</v>
      </c>
      <c r="P84">
        <f>IFERROR(AVERAGE('Fat Spreads'!I84:I103)+2*STDEV('Fat Spreads'!I84:I103),"")</f>
        <v>0</v>
      </c>
      <c r="Q84">
        <f>IFERROR(AVERAGE('Fat Spreads'!I84:I103)-2*STDEV('Fat Spreads'!I84:I103),"")</f>
        <v>0</v>
      </c>
      <c r="R84" t="str">
        <f>IFERROR(('Fat Spreads'!I84-(AVERAGE('Fat Spreads'!I84:I103)-2*STDEV('Fat Spreads'!I84:I103)))/(4*STDEV('Fat Spreads'!I84:I103)),"")</f>
        <v/>
      </c>
      <c r="S84" t="str">
        <f>IFERROR(4*STDEV('Fat Spreads'!I84:I103)/AVERAGE('Fat Spreads'!I84:I103),"")</f>
        <v/>
      </c>
      <c r="T84">
        <v>36.212299999999999</v>
      </c>
      <c r="U84">
        <f>IFERROR(SQRT((SUMSQ('Fat Spreads'!I84:I103)-2*SUMPRODUCT('Fat Spreads'!I84:I103,'Fat Spreads'!I85:I104)+SUMSQ('Fat Spreads'!I85:I104)-('Fat Spreads'!I84-'Fat Spreads'!I104)^2/20)/19),"")</f>
        <v>0</v>
      </c>
      <c r="W84">
        <f>IFERROR('Fat Spreads'!AQ84,"")</f>
        <v>0</v>
      </c>
      <c r="X84">
        <f>IFERROR(('Fat Spreads'!AR84-AVERAGE('Fat Spreads'!$AR$3:$AR$4308))/STDEV('Fat Spreads'!$AR$3:$AR$4308),"")</f>
        <v>-9.2057461789832346E-2</v>
      </c>
      <c r="Y84">
        <f>IFERROR('Fat Spreads'!AR84-'Fat Spreads'!AR89,"")</f>
        <v>0</v>
      </c>
      <c r="Z84">
        <f>IFERROR('Fat Spreads'!AR84-'Fat Spreads'!AR94,"")</f>
        <v>0</v>
      </c>
      <c r="AA84">
        <f>IFERROR(AVERAGE('Fat Spreads'!AR84:AR103)+2*STDEV('Fat Spreads'!AR84:AR103),"")</f>
        <v>0</v>
      </c>
      <c r="AB84">
        <f>IFERROR(AVERAGE('Fat Spreads'!AR84:AR103)-2*STDEV('Fat Spreads'!AR84:AR103),"")</f>
        <v>0</v>
      </c>
      <c r="AC84" t="str">
        <f>IFERROR(('Fat Spreads'!AR84-(AVERAGE('Fat Spreads'!AR84:AR103)-2*STDEV('Fat Spreads'!AR84:AR103)))/(4*STDEV('Fat Spreads'!AR84:AR103)),"")</f>
        <v/>
      </c>
      <c r="AD84" t="str">
        <f>IFERROR(4*STDEV('Fat Spreads'!AR84:AR103)/AVERAGE('Fat Spreads'!AR84:AR103),"")</f>
        <v/>
      </c>
      <c r="AE84">
        <v>73.3917</v>
      </c>
      <c r="AF84">
        <f>IFERROR(SQRT((SUMSQ('Fat Spreads'!AR84:AR103)-2*SUMPRODUCT('Fat Spreads'!AR84:AR103,'Fat Spreads'!AR85:AR104)+SUMSQ('Fat Spreads'!AR85:AR104)-('Fat Spreads'!AR84-'Fat Spreads'!AR104)^2/20)/19),"")</f>
        <v>0</v>
      </c>
      <c r="AH84">
        <f>IFERROR('Fat Spreads'!O84,"")</f>
        <v>0</v>
      </c>
      <c r="AI84">
        <f>IFERROR(('Fat Spreads'!P84-AVERAGE('Fat Spreads'!$P$3:$P$4308))/STDEV('Fat Spreads'!$P$3:$P$4308),"")</f>
        <v>-9.2057461789832332E-2</v>
      </c>
      <c r="AJ84">
        <f>IFERROR('Fat Spreads'!P84-'Fat Spreads'!P89,"")</f>
        <v>0</v>
      </c>
      <c r="AK84">
        <f>IFERROR('Fat Spreads'!P84-'Fat Spreads'!P94,"")</f>
        <v>0</v>
      </c>
      <c r="AL84">
        <f>IFERROR(AVERAGE('Fat Spreads'!P84:P103)+2*STDEV('Fat Spreads'!P84:P103),"")</f>
        <v>0</v>
      </c>
      <c r="AM84">
        <f>IFERROR(AVERAGE('Fat Spreads'!P84:P103)-2*STDEV('Fat Spreads'!P84:P103),"")</f>
        <v>0</v>
      </c>
      <c r="AN84" t="str">
        <f>IFERROR(('Fat Spreads'!P84-(AVERAGE('Fat Spreads'!P84:P103)-2*STDEV('Fat Spreads'!P84:P103)))/(4*STDEV('Fat Spreads'!P84:P103)),"")</f>
        <v/>
      </c>
      <c r="AO84" t="str">
        <f>IFERROR(4*STDEV('Fat Spreads'!P84:P103)/AVERAGE('Fat Spreads'!P84:P103),"")</f>
        <v/>
      </c>
      <c r="AP84">
        <v>48.508699999999997</v>
      </c>
      <c r="AQ84">
        <f>IFERROR(SQRT((SUMSQ('Fat Spreads'!P84:P103)-2*SUMPRODUCT('Fat Spreads'!P84:P103,'Fat Spreads'!P85:P104)+SUMSQ('Fat Spreads'!P85:P104)-('Fat Spreads'!P84-'Fat Spreads'!P104)^2/20)/19),"")</f>
        <v>0</v>
      </c>
      <c r="AS84">
        <f>IFERROR('Fat Spreads'!AJ84,"")</f>
        <v>0</v>
      </c>
      <c r="AT84">
        <f>IFERROR(('Fat Spreads'!AK84-AVERAGE('Fat Spreads'!$AK$3:$AK$4308))/STDEV('Fat Spreads'!$AK$3:$AK$4308),"")</f>
        <v>-9.2057461789832332E-2</v>
      </c>
      <c r="AU84">
        <f>IFERROR('Fat Spreads'!AK84-'Fat Spreads'!AK89,"")</f>
        <v>0</v>
      </c>
      <c r="AV84">
        <f>IFERROR('Fat Spreads'!AK84-'Fat Spreads'!AK94,"")</f>
        <v>0</v>
      </c>
      <c r="AW84">
        <f>IFERROR(AVERAGE('Fat Spreads'!AK84:AK103)+2*STDEV('Fat Spreads'!AK84:AK103),"")</f>
        <v>0</v>
      </c>
      <c r="AX84">
        <f>IFERROR(AVERAGE('Fat Spreads'!AK84:AK103)-2*STDEV('Fat Spreads'!AK84:AK103),"")</f>
        <v>0</v>
      </c>
      <c r="AY84" t="str">
        <f>IFERROR(('Fat Spreads'!AK84-(AVERAGE('Fat Spreads'!AK84:AK103)-2*STDEV('Fat Spreads'!AK84:AK103)))/(4*STDEV('Fat Spreads'!AK84:AK103)),"")</f>
        <v/>
      </c>
      <c r="AZ84" t="str">
        <f>IFERROR(4*STDEV('Fat Spreads'!AK84:AK103)/AVERAGE('Fat Spreads'!AK84:AK103),"")</f>
        <v/>
      </c>
      <c r="BA84">
        <v>45.037100000000002</v>
      </c>
      <c r="BB84">
        <f>IFERROR(SQRT((SUMSQ('Fat Spreads'!AK84:AK103)-2*SUMPRODUCT('Fat Spreads'!AK84:AK103,'Fat Spreads'!AK85:AK104)+SUMSQ('Fat Spreads'!AK85:AK104)-('Fat Spreads'!AK84-'Fat Spreads'!AK104)^2/20)/19),"")</f>
        <v>0</v>
      </c>
      <c r="BD84">
        <f>IFERROR('Fat Spreads'!V84,"")</f>
        <v>0</v>
      </c>
      <c r="BE84">
        <f>IFERROR(('Fat Spreads'!W84-AVERAGE('Fat Spreads'!$W$3:$W$4308))/STDEV('Fat Spreads'!$W$3:$W$4308),"")</f>
        <v>-9.2057461789832332E-2</v>
      </c>
      <c r="BF84">
        <f>IFERROR('Fat Spreads'!W84-'Fat Spreads'!W89,"")</f>
        <v>0</v>
      </c>
      <c r="BG84">
        <f>IFERROR('Fat Spreads'!W84-'Fat Spreads'!W94,"")</f>
        <v>0</v>
      </c>
      <c r="BH84">
        <f>IFERROR(AVERAGE('Fat Spreads'!W84:W103)+2*STDEV('Fat Spreads'!W84:W103),"")</f>
        <v>0</v>
      </c>
      <c r="BI84">
        <f>IFERROR(AVERAGE('Fat Spreads'!W84:W103)-2*STDEV('Fat Spreads'!W84:W103),"")</f>
        <v>0</v>
      </c>
      <c r="BJ84" t="str">
        <f>IFERROR(('Fat Spreads'!W84-(AVERAGE('Fat Spreads'!W84:W103)-2*STDEV('Fat Spreads'!W84:W103)))/(4*STDEV('Fat Spreads'!W84:W103)),"")</f>
        <v/>
      </c>
      <c r="BK84" t="str">
        <f>IFERROR(4*STDEV('Fat Spreads'!W84:W103)/AVERAGE('Fat Spreads'!W84:W103),"")</f>
        <v/>
      </c>
      <c r="BL84">
        <v>72.616699999999994</v>
      </c>
      <c r="BM84">
        <f>IFERROR(SQRT((SUMSQ('Fat Spreads'!W84:W103)-2*SUMPRODUCT('Fat Spreads'!W84:W103,'Fat Spreads'!W85:W104)+SUMSQ('Fat Spreads'!W85:W104)-('Fat Spreads'!W84-'Fat Spreads'!W104)^2/20)/19),"")</f>
        <v>0</v>
      </c>
      <c r="BO84">
        <f>IFERROR('Fat Spreads'!AC84,"")</f>
        <v>0</v>
      </c>
      <c r="BP84">
        <f>IFERROR(('Fat Spreads'!AD84-AVERAGE('Fat Spreads'!$AD$3:$AD$4308))/STDEV('Fat Spreads'!$AD$3:$AD$4308),"")</f>
        <v>-9.2057461789832332E-2</v>
      </c>
      <c r="BQ84">
        <f>IFERROR('Fat Spreads'!AD84-'Fat Spreads'!AD89,"")</f>
        <v>0</v>
      </c>
      <c r="BR84">
        <f>IFERROR('Fat Spreads'!AD84-'Fat Spreads'!AD94,"")</f>
        <v>0</v>
      </c>
      <c r="BS84">
        <f>IFERROR(AVERAGE('Fat Spreads'!AD84:AD103)+2*STDEV('Fat Spreads'!AD84:AD103),"")</f>
        <v>0</v>
      </c>
      <c r="BT84">
        <f>IFERROR(AVERAGE('Fat Spreads'!AD84:AD103)-2*STDEV('Fat Spreads'!AD84:AD103),"")</f>
        <v>0</v>
      </c>
      <c r="BU84" t="str">
        <f>IFERROR(('Fat Spreads'!AD84-(AVERAGE('Fat Spreads'!AD84:AD103)-2*STDEV('Fat Spreads'!AD84:AD103)))/(4*STDEV('Fat Spreads'!AD84:AD103)),"")</f>
        <v/>
      </c>
      <c r="BV84" t="str">
        <f>IFERROR(4*STDEV('Fat Spreads'!AD84:AD103)/AVERAGE('Fat Spreads'!AD84:AD103),"")</f>
        <v/>
      </c>
      <c r="BW84">
        <v>31.354500000000002</v>
      </c>
      <c r="BX84">
        <f>IFERROR(SQRT((SUMSQ('Fat Spreads'!AD84:AD103)-2*SUMPRODUCT('Fat Spreads'!AD84:AD103,'Fat Spreads'!AD85:AD104)+SUMSQ('Fat Spreads'!AD85:AD104)-('Fat Spreads'!AD84-'Fat Spreads'!AD104)^2/20)/19),"")</f>
        <v>0</v>
      </c>
      <c r="BZ84">
        <f>IFERROR('Feeder Spreads'!A84,"")</f>
        <v>0</v>
      </c>
      <c r="CA84">
        <f>IFERROR(('Feeder Spreads'!B84-AVERAGE('Feeder Spreads'!$B$3:$B$4308))/STDEV('Feeder Spreads'!$B$3:$B$4308),"")</f>
        <v>-9.2057461789832346E-2</v>
      </c>
      <c r="CB84">
        <f>IFERROR('Feeder Spreads'!B84-'Feeder Spreads'!B89,"")</f>
        <v>0</v>
      </c>
      <c r="CC84">
        <f>IFERROR('Feeder Spreads'!B84-'Feeder Spreads'!B94,"")</f>
        <v>0</v>
      </c>
      <c r="CD84">
        <f>IFERROR(AVERAGE('Feeder Spreads'!B84:B103)+2*STDEV('Feeder Spreads'!B84:B103),"")</f>
        <v>0</v>
      </c>
      <c r="CE84">
        <f>IFERROR(AVERAGE('Feeder Spreads'!B84:B103)-2*STDEV('Feeder Spreads'!B84:B103),"")</f>
        <v>0</v>
      </c>
      <c r="CF84" t="str">
        <f>IFERROR(('Feeder Spreads'!B84-(AVERAGE('Feeder Spreads'!B84:B103)-2*STDEV('Feeder Spreads'!B84:B103)))/(4*STDEV('Feeder Spreads'!B84:B103)),"")</f>
        <v/>
      </c>
      <c r="CG84" t="str">
        <f>IFERROR(4*STDEV('Feeder Spreads'!B84:B103)/AVERAGE('Feeder Spreads'!B84:B103),"")</f>
        <v/>
      </c>
      <c r="CH84">
        <v>44.334699999999998</v>
      </c>
      <c r="CI84">
        <f>IFERROR(SQRT((SUMSQ('Feeder Spreads'!B84:B103)-2*SUMPRODUCT('Feeder Spreads'!B84:B103,'Feeder Spreads'!B85:B104)+SUMSQ('Feeder Spreads'!B85:B104)-('Feeder Spreads'!B84-'Feeder Spreads'!B104)^2/20)/19),"")</f>
        <v>0</v>
      </c>
      <c r="CK84">
        <f>IFERROR('Feeder Spreads'!AX84,"")</f>
        <v>0</v>
      </c>
      <c r="CL84">
        <f>IFERROR(('Feeder Spreads'!AY84-AVERAGE('Feeder Spreads'!$AY$3:$AY$4308))/STDEV('Feeder Spreads'!$AY$3:$AY$4308),"")</f>
        <v>-9.2057461789832346E-2</v>
      </c>
      <c r="CM84">
        <f>IFERROR('Feeder Spreads'!AY84-'Feeder Spreads'!AY89,"")</f>
        <v>0</v>
      </c>
      <c r="CN84">
        <f>IFERROR('Feeder Spreads'!AY84-'Feeder Spreads'!AY94,"")</f>
        <v>0</v>
      </c>
      <c r="CO84">
        <f>IFERROR(AVERAGE('Feeder Spreads'!AY84:AY103)+2*STDEV('Feeder Spreads'!AY84:AY103),"")</f>
        <v>0</v>
      </c>
      <c r="CP84">
        <f>IFERROR(AVERAGE('Feeder Spreads'!AY84:AY103)-2*STDEV('Feeder Spreads'!AY84:AY103),"")</f>
        <v>0</v>
      </c>
      <c r="CQ84" t="str">
        <f>IFERROR(('Feeder Spreads'!AY84-(AVERAGE('Feeder Spreads'!AY84:AY103)-2*STDEV('Feeder Spreads'!AY84:AY103)))/(4*STDEV('Feeder Spreads'!AY84:AY103)),"")</f>
        <v/>
      </c>
      <c r="CR84" t="str">
        <f>IFERROR(4*STDEV('Feeder Spreads'!AY84:AY103)/AVERAGE('Feeder Spreads'!AY84:AY103),"")</f>
        <v/>
      </c>
      <c r="CS84">
        <v>47.327199999999998</v>
      </c>
      <c r="CT84">
        <f>IFERROR(SQRT((SUMSQ('Feeder Spreads'!AY84:AY103)-2*SUMPRODUCT('Feeder Spreads'!AY84:AY103,'Feeder Spreads'!AY85:AY104)+SUMSQ('Feeder Spreads'!AY85:AY104)-('Feeder Spreads'!AY84-'Feeder Spreads'!AY104)^2/20)/19),"")</f>
        <v>0</v>
      </c>
      <c r="CV84">
        <f>IFERROR('Feeder Spreads'!H84,"")</f>
        <v>0</v>
      </c>
      <c r="CW84">
        <f>IFERROR(('Feeder Spreads'!I84-AVERAGE('Feeder Spreads'!$I$3:$I$4308))/STDEV('Feeder Spreads'!$I$3:$I$4308),"")</f>
        <v>-9.2057461789832332E-2</v>
      </c>
      <c r="CX84">
        <f>IFERROR('Feeder Spreads'!I84-'Feeder Spreads'!I89,"")</f>
        <v>0</v>
      </c>
      <c r="CY84">
        <f>IFERROR('Feeder Spreads'!I84-'Feeder Spreads'!I94,"")</f>
        <v>0</v>
      </c>
      <c r="CZ84">
        <f>IFERROR(AVERAGE('Feeder Spreads'!I84:I103)+2*STDEV('Feeder Spreads'!I84:I103),"")</f>
        <v>0</v>
      </c>
      <c r="DA84">
        <f>IFERROR(AVERAGE('Feeder Spreads'!I84:I103)-2*STDEV('Feeder Spreads'!I84:I103),"")</f>
        <v>0</v>
      </c>
      <c r="DB84" t="str">
        <f>IFERROR(('Feeder Spreads'!I84-(AVERAGE('Feeder Spreads'!I84:I103)-2*STDEV('Feeder Spreads'!I84:I103)))/(4*STDEV('Feeder Spreads'!I84:I103)),"")</f>
        <v/>
      </c>
      <c r="DC84" t="str">
        <f>IFERROR(4*STDEV('Feeder Spreads'!I84:I103)/AVERAGE('Feeder Spreads'!I84:I103),"")</f>
        <v/>
      </c>
      <c r="DD84">
        <v>49.043500000000002</v>
      </c>
      <c r="DE84">
        <f>IFERROR(SQRT((SUMSQ('Feeder Spreads'!I84:I103)-2*SUMPRODUCT('Feeder Spreads'!I84:I103,'Feeder Spreads'!I85:I104)+SUMSQ('Feeder Spreads'!I85:I104)-('Feeder Spreads'!I84-'Feeder Spreads'!I104)^2/20)/19),"")</f>
        <v>0</v>
      </c>
      <c r="DG84">
        <f>IFERROR('Feeder Spreads'!O84,"")</f>
        <v>0</v>
      </c>
      <c r="DH84">
        <f>IFERROR(('Feeder Spreads'!P84-AVERAGE('Feeder Spreads'!$P$3:$P$4308))/STDEV('Feeder Spreads'!$P$3:$P$4308),"")</f>
        <v>-9.2057461789832346E-2</v>
      </c>
      <c r="DI84">
        <f>IFERROR('Feeder Spreads'!P84-'Feeder Spreads'!P89,"")</f>
        <v>0</v>
      </c>
      <c r="DJ84">
        <f>IFERROR('Feeder Spreads'!P84-'Feeder Spreads'!P94,"")</f>
        <v>0</v>
      </c>
      <c r="DK84">
        <f>IFERROR(AVERAGE('Feeder Spreads'!P84:P103)+2*STDEV('Feeder Spreads'!P84:P103),"")</f>
        <v>0</v>
      </c>
      <c r="DL84">
        <f>IFERROR(AVERAGE('Feeder Spreads'!P84:P103)-2*STDEV('Feeder Spreads'!P84:P103),"")</f>
        <v>0</v>
      </c>
      <c r="DM84" t="str">
        <f>IFERROR(('Feeder Spreads'!P84-(AVERAGE('Feeder Spreads'!P84:P103)-2*STDEV('Feeder Spreads'!P84:P103)))/(4*STDEV('Feeder Spreads'!P84:P103)),"")</f>
        <v/>
      </c>
      <c r="DN84" t="str">
        <f>IFERROR(4*STDEV('Feeder Spreads'!P84:P103)/AVERAGE('Feeder Spreads'!P84:P103),"")</f>
        <v/>
      </c>
      <c r="DO84">
        <v>59.165799999999997</v>
      </c>
      <c r="DP84">
        <f>IFERROR(SQRT((SUMSQ('Feeder Spreads'!P84:P103)-2*SUMPRODUCT('Feeder Spreads'!P84:P103,'Feeder Spreads'!P85:P104)+SUMSQ('Feeder Spreads'!P85:P104)-('Feeder Spreads'!P84-'Feeder Spreads'!P104)^2/20)/19),"")</f>
        <v>0</v>
      </c>
      <c r="DR84">
        <f>IFERROR('Feeder Spreads'!V84,"")</f>
        <v>0</v>
      </c>
      <c r="DS84">
        <f>IFERROR(('Feeder Spreads'!W84-AVERAGE('Feeder Spreads'!$W$3:$W$4308))/STDEV('Feeder Spreads'!$W$3:$W$4308),"")</f>
        <v>-9.2057461789832332E-2</v>
      </c>
      <c r="DT84">
        <f>IFERROR('Feeder Spreads'!W84-'Feeder Spreads'!W89,"")</f>
        <v>0</v>
      </c>
      <c r="DU84">
        <f>IFERROR('Feeder Spreads'!W84-'Feeder Spreads'!W94,"")</f>
        <v>0</v>
      </c>
      <c r="DV84">
        <f>IFERROR(AVERAGE('Feeder Spreads'!W84:W103)+2*STDEV('Feeder Spreads'!W84:W103),"")</f>
        <v>0</v>
      </c>
      <c r="DW84">
        <f>IFERROR(AVERAGE('Feeder Spreads'!W84:W103)-2*STDEV('Feeder Spreads'!W84:W103),"")</f>
        <v>0</v>
      </c>
      <c r="DX84" t="str">
        <f>IFERROR(('Feeder Spreads'!W84-(AVERAGE('Feeder Spreads'!W84:W103)-2*STDEV('Feeder Spreads'!W84:W103)))/(4*STDEV('Feeder Spreads'!W84:W103)),"")</f>
        <v/>
      </c>
      <c r="DY84" t="str">
        <f>IFERROR(4*STDEV('Feeder Spreads'!W84:W103)/AVERAGE('Feeder Spreads'!W84:W103),"")</f>
        <v/>
      </c>
      <c r="DZ84">
        <v>43.785400000000003</v>
      </c>
      <c r="EA84">
        <f>IFERROR(SQRT((SUMSQ('Feeder Spreads'!W84:W103)-2*SUMPRODUCT('Feeder Spreads'!W84:W103,'Feeder Spreads'!W85:W104)+SUMSQ('Feeder Spreads'!W85:W104)-('Feeder Spreads'!W84-'Feeder Spreads'!W104)^2/20)/19),"")</f>
        <v>0</v>
      </c>
      <c r="EC84">
        <f>IFERROR('Feeder Spreads'!AC84,"")</f>
        <v>0</v>
      </c>
      <c r="ED84">
        <f>IFERROR(('Feeder Spreads'!AD84-AVERAGE('Feeder Spreads'!$AD$3:$AD$4308))/STDEV('Feeder Spreads'!$AD$3:$AD$4308),"")</f>
        <v>9.2057461789832318E-2</v>
      </c>
      <c r="EE84">
        <f>IFERROR('Feeder Spreads'!AD84-'Feeder Spreads'!AD89,"")</f>
        <v>0</v>
      </c>
      <c r="EF84">
        <f>IFERROR('Feeder Spreads'!AD84-'Feeder Spreads'!AD94,"")</f>
        <v>0</v>
      </c>
      <c r="EG84">
        <f>IFERROR(AVERAGE('Feeder Spreads'!AD84:AD103)+2*STDEV('Feeder Spreads'!AD84:AD103),"")</f>
        <v>0</v>
      </c>
      <c r="EH84">
        <f>IFERROR(AVERAGE('Feeder Spreads'!AD84:AD103)-2*STDEV('Feeder Spreads'!AD84:AD103),"")</f>
        <v>0</v>
      </c>
      <c r="EI84" t="str">
        <f>IFERROR(('Feeder Spreads'!AD84-(AVERAGE('Feeder Spreads'!AD84:AD103)-2*STDEV('Feeder Spreads'!AD84:AD103)))/(4*STDEV('Feeder Spreads'!AD84:AD103)),"")</f>
        <v/>
      </c>
      <c r="EJ84" t="str">
        <f>IFERROR(4*STDEV('Feeder Spreads'!AD84:AD103)/AVERAGE('Feeder Spreads'!AD84:AD103),"")</f>
        <v/>
      </c>
      <c r="EK84">
        <v>54.564100000000003</v>
      </c>
      <c r="EL84">
        <f>IFERROR(SQRT((SUMSQ('Feeder Spreads'!AD84:AD103)-2*SUMPRODUCT('Feeder Spreads'!AD84:AD103,'Feeder Spreads'!AD85:AD104)+SUMSQ('Feeder Spreads'!AD85:AD104)-('Feeder Spreads'!AD84-'Feeder Spreads'!AD104)^2/20)/19),"")</f>
        <v>0</v>
      </c>
      <c r="EN84">
        <f>IFERROR('Feeder Spreads'!AJ84,"")</f>
        <v>0</v>
      </c>
      <c r="EO84">
        <f>IFERROR(('Feeder Spreads'!AK84-AVERAGE('Feeder Spreads'!$AK$3:$AK$4308))/STDEV('Feeder Spreads'!$AK$3:$AK$4308),"")</f>
        <v>-9.2057461789832346E-2</v>
      </c>
      <c r="EP84">
        <f>IFERROR('Feeder Spreads'!AK84-'Feeder Spreads'!AK89,"")</f>
        <v>0</v>
      </c>
      <c r="EQ84">
        <f>IFERROR('Feeder Spreads'!AK84-'Feeder Spreads'!AK94,"")</f>
        <v>0</v>
      </c>
      <c r="ER84">
        <f>IFERROR(AVERAGE('Feeder Spreads'!AK84:AK103)+2*STDEV('Feeder Spreads'!AK84:AK103),"")</f>
        <v>0</v>
      </c>
      <c r="ES84">
        <f>IFERROR(AVERAGE('Feeder Spreads'!AK84:AK103)-2*STDEV('Feeder Spreads'!AK84:AK103),"")</f>
        <v>0</v>
      </c>
      <c r="ET84" t="str">
        <f>IFERROR(('Feeder Spreads'!AK84-(AVERAGE('Feeder Spreads'!AK84:AK103)-2*STDEV('Feeder Spreads'!AK84:AK103)))/(4*STDEV('Feeder Spreads'!AK84:AK103)),"")</f>
        <v/>
      </c>
      <c r="EU84" t="str">
        <f>IFERROR(4*STDEV('Feeder Spreads'!AK84:AK103)/AVERAGE('Feeder Spreads'!AK84:AK103),"")</f>
        <v/>
      </c>
      <c r="EV84">
        <v>49.013300000000001</v>
      </c>
      <c r="EW84">
        <f>IFERROR(SQRT((SUMSQ('Feeder Spreads'!AK84:AK103)-2*SUMPRODUCT('Feeder Spreads'!AK84:AK103,'Feeder Spreads'!AK85:AK104)+SUMSQ('Feeder Spreads'!AK85:AK104)-('Feeder Spreads'!AK84-'Feeder Spreads'!AK104)^2/20)/19),"")</f>
        <v>0</v>
      </c>
      <c r="EY84">
        <f>IFERROR('Feeder Spreads'!AQ84,"")</f>
        <v>0</v>
      </c>
      <c r="EZ84">
        <f>IFERROR(('Feeder Spreads'!AR84-AVERAGE('Feeder Spreads'!$AR$3:$AR$4308))/STDEV('Feeder Spreads'!$AR$3:$AR$4308),"")</f>
        <v>-9.2057461789832332E-2</v>
      </c>
      <c r="FA84">
        <f>IFERROR('Feeder Spreads'!AR84-'Feeder Spreads'!AR89,"")</f>
        <v>0</v>
      </c>
      <c r="FB84">
        <f>IFERROR('Feeder Spreads'!AR84-'Feeder Spreads'!AR94,"")</f>
        <v>0</v>
      </c>
      <c r="FC84">
        <f>IFERROR(AVERAGE('Feeder Spreads'!AR84:AR103)+2*STDEV('Feeder Spreads'!AR84:AR103),"")</f>
        <v>0</v>
      </c>
      <c r="FD84">
        <f>IFERROR(AVERAGE('Feeder Spreads'!AR84:AR103)-2*STDEV('Feeder Spreads'!AR84:AR103),"")</f>
        <v>0</v>
      </c>
      <c r="FE84" t="str">
        <f>IFERROR(('Feeder Spreads'!AR84-(AVERAGE('Feeder Spreads'!AR84:AR103)-2*STDEV('Feeder Spreads'!AR84:AR103)))/(4*STDEV('Feeder Spreads'!AR84:AR103)),"")</f>
        <v/>
      </c>
      <c r="FF84" t="str">
        <f>IFERROR(4*STDEV('Feeder Spreads'!AR84:AR103)/AVERAGE('Feeder Spreads'!AR84:AR103),"")</f>
        <v/>
      </c>
      <c r="FG84">
        <v>53.139000000000003</v>
      </c>
      <c r="FH84">
        <f>IFERROR(SQRT((SUMSQ('Feeder Spreads'!AR84:AR103)-2*SUMPRODUCT('Feeder Spreads'!AR84:AR103,'Feeder Spreads'!AR85:AR104)+SUMSQ('Feeder Spreads'!AR85:AR104)-('Feeder Spreads'!AR84-'Feeder Spreads'!AR104)^2/20)/19),"")</f>
        <v>0</v>
      </c>
      <c r="FJ84">
        <f>IFERROR('Fat Spreads'!AX84,"")</f>
        <v>0</v>
      </c>
      <c r="FK84">
        <f>IFERROR(('Fat Spreads'!AY84-AVERAGE('Fat Spreads'!$AY$3:$AY$4308))/STDEV('Fat Spreads'!$AY$3:$AY$4308),"")</f>
        <v>9.2057461789832332E-2</v>
      </c>
      <c r="FL84">
        <f>IFERROR('Fat Spreads'!AY84-'Fat Spreads'!AY89,"")</f>
        <v>0</v>
      </c>
      <c r="FM84">
        <f>IFERROR('Fat Spreads'!AY84-'Fat Spreads'!AY94,"")</f>
        <v>0</v>
      </c>
      <c r="FN84">
        <f>IFERROR(AVERAGE('Fat Spreads'!AY84:AY103)+2*STDEV('Fat Spreads'!AY84:AY103),"")</f>
        <v>0</v>
      </c>
      <c r="FO84">
        <f>IFERROR(AVERAGE('Fat Spreads'!AY84:AY103)-2*STDEV('Fat Spreads'!AY84:AY103),"")</f>
        <v>0</v>
      </c>
      <c r="FP84" t="str">
        <f>IFERROR(('Fat Spreads'!AY84-(AVERAGE('Fat Spreads'!AY84:AY103)-2*STDEV('Fat Spreads'!AY84:AY103)))/(4*STDEV('Fat Spreads'!AY84:AY103)),"")</f>
        <v/>
      </c>
      <c r="FQ84" t="str">
        <f>IFERROR(4*STDEV('Fat Spreads'!AY84:AY103)/AVERAGE('Fat Spreads'!AY84:AY103),"")</f>
        <v/>
      </c>
      <c r="FR84">
        <v>40.663400000000003</v>
      </c>
      <c r="FS84">
        <f>IFERROR(SQRT((SUMSQ('Fat Spreads'!AY84:AY103)-2*SUMPRODUCT('Fat Spreads'!AY84:AY103,'Fat Spreads'!AY85:AY104)+SUMSQ('Fat Spreads'!AY85:AY104)-('Fat Spreads'!AY84-'Fat Spreads'!AY104)^2/20)/19),"")</f>
        <v>0</v>
      </c>
      <c r="FU84">
        <f>IFERROR('Fat Spreads'!BE84,"")</f>
        <v>0</v>
      </c>
      <c r="FV84">
        <f>IFERROR(('Fat Spreads'!BF84-AVERAGE('Fat Spreads'!$BF$3:$BF$4308))/STDEV('Fat Spreads'!$BF$3:$BF$4308),"")</f>
        <v>9.2057461789832332E-2</v>
      </c>
      <c r="FW84">
        <f>IFERROR('Fat Spreads'!BF84-'Fat Spreads'!BF89,"")</f>
        <v>0</v>
      </c>
      <c r="FX84">
        <f>IFERROR('Fat Spreads'!BF84-'Fat Spreads'!BF94,"")</f>
        <v>0</v>
      </c>
      <c r="FY84">
        <f>IFERROR(AVERAGE('Fat Spreads'!BF84:BF103)+2*STDEV('Fat Spreads'!BF84:BF103),"")</f>
        <v>0</v>
      </c>
      <c r="FZ84">
        <f>IFERROR(AVERAGE('Fat Spreads'!BF84:BF103)-2*STDEV('Fat Spreads'!BF84:BF103),"")</f>
        <v>0</v>
      </c>
      <c r="GA84" t="str">
        <f>IFERROR(('Fat Spreads'!BF84-(AVERAGE('Fat Spreads'!BF84:BF103)-2*STDEV('Fat Spreads'!BF84:BF103)))/(4*STDEV('Fat Spreads'!BF84:BF103)),"")</f>
        <v/>
      </c>
      <c r="GB84" t="str">
        <f>IFERROR(4*STDEV('Fat Spreads'!BF84:BF103)/AVERAGE('Fat Spreads'!BF84:BF103),"")</f>
        <v/>
      </c>
      <c r="GC84">
        <v>35.782699999999998</v>
      </c>
      <c r="GD84">
        <f>IFERROR(SQRT((SUMSQ('Fat Spreads'!BF84:BF103)-2*SUMPRODUCT('Fat Spreads'!BF84:BF103,'Fat Spreads'!BF85:BF104)+SUMSQ('Fat Spreads'!BF85:BF104)-('Fat Spreads'!BF84-'Fat Spreads'!BF104)^2/20)/19),"")</f>
        <v>0</v>
      </c>
    </row>
    <row r="85" spans="1:186" x14ac:dyDescent="0.25">
      <c r="A85">
        <f>IFERROR('Fat Spreads'!A85,"")</f>
        <v>0</v>
      </c>
      <c r="B85">
        <f>IFERROR(('Fat Spreads'!B85-AVERAGE('Fat Spreads'!$B$3:$B$4308))/STDEV('Fat Spreads'!$B$3:$B$4308),"")</f>
        <v>9.2057461789832346E-2</v>
      </c>
      <c r="C85">
        <f>IFERROR('Fat Spreads'!B85-'Fat Spreads'!B90,"")</f>
        <v>0</v>
      </c>
      <c r="D85">
        <f>IFERROR('Fat Spreads'!B85-'Fat Spreads'!B95,"")</f>
        <v>0</v>
      </c>
      <c r="E85">
        <f>IFERROR(AVERAGE('Fat Spreads'!B85:B104)+2*STDEV('Fat Spreads'!B85:B104),"")</f>
        <v>0</v>
      </c>
      <c r="F85">
        <f>IFERROR(AVERAGE('Fat Spreads'!B85:B104)-2*STDEV('Fat Spreads'!B85:B104),"")</f>
        <v>0</v>
      </c>
      <c r="G85" t="str">
        <f>IFERROR(('Fat Spreads'!B85-(AVERAGE('Fat Spreads'!B85:B104)-2*STDEV('Fat Spreads'!B85:B104)))/(4*STDEV('Fat Spreads'!B85:B104)),"")</f>
        <v/>
      </c>
      <c r="H85" t="str">
        <f>IFERROR(4*STDEV('Fat Spreads'!B85:B104)/AVERAGE('Fat Spreads'!B85:B104),"")</f>
        <v/>
      </c>
      <c r="I85">
        <v>38.611600000000003</v>
      </c>
      <c r="J85">
        <f>IFERROR(SQRT((SUMSQ('Fat Spreads'!B85:B104)-2*SUMPRODUCT('Fat Spreads'!B85:B104,'Fat Spreads'!B86:B105)+SUMSQ('Fat Spreads'!B86:B105)-('Fat Spreads'!B85-'Fat Spreads'!B105)^2/20)/19),"")</f>
        <v>0</v>
      </c>
      <c r="L85">
        <f>IFERROR('Fat Spreads'!H85,"")</f>
        <v>0</v>
      </c>
      <c r="M85">
        <f>IFERROR(('Fat Spreads'!I85-AVERAGE('Fat Spreads'!$I$3:$I$4308))/STDEV('Fat Spreads'!$I$3:$I$4308),"")</f>
        <v>-9.2057461789832332E-2</v>
      </c>
      <c r="N85">
        <f>IFERROR('Fat Spreads'!I85-'Fat Spreads'!I90,"")</f>
        <v>0</v>
      </c>
      <c r="O85">
        <f>IFERROR('Fat Spreads'!I85-'Fat Spreads'!I95,"")</f>
        <v>0</v>
      </c>
      <c r="P85">
        <f>IFERROR(AVERAGE('Fat Spreads'!I85:I104)+2*STDEV('Fat Spreads'!I85:I104),"")</f>
        <v>0</v>
      </c>
      <c r="Q85">
        <f>IFERROR(AVERAGE('Fat Spreads'!I85:I104)-2*STDEV('Fat Spreads'!I85:I104),"")</f>
        <v>0</v>
      </c>
      <c r="R85" t="str">
        <f>IFERROR(('Fat Spreads'!I85-(AVERAGE('Fat Spreads'!I85:I104)-2*STDEV('Fat Spreads'!I85:I104)))/(4*STDEV('Fat Spreads'!I85:I104)),"")</f>
        <v/>
      </c>
      <c r="S85" t="str">
        <f>IFERROR(4*STDEV('Fat Spreads'!I85:I104)/AVERAGE('Fat Spreads'!I85:I104),"")</f>
        <v/>
      </c>
      <c r="T85">
        <v>38.649900000000002</v>
      </c>
      <c r="U85">
        <f>IFERROR(SQRT((SUMSQ('Fat Spreads'!I85:I104)-2*SUMPRODUCT('Fat Spreads'!I85:I104,'Fat Spreads'!I86:I105)+SUMSQ('Fat Spreads'!I86:I105)-('Fat Spreads'!I85-'Fat Spreads'!I105)^2/20)/19),"")</f>
        <v>0</v>
      </c>
      <c r="W85">
        <f>IFERROR('Fat Spreads'!AQ85,"")</f>
        <v>0</v>
      </c>
      <c r="X85">
        <f>IFERROR(('Fat Spreads'!AR85-AVERAGE('Fat Spreads'!$AR$3:$AR$4308))/STDEV('Fat Spreads'!$AR$3:$AR$4308),"")</f>
        <v>-9.2057461789832346E-2</v>
      </c>
      <c r="Y85">
        <f>IFERROR('Fat Spreads'!AR85-'Fat Spreads'!AR90,"")</f>
        <v>0</v>
      </c>
      <c r="Z85">
        <f>IFERROR('Fat Spreads'!AR85-'Fat Spreads'!AR95,"")</f>
        <v>0</v>
      </c>
      <c r="AA85">
        <f>IFERROR(AVERAGE('Fat Spreads'!AR85:AR104)+2*STDEV('Fat Spreads'!AR85:AR104),"")</f>
        <v>0</v>
      </c>
      <c r="AB85">
        <f>IFERROR(AVERAGE('Fat Spreads'!AR85:AR104)-2*STDEV('Fat Spreads'!AR85:AR104),"")</f>
        <v>0</v>
      </c>
      <c r="AC85" t="str">
        <f>IFERROR(('Fat Spreads'!AR85-(AVERAGE('Fat Spreads'!AR85:AR104)-2*STDEV('Fat Spreads'!AR85:AR104)))/(4*STDEV('Fat Spreads'!AR85:AR104)),"")</f>
        <v/>
      </c>
      <c r="AD85" t="str">
        <f>IFERROR(4*STDEV('Fat Spreads'!AR85:AR104)/AVERAGE('Fat Spreads'!AR85:AR104),"")</f>
        <v/>
      </c>
      <c r="AE85">
        <v>74.379599999999996</v>
      </c>
      <c r="AF85">
        <f>IFERROR(SQRT((SUMSQ('Fat Spreads'!AR85:AR104)-2*SUMPRODUCT('Fat Spreads'!AR85:AR104,'Fat Spreads'!AR86:AR105)+SUMSQ('Fat Spreads'!AR86:AR105)-('Fat Spreads'!AR85-'Fat Spreads'!AR105)^2/20)/19),"")</f>
        <v>0</v>
      </c>
      <c r="AH85">
        <f>IFERROR('Fat Spreads'!O85,"")</f>
        <v>0</v>
      </c>
      <c r="AI85">
        <f>IFERROR(('Fat Spreads'!P85-AVERAGE('Fat Spreads'!$P$3:$P$4308))/STDEV('Fat Spreads'!$P$3:$P$4308),"")</f>
        <v>-9.2057461789832332E-2</v>
      </c>
      <c r="AJ85">
        <f>IFERROR('Fat Spreads'!P85-'Fat Spreads'!P90,"")</f>
        <v>0</v>
      </c>
      <c r="AK85">
        <f>IFERROR('Fat Spreads'!P85-'Fat Spreads'!P95,"")</f>
        <v>0</v>
      </c>
      <c r="AL85">
        <f>IFERROR(AVERAGE('Fat Spreads'!P85:P104)+2*STDEV('Fat Spreads'!P85:P104),"")</f>
        <v>0</v>
      </c>
      <c r="AM85">
        <f>IFERROR(AVERAGE('Fat Spreads'!P85:P104)-2*STDEV('Fat Spreads'!P85:P104),"")</f>
        <v>0</v>
      </c>
      <c r="AN85" t="str">
        <f>IFERROR(('Fat Spreads'!P85-(AVERAGE('Fat Spreads'!P85:P104)-2*STDEV('Fat Spreads'!P85:P104)))/(4*STDEV('Fat Spreads'!P85:P104)),"")</f>
        <v/>
      </c>
      <c r="AO85" t="str">
        <f>IFERROR(4*STDEV('Fat Spreads'!P85:P104)/AVERAGE('Fat Spreads'!P85:P104),"")</f>
        <v/>
      </c>
      <c r="AP85">
        <v>50.524799999999999</v>
      </c>
      <c r="AQ85">
        <f>IFERROR(SQRT((SUMSQ('Fat Spreads'!P85:P104)-2*SUMPRODUCT('Fat Spreads'!P85:P104,'Fat Spreads'!P86:P105)+SUMSQ('Fat Spreads'!P86:P105)-('Fat Spreads'!P85-'Fat Spreads'!P105)^2/20)/19),"")</f>
        <v>0</v>
      </c>
      <c r="AS85">
        <f>IFERROR('Fat Spreads'!AJ85,"")</f>
        <v>0</v>
      </c>
      <c r="AT85">
        <f>IFERROR(('Fat Spreads'!AK85-AVERAGE('Fat Spreads'!$AK$3:$AK$4308))/STDEV('Fat Spreads'!$AK$3:$AK$4308),"")</f>
        <v>-9.2057461789832332E-2</v>
      </c>
      <c r="AU85">
        <f>IFERROR('Fat Spreads'!AK85-'Fat Spreads'!AK90,"")</f>
        <v>0</v>
      </c>
      <c r="AV85">
        <f>IFERROR('Fat Spreads'!AK85-'Fat Spreads'!AK95,"")</f>
        <v>0</v>
      </c>
      <c r="AW85">
        <f>IFERROR(AVERAGE('Fat Spreads'!AK85:AK104)+2*STDEV('Fat Spreads'!AK85:AK104),"")</f>
        <v>0</v>
      </c>
      <c r="AX85">
        <f>IFERROR(AVERAGE('Fat Spreads'!AK85:AK104)-2*STDEV('Fat Spreads'!AK85:AK104),"")</f>
        <v>0</v>
      </c>
      <c r="AY85" t="str">
        <f>IFERROR(('Fat Spreads'!AK85-(AVERAGE('Fat Spreads'!AK85:AK104)-2*STDEV('Fat Spreads'!AK85:AK104)))/(4*STDEV('Fat Spreads'!AK85:AK104)),"")</f>
        <v/>
      </c>
      <c r="AZ85" t="str">
        <f>IFERROR(4*STDEV('Fat Spreads'!AK85:AK104)/AVERAGE('Fat Spreads'!AK85:AK104),"")</f>
        <v/>
      </c>
      <c r="BA85">
        <v>43.640799999999999</v>
      </c>
      <c r="BB85">
        <f>IFERROR(SQRT((SUMSQ('Fat Spreads'!AK85:AK104)-2*SUMPRODUCT('Fat Spreads'!AK85:AK104,'Fat Spreads'!AK86:AK105)+SUMSQ('Fat Spreads'!AK86:AK105)-('Fat Spreads'!AK85-'Fat Spreads'!AK105)^2/20)/19),"")</f>
        <v>0</v>
      </c>
      <c r="BD85">
        <f>IFERROR('Fat Spreads'!V85,"")</f>
        <v>0</v>
      </c>
      <c r="BE85">
        <f>IFERROR(('Fat Spreads'!W85-AVERAGE('Fat Spreads'!$W$3:$W$4308))/STDEV('Fat Spreads'!$W$3:$W$4308),"")</f>
        <v>-9.2057461789832332E-2</v>
      </c>
      <c r="BF85">
        <f>IFERROR('Fat Spreads'!W85-'Fat Spreads'!W90,"")</f>
        <v>0</v>
      </c>
      <c r="BG85">
        <f>IFERROR('Fat Spreads'!W85-'Fat Spreads'!W95,"")</f>
        <v>0</v>
      </c>
      <c r="BH85">
        <f>IFERROR(AVERAGE('Fat Spreads'!W85:W104)+2*STDEV('Fat Spreads'!W85:W104),"")</f>
        <v>0</v>
      </c>
      <c r="BI85">
        <f>IFERROR(AVERAGE('Fat Spreads'!W85:W104)-2*STDEV('Fat Spreads'!W85:W104),"")</f>
        <v>0</v>
      </c>
      <c r="BJ85" t="str">
        <f>IFERROR(('Fat Spreads'!W85-(AVERAGE('Fat Spreads'!W85:W104)-2*STDEV('Fat Spreads'!W85:W104)))/(4*STDEV('Fat Spreads'!W85:W104)),"")</f>
        <v/>
      </c>
      <c r="BK85" t="str">
        <f>IFERROR(4*STDEV('Fat Spreads'!W85:W104)/AVERAGE('Fat Spreads'!W85:W104),"")</f>
        <v/>
      </c>
      <c r="BL85">
        <v>73.081000000000003</v>
      </c>
      <c r="BM85">
        <f>IFERROR(SQRT((SUMSQ('Fat Spreads'!W85:W104)-2*SUMPRODUCT('Fat Spreads'!W85:W104,'Fat Spreads'!W86:W105)+SUMSQ('Fat Spreads'!W86:W105)-('Fat Spreads'!W85-'Fat Spreads'!W105)^2/20)/19),"")</f>
        <v>0</v>
      </c>
      <c r="BO85">
        <f>IFERROR('Fat Spreads'!AC85,"")</f>
        <v>0</v>
      </c>
      <c r="BP85">
        <f>IFERROR(('Fat Spreads'!AD85-AVERAGE('Fat Spreads'!$AD$3:$AD$4308))/STDEV('Fat Spreads'!$AD$3:$AD$4308),"")</f>
        <v>-9.2057461789832332E-2</v>
      </c>
      <c r="BQ85">
        <f>IFERROR('Fat Spreads'!AD85-'Fat Spreads'!AD90,"")</f>
        <v>0</v>
      </c>
      <c r="BR85">
        <f>IFERROR('Fat Spreads'!AD85-'Fat Spreads'!AD95,"")</f>
        <v>0</v>
      </c>
      <c r="BS85">
        <f>IFERROR(AVERAGE('Fat Spreads'!AD85:AD104)+2*STDEV('Fat Spreads'!AD85:AD104),"")</f>
        <v>0</v>
      </c>
      <c r="BT85">
        <f>IFERROR(AVERAGE('Fat Spreads'!AD85:AD104)-2*STDEV('Fat Spreads'!AD85:AD104),"")</f>
        <v>0</v>
      </c>
      <c r="BU85" t="str">
        <f>IFERROR(('Fat Spreads'!AD85-(AVERAGE('Fat Spreads'!AD85:AD104)-2*STDEV('Fat Spreads'!AD85:AD104)))/(4*STDEV('Fat Spreads'!AD85:AD104)),"")</f>
        <v/>
      </c>
      <c r="BV85" t="str">
        <f>IFERROR(4*STDEV('Fat Spreads'!AD85:AD104)/AVERAGE('Fat Spreads'!AD85:AD104),"")</f>
        <v/>
      </c>
      <c r="BW85">
        <v>29.688300000000002</v>
      </c>
      <c r="BX85">
        <f>IFERROR(SQRT((SUMSQ('Fat Spreads'!AD85:AD104)-2*SUMPRODUCT('Fat Spreads'!AD85:AD104,'Fat Spreads'!AD86:AD105)+SUMSQ('Fat Spreads'!AD86:AD105)-('Fat Spreads'!AD85-'Fat Spreads'!AD105)^2/20)/19),"")</f>
        <v>0</v>
      </c>
      <c r="BZ85">
        <f>IFERROR('Feeder Spreads'!A85,"")</f>
        <v>0</v>
      </c>
      <c r="CA85">
        <f>IFERROR(('Feeder Spreads'!B85-AVERAGE('Feeder Spreads'!$B$3:$B$4308))/STDEV('Feeder Spreads'!$B$3:$B$4308),"")</f>
        <v>-9.2057461789832346E-2</v>
      </c>
      <c r="CB85">
        <f>IFERROR('Feeder Spreads'!B85-'Feeder Spreads'!B90,"")</f>
        <v>0</v>
      </c>
      <c r="CC85">
        <f>IFERROR('Feeder Spreads'!B85-'Feeder Spreads'!B95,"")</f>
        <v>0</v>
      </c>
      <c r="CD85">
        <f>IFERROR(AVERAGE('Feeder Spreads'!B85:B104)+2*STDEV('Feeder Spreads'!B85:B104),"")</f>
        <v>0</v>
      </c>
      <c r="CE85">
        <f>IFERROR(AVERAGE('Feeder Spreads'!B85:B104)-2*STDEV('Feeder Spreads'!B85:B104),"")</f>
        <v>0</v>
      </c>
      <c r="CF85" t="str">
        <f>IFERROR(('Feeder Spreads'!B85-(AVERAGE('Feeder Spreads'!B85:B104)-2*STDEV('Feeder Spreads'!B85:B104)))/(4*STDEV('Feeder Spreads'!B85:B104)),"")</f>
        <v/>
      </c>
      <c r="CG85" t="str">
        <f>IFERROR(4*STDEV('Feeder Spreads'!B85:B104)/AVERAGE('Feeder Spreads'!B85:B104),"")</f>
        <v/>
      </c>
      <c r="CH85">
        <v>49.901800000000001</v>
      </c>
      <c r="CI85">
        <f>IFERROR(SQRT((SUMSQ('Feeder Spreads'!B85:B104)-2*SUMPRODUCT('Feeder Spreads'!B85:B104,'Feeder Spreads'!B86:B105)+SUMSQ('Feeder Spreads'!B86:B105)-('Feeder Spreads'!B85-'Feeder Spreads'!B105)^2/20)/19),"")</f>
        <v>0</v>
      </c>
      <c r="CK85">
        <f>IFERROR('Feeder Spreads'!AX85,"")</f>
        <v>0</v>
      </c>
      <c r="CL85">
        <f>IFERROR(('Feeder Spreads'!AY85-AVERAGE('Feeder Spreads'!$AY$3:$AY$4308))/STDEV('Feeder Spreads'!$AY$3:$AY$4308),"")</f>
        <v>-9.2057461789832346E-2</v>
      </c>
      <c r="CM85">
        <f>IFERROR('Feeder Spreads'!AY85-'Feeder Spreads'!AY90,"")</f>
        <v>0</v>
      </c>
      <c r="CN85">
        <f>IFERROR('Feeder Spreads'!AY85-'Feeder Spreads'!AY95,"")</f>
        <v>0</v>
      </c>
      <c r="CO85">
        <f>IFERROR(AVERAGE('Feeder Spreads'!AY85:AY104)+2*STDEV('Feeder Spreads'!AY85:AY104),"")</f>
        <v>0</v>
      </c>
      <c r="CP85">
        <f>IFERROR(AVERAGE('Feeder Spreads'!AY85:AY104)-2*STDEV('Feeder Spreads'!AY85:AY104),"")</f>
        <v>0</v>
      </c>
      <c r="CQ85" t="str">
        <f>IFERROR(('Feeder Spreads'!AY85-(AVERAGE('Feeder Spreads'!AY85:AY104)-2*STDEV('Feeder Spreads'!AY85:AY104)))/(4*STDEV('Feeder Spreads'!AY85:AY104)),"")</f>
        <v/>
      </c>
      <c r="CR85" t="str">
        <f>IFERROR(4*STDEV('Feeder Spreads'!AY85:AY104)/AVERAGE('Feeder Spreads'!AY85:AY104),"")</f>
        <v/>
      </c>
      <c r="CS85">
        <v>48.294199999999996</v>
      </c>
      <c r="CT85">
        <f>IFERROR(SQRT((SUMSQ('Feeder Spreads'!AY85:AY104)-2*SUMPRODUCT('Feeder Spreads'!AY85:AY104,'Feeder Spreads'!AY86:AY105)+SUMSQ('Feeder Spreads'!AY86:AY105)-('Feeder Spreads'!AY85-'Feeder Spreads'!AY105)^2/20)/19),"")</f>
        <v>0</v>
      </c>
      <c r="CV85">
        <f>IFERROR('Feeder Spreads'!H85,"")</f>
        <v>0</v>
      </c>
      <c r="CW85">
        <f>IFERROR(('Feeder Spreads'!I85-AVERAGE('Feeder Spreads'!$I$3:$I$4308))/STDEV('Feeder Spreads'!$I$3:$I$4308),"")</f>
        <v>-9.2057461789832332E-2</v>
      </c>
      <c r="CX85">
        <f>IFERROR('Feeder Spreads'!I85-'Feeder Spreads'!I90,"")</f>
        <v>0</v>
      </c>
      <c r="CY85">
        <f>IFERROR('Feeder Spreads'!I85-'Feeder Spreads'!I95,"")</f>
        <v>0</v>
      </c>
      <c r="CZ85">
        <f>IFERROR(AVERAGE('Feeder Spreads'!I85:I104)+2*STDEV('Feeder Spreads'!I85:I104),"")</f>
        <v>0</v>
      </c>
      <c r="DA85">
        <f>IFERROR(AVERAGE('Feeder Spreads'!I85:I104)-2*STDEV('Feeder Spreads'!I85:I104),"")</f>
        <v>0</v>
      </c>
      <c r="DB85" t="str">
        <f>IFERROR(('Feeder Spreads'!I85-(AVERAGE('Feeder Spreads'!I85:I104)-2*STDEV('Feeder Spreads'!I85:I104)))/(4*STDEV('Feeder Spreads'!I85:I104)),"")</f>
        <v/>
      </c>
      <c r="DC85" t="str">
        <f>IFERROR(4*STDEV('Feeder Spreads'!I85:I104)/AVERAGE('Feeder Spreads'!I85:I104),"")</f>
        <v/>
      </c>
      <c r="DD85">
        <v>55.266599999999997</v>
      </c>
      <c r="DE85">
        <f>IFERROR(SQRT((SUMSQ('Feeder Spreads'!I85:I104)-2*SUMPRODUCT('Feeder Spreads'!I85:I104,'Feeder Spreads'!I86:I105)+SUMSQ('Feeder Spreads'!I86:I105)-('Feeder Spreads'!I85-'Feeder Spreads'!I105)^2/20)/19),"")</f>
        <v>0</v>
      </c>
      <c r="DG85">
        <f>IFERROR('Feeder Spreads'!O85,"")</f>
        <v>0</v>
      </c>
      <c r="DH85">
        <f>IFERROR(('Feeder Spreads'!P85-AVERAGE('Feeder Spreads'!$P$3:$P$4308))/STDEV('Feeder Spreads'!$P$3:$P$4308),"")</f>
        <v>-9.2057461789832346E-2</v>
      </c>
      <c r="DI85">
        <f>IFERROR('Feeder Spreads'!P85-'Feeder Spreads'!P90,"")</f>
        <v>0</v>
      </c>
      <c r="DJ85">
        <f>IFERROR('Feeder Spreads'!P85-'Feeder Spreads'!P95,"")</f>
        <v>0</v>
      </c>
      <c r="DK85">
        <f>IFERROR(AVERAGE('Feeder Spreads'!P85:P104)+2*STDEV('Feeder Spreads'!P85:P104),"")</f>
        <v>0</v>
      </c>
      <c r="DL85">
        <f>IFERROR(AVERAGE('Feeder Spreads'!P85:P104)-2*STDEV('Feeder Spreads'!P85:P104),"")</f>
        <v>0</v>
      </c>
      <c r="DM85" t="str">
        <f>IFERROR(('Feeder Spreads'!P85-(AVERAGE('Feeder Spreads'!P85:P104)-2*STDEV('Feeder Spreads'!P85:P104)))/(4*STDEV('Feeder Spreads'!P85:P104)),"")</f>
        <v/>
      </c>
      <c r="DN85" t="str">
        <f>IFERROR(4*STDEV('Feeder Spreads'!P85:P104)/AVERAGE('Feeder Spreads'!P85:P104),"")</f>
        <v/>
      </c>
      <c r="DO85">
        <v>59.408900000000003</v>
      </c>
      <c r="DP85">
        <f>IFERROR(SQRT((SUMSQ('Feeder Spreads'!P85:P104)-2*SUMPRODUCT('Feeder Spreads'!P85:P104,'Feeder Spreads'!P86:P105)+SUMSQ('Feeder Spreads'!P86:P105)-('Feeder Spreads'!P85-'Feeder Spreads'!P105)^2/20)/19),"")</f>
        <v>0</v>
      </c>
      <c r="DR85">
        <f>IFERROR('Feeder Spreads'!V85,"")</f>
        <v>0</v>
      </c>
      <c r="DS85">
        <f>IFERROR(('Feeder Spreads'!W85-AVERAGE('Feeder Spreads'!$W$3:$W$4308))/STDEV('Feeder Spreads'!$W$3:$W$4308),"")</f>
        <v>-9.2057461789832332E-2</v>
      </c>
      <c r="DT85">
        <f>IFERROR('Feeder Spreads'!W85-'Feeder Spreads'!W90,"")</f>
        <v>0</v>
      </c>
      <c r="DU85">
        <f>IFERROR('Feeder Spreads'!W85-'Feeder Spreads'!W95,"")</f>
        <v>0</v>
      </c>
      <c r="DV85">
        <f>IFERROR(AVERAGE('Feeder Spreads'!W85:W104)+2*STDEV('Feeder Spreads'!W85:W104),"")</f>
        <v>0</v>
      </c>
      <c r="DW85">
        <f>IFERROR(AVERAGE('Feeder Spreads'!W85:W104)-2*STDEV('Feeder Spreads'!W85:W104),"")</f>
        <v>0</v>
      </c>
      <c r="DX85" t="str">
        <f>IFERROR(('Feeder Spreads'!W85-(AVERAGE('Feeder Spreads'!W85:W104)-2*STDEV('Feeder Spreads'!W85:W104)))/(4*STDEV('Feeder Spreads'!W85:W104)),"")</f>
        <v/>
      </c>
      <c r="DY85" t="str">
        <f>IFERROR(4*STDEV('Feeder Spreads'!W85:W104)/AVERAGE('Feeder Spreads'!W85:W104),"")</f>
        <v/>
      </c>
      <c r="DZ85">
        <v>37.866100000000003</v>
      </c>
      <c r="EA85">
        <f>IFERROR(SQRT((SUMSQ('Feeder Spreads'!W85:W104)-2*SUMPRODUCT('Feeder Spreads'!W85:W104,'Feeder Spreads'!W86:W105)+SUMSQ('Feeder Spreads'!W86:W105)-('Feeder Spreads'!W85-'Feeder Spreads'!W105)^2/20)/19),"")</f>
        <v>0</v>
      </c>
      <c r="EC85">
        <f>IFERROR('Feeder Spreads'!AC85,"")</f>
        <v>0</v>
      </c>
      <c r="ED85">
        <f>IFERROR(('Feeder Spreads'!AD85-AVERAGE('Feeder Spreads'!$AD$3:$AD$4308))/STDEV('Feeder Spreads'!$AD$3:$AD$4308),"")</f>
        <v>9.2057461789832318E-2</v>
      </c>
      <c r="EE85">
        <f>IFERROR('Feeder Spreads'!AD85-'Feeder Spreads'!AD90,"")</f>
        <v>0</v>
      </c>
      <c r="EF85">
        <f>IFERROR('Feeder Spreads'!AD85-'Feeder Spreads'!AD95,"")</f>
        <v>0</v>
      </c>
      <c r="EG85">
        <f>IFERROR(AVERAGE('Feeder Spreads'!AD85:AD104)+2*STDEV('Feeder Spreads'!AD85:AD104),"")</f>
        <v>0</v>
      </c>
      <c r="EH85">
        <f>IFERROR(AVERAGE('Feeder Spreads'!AD85:AD104)-2*STDEV('Feeder Spreads'!AD85:AD104),"")</f>
        <v>0</v>
      </c>
      <c r="EI85" t="str">
        <f>IFERROR(('Feeder Spreads'!AD85-(AVERAGE('Feeder Spreads'!AD85:AD104)-2*STDEV('Feeder Spreads'!AD85:AD104)))/(4*STDEV('Feeder Spreads'!AD85:AD104)),"")</f>
        <v/>
      </c>
      <c r="EJ85" t="str">
        <f>IFERROR(4*STDEV('Feeder Spreads'!AD85:AD104)/AVERAGE('Feeder Spreads'!AD85:AD104),"")</f>
        <v/>
      </c>
      <c r="EK85">
        <v>48.2485</v>
      </c>
      <c r="EL85">
        <f>IFERROR(SQRT((SUMSQ('Feeder Spreads'!AD85:AD104)-2*SUMPRODUCT('Feeder Spreads'!AD85:AD104,'Feeder Spreads'!AD86:AD105)+SUMSQ('Feeder Spreads'!AD86:AD105)-('Feeder Spreads'!AD85-'Feeder Spreads'!AD105)^2/20)/19),"")</f>
        <v>0</v>
      </c>
      <c r="EN85">
        <f>IFERROR('Feeder Spreads'!AJ85,"")</f>
        <v>0</v>
      </c>
      <c r="EO85">
        <f>IFERROR(('Feeder Spreads'!AK85-AVERAGE('Feeder Spreads'!$AK$3:$AK$4308))/STDEV('Feeder Spreads'!$AK$3:$AK$4308),"")</f>
        <v>-9.2057461789832346E-2</v>
      </c>
      <c r="EP85">
        <f>IFERROR('Feeder Spreads'!AK85-'Feeder Spreads'!AK90,"")</f>
        <v>0</v>
      </c>
      <c r="EQ85">
        <f>IFERROR('Feeder Spreads'!AK85-'Feeder Spreads'!AK95,"")</f>
        <v>0</v>
      </c>
      <c r="ER85">
        <f>IFERROR(AVERAGE('Feeder Spreads'!AK85:AK104)+2*STDEV('Feeder Spreads'!AK85:AK104),"")</f>
        <v>0</v>
      </c>
      <c r="ES85">
        <f>IFERROR(AVERAGE('Feeder Spreads'!AK85:AK104)-2*STDEV('Feeder Spreads'!AK85:AK104),"")</f>
        <v>0</v>
      </c>
      <c r="ET85" t="str">
        <f>IFERROR(('Feeder Spreads'!AK85-(AVERAGE('Feeder Spreads'!AK85:AK104)-2*STDEV('Feeder Spreads'!AK85:AK104)))/(4*STDEV('Feeder Spreads'!AK85:AK104)),"")</f>
        <v/>
      </c>
      <c r="EU85" t="str">
        <f>IFERROR(4*STDEV('Feeder Spreads'!AK85:AK104)/AVERAGE('Feeder Spreads'!AK85:AK104),"")</f>
        <v/>
      </c>
      <c r="EV85">
        <v>48.503599999999999</v>
      </c>
      <c r="EW85">
        <f>IFERROR(SQRT((SUMSQ('Feeder Spreads'!AK85:AK104)-2*SUMPRODUCT('Feeder Spreads'!AK85:AK104,'Feeder Spreads'!AK86:AK105)+SUMSQ('Feeder Spreads'!AK86:AK105)-('Feeder Spreads'!AK85-'Feeder Spreads'!AK105)^2/20)/19),"")</f>
        <v>0</v>
      </c>
      <c r="EY85">
        <f>IFERROR('Feeder Spreads'!AQ85,"")</f>
        <v>0</v>
      </c>
      <c r="EZ85">
        <f>IFERROR(('Feeder Spreads'!AR85-AVERAGE('Feeder Spreads'!$AR$3:$AR$4308))/STDEV('Feeder Spreads'!$AR$3:$AR$4308),"")</f>
        <v>-9.2057461789832332E-2</v>
      </c>
      <c r="FA85">
        <f>IFERROR('Feeder Spreads'!AR85-'Feeder Spreads'!AR90,"")</f>
        <v>0</v>
      </c>
      <c r="FB85">
        <f>IFERROR('Feeder Spreads'!AR85-'Feeder Spreads'!AR95,"")</f>
        <v>0</v>
      </c>
      <c r="FC85">
        <f>IFERROR(AVERAGE('Feeder Spreads'!AR85:AR104)+2*STDEV('Feeder Spreads'!AR85:AR104),"")</f>
        <v>0</v>
      </c>
      <c r="FD85">
        <f>IFERROR(AVERAGE('Feeder Spreads'!AR85:AR104)-2*STDEV('Feeder Spreads'!AR85:AR104),"")</f>
        <v>0</v>
      </c>
      <c r="FE85" t="str">
        <f>IFERROR(('Feeder Spreads'!AR85-(AVERAGE('Feeder Spreads'!AR85:AR104)-2*STDEV('Feeder Spreads'!AR85:AR104)))/(4*STDEV('Feeder Spreads'!AR85:AR104)),"")</f>
        <v/>
      </c>
      <c r="FF85" t="str">
        <f>IFERROR(4*STDEV('Feeder Spreads'!AR85:AR104)/AVERAGE('Feeder Spreads'!AR85:AR104),"")</f>
        <v/>
      </c>
      <c r="FG85">
        <v>54.116700000000002</v>
      </c>
      <c r="FH85">
        <f>IFERROR(SQRT((SUMSQ('Feeder Spreads'!AR85:AR104)-2*SUMPRODUCT('Feeder Spreads'!AR85:AR104,'Feeder Spreads'!AR86:AR105)+SUMSQ('Feeder Spreads'!AR86:AR105)-('Feeder Spreads'!AR85-'Feeder Spreads'!AR105)^2/20)/19),"")</f>
        <v>0</v>
      </c>
      <c r="FJ85">
        <f>IFERROR('Fat Spreads'!AX85,"")</f>
        <v>0</v>
      </c>
      <c r="FK85">
        <f>IFERROR(('Fat Spreads'!AY85-AVERAGE('Fat Spreads'!$AY$3:$AY$4308))/STDEV('Fat Spreads'!$AY$3:$AY$4308),"")</f>
        <v>9.2057461789832332E-2</v>
      </c>
      <c r="FL85">
        <f>IFERROR('Fat Spreads'!AY85-'Fat Spreads'!AY90,"")</f>
        <v>0</v>
      </c>
      <c r="FM85">
        <f>IFERROR('Fat Spreads'!AY85-'Fat Spreads'!AY95,"")</f>
        <v>0</v>
      </c>
      <c r="FN85">
        <f>IFERROR(AVERAGE('Fat Spreads'!AY85:AY104)+2*STDEV('Fat Spreads'!AY85:AY104),"")</f>
        <v>0</v>
      </c>
      <c r="FO85">
        <f>IFERROR(AVERAGE('Fat Spreads'!AY85:AY104)-2*STDEV('Fat Spreads'!AY85:AY104),"")</f>
        <v>0</v>
      </c>
      <c r="FP85" t="str">
        <f>IFERROR(('Fat Spreads'!AY85-(AVERAGE('Fat Spreads'!AY85:AY104)-2*STDEV('Fat Spreads'!AY85:AY104)))/(4*STDEV('Fat Spreads'!AY85:AY104)),"")</f>
        <v/>
      </c>
      <c r="FQ85" t="str">
        <f>IFERROR(4*STDEV('Fat Spreads'!AY85:AY104)/AVERAGE('Fat Spreads'!AY85:AY104),"")</f>
        <v/>
      </c>
      <c r="FR85">
        <v>41.011600000000001</v>
      </c>
      <c r="FS85">
        <f>IFERROR(SQRT((SUMSQ('Fat Spreads'!AY85:AY104)-2*SUMPRODUCT('Fat Spreads'!AY85:AY104,'Fat Spreads'!AY86:AY105)+SUMSQ('Fat Spreads'!AY86:AY105)-('Fat Spreads'!AY85-'Fat Spreads'!AY105)^2/20)/19),"")</f>
        <v>0</v>
      </c>
      <c r="FU85">
        <f>IFERROR('Fat Spreads'!BE85,"")</f>
        <v>0</v>
      </c>
      <c r="FV85">
        <f>IFERROR(('Fat Spreads'!BF85-AVERAGE('Fat Spreads'!$BF$3:$BF$4308))/STDEV('Fat Spreads'!$BF$3:$BF$4308),"")</f>
        <v>9.2057461789832332E-2</v>
      </c>
      <c r="FW85">
        <f>IFERROR('Fat Spreads'!BF85-'Fat Spreads'!BF90,"")</f>
        <v>0</v>
      </c>
      <c r="FX85">
        <f>IFERROR('Fat Spreads'!BF85-'Fat Spreads'!BF95,"")</f>
        <v>0</v>
      </c>
      <c r="FY85">
        <f>IFERROR(AVERAGE('Fat Spreads'!BF85:BF104)+2*STDEV('Fat Spreads'!BF85:BF104),"")</f>
        <v>0</v>
      </c>
      <c r="FZ85">
        <f>IFERROR(AVERAGE('Fat Spreads'!BF85:BF104)-2*STDEV('Fat Spreads'!BF85:BF104),"")</f>
        <v>0</v>
      </c>
      <c r="GA85" t="str">
        <f>IFERROR(('Fat Spreads'!BF85-(AVERAGE('Fat Spreads'!BF85:BF104)-2*STDEV('Fat Spreads'!BF85:BF104)))/(4*STDEV('Fat Spreads'!BF85:BF104)),"")</f>
        <v/>
      </c>
      <c r="GB85" t="str">
        <f>IFERROR(4*STDEV('Fat Spreads'!BF85:BF104)/AVERAGE('Fat Spreads'!BF85:BF104),"")</f>
        <v/>
      </c>
      <c r="GC85">
        <v>38.1708</v>
      </c>
      <c r="GD85">
        <f>IFERROR(SQRT((SUMSQ('Fat Spreads'!BF85:BF104)-2*SUMPRODUCT('Fat Spreads'!BF85:BF104,'Fat Spreads'!BF86:BF105)+SUMSQ('Fat Spreads'!BF86:BF105)-('Fat Spreads'!BF85-'Fat Spreads'!BF105)^2/20)/19),"")</f>
        <v>0</v>
      </c>
    </row>
    <row r="86" spans="1:186" x14ac:dyDescent="0.25">
      <c r="A86">
        <f>IFERROR('Fat Spreads'!A86,"")</f>
        <v>0</v>
      </c>
      <c r="B86">
        <f>IFERROR(('Fat Spreads'!B86-AVERAGE('Fat Spreads'!$B$3:$B$4308))/STDEV('Fat Spreads'!$B$3:$B$4308),"")</f>
        <v>9.2057461789832346E-2</v>
      </c>
      <c r="C86">
        <f>IFERROR('Fat Spreads'!B86-'Fat Spreads'!B91,"")</f>
        <v>0</v>
      </c>
      <c r="D86">
        <f>IFERROR('Fat Spreads'!B86-'Fat Spreads'!B96,"")</f>
        <v>0</v>
      </c>
      <c r="E86">
        <f>IFERROR(AVERAGE('Fat Spreads'!B86:B105)+2*STDEV('Fat Spreads'!B86:B105),"")</f>
        <v>0</v>
      </c>
      <c r="F86">
        <f>IFERROR(AVERAGE('Fat Spreads'!B86:B105)-2*STDEV('Fat Spreads'!B86:B105),"")</f>
        <v>0</v>
      </c>
      <c r="G86" t="str">
        <f>IFERROR(('Fat Spreads'!B86-(AVERAGE('Fat Spreads'!B86:B105)-2*STDEV('Fat Spreads'!B86:B105)))/(4*STDEV('Fat Spreads'!B86:B105)),"")</f>
        <v/>
      </c>
      <c r="H86" t="str">
        <f>IFERROR(4*STDEV('Fat Spreads'!B86:B105)/AVERAGE('Fat Spreads'!B86:B105),"")</f>
        <v/>
      </c>
      <c r="I86">
        <v>39.760399999999997</v>
      </c>
      <c r="J86">
        <f>IFERROR(SQRT((SUMSQ('Fat Spreads'!B86:B105)-2*SUMPRODUCT('Fat Spreads'!B86:B105,'Fat Spreads'!B87:B106)+SUMSQ('Fat Spreads'!B87:B106)-('Fat Spreads'!B86-'Fat Spreads'!B106)^2/20)/19),"")</f>
        <v>0</v>
      </c>
      <c r="L86">
        <f>IFERROR('Fat Spreads'!H86,"")</f>
        <v>0</v>
      </c>
      <c r="M86">
        <f>IFERROR(('Fat Spreads'!I86-AVERAGE('Fat Spreads'!$I$3:$I$4308))/STDEV('Fat Spreads'!$I$3:$I$4308),"")</f>
        <v>-9.2057461789832332E-2</v>
      </c>
      <c r="N86">
        <f>IFERROR('Fat Spreads'!I86-'Fat Spreads'!I91,"")</f>
        <v>0</v>
      </c>
      <c r="O86">
        <f>IFERROR('Fat Spreads'!I86-'Fat Spreads'!I96,"")</f>
        <v>0</v>
      </c>
      <c r="P86">
        <f>IFERROR(AVERAGE('Fat Spreads'!I86:I105)+2*STDEV('Fat Spreads'!I86:I105),"")</f>
        <v>0</v>
      </c>
      <c r="Q86">
        <f>IFERROR(AVERAGE('Fat Spreads'!I86:I105)-2*STDEV('Fat Spreads'!I86:I105),"")</f>
        <v>0</v>
      </c>
      <c r="R86" t="str">
        <f>IFERROR(('Fat Spreads'!I86-(AVERAGE('Fat Spreads'!I86:I105)-2*STDEV('Fat Spreads'!I86:I105)))/(4*STDEV('Fat Spreads'!I86:I105)),"")</f>
        <v/>
      </c>
      <c r="S86" t="str">
        <f>IFERROR(4*STDEV('Fat Spreads'!I86:I105)/AVERAGE('Fat Spreads'!I86:I105),"")</f>
        <v/>
      </c>
      <c r="T86">
        <v>40.550899999999999</v>
      </c>
      <c r="U86">
        <f>IFERROR(SQRT((SUMSQ('Fat Spreads'!I86:I105)-2*SUMPRODUCT('Fat Spreads'!I86:I105,'Fat Spreads'!I87:I106)+SUMSQ('Fat Spreads'!I87:I106)-('Fat Spreads'!I86-'Fat Spreads'!I106)^2/20)/19),"")</f>
        <v>0</v>
      </c>
      <c r="W86">
        <f>IFERROR('Fat Spreads'!AQ86,"")</f>
        <v>0</v>
      </c>
      <c r="X86">
        <f>IFERROR(('Fat Spreads'!AR86-AVERAGE('Fat Spreads'!$AR$3:$AR$4308))/STDEV('Fat Spreads'!$AR$3:$AR$4308),"")</f>
        <v>-9.2057461789832346E-2</v>
      </c>
      <c r="Y86">
        <f>IFERROR('Fat Spreads'!AR86-'Fat Spreads'!AR91,"")</f>
        <v>0</v>
      </c>
      <c r="Z86">
        <f>IFERROR('Fat Spreads'!AR86-'Fat Spreads'!AR96,"")</f>
        <v>0</v>
      </c>
      <c r="AA86">
        <f>IFERROR(AVERAGE('Fat Spreads'!AR86:AR105)+2*STDEV('Fat Spreads'!AR86:AR105),"")</f>
        <v>0</v>
      </c>
      <c r="AB86">
        <f>IFERROR(AVERAGE('Fat Spreads'!AR86:AR105)-2*STDEV('Fat Spreads'!AR86:AR105),"")</f>
        <v>0</v>
      </c>
      <c r="AC86" t="str">
        <f>IFERROR(('Fat Spreads'!AR86-(AVERAGE('Fat Spreads'!AR86:AR105)-2*STDEV('Fat Spreads'!AR86:AR105)))/(4*STDEV('Fat Spreads'!AR86:AR105)),"")</f>
        <v/>
      </c>
      <c r="AD86" t="str">
        <f>IFERROR(4*STDEV('Fat Spreads'!AR86:AR105)/AVERAGE('Fat Spreads'!AR86:AR105),"")</f>
        <v/>
      </c>
      <c r="AE86">
        <v>74.847399999999993</v>
      </c>
      <c r="AF86">
        <f>IFERROR(SQRT((SUMSQ('Fat Spreads'!AR86:AR105)-2*SUMPRODUCT('Fat Spreads'!AR86:AR105,'Fat Spreads'!AR87:AR106)+SUMSQ('Fat Spreads'!AR87:AR106)-('Fat Spreads'!AR86-'Fat Spreads'!AR106)^2/20)/19),"")</f>
        <v>0</v>
      </c>
      <c r="AH86">
        <f>IFERROR('Fat Spreads'!O86,"")</f>
        <v>0</v>
      </c>
      <c r="AI86">
        <f>IFERROR(('Fat Spreads'!P86-AVERAGE('Fat Spreads'!$P$3:$P$4308))/STDEV('Fat Spreads'!$P$3:$P$4308),"")</f>
        <v>-9.2057461789832332E-2</v>
      </c>
      <c r="AJ86">
        <f>IFERROR('Fat Spreads'!P86-'Fat Spreads'!P91,"")</f>
        <v>0</v>
      </c>
      <c r="AK86">
        <f>IFERROR('Fat Spreads'!P86-'Fat Spreads'!P96,"")</f>
        <v>0</v>
      </c>
      <c r="AL86">
        <f>IFERROR(AVERAGE('Fat Spreads'!P86:P105)+2*STDEV('Fat Spreads'!P86:P105),"")</f>
        <v>0</v>
      </c>
      <c r="AM86">
        <f>IFERROR(AVERAGE('Fat Spreads'!P86:P105)-2*STDEV('Fat Spreads'!P86:P105),"")</f>
        <v>0</v>
      </c>
      <c r="AN86" t="str">
        <f>IFERROR(('Fat Spreads'!P86-(AVERAGE('Fat Spreads'!P86:P105)-2*STDEV('Fat Spreads'!P86:P105)))/(4*STDEV('Fat Spreads'!P86:P105)),"")</f>
        <v/>
      </c>
      <c r="AO86" t="str">
        <f>IFERROR(4*STDEV('Fat Spreads'!P86:P105)/AVERAGE('Fat Spreads'!P86:P105),"")</f>
        <v/>
      </c>
      <c r="AP86">
        <v>52.030900000000003</v>
      </c>
      <c r="AQ86">
        <f>IFERROR(SQRT((SUMSQ('Fat Spreads'!P86:P105)-2*SUMPRODUCT('Fat Spreads'!P86:P105,'Fat Spreads'!P87:P106)+SUMSQ('Fat Spreads'!P87:P106)-('Fat Spreads'!P86-'Fat Spreads'!P106)^2/20)/19),"")</f>
        <v>0</v>
      </c>
      <c r="AS86">
        <f>IFERROR('Fat Spreads'!AJ86,"")</f>
        <v>0</v>
      </c>
      <c r="AT86">
        <f>IFERROR(('Fat Spreads'!AK86-AVERAGE('Fat Spreads'!$AK$3:$AK$4308))/STDEV('Fat Spreads'!$AK$3:$AK$4308),"")</f>
        <v>-9.2057461789832332E-2</v>
      </c>
      <c r="AU86">
        <f>IFERROR('Fat Spreads'!AK86-'Fat Spreads'!AK91,"")</f>
        <v>0</v>
      </c>
      <c r="AV86">
        <f>IFERROR('Fat Spreads'!AK86-'Fat Spreads'!AK96,"")</f>
        <v>0</v>
      </c>
      <c r="AW86">
        <f>IFERROR(AVERAGE('Fat Spreads'!AK86:AK105)+2*STDEV('Fat Spreads'!AK86:AK105),"")</f>
        <v>0</v>
      </c>
      <c r="AX86">
        <f>IFERROR(AVERAGE('Fat Spreads'!AK86:AK105)-2*STDEV('Fat Spreads'!AK86:AK105),"")</f>
        <v>0</v>
      </c>
      <c r="AY86" t="str">
        <f>IFERROR(('Fat Spreads'!AK86-(AVERAGE('Fat Spreads'!AK86:AK105)-2*STDEV('Fat Spreads'!AK86:AK105)))/(4*STDEV('Fat Spreads'!AK86:AK105)),"")</f>
        <v/>
      </c>
      <c r="AZ86" t="str">
        <f>IFERROR(4*STDEV('Fat Spreads'!AK86:AK105)/AVERAGE('Fat Spreads'!AK86:AK105),"")</f>
        <v/>
      </c>
      <c r="BA86">
        <v>41.214100000000002</v>
      </c>
      <c r="BB86">
        <f>IFERROR(SQRT((SUMSQ('Fat Spreads'!AK86:AK105)-2*SUMPRODUCT('Fat Spreads'!AK86:AK105,'Fat Spreads'!AK87:AK106)+SUMSQ('Fat Spreads'!AK87:AK106)-('Fat Spreads'!AK86-'Fat Spreads'!AK106)^2/20)/19),"")</f>
        <v>0</v>
      </c>
      <c r="BD86">
        <f>IFERROR('Fat Spreads'!V86,"")</f>
        <v>0</v>
      </c>
      <c r="BE86">
        <f>IFERROR(('Fat Spreads'!W86-AVERAGE('Fat Spreads'!$W$3:$W$4308))/STDEV('Fat Spreads'!$W$3:$W$4308),"")</f>
        <v>-9.2057461789832332E-2</v>
      </c>
      <c r="BF86">
        <f>IFERROR('Fat Spreads'!W86-'Fat Spreads'!W91,"")</f>
        <v>0</v>
      </c>
      <c r="BG86">
        <f>IFERROR('Fat Spreads'!W86-'Fat Spreads'!W96,"")</f>
        <v>0</v>
      </c>
      <c r="BH86">
        <f>IFERROR(AVERAGE('Fat Spreads'!W86:W105)+2*STDEV('Fat Spreads'!W86:W105),"")</f>
        <v>0</v>
      </c>
      <c r="BI86">
        <f>IFERROR(AVERAGE('Fat Spreads'!W86:W105)-2*STDEV('Fat Spreads'!W86:W105),"")</f>
        <v>0</v>
      </c>
      <c r="BJ86" t="str">
        <f>IFERROR(('Fat Spreads'!W86-(AVERAGE('Fat Spreads'!W86:W105)-2*STDEV('Fat Spreads'!W86:W105)))/(4*STDEV('Fat Spreads'!W86:W105)),"")</f>
        <v/>
      </c>
      <c r="BK86" t="str">
        <f>IFERROR(4*STDEV('Fat Spreads'!W86:W105)/AVERAGE('Fat Spreads'!W86:W105),"")</f>
        <v/>
      </c>
      <c r="BL86">
        <v>73.189599999999999</v>
      </c>
      <c r="BM86">
        <f>IFERROR(SQRT((SUMSQ('Fat Spreads'!W86:W105)-2*SUMPRODUCT('Fat Spreads'!W86:W105,'Fat Spreads'!W87:W106)+SUMSQ('Fat Spreads'!W87:W106)-('Fat Spreads'!W86-'Fat Spreads'!W106)^2/20)/19),"")</f>
        <v>0</v>
      </c>
      <c r="BO86">
        <f>IFERROR('Fat Spreads'!AC86,"")</f>
        <v>0</v>
      </c>
      <c r="BP86">
        <f>IFERROR(('Fat Spreads'!AD86-AVERAGE('Fat Spreads'!$AD$3:$AD$4308))/STDEV('Fat Spreads'!$AD$3:$AD$4308),"")</f>
        <v>-9.2057461789832332E-2</v>
      </c>
      <c r="BQ86">
        <f>IFERROR('Fat Spreads'!AD86-'Fat Spreads'!AD91,"")</f>
        <v>0</v>
      </c>
      <c r="BR86">
        <f>IFERROR('Fat Spreads'!AD86-'Fat Spreads'!AD96,"")</f>
        <v>0</v>
      </c>
      <c r="BS86">
        <f>IFERROR(AVERAGE('Fat Spreads'!AD86:AD105)+2*STDEV('Fat Spreads'!AD86:AD105),"")</f>
        <v>0</v>
      </c>
      <c r="BT86">
        <f>IFERROR(AVERAGE('Fat Spreads'!AD86:AD105)-2*STDEV('Fat Spreads'!AD86:AD105),"")</f>
        <v>0</v>
      </c>
      <c r="BU86" t="str">
        <f>IFERROR(('Fat Spreads'!AD86-(AVERAGE('Fat Spreads'!AD86:AD105)-2*STDEV('Fat Spreads'!AD86:AD105)))/(4*STDEV('Fat Spreads'!AD86:AD105)),"")</f>
        <v/>
      </c>
      <c r="BV86" t="str">
        <f>IFERROR(4*STDEV('Fat Spreads'!AD86:AD105)/AVERAGE('Fat Spreads'!AD86:AD105),"")</f>
        <v/>
      </c>
      <c r="BW86">
        <v>29.347000000000001</v>
      </c>
      <c r="BX86">
        <f>IFERROR(SQRT((SUMSQ('Fat Spreads'!AD86:AD105)-2*SUMPRODUCT('Fat Spreads'!AD86:AD105,'Fat Spreads'!AD87:AD106)+SUMSQ('Fat Spreads'!AD87:AD106)-('Fat Spreads'!AD86-'Fat Spreads'!AD106)^2/20)/19),"")</f>
        <v>0</v>
      </c>
      <c r="BZ86">
        <f>IFERROR('Feeder Spreads'!A86,"")</f>
        <v>0</v>
      </c>
      <c r="CA86">
        <f>IFERROR(('Feeder Spreads'!B86-AVERAGE('Feeder Spreads'!$B$3:$B$4308))/STDEV('Feeder Spreads'!$B$3:$B$4308),"")</f>
        <v>-9.2057461789832346E-2</v>
      </c>
      <c r="CB86">
        <f>IFERROR('Feeder Spreads'!B86-'Feeder Spreads'!B91,"")</f>
        <v>0</v>
      </c>
      <c r="CC86">
        <f>IFERROR('Feeder Spreads'!B86-'Feeder Spreads'!B96,"")</f>
        <v>0</v>
      </c>
      <c r="CD86">
        <f>IFERROR(AVERAGE('Feeder Spreads'!B86:B105)+2*STDEV('Feeder Spreads'!B86:B105),"")</f>
        <v>0</v>
      </c>
      <c r="CE86">
        <f>IFERROR(AVERAGE('Feeder Spreads'!B86:B105)-2*STDEV('Feeder Spreads'!B86:B105),"")</f>
        <v>0</v>
      </c>
      <c r="CF86" t="str">
        <f>IFERROR(('Feeder Spreads'!B86-(AVERAGE('Feeder Spreads'!B86:B105)-2*STDEV('Feeder Spreads'!B86:B105)))/(4*STDEV('Feeder Spreads'!B86:B105)),"")</f>
        <v/>
      </c>
      <c r="CG86" t="str">
        <f>IFERROR(4*STDEV('Feeder Spreads'!B86:B105)/AVERAGE('Feeder Spreads'!B86:B105),"")</f>
        <v/>
      </c>
      <c r="CH86">
        <v>49.338000000000001</v>
      </c>
      <c r="CI86">
        <f>IFERROR(SQRT((SUMSQ('Feeder Spreads'!B86:B105)-2*SUMPRODUCT('Feeder Spreads'!B86:B105,'Feeder Spreads'!B87:B106)+SUMSQ('Feeder Spreads'!B87:B106)-('Feeder Spreads'!B86-'Feeder Spreads'!B106)^2/20)/19),"")</f>
        <v>0</v>
      </c>
      <c r="CK86">
        <f>IFERROR('Feeder Spreads'!AX86,"")</f>
        <v>0</v>
      </c>
      <c r="CL86">
        <f>IFERROR(('Feeder Spreads'!AY86-AVERAGE('Feeder Spreads'!$AY$3:$AY$4308))/STDEV('Feeder Spreads'!$AY$3:$AY$4308),"")</f>
        <v>-9.2057461789832346E-2</v>
      </c>
      <c r="CM86">
        <f>IFERROR('Feeder Spreads'!AY86-'Feeder Spreads'!AY91,"")</f>
        <v>0</v>
      </c>
      <c r="CN86">
        <f>IFERROR('Feeder Spreads'!AY86-'Feeder Spreads'!AY96,"")</f>
        <v>0</v>
      </c>
      <c r="CO86">
        <f>IFERROR(AVERAGE('Feeder Spreads'!AY86:AY105)+2*STDEV('Feeder Spreads'!AY86:AY105),"")</f>
        <v>0</v>
      </c>
      <c r="CP86">
        <f>IFERROR(AVERAGE('Feeder Spreads'!AY86:AY105)-2*STDEV('Feeder Spreads'!AY86:AY105),"")</f>
        <v>0</v>
      </c>
      <c r="CQ86" t="str">
        <f>IFERROR(('Feeder Spreads'!AY86-(AVERAGE('Feeder Spreads'!AY86:AY105)-2*STDEV('Feeder Spreads'!AY86:AY105)))/(4*STDEV('Feeder Spreads'!AY86:AY105)),"")</f>
        <v/>
      </c>
      <c r="CR86" t="str">
        <f>IFERROR(4*STDEV('Feeder Spreads'!AY86:AY105)/AVERAGE('Feeder Spreads'!AY86:AY105),"")</f>
        <v/>
      </c>
      <c r="CS86">
        <v>48.577800000000003</v>
      </c>
      <c r="CT86">
        <f>IFERROR(SQRT((SUMSQ('Feeder Spreads'!AY86:AY105)-2*SUMPRODUCT('Feeder Spreads'!AY86:AY105,'Feeder Spreads'!AY87:AY106)+SUMSQ('Feeder Spreads'!AY87:AY106)-('Feeder Spreads'!AY86-'Feeder Spreads'!AY106)^2/20)/19),"")</f>
        <v>0</v>
      </c>
      <c r="CV86">
        <f>IFERROR('Feeder Spreads'!H86,"")</f>
        <v>0</v>
      </c>
      <c r="CW86">
        <f>IFERROR(('Feeder Spreads'!I86-AVERAGE('Feeder Spreads'!$I$3:$I$4308))/STDEV('Feeder Spreads'!$I$3:$I$4308),"")</f>
        <v>-9.2057461789832332E-2</v>
      </c>
      <c r="CX86">
        <f>IFERROR('Feeder Spreads'!I86-'Feeder Spreads'!I91,"")</f>
        <v>0</v>
      </c>
      <c r="CY86">
        <f>IFERROR('Feeder Spreads'!I86-'Feeder Spreads'!I96,"")</f>
        <v>0</v>
      </c>
      <c r="CZ86">
        <f>IFERROR(AVERAGE('Feeder Spreads'!I86:I105)+2*STDEV('Feeder Spreads'!I86:I105),"")</f>
        <v>0</v>
      </c>
      <c r="DA86">
        <f>IFERROR(AVERAGE('Feeder Spreads'!I86:I105)-2*STDEV('Feeder Spreads'!I86:I105),"")</f>
        <v>0</v>
      </c>
      <c r="DB86" t="str">
        <f>IFERROR(('Feeder Spreads'!I86-(AVERAGE('Feeder Spreads'!I86:I105)-2*STDEV('Feeder Spreads'!I86:I105)))/(4*STDEV('Feeder Spreads'!I86:I105)),"")</f>
        <v/>
      </c>
      <c r="DC86" t="str">
        <f>IFERROR(4*STDEV('Feeder Spreads'!I86:I105)/AVERAGE('Feeder Spreads'!I86:I105),"")</f>
        <v/>
      </c>
      <c r="DD86">
        <v>59.345599999999997</v>
      </c>
      <c r="DE86">
        <f>IFERROR(SQRT((SUMSQ('Feeder Spreads'!I86:I105)-2*SUMPRODUCT('Feeder Spreads'!I86:I105,'Feeder Spreads'!I87:I106)+SUMSQ('Feeder Spreads'!I87:I106)-('Feeder Spreads'!I86-'Feeder Spreads'!I106)^2/20)/19),"")</f>
        <v>0</v>
      </c>
      <c r="DG86">
        <f>IFERROR('Feeder Spreads'!O86,"")</f>
        <v>0</v>
      </c>
      <c r="DH86">
        <f>IFERROR(('Feeder Spreads'!P86-AVERAGE('Feeder Spreads'!$P$3:$P$4308))/STDEV('Feeder Spreads'!$P$3:$P$4308),"")</f>
        <v>-9.2057461789832346E-2</v>
      </c>
      <c r="DI86">
        <f>IFERROR('Feeder Spreads'!P86-'Feeder Spreads'!P91,"")</f>
        <v>0</v>
      </c>
      <c r="DJ86">
        <f>IFERROR('Feeder Spreads'!P86-'Feeder Spreads'!P96,"")</f>
        <v>0</v>
      </c>
      <c r="DK86">
        <f>IFERROR(AVERAGE('Feeder Spreads'!P86:P105)+2*STDEV('Feeder Spreads'!P86:P105),"")</f>
        <v>0</v>
      </c>
      <c r="DL86">
        <f>IFERROR(AVERAGE('Feeder Spreads'!P86:P105)-2*STDEV('Feeder Spreads'!P86:P105),"")</f>
        <v>0</v>
      </c>
      <c r="DM86" t="str">
        <f>IFERROR(('Feeder Spreads'!P86-(AVERAGE('Feeder Spreads'!P86:P105)-2*STDEV('Feeder Spreads'!P86:P105)))/(4*STDEV('Feeder Spreads'!P86:P105)),"")</f>
        <v/>
      </c>
      <c r="DN86" t="str">
        <f>IFERROR(4*STDEV('Feeder Spreads'!P86:P105)/AVERAGE('Feeder Spreads'!P86:P105),"")</f>
        <v/>
      </c>
      <c r="DO86">
        <v>57.965600000000002</v>
      </c>
      <c r="DP86">
        <f>IFERROR(SQRT((SUMSQ('Feeder Spreads'!P86:P105)-2*SUMPRODUCT('Feeder Spreads'!P86:P105,'Feeder Spreads'!P87:P106)+SUMSQ('Feeder Spreads'!P87:P106)-('Feeder Spreads'!P86-'Feeder Spreads'!P106)^2/20)/19),"")</f>
        <v>0</v>
      </c>
      <c r="DR86">
        <f>IFERROR('Feeder Spreads'!V86,"")</f>
        <v>0</v>
      </c>
      <c r="DS86">
        <f>IFERROR(('Feeder Spreads'!W86-AVERAGE('Feeder Spreads'!$W$3:$W$4308))/STDEV('Feeder Spreads'!$W$3:$W$4308),"")</f>
        <v>-9.2057461789832332E-2</v>
      </c>
      <c r="DT86">
        <f>IFERROR('Feeder Spreads'!W86-'Feeder Spreads'!W91,"")</f>
        <v>0</v>
      </c>
      <c r="DU86">
        <f>IFERROR('Feeder Spreads'!W86-'Feeder Spreads'!W96,"")</f>
        <v>0</v>
      </c>
      <c r="DV86">
        <f>IFERROR(AVERAGE('Feeder Spreads'!W86:W105)+2*STDEV('Feeder Spreads'!W86:W105),"")</f>
        <v>0</v>
      </c>
      <c r="DW86">
        <f>IFERROR(AVERAGE('Feeder Spreads'!W86:W105)-2*STDEV('Feeder Spreads'!W86:W105),"")</f>
        <v>0</v>
      </c>
      <c r="DX86" t="str">
        <f>IFERROR(('Feeder Spreads'!W86-(AVERAGE('Feeder Spreads'!W86:W105)-2*STDEV('Feeder Spreads'!W86:W105)))/(4*STDEV('Feeder Spreads'!W86:W105)),"")</f>
        <v/>
      </c>
      <c r="DY86" t="str">
        <f>IFERROR(4*STDEV('Feeder Spreads'!W86:W105)/AVERAGE('Feeder Spreads'!W86:W105),"")</f>
        <v/>
      </c>
      <c r="DZ86">
        <v>38.281999999999996</v>
      </c>
      <c r="EA86">
        <f>IFERROR(SQRT((SUMSQ('Feeder Spreads'!W86:W105)-2*SUMPRODUCT('Feeder Spreads'!W86:W105,'Feeder Spreads'!W87:W106)+SUMSQ('Feeder Spreads'!W87:W106)-('Feeder Spreads'!W86-'Feeder Spreads'!W106)^2/20)/19),"")</f>
        <v>0</v>
      </c>
      <c r="EC86">
        <f>IFERROR('Feeder Spreads'!AC86,"")</f>
        <v>0</v>
      </c>
      <c r="ED86">
        <f>IFERROR(('Feeder Spreads'!AD86-AVERAGE('Feeder Spreads'!$AD$3:$AD$4308))/STDEV('Feeder Spreads'!$AD$3:$AD$4308),"")</f>
        <v>9.2057461789832318E-2</v>
      </c>
      <c r="EE86">
        <f>IFERROR('Feeder Spreads'!AD86-'Feeder Spreads'!AD91,"")</f>
        <v>0</v>
      </c>
      <c r="EF86">
        <f>IFERROR('Feeder Spreads'!AD86-'Feeder Spreads'!AD96,"")</f>
        <v>0</v>
      </c>
      <c r="EG86">
        <f>IFERROR(AVERAGE('Feeder Spreads'!AD86:AD105)+2*STDEV('Feeder Spreads'!AD86:AD105),"")</f>
        <v>0</v>
      </c>
      <c r="EH86">
        <f>IFERROR(AVERAGE('Feeder Spreads'!AD86:AD105)-2*STDEV('Feeder Spreads'!AD86:AD105),"")</f>
        <v>0</v>
      </c>
      <c r="EI86" t="str">
        <f>IFERROR(('Feeder Spreads'!AD86-(AVERAGE('Feeder Spreads'!AD86:AD105)-2*STDEV('Feeder Spreads'!AD86:AD105)))/(4*STDEV('Feeder Spreads'!AD86:AD105)),"")</f>
        <v/>
      </c>
      <c r="EJ86" t="str">
        <f>IFERROR(4*STDEV('Feeder Spreads'!AD86:AD105)/AVERAGE('Feeder Spreads'!AD86:AD105),"")</f>
        <v/>
      </c>
      <c r="EK86">
        <v>48.754800000000003</v>
      </c>
      <c r="EL86">
        <f>IFERROR(SQRT((SUMSQ('Feeder Spreads'!AD86:AD105)-2*SUMPRODUCT('Feeder Spreads'!AD86:AD105,'Feeder Spreads'!AD87:AD106)+SUMSQ('Feeder Spreads'!AD87:AD106)-('Feeder Spreads'!AD86-'Feeder Spreads'!AD106)^2/20)/19),"")</f>
        <v>0</v>
      </c>
      <c r="EN86">
        <f>IFERROR('Feeder Spreads'!AJ86,"")</f>
        <v>0</v>
      </c>
      <c r="EO86">
        <f>IFERROR(('Feeder Spreads'!AK86-AVERAGE('Feeder Spreads'!$AK$3:$AK$4308))/STDEV('Feeder Spreads'!$AK$3:$AK$4308),"")</f>
        <v>-9.2057461789832346E-2</v>
      </c>
      <c r="EP86">
        <f>IFERROR('Feeder Spreads'!AK86-'Feeder Spreads'!AK91,"")</f>
        <v>0</v>
      </c>
      <c r="EQ86">
        <f>IFERROR('Feeder Spreads'!AK86-'Feeder Spreads'!AK96,"")</f>
        <v>0</v>
      </c>
      <c r="ER86">
        <f>IFERROR(AVERAGE('Feeder Spreads'!AK86:AK105)+2*STDEV('Feeder Spreads'!AK86:AK105),"")</f>
        <v>0</v>
      </c>
      <c r="ES86">
        <f>IFERROR(AVERAGE('Feeder Spreads'!AK86:AK105)-2*STDEV('Feeder Spreads'!AK86:AK105),"")</f>
        <v>0</v>
      </c>
      <c r="ET86" t="str">
        <f>IFERROR(('Feeder Spreads'!AK86-(AVERAGE('Feeder Spreads'!AK86:AK105)-2*STDEV('Feeder Spreads'!AK86:AK105)))/(4*STDEV('Feeder Spreads'!AK86:AK105)),"")</f>
        <v/>
      </c>
      <c r="EU86" t="str">
        <f>IFERROR(4*STDEV('Feeder Spreads'!AK86:AK105)/AVERAGE('Feeder Spreads'!AK86:AK105),"")</f>
        <v/>
      </c>
      <c r="EV86">
        <v>51.364800000000002</v>
      </c>
      <c r="EW86">
        <f>IFERROR(SQRT((SUMSQ('Feeder Spreads'!AK86:AK105)-2*SUMPRODUCT('Feeder Spreads'!AK86:AK105,'Feeder Spreads'!AK87:AK106)+SUMSQ('Feeder Spreads'!AK87:AK106)-('Feeder Spreads'!AK86-'Feeder Spreads'!AK106)^2/20)/19),"")</f>
        <v>0</v>
      </c>
      <c r="EY86">
        <f>IFERROR('Feeder Spreads'!AQ86,"")</f>
        <v>0</v>
      </c>
      <c r="EZ86">
        <f>IFERROR(('Feeder Spreads'!AR86-AVERAGE('Feeder Spreads'!$AR$3:$AR$4308))/STDEV('Feeder Spreads'!$AR$3:$AR$4308),"")</f>
        <v>-9.2057461789832332E-2</v>
      </c>
      <c r="FA86">
        <f>IFERROR('Feeder Spreads'!AR86-'Feeder Spreads'!AR91,"")</f>
        <v>0</v>
      </c>
      <c r="FB86">
        <f>IFERROR('Feeder Spreads'!AR86-'Feeder Spreads'!AR96,"")</f>
        <v>0</v>
      </c>
      <c r="FC86">
        <f>IFERROR(AVERAGE('Feeder Spreads'!AR86:AR105)+2*STDEV('Feeder Spreads'!AR86:AR105),"")</f>
        <v>0</v>
      </c>
      <c r="FD86">
        <f>IFERROR(AVERAGE('Feeder Spreads'!AR86:AR105)-2*STDEV('Feeder Spreads'!AR86:AR105),"")</f>
        <v>0</v>
      </c>
      <c r="FE86" t="str">
        <f>IFERROR(('Feeder Spreads'!AR86-(AVERAGE('Feeder Spreads'!AR86:AR105)-2*STDEV('Feeder Spreads'!AR86:AR105)))/(4*STDEV('Feeder Spreads'!AR86:AR105)),"")</f>
        <v/>
      </c>
      <c r="FF86" t="str">
        <f>IFERROR(4*STDEV('Feeder Spreads'!AR86:AR105)/AVERAGE('Feeder Spreads'!AR86:AR105),"")</f>
        <v/>
      </c>
      <c r="FG86">
        <v>54.740299999999998</v>
      </c>
      <c r="FH86">
        <f>IFERROR(SQRT((SUMSQ('Feeder Spreads'!AR86:AR105)-2*SUMPRODUCT('Feeder Spreads'!AR86:AR105,'Feeder Spreads'!AR87:AR106)+SUMSQ('Feeder Spreads'!AR87:AR106)-('Feeder Spreads'!AR86-'Feeder Spreads'!AR106)^2/20)/19),"")</f>
        <v>0</v>
      </c>
      <c r="FJ86">
        <f>IFERROR('Fat Spreads'!AX86,"")</f>
        <v>0</v>
      </c>
      <c r="FK86">
        <f>IFERROR(('Fat Spreads'!AY86-AVERAGE('Fat Spreads'!$AY$3:$AY$4308))/STDEV('Fat Spreads'!$AY$3:$AY$4308),"")</f>
        <v>9.2057461789832332E-2</v>
      </c>
      <c r="FL86">
        <f>IFERROR('Fat Spreads'!AY86-'Fat Spreads'!AY91,"")</f>
        <v>0</v>
      </c>
      <c r="FM86">
        <f>IFERROR('Fat Spreads'!AY86-'Fat Spreads'!AY96,"")</f>
        <v>0</v>
      </c>
      <c r="FN86">
        <f>IFERROR(AVERAGE('Fat Spreads'!AY86:AY105)+2*STDEV('Fat Spreads'!AY86:AY105),"")</f>
        <v>0</v>
      </c>
      <c r="FO86">
        <f>IFERROR(AVERAGE('Fat Spreads'!AY86:AY105)-2*STDEV('Fat Spreads'!AY86:AY105),"")</f>
        <v>0</v>
      </c>
      <c r="FP86" t="str">
        <f>IFERROR(('Fat Spreads'!AY86-(AVERAGE('Fat Spreads'!AY86:AY105)-2*STDEV('Fat Spreads'!AY86:AY105)))/(4*STDEV('Fat Spreads'!AY86:AY105)),"")</f>
        <v/>
      </c>
      <c r="FQ86" t="str">
        <f>IFERROR(4*STDEV('Fat Spreads'!AY86:AY105)/AVERAGE('Fat Spreads'!AY86:AY105),"")</f>
        <v/>
      </c>
      <c r="FR86">
        <v>40.058399999999999</v>
      </c>
      <c r="FS86">
        <f>IFERROR(SQRT((SUMSQ('Fat Spreads'!AY86:AY105)-2*SUMPRODUCT('Fat Spreads'!AY86:AY105,'Fat Spreads'!AY87:AY106)+SUMSQ('Fat Spreads'!AY87:AY106)-('Fat Spreads'!AY86-'Fat Spreads'!AY106)^2/20)/19),"")</f>
        <v>0</v>
      </c>
      <c r="FU86">
        <f>IFERROR('Fat Spreads'!BE86,"")</f>
        <v>0</v>
      </c>
      <c r="FV86">
        <f>IFERROR(('Fat Spreads'!BF86-AVERAGE('Fat Spreads'!$BF$3:$BF$4308))/STDEV('Fat Spreads'!$BF$3:$BF$4308),"")</f>
        <v>9.2057461789832332E-2</v>
      </c>
      <c r="FW86">
        <f>IFERROR('Fat Spreads'!BF86-'Fat Spreads'!BF91,"")</f>
        <v>0</v>
      </c>
      <c r="FX86">
        <f>IFERROR('Fat Spreads'!BF86-'Fat Spreads'!BF96,"")</f>
        <v>0</v>
      </c>
      <c r="FY86">
        <f>IFERROR(AVERAGE('Fat Spreads'!BF86:BF105)+2*STDEV('Fat Spreads'!BF86:BF105),"")</f>
        <v>0</v>
      </c>
      <c r="FZ86">
        <f>IFERROR(AVERAGE('Fat Spreads'!BF86:BF105)-2*STDEV('Fat Spreads'!BF86:BF105),"")</f>
        <v>0</v>
      </c>
      <c r="GA86" t="str">
        <f>IFERROR(('Fat Spreads'!BF86-(AVERAGE('Fat Spreads'!BF86:BF105)-2*STDEV('Fat Spreads'!BF86:BF105)))/(4*STDEV('Fat Spreads'!BF86:BF105)),"")</f>
        <v/>
      </c>
      <c r="GB86" t="str">
        <f>IFERROR(4*STDEV('Fat Spreads'!BF86:BF105)/AVERAGE('Fat Spreads'!BF86:BF105),"")</f>
        <v/>
      </c>
      <c r="GC86">
        <v>39.6449</v>
      </c>
      <c r="GD86">
        <f>IFERROR(SQRT((SUMSQ('Fat Spreads'!BF86:BF105)-2*SUMPRODUCT('Fat Spreads'!BF86:BF105,'Fat Spreads'!BF87:BF106)+SUMSQ('Fat Spreads'!BF87:BF106)-('Fat Spreads'!BF86-'Fat Spreads'!BF106)^2/20)/19),"")</f>
        <v>0</v>
      </c>
    </row>
    <row r="87" spans="1:186" x14ac:dyDescent="0.25">
      <c r="A87">
        <f>IFERROR('Fat Spreads'!A87,"")</f>
        <v>0</v>
      </c>
      <c r="B87">
        <f>IFERROR(('Fat Spreads'!B87-AVERAGE('Fat Spreads'!$B$3:$B$4308))/STDEV('Fat Spreads'!$B$3:$B$4308),"")</f>
        <v>9.2057461789832346E-2</v>
      </c>
      <c r="C87">
        <f>IFERROR('Fat Spreads'!B87-'Fat Spreads'!B92,"")</f>
        <v>0</v>
      </c>
      <c r="D87">
        <f>IFERROR('Fat Spreads'!B87-'Fat Spreads'!B97,"")</f>
        <v>0</v>
      </c>
      <c r="E87">
        <f>IFERROR(AVERAGE('Fat Spreads'!B87:B106)+2*STDEV('Fat Spreads'!B87:B106),"")</f>
        <v>0</v>
      </c>
      <c r="F87">
        <f>IFERROR(AVERAGE('Fat Spreads'!B87:B106)-2*STDEV('Fat Spreads'!B87:B106),"")</f>
        <v>0</v>
      </c>
      <c r="G87" t="str">
        <f>IFERROR(('Fat Spreads'!B87-(AVERAGE('Fat Spreads'!B87:B106)-2*STDEV('Fat Spreads'!B87:B106)))/(4*STDEV('Fat Spreads'!B87:B106)),"")</f>
        <v/>
      </c>
      <c r="H87" t="str">
        <f>IFERROR(4*STDEV('Fat Spreads'!B87:B106)/AVERAGE('Fat Spreads'!B87:B106),"")</f>
        <v/>
      </c>
      <c r="I87">
        <v>43.793399999999998</v>
      </c>
      <c r="J87">
        <f>IFERROR(SQRT((SUMSQ('Fat Spreads'!B87:B106)-2*SUMPRODUCT('Fat Spreads'!B87:B106,'Fat Spreads'!B88:B107)+SUMSQ('Fat Spreads'!B88:B107)-('Fat Spreads'!B87-'Fat Spreads'!B107)^2/20)/19),"")</f>
        <v>0</v>
      </c>
      <c r="L87">
        <f>IFERROR('Fat Spreads'!H87,"")</f>
        <v>0</v>
      </c>
      <c r="M87">
        <f>IFERROR(('Fat Spreads'!I87-AVERAGE('Fat Spreads'!$I$3:$I$4308))/STDEV('Fat Spreads'!$I$3:$I$4308),"")</f>
        <v>-9.2057461789832332E-2</v>
      </c>
      <c r="N87">
        <f>IFERROR('Fat Spreads'!I87-'Fat Spreads'!I92,"")</f>
        <v>0</v>
      </c>
      <c r="O87">
        <f>IFERROR('Fat Spreads'!I87-'Fat Spreads'!I97,"")</f>
        <v>0</v>
      </c>
      <c r="P87">
        <f>IFERROR(AVERAGE('Fat Spreads'!I87:I106)+2*STDEV('Fat Spreads'!I87:I106),"")</f>
        <v>0</v>
      </c>
      <c r="Q87">
        <f>IFERROR(AVERAGE('Fat Spreads'!I87:I106)-2*STDEV('Fat Spreads'!I87:I106),"")</f>
        <v>0</v>
      </c>
      <c r="R87" t="str">
        <f>IFERROR(('Fat Spreads'!I87-(AVERAGE('Fat Spreads'!I87:I106)-2*STDEV('Fat Spreads'!I87:I106)))/(4*STDEV('Fat Spreads'!I87:I106)),"")</f>
        <v/>
      </c>
      <c r="S87" t="str">
        <f>IFERROR(4*STDEV('Fat Spreads'!I87:I106)/AVERAGE('Fat Spreads'!I87:I106),"")</f>
        <v/>
      </c>
      <c r="T87">
        <v>42.491599999999998</v>
      </c>
      <c r="U87">
        <f>IFERROR(SQRT((SUMSQ('Fat Spreads'!I87:I106)-2*SUMPRODUCT('Fat Spreads'!I87:I106,'Fat Spreads'!I88:I107)+SUMSQ('Fat Spreads'!I88:I107)-('Fat Spreads'!I87-'Fat Spreads'!I107)^2/20)/19),"")</f>
        <v>0</v>
      </c>
      <c r="W87">
        <f>IFERROR('Fat Spreads'!AQ87,"")</f>
        <v>0</v>
      </c>
      <c r="X87">
        <f>IFERROR(('Fat Spreads'!AR87-AVERAGE('Fat Spreads'!$AR$3:$AR$4308))/STDEV('Fat Spreads'!$AR$3:$AR$4308),"")</f>
        <v>-9.2057461789832346E-2</v>
      </c>
      <c r="Y87">
        <f>IFERROR('Fat Spreads'!AR87-'Fat Spreads'!AR92,"")</f>
        <v>0</v>
      </c>
      <c r="Z87">
        <f>IFERROR('Fat Spreads'!AR87-'Fat Spreads'!AR97,"")</f>
        <v>0</v>
      </c>
      <c r="AA87">
        <f>IFERROR(AVERAGE('Fat Spreads'!AR87:AR106)+2*STDEV('Fat Spreads'!AR87:AR106),"")</f>
        <v>0</v>
      </c>
      <c r="AB87">
        <f>IFERROR(AVERAGE('Fat Spreads'!AR87:AR106)-2*STDEV('Fat Spreads'!AR87:AR106),"")</f>
        <v>0</v>
      </c>
      <c r="AC87" t="str">
        <f>IFERROR(('Fat Spreads'!AR87-(AVERAGE('Fat Spreads'!AR87:AR106)-2*STDEV('Fat Spreads'!AR87:AR106)))/(4*STDEV('Fat Spreads'!AR87:AR106)),"")</f>
        <v/>
      </c>
      <c r="AD87" t="str">
        <f>IFERROR(4*STDEV('Fat Spreads'!AR87:AR106)/AVERAGE('Fat Spreads'!AR87:AR106),"")</f>
        <v/>
      </c>
      <c r="AE87">
        <v>74.773799999999994</v>
      </c>
      <c r="AF87">
        <f>IFERROR(SQRT((SUMSQ('Fat Spreads'!AR87:AR106)-2*SUMPRODUCT('Fat Spreads'!AR87:AR106,'Fat Spreads'!AR88:AR107)+SUMSQ('Fat Spreads'!AR88:AR107)-('Fat Spreads'!AR87-'Fat Spreads'!AR107)^2/20)/19),"")</f>
        <v>0</v>
      </c>
      <c r="AH87">
        <f>IFERROR('Fat Spreads'!O87,"")</f>
        <v>0</v>
      </c>
      <c r="AI87">
        <f>IFERROR(('Fat Spreads'!P87-AVERAGE('Fat Spreads'!$P$3:$P$4308))/STDEV('Fat Spreads'!$P$3:$P$4308),"")</f>
        <v>-9.2057461789832332E-2</v>
      </c>
      <c r="AJ87">
        <f>IFERROR('Fat Spreads'!P87-'Fat Spreads'!P92,"")</f>
        <v>0</v>
      </c>
      <c r="AK87">
        <f>IFERROR('Fat Spreads'!P87-'Fat Spreads'!P97,"")</f>
        <v>0</v>
      </c>
      <c r="AL87">
        <f>IFERROR(AVERAGE('Fat Spreads'!P87:P106)+2*STDEV('Fat Spreads'!P87:P106),"")</f>
        <v>0</v>
      </c>
      <c r="AM87">
        <f>IFERROR(AVERAGE('Fat Spreads'!P87:P106)-2*STDEV('Fat Spreads'!P87:P106),"")</f>
        <v>0</v>
      </c>
      <c r="AN87" t="str">
        <f>IFERROR(('Fat Spreads'!P87-(AVERAGE('Fat Spreads'!P87:P106)-2*STDEV('Fat Spreads'!P87:P106)))/(4*STDEV('Fat Spreads'!P87:P106)),"")</f>
        <v/>
      </c>
      <c r="AO87" t="str">
        <f>IFERROR(4*STDEV('Fat Spreads'!P87:P106)/AVERAGE('Fat Spreads'!P87:P106),"")</f>
        <v/>
      </c>
      <c r="AP87">
        <v>51.129100000000001</v>
      </c>
      <c r="AQ87">
        <f>IFERROR(SQRT((SUMSQ('Fat Spreads'!P87:P106)-2*SUMPRODUCT('Fat Spreads'!P87:P106,'Fat Spreads'!P88:P107)+SUMSQ('Fat Spreads'!P88:P107)-('Fat Spreads'!P87-'Fat Spreads'!P107)^2/20)/19),"")</f>
        <v>0</v>
      </c>
      <c r="AS87">
        <f>IFERROR('Fat Spreads'!AJ87,"")</f>
        <v>0</v>
      </c>
      <c r="AT87">
        <f>IFERROR(('Fat Spreads'!AK87-AVERAGE('Fat Spreads'!$AK$3:$AK$4308))/STDEV('Fat Spreads'!$AK$3:$AK$4308),"")</f>
        <v>-9.2057461789832332E-2</v>
      </c>
      <c r="AU87">
        <f>IFERROR('Fat Spreads'!AK87-'Fat Spreads'!AK92,"")</f>
        <v>0</v>
      </c>
      <c r="AV87">
        <f>IFERROR('Fat Spreads'!AK87-'Fat Spreads'!AK97,"")</f>
        <v>0</v>
      </c>
      <c r="AW87">
        <f>IFERROR(AVERAGE('Fat Spreads'!AK87:AK106)+2*STDEV('Fat Spreads'!AK87:AK106),"")</f>
        <v>0</v>
      </c>
      <c r="AX87">
        <f>IFERROR(AVERAGE('Fat Spreads'!AK87:AK106)-2*STDEV('Fat Spreads'!AK87:AK106),"")</f>
        <v>0</v>
      </c>
      <c r="AY87" t="str">
        <f>IFERROR(('Fat Spreads'!AK87-(AVERAGE('Fat Spreads'!AK87:AK106)-2*STDEV('Fat Spreads'!AK87:AK106)))/(4*STDEV('Fat Spreads'!AK87:AK106)),"")</f>
        <v/>
      </c>
      <c r="AZ87" t="str">
        <f>IFERROR(4*STDEV('Fat Spreads'!AK87:AK106)/AVERAGE('Fat Spreads'!AK87:AK106),"")</f>
        <v/>
      </c>
      <c r="BA87">
        <v>52.639400000000002</v>
      </c>
      <c r="BB87">
        <f>IFERROR(SQRT((SUMSQ('Fat Spreads'!AK87:AK106)-2*SUMPRODUCT('Fat Spreads'!AK87:AK106,'Fat Spreads'!AK88:AK107)+SUMSQ('Fat Spreads'!AK88:AK107)-('Fat Spreads'!AK87-'Fat Spreads'!AK107)^2/20)/19),"")</f>
        <v>0</v>
      </c>
      <c r="BD87">
        <f>IFERROR('Fat Spreads'!V87,"")</f>
        <v>0</v>
      </c>
      <c r="BE87">
        <f>IFERROR(('Fat Spreads'!W87-AVERAGE('Fat Spreads'!$W$3:$W$4308))/STDEV('Fat Spreads'!$W$3:$W$4308),"")</f>
        <v>-9.2057461789832332E-2</v>
      </c>
      <c r="BF87">
        <f>IFERROR('Fat Spreads'!W87-'Fat Spreads'!W92,"")</f>
        <v>0</v>
      </c>
      <c r="BG87">
        <f>IFERROR('Fat Spreads'!W87-'Fat Spreads'!W97,"")</f>
        <v>0</v>
      </c>
      <c r="BH87">
        <f>IFERROR(AVERAGE('Fat Spreads'!W87:W106)+2*STDEV('Fat Spreads'!W87:W106),"")</f>
        <v>0</v>
      </c>
      <c r="BI87">
        <f>IFERROR(AVERAGE('Fat Spreads'!W87:W106)-2*STDEV('Fat Spreads'!W87:W106),"")</f>
        <v>0</v>
      </c>
      <c r="BJ87" t="str">
        <f>IFERROR(('Fat Spreads'!W87-(AVERAGE('Fat Spreads'!W87:W106)-2*STDEV('Fat Spreads'!W87:W106)))/(4*STDEV('Fat Spreads'!W87:W106)),"")</f>
        <v/>
      </c>
      <c r="BK87" t="str">
        <f>IFERROR(4*STDEV('Fat Spreads'!W87:W106)/AVERAGE('Fat Spreads'!W87:W106),"")</f>
        <v/>
      </c>
      <c r="BL87">
        <v>73.189599999999999</v>
      </c>
      <c r="BM87">
        <f>IFERROR(SQRT((SUMSQ('Fat Spreads'!W87:W106)-2*SUMPRODUCT('Fat Spreads'!W87:W106,'Fat Spreads'!W88:W107)+SUMSQ('Fat Spreads'!W88:W107)-('Fat Spreads'!W87-'Fat Spreads'!W107)^2/20)/19),"")</f>
        <v>0</v>
      </c>
      <c r="BO87">
        <f>IFERROR('Fat Spreads'!AC87,"")</f>
        <v>0</v>
      </c>
      <c r="BP87">
        <f>IFERROR(('Fat Spreads'!AD87-AVERAGE('Fat Spreads'!$AD$3:$AD$4308))/STDEV('Fat Spreads'!$AD$3:$AD$4308),"")</f>
        <v>-9.2057461789832332E-2</v>
      </c>
      <c r="BQ87">
        <f>IFERROR('Fat Spreads'!AD87-'Fat Spreads'!AD92,"")</f>
        <v>0</v>
      </c>
      <c r="BR87">
        <f>IFERROR('Fat Spreads'!AD87-'Fat Spreads'!AD97,"")</f>
        <v>0</v>
      </c>
      <c r="BS87">
        <f>IFERROR(AVERAGE('Fat Spreads'!AD87:AD106)+2*STDEV('Fat Spreads'!AD87:AD106),"")</f>
        <v>0</v>
      </c>
      <c r="BT87">
        <f>IFERROR(AVERAGE('Fat Spreads'!AD87:AD106)-2*STDEV('Fat Spreads'!AD87:AD106),"")</f>
        <v>0</v>
      </c>
      <c r="BU87" t="str">
        <f>IFERROR(('Fat Spreads'!AD87-(AVERAGE('Fat Spreads'!AD87:AD106)-2*STDEV('Fat Spreads'!AD87:AD106)))/(4*STDEV('Fat Spreads'!AD87:AD106)),"")</f>
        <v/>
      </c>
      <c r="BV87" t="str">
        <f>IFERROR(4*STDEV('Fat Spreads'!AD87:AD106)/AVERAGE('Fat Spreads'!AD87:AD106),"")</f>
        <v/>
      </c>
      <c r="BW87">
        <v>23.7332</v>
      </c>
      <c r="BX87">
        <f>IFERROR(SQRT((SUMSQ('Fat Spreads'!AD87:AD106)-2*SUMPRODUCT('Fat Spreads'!AD87:AD106,'Fat Spreads'!AD88:AD107)+SUMSQ('Fat Spreads'!AD88:AD107)-('Fat Spreads'!AD87-'Fat Spreads'!AD107)^2/20)/19),"")</f>
        <v>0</v>
      </c>
      <c r="BZ87">
        <f>IFERROR('Feeder Spreads'!A87,"")</f>
        <v>0</v>
      </c>
      <c r="CA87">
        <f>IFERROR(('Feeder Spreads'!B87-AVERAGE('Feeder Spreads'!$B$3:$B$4308))/STDEV('Feeder Spreads'!$B$3:$B$4308),"")</f>
        <v>-9.2057461789832346E-2</v>
      </c>
      <c r="CB87">
        <f>IFERROR('Feeder Spreads'!B87-'Feeder Spreads'!B92,"")</f>
        <v>0</v>
      </c>
      <c r="CC87">
        <f>IFERROR('Feeder Spreads'!B87-'Feeder Spreads'!B97,"")</f>
        <v>0</v>
      </c>
      <c r="CD87">
        <f>IFERROR(AVERAGE('Feeder Spreads'!B87:B106)+2*STDEV('Feeder Spreads'!B87:B106),"")</f>
        <v>0</v>
      </c>
      <c r="CE87">
        <f>IFERROR(AVERAGE('Feeder Spreads'!B87:B106)-2*STDEV('Feeder Spreads'!B87:B106),"")</f>
        <v>0</v>
      </c>
      <c r="CF87" t="str">
        <f>IFERROR(('Feeder Spreads'!B87-(AVERAGE('Feeder Spreads'!B87:B106)-2*STDEV('Feeder Spreads'!B87:B106)))/(4*STDEV('Feeder Spreads'!B87:B106)),"")</f>
        <v/>
      </c>
      <c r="CG87" t="str">
        <f>IFERROR(4*STDEV('Feeder Spreads'!B87:B106)/AVERAGE('Feeder Spreads'!B87:B106),"")</f>
        <v/>
      </c>
      <c r="CH87">
        <v>53.999200000000002</v>
      </c>
      <c r="CI87">
        <f>IFERROR(SQRT((SUMSQ('Feeder Spreads'!B87:B106)-2*SUMPRODUCT('Feeder Spreads'!B87:B106,'Feeder Spreads'!B88:B107)+SUMSQ('Feeder Spreads'!B88:B107)-('Feeder Spreads'!B87-'Feeder Spreads'!B107)^2/20)/19),"")</f>
        <v>0</v>
      </c>
      <c r="CK87">
        <f>IFERROR('Feeder Spreads'!AX87,"")</f>
        <v>0</v>
      </c>
      <c r="CL87">
        <f>IFERROR(('Feeder Spreads'!AY87-AVERAGE('Feeder Spreads'!$AY$3:$AY$4308))/STDEV('Feeder Spreads'!$AY$3:$AY$4308),"")</f>
        <v>-9.2057461789832346E-2</v>
      </c>
      <c r="CM87">
        <f>IFERROR('Feeder Spreads'!AY87-'Feeder Spreads'!AY92,"")</f>
        <v>0</v>
      </c>
      <c r="CN87">
        <f>IFERROR('Feeder Spreads'!AY87-'Feeder Spreads'!AY97,"")</f>
        <v>0</v>
      </c>
      <c r="CO87">
        <f>IFERROR(AVERAGE('Feeder Spreads'!AY87:AY106)+2*STDEV('Feeder Spreads'!AY87:AY106),"")</f>
        <v>0</v>
      </c>
      <c r="CP87">
        <f>IFERROR(AVERAGE('Feeder Spreads'!AY87:AY106)-2*STDEV('Feeder Spreads'!AY87:AY106),"")</f>
        <v>0</v>
      </c>
      <c r="CQ87" t="str">
        <f>IFERROR(('Feeder Spreads'!AY87-(AVERAGE('Feeder Spreads'!AY87:AY106)-2*STDEV('Feeder Spreads'!AY87:AY106)))/(4*STDEV('Feeder Spreads'!AY87:AY106)),"")</f>
        <v/>
      </c>
      <c r="CR87" t="str">
        <f>IFERROR(4*STDEV('Feeder Spreads'!AY87:AY106)/AVERAGE('Feeder Spreads'!AY87:AY106),"")</f>
        <v/>
      </c>
      <c r="CS87">
        <v>48.577800000000003</v>
      </c>
      <c r="CT87">
        <f>IFERROR(SQRT((SUMSQ('Feeder Spreads'!AY87:AY106)-2*SUMPRODUCT('Feeder Spreads'!AY87:AY106,'Feeder Spreads'!AY88:AY107)+SUMSQ('Feeder Spreads'!AY88:AY107)-('Feeder Spreads'!AY87-'Feeder Spreads'!AY107)^2/20)/19),"")</f>
        <v>0</v>
      </c>
      <c r="CV87">
        <f>IFERROR('Feeder Spreads'!H87,"")</f>
        <v>0</v>
      </c>
      <c r="CW87">
        <f>IFERROR(('Feeder Spreads'!I87-AVERAGE('Feeder Spreads'!$I$3:$I$4308))/STDEV('Feeder Spreads'!$I$3:$I$4308),"")</f>
        <v>-9.2057461789832332E-2</v>
      </c>
      <c r="CX87">
        <f>IFERROR('Feeder Spreads'!I87-'Feeder Spreads'!I92,"")</f>
        <v>0</v>
      </c>
      <c r="CY87">
        <f>IFERROR('Feeder Spreads'!I87-'Feeder Spreads'!I97,"")</f>
        <v>0</v>
      </c>
      <c r="CZ87">
        <f>IFERROR(AVERAGE('Feeder Spreads'!I87:I106)+2*STDEV('Feeder Spreads'!I87:I106),"")</f>
        <v>0</v>
      </c>
      <c r="DA87">
        <f>IFERROR(AVERAGE('Feeder Spreads'!I87:I106)-2*STDEV('Feeder Spreads'!I87:I106),"")</f>
        <v>0</v>
      </c>
      <c r="DB87" t="str">
        <f>IFERROR(('Feeder Spreads'!I87-(AVERAGE('Feeder Spreads'!I87:I106)-2*STDEV('Feeder Spreads'!I87:I106)))/(4*STDEV('Feeder Spreads'!I87:I106)),"")</f>
        <v/>
      </c>
      <c r="DC87" t="str">
        <f>IFERROR(4*STDEV('Feeder Spreads'!I87:I106)/AVERAGE('Feeder Spreads'!I87:I106),"")</f>
        <v/>
      </c>
      <c r="DD87">
        <v>61.764400000000002</v>
      </c>
      <c r="DE87">
        <f>IFERROR(SQRT((SUMSQ('Feeder Spreads'!I87:I106)-2*SUMPRODUCT('Feeder Spreads'!I87:I106,'Feeder Spreads'!I88:I107)+SUMSQ('Feeder Spreads'!I88:I107)-('Feeder Spreads'!I87-'Feeder Spreads'!I107)^2/20)/19),"")</f>
        <v>0</v>
      </c>
      <c r="DG87">
        <f>IFERROR('Feeder Spreads'!O87,"")</f>
        <v>0</v>
      </c>
      <c r="DH87">
        <f>IFERROR(('Feeder Spreads'!P87-AVERAGE('Feeder Spreads'!$P$3:$P$4308))/STDEV('Feeder Spreads'!$P$3:$P$4308),"")</f>
        <v>-9.2057461789832346E-2</v>
      </c>
      <c r="DI87">
        <f>IFERROR('Feeder Spreads'!P87-'Feeder Spreads'!P92,"")</f>
        <v>0</v>
      </c>
      <c r="DJ87">
        <f>IFERROR('Feeder Spreads'!P87-'Feeder Spreads'!P97,"")</f>
        <v>0</v>
      </c>
      <c r="DK87">
        <f>IFERROR(AVERAGE('Feeder Spreads'!P87:P106)+2*STDEV('Feeder Spreads'!P87:P106),"")</f>
        <v>0</v>
      </c>
      <c r="DL87">
        <f>IFERROR(AVERAGE('Feeder Spreads'!P87:P106)-2*STDEV('Feeder Spreads'!P87:P106),"")</f>
        <v>0</v>
      </c>
      <c r="DM87" t="str">
        <f>IFERROR(('Feeder Spreads'!P87-(AVERAGE('Feeder Spreads'!P87:P106)-2*STDEV('Feeder Spreads'!P87:P106)))/(4*STDEV('Feeder Spreads'!P87:P106)),"")</f>
        <v/>
      </c>
      <c r="DN87" t="str">
        <f>IFERROR(4*STDEV('Feeder Spreads'!P87:P106)/AVERAGE('Feeder Spreads'!P87:P106),"")</f>
        <v/>
      </c>
      <c r="DO87">
        <v>59.831299999999999</v>
      </c>
      <c r="DP87">
        <f>IFERROR(SQRT((SUMSQ('Feeder Spreads'!P87:P106)-2*SUMPRODUCT('Feeder Spreads'!P87:P106,'Feeder Spreads'!P88:P107)+SUMSQ('Feeder Spreads'!P88:P107)-('Feeder Spreads'!P87-'Feeder Spreads'!P107)^2/20)/19),"")</f>
        <v>0</v>
      </c>
      <c r="DR87">
        <f>IFERROR('Feeder Spreads'!V87,"")</f>
        <v>0</v>
      </c>
      <c r="DS87">
        <f>IFERROR(('Feeder Spreads'!W87-AVERAGE('Feeder Spreads'!$W$3:$W$4308))/STDEV('Feeder Spreads'!$W$3:$W$4308),"")</f>
        <v>-9.2057461789832332E-2</v>
      </c>
      <c r="DT87">
        <f>IFERROR('Feeder Spreads'!W87-'Feeder Spreads'!W92,"")</f>
        <v>0</v>
      </c>
      <c r="DU87">
        <f>IFERROR('Feeder Spreads'!W87-'Feeder Spreads'!W97,"")</f>
        <v>0</v>
      </c>
      <c r="DV87">
        <f>IFERROR(AVERAGE('Feeder Spreads'!W87:W106)+2*STDEV('Feeder Spreads'!W87:W106),"")</f>
        <v>0</v>
      </c>
      <c r="DW87">
        <f>IFERROR(AVERAGE('Feeder Spreads'!W87:W106)-2*STDEV('Feeder Spreads'!W87:W106),"")</f>
        <v>0</v>
      </c>
      <c r="DX87" t="str">
        <f>IFERROR(('Feeder Spreads'!W87-(AVERAGE('Feeder Spreads'!W87:W106)-2*STDEV('Feeder Spreads'!W87:W106)))/(4*STDEV('Feeder Spreads'!W87:W106)),"")</f>
        <v/>
      </c>
      <c r="DY87" t="str">
        <f>IFERROR(4*STDEV('Feeder Spreads'!W87:W106)/AVERAGE('Feeder Spreads'!W87:W106),"")</f>
        <v/>
      </c>
      <c r="DZ87">
        <v>45.747199999999999</v>
      </c>
      <c r="EA87">
        <f>IFERROR(SQRT((SUMSQ('Feeder Spreads'!W87:W106)-2*SUMPRODUCT('Feeder Spreads'!W87:W106,'Feeder Spreads'!W88:W107)+SUMSQ('Feeder Spreads'!W88:W107)-('Feeder Spreads'!W87-'Feeder Spreads'!W107)^2/20)/19),"")</f>
        <v>0</v>
      </c>
      <c r="EC87">
        <f>IFERROR('Feeder Spreads'!AC87,"")</f>
        <v>0</v>
      </c>
      <c r="ED87">
        <f>IFERROR(('Feeder Spreads'!AD87-AVERAGE('Feeder Spreads'!$AD$3:$AD$4308))/STDEV('Feeder Spreads'!$AD$3:$AD$4308),"")</f>
        <v>9.2057461789832318E-2</v>
      </c>
      <c r="EE87">
        <f>IFERROR('Feeder Spreads'!AD87-'Feeder Spreads'!AD92,"")</f>
        <v>0</v>
      </c>
      <c r="EF87">
        <f>IFERROR('Feeder Spreads'!AD87-'Feeder Spreads'!AD97,"")</f>
        <v>0</v>
      </c>
      <c r="EG87">
        <f>IFERROR(AVERAGE('Feeder Spreads'!AD87:AD106)+2*STDEV('Feeder Spreads'!AD87:AD106),"")</f>
        <v>0</v>
      </c>
      <c r="EH87">
        <f>IFERROR(AVERAGE('Feeder Spreads'!AD87:AD106)-2*STDEV('Feeder Spreads'!AD87:AD106),"")</f>
        <v>0</v>
      </c>
      <c r="EI87" t="str">
        <f>IFERROR(('Feeder Spreads'!AD87-(AVERAGE('Feeder Spreads'!AD87:AD106)-2*STDEV('Feeder Spreads'!AD87:AD106)))/(4*STDEV('Feeder Spreads'!AD87:AD106)),"")</f>
        <v/>
      </c>
      <c r="EJ87" t="str">
        <f>IFERROR(4*STDEV('Feeder Spreads'!AD87:AD106)/AVERAGE('Feeder Spreads'!AD87:AD106),"")</f>
        <v/>
      </c>
      <c r="EK87">
        <v>43.017000000000003</v>
      </c>
      <c r="EL87">
        <f>IFERROR(SQRT((SUMSQ('Feeder Spreads'!AD87:AD106)-2*SUMPRODUCT('Feeder Spreads'!AD87:AD106,'Feeder Spreads'!AD88:AD107)+SUMSQ('Feeder Spreads'!AD88:AD107)-('Feeder Spreads'!AD87-'Feeder Spreads'!AD107)^2/20)/19),"")</f>
        <v>0</v>
      </c>
      <c r="EN87">
        <f>IFERROR('Feeder Spreads'!AJ87,"")</f>
        <v>0</v>
      </c>
      <c r="EO87">
        <f>IFERROR(('Feeder Spreads'!AK87-AVERAGE('Feeder Spreads'!$AK$3:$AK$4308))/STDEV('Feeder Spreads'!$AK$3:$AK$4308),"")</f>
        <v>-9.2057461789832346E-2</v>
      </c>
      <c r="EP87">
        <f>IFERROR('Feeder Spreads'!AK87-'Feeder Spreads'!AK92,"")</f>
        <v>0</v>
      </c>
      <c r="EQ87">
        <f>IFERROR('Feeder Spreads'!AK87-'Feeder Spreads'!AK97,"")</f>
        <v>0</v>
      </c>
      <c r="ER87">
        <f>IFERROR(AVERAGE('Feeder Spreads'!AK87:AK106)+2*STDEV('Feeder Spreads'!AK87:AK106),"")</f>
        <v>0</v>
      </c>
      <c r="ES87">
        <f>IFERROR(AVERAGE('Feeder Spreads'!AK87:AK106)-2*STDEV('Feeder Spreads'!AK87:AK106),"")</f>
        <v>0</v>
      </c>
      <c r="ET87" t="str">
        <f>IFERROR(('Feeder Spreads'!AK87-(AVERAGE('Feeder Spreads'!AK87:AK106)-2*STDEV('Feeder Spreads'!AK87:AK106)))/(4*STDEV('Feeder Spreads'!AK87:AK106)),"")</f>
        <v/>
      </c>
      <c r="EU87" t="str">
        <f>IFERROR(4*STDEV('Feeder Spreads'!AK87:AK106)/AVERAGE('Feeder Spreads'!AK87:AK106),"")</f>
        <v/>
      </c>
      <c r="EV87">
        <v>48.546300000000002</v>
      </c>
      <c r="EW87">
        <f>IFERROR(SQRT((SUMSQ('Feeder Spreads'!AK87:AK106)-2*SUMPRODUCT('Feeder Spreads'!AK87:AK106,'Feeder Spreads'!AK88:AK107)+SUMSQ('Feeder Spreads'!AK88:AK107)-('Feeder Spreads'!AK87-'Feeder Spreads'!AK107)^2/20)/19),"")</f>
        <v>0</v>
      </c>
      <c r="EY87">
        <f>IFERROR('Feeder Spreads'!AQ87,"")</f>
        <v>0</v>
      </c>
      <c r="EZ87">
        <f>IFERROR(('Feeder Spreads'!AR87-AVERAGE('Feeder Spreads'!$AR$3:$AR$4308))/STDEV('Feeder Spreads'!$AR$3:$AR$4308),"")</f>
        <v>-9.2057461789832332E-2</v>
      </c>
      <c r="FA87">
        <f>IFERROR('Feeder Spreads'!AR87-'Feeder Spreads'!AR92,"")</f>
        <v>0</v>
      </c>
      <c r="FB87">
        <f>IFERROR('Feeder Spreads'!AR87-'Feeder Spreads'!AR97,"")</f>
        <v>0</v>
      </c>
      <c r="FC87">
        <f>IFERROR(AVERAGE('Feeder Spreads'!AR87:AR106)+2*STDEV('Feeder Spreads'!AR87:AR106),"")</f>
        <v>0</v>
      </c>
      <c r="FD87">
        <f>IFERROR(AVERAGE('Feeder Spreads'!AR87:AR106)-2*STDEV('Feeder Spreads'!AR87:AR106),"")</f>
        <v>0</v>
      </c>
      <c r="FE87" t="str">
        <f>IFERROR(('Feeder Spreads'!AR87-(AVERAGE('Feeder Spreads'!AR87:AR106)-2*STDEV('Feeder Spreads'!AR87:AR106)))/(4*STDEV('Feeder Spreads'!AR87:AR106)),"")</f>
        <v/>
      </c>
      <c r="FF87" t="str">
        <f>IFERROR(4*STDEV('Feeder Spreads'!AR87:AR106)/AVERAGE('Feeder Spreads'!AR87:AR106),"")</f>
        <v/>
      </c>
      <c r="FG87">
        <v>53.750599999999999</v>
      </c>
      <c r="FH87">
        <f>IFERROR(SQRT((SUMSQ('Feeder Spreads'!AR87:AR106)-2*SUMPRODUCT('Feeder Spreads'!AR87:AR106,'Feeder Spreads'!AR88:AR107)+SUMSQ('Feeder Spreads'!AR88:AR107)-('Feeder Spreads'!AR87-'Feeder Spreads'!AR107)^2/20)/19),"")</f>
        <v>0</v>
      </c>
      <c r="FJ87">
        <f>IFERROR('Fat Spreads'!AX87,"")</f>
        <v>0</v>
      </c>
      <c r="FK87">
        <f>IFERROR(('Fat Spreads'!AY87-AVERAGE('Fat Spreads'!$AY$3:$AY$4308))/STDEV('Fat Spreads'!$AY$3:$AY$4308),"")</f>
        <v>9.2057461789832332E-2</v>
      </c>
      <c r="FL87">
        <f>IFERROR('Fat Spreads'!AY87-'Fat Spreads'!AY92,"")</f>
        <v>0</v>
      </c>
      <c r="FM87">
        <f>IFERROR('Fat Spreads'!AY87-'Fat Spreads'!AY97,"")</f>
        <v>0</v>
      </c>
      <c r="FN87">
        <f>IFERROR(AVERAGE('Fat Spreads'!AY87:AY106)+2*STDEV('Fat Spreads'!AY87:AY106),"")</f>
        <v>0</v>
      </c>
      <c r="FO87">
        <f>IFERROR(AVERAGE('Fat Spreads'!AY87:AY106)-2*STDEV('Fat Spreads'!AY87:AY106),"")</f>
        <v>0</v>
      </c>
      <c r="FP87" t="str">
        <f>IFERROR(('Fat Spreads'!AY87-(AVERAGE('Fat Spreads'!AY87:AY106)-2*STDEV('Fat Spreads'!AY87:AY106)))/(4*STDEV('Fat Spreads'!AY87:AY106)),"")</f>
        <v/>
      </c>
      <c r="FQ87" t="str">
        <f>IFERROR(4*STDEV('Fat Spreads'!AY87:AY106)/AVERAGE('Fat Spreads'!AY87:AY106),"")</f>
        <v/>
      </c>
      <c r="FR87">
        <v>48.855800000000002</v>
      </c>
      <c r="FS87">
        <f>IFERROR(SQRT((SUMSQ('Fat Spreads'!AY87:AY106)-2*SUMPRODUCT('Fat Spreads'!AY87:AY106,'Fat Spreads'!AY88:AY107)+SUMSQ('Fat Spreads'!AY88:AY107)-('Fat Spreads'!AY87-'Fat Spreads'!AY107)^2/20)/19),"")</f>
        <v>0</v>
      </c>
      <c r="FU87">
        <f>IFERROR('Fat Spreads'!BE87,"")</f>
        <v>0</v>
      </c>
      <c r="FV87">
        <f>IFERROR(('Fat Spreads'!BF87-AVERAGE('Fat Spreads'!$BF$3:$BF$4308))/STDEV('Fat Spreads'!$BF$3:$BF$4308),"")</f>
        <v>9.2057461789832332E-2</v>
      </c>
      <c r="FW87">
        <f>IFERROR('Fat Spreads'!BF87-'Fat Spreads'!BF92,"")</f>
        <v>0</v>
      </c>
      <c r="FX87">
        <f>IFERROR('Fat Spreads'!BF87-'Fat Spreads'!BF97,"")</f>
        <v>0</v>
      </c>
      <c r="FY87">
        <f>IFERROR(AVERAGE('Fat Spreads'!BF87:BF106)+2*STDEV('Fat Spreads'!BF87:BF106),"")</f>
        <v>0</v>
      </c>
      <c r="FZ87">
        <f>IFERROR(AVERAGE('Fat Spreads'!BF87:BF106)-2*STDEV('Fat Spreads'!BF87:BF106),"")</f>
        <v>0</v>
      </c>
      <c r="GA87" t="str">
        <f>IFERROR(('Fat Spreads'!BF87-(AVERAGE('Fat Spreads'!BF87:BF106)-2*STDEV('Fat Spreads'!BF87:BF106)))/(4*STDEV('Fat Spreads'!BF87:BF106)),"")</f>
        <v/>
      </c>
      <c r="GB87" t="str">
        <f>IFERROR(4*STDEV('Fat Spreads'!BF87:BF106)/AVERAGE('Fat Spreads'!BF87:BF106),"")</f>
        <v/>
      </c>
      <c r="GC87">
        <v>42.984699999999997</v>
      </c>
      <c r="GD87">
        <f>IFERROR(SQRT((SUMSQ('Fat Spreads'!BF87:BF106)-2*SUMPRODUCT('Fat Spreads'!BF87:BF106,'Fat Spreads'!BF88:BF107)+SUMSQ('Fat Spreads'!BF88:BF107)-('Fat Spreads'!BF87-'Fat Spreads'!BF107)^2/20)/19),"")</f>
        <v>0</v>
      </c>
    </row>
    <row r="88" spans="1:186" x14ac:dyDescent="0.25">
      <c r="A88">
        <f>IFERROR('Fat Spreads'!A88,"")</f>
        <v>0</v>
      </c>
      <c r="B88">
        <f>IFERROR(('Fat Spreads'!B88-AVERAGE('Fat Spreads'!$B$3:$B$4308))/STDEV('Fat Spreads'!$B$3:$B$4308),"")</f>
        <v>9.2057461789832346E-2</v>
      </c>
      <c r="C88">
        <f>IFERROR('Fat Spreads'!B88-'Fat Spreads'!B93,"")</f>
        <v>0</v>
      </c>
      <c r="D88">
        <f>IFERROR('Fat Spreads'!B88-'Fat Spreads'!B98,"")</f>
        <v>0</v>
      </c>
      <c r="E88">
        <f>IFERROR(AVERAGE('Fat Spreads'!B88:B107)+2*STDEV('Fat Spreads'!B88:B107),"")</f>
        <v>0</v>
      </c>
      <c r="F88">
        <f>IFERROR(AVERAGE('Fat Spreads'!B88:B107)-2*STDEV('Fat Spreads'!B88:B107),"")</f>
        <v>0</v>
      </c>
      <c r="G88" t="str">
        <f>IFERROR(('Fat Spreads'!B88-(AVERAGE('Fat Spreads'!B88:B107)-2*STDEV('Fat Spreads'!B88:B107)))/(4*STDEV('Fat Spreads'!B88:B107)),"")</f>
        <v/>
      </c>
      <c r="H88" t="str">
        <f>IFERROR(4*STDEV('Fat Spreads'!B88:B107)/AVERAGE('Fat Spreads'!B88:B107),"")</f>
        <v/>
      </c>
      <c r="I88">
        <v>39.213099999999997</v>
      </c>
      <c r="J88">
        <f>IFERROR(SQRT((SUMSQ('Fat Spreads'!B88:B107)-2*SUMPRODUCT('Fat Spreads'!B88:B107,'Fat Spreads'!B89:B108)+SUMSQ('Fat Spreads'!B89:B108)-('Fat Spreads'!B88-'Fat Spreads'!B108)^2/20)/19),"")</f>
        <v>0</v>
      </c>
      <c r="L88">
        <f>IFERROR('Fat Spreads'!H88,"")</f>
        <v>0</v>
      </c>
      <c r="M88">
        <f>IFERROR(('Fat Spreads'!I88-AVERAGE('Fat Spreads'!$I$3:$I$4308))/STDEV('Fat Spreads'!$I$3:$I$4308),"")</f>
        <v>-9.2057461789832332E-2</v>
      </c>
      <c r="N88">
        <f>IFERROR('Fat Spreads'!I88-'Fat Spreads'!I93,"")</f>
        <v>0</v>
      </c>
      <c r="O88">
        <f>IFERROR('Fat Spreads'!I88-'Fat Spreads'!I98,"")</f>
        <v>0</v>
      </c>
      <c r="P88">
        <f>IFERROR(AVERAGE('Fat Spreads'!I88:I107)+2*STDEV('Fat Spreads'!I88:I107),"")</f>
        <v>0</v>
      </c>
      <c r="Q88">
        <f>IFERROR(AVERAGE('Fat Spreads'!I88:I107)-2*STDEV('Fat Spreads'!I88:I107),"")</f>
        <v>0</v>
      </c>
      <c r="R88" t="str">
        <f>IFERROR(('Fat Spreads'!I88-(AVERAGE('Fat Spreads'!I88:I107)-2*STDEV('Fat Spreads'!I88:I107)))/(4*STDEV('Fat Spreads'!I88:I107)),"")</f>
        <v/>
      </c>
      <c r="S88" t="str">
        <f>IFERROR(4*STDEV('Fat Spreads'!I88:I107)/AVERAGE('Fat Spreads'!I88:I107),"")</f>
        <v/>
      </c>
      <c r="T88">
        <v>40.735799999999998</v>
      </c>
      <c r="U88">
        <f>IFERROR(SQRT((SUMSQ('Fat Spreads'!I88:I107)-2*SUMPRODUCT('Fat Spreads'!I88:I107,'Fat Spreads'!I89:I108)+SUMSQ('Fat Spreads'!I89:I108)-('Fat Spreads'!I88-'Fat Spreads'!I108)^2/20)/19),"")</f>
        <v>0</v>
      </c>
      <c r="W88">
        <f>IFERROR('Fat Spreads'!AQ88,"")</f>
        <v>0</v>
      </c>
      <c r="X88">
        <f>IFERROR(('Fat Spreads'!AR88-AVERAGE('Fat Spreads'!$AR$3:$AR$4308))/STDEV('Fat Spreads'!$AR$3:$AR$4308),"")</f>
        <v>-9.2057461789832346E-2</v>
      </c>
      <c r="Y88">
        <f>IFERROR('Fat Spreads'!AR88-'Fat Spreads'!AR93,"")</f>
        <v>0</v>
      </c>
      <c r="Z88">
        <f>IFERROR('Fat Spreads'!AR88-'Fat Spreads'!AR98,"")</f>
        <v>0</v>
      </c>
      <c r="AA88">
        <f>IFERROR(AVERAGE('Fat Spreads'!AR88:AR107)+2*STDEV('Fat Spreads'!AR88:AR107),"")</f>
        <v>0</v>
      </c>
      <c r="AB88">
        <f>IFERROR(AVERAGE('Fat Spreads'!AR88:AR107)-2*STDEV('Fat Spreads'!AR88:AR107),"")</f>
        <v>0</v>
      </c>
      <c r="AC88" t="str">
        <f>IFERROR(('Fat Spreads'!AR88-(AVERAGE('Fat Spreads'!AR88:AR107)-2*STDEV('Fat Spreads'!AR88:AR107)))/(4*STDEV('Fat Spreads'!AR88:AR107)),"")</f>
        <v/>
      </c>
      <c r="AD88" t="str">
        <f>IFERROR(4*STDEV('Fat Spreads'!AR88:AR107)/AVERAGE('Fat Spreads'!AR88:AR107),"")</f>
        <v/>
      </c>
      <c r="AE88">
        <v>74.773799999999994</v>
      </c>
      <c r="AF88">
        <f>IFERROR(SQRT((SUMSQ('Fat Spreads'!AR88:AR107)-2*SUMPRODUCT('Fat Spreads'!AR88:AR107,'Fat Spreads'!AR89:AR108)+SUMSQ('Fat Spreads'!AR89:AR108)-('Fat Spreads'!AR88-'Fat Spreads'!AR108)^2/20)/19),"")</f>
        <v>0</v>
      </c>
      <c r="AH88">
        <f>IFERROR('Fat Spreads'!O88,"")</f>
        <v>0</v>
      </c>
      <c r="AI88">
        <f>IFERROR(('Fat Spreads'!P88-AVERAGE('Fat Spreads'!$P$3:$P$4308))/STDEV('Fat Spreads'!$P$3:$P$4308),"")</f>
        <v>-9.2057461789832332E-2</v>
      </c>
      <c r="AJ88">
        <f>IFERROR('Fat Spreads'!P88-'Fat Spreads'!P93,"")</f>
        <v>0</v>
      </c>
      <c r="AK88">
        <f>IFERROR('Fat Spreads'!P88-'Fat Spreads'!P98,"")</f>
        <v>0</v>
      </c>
      <c r="AL88">
        <f>IFERROR(AVERAGE('Fat Spreads'!P88:P107)+2*STDEV('Fat Spreads'!P88:P107),"")</f>
        <v>0</v>
      </c>
      <c r="AM88">
        <f>IFERROR(AVERAGE('Fat Spreads'!P88:P107)-2*STDEV('Fat Spreads'!P88:P107),"")</f>
        <v>0</v>
      </c>
      <c r="AN88" t="str">
        <f>IFERROR(('Fat Spreads'!P88-(AVERAGE('Fat Spreads'!P88:P107)-2*STDEV('Fat Spreads'!P88:P107)))/(4*STDEV('Fat Spreads'!P88:P107)),"")</f>
        <v/>
      </c>
      <c r="AO88" t="str">
        <f>IFERROR(4*STDEV('Fat Spreads'!P88:P107)/AVERAGE('Fat Spreads'!P88:P107),"")</f>
        <v/>
      </c>
      <c r="AP88">
        <v>51.129100000000001</v>
      </c>
      <c r="AQ88">
        <f>IFERROR(SQRT((SUMSQ('Fat Spreads'!P88:P107)-2*SUMPRODUCT('Fat Spreads'!P88:P107,'Fat Spreads'!P89:P108)+SUMSQ('Fat Spreads'!P89:P108)-('Fat Spreads'!P88-'Fat Spreads'!P108)^2/20)/19),"")</f>
        <v>0</v>
      </c>
      <c r="AS88">
        <f>IFERROR('Fat Spreads'!AJ88,"")</f>
        <v>0</v>
      </c>
      <c r="AT88">
        <f>IFERROR(('Fat Spreads'!AK88-AVERAGE('Fat Spreads'!$AK$3:$AK$4308))/STDEV('Fat Spreads'!$AK$3:$AK$4308),"")</f>
        <v>-9.2057461789832332E-2</v>
      </c>
      <c r="AU88">
        <f>IFERROR('Fat Spreads'!AK88-'Fat Spreads'!AK93,"")</f>
        <v>0</v>
      </c>
      <c r="AV88">
        <f>IFERROR('Fat Spreads'!AK88-'Fat Spreads'!AK98,"")</f>
        <v>0</v>
      </c>
      <c r="AW88">
        <f>IFERROR(AVERAGE('Fat Spreads'!AK88:AK107)+2*STDEV('Fat Spreads'!AK88:AK107),"")</f>
        <v>0</v>
      </c>
      <c r="AX88">
        <f>IFERROR(AVERAGE('Fat Spreads'!AK88:AK107)-2*STDEV('Fat Spreads'!AK88:AK107),"")</f>
        <v>0</v>
      </c>
      <c r="AY88" t="str">
        <f>IFERROR(('Fat Spreads'!AK88-(AVERAGE('Fat Spreads'!AK88:AK107)-2*STDEV('Fat Spreads'!AK88:AK107)))/(4*STDEV('Fat Spreads'!AK88:AK107)),"")</f>
        <v/>
      </c>
      <c r="AZ88" t="str">
        <f>IFERROR(4*STDEV('Fat Spreads'!AK88:AK107)/AVERAGE('Fat Spreads'!AK88:AK107),"")</f>
        <v/>
      </c>
      <c r="BA88">
        <v>42.983499999999999</v>
      </c>
      <c r="BB88">
        <f>IFERROR(SQRT((SUMSQ('Fat Spreads'!AK88:AK107)-2*SUMPRODUCT('Fat Spreads'!AK88:AK107,'Fat Spreads'!AK89:AK108)+SUMSQ('Fat Spreads'!AK89:AK108)-('Fat Spreads'!AK88-'Fat Spreads'!AK108)^2/20)/19),"")</f>
        <v>0</v>
      </c>
      <c r="BD88">
        <f>IFERROR('Fat Spreads'!V88,"")</f>
        <v>0</v>
      </c>
      <c r="BE88">
        <f>IFERROR(('Fat Spreads'!W88-AVERAGE('Fat Spreads'!$W$3:$W$4308))/STDEV('Fat Spreads'!$W$3:$W$4308),"")</f>
        <v>-9.2057461789832332E-2</v>
      </c>
      <c r="BF88">
        <f>IFERROR('Fat Spreads'!W88-'Fat Spreads'!W93,"")</f>
        <v>0</v>
      </c>
      <c r="BG88">
        <f>IFERROR('Fat Spreads'!W88-'Fat Spreads'!W98,"")</f>
        <v>0</v>
      </c>
      <c r="BH88">
        <f>IFERROR(AVERAGE('Fat Spreads'!W88:W107)+2*STDEV('Fat Spreads'!W88:W107),"")</f>
        <v>0</v>
      </c>
      <c r="BI88">
        <f>IFERROR(AVERAGE('Fat Spreads'!W88:W107)-2*STDEV('Fat Spreads'!W88:W107),"")</f>
        <v>0</v>
      </c>
      <c r="BJ88" t="str">
        <f>IFERROR(('Fat Spreads'!W88-(AVERAGE('Fat Spreads'!W88:W107)-2*STDEV('Fat Spreads'!W88:W107)))/(4*STDEV('Fat Spreads'!W88:W107)),"")</f>
        <v/>
      </c>
      <c r="BK88" t="str">
        <f>IFERROR(4*STDEV('Fat Spreads'!W88:W107)/AVERAGE('Fat Spreads'!W88:W107),"")</f>
        <v/>
      </c>
      <c r="BL88">
        <v>73.189599999999999</v>
      </c>
      <c r="BM88">
        <f>IFERROR(SQRT((SUMSQ('Fat Spreads'!W88:W107)-2*SUMPRODUCT('Fat Spreads'!W88:W107,'Fat Spreads'!W89:W108)+SUMSQ('Fat Spreads'!W89:W108)-('Fat Spreads'!W88-'Fat Spreads'!W108)^2/20)/19),"")</f>
        <v>0</v>
      </c>
      <c r="BO88">
        <f>IFERROR('Fat Spreads'!AC88,"")</f>
        <v>0</v>
      </c>
      <c r="BP88">
        <f>IFERROR(('Fat Spreads'!AD88-AVERAGE('Fat Spreads'!$AD$3:$AD$4308))/STDEV('Fat Spreads'!$AD$3:$AD$4308),"")</f>
        <v>-9.2057461789832332E-2</v>
      </c>
      <c r="BQ88">
        <f>IFERROR('Fat Spreads'!AD88-'Fat Spreads'!AD93,"")</f>
        <v>0</v>
      </c>
      <c r="BR88">
        <f>IFERROR('Fat Spreads'!AD88-'Fat Spreads'!AD98,"")</f>
        <v>0</v>
      </c>
      <c r="BS88">
        <f>IFERROR(AVERAGE('Fat Spreads'!AD88:AD107)+2*STDEV('Fat Spreads'!AD88:AD107),"")</f>
        <v>0</v>
      </c>
      <c r="BT88">
        <f>IFERROR(AVERAGE('Fat Spreads'!AD88:AD107)-2*STDEV('Fat Spreads'!AD88:AD107),"")</f>
        <v>0</v>
      </c>
      <c r="BU88" t="str">
        <f>IFERROR(('Fat Spreads'!AD88-(AVERAGE('Fat Spreads'!AD88:AD107)-2*STDEV('Fat Spreads'!AD88:AD107)))/(4*STDEV('Fat Spreads'!AD88:AD107)),"")</f>
        <v/>
      </c>
      <c r="BV88" t="str">
        <f>IFERROR(4*STDEV('Fat Spreads'!AD88:AD107)/AVERAGE('Fat Spreads'!AD88:AD107),"")</f>
        <v/>
      </c>
      <c r="BW88">
        <v>25.053599999999999</v>
      </c>
      <c r="BX88">
        <f>IFERROR(SQRT((SUMSQ('Fat Spreads'!AD88:AD107)-2*SUMPRODUCT('Fat Spreads'!AD88:AD107,'Fat Spreads'!AD89:AD108)+SUMSQ('Fat Spreads'!AD89:AD108)-('Fat Spreads'!AD88-'Fat Spreads'!AD108)^2/20)/19),"")</f>
        <v>0</v>
      </c>
      <c r="BZ88">
        <f>IFERROR('Feeder Spreads'!A88,"")</f>
        <v>0</v>
      </c>
      <c r="CA88">
        <f>IFERROR(('Feeder Spreads'!B88-AVERAGE('Feeder Spreads'!$B$3:$B$4308))/STDEV('Feeder Spreads'!$B$3:$B$4308),"")</f>
        <v>-9.2057461789832346E-2</v>
      </c>
      <c r="CB88">
        <f>IFERROR('Feeder Spreads'!B88-'Feeder Spreads'!B93,"")</f>
        <v>0</v>
      </c>
      <c r="CC88">
        <f>IFERROR('Feeder Spreads'!B88-'Feeder Spreads'!B98,"")</f>
        <v>0</v>
      </c>
      <c r="CD88">
        <f>IFERROR(AVERAGE('Feeder Spreads'!B88:B107)+2*STDEV('Feeder Spreads'!B88:B107),"")</f>
        <v>0</v>
      </c>
      <c r="CE88">
        <f>IFERROR(AVERAGE('Feeder Spreads'!B88:B107)-2*STDEV('Feeder Spreads'!B88:B107),"")</f>
        <v>0</v>
      </c>
      <c r="CF88" t="str">
        <f>IFERROR(('Feeder Spreads'!B88-(AVERAGE('Feeder Spreads'!B88:B107)-2*STDEV('Feeder Spreads'!B88:B107)))/(4*STDEV('Feeder Spreads'!B88:B107)),"")</f>
        <v/>
      </c>
      <c r="CG88" t="str">
        <f>IFERROR(4*STDEV('Feeder Spreads'!B88:B107)/AVERAGE('Feeder Spreads'!B88:B107),"")</f>
        <v/>
      </c>
      <c r="CH88">
        <v>49.215800000000002</v>
      </c>
      <c r="CI88">
        <f>IFERROR(SQRT((SUMSQ('Feeder Spreads'!B88:B107)-2*SUMPRODUCT('Feeder Spreads'!B88:B107,'Feeder Spreads'!B89:B108)+SUMSQ('Feeder Spreads'!B89:B108)-('Feeder Spreads'!B88-'Feeder Spreads'!B108)^2/20)/19),"")</f>
        <v>0</v>
      </c>
      <c r="CK88">
        <f>IFERROR('Feeder Spreads'!AX88,"")</f>
        <v>0</v>
      </c>
      <c r="CL88">
        <f>IFERROR(('Feeder Spreads'!AY88-AVERAGE('Feeder Spreads'!$AY$3:$AY$4308))/STDEV('Feeder Spreads'!$AY$3:$AY$4308),"")</f>
        <v>-9.2057461789832346E-2</v>
      </c>
      <c r="CM88">
        <f>IFERROR('Feeder Spreads'!AY88-'Feeder Spreads'!AY93,"")</f>
        <v>0</v>
      </c>
      <c r="CN88">
        <f>IFERROR('Feeder Spreads'!AY88-'Feeder Spreads'!AY98,"")</f>
        <v>0</v>
      </c>
      <c r="CO88">
        <f>IFERROR(AVERAGE('Feeder Spreads'!AY88:AY107)+2*STDEV('Feeder Spreads'!AY88:AY107),"")</f>
        <v>0</v>
      </c>
      <c r="CP88">
        <f>IFERROR(AVERAGE('Feeder Spreads'!AY88:AY107)-2*STDEV('Feeder Spreads'!AY88:AY107),"")</f>
        <v>0</v>
      </c>
      <c r="CQ88" t="str">
        <f>IFERROR(('Feeder Spreads'!AY88-(AVERAGE('Feeder Spreads'!AY88:AY107)-2*STDEV('Feeder Spreads'!AY88:AY107)))/(4*STDEV('Feeder Spreads'!AY88:AY107)),"")</f>
        <v/>
      </c>
      <c r="CR88" t="str">
        <f>IFERROR(4*STDEV('Feeder Spreads'!AY88:AY107)/AVERAGE('Feeder Spreads'!AY88:AY107),"")</f>
        <v/>
      </c>
      <c r="CS88">
        <v>41.210700000000003</v>
      </c>
      <c r="CT88">
        <f>IFERROR(SQRT((SUMSQ('Feeder Spreads'!AY88:AY107)-2*SUMPRODUCT('Feeder Spreads'!AY88:AY107,'Feeder Spreads'!AY89:AY108)+SUMSQ('Feeder Spreads'!AY89:AY108)-('Feeder Spreads'!AY88-'Feeder Spreads'!AY108)^2/20)/19),"")</f>
        <v>0</v>
      </c>
      <c r="CV88">
        <f>IFERROR('Feeder Spreads'!H88,"")</f>
        <v>0</v>
      </c>
      <c r="CW88">
        <f>IFERROR(('Feeder Spreads'!I88-AVERAGE('Feeder Spreads'!$I$3:$I$4308))/STDEV('Feeder Spreads'!$I$3:$I$4308),"")</f>
        <v>-9.2057461789832332E-2</v>
      </c>
      <c r="CX88">
        <f>IFERROR('Feeder Spreads'!I88-'Feeder Spreads'!I93,"")</f>
        <v>0</v>
      </c>
      <c r="CY88">
        <f>IFERROR('Feeder Spreads'!I88-'Feeder Spreads'!I98,"")</f>
        <v>0</v>
      </c>
      <c r="CZ88">
        <f>IFERROR(AVERAGE('Feeder Spreads'!I88:I107)+2*STDEV('Feeder Spreads'!I88:I107),"")</f>
        <v>0</v>
      </c>
      <c r="DA88">
        <f>IFERROR(AVERAGE('Feeder Spreads'!I88:I107)-2*STDEV('Feeder Spreads'!I88:I107),"")</f>
        <v>0</v>
      </c>
      <c r="DB88" t="str">
        <f>IFERROR(('Feeder Spreads'!I88-(AVERAGE('Feeder Spreads'!I88:I107)-2*STDEV('Feeder Spreads'!I88:I107)))/(4*STDEV('Feeder Spreads'!I88:I107)),"")</f>
        <v/>
      </c>
      <c r="DC88" t="str">
        <f>IFERROR(4*STDEV('Feeder Spreads'!I88:I107)/AVERAGE('Feeder Spreads'!I88:I107),"")</f>
        <v/>
      </c>
      <c r="DD88">
        <v>58.205399999999997</v>
      </c>
      <c r="DE88">
        <f>IFERROR(SQRT((SUMSQ('Feeder Spreads'!I88:I107)-2*SUMPRODUCT('Feeder Spreads'!I88:I107,'Feeder Spreads'!I89:I108)+SUMSQ('Feeder Spreads'!I89:I108)-('Feeder Spreads'!I88-'Feeder Spreads'!I108)^2/20)/19),"")</f>
        <v>0</v>
      </c>
      <c r="DG88">
        <f>IFERROR('Feeder Spreads'!O88,"")</f>
        <v>0</v>
      </c>
      <c r="DH88">
        <f>IFERROR(('Feeder Spreads'!P88-AVERAGE('Feeder Spreads'!$P$3:$P$4308))/STDEV('Feeder Spreads'!$P$3:$P$4308),"")</f>
        <v>-9.2057461789832346E-2</v>
      </c>
      <c r="DI88">
        <f>IFERROR('Feeder Spreads'!P88-'Feeder Spreads'!P93,"")</f>
        <v>0</v>
      </c>
      <c r="DJ88">
        <f>IFERROR('Feeder Spreads'!P88-'Feeder Spreads'!P98,"")</f>
        <v>0</v>
      </c>
      <c r="DK88">
        <f>IFERROR(AVERAGE('Feeder Spreads'!P88:P107)+2*STDEV('Feeder Spreads'!P88:P107),"")</f>
        <v>0</v>
      </c>
      <c r="DL88">
        <f>IFERROR(AVERAGE('Feeder Spreads'!P88:P107)-2*STDEV('Feeder Spreads'!P88:P107),"")</f>
        <v>0</v>
      </c>
      <c r="DM88" t="str">
        <f>IFERROR(('Feeder Spreads'!P88-(AVERAGE('Feeder Spreads'!P88:P107)-2*STDEV('Feeder Spreads'!P88:P107)))/(4*STDEV('Feeder Spreads'!P88:P107)),"")</f>
        <v/>
      </c>
      <c r="DN88" t="str">
        <f>IFERROR(4*STDEV('Feeder Spreads'!P88:P107)/AVERAGE('Feeder Spreads'!P88:P107),"")</f>
        <v/>
      </c>
      <c r="DO88">
        <v>59.831299999999999</v>
      </c>
      <c r="DP88">
        <f>IFERROR(SQRT((SUMSQ('Feeder Spreads'!P88:P107)-2*SUMPRODUCT('Feeder Spreads'!P88:P107,'Feeder Spreads'!P89:P108)+SUMSQ('Feeder Spreads'!P89:P108)-('Feeder Spreads'!P88-'Feeder Spreads'!P108)^2/20)/19),"")</f>
        <v>0</v>
      </c>
      <c r="DR88">
        <f>IFERROR('Feeder Spreads'!V88,"")</f>
        <v>0</v>
      </c>
      <c r="DS88">
        <f>IFERROR(('Feeder Spreads'!W88-AVERAGE('Feeder Spreads'!$W$3:$W$4308))/STDEV('Feeder Spreads'!$W$3:$W$4308),"")</f>
        <v>-9.2057461789832332E-2</v>
      </c>
      <c r="DT88">
        <f>IFERROR('Feeder Spreads'!W88-'Feeder Spreads'!W93,"")</f>
        <v>0</v>
      </c>
      <c r="DU88">
        <f>IFERROR('Feeder Spreads'!W88-'Feeder Spreads'!W98,"")</f>
        <v>0</v>
      </c>
      <c r="DV88">
        <f>IFERROR(AVERAGE('Feeder Spreads'!W88:W107)+2*STDEV('Feeder Spreads'!W88:W107),"")</f>
        <v>0</v>
      </c>
      <c r="DW88">
        <f>IFERROR(AVERAGE('Feeder Spreads'!W88:W107)-2*STDEV('Feeder Spreads'!W88:W107),"")</f>
        <v>0</v>
      </c>
      <c r="DX88" t="str">
        <f>IFERROR(('Feeder Spreads'!W88-(AVERAGE('Feeder Spreads'!W88:W107)-2*STDEV('Feeder Spreads'!W88:W107)))/(4*STDEV('Feeder Spreads'!W88:W107)),"")</f>
        <v/>
      </c>
      <c r="DY88" t="str">
        <f>IFERROR(4*STDEV('Feeder Spreads'!W88:W107)/AVERAGE('Feeder Spreads'!W88:W107),"")</f>
        <v/>
      </c>
      <c r="DZ88">
        <v>46.806699999999999</v>
      </c>
      <c r="EA88">
        <f>IFERROR(SQRT((SUMSQ('Feeder Spreads'!W88:W107)-2*SUMPRODUCT('Feeder Spreads'!W88:W107,'Feeder Spreads'!W89:W108)+SUMSQ('Feeder Spreads'!W89:W108)-('Feeder Spreads'!W88-'Feeder Spreads'!W108)^2/20)/19),"")</f>
        <v>0</v>
      </c>
      <c r="EC88">
        <f>IFERROR('Feeder Spreads'!AC88,"")</f>
        <v>0</v>
      </c>
      <c r="ED88">
        <f>IFERROR(('Feeder Spreads'!AD88-AVERAGE('Feeder Spreads'!$AD$3:$AD$4308))/STDEV('Feeder Spreads'!$AD$3:$AD$4308),"")</f>
        <v>9.2057461789832318E-2</v>
      </c>
      <c r="EE88">
        <f>IFERROR('Feeder Spreads'!AD88-'Feeder Spreads'!AD93,"")</f>
        <v>0</v>
      </c>
      <c r="EF88">
        <f>IFERROR('Feeder Spreads'!AD88-'Feeder Spreads'!AD98,"")</f>
        <v>0</v>
      </c>
      <c r="EG88">
        <f>IFERROR(AVERAGE('Feeder Spreads'!AD88:AD107)+2*STDEV('Feeder Spreads'!AD88:AD107),"")</f>
        <v>0</v>
      </c>
      <c r="EH88">
        <f>IFERROR(AVERAGE('Feeder Spreads'!AD88:AD107)-2*STDEV('Feeder Spreads'!AD88:AD107),"")</f>
        <v>0</v>
      </c>
      <c r="EI88" t="str">
        <f>IFERROR(('Feeder Spreads'!AD88-(AVERAGE('Feeder Spreads'!AD88:AD107)-2*STDEV('Feeder Spreads'!AD88:AD107)))/(4*STDEV('Feeder Spreads'!AD88:AD107)),"")</f>
        <v/>
      </c>
      <c r="EJ88" t="str">
        <f>IFERROR(4*STDEV('Feeder Spreads'!AD88:AD107)/AVERAGE('Feeder Spreads'!AD88:AD107),"")</f>
        <v/>
      </c>
      <c r="EK88">
        <v>50.014200000000002</v>
      </c>
      <c r="EL88">
        <f>IFERROR(SQRT((SUMSQ('Feeder Spreads'!AD88:AD107)-2*SUMPRODUCT('Feeder Spreads'!AD88:AD107,'Feeder Spreads'!AD89:AD108)+SUMSQ('Feeder Spreads'!AD89:AD108)-('Feeder Spreads'!AD88-'Feeder Spreads'!AD108)^2/20)/19),"")</f>
        <v>0</v>
      </c>
      <c r="EN88">
        <f>IFERROR('Feeder Spreads'!AJ88,"")</f>
        <v>0</v>
      </c>
      <c r="EO88">
        <f>IFERROR(('Feeder Spreads'!AK88-AVERAGE('Feeder Spreads'!$AK$3:$AK$4308))/STDEV('Feeder Spreads'!$AK$3:$AK$4308),"")</f>
        <v>-9.2057461789832346E-2</v>
      </c>
      <c r="EP88">
        <f>IFERROR('Feeder Spreads'!AK88-'Feeder Spreads'!AK93,"")</f>
        <v>0</v>
      </c>
      <c r="EQ88">
        <f>IFERROR('Feeder Spreads'!AK88-'Feeder Spreads'!AK98,"")</f>
        <v>0</v>
      </c>
      <c r="ER88">
        <f>IFERROR(AVERAGE('Feeder Spreads'!AK88:AK107)+2*STDEV('Feeder Spreads'!AK88:AK107),"")</f>
        <v>0</v>
      </c>
      <c r="ES88">
        <f>IFERROR(AVERAGE('Feeder Spreads'!AK88:AK107)-2*STDEV('Feeder Spreads'!AK88:AK107),"")</f>
        <v>0</v>
      </c>
      <c r="ET88" t="str">
        <f>IFERROR(('Feeder Spreads'!AK88-(AVERAGE('Feeder Spreads'!AK88:AK107)-2*STDEV('Feeder Spreads'!AK88:AK107)))/(4*STDEV('Feeder Spreads'!AK88:AK107)),"")</f>
        <v/>
      </c>
      <c r="EU88" t="str">
        <f>IFERROR(4*STDEV('Feeder Spreads'!AK88:AK107)/AVERAGE('Feeder Spreads'!AK88:AK107),"")</f>
        <v/>
      </c>
      <c r="EV88">
        <v>52.298699999999997</v>
      </c>
      <c r="EW88">
        <f>IFERROR(SQRT((SUMSQ('Feeder Spreads'!AK88:AK107)-2*SUMPRODUCT('Feeder Spreads'!AK88:AK107,'Feeder Spreads'!AK89:AK108)+SUMSQ('Feeder Spreads'!AK89:AK108)-('Feeder Spreads'!AK88-'Feeder Spreads'!AK108)^2/20)/19),"")</f>
        <v>0</v>
      </c>
      <c r="EY88">
        <f>IFERROR('Feeder Spreads'!AQ88,"")</f>
        <v>0</v>
      </c>
      <c r="EZ88">
        <f>IFERROR(('Feeder Spreads'!AR88-AVERAGE('Feeder Spreads'!$AR$3:$AR$4308))/STDEV('Feeder Spreads'!$AR$3:$AR$4308),"")</f>
        <v>-9.2057461789832332E-2</v>
      </c>
      <c r="FA88">
        <f>IFERROR('Feeder Spreads'!AR88-'Feeder Spreads'!AR93,"")</f>
        <v>0</v>
      </c>
      <c r="FB88">
        <f>IFERROR('Feeder Spreads'!AR88-'Feeder Spreads'!AR98,"")</f>
        <v>0</v>
      </c>
      <c r="FC88">
        <f>IFERROR(AVERAGE('Feeder Spreads'!AR88:AR107)+2*STDEV('Feeder Spreads'!AR88:AR107),"")</f>
        <v>0</v>
      </c>
      <c r="FD88">
        <f>IFERROR(AVERAGE('Feeder Spreads'!AR88:AR107)-2*STDEV('Feeder Spreads'!AR88:AR107),"")</f>
        <v>0</v>
      </c>
      <c r="FE88" t="str">
        <f>IFERROR(('Feeder Spreads'!AR88-(AVERAGE('Feeder Spreads'!AR88:AR107)-2*STDEV('Feeder Spreads'!AR88:AR107)))/(4*STDEV('Feeder Spreads'!AR88:AR107)),"")</f>
        <v/>
      </c>
      <c r="FF88" t="str">
        <f>IFERROR(4*STDEV('Feeder Spreads'!AR88:AR107)/AVERAGE('Feeder Spreads'!AR88:AR107),"")</f>
        <v/>
      </c>
      <c r="FG88">
        <v>56.6248</v>
      </c>
      <c r="FH88">
        <f>IFERROR(SQRT((SUMSQ('Feeder Spreads'!AR88:AR107)-2*SUMPRODUCT('Feeder Spreads'!AR88:AR107,'Feeder Spreads'!AR89:AR108)+SUMSQ('Feeder Spreads'!AR89:AR108)-('Feeder Spreads'!AR88-'Feeder Spreads'!AR108)^2/20)/19),"")</f>
        <v>0</v>
      </c>
      <c r="FJ88">
        <f>IFERROR('Fat Spreads'!AX88,"")</f>
        <v>0</v>
      </c>
      <c r="FK88">
        <f>IFERROR(('Fat Spreads'!AY88-AVERAGE('Fat Spreads'!$AY$3:$AY$4308))/STDEV('Fat Spreads'!$AY$3:$AY$4308),"")</f>
        <v>9.2057461789832332E-2</v>
      </c>
      <c r="FL88">
        <f>IFERROR('Fat Spreads'!AY88-'Fat Spreads'!AY93,"")</f>
        <v>0</v>
      </c>
      <c r="FM88">
        <f>IFERROR('Fat Spreads'!AY88-'Fat Spreads'!AY98,"")</f>
        <v>0</v>
      </c>
      <c r="FN88">
        <f>IFERROR(AVERAGE('Fat Spreads'!AY88:AY107)+2*STDEV('Fat Spreads'!AY88:AY107),"")</f>
        <v>0</v>
      </c>
      <c r="FO88">
        <f>IFERROR(AVERAGE('Fat Spreads'!AY88:AY107)-2*STDEV('Fat Spreads'!AY88:AY107),"")</f>
        <v>0</v>
      </c>
      <c r="FP88" t="str">
        <f>IFERROR(('Fat Spreads'!AY88-(AVERAGE('Fat Spreads'!AY88:AY107)-2*STDEV('Fat Spreads'!AY88:AY107)))/(4*STDEV('Fat Spreads'!AY88:AY107)),"")</f>
        <v/>
      </c>
      <c r="FQ88" t="str">
        <f>IFERROR(4*STDEV('Fat Spreads'!AY88:AY107)/AVERAGE('Fat Spreads'!AY88:AY107),"")</f>
        <v/>
      </c>
      <c r="FR88">
        <v>40.516100000000002</v>
      </c>
      <c r="FS88">
        <f>IFERROR(SQRT((SUMSQ('Fat Spreads'!AY88:AY107)-2*SUMPRODUCT('Fat Spreads'!AY88:AY107,'Fat Spreads'!AY89:AY108)+SUMSQ('Fat Spreads'!AY89:AY108)-('Fat Spreads'!AY88-'Fat Spreads'!AY108)^2/20)/19),"")</f>
        <v>0</v>
      </c>
      <c r="FU88">
        <f>IFERROR('Fat Spreads'!BE88,"")</f>
        <v>0</v>
      </c>
      <c r="FV88">
        <f>IFERROR(('Fat Spreads'!BF88-AVERAGE('Fat Spreads'!$BF$3:$BF$4308))/STDEV('Fat Spreads'!$BF$3:$BF$4308),"")</f>
        <v>9.2057461789832332E-2</v>
      </c>
      <c r="FW88">
        <f>IFERROR('Fat Spreads'!BF88-'Fat Spreads'!BF93,"")</f>
        <v>0</v>
      </c>
      <c r="FX88">
        <f>IFERROR('Fat Spreads'!BF88-'Fat Spreads'!BF98,"")</f>
        <v>0</v>
      </c>
      <c r="FY88">
        <f>IFERROR(AVERAGE('Fat Spreads'!BF88:BF107)+2*STDEV('Fat Spreads'!BF88:BF107),"")</f>
        <v>0</v>
      </c>
      <c r="FZ88">
        <f>IFERROR(AVERAGE('Fat Spreads'!BF88:BF107)-2*STDEV('Fat Spreads'!BF88:BF107),"")</f>
        <v>0</v>
      </c>
      <c r="GA88" t="str">
        <f>IFERROR(('Fat Spreads'!BF88-(AVERAGE('Fat Spreads'!BF88:BF107)-2*STDEV('Fat Spreads'!BF88:BF107)))/(4*STDEV('Fat Spreads'!BF88:BF107)),"")</f>
        <v/>
      </c>
      <c r="GB88" t="str">
        <f>IFERROR(4*STDEV('Fat Spreads'!BF88:BF107)/AVERAGE('Fat Spreads'!BF88:BF107),"")</f>
        <v/>
      </c>
      <c r="GC88">
        <v>39.334299999999999</v>
      </c>
      <c r="GD88">
        <f>IFERROR(SQRT((SUMSQ('Fat Spreads'!BF88:BF107)-2*SUMPRODUCT('Fat Spreads'!BF88:BF107,'Fat Spreads'!BF89:BF108)+SUMSQ('Fat Spreads'!BF89:BF108)-('Fat Spreads'!BF88-'Fat Spreads'!BF108)^2/20)/19),"")</f>
        <v>0</v>
      </c>
    </row>
    <row r="89" spans="1:186" x14ac:dyDescent="0.25">
      <c r="A89">
        <f>IFERROR('Fat Spreads'!A89,"")</f>
        <v>0</v>
      </c>
      <c r="B89">
        <f>IFERROR(('Fat Spreads'!B89-AVERAGE('Fat Spreads'!$B$3:$B$4308))/STDEV('Fat Spreads'!$B$3:$B$4308),"")</f>
        <v>9.2057461789832346E-2</v>
      </c>
      <c r="C89">
        <f>IFERROR('Fat Spreads'!B89-'Fat Spreads'!B94,"")</f>
        <v>0</v>
      </c>
      <c r="D89">
        <f>IFERROR('Fat Spreads'!B89-'Fat Spreads'!B99,"")</f>
        <v>0</v>
      </c>
      <c r="E89">
        <f>IFERROR(AVERAGE('Fat Spreads'!B89:B108)+2*STDEV('Fat Spreads'!B89:B108),"")</f>
        <v>0</v>
      </c>
      <c r="F89">
        <f>IFERROR(AVERAGE('Fat Spreads'!B89:B108)-2*STDEV('Fat Spreads'!B89:B108),"")</f>
        <v>0</v>
      </c>
      <c r="G89" t="str">
        <f>IFERROR(('Fat Spreads'!B89-(AVERAGE('Fat Spreads'!B89:B108)-2*STDEV('Fat Spreads'!B89:B108)))/(4*STDEV('Fat Spreads'!B89:B108)),"")</f>
        <v/>
      </c>
      <c r="H89" t="str">
        <f>IFERROR(4*STDEV('Fat Spreads'!B89:B108)/AVERAGE('Fat Spreads'!B89:B108),"")</f>
        <v/>
      </c>
      <c r="I89">
        <v>32.862699999999997</v>
      </c>
      <c r="J89">
        <f>IFERROR(SQRT((SUMSQ('Fat Spreads'!B89:B108)-2*SUMPRODUCT('Fat Spreads'!B89:B108,'Fat Spreads'!B90:B109)+SUMSQ('Fat Spreads'!B90:B109)-('Fat Spreads'!B89-'Fat Spreads'!B109)^2/20)/19),"")</f>
        <v>0</v>
      </c>
      <c r="L89">
        <f>IFERROR('Fat Spreads'!H89,"")</f>
        <v>0</v>
      </c>
      <c r="M89">
        <f>IFERROR(('Fat Spreads'!I89-AVERAGE('Fat Spreads'!$I$3:$I$4308))/STDEV('Fat Spreads'!$I$3:$I$4308),"")</f>
        <v>-9.2057461789832332E-2</v>
      </c>
      <c r="N89">
        <f>IFERROR('Fat Spreads'!I89-'Fat Spreads'!I94,"")</f>
        <v>0</v>
      </c>
      <c r="O89">
        <f>IFERROR('Fat Spreads'!I89-'Fat Spreads'!I99,"")</f>
        <v>0</v>
      </c>
      <c r="P89">
        <f>IFERROR(AVERAGE('Fat Spreads'!I89:I108)+2*STDEV('Fat Spreads'!I89:I108),"")</f>
        <v>0</v>
      </c>
      <c r="Q89">
        <f>IFERROR(AVERAGE('Fat Spreads'!I89:I108)-2*STDEV('Fat Spreads'!I89:I108),"")</f>
        <v>0</v>
      </c>
      <c r="R89" t="str">
        <f>IFERROR(('Fat Spreads'!I89-(AVERAGE('Fat Spreads'!I89:I108)-2*STDEV('Fat Spreads'!I89:I108)))/(4*STDEV('Fat Spreads'!I89:I108)),"")</f>
        <v/>
      </c>
      <c r="S89" t="str">
        <f>IFERROR(4*STDEV('Fat Spreads'!I89:I108)/AVERAGE('Fat Spreads'!I89:I108),"")</f>
        <v/>
      </c>
      <c r="T89">
        <v>37.173499999999997</v>
      </c>
      <c r="U89">
        <f>IFERROR(SQRT((SUMSQ('Fat Spreads'!I89:I108)-2*SUMPRODUCT('Fat Spreads'!I89:I108,'Fat Spreads'!I90:I109)+SUMSQ('Fat Spreads'!I90:I109)-('Fat Spreads'!I89-'Fat Spreads'!I109)^2/20)/19),"")</f>
        <v>0</v>
      </c>
      <c r="W89">
        <f>IFERROR('Fat Spreads'!AQ89,"")</f>
        <v>0</v>
      </c>
      <c r="X89">
        <f>IFERROR(('Fat Spreads'!AR89-AVERAGE('Fat Spreads'!$AR$3:$AR$4308))/STDEV('Fat Spreads'!$AR$3:$AR$4308),"")</f>
        <v>-9.2057461789832346E-2</v>
      </c>
      <c r="Y89">
        <f>IFERROR('Fat Spreads'!AR89-'Fat Spreads'!AR94,"")</f>
        <v>0</v>
      </c>
      <c r="Z89">
        <f>IFERROR('Fat Spreads'!AR89-'Fat Spreads'!AR99,"")</f>
        <v>0</v>
      </c>
      <c r="AA89">
        <f>IFERROR(AVERAGE('Fat Spreads'!AR89:AR108)+2*STDEV('Fat Spreads'!AR89:AR108),"")</f>
        <v>0</v>
      </c>
      <c r="AB89">
        <f>IFERROR(AVERAGE('Fat Spreads'!AR89:AR108)-2*STDEV('Fat Spreads'!AR89:AR108),"")</f>
        <v>0</v>
      </c>
      <c r="AC89" t="str">
        <f>IFERROR(('Fat Spreads'!AR89-(AVERAGE('Fat Spreads'!AR89:AR108)-2*STDEV('Fat Spreads'!AR89:AR108)))/(4*STDEV('Fat Spreads'!AR89:AR108)),"")</f>
        <v/>
      </c>
      <c r="AD89" t="str">
        <f>IFERROR(4*STDEV('Fat Spreads'!AR89:AR108)/AVERAGE('Fat Spreads'!AR89:AR108),"")</f>
        <v/>
      </c>
      <c r="AE89">
        <v>52.993299999999998</v>
      </c>
      <c r="AF89">
        <f>IFERROR(SQRT((SUMSQ('Fat Spreads'!AR89:AR108)-2*SUMPRODUCT('Fat Spreads'!AR89:AR108,'Fat Spreads'!AR90:AR109)+SUMSQ('Fat Spreads'!AR90:AR109)-('Fat Spreads'!AR89-'Fat Spreads'!AR109)^2/20)/19),"")</f>
        <v>0</v>
      </c>
      <c r="AH89">
        <f>IFERROR('Fat Spreads'!O89,"")</f>
        <v>0</v>
      </c>
      <c r="AI89">
        <f>IFERROR(('Fat Spreads'!P89-AVERAGE('Fat Spreads'!$P$3:$P$4308))/STDEV('Fat Spreads'!$P$3:$P$4308),"")</f>
        <v>-9.2057461789832332E-2</v>
      </c>
      <c r="AJ89">
        <f>IFERROR('Fat Spreads'!P89-'Fat Spreads'!P94,"")</f>
        <v>0</v>
      </c>
      <c r="AK89">
        <f>IFERROR('Fat Spreads'!P89-'Fat Spreads'!P99,"")</f>
        <v>0</v>
      </c>
      <c r="AL89">
        <f>IFERROR(AVERAGE('Fat Spreads'!P89:P108)+2*STDEV('Fat Spreads'!P89:P108),"")</f>
        <v>0</v>
      </c>
      <c r="AM89">
        <f>IFERROR(AVERAGE('Fat Spreads'!P89:P108)-2*STDEV('Fat Spreads'!P89:P108),"")</f>
        <v>0</v>
      </c>
      <c r="AN89" t="str">
        <f>IFERROR(('Fat Spreads'!P89-(AVERAGE('Fat Spreads'!P89:P108)-2*STDEV('Fat Spreads'!P89:P108)))/(4*STDEV('Fat Spreads'!P89:P108)),"")</f>
        <v/>
      </c>
      <c r="AO89" t="str">
        <f>IFERROR(4*STDEV('Fat Spreads'!P89:P108)/AVERAGE('Fat Spreads'!P89:P108),"")</f>
        <v/>
      </c>
      <c r="AP89">
        <v>53.7425</v>
      </c>
      <c r="AQ89">
        <f>IFERROR(SQRT((SUMSQ('Fat Spreads'!P89:P108)-2*SUMPRODUCT('Fat Spreads'!P89:P108,'Fat Spreads'!P90:P109)+SUMSQ('Fat Spreads'!P90:P109)-('Fat Spreads'!P89-'Fat Spreads'!P109)^2/20)/19),"")</f>
        <v>0</v>
      </c>
      <c r="AS89">
        <f>IFERROR('Fat Spreads'!AJ89,"")</f>
        <v>0</v>
      </c>
      <c r="AT89">
        <f>IFERROR(('Fat Spreads'!AK89-AVERAGE('Fat Spreads'!$AK$3:$AK$4308))/STDEV('Fat Spreads'!$AK$3:$AK$4308),"")</f>
        <v>-9.2057461789832332E-2</v>
      </c>
      <c r="AU89">
        <f>IFERROR('Fat Spreads'!AK89-'Fat Spreads'!AK94,"")</f>
        <v>0</v>
      </c>
      <c r="AV89">
        <f>IFERROR('Fat Spreads'!AK89-'Fat Spreads'!AK99,"")</f>
        <v>0</v>
      </c>
      <c r="AW89">
        <f>IFERROR(AVERAGE('Fat Spreads'!AK89:AK108)+2*STDEV('Fat Spreads'!AK89:AK108),"")</f>
        <v>0</v>
      </c>
      <c r="AX89">
        <f>IFERROR(AVERAGE('Fat Spreads'!AK89:AK108)-2*STDEV('Fat Spreads'!AK89:AK108),"")</f>
        <v>0</v>
      </c>
      <c r="AY89" t="str">
        <f>IFERROR(('Fat Spreads'!AK89-(AVERAGE('Fat Spreads'!AK89:AK108)-2*STDEV('Fat Spreads'!AK89:AK108)))/(4*STDEV('Fat Spreads'!AK89:AK108)),"")</f>
        <v/>
      </c>
      <c r="AZ89" t="str">
        <f>IFERROR(4*STDEV('Fat Spreads'!AK89:AK108)/AVERAGE('Fat Spreads'!AK89:AK108),"")</f>
        <v/>
      </c>
      <c r="BA89">
        <v>44.326099999999997</v>
      </c>
      <c r="BB89">
        <f>IFERROR(SQRT((SUMSQ('Fat Spreads'!AK89:AK108)-2*SUMPRODUCT('Fat Spreads'!AK89:AK108,'Fat Spreads'!AK90:AK109)+SUMSQ('Fat Spreads'!AK90:AK109)-('Fat Spreads'!AK89-'Fat Spreads'!AK109)^2/20)/19),"")</f>
        <v>0</v>
      </c>
      <c r="BD89">
        <f>IFERROR('Fat Spreads'!V89,"")</f>
        <v>0</v>
      </c>
      <c r="BE89">
        <f>IFERROR(('Fat Spreads'!W89-AVERAGE('Fat Spreads'!$W$3:$W$4308))/STDEV('Fat Spreads'!$W$3:$W$4308),"")</f>
        <v>-9.2057461789832332E-2</v>
      </c>
      <c r="BF89">
        <f>IFERROR('Fat Spreads'!W89-'Fat Spreads'!W94,"")</f>
        <v>0</v>
      </c>
      <c r="BG89">
        <f>IFERROR('Fat Spreads'!W89-'Fat Spreads'!W99,"")</f>
        <v>0</v>
      </c>
      <c r="BH89">
        <f>IFERROR(AVERAGE('Fat Spreads'!W89:W108)+2*STDEV('Fat Spreads'!W89:W108),"")</f>
        <v>0</v>
      </c>
      <c r="BI89">
        <f>IFERROR(AVERAGE('Fat Spreads'!W89:W108)-2*STDEV('Fat Spreads'!W89:W108),"")</f>
        <v>0</v>
      </c>
      <c r="BJ89" t="str">
        <f>IFERROR(('Fat Spreads'!W89-(AVERAGE('Fat Spreads'!W89:W108)-2*STDEV('Fat Spreads'!W89:W108)))/(4*STDEV('Fat Spreads'!W89:W108)),"")</f>
        <v/>
      </c>
      <c r="BK89" t="str">
        <f>IFERROR(4*STDEV('Fat Spreads'!W89:W108)/AVERAGE('Fat Spreads'!W89:W108),"")</f>
        <v/>
      </c>
      <c r="BL89">
        <v>51.783099999999997</v>
      </c>
      <c r="BM89">
        <f>IFERROR(SQRT((SUMSQ('Fat Spreads'!W89:W108)-2*SUMPRODUCT('Fat Spreads'!W89:W108,'Fat Spreads'!W90:W109)+SUMSQ('Fat Spreads'!W90:W109)-('Fat Spreads'!W89-'Fat Spreads'!W109)^2/20)/19),"")</f>
        <v>0</v>
      </c>
      <c r="BO89">
        <f>IFERROR('Fat Spreads'!AC89,"")</f>
        <v>0</v>
      </c>
      <c r="BP89">
        <f>IFERROR(('Fat Spreads'!AD89-AVERAGE('Fat Spreads'!$AD$3:$AD$4308))/STDEV('Fat Spreads'!$AD$3:$AD$4308),"")</f>
        <v>-9.2057461789832332E-2</v>
      </c>
      <c r="BQ89">
        <f>IFERROR('Fat Spreads'!AD89-'Fat Spreads'!AD94,"")</f>
        <v>0</v>
      </c>
      <c r="BR89">
        <f>IFERROR('Fat Spreads'!AD89-'Fat Spreads'!AD99,"")</f>
        <v>0</v>
      </c>
      <c r="BS89">
        <f>IFERROR(AVERAGE('Fat Spreads'!AD89:AD108)+2*STDEV('Fat Spreads'!AD89:AD108),"")</f>
        <v>0</v>
      </c>
      <c r="BT89">
        <f>IFERROR(AVERAGE('Fat Spreads'!AD89:AD108)-2*STDEV('Fat Spreads'!AD89:AD108),"")</f>
        <v>0</v>
      </c>
      <c r="BU89" t="str">
        <f>IFERROR(('Fat Spreads'!AD89-(AVERAGE('Fat Spreads'!AD89:AD108)-2*STDEV('Fat Spreads'!AD89:AD108)))/(4*STDEV('Fat Spreads'!AD89:AD108)),"")</f>
        <v/>
      </c>
      <c r="BV89" t="str">
        <f>IFERROR(4*STDEV('Fat Spreads'!AD89:AD108)/AVERAGE('Fat Spreads'!AD89:AD108),"")</f>
        <v/>
      </c>
      <c r="BW89">
        <v>56.482700000000001</v>
      </c>
      <c r="BX89">
        <f>IFERROR(SQRT((SUMSQ('Fat Spreads'!AD89:AD108)-2*SUMPRODUCT('Fat Spreads'!AD89:AD108,'Fat Spreads'!AD90:AD109)+SUMSQ('Fat Spreads'!AD90:AD109)-('Fat Spreads'!AD89-'Fat Spreads'!AD109)^2/20)/19),"")</f>
        <v>0</v>
      </c>
      <c r="BZ89">
        <f>IFERROR('Feeder Spreads'!A89,"")</f>
        <v>0</v>
      </c>
      <c r="CA89">
        <f>IFERROR(('Feeder Spreads'!B89-AVERAGE('Feeder Spreads'!$B$3:$B$4308))/STDEV('Feeder Spreads'!$B$3:$B$4308),"")</f>
        <v>-9.2057461789832346E-2</v>
      </c>
      <c r="CB89">
        <f>IFERROR('Feeder Spreads'!B89-'Feeder Spreads'!B94,"")</f>
        <v>0</v>
      </c>
      <c r="CC89">
        <f>IFERROR('Feeder Spreads'!B89-'Feeder Spreads'!B99,"")</f>
        <v>0</v>
      </c>
      <c r="CD89">
        <f>IFERROR(AVERAGE('Feeder Spreads'!B89:B108)+2*STDEV('Feeder Spreads'!B89:B108),"")</f>
        <v>0</v>
      </c>
      <c r="CE89">
        <f>IFERROR(AVERAGE('Feeder Spreads'!B89:B108)-2*STDEV('Feeder Spreads'!B89:B108),"")</f>
        <v>0</v>
      </c>
      <c r="CF89" t="str">
        <f>IFERROR(('Feeder Spreads'!B89-(AVERAGE('Feeder Spreads'!B89:B108)-2*STDEV('Feeder Spreads'!B89:B108)))/(4*STDEV('Feeder Spreads'!B89:B108)),"")</f>
        <v/>
      </c>
      <c r="CG89" t="str">
        <f>IFERROR(4*STDEV('Feeder Spreads'!B89:B108)/AVERAGE('Feeder Spreads'!B89:B108),"")</f>
        <v/>
      </c>
      <c r="CH89">
        <v>51.354799999999997</v>
      </c>
      <c r="CI89">
        <f>IFERROR(SQRT((SUMSQ('Feeder Spreads'!B89:B108)-2*SUMPRODUCT('Feeder Spreads'!B89:B108,'Feeder Spreads'!B90:B109)+SUMSQ('Feeder Spreads'!B90:B109)-('Feeder Spreads'!B89-'Feeder Spreads'!B109)^2/20)/19),"")</f>
        <v>0</v>
      </c>
      <c r="CK89">
        <f>IFERROR('Feeder Spreads'!AX89,"")</f>
        <v>0</v>
      </c>
      <c r="CL89">
        <f>IFERROR(('Feeder Spreads'!AY89-AVERAGE('Feeder Spreads'!$AY$3:$AY$4308))/STDEV('Feeder Spreads'!$AY$3:$AY$4308),"")</f>
        <v>-9.2057461789832346E-2</v>
      </c>
      <c r="CM89">
        <f>IFERROR('Feeder Spreads'!AY89-'Feeder Spreads'!AY94,"")</f>
        <v>0</v>
      </c>
      <c r="CN89">
        <f>IFERROR('Feeder Spreads'!AY89-'Feeder Spreads'!AY99,"")</f>
        <v>0</v>
      </c>
      <c r="CO89">
        <f>IFERROR(AVERAGE('Feeder Spreads'!AY89:AY108)+2*STDEV('Feeder Spreads'!AY89:AY108),"")</f>
        <v>0</v>
      </c>
      <c r="CP89">
        <f>IFERROR(AVERAGE('Feeder Spreads'!AY89:AY108)-2*STDEV('Feeder Spreads'!AY89:AY108),"")</f>
        <v>0</v>
      </c>
      <c r="CQ89" t="str">
        <f>IFERROR(('Feeder Spreads'!AY89-(AVERAGE('Feeder Spreads'!AY89:AY108)-2*STDEV('Feeder Spreads'!AY89:AY108)))/(4*STDEV('Feeder Spreads'!AY89:AY108)),"")</f>
        <v/>
      </c>
      <c r="CR89" t="str">
        <f>IFERROR(4*STDEV('Feeder Spreads'!AY89:AY108)/AVERAGE('Feeder Spreads'!AY89:AY108),"")</f>
        <v/>
      </c>
      <c r="CS89">
        <v>38.741100000000003</v>
      </c>
      <c r="CT89">
        <f>IFERROR(SQRT((SUMSQ('Feeder Spreads'!AY89:AY108)-2*SUMPRODUCT('Feeder Spreads'!AY89:AY108,'Feeder Spreads'!AY90:AY109)+SUMSQ('Feeder Spreads'!AY90:AY109)-('Feeder Spreads'!AY89-'Feeder Spreads'!AY109)^2/20)/19),"")</f>
        <v>0</v>
      </c>
      <c r="CV89">
        <f>IFERROR('Feeder Spreads'!H89,"")</f>
        <v>0</v>
      </c>
      <c r="CW89">
        <f>IFERROR(('Feeder Spreads'!I89-AVERAGE('Feeder Spreads'!$I$3:$I$4308))/STDEV('Feeder Spreads'!$I$3:$I$4308),"")</f>
        <v>-9.2057461789832332E-2</v>
      </c>
      <c r="CX89">
        <f>IFERROR('Feeder Spreads'!I89-'Feeder Spreads'!I94,"")</f>
        <v>0</v>
      </c>
      <c r="CY89">
        <f>IFERROR('Feeder Spreads'!I89-'Feeder Spreads'!I99,"")</f>
        <v>0</v>
      </c>
      <c r="CZ89">
        <f>IFERROR(AVERAGE('Feeder Spreads'!I89:I108)+2*STDEV('Feeder Spreads'!I89:I108),"")</f>
        <v>0</v>
      </c>
      <c r="DA89">
        <f>IFERROR(AVERAGE('Feeder Spreads'!I89:I108)-2*STDEV('Feeder Spreads'!I89:I108),"")</f>
        <v>0</v>
      </c>
      <c r="DB89" t="str">
        <f>IFERROR(('Feeder Spreads'!I89-(AVERAGE('Feeder Spreads'!I89:I108)-2*STDEV('Feeder Spreads'!I89:I108)))/(4*STDEV('Feeder Spreads'!I89:I108)),"")</f>
        <v/>
      </c>
      <c r="DC89" t="str">
        <f>IFERROR(4*STDEV('Feeder Spreads'!I89:I108)/AVERAGE('Feeder Spreads'!I89:I108),"")</f>
        <v/>
      </c>
      <c r="DD89">
        <v>57.8001</v>
      </c>
      <c r="DE89">
        <f>IFERROR(SQRT((SUMSQ('Feeder Spreads'!I89:I108)-2*SUMPRODUCT('Feeder Spreads'!I89:I108,'Feeder Spreads'!I90:I109)+SUMSQ('Feeder Spreads'!I90:I109)-('Feeder Spreads'!I89-'Feeder Spreads'!I109)^2/20)/19),"")</f>
        <v>0</v>
      </c>
      <c r="DG89">
        <f>IFERROR('Feeder Spreads'!O89,"")</f>
        <v>0</v>
      </c>
      <c r="DH89">
        <f>IFERROR(('Feeder Spreads'!P89-AVERAGE('Feeder Spreads'!$P$3:$P$4308))/STDEV('Feeder Spreads'!$P$3:$P$4308),"")</f>
        <v>-9.2057461789832346E-2</v>
      </c>
      <c r="DI89">
        <f>IFERROR('Feeder Spreads'!P89-'Feeder Spreads'!P94,"")</f>
        <v>0</v>
      </c>
      <c r="DJ89">
        <f>IFERROR('Feeder Spreads'!P89-'Feeder Spreads'!P99,"")</f>
        <v>0</v>
      </c>
      <c r="DK89">
        <f>IFERROR(AVERAGE('Feeder Spreads'!P89:P108)+2*STDEV('Feeder Spreads'!P89:P108),"")</f>
        <v>0</v>
      </c>
      <c r="DL89">
        <f>IFERROR(AVERAGE('Feeder Spreads'!P89:P108)-2*STDEV('Feeder Spreads'!P89:P108),"")</f>
        <v>0</v>
      </c>
      <c r="DM89" t="str">
        <f>IFERROR(('Feeder Spreads'!P89-(AVERAGE('Feeder Spreads'!P89:P108)-2*STDEV('Feeder Spreads'!P89:P108)))/(4*STDEV('Feeder Spreads'!P89:P108)),"")</f>
        <v/>
      </c>
      <c r="DN89" t="str">
        <f>IFERROR(4*STDEV('Feeder Spreads'!P89:P108)/AVERAGE('Feeder Spreads'!P89:P108),"")</f>
        <v/>
      </c>
      <c r="DO89">
        <v>61.955300000000001</v>
      </c>
      <c r="DP89">
        <f>IFERROR(SQRT((SUMSQ('Feeder Spreads'!P89:P108)-2*SUMPRODUCT('Feeder Spreads'!P89:P108,'Feeder Spreads'!P90:P109)+SUMSQ('Feeder Spreads'!P90:P109)-('Feeder Spreads'!P89-'Feeder Spreads'!P109)^2/20)/19),"")</f>
        <v>0</v>
      </c>
      <c r="DR89">
        <f>IFERROR('Feeder Spreads'!V89,"")</f>
        <v>0</v>
      </c>
      <c r="DS89">
        <f>IFERROR(('Feeder Spreads'!W89-AVERAGE('Feeder Spreads'!$W$3:$W$4308))/STDEV('Feeder Spreads'!$W$3:$W$4308),"")</f>
        <v>-9.2057461789832332E-2</v>
      </c>
      <c r="DT89">
        <f>IFERROR('Feeder Spreads'!W89-'Feeder Spreads'!W94,"")</f>
        <v>0</v>
      </c>
      <c r="DU89">
        <f>IFERROR('Feeder Spreads'!W89-'Feeder Spreads'!W99,"")</f>
        <v>0</v>
      </c>
      <c r="DV89">
        <f>IFERROR(AVERAGE('Feeder Spreads'!W89:W108)+2*STDEV('Feeder Spreads'!W89:W108),"")</f>
        <v>0</v>
      </c>
      <c r="DW89">
        <f>IFERROR(AVERAGE('Feeder Spreads'!W89:W108)-2*STDEV('Feeder Spreads'!W89:W108),"")</f>
        <v>0</v>
      </c>
      <c r="DX89" t="str">
        <f>IFERROR(('Feeder Spreads'!W89-(AVERAGE('Feeder Spreads'!W89:W108)-2*STDEV('Feeder Spreads'!W89:W108)))/(4*STDEV('Feeder Spreads'!W89:W108)),"")</f>
        <v/>
      </c>
      <c r="DY89" t="str">
        <f>IFERROR(4*STDEV('Feeder Spreads'!W89:W108)/AVERAGE('Feeder Spreads'!W89:W108),"")</f>
        <v/>
      </c>
      <c r="DZ89">
        <v>48.910299999999999</v>
      </c>
      <c r="EA89">
        <f>IFERROR(SQRT((SUMSQ('Feeder Spreads'!W89:W108)-2*SUMPRODUCT('Feeder Spreads'!W89:W108,'Feeder Spreads'!W90:W109)+SUMSQ('Feeder Spreads'!W90:W109)-('Feeder Spreads'!W89-'Feeder Spreads'!W109)^2/20)/19),"")</f>
        <v>0</v>
      </c>
      <c r="EC89">
        <f>IFERROR('Feeder Spreads'!AC89,"")</f>
        <v>0</v>
      </c>
      <c r="ED89">
        <f>IFERROR(('Feeder Spreads'!AD89-AVERAGE('Feeder Spreads'!$AD$3:$AD$4308))/STDEV('Feeder Spreads'!$AD$3:$AD$4308),"")</f>
        <v>9.2057461789832318E-2</v>
      </c>
      <c r="EE89">
        <f>IFERROR('Feeder Spreads'!AD89-'Feeder Spreads'!AD94,"")</f>
        <v>0</v>
      </c>
      <c r="EF89">
        <f>IFERROR('Feeder Spreads'!AD89-'Feeder Spreads'!AD99,"")</f>
        <v>0</v>
      </c>
      <c r="EG89">
        <f>IFERROR(AVERAGE('Feeder Spreads'!AD89:AD108)+2*STDEV('Feeder Spreads'!AD89:AD108),"")</f>
        <v>0</v>
      </c>
      <c r="EH89">
        <f>IFERROR(AVERAGE('Feeder Spreads'!AD89:AD108)-2*STDEV('Feeder Spreads'!AD89:AD108),"")</f>
        <v>0</v>
      </c>
      <c r="EI89" t="str">
        <f>IFERROR(('Feeder Spreads'!AD89-(AVERAGE('Feeder Spreads'!AD89:AD108)-2*STDEV('Feeder Spreads'!AD89:AD108)))/(4*STDEV('Feeder Spreads'!AD89:AD108)),"")</f>
        <v/>
      </c>
      <c r="EJ89" t="str">
        <f>IFERROR(4*STDEV('Feeder Spreads'!AD89:AD108)/AVERAGE('Feeder Spreads'!AD89:AD108),"")</f>
        <v/>
      </c>
      <c r="EK89">
        <v>47.715299999999999</v>
      </c>
      <c r="EL89">
        <f>IFERROR(SQRT((SUMSQ('Feeder Spreads'!AD89:AD108)-2*SUMPRODUCT('Feeder Spreads'!AD89:AD108,'Feeder Spreads'!AD90:AD109)+SUMSQ('Feeder Spreads'!AD90:AD109)-('Feeder Spreads'!AD89-'Feeder Spreads'!AD109)^2/20)/19),"")</f>
        <v>0</v>
      </c>
      <c r="EN89">
        <f>IFERROR('Feeder Spreads'!AJ89,"")</f>
        <v>0</v>
      </c>
      <c r="EO89">
        <f>IFERROR(('Feeder Spreads'!AK89-AVERAGE('Feeder Spreads'!$AK$3:$AK$4308))/STDEV('Feeder Spreads'!$AK$3:$AK$4308),"")</f>
        <v>-9.2057461789832346E-2</v>
      </c>
      <c r="EP89">
        <f>IFERROR('Feeder Spreads'!AK89-'Feeder Spreads'!AK94,"")</f>
        <v>0</v>
      </c>
      <c r="EQ89">
        <f>IFERROR('Feeder Spreads'!AK89-'Feeder Spreads'!AK99,"")</f>
        <v>0</v>
      </c>
      <c r="ER89">
        <f>IFERROR(AVERAGE('Feeder Spreads'!AK89:AK108)+2*STDEV('Feeder Spreads'!AK89:AK108),"")</f>
        <v>0</v>
      </c>
      <c r="ES89">
        <f>IFERROR(AVERAGE('Feeder Spreads'!AK89:AK108)-2*STDEV('Feeder Spreads'!AK89:AK108),"")</f>
        <v>0</v>
      </c>
      <c r="ET89" t="str">
        <f>IFERROR(('Feeder Spreads'!AK89-(AVERAGE('Feeder Spreads'!AK89:AK108)-2*STDEV('Feeder Spreads'!AK89:AK108)))/(4*STDEV('Feeder Spreads'!AK89:AK108)),"")</f>
        <v/>
      </c>
      <c r="EU89" t="str">
        <f>IFERROR(4*STDEV('Feeder Spreads'!AK89:AK108)/AVERAGE('Feeder Spreads'!AK89:AK108),"")</f>
        <v/>
      </c>
      <c r="EV89">
        <v>53.254300000000001</v>
      </c>
      <c r="EW89">
        <f>IFERROR(SQRT((SUMSQ('Feeder Spreads'!AK89:AK108)-2*SUMPRODUCT('Feeder Spreads'!AK89:AK108,'Feeder Spreads'!AK90:AK109)+SUMSQ('Feeder Spreads'!AK90:AK109)-('Feeder Spreads'!AK89-'Feeder Spreads'!AK109)^2/20)/19),"")</f>
        <v>0</v>
      </c>
      <c r="EY89">
        <f>IFERROR('Feeder Spreads'!AQ89,"")</f>
        <v>0</v>
      </c>
      <c r="EZ89">
        <f>IFERROR(('Feeder Spreads'!AR89-AVERAGE('Feeder Spreads'!$AR$3:$AR$4308))/STDEV('Feeder Spreads'!$AR$3:$AR$4308),"")</f>
        <v>-9.2057461789832332E-2</v>
      </c>
      <c r="FA89">
        <f>IFERROR('Feeder Spreads'!AR89-'Feeder Spreads'!AR94,"")</f>
        <v>0</v>
      </c>
      <c r="FB89">
        <f>IFERROR('Feeder Spreads'!AR89-'Feeder Spreads'!AR99,"")</f>
        <v>0</v>
      </c>
      <c r="FC89">
        <f>IFERROR(AVERAGE('Feeder Spreads'!AR89:AR108)+2*STDEV('Feeder Spreads'!AR89:AR108),"")</f>
        <v>0</v>
      </c>
      <c r="FD89">
        <f>IFERROR(AVERAGE('Feeder Spreads'!AR89:AR108)-2*STDEV('Feeder Spreads'!AR89:AR108),"")</f>
        <v>0</v>
      </c>
      <c r="FE89" t="str">
        <f>IFERROR(('Feeder Spreads'!AR89-(AVERAGE('Feeder Spreads'!AR89:AR108)-2*STDEV('Feeder Spreads'!AR89:AR108)))/(4*STDEV('Feeder Spreads'!AR89:AR108)),"")</f>
        <v/>
      </c>
      <c r="FF89" t="str">
        <f>IFERROR(4*STDEV('Feeder Spreads'!AR89:AR108)/AVERAGE('Feeder Spreads'!AR89:AR108),"")</f>
        <v/>
      </c>
      <c r="FG89">
        <v>56.907400000000003</v>
      </c>
      <c r="FH89">
        <f>IFERROR(SQRT((SUMSQ('Feeder Spreads'!AR89:AR108)-2*SUMPRODUCT('Feeder Spreads'!AR89:AR108,'Feeder Spreads'!AR90:AR109)+SUMSQ('Feeder Spreads'!AR90:AR109)-('Feeder Spreads'!AR89-'Feeder Spreads'!AR109)^2/20)/19),"")</f>
        <v>0</v>
      </c>
      <c r="FJ89">
        <f>IFERROR('Fat Spreads'!AX89,"")</f>
        <v>0</v>
      </c>
      <c r="FK89">
        <f>IFERROR(('Fat Spreads'!AY89-AVERAGE('Fat Spreads'!$AY$3:$AY$4308))/STDEV('Fat Spreads'!$AY$3:$AY$4308),"")</f>
        <v>9.2057461789832332E-2</v>
      </c>
      <c r="FL89">
        <f>IFERROR('Fat Spreads'!AY89-'Fat Spreads'!AY94,"")</f>
        <v>0</v>
      </c>
      <c r="FM89">
        <f>IFERROR('Fat Spreads'!AY89-'Fat Spreads'!AY99,"")</f>
        <v>0</v>
      </c>
      <c r="FN89">
        <f>IFERROR(AVERAGE('Fat Spreads'!AY89:AY108)+2*STDEV('Fat Spreads'!AY89:AY108),"")</f>
        <v>0</v>
      </c>
      <c r="FO89">
        <f>IFERROR(AVERAGE('Fat Spreads'!AY89:AY108)-2*STDEV('Fat Spreads'!AY89:AY108),"")</f>
        <v>0</v>
      </c>
      <c r="FP89" t="str">
        <f>IFERROR(('Fat Spreads'!AY89-(AVERAGE('Fat Spreads'!AY89:AY108)-2*STDEV('Fat Spreads'!AY89:AY108)))/(4*STDEV('Fat Spreads'!AY89:AY108)),"")</f>
        <v/>
      </c>
      <c r="FQ89" t="str">
        <f>IFERROR(4*STDEV('Fat Spreads'!AY89:AY108)/AVERAGE('Fat Spreads'!AY89:AY108),"")</f>
        <v/>
      </c>
      <c r="FR89">
        <v>38.8322</v>
      </c>
      <c r="FS89">
        <f>IFERROR(SQRT((SUMSQ('Fat Spreads'!AY89:AY108)-2*SUMPRODUCT('Fat Spreads'!AY89:AY108,'Fat Spreads'!AY90:AY109)+SUMSQ('Fat Spreads'!AY90:AY109)-('Fat Spreads'!AY89-'Fat Spreads'!AY109)^2/20)/19),"")</f>
        <v>0</v>
      </c>
      <c r="FU89">
        <f>IFERROR('Fat Spreads'!BE89,"")</f>
        <v>0</v>
      </c>
      <c r="FV89">
        <f>IFERROR(('Fat Spreads'!BF89-AVERAGE('Fat Spreads'!$BF$3:$BF$4308))/STDEV('Fat Spreads'!$BF$3:$BF$4308),"")</f>
        <v>9.2057461789832332E-2</v>
      </c>
      <c r="FW89">
        <f>IFERROR('Fat Spreads'!BF89-'Fat Spreads'!BF94,"")</f>
        <v>0</v>
      </c>
      <c r="FX89">
        <f>IFERROR('Fat Spreads'!BF89-'Fat Spreads'!BF99,"")</f>
        <v>0</v>
      </c>
      <c r="FY89">
        <f>IFERROR(AVERAGE('Fat Spreads'!BF89:BF108)+2*STDEV('Fat Spreads'!BF89:BF108),"")</f>
        <v>0</v>
      </c>
      <c r="FZ89">
        <f>IFERROR(AVERAGE('Fat Spreads'!BF89:BF108)-2*STDEV('Fat Spreads'!BF89:BF108),"")</f>
        <v>0</v>
      </c>
      <c r="GA89" t="str">
        <f>IFERROR(('Fat Spreads'!BF89-(AVERAGE('Fat Spreads'!BF89:BF108)-2*STDEV('Fat Spreads'!BF89:BF108)))/(4*STDEV('Fat Spreads'!BF89:BF108)),"")</f>
        <v/>
      </c>
      <c r="GB89" t="str">
        <f>IFERROR(4*STDEV('Fat Spreads'!BF89:BF108)/AVERAGE('Fat Spreads'!BF89:BF108),"")</f>
        <v/>
      </c>
      <c r="GC89">
        <v>33.826300000000003</v>
      </c>
      <c r="GD89">
        <f>IFERROR(SQRT((SUMSQ('Fat Spreads'!BF89:BF108)-2*SUMPRODUCT('Fat Spreads'!BF89:BF108,'Fat Spreads'!BF90:BF109)+SUMSQ('Fat Spreads'!BF90:BF109)-('Fat Spreads'!BF89-'Fat Spreads'!BF109)^2/20)/19),"")</f>
        <v>0</v>
      </c>
    </row>
    <row r="90" spans="1:186" x14ac:dyDescent="0.25">
      <c r="A90">
        <f>IFERROR('Fat Spreads'!A90,"")</f>
        <v>0</v>
      </c>
      <c r="B90">
        <f>IFERROR(('Fat Spreads'!B90-AVERAGE('Fat Spreads'!$B$3:$B$4308))/STDEV('Fat Spreads'!$B$3:$B$4308),"")</f>
        <v>9.2057461789832346E-2</v>
      </c>
      <c r="C90">
        <f>IFERROR('Fat Spreads'!B90-'Fat Spreads'!B95,"")</f>
        <v>0</v>
      </c>
      <c r="D90">
        <f>IFERROR('Fat Spreads'!B90-'Fat Spreads'!B100,"")</f>
        <v>0</v>
      </c>
      <c r="E90">
        <f>IFERROR(AVERAGE('Fat Spreads'!B90:B109)+2*STDEV('Fat Spreads'!B90:B109),"")</f>
        <v>0</v>
      </c>
      <c r="F90">
        <f>IFERROR(AVERAGE('Fat Spreads'!B90:B109)-2*STDEV('Fat Spreads'!B90:B109),"")</f>
        <v>0</v>
      </c>
      <c r="G90" t="str">
        <f>IFERROR(('Fat Spreads'!B90-(AVERAGE('Fat Spreads'!B90:B109)-2*STDEV('Fat Spreads'!B90:B109)))/(4*STDEV('Fat Spreads'!B90:B109)),"")</f>
        <v/>
      </c>
      <c r="H90" t="str">
        <f>IFERROR(4*STDEV('Fat Spreads'!B90:B109)/AVERAGE('Fat Spreads'!B90:B109),"")</f>
        <v/>
      </c>
      <c r="I90">
        <v>35.256799999999998</v>
      </c>
      <c r="J90">
        <f>IFERROR(SQRT((SUMSQ('Fat Spreads'!B90:B109)-2*SUMPRODUCT('Fat Spreads'!B90:B109,'Fat Spreads'!B91:B110)+SUMSQ('Fat Spreads'!B91:B110)-('Fat Spreads'!B90-'Fat Spreads'!B110)^2/20)/19),"")</f>
        <v>0</v>
      </c>
      <c r="L90">
        <f>IFERROR('Fat Spreads'!H90,"")</f>
        <v>0</v>
      </c>
      <c r="M90">
        <f>IFERROR(('Fat Spreads'!I90-AVERAGE('Fat Spreads'!$I$3:$I$4308))/STDEV('Fat Spreads'!$I$3:$I$4308),"")</f>
        <v>-9.2057461789832332E-2</v>
      </c>
      <c r="N90">
        <f>IFERROR('Fat Spreads'!I90-'Fat Spreads'!I95,"")</f>
        <v>0</v>
      </c>
      <c r="O90">
        <f>IFERROR('Fat Spreads'!I90-'Fat Spreads'!I100,"")</f>
        <v>0</v>
      </c>
      <c r="P90">
        <f>IFERROR(AVERAGE('Fat Spreads'!I90:I109)+2*STDEV('Fat Spreads'!I90:I109),"")</f>
        <v>0</v>
      </c>
      <c r="Q90">
        <f>IFERROR(AVERAGE('Fat Spreads'!I90:I109)-2*STDEV('Fat Spreads'!I90:I109),"")</f>
        <v>0</v>
      </c>
      <c r="R90" t="str">
        <f>IFERROR(('Fat Spreads'!I90-(AVERAGE('Fat Spreads'!I90:I109)-2*STDEV('Fat Spreads'!I90:I109)))/(4*STDEV('Fat Spreads'!I90:I109)),"")</f>
        <v/>
      </c>
      <c r="S90" t="str">
        <f>IFERROR(4*STDEV('Fat Spreads'!I90:I109)/AVERAGE('Fat Spreads'!I90:I109),"")</f>
        <v/>
      </c>
      <c r="T90">
        <v>39.371000000000002</v>
      </c>
      <c r="U90">
        <f>IFERROR(SQRT((SUMSQ('Fat Spreads'!I90:I109)-2*SUMPRODUCT('Fat Spreads'!I90:I109,'Fat Spreads'!I91:I110)+SUMSQ('Fat Spreads'!I91:I110)-('Fat Spreads'!I90-'Fat Spreads'!I110)^2/20)/19),"")</f>
        <v>0</v>
      </c>
      <c r="W90">
        <f>IFERROR('Fat Spreads'!AQ90,"")</f>
        <v>0</v>
      </c>
      <c r="X90">
        <f>IFERROR(('Fat Spreads'!AR90-AVERAGE('Fat Spreads'!$AR$3:$AR$4308))/STDEV('Fat Spreads'!$AR$3:$AR$4308),"")</f>
        <v>-9.2057461789832346E-2</v>
      </c>
      <c r="Y90">
        <f>IFERROR('Fat Spreads'!AR90-'Fat Spreads'!AR95,"")</f>
        <v>0</v>
      </c>
      <c r="Z90">
        <f>IFERROR('Fat Spreads'!AR90-'Fat Spreads'!AR100,"")</f>
        <v>0</v>
      </c>
      <c r="AA90">
        <f>IFERROR(AVERAGE('Fat Spreads'!AR90:AR109)+2*STDEV('Fat Spreads'!AR90:AR109),"")</f>
        <v>0</v>
      </c>
      <c r="AB90">
        <f>IFERROR(AVERAGE('Fat Spreads'!AR90:AR109)-2*STDEV('Fat Spreads'!AR90:AR109),"")</f>
        <v>0</v>
      </c>
      <c r="AC90" t="str">
        <f>IFERROR(('Fat Spreads'!AR90-(AVERAGE('Fat Spreads'!AR90:AR109)-2*STDEV('Fat Spreads'!AR90:AR109)))/(4*STDEV('Fat Spreads'!AR90:AR109)),"")</f>
        <v/>
      </c>
      <c r="AD90" t="str">
        <f>IFERROR(4*STDEV('Fat Spreads'!AR90:AR109)/AVERAGE('Fat Spreads'!AR90:AR109),"")</f>
        <v/>
      </c>
      <c r="AE90">
        <v>55.668700000000001</v>
      </c>
      <c r="AF90">
        <f>IFERROR(SQRT((SUMSQ('Fat Spreads'!AR90:AR109)-2*SUMPRODUCT('Fat Spreads'!AR90:AR109,'Fat Spreads'!AR91:AR110)+SUMSQ('Fat Spreads'!AR91:AR110)-('Fat Spreads'!AR90-'Fat Spreads'!AR110)^2/20)/19),"")</f>
        <v>0</v>
      </c>
      <c r="AH90">
        <f>IFERROR('Fat Spreads'!O90,"")</f>
        <v>0</v>
      </c>
      <c r="AI90">
        <f>IFERROR(('Fat Spreads'!P90-AVERAGE('Fat Spreads'!$P$3:$P$4308))/STDEV('Fat Spreads'!$P$3:$P$4308),"")</f>
        <v>-9.2057461789832332E-2</v>
      </c>
      <c r="AJ90">
        <f>IFERROR('Fat Spreads'!P90-'Fat Spreads'!P95,"")</f>
        <v>0</v>
      </c>
      <c r="AK90">
        <f>IFERROR('Fat Spreads'!P90-'Fat Spreads'!P100,"")</f>
        <v>0</v>
      </c>
      <c r="AL90">
        <f>IFERROR(AVERAGE('Fat Spreads'!P90:P109)+2*STDEV('Fat Spreads'!P90:P109),"")</f>
        <v>0</v>
      </c>
      <c r="AM90">
        <f>IFERROR(AVERAGE('Fat Spreads'!P90:P109)-2*STDEV('Fat Spreads'!P90:P109),"")</f>
        <v>0</v>
      </c>
      <c r="AN90" t="str">
        <f>IFERROR(('Fat Spreads'!P90-(AVERAGE('Fat Spreads'!P90:P109)-2*STDEV('Fat Spreads'!P90:P109)))/(4*STDEV('Fat Spreads'!P90:P109)),"")</f>
        <v/>
      </c>
      <c r="AO90" t="str">
        <f>IFERROR(4*STDEV('Fat Spreads'!P90:P109)/AVERAGE('Fat Spreads'!P90:P109),"")</f>
        <v/>
      </c>
      <c r="AP90">
        <v>54.606400000000001</v>
      </c>
      <c r="AQ90">
        <f>IFERROR(SQRT((SUMSQ('Fat Spreads'!P90:P109)-2*SUMPRODUCT('Fat Spreads'!P90:P109,'Fat Spreads'!P91:P110)+SUMSQ('Fat Spreads'!P91:P110)-('Fat Spreads'!P90-'Fat Spreads'!P110)^2/20)/19),"")</f>
        <v>0</v>
      </c>
      <c r="AS90">
        <f>IFERROR('Fat Spreads'!AJ90,"")</f>
        <v>0</v>
      </c>
      <c r="AT90">
        <f>IFERROR(('Fat Spreads'!AK90-AVERAGE('Fat Spreads'!$AK$3:$AK$4308))/STDEV('Fat Spreads'!$AK$3:$AK$4308),"")</f>
        <v>-9.2057461789832332E-2</v>
      </c>
      <c r="AU90">
        <f>IFERROR('Fat Spreads'!AK90-'Fat Spreads'!AK95,"")</f>
        <v>0</v>
      </c>
      <c r="AV90">
        <f>IFERROR('Fat Spreads'!AK90-'Fat Spreads'!AK100,"")</f>
        <v>0</v>
      </c>
      <c r="AW90">
        <f>IFERROR(AVERAGE('Fat Spreads'!AK90:AK109)+2*STDEV('Fat Spreads'!AK90:AK109),"")</f>
        <v>0</v>
      </c>
      <c r="AX90">
        <f>IFERROR(AVERAGE('Fat Spreads'!AK90:AK109)-2*STDEV('Fat Spreads'!AK90:AK109),"")</f>
        <v>0</v>
      </c>
      <c r="AY90" t="str">
        <f>IFERROR(('Fat Spreads'!AK90-(AVERAGE('Fat Spreads'!AK90:AK109)-2*STDEV('Fat Spreads'!AK90:AK109)))/(4*STDEV('Fat Spreads'!AK90:AK109)),"")</f>
        <v/>
      </c>
      <c r="AZ90" t="str">
        <f>IFERROR(4*STDEV('Fat Spreads'!AK90:AK109)/AVERAGE('Fat Spreads'!AK90:AK109),"")</f>
        <v/>
      </c>
      <c r="BA90">
        <v>43.506799999999998</v>
      </c>
      <c r="BB90">
        <f>IFERROR(SQRT((SUMSQ('Fat Spreads'!AK90:AK109)-2*SUMPRODUCT('Fat Spreads'!AK90:AK109,'Fat Spreads'!AK91:AK110)+SUMSQ('Fat Spreads'!AK91:AK110)-('Fat Spreads'!AK90-'Fat Spreads'!AK110)^2/20)/19),"")</f>
        <v>0</v>
      </c>
      <c r="BD90">
        <f>IFERROR('Fat Spreads'!V90,"")</f>
        <v>0</v>
      </c>
      <c r="BE90">
        <f>IFERROR(('Fat Spreads'!W90-AVERAGE('Fat Spreads'!$W$3:$W$4308))/STDEV('Fat Spreads'!$W$3:$W$4308),"")</f>
        <v>-9.2057461789832332E-2</v>
      </c>
      <c r="BF90">
        <f>IFERROR('Fat Spreads'!W90-'Fat Spreads'!W95,"")</f>
        <v>0</v>
      </c>
      <c r="BG90">
        <f>IFERROR('Fat Spreads'!W90-'Fat Spreads'!W100,"")</f>
        <v>0</v>
      </c>
      <c r="BH90">
        <f>IFERROR(AVERAGE('Fat Spreads'!W90:W109)+2*STDEV('Fat Spreads'!W90:W109),"")</f>
        <v>0</v>
      </c>
      <c r="BI90">
        <f>IFERROR(AVERAGE('Fat Spreads'!W90:W109)-2*STDEV('Fat Spreads'!W90:W109),"")</f>
        <v>0</v>
      </c>
      <c r="BJ90" t="str">
        <f>IFERROR(('Fat Spreads'!W90-(AVERAGE('Fat Spreads'!W90:W109)-2*STDEV('Fat Spreads'!W90:W109)))/(4*STDEV('Fat Spreads'!W90:W109)),"")</f>
        <v/>
      </c>
      <c r="BK90" t="str">
        <f>IFERROR(4*STDEV('Fat Spreads'!W90:W109)/AVERAGE('Fat Spreads'!W90:W109),"")</f>
        <v/>
      </c>
      <c r="BL90">
        <v>53.926900000000003</v>
      </c>
      <c r="BM90">
        <f>IFERROR(SQRT((SUMSQ('Fat Spreads'!W90:W109)-2*SUMPRODUCT('Fat Spreads'!W90:W109,'Fat Spreads'!W91:W110)+SUMSQ('Fat Spreads'!W91:W110)-('Fat Spreads'!W90-'Fat Spreads'!W110)^2/20)/19),"")</f>
        <v>0</v>
      </c>
      <c r="BO90">
        <f>IFERROR('Fat Spreads'!AC90,"")</f>
        <v>0</v>
      </c>
      <c r="BP90">
        <f>IFERROR(('Fat Spreads'!AD90-AVERAGE('Fat Spreads'!$AD$3:$AD$4308))/STDEV('Fat Spreads'!$AD$3:$AD$4308),"")</f>
        <v>-9.2057461789832332E-2</v>
      </c>
      <c r="BQ90">
        <f>IFERROR('Fat Spreads'!AD90-'Fat Spreads'!AD95,"")</f>
        <v>0</v>
      </c>
      <c r="BR90">
        <f>IFERROR('Fat Spreads'!AD90-'Fat Spreads'!AD100,"")</f>
        <v>0</v>
      </c>
      <c r="BS90">
        <f>IFERROR(AVERAGE('Fat Spreads'!AD90:AD109)+2*STDEV('Fat Spreads'!AD90:AD109),"")</f>
        <v>0</v>
      </c>
      <c r="BT90">
        <f>IFERROR(AVERAGE('Fat Spreads'!AD90:AD109)-2*STDEV('Fat Spreads'!AD90:AD109),"")</f>
        <v>0</v>
      </c>
      <c r="BU90" t="str">
        <f>IFERROR(('Fat Spreads'!AD90-(AVERAGE('Fat Spreads'!AD90:AD109)-2*STDEV('Fat Spreads'!AD90:AD109)))/(4*STDEV('Fat Spreads'!AD90:AD109)),"")</f>
        <v/>
      </c>
      <c r="BV90" t="str">
        <f>IFERROR(4*STDEV('Fat Spreads'!AD90:AD109)/AVERAGE('Fat Spreads'!AD90:AD109),"")</f>
        <v/>
      </c>
      <c r="BW90">
        <v>51.872799999999998</v>
      </c>
      <c r="BX90">
        <f>IFERROR(SQRT((SUMSQ('Fat Spreads'!AD90:AD109)-2*SUMPRODUCT('Fat Spreads'!AD90:AD109,'Fat Spreads'!AD91:AD110)+SUMSQ('Fat Spreads'!AD91:AD110)-('Fat Spreads'!AD90-'Fat Spreads'!AD110)^2/20)/19),"")</f>
        <v>0</v>
      </c>
      <c r="BZ90">
        <f>IFERROR('Feeder Spreads'!A90,"")</f>
        <v>0</v>
      </c>
      <c r="CA90">
        <f>IFERROR(('Feeder Spreads'!B90-AVERAGE('Feeder Spreads'!$B$3:$B$4308))/STDEV('Feeder Spreads'!$B$3:$B$4308),"")</f>
        <v>-9.2057461789832346E-2</v>
      </c>
      <c r="CB90">
        <f>IFERROR('Feeder Spreads'!B90-'Feeder Spreads'!B95,"")</f>
        <v>0</v>
      </c>
      <c r="CC90">
        <f>IFERROR('Feeder Spreads'!B90-'Feeder Spreads'!B100,"")</f>
        <v>0</v>
      </c>
      <c r="CD90">
        <f>IFERROR(AVERAGE('Feeder Spreads'!B90:B109)+2*STDEV('Feeder Spreads'!B90:B109),"")</f>
        <v>0</v>
      </c>
      <c r="CE90">
        <f>IFERROR(AVERAGE('Feeder Spreads'!B90:B109)-2*STDEV('Feeder Spreads'!B90:B109),"")</f>
        <v>0</v>
      </c>
      <c r="CF90" t="str">
        <f>IFERROR(('Feeder Spreads'!B90-(AVERAGE('Feeder Spreads'!B90:B109)-2*STDEV('Feeder Spreads'!B90:B109)))/(4*STDEV('Feeder Spreads'!B90:B109)),"")</f>
        <v/>
      </c>
      <c r="CG90" t="str">
        <f>IFERROR(4*STDEV('Feeder Spreads'!B90:B109)/AVERAGE('Feeder Spreads'!B90:B109),"")</f>
        <v/>
      </c>
      <c r="CH90">
        <v>50.166400000000003</v>
      </c>
      <c r="CI90">
        <f>IFERROR(SQRT((SUMSQ('Feeder Spreads'!B90:B109)-2*SUMPRODUCT('Feeder Spreads'!B90:B109,'Feeder Spreads'!B91:B110)+SUMSQ('Feeder Spreads'!B91:B110)-('Feeder Spreads'!B90-'Feeder Spreads'!B110)^2/20)/19),"")</f>
        <v>0</v>
      </c>
      <c r="CK90">
        <f>IFERROR('Feeder Spreads'!AX90,"")</f>
        <v>0</v>
      </c>
      <c r="CL90">
        <f>IFERROR(('Feeder Spreads'!AY90-AVERAGE('Feeder Spreads'!$AY$3:$AY$4308))/STDEV('Feeder Spreads'!$AY$3:$AY$4308),"")</f>
        <v>-9.2057461789832346E-2</v>
      </c>
      <c r="CM90">
        <f>IFERROR('Feeder Spreads'!AY90-'Feeder Spreads'!AY95,"")</f>
        <v>0</v>
      </c>
      <c r="CN90">
        <f>IFERROR('Feeder Spreads'!AY90-'Feeder Spreads'!AY100,"")</f>
        <v>0</v>
      </c>
      <c r="CO90">
        <f>IFERROR(AVERAGE('Feeder Spreads'!AY90:AY109)+2*STDEV('Feeder Spreads'!AY90:AY109),"")</f>
        <v>0</v>
      </c>
      <c r="CP90">
        <f>IFERROR(AVERAGE('Feeder Spreads'!AY90:AY109)-2*STDEV('Feeder Spreads'!AY90:AY109),"")</f>
        <v>0</v>
      </c>
      <c r="CQ90" t="str">
        <f>IFERROR(('Feeder Spreads'!AY90-(AVERAGE('Feeder Spreads'!AY90:AY109)-2*STDEV('Feeder Spreads'!AY90:AY109)))/(4*STDEV('Feeder Spreads'!AY90:AY109)),"")</f>
        <v/>
      </c>
      <c r="CR90" t="str">
        <f>IFERROR(4*STDEV('Feeder Spreads'!AY90:AY109)/AVERAGE('Feeder Spreads'!AY90:AY109),"")</f>
        <v/>
      </c>
      <c r="CS90">
        <v>38.994599999999998</v>
      </c>
      <c r="CT90">
        <f>IFERROR(SQRT((SUMSQ('Feeder Spreads'!AY90:AY109)-2*SUMPRODUCT('Feeder Spreads'!AY90:AY109,'Feeder Spreads'!AY91:AY110)+SUMSQ('Feeder Spreads'!AY91:AY110)-('Feeder Spreads'!AY90-'Feeder Spreads'!AY110)^2/20)/19),"")</f>
        <v>0</v>
      </c>
      <c r="CV90">
        <f>IFERROR('Feeder Spreads'!H90,"")</f>
        <v>0</v>
      </c>
      <c r="CW90">
        <f>IFERROR(('Feeder Spreads'!I90-AVERAGE('Feeder Spreads'!$I$3:$I$4308))/STDEV('Feeder Spreads'!$I$3:$I$4308),"")</f>
        <v>-9.2057461789832332E-2</v>
      </c>
      <c r="CX90">
        <f>IFERROR('Feeder Spreads'!I90-'Feeder Spreads'!I95,"")</f>
        <v>0</v>
      </c>
      <c r="CY90">
        <f>IFERROR('Feeder Spreads'!I90-'Feeder Spreads'!I100,"")</f>
        <v>0</v>
      </c>
      <c r="CZ90">
        <f>IFERROR(AVERAGE('Feeder Spreads'!I90:I109)+2*STDEV('Feeder Spreads'!I90:I109),"")</f>
        <v>0</v>
      </c>
      <c r="DA90">
        <f>IFERROR(AVERAGE('Feeder Spreads'!I90:I109)-2*STDEV('Feeder Spreads'!I90:I109),"")</f>
        <v>0</v>
      </c>
      <c r="DB90" t="str">
        <f>IFERROR(('Feeder Spreads'!I90-(AVERAGE('Feeder Spreads'!I90:I109)-2*STDEV('Feeder Spreads'!I90:I109)))/(4*STDEV('Feeder Spreads'!I90:I109)),"")</f>
        <v/>
      </c>
      <c r="DC90" t="str">
        <f>IFERROR(4*STDEV('Feeder Spreads'!I90:I109)/AVERAGE('Feeder Spreads'!I90:I109),"")</f>
        <v/>
      </c>
      <c r="DD90">
        <v>52.205599999999997</v>
      </c>
      <c r="DE90">
        <f>IFERROR(SQRT((SUMSQ('Feeder Spreads'!I90:I109)-2*SUMPRODUCT('Feeder Spreads'!I90:I109,'Feeder Spreads'!I91:I110)+SUMSQ('Feeder Spreads'!I91:I110)-('Feeder Spreads'!I90-'Feeder Spreads'!I110)^2/20)/19),"")</f>
        <v>0</v>
      </c>
      <c r="DG90">
        <f>IFERROR('Feeder Spreads'!O90,"")</f>
        <v>0</v>
      </c>
      <c r="DH90">
        <f>IFERROR(('Feeder Spreads'!P90-AVERAGE('Feeder Spreads'!$P$3:$P$4308))/STDEV('Feeder Spreads'!$P$3:$P$4308),"")</f>
        <v>-9.2057461789832346E-2</v>
      </c>
      <c r="DI90">
        <f>IFERROR('Feeder Spreads'!P90-'Feeder Spreads'!P95,"")</f>
        <v>0</v>
      </c>
      <c r="DJ90">
        <f>IFERROR('Feeder Spreads'!P90-'Feeder Spreads'!P100,"")</f>
        <v>0</v>
      </c>
      <c r="DK90">
        <f>IFERROR(AVERAGE('Feeder Spreads'!P90:P109)+2*STDEV('Feeder Spreads'!P90:P109),"")</f>
        <v>0</v>
      </c>
      <c r="DL90">
        <f>IFERROR(AVERAGE('Feeder Spreads'!P90:P109)-2*STDEV('Feeder Spreads'!P90:P109),"")</f>
        <v>0</v>
      </c>
      <c r="DM90" t="str">
        <f>IFERROR(('Feeder Spreads'!P90-(AVERAGE('Feeder Spreads'!P90:P109)-2*STDEV('Feeder Spreads'!P90:P109)))/(4*STDEV('Feeder Spreads'!P90:P109)),"")</f>
        <v/>
      </c>
      <c r="DN90" t="str">
        <f>IFERROR(4*STDEV('Feeder Spreads'!P90:P109)/AVERAGE('Feeder Spreads'!P90:P109),"")</f>
        <v/>
      </c>
      <c r="DO90">
        <v>60.530299999999997</v>
      </c>
      <c r="DP90">
        <f>IFERROR(SQRT((SUMSQ('Feeder Spreads'!P90:P109)-2*SUMPRODUCT('Feeder Spreads'!P90:P109,'Feeder Spreads'!P91:P110)+SUMSQ('Feeder Spreads'!P91:P110)-('Feeder Spreads'!P90-'Feeder Spreads'!P110)^2/20)/19),"")</f>
        <v>0</v>
      </c>
      <c r="DR90">
        <f>IFERROR('Feeder Spreads'!V90,"")</f>
        <v>0</v>
      </c>
      <c r="DS90">
        <f>IFERROR(('Feeder Spreads'!W90-AVERAGE('Feeder Spreads'!$W$3:$W$4308))/STDEV('Feeder Spreads'!$W$3:$W$4308),"")</f>
        <v>-9.2057461789832332E-2</v>
      </c>
      <c r="DT90">
        <f>IFERROR('Feeder Spreads'!W90-'Feeder Spreads'!W95,"")</f>
        <v>0</v>
      </c>
      <c r="DU90">
        <f>IFERROR('Feeder Spreads'!W90-'Feeder Spreads'!W100,"")</f>
        <v>0</v>
      </c>
      <c r="DV90">
        <f>IFERROR(AVERAGE('Feeder Spreads'!W90:W109)+2*STDEV('Feeder Spreads'!W90:W109),"")</f>
        <v>0</v>
      </c>
      <c r="DW90">
        <f>IFERROR(AVERAGE('Feeder Spreads'!W90:W109)-2*STDEV('Feeder Spreads'!W90:W109),"")</f>
        <v>0</v>
      </c>
      <c r="DX90" t="str">
        <f>IFERROR(('Feeder Spreads'!W90-(AVERAGE('Feeder Spreads'!W90:W109)-2*STDEV('Feeder Spreads'!W90:W109)))/(4*STDEV('Feeder Spreads'!W90:W109)),"")</f>
        <v/>
      </c>
      <c r="DY90" t="str">
        <f>IFERROR(4*STDEV('Feeder Spreads'!W90:W109)/AVERAGE('Feeder Spreads'!W90:W109),"")</f>
        <v/>
      </c>
      <c r="DZ90">
        <v>48.371699999999997</v>
      </c>
      <c r="EA90">
        <f>IFERROR(SQRT((SUMSQ('Feeder Spreads'!W90:W109)-2*SUMPRODUCT('Feeder Spreads'!W90:W109,'Feeder Spreads'!W91:W110)+SUMSQ('Feeder Spreads'!W91:W110)-('Feeder Spreads'!W90-'Feeder Spreads'!W110)^2/20)/19),"")</f>
        <v>0</v>
      </c>
      <c r="EC90">
        <f>IFERROR('Feeder Spreads'!AC90,"")</f>
        <v>0</v>
      </c>
      <c r="ED90">
        <f>IFERROR(('Feeder Spreads'!AD90-AVERAGE('Feeder Spreads'!$AD$3:$AD$4308))/STDEV('Feeder Spreads'!$AD$3:$AD$4308),"")</f>
        <v>9.2057461789832318E-2</v>
      </c>
      <c r="EE90">
        <f>IFERROR('Feeder Spreads'!AD90-'Feeder Spreads'!AD95,"")</f>
        <v>0</v>
      </c>
      <c r="EF90">
        <f>IFERROR('Feeder Spreads'!AD90-'Feeder Spreads'!AD100,"")</f>
        <v>0</v>
      </c>
      <c r="EG90">
        <f>IFERROR(AVERAGE('Feeder Spreads'!AD90:AD109)+2*STDEV('Feeder Spreads'!AD90:AD109),"")</f>
        <v>0</v>
      </c>
      <c r="EH90">
        <f>IFERROR(AVERAGE('Feeder Spreads'!AD90:AD109)-2*STDEV('Feeder Spreads'!AD90:AD109),"")</f>
        <v>0</v>
      </c>
      <c r="EI90" t="str">
        <f>IFERROR(('Feeder Spreads'!AD90-(AVERAGE('Feeder Spreads'!AD90:AD109)-2*STDEV('Feeder Spreads'!AD90:AD109)))/(4*STDEV('Feeder Spreads'!AD90:AD109)),"")</f>
        <v/>
      </c>
      <c r="EJ90" t="str">
        <f>IFERROR(4*STDEV('Feeder Spreads'!AD90:AD109)/AVERAGE('Feeder Spreads'!AD90:AD109),"")</f>
        <v/>
      </c>
      <c r="EK90">
        <v>49.6096</v>
      </c>
      <c r="EL90">
        <f>IFERROR(SQRT((SUMSQ('Feeder Spreads'!AD90:AD109)-2*SUMPRODUCT('Feeder Spreads'!AD90:AD109,'Feeder Spreads'!AD91:AD110)+SUMSQ('Feeder Spreads'!AD91:AD110)-('Feeder Spreads'!AD90-'Feeder Spreads'!AD110)^2/20)/19),"")</f>
        <v>0</v>
      </c>
      <c r="EN90">
        <f>IFERROR('Feeder Spreads'!AJ90,"")</f>
        <v>0</v>
      </c>
      <c r="EO90">
        <f>IFERROR(('Feeder Spreads'!AK90-AVERAGE('Feeder Spreads'!$AK$3:$AK$4308))/STDEV('Feeder Spreads'!$AK$3:$AK$4308),"")</f>
        <v>-9.2057461789832346E-2</v>
      </c>
      <c r="EP90">
        <f>IFERROR('Feeder Spreads'!AK90-'Feeder Spreads'!AK95,"")</f>
        <v>0</v>
      </c>
      <c r="EQ90">
        <f>IFERROR('Feeder Spreads'!AK90-'Feeder Spreads'!AK100,"")</f>
        <v>0</v>
      </c>
      <c r="ER90">
        <f>IFERROR(AVERAGE('Feeder Spreads'!AK90:AK109)+2*STDEV('Feeder Spreads'!AK90:AK109),"")</f>
        <v>0</v>
      </c>
      <c r="ES90">
        <f>IFERROR(AVERAGE('Feeder Spreads'!AK90:AK109)-2*STDEV('Feeder Spreads'!AK90:AK109),"")</f>
        <v>0</v>
      </c>
      <c r="ET90" t="str">
        <f>IFERROR(('Feeder Spreads'!AK90-(AVERAGE('Feeder Spreads'!AK90:AK109)-2*STDEV('Feeder Spreads'!AK90:AK109)))/(4*STDEV('Feeder Spreads'!AK90:AK109)),"")</f>
        <v/>
      </c>
      <c r="EU90" t="str">
        <f>IFERROR(4*STDEV('Feeder Spreads'!AK90:AK109)/AVERAGE('Feeder Spreads'!AK90:AK109),"")</f>
        <v/>
      </c>
      <c r="EV90">
        <v>52.447499999999998</v>
      </c>
      <c r="EW90">
        <f>IFERROR(SQRT((SUMSQ('Feeder Spreads'!AK90:AK109)-2*SUMPRODUCT('Feeder Spreads'!AK90:AK109,'Feeder Spreads'!AK91:AK110)+SUMSQ('Feeder Spreads'!AK91:AK110)-('Feeder Spreads'!AK90-'Feeder Spreads'!AK110)^2/20)/19),"")</f>
        <v>0</v>
      </c>
      <c r="EY90">
        <f>IFERROR('Feeder Spreads'!AQ90,"")</f>
        <v>0</v>
      </c>
      <c r="EZ90">
        <f>IFERROR(('Feeder Spreads'!AR90-AVERAGE('Feeder Spreads'!$AR$3:$AR$4308))/STDEV('Feeder Spreads'!$AR$3:$AR$4308),"")</f>
        <v>-9.2057461789832332E-2</v>
      </c>
      <c r="FA90">
        <f>IFERROR('Feeder Spreads'!AR90-'Feeder Spreads'!AR95,"")</f>
        <v>0</v>
      </c>
      <c r="FB90">
        <f>IFERROR('Feeder Spreads'!AR90-'Feeder Spreads'!AR100,"")</f>
        <v>0</v>
      </c>
      <c r="FC90">
        <f>IFERROR(AVERAGE('Feeder Spreads'!AR90:AR109)+2*STDEV('Feeder Spreads'!AR90:AR109),"")</f>
        <v>0</v>
      </c>
      <c r="FD90">
        <f>IFERROR(AVERAGE('Feeder Spreads'!AR90:AR109)-2*STDEV('Feeder Spreads'!AR90:AR109),"")</f>
        <v>0</v>
      </c>
      <c r="FE90" t="str">
        <f>IFERROR(('Feeder Spreads'!AR90-(AVERAGE('Feeder Spreads'!AR90:AR109)-2*STDEV('Feeder Spreads'!AR90:AR109)))/(4*STDEV('Feeder Spreads'!AR90:AR109)),"")</f>
        <v/>
      </c>
      <c r="FF90" t="str">
        <f>IFERROR(4*STDEV('Feeder Spreads'!AR90:AR109)/AVERAGE('Feeder Spreads'!AR90:AR109),"")</f>
        <v/>
      </c>
      <c r="FG90">
        <v>59.672400000000003</v>
      </c>
      <c r="FH90">
        <f>IFERROR(SQRT((SUMSQ('Feeder Spreads'!AR90:AR109)-2*SUMPRODUCT('Feeder Spreads'!AR90:AR109,'Feeder Spreads'!AR91:AR110)+SUMSQ('Feeder Spreads'!AR91:AR110)-('Feeder Spreads'!AR90-'Feeder Spreads'!AR110)^2/20)/19),"")</f>
        <v>0</v>
      </c>
      <c r="FJ90">
        <f>IFERROR('Fat Spreads'!AX90,"")</f>
        <v>0</v>
      </c>
      <c r="FK90">
        <f>IFERROR(('Fat Spreads'!AY90-AVERAGE('Fat Spreads'!$AY$3:$AY$4308))/STDEV('Fat Spreads'!$AY$3:$AY$4308),"")</f>
        <v>9.2057461789832332E-2</v>
      </c>
      <c r="FL90">
        <f>IFERROR('Fat Spreads'!AY90-'Fat Spreads'!AY95,"")</f>
        <v>0</v>
      </c>
      <c r="FM90">
        <f>IFERROR('Fat Spreads'!AY90-'Fat Spreads'!AY100,"")</f>
        <v>0</v>
      </c>
      <c r="FN90">
        <f>IFERROR(AVERAGE('Fat Spreads'!AY90:AY109)+2*STDEV('Fat Spreads'!AY90:AY109),"")</f>
        <v>0</v>
      </c>
      <c r="FO90">
        <f>IFERROR(AVERAGE('Fat Spreads'!AY90:AY109)-2*STDEV('Fat Spreads'!AY90:AY109),"")</f>
        <v>0</v>
      </c>
      <c r="FP90" t="str">
        <f>IFERROR(('Fat Spreads'!AY90-(AVERAGE('Fat Spreads'!AY90:AY109)-2*STDEV('Fat Spreads'!AY90:AY109)))/(4*STDEV('Fat Spreads'!AY90:AY109)),"")</f>
        <v/>
      </c>
      <c r="FQ90" t="str">
        <f>IFERROR(4*STDEV('Fat Spreads'!AY90:AY109)/AVERAGE('Fat Spreads'!AY90:AY109),"")</f>
        <v/>
      </c>
      <c r="FR90">
        <v>39.701900000000002</v>
      </c>
      <c r="FS90">
        <f>IFERROR(SQRT((SUMSQ('Fat Spreads'!AY90:AY109)-2*SUMPRODUCT('Fat Spreads'!AY90:AY109,'Fat Spreads'!AY91:AY110)+SUMSQ('Fat Spreads'!AY91:AY110)-('Fat Spreads'!AY90-'Fat Spreads'!AY110)^2/20)/19),"")</f>
        <v>0</v>
      </c>
      <c r="FU90">
        <f>IFERROR('Fat Spreads'!BE90,"")</f>
        <v>0</v>
      </c>
      <c r="FV90">
        <f>IFERROR(('Fat Spreads'!BF90-AVERAGE('Fat Spreads'!$BF$3:$BF$4308))/STDEV('Fat Spreads'!$BF$3:$BF$4308),"")</f>
        <v>9.2057461789832332E-2</v>
      </c>
      <c r="FW90">
        <f>IFERROR('Fat Spreads'!BF90-'Fat Spreads'!BF95,"")</f>
        <v>0</v>
      </c>
      <c r="FX90">
        <f>IFERROR('Fat Spreads'!BF90-'Fat Spreads'!BF100,"")</f>
        <v>0</v>
      </c>
      <c r="FY90">
        <f>IFERROR(AVERAGE('Fat Spreads'!BF90:BF109)+2*STDEV('Fat Spreads'!BF90:BF109),"")</f>
        <v>0</v>
      </c>
      <c r="FZ90">
        <f>IFERROR(AVERAGE('Fat Spreads'!BF90:BF109)-2*STDEV('Fat Spreads'!BF90:BF109),"")</f>
        <v>0</v>
      </c>
      <c r="GA90" t="str">
        <f>IFERROR(('Fat Spreads'!BF90-(AVERAGE('Fat Spreads'!BF90:BF109)-2*STDEV('Fat Spreads'!BF90:BF109)))/(4*STDEV('Fat Spreads'!BF90:BF109)),"")</f>
        <v/>
      </c>
      <c r="GB90" t="str">
        <f>IFERROR(4*STDEV('Fat Spreads'!BF90:BF109)/AVERAGE('Fat Spreads'!BF90:BF109),"")</f>
        <v/>
      </c>
      <c r="GC90">
        <v>36.225999999999999</v>
      </c>
      <c r="GD90">
        <f>IFERROR(SQRT((SUMSQ('Fat Spreads'!BF90:BF109)-2*SUMPRODUCT('Fat Spreads'!BF90:BF109,'Fat Spreads'!BF91:BF110)+SUMSQ('Fat Spreads'!BF91:BF110)-('Fat Spreads'!BF90-'Fat Spreads'!BF110)^2/20)/19),"")</f>
        <v>0</v>
      </c>
    </row>
    <row r="91" spans="1:186" x14ac:dyDescent="0.25">
      <c r="A91">
        <f>IFERROR('Fat Spreads'!A91,"")</f>
        <v>0</v>
      </c>
      <c r="B91">
        <f>IFERROR(('Fat Spreads'!B91-AVERAGE('Fat Spreads'!$B$3:$B$4308))/STDEV('Fat Spreads'!$B$3:$B$4308),"")</f>
        <v>9.2057461789832346E-2</v>
      </c>
      <c r="C91">
        <f>IFERROR('Fat Spreads'!B91-'Fat Spreads'!B96,"")</f>
        <v>0</v>
      </c>
      <c r="D91">
        <f>IFERROR('Fat Spreads'!B91-'Fat Spreads'!B101,"")</f>
        <v>0</v>
      </c>
      <c r="E91">
        <f>IFERROR(AVERAGE('Fat Spreads'!B91:B110)+2*STDEV('Fat Spreads'!B91:B110),"")</f>
        <v>0</v>
      </c>
      <c r="F91">
        <f>IFERROR(AVERAGE('Fat Spreads'!B91:B110)-2*STDEV('Fat Spreads'!B91:B110),"")</f>
        <v>0</v>
      </c>
      <c r="G91" t="str">
        <f>IFERROR(('Fat Spreads'!B91-(AVERAGE('Fat Spreads'!B91:B110)-2*STDEV('Fat Spreads'!B91:B110)))/(4*STDEV('Fat Spreads'!B91:B110)),"")</f>
        <v/>
      </c>
      <c r="H91" t="str">
        <f>IFERROR(4*STDEV('Fat Spreads'!B91:B110)/AVERAGE('Fat Spreads'!B91:B110),"")</f>
        <v/>
      </c>
      <c r="I91">
        <v>38.210999999999999</v>
      </c>
      <c r="J91">
        <f>IFERROR(SQRT((SUMSQ('Fat Spreads'!B91:B110)-2*SUMPRODUCT('Fat Spreads'!B91:B110,'Fat Spreads'!B92:B111)+SUMSQ('Fat Spreads'!B92:B111)-('Fat Spreads'!B91-'Fat Spreads'!B111)^2/20)/19),"")</f>
        <v>0</v>
      </c>
      <c r="L91">
        <f>IFERROR('Fat Spreads'!H91,"")</f>
        <v>0</v>
      </c>
      <c r="M91">
        <f>IFERROR(('Fat Spreads'!I91-AVERAGE('Fat Spreads'!$I$3:$I$4308))/STDEV('Fat Spreads'!$I$3:$I$4308),"")</f>
        <v>-9.2057461789832332E-2</v>
      </c>
      <c r="N91">
        <f>IFERROR('Fat Spreads'!I91-'Fat Spreads'!I96,"")</f>
        <v>0</v>
      </c>
      <c r="O91">
        <f>IFERROR('Fat Spreads'!I91-'Fat Spreads'!I101,"")</f>
        <v>0</v>
      </c>
      <c r="P91">
        <f>IFERROR(AVERAGE('Fat Spreads'!I91:I110)+2*STDEV('Fat Spreads'!I91:I110),"")</f>
        <v>0</v>
      </c>
      <c r="Q91">
        <f>IFERROR(AVERAGE('Fat Spreads'!I91:I110)-2*STDEV('Fat Spreads'!I91:I110),"")</f>
        <v>0</v>
      </c>
      <c r="R91" t="str">
        <f>IFERROR(('Fat Spreads'!I91-(AVERAGE('Fat Spreads'!I91:I110)-2*STDEV('Fat Spreads'!I91:I110)))/(4*STDEV('Fat Spreads'!I91:I110)),"")</f>
        <v/>
      </c>
      <c r="S91" t="str">
        <f>IFERROR(4*STDEV('Fat Spreads'!I91:I110)/AVERAGE('Fat Spreads'!I91:I110),"")</f>
        <v/>
      </c>
      <c r="T91">
        <v>45.633200000000002</v>
      </c>
      <c r="U91">
        <f>IFERROR(SQRT((SUMSQ('Fat Spreads'!I91:I110)-2*SUMPRODUCT('Fat Spreads'!I91:I110,'Fat Spreads'!I92:I111)+SUMSQ('Fat Spreads'!I92:I111)-('Fat Spreads'!I91-'Fat Spreads'!I111)^2/20)/19),"")</f>
        <v>0</v>
      </c>
      <c r="W91">
        <f>IFERROR('Fat Spreads'!AQ91,"")</f>
        <v>0</v>
      </c>
      <c r="X91">
        <f>IFERROR(('Fat Spreads'!AR91-AVERAGE('Fat Spreads'!$AR$3:$AR$4308))/STDEV('Fat Spreads'!$AR$3:$AR$4308),"")</f>
        <v>-9.2057461789832346E-2</v>
      </c>
      <c r="Y91">
        <f>IFERROR('Fat Spreads'!AR91-'Fat Spreads'!AR96,"")</f>
        <v>0</v>
      </c>
      <c r="Z91">
        <f>IFERROR('Fat Spreads'!AR91-'Fat Spreads'!AR101,"")</f>
        <v>0</v>
      </c>
      <c r="AA91">
        <f>IFERROR(AVERAGE('Fat Spreads'!AR91:AR110)+2*STDEV('Fat Spreads'!AR91:AR110),"")</f>
        <v>0</v>
      </c>
      <c r="AB91">
        <f>IFERROR(AVERAGE('Fat Spreads'!AR91:AR110)-2*STDEV('Fat Spreads'!AR91:AR110),"")</f>
        <v>0</v>
      </c>
      <c r="AC91" t="str">
        <f>IFERROR(('Fat Spreads'!AR91-(AVERAGE('Fat Spreads'!AR91:AR110)-2*STDEV('Fat Spreads'!AR91:AR110)))/(4*STDEV('Fat Spreads'!AR91:AR110)),"")</f>
        <v/>
      </c>
      <c r="AD91" t="str">
        <f>IFERROR(4*STDEV('Fat Spreads'!AR91:AR110)/AVERAGE('Fat Spreads'!AR91:AR110),"")</f>
        <v/>
      </c>
      <c r="AE91">
        <v>50.617699999999999</v>
      </c>
      <c r="AF91">
        <f>IFERROR(SQRT((SUMSQ('Fat Spreads'!AR91:AR110)-2*SUMPRODUCT('Fat Spreads'!AR91:AR110,'Fat Spreads'!AR92:AR111)+SUMSQ('Fat Spreads'!AR92:AR111)-('Fat Spreads'!AR91-'Fat Spreads'!AR111)^2/20)/19),"")</f>
        <v>0</v>
      </c>
      <c r="AH91">
        <f>IFERROR('Fat Spreads'!O91,"")</f>
        <v>0</v>
      </c>
      <c r="AI91">
        <f>IFERROR(('Fat Spreads'!P91-AVERAGE('Fat Spreads'!$P$3:$P$4308))/STDEV('Fat Spreads'!$P$3:$P$4308),"")</f>
        <v>-9.2057461789832332E-2</v>
      </c>
      <c r="AJ91">
        <f>IFERROR('Fat Spreads'!P91-'Fat Spreads'!P96,"")</f>
        <v>0</v>
      </c>
      <c r="AK91">
        <f>IFERROR('Fat Spreads'!P91-'Fat Spreads'!P101,"")</f>
        <v>0</v>
      </c>
      <c r="AL91">
        <f>IFERROR(AVERAGE('Fat Spreads'!P91:P110)+2*STDEV('Fat Spreads'!P91:P110),"")</f>
        <v>0</v>
      </c>
      <c r="AM91">
        <f>IFERROR(AVERAGE('Fat Spreads'!P91:P110)-2*STDEV('Fat Spreads'!P91:P110),"")</f>
        <v>0</v>
      </c>
      <c r="AN91" t="str">
        <f>IFERROR(('Fat Spreads'!P91-(AVERAGE('Fat Spreads'!P91:P110)-2*STDEV('Fat Spreads'!P91:P110)))/(4*STDEV('Fat Spreads'!P91:P110)),"")</f>
        <v/>
      </c>
      <c r="AO91" t="str">
        <f>IFERROR(4*STDEV('Fat Spreads'!P91:P110)/AVERAGE('Fat Spreads'!P91:P110),"")</f>
        <v/>
      </c>
      <c r="AP91">
        <v>57.166400000000003</v>
      </c>
      <c r="AQ91">
        <f>IFERROR(SQRT((SUMSQ('Fat Spreads'!P91:P110)-2*SUMPRODUCT('Fat Spreads'!P91:P110,'Fat Spreads'!P92:P111)+SUMSQ('Fat Spreads'!P92:P111)-('Fat Spreads'!P91-'Fat Spreads'!P111)^2/20)/19),"")</f>
        <v>0</v>
      </c>
      <c r="AS91">
        <f>IFERROR('Fat Spreads'!AJ91,"")</f>
        <v>0</v>
      </c>
      <c r="AT91">
        <f>IFERROR(('Fat Spreads'!AK91-AVERAGE('Fat Spreads'!$AK$3:$AK$4308))/STDEV('Fat Spreads'!$AK$3:$AK$4308),"")</f>
        <v>-9.2057461789832332E-2</v>
      </c>
      <c r="AU91">
        <f>IFERROR('Fat Spreads'!AK91-'Fat Spreads'!AK96,"")</f>
        <v>0</v>
      </c>
      <c r="AV91">
        <f>IFERROR('Fat Spreads'!AK91-'Fat Spreads'!AK101,"")</f>
        <v>0</v>
      </c>
      <c r="AW91">
        <f>IFERROR(AVERAGE('Fat Spreads'!AK91:AK110)+2*STDEV('Fat Spreads'!AK91:AK110),"")</f>
        <v>0</v>
      </c>
      <c r="AX91">
        <f>IFERROR(AVERAGE('Fat Spreads'!AK91:AK110)-2*STDEV('Fat Spreads'!AK91:AK110),"")</f>
        <v>0</v>
      </c>
      <c r="AY91" t="str">
        <f>IFERROR(('Fat Spreads'!AK91-(AVERAGE('Fat Spreads'!AK91:AK110)-2*STDEV('Fat Spreads'!AK91:AK110)))/(4*STDEV('Fat Spreads'!AK91:AK110)),"")</f>
        <v/>
      </c>
      <c r="AZ91" t="str">
        <f>IFERROR(4*STDEV('Fat Spreads'!AK91:AK110)/AVERAGE('Fat Spreads'!AK91:AK110),"")</f>
        <v/>
      </c>
      <c r="BA91">
        <v>50.3932</v>
      </c>
      <c r="BB91">
        <f>IFERROR(SQRT((SUMSQ('Fat Spreads'!AK91:AK110)-2*SUMPRODUCT('Fat Spreads'!AK91:AK110,'Fat Spreads'!AK92:AK111)+SUMSQ('Fat Spreads'!AK92:AK111)-('Fat Spreads'!AK91-'Fat Spreads'!AK111)^2/20)/19),"")</f>
        <v>0</v>
      </c>
      <c r="BD91">
        <f>IFERROR('Fat Spreads'!V91,"")</f>
        <v>0</v>
      </c>
      <c r="BE91">
        <f>IFERROR(('Fat Spreads'!W91-AVERAGE('Fat Spreads'!$W$3:$W$4308))/STDEV('Fat Spreads'!$W$3:$W$4308),"")</f>
        <v>-9.2057461789832332E-2</v>
      </c>
      <c r="BF91">
        <f>IFERROR('Fat Spreads'!W91-'Fat Spreads'!W96,"")</f>
        <v>0</v>
      </c>
      <c r="BG91">
        <f>IFERROR('Fat Spreads'!W91-'Fat Spreads'!W101,"")</f>
        <v>0</v>
      </c>
      <c r="BH91">
        <f>IFERROR(AVERAGE('Fat Spreads'!W91:W110)+2*STDEV('Fat Spreads'!W91:W110),"")</f>
        <v>0</v>
      </c>
      <c r="BI91">
        <f>IFERROR(AVERAGE('Fat Spreads'!W91:W110)-2*STDEV('Fat Spreads'!W91:W110),"")</f>
        <v>0</v>
      </c>
      <c r="BJ91" t="str">
        <f>IFERROR(('Fat Spreads'!W91-(AVERAGE('Fat Spreads'!W91:W110)-2*STDEV('Fat Spreads'!W91:W110)))/(4*STDEV('Fat Spreads'!W91:W110)),"")</f>
        <v/>
      </c>
      <c r="BK91" t="str">
        <f>IFERROR(4*STDEV('Fat Spreads'!W91:W110)/AVERAGE('Fat Spreads'!W91:W110),"")</f>
        <v/>
      </c>
      <c r="BL91">
        <v>48.591000000000001</v>
      </c>
      <c r="BM91">
        <f>IFERROR(SQRT((SUMSQ('Fat Spreads'!W91:W110)-2*SUMPRODUCT('Fat Spreads'!W91:W110,'Fat Spreads'!W92:W111)+SUMSQ('Fat Spreads'!W92:W111)-('Fat Spreads'!W91-'Fat Spreads'!W111)^2/20)/19),"")</f>
        <v>0</v>
      </c>
      <c r="BO91">
        <f>IFERROR('Fat Spreads'!AC91,"")</f>
        <v>0</v>
      </c>
      <c r="BP91">
        <f>IFERROR(('Fat Spreads'!AD91-AVERAGE('Fat Spreads'!$AD$3:$AD$4308))/STDEV('Fat Spreads'!$AD$3:$AD$4308),"")</f>
        <v>-9.2057461789832332E-2</v>
      </c>
      <c r="BQ91">
        <f>IFERROR('Fat Spreads'!AD91-'Fat Spreads'!AD96,"")</f>
        <v>0</v>
      </c>
      <c r="BR91">
        <f>IFERROR('Fat Spreads'!AD91-'Fat Spreads'!AD101,"")</f>
        <v>0</v>
      </c>
      <c r="BS91">
        <f>IFERROR(AVERAGE('Fat Spreads'!AD91:AD110)+2*STDEV('Fat Spreads'!AD91:AD110),"")</f>
        <v>0</v>
      </c>
      <c r="BT91">
        <f>IFERROR(AVERAGE('Fat Spreads'!AD91:AD110)-2*STDEV('Fat Spreads'!AD91:AD110),"")</f>
        <v>0</v>
      </c>
      <c r="BU91" t="str">
        <f>IFERROR(('Fat Spreads'!AD91-(AVERAGE('Fat Spreads'!AD91:AD110)-2*STDEV('Fat Spreads'!AD91:AD110)))/(4*STDEV('Fat Spreads'!AD91:AD110)),"")</f>
        <v/>
      </c>
      <c r="BV91" t="str">
        <f>IFERROR(4*STDEV('Fat Spreads'!AD91:AD110)/AVERAGE('Fat Spreads'!AD91:AD110),"")</f>
        <v/>
      </c>
      <c r="BW91">
        <v>53.572699999999998</v>
      </c>
      <c r="BX91">
        <f>IFERROR(SQRT((SUMSQ('Fat Spreads'!AD91:AD110)-2*SUMPRODUCT('Fat Spreads'!AD91:AD110,'Fat Spreads'!AD92:AD111)+SUMSQ('Fat Spreads'!AD92:AD111)-('Fat Spreads'!AD91-'Fat Spreads'!AD111)^2/20)/19),"")</f>
        <v>0</v>
      </c>
      <c r="BZ91">
        <f>IFERROR('Feeder Spreads'!A91,"")</f>
        <v>0</v>
      </c>
      <c r="CA91">
        <f>IFERROR(('Feeder Spreads'!B91-AVERAGE('Feeder Spreads'!$B$3:$B$4308))/STDEV('Feeder Spreads'!$B$3:$B$4308),"")</f>
        <v>-9.2057461789832346E-2</v>
      </c>
      <c r="CB91">
        <f>IFERROR('Feeder Spreads'!B91-'Feeder Spreads'!B96,"")</f>
        <v>0</v>
      </c>
      <c r="CC91">
        <f>IFERROR('Feeder Spreads'!B91-'Feeder Spreads'!B101,"")</f>
        <v>0</v>
      </c>
      <c r="CD91">
        <f>IFERROR(AVERAGE('Feeder Spreads'!B91:B110)+2*STDEV('Feeder Spreads'!B91:B110),"")</f>
        <v>0</v>
      </c>
      <c r="CE91">
        <f>IFERROR(AVERAGE('Feeder Spreads'!B91:B110)-2*STDEV('Feeder Spreads'!B91:B110),"")</f>
        <v>0</v>
      </c>
      <c r="CF91" t="str">
        <f>IFERROR(('Feeder Spreads'!B91-(AVERAGE('Feeder Spreads'!B91:B110)-2*STDEV('Feeder Spreads'!B91:B110)))/(4*STDEV('Feeder Spreads'!B91:B110)),"")</f>
        <v/>
      </c>
      <c r="CG91" t="str">
        <f>IFERROR(4*STDEV('Feeder Spreads'!B91:B110)/AVERAGE('Feeder Spreads'!B91:B110),"")</f>
        <v/>
      </c>
      <c r="CH91">
        <v>50.8767</v>
      </c>
      <c r="CI91">
        <f>IFERROR(SQRT((SUMSQ('Feeder Spreads'!B91:B110)-2*SUMPRODUCT('Feeder Spreads'!B91:B110,'Feeder Spreads'!B92:B111)+SUMSQ('Feeder Spreads'!B92:B111)-('Feeder Spreads'!B91-'Feeder Spreads'!B111)^2/20)/19),"")</f>
        <v>0</v>
      </c>
      <c r="CK91">
        <f>IFERROR('Feeder Spreads'!AX91,"")</f>
        <v>0</v>
      </c>
      <c r="CL91">
        <f>IFERROR(('Feeder Spreads'!AY91-AVERAGE('Feeder Spreads'!$AY$3:$AY$4308))/STDEV('Feeder Spreads'!$AY$3:$AY$4308),"")</f>
        <v>-9.2057461789832346E-2</v>
      </c>
      <c r="CM91">
        <f>IFERROR('Feeder Spreads'!AY91-'Feeder Spreads'!AY96,"")</f>
        <v>0</v>
      </c>
      <c r="CN91">
        <f>IFERROR('Feeder Spreads'!AY91-'Feeder Spreads'!AY101,"")</f>
        <v>0</v>
      </c>
      <c r="CO91">
        <f>IFERROR(AVERAGE('Feeder Spreads'!AY91:AY110)+2*STDEV('Feeder Spreads'!AY91:AY110),"")</f>
        <v>0</v>
      </c>
      <c r="CP91">
        <f>IFERROR(AVERAGE('Feeder Spreads'!AY91:AY110)-2*STDEV('Feeder Spreads'!AY91:AY110),"")</f>
        <v>0</v>
      </c>
      <c r="CQ91" t="str">
        <f>IFERROR(('Feeder Spreads'!AY91-(AVERAGE('Feeder Spreads'!AY91:AY110)-2*STDEV('Feeder Spreads'!AY91:AY110)))/(4*STDEV('Feeder Spreads'!AY91:AY110)),"")</f>
        <v/>
      </c>
      <c r="CR91" t="str">
        <f>IFERROR(4*STDEV('Feeder Spreads'!AY91:AY110)/AVERAGE('Feeder Spreads'!AY91:AY110),"")</f>
        <v/>
      </c>
      <c r="CS91">
        <v>38.091799999999999</v>
      </c>
      <c r="CT91">
        <f>IFERROR(SQRT((SUMSQ('Feeder Spreads'!AY91:AY110)-2*SUMPRODUCT('Feeder Spreads'!AY91:AY110,'Feeder Spreads'!AY92:AY111)+SUMSQ('Feeder Spreads'!AY92:AY111)-('Feeder Spreads'!AY91-'Feeder Spreads'!AY111)^2/20)/19),"")</f>
        <v>0</v>
      </c>
      <c r="CV91">
        <f>IFERROR('Feeder Spreads'!H91,"")</f>
        <v>0</v>
      </c>
      <c r="CW91">
        <f>IFERROR(('Feeder Spreads'!I91-AVERAGE('Feeder Spreads'!$I$3:$I$4308))/STDEV('Feeder Spreads'!$I$3:$I$4308),"")</f>
        <v>-9.2057461789832332E-2</v>
      </c>
      <c r="CX91">
        <f>IFERROR('Feeder Spreads'!I91-'Feeder Spreads'!I96,"")</f>
        <v>0</v>
      </c>
      <c r="CY91">
        <f>IFERROR('Feeder Spreads'!I91-'Feeder Spreads'!I101,"")</f>
        <v>0</v>
      </c>
      <c r="CZ91">
        <f>IFERROR(AVERAGE('Feeder Spreads'!I91:I110)+2*STDEV('Feeder Spreads'!I91:I110),"")</f>
        <v>0</v>
      </c>
      <c r="DA91">
        <f>IFERROR(AVERAGE('Feeder Spreads'!I91:I110)-2*STDEV('Feeder Spreads'!I91:I110),"")</f>
        <v>0</v>
      </c>
      <c r="DB91" t="str">
        <f>IFERROR(('Feeder Spreads'!I91-(AVERAGE('Feeder Spreads'!I91:I110)-2*STDEV('Feeder Spreads'!I91:I110)))/(4*STDEV('Feeder Spreads'!I91:I110)),"")</f>
        <v/>
      </c>
      <c r="DC91" t="str">
        <f>IFERROR(4*STDEV('Feeder Spreads'!I91:I110)/AVERAGE('Feeder Spreads'!I91:I110),"")</f>
        <v/>
      </c>
      <c r="DD91">
        <v>47.752800000000001</v>
      </c>
      <c r="DE91">
        <f>IFERROR(SQRT((SUMSQ('Feeder Spreads'!I91:I110)-2*SUMPRODUCT('Feeder Spreads'!I91:I110,'Feeder Spreads'!I92:I111)+SUMSQ('Feeder Spreads'!I92:I111)-('Feeder Spreads'!I91-'Feeder Spreads'!I111)^2/20)/19),"")</f>
        <v>0</v>
      </c>
      <c r="DG91">
        <f>IFERROR('Feeder Spreads'!O91,"")</f>
        <v>0</v>
      </c>
      <c r="DH91">
        <f>IFERROR(('Feeder Spreads'!P91-AVERAGE('Feeder Spreads'!$P$3:$P$4308))/STDEV('Feeder Spreads'!$P$3:$P$4308),"")</f>
        <v>-9.2057461789832346E-2</v>
      </c>
      <c r="DI91">
        <f>IFERROR('Feeder Spreads'!P91-'Feeder Spreads'!P96,"")</f>
        <v>0</v>
      </c>
      <c r="DJ91">
        <f>IFERROR('Feeder Spreads'!P91-'Feeder Spreads'!P101,"")</f>
        <v>0</v>
      </c>
      <c r="DK91">
        <f>IFERROR(AVERAGE('Feeder Spreads'!P91:P110)+2*STDEV('Feeder Spreads'!P91:P110),"")</f>
        <v>0</v>
      </c>
      <c r="DL91">
        <f>IFERROR(AVERAGE('Feeder Spreads'!P91:P110)-2*STDEV('Feeder Spreads'!P91:P110),"")</f>
        <v>0</v>
      </c>
      <c r="DM91" t="str">
        <f>IFERROR(('Feeder Spreads'!P91-(AVERAGE('Feeder Spreads'!P91:P110)-2*STDEV('Feeder Spreads'!P91:P110)))/(4*STDEV('Feeder Spreads'!P91:P110)),"")</f>
        <v/>
      </c>
      <c r="DN91" t="str">
        <f>IFERROR(4*STDEV('Feeder Spreads'!P91:P110)/AVERAGE('Feeder Spreads'!P91:P110),"")</f>
        <v/>
      </c>
      <c r="DO91">
        <v>62.711399999999998</v>
      </c>
      <c r="DP91">
        <f>IFERROR(SQRT((SUMSQ('Feeder Spreads'!P91:P110)-2*SUMPRODUCT('Feeder Spreads'!P91:P110,'Feeder Spreads'!P92:P111)+SUMSQ('Feeder Spreads'!P92:P111)-('Feeder Spreads'!P91-'Feeder Spreads'!P111)^2/20)/19),"")</f>
        <v>0</v>
      </c>
      <c r="DR91">
        <f>IFERROR('Feeder Spreads'!V91,"")</f>
        <v>0</v>
      </c>
      <c r="DS91">
        <f>IFERROR(('Feeder Spreads'!W91-AVERAGE('Feeder Spreads'!$W$3:$W$4308))/STDEV('Feeder Spreads'!$W$3:$W$4308),"")</f>
        <v>-9.2057461789832332E-2</v>
      </c>
      <c r="DT91">
        <f>IFERROR('Feeder Spreads'!W91-'Feeder Spreads'!W96,"")</f>
        <v>0</v>
      </c>
      <c r="DU91">
        <f>IFERROR('Feeder Spreads'!W91-'Feeder Spreads'!W101,"")</f>
        <v>0</v>
      </c>
      <c r="DV91">
        <f>IFERROR(AVERAGE('Feeder Spreads'!W91:W110)+2*STDEV('Feeder Spreads'!W91:W110),"")</f>
        <v>0</v>
      </c>
      <c r="DW91">
        <f>IFERROR(AVERAGE('Feeder Spreads'!W91:W110)-2*STDEV('Feeder Spreads'!W91:W110),"")</f>
        <v>0</v>
      </c>
      <c r="DX91" t="str">
        <f>IFERROR(('Feeder Spreads'!W91-(AVERAGE('Feeder Spreads'!W91:W110)-2*STDEV('Feeder Spreads'!W91:W110)))/(4*STDEV('Feeder Spreads'!W91:W110)),"")</f>
        <v/>
      </c>
      <c r="DY91" t="str">
        <f>IFERROR(4*STDEV('Feeder Spreads'!W91:W110)/AVERAGE('Feeder Spreads'!W91:W110),"")</f>
        <v/>
      </c>
      <c r="DZ91">
        <v>49.835299999999997</v>
      </c>
      <c r="EA91">
        <f>IFERROR(SQRT((SUMSQ('Feeder Spreads'!W91:W110)-2*SUMPRODUCT('Feeder Spreads'!W91:W110,'Feeder Spreads'!W92:W111)+SUMSQ('Feeder Spreads'!W92:W111)-('Feeder Spreads'!W91-'Feeder Spreads'!W111)^2/20)/19),"")</f>
        <v>0</v>
      </c>
      <c r="EC91">
        <f>IFERROR('Feeder Spreads'!AC91,"")</f>
        <v>0</v>
      </c>
      <c r="ED91">
        <f>IFERROR(('Feeder Spreads'!AD91-AVERAGE('Feeder Spreads'!$AD$3:$AD$4308))/STDEV('Feeder Spreads'!$AD$3:$AD$4308),"")</f>
        <v>9.2057461789832318E-2</v>
      </c>
      <c r="EE91">
        <f>IFERROR('Feeder Spreads'!AD91-'Feeder Spreads'!AD96,"")</f>
        <v>0</v>
      </c>
      <c r="EF91">
        <f>IFERROR('Feeder Spreads'!AD91-'Feeder Spreads'!AD101,"")</f>
        <v>0</v>
      </c>
      <c r="EG91">
        <f>IFERROR(AVERAGE('Feeder Spreads'!AD91:AD110)+2*STDEV('Feeder Spreads'!AD91:AD110),"")</f>
        <v>0</v>
      </c>
      <c r="EH91">
        <f>IFERROR(AVERAGE('Feeder Spreads'!AD91:AD110)-2*STDEV('Feeder Spreads'!AD91:AD110),"")</f>
        <v>0</v>
      </c>
      <c r="EI91" t="str">
        <f>IFERROR(('Feeder Spreads'!AD91-(AVERAGE('Feeder Spreads'!AD91:AD110)-2*STDEV('Feeder Spreads'!AD91:AD110)))/(4*STDEV('Feeder Spreads'!AD91:AD110)),"")</f>
        <v/>
      </c>
      <c r="EJ91" t="str">
        <f>IFERROR(4*STDEV('Feeder Spreads'!AD91:AD110)/AVERAGE('Feeder Spreads'!AD91:AD110),"")</f>
        <v/>
      </c>
      <c r="EK91">
        <v>48.966000000000001</v>
      </c>
      <c r="EL91">
        <f>IFERROR(SQRT((SUMSQ('Feeder Spreads'!AD91:AD110)-2*SUMPRODUCT('Feeder Spreads'!AD91:AD110,'Feeder Spreads'!AD92:AD111)+SUMSQ('Feeder Spreads'!AD92:AD111)-('Feeder Spreads'!AD91-'Feeder Spreads'!AD111)^2/20)/19),"")</f>
        <v>0</v>
      </c>
      <c r="EN91">
        <f>IFERROR('Feeder Spreads'!AJ91,"")</f>
        <v>0</v>
      </c>
      <c r="EO91">
        <f>IFERROR(('Feeder Spreads'!AK91-AVERAGE('Feeder Spreads'!$AK$3:$AK$4308))/STDEV('Feeder Spreads'!$AK$3:$AK$4308),"")</f>
        <v>-9.2057461789832346E-2</v>
      </c>
      <c r="EP91">
        <f>IFERROR('Feeder Spreads'!AK91-'Feeder Spreads'!AK96,"")</f>
        <v>0</v>
      </c>
      <c r="EQ91">
        <f>IFERROR('Feeder Spreads'!AK91-'Feeder Spreads'!AK101,"")</f>
        <v>0</v>
      </c>
      <c r="ER91">
        <f>IFERROR(AVERAGE('Feeder Spreads'!AK91:AK110)+2*STDEV('Feeder Spreads'!AK91:AK110),"")</f>
        <v>0</v>
      </c>
      <c r="ES91">
        <f>IFERROR(AVERAGE('Feeder Spreads'!AK91:AK110)-2*STDEV('Feeder Spreads'!AK91:AK110),"")</f>
        <v>0</v>
      </c>
      <c r="ET91" t="str">
        <f>IFERROR(('Feeder Spreads'!AK91-(AVERAGE('Feeder Spreads'!AK91:AK110)-2*STDEV('Feeder Spreads'!AK91:AK110)))/(4*STDEV('Feeder Spreads'!AK91:AK110)),"")</f>
        <v/>
      </c>
      <c r="EU91" t="str">
        <f>IFERROR(4*STDEV('Feeder Spreads'!AK91:AK110)/AVERAGE('Feeder Spreads'!AK91:AK110),"")</f>
        <v/>
      </c>
      <c r="EV91">
        <v>52.447499999999998</v>
      </c>
      <c r="EW91">
        <f>IFERROR(SQRT((SUMSQ('Feeder Spreads'!AK91:AK110)-2*SUMPRODUCT('Feeder Spreads'!AK91:AK110,'Feeder Spreads'!AK92:AK111)+SUMSQ('Feeder Spreads'!AK92:AK111)-('Feeder Spreads'!AK91-'Feeder Spreads'!AK111)^2/20)/19),"")</f>
        <v>0</v>
      </c>
      <c r="EY91">
        <f>IFERROR('Feeder Spreads'!AQ91,"")</f>
        <v>0</v>
      </c>
      <c r="EZ91">
        <f>IFERROR(('Feeder Spreads'!AR91-AVERAGE('Feeder Spreads'!$AR$3:$AR$4308))/STDEV('Feeder Spreads'!$AR$3:$AR$4308),"")</f>
        <v>-9.2057461789832332E-2</v>
      </c>
      <c r="FA91">
        <f>IFERROR('Feeder Spreads'!AR91-'Feeder Spreads'!AR96,"")</f>
        <v>0</v>
      </c>
      <c r="FB91">
        <f>IFERROR('Feeder Spreads'!AR91-'Feeder Spreads'!AR101,"")</f>
        <v>0</v>
      </c>
      <c r="FC91">
        <f>IFERROR(AVERAGE('Feeder Spreads'!AR91:AR110)+2*STDEV('Feeder Spreads'!AR91:AR110),"")</f>
        <v>0</v>
      </c>
      <c r="FD91">
        <f>IFERROR(AVERAGE('Feeder Spreads'!AR91:AR110)-2*STDEV('Feeder Spreads'!AR91:AR110),"")</f>
        <v>0</v>
      </c>
      <c r="FE91" t="str">
        <f>IFERROR(('Feeder Spreads'!AR91-(AVERAGE('Feeder Spreads'!AR91:AR110)-2*STDEV('Feeder Spreads'!AR91:AR110)))/(4*STDEV('Feeder Spreads'!AR91:AR110)),"")</f>
        <v/>
      </c>
      <c r="FF91" t="str">
        <f>IFERROR(4*STDEV('Feeder Spreads'!AR91:AR110)/AVERAGE('Feeder Spreads'!AR91:AR110),"")</f>
        <v/>
      </c>
      <c r="FG91">
        <v>57.566499999999998</v>
      </c>
      <c r="FH91">
        <f>IFERROR(SQRT((SUMSQ('Feeder Spreads'!AR91:AR110)-2*SUMPRODUCT('Feeder Spreads'!AR91:AR110,'Feeder Spreads'!AR92:AR111)+SUMSQ('Feeder Spreads'!AR92:AR111)-('Feeder Spreads'!AR91-'Feeder Spreads'!AR111)^2/20)/19),"")</f>
        <v>0</v>
      </c>
      <c r="FJ91">
        <f>IFERROR('Fat Spreads'!AX91,"")</f>
        <v>0</v>
      </c>
      <c r="FK91">
        <f>IFERROR(('Fat Spreads'!AY91-AVERAGE('Fat Spreads'!$AY$3:$AY$4308))/STDEV('Fat Spreads'!$AY$3:$AY$4308),"")</f>
        <v>9.2057461789832332E-2</v>
      </c>
      <c r="FL91">
        <f>IFERROR('Fat Spreads'!AY91-'Fat Spreads'!AY96,"")</f>
        <v>0</v>
      </c>
      <c r="FM91">
        <f>IFERROR('Fat Spreads'!AY91-'Fat Spreads'!AY101,"")</f>
        <v>0</v>
      </c>
      <c r="FN91">
        <f>IFERROR(AVERAGE('Fat Spreads'!AY91:AY110)+2*STDEV('Fat Spreads'!AY91:AY110),"")</f>
        <v>0</v>
      </c>
      <c r="FO91">
        <f>IFERROR(AVERAGE('Fat Spreads'!AY91:AY110)-2*STDEV('Fat Spreads'!AY91:AY110),"")</f>
        <v>0</v>
      </c>
      <c r="FP91" t="str">
        <f>IFERROR(('Fat Spreads'!AY91-(AVERAGE('Fat Spreads'!AY91:AY110)-2*STDEV('Fat Spreads'!AY91:AY110)))/(4*STDEV('Fat Spreads'!AY91:AY110)),"")</f>
        <v/>
      </c>
      <c r="FQ91" t="str">
        <f>IFERROR(4*STDEV('Fat Spreads'!AY91:AY110)/AVERAGE('Fat Spreads'!AY91:AY110),"")</f>
        <v/>
      </c>
      <c r="FR91">
        <v>44.935099999999998</v>
      </c>
      <c r="FS91">
        <f>IFERROR(SQRT((SUMSQ('Fat Spreads'!AY91:AY110)-2*SUMPRODUCT('Fat Spreads'!AY91:AY110,'Fat Spreads'!AY92:AY111)+SUMSQ('Fat Spreads'!AY92:AY111)-('Fat Spreads'!AY91-'Fat Spreads'!AY111)^2/20)/19),"")</f>
        <v>0</v>
      </c>
      <c r="FU91">
        <f>IFERROR('Fat Spreads'!BE91,"")</f>
        <v>0</v>
      </c>
      <c r="FV91">
        <f>IFERROR(('Fat Spreads'!BF91-AVERAGE('Fat Spreads'!$BF$3:$BF$4308))/STDEV('Fat Spreads'!$BF$3:$BF$4308),"")</f>
        <v>9.2057461789832332E-2</v>
      </c>
      <c r="FW91">
        <f>IFERROR('Fat Spreads'!BF91-'Fat Spreads'!BF96,"")</f>
        <v>0</v>
      </c>
      <c r="FX91">
        <f>IFERROR('Fat Spreads'!BF91-'Fat Spreads'!BF101,"")</f>
        <v>0</v>
      </c>
      <c r="FY91">
        <f>IFERROR(AVERAGE('Fat Spreads'!BF91:BF110)+2*STDEV('Fat Spreads'!BF91:BF110),"")</f>
        <v>0</v>
      </c>
      <c r="FZ91">
        <f>IFERROR(AVERAGE('Fat Spreads'!BF91:BF110)-2*STDEV('Fat Spreads'!BF91:BF110),"")</f>
        <v>0</v>
      </c>
      <c r="GA91" t="str">
        <f>IFERROR(('Fat Spreads'!BF91-(AVERAGE('Fat Spreads'!BF91:BF110)-2*STDEV('Fat Spreads'!BF91:BF110)))/(4*STDEV('Fat Spreads'!BF91:BF110)),"")</f>
        <v/>
      </c>
      <c r="GB91" t="str">
        <f>IFERROR(4*STDEV('Fat Spreads'!BF91:BF110)/AVERAGE('Fat Spreads'!BF91:BF110),"")</f>
        <v/>
      </c>
      <c r="GC91">
        <v>40.602600000000002</v>
      </c>
      <c r="GD91">
        <f>IFERROR(SQRT((SUMSQ('Fat Spreads'!BF91:BF110)-2*SUMPRODUCT('Fat Spreads'!BF91:BF110,'Fat Spreads'!BF92:BF111)+SUMSQ('Fat Spreads'!BF92:BF111)-('Fat Spreads'!BF91-'Fat Spreads'!BF111)^2/20)/19),"")</f>
        <v>0</v>
      </c>
    </row>
    <row r="92" spans="1:186" x14ac:dyDescent="0.25">
      <c r="A92">
        <f>IFERROR('Fat Spreads'!A92,"")</f>
        <v>0</v>
      </c>
      <c r="B92">
        <f>IFERROR(('Fat Spreads'!B92-AVERAGE('Fat Spreads'!$B$3:$B$4308))/STDEV('Fat Spreads'!$B$3:$B$4308),"")</f>
        <v>9.2057461789832346E-2</v>
      </c>
      <c r="C92">
        <f>IFERROR('Fat Spreads'!B92-'Fat Spreads'!B97,"")</f>
        <v>0</v>
      </c>
      <c r="D92">
        <f>IFERROR('Fat Spreads'!B92-'Fat Spreads'!B102,"")</f>
        <v>0</v>
      </c>
      <c r="E92">
        <f>IFERROR(AVERAGE('Fat Spreads'!B92:B111)+2*STDEV('Fat Spreads'!B92:B111),"")</f>
        <v>0</v>
      </c>
      <c r="F92">
        <f>IFERROR(AVERAGE('Fat Spreads'!B92:B111)-2*STDEV('Fat Spreads'!B92:B111),"")</f>
        <v>0</v>
      </c>
      <c r="G92" t="str">
        <f>IFERROR(('Fat Spreads'!B92-(AVERAGE('Fat Spreads'!B92:B111)-2*STDEV('Fat Spreads'!B92:B111)))/(4*STDEV('Fat Spreads'!B92:B111)),"")</f>
        <v/>
      </c>
      <c r="H92" t="str">
        <f>IFERROR(4*STDEV('Fat Spreads'!B92:B111)/AVERAGE('Fat Spreads'!B92:B111),"")</f>
        <v/>
      </c>
      <c r="I92">
        <v>37.604199999999999</v>
      </c>
      <c r="J92">
        <f>IFERROR(SQRT((SUMSQ('Fat Spreads'!B92:B111)-2*SUMPRODUCT('Fat Spreads'!B92:B111,'Fat Spreads'!B93:B112)+SUMSQ('Fat Spreads'!B93:B112)-('Fat Spreads'!B92-'Fat Spreads'!B112)^2/20)/19),"")</f>
        <v>0</v>
      </c>
      <c r="L92">
        <f>IFERROR('Fat Spreads'!H92,"")</f>
        <v>0</v>
      </c>
      <c r="M92">
        <f>IFERROR(('Fat Spreads'!I92-AVERAGE('Fat Spreads'!$I$3:$I$4308))/STDEV('Fat Spreads'!$I$3:$I$4308),"")</f>
        <v>-9.2057461789832332E-2</v>
      </c>
      <c r="N92">
        <f>IFERROR('Fat Spreads'!I92-'Fat Spreads'!I97,"")</f>
        <v>0</v>
      </c>
      <c r="O92">
        <f>IFERROR('Fat Spreads'!I92-'Fat Spreads'!I102,"")</f>
        <v>0</v>
      </c>
      <c r="P92">
        <f>IFERROR(AVERAGE('Fat Spreads'!I92:I111)+2*STDEV('Fat Spreads'!I92:I111),"")</f>
        <v>0</v>
      </c>
      <c r="Q92">
        <f>IFERROR(AVERAGE('Fat Spreads'!I92:I111)-2*STDEV('Fat Spreads'!I92:I111),"")</f>
        <v>0</v>
      </c>
      <c r="R92" t="str">
        <f>IFERROR(('Fat Spreads'!I92-(AVERAGE('Fat Spreads'!I92:I111)-2*STDEV('Fat Spreads'!I92:I111)))/(4*STDEV('Fat Spreads'!I92:I111)),"")</f>
        <v/>
      </c>
      <c r="S92" t="str">
        <f>IFERROR(4*STDEV('Fat Spreads'!I92:I111)/AVERAGE('Fat Spreads'!I92:I111),"")</f>
        <v/>
      </c>
      <c r="T92">
        <v>47.022199999999998</v>
      </c>
      <c r="U92">
        <f>IFERROR(SQRT((SUMSQ('Fat Spreads'!I92:I111)-2*SUMPRODUCT('Fat Spreads'!I92:I111,'Fat Spreads'!I93:I112)+SUMSQ('Fat Spreads'!I93:I112)-('Fat Spreads'!I92-'Fat Spreads'!I112)^2/20)/19),"")</f>
        <v>0</v>
      </c>
      <c r="W92">
        <f>IFERROR('Fat Spreads'!AQ92,"")</f>
        <v>0</v>
      </c>
      <c r="X92">
        <f>IFERROR(('Fat Spreads'!AR92-AVERAGE('Fat Spreads'!$AR$3:$AR$4308))/STDEV('Fat Spreads'!$AR$3:$AR$4308),"")</f>
        <v>-9.2057461789832346E-2</v>
      </c>
      <c r="Y92">
        <f>IFERROR('Fat Spreads'!AR92-'Fat Spreads'!AR97,"")</f>
        <v>0</v>
      </c>
      <c r="Z92">
        <f>IFERROR('Fat Spreads'!AR92-'Fat Spreads'!AR102,"")</f>
        <v>0</v>
      </c>
      <c r="AA92">
        <f>IFERROR(AVERAGE('Fat Spreads'!AR92:AR111)+2*STDEV('Fat Spreads'!AR92:AR111),"")</f>
        <v>0</v>
      </c>
      <c r="AB92">
        <f>IFERROR(AVERAGE('Fat Spreads'!AR92:AR111)-2*STDEV('Fat Spreads'!AR92:AR111),"")</f>
        <v>0</v>
      </c>
      <c r="AC92" t="str">
        <f>IFERROR(('Fat Spreads'!AR92-(AVERAGE('Fat Spreads'!AR92:AR111)-2*STDEV('Fat Spreads'!AR92:AR111)))/(4*STDEV('Fat Spreads'!AR92:AR111)),"")</f>
        <v/>
      </c>
      <c r="AD92" t="str">
        <f>IFERROR(4*STDEV('Fat Spreads'!AR92:AR111)/AVERAGE('Fat Spreads'!AR92:AR111),"")</f>
        <v/>
      </c>
      <c r="AE92">
        <v>51.181699999999999</v>
      </c>
      <c r="AF92">
        <f>IFERROR(SQRT((SUMSQ('Fat Spreads'!AR92:AR111)-2*SUMPRODUCT('Fat Spreads'!AR92:AR111,'Fat Spreads'!AR93:AR112)+SUMSQ('Fat Spreads'!AR93:AR112)-('Fat Spreads'!AR92-'Fat Spreads'!AR112)^2/20)/19),"")</f>
        <v>0</v>
      </c>
      <c r="AH92">
        <f>IFERROR('Fat Spreads'!O92,"")</f>
        <v>0</v>
      </c>
      <c r="AI92">
        <f>IFERROR(('Fat Spreads'!P92-AVERAGE('Fat Spreads'!$P$3:$P$4308))/STDEV('Fat Spreads'!$P$3:$P$4308),"")</f>
        <v>-9.2057461789832332E-2</v>
      </c>
      <c r="AJ92">
        <f>IFERROR('Fat Spreads'!P92-'Fat Spreads'!P97,"")</f>
        <v>0</v>
      </c>
      <c r="AK92">
        <f>IFERROR('Fat Spreads'!P92-'Fat Spreads'!P102,"")</f>
        <v>0</v>
      </c>
      <c r="AL92">
        <f>IFERROR(AVERAGE('Fat Spreads'!P92:P111)+2*STDEV('Fat Spreads'!P92:P111),"")</f>
        <v>0</v>
      </c>
      <c r="AM92">
        <f>IFERROR(AVERAGE('Fat Spreads'!P92:P111)-2*STDEV('Fat Spreads'!P92:P111),"")</f>
        <v>0</v>
      </c>
      <c r="AN92" t="str">
        <f>IFERROR(('Fat Spreads'!P92-(AVERAGE('Fat Spreads'!P92:P111)-2*STDEV('Fat Spreads'!P92:P111)))/(4*STDEV('Fat Spreads'!P92:P111)),"")</f>
        <v/>
      </c>
      <c r="AO92" t="str">
        <f>IFERROR(4*STDEV('Fat Spreads'!P92:P111)/AVERAGE('Fat Spreads'!P92:P111),"")</f>
        <v/>
      </c>
      <c r="AP92">
        <v>58.438400000000001</v>
      </c>
      <c r="AQ92">
        <f>IFERROR(SQRT((SUMSQ('Fat Spreads'!P92:P111)-2*SUMPRODUCT('Fat Spreads'!P92:P111,'Fat Spreads'!P93:P112)+SUMSQ('Fat Spreads'!P93:P112)-('Fat Spreads'!P92-'Fat Spreads'!P112)^2/20)/19),"")</f>
        <v>0</v>
      </c>
      <c r="AS92">
        <f>IFERROR('Fat Spreads'!AJ92,"")</f>
        <v>0</v>
      </c>
      <c r="AT92">
        <f>IFERROR(('Fat Spreads'!AK92-AVERAGE('Fat Spreads'!$AK$3:$AK$4308))/STDEV('Fat Spreads'!$AK$3:$AK$4308),"")</f>
        <v>-9.2057461789832332E-2</v>
      </c>
      <c r="AU92">
        <f>IFERROR('Fat Spreads'!AK92-'Fat Spreads'!AK97,"")</f>
        <v>0</v>
      </c>
      <c r="AV92">
        <f>IFERROR('Fat Spreads'!AK92-'Fat Spreads'!AK102,"")</f>
        <v>0</v>
      </c>
      <c r="AW92">
        <f>IFERROR(AVERAGE('Fat Spreads'!AK92:AK111)+2*STDEV('Fat Spreads'!AK92:AK111),"")</f>
        <v>0</v>
      </c>
      <c r="AX92">
        <f>IFERROR(AVERAGE('Fat Spreads'!AK92:AK111)-2*STDEV('Fat Spreads'!AK92:AK111),"")</f>
        <v>0</v>
      </c>
      <c r="AY92" t="str">
        <f>IFERROR(('Fat Spreads'!AK92-(AVERAGE('Fat Spreads'!AK92:AK111)-2*STDEV('Fat Spreads'!AK92:AK111)))/(4*STDEV('Fat Spreads'!AK92:AK111)),"")</f>
        <v/>
      </c>
      <c r="AZ92" t="str">
        <f>IFERROR(4*STDEV('Fat Spreads'!AK92:AK111)/AVERAGE('Fat Spreads'!AK92:AK111),"")</f>
        <v/>
      </c>
      <c r="BA92">
        <v>48.500900000000001</v>
      </c>
      <c r="BB92">
        <f>IFERROR(SQRT((SUMSQ('Fat Spreads'!AK92:AK111)-2*SUMPRODUCT('Fat Spreads'!AK92:AK111,'Fat Spreads'!AK93:AK112)+SUMSQ('Fat Spreads'!AK93:AK112)-('Fat Spreads'!AK92-'Fat Spreads'!AK112)^2/20)/19),"")</f>
        <v>0</v>
      </c>
      <c r="BD92">
        <f>IFERROR('Fat Spreads'!V92,"")</f>
        <v>0</v>
      </c>
      <c r="BE92">
        <f>IFERROR(('Fat Spreads'!W92-AVERAGE('Fat Spreads'!$W$3:$W$4308))/STDEV('Fat Spreads'!$W$3:$W$4308),"")</f>
        <v>-9.2057461789832332E-2</v>
      </c>
      <c r="BF92">
        <f>IFERROR('Fat Spreads'!W92-'Fat Spreads'!W97,"")</f>
        <v>0</v>
      </c>
      <c r="BG92">
        <f>IFERROR('Fat Spreads'!W92-'Fat Spreads'!W102,"")</f>
        <v>0</v>
      </c>
      <c r="BH92">
        <f>IFERROR(AVERAGE('Fat Spreads'!W92:W111)+2*STDEV('Fat Spreads'!W92:W111),"")</f>
        <v>0</v>
      </c>
      <c r="BI92">
        <f>IFERROR(AVERAGE('Fat Spreads'!W92:W111)-2*STDEV('Fat Spreads'!W92:W111),"")</f>
        <v>0</v>
      </c>
      <c r="BJ92" t="str">
        <f>IFERROR(('Fat Spreads'!W92-(AVERAGE('Fat Spreads'!W92:W111)-2*STDEV('Fat Spreads'!W92:W111)))/(4*STDEV('Fat Spreads'!W92:W111)),"")</f>
        <v/>
      </c>
      <c r="BK92" t="str">
        <f>IFERROR(4*STDEV('Fat Spreads'!W92:W111)/AVERAGE('Fat Spreads'!W92:W111),"")</f>
        <v/>
      </c>
      <c r="BL92">
        <v>48.785299999999999</v>
      </c>
      <c r="BM92">
        <f>IFERROR(SQRT((SUMSQ('Fat Spreads'!W92:W111)-2*SUMPRODUCT('Fat Spreads'!W92:W111,'Fat Spreads'!W93:W112)+SUMSQ('Fat Spreads'!W93:W112)-('Fat Spreads'!W92-'Fat Spreads'!W112)^2/20)/19),"")</f>
        <v>0</v>
      </c>
      <c r="BO92">
        <f>IFERROR('Fat Spreads'!AC92,"")</f>
        <v>0</v>
      </c>
      <c r="BP92">
        <f>IFERROR(('Fat Spreads'!AD92-AVERAGE('Fat Spreads'!$AD$3:$AD$4308))/STDEV('Fat Spreads'!$AD$3:$AD$4308),"")</f>
        <v>-9.2057461789832332E-2</v>
      </c>
      <c r="BQ92">
        <f>IFERROR('Fat Spreads'!AD92-'Fat Spreads'!AD97,"")</f>
        <v>0</v>
      </c>
      <c r="BR92">
        <f>IFERROR('Fat Spreads'!AD92-'Fat Spreads'!AD102,"")</f>
        <v>0</v>
      </c>
      <c r="BS92">
        <f>IFERROR(AVERAGE('Fat Spreads'!AD92:AD111)+2*STDEV('Fat Spreads'!AD92:AD111),"")</f>
        <v>0</v>
      </c>
      <c r="BT92">
        <f>IFERROR(AVERAGE('Fat Spreads'!AD92:AD111)-2*STDEV('Fat Spreads'!AD92:AD111),"")</f>
        <v>0</v>
      </c>
      <c r="BU92" t="str">
        <f>IFERROR(('Fat Spreads'!AD92-(AVERAGE('Fat Spreads'!AD92:AD111)-2*STDEV('Fat Spreads'!AD92:AD111)))/(4*STDEV('Fat Spreads'!AD92:AD111)),"")</f>
        <v/>
      </c>
      <c r="BV92" t="str">
        <f>IFERROR(4*STDEV('Fat Spreads'!AD92:AD111)/AVERAGE('Fat Spreads'!AD92:AD111),"")</f>
        <v/>
      </c>
      <c r="BW92">
        <v>53.430999999999997</v>
      </c>
      <c r="BX92">
        <f>IFERROR(SQRT((SUMSQ('Fat Spreads'!AD92:AD111)-2*SUMPRODUCT('Fat Spreads'!AD92:AD111,'Fat Spreads'!AD93:AD112)+SUMSQ('Fat Spreads'!AD93:AD112)-('Fat Spreads'!AD92-'Fat Spreads'!AD112)^2/20)/19),"")</f>
        <v>0</v>
      </c>
      <c r="BZ92">
        <f>IFERROR('Feeder Spreads'!A92,"")</f>
        <v>0</v>
      </c>
      <c r="CA92">
        <f>IFERROR(('Feeder Spreads'!B92-AVERAGE('Feeder Spreads'!$B$3:$B$4308))/STDEV('Feeder Spreads'!$B$3:$B$4308),"")</f>
        <v>-9.2057461789832346E-2</v>
      </c>
      <c r="CB92">
        <f>IFERROR('Feeder Spreads'!B92-'Feeder Spreads'!B97,"")</f>
        <v>0</v>
      </c>
      <c r="CC92">
        <f>IFERROR('Feeder Spreads'!B92-'Feeder Spreads'!B102,"")</f>
        <v>0</v>
      </c>
      <c r="CD92">
        <f>IFERROR(AVERAGE('Feeder Spreads'!B92:B111)+2*STDEV('Feeder Spreads'!B92:B111),"")</f>
        <v>0</v>
      </c>
      <c r="CE92">
        <f>IFERROR(AVERAGE('Feeder Spreads'!B92:B111)-2*STDEV('Feeder Spreads'!B92:B111),"")</f>
        <v>0</v>
      </c>
      <c r="CF92" t="str">
        <f>IFERROR(('Feeder Spreads'!B92-(AVERAGE('Feeder Spreads'!B92:B111)-2*STDEV('Feeder Spreads'!B92:B111)))/(4*STDEV('Feeder Spreads'!B92:B111)),"")</f>
        <v/>
      </c>
      <c r="CG92" t="str">
        <f>IFERROR(4*STDEV('Feeder Spreads'!B92:B111)/AVERAGE('Feeder Spreads'!B92:B111),"")</f>
        <v/>
      </c>
      <c r="CH92">
        <v>49.507599999999996</v>
      </c>
      <c r="CI92">
        <f>IFERROR(SQRT((SUMSQ('Feeder Spreads'!B92:B111)-2*SUMPRODUCT('Feeder Spreads'!B92:B111,'Feeder Spreads'!B93:B112)+SUMSQ('Feeder Spreads'!B93:B112)-('Feeder Spreads'!B92-'Feeder Spreads'!B112)^2/20)/19),"")</f>
        <v>0</v>
      </c>
      <c r="CK92">
        <f>IFERROR('Feeder Spreads'!AX92,"")</f>
        <v>0</v>
      </c>
      <c r="CL92">
        <f>IFERROR(('Feeder Spreads'!AY92-AVERAGE('Feeder Spreads'!$AY$3:$AY$4308))/STDEV('Feeder Spreads'!$AY$3:$AY$4308),"")</f>
        <v>-9.2057461789832346E-2</v>
      </c>
      <c r="CM92">
        <f>IFERROR('Feeder Spreads'!AY92-'Feeder Spreads'!AY97,"")</f>
        <v>0</v>
      </c>
      <c r="CN92">
        <f>IFERROR('Feeder Spreads'!AY92-'Feeder Spreads'!AY102,"")</f>
        <v>0</v>
      </c>
      <c r="CO92">
        <f>IFERROR(AVERAGE('Feeder Spreads'!AY92:AY111)+2*STDEV('Feeder Spreads'!AY92:AY111),"")</f>
        <v>0</v>
      </c>
      <c r="CP92">
        <f>IFERROR(AVERAGE('Feeder Spreads'!AY92:AY111)-2*STDEV('Feeder Spreads'!AY92:AY111),"")</f>
        <v>0</v>
      </c>
      <c r="CQ92" t="str">
        <f>IFERROR(('Feeder Spreads'!AY92-(AVERAGE('Feeder Spreads'!AY92:AY111)-2*STDEV('Feeder Spreads'!AY92:AY111)))/(4*STDEV('Feeder Spreads'!AY92:AY111)),"")</f>
        <v/>
      </c>
      <c r="CR92" t="str">
        <f>IFERROR(4*STDEV('Feeder Spreads'!AY92:AY111)/AVERAGE('Feeder Spreads'!AY92:AY111),"")</f>
        <v/>
      </c>
      <c r="CS92">
        <v>38.223100000000002</v>
      </c>
      <c r="CT92">
        <f>IFERROR(SQRT((SUMSQ('Feeder Spreads'!AY92:AY111)-2*SUMPRODUCT('Feeder Spreads'!AY92:AY111,'Feeder Spreads'!AY93:AY112)+SUMSQ('Feeder Spreads'!AY93:AY112)-('Feeder Spreads'!AY92-'Feeder Spreads'!AY112)^2/20)/19),"")</f>
        <v>0</v>
      </c>
      <c r="CV92">
        <f>IFERROR('Feeder Spreads'!H92,"")</f>
        <v>0</v>
      </c>
      <c r="CW92">
        <f>IFERROR(('Feeder Spreads'!I92-AVERAGE('Feeder Spreads'!$I$3:$I$4308))/STDEV('Feeder Spreads'!$I$3:$I$4308),"")</f>
        <v>-9.2057461789832332E-2</v>
      </c>
      <c r="CX92">
        <f>IFERROR('Feeder Spreads'!I92-'Feeder Spreads'!I97,"")</f>
        <v>0</v>
      </c>
      <c r="CY92">
        <f>IFERROR('Feeder Spreads'!I92-'Feeder Spreads'!I102,"")</f>
        <v>0</v>
      </c>
      <c r="CZ92">
        <f>IFERROR(AVERAGE('Feeder Spreads'!I92:I111)+2*STDEV('Feeder Spreads'!I92:I111),"")</f>
        <v>0</v>
      </c>
      <c r="DA92">
        <f>IFERROR(AVERAGE('Feeder Spreads'!I92:I111)-2*STDEV('Feeder Spreads'!I92:I111),"")</f>
        <v>0</v>
      </c>
      <c r="DB92" t="str">
        <f>IFERROR(('Feeder Spreads'!I92-(AVERAGE('Feeder Spreads'!I92:I111)-2*STDEV('Feeder Spreads'!I92:I111)))/(4*STDEV('Feeder Spreads'!I92:I111)),"")</f>
        <v/>
      </c>
      <c r="DC92" t="str">
        <f>IFERROR(4*STDEV('Feeder Spreads'!I92:I111)/AVERAGE('Feeder Spreads'!I92:I111),"")</f>
        <v/>
      </c>
      <c r="DD92">
        <v>49.170699999999997</v>
      </c>
      <c r="DE92">
        <f>IFERROR(SQRT((SUMSQ('Feeder Spreads'!I92:I111)-2*SUMPRODUCT('Feeder Spreads'!I92:I111,'Feeder Spreads'!I93:I112)+SUMSQ('Feeder Spreads'!I93:I112)-('Feeder Spreads'!I92-'Feeder Spreads'!I112)^2/20)/19),"")</f>
        <v>0</v>
      </c>
      <c r="DG92">
        <f>IFERROR('Feeder Spreads'!O92,"")</f>
        <v>0</v>
      </c>
      <c r="DH92">
        <f>IFERROR(('Feeder Spreads'!P92-AVERAGE('Feeder Spreads'!$P$3:$P$4308))/STDEV('Feeder Spreads'!$P$3:$P$4308),"")</f>
        <v>-9.2057461789832346E-2</v>
      </c>
      <c r="DI92">
        <f>IFERROR('Feeder Spreads'!P92-'Feeder Spreads'!P97,"")</f>
        <v>0</v>
      </c>
      <c r="DJ92">
        <f>IFERROR('Feeder Spreads'!P92-'Feeder Spreads'!P102,"")</f>
        <v>0</v>
      </c>
      <c r="DK92">
        <f>IFERROR(AVERAGE('Feeder Spreads'!P92:P111)+2*STDEV('Feeder Spreads'!P92:P111),"")</f>
        <v>0</v>
      </c>
      <c r="DL92">
        <f>IFERROR(AVERAGE('Feeder Spreads'!P92:P111)-2*STDEV('Feeder Spreads'!P92:P111),"")</f>
        <v>0</v>
      </c>
      <c r="DM92" t="str">
        <f>IFERROR(('Feeder Spreads'!P92-(AVERAGE('Feeder Spreads'!P92:P111)-2*STDEV('Feeder Spreads'!P92:P111)))/(4*STDEV('Feeder Spreads'!P92:P111)),"")</f>
        <v/>
      </c>
      <c r="DN92" t="str">
        <f>IFERROR(4*STDEV('Feeder Spreads'!P92:P111)/AVERAGE('Feeder Spreads'!P92:P111),"")</f>
        <v/>
      </c>
      <c r="DO92">
        <v>61.765799999999999</v>
      </c>
      <c r="DP92">
        <f>IFERROR(SQRT((SUMSQ('Feeder Spreads'!P92:P111)-2*SUMPRODUCT('Feeder Spreads'!P92:P111,'Feeder Spreads'!P93:P112)+SUMSQ('Feeder Spreads'!P93:P112)-('Feeder Spreads'!P92-'Feeder Spreads'!P112)^2/20)/19),"")</f>
        <v>0</v>
      </c>
      <c r="DR92">
        <f>IFERROR('Feeder Spreads'!V92,"")</f>
        <v>0</v>
      </c>
      <c r="DS92">
        <f>IFERROR(('Feeder Spreads'!W92-AVERAGE('Feeder Spreads'!$W$3:$W$4308))/STDEV('Feeder Spreads'!$W$3:$W$4308),"")</f>
        <v>-9.2057461789832332E-2</v>
      </c>
      <c r="DT92">
        <f>IFERROR('Feeder Spreads'!W92-'Feeder Spreads'!W97,"")</f>
        <v>0</v>
      </c>
      <c r="DU92">
        <f>IFERROR('Feeder Spreads'!W92-'Feeder Spreads'!W102,"")</f>
        <v>0</v>
      </c>
      <c r="DV92">
        <f>IFERROR(AVERAGE('Feeder Spreads'!W92:W111)+2*STDEV('Feeder Spreads'!W92:W111),"")</f>
        <v>0</v>
      </c>
      <c r="DW92">
        <f>IFERROR(AVERAGE('Feeder Spreads'!W92:W111)-2*STDEV('Feeder Spreads'!W92:W111),"")</f>
        <v>0</v>
      </c>
      <c r="DX92" t="str">
        <f>IFERROR(('Feeder Spreads'!W92-(AVERAGE('Feeder Spreads'!W92:W111)-2*STDEV('Feeder Spreads'!W92:W111)))/(4*STDEV('Feeder Spreads'!W92:W111)),"")</f>
        <v/>
      </c>
      <c r="DY92" t="str">
        <f>IFERROR(4*STDEV('Feeder Spreads'!W92:W111)/AVERAGE('Feeder Spreads'!W92:W111),"")</f>
        <v/>
      </c>
      <c r="DZ92">
        <v>50.3065</v>
      </c>
      <c r="EA92">
        <f>IFERROR(SQRT((SUMSQ('Feeder Spreads'!W92:W111)-2*SUMPRODUCT('Feeder Spreads'!W92:W111,'Feeder Spreads'!W93:W112)+SUMSQ('Feeder Spreads'!W93:W112)-('Feeder Spreads'!W92-'Feeder Spreads'!W112)^2/20)/19),"")</f>
        <v>0</v>
      </c>
      <c r="EC92">
        <f>IFERROR('Feeder Spreads'!AC92,"")</f>
        <v>0</v>
      </c>
      <c r="ED92">
        <f>IFERROR(('Feeder Spreads'!AD92-AVERAGE('Feeder Spreads'!$AD$3:$AD$4308))/STDEV('Feeder Spreads'!$AD$3:$AD$4308),"")</f>
        <v>9.2057461789832318E-2</v>
      </c>
      <c r="EE92">
        <f>IFERROR('Feeder Spreads'!AD92-'Feeder Spreads'!AD97,"")</f>
        <v>0</v>
      </c>
      <c r="EF92">
        <f>IFERROR('Feeder Spreads'!AD92-'Feeder Spreads'!AD102,"")</f>
        <v>0</v>
      </c>
      <c r="EG92">
        <f>IFERROR(AVERAGE('Feeder Spreads'!AD92:AD111)+2*STDEV('Feeder Spreads'!AD92:AD111),"")</f>
        <v>0</v>
      </c>
      <c r="EH92">
        <f>IFERROR(AVERAGE('Feeder Spreads'!AD92:AD111)-2*STDEV('Feeder Spreads'!AD92:AD111),"")</f>
        <v>0</v>
      </c>
      <c r="EI92" t="str">
        <f>IFERROR(('Feeder Spreads'!AD92-(AVERAGE('Feeder Spreads'!AD92:AD111)-2*STDEV('Feeder Spreads'!AD92:AD111)))/(4*STDEV('Feeder Spreads'!AD92:AD111)),"")</f>
        <v/>
      </c>
      <c r="EJ92" t="str">
        <f>IFERROR(4*STDEV('Feeder Spreads'!AD92:AD111)/AVERAGE('Feeder Spreads'!AD92:AD111),"")</f>
        <v/>
      </c>
      <c r="EK92">
        <v>50.8446</v>
      </c>
      <c r="EL92">
        <f>IFERROR(SQRT((SUMSQ('Feeder Spreads'!AD92:AD111)-2*SUMPRODUCT('Feeder Spreads'!AD92:AD111,'Feeder Spreads'!AD93:AD112)+SUMSQ('Feeder Spreads'!AD93:AD112)-('Feeder Spreads'!AD92-'Feeder Spreads'!AD112)^2/20)/19),"")</f>
        <v>0</v>
      </c>
      <c r="EN92">
        <f>IFERROR('Feeder Spreads'!AJ92,"")</f>
        <v>0</v>
      </c>
      <c r="EO92">
        <f>IFERROR(('Feeder Spreads'!AK92-AVERAGE('Feeder Spreads'!$AK$3:$AK$4308))/STDEV('Feeder Spreads'!$AK$3:$AK$4308),"")</f>
        <v>-9.2057461789832346E-2</v>
      </c>
      <c r="EP92">
        <f>IFERROR('Feeder Spreads'!AK92-'Feeder Spreads'!AK97,"")</f>
        <v>0</v>
      </c>
      <c r="EQ92">
        <f>IFERROR('Feeder Spreads'!AK92-'Feeder Spreads'!AK102,"")</f>
        <v>0</v>
      </c>
      <c r="ER92">
        <f>IFERROR(AVERAGE('Feeder Spreads'!AK92:AK111)+2*STDEV('Feeder Spreads'!AK92:AK111),"")</f>
        <v>0</v>
      </c>
      <c r="ES92">
        <f>IFERROR(AVERAGE('Feeder Spreads'!AK92:AK111)-2*STDEV('Feeder Spreads'!AK92:AK111),"")</f>
        <v>0</v>
      </c>
      <c r="ET92" t="str">
        <f>IFERROR(('Feeder Spreads'!AK92-(AVERAGE('Feeder Spreads'!AK92:AK111)-2*STDEV('Feeder Spreads'!AK92:AK111)))/(4*STDEV('Feeder Spreads'!AK92:AK111)),"")</f>
        <v/>
      </c>
      <c r="EU92" t="str">
        <f>IFERROR(4*STDEV('Feeder Spreads'!AK92:AK111)/AVERAGE('Feeder Spreads'!AK92:AK111),"")</f>
        <v/>
      </c>
      <c r="EV92">
        <v>50.988799999999998</v>
      </c>
      <c r="EW92">
        <f>IFERROR(SQRT((SUMSQ('Feeder Spreads'!AK92:AK111)-2*SUMPRODUCT('Feeder Spreads'!AK92:AK111,'Feeder Spreads'!AK93:AK112)+SUMSQ('Feeder Spreads'!AK93:AK112)-('Feeder Spreads'!AK92-'Feeder Spreads'!AK112)^2/20)/19),"")</f>
        <v>0</v>
      </c>
      <c r="EY92">
        <f>IFERROR('Feeder Spreads'!AQ92,"")</f>
        <v>0</v>
      </c>
      <c r="EZ92">
        <f>IFERROR(('Feeder Spreads'!AR92-AVERAGE('Feeder Spreads'!$AR$3:$AR$4308))/STDEV('Feeder Spreads'!$AR$3:$AR$4308),"")</f>
        <v>-9.2057461789832332E-2</v>
      </c>
      <c r="FA92">
        <f>IFERROR('Feeder Spreads'!AR92-'Feeder Spreads'!AR97,"")</f>
        <v>0</v>
      </c>
      <c r="FB92">
        <f>IFERROR('Feeder Spreads'!AR92-'Feeder Spreads'!AR102,"")</f>
        <v>0</v>
      </c>
      <c r="FC92">
        <f>IFERROR(AVERAGE('Feeder Spreads'!AR92:AR111)+2*STDEV('Feeder Spreads'!AR92:AR111),"")</f>
        <v>0</v>
      </c>
      <c r="FD92">
        <f>IFERROR(AVERAGE('Feeder Spreads'!AR92:AR111)-2*STDEV('Feeder Spreads'!AR92:AR111),"")</f>
        <v>0</v>
      </c>
      <c r="FE92" t="str">
        <f>IFERROR(('Feeder Spreads'!AR92-(AVERAGE('Feeder Spreads'!AR92:AR111)-2*STDEV('Feeder Spreads'!AR92:AR111)))/(4*STDEV('Feeder Spreads'!AR92:AR111)),"")</f>
        <v/>
      </c>
      <c r="FF92" t="str">
        <f>IFERROR(4*STDEV('Feeder Spreads'!AR92:AR111)/AVERAGE('Feeder Spreads'!AR92:AR111),"")</f>
        <v/>
      </c>
      <c r="FG92">
        <v>57.378599999999999</v>
      </c>
      <c r="FH92">
        <f>IFERROR(SQRT((SUMSQ('Feeder Spreads'!AR92:AR111)-2*SUMPRODUCT('Feeder Spreads'!AR92:AR111,'Feeder Spreads'!AR93:AR112)+SUMSQ('Feeder Spreads'!AR93:AR112)-('Feeder Spreads'!AR92-'Feeder Spreads'!AR112)^2/20)/19),"")</f>
        <v>0</v>
      </c>
      <c r="FJ92">
        <f>IFERROR('Fat Spreads'!AX92,"")</f>
        <v>0</v>
      </c>
      <c r="FK92">
        <f>IFERROR(('Fat Spreads'!AY92-AVERAGE('Fat Spreads'!$AY$3:$AY$4308))/STDEV('Fat Spreads'!$AY$3:$AY$4308),"")</f>
        <v>9.2057461789832332E-2</v>
      </c>
      <c r="FL92">
        <f>IFERROR('Fat Spreads'!AY92-'Fat Spreads'!AY97,"")</f>
        <v>0</v>
      </c>
      <c r="FM92">
        <f>IFERROR('Fat Spreads'!AY92-'Fat Spreads'!AY102,"")</f>
        <v>0</v>
      </c>
      <c r="FN92">
        <f>IFERROR(AVERAGE('Fat Spreads'!AY92:AY111)+2*STDEV('Fat Spreads'!AY92:AY111),"")</f>
        <v>0</v>
      </c>
      <c r="FO92">
        <f>IFERROR(AVERAGE('Fat Spreads'!AY92:AY111)-2*STDEV('Fat Spreads'!AY92:AY111),"")</f>
        <v>0</v>
      </c>
      <c r="FP92" t="str">
        <f>IFERROR(('Fat Spreads'!AY92-(AVERAGE('Fat Spreads'!AY92:AY111)-2*STDEV('Fat Spreads'!AY92:AY111)))/(4*STDEV('Fat Spreads'!AY92:AY111)),"")</f>
        <v/>
      </c>
      <c r="FQ92" t="str">
        <f>IFERROR(4*STDEV('Fat Spreads'!AY92:AY111)/AVERAGE('Fat Spreads'!AY92:AY111),"")</f>
        <v/>
      </c>
      <c r="FR92">
        <v>43.451999999999998</v>
      </c>
      <c r="FS92">
        <f>IFERROR(SQRT((SUMSQ('Fat Spreads'!AY92:AY111)-2*SUMPRODUCT('Fat Spreads'!AY92:AY111,'Fat Spreads'!AY93:AY112)+SUMSQ('Fat Spreads'!AY93:AY112)-('Fat Spreads'!AY92-'Fat Spreads'!AY112)^2/20)/19),"")</f>
        <v>0</v>
      </c>
      <c r="FU92">
        <f>IFERROR('Fat Spreads'!BE92,"")</f>
        <v>0</v>
      </c>
      <c r="FV92">
        <f>IFERROR(('Fat Spreads'!BF92-AVERAGE('Fat Spreads'!$BF$3:$BF$4308))/STDEV('Fat Spreads'!$BF$3:$BF$4308),"")</f>
        <v>9.2057461789832332E-2</v>
      </c>
      <c r="FW92">
        <f>IFERROR('Fat Spreads'!BF92-'Fat Spreads'!BF97,"")</f>
        <v>0</v>
      </c>
      <c r="FX92">
        <f>IFERROR('Fat Spreads'!BF92-'Fat Spreads'!BF102,"")</f>
        <v>0</v>
      </c>
      <c r="FY92">
        <f>IFERROR(AVERAGE('Fat Spreads'!BF92:BF111)+2*STDEV('Fat Spreads'!BF92:BF111),"")</f>
        <v>0</v>
      </c>
      <c r="FZ92">
        <f>IFERROR(AVERAGE('Fat Spreads'!BF92:BF111)-2*STDEV('Fat Spreads'!BF92:BF111),"")</f>
        <v>0</v>
      </c>
      <c r="GA92" t="str">
        <f>IFERROR(('Fat Spreads'!BF92-(AVERAGE('Fat Spreads'!BF92:BF111)-2*STDEV('Fat Spreads'!BF92:BF111)))/(4*STDEV('Fat Spreads'!BF92:BF111)),"")</f>
        <v/>
      </c>
      <c r="GB92" t="str">
        <f>IFERROR(4*STDEV('Fat Spreads'!BF92:BF111)/AVERAGE('Fat Spreads'!BF92:BF111),"")</f>
        <v/>
      </c>
      <c r="GC92">
        <v>40.857199999999999</v>
      </c>
      <c r="GD92">
        <f>IFERROR(SQRT((SUMSQ('Fat Spreads'!BF92:BF111)-2*SUMPRODUCT('Fat Spreads'!BF92:BF111,'Fat Spreads'!BF93:BF112)+SUMSQ('Fat Spreads'!BF93:BF112)-('Fat Spreads'!BF92-'Fat Spreads'!BF112)^2/20)/19),"")</f>
        <v>0</v>
      </c>
    </row>
    <row r="93" spans="1:186" x14ac:dyDescent="0.25">
      <c r="A93">
        <f>IFERROR('Fat Spreads'!A93,"")</f>
        <v>0</v>
      </c>
      <c r="B93">
        <f>IFERROR(('Fat Spreads'!B93-AVERAGE('Fat Spreads'!$B$3:$B$4308))/STDEV('Fat Spreads'!$B$3:$B$4308),"")</f>
        <v>9.2057461789832346E-2</v>
      </c>
      <c r="C93">
        <f>IFERROR('Fat Spreads'!B93-'Fat Spreads'!B98,"")</f>
        <v>0</v>
      </c>
      <c r="D93">
        <f>IFERROR('Fat Spreads'!B93-'Fat Spreads'!B103,"")</f>
        <v>0</v>
      </c>
      <c r="E93">
        <f>IFERROR(AVERAGE('Fat Spreads'!B93:B112)+2*STDEV('Fat Spreads'!B93:B112),"")</f>
        <v>0</v>
      </c>
      <c r="F93">
        <f>IFERROR(AVERAGE('Fat Spreads'!B93:B112)-2*STDEV('Fat Spreads'!B93:B112),"")</f>
        <v>0</v>
      </c>
      <c r="G93" t="str">
        <f>IFERROR(('Fat Spreads'!B93-(AVERAGE('Fat Spreads'!B93:B112)-2*STDEV('Fat Spreads'!B93:B112)))/(4*STDEV('Fat Spreads'!B93:B112)),"")</f>
        <v/>
      </c>
      <c r="H93" t="str">
        <f>IFERROR(4*STDEV('Fat Spreads'!B93:B112)/AVERAGE('Fat Spreads'!B93:B112),"")</f>
        <v/>
      </c>
      <c r="I93">
        <v>43.563400000000001</v>
      </c>
      <c r="J93">
        <f>IFERROR(SQRT((SUMSQ('Fat Spreads'!B93:B112)-2*SUMPRODUCT('Fat Spreads'!B93:B112,'Fat Spreads'!B94:B113)+SUMSQ('Fat Spreads'!B94:B113)-('Fat Spreads'!B93-'Fat Spreads'!B113)^2/20)/19),"")</f>
        <v>0</v>
      </c>
      <c r="L93">
        <f>IFERROR('Fat Spreads'!H93,"")</f>
        <v>0</v>
      </c>
      <c r="M93">
        <f>IFERROR(('Fat Spreads'!I93-AVERAGE('Fat Spreads'!$I$3:$I$4308))/STDEV('Fat Spreads'!$I$3:$I$4308),"")</f>
        <v>-9.2057461789832332E-2</v>
      </c>
      <c r="N93">
        <f>IFERROR('Fat Spreads'!I93-'Fat Spreads'!I98,"")</f>
        <v>0</v>
      </c>
      <c r="O93">
        <f>IFERROR('Fat Spreads'!I93-'Fat Spreads'!I103,"")</f>
        <v>0</v>
      </c>
      <c r="P93">
        <f>IFERROR(AVERAGE('Fat Spreads'!I93:I112)+2*STDEV('Fat Spreads'!I93:I112),"")</f>
        <v>0</v>
      </c>
      <c r="Q93">
        <f>IFERROR(AVERAGE('Fat Spreads'!I93:I112)-2*STDEV('Fat Spreads'!I93:I112),"")</f>
        <v>0</v>
      </c>
      <c r="R93" t="str">
        <f>IFERROR(('Fat Spreads'!I93-(AVERAGE('Fat Spreads'!I93:I112)-2*STDEV('Fat Spreads'!I93:I112)))/(4*STDEV('Fat Spreads'!I93:I112)),"")</f>
        <v/>
      </c>
      <c r="S93" t="str">
        <f>IFERROR(4*STDEV('Fat Spreads'!I93:I112)/AVERAGE('Fat Spreads'!I93:I112),"")</f>
        <v/>
      </c>
      <c r="T93">
        <v>49.103999999999999</v>
      </c>
      <c r="U93">
        <f>IFERROR(SQRT((SUMSQ('Fat Spreads'!I93:I112)-2*SUMPRODUCT('Fat Spreads'!I93:I112,'Fat Spreads'!I94:I113)+SUMSQ('Fat Spreads'!I94:I113)-('Fat Spreads'!I93-'Fat Spreads'!I113)^2/20)/19),"")</f>
        <v>0</v>
      </c>
      <c r="W93">
        <f>IFERROR('Fat Spreads'!AQ93,"")</f>
        <v>0</v>
      </c>
      <c r="X93">
        <f>IFERROR(('Fat Spreads'!AR93-AVERAGE('Fat Spreads'!$AR$3:$AR$4308))/STDEV('Fat Spreads'!$AR$3:$AR$4308),"")</f>
        <v>-9.2057461789832346E-2</v>
      </c>
      <c r="Y93">
        <f>IFERROR('Fat Spreads'!AR93-'Fat Spreads'!AR98,"")</f>
        <v>0</v>
      </c>
      <c r="Z93">
        <f>IFERROR('Fat Spreads'!AR93-'Fat Spreads'!AR103,"")</f>
        <v>0</v>
      </c>
      <c r="AA93">
        <f>IFERROR(AVERAGE('Fat Spreads'!AR93:AR112)+2*STDEV('Fat Spreads'!AR93:AR112),"")</f>
        <v>0</v>
      </c>
      <c r="AB93">
        <f>IFERROR(AVERAGE('Fat Spreads'!AR93:AR112)-2*STDEV('Fat Spreads'!AR93:AR112),"")</f>
        <v>0</v>
      </c>
      <c r="AC93" t="str">
        <f>IFERROR(('Fat Spreads'!AR93-(AVERAGE('Fat Spreads'!AR93:AR112)-2*STDEV('Fat Spreads'!AR93:AR112)))/(4*STDEV('Fat Spreads'!AR93:AR112)),"")</f>
        <v/>
      </c>
      <c r="AD93" t="str">
        <f>IFERROR(4*STDEV('Fat Spreads'!AR93:AR112)/AVERAGE('Fat Spreads'!AR93:AR112),"")</f>
        <v/>
      </c>
      <c r="AE93">
        <v>54.449599999999997</v>
      </c>
      <c r="AF93">
        <f>IFERROR(SQRT((SUMSQ('Fat Spreads'!AR93:AR112)-2*SUMPRODUCT('Fat Spreads'!AR93:AR112,'Fat Spreads'!AR94:AR113)+SUMSQ('Fat Spreads'!AR94:AR113)-('Fat Spreads'!AR93-'Fat Spreads'!AR113)^2/20)/19),"")</f>
        <v>0</v>
      </c>
      <c r="AH93">
        <f>IFERROR('Fat Spreads'!O93,"")</f>
        <v>0</v>
      </c>
      <c r="AI93">
        <f>IFERROR(('Fat Spreads'!P93-AVERAGE('Fat Spreads'!$P$3:$P$4308))/STDEV('Fat Spreads'!$P$3:$P$4308),"")</f>
        <v>-9.2057461789832332E-2</v>
      </c>
      <c r="AJ93">
        <f>IFERROR('Fat Spreads'!P93-'Fat Spreads'!P98,"")</f>
        <v>0</v>
      </c>
      <c r="AK93">
        <f>IFERROR('Fat Spreads'!P93-'Fat Spreads'!P103,"")</f>
        <v>0</v>
      </c>
      <c r="AL93">
        <f>IFERROR(AVERAGE('Fat Spreads'!P93:P112)+2*STDEV('Fat Spreads'!P93:P112),"")</f>
        <v>0</v>
      </c>
      <c r="AM93">
        <f>IFERROR(AVERAGE('Fat Spreads'!P93:P112)-2*STDEV('Fat Spreads'!P93:P112),"")</f>
        <v>0</v>
      </c>
      <c r="AN93" t="str">
        <f>IFERROR(('Fat Spreads'!P93-(AVERAGE('Fat Spreads'!P93:P112)-2*STDEV('Fat Spreads'!P93:P112)))/(4*STDEV('Fat Spreads'!P93:P112)),"")</f>
        <v/>
      </c>
      <c r="AO93" t="str">
        <f>IFERROR(4*STDEV('Fat Spreads'!P93:P112)/AVERAGE('Fat Spreads'!P93:P112),"")</f>
        <v/>
      </c>
      <c r="AP93">
        <v>58.438400000000001</v>
      </c>
      <c r="AQ93">
        <f>IFERROR(SQRT((SUMSQ('Fat Spreads'!P93:P112)-2*SUMPRODUCT('Fat Spreads'!P93:P112,'Fat Spreads'!P94:P113)+SUMSQ('Fat Spreads'!P94:P113)-('Fat Spreads'!P93-'Fat Spreads'!P113)^2/20)/19),"")</f>
        <v>0</v>
      </c>
      <c r="AS93">
        <f>IFERROR('Fat Spreads'!AJ93,"")</f>
        <v>0</v>
      </c>
      <c r="AT93">
        <f>IFERROR(('Fat Spreads'!AK93-AVERAGE('Fat Spreads'!$AK$3:$AK$4308))/STDEV('Fat Spreads'!$AK$3:$AK$4308),"")</f>
        <v>-9.2057461789832332E-2</v>
      </c>
      <c r="AU93">
        <f>IFERROR('Fat Spreads'!AK93-'Fat Spreads'!AK98,"")</f>
        <v>0</v>
      </c>
      <c r="AV93">
        <f>IFERROR('Fat Spreads'!AK93-'Fat Spreads'!AK103,"")</f>
        <v>0</v>
      </c>
      <c r="AW93">
        <f>IFERROR(AVERAGE('Fat Spreads'!AK93:AK112)+2*STDEV('Fat Spreads'!AK93:AK112),"")</f>
        <v>0</v>
      </c>
      <c r="AX93">
        <f>IFERROR(AVERAGE('Fat Spreads'!AK93:AK112)-2*STDEV('Fat Spreads'!AK93:AK112),"")</f>
        <v>0</v>
      </c>
      <c r="AY93" t="str">
        <f>IFERROR(('Fat Spreads'!AK93-(AVERAGE('Fat Spreads'!AK93:AK112)-2*STDEV('Fat Spreads'!AK93:AK112)))/(4*STDEV('Fat Spreads'!AK93:AK112)),"")</f>
        <v/>
      </c>
      <c r="AZ93" t="str">
        <f>IFERROR(4*STDEV('Fat Spreads'!AK93:AK112)/AVERAGE('Fat Spreads'!AK93:AK112),"")</f>
        <v/>
      </c>
      <c r="BA93">
        <v>50.6539</v>
      </c>
      <c r="BB93">
        <f>IFERROR(SQRT((SUMSQ('Fat Spreads'!AK93:AK112)-2*SUMPRODUCT('Fat Spreads'!AK93:AK112,'Fat Spreads'!AK94:AK113)+SUMSQ('Fat Spreads'!AK94:AK113)-('Fat Spreads'!AK93-'Fat Spreads'!AK113)^2/20)/19),"")</f>
        <v>0</v>
      </c>
      <c r="BD93">
        <f>IFERROR('Fat Spreads'!V93,"")</f>
        <v>0</v>
      </c>
      <c r="BE93">
        <f>IFERROR(('Fat Spreads'!W93-AVERAGE('Fat Spreads'!$W$3:$W$4308))/STDEV('Fat Spreads'!$W$3:$W$4308),"")</f>
        <v>-9.2057461789832332E-2</v>
      </c>
      <c r="BF93">
        <f>IFERROR('Fat Spreads'!W93-'Fat Spreads'!W98,"")</f>
        <v>0</v>
      </c>
      <c r="BG93">
        <f>IFERROR('Fat Spreads'!W93-'Fat Spreads'!W103,"")</f>
        <v>0</v>
      </c>
      <c r="BH93">
        <f>IFERROR(AVERAGE('Fat Spreads'!W93:W112)+2*STDEV('Fat Spreads'!W93:W112),"")</f>
        <v>0</v>
      </c>
      <c r="BI93">
        <f>IFERROR(AVERAGE('Fat Spreads'!W93:W112)-2*STDEV('Fat Spreads'!W93:W112),"")</f>
        <v>0</v>
      </c>
      <c r="BJ93" t="str">
        <f>IFERROR(('Fat Spreads'!W93-(AVERAGE('Fat Spreads'!W93:W112)-2*STDEV('Fat Spreads'!W93:W112)))/(4*STDEV('Fat Spreads'!W93:W112)),"")</f>
        <v/>
      </c>
      <c r="BK93" t="str">
        <f>IFERROR(4*STDEV('Fat Spreads'!W93:W112)/AVERAGE('Fat Spreads'!W93:W112),"")</f>
        <v/>
      </c>
      <c r="BL93">
        <v>51.561500000000002</v>
      </c>
      <c r="BM93">
        <f>IFERROR(SQRT((SUMSQ('Fat Spreads'!W93:W112)-2*SUMPRODUCT('Fat Spreads'!W93:W112,'Fat Spreads'!W94:W113)+SUMSQ('Fat Spreads'!W94:W113)-('Fat Spreads'!W93-'Fat Spreads'!W113)^2/20)/19),"")</f>
        <v>0</v>
      </c>
      <c r="BO93">
        <f>IFERROR('Fat Spreads'!AC93,"")</f>
        <v>0</v>
      </c>
      <c r="BP93">
        <f>IFERROR(('Fat Spreads'!AD93-AVERAGE('Fat Spreads'!$AD$3:$AD$4308))/STDEV('Fat Spreads'!$AD$3:$AD$4308),"")</f>
        <v>-9.2057461789832332E-2</v>
      </c>
      <c r="BQ93">
        <f>IFERROR('Fat Spreads'!AD93-'Fat Spreads'!AD98,"")</f>
        <v>0</v>
      </c>
      <c r="BR93">
        <f>IFERROR('Fat Spreads'!AD93-'Fat Spreads'!AD103,"")</f>
        <v>0</v>
      </c>
      <c r="BS93">
        <f>IFERROR(AVERAGE('Fat Spreads'!AD93:AD112)+2*STDEV('Fat Spreads'!AD93:AD112),"")</f>
        <v>0</v>
      </c>
      <c r="BT93">
        <f>IFERROR(AVERAGE('Fat Spreads'!AD93:AD112)-2*STDEV('Fat Spreads'!AD93:AD112),"")</f>
        <v>0</v>
      </c>
      <c r="BU93" t="str">
        <f>IFERROR(('Fat Spreads'!AD93-(AVERAGE('Fat Spreads'!AD93:AD112)-2*STDEV('Fat Spreads'!AD93:AD112)))/(4*STDEV('Fat Spreads'!AD93:AD112)),"")</f>
        <v/>
      </c>
      <c r="BV93" t="str">
        <f>IFERROR(4*STDEV('Fat Spreads'!AD93:AD112)/AVERAGE('Fat Spreads'!AD93:AD112),"")</f>
        <v/>
      </c>
      <c r="BW93">
        <v>45.199100000000001</v>
      </c>
      <c r="BX93">
        <f>IFERROR(SQRT((SUMSQ('Fat Spreads'!AD93:AD112)-2*SUMPRODUCT('Fat Spreads'!AD93:AD112,'Fat Spreads'!AD94:AD113)+SUMSQ('Fat Spreads'!AD94:AD113)-('Fat Spreads'!AD93-'Fat Spreads'!AD113)^2/20)/19),"")</f>
        <v>0</v>
      </c>
      <c r="BZ93">
        <f>IFERROR('Feeder Spreads'!A93,"")</f>
        <v>0</v>
      </c>
      <c r="CA93">
        <f>IFERROR(('Feeder Spreads'!B93-AVERAGE('Feeder Spreads'!$B$3:$B$4308))/STDEV('Feeder Spreads'!$B$3:$B$4308),"")</f>
        <v>-9.2057461789832346E-2</v>
      </c>
      <c r="CB93">
        <f>IFERROR('Feeder Spreads'!B93-'Feeder Spreads'!B98,"")</f>
        <v>0</v>
      </c>
      <c r="CC93">
        <f>IFERROR('Feeder Spreads'!B93-'Feeder Spreads'!B103,"")</f>
        <v>0</v>
      </c>
      <c r="CD93">
        <f>IFERROR(AVERAGE('Feeder Spreads'!B93:B112)+2*STDEV('Feeder Spreads'!B93:B112),"")</f>
        <v>0</v>
      </c>
      <c r="CE93">
        <f>IFERROR(AVERAGE('Feeder Spreads'!B93:B112)-2*STDEV('Feeder Spreads'!B93:B112),"")</f>
        <v>0</v>
      </c>
      <c r="CF93" t="str">
        <f>IFERROR(('Feeder Spreads'!B93-(AVERAGE('Feeder Spreads'!B93:B112)-2*STDEV('Feeder Spreads'!B93:B112)))/(4*STDEV('Feeder Spreads'!B93:B112)),"")</f>
        <v/>
      </c>
      <c r="CG93" t="str">
        <f>IFERROR(4*STDEV('Feeder Spreads'!B93:B112)/AVERAGE('Feeder Spreads'!B93:B112),"")</f>
        <v/>
      </c>
      <c r="CH93">
        <v>48.207799999999999</v>
      </c>
      <c r="CI93">
        <f>IFERROR(SQRT((SUMSQ('Feeder Spreads'!B93:B112)-2*SUMPRODUCT('Feeder Spreads'!B93:B112,'Feeder Spreads'!B94:B113)+SUMSQ('Feeder Spreads'!B94:B113)-('Feeder Spreads'!B93-'Feeder Spreads'!B113)^2/20)/19),"")</f>
        <v>0</v>
      </c>
      <c r="CK93">
        <f>IFERROR('Feeder Spreads'!AX93,"")</f>
        <v>0</v>
      </c>
      <c r="CL93">
        <f>IFERROR(('Feeder Spreads'!AY93-AVERAGE('Feeder Spreads'!$AY$3:$AY$4308))/STDEV('Feeder Spreads'!$AY$3:$AY$4308),"")</f>
        <v>-9.2057461789832346E-2</v>
      </c>
      <c r="CM93">
        <f>IFERROR('Feeder Spreads'!AY93-'Feeder Spreads'!AY98,"")</f>
        <v>0</v>
      </c>
      <c r="CN93">
        <f>IFERROR('Feeder Spreads'!AY93-'Feeder Spreads'!AY103,"")</f>
        <v>0</v>
      </c>
      <c r="CO93">
        <f>IFERROR(AVERAGE('Feeder Spreads'!AY93:AY112)+2*STDEV('Feeder Spreads'!AY93:AY112),"")</f>
        <v>0</v>
      </c>
      <c r="CP93">
        <f>IFERROR(AVERAGE('Feeder Spreads'!AY93:AY112)-2*STDEV('Feeder Spreads'!AY93:AY112),"")</f>
        <v>0</v>
      </c>
      <c r="CQ93" t="str">
        <f>IFERROR(('Feeder Spreads'!AY93-(AVERAGE('Feeder Spreads'!AY93:AY112)-2*STDEV('Feeder Spreads'!AY93:AY112)))/(4*STDEV('Feeder Spreads'!AY93:AY112)),"")</f>
        <v/>
      </c>
      <c r="CR93" t="str">
        <f>IFERROR(4*STDEV('Feeder Spreads'!AY93:AY112)/AVERAGE('Feeder Spreads'!AY93:AY112),"")</f>
        <v/>
      </c>
      <c r="CS93">
        <v>39.574399999999997</v>
      </c>
      <c r="CT93">
        <f>IFERROR(SQRT((SUMSQ('Feeder Spreads'!AY93:AY112)-2*SUMPRODUCT('Feeder Spreads'!AY93:AY112,'Feeder Spreads'!AY94:AY113)+SUMSQ('Feeder Spreads'!AY94:AY113)-('Feeder Spreads'!AY93-'Feeder Spreads'!AY113)^2/20)/19),"")</f>
        <v>0</v>
      </c>
      <c r="CV93">
        <f>IFERROR('Feeder Spreads'!H93,"")</f>
        <v>0</v>
      </c>
      <c r="CW93">
        <f>IFERROR(('Feeder Spreads'!I93-AVERAGE('Feeder Spreads'!$I$3:$I$4308))/STDEV('Feeder Spreads'!$I$3:$I$4308),"")</f>
        <v>-9.2057461789832332E-2</v>
      </c>
      <c r="CX93">
        <f>IFERROR('Feeder Spreads'!I93-'Feeder Spreads'!I98,"")</f>
        <v>0</v>
      </c>
      <c r="CY93">
        <f>IFERROR('Feeder Spreads'!I93-'Feeder Spreads'!I103,"")</f>
        <v>0</v>
      </c>
      <c r="CZ93">
        <f>IFERROR(AVERAGE('Feeder Spreads'!I93:I112)+2*STDEV('Feeder Spreads'!I93:I112),"")</f>
        <v>0</v>
      </c>
      <c r="DA93">
        <f>IFERROR(AVERAGE('Feeder Spreads'!I93:I112)-2*STDEV('Feeder Spreads'!I93:I112),"")</f>
        <v>0</v>
      </c>
      <c r="DB93" t="str">
        <f>IFERROR(('Feeder Spreads'!I93-(AVERAGE('Feeder Spreads'!I93:I112)-2*STDEV('Feeder Spreads'!I93:I112)))/(4*STDEV('Feeder Spreads'!I93:I112)),"")</f>
        <v/>
      </c>
      <c r="DC93" t="str">
        <f>IFERROR(4*STDEV('Feeder Spreads'!I93:I112)/AVERAGE('Feeder Spreads'!I93:I112),"")</f>
        <v/>
      </c>
      <c r="DD93">
        <v>45.675699999999999</v>
      </c>
      <c r="DE93">
        <f>IFERROR(SQRT((SUMSQ('Feeder Spreads'!I93:I112)-2*SUMPRODUCT('Feeder Spreads'!I93:I112,'Feeder Spreads'!I94:I113)+SUMSQ('Feeder Spreads'!I94:I113)-('Feeder Spreads'!I93-'Feeder Spreads'!I113)^2/20)/19),"")</f>
        <v>0</v>
      </c>
      <c r="DG93">
        <f>IFERROR('Feeder Spreads'!O93,"")</f>
        <v>0</v>
      </c>
      <c r="DH93">
        <f>IFERROR(('Feeder Spreads'!P93-AVERAGE('Feeder Spreads'!$P$3:$P$4308))/STDEV('Feeder Spreads'!$P$3:$P$4308),"")</f>
        <v>-9.2057461789832346E-2</v>
      </c>
      <c r="DI93">
        <f>IFERROR('Feeder Spreads'!P93-'Feeder Spreads'!P98,"")</f>
        <v>0</v>
      </c>
      <c r="DJ93">
        <f>IFERROR('Feeder Spreads'!P93-'Feeder Spreads'!P103,"")</f>
        <v>0</v>
      </c>
      <c r="DK93">
        <f>IFERROR(AVERAGE('Feeder Spreads'!P93:P112)+2*STDEV('Feeder Spreads'!P93:P112),"")</f>
        <v>0</v>
      </c>
      <c r="DL93">
        <f>IFERROR(AVERAGE('Feeder Spreads'!P93:P112)-2*STDEV('Feeder Spreads'!P93:P112),"")</f>
        <v>0</v>
      </c>
      <c r="DM93" t="str">
        <f>IFERROR(('Feeder Spreads'!P93-(AVERAGE('Feeder Spreads'!P93:P112)-2*STDEV('Feeder Spreads'!P93:P112)))/(4*STDEV('Feeder Spreads'!P93:P112)),"")</f>
        <v/>
      </c>
      <c r="DN93" t="str">
        <f>IFERROR(4*STDEV('Feeder Spreads'!P93:P112)/AVERAGE('Feeder Spreads'!P93:P112),"")</f>
        <v/>
      </c>
      <c r="DO93">
        <v>61.552799999999998</v>
      </c>
      <c r="DP93">
        <f>IFERROR(SQRT((SUMSQ('Feeder Spreads'!P93:P112)-2*SUMPRODUCT('Feeder Spreads'!P93:P112,'Feeder Spreads'!P94:P113)+SUMSQ('Feeder Spreads'!P94:P113)-('Feeder Spreads'!P93-'Feeder Spreads'!P113)^2/20)/19),"")</f>
        <v>0</v>
      </c>
      <c r="DR93">
        <f>IFERROR('Feeder Spreads'!V93,"")</f>
        <v>0</v>
      </c>
      <c r="DS93">
        <f>IFERROR(('Feeder Spreads'!W93-AVERAGE('Feeder Spreads'!$W$3:$W$4308))/STDEV('Feeder Spreads'!$W$3:$W$4308),"")</f>
        <v>-9.2057461789832332E-2</v>
      </c>
      <c r="DT93">
        <f>IFERROR('Feeder Spreads'!W93-'Feeder Spreads'!W98,"")</f>
        <v>0</v>
      </c>
      <c r="DU93">
        <f>IFERROR('Feeder Spreads'!W93-'Feeder Spreads'!W103,"")</f>
        <v>0</v>
      </c>
      <c r="DV93">
        <f>IFERROR(AVERAGE('Feeder Spreads'!W93:W112)+2*STDEV('Feeder Spreads'!W93:W112),"")</f>
        <v>0</v>
      </c>
      <c r="DW93">
        <f>IFERROR(AVERAGE('Feeder Spreads'!W93:W112)-2*STDEV('Feeder Spreads'!W93:W112),"")</f>
        <v>0</v>
      </c>
      <c r="DX93" t="str">
        <f>IFERROR(('Feeder Spreads'!W93-(AVERAGE('Feeder Spreads'!W93:W112)-2*STDEV('Feeder Spreads'!W93:W112)))/(4*STDEV('Feeder Spreads'!W93:W112)),"")</f>
        <v/>
      </c>
      <c r="DY93" t="str">
        <f>IFERROR(4*STDEV('Feeder Spreads'!W93:W112)/AVERAGE('Feeder Spreads'!W93:W112),"")</f>
        <v/>
      </c>
      <c r="DZ93">
        <v>53.6004</v>
      </c>
      <c r="EA93">
        <f>IFERROR(SQRT((SUMSQ('Feeder Spreads'!W93:W112)-2*SUMPRODUCT('Feeder Spreads'!W93:W112,'Feeder Spreads'!W94:W113)+SUMSQ('Feeder Spreads'!W94:W113)-('Feeder Spreads'!W93-'Feeder Spreads'!W113)^2/20)/19),"")</f>
        <v>0</v>
      </c>
      <c r="EC93">
        <f>IFERROR('Feeder Spreads'!AC93,"")</f>
        <v>0</v>
      </c>
      <c r="ED93">
        <f>IFERROR(('Feeder Spreads'!AD93-AVERAGE('Feeder Spreads'!$AD$3:$AD$4308))/STDEV('Feeder Spreads'!$AD$3:$AD$4308),"")</f>
        <v>9.2057461789832318E-2</v>
      </c>
      <c r="EE93">
        <f>IFERROR('Feeder Spreads'!AD93-'Feeder Spreads'!AD98,"")</f>
        <v>0</v>
      </c>
      <c r="EF93">
        <f>IFERROR('Feeder Spreads'!AD93-'Feeder Spreads'!AD103,"")</f>
        <v>0</v>
      </c>
      <c r="EG93">
        <f>IFERROR(AVERAGE('Feeder Spreads'!AD93:AD112)+2*STDEV('Feeder Spreads'!AD93:AD112),"")</f>
        <v>0</v>
      </c>
      <c r="EH93">
        <f>IFERROR(AVERAGE('Feeder Spreads'!AD93:AD112)-2*STDEV('Feeder Spreads'!AD93:AD112),"")</f>
        <v>0</v>
      </c>
      <c r="EI93" t="str">
        <f>IFERROR(('Feeder Spreads'!AD93-(AVERAGE('Feeder Spreads'!AD93:AD112)-2*STDEV('Feeder Spreads'!AD93:AD112)))/(4*STDEV('Feeder Spreads'!AD93:AD112)),"")</f>
        <v/>
      </c>
      <c r="EJ93" t="str">
        <f>IFERROR(4*STDEV('Feeder Spreads'!AD93:AD112)/AVERAGE('Feeder Spreads'!AD93:AD112),"")</f>
        <v/>
      </c>
      <c r="EK93">
        <v>51.9178</v>
      </c>
      <c r="EL93">
        <f>IFERROR(SQRT((SUMSQ('Feeder Spreads'!AD93:AD112)-2*SUMPRODUCT('Feeder Spreads'!AD93:AD112,'Feeder Spreads'!AD94:AD113)+SUMSQ('Feeder Spreads'!AD94:AD113)-('Feeder Spreads'!AD93-'Feeder Spreads'!AD113)^2/20)/19),"")</f>
        <v>0</v>
      </c>
      <c r="EN93">
        <f>IFERROR('Feeder Spreads'!AJ93,"")</f>
        <v>0</v>
      </c>
      <c r="EO93">
        <f>IFERROR(('Feeder Spreads'!AK93-AVERAGE('Feeder Spreads'!$AK$3:$AK$4308))/STDEV('Feeder Spreads'!$AK$3:$AK$4308),"")</f>
        <v>-9.2057461789832346E-2</v>
      </c>
      <c r="EP93">
        <f>IFERROR('Feeder Spreads'!AK93-'Feeder Spreads'!AK98,"")</f>
        <v>0</v>
      </c>
      <c r="EQ93">
        <f>IFERROR('Feeder Spreads'!AK93-'Feeder Spreads'!AK103,"")</f>
        <v>0</v>
      </c>
      <c r="ER93">
        <f>IFERROR(AVERAGE('Feeder Spreads'!AK93:AK112)+2*STDEV('Feeder Spreads'!AK93:AK112),"")</f>
        <v>0</v>
      </c>
      <c r="ES93">
        <f>IFERROR(AVERAGE('Feeder Spreads'!AK93:AK112)-2*STDEV('Feeder Spreads'!AK93:AK112),"")</f>
        <v>0</v>
      </c>
      <c r="ET93" t="str">
        <f>IFERROR(('Feeder Spreads'!AK93-(AVERAGE('Feeder Spreads'!AK93:AK112)-2*STDEV('Feeder Spreads'!AK93:AK112)))/(4*STDEV('Feeder Spreads'!AK93:AK112)),"")</f>
        <v/>
      </c>
      <c r="EU93" t="str">
        <f>IFERROR(4*STDEV('Feeder Spreads'!AK93:AK112)/AVERAGE('Feeder Spreads'!AK93:AK112),"")</f>
        <v/>
      </c>
      <c r="EV93">
        <v>49.5518</v>
      </c>
      <c r="EW93">
        <f>IFERROR(SQRT((SUMSQ('Feeder Spreads'!AK93:AK112)-2*SUMPRODUCT('Feeder Spreads'!AK93:AK112,'Feeder Spreads'!AK94:AK113)+SUMSQ('Feeder Spreads'!AK94:AK113)-('Feeder Spreads'!AK93-'Feeder Spreads'!AK113)^2/20)/19),"")</f>
        <v>0</v>
      </c>
      <c r="EY93">
        <f>IFERROR('Feeder Spreads'!AQ93,"")</f>
        <v>0</v>
      </c>
      <c r="EZ93">
        <f>IFERROR(('Feeder Spreads'!AR93-AVERAGE('Feeder Spreads'!$AR$3:$AR$4308))/STDEV('Feeder Spreads'!$AR$3:$AR$4308),"")</f>
        <v>-9.2057461789832332E-2</v>
      </c>
      <c r="FA93">
        <f>IFERROR('Feeder Spreads'!AR93-'Feeder Spreads'!AR98,"")</f>
        <v>0</v>
      </c>
      <c r="FB93">
        <f>IFERROR('Feeder Spreads'!AR93-'Feeder Spreads'!AR103,"")</f>
        <v>0</v>
      </c>
      <c r="FC93">
        <f>IFERROR(AVERAGE('Feeder Spreads'!AR93:AR112)+2*STDEV('Feeder Spreads'!AR93:AR112),"")</f>
        <v>0</v>
      </c>
      <c r="FD93">
        <f>IFERROR(AVERAGE('Feeder Spreads'!AR93:AR112)-2*STDEV('Feeder Spreads'!AR93:AR112),"")</f>
        <v>0</v>
      </c>
      <c r="FE93" t="str">
        <f>IFERROR(('Feeder Spreads'!AR93-(AVERAGE('Feeder Spreads'!AR93:AR112)-2*STDEV('Feeder Spreads'!AR93:AR112)))/(4*STDEV('Feeder Spreads'!AR93:AR112)),"")</f>
        <v/>
      </c>
      <c r="FF93" t="str">
        <f>IFERROR(4*STDEV('Feeder Spreads'!AR93:AR112)/AVERAGE('Feeder Spreads'!AR93:AR112),"")</f>
        <v/>
      </c>
      <c r="FG93">
        <v>56.115600000000001</v>
      </c>
      <c r="FH93">
        <f>IFERROR(SQRT((SUMSQ('Feeder Spreads'!AR93:AR112)-2*SUMPRODUCT('Feeder Spreads'!AR93:AR112,'Feeder Spreads'!AR94:AR113)+SUMSQ('Feeder Spreads'!AR94:AR113)-('Feeder Spreads'!AR93-'Feeder Spreads'!AR113)^2/20)/19),"")</f>
        <v>0</v>
      </c>
      <c r="FJ93">
        <f>IFERROR('Fat Spreads'!AX93,"")</f>
        <v>0</v>
      </c>
      <c r="FK93">
        <f>IFERROR(('Fat Spreads'!AY93-AVERAGE('Fat Spreads'!$AY$3:$AY$4308))/STDEV('Fat Spreads'!$AY$3:$AY$4308),"")</f>
        <v>9.2057461789832332E-2</v>
      </c>
      <c r="FL93">
        <f>IFERROR('Fat Spreads'!AY93-'Fat Spreads'!AY98,"")</f>
        <v>0</v>
      </c>
      <c r="FM93">
        <f>IFERROR('Fat Spreads'!AY93-'Fat Spreads'!AY103,"")</f>
        <v>0</v>
      </c>
      <c r="FN93">
        <f>IFERROR(AVERAGE('Fat Spreads'!AY93:AY112)+2*STDEV('Fat Spreads'!AY93:AY112),"")</f>
        <v>0</v>
      </c>
      <c r="FO93">
        <f>IFERROR(AVERAGE('Fat Spreads'!AY93:AY112)-2*STDEV('Fat Spreads'!AY93:AY112),"")</f>
        <v>0</v>
      </c>
      <c r="FP93" t="str">
        <f>IFERROR(('Fat Spreads'!AY93-(AVERAGE('Fat Spreads'!AY93:AY112)-2*STDEV('Fat Spreads'!AY93:AY112)))/(4*STDEV('Fat Spreads'!AY93:AY112)),"")</f>
        <v/>
      </c>
      <c r="FQ93" t="str">
        <f>IFERROR(4*STDEV('Fat Spreads'!AY93:AY112)/AVERAGE('Fat Spreads'!AY93:AY112),"")</f>
        <v/>
      </c>
      <c r="FR93">
        <v>47.6205</v>
      </c>
      <c r="FS93">
        <f>IFERROR(SQRT((SUMSQ('Fat Spreads'!AY93:AY112)-2*SUMPRODUCT('Fat Spreads'!AY93:AY112,'Fat Spreads'!AY94:AY113)+SUMSQ('Fat Spreads'!AY94:AY113)-('Fat Spreads'!AY93-'Fat Spreads'!AY113)^2/20)/19),"")</f>
        <v>0</v>
      </c>
      <c r="FU93">
        <f>IFERROR('Fat Spreads'!BE93,"")</f>
        <v>0</v>
      </c>
      <c r="FV93">
        <f>IFERROR(('Fat Spreads'!BF93-AVERAGE('Fat Spreads'!$BF$3:$BF$4308))/STDEV('Fat Spreads'!$BF$3:$BF$4308),"")</f>
        <v>9.2057461789832332E-2</v>
      </c>
      <c r="FW93">
        <f>IFERROR('Fat Spreads'!BF93-'Fat Spreads'!BF98,"")</f>
        <v>0</v>
      </c>
      <c r="FX93">
        <f>IFERROR('Fat Spreads'!BF93-'Fat Spreads'!BF103,"")</f>
        <v>0</v>
      </c>
      <c r="FY93">
        <f>IFERROR(AVERAGE('Fat Spreads'!BF93:BF112)+2*STDEV('Fat Spreads'!BF93:BF112),"")</f>
        <v>0</v>
      </c>
      <c r="FZ93">
        <f>IFERROR(AVERAGE('Fat Spreads'!BF93:BF112)-2*STDEV('Fat Spreads'!BF93:BF112),"")</f>
        <v>0</v>
      </c>
      <c r="GA93" t="str">
        <f>IFERROR(('Fat Spreads'!BF93-(AVERAGE('Fat Spreads'!BF93:BF112)-2*STDEV('Fat Spreads'!BF93:BF112)))/(4*STDEV('Fat Spreads'!BF93:BF112)),"")</f>
        <v/>
      </c>
      <c r="GB93" t="str">
        <f>IFERROR(4*STDEV('Fat Spreads'!BF93:BF112)/AVERAGE('Fat Spreads'!BF93:BF112),"")</f>
        <v/>
      </c>
      <c r="GC93">
        <v>45.641599999999997</v>
      </c>
      <c r="GD93">
        <f>IFERROR(SQRT((SUMSQ('Fat Spreads'!BF93:BF112)-2*SUMPRODUCT('Fat Spreads'!BF93:BF112,'Fat Spreads'!BF94:BF113)+SUMSQ('Fat Spreads'!BF94:BF113)-('Fat Spreads'!BF93-'Fat Spreads'!BF113)^2/20)/19),"")</f>
        <v>0</v>
      </c>
    </row>
    <row r="94" spans="1:186" x14ac:dyDescent="0.25">
      <c r="A94">
        <f>IFERROR('Fat Spreads'!A94,"")</f>
        <v>0</v>
      </c>
      <c r="B94">
        <f>IFERROR(('Fat Spreads'!B94-AVERAGE('Fat Spreads'!$B$3:$B$4308))/STDEV('Fat Spreads'!$B$3:$B$4308),"")</f>
        <v>9.2057461789832346E-2</v>
      </c>
      <c r="C94">
        <f>IFERROR('Fat Spreads'!B94-'Fat Spreads'!B99,"")</f>
        <v>0</v>
      </c>
      <c r="D94">
        <f>IFERROR('Fat Spreads'!B94-'Fat Spreads'!B104,"")</f>
        <v>0</v>
      </c>
      <c r="E94">
        <f>IFERROR(AVERAGE('Fat Spreads'!B94:B113)+2*STDEV('Fat Spreads'!B94:B113),"")</f>
        <v>0</v>
      </c>
      <c r="F94">
        <f>IFERROR(AVERAGE('Fat Spreads'!B94:B113)-2*STDEV('Fat Spreads'!B94:B113),"")</f>
        <v>0</v>
      </c>
      <c r="G94" t="str">
        <f>IFERROR(('Fat Spreads'!B94-(AVERAGE('Fat Spreads'!B94:B113)-2*STDEV('Fat Spreads'!B94:B113)))/(4*STDEV('Fat Spreads'!B94:B113)),"")</f>
        <v/>
      </c>
      <c r="H94" t="str">
        <f>IFERROR(4*STDEV('Fat Spreads'!B94:B113)/AVERAGE('Fat Spreads'!B94:B113),"")</f>
        <v/>
      </c>
      <c r="I94">
        <v>47.782200000000003</v>
      </c>
      <c r="J94">
        <f>IFERROR(SQRT((SUMSQ('Fat Spreads'!B94:B113)-2*SUMPRODUCT('Fat Spreads'!B94:B113,'Fat Spreads'!B95:B114)+SUMSQ('Fat Spreads'!B95:B114)-('Fat Spreads'!B94-'Fat Spreads'!B114)^2/20)/19),"")</f>
        <v>0</v>
      </c>
      <c r="L94">
        <f>IFERROR('Fat Spreads'!H94,"")</f>
        <v>0</v>
      </c>
      <c r="M94">
        <f>IFERROR(('Fat Spreads'!I94-AVERAGE('Fat Spreads'!$I$3:$I$4308))/STDEV('Fat Spreads'!$I$3:$I$4308),"")</f>
        <v>-9.2057461789832332E-2</v>
      </c>
      <c r="N94">
        <f>IFERROR('Fat Spreads'!I94-'Fat Spreads'!I99,"")</f>
        <v>0</v>
      </c>
      <c r="O94">
        <f>IFERROR('Fat Spreads'!I94-'Fat Spreads'!I104,"")</f>
        <v>0</v>
      </c>
      <c r="P94">
        <f>IFERROR(AVERAGE('Fat Spreads'!I94:I113)+2*STDEV('Fat Spreads'!I94:I113),"")</f>
        <v>0</v>
      </c>
      <c r="Q94">
        <f>IFERROR(AVERAGE('Fat Spreads'!I94:I113)-2*STDEV('Fat Spreads'!I94:I113),"")</f>
        <v>0</v>
      </c>
      <c r="R94" t="str">
        <f>IFERROR(('Fat Spreads'!I94-(AVERAGE('Fat Spreads'!I94:I113)-2*STDEV('Fat Spreads'!I94:I113)))/(4*STDEV('Fat Spreads'!I94:I113)),"")</f>
        <v/>
      </c>
      <c r="S94" t="str">
        <f>IFERROR(4*STDEV('Fat Spreads'!I94:I113)/AVERAGE('Fat Spreads'!I94:I113),"")</f>
        <v/>
      </c>
      <c r="T94">
        <v>52.716000000000001</v>
      </c>
      <c r="U94">
        <f>IFERROR(SQRT((SUMSQ('Fat Spreads'!I94:I113)-2*SUMPRODUCT('Fat Spreads'!I94:I113,'Fat Spreads'!I95:I114)+SUMSQ('Fat Spreads'!I95:I114)-('Fat Spreads'!I94-'Fat Spreads'!I114)^2/20)/19),"")</f>
        <v>0</v>
      </c>
      <c r="W94">
        <f>IFERROR('Fat Spreads'!AQ94,"")</f>
        <v>0</v>
      </c>
      <c r="X94">
        <f>IFERROR(('Fat Spreads'!AR94-AVERAGE('Fat Spreads'!$AR$3:$AR$4308))/STDEV('Fat Spreads'!$AR$3:$AR$4308),"")</f>
        <v>-9.2057461789832346E-2</v>
      </c>
      <c r="Y94">
        <f>IFERROR('Fat Spreads'!AR94-'Fat Spreads'!AR99,"")</f>
        <v>0</v>
      </c>
      <c r="Z94">
        <f>IFERROR('Fat Spreads'!AR94-'Fat Spreads'!AR104,"")</f>
        <v>0</v>
      </c>
      <c r="AA94">
        <f>IFERROR(AVERAGE('Fat Spreads'!AR94:AR113)+2*STDEV('Fat Spreads'!AR94:AR113),"")</f>
        <v>0</v>
      </c>
      <c r="AB94">
        <f>IFERROR(AVERAGE('Fat Spreads'!AR94:AR113)-2*STDEV('Fat Spreads'!AR94:AR113),"")</f>
        <v>0</v>
      </c>
      <c r="AC94" t="str">
        <f>IFERROR(('Fat Spreads'!AR94-(AVERAGE('Fat Spreads'!AR94:AR113)-2*STDEV('Fat Spreads'!AR94:AR113)))/(4*STDEV('Fat Spreads'!AR94:AR113)),"")</f>
        <v/>
      </c>
      <c r="AD94" t="str">
        <f>IFERROR(4*STDEV('Fat Spreads'!AR94:AR113)/AVERAGE('Fat Spreads'!AR94:AR113),"")</f>
        <v/>
      </c>
      <c r="AE94">
        <v>49.493299999999998</v>
      </c>
      <c r="AF94">
        <f>IFERROR(SQRT((SUMSQ('Fat Spreads'!AR94:AR113)-2*SUMPRODUCT('Fat Spreads'!AR94:AR113,'Fat Spreads'!AR95:AR114)+SUMSQ('Fat Spreads'!AR95:AR114)-('Fat Spreads'!AR94-'Fat Spreads'!AR114)^2/20)/19),"")</f>
        <v>0</v>
      </c>
      <c r="AH94">
        <f>IFERROR('Fat Spreads'!O94,"")</f>
        <v>0</v>
      </c>
      <c r="AI94">
        <f>IFERROR(('Fat Spreads'!P94-AVERAGE('Fat Spreads'!$P$3:$P$4308))/STDEV('Fat Spreads'!$P$3:$P$4308),"")</f>
        <v>-9.2057461789832332E-2</v>
      </c>
      <c r="AJ94">
        <f>IFERROR('Fat Spreads'!P94-'Fat Spreads'!P99,"")</f>
        <v>0</v>
      </c>
      <c r="AK94">
        <f>IFERROR('Fat Spreads'!P94-'Fat Spreads'!P104,"")</f>
        <v>0</v>
      </c>
      <c r="AL94">
        <f>IFERROR(AVERAGE('Fat Spreads'!P94:P113)+2*STDEV('Fat Spreads'!P94:P113),"")</f>
        <v>0</v>
      </c>
      <c r="AM94">
        <f>IFERROR(AVERAGE('Fat Spreads'!P94:P113)-2*STDEV('Fat Spreads'!P94:P113),"")</f>
        <v>0</v>
      </c>
      <c r="AN94" t="str">
        <f>IFERROR(('Fat Spreads'!P94-(AVERAGE('Fat Spreads'!P94:P113)-2*STDEV('Fat Spreads'!P94:P113)))/(4*STDEV('Fat Spreads'!P94:P113)),"")</f>
        <v/>
      </c>
      <c r="AO94" t="str">
        <f>IFERROR(4*STDEV('Fat Spreads'!P94:P113)/AVERAGE('Fat Spreads'!P94:P113),"")</f>
        <v/>
      </c>
      <c r="AP94">
        <v>59.581499999999998</v>
      </c>
      <c r="AQ94">
        <f>IFERROR(SQRT((SUMSQ('Fat Spreads'!P94:P113)-2*SUMPRODUCT('Fat Spreads'!P94:P113,'Fat Spreads'!P95:P114)+SUMSQ('Fat Spreads'!P95:P114)-('Fat Spreads'!P94-'Fat Spreads'!P114)^2/20)/19),"")</f>
        <v>0</v>
      </c>
      <c r="AS94">
        <f>IFERROR('Fat Spreads'!AJ94,"")</f>
        <v>0</v>
      </c>
      <c r="AT94">
        <f>IFERROR(('Fat Spreads'!AK94-AVERAGE('Fat Spreads'!$AK$3:$AK$4308))/STDEV('Fat Spreads'!$AK$3:$AK$4308),"")</f>
        <v>-9.2057461789832332E-2</v>
      </c>
      <c r="AU94">
        <f>IFERROR('Fat Spreads'!AK94-'Fat Spreads'!AK99,"")</f>
        <v>0</v>
      </c>
      <c r="AV94">
        <f>IFERROR('Fat Spreads'!AK94-'Fat Spreads'!AK104,"")</f>
        <v>0</v>
      </c>
      <c r="AW94">
        <f>IFERROR(AVERAGE('Fat Spreads'!AK94:AK113)+2*STDEV('Fat Spreads'!AK94:AK113),"")</f>
        <v>0</v>
      </c>
      <c r="AX94">
        <f>IFERROR(AVERAGE('Fat Spreads'!AK94:AK113)-2*STDEV('Fat Spreads'!AK94:AK113),"")</f>
        <v>0</v>
      </c>
      <c r="AY94" t="str">
        <f>IFERROR(('Fat Spreads'!AK94-(AVERAGE('Fat Spreads'!AK94:AK113)-2*STDEV('Fat Spreads'!AK94:AK113)))/(4*STDEV('Fat Spreads'!AK94:AK113)),"")</f>
        <v/>
      </c>
      <c r="AZ94" t="str">
        <f>IFERROR(4*STDEV('Fat Spreads'!AK94:AK113)/AVERAGE('Fat Spreads'!AK94:AK113),"")</f>
        <v/>
      </c>
      <c r="BA94">
        <v>56.473700000000001</v>
      </c>
      <c r="BB94">
        <f>IFERROR(SQRT((SUMSQ('Fat Spreads'!AK94:AK113)-2*SUMPRODUCT('Fat Spreads'!AK94:AK113,'Fat Spreads'!AK95:AK114)+SUMSQ('Fat Spreads'!AK95:AK114)-('Fat Spreads'!AK94-'Fat Spreads'!AK114)^2/20)/19),"")</f>
        <v>0</v>
      </c>
      <c r="BD94">
        <f>IFERROR('Fat Spreads'!V94,"")</f>
        <v>0</v>
      </c>
      <c r="BE94">
        <f>IFERROR(('Fat Spreads'!W94-AVERAGE('Fat Spreads'!$W$3:$W$4308))/STDEV('Fat Spreads'!$W$3:$W$4308),"")</f>
        <v>-9.2057461789832332E-2</v>
      </c>
      <c r="BF94">
        <f>IFERROR('Fat Spreads'!W94-'Fat Spreads'!W99,"")</f>
        <v>0</v>
      </c>
      <c r="BG94">
        <f>IFERROR('Fat Spreads'!W94-'Fat Spreads'!W104,"")</f>
        <v>0</v>
      </c>
      <c r="BH94">
        <f>IFERROR(AVERAGE('Fat Spreads'!W94:W113)+2*STDEV('Fat Spreads'!W94:W113),"")</f>
        <v>0</v>
      </c>
      <c r="BI94">
        <f>IFERROR(AVERAGE('Fat Spreads'!W94:W113)-2*STDEV('Fat Spreads'!W94:W113),"")</f>
        <v>0</v>
      </c>
      <c r="BJ94" t="str">
        <f>IFERROR(('Fat Spreads'!W94-(AVERAGE('Fat Spreads'!W94:W113)-2*STDEV('Fat Spreads'!W94:W113)))/(4*STDEV('Fat Spreads'!W94:W113)),"")</f>
        <v/>
      </c>
      <c r="BK94" t="str">
        <f>IFERROR(4*STDEV('Fat Spreads'!W94:W113)/AVERAGE('Fat Spreads'!W94:W113),"")</f>
        <v/>
      </c>
      <c r="BL94">
        <v>46.5989</v>
      </c>
      <c r="BM94">
        <f>IFERROR(SQRT((SUMSQ('Fat Spreads'!W94:W113)-2*SUMPRODUCT('Fat Spreads'!W94:W113,'Fat Spreads'!W95:W114)+SUMSQ('Fat Spreads'!W95:W114)-('Fat Spreads'!W94-'Fat Spreads'!W114)^2/20)/19),"")</f>
        <v>0</v>
      </c>
      <c r="BO94">
        <f>IFERROR('Fat Spreads'!AC94,"")</f>
        <v>0</v>
      </c>
      <c r="BP94">
        <f>IFERROR(('Fat Spreads'!AD94-AVERAGE('Fat Spreads'!$AD$3:$AD$4308))/STDEV('Fat Spreads'!$AD$3:$AD$4308),"")</f>
        <v>-9.2057461789832332E-2</v>
      </c>
      <c r="BQ94">
        <f>IFERROR('Fat Spreads'!AD94-'Fat Spreads'!AD99,"")</f>
        <v>0</v>
      </c>
      <c r="BR94">
        <f>IFERROR('Fat Spreads'!AD94-'Fat Spreads'!AD104,"")</f>
        <v>0</v>
      </c>
      <c r="BS94">
        <f>IFERROR(AVERAGE('Fat Spreads'!AD94:AD113)+2*STDEV('Fat Spreads'!AD94:AD113),"")</f>
        <v>0</v>
      </c>
      <c r="BT94">
        <f>IFERROR(AVERAGE('Fat Spreads'!AD94:AD113)-2*STDEV('Fat Spreads'!AD94:AD113),"")</f>
        <v>0</v>
      </c>
      <c r="BU94" t="str">
        <f>IFERROR(('Fat Spreads'!AD94-(AVERAGE('Fat Spreads'!AD94:AD113)-2*STDEV('Fat Spreads'!AD94:AD113)))/(4*STDEV('Fat Spreads'!AD94:AD113)),"")</f>
        <v/>
      </c>
      <c r="BV94" t="str">
        <f>IFERROR(4*STDEV('Fat Spreads'!AD94:AD113)/AVERAGE('Fat Spreads'!AD94:AD113),"")</f>
        <v/>
      </c>
      <c r="BW94">
        <v>48.025100000000002</v>
      </c>
      <c r="BX94">
        <f>IFERROR(SQRT((SUMSQ('Fat Spreads'!AD94:AD113)-2*SUMPRODUCT('Fat Spreads'!AD94:AD113,'Fat Spreads'!AD95:AD114)+SUMSQ('Fat Spreads'!AD95:AD114)-('Fat Spreads'!AD94-'Fat Spreads'!AD114)^2/20)/19),"")</f>
        <v>0</v>
      </c>
      <c r="BZ94">
        <f>IFERROR('Feeder Spreads'!A94,"")</f>
        <v>0</v>
      </c>
      <c r="CA94">
        <f>IFERROR(('Feeder Spreads'!B94-AVERAGE('Feeder Spreads'!$B$3:$B$4308))/STDEV('Feeder Spreads'!$B$3:$B$4308),"")</f>
        <v>-9.2057461789832346E-2</v>
      </c>
      <c r="CB94">
        <f>IFERROR('Feeder Spreads'!B94-'Feeder Spreads'!B99,"")</f>
        <v>0</v>
      </c>
      <c r="CC94">
        <f>IFERROR('Feeder Spreads'!B94-'Feeder Spreads'!B104,"")</f>
        <v>0</v>
      </c>
      <c r="CD94">
        <f>IFERROR(AVERAGE('Feeder Spreads'!B94:B113)+2*STDEV('Feeder Spreads'!B94:B113),"")</f>
        <v>0</v>
      </c>
      <c r="CE94">
        <f>IFERROR(AVERAGE('Feeder Spreads'!B94:B113)-2*STDEV('Feeder Spreads'!B94:B113),"")</f>
        <v>0</v>
      </c>
      <c r="CF94" t="str">
        <f>IFERROR(('Feeder Spreads'!B94-(AVERAGE('Feeder Spreads'!B94:B113)-2*STDEV('Feeder Spreads'!B94:B113)))/(4*STDEV('Feeder Spreads'!B94:B113)),"")</f>
        <v/>
      </c>
      <c r="CG94" t="str">
        <f>IFERROR(4*STDEV('Feeder Spreads'!B94:B113)/AVERAGE('Feeder Spreads'!B94:B113),"")</f>
        <v/>
      </c>
      <c r="CH94">
        <v>50.45</v>
      </c>
      <c r="CI94">
        <f>IFERROR(SQRT((SUMSQ('Feeder Spreads'!B94:B113)-2*SUMPRODUCT('Feeder Spreads'!B94:B113,'Feeder Spreads'!B95:B114)+SUMSQ('Feeder Spreads'!B95:B114)-('Feeder Spreads'!B94-'Feeder Spreads'!B114)^2/20)/19),"")</f>
        <v>0</v>
      </c>
      <c r="CK94">
        <f>IFERROR('Feeder Spreads'!AX94,"")</f>
        <v>0</v>
      </c>
      <c r="CL94">
        <f>IFERROR(('Feeder Spreads'!AY94-AVERAGE('Feeder Spreads'!$AY$3:$AY$4308))/STDEV('Feeder Spreads'!$AY$3:$AY$4308),"")</f>
        <v>-9.2057461789832346E-2</v>
      </c>
      <c r="CM94">
        <f>IFERROR('Feeder Spreads'!AY94-'Feeder Spreads'!AY99,"")</f>
        <v>0</v>
      </c>
      <c r="CN94">
        <f>IFERROR('Feeder Spreads'!AY94-'Feeder Spreads'!AY104,"")</f>
        <v>0</v>
      </c>
      <c r="CO94">
        <f>IFERROR(AVERAGE('Feeder Spreads'!AY94:AY113)+2*STDEV('Feeder Spreads'!AY94:AY113),"")</f>
        <v>0</v>
      </c>
      <c r="CP94">
        <f>IFERROR(AVERAGE('Feeder Spreads'!AY94:AY113)-2*STDEV('Feeder Spreads'!AY94:AY113),"")</f>
        <v>0</v>
      </c>
      <c r="CQ94" t="str">
        <f>IFERROR(('Feeder Spreads'!AY94-(AVERAGE('Feeder Spreads'!AY94:AY113)-2*STDEV('Feeder Spreads'!AY94:AY113)))/(4*STDEV('Feeder Spreads'!AY94:AY113)),"")</f>
        <v/>
      </c>
      <c r="CR94" t="str">
        <f>IFERROR(4*STDEV('Feeder Spreads'!AY94:AY113)/AVERAGE('Feeder Spreads'!AY94:AY113),"")</f>
        <v/>
      </c>
      <c r="CS94">
        <v>37.523499999999999</v>
      </c>
      <c r="CT94">
        <f>IFERROR(SQRT((SUMSQ('Feeder Spreads'!AY94:AY113)-2*SUMPRODUCT('Feeder Spreads'!AY94:AY113,'Feeder Spreads'!AY95:AY114)+SUMSQ('Feeder Spreads'!AY95:AY114)-('Feeder Spreads'!AY94-'Feeder Spreads'!AY114)^2/20)/19),"")</f>
        <v>0</v>
      </c>
      <c r="CV94">
        <f>IFERROR('Feeder Spreads'!H94,"")</f>
        <v>0</v>
      </c>
      <c r="CW94">
        <f>IFERROR(('Feeder Spreads'!I94-AVERAGE('Feeder Spreads'!$I$3:$I$4308))/STDEV('Feeder Spreads'!$I$3:$I$4308),"")</f>
        <v>-9.2057461789832332E-2</v>
      </c>
      <c r="CX94">
        <f>IFERROR('Feeder Spreads'!I94-'Feeder Spreads'!I99,"")</f>
        <v>0</v>
      </c>
      <c r="CY94">
        <f>IFERROR('Feeder Spreads'!I94-'Feeder Spreads'!I104,"")</f>
        <v>0</v>
      </c>
      <c r="CZ94">
        <f>IFERROR(AVERAGE('Feeder Spreads'!I94:I113)+2*STDEV('Feeder Spreads'!I94:I113),"")</f>
        <v>0</v>
      </c>
      <c r="DA94">
        <f>IFERROR(AVERAGE('Feeder Spreads'!I94:I113)-2*STDEV('Feeder Spreads'!I94:I113),"")</f>
        <v>0</v>
      </c>
      <c r="DB94" t="str">
        <f>IFERROR(('Feeder Spreads'!I94-(AVERAGE('Feeder Spreads'!I94:I113)-2*STDEV('Feeder Spreads'!I94:I113)))/(4*STDEV('Feeder Spreads'!I94:I113)),"")</f>
        <v/>
      </c>
      <c r="DC94" t="str">
        <f>IFERROR(4*STDEV('Feeder Spreads'!I94:I113)/AVERAGE('Feeder Spreads'!I94:I113),"")</f>
        <v/>
      </c>
      <c r="DD94">
        <v>48.320099999999996</v>
      </c>
      <c r="DE94">
        <f>IFERROR(SQRT((SUMSQ('Feeder Spreads'!I94:I113)-2*SUMPRODUCT('Feeder Spreads'!I94:I113,'Feeder Spreads'!I95:I114)+SUMSQ('Feeder Spreads'!I95:I114)-('Feeder Spreads'!I94-'Feeder Spreads'!I114)^2/20)/19),"")</f>
        <v>0</v>
      </c>
      <c r="DG94">
        <f>IFERROR('Feeder Spreads'!O94,"")</f>
        <v>0</v>
      </c>
      <c r="DH94">
        <f>IFERROR(('Feeder Spreads'!P94-AVERAGE('Feeder Spreads'!$P$3:$P$4308))/STDEV('Feeder Spreads'!$P$3:$P$4308),"")</f>
        <v>-9.2057461789832346E-2</v>
      </c>
      <c r="DI94">
        <f>IFERROR('Feeder Spreads'!P94-'Feeder Spreads'!P99,"")</f>
        <v>0</v>
      </c>
      <c r="DJ94">
        <f>IFERROR('Feeder Spreads'!P94-'Feeder Spreads'!P104,"")</f>
        <v>0</v>
      </c>
      <c r="DK94">
        <f>IFERROR(AVERAGE('Feeder Spreads'!P94:P113)+2*STDEV('Feeder Spreads'!P94:P113),"")</f>
        <v>0</v>
      </c>
      <c r="DL94">
        <f>IFERROR(AVERAGE('Feeder Spreads'!P94:P113)-2*STDEV('Feeder Spreads'!P94:P113),"")</f>
        <v>0</v>
      </c>
      <c r="DM94" t="str">
        <f>IFERROR(('Feeder Spreads'!P94-(AVERAGE('Feeder Spreads'!P94:P113)-2*STDEV('Feeder Spreads'!P94:P113)))/(4*STDEV('Feeder Spreads'!P94:P113)),"")</f>
        <v/>
      </c>
      <c r="DN94" t="str">
        <f>IFERROR(4*STDEV('Feeder Spreads'!P94:P113)/AVERAGE('Feeder Spreads'!P94:P113),"")</f>
        <v/>
      </c>
      <c r="DO94">
        <v>61.872900000000001</v>
      </c>
      <c r="DP94">
        <f>IFERROR(SQRT((SUMSQ('Feeder Spreads'!P94:P113)-2*SUMPRODUCT('Feeder Spreads'!P94:P113,'Feeder Spreads'!P95:P114)+SUMSQ('Feeder Spreads'!P95:P114)-('Feeder Spreads'!P94-'Feeder Spreads'!P114)^2/20)/19),"")</f>
        <v>0</v>
      </c>
      <c r="DR94">
        <f>IFERROR('Feeder Spreads'!V94,"")</f>
        <v>0</v>
      </c>
      <c r="DS94">
        <f>IFERROR(('Feeder Spreads'!W94-AVERAGE('Feeder Spreads'!$W$3:$W$4308))/STDEV('Feeder Spreads'!$W$3:$W$4308),"")</f>
        <v>-9.2057461789832332E-2</v>
      </c>
      <c r="DT94">
        <f>IFERROR('Feeder Spreads'!W94-'Feeder Spreads'!W99,"")</f>
        <v>0</v>
      </c>
      <c r="DU94">
        <f>IFERROR('Feeder Spreads'!W94-'Feeder Spreads'!W104,"")</f>
        <v>0</v>
      </c>
      <c r="DV94">
        <f>IFERROR(AVERAGE('Feeder Spreads'!W94:W113)+2*STDEV('Feeder Spreads'!W94:W113),"")</f>
        <v>0</v>
      </c>
      <c r="DW94">
        <f>IFERROR(AVERAGE('Feeder Spreads'!W94:W113)-2*STDEV('Feeder Spreads'!W94:W113),"")</f>
        <v>0</v>
      </c>
      <c r="DX94" t="str">
        <f>IFERROR(('Feeder Spreads'!W94-(AVERAGE('Feeder Spreads'!W94:W113)-2*STDEV('Feeder Spreads'!W94:W113)))/(4*STDEV('Feeder Spreads'!W94:W113)),"")</f>
        <v/>
      </c>
      <c r="DY94" t="str">
        <f>IFERROR(4*STDEV('Feeder Spreads'!W94:W113)/AVERAGE('Feeder Spreads'!W94:W113),"")</f>
        <v/>
      </c>
      <c r="DZ94">
        <v>59.8371</v>
      </c>
      <c r="EA94">
        <f>IFERROR(SQRT((SUMSQ('Feeder Spreads'!W94:W113)-2*SUMPRODUCT('Feeder Spreads'!W94:W113,'Feeder Spreads'!W95:W114)+SUMSQ('Feeder Spreads'!W95:W114)-('Feeder Spreads'!W94-'Feeder Spreads'!W114)^2/20)/19),"")</f>
        <v>0</v>
      </c>
      <c r="EC94">
        <f>IFERROR('Feeder Spreads'!AC94,"")</f>
        <v>0</v>
      </c>
      <c r="ED94">
        <f>IFERROR(('Feeder Spreads'!AD94-AVERAGE('Feeder Spreads'!$AD$3:$AD$4308))/STDEV('Feeder Spreads'!$AD$3:$AD$4308),"")</f>
        <v>9.2057461789832318E-2</v>
      </c>
      <c r="EE94">
        <f>IFERROR('Feeder Spreads'!AD94-'Feeder Spreads'!AD99,"")</f>
        <v>0</v>
      </c>
      <c r="EF94">
        <f>IFERROR('Feeder Spreads'!AD94-'Feeder Spreads'!AD104,"")</f>
        <v>0</v>
      </c>
      <c r="EG94">
        <f>IFERROR(AVERAGE('Feeder Spreads'!AD94:AD113)+2*STDEV('Feeder Spreads'!AD94:AD113),"")</f>
        <v>0</v>
      </c>
      <c r="EH94">
        <f>IFERROR(AVERAGE('Feeder Spreads'!AD94:AD113)-2*STDEV('Feeder Spreads'!AD94:AD113),"")</f>
        <v>0</v>
      </c>
      <c r="EI94" t="str">
        <f>IFERROR(('Feeder Spreads'!AD94-(AVERAGE('Feeder Spreads'!AD94:AD113)-2*STDEV('Feeder Spreads'!AD94:AD113)))/(4*STDEV('Feeder Spreads'!AD94:AD113)),"")</f>
        <v/>
      </c>
      <c r="EJ94" t="str">
        <f>IFERROR(4*STDEV('Feeder Spreads'!AD94:AD113)/AVERAGE('Feeder Spreads'!AD94:AD113),"")</f>
        <v/>
      </c>
      <c r="EK94">
        <v>49.716000000000001</v>
      </c>
      <c r="EL94">
        <f>IFERROR(SQRT((SUMSQ('Feeder Spreads'!AD94:AD113)-2*SUMPRODUCT('Feeder Spreads'!AD94:AD113,'Feeder Spreads'!AD95:AD114)+SUMSQ('Feeder Spreads'!AD95:AD114)-('Feeder Spreads'!AD94-'Feeder Spreads'!AD114)^2/20)/19),"")</f>
        <v>0</v>
      </c>
      <c r="EN94">
        <f>IFERROR('Feeder Spreads'!AJ94,"")</f>
        <v>0</v>
      </c>
      <c r="EO94">
        <f>IFERROR(('Feeder Spreads'!AK94-AVERAGE('Feeder Spreads'!$AK$3:$AK$4308))/STDEV('Feeder Spreads'!$AK$3:$AK$4308),"")</f>
        <v>-9.2057461789832346E-2</v>
      </c>
      <c r="EP94">
        <f>IFERROR('Feeder Spreads'!AK94-'Feeder Spreads'!AK99,"")</f>
        <v>0</v>
      </c>
      <c r="EQ94">
        <f>IFERROR('Feeder Spreads'!AK94-'Feeder Spreads'!AK104,"")</f>
        <v>0</v>
      </c>
      <c r="ER94">
        <f>IFERROR(AVERAGE('Feeder Spreads'!AK94:AK113)+2*STDEV('Feeder Spreads'!AK94:AK113),"")</f>
        <v>0</v>
      </c>
      <c r="ES94">
        <f>IFERROR(AVERAGE('Feeder Spreads'!AK94:AK113)-2*STDEV('Feeder Spreads'!AK94:AK113),"")</f>
        <v>0</v>
      </c>
      <c r="ET94" t="str">
        <f>IFERROR(('Feeder Spreads'!AK94-(AVERAGE('Feeder Spreads'!AK94:AK113)-2*STDEV('Feeder Spreads'!AK94:AK113)))/(4*STDEV('Feeder Spreads'!AK94:AK113)),"")</f>
        <v/>
      </c>
      <c r="EU94" t="str">
        <f>IFERROR(4*STDEV('Feeder Spreads'!AK94:AK113)/AVERAGE('Feeder Spreads'!AK94:AK113),"")</f>
        <v/>
      </c>
      <c r="EV94">
        <v>46.259799999999998</v>
      </c>
      <c r="EW94">
        <f>IFERROR(SQRT((SUMSQ('Feeder Spreads'!AK94:AK113)-2*SUMPRODUCT('Feeder Spreads'!AK94:AK113,'Feeder Spreads'!AK95:AK114)+SUMSQ('Feeder Spreads'!AK95:AK114)-('Feeder Spreads'!AK94-'Feeder Spreads'!AK114)^2/20)/19),"")</f>
        <v>0</v>
      </c>
      <c r="EY94">
        <f>IFERROR('Feeder Spreads'!AQ94,"")</f>
        <v>0</v>
      </c>
      <c r="EZ94">
        <f>IFERROR(('Feeder Spreads'!AR94-AVERAGE('Feeder Spreads'!$AR$3:$AR$4308))/STDEV('Feeder Spreads'!$AR$3:$AR$4308),"")</f>
        <v>-9.2057461789832332E-2</v>
      </c>
      <c r="FA94">
        <f>IFERROR('Feeder Spreads'!AR94-'Feeder Spreads'!AR99,"")</f>
        <v>0</v>
      </c>
      <c r="FB94">
        <f>IFERROR('Feeder Spreads'!AR94-'Feeder Spreads'!AR104,"")</f>
        <v>0</v>
      </c>
      <c r="FC94">
        <f>IFERROR(AVERAGE('Feeder Spreads'!AR94:AR113)+2*STDEV('Feeder Spreads'!AR94:AR113),"")</f>
        <v>0</v>
      </c>
      <c r="FD94">
        <f>IFERROR(AVERAGE('Feeder Spreads'!AR94:AR113)-2*STDEV('Feeder Spreads'!AR94:AR113),"")</f>
        <v>0</v>
      </c>
      <c r="FE94" t="str">
        <f>IFERROR(('Feeder Spreads'!AR94-(AVERAGE('Feeder Spreads'!AR94:AR113)-2*STDEV('Feeder Spreads'!AR94:AR113)))/(4*STDEV('Feeder Spreads'!AR94:AR113)),"")</f>
        <v/>
      </c>
      <c r="FF94" t="str">
        <f>IFERROR(4*STDEV('Feeder Spreads'!AR94:AR113)/AVERAGE('Feeder Spreads'!AR94:AR113),"")</f>
        <v/>
      </c>
      <c r="FG94">
        <v>57.240600000000001</v>
      </c>
      <c r="FH94">
        <f>IFERROR(SQRT((SUMSQ('Feeder Spreads'!AR94:AR113)-2*SUMPRODUCT('Feeder Spreads'!AR94:AR113,'Feeder Spreads'!AR95:AR114)+SUMSQ('Feeder Spreads'!AR95:AR114)-('Feeder Spreads'!AR94-'Feeder Spreads'!AR114)^2/20)/19),"")</f>
        <v>0</v>
      </c>
      <c r="FJ94">
        <f>IFERROR('Fat Spreads'!AX94,"")</f>
        <v>0</v>
      </c>
      <c r="FK94">
        <f>IFERROR(('Fat Spreads'!AY94-AVERAGE('Fat Spreads'!$AY$3:$AY$4308))/STDEV('Fat Spreads'!$AY$3:$AY$4308),"")</f>
        <v>9.2057461789832332E-2</v>
      </c>
      <c r="FL94">
        <f>IFERROR('Fat Spreads'!AY94-'Fat Spreads'!AY99,"")</f>
        <v>0</v>
      </c>
      <c r="FM94">
        <f>IFERROR('Fat Spreads'!AY94-'Fat Spreads'!AY104,"")</f>
        <v>0</v>
      </c>
      <c r="FN94">
        <f>IFERROR(AVERAGE('Fat Spreads'!AY94:AY113)+2*STDEV('Fat Spreads'!AY94:AY113),"")</f>
        <v>0</v>
      </c>
      <c r="FO94">
        <f>IFERROR(AVERAGE('Fat Spreads'!AY94:AY113)-2*STDEV('Fat Spreads'!AY94:AY113),"")</f>
        <v>0</v>
      </c>
      <c r="FP94" t="str">
        <f>IFERROR(('Fat Spreads'!AY94-(AVERAGE('Fat Spreads'!AY94:AY113)-2*STDEV('Fat Spreads'!AY94:AY113)))/(4*STDEV('Fat Spreads'!AY94:AY113)),"")</f>
        <v/>
      </c>
      <c r="FQ94" t="str">
        <f>IFERROR(4*STDEV('Fat Spreads'!AY94:AY113)/AVERAGE('Fat Spreads'!AY94:AY113),"")</f>
        <v/>
      </c>
      <c r="FR94">
        <v>53.018300000000004</v>
      </c>
      <c r="FS94">
        <f>IFERROR(SQRT((SUMSQ('Fat Spreads'!AY94:AY113)-2*SUMPRODUCT('Fat Spreads'!AY94:AY113,'Fat Spreads'!AY95:AY114)+SUMSQ('Fat Spreads'!AY95:AY114)-('Fat Spreads'!AY94-'Fat Spreads'!AY114)^2/20)/19),"")</f>
        <v>0</v>
      </c>
      <c r="FU94">
        <f>IFERROR('Fat Spreads'!BE94,"")</f>
        <v>0</v>
      </c>
      <c r="FV94">
        <f>IFERROR(('Fat Spreads'!BF94-AVERAGE('Fat Spreads'!$BF$3:$BF$4308))/STDEV('Fat Spreads'!$BF$3:$BF$4308),"")</f>
        <v>9.2057461789832332E-2</v>
      </c>
      <c r="FW94">
        <f>IFERROR('Fat Spreads'!BF94-'Fat Spreads'!BF99,"")</f>
        <v>0</v>
      </c>
      <c r="FX94">
        <f>IFERROR('Fat Spreads'!BF94-'Fat Spreads'!BF104,"")</f>
        <v>0</v>
      </c>
      <c r="FY94">
        <f>IFERROR(AVERAGE('Fat Spreads'!BF94:BF113)+2*STDEV('Fat Spreads'!BF94:BF113),"")</f>
        <v>0</v>
      </c>
      <c r="FZ94">
        <f>IFERROR(AVERAGE('Fat Spreads'!BF94:BF113)-2*STDEV('Fat Spreads'!BF94:BF113),"")</f>
        <v>0</v>
      </c>
      <c r="GA94" t="str">
        <f>IFERROR(('Fat Spreads'!BF94-(AVERAGE('Fat Spreads'!BF94:BF113)-2*STDEV('Fat Spreads'!BF94:BF113)))/(4*STDEV('Fat Spreads'!BF94:BF113)),"")</f>
        <v/>
      </c>
      <c r="GB94" t="str">
        <f>IFERROR(4*STDEV('Fat Spreads'!BF94:BF113)/AVERAGE('Fat Spreads'!BF94:BF113),"")</f>
        <v/>
      </c>
      <c r="GC94">
        <v>49.858199999999997</v>
      </c>
      <c r="GD94">
        <f>IFERROR(SQRT((SUMSQ('Fat Spreads'!BF94:BF113)-2*SUMPRODUCT('Fat Spreads'!BF94:BF113,'Fat Spreads'!BF95:BF114)+SUMSQ('Fat Spreads'!BF95:BF114)-('Fat Spreads'!BF94-'Fat Spreads'!BF114)^2/20)/19),"")</f>
        <v>0</v>
      </c>
    </row>
    <row r="95" spans="1:186" x14ac:dyDescent="0.25">
      <c r="A95">
        <f>IFERROR('Fat Spreads'!A95,"")</f>
        <v>0</v>
      </c>
      <c r="B95">
        <f>IFERROR(('Fat Spreads'!B95-AVERAGE('Fat Spreads'!$B$3:$B$4308))/STDEV('Fat Spreads'!$B$3:$B$4308),"")</f>
        <v>9.2057461789832346E-2</v>
      </c>
      <c r="C95">
        <f>IFERROR('Fat Spreads'!B95-'Fat Spreads'!B100,"")</f>
        <v>0</v>
      </c>
      <c r="D95">
        <f>IFERROR('Fat Spreads'!B95-'Fat Spreads'!B105,"")</f>
        <v>0</v>
      </c>
      <c r="E95">
        <f>IFERROR(AVERAGE('Fat Spreads'!B95:B114)+2*STDEV('Fat Spreads'!B95:B114),"")</f>
        <v>0</v>
      </c>
      <c r="F95">
        <f>IFERROR(AVERAGE('Fat Spreads'!B95:B114)-2*STDEV('Fat Spreads'!B95:B114),"")</f>
        <v>0</v>
      </c>
      <c r="G95" t="str">
        <f>IFERROR(('Fat Spreads'!B95-(AVERAGE('Fat Spreads'!B95:B114)-2*STDEV('Fat Spreads'!B95:B114)))/(4*STDEV('Fat Spreads'!B95:B114)),"")</f>
        <v/>
      </c>
      <c r="H95" t="str">
        <f>IFERROR(4*STDEV('Fat Spreads'!B95:B114)/AVERAGE('Fat Spreads'!B95:B114),"")</f>
        <v/>
      </c>
      <c r="I95">
        <v>48.756500000000003</v>
      </c>
      <c r="J95">
        <f>IFERROR(SQRT((SUMSQ('Fat Spreads'!B95:B114)-2*SUMPRODUCT('Fat Spreads'!B95:B114,'Fat Spreads'!B96:B115)+SUMSQ('Fat Spreads'!B96:B115)-('Fat Spreads'!B95-'Fat Spreads'!B115)^2/20)/19),"")</f>
        <v>0</v>
      </c>
      <c r="L95">
        <f>IFERROR('Fat Spreads'!H95,"")</f>
        <v>0</v>
      </c>
      <c r="M95">
        <f>IFERROR(('Fat Spreads'!I95-AVERAGE('Fat Spreads'!$I$3:$I$4308))/STDEV('Fat Spreads'!$I$3:$I$4308),"")</f>
        <v>-9.2057461789832332E-2</v>
      </c>
      <c r="N95">
        <f>IFERROR('Fat Spreads'!I95-'Fat Spreads'!I100,"")</f>
        <v>0</v>
      </c>
      <c r="O95">
        <f>IFERROR('Fat Spreads'!I95-'Fat Spreads'!I105,"")</f>
        <v>0</v>
      </c>
      <c r="P95">
        <f>IFERROR(AVERAGE('Fat Spreads'!I95:I114)+2*STDEV('Fat Spreads'!I95:I114),"")</f>
        <v>0</v>
      </c>
      <c r="Q95">
        <f>IFERROR(AVERAGE('Fat Spreads'!I95:I114)-2*STDEV('Fat Spreads'!I95:I114),"")</f>
        <v>0</v>
      </c>
      <c r="R95" t="str">
        <f>IFERROR(('Fat Spreads'!I95-(AVERAGE('Fat Spreads'!I95:I114)-2*STDEV('Fat Spreads'!I95:I114)))/(4*STDEV('Fat Spreads'!I95:I114)),"")</f>
        <v/>
      </c>
      <c r="S95" t="str">
        <f>IFERROR(4*STDEV('Fat Spreads'!I95:I114)/AVERAGE('Fat Spreads'!I95:I114),"")</f>
        <v/>
      </c>
      <c r="T95">
        <v>51.387799999999999</v>
      </c>
      <c r="U95">
        <f>IFERROR(SQRT((SUMSQ('Fat Spreads'!I95:I114)-2*SUMPRODUCT('Fat Spreads'!I95:I114,'Fat Spreads'!I96:I115)+SUMSQ('Fat Spreads'!I96:I115)-('Fat Spreads'!I95-'Fat Spreads'!I115)^2/20)/19),"")</f>
        <v>0</v>
      </c>
      <c r="W95">
        <f>IFERROR('Fat Spreads'!AQ95,"")</f>
        <v>0</v>
      </c>
      <c r="X95">
        <f>IFERROR(('Fat Spreads'!AR95-AVERAGE('Fat Spreads'!$AR$3:$AR$4308))/STDEV('Fat Spreads'!$AR$3:$AR$4308),"")</f>
        <v>-9.2057461789832346E-2</v>
      </c>
      <c r="Y95">
        <f>IFERROR('Fat Spreads'!AR95-'Fat Spreads'!AR100,"")</f>
        <v>0</v>
      </c>
      <c r="Z95">
        <f>IFERROR('Fat Spreads'!AR95-'Fat Spreads'!AR105,"")</f>
        <v>0</v>
      </c>
      <c r="AA95">
        <f>IFERROR(AVERAGE('Fat Spreads'!AR95:AR114)+2*STDEV('Fat Spreads'!AR95:AR114),"")</f>
        <v>0</v>
      </c>
      <c r="AB95">
        <f>IFERROR(AVERAGE('Fat Spreads'!AR95:AR114)-2*STDEV('Fat Spreads'!AR95:AR114),"")</f>
        <v>0</v>
      </c>
      <c r="AC95" t="str">
        <f>IFERROR(('Fat Spreads'!AR95-(AVERAGE('Fat Spreads'!AR95:AR114)-2*STDEV('Fat Spreads'!AR95:AR114)))/(4*STDEV('Fat Spreads'!AR95:AR114)),"")</f>
        <v/>
      </c>
      <c r="AD95" t="str">
        <f>IFERROR(4*STDEV('Fat Spreads'!AR95:AR114)/AVERAGE('Fat Spreads'!AR95:AR114),"")</f>
        <v/>
      </c>
      <c r="AE95">
        <v>46.088900000000002</v>
      </c>
      <c r="AF95">
        <f>IFERROR(SQRT((SUMSQ('Fat Spreads'!AR95:AR114)-2*SUMPRODUCT('Fat Spreads'!AR95:AR114,'Fat Spreads'!AR96:AR115)+SUMSQ('Fat Spreads'!AR96:AR115)-('Fat Spreads'!AR95-'Fat Spreads'!AR115)^2/20)/19),"")</f>
        <v>0</v>
      </c>
      <c r="AH95">
        <f>IFERROR('Fat Spreads'!O95,"")</f>
        <v>0</v>
      </c>
      <c r="AI95">
        <f>IFERROR(('Fat Spreads'!P95-AVERAGE('Fat Spreads'!$P$3:$P$4308))/STDEV('Fat Spreads'!$P$3:$P$4308),"")</f>
        <v>-9.2057461789832332E-2</v>
      </c>
      <c r="AJ95">
        <f>IFERROR('Fat Spreads'!P95-'Fat Spreads'!P100,"")</f>
        <v>0</v>
      </c>
      <c r="AK95">
        <f>IFERROR('Fat Spreads'!P95-'Fat Spreads'!P105,"")</f>
        <v>0</v>
      </c>
      <c r="AL95">
        <f>IFERROR(AVERAGE('Fat Spreads'!P95:P114)+2*STDEV('Fat Spreads'!P95:P114),"")</f>
        <v>0</v>
      </c>
      <c r="AM95">
        <f>IFERROR(AVERAGE('Fat Spreads'!P95:P114)-2*STDEV('Fat Spreads'!P95:P114),"")</f>
        <v>0</v>
      </c>
      <c r="AN95" t="str">
        <f>IFERROR(('Fat Spreads'!P95-(AVERAGE('Fat Spreads'!P95:P114)-2*STDEV('Fat Spreads'!P95:P114)))/(4*STDEV('Fat Spreads'!P95:P114)),"")</f>
        <v/>
      </c>
      <c r="AO95" t="str">
        <f>IFERROR(4*STDEV('Fat Spreads'!P95:P114)/AVERAGE('Fat Spreads'!P95:P114),"")</f>
        <v/>
      </c>
      <c r="AP95">
        <v>58.833799999999997</v>
      </c>
      <c r="AQ95">
        <f>IFERROR(SQRT((SUMSQ('Fat Spreads'!P95:P114)-2*SUMPRODUCT('Fat Spreads'!P95:P114,'Fat Spreads'!P96:P115)+SUMSQ('Fat Spreads'!P96:P115)-('Fat Spreads'!P95-'Fat Spreads'!P115)^2/20)/19),"")</f>
        <v>0</v>
      </c>
      <c r="AS95">
        <f>IFERROR('Fat Spreads'!AJ95,"")</f>
        <v>0</v>
      </c>
      <c r="AT95">
        <f>IFERROR(('Fat Spreads'!AK95-AVERAGE('Fat Spreads'!$AK$3:$AK$4308))/STDEV('Fat Spreads'!$AK$3:$AK$4308),"")</f>
        <v>-9.2057461789832332E-2</v>
      </c>
      <c r="AU95">
        <f>IFERROR('Fat Spreads'!AK95-'Fat Spreads'!AK100,"")</f>
        <v>0</v>
      </c>
      <c r="AV95">
        <f>IFERROR('Fat Spreads'!AK95-'Fat Spreads'!AK105,"")</f>
        <v>0</v>
      </c>
      <c r="AW95">
        <f>IFERROR(AVERAGE('Fat Spreads'!AK95:AK114)+2*STDEV('Fat Spreads'!AK95:AK114),"")</f>
        <v>0</v>
      </c>
      <c r="AX95">
        <f>IFERROR(AVERAGE('Fat Spreads'!AK95:AK114)-2*STDEV('Fat Spreads'!AK95:AK114),"")</f>
        <v>0</v>
      </c>
      <c r="AY95" t="str">
        <f>IFERROR(('Fat Spreads'!AK95-(AVERAGE('Fat Spreads'!AK95:AK114)-2*STDEV('Fat Spreads'!AK95:AK114)))/(4*STDEV('Fat Spreads'!AK95:AK114)),"")</f>
        <v/>
      </c>
      <c r="AZ95" t="str">
        <f>IFERROR(4*STDEV('Fat Spreads'!AK95:AK114)/AVERAGE('Fat Spreads'!AK95:AK114),"")</f>
        <v/>
      </c>
      <c r="BA95">
        <v>64.765199999999993</v>
      </c>
      <c r="BB95">
        <f>IFERROR(SQRT((SUMSQ('Fat Spreads'!AK95:AK114)-2*SUMPRODUCT('Fat Spreads'!AK95:AK114,'Fat Spreads'!AK96:AK115)+SUMSQ('Fat Spreads'!AK96:AK115)-('Fat Spreads'!AK95-'Fat Spreads'!AK115)^2/20)/19),"")</f>
        <v>0</v>
      </c>
      <c r="BD95">
        <f>IFERROR('Fat Spreads'!V95,"")</f>
        <v>0</v>
      </c>
      <c r="BE95">
        <f>IFERROR(('Fat Spreads'!W95-AVERAGE('Fat Spreads'!$W$3:$W$4308))/STDEV('Fat Spreads'!$W$3:$W$4308),"")</f>
        <v>-9.2057461789832332E-2</v>
      </c>
      <c r="BF95">
        <f>IFERROR('Fat Spreads'!W95-'Fat Spreads'!W100,"")</f>
        <v>0</v>
      </c>
      <c r="BG95">
        <f>IFERROR('Fat Spreads'!W95-'Fat Spreads'!W105,"")</f>
        <v>0</v>
      </c>
      <c r="BH95">
        <f>IFERROR(AVERAGE('Fat Spreads'!W95:W114)+2*STDEV('Fat Spreads'!W95:W114),"")</f>
        <v>0</v>
      </c>
      <c r="BI95">
        <f>IFERROR(AVERAGE('Fat Spreads'!W95:W114)-2*STDEV('Fat Spreads'!W95:W114),"")</f>
        <v>0</v>
      </c>
      <c r="BJ95" t="str">
        <f>IFERROR(('Fat Spreads'!W95-(AVERAGE('Fat Spreads'!W95:W114)-2*STDEV('Fat Spreads'!W95:W114)))/(4*STDEV('Fat Spreads'!W95:W114)),"")</f>
        <v/>
      </c>
      <c r="BK95" t="str">
        <f>IFERROR(4*STDEV('Fat Spreads'!W95:W114)/AVERAGE('Fat Spreads'!W95:W114),"")</f>
        <v/>
      </c>
      <c r="BL95">
        <v>43.7667</v>
      </c>
      <c r="BM95">
        <f>IFERROR(SQRT((SUMSQ('Fat Spreads'!W95:W114)-2*SUMPRODUCT('Fat Spreads'!W95:W114,'Fat Spreads'!W96:W115)+SUMSQ('Fat Spreads'!W96:W115)-('Fat Spreads'!W95-'Fat Spreads'!W115)^2/20)/19),"")</f>
        <v>0</v>
      </c>
      <c r="BO95">
        <f>IFERROR('Fat Spreads'!AC95,"")</f>
        <v>0</v>
      </c>
      <c r="BP95">
        <f>IFERROR(('Fat Spreads'!AD95-AVERAGE('Fat Spreads'!$AD$3:$AD$4308))/STDEV('Fat Spreads'!$AD$3:$AD$4308),"")</f>
        <v>-9.2057461789832332E-2</v>
      </c>
      <c r="BQ95">
        <f>IFERROR('Fat Spreads'!AD95-'Fat Spreads'!AD100,"")</f>
        <v>0</v>
      </c>
      <c r="BR95">
        <f>IFERROR('Fat Spreads'!AD95-'Fat Spreads'!AD105,"")</f>
        <v>0</v>
      </c>
      <c r="BS95">
        <f>IFERROR(AVERAGE('Fat Spreads'!AD95:AD114)+2*STDEV('Fat Spreads'!AD95:AD114),"")</f>
        <v>0</v>
      </c>
      <c r="BT95">
        <f>IFERROR(AVERAGE('Fat Spreads'!AD95:AD114)-2*STDEV('Fat Spreads'!AD95:AD114),"")</f>
        <v>0</v>
      </c>
      <c r="BU95" t="str">
        <f>IFERROR(('Fat Spreads'!AD95-(AVERAGE('Fat Spreads'!AD95:AD114)-2*STDEV('Fat Spreads'!AD95:AD114)))/(4*STDEV('Fat Spreads'!AD95:AD114)),"")</f>
        <v/>
      </c>
      <c r="BV95" t="str">
        <f>IFERROR(4*STDEV('Fat Spreads'!AD95:AD114)/AVERAGE('Fat Spreads'!AD95:AD114),"")</f>
        <v/>
      </c>
      <c r="BW95">
        <v>49.853000000000002</v>
      </c>
      <c r="BX95">
        <f>IFERROR(SQRT((SUMSQ('Fat Spreads'!AD95:AD114)-2*SUMPRODUCT('Fat Spreads'!AD95:AD114,'Fat Spreads'!AD96:AD115)+SUMSQ('Fat Spreads'!AD96:AD115)-('Fat Spreads'!AD95-'Fat Spreads'!AD115)^2/20)/19),"")</f>
        <v>0</v>
      </c>
      <c r="BZ95">
        <f>IFERROR('Feeder Spreads'!A95,"")</f>
        <v>0</v>
      </c>
      <c r="CA95">
        <f>IFERROR(('Feeder Spreads'!B95-AVERAGE('Feeder Spreads'!$B$3:$B$4308))/STDEV('Feeder Spreads'!$B$3:$B$4308),"")</f>
        <v>-9.2057461789832346E-2</v>
      </c>
      <c r="CB95">
        <f>IFERROR('Feeder Spreads'!B95-'Feeder Spreads'!B100,"")</f>
        <v>0</v>
      </c>
      <c r="CC95">
        <f>IFERROR('Feeder Spreads'!B95-'Feeder Spreads'!B105,"")</f>
        <v>0</v>
      </c>
      <c r="CD95">
        <f>IFERROR(AVERAGE('Feeder Spreads'!B95:B114)+2*STDEV('Feeder Spreads'!B95:B114),"")</f>
        <v>0</v>
      </c>
      <c r="CE95">
        <f>IFERROR(AVERAGE('Feeder Spreads'!B95:B114)-2*STDEV('Feeder Spreads'!B95:B114),"")</f>
        <v>0</v>
      </c>
      <c r="CF95" t="str">
        <f>IFERROR(('Feeder Spreads'!B95-(AVERAGE('Feeder Spreads'!B95:B114)-2*STDEV('Feeder Spreads'!B95:B114)))/(4*STDEV('Feeder Spreads'!B95:B114)),"")</f>
        <v/>
      </c>
      <c r="CG95" t="str">
        <f>IFERROR(4*STDEV('Feeder Spreads'!B95:B114)/AVERAGE('Feeder Spreads'!B95:B114),"")</f>
        <v/>
      </c>
      <c r="CH95">
        <v>53.477899999999998</v>
      </c>
      <c r="CI95">
        <f>IFERROR(SQRT((SUMSQ('Feeder Spreads'!B95:B114)-2*SUMPRODUCT('Feeder Spreads'!B95:B114,'Feeder Spreads'!B96:B115)+SUMSQ('Feeder Spreads'!B96:B115)-('Feeder Spreads'!B95-'Feeder Spreads'!B115)^2/20)/19),"")</f>
        <v>0</v>
      </c>
      <c r="CK95">
        <f>IFERROR('Feeder Spreads'!AX95,"")</f>
        <v>0</v>
      </c>
      <c r="CL95">
        <f>IFERROR(('Feeder Spreads'!AY95-AVERAGE('Feeder Spreads'!$AY$3:$AY$4308))/STDEV('Feeder Spreads'!$AY$3:$AY$4308),"")</f>
        <v>-9.2057461789832346E-2</v>
      </c>
      <c r="CM95">
        <f>IFERROR('Feeder Spreads'!AY95-'Feeder Spreads'!AY100,"")</f>
        <v>0</v>
      </c>
      <c r="CN95">
        <f>IFERROR('Feeder Spreads'!AY95-'Feeder Spreads'!AY105,"")</f>
        <v>0</v>
      </c>
      <c r="CO95">
        <f>IFERROR(AVERAGE('Feeder Spreads'!AY95:AY114)+2*STDEV('Feeder Spreads'!AY95:AY114),"")</f>
        <v>0</v>
      </c>
      <c r="CP95">
        <f>IFERROR(AVERAGE('Feeder Spreads'!AY95:AY114)-2*STDEV('Feeder Spreads'!AY95:AY114),"")</f>
        <v>0</v>
      </c>
      <c r="CQ95" t="str">
        <f>IFERROR(('Feeder Spreads'!AY95-(AVERAGE('Feeder Spreads'!AY95:AY114)-2*STDEV('Feeder Spreads'!AY95:AY114)))/(4*STDEV('Feeder Spreads'!AY95:AY114)),"")</f>
        <v/>
      </c>
      <c r="CR95" t="str">
        <f>IFERROR(4*STDEV('Feeder Spreads'!AY95:AY114)/AVERAGE('Feeder Spreads'!AY95:AY114),"")</f>
        <v/>
      </c>
      <c r="CS95">
        <v>33.039000000000001</v>
      </c>
      <c r="CT95">
        <f>IFERROR(SQRT((SUMSQ('Feeder Spreads'!AY95:AY114)-2*SUMPRODUCT('Feeder Spreads'!AY95:AY114,'Feeder Spreads'!AY96:AY115)+SUMSQ('Feeder Spreads'!AY96:AY115)-('Feeder Spreads'!AY95-'Feeder Spreads'!AY115)^2/20)/19),"")</f>
        <v>0</v>
      </c>
      <c r="CV95">
        <f>IFERROR('Feeder Spreads'!H95,"")</f>
        <v>0</v>
      </c>
      <c r="CW95">
        <f>IFERROR(('Feeder Spreads'!I95-AVERAGE('Feeder Spreads'!$I$3:$I$4308))/STDEV('Feeder Spreads'!$I$3:$I$4308),"")</f>
        <v>-9.2057461789832332E-2</v>
      </c>
      <c r="CX95">
        <f>IFERROR('Feeder Spreads'!I95-'Feeder Spreads'!I100,"")</f>
        <v>0</v>
      </c>
      <c r="CY95">
        <f>IFERROR('Feeder Spreads'!I95-'Feeder Spreads'!I105,"")</f>
        <v>0</v>
      </c>
      <c r="CZ95">
        <f>IFERROR(AVERAGE('Feeder Spreads'!I95:I114)+2*STDEV('Feeder Spreads'!I95:I114),"")</f>
        <v>0</v>
      </c>
      <c r="DA95">
        <f>IFERROR(AVERAGE('Feeder Spreads'!I95:I114)-2*STDEV('Feeder Spreads'!I95:I114),"")</f>
        <v>0</v>
      </c>
      <c r="DB95" t="str">
        <f>IFERROR(('Feeder Spreads'!I95-(AVERAGE('Feeder Spreads'!I95:I114)-2*STDEV('Feeder Spreads'!I95:I114)))/(4*STDEV('Feeder Spreads'!I95:I114)),"")</f>
        <v/>
      </c>
      <c r="DC95" t="str">
        <f>IFERROR(4*STDEV('Feeder Spreads'!I95:I114)/AVERAGE('Feeder Spreads'!I95:I114),"")</f>
        <v/>
      </c>
      <c r="DD95">
        <v>56.406500000000001</v>
      </c>
      <c r="DE95">
        <f>IFERROR(SQRT((SUMSQ('Feeder Spreads'!I95:I114)-2*SUMPRODUCT('Feeder Spreads'!I95:I114,'Feeder Spreads'!I96:I115)+SUMSQ('Feeder Spreads'!I96:I115)-('Feeder Spreads'!I95-'Feeder Spreads'!I115)^2/20)/19),"")</f>
        <v>0</v>
      </c>
      <c r="DG95">
        <f>IFERROR('Feeder Spreads'!O95,"")</f>
        <v>0</v>
      </c>
      <c r="DH95">
        <f>IFERROR(('Feeder Spreads'!P95-AVERAGE('Feeder Spreads'!$P$3:$P$4308))/STDEV('Feeder Spreads'!$P$3:$P$4308),"")</f>
        <v>-9.2057461789832346E-2</v>
      </c>
      <c r="DI95">
        <f>IFERROR('Feeder Spreads'!P95-'Feeder Spreads'!P100,"")</f>
        <v>0</v>
      </c>
      <c r="DJ95">
        <f>IFERROR('Feeder Spreads'!P95-'Feeder Spreads'!P105,"")</f>
        <v>0</v>
      </c>
      <c r="DK95">
        <f>IFERROR(AVERAGE('Feeder Spreads'!P95:P114)+2*STDEV('Feeder Spreads'!P95:P114),"")</f>
        <v>0</v>
      </c>
      <c r="DL95">
        <f>IFERROR(AVERAGE('Feeder Spreads'!P95:P114)-2*STDEV('Feeder Spreads'!P95:P114),"")</f>
        <v>0</v>
      </c>
      <c r="DM95" t="str">
        <f>IFERROR(('Feeder Spreads'!P95-(AVERAGE('Feeder Spreads'!P95:P114)-2*STDEV('Feeder Spreads'!P95:P114)))/(4*STDEV('Feeder Spreads'!P95:P114)),"")</f>
        <v/>
      </c>
      <c r="DN95" t="str">
        <f>IFERROR(4*STDEV('Feeder Spreads'!P95:P114)/AVERAGE('Feeder Spreads'!P95:P114),"")</f>
        <v/>
      </c>
      <c r="DO95">
        <v>62.476300000000002</v>
      </c>
      <c r="DP95">
        <f>IFERROR(SQRT((SUMSQ('Feeder Spreads'!P95:P114)-2*SUMPRODUCT('Feeder Spreads'!P95:P114,'Feeder Spreads'!P96:P115)+SUMSQ('Feeder Spreads'!P96:P115)-('Feeder Spreads'!P95-'Feeder Spreads'!P115)^2/20)/19),"")</f>
        <v>0</v>
      </c>
      <c r="DR95">
        <f>IFERROR('Feeder Spreads'!V95,"")</f>
        <v>0</v>
      </c>
      <c r="DS95">
        <f>IFERROR(('Feeder Spreads'!W95-AVERAGE('Feeder Spreads'!$W$3:$W$4308))/STDEV('Feeder Spreads'!$W$3:$W$4308),"")</f>
        <v>-9.2057461789832332E-2</v>
      </c>
      <c r="DT95">
        <f>IFERROR('Feeder Spreads'!W95-'Feeder Spreads'!W100,"")</f>
        <v>0</v>
      </c>
      <c r="DU95">
        <f>IFERROR('Feeder Spreads'!W95-'Feeder Spreads'!W105,"")</f>
        <v>0</v>
      </c>
      <c r="DV95">
        <f>IFERROR(AVERAGE('Feeder Spreads'!W95:W114)+2*STDEV('Feeder Spreads'!W95:W114),"")</f>
        <v>0</v>
      </c>
      <c r="DW95">
        <f>IFERROR(AVERAGE('Feeder Spreads'!W95:W114)-2*STDEV('Feeder Spreads'!W95:W114),"")</f>
        <v>0</v>
      </c>
      <c r="DX95" t="str">
        <f>IFERROR(('Feeder Spreads'!W95-(AVERAGE('Feeder Spreads'!W95:W114)-2*STDEV('Feeder Spreads'!W95:W114)))/(4*STDEV('Feeder Spreads'!W95:W114)),"")</f>
        <v/>
      </c>
      <c r="DY95" t="str">
        <f>IFERROR(4*STDEV('Feeder Spreads'!W95:W114)/AVERAGE('Feeder Spreads'!W95:W114),"")</f>
        <v/>
      </c>
      <c r="DZ95">
        <v>53.565899999999999</v>
      </c>
      <c r="EA95">
        <f>IFERROR(SQRT((SUMSQ('Feeder Spreads'!W95:W114)-2*SUMPRODUCT('Feeder Spreads'!W95:W114,'Feeder Spreads'!W96:W115)+SUMSQ('Feeder Spreads'!W96:W115)-('Feeder Spreads'!W95-'Feeder Spreads'!W115)^2/20)/19),"")</f>
        <v>0</v>
      </c>
      <c r="EC95">
        <f>IFERROR('Feeder Spreads'!AC95,"")</f>
        <v>0</v>
      </c>
      <c r="ED95">
        <f>IFERROR(('Feeder Spreads'!AD95-AVERAGE('Feeder Spreads'!$AD$3:$AD$4308))/STDEV('Feeder Spreads'!$AD$3:$AD$4308),"")</f>
        <v>9.2057461789832318E-2</v>
      </c>
      <c r="EE95">
        <f>IFERROR('Feeder Spreads'!AD95-'Feeder Spreads'!AD100,"")</f>
        <v>0</v>
      </c>
      <c r="EF95">
        <f>IFERROR('Feeder Spreads'!AD95-'Feeder Spreads'!AD105,"")</f>
        <v>0</v>
      </c>
      <c r="EG95">
        <f>IFERROR(AVERAGE('Feeder Spreads'!AD95:AD114)+2*STDEV('Feeder Spreads'!AD95:AD114),"")</f>
        <v>0</v>
      </c>
      <c r="EH95">
        <f>IFERROR(AVERAGE('Feeder Spreads'!AD95:AD114)-2*STDEV('Feeder Spreads'!AD95:AD114),"")</f>
        <v>0</v>
      </c>
      <c r="EI95" t="str">
        <f>IFERROR(('Feeder Spreads'!AD95-(AVERAGE('Feeder Spreads'!AD95:AD114)-2*STDEV('Feeder Spreads'!AD95:AD114)))/(4*STDEV('Feeder Spreads'!AD95:AD114)),"")</f>
        <v/>
      </c>
      <c r="EJ95" t="str">
        <f>IFERROR(4*STDEV('Feeder Spreads'!AD95:AD114)/AVERAGE('Feeder Spreads'!AD95:AD114),"")</f>
        <v/>
      </c>
      <c r="EK95">
        <v>47.393900000000002</v>
      </c>
      <c r="EL95">
        <f>IFERROR(SQRT((SUMSQ('Feeder Spreads'!AD95:AD114)-2*SUMPRODUCT('Feeder Spreads'!AD95:AD114,'Feeder Spreads'!AD96:AD115)+SUMSQ('Feeder Spreads'!AD96:AD115)-('Feeder Spreads'!AD95-'Feeder Spreads'!AD115)^2/20)/19),"")</f>
        <v>0</v>
      </c>
      <c r="EN95">
        <f>IFERROR('Feeder Spreads'!AJ95,"")</f>
        <v>0</v>
      </c>
      <c r="EO95">
        <f>IFERROR(('Feeder Spreads'!AK95-AVERAGE('Feeder Spreads'!$AK$3:$AK$4308))/STDEV('Feeder Spreads'!$AK$3:$AK$4308),"")</f>
        <v>-9.2057461789832346E-2</v>
      </c>
      <c r="EP95">
        <f>IFERROR('Feeder Spreads'!AK95-'Feeder Spreads'!AK100,"")</f>
        <v>0</v>
      </c>
      <c r="EQ95">
        <f>IFERROR('Feeder Spreads'!AK95-'Feeder Spreads'!AK105,"")</f>
        <v>0</v>
      </c>
      <c r="ER95">
        <f>IFERROR(AVERAGE('Feeder Spreads'!AK95:AK114)+2*STDEV('Feeder Spreads'!AK95:AK114),"")</f>
        <v>0</v>
      </c>
      <c r="ES95">
        <f>IFERROR(AVERAGE('Feeder Spreads'!AK95:AK114)-2*STDEV('Feeder Spreads'!AK95:AK114),"")</f>
        <v>0</v>
      </c>
      <c r="ET95" t="str">
        <f>IFERROR(('Feeder Spreads'!AK95-(AVERAGE('Feeder Spreads'!AK95:AK114)-2*STDEV('Feeder Spreads'!AK95:AK114)))/(4*STDEV('Feeder Spreads'!AK95:AK114)),"")</f>
        <v/>
      </c>
      <c r="EU95" t="str">
        <f>IFERROR(4*STDEV('Feeder Spreads'!AK95:AK114)/AVERAGE('Feeder Spreads'!AK95:AK114),"")</f>
        <v/>
      </c>
      <c r="EV95">
        <v>49.243600000000001</v>
      </c>
      <c r="EW95">
        <f>IFERROR(SQRT((SUMSQ('Feeder Spreads'!AK95:AK114)-2*SUMPRODUCT('Feeder Spreads'!AK95:AK114,'Feeder Spreads'!AK96:AK115)+SUMSQ('Feeder Spreads'!AK96:AK115)-('Feeder Spreads'!AK95-'Feeder Spreads'!AK115)^2/20)/19),"")</f>
        <v>0</v>
      </c>
      <c r="EY95">
        <f>IFERROR('Feeder Spreads'!AQ95,"")</f>
        <v>0</v>
      </c>
      <c r="EZ95">
        <f>IFERROR(('Feeder Spreads'!AR95-AVERAGE('Feeder Spreads'!$AR$3:$AR$4308))/STDEV('Feeder Spreads'!$AR$3:$AR$4308),"")</f>
        <v>-9.2057461789832332E-2</v>
      </c>
      <c r="FA95">
        <f>IFERROR('Feeder Spreads'!AR95-'Feeder Spreads'!AR100,"")</f>
        <v>0</v>
      </c>
      <c r="FB95">
        <f>IFERROR('Feeder Spreads'!AR95-'Feeder Spreads'!AR105,"")</f>
        <v>0</v>
      </c>
      <c r="FC95">
        <f>IFERROR(AVERAGE('Feeder Spreads'!AR95:AR114)+2*STDEV('Feeder Spreads'!AR95:AR114),"")</f>
        <v>0</v>
      </c>
      <c r="FD95">
        <f>IFERROR(AVERAGE('Feeder Spreads'!AR95:AR114)-2*STDEV('Feeder Spreads'!AR95:AR114),"")</f>
        <v>0</v>
      </c>
      <c r="FE95" t="str">
        <f>IFERROR(('Feeder Spreads'!AR95-(AVERAGE('Feeder Spreads'!AR95:AR114)-2*STDEV('Feeder Spreads'!AR95:AR114)))/(4*STDEV('Feeder Spreads'!AR95:AR114)),"")</f>
        <v/>
      </c>
      <c r="FF95" t="str">
        <f>IFERROR(4*STDEV('Feeder Spreads'!AR95:AR114)/AVERAGE('Feeder Spreads'!AR95:AR114),"")</f>
        <v/>
      </c>
      <c r="FG95">
        <v>57.8872</v>
      </c>
      <c r="FH95">
        <f>IFERROR(SQRT((SUMSQ('Feeder Spreads'!AR95:AR114)-2*SUMPRODUCT('Feeder Spreads'!AR95:AR114,'Feeder Spreads'!AR96:AR115)+SUMSQ('Feeder Spreads'!AR96:AR115)-('Feeder Spreads'!AR95-'Feeder Spreads'!AR115)^2/20)/19),"")</f>
        <v>0</v>
      </c>
      <c r="FJ95">
        <f>IFERROR('Fat Spreads'!AX95,"")</f>
        <v>0</v>
      </c>
      <c r="FK95">
        <f>IFERROR(('Fat Spreads'!AY95-AVERAGE('Fat Spreads'!$AY$3:$AY$4308))/STDEV('Fat Spreads'!$AY$3:$AY$4308),"")</f>
        <v>9.2057461789832332E-2</v>
      </c>
      <c r="FL95">
        <f>IFERROR('Fat Spreads'!AY95-'Fat Spreads'!AY100,"")</f>
        <v>0</v>
      </c>
      <c r="FM95">
        <f>IFERROR('Fat Spreads'!AY95-'Fat Spreads'!AY105,"")</f>
        <v>0</v>
      </c>
      <c r="FN95">
        <f>IFERROR(AVERAGE('Fat Spreads'!AY95:AY114)+2*STDEV('Fat Spreads'!AY95:AY114),"")</f>
        <v>0</v>
      </c>
      <c r="FO95">
        <f>IFERROR(AVERAGE('Fat Spreads'!AY95:AY114)-2*STDEV('Fat Spreads'!AY95:AY114),"")</f>
        <v>0</v>
      </c>
      <c r="FP95" t="str">
        <f>IFERROR(('Fat Spreads'!AY95-(AVERAGE('Fat Spreads'!AY95:AY114)-2*STDEV('Fat Spreads'!AY95:AY114)))/(4*STDEV('Fat Spreads'!AY95:AY114)),"")</f>
        <v/>
      </c>
      <c r="FQ95" t="str">
        <f>IFERROR(4*STDEV('Fat Spreads'!AY95:AY114)/AVERAGE('Fat Spreads'!AY95:AY114),"")</f>
        <v/>
      </c>
      <c r="FR95">
        <v>58.115600000000001</v>
      </c>
      <c r="FS95">
        <f>IFERROR(SQRT((SUMSQ('Fat Spreads'!AY95:AY114)-2*SUMPRODUCT('Fat Spreads'!AY95:AY114,'Fat Spreads'!AY96:AY115)+SUMSQ('Fat Spreads'!AY96:AY115)-('Fat Spreads'!AY95-'Fat Spreads'!AY115)^2/20)/19),"")</f>
        <v>0</v>
      </c>
      <c r="FU95">
        <f>IFERROR('Fat Spreads'!BE95,"")</f>
        <v>0</v>
      </c>
      <c r="FV95">
        <f>IFERROR(('Fat Spreads'!BF95-AVERAGE('Fat Spreads'!$BF$3:$BF$4308))/STDEV('Fat Spreads'!$BF$3:$BF$4308),"")</f>
        <v>9.2057461789832332E-2</v>
      </c>
      <c r="FW95">
        <f>IFERROR('Fat Spreads'!BF95-'Fat Spreads'!BF100,"")</f>
        <v>0</v>
      </c>
      <c r="FX95">
        <f>IFERROR('Fat Spreads'!BF95-'Fat Spreads'!BF105,"")</f>
        <v>0</v>
      </c>
      <c r="FY95">
        <f>IFERROR(AVERAGE('Fat Spreads'!BF95:BF114)+2*STDEV('Fat Spreads'!BF95:BF114),"")</f>
        <v>0</v>
      </c>
      <c r="FZ95">
        <f>IFERROR(AVERAGE('Fat Spreads'!BF95:BF114)-2*STDEV('Fat Spreads'!BF95:BF114),"")</f>
        <v>0</v>
      </c>
      <c r="GA95" t="str">
        <f>IFERROR(('Fat Spreads'!BF95-(AVERAGE('Fat Spreads'!BF95:BF114)-2*STDEV('Fat Spreads'!BF95:BF114)))/(4*STDEV('Fat Spreads'!BF95:BF114)),"")</f>
        <v/>
      </c>
      <c r="GB95" t="str">
        <f>IFERROR(4*STDEV('Fat Spreads'!BF95:BF114)/AVERAGE('Fat Spreads'!BF95:BF114),"")</f>
        <v/>
      </c>
      <c r="GC95">
        <v>49.858199999999997</v>
      </c>
      <c r="GD95">
        <f>IFERROR(SQRT((SUMSQ('Fat Spreads'!BF95:BF114)-2*SUMPRODUCT('Fat Spreads'!BF95:BF114,'Fat Spreads'!BF96:BF115)+SUMSQ('Fat Spreads'!BF96:BF115)-('Fat Spreads'!BF95-'Fat Spreads'!BF115)^2/20)/19),"")</f>
        <v>0</v>
      </c>
    </row>
    <row r="96" spans="1:186" x14ac:dyDescent="0.25">
      <c r="A96">
        <f>IFERROR('Fat Spreads'!A96,"")</f>
        <v>0</v>
      </c>
      <c r="B96">
        <f>IFERROR(('Fat Spreads'!B96-AVERAGE('Fat Spreads'!$B$3:$B$4308))/STDEV('Fat Spreads'!$B$3:$B$4308),"")</f>
        <v>9.2057461789832346E-2</v>
      </c>
      <c r="C96">
        <f>IFERROR('Fat Spreads'!B96-'Fat Spreads'!B101,"")</f>
        <v>0</v>
      </c>
      <c r="D96">
        <f>IFERROR('Fat Spreads'!B96-'Fat Spreads'!B106,"")</f>
        <v>0</v>
      </c>
      <c r="E96">
        <f>IFERROR(AVERAGE('Fat Spreads'!B96:B115)+2*STDEV('Fat Spreads'!B96:B115),"")</f>
        <v>0</v>
      </c>
      <c r="F96">
        <f>IFERROR(AVERAGE('Fat Spreads'!B96:B115)-2*STDEV('Fat Spreads'!B96:B115),"")</f>
        <v>0</v>
      </c>
      <c r="G96" t="str">
        <f>IFERROR(('Fat Spreads'!B96-(AVERAGE('Fat Spreads'!B96:B115)-2*STDEV('Fat Spreads'!B96:B115)))/(4*STDEV('Fat Spreads'!B96:B115)),"")</f>
        <v/>
      </c>
      <c r="H96" t="str">
        <f>IFERROR(4*STDEV('Fat Spreads'!B96:B115)/AVERAGE('Fat Spreads'!B96:B115),"")</f>
        <v/>
      </c>
      <c r="I96">
        <v>46.2104</v>
      </c>
      <c r="J96">
        <f>IFERROR(SQRT((SUMSQ('Fat Spreads'!B96:B115)-2*SUMPRODUCT('Fat Spreads'!B96:B115,'Fat Spreads'!B97:B116)+SUMSQ('Fat Spreads'!B97:B116)-('Fat Spreads'!B96-'Fat Spreads'!B116)^2/20)/19),"")</f>
        <v>0</v>
      </c>
      <c r="L96">
        <f>IFERROR('Fat Spreads'!H96,"")</f>
        <v>0</v>
      </c>
      <c r="M96">
        <f>IFERROR(('Fat Spreads'!I96-AVERAGE('Fat Spreads'!$I$3:$I$4308))/STDEV('Fat Spreads'!$I$3:$I$4308),"")</f>
        <v>-9.2057461789832332E-2</v>
      </c>
      <c r="N96">
        <f>IFERROR('Fat Spreads'!I96-'Fat Spreads'!I101,"")</f>
        <v>0</v>
      </c>
      <c r="O96">
        <f>IFERROR('Fat Spreads'!I96-'Fat Spreads'!I106,"")</f>
        <v>0</v>
      </c>
      <c r="P96">
        <f>IFERROR(AVERAGE('Fat Spreads'!I96:I115)+2*STDEV('Fat Spreads'!I96:I115),"")</f>
        <v>0</v>
      </c>
      <c r="Q96">
        <f>IFERROR(AVERAGE('Fat Spreads'!I96:I115)-2*STDEV('Fat Spreads'!I96:I115),"")</f>
        <v>0</v>
      </c>
      <c r="R96" t="str">
        <f>IFERROR(('Fat Spreads'!I96-(AVERAGE('Fat Spreads'!I96:I115)-2*STDEV('Fat Spreads'!I96:I115)))/(4*STDEV('Fat Spreads'!I96:I115)),"")</f>
        <v/>
      </c>
      <c r="S96" t="str">
        <f>IFERROR(4*STDEV('Fat Spreads'!I96:I115)/AVERAGE('Fat Spreads'!I96:I115),"")</f>
        <v/>
      </c>
      <c r="T96">
        <v>51.387799999999999</v>
      </c>
      <c r="U96">
        <f>IFERROR(SQRT((SUMSQ('Fat Spreads'!I96:I115)-2*SUMPRODUCT('Fat Spreads'!I96:I115,'Fat Spreads'!I97:I116)+SUMSQ('Fat Spreads'!I97:I116)-('Fat Spreads'!I96-'Fat Spreads'!I116)^2/20)/19),"")</f>
        <v>0</v>
      </c>
      <c r="W96">
        <f>IFERROR('Fat Spreads'!AQ96,"")</f>
        <v>0</v>
      </c>
      <c r="X96">
        <f>IFERROR(('Fat Spreads'!AR96-AVERAGE('Fat Spreads'!$AR$3:$AR$4308))/STDEV('Fat Spreads'!$AR$3:$AR$4308),"")</f>
        <v>-9.2057461789832346E-2</v>
      </c>
      <c r="Y96">
        <f>IFERROR('Fat Spreads'!AR96-'Fat Spreads'!AR101,"")</f>
        <v>0</v>
      </c>
      <c r="Z96">
        <f>IFERROR('Fat Spreads'!AR96-'Fat Spreads'!AR106,"")</f>
        <v>0</v>
      </c>
      <c r="AA96">
        <f>IFERROR(AVERAGE('Fat Spreads'!AR96:AR115)+2*STDEV('Fat Spreads'!AR96:AR115),"")</f>
        <v>0</v>
      </c>
      <c r="AB96">
        <f>IFERROR(AVERAGE('Fat Spreads'!AR96:AR115)-2*STDEV('Fat Spreads'!AR96:AR115),"")</f>
        <v>0</v>
      </c>
      <c r="AC96" t="str">
        <f>IFERROR(('Fat Spreads'!AR96-(AVERAGE('Fat Spreads'!AR96:AR115)-2*STDEV('Fat Spreads'!AR96:AR115)))/(4*STDEV('Fat Spreads'!AR96:AR115)),"")</f>
        <v/>
      </c>
      <c r="AD96" t="str">
        <f>IFERROR(4*STDEV('Fat Spreads'!AR96:AR115)/AVERAGE('Fat Spreads'!AR96:AR115),"")</f>
        <v/>
      </c>
      <c r="AE96">
        <v>47.070900000000002</v>
      </c>
      <c r="AF96">
        <f>IFERROR(SQRT((SUMSQ('Fat Spreads'!AR96:AR115)-2*SUMPRODUCT('Fat Spreads'!AR96:AR115,'Fat Spreads'!AR97:AR116)+SUMSQ('Fat Spreads'!AR97:AR116)-('Fat Spreads'!AR96-'Fat Spreads'!AR116)^2/20)/19),"")</f>
        <v>0</v>
      </c>
      <c r="AH96">
        <f>IFERROR('Fat Spreads'!O96,"")</f>
        <v>0</v>
      </c>
      <c r="AI96">
        <f>IFERROR(('Fat Spreads'!P96-AVERAGE('Fat Spreads'!$P$3:$P$4308))/STDEV('Fat Spreads'!$P$3:$P$4308),"")</f>
        <v>-9.2057461789832332E-2</v>
      </c>
      <c r="AJ96">
        <f>IFERROR('Fat Spreads'!P96-'Fat Spreads'!P101,"")</f>
        <v>0</v>
      </c>
      <c r="AK96">
        <f>IFERROR('Fat Spreads'!P96-'Fat Spreads'!P106,"")</f>
        <v>0</v>
      </c>
      <c r="AL96">
        <f>IFERROR(AVERAGE('Fat Spreads'!P96:P115)+2*STDEV('Fat Spreads'!P96:P115),"")</f>
        <v>0</v>
      </c>
      <c r="AM96">
        <f>IFERROR(AVERAGE('Fat Spreads'!P96:P115)-2*STDEV('Fat Spreads'!P96:P115),"")</f>
        <v>0</v>
      </c>
      <c r="AN96" t="str">
        <f>IFERROR(('Fat Spreads'!P96-(AVERAGE('Fat Spreads'!P96:P115)-2*STDEV('Fat Spreads'!P96:P115)))/(4*STDEV('Fat Spreads'!P96:P115)),"")</f>
        <v/>
      </c>
      <c r="AO96" t="str">
        <f>IFERROR(4*STDEV('Fat Spreads'!P96:P115)/AVERAGE('Fat Spreads'!P96:P115),"")</f>
        <v/>
      </c>
      <c r="AP96">
        <v>59.172600000000003</v>
      </c>
      <c r="AQ96">
        <f>IFERROR(SQRT((SUMSQ('Fat Spreads'!P96:P115)-2*SUMPRODUCT('Fat Spreads'!P96:P115,'Fat Spreads'!P97:P116)+SUMSQ('Fat Spreads'!P97:P116)-('Fat Spreads'!P96-'Fat Spreads'!P116)^2/20)/19),"")</f>
        <v>0</v>
      </c>
      <c r="AS96">
        <f>IFERROR('Fat Spreads'!AJ96,"")</f>
        <v>0</v>
      </c>
      <c r="AT96">
        <f>IFERROR(('Fat Spreads'!AK96-AVERAGE('Fat Spreads'!$AK$3:$AK$4308))/STDEV('Fat Spreads'!$AK$3:$AK$4308),"")</f>
        <v>-9.2057461789832332E-2</v>
      </c>
      <c r="AU96">
        <f>IFERROR('Fat Spreads'!AK96-'Fat Spreads'!AK101,"")</f>
        <v>0</v>
      </c>
      <c r="AV96">
        <f>IFERROR('Fat Spreads'!AK96-'Fat Spreads'!AK106,"")</f>
        <v>0</v>
      </c>
      <c r="AW96">
        <f>IFERROR(AVERAGE('Fat Spreads'!AK96:AK115)+2*STDEV('Fat Spreads'!AK96:AK115),"")</f>
        <v>0</v>
      </c>
      <c r="AX96">
        <f>IFERROR(AVERAGE('Fat Spreads'!AK96:AK115)-2*STDEV('Fat Spreads'!AK96:AK115),"")</f>
        <v>0</v>
      </c>
      <c r="AY96" t="str">
        <f>IFERROR(('Fat Spreads'!AK96-(AVERAGE('Fat Spreads'!AK96:AK115)-2*STDEV('Fat Spreads'!AK96:AK115)))/(4*STDEV('Fat Spreads'!AK96:AK115)),"")</f>
        <v/>
      </c>
      <c r="AZ96" t="str">
        <f>IFERROR(4*STDEV('Fat Spreads'!AK96:AK115)/AVERAGE('Fat Spreads'!AK96:AK115),"")</f>
        <v/>
      </c>
      <c r="BA96">
        <v>57.720100000000002</v>
      </c>
      <c r="BB96">
        <f>IFERROR(SQRT((SUMSQ('Fat Spreads'!AK96:AK115)-2*SUMPRODUCT('Fat Spreads'!AK96:AK115,'Fat Spreads'!AK97:AK116)+SUMSQ('Fat Spreads'!AK97:AK116)-('Fat Spreads'!AK96-'Fat Spreads'!AK116)^2/20)/19),"")</f>
        <v>0</v>
      </c>
      <c r="BD96">
        <f>IFERROR('Fat Spreads'!V96,"")</f>
        <v>0</v>
      </c>
      <c r="BE96">
        <f>IFERROR(('Fat Spreads'!W96-AVERAGE('Fat Spreads'!$W$3:$W$4308))/STDEV('Fat Spreads'!$W$3:$W$4308),"")</f>
        <v>-9.2057461789832332E-2</v>
      </c>
      <c r="BF96">
        <f>IFERROR('Fat Spreads'!W96-'Fat Spreads'!W101,"")</f>
        <v>0</v>
      </c>
      <c r="BG96">
        <f>IFERROR('Fat Spreads'!W96-'Fat Spreads'!W106,"")</f>
        <v>0</v>
      </c>
      <c r="BH96">
        <f>IFERROR(AVERAGE('Fat Spreads'!W96:W115)+2*STDEV('Fat Spreads'!W96:W115),"")</f>
        <v>0</v>
      </c>
      <c r="BI96">
        <f>IFERROR(AVERAGE('Fat Spreads'!W96:W115)-2*STDEV('Fat Spreads'!W96:W115),"")</f>
        <v>0</v>
      </c>
      <c r="BJ96" t="str">
        <f>IFERROR(('Fat Spreads'!W96-(AVERAGE('Fat Spreads'!W96:W115)-2*STDEV('Fat Spreads'!W96:W115)))/(4*STDEV('Fat Spreads'!W96:W115)),"")</f>
        <v/>
      </c>
      <c r="BK96" t="str">
        <f>IFERROR(4*STDEV('Fat Spreads'!W96:W115)/AVERAGE('Fat Spreads'!W96:W115),"")</f>
        <v/>
      </c>
      <c r="BL96">
        <v>44.497199999999999</v>
      </c>
      <c r="BM96">
        <f>IFERROR(SQRT((SUMSQ('Fat Spreads'!W96:W115)-2*SUMPRODUCT('Fat Spreads'!W96:W115,'Fat Spreads'!W97:W116)+SUMSQ('Fat Spreads'!W97:W116)-('Fat Spreads'!W96-'Fat Spreads'!W116)^2/20)/19),"")</f>
        <v>0</v>
      </c>
      <c r="BO96">
        <f>IFERROR('Fat Spreads'!AC96,"")</f>
        <v>0</v>
      </c>
      <c r="BP96">
        <f>IFERROR(('Fat Spreads'!AD96-AVERAGE('Fat Spreads'!$AD$3:$AD$4308))/STDEV('Fat Spreads'!$AD$3:$AD$4308),"")</f>
        <v>-9.2057461789832332E-2</v>
      </c>
      <c r="BQ96">
        <f>IFERROR('Fat Spreads'!AD96-'Fat Spreads'!AD101,"")</f>
        <v>0</v>
      </c>
      <c r="BR96">
        <f>IFERROR('Fat Spreads'!AD96-'Fat Spreads'!AD106,"")</f>
        <v>0</v>
      </c>
      <c r="BS96">
        <f>IFERROR(AVERAGE('Fat Spreads'!AD96:AD115)+2*STDEV('Fat Spreads'!AD96:AD115),"")</f>
        <v>0</v>
      </c>
      <c r="BT96">
        <f>IFERROR(AVERAGE('Fat Spreads'!AD96:AD115)-2*STDEV('Fat Spreads'!AD96:AD115),"")</f>
        <v>0</v>
      </c>
      <c r="BU96" t="str">
        <f>IFERROR(('Fat Spreads'!AD96-(AVERAGE('Fat Spreads'!AD96:AD115)-2*STDEV('Fat Spreads'!AD96:AD115)))/(4*STDEV('Fat Spreads'!AD96:AD115)),"")</f>
        <v/>
      </c>
      <c r="BV96" t="str">
        <f>IFERROR(4*STDEV('Fat Spreads'!AD96:AD115)/AVERAGE('Fat Spreads'!AD96:AD115),"")</f>
        <v/>
      </c>
      <c r="BW96">
        <v>52.480800000000002</v>
      </c>
      <c r="BX96">
        <f>IFERROR(SQRT((SUMSQ('Fat Spreads'!AD96:AD115)-2*SUMPRODUCT('Fat Spreads'!AD96:AD115,'Fat Spreads'!AD97:AD116)+SUMSQ('Fat Spreads'!AD97:AD116)-('Fat Spreads'!AD96-'Fat Spreads'!AD116)^2/20)/19),"")</f>
        <v>0</v>
      </c>
      <c r="BZ96">
        <f>IFERROR('Feeder Spreads'!A96,"")</f>
        <v>0</v>
      </c>
      <c r="CA96">
        <f>IFERROR(('Feeder Spreads'!B96-AVERAGE('Feeder Spreads'!$B$3:$B$4308))/STDEV('Feeder Spreads'!$B$3:$B$4308),"")</f>
        <v>-9.2057461789832346E-2</v>
      </c>
      <c r="CB96">
        <f>IFERROR('Feeder Spreads'!B96-'Feeder Spreads'!B101,"")</f>
        <v>0</v>
      </c>
      <c r="CC96">
        <f>IFERROR('Feeder Spreads'!B96-'Feeder Spreads'!B106,"")</f>
        <v>0</v>
      </c>
      <c r="CD96">
        <f>IFERROR(AVERAGE('Feeder Spreads'!B96:B115)+2*STDEV('Feeder Spreads'!B96:B115),"")</f>
        <v>0</v>
      </c>
      <c r="CE96">
        <f>IFERROR(AVERAGE('Feeder Spreads'!B96:B115)-2*STDEV('Feeder Spreads'!B96:B115),"")</f>
        <v>0</v>
      </c>
      <c r="CF96" t="str">
        <f>IFERROR(('Feeder Spreads'!B96-(AVERAGE('Feeder Spreads'!B96:B115)-2*STDEV('Feeder Spreads'!B96:B115)))/(4*STDEV('Feeder Spreads'!B96:B115)),"")</f>
        <v/>
      </c>
      <c r="CG96" t="str">
        <f>IFERROR(4*STDEV('Feeder Spreads'!B96:B115)/AVERAGE('Feeder Spreads'!B96:B115),"")</f>
        <v/>
      </c>
      <c r="CH96">
        <v>48.266100000000002</v>
      </c>
      <c r="CI96">
        <f>IFERROR(SQRT((SUMSQ('Feeder Spreads'!B96:B115)-2*SUMPRODUCT('Feeder Spreads'!B96:B115,'Feeder Spreads'!B97:B116)+SUMSQ('Feeder Spreads'!B97:B116)-('Feeder Spreads'!B96-'Feeder Spreads'!B116)^2/20)/19),"")</f>
        <v>0</v>
      </c>
      <c r="CK96">
        <f>IFERROR('Feeder Spreads'!AX96,"")</f>
        <v>0</v>
      </c>
      <c r="CL96">
        <f>IFERROR(('Feeder Spreads'!AY96-AVERAGE('Feeder Spreads'!$AY$3:$AY$4308))/STDEV('Feeder Spreads'!$AY$3:$AY$4308),"")</f>
        <v>-9.2057461789832346E-2</v>
      </c>
      <c r="CM96">
        <f>IFERROR('Feeder Spreads'!AY96-'Feeder Spreads'!AY101,"")</f>
        <v>0</v>
      </c>
      <c r="CN96">
        <f>IFERROR('Feeder Spreads'!AY96-'Feeder Spreads'!AY106,"")</f>
        <v>0</v>
      </c>
      <c r="CO96">
        <f>IFERROR(AVERAGE('Feeder Spreads'!AY96:AY115)+2*STDEV('Feeder Spreads'!AY96:AY115),"")</f>
        <v>0</v>
      </c>
      <c r="CP96">
        <f>IFERROR(AVERAGE('Feeder Spreads'!AY96:AY115)-2*STDEV('Feeder Spreads'!AY96:AY115),"")</f>
        <v>0</v>
      </c>
      <c r="CQ96" t="str">
        <f>IFERROR(('Feeder Spreads'!AY96-(AVERAGE('Feeder Spreads'!AY96:AY115)-2*STDEV('Feeder Spreads'!AY96:AY115)))/(4*STDEV('Feeder Spreads'!AY96:AY115)),"")</f>
        <v/>
      </c>
      <c r="CR96" t="str">
        <f>IFERROR(4*STDEV('Feeder Spreads'!AY96:AY115)/AVERAGE('Feeder Spreads'!AY96:AY115),"")</f>
        <v/>
      </c>
      <c r="CS96">
        <v>34.741599999999998</v>
      </c>
      <c r="CT96">
        <f>IFERROR(SQRT((SUMSQ('Feeder Spreads'!AY96:AY115)-2*SUMPRODUCT('Feeder Spreads'!AY96:AY115,'Feeder Spreads'!AY97:AY116)+SUMSQ('Feeder Spreads'!AY97:AY116)-('Feeder Spreads'!AY96-'Feeder Spreads'!AY116)^2/20)/19),"")</f>
        <v>0</v>
      </c>
      <c r="CV96">
        <f>IFERROR('Feeder Spreads'!H96,"")</f>
        <v>0</v>
      </c>
      <c r="CW96">
        <f>IFERROR(('Feeder Spreads'!I96-AVERAGE('Feeder Spreads'!$I$3:$I$4308))/STDEV('Feeder Spreads'!$I$3:$I$4308),"")</f>
        <v>-9.2057461789832332E-2</v>
      </c>
      <c r="CX96">
        <f>IFERROR('Feeder Spreads'!I96-'Feeder Spreads'!I101,"")</f>
        <v>0</v>
      </c>
      <c r="CY96">
        <f>IFERROR('Feeder Spreads'!I96-'Feeder Spreads'!I106,"")</f>
        <v>0</v>
      </c>
      <c r="CZ96">
        <f>IFERROR(AVERAGE('Feeder Spreads'!I96:I115)+2*STDEV('Feeder Spreads'!I96:I115),"")</f>
        <v>0</v>
      </c>
      <c r="DA96">
        <f>IFERROR(AVERAGE('Feeder Spreads'!I96:I115)-2*STDEV('Feeder Spreads'!I96:I115),"")</f>
        <v>0</v>
      </c>
      <c r="DB96" t="str">
        <f>IFERROR(('Feeder Spreads'!I96-(AVERAGE('Feeder Spreads'!I96:I115)-2*STDEV('Feeder Spreads'!I96:I115)))/(4*STDEV('Feeder Spreads'!I96:I115)),"")</f>
        <v/>
      </c>
      <c r="DC96" t="str">
        <f>IFERROR(4*STDEV('Feeder Spreads'!I96:I115)/AVERAGE('Feeder Spreads'!I96:I115),"")</f>
        <v/>
      </c>
      <c r="DD96">
        <v>57.523800000000001</v>
      </c>
      <c r="DE96">
        <f>IFERROR(SQRT((SUMSQ('Feeder Spreads'!I96:I115)-2*SUMPRODUCT('Feeder Spreads'!I96:I115,'Feeder Spreads'!I97:I116)+SUMSQ('Feeder Spreads'!I97:I116)-('Feeder Spreads'!I96-'Feeder Spreads'!I116)^2/20)/19),"")</f>
        <v>0</v>
      </c>
      <c r="DG96">
        <f>IFERROR('Feeder Spreads'!O96,"")</f>
        <v>0</v>
      </c>
      <c r="DH96">
        <f>IFERROR(('Feeder Spreads'!P96-AVERAGE('Feeder Spreads'!$P$3:$P$4308))/STDEV('Feeder Spreads'!$P$3:$P$4308),"")</f>
        <v>-9.2057461789832346E-2</v>
      </c>
      <c r="DI96">
        <f>IFERROR('Feeder Spreads'!P96-'Feeder Spreads'!P101,"")</f>
        <v>0</v>
      </c>
      <c r="DJ96">
        <f>IFERROR('Feeder Spreads'!P96-'Feeder Spreads'!P106,"")</f>
        <v>0</v>
      </c>
      <c r="DK96">
        <f>IFERROR(AVERAGE('Feeder Spreads'!P96:P115)+2*STDEV('Feeder Spreads'!P96:P115),"")</f>
        <v>0</v>
      </c>
      <c r="DL96">
        <f>IFERROR(AVERAGE('Feeder Spreads'!P96:P115)-2*STDEV('Feeder Spreads'!P96:P115),"")</f>
        <v>0</v>
      </c>
      <c r="DM96" t="str">
        <f>IFERROR(('Feeder Spreads'!P96-(AVERAGE('Feeder Spreads'!P96:P115)-2*STDEV('Feeder Spreads'!P96:P115)))/(4*STDEV('Feeder Spreads'!P96:P115)),"")</f>
        <v/>
      </c>
      <c r="DN96" t="str">
        <f>IFERROR(4*STDEV('Feeder Spreads'!P96:P115)/AVERAGE('Feeder Spreads'!P96:P115),"")</f>
        <v/>
      </c>
      <c r="DO96">
        <v>62.133400000000002</v>
      </c>
      <c r="DP96">
        <f>IFERROR(SQRT((SUMSQ('Feeder Spreads'!P96:P115)-2*SUMPRODUCT('Feeder Spreads'!P96:P115,'Feeder Spreads'!P97:P116)+SUMSQ('Feeder Spreads'!P97:P116)-('Feeder Spreads'!P96-'Feeder Spreads'!P116)^2/20)/19),"")</f>
        <v>0</v>
      </c>
      <c r="DR96">
        <f>IFERROR('Feeder Spreads'!V96,"")</f>
        <v>0</v>
      </c>
      <c r="DS96">
        <f>IFERROR(('Feeder Spreads'!W96-AVERAGE('Feeder Spreads'!$W$3:$W$4308))/STDEV('Feeder Spreads'!$W$3:$W$4308),"")</f>
        <v>-9.2057461789832332E-2</v>
      </c>
      <c r="DT96">
        <f>IFERROR('Feeder Spreads'!W96-'Feeder Spreads'!W101,"")</f>
        <v>0</v>
      </c>
      <c r="DU96">
        <f>IFERROR('Feeder Spreads'!W96-'Feeder Spreads'!W106,"")</f>
        <v>0</v>
      </c>
      <c r="DV96">
        <f>IFERROR(AVERAGE('Feeder Spreads'!W96:W115)+2*STDEV('Feeder Spreads'!W96:W115),"")</f>
        <v>0</v>
      </c>
      <c r="DW96">
        <f>IFERROR(AVERAGE('Feeder Spreads'!W96:W115)-2*STDEV('Feeder Spreads'!W96:W115),"")</f>
        <v>0</v>
      </c>
      <c r="DX96" t="str">
        <f>IFERROR(('Feeder Spreads'!W96-(AVERAGE('Feeder Spreads'!W96:W115)-2*STDEV('Feeder Spreads'!W96:W115)))/(4*STDEV('Feeder Spreads'!W96:W115)),"")</f>
        <v/>
      </c>
      <c r="DY96" t="str">
        <f>IFERROR(4*STDEV('Feeder Spreads'!W96:W115)/AVERAGE('Feeder Spreads'!W96:W115),"")</f>
        <v/>
      </c>
      <c r="DZ96">
        <v>51.207799999999999</v>
      </c>
      <c r="EA96">
        <f>IFERROR(SQRT((SUMSQ('Feeder Spreads'!W96:W115)-2*SUMPRODUCT('Feeder Spreads'!W96:W115,'Feeder Spreads'!W97:W116)+SUMSQ('Feeder Spreads'!W97:W116)-('Feeder Spreads'!W96-'Feeder Spreads'!W116)^2/20)/19),"")</f>
        <v>0</v>
      </c>
      <c r="EC96">
        <f>IFERROR('Feeder Spreads'!AC96,"")</f>
        <v>0</v>
      </c>
      <c r="ED96">
        <f>IFERROR(('Feeder Spreads'!AD96-AVERAGE('Feeder Spreads'!$AD$3:$AD$4308))/STDEV('Feeder Spreads'!$AD$3:$AD$4308),"")</f>
        <v>9.2057461789832318E-2</v>
      </c>
      <c r="EE96">
        <f>IFERROR('Feeder Spreads'!AD96-'Feeder Spreads'!AD101,"")</f>
        <v>0</v>
      </c>
      <c r="EF96">
        <f>IFERROR('Feeder Spreads'!AD96-'Feeder Spreads'!AD106,"")</f>
        <v>0</v>
      </c>
      <c r="EG96">
        <f>IFERROR(AVERAGE('Feeder Spreads'!AD96:AD115)+2*STDEV('Feeder Spreads'!AD96:AD115),"")</f>
        <v>0</v>
      </c>
      <c r="EH96">
        <f>IFERROR(AVERAGE('Feeder Spreads'!AD96:AD115)-2*STDEV('Feeder Spreads'!AD96:AD115),"")</f>
        <v>0</v>
      </c>
      <c r="EI96" t="str">
        <f>IFERROR(('Feeder Spreads'!AD96-(AVERAGE('Feeder Spreads'!AD96:AD115)-2*STDEV('Feeder Spreads'!AD96:AD115)))/(4*STDEV('Feeder Spreads'!AD96:AD115)),"")</f>
        <v/>
      </c>
      <c r="EJ96" t="str">
        <f>IFERROR(4*STDEV('Feeder Spreads'!AD96:AD115)/AVERAGE('Feeder Spreads'!AD96:AD115),"")</f>
        <v/>
      </c>
      <c r="EK96">
        <v>52.267200000000003</v>
      </c>
      <c r="EL96">
        <f>IFERROR(SQRT((SUMSQ('Feeder Spreads'!AD96:AD115)-2*SUMPRODUCT('Feeder Spreads'!AD96:AD115,'Feeder Spreads'!AD97:AD116)+SUMSQ('Feeder Spreads'!AD97:AD116)-('Feeder Spreads'!AD96-'Feeder Spreads'!AD116)^2/20)/19),"")</f>
        <v>0</v>
      </c>
      <c r="EN96">
        <f>IFERROR('Feeder Spreads'!AJ96,"")</f>
        <v>0</v>
      </c>
      <c r="EO96">
        <f>IFERROR(('Feeder Spreads'!AK96-AVERAGE('Feeder Spreads'!$AK$3:$AK$4308))/STDEV('Feeder Spreads'!$AK$3:$AK$4308),"")</f>
        <v>-9.2057461789832346E-2</v>
      </c>
      <c r="EP96">
        <f>IFERROR('Feeder Spreads'!AK96-'Feeder Spreads'!AK101,"")</f>
        <v>0</v>
      </c>
      <c r="EQ96">
        <f>IFERROR('Feeder Spreads'!AK96-'Feeder Spreads'!AK106,"")</f>
        <v>0</v>
      </c>
      <c r="ER96">
        <f>IFERROR(AVERAGE('Feeder Spreads'!AK96:AK115)+2*STDEV('Feeder Spreads'!AK96:AK115),"")</f>
        <v>0</v>
      </c>
      <c r="ES96">
        <f>IFERROR(AVERAGE('Feeder Spreads'!AK96:AK115)-2*STDEV('Feeder Spreads'!AK96:AK115),"")</f>
        <v>0</v>
      </c>
      <c r="ET96" t="str">
        <f>IFERROR(('Feeder Spreads'!AK96-(AVERAGE('Feeder Spreads'!AK96:AK115)-2*STDEV('Feeder Spreads'!AK96:AK115)))/(4*STDEV('Feeder Spreads'!AK96:AK115)),"")</f>
        <v/>
      </c>
      <c r="EU96" t="str">
        <f>IFERROR(4*STDEV('Feeder Spreads'!AK96:AK115)/AVERAGE('Feeder Spreads'!AK96:AK115),"")</f>
        <v/>
      </c>
      <c r="EV96">
        <v>52.012799999999999</v>
      </c>
      <c r="EW96">
        <f>IFERROR(SQRT((SUMSQ('Feeder Spreads'!AK96:AK115)-2*SUMPRODUCT('Feeder Spreads'!AK96:AK115,'Feeder Spreads'!AK97:AK116)+SUMSQ('Feeder Spreads'!AK97:AK116)-('Feeder Spreads'!AK96-'Feeder Spreads'!AK116)^2/20)/19),"")</f>
        <v>0</v>
      </c>
      <c r="EY96">
        <f>IFERROR('Feeder Spreads'!AQ96,"")</f>
        <v>0</v>
      </c>
      <c r="EZ96">
        <f>IFERROR(('Feeder Spreads'!AR96-AVERAGE('Feeder Spreads'!$AR$3:$AR$4308))/STDEV('Feeder Spreads'!$AR$3:$AR$4308),"")</f>
        <v>-9.2057461789832332E-2</v>
      </c>
      <c r="FA96">
        <f>IFERROR('Feeder Spreads'!AR96-'Feeder Spreads'!AR101,"")</f>
        <v>0</v>
      </c>
      <c r="FB96">
        <f>IFERROR('Feeder Spreads'!AR96-'Feeder Spreads'!AR106,"")</f>
        <v>0</v>
      </c>
      <c r="FC96">
        <f>IFERROR(AVERAGE('Feeder Spreads'!AR96:AR115)+2*STDEV('Feeder Spreads'!AR96:AR115),"")</f>
        <v>0</v>
      </c>
      <c r="FD96">
        <f>IFERROR(AVERAGE('Feeder Spreads'!AR96:AR115)-2*STDEV('Feeder Spreads'!AR96:AR115),"")</f>
        <v>0</v>
      </c>
      <c r="FE96" t="str">
        <f>IFERROR(('Feeder Spreads'!AR96-(AVERAGE('Feeder Spreads'!AR96:AR115)-2*STDEV('Feeder Spreads'!AR96:AR115)))/(4*STDEV('Feeder Spreads'!AR96:AR115)),"")</f>
        <v/>
      </c>
      <c r="FF96" t="str">
        <f>IFERROR(4*STDEV('Feeder Spreads'!AR96:AR115)/AVERAGE('Feeder Spreads'!AR96:AR115),"")</f>
        <v/>
      </c>
      <c r="FG96">
        <v>57.590699999999998</v>
      </c>
      <c r="FH96">
        <f>IFERROR(SQRT((SUMSQ('Feeder Spreads'!AR96:AR115)-2*SUMPRODUCT('Feeder Spreads'!AR96:AR115,'Feeder Spreads'!AR97:AR116)+SUMSQ('Feeder Spreads'!AR97:AR116)-('Feeder Spreads'!AR96-'Feeder Spreads'!AR116)^2/20)/19),"")</f>
        <v>0</v>
      </c>
      <c r="FJ96">
        <f>IFERROR('Fat Spreads'!AX96,"")</f>
        <v>0</v>
      </c>
      <c r="FK96">
        <f>IFERROR(('Fat Spreads'!AY96-AVERAGE('Fat Spreads'!$AY$3:$AY$4308))/STDEV('Fat Spreads'!$AY$3:$AY$4308),"")</f>
        <v>9.2057461789832332E-2</v>
      </c>
      <c r="FL96">
        <f>IFERROR('Fat Spreads'!AY96-'Fat Spreads'!AY101,"")</f>
        <v>0</v>
      </c>
      <c r="FM96">
        <f>IFERROR('Fat Spreads'!AY96-'Fat Spreads'!AY106,"")</f>
        <v>0</v>
      </c>
      <c r="FN96">
        <f>IFERROR(AVERAGE('Fat Spreads'!AY96:AY115)+2*STDEV('Fat Spreads'!AY96:AY115),"")</f>
        <v>0</v>
      </c>
      <c r="FO96">
        <f>IFERROR(AVERAGE('Fat Spreads'!AY96:AY115)-2*STDEV('Fat Spreads'!AY96:AY115),"")</f>
        <v>0</v>
      </c>
      <c r="FP96" t="str">
        <f>IFERROR(('Fat Spreads'!AY96-(AVERAGE('Fat Spreads'!AY96:AY115)-2*STDEV('Fat Spreads'!AY96:AY115)))/(4*STDEV('Fat Spreads'!AY96:AY115)),"")</f>
        <v/>
      </c>
      <c r="FQ96" t="str">
        <f>IFERROR(4*STDEV('Fat Spreads'!AY96:AY115)/AVERAGE('Fat Spreads'!AY96:AY115),"")</f>
        <v/>
      </c>
      <c r="FR96">
        <v>52.375799999999998</v>
      </c>
      <c r="FS96">
        <f>IFERROR(SQRT((SUMSQ('Fat Spreads'!AY96:AY115)-2*SUMPRODUCT('Fat Spreads'!AY96:AY115,'Fat Spreads'!AY97:AY116)+SUMSQ('Fat Spreads'!AY97:AY116)-('Fat Spreads'!AY96-'Fat Spreads'!AY116)^2/20)/19),"")</f>
        <v>0</v>
      </c>
      <c r="FU96">
        <f>IFERROR('Fat Spreads'!BE96,"")</f>
        <v>0</v>
      </c>
      <c r="FV96">
        <f>IFERROR(('Fat Spreads'!BF96-AVERAGE('Fat Spreads'!$BF$3:$BF$4308))/STDEV('Fat Spreads'!$BF$3:$BF$4308),"")</f>
        <v>9.2057461789832332E-2</v>
      </c>
      <c r="FW96">
        <f>IFERROR('Fat Spreads'!BF96-'Fat Spreads'!BF101,"")</f>
        <v>0</v>
      </c>
      <c r="FX96">
        <f>IFERROR('Fat Spreads'!BF96-'Fat Spreads'!BF106,"")</f>
        <v>0</v>
      </c>
      <c r="FY96">
        <f>IFERROR(AVERAGE('Fat Spreads'!BF96:BF115)+2*STDEV('Fat Spreads'!BF96:BF115),"")</f>
        <v>0</v>
      </c>
      <c r="FZ96">
        <f>IFERROR(AVERAGE('Fat Spreads'!BF96:BF115)-2*STDEV('Fat Spreads'!BF96:BF115),"")</f>
        <v>0</v>
      </c>
      <c r="GA96" t="str">
        <f>IFERROR(('Fat Spreads'!BF96-(AVERAGE('Fat Spreads'!BF96:BF115)-2*STDEV('Fat Spreads'!BF96:BF115)))/(4*STDEV('Fat Spreads'!BF96:BF115)),"")</f>
        <v/>
      </c>
      <c r="GB96" t="str">
        <f>IFERROR(4*STDEV('Fat Spreads'!BF96:BF115)/AVERAGE('Fat Spreads'!BF96:BF115),"")</f>
        <v/>
      </c>
      <c r="GC96">
        <v>48.389899999999997</v>
      </c>
      <c r="GD96">
        <f>IFERROR(SQRT((SUMSQ('Fat Spreads'!BF96:BF115)-2*SUMPRODUCT('Fat Spreads'!BF96:BF115,'Fat Spreads'!BF97:BF116)+SUMSQ('Fat Spreads'!BF97:BF116)-('Fat Spreads'!BF96-'Fat Spreads'!BF116)^2/20)/19),"")</f>
        <v>0</v>
      </c>
    </row>
    <row r="97" spans="1:186" x14ac:dyDescent="0.25">
      <c r="A97">
        <f>IFERROR('Fat Spreads'!A97,"")</f>
        <v>0</v>
      </c>
      <c r="B97">
        <f>IFERROR(('Fat Spreads'!B97-AVERAGE('Fat Spreads'!$B$3:$B$4308))/STDEV('Fat Spreads'!$B$3:$B$4308),"")</f>
        <v>9.2057461789832346E-2</v>
      </c>
      <c r="C97">
        <f>IFERROR('Fat Spreads'!B97-'Fat Spreads'!B102,"")</f>
        <v>0</v>
      </c>
      <c r="D97">
        <f>IFERROR('Fat Spreads'!B97-'Fat Spreads'!B107,"")</f>
        <v>0</v>
      </c>
      <c r="E97">
        <f>IFERROR(AVERAGE('Fat Spreads'!B97:B116)+2*STDEV('Fat Spreads'!B97:B116),"")</f>
        <v>0</v>
      </c>
      <c r="F97">
        <f>IFERROR(AVERAGE('Fat Spreads'!B97:B116)-2*STDEV('Fat Spreads'!B97:B116),"")</f>
        <v>0</v>
      </c>
      <c r="G97" t="str">
        <f>IFERROR(('Fat Spreads'!B97-(AVERAGE('Fat Spreads'!B97:B116)-2*STDEV('Fat Spreads'!B97:B116)))/(4*STDEV('Fat Spreads'!B97:B116)),"")</f>
        <v/>
      </c>
      <c r="H97" t="str">
        <f>IFERROR(4*STDEV('Fat Spreads'!B97:B116)/AVERAGE('Fat Spreads'!B97:B116),"")</f>
        <v/>
      </c>
      <c r="I97">
        <v>52.509399999999999</v>
      </c>
      <c r="J97">
        <f>IFERROR(SQRT((SUMSQ('Fat Spreads'!B97:B116)-2*SUMPRODUCT('Fat Spreads'!B97:B116,'Fat Spreads'!B98:B117)+SUMSQ('Fat Spreads'!B98:B117)-('Fat Spreads'!B97-'Fat Spreads'!B117)^2/20)/19),"")</f>
        <v>0</v>
      </c>
      <c r="L97">
        <f>IFERROR('Fat Spreads'!H97,"")</f>
        <v>0</v>
      </c>
      <c r="M97">
        <f>IFERROR(('Fat Spreads'!I97-AVERAGE('Fat Spreads'!$I$3:$I$4308))/STDEV('Fat Spreads'!$I$3:$I$4308),"")</f>
        <v>-9.2057461789832332E-2</v>
      </c>
      <c r="N97">
        <f>IFERROR('Fat Spreads'!I97-'Fat Spreads'!I102,"")</f>
        <v>0</v>
      </c>
      <c r="O97">
        <f>IFERROR('Fat Spreads'!I97-'Fat Spreads'!I107,"")</f>
        <v>0</v>
      </c>
      <c r="P97">
        <f>IFERROR(AVERAGE('Fat Spreads'!I97:I116)+2*STDEV('Fat Spreads'!I97:I116),"")</f>
        <v>0</v>
      </c>
      <c r="Q97">
        <f>IFERROR(AVERAGE('Fat Spreads'!I97:I116)-2*STDEV('Fat Spreads'!I97:I116),"")</f>
        <v>0</v>
      </c>
      <c r="R97" t="str">
        <f>IFERROR(('Fat Spreads'!I97-(AVERAGE('Fat Spreads'!I97:I116)-2*STDEV('Fat Spreads'!I97:I116)))/(4*STDEV('Fat Spreads'!I97:I116)),"")</f>
        <v/>
      </c>
      <c r="S97" t="str">
        <f>IFERROR(4*STDEV('Fat Spreads'!I97:I116)/AVERAGE('Fat Spreads'!I97:I116),"")</f>
        <v/>
      </c>
      <c r="T97">
        <v>56.147300000000001</v>
      </c>
      <c r="U97">
        <f>IFERROR(SQRT((SUMSQ('Fat Spreads'!I97:I116)-2*SUMPRODUCT('Fat Spreads'!I97:I116,'Fat Spreads'!I98:I117)+SUMSQ('Fat Spreads'!I98:I117)-('Fat Spreads'!I97-'Fat Spreads'!I117)^2/20)/19),"")</f>
        <v>0</v>
      </c>
      <c r="W97">
        <f>IFERROR('Fat Spreads'!AQ97,"")</f>
        <v>0</v>
      </c>
      <c r="X97">
        <f>IFERROR(('Fat Spreads'!AR97-AVERAGE('Fat Spreads'!$AR$3:$AR$4308))/STDEV('Fat Spreads'!$AR$3:$AR$4308),"")</f>
        <v>-9.2057461789832346E-2</v>
      </c>
      <c r="Y97">
        <f>IFERROR('Fat Spreads'!AR97-'Fat Spreads'!AR102,"")</f>
        <v>0</v>
      </c>
      <c r="Z97">
        <f>IFERROR('Fat Spreads'!AR97-'Fat Spreads'!AR107,"")</f>
        <v>0</v>
      </c>
      <c r="AA97">
        <f>IFERROR(AVERAGE('Fat Spreads'!AR97:AR116)+2*STDEV('Fat Spreads'!AR97:AR116),"")</f>
        <v>0</v>
      </c>
      <c r="AB97">
        <f>IFERROR(AVERAGE('Fat Spreads'!AR97:AR116)-2*STDEV('Fat Spreads'!AR97:AR116),"")</f>
        <v>0</v>
      </c>
      <c r="AC97" t="str">
        <f>IFERROR(('Fat Spreads'!AR97-(AVERAGE('Fat Spreads'!AR97:AR116)-2*STDEV('Fat Spreads'!AR97:AR116)))/(4*STDEV('Fat Spreads'!AR97:AR116)),"")</f>
        <v/>
      </c>
      <c r="AD97" t="str">
        <f>IFERROR(4*STDEV('Fat Spreads'!AR97:AR116)/AVERAGE('Fat Spreads'!AR97:AR116),"")</f>
        <v/>
      </c>
      <c r="AE97">
        <v>40.475499999999997</v>
      </c>
      <c r="AF97">
        <f>IFERROR(SQRT((SUMSQ('Fat Spreads'!AR97:AR116)-2*SUMPRODUCT('Fat Spreads'!AR97:AR116,'Fat Spreads'!AR98:AR117)+SUMSQ('Fat Spreads'!AR98:AR117)-('Fat Spreads'!AR97-'Fat Spreads'!AR117)^2/20)/19),"")</f>
        <v>0</v>
      </c>
      <c r="AH97">
        <f>IFERROR('Fat Spreads'!O97,"")</f>
        <v>0</v>
      </c>
      <c r="AI97">
        <f>IFERROR(('Fat Spreads'!P97-AVERAGE('Fat Spreads'!$P$3:$P$4308))/STDEV('Fat Spreads'!$P$3:$P$4308),"")</f>
        <v>-9.2057461789832332E-2</v>
      </c>
      <c r="AJ97">
        <f>IFERROR('Fat Spreads'!P97-'Fat Spreads'!P102,"")</f>
        <v>0</v>
      </c>
      <c r="AK97">
        <f>IFERROR('Fat Spreads'!P97-'Fat Spreads'!P107,"")</f>
        <v>0</v>
      </c>
      <c r="AL97">
        <f>IFERROR(AVERAGE('Fat Spreads'!P97:P116)+2*STDEV('Fat Spreads'!P97:P116),"")</f>
        <v>0</v>
      </c>
      <c r="AM97">
        <f>IFERROR(AVERAGE('Fat Spreads'!P97:P116)-2*STDEV('Fat Spreads'!P97:P116),"")</f>
        <v>0</v>
      </c>
      <c r="AN97" t="str">
        <f>IFERROR(('Fat Spreads'!P97-(AVERAGE('Fat Spreads'!P97:P116)-2*STDEV('Fat Spreads'!P97:P116)))/(4*STDEV('Fat Spreads'!P97:P116)),"")</f>
        <v/>
      </c>
      <c r="AO97" t="str">
        <f>IFERROR(4*STDEV('Fat Spreads'!P97:P116)/AVERAGE('Fat Spreads'!P97:P116),"")</f>
        <v/>
      </c>
      <c r="AP97">
        <v>58.953099999999999</v>
      </c>
      <c r="AQ97">
        <f>IFERROR(SQRT((SUMSQ('Fat Spreads'!P97:P116)-2*SUMPRODUCT('Fat Spreads'!P97:P116,'Fat Spreads'!P98:P117)+SUMSQ('Fat Spreads'!P98:P117)-('Fat Spreads'!P97-'Fat Spreads'!P117)^2/20)/19),"")</f>
        <v>0</v>
      </c>
      <c r="AS97">
        <f>IFERROR('Fat Spreads'!AJ97,"")</f>
        <v>0</v>
      </c>
      <c r="AT97">
        <f>IFERROR(('Fat Spreads'!AK97-AVERAGE('Fat Spreads'!$AK$3:$AK$4308))/STDEV('Fat Spreads'!$AK$3:$AK$4308),"")</f>
        <v>-9.2057461789832332E-2</v>
      </c>
      <c r="AU97">
        <f>IFERROR('Fat Spreads'!AK97-'Fat Spreads'!AK102,"")</f>
        <v>0</v>
      </c>
      <c r="AV97">
        <f>IFERROR('Fat Spreads'!AK97-'Fat Spreads'!AK107,"")</f>
        <v>0</v>
      </c>
      <c r="AW97">
        <f>IFERROR(AVERAGE('Fat Spreads'!AK97:AK116)+2*STDEV('Fat Spreads'!AK97:AK116),"")</f>
        <v>0</v>
      </c>
      <c r="AX97">
        <f>IFERROR(AVERAGE('Fat Spreads'!AK97:AK116)-2*STDEV('Fat Spreads'!AK97:AK116),"")</f>
        <v>0</v>
      </c>
      <c r="AY97" t="str">
        <f>IFERROR(('Fat Spreads'!AK97-(AVERAGE('Fat Spreads'!AK97:AK116)-2*STDEV('Fat Spreads'!AK97:AK116)))/(4*STDEV('Fat Spreads'!AK97:AK116)),"")</f>
        <v/>
      </c>
      <c r="AZ97" t="str">
        <f>IFERROR(4*STDEV('Fat Spreads'!AK97:AK116)/AVERAGE('Fat Spreads'!AK97:AK116),"")</f>
        <v/>
      </c>
      <c r="BA97">
        <v>61.344000000000001</v>
      </c>
      <c r="BB97">
        <f>IFERROR(SQRT((SUMSQ('Fat Spreads'!AK97:AK116)-2*SUMPRODUCT('Fat Spreads'!AK97:AK116,'Fat Spreads'!AK98:AK117)+SUMSQ('Fat Spreads'!AK98:AK117)-('Fat Spreads'!AK97-'Fat Spreads'!AK117)^2/20)/19),"")</f>
        <v>0</v>
      </c>
      <c r="BD97">
        <f>IFERROR('Fat Spreads'!V97,"")</f>
        <v>0</v>
      </c>
      <c r="BE97">
        <f>IFERROR(('Fat Spreads'!W97-AVERAGE('Fat Spreads'!$W$3:$W$4308))/STDEV('Fat Spreads'!$W$3:$W$4308),"")</f>
        <v>-9.2057461789832332E-2</v>
      </c>
      <c r="BF97">
        <f>IFERROR('Fat Spreads'!W97-'Fat Spreads'!W102,"")</f>
        <v>0</v>
      </c>
      <c r="BG97">
        <f>IFERROR('Fat Spreads'!W97-'Fat Spreads'!W107,"")</f>
        <v>0</v>
      </c>
      <c r="BH97">
        <f>IFERROR(AVERAGE('Fat Spreads'!W97:W116)+2*STDEV('Fat Spreads'!W97:W116),"")</f>
        <v>0</v>
      </c>
      <c r="BI97">
        <f>IFERROR(AVERAGE('Fat Spreads'!W97:W116)-2*STDEV('Fat Spreads'!W97:W116),"")</f>
        <v>0</v>
      </c>
      <c r="BJ97" t="str">
        <f>IFERROR(('Fat Spreads'!W97-(AVERAGE('Fat Spreads'!W97:W116)-2*STDEV('Fat Spreads'!W97:W116)))/(4*STDEV('Fat Spreads'!W97:W116)),"")</f>
        <v/>
      </c>
      <c r="BK97" t="str">
        <f>IFERROR(4*STDEV('Fat Spreads'!W97:W116)/AVERAGE('Fat Spreads'!W97:W116),"")</f>
        <v/>
      </c>
      <c r="BL97">
        <v>38.6907</v>
      </c>
      <c r="BM97">
        <f>IFERROR(SQRT((SUMSQ('Fat Spreads'!W97:W116)-2*SUMPRODUCT('Fat Spreads'!W97:W116,'Fat Spreads'!W98:W117)+SUMSQ('Fat Spreads'!W98:W117)-('Fat Spreads'!W97-'Fat Spreads'!W117)^2/20)/19),"")</f>
        <v>0</v>
      </c>
      <c r="BO97">
        <f>IFERROR('Fat Spreads'!AC97,"")</f>
        <v>0</v>
      </c>
      <c r="BP97">
        <f>IFERROR(('Fat Spreads'!AD97-AVERAGE('Fat Spreads'!$AD$3:$AD$4308))/STDEV('Fat Spreads'!$AD$3:$AD$4308),"")</f>
        <v>-9.2057461789832332E-2</v>
      </c>
      <c r="BQ97">
        <f>IFERROR('Fat Spreads'!AD97-'Fat Spreads'!AD102,"")</f>
        <v>0</v>
      </c>
      <c r="BR97">
        <f>IFERROR('Fat Spreads'!AD97-'Fat Spreads'!AD107,"")</f>
        <v>0</v>
      </c>
      <c r="BS97">
        <f>IFERROR(AVERAGE('Fat Spreads'!AD97:AD116)+2*STDEV('Fat Spreads'!AD97:AD116),"")</f>
        <v>0</v>
      </c>
      <c r="BT97">
        <f>IFERROR(AVERAGE('Fat Spreads'!AD97:AD116)-2*STDEV('Fat Spreads'!AD97:AD116),"")</f>
        <v>0</v>
      </c>
      <c r="BU97" t="str">
        <f>IFERROR(('Fat Spreads'!AD97-(AVERAGE('Fat Spreads'!AD97:AD116)-2*STDEV('Fat Spreads'!AD97:AD116)))/(4*STDEV('Fat Spreads'!AD97:AD116)),"")</f>
        <v/>
      </c>
      <c r="BV97" t="str">
        <f>IFERROR(4*STDEV('Fat Spreads'!AD97:AD116)/AVERAGE('Fat Spreads'!AD97:AD116),"")</f>
        <v/>
      </c>
      <c r="BW97">
        <v>57.261899999999997</v>
      </c>
      <c r="BX97">
        <f>IFERROR(SQRT((SUMSQ('Fat Spreads'!AD97:AD116)-2*SUMPRODUCT('Fat Spreads'!AD97:AD116,'Fat Spreads'!AD98:AD117)+SUMSQ('Fat Spreads'!AD98:AD117)-('Fat Spreads'!AD97-'Fat Spreads'!AD117)^2/20)/19),"")</f>
        <v>0</v>
      </c>
      <c r="BZ97">
        <f>IFERROR('Feeder Spreads'!A97,"")</f>
        <v>0</v>
      </c>
      <c r="CA97">
        <f>IFERROR(('Feeder Spreads'!B97-AVERAGE('Feeder Spreads'!$B$3:$B$4308))/STDEV('Feeder Spreads'!$B$3:$B$4308),"")</f>
        <v>-9.2057461789832346E-2</v>
      </c>
      <c r="CB97">
        <f>IFERROR('Feeder Spreads'!B97-'Feeder Spreads'!B102,"")</f>
        <v>0</v>
      </c>
      <c r="CC97">
        <f>IFERROR('Feeder Spreads'!B97-'Feeder Spreads'!B107,"")</f>
        <v>0</v>
      </c>
      <c r="CD97">
        <f>IFERROR(AVERAGE('Feeder Spreads'!B97:B116)+2*STDEV('Feeder Spreads'!B97:B116),"")</f>
        <v>0</v>
      </c>
      <c r="CE97">
        <f>IFERROR(AVERAGE('Feeder Spreads'!B97:B116)-2*STDEV('Feeder Spreads'!B97:B116),"")</f>
        <v>0</v>
      </c>
      <c r="CF97" t="str">
        <f>IFERROR(('Feeder Spreads'!B97-(AVERAGE('Feeder Spreads'!B97:B116)-2*STDEV('Feeder Spreads'!B97:B116)))/(4*STDEV('Feeder Spreads'!B97:B116)),"")</f>
        <v/>
      </c>
      <c r="CG97" t="str">
        <f>IFERROR(4*STDEV('Feeder Spreads'!B97:B116)/AVERAGE('Feeder Spreads'!B97:B116),"")</f>
        <v/>
      </c>
      <c r="CH97">
        <v>48.247</v>
      </c>
      <c r="CI97">
        <f>IFERROR(SQRT((SUMSQ('Feeder Spreads'!B97:B116)-2*SUMPRODUCT('Feeder Spreads'!B97:B116,'Feeder Spreads'!B98:B117)+SUMSQ('Feeder Spreads'!B98:B117)-('Feeder Spreads'!B97-'Feeder Spreads'!B117)^2/20)/19),"")</f>
        <v>0</v>
      </c>
      <c r="CK97">
        <f>IFERROR('Feeder Spreads'!AX97,"")</f>
        <v>0</v>
      </c>
      <c r="CL97">
        <f>IFERROR(('Feeder Spreads'!AY97-AVERAGE('Feeder Spreads'!$AY$3:$AY$4308))/STDEV('Feeder Spreads'!$AY$3:$AY$4308),"")</f>
        <v>-9.2057461789832346E-2</v>
      </c>
      <c r="CM97">
        <f>IFERROR('Feeder Spreads'!AY97-'Feeder Spreads'!AY102,"")</f>
        <v>0</v>
      </c>
      <c r="CN97">
        <f>IFERROR('Feeder Spreads'!AY97-'Feeder Spreads'!AY107,"")</f>
        <v>0</v>
      </c>
      <c r="CO97">
        <f>IFERROR(AVERAGE('Feeder Spreads'!AY97:AY116)+2*STDEV('Feeder Spreads'!AY97:AY116),"")</f>
        <v>0</v>
      </c>
      <c r="CP97">
        <f>IFERROR(AVERAGE('Feeder Spreads'!AY97:AY116)-2*STDEV('Feeder Spreads'!AY97:AY116),"")</f>
        <v>0</v>
      </c>
      <c r="CQ97" t="str">
        <f>IFERROR(('Feeder Spreads'!AY97-(AVERAGE('Feeder Spreads'!AY97:AY116)-2*STDEV('Feeder Spreads'!AY97:AY116)))/(4*STDEV('Feeder Spreads'!AY97:AY116)),"")</f>
        <v/>
      </c>
      <c r="CR97" t="str">
        <f>IFERROR(4*STDEV('Feeder Spreads'!AY97:AY116)/AVERAGE('Feeder Spreads'!AY97:AY116),"")</f>
        <v/>
      </c>
      <c r="CS97">
        <v>35.2134</v>
      </c>
      <c r="CT97">
        <f>IFERROR(SQRT((SUMSQ('Feeder Spreads'!AY97:AY116)-2*SUMPRODUCT('Feeder Spreads'!AY97:AY116,'Feeder Spreads'!AY98:AY117)+SUMSQ('Feeder Spreads'!AY98:AY117)-('Feeder Spreads'!AY97-'Feeder Spreads'!AY117)^2/20)/19),"")</f>
        <v>0</v>
      </c>
      <c r="CV97">
        <f>IFERROR('Feeder Spreads'!H97,"")</f>
        <v>0</v>
      </c>
      <c r="CW97">
        <f>IFERROR(('Feeder Spreads'!I97-AVERAGE('Feeder Spreads'!$I$3:$I$4308))/STDEV('Feeder Spreads'!$I$3:$I$4308),"")</f>
        <v>-9.2057461789832332E-2</v>
      </c>
      <c r="CX97">
        <f>IFERROR('Feeder Spreads'!I97-'Feeder Spreads'!I102,"")</f>
        <v>0</v>
      </c>
      <c r="CY97">
        <f>IFERROR('Feeder Spreads'!I97-'Feeder Spreads'!I107,"")</f>
        <v>0</v>
      </c>
      <c r="CZ97">
        <f>IFERROR(AVERAGE('Feeder Spreads'!I97:I116)+2*STDEV('Feeder Spreads'!I97:I116),"")</f>
        <v>0</v>
      </c>
      <c r="DA97">
        <f>IFERROR(AVERAGE('Feeder Spreads'!I97:I116)-2*STDEV('Feeder Spreads'!I97:I116),"")</f>
        <v>0</v>
      </c>
      <c r="DB97" t="str">
        <f>IFERROR(('Feeder Spreads'!I97-(AVERAGE('Feeder Spreads'!I97:I116)-2*STDEV('Feeder Spreads'!I97:I116)))/(4*STDEV('Feeder Spreads'!I97:I116)),"")</f>
        <v/>
      </c>
      <c r="DC97" t="str">
        <f>IFERROR(4*STDEV('Feeder Spreads'!I97:I116)/AVERAGE('Feeder Spreads'!I97:I116),"")</f>
        <v/>
      </c>
      <c r="DD97">
        <v>51.755600000000001</v>
      </c>
      <c r="DE97">
        <f>IFERROR(SQRT((SUMSQ('Feeder Spreads'!I97:I116)-2*SUMPRODUCT('Feeder Spreads'!I97:I116,'Feeder Spreads'!I98:I117)+SUMSQ('Feeder Spreads'!I98:I117)-('Feeder Spreads'!I97-'Feeder Spreads'!I117)^2/20)/19),"")</f>
        <v>0</v>
      </c>
      <c r="DG97">
        <f>IFERROR('Feeder Spreads'!O97,"")</f>
        <v>0</v>
      </c>
      <c r="DH97">
        <f>IFERROR(('Feeder Spreads'!P97-AVERAGE('Feeder Spreads'!$P$3:$P$4308))/STDEV('Feeder Spreads'!$P$3:$P$4308),"")</f>
        <v>-9.2057461789832346E-2</v>
      </c>
      <c r="DI97">
        <f>IFERROR('Feeder Spreads'!P97-'Feeder Spreads'!P102,"")</f>
        <v>0</v>
      </c>
      <c r="DJ97">
        <f>IFERROR('Feeder Spreads'!P97-'Feeder Spreads'!P107,"")</f>
        <v>0</v>
      </c>
      <c r="DK97">
        <f>IFERROR(AVERAGE('Feeder Spreads'!P97:P116)+2*STDEV('Feeder Spreads'!P97:P116),"")</f>
        <v>0</v>
      </c>
      <c r="DL97">
        <f>IFERROR(AVERAGE('Feeder Spreads'!P97:P116)-2*STDEV('Feeder Spreads'!P97:P116),"")</f>
        <v>0</v>
      </c>
      <c r="DM97" t="str">
        <f>IFERROR(('Feeder Spreads'!P97-(AVERAGE('Feeder Spreads'!P97:P116)-2*STDEV('Feeder Spreads'!P97:P116)))/(4*STDEV('Feeder Spreads'!P97:P116)),"")</f>
        <v/>
      </c>
      <c r="DN97" t="str">
        <f>IFERROR(4*STDEV('Feeder Spreads'!P97:P116)/AVERAGE('Feeder Spreads'!P97:P116),"")</f>
        <v/>
      </c>
      <c r="DO97">
        <v>63.002099999999999</v>
      </c>
      <c r="DP97">
        <f>IFERROR(SQRT((SUMSQ('Feeder Spreads'!P97:P116)-2*SUMPRODUCT('Feeder Spreads'!P97:P116,'Feeder Spreads'!P98:P117)+SUMSQ('Feeder Spreads'!P98:P117)-('Feeder Spreads'!P97-'Feeder Spreads'!P117)^2/20)/19),"")</f>
        <v>0</v>
      </c>
      <c r="DR97">
        <f>IFERROR('Feeder Spreads'!V97,"")</f>
        <v>0</v>
      </c>
      <c r="DS97">
        <f>IFERROR(('Feeder Spreads'!W97-AVERAGE('Feeder Spreads'!$W$3:$W$4308))/STDEV('Feeder Spreads'!$W$3:$W$4308),"")</f>
        <v>-9.2057461789832332E-2</v>
      </c>
      <c r="DT97">
        <f>IFERROR('Feeder Spreads'!W97-'Feeder Spreads'!W102,"")</f>
        <v>0</v>
      </c>
      <c r="DU97">
        <f>IFERROR('Feeder Spreads'!W97-'Feeder Spreads'!W107,"")</f>
        <v>0</v>
      </c>
      <c r="DV97">
        <f>IFERROR(AVERAGE('Feeder Spreads'!W97:W116)+2*STDEV('Feeder Spreads'!W97:W116),"")</f>
        <v>0</v>
      </c>
      <c r="DW97">
        <f>IFERROR(AVERAGE('Feeder Spreads'!W97:W116)-2*STDEV('Feeder Spreads'!W97:W116),"")</f>
        <v>0</v>
      </c>
      <c r="DX97" t="str">
        <f>IFERROR(('Feeder Spreads'!W97-(AVERAGE('Feeder Spreads'!W97:W116)-2*STDEV('Feeder Spreads'!W97:W116)))/(4*STDEV('Feeder Spreads'!W97:W116)),"")</f>
        <v/>
      </c>
      <c r="DY97" t="str">
        <f>IFERROR(4*STDEV('Feeder Spreads'!W97:W116)/AVERAGE('Feeder Spreads'!W97:W116),"")</f>
        <v/>
      </c>
      <c r="DZ97">
        <v>51.207799999999999</v>
      </c>
      <c r="EA97">
        <f>IFERROR(SQRT((SUMSQ('Feeder Spreads'!W97:W116)-2*SUMPRODUCT('Feeder Spreads'!W97:W116,'Feeder Spreads'!W98:W117)+SUMSQ('Feeder Spreads'!W98:W117)-('Feeder Spreads'!W97-'Feeder Spreads'!W117)^2/20)/19),"")</f>
        <v>0</v>
      </c>
      <c r="EC97">
        <f>IFERROR('Feeder Spreads'!AC97,"")</f>
        <v>0</v>
      </c>
      <c r="ED97">
        <f>IFERROR(('Feeder Spreads'!AD97-AVERAGE('Feeder Spreads'!$AD$3:$AD$4308))/STDEV('Feeder Spreads'!$AD$3:$AD$4308),"")</f>
        <v>9.2057461789832318E-2</v>
      </c>
      <c r="EE97">
        <f>IFERROR('Feeder Spreads'!AD97-'Feeder Spreads'!AD102,"")</f>
        <v>0</v>
      </c>
      <c r="EF97">
        <f>IFERROR('Feeder Spreads'!AD97-'Feeder Spreads'!AD107,"")</f>
        <v>0</v>
      </c>
      <c r="EG97">
        <f>IFERROR(AVERAGE('Feeder Spreads'!AD97:AD116)+2*STDEV('Feeder Spreads'!AD97:AD116),"")</f>
        <v>0</v>
      </c>
      <c r="EH97">
        <f>IFERROR(AVERAGE('Feeder Spreads'!AD97:AD116)-2*STDEV('Feeder Spreads'!AD97:AD116),"")</f>
        <v>0</v>
      </c>
      <c r="EI97" t="str">
        <f>IFERROR(('Feeder Spreads'!AD97-(AVERAGE('Feeder Spreads'!AD97:AD116)-2*STDEV('Feeder Spreads'!AD97:AD116)))/(4*STDEV('Feeder Spreads'!AD97:AD116)),"")</f>
        <v/>
      </c>
      <c r="EJ97" t="str">
        <f>IFERROR(4*STDEV('Feeder Spreads'!AD97:AD116)/AVERAGE('Feeder Spreads'!AD97:AD116),"")</f>
        <v/>
      </c>
      <c r="EK97">
        <v>51.761899999999997</v>
      </c>
      <c r="EL97">
        <f>IFERROR(SQRT((SUMSQ('Feeder Spreads'!AD97:AD116)-2*SUMPRODUCT('Feeder Spreads'!AD97:AD116,'Feeder Spreads'!AD98:AD117)+SUMSQ('Feeder Spreads'!AD98:AD117)-('Feeder Spreads'!AD97-'Feeder Spreads'!AD117)^2/20)/19),"")</f>
        <v>0</v>
      </c>
      <c r="EN97">
        <f>IFERROR('Feeder Spreads'!AJ97,"")</f>
        <v>0</v>
      </c>
      <c r="EO97">
        <f>IFERROR(('Feeder Spreads'!AK97-AVERAGE('Feeder Spreads'!$AK$3:$AK$4308))/STDEV('Feeder Spreads'!$AK$3:$AK$4308),"")</f>
        <v>-9.2057461789832346E-2</v>
      </c>
      <c r="EP97">
        <f>IFERROR('Feeder Spreads'!AK97-'Feeder Spreads'!AK102,"")</f>
        <v>0</v>
      </c>
      <c r="EQ97">
        <f>IFERROR('Feeder Spreads'!AK97-'Feeder Spreads'!AK107,"")</f>
        <v>0</v>
      </c>
      <c r="ER97">
        <f>IFERROR(AVERAGE('Feeder Spreads'!AK97:AK116)+2*STDEV('Feeder Spreads'!AK97:AK116),"")</f>
        <v>0</v>
      </c>
      <c r="ES97">
        <f>IFERROR(AVERAGE('Feeder Spreads'!AK97:AK116)-2*STDEV('Feeder Spreads'!AK97:AK116),"")</f>
        <v>0</v>
      </c>
      <c r="ET97" t="str">
        <f>IFERROR(('Feeder Spreads'!AK97-(AVERAGE('Feeder Spreads'!AK97:AK116)-2*STDEV('Feeder Spreads'!AK97:AK116)))/(4*STDEV('Feeder Spreads'!AK97:AK116)),"")</f>
        <v/>
      </c>
      <c r="EU97" t="str">
        <f>IFERROR(4*STDEV('Feeder Spreads'!AK97:AK116)/AVERAGE('Feeder Spreads'!AK97:AK116),"")</f>
        <v/>
      </c>
      <c r="EV97">
        <v>52.700800000000001</v>
      </c>
      <c r="EW97">
        <f>IFERROR(SQRT((SUMSQ('Feeder Spreads'!AK97:AK116)-2*SUMPRODUCT('Feeder Spreads'!AK97:AK116,'Feeder Spreads'!AK98:AK117)+SUMSQ('Feeder Spreads'!AK98:AK117)-('Feeder Spreads'!AK97-'Feeder Spreads'!AK117)^2/20)/19),"")</f>
        <v>0</v>
      </c>
      <c r="EY97">
        <f>IFERROR('Feeder Spreads'!AQ97,"")</f>
        <v>0</v>
      </c>
      <c r="EZ97">
        <f>IFERROR(('Feeder Spreads'!AR97-AVERAGE('Feeder Spreads'!$AR$3:$AR$4308))/STDEV('Feeder Spreads'!$AR$3:$AR$4308),"")</f>
        <v>-9.2057461789832332E-2</v>
      </c>
      <c r="FA97">
        <f>IFERROR('Feeder Spreads'!AR97-'Feeder Spreads'!AR102,"")</f>
        <v>0</v>
      </c>
      <c r="FB97">
        <f>IFERROR('Feeder Spreads'!AR97-'Feeder Spreads'!AR107,"")</f>
        <v>0</v>
      </c>
      <c r="FC97">
        <f>IFERROR(AVERAGE('Feeder Spreads'!AR97:AR116)+2*STDEV('Feeder Spreads'!AR97:AR116),"")</f>
        <v>0</v>
      </c>
      <c r="FD97">
        <f>IFERROR(AVERAGE('Feeder Spreads'!AR97:AR116)-2*STDEV('Feeder Spreads'!AR97:AR116),"")</f>
        <v>0</v>
      </c>
      <c r="FE97" t="str">
        <f>IFERROR(('Feeder Spreads'!AR97-(AVERAGE('Feeder Spreads'!AR97:AR116)-2*STDEV('Feeder Spreads'!AR97:AR116)))/(4*STDEV('Feeder Spreads'!AR97:AR116)),"")</f>
        <v/>
      </c>
      <c r="FF97" t="str">
        <f>IFERROR(4*STDEV('Feeder Spreads'!AR97:AR116)/AVERAGE('Feeder Spreads'!AR97:AR116),"")</f>
        <v/>
      </c>
      <c r="FG97">
        <v>59.739199999999997</v>
      </c>
      <c r="FH97">
        <f>IFERROR(SQRT((SUMSQ('Feeder Spreads'!AR97:AR116)-2*SUMPRODUCT('Feeder Spreads'!AR97:AR116,'Feeder Spreads'!AR98:AR117)+SUMSQ('Feeder Spreads'!AR98:AR117)-('Feeder Spreads'!AR97-'Feeder Spreads'!AR117)^2/20)/19),"")</f>
        <v>0</v>
      </c>
      <c r="FJ97">
        <f>IFERROR('Fat Spreads'!AX97,"")</f>
        <v>0</v>
      </c>
      <c r="FK97">
        <f>IFERROR(('Fat Spreads'!AY97-AVERAGE('Fat Spreads'!$AY$3:$AY$4308))/STDEV('Fat Spreads'!$AY$3:$AY$4308),"")</f>
        <v>9.2057461789832332E-2</v>
      </c>
      <c r="FL97">
        <f>IFERROR('Fat Spreads'!AY97-'Fat Spreads'!AY102,"")</f>
        <v>0</v>
      </c>
      <c r="FM97">
        <f>IFERROR('Fat Spreads'!AY97-'Fat Spreads'!AY107,"")</f>
        <v>0</v>
      </c>
      <c r="FN97">
        <f>IFERROR(AVERAGE('Fat Spreads'!AY97:AY116)+2*STDEV('Fat Spreads'!AY97:AY116),"")</f>
        <v>0</v>
      </c>
      <c r="FO97">
        <f>IFERROR(AVERAGE('Fat Spreads'!AY97:AY116)-2*STDEV('Fat Spreads'!AY97:AY116),"")</f>
        <v>0</v>
      </c>
      <c r="FP97" t="str">
        <f>IFERROR(('Fat Spreads'!AY97-(AVERAGE('Fat Spreads'!AY97:AY116)-2*STDEV('Fat Spreads'!AY97:AY116)))/(4*STDEV('Fat Spreads'!AY97:AY116)),"")</f>
        <v/>
      </c>
      <c r="FQ97" t="str">
        <f>IFERROR(4*STDEV('Fat Spreads'!AY97:AY116)/AVERAGE('Fat Spreads'!AY97:AY116),"")</f>
        <v/>
      </c>
      <c r="FR97">
        <v>57.826500000000003</v>
      </c>
      <c r="FS97">
        <f>IFERROR(SQRT((SUMSQ('Fat Spreads'!AY97:AY116)-2*SUMPRODUCT('Fat Spreads'!AY97:AY116,'Fat Spreads'!AY98:AY117)+SUMSQ('Fat Spreads'!AY98:AY117)-('Fat Spreads'!AY97-'Fat Spreads'!AY117)^2/20)/19),"")</f>
        <v>0</v>
      </c>
      <c r="FU97">
        <f>IFERROR('Fat Spreads'!BE97,"")</f>
        <v>0</v>
      </c>
      <c r="FV97">
        <f>IFERROR(('Fat Spreads'!BF97-AVERAGE('Fat Spreads'!$BF$3:$BF$4308))/STDEV('Fat Spreads'!$BF$3:$BF$4308),"")</f>
        <v>9.2057461789832332E-2</v>
      </c>
      <c r="FW97">
        <f>IFERROR('Fat Spreads'!BF97-'Fat Spreads'!BF102,"")</f>
        <v>0</v>
      </c>
      <c r="FX97">
        <f>IFERROR('Fat Spreads'!BF97-'Fat Spreads'!BF107,"")</f>
        <v>0</v>
      </c>
      <c r="FY97">
        <f>IFERROR(AVERAGE('Fat Spreads'!BF97:BF116)+2*STDEV('Fat Spreads'!BF97:BF116),"")</f>
        <v>0</v>
      </c>
      <c r="FZ97">
        <f>IFERROR(AVERAGE('Fat Spreads'!BF97:BF116)-2*STDEV('Fat Spreads'!BF97:BF116),"")</f>
        <v>0</v>
      </c>
      <c r="GA97" t="str">
        <f>IFERROR(('Fat Spreads'!BF97-(AVERAGE('Fat Spreads'!BF97:BF116)-2*STDEV('Fat Spreads'!BF97:BF116)))/(4*STDEV('Fat Spreads'!BF97:BF116)),"")</f>
        <v/>
      </c>
      <c r="GB97" t="str">
        <f>IFERROR(4*STDEV('Fat Spreads'!BF97:BF116)/AVERAGE('Fat Spreads'!BF97:BF116),"")</f>
        <v/>
      </c>
      <c r="GC97">
        <v>54.295299999999997</v>
      </c>
      <c r="GD97">
        <f>IFERROR(SQRT((SUMSQ('Fat Spreads'!BF97:BF116)-2*SUMPRODUCT('Fat Spreads'!BF97:BF116,'Fat Spreads'!BF98:BF117)+SUMSQ('Fat Spreads'!BF98:BF117)-('Fat Spreads'!BF97-'Fat Spreads'!BF117)^2/20)/19),"")</f>
        <v>0</v>
      </c>
    </row>
    <row r="98" spans="1:186" x14ac:dyDescent="0.25">
      <c r="A98">
        <f>IFERROR('Fat Spreads'!A98,"")</f>
        <v>0</v>
      </c>
      <c r="B98">
        <f>IFERROR(('Fat Spreads'!B98-AVERAGE('Fat Spreads'!$B$3:$B$4308))/STDEV('Fat Spreads'!$B$3:$B$4308),"")</f>
        <v>9.2057461789832346E-2</v>
      </c>
      <c r="C98">
        <f>IFERROR('Fat Spreads'!B98-'Fat Spreads'!B103,"")</f>
        <v>0</v>
      </c>
      <c r="D98">
        <f>IFERROR('Fat Spreads'!B98-'Fat Spreads'!B108,"")</f>
        <v>0</v>
      </c>
      <c r="E98">
        <f>IFERROR(AVERAGE('Fat Spreads'!B98:B117)+2*STDEV('Fat Spreads'!B98:B117),"")</f>
        <v>0</v>
      </c>
      <c r="F98">
        <f>IFERROR(AVERAGE('Fat Spreads'!B98:B117)-2*STDEV('Fat Spreads'!B98:B117),"")</f>
        <v>0</v>
      </c>
      <c r="G98" t="str">
        <f>IFERROR(('Fat Spreads'!B98-(AVERAGE('Fat Spreads'!B98:B117)-2*STDEV('Fat Spreads'!B98:B117)))/(4*STDEV('Fat Spreads'!B98:B117)),"")</f>
        <v/>
      </c>
      <c r="H98" t="str">
        <f>IFERROR(4*STDEV('Fat Spreads'!B98:B117)/AVERAGE('Fat Spreads'!B98:B117),"")</f>
        <v/>
      </c>
      <c r="I98">
        <v>56.945099999999996</v>
      </c>
      <c r="J98">
        <f>IFERROR(SQRT((SUMSQ('Fat Spreads'!B98:B117)-2*SUMPRODUCT('Fat Spreads'!B98:B117,'Fat Spreads'!B99:B118)+SUMSQ('Fat Spreads'!B99:B118)-('Fat Spreads'!B98-'Fat Spreads'!B118)^2/20)/19),"")</f>
        <v>0</v>
      </c>
      <c r="L98">
        <f>IFERROR('Fat Spreads'!H98,"")</f>
        <v>0</v>
      </c>
      <c r="M98">
        <f>IFERROR(('Fat Spreads'!I98-AVERAGE('Fat Spreads'!$I$3:$I$4308))/STDEV('Fat Spreads'!$I$3:$I$4308),"")</f>
        <v>-9.2057461789832332E-2</v>
      </c>
      <c r="N98">
        <f>IFERROR('Fat Spreads'!I98-'Fat Spreads'!I103,"")</f>
        <v>0</v>
      </c>
      <c r="O98">
        <f>IFERROR('Fat Spreads'!I98-'Fat Spreads'!I108,"")</f>
        <v>0</v>
      </c>
      <c r="P98">
        <f>IFERROR(AVERAGE('Fat Spreads'!I98:I117)+2*STDEV('Fat Spreads'!I98:I117),"")</f>
        <v>0</v>
      </c>
      <c r="Q98">
        <f>IFERROR(AVERAGE('Fat Spreads'!I98:I117)-2*STDEV('Fat Spreads'!I98:I117),"")</f>
        <v>0</v>
      </c>
      <c r="R98" t="str">
        <f>IFERROR(('Fat Spreads'!I98-(AVERAGE('Fat Spreads'!I98:I117)-2*STDEV('Fat Spreads'!I98:I117)))/(4*STDEV('Fat Spreads'!I98:I117)),"")</f>
        <v/>
      </c>
      <c r="S98" t="str">
        <f>IFERROR(4*STDEV('Fat Spreads'!I98:I117)/AVERAGE('Fat Spreads'!I98:I117),"")</f>
        <v/>
      </c>
      <c r="T98">
        <v>57.561799999999998</v>
      </c>
      <c r="U98">
        <f>IFERROR(SQRT((SUMSQ('Fat Spreads'!I98:I117)-2*SUMPRODUCT('Fat Spreads'!I98:I117,'Fat Spreads'!I99:I118)+SUMSQ('Fat Spreads'!I99:I118)-('Fat Spreads'!I98-'Fat Spreads'!I118)^2/20)/19),"")</f>
        <v>0</v>
      </c>
      <c r="W98">
        <f>IFERROR('Fat Spreads'!AQ98,"")</f>
        <v>0</v>
      </c>
      <c r="X98">
        <f>IFERROR(('Fat Spreads'!AR98-AVERAGE('Fat Spreads'!$AR$3:$AR$4308))/STDEV('Fat Spreads'!$AR$3:$AR$4308),"")</f>
        <v>-9.2057461789832346E-2</v>
      </c>
      <c r="Y98">
        <f>IFERROR('Fat Spreads'!AR98-'Fat Spreads'!AR103,"")</f>
        <v>0</v>
      </c>
      <c r="Z98">
        <f>IFERROR('Fat Spreads'!AR98-'Fat Spreads'!AR108,"")</f>
        <v>0</v>
      </c>
      <c r="AA98">
        <f>IFERROR(AVERAGE('Fat Spreads'!AR98:AR117)+2*STDEV('Fat Spreads'!AR98:AR117),"")</f>
        <v>0</v>
      </c>
      <c r="AB98">
        <f>IFERROR(AVERAGE('Fat Spreads'!AR98:AR117)-2*STDEV('Fat Spreads'!AR98:AR117),"")</f>
        <v>0</v>
      </c>
      <c r="AC98" t="str">
        <f>IFERROR(('Fat Spreads'!AR98-(AVERAGE('Fat Spreads'!AR98:AR117)-2*STDEV('Fat Spreads'!AR98:AR117)))/(4*STDEV('Fat Spreads'!AR98:AR117)),"")</f>
        <v/>
      </c>
      <c r="AD98" t="str">
        <f>IFERROR(4*STDEV('Fat Spreads'!AR98:AR117)/AVERAGE('Fat Spreads'!AR98:AR117),"")</f>
        <v/>
      </c>
      <c r="AE98">
        <v>40.643500000000003</v>
      </c>
      <c r="AF98">
        <f>IFERROR(SQRT((SUMSQ('Fat Spreads'!AR98:AR117)-2*SUMPRODUCT('Fat Spreads'!AR98:AR117,'Fat Spreads'!AR99:AR118)+SUMSQ('Fat Spreads'!AR99:AR118)-('Fat Spreads'!AR98-'Fat Spreads'!AR118)^2/20)/19),"")</f>
        <v>0</v>
      </c>
      <c r="AH98">
        <f>IFERROR('Fat Spreads'!O98,"")</f>
        <v>0</v>
      </c>
      <c r="AI98">
        <f>IFERROR(('Fat Spreads'!P98-AVERAGE('Fat Spreads'!$P$3:$P$4308))/STDEV('Fat Spreads'!$P$3:$P$4308),"")</f>
        <v>-9.2057461789832332E-2</v>
      </c>
      <c r="AJ98">
        <f>IFERROR('Fat Spreads'!P98-'Fat Spreads'!P103,"")</f>
        <v>0</v>
      </c>
      <c r="AK98">
        <f>IFERROR('Fat Spreads'!P98-'Fat Spreads'!P108,"")</f>
        <v>0</v>
      </c>
      <c r="AL98">
        <f>IFERROR(AVERAGE('Fat Spreads'!P98:P117)+2*STDEV('Fat Spreads'!P98:P117),"")</f>
        <v>0</v>
      </c>
      <c r="AM98">
        <f>IFERROR(AVERAGE('Fat Spreads'!P98:P117)-2*STDEV('Fat Spreads'!P98:P117),"")</f>
        <v>0</v>
      </c>
      <c r="AN98" t="str">
        <f>IFERROR(('Fat Spreads'!P98-(AVERAGE('Fat Spreads'!P98:P117)-2*STDEV('Fat Spreads'!P98:P117)))/(4*STDEV('Fat Spreads'!P98:P117)),"")</f>
        <v/>
      </c>
      <c r="AO98" t="str">
        <f>IFERROR(4*STDEV('Fat Spreads'!P98:P117)/AVERAGE('Fat Spreads'!P98:P117),"")</f>
        <v/>
      </c>
      <c r="AP98">
        <v>59.849499999999999</v>
      </c>
      <c r="AQ98">
        <f>IFERROR(SQRT((SUMSQ('Fat Spreads'!P98:P117)-2*SUMPRODUCT('Fat Spreads'!P98:P117,'Fat Spreads'!P99:P118)+SUMSQ('Fat Spreads'!P99:P118)-('Fat Spreads'!P98-'Fat Spreads'!P118)^2/20)/19),"")</f>
        <v>0</v>
      </c>
      <c r="AS98">
        <f>IFERROR('Fat Spreads'!AJ98,"")</f>
        <v>0</v>
      </c>
      <c r="AT98">
        <f>IFERROR(('Fat Spreads'!AK98-AVERAGE('Fat Spreads'!$AK$3:$AK$4308))/STDEV('Fat Spreads'!$AK$3:$AK$4308),"")</f>
        <v>-9.2057461789832332E-2</v>
      </c>
      <c r="AU98">
        <f>IFERROR('Fat Spreads'!AK98-'Fat Spreads'!AK103,"")</f>
        <v>0</v>
      </c>
      <c r="AV98">
        <f>IFERROR('Fat Spreads'!AK98-'Fat Spreads'!AK108,"")</f>
        <v>0</v>
      </c>
      <c r="AW98">
        <f>IFERROR(AVERAGE('Fat Spreads'!AK98:AK117)+2*STDEV('Fat Spreads'!AK98:AK117),"")</f>
        <v>0</v>
      </c>
      <c r="AX98">
        <f>IFERROR(AVERAGE('Fat Spreads'!AK98:AK117)-2*STDEV('Fat Spreads'!AK98:AK117),"")</f>
        <v>0</v>
      </c>
      <c r="AY98" t="str">
        <f>IFERROR(('Fat Spreads'!AK98-(AVERAGE('Fat Spreads'!AK98:AK117)-2*STDEV('Fat Spreads'!AK98:AK117)))/(4*STDEV('Fat Spreads'!AK98:AK117)),"")</f>
        <v/>
      </c>
      <c r="AZ98" t="str">
        <f>IFERROR(4*STDEV('Fat Spreads'!AK98:AK117)/AVERAGE('Fat Spreads'!AK98:AK117),"")</f>
        <v/>
      </c>
      <c r="BA98">
        <v>61.344000000000001</v>
      </c>
      <c r="BB98">
        <f>IFERROR(SQRT((SUMSQ('Fat Spreads'!AK98:AK117)-2*SUMPRODUCT('Fat Spreads'!AK98:AK117,'Fat Spreads'!AK99:AK118)+SUMSQ('Fat Spreads'!AK99:AK118)-('Fat Spreads'!AK98-'Fat Spreads'!AK118)^2/20)/19),"")</f>
        <v>0</v>
      </c>
      <c r="BD98">
        <f>IFERROR('Fat Spreads'!V98,"")</f>
        <v>0</v>
      </c>
      <c r="BE98">
        <f>IFERROR(('Fat Spreads'!W98-AVERAGE('Fat Spreads'!$W$3:$W$4308))/STDEV('Fat Spreads'!$W$3:$W$4308),"")</f>
        <v>-9.2057461789832332E-2</v>
      </c>
      <c r="BF98">
        <f>IFERROR('Fat Spreads'!W98-'Fat Spreads'!W103,"")</f>
        <v>0</v>
      </c>
      <c r="BG98">
        <f>IFERROR('Fat Spreads'!W98-'Fat Spreads'!W108,"")</f>
        <v>0</v>
      </c>
      <c r="BH98">
        <f>IFERROR(AVERAGE('Fat Spreads'!W98:W117)+2*STDEV('Fat Spreads'!W98:W117),"")</f>
        <v>0</v>
      </c>
      <c r="BI98">
        <f>IFERROR(AVERAGE('Fat Spreads'!W98:W117)-2*STDEV('Fat Spreads'!W98:W117),"")</f>
        <v>0</v>
      </c>
      <c r="BJ98" t="str">
        <f>IFERROR(('Fat Spreads'!W98-(AVERAGE('Fat Spreads'!W98:W117)-2*STDEV('Fat Spreads'!W98:W117)))/(4*STDEV('Fat Spreads'!W98:W117)),"")</f>
        <v/>
      </c>
      <c r="BK98" t="str">
        <f>IFERROR(4*STDEV('Fat Spreads'!W98:W117)/AVERAGE('Fat Spreads'!W98:W117),"")</f>
        <v/>
      </c>
      <c r="BL98">
        <v>38.5822</v>
      </c>
      <c r="BM98">
        <f>IFERROR(SQRT((SUMSQ('Fat Spreads'!W98:W117)-2*SUMPRODUCT('Fat Spreads'!W98:W117,'Fat Spreads'!W99:W118)+SUMSQ('Fat Spreads'!W99:W118)-('Fat Spreads'!W98-'Fat Spreads'!W118)^2/20)/19),"")</f>
        <v>0</v>
      </c>
      <c r="BO98">
        <f>IFERROR('Fat Spreads'!AC98,"")</f>
        <v>0</v>
      </c>
      <c r="BP98">
        <f>IFERROR(('Fat Spreads'!AD98-AVERAGE('Fat Spreads'!$AD$3:$AD$4308))/STDEV('Fat Spreads'!$AD$3:$AD$4308),"")</f>
        <v>-9.2057461789832332E-2</v>
      </c>
      <c r="BQ98">
        <f>IFERROR('Fat Spreads'!AD98-'Fat Spreads'!AD103,"")</f>
        <v>0</v>
      </c>
      <c r="BR98">
        <f>IFERROR('Fat Spreads'!AD98-'Fat Spreads'!AD108,"")</f>
        <v>0</v>
      </c>
      <c r="BS98">
        <f>IFERROR(AVERAGE('Fat Spreads'!AD98:AD117)+2*STDEV('Fat Spreads'!AD98:AD117),"")</f>
        <v>0</v>
      </c>
      <c r="BT98">
        <f>IFERROR(AVERAGE('Fat Spreads'!AD98:AD117)-2*STDEV('Fat Spreads'!AD98:AD117),"")</f>
        <v>0</v>
      </c>
      <c r="BU98" t="str">
        <f>IFERROR(('Fat Spreads'!AD98-(AVERAGE('Fat Spreads'!AD98:AD117)-2*STDEV('Fat Spreads'!AD98:AD117)))/(4*STDEV('Fat Spreads'!AD98:AD117)),"")</f>
        <v/>
      </c>
      <c r="BV98" t="str">
        <f>IFERROR(4*STDEV('Fat Spreads'!AD98:AD117)/AVERAGE('Fat Spreads'!AD98:AD117),"")</f>
        <v/>
      </c>
      <c r="BW98">
        <v>55.711599999999997</v>
      </c>
      <c r="BX98">
        <f>IFERROR(SQRT((SUMSQ('Fat Spreads'!AD98:AD117)-2*SUMPRODUCT('Fat Spreads'!AD98:AD117,'Fat Spreads'!AD99:AD118)+SUMSQ('Fat Spreads'!AD99:AD118)-('Fat Spreads'!AD98-'Fat Spreads'!AD118)^2/20)/19),"")</f>
        <v>0</v>
      </c>
      <c r="BZ98">
        <f>IFERROR('Feeder Spreads'!A98,"")</f>
        <v>0</v>
      </c>
      <c r="CA98">
        <f>IFERROR(('Feeder Spreads'!B98-AVERAGE('Feeder Spreads'!$B$3:$B$4308))/STDEV('Feeder Spreads'!$B$3:$B$4308),"")</f>
        <v>-9.2057461789832346E-2</v>
      </c>
      <c r="CB98">
        <f>IFERROR('Feeder Spreads'!B98-'Feeder Spreads'!B103,"")</f>
        <v>0</v>
      </c>
      <c r="CC98">
        <f>IFERROR('Feeder Spreads'!B98-'Feeder Spreads'!B108,"")</f>
        <v>0</v>
      </c>
      <c r="CD98">
        <f>IFERROR(AVERAGE('Feeder Spreads'!B98:B117)+2*STDEV('Feeder Spreads'!B98:B117),"")</f>
        <v>0</v>
      </c>
      <c r="CE98">
        <f>IFERROR(AVERAGE('Feeder Spreads'!B98:B117)-2*STDEV('Feeder Spreads'!B98:B117),"")</f>
        <v>0</v>
      </c>
      <c r="CF98" t="str">
        <f>IFERROR(('Feeder Spreads'!B98-(AVERAGE('Feeder Spreads'!B98:B117)-2*STDEV('Feeder Spreads'!B98:B117)))/(4*STDEV('Feeder Spreads'!B98:B117)),"")</f>
        <v/>
      </c>
      <c r="CG98" t="str">
        <f>IFERROR(4*STDEV('Feeder Spreads'!B98:B117)/AVERAGE('Feeder Spreads'!B98:B117),"")</f>
        <v/>
      </c>
      <c r="CH98">
        <v>51.456000000000003</v>
      </c>
      <c r="CI98">
        <f>IFERROR(SQRT((SUMSQ('Feeder Spreads'!B98:B117)-2*SUMPRODUCT('Feeder Spreads'!B98:B117,'Feeder Spreads'!B99:B118)+SUMSQ('Feeder Spreads'!B99:B118)-('Feeder Spreads'!B98-'Feeder Spreads'!B118)^2/20)/19),"")</f>
        <v>0</v>
      </c>
      <c r="CK98">
        <f>IFERROR('Feeder Spreads'!AX98,"")</f>
        <v>0</v>
      </c>
      <c r="CL98">
        <f>IFERROR(('Feeder Spreads'!AY98-AVERAGE('Feeder Spreads'!$AY$3:$AY$4308))/STDEV('Feeder Spreads'!$AY$3:$AY$4308),"")</f>
        <v>-9.2057461789832346E-2</v>
      </c>
      <c r="CM98">
        <f>IFERROR('Feeder Spreads'!AY98-'Feeder Spreads'!AY103,"")</f>
        <v>0</v>
      </c>
      <c r="CN98">
        <f>IFERROR('Feeder Spreads'!AY98-'Feeder Spreads'!AY108,"")</f>
        <v>0</v>
      </c>
      <c r="CO98">
        <f>IFERROR(AVERAGE('Feeder Spreads'!AY98:AY117)+2*STDEV('Feeder Spreads'!AY98:AY117),"")</f>
        <v>0</v>
      </c>
      <c r="CP98">
        <f>IFERROR(AVERAGE('Feeder Spreads'!AY98:AY117)-2*STDEV('Feeder Spreads'!AY98:AY117),"")</f>
        <v>0</v>
      </c>
      <c r="CQ98" t="str">
        <f>IFERROR(('Feeder Spreads'!AY98-(AVERAGE('Feeder Spreads'!AY98:AY117)-2*STDEV('Feeder Spreads'!AY98:AY117)))/(4*STDEV('Feeder Spreads'!AY98:AY117)),"")</f>
        <v/>
      </c>
      <c r="CR98" t="str">
        <f>IFERROR(4*STDEV('Feeder Spreads'!AY98:AY117)/AVERAGE('Feeder Spreads'!AY98:AY117),"")</f>
        <v/>
      </c>
      <c r="CS98">
        <v>32.791899999999998</v>
      </c>
      <c r="CT98">
        <f>IFERROR(SQRT((SUMSQ('Feeder Spreads'!AY98:AY117)-2*SUMPRODUCT('Feeder Spreads'!AY98:AY117,'Feeder Spreads'!AY99:AY118)+SUMSQ('Feeder Spreads'!AY99:AY118)-('Feeder Spreads'!AY98-'Feeder Spreads'!AY118)^2/20)/19),"")</f>
        <v>0</v>
      </c>
      <c r="CV98">
        <f>IFERROR('Feeder Spreads'!H98,"")</f>
        <v>0</v>
      </c>
      <c r="CW98">
        <f>IFERROR(('Feeder Spreads'!I98-AVERAGE('Feeder Spreads'!$I$3:$I$4308))/STDEV('Feeder Spreads'!$I$3:$I$4308),"")</f>
        <v>-9.2057461789832332E-2</v>
      </c>
      <c r="CX98">
        <f>IFERROR('Feeder Spreads'!I98-'Feeder Spreads'!I103,"")</f>
        <v>0</v>
      </c>
      <c r="CY98">
        <f>IFERROR('Feeder Spreads'!I98-'Feeder Spreads'!I108,"")</f>
        <v>0</v>
      </c>
      <c r="CZ98">
        <f>IFERROR(AVERAGE('Feeder Spreads'!I98:I117)+2*STDEV('Feeder Spreads'!I98:I117),"")</f>
        <v>0</v>
      </c>
      <c r="DA98">
        <f>IFERROR(AVERAGE('Feeder Spreads'!I98:I117)-2*STDEV('Feeder Spreads'!I98:I117),"")</f>
        <v>0</v>
      </c>
      <c r="DB98" t="str">
        <f>IFERROR(('Feeder Spreads'!I98-(AVERAGE('Feeder Spreads'!I98:I117)-2*STDEV('Feeder Spreads'!I98:I117)))/(4*STDEV('Feeder Spreads'!I98:I117)),"")</f>
        <v/>
      </c>
      <c r="DC98" t="str">
        <f>IFERROR(4*STDEV('Feeder Spreads'!I98:I117)/AVERAGE('Feeder Spreads'!I98:I117),"")</f>
        <v/>
      </c>
      <c r="DD98">
        <v>52.779499999999999</v>
      </c>
      <c r="DE98">
        <f>IFERROR(SQRT((SUMSQ('Feeder Spreads'!I98:I117)-2*SUMPRODUCT('Feeder Spreads'!I98:I117,'Feeder Spreads'!I99:I118)+SUMSQ('Feeder Spreads'!I99:I118)-('Feeder Spreads'!I98-'Feeder Spreads'!I118)^2/20)/19),"")</f>
        <v>0</v>
      </c>
      <c r="DG98">
        <f>IFERROR('Feeder Spreads'!O98,"")</f>
        <v>0</v>
      </c>
      <c r="DH98">
        <f>IFERROR(('Feeder Spreads'!P98-AVERAGE('Feeder Spreads'!$P$3:$P$4308))/STDEV('Feeder Spreads'!$P$3:$P$4308),"")</f>
        <v>-9.2057461789832346E-2</v>
      </c>
      <c r="DI98">
        <f>IFERROR('Feeder Spreads'!P98-'Feeder Spreads'!P103,"")</f>
        <v>0</v>
      </c>
      <c r="DJ98">
        <f>IFERROR('Feeder Spreads'!P98-'Feeder Spreads'!P108,"")</f>
        <v>0</v>
      </c>
      <c r="DK98">
        <f>IFERROR(AVERAGE('Feeder Spreads'!P98:P117)+2*STDEV('Feeder Spreads'!P98:P117),"")</f>
        <v>0</v>
      </c>
      <c r="DL98">
        <f>IFERROR(AVERAGE('Feeder Spreads'!P98:P117)-2*STDEV('Feeder Spreads'!P98:P117),"")</f>
        <v>0</v>
      </c>
      <c r="DM98" t="str">
        <f>IFERROR(('Feeder Spreads'!P98-(AVERAGE('Feeder Spreads'!P98:P117)-2*STDEV('Feeder Spreads'!P98:P117)))/(4*STDEV('Feeder Spreads'!P98:P117)),"")</f>
        <v/>
      </c>
      <c r="DN98" t="str">
        <f>IFERROR(4*STDEV('Feeder Spreads'!P98:P117)/AVERAGE('Feeder Spreads'!P98:P117),"")</f>
        <v/>
      </c>
      <c r="DO98">
        <v>63.445599999999999</v>
      </c>
      <c r="DP98">
        <f>IFERROR(SQRT((SUMSQ('Feeder Spreads'!P98:P117)-2*SUMPRODUCT('Feeder Spreads'!P98:P117,'Feeder Spreads'!P99:P118)+SUMSQ('Feeder Spreads'!P99:P118)-('Feeder Spreads'!P98-'Feeder Spreads'!P118)^2/20)/19),"")</f>
        <v>0</v>
      </c>
      <c r="DR98">
        <f>IFERROR('Feeder Spreads'!V98,"")</f>
        <v>0</v>
      </c>
      <c r="DS98">
        <f>IFERROR(('Feeder Spreads'!W98-AVERAGE('Feeder Spreads'!$W$3:$W$4308))/STDEV('Feeder Spreads'!$W$3:$W$4308),"")</f>
        <v>-9.2057461789832332E-2</v>
      </c>
      <c r="DT98">
        <f>IFERROR('Feeder Spreads'!W98-'Feeder Spreads'!W103,"")</f>
        <v>0</v>
      </c>
      <c r="DU98">
        <f>IFERROR('Feeder Spreads'!W98-'Feeder Spreads'!W108,"")</f>
        <v>0</v>
      </c>
      <c r="DV98">
        <f>IFERROR(AVERAGE('Feeder Spreads'!W98:W117)+2*STDEV('Feeder Spreads'!W98:W117),"")</f>
        <v>0</v>
      </c>
      <c r="DW98">
        <f>IFERROR(AVERAGE('Feeder Spreads'!W98:W117)-2*STDEV('Feeder Spreads'!W98:W117),"")</f>
        <v>0</v>
      </c>
      <c r="DX98" t="str">
        <f>IFERROR(('Feeder Spreads'!W98-(AVERAGE('Feeder Spreads'!W98:W117)-2*STDEV('Feeder Spreads'!W98:W117)))/(4*STDEV('Feeder Spreads'!W98:W117)),"")</f>
        <v/>
      </c>
      <c r="DY98" t="str">
        <f>IFERROR(4*STDEV('Feeder Spreads'!W98:W117)/AVERAGE('Feeder Spreads'!W98:W117),"")</f>
        <v/>
      </c>
      <c r="DZ98">
        <v>47.032899999999998</v>
      </c>
      <c r="EA98">
        <f>IFERROR(SQRT((SUMSQ('Feeder Spreads'!W98:W117)-2*SUMPRODUCT('Feeder Spreads'!W98:W117,'Feeder Spreads'!W99:W118)+SUMSQ('Feeder Spreads'!W99:W118)-('Feeder Spreads'!W98-'Feeder Spreads'!W118)^2/20)/19),"")</f>
        <v>0</v>
      </c>
      <c r="EC98">
        <f>IFERROR('Feeder Spreads'!AC98,"")</f>
        <v>0</v>
      </c>
      <c r="ED98">
        <f>IFERROR(('Feeder Spreads'!AD98-AVERAGE('Feeder Spreads'!$AD$3:$AD$4308))/STDEV('Feeder Spreads'!$AD$3:$AD$4308),"")</f>
        <v>9.2057461789832318E-2</v>
      </c>
      <c r="EE98">
        <f>IFERROR('Feeder Spreads'!AD98-'Feeder Spreads'!AD103,"")</f>
        <v>0</v>
      </c>
      <c r="EF98">
        <f>IFERROR('Feeder Spreads'!AD98-'Feeder Spreads'!AD108,"")</f>
        <v>0</v>
      </c>
      <c r="EG98">
        <f>IFERROR(AVERAGE('Feeder Spreads'!AD98:AD117)+2*STDEV('Feeder Spreads'!AD98:AD117),"")</f>
        <v>0</v>
      </c>
      <c r="EH98">
        <f>IFERROR(AVERAGE('Feeder Spreads'!AD98:AD117)-2*STDEV('Feeder Spreads'!AD98:AD117),"")</f>
        <v>0</v>
      </c>
      <c r="EI98" t="str">
        <f>IFERROR(('Feeder Spreads'!AD98-(AVERAGE('Feeder Spreads'!AD98:AD117)-2*STDEV('Feeder Spreads'!AD98:AD117)))/(4*STDEV('Feeder Spreads'!AD98:AD117)),"")</f>
        <v/>
      </c>
      <c r="EJ98" t="str">
        <f>IFERROR(4*STDEV('Feeder Spreads'!AD98:AD117)/AVERAGE('Feeder Spreads'!AD98:AD117),"")</f>
        <v/>
      </c>
      <c r="EK98">
        <v>48.759300000000003</v>
      </c>
      <c r="EL98">
        <f>IFERROR(SQRT((SUMSQ('Feeder Spreads'!AD98:AD117)-2*SUMPRODUCT('Feeder Spreads'!AD98:AD117,'Feeder Spreads'!AD99:AD118)+SUMSQ('Feeder Spreads'!AD99:AD118)-('Feeder Spreads'!AD98-'Feeder Spreads'!AD118)^2/20)/19),"")</f>
        <v>0</v>
      </c>
      <c r="EN98">
        <f>IFERROR('Feeder Spreads'!AJ98,"")</f>
        <v>0</v>
      </c>
      <c r="EO98">
        <f>IFERROR(('Feeder Spreads'!AK98-AVERAGE('Feeder Spreads'!$AK$3:$AK$4308))/STDEV('Feeder Spreads'!$AK$3:$AK$4308),"")</f>
        <v>-9.2057461789832346E-2</v>
      </c>
      <c r="EP98">
        <f>IFERROR('Feeder Spreads'!AK98-'Feeder Spreads'!AK103,"")</f>
        <v>0</v>
      </c>
      <c r="EQ98">
        <f>IFERROR('Feeder Spreads'!AK98-'Feeder Spreads'!AK108,"")</f>
        <v>0</v>
      </c>
      <c r="ER98">
        <f>IFERROR(AVERAGE('Feeder Spreads'!AK98:AK117)+2*STDEV('Feeder Spreads'!AK98:AK117),"")</f>
        <v>0</v>
      </c>
      <c r="ES98">
        <f>IFERROR(AVERAGE('Feeder Spreads'!AK98:AK117)-2*STDEV('Feeder Spreads'!AK98:AK117),"")</f>
        <v>0</v>
      </c>
      <c r="ET98" t="str">
        <f>IFERROR(('Feeder Spreads'!AK98-(AVERAGE('Feeder Spreads'!AK98:AK117)-2*STDEV('Feeder Spreads'!AK98:AK117)))/(4*STDEV('Feeder Spreads'!AK98:AK117)),"")</f>
        <v/>
      </c>
      <c r="EU98" t="str">
        <f>IFERROR(4*STDEV('Feeder Spreads'!AK98:AK117)/AVERAGE('Feeder Spreads'!AK98:AK117),"")</f>
        <v/>
      </c>
      <c r="EV98">
        <v>54.716900000000003</v>
      </c>
      <c r="EW98">
        <f>IFERROR(SQRT((SUMSQ('Feeder Spreads'!AK98:AK117)-2*SUMPRODUCT('Feeder Spreads'!AK98:AK117,'Feeder Spreads'!AK99:AK118)+SUMSQ('Feeder Spreads'!AK99:AK118)-('Feeder Spreads'!AK98-'Feeder Spreads'!AK118)^2/20)/19),"")</f>
        <v>0</v>
      </c>
      <c r="EY98">
        <f>IFERROR('Feeder Spreads'!AQ98,"")</f>
        <v>0</v>
      </c>
      <c r="EZ98">
        <f>IFERROR(('Feeder Spreads'!AR98-AVERAGE('Feeder Spreads'!$AR$3:$AR$4308))/STDEV('Feeder Spreads'!$AR$3:$AR$4308),"")</f>
        <v>-9.2057461789832332E-2</v>
      </c>
      <c r="FA98">
        <f>IFERROR('Feeder Spreads'!AR98-'Feeder Spreads'!AR103,"")</f>
        <v>0</v>
      </c>
      <c r="FB98">
        <f>IFERROR('Feeder Spreads'!AR98-'Feeder Spreads'!AR108,"")</f>
        <v>0</v>
      </c>
      <c r="FC98">
        <f>IFERROR(AVERAGE('Feeder Spreads'!AR98:AR117)+2*STDEV('Feeder Spreads'!AR98:AR117),"")</f>
        <v>0</v>
      </c>
      <c r="FD98">
        <f>IFERROR(AVERAGE('Feeder Spreads'!AR98:AR117)-2*STDEV('Feeder Spreads'!AR98:AR117),"")</f>
        <v>0</v>
      </c>
      <c r="FE98" t="str">
        <f>IFERROR(('Feeder Spreads'!AR98-(AVERAGE('Feeder Spreads'!AR98:AR117)-2*STDEV('Feeder Spreads'!AR98:AR117)))/(4*STDEV('Feeder Spreads'!AR98:AR117)),"")</f>
        <v/>
      </c>
      <c r="FF98" t="str">
        <f>IFERROR(4*STDEV('Feeder Spreads'!AR98:AR117)/AVERAGE('Feeder Spreads'!AR98:AR117),"")</f>
        <v/>
      </c>
      <c r="FG98">
        <v>61.085900000000002</v>
      </c>
      <c r="FH98">
        <f>IFERROR(SQRT((SUMSQ('Feeder Spreads'!AR98:AR117)-2*SUMPRODUCT('Feeder Spreads'!AR98:AR117,'Feeder Spreads'!AR99:AR118)+SUMSQ('Feeder Spreads'!AR99:AR118)-('Feeder Spreads'!AR98-'Feeder Spreads'!AR118)^2/20)/19),"")</f>
        <v>0</v>
      </c>
      <c r="FJ98">
        <f>IFERROR('Fat Spreads'!AX98,"")</f>
        <v>0</v>
      </c>
      <c r="FK98">
        <f>IFERROR(('Fat Spreads'!AY98-AVERAGE('Fat Spreads'!$AY$3:$AY$4308))/STDEV('Fat Spreads'!$AY$3:$AY$4308),"")</f>
        <v>9.2057461789832332E-2</v>
      </c>
      <c r="FL98">
        <f>IFERROR('Fat Spreads'!AY98-'Fat Spreads'!AY103,"")</f>
        <v>0</v>
      </c>
      <c r="FM98">
        <f>IFERROR('Fat Spreads'!AY98-'Fat Spreads'!AY108,"")</f>
        <v>0</v>
      </c>
      <c r="FN98">
        <f>IFERROR(AVERAGE('Fat Spreads'!AY98:AY117)+2*STDEV('Fat Spreads'!AY98:AY117),"")</f>
        <v>0</v>
      </c>
      <c r="FO98">
        <f>IFERROR(AVERAGE('Fat Spreads'!AY98:AY117)-2*STDEV('Fat Spreads'!AY98:AY117),"")</f>
        <v>0</v>
      </c>
      <c r="FP98" t="str">
        <f>IFERROR(('Fat Spreads'!AY98-(AVERAGE('Fat Spreads'!AY98:AY117)-2*STDEV('Fat Spreads'!AY98:AY117)))/(4*STDEV('Fat Spreads'!AY98:AY117)),"")</f>
        <v/>
      </c>
      <c r="FQ98" t="str">
        <f>IFERROR(4*STDEV('Fat Spreads'!AY98:AY117)/AVERAGE('Fat Spreads'!AY98:AY117),"")</f>
        <v/>
      </c>
      <c r="FR98">
        <v>60.151600000000002</v>
      </c>
      <c r="FS98">
        <f>IFERROR(SQRT((SUMSQ('Fat Spreads'!AY98:AY117)-2*SUMPRODUCT('Fat Spreads'!AY98:AY117,'Fat Spreads'!AY99:AY118)+SUMSQ('Fat Spreads'!AY99:AY118)-('Fat Spreads'!AY98-'Fat Spreads'!AY118)^2/20)/19),"")</f>
        <v>0</v>
      </c>
      <c r="FU98">
        <f>IFERROR('Fat Spreads'!BE98,"")</f>
        <v>0</v>
      </c>
      <c r="FV98">
        <f>IFERROR(('Fat Spreads'!BF98-AVERAGE('Fat Spreads'!$BF$3:$BF$4308))/STDEV('Fat Spreads'!$BF$3:$BF$4308),"")</f>
        <v>9.2057461789832332E-2</v>
      </c>
      <c r="FW98">
        <f>IFERROR('Fat Spreads'!BF98-'Fat Spreads'!BF103,"")</f>
        <v>0</v>
      </c>
      <c r="FX98">
        <f>IFERROR('Fat Spreads'!BF98-'Fat Spreads'!BF108,"")</f>
        <v>0</v>
      </c>
      <c r="FY98">
        <f>IFERROR(AVERAGE('Fat Spreads'!BF98:BF117)+2*STDEV('Fat Spreads'!BF98:BF117),"")</f>
        <v>0</v>
      </c>
      <c r="FZ98">
        <f>IFERROR(AVERAGE('Fat Spreads'!BF98:BF117)-2*STDEV('Fat Spreads'!BF98:BF117),"")</f>
        <v>0</v>
      </c>
      <c r="GA98" t="str">
        <f>IFERROR(('Fat Spreads'!BF98-(AVERAGE('Fat Spreads'!BF98:BF117)-2*STDEV('Fat Spreads'!BF98:BF117)))/(4*STDEV('Fat Spreads'!BF98:BF117)),"")</f>
        <v/>
      </c>
      <c r="GB98" t="str">
        <f>IFERROR(4*STDEV('Fat Spreads'!BF98:BF117)/AVERAGE('Fat Spreads'!BF98:BF117),"")</f>
        <v/>
      </c>
      <c r="GC98">
        <v>57.556399999999996</v>
      </c>
      <c r="GD98">
        <f>IFERROR(SQRT((SUMSQ('Fat Spreads'!BF98:BF117)-2*SUMPRODUCT('Fat Spreads'!BF98:BF117,'Fat Spreads'!BF99:BF118)+SUMSQ('Fat Spreads'!BF99:BF118)-('Fat Spreads'!BF98-'Fat Spreads'!BF118)^2/20)/19),"")</f>
        <v>0</v>
      </c>
    </row>
    <row r="99" spans="1:186" x14ac:dyDescent="0.25">
      <c r="A99">
        <f>IFERROR('Fat Spreads'!A99,"")</f>
        <v>0</v>
      </c>
      <c r="B99">
        <f>IFERROR(('Fat Spreads'!B99-AVERAGE('Fat Spreads'!$B$3:$B$4308))/STDEV('Fat Spreads'!$B$3:$B$4308),"")</f>
        <v>9.2057461789832346E-2</v>
      </c>
      <c r="C99">
        <f>IFERROR('Fat Spreads'!B99-'Fat Spreads'!B104,"")</f>
        <v>0</v>
      </c>
      <c r="D99">
        <f>IFERROR('Fat Spreads'!B99-'Fat Spreads'!B109,"")</f>
        <v>0</v>
      </c>
      <c r="E99">
        <f>IFERROR(AVERAGE('Fat Spreads'!B99:B118)+2*STDEV('Fat Spreads'!B99:B118),"")</f>
        <v>0</v>
      </c>
      <c r="F99">
        <f>IFERROR(AVERAGE('Fat Spreads'!B99:B118)-2*STDEV('Fat Spreads'!B99:B118),"")</f>
        <v>0</v>
      </c>
      <c r="G99" t="str">
        <f>IFERROR(('Fat Spreads'!B99-(AVERAGE('Fat Spreads'!B99:B118)-2*STDEV('Fat Spreads'!B99:B118)))/(4*STDEV('Fat Spreads'!B99:B118)),"")</f>
        <v/>
      </c>
      <c r="H99" t="str">
        <f>IFERROR(4*STDEV('Fat Spreads'!B99:B118)/AVERAGE('Fat Spreads'!B99:B118),"")</f>
        <v/>
      </c>
      <c r="I99">
        <v>57.509</v>
      </c>
      <c r="J99">
        <f>IFERROR(SQRT((SUMSQ('Fat Spreads'!B99:B118)-2*SUMPRODUCT('Fat Spreads'!B99:B118,'Fat Spreads'!B100:B119)+SUMSQ('Fat Spreads'!B100:B119)-('Fat Spreads'!B99-'Fat Spreads'!B119)^2/20)/19),"")</f>
        <v>0</v>
      </c>
      <c r="L99">
        <f>IFERROR('Fat Spreads'!H99,"")</f>
        <v>0</v>
      </c>
      <c r="M99">
        <f>IFERROR(('Fat Spreads'!I99-AVERAGE('Fat Spreads'!$I$3:$I$4308))/STDEV('Fat Spreads'!$I$3:$I$4308),"")</f>
        <v>-9.2057461789832332E-2</v>
      </c>
      <c r="N99">
        <f>IFERROR('Fat Spreads'!I99-'Fat Spreads'!I104,"")</f>
        <v>0</v>
      </c>
      <c r="O99">
        <f>IFERROR('Fat Spreads'!I99-'Fat Spreads'!I109,"")</f>
        <v>0</v>
      </c>
      <c r="P99">
        <f>IFERROR(AVERAGE('Fat Spreads'!I99:I118)+2*STDEV('Fat Spreads'!I99:I118),"")</f>
        <v>0</v>
      </c>
      <c r="Q99">
        <f>IFERROR(AVERAGE('Fat Spreads'!I99:I118)-2*STDEV('Fat Spreads'!I99:I118),"")</f>
        <v>0</v>
      </c>
      <c r="R99" t="str">
        <f>IFERROR(('Fat Spreads'!I99-(AVERAGE('Fat Spreads'!I99:I118)-2*STDEV('Fat Spreads'!I99:I118)))/(4*STDEV('Fat Spreads'!I99:I118)),"")</f>
        <v/>
      </c>
      <c r="S99" t="str">
        <f>IFERROR(4*STDEV('Fat Spreads'!I99:I118)/AVERAGE('Fat Spreads'!I99:I118),"")</f>
        <v/>
      </c>
      <c r="T99">
        <v>59.654899999999998</v>
      </c>
      <c r="U99">
        <f>IFERROR(SQRT((SUMSQ('Fat Spreads'!I99:I118)-2*SUMPRODUCT('Fat Spreads'!I99:I118,'Fat Spreads'!I100:I119)+SUMSQ('Fat Spreads'!I100:I119)-('Fat Spreads'!I99-'Fat Spreads'!I119)^2/20)/19),"")</f>
        <v>0</v>
      </c>
      <c r="W99">
        <f>IFERROR('Fat Spreads'!AQ99,"")</f>
        <v>0</v>
      </c>
      <c r="X99">
        <f>IFERROR(('Fat Spreads'!AR99-AVERAGE('Fat Spreads'!$AR$3:$AR$4308))/STDEV('Fat Spreads'!$AR$3:$AR$4308),"")</f>
        <v>-9.2057461789832346E-2</v>
      </c>
      <c r="Y99">
        <f>IFERROR('Fat Spreads'!AR99-'Fat Spreads'!AR104,"")</f>
        <v>0</v>
      </c>
      <c r="Z99">
        <f>IFERROR('Fat Spreads'!AR99-'Fat Spreads'!AR109,"")</f>
        <v>0</v>
      </c>
      <c r="AA99">
        <f>IFERROR(AVERAGE('Fat Spreads'!AR99:AR118)+2*STDEV('Fat Spreads'!AR99:AR118),"")</f>
        <v>0</v>
      </c>
      <c r="AB99">
        <f>IFERROR(AVERAGE('Fat Spreads'!AR99:AR118)-2*STDEV('Fat Spreads'!AR99:AR118),"")</f>
        <v>0</v>
      </c>
      <c r="AC99" t="str">
        <f>IFERROR(('Fat Spreads'!AR99-(AVERAGE('Fat Spreads'!AR99:AR118)-2*STDEV('Fat Spreads'!AR99:AR118)))/(4*STDEV('Fat Spreads'!AR99:AR118)),"")</f>
        <v/>
      </c>
      <c r="AD99" t="str">
        <f>IFERROR(4*STDEV('Fat Spreads'!AR99:AR118)/AVERAGE('Fat Spreads'!AR99:AR118),"")</f>
        <v/>
      </c>
      <c r="AE99">
        <v>40.5289</v>
      </c>
      <c r="AF99">
        <f>IFERROR(SQRT((SUMSQ('Fat Spreads'!AR99:AR118)-2*SUMPRODUCT('Fat Spreads'!AR99:AR118,'Fat Spreads'!AR100:AR119)+SUMSQ('Fat Spreads'!AR100:AR119)-('Fat Spreads'!AR99-'Fat Spreads'!AR119)^2/20)/19),"")</f>
        <v>0</v>
      </c>
      <c r="AH99">
        <f>IFERROR('Fat Spreads'!O99,"")</f>
        <v>0</v>
      </c>
      <c r="AI99">
        <f>IFERROR(('Fat Spreads'!P99-AVERAGE('Fat Spreads'!$P$3:$P$4308))/STDEV('Fat Spreads'!$P$3:$P$4308),"")</f>
        <v>-9.2057461789832332E-2</v>
      </c>
      <c r="AJ99">
        <f>IFERROR('Fat Spreads'!P99-'Fat Spreads'!P104,"")</f>
        <v>0</v>
      </c>
      <c r="AK99">
        <f>IFERROR('Fat Spreads'!P99-'Fat Spreads'!P109,"")</f>
        <v>0</v>
      </c>
      <c r="AL99">
        <f>IFERROR(AVERAGE('Fat Spreads'!P99:P118)+2*STDEV('Fat Spreads'!P99:P118),"")</f>
        <v>0</v>
      </c>
      <c r="AM99">
        <f>IFERROR(AVERAGE('Fat Spreads'!P99:P118)-2*STDEV('Fat Spreads'!P99:P118),"")</f>
        <v>0</v>
      </c>
      <c r="AN99" t="str">
        <f>IFERROR(('Fat Spreads'!P99-(AVERAGE('Fat Spreads'!P99:P118)-2*STDEV('Fat Spreads'!P99:P118)))/(4*STDEV('Fat Spreads'!P99:P118)),"")</f>
        <v/>
      </c>
      <c r="AO99" t="str">
        <f>IFERROR(4*STDEV('Fat Spreads'!P99:P118)/AVERAGE('Fat Spreads'!P99:P118),"")</f>
        <v/>
      </c>
      <c r="AP99">
        <v>60.1325</v>
      </c>
      <c r="AQ99">
        <f>IFERROR(SQRT((SUMSQ('Fat Spreads'!P99:P118)-2*SUMPRODUCT('Fat Spreads'!P99:P118,'Fat Spreads'!P100:P119)+SUMSQ('Fat Spreads'!P100:P119)-('Fat Spreads'!P99-'Fat Spreads'!P119)^2/20)/19),"")</f>
        <v>0</v>
      </c>
      <c r="AS99">
        <f>IFERROR('Fat Spreads'!AJ99,"")</f>
        <v>0</v>
      </c>
      <c r="AT99">
        <f>IFERROR(('Fat Spreads'!AK99-AVERAGE('Fat Spreads'!$AK$3:$AK$4308))/STDEV('Fat Spreads'!$AK$3:$AK$4308),"")</f>
        <v>-9.2057461789832332E-2</v>
      </c>
      <c r="AU99">
        <f>IFERROR('Fat Spreads'!AK99-'Fat Spreads'!AK104,"")</f>
        <v>0</v>
      </c>
      <c r="AV99">
        <f>IFERROR('Fat Spreads'!AK99-'Fat Spreads'!AK109,"")</f>
        <v>0</v>
      </c>
      <c r="AW99">
        <f>IFERROR(AVERAGE('Fat Spreads'!AK99:AK118)+2*STDEV('Fat Spreads'!AK99:AK118),"")</f>
        <v>0</v>
      </c>
      <c r="AX99">
        <f>IFERROR(AVERAGE('Fat Spreads'!AK99:AK118)-2*STDEV('Fat Spreads'!AK99:AK118),"")</f>
        <v>0</v>
      </c>
      <c r="AY99" t="str">
        <f>IFERROR(('Fat Spreads'!AK99-(AVERAGE('Fat Spreads'!AK99:AK118)-2*STDEV('Fat Spreads'!AK99:AK118)))/(4*STDEV('Fat Spreads'!AK99:AK118)),"")</f>
        <v/>
      </c>
      <c r="AZ99" t="str">
        <f>IFERROR(4*STDEV('Fat Spreads'!AK99:AK118)/AVERAGE('Fat Spreads'!AK99:AK118),"")</f>
        <v/>
      </c>
      <c r="BA99">
        <v>63.302199999999999</v>
      </c>
      <c r="BB99">
        <f>IFERROR(SQRT((SUMSQ('Fat Spreads'!AK99:AK118)-2*SUMPRODUCT('Fat Spreads'!AK99:AK118,'Fat Spreads'!AK100:AK119)+SUMSQ('Fat Spreads'!AK100:AK119)-('Fat Spreads'!AK99-'Fat Spreads'!AK119)^2/20)/19),"")</f>
        <v>0</v>
      </c>
      <c r="BD99">
        <f>IFERROR('Fat Spreads'!V99,"")</f>
        <v>0</v>
      </c>
      <c r="BE99">
        <f>IFERROR(('Fat Spreads'!W99-AVERAGE('Fat Spreads'!$W$3:$W$4308))/STDEV('Fat Spreads'!$W$3:$W$4308),"")</f>
        <v>-9.2057461789832332E-2</v>
      </c>
      <c r="BF99">
        <f>IFERROR('Fat Spreads'!W99-'Fat Spreads'!W104,"")</f>
        <v>0</v>
      </c>
      <c r="BG99">
        <f>IFERROR('Fat Spreads'!W99-'Fat Spreads'!W109,"")</f>
        <v>0</v>
      </c>
      <c r="BH99">
        <f>IFERROR(AVERAGE('Fat Spreads'!W99:W118)+2*STDEV('Fat Spreads'!W99:W118),"")</f>
        <v>0</v>
      </c>
      <c r="BI99">
        <f>IFERROR(AVERAGE('Fat Spreads'!W99:W118)-2*STDEV('Fat Spreads'!W99:W118),"")</f>
        <v>0</v>
      </c>
      <c r="BJ99" t="str">
        <f>IFERROR(('Fat Spreads'!W99-(AVERAGE('Fat Spreads'!W99:W118)-2*STDEV('Fat Spreads'!W99:W118)))/(4*STDEV('Fat Spreads'!W99:W118)),"")</f>
        <v/>
      </c>
      <c r="BK99" t="str">
        <f>IFERROR(4*STDEV('Fat Spreads'!W99:W118)/AVERAGE('Fat Spreads'!W99:W118),"")</f>
        <v/>
      </c>
      <c r="BL99">
        <v>38.3797</v>
      </c>
      <c r="BM99">
        <f>IFERROR(SQRT((SUMSQ('Fat Spreads'!W99:W118)-2*SUMPRODUCT('Fat Spreads'!W99:W118,'Fat Spreads'!W100:W119)+SUMSQ('Fat Spreads'!W100:W119)-('Fat Spreads'!W99-'Fat Spreads'!W119)^2/20)/19),"")</f>
        <v>0</v>
      </c>
      <c r="BO99">
        <f>IFERROR('Fat Spreads'!AC99,"")</f>
        <v>0</v>
      </c>
      <c r="BP99">
        <f>IFERROR(('Fat Spreads'!AD99-AVERAGE('Fat Spreads'!$AD$3:$AD$4308))/STDEV('Fat Spreads'!$AD$3:$AD$4308),"")</f>
        <v>-9.2057461789832332E-2</v>
      </c>
      <c r="BQ99">
        <f>IFERROR('Fat Spreads'!AD99-'Fat Spreads'!AD104,"")</f>
        <v>0</v>
      </c>
      <c r="BR99">
        <f>IFERROR('Fat Spreads'!AD99-'Fat Spreads'!AD109,"")</f>
        <v>0</v>
      </c>
      <c r="BS99">
        <f>IFERROR(AVERAGE('Fat Spreads'!AD99:AD118)+2*STDEV('Fat Spreads'!AD99:AD118),"")</f>
        <v>0</v>
      </c>
      <c r="BT99">
        <f>IFERROR(AVERAGE('Fat Spreads'!AD99:AD118)-2*STDEV('Fat Spreads'!AD99:AD118),"")</f>
        <v>0</v>
      </c>
      <c r="BU99" t="str">
        <f>IFERROR(('Fat Spreads'!AD99-(AVERAGE('Fat Spreads'!AD99:AD118)-2*STDEV('Fat Spreads'!AD99:AD118)))/(4*STDEV('Fat Spreads'!AD99:AD118)),"")</f>
        <v/>
      </c>
      <c r="BV99" t="str">
        <f>IFERROR(4*STDEV('Fat Spreads'!AD99:AD118)/AVERAGE('Fat Spreads'!AD99:AD118),"")</f>
        <v/>
      </c>
      <c r="BW99">
        <v>54.823900000000002</v>
      </c>
      <c r="BX99">
        <f>IFERROR(SQRT((SUMSQ('Fat Spreads'!AD99:AD118)-2*SUMPRODUCT('Fat Spreads'!AD99:AD118,'Fat Spreads'!AD100:AD119)+SUMSQ('Fat Spreads'!AD100:AD119)-('Fat Spreads'!AD99-'Fat Spreads'!AD119)^2/20)/19),"")</f>
        <v>0</v>
      </c>
      <c r="BZ99">
        <f>IFERROR('Feeder Spreads'!A99,"")</f>
        <v>0</v>
      </c>
      <c r="CA99">
        <f>IFERROR(('Feeder Spreads'!B99-AVERAGE('Feeder Spreads'!$B$3:$B$4308))/STDEV('Feeder Spreads'!$B$3:$B$4308),"")</f>
        <v>-9.2057461789832346E-2</v>
      </c>
      <c r="CB99">
        <f>IFERROR('Feeder Spreads'!B99-'Feeder Spreads'!B104,"")</f>
        <v>0</v>
      </c>
      <c r="CC99">
        <f>IFERROR('Feeder Spreads'!B99-'Feeder Spreads'!B109,"")</f>
        <v>0</v>
      </c>
      <c r="CD99">
        <f>IFERROR(AVERAGE('Feeder Spreads'!B99:B118)+2*STDEV('Feeder Spreads'!B99:B118),"")</f>
        <v>0</v>
      </c>
      <c r="CE99">
        <f>IFERROR(AVERAGE('Feeder Spreads'!B99:B118)-2*STDEV('Feeder Spreads'!B99:B118),"")</f>
        <v>0</v>
      </c>
      <c r="CF99" t="str">
        <f>IFERROR(('Feeder Spreads'!B99-(AVERAGE('Feeder Spreads'!B99:B118)-2*STDEV('Feeder Spreads'!B99:B118)))/(4*STDEV('Feeder Spreads'!B99:B118)),"")</f>
        <v/>
      </c>
      <c r="CG99" t="str">
        <f>IFERROR(4*STDEV('Feeder Spreads'!B99:B118)/AVERAGE('Feeder Spreads'!B99:B118),"")</f>
        <v/>
      </c>
      <c r="CH99">
        <v>49.662399999999998</v>
      </c>
      <c r="CI99">
        <f>IFERROR(SQRT((SUMSQ('Feeder Spreads'!B99:B118)-2*SUMPRODUCT('Feeder Spreads'!B99:B118,'Feeder Spreads'!B100:B119)+SUMSQ('Feeder Spreads'!B100:B119)-('Feeder Spreads'!B99-'Feeder Spreads'!B119)^2/20)/19),"")</f>
        <v>0</v>
      </c>
      <c r="CK99">
        <f>IFERROR('Feeder Spreads'!AX99,"")</f>
        <v>0</v>
      </c>
      <c r="CL99">
        <f>IFERROR(('Feeder Spreads'!AY99-AVERAGE('Feeder Spreads'!$AY$3:$AY$4308))/STDEV('Feeder Spreads'!$AY$3:$AY$4308),"")</f>
        <v>-9.2057461789832346E-2</v>
      </c>
      <c r="CM99">
        <f>IFERROR('Feeder Spreads'!AY99-'Feeder Spreads'!AY104,"")</f>
        <v>0</v>
      </c>
      <c r="CN99">
        <f>IFERROR('Feeder Spreads'!AY99-'Feeder Spreads'!AY109,"")</f>
        <v>0</v>
      </c>
      <c r="CO99">
        <f>IFERROR(AVERAGE('Feeder Spreads'!AY99:AY118)+2*STDEV('Feeder Spreads'!AY99:AY118),"")</f>
        <v>0</v>
      </c>
      <c r="CP99">
        <f>IFERROR(AVERAGE('Feeder Spreads'!AY99:AY118)-2*STDEV('Feeder Spreads'!AY99:AY118),"")</f>
        <v>0</v>
      </c>
      <c r="CQ99" t="str">
        <f>IFERROR(('Feeder Spreads'!AY99-(AVERAGE('Feeder Spreads'!AY99:AY118)-2*STDEV('Feeder Spreads'!AY99:AY118)))/(4*STDEV('Feeder Spreads'!AY99:AY118)),"")</f>
        <v/>
      </c>
      <c r="CR99" t="str">
        <f>IFERROR(4*STDEV('Feeder Spreads'!AY99:AY118)/AVERAGE('Feeder Spreads'!AY99:AY118),"")</f>
        <v/>
      </c>
      <c r="CS99">
        <v>34.124299999999998</v>
      </c>
      <c r="CT99">
        <f>IFERROR(SQRT((SUMSQ('Feeder Spreads'!AY99:AY118)-2*SUMPRODUCT('Feeder Spreads'!AY99:AY118,'Feeder Spreads'!AY100:AY119)+SUMSQ('Feeder Spreads'!AY100:AY119)-('Feeder Spreads'!AY99-'Feeder Spreads'!AY119)^2/20)/19),"")</f>
        <v>0</v>
      </c>
      <c r="CV99">
        <f>IFERROR('Feeder Spreads'!H99,"")</f>
        <v>0</v>
      </c>
      <c r="CW99">
        <f>IFERROR(('Feeder Spreads'!I99-AVERAGE('Feeder Spreads'!$I$3:$I$4308))/STDEV('Feeder Spreads'!$I$3:$I$4308),"")</f>
        <v>-9.2057461789832332E-2</v>
      </c>
      <c r="CX99">
        <f>IFERROR('Feeder Spreads'!I99-'Feeder Spreads'!I104,"")</f>
        <v>0</v>
      </c>
      <c r="CY99">
        <f>IFERROR('Feeder Spreads'!I99-'Feeder Spreads'!I109,"")</f>
        <v>0</v>
      </c>
      <c r="CZ99">
        <f>IFERROR(AVERAGE('Feeder Spreads'!I99:I118)+2*STDEV('Feeder Spreads'!I99:I118),"")</f>
        <v>0</v>
      </c>
      <c r="DA99">
        <f>IFERROR(AVERAGE('Feeder Spreads'!I99:I118)-2*STDEV('Feeder Spreads'!I99:I118),"")</f>
        <v>0</v>
      </c>
      <c r="DB99" t="str">
        <f>IFERROR(('Feeder Spreads'!I99-(AVERAGE('Feeder Spreads'!I99:I118)-2*STDEV('Feeder Spreads'!I99:I118)))/(4*STDEV('Feeder Spreads'!I99:I118)),"")</f>
        <v/>
      </c>
      <c r="DC99" t="str">
        <f>IFERROR(4*STDEV('Feeder Spreads'!I99:I118)/AVERAGE('Feeder Spreads'!I99:I118),"")</f>
        <v/>
      </c>
      <c r="DD99">
        <v>50.506399999999999</v>
      </c>
      <c r="DE99">
        <f>IFERROR(SQRT((SUMSQ('Feeder Spreads'!I99:I118)-2*SUMPRODUCT('Feeder Spreads'!I99:I118,'Feeder Spreads'!I100:I119)+SUMSQ('Feeder Spreads'!I100:I119)-('Feeder Spreads'!I99-'Feeder Spreads'!I119)^2/20)/19),"")</f>
        <v>0</v>
      </c>
      <c r="DG99">
        <f>IFERROR('Feeder Spreads'!O99,"")</f>
        <v>0</v>
      </c>
      <c r="DH99">
        <f>IFERROR(('Feeder Spreads'!P99-AVERAGE('Feeder Spreads'!$P$3:$P$4308))/STDEV('Feeder Spreads'!$P$3:$P$4308),"")</f>
        <v>-9.2057461789832346E-2</v>
      </c>
      <c r="DI99">
        <f>IFERROR('Feeder Spreads'!P99-'Feeder Spreads'!P104,"")</f>
        <v>0</v>
      </c>
      <c r="DJ99">
        <f>IFERROR('Feeder Spreads'!P99-'Feeder Spreads'!P109,"")</f>
        <v>0</v>
      </c>
      <c r="DK99">
        <f>IFERROR(AVERAGE('Feeder Spreads'!P99:P118)+2*STDEV('Feeder Spreads'!P99:P118),"")</f>
        <v>0</v>
      </c>
      <c r="DL99">
        <f>IFERROR(AVERAGE('Feeder Spreads'!P99:P118)-2*STDEV('Feeder Spreads'!P99:P118),"")</f>
        <v>0</v>
      </c>
      <c r="DM99" t="str">
        <f>IFERROR(('Feeder Spreads'!P99-(AVERAGE('Feeder Spreads'!P99:P118)-2*STDEV('Feeder Spreads'!P99:P118)))/(4*STDEV('Feeder Spreads'!P99:P118)),"")</f>
        <v/>
      </c>
      <c r="DN99" t="str">
        <f>IFERROR(4*STDEV('Feeder Spreads'!P99:P118)/AVERAGE('Feeder Spreads'!P99:P118),"")</f>
        <v/>
      </c>
      <c r="DO99">
        <v>63.743200000000002</v>
      </c>
      <c r="DP99">
        <f>IFERROR(SQRT((SUMSQ('Feeder Spreads'!P99:P118)-2*SUMPRODUCT('Feeder Spreads'!P99:P118,'Feeder Spreads'!P100:P119)+SUMSQ('Feeder Spreads'!P100:P119)-('Feeder Spreads'!P99-'Feeder Spreads'!P119)^2/20)/19),"")</f>
        <v>0</v>
      </c>
      <c r="DR99">
        <f>IFERROR('Feeder Spreads'!V99,"")</f>
        <v>0</v>
      </c>
      <c r="DS99">
        <f>IFERROR(('Feeder Spreads'!W99-AVERAGE('Feeder Spreads'!$W$3:$W$4308))/STDEV('Feeder Spreads'!$W$3:$W$4308),"")</f>
        <v>-9.2057461789832332E-2</v>
      </c>
      <c r="DT99">
        <f>IFERROR('Feeder Spreads'!W99-'Feeder Spreads'!W104,"")</f>
        <v>0</v>
      </c>
      <c r="DU99">
        <f>IFERROR('Feeder Spreads'!W99-'Feeder Spreads'!W109,"")</f>
        <v>0</v>
      </c>
      <c r="DV99">
        <f>IFERROR(AVERAGE('Feeder Spreads'!W99:W118)+2*STDEV('Feeder Spreads'!W99:W118),"")</f>
        <v>0</v>
      </c>
      <c r="DW99">
        <f>IFERROR(AVERAGE('Feeder Spreads'!W99:W118)-2*STDEV('Feeder Spreads'!W99:W118),"")</f>
        <v>0</v>
      </c>
      <c r="DX99" t="str">
        <f>IFERROR(('Feeder Spreads'!W99-(AVERAGE('Feeder Spreads'!W99:W118)-2*STDEV('Feeder Spreads'!W99:W118)))/(4*STDEV('Feeder Spreads'!W99:W118)),"")</f>
        <v/>
      </c>
      <c r="DY99" t="str">
        <f>IFERROR(4*STDEV('Feeder Spreads'!W99:W118)/AVERAGE('Feeder Spreads'!W99:W118),"")</f>
        <v/>
      </c>
      <c r="DZ99">
        <v>42.461300000000001</v>
      </c>
      <c r="EA99">
        <f>IFERROR(SQRT((SUMSQ('Feeder Spreads'!W99:W118)-2*SUMPRODUCT('Feeder Spreads'!W99:W118,'Feeder Spreads'!W100:W119)+SUMSQ('Feeder Spreads'!W100:W119)-('Feeder Spreads'!W99-'Feeder Spreads'!W119)^2/20)/19),"")</f>
        <v>0</v>
      </c>
      <c r="EC99">
        <f>IFERROR('Feeder Spreads'!AC99,"")</f>
        <v>0</v>
      </c>
      <c r="ED99">
        <f>IFERROR(('Feeder Spreads'!AD99-AVERAGE('Feeder Spreads'!$AD$3:$AD$4308))/STDEV('Feeder Spreads'!$AD$3:$AD$4308),"")</f>
        <v>9.2057461789832318E-2</v>
      </c>
      <c r="EE99">
        <f>IFERROR('Feeder Spreads'!AD99-'Feeder Spreads'!AD104,"")</f>
        <v>0</v>
      </c>
      <c r="EF99">
        <f>IFERROR('Feeder Spreads'!AD99-'Feeder Spreads'!AD109,"")</f>
        <v>0</v>
      </c>
      <c r="EG99">
        <f>IFERROR(AVERAGE('Feeder Spreads'!AD99:AD118)+2*STDEV('Feeder Spreads'!AD99:AD118),"")</f>
        <v>0</v>
      </c>
      <c r="EH99">
        <f>IFERROR(AVERAGE('Feeder Spreads'!AD99:AD118)-2*STDEV('Feeder Spreads'!AD99:AD118),"")</f>
        <v>0</v>
      </c>
      <c r="EI99" t="str">
        <f>IFERROR(('Feeder Spreads'!AD99-(AVERAGE('Feeder Spreads'!AD99:AD118)-2*STDEV('Feeder Spreads'!AD99:AD118)))/(4*STDEV('Feeder Spreads'!AD99:AD118)),"")</f>
        <v/>
      </c>
      <c r="EJ99" t="str">
        <f>IFERROR(4*STDEV('Feeder Spreads'!AD99:AD118)/AVERAGE('Feeder Spreads'!AD99:AD118),"")</f>
        <v/>
      </c>
      <c r="EK99">
        <v>50.066099999999999</v>
      </c>
      <c r="EL99">
        <f>IFERROR(SQRT((SUMSQ('Feeder Spreads'!AD99:AD118)-2*SUMPRODUCT('Feeder Spreads'!AD99:AD118,'Feeder Spreads'!AD100:AD119)+SUMSQ('Feeder Spreads'!AD100:AD119)-('Feeder Spreads'!AD99-'Feeder Spreads'!AD119)^2/20)/19),"")</f>
        <v>0</v>
      </c>
      <c r="EN99">
        <f>IFERROR('Feeder Spreads'!AJ99,"")</f>
        <v>0</v>
      </c>
      <c r="EO99">
        <f>IFERROR(('Feeder Spreads'!AK99-AVERAGE('Feeder Spreads'!$AK$3:$AK$4308))/STDEV('Feeder Spreads'!$AK$3:$AK$4308),"")</f>
        <v>-9.2057461789832346E-2</v>
      </c>
      <c r="EP99">
        <f>IFERROR('Feeder Spreads'!AK99-'Feeder Spreads'!AK104,"")</f>
        <v>0</v>
      </c>
      <c r="EQ99">
        <f>IFERROR('Feeder Spreads'!AK99-'Feeder Spreads'!AK109,"")</f>
        <v>0</v>
      </c>
      <c r="ER99">
        <f>IFERROR(AVERAGE('Feeder Spreads'!AK99:AK118)+2*STDEV('Feeder Spreads'!AK99:AK118),"")</f>
        <v>0</v>
      </c>
      <c r="ES99">
        <f>IFERROR(AVERAGE('Feeder Spreads'!AK99:AK118)-2*STDEV('Feeder Spreads'!AK99:AK118),"")</f>
        <v>0</v>
      </c>
      <c r="ET99" t="str">
        <f>IFERROR(('Feeder Spreads'!AK99-(AVERAGE('Feeder Spreads'!AK99:AK118)-2*STDEV('Feeder Spreads'!AK99:AK118)))/(4*STDEV('Feeder Spreads'!AK99:AK118)),"")</f>
        <v/>
      </c>
      <c r="EU99" t="str">
        <f>IFERROR(4*STDEV('Feeder Spreads'!AK99:AK118)/AVERAGE('Feeder Spreads'!AK99:AK118),"")</f>
        <v/>
      </c>
      <c r="EV99">
        <v>56.732199999999999</v>
      </c>
      <c r="EW99">
        <f>IFERROR(SQRT((SUMSQ('Feeder Spreads'!AK99:AK118)-2*SUMPRODUCT('Feeder Spreads'!AK99:AK118,'Feeder Spreads'!AK100:AK119)+SUMSQ('Feeder Spreads'!AK100:AK119)-('Feeder Spreads'!AK99-'Feeder Spreads'!AK119)^2/20)/19),"")</f>
        <v>0</v>
      </c>
      <c r="EY99">
        <f>IFERROR('Feeder Spreads'!AQ99,"")</f>
        <v>0</v>
      </c>
      <c r="EZ99">
        <f>IFERROR(('Feeder Spreads'!AR99-AVERAGE('Feeder Spreads'!$AR$3:$AR$4308))/STDEV('Feeder Spreads'!$AR$3:$AR$4308),"")</f>
        <v>-9.2057461789832332E-2</v>
      </c>
      <c r="FA99">
        <f>IFERROR('Feeder Spreads'!AR99-'Feeder Spreads'!AR104,"")</f>
        <v>0</v>
      </c>
      <c r="FB99">
        <f>IFERROR('Feeder Spreads'!AR99-'Feeder Spreads'!AR109,"")</f>
        <v>0</v>
      </c>
      <c r="FC99">
        <f>IFERROR(AVERAGE('Feeder Spreads'!AR99:AR118)+2*STDEV('Feeder Spreads'!AR99:AR118),"")</f>
        <v>0</v>
      </c>
      <c r="FD99">
        <f>IFERROR(AVERAGE('Feeder Spreads'!AR99:AR118)-2*STDEV('Feeder Spreads'!AR99:AR118),"")</f>
        <v>0</v>
      </c>
      <c r="FE99" t="str">
        <f>IFERROR(('Feeder Spreads'!AR99-(AVERAGE('Feeder Spreads'!AR99:AR118)-2*STDEV('Feeder Spreads'!AR99:AR118)))/(4*STDEV('Feeder Spreads'!AR99:AR118)),"")</f>
        <v/>
      </c>
      <c r="FF99" t="str">
        <f>IFERROR(4*STDEV('Feeder Spreads'!AR99:AR118)/AVERAGE('Feeder Spreads'!AR99:AR118),"")</f>
        <v/>
      </c>
      <c r="FG99">
        <v>60.253900000000002</v>
      </c>
      <c r="FH99">
        <f>IFERROR(SQRT((SUMSQ('Feeder Spreads'!AR99:AR118)-2*SUMPRODUCT('Feeder Spreads'!AR99:AR118,'Feeder Spreads'!AR100:AR119)+SUMSQ('Feeder Spreads'!AR100:AR119)-('Feeder Spreads'!AR99-'Feeder Spreads'!AR119)^2/20)/19),"")</f>
        <v>0</v>
      </c>
      <c r="FJ99">
        <f>IFERROR('Fat Spreads'!AX99,"")</f>
        <v>0</v>
      </c>
      <c r="FK99">
        <f>IFERROR(('Fat Spreads'!AY99-AVERAGE('Fat Spreads'!$AY$3:$AY$4308))/STDEV('Fat Spreads'!$AY$3:$AY$4308),"")</f>
        <v>9.2057461789832332E-2</v>
      </c>
      <c r="FL99">
        <f>IFERROR('Fat Spreads'!AY99-'Fat Spreads'!AY104,"")</f>
        <v>0</v>
      </c>
      <c r="FM99">
        <f>IFERROR('Fat Spreads'!AY99-'Fat Spreads'!AY109,"")</f>
        <v>0</v>
      </c>
      <c r="FN99">
        <f>IFERROR(AVERAGE('Fat Spreads'!AY99:AY118)+2*STDEV('Fat Spreads'!AY99:AY118),"")</f>
        <v>0</v>
      </c>
      <c r="FO99">
        <f>IFERROR(AVERAGE('Fat Spreads'!AY99:AY118)-2*STDEV('Fat Spreads'!AY99:AY118),"")</f>
        <v>0</v>
      </c>
      <c r="FP99" t="str">
        <f>IFERROR(('Fat Spreads'!AY99-(AVERAGE('Fat Spreads'!AY99:AY118)-2*STDEV('Fat Spreads'!AY99:AY118)))/(4*STDEV('Fat Spreads'!AY99:AY118)),"")</f>
        <v/>
      </c>
      <c r="FQ99" t="str">
        <f>IFERROR(4*STDEV('Fat Spreads'!AY99:AY118)/AVERAGE('Fat Spreads'!AY99:AY118),"")</f>
        <v/>
      </c>
      <c r="FR99">
        <v>61.588799999999999</v>
      </c>
      <c r="FS99">
        <f>IFERROR(SQRT((SUMSQ('Fat Spreads'!AY99:AY118)-2*SUMPRODUCT('Fat Spreads'!AY99:AY118,'Fat Spreads'!AY100:AY119)+SUMSQ('Fat Spreads'!AY100:AY119)-('Fat Spreads'!AY99-'Fat Spreads'!AY119)^2/20)/19),"")</f>
        <v>0</v>
      </c>
      <c r="FU99">
        <f>IFERROR('Fat Spreads'!BE99,"")</f>
        <v>0</v>
      </c>
      <c r="FV99">
        <f>IFERROR(('Fat Spreads'!BF99-AVERAGE('Fat Spreads'!$BF$3:$BF$4308))/STDEV('Fat Spreads'!$BF$3:$BF$4308),"")</f>
        <v>9.2057461789832332E-2</v>
      </c>
      <c r="FW99">
        <f>IFERROR('Fat Spreads'!BF99-'Fat Spreads'!BF104,"")</f>
        <v>0</v>
      </c>
      <c r="FX99">
        <f>IFERROR('Fat Spreads'!BF99-'Fat Spreads'!BF109,"")</f>
        <v>0</v>
      </c>
      <c r="FY99">
        <f>IFERROR(AVERAGE('Fat Spreads'!BF99:BF118)+2*STDEV('Fat Spreads'!BF99:BF118),"")</f>
        <v>0</v>
      </c>
      <c r="FZ99">
        <f>IFERROR(AVERAGE('Fat Spreads'!BF99:BF118)-2*STDEV('Fat Spreads'!BF99:BF118),"")</f>
        <v>0</v>
      </c>
      <c r="GA99" t="str">
        <f>IFERROR(('Fat Spreads'!BF99-(AVERAGE('Fat Spreads'!BF99:BF118)-2*STDEV('Fat Spreads'!BF99:BF118)))/(4*STDEV('Fat Spreads'!BF99:BF118)),"")</f>
        <v/>
      </c>
      <c r="GB99" t="str">
        <f>IFERROR(4*STDEV('Fat Spreads'!BF99:BF118)/AVERAGE('Fat Spreads'!BF99:BF118),"")</f>
        <v/>
      </c>
      <c r="GC99">
        <v>58.869700000000002</v>
      </c>
      <c r="GD99">
        <f>IFERROR(SQRT((SUMSQ('Fat Spreads'!BF99:BF118)-2*SUMPRODUCT('Fat Spreads'!BF99:BF118,'Fat Spreads'!BF100:BF119)+SUMSQ('Fat Spreads'!BF100:BF119)-('Fat Spreads'!BF99-'Fat Spreads'!BF119)^2/20)/19),"")</f>
        <v>0</v>
      </c>
    </row>
    <row r="100" spans="1:186" x14ac:dyDescent="0.25">
      <c r="A100">
        <f>IFERROR('Fat Spreads'!A100,"")</f>
        <v>0</v>
      </c>
      <c r="B100">
        <f>IFERROR(('Fat Spreads'!B100-AVERAGE('Fat Spreads'!$B$3:$B$4308))/STDEV('Fat Spreads'!$B$3:$B$4308),"")</f>
        <v>9.2057461789832346E-2</v>
      </c>
      <c r="C100">
        <f>IFERROR('Fat Spreads'!B100-'Fat Spreads'!B105,"")</f>
        <v>0</v>
      </c>
      <c r="D100">
        <f>IFERROR('Fat Spreads'!B100-'Fat Spreads'!B110,"")</f>
        <v>0</v>
      </c>
      <c r="E100">
        <f>IFERROR(AVERAGE('Fat Spreads'!B100:B119)+2*STDEV('Fat Spreads'!B100:B119),"")</f>
        <v>0</v>
      </c>
      <c r="F100">
        <f>IFERROR(AVERAGE('Fat Spreads'!B100:B119)-2*STDEV('Fat Spreads'!B100:B119),"")</f>
        <v>0</v>
      </c>
      <c r="G100" t="str">
        <f>IFERROR(('Fat Spreads'!B100-(AVERAGE('Fat Spreads'!B100:B119)-2*STDEV('Fat Spreads'!B100:B119)))/(4*STDEV('Fat Spreads'!B100:B119)),"")</f>
        <v/>
      </c>
      <c r="H100" t="str">
        <f>IFERROR(4*STDEV('Fat Spreads'!B100:B119)/AVERAGE('Fat Spreads'!B100:B119),"")</f>
        <v/>
      </c>
      <c r="I100">
        <v>54.585999999999999</v>
      </c>
      <c r="J100">
        <f>IFERROR(SQRT((SUMSQ('Fat Spreads'!B100:B119)-2*SUMPRODUCT('Fat Spreads'!B100:B119,'Fat Spreads'!B101:B120)+SUMSQ('Fat Spreads'!B101:B120)-('Fat Spreads'!B100-'Fat Spreads'!B120)^2/20)/19),"")</f>
        <v>0</v>
      </c>
      <c r="L100">
        <f>IFERROR('Fat Spreads'!H100,"")</f>
        <v>0</v>
      </c>
      <c r="M100">
        <f>IFERROR(('Fat Spreads'!I100-AVERAGE('Fat Spreads'!$I$3:$I$4308))/STDEV('Fat Spreads'!$I$3:$I$4308),"")</f>
        <v>-9.2057461789832332E-2</v>
      </c>
      <c r="N100">
        <f>IFERROR('Fat Spreads'!I100-'Fat Spreads'!I105,"")</f>
        <v>0</v>
      </c>
      <c r="O100">
        <f>IFERROR('Fat Spreads'!I100-'Fat Spreads'!I110,"")</f>
        <v>0</v>
      </c>
      <c r="P100">
        <f>IFERROR(AVERAGE('Fat Spreads'!I100:I119)+2*STDEV('Fat Spreads'!I100:I119),"")</f>
        <v>0</v>
      </c>
      <c r="Q100">
        <f>IFERROR(AVERAGE('Fat Spreads'!I100:I119)-2*STDEV('Fat Spreads'!I100:I119),"")</f>
        <v>0</v>
      </c>
      <c r="R100" t="str">
        <f>IFERROR(('Fat Spreads'!I100-(AVERAGE('Fat Spreads'!I100:I119)-2*STDEV('Fat Spreads'!I100:I119)))/(4*STDEV('Fat Spreads'!I100:I119)),"")</f>
        <v/>
      </c>
      <c r="S100" t="str">
        <f>IFERROR(4*STDEV('Fat Spreads'!I100:I119)/AVERAGE('Fat Spreads'!I100:I119),"")</f>
        <v/>
      </c>
      <c r="T100">
        <v>59.654899999999998</v>
      </c>
      <c r="U100">
        <f>IFERROR(SQRT((SUMSQ('Fat Spreads'!I100:I119)-2*SUMPRODUCT('Fat Spreads'!I100:I119,'Fat Spreads'!I101:I120)+SUMSQ('Fat Spreads'!I101:I120)-('Fat Spreads'!I100-'Fat Spreads'!I120)^2/20)/19),"")</f>
        <v>0</v>
      </c>
      <c r="W100">
        <f>IFERROR('Fat Spreads'!AQ100,"")</f>
        <v>0</v>
      </c>
      <c r="X100">
        <f>IFERROR(('Fat Spreads'!AR100-AVERAGE('Fat Spreads'!$AR$3:$AR$4308))/STDEV('Fat Spreads'!$AR$3:$AR$4308),"")</f>
        <v>-9.2057461789832346E-2</v>
      </c>
      <c r="Y100">
        <f>IFERROR('Fat Spreads'!AR100-'Fat Spreads'!AR105,"")</f>
        <v>0</v>
      </c>
      <c r="Z100">
        <f>IFERROR('Fat Spreads'!AR100-'Fat Spreads'!AR110,"")</f>
        <v>0</v>
      </c>
      <c r="AA100">
        <f>IFERROR(AVERAGE('Fat Spreads'!AR100:AR119)+2*STDEV('Fat Spreads'!AR100:AR119),"")</f>
        <v>0</v>
      </c>
      <c r="AB100">
        <f>IFERROR(AVERAGE('Fat Spreads'!AR100:AR119)-2*STDEV('Fat Spreads'!AR100:AR119),"")</f>
        <v>0</v>
      </c>
      <c r="AC100" t="str">
        <f>IFERROR(('Fat Spreads'!AR100-(AVERAGE('Fat Spreads'!AR100:AR119)-2*STDEV('Fat Spreads'!AR100:AR119)))/(4*STDEV('Fat Spreads'!AR100:AR119)),"")</f>
        <v/>
      </c>
      <c r="AD100" t="str">
        <f>IFERROR(4*STDEV('Fat Spreads'!AR100:AR119)/AVERAGE('Fat Spreads'!AR100:AR119),"")</f>
        <v/>
      </c>
      <c r="AE100">
        <v>42.271599999999999</v>
      </c>
      <c r="AF100">
        <f>IFERROR(SQRT((SUMSQ('Fat Spreads'!AR100:AR119)-2*SUMPRODUCT('Fat Spreads'!AR100:AR119,'Fat Spreads'!AR101:AR120)+SUMSQ('Fat Spreads'!AR101:AR120)-('Fat Spreads'!AR100-'Fat Spreads'!AR120)^2/20)/19),"")</f>
        <v>0</v>
      </c>
      <c r="AH100">
        <f>IFERROR('Fat Spreads'!O100,"")</f>
        <v>0</v>
      </c>
      <c r="AI100">
        <f>IFERROR(('Fat Spreads'!P100-AVERAGE('Fat Spreads'!$P$3:$P$4308))/STDEV('Fat Spreads'!$P$3:$P$4308),"")</f>
        <v>-9.2057461789832332E-2</v>
      </c>
      <c r="AJ100">
        <f>IFERROR('Fat Spreads'!P100-'Fat Spreads'!P105,"")</f>
        <v>0</v>
      </c>
      <c r="AK100">
        <f>IFERROR('Fat Spreads'!P100-'Fat Spreads'!P110,"")</f>
        <v>0</v>
      </c>
      <c r="AL100">
        <f>IFERROR(AVERAGE('Fat Spreads'!P100:P119)+2*STDEV('Fat Spreads'!P100:P119),"")</f>
        <v>0</v>
      </c>
      <c r="AM100">
        <f>IFERROR(AVERAGE('Fat Spreads'!P100:P119)-2*STDEV('Fat Spreads'!P100:P119),"")</f>
        <v>0</v>
      </c>
      <c r="AN100" t="str">
        <f>IFERROR(('Fat Spreads'!P100-(AVERAGE('Fat Spreads'!P100:P119)-2*STDEV('Fat Spreads'!P100:P119)))/(4*STDEV('Fat Spreads'!P100:P119)),"")</f>
        <v/>
      </c>
      <c r="AO100" t="str">
        <f>IFERROR(4*STDEV('Fat Spreads'!P100:P119)/AVERAGE('Fat Spreads'!P100:P119),"")</f>
        <v/>
      </c>
      <c r="AP100">
        <v>60.665199999999999</v>
      </c>
      <c r="AQ100">
        <f>IFERROR(SQRT((SUMSQ('Fat Spreads'!P100:P119)-2*SUMPRODUCT('Fat Spreads'!P100:P119,'Fat Spreads'!P101:P120)+SUMSQ('Fat Spreads'!P101:P120)-('Fat Spreads'!P100-'Fat Spreads'!P120)^2/20)/19),"")</f>
        <v>0</v>
      </c>
      <c r="AS100">
        <f>IFERROR('Fat Spreads'!AJ100,"")</f>
        <v>0</v>
      </c>
      <c r="AT100">
        <f>IFERROR(('Fat Spreads'!AK100-AVERAGE('Fat Spreads'!$AK$3:$AK$4308))/STDEV('Fat Spreads'!$AK$3:$AK$4308),"")</f>
        <v>-9.2057461789832332E-2</v>
      </c>
      <c r="AU100">
        <f>IFERROR('Fat Spreads'!AK100-'Fat Spreads'!AK105,"")</f>
        <v>0</v>
      </c>
      <c r="AV100">
        <f>IFERROR('Fat Spreads'!AK100-'Fat Spreads'!AK110,"")</f>
        <v>0</v>
      </c>
      <c r="AW100">
        <f>IFERROR(AVERAGE('Fat Spreads'!AK100:AK119)+2*STDEV('Fat Spreads'!AK100:AK119),"")</f>
        <v>0</v>
      </c>
      <c r="AX100">
        <f>IFERROR(AVERAGE('Fat Spreads'!AK100:AK119)-2*STDEV('Fat Spreads'!AK100:AK119),"")</f>
        <v>0</v>
      </c>
      <c r="AY100" t="str">
        <f>IFERROR(('Fat Spreads'!AK100-(AVERAGE('Fat Spreads'!AK100:AK119)-2*STDEV('Fat Spreads'!AK100:AK119)))/(4*STDEV('Fat Spreads'!AK100:AK119)),"")</f>
        <v/>
      </c>
      <c r="AZ100" t="str">
        <f>IFERROR(4*STDEV('Fat Spreads'!AK100:AK119)/AVERAGE('Fat Spreads'!AK100:AK119),"")</f>
        <v/>
      </c>
      <c r="BA100">
        <v>58.712899999999998</v>
      </c>
      <c r="BB100">
        <f>IFERROR(SQRT((SUMSQ('Fat Spreads'!AK100:AK119)-2*SUMPRODUCT('Fat Spreads'!AK100:AK119,'Fat Spreads'!AK101:AK120)+SUMSQ('Fat Spreads'!AK101:AK120)-('Fat Spreads'!AK100-'Fat Spreads'!AK120)^2/20)/19),"")</f>
        <v>0</v>
      </c>
      <c r="BD100">
        <f>IFERROR('Fat Spreads'!V100,"")</f>
        <v>0</v>
      </c>
      <c r="BE100">
        <f>IFERROR(('Fat Spreads'!W100-AVERAGE('Fat Spreads'!$W$3:$W$4308))/STDEV('Fat Spreads'!$W$3:$W$4308),"")</f>
        <v>-9.2057461789832332E-2</v>
      </c>
      <c r="BF100">
        <f>IFERROR('Fat Spreads'!W100-'Fat Spreads'!W105,"")</f>
        <v>0</v>
      </c>
      <c r="BG100">
        <f>IFERROR('Fat Spreads'!W100-'Fat Spreads'!W110,"")</f>
        <v>0</v>
      </c>
      <c r="BH100">
        <f>IFERROR(AVERAGE('Fat Spreads'!W100:W119)+2*STDEV('Fat Spreads'!W100:W119),"")</f>
        <v>0</v>
      </c>
      <c r="BI100">
        <f>IFERROR(AVERAGE('Fat Spreads'!W100:W119)-2*STDEV('Fat Spreads'!W100:W119),"")</f>
        <v>0</v>
      </c>
      <c r="BJ100" t="str">
        <f>IFERROR(('Fat Spreads'!W100-(AVERAGE('Fat Spreads'!W100:W119)-2*STDEV('Fat Spreads'!W100:W119)))/(4*STDEV('Fat Spreads'!W100:W119)),"")</f>
        <v/>
      </c>
      <c r="BK100" t="str">
        <f>IFERROR(4*STDEV('Fat Spreads'!W100:W119)/AVERAGE('Fat Spreads'!W100:W119),"")</f>
        <v/>
      </c>
      <c r="BL100">
        <v>39.654299999999999</v>
      </c>
      <c r="BM100">
        <f>IFERROR(SQRT((SUMSQ('Fat Spreads'!W100:W119)-2*SUMPRODUCT('Fat Spreads'!W100:W119,'Fat Spreads'!W101:W120)+SUMSQ('Fat Spreads'!W101:W120)-('Fat Spreads'!W100-'Fat Spreads'!W120)^2/20)/19),"")</f>
        <v>0</v>
      </c>
      <c r="BO100">
        <f>IFERROR('Fat Spreads'!AC100,"")</f>
        <v>0</v>
      </c>
      <c r="BP100">
        <f>IFERROR(('Fat Spreads'!AD100-AVERAGE('Fat Spreads'!$AD$3:$AD$4308))/STDEV('Fat Spreads'!$AD$3:$AD$4308),"")</f>
        <v>-9.2057461789832332E-2</v>
      </c>
      <c r="BQ100">
        <f>IFERROR('Fat Spreads'!AD100-'Fat Spreads'!AD105,"")</f>
        <v>0</v>
      </c>
      <c r="BR100">
        <f>IFERROR('Fat Spreads'!AD100-'Fat Spreads'!AD110,"")</f>
        <v>0</v>
      </c>
      <c r="BS100">
        <f>IFERROR(AVERAGE('Fat Spreads'!AD100:AD119)+2*STDEV('Fat Spreads'!AD100:AD119),"")</f>
        <v>0</v>
      </c>
      <c r="BT100">
        <f>IFERROR(AVERAGE('Fat Spreads'!AD100:AD119)-2*STDEV('Fat Spreads'!AD100:AD119),"")</f>
        <v>0</v>
      </c>
      <c r="BU100" t="str">
        <f>IFERROR(('Fat Spreads'!AD100-(AVERAGE('Fat Spreads'!AD100:AD119)-2*STDEV('Fat Spreads'!AD100:AD119)))/(4*STDEV('Fat Spreads'!AD100:AD119)),"")</f>
        <v/>
      </c>
      <c r="BV100" t="str">
        <f>IFERROR(4*STDEV('Fat Spreads'!AD100:AD119)/AVERAGE('Fat Spreads'!AD100:AD119),"")</f>
        <v/>
      </c>
      <c r="BW100">
        <v>54.703499999999998</v>
      </c>
      <c r="BX100">
        <f>IFERROR(SQRT((SUMSQ('Fat Spreads'!AD100:AD119)-2*SUMPRODUCT('Fat Spreads'!AD100:AD119,'Fat Spreads'!AD101:AD120)+SUMSQ('Fat Spreads'!AD101:AD120)-('Fat Spreads'!AD100-'Fat Spreads'!AD120)^2/20)/19),"")</f>
        <v>0</v>
      </c>
      <c r="BZ100">
        <f>IFERROR('Feeder Spreads'!A100,"")</f>
        <v>0</v>
      </c>
      <c r="CA100">
        <f>IFERROR(('Feeder Spreads'!B100-AVERAGE('Feeder Spreads'!$B$3:$B$4308))/STDEV('Feeder Spreads'!$B$3:$B$4308),"")</f>
        <v>-9.2057461789832346E-2</v>
      </c>
      <c r="CB100">
        <f>IFERROR('Feeder Spreads'!B100-'Feeder Spreads'!B105,"")</f>
        <v>0</v>
      </c>
      <c r="CC100">
        <f>IFERROR('Feeder Spreads'!B100-'Feeder Spreads'!B110,"")</f>
        <v>0</v>
      </c>
      <c r="CD100">
        <f>IFERROR(AVERAGE('Feeder Spreads'!B100:B119)+2*STDEV('Feeder Spreads'!B100:B119),"")</f>
        <v>0</v>
      </c>
      <c r="CE100">
        <f>IFERROR(AVERAGE('Feeder Spreads'!B100:B119)-2*STDEV('Feeder Spreads'!B100:B119),"")</f>
        <v>0</v>
      </c>
      <c r="CF100" t="str">
        <f>IFERROR(('Feeder Spreads'!B100-(AVERAGE('Feeder Spreads'!B100:B119)-2*STDEV('Feeder Spreads'!B100:B119)))/(4*STDEV('Feeder Spreads'!B100:B119)),"")</f>
        <v/>
      </c>
      <c r="CG100" t="str">
        <f>IFERROR(4*STDEV('Feeder Spreads'!B100:B119)/AVERAGE('Feeder Spreads'!B100:B119),"")</f>
        <v/>
      </c>
      <c r="CH100">
        <v>46.572499999999998</v>
      </c>
      <c r="CI100">
        <f>IFERROR(SQRT((SUMSQ('Feeder Spreads'!B100:B119)-2*SUMPRODUCT('Feeder Spreads'!B100:B119,'Feeder Spreads'!B101:B120)+SUMSQ('Feeder Spreads'!B101:B120)-('Feeder Spreads'!B100-'Feeder Spreads'!B120)^2/20)/19),"")</f>
        <v>0</v>
      </c>
      <c r="CK100">
        <f>IFERROR('Feeder Spreads'!AX100,"")</f>
        <v>0</v>
      </c>
      <c r="CL100">
        <f>IFERROR(('Feeder Spreads'!AY100-AVERAGE('Feeder Spreads'!$AY$3:$AY$4308))/STDEV('Feeder Spreads'!$AY$3:$AY$4308),"")</f>
        <v>-9.2057461789832346E-2</v>
      </c>
      <c r="CM100">
        <f>IFERROR('Feeder Spreads'!AY100-'Feeder Spreads'!AY105,"")</f>
        <v>0</v>
      </c>
      <c r="CN100">
        <f>IFERROR('Feeder Spreads'!AY100-'Feeder Spreads'!AY110,"")</f>
        <v>0</v>
      </c>
      <c r="CO100">
        <f>IFERROR(AVERAGE('Feeder Spreads'!AY100:AY119)+2*STDEV('Feeder Spreads'!AY100:AY119),"")</f>
        <v>0</v>
      </c>
      <c r="CP100">
        <f>IFERROR(AVERAGE('Feeder Spreads'!AY100:AY119)-2*STDEV('Feeder Spreads'!AY100:AY119),"")</f>
        <v>0</v>
      </c>
      <c r="CQ100" t="str">
        <f>IFERROR(('Feeder Spreads'!AY100-(AVERAGE('Feeder Spreads'!AY100:AY119)-2*STDEV('Feeder Spreads'!AY100:AY119)))/(4*STDEV('Feeder Spreads'!AY100:AY119)),"")</f>
        <v/>
      </c>
      <c r="CR100" t="str">
        <f>IFERROR(4*STDEV('Feeder Spreads'!AY100:AY119)/AVERAGE('Feeder Spreads'!AY100:AY119),"")</f>
        <v/>
      </c>
      <c r="CS100">
        <v>34.944699999999997</v>
      </c>
      <c r="CT100">
        <f>IFERROR(SQRT((SUMSQ('Feeder Spreads'!AY100:AY119)-2*SUMPRODUCT('Feeder Spreads'!AY100:AY119,'Feeder Spreads'!AY101:AY120)+SUMSQ('Feeder Spreads'!AY101:AY120)-('Feeder Spreads'!AY100-'Feeder Spreads'!AY120)^2/20)/19),"")</f>
        <v>0</v>
      </c>
      <c r="CV100">
        <f>IFERROR('Feeder Spreads'!H100,"")</f>
        <v>0</v>
      </c>
      <c r="CW100">
        <f>IFERROR(('Feeder Spreads'!I100-AVERAGE('Feeder Spreads'!$I$3:$I$4308))/STDEV('Feeder Spreads'!$I$3:$I$4308),"")</f>
        <v>-9.2057461789832332E-2</v>
      </c>
      <c r="CX100">
        <f>IFERROR('Feeder Spreads'!I100-'Feeder Spreads'!I105,"")</f>
        <v>0</v>
      </c>
      <c r="CY100">
        <f>IFERROR('Feeder Spreads'!I100-'Feeder Spreads'!I110,"")</f>
        <v>0</v>
      </c>
      <c r="CZ100">
        <f>IFERROR(AVERAGE('Feeder Spreads'!I100:I119)+2*STDEV('Feeder Spreads'!I100:I119),"")</f>
        <v>0</v>
      </c>
      <c r="DA100">
        <f>IFERROR(AVERAGE('Feeder Spreads'!I100:I119)-2*STDEV('Feeder Spreads'!I100:I119),"")</f>
        <v>0</v>
      </c>
      <c r="DB100" t="str">
        <f>IFERROR(('Feeder Spreads'!I100-(AVERAGE('Feeder Spreads'!I100:I119)-2*STDEV('Feeder Spreads'!I100:I119)))/(4*STDEV('Feeder Spreads'!I100:I119)),"")</f>
        <v/>
      </c>
      <c r="DC100" t="str">
        <f>IFERROR(4*STDEV('Feeder Spreads'!I100:I119)/AVERAGE('Feeder Spreads'!I100:I119),"")</f>
        <v/>
      </c>
      <c r="DD100">
        <v>50.962000000000003</v>
      </c>
      <c r="DE100">
        <f>IFERROR(SQRT((SUMSQ('Feeder Spreads'!I100:I119)-2*SUMPRODUCT('Feeder Spreads'!I100:I119,'Feeder Spreads'!I101:I120)+SUMSQ('Feeder Spreads'!I101:I120)-('Feeder Spreads'!I100-'Feeder Spreads'!I120)^2/20)/19),"")</f>
        <v>0</v>
      </c>
      <c r="DG100">
        <f>IFERROR('Feeder Spreads'!O100,"")</f>
        <v>0</v>
      </c>
      <c r="DH100">
        <f>IFERROR(('Feeder Spreads'!P100-AVERAGE('Feeder Spreads'!$P$3:$P$4308))/STDEV('Feeder Spreads'!$P$3:$P$4308),"")</f>
        <v>-9.2057461789832346E-2</v>
      </c>
      <c r="DI100">
        <f>IFERROR('Feeder Spreads'!P100-'Feeder Spreads'!P105,"")</f>
        <v>0</v>
      </c>
      <c r="DJ100">
        <f>IFERROR('Feeder Spreads'!P100-'Feeder Spreads'!P110,"")</f>
        <v>0</v>
      </c>
      <c r="DK100">
        <f>IFERROR(AVERAGE('Feeder Spreads'!P100:P119)+2*STDEV('Feeder Spreads'!P100:P119),"")</f>
        <v>0</v>
      </c>
      <c r="DL100">
        <f>IFERROR(AVERAGE('Feeder Spreads'!P100:P119)-2*STDEV('Feeder Spreads'!P100:P119),"")</f>
        <v>0</v>
      </c>
      <c r="DM100" t="str">
        <f>IFERROR(('Feeder Spreads'!P100-(AVERAGE('Feeder Spreads'!P100:P119)-2*STDEV('Feeder Spreads'!P100:P119)))/(4*STDEV('Feeder Spreads'!P100:P119)),"")</f>
        <v/>
      </c>
      <c r="DN100" t="str">
        <f>IFERROR(4*STDEV('Feeder Spreads'!P100:P119)/AVERAGE('Feeder Spreads'!P100:P119),"")</f>
        <v/>
      </c>
      <c r="DO100">
        <v>63.520800000000001</v>
      </c>
      <c r="DP100">
        <f>IFERROR(SQRT((SUMSQ('Feeder Spreads'!P100:P119)-2*SUMPRODUCT('Feeder Spreads'!P100:P119,'Feeder Spreads'!P101:P120)+SUMSQ('Feeder Spreads'!P101:P120)-('Feeder Spreads'!P100-'Feeder Spreads'!P120)^2/20)/19),"")</f>
        <v>0</v>
      </c>
      <c r="DR100">
        <f>IFERROR('Feeder Spreads'!V100,"")</f>
        <v>0</v>
      </c>
      <c r="DS100">
        <f>IFERROR(('Feeder Spreads'!W100-AVERAGE('Feeder Spreads'!$W$3:$W$4308))/STDEV('Feeder Spreads'!$W$3:$W$4308),"")</f>
        <v>-9.2057461789832332E-2</v>
      </c>
      <c r="DT100">
        <f>IFERROR('Feeder Spreads'!W100-'Feeder Spreads'!W105,"")</f>
        <v>0</v>
      </c>
      <c r="DU100">
        <f>IFERROR('Feeder Spreads'!W100-'Feeder Spreads'!W110,"")</f>
        <v>0</v>
      </c>
      <c r="DV100">
        <f>IFERROR(AVERAGE('Feeder Spreads'!W100:W119)+2*STDEV('Feeder Spreads'!W100:W119),"")</f>
        <v>0</v>
      </c>
      <c r="DW100">
        <f>IFERROR(AVERAGE('Feeder Spreads'!W100:W119)-2*STDEV('Feeder Spreads'!W100:W119),"")</f>
        <v>0</v>
      </c>
      <c r="DX100" t="str">
        <f>IFERROR(('Feeder Spreads'!W100-(AVERAGE('Feeder Spreads'!W100:W119)-2*STDEV('Feeder Spreads'!W100:W119)))/(4*STDEV('Feeder Spreads'!W100:W119)),"")</f>
        <v/>
      </c>
      <c r="DY100" t="str">
        <f>IFERROR(4*STDEV('Feeder Spreads'!W100:W119)/AVERAGE('Feeder Spreads'!W100:W119),"")</f>
        <v/>
      </c>
      <c r="DZ100">
        <v>46.612099999999998</v>
      </c>
      <c r="EA100">
        <f>IFERROR(SQRT((SUMSQ('Feeder Spreads'!W100:W119)-2*SUMPRODUCT('Feeder Spreads'!W100:W119,'Feeder Spreads'!W101:W120)+SUMSQ('Feeder Spreads'!W101:W120)-('Feeder Spreads'!W100-'Feeder Spreads'!W120)^2/20)/19),"")</f>
        <v>0</v>
      </c>
      <c r="EC100">
        <f>IFERROR('Feeder Spreads'!AC100,"")</f>
        <v>0</v>
      </c>
      <c r="ED100">
        <f>IFERROR(('Feeder Spreads'!AD100-AVERAGE('Feeder Spreads'!$AD$3:$AD$4308))/STDEV('Feeder Spreads'!$AD$3:$AD$4308),"")</f>
        <v>9.2057461789832318E-2</v>
      </c>
      <c r="EE100">
        <f>IFERROR('Feeder Spreads'!AD100-'Feeder Spreads'!AD105,"")</f>
        <v>0</v>
      </c>
      <c r="EF100">
        <f>IFERROR('Feeder Spreads'!AD100-'Feeder Spreads'!AD110,"")</f>
        <v>0</v>
      </c>
      <c r="EG100">
        <f>IFERROR(AVERAGE('Feeder Spreads'!AD100:AD119)+2*STDEV('Feeder Spreads'!AD100:AD119),"")</f>
        <v>0</v>
      </c>
      <c r="EH100">
        <f>IFERROR(AVERAGE('Feeder Spreads'!AD100:AD119)-2*STDEV('Feeder Spreads'!AD100:AD119),"")</f>
        <v>0</v>
      </c>
      <c r="EI100" t="str">
        <f>IFERROR(('Feeder Spreads'!AD100-(AVERAGE('Feeder Spreads'!AD100:AD119)-2*STDEV('Feeder Spreads'!AD100:AD119)))/(4*STDEV('Feeder Spreads'!AD100:AD119)),"")</f>
        <v/>
      </c>
      <c r="EJ100" t="str">
        <f>IFERROR(4*STDEV('Feeder Spreads'!AD100:AD119)/AVERAGE('Feeder Spreads'!AD100:AD119),"")</f>
        <v/>
      </c>
      <c r="EK100">
        <v>52.966299999999997</v>
      </c>
      <c r="EL100">
        <f>IFERROR(SQRT((SUMSQ('Feeder Spreads'!AD100:AD119)-2*SUMPRODUCT('Feeder Spreads'!AD100:AD119,'Feeder Spreads'!AD101:AD120)+SUMSQ('Feeder Spreads'!AD101:AD120)-('Feeder Spreads'!AD100-'Feeder Spreads'!AD120)^2/20)/19),"")</f>
        <v>0</v>
      </c>
      <c r="EN100">
        <f>IFERROR('Feeder Spreads'!AJ100,"")</f>
        <v>0</v>
      </c>
      <c r="EO100">
        <f>IFERROR(('Feeder Spreads'!AK100-AVERAGE('Feeder Spreads'!$AK$3:$AK$4308))/STDEV('Feeder Spreads'!$AK$3:$AK$4308),"")</f>
        <v>-9.2057461789832346E-2</v>
      </c>
      <c r="EP100">
        <f>IFERROR('Feeder Spreads'!AK100-'Feeder Spreads'!AK105,"")</f>
        <v>0</v>
      </c>
      <c r="EQ100">
        <f>IFERROR('Feeder Spreads'!AK100-'Feeder Spreads'!AK110,"")</f>
        <v>0</v>
      </c>
      <c r="ER100">
        <f>IFERROR(AVERAGE('Feeder Spreads'!AK100:AK119)+2*STDEV('Feeder Spreads'!AK100:AK119),"")</f>
        <v>0</v>
      </c>
      <c r="ES100">
        <f>IFERROR(AVERAGE('Feeder Spreads'!AK100:AK119)-2*STDEV('Feeder Spreads'!AK100:AK119),"")</f>
        <v>0</v>
      </c>
      <c r="ET100" t="str">
        <f>IFERROR(('Feeder Spreads'!AK100-(AVERAGE('Feeder Spreads'!AK100:AK119)-2*STDEV('Feeder Spreads'!AK100:AK119)))/(4*STDEV('Feeder Spreads'!AK100:AK119)),"")</f>
        <v/>
      </c>
      <c r="EU100" t="str">
        <f>IFERROR(4*STDEV('Feeder Spreads'!AK100:AK119)/AVERAGE('Feeder Spreads'!AK100:AK119),"")</f>
        <v/>
      </c>
      <c r="EV100">
        <v>53.555300000000003</v>
      </c>
      <c r="EW100">
        <f>IFERROR(SQRT((SUMSQ('Feeder Spreads'!AK100:AK119)-2*SUMPRODUCT('Feeder Spreads'!AK100:AK119,'Feeder Spreads'!AK101:AK120)+SUMSQ('Feeder Spreads'!AK101:AK120)-('Feeder Spreads'!AK100-'Feeder Spreads'!AK120)^2/20)/19),"")</f>
        <v>0</v>
      </c>
      <c r="EY100">
        <f>IFERROR('Feeder Spreads'!AQ100,"")</f>
        <v>0</v>
      </c>
      <c r="EZ100">
        <f>IFERROR(('Feeder Spreads'!AR100-AVERAGE('Feeder Spreads'!$AR$3:$AR$4308))/STDEV('Feeder Spreads'!$AR$3:$AR$4308),"")</f>
        <v>-9.2057461789832332E-2</v>
      </c>
      <c r="FA100">
        <f>IFERROR('Feeder Spreads'!AR100-'Feeder Spreads'!AR105,"")</f>
        <v>0</v>
      </c>
      <c r="FB100">
        <f>IFERROR('Feeder Spreads'!AR100-'Feeder Spreads'!AR110,"")</f>
        <v>0</v>
      </c>
      <c r="FC100">
        <f>IFERROR(AVERAGE('Feeder Spreads'!AR100:AR119)+2*STDEV('Feeder Spreads'!AR100:AR119),"")</f>
        <v>0</v>
      </c>
      <c r="FD100">
        <f>IFERROR(AVERAGE('Feeder Spreads'!AR100:AR119)-2*STDEV('Feeder Spreads'!AR100:AR119),"")</f>
        <v>0</v>
      </c>
      <c r="FE100" t="str">
        <f>IFERROR(('Feeder Spreads'!AR100-(AVERAGE('Feeder Spreads'!AR100:AR119)-2*STDEV('Feeder Spreads'!AR100:AR119)))/(4*STDEV('Feeder Spreads'!AR100:AR119)),"")</f>
        <v/>
      </c>
      <c r="FF100" t="str">
        <f>IFERROR(4*STDEV('Feeder Spreads'!AR100:AR119)/AVERAGE('Feeder Spreads'!AR100:AR119),"")</f>
        <v/>
      </c>
      <c r="FG100">
        <v>60.771000000000001</v>
      </c>
      <c r="FH100">
        <f>IFERROR(SQRT((SUMSQ('Feeder Spreads'!AR100:AR119)-2*SUMPRODUCT('Feeder Spreads'!AR100:AR119,'Feeder Spreads'!AR101:AR120)+SUMSQ('Feeder Spreads'!AR101:AR120)-('Feeder Spreads'!AR100-'Feeder Spreads'!AR120)^2/20)/19),"")</f>
        <v>0</v>
      </c>
      <c r="FJ100">
        <f>IFERROR('Fat Spreads'!AX100,"")</f>
        <v>0</v>
      </c>
      <c r="FK100">
        <f>IFERROR(('Fat Spreads'!AY100-AVERAGE('Fat Spreads'!$AY$3:$AY$4308))/STDEV('Fat Spreads'!$AY$3:$AY$4308),"")</f>
        <v>9.2057461789832332E-2</v>
      </c>
      <c r="FL100">
        <f>IFERROR('Fat Spreads'!AY100-'Fat Spreads'!AY105,"")</f>
        <v>0</v>
      </c>
      <c r="FM100">
        <f>IFERROR('Fat Spreads'!AY100-'Fat Spreads'!AY110,"")</f>
        <v>0</v>
      </c>
      <c r="FN100">
        <f>IFERROR(AVERAGE('Fat Spreads'!AY100:AY119)+2*STDEV('Fat Spreads'!AY100:AY119),"")</f>
        <v>0</v>
      </c>
      <c r="FO100">
        <f>IFERROR(AVERAGE('Fat Spreads'!AY100:AY119)-2*STDEV('Fat Spreads'!AY100:AY119),"")</f>
        <v>0</v>
      </c>
      <c r="FP100" t="str">
        <f>IFERROR(('Fat Spreads'!AY100-(AVERAGE('Fat Spreads'!AY100:AY119)-2*STDEV('Fat Spreads'!AY100:AY119)))/(4*STDEV('Fat Spreads'!AY100:AY119)),"")</f>
        <v/>
      </c>
      <c r="FQ100" t="str">
        <f>IFERROR(4*STDEV('Fat Spreads'!AY100:AY119)/AVERAGE('Fat Spreads'!AY100:AY119),"")</f>
        <v/>
      </c>
      <c r="FR100">
        <v>57.433500000000002</v>
      </c>
      <c r="FS100">
        <f>IFERROR(SQRT((SUMSQ('Fat Spreads'!AY100:AY119)-2*SUMPRODUCT('Fat Spreads'!AY100:AY119,'Fat Spreads'!AY101:AY120)+SUMSQ('Fat Spreads'!AY101:AY120)-('Fat Spreads'!AY100-'Fat Spreads'!AY120)^2/20)/19),"")</f>
        <v>0</v>
      </c>
      <c r="FU100">
        <f>IFERROR('Fat Spreads'!BE100,"")</f>
        <v>0</v>
      </c>
      <c r="FV100">
        <f>IFERROR(('Fat Spreads'!BF100-AVERAGE('Fat Spreads'!$BF$3:$BF$4308))/STDEV('Fat Spreads'!$BF$3:$BF$4308),"")</f>
        <v>9.2057461789832332E-2</v>
      </c>
      <c r="FW100">
        <f>IFERROR('Fat Spreads'!BF100-'Fat Spreads'!BF105,"")</f>
        <v>0</v>
      </c>
      <c r="FX100">
        <f>IFERROR('Fat Spreads'!BF100-'Fat Spreads'!BF110,"")</f>
        <v>0</v>
      </c>
      <c r="FY100">
        <f>IFERROR(AVERAGE('Fat Spreads'!BF100:BF119)+2*STDEV('Fat Spreads'!BF100:BF119),"")</f>
        <v>0</v>
      </c>
      <c r="FZ100">
        <f>IFERROR(AVERAGE('Fat Spreads'!BF100:BF119)-2*STDEV('Fat Spreads'!BF100:BF119),"")</f>
        <v>0</v>
      </c>
      <c r="GA100" t="str">
        <f>IFERROR(('Fat Spreads'!BF100-(AVERAGE('Fat Spreads'!BF100:BF119)-2*STDEV('Fat Spreads'!BF100:BF119)))/(4*STDEV('Fat Spreads'!BF100:BF119)),"")</f>
        <v/>
      </c>
      <c r="GB100" t="str">
        <f>IFERROR(4*STDEV('Fat Spreads'!BF100:BF119)/AVERAGE('Fat Spreads'!BF100:BF119),"")</f>
        <v/>
      </c>
      <c r="GC100">
        <v>57.285899999999998</v>
      </c>
      <c r="GD100">
        <f>IFERROR(SQRT((SUMSQ('Fat Spreads'!BF100:BF119)-2*SUMPRODUCT('Fat Spreads'!BF100:BF119,'Fat Spreads'!BF101:BF120)+SUMSQ('Fat Spreads'!BF101:BF120)-('Fat Spreads'!BF100-'Fat Spreads'!BF120)^2/20)/19),"")</f>
        <v>0</v>
      </c>
    </row>
    <row r="101" spans="1:186" x14ac:dyDescent="0.25">
      <c r="A101">
        <f>IFERROR('Fat Spreads'!A101,"")</f>
        <v>0</v>
      </c>
      <c r="B101">
        <f>IFERROR(('Fat Spreads'!B101-AVERAGE('Fat Spreads'!$B$3:$B$4308))/STDEV('Fat Spreads'!$B$3:$B$4308),"")</f>
        <v>9.2057461789832346E-2</v>
      </c>
      <c r="C101">
        <f>IFERROR('Fat Spreads'!B101-'Fat Spreads'!B106,"")</f>
        <v>0</v>
      </c>
      <c r="D101">
        <f>IFERROR('Fat Spreads'!B101-'Fat Spreads'!B111,"")</f>
        <v>0</v>
      </c>
      <c r="E101">
        <f>IFERROR(AVERAGE('Fat Spreads'!B101:B120)+2*STDEV('Fat Spreads'!B101:B120),"")</f>
        <v>0</v>
      </c>
      <c r="F101">
        <f>IFERROR(AVERAGE('Fat Spreads'!B101:B120)-2*STDEV('Fat Spreads'!B101:B120),"")</f>
        <v>0</v>
      </c>
      <c r="G101" t="str">
        <f>IFERROR(('Fat Spreads'!B101-(AVERAGE('Fat Spreads'!B101:B120)-2*STDEV('Fat Spreads'!B101:B120)))/(4*STDEV('Fat Spreads'!B101:B120)),"")</f>
        <v/>
      </c>
      <c r="H101" t="str">
        <f>IFERROR(4*STDEV('Fat Spreads'!B101:B120)/AVERAGE('Fat Spreads'!B101:B120),"")</f>
        <v/>
      </c>
      <c r="I101">
        <v>56.122399999999999</v>
      </c>
      <c r="J101">
        <f>IFERROR(SQRT((SUMSQ('Fat Spreads'!B101:B120)-2*SUMPRODUCT('Fat Spreads'!B101:B120,'Fat Spreads'!B102:B121)+SUMSQ('Fat Spreads'!B102:B121)-('Fat Spreads'!B101-'Fat Spreads'!B121)^2/20)/19),"")</f>
        <v>0</v>
      </c>
      <c r="L101">
        <f>IFERROR('Fat Spreads'!H101,"")</f>
        <v>0</v>
      </c>
      <c r="M101">
        <f>IFERROR(('Fat Spreads'!I101-AVERAGE('Fat Spreads'!$I$3:$I$4308))/STDEV('Fat Spreads'!$I$3:$I$4308),"")</f>
        <v>-9.2057461789832332E-2</v>
      </c>
      <c r="N101">
        <f>IFERROR('Fat Spreads'!I101-'Fat Spreads'!I106,"")</f>
        <v>0</v>
      </c>
      <c r="O101">
        <f>IFERROR('Fat Spreads'!I101-'Fat Spreads'!I111,"")</f>
        <v>0</v>
      </c>
      <c r="P101">
        <f>IFERROR(AVERAGE('Fat Spreads'!I101:I120)+2*STDEV('Fat Spreads'!I101:I120),"")</f>
        <v>0</v>
      </c>
      <c r="Q101">
        <f>IFERROR(AVERAGE('Fat Spreads'!I101:I120)-2*STDEV('Fat Spreads'!I101:I120),"")</f>
        <v>0</v>
      </c>
      <c r="R101" t="str">
        <f>IFERROR(('Fat Spreads'!I101-(AVERAGE('Fat Spreads'!I101:I120)-2*STDEV('Fat Spreads'!I101:I120)))/(4*STDEV('Fat Spreads'!I101:I120)),"")</f>
        <v/>
      </c>
      <c r="S101" t="str">
        <f>IFERROR(4*STDEV('Fat Spreads'!I101:I120)/AVERAGE('Fat Spreads'!I101:I120),"")</f>
        <v/>
      </c>
      <c r="T101">
        <v>57.8947</v>
      </c>
      <c r="U101">
        <f>IFERROR(SQRT((SUMSQ('Fat Spreads'!I101:I120)-2*SUMPRODUCT('Fat Spreads'!I101:I120,'Fat Spreads'!I102:I121)+SUMSQ('Fat Spreads'!I102:I121)-('Fat Spreads'!I101-'Fat Spreads'!I121)^2/20)/19),"")</f>
        <v>0</v>
      </c>
      <c r="W101">
        <f>IFERROR('Fat Spreads'!AQ101,"")</f>
        <v>0</v>
      </c>
      <c r="X101">
        <f>IFERROR(('Fat Spreads'!AR101-AVERAGE('Fat Spreads'!$AR$3:$AR$4308))/STDEV('Fat Spreads'!$AR$3:$AR$4308),"")</f>
        <v>-9.2057461789832346E-2</v>
      </c>
      <c r="Y101">
        <f>IFERROR('Fat Spreads'!AR101-'Fat Spreads'!AR106,"")</f>
        <v>0</v>
      </c>
      <c r="Z101">
        <f>IFERROR('Fat Spreads'!AR101-'Fat Spreads'!AR111,"")</f>
        <v>0</v>
      </c>
      <c r="AA101">
        <f>IFERROR(AVERAGE('Fat Spreads'!AR101:AR120)+2*STDEV('Fat Spreads'!AR101:AR120),"")</f>
        <v>0</v>
      </c>
      <c r="AB101">
        <f>IFERROR(AVERAGE('Fat Spreads'!AR101:AR120)-2*STDEV('Fat Spreads'!AR101:AR120),"")</f>
        <v>0</v>
      </c>
      <c r="AC101" t="str">
        <f>IFERROR(('Fat Spreads'!AR101-(AVERAGE('Fat Spreads'!AR101:AR120)-2*STDEV('Fat Spreads'!AR101:AR120)))/(4*STDEV('Fat Spreads'!AR101:AR120)),"")</f>
        <v/>
      </c>
      <c r="AD101" t="str">
        <f>IFERROR(4*STDEV('Fat Spreads'!AR101:AR120)/AVERAGE('Fat Spreads'!AR101:AR120),"")</f>
        <v/>
      </c>
      <c r="AE101">
        <v>44.512500000000003</v>
      </c>
      <c r="AF101">
        <f>IFERROR(SQRT((SUMSQ('Fat Spreads'!AR101:AR120)-2*SUMPRODUCT('Fat Spreads'!AR101:AR120,'Fat Spreads'!AR102:AR121)+SUMSQ('Fat Spreads'!AR102:AR121)-('Fat Spreads'!AR101-'Fat Spreads'!AR121)^2/20)/19),"")</f>
        <v>0</v>
      </c>
      <c r="AH101">
        <f>IFERROR('Fat Spreads'!O101,"")</f>
        <v>0</v>
      </c>
      <c r="AI101">
        <f>IFERROR(('Fat Spreads'!P101-AVERAGE('Fat Spreads'!$P$3:$P$4308))/STDEV('Fat Spreads'!$P$3:$P$4308),"")</f>
        <v>-9.2057461789832332E-2</v>
      </c>
      <c r="AJ101">
        <f>IFERROR('Fat Spreads'!P101-'Fat Spreads'!P106,"")</f>
        <v>0</v>
      </c>
      <c r="AK101">
        <f>IFERROR('Fat Spreads'!P101-'Fat Spreads'!P111,"")</f>
        <v>0</v>
      </c>
      <c r="AL101">
        <f>IFERROR(AVERAGE('Fat Spreads'!P101:P120)+2*STDEV('Fat Spreads'!P101:P120),"")</f>
        <v>0</v>
      </c>
      <c r="AM101">
        <f>IFERROR(AVERAGE('Fat Spreads'!P101:P120)-2*STDEV('Fat Spreads'!P101:P120),"")</f>
        <v>0</v>
      </c>
      <c r="AN101" t="str">
        <f>IFERROR(('Fat Spreads'!P101-(AVERAGE('Fat Spreads'!P101:P120)-2*STDEV('Fat Spreads'!P101:P120)))/(4*STDEV('Fat Spreads'!P101:P120)),"")</f>
        <v/>
      </c>
      <c r="AO101" t="str">
        <f>IFERROR(4*STDEV('Fat Spreads'!P101:P120)/AVERAGE('Fat Spreads'!P101:P120),"")</f>
        <v/>
      </c>
      <c r="AP101">
        <v>59.839199999999998</v>
      </c>
      <c r="AQ101">
        <f>IFERROR(SQRT((SUMSQ('Fat Spreads'!P101:P120)-2*SUMPRODUCT('Fat Spreads'!P101:P120,'Fat Spreads'!P102:P121)+SUMSQ('Fat Spreads'!P102:P121)-('Fat Spreads'!P101-'Fat Spreads'!P121)^2/20)/19),"")</f>
        <v>0</v>
      </c>
      <c r="AS101">
        <f>IFERROR('Fat Spreads'!AJ101,"")</f>
        <v>0</v>
      </c>
      <c r="AT101">
        <f>IFERROR(('Fat Spreads'!AK101-AVERAGE('Fat Spreads'!$AK$3:$AK$4308))/STDEV('Fat Spreads'!$AK$3:$AK$4308),"")</f>
        <v>-9.2057461789832332E-2</v>
      </c>
      <c r="AU101">
        <f>IFERROR('Fat Spreads'!AK101-'Fat Spreads'!AK106,"")</f>
        <v>0</v>
      </c>
      <c r="AV101">
        <f>IFERROR('Fat Spreads'!AK101-'Fat Spreads'!AK111,"")</f>
        <v>0</v>
      </c>
      <c r="AW101">
        <f>IFERROR(AVERAGE('Fat Spreads'!AK101:AK120)+2*STDEV('Fat Spreads'!AK101:AK120),"")</f>
        <v>0</v>
      </c>
      <c r="AX101">
        <f>IFERROR(AVERAGE('Fat Spreads'!AK101:AK120)-2*STDEV('Fat Spreads'!AK101:AK120),"")</f>
        <v>0</v>
      </c>
      <c r="AY101" t="str">
        <f>IFERROR(('Fat Spreads'!AK101-(AVERAGE('Fat Spreads'!AK101:AK120)-2*STDEV('Fat Spreads'!AK101:AK120)))/(4*STDEV('Fat Spreads'!AK101:AK120)),"")</f>
        <v/>
      </c>
      <c r="AZ101" t="str">
        <f>IFERROR(4*STDEV('Fat Spreads'!AK101:AK120)/AVERAGE('Fat Spreads'!AK101:AK120),"")</f>
        <v/>
      </c>
      <c r="BA101">
        <v>61.077100000000002</v>
      </c>
      <c r="BB101">
        <f>IFERROR(SQRT((SUMSQ('Fat Spreads'!AK101:AK120)-2*SUMPRODUCT('Fat Spreads'!AK101:AK120,'Fat Spreads'!AK102:AK121)+SUMSQ('Fat Spreads'!AK102:AK121)-('Fat Spreads'!AK101-'Fat Spreads'!AK121)^2/20)/19),"")</f>
        <v>0</v>
      </c>
      <c r="BD101">
        <f>IFERROR('Fat Spreads'!V101,"")</f>
        <v>0</v>
      </c>
      <c r="BE101">
        <f>IFERROR(('Fat Spreads'!W101-AVERAGE('Fat Spreads'!$W$3:$W$4308))/STDEV('Fat Spreads'!$W$3:$W$4308),"")</f>
        <v>-9.2057461789832332E-2</v>
      </c>
      <c r="BF101">
        <f>IFERROR('Fat Spreads'!W101-'Fat Spreads'!W106,"")</f>
        <v>0</v>
      </c>
      <c r="BG101">
        <f>IFERROR('Fat Spreads'!W101-'Fat Spreads'!W111,"")</f>
        <v>0</v>
      </c>
      <c r="BH101">
        <f>IFERROR(AVERAGE('Fat Spreads'!W101:W120)+2*STDEV('Fat Spreads'!W101:W120),"")</f>
        <v>0</v>
      </c>
      <c r="BI101">
        <f>IFERROR(AVERAGE('Fat Spreads'!W101:W120)-2*STDEV('Fat Spreads'!W101:W120),"")</f>
        <v>0</v>
      </c>
      <c r="BJ101" t="str">
        <f>IFERROR(('Fat Spreads'!W101-(AVERAGE('Fat Spreads'!W101:W120)-2*STDEV('Fat Spreads'!W101:W120)))/(4*STDEV('Fat Spreads'!W101:W120)),"")</f>
        <v/>
      </c>
      <c r="BK101" t="str">
        <f>IFERROR(4*STDEV('Fat Spreads'!W101:W120)/AVERAGE('Fat Spreads'!W101:W120),"")</f>
        <v/>
      </c>
      <c r="BL101">
        <v>41.738399999999999</v>
      </c>
      <c r="BM101">
        <f>IFERROR(SQRT((SUMSQ('Fat Spreads'!W101:W120)-2*SUMPRODUCT('Fat Spreads'!W101:W120,'Fat Spreads'!W102:W121)+SUMSQ('Fat Spreads'!W102:W121)-('Fat Spreads'!W101-'Fat Spreads'!W121)^2/20)/19),"")</f>
        <v>0</v>
      </c>
      <c r="BO101">
        <f>IFERROR('Fat Spreads'!AC101,"")</f>
        <v>0</v>
      </c>
      <c r="BP101">
        <f>IFERROR(('Fat Spreads'!AD101-AVERAGE('Fat Spreads'!$AD$3:$AD$4308))/STDEV('Fat Spreads'!$AD$3:$AD$4308),"")</f>
        <v>-9.2057461789832332E-2</v>
      </c>
      <c r="BQ101">
        <f>IFERROR('Fat Spreads'!AD101-'Fat Spreads'!AD106,"")</f>
        <v>0</v>
      </c>
      <c r="BR101">
        <f>IFERROR('Fat Spreads'!AD101-'Fat Spreads'!AD111,"")</f>
        <v>0</v>
      </c>
      <c r="BS101">
        <f>IFERROR(AVERAGE('Fat Spreads'!AD101:AD120)+2*STDEV('Fat Spreads'!AD101:AD120),"")</f>
        <v>0</v>
      </c>
      <c r="BT101">
        <f>IFERROR(AVERAGE('Fat Spreads'!AD101:AD120)-2*STDEV('Fat Spreads'!AD101:AD120),"")</f>
        <v>0</v>
      </c>
      <c r="BU101" t="str">
        <f>IFERROR(('Fat Spreads'!AD101-(AVERAGE('Fat Spreads'!AD101:AD120)-2*STDEV('Fat Spreads'!AD101:AD120)))/(4*STDEV('Fat Spreads'!AD101:AD120)),"")</f>
        <v/>
      </c>
      <c r="BV101" t="str">
        <f>IFERROR(4*STDEV('Fat Spreads'!AD101:AD120)/AVERAGE('Fat Spreads'!AD101:AD120),"")</f>
        <v/>
      </c>
      <c r="BW101">
        <v>50.674300000000002</v>
      </c>
      <c r="BX101">
        <f>IFERROR(SQRT((SUMSQ('Fat Spreads'!AD101:AD120)-2*SUMPRODUCT('Fat Spreads'!AD101:AD120,'Fat Spreads'!AD102:AD121)+SUMSQ('Fat Spreads'!AD102:AD121)-('Fat Spreads'!AD101-'Fat Spreads'!AD121)^2/20)/19),"")</f>
        <v>0</v>
      </c>
      <c r="BZ101">
        <f>IFERROR('Feeder Spreads'!A101,"")</f>
        <v>0</v>
      </c>
      <c r="CA101">
        <f>IFERROR(('Feeder Spreads'!B101-AVERAGE('Feeder Spreads'!$B$3:$B$4308))/STDEV('Feeder Spreads'!$B$3:$B$4308),"")</f>
        <v>-9.2057461789832346E-2</v>
      </c>
      <c r="CB101">
        <f>IFERROR('Feeder Spreads'!B101-'Feeder Spreads'!B106,"")</f>
        <v>0</v>
      </c>
      <c r="CC101">
        <f>IFERROR('Feeder Spreads'!B101-'Feeder Spreads'!B111,"")</f>
        <v>0</v>
      </c>
      <c r="CD101">
        <f>IFERROR(AVERAGE('Feeder Spreads'!B101:B120)+2*STDEV('Feeder Spreads'!B101:B120),"")</f>
        <v>0</v>
      </c>
      <c r="CE101">
        <f>IFERROR(AVERAGE('Feeder Spreads'!B101:B120)-2*STDEV('Feeder Spreads'!B101:B120),"")</f>
        <v>0</v>
      </c>
      <c r="CF101" t="str">
        <f>IFERROR(('Feeder Spreads'!B101-(AVERAGE('Feeder Spreads'!B101:B120)-2*STDEV('Feeder Spreads'!B101:B120)))/(4*STDEV('Feeder Spreads'!B101:B120)),"")</f>
        <v/>
      </c>
      <c r="CG101" t="str">
        <f>IFERROR(4*STDEV('Feeder Spreads'!B101:B120)/AVERAGE('Feeder Spreads'!B101:B120),"")</f>
        <v/>
      </c>
      <c r="CH101">
        <v>52.795200000000001</v>
      </c>
      <c r="CI101">
        <f>IFERROR(SQRT((SUMSQ('Feeder Spreads'!B101:B120)-2*SUMPRODUCT('Feeder Spreads'!B101:B120,'Feeder Spreads'!B102:B121)+SUMSQ('Feeder Spreads'!B102:B121)-('Feeder Spreads'!B101-'Feeder Spreads'!B121)^2/20)/19),"")</f>
        <v>0</v>
      </c>
      <c r="CK101">
        <f>IFERROR('Feeder Spreads'!AX101,"")</f>
        <v>0</v>
      </c>
      <c r="CL101">
        <f>IFERROR(('Feeder Spreads'!AY101-AVERAGE('Feeder Spreads'!$AY$3:$AY$4308))/STDEV('Feeder Spreads'!$AY$3:$AY$4308),"")</f>
        <v>-9.2057461789832346E-2</v>
      </c>
      <c r="CM101">
        <f>IFERROR('Feeder Spreads'!AY101-'Feeder Spreads'!AY106,"")</f>
        <v>0</v>
      </c>
      <c r="CN101">
        <f>IFERROR('Feeder Spreads'!AY101-'Feeder Spreads'!AY111,"")</f>
        <v>0</v>
      </c>
      <c r="CO101">
        <f>IFERROR(AVERAGE('Feeder Spreads'!AY101:AY120)+2*STDEV('Feeder Spreads'!AY101:AY120),"")</f>
        <v>0</v>
      </c>
      <c r="CP101">
        <f>IFERROR(AVERAGE('Feeder Spreads'!AY101:AY120)-2*STDEV('Feeder Spreads'!AY101:AY120),"")</f>
        <v>0</v>
      </c>
      <c r="CQ101" t="str">
        <f>IFERROR(('Feeder Spreads'!AY101-(AVERAGE('Feeder Spreads'!AY101:AY120)-2*STDEV('Feeder Spreads'!AY101:AY120)))/(4*STDEV('Feeder Spreads'!AY101:AY120)),"")</f>
        <v/>
      </c>
      <c r="CR101" t="str">
        <f>IFERROR(4*STDEV('Feeder Spreads'!AY101:AY120)/AVERAGE('Feeder Spreads'!AY101:AY120),"")</f>
        <v/>
      </c>
      <c r="CS101">
        <v>32.579500000000003</v>
      </c>
      <c r="CT101">
        <f>IFERROR(SQRT((SUMSQ('Feeder Spreads'!AY101:AY120)-2*SUMPRODUCT('Feeder Spreads'!AY101:AY120,'Feeder Spreads'!AY102:AY121)+SUMSQ('Feeder Spreads'!AY102:AY121)-('Feeder Spreads'!AY101-'Feeder Spreads'!AY121)^2/20)/19),"")</f>
        <v>0</v>
      </c>
      <c r="CV101">
        <f>IFERROR('Feeder Spreads'!H101,"")</f>
        <v>0</v>
      </c>
      <c r="CW101">
        <f>IFERROR(('Feeder Spreads'!I101-AVERAGE('Feeder Spreads'!$I$3:$I$4308))/STDEV('Feeder Spreads'!$I$3:$I$4308),"")</f>
        <v>-9.2057461789832332E-2</v>
      </c>
      <c r="CX101">
        <f>IFERROR('Feeder Spreads'!I101-'Feeder Spreads'!I106,"")</f>
        <v>0</v>
      </c>
      <c r="CY101">
        <f>IFERROR('Feeder Spreads'!I101-'Feeder Spreads'!I111,"")</f>
        <v>0</v>
      </c>
      <c r="CZ101">
        <f>IFERROR(AVERAGE('Feeder Spreads'!I101:I120)+2*STDEV('Feeder Spreads'!I101:I120),"")</f>
        <v>0</v>
      </c>
      <c r="DA101">
        <f>IFERROR(AVERAGE('Feeder Spreads'!I101:I120)-2*STDEV('Feeder Spreads'!I101:I120),"")</f>
        <v>0</v>
      </c>
      <c r="DB101" t="str">
        <f>IFERROR(('Feeder Spreads'!I101-(AVERAGE('Feeder Spreads'!I101:I120)-2*STDEV('Feeder Spreads'!I101:I120)))/(4*STDEV('Feeder Spreads'!I101:I120)),"")</f>
        <v/>
      </c>
      <c r="DC101" t="str">
        <f>IFERROR(4*STDEV('Feeder Spreads'!I101:I120)/AVERAGE('Feeder Spreads'!I101:I120),"")</f>
        <v/>
      </c>
      <c r="DD101">
        <v>48.8185</v>
      </c>
      <c r="DE101">
        <f>IFERROR(SQRT((SUMSQ('Feeder Spreads'!I101:I120)-2*SUMPRODUCT('Feeder Spreads'!I101:I120,'Feeder Spreads'!I102:I121)+SUMSQ('Feeder Spreads'!I102:I121)-('Feeder Spreads'!I101-'Feeder Spreads'!I121)^2/20)/19),"")</f>
        <v>0</v>
      </c>
      <c r="DG101">
        <f>IFERROR('Feeder Spreads'!O101,"")</f>
        <v>0</v>
      </c>
      <c r="DH101">
        <f>IFERROR(('Feeder Spreads'!P101-AVERAGE('Feeder Spreads'!$P$3:$P$4308))/STDEV('Feeder Spreads'!$P$3:$P$4308),"")</f>
        <v>-9.2057461789832346E-2</v>
      </c>
      <c r="DI101">
        <f>IFERROR('Feeder Spreads'!P101-'Feeder Spreads'!P106,"")</f>
        <v>0</v>
      </c>
      <c r="DJ101">
        <f>IFERROR('Feeder Spreads'!P101-'Feeder Spreads'!P111,"")</f>
        <v>0</v>
      </c>
      <c r="DK101">
        <f>IFERROR(AVERAGE('Feeder Spreads'!P101:P120)+2*STDEV('Feeder Spreads'!P101:P120),"")</f>
        <v>0</v>
      </c>
      <c r="DL101">
        <f>IFERROR(AVERAGE('Feeder Spreads'!P101:P120)-2*STDEV('Feeder Spreads'!P101:P120),"")</f>
        <v>0</v>
      </c>
      <c r="DM101" t="str">
        <f>IFERROR(('Feeder Spreads'!P101-(AVERAGE('Feeder Spreads'!P101:P120)-2*STDEV('Feeder Spreads'!P101:P120)))/(4*STDEV('Feeder Spreads'!P101:P120)),"")</f>
        <v/>
      </c>
      <c r="DN101" t="str">
        <f>IFERROR(4*STDEV('Feeder Spreads'!P101:P120)/AVERAGE('Feeder Spreads'!P101:P120),"")</f>
        <v/>
      </c>
      <c r="DO101">
        <v>63.728200000000001</v>
      </c>
      <c r="DP101">
        <f>IFERROR(SQRT((SUMSQ('Feeder Spreads'!P101:P120)-2*SUMPRODUCT('Feeder Spreads'!P101:P120,'Feeder Spreads'!P102:P121)+SUMSQ('Feeder Spreads'!P102:P121)-('Feeder Spreads'!P101-'Feeder Spreads'!P121)^2/20)/19),"")</f>
        <v>0</v>
      </c>
      <c r="DR101">
        <f>IFERROR('Feeder Spreads'!V101,"")</f>
        <v>0</v>
      </c>
      <c r="DS101">
        <f>IFERROR(('Feeder Spreads'!W101-AVERAGE('Feeder Spreads'!$W$3:$W$4308))/STDEV('Feeder Spreads'!$W$3:$W$4308),"")</f>
        <v>-9.2057461789832332E-2</v>
      </c>
      <c r="DT101">
        <f>IFERROR('Feeder Spreads'!W101-'Feeder Spreads'!W106,"")</f>
        <v>0</v>
      </c>
      <c r="DU101">
        <f>IFERROR('Feeder Spreads'!W101-'Feeder Spreads'!W111,"")</f>
        <v>0</v>
      </c>
      <c r="DV101">
        <f>IFERROR(AVERAGE('Feeder Spreads'!W101:W120)+2*STDEV('Feeder Spreads'!W101:W120),"")</f>
        <v>0</v>
      </c>
      <c r="DW101">
        <f>IFERROR(AVERAGE('Feeder Spreads'!W101:W120)-2*STDEV('Feeder Spreads'!W101:W120),"")</f>
        <v>0</v>
      </c>
      <c r="DX101" t="str">
        <f>IFERROR(('Feeder Spreads'!W101-(AVERAGE('Feeder Spreads'!W101:W120)-2*STDEV('Feeder Spreads'!W101:W120)))/(4*STDEV('Feeder Spreads'!W101:W120)),"")</f>
        <v/>
      </c>
      <c r="DY101" t="str">
        <f>IFERROR(4*STDEV('Feeder Spreads'!W101:W120)/AVERAGE('Feeder Spreads'!W101:W120),"")</f>
        <v/>
      </c>
      <c r="DZ101">
        <v>42.989600000000003</v>
      </c>
      <c r="EA101">
        <f>IFERROR(SQRT((SUMSQ('Feeder Spreads'!W101:W120)-2*SUMPRODUCT('Feeder Spreads'!W101:W120,'Feeder Spreads'!W102:W121)+SUMSQ('Feeder Spreads'!W102:W121)-('Feeder Spreads'!W101-'Feeder Spreads'!W121)^2/20)/19),"")</f>
        <v>0</v>
      </c>
      <c r="EC101">
        <f>IFERROR('Feeder Spreads'!AC101,"")</f>
        <v>0</v>
      </c>
      <c r="ED101">
        <f>IFERROR(('Feeder Spreads'!AD101-AVERAGE('Feeder Spreads'!$AD$3:$AD$4308))/STDEV('Feeder Spreads'!$AD$3:$AD$4308),"")</f>
        <v>9.2057461789832318E-2</v>
      </c>
      <c r="EE101">
        <f>IFERROR('Feeder Spreads'!AD101-'Feeder Spreads'!AD106,"")</f>
        <v>0</v>
      </c>
      <c r="EF101">
        <f>IFERROR('Feeder Spreads'!AD101-'Feeder Spreads'!AD111,"")</f>
        <v>0</v>
      </c>
      <c r="EG101">
        <f>IFERROR(AVERAGE('Feeder Spreads'!AD101:AD120)+2*STDEV('Feeder Spreads'!AD101:AD120),"")</f>
        <v>0</v>
      </c>
      <c r="EH101">
        <f>IFERROR(AVERAGE('Feeder Spreads'!AD101:AD120)-2*STDEV('Feeder Spreads'!AD101:AD120),"")</f>
        <v>0</v>
      </c>
      <c r="EI101" t="str">
        <f>IFERROR(('Feeder Spreads'!AD101-(AVERAGE('Feeder Spreads'!AD101:AD120)-2*STDEV('Feeder Spreads'!AD101:AD120)))/(4*STDEV('Feeder Spreads'!AD101:AD120)),"")</f>
        <v/>
      </c>
      <c r="EJ101" t="str">
        <f>IFERROR(4*STDEV('Feeder Spreads'!AD101:AD120)/AVERAGE('Feeder Spreads'!AD101:AD120),"")</f>
        <v/>
      </c>
      <c r="EK101">
        <v>47.110300000000002</v>
      </c>
      <c r="EL101">
        <f>IFERROR(SQRT((SUMSQ('Feeder Spreads'!AD101:AD120)-2*SUMPRODUCT('Feeder Spreads'!AD101:AD120,'Feeder Spreads'!AD102:AD121)+SUMSQ('Feeder Spreads'!AD102:AD121)-('Feeder Spreads'!AD101-'Feeder Spreads'!AD121)^2/20)/19),"")</f>
        <v>0</v>
      </c>
      <c r="EN101">
        <f>IFERROR('Feeder Spreads'!AJ101,"")</f>
        <v>0</v>
      </c>
      <c r="EO101">
        <f>IFERROR(('Feeder Spreads'!AK101-AVERAGE('Feeder Spreads'!$AK$3:$AK$4308))/STDEV('Feeder Spreads'!$AK$3:$AK$4308),"")</f>
        <v>-9.2057461789832346E-2</v>
      </c>
      <c r="EP101">
        <f>IFERROR('Feeder Spreads'!AK101-'Feeder Spreads'!AK106,"")</f>
        <v>0</v>
      </c>
      <c r="EQ101">
        <f>IFERROR('Feeder Spreads'!AK101-'Feeder Spreads'!AK111,"")</f>
        <v>0</v>
      </c>
      <c r="ER101">
        <f>IFERROR(AVERAGE('Feeder Spreads'!AK101:AK120)+2*STDEV('Feeder Spreads'!AK101:AK120),"")</f>
        <v>0</v>
      </c>
      <c r="ES101">
        <f>IFERROR(AVERAGE('Feeder Spreads'!AK101:AK120)-2*STDEV('Feeder Spreads'!AK101:AK120),"")</f>
        <v>0</v>
      </c>
      <c r="ET101" t="str">
        <f>IFERROR(('Feeder Spreads'!AK101-(AVERAGE('Feeder Spreads'!AK101:AK120)-2*STDEV('Feeder Spreads'!AK101:AK120)))/(4*STDEV('Feeder Spreads'!AK101:AK120)),"")</f>
        <v/>
      </c>
      <c r="EU101" t="str">
        <f>IFERROR(4*STDEV('Feeder Spreads'!AK101:AK120)/AVERAGE('Feeder Spreads'!AK101:AK120),"")</f>
        <v/>
      </c>
      <c r="EV101">
        <v>53.555300000000003</v>
      </c>
      <c r="EW101">
        <f>IFERROR(SQRT((SUMSQ('Feeder Spreads'!AK101:AK120)-2*SUMPRODUCT('Feeder Spreads'!AK101:AK120,'Feeder Spreads'!AK102:AK121)+SUMSQ('Feeder Spreads'!AK102:AK121)-('Feeder Spreads'!AK101-'Feeder Spreads'!AK121)^2/20)/19),"")</f>
        <v>0</v>
      </c>
      <c r="EY101">
        <f>IFERROR('Feeder Spreads'!AQ101,"")</f>
        <v>0</v>
      </c>
      <c r="EZ101">
        <f>IFERROR(('Feeder Spreads'!AR101-AVERAGE('Feeder Spreads'!$AR$3:$AR$4308))/STDEV('Feeder Spreads'!$AR$3:$AR$4308),"")</f>
        <v>-9.2057461789832332E-2</v>
      </c>
      <c r="FA101">
        <f>IFERROR('Feeder Spreads'!AR101-'Feeder Spreads'!AR106,"")</f>
        <v>0</v>
      </c>
      <c r="FB101">
        <f>IFERROR('Feeder Spreads'!AR101-'Feeder Spreads'!AR111,"")</f>
        <v>0</v>
      </c>
      <c r="FC101">
        <f>IFERROR(AVERAGE('Feeder Spreads'!AR101:AR120)+2*STDEV('Feeder Spreads'!AR101:AR120),"")</f>
        <v>0</v>
      </c>
      <c r="FD101">
        <f>IFERROR(AVERAGE('Feeder Spreads'!AR101:AR120)-2*STDEV('Feeder Spreads'!AR101:AR120),"")</f>
        <v>0</v>
      </c>
      <c r="FE101" t="str">
        <f>IFERROR(('Feeder Spreads'!AR101-(AVERAGE('Feeder Spreads'!AR101:AR120)-2*STDEV('Feeder Spreads'!AR101:AR120)))/(4*STDEV('Feeder Spreads'!AR101:AR120)),"")</f>
        <v/>
      </c>
      <c r="FF101" t="str">
        <f>IFERROR(4*STDEV('Feeder Spreads'!AR101:AR120)/AVERAGE('Feeder Spreads'!AR101:AR120),"")</f>
        <v/>
      </c>
      <c r="FG101">
        <v>61.259099999999997</v>
      </c>
      <c r="FH101">
        <f>IFERROR(SQRT((SUMSQ('Feeder Spreads'!AR101:AR120)-2*SUMPRODUCT('Feeder Spreads'!AR101:AR120,'Feeder Spreads'!AR102:AR121)+SUMSQ('Feeder Spreads'!AR102:AR121)-('Feeder Spreads'!AR101-'Feeder Spreads'!AR121)^2/20)/19),"")</f>
        <v>0</v>
      </c>
      <c r="FJ101">
        <f>IFERROR('Fat Spreads'!AX101,"")</f>
        <v>0</v>
      </c>
      <c r="FK101">
        <f>IFERROR(('Fat Spreads'!AY101-AVERAGE('Fat Spreads'!$AY$3:$AY$4308))/STDEV('Fat Spreads'!$AY$3:$AY$4308),"")</f>
        <v>9.2057461789832332E-2</v>
      </c>
      <c r="FL101">
        <f>IFERROR('Fat Spreads'!AY101-'Fat Spreads'!AY106,"")</f>
        <v>0</v>
      </c>
      <c r="FM101">
        <f>IFERROR('Fat Spreads'!AY101-'Fat Spreads'!AY111,"")</f>
        <v>0</v>
      </c>
      <c r="FN101">
        <f>IFERROR(AVERAGE('Fat Spreads'!AY101:AY120)+2*STDEV('Fat Spreads'!AY101:AY120),"")</f>
        <v>0</v>
      </c>
      <c r="FO101">
        <f>IFERROR(AVERAGE('Fat Spreads'!AY101:AY120)-2*STDEV('Fat Spreads'!AY101:AY120),"")</f>
        <v>0</v>
      </c>
      <c r="FP101" t="str">
        <f>IFERROR(('Fat Spreads'!AY101-(AVERAGE('Fat Spreads'!AY101:AY120)-2*STDEV('Fat Spreads'!AY101:AY120)))/(4*STDEV('Fat Spreads'!AY101:AY120)),"")</f>
        <v/>
      </c>
      <c r="FQ101" t="str">
        <f>IFERROR(4*STDEV('Fat Spreads'!AY101:AY120)/AVERAGE('Fat Spreads'!AY101:AY120),"")</f>
        <v/>
      </c>
      <c r="FR101">
        <v>59.610999999999997</v>
      </c>
      <c r="FS101">
        <f>IFERROR(SQRT((SUMSQ('Fat Spreads'!AY101:AY120)-2*SUMPRODUCT('Fat Spreads'!AY101:AY120,'Fat Spreads'!AY102:AY121)+SUMSQ('Fat Spreads'!AY102:AY121)-('Fat Spreads'!AY101-'Fat Spreads'!AY121)^2/20)/19),"")</f>
        <v>0</v>
      </c>
      <c r="FU101">
        <f>IFERROR('Fat Spreads'!BE101,"")</f>
        <v>0</v>
      </c>
      <c r="FV101">
        <f>IFERROR(('Fat Spreads'!BF101-AVERAGE('Fat Spreads'!$BF$3:$BF$4308))/STDEV('Fat Spreads'!$BF$3:$BF$4308),"")</f>
        <v>9.2057461789832332E-2</v>
      </c>
      <c r="FW101">
        <f>IFERROR('Fat Spreads'!BF101-'Fat Spreads'!BF106,"")</f>
        <v>0</v>
      </c>
      <c r="FX101">
        <f>IFERROR('Fat Spreads'!BF101-'Fat Spreads'!BF111,"")</f>
        <v>0</v>
      </c>
      <c r="FY101">
        <f>IFERROR(AVERAGE('Fat Spreads'!BF101:BF120)+2*STDEV('Fat Spreads'!BF101:BF120),"")</f>
        <v>0</v>
      </c>
      <c r="FZ101">
        <f>IFERROR(AVERAGE('Fat Spreads'!BF101:BF120)-2*STDEV('Fat Spreads'!BF101:BF120),"")</f>
        <v>0</v>
      </c>
      <c r="GA101" t="str">
        <f>IFERROR(('Fat Spreads'!BF101-(AVERAGE('Fat Spreads'!BF101:BF120)-2*STDEV('Fat Spreads'!BF101:BF120)))/(4*STDEV('Fat Spreads'!BF101:BF120)),"")</f>
        <v/>
      </c>
      <c r="GB101" t="str">
        <f>IFERROR(4*STDEV('Fat Spreads'!BF101:BF120)/AVERAGE('Fat Spreads'!BF101:BF120),"")</f>
        <v/>
      </c>
      <c r="GC101">
        <v>57.066600000000001</v>
      </c>
      <c r="GD101">
        <f>IFERROR(SQRT((SUMSQ('Fat Spreads'!BF101:BF120)-2*SUMPRODUCT('Fat Spreads'!BF101:BF120,'Fat Spreads'!BF102:BF121)+SUMSQ('Fat Spreads'!BF102:BF121)-('Fat Spreads'!BF101-'Fat Spreads'!BF121)^2/20)/19),"")</f>
        <v>0</v>
      </c>
    </row>
    <row r="102" spans="1:186" x14ac:dyDescent="0.25">
      <c r="A102">
        <f>IFERROR('Fat Spreads'!A102,"")</f>
        <v>0</v>
      </c>
      <c r="B102">
        <f>IFERROR(('Fat Spreads'!B102-AVERAGE('Fat Spreads'!$B$3:$B$4308))/STDEV('Fat Spreads'!$B$3:$B$4308),"")</f>
        <v>9.2057461789832346E-2</v>
      </c>
      <c r="C102">
        <f>IFERROR('Fat Spreads'!B102-'Fat Spreads'!B107,"")</f>
        <v>0</v>
      </c>
      <c r="D102">
        <f>IFERROR('Fat Spreads'!B102-'Fat Spreads'!B112,"")</f>
        <v>0</v>
      </c>
      <c r="E102">
        <f>IFERROR(AVERAGE('Fat Spreads'!B102:B121)+2*STDEV('Fat Spreads'!B102:B121),"")</f>
        <v>0</v>
      </c>
      <c r="F102">
        <f>IFERROR(AVERAGE('Fat Spreads'!B102:B121)-2*STDEV('Fat Spreads'!B102:B121),"")</f>
        <v>0</v>
      </c>
      <c r="G102" t="str">
        <f>IFERROR(('Fat Spreads'!B102-(AVERAGE('Fat Spreads'!B102:B121)-2*STDEV('Fat Spreads'!B102:B121)))/(4*STDEV('Fat Spreads'!B102:B121)),"")</f>
        <v/>
      </c>
      <c r="H102" t="str">
        <f>IFERROR(4*STDEV('Fat Spreads'!B102:B121)/AVERAGE('Fat Spreads'!B102:B121),"")</f>
        <v/>
      </c>
      <c r="I102">
        <v>52.389299999999999</v>
      </c>
      <c r="J102">
        <f>IFERROR(SQRT((SUMSQ('Fat Spreads'!B102:B121)-2*SUMPRODUCT('Fat Spreads'!B102:B121,'Fat Spreads'!B103:B122)+SUMSQ('Fat Spreads'!B103:B122)-('Fat Spreads'!B102-'Fat Spreads'!B122)^2/20)/19),"")</f>
        <v>0</v>
      </c>
      <c r="L102">
        <f>IFERROR('Fat Spreads'!H102,"")</f>
        <v>0</v>
      </c>
      <c r="M102">
        <f>IFERROR(('Fat Spreads'!I102-AVERAGE('Fat Spreads'!$I$3:$I$4308))/STDEV('Fat Spreads'!$I$3:$I$4308),"")</f>
        <v>-9.2057461789832332E-2</v>
      </c>
      <c r="N102">
        <f>IFERROR('Fat Spreads'!I102-'Fat Spreads'!I107,"")</f>
        <v>0</v>
      </c>
      <c r="O102">
        <f>IFERROR('Fat Spreads'!I102-'Fat Spreads'!I112,"")</f>
        <v>0</v>
      </c>
      <c r="P102">
        <f>IFERROR(AVERAGE('Fat Spreads'!I102:I121)+2*STDEV('Fat Spreads'!I102:I121),"")</f>
        <v>0</v>
      </c>
      <c r="Q102">
        <f>IFERROR(AVERAGE('Fat Spreads'!I102:I121)-2*STDEV('Fat Spreads'!I102:I121),"")</f>
        <v>0</v>
      </c>
      <c r="R102" t="str">
        <f>IFERROR(('Fat Spreads'!I102-(AVERAGE('Fat Spreads'!I102:I121)-2*STDEV('Fat Spreads'!I102:I121)))/(4*STDEV('Fat Spreads'!I102:I121)),"")</f>
        <v/>
      </c>
      <c r="S102" t="str">
        <f>IFERROR(4*STDEV('Fat Spreads'!I102:I121)/AVERAGE('Fat Spreads'!I102:I121),"")</f>
        <v/>
      </c>
      <c r="T102">
        <v>55.648600000000002</v>
      </c>
      <c r="U102">
        <f>IFERROR(SQRT((SUMSQ('Fat Spreads'!I102:I121)-2*SUMPRODUCT('Fat Spreads'!I102:I121,'Fat Spreads'!I103:I122)+SUMSQ('Fat Spreads'!I103:I122)-('Fat Spreads'!I102-'Fat Spreads'!I122)^2/20)/19),"")</f>
        <v>0</v>
      </c>
      <c r="W102">
        <f>IFERROR('Fat Spreads'!AQ102,"")</f>
        <v>0</v>
      </c>
      <c r="X102">
        <f>IFERROR(('Fat Spreads'!AR102-AVERAGE('Fat Spreads'!$AR$3:$AR$4308))/STDEV('Fat Spreads'!$AR$3:$AR$4308),"")</f>
        <v>-9.2057461789832346E-2</v>
      </c>
      <c r="Y102">
        <f>IFERROR('Fat Spreads'!AR102-'Fat Spreads'!AR107,"")</f>
        <v>0</v>
      </c>
      <c r="Z102">
        <f>IFERROR('Fat Spreads'!AR102-'Fat Spreads'!AR112,"")</f>
        <v>0</v>
      </c>
      <c r="AA102">
        <f>IFERROR(AVERAGE('Fat Spreads'!AR102:AR121)+2*STDEV('Fat Spreads'!AR102:AR121),"")</f>
        <v>0</v>
      </c>
      <c r="AB102">
        <f>IFERROR(AVERAGE('Fat Spreads'!AR102:AR121)-2*STDEV('Fat Spreads'!AR102:AR121),"")</f>
        <v>0</v>
      </c>
      <c r="AC102" t="str">
        <f>IFERROR(('Fat Spreads'!AR102-(AVERAGE('Fat Spreads'!AR102:AR121)-2*STDEV('Fat Spreads'!AR102:AR121)))/(4*STDEV('Fat Spreads'!AR102:AR121)),"")</f>
        <v/>
      </c>
      <c r="AD102" t="str">
        <f>IFERROR(4*STDEV('Fat Spreads'!AR102:AR121)/AVERAGE('Fat Spreads'!AR102:AR121),"")</f>
        <v/>
      </c>
      <c r="AE102">
        <v>50.032699999999998</v>
      </c>
      <c r="AF102">
        <f>IFERROR(SQRT((SUMSQ('Fat Spreads'!AR102:AR121)-2*SUMPRODUCT('Fat Spreads'!AR102:AR121,'Fat Spreads'!AR103:AR122)+SUMSQ('Fat Spreads'!AR103:AR122)-('Fat Spreads'!AR102-'Fat Spreads'!AR122)^2/20)/19),"")</f>
        <v>0</v>
      </c>
      <c r="AH102">
        <f>IFERROR('Fat Spreads'!O102,"")</f>
        <v>0</v>
      </c>
      <c r="AI102">
        <f>IFERROR(('Fat Spreads'!P102-AVERAGE('Fat Spreads'!$P$3:$P$4308))/STDEV('Fat Spreads'!$P$3:$P$4308),"")</f>
        <v>-9.2057461789832332E-2</v>
      </c>
      <c r="AJ102">
        <f>IFERROR('Fat Spreads'!P102-'Fat Spreads'!P107,"")</f>
        <v>0</v>
      </c>
      <c r="AK102">
        <f>IFERROR('Fat Spreads'!P102-'Fat Spreads'!P112,"")</f>
        <v>0</v>
      </c>
      <c r="AL102">
        <f>IFERROR(AVERAGE('Fat Spreads'!P102:P121)+2*STDEV('Fat Spreads'!P102:P121),"")</f>
        <v>0</v>
      </c>
      <c r="AM102">
        <f>IFERROR(AVERAGE('Fat Spreads'!P102:P121)-2*STDEV('Fat Spreads'!P102:P121),"")</f>
        <v>0</v>
      </c>
      <c r="AN102" t="str">
        <f>IFERROR(('Fat Spreads'!P102-(AVERAGE('Fat Spreads'!P102:P121)-2*STDEV('Fat Spreads'!P102:P121)))/(4*STDEV('Fat Spreads'!P102:P121)),"")</f>
        <v/>
      </c>
      <c r="AO102" t="str">
        <f>IFERROR(4*STDEV('Fat Spreads'!P102:P121)/AVERAGE('Fat Spreads'!P102:P121),"")</f>
        <v/>
      </c>
      <c r="AP102">
        <v>59.682000000000002</v>
      </c>
      <c r="AQ102">
        <f>IFERROR(SQRT((SUMSQ('Fat Spreads'!P102:P121)-2*SUMPRODUCT('Fat Spreads'!P102:P121,'Fat Spreads'!P103:P122)+SUMSQ('Fat Spreads'!P103:P122)-('Fat Spreads'!P102-'Fat Spreads'!P122)^2/20)/19),"")</f>
        <v>0</v>
      </c>
      <c r="AS102">
        <f>IFERROR('Fat Spreads'!AJ102,"")</f>
        <v>0</v>
      </c>
      <c r="AT102">
        <f>IFERROR(('Fat Spreads'!AK102-AVERAGE('Fat Spreads'!$AK$3:$AK$4308))/STDEV('Fat Spreads'!$AK$3:$AK$4308),"")</f>
        <v>-9.2057461789832332E-2</v>
      </c>
      <c r="AU102">
        <f>IFERROR('Fat Spreads'!AK102-'Fat Spreads'!AK107,"")</f>
        <v>0</v>
      </c>
      <c r="AV102">
        <f>IFERROR('Fat Spreads'!AK102-'Fat Spreads'!AK112,"")</f>
        <v>0</v>
      </c>
      <c r="AW102">
        <f>IFERROR(AVERAGE('Fat Spreads'!AK102:AK121)+2*STDEV('Fat Spreads'!AK102:AK121),"")</f>
        <v>0</v>
      </c>
      <c r="AX102">
        <f>IFERROR(AVERAGE('Fat Spreads'!AK102:AK121)-2*STDEV('Fat Spreads'!AK102:AK121),"")</f>
        <v>0</v>
      </c>
      <c r="AY102" t="str">
        <f>IFERROR(('Fat Spreads'!AK102-(AVERAGE('Fat Spreads'!AK102:AK121)-2*STDEV('Fat Spreads'!AK102:AK121)))/(4*STDEV('Fat Spreads'!AK102:AK121)),"")</f>
        <v/>
      </c>
      <c r="AZ102" t="str">
        <f>IFERROR(4*STDEV('Fat Spreads'!AK102:AK121)/AVERAGE('Fat Spreads'!AK102:AK121),"")</f>
        <v/>
      </c>
      <c r="BA102">
        <v>59.565199999999997</v>
      </c>
      <c r="BB102">
        <f>IFERROR(SQRT((SUMSQ('Fat Spreads'!AK102:AK121)-2*SUMPRODUCT('Fat Spreads'!AK102:AK121,'Fat Spreads'!AK103:AK122)+SUMSQ('Fat Spreads'!AK103:AK122)-('Fat Spreads'!AK102-'Fat Spreads'!AK122)^2/20)/19),"")</f>
        <v>0</v>
      </c>
      <c r="BD102">
        <f>IFERROR('Fat Spreads'!V102,"")</f>
        <v>0</v>
      </c>
      <c r="BE102">
        <f>IFERROR(('Fat Spreads'!W102-AVERAGE('Fat Spreads'!$W$3:$W$4308))/STDEV('Fat Spreads'!$W$3:$W$4308),"")</f>
        <v>-9.2057461789832332E-2</v>
      </c>
      <c r="BF102">
        <f>IFERROR('Fat Spreads'!W102-'Fat Spreads'!W107,"")</f>
        <v>0</v>
      </c>
      <c r="BG102">
        <f>IFERROR('Fat Spreads'!W102-'Fat Spreads'!W112,"")</f>
        <v>0</v>
      </c>
      <c r="BH102">
        <f>IFERROR(AVERAGE('Fat Spreads'!W102:W121)+2*STDEV('Fat Spreads'!W102:W121),"")</f>
        <v>0</v>
      </c>
      <c r="BI102">
        <f>IFERROR(AVERAGE('Fat Spreads'!W102:W121)-2*STDEV('Fat Spreads'!W102:W121),"")</f>
        <v>0</v>
      </c>
      <c r="BJ102" t="str">
        <f>IFERROR(('Fat Spreads'!W102-(AVERAGE('Fat Spreads'!W102:W121)-2*STDEV('Fat Spreads'!W102:W121)))/(4*STDEV('Fat Spreads'!W102:W121)),"")</f>
        <v/>
      </c>
      <c r="BK102" t="str">
        <f>IFERROR(4*STDEV('Fat Spreads'!W102:W121)/AVERAGE('Fat Spreads'!W102:W121),"")</f>
        <v/>
      </c>
      <c r="BL102">
        <v>46.106000000000002</v>
      </c>
      <c r="BM102">
        <f>IFERROR(SQRT((SUMSQ('Fat Spreads'!W102:W121)-2*SUMPRODUCT('Fat Spreads'!W102:W121,'Fat Spreads'!W103:W122)+SUMSQ('Fat Spreads'!W103:W122)-('Fat Spreads'!W102-'Fat Spreads'!W122)^2/20)/19),"")</f>
        <v>0</v>
      </c>
      <c r="BO102">
        <f>IFERROR('Fat Spreads'!AC102,"")</f>
        <v>0</v>
      </c>
      <c r="BP102">
        <f>IFERROR(('Fat Spreads'!AD102-AVERAGE('Fat Spreads'!$AD$3:$AD$4308))/STDEV('Fat Spreads'!$AD$3:$AD$4308),"")</f>
        <v>-9.2057461789832332E-2</v>
      </c>
      <c r="BQ102">
        <f>IFERROR('Fat Spreads'!AD102-'Fat Spreads'!AD107,"")</f>
        <v>0</v>
      </c>
      <c r="BR102">
        <f>IFERROR('Fat Spreads'!AD102-'Fat Spreads'!AD112,"")</f>
        <v>0</v>
      </c>
      <c r="BS102">
        <f>IFERROR(AVERAGE('Fat Spreads'!AD102:AD121)+2*STDEV('Fat Spreads'!AD102:AD121),"")</f>
        <v>0</v>
      </c>
      <c r="BT102">
        <f>IFERROR(AVERAGE('Fat Spreads'!AD102:AD121)-2*STDEV('Fat Spreads'!AD102:AD121),"")</f>
        <v>0</v>
      </c>
      <c r="BU102" t="str">
        <f>IFERROR(('Fat Spreads'!AD102-(AVERAGE('Fat Spreads'!AD102:AD121)-2*STDEV('Fat Spreads'!AD102:AD121)))/(4*STDEV('Fat Spreads'!AD102:AD121)),"")</f>
        <v/>
      </c>
      <c r="BV102" t="str">
        <f>IFERROR(4*STDEV('Fat Spreads'!AD102:AD121)/AVERAGE('Fat Spreads'!AD102:AD121),"")</f>
        <v/>
      </c>
      <c r="BW102">
        <v>44.256</v>
      </c>
      <c r="BX102">
        <f>IFERROR(SQRT((SUMSQ('Fat Spreads'!AD102:AD121)-2*SUMPRODUCT('Fat Spreads'!AD102:AD121,'Fat Spreads'!AD103:AD122)+SUMSQ('Fat Spreads'!AD103:AD122)-('Fat Spreads'!AD102-'Fat Spreads'!AD122)^2/20)/19),"")</f>
        <v>0</v>
      </c>
      <c r="BZ102">
        <f>IFERROR('Feeder Spreads'!A102,"")</f>
        <v>0</v>
      </c>
      <c r="CA102">
        <f>IFERROR(('Feeder Spreads'!B102-AVERAGE('Feeder Spreads'!$B$3:$B$4308))/STDEV('Feeder Spreads'!$B$3:$B$4308),"")</f>
        <v>-9.2057461789832346E-2</v>
      </c>
      <c r="CB102">
        <f>IFERROR('Feeder Spreads'!B102-'Feeder Spreads'!B107,"")</f>
        <v>0</v>
      </c>
      <c r="CC102">
        <f>IFERROR('Feeder Spreads'!B102-'Feeder Spreads'!B112,"")</f>
        <v>0</v>
      </c>
      <c r="CD102">
        <f>IFERROR(AVERAGE('Feeder Spreads'!B102:B121)+2*STDEV('Feeder Spreads'!B102:B121),"")</f>
        <v>0</v>
      </c>
      <c r="CE102">
        <f>IFERROR(AVERAGE('Feeder Spreads'!B102:B121)-2*STDEV('Feeder Spreads'!B102:B121),"")</f>
        <v>0</v>
      </c>
      <c r="CF102" t="str">
        <f>IFERROR(('Feeder Spreads'!B102-(AVERAGE('Feeder Spreads'!B102:B121)-2*STDEV('Feeder Spreads'!B102:B121)))/(4*STDEV('Feeder Spreads'!B102:B121)),"")</f>
        <v/>
      </c>
      <c r="CG102" t="str">
        <f>IFERROR(4*STDEV('Feeder Spreads'!B102:B121)/AVERAGE('Feeder Spreads'!B102:B121),"")</f>
        <v/>
      </c>
      <c r="CH102">
        <v>51.241500000000002</v>
      </c>
      <c r="CI102">
        <f>IFERROR(SQRT((SUMSQ('Feeder Spreads'!B102:B121)-2*SUMPRODUCT('Feeder Spreads'!B102:B121,'Feeder Spreads'!B103:B122)+SUMSQ('Feeder Spreads'!B103:B122)-('Feeder Spreads'!B102-'Feeder Spreads'!B122)^2/20)/19),"")</f>
        <v>0</v>
      </c>
      <c r="CK102">
        <f>IFERROR('Feeder Spreads'!AX102,"")</f>
        <v>0</v>
      </c>
      <c r="CL102">
        <f>IFERROR(('Feeder Spreads'!AY102-AVERAGE('Feeder Spreads'!$AY$3:$AY$4308))/STDEV('Feeder Spreads'!$AY$3:$AY$4308),"")</f>
        <v>-9.2057461789832346E-2</v>
      </c>
      <c r="CM102">
        <f>IFERROR('Feeder Spreads'!AY102-'Feeder Spreads'!AY107,"")</f>
        <v>0</v>
      </c>
      <c r="CN102">
        <f>IFERROR('Feeder Spreads'!AY102-'Feeder Spreads'!AY112,"")</f>
        <v>0</v>
      </c>
      <c r="CO102">
        <f>IFERROR(AVERAGE('Feeder Spreads'!AY102:AY121)+2*STDEV('Feeder Spreads'!AY102:AY121),"")</f>
        <v>0</v>
      </c>
      <c r="CP102">
        <f>IFERROR(AVERAGE('Feeder Spreads'!AY102:AY121)-2*STDEV('Feeder Spreads'!AY102:AY121),"")</f>
        <v>0</v>
      </c>
      <c r="CQ102" t="str">
        <f>IFERROR(('Feeder Spreads'!AY102-(AVERAGE('Feeder Spreads'!AY102:AY121)-2*STDEV('Feeder Spreads'!AY102:AY121)))/(4*STDEV('Feeder Spreads'!AY102:AY121)),"")</f>
        <v/>
      </c>
      <c r="CR102" t="str">
        <f>IFERROR(4*STDEV('Feeder Spreads'!AY102:AY121)/AVERAGE('Feeder Spreads'!AY102:AY121),"")</f>
        <v/>
      </c>
      <c r="CS102">
        <v>32.8568</v>
      </c>
      <c r="CT102">
        <f>IFERROR(SQRT((SUMSQ('Feeder Spreads'!AY102:AY121)-2*SUMPRODUCT('Feeder Spreads'!AY102:AY121,'Feeder Spreads'!AY103:AY122)+SUMSQ('Feeder Spreads'!AY103:AY122)-('Feeder Spreads'!AY102-'Feeder Spreads'!AY122)^2/20)/19),"")</f>
        <v>0</v>
      </c>
      <c r="CV102">
        <f>IFERROR('Feeder Spreads'!H102,"")</f>
        <v>0</v>
      </c>
      <c r="CW102">
        <f>IFERROR(('Feeder Spreads'!I102-AVERAGE('Feeder Spreads'!$I$3:$I$4308))/STDEV('Feeder Spreads'!$I$3:$I$4308),"")</f>
        <v>-9.2057461789832332E-2</v>
      </c>
      <c r="CX102">
        <f>IFERROR('Feeder Spreads'!I102-'Feeder Spreads'!I107,"")</f>
        <v>0</v>
      </c>
      <c r="CY102">
        <f>IFERROR('Feeder Spreads'!I102-'Feeder Spreads'!I112,"")</f>
        <v>0</v>
      </c>
      <c r="CZ102">
        <f>IFERROR(AVERAGE('Feeder Spreads'!I102:I121)+2*STDEV('Feeder Spreads'!I102:I121),"")</f>
        <v>0</v>
      </c>
      <c r="DA102">
        <f>IFERROR(AVERAGE('Feeder Spreads'!I102:I121)-2*STDEV('Feeder Spreads'!I102:I121),"")</f>
        <v>0</v>
      </c>
      <c r="DB102" t="str">
        <f>IFERROR(('Feeder Spreads'!I102-(AVERAGE('Feeder Spreads'!I102:I121)-2*STDEV('Feeder Spreads'!I102:I121)))/(4*STDEV('Feeder Spreads'!I102:I121)),"")</f>
        <v/>
      </c>
      <c r="DC102" t="str">
        <f>IFERROR(4*STDEV('Feeder Spreads'!I102:I121)/AVERAGE('Feeder Spreads'!I102:I121),"")</f>
        <v/>
      </c>
      <c r="DD102">
        <v>48.8185</v>
      </c>
      <c r="DE102">
        <f>IFERROR(SQRT((SUMSQ('Feeder Spreads'!I102:I121)-2*SUMPRODUCT('Feeder Spreads'!I102:I121,'Feeder Spreads'!I103:I122)+SUMSQ('Feeder Spreads'!I103:I122)-('Feeder Spreads'!I102-'Feeder Spreads'!I122)^2/20)/19),"")</f>
        <v>0</v>
      </c>
      <c r="DG102">
        <f>IFERROR('Feeder Spreads'!O102,"")</f>
        <v>0</v>
      </c>
      <c r="DH102">
        <f>IFERROR(('Feeder Spreads'!P102-AVERAGE('Feeder Spreads'!$P$3:$P$4308))/STDEV('Feeder Spreads'!$P$3:$P$4308),"")</f>
        <v>-9.2057461789832346E-2</v>
      </c>
      <c r="DI102">
        <f>IFERROR('Feeder Spreads'!P102-'Feeder Spreads'!P107,"")</f>
        <v>0</v>
      </c>
      <c r="DJ102">
        <f>IFERROR('Feeder Spreads'!P102-'Feeder Spreads'!P112,"")</f>
        <v>0</v>
      </c>
      <c r="DK102">
        <f>IFERROR(AVERAGE('Feeder Spreads'!P102:P121)+2*STDEV('Feeder Spreads'!P102:P121),"")</f>
        <v>0</v>
      </c>
      <c r="DL102">
        <f>IFERROR(AVERAGE('Feeder Spreads'!P102:P121)-2*STDEV('Feeder Spreads'!P102:P121),"")</f>
        <v>0</v>
      </c>
      <c r="DM102" t="str">
        <f>IFERROR(('Feeder Spreads'!P102-(AVERAGE('Feeder Spreads'!P102:P121)-2*STDEV('Feeder Spreads'!P102:P121)))/(4*STDEV('Feeder Spreads'!P102:P121)),"")</f>
        <v/>
      </c>
      <c r="DN102" t="str">
        <f>IFERROR(4*STDEV('Feeder Spreads'!P102:P121)/AVERAGE('Feeder Spreads'!P102:P121),"")</f>
        <v/>
      </c>
      <c r="DO102">
        <v>63.700699999999998</v>
      </c>
      <c r="DP102">
        <f>IFERROR(SQRT((SUMSQ('Feeder Spreads'!P102:P121)-2*SUMPRODUCT('Feeder Spreads'!P102:P121,'Feeder Spreads'!P103:P122)+SUMSQ('Feeder Spreads'!P103:P122)-('Feeder Spreads'!P102-'Feeder Spreads'!P122)^2/20)/19),"")</f>
        <v>0</v>
      </c>
      <c r="DR102">
        <f>IFERROR('Feeder Spreads'!V102,"")</f>
        <v>0</v>
      </c>
      <c r="DS102">
        <f>IFERROR(('Feeder Spreads'!W102-AVERAGE('Feeder Spreads'!$W$3:$W$4308))/STDEV('Feeder Spreads'!$W$3:$W$4308),"")</f>
        <v>-9.2057461789832332E-2</v>
      </c>
      <c r="DT102">
        <f>IFERROR('Feeder Spreads'!W102-'Feeder Spreads'!W107,"")</f>
        <v>0</v>
      </c>
      <c r="DU102">
        <f>IFERROR('Feeder Spreads'!W102-'Feeder Spreads'!W112,"")</f>
        <v>0</v>
      </c>
      <c r="DV102">
        <f>IFERROR(AVERAGE('Feeder Spreads'!W102:W121)+2*STDEV('Feeder Spreads'!W102:W121),"")</f>
        <v>0</v>
      </c>
      <c r="DW102">
        <f>IFERROR(AVERAGE('Feeder Spreads'!W102:W121)-2*STDEV('Feeder Spreads'!W102:W121),"")</f>
        <v>0</v>
      </c>
      <c r="DX102" t="str">
        <f>IFERROR(('Feeder Spreads'!W102-(AVERAGE('Feeder Spreads'!W102:W121)-2*STDEV('Feeder Spreads'!W102:W121)))/(4*STDEV('Feeder Spreads'!W102:W121)),"")</f>
        <v/>
      </c>
      <c r="DY102" t="str">
        <f>IFERROR(4*STDEV('Feeder Spreads'!W102:W121)/AVERAGE('Feeder Spreads'!W102:W121),"")</f>
        <v/>
      </c>
      <c r="DZ102">
        <v>37.3506</v>
      </c>
      <c r="EA102">
        <f>IFERROR(SQRT((SUMSQ('Feeder Spreads'!W102:W121)-2*SUMPRODUCT('Feeder Spreads'!W102:W121,'Feeder Spreads'!W103:W122)+SUMSQ('Feeder Spreads'!W103:W122)-('Feeder Spreads'!W102-'Feeder Spreads'!W122)^2/20)/19),"")</f>
        <v>0</v>
      </c>
      <c r="EC102">
        <f>IFERROR('Feeder Spreads'!AC102,"")</f>
        <v>0</v>
      </c>
      <c r="ED102">
        <f>IFERROR(('Feeder Spreads'!AD102-AVERAGE('Feeder Spreads'!$AD$3:$AD$4308))/STDEV('Feeder Spreads'!$AD$3:$AD$4308),"")</f>
        <v>9.2057461789832318E-2</v>
      </c>
      <c r="EE102">
        <f>IFERROR('Feeder Spreads'!AD102-'Feeder Spreads'!AD107,"")</f>
        <v>0</v>
      </c>
      <c r="EF102">
        <f>IFERROR('Feeder Spreads'!AD102-'Feeder Spreads'!AD112,"")</f>
        <v>0</v>
      </c>
      <c r="EG102">
        <f>IFERROR(AVERAGE('Feeder Spreads'!AD102:AD121)+2*STDEV('Feeder Spreads'!AD102:AD121),"")</f>
        <v>0</v>
      </c>
      <c r="EH102">
        <f>IFERROR(AVERAGE('Feeder Spreads'!AD102:AD121)-2*STDEV('Feeder Spreads'!AD102:AD121),"")</f>
        <v>0</v>
      </c>
      <c r="EI102" t="str">
        <f>IFERROR(('Feeder Spreads'!AD102-(AVERAGE('Feeder Spreads'!AD102:AD121)-2*STDEV('Feeder Spreads'!AD102:AD121)))/(4*STDEV('Feeder Spreads'!AD102:AD121)),"")</f>
        <v/>
      </c>
      <c r="EJ102" t="str">
        <f>IFERROR(4*STDEV('Feeder Spreads'!AD102:AD121)/AVERAGE('Feeder Spreads'!AD102:AD121),"")</f>
        <v/>
      </c>
      <c r="EK102">
        <v>48.690800000000003</v>
      </c>
      <c r="EL102">
        <f>IFERROR(SQRT((SUMSQ('Feeder Spreads'!AD102:AD121)-2*SUMPRODUCT('Feeder Spreads'!AD102:AD121,'Feeder Spreads'!AD103:AD122)+SUMSQ('Feeder Spreads'!AD103:AD122)-('Feeder Spreads'!AD102-'Feeder Spreads'!AD122)^2/20)/19),"")</f>
        <v>0</v>
      </c>
      <c r="EN102">
        <f>IFERROR('Feeder Spreads'!AJ102,"")</f>
        <v>0</v>
      </c>
      <c r="EO102">
        <f>IFERROR(('Feeder Spreads'!AK102-AVERAGE('Feeder Spreads'!$AK$3:$AK$4308))/STDEV('Feeder Spreads'!$AK$3:$AK$4308),"")</f>
        <v>-9.2057461789832346E-2</v>
      </c>
      <c r="EP102">
        <f>IFERROR('Feeder Spreads'!AK102-'Feeder Spreads'!AK107,"")</f>
        <v>0</v>
      </c>
      <c r="EQ102">
        <f>IFERROR('Feeder Spreads'!AK102-'Feeder Spreads'!AK112,"")</f>
        <v>0</v>
      </c>
      <c r="ER102">
        <f>IFERROR(AVERAGE('Feeder Spreads'!AK102:AK121)+2*STDEV('Feeder Spreads'!AK102:AK121),"")</f>
        <v>0</v>
      </c>
      <c r="ES102">
        <f>IFERROR(AVERAGE('Feeder Spreads'!AK102:AK121)-2*STDEV('Feeder Spreads'!AK102:AK121),"")</f>
        <v>0</v>
      </c>
      <c r="ET102" t="str">
        <f>IFERROR(('Feeder Spreads'!AK102-(AVERAGE('Feeder Spreads'!AK102:AK121)-2*STDEV('Feeder Spreads'!AK102:AK121)))/(4*STDEV('Feeder Spreads'!AK102:AK121)),"")</f>
        <v/>
      </c>
      <c r="EU102" t="str">
        <f>IFERROR(4*STDEV('Feeder Spreads'!AK102:AK121)/AVERAGE('Feeder Spreads'!AK102:AK121),"")</f>
        <v/>
      </c>
      <c r="EV102">
        <v>55.006300000000003</v>
      </c>
      <c r="EW102">
        <f>IFERROR(SQRT((SUMSQ('Feeder Spreads'!AK102:AK121)-2*SUMPRODUCT('Feeder Spreads'!AK102:AK121,'Feeder Spreads'!AK103:AK122)+SUMSQ('Feeder Spreads'!AK103:AK122)-('Feeder Spreads'!AK102-'Feeder Spreads'!AK122)^2/20)/19),"")</f>
        <v>0</v>
      </c>
      <c r="EY102">
        <f>IFERROR('Feeder Spreads'!AQ102,"")</f>
        <v>0</v>
      </c>
      <c r="EZ102">
        <f>IFERROR(('Feeder Spreads'!AR102-AVERAGE('Feeder Spreads'!$AR$3:$AR$4308))/STDEV('Feeder Spreads'!$AR$3:$AR$4308),"")</f>
        <v>-9.2057461789832332E-2</v>
      </c>
      <c r="FA102">
        <f>IFERROR('Feeder Spreads'!AR102-'Feeder Spreads'!AR107,"")</f>
        <v>0</v>
      </c>
      <c r="FB102">
        <f>IFERROR('Feeder Spreads'!AR102-'Feeder Spreads'!AR112,"")</f>
        <v>0</v>
      </c>
      <c r="FC102">
        <f>IFERROR(AVERAGE('Feeder Spreads'!AR102:AR121)+2*STDEV('Feeder Spreads'!AR102:AR121),"")</f>
        <v>0</v>
      </c>
      <c r="FD102">
        <f>IFERROR(AVERAGE('Feeder Spreads'!AR102:AR121)-2*STDEV('Feeder Spreads'!AR102:AR121),"")</f>
        <v>0</v>
      </c>
      <c r="FE102" t="str">
        <f>IFERROR(('Feeder Spreads'!AR102-(AVERAGE('Feeder Spreads'!AR102:AR121)-2*STDEV('Feeder Spreads'!AR102:AR121)))/(4*STDEV('Feeder Spreads'!AR102:AR121)),"")</f>
        <v/>
      </c>
      <c r="FF102" t="str">
        <f>IFERROR(4*STDEV('Feeder Spreads'!AR102:AR121)/AVERAGE('Feeder Spreads'!AR102:AR121),"")</f>
        <v/>
      </c>
      <c r="FG102">
        <v>61.259099999999997</v>
      </c>
      <c r="FH102">
        <f>IFERROR(SQRT((SUMSQ('Feeder Spreads'!AR102:AR121)-2*SUMPRODUCT('Feeder Spreads'!AR102:AR121,'Feeder Spreads'!AR103:AR122)+SUMSQ('Feeder Spreads'!AR103:AR122)-('Feeder Spreads'!AR102-'Feeder Spreads'!AR122)^2/20)/19),"")</f>
        <v>0</v>
      </c>
      <c r="FJ102">
        <f>IFERROR('Fat Spreads'!AX102,"")</f>
        <v>0</v>
      </c>
      <c r="FK102">
        <f>IFERROR(('Fat Spreads'!AY102-AVERAGE('Fat Spreads'!$AY$3:$AY$4308))/STDEV('Fat Spreads'!$AY$3:$AY$4308),"")</f>
        <v>9.2057461789832332E-2</v>
      </c>
      <c r="FL102">
        <f>IFERROR('Fat Spreads'!AY102-'Fat Spreads'!AY107,"")</f>
        <v>0</v>
      </c>
      <c r="FM102">
        <f>IFERROR('Fat Spreads'!AY102-'Fat Spreads'!AY112,"")</f>
        <v>0</v>
      </c>
      <c r="FN102">
        <f>IFERROR(AVERAGE('Fat Spreads'!AY102:AY121)+2*STDEV('Fat Spreads'!AY102:AY121),"")</f>
        <v>0</v>
      </c>
      <c r="FO102">
        <f>IFERROR(AVERAGE('Fat Spreads'!AY102:AY121)-2*STDEV('Fat Spreads'!AY102:AY121),"")</f>
        <v>0</v>
      </c>
      <c r="FP102" t="str">
        <f>IFERROR(('Fat Spreads'!AY102-(AVERAGE('Fat Spreads'!AY102:AY121)-2*STDEV('Fat Spreads'!AY102:AY121)))/(4*STDEV('Fat Spreads'!AY102:AY121)),"")</f>
        <v/>
      </c>
      <c r="FQ102" t="str">
        <f>IFERROR(4*STDEV('Fat Spreads'!AY102:AY121)/AVERAGE('Fat Spreads'!AY102:AY121),"")</f>
        <v/>
      </c>
      <c r="FR102">
        <v>56.959299999999999</v>
      </c>
      <c r="FS102">
        <f>IFERROR(SQRT((SUMSQ('Fat Spreads'!AY102:AY121)-2*SUMPRODUCT('Fat Spreads'!AY102:AY121,'Fat Spreads'!AY103:AY122)+SUMSQ('Fat Spreads'!AY103:AY122)-('Fat Spreads'!AY102-'Fat Spreads'!AY122)^2/20)/19),"")</f>
        <v>0</v>
      </c>
      <c r="FU102">
        <f>IFERROR('Fat Spreads'!BE102,"")</f>
        <v>0</v>
      </c>
      <c r="FV102">
        <f>IFERROR(('Fat Spreads'!BF102-AVERAGE('Fat Spreads'!$BF$3:$BF$4308))/STDEV('Fat Spreads'!$BF$3:$BF$4308),"")</f>
        <v>9.2057461789832332E-2</v>
      </c>
      <c r="FW102">
        <f>IFERROR('Fat Spreads'!BF102-'Fat Spreads'!BF107,"")</f>
        <v>0</v>
      </c>
      <c r="FX102">
        <f>IFERROR('Fat Spreads'!BF102-'Fat Spreads'!BF112,"")</f>
        <v>0</v>
      </c>
      <c r="FY102">
        <f>IFERROR(AVERAGE('Fat Spreads'!BF102:BF121)+2*STDEV('Fat Spreads'!BF102:BF121),"")</f>
        <v>0</v>
      </c>
      <c r="FZ102">
        <f>IFERROR(AVERAGE('Fat Spreads'!BF102:BF121)-2*STDEV('Fat Spreads'!BF102:BF121),"")</f>
        <v>0</v>
      </c>
      <c r="GA102" t="str">
        <f>IFERROR(('Fat Spreads'!BF102-(AVERAGE('Fat Spreads'!BF102:BF121)-2*STDEV('Fat Spreads'!BF102:BF121)))/(4*STDEV('Fat Spreads'!BF102:BF121)),"")</f>
        <v/>
      </c>
      <c r="GB102" t="str">
        <f>IFERROR(4*STDEV('Fat Spreads'!BF102:BF121)/AVERAGE('Fat Spreads'!BF102:BF121),"")</f>
        <v/>
      </c>
      <c r="GC102">
        <v>53.996000000000002</v>
      </c>
      <c r="GD102">
        <f>IFERROR(SQRT((SUMSQ('Fat Spreads'!BF102:BF121)-2*SUMPRODUCT('Fat Spreads'!BF102:BF121,'Fat Spreads'!BF103:BF122)+SUMSQ('Fat Spreads'!BF103:BF122)-('Fat Spreads'!BF102-'Fat Spreads'!BF122)^2/20)/19),"")</f>
        <v>0</v>
      </c>
    </row>
    <row r="103" spans="1:186" x14ac:dyDescent="0.25">
      <c r="A103">
        <f>IFERROR('Fat Spreads'!A103,"")</f>
        <v>0</v>
      </c>
      <c r="B103">
        <f>IFERROR(('Fat Spreads'!B103-AVERAGE('Fat Spreads'!$B$3:$B$4308))/STDEV('Fat Spreads'!$B$3:$B$4308),"")</f>
        <v>9.2057461789832346E-2</v>
      </c>
      <c r="C103">
        <f>IFERROR('Fat Spreads'!B103-'Fat Spreads'!B108,"")</f>
        <v>0</v>
      </c>
      <c r="D103">
        <f>IFERROR('Fat Spreads'!B103-'Fat Spreads'!B113,"")</f>
        <v>0</v>
      </c>
      <c r="E103">
        <f>IFERROR(AVERAGE('Fat Spreads'!B103:B122)+2*STDEV('Fat Spreads'!B103:B122),"")</f>
        <v>0</v>
      </c>
      <c r="F103">
        <f>IFERROR(AVERAGE('Fat Spreads'!B103:B122)-2*STDEV('Fat Spreads'!B103:B122),"")</f>
        <v>0</v>
      </c>
      <c r="G103" t="str">
        <f>IFERROR(('Fat Spreads'!B103-(AVERAGE('Fat Spreads'!B103:B122)-2*STDEV('Fat Spreads'!B103:B122)))/(4*STDEV('Fat Spreads'!B103:B122)),"")</f>
        <v/>
      </c>
      <c r="H103" t="str">
        <f>IFERROR(4*STDEV('Fat Spreads'!B103:B122)/AVERAGE('Fat Spreads'!B103:B122),"")</f>
        <v/>
      </c>
      <c r="I103">
        <v>52.389299999999999</v>
      </c>
      <c r="J103">
        <f>IFERROR(SQRT((SUMSQ('Fat Spreads'!B103:B122)-2*SUMPRODUCT('Fat Spreads'!B103:B122,'Fat Spreads'!B104:B123)+SUMSQ('Fat Spreads'!B104:B123)-('Fat Spreads'!B103-'Fat Spreads'!B123)^2/20)/19),"")</f>
        <v>0</v>
      </c>
      <c r="L103">
        <f>IFERROR('Fat Spreads'!H103,"")</f>
        <v>0</v>
      </c>
      <c r="M103">
        <f>IFERROR(('Fat Spreads'!I103-AVERAGE('Fat Spreads'!$I$3:$I$4308))/STDEV('Fat Spreads'!$I$3:$I$4308),"")</f>
        <v>-9.2057461789832332E-2</v>
      </c>
      <c r="N103">
        <f>IFERROR('Fat Spreads'!I103-'Fat Spreads'!I108,"")</f>
        <v>0</v>
      </c>
      <c r="O103">
        <f>IFERROR('Fat Spreads'!I103-'Fat Spreads'!I113,"")</f>
        <v>0</v>
      </c>
      <c r="P103">
        <f>IFERROR(AVERAGE('Fat Spreads'!I103:I122)+2*STDEV('Fat Spreads'!I103:I122),"")</f>
        <v>0</v>
      </c>
      <c r="Q103">
        <f>IFERROR(AVERAGE('Fat Spreads'!I103:I122)-2*STDEV('Fat Spreads'!I103:I122),"")</f>
        <v>0</v>
      </c>
      <c r="R103" t="str">
        <f>IFERROR(('Fat Spreads'!I103-(AVERAGE('Fat Spreads'!I103:I122)-2*STDEV('Fat Spreads'!I103:I122)))/(4*STDEV('Fat Spreads'!I103:I122)),"")</f>
        <v/>
      </c>
      <c r="S103" t="str">
        <f>IFERROR(4*STDEV('Fat Spreads'!I103:I122)/AVERAGE('Fat Spreads'!I103:I122),"")</f>
        <v/>
      </c>
      <c r="T103">
        <v>54.752099999999999</v>
      </c>
      <c r="U103">
        <f>IFERROR(SQRT((SUMSQ('Fat Spreads'!I103:I122)-2*SUMPRODUCT('Fat Spreads'!I103:I122,'Fat Spreads'!I104:I123)+SUMSQ('Fat Spreads'!I104:I123)-('Fat Spreads'!I103-'Fat Spreads'!I123)^2/20)/19),"")</f>
        <v>0</v>
      </c>
      <c r="W103">
        <f>IFERROR('Fat Spreads'!AQ103,"")</f>
        <v>0</v>
      </c>
      <c r="X103">
        <f>IFERROR(('Fat Spreads'!AR103-AVERAGE('Fat Spreads'!$AR$3:$AR$4308))/STDEV('Fat Spreads'!$AR$3:$AR$4308),"")</f>
        <v>-9.2057461789832346E-2</v>
      </c>
      <c r="Y103">
        <f>IFERROR('Fat Spreads'!AR103-'Fat Spreads'!AR108,"")</f>
        <v>0</v>
      </c>
      <c r="Z103">
        <f>IFERROR('Fat Spreads'!AR103-'Fat Spreads'!AR113,"")</f>
        <v>0</v>
      </c>
      <c r="AA103">
        <f>IFERROR(AVERAGE('Fat Spreads'!AR103:AR122)+2*STDEV('Fat Spreads'!AR103:AR122),"")</f>
        <v>0</v>
      </c>
      <c r="AB103">
        <f>IFERROR(AVERAGE('Fat Spreads'!AR103:AR122)-2*STDEV('Fat Spreads'!AR103:AR122),"")</f>
        <v>0</v>
      </c>
      <c r="AC103" t="str">
        <f>IFERROR(('Fat Spreads'!AR103-(AVERAGE('Fat Spreads'!AR103:AR122)-2*STDEV('Fat Spreads'!AR103:AR122)))/(4*STDEV('Fat Spreads'!AR103:AR122)),"")</f>
        <v/>
      </c>
      <c r="AD103" t="str">
        <f>IFERROR(4*STDEV('Fat Spreads'!AR103:AR122)/AVERAGE('Fat Spreads'!AR103:AR122),"")</f>
        <v/>
      </c>
      <c r="AE103">
        <v>44.310299999999998</v>
      </c>
      <c r="AF103">
        <f>IFERROR(SQRT((SUMSQ('Fat Spreads'!AR103:AR122)-2*SUMPRODUCT('Fat Spreads'!AR103:AR122,'Fat Spreads'!AR104:AR123)+SUMSQ('Fat Spreads'!AR104:AR123)-('Fat Spreads'!AR103-'Fat Spreads'!AR123)^2/20)/19),"")</f>
        <v>0</v>
      </c>
      <c r="AH103">
        <f>IFERROR('Fat Spreads'!O103,"")</f>
        <v>0</v>
      </c>
      <c r="AI103">
        <f>IFERROR(('Fat Spreads'!P103-AVERAGE('Fat Spreads'!$P$3:$P$4308))/STDEV('Fat Spreads'!$P$3:$P$4308),"")</f>
        <v>-9.2057461789832332E-2</v>
      </c>
      <c r="AJ103">
        <f>IFERROR('Fat Spreads'!P103-'Fat Spreads'!P108,"")</f>
        <v>0</v>
      </c>
      <c r="AK103">
        <f>IFERROR('Fat Spreads'!P103-'Fat Spreads'!P113,"")</f>
        <v>0</v>
      </c>
      <c r="AL103">
        <f>IFERROR(AVERAGE('Fat Spreads'!P103:P122)+2*STDEV('Fat Spreads'!P103:P122),"")</f>
        <v>0</v>
      </c>
      <c r="AM103">
        <f>IFERROR(AVERAGE('Fat Spreads'!P103:P122)-2*STDEV('Fat Spreads'!P103:P122),"")</f>
        <v>0</v>
      </c>
      <c r="AN103" t="str">
        <f>IFERROR(('Fat Spreads'!P103-(AVERAGE('Fat Spreads'!P103:P122)-2*STDEV('Fat Spreads'!P103:P122)))/(4*STDEV('Fat Spreads'!P103:P122)),"")</f>
        <v/>
      </c>
      <c r="AO103" t="str">
        <f>IFERROR(4*STDEV('Fat Spreads'!P103:P122)/AVERAGE('Fat Spreads'!P103:P122),"")</f>
        <v/>
      </c>
      <c r="AP103">
        <v>59.899799999999999</v>
      </c>
      <c r="AQ103">
        <f>IFERROR(SQRT((SUMSQ('Fat Spreads'!P103:P122)-2*SUMPRODUCT('Fat Spreads'!P103:P122,'Fat Spreads'!P104:P123)+SUMSQ('Fat Spreads'!P104:P123)-('Fat Spreads'!P103-'Fat Spreads'!P123)^2/20)/19),"")</f>
        <v>0</v>
      </c>
      <c r="AS103">
        <f>IFERROR('Fat Spreads'!AJ103,"")</f>
        <v>0</v>
      </c>
      <c r="AT103">
        <f>IFERROR(('Fat Spreads'!AK103-AVERAGE('Fat Spreads'!$AK$3:$AK$4308))/STDEV('Fat Spreads'!$AK$3:$AK$4308),"")</f>
        <v>-9.2057461789832332E-2</v>
      </c>
      <c r="AU103">
        <f>IFERROR('Fat Spreads'!AK103-'Fat Spreads'!AK108,"")</f>
        <v>0</v>
      </c>
      <c r="AV103">
        <f>IFERROR('Fat Spreads'!AK103-'Fat Spreads'!AK113,"")</f>
        <v>0</v>
      </c>
      <c r="AW103">
        <f>IFERROR(AVERAGE('Fat Spreads'!AK103:AK122)+2*STDEV('Fat Spreads'!AK103:AK122),"")</f>
        <v>0</v>
      </c>
      <c r="AX103">
        <f>IFERROR(AVERAGE('Fat Spreads'!AK103:AK122)-2*STDEV('Fat Spreads'!AK103:AK122),"")</f>
        <v>0</v>
      </c>
      <c r="AY103" t="str">
        <f>IFERROR(('Fat Spreads'!AK103-(AVERAGE('Fat Spreads'!AK103:AK122)-2*STDEV('Fat Spreads'!AK103:AK122)))/(4*STDEV('Fat Spreads'!AK103:AK122)),"")</f>
        <v/>
      </c>
      <c r="AZ103" t="str">
        <f>IFERROR(4*STDEV('Fat Spreads'!AK103:AK122)/AVERAGE('Fat Spreads'!AK103:AK122),"")</f>
        <v/>
      </c>
      <c r="BA103">
        <v>58.363799999999998</v>
      </c>
      <c r="BB103">
        <f>IFERROR(SQRT((SUMSQ('Fat Spreads'!AK103:AK122)-2*SUMPRODUCT('Fat Spreads'!AK103:AK122,'Fat Spreads'!AK104:AK123)+SUMSQ('Fat Spreads'!AK104:AK123)-('Fat Spreads'!AK103-'Fat Spreads'!AK123)^2/20)/19),"")</f>
        <v>0</v>
      </c>
      <c r="BD103">
        <f>IFERROR('Fat Spreads'!V103,"")</f>
        <v>0</v>
      </c>
      <c r="BE103">
        <f>IFERROR(('Fat Spreads'!W103-AVERAGE('Fat Spreads'!$W$3:$W$4308))/STDEV('Fat Spreads'!$W$3:$W$4308),"")</f>
        <v>-9.2057461789832332E-2</v>
      </c>
      <c r="BF103">
        <f>IFERROR('Fat Spreads'!W103-'Fat Spreads'!W108,"")</f>
        <v>0</v>
      </c>
      <c r="BG103">
        <f>IFERROR('Fat Spreads'!W103-'Fat Spreads'!W113,"")</f>
        <v>0</v>
      </c>
      <c r="BH103">
        <f>IFERROR(AVERAGE('Fat Spreads'!W103:W122)+2*STDEV('Fat Spreads'!W103:W122),"")</f>
        <v>0</v>
      </c>
      <c r="BI103">
        <f>IFERROR(AVERAGE('Fat Spreads'!W103:W122)-2*STDEV('Fat Spreads'!W103:W122),"")</f>
        <v>0</v>
      </c>
      <c r="BJ103" t="str">
        <f>IFERROR(('Fat Spreads'!W103-(AVERAGE('Fat Spreads'!W103:W122)-2*STDEV('Fat Spreads'!W103:W122)))/(4*STDEV('Fat Spreads'!W103:W122)),"")</f>
        <v/>
      </c>
      <c r="BK103" t="str">
        <f>IFERROR(4*STDEV('Fat Spreads'!W103:W122)/AVERAGE('Fat Spreads'!W103:W122),"")</f>
        <v/>
      </c>
      <c r="BL103">
        <v>40.979300000000002</v>
      </c>
      <c r="BM103">
        <f>IFERROR(SQRT((SUMSQ('Fat Spreads'!W103:W122)-2*SUMPRODUCT('Fat Spreads'!W103:W122,'Fat Spreads'!W104:W123)+SUMSQ('Fat Spreads'!W104:W123)-('Fat Spreads'!W103-'Fat Spreads'!W123)^2/20)/19),"")</f>
        <v>0</v>
      </c>
      <c r="BO103">
        <f>IFERROR('Fat Spreads'!AC103,"")</f>
        <v>0</v>
      </c>
      <c r="BP103">
        <f>IFERROR(('Fat Spreads'!AD103-AVERAGE('Fat Spreads'!$AD$3:$AD$4308))/STDEV('Fat Spreads'!$AD$3:$AD$4308),"")</f>
        <v>-9.2057461789832332E-2</v>
      </c>
      <c r="BQ103">
        <f>IFERROR('Fat Spreads'!AD103-'Fat Spreads'!AD108,"")</f>
        <v>0</v>
      </c>
      <c r="BR103">
        <f>IFERROR('Fat Spreads'!AD103-'Fat Spreads'!AD113,"")</f>
        <v>0</v>
      </c>
      <c r="BS103">
        <f>IFERROR(AVERAGE('Fat Spreads'!AD103:AD122)+2*STDEV('Fat Spreads'!AD103:AD122),"")</f>
        <v>0</v>
      </c>
      <c r="BT103">
        <f>IFERROR(AVERAGE('Fat Spreads'!AD103:AD122)-2*STDEV('Fat Spreads'!AD103:AD122),"")</f>
        <v>0</v>
      </c>
      <c r="BU103" t="str">
        <f>IFERROR(('Fat Spreads'!AD103-(AVERAGE('Fat Spreads'!AD103:AD122)-2*STDEV('Fat Spreads'!AD103:AD122)))/(4*STDEV('Fat Spreads'!AD103:AD122)),"")</f>
        <v/>
      </c>
      <c r="BV103" t="str">
        <f>IFERROR(4*STDEV('Fat Spreads'!AD103:AD122)/AVERAGE('Fat Spreads'!AD103:AD122),"")</f>
        <v/>
      </c>
      <c r="BW103">
        <v>53.198999999999998</v>
      </c>
      <c r="BX103">
        <f>IFERROR(SQRT((SUMSQ('Fat Spreads'!AD103:AD122)-2*SUMPRODUCT('Fat Spreads'!AD103:AD122,'Fat Spreads'!AD104:AD123)+SUMSQ('Fat Spreads'!AD104:AD123)-('Fat Spreads'!AD103-'Fat Spreads'!AD123)^2/20)/19),"")</f>
        <v>0</v>
      </c>
      <c r="BZ103">
        <f>IFERROR('Feeder Spreads'!A103,"")</f>
        <v>0</v>
      </c>
      <c r="CA103">
        <f>IFERROR(('Feeder Spreads'!B103-AVERAGE('Feeder Spreads'!$B$3:$B$4308))/STDEV('Feeder Spreads'!$B$3:$B$4308),"")</f>
        <v>-9.2057461789832346E-2</v>
      </c>
      <c r="CB103">
        <f>IFERROR('Feeder Spreads'!B103-'Feeder Spreads'!B108,"")</f>
        <v>0</v>
      </c>
      <c r="CC103">
        <f>IFERROR('Feeder Spreads'!B103-'Feeder Spreads'!B113,"")</f>
        <v>0</v>
      </c>
      <c r="CD103">
        <f>IFERROR(AVERAGE('Feeder Spreads'!B103:B122)+2*STDEV('Feeder Spreads'!B103:B122),"")</f>
        <v>0</v>
      </c>
      <c r="CE103">
        <f>IFERROR(AVERAGE('Feeder Spreads'!B103:B122)-2*STDEV('Feeder Spreads'!B103:B122),"")</f>
        <v>0</v>
      </c>
      <c r="CF103" t="str">
        <f>IFERROR(('Feeder Spreads'!B103-(AVERAGE('Feeder Spreads'!B103:B122)-2*STDEV('Feeder Spreads'!B103:B122)))/(4*STDEV('Feeder Spreads'!B103:B122)),"")</f>
        <v/>
      </c>
      <c r="CG103" t="str">
        <f>IFERROR(4*STDEV('Feeder Spreads'!B103:B122)/AVERAGE('Feeder Spreads'!B103:B122),"")</f>
        <v/>
      </c>
      <c r="CH103">
        <v>49.158700000000003</v>
      </c>
      <c r="CI103">
        <f>IFERROR(SQRT((SUMSQ('Feeder Spreads'!B103:B122)-2*SUMPRODUCT('Feeder Spreads'!B103:B122,'Feeder Spreads'!B104:B123)+SUMSQ('Feeder Spreads'!B104:B123)-('Feeder Spreads'!B103-'Feeder Spreads'!B123)^2/20)/19),"")</f>
        <v>0</v>
      </c>
      <c r="CK103">
        <f>IFERROR('Feeder Spreads'!AX103,"")</f>
        <v>0</v>
      </c>
      <c r="CL103">
        <f>IFERROR(('Feeder Spreads'!AY103-AVERAGE('Feeder Spreads'!$AY$3:$AY$4308))/STDEV('Feeder Spreads'!$AY$3:$AY$4308),"")</f>
        <v>-9.2057461789832346E-2</v>
      </c>
      <c r="CM103">
        <f>IFERROR('Feeder Spreads'!AY103-'Feeder Spreads'!AY108,"")</f>
        <v>0</v>
      </c>
      <c r="CN103">
        <f>IFERROR('Feeder Spreads'!AY103-'Feeder Spreads'!AY113,"")</f>
        <v>0</v>
      </c>
      <c r="CO103">
        <f>IFERROR(AVERAGE('Feeder Spreads'!AY103:AY122)+2*STDEV('Feeder Spreads'!AY103:AY122),"")</f>
        <v>0</v>
      </c>
      <c r="CP103">
        <f>IFERROR(AVERAGE('Feeder Spreads'!AY103:AY122)-2*STDEV('Feeder Spreads'!AY103:AY122),"")</f>
        <v>0</v>
      </c>
      <c r="CQ103" t="str">
        <f>IFERROR(('Feeder Spreads'!AY103-(AVERAGE('Feeder Spreads'!AY103:AY122)-2*STDEV('Feeder Spreads'!AY103:AY122)))/(4*STDEV('Feeder Spreads'!AY103:AY122)),"")</f>
        <v/>
      </c>
      <c r="CR103" t="str">
        <f>IFERROR(4*STDEV('Feeder Spreads'!AY103:AY122)/AVERAGE('Feeder Spreads'!AY103:AY122),"")</f>
        <v/>
      </c>
      <c r="CS103">
        <v>33.904299999999999</v>
      </c>
      <c r="CT103">
        <f>IFERROR(SQRT((SUMSQ('Feeder Spreads'!AY103:AY122)-2*SUMPRODUCT('Feeder Spreads'!AY103:AY122,'Feeder Spreads'!AY104:AY123)+SUMSQ('Feeder Spreads'!AY104:AY123)-('Feeder Spreads'!AY103-'Feeder Spreads'!AY123)^2/20)/19),"")</f>
        <v>0</v>
      </c>
      <c r="CV103">
        <f>IFERROR('Feeder Spreads'!H103,"")</f>
        <v>0</v>
      </c>
      <c r="CW103">
        <f>IFERROR(('Feeder Spreads'!I103-AVERAGE('Feeder Spreads'!$I$3:$I$4308))/STDEV('Feeder Spreads'!$I$3:$I$4308),"")</f>
        <v>-9.2057461789832332E-2</v>
      </c>
      <c r="CX103">
        <f>IFERROR('Feeder Spreads'!I103-'Feeder Spreads'!I108,"")</f>
        <v>0</v>
      </c>
      <c r="CY103">
        <f>IFERROR('Feeder Spreads'!I103-'Feeder Spreads'!I113,"")</f>
        <v>0</v>
      </c>
      <c r="CZ103">
        <f>IFERROR(AVERAGE('Feeder Spreads'!I103:I122)+2*STDEV('Feeder Spreads'!I103:I122),"")</f>
        <v>0</v>
      </c>
      <c r="DA103">
        <f>IFERROR(AVERAGE('Feeder Spreads'!I103:I122)-2*STDEV('Feeder Spreads'!I103:I122),"")</f>
        <v>0</v>
      </c>
      <c r="DB103" t="str">
        <f>IFERROR(('Feeder Spreads'!I103-(AVERAGE('Feeder Spreads'!I103:I122)-2*STDEV('Feeder Spreads'!I103:I122)))/(4*STDEV('Feeder Spreads'!I103:I122)),"")</f>
        <v/>
      </c>
      <c r="DC103" t="str">
        <f>IFERROR(4*STDEV('Feeder Spreads'!I103:I122)/AVERAGE('Feeder Spreads'!I103:I122),"")</f>
        <v/>
      </c>
      <c r="DD103">
        <v>45.967399999999998</v>
      </c>
      <c r="DE103">
        <f>IFERROR(SQRT((SUMSQ('Feeder Spreads'!I103:I122)-2*SUMPRODUCT('Feeder Spreads'!I103:I122,'Feeder Spreads'!I104:I123)+SUMSQ('Feeder Spreads'!I104:I123)-('Feeder Spreads'!I103-'Feeder Spreads'!I123)^2/20)/19),"")</f>
        <v>0</v>
      </c>
      <c r="DG103">
        <f>IFERROR('Feeder Spreads'!O103,"")</f>
        <v>0</v>
      </c>
      <c r="DH103">
        <f>IFERROR(('Feeder Spreads'!P103-AVERAGE('Feeder Spreads'!$P$3:$P$4308))/STDEV('Feeder Spreads'!$P$3:$P$4308),"")</f>
        <v>-9.2057461789832346E-2</v>
      </c>
      <c r="DI103">
        <f>IFERROR('Feeder Spreads'!P103-'Feeder Spreads'!P108,"")</f>
        <v>0</v>
      </c>
      <c r="DJ103">
        <f>IFERROR('Feeder Spreads'!P103-'Feeder Spreads'!P113,"")</f>
        <v>0</v>
      </c>
      <c r="DK103">
        <f>IFERROR(AVERAGE('Feeder Spreads'!P103:P122)+2*STDEV('Feeder Spreads'!P103:P122),"")</f>
        <v>0</v>
      </c>
      <c r="DL103">
        <f>IFERROR(AVERAGE('Feeder Spreads'!P103:P122)-2*STDEV('Feeder Spreads'!P103:P122),"")</f>
        <v>0</v>
      </c>
      <c r="DM103" t="str">
        <f>IFERROR(('Feeder Spreads'!P103-(AVERAGE('Feeder Spreads'!P103:P122)-2*STDEV('Feeder Spreads'!P103:P122)))/(4*STDEV('Feeder Spreads'!P103:P122)),"")</f>
        <v/>
      </c>
      <c r="DN103" t="str">
        <f>IFERROR(4*STDEV('Feeder Spreads'!P103:P122)/AVERAGE('Feeder Spreads'!P103:P122),"")</f>
        <v/>
      </c>
      <c r="DO103">
        <v>63.623800000000003</v>
      </c>
      <c r="DP103">
        <f>IFERROR(SQRT((SUMSQ('Feeder Spreads'!P103:P122)-2*SUMPRODUCT('Feeder Spreads'!P103:P122,'Feeder Spreads'!P104:P123)+SUMSQ('Feeder Spreads'!P104:P123)-('Feeder Spreads'!P103-'Feeder Spreads'!P123)^2/20)/19),"")</f>
        <v>0</v>
      </c>
      <c r="DR103">
        <f>IFERROR('Feeder Spreads'!V103,"")</f>
        <v>0</v>
      </c>
      <c r="DS103">
        <f>IFERROR(('Feeder Spreads'!W103-AVERAGE('Feeder Spreads'!$W$3:$W$4308))/STDEV('Feeder Spreads'!$W$3:$W$4308),"")</f>
        <v>-9.2057461789832332E-2</v>
      </c>
      <c r="DT103">
        <f>IFERROR('Feeder Spreads'!W103-'Feeder Spreads'!W108,"")</f>
        <v>0</v>
      </c>
      <c r="DU103">
        <f>IFERROR('Feeder Spreads'!W103-'Feeder Spreads'!W113,"")</f>
        <v>0</v>
      </c>
      <c r="DV103">
        <f>IFERROR(AVERAGE('Feeder Spreads'!W103:W122)+2*STDEV('Feeder Spreads'!W103:W122),"")</f>
        <v>0</v>
      </c>
      <c r="DW103">
        <f>IFERROR(AVERAGE('Feeder Spreads'!W103:W122)-2*STDEV('Feeder Spreads'!W103:W122),"")</f>
        <v>0</v>
      </c>
      <c r="DX103" t="str">
        <f>IFERROR(('Feeder Spreads'!W103-(AVERAGE('Feeder Spreads'!W103:W122)-2*STDEV('Feeder Spreads'!W103:W122)))/(4*STDEV('Feeder Spreads'!W103:W122)),"")</f>
        <v/>
      </c>
      <c r="DY103" t="str">
        <f>IFERROR(4*STDEV('Feeder Spreads'!W103:W122)/AVERAGE('Feeder Spreads'!W103:W122),"")</f>
        <v/>
      </c>
      <c r="DZ103">
        <v>37.696800000000003</v>
      </c>
      <c r="EA103">
        <f>IFERROR(SQRT((SUMSQ('Feeder Spreads'!W103:W122)-2*SUMPRODUCT('Feeder Spreads'!W103:W122,'Feeder Spreads'!W104:W123)+SUMSQ('Feeder Spreads'!W104:W123)-('Feeder Spreads'!W103-'Feeder Spreads'!W123)^2/20)/19),"")</f>
        <v>0</v>
      </c>
      <c r="EC103">
        <f>IFERROR('Feeder Spreads'!AC103,"")</f>
        <v>0</v>
      </c>
      <c r="ED103">
        <f>IFERROR(('Feeder Spreads'!AD103-AVERAGE('Feeder Spreads'!$AD$3:$AD$4308))/STDEV('Feeder Spreads'!$AD$3:$AD$4308),"")</f>
        <v>9.2057461789832318E-2</v>
      </c>
      <c r="EE103">
        <f>IFERROR('Feeder Spreads'!AD103-'Feeder Spreads'!AD108,"")</f>
        <v>0</v>
      </c>
      <c r="EF103">
        <f>IFERROR('Feeder Spreads'!AD103-'Feeder Spreads'!AD113,"")</f>
        <v>0</v>
      </c>
      <c r="EG103">
        <f>IFERROR(AVERAGE('Feeder Spreads'!AD103:AD122)+2*STDEV('Feeder Spreads'!AD103:AD122),"")</f>
        <v>0</v>
      </c>
      <c r="EH103">
        <f>IFERROR(AVERAGE('Feeder Spreads'!AD103:AD122)-2*STDEV('Feeder Spreads'!AD103:AD122),"")</f>
        <v>0</v>
      </c>
      <c r="EI103" t="str">
        <f>IFERROR(('Feeder Spreads'!AD103-(AVERAGE('Feeder Spreads'!AD103:AD122)-2*STDEV('Feeder Spreads'!AD103:AD122)))/(4*STDEV('Feeder Spreads'!AD103:AD122)),"")</f>
        <v/>
      </c>
      <c r="EJ103" t="str">
        <f>IFERROR(4*STDEV('Feeder Spreads'!AD103:AD122)/AVERAGE('Feeder Spreads'!AD103:AD122),"")</f>
        <v/>
      </c>
      <c r="EK103">
        <v>50.383800000000001</v>
      </c>
      <c r="EL103">
        <f>IFERROR(SQRT((SUMSQ('Feeder Spreads'!AD103:AD122)-2*SUMPRODUCT('Feeder Spreads'!AD103:AD122,'Feeder Spreads'!AD104:AD123)+SUMSQ('Feeder Spreads'!AD104:AD123)-('Feeder Spreads'!AD103-'Feeder Spreads'!AD123)^2/20)/19),"")</f>
        <v>0</v>
      </c>
      <c r="EN103">
        <f>IFERROR('Feeder Spreads'!AJ103,"")</f>
        <v>0</v>
      </c>
      <c r="EO103">
        <f>IFERROR(('Feeder Spreads'!AK103-AVERAGE('Feeder Spreads'!$AK$3:$AK$4308))/STDEV('Feeder Spreads'!$AK$3:$AK$4308),"")</f>
        <v>-9.2057461789832346E-2</v>
      </c>
      <c r="EP103">
        <f>IFERROR('Feeder Spreads'!AK103-'Feeder Spreads'!AK108,"")</f>
        <v>0</v>
      </c>
      <c r="EQ103">
        <f>IFERROR('Feeder Spreads'!AK103-'Feeder Spreads'!AK113,"")</f>
        <v>0</v>
      </c>
      <c r="ER103">
        <f>IFERROR(AVERAGE('Feeder Spreads'!AK103:AK122)+2*STDEV('Feeder Spreads'!AK103:AK122),"")</f>
        <v>0</v>
      </c>
      <c r="ES103">
        <f>IFERROR(AVERAGE('Feeder Spreads'!AK103:AK122)-2*STDEV('Feeder Spreads'!AK103:AK122),"")</f>
        <v>0</v>
      </c>
      <c r="ET103" t="str">
        <f>IFERROR(('Feeder Spreads'!AK103-(AVERAGE('Feeder Spreads'!AK103:AK122)-2*STDEV('Feeder Spreads'!AK103:AK122)))/(4*STDEV('Feeder Spreads'!AK103:AK122)),"")</f>
        <v/>
      </c>
      <c r="EU103" t="str">
        <f>IFERROR(4*STDEV('Feeder Spreads'!AK103:AK122)/AVERAGE('Feeder Spreads'!AK103:AK122),"")</f>
        <v/>
      </c>
      <c r="EV103">
        <v>54.082099999999997</v>
      </c>
      <c r="EW103">
        <f>IFERROR(SQRT((SUMSQ('Feeder Spreads'!AK103:AK122)-2*SUMPRODUCT('Feeder Spreads'!AK103:AK122,'Feeder Spreads'!AK104:AK123)+SUMSQ('Feeder Spreads'!AK104:AK123)-('Feeder Spreads'!AK103-'Feeder Spreads'!AK123)^2/20)/19),"")</f>
        <v>0</v>
      </c>
      <c r="EY103">
        <f>IFERROR('Feeder Spreads'!AQ103,"")</f>
        <v>0</v>
      </c>
      <c r="EZ103">
        <f>IFERROR(('Feeder Spreads'!AR103-AVERAGE('Feeder Spreads'!$AR$3:$AR$4308))/STDEV('Feeder Spreads'!$AR$3:$AR$4308),"")</f>
        <v>-9.2057461789832332E-2</v>
      </c>
      <c r="FA103">
        <f>IFERROR('Feeder Spreads'!AR103-'Feeder Spreads'!AR108,"")</f>
        <v>0</v>
      </c>
      <c r="FB103">
        <f>IFERROR('Feeder Spreads'!AR103-'Feeder Spreads'!AR113,"")</f>
        <v>0</v>
      </c>
      <c r="FC103">
        <f>IFERROR(AVERAGE('Feeder Spreads'!AR103:AR122)+2*STDEV('Feeder Spreads'!AR103:AR122),"")</f>
        <v>0</v>
      </c>
      <c r="FD103">
        <f>IFERROR(AVERAGE('Feeder Spreads'!AR103:AR122)-2*STDEV('Feeder Spreads'!AR103:AR122),"")</f>
        <v>0</v>
      </c>
      <c r="FE103" t="str">
        <f>IFERROR(('Feeder Spreads'!AR103-(AVERAGE('Feeder Spreads'!AR103:AR122)-2*STDEV('Feeder Spreads'!AR103:AR122)))/(4*STDEV('Feeder Spreads'!AR103:AR122)),"")</f>
        <v/>
      </c>
      <c r="FF103" t="str">
        <f>IFERROR(4*STDEV('Feeder Spreads'!AR103:AR122)/AVERAGE('Feeder Spreads'!AR103:AR122),"")</f>
        <v/>
      </c>
      <c r="FG103">
        <v>61.259099999999997</v>
      </c>
      <c r="FH103">
        <f>IFERROR(SQRT((SUMSQ('Feeder Spreads'!AR103:AR122)-2*SUMPRODUCT('Feeder Spreads'!AR103:AR122,'Feeder Spreads'!AR104:AR123)+SUMSQ('Feeder Spreads'!AR104:AR123)-('Feeder Spreads'!AR103-'Feeder Spreads'!AR123)^2/20)/19),"")</f>
        <v>0</v>
      </c>
      <c r="FJ103">
        <f>IFERROR('Fat Spreads'!AX103,"")</f>
        <v>0</v>
      </c>
      <c r="FK103">
        <f>IFERROR(('Fat Spreads'!AY103-AVERAGE('Fat Spreads'!$AY$3:$AY$4308))/STDEV('Fat Spreads'!$AY$3:$AY$4308),"")</f>
        <v>9.2057461789832332E-2</v>
      </c>
      <c r="FL103">
        <f>IFERROR('Fat Spreads'!AY103-'Fat Spreads'!AY108,"")</f>
        <v>0</v>
      </c>
      <c r="FM103">
        <f>IFERROR('Fat Spreads'!AY103-'Fat Spreads'!AY113,"")</f>
        <v>0</v>
      </c>
      <c r="FN103">
        <f>IFERROR(AVERAGE('Fat Spreads'!AY103:AY122)+2*STDEV('Fat Spreads'!AY103:AY122),"")</f>
        <v>0</v>
      </c>
      <c r="FO103">
        <f>IFERROR(AVERAGE('Fat Spreads'!AY103:AY122)-2*STDEV('Fat Spreads'!AY103:AY122),"")</f>
        <v>0</v>
      </c>
      <c r="FP103" t="str">
        <f>IFERROR(('Fat Spreads'!AY103-(AVERAGE('Fat Spreads'!AY103:AY122)-2*STDEV('Fat Spreads'!AY103:AY122)))/(4*STDEV('Fat Spreads'!AY103:AY122)),"")</f>
        <v/>
      </c>
      <c r="FQ103" t="str">
        <f>IFERROR(4*STDEV('Fat Spreads'!AY103:AY122)/AVERAGE('Fat Spreads'!AY103:AY122),"")</f>
        <v/>
      </c>
      <c r="FR103">
        <v>56.196300000000001</v>
      </c>
      <c r="FS103">
        <f>IFERROR(SQRT((SUMSQ('Fat Spreads'!AY103:AY122)-2*SUMPRODUCT('Fat Spreads'!AY103:AY122,'Fat Spreads'!AY104:AY123)+SUMSQ('Fat Spreads'!AY104:AY123)-('Fat Spreads'!AY103-'Fat Spreads'!AY123)^2/20)/19),"")</f>
        <v>0</v>
      </c>
      <c r="FU103">
        <f>IFERROR('Fat Spreads'!BE103,"")</f>
        <v>0</v>
      </c>
      <c r="FV103">
        <f>IFERROR(('Fat Spreads'!BF103-AVERAGE('Fat Spreads'!$BF$3:$BF$4308))/STDEV('Fat Spreads'!$BF$3:$BF$4308),"")</f>
        <v>9.2057461789832332E-2</v>
      </c>
      <c r="FW103">
        <f>IFERROR('Fat Spreads'!BF103-'Fat Spreads'!BF108,"")</f>
        <v>0</v>
      </c>
      <c r="FX103">
        <f>IFERROR('Fat Spreads'!BF103-'Fat Spreads'!BF113,"")</f>
        <v>0</v>
      </c>
      <c r="FY103">
        <f>IFERROR(AVERAGE('Fat Spreads'!BF103:BF122)+2*STDEV('Fat Spreads'!BF103:BF122),"")</f>
        <v>0</v>
      </c>
      <c r="FZ103">
        <f>IFERROR(AVERAGE('Fat Spreads'!BF103:BF122)-2*STDEV('Fat Spreads'!BF103:BF122),"")</f>
        <v>0</v>
      </c>
      <c r="GA103" t="str">
        <f>IFERROR(('Fat Spreads'!BF103-(AVERAGE('Fat Spreads'!BF103:BF122)-2*STDEV('Fat Spreads'!BF103:BF122)))/(4*STDEV('Fat Spreads'!BF103:BF122)),"")</f>
        <v/>
      </c>
      <c r="GB103" t="str">
        <f>IFERROR(4*STDEV('Fat Spreads'!BF103:BF122)/AVERAGE('Fat Spreads'!BF103:BF122),"")</f>
        <v/>
      </c>
      <c r="GC103">
        <v>53.555300000000003</v>
      </c>
      <c r="GD103">
        <f>IFERROR(SQRT((SUMSQ('Fat Spreads'!BF103:BF122)-2*SUMPRODUCT('Fat Spreads'!BF103:BF122,'Fat Spreads'!BF104:BF123)+SUMSQ('Fat Spreads'!BF104:BF123)-('Fat Spreads'!BF103-'Fat Spreads'!BF123)^2/20)/19),"")</f>
        <v>0</v>
      </c>
    </row>
    <row r="104" spans="1:186" x14ac:dyDescent="0.25">
      <c r="A104">
        <f>IFERROR('Fat Spreads'!A104,"")</f>
        <v>0</v>
      </c>
      <c r="B104">
        <f>IFERROR(('Fat Spreads'!B104-AVERAGE('Fat Spreads'!$B$3:$B$4308))/STDEV('Fat Spreads'!$B$3:$B$4308),"")</f>
        <v>9.2057461789832346E-2</v>
      </c>
      <c r="C104">
        <f>IFERROR('Fat Spreads'!B104-'Fat Spreads'!B109,"")</f>
        <v>0</v>
      </c>
      <c r="D104">
        <f>IFERROR('Fat Spreads'!B104-'Fat Spreads'!B114,"")</f>
        <v>0</v>
      </c>
      <c r="E104">
        <f>IFERROR(AVERAGE('Fat Spreads'!B104:B123)+2*STDEV('Fat Spreads'!B104:B123),"")</f>
        <v>0</v>
      </c>
      <c r="F104">
        <f>IFERROR(AVERAGE('Fat Spreads'!B104:B123)-2*STDEV('Fat Spreads'!B104:B123),"")</f>
        <v>0</v>
      </c>
      <c r="G104" t="str">
        <f>IFERROR(('Fat Spreads'!B104-(AVERAGE('Fat Spreads'!B104:B123)-2*STDEV('Fat Spreads'!B104:B123)))/(4*STDEV('Fat Spreads'!B104:B123)),"")</f>
        <v/>
      </c>
      <c r="H104" t="str">
        <f>IFERROR(4*STDEV('Fat Spreads'!B104:B123)/AVERAGE('Fat Spreads'!B104:B123),"")</f>
        <v/>
      </c>
      <c r="I104">
        <v>52.819899999999997</v>
      </c>
      <c r="J104">
        <f>IFERROR(SQRT((SUMSQ('Fat Spreads'!B104:B123)-2*SUMPRODUCT('Fat Spreads'!B104:B123,'Fat Spreads'!B105:B124)+SUMSQ('Fat Spreads'!B105:B124)-('Fat Spreads'!B104-'Fat Spreads'!B124)^2/20)/19),"")</f>
        <v>0</v>
      </c>
      <c r="L104">
        <f>IFERROR('Fat Spreads'!H104,"")</f>
        <v>0</v>
      </c>
      <c r="M104">
        <f>IFERROR(('Fat Spreads'!I104-AVERAGE('Fat Spreads'!$I$3:$I$4308))/STDEV('Fat Spreads'!$I$3:$I$4308),"")</f>
        <v>-9.2057461789832332E-2</v>
      </c>
      <c r="N104">
        <f>IFERROR('Fat Spreads'!I104-'Fat Spreads'!I109,"")</f>
        <v>0</v>
      </c>
      <c r="O104">
        <f>IFERROR('Fat Spreads'!I104-'Fat Spreads'!I114,"")</f>
        <v>0</v>
      </c>
      <c r="P104">
        <f>IFERROR(AVERAGE('Fat Spreads'!I104:I123)+2*STDEV('Fat Spreads'!I104:I123),"")</f>
        <v>0</v>
      </c>
      <c r="Q104">
        <f>IFERROR(AVERAGE('Fat Spreads'!I104:I123)-2*STDEV('Fat Spreads'!I104:I123),"")</f>
        <v>0</v>
      </c>
      <c r="R104" t="str">
        <f>IFERROR(('Fat Spreads'!I104-(AVERAGE('Fat Spreads'!I104:I123)-2*STDEV('Fat Spreads'!I104:I123)))/(4*STDEV('Fat Spreads'!I104:I123)),"")</f>
        <v/>
      </c>
      <c r="S104" t="str">
        <f>IFERROR(4*STDEV('Fat Spreads'!I104:I123)/AVERAGE('Fat Spreads'!I104:I123),"")</f>
        <v/>
      </c>
      <c r="T104">
        <v>55.270800000000001</v>
      </c>
      <c r="U104">
        <f>IFERROR(SQRT((SUMSQ('Fat Spreads'!I104:I123)-2*SUMPRODUCT('Fat Spreads'!I104:I123,'Fat Spreads'!I105:I124)+SUMSQ('Fat Spreads'!I105:I124)-('Fat Spreads'!I104-'Fat Spreads'!I124)^2/20)/19),"")</f>
        <v>0</v>
      </c>
      <c r="W104">
        <f>IFERROR('Fat Spreads'!AQ104,"")</f>
        <v>0</v>
      </c>
      <c r="X104">
        <f>IFERROR(('Fat Spreads'!AR104-AVERAGE('Fat Spreads'!$AR$3:$AR$4308))/STDEV('Fat Spreads'!$AR$3:$AR$4308),"")</f>
        <v>-9.2057461789832346E-2</v>
      </c>
      <c r="Y104">
        <f>IFERROR('Fat Spreads'!AR104-'Fat Spreads'!AR109,"")</f>
        <v>0</v>
      </c>
      <c r="Z104">
        <f>IFERROR('Fat Spreads'!AR104-'Fat Spreads'!AR114,"")</f>
        <v>0</v>
      </c>
      <c r="AA104">
        <f>IFERROR(AVERAGE('Fat Spreads'!AR104:AR123)+2*STDEV('Fat Spreads'!AR104:AR123),"")</f>
        <v>0</v>
      </c>
      <c r="AB104">
        <f>IFERROR(AVERAGE('Fat Spreads'!AR104:AR123)-2*STDEV('Fat Spreads'!AR104:AR123),"")</f>
        <v>0</v>
      </c>
      <c r="AC104" t="str">
        <f>IFERROR(('Fat Spreads'!AR104-(AVERAGE('Fat Spreads'!AR104:AR123)-2*STDEV('Fat Spreads'!AR104:AR123)))/(4*STDEV('Fat Spreads'!AR104:AR123)),"")</f>
        <v/>
      </c>
      <c r="AD104" t="str">
        <f>IFERROR(4*STDEV('Fat Spreads'!AR104:AR123)/AVERAGE('Fat Spreads'!AR104:AR123),"")</f>
        <v/>
      </c>
      <c r="AE104">
        <v>41.0687</v>
      </c>
      <c r="AF104">
        <f>IFERROR(SQRT((SUMSQ('Fat Spreads'!AR104:AR123)-2*SUMPRODUCT('Fat Spreads'!AR104:AR123,'Fat Spreads'!AR105:AR124)+SUMSQ('Fat Spreads'!AR105:AR124)-('Fat Spreads'!AR104-'Fat Spreads'!AR124)^2/20)/19),"")</f>
        <v>0</v>
      </c>
      <c r="AH104">
        <f>IFERROR('Fat Spreads'!O104,"")</f>
        <v>0</v>
      </c>
      <c r="AI104">
        <f>IFERROR(('Fat Spreads'!P104-AVERAGE('Fat Spreads'!$P$3:$P$4308))/STDEV('Fat Spreads'!$P$3:$P$4308),"")</f>
        <v>-9.2057461789832332E-2</v>
      </c>
      <c r="AJ104">
        <f>IFERROR('Fat Spreads'!P104-'Fat Spreads'!P109,"")</f>
        <v>0</v>
      </c>
      <c r="AK104">
        <f>IFERROR('Fat Spreads'!P104-'Fat Spreads'!P114,"")</f>
        <v>0</v>
      </c>
      <c r="AL104">
        <f>IFERROR(AVERAGE('Fat Spreads'!P104:P123)+2*STDEV('Fat Spreads'!P104:P123),"")</f>
        <v>0</v>
      </c>
      <c r="AM104">
        <f>IFERROR(AVERAGE('Fat Spreads'!P104:P123)-2*STDEV('Fat Spreads'!P104:P123),"")</f>
        <v>0</v>
      </c>
      <c r="AN104" t="str">
        <f>IFERROR(('Fat Spreads'!P104-(AVERAGE('Fat Spreads'!P104:P123)-2*STDEV('Fat Spreads'!P104:P123)))/(4*STDEV('Fat Spreads'!P104:P123)),"")</f>
        <v/>
      </c>
      <c r="AO104" t="str">
        <f>IFERROR(4*STDEV('Fat Spreads'!P104:P123)/AVERAGE('Fat Spreads'!P104:P123),"")</f>
        <v/>
      </c>
      <c r="AP104">
        <v>60.103400000000001</v>
      </c>
      <c r="AQ104">
        <f>IFERROR(SQRT((SUMSQ('Fat Spreads'!P104:P123)-2*SUMPRODUCT('Fat Spreads'!P104:P123,'Fat Spreads'!P105:P124)+SUMSQ('Fat Spreads'!P105:P124)-('Fat Spreads'!P104-'Fat Spreads'!P124)^2/20)/19),"")</f>
        <v>0</v>
      </c>
      <c r="AS104">
        <f>IFERROR('Fat Spreads'!AJ104,"")</f>
        <v>0</v>
      </c>
      <c r="AT104">
        <f>IFERROR(('Fat Spreads'!AK104-AVERAGE('Fat Spreads'!$AK$3:$AK$4308))/STDEV('Fat Spreads'!$AK$3:$AK$4308),"")</f>
        <v>-9.2057461789832332E-2</v>
      </c>
      <c r="AU104">
        <f>IFERROR('Fat Spreads'!AK104-'Fat Spreads'!AK109,"")</f>
        <v>0</v>
      </c>
      <c r="AV104">
        <f>IFERROR('Fat Spreads'!AK104-'Fat Spreads'!AK114,"")</f>
        <v>0</v>
      </c>
      <c r="AW104">
        <f>IFERROR(AVERAGE('Fat Spreads'!AK104:AK123)+2*STDEV('Fat Spreads'!AK104:AK123),"")</f>
        <v>0</v>
      </c>
      <c r="AX104">
        <f>IFERROR(AVERAGE('Fat Spreads'!AK104:AK123)-2*STDEV('Fat Spreads'!AK104:AK123),"")</f>
        <v>0</v>
      </c>
      <c r="AY104" t="str">
        <f>IFERROR(('Fat Spreads'!AK104-(AVERAGE('Fat Spreads'!AK104:AK123)-2*STDEV('Fat Spreads'!AK104:AK123)))/(4*STDEV('Fat Spreads'!AK104:AK123)),"")</f>
        <v/>
      </c>
      <c r="AZ104" t="str">
        <f>IFERROR(4*STDEV('Fat Spreads'!AK104:AK123)/AVERAGE('Fat Spreads'!AK104:AK123),"")</f>
        <v/>
      </c>
      <c r="BA104">
        <v>57.484000000000002</v>
      </c>
      <c r="BB104">
        <f>IFERROR(SQRT((SUMSQ('Fat Spreads'!AK104:AK123)-2*SUMPRODUCT('Fat Spreads'!AK104:AK123,'Fat Spreads'!AK105:AK124)+SUMSQ('Fat Spreads'!AK105:AK124)-('Fat Spreads'!AK104-'Fat Spreads'!AK124)^2/20)/19),"")</f>
        <v>0</v>
      </c>
      <c r="BD104">
        <f>IFERROR('Fat Spreads'!V104,"")</f>
        <v>0</v>
      </c>
      <c r="BE104">
        <f>IFERROR(('Fat Spreads'!W104-AVERAGE('Fat Spreads'!$W$3:$W$4308))/STDEV('Fat Spreads'!$W$3:$W$4308),"")</f>
        <v>-9.2057461789832332E-2</v>
      </c>
      <c r="BF104">
        <f>IFERROR('Fat Spreads'!W104-'Fat Spreads'!W109,"")</f>
        <v>0</v>
      </c>
      <c r="BG104">
        <f>IFERROR('Fat Spreads'!W104-'Fat Spreads'!W114,"")</f>
        <v>0</v>
      </c>
      <c r="BH104">
        <f>IFERROR(AVERAGE('Fat Spreads'!W104:W123)+2*STDEV('Fat Spreads'!W104:W123),"")</f>
        <v>0</v>
      </c>
      <c r="BI104">
        <f>IFERROR(AVERAGE('Fat Spreads'!W104:W123)-2*STDEV('Fat Spreads'!W104:W123),"")</f>
        <v>0</v>
      </c>
      <c r="BJ104" t="str">
        <f>IFERROR(('Fat Spreads'!W104-(AVERAGE('Fat Spreads'!W104:W123)-2*STDEV('Fat Spreads'!W104:W123)))/(4*STDEV('Fat Spreads'!W104:W123)),"")</f>
        <v/>
      </c>
      <c r="BK104" t="str">
        <f>IFERROR(4*STDEV('Fat Spreads'!W104:W123)/AVERAGE('Fat Spreads'!W104:W123),"")</f>
        <v/>
      </c>
      <c r="BL104">
        <v>38.106699999999996</v>
      </c>
      <c r="BM104">
        <f>IFERROR(SQRT((SUMSQ('Fat Spreads'!W104:W123)-2*SUMPRODUCT('Fat Spreads'!W104:W123,'Fat Spreads'!W105:W124)+SUMSQ('Fat Spreads'!W105:W124)-('Fat Spreads'!W104-'Fat Spreads'!W124)^2/20)/19),"")</f>
        <v>0</v>
      </c>
      <c r="BO104">
        <f>IFERROR('Fat Spreads'!AC104,"")</f>
        <v>0</v>
      </c>
      <c r="BP104">
        <f>IFERROR(('Fat Spreads'!AD104-AVERAGE('Fat Spreads'!$AD$3:$AD$4308))/STDEV('Fat Spreads'!$AD$3:$AD$4308),"")</f>
        <v>-9.2057461789832332E-2</v>
      </c>
      <c r="BQ104">
        <f>IFERROR('Fat Spreads'!AD104-'Fat Spreads'!AD109,"")</f>
        <v>0</v>
      </c>
      <c r="BR104">
        <f>IFERROR('Fat Spreads'!AD104-'Fat Spreads'!AD114,"")</f>
        <v>0</v>
      </c>
      <c r="BS104">
        <f>IFERROR(AVERAGE('Fat Spreads'!AD104:AD123)+2*STDEV('Fat Spreads'!AD104:AD123),"")</f>
        <v>0</v>
      </c>
      <c r="BT104">
        <f>IFERROR(AVERAGE('Fat Spreads'!AD104:AD123)-2*STDEV('Fat Spreads'!AD104:AD123),"")</f>
        <v>0</v>
      </c>
      <c r="BU104" t="str">
        <f>IFERROR(('Fat Spreads'!AD104-(AVERAGE('Fat Spreads'!AD104:AD123)-2*STDEV('Fat Spreads'!AD104:AD123)))/(4*STDEV('Fat Spreads'!AD104:AD123)),"")</f>
        <v/>
      </c>
      <c r="BV104" t="str">
        <f>IFERROR(4*STDEV('Fat Spreads'!AD104:AD123)/AVERAGE('Fat Spreads'!AD104:AD123),"")</f>
        <v/>
      </c>
      <c r="BW104">
        <v>58.517600000000002</v>
      </c>
      <c r="BX104">
        <f>IFERROR(SQRT((SUMSQ('Fat Spreads'!AD104:AD123)-2*SUMPRODUCT('Fat Spreads'!AD104:AD123,'Fat Spreads'!AD105:AD124)+SUMSQ('Fat Spreads'!AD105:AD124)-('Fat Spreads'!AD104-'Fat Spreads'!AD124)^2/20)/19),"")</f>
        <v>0</v>
      </c>
      <c r="BZ104">
        <f>IFERROR('Feeder Spreads'!A104,"")</f>
        <v>0</v>
      </c>
      <c r="CA104">
        <f>IFERROR(('Feeder Spreads'!B104-AVERAGE('Feeder Spreads'!$B$3:$B$4308))/STDEV('Feeder Spreads'!$B$3:$B$4308),"")</f>
        <v>-9.2057461789832346E-2</v>
      </c>
      <c r="CB104">
        <f>IFERROR('Feeder Spreads'!B104-'Feeder Spreads'!B109,"")</f>
        <v>0</v>
      </c>
      <c r="CC104">
        <f>IFERROR('Feeder Spreads'!B104-'Feeder Spreads'!B114,"")</f>
        <v>0</v>
      </c>
      <c r="CD104">
        <f>IFERROR(AVERAGE('Feeder Spreads'!B104:B123)+2*STDEV('Feeder Spreads'!B104:B123),"")</f>
        <v>0</v>
      </c>
      <c r="CE104">
        <f>IFERROR(AVERAGE('Feeder Spreads'!B104:B123)-2*STDEV('Feeder Spreads'!B104:B123),"")</f>
        <v>0</v>
      </c>
      <c r="CF104" t="str">
        <f>IFERROR(('Feeder Spreads'!B104-(AVERAGE('Feeder Spreads'!B104:B123)-2*STDEV('Feeder Spreads'!B104:B123)))/(4*STDEV('Feeder Spreads'!B104:B123)),"")</f>
        <v/>
      </c>
      <c r="CG104" t="str">
        <f>IFERROR(4*STDEV('Feeder Spreads'!B104:B123)/AVERAGE('Feeder Spreads'!B104:B123),"")</f>
        <v/>
      </c>
      <c r="CH104">
        <v>47.3521</v>
      </c>
      <c r="CI104">
        <f>IFERROR(SQRT((SUMSQ('Feeder Spreads'!B104:B123)-2*SUMPRODUCT('Feeder Spreads'!B104:B123,'Feeder Spreads'!B105:B124)+SUMSQ('Feeder Spreads'!B105:B124)-('Feeder Spreads'!B104-'Feeder Spreads'!B124)^2/20)/19),"")</f>
        <v>0</v>
      </c>
      <c r="CK104">
        <f>IFERROR('Feeder Spreads'!AX104,"")</f>
        <v>0</v>
      </c>
      <c r="CL104">
        <f>IFERROR(('Feeder Spreads'!AY104-AVERAGE('Feeder Spreads'!$AY$3:$AY$4308))/STDEV('Feeder Spreads'!$AY$3:$AY$4308),"")</f>
        <v>-9.2057461789832346E-2</v>
      </c>
      <c r="CM104">
        <f>IFERROR('Feeder Spreads'!AY104-'Feeder Spreads'!AY109,"")</f>
        <v>0</v>
      </c>
      <c r="CN104">
        <f>IFERROR('Feeder Spreads'!AY104-'Feeder Spreads'!AY114,"")</f>
        <v>0</v>
      </c>
      <c r="CO104">
        <f>IFERROR(AVERAGE('Feeder Spreads'!AY104:AY123)+2*STDEV('Feeder Spreads'!AY104:AY123),"")</f>
        <v>0</v>
      </c>
      <c r="CP104">
        <f>IFERROR(AVERAGE('Feeder Spreads'!AY104:AY123)-2*STDEV('Feeder Spreads'!AY104:AY123),"")</f>
        <v>0</v>
      </c>
      <c r="CQ104" t="str">
        <f>IFERROR(('Feeder Spreads'!AY104-(AVERAGE('Feeder Spreads'!AY104:AY123)-2*STDEV('Feeder Spreads'!AY104:AY123)))/(4*STDEV('Feeder Spreads'!AY104:AY123)),"")</f>
        <v/>
      </c>
      <c r="CR104" t="str">
        <f>IFERROR(4*STDEV('Feeder Spreads'!AY104:AY123)/AVERAGE('Feeder Spreads'!AY104:AY123),"")</f>
        <v/>
      </c>
      <c r="CS104">
        <v>34.139400000000002</v>
      </c>
      <c r="CT104">
        <f>IFERROR(SQRT((SUMSQ('Feeder Spreads'!AY104:AY123)-2*SUMPRODUCT('Feeder Spreads'!AY104:AY123,'Feeder Spreads'!AY105:AY124)+SUMSQ('Feeder Spreads'!AY105:AY124)-('Feeder Spreads'!AY104-'Feeder Spreads'!AY124)^2/20)/19),"")</f>
        <v>0</v>
      </c>
      <c r="CV104">
        <f>IFERROR('Feeder Spreads'!H104,"")</f>
        <v>0</v>
      </c>
      <c r="CW104">
        <f>IFERROR(('Feeder Spreads'!I104-AVERAGE('Feeder Spreads'!$I$3:$I$4308))/STDEV('Feeder Spreads'!$I$3:$I$4308),"")</f>
        <v>-9.2057461789832332E-2</v>
      </c>
      <c r="CX104">
        <f>IFERROR('Feeder Spreads'!I104-'Feeder Spreads'!I109,"")</f>
        <v>0</v>
      </c>
      <c r="CY104">
        <f>IFERROR('Feeder Spreads'!I104-'Feeder Spreads'!I114,"")</f>
        <v>0</v>
      </c>
      <c r="CZ104">
        <f>IFERROR(AVERAGE('Feeder Spreads'!I104:I123)+2*STDEV('Feeder Spreads'!I104:I123),"")</f>
        <v>0</v>
      </c>
      <c r="DA104">
        <f>IFERROR(AVERAGE('Feeder Spreads'!I104:I123)-2*STDEV('Feeder Spreads'!I104:I123),"")</f>
        <v>0</v>
      </c>
      <c r="DB104" t="str">
        <f>IFERROR(('Feeder Spreads'!I104-(AVERAGE('Feeder Spreads'!I104:I123)-2*STDEV('Feeder Spreads'!I104:I123)))/(4*STDEV('Feeder Spreads'!I104:I123)),"")</f>
        <v/>
      </c>
      <c r="DC104" t="str">
        <f>IFERROR(4*STDEV('Feeder Spreads'!I104:I123)/AVERAGE('Feeder Spreads'!I104:I123),"")</f>
        <v/>
      </c>
      <c r="DD104">
        <v>42.572600000000001</v>
      </c>
      <c r="DE104">
        <f>IFERROR(SQRT((SUMSQ('Feeder Spreads'!I104:I123)-2*SUMPRODUCT('Feeder Spreads'!I104:I123,'Feeder Spreads'!I105:I124)+SUMSQ('Feeder Spreads'!I105:I124)-('Feeder Spreads'!I104-'Feeder Spreads'!I124)^2/20)/19),"")</f>
        <v>0</v>
      </c>
      <c r="DG104">
        <f>IFERROR('Feeder Spreads'!O104,"")</f>
        <v>0</v>
      </c>
      <c r="DH104">
        <f>IFERROR(('Feeder Spreads'!P104-AVERAGE('Feeder Spreads'!$P$3:$P$4308))/STDEV('Feeder Spreads'!$P$3:$P$4308),"")</f>
        <v>-9.2057461789832346E-2</v>
      </c>
      <c r="DI104">
        <f>IFERROR('Feeder Spreads'!P104-'Feeder Spreads'!P109,"")</f>
        <v>0</v>
      </c>
      <c r="DJ104">
        <f>IFERROR('Feeder Spreads'!P104-'Feeder Spreads'!P114,"")</f>
        <v>0</v>
      </c>
      <c r="DK104">
        <f>IFERROR(AVERAGE('Feeder Spreads'!P104:P123)+2*STDEV('Feeder Spreads'!P104:P123),"")</f>
        <v>0</v>
      </c>
      <c r="DL104">
        <f>IFERROR(AVERAGE('Feeder Spreads'!P104:P123)-2*STDEV('Feeder Spreads'!P104:P123),"")</f>
        <v>0</v>
      </c>
      <c r="DM104" t="str">
        <f>IFERROR(('Feeder Spreads'!P104-(AVERAGE('Feeder Spreads'!P104:P123)-2*STDEV('Feeder Spreads'!P104:P123)))/(4*STDEV('Feeder Spreads'!P104:P123)),"")</f>
        <v/>
      </c>
      <c r="DN104" t="str">
        <f>IFERROR(4*STDEV('Feeder Spreads'!P104:P123)/AVERAGE('Feeder Spreads'!P104:P123),"")</f>
        <v/>
      </c>
      <c r="DO104">
        <v>63.917200000000001</v>
      </c>
      <c r="DP104">
        <f>IFERROR(SQRT((SUMSQ('Feeder Spreads'!P104:P123)-2*SUMPRODUCT('Feeder Spreads'!P104:P123,'Feeder Spreads'!P105:P124)+SUMSQ('Feeder Spreads'!P105:P124)-('Feeder Spreads'!P104-'Feeder Spreads'!P124)^2/20)/19),"")</f>
        <v>0</v>
      </c>
      <c r="DR104">
        <f>IFERROR('Feeder Spreads'!V104,"")</f>
        <v>0</v>
      </c>
      <c r="DS104">
        <f>IFERROR(('Feeder Spreads'!W104-AVERAGE('Feeder Spreads'!$W$3:$W$4308))/STDEV('Feeder Spreads'!$W$3:$W$4308),"")</f>
        <v>-9.2057461789832332E-2</v>
      </c>
      <c r="DT104">
        <f>IFERROR('Feeder Spreads'!W104-'Feeder Spreads'!W109,"")</f>
        <v>0</v>
      </c>
      <c r="DU104">
        <f>IFERROR('Feeder Spreads'!W104-'Feeder Spreads'!W114,"")</f>
        <v>0</v>
      </c>
      <c r="DV104">
        <f>IFERROR(AVERAGE('Feeder Spreads'!W104:W123)+2*STDEV('Feeder Spreads'!W104:W123),"")</f>
        <v>0</v>
      </c>
      <c r="DW104">
        <f>IFERROR(AVERAGE('Feeder Spreads'!W104:W123)-2*STDEV('Feeder Spreads'!W104:W123),"")</f>
        <v>0</v>
      </c>
      <c r="DX104" t="str">
        <f>IFERROR(('Feeder Spreads'!W104-(AVERAGE('Feeder Spreads'!W104:W123)-2*STDEV('Feeder Spreads'!W104:W123)))/(4*STDEV('Feeder Spreads'!W104:W123)),"")</f>
        <v/>
      </c>
      <c r="DY104" t="str">
        <f>IFERROR(4*STDEV('Feeder Spreads'!W104:W123)/AVERAGE('Feeder Spreads'!W104:W123),"")</f>
        <v/>
      </c>
      <c r="DZ104">
        <v>43.285600000000002</v>
      </c>
      <c r="EA104">
        <f>IFERROR(SQRT((SUMSQ('Feeder Spreads'!W104:W123)-2*SUMPRODUCT('Feeder Spreads'!W104:W123,'Feeder Spreads'!W105:W124)+SUMSQ('Feeder Spreads'!W105:W124)-('Feeder Spreads'!W104-'Feeder Spreads'!W124)^2/20)/19),"")</f>
        <v>0</v>
      </c>
      <c r="EC104">
        <f>IFERROR('Feeder Spreads'!AC104,"")</f>
        <v>0</v>
      </c>
      <c r="ED104">
        <f>IFERROR(('Feeder Spreads'!AD104-AVERAGE('Feeder Spreads'!$AD$3:$AD$4308))/STDEV('Feeder Spreads'!$AD$3:$AD$4308),"")</f>
        <v>9.2057461789832318E-2</v>
      </c>
      <c r="EE104">
        <f>IFERROR('Feeder Spreads'!AD104-'Feeder Spreads'!AD109,"")</f>
        <v>0</v>
      </c>
      <c r="EF104">
        <f>IFERROR('Feeder Spreads'!AD104-'Feeder Spreads'!AD114,"")</f>
        <v>0</v>
      </c>
      <c r="EG104">
        <f>IFERROR(AVERAGE('Feeder Spreads'!AD104:AD123)+2*STDEV('Feeder Spreads'!AD104:AD123),"")</f>
        <v>0</v>
      </c>
      <c r="EH104">
        <f>IFERROR(AVERAGE('Feeder Spreads'!AD104:AD123)-2*STDEV('Feeder Spreads'!AD104:AD123),"")</f>
        <v>0</v>
      </c>
      <c r="EI104" t="str">
        <f>IFERROR(('Feeder Spreads'!AD104-(AVERAGE('Feeder Spreads'!AD104:AD123)-2*STDEV('Feeder Spreads'!AD104:AD123)))/(4*STDEV('Feeder Spreads'!AD104:AD123)),"")</f>
        <v/>
      </c>
      <c r="EJ104" t="str">
        <f>IFERROR(4*STDEV('Feeder Spreads'!AD104:AD123)/AVERAGE('Feeder Spreads'!AD104:AD123),"")</f>
        <v/>
      </c>
      <c r="EK104">
        <v>51.9925</v>
      </c>
      <c r="EL104">
        <f>IFERROR(SQRT((SUMSQ('Feeder Spreads'!AD104:AD123)-2*SUMPRODUCT('Feeder Spreads'!AD104:AD123,'Feeder Spreads'!AD105:AD124)+SUMSQ('Feeder Spreads'!AD105:AD124)-('Feeder Spreads'!AD104-'Feeder Spreads'!AD124)^2/20)/19),"")</f>
        <v>0</v>
      </c>
      <c r="EN104">
        <f>IFERROR('Feeder Spreads'!AJ104,"")</f>
        <v>0</v>
      </c>
      <c r="EO104">
        <f>IFERROR(('Feeder Spreads'!AK104-AVERAGE('Feeder Spreads'!$AK$3:$AK$4308))/STDEV('Feeder Spreads'!$AK$3:$AK$4308),"")</f>
        <v>-9.2057461789832346E-2</v>
      </c>
      <c r="EP104">
        <f>IFERROR('Feeder Spreads'!AK104-'Feeder Spreads'!AK109,"")</f>
        <v>0</v>
      </c>
      <c r="EQ104">
        <f>IFERROR('Feeder Spreads'!AK104-'Feeder Spreads'!AK114,"")</f>
        <v>0</v>
      </c>
      <c r="ER104">
        <f>IFERROR(AVERAGE('Feeder Spreads'!AK104:AK123)+2*STDEV('Feeder Spreads'!AK104:AK123),"")</f>
        <v>0</v>
      </c>
      <c r="ES104">
        <f>IFERROR(AVERAGE('Feeder Spreads'!AK104:AK123)-2*STDEV('Feeder Spreads'!AK104:AK123),"")</f>
        <v>0</v>
      </c>
      <c r="ET104" t="str">
        <f>IFERROR(('Feeder Spreads'!AK104-(AVERAGE('Feeder Spreads'!AK104:AK123)-2*STDEV('Feeder Spreads'!AK104:AK123)))/(4*STDEV('Feeder Spreads'!AK104:AK123)),"")</f>
        <v/>
      </c>
      <c r="EU104" t="str">
        <f>IFERROR(4*STDEV('Feeder Spreads'!AK104:AK123)/AVERAGE('Feeder Spreads'!AK104:AK123),"")</f>
        <v/>
      </c>
      <c r="EV104">
        <v>54.866999999999997</v>
      </c>
      <c r="EW104">
        <f>IFERROR(SQRT((SUMSQ('Feeder Spreads'!AK104:AK123)-2*SUMPRODUCT('Feeder Spreads'!AK104:AK123,'Feeder Spreads'!AK105:AK124)+SUMSQ('Feeder Spreads'!AK105:AK124)-('Feeder Spreads'!AK104-'Feeder Spreads'!AK124)^2/20)/19),"")</f>
        <v>0</v>
      </c>
      <c r="EY104">
        <f>IFERROR('Feeder Spreads'!AQ104,"")</f>
        <v>0</v>
      </c>
      <c r="EZ104">
        <f>IFERROR(('Feeder Spreads'!AR104-AVERAGE('Feeder Spreads'!$AR$3:$AR$4308))/STDEV('Feeder Spreads'!$AR$3:$AR$4308),"")</f>
        <v>-9.2057461789832332E-2</v>
      </c>
      <c r="FA104">
        <f>IFERROR('Feeder Spreads'!AR104-'Feeder Spreads'!AR109,"")</f>
        <v>0</v>
      </c>
      <c r="FB104">
        <f>IFERROR('Feeder Spreads'!AR104-'Feeder Spreads'!AR114,"")</f>
        <v>0</v>
      </c>
      <c r="FC104">
        <f>IFERROR(AVERAGE('Feeder Spreads'!AR104:AR123)+2*STDEV('Feeder Spreads'!AR104:AR123),"")</f>
        <v>0</v>
      </c>
      <c r="FD104">
        <f>IFERROR(AVERAGE('Feeder Spreads'!AR104:AR123)-2*STDEV('Feeder Spreads'!AR104:AR123),"")</f>
        <v>0</v>
      </c>
      <c r="FE104" t="str">
        <f>IFERROR(('Feeder Spreads'!AR104-(AVERAGE('Feeder Spreads'!AR104:AR123)-2*STDEV('Feeder Spreads'!AR104:AR123)))/(4*STDEV('Feeder Spreads'!AR104:AR123)),"")</f>
        <v/>
      </c>
      <c r="FF104" t="str">
        <f>IFERROR(4*STDEV('Feeder Spreads'!AR104:AR123)/AVERAGE('Feeder Spreads'!AR104:AR123),"")</f>
        <v/>
      </c>
      <c r="FG104">
        <v>60.410400000000003</v>
      </c>
      <c r="FH104">
        <f>IFERROR(SQRT((SUMSQ('Feeder Spreads'!AR104:AR123)-2*SUMPRODUCT('Feeder Spreads'!AR104:AR123,'Feeder Spreads'!AR105:AR124)+SUMSQ('Feeder Spreads'!AR105:AR124)-('Feeder Spreads'!AR104-'Feeder Spreads'!AR124)^2/20)/19),"")</f>
        <v>0</v>
      </c>
      <c r="FJ104">
        <f>IFERROR('Fat Spreads'!AX104,"")</f>
        <v>0</v>
      </c>
      <c r="FK104">
        <f>IFERROR(('Fat Spreads'!AY104-AVERAGE('Fat Spreads'!$AY$3:$AY$4308))/STDEV('Fat Spreads'!$AY$3:$AY$4308),"")</f>
        <v>9.2057461789832332E-2</v>
      </c>
      <c r="FL104">
        <f>IFERROR('Fat Spreads'!AY104-'Fat Spreads'!AY109,"")</f>
        <v>0</v>
      </c>
      <c r="FM104">
        <f>IFERROR('Fat Spreads'!AY104-'Fat Spreads'!AY114,"")</f>
        <v>0</v>
      </c>
      <c r="FN104">
        <f>IFERROR(AVERAGE('Fat Spreads'!AY104:AY123)+2*STDEV('Fat Spreads'!AY104:AY123),"")</f>
        <v>0</v>
      </c>
      <c r="FO104">
        <f>IFERROR(AVERAGE('Fat Spreads'!AY104:AY123)-2*STDEV('Fat Spreads'!AY104:AY123),"")</f>
        <v>0</v>
      </c>
      <c r="FP104" t="str">
        <f>IFERROR(('Fat Spreads'!AY104-(AVERAGE('Fat Spreads'!AY104:AY123)-2*STDEV('Fat Spreads'!AY104:AY123)))/(4*STDEV('Fat Spreads'!AY104:AY123)),"")</f>
        <v/>
      </c>
      <c r="FQ104" t="str">
        <f>IFERROR(4*STDEV('Fat Spreads'!AY104:AY123)/AVERAGE('Fat Spreads'!AY104:AY123),"")</f>
        <v/>
      </c>
      <c r="FR104">
        <v>55.832799999999999</v>
      </c>
      <c r="FS104">
        <f>IFERROR(SQRT((SUMSQ('Fat Spreads'!AY104:AY123)-2*SUMPRODUCT('Fat Spreads'!AY104:AY123,'Fat Spreads'!AY105:AY124)+SUMSQ('Fat Spreads'!AY105:AY124)-('Fat Spreads'!AY104-'Fat Spreads'!AY124)^2/20)/19),"")</f>
        <v>0</v>
      </c>
      <c r="FU104">
        <f>IFERROR('Fat Spreads'!BE104,"")</f>
        <v>0</v>
      </c>
      <c r="FV104">
        <f>IFERROR(('Fat Spreads'!BF104-AVERAGE('Fat Spreads'!$BF$3:$BF$4308))/STDEV('Fat Spreads'!$BF$3:$BF$4308),"")</f>
        <v>9.2057461789832332E-2</v>
      </c>
      <c r="FW104">
        <f>IFERROR('Fat Spreads'!BF104-'Fat Spreads'!BF109,"")</f>
        <v>0</v>
      </c>
      <c r="FX104">
        <f>IFERROR('Fat Spreads'!BF104-'Fat Spreads'!BF114,"")</f>
        <v>0</v>
      </c>
      <c r="FY104">
        <f>IFERROR(AVERAGE('Fat Spreads'!BF104:BF123)+2*STDEV('Fat Spreads'!BF104:BF123),"")</f>
        <v>0</v>
      </c>
      <c r="FZ104">
        <f>IFERROR(AVERAGE('Fat Spreads'!BF104:BF123)-2*STDEV('Fat Spreads'!BF104:BF123),"")</f>
        <v>0</v>
      </c>
      <c r="GA104" t="str">
        <f>IFERROR(('Fat Spreads'!BF104-(AVERAGE('Fat Spreads'!BF104:BF123)-2*STDEV('Fat Spreads'!BF104:BF123)))/(4*STDEV('Fat Spreads'!BF104:BF123)),"")</f>
        <v/>
      </c>
      <c r="GB104" t="str">
        <f>IFERROR(4*STDEV('Fat Spreads'!BF104:BF123)/AVERAGE('Fat Spreads'!BF104:BF123),"")</f>
        <v/>
      </c>
      <c r="GC104">
        <v>54.035899999999998</v>
      </c>
      <c r="GD104">
        <f>IFERROR(SQRT((SUMSQ('Fat Spreads'!BF104:BF123)-2*SUMPRODUCT('Fat Spreads'!BF104:BF123,'Fat Spreads'!BF105:BF124)+SUMSQ('Fat Spreads'!BF105:BF124)-('Fat Spreads'!BF104-'Fat Spreads'!BF124)^2/20)/19),"")</f>
        <v>0</v>
      </c>
    </row>
    <row r="105" spans="1:186" x14ac:dyDescent="0.25">
      <c r="A105">
        <f>IFERROR('Fat Spreads'!A105,"")</f>
        <v>0</v>
      </c>
      <c r="B105">
        <f>IFERROR(('Fat Spreads'!B105-AVERAGE('Fat Spreads'!$B$3:$B$4308))/STDEV('Fat Spreads'!$B$3:$B$4308),"")</f>
        <v>9.2057461789832346E-2</v>
      </c>
      <c r="C105">
        <f>IFERROR('Fat Spreads'!B105-'Fat Spreads'!B110,"")</f>
        <v>0</v>
      </c>
      <c r="D105">
        <f>IFERROR('Fat Spreads'!B105-'Fat Spreads'!B115,"")</f>
        <v>0</v>
      </c>
      <c r="E105">
        <f>IFERROR(AVERAGE('Fat Spreads'!B105:B124)+2*STDEV('Fat Spreads'!B105:B124),"")</f>
        <v>0</v>
      </c>
      <c r="F105">
        <f>IFERROR(AVERAGE('Fat Spreads'!B105:B124)-2*STDEV('Fat Spreads'!B105:B124),"")</f>
        <v>0</v>
      </c>
      <c r="G105" t="str">
        <f>IFERROR(('Fat Spreads'!B105-(AVERAGE('Fat Spreads'!B105:B124)-2*STDEV('Fat Spreads'!B105:B124)))/(4*STDEV('Fat Spreads'!B105:B124)),"")</f>
        <v/>
      </c>
      <c r="H105" t="str">
        <f>IFERROR(4*STDEV('Fat Spreads'!B105:B124)/AVERAGE('Fat Spreads'!B105:B124),"")</f>
        <v/>
      </c>
      <c r="I105">
        <v>49.752299999999998</v>
      </c>
      <c r="J105">
        <f>IFERROR(SQRT((SUMSQ('Fat Spreads'!B105:B124)-2*SUMPRODUCT('Fat Spreads'!B105:B124,'Fat Spreads'!B106:B125)+SUMSQ('Fat Spreads'!B106:B125)-('Fat Spreads'!B105-'Fat Spreads'!B125)^2/20)/19),"")</f>
        <v>0</v>
      </c>
      <c r="L105">
        <f>IFERROR('Fat Spreads'!H105,"")</f>
        <v>0</v>
      </c>
      <c r="M105">
        <f>IFERROR(('Fat Spreads'!I105-AVERAGE('Fat Spreads'!$I$3:$I$4308))/STDEV('Fat Spreads'!$I$3:$I$4308),"")</f>
        <v>-9.2057461789832332E-2</v>
      </c>
      <c r="N105">
        <f>IFERROR('Fat Spreads'!I105-'Fat Spreads'!I110,"")</f>
        <v>0</v>
      </c>
      <c r="O105">
        <f>IFERROR('Fat Spreads'!I105-'Fat Spreads'!I115,"")</f>
        <v>0</v>
      </c>
      <c r="P105">
        <f>IFERROR(AVERAGE('Fat Spreads'!I105:I124)+2*STDEV('Fat Spreads'!I105:I124),"")</f>
        <v>0</v>
      </c>
      <c r="Q105">
        <f>IFERROR(AVERAGE('Fat Spreads'!I105:I124)-2*STDEV('Fat Spreads'!I105:I124),"")</f>
        <v>0</v>
      </c>
      <c r="R105" t="str">
        <f>IFERROR(('Fat Spreads'!I105-(AVERAGE('Fat Spreads'!I105:I124)-2*STDEV('Fat Spreads'!I105:I124)))/(4*STDEV('Fat Spreads'!I105:I124)),"")</f>
        <v/>
      </c>
      <c r="S105" t="str">
        <f>IFERROR(4*STDEV('Fat Spreads'!I105:I124)/AVERAGE('Fat Spreads'!I105:I124),"")</f>
        <v/>
      </c>
      <c r="T105">
        <v>54.469700000000003</v>
      </c>
      <c r="U105">
        <f>IFERROR(SQRT((SUMSQ('Fat Spreads'!I105:I124)-2*SUMPRODUCT('Fat Spreads'!I105:I124,'Fat Spreads'!I106:I125)+SUMSQ('Fat Spreads'!I106:I125)-('Fat Spreads'!I105-'Fat Spreads'!I125)^2/20)/19),"")</f>
        <v>0</v>
      </c>
      <c r="W105">
        <f>IFERROR('Fat Spreads'!AQ105,"")</f>
        <v>0</v>
      </c>
      <c r="X105">
        <f>IFERROR(('Fat Spreads'!AR105-AVERAGE('Fat Spreads'!$AR$3:$AR$4308))/STDEV('Fat Spreads'!$AR$3:$AR$4308),"")</f>
        <v>-9.2057461789832346E-2</v>
      </c>
      <c r="Y105">
        <f>IFERROR('Fat Spreads'!AR105-'Fat Spreads'!AR110,"")</f>
        <v>0</v>
      </c>
      <c r="Z105">
        <f>IFERROR('Fat Spreads'!AR105-'Fat Spreads'!AR115,"")</f>
        <v>0</v>
      </c>
      <c r="AA105">
        <f>IFERROR(AVERAGE('Fat Spreads'!AR105:AR124)+2*STDEV('Fat Spreads'!AR105:AR124),"")</f>
        <v>0</v>
      </c>
      <c r="AB105">
        <f>IFERROR(AVERAGE('Fat Spreads'!AR105:AR124)-2*STDEV('Fat Spreads'!AR105:AR124),"")</f>
        <v>0</v>
      </c>
      <c r="AC105" t="str">
        <f>IFERROR(('Fat Spreads'!AR105-(AVERAGE('Fat Spreads'!AR105:AR124)-2*STDEV('Fat Spreads'!AR105:AR124)))/(4*STDEV('Fat Spreads'!AR105:AR124)),"")</f>
        <v/>
      </c>
      <c r="AD105" t="str">
        <f>IFERROR(4*STDEV('Fat Spreads'!AR105:AR124)/AVERAGE('Fat Spreads'!AR105:AR124),"")</f>
        <v/>
      </c>
      <c r="AE105">
        <v>45.677199999999999</v>
      </c>
      <c r="AF105">
        <f>IFERROR(SQRT((SUMSQ('Fat Spreads'!AR105:AR124)-2*SUMPRODUCT('Fat Spreads'!AR105:AR124,'Fat Spreads'!AR106:AR125)+SUMSQ('Fat Spreads'!AR106:AR125)-('Fat Spreads'!AR105-'Fat Spreads'!AR125)^2/20)/19),"")</f>
        <v>0</v>
      </c>
      <c r="AH105">
        <f>IFERROR('Fat Spreads'!O105,"")</f>
        <v>0</v>
      </c>
      <c r="AI105">
        <f>IFERROR(('Fat Spreads'!P105-AVERAGE('Fat Spreads'!$P$3:$P$4308))/STDEV('Fat Spreads'!$P$3:$P$4308),"")</f>
        <v>-9.2057461789832332E-2</v>
      </c>
      <c r="AJ105">
        <f>IFERROR('Fat Spreads'!P105-'Fat Spreads'!P110,"")</f>
        <v>0</v>
      </c>
      <c r="AK105">
        <f>IFERROR('Fat Spreads'!P105-'Fat Spreads'!P115,"")</f>
        <v>0</v>
      </c>
      <c r="AL105">
        <f>IFERROR(AVERAGE('Fat Spreads'!P105:P124)+2*STDEV('Fat Spreads'!P105:P124),"")</f>
        <v>0</v>
      </c>
      <c r="AM105">
        <f>IFERROR(AVERAGE('Fat Spreads'!P105:P124)-2*STDEV('Fat Spreads'!P105:P124),"")</f>
        <v>0</v>
      </c>
      <c r="AN105" t="str">
        <f>IFERROR(('Fat Spreads'!P105-(AVERAGE('Fat Spreads'!P105:P124)-2*STDEV('Fat Spreads'!P105:P124)))/(4*STDEV('Fat Spreads'!P105:P124)),"")</f>
        <v/>
      </c>
      <c r="AO105" t="str">
        <f>IFERROR(4*STDEV('Fat Spreads'!P105:P124)/AVERAGE('Fat Spreads'!P105:P124),"")</f>
        <v/>
      </c>
      <c r="AP105">
        <v>61.2637</v>
      </c>
      <c r="AQ105">
        <f>IFERROR(SQRT((SUMSQ('Fat Spreads'!P105:P124)-2*SUMPRODUCT('Fat Spreads'!P105:P124,'Fat Spreads'!P106:P125)+SUMSQ('Fat Spreads'!P106:P125)-('Fat Spreads'!P105-'Fat Spreads'!P125)^2/20)/19),"")</f>
        <v>0</v>
      </c>
      <c r="AS105">
        <f>IFERROR('Fat Spreads'!AJ105,"")</f>
        <v>0</v>
      </c>
      <c r="AT105">
        <f>IFERROR(('Fat Spreads'!AK105-AVERAGE('Fat Spreads'!$AK$3:$AK$4308))/STDEV('Fat Spreads'!$AK$3:$AK$4308),"")</f>
        <v>-9.2057461789832332E-2</v>
      </c>
      <c r="AU105">
        <f>IFERROR('Fat Spreads'!AK105-'Fat Spreads'!AK110,"")</f>
        <v>0</v>
      </c>
      <c r="AV105">
        <f>IFERROR('Fat Spreads'!AK105-'Fat Spreads'!AK115,"")</f>
        <v>0</v>
      </c>
      <c r="AW105">
        <f>IFERROR(AVERAGE('Fat Spreads'!AK105:AK124)+2*STDEV('Fat Spreads'!AK105:AK124),"")</f>
        <v>0</v>
      </c>
      <c r="AX105">
        <f>IFERROR(AVERAGE('Fat Spreads'!AK105:AK124)-2*STDEV('Fat Spreads'!AK105:AK124),"")</f>
        <v>0</v>
      </c>
      <c r="AY105" t="str">
        <f>IFERROR(('Fat Spreads'!AK105-(AVERAGE('Fat Spreads'!AK105:AK124)-2*STDEV('Fat Spreads'!AK105:AK124)))/(4*STDEV('Fat Spreads'!AK105:AK124)),"")</f>
        <v/>
      </c>
      <c r="AZ105" t="str">
        <f>IFERROR(4*STDEV('Fat Spreads'!AK105:AK124)/AVERAGE('Fat Spreads'!AK105:AK124),"")</f>
        <v/>
      </c>
      <c r="BA105">
        <v>51.085999999999999</v>
      </c>
      <c r="BB105">
        <f>IFERROR(SQRT((SUMSQ('Fat Spreads'!AK105:AK124)-2*SUMPRODUCT('Fat Spreads'!AK105:AK124,'Fat Spreads'!AK106:AK125)+SUMSQ('Fat Spreads'!AK106:AK125)-('Fat Spreads'!AK105-'Fat Spreads'!AK125)^2/20)/19),"")</f>
        <v>0</v>
      </c>
      <c r="BD105">
        <f>IFERROR('Fat Spreads'!V105,"")</f>
        <v>0</v>
      </c>
      <c r="BE105">
        <f>IFERROR(('Fat Spreads'!W105-AVERAGE('Fat Spreads'!$W$3:$W$4308))/STDEV('Fat Spreads'!$W$3:$W$4308),"")</f>
        <v>-9.2057461789832332E-2</v>
      </c>
      <c r="BF105">
        <f>IFERROR('Fat Spreads'!W105-'Fat Spreads'!W110,"")</f>
        <v>0</v>
      </c>
      <c r="BG105">
        <f>IFERROR('Fat Spreads'!W105-'Fat Spreads'!W115,"")</f>
        <v>0</v>
      </c>
      <c r="BH105">
        <f>IFERROR(AVERAGE('Fat Spreads'!W105:W124)+2*STDEV('Fat Spreads'!W105:W124),"")</f>
        <v>0</v>
      </c>
      <c r="BI105">
        <f>IFERROR(AVERAGE('Fat Spreads'!W105:W124)-2*STDEV('Fat Spreads'!W105:W124),"")</f>
        <v>0</v>
      </c>
      <c r="BJ105" t="str">
        <f>IFERROR(('Fat Spreads'!W105-(AVERAGE('Fat Spreads'!W105:W124)-2*STDEV('Fat Spreads'!W105:W124)))/(4*STDEV('Fat Spreads'!W105:W124)),"")</f>
        <v/>
      </c>
      <c r="BK105" t="str">
        <f>IFERROR(4*STDEV('Fat Spreads'!W105:W124)/AVERAGE('Fat Spreads'!W105:W124),"")</f>
        <v/>
      </c>
      <c r="BL105">
        <v>41.102899999999998</v>
      </c>
      <c r="BM105">
        <f>IFERROR(SQRT((SUMSQ('Fat Spreads'!W105:W124)-2*SUMPRODUCT('Fat Spreads'!W105:W124,'Fat Spreads'!W106:W125)+SUMSQ('Fat Spreads'!W106:W125)-('Fat Spreads'!W105-'Fat Spreads'!W125)^2/20)/19),"")</f>
        <v>0</v>
      </c>
      <c r="BO105">
        <f>IFERROR('Fat Spreads'!AC105,"")</f>
        <v>0</v>
      </c>
      <c r="BP105">
        <f>IFERROR(('Fat Spreads'!AD105-AVERAGE('Fat Spreads'!$AD$3:$AD$4308))/STDEV('Fat Spreads'!$AD$3:$AD$4308),"")</f>
        <v>-9.2057461789832332E-2</v>
      </c>
      <c r="BQ105">
        <f>IFERROR('Fat Spreads'!AD105-'Fat Spreads'!AD110,"")</f>
        <v>0</v>
      </c>
      <c r="BR105">
        <f>IFERROR('Fat Spreads'!AD105-'Fat Spreads'!AD115,"")</f>
        <v>0</v>
      </c>
      <c r="BS105">
        <f>IFERROR(AVERAGE('Fat Spreads'!AD105:AD124)+2*STDEV('Fat Spreads'!AD105:AD124),"")</f>
        <v>0</v>
      </c>
      <c r="BT105">
        <f>IFERROR(AVERAGE('Fat Spreads'!AD105:AD124)-2*STDEV('Fat Spreads'!AD105:AD124),"")</f>
        <v>0</v>
      </c>
      <c r="BU105" t="str">
        <f>IFERROR(('Fat Spreads'!AD105-(AVERAGE('Fat Spreads'!AD105:AD124)-2*STDEV('Fat Spreads'!AD105:AD124)))/(4*STDEV('Fat Spreads'!AD105:AD124)),"")</f>
        <v/>
      </c>
      <c r="BV105" t="str">
        <f>IFERROR(4*STDEV('Fat Spreads'!AD105:AD124)/AVERAGE('Fat Spreads'!AD105:AD124),"")</f>
        <v/>
      </c>
      <c r="BW105">
        <v>55.015099999999997</v>
      </c>
      <c r="BX105">
        <f>IFERROR(SQRT((SUMSQ('Fat Spreads'!AD105:AD124)-2*SUMPRODUCT('Fat Spreads'!AD105:AD124,'Fat Spreads'!AD106:AD125)+SUMSQ('Fat Spreads'!AD106:AD125)-('Fat Spreads'!AD105-'Fat Spreads'!AD125)^2/20)/19),"")</f>
        <v>0</v>
      </c>
      <c r="BZ105">
        <f>IFERROR('Feeder Spreads'!A105,"")</f>
        <v>0</v>
      </c>
      <c r="CA105">
        <f>IFERROR(('Feeder Spreads'!B105-AVERAGE('Feeder Spreads'!$B$3:$B$4308))/STDEV('Feeder Spreads'!$B$3:$B$4308),"")</f>
        <v>-9.2057461789832346E-2</v>
      </c>
      <c r="CB105">
        <f>IFERROR('Feeder Spreads'!B105-'Feeder Spreads'!B110,"")</f>
        <v>0</v>
      </c>
      <c r="CC105">
        <f>IFERROR('Feeder Spreads'!B105-'Feeder Spreads'!B115,"")</f>
        <v>0</v>
      </c>
      <c r="CD105">
        <f>IFERROR(AVERAGE('Feeder Spreads'!B105:B124)+2*STDEV('Feeder Spreads'!B105:B124),"")</f>
        <v>0</v>
      </c>
      <c r="CE105">
        <f>IFERROR(AVERAGE('Feeder Spreads'!B105:B124)-2*STDEV('Feeder Spreads'!B105:B124),"")</f>
        <v>0</v>
      </c>
      <c r="CF105" t="str">
        <f>IFERROR(('Feeder Spreads'!B105-(AVERAGE('Feeder Spreads'!B105:B124)-2*STDEV('Feeder Spreads'!B105:B124)))/(4*STDEV('Feeder Spreads'!B105:B124)),"")</f>
        <v/>
      </c>
      <c r="CG105" t="str">
        <f>IFERROR(4*STDEV('Feeder Spreads'!B105:B124)/AVERAGE('Feeder Spreads'!B105:B124),"")</f>
        <v/>
      </c>
      <c r="CH105">
        <v>51.720199999999998</v>
      </c>
      <c r="CI105">
        <f>IFERROR(SQRT((SUMSQ('Feeder Spreads'!B105:B124)-2*SUMPRODUCT('Feeder Spreads'!B105:B124,'Feeder Spreads'!B106:B125)+SUMSQ('Feeder Spreads'!B106:B125)-('Feeder Spreads'!B105-'Feeder Spreads'!B125)^2/20)/19),"")</f>
        <v>0</v>
      </c>
      <c r="CK105">
        <f>IFERROR('Feeder Spreads'!AX105,"")</f>
        <v>0</v>
      </c>
      <c r="CL105">
        <f>IFERROR(('Feeder Spreads'!AY105-AVERAGE('Feeder Spreads'!$AY$3:$AY$4308))/STDEV('Feeder Spreads'!$AY$3:$AY$4308),"")</f>
        <v>-9.2057461789832346E-2</v>
      </c>
      <c r="CM105">
        <f>IFERROR('Feeder Spreads'!AY105-'Feeder Spreads'!AY110,"")</f>
        <v>0</v>
      </c>
      <c r="CN105">
        <f>IFERROR('Feeder Spreads'!AY105-'Feeder Spreads'!AY115,"")</f>
        <v>0</v>
      </c>
      <c r="CO105">
        <f>IFERROR(AVERAGE('Feeder Spreads'!AY105:AY124)+2*STDEV('Feeder Spreads'!AY105:AY124),"")</f>
        <v>0</v>
      </c>
      <c r="CP105">
        <f>IFERROR(AVERAGE('Feeder Spreads'!AY105:AY124)-2*STDEV('Feeder Spreads'!AY105:AY124),"")</f>
        <v>0</v>
      </c>
      <c r="CQ105" t="str">
        <f>IFERROR(('Feeder Spreads'!AY105-(AVERAGE('Feeder Spreads'!AY105:AY124)-2*STDEV('Feeder Spreads'!AY105:AY124)))/(4*STDEV('Feeder Spreads'!AY105:AY124)),"")</f>
        <v/>
      </c>
      <c r="CR105" t="str">
        <f>IFERROR(4*STDEV('Feeder Spreads'!AY105:AY124)/AVERAGE('Feeder Spreads'!AY105:AY124),"")</f>
        <v/>
      </c>
      <c r="CS105">
        <v>33.2804</v>
      </c>
      <c r="CT105">
        <f>IFERROR(SQRT((SUMSQ('Feeder Spreads'!AY105:AY124)-2*SUMPRODUCT('Feeder Spreads'!AY105:AY124,'Feeder Spreads'!AY106:AY125)+SUMSQ('Feeder Spreads'!AY106:AY125)-('Feeder Spreads'!AY105-'Feeder Spreads'!AY125)^2/20)/19),"")</f>
        <v>0</v>
      </c>
      <c r="CV105">
        <f>IFERROR('Feeder Spreads'!H105,"")</f>
        <v>0</v>
      </c>
      <c r="CW105">
        <f>IFERROR(('Feeder Spreads'!I105-AVERAGE('Feeder Spreads'!$I$3:$I$4308))/STDEV('Feeder Spreads'!$I$3:$I$4308),"")</f>
        <v>-9.2057461789832332E-2</v>
      </c>
      <c r="CX105">
        <f>IFERROR('Feeder Spreads'!I105-'Feeder Spreads'!I110,"")</f>
        <v>0</v>
      </c>
      <c r="CY105">
        <f>IFERROR('Feeder Spreads'!I105-'Feeder Spreads'!I115,"")</f>
        <v>0</v>
      </c>
      <c r="CZ105">
        <f>IFERROR(AVERAGE('Feeder Spreads'!I105:I124)+2*STDEV('Feeder Spreads'!I105:I124),"")</f>
        <v>0</v>
      </c>
      <c r="DA105">
        <f>IFERROR(AVERAGE('Feeder Spreads'!I105:I124)-2*STDEV('Feeder Spreads'!I105:I124),"")</f>
        <v>0</v>
      </c>
      <c r="DB105" t="str">
        <f>IFERROR(('Feeder Spreads'!I105-(AVERAGE('Feeder Spreads'!I105:I124)-2*STDEV('Feeder Spreads'!I105:I124)))/(4*STDEV('Feeder Spreads'!I105:I124)),"")</f>
        <v/>
      </c>
      <c r="DC105" t="str">
        <f>IFERROR(4*STDEV('Feeder Spreads'!I105:I124)/AVERAGE('Feeder Spreads'!I105:I124),"")</f>
        <v/>
      </c>
      <c r="DD105">
        <v>40.847000000000001</v>
      </c>
      <c r="DE105">
        <f>IFERROR(SQRT((SUMSQ('Feeder Spreads'!I105:I124)-2*SUMPRODUCT('Feeder Spreads'!I105:I124,'Feeder Spreads'!I106:I125)+SUMSQ('Feeder Spreads'!I106:I125)-('Feeder Spreads'!I105-'Feeder Spreads'!I125)^2/20)/19),"")</f>
        <v>0</v>
      </c>
      <c r="DG105">
        <f>IFERROR('Feeder Spreads'!O105,"")</f>
        <v>0</v>
      </c>
      <c r="DH105">
        <f>IFERROR(('Feeder Spreads'!P105-AVERAGE('Feeder Spreads'!$P$3:$P$4308))/STDEV('Feeder Spreads'!$P$3:$P$4308),"")</f>
        <v>-9.2057461789832346E-2</v>
      </c>
      <c r="DI105">
        <f>IFERROR('Feeder Spreads'!P105-'Feeder Spreads'!P110,"")</f>
        <v>0</v>
      </c>
      <c r="DJ105">
        <f>IFERROR('Feeder Spreads'!P105-'Feeder Spreads'!P115,"")</f>
        <v>0</v>
      </c>
      <c r="DK105">
        <f>IFERROR(AVERAGE('Feeder Spreads'!P105:P124)+2*STDEV('Feeder Spreads'!P105:P124),"")</f>
        <v>0</v>
      </c>
      <c r="DL105">
        <f>IFERROR(AVERAGE('Feeder Spreads'!P105:P124)-2*STDEV('Feeder Spreads'!P105:P124),"")</f>
        <v>0</v>
      </c>
      <c r="DM105" t="str">
        <f>IFERROR(('Feeder Spreads'!P105-(AVERAGE('Feeder Spreads'!P105:P124)-2*STDEV('Feeder Spreads'!P105:P124)))/(4*STDEV('Feeder Spreads'!P105:P124)),"")</f>
        <v/>
      </c>
      <c r="DN105" t="str">
        <f>IFERROR(4*STDEV('Feeder Spreads'!P105:P124)/AVERAGE('Feeder Spreads'!P105:P124),"")</f>
        <v/>
      </c>
      <c r="DO105">
        <v>63.583100000000002</v>
      </c>
      <c r="DP105">
        <f>IFERROR(SQRT((SUMSQ('Feeder Spreads'!P105:P124)-2*SUMPRODUCT('Feeder Spreads'!P105:P124,'Feeder Spreads'!P106:P125)+SUMSQ('Feeder Spreads'!P106:P125)-('Feeder Spreads'!P105-'Feeder Spreads'!P125)^2/20)/19),"")</f>
        <v>0</v>
      </c>
      <c r="DR105">
        <f>IFERROR('Feeder Spreads'!V105,"")</f>
        <v>0</v>
      </c>
      <c r="DS105">
        <f>IFERROR(('Feeder Spreads'!W105-AVERAGE('Feeder Spreads'!$W$3:$W$4308))/STDEV('Feeder Spreads'!$W$3:$W$4308),"")</f>
        <v>-9.2057461789832332E-2</v>
      </c>
      <c r="DT105">
        <f>IFERROR('Feeder Spreads'!W105-'Feeder Spreads'!W110,"")</f>
        <v>0</v>
      </c>
      <c r="DU105">
        <f>IFERROR('Feeder Spreads'!W105-'Feeder Spreads'!W115,"")</f>
        <v>0</v>
      </c>
      <c r="DV105">
        <f>IFERROR(AVERAGE('Feeder Spreads'!W105:W124)+2*STDEV('Feeder Spreads'!W105:W124),"")</f>
        <v>0</v>
      </c>
      <c r="DW105">
        <f>IFERROR(AVERAGE('Feeder Spreads'!W105:W124)-2*STDEV('Feeder Spreads'!W105:W124),"")</f>
        <v>0</v>
      </c>
      <c r="DX105" t="str">
        <f>IFERROR(('Feeder Spreads'!W105-(AVERAGE('Feeder Spreads'!W105:W124)-2*STDEV('Feeder Spreads'!W105:W124)))/(4*STDEV('Feeder Spreads'!W105:W124)),"")</f>
        <v/>
      </c>
      <c r="DY105" t="str">
        <f>IFERROR(4*STDEV('Feeder Spreads'!W105:W124)/AVERAGE('Feeder Spreads'!W105:W124),"")</f>
        <v/>
      </c>
      <c r="DZ105">
        <v>44.094999999999999</v>
      </c>
      <c r="EA105">
        <f>IFERROR(SQRT((SUMSQ('Feeder Spreads'!W105:W124)-2*SUMPRODUCT('Feeder Spreads'!W105:W124,'Feeder Spreads'!W106:W125)+SUMSQ('Feeder Spreads'!W106:W125)-('Feeder Spreads'!W105-'Feeder Spreads'!W125)^2/20)/19),"")</f>
        <v>0</v>
      </c>
      <c r="EC105">
        <f>IFERROR('Feeder Spreads'!AC105,"")</f>
        <v>0</v>
      </c>
      <c r="ED105">
        <f>IFERROR(('Feeder Spreads'!AD105-AVERAGE('Feeder Spreads'!$AD$3:$AD$4308))/STDEV('Feeder Spreads'!$AD$3:$AD$4308),"")</f>
        <v>9.2057461789832318E-2</v>
      </c>
      <c r="EE105">
        <f>IFERROR('Feeder Spreads'!AD105-'Feeder Spreads'!AD110,"")</f>
        <v>0</v>
      </c>
      <c r="EF105">
        <f>IFERROR('Feeder Spreads'!AD105-'Feeder Spreads'!AD115,"")</f>
        <v>0</v>
      </c>
      <c r="EG105">
        <f>IFERROR(AVERAGE('Feeder Spreads'!AD105:AD124)+2*STDEV('Feeder Spreads'!AD105:AD124),"")</f>
        <v>0</v>
      </c>
      <c r="EH105">
        <f>IFERROR(AVERAGE('Feeder Spreads'!AD105:AD124)-2*STDEV('Feeder Spreads'!AD105:AD124),"")</f>
        <v>0</v>
      </c>
      <c r="EI105" t="str">
        <f>IFERROR(('Feeder Spreads'!AD105-(AVERAGE('Feeder Spreads'!AD105:AD124)-2*STDEV('Feeder Spreads'!AD105:AD124)))/(4*STDEV('Feeder Spreads'!AD105:AD124)),"")</f>
        <v/>
      </c>
      <c r="EJ105" t="str">
        <f>IFERROR(4*STDEV('Feeder Spreads'!AD105:AD124)/AVERAGE('Feeder Spreads'!AD105:AD124),"")</f>
        <v/>
      </c>
      <c r="EK105">
        <v>47.840600000000002</v>
      </c>
      <c r="EL105">
        <f>IFERROR(SQRT((SUMSQ('Feeder Spreads'!AD105:AD124)-2*SUMPRODUCT('Feeder Spreads'!AD105:AD124,'Feeder Spreads'!AD106:AD125)+SUMSQ('Feeder Spreads'!AD106:AD125)-('Feeder Spreads'!AD105-'Feeder Spreads'!AD125)^2/20)/19),"")</f>
        <v>0</v>
      </c>
      <c r="EN105">
        <f>IFERROR('Feeder Spreads'!AJ105,"")</f>
        <v>0</v>
      </c>
      <c r="EO105">
        <f>IFERROR(('Feeder Spreads'!AK105-AVERAGE('Feeder Spreads'!$AK$3:$AK$4308))/STDEV('Feeder Spreads'!$AK$3:$AK$4308),"")</f>
        <v>-9.2057461789832346E-2</v>
      </c>
      <c r="EP105">
        <f>IFERROR('Feeder Spreads'!AK105-'Feeder Spreads'!AK110,"")</f>
        <v>0</v>
      </c>
      <c r="EQ105">
        <f>IFERROR('Feeder Spreads'!AK105-'Feeder Spreads'!AK115,"")</f>
        <v>0</v>
      </c>
      <c r="ER105">
        <f>IFERROR(AVERAGE('Feeder Spreads'!AK105:AK124)+2*STDEV('Feeder Spreads'!AK105:AK124),"")</f>
        <v>0</v>
      </c>
      <c r="ES105">
        <f>IFERROR(AVERAGE('Feeder Spreads'!AK105:AK124)-2*STDEV('Feeder Spreads'!AK105:AK124),"")</f>
        <v>0</v>
      </c>
      <c r="ET105" t="str">
        <f>IFERROR(('Feeder Spreads'!AK105-(AVERAGE('Feeder Spreads'!AK105:AK124)-2*STDEV('Feeder Spreads'!AK105:AK124)))/(4*STDEV('Feeder Spreads'!AK105:AK124)),"")</f>
        <v/>
      </c>
      <c r="EU105" t="str">
        <f>IFERROR(4*STDEV('Feeder Spreads'!AK105:AK124)/AVERAGE('Feeder Spreads'!AK105:AK124),"")</f>
        <v/>
      </c>
      <c r="EV105">
        <v>53.616900000000001</v>
      </c>
      <c r="EW105">
        <f>IFERROR(SQRT((SUMSQ('Feeder Spreads'!AK105:AK124)-2*SUMPRODUCT('Feeder Spreads'!AK105:AK124,'Feeder Spreads'!AK106:AK125)+SUMSQ('Feeder Spreads'!AK106:AK125)-('Feeder Spreads'!AK105-'Feeder Spreads'!AK125)^2/20)/19),"")</f>
        <v>0</v>
      </c>
      <c r="EY105">
        <f>IFERROR('Feeder Spreads'!AQ105,"")</f>
        <v>0</v>
      </c>
      <c r="EZ105">
        <f>IFERROR(('Feeder Spreads'!AR105-AVERAGE('Feeder Spreads'!$AR$3:$AR$4308))/STDEV('Feeder Spreads'!$AR$3:$AR$4308),"")</f>
        <v>-9.2057461789832332E-2</v>
      </c>
      <c r="FA105">
        <f>IFERROR('Feeder Spreads'!AR105-'Feeder Spreads'!AR110,"")</f>
        <v>0</v>
      </c>
      <c r="FB105">
        <f>IFERROR('Feeder Spreads'!AR105-'Feeder Spreads'!AR115,"")</f>
        <v>0</v>
      </c>
      <c r="FC105">
        <f>IFERROR(AVERAGE('Feeder Spreads'!AR105:AR124)+2*STDEV('Feeder Spreads'!AR105:AR124),"")</f>
        <v>0</v>
      </c>
      <c r="FD105">
        <f>IFERROR(AVERAGE('Feeder Spreads'!AR105:AR124)-2*STDEV('Feeder Spreads'!AR105:AR124),"")</f>
        <v>0</v>
      </c>
      <c r="FE105" t="str">
        <f>IFERROR(('Feeder Spreads'!AR105-(AVERAGE('Feeder Spreads'!AR105:AR124)-2*STDEV('Feeder Spreads'!AR105:AR124)))/(4*STDEV('Feeder Spreads'!AR105:AR124)),"")</f>
        <v/>
      </c>
      <c r="FF105" t="str">
        <f>IFERROR(4*STDEV('Feeder Spreads'!AR105:AR124)/AVERAGE('Feeder Spreads'!AR105:AR124),"")</f>
        <v/>
      </c>
      <c r="FG105">
        <v>61.793100000000003</v>
      </c>
      <c r="FH105">
        <f>IFERROR(SQRT((SUMSQ('Feeder Spreads'!AR105:AR124)-2*SUMPRODUCT('Feeder Spreads'!AR105:AR124,'Feeder Spreads'!AR106:AR125)+SUMSQ('Feeder Spreads'!AR106:AR125)-('Feeder Spreads'!AR105-'Feeder Spreads'!AR125)^2/20)/19),"")</f>
        <v>0</v>
      </c>
      <c r="FJ105">
        <f>IFERROR('Fat Spreads'!AX105,"")</f>
        <v>0</v>
      </c>
      <c r="FK105">
        <f>IFERROR(('Fat Spreads'!AY105-AVERAGE('Fat Spreads'!$AY$3:$AY$4308))/STDEV('Fat Spreads'!$AY$3:$AY$4308),"")</f>
        <v>9.2057461789832332E-2</v>
      </c>
      <c r="FL105">
        <f>IFERROR('Fat Spreads'!AY105-'Fat Spreads'!AY110,"")</f>
        <v>0</v>
      </c>
      <c r="FM105">
        <f>IFERROR('Fat Spreads'!AY105-'Fat Spreads'!AY115,"")</f>
        <v>0</v>
      </c>
      <c r="FN105">
        <f>IFERROR(AVERAGE('Fat Spreads'!AY105:AY124)+2*STDEV('Fat Spreads'!AY105:AY124),"")</f>
        <v>0</v>
      </c>
      <c r="FO105">
        <f>IFERROR(AVERAGE('Fat Spreads'!AY105:AY124)-2*STDEV('Fat Spreads'!AY105:AY124),"")</f>
        <v>0</v>
      </c>
      <c r="FP105" t="str">
        <f>IFERROR(('Fat Spreads'!AY105-(AVERAGE('Fat Spreads'!AY105:AY124)-2*STDEV('Fat Spreads'!AY105:AY124)))/(4*STDEV('Fat Spreads'!AY105:AY124)),"")</f>
        <v/>
      </c>
      <c r="FQ105" t="str">
        <f>IFERROR(4*STDEV('Fat Spreads'!AY105:AY124)/AVERAGE('Fat Spreads'!AY105:AY124),"")</f>
        <v/>
      </c>
      <c r="FR105">
        <v>50.491700000000002</v>
      </c>
      <c r="FS105">
        <f>IFERROR(SQRT((SUMSQ('Fat Spreads'!AY105:AY124)-2*SUMPRODUCT('Fat Spreads'!AY105:AY124,'Fat Spreads'!AY106:AY125)+SUMSQ('Fat Spreads'!AY106:AY125)-('Fat Spreads'!AY105-'Fat Spreads'!AY125)^2/20)/19),"")</f>
        <v>0</v>
      </c>
      <c r="FU105">
        <f>IFERROR('Fat Spreads'!BE105,"")</f>
        <v>0</v>
      </c>
      <c r="FV105">
        <f>IFERROR(('Fat Spreads'!BF105-AVERAGE('Fat Spreads'!$BF$3:$BF$4308))/STDEV('Fat Spreads'!$BF$3:$BF$4308),"")</f>
        <v>9.2057461789832332E-2</v>
      </c>
      <c r="FW105">
        <f>IFERROR('Fat Spreads'!BF105-'Fat Spreads'!BF110,"")</f>
        <v>0</v>
      </c>
      <c r="FX105">
        <f>IFERROR('Fat Spreads'!BF105-'Fat Spreads'!BF115,"")</f>
        <v>0</v>
      </c>
      <c r="FY105">
        <f>IFERROR(AVERAGE('Fat Spreads'!BF105:BF124)+2*STDEV('Fat Spreads'!BF105:BF124),"")</f>
        <v>0</v>
      </c>
      <c r="FZ105">
        <f>IFERROR(AVERAGE('Fat Spreads'!BF105:BF124)-2*STDEV('Fat Spreads'!BF105:BF124),"")</f>
        <v>0</v>
      </c>
      <c r="GA105" t="str">
        <f>IFERROR(('Fat Spreads'!BF105-(AVERAGE('Fat Spreads'!BF105:BF124)-2*STDEV('Fat Spreads'!BF105:BF124)))/(4*STDEV('Fat Spreads'!BF105:BF124)),"")</f>
        <v/>
      </c>
      <c r="GB105" t="str">
        <f>IFERROR(4*STDEV('Fat Spreads'!BF105:BF124)/AVERAGE('Fat Spreads'!BF105:BF124),"")</f>
        <v/>
      </c>
      <c r="GC105">
        <v>52.037599999999998</v>
      </c>
      <c r="GD105">
        <f>IFERROR(SQRT((SUMSQ('Fat Spreads'!BF105:BF124)-2*SUMPRODUCT('Fat Spreads'!BF105:BF124,'Fat Spreads'!BF106:BF125)+SUMSQ('Fat Spreads'!BF106:BF125)-('Fat Spreads'!BF105-'Fat Spreads'!BF125)^2/20)/19),"")</f>
        <v>0</v>
      </c>
    </row>
    <row r="106" spans="1:186" x14ac:dyDescent="0.25">
      <c r="A106">
        <f>IFERROR('Fat Spreads'!A106,"")</f>
        <v>0</v>
      </c>
      <c r="B106">
        <f>IFERROR(('Fat Spreads'!B106-AVERAGE('Fat Spreads'!$B$3:$B$4308))/STDEV('Fat Spreads'!$B$3:$B$4308),"")</f>
        <v>9.2057461789832346E-2</v>
      </c>
      <c r="C106">
        <f>IFERROR('Fat Spreads'!B106-'Fat Spreads'!B111,"")</f>
        <v>0</v>
      </c>
      <c r="D106">
        <f>IFERROR('Fat Spreads'!B106-'Fat Spreads'!B116,"")</f>
        <v>0</v>
      </c>
      <c r="E106">
        <f>IFERROR(AVERAGE('Fat Spreads'!B106:B125)+2*STDEV('Fat Spreads'!B106:B125),"")</f>
        <v>0</v>
      </c>
      <c r="F106">
        <f>IFERROR(AVERAGE('Fat Spreads'!B106:B125)-2*STDEV('Fat Spreads'!B106:B125),"")</f>
        <v>0</v>
      </c>
      <c r="G106" t="str">
        <f>IFERROR(('Fat Spreads'!B106-(AVERAGE('Fat Spreads'!B106:B125)-2*STDEV('Fat Spreads'!B106:B125)))/(4*STDEV('Fat Spreads'!B106:B125)),"")</f>
        <v/>
      </c>
      <c r="H106" t="str">
        <f>IFERROR(4*STDEV('Fat Spreads'!B106:B125)/AVERAGE('Fat Spreads'!B106:B125),"")</f>
        <v/>
      </c>
      <c r="I106">
        <v>39.749200000000002</v>
      </c>
      <c r="J106">
        <f>IFERROR(SQRT((SUMSQ('Fat Spreads'!B106:B125)-2*SUMPRODUCT('Fat Spreads'!B106:B125,'Fat Spreads'!B107:B126)+SUMSQ('Fat Spreads'!B107:B126)-('Fat Spreads'!B106-'Fat Spreads'!B126)^2/20)/19),"")</f>
        <v>0</v>
      </c>
      <c r="L106">
        <f>IFERROR('Fat Spreads'!H106,"")</f>
        <v>0</v>
      </c>
      <c r="M106">
        <f>IFERROR(('Fat Spreads'!I106-AVERAGE('Fat Spreads'!$I$3:$I$4308))/STDEV('Fat Spreads'!$I$3:$I$4308),"")</f>
        <v>-9.2057461789832332E-2</v>
      </c>
      <c r="N106">
        <f>IFERROR('Fat Spreads'!I106-'Fat Spreads'!I111,"")</f>
        <v>0</v>
      </c>
      <c r="O106">
        <f>IFERROR('Fat Spreads'!I106-'Fat Spreads'!I116,"")</f>
        <v>0</v>
      </c>
      <c r="P106">
        <f>IFERROR(AVERAGE('Fat Spreads'!I106:I125)+2*STDEV('Fat Spreads'!I106:I125),"")</f>
        <v>0</v>
      </c>
      <c r="Q106">
        <f>IFERROR(AVERAGE('Fat Spreads'!I106:I125)-2*STDEV('Fat Spreads'!I106:I125),"")</f>
        <v>0</v>
      </c>
      <c r="R106" t="str">
        <f>IFERROR(('Fat Spreads'!I106-(AVERAGE('Fat Spreads'!I106:I125)-2*STDEV('Fat Spreads'!I106:I125)))/(4*STDEV('Fat Spreads'!I106:I125)),"")</f>
        <v/>
      </c>
      <c r="S106" t="str">
        <f>IFERROR(4*STDEV('Fat Spreads'!I106:I125)/AVERAGE('Fat Spreads'!I106:I125),"")</f>
        <v/>
      </c>
      <c r="T106">
        <v>45.9268</v>
      </c>
      <c r="U106">
        <f>IFERROR(SQRT((SUMSQ('Fat Spreads'!I106:I125)-2*SUMPRODUCT('Fat Spreads'!I106:I125,'Fat Spreads'!I107:I126)+SUMSQ('Fat Spreads'!I107:I126)-('Fat Spreads'!I106-'Fat Spreads'!I126)^2/20)/19),"")</f>
        <v>0</v>
      </c>
      <c r="W106">
        <f>IFERROR('Fat Spreads'!AQ106,"")</f>
        <v>0</v>
      </c>
      <c r="X106">
        <f>IFERROR(('Fat Spreads'!AR106-AVERAGE('Fat Spreads'!$AR$3:$AR$4308))/STDEV('Fat Spreads'!$AR$3:$AR$4308),"")</f>
        <v>-9.2057461789832346E-2</v>
      </c>
      <c r="Y106">
        <f>IFERROR('Fat Spreads'!AR106-'Fat Spreads'!AR111,"")</f>
        <v>0</v>
      </c>
      <c r="Z106">
        <f>IFERROR('Fat Spreads'!AR106-'Fat Spreads'!AR116,"")</f>
        <v>0</v>
      </c>
      <c r="AA106">
        <f>IFERROR(AVERAGE('Fat Spreads'!AR106:AR125)+2*STDEV('Fat Spreads'!AR106:AR125),"")</f>
        <v>0</v>
      </c>
      <c r="AB106">
        <f>IFERROR(AVERAGE('Fat Spreads'!AR106:AR125)-2*STDEV('Fat Spreads'!AR106:AR125),"")</f>
        <v>0</v>
      </c>
      <c r="AC106" t="str">
        <f>IFERROR(('Fat Spreads'!AR106-(AVERAGE('Fat Spreads'!AR106:AR125)-2*STDEV('Fat Spreads'!AR106:AR125)))/(4*STDEV('Fat Spreads'!AR106:AR125)),"")</f>
        <v/>
      </c>
      <c r="AD106" t="str">
        <f>IFERROR(4*STDEV('Fat Spreads'!AR106:AR125)/AVERAGE('Fat Spreads'!AR106:AR125),"")</f>
        <v/>
      </c>
      <c r="AE106">
        <v>66.629099999999994</v>
      </c>
      <c r="AF106">
        <f>IFERROR(SQRT((SUMSQ('Fat Spreads'!AR106:AR125)-2*SUMPRODUCT('Fat Spreads'!AR106:AR125,'Fat Spreads'!AR107:AR126)+SUMSQ('Fat Spreads'!AR107:AR126)-('Fat Spreads'!AR106-'Fat Spreads'!AR126)^2/20)/19),"")</f>
        <v>0</v>
      </c>
      <c r="AH106">
        <f>IFERROR('Fat Spreads'!O106,"")</f>
        <v>0</v>
      </c>
      <c r="AI106">
        <f>IFERROR(('Fat Spreads'!P106-AVERAGE('Fat Spreads'!$P$3:$P$4308))/STDEV('Fat Spreads'!$P$3:$P$4308),"")</f>
        <v>-9.2057461789832332E-2</v>
      </c>
      <c r="AJ106">
        <f>IFERROR('Fat Spreads'!P106-'Fat Spreads'!P111,"")</f>
        <v>0</v>
      </c>
      <c r="AK106">
        <f>IFERROR('Fat Spreads'!P106-'Fat Spreads'!P116,"")</f>
        <v>0</v>
      </c>
      <c r="AL106">
        <f>IFERROR(AVERAGE('Fat Spreads'!P106:P125)+2*STDEV('Fat Spreads'!P106:P125),"")</f>
        <v>0</v>
      </c>
      <c r="AM106">
        <f>IFERROR(AVERAGE('Fat Spreads'!P106:P125)-2*STDEV('Fat Spreads'!P106:P125),"")</f>
        <v>0</v>
      </c>
      <c r="AN106" t="str">
        <f>IFERROR(('Fat Spreads'!P106-(AVERAGE('Fat Spreads'!P106:P125)-2*STDEV('Fat Spreads'!P106:P125)))/(4*STDEV('Fat Spreads'!P106:P125)),"")</f>
        <v/>
      </c>
      <c r="AO106" t="str">
        <f>IFERROR(4*STDEV('Fat Spreads'!P106:P125)/AVERAGE('Fat Spreads'!P106:P125),"")</f>
        <v/>
      </c>
      <c r="AP106">
        <v>59.823300000000003</v>
      </c>
      <c r="AQ106">
        <f>IFERROR(SQRT((SUMSQ('Fat Spreads'!P106:P125)-2*SUMPRODUCT('Fat Spreads'!P106:P125,'Fat Spreads'!P107:P126)+SUMSQ('Fat Spreads'!P107:P126)-('Fat Spreads'!P106-'Fat Spreads'!P126)^2/20)/19),"")</f>
        <v>0</v>
      </c>
      <c r="AS106">
        <f>IFERROR('Fat Spreads'!AJ106,"")</f>
        <v>0</v>
      </c>
      <c r="AT106">
        <f>IFERROR(('Fat Spreads'!AK106-AVERAGE('Fat Spreads'!$AK$3:$AK$4308))/STDEV('Fat Spreads'!$AK$3:$AK$4308),"")</f>
        <v>-9.2057461789832332E-2</v>
      </c>
      <c r="AU106">
        <f>IFERROR('Fat Spreads'!AK106-'Fat Spreads'!AK111,"")</f>
        <v>0</v>
      </c>
      <c r="AV106">
        <f>IFERROR('Fat Spreads'!AK106-'Fat Spreads'!AK116,"")</f>
        <v>0</v>
      </c>
      <c r="AW106">
        <f>IFERROR(AVERAGE('Fat Spreads'!AK106:AK125)+2*STDEV('Fat Spreads'!AK106:AK125),"")</f>
        <v>0</v>
      </c>
      <c r="AX106">
        <f>IFERROR(AVERAGE('Fat Spreads'!AK106:AK125)-2*STDEV('Fat Spreads'!AK106:AK125),"")</f>
        <v>0</v>
      </c>
      <c r="AY106" t="str">
        <f>IFERROR(('Fat Spreads'!AK106-(AVERAGE('Fat Spreads'!AK106:AK125)-2*STDEV('Fat Spreads'!AK106:AK125)))/(4*STDEV('Fat Spreads'!AK106:AK125)),"")</f>
        <v/>
      </c>
      <c r="AZ106" t="str">
        <f>IFERROR(4*STDEV('Fat Spreads'!AK106:AK125)/AVERAGE('Fat Spreads'!AK106:AK125),"")</f>
        <v/>
      </c>
      <c r="BA106">
        <v>40.227899999999998</v>
      </c>
      <c r="BB106">
        <f>IFERROR(SQRT((SUMSQ('Fat Spreads'!AK106:AK125)-2*SUMPRODUCT('Fat Spreads'!AK106:AK125,'Fat Spreads'!AK107:AK126)+SUMSQ('Fat Spreads'!AK107:AK126)-('Fat Spreads'!AK106-'Fat Spreads'!AK126)^2/20)/19),"")</f>
        <v>0</v>
      </c>
      <c r="BD106">
        <f>IFERROR('Fat Spreads'!V106,"")</f>
        <v>0</v>
      </c>
      <c r="BE106">
        <f>IFERROR(('Fat Spreads'!W106-AVERAGE('Fat Spreads'!$W$3:$W$4308))/STDEV('Fat Spreads'!$W$3:$W$4308),"")</f>
        <v>-9.2057461789832332E-2</v>
      </c>
      <c r="BF106">
        <f>IFERROR('Fat Spreads'!W106-'Fat Spreads'!W111,"")</f>
        <v>0</v>
      </c>
      <c r="BG106">
        <f>IFERROR('Fat Spreads'!W106-'Fat Spreads'!W116,"")</f>
        <v>0</v>
      </c>
      <c r="BH106">
        <f>IFERROR(AVERAGE('Fat Spreads'!W106:W125)+2*STDEV('Fat Spreads'!W106:W125),"")</f>
        <v>0</v>
      </c>
      <c r="BI106">
        <f>IFERROR(AVERAGE('Fat Spreads'!W106:W125)-2*STDEV('Fat Spreads'!W106:W125),"")</f>
        <v>0</v>
      </c>
      <c r="BJ106" t="str">
        <f>IFERROR(('Fat Spreads'!W106-(AVERAGE('Fat Spreads'!W106:W125)-2*STDEV('Fat Spreads'!W106:W125)))/(4*STDEV('Fat Spreads'!W106:W125)),"")</f>
        <v/>
      </c>
      <c r="BK106" t="str">
        <f>IFERROR(4*STDEV('Fat Spreads'!W106:W125)/AVERAGE('Fat Spreads'!W106:W125),"")</f>
        <v/>
      </c>
      <c r="BL106">
        <v>55.868400000000001</v>
      </c>
      <c r="BM106">
        <f>IFERROR(SQRT((SUMSQ('Fat Spreads'!W106:W125)-2*SUMPRODUCT('Fat Spreads'!W106:W125,'Fat Spreads'!W107:W126)+SUMSQ('Fat Spreads'!W107:W126)-('Fat Spreads'!W106-'Fat Spreads'!W126)^2/20)/19),"")</f>
        <v>0</v>
      </c>
      <c r="BO106">
        <f>IFERROR('Fat Spreads'!AC106,"")</f>
        <v>0</v>
      </c>
      <c r="BP106">
        <f>IFERROR(('Fat Spreads'!AD106-AVERAGE('Fat Spreads'!$AD$3:$AD$4308))/STDEV('Fat Spreads'!$AD$3:$AD$4308),"")</f>
        <v>-9.2057461789832332E-2</v>
      </c>
      <c r="BQ106">
        <f>IFERROR('Fat Spreads'!AD106-'Fat Spreads'!AD111,"")</f>
        <v>0</v>
      </c>
      <c r="BR106">
        <f>IFERROR('Fat Spreads'!AD106-'Fat Spreads'!AD116,"")</f>
        <v>0</v>
      </c>
      <c r="BS106">
        <f>IFERROR(AVERAGE('Fat Spreads'!AD106:AD125)+2*STDEV('Fat Spreads'!AD106:AD125),"")</f>
        <v>0</v>
      </c>
      <c r="BT106">
        <f>IFERROR(AVERAGE('Fat Spreads'!AD106:AD125)-2*STDEV('Fat Spreads'!AD106:AD125),"")</f>
        <v>0</v>
      </c>
      <c r="BU106" t="str">
        <f>IFERROR(('Fat Spreads'!AD106-(AVERAGE('Fat Spreads'!AD106:AD125)-2*STDEV('Fat Spreads'!AD106:AD125)))/(4*STDEV('Fat Spreads'!AD106:AD125)),"")</f>
        <v/>
      </c>
      <c r="BV106" t="str">
        <f>IFERROR(4*STDEV('Fat Spreads'!AD106:AD125)/AVERAGE('Fat Spreads'!AD106:AD125),"")</f>
        <v/>
      </c>
      <c r="BW106">
        <v>35.031700000000001</v>
      </c>
      <c r="BX106">
        <f>IFERROR(SQRT((SUMSQ('Fat Spreads'!AD106:AD125)-2*SUMPRODUCT('Fat Spreads'!AD106:AD125,'Fat Spreads'!AD107:AD126)+SUMSQ('Fat Spreads'!AD107:AD126)-('Fat Spreads'!AD106-'Fat Spreads'!AD126)^2/20)/19),"")</f>
        <v>0</v>
      </c>
      <c r="BZ106">
        <f>IFERROR('Feeder Spreads'!A106,"")</f>
        <v>0</v>
      </c>
      <c r="CA106">
        <f>IFERROR(('Feeder Spreads'!B106-AVERAGE('Feeder Spreads'!$B$3:$B$4308))/STDEV('Feeder Spreads'!$B$3:$B$4308),"")</f>
        <v>-9.2057461789832346E-2</v>
      </c>
      <c r="CB106">
        <f>IFERROR('Feeder Spreads'!B106-'Feeder Spreads'!B111,"")</f>
        <v>0</v>
      </c>
      <c r="CC106">
        <f>IFERROR('Feeder Spreads'!B106-'Feeder Spreads'!B116,"")</f>
        <v>0</v>
      </c>
      <c r="CD106">
        <f>IFERROR(AVERAGE('Feeder Spreads'!B106:B125)+2*STDEV('Feeder Spreads'!B106:B125),"")</f>
        <v>0</v>
      </c>
      <c r="CE106">
        <f>IFERROR(AVERAGE('Feeder Spreads'!B106:B125)-2*STDEV('Feeder Spreads'!B106:B125),"")</f>
        <v>0</v>
      </c>
      <c r="CF106" t="str">
        <f>IFERROR(('Feeder Spreads'!B106-(AVERAGE('Feeder Spreads'!B106:B125)-2*STDEV('Feeder Spreads'!B106:B125)))/(4*STDEV('Feeder Spreads'!B106:B125)),"")</f>
        <v/>
      </c>
      <c r="CG106" t="str">
        <f>IFERROR(4*STDEV('Feeder Spreads'!B106:B125)/AVERAGE('Feeder Spreads'!B106:B125),"")</f>
        <v/>
      </c>
      <c r="CH106">
        <v>52.657899999999998</v>
      </c>
      <c r="CI106">
        <f>IFERROR(SQRT((SUMSQ('Feeder Spreads'!B106:B125)-2*SUMPRODUCT('Feeder Spreads'!B106:B125,'Feeder Spreads'!B107:B126)+SUMSQ('Feeder Spreads'!B107:B126)-('Feeder Spreads'!B106-'Feeder Spreads'!B126)^2/20)/19),"")</f>
        <v>0</v>
      </c>
      <c r="CK106">
        <f>IFERROR('Feeder Spreads'!AX106,"")</f>
        <v>0</v>
      </c>
      <c r="CL106">
        <f>IFERROR(('Feeder Spreads'!AY106-AVERAGE('Feeder Spreads'!$AY$3:$AY$4308))/STDEV('Feeder Spreads'!$AY$3:$AY$4308),"")</f>
        <v>-9.2057461789832346E-2</v>
      </c>
      <c r="CM106">
        <f>IFERROR('Feeder Spreads'!AY106-'Feeder Spreads'!AY111,"")</f>
        <v>0</v>
      </c>
      <c r="CN106">
        <f>IFERROR('Feeder Spreads'!AY106-'Feeder Spreads'!AY116,"")</f>
        <v>0</v>
      </c>
      <c r="CO106">
        <f>IFERROR(AVERAGE('Feeder Spreads'!AY106:AY125)+2*STDEV('Feeder Spreads'!AY106:AY125),"")</f>
        <v>0</v>
      </c>
      <c r="CP106">
        <f>IFERROR(AVERAGE('Feeder Spreads'!AY106:AY125)-2*STDEV('Feeder Spreads'!AY106:AY125),"")</f>
        <v>0</v>
      </c>
      <c r="CQ106" t="str">
        <f>IFERROR(('Feeder Spreads'!AY106-(AVERAGE('Feeder Spreads'!AY106:AY125)-2*STDEV('Feeder Spreads'!AY106:AY125)))/(4*STDEV('Feeder Spreads'!AY106:AY125)),"")</f>
        <v/>
      </c>
      <c r="CR106" t="str">
        <f>IFERROR(4*STDEV('Feeder Spreads'!AY106:AY125)/AVERAGE('Feeder Spreads'!AY106:AY125),"")</f>
        <v/>
      </c>
      <c r="CS106">
        <v>33.341000000000001</v>
      </c>
      <c r="CT106">
        <f>IFERROR(SQRT((SUMSQ('Feeder Spreads'!AY106:AY125)-2*SUMPRODUCT('Feeder Spreads'!AY106:AY125,'Feeder Spreads'!AY107:AY126)+SUMSQ('Feeder Spreads'!AY107:AY126)-('Feeder Spreads'!AY106-'Feeder Spreads'!AY126)^2/20)/19),"")</f>
        <v>0</v>
      </c>
      <c r="CV106">
        <f>IFERROR('Feeder Spreads'!H106,"")</f>
        <v>0</v>
      </c>
      <c r="CW106">
        <f>IFERROR(('Feeder Spreads'!I106-AVERAGE('Feeder Spreads'!$I$3:$I$4308))/STDEV('Feeder Spreads'!$I$3:$I$4308),"")</f>
        <v>-9.2057461789832332E-2</v>
      </c>
      <c r="CX106">
        <f>IFERROR('Feeder Spreads'!I106-'Feeder Spreads'!I111,"")</f>
        <v>0</v>
      </c>
      <c r="CY106">
        <f>IFERROR('Feeder Spreads'!I106-'Feeder Spreads'!I116,"")</f>
        <v>0</v>
      </c>
      <c r="CZ106">
        <f>IFERROR(AVERAGE('Feeder Spreads'!I106:I125)+2*STDEV('Feeder Spreads'!I106:I125),"")</f>
        <v>0</v>
      </c>
      <c r="DA106">
        <f>IFERROR(AVERAGE('Feeder Spreads'!I106:I125)-2*STDEV('Feeder Spreads'!I106:I125),"")</f>
        <v>0</v>
      </c>
      <c r="DB106" t="str">
        <f>IFERROR(('Feeder Spreads'!I106-(AVERAGE('Feeder Spreads'!I106:I125)-2*STDEV('Feeder Spreads'!I106:I125)))/(4*STDEV('Feeder Spreads'!I106:I125)),"")</f>
        <v/>
      </c>
      <c r="DC106" t="str">
        <f>IFERROR(4*STDEV('Feeder Spreads'!I106:I125)/AVERAGE('Feeder Spreads'!I106:I125),"")</f>
        <v/>
      </c>
      <c r="DD106">
        <v>30.123999999999999</v>
      </c>
      <c r="DE106">
        <f>IFERROR(SQRT((SUMSQ('Feeder Spreads'!I106:I125)-2*SUMPRODUCT('Feeder Spreads'!I106:I125,'Feeder Spreads'!I107:I126)+SUMSQ('Feeder Spreads'!I107:I126)-('Feeder Spreads'!I106-'Feeder Spreads'!I126)^2/20)/19),"")</f>
        <v>0</v>
      </c>
      <c r="DG106">
        <f>IFERROR('Feeder Spreads'!O106,"")</f>
        <v>0</v>
      </c>
      <c r="DH106">
        <f>IFERROR(('Feeder Spreads'!P106-AVERAGE('Feeder Spreads'!$P$3:$P$4308))/STDEV('Feeder Spreads'!$P$3:$P$4308),"")</f>
        <v>-9.2057461789832346E-2</v>
      </c>
      <c r="DI106">
        <f>IFERROR('Feeder Spreads'!P106-'Feeder Spreads'!P111,"")</f>
        <v>0</v>
      </c>
      <c r="DJ106">
        <f>IFERROR('Feeder Spreads'!P106-'Feeder Spreads'!P116,"")</f>
        <v>0</v>
      </c>
      <c r="DK106">
        <f>IFERROR(AVERAGE('Feeder Spreads'!P106:P125)+2*STDEV('Feeder Spreads'!P106:P125),"")</f>
        <v>0</v>
      </c>
      <c r="DL106">
        <f>IFERROR(AVERAGE('Feeder Spreads'!P106:P125)-2*STDEV('Feeder Spreads'!P106:P125),"")</f>
        <v>0</v>
      </c>
      <c r="DM106" t="str">
        <f>IFERROR(('Feeder Spreads'!P106-(AVERAGE('Feeder Spreads'!P106:P125)-2*STDEV('Feeder Spreads'!P106:P125)))/(4*STDEV('Feeder Spreads'!P106:P125)),"")</f>
        <v/>
      </c>
      <c r="DN106" t="str">
        <f>IFERROR(4*STDEV('Feeder Spreads'!P106:P125)/AVERAGE('Feeder Spreads'!P106:P125),"")</f>
        <v/>
      </c>
      <c r="DO106">
        <v>64.283199999999994</v>
      </c>
      <c r="DP106">
        <f>IFERROR(SQRT((SUMSQ('Feeder Spreads'!P106:P125)-2*SUMPRODUCT('Feeder Spreads'!P106:P125,'Feeder Spreads'!P107:P126)+SUMSQ('Feeder Spreads'!P107:P126)-('Feeder Spreads'!P106-'Feeder Spreads'!P126)^2/20)/19),"")</f>
        <v>0</v>
      </c>
      <c r="DR106">
        <f>IFERROR('Feeder Spreads'!V106,"")</f>
        <v>0</v>
      </c>
      <c r="DS106">
        <f>IFERROR(('Feeder Spreads'!W106-AVERAGE('Feeder Spreads'!$W$3:$W$4308))/STDEV('Feeder Spreads'!$W$3:$W$4308),"")</f>
        <v>-9.2057461789832332E-2</v>
      </c>
      <c r="DT106">
        <f>IFERROR('Feeder Spreads'!W106-'Feeder Spreads'!W111,"")</f>
        <v>0</v>
      </c>
      <c r="DU106">
        <f>IFERROR('Feeder Spreads'!W106-'Feeder Spreads'!W116,"")</f>
        <v>0</v>
      </c>
      <c r="DV106">
        <f>IFERROR(AVERAGE('Feeder Spreads'!W106:W125)+2*STDEV('Feeder Spreads'!W106:W125),"")</f>
        <v>0</v>
      </c>
      <c r="DW106">
        <f>IFERROR(AVERAGE('Feeder Spreads'!W106:W125)-2*STDEV('Feeder Spreads'!W106:W125),"")</f>
        <v>0</v>
      </c>
      <c r="DX106" t="str">
        <f>IFERROR(('Feeder Spreads'!W106-(AVERAGE('Feeder Spreads'!W106:W125)-2*STDEV('Feeder Spreads'!W106:W125)))/(4*STDEV('Feeder Spreads'!W106:W125)),"")</f>
        <v/>
      </c>
      <c r="DY106" t="str">
        <f>IFERROR(4*STDEV('Feeder Spreads'!W106:W125)/AVERAGE('Feeder Spreads'!W106:W125),"")</f>
        <v/>
      </c>
      <c r="DZ106">
        <v>32.348599999999998</v>
      </c>
      <c r="EA106">
        <f>IFERROR(SQRT((SUMSQ('Feeder Spreads'!W106:W125)-2*SUMPRODUCT('Feeder Spreads'!W106:W125,'Feeder Spreads'!W107:W126)+SUMSQ('Feeder Spreads'!W107:W126)-('Feeder Spreads'!W106-'Feeder Spreads'!W126)^2/20)/19),"")</f>
        <v>0</v>
      </c>
      <c r="EC106">
        <f>IFERROR('Feeder Spreads'!AC106,"")</f>
        <v>0</v>
      </c>
      <c r="ED106">
        <f>IFERROR(('Feeder Spreads'!AD106-AVERAGE('Feeder Spreads'!$AD$3:$AD$4308))/STDEV('Feeder Spreads'!$AD$3:$AD$4308),"")</f>
        <v>9.2057461789832318E-2</v>
      </c>
      <c r="EE106">
        <f>IFERROR('Feeder Spreads'!AD106-'Feeder Spreads'!AD111,"")</f>
        <v>0</v>
      </c>
      <c r="EF106">
        <f>IFERROR('Feeder Spreads'!AD106-'Feeder Spreads'!AD116,"")</f>
        <v>0</v>
      </c>
      <c r="EG106">
        <f>IFERROR(AVERAGE('Feeder Spreads'!AD106:AD125)+2*STDEV('Feeder Spreads'!AD106:AD125),"")</f>
        <v>0</v>
      </c>
      <c r="EH106">
        <f>IFERROR(AVERAGE('Feeder Spreads'!AD106:AD125)-2*STDEV('Feeder Spreads'!AD106:AD125),"")</f>
        <v>0</v>
      </c>
      <c r="EI106" t="str">
        <f>IFERROR(('Feeder Spreads'!AD106-(AVERAGE('Feeder Spreads'!AD106:AD125)-2*STDEV('Feeder Spreads'!AD106:AD125)))/(4*STDEV('Feeder Spreads'!AD106:AD125)),"")</f>
        <v/>
      </c>
      <c r="EJ106" t="str">
        <f>IFERROR(4*STDEV('Feeder Spreads'!AD106:AD125)/AVERAGE('Feeder Spreads'!AD106:AD125),"")</f>
        <v/>
      </c>
      <c r="EK106">
        <v>47.840600000000002</v>
      </c>
      <c r="EL106">
        <f>IFERROR(SQRT((SUMSQ('Feeder Spreads'!AD106:AD125)-2*SUMPRODUCT('Feeder Spreads'!AD106:AD125,'Feeder Spreads'!AD107:AD126)+SUMSQ('Feeder Spreads'!AD107:AD126)-('Feeder Spreads'!AD106-'Feeder Spreads'!AD126)^2/20)/19),"")</f>
        <v>0</v>
      </c>
      <c r="EN106">
        <f>IFERROR('Feeder Spreads'!AJ106,"")</f>
        <v>0</v>
      </c>
      <c r="EO106">
        <f>IFERROR(('Feeder Spreads'!AK106-AVERAGE('Feeder Spreads'!$AK$3:$AK$4308))/STDEV('Feeder Spreads'!$AK$3:$AK$4308),"")</f>
        <v>-9.2057461789832346E-2</v>
      </c>
      <c r="EP106">
        <f>IFERROR('Feeder Spreads'!AK106-'Feeder Spreads'!AK111,"")</f>
        <v>0</v>
      </c>
      <c r="EQ106">
        <f>IFERROR('Feeder Spreads'!AK106-'Feeder Spreads'!AK116,"")</f>
        <v>0</v>
      </c>
      <c r="ER106">
        <f>IFERROR(AVERAGE('Feeder Spreads'!AK106:AK125)+2*STDEV('Feeder Spreads'!AK106:AK125),"")</f>
        <v>0</v>
      </c>
      <c r="ES106">
        <f>IFERROR(AVERAGE('Feeder Spreads'!AK106:AK125)-2*STDEV('Feeder Spreads'!AK106:AK125),"")</f>
        <v>0</v>
      </c>
      <c r="ET106" t="str">
        <f>IFERROR(('Feeder Spreads'!AK106-(AVERAGE('Feeder Spreads'!AK106:AK125)-2*STDEV('Feeder Spreads'!AK106:AK125)))/(4*STDEV('Feeder Spreads'!AK106:AK125)),"")</f>
        <v/>
      </c>
      <c r="EU106" t="str">
        <f>IFERROR(4*STDEV('Feeder Spreads'!AK106:AK125)/AVERAGE('Feeder Spreads'!AK106:AK125),"")</f>
        <v/>
      </c>
      <c r="EV106">
        <v>51.5396</v>
      </c>
      <c r="EW106">
        <f>IFERROR(SQRT((SUMSQ('Feeder Spreads'!AK106:AK125)-2*SUMPRODUCT('Feeder Spreads'!AK106:AK125,'Feeder Spreads'!AK107:AK126)+SUMSQ('Feeder Spreads'!AK107:AK126)-('Feeder Spreads'!AK106-'Feeder Spreads'!AK126)^2/20)/19),"")</f>
        <v>0</v>
      </c>
      <c r="EY106">
        <f>IFERROR('Feeder Spreads'!AQ106,"")</f>
        <v>0</v>
      </c>
      <c r="EZ106">
        <f>IFERROR(('Feeder Spreads'!AR106-AVERAGE('Feeder Spreads'!$AR$3:$AR$4308))/STDEV('Feeder Spreads'!$AR$3:$AR$4308),"")</f>
        <v>-9.2057461789832332E-2</v>
      </c>
      <c r="FA106">
        <f>IFERROR('Feeder Spreads'!AR106-'Feeder Spreads'!AR111,"")</f>
        <v>0</v>
      </c>
      <c r="FB106">
        <f>IFERROR('Feeder Spreads'!AR106-'Feeder Spreads'!AR116,"")</f>
        <v>0</v>
      </c>
      <c r="FC106">
        <f>IFERROR(AVERAGE('Feeder Spreads'!AR106:AR125)+2*STDEV('Feeder Spreads'!AR106:AR125),"")</f>
        <v>0</v>
      </c>
      <c r="FD106">
        <f>IFERROR(AVERAGE('Feeder Spreads'!AR106:AR125)-2*STDEV('Feeder Spreads'!AR106:AR125),"")</f>
        <v>0</v>
      </c>
      <c r="FE106" t="str">
        <f>IFERROR(('Feeder Spreads'!AR106-(AVERAGE('Feeder Spreads'!AR106:AR125)-2*STDEV('Feeder Spreads'!AR106:AR125)))/(4*STDEV('Feeder Spreads'!AR106:AR125)),"")</f>
        <v/>
      </c>
      <c r="FF106" t="str">
        <f>IFERROR(4*STDEV('Feeder Spreads'!AR106:AR125)/AVERAGE('Feeder Spreads'!AR106:AR125),"")</f>
        <v/>
      </c>
      <c r="FG106">
        <v>59.607900000000001</v>
      </c>
      <c r="FH106">
        <f>IFERROR(SQRT((SUMSQ('Feeder Spreads'!AR106:AR125)-2*SUMPRODUCT('Feeder Spreads'!AR106:AR125,'Feeder Spreads'!AR107:AR126)+SUMSQ('Feeder Spreads'!AR107:AR126)-('Feeder Spreads'!AR106-'Feeder Spreads'!AR126)^2/20)/19),"")</f>
        <v>0</v>
      </c>
      <c r="FJ106">
        <f>IFERROR('Fat Spreads'!AX106,"")</f>
        <v>0</v>
      </c>
      <c r="FK106">
        <f>IFERROR(('Fat Spreads'!AY106-AVERAGE('Fat Spreads'!$AY$3:$AY$4308))/STDEV('Fat Spreads'!$AY$3:$AY$4308),"")</f>
        <v>9.2057461789832332E-2</v>
      </c>
      <c r="FL106">
        <f>IFERROR('Fat Spreads'!AY106-'Fat Spreads'!AY111,"")</f>
        <v>0</v>
      </c>
      <c r="FM106">
        <f>IFERROR('Fat Spreads'!AY106-'Fat Spreads'!AY116,"")</f>
        <v>0</v>
      </c>
      <c r="FN106">
        <f>IFERROR(AVERAGE('Fat Spreads'!AY106:AY125)+2*STDEV('Fat Spreads'!AY106:AY125),"")</f>
        <v>0</v>
      </c>
      <c r="FO106">
        <f>IFERROR(AVERAGE('Fat Spreads'!AY106:AY125)-2*STDEV('Fat Spreads'!AY106:AY125),"")</f>
        <v>0</v>
      </c>
      <c r="FP106" t="str">
        <f>IFERROR(('Fat Spreads'!AY106-(AVERAGE('Fat Spreads'!AY106:AY125)-2*STDEV('Fat Spreads'!AY106:AY125)))/(4*STDEV('Fat Spreads'!AY106:AY125)),"")</f>
        <v/>
      </c>
      <c r="FQ106" t="str">
        <f>IFERROR(4*STDEV('Fat Spreads'!AY106:AY125)/AVERAGE('Fat Spreads'!AY106:AY125),"")</f>
        <v/>
      </c>
      <c r="FR106">
        <v>38.689500000000002</v>
      </c>
      <c r="FS106">
        <f>IFERROR(SQRT((SUMSQ('Fat Spreads'!AY106:AY125)-2*SUMPRODUCT('Fat Spreads'!AY106:AY125,'Fat Spreads'!AY107:AY126)+SUMSQ('Fat Spreads'!AY107:AY126)-('Fat Spreads'!AY106-'Fat Spreads'!AY126)^2/20)/19),"")</f>
        <v>0</v>
      </c>
      <c r="FU106">
        <f>IFERROR('Fat Spreads'!BE106,"")</f>
        <v>0</v>
      </c>
      <c r="FV106">
        <f>IFERROR(('Fat Spreads'!BF106-AVERAGE('Fat Spreads'!$BF$3:$BF$4308))/STDEV('Fat Spreads'!$BF$3:$BF$4308),"")</f>
        <v>9.2057461789832332E-2</v>
      </c>
      <c r="FW106">
        <f>IFERROR('Fat Spreads'!BF106-'Fat Spreads'!BF111,"")</f>
        <v>0</v>
      </c>
      <c r="FX106">
        <f>IFERROR('Fat Spreads'!BF106-'Fat Spreads'!BF116,"")</f>
        <v>0</v>
      </c>
      <c r="FY106">
        <f>IFERROR(AVERAGE('Fat Spreads'!BF106:BF125)+2*STDEV('Fat Spreads'!BF106:BF125),"")</f>
        <v>0</v>
      </c>
      <c r="FZ106">
        <f>IFERROR(AVERAGE('Fat Spreads'!BF106:BF125)-2*STDEV('Fat Spreads'!BF106:BF125),"")</f>
        <v>0</v>
      </c>
      <c r="GA106" t="str">
        <f>IFERROR(('Fat Spreads'!BF106-(AVERAGE('Fat Spreads'!BF106:BF125)-2*STDEV('Fat Spreads'!BF106:BF125)))/(4*STDEV('Fat Spreads'!BF106:BF125)),"")</f>
        <v/>
      </c>
      <c r="GB106" t="str">
        <f>IFERROR(4*STDEV('Fat Spreads'!BF106:BF125)/AVERAGE('Fat Spreads'!BF106:BF125),"")</f>
        <v/>
      </c>
      <c r="GC106">
        <v>42.5242</v>
      </c>
      <c r="GD106">
        <f>IFERROR(SQRT((SUMSQ('Fat Spreads'!BF106:BF125)-2*SUMPRODUCT('Fat Spreads'!BF106:BF125,'Fat Spreads'!BF107:BF126)+SUMSQ('Fat Spreads'!BF107:BF126)-('Fat Spreads'!BF106-'Fat Spreads'!BF126)^2/20)/19),"")</f>
        <v>0</v>
      </c>
    </row>
    <row r="107" spans="1:186" x14ac:dyDescent="0.25">
      <c r="A107">
        <f>IFERROR('Fat Spreads'!A107,"")</f>
        <v>0</v>
      </c>
      <c r="B107">
        <f>IFERROR(('Fat Spreads'!B107-AVERAGE('Fat Spreads'!$B$3:$B$4308))/STDEV('Fat Spreads'!$B$3:$B$4308),"")</f>
        <v>9.2057461789832346E-2</v>
      </c>
      <c r="C107">
        <f>IFERROR('Fat Spreads'!B107-'Fat Spreads'!B112,"")</f>
        <v>0</v>
      </c>
      <c r="D107">
        <f>IFERROR('Fat Spreads'!B107-'Fat Spreads'!B117,"")</f>
        <v>0</v>
      </c>
      <c r="E107">
        <f>IFERROR(AVERAGE('Fat Spreads'!B107:B126)+2*STDEV('Fat Spreads'!B107:B126),"")</f>
        <v>0</v>
      </c>
      <c r="F107">
        <f>IFERROR(AVERAGE('Fat Spreads'!B107:B126)-2*STDEV('Fat Spreads'!B107:B126),"")</f>
        <v>0</v>
      </c>
      <c r="G107" t="str">
        <f>IFERROR(('Fat Spreads'!B107-(AVERAGE('Fat Spreads'!B107:B126)-2*STDEV('Fat Spreads'!B107:B126)))/(4*STDEV('Fat Spreads'!B107:B126)),"")</f>
        <v/>
      </c>
      <c r="H107" t="str">
        <f>IFERROR(4*STDEV('Fat Spreads'!B107:B126)/AVERAGE('Fat Spreads'!B107:B126),"")</f>
        <v/>
      </c>
      <c r="I107">
        <v>31.060099999999998</v>
      </c>
      <c r="J107">
        <f>IFERROR(SQRT((SUMSQ('Fat Spreads'!B107:B126)-2*SUMPRODUCT('Fat Spreads'!B107:B126,'Fat Spreads'!B108:B127)+SUMSQ('Fat Spreads'!B108:B127)-('Fat Spreads'!B107-'Fat Spreads'!B127)^2/20)/19),"")</f>
        <v>0</v>
      </c>
      <c r="L107">
        <f>IFERROR('Fat Spreads'!H107,"")</f>
        <v>0</v>
      </c>
      <c r="M107">
        <f>IFERROR(('Fat Spreads'!I107-AVERAGE('Fat Spreads'!$I$3:$I$4308))/STDEV('Fat Spreads'!$I$3:$I$4308),"")</f>
        <v>-9.2057461789832332E-2</v>
      </c>
      <c r="N107">
        <f>IFERROR('Fat Spreads'!I107-'Fat Spreads'!I112,"")</f>
        <v>0</v>
      </c>
      <c r="O107">
        <f>IFERROR('Fat Spreads'!I107-'Fat Spreads'!I117,"")</f>
        <v>0</v>
      </c>
      <c r="P107">
        <f>IFERROR(AVERAGE('Fat Spreads'!I107:I126)+2*STDEV('Fat Spreads'!I107:I126),"")</f>
        <v>0</v>
      </c>
      <c r="Q107">
        <f>IFERROR(AVERAGE('Fat Spreads'!I107:I126)-2*STDEV('Fat Spreads'!I107:I126),"")</f>
        <v>0</v>
      </c>
      <c r="R107" t="str">
        <f>IFERROR(('Fat Spreads'!I107-(AVERAGE('Fat Spreads'!I107:I126)-2*STDEV('Fat Spreads'!I107:I126)))/(4*STDEV('Fat Spreads'!I107:I126)),"")</f>
        <v/>
      </c>
      <c r="S107" t="str">
        <f>IFERROR(4*STDEV('Fat Spreads'!I107:I126)/AVERAGE('Fat Spreads'!I107:I126),"")</f>
        <v/>
      </c>
      <c r="T107">
        <v>44.397199999999998</v>
      </c>
      <c r="U107">
        <f>IFERROR(SQRT((SUMSQ('Fat Spreads'!I107:I126)-2*SUMPRODUCT('Fat Spreads'!I107:I126,'Fat Spreads'!I108:I127)+SUMSQ('Fat Spreads'!I108:I127)-('Fat Spreads'!I107-'Fat Spreads'!I127)^2/20)/19),"")</f>
        <v>0</v>
      </c>
      <c r="W107">
        <f>IFERROR('Fat Spreads'!AQ107,"")</f>
        <v>0</v>
      </c>
      <c r="X107">
        <f>IFERROR(('Fat Spreads'!AR107-AVERAGE('Fat Spreads'!$AR$3:$AR$4308))/STDEV('Fat Spreads'!$AR$3:$AR$4308),"")</f>
        <v>-9.2057461789832346E-2</v>
      </c>
      <c r="Y107">
        <f>IFERROR('Fat Spreads'!AR107-'Fat Spreads'!AR112,"")</f>
        <v>0</v>
      </c>
      <c r="Z107">
        <f>IFERROR('Fat Spreads'!AR107-'Fat Spreads'!AR117,"")</f>
        <v>0</v>
      </c>
      <c r="AA107">
        <f>IFERROR(AVERAGE('Fat Spreads'!AR107:AR126)+2*STDEV('Fat Spreads'!AR107:AR126),"")</f>
        <v>0</v>
      </c>
      <c r="AB107">
        <f>IFERROR(AVERAGE('Fat Spreads'!AR107:AR126)-2*STDEV('Fat Spreads'!AR107:AR126),"")</f>
        <v>0</v>
      </c>
      <c r="AC107" t="str">
        <f>IFERROR(('Fat Spreads'!AR107-(AVERAGE('Fat Spreads'!AR107:AR126)-2*STDEV('Fat Spreads'!AR107:AR126)))/(4*STDEV('Fat Spreads'!AR107:AR126)),"")</f>
        <v/>
      </c>
      <c r="AD107" t="str">
        <f>IFERROR(4*STDEV('Fat Spreads'!AR107:AR126)/AVERAGE('Fat Spreads'!AR107:AR126),"")</f>
        <v/>
      </c>
      <c r="AE107">
        <v>75.5822</v>
      </c>
      <c r="AF107">
        <f>IFERROR(SQRT((SUMSQ('Fat Spreads'!AR107:AR126)-2*SUMPRODUCT('Fat Spreads'!AR107:AR126,'Fat Spreads'!AR108:AR127)+SUMSQ('Fat Spreads'!AR108:AR127)-('Fat Spreads'!AR107-'Fat Spreads'!AR127)^2/20)/19),"")</f>
        <v>0</v>
      </c>
      <c r="AH107">
        <f>IFERROR('Fat Spreads'!O107,"")</f>
        <v>0</v>
      </c>
      <c r="AI107">
        <f>IFERROR(('Fat Spreads'!P107-AVERAGE('Fat Spreads'!$P$3:$P$4308))/STDEV('Fat Spreads'!$P$3:$P$4308),"")</f>
        <v>-9.2057461789832332E-2</v>
      </c>
      <c r="AJ107">
        <f>IFERROR('Fat Spreads'!P107-'Fat Spreads'!P112,"")</f>
        <v>0</v>
      </c>
      <c r="AK107">
        <f>IFERROR('Fat Spreads'!P107-'Fat Spreads'!P117,"")</f>
        <v>0</v>
      </c>
      <c r="AL107">
        <f>IFERROR(AVERAGE('Fat Spreads'!P107:P126)+2*STDEV('Fat Spreads'!P107:P126),"")</f>
        <v>0</v>
      </c>
      <c r="AM107">
        <f>IFERROR(AVERAGE('Fat Spreads'!P107:P126)-2*STDEV('Fat Spreads'!P107:P126),"")</f>
        <v>0</v>
      </c>
      <c r="AN107" t="str">
        <f>IFERROR(('Fat Spreads'!P107-(AVERAGE('Fat Spreads'!P107:P126)-2*STDEV('Fat Spreads'!P107:P126)))/(4*STDEV('Fat Spreads'!P107:P126)),"")</f>
        <v/>
      </c>
      <c r="AO107" t="str">
        <f>IFERROR(4*STDEV('Fat Spreads'!P107:P126)/AVERAGE('Fat Spreads'!P107:P126),"")</f>
        <v/>
      </c>
      <c r="AP107">
        <v>59.355400000000003</v>
      </c>
      <c r="AQ107">
        <f>IFERROR(SQRT((SUMSQ('Fat Spreads'!P107:P126)-2*SUMPRODUCT('Fat Spreads'!P107:P126,'Fat Spreads'!P108:P127)+SUMSQ('Fat Spreads'!P108:P127)-('Fat Spreads'!P107-'Fat Spreads'!P127)^2/20)/19),"")</f>
        <v>0</v>
      </c>
      <c r="AS107">
        <f>IFERROR('Fat Spreads'!AJ107,"")</f>
        <v>0</v>
      </c>
      <c r="AT107">
        <f>IFERROR(('Fat Spreads'!AK107-AVERAGE('Fat Spreads'!$AK$3:$AK$4308))/STDEV('Fat Spreads'!$AK$3:$AK$4308),"")</f>
        <v>-9.2057461789832332E-2</v>
      </c>
      <c r="AU107">
        <f>IFERROR('Fat Spreads'!AK107-'Fat Spreads'!AK112,"")</f>
        <v>0</v>
      </c>
      <c r="AV107">
        <f>IFERROR('Fat Spreads'!AK107-'Fat Spreads'!AK117,"")</f>
        <v>0</v>
      </c>
      <c r="AW107">
        <f>IFERROR(AVERAGE('Fat Spreads'!AK107:AK126)+2*STDEV('Fat Spreads'!AK107:AK126),"")</f>
        <v>0</v>
      </c>
      <c r="AX107">
        <f>IFERROR(AVERAGE('Fat Spreads'!AK107:AK126)-2*STDEV('Fat Spreads'!AK107:AK126),"")</f>
        <v>0</v>
      </c>
      <c r="AY107" t="str">
        <f>IFERROR(('Fat Spreads'!AK107-(AVERAGE('Fat Spreads'!AK107:AK126)-2*STDEV('Fat Spreads'!AK107:AK126)))/(4*STDEV('Fat Spreads'!AK107:AK126)),"")</f>
        <v/>
      </c>
      <c r="AZ107" t="str">
        <f>IFERROR(4*STDEV('Fat Spreads'!AK107:AK126)/AVERAGE('Fat Spreads'!AK107:AK126),"")</f>
        <v/>
      </c>
      <c r="BA107">
        <v>33.359699999999997</v>
      </c>
      <c r="BB107">
        <f>IFERROR(SQRT((SUMSQ('Fat Spreads'!AK107:AK126)-2*SUMPRODUCT('Fat Spreads'!AK107:AK126,'Fat Spreads'!AK108:AK127)+SUMSQ('Fat Spreads'!AK108:AK127)-('Fat Spreads'!AK107-'Fat Spreads'!AK127)^2/20)/19),"")</f>
        <v>0</v>
      </c>
      <c r="BD107">
        <f>IFERROR('Fat Spreads'!V107,"")</f>
        <v>0</v>
      </c>
      <c r="BE107">
        <f>IFERROR(('Fat Spreads'!W107-AVERAGE('Fat Spreads'!$W$3:$W$4308))/STDEV('Fat Spreads'!$W$3:$W$4308),"")</f>
        <v>-9.2057461789832332E-2</v>
      </c>
      <c r="BF107">
        <f>IFERROR('Fat Spreads'!W107-'Fat Spreads'!W112,"")</f>
        <v>0</v>
      </c>
      <c r="BG107">
        <f>IFERROR('Fat Spreads'!W107-'Fat Spreads'!W117,"")</f>
        <v>0</v>
      </c>
      <c r="BH107">
        <f>IFERROR(AVERAGE('Fat Spreads'!W107:W126)+2*STDEV('Fat Spreads'!W107:W126),"")</f>
        <v>0</v>
      </c>
      <c r="BI107">
        <f>IFERROR(AVERAGE('Fat Spreads'!W107:W126)-2*STDEV('Fat Spreads'!W107:W126),"")</f>
        <v>0</v>
      </c>
      <c r="BJ107" t="str">
        <f>IFERROR(('Fat Spreads'!W107-(AVERAGE('Fat Spreads'!W107:W126)-2*STDEV('Fat Spreads'!W107:W126)))/(4*STDEV('Fat Spreads'!W107:W126)),"")</f>
        <v/>
      </c>
      <c r="BK107" t="str">
        <f>IFERROR(4*STDEV('Fat Spreads'!W107:W126)/AVERAGE('Fat Spreads'!W107:W126),"")</f>
        <v/>
      </c>
      <c r="BL107">
        <v>61.664299999999997</v>
      </c>
      <c r="BM107">
        <f>IFERROR(SQRT((SUMSQ('Fat Spreads'!W107:W126)-2*SUMPRODUCT('Fat Spreads'!W107:W126,'Fat Spreads'!W108:W127)+SUMSQ('Fat Spreads'!W108:W127)-('Fat Spreads'!W107-'Fat Spreads'!W127)^2/20)/19),"")</f>
        <v>0</v>
      </c>
      <c r="BO107">
        <f>IFERROR('Fat Spreads'!AC107,"")</f>
        <v>0</v>
      </c>
      <c r="BP107">
        <f>IFERROR(('Fat Spreads'!AD107-AVERAGE('Fat Spreads'!$AD$3:$AD$4308))/STDEV('Fat Spreads'!$AD$3:$AD$4308),"")</f>
        <v>-9.2057461789832332E-2</v>
      </c>
      <c r="BQ107">
        <f>IFERROR('Fat Spreads'!AD107-'Fat Spreads'!AD112,"")</f>
        <v>0</v>
      </c>
      <c r="BR107">
        <f>IFERROR('Fat Spreads'!AD107-'Fat Spreads'!AD117,"")</f>
        <v>0</v>
      </c>
      <c r="BS107">
        <f>IFERROR(AVERAGE('Fat Spreads'!AD107:AD126)+2*STDEV('Fat Spreads'!AD107:AD126),"")</f>
        <v>0</v>
      </c>
      <c r="BT107">
        <f>IFERROR(AVERAGE('Fat Spreads'!AD107:AD126)-2*STDEV('Fat Spreads'!AD107:AD126),"")</f>
        <v>0</v>
      </c>
      <c r="BU107" t="str">
        <f>IFERROR(('Fat Spreads'!AD107-(AVERAGE('Fat Spreads'!AD107:AD126)-2*STDEV('Fat Spreads'!AD107:AD126)))/(4*STDEV('Fat Spreads'!AD107:AD126)),"")</f>
        <v/>
      </c>
      <c r="BV107" t="str">
        <f>IFERROR(4*STDEV('Fat Spreads'!AD107:AD126)/AVERAGE('Fat Spreads'!AD107:AD126),"")</f>
        <v/>
      </c>
      <c r="BW107">
        <v>30.537199999999999</v>
      </c>
      <c r="BX107">
        <f>IFERROR(SQRT((SUMSQ('Fat Spreads'!AD107:AD126)-2*SUMPRODUCT('Fat Spreads'!AD107:AD126,'Fat Spreads'!AD108:AD127)+SUMSQ('Fat Spreads'!AD108:AD127)-('Fat Spreads'!AD107-'Fat Spreads'!AD127)^2/20)/19),"")</f>
        <v>0</v>
      </c>
      <c r="BZ107">
        <f>IFERROR('Feeder Spreads'!A107,"")</f>
        <v>0</v>
      </c>
      <c r="CA107">
        <f>IFERROR(('Feeder Spreads'!B107-AVERAGE('Feeder Spreads'!$B$3:$B$4308))/STDEV('Feeder Spreads'!$B$3:$B$4308),"")</f>
        <v>-9.2057461789832346E-2</v>
      </c>
      <c r="CB107">
        <f>IFERROR('Feeder Spreads'!B107-'Feeder Spreads'!B112,"")</f>
        <v>0</v>
      </c>
      <c r="CC107">
        <f>IFERROR('Feeder Spreads'!B107-'Feeder Spreads'!B117,"")</f>
        <v>0</v>
      </c>
      <c r="CD107">
        <f>IFERROR(AVERAGE('Feeder Spreads'!B107:B126)+2*STDEV('Feeder Spreads'!B107:B126),"")</f>
        <v>0</v>
      </c>
      <c r="CE107">
        <f>IFERROR(AVERAGE('Feeder Spreads'!B107:B126)-2*STDEV('Feeder Spreads'!B107:B126),"")</f>
        <v>0</v>
      </c>
      <c r="CF107" t="str">
        <f>IFERROR(('Feeder Spreads'!B107-(AVERAGE('Feeder Spreads'!B107:B126)-2*STDEV('Feeder Spreads'!B107:B126)))/(4*STDEV('Feeder Spreads'!B107:B126)),"")</f>
        <v/>
      </c>
      <c r="CG107" t="str">
        <f>IFERROR(4*STDEV('Feeder Spreads'!B107:B126)/AVERAGE('Feeder Spreads'!B107:B126),"")</f>
        <v/>
      </c>
      <c r="CH107">
        <v>51.037799999999997</v>
      </c>
      <c r="CI107">
        <f>IFERROR(SQRT((SUMSQ('Feeder Spreads'!B107:B126)-2*SUMPRODUCT('Feeder Spreads'!B107:B126,'Feeder Spreads'!B108:B127)+SUMSQ('Feeder Spreads'!B108:B127)-('Feeder Spreads'!B107-'Feeder Spreads'!B127)^2/20)/19),"")</f>
        <v>0</v>
      </c>
      <c r="CK107">
        <f>IFERROR('Feeder Spreads'!AX107,"")</f>
        <v>0</v>
      </c>
      <c r="CL107">
        <f>IFERROR(('Feeder Spreads'!AY107-AVERAGE('Feeder Spreads'!$AY$3:$AY$4308))/STDEV('Feeder Spreads'!$AY$3:$AY$4308),"")</f>
        <v>-9.2057461789832346E-2</v>
      </c>
      <c r="CM107">
        <f>IFERROR('Feeder Spreads'!AY107-'Feeder Spreads'!AY112,"")</f>
        <v>0</v>
      </c>
      <c r="CN107">
        <f>IFERROR('Feeder Spreads'!AY107-'Feeder Spreads'!AY117,"")</f>
        <v>0</v>
      </c>
      <c r="CO107">
        <f>IFERROR(AVERAGE('Feeder Spreads'!AY107:AY126)+2*STDEV('Feeder Spreads'!AY107:AY126),"")</f>
        <v>0</v>
      </c>
      <c r="CP107">
        <f>IFERROR(AVERAGE('Feeder Spreads'!AY107:AY126)-2*STDEV('Feeder Spreads'!AY107:AY126),"")</f>
        <v>0</v>
      </c>
      <c r="CQ107" t="str">
        <f>IFERROR(('Feeder Spreads'!AY107-(AVERAGE('Feeder Spreads'!AY107:AY126)-2*STDEV('Feeder Spreads'!AY107:AY126)))/(4*STDEV('Feeder Spreads'!AY107:AY126)),"")</f>
        <v/>
      </c>
      <c r="CR107" t="str">
        <f>IFERROR(4*STDEV('Feeder Spreads'!AY107:AY126)/AVERAGE('Feeder Spreads'!AY107:AY126),"")</f>
        <v/>
      </c>
      <c r="CS107">
        <v>35.415799999999997</v>
      </c>
      <c r="CT107">
        <f>IFERROR(SQRT((SUMSQ('Feeder Spreads'!AY107:AY126)-2*SUMPRODUCT('Feeder Spreads'!AY107:AY126,'Feeder Spreads'!AY108:AY127)+SUMSQ('Feeder Spreads'!AY108:AY127)-('Feeder Spreads'!AY107-'Feeder Spreads'!AY127)^2/20)/19),"")</f>
        <v>0</v>
      </c>
      <c r="CV107">
        <f>IFERROR('Feeder Spreads'!H107,"")</f>
        <v>0</v>
      </c>
      <c r="CW107">
        <f>IFERROR(('Feeder Spreads'!I107-AVERAGE('Feeder Spreads'!$I$3:$I$4308))/STDEV('Feeder Spreads'!$I$3:$I$4308),"")</f>
        <v>-9.2057461789832332E-2</v>
      </c>
      <c r="CX107">
        <f>IFERROR('Feeder Spreads'!I107-'Feeder Spreads'!I112,"")</f>
        <v>0</v>
      </c>
      <c r="CY107">
        <f>IFERROR('Feeder Spreads'!I107-'Feeder Spreads'!I117,"")</f>
        <v>0</v>
      </c>
      <c r="CZ107">
        <f>IFERROR(AVERAGE('Feeder Spreads'!I107:I126)+2*STDEV('Feeder Spreads'!I107:I126),"")</f>
        <v>0</v>
      </c>
      <c r="DA107">
        <f>IFERROR(AVERAGE('Feeder Spreads'!I107:I126)-2*STDEV('Feeder Spreads'!I107:I126),"")</f>
        <v>0</v>
      </c>
      <c r="DB107" t="str">
        <f>IFERROR(('Feeder Spreads'!I107-(AVERAGE('Feeder Spreads'!I107:I126)-2*STDEV('Feeder Spreads'!I107:I126)))/(4*STDEV('Feeder Spreads'!I107:I126)),"")</f>
        <v/>
      </c>
      <c r="DC107" t="str">
        <f>IFERROR(4*STDEV('Feeder Spreads'!I107:I126)/AVERAGE('Feeder Spreads'!I107:I126),"")</f>
        <v/>
      </c>
      <c r="DD107">
        <v>25.568100000000001</v>
      </c>
      <c r="DE107">
        <f>IFERROR(SQRT((SUMSQ('Feeder Spreads'!I107:I126)-2*SUMPRODUCT('Feeder Spreads'!I107:I126,'Feeder Spreads'!I108:I127)+SUMSQ('Feeder Spreads'!I108:I127)-('Feeder Spreads'!I107-'Feeder Spreads'!I127)^2/20)/19),"")</f>
        <v>0</v>
      </c>
      <c r="DG107">
        <f>IFERROR('Feeder Spreads'!O107,"")</f>
        <v>0</v>
      </c>
      <c r="DH107">
        <f>IFERROR(('Feeder Spreads'!P107-AVERAGE('Feeder Spreads'!$P$3:$P$4308))/STDEV('Feeder Spreads'!$P$3:$P$4308),"")</f>
        <v>-9.2057461789832346E-2</v>
      </c>
      <c r="DI107">
        <f>IFERROR('Feeder Spreads'!P107-'Feeder Spreads'!P112,"")</f>
        <v>0</v>
      </c>
      <c r="DJ107">
        <f>IFERROR('Feeder Spreads'!P107-'Feeder Spreads'!P117,"")</f>
        <v>0</v>
      </c>
      <c r="DK107">
        <f>IFERROR(AVERAGE('Feeder Spreads'!P107:P126)+2*STDEV('Feeder Spreads'!P107:P126),"")</f>
        <v>0</v>
      </c>
      <c r="DL107">
        <f>IFERROR(AVERAGE('Feeder Spreads'!P107:P126)-2*STDEV('Feeder Spreads'!P107:P126),"")</f>
        <v>0</v>
      </c>
      <c r="DM107" t="str">
        <f>IFERROR(('Feeder Spreads'!P107-(AVERAGE('Feeder Spreads'!P107:P126)-2*STDEV('Feeder Spreads'!P107:P126)))/(4*STDEV('Feeder Spreads'!P107:P126)),"")</f>
        <v/>
      </c>
      <c r="DN107" t="str">
        <f>IFERROR(4*STDEV('Feeder Spreads'!P107:P126)/AVERAGE('Feeder Spreads'!P107:P126),"")</f>
        <v/>
      </c>
      <c r="DO107">
        <v>63.697099999999999</v>
      </c>
      <c r="DP107">
        <f>IFERROR(SQRT((SUMSQ('Feeder Spreads'!P107:P126)-2*SUMPRODUCT('Feeder Spreads'!P107:P126,'Feeder Spreads'!P108:P127)+SUMSQ('Feeder Spreads'!P108:P127)-('Feeder Spreads'!P107-'Feeder Spreads'!P127)^2/20)/19),"")</f>
        <v>0</v>
      </c>
      <c r="DR107">
        <f>IFERROR('Feeder Spreads'!V107,"")</f>
        <v>0</v>
      </c>
      <c r="DS107">
        <f>IFERROR(('Feeder Spreads'!W107-AVERAGE('Feeder Spreads'!$W$3:$W$4308))/STDEV('Feeder Spreads'!$W$3:$W$4308),"")</f>
        <v>-9.2057461789832332E-2</v>
      </c>
      <c r="DT107">
        <f>IFERROR('Feeder Spreads'!W107-'Feeder Spreads'!W112,"")</f>
        <v>0</v>
      </c>
      <c r="DU107">
        <f>IFERROR('Feeder Spreads'!W107-'Feeder Spreads'!W117,"")</f>
        <v>0</v>
      </c>
      <c r="DV107">
        <f>IFERROR(AVERAGE('Feeder Spreads'!W107:W126)+2*STDEV('Feeder Spreads'!W107:W126),"")</f>
        <v>0</v>
      </c>
      <c r="DW107">
        <f>IFERROR(AVERAGE('Feeder Spreads'!W107:W126)-2*STDEV('Feeder Spreads'!W107:W126),"")</f>
        <v>0</v>
      </c>
      <c r="DX107" t="str">
        <f>IFERROR(('Feeder Spreads'!W107-(AVERAGE('Feeder Spreads'!W107:W126)-2*STDEV('Feeder Spreads'!W107:W126)))/(4*STDEV('Feeder Spreads'!W107:W126)),"")</f>
        <v/>
      </c>
      <c r="DY107" t="str">
        <f>IFERROR(4*STDEV('Feeder Spreads'!W107:W126)/AVERAGE('Feeder Spreads'!W107:W126),"")</f>
        <v/>
      </c>
      <c r="DZ107">
        <v>32.348599999999998</v>
      </c>
      <c r="EA107">
        <f>IFERROR(SQRT((SUMSQ('Feeder Spreads'!W107:W126)-2*SUMPRODUCT('Feeder Spreads'!W107:W126,'Feeder Spreads'!W108:W127)+SUMSQ('Feeder Spreads'!W108:W127)-('Feeder Spreads'!W107-'Feeder Spreads'!W127)^2/20)/19),"")</f>
        <v>0</v>
      </c>
      <c r="EC107">
        <f>IFERROR('Feeder Spreads'!AC107,"")</f>
        <v>0</v>
      </c>
      <c r="ED107">
        <f>IFERROR(('Feeder Spreads'!AD107-AVERAGE('Feeder Spreads'!$AD$3:$AD$4308))/STDEV('Feeder Spreads'!$AD$3:$AD$4308),"")</f>
        <v>9.2057461789832318E-2</v>
      </c>
      <c r="EE107">
        <f>IFERROR('Feeder Spreads'!AD107-'Feeder Spreads'!AD112,"")</f>
        <v>0</v>
      </c>
      <c r="EF107">
        <f>IFERROR('Feeder Spreads'!AD107-'Feeder Spreads'!AD117,"")</f>
        <v>0</v>
      </c>
      <c r="EG107">
        <f>IFERROR(AVERAGE('Feeder Spreads'!AD107:AD126)+2*STDEV('Feeder Spreads'!AD107:AD126),"")</f>
        <v>0</v>
      </c>
      <c r="EH107">
        <f>IFERROR(AVERAGE('Feeder Spreads'!AD107:AD126)-2*STDEV('Feeder Spreads'!AD107:AD126),"")</f>
        <v>0</v>
      </c>
      <c r="EI107" t="str">
        <f>IFERROR(('Feeder Spreads'!AD107-(AVERAGE('Feeder Spreads'!AD107:AD126)-2*STDEV('Feeder Spreads'!AD107:AD126)))/(4*STDEV('Feeder Spreads'!AD107:AD126)),"")</f>
        <v/>
      </c>
      <c r="EJ107" t="str">
        <f>IFERROR(4*STDEV('Feeder Spreads'!AD107:AD126)/AVERAGE('Feeder Spreads'!AD107:AD126),"")</f>
        <v/>
      </c>
      <c r="EK107">
        <v>48.543999999999997</v>
      </c>
      <c r="EL107">
        <f>IFERROR(SQRT((SUMSQ('Feeder Spreads'!AD107:AD126)-2*SUMPRODUCT('Feeder Spreads'!AD107:AD126,'Feeder Spreads'!AD108:AD127)+SUMSQ('Feeder Spreads'!AD108:AD127)-('Feeder Spreads'!AD107-'Feeder Spreads'!AD127)^2/20)/19),"")</f>
        <v>0</v>
      </c>
      <c r="EN107">
        <f>IFERROR('Feeder Spreads'!AJ107,"")</f>
        <v>0</v>
      </c>
      <c r="EO107">
        <f>IFERROR(('Feeder Spreads'!AK107-AVERAGE('Feeder Spreads'!$AK$3:$AK$4308))/STDEV('Feeder Spreads'!$AK$3:$AK$4308),"")</f>
        <v>-9.2057461789832346E-2</v>
      </c>
      <c r="EP107">
        <f>IFERROR('Feeder Spreads'!AK107-'Feeder Spreads'!AK112,"")</f>
        <v>0</v>
      </c>
      <c r="EQ107">
        <f>IFERROR('Feeder Spreads'!AK107-'Feeder Spreads'!AK117,"")</f>
        <v>0</v>
      </c>
      <c r="ER107">
        <f>IFERROR(AVERAGE('Feeder Spreads'!AK107:AK126)+2*STDEV('Feeder Spreads'!AK107:AK126),"")</f>
        <v>0</v>
      </c>
      <c r="ES107">
        <f>IFERROR(AVERAGE('Feeder Spreads'!AK107:AK126)-2*STDEV('Feeder Spreads'!AK107:AK126),"")</f>
        <v>0</v>
      </c>
      <c r="ET107" t="str">
        <f>IFERROR(('Feeder Spreads'!AK107-(AVERAGE('Feeder Spreads'!AK107:AK126)-2*STDEV('Feeder Spreads'!AK107:AK126)))/(4*STDEV('Feeder Spreads'!AK107:AK126)),"")</f>
        <v/>
      </c>
      <c r="EU107" t="str">
        <f>IFERROR(4*STDEV('Feeder Spreads'!AK107:AK126)/AVERAGE('Feeder Spreads'!AK107:AK126),"")</f>
        <v/>
      </c>
      <c r="EV107">
        <v>50.086500000000001</v>
      </c>
      <c r="EW107">
        <f>IFERROR(SQRT((SUMSQ('Feeder Spreads'!AK107:AK126)-2*SUMPRODUCT('Feeder Spreads'!AK107:AK126,'Feeder Spreads'!AK108:AK127)+SUMSQ('Feeder Spreads'!AK108:AK127)-('Feeder Spreads'!AK107-'Feeder Spreads'!AK127)^2/20)/19),"")</f>
        <v>0</v>
      </c>
      <c r="EY107">
        <f>IFERROR('Feeder Spreads'!AQ107,"")</f>
        <v>0</v>
      </c>
      <c r="EZ107">
        <f>IFERROR(('Feeder Spreads'!AR107-AVERAGE('Feeder Spreads'!$AR$3:$AR$4308))/STDEV('Feeder Spreads'!$AR$3:$AR$4308),"")</f>
        <v>-9.2057461789832332E-2</v>
      </c>
      <c r="FA107">
        <f>IFERROR('Feeder Spreads'!AR107-'Feeder Spreads'!AR112,"")</f>
        <v>0</v>
      </c>
      <c r="FB107">
        <f>IFERROR('Feeder Spreads'!AR107-'Feeder Spreads'!AR117,"")</f>
        <v>0</v>
      </c>
      <c r="FC107">
        <f>IFERROR(AVERAGE('Feeder Spreads'!AR107:AR126)+2*STDEV('Feeder Spreads'!AR107:AR126),"")</f>
        <v>0</v>
      </c>
      <c r="FD107">
        <f>IFERROR(AVERAGE('Feeder Spreads'!AR107:AR126)-2*STDEV('Feeder Spreads'!AR107:AR126),"")</f>
        <v>0</v>
      </c>
      <c r="FE107" t="str">
        <f>IFERROR(('Feeder Spreads'!AR107-(AVERAGE('Feeder Spreads'!AR107:AR126)-2*STDEV('Feeder Spreads'!AR107:AR126)))/(4*STDEV('Feeder Spreads'!AR107:AR126)),"")</f>
        <v/>
      </c>
      <c r="FF107" t="str">
        <f>IFERROR(4*STDEV('Feeder Spreads'!AR107:AR126)/AVERAGE('Feeder Spreads'!AR107:AR126),"")</f>
        <v/>
      </c>
      <c r="FG107">
        <v>60.41</v>
      </c>
      <c r="FH107">
        <f>IFERROR(SQRT((SUMSQ('Feeder Spreads'!AR107:AR126)-2*SUMPRODUCT('Feeder Spreads'!AR107:AR126,'Feeder Spreads'!AR108:AR127)+SUMSQ('Feeder Spreads'!AR108:AR127)-('Feeder Spreads'!AR107-'Feeder Spreads'!AR127)^2/20)/19),"")</f>
        <v>0</v>
      </c>
      <c r="FJ107">
        <f>IFERROR('Fat Spreads'!AX107,"")</f>
        <v>0</v>
      </c>
      <c r="FK107">
        <f>IFERROR(('Fat Spreads'!AY107-AVERAGE('Fat Spreads'!$AY$3:$AY$4308))/STDEV('Fat Spreads'!$AY$3:$AY$4308),"")</f>
        <v>9.2057461789832332E-2</v>
      </c>
      <c r="FL107">
        <f>IFERROR('Fat Spreads'!AY107-'Fat Spreads'!AY112,"")</f>
        <v>0</v>
      </c>
      <c r="FM107">
        <f>IFERROR('Fat Spreads'!AY107-'Fat Spreads'!AY117,"")</f>
        <v>0</v>
      </c>
      <c r="FN107">
        <f>IFERROR(AVERAGE('Fat Spreads'!AY107:AY126)+2*STDEV('Fat Spreads'!AY107:AY126),"")</f>
        <v>0</v>
      </c>
      <c r="FO107">
        <f>IFERROR(AVERAGE('Fat Spreads'!AY107:AY126)-2*STDEV('Fat Spreads'!AY107:AY126),"")</f>
        <v>0</v>
      </c>
      <c r="FP107" t="str">
        <f>IFERROR(('Fat Spreads'!AY107-(AVERAGE('Fat Spreads'!AY107:AY126)-2*STDEV('Fat Spreads'!AY107:AY126)))/(4*STDEV('Fat Spreads'!AY107:AY126)),"")</f>
        <v/>
      </c>
      <c r="FQ107" t="str">
        <f>IFERROR(4*STDEV('Fat Spreads'!AY107:AY126)/AVERAGE('Fat Spreads'!AY107:AY126),"")</f>
        <v/>
      </c>
      <c r="FR107">
        <v>29.598800000000001</v>
      </c>
      <c r="FS107">
        <f>IFERROR(SQRT((SUMSQ('Fat Spreads'!AY107:AY126)-2*SUMPRODUCT('Fat Spreads'!AY107:AY126,'Fat Spreads'!AY108:AY127)+SUMSQ('Fat Spreads'!AY108:AY127)-('Fat Spreads'!AY107-'Fat Spreads'!AY127)^2/20)/19),"")</f>
        <v>0</v>
      </c>
      <c r="FU107">
        <f>IFERROR('Fat Spreads'!BE107,"")</f>
        <v>0</v>
      </c>
      <c r="FV107">
        <f>IFERROR(('Fat Spreads'!BF107-AVERAGE('Fat Spreads'!$BF$3:$BF$4308))/STDEV('Fat Spreads'!$BF$3:$BF$4308),"")</f>
        <v>9.2057461789832332E-2</v>
      </c>
      <c r="FW107">
        <f>IFERROR('Fat Spreads'!BF107-'Fat Spreads'!BF112,"")</f>
        <v>0</v>
      </c>
      <c r="FX107">
        <f>IFERROR('Fat Spreads'!BF107-'Fat Spreads'!BF117,"")</f>
        <v>0</v>
      </c>
      <c r="FY107">
        <f>IFERROR(AVERAGE('Fat Spreads'!BF107:BF126)+2*STDEV('Fat Spreads'!BF107:BF126),"")</f>
        <v>0</v>
      </c>
      <c r="FZ107">
        <f>IFERROR(AVERAGE('Fat Spreads'!BF107:BF126)-2*STDEV('Fat Spreads'!BF107:BF126),"")</f>
        <v>0</v>
      </c>
      <c r="GA107" t="str">
        <f>IFERROR(('Fat Spreads'!BF107-(AVERAGE('Fat Spreads'!BF107:BF126)-2*STDEV('Fat Spreads'!BF107:BF126)))/(4*STDEV('Fat Spreads'!BF107:BF126)),"")</f>
        <v/>
      </c>
      <c r="GB107" t="str">
        <f>IFERROR(4*STDEV('Fat Spreads'!BF107:BF126)/AVERAGE('Fat Spreads'!BF107:BF126),"")</f>
        <v/>
      </c>
      <c r="GC107">
        <v>37.467799999999997</v>
      </c>
      <c r="GD107">
        <f>IFERROR(SQRT((SUMSQ('Fat Spreads'!BF107:BF126)-2*SUMPRODUCT('Fat Spreads'!BF107:BF126,'Fat Spreads'!BF108:BF127)+SUMSQ('Fat Spreads'!BF108:BF127)-('Fat Spreads'!BF107-'Fat Spreads'!BF127)^2/20)/19),"")</f>
        <v>0</v>
      </c>
    </row>
    <row r="108" spans="1:186" x14ac:dyDescent="0.25">
      <c r="A108">
        <f>IFERROR('Fat Spreads'!A108,"")</f>
        <v>0</v>
      </c>
      <c r="B108">
        <f>IFERROR(('Fat Spreads'!B108-AVERAGE('Fat Spreads'!$B$3:$B$4308))/STDEV('Fat Spreads'!$B$3:$B$4308),"")</f>
        <v>9.2057461789832346E-2</v>
      </c>
      <c r="C108">
        <f>IFERROR('Fat Spreads'!B108-'Fat Spreads'!B113,"")</f>
        <v>0</v>
      </c>
      <c r="D108">
        <f>IFERROR('Fat Spreads'!B108-'Fat Spreads'!B118,"")</f>
        <v>0</v>
      </c>
      <c r="E108">
        <f>IFERROR(AVERAGE('Fat Spreads'!B108:B127)+2*STDEV('Fat Spreads'!B108:B127),"")</f>
        <v>0</v>
      </c>
      <c r="F108">
        <f>IFERROR(AVERAGE('Fat Spreads'!B108:B127)-2*STDEV('Fat Spreads'!B108:B127),"")</f>
        <v>0</v>
      </c>
      <c r="G108" t="str">
        <f>IFERROR(('Fat Spreads'!B108-(AVERAGE('Fat Spreads'!B108:B127)-2*STDEV('Fat Spreads'!B108:B127)))/(4*STDEV('Fat Spreads'!B108:B127)),"")</f>
        <v/>
      </c>
      <c r="H108" t="str">
        <f>IFERROR(4*STDEV('Fat Spreads'!B108:B127)/AVERAGE('Fat Spreads'!B108:B127),"")</f>
        <v/>
      </c>
      <c r="I108">
        <v>31.060099999999998</v>
      </c>
      <c r="J108">
        <f>IFERROR(SQRT((SUMSQ('Fat Spreads'!B108:B127)-2*SUMPRODUCT('Fat Spreads'!B108:B127,'Fat Spreads'!B109:B128)+SUMSQ('Fat Spreads'!B109:B128)-('Fat Spreads'!B108-'Fat Spreads'!B128)^2/20)/19),"")</f>
        <v>0</v>
      </c>
      <c r="L108">
        <f>IFERROR('Fat Spreads'!H108,"")</f>
        <v>0</v>
      </c>
      <c r="M108">
        <f>IFERROR(('Fat Spreads'!I108-AVERAGE('Fat Spreads'!$I$3:$I$4308))/STDEV('Fat Spreads'!$I$3:$I$4308),"")</f>
        <v>-9.2057461789832332E-2</v>
      </c>
      <c r="N108">
        <f>IFERROR('Fat Spreads'!I108-'Fat Spreads'!I113,"")</f>
        <v>0</v>
      </c>
      <c r="O108">
        <f>IFERROR('Fat Spreads'!I108-'Fat Spreads'!I118,"")</f>
        <v>0</v>
      </c>
      <c r="P108">
        <f>IFERROR(AVERAGE('Fat Spreads'!I108:I127)+2*STDEV('Fat Spreads'!I108:I127),"")</f>
        <v>0</v>
      </c>
      <c r="Q108">
        <f>IFERROR(AVERAGE('Fat Spreads'!I108:I127)-2*STDEV('Fat Spreads'!I108:I127),"")</f>
        <v>0</v>
      </c>
      <c r="R108" t="str">
        <f>IFERROR(('Fat Spreads'!I108-(AVERAGE('Fat Spreads'!I108:I127)-2*STDEV('Fat Spreads'!I108:I127)))/(4*STDEV('Fat Spreads'!I108:I127)),"")</f>
        <v/>
      </c>
      <c r="S108" t="str">
        <f>IFERROR(4*STDEV('Fat Spreads'!I108:I127)/AVERAGE('Fat Spreads'!I108:I127),"")</f>
        <v/>
      </c>
      <c r="T108">
        <v>40.7667</v>
      </c>
      <c r="U108">
        <f>IFERROR(SQRT((SUMSQ('Fat Spreads'!I108:I127)-2*SUMPRODUCT('Fat Spreads'!I108:I127,'Fat Spreads'!I109:I128)+SUMSQ('Fat Spreads'!I109:I128)-('Fat Spreads'!I108-'Fat Spreads'!I128)^2/20)/19),"")</f>
        <v>0</v>
      </c>
      <c r="W108">
        <f>IFERROR('Fat Spreads'!AQ108,"")</f>
        <v>0</v>
      </c>
      <c r="X108">
        <f>IFERROR(('Fat Spreads'!AR108-AVERAGE('Fat Spreads'!$AR$3:$AR$4308))/STDEV('Fat Spreads'!$AR$3:$AR$4308),"")</f>
        <v>-9.2057461789832346E-2</v>
      </c>
      <c r="Y108">
        <f>IFERROR('Fat Spreads'!AR108-'Fat Spreads'!AR113,"")</f>
        <v>0</v>
      </c>
      <c r="Z108">
        <f>IFERROR('Fat Spreads'!AR108-'Fat Spreads'!AR118,"")</f>
        <v>0</v>
      </c>
      <c r="AA108">
        <f>IFERROR(AVERAGE('Fat Spreads'!AR108:AR127)+2*STDEV('Fat Spreads'!AR108:AR127),"")</f>
        <v>0</v>
      </c>
      <c r="AB108">
        <f>IFERROR(AVERAGE('Fat Spreads'!AR108:AR127)-2*STDEV('Fat Spreads'!AR108:AR127),"")</f>
        <v>0</v>
      </c>
      <c r="AC108" t="str">
        <f>IFERROR(('Fat Spreads'!AR108-(AVERAGE('Fat Spreads'!AR108:AR127)-2*STDEV('Fat Spreads'!AR108:AR127)))/(4*STDEV('Fat Spreads'!AR108:AR127)),"")</f>
        <v/>
      </c>
      <c r="AD108" t="str">
        <f>IFERROR(4*STDEV('Fat Spreads'!AR108:AR127)/AVERAGE('Fat Spreads'!AR108:AR127),"")</f>
        <v/>
      </c>
      <c r="AE108">
        <v>74.709400000000002</v>
      </c>
      <c r="AF108">
        <f>IFERROR(SQRT((SUMSQ('Fat Spreads'!AR108:AR127)-2*SUMPRODUCT('Fat Spreads'!AR108:AR127,'Fat Spreads'!AR109:AR128)+SUMSQ('Fat Spreads'!AR109:AR128)-('Fat Spreads'!AR108-'Fat Spreads'!AR128)^2/20)/19),"")</f>
        <v>0</v>
      </c>
      <c r="AH108">
        <f>IFERROR('Fat Spreads'!O108,"")</f>
        <v>0</v>
      </c>
      <c r="AI108">
        <f>IFERROR(('Fat Spreads'!P108-AVERAGE('Fat Spreads'!$P$3:$P$4308))/STDEV('Fat Spreads'!$P$3:$P$4308),"")</f>
        <v>-9.2057461789832332E-2</v>
      </c>
      <c r="AJ108">
        <f>IFERROR('Fat Spreads'!P108-'Fat Spreads'!P113,"")</f>
        <v>0</v>
      </c>
      <c r="AK108">
        <f>IFERROR('Fat Spreads'!P108-'Fat Spreads'!P118,"")</f>
        <v>0</v>
      </c>
      <c r="AL108">
        <f>IFERROR(AVERAGE('Fat Spreads'!P108:P127)+2*STDEV('Fat Spreads'!P108:P127),"")</f>
        <v>0</v>
      </c>
      <c r="AM108">
        <f>IFERROR(AVERAGE('Fat Spreads'!P108:P127)-2*STDEV('Fat Spreads'!P108:P127),"")</f>
        <v>0</v>
      </c>
      <c r="AN108" t="str">
        <f>IFERROR(('Fat Spreads'!P108-(AVERAGE('Fat Spreads'!P108:P127)-2*STDEV('Fat Spreads'!P108:P127)))/(4*STDEV('Fat Spreads'!P108:P127)),"")</f>
        <v/>
      </c>
      <c r="AO108" t="str">
        <f>IFERROR(4*STDEV('Fat Spreads'!P108:P127)/AVERAGE('Fat Spreads'!P108:P127),"")</f>
        <v/>
      </c>
      <c r="AP108">
        <v>59.134500000000003</v>
      </c>
      <c r="AQ108">
        <f>IFERROR(SQRT((SUMSQ('Fat Spreads'!P108:P127)-2*SUMPRODUCT('Fat Spreads'!P108:P127,'Fat Spreads'!P109:P128)+SUMSQ('Fat Spreads'!P109:P128)-('Fat Spreads'!P108-'Fat Spreads'!P128)^2/20)/19),"")</f>
        <v>0</v>
      </c>
      <c r="AS108">
        <f>IFERROR('Fat Spreads'!AJ108,"")</f>
        <v>0</v>
      </c>
      <c r="AT108">
        <f>IFERROR(('Fat Spreads'!AK108-AVERAGE('Fat Spreads'!$AK$3:$AK$4308))/STDEV('Fat Spreads'!$AK$3:$AK$4308),"")</f>
        <v>-9.2057461789832332E-2</v>
      </c>
      <c r="AU108">
        <f>IFERROR('Fat Spreads'!AK108-'Fat Spreads'!AK113,"")</f>
        <v>0</v>
      </c>
      <c r="AV108">
        <f>IFERROR('Fat Spreads'!AK108-'Fat Spreads'!AK118,"")</f>
        <v>0</v>
      </c>
      <c r="AW108">
        <f>IFERROR(AVERAGE('Fat Spreads'!AK108:AK127)+2*STDEV('Fat Spreads'!AK108:AK127),"")</f>
        <v>0</v>
      </c>
      <c r="AX108">
        <f>IFERROR(AVERAGE('Fat Spreads'!AK108:AK127)-2*STDEV('Fat Spreads'!AK108:AK127),"")</f>
        <v>0</v>
      </c>
      <c r="AY108" t="str">
        <f>IFERROR(('Fat Spreads'!AK108-(AVERAGE('Fat Spreads'!AK108:AK127)-2*STDEV('Fat Spreads'!AK108:AK127)))/(4*STDEV('Fat Spreads'!AK108:AK127)),"")</f>
        <v/>
      </c>
      <c r="AZ108" t="str">
        <f>IFERROR(4*STDEV('Fat Spreads'!AK108:AK127)/AVERAGE('Fat Spreads'!AK108:AK127),"")</f>
        <v/>
      </c>
      <c r="BA108">
        <v>30.507899999999999</v>
      </c>
      <c r="BB108">
        <f>IFERROR(SQRT((SUMSQ('Fat Spreads'!AK108:AK127)-2*SUMPRODUCT('Fat Spreads'!AK108:AK127,'Fat Spreads'!AK109:AK128)+SUMSQ('Fat Spreads'!AK109:AK128)-('Fat Spreads'!AK108-'Fat Spreads'!AK128)^2/20)/19),"")</f>
        <v>0</v>
      </c>
      <c r="BD108">
        <f>IFERROR('Fat Spreads'!V108,"")</f>
        <v>0</v>
      </c>
      <c r="BE108">
        <f>IFERROR(('Fat Spreads'!W108-AVERAGE('Fat Spreads'!$W$3:$W$4308))/STDEV('Fat Spreads'!$W$3:$W$4308),"")</f>
        <v>-9.2057461789832332E-2</v>
      </c>
      <c r="BF108">
        <f>IFERROR('Fat Spreads'!W108-'Fat Spreads'!W113,"")</f>
        <v>0</v>
      </c>
      <c r="BG108">
        <f>IFERROR('Fat Spreads'!W108-'Fat Spreads'!W118,"")</f>
        <v>0</v>
      </c>
      <c r="BH108">
        <f>IFERROR(AVERAGE('Fat Spreads'!W108:W127)+2*STDEV('Fat Spreads'!W108:W127),"")</f>
        <v>0</v>
      </c>
      <c r="BI108">
        <f>IFERROR(AVERAGE('Fat Spreads'!W108:W127)-2*STDEV('Fat Spreads'!W108:W127),"")</f>
        <v>0</v>
      </c>
      <c r="BJ108" t="str">
        <f>IFERROR(('Fat Spreads'!W108-(AVERAGE('Fat Spreads'!W108:W127)-2*STDEV('Fat Spreads'!W108:W127)))/(4*STDEV('Fat Spreads'!W108:W127)),"")</f>
        <v/>
      </c>
      <c r="BK108" t="str">
        <f>IFERROR(4*STDEV('Fat Spreads'!W108:W127)/AVERAGE('Fat Spreads'!W108:W127),"")</f>
        <v/>
      </c>
      <c r="BL108">
        <v>60.850900000000003</v>
      </c>
      <c r="BM108">
        <f>IFERROR(SQRT((SUMSQ('Fat Spreads'!W108:W127)-2*SUMPRODUCT('Fat Spreads'!W108:W127,'Fat Spreads'!W109:W128)+SUMSQ('Fat Spreads'!W109:W128)-('Fat Spreads'!W108-'Fat Spreads'!W128)^2/20)/19),"")</f>
        <v>0</v>
      </c>
      <c r="BO108">
        <f>IFERROR('Fat Spreads'!AC108,"")</f>
        <v>0</v>
      </c>
      <c r="BP108">
        <f>IFERROR(('Fat Spreads'!AD108-AVERAGE('Fat Spreads'!$AD$3:$AD$4308))/STDEV('Fat Spreads'!$AD$3:$AD$4308),"")</f>
        <v>-9.2057461789832332E-2</v>
      </c>
      <c r="BQ108">
        <f>IFERROR('Fat Spreads'!AD108-'Fat Spreads'!AD113,"")</f>
        <v>0</v>
      </c>
      <c r="BR108">
        <f>IFERROR('Fat Spreads'!AD108-'Fat Spreads'!AD118,"")</f>
        <v>0</v>
      </c>
      <c r="BS108">
        <f>IFERROR(AVERAGE('Fat Spreads'!AD108:AD127)+2*STDEV('Fat Spreads'!AD108:AD127),"")</f>
        <v>0</v>
      </c>
      <c r="BT108">
        <f>IFERROR(AVERAGE('Fat Spreads'!AD108:AD127)-2*STDEV('Fat Spreads'!AD108:AD127),"")</f>
        <v>0</v>
      </c>
      <c r="BU108" t="str">
        <f>IFERROR(('Fat Spreads'!AD108-(AVERAGE('Fat Spreads'!AD108:AD127)-2*STDEV('Fat Spreads'!AD108:AD127)))/(4*STDEV('Fat Spreads'!AD108:AD127)),"")</f>
        <v/>
      </c>
      <c r="BV108" t="str">
        <f>IFERROR(4*STDEV('Fat Spreads'!AD108:AD127)/AVERAGE('Fat Spreads'!AD108:AD127),"")</f>
        <v/>
      </c>
      <c r="BW108">
        <v>33.944299999999998</v>
      </c>
      <c r="BX108">
        <f>IFERROR(SQRT((SUMSQ('Fat Spreads'!AD108:AD127)-2*SUMPRODUCT('Fat Spreads'!AD108:AD127,'Fat Spreads'!AD109:AD128)+SUMSQ('Fat Spreads'!AD109:AD128)-('Fat Spreads'!AD108-'Fat Spreads'!AD128)^2/20)/19),"")</f>
        <v>0</v>
      </c>
      <c r="BZ108">
        <f>IFERROR('Feeder Spreads'!A108,"")</f>
        <v>0</v>
      </c>
      <c r="CA108">
        <f>IFERROR(('Feeder Spreads'!B108-AVERAGE('Feeder Spreads'!$B$3:$B$4308))/STDEV('Feeder Spreads'!$B$3:$B$4308),"")</f>
        <v>-9.2057461789832346E-2</v>
      </c>
      <c r="CB108">
        <f>IFERROR('Feeder Spreads'!B108-'Feeder Spreads'!B113,"")</f>
        <v>0</v>
      </c>
      <c r="CC108">
        <f>IFERROR('Feeder Spreads'!B108-'Feeder Spreads'!B118,"")</f>
        <v>0</v>
      </c>
      <c r="CD108">
        <f>IFERROR(AVERAGE('Feeder Spreads'!B108:B127)+2*STDEV('Feeder Spreads'!B108:B127),"")</f>
        <v>0</v>
      </c>
      <c r="CE108">
        <f>IFERROR(AVERAGE('Feeder Spreads'!B108:B127)-2*STDEV('Feeder Spreads'!B108:B127),"")</f>
        <v>0</v>
      </c>
      <c r="CF108" t="str">
        <f>IFERROR(('Feeder Spreads'!B108-(AVERAGE('Feeder Spreads'!B108:B127)-2*STDEV('Feeder Spreads'!B108:B127)))/(4*STDEV('Feeder Spreads'!B108:B127)),"")</f>
        <v/>
      </c>
      <c r="CG108" t="str">
        <f>IFERROR(4*STDEV('Feeder Spreads'!B108:B127)/AVERAGE('Feeder Spreads'!B108:B127),"")</f>
        <v/>
      </c>
      <c r="CH108">
        <v>54.976100000000002</v>
      </c>
      <c r="CI108">
        <f>IFERROR(SQRT((SUMSQ('Feeder Spreads'!B108:B127)-2*SUMPRODUCT('Feeder Spreads'!B108:B127,'Feeder Spreads'!B109:B128)+SUMSQ('Feeder Spreads'!B109:B128)-('Feeder Spreads'!B108-'Feeder Spreads'!B128)^2/20)/19),"")</f>
        <v>0</v>
      </c>
      <c r="CK108">
        <f>IFERROR('Feeder Spreads'!AX108,"")</f>
        <v>0</v>
      </c>
      <c r="CL108">
        <f>IFERROR(('Feeder Spreads'!AY108-AVERAGE('Feeder Spreads'!$AY$3:$AY$4308))/STDEV('Feeder Spreads'!$AY$3:$AY$4308),"")</f>
        <v>-9.2057461789832346E-2</v>
      </c>
      <c r="CM108">
        <f>IFERROR('Feeder Spreads'!AY108-'Feeder Spreads'!AY113,"")</f>
        <v>0</v>
      </c>
      <c r="CN108">
        <f>IFERROR('Feeder Spreads'!AY108-'Feeder Spreads'!AY118,"")</f>
        <v>0</v>
      </c>
      <c r="CO108">
        <f>IFERROR(AVERAGE('Feeder Spreads'!AY108:AY127)+2*STDEV('Feeder Spreads'!AY108:AY127),"")</f>
        <v>0</v>
      </c>
      <c r="CP108">
        <f>IFERROR(AVERAGE('Feeder Spreads'!AY108:AY127)-2*STDEV('Feeder Spreads'!AY108:AY127),"")</f>
        <v>0</v>
      </c>
      <c r="CQ108" t="str">
        <f>IFERROR(('Feeder Spreads'!AY108-(AVERAGE('Feeder Spreads'!AY108:AY127)-2*STDEV('Feeder Spreads'!AY108:AY127)))/(4*STDEV('Feeder Spreads'!AY108:AY127)),"")</f>
        <v/>
      </c>
      <c r="CR108" t="str">
        <f>IFERROR(4*STDEV('Feeder Spreads'!AY108:AY127)/AVERAGE('Feeder Spreads'!AY108:AY127),"")</f>
        <v/>
      </c>
      <c r="CS108">
        <v>35.163600000000002</v>
      </c>
      <c r="CT108">
        <f>IFERROR(SQRT((SUMSQ('Feeder Spreads'!AY108:AY127)-2*SUMPRODUCT('Feeder Spreads'!AY108:AY127,'Feeder Spreads'!AY109:AY128)+SUMSQ('Feeder Spreads'!AY109:AY128)-('Feeder Spreads'!AY108-'Feeder Spreads'!AY128)^2/20)/19),"")</f>
        <v>0</v>
      </c>
      <c r="CV108">
        <f>IFERROR('Feeder Spreads'!H108,"")</f>
        <v>0</v>
      </c>
      <c r="CW108">
        <f>IFERROR(('Feeder Spreads'!I108-AVERAGE('Feeder Spreads'!$I$3:$I$4308))/STDEV('Feeder Spreads'!$I$3:$I$4308),"")</f>
        <v>-9.2057461789832332E-2</v>
      </c>
      <c r="CX108">
        <f>IFERROR('Feeder Spreads'!I108-'Feeder Spreads'!I113,"")</f>
        <v>0</v>
      </c>
      <c r="CY108">
        <f>IFERROR('Feeder Spreads'!I108-'Feeder Spreads'!I118,"")</f>
        <v>0</v>
      </c>
      <c r="CZ108">
        <f>IFERROR(AVERAGE('Feeder Spreads'!I108:I127)+2*STDEV('Feeder Spreads'!I108:I127),"")</f>
        <v>0</v>
      </c>
      <c r="DA108">
        <f>IFERROR(AVERAGE('Feeder Spreads'!I108:I127)-2*STDEV('Feeder Spreads'!I108:I127),"")</f>
        <v>0</v>
      </c>
      <c r="DB108" t="str">
        <f>IFERROR(('Feeder Spreads'!I108-(AVERAGE('Feeder Spreads'!I108:I127)-2*STDEV('Feeder Spreads'!I108:I127)))/(4*STDEV('Feeder Spreads'!I108:I127)),"")</f>
        <v/>
      </c>
      <c r="DC108" t="str">
        <f>IFERROR(4*STDEV('Feeder Spreads'!I108:I127)/AVERAGE('Feeder Spreads'!I108:I127),"")</f>
        <v/>
      </c>
      <c r="DD108">
        <v>26.9983</v>
      </c>
      <c r="DE108">
        <f>IFERROR(SQRT((SUMSQ('Feeder Spreads'!I108:I127)-2*SUMPRODUCT('Feeder Spreads'!I108:I127,'Feeder Spreads'!I109:I128)+SUMSQ('Feeder Spreads'!I109:I128)-('Feeder Spreads'!I108-'Feeder Spreads'!I128)^2/20)/19),"")</f>
        <v>0</v>
      </c>
      <c r="DG108">
        <f>IFERROR('Feeder Spreads'!O108,"")</f>
        <v>0</v>
      </c>
      <c r="DH108">
        <f>IFERROR(('Feeder Spreads'!P108-AVERAGE('Feeder Spreads'!$P$3:$P$4308))/STDEV('Feeder Spreads'!$P$3:$P$4308),"")</f>
        <v>-9.2057461789832346E-2</v>
      </c>
      <c r="DI108">
        <f>IFERROR('Feeder Spreads'!P108-'Feeder Spreads'!P113,"")</f>
        <v>0</v>
      </c>
      <c r="DJ108">
        <f>IFERROR('Feeder Spreads'!P108-'Feeder Spreads'!P118,"")</f>
        <v>0</v>
      </c>
      <c r="DK108">
        <f>IFERROR(AVERAGE('Feeder Spreads'!P108:P127)+2*STDEV('Feeder Spreads'!P108:P127),"")</f>
        <v>0</v>
      </c>
      <c r="DL108">
        <f>IFERROR(AVERAGE('Feeder Spreads'!P108:P127)-2*STDEV('Feeder Spreads'!P108:P127),"")</f>
        <v>0</v>
      </c>
      <c r="DM108" t="str">
        <f>IFERROR(('Feeder Spreads'!P108-(AVERAGE('Feeder Spreads'!P108:P127)-2*STDEV('Feeder Spreads'!P108:P127)))/(4*STDEV('Feeder Spreads'!P108:P127)),"")</f>
        <v/>
      </c>
      <c r="DN108" t="str">
        <f>IFERROR(4*STDEV('Feeder Spreads'!P108:P127)/AVERAGE('Feeder Spreads'!P108:P127),"")</f>
        <v/>
      </c>
      <c r="DO108">
        <v>63.678699999999999</v>
      </c>
      <c r="DP108">
        <f>IFERROR(SQRT((SUMSQ('Feeder Spreads'!P108:P127)-2*SUMPRODUCT('Feeder Spreads'!P108:P127,'Feeder Spreads'!P109:P128)+SUMSQ('Feeder Spreads'!P109:P128)-('Feeder Spreads'!P108-'Feeder Spreads'!P128)^2/20)/19),"")</f>
        <v>0</v>
      </c>
      <c r="DR108">
        <f>IFERROR('Feeder Spreads'!V108,"")</f>
        <v>0</v>
      </c>
      <c r="DS108">
        <f>IFERROR(('Feeder Spreads'!W108-AVERAGE('Feeder Spreads'!$W$3:$W$4308))/STDEV('Feeder Spreads'!$W$3:$W$4308),"")</f>
        <v>-9.2057461789832332E-2</v>
      </c>
      <c r="DT108">
        <f>IFERROR('Feeder Spreads'!W108-'Feeder Spreads'!W113,"")</f>
        <v>0</v>
      </c>
      <c r="DU108">
        <f>IFERROR('Feeder Spreads'!W108-'Feeder Spreads'!W118,"")</f>
        <v>0</v>
      </c>
      <c r="DV108">
        <f>IFERROR(AVERAGE('Feeder Spreads'!W108:W127)+2*STDEV('Feeder Spreads'!W108:W127),"")</f>
        <v>0</v>
      </c>
      <c r="DW108">
        <f>IFERROR(AVERAGE('Feeder Spreads'!W108:W127)-2*STDEV('Feeder Spreads'!W108:W127),"")</f>
        <v>0</v>
      </c>
      <c r="DX108" t="str">
        <f>IFERROR(('Feeder Spreads'!W108-(AVERAGE('Feeder Spreads'!W108:W127)-2*STDEV('Feeder Spreads'!W108:W127)))/(4*STDEV('Feeder Spreads'!W108:W127)),"")</f>
        <v/>
      </c>
      <c r="DY108" t="str">
        <f>IFERROR(4*STDEV('Feeder Spreads'!W108:W127)/AVERAGE('Feeder Spreads'!W108:W127),"")</f>
        <v/>
      </c>
      <c r="DZ108">
        <v>32.945399999999999</v>
      </c>
      <c r="EA108">
        <f>IFERROR(SQRT((SUMSQ('Feeder Spreads'!W108:W127)-2*SUMPRODUCT('Feeder Spreads'!W108:W127,'Feeder Spreads'!W109:W128)+SUMSQ('Feeder Spreads'!W109:W128)-('Feeder Spreads'!W108-'Feeder Spreads'!W128)^2/20)/19),"")</f>
        <v>0</v>
      </c>
      <c r="EC108">
        <f>IFERROR('Feeder Spreads'!AC108,"")</f>
        <v>0</v>
      </c>
      <c r="ED108">
        <f>IFERROR(('Feeder Spreads'!AD108-AVERAGE('Feeder Spreads'!$AD$3:$AD$4308))/STDEV('Feeder Spreads'!$AD$3:$AD$4308),"")</f>
        <v>9.2057461789832318E-2</v>
      </c>
      <c r="EE108">
        <f>IFERROR('Feeder Spreads'!AD108-'Feeder Spreads'!AD113,"")</f>
        <v>0</v>
      </c>
      <c r="EF108">
        <f>IFERROR('Feeder Spreads'!AD108-'Feeder Spreads'!AD118,"")</f>
        <v>0</v>
      </c>
      <c r="EG108">
        <f>IFERROR(AVERAGE('Feeder Spreads'!AD108:AD127)+2*STDEV('Feeder Spreads'!AD108:AD127),"")</f>
        <v>0</v>
      </c>
      <c r="EH108">
        <f>IFERROR(AVERAGE('Feeder Spreads'!AD108:AD127)-2*STDEV('Feeder Spreads'!AD108:AD127),"")</f>
        <v>0</v>
      </c>
      <c r="EI108" t="str">
        <f>IFERROR(('Feeder Spreads'!AD108-(AVERAGE('Feeder Spreads'!AD108:AD127)-2*STDEV('Feeder Spreads'!AD108:AD127)))/(4*STDEV('Feeder Spreads'!AD108:AD127)),"")</f>
        <v/>
      </c>
      <c r="EJ108" t="str">
        <f>IFERROR(4*STDEV('Feeder Spreads'!AD108:AD127)/AVERAGE('Feeder Spreads'!AD108:AD127),"")</f>
        <v/>
      </c>
      <c r="EK108">
        <v>44.468499999999999</v>
      </c>
      <c r="EL108">
        <f>IFERROR(SQRT((SUMSQ('Feeder Spreads'!AD108:AD127)-2*SUMPRODUCT('Feeder Spreads'!AD108:AD127,'Feeder Spreads'!AD109:AD128)+SUMSQ('Feeder Spreads'!AD109:AD128)-('Feeder Spreads'!AD108-'Feeder Spreads'!AD128)^2/20)/19),"")</f>
        <v>0</v>
      </c>
      <c r="EN108">
        <f>IFERROR('Feeder Spreads'!AJ108,"")</f>
        <v>0</v>
      </c>
      <c r="EO108">
        <f>IFERROR(('Feeder Spreads'!AK108-AVERAGE('Feeder Spreads'!$AK$3:$AK$4308))/STDEV('Feeder Spreads'!$AK$3:$AK$4308),"")</f>
        <v>-9.2057461789832346E-2</v>
      </c>
      <c r="EP108">
        <f>IFERROR('Feeder Spreads'!AK108-'Feeder Spreads'!AK113,"")</f>
        <v>0</v>
      </c>
      <c r="EQ108">
        <f>IFERROR('Feeder Spreads'!AK108-'Feeder Spreads'!AK118,"")</f>
        <v>0</v>
      </c>
      <c r="ER108">
        <f>IFERROR(AVERAGE('Feeder Spreads'!AK108:AK127)+2*STDEV('Feeder Spreads'!AK108:AK127),"")</f>
        <v>0</v>
      </c>
      <c r="ES108">
        <f>IFERROR(AVERAGE('Feeder Spreads'!AK108:AK127)-2*STDEV('Feeder Spreads'!AK108:AK127),"")</f>
        <v>0</v>
      </c>
      <c r="ET108" t="str">
        <f>IFERROR(('Feeder Spreads'!AK108-(AVERAGE('Feeder Spreads'!AK108:AK127)-2*STDEV('Feeder Spreads'!AK108:AK127)))/(4*STDEV('Feeder Spreads'!AK108:AK127)),"")</f>
        <v/>
      </c>
      <c r="EU108" t="str">
        <f>IFERROR(4*STDEV('Feeder Spreads'!AK108:AK127)/AVERAGE('Feeder Spreads'!AK108:AK127),"")</f>
        <v/>
      </c>
      <c r="EV108">
        <v>51.311100000000003</v>
      </c>
      <c r="EW108">
        <f>IFERROR(SQRT((SUMSQ('Feeder Spreads'!AK108:AK127)-2*SUMPRODUCT('Feeder Spreads'!AK108:AK127,'Feeder Spreads'!AK109:AK128)+SUMSQ('Feeder Spreads'!AK109:AK128)-('Feeder Spreads'!AK108-'Feeder Spreads'!AK128)^2/20)/19),"")</f>
        <v>0</v>
      </c>
      <c r="EY108">
        <f>IFERROR('Feeder Spreads'!AQ108,"")</f>
        <v>0</v>
      </c>
      <c r="EZ108">
        <f>IFERROR(('Feeder Spreads'!AR108-AVERAGE('Feeder Spreads'!$AR$3:$AR$4308))/STDEV('Feeder Spreads'!$AR$3:$AR$4308),"")</f>
        <v>-9.2057461789832332E-2</v>
      </c>
      <c r="FA108">
        <f>IFERROR('Feeder Spreads'!AR108-'Feeder Spreads'!AR113,"")</f>
        <v>0</v>
      </c>
      <c r="FB108">
        <f>IFERROR('Feeder Spreads'!AR108-'Feeder Spreads'!AR118,"")</f>
        <v>0</v>
      </c>
      <c r="FC108">
        <f>IFERROR(AVERAGE('Feeder Spreads'!AR108:AR127)+2*STDEV('Feeder Spreads'!AR108:AR127),"")</f>
        <v>0</v>
      </c>
      <c r="FD108">
        <f>IFERROR(AVERAGE('Feeder Spreads'!AR108:AR127)-2*STDEV('Feeder Spreads'!AR108:AR127),"")</f>
        <v>0</v>
      </c>
      <c r="FE108" t="str">
        <f>IFERROR(('Feeder Spreads'!AR108-(AVERAGE('Feeder Spreads'!AR108:AR127)-2*STDEV('Feeder Spreads'!AR108:AR127)))/(4*STDEV('Feeder Spreads'!AR108:AR127)),"")</f>
        <v/>
      </c>
      <c r="FF108" t="str">
        <f>IFERROR(4*STDEV('Feeder Spreads'!AR108:AR127)/AVERAGE('Feeder Spreads'!AR108:AR127),"")</f>
        <v/>
      </c>
      <c r="FG108">
        <v>59.981400000000001</v>
      </c>
      <c r="FH108">
        <f>IFERROR(SQRT((SUMSQ('Feeder Spreads'!AR108:AR127)-2*SUMPRODUCT('Feeder Spreads'!AR108:AR127,'Feeder Spreads'!AR109:AR128)+SUMSQ('Feeder Spreads'!AR109:AR128)-('Feeder Spreads'!AR108-'Feeder Spreads'!AR128)^2/20)/19),"")</f>
        <v>0</v>
      </c>
      <c r="FJ108">
        <f>IFERROR('Fat Spreads'!AX108,"")</f>
        <v>0</v>
      </c>
      <c r="FK108">
        <f>IFERROR(('Fat Spreads'!AY108-AVERAGE('Fat Spreads'!$AY$3:$AY$4308))/STDEV('Fat Spreads'!$AY$3:$AY$4308),"")</f>
        <v>9.2057461789832332E-2</v>
      </c>
      <c r="FL108">
        <f>IFERROR('Fat Spreads'!AY108-'Fat Spreads'!AY113,"")</f>
        <v>0</v>
      </c>
      <c r="FM108">
        <f>IFERROR('Fat Spreads'!AY108-'Fat Spreads'!AY118,"")</f>
        <v>0</v>
      </c>
      <c r="FN108">
        <f>IFERROR(AVERAGE('Fat Spreads'!AY108:AY127)+2*STDEV('Fat Spreads'!AY108:AY127),"")</f>
        <v>0</v>
      </c>
      <c r="FO108">
        <f>IFERROR(AVERAGE('Fat Spreads'!AY108:AY127)-2*STDEV('Fat Spreads'!AY108:AY127),"")</f>
        <v>0</v>
      </c>
      <c r="FP108" t="str">
        <f>IFERROR(('Fat Spreads'!AY108-(AVERAGE('Fat Spreads'!AY108:AY127)-2*STDEV('Fat Spreads'!AY108:AY127)))/(4*STDEV('Fat Spreads'!AY108:AY127)),"")</f>
        <v/>
      </c>
      <c r="FQ108" t="str">
        <f>IFERROR(4*STDEV('Fat Spreads'!AY108:AY127)/AVERAGE('Fat Spreads'!AY108:AY127),"")</f>
        <v/>
      </c>
      <c r="FR108">
        <v>27.824300000000001</v>
      </c>
      <c r="FS108">
        <f>IFERROR(SQRT((SUMSQ('Fat Spreads'!AY108:AY127)-2*SUMPRODUCT('Fat Spreads'!AY108:AY127,'Fat Spreads'!AY109:AY128)+SUMSQ('Fat Spreads'!AY109:AY128)-('Fat Spreads'!AY108-'Fat Spreads'!AY128)^2/20)/19),"")</f>
        <v>0</v>
      </c>
      <c r="FU108">
        <f>IFERROR('Fat Spreads'!BE108,"")</f>
        <v>0</v>
      </c>
      <c r="FV108">
        <f>IFERROR(('Fat Spreads'!BF108-AVERAGE('Fat Spreads'!$BF$3:$BF$4308))/STDEV('Fat Spreads'!$BF$3:$BF$4308),"")</f>
        <v>9.2057461789832332E-2</v>
      </c>
      <c r="FW108">
        <f>IFERROR('Fat Spreads'!BF108-'Fat Spreads'!BF113,"")</f>
        <v>0</v>
      </c>
      <c r="FX108">
        <f>IFERROR('Fat Spreads'!BF108-'Fat Spreads'!BF118,"")</f>
        <v>0</v>
      </c>
      <c r="FY108">
        <f>IFERROR(AVERAGE('Fat Spreads'!BF108:BF127)+2*STDEV('Fat Spreads'!BF108:BF127),"")</f>
        <v>0</v>
      </c>
      <c r="FZ108">
        <f>IFERROR(AVERAGE('Fat Spreads'!BF108:BF127)-2*STDEV('Fat Spreads'!BF108:BF127),"")</f>
        <v>0</v>
      </c>
      <c r="GA108" t="str">
        <f>IFERROR(('Fat Spreads'!BF108-(AVERAGE('Fat Spreads'!BF108:BF127)-2*STDEV('Fat Spreads'!BF108:BF127)))/(4*STDEV('Fat Spreads'!BF108:BF127)),"")</f>
        <v/>
      </c>
      <c r="GB108" t="str">
        <f>IFERROR(4*STDEV('Fat Spreads'!BF108:BF127)/AVERAGE('Fat Spreads'!BF108:BF127),"")</f>
        <v/>
      </c>
      <c r="GC108">
        <v>35.4161</v>
      </c>
      <c r="GD108">
        <f>IFERROR(SQRT((SUMSQ('Fat Spreads'!BF108:BF127)-2*SUMPRODUCT('Fat Spreads'!BF108:BF127,'Fat Spreads'!BF109:BF128)+SUMSQ('Fat Spreads'!BF109:BF128)-('Fat Spreads'!BF108-'Fat Spreads'!BF128)^2/20)/19),"")</f>
        <v>0</v>
      </c>
    </row>
    <row r="109" spans="1:186" x14ac:dyDescent="0.25">
      <c r="A109">
        <f>IFERROR('Fat Spreads'!A109,"")</f>
        <v>0</v>
      </c>
      <c r="B109">
        <f>IFERROR(('Fat Spreads'!B109-AVERAGE('Fat Spreads'!$B$3:$B$4308))/STDEV('Fat Spreads'!$B$3:$B$4308),"")</f>
        <v>9.2057461789832346E-2</v>
      </c>
      <c r="C109">
        <f>IFERROR('Fat Spreads'!B109-'Fat Spreads'!B114,"")</f>
        <v>0</v>
      </c>
      <c r="D109">
        <f>IFERROR('Fat Spreads'!B109-'Fat Spreads'!B119,"")</f>
        <v>0</v>
      </c>
      <c r="E109">
        <f>IFERROR(AVERAGE('Fat Spreads'!B109:B128)+2*STDEV('Fat Spreads'!B109:B128),"")</f>
        <v>0</v>
      </c>
      <c r="F109">
        <f>IFERROR(AVERAGE('Fat Spreads'!B109:B128)-2*STDEV('Fat Spreads'!B109:B128),"")</f>
        <v>0</v>
      </c>
      <c r="G109" t="str">
        <f>IFERROR(('Fat Spreads'!B109-(AVERAGE('Fat Spreads'!B109:B128)-2*STDEV('Fat Spreads'!B109:B128)))/(4*STDEV('Fat Spreads'!B109:B128)),"")</f>
        <v/>
      </c>
      <c r="H109" t="str">
        <f>IFERROR(4*STDEV('Fat Spreads'!B109:B128)/AVERAGE('Fat Spreads'!B109:B128),"")</f>
        <v/>
      </c>
      <c r="I109">
        <v>26.1632</v>
      </c>
      <c r="J109">
        <f>IFERROR(SQRT((SUMSQ('Fat Spreads'!B109:B128)-2*SUMPRODUCT('Fat Spreads'!B109:B128,'Fat Spreads'!B110:B129)+SUMSQ('Fat Spreads'!B110:B129)-('Fat Spreads'!B109-'Fat Spreads'!B129)^2/20)/19),"")</f>
        <v>0</v>
      </c>
      <c r="L109">
        <f>IFERROR('Fat Spreads'!H109,"")</f>
        <v>0</v>
      </c>
      <c r="M109">
        <f>IFERROR(('Fat Spreads'!I109-AVERAGE('Fat Spreads'!$I$3:$I$4308))/STDEV('Fat Spreads'!$I$3:$I$4308),"")</f>
        <v>-9.2057461789832332E-2</v>
      </c>
      <c r="N109">
        <f>IFERROR('Fat Spreads'!I109-'Fat Spreads'!I114,"")</f>
        <v>0</v>
      </c>
      <c r="O109">
        <f>IFERROR('Fat Spreads'!I109-'Fat Spreads'!I119,"")</f>
        <v>0</v>
      </c>
      <c r="P109">
        <f>IFERROR(AVERAGE('Fat Spreads'!I109:I128)+2*STDEV('Fat Spreads'!I109:I128),"")</f>
        <v>0</v>
      </c>
      <c r="Q109">
        <f>IFERROR(AVERAGE('Fat Spreads'!I109:I128)-2*STDEV('Fat Spreads'!I109:I128),"")</f>
        <v>0</v>
      </c>
      <c r="R109" t="str">
        <f>IFERROR(('Fat Spreads'!I109-(AVERAGE('Fat Spreads'!I109:I128)-2*STDEV('Fat Spreads'!I109:I128)))/(4*STDEV('Fat Spreads'!I109:I128)),"")</f>
        <v/>
      </c>
      <c r="S109" t="str">
        <f>IFERROR(4*STDEV('Fat Spreads'!I109:I128)/AVERAGE('Fat Spreads'!I109:I128),"")</f>
        <v/>
      </c>
      <c r="T109">
        <v>39.186599999999999</v>
      </c>
      <c r="U109">
        <f>IFERROR(SQRT((SUMSQ('Fat Spreads'!I109:I128)-2*SUMPRODUCT('Fat Spreads'!I109:I128,'Fat Spreads'!I110:I129)+SUMSQ('Fat Spreads'!I110:I129)-('Fat Spreads'!I109-'Fat Spreads'!I129)^2/20)/19),"")</f>
        <v>0</v>
      </c>
      <c r="W109">
        <f>IFERROR('Fat Spreads'!AQ109,"")</f>
        <v>0</v>
      </c>
      <c r="X109">
        <f>IFERROR(('Fat Spreads'!AR109-AVERAGE('Fat Spreads'!$AR$3:$AR$4308))/STDEV('Fat Spreads'!$AR$3:$AR$4308),"")</f>
        <v>-9.2057461789832346E-2</v>
      </c>
      <c r="Y109">
        <f>IFERROR('Fat Spreads'!AR109-'Fat Spreads'!AR114,"")</f>
        <v>0</v>
      </c>
      <c r="Z109">
        <f>IFERROR('Fat Spreads'!AR109-'Fat Spreads'!AR119,"")</f>
        <v>0</v>
      </c>
      <c r="AA109">
        <f>IFERROR(AVERAGE('Fat Spreads'!AR109:AR128)+2*STDEV('Fat Spreads'!AR109:AR128),"")</f>
        <v>0</v>
      </c>
      <c r="AB109">
        <f>IFERROR(AVERAGE('Fat Spreads'!AR109:AR128)-2*STDEV('Fat Spreads'!AR109:AR128),"")</f>
        <v>0</v>
      </c>
      <c r="AC109" t="str">
        <f>IFERROR(('Fat Spreads'!AR109-(AVERAGE('Fat Spreads'!AR109:AR128)-2*STDEV('Fat Spreads'!AR109:AR128)))/(4*STDEV('Fat Spreads'!AR109:AR128)),"")</f>
        <v/>
      </c>
      <c r="AD109" t="str">
        <f>IFERROR(4*STDEV('Fat Spreads'!AR109:AR128)/AVERAGE('Fat Spreads'!AR109:AR128),"")</f>
        <v/>
      </c>
      <c r="AE109">
        <v>73.841099999999997</v>
      </c>
      <c r="AF109">
        <f>IFERROR(SQRT((SUMSQ('Fat Spreads'!AR109:AR128)-2*SUMPRODUCT('Fat Spreads'!AR109:AR128,'Fat Spreads'!AR110:AR129)+SUMSQ('Fat Spreads'!AR110:AR129)-('Fat Spreads'!AR109-'Fat Spreads'!AR129)^2/20)/19),"")</f>
        <v>0</v>
      </c>
      <c r="AH109">
        <f>IFERROR('Fat Spreads'!O109,"")</f>
        <v>0</v>
      </c>
      <c r="AI109">
        <f>IFERROR(('Fat Spreads'!P109-AVERAGE('Fat Spreads'!$P$3:$P$4308))/STDEV('Fat Spreads'!$P$3:$P$4308),"")</f>
        <v>-9.2057461789832332E-2</v>
      </c>
      <c r="AJ109">
        <f>IFERROR('Fat Spreads'!P109-'Fat Spreads'!P114,"")</f>
        <v>0</v>
      </c>
      <c r="AK109">
        <f>IFERROR('Fat Spreads'!P109-'Fat Spreads'!P119,"")</f>
        <v>0</v>
      </c>
      <c r="AL109">
        <f>IFERROR(AVERAGE('Fat Spreads'!P109:P128)+2*STDEV('Fat Spreads'!P109:P128),"")</f>
        <v>0</v>
      </c>
      <c r="AM109">
        <f>IFERROR(AVERAGE('Fat Spreads'!P109:P128)-2*STDEV('Fat Spreads'!P109:P128),"")</f>
        <v>0</v>
      </c>
      <c r="AN109" t="str">
        <f>IFERROR(('Fat Spreads'!P109-(AVERAGE('Fat Spreads'!P109:P128)-2*STDEV('Fat Spreads'!P109:P128)))/(4*STDEV('Fat Spreads'!P109:P128)),"")</f>
        <v/>
      </c>
      <c r="AO109" t="str">
        <f>IFERROR(4*STDEV('Fat Spreads'!P109:P128)/AVERAGE('Fat Spreads'!P109:P128),"")</f>
        <v/>
      </c>
      <c r="AP109">
        <v>59.585599999999999</v>
      </c>
      <c r="AQ109">
        <f>IFERROR(SQRT((SUMSQ('Fat Spreads'!P109:P128)-2*SUMPRODUCT('Fat Spreads'!P109:P128,'Fat Spreads'!P110:P129)+SUMSQ('Fat Spreads'!P110:P129)-('Fat Spreads'!P109-'Fat Spreads'!P129)^2/20)/19),"")</f>
        <v>0</v>
      </c>
      <c r="AS109">
        <f>IFERROR('Fat Spreads'!AJ109,"")</f>
        <v>0</v>
      </c>
      <c r="AT109">
        <f>IFERROR(('Fat Spreads'!AK109-AVERAGE('Fat Spreads'!$AK$3:$AK$4308))/STDEV('Fat Spreads'!$AK$3:$AK$4308),"")</f>
        <v>-9.2057461789832332E-2</v>
      </c>
      <c r="AU109">
        <f>IFERROR('Fat Spreads'!AK109-'Fat Spreads'!AK114,"")</f>
        <v>0</v>
      </c>
      <c r="AV109">
        <f>IFERROR('Fat Spreads'!AK109-'Fat Spreads'!AK119,"")</f>
        <v>0</v>
      </c>
      <c r="AW109">
        <f>IFERROR(AVERAGE('Fat Spreads'!AK109:AK128)+2*STDEV('Fat Spreads'!AK109:AK128),"")</f>
        <v>0</v>
      </c>
      <c r="AX109">
        <f>IFERROR(AVERAGE('Fat Spreads'!AK109:AK128)-2*STDEV('Fat Spreads'!AK109:AK128),"")</f>
        <v>0</v>
      </c>
      <c r="AY109" t="str">
        <f>IFERROR(('Fat Spreads'!AK109-(AVERAGE('Fat Spreads'!AK109:AK128)-2*STDEV('Fat Spreads'!AK109:AK128)))/(4*STDEV('Fat Spreads'!AK109:AK128)),"")</f>
        <v/>
      </c>
      <c r="AZ109" t="str">
        <f>IFERROR(4*STDEV('Fat Spreads'!AK109:AK128)/AVERAGE('Fat Spreads'!AK109:AK128),"")</f>
        <v/>
      </c>
      <c r="BA109">
        <v>30.507899999999999</v>
      </c>
      <c r="BB109">
        <f>IFERROR(SQRT((SUMSQ('Fat Spreads'!AK109:AK128)-2*SUMPRODUCT('Fat Spreads'!AK109:AK128,'Fat Spreads'!AK110:AK129)+SUMSQ('Fat Spreads'!AK110:AK129)-('Fat Spreads'!AK109-'Fat Spreads'!AK129)^2/20)/19),"")</f>
        <v>0</v>
      </c>
      <c r="BD109">
        <f>IFERROR('Fat Spreads'!V109,"")</f>
        <v>0</v>
      </c>
      <c r="BE109">
        <f>IFERROR(('Fat Spreads'!W109-AVERAGE('Fat Spreads'!$W$3:$W$4308))/STDEV('Fat Spreads'!$W$3:$W$4308),"")</f>
        <v>-9.2057461789832332E-2</v>
      </c>
      <c r="BF109">
        <f>IFERROR('Fat Spreads'!W109-'Fat Spreads'!W114,"")</f>
        <v>0</v>
      </c>
      <c r="BG109">
        <f>IFERROR('Fat Spreads'!W109-'Fat Spreads'!W119,"")</f>
        <v>0</v>
      </c>
      <c r="BH109">
        <f>IFERROR(AVERAGE('Fat Spreads'!W109:W128)+2*STDEV('Fat Spreads'!W109:W128),"")</f>
        <v>0</v>
      </c>
      <c r="BI109">
        <f>IFERROR(AVERAGE('Fat Spreads'!W109:W128)-2*STDEV('Fat Spreads'!W109:W128),"")</f>
        <v>0</v>
      </c>
      <c r="BJ109" t="str">
        <f>IFERROR(('Fat Spreads'!W109-(AVERAGE('Fat Spreads'!W109:W128)-2*STDEV('Fat Spreads'!W109:W128)))/(4*STDEV('Fat Spreads'!W109:W128)),"")</f>
        <v/>
      </c>
      <c r="BK109" t="str">
        <f>IFERROR(4*STDEV('Fat Spreads'!W109:W128)/AVERAGE('Fat Spreads'!W109:W128),"")</f>
        <v/>
      </c>
      <c r="BL109">
        <v>59.695799999999998</v>
      </c>
      <c r="BM109">
        <f>IFERROR(SQRT((SUMSQ('Fat Spreads'!W109:W128)-2*SUMPRODUCT('Fat Spreads'!W109:W128,'Fat Spreads'!W110:W129)+SUMSQ('Fat Spreads'!W110:W129)-('Fat Spreads'!W109-'Fat Spreads'!W129)^2/20)/19),"")</f>
        <v>0</v>
      </c>
      <c r="BO109">
        <f>IFERROR('Fat Spreads'!AC109,"")</f>
        <v>0</v>
      </c>
      <c r="BP109">
        <f>IFERROR(('Fat Spreads'!AD109-AVERAGE('Fat Spreads'!$AD$3:$AD$4308))/STDEV('Fat Spreads'!$AD$3:$AD$4308),"")</f>
        <v>-9.2057461789832332E-2</v>
      </c>
      <c r="BQ109">
        <f>IFERROR('Fat Spreads'!AD109-'Fat Spreads'!AD114,"")</f>
        <v>0</v>
      </c>
      <c r="BR109">
        <f>IFERROR('Fat Spreads'!AD109-'Fat Spreads'!AD119,"")</f>
        <v>0</v>
      </c>
      <c r="BS109">
        <f>IFERROR(AVERAGE('Fat Spreads'!AD109:AD128)+2*STDEV('Fat Spreads'!AD109:AD128),"")</f>
        <v>0</v>
      </c>
      <c r="BT109">
        <f>IFERROR(AVERAGE('Fat Spreads'!AD109:AD128)-2*STDEV('Fat Spreads'!AD109:AD128),"")</f>
        <v>0</v>
      </c>
      <c r="BU109" t="str">
        <f>IFERROR(('Fat Spreads'!AD109-(AVERAGE('Fat Spreads'!AD109:AD128)-2*STDEV('Fat Spreads'!AD109:AD128)))/(4*STDEV('Fat Spreads'!AD109:AD128)),"")</f>
        <v/>
      </c>
      <c r="BV109" t="str">
        <f>IFERROR(4*STDEV('Fat Spreads'!AD109:AD128)/AVERAGE('Fat Spreads'!AD109:AD128),"")</f>
        <v/>
      </c>
      <c r="BW109">
        <v>37.693300000000001</v>
      </c>
      <c r="BX109">
        <f>IFERROR(SQRT((SUMSQ('Fat Spreads'!AD109:AD128)-2*SUMPRODUCT('Fat Spreads'!AD109:AD128,'Fat Spreads'!AD110:AD129)+SUMSQ('Fat Spreads'!AD110:AD129)-('Fat Spreads'!AD109-'Fat Spreads'!AD129)^2/20)/19),"")</f>
        <v>0</v>
      </c>
      <c r="BZ109">
        <f>IFERROR('Feeder Spreads'!A109,"")</f>
        <v>0</v>
      </c>
      <c r="CA109">
        <f>IFERROR(('Feeder Spreads'!B109-AVERAGE('Feeder Spreads'!$B$3:$B$4308))/STDEV('Feeder Spreads'!$B$3:$B$4308),"")</f>
        <v>-9.2057461789832346E-2</v>
      </c>
      <c r="CB109">
        <f>IFERROR('Feeder Spreads'!B109-'Feeder Spreads'!B114,"")</f>
        <v>0</v>
      </c>
      <c r="CC109">
        <f>IFERROR('Feeder Spreads'!B109-'Feeder Spreads'!B119,"")</f>
        <v>0</v>
      </c>
      <c r="CD109">
        <f>IFERROR(AVERAGE('Feeder Spreads'!B109:B128)+2*STDEV('Feeder Spreads'!B109:B128),"")</f>
        <v>0</v>
      </c>
      <c r="CE109">
        <f>IFERROR(AVERAGE('Feeder Spreads'!B109:B128)-2*STDEV('Feeder Spreads'!B109:B128),"")</f>
        <v>0</v>
      </c>
      <c r="CF109" t="str">
        <f>IFERROR(('Feeder Spreads'!B109-(AVERAGE('Feeder Spreads'!B109:B128)-2*STDEV('Feeder Spreads'!B109:B128)))/(4*STDEV('Feeder Spreads'!B109:B128)),"")</f>
        <v/>
      </c>
      <c r="CG109" t="str">
        <f>IFERROR(4*STDEV('Feeder Spreads'!B109:B128)/AVERAGE('Feeder Spreads'!B109:B128),"")</f>
        <v/>
      </c>
      <c r="CH109">
        <v>48.598799999999997</v>
      </c>
      <c r="CI109">
        <f>IFERROR(SQRT((SUMSQ('Feeder Spreads'!B109:B128)-2*SUMPRODUCT('Feeder Spreads'!B109:B128,'Feeder Spreads'!B110:B129)+SUMSQ('Feeder Spreads'!B110:B129)-('Feeder Spreads'!B109-'Feeder Spreads'!B129)^2/20)/19),"")</f>
        <v>0</v>
      </c>
      <c r="CK109">
        <f>IFERROR('Feeder Spreads'!AX109,"")</f>
        <v>0</v>
      </c>
      <c r="CL109">
        <f>IFERROR(('Feeder Spreads'!AY109-AVERAGE('Feeder Spreads'!$AY$3:$AY$4308))/STDEV('Feeder Spreads'!$AY$3:$AY$4308),"")</f>
        <v>-9.2057461789832346E-2</v>
      </c>
      <c r="CM109">
        <f>IFERROR('Feeder Spreads'!AY109-'Feeder Spreads'!AY114,"")</f>
        <v>0</v>
      </c>
      <c r="CN109">
        <f>IFERROR('Feeder Spreads'!AY109-'Feeder Spreads'!AY119,"")</f>
        <v>0</v>
      </c>
      <c r="CO109">
        <f>IFERROR(AVERAGE('Feeder Spreads'!AY109:AY128)+2*STDEV('Feeder Spreads'!AY109:AY128),"")</f>
        <v>0</v>
      </c>
      <c r="CP109">
        <f>IFERROR(AVERAGE('Feeder Spreads'!AY109:AY128)-2*STDEV('Feeder Spreads'!AY109:AY128),"")</f>
        <v>0</v>
      </c>
      <c r="CQ109" t="str">
        <f>IFERROR(('Feeder Spreads'!AY109-(AVERAGE('Feeder Spreads'!AY109:AY128)-2*STDEV('Feeder Spreads'!AY109:AY128)))/(4*STDEV('Feeder Spreads'!AY109:AY128)),"")</f>
        <v/>
      </c>
      <c r="CR109" t="str">
        <f>IFERROR(4*STDEV('Feeder Spreads'!AY109:AY128)/AVERAGE('Feeder Spreads'!AY109:AY128),"")</f>
        <v/>
      </c>
      <c r="CS109">
        <v>34.7241</v>
      </c>
      <c r="CT109">
        <f>IFERROR(SQRT((SUMSQ('Feeder Spreads'!AY109:AY128)-2*SUMPRODUCT('Feeder Spreads'!AY109:AY128,'Feeder Spreads'!AY110:AY129)+SUMSQ('Feeder Spreads'!AY110:AY129)-('Feeder Spreads'!AY109-'Feeder Spreads'!AY129)^2/20)/19),"")</f>
        <v>0</v>
      </c>
      <c r="CV109">
        <f>IFERROR('Feeder Spreads'!H109,"")</f>
        <v>0</v>
      </c>
      <c r="CW109">
        <f>IFERROR(('Feeder Spreads'!I109-AVERAGE('Feeder Spreads'!$I$3:$I$4308))/STDEV('Feeder Spreads'!$I$3:$I$4308),"")</f>
        <v>-9.2057461789832332E-2</v>
      </c>
      <c r="CX109">
        <f>IFERROR('Feeder Spreads'!I109-'Feeder Spreads'!I114,"")</f>
        <v>0</v>
      </c>
      <c r="CY109">
        <f>IFERROR('Feeder Spreads'!I109-'Feeder Spreads'!I119,"")</f>
        <v>0</v>
      </c>
      <c r="CZ109">
        <f>IFERROR(AVERAGE('Feeder Spreads'!I109:I128)+2*STDEV('Feeder Spreads'!I109:I128),"")</f>
        <v>0</v>
      </c>
      <c r="DA109">
        <f>IFERROR(AVERAGE('Feeder Spreads'!I109:I128)-2*STDEV('Feeder Spreads'!I109:I128),"")</f>
        <v>0</v>
      </c>
      <c r="DB109" t="str">
        <f>IFERROR(('Feeder Spreads'!I109-(AVERAGE('Feeder Spreads'!I109:I128)-2*STDEV('Feeder Spreads'!I109:I128)))/(4*STDEV('Feeder Spreads'!I109:I128)),"")</f>
        <v/>
      </c>
      <c r="DC109" t="str">
        <f>IFERROR(4*STDEV('Feeder Spreads'!I109:I128)/AVERAGE('Feeder Spreads'!I109:I128),"")</f>
        <v/>
      </c>
      <c r="DD109">
        <v>26.9983</v>
      </c>
      <c r="DE109">
        <f>IFERROR(SQRT((SUMSQ('Feeder Spreads'!I109:I128)-2*SUMPRODUCT('Feeder Spreads'!I109:I128,'Feeder Spreads'!I110:I129)+SUMSQ('Feeder Spreads'!I110:I129)-('Feeder Spreads'!I109-'Feeder Spreads'!I129)^2/20)/19),"")</f>
        <v>0</v>
      </c>
      <c r="DG109">
        <f>IFERROR('Feeder Spreads'!O109,"")</f>
        <v>0</v>
      </c>
      <c r="DH109">
        <f>IFERROR(('Feeder Spreads'!P109-AVERAGE('Feeder Spreads'!$P$3:$P$4308))/STDEV('Feeder Spreads'!$P$3:$P$4308),"")</f>
        <v>-9.2057461789832346E-2</v>
      </c>
      <c r="DI109">
        <f>IFERROR('Feeder Spreads'!P109-'Feeder Spreads'!P114,"")</f>
        <v>0</v>
      </c>
      <c r="DJ109">
        <f>IFERROR('Feeder Spreads'!P109-'Feeder Spreads'!P119,"")</f>
        <v>0</v>
      </c>
      <c r="DK109">
        <f>IFERROR(AVERAGE('Feeder Spreads'!P109:P128)+2*STDEV('Feeder Spreads'!P109:P128),"")</f>
        <v>0</v>
      </c>
      <c r="DL109">
        <f>IFERROR(AVERAGE('Feeder Spreads'!P109:P128)-2*STDEV('Feeder Spreads'!P109:P128),"")</f>
        <v>0</v>
      </c>
      <c r="DM109" t="str">
        <f>IFERROR(('Feeder Spreads'!P109-(AVERAGE('Feeder Spreads'!P109:P128)-2*STDEV('Feeder Spreads'!P109:P128)))/(4*STDEV('Feeder Spreads'!P109:P128)),"")</f>
        <v/>
      </c>
      <c r="DN109" t="str">
        <f>IFERROR(4*STDEV('Feeder Spreads'!P109:P128)/AVERAGE('Feeder Spreads'!P109:P128),"")</f>
        <v/>
      </c>
      <c r="DO109">
        <v>64.041300000000007</v>
      </c>
      <c r="DP109">
        <f>IFERROR(SQRT((SUMSQ('Feeder Spreads'!P109:P128)-2*SUMPRODUCT('Feeder Spreads'!P109:P128,'Feeder Spreads'!P110:P129)+SUMSQ('Feeder Spreads'!P110:P129)-('Feeder Spreads'!P109-'Feeder Spreads'!P129)^2/20)/19),"")</f>
        <v>0</v>
      </c>
      <c r="DR109">
        <f>IFERROR('Feeder Spreads'!V109,"")</f>
        <v>0</v>
      </c>
      <c r="DS109">
        <f>IFERROR(('Feeder Spreads'!W109-AVERAGE('Feeder Spreads'!$W$3:$W$4308))/STDEV('Feeder Spreads'!$W$3:$W$4308),"")</f>
        <v>-9.2057461789832332E-2</v>
      </c>
      <c r="DT109">
        <f>IFERROR('Feeder Spreads'!W109-'Feeder Spreads'!W114,"")</f>
        <v>0</v>
      </c>
      <c r="DU109">
        <f>IFERROR('Feeder Spreads'!W109-'Feeder Spreads'!W119,"")</f>
        <v>0</v>
      </c>
      <c r="DV109">
        <f>IFERROR(AVERAGE('Feeder Spreads'!W109:W128)+2*STDEV('Feeder Spreads'!W109:W128),"")</f>
        <v>0</v>
      </c>
      <c r="DW109">
        <f>IFERROR(AVERAGE('Feeder Spreads'!W109:W128)-2*STDEV('Feeder Spreads'!W109:W128),"")</f>
        <v>0</v>
      </c>
      <c r="DX109" t="str">
        <f>IFERROR(('Feeder Spreads'!W109-(AVERAGE('Feeder Spreads'!W109:W128)-2*STDEV('Feeder Spreads'!W109:W128)))/(4*STDEV('Feeder Spreads'!W109:W128)),"")</f>
        <v/>
      </c>
      <c r="DY109" t="str">
        <f>IFERROR(4*STDEV('Feeder Spreads'!W109:W128)/AVERAGE('Feeder Spreads'!W109:W128),"")</f>
        <v/>
      </c>
      <c r="DZ109">
        <v>40.596499999999999</v>
      </c>
      <c r="EA109">
        <f>IFERROR(SQRT((SUMSQ('Feeder Spreads'!W109:W128)-2*SUMPRODUCT('Feeder Spreads'!W109:W128,'Feeder Spreads'!W110:W129)+SUMSQ('Feeder Spreads'!W110:W129)-('Feeder Spreads'!W109-'Feeder Spreads'!W129)^2/20)/19),"")</f>
        <v>0</v>
      </c>
      <c r="EC109">
        <f>IFERROR('Feeder Spreads'!AC109,"")</f>
        <v>0</v>
      </c>
      <c r="ED109">
        <f>IFERROR(('Feeder Spreads'!AD109-AVERAGE('Feeder Spreads'!$AD$3:$AD$4308))/STDEV('Feeder Spreads'!$AD$3:$AD$4308),"")</f>
        <v>9.2057461789832318E-2</v>
      </c>
      <c r="EE109">
        <f>IFERROR('Feeder Spreads'!AD109-'Feeder Spreads'!AD114,"")</f>
        <v>0</v>
      </c>
      <c r="EF109">
        <f>IFERROR('Feeder Spreads'!AD109-'Feeder Spreads'!AD119,"")</f>
        <v>0</v>
      </c>
      <c r="EG109">
        <f>IFERROR(AVERAGE('Feeder Spreads'!AD109:AD128)+2*STDEV('Feeder Spreads'!AD109:AD128),"")</f>
        <v>0</v>
      </c>
      <c r="EH109">
        <f>IFERROR(AVERAGE('Feeder Spreads'!AD109:AD128)-2*STDEV('Feeder Spreads'!AD109:AD128),"")</f>
        <v>0</v>
      </c>
      <c r="EI109" t="str">
        <f>IFERROR(('Feeder Spreads'!AD109-(AVERAGE('Feeder Spreads'!AD109:AD128)-2*STDEV('Feeder Spreads'!AD109:AD128)))/(4*STDEV('Feeder Spreads'!AD109:AD128)),"")</f>
        <v/>
      </c>
      <c r="EJ109" t="str">
        <f>IFERROR(4*STDEV('Feeder Spreads'!AD109:AD128)/AVERAGE('Feeder Spreads'!AD109:AD128),"")</f>
        <v/>
      </c>
      <c r="EK109">
        <v>50.386200000000002</v>
      </c>
      <c r="EL109">
        <f>IFERROR(SQRT((SUMSQ('Feeder Spreads'!AD109:AD128)-2*SUMPRODUCT('Feeder Spreads'!AD109:AD128,'Feeder Spreads'!AD110:AD129)+SUMSQ('Feeder Spreads'!AD110:AD129)-('Feeder Spreads'!AD109-'Feeder Spreads'!AD129)^2/20)/19),"")</f>
        <v>0</v>
      </c>
      <c r="EN109">
        <f>IFERROR('Feeder Spreads'!AJ109,"")</f>
        <v>0</v>
      </c>
      <c r="EO109">
        <f>IFERROR(('Feeder Spreads'!AK109-AVERAGE('Feeder Spreads'!$AK$3:$AK$4308))/STDEV('Feeder Spreads'!$AK$3:$AK$4308),"")</f>
        <v>-9.2057461789832346E-2</v>
      </c>
      <c r="EP109">
        <f>IFERROR('Feeder Spreads'!AK109-'Feeder Spreads'!AK114,"")</f>
        <v>0</v>
      </c>
      <c r="EQ109">
        <f>IFERROR('Feeder Spreads'!AK109-'Feeder Spreads'!AK119,"")</f>
        <v>0</v>
      </c>
      <c r="ER109">
        <f>IFERROR(AVERAGE('Feeder Spreads'!AK109:AK128)+2*STDEV('Feeder Spreads'!AK109:AK128),"")</f>
        <v>0</v>
      </c>
      <c r="ES109">
        <f>IFERROR(AVERAGE('Feeder Spreads'!AK109:AK128)-2*STDEV('Feeder Spreads'!AK109:AK128),"")</f>
        <v>0</v>
      </c>
      <c r="ET109" t="str">
        <f>IFERROR(('Feeder Spreads'!AK109-(AVERAGE('Feeder Spreads'!AK109:AK128)-2*STDEV('Feeder Spreads'!AK109:AK128)))/(4*STDEV('Feeder Spreads'!AK109:AK128)),"")</f>
        <v/>
      </c>
      <c r="EU109" t="str">
        <f>IFERROR(4*STDEV('Feeder Spreads'!AK109:AK128)/AVERAGE('Feeder Spreads'!AK109:AK128),"")</f>
        <v/>
      </c>
      <c r="EV109">
        <v>52.3005</v>
      </c>
      <c r="EW109">
        <f>IFERROR(SQRT((SUMSQ('Feeder Spreads'!AK109:AK128)-2*SUMPRODUCT('Feeder Spreads'!AK109:AK128,'Feeder Spreads'!AK110:AK129)+SUMSQ('Feeder Spreads'!AK110:AK129)-('Feeder Spreads'!AK109-'Feeder Spreads'!AK129)^2/20)/19),"")</f>
        <v>0</v>
      </c>
      <c r="EY109">
        <f>IFERROR('Feeder Spreads'!AQ109,"")</f>
        <v>0</v>
      </c>
      <c r="EZ109">
        <f>IFERROR(('Feeder Spreads'!AR109-AVERAGE('Feeder Spreads'!$AR$3:$AR$4308))/STDEV('Feeder Spreads'!$AR$3:$AR$4308),"")</f>
        <v>-9.2057461789832332E-2</v>
      </c>
      <c r="FA109">
        <f>IFERROR('Feeder Spreads'!AR109-'Feeder Spreads'!AR114,"")</f>
        <v>0</v>
      </c>
      <c r="FB109">
        <f>IFERROR('Feeder Spreads'!AR109-'Feeder Spreads'!AR119,"")</f>
        <v>0</v>
      </c>
      <c r="FC109">
        <f>IFERROR(AVERAGE('Feeder Spreads'!AR109:AR128)+2*STDEV('Feeder Spreads'!AR109:AR128),"")</f>
        <v>0</v>
      </c>
      <c r="FD109">
        <f>IFERROR(AVERAGE('Feeder Spreads'!AR109:AR128)-2*STDEV('Feeder Spreads'!AR109:AR128),"")</f>
        <v>0</v>
      </c>
      <c r="FE109" t="str">
        <f>IFERROR(('Feeder Spreads'!AR109-(AVERAGE('Feeder Spreads'!AR109:AR128)-2*STDEV('Feeder Spreads'!AR109:AR128)))/(4*STDEV('Feeder Spreads'!AR109:AR128)),"")</f>
        <v/>
      </c>
      <c r="FF109" t="str">
        <f>IFERROR(4*STDEV('Feeder Spreads'!AR109:AR128)/AVERAGE('Feeder Spreads'!AR109:AR128),"")</f>
        <v/>
      </c>
      <c r="FG109">
        <v>60.693199999999997</v>
      </c>
      <c r="FH109">
        <f>IFERROR(SQRT((SUMSQ('Feeder Spreads'!AR109:AR128)-2*SUMPRODUCT('Feeder Spreads'!AR109:AR128,'Feeder Spreads'!AR110:AR129)+SUMSQ('Feeder Spreads'!AR110:AR129)-('Feeder Spreads'!AR109-'Feeder Spreads'!AR129)^2/20)/19),"")</f>
        <v>0</v>
      </c>
      <c r="FJ109">
        <f>IFERROR('Fat Spreads'!AX109,"")</f>
        <v>0</v>
      </c>
      <c r="FK109">
        <f>IFERROR(('Fat Spreads'!AY109-AVERAGE('Fat Spreads'!$AY$3:$AY$4308))/STDEV('Fat Spreads'!$AY$3:$AY$4308),"")</f>
        <v>9.2057461789832332E-2</v>
      </c>
      <c r="FL109">
        <f>IFERROR('Fat Spreads'!AY109-'Fat Spreads'!AY114,"")</f>
        <v>0</v>
      </c>
      <c r="FM109">
        <f>IFERROR('Fat Spreads'!AY109-'Fat Spreads'!AY119,"")</f>
        <v>0</v>
      </c>
      <c r="FN109">
        <f>IFERROR(AVERAGE('Fat Spreads'!AY109:AY128)+2*STDEV('Fat Spreads'!AY109:AY128),"")</f>
        <v>0</v>
      </c>
      <c r="FO109">
        <f>IFERROR(AVERAGE('Fat Spreads'!AY109:AY128)-2*STDEV('Fat Spreads'!AY109:AY128),"")</f>
        <v>0</v>
      </c>
      <c r="FP109" t="str">
        <f>IFERROR(('Fat Spreads'!AY109-(AVERAGE('Fat Spreads'!AY109:AY128)-2*STDEV('Fat Spreads'!AY109:AY128)))/(4*STDEV('Fat Spreads'!AY109:AY128)),"")</f>
        <v/>
      </c>
      <c r="FQ109" t="str">
        <f>IFERROR(4*STDEV('Fat Spreads'!AY109:AY128)/AVERAGE('Fat Spreads'!AY109:AY128),"")</f>
        <v/>
      </c>
      <c r="FR109">
        <v>25.016200000000001</v>
      </c>
      <c r="FS109">
        <f>IFERROR(SQRT((SUMSQ('Fat Spreads'!AY109:AY128)-2*SUMPRODUCT('Fat Spreads'!AY109:AY128,'Fat Spreads'!AY110:AY129)+SUMSQ('Fat Spreads'!AY110:AY129)-('Fat Spreads'!AY109-'Fat Spreads'!AY129)^2/20)/19),"")</f>
        <v>0</v>
      </c>
      <c r="FU109">
        <f>IFERROR('Fat Spreads'!BE109,"")</f>
        <v>0</v>
      </c>
      <c r="FV109">
        <f>IFERROR(('Fat Spreads'!BF109-AVERAGE('Fat Spreads'!$BF$3:$BF$4308))/STDEV('Fat Spreads'!$BF$3:$BF$4308),"")</f>
        <v>9.2057461789832332E-2</v>
      </c>
      <c r="FW109">
        <f>IFERROR('Fat Spreads'!BF109-'Fat Spreads'!BF114,"")</f>
        <v>0</v>
      </c>
      <c r="FX109">
        <f>IFERROR('Fat Spreads'!BF109-'Fat Spreads'!BF119,"")</f>
        <v>0</v>
      </c>
      <c r="FY109">
        <f>IFERROR(AVERAGE('Fat Spreads'!BF109:BF128)+2*STDEV('Fat Spreads'!BF109:BF128),"")</f>
        <v>0</v>
      </c>
      <c r="FZ109">
        <f>IFERROR(AVERAGE('Fat Spreads'!BF109:BF128)-2*STDEV('Fat Spreads'!BF109:BF128),"")</f>
        <v>0</v>
      </c>
      <c r="GA109" t="str">
        <f>IFERROR(('Fat Spreads'!BF109-(AVERAGE('Fat Spreads'!BF109:BF128)-2*STDEV('Fat Spreads'!BF109:BF128)))/(4*STDEV('Fat Spreads'!BF109:BF128)),"")</f>
        <v/>
      </c>
      <c r="GB109" t="str">
        <f>IFERROR(4*STDEV('Fat Spreads'!BF109:BF128)/AVERAGE('Fat Spreads'!BF109:BF128),"")</f>
        <v/>
      </c>
      <c r="GC109">
        <v>32.168500000000002</v>
      </c>
      <c r="GD109">
        <f>IFERROR(SQRT((SUMSQ('Fat Spreads'!BF109:BF128)-2*SUMPRODUCT('Fat Spreads'!BF109:BF128,'Fat Spreads'!BF110:BF129)+SUMSQ('Fat Spreads'!BF110:BF129)-('Fat Spreads'!BF109-'Fat Spreads'!BF129)^2/20)/19),"")</f>
        <v>0</v>
      </c>
    </row>
    <row r="110" spans="1:186" x14ac:dyDescent="0.25">
      <c r="A110">
        <f>IFERROR('Fat Spreads'!A110,"")</f>
        <v>0</v>
      </c>
      <c r="B110">
        <f>IFERROR(('Fat Spreads'!B110-AVERAGE('Fat Spreads'!$B$3:$B$4308))/STDEV('Fat Spreads'!$B$3:$B$4308),"")</f>
        <v>9.2057461789832346E-2</v>
      </c>
      <c r="C110">
        <f>IFERROR('Fat Spreads'!B110-'Fat Spreads'!B115,"")</f>
        <v>0</v>
      </c>
      <c r="D110">
        <f>IFERROR('Fat Spreads'!B110-'Fat Spreads'!B120,"")</f>
        <v>0</v>
      </c>
      <c r="E110">
        <f>IFERROR(AVERAGE('Fat Spreads'!B110:B129)+2*STDEV('Fat Spreads'!B110:B129),"")</f>
        <v>0</v>
      </c>
      <c r="F110">
        <f>IFERROR(AVERAGE('Fat Spreads'!B110:B129)-2*STDEV('Fat Spreads'!B110:B129),"")</f>
        <v>0</v>
      </c>
      <c r="G110" t="str">
        <f>IFERROR(('Fat Spreads'!B110-(AVERAGE('Fat Spreads'!B110:B129)-2*STDEV('Fat Spreads'!B110:B129)))/(4*STDEV('Fat Spreads'!B110:B129)),"")</f>
        <v/>
      </c>
      <c r="H110" t="str">
        <f>IFERROR(4*STDEV('Fat Spreads'!B110:B129)/AVERAGE('Fat Spreads'!B110:B129),"")</f>
        <v/>
      </c>
      <c r="I110">
        <v>27.765699999999999</v>
      </c>
      <c r="J110">
        <f>IFERROR(SQRT((SUMSQ('Fat Spreads'!B110:B129)-2*SUMPRODUCT('Fat Spreads'!B110:B129,'Fat Spreads'!B111:B130)+SUMSQ('Fat Spreads'!B111:B130)-('Fat Spreads'!B110-'Fat Spreads'!B130)^2/20)/19),"")</f>
        <v>0</v>
      </c>
      <c r="L110">
        <f>IFERROR('Fat Spreads'!H110,"")</f>
        <v>0</v>
      </c>
      <c r="M110">
        <f>IFERROR(('Fat Spreads'!I110-AVERAGE('Fat Spreads'!$I$3:$I$4308))/STDEV('Fat Spreads'!$I$3:$I$4308),"")</f>
        <v>-9.2057461789832332E-2</v>
      </c>
      <c r="N110">
        <f>IFERROR('Fat Spreads'!I110-'Fat Spreads'!I115,"")</f>
        <v>0</v>
      </c>
      <c r="O110">
        <f>IFERROR('Fat Spreads'!I110-'Fat Spreads'!I120,"")</f>
        <v>0</v>
      </c>
      <c r="P110">
        <f>IFERROR(AVERAGE('Fat Spreads'!I110:I129)+2*STDEV('Fat Spreads'!I110:I129),"")</f>
        <v>0</v>
      </c>
      <c r="Q110">
        <f>IFERROR(AVERAGE('Fat Spreads'!I110:I129)-2*STDEV('Fat Spreads'!I110:I129),"")</f>
        <v>0</v>
      </c>
      <c r="R110" t="str">
        <f>IFERROR(('Fat Spreads'!I110-(AVERAGE('Fat Spreads'!I110:I129)-2*STDEV('Fat Spreads'!I110:I129)))/(4*STDEV('Fat Spreads'!I110:I129)),"")</f>
        <v/>
      </c>
      <c r="S110" t="str">
        <f>IFERROR(4*STDEV('Fat Spreads'!I110:I129)/AVERAGE('Fat Spreads'!I110:I129),"")</f>
        <v/>
      </c>
      <c r="T110">
        <v>42.713500000000003</v>
      </c>
      <c r="U110">
        <f>IFERROR(SQRT((SUMSQ('Fat Spreads'!I110:I129)-2*SUMPRODUCT('Fat Spreads'!I110:I129,'Fat Spreads'!I111:I130)+SUMSQ('Fat Spreads'!I111:I130)-('Fat Spreads'!I110-'Fat Spreads'!I130)^2/20)/19),"")</f>
        <v>0</v>
      </c>
      <c r="W110">
        <f>IFERROR('Fat Spreads'!AQ110,"")</f>
        <v>0</v>
      </c>
      <c r="X110">
        <f>IFERROR(('Fat Spreads'!AR110-AVERAGE('Fat Spreads'!$AR$3:$AR$4308))/STDEV('Fat Spreads'!$AR$3:$AR$4308),"")</f>
        <v>-9.2057461789832346E-2</v>
      </c>
      <c r="Y110">
        <f>IFERROR('Fat Spreads'!AR110-'Fat Spreads'!AR115,"")</f>
        <v>0</v>
      </c>
      <c r="Z110">
        <f>IFERROR('Fat Spreads'!AR110-'Fat Spreads'!AR120,"")</f>
        <v>0</v>
      </c>
      <c r="AA110">
        <f>IFERROR(AVERAGE('Fat Spreads'!AR110:AR129)+2*STDEV('Fat Spreads'!AR110:AR129),"")</f>
        <v>0</v>
      </c>
      <c r="AB110">
        <f>IFERROR(AVERAGE('Fat Spreads'!AR110:AR129)-2*STDEV('Fat Spreads'!AR110:AR129),"")</f>
        <v>0</v>
      </c>
      <c r="AC110" t="str">
        <f>IFERROR(('Fat Spreads'!AR110-(AVERAGE('Fat Spreads'!AR110:AR129)-2*STDEV('Fat Spreads'!AR110:AR129)))/(4*STDEV('Fat Spreads'!AR110:AR129)),"")</f>
        <v/>
      </c>
      <c r="AD110" t="str">
        <f>IFERROR(4*STDEV('Fat Spreads'!AR110:AR129)/AVERAGE('Fat Spreads'!AR110:AR129),"")</f>
        <v/>
      </c>
      <c r="AE110">
        <v>75.318700000000007</v>
      </c>
      <c r="AF110">
        <f>IFERROR(SQRT((SUMSQ('Fat Spreads'!AR110:AR129)-2*SUMPRODUCT('Fat Spreads'!AR110:AR129,'Fat Spreads'!AR111:AR130)+SUMSQ('Fat Spreads'!AR111:AR130)-('Fat Spreads'!AR110-'Fat Spreads'!AR130)^2/20)/19),"")</f>
        <v>0</v>
      </c>
      <c r="AH110">
        <f>IFERROR('Fat Spreads'!O110,"")</f>
        <v>0</v>
      </c>
      <c r="AI110">
        <f>IFERROR(('Fat Spreads'!P110-AVERAGE('Fat Spreads'!$P$3:$P$4308))/STDEV('Fat Spreads'!$P$3:$P$4308),"")</f>
        <v>-9.2057461789832332E-2</v>
      </c>
      <c r="AJ110">
        <f>IFERROR('Fat Spreads'!P110-'Fat Spreads'!P115,"")</f>
        <v>0</v>
      </c>
      <c r="AK110">
        <f>IFERROR('Fat Spreads'!P110-'Fat Spreads'!P120,"")</f>
        <v>0</v>
      </c>
      <c r="AL110">
        <f>IFERROR(AVERAGE('Fat Spreads'!P110:P129)+2*STDEV('Fat Spreads'!P110:P129),"")</f>
        <v>0</v>
      </c>
      <c r="AM110">
        <f>IFERROR(AVERAGE('Fat Spreads'!P110:P129)-2*STDEV('Fat Spreads'!P110:P129),"")</f>
        <v>0</v>
      </c>
      <c r="AN110" t="str">
        <f>IFERROR(('Fat Spreads'!P110-(AVERAGE('Fat Spreads'!P110:P129)-2*STDEV('Fat Spreads'!P110:P129)))/(4*STDEV('Fat Spreads'!P110:P129)),"")</f>
        <v/>
      </c>
      <c r="AO110" t="str">
        <f>IFERROR(4*STDEV('Fat Spreads'!P110:P129)/AVERAGE('Fat Spreads'!P110:P129),"")</f>
        <v/>
      </c>
      <c r="AP110">
        <v>61.026600000000002</v>
      </c>
      <c r="AQ110">
        <f>IFERROR(SQRT((SUMSQ('Fat Spreads'!P110:P129)-2*SUMPRODUCT('Fat Spreads'!P110:P129,'Fat Spreads'!P111:P130)+SUMSQ('Fat Spreads'!P111:P130)-('Fat Spreads'!P110-'Fat Spreads'!P130)^2/20)/19),"")</f>
        <v>0</v>
      </c>
      <c r="AS110">
        <f>IFERROR('Fat Spreads'!AJ110,"")</f>
        <v>0</v>
      </c>
      <c r="AT110">
        <f>IFERROR(('Fat Spreads'!AK110-AVERAGE('Fat Spreads'!$AK$3:$AK$4308))/STDEV('Fat Spreads'!$AK$3:$AK$4308),"")</f>
        <v>-9.2057461789832332E-2</v>
      </c>
      <c r="AU110">
        <f>IFERROR('Fat Spreads'!AK110-'Fat Spreads'!AK115,"")</f>
        <v>0</v>
      </c>
      <c r="AV110">
        <f>IFERROR('Fat Spreads'!AK110-'Fat Spreads'!AK120,"")</f>
        <v>0</v>
      </c>
      <c r="AW110">
        <f>IFERROR(AVERAGE('Fat Spreads'!AK110:AK129)+2*STDEV('Fat Spreads'!AK110:AK129),"")</f>
        <v>0</v>
      </c>
      <c r="AX110">
        <f>IFERROR(AVERAGE('Fat Spreads'!AK110:AK129)-2*STDEV('Fat Spreads'!AK110:AK129),"")</f>
        <v>0</v>
      </c>
      <c r="AY110" t="str">
        <f>IFERROR(('Fat Spreads'!AK110-(AVERAGE('Fat Spreads'!AK110:AK129)-2*STDEV('Fat Spreads'!AK110:AK129)))/(4*STDEV('Fat Spreads'!AK110:AK129)),"")</f>
        <v/>
      </c>
      <c r="AZ110" t="str">
        <f>IFERROR(4*STDEV('Fat Spreads'!AK110:AK129)/AVERAGE('Fat Spreads'!AK110:AK129),"")</f>
        <v/>
      </c>
      <c r="BA110">
        <v>28.9345</v>
      </c>
      <c r="BB110">
        <f>IFERROR(SQRT((SUMSQ('Fat Spreads'!AK110:AK129)-2*SUMPRODUCT('Fat Spreads'!AK110:AK129,'Fat Spreads'!AK111:AK130)+SUMSQ('Fat Spreads'!AK111:AK130)-('Fat Spreads'!AK110-'Fat Spreads'!AK130)^2/20)/19),"")</f>
        <v>0</v>
      </c>
      <c r="BD110">
        <f>IFERROR('Fat Spreads'!V110,"")</f>
        <v>0</v>
      </c>
      <c r="BE110">
        <f>IFERROR(('Fat Spreads'!W110-AVERAGE('Fat Spreads'!$W$3:$W$4308))/STDEV('Fat Spreads'!$W$3:$W$4308),"")</f>
        <v>-9.2057461789832332E-2</v>
      </c>
      <c r="BF110">
        <f>IFERROR('Fat Spreads'!W110-'Fat Spreads'!W115,"")</f>
        <v>0</v>
      </c>
      <c r="BG110">
        <f>IFERROR('Fat Spreads'!W110-'Fat Spreads'!W120,"")</f>
        <v>0</v>
      </c>
      <c r="BH110">
        <f>IFERROR(AVERAGE('Fat Spreads'!W110:W129)+2*STDEV('Fat Spreads'!W110:W129),"")</f>
        <v>0</v>
      </c>
      <c r="BI110">
        <f>IFERROR(AVERAGE('Fat Spreads'!W110:W129)-2*STDEV('Fat Spreads'!W110:W129),"")</f>
        <v>0</v>
      </c>
      <c r="BJ110" t="str">
        <f>IFERROR(('Fat Spreads'!W110-(AVERAGE('Fat Spreads'!W110:W129)-2*STDEV('Fat Spreads'!W110:W129)))/(4*STDEV('Fat Spreads'!W110:W129)),"")</f>
        <v/>
      </c>
      <c r="BK110" t="str">
        <f>IFERROR(4*STDEV('Fat Spreads'!W110:W129)/AVERAGE('Fat Spreads'!W110:W129),"")</f>
        <v/>
      </c>
      <c r="BL110">
        <v>59.557299999999998</v>
      </c>
      <c r="BM110">
        <f>IFERROR(SQRT((SUMSQ('Fat Spreads'!W110:W129)-2*SUMPRODUCT('Fat Spreads'!W110:W129,'Fat Spreads'!W111:W130)+SUMSQ('Fat Spreads'!W111:W130)-('Fat Spreads'!W110-'Fat Spreads'!W130)^2/20)/19),"")</f>
        <v>0</v>
      </c>
      <c r="BO110">
        <f>IFERROR('Fat Spreads'!AC110,"")</f>
        <v>0</v>
      </c>
      <c r="BP110">
        <f>IFERROR(('Fat Spreads'!AD110-AVERAGE('Fat Spreads'!$AD$3:$AD$4308))/STDEV('Fat Spreads'!$AD$3:$AD$4308),"")</f>
        <v>-9.2057461789832332E-2</v>
      </c>
      <c r="BQ110">
        <f>IFERROR('Fat Spreads'!AD110-'Fat Spreads'!AD115,"")</f>
        <v>0</v>
      </c>
      <c r="BR110">
        <f>IFERROR('Fat Spreads'!AD110-'Fat Spreads'!AD120,"")</f>
        <v>0</v>
      </c>
      <c r="BS110">
        <f>IFERROR(AVERAGE('Fat Spreads'!AD110:AD129)+2*STDEV('Fat Spreads'!AD110:AD129),"")</f>
        <v>0</v>
      </c>
      <c r="BT110">
        <f>IFERROR(AVERAGE('Fat Spreads'!AD110:AD129)-2*STDEV('Fat Spreads'!AD110:AD129),"")</f>
        <v>0</v>
      </c>
      <c r="BU110" t="str">
        <f>IFERROR(('Fat Spreads'!AD110-(AVERAGE('Fat Spreads'!AD110:AD129)-2*STDEV('Fat Spreads'!AD110:AD129)))/(4*STDEV('Fat Spreads'!AD110:AD129)),"")</f>
        <v/>
      </c>
      <c r="BV110" t="str">
        <f>IFERROR(4*STDEV('Fat Spreads'!AD110:AD129)/AVERAGE('Fat Spreads'!AD110:AD129),"")</f>
        <v/>
      </c>
      <c r="BW110">
        <v>31.228100000000001</v>
      </c>
      <c r="BX110">
        <f>IFERROR(SQRT((SUMSQ('Fat Spreads'!AD110:AD129)-2*SUMPRODUCT('Fat Spreads'!AD110:AD129,'Fat Spreads'!AD111:AD130)+SUMSQ('Fat Spreads'!AD111:AD130)-('Fat Spreads'!AD110-'Fat Spreads'!AD130)^2/20)/19),"")</f>
        <v>0</v>
      </c>
      <c r="BZ110">
        <f>IFERROR('Feeder Spreads'!A110,"")</f>
        <v>0</v>
      </c>
      <c r="CA110">
        <f>IFERROR(('Feeder Spreads'!B110-AVERAGE('Feeder Spreads'!$B$3:$B$4308))/STDEV('Feeder Spreads'!$B$3:$B$4308),"")</f>
        <v>-9.2057461789832346E-2</v>
      </c>
      <c r="CB110">
        <f>IFERROR('Feeder Spreads'!B110-'Feeder Spreads'!B115,"")</f>
        <v>0</v>
      </c>
      <c r="CC110">
        <f>IFERROR('Feeder Spreads'!B110-'Feeder Spreads'!B120,"")</f>
        <v>0</v>
      </c>
      <c r="CD110">
        <f>IFERROR(AVERAGE('Feeder Spreads'!B110:B129)+2*STDEV('Feeder Spreads'!B110:B129),"")</f>
        <v>0</v>
      </c>
      <c r="CE110">
        <f>IFERROR(AVERAGE('Feeder Spreads'!B110:B129)-2*STDEV('Feeder Spreads'!B110:B129),"")</f>
        <v>0</v>
      </c>
      <c r="CF110" t="str">
        <f>IFERROR(('Feeder Spreads'!B110-(AVERAGE('Feeder Spreads'!B110:B129)-2*STDEV('Feeder Spreads'!B110:B129)))/(4*STDEV('Feeder Spreads'!B110:B129)),"")</f>
        <v/>
      </c>
      <c r="CG110" t="str">
        <f>IFERROR(4*STDEV('Feeder Spreads'!B110:B129)/AVERAGE('Feeder Spreads'!B110:B129),"")</f>
        <v/>
      </c>
      <c r="CH110">
        <v>56.400399999999998</v>
      </c>
      <c r="CI110">
        <f>IFERROR(SQRT((SUMSQ('Feeder Spreads'!B110:B129)-2*SUMPRODUCT('Feeder Spreads'!B110:B129,'Feeder Spreads'!B111:B130)+SUMSQ('Feeder Spreads'!B111:B130)-('Feeder Spreads'!B110-'Feeder Spreads'!B130)^2/20)/19),"")</f>
        <v>0</v>
      </c>
      <c r="CK110">
        <f>IFERROR('Feeder Spreads'!AX110,"")</f>
        <v>0</v>
      </c>
      <c r="CL110">
        <f>IFERROR(('Feeder Spreads'!AY110-AVERAGE('Feeder Spreads'!$AY$3:$AY$4308))/STDEV('Feeder Spreads'!$AY$3:$AY$4308),"")</f>
        <v>-9.2057461789832346E-2</v>
      </c>
      <c r="CM110">
        <f>IFERROR('Feeder Spreads'!AY110-'Feeder Spreads'!AY115,"")</f>
        <v>0</v>
      </c>
      <c r="CN110">
        <f>IFERROR('Feeder Spreads'!AY110-'Feeder Spreads'!AY120,"")</f>
        <v>0</v>
      </c>
      <c r="CO110">
        <f>IFERROR(AVERAGE('Feeder Spreads'!AY110:AY129)+2*STDEV('Feeder Spreads'!AY110:AY129),"")</f>
        <v>0</v>
      </c>
      <c r="CP110">
        <f>IFERROR(AVERAGE('Feeder Spreads'!AY110:AY129)-2*STDEV('Feeder Spreads'!AY110:AY129),"")</f>
        <v>0</v>
      </c>
      <c r="CQ110" t="str">
        <f>IFERROR(('Feeder Spreads'!AY110-(AVERAGE('Feeder Spreads'!AY110:AY129)-2*STDEV('Feeder Spreads'!AY110:AY129)))/(4*STDEV('Feeder Spreads'!AY110:AY129)),"")</f>
        <v/>
      </c>
      <c r="CR110" t="str">
        <f>IFERROR(4*STDEV('Feeder Spreads'!AY110:AY129)/AVERAGE('Feeder Spreads'!AY110:AY129),"")</f>
        <v/>
      </c>
      <c r="CS110">
        <v>30.446899999999999</v>
      </c>
      <c r="CT110">
        <f>IFERROR(SQRT((SUMSQ('Feeder Spreads'!AY110:AY129)-2*SUMPRODUCT('Feeder Spreads'!AY110:AY129,'Feeder Spreads'!AY111:AY130)+SUMSQ('Feeder Spreads'!AY111:AY130)-('Feeder Spreads'!AY110-'Feeder Spreads'!AY130)^2/20)/19),"")</f>
        <v>0</v>
      </c>
      <c r="CV110">
        <f>IFERROR('Feeder Spreads'!H110,"")</f>
        <v>0</v>
      </c>
      <c r="CW110">
        <f>IFERROR(('Feeder Spreads'!I110-AVERAGE('Feeder Spreads'!$I$3:$I$4308))/STDEV('Feeder Spreads'!$I$3:$I$4308),"")</f>
        <v>-9.2057461789832332E-2</v>
      </c>
      <c r="CX110">
        <f>IFERROR('Feeder Spreads'!I110-'Feeder Spreads'!I115,"")</f>
        <v>0</v>
      </c>
      <c r="CY110">
        <f>IFERROR('Feeder Spreads'!I110-'Feeder Spreads'!I120,"")</f>
        <v>0</v>
      </c>
      <c r="CZ110">
        <f>IFERROR(AVERAGE('Feeder Spreads'!I110:I129)+2*STDEV('Feeder Spreads'!I110:I129),"")</f>
        <v>0</v>
      </c>
      <c r="DA110">
        <f>IFERROR(AVERAGE('Feeder Spreads'!I110:I129)-2*STDEV('Feeder Spreads'!I110:I129),"")</f>
        <v>0</v>
      </c>
      <c r="DB110" t="str">
        <f>IFERROR(('Feeder Spreads'!I110-(AVERAGE('Feeder Spreads'!I110:I129)-2*STDEV('Feeder Spreads'!I110:I129)))/(4*STDEV('Feeder Spreads'!I110:I129)),"")</f>
        <v/>
      </c>
      <c r="DC110" t="str">
        <f>IFERROR(4*STDEV('Feeder Spreads'!I110:I129)/AVERAGE('Feeder Spreads'!I110:I129),"")</f>
        <v/>
      </c>
      <c r="DD110">
        <v>29.212499999999999</v>
      </c>
      <c r="DE110">
        <f>IFERROR(SQRT((SUMSQ('Feeder Spreads'!I110:I129)-2*SUMPRODUCT('Feeder Spreads'!I110:I129,'Feeder Spreads'!I111:I130)+SUMSQ('Feeder Spreads'!I111:I130)-('Feeder Spreads'!I110-'Feeder Spreads'!I130)^2/20)/19),"")</f>
        <v>0</v>
      </c>
      <c r="DG110">
        <f>IFERROR('Feeder Spreads'!O110,"")</f>
        <v>0</v>
      </c>
      <c r="DH110">
        <f>IFERROR(('Feeder Spreads'!P110-AVERAGE('Feeder Spreads'!$P$3:$P$4308))/STDEV('Feeder Spreads'!$P$3:$P$4308),"")</f>
        <v>-9.2057461789832346E-2</v>
      </c>
      <c r="DI110">
        <f>IFERROR('Feeder Spreads'!P110-'Feeder Spreads'!P115,"")</f>
        <v>0</v>
      </c>
      <c r="DJ110">
        <f>IFERROR('Feeder Spreads'!P110-'Feeder Spreads'!P120,"")</f>
        <v>0</v>
      </c>
      <c r="DK110">
        <f>IFERROR(AVERAGE('Feeder Spreads'!P110:P129)+2*STDEV('Feeder Spreads'!P110:P129),"")</f>
        <v>0</v>
      </c>
      <c r="DL110">
        <f>IFERROR(AVERAGE('Feeder Spreads'!P110:P129)-2*STDEV('Feeder Spreads'!P110:P129),"")</f>
        <v>0</v>
      </c>
      <c r="DM110" t="str">
        <f>IFERROR(('Feeder Spreads'!P110-(AVERAGE('Feeder Spreads'!P110:P129)-2*STDEV('Feeder Spreads'!P110:P129)))/(4*STDEV('Feeder Spreads'!P110:P129)),"")</f>
        <v/>
      </c>
      <c r="DN110" t="str">
        <f>IFERROR(4*STDEV('Feeder Spreads'!P110:P129)/AVERAGE('Feeder Spreads'!P110:P129),"")</f>
        <v/>
      </c>
      <c r="DO110">
        <v>63.866199999999999</v>
      </c>
      <c r="DP110">
        <f>IFERROR(SQRT((SUMSQ('Feeder Spreads'!P110:P129)-2*SUMPRODUCT('Feeder Spreads'!P110:P129,'Feeder Spreads'!P111:P130)+SUMSQ('Feeder Spreads'!P111:P130)-('Feeder Spreads'!P110-'Feeder Spreads'!P130)^2/20)/19),"")</f>
        <v>0</v>
      </c>
      <c r="DR110">
        <f>IFERROR('Feeder Spreads'!V110,"")</f>
        <v>0</v>
      </c>
      <c r="DS110">
        <f>IFERROR(('Feeder Spreads'!W110-AVERAGE('Feeder Spreads'!$W$3:$W$4308))/STDEV('Feeder Spreads'!$W$3:$W$4308),"")</f>
        <v>-9.2057461789832332E-2</v>
      </c>
      <c r="DT110">
        <f>IFERROR('Feeder Spreads'!W110-'Feeder Spreads'!W115,"")</f>
        <v>0</v>
      </c>
      <c r="DU110">
        <f>IFERROR('Feeder Spreads'!W110-'Feeder Spreads'!W120,"")</f>
        <v>0</v>
      </c>
      <c r="DV110">
        <f>IFERROR(AVERAGE('Feeder Spreads'!W110:W129)+2*STDEV('Feeder Spreads'!W110:W129),"")</f>
        <v>0</v>
      </c>
      <c r="DW110">
        <f>IFERROR(AVERAGE('Feeder Spreads'!W110:W129)-2*STDEV('Feeder Spreads'!W110:W129),"")</f>
        <v>0</v>
      </c>
      <c r="DX110" t="str">
        <f>IFERROR(('Feeder Spreads'!W110-(AVERAGE('Feeder Spreads'!W110:W129)-2*STDEV('Feeder Spreads'!W110:W129)))/(4*STDEV('Feeder Spreads'!W110:W129)),"")</f>
        <v/>
      </c>
      <c r="DY110" t="str">
        <f>IFERROR(4*STDEV('Feeder Spreads'!W110:W129)/AVERAGE('Feeder Spreads'!W110:W129),"")</f>
        <v/>
      </c>
      <c r="DZ110">
        <v>42.688800000000001</v>
      </c>
      <c r="EA110">
        <f>IFERROR(SQRT((SUMSQ('Feeder Spreads'!W110:W129)-2*SUMPRODUCT('Feeder Spreads'!W110:W129,'Feeder Spreads'!W111:W130)+SUMSQ('Feeder Spreads'!W111:W130)-('Feeder Spreads'!W110-'Feeder Spreads'!W130)^2/20)/19),"")</f>
        <v>0</v>
      </c>
      <c r="EC110">
        <f>IFERROR('Feeder Spreads'!AC110,"")</f>
        <v>0</v>
      </c>
      <c r="ED110">
        <f>IFERROR(('Feeder Spreads'!AD110-AVERAGE('Feeder Spreads'!$AD$3:$AD$4308))/STDEV('Feeder Spreads'!$AD$3:$AD$4308),"")</f>
        <v>9.2057461789832318E-2</v>
      </c>
      <c r="EE110">
        <f>IFERROR('Feeder Spreads'!AD110-'Feeder Spreads'!AD115,"")</f>
        <v>0</v>
      </c>
      <c r="EF110">
        <f>IFERROR('Feeder Spreads'!AD110-'Feeder Spreads'!AD120,"")</f>
        <v>0</v>
      </c>
      <c r="EG110">
        <f>IFERROR(AVERAGE('Feeder Spreads'!AD110:AD129)+2*STDEV('Feeder Spreads'!AD110:AD129),"")</f>
        <v>0</v>
      </c>
      <c r="EH110">
        <f>IFERROR(AVERAGE('Feeder Spreads'!AD110:AD129)-2*STDEV('Feeder Spreads'!AD110:AD129),"")</f>
        <v>0</v>
      </c>
      <c r="EI110" t="str">
        <f>IFERROR(('Feeder Spreads'!AD110-(AVERAGE('Feeder Spreads'!AD110:AD129)-2*STDEV('Feeder Spreads'!AD110:AD129)))/(4*STDEV('Feeder Spreads'!AD110:AD129)),"")</f>
        <v/>
      </c>
      <c r="EJ110" t="str">
        <f>IFERROR(4*STDEV('Feeder Spreads'!AD110:AD129)/AVERAGE('Feeder Spreads'!AD110:AD129),"")</f>
        <v/>
      </c>
      <c r="EK110">
        <v>43.584000000000003</v>
      </c>
      <c r="EL110">
        <f>IFERROR(SQRT((SUMSQ('Feeder Spreads'!AD110:AD129)-2*SUMPRODUCT('Feeder Spreads'!AD110:AD129,'Feeder Spreads'!AD111:AD130)+SUMSQ('Feeder Spreads'!AD111:AD130)-('Feeder Spreads'!AD110-'Feeder Spreads'!AD130)^2/20)/19),"")</f>
        <v>0</v>
      </c>
      <c r="EN110">
        <f>IFERROR('Feeder Spreads'!AJ110,"")</f>
        <v>0</v>
      </c>
      <c r="EO110">
        <f>IFERROR(('Feeder Spreads'!AK110-AVERAGE('Feeder Spreads'!$AK$3:$AK$4308))/STDEV('Feeder Spreads'!$AK$3:$AK$4308),"")</f>
        <v>-9.2057461789832346E-2</v>
      </c>
      <c r="EP110">
        <f>IFERROR('Feeder Spreads'!AK110-'Feeder Spreads'!AK115,"")</f>
        <v>0</v>
      </c>
      <c r="EQ110">
        <f>IFERROR('Feeder Spreads'!AK110-'Feeder Spreads'!AK120,"")</f>
        <v>0</v>
      </c>
      <c r="ER110">
        <f>IFERROR(AVERAGE('Feeder Spreads'!AK110:AK129)+2*STDEV('Feeder Spreads'!AK110:AK129),"")</f>
        <v>0</v>
      </c>
      <c r="ES110">
        <f>IFERROR(AVERAGE('Feeder Spreads'!AK110:AK129)-2*STDEV('Feeder Spreads'!AK110:AK129),"")</f>
        <v>0</v>
      </c>
      <c r="ET110" t="str">
        <f>IFERROR(('Feeder Spreads'!AK110-(AVERAGE('Feeder Spreads'!AK110:AK129)-2*STDEV('Feeder Spreads'!AK110:AK129)))/(4*STDEV('Feeder Spreads'!AK110:AK129)),"")</f>
        <v/>
      </c>
      <c r="EU110" t="str">
        <f>IFERROR(4*STDEV('Feeder Spreads'!AK110:AK129)/AVERAGE('Feeder Spreads'!AK110:AK129),"")</f>
        <v/>
      </c>
      <c r="EV110">
        <v>64.268500000000003</v>
      </c>
      <c r="EW110">
        <f>IFERROR(SQRT((SUMSQ('Feeder Spreads'!AK110:AK129)-2*SUMPRODUCT('Feeder Spreads'!AK110:AK129,'Feeder Spreads'!AK111:AK130)+SUMSQ('Feeder Spreads'!AK111:AK130)-('Feeder Spreads'!AK110-'Feeder Spreads'!AK130)^2/20)/19),"")</f>
        <v>0</v>
      </c>
      <c r="EY110">
        <f>IFERROR('Feeder Spreads'!AQ110,"")</f>
        <v>0</v>
      </c>
      <c r="EZ110">
        <f>IFERROR(('Feeder Spreads'!AR110-AVERAGE('Feeder Spreads'!$AR$3:$AR$4308))/STDEV('Feeder Spreads'!$AR$3:$AR$4308),"")</f>
        <v>-9.2057461789832332E-2</v>
      </c>
      <c r="FA110">
        <f>IFERROR('Feeder Spreads'!AR110-'Feeder Spreads'!AR115,"")</f>
        <v>0</v>
      </c>
      <c r="FB110">
        <f>IFERROR('Feeder Spreads'!AR110-'Feeder Spreads'!AR120,"")</f>
        <v>0</v>
      </c>
      <c r="FC110">
        <f>IFERROR(AVERAGE('Feeder Spreads'!AR110:AR129)+2*STDEV('Feeder Spreads'!AR110:AR129),"")</f>
        <v>0</v>
      </c>
      <c r="FD110">
        <f>IFERROR(AVERAGE('Feeder Spreads'!AR110:AR129)-2*STDEV('Feeder Spreads'!AR110:AR129),"")</f>
        <v>0</v>
      </c>
      <c r="FE110" t="str">
        <f>IFERROR(('Feeder Spreads'!AR110-(AVERAGE('Feeder Spreads'!AR110:AR129)-2*STDEV('Feeder Spreads'!AR110:AR129)))/(4*STDEV('Feeder Spreads'!AR110:AR129)),"")</f>
        <v/>
      </c>
      <c r="FF110" t="str">
        <f>IFERROR(4*STDEV('Feeder Spreads'!AR110:AR129)/AVERAGE('Feeder Spreads'!AR110:AR129),"")</f>
        <v/>
      </c>
      <c r="FG110">
        <v>61.077800000000003</v>
      </c>
      <c r="FH110">
        <f>IFERROR(SQRT((SUMSQ('Feeder Spreads'!AR110:AR129)-2*SUMPRODUCT('Feeder Spreads'!AR110:AR129,'Feeder Spreads'!AR111:AR130)+SUMSQ('Feeder Spreads'!AR111:AR130)-('Feeder Spreads'!AR110-'Feeder Spreads'!AR130)^2/20)/19),"")</f>
        <v>0</v>
      </c>
      <c r="FJ110">
        <f>IFERROR('Fat Spreads'!AX110,"")</f>
        <v>0</v>
      </c>
      <c r="FK110">
        <f>IFERROR(('Fat Spreads'!AY110-AVERAGE('Fat Spreads'!$AY$3:$AY$4308))/STDEV('Fat Spreads'!$AY$3:$AY$4308),"")</f>
        <v>9.2057461789832332E-2</v>
      </c>
      <c r="FL110">
        <f>IFERROR('Fat Spreads'!AY110-'Fat Spreads'!AY115,"")</f>
        <v>0</v>
      </c>
      <c r="FM110">
        <f>IFERROR('Fat Spreads'!AY110-'Fat Spreads'!AY120,"")</f>
        <v>0</v>
      </c>
      <c r="FN110">
        <f>IFERROR(AVERAGE('Fat Spreads'!AY110:AY129)+2*STDEV('Fat Spreads'!AY110:AY129),"")</f>
        <v>0</v>
      </c>
      <c r="FO110">
        <f>IFERROR(AVERAGE('Fat Spreads'!AY110:AY129)-2*STDEV('Fat Spreads'!AY110:AY129),"")</f>
        <v>0</v>
      </c>
      <c r="FP110" t="str">
        <f>IFERROR(('Fat Spreads'!AY110-(AVERAGE('Fat Spreads'!AY110:AY129)-2*STDEV('Fat Spreads'!AY110:AY129)))/(4*STDEV('Fat Spreads'!AY110:AY129)),"")</f>
        <v/>
      </c>
      <c r="FQ110" t="str">
        <f>IFERROR(4*STDEV('Fat Spreads'!AY110:AY129)/AVERAGE('Fat Spreads'!AY110:AY129),"")</f>
        <v/>
      </c>
      <c r="FR110">
        <v>25.476400000000002</v>
      </c>
      <c r="FS110">
        <f>IFERROR(SQRT((SUMSQ('Fat Spreads'!AY110:AY129)-2*SUMPRODUCT('Fat Spreads'!AY110:AY129,'Fat Spreads'!AY111:AY130)+SUMSQ('Fat Spreads'!AY111:AY130)-('Fat Spreads'!AY110-'Fat Spreads'!AY130)^2/20)/19),"")</f>
        <v>0</v>
      </c>
      <c r="FU110">
        <f>IFERROR('Fat Spreads'!BE110,"")</f>
        <v>0</v>
      </c>
      <c r="FV110">
        <f>IFERROR(('Fat Spreads'!BF110-AVERAGE('Fat Spreads'!$BF$3:$BF$4308))/STDEV('Fat Spreads'!$BF$3:$BF$4308),"")</f>
        <v>9.2057461789832332E-2</v>
      </c>
      <c r="FW110">
        <f>IFERROR('Fat Spreads'!BF110-'Fat Spreads'!BF115,"")</f>
        <v>0</v>
      </c>
      <c r="FX110">
        <f>IFERROR('Fat Spreads'!BF110-'Fat Spreads'!BF120,"")</f>
        <v>0</v>
      </c>
      <c r="FY110">
        <f>IFERROR(AVERAGE('Fat Spreads'!BF110:BF129)+2*STDEV('Fat Spreads'!BF110:BF129),"")</f>
        <v>0</v>
      </c>
      <c r="FZ110">
        <f>IFERROR(AVERAGE('Fat Spreads'!BF110:BF129)-2*STDEV('Fat Spreads'!BF110:BF129),"")</f>
        <v>0</v>
      </c>
      <c r="GA110" t="str">
        <f>IFERROR(('Fat Spreads'!BF110-(AVERAGE('Fat Spreads'!BF110:BF129)-2*STDEV('Fat Spreads'!BF110:BF129)))/(4*STDEV('Fat Spreads'!BF110:BF129)),"")</f>
        <v/>
      </c>
      <c r="GB110" t="str">
        <f>IFERROR(4*STDEV('Fat Spreads'!BF110:BF129)/AVERAGE('Fat Spreads'!BF110:BF129),"")</f>
        <v/>
      </c>
      <c r="GC110">
        <v>34.670400000000001</v>
      </c>
      <c r="GD110">
        <f>IFERROR(SQRT((SUMSQ('Fat Spreads'!BF110:BF129)-2*SUMPRODUCT('Fat Spreads'!BF110:BF129,'Fat Spreads'!BF111:BF130)+SUMSQ('Fat Spreads'!BF111:BF130)-('Fat Spreads'!BF110-'Fat Spreads'!BF130)^2/20)/19),"")</f>
        <v>0</v>
      </c>
    </row>
    <row r="111" spans="1:186" x14ac:dyDescent="0.25">
      <c r="A111">
        <f>IFERROR('Fat Spreads'!A111,"")</f>
        <v>0</v>
      </c>
      <c r="B111">
        <f>IFERROR(('Fat Spreads'!B111-AVERAGE('Fat Spreads'!$B$3:$B$4308))/STDEV('Fat Spreads'!$B$3:$B$4308),"")</f>
        <v>9.2057461789832346E-2</v>
      </c>
      <c r="C111">
        <f>IFERROR('Fat Spreads'!B111-'Fat Spreads'!B116,"")</f>
        <v>0</v>
      </c>
      <c r="D111">
        <f>IFERROR('Fat Spreads'!B111-'Fat Spreads'!B121,"")</f>
        <v>0</v>
      </c>
      <c r="E111">
        <f>IFERROR(AVERAGE('Fat Spreads'!B111:B130)+2*STDEV('Fat Spreads'!B111:B130),"")</f>
        <v>0</v>
      </c>
      <c r="F111">
        <f>IFERROR(AVERAGE('Fat Spreads'!B111:B130)-2*STDEV('Fat Spreads'!B111:B130),"")</f>
        <v>0</v>
      </c>
      <c r="G111" t="str">
        <f>IFERROR(('Fat Spreads'!B111-(AVERAGE('Fat Spreads'!B111:B130)-2*STDEV('Fat Spreads'!B111:B130)))/(4*STDEV('Fat Spreads'!B111:B130)),"")</f>
        <v/>
      </c>
      <c r="H111" t="str">
        <f>IFERROR(4*STDEV('Fat Spreads'!B111:B130)/AVERAGE('Fat Spreads'!B111:B130),"")</f>
        <v/>
      </c>
      <c r="I111">
        <v>29.188500000000001</v>
      </c>
      <c r="J111">
        <f>IFERROR(SQRT((SUMSQ('Fat Spreads'!B111:B130)-2*SUMPRODUCT('Fat Spreads'!B111:B130,'Fat Spreads'!B112:B131)+SUMSQ('Fat Spreads'!B112:B131)-('Fat Spreads'!B111-'Fat Spreads'!B131)^2/20)/19),"")</f>
        <v>0</v>
      </c>
      <c r="L111">
        <f>IFERROR('Fat Spreads'!H111,"")</f>
        <v>0</v>
      </c>
      <c r="M111">
        <f>IFERROR(('Fat Spreads'!I111-AVERAGE('Fat Spreads'!$I$3:$I$4308))/STDEV('Fat Spreads'!$I$3:$I$4308),"")</f>
        <v>-9.2057461789832332E-2</v>
      </c>
      <c r="N111">
        <f>IFERROR('Fat Spreads'!I111-'Fat Spreads'!I116,"")</f>
        <v>0</v>
      </c>
      <c r="O111">
        <f>IFERROR('Fat Spreads'!I111-'Fat Spreads'!I121,"")</f>
        <v>0</v>
      </c>
      <c r="P111">
        <f>IFERROR(AVERAGE('Fat Spreads'!I111:I130)+2*STDEV('Fat Spreads'!I111:I130),"")</f>
        <v>0</v>
      </c>
      <c r="Q111">
        <f>IFERROR(AVERAGE('Fat Spreads'!I111:I130)-2*STDEV('Fat Spreads'!I111:I130),"")</f>
        <v>0</v>
      </c>
      <c r="R111" t="str">
        <f>IFERROR(('Fat Spreads'!I111-(AVERAGE('Fat Spreads'!I111:I130)-2*STDEV('Fat Spreads'!I111:I130)))/(4*STDEV('Fat Spreads'!I111:I130)),"")</f>
        <v/>
      </c>
      <c r="S111" t="str">
        <f>IFERROR(4*STDEV('Fat Spreads'!I111:I130)/AVERAGE('Fat Spreads'!I111:I130),"")</f>
        <v/>
      </c>
      <c r="T111">
        <v>44.5762</v>
      </c>
      <c r="U111">
        <f>IFERROR(SQRT((SUMSQ('Fat Spreads'!I111:I130)-2*SUMPRODUCT('Fat Spreads'!I111:I130,'Fat Spreads'!I112:I131)+SUMSQ('Fat Spreads'!I112:I131)-('Fat Spreads'!I111-'Fat Spreads'!I131)^2/20)/19),"")</f>
        <v>0</v>
      </c>
      <c r="W111">
        <f>IFERROR('Fat Spreads'!AQ111,"")</f>
        <v>0</v>
      </c>
      <c r="X111">
        <f>IFERROR(('Fat Spreads'!AR111-AVERAGE('Fat Spreads'!$AR$3:$AR$4308))/STDEV('Fat Spreads'!$AR$3:$AR$4308),"")</f>
        <v>-9.2057461789832346E-2</v>
      </c>
      <c r="Y111">
        <f>IFERROR('Fat Spreads'!AR111-'Fat Spreads'!AR116,"")</f>
        <v>0</v>
      </c>
      <c r="Z111">
        <f>IFERROR('Fat Spreads'!AR111-'Fat Spreads'!AR121,"")</f>
        <v>0</v>
      </c>
      <c r="AA111">
        <f>IFERROR(AVERAGE('Fat Spreads'!AR111:AR130)+2*STDEV('Fat Spreads'!AR111:AR130),"")</f>
        <v>0</v>
      </c>
      <c r="AB111">
        <f>IFERROR(AVERAGE('Fat Spreads'!AR111:AR130)-2*STDEV('Fat Spreads'!AR111:AR130),"")</f>
        <v>0</v>
      </c>
      <c r="AC111" t="str">
        <f>IFERROR(('Fat Spreads'!AR111-(AVERAGE('Fat Spreads'!AR111:AR130)-2*STDEV('Fat Spreads'!AR111:AR130)))/(4*STDEV('Fat Spreads'!AR111:AR130)),"")</f>
        <v/>
      </c>
      <c r="AD111" t="str">
        <f>IFERROR(4*STDEV('Fat Spreads'!AR111:AR130)/AVERAGE('Fat Spreads'!AR111:AR130),"")</f>
        <v/>
      </c>
      <c r="AE111">
        <v>72.7209</v>
      </c>
      <c r="AF111">
        <f>IFERROR(SQRT((SUMSQ('Fat Spreads'!AR111:AR130)-2*SUMPRODUCT('Fat Spreads'!AR111:AR130,'Fat Spreads'!AR112:AR131)+SUMSQ('Fat Spreads'!AR112:AR131)-('Fat Spreads'!AR111-'Fat Spreads'!AR131)^2/20)/19),"")</f>
        <v>0</v>
      </c>
      <c r="AH111">
        <f>IFERROR('Fat Spreads'!O111,"")</f>
        <v>0</v>
      </c>
      <c r="AI111">
        <f>IFERROR(('Fat Spreads'!P111-AVERAGE('Fat Spreads'!$P$3:$P$4308))/STDEV('Fat Spreads'!$P$3:$P$4308),"")</f>
        <v>-9.2057461789832332E-2</v>
      </c>
      <c r="AJ111">
        <f>IFERROR('Fat Spreads'!P111-'Fat Spreads'!P116,"")</f>
        <v>0</v>
      </c>
      <c r="AK111">
        <f>IFERROR('Fat Spreads'!P111-'Fat Spreads'!P121,"")</f>
        <v>0</v>
      </c>
      <c r="AL111">
        <f>IFERROR(AVERAGE('Fat Spreads'!P111:P130)+2*STDEV('Fat Spreads'!P111:P130),"")</f>
        <v>0</v>
      </c>
      <c r="AM111">
        <f>IFERROR(AVERAGE('Fat Spreads'!P111:P130)-2*STDEV('Fat Spreads'!P111:P130),"")</f>
        <v>0</v>
      </c>
      <c r="AN111" t="str">
        <f>IFERROR(('Fat Spreads'!P111-(AVERAGE('Fat Spreads'!P111:P130)-2*STDEV('Fat Spreads'!P111:P130)))/(4*STDEV('Fat Spreads'!P111:P130)),"")</f>
        <v/>
      </c>
      <c r="AO111" t="str">
        <f>IFERROR(4*STDEV('Fat Spreads'!P111:P130)/AVERAGE('Fat Spreads'!P111:P130),"")</f>
        <v/>
      </c>
      <c r="AP111">
        <v>60.8508</v>
      </c>
      <c r="AQ111">
        <f>IFERROR(SQRT((SUMSQ('Fat Spreads'!P111:P130)-2*SUMPRODUCT('Fat Spreads'!P111:P130,'Fat Spreads'!P112:P131)+SUMSQ('Fat Spreads'!P112:P131)-('Fat Spreads'!P111-'Fat Spreads'!P131)^2/20)/19),"")</f>
        <v>0</v>
      </c>
      <c r="AS111">
        <f>IFERROR('Fat Spreads'!AJ111,"")</f>
        <v>0</v>
      </c>
      <c r="AT111">
        <f>IFERROR(('Fat Spreads'!AK111-AVERAGE('Fat Spreads'!$AK$3:$AK$4308))/STDEV('Fat Spreads'!$AK$3:$AK$4308),"")</f>
        <v>-9.2057461789832332E-2</v>
      </c>
      <c r="AU111">
        <f>IFERROR('Fat Spreads'!AK111-'Fat Spreads'!AK116,"")</f>
        <v>0</v>
      </c>
      <c r="AV111">
        <f>IFERROR('Fat Spreads'!AK111-'Fat Spreads'!AK121,"")</f>
        <v>0</v>
      </c>
      <c r="AW111">
        <f>IFERROR(AVERAGE('Fat Spreads'!AK111:AK130)+2*STDEV('Fat Spreads'!AK111:AK130),"")</f>
        <v>0</v>
      </c>
      <c r="AX111">
        <f>IFERROR(AVERAGE('Fat Spreads'!AK111:AK130)-2*STDEV('Fat Spreads'!AK111:AK130),"")</f>
        <v>0</v>
      </c>
      <c r="AY111" t="str">
        <f>IFERROR(('Fat Spreads'!AK111-(AVERAGE('Fat Spreads'!AK111:AK130)-2*STDEV('Fat Spreads'!AK111:AK130)))/(4*STDEV('Fat Spreads'!AK111:AK130)),"")</f>
        <v/>
      </c>
      <c r="AZ111" t="str">
        <f>IFERROR(4*STDEV('Fat Spreads'!AK111:AK130)/AVERAGE('Fat Spreads'!AK111:AK130),"")</f>
        <v/>
      </c>
      <c r="BA111">
        <v>32.333300000000001</v>
      </c>
      <c r="BB111">
        <f>IFERROR(SQRT((SUMSQ('Fat Spreads'!AK111:AK130)-2*SUMPRODUCT('Fat Spreads'!AK111:AK130,'Fat Spreads'!AK112:AK131)+SUMSQ('Fat Spreads'!AK112:AK131)-('Fat Spreads'!AK111-'Fat Spreads'!AK131)^2/20)/19),"")</f>
        <v>0</v>
      </c>
      <c r="BD111">
        <f>IFERROR('Fat Spreads'!V111,"")</f>
        <v>0</v>
      </c>
      <c r="BE111">
        <f>IFERROR(('Fat Spreads'!W111-AVERAGE('Fat Spreads'!$W$3:$W$4308))/STDEV('Fat Spreads'!$W$3:$W$4308),"")</f>
        <v>-9.2057461789832332E-2</v>
      </c>
      <c r="BF111">
        <f>IFERROR('Fat Spreads'!W111-'Fat Spreads'!W116,"")</f>
        <v>0</v>
      </c>
      <c r="BG111">
        <f>IFERROR('Fat Spreads'!W111-'Fat Spreads'!W121,"")</f>
        <v>0</v>
      </c>
      <c r="BH111">
        <f>IFERROR(AVERAGE('Fat Spreads'!W111:W130)+2*STDEV('Fat Spreads'!W111:W130),"")</f>
        <v>0</v>
      </c>
      <c r="BI111">
        <f>IFERROR(AVERAGE('Fat Spreads'!W111:W130)-2*STDEV('Fat Spreads'!W111:W130),"")</f>
        <v>0</v>
      </c>
      <c r="BJ111" t="str">
        <f>IFERROR(('Fat Spreads'!W111-(AVERAGE('Fat Spreads'!W111:W130)-2*STDEV('Fat Spreads'!W111:W130)))/(4*STDEV('Fat Spreads'!W111:W130)),"")</f>
        <v/>
      </c>
      <c r="BK111" t="str">
        <f>IFERROR(4*STDEV('Fat Spreads'!W111:W130)/AVERAGE('Fat Spreads'!W111:W130),"")</f>
        <v/>
      </c>
      <c r="BL111">
        <v>56.873899999999999</v>
      </c>
      <c r="BM111">
        <f>IFERROR(SQRT((SUMSQ('Fat Spreads'!W111:W130)-2*SUMPRODUCT('Fat Spreads'!W111:W130,'Fat Spreads'!W112:W131)+SUMSQ('Fat Spreads'!W112:W131)-('Fat Spreads'!W111-'Fat Spreads'!W131)^2/20)/19),"")</f>
        <v>0</v>
      </c>
      <c r="BO111">
        <f>IFERROR('Fat Spreads'!AC111,"")</f>
        <v>0</v>
      </c>
      <c r="BP111">
        <f>IFERROR(('Fat Spreads'!AD111-AVERAGE('Fat Spreads'!$AD$3:$AD$4308))/STDEV('Fat Spreads'!$AD$3:$AD$4308),"")</f>
        <v>-9.2057461789832332E-2</v>
      </c>
      <c r="BQ111">
        <f>IFERROR('Fat Spreads'!AD111-'Fat Spreads'!AD116,"")</f>
        <v>0</v>
      </c>
      <c r="BR111">
        <f>IFERROR('Fat Spreads'!AD111-'Fat Spreads'!AD121,"")</f>
        <v>0</v>
      </c>
      <c r="BS111">
        <f>IFERROR(AVERAGE('Fat Spreads'!AD111:AD130)+2*STDEV('Fat Spreads'!AD111:AD130),"")</f>
        <v>0</v>
      </c>
      <c r="BT111">
        <f>IFERROR(AVERAGE('Fat Spreads'!AD111:AD130)-2*STDEV('Fat Spreads'!AD111:AD130),"")</f>
        <v>0</v>
      </c>
      <c r="BU111" t="str">
        <f>IFERROR(('Fat Spreads'!AD111-(AVERAGE('Fat Spreads'!AD111:AD130)-2*STDEV('Fat Spreads'!AD111:AD130)))/(4*STDEV('Fat Spreads'!AD111:AD130)),"")</f>
        <v/>
      </c>
      <c r="BV111" t="str">
        <f>IFERROR(4*STDEV('Fat Spreads'!AD111:AD130)/AVERAGE('Fat Spreads'!AD111:AD130),"")</f>
        <v/>
      </c>
      <c r="BW111">
        <v>33.4238</v>
      </c>
      <c r="BX111">
        <f>IFERROR(SQRT((SUMSQ('Fat Spreads'!AD111:AD130)-2*SUMPRODUCT('Fat Spreads'!AD111:AD130,'Fat Spreads'!AD112:AD131)+SUMSQ('Fat Spreads'!AD112:AD131)-('Fat Spreads'!AD111-'Fat Spreads'!AD131)^2/20)/19),"")</f>
        <v>0</v>
      </c>
      <c r="BZ111">
        <f>IFERROR('Feeder Spreads'!A111,"")</f>
        <v>0</v>
      </c>
      <c r="CA111">
        <f>IFERROR(('Feeder Spreads'!B111-AVERAGE('Feeder Spreads'!$B$3:$B$4308))/STDEV('Feeder Spreads'!$B$3:$B$4308),"")</f>
        <v>-9.2057461789832346E-2</v>
      </c>
      <c r="CB111">
        <f>IFERROR('Feeder Spreads'!B111-'Feeder Spreads'!B116,"")</f>
        <v>0</v>
      </c>
      <c r="CC111">
        <f>IFERROR('Feeder Spreads'!B111-'Feeder Spreads'!B121,"")</f>
        <v>0</v>
      </c>
      <c r="CD111">
        <f>IFERROR(AVERAGE('Feeder Spreads'!B111:B130)+2*STDEV('Feeder Spreads'!B111:B130),"")</f>
        <v>0</v>
      </c>
      <c r="CE111">
        <f>IFERROR(AVERAGE('Feeder Spreads'!B111:B130)-2*STDEV('Feeder Spreads'!B111:B130),"")</f>
        <v>0</v>
      </c>
      <c r="CF111" t="str">
        <f>IFERROR(('Feeder Spreads'!B111-(AVERAGE('Feeder Spreads'!B111:B130)-2*STDEV('Feeder Spreads'!B111:B130)))/(4*STDEV('Feeder Spreads'!B111:B130)),"")</f>
        <v/>
      </c>
      <c r="CG111" t="str">
        <f>IFERROR(4*STDEV('Feeder Spreads'!B111:B130)/AVERAGE('Feeder Spreads'!B111:B130),"")</f>
        <v/>
      </c>
      <c r="CH111">
        <v>56.022100000000002</v>
      </c>
      <c r="CI111">
        <f>IFERROR(SQRT((SUMSQ('Feeder Spreads'!B111:B130)-2*SUMPRODUCT('Feeder Spreads'!B111:B130,'Feeder Spreads'!B112:B131)+SUMSQ('Feeder Spreads'!B112:B131)-('Feeder Spreads'!B111-'Feeder Spreads'!B131)^2/20)/19),"")</f>
        <v>0</v>
      </c>
      <c r="CK111">
        <f>IFERROR('Feeder Spreads'!AX111,"")</f>
        <v>0</v>
      </c>
      <c r="CL111">
        <f>IFERROR(('Feeder Spreads'!AY111-AVERAGE('Feeder Spreads'!$AY$3:$AY$4308))/STDEV('Feeder Spreads'!$AY$3:$AY$4308),"")</f>
        <v>-9.2057461789832346E-2</v>
      </c>
      <c r="CM111">
        <f>IFERROR('Feeder Spreads'!AY111-'Feeder Spreads'!AY116,"")</f>
        <v>0</v>
      </c>
      <c r="CN111">
        <f>IFERROR('Feeder Spreads'!AY111-'Feeder Spreads'!AY121,"")</f>
        <v>0</v>
      </c>
      <c r="CO111">
        <f>IFERROR(AVERAGE('Feeder Spreads'!AY111:AY130)+2*STDEV('Feeder Spreads'!AY111:AY130),"")</f>
        <v>0</v>
      </c>
      <c r="CP111">
        <f>IFERROR(AVERAGE('Feeder Spreads'!AY111:AY130)-2*STDEV('Feeder Spreads'!AY111:AY130),"")</f>
        <v>0</v>
      </c>
      <c r="CQ111" t="str">
        <f>IFERROR(('Feeder Spreads'!AY111-(AVERAGE('Feeder Spreads'!AY111:AY130)-2*STDEV('Feeder Spreads'!AY111:AY130)))/(4*STDEV('Feeder Spreads'!AY111:AY130)),"")</f>
        <v/>
      </c>
      <c r="CR111" t="str">
        <f>IFERROR(4*STDEV('Feeder Spreads'!AY111:AY130)/AVERAGE('Feeder Spreads'!AY111:AY130),"")</f>
        <v/>
      </c>
      <c r="CS111">
        <v>30.446899999999999</v>
      </c>
      <c r="CT111">
        <f>IFERROR(SQRT((SUMSQ('Feeder Spreads'!AY111:AY130)-2*SUMPRODUCT('Feeder Spreads'!AY111:AY130,'Feeder Spreads'!AY112:AY131)+SUMSQ('Feeder Spreads'!AY112:AY131)-('Feeder Spreads'!AY111-'Feeder Spreads'!AY131)^2/20)/19),"")</f>
        <v>0</v>
      </c>
      <c r="CV111">
        <f>IFERROR('Feeder Spreads'!H111,"")</f>
        <v>0</v>
      </c>
      <c r="CW111">
        <f>IFERROR(('Feeder Spreads'!I111-AVERAGE('Feeder Spreads'!$I$3:$I$4308))/STDEV('Feeder Spreads'!$I$3:$I$4308),"")</f>
        <v>-9.2057461789832332E-2</v>
      </c>
      <c r="CX111">
        <f>IFERROR('Feeder Spreads'!I111-'Feeder Spreads'!I116,"")</f>
        <v>0</v>
      </c>
      <c r="CY111">
        <f>IFERROR('Feeder Spreads'!I111-'Feeder Spreads'!I121,"")</f>
        <v>0</v>
      </c>
      <c r="CZ111">
        <f>IFERROR(AVERAGE('Feeder Spreads'!I111:I130)+2*STDEV('Feeder Spreads'!I111:I130),"")</f>
        <v>0</v>
      </c>
      <c r="DA111">
        <f>IFERROR(AVERAGE('Feeder Spreads'!I111:I130)-2*STDEV('Feeder Spreads'!I111:I130),"")</f>
        <v>0</v>
      </c>
      <c r="DB111" t="str">
        <f>IFERROR(('Feeder Spreads'!I111-(AVERAGE('Feeder Spreads'!I111:I130)-2*STDEV('Feeder Spreads'!I111:I130)))/(4*STDEV('Feeder Spreads'!I111:I130)),"")</f>
        <v/>
      </c>
      <c r="DC111" t="str">
        <f>IFERROR(4*STDEV('Feeder Spreads'!I111:I130)/AVERAGE('Feeder Spreads'!I111:I130),"")</f>
        <v/>
      </c>
      <c r="DD111">
        <v>34.181899999999999</v>
      </c>
      <c r="DE111">
        <f>IFERROR(SQRT((SUMSQ('Feeder Spreads'!I111:I130)-2*SUMPRODUCT('Feeder Spreads'!I111:I130,'Feeder Spreads'!I112:I131)+SUMSQ('Feeder Spreads'!I112:I131)-('Feeder Spreads'!I111-'Feeder Spreads'!I131)^2/20)/19),"")</f>
        <v>0</v>
      </c>
      <c r="DG111">
        <f>IFERROR('Feeder Spreads'!O111,"")</f>
        <v>0</v>
      </c>
      <c r="DH111">
        <f>IFERROR(('Feeder Spreads'!P111-AVERAGE('Feeder Spreads'!$P$3:$P$4308))/STDEV('Feeder Spreads'!$P$3:$P$4308),"")</f>
        <v>-9.2057461789832346E-2</v>
      </c>
      <c r="DI111">
        <f>IFERROR('Feeder Spreads'!P111-'Feeder Spreads'!P116,"")</f>
        <v>0</v>
      </c>
      <c r="DJ111">
        <f>IFERROR('Feeder Spreads'!P111-'Feeder Spreads'!P121,"")</f>
        <v>0</v>
      </c>
      <c r="DK111">
        <f>IFERROR(AVERAGE('Feeder Spreads'!P111:P130)+2*STDEV('Feeder Spreads'!P111:P130),"")</f>
        <v>0</v>
      </c>
      <c r="DL111">
        <f>IFERROR(AVERAGE('Feeder Spreads'!P111:P130)-2*STDEV('Feeder Spreads'!P111:P130),"")</f>
        <v>0</v>
      </c>
      <c r="DM111" t="str">
        <f>IFERROR(('Feeder Spreads'!P111-(AVERAGE('Feeder Spreads'!P111:P130)-2*STDEV('Feeder Spreads'!P111:P130)))/(4*STDEV('Feeder Spreads'!P111:P130)),"")</f>
        <v/>
      </c>
      <c r="DN111" t="str">
        <f>IFERROR(4*STDEV('Feeder Spreads'!P111:P130)/AVERAGE('Feeder Spreads'!P111:P130),"")</f>
        <v/>
      </c>
      <c r="DO111">
        <v>64.502700000000004</v>
      </c>
      <c r="DP111">
        <f>IFERROR(SQRT((SUMSQ('Feeder Spreads'!P111:P130)-2*SUMPRODUCT('Feeder Spreads'!P111:P130,'Feeder Spreads'!P112:P131)+SUMSQ('Feeder Spreads'!P112:P131)-('Feeder Spreads'!P111-'Feeder Spreads'!P131)^2/20)/19),"")</f>
        <v>0</v>
      </c>
      <c r="DR111">
        <f>IFERROR('Feeder Spreads'!V111,"")</f>
        <v>0</v>
      </c>
      <c r="DS111">
        <f>IFERROR(('Feeder Spreads'!W111-AVERAGE('Feeder Spreads'!$W$3:$W$4308))/STDEV('Feeder Spreads'!$W$3:$W$4308),"")</f>
        <v>-9.2057461789832332E-2</v>
      </c>
      <c r="DT111">
        <f>IFERROR('Feeder Spreads'!W111-'Feeder Spreads'!W116,"")</f>
        <v>0</v>
      </c>
      <c r="DU111">
        <f>IFERROR('Feeder Spreads'!W111-'Feeder Spreads'!W121,"")</f>
        <v>0</v>
      </c>
      <c r="DV111">
        <f>IFERROR(AVERAGE('Feeder Spreads'!W111:W130)+2*STDEV('Feeder Spreads'!W111:W130),"")</f>
        <v>0</v>
      </c>
      <c r="DW111">
        <f>IFERROR(AVERAGE('Feeder Spreads'!W111:W130)-2*STDEV('Feeder Spreads'!W111:W130),"")</f>
        <v>0</v>
      </c>
      <c r="DX111" t="str">
        <f>IFERROR(('Feeder Spreads'!W111-(AVERAGE('Feeder Spreads'!W111:W130)-2*STDEV('Feeder Spreads'!W111:W130)))/(4*STDEV('Feeder Spreads'!W111:W130)),"")</f>
        <v/>
      </c>
      <c r="DY111" t="str">
        <f>IFERROR(4*STDEV('Feeder Spreads'!W111:W130)/AVERAGE('Feeder Spreads'!W111:W130),"")</f>
        <v/>
      </c>
      <c r="DZ111">
        <v>44.834299999999999</v>
      </c>
      <c r="EA111">
        <f>IFERROR(SQRT((SUMSQ('Feeder Spreads'!W111:W130)-2*SUMPRODUCT('Feeder Spreads'!W111:W130,'Feeder Spreads'!W112:W131)+SUMSQ('Feeder Spreads'!W112:W131)-('Feeder Spreads'!W111-'Feeder Spreads'!W131)^2/20)/19),"")</f>
        <v>0</v>
      </c>
      <c r="EC111">
        <f>IFERROR('Feeder Spreads'!AC111,"")</f>
        <v>0</v>
      </c>
      <c r="ED111">
        <f>IFERROR(('Feeder Spreads'!AD111-AVERAGE('Feeder Spreads'!$AD$3:$AD$4308))/STDEV('Feeder Spreads'!$AD$3:$AD$4308),"")</f>
        <v>9.2057461789832318E-2</v>
      </c>
      <c r="EE111">
        <f>IFERROR('Feeder Spreads'!AD111-'Feeder Spreads'!AD116,"")</f>
        <v>0</v>
      </c>
      <c r="EF111">
        <f>IFERROR('Feeder Spreads'!AD111-'Feeder Spreads'!AD121,"")</f>
        <v>0</v>
      </c>
      <c r="EG111">
        <f>IFERROR(AVERAGE('Feeder Spreads'!AD111:AD130)+2*STDEV('Feeder Spreads'!AD111:AD130),"")</f>
        <v>0</v>
      </c>
      <c r="EH111">
        <f>IFERROR(AVERAGE('Feeder Spreads'!AD111:AD130)-2*STDEV('Feeder Spreads'!AD111:AD130),"")</f>
        <v>0</v>
      </c>
      <c r="EI111" t="str">
        <f>IFERROR(('Feeder Spreads'!AD111-(AVERAGE('Feeder Spreads'!AD111:AD130)-2*STDEV('Feeder Spreads'!AD111:AD130)))/(4*STDEV('Feeder Spreads'!AD111:AD130)),"")</f>
        <v/>
      </c>
      <c r="EJ111" t="str">
        <f>IFERROR(4*STDEV('Feeder Spreads'!AD111:AD130)/AVERAGE('Feeder Spreads'!AD111:AD130),"")</f>
        <v/>
      </c>
      <c r="EK111">
        <v>43.819899999999997</v>
      </c>
      <c r="EL111">
        <f>IFERROR(SQRT((SUMSQ('Feeder Spreads'!AD111:AD130)-2*SUMPRODUCT('Feeder Spreads'!AD111:AD130,'Feeder Spreads'!AD112:AD131)+SUMSQ('Feeder Spreads'!AD112:AD131)-('Feeder Spreads'!AD111-'Feeder Spreads'!AD131)^2/20)/19),"")</f>
        <v>0</v>
      </c>
      <c r="EN111">
        <f>IFERROR('Feeder Spreads'!AJ111,"")</f>
        <v>0</v>
      </c>
      <c r="EO111">
        <f>IFERROR(('Feeder Spreads'!AK111-AVERAGE('Feeder Spreads'!$AK$3:$AK$4308))/STDEV('Feeder Spreads'!$AK$3:$AK$4308),"")</f>
        <v>-9.2057461789832346E-2</v>
      </c>
      <c r="EP111">
        <f>IFERROR('Feeder Spreads'!AK111-'Feeder Spreads'!AK116,"")</f>
        <v>0</v>
      </c>
      <c r="EQ111">
        <f>IFERROR('Feeder Spreads'!AK111-'Feeder Spreads'!AK121,"")</f>
        <v>0</v>
      </c>
      <c r="ER111">
        <f>IFERROR(AVERAGE('Feeder Spreads'!AK111:AK130)+2*STDEV('Feeder Spreads'!AK111:AK130),"")</f>
        <v>0</v>
      </c>
      <c r="ES111">
        <f>IFERROR(AVERAGE('Feeder Spreads'!AK111:AK130)-2*STDEV('Feeder Spreads'!AK111:AK130),"")</f>
        <v>0</v>
      </c>
      <c r="ET111" t="str">
        <f>IFERROR(('Feeder Spreads'!AK111-(AVERAGE('Feeder Spreads'!AK111:AK130)-2*STDEV('Feeder Spreads'!AK111:AK130)))/(4*STDEV('Feeder Spreads'!AK111:AK130)),"")</f>
        <v/>
      </c>
      <c r="EU111" t="str">
        <f>IFERROR(4*STDEV('Feeder Spreads'!AK111:AK130)/AVERAGE('Feeder Spreads'!AK111:AK130),"")</f>
        <v/>
      </c>
      <c r="EV111">
        <v>53.169499999999999</v>
      </c>
      <c r="EW111">
        <f>IFERROR(SQRT((SUMSQ('Feeder Spreads'!AK111:AK130)-2*SUMPRODUCT('Feeder Spreads'!AK111:AK130,'Feeder Spreads'!AK112:AK131)+SUMSQ('Feeder Spreads'!AK112:AK131)-('Feeder Spreads'!AK111-'Feeder Spreads'!AK131)^2/20)/19),"")</f>
        <v>0</v>
      </c>
      <c r="EY111">
        <f>IFERROR('Feeder Spreads'!AQ111,"")</f>
        <v>0</v>
      </c>
      <c r="EZ111">
        <f>IFERROR(('Feeder Spreads'!AR111-AVERAGE('Feeder Spreads'!$AR$3:$AR$4308))/STDEV('Feeder Spreads'!$AR$3:$AR$4308),"")</f>
        <v>-9.2057461789832332E-2</v>
      </c>
      <c r="FA111">
        <f>IFERROR('Feeder Spreads'!AR111-'Feeder Spreads'!AR116,"")</f>
        <v>0</v>
      </c>
      <c r="FB111">
        <f>IFERROR('Feeder Spreads'!AR111-'Feeder Spreads'!AR121,"")</f>
        <v>0</v>
      </c>
      <c r="FC111">
        <f>IFERROR(AVERAGE('Feeder Spreads'!AR111:AR130)+2*STDEV('Feeder Spreads'!AR111:AR130),"")</f>
        <v>0</v>
      </c>
      <c r="FD111">
        <f>IFERROR(AVERAGE('Feeder Spreads'!AR111:AR130)-2*STDEV('Feeder Spreads'!AR111:AR130),"")</f>
        <v>0</v>
      </c>
      <c r="FE111" t="str">
        <f>IFERROR(('Feeder Spreads'!AR111-(AVERAGE('Feeder Spreads'!AR111:AR130)-2*STDEV('Feeder Spreads'!AR111:AR130)))/(4*STDEV('Feeder Spreads'!AR111:AR130)),"")</f>
        <v/>
      </c>
      <c r="FF111" t="str">
        <f>IFERROR(4*STDEV('Feeder Spreads'!AR111:AR130)/AVERAGE('Feeder Spreads'!AR111:AR130),"")</f>
        <v/>
      </c>
      <c r="FG111">
        <v>62.738999999999997</v>
      </c>
      <c r="FH111">
        <f>IFERROR(SQRT((SUMSQ('Feeder Spreads'!AR111:AR130)-2*SUMPRODUCT('Feeder Spreads'!AR111:AR130,'Feeder Spreads'!AR112:AR131)+SUMSQ('Feeder Spreads'!AR112:AR131)-('Feeder Spreads'!AR111-'Feeder Spreads'!AR131)^2/20)/19),"")</f>
        <v>0</v>
      </c>
      <c r="FJ111">
        <f>IFERROR('Fat Spreads'!AX111,"")</f>
        <v>0</v>
      </c>
      <c r="FK111">
        <f>IFERROR(('Fat Spreads'!AY111-AVERAGE('Fat Spreads'!$AY$3:$AY$4308))/STDEV('Fat Spreads'!$AY$3:$AY$4308),"")</f>
        <v>9.2057461789832332E-2</v>
      </c>
      <c r="FL111">
        <f>IFERROR('Fat Spreads'!AY111-'Fat Spreads'!AY116,"")</f>
        <v>0</v>
      </c>
      <c r="FM111">
        <f>IFERROR('Fat Spreads'!AY111-'Fat Spreads'!AY121,"")</f>
        <v>0</v>
      </c>
      <c r="FN111">
        <f>IFERROR(AVERAGE('Fat Spreads'!AY111:AY130)+2*STDEV('Fat Spreads'!AY111:AY130),"")</f>
        <v>0</v>
      </c>
      <c r="FO111">
        <f>IFERROR(AVERAGE('Fat Spreads'!AY111:AY130)-2*STDEV('Fat Spreads'!AY111:AY130),"")</f>
        <v>0</v>
      </c>
      <c r="FP111" t="str">
        <f>IFERROR(('Fat Spreads'!AY111-(AVERAGE('Fat Spreads'!AY111:AY130)-2*STDEV('Fat Spreads'!AY111:AY130)))/(4*STDEV('Fat Spreads'!AY111:AY130)),"")</f>
        <v/>
      </c>
      <c r="FQ111" t="str">
        <f>IFERROR(4*STDEV('Fat Spreads'!AY111:AY130)/AVERAGE('Fat Spreads'!AY111:AY130),"")</f>
        <v/>
      </c>
      <c r="FR111">
        <v>27.9862</v>
      </c>
      <c r="FS111">
        <f>IFERROR(SQRT((SUMSQ('Fat Spreads'!AY111:AY130)-2*SUMPRODUCT('Fat Spreads'!AY111:AY130,'Fat Spreads'!AY112:AY131)+SUMSQ('Fat Spreads'!AY112:AY131)-('Fat Spreads'!AY111-'Fat Spreads'!AY131)^2/20)/19),"")</f>
        <v>0</v>
      </c>
      <c r="FU111">
        <f>IFERROR('Fat Spreads'!BE111,"")</f>
        <v>0</v>
      </c>
      <c r="FV111">
        <f>IFERROR(('Fat Spreads'!BF111-AVERAGE('Fat Spreads'!$BF$3:$BF$4308))/STDEV('Fat Spreads'!$BF$3:$BF$4308),"")</f>
        <v>9.2057461789832332E-2</v>
      </c>
      <c r="FW111">
        <f>IFERROR('Fat Spreads'!BF111-'Fat Spreads'!BF116,"")</f>
        <v>0</v>
      </c>
      <c r="FX111">
        <f>IFERROR('Fat Spreads'!BF111-'Fat Spreads'!BF121,"")</f>
        <v>0</v>
      </c>
      <c r="FY111">
        <f>IFERROR(AVERAGE('Fat Spreads'!BF111:BF130)+2*STDEV('Fat Spreads'!BF111:BF130),"")</f>
        <v>0</v>
      </c>
      <c r="FZ111">
        <f>IFERROR(AVERAGE('Fat Spreads'!BF111:BF130)-2*STDEV('Fat Spreads'!BF111:BF130),"")</f>
        <v>0</v>
      </c>
      <c r="GA111" t="str">
        <f>IFERROR(('Fat Spreads'!BF111-(AVERAGE('Fat Spreads'!BF111:BF130)-2*STDEV('Fat Spreads'!BF111:BF130)))/(4*STDEV('Fat Spreads'!BF111:BF130)),"")</f>
        <v/>
      </c>
      <c r="GB111" t="str">
        <f>IFERROR(4*STDEV('Fat Spreads'!BF111:BF130)/AVERAGE('Fat Spreads'!BF111:BF130),"")</f>
        <v/>
      </c>
      <c r="GC111">
        <v>36.369900000000001</v>
      </c>
      <c r="GD111">
        <f>IFERROR(SQRT((SUMSQ('Fat Spreads'!BF111:BF130)-2*SUMPRODUCT('Fat Spreads'!BF111:BF130,'Fat Spreads'!BF112:BF131)+SUMSQ('Fat Spreads'!BF112:BF131)-('Fat Spreads'!BF111-'Fat Spreads'!BF131)^2/20)/19),"")</f>
        <v>0</v>
      </c>
    </row>
    <row r="112" spans="1:186" x14ac:dyDescent="0.25">
      <c r="A112">
        <f>IFERROR('Fat Spreads'!A112,"")</f>
        <v>0</v>
      </c>
      <c r="B112">
        <f>IFERROR(('Fat Spreads'!B112-AVERAGE('Fat Spreads'!$B$3:$B$4308))/STDEV('Fat Spreads'!$B$3:$B$4308),"")</f>
        <v>9.2057461789832346E-2</v>
      </c>
      <c r="C112">
        <f>IFERROR('Fat Spreads'!B112-'Fat Spreads'!B117,"")</f>
        <v>0</v>
      </c>
      <c r="D112">
        <f>IFERROR('Fat Spreads'!B112-'Fat Spreads'!B122,"")</f>
        <v>0</v>
      </c>
      <c r="E112">
        <f>IFERROR(AVERAGE('Fat Spreads'!B112:B131)+2*STDEV('Fat Spreads'!B112:B131),"")</f>
        <v>0</v>
      </c>
      <c r="F112">
        <f>IFERROR(AVERAGE('Fat Spreads'!B112:B131)-2*STDEV('Fat Spreads'!B112:B131),"")</f>
        <v>0</v>
      </c>
      <c r="G112" t="str">
        <f>IFERROR(('Fat Spreads'!B112-(AVERAGE('Fat Spreads'!B112:B131)-2*STDEV('Fat Spreads'!B112:B131)))/(4*STDEV('Fat Spreads'!B112:B131)),"")</f>
        <v/>
      </c>
      <c r="H112" t="str">
        <f>IFERROR(4*STDEV('Fat Spreads'!B112:B131)/AVERAGE('Fat Spreads'!B112:B131),"")</f>
        <v/>
      </c>
      <c r="I112">
        <v>26.868500000000001</v>
      </c>
      <c r="J112">
        <f>IFERROR(SQRT((SUMSQ('Fat Spreads'!B112:B131)-2*SUMPRODUCT('Fat Spreads'!B112:B131,'Fat Spreads'!B113:B132)+SUMSQ('Fat Spreads'!B113:B132)-('Fat Spreads'!B112-'Fat Spreads'!B132)^2/20)/19),"")</f>
        <v>0</v>
      </c>
      <c r="L112">
        <f>IFERROR('Fat Spreads'!H112,"")</f>
        <v>0</v>
      </c>
      <c r="M112">
        <f>IFERROR(('Fat Spreads'!I112-AVERAGE('Fat Spreads'!$I$3:$I$4308))/STDEV('Fat Spreads'!$I$3:$I$4308),"")</f>
        <v>-9.2057461789832332E-2</v>
      </c>
      <c r="N112">
        <f>IFERROR('Fat Spreads'!I112-'Fat Spreads'!I117,"")</f>
        <v>0</v>
      </c>
      <c r="O112">
        <f>IFERROR('Fat Spreads'!I112-'Fat Spreads'!I122,"")</f>
        <v>0</v>
      </c>
      <c r="P112">
        <f>IFERROR(AVERAGE('Fat Spreads'!I112:I131)+2*STDEV('Fat Spreads'!I112:I131),"")</f>
        <v>0</v>
      </c>
      <c r="Q112">
        <f>IFERROR(AVERAGE('Fat Spreads'!I112:I131)-2*STDEV('Fat Spreads'!I112:I131),"")</f>
        <v>0</v>
      </c>
      <c r="R112" t="str">
        <f>IFERROR(('Fat Spreads'!I112-(AVERAGE('Fat Spreads'!I112:I131)-2*STDEV('Fat Spreads'!I112:I131)))/(4*STDEV('Fat Spreads'!I112:I131)),"")</f>
        <v/>
      </c>
      <c r="S112" t="str">
        <f>IFERROR(4*STDEV('Fat Spreads'!I112:I131)/AVERAGE('Fat Spreads'!I112:I131),"")</f>
        <v/>
      </c>
      <c r="T112">
        <v>30.505400000000002</v>
      </c>
      <c r="U112">
        <f>IFERROR(SQRT((SUMSQ('Fat Spreads'!I112:I131)-2*SUMPRODUCT('Fat Spreads'!I112:I131,'Fat Spreads'!I113:I132)+SUMSQ('Fat Spreads'!I113:I132)-('Fat Spreads'!I112-'Fat Spreads'!I132)^2/20)/19),"")</f>
        <v>0</v>
      </c>
      <c r="W112">
        <f>IFERROR('Fat Spreads'!AQ112,"")</f>
        <v>0</v>
      </c>
      <c r="X112">
        <f>IFERROR(('Fat Spreads'!AR112-AVERAGE('Fat Spreads'!$AR$3:$AR$4308))/STDEV('Fat Spreads'!$AR$3:$AR$4308),"")</f>
        <v>-9.2057461789832346E-2</v>
      </c>
      <c r="Y112">
        <f>IFERROR('Fat Spreads'!AR112-'Fat Spreads'!AR117,"")</f>
        <v>0</v>
      </c>
      <c r="Z112">
        <f>IFERROR('Fat Spreads'!AR112-'Fat Spreads'!AR122,"")</f>
        <v>0</v>
      </c>
      <c r="AA112">
        <f>IFERROR(AVERAGE('Fat Spreads'!AR112:AR131)+2*STDEV('Fat Spreads'!AR112:AR131),"")</f>
        <v>0</v>
      </c>
      <c r="AB112">
        <f>IFERROR(AVERAGE('Fat Spreads'!AR112:AR131)-2*STDEV('Fat Spreads'!AR112:AR131),"")</f>
        <v>0</v>
      </c>
      <c r="AC112" t="str">
        <f>IFERROR(('Fat Spreads'!AR112-(AVERAGE('Fat Spreads'!AR112:AR131)-2*STDEV('Fat Spreads'!AR112:AR131)))/(4*STDEV('Fat Spreads'!AR112:AR131)),"")</f>
        <v/>
      </c>
      <c r="AD112" t="str">
        <f>IFERROR(4*STDEV('Fat Spreads'!AR112:AR131)/AVERAGE('Fat Spreads'!AR112:AR131),"")</f>
        <v/>
      </c>
      <c r="AE112">
        <v>70.0822</v>
      </c>
      <c r="AF112">
        <f>IFERROR(SQRT((SUMSQ('Fat Spreads'!AR112:AR131)-2*SUMPRODUCT('Fat Spreads'!AR112:AR131,'Fat Spreads'!AR113:AR132)+SUMSQ('Fat Spreads'!AR113:AR132)-('Fat Spreads'!AR112-'Fat Spreads'!AR132)^2/20)/19),"")</f>
        <v>0</v>
      </c>
      <c r="AH112">
        <f>IFERROR('Fat Spreads'!O112,"")</f>
        <v>0</v>
      </c>
      <c r="AI112">
        <f>IFERROR(('Fat Spreads'!P112-AVERAGE('Fat Spreads'!$P$3:$P$4308))/STDEV('Fat Spreads'!$P$3:$P$4308),"")</f>
        <v>-9.2057461789832332E-2</v>
      </c>
      <c r="AJ112">
        <f>IFERROR('Fat Spreads'!P112-'Fat Spreads'!P117,"")</f>
        <v>0</v>
      </c>
      <c r="AK112">
        <f>IFERROR('Fat Spreads'!P112-'Fat Spreads'!P122,"")</f>
        <v>0</v>
      </c>
      <c r="AL112">
        <f>IFERROR(AVERAGE('Fat Spreads'!P112:P131)+2*STDEV('Fat Spreads'!P112:P131),"")</f>
        <v>0</v>
      </c>
      <c r="AM112">
        <f>IFERROR(AVERAGE('Fat Spreads'!P112:P131)-2*STDEV('Fat Spreads'!P112:P131),"")</f>
        <v>0</v>
      </c>
      <c r="AN112" t="str">
        <f>IFERROR(('Fat Spreads'!P112-(AVERAGE('Fat Spreads'!P112:P131)-2*STDEV('Fat Spreads'!P112:P131)))/(4*STDEV('Fat Spreads'!P112:P131)),"")</f>
        <v/>
      </c>
      <c r="AO112" t="str">
        <f>IFERROR(4*STDEV('Fat Spreads'!P112:P131)/AVERAGE('Fat Spreads'!P112:P131),"")</f>
        <v/>
      </c>
      <c r="AP112">
        <v>58.687399999999997</v>
      </c>
      <c r="AQ112">
        <f>IFERROR(SQRT((SUMSQ('Fat Spreads'!P112:P131)-2*SUMPRODUCT('Fat Spreads'!P112:P131,'Fat Spreads'!P113:P132)+SUMSQ('Fat Spreads'!P113:P132)-('Fat Spreads'!P112-'Fat Spreads'!P132)^2/20)/19),"")</f>
        <v>0</v>
      </c>
      <c r="AS112">
        <f>IFERROR('Fat Spreads'!AJ112,"")</f>
        <v>0</v>
      </c>
      <c r="AT112">
        <f>IFERROR(('Fat Spreads'!AK112-AVERAGE('Fat Spreads'!$AK$3:$AK$4308))/STDEV('Fat Spreads'!$AK$3:$AK$4308),"")</f>
        <v>-9.2057461789832332E-2</v>
      </c>
      <c r="AU112">
        <f>IFERROR('Fat Spreads'!AK112-'Fat Spreads'!AK117,"")</f>
        <v>0</v>
      </c>
      <c r="AV112">
        <f>IFERROR('Fat Spreads'!AK112-'Fat Spreads'!AK122,"")</f>
        <v>0</v>
      </c>
      <c r="AW112">
        <f>IFERROR(AVERAGE('Fat Spreads'!AK112:AK131)+2*STDEV('Fat Spreads'!AK112:AK131),"")</f>
        <v>0</v>
      </c>
      <c r="AX112">
        <f>IFERROR(AVERAGE('Fat Spreads'!AK112:AK131)-2*STDEV('Fat Spreads'!AK112:AK131),"")</f>
        <v>0</v>
      </c>
      <c r="AY112" t="str">
        <f>IFERROR(('Fat Spreads'!AK112-(AVERAGE('Fat Spreads'!AK112:AK131)-2*STDEV('Fat Spreads'!AK112:AK131)))/(4*STDEV('Fat Spreads'!AK112:AK131)),"")</f>
        <v/>
      </c>
      <c r="AZ112" t="str">
        <f>IFERROR(4*STDEV('Fat Spreads'!AK112:AK131)/AVERAGE('Fat Spreads'!AK112:AK131),"")</f>
        <v/>
      </c>
      <c r="BA112">
        <v>33.054400000000001</v>
      </c>
      <c r="BB112">
        <f>IFERROR(SQRT((SUMSQ('Fat Spreads'!AK112:AK131)-2*SUMPRODUCT('Fat Spreads'!AK112:AK131,'Fat Spreads'!AK113:AK132)+SUMSQ('Fat Spreads'!AK113:AK132)-('Fat Spreads'!AK112-'Fat Spreads'!AK132)^2/20)/19),"")</f>
        <v>0</v>
      </c>
      <c r="BD112">
        <f>IFERROR('Fat Spreads'!V112,"")</f>
        <v>0</v>
      </c>
      <c r="BE112">
        <f>IFERROR(('Fat Spreads'!W112-AVERAGE('Fat Spreads'!$W$3:$W$4308))/STDEV('Fat Spreads'!$W$3:$W$4308),"")</f>
        <v>-9.2057461789832332E-2</v>
      </c>
      <c r="BF112">
        <f>IFERROR('Fat Spreads'!W112-'Fat Spreads'!W117,"")</f>
        <v>0</v>
      </c>
      <c r="BG112">
        <f>IFERROR('Fat Spreads'!W112-'Fat Spreads'!W122,"")</f>
        <v>0</v>
      </c>
      <c r="BH112">
        <f>IFERROR(AVERAGE('Fat Spreads'!W112:W131)+2*STDEV('Fat Spreads'!W112:W131),"")</f>
        <v>0</v>
      </c>
      <c r="BI112">
        <f>IFERROR(AVERAGE('Fat Spreads'!W112:W131)-2*STDEV('Fat Spreads'!W112:W131),"")</f>
        <v>0</v>
      </c>
      <c r="BJ112" t="str">
        <f>IFERROR(('Fat Spreads'!W112-(AVERAGE('Fat Spreads'!W112:W131)-2*STDEV('Fat Spreads'!W112:W131)))/(4*STDEV('Fat Spreads'!W112:W131)),"")</f>
        <v/>
      </c>
      <c r="BK112" t="str">
        <f>IFERROR(4*STDEV('Fat Spreads'!W112:W131)/AVERAGE('Fat Spreads'!W112:W131),"")</f>
        <v/>
      </c>
      <c r="BL112">
        <v>56.040599999999998</v>
      </c>
      <c r="BM112">
        <f>IFERROR(SQRT((SUMSQ('Fat Spreads'!W112:W131)-2*SUMPRODUCT('Fat Spreads'!W112:W131,'Fat Spreads'!W113:W132)+SUMSQ('Fat Spreads'!W113:W132)-('Fat Spreads'!W112-'Fat Spreads'!W132)^2/20)/19),"")</f>
        <v>0</v>
      </c>
      <c r="BO112">
        <f>IFERROR('Fat Spreads'!AC112,"")</f>
        <v>0</v>
      </c>
      <c r="BP112">
        <f>IFERROR(('Fat Spreads'!AD112-AVERAGE('Fat Spreads'!$AD$3:$AD$4308))/STDEV('Fat Spreads'!$AD$3:$AD$4308),"")</f>
        <v>-9.2057461789832332E-2</v>
      </c>
      <c r="BQ112">
        <f>IFERROR('Fat Spreads'!AD112-'Fat Spreads'!AD117,"")</f>
        <v>0</v>
      </c>
      <c r="BR112">
        <f>IFERROR('Fat Spreads'!AD112-'Fat Spreads'!AD122,"")</f>
        <v>0</v>
      </c>
      <c r="BS112">
        <f>IFERROR(AVERAGE('Fat Spreads'!AD112:AD131)+2*STDEV('Fat Spreads'!AD112:AD131),"")</f>
        <v>0</v>
      </c>
      <c r="BT112">
        <f>IFERROR(AVERAGE('Fat Spreads'!AD112:AD131)-2*STDEV('Fat Spreads'!AD112:AD131),"")</f>
        <v>0</v>
      </c>
      <c r="BU112" t="str">
        <f>IFERROR(('Fat Spreads'!AD112-(AVERAGE('Fat Spreads'!AD112:AD131)-2*STDEV('Fat Spreads'!AD112:AD131)))/(4*STDEV('Fat Spreads'!AD112:AD131)),"")</f>
        <v/>
      </c>
      <c r="BV112" t="str">
        <f>IFERROR(4*STDEV('Fat Spreads'!AD112:AD131)/AVERAGE('Fat Spreads'!AD112:AD131),"")</f>
        <v/>
      </c>
      <c r="BW112">
        <v>46.052599999999998</v>
      </c>
      <c r="BX112">
        <f>IFERROR(SQRT((SUMSQ('Fat Spreads'!AD112:AD131)-2*SUMPRODUCT('Fat Spreads'!AD112:AD131,'Fat Spreads'!AD113:AD132)+SUMSQ('Fat Spreads'!AD113:AD132)-('Fat Spreads'!AD112-'Fat Spreads'!AD132)^2/20)/19),"")</f>
        <v>0</v>
      </c>
      <c r="BZ112">
        <f>IFERROR('Feeder Spreads'!A112,"")</f>
        <v>0</v>
      </c>
      <c r="CA112">
        <f>IFERROR(('Feeder Spreads'!B112-AVERAGE('Feeder Spreads'!$B$3:$B$4308))/STDEV('Feeder Spreads'!$B$3:$B$4308),"")</f>
        <v>-9.2057461789832346E-2</v>
      </c>
      <c r="CB112">
        <f>IFERROR('Feeder Spreads'!B112-'Feeder Spreads'!B117,"")</f>
        <v>0</v>
      </c>
      <c r="CC112">
        <f>IFERROR('Feeder Spreads'!B112-'Feeder Spreads'!B122,"")</f>
        <v>0</v>
      </c>
      <c r="CD112">
        <f>IFERROR(AVERAGE('Feeder Spreads'!B112:B131)+2*STDEV('Feeder Spreads'!B112:B131),"")</f>
        <v>0</v>
      </c>
      <c r="CE112">
        <f>IFERROR(AVERAGE('Feeder Spreads'!B112:B131)-2*STDEV('Feeder Spreads'!B112:B131),"")</f>
        <v>0</v>
      </c>
      <c r="CF112" t="str">
        <f>IFERROR(('Feeder Spreads'!B112-(AVERAGE('Feeder Spreads'!B112:B131)-2*STDEV('Feeder Spreads'!B112:B131)))/(4*STDEV('Feeder Spreads'!B112:B131)),"")</f>
        <v/>
      </c>
      <c r="CG112" t="str">
        <f>IFERROR(4*STDEV('Feeder Spreads'!B112:B131)/AVERAGE('Feeder Spreads'!B112:B131),"")</f>
        <v/>
      </c>
      <c r="CH112">
        <v>53.246499999999997</v>
      </c>
      <c r="CI112">
        <f>IFERROR(SQRT((SUMSQ('Feeder Spreads'!B112:B131)-2*SUMPRODUCT('Feeder Spreads'!B112:B131,'Feeder Spreads'!B113:B132)+SUMSQ('Feeder Spreads'!B113:B132)-('Feeder Spreads'!B112-'Feeder Spreads'!B132)^2/20)/19),"")</f>
        <v>0</v>
      </c>
      <c r="CK112">
        <f>IFERROR('Feeder Spreads'!AX112,"")</f>
        <v>0</v>
      </c>
      <c r="CL112">
        <f>IFERROR(('Feeder Spreads'!AY112-AVERAGE('Feeder Spreads'!$AY$3:$AY$4308))/STDEV('Feeder Spreads'!$AY$3:$AY$4308),"")</f>
        <v>-9.2057461789832346E-2</v>
      </c>
      <c r="CM112">
        <f>IFERROR('Feeder Spreads'!AY112-'Feeder Spreads'!AY117,"")</f>
        <v>0</v>
      </c>
      <c r="CN112">
        <f>IFERROR('Feeder Spreads'!AY112-'Feeder Spreads'!AY122,"")</f>
        <v>0</v>
      </c>
      <c r="CO112">
        <f>IFERROR(AVERAGE('Feeder Spreads'!AY112:AY131)+2*STDEV('Feeder Spreads'!AY112:AY131),"")</f>
        <v>0</v>
      </c>
      <c r="CP112">
        <f>IFERROR(AVERAGE('Feeder Spreads'!AY112:AY131)-2*STDEV('Feeder Spreads'!AY112:AY131),"")</f>
        <v>0</v>
      </c>
      <c r="CQ112" t="str">
        <f>IFERROR(('Feeder Spreads'!AY112-(AVERAGE('Feeder Spreads'!AY112:AY131)-2*STDEV('Feeder Spreads'!AY112:AY131)))/(4*STDEV('Feeder Spreads'!AY112:AY131)),"")</f>
        <v/>
      </c>
      <c r="CR112" t="str">
        <f>IFERROR(4*STDEV('Feeder Spreads'!AY112:AY131)/AVERAGE('Feeder Spreads'!AY112:AY131),"")</f>
        <v/>
      </c>
      <c r="CS112">
        <v>30.501200000000001</v>
      </c>
      <c r="CT112">
        <f>IFERROR(SQRT((SUMSQ('Feeder Spreads'!AY112:AY131)-2*SUMPRODUCT('Feeder Spreads'!AY112:AY131,'Feeder Spreads'!AY113:AY132)+SUMSQ('Feeder Spreads'!AY113:AY132)-('Feeder Spreads'!AY112-'Feeder Spreads'!AY132)^2/20)/19),"")</f>
        <v>0</v>
      </c>
      <c r="CV112">
        <f>IFERROR('Feeder Spreads'!H112,"")</f>
        <v>0</v>
      </c>
      <c r="CW112">
        <f>IFERROR(('Feeder Spreads'!I112-AVERAGE('Feeder Spreads'!$I$3:$I$4308))/STDEV('Feeder Spreads'!$I$3:$I$4308),"")</f>
        <v>-9.2057461789832332E-2</v>
      </c>
      <c r="CX112">
        <f>IFERROR('Feeder Spreads'!I112-'Feeder Spreads'!I117,"")</f>
        <v>0</v>
      </c>
      <c r="CY112">
        <f>IFERROR('Feeder Spreads'!I112-'Feeder Spreads'!I122,"")</f>
        <v>0</v>
      </c>
      <c r="CZ112">
        <f>IFERROR(AVERAGE('Feeder Spreads'!I112:I131)+2*STDEV('Feeder Spreads'!I112:I131),"")</f>
        <v>0</v>
      </c>
      <c r="DA112">
        <f>IFERROR(AVERAGE('Feeder Spreads'!I112:I131)-2*STDEV('Feeder Spreads'!I112:I131),"")</f>
        <v>0</v>
      </c>
      <c r="DB112" t="str">
        <f>IFERROR(('Feeder Spreads'!I112-(AVERAGE('Feeder Spreads'!I112:I131)-2*STDEV('Feeder Spreads'!I112:I131)))/(4*STDEV('Feeder Spreads'!I112:I131)),"")</f>
        <v/>
      </c>
      <c r="DC112" t="str">
        <f>IFERROR(4*STDEV('Feeder Spreads'!I112:I131)/AVERAGE('Feeder Spreads'!I112:I131),"")</f>
        <v/>
      </c>
      <c r="DD112">
        <v>31.6098</v>
      </c>
      <c r="DE112">
        <f>IFERROR(SQRT((SUMSQ('Feeder Spreads'!I112:I131)-2*SUMPRODUCT('Feeder Spreads'!I112:I131,'Feeder Spreads'!I113:I132)+SUMSQ('Feeder Spreads'!I113:I132)-('Feeder Spreads'!I112-'Feeder Spreads'!I132)^2/20)/19),"")</f>
        <v>0</v>
      </c>
      <c r="DG112">
        <f>IFERROR('Feeder Spreads'!O112,"")</f>
        <v>0</v>
      </c>
      <c r="DH112">
        <f>IFERROR(('Feeder Spreads'!P112-AVERAGE('Feeder Spreads'!$P$3:$P$4308))/STDEV('Feeder Spreads'!$P$3:$P$4308),"")</f>
        <v>-9.2057461789832346E-2</v>
      </c>
      <c r="DI112">
        <f>IFERROR('Feeder Spreads'!P112-'Feeder Spreads'!P117,"")</f>
        <v>0</v>
      </c>
      <c r="DJ112">
        <f>IFERROR('Feeder Spreads'!P112-'Feeder Spreads'!P122,"")</f>
        <v>0</v>
      </c>
      <c r="DK112">
        <f>IFERROR(AVERAGE('Feeder Spreads'!P112:P131)+2*STDEV('Feeder Spreads'!P112:P131),"")</f>
        <v>0</v>
      </c>
      <c r="DL112">
        <f>IFERROR(AVERAGE('Feeder Spreads'!P112:P131)-2*STDEV('Feeder Spreads'!P112:P131),"")</f>
        <v>0</v>
      </c>
      <c r="DM112" t="str">
        <f>IFERROR(('Feeder Spreads'!P112-(AVERAGE('Feeder Spreads'!P112:P131)-2*STDEV('Feeder Spreads'!P112:P131)))/(4*STDEV('Feeder Spreads'!P112:P131)),"")</f>
        <v/>
      </c>
      <c r="DN112" t="str">
        <f>IFERROR(4*STDEV('Feeder Spreads'!P112:P131)/AVERAGE('Feeder Spreads'!P112:P131),"")</f>
        <v/>
      </c>
      <c r="DO112">
        <v>64.254599999999996</v>
      </c>
      <c r="DP112">
        <f>IFERROR(SQRT((SUMSQ('Feeder Spreads'!P112:P131)-2*SUMPRODUCT('Feeder Spreads'!P112:P131,'Feeder Spreads'!P113:P132)+SUMSQ('Feeder Spreads'!P113:P132)-('Feeder Spreads'!P112-'Feeder Spreads'!P132)^2/20)/19),"")</f>
        <v>0</v>
      </c>
      <c r="DR112">
        <f>IFERROR('Feeder Spreads'!V112,"")</f>
        <v>0</v>
      </c>
      <c r="DS112">
        <f>IFERROR(('Feeder Spreads'!W112-AVERAGE('Feeder Spreads'!$W$3:$W$4308))/STDEV('Feeder Spreads'!$W$3:$W$4308),"")</f>
        <v>-9.2057461789832332E-2</v>
      </c>
      <c r="DT112">
        <f>IFERROR('Feeder Spreads'!W112-'Feeder Spreads'!W117,"")</f>
        <v>0</v>
      </c>
      <c r="DU112">
        <f>IFERROR('Feeder Spreads'!W112-'Feeder Spreads'!W122,"")</f>
        <v>0</v>
      </c>
      <c r="DV112">
        <f>IFERROR(AVERAGE('Feeder Spreads'!W112:W131)+2*STDEV('Feeder Spreads'!W112:W131),"")</f>
        <v>0</v>
      </c>
      <c r="DW112">
        <f>IFERROR(AVERAGE('Feeder Spreads'!W112:W131)-2*STDEV('Feeder Spreads'!W112:W131),"")</f>
        <v>0</v>
      </c>
      <c r="DX112" t="str">
        <f>IFERROR(('Feeder Spreads'!W112-(AVERAGE('Feeder Spreads'!W112:W131)-2*STDEV('Feeder Spreads'!W112:W131)))/(4*STDEV('Feeder Spreads'!W112:W131)),"")</f>
        <v/>
      </c>
      <c r="DY112" t="str">
        <f>IFERROR(4*STDEV('Feeder Spreads'!W112:W131)/AVERAGE('Feeder Spreads'!W112:W131),"")</f>
        <v/>
      </c>
      <c r="DZ112">
        <v>48.946199999999997</v>
      </c>
      <c r="EA112">
        <f>IFERROR(SQRT((SUMSQ('Feeder Spreads'!W112:W131)-2*SUMPRODUCT('Feeder Spreads'!W112:W131,'Feeder Spreads'!W113:W132)+SUMSQ('Feeder Spreads'!W113:W132)-('Feeder Spreads'!W112-'Feeder Spreads'!W132)^2/20)/19),"")</f>
        <v>0</v>
      </c>
      <c r="EC112">
        <f>IFERROR('Feeder Spreads'!AC112,"")</f>
        <v>0</v>
      </c>
      <c r="ED112">
        <f>IFERROR(('Feeder Spreads'!AD112-AVERAGE('Feeder Spreads'!$AD$3:$AD$4308))/STDEV('Feeder Spreads'!$AD$3:$AD$4308),"")</f>
        <v>9.2057461789832318E-2</v>
      </c>
      <c r="EE112">
        <f>IFERROR('Feeder Spreads'!AD112-'Feeder Spreads'!AD117,"")</f>
        <v>0</v>
      </c>
      <c r="EF112">
        <f>IFERROR('Feeder Spreads'!AD112-'Feeder Spreads'!AD122,"")</f>
        <v>0</v>
      </c>
      <c r="EG112">
        <f>IFERROR(AVERAGE('Feeder Spreads'!AD112:AD131)+2*STDEV('Feeder Spreads'!AD112:AD131),"")</f>
        <v>0</v>
      </c>
      <c r="EH112">
        <f>IFERROR(AVERAGE('Feeder Spreads'!AD112:AD131)-2*STDEV('Feeder Spreads'!AD112:AD131),"")</f>
        <v>0</v>
      </c>
      <c r="EI112" t="str">
        <f>IFERROR(('Feeder Spreads'!AD112-(AVERAGE('Feeder Spreads'!AD112:AD131)-2*STDEV('Feeder Spreads'!AD112:AD131)))/(4*STDEV('Feeder Spreads'!AD112:AD131)),"")</f>
        <v/>
      </c>
      <c r="EJ112" t="str">
        <f>IFERROR(4*STDEV('Feeder Spreads'!AD112:AD131)/AVERAGE('Feeder Spreads'!AD112:AD131),"")</f>
        <v/>
      </c>
      <c r="EK112">
        <v>46.661900000000003</v>
      </c>
      <c r="EL112">
        <f>IFERROR(SQRT((SUMSQ('Feeder Spreads'!AD112:AD131)-2*SUMPRODUCT('Feeder Spreads'!AD112:AD131,'Feeder Spreads'!AD113:AD132)+SUMSQ('Feeder Spreads'!AD113:AD132)-('Feeder Spreads'!AD112-'Feeder Spreads'!AD132)^2/20)/19),"")</f>
        <v>0</v>
      </c>
      <c r="EN112">
        <f>IFERROR('Feeder Spreads'!AJ112,"")</f>
        <v>0</v>
      </c>
      <c r="EO112">
        <f>IFERROR(('Feeder Spreads'!AK112-AVERAGE('Feeder Spreads'!$AK$3:$AK$4308))/STDEV('Feeder Spreads'!$AK$3:$AK$4308),"")</f>
        <v>-9.2057461789832346E-2</v>
      </c>
      <c r="EP112">
        <f>IFERROR('Feeder Spreads'!AK112-'Feeder Spreads'!AK117,"")</f>
        <v>0</v>
      </c>
      <c r="EQ112">
        <f>IFERROR('Feeder Spreads'!AK112-'Feeder Spreads'!AK122,"")</f>
        <v>0</v>
      </c>
      <c r="ER112">
        <f>IFERROR(AVERAGE('Feeder Spreads'!AK112:AK131)+2*STDEV('Feeder Spreads'!AK112:AK131),"")</f>
        <v>0</v>
      </c>
      <c r="ES112">
        <f>IFERROR(AVERAGE('Feeder Spreads'!AK112:AK131)-2*STDEV('Feeder Spreads'!AK112:AK131),"")</f>
        <v>0</v>
      </c>
      <c r="ET112" t="str">
        <f>IFERROR(('Feeder Spreads'!AK112-(AVERAGE('Feeder Spreads'!AK112:AK131)-2*STDEV('Feeder Spreads'!AK112:AK131)))/(4*STDEV('Feeder Spreads'!AK112:AK131)),"")</f>
        <v/>
      </c>
      <c r="EU112" t="str">
        <f>IFERROR(4*STDEV('Feeder Spreads'!AK112:AK131)/AVERAGE('Feeder Spreads'!AK112:AK131),"")</f>
        <v/>
      </c>
      <c r="EV112">
        <v>58.079599999999999</v>
      </c>
      <c r="EW112">
        <f>IFERROR(SQRT((SUMSQ('Feeder Spreads'!AK112:AK131)-2*SUMPRODUCT('Feeder Spreads'!AK112:AK131,'Feeder Spreads'!AK113:AK132)+SUMSQ('Feeder Spreads'!AK113:AK132)-('Feeder Spreads'!AK112-'Feeder Spreads'!AK132)^2/20)/19),"")</f>
        <v>0</v>
      </c>
      <c r="EY112">
        <f>IFERROR('Feeder Spreads'!AQ112,"")</f>
        <v>0</v>
      </c>
      <c r="EZ112">
        <f>IFERROR(('Feeder Spreads'!AR112-AVERAGE('Feeder Spreads'!$AR$3:$AR$4308))/STDEV('Feeder Spreads'!$AR$3:$AR$4308),"")</f>
        <v>-9.2057461789832332E-2</v>
      </c>
      <c r="FA112">
        <f>IFERROR('Feeder Spreads'!AR112-'Feeder Spreads'!AR117,"")</f>
        <v>0</v>
      </c>
      <c r="FB112">
        <f>IFERROR('Feeder Spreads'!AR112-'Feeder Spreads'!AR122,"")</f>
        <v>0</v>
      </c>
      <c r="FC112">
        <f>IFERROR(AVERAGE('Feeder Spreads'!AR112:AR131)+2*STDEV('Feeder Spreads'!AR112:AR131),"")</f>
        <v>0</v>
      </c>
      <c r="FD112">
        <f>IFERROR(AVERAGE('Feeder Spreads'!AR112:AR131)-2*STDEV('Feeder Spreads'!AR112:AR131),"")</f>
        <v>0</v>
      </c>
      <c r="FE112" t="str">
        <f>IFERROR(('Feeder Spreads'!AR112-(AVERAGE('Feeder Spreads'!AR112:AR131)-2*STDEV('Feeder Spreads'!AR112:AR131)))/(4*STDEV('Feeder Spreads'!AR112:AR131)),"")</f>
        <v/>
      </c>
      <c r="FF112" t="str">
        <f>IFERROR(4*STDEV('Feeder Spreads'!AR112:AR131)/AVERAGE('Feeder Spreads'!AR112:AR131),"")</f>
        <v/>
      </c>
      <c r="FG112">
        <v>61.992400000000004</v>
      </c>
      <c r="FH112">
        <f>IFERROR(SQRT((SUMSQ('Feeder Spreads'!AR112:AR131)-2*SUMPRODUCT('Feeder Spreads'!AR112:AR131,'Feeder Spreads'!AR113:AR132)+SUMSQ('Feeder Spreads'!AR113:AR132)-('Feeder Spreads'!AR112-'Feeder Spreads'!AR132)^2/20)/19),"")</f>
        <v>0</v>
      </c>
      <c r="FJ112">
        <f>IFERROR('Fat Spreads'!AX112,"")</f>
        <v>0</v>
      </c>
      <c r="FK112">
        <f>IFERROR(('Fat Spreads'!AY112-AVERAGE('Fat Spreads'!$AY$3:$AY$4308))/STDEV('Fat Spreads'!$AY$3:$AY$4308),"")</f>
        <v>9.2057461789832332E-2</v>
      </c>
      <c r="FL112">
        <f>IFERROR('Fat Spreads'!AY112-'Fat Spreads'!AY117,"")</f>
        <v>0</v>
      </c>
      <c r="FM112">
        <f>IFERROR('Fat Spreads'!AY112-'Fat Spreads'!AY122,"")</f>
        <v>0</v>
      </c>
      <c r="FN112">
        <f>IFERROR(AVERAGE('Fat Spreads'!AY112:AY131)+2*STDEV('Fat Spreads'!AY112:AY131),"")</f>
        <v>0</v>
      </c>
      <c r="FO112">
        <f>IFERROR(AVERAGE('Fat Spreads'!AY112:AY131)-2*STDEV('Fat Spreads'!AY112:AY131),"")</f>
        <v>0</v>
      </c>
      <c r="FP112" t="str">
        <f>IFERROR(('Fat Spreads'!AY112-(AVERAGE('Fat Spreads'!AY112:AY131)-2*STDEV('Fat Spreads'!AY112:AY131)))/(4*STDEV('Fat Spreads'!AY112:AY131)),"")</f>
        <v/>
      </c>
      <c r="FQ112" t="str">
        <f>IFERROR(4*STDEV('Fat Spreads'!AY112:AY131)/AVERAGE('Fat Spreads'!AY112:AY131),"")</f>
        <v/>
      </c>
      <c r="FR112">
        <v>27.671099999999999</v>
      </c>
      <c r="FS112">
        <f>IFERROR(SQRT((SUMSQ('Fat Spreads'!AY112:AY131)-2*SUMPRODUCT('Fat Spreads'!AY112:AY131,'Fat Spreads'!AY113:AY132)+SUMSQ('Fat Spreads'!AY113:AY132)-('Fat Spreads'!AY112-'Fat Spreads'!AY132)^2/20)/19),"")</f>
        <v>0</v>
      </c>
      <c r="FU112">
        <f>IFERROR('Fat Spreads'!BE112,"")</f>
        <v>0</v>
      </c>
      <c r="FV112">
        <f>IFERROR(('Fat Spreads'!BF112-AVERAGE('Fat Spreads'!$BF$3:$BF$4308))/STDEV('Fat Spreads'!$BF$3:$BF$4308),"")</f>
        <v>9.2057461789832332E-2</v>
      </c>
      <c r="FW112">
        <f>IFERROR('Fat Spreads'!BF112-'Fat Spreads'!BF117,"")</f>
        <v>0</v>
      </c>
      <c r="FX112">
        <f>IFERROR('Fat Spreads'!BF112-'Fat Spreads'!BF122,"")</f>
        <v>0</v>
      </c>
      <c r="FY112">
        <f>IFERROR(AVERAGE('Fat Spreads'!BF112:BF131)+2*STDEV('Fat Spreads'!BF112:BF131),"")</f>
        <v>0</v>
      </c>
      <c r="FZ112">
        <f>IFERROR(AVERAGE('Fat Spreads'!BF112:BF131)-2*STDEV('Fat Spreads'!BF112:BF131),"")</f>
        <v>0</v>
      </c>
      <c r="GA112" t="str">
        <f>IFERROR(('Fat Spreads'!BF112-(AVERAGE('Fat Spreads'!BF112:BF131)-2*STDEV('Fat Spreads'!BF112:BF131)))/(4*STDEV('Fat Spreads'!BF112:BF131)),"")</f>
        <v/>
      </c>
      <c r="GB112" t="str">
        <f>IFERROR(4*STDEV('Fat Spreads'!BF112:BF131)/AVERAGE('Fat Spreads'!BF112:BF131),"")</f>
        <v/>
      </c>
      <c r="GC112">
        <v>27.692699999999999</v>
      </c>
      <c r="GD112">
        <f>IFERROR(SQRT((SUMSQ('Fat Spreads'!BF112:BF131)-2*SUMPRODUCT('Fat Spreads'!BF112:BF131,'Fat Spreads'!BF113:BF132)+SUMSQ('Fat Spreads'!BF113:BF132)-('Fat Spreads'!BF112-'Fat Spreads'!BF132)^2/20)/19),"")</f>
        <v>0</v>
      </c>
    </row>
    <row r="113" spans="1:186" x14ac:dyDescent="0.25">
      <c r="A113">
        <f>IFERROR('Fat Spreads'!A113,"")</f>
        <v>0</v>
      </c>
      <c r="B113">
        <f>IFERROR(('Fat Spreads'!B113-AVERAGE('Fat Spreads'!$B$3:$B$4308))/STDEV('Fat Spreads'!$B$3:$B$4308),"")</f>
        <v>9.2057461789832346E-2</v>
      </c>
      <c r="C113">
        <f>IFERROR('Fat Spreads'!B113-'Fat Spreads'!B118,"")</f>
        <v>0</v>
      </c>
      <c r="D113">
        <f>IFERROR('Fat Spreads'!B113-'Fat Spreads'!B123,"")</f>
        <v>0</v>
      </c>
      <c r="E113">
        <f>IFERROR(AVERAGE('Fat Spreads'!B113:B132)+2*STDEV('Fat Spreads'!B113:B132),"")</f>
        <v>0</v>
      </c>
      <c r="F113">
        <f>IFERROR(AVERAGE('Fat Spreads'!B113:B132)-2*STDEV('Fat Spreads'!B113:B132),"")</f>
        <v>0</v>
      </c>
      <c r="G113" t="str">
        <f>IFERROR(('Fat Spreads'!B113-(AVERAGE('Fat Spreads'!B113:B132)-2*STDEV('Fat Spreads'!B113:B132)))/(4*STDEV('Fat Spreads'!B113:B132)),"")</f>
        <v/>
      </c>
      <c r="H113" t="str">
        <f>IFERROR(4*STDEV('Fat Spreads'!B113:B132)/AVERAGE('Fat Spreads'!B113:B132),"")</f>
        <v/>
      </c>
      <c r="I113">
        <v>38.199199999999998</v>
      </c>
      <c r="J113">
        <f>IFERROR(SQRT((SUMSQ('Fat Spreads'!B113:B132)-2*SUMPRODUCT('Fat Spreads'!B113:B132,'Fat Spreads'!B114:B133)+SUMSQ('Fat Spreads'!B114:B133)-('Fat Spreads'!B113-'Fat Spreads'!B133)^2/20)/19),"")</f>
        <v>0</v>
      </c>
      <c r="L113">
        <f>IFERROR('Fat Spreads'!H113,"")</f>
        <v>0</v>
      </c>
      <c r="M113">
        <f>IFERROR(('Fat Spreads'!I113-AVERAGE('Fat Spreads'!$I$3:$I$4308))/STDEV('Fat Spreads'!$I$3:$I$4308),"")</f>
        <v>-9.2057461789832332E-2</v>
      </c>
      <c r="N113">
        <f>IFERROR('Fat Spreads'!I113-'Fat Spreads'!I118,"")</f>
        <v>0</v>
      </c>
      <c r="O113">
        <f>IFERROR('Fat Spreads'!I113-'Fat Spreads'!I123,"")</f>
        <v>0</v>
      </c>
      <c r="P113">
        <f>IFERROR(AVERAGE('Fat Spreads'!I113:I132)+2*STDEV('Fat Spreads'!I113:I132),"")</f>
        <v>0</v>
      </c>
      <c r="Q113">
        <f>IFERROR(AVERAGE('Fat Spreads'!I113:I132)-2*STDEV('Fat Spreads'!I113:I132),"")</f>
        <v>0</v>
      </c>
      <c r="R113" t="str">
        <f>IFERROR(('Fat Spreads'!I113-(AVERAGE('Fat Spreads'!I113:I132)-2*STDEV('Fat Spreads'!I113:I132)))/(4*STDEV('Fat Spreads'!I113:I132)),"")</f>
        <v/>
      </c>
      <c r="S113" t="str">
        <f>IFERROR(4*STDEV('Fat Spreads'!I113:I132)/AVERAGE('Fat Spreads'!I113:I132),"")</f>
        <v/>
      </c>
      <c r="T113">
        <v>41.987299999999998</v>
      </c>
      <c r="U113">
        <f>IFERROR(SQRT((SUMSQ('Fat Spreads'!I113:I132)-2*SUMPRODUCT('Fat Spreads'!I113:I132,'Fat Spreads'!I114:I133)+SUMSQ('Fat Spreads'!I114:I133)-('Fat Spreads'!I113-'Fat Spreads'!I133)^2/20)/19),"")</f>
        <v>0</v>
      </c>
      <c r="W113">
        <f>IFERROR('Fat Spreads'!AQ113,"")</f>
        <v>0</v>
      </c>
      <c r="X113">
        <f>IFERROR(('Fat Spreads'!AR113-AVERAGE('Fat Spreads'!$AR$3:$AR$4308))/STDEV('Fat Spreads'!$AR$3:$AR$4308),"")</f>
        <v>-9.2057461789832346E-2</v>
      </c>
      <c r="Y113">
        <f>IFERROR('Fat Spreads'!AR113-'Fat Spreads'!AR118,"")</f>
        <v>0</v>
      </c>
      <c r="Z113">
        <f>IFERROR('Fat Spreads'!AR113-'Fat Spreads'!AR123,"")</f>
        <v>0</v>
      </c>
      <c r="AA113">
        <f>IFERROR(AVERAGE('Fat Spreads'!AR113:AR132)+2*STDEV('Fat Spreads'!AR113:AR132),"")</f>
        <v>0</v>
      </c>
      <c r="AB113">
        <f>IFERROR(AVERAGE('Fat Spreads'!AR113:AR132)-2*STDEV('Fat Spreads'!AR113:AR132),"")</f>
        <v>0</v>
      </c>
      <c r="AC113" t="str">
        <f>IFERROR(('Fat Spreads'!AR113-(AVERAGE('Fat Spreads'!AR113:AR132)-2*STDEV('Fat Spreads'!AR113:AR132)))/(4*STDEV('Fat Spreads'!AR113:AR132)),"")</f>
        <v/>
      </c>
      <c r="AD113" t="str">
        <f>IFERROR(4*STDEV('Fat Spreads'!AR113:AR132)/AVERAGE('Fat Spreads'!AR113:AR132),"")</f>
        <v/>
      </c>
      <c r="AE113">
        <v>60.107199999999999</v>
      </c>
      <c r="AF113">
        <f>IFERROR(SQRT((SUMSQ('Fat Spreads'!AR113:AR132)-2*SUMPRODUCT('Fat Spreads'!AR113:AR132,'Fat Spreads'!AR114:AR133)+SUMSQ('Fat Spreads'!AR114:AR133)-('Fat Spreads'!AR113-'Fat Spreads'!AR133)^2/20)/19),"")</f>
        <v>0</v>
      </c>
      <c r="AH113">
        <f>IFERROR('Fat Spreads'!O113,"")</f>
        <v>0</v>
      </c>
      <c r="AI113">
        <f>IFERROR(('Fat Spreads'!P113-AVERAGE('Fat Spreads'!$P$3:$P$4308))/STDEV('Fat Spreads'!$P$3:$P$4308),"")</f>
        <v>-9.2057461789832332E-2</v>
      </c>
      <c r="AJ113">
        <f>IFERROR('Fat Spreads'!P113-'Fat Spreads'!P118,"")</f>
        <v>0</v>
      </c>
      <c r="AK113">
        <f>IFERROR('Fat Spreads'!P113-'Fat Spreads'!P123,"")</f>
        <v>0</v>
      </c>
      <c r="AL113">
        <f>IFERROR(AVERAGE('Fat Spreads'!P113:P132)+2*STDEV('Fat Spreads'!P113:P132),"")</f>
        <v>0</v>
      </c>
      <c r="AM113">
        <f>IFERROR(AVERAGE('Fat Spreads'!P113:P132)-2*STDEV('Fat Spreads'!P113:P132),"")</f>
        <v>0</v>
      </c>
      <c r="AN113" t="str">
        <f>IFERROR(('Fat Spreads'!P113-(AVERAGE('Fat Spreads'!P113:P132)-2*STDEV('Fat Spreads'!P113:P132)))/(4*STDEV('Fat Spreads'!P113:P132)),"")</f>
        <v/>
      </c>
      <c r="AO113" t="str">
        <f>IFERROR(4*STDEV('Fat Spreads'!P113:P132)/AVERAGE('Fat Spreads'!P113:P132),"")</f>
        <v/>
      </c>
      <c r="AP113">
        <v>60.551699999999997</v>
      </c>
      <c r="AQ113">
        <f>IFERROR(SQRT((SUMSQ('Fat Spreads'!P113:P132)-2*SUMPRODUCT('Fat Spreads'!P113:P132,'Fat Spreads'!P114:P133)+SUMSQ('Fat Spreads'!P114:P133)-('Fat Spreads'!P113-'Fat Spreads'!P133)^2/20)/19),"")</f>
        <v>0</v>
      </c>
      <c r="AS113">
        <f>IFERROR('Fat Spreads'!AJ113,"")</f>
        <v>0</v>
      </c>
      <c r="AT113">
        <f>IFERROR(('Fat Spreads'!AK113-AVERAGE('Fat Spreads'!$AK$3:$AK$4308))/STDEV('Fat Spreads'!$AK$3:$AK$4308),"")</f>
        <v>-9.2057461789832332E-2</v>
      </c>
      <c r="AU113">
        <f>IFERROR('Fat Spreads'!AK113-'Fat Spreads'!AK118,"")</f>
        <v>0</v>
      </c>
      <c r="AV113">
        <f>IFERROR('Fat Spreads'!AK113-'Fat Spreads'!AK123,"")</f>
        <v>0</v>
      </c>
      <c r="AW113">
        <f>IFERROR(AVERAGE('Fat Spreads'!AK113:AK132)+2*STDEV('Fat Spreads'!AK113:AK132),"")</f>
        <v>0</v>
      </c>
      <c r="AX113">
        <f>IFERROR(AVERAGE('Fat Spreads'!AK113:AK132)-2*STDEV('Fat Spreads'!AK113:AK132),"")</f>
        <v>0</v>
      </c>
      <c r="AY113" t="str">
        <f>IFERROR(('Fat Spreads'!AK113-(AVERAGE('Fat Spreads'!AK113:AK132)-2*STDEV('Fat Spreads'!AK113:AK132)))/(4*STDEV('Fat Spreads'!AK113:AK132)),"")</f>
        <v/>
      </c>
      <c r="AZ113" t="str">
        <f>IFERROR(4*STDEV('Fat Spreads'!AK113:AK132)/AVERAGE('Fat Spreads'!AK113:AK132),"")</f>
        <v/>
      </c>
      <c r="BA113">
        <v>43.584299999999999</v>
      </c>
      <c r="BB113">
        <f>IFERROR(SQRT((SUMSQ('Fat Spreads'!AK113:AK132)-2*SUMPRODUCT('Fat Spreads'!AK113:AK132,'Fat Spreads'!AK114:AK133)+SUMSQ('Fat Spreads'!AK114:AK133)-('Fat Spreads'!AK113-'Fat Spreads'!AK133)^2/20)/19),"")</f>
        <v>0</v>
      </c>
      <c r="BD113">
        <f>IFERROR('Fat Spreads'!V113,"")</f>
        <v>0</v>
      </c>
      <c r="BE113">
        <f>IFERROR(('Fat Spreads'!W113-AVERAGE('Fat Spreads'!$W$3:$W$4308))/STDEV('Fat Spreads'!$W$3:$W$4308),"")</f>
        <v>-9.2057461789832332E-2</v>
      </c>
      <c r="BF113">
        <f>IFERROR('Fat Spreads'!W113-'Fat Spreads'!W118,"")</f>
        <v>0</v>
      </c>
      <c r="BG113">
        <f>IFERROR('Fat Spreads'!W113-'Fat Spreads'!W123,"")</f>
        <v>0</v>
      </c>
      <c r="BH113">
        <f>IFERROR(AVERAGE('Fat Spreads'!W113:W132)+2*STDEV('Fat Spreads'!W113:W132),"")</f>
        <v>0</v>
      </c>
      <c r="BI113">
        <f>IFERROR(AVERAGE('Fat Spreads'!W113:W132)-2*STDEV('Fat Spreads'!W113:W132),"")</f>
        <v>0</v>
      </c>
      <c r="BJ113" t="str">
        <f>IFERROR(('Fat Spreads'!W113-(AVERAGE('Fat Spreads'!W113:W132)-2*STDEV('Fat Spreads'!W113:W132)))/(4*STDEV('Fat Spreads'!W113:W132)),"")</f>
        <v/>
      </c>
      <c r="BK113" t="str">
        <f>IFERROR(4*STDEV('Fat Spreads'!W113:W132)/AVERAGE('Fat Spreads'!W113:W132),"")</f>
        <v/>
      </c>
      <c r="BL113">
        <v>46.622500000000002</v>
      </c>
      <c r="BM113">
        <f>IFERROR(SQRT((SUMSQ('Fat Spreads'!W113:W132)-2*SUMPRODUCT('Fat Spreads'!W113:W132,'Fat Spreads'!W114:W133)+SUMSQ('Fat Spreads'!W114:W133)-('Fat Spreads'!W113-'Fat Spreads'!W133)^2/20)/19),"")</f>
        <v>0</v>
      </c>
      <c r="BO113">
        <f>IFERROR('Fat Spreads'!AC113,"")</f>
        <v>0</v>
      </c>
      <c r="BP113">
        <f>IFERROR(('Fat Spreads'!AD113-AVERAGE('Fat Spreads'!$AD$3:$AD$4308))/STDEV('Fat Spreads'!$AD$3:$AD$4308),"")</f>
        <v>-9.2057461789832332E-2</v>
      </c>
      <c r="BQ113">
        <f>IFERROR('Fat Spreads'!AD113-'Fat Spreads'!AD118,"")</f>
        <v>0</v>
      </c>
      <c r="BR113">
        <f>IFERROR('Fat Spreads'!AD113-'Fat Spreads'!AD123,"")</f>
        <v>0</v>
      </c>
      <c r="BS113">
        <f>IFERROR(AVERAGE('Fat Spreads'!AD113:AD132)+2*STDEV('Fat Spreads'!AD113:AD132),"")</f>
        <v>0</v>
      </c>
      <c r="BT113">
        <f>IFERROR(AVERAGE('Fat Spreads'!AD113:AD132)-2*STDEV('Fat Spreads'!AD113:AD132),"")</f>
        <v>0</v>
      </c>
      <c r="BU113" t="str">
        <f>IFERROR(('Fat Spreads'!AD113-(AVERAGE('Fat Spreads'!AD113:AD132)-2*STDEV('Fat Spreads'!AD113:AD132)))/(4*STDEV('Fat Spreads'!AD113:AD132)),"")</f>
        <v/>
      </c>
      <c r="BV113" t="str">
        <f>IFERROR(4*STDEV('Fat Spreads'!AD113:AD132)/AVERAGE('Fat Spreads'!AD113:AD132),"")</f>
        <v/>
      </c>
      <c r="BW113">
        <v>46.052599999999998</v>
      </c>
      <c r="BX113">
        <f>IFERROR(SQRT((SUMSQ('Fat Spreads'!AD113:AD132)-2*SUMPRODUCT('Fat Spreads'!AD113:AD132,'Fat Spreads'!AD114:AD133)+SUMSQ('Fat Spreads'!AD114:AD133)-('Fat Spreads'!AD113-'Fat Spreads'!AD133)^2/20)/19),"")</f>
        <v>0</v>
      </c>
      <c r="BZ113">
        <f>IFERROR('Feeder Spreads'!A113,"")</f>
        <v>0</v>
      </c>
      <c r="CA113">
        <f>IFERROR(('Feeder Spreads'!B113-AVERAGE('Feeder Spreads'!$B$3:$B$4308))/STDEV('Feeder Spreads'!$B$3:$B$4308),"")</f>
        <v>-9.2057461789832346E-2</v>
      </c>
      <c r="CB113">
        <f>IFERROR('Feeder Spreads'!B113-'Feeder Spreads'!B118,"")</f>
        <v>0</v>
      </c>
      <c r="CC113">
        <f>IFERROR('Feeder Spreads'!B113-'Feeder Spreads'!B123,"")</f>
        <v>0</v>
      </c>
      <c r="CD113">
        <f>IFERROR(AVERAGE('Feeder Spreads'!B113:B132)+2*STDEV('Feeder Spreads'!B113:B132),"")</f>
        <v>0</v>
      </c>
      <c r="CE113">
        <f>IFERROR(AVERAGE('Feeder Spreads'!B113:B132)-2*STDEV('Feeder Spreads'!B113:B132),"")</f>
        <v>0</v>
      </c>
      <c r="CF113" t="str">
        <f>IFERROR(('Feeder Spreads'!B113-(AVERAGE('Feeder Spreads'!B113:B132)-2*STDEV('Feeder Spreads'!B113:B132)))/(4*STDEV('Feeder Spreads'!B113:B132)),"")</f>
        <v/>
      </c>
      <c r="CG113" t="str">
        <f>IFERROR(4*STDEV('Feeder Spreads'!B113:B132)/AVERAGE('Feeder Spreads'!B113:B132),"")</f>
        <v/>
      </c>
      <c r="CH113">
        <v>46.0306</v>
      </c>
      <c r="CI113">
        <f>IFERROR(SQRT((SUMSQ('Feeder Spreads'!B113:B132)-2*SUMPRODUCT('Feeder Spreads'!B113:B132,'Feeder Spreads'!B114:B133)+SUMSQ('Feeder Spreads'!B114:B133)-('Feeder Spreads'!B113-'Feeder Spreads'!B133)^2/20)/19),"")</f>
        <v>0</v>
      </c>
      <c r="CK113">
        <f>IFERROR('Feeder Spreads'!AX113,"")</f>
        <v>0</v>
      </c>
      <c r="CL113">
        <f>IFERROR(('Feeder Spreads'!AY113-AVERAGE('Feeder Spreads'!$AY$3:$AY$4308))/STDEV('Feeder Spreads'!$AY$3:$AY$4308),"")</f>
        <v>-9.2057461789832346E-2</v>
      </c>
      <c r="CM113">
        <f>IFERROR('Feeder Spreads'!AY113-'Feeder Spreads'!AY118,"")</f>
        <v>0</v>
      </c>
      <c r="CN113">
        <f>IFERROR('Feeder Spreads'!AY113-'Feeder Spreads'!AY123,"")</f>
        <v>0</v>
      </c>
      <c r="CO113">
        <f>IFERROR(AVERAGE('Feeder Spreads'!AY113:AY132)+2*STDEV('Feeder Spreads'!AY113:AY132),"")</f>
        <v>0</v>
      </c>
      <c r="CP113">
        <f>IFERROR(AVERAGE('Feeder Spreads'!AY113:AY132)-2*STDEV('Feeder Spreads'!AY113:AY132),"")</f>
        <v>0</v>
      </c>
      <c r="CQ113" t="str">
        <f>IFERROR(('Feeder Spreads'!AY113-(AVERAGE('Feeder Spreads'!AY113:AY132)-2*STDEV('Feeder Spreads'!AY113:AY132)))/(4*STDEV('Feeder Spreads'!AY113:AY132)),"")</f>
        <v/>
      </c>
      <c r="CR113" t="str">
        <f>IFERROR(4*STDEV('Feeder Spreads'!AY113:AY132)/AVERAGE('Feeder Spreads'!AY113:AY132),"")</f>
        <v/>
      </c>
      <c r="CS113">
        <v>27.936499999999999</v>
      </c>
      <c r="CT113">
        <f>IFERROR(SQRT((SUMSQ('Feeder Spreads'!AY113:AY132)-2*SUMPRODUCT('Feeder Spreads'!AY113:AY132,'Feeder Spreads'!AY114:AY133)+SUMSQ('Feeder Spreads'!AY114:AY133)-('Feeder Spreads'!AY113-'Feeder Spreads'!AY133)^2/20)/19),"")</f>
        <v>0</v>
      </c>
      <c r="CV113">
        <f>IFERROR('Feeder Spreads'!H113,"")</f>
        <v>0</v>
      </c>
      <c r="CW113">
        <f>IFERROR(('Feeder Spreads'!I113-AVERAGE('Feeder Spreads'!$I$3:$I$4308))/STDEV('Feeder Spreads'!$I$3:$I$4308),"")</f>
        <v>-9.2057461789832332E-2</v>
      </c>
      <c r="CX113">
        <f>IFERROR('Feeder Spreads'!I113-'Feeder Spreads'!I118,"")</f>
        <v>0</v>
      </c>
      <c r="CY113">
        <f>IFERROR('Feeder Spreads'!I113-'Feeder Spreads'!I123,"")</f>
        <v>0</v>
      </c>
      <c r="CZ113">
        <f>IFERROR(AVERAGE('Feeder Spreads'!I113:I132)+2*STDEV('Feeder Spreads'!I113:I132),"")</f>
        <v>0</v>
      </c>
      <c r="DA113">
        <f>IFERROR(AVERAGE('Feeder Spreads'!I113:I132)-2*STDEV('Feeder Spreads'!I113:I132),"")</f>
        <v>0</v>
      </c>
      <c r="DB113" t="str">
        <f>IFERROR(('Feeder Spreads'!I113-(AVERAGE('Feeder Spreads'!I113:I132)-2*STDEV('Feeder Spreads'!I113:I132)))/(4*STDEV('Feeder Spreads'!I113:I132)),"")</f>
        <v/>
      </c>
      <c r="DC113" t="str">
        <f>IFERROR(4*STDEV('Feeder Spreads'!I113:I132)/AVERAGE('Feeder Spreads'!I113:I132),"")</f>
        <v/>
      </c>
      <c r="DD113">
        <v>37.943600000000004</v>
      </c>
      <c r="DE113">
        <f>IFERROR(SQRT((SUMSQ('Feeder Spreads'!I113:I132)-2*SUMPRODUCT('Feeder Spreads'!I113:I132,'Feeder Spreads'!I114:I133)+SUMSQ('Feeder Spreads'!I114:I133)-('Feeder Spreads'!I113-'Feeder Spreads'!I133)^2/20)/19),"")</f>
        <v>0</v>
      </c>
      <c r="DG113">
        <f>IFERROR('Feeder Spreads'!O113,"")</f>
        <v>0</v>
      </c>
      <c r="DH113">
        <f>IFERROR(('Feeder Spreads'!P113-AVERAGE('Feeder Spreads'!$P$3:$P$4308))/STDEV('Feeder Spreads'!$P$3:$P$4308),"")</f>
        <v>-9.2057461789832346E-2</v>
      </c>
      <c r="DI113">
        <f>IFERROR('Feeder Spreads'!P113-'Feeder Spreads'!P118,"")</f>
        <v>0</v>
      </c>
      <c r="DJ113">
        <f>IFERROR('Feeder Spreads'!P113-'Feeder Spreads'!P123,"")</f>
        <v>0</v>
      </c>
      <c r="DK113">
        <f>IFERROR(AVERAGE('Feeder Spreads'!P113:P132)+2*STDEV('Feeder Spreads'!P113:P132),"")</f>
        <v>0</v>
      </c>
      <c r="DL113">
        <f>IFERROR(AVERAGE('Feeder Spreads'!P113:P132)-2*STDEV('Feeder Spreads'!P113:P132),"")</f>
        <v>0</v>
      </c>
      <c r="DM113" t="str">
        <f>IFERROR(('Feeder Spreads'!P113-(AVERAGE('Feeder Spreads'!P113:P132)-2*STDEV('Feeder Spreads'!P113:P132)))/(4*STDEV('Feeder Spreads'!P113:P132)),"")</f>
        <v/>
      </c>
      <c r="DN113" t="str">
        <f>IFERROR(4*STDEV('Feeder Spreads'!P113:P132)/AVERAGE('Feeder Spreads'!P113:P132),"")</f>
        <v/>
      </c>
      <c r="DO113">
        <v>64.277799999999999</v>
      </c>
      <c r="DP113">
        <f>IFERROR(SQRT((SUMSQ('Feeder Spreads'!P113:P132)-2*SUMPRODUCT('Feeder Spreads'!P113:P132,'Feeder Spreads'!P114:P133)+SUMSQ('Feeder Spreads'!P114:P133)-('Feeder Spreads'!P113-'Feeder Spreads'!P133)^2/20)/19),"")</f>
        <v>0</v>
      </c>
      <c r="DR113">
        <f>IFERROR('Feeder Spreads'!V113,"")</f>
        <v>0</v>
      </c>
      <c r="DS113">
        <f>IFERROR(('Feeder Spreads'!W113-AVERAGE('Feeder Spreads'!$W$3:$W$4308))/STDEV('Feeder Spreads'!$W$3:$W$4308),"")</f>
        <v>-9.2057461789832332E-2</v>
      </c>
      <c r="DT113">
        <f>IFERROR('Feeder Spreads'!W113-'Feeder Spreads'!W118,"")</f>
        <v>0</v>
      </c>
      <c r="DU113">
        <f>IFERROR('Feeder Spreads'!W113-'Feeder Spreads'!W123,"")</f>
        <v>0</v>
      </c>
      <c r="DV113">
        <f>IFERROR(AVERAGE('Feeder Spreads'!W113:W132)+2*STDEV('Feeder Spreads'!W113:W132),"")</f>
        <v>0</v>
      </c>
      <c r="DW113">
        <f>IFERROR(AVERAGE('Feeder Spreads'!W113:W132)-2*STDEV('Feeder Spreads'!W113:W132),"")</f>
        <v>0</v>
      </c>
      <c r="DX113" t="str">
        <f>IFERROR(('Feeder Spreads'!W113-(AVERAGE('Feeder Spreads'!W113:W132)-2*STDEV('Feeder Spreads'!W113:W132)))/(4*STDEV('Feeder Spreads'!W113:W132)),"")</f>
        <v/>
      </c>
      <c r="DY113" t="str">
        <f>IFERROR(4*STDEV('Feeder Spreads'!W113:W132)/AVERAGE('Feeder Spreads'!W113:W132),"")</f>
        <v/>
      </c>
      <c r="DZ113">
        <v>48.946199999999997</v>
      </c>
      <c r="EA113">
        <f>IFERROR(SQRT((SUMSQ('Feeder Spreads'!W113:W132)-2*SUMPRODUCT('Feeder Spreads'!W113:W132,'Feeder Spreads'!W114:W133)+SUMSQ('Feeder Spreads'!W114:W133)-('Feeder Spreads'!W113-'Feeder Spreads'!W133)^2/20)/19),"")</f>
        <v>0</v>
      </c>
      <c r="EC113">
        <f>IFERROR('Feeder Spreads'!AC113,"")</f>
        <v>0</v>
      </c>
      <c r="ED113">
        <f>IFERROR(('Feeder Spreads'!AD113-AVERAGE('Feeder Spreads'!$AD$3:$AD$4308))/STDEV('Feeder Spreads'!$AD$3:$AD$4308),"")</f>
        <v>9.2057461789832318E-2</v>
      </c>
      <c r="EE113">
        <f>IFERROR('Feeder Spreads'!AD113-'Feeder Spreads'!AD118,"")</f>
        <v>0</v>
      </c>
      <c r="EF113">
        <f>IFERROR('Feeder Spreads'!AD113-'Feeder Spreads'!AD123,"")</f>
        <v>0</v>
      </c>
      <c r="EG113">
        <f>IFERROR(AVERAGE('Feeder Spreads'!AD113:AD132)+2*STDEV('Feeder Spreads'!AD113:AD132),"")</f>
        <v>0</v>
      </c>
      <c r="EH113">
        <f>IFERROR(AVERAGE('Feeder Spreads'!AD113:AD132)-2*STDEV('Feeder Spreads'!AD113:AD132),"")</f>
        <v>0</v>
      </c>
      <c r="EI113" t="str">
        <f>IFERROR(('Feeder Spreads'!AD113-(AVERAGE('Feeder Spreads'!AD113:AD132)-2*STDEV('Feeder Spreads'!AD113:AD132)))/(4*STDEV('Feeder Spreads'!AD113:AD132)),"")</f>
        <v/>
      </c>
      <c r="EJ113" t="str">
        <f>IFERROR(4*STDEV('Feeder Spreads'!AD113:AD132)/AVERAGE('Feeder Spreads'!AD113:AD132),"")</f>
        <v/>
      </c>
      <c r="EK113">
        <v>54.706699999999998</v>
      </c>
      <c r="EL113">
        <f>IFERROR(SQRT((SUMSQ('Feeder Spreads'!AD113:AD132)-2*SUMPRODUCT('Feeder Spreads'!AD113:AD132,'Feeder Spreads'!AD114:AD133)+SUMSQ('Feeder Spreads'!AD114:AD133)-('Feeder Spreads'!AD113-'Feeder Spreads'!AD133)^2/20)/19),"")</f>
        <v>0</v>
      </c>
      <c r="EN113">
        <f>IFERROR('Feeder Spreads'!AJ113,"")</f>
        <v>0</v>
      </c>
      <c r="EO113">
        <f>IFERROR(('Feeder Spreads'!AK113-AVERAGE('Feeder Spreads'!$AK$3:$AK$4308))/STDEV('Feeder Spreads'!$AK$3:$AK$4308),"")</f>
        <v>-9.2057461789832346E-2</v>
      </c>
      <c r="EP113">
        <f>IFERROR('Feeder Spreads'!AK113-'Feeder Spreads'!AK118,"")</f>
        <v>0</v>
      </c>
      <c r="EQ113">
        <f>IFERROR('Feeder Spreads'!AK113-'Feeder Spreads'!AK123,"")</f>
        <v>0</v>
      </c>
      <c r="ER113">
        <f>IFERROR(AVERAGE('Feeder Spreads'!AK113:AK132)+2*STDEV('Feeder Spreads'!AK113:AK132),"")</f>
        <v>0</v>
      </c>
      <c r="ES113">
        <f>IFERROR(AVERAGE('Feeder Spreads'!AK113:AK132)-2*STDEV('Feeder Spreads'!AK113:AK132),"")</f>
        <v>0</v>
      </c>
      <c r="ET113" t="str">
        <f>IFERROR(('Feeder Spreads'!AK113-(AVERAGE('Feeder Spreads'!AK113:AK132)-2*STDEV('Feeder Spreads'!AK113:AK132)))/(4*STDEV('Feeder Spreads'!AK113:AK132)),"")</f>
        <v/>
      </c>
      <c r="EU113" t="str">
        <f>IFERROR(4*STDEV('Feeder Spreads'!AK113:AK132)/AVERAGE('Feeder Spreads'!AK113:AK132),"")</f>
        <v/>
      </c>
      <c r="EV113">
        <v>60.521900000000002</v>
      </c>
      <c r="EW113">
        <f>IFERROR(SQRT((SUMSQ('Feeder Spreads'!AK113:AK132)-2*SUMPRODUCT('Feeder Spreads'!AK113:AK132,'Feeder Spreads'!AK114:AK133)+SUMSQ('Feeder Spreads'!AK114:AK133)-('Feeder Spreads'!AK113-'Feeder Spreads'!AK133)^2/20)/19),"")</f>
        <v>0</v>
      </c>
      <c r="EY113">
        <f>IFERROR('Feeder Spreads'!AQ113,"")</f>
        <v>0</v>
      </c>
      <c r="EZ113">
        <f>IFERROR(('Feeder Spreads'!AR113-AVERAGE('Feeder Spreads'!$AR$3:$AR$4308))/STDEV('Feeder Spreads'!$AR$3:$AR$4308),"")</f>
        <v>-9.2057461789832332E-2</v>
      </c>
      <c r="FA113">
        <f>IFERROR('Feeder Spreads'!AR113-'Feeder Spreads'!AR118,"")</f>
        <v>0</v>
      </c>
      <c r="FB113">
        <f>IFERROR('Feeder Spreads'!AR113-'Feeder Spreads'!AR123,"")</f>
        <v>0</v>
      </c>
      <c r="FC113">
        <f>IFERROR(AVERAGE('Feeder Spreads'!AR113:AR132)+2*STDEV('Feeder Spreads'!AR113:AR132),"")</f>
        <v>0</v>
      </c>
      <c r="FD113">
        <f>IFERROR(AVERAGE('Feeder Spreads'!AR113:AR132)-2*STDEV('Feeder Spreads'!AR113:AR132),"")</f>
        <v>0</v>
      </c>
      <c r="FE113" t="str">
        <f>IFERROR(('Feeder Spreads'!AR113-(AVERAGE('Feeder Spreads'!AR113:AR132)-2*STDEV('Feeder Spreads'!AR113:AR132)))/(4*STDEV('Feeder Spreads'!AR113:AR132)),"")</f>
        <v/>
      </c>
      <c r="FF113" t="str">
        <f>IFERROR(4*STDEV('Feeder Spreads'!AR113:AR132)/AVERAGE('Feeder Spreads'!AR113:AR132),"")</f>
        <v/>
      </c>
      <c r="FG113">
        <v>62.4071</v>
      </c>
      <c r="FH113">
        <f>IFERROR(SQRT((SUMSQ('Feeder Spreads'!AR113:AR132)-2*SUMPRODUCT('Feeder Spreads'!AR113:AR132,'Feeder Spreads'!AR114:AR133)+SUMSQ('Feeder Spreads'!AR114:AR133)-('Feeder Spreads'!AR113-'Feeder Spreads'!AR133)^2/20)/19),"")</f>
        <v>0</v>
      </c>
      <c r="FJ113">
        <f>IFERROR('Fat Spreads'!AX113,"")</f>
        <v>0</v>
      </c>
      <c r="FK113">
        <f>IFERROR(('Fat Spreads'!AY113-AVERAGE('Fat Spreads'!$AY$3:$AY$4308))/STDEV('Fat Spreads'!$AY$3:$AY$4308),"")</f>
        <v>9.2057461789832332E-2</v>
      </c>
      <c r="FL113">
        <f>IFERROR('Fat Spreads'!AY113-'Fat Spreads'!AY118,"")</f>
        <v>0</v>
      </c>
      <c r="FM113">
        <f>IFERROR('Fat Spreads'!AY113-'Fat Spreads'!AY123,"")</f>
        <v>0</v>
      </c>
      <c r="FN113">
        <f>IFERROR(AVERAGE('Fat Spreads'!AY113:AY132)+2*STDEV('Fat Spreads'!AY113:AY132),"")</f>
        <v>0</v>
      </c>
      <c r="FO113">
        <f>IFERROR(AVERAGE('Fat Spreads'!AY113:AY132)-2*STDEV('Fat Spreads'!AY113:AY132),"")</f>
        <v>0</v>
      </c>
      <c r="FP113" t="str">
        <f>IFERROR(('Fat Spreads'!AY113-(AVERAGE('Fat Spreads'!AY113:AY132)-2*STDEV('Fat Spreads'!AY113:AY132)))/(4*STDEV('Fat Spreads'!AY113:AY132)),"")</f>
        <v/>
      </c>
      <c r="FQ113" t="str">
        <f>IFERROR(4*STDEV('Fat Spreads'!AY113:AY132)/AVERAGE('Fat Spreads'!AY113:AY132),"")</f>
        <v/>
      </c>
      <c r="FR113">
        <v>39.565800000000003</v>
      </c>
      <c r="FS113">
        <f>IFERROR(SQRT((SUMSQ('Fat Spreads'!AY113:AY132)-2*SUMPRODUCT('Fat Spreads'!AY113:AY132,'Fat Spreads'!AY114:AY133)+SUMSQ('Fat Spreads'!AY114:AY133)-('Fat Spreads'!AY113-'Fat Spreads'!AY133)^2/20)/19),"")</f>
        <v>0</v>
      </c>
      <c r="FU113">
        <f>IFERROR('Fat Spreads'!BE113,"")</f>
        <v>0</v>
      </c>
      <c r="FV113">
        <f>IFERROR(('Fat Spreads'!BF113-AVERAGE('Fat Spreads'!$BF$3:$BF$4308))/STDEV('Fat Spreads'!$BF$3:$BF$4308),"")</f>
        <v>9.2057461789832332E-2</v>
      </c>
      <c r="FW113">
        <f>IFERROR('Fat Spreads'!BF113-'Fat Spreads'!BF118,"")</f>
        <v>0</v>
      </c>
      <c r="FX113">
        <f>IFERROR('Fat Spreads'!BF113-'Fat Spreads'!BF123,"")</f>
        <v>0</v>
      </c>
      <c r="FY113">
        <f>IFERROR(AVERAGE('Fat Spreads'!BF113:BF132)+2*STDEV('Fat Spreads'!BF113:BF132),"")</f>
        <v>0</v>
      </c>
      <c r="FZ113">
        <f>IFERROR(AVERAGE('Fat Spreads'!BF113:BF132)-2*STDEV('Fat Spreads'!BF113:BF132),"")</f>
        <v>0</v>
      </c>
      <c r="GA113" t="str">
        <f>IFERROR(('Fat Spreads'!BF113-(AVERAGE('Fat Spreads'!BF113:BF132)-2*STDEV('Fat Spreads'!BF113:BF132)))/(4*STDEV('Fat Spreads'!BF113:BF132)),"")</f>
        <v/>
      </c>
      <c r="GB113" t="str">
        <f>IFERROR(4*STDEV('Fat Spreads'!BF113:BF132)/AVERAGE('Fat Spreads'!BF113:BF132),"")</f>
        <v/>
      </c>
      <c r="GC113">
        <v>39.387900000000002</v>
      </c>
      <c r="GD113">
        <f>IFERROR(SQRT((SUMSQ('Fat Spreads'!BF113:BF132)-2*SUMPRODUCT('Fat Spreads'!BF113:BF132,'Fat Spreads'!BF114:BF133)+SUMSQ('Fat Spreads'!BF114:BF133)-('Fat Spreads'!BF113-'Fat Spreads'!BF133)^2/20)/19),"")</f>
        <v>0</v>
      </c>
    </row>
    <row r="114" spans="1:186" x14ac:dyDescent="0.25">
      <c r="A114">
        <f>IFERROR('Fat Spreads'!A114,"")</f>
        <v>0</v>
      </c>
      <c r="B114">
        <f>IFERROR(('Fat Spreads'!B114-AVERAGE('Fat Spreads'!$B$3:$B$4308))/STDEV('Fat Spreads'!$B$3:$B$4308),"")</f>
        <v>9.2057461789832346E-2</v>
      </c>
      <c r="C114">
        <f>IFERROR('Fat Spreads'!B114-'Fat Spreads'!B119,"")</f>
        <v>0</v>
      </c>
      <c r="D114">
        <f>IFERROR('Fat Spreads'!B114-'Fat Spreads'!B124,"")</f>
        <v>0</v>
      </c>
      <c r="E114">
        <f>IFERROR(AVERAGE('Fat Spreads'!B114:B133)+2*STDEV('Fat Spreads'!B114:B133),"")</f>
        <v>0</v>
      </c>
      <c r="F114">
        <f>IFERROR(AVERAGE('Fat Spreads'!B114:B133)-2*STDEV('Fat Spreads'!B114:B133),"")</f>
        <v>0</v>
      </c>
      <c r="G114" t="str">
        <f>IFERROR(('Fat Spreads'!B114-(AVERAGE('Fat Spreads'!B114:B133)-2*STDEV('Fat Spreads'!B114:B133)))/(4*STDEV('Fat Spreads'!B114:B133)),"")</f>
        <v/>
      </c>
      <c r="H114" t="str">
        <f>IFERROR(4*STDEV('Fat Spreads'!B114:B133)/AVERAGE('Fat Spreads'!B114:B133),"")</f>
        <v/>
      </c>
      <c r="I114">
        <v>38.199199999999998</v>
      </c>
      <c r="J114">
        <f>IFERROR(SQRT((SUMSQ('Fat Spreads'!B114:B133)-2*SUMPRODUCT('Fat Spreads'!B114:B133,'Fat Spreads'!B115:B134)+SUMSQ('Fat Spreads'!B115:B134)-('Fat Spreads'!B114-'Fat Spreads'!B134)^2/20)/19),"")</f>
        <v>0</v>
      </c>
      <c r="L114">
        <f>IFERROR('Fat Spreads'!H114,"")</f>
        <v>0</v>
      </c>
      <c r="M114">
        <f>IFERROR(('Fat Spreads'!I114-AVERAGE('Fat Spreads'!$I$3:$I$4308))/STDEV('Fat Spreads'!$I$3:$I$4308),"")</f>
        <v>-9.2057461789832332E-2</v>
      </c>
      <c r="N114">
        <f>IFERROR('Fat Spreads'!I114-'Fat Spreads'!I119,"")</f>
        <v>0</v>
      </c>
      <c r="O114">
        <f>IFERROR('Fat Spreads'!I114-'Fat Spreads'!I124,"")</f>
        <v>0</v>
      </c>
      <c r="P114">
        <f>IFERROR(AVERAGE('Fat Spreads'!I114:I133)+2*STDEV('Fat Spreads'!I114:I133),"")</f>
        <v>0</v>
      </c>
      <c r="Q114">
        <f>IFERROR(AVERAGE('Fat Spreads'!I114:I133)-2*STDEV('Fat Spreads'!I114:I133),"")</f>
        <v>0</v>
      </c>
      <c r="R114" t="str">
        <f>IFERROR(('Fat Spreads'!I114-(AVERAGE('Fat Spreads'!I114:I133)-2*STDEV('Fat Spreads'!I114:I133)))/(4*STDEV('Fat Spreads'!I114:I133)),"")</f>
        <v/>
      </c>
      <c r="S114" t="str">
        <f>IFERROR(4*STDEV('Fat Spreads'!I114:I133)/AVERAGE('Fat Spreads'!I114:I133),"")</f>
        <v/>
      </c>
      <c r="T114">
        <v>41.987299999999998</v>
      </c>
      <c r="U114">
        <f>IFERROR(SQRT((SUMSQ('Fat Spreads'!I114:I133)-2*SUMPRODUCT('Fat Spreads'!I114:I133,'Fat Spreads'!I115:I134)+SUMSQ('Fat Spreads'!I115:I134)-('Fat Spreads'!I114-'Fat Spreads'!I134)^2/20)/19),"")</f>
        <v>0</v>
      </c>
      <c r="W114">
        <f>IFERROR('Fat Spreads'!AQ114,"")</f>
        <v>0</v>
      </c>
      <c r="X114">
        <f>IFERROR(('Fat Spreads'!AR114-AVERAGE('Fat Spreads'!$AR$3:$AR$4308))/STDEV('Fat Spreads'!$AR$3:$AR$4308),"")</f>
        <v>-9.2057461789832346E-2</v>
      </c>
      <c r="Y114">
        <f>IFERROR('Fat Spreads'!AR114-'Fat Spreads'!AR119,"")</f>
        <v>0</v>
      </c>
      <c r="Z114">
        <f>IFERROR('Fat Spreads'!AR114-'Fat Spreads'!AR124,"")</f>
        <v>0</v>
      </c>
      <c r="AA114">
        <f>IFERROR(AVERAGE('Fat Spreads'!AR114:AR133)+2*STDEV('Fat Spreads'!AR114:AR133),"")</f>
        <v>0</v>
      </c>
      <c r="AB114">
        <f>IFERROR(AVERAGE('Fat Spreads'!AR114:AR133)-2*STDEV('Fat Spreads'!AR114:AR133),"")</f>
        <v>0</v>
      </c>
      <c r="AC114" t="str">
        <f>IFERROR(('Fat Spreads'!AR114-(AVERAGE('Fat Spreads'!AR114:AR133)-2*STDEV('Fat Spreads'!AR114:AR133)))/(4*STDEV('Fat Spreads'!AR114:AR133)),"")</f>
        <v/>
      </c>
      <c r="AD114" t="str">
        <f>IFERROR(4*STDEV('Fat Spreads'!AR114:AR133)/AVERAGE('Fat Spreads'!AR114:AR133),"")</f>
        <v/>
      </c>
      <c r="AE114">
        <v>60.107199999999999</v>
      </c>
      <c r="AF114">
        <f>IFERROR(SQRT((SUMSQ('Fat Spreads'!AR114:AR133)-2*SUMPRODUCT('Fat Spreads'!AR114:AR133,'Fat Spreads'!AR115:AR134)+SUMSQ('Fat Spreads'!AR115:AR134)-('Fat Spreads'!AR114-'Fat Spreads'!AR134)^2/20)/19),"")</f>
        <v>0</v>
      </c>
      <c r="AH114">
        <f>IFERROR('Fat Spreads'!O114,"")</f>
        <v>0</v>
      </c>
      <c r="AI114">
        <f>IFERROR(('Fat Spreads'!P114-AVERAGE('Fat Spreads'!$P$3:$P$4308))/STDEV('Fat Spreads'!$P$3:$P$4308),"")</f>
        <v>-9.2057461789832332E-2</v>
      </c>
      <c r="AJ114">
        <f>IFERROR('Fat Spreads'!P114-'Fat Spreads'!P119,"")</f>
        <v>0</v>
      </c>
      <c r="AK114">
        <f>IFERROR('Fat Spreads'!P114-'Fat Spreads'!P124,"")</f>
        <v>0</v>
      </c>
      <c r="AL114">
        <f>IFERROR(AVERAGE('Fat Spreads'!P114:P133)+2*STDEV('Fat Spreads'!P114:P133),"")</f>
        <v>0</v>
      </c>
      <c r="AM114">
        <f>IFERROR(AVERAGE('Fat Spreads'!P114:P133)-2*STDEV('Fat Spreads'!P114:P133),"")</f>
        <v>0</v>
      </c>
      <c r="AN114" t="str">
        <f>IFERROR(('Fat Spreads'!P114-(AVERAGE('Fat Spreads'!P114:P133)-2*STDEV('Fat Spreads'!P114:P133)))/(4*STDEV('Fat Spreads'!P114:P133)),"")</f>
        <v/>
      </c>
      <c r="AO114" t="str">
        <f>IFERROR(4*STDEV('Fat Spreads'!P114:P133)/AVERAGE('Fat Spreads'!P114:P133),"")</f>
        <v/>
      </c>
      <c r="AP114">
        <v>60.551699999999997</v>
      </c>
      <c r="AQ114">
        <f>IFERROR(SQRT((SUMSQ('Fat Spreads'!P114:P133)-2*SUMPRODUCT('Fat Spreads'!P114:P133,'Fat Spreads'!P115:P134)+SUMSQ('Fat Spreads'!P115:P134)-('Fat Spreads'!P114-'Fat Spreads'!P134)^2/20)/19),"")</f>
        <v>0</v>
      </c>
      <c r="AS114">
        <f>IFERROR('Fat Spreads'!AJ114,"")</f>
        <v>0</v>
      </c>
      <c r="AT114">
        <f>IFERROR(('Fat Spreads'!AK114-AVERAGE('Fat Spreads'!$AK$3:$AK$4308))/STDEV('Fat Spreads'!$AK$3:$AK$4308),"")</f>
        <v>-9.2057461789832332E-2</v>
      </c>
      <c r="AU114">
        <f>IFERROR('Fat Spreads'!AK114-'Fat Spreads'!AK119,"")</f>
        <v>0</v>
      </c>
      <c r="AV114">
        <f>IFERROR('Fat Spreads'!AK114-'Fat Spreads'!AK124,"")</f>
        <v>0</v>
      </c>
      <c r="AW114">
        <f>IFERROR(AVERAGE('Fat Spreads'!AK114:AK133)+2*STDEV('Fat Spreads'!AK114:AK133),"")</f>
        <v>0</v>
      </c>
      <c r="AX114">
        <f>IFERROR(AVERAGE('Fat Spreads'!AK114:AK133)-2*STDEV('Fat Spreads'!AK114:AK133),"")</f>
        <v>0</v>
      </c>
      <c r="AY114" t="str">
        <f>IFERROR(('Fat Spreads'!AK114-(AVERAGE('Fat Spreads'!AK114:AK133)-2*STDEV('Fat Spreads'!AK114:AK133)))/(4*STDEV('Fat Spreads'!AK114:AK133)),"")</f>
        <v/>
      </c>
      <c r="AZ114" t="str">
        <f>IFERROR(4*STDEV('Fat Spreads'!AK114:AK133)/AVERAGE('Fat Spreads'!AK114:AK133),"")</f>
        <v/>
      </c>
      <c r="BA114">
        <v>43.584299999999999</v>
      </c>
      <c r="BB114">
        <f>IFERROR(SQRT((SUMSQ('Fat Spreads'!AK114:AK133)-2*SUMPRODUCT('Fat Spreads'!AK114:AK133,'Fat Spreads'!AK115:AK134)+SUMSQ('Fat Spreads'!AK115:AK134)-('Fat Spreads'!AK114-'Fat Spreads'!AK134)^2/20)/19),"")</f>
        <v>0</v>
      </c>
      <c r="BD114">
        <f>IFERROR('Fat Spreads'!V114,"")</f>
        <v>0</v>
      </c>
      <c r="BE114">
        <f>IFERROR(('Fat Spreads'!W114-AVERAGE('Fat Spreads'!$W$3:$W$4308))/STDEV('Fat Spreads'!$W$3:$W$4308),"")</f>
        <v>-9.2057461789832332E-2</v>
      </c>
      <c r="BF114">
        <f>IFERROR('Fat Spreads'!W114-'Fat Spreads'!W119,"")</f>
        <v>0</v>
      </c>
      <c r="BG114">
        <f>IFERROR('Fat Spreads'!W114-'Fat Spreads'!W124,"")</f>
        <v>0</v>
      </c>
      <c r="BH114">
        <f>IFERROR(AVERAGE('Fat Spreads'!W114:W133)+2*STDEV('Fat Spreads'!W114:W133),"")</f>
        <v>0</v>
      </c>
      <c r="BI114">
        <f>IFERROR(AVERAGE('Fat Spreads'!W114:W133)-2*STDEV('Fat Spreads'!W114:W133),"")</f>
        <v>0</v>
      </c>
      <c r="BJ114" t="str">
        <f>IFERROR(('Fat Spreads'!W114-(AVERAGE('Fat Spreads'!W114:W133)-2*STDEV('Fat Spreads'!W114:W133)))/(4*STDEV('Fat Spreads'!W114:W133)),"")</f>
        <v/>
      </c>
      <c r="BK114" t="str">
        <f>IFERROR(4*STDEV('Fat Spreads'!W114:W133)/AVERAGE('Fat Spreads'!W114:W133),"")</f>
        <v/>
      </c>
      <c r="BL114">
        <v>46.622500000000002</v>
      </c>
      <c r="BM114">
        <f>IFERROR(SQRT((SUMSQ('Fat Spreads'!W114:W133)-2*SUMPRODUCT('Fat Spreads'!W114:W133,'Fat Spreads'!W115:W134)+SUMSQ('Fat Spreads'!W115:W134)-('Fat Spreads'!W114-'Fat Spreads'!W134)^2/20)/19),"")</f>
        <v>0</v>
      </c>
      <c r="BO114">
        <f>IFERROR('Fat Spreads'!AC114,"")</f>
        <v>0</v>
      </c>
      <c r="BP114">
        <f>IFERROR(('Fat Spreads'!AD114-AVERAGE('Fat Spreads'!$AD$3:$AD$4308))/STDEV('Fat Spreads'!$AD$3:$AD$4308),"")</f>
        <v>-9.2057461789832332E-2</v>
      </c>
      <c r="BQ114">
        <f>IFERROR('Fat Spreads'!AD114-'Fat Spreads'!AD119,"")</f>
        <v>0</v>
      </c>
      <c r="BR114">
        <f>IFERROR('Fat Spreads'!AD114-'Fat Spreads'!AD124,"")</f>
        <v>0</v>
      </c>
      <c r="BS114">
        <f>IFERROR(AVERAGE('Fat Spreads'!AD114:AD133)+2*STDEV('Fat Spreads'!AD114:AD133),"")</f>
        <v>0</v>
      </c>
      <c r="BT114">
        <f>IFERROR(AVERAGE('Fat Spreads'!AD114:AD133)-2*STDEV('Fat Spreads'!AD114:AD133),"")</f>
        <v>0</v>
      </c>
      <c r="BU114" t="str">
        <f>IFERROR(('Fat Spreads'!AD114-(AVERAGE('Fat Spreads'!AD114:AD133)-2*STDEV('Fat Spreads'!AD114:AD133)))/(4*STDEV('Fat Spreads'!AD114:AD133)),"")</f>
        <v/>
      </c>
      <c r="BV114" t="str">
        <f>IFERROR(4*STDEV('Fat Spreads'!AD114:AD133)/AVERAGE('Fat Spreads'!AD114:AD133),"")</f>
        <v/>
      </c>
      <c r="BW114">
        <v>46.052599999999998</v>
      </c>
      <c r="BX114">
        <f>IFERROR(SQRT((SUMSQ('Fat Spreads'!AD114:AD133)-2*SUMPRODUCT('Fat Spreads'!AD114:AD133,'Fat Spreads'!AD115:AD134)+SUMSQ('Fat Spreads'!AD115:AD134)-('Fat Spreads'!AD114-'Fat Spreads'!AD134)^2/20)/19),"")</f>
        <v>0</v>
      </c>
      <c r="BZ114">
        <f>IFERROR('Feeder Spreads'!A114,"")</f>
        <v>0</v>
      </c>
      <c r="CA114">
        <f>IFERROR(('Feeder Spreads'!B114-AVERAGE('Feeder Spreads'!$B$3:$B$4308))/STDEV('Feeder Spreads'!$B$3:$B$4308),"")</f>
        <v>-9.2057461789832346E-2</v>
      </c>
      <c r="CB114">
        <f>IFERROR('Feeder Spreads'!B114-'Feeder Spreads'!B119,"")</f>
        <v>0</v>
      </c>
      <c r="CC114">
        <f>IFERROR('Feeder Spreads'!B114-'Feeder Spreads'!B124,"")</f>
        <v>0</v>
      </c>
      <c r="CD114">
        <f>IFERROR(AVERAGE('Feeder Spreads'!B114:B133)+2*STDEV('Feeder Spreads'!B114:B133),"")</f>
        <v>0</v>
      </c>
      <c r="CE114">
        <f>IFERROR(AVERAGE('Feeder Spreads'!B114:B133)-2*STDEV('Feeder Spreads'!B114:B133),"")</f>
        <v>0</v>
      </c>
      <c r="CF114" t="str">
        <f>IFERROR(('Feeder Spreads'!B114-(AVERAGE('Feeder Spreads'!B114:B133)-2*STDEV('Feeder Spreads'!B114:B133)))/(4*STDEV('Feeder Spreads'!B114:B133)),"")</f>
        <v/>
      </c>
      <c r="CG114" t="str">
        <f>IFERROR(4*STDEV('Feeder Spreads'!B114:B133)/AVERAGE('Feeder Spreads'!B114:B133),"")</f>
        <v/>
      </c>
      <c r="CH114">
        <v>51.023699999999998</v>
      </c>
      <c r="CI114">
        <f>IFERROR(SQRT((SUMSQ('Feeder Spreads'!B114:B133)-2*SUMPRODUCT('Feeder Spreads'!B114:B133,'Feeder Spreads'!B115:B134)+SUMSQ('Feeder Spreads'!B115:B134)-('Feeder Spreads'!B114-'Feeder Spreads'!B134)^2/20)/19),"")</f>
        <v>0</v>
      </c>
      <c r="CK114">
        <f>IFERROR('Feeder Spreads'!AX114,"")</f>
        <v>0</v>
      </c>
      <c r="CL114">
        <f>IFERROR(('Feeder Spreads'!AY114-AVERAGE('Feeder Spreads'!$AY$3:$AY$4308))/STDEV('Feeder Spreads'!$AY$3:$AY$4308),"")</f>
        <v>-9.2057461789832346E-2</v>
      </c>
      <c r="CM114">
        <f>IFERROR('Feeder Spreads'!AY114-'Feeder Spreads'!AY119,"")</f>
        <v>0</v>
      </c>
      <c r="CN114">
        <f>IFERROR('Feeder Spreads'!AY114-'Feeder Spreads'!AY124,"")</f>
        <v>0</v>
      </c>
      <c r="CO114">
        <f>IFERROR(AVERAGE('Feeder Spreads'!AY114:AY133)+2*STDEV('Feeder Spreads'!AY114:AY133),"")</f>
        <v>0</v>
      </c>
      <c r="CP114">
        <f>IFERROR(AVERAGE('Feeder Spreads'!AY114:AY133)-2*STDEV('Feeder Spreads'!AY114:AY133),"")</f>
        <v>0</v>
      </c>
      <c r="CQ114" t="str">
        <f>IFERROR(('Feeder Spreads'!AY114-(AVERAGE('Feeder Spreads'!AY114:AY133)-2*STDEV('Feeder Spreads'!AY114:AY133)))/(4*STDEV('Feeder Spreads'!AY114:AY133)),"")</f>
        <v/>
      </c>
      <c r="CR114" t="str">
        <f>IFERROR(4*STDEV('Feeder Spreads'!AY114:AY133)/AVERAGE('Feeder Spreads'!AY114:AY133),"")</f>
        <v/>
      </c>
      <c r="CS114">
        <v>27.936499999999999</v>
      </c>
      <c r="CT114">
        <f>IFERROR(SQRT((SUMSQ('Feeder Spreads'!AY114:AY133)-2*SUMPRODUCT('Feeder Spreads'!AY114:AY133,'Feeder Spreads'!AY115:AY134)+SUMSQ('Feeder Spreads'!AY115:AY134)-('Feeder Spreads'!AY114-'Feeder Spreads'!AY134)^2/20)/19),"")</f>
        <v>0</v>
      </c>
      <c r="CV114">
        <f>IFERROR('Feeder Spreads'!H114,"")</f>
        <v>0</v>
      </c>
      <c r="CW114">
        <f>IFERROR(('Feeder Spreads'!I114-AVERAGE('Feeder Spreads'!$I$3:$I$4308))/STDEV('Feeder Spreads'!$I$3:$I$4308),"")</f>
        <v>-9.2057461789832332E-2</v>
      </c>
      <c r="CX114">
        <f>IFERROR('Feeder Spreads'!I114-'Feeder Spreads'!I119,"")</f>
        <v>0</v>
      </c>
      <c r="CY114">
        <f>IFERROR('Feeder Spreads'!I114-'Feeder Spreads'!I124,"")</f>
        <v>0</v>
      </c>
      <c r="CZ114">
        <f>IFERROR(AVERAGE('Feeder Spreads'!I114:I133)+2*STDEV('Feeder Spreads'!I114:I133),"")</f>
        <v>0</v>
      </c>
      <c r="DA114">
        <f>IFERROR(AVERAGE('Feeder Spreads'!I114:I133)-2*STDEV('Feeder Spreads'!I114:I133),"")</f>
        <v>0</v>
      </c>
      <c r="DB114" t="str">
        <f>IFERROR(('Feeder Spreads'!I114-(AVERAGE('Feeder Spreads'!I114:I133)-2*STDEV('Feeder Spreads'!I114:I133)))/(4*STDEV('Feeder Spreads'!I114:I133)),"")</f>
        <v/>
      </c>
      <c r="DC114" t="str">
        <f>IFERROR(4*STDEV('Feeder Spreads'!I114:I133)/AVERAGE('Feeder Spreads'!I114:I133),"")</f>
        <v/>
      </c>
      <c r="DD114">
        <v>37.943600000000004</v>
      </c>
      <c r="DE114">
        <f>IFERROR(SQRT((SUMSQ('Feeder Spreads'!I114:I133)-2*SUMPRODUCT('Feeder Spreads'!I114:I133,'Feeder Spreads'!I115:I134)+SUMSQ('Feeder Spreads'!I115:I134)-('Feeder Spreads'!I114-'Feeder Spreads'!I134)^2/20)/19),"")</f>
        <v>0</v>
      </c>
      <c r="DG114">
        <f>IFERROR('Feeder Spreads'!O114,"")</f>
        <v>0</v>
      </c>
      <c r="DH114">
        <f>IFERROR(('Feeder Spreads'!P114-AVERAGE('Feeder Spreads'!$P$3:$P$4308))/STDEV('Feeder Spreads'!$P$3:$P$4308),"")</f>
        <v>-9.2057461789832346E-2</v>
      </c>
      <c r="DI114">
        <f>IFERROR('Feeder Spreads'!P114-'Feeder Spreads'!P119,"")</f>
        <v>0</v>
      </c>
      <c r="DJ114">
        <f>IFERROR('Feeder Spreads'!P114-'Feeder Spreads'!P124,"")</f>
        <v>0</v>
      </c>
      <c r="DK114">
        <f>IFERROR(AVERAGE('Feeder Spreads'!P114:P133)+2*STDEV('Feeder Spreads'!P114:P133),"")</f>
        <v>0</v>
      </c>
      <c r="DL114">
        <f>IFERROR(AVERAGE('Feeder Spreads'!P114:P133)-2*STDEV('Feeder Spreads'!P114:P133),"")</f>
        <v>0</v>
      </c>
      <c r="DM114" t="str">
        <f>IFERROR(('Feeder Spreads'!P114-(AVERAGE('Feeder Spreads'!P114:P133)-2*STDEV('Feeder Spreads'!P114:P133)))/(4*STDEV('Feeder Spreads'!P114:P133)),"")</f>
        <v/>
      </c>
      <c r="DN114" t="str">
        <f>IFERROR(4*STDEV('Feeder Spreads'!P114:P133)/AVERAGE('Feeder Spreads'!P114:P133),"")</f>
        <v/>
      </c>
      <c r="DO114">
        <v>64.277799999999999</v>
      </c>
      <c r="DP114">
        <f>IFERROR(SQRT((SUMSQ('Feeder Spreads'!P114:P133)-2*SUMPRODUCT('Feeder Spreads'!P114:P133,'Feeder Spreads'!P115:P134)+SUMSQ('Feeder Spreads'!P115:P134)-('Feeder Spreads'!P114-'Feeder Spreads'!P134)^2/20)/19),"")</f>
        <v>0</v>
      </c>
      <c r="DR114">
        <f>IFERROR('Feeder Spreads'!V114,"")</f>
        <v>0</v>
      </c>
      <c r="DS114">
        <f>IFERROR(('Feeder Spreads'!W114-AVERAGE('Feeder Spreads'!$W$3:$W$4308))/STDEV('Feeder Spreads'!$W$3:$W$4308),"")</f>
        <v>-9.2057461789832332E-2</v>
      </c>
      <c r="DT114">
        <f>IFERROR('Feeder Spreads'!W114-'Feeder Spreads'!W119,"")</f>
        <v>0</v>
      </c>
      <c r="DU114">
        <f>IFERROR('Feeder Spreads'!W114-'Feeder Spreads'!W124,"")</f>
        <v>0</v>
      </c>
      <c r="DV114">
        <f>IFERROR(AVERAGE('Feeder Spreads'!W114:W133)+2*STDEV('Feeder Spreads'!W114:W133),"")</f>
        <v>0</v>
      </c>
      <c r="DW114">
        <f>IFERROR(AVERAGE('Feeder Spreads'!W114:W133)-2*STDEV('Feeder Spreads'!W114:W133),"")</f>
        <v>0</v>
      </c>
      <c r="DX114" t="str">
        <f>IFERROR(('Feeder Spreads'!W114-(AVERAGE('Feeder Spreads'!W114:W133)-2*STDEV('Feeder Spreads'!W114:W133)))/(4*STDEV('Feeder Spreads'!W114:W133)),"")</f>
        <v/>
      </c>
      <c r="DY114" t="str">
        <f>IFERROR(4*STDEV('Feeder Spreads'!W114:W133)/AVERAGE('Feeder Spreads'!W114:W133),"")</f>
        <v/>
      </c>
      <c r="DZ114">
        <v>54.715200000000003</v>
      </c>
      <c r="EA114">
        <f>IFERROR(SQRT((SUMSQ('Feeder Spreads'!W114:W133)-2*SUMPRODUCT('Feeder Spreads'!W114:W133,'Feeder Spreads'!W115:W134)+SUMSQ('Feeder Spreads'!W115:W134)-('Feeder Spreads'!W114-'Feeder Spreads'!W134)^2/20)/19),"")</f>
        <v>0</v>
      </c>
      <c r="EC114">
        <f>IFERROR('Feeder Spreads'!AC114,"")</f>
        <v>0</v>
      </c>
      <c r="ED114">
        <f>IFERROR(('Feeder Spreads'!AD114-AVERAGE('Feeder Spreads'!$AD$3:$AD$4308))/STDEV('Feeder Spreads'!$AD$3:$AD$4308),"")</f>
        <v>9.2057461789832318E-2</v>
      </c>
      <c r="EE114">
        <f>IFERROR('Feeder Spreads'!AD114-'Feeder Spreads'!AD119,"")</f>
        <v>0</v>
      </c>
      <c r="EF114">
        <f>IFERROR('Feeder Spreads'!AD114-'Feeder Spreads'!AD124,"")</f>
        <v>0</v>
      </c>
      <c r="EG114">
        <f>IFERROR(AVERAGE('Feeder Spreads'!AD114:AD133)+2*STDEV('Feeder Spreads'!AD114:AD133),"")</f>
        <v>0</v>
      </c>
      <c r="EH114">
        <f>IFERROR(AVERAGE('Feeder Spreads'!AD114:AD133)-2*STDEV('Feeder Spreads'!AD114:AD133),"")</f>
        <v>0</v>
      </c>
      <c r="EI114" t="str">
        <f>IFERROR(('Feeder Spreads'!AD114-(AVERAGE('Feeder Spreads'!AD114:AD133)-2*STDEV('Feeder Spreads'!AD114:AD133)))/(4*STDEV('Feeder Spreads'!AD114:AD133)),"")</f>
        <v/>
      </c>
      <c r="EJ114" t="str">
        <f>IFERROR(4*STDEV('Feeder Spreads'!AD114:AD133)/AVERAGE('Feeder Spreads'!AD114:AD133),"")</f>
        <v/>
      </c>
      <c r="EK114">
        <v>49.5349</v>
      </c>
      <c r="EL114">
        <f>IFERROR(SQRT((SUMSQ('Feeder Spreads'!AD114:AD133)-2*SUMPRODUCT('Feeder Spreads'!AD114:AD133,'Feeder Spreads'!AD115:AD134)+SUMSQ('Feeder Spreads'!AD115:AD134)-('Feeder Spreads'!AD114-'Feeder Spreads'!AD134)^2/20)/19),"")</f>
        <v>0</v>
      </c>
      <c r="EN114">
        <f>IFERROR('Feeder Spreads'!AJ114,"")</f>
        <v>0</v>
      </c>
      <c r="EO114">
        <f>IFERROR(('Feeder Spreads'!AK114-AVERAGE('Feeder Spreads'!$AK$3:$AK$4308))/STDEV('Feeder Spreads'!$AK$3:$AK$4308),"")</f>
        <v>-9.2057461789832346E-2</v>
      </c>
      <c r="EP114">
        <f>IFERROR('Feeder Spreads'!AK114-'Feeder Spreads'!AK119,"")</f>
        <v>0</v>
      </c>
      <c r="EQ114">
        <f>IFERROR('Feeder Spreads'!AK114-'Feeder Spreads'!AK124,"")</f>
        <v>0</v>
      </c>
      <c r="ER114">
        <f>IFERROR(AVERAGE('Feeder Spreads'!AK114:AK133)+2*STDEV('Feeder Spreads'!AK114:AK133),"")</f>
        <v>0</v>
      </c>
      <c r="ES114">
        <f>IFERROR(AVERAGE('Feeder Spreads'!AK114:AK133)-2*STDEV('Feeder Spreads'!AK114:AK133),"")</f>
        <v>0</v>
      </c>
      <c r="ET114" t="str">
        <f>IFERROR(('Feeder Spreads'!AK114-(AVERAGE('Feeder Spreads'!AK114:AK133)-2*STDEV('Feeder Spreads'!AK114:AK133)))/(4*STDEV('Feeder Spreads'!AK114:AK133)),"")</f>
        <v/>
      </c>
      <c r="EU114" t="str">
        <f>IFERROR(4*STDEV('Feeder Spreads'!AK114:AK133)/AVERAGE('Feeder Spreads'!AK114:AK133),"")</f>
        <v/>
      </c>
      <c r="EV114">
        <v>60.521900000000002</v>
      </c>
      <c r="EW114">
        <f>IFERROR(SQRT((SUMSQ('Feeder Spreads'!AK114:AK133)-2*SUMPRODUCT('Feeder Spreads'!AK114:AK133,'Feeder Spreads'!AK115:AK134)+SUMSQ('Feeder Spreads'!AK115:AK134)-('Feeder Spreads'!AK114-'Feeder Spreads'!AK134)^2/20)/19),"")</f>
        <v>0</v>
      </c>
      <c r="EY114">
        <f>IFERROR('Feeder Spreads'!AQ114,"")</f>
        <v>0</v>
      </c>
      <c r="EZ114">
        <f>IFERROR(('Feeder Spreads'!AR114-AVERAGE('Feeder Spreads'!$AR$3:$AR$4308))/STDEV('Feeder Spreads'!$AR$3:$AR$4308),"")</f>
        <v>-9.2057461789832332E-2</v>
      </c>
      <c r="FA114">
        <f>IFERROR('Feeder Spreads'!AR114-'Feeder Spreads'!AR119,"")</f>
        <v>0</v>
      </c>
      <c r="FB114">
        <f>IFERROR('Feeder Spreads'!AR114-'Feeder Spreads'!AR124,"")</f>
        <v>0</v>
      </c>
      <c r="FC114">
        <f>IFERROR(AVERAGE('Feeder Spreads'!AR114:AR133)+2*STDEV('Feeder Spreads'!AR114:AR133),"")</f>
        <v>0</v>
      </c>
      <c r="FD114">
        <f>IFERROR(AVERAGE('Feeder Spreads'!AR114:AR133)-2*STDEV('Feeder Spreads'!AR114:AR133),"")</f>
        <v>0</v>
      </c>
      <c r="FE114" t="str">
        <f>IFERROR(('Feeder Spreads'!AR114-(AVERAGE('Feeder Spreads'!AR114:AR133)-2*STDEV('Feeder Spreads'!AR114:AR133)))/(4*STDEV('Feeder Spreads'!AR114:AR133)),"")</f>
        <v/>
      </c>
      <c r="FF114" t="str">
        <f>IFERROR(4*STDEV('Feeder Spreads'!AR114:AR133)/AVERAGE('Feeder Spreads'!AR114:AR133),"")</f>
        <v/>
      </c>
      <c r="FG114">
        <v>62.4071</v>
      </c>
      <c r="FH114">
        <f>IFERROR(SQRT((SUMSQ('Feeder Spreads'!AR114:AR133)-2*SUMPRODUCT('Feeder Spreads'!AR114:AR133,'Feeder Spreads'!AR115:AR134)+SUMSQ('Feeder Spreads'!AR115:AR134)-('Feeder Spreads'!AR114-'Feeder Spreads'!AR134)^2/20)/19),"")</f>
        <v>0</v>
      </c>
      <c r="FJ114">
        <f>IFERROR('Fat Spreads'!AX114,"")</f>
        <v>0</v>
      </c>
      <c r="FK114">
        <f>IFERROR(('Fat Spreads'!AY114-AVERAGE('Fat Spreads'!$AY$3:$AY$4308))/STDEV('Fat Spreads'!$AY$3:$AY$4308),"")</f>
        <v>9.2057461789832332E-2</v>
      </c>
      <c r="FL114">
        <f>IFERROR('Fat Spreads'!AY114-'Fat Spreads'!AY119,"")</f>
        <v>0</v>
      </c>
      <c r="FM114">
        <f>IFERROR('Fat Spreads'!AY114-'Fat Spreads'!AY124,"")</f>
        <v>0</v>
      </c>
      <c r="FN114">
        <f>IFERROR(AVERAGE('Fat Spreads'!AY114:AY133)+2*STDEV('Fat Spreads'!AY114:AY133),"")</f>
        <v>0</v>
      </c>
      <c r="FO114">
        <f>IFERROR(AVERAGE('Fat Spreads'!AY114:AY133)-2*STDEV('Fat Spreads'!AY114:AY133),"")</f>
        <v>0</v>
      </c>
      <c r="FP114" t="str">
        <f>IFERROR(('Fat Spreads'!AY114-(AVERAGE('Fat Spreads'!AY114:AY133)-2*STDEV('Fat Spreads'!AY114:AY133)))/(4*STDEV('Fat Spreads'!AY114:AY133)),"")</f>
        <v/>
      </c>
      <c r="FQ114" t="str">
        <f>IFERROR(4*STDEV('Fat Spreads'!AY114:AY133)/AVERAGE('Fat Spreads'!AY114:AY133),"")</f>
        <v/>
      </c>
      <c r="FR114">
        <v>39.565800000000003</v>
      </c>
      <c r="FS114">
        <f>IFERROR(SQRT((SUMSQ('Fat Spreads'!AY114:AY133)-2*SUMPRODUCT('Fat Spreads'!AY114:AY133,'Fat Spreads'!AY115:AY134)+SUMSQ('Fat Spreads'!AY115:AY134)-('Fat Spreads'!AY114-'Fat Spreads'!AY134)^2/20)/19),"")</f>
        <v>0</v>
      </c>
      <c r="FU114">
        <f>IFERROR('Fat Spreads'!BE114,"")</f>
        <v>0</v>
      </c>
      <c r="FV114">
        <f>IFERROR(('Fat Spreads'!BF114-AVERAGE('Fat Spreads'!$BF$3:$BF$4308))/STDEV('Fat Spreads'!$BF$3:$BF$4308),"")</f>
        <v>9.2057461789832332E-2</v>
      </c>
      <c r="FW114">
        <f>IFERROR('Fat Spreads'!BF114-'Fat Spreads'!BF119,"")</f>
        <v>0</v>
      </c>
      <c r="FX114">
        <f>IFERROR('Fat Spreads'!BF114-'Fat Spreads'!BF124,"")</f>
        <v>0</v>
      </c>
      <c r="FY114">
        <f>IFERROR(AVERAGE('Fat Spreads'!BF114:BF133)+2*STDEV('Fat Spreads'!BF114:BF133),"")</f>
        <v>0</v>
      </c>
      <c r="FZ114">
        <f>IFERROR(AVERAGE('Fat Spreads'!BF114:BF133)-2*STDEV('Fat Spreads'!BF114:BF133),"")</f>
        <v>0</v>
      </c>
      <c r="GA114" t="str">
        <f>IFERROR(('Fat Spreads'!BF114-(AVERAGE('Fat Spreads'!BF114:BF133)-2*STDEV('Fat Spreads'!BF114:BF133)))/(4*STDEV('Fat Spreads'!BF114:BF133)),"")</f>
        <v/>
      </c>
      <c r="GB114" t="str">
        <f>IFERROR(4*STDEV('Fat Spreads'!BF114:BF133)/AVERAGE('Fat Spreads'!BF114:BF133),"")</f>
        <v/>
      </c>
      <c r="GC114">
        <v>39.387900000000002</v>
      </c>
      <c r="GD114">
        <f>IFERROR(SQRT((SUMSQ('Fat Spreads'!BF114:BF133)-2*SUMPRODUCT('Fat Spreads'!BF114:BF133,'Fat Spreads'!BF115:BF134)+SUMSQ('Fat Spreads'!BF115:BF134)-('Fat Spreads'!BF114-'Fat Spreads'!BF134)^2/20)/19),"")</f>
        <v>0</v>
      </c>
    </row>
    <row r="115" spans="1:186" x14ac:dyDescent="0.25">
      <c r="A115">
        <f>IFERROR('Fat Spreads'!A115,"")</f>
        <v>0</v>
      </c>
      <c r="B115">
        <f>IFERROR(('Fat Spreads'!B115-AVERAGE('Fat Spreads'!$B$3:$B$4308))/STDEV('Fat Spreads'!$B$3:$B$4308),"")</f>
        <v>9.2057461789832346E-2</v>
      </c>
      <c r="C115">
        <f>IFERROR('Fat Spreads'!B115-'Fat Spreads'!B120,"")</f>
        <v>0</v>
      </c>
      <c r="D115">
        <f>IFERROR('Fat Spreads'!B115-'Fat Spreads'!B125,"")</f>
        <v>0</v>
      </c>
      <c r="E115">
        <f>IFERROR(AVERAGE('Fat Spreads'!B115:B134)+2*STDEV('Fat Spreads'!B115:B134),"")</f>
        <v>0</v>
      </c>
      <c r="F115">
        <f>IFERROR(AVERAGE('Fat Spreads'!B115:B134)-2*STDEV('Fat Spreads'!B115:B134),"")</f>
        <v>0</v>
      </c>
      <c r="G115" t="str">
        <f>IFERROR(('Fat Spreads'!B115-(AVERAGE('Fat Spreads'!B115:B134)-2*STDEV('Fat Spreads'!B115:B134)))/(4*STDEV('Fat Spreads'!B115:B134)),"")</f>
        <v/>
      </c>
      <c r="H115" t="str">
        <f>IFERROR(4*STDEV('Fat Spreads'!B115:B134)/AVERAGE('Fat Spreads'!B115:B134),"")</f>
        <v/>
      </c>
      <c r="I115">
        <v>41.277999999999999</v>
      </c>
      <c r="J115">
        <f>IFERROR(SQRT((SUMSQ('Fat Spreads'!B115:B134)-2*SUMPRODUCT('Fat Spreads'!B115:B134,'Fat Spreads'!B116:B135)+SUMSQ('Fat Spreads'!B116:B135)-('Fat Spreads'!B115-'Fat Spreads'!B135)^2/20)/19),"")</f>
        <v>0</v>
      </c>
      <c r="L115">
        <f>IFERROR('Fat Spreads'!H115,"")</f>
        <v>0</v>
      </c>
      <c r="M115">
        <f>IFERROR(('Fat Spreads'!I115-AVERAGE('Fat Spreads'!$I$3:$I$4308))/STDEV('Fat Spreads'!$I$3:$I$4308),"")</f>
        <v>-9.2057461789832332E-2</v>
      </c>
      <c r="N115">
        <f>IFERROR('Fat Spreads'!I115-'Fat Spreads'!I120,"")</f>
        <v>0</v>
      </c>
      <c r="O115">
        <f>IFERROR('Fat Spreads'!I115-'Fat Spreads'!I125,"")</f>
        <v>0</v>
      </c>
      <c r="P115">
        <f>IFERROR(AVERAGE('Fat Spreads'!I115:I134)+2*STDEV('Fat Spreads'!I115:I134),"")</f>
        <v>0</v>
      </c>
      <c r="Q115">
        <f>IFERROR(AVERAGE('Fat Spreads'!I115:I134)-2*STDEV('Fat Spreads'!I115:I134),"")</f>
        <v>0</v>
      </c>
      <c r="R115" t="str">
        <f>IFERROR(('Fat Spreads'!I115-(AVERAGE('Fat Spreads'!I115:I134)-2*STDEV('Fat Spreads'!I115:I134)))/(4*STDEV('Fat Spreads'!I115:I134)),"")</f>
        <v/>
      </c>
      <c r="S115" t="str">
        <f>IFERROR(4*STDEV('Fat Spreads'!I115:I134)/AVERAGE('Fat Spreads'!I115:I134),"")</f>
        <v/>
      </c>
      <c r="T115">
        <v>44.475999999999999</v>
      </c>
      <c r="U115">
        <f>IFERROR(SQRT((SUMSQ('Fat Spreads'!I115:I134)-2*SUMPRODUCT('Fat Spreads'!I115:I134,'Fat Spreads'!I116:I135)+SUMSQ('Fat Spreads'!I116:I135)-('Fat Spreads'!I115-'Fat Spreads'!I135)^2/20)/19),"")</f>
        <v>0</v>
      </c>
      <c r="W115">
        <f>IFERROR('Fat Spreads'!AQ115,"")</f>
        <v>0</v>
      </c>
      <c r="X115">
        <f>IFERROR(('Fat Spreads'!AR115-AVERAGE('Fat Spreads'!$AR$3:$AR$4308))/STDEV('Fat Spreads'!$AR$3:$AR$4308),"")</f>
        <v>-9.2057461789832346E-2</v>
      </c>
      <c r="Y115">
        <f>IFERROR('Fat Spreads'!AR115-'Fat Spreads'!AR120,"")</f>
        <v>0</v>
      </c>
      <c r="Z115">
        <f>IFERROR('Fat Spreads'!AR115-'Fat Spreads'!AR125,"")</f>
        <v>0</v>
      </c>
      <c r="AA115">
        <f>IFERROR(AVERAGE('Fat Spreads'!AR115:AR134)+2*STDEV('Fat Spreads'!AR115:AR134),"")</f>
        <v>0</v>
      </c>
      <c r="AB115">
        <f>IFERROR(AVERAGE('Fat Spreads'!AR115:AR134)-2*STDEV('Fat Spreads'!AR115:AR134),"")</f>
        <v>0</v>
      </c>
      <c r="AC115" t="str">
        <f>IFERROR(('Fat Spreads'!AR115-(AVERAGE('Fat Spreads'!AR115:AR134)-2*STDEV('Fat Spreads'!AR115:AR134)))/(4*STDEV('Fat Spreads'!AR115:AR134)),"")</f>
        <v/>
      </c>
      <c r="AD115" t="str">
        <f>IFERROR(4*STDEV('Fat Spreads'!AR115:AR134)/AVERAGE('Fat Spreads'!AR115:AR134),"")</f>
        <v/>
      </c>
      <c r="AE115">
        <v>59.3123</v>
      </c>
      <c r="AF115">
        <f>IFERROR(SQRT((SUMSQ('Fat Spreads'!AR115:AR134)-2*SUMPRODUCT('Fat Spreads'!AR115:AR134,'Fat Spreads'!AR116:AR135)+SUMSQ('Fat Spreads'!AR116:AR135)-('Fat Spreads'!AR115-'Fat Spreads'!AR135)^2/20)/19),"")</f>
        <v>0</v>
      </c>
      <c r="AH115">
        <f>IFERROR('Fat Spreads'!O115,"")</f>
        <v>0</v>
      </c>
      <c r="AI115">
        <f>IFERROR(('Fat Spreads'!P115-AVERAGE('Fat Spreads'!$P$3:$P$4308))/STDEV('Fat Spreads'!$P$3:$P$4308),"")</f>
        <v>-9.2057461789832332E-2</v>
      </c>
      <c r="AJ115">
        <f>IFERROR('Fat Spreads'!P115-'Fat Spreads'!P120,"")</f>
        <v>0</v>
      </c>
      <c r="AK115">
        <f>IFERROR('Fat Spreads'!P115-'Fat Spreads'!P125,"")</f>
        <v>0</v>
      </c>
      <c r="AL115">
        <f>IFERROR(AVERAGE('Fat Spreads'!P115:P134)+2*STDEV('Fat Spreads'!P115:P134),"")</f>
        <v>0</v>
      </c>
      <c r="AM115">
        <f>IFERROR(AVERAGE('Fat Spreads'!P115:P134)-2*STDEV('Fat Spreads'!P115:P134),"")</f>
        <v>0</v>
      </c>
      <c r="AN115" t="str">
        <f>IFERROR(('Fat Spreads'!P115-(AVERAGE('Fat Spreads'!P115:P134)-2*STDEV('Fat Spreads'!P115:P134)))/(4*STDEV('Fat Spreads'!P115:P134)),"")</f>
        <v/>
      </c>
      <c r="AO115" t="str">
        <f>IFERROR(4*STDEV('Fat Spreads'!P115:P134)/AVERAGE('Fat Spreads'!P115:P134),"")</f>
        <v/>
      </c>
      <c r="AP115">
        <v>60.773600000000002</v>
      </c>
      <c r="AQ115">
        <f>IFERROR(SQRT((SUMSQ('Fat Spreads'!P115:P134)-2*SUMPRODUCT('Fat Spreads'!P115:P134,'Fat Spreads'!P116:P135)+SUMSQ('Fat Spreads'!P116:P135)-('Fat Spreads'!P115-'Fat Spreads'!P135)^2/20)/19),"")</f>
        <v>0</v>
      </c>
      <c r="AS115">
        <f>IFERROR('Fat Spreads'!AJ115,"")</f>
        <v>0</v>
      </c>
      <c r="AT115">
        <f>IFERROR(('Fat Spreads'!AK115-AVERAGE('Fat Spreads'!$AK$3:$AK$4308))/STDEV('Fat Spreads'!$AK$3:$AK$4308),"")</f>
        <v>-9.2057461789832332E-2</v>
      </c>
      <c r="AU115">
        <f>IFERROR('Fat Spreads'!AK115-'Fat Spreads'!AK120,"")</f>
        <v>0</v>
      </c>
      <c r="AV115">
        <f>IFERROR('Fat Spreads'!AK115-'Fat Spreads'!AK125,"")</f>
        <v>0</v>
      </c>
      <c r="AW115">
        <f>IFERROR(AVERAGE('Fat Spreads'!AK115:AK134)+2*STDEV('Fat Spreads'!AK115:AK134),"")</f>
        <v>0</v>
      </c>
      <c r="AX115">
        <f>IFERROR(AVERAGE('Fat Spreads'!AK115:AK134)-2*STDEV('Fat Spreads'!AK115:AK134),"")</f>
        <v>0</v>
      </c>
      <c r="AY115" t="str">
        <f>IFERROR(('Fat Spreads'!AK115-(AVERAGE('Fat Spreads'!AK115:AK134)-2*STDEV('Fat Spreads'!AK115:AK134)))/(4*STDEV('Fat Spreads'!AK115:AK134)),"")</f>
        <v/>
      </c>
      <c r="AZ115" t="str">
        <f>IFERROR(4*STDEV('Fat Spreads'!AK115:AK134)/AVERAGE('Fat Spreads'!AK115:AK134),"")</f>
        <v/>
      </c>
      <c r="BA115">
        <v>46.503999999999998</v>
      </c>
      <c r="BB115">
        <f>IFERROR(SQRT((SUMSQ('Fat Spreads'!AK115:AK134)-2*SUMPRODUCT('Fat Spreads'!AK115:AK134,'Fat Spreads'!AK116:AK135)+SUMSQ('Fat Spreads'!AK116:AK135)-('Fat Spreads'!AK115-'Fat Spreads'!AK135)^2/20)/19),"")</f>
        <v>0</v>
      </c>
      <c r="BD115">
        <f>IFERROR('Fat Spreads'!V115,"")</f>
        <v>0</v>
      </c>
      <c r="BE115">
        <f>IFERROR(('Fat Spreads'!W115-AVERAGE('Fat Spreads'!$W$3:$W$4308))/STDEV('Fat Spreads'!$W$3:$W$4308),"")</f>
        <v>-9.2057461789832332E-2</v>
      </c>
      <c r="BF115">
        <f>IFERROR('Fat Spreads'!W115-'Fat Spreads'!W120,"")</f>
        <v>0</v>
      </c>
      <c r="BG115">
        <f>IFERROR('Fat Spreads'!W115-'Fat Spreads'!W125,"")</f>
        <v>0</v>
      </c>
      <c r="BH115">
        <f>IFERROR(AVERAGE('Fat Spreads'!W115:W134)+2*STDEV('Fat Spreads'!W115:W134),"")</f>
        <v>0</v>
      </c>
      <c r="BI115">
        <f>IFERROR(AVERAGE('Fat Spreads'!W115:W134)-2*STDEV('Fat Spreads'!W115:W134),"")</f>
        <v>0</v>
      </c>
      <c r="BJ115" t="str">
        <f>IFERROR(('Fat Spreads'!W115-(AVERAGE('Fat Spreads'!W115:W134)-2*STDEV('Fat Spreads'!W115:W134)))/(4*STDEV('Fat Spreads'!W115:W134)),"")</f>
        <v/>
      </c>
      <c r="BK115" t="str">
        <f>IFERROR(4*STDEV('Fat Spreads'!W115:W134)/AVERAGE('Fat Spreads'!W115:W134),"")</f>
        <v/>
      </c>
      <c r="BL115">
        <v>45.859699999999997</v>
      </c>
      <c r="BM115">
        <f>IFERROR(SQRT((SUMSQ('Fat Spreads'!W115:W134)-2*SUMPRODUCT('Fat Spreads'!W115:W134,'Fat Spreads'!W116:W135)+SUMSQ('Fat Spreads'!W116:W135)-('Fat Spreads'!W115-'Fat Spreads'!W135)^2/20)/19),"")</f>
        <v>0</v>
      </c>
      <c r="BO115">
        <f>IFERROR('Fat Spreads'!AC115,"")</f>
        <v>0</v>
      </c>
      <c r="BP115">
        <f>IFERROR(('Fat Spreads'!AD115-AVERAGE('Fat Spreads'!$AD$3:$AD$4308))/STDEV('Fat Spreads'!$AD$3:$AD$4308),"")</f>
        <v>-9.2057461789832332E-2</v>
      </c>
      <c r="BQ115">
        <f>IFERROR('Fat Spreads'!AD115-'Fat Spreads'!AD120,"")</f>
        <v>0</v>
      </c>
      <c r="BR115">
        <f>IFERROR('Fat Spreads'!AD115-'Fat Spreads'!AD125,"")</f>
        <v>0</v>
      </c>
      <c r="BS115">
        <f>IFERROR(AVERAGE('Fat Spreads'!AD115:AD134)+2*STDEV('Fat Spreads'!AD115:AD134),"")</f>
        <v>0</v>
      </c>
      <c r="BT115">
        <f>IFERROR(AVERAGE('Fat Spreads'!AD115:AD134)-2*STDEV('Fat Spreads'!AD115:AD134),"")</f>
        <v>0</v>
      </c>
      <c r="BU115" t="str">
        <f>IFERROR(('Fat Spreads'!AD115-(AVERAGE('Fat Spreads'!AD115:AD134)-2*STDEV('Fat Spreads'!AD115:AD134)))/(4*STDEV('Fat Spreads'!AD115:AD134)),"")</f>
        <v/>
      </c>
      <c r="BV115" t="str">
        <f>IFERROR(4*STDEV('Fat Spreads'!AD115:AD134)/AVERAGE('Fat Spreads'!AD115:AD134),"")</f>
        <v/>
      </c>
      <c r="BW115">
        <v>42.164499999999997</v>
      </c>
      <c r="BX115">
        <f>IFERROR(SQRT((SUMSQ('Fat Spreads'!AD115:AD134)-2*SUMPRODUCT('Fat Spreads'!AD115:AD134,'Fat Spreads'!AD116:AD135)+SUMSQ('Fat Spreads'!AD116:AD135)-('Fat Spreads'!AD115-'Fat Spreads'!AD135)^2/20)/19),"")</f>
        <v>0</v>
      </c>
      <c r="BZ115">
        <f>IFERROR('Feeder Spreads'!A115,"")</f>
        <v>0</v>
      </c>
      <c r="CA115">
        <f>IFERROR(('Feeder Spreads'!B115-AVERAGE('Feeder Spreads'!$B$3:$B$4308))/STDEV('Feeder Spreads'!$B$3:$B$4308),"")</f>
        <v>-9.2057461789832346E-2</v>
      </c>
      <c r="CB115">
        <f>IFERROR('Feeder Spreads'!B115-'Feeder Spreads'!B120,"")</f>
        <v>0</v>
      </c>
      <c r="CC115">
        <f>IFERROR('Feeder Spreads'!B115-'Feeder Spreads'!B125,"")</f>
        <v>0</v>
      </c>
      <c r="CD115">
        <f>IFERROR(AVERAGE('Feeder Spreads'!B115:B134)+2*STDEV('Feeder Spreads'!B115:B134),"")</f>
        <v>0</v>
      </c>
      <c r="CE115">
        <f>IFERROR(AVERAGE('Feeder Spreads'!B115:B134)-2*STDEV('Feeder Spreads'!B115:B134),"")</f>
        <v>0</v>
      </c>
      <c r="CF115" t="str">
        <f>IFERROR(('Feeder Spreads'!B115-(AVERAGE('Feeder Spreads'!B115:B134)-2*STDEV('Feeder Spreads'!B115:B134)))/(4*STDEV('Feeder Spreads'!B115:B134)),"")</f>
        <v/>
      </c>
      <c r="CG115" t="str">
        <f>IFERROR(4*STDEV('Feeder Spreads'!B115:B134)/AVERAGE('Feeder Spreads'!B115:B134),"")</f>
        <v/>
      </c>
      <c r="CH115">
        <v>49.2425</v>
      </c>
      <c r="CI115">
        <f>IFERROR(SQRT((SUMSQ('Feeder Spreads'!B115:B134)-2*SUMPRODUCT('Feeder Spreads'!B115:B134,'Feeder Spreads'!B116:B135)+SUMSQ('Feeder Spreads'!B116:B135)-('Feeder Spreads'!B115-'Feeder Spreads'!B135)^2/20)/19),"")</f>
        <v>0</v>
      </c>
      <c r="CK115">
        <f>IFERROR('Feeder Spreads'!AX115,"")</f>
        <v>0</v>
      </c>
      <c r="CL115">
        <f>IFERROR(('Feeder Spreads'!AY115-AVERAGE('Feeder Spreads'!$AY$3:$AY$4308))/STDEV('Feeder Spreads'!$AY$3:$AY$4308),"")</f>
        <v>-9.2057461789832346E-2</v>
      </c>
      <c r="CM115">
        <f>IFERROR('Feeder Spreads'!AY115-'Feeder Spreads'!AY120,"")</f>
        <v>0</v>
      </c>
      <c r="CN115">
        <f>IFERROR('Feeder Spreads'!AY115-'Feeder Spreads'!AY125,"")</f>
        <v>0</v>
      </c>
      <c r="CO115">
        <f>IFERROR(AVERAGE('Feeder Spreads'!AY115:AY134)+2*STDEV('Feeder Spreads'!AY115:AY134),"")</f>
        <v>0</v>
      </c>
      <c r="CP115">
        <f>IFERROR(AVERAGE('Feeder Spreads'!AY115:AY134)-2*STDEV('Feeder Spreads'!AY115:AY134),"")</f>
        <v>0</v>
      </c>
      <c r="CQ115" t="str">
        <f>IFERROR(('Feeder Spreads'!AY115-(AVERAGE('Feeder Spreads'!AY115:AY134)-2*STDEV('Feeder Spreads'!AY115:AY134)))/(4*STDEV('Feeder Spreads'!AY115:AY134)),"")</f>
        <v/>
      </c>
      <c r="CR115" t="str">
        <f>IFERROR(4*STDEV('Feeder Spreads'!AY115:AY134)/AVERAGE('Feeder Spreads'!AY115:AY134),"")</f>
        <v/>
      </c>
      <c r="CS115">
        <v>78.180599999999998</v>
      </c>
      <c r="CT115">
        <f>IFERROR(SQRT((SUMSQ('Feeder Spreads'!AY115:AY134)-2*SUMPRODUCT('Feeder Spreads'!AY115:AY134,'Feeder Spreads'!AY116:AY135)+SUMSQ('Feeder Spreads'!AY116:AY135)-('Feeder Spreads'!AY115-'Feeder Spreads'!AY135)^2/20)/19),"")</f>
        <v>0</v>
      </c>
      <c r="CV115">
        <f>IFERROR('Feeder Spreads'!H115,"")</f>
        <v>0</v>
      </c>
      <c r="CW115">
        <f>IFERROR(('Feeder Spreads'!I115-AVERAGE('Feeder Spreads'!$I$3:$I$4308))/STDEV('Feeder Spreads'!$I$3:$I$4308),"")</f>
        <v>-9.2057461789832332E-2</v>
      </c>
      <c r="CX115">
        <f>IFERROR('Feeder Spreads'!I115-'Feeder Spreads'!I120,"")</f>
        <v>0</v>
      </c>
      <c r="CY115">
        <f>IFERROR('Feeder Spreads'!I115-'Feeder Spreads'!I125,"")</f>
        <v>0</v>
      </c>
      <c r="CZ115">
        <f>IFERROR(AVERAGE('Feeder Spreads'!I115:I134)+2*STDEV('Feeder Spreads'!I115:I134),"")</f>
        <v>0</v>
      </c>
      <c r="DA115">
        <f>IFERROR(AVERAGE('Feeder Spreads'!I115:I134)-2*STDEV('Feeder Spreads'!I115:I134),"")</f>
        <v>0</v>
      </c>
      <c r="DB115" t="str">
        <f>IFERROR(('Feeder Spreads'!I115-(AVERAGE('Feeder Spreads'!I115:I134)-2*STDEV('Feeder Spreads'!I115:I134)))/(4*STDEV('Feeder Spreads'!I115:I134)),"")</f>
        <v/>
      </c>
      <c r="DC115" t="str">
        <f>IFERROR(4*STDEV('Feeder Spreads'!I115:I134)/AVERAGE('Feeder Spreads'!I115:I134),"")</f>
        <v/>
      </c>
      <c r="DD115">
        <v>42.402999999999999</v>
      </c>
      <c r="DE115">
        <f>IFERROR(SQRT((SUMSQ('Feeder Spreads'!I115:I134)-2*SUMPRODUCT('Feeder Spreads'!I115:I134,'Feeder Spreads'!I116:I135)+SUMSQ('Feeder Spreads'!I116:I135)-('Feeder Spreads'!I115-'Feeder Spreads'!I135)^2/20)/19),"")</f>
        <v>0</v>
      </c>
      <c r="DG115">
        <f>IFERROR('Feeder Spreads'!O115,"")</f>
        <v>0</v>
      </c>
      <c r="DH115">
        <f>IFERROR(('Feeder Spreads'!P115-AVERAGE('Feeder Spreads'!$P$3:$P$4308))/STDEV('Feeder Spreads'!$P$3:$P$4308),"")</f>
        <v>-9.2057461789832346E-2</v>
      </c>
      <c r="DI115">
        <f>IFERROR('Feeder Spreads'!P115-'Feeder Spreads'!P120,"")</f>
        <v>0</v>
      </c>
      <c r="DJ115">
        <f>IFERROR('Feeder Spreads'!P115-'Feeder Spreads'!P125,"")</f>
        <v>0</v>
      </c>
      <c r="DK115">
        <f>IFERROR(AVERAGE('Feeder Spreads'!P115:P134)+2*STDEV('Feeder Spreads'!P115:P134),"")</f>
        <v>0</v>
      </c>
      <c r="DL115">
        <f>IFERROR(AVERAGE('Feeder Spreads'!P115:P134)-2*STDEV('Feeder Spreads'!P115:P134),"")</f>
        <v>0</v>
      </c>
      <c r="DM115" t="str">
        <f>IFERROR(('Feeder Spreads'!P115-(AVERAGE('Feeder Spreads'!P115:P134)-2*STDEV('Feeder Spreads'!P115:P134)))/(4*STDEV('Feeder Spreads'!P115:P134)),"")</f>
        <v/>
      </c>
      <c r="DN115" t="str">
        <f>IFERROR(4*STDEV('Feeder Spreads'!P115:P134)/AVERAGE('Feeder Spreads'!P115:P134),"")</f>
        <v/>
      </c>
      <c r="DO115">
        <v>18.9573</v>
      </c>
      <c r="DP115">
        <f>IFERROR(SQRT((SUMSQ('Feeder Spreads'!P115:P134)-2*SUMPRODUCT('Feeder Spreads'!P115:P134,'Feeder Spreads'!P116:P135)+SUMSQ('Feeder Spreads'!P116:P135)-('Feeder Spreads'!P115-'Feeder Spreads'!P135)^2/20)/19),"")</f>
        <v>0</v>
      </c>
      <c r="DR115">
        <f>IFERROR('Feeder Spreads'!V115,"")</f>
        <v>0</v>
      </c>
      <c r="DS115">
        <f>IFERROR(('Feeder Spreads'!W115-AVERAGE('Feeder Spreads'!$W$3:$W$4308))/STDEV('Feeder Spreads'!$W$3:$W$4308),"")</f>
        <v>-9.2057461789832332E-2</v>
      </c>
      <c r="DT115">
        <f>IFERROR('Feeder Spreads'!W115-'Feeder Spreads'!W120,"")</f>
        <v>0</v>
      </c>
      <c r="DU115">
        <f>IFERROR('Feeder Spreads'!W115-'Feeder Spreads'!W125,"")</f>
        <v>0</v>
      </c>
      <c r="DV115">
        <f>IFERROR(AVERAGE('Feeder Spreads'!W115:W134)+2*STDEV('Feeder Spreads'!W115:W134),"")</f>
        <v>0</v>
      </c>
      <c r="DW115">
        <f>IFERROR(AVERAGE('Feeder Spreads'!W115:W134)-2*STDEV('Feeder Spreads'!W115:W134),"")</f>
        <v>0</v>
      </c>
      <c r="DX115" t="str">
        <f>IFERROR(('Feeder Spreads'!W115-(AVERAGE('Feeder Spreads'!W115:W134)-2*STDEV('Feeder Spreads'!W115:W134)))/(4*STDEV('Feeder Spreads'!W115:W134)),"")</f>
        <v/>
      </c>
      <c r="DY115" t="str">
        <f>IFERROR(4*STDEV('Feeder Spreads'!W115:W134)/AVERAGE('Feeder Spreads'!W115:W134),"")</f>
        <v/>
      </c>
      <c r="DZ115">
        <v>72.590900000000005</v>
      </c>
      <c r="EA115">
        <f>IFERROR(SQRT((SUMSQ('Feeder Spreads'!W115:W134)-2*SUMPRODUCT('Feeder Spreads'!W115:W134,'Feeder Spreads'!W116:W135)+SUMSQ('Feeder Spreads'!W116:W135)-('Feeder Spreads'!W115-'Feeder Spreads'!W135)^2/20)/19),"")</f>
        <v>0</v>
      </c>
      <c r="EC115">
        <f>IFERROR('Feeder Spreads'!AC115,"")</f>
        <v>0</v>
      </c>
      <c r="ED115">
        <f>IFERROR(('Feeder Spreads'!AD115-AVERAGE('Feeder Spreads'!$AD$3:$AD$4308))/STDEV('Feeder Spreads'!$AD$3:$AD$4308),"")</f>
        <v>9.2057461789832318E-2</v>
      </c>
      <c r="EE115">
        <f>IFERROR('Feeder Spreads'!AD115-'Feeder Spreads'!AD120,"")</f>
        <v>0</v>
      </c>
      <c r="EF115">
        <f>IFERROR('Feeder Spreads'!AD115-'Feeder Spreads'!AD125,"")</f>
        <v>0</v>
      </c>
      <c r="EG115">
        <f>IFERROR(AVERAGE('Feeder Spreads'!AD115:AD134)+2*STDEV('Feeder Spreads'!AD115:AD134),"")</f>
        <v>0</v>
      </c>
      <c r="EH115">
        <f>IFERROR(AVERAGE('Feeder Spreads'!AD115:AD134)-2*STDEV('Feeder Spreads'!AD115:AD134),"")</f>
        <v>0</v>
      </c>
      <c r="EI115" t="str">
        <f>IFERROR(('Feeder Spreads'!AD115-(AVERAGE('Feeder Spreads'!AD115:AD134)-2*STDEV('Feeder Spreads'!AD115:AD134)))/(4*STDEV('Feeder Spreads'!AD115:AD134)),"")</f>
        <v/>
      </c>
      <c r="EJ115" t="str">
        <f>IFERROR(4*STDEV('Feeder Spreads'!AD115:AD134)/AVERAGE('Feeder Spreads'!AD115:AD134),"")</f>
        <v/>
      </c>
      <c r="EK115">
        <v>51.750100000000003</v>
      </c>
      <c r="EL115">
        <f>IFERROR(SQRT((SUMSQ('Feeder Spreads'!AD115:AD134)-2*SUMPRODUCT('Feeder Spreads'!AD115:AD134,'Feeder Spreads'!AD116:AD135)+SUMSQ('Feeder Spreads'!AD116:AD135)-('Feeder Spreads'!AD115-'Feeder Spreads'!AD135)^2/20)/19),"")</f>
        <v>0</v>
      </c>
      <c r="EN115">
        <f>IFERROR('Feeder Spreads'!AJ115,"")</f>
        <v>0</v>
      </c>
      <c r="EO115">
        <f>IFERROR(('Feeder Spreads'!AK115-AVERAGE('Feeder Spreads'!$AK$3:$AK$4308))/STDEV('Feeder Spreads'!$AK$3:$AK$4308),"")</f>
        <v>-9.2057461789832346E-2</v>
      </c>
      <c r="EP115">
        <f>IFERROR('Feeder Spreads'!AK115-'Feeder Spreads'!AK120,"")</f>
        <v>0</v>
      </c>
      <c r="EQ115">
        <f>IFERROR('Feeder Spreads'!AK115-'Feeder Spreads'!AK125,"")</f>
        <v>0</v>
      </c>
      <c r="ER115">
        <f>IFERROR(AVERAGE('Feeder Spreads'!AK115:AK134)+2*STDEV('Feeder Spreads'!AK115:AK134),"")</f>
        <v>0</v>
      </c>
      <c r="ES115">
        <f>IFERROR(AVERAGE('Feeder Spreads'!AK115:AK134)-2*STDEV('Feeder Spreads'!AK115:AK134),"")</f>
        <v>0</v>
      </c>
      <c r="ET115" t="str">
        <f>IFERROR(('Feeder Spreads'!AK115-(AVERAGE('Feeder Spreads'!AK115:AK134)-2*STDEV('Feeder Spreads'!AK115:AK134)))/(4*STDEV('Feeder Spreads'!AK115:AK134)),"")</f>
        <v/>
      </c>
      <c r="EU115" t="str">
        <f>IFERROR(4*STDEV('Feeder Spreads'!AK115:AK134)/AVERAGE('Feeder Spreads'!AK115:AK134),"")</f>
        <v/>
      </c>
      <c r="EV115">
        <v>58.6477</v>
      </c>
      <c r="EW115">
        <f>IFERROR(SQRT((SUMSQ('Feeder Spreads'!AK115:AK134)-2*SUMPRODUCT('Feeder Spreads'!AK115:AK134,'Feeder Spreads'!AK116:AK135)+SUMSQ('Feeder Spreads'!AK116:AK135)-('Feeder Spreads'!AK115-'Feeder Spreads'!AK135)^2/20)/19),"")</f>
        <v>0</v>
      </c>
      <c r="EY115">
        <f>IFERROR('Feeder Spreads'!AQ115,"")</f>
        <v>0</v>
      </c>
      <c r="EZ115">
        <f>IFERROR(('Feeder Spreads'!AR115-AVERAGE('Feeder Spreads'!$AR$3:$AR$4308))/STDEV('Feeder Spreads'!$AR$3:$AR$4308),"")</f>
        <v>-9.2057461789832332E-2</v>
      </c>
      <c r="FA115">
        <f>IFERROR('Feeder Spreads'!AR115-'Feeder Spreads'!AR120,"")</f>
        <v>0</v>
      </c>
      <c r="FB115">
        <f>IFERROR('Feeder Spreads'!AR115-'Feeder Spreads'!AR125,"")</f>
        <v>0</v>
      </c>
      <c r="FC115">
        <f>IFERROR(AVERAGE('Feeder Spreads'!AR115:AR134)+2*STDEV('Feeder Spreads'!AR115:AR134),"")</f>
        <v>0</v>
      </c>
      <c r="FD115">
        <f>IFERROR(AVERAGE('Feeder Spreads'!AR115:AR134)-2*STDEV('Feeder Spreads'!AR115:AR134),"")</f>
        <v>0</v>
      </c>
      <c r="FE115" t="str">
        <f>IFERROR(('Feeder Spreads'!AR115-(AVERAGE('Feeder Spreads'!AR115:AR134)-2*STDEV('Feeder Spreads'!AR115:AR134)))/(4*STDEV('Feeder Spreads'!AR115:AR134)),"")</f>
        <v/>
      </c>
      <c r="FF115" t="str">
        <f>IFERROR(4*STDEV('Feeder Spreads'!AR115:AR134)/AVERAGE('Feeder Spreads'!AR115:AR134),"")</f>
        <v/>
      </c>
      <c r="FG115">
        <v>62.988300000000002</v>
      </c>
      <c r="FH115">
        <f>IFERROR(SQRT((SUMSQ('Feeder Spreads'!AR115:AR134)-2*SUMPRODUCT('Feeder Spreads'!AR115:AR134,'Feeder Spreads'!AR116:AR135)+SUMSQ('Feeder Spreads'!AR116:AR135)-('Feeder Spreads'!AR115-'Feeder Spreads'!AR135)^2/20)/19),"")</f>
        <v>0</v>
      </c>
      <c r="FJ115">
        <f>IFERROR('Fat Spreads'!AX115,"")</f>
        <v>0</v>
      </c>
      <c r="FK115">
        <f>IFERROR(('Fat Spreads'!AY115-AVERAGE('Fat Spreads'!$AY$3:$AY$4308))/STDEV('Fat Spreads'!$AY$3:$AY$4308),"")</f>
        <v>9.2057461789832332E-2</v>
      </c>
      <c r="FL115">
        <f>IFERROR('Fat Spreads'!AY115-'Fat Spreads'!AY120,"")</f>
        <v>0</v>
      </c>
      <c r="FM115">
        <f>IFERROR('Fat Spreads'!AY115-'Fat Spreads'!AY125,"")</f>
        <v>0</v>
      </c>
      <c r="FN115">
        <f>IFERROR(AVERAGE('Fat Spreads'!AY115:AY134)+2*STDEV('Fat Spreads'!AY115:AY134),"")</f>
        <v>0</v>
      </c>
      <c r="FO115">
        <f>IFERROR(AVERAGE('Fat Spreads'!AY115:AY134)-2*STDEV('Fat Spreads'!AY115:AY134),"")</f>
        <v>0</v>
      </c>
      <c r="FP115" t="str">
        <f>IFERROR(('Fat Spreads'!AY115-(AVERAGE('Fat Spreads'!AY115:AY134)-2*STDEV('Fat Spreads'!AY115:AY134)))/(4*STDEV('Fat Spreads'!AY115:AY134)),"")</f>
        <v/>
      </c>
      <c r="FQ115" t="str">
        <f>IFERROR(4*STDEV('Fat Spreads'!AY115:AY134)/AVERAGE('Fat Spreads'!AY115:AY134),"")</f>
        <v/>
      </c>
      <c r="FR115">
        <v>43.012900000000002</v>
      </c>
      <c r="FS115">
        <f>IFERROR(SQRT((SUMSQ('Fat Spreads'!AY115:AY134)-2*SUMPRODUCT('Fat Spreads'!AY115:AY134,'Fat Spreads'!AY116:AY135)+SUMSQ('Fat Spreads'!AY116:AY135)-('Fat Spreads'!AY115-'Fat Spreads'!AY135)^2/20)/19),"")</f>
        <v>0</v>
      </c>
      <c r="FU115">
        <f>IFERROR('Fat Spreads'!BE115,"")</f>
        <v>0</v>
      </c>
      <c r="FV115">
        <f>IFERROR(('Fat Spreads'!BF115-AVERAGE('Fat Spreads'!$BF$3:$BF$4308))/STDEV('Fat Spreads'!$BF$3:$BF$4308),"")</f>
        <v>9.2057461789832332E-2</v>
      </c>
      <c r="FW115">
        <f>IFERROR('Fat Spreads'!BF115-'Fat Spreads'!BF120,"")</f>
        <v>0</v>
      </c>
      <c r="FX115">
        <f>IFERROR('Fat Spreads'!BF115-'Fat Spreads'!BF125,"")</f>
        <v>0</v>
      </c>
      <c r="FY115">
        <f>IFERROR(AVERAGE('Fat Spreads'!BF115:BF134)+2*STDEV('Fat Spreads'!BF115:BF134),"")</f>
        <v>0</v>
      </c>
      <c r="FZ115">
        <f>IFERROR(AVERAGE('Fat Spreads'!BF115:BF134)-2*STDEV('Fat Spreads'!BF115:BF134),"")</f>
        <v>0</v>
      </c>
      <c r="GA115" t="str">
        <f>IFERROR(('Fat Spreads'!BF115-(AVERAGE('Fat Spreads'!BF115:BF134)-2*STDEV('Fat Spreads'!BF115:BF134)))/(4*STDEV('Fat Spreads'!BF115:BF134)),"")</f>
        <v/>
      </c>
      <c r="GB115" t="str">
        <f>IFERROR(4*STDEV('Fat Spreads'!BF115:BF134)/AVERAGE('Fat Spreads'!BF115:BF134),"")</f>
        <v/>
      </c>
      <c r="GC115">
        <v>42.335099999999997</v>
      </c>
      <c r="GD115">
        <f>IFERROR(SQRT((SUMSQ('Fat Spreads'!BF115:BF134)-2*SUMPRODUCT('Fat Spreads'!BF115:BF134,'Fat Spreads'!BF116:BF135)+SUMSQ('Fat Spreads'!BF116:BF135)-('Fat Spreads'!BF115-'Fat Spreads'!BF135)^2/20)/19),"")</f>
        <v>0</v>
      </c>
    </row>
    <row r="116" spans="1:186" x14ac:dyDescent="0.25">
      <c r="A116">
        <f>IFERROR('Fat Spreads'!A116,"")</f>
        <v>0</v>
      </c>
      <c r="B116">
        <f>IFERROR(('Fat Spreads'!B116-AVERAGE('Fat Spreads'!$B$3:$B$4308))/STDEV('Fat Spreads'!$B$3:$B$4308),"")</f>
        <v>9.2057461789832346E-2</v>
      </c>
      <c r="C116">
        <f>IFERROR('Fat Spreads'!B116-'Fat Spreads'!B121,"")</f>
        <v>0</v>
      </c>
      <c r="D116">
        <f>IFERROR('Fat Spreads'!B116-'Fat Spreads'!B126,"")</f>
        <v>0</v>
      </c>
      <c r="E116">
        <f>IFERROR(AVERAGE('Fat Spreads'!B116:B135)+2*STDEV('Fat Spreads'!B116:B135),"")</f>
        <v>0</v>
      </c>
      <c r="F116">
        <f>IFERROR(AVERAGE('Fat Spreads'!B116:B135)-2*STDEV('Fat Spreads'!B116:B135),"")</f>
        <v>0</v>
      </c>
      <c r="G116" t="str">
        <f>IFERROR(('Fat Spreads'!B116-(AVERAGE('Fat Spreads'!B116:B135)-2*STDEV('Fat Spreads'!B116:B135)))/(4*STDEV('Fat Spreads'!B116:B135)),"")</f>
        <v/>
      </c>
      <c r="H116" t="str">
        <f>IFERROR(4*STDEV('Fat Spreads'!B116:B135)/AVERAGE('Fat Spreads'!B116:B135),"")</f>
        <v/>
      </c>
      <c r="I116">
        <v>35.879199999999997</v>
      </c>
      <c r="J116">
        <f>IFERROR(SQRT((SUMSQ('Fat Spreads'!B116:B135)-2*SUMPRODUCT('Fat Spreads'!B116:B135,'Fat Spreads'!B117:B136)+SUMSQ('Fat Spreads'!B117:B136)-('Fat Spreads'!B116-'Fat Spreads'!B136)^2/20)/19),"")</f>
        <v>0</v>
      </c>
      <c r="L116">
        <f>IFERROR('Fat Spreads'!H116,"")</f>
        <v>0</v>
      </c>
      <c r="M116">
        <f>IFERROR(('Fat Spreads'!I116-AVERAGE('Fat Spreads'!$I$3:$I$4308))/STDEV('Fat Spreads'!$I$3:$I$4308),"")</f>
        <v>-9.2057461789832332E-2</v>
      </c>
      <c r="N116">
        <f>IFERROR('Fat Spreads'!I116-'Fat Spreads'!I121,"")</f>
        <v>0</v>
      </c>
      <c r="O116">
        <f>IFERROR('Fat Spreads'!I116-'Fat Spreads'!I126,"")</f>
        <v>0</v>
      </c>
      <c r="P116">
        <f>IFERROR(AVERAGE('Fat Spreads'!I116:I135)+2*STDEV('Fat Spreads'!I116:I135),"")</f>
        <v>0</v>
      </c>
      <c r="Q116">
        <f>IFERROR(AVERAGE('Fat Spreads'!I116:I135)-2*STDEV('Fat Spreads'!I116:I135),"")</f>
        <v>0</v>
      </c>
      <c r="R116" t="str">
        <f>IFERROR(('Fat Spreads'!I116-(AVERAGE('Fat Spreads'!I116:I135)-2*STDEV('Fat Spreads'!I116:I135)))/(4*STDEV('Fat Spreads'!I116:I135)),"")</f>
        <v/>
      </c>
      <c r="S116" t="str">
        <f>IFERROR(4*STDEV('Fat Spreads'!I116:I135)/AVERAGE('Fat Spreads'!I116:I135),"")</f>
        <v/>
      </c>
      <c r="T116">
        <v>42.579799999999999</v>
      </c>
      <c r="U116">
        <f>IFERROR(SQRT((SUMSQ('Fat Spreads'!I116:I135)-2*SUMPRODUCT('Fat Spreads'!I116:I135,'Fat Spreads'!I117:I136)+SUMSQ('Fat Spreads'!I117:I136)-('Fat Spreads'!I116-'Fat Spreads'!I136)^2/20)/19),"")</f>
        <v>0</v>
      </c>
      <c r="W116">
        <f>IFERROR('Fat Spreads'!AQ116,"")</f>
        <v>0</v>
      </c>
      <c r="X116">
        <f>IFERROR(('Fat Spreads'!AR116-AVERAGE('Fat Spreads'!$AR$3:$AR$4308))/STDEV('Fat Spreads'!$AR$3:$AR$4308),"")</f>
        <v>-9.2057461789832346E-2</v>
      </c>
      <c r="Y116">
        <f>IFERROR('Fat Spreads'!AR116-'Fat Spreads'!AR121,"")</f>
        <v>0</v>
      </c>
      <c r="Z116">
        <f>IFERROR('Fat Spreads'!AR116-'Fat Spreads'!AR126,"")</f>
        <v>0</v>
      </c>
      <c r="AA116">
        <f>IFERROR(AVERAGE('Fat Spreads'!AR116:AR135)+2*STDEV('Fat Spreads'!AR116:AR135),"")</f>
        <v>0</v>
      </c>
      <c r="AB116">
        <f>IFERROR(AVERAGE('Fat Spreads'!AR116:AR135)-2*STDEV('Fat Spreads'!AR116:AR135),"")</f>
        <v>0</v>
      </c>
      <c r="AC116" t="str">
        <f>IFERROR(('Fat Spreads'!AR116-(AVERAGE('Fat Spreads'!AR116:AR135)-2*STDEV('Fat Spreads'!AR116:AR135)))/(4*STDEV('Fat Spreads'!AR116:AR135)),"")</f>
        <v/>
      </c>
      <c r="AD116" t="str">
        <f>IFERROR(4*STDEV('Fat Spreads'!AR116:AR135)/AVERAGE('Fat Spreads'!AR116:AR135),"")</f>
        <v/>
      </c>
      <c r="AE116">
        <v>65.935400000000001</v>
      </c>
      <c r="AF116">
        <f>IFERROR(SQRT((SUMSQ('Fat Spreads'!AR116:AR135)-2*SUMPRODUCT('Fat Spreads'!AR116:AR135,'Fat Spreads'!AR117:AR136)+SUMSQ('Fat Spreads'!AR117:AR136)-('Fat Spreads'!AR116-'Fat Spreads'!AR136)^2/20)/19),"")</f>
        <v>0</v>
      </c>
      <c r="AH116">
        <f>IFERROR('Fat Spreads'!O116,"")</f>
        <v>0</v>
      </c>
      <c r="AI116">
        <f>IFERROR(('Fat Spreads'!P116-AVERAGE('Fat Spreads'!$P$3:$P$4308))/STDEV('Fat Spreads'!$P$3:$P$4308),"")</f>
        <v>-9.2057461789832332E-2</v>
      </c>
      <c r="AJ116">
        <f>IFERROR('Fat Spreads'!P116-'Fat Spreads'!P121,"")</f>
        <v>0</v>
      </c>
      <c r="AK116">
        <f>IFERROR('Fat Spreads'!P116-'Fat Spreads'!P126,"")</f>
        <v>0</v>
      </c>
      <c r="AL116">
        <f>IFERROR(AVERAGE('Fat Spreads'!P116:P135)+2*STDEV('Fat Spreads'!P116:P135),"")</f>
        <v>0</v>
      </c>
      <c r="AM116">
        <f>IFERROR(AVERAGE('Fat Spreads'!P116:P135)-2*STDEV('Fat Spreads'!P116:P135),"")</f>
        <v>0</v>
      </c>
      <c r="AN116" t="str">
        <f>IFERROR(('Fat Spreads'!P116-(AVERAGE('Fat Spreads'!P116:P135)-2*STDEV('Fat Spreads'!P116:P135)))/(4*STDEV('Fat Spreads'!P116:P135)),"")</f>
        <v/>
      </c>
      <c r="AO116" t="str">
        <f>IFERROR(4*STDEV('Fat Spreads'!P116:P135)/AVERAGE('Fat Spreads'!P116:P135),"")</f>
        <v/>
      </c>
      <c r="AP116">
        <v>61.190100000000001</v>
      </c>
      <c r="AQ116">
        <f>IFERROR(SQRT((SUMSQ('Fat Spreads'!P116:P135)-2*SUMPRODUCT('Fat Spreads'!P116:P135,'Fat Spreads'!P117:P136)+SUMSQ('Fat Spreads'!P117:P136)-('Fat Spreads'!P116-'Fat Spreads'!P136)^2/20)/19),"")</f>
        <v>0</v>
      </c>
      <c r="AS116">
        <f>IFERROR('Fat Spreads'!AJ116,"")</f>
        <v>0</v>
      </c>
      <c r="AT116">
        <f>IFERROR(('Fat Spreads'!AK116-AVERAGE('Fat Spreads'!$AK$3:$AK$4308))/STDEV('Fat Spreads'!$AK$3:$AK$4308),"")</f>
        <v>-9.2057461789832332E-2</v>
      </c>
      <c r="AU116">
        <f>IFERROR('Fat Spreads'!AK116-'Fat Spreads'!AK121,"")</f>
        <v>0</v>
      </c>
      <c r="AV116">
        <f>IFERROR('Fat Spreads'!AK116-'Fat Spreads'!AK126,"")</f>
        <v>0</v>
      </c>
      <c r="AW116">
        <f>IFERROR(AVERAGE('Fat Spreads'!AK116:AK135)+2*STDEV('Fat Spreads'!AK116:AK135),"")</f>
        <v>0</v>
      </c>
      <c r="AX116">
        <f>IFERROR(AVERAGE('Fat Spreads'!AK116:AK135)-2*STDEV('Fat Spreads'!AK116:AK135),"")</f>
        <v>0</v>
      </c>
      <c r="AY116" t="str">
        <f>IFERROR(('Fat Spreads'!AK116-(AVERAGE('Fat Spreads'!AK116:AK135)-2*STDEV('Fat Spreads'!AK116:AK135)))/(4*STDEV('Fat Spreads'!AK116:AK135)),"")</f>
        <v/>
      </c>
      <c r="AZ116" t="str">
        <f>IFERROR(4*STDEV('Fat Spreads'!AK116:AK135)/AVERAGE('Fat Spreads'!AK116:AK135),"")</f>
        <v/>
      </c>
      <c r="BA116">
        <v>39.440800000000003</v>
      </c>
      <c r="BB116">
        <f>IFERROR(SQRT((SUMSQ('Fat Spreads'!AK116:AK135)-2*SUMPRODUCT('Fat Spreads'!AK116:AK135,'Fat Spreads'!AK117:AK136)+SUMSQ('Fat Spreads'!AK117:AK136)-('Fat Spreads'!AK116-'Fat Spreads'!AK136)^2/20)/19),"")</f>
        <v>0</v>
      </c>
      <c r="BD116">
        <f>IFERROR('Fat Spreads'!V116,"")</f>
        <v>0</v>
      </c>
      <c r="BE116">
        <f>IFERROR(('Fat Spreads'!W116-AVERAGE('Fat Spreads'!$W$3:$W$4308))/STDEV('Fat Spreads'!$W$3:$W$4308),"")</f>
        <v>-9.2057461789832332E-2</v>
      </c>
      <c r="BF116">
        <f>IFERROR('Fat Spreads'!W116-'Fat Spreads'!W121,"")</f>
        <v>0</v>
      </c>
      <c r="BG116">
        <f>IFERROR('Fat Spreads'!W116-'Fat Spreads'!W126,"")</f>
        <v>0</v>
      </c>
      <c r="BH116">
        <f>IFERROR(AVERAGE('Fat Spreads'!W116:W135)+2*STDEV('Fat Spreads'!W116:W135),"")</f>
        <v>0</v>
      </c>
      <c r="BI116">
        <f>IFERROR(AVERAGE('Fat Spreads'!W116:W135)-2*STDEV('Fat Spreads'!W116:W135),"")</f>
        <v>0</v>
      </c>
      <c r="BJ116" t="str">
        <f>IFERROR(('Fat Spreads'!W116-(AVERAGE('Fat Spreads'!W116:W135)-2*STDEV('Fat Spreads'!W116:W135)))/(4*STDEV('Fat Spreads'!W116:W135)),"")</f>
        <v/>
      </c>
      <c r="BK116" t="str">
        <f>IFERROR(4*STDEV('Fat Spreads'!W116:W135)/AVERAGE('Fat Spreads'!W116:W135),"")</f>
        <v/>
      </c>
      <c r="BL116">
        <v>48.280099999999997</v>
      </c>
      <c r="BM116">
        <f>IFERROR(SQRT((SUMSQ('Fat Spreads'!W116:W135)-2*SUMPRODUCT('Fat Spreads'!W116:W135,'Fat Spreads'!W117:W136)+SUMSQ('Fat Spreads'!W117:W136)-('Fat Spreads'!W116-'Fat Spreads'!W136)^2/20)/19),"")</f>
        <v>0</v>
      </c>
      <c r="BO116">
        <f>IFERROR('Fat Spreads'!AC116,"")</f>
        <v>0</v>
      </c>
      <c r="BP116">
        <f>IFERROR(('Fat Spreads'!AD116-AVERAGE('Fat Spreads'!$AD$3:$AD$4308))/STDEV('Fat Spreads'!$AD$3:$AD$4308),"")</f>
        <v>-9.2057461789832332E-2</v>
      </c>
      <c r="BQ116">
        <f>IFERROR('Fat Spreads'!AD116-'Fat Spreads'!AD121,"")</f>
        <v>0</v>
      </c>
      <c r="BR116">
        <f>IFERROR('Fat Spreads'!AD116-'Fat Spreads'!AD126,"")</f>
        <v>0</v>
      </c>
      <c r="BS116">
        <f>IFERROR(AVERAGE('Fat Spreads'!AD116:AD135)+2*STDEV('Fat Spreads'!AD116:AD135),"")</f>
        <v>0</v>
      </c>
      <c r="BT116">
        <f>IFERROR(AVERAGE('Fat Spreads'!AD116:AD135)-2*STDEV('Fat Spreads'!AD116:AD135),"")</f>
        <v>0</v>
      </c>
      <c r="BU116" t="str">
        <f>IFERROR(('Fat Spreads'!AD116-(AVERAGE('Fat Spreads'!AD116:AD135)-2*STDEV('Fat Spreads'!AD116:AD135)))/(4*STDEV('Fat Spreads'!AD116:AD135)),"")</f>
        <v/>
      </c>
      <c r="BV116" t="str">
        <f>IFERROR(4*STDEV('Fat Spreads'!AD116:AD135)/AVERAGE('Fat Spreads'!AD116:AD135),"")</f>
        <v/>
      </c>
      <c r="BW116">
        <v>38.954599999999999</v>
      </c>
      <c r="BX116">
        <f>IFERROR(SQRT((SUMSQ('Fat Spreads'!AD116:AD135)-2*SUMPRODUCT('Fat Spreads'!AD116:AD135,'Fat Spreads'!AD117:AD136)+SUMSQ('Fat Spreads'!AD117:AD136)-('Fat Spreads'!AD116-'Fat Spreads'!AD136)^2/20)/19),"")</f>
        <v>0</v>
      </c>
      <c r="BZ116">
        <f>IFERROR('Feeder Spreads'!A116,"")</f>
        <v>0</v>
      </c>
      <c r="CA116">
        <f>IFERROR(('Feeder Spreads'!B116-AVERAGE('Feeder Spreads'!$B$3:$B$4308))/STDEV('Feeder Spreads'!$B$3:$B$4308),"")</f>
        <v>-9.2057461789832346E-2</v>
      </c>
      <c r="CB116">
        <f>IFERROR('Feeder Spreads'!B116-'Feeder Spreads'!B121,"")</f>
        <v>0</v>
      </c>
      <c r="CC116">
        <f>IFERROR('Feeder Spreads'!B116-'Feeder Spreads'!B126,"")</f>
        <v>0</v>
      </c>
      <c r="CD116">
        <f>IFERROR(AVERAGE('Feeder Spreads'!B116:B135)+2*STDEV('Feeder Spreads'!B116:B135),"")</f>
        <v>0</v>
      </c>
      <c r="CE116">
        <f>IFERROR(AVERAGE('Feeder Spreads'!B116:B135)-2*STDEV('Feeder Spreads'!B116:B135),"")</f>
        <v>0</v>
      </c>
      <c r="CF116" t="str">
        <f>IFERROR(('Feeder Spreads'!B116-(AVERAGE('Feeder Spreads'!B116:B135)-2*STDEV('Feeder Spreads'!B116:B135)))/(4*STDEV('Feeder Spreads'!B116:B135)),"")</f>
        <v/>
      </c>
      <c r="CG116" t="str">
        <f>IFERROR(4*STDEV('Feeder Spreads'!B116:B135)/AVERAGE('Feeder Spreads'!B116:B135),"")</f>
        <v/>
      </c>
      <c r="CH116">
        <v>49.288800000000002</v>
      </c>
      <c r="CI116">
        <f>IFERROR(SQRT((SUMSQ('Feeder Spreads'!B116:B135)-2*SUMPRODUCT('Feeder Spreads'!B116:B135,'Feeder Spreads'!B117:B136)+SUMSQ('Feeder Spreads'!B117:B136)-('Feeder Spreads'!B116-'Feeder Spreads'!B136)^2/20)/19),"")</f>
        <v>0</v>
      </c>
      <c r="CK116">
        <f>IFERROR('Feeder Spreads'!AX116,"")</f>
        <v>0</v>
      </c>
      <c r="CL116">
        <f>IFERROR(('Feeder Spreads'!AY116-AVERAGE('Feeder Spreads'!$AY$3:$AY$4308))/STDEV('Feeder Spreads'!$AY$3:$AY$4308),"")</f>
        <v>-9.2057461789832346E-2</v>
      </c>
      <c r="CM116">
        <f>IFERROR('Feeder Spreads'!AY116-'Feeder Spreads'!AY121,"")</f>
        <v>0</v>
      </c>
      <c r="CN116">
        <f>IFERROR('Feeder Spreads'!AY116-'Feeder Spreads'!AY126,"")</f>
        <v>0</v>
      </c>
      <c r="CO116">
        <f>IFERROR(AVERAGE('Feeder Spreads'!AY116:AY135)+2*STDEV('Feeder Spreads'!AY116:AY135),"")</f>
        <v>0</v>
      </c>
      <c r="CP116">
        <f>IFERROR(AVERAGE('Feeder Spreads'!AY116:AY135)-2*STDEV('Feeder Spreads'!AY116:AY135),"")</f>
        <v>0</v>
      </c>
      <c r="CQ116" t="str">
        <f>IFERROR(('Feeder Spreads'!AY116-(AVERAGE('Feeder Spreads'!AY116:AY135)-2*STDEV('Feeder Spreads'!AY116:AY135)))/(4*STDEV('Feeder Spreads'!AY116:AY135)),"")</f>
        <v/>
      </c>
      <c r="CR116" t="str">
        <f>IFERROR(4*STDEV('Feeder Spreads'!AY116:AY135)/AVERAGE('Feeder Spreads'!AY116:AY135),"")</f>
        <v/>
      </c>
      <c r="CS116">
        <v>74.359499999999997</v>
      </c>
      <c r="CT116">
        <f>IFERROR(SQRT((SUMSQ('Feeder Spreads'!AY116:AY135)-2*SUMPRODUCT('Feeder Spreads'!AY116:AY135,'Feeder Spreads'!AY117:AY136)+SUMSQ('Feeder Spreads'!AY117:AY136)-('Feeder Spreads'!AY116-'Feeder Spreads'!AY136)^2/20)/19),"")</f>
        <v>0</v>
      </c>
      <c r="CV116">
        <f>IFERROR('Feeder Spreads'!H116,"")</f>
        <v>0</v>
      </c>
      <c r="CW116">
        <f>IFERROR(('Feeder Spreads'!I116-AVERAGE('Feeder Spreads'!$I$3:$I$4308))/STDEV('Feeder Spreads'!$I$3:$I$4308),"")</f>
        <v>-9.2057461789832332E-2</v>
      </c>
      <c r="CX116">
        <f>IFERROR('Feeder Spreads'!I116-'Feeder Spreads'!I121,"")</f>
        <v>0</v>
      </c>
      <c r="CY116">
        <f>IFERROR('Feeder Spreads'!I116-'Feeder Spreads'!I126,"")</f>
        <v>0</v>
      </c>
      <c r="CZ116">
        <f>IFERROR(AVERAGE('Feeder Spreads'!I116:I135)+2*STDEV('Feeder Spreads'!I116:I135),"")</f>
        <v>0</v>
      </c>
      <c r="DA116">
        <f>IFERROR(AVERAGE('Feeder Spreads'!I116:I135)-2*STDEV('Feeder Spreads'!I116:I135),"")</f>
        <v>0</v>
      </c>
      <c r="DB116" t="str">
        <f>IFERROR(('Feeder Spreads'!I116-(AVERAGE('Feeder Spreads'!I116:I135)-2*STDEV('Feeder Spreads'!I116:I135)))/(4*STDEV('Feeder Spreads'!I116:I135)),"")</f>
        <v/>
      </c>
      <c r="DC116" t="str">
        <f>IFERROR(4*STDEV('Feeder Spreads'!I116:I135)/AVERAGE('Feeder Spreads'!I116:I135),"")</f>
        <v/>
      </c>
      <c r="DD116">
        <v>43.767699999999998</v>
      </c>
      <c r="DE116">
        <f>IFERROR(SQRT((SUMSQ('Feeder Spreads'!I116:I135)-2*SUMPRODUCT('Feeder Spreads'!I116:I135,'Feeder Spreads'!I117:I136)+SUMSQ('Feeder Spreads'!I117:I136)-('Feeder Spreads'!I116-'Feeder Spreads'!I136)^2/20)/19),"")</f>
        <v>0</v>
      </c>
      <c r="DG116">
        <f>IFERROR('Feeder Spreads'!O116,"")</f>
        <v>0</v>
      </c>
      <c r="DH116">
        <f>IFERROR(('Feeder Spreads'!P116-AVERAGE('Feeder Spreads'!$P$3:$P$4308))/STDEV('Feeder Spreads'!$P$3:$P$4308),"")</f>
        <v>-9.2057461789832346E-2</v>
      </c>
      <c r="DI116">
        <f>IFERROR('Feeder Spreads'!P116-'Feeder Spreads'!P121,"")</f>
        <v>0</v>
      </c>
      <c r="DJ116">
        <f>IFERROR('Feeder Spreads'!P116-'Feeder Spreads'!P126,"")</f>
        <v>0</v>
      </c>
      <c r="DK116">
        <f>IFERROR(AVERAGE('Feeder Spreads'!P116:P135)+2*STDEV('Feeder Spreads'!P116:P135),"")</f>
        <v>0</v>
      </c>
      <c r="DL116">
        <f>IFERROR(AVERAGE('Feeder Spreads'!P116:P135)-2*STDEV('Feeder Spreads'!P116:P135),"")</f>
        <v>0</v>
      </c>
      <c r="DM116" t="str">
        <f>IFERROR(('Feeder Spreads'!P116-(AVERAGE('Feeder Spreads'!P116:P135)-2*STDEV('Feeder Spreads'!P116:P135)))/(4*STDEV('Feeder Spreads'!P116:P135)),"")</f>
        <v/>
      </c>
      <c r="DN116" t="str">
        <f>IFERROR(4*STDEV('Feeder Spreads'!P116:P135)/AVERAGE('Feeder Spreads'!P116:P135),"")</f>
        <v/>
      </c>
      <c r="DO116">
        <v>20.0198</v>
      </c>
      <c r="DP116">
        <f>IFERROR(SQRT((SUMSQ('Feeder Spreads'!P116:P135)-2*SUMPRODUCT('Feeder Spreads'!P116:P135,'Feeder Spreads'!P117:P136)+SUMSQ('Feeder Spreads'!P117:P136)-('Feeder Spreads'!P116-'Feeder Spreads'!P136)^2/20)/19),"")</f>
        <v>0</v>
      </c>
      <c r="DR116">
        <f>IFERROR('Feeder Spreads'!V116,"")</f>
        <v>0</v>
      </c>
      <c r="DS116">
        <f>IFERROR(('Feeder Spreads'!W116-AVERAGE('Feeder Spreads'!$W$3:$W$4308))/STDEV('Feeder Spreads'!$W$3:$W$4308),"")</f>
        <v>-9.2057461789832332E-2</v>
      </c>
      <c r="DT116">
        <f>IFERROR('Feeder Spreads'!W116-'Feeder Spreads'!W121,"")</f>
        <v>0</v>
      </c>
      <c r="DU116">
        <f>IFERROR('Feeder Spreads'!W116-'Feeder Spreads'!W126,"")</f>
        <v>0</v>
      </c>
      <c r="DV116">
        <f>IFERROR(AVERAGE('Feeder Spreads'!W116:W135)+2*STDEV('Feeder Spreads'!W116:W135),"")</f>
        <v>0</v>
      </c>
      <c r="DW116">
        <f>IFERROR(AVERAGE('Feeder Spreads'!W116:W135)-2*STDEV('Feeder Spreads'!W116:W135),"")</f>
        <v>0</v>
      </c>
      <c r="DX116" t="str">
        <f>IFERROR(('Feeder Spreads'!W116-(AVERAGE('Feeder Spreads'!W116:W135)-2*STDEV('Feeder Spreads'!W116:W135)))/(4*STDEV('Feeder Spreads'!W116:W135)),"")</f>
        <v/>
      </c>
      <c r="DY116" t="str">
        <f>IFERROR(4*STDEV('Feeder Spreads'!W116:W135)/AVERAGE('Feeder Spreads'!W116:W135),"")</f>
        <v/>
      </c>
      <c r="DZ116">
        <v>72.279399999999995</v>
      </c>
      <c r="EA116">
        <f>IFERROR(SQRT((SUMSQ('Feeder Spreads'!W116:W135)-2*SUMPRODUCT('Feeder Spreads'!W116:W135,'Feeder Spreads'!W117:W136)+SUMSQ('Feeder Spreads'!W117:W136)-('Feeder Spreads'!W116-'Feeder Spreads'!W136)^2/20)/19),"")</f>
        <v>0</v>
      </c>
      <c r="EC116">
        <f>IFERROR('Feeder Spreads'!AC116,"")</f>
        <v>0</v>
      </c>
      <c r="ED116">
        <f>IFERROR(('Feeder Spreads'!AD116-AVERAGE('Feeder Spreads'!$AD$3:$AD$4308))/STDEV('Feeder Spreads'!$AD$3:$AD$4308),"")</f>
        <v>9.2057461789832318E-2</v>
      </c>
      <c r="EE116">
        <f>IFERROR('Feeder Spreads'!AD116-'Feeder Spreads'!AD121,"")</f>
        <v>0</v>
      </c>
      <c r="EF116">
        <f>IFERROR('Feeder Spreads'!AD116-'Feeder Spreads'!AD126,"")</f>
        <v>0</v>
      </c>
      <c r="EG116">
        <f>IFERROR(AVERAGE('Feeder Spreads'!AD116:AD135)+2*STDEV('Feeder Spreads'!AD116:AD135),"")</f>
        <v>0</v>
      </c>
      <c r="EH116">
        <f>IFERROR(AVERAGE('Feeder Spreads'!AD116:AD135)-2*STDEV('Feeder Spreads'!AD116:AD135),"")</f>
        <v>0</v>
      </c>
      <c r="EI116" t="str">
        <f>IFERROR(('Feeder Spreads'!AD116-(AVERAGE('Feeder Spreads'!AD116:AD135)-2*STDEV('Feeder Spreads'!AD116:AD135)))/(4*STDEV('Feeder Spreads'!AD116:AD135)),"")</f>
        <v/>
      </c>
      <c r="EJ116" t="str">
        <f>IFERROR(4*STDEV('Feeder Spreads'!AD116:AD135)/AVERAGE('Feeder Spreads'!AD116:AD135),"")</f>
        <v/>
      </c>
      <c r="EK116">
        <v>52.573</v>
      </c>
      <c r="EL116">
        <f>IFERROR(SQRT((SUMSQ('Feeder Spreads'!AD116:AD135)-2*SUMPRODUCT('Feeder Spreads'!AD116:AD135,'Feeder Spreads'!AD117:AD136)+SUMSQ('Feeder Spreads'!AD117:AD136)-('Feeder Spreads'!AD116-'Feeder Spreads'!AD136)^2/20)/19),"")</f>
        <v>0</v>
      </c>
      <c r="EN116">
        <f>IFERROR('Feeder Spreads'!AJ116,"")</f>
        <v>0</v>
      </c>
      <c r="EO116">
        <f>IFERROR(('Feeder Spreads'!AK116-AVERAGE('Feeder Spreads'!$AK$3:$AK$4308))/STDEV('Feeder Spreads'!$AK$3:$AK$4308),"")</f>
        <v>-9.2057461789832346E-2</v>
      </c>
      <c r="EP116">
        <f>IFERROR('Feeder Spreads'!AK116-'Feeder Spreads'!AK121,"")</f>
        <v>0</v>
      </c>
      <c r="EQ116">
        <f>IFERROR('Feeder Spreads'!AK116-'Feeder Spreads'!AK126,"")</f>
        <v>0</v>
      </c>
      <c r="ER116">
        <f>IFERROR(AVERAGE('Feeder Spreads'!AK116:AK135)+2*STDEV('Feeder Spreads'!AK116:AK135),"")</f>
        <v>0</v>
      </c>
      <c r="ES116">
        <f>IFERROR(AVERAGE('Feeder Spreads'!AK116:AK135)-2*STDEV('Feeder Spreads'!AK116:AK135),"")</f>
        <v>0</v>
      </c>
      <c r="ET116" t="str">
        <f>IFERROR(('Feeder Spreads'!AK116-(AVERAGE('Feeder Spreads'!AK116:AK135)-2*STDEV('Feeder Spreads'!AK116:AK135)))/(4*STDEV('Feeder Spreads'!AK116:AK135)),"")</f>
        <v/>
      </c>
      <c r="EU116" t="str">
        <f>IFERROR(4*STDEV('Feeder Spreads'!AK116:AK135)/AVERAGE('Feeder Spreads'!AK116:AK135),"")</f>
        <v/>
      </c>
      <c r="EV116">
        <v>60.791600000000003</v>
      </c>
      <c r="EW116">
        <f>IFERROR(SQRT((SUMSQ('Feeder Spreads'!AK116:AK135)-2*SUMPRODUCT('Feeder Spreads'!AK116:AK135,'Feeder Spreads'!AK117:AK136)+SUMSQ('Feeder Spreads'!AK117:AK136)-('Feeder Spreads'!AK116-'Feeder Spreads'!AK136)^2/20)/19),"")</f>
        <v>0</v>
      </c>
      <c r="EY116">
        <f>IFERROR('Feeder Spreads'!AQ116,"")</f>
        <v>0</v>
      </c>
      <c r="EZ116">
        <f>IFERROR(('Feeder Spreads'!AR116-AVERAGE('Feeder Spreads'!$AR$3:$AR$4308))/STDEV('Feeder Spreads'!$AR$3:$AR$4308),"")</f>
        <v>-9.2057461789832332E-2</v>
      </c>
      <c r="FA116">
        <f>IFERROR('Feeder Spreads'!AR116-'Feeder Spreads'!AR121,"")</f>
        <v>0</v>
      </c>
      <c r="FB116">
        <f>IFERROR('Feeder Spreads'!AR116-'Feeder Spreads'!AR126,"")</f>
        <v>0</v>
      </c>
      <c r="FC116">
        <f>IFERROR(AVERAGE('Feeder Spreads'!AR116:AR135)+2*STDEV('Feeder Spreads'!AR116:AR135),"")</f>
        <v>0</v>
      </c>
      <c r="FD116">
        <f>IFERROR(AVERAGE('Feeder Spreads'!AR116:AR135)-2*STDEV('Feeder Spreads'!AR116:AR135),"")</f>
        <v>0</v>
      </c>
      <c r="FE116" t="str">
        <f>IFERROR(('Feeder Spreads'!AR116-(AVERAGE('Feeder Spreads'!AR116:AR135)-2*STDEV('Feeder Spreads'!AR116:AR135)))/(4*STDEV('Feeder Spreads'!AR116:AR135)),"")</f>
        <v/>
      </c>
      <c r="FF116" t="str">
        <f>IFERROR(4*STDEV('Feeder Spreads'!AR116:AR135)/AVERAGE('Feeder Spreads'!AR116:AR135),"")</f>
        <v/>
      </c>
      <c r="FG116">
        <v>63.746400000000001</v>
      </c>
      <c r="FH116">
        <f>IFERROR(SQRT((SUMSQ('Feeder Spreads'!AR116:AR135)-2*SUMPRODUCT('Feeder Spreads'!AR116:AR135,'Feeder Spreads'!AR117:AR136)+SUMSQ('Feeder Spreads'!AR117:AR136)-('Feeder Spreads'!AR116-'Feeder Spreads'!AR136)^2/20)/19),"")</f>
        <v>0</v>
      </c>
      <c r="FJ116">
        <f>IFERROR('Fat Spreads'!AX116,"")</f>
        <v>0</v>
      </c>
      <c r="FK116">
        <f>IFERROR(('Fat Spreads'!AY116-AVERAGE('Fat Spreads'!$AY$3:$AY$4308))/STDEV('Fat Spreads'!$AY$3:$AY$4308),"")</f>
        <v>9.2057461789832332E-2</v>
      </c>
      <c r="FL116">
        <f>IFERROR('Fat Spreads'!AY116-'Fat Spreads'!AY121,"")</f>
        <v>0</v>
      </c>
      <c r="FM116">
        <f>IFERROR('Fat Spreads'!AY116-'Fat Spreads'!AY126,"")</f>
        <v>0</v>
      </c>
      <c r="FN116">
        <f>IFERROR(AVERAGE('Fat Spreads'!AY116:AY135)+2*STDEV('Fat Spreads'!AY116:AY135),"")</f>
        <v>0</v>
      </c>
      <c r="FO116">
        <f>IFERROR(AVERAGE('Fat Spreads'!AY116:AY135)-2*STDEV('Fat Spreads'!AY116:AY135),"")</f>
        <v>0</v>
      </c>
      <c r="FP116" t="str">
        <f>IFERROR(('Fat Spreads'!AY116-(AVERAGE('Fat Spreads'!AY116:AY135)-2*STDEV('Fat Spreads'!AY116:AY135)))/(4*STDEV('Fat Spreads'!AY116:AY135)),"")</f>
        <v/>
      </c>
      <c r="FQ116" t="str">
        <f>IFERROR(4*STDEV('Fat Spreads'!AY116:AY135)/AVERAGE('Fat Spreads'!AY116:AY135),"")</f>
        <v/>
      </c>
      <c r="FR116">
        <v>35.142600000000002</v>
      </c>
      <c r="FS116">
        <f>IFERROR(SQRT((SUMSQ('Fat Spreads'!AY116:AY135)-2*SUMPRODUCT('Fat Spreads'!AY116:AY135,'Fat Spreads'!AY117:AY136)+SUMSQ('Fat Spreads'!AY117:AY136)-('Fat Spreads'!AY116-'Fat Spreads'!AY136)^2/20)/19),"")</f>
        <v>0</v>
      </c>
      <c r="FU116">
        <f>IFERROR('Fat Spreads'!BE116,"")</f>
        <v>0</v>
      </c>
      <c r="FV116">
        <f>IFERROR(('Fat Spreads'!BF116-AVERAGE('Fat Spreads'!$BF$3:$BF$4308))/STDEV('Fat Spreads'!$BF$3:$BF$4308),"")</f>
        <v>9.2057461789832332E-2</v>
      </c>
      <c r="FW116">
        <f>IFERROR('Fat Spreads'!BF116-'Fat Spreads'!BF121,"")</f>
        <v>0</v>
      </c>
      <c r="FX116">
        <f>IFERROR('Fat Spreads'!BF116-'Fat Spreads'!BF126,"")</f>
        <v>0</v>
      </c>
      <c r="FY116">
        <f>IFERROR(AVERAGE('Fat Spreads'!BF116:BF135)+2*STDEV('Fat Spreads'!BF116:BF135),"")</f>
        <v>0</v>
      </c>
      <c r="FZ116">
        <f>IFERROR(AVERAGE('Fat Spreads'!BF116:BF135)-2*STDEV('Fat Spreads'!BF116:BF135),"")</f>
        <v>0</v>
      </c>
      <c r="GA116" t="str">
        <f>IFERROR(('Fat Spreads'!BF116-(AVERAGE('Fat Spreads'!BF116:BF135)-2*STDEV('Fat Spreads'!BF116:BF135)))/(4*STDEV('Fat Spreads'!BF116:BF135)),"")</f>
        <v/>
      </c>
      <c r="GB116" t="str">
        <f>IFERROR(4*STDEV('Fat Spreads'!BF116:BF135)/AVERAGE('Fat Spreads'!BF116:BF135),"")</f>
        <v/>
      </c>
      <c r="GC116">
        <v>38.383299999999998</v>
      </c>
      <c r="GD116">
        <f>IFERROR(SQRT((SUMSQ('Fat Spreads'!BF116:BF135)-2*SUMPRODUCT('Fat Spreads'!BF116:BF135,'Fat Spreads'!BF117:BF136)+SUMSQ('Fat Spreads'!BF117:BF136)-('Fat Spreads'!BF116-'Fat Spreads'!BF136)^2/20)/19),"")</f>
        <v>0</v>
      </c>
    </row>
    <row r="117" spans="1:186" x14ac:dyDescent="0.25">
      <c r="A117">
        <f>IFERROR('Fat Spreads'!A117,"")</f>
        <v>0</v>
      </c>
      <c r="B117">
        <f>IFERROR(('Fat Spreads'!B117-AVERAGE('Fat Spreads'!$B$3:$B$4308))/STDEV('Fat Spreads'!$B$3:$B$4308),"")</f>
        <v>9.2057461789832346E-2</v>
      </c>
      <c r="C117">
        <f>IFERROR('Fat Spreads'!B117-'Fat Spreads'!B122,"")</f>
        <v>0</v>
      </c>
      <c r="D117">
        <f>IFERROR('Fat Spreads'!B117-'Fat Spreads'!B127,"")</f>
        <v>0</v>
      </c>
      <c r="E117">
        <f>IFERROR(AVERAGE('Fat Spreads'!B117:B136)+2*STDEV('Fat Spreads'!B117:B136),"")</f>
        <v>0</v>
      </c>
      <c r="F117">
        <f>IFERROR(AVERAGE('Fat Spreads'!B117:B136)-2*STDEV('Fat Spreads'!B117:B136),"")</f>
        <v>0</v>
      </c>
      <c r="G117" t="str">
        <f>IFERROR(('Fat Spreads'!B117-(AVERAGE('Fat Spreads'!B117:B136)-2*STDEV('Fat Spreads'!B117:B136)))/(4*STDEV('Fat Spreads'!B117:B136)),"")</f>
        <v/>
      </c>
      <c r="H117" t="str">
        <f>IFERROR(4*STDEV('Fat Spreads'!B117:B136)/AVERAGE('Fat Spreads'!B117:B136),"")</f>
        <v/>
      </c>
      <c r="I117">
        <v>39.228200000000001</v>
      </c>
      <c r="J117">
        <f>IFERROR(SQRT((SUMSQ('Fat Spreads'!B117:B136)-2*SUMPRODUCT('Fat Spreads'!B117:B136,'Fat Spreads'!B118:B137)+SUMSQ('Fat Spreads'!B118:B137)-('Fat Spreads'!B117-'Fat Spreads'!B137)^2/20)/19),"")</f>
        <v>0</v>
      </c>
      <c r="L117">
        <f>IFERROR('Fat Spreads'!H117,"")</f>
        <v>0</v>
      </c>
      <c r="M117">
        <f>IFERROR(('Fat Spreads'!I117-AVERAGE('Fat Spreads'!$I$3:$I$4308))/STDEV('Fat Spreads'!$I$3:$I$4308),"")</f>
        <v>-9.2057461789832332E-2</v>
      </c>
      <c r="N117">
        <f>IFERROR('Fat Spreads'!I117-'Fat Spreads'!I122,"")</f>
        <v>0</v>
      </c>
      <c r="O117">
        <f>IFERROR('Fat Spreads'!I117-'Fat Spreads'!I127,"")</f>
        <v>0</v>
      </c>
      <c r="P117">
        <f>IFERROR(AVERAGE('Fat Spreads'!I117:I136)+2*STDEV('Fat Spreads'!I117:I136),"")</f>
        <v>0</v>
      </c>
      <c r="Q117">
        <f>IFERROR(AVERAGE('Fat Spreads'!I117:I136)-2*STDEV('Fat Spreads'!I117:I136),"")</f>
        <v>0</v>
      </c>
      <c r="R117" t="str">
        <f>IFERROR(('Fat Spreads'!I117-(AVERAGE('Fat Spreads'!I117:I136)-2*STDEV('Fat Spreads'!I117:I136)))/(4*STDEV('Fat Spreads'!I117:I136)),"")</f>
        <v/>
      </c>
      <c r="S117" t="str">
        <f>IFERROR(4*STDEV('Fat Spreads'!I117:I136)/AVERAGE('Fat Spreads'!I117:I136),"")</f>
        <v/>
      </c>
      <c r="T117">
        <v>48.765500000000003</v>
      </c>
      <c r="U117">
        <f>IFERROR(SQRT((SUMSQ('Fat Spreads'!I117:I136)-2*SUMPRODUCT('Fat Spreads'!I117:I136,'Fat Spreads'!I118:I137)+SUMSQ('Fat Spreads'!I118:I137)-('Fat Spreads'!I117-'Fat Spreads'!I137)^2/20)/19),"")</f>
        <v>0</v>
      </c>
      <c r="W117">
        <f>IFERROR('Fat Spreads'!AQ117,"")</f>
        <v>0</v>
      </c>
      <c r="X117">
        <f>IFERROR(('Fat Spreads'!AR117-AVERAGE('Fat Spreads'!$AR$3:$AR$4308))/STDEV('Fat Spreads'!$AR$3:$AR$4308),"")</f>
        <v>-9.2057461789832346E-2</v>
      </c>
      <c r="Y117">
        <f>IFERROR('Fat Spreads'!AR117-'Fat Spreads'!AR122,"")</f>
        <v>0</v>
      </c>
      <c r="Z117">
        <f>IFERROR('Fat Spreads'!AR117-'Fat Spreads'!AR127,"")</f>
        <v>0</v>
      </c>
      <c r="AA117">
        <f>IFERROR(AVERAGE('Fat Spreads'!AR117:AR136)+2*STDEV('Fat Spreads'!AR117:AR136),"")</f>
        <v>0</v>
      </c>
      <c r="AB117">
        <f>IFERROR(AVERAGE('Fat Spreads'!AR117:AR136)-2*STDEV('Fat Spreads'!AR117:AR136),"")</f>
        <v>0</v>
      </c>
      <c r="AC117" t="str">
        <f>IFERROR(('Fat Spreads'!AR117-(AVERAGE('Fat Spreads'!AR117:AR136)-2*STDEV('Fat Spreads'!AR117:AR136)))/(4*STDEV('Fat Spreads'!AR117:AR136)),"")</f>
        <v/>
      </c>
      <c r="AD117" t="str">
        <f>IFERROR(4*STDEV('Fat Spreads'!AR117:AR136)/AVERAGE('Fat Spreads'!AR117:AR136),"")</f>
        <v/>
      </c>
      <c r="AE117">
        <v>63.008200000000002</v>
      </c>
      <c r="AF117">
        <f>IFERROR(SQRT((SUMSQ('Fat Spreads'!AR117:AR136)-2*SUMPRODUCT('Fat Spreads'!AR117:AR136,'Fat Spreads'!AR118:AR137)+SUMSQ('Fat Spreads'!AR118:AR137)-('Fat Spreads'!AR117-'Fat Spreads'!AR137)^2/20)/19),"")</f>
        <v>0</v>
      </c>
      <c r="AH117">
        <f>IFERROR('Fat Spreads'!O117,"")</f>
        <v>0</v>
      </c>
      <c r="AI117">
        <f>IFERROR(('Fat Spreads'!P117-AVERAGE('Fat Spreads'!$P$3:$P$4308))/STDEV('Fat Spreads'!$P$3:$P$4308),"")</f>
        <v>-9.2057461789832332E-2</v>
      </c>
      <c r="AJ117">
        <f>IFERROR('Fat Spreads'!P117-'Fat Spreads'!P122,"")</f>
        <v>0</v>
      </c>
      <c r="AK117">
        <f>IFERROR('Fat Spreads'!P117-'Fat Spreads'!P127,"")</f>
        <v>0</v>
      </c>
      <c r="AL117">
        <f>IFERROR(AVERAGE('Fat Spreads'!P117:P136)+2*STDEV('Fat Spreads'!P117:P136),"")</f>
        <v>0</v>
      </c>
      <c r="AM117">
        <f>IFERROR(AVERAGE('Fat Spreads'!P117:P136)-2*STDEV('Fat Spreads'!P117:P136),"")</f>
        <v>0</v>
      </c>
      <c r="AN117" t="str">
        <f>IFERROR(('Fat Spreads'!P117-(AVERAGE('Fat Spreads'!P117:P136)-2*STDEV('Fat Spreads'!P117:P136)))/(4*STDEV('Fat Spreads'!P117:P136)),"")</f>
        <v/>
      </c>
      <c r="AO117" t="str">
        <f>IFERROR(4*STDEV('Fat Spreads'!P117:P136)/AVERAGE('Fat Spreads'!P117:P136),"")</f>
        <v/>
      </c>
      <c r="AP117">
        <v>62.482500000000002</v>
      </c>
      <c r="AQ117">
        <f>IFERROR(SQRT((SUMSQ('Fat Spreads'!P117:P136)-2*SUMPRODUCT('Fat Spreads'!P117:P136,'Fat Spreads'!P118:P137)+SUMSQ('Fat Spreads'!P118:P137)-('Fat Spreads'!P117-'Fat Spreads'!P137)^2/20)/19),"")</f>
        <v>0</v>
      </c>
      <c r="AS117">
        <f>IFERROR('Fat Spreads'!AJ117,"")</f>
        <v>0</v>
      </c>
      <c r="AT117">
        <f>IFERROR(('Fat Spreads'!AK117-AVERAGE('Fat Spreads'!$AK$3:$AK$4308))/STDEV('Fat Spreads'!$AK$3:$AK$4308),"")</f>
        <v>-9.2057461789832332E-2</v>
      </c>
      <c r="AU117">
        <f>IFERROR('Fat Spreads'!AK117-'Fat Spreads'!AK122,"")</f>
        <v>0</v>
      </c>
      <c r="AV117">
        <f>IFERROR('Fat Spreads'!AK117-'Fat Spreads'!AK127,"")</f>
        <v>0</v>
      </c>
      <c r="AW117">
        <f>IFERROR(AVERAGE('Fat Spreads'!AK117:AK136)+2*STDEV('Fat Spreads'!AK117:AK136),"")</f>
        <v>0</v>
      </c>
      <c r="AX117">
        <f>IFERROR(AVERAGE('Fat Spreads'!AK117:AK136)-2*STDEV('Fat Spreads'!AK117:AK136),"")</f>
        <v>0</v>
      </c>
      <c r="AY117" t="str">
        <f>IFERROR(('Fat Spreads'!AK117-(AVERAGE('Fat Spreads'!AK117:AK136)-2*STDEV('Fat Spreads'!AK117:AK136)))/(4*STDEV('Fat Spreads'!AK117:AK136)),"")</f>
        <v/>
      </c>
      <c r="AZ117" t="str">
        <f>IFERROR(4*STDEV('Fat Spreads'!AK117:AK136)/AVERAGE('Fat Spreads'!AK117:AK136),"")</f>
        <v/>
      </c>
      <c r="BA117">
        <v>40.432200000000002</v>
      </c>
      <c r="BB117">
        <f>IFERROR(SQRT((SUMSQ('Fat Spreads'!AK117:AK136)-2*SUMPRODUCT('Fat Spreads'!AK117:AK136,'Fat Spreads'!AK118:AK137)+SUMSQ('Fat Spreads'!AK118:AK137)-('Fat Spreads'!AK117-'Fat Spreads'!AK137)^2/20)/19),"")</f>
        <v>0</v>
      </c>
      <c r="BD117">
        <f>IFERROR('Fat Spreads'!V117,"")</f>
        <v>0</v>
      </c>
      <c r="BE117">
        <f>IFERROR(('Fat Spreads'!W117-AVERAGE('Fat Spreads'!$W$3:$W$4308))/STDEV('Fat Spreads'!$W$3:$W$4308),"")</f>
        <v>-9.2057461789832332E-2</v>
      </c>
      <c r="BF117">
        <f>IFERROR('Fat Spreads'!W117-'Fat Spreads'!W122,"")</f>
        <v>0</v>
      </c>
      <c r="BG117">
        <f>IFERROR('Fat Spreads'!W117-'Fat Spreads'!W127,"")</f>
        <v>0</v>
      </c>
      <c r="BH117">
        <f>IFERROR(AVERAGE('Fat Spreads'!W117:W136)+2*STDEV('Fat Spreads'!W117:W136),"")</f>
        <v>0</v>
      </c>
      <c r="BI117">
        <f>IFERROR(AVERAGE('Fat Spreads'!W117:W136)-2*STDEV('Fat Spreads'!W117:W136),"")</f>
        <v>0</v>
      </c>
      <c r="BJ117" t="str">
        <f>IFERROR(('Fat Spreads'!W117-(AVERAGE('Fat Spreads'!W117:W136)-2*STDEV('Fat Spreads'!W117:W136)))/(4*STDEV('Fat Spreads'!W117:W136)),"")</f>
        <v/>
      </c>
      <c r="BK117" t="str">
        <f>IFERROR(4*STDEV('Fat Spreads'!W117:W136)/AVERAGE('Fat Spreads'!W117:W136),"")</f>
        <v/>
      </c>
      <c r="BL117">
        <v>44.947200000000002</v>
      </c>
      <c r="BM117">
        <f>IFERROR(SQRT((SUMSQ('Fat Spreads'!W117:W136)-2*SUMPRODUCT('Fat Spreads'!W117:W136,'Fat Spreads'!W118:W137)+SUMSQ('Fat Spreads'!W118:W137)-('Fat Spreads'!W117-'Fat Spreads'!W137)^2/20)/19),"")</f>
        <v>0</v>
      </c>
      <c r="BO117">
        <f>IFERROR('Fat Spreads'!AC117,"")</f>
        <v>0</v>
      </c>
      <c r="BP117">
        <f>IFERROR(('Fat Spreads'!AD117-AVERAGE('Fat Spreads'!$AD$3:$AD$4308))/STDEV('Fat Spreads'!$AD$3:$AD$4308),"")</f>
        <v>-9.2057461789832332E-2</v>
      </c>
      <c r="BQ117">
        <f>IFERROR('Fat Spreads'!AD117-'Fat Spreads'!AD122,"")</f>
        <v>0</v>
      </c>
      <c r="BR117">
        <f>IFERROR('Fat Spreads'!AD117-'Fat Spreads'!AD127,"")</f>
        <v>0</v>
      </c>
      <c r="BS117">
        <f>IFERROR(AVERAGE('Fat Spreads'!AD117:AD136)+2*STDEV('Fat Spreads'!AD117:AD136),"")</f>
        <v>0</v>
      </c>
      <c r="BT117">
        <f>IFERROR(AVERAGE('Fat Spreads'!AD117:AD136)-2*STDEV('Fat Spreads'!AD117:AD136),"")</f>
        <v>0</v>
      </c>
      <c r="BU117" t="str">
        <f>IFERROR(('Fat Spreads'!AD117-(AVERAGE('Fat Spreads'!AD117:AD136)-2*STDEV('Fat Spreads'!AD117:AD136)))/(4*STDEV('Fat Spreads'!AD117:AD136)),"")</f>
        <v/>
      </c>
      <c r="BV117" t="str">
        <f>IFERROR(4*STDEV('Fat Spreads'!AD117:AD136)/AVERAGE('Fat Spreads'!AD117:AD136),"")</f>
        <v/>
      </c>
      <c r="BW117">
        <v>39.889000000000003</v>
      </c>
      <c r="BX117">
        <f>IFERROR(SQRT((SUMSQ('Fat Spreads'!AD117:AD136)-2*SUMPRODUCT('Fat Spreads'!AD117:AD136,'Fat Spreads'!AD118:AD137)+SUMSQ('Fat Spreads'!AD118:AD137)-('Fat Spreads'!AD117-'Fat Spreads'!AD137)^2/20)/19),"")</f>
        <v>0</v>
      </c>
      <c r="BZ117">
        <f>IFERROR('Feeder Spreads'!A117,"")</f>
        <v>0</v>
      </c>
      <c r="CA117">
        <f>IFERROR(('Feeder Spreads'!B117-AVERAGE('Feeder Spreads'!$B$3:$B$4308))/STDEV('Feeder Spreads'!$B$3:$B$4308),"")</f>
        <v>-9.2057461789832346E-2</v>
      </c>
      <c r="CB117">
        <f>IFERROR('Feeder Spreads'!B117-'Feeder Spreads'!B122,"")</f>
        <v>0</v>
      </c>
      <c r="CC117">
        <f>IFERROR('Feeder Spreads'!B117-'Feeder Spreads'!B127,"")</f>
        <v>0</v>
      </c>
      <c r="CD117">
        <f>IFERROR(AVERAGE('Feeder Spreads'!B117:B136)+2*STDEV('Feeder Spreads'!B117:B136),"")</f>
        <v>0</v>
      </c>
      <c r="CE117">
        <f>IFERROR(AVERAGE('Feeder Spreads'!B117:B136)-2*STDEV('Feeder Spreads'!B117:B136),"")</f>
        <v>0</v>
      </c>
      <c r="CF117" t="str">
        <f>IFERROR(('Feeder Spreads'!B117-(AVERAGE('Feeder Spreads'!B117:B136)-2*STDEV('Feeder Spreads'!B117:B136)))/(4*STDEV('Feeder Spreads'!B117:B136)),"")</f>
        <v/>
      </c>
      <c r="CG117" t="str">
        <f>IFERROR(4*STDEV('Feeder Spreads'!B117:B136)/AVERAGE('Feeder Spreads'!B117:B136),"")</f>
        <v/>
      </c>
      <c r="CH117">
        <v>51.977600000000002</v>
      </c>
      <c r="CI117">
        <f>IFERROR(SQRT((SUMSQ('Feeder Spreads'!B117:B136)-2*SUMPRODUCT('Feeder Spreads'!B117:B136,'Feeder Spreads'!B118:B137)+SUMSQ('Feeder Spreads'!B118:B137)-('Feeder Spreads'!B117-'Feeder Spreads'!B137)^2/20)/19),"")</f>
        <v>0</v>
      </c>
      <c r="CK117">
        <f>IFERROR('Feeder Spreads'!AX117,"")</f>
        <v>0</v>
      </c>
      <c r="CL117">
        <f>IFERROR(('Feeder Spreads'!AY117-AVERAGE('Feeder Spreads'!$AY$3:$AY$4308))/STDEV('Feeder Spreads'!$AY$3:$AY$4308),"")</f>
        <v>-9.2057461789832346E-2</v>
      </c>
      <c r="CM117">
        <f>IFERROR('Feeder Spreads'!AY117-'Feeder Spreads'!AY122,"")</f>
        <v>0</v>
      </c>
      <c r="CN117">
        <f>IFERROR('Feeder Spreads'!AY117-'Feeder Spreads'!AY127,"")</f>
        <v>0</v>
      </c>
      <c r="CO117">
        <f>IFERROR(AVERAGE('Feeder Spreads'!AY117:AY136)+2*STDEV('Feeder Spreads'!AY117:AY136),"")</f>
        <v>0</v>
      </c>
      <c r="CP117">
        <f>IFERROR(AVERAGE('Feeder Spreads'!AY117:AY136)-2*STDEV('Feeder Spreads'!AY117:AY136),"")</f>
        <v>0</v>
      </c>
      <c r="CQ117" t="str">
        <f>IFERROR(('Feeder Spreads'!AY117-(AVERAGE('Feeder Spreads'!AY117:AY136)-2*STDEV('Feeder Spreads'!AY117:AY136)))/(4*STDEV('Feeder Spreads'!AY117:AY136)),"")</f>
        <v/>
      </c>
      <c r="CR117" t="str">
        <f>IFERROR(4*STDEV('Feeder Spreads'!AY117:AY136)/AVERAGE('Feeder Spreads'!AY117:AY136),"")</f>
        <v/>
      </c>
      <c r="CS117">
        <v>66.344399999999993</v>
      </c>
      <c r="CT117">
        <f>IFERROR(SQRT((SUMSQ('Feeder Spreads'!AY117:AY136)-2*SUMPRODUCT('Feeder Spreads'!AY117:AY136,'Feeder Spreads'!AY118:AY137)+SUMSQ('Feeder Spreads'!AY118:AY137)-('Feeder Spreads'!AY117-'Feeder Spreads'!AY137)^2/20)/19),"")</f>
        <v>0</v>
      </c>
      <c r="CV117">
        <f>IFERROR('Feeder Spreads'!H117,"")</f>
        <v>0</v>
      </c>
      <c r="CW117">
        <f>IFERROR(('Feeder Spreads'!I117-AVERAGE('Feeder Spreads'!$I$3:$I$4308))/STDEV('Feeder Spreads'!$I$3:$I$4308),"")</f>
        <v>-9.2057461789832332E-2</v>
      </c>
      <c r="CX117">
        <f>IFERROR('Feeder Spreads'!I117-'Feeder Spreads'!I122,"")</f>
        <v>0</v>
      </c>
      <c r="CY117">
        <f>IFERROR('Feeder Spreads'!I117-'Feeder Spreads'!I127,"")</f>
        <v>0</v>
      </c>
      <c r="CZ117">
        <f>IFERROR(AVERAGE('Feeder Spreads'!I117:I136)+2*STDEV('Feeder Spreads'!I117:I136),"")</f>
        <v>0</v>
      </c>
      <c r="DA117">
        <f>IFERROR(AVERAGE('Feeder Spreads'!I117:I136)-2*STDEV('Feeder Spreads'!I117:I136),"")</f>
        <v>0</v>
      </c>
      <c r="DB117" t="str">
        <f>IFERROR(('Feeder Spreads'!I117-(AVERAGE('Feeder Spreads'!I117:I136)-2*STDEV('Feeder Spreads'!I117:I136)))/(4*STDEV('Feeder Spreads'!I117:I136)),"")</f>
        <v/>
      </c>
      <c r="DC117" t="str">
        <f>IFERROR(4*STDEV('Feeder Spreads'!I117:I136)/AVERAGE('Feeder Spreads'!I117:I136),"")</f>
        <v/>
      </c>
      <c r="DD117">
        <v>49.291899999999998</v>
      </c>
      <c r="DE117">
        <f>IFERROR(SQRT((SUMSQ('Feeder Spreads'!I117:I136)-2*SUMPRODUCT('Feeder Spreads'!I117:I136,'Feeder Spreads'!I118:I137)+SUMSQ('Feeder Spreads'!I118:I137)-('Feeder Spreads'!I117-'Feeder Spreads'!I137)^2/20)/19),"")</f>
        <v>0</v>
      </c>
      <c r="DG117">
        <f>IFERROR('Feeder Spreads'!O117,"")</f>
        <v>0</v>
      </c>
      <c r="DH117">
        <f>IFERROR(('Feeder Spreads'!P117-AVERAGE('Feeder Spreads'!$P$3:$P$4308))/STDEV('Feeder Spreads'!$P$3:$P$4308),"")</f>
        <v>-9.2057461789832346E-2</v>
      </c>
      <c r="DI117">
        <f>IFERROR('Feeder Spreads'!P117-'Feeder Spreads'!P122,"")</f>
        <v>0</v>
      </c>
      <c r="DJ117">
        <f>IFERROR('Feeder Spreads'!P117-'Feeder Spreads'!P127,"")</f>
        <v>0</v>
      </c>
      <c r="DK117">
        <f>IFERROR(AVERAGE('Feeder Spreads'!P117:P136)+2*STDEV('Feeder Spreads'!P117:P136),"")</f>
        <v>0</v>
      </c>
      <c r="DL117">
        <f>IFERROR(AVERAGE('Feeder Spreads'!P117:P136)-2*STDEV('Feeder Spreads'!P117:P136),"")</f>
        <v>0</v>
      </c>
      <c r="DM117" t="str">
        <f>IFERROR(('Feeder Spreads'!P117-(AVERAGE('Feeder Spreads'!P117:P136)-2*STDEV('Feeder Spreads'!P117:P136)))/(4*STDEV('Feeder Spreads'!P117:P136)),"")</f>
        <v/>
      </c>
      <c r="DN117" t="str">
        <f>IFERROR(4*STDEV('Feeder Spreads'!P117:P136)/AVERAGE('Feeder Spreads'!P117:P136),"")</f>
        <v/>
      </c>
      <c r="DO117">
        <v>23.1767</v>
      </c>
      <c r="DP117">
        <f>IFERROR(SQRT((SUMSQ('Feeder Spreads'!P117:P136)-2*SUMPRODUCT('Feeder Spreads'!P117:P136,'Feeder Spreads'!P118:P137)+SUMSQ('Feeder Spreads'!P118:P137)-('Feeder Spreads'!P117-'Feeder Spreads'!P137)^2/20)/19),"")</f>
        <v>0</v>
      </c>
      <c r="DR117">
        <f>IFERROR('Feeder Spreads'!V117,"")</f>
        <v>0</v>
      </c>
      <c r="DS117">
        <f>IFERROR(('Feeder Spreads'!W117-AVERAGE('Feeder Spreads'!$W$3:$W$4308))/STDEV('Feeder Spreads'!$W$3:$W$4308),"")</f>
        <v>-9.2057461789832332E-2</v>
      </c>
      <c r="DT117">
        <f>IFERROR('Feeder Spreads'!W117-'Feeder Spreads'!W122,"")</f>
        <v>0</v>
      </c>
      <c r="DU117">
        <f>IFERROR('Feeder Spreads'!W117-'Feeder Spreads'!W127,"")</f>
        <v>0</v>
      </c>
      <c r="DV117">
        <f>IFERROR(AVERAGE('Feeder Spreads'!W117:W136)+2*STDEV('Feeder Spreads'!W117:W136),"")</f>
        <v>0</v>
      </c>
      <c r="DW117">
        <f>IFERROR(AVERAGE('Feeder Spreads'!W117:W136)-2*STDEV('Feeder Spreads'!W117:W136),"")</f>
        <v>0</v>
      </c>
      <c r="DX117" t="str">
        <f>IFERROR(('Feeder Spreads'!W117-(AVERAGE('Feeder Spreads'!W117:W136)-2*STDEV('Feeder Spreads'!W117:W136)))/(4*STDEV('Feeder Spreads'!W117:W136)),"")</f>
        <v/>
      </c>
      <c r="DY117" t="str">
        <f>IFERROR(4*STDEV('Feeder Spreads'!W117:W136)/AVERAGE('Feeder Spreads'!W117:W136),"")</f>
        <v/>
      </c>
      <c r="DZ117">
        <v>74.642200000000003</v>
      </c>
      <c r="EA117">
        <f>IFERROR(SQRT((SUMSQ('Feeder Spreads'!W117:W136)-2*SUMPRODUCT('Feeder Spreads'!W117:W136,'Feeder Spreads'!W118:W137)+SUMSQ('Feeder Spreads'!W118:W137)-('Feeder Spreads'!W117-'Feeder Spreads'!W137)^2/20)/19),"")</f>
        <v>0</v>
      </c>
      <c r="EC117">
        <f>IFERROR('Feeder Spreads'!AC117,"")</f>
        <v>0</v>
      </c>
      <c r="ED117">
        <f>IFERROR(('Feeder Spreads'!AD117-AVERAGE('Feeder Spreads'!$AD$3:$AD$4308))/STDEV('Feeder Spreads'!$AD$3:$AD$4308),"")</f>
        <v>9.2057461789832318E-2</v>
      </c>
      <c r="EE117">
        <f>IFERROR('Feeder Spreads'!AD117-'Feeder Spreads'!AD122,"")</f>
        <v>0</v>
      </c>
      <c r="EF117">
        <f>IFERROR('Feeder Spreads'!AD117-'Feeder Spreads'!AD127,"")</f>
        <v>0</v>
      </c>
      <c r="EG117">
        <f>IFERROR(AVERAGE('Feeder Spreads'!AD117:AD136)+2*STDEV('Feeder Spreads'!AD117:AD136),"")</f>
        <v>0</v>
      </c>
      <c r="EH117">
        <f>IFERROR(AVERAGE('Feeder Spreads'!AD117:AD136)-2*STDEV('Feeder Spreads'!AD117:AD136),"")</f>
        <v>0</v>
      </c>
      <c r="EI117" t="str">
        <f>IFERROR(('Feeder Spreads'!AD117-(AVERAGE('Feeder Spreads'!AD117:AD136)-2*STDEV('Feeder Spreads'!AD117:AD136)))/(4*STDEV('Feeder Spreads'!AD117:AD136)),"")</f>
        <v/>
      </c>
      <c r="EJ117" t="str">
        <f>IFERROR(4*STDEV('Feeder Spreads'!AD117:AD136)/AVERAGE('Feeder Spreads'!AD117:AD136),"")</f>
        <v/>
      </c>
      <c r="EK117">
        <v>49.676600000000001</v>
      </c>
      <c r="EL117">
        <f>IFERROR(SQRT((SUMSQ('Feeder Spreads'!AD117:AD136)-2*SUMPRODUCT('Feeder Spreads'!AD117:AD136,'Feeder Spreads'!AD118:AD137)+SUMSQ('Feeder Spreads'!AD118:AD137)-('Feeder Spreads'!AD117-'Feeder Spreads'!AD137)^2/20)/19),"")</f>
        <v>0</v>
      </c>
      <c r="EN117">
        <f>IFERROR('Feeder Spreads'!AJ117,"")</f>
        <v>0</v>
      </c>
      <c r="EO117">
        <f>IFERROR(('Feeder Spreads'!AK117-AVERAGE('Feeder Spreads'!$AK$3:$AK$4308))/STDEV('Feeder Spreads'!$AK$3:$AK$4308),"")</f>
        <v>-9.2057461789832346E-2</v>
      </c>
      <c r="EP117">
        <f>IFERROR('Feeder Spreads'!AK117-'Feeder Spreads'!AK122,"")</f>
        <v>0</v>
      </c>
      <c r="EQ117">
        <f>IFERROR('Feeder Spreads'!AK117-'Feeder Spreads'!AK127,"")</f>
        <v>0</v>
      </c>
      <c r="ER117">
        <f>IFERROR(AVERAGE('Feeder Spreads'!AK117:AK136)+2*STDEV('Feeder Spreads'!AK117:AK136),"")</f>
        <v>0</v>
      </c>
      <c r="ES117">
        <f>IFERROR(AVERAGE('Feeder Spreads'!AK117:AK136)-2*STDEV('Feeder Spreads'!AK117:AK136),"")</f>
        <v>0</v>
      </c>
      <c r="ET117" t="str">
        <f>IFERROR(('Feeder Spreads'!AK117-(AVERAGE('Feeder Spreads'!AK117:AK136)-2*STDEV('Feeder Spreads'!AK117:AK136)))/(4*STDEV('Feeder Spreads'!AK117:AK136)),"")</f>
        <v/>
      </c>
      <c r="EU117" t="str">
        <f>IFERROR(4*STDEV('Feeder Spreads'!AK117:AK136)/AVERAGE('Feeder Spreads'!AK117:AK136),"")</f>
        <v/>
      </c>
      <c r="EV117">
        <v>64.340699999999998</v>
      </c>
      <c r="EW117">
        <f>IFERROR(SQRT((SUMSQ('Feeder Spreads'!AK117:AK136)-2*SUMPRODUCT('Feeder Spreads'!AK117:AK136,'Feeder Spreads'!AK118:AK137)+SUMSQ('Feeder Spreads'!AK118:AK137)-('Feeder Spreads'!AK117-'Feeder Spreads'!AK137)^2/20)/19),"")</f>
        <v>0</v>
      </c>
      <c r="EY117">
        <f>IFERROR('Feeder Spreads'!AQ117,"")</f>
        <v>0</v>
      </c>
      <c r="EZ117">
        <f>IFERROR(('Feeder Spreads'!AR117-AVERAGE('Feeder Spreads'!$AR$3:$AR$4308))/STDEV('Feeder Spreads'!$AR$3:$AR$4308),"")</f>
        <v>-9.2057461789832332E-2</v>
      </c>
      <c r="FA117">
        <f>IFERROR('Feeder Spreads'!AR117-'Feeder Spreads'!AR122,"")</f>
        <v>0</v>
      </c>
      <c r="FB117">
        <f>IFERROR('Feeder Spreads'!AR117-'Feeder Spreads'!AR127,"")</f>
        <v>0</v>
      </c>
      <c r="FC117">
        <f>IFERROR(AVERAGE('Feeder Spreads'!AR117:AR136)+2*STDEV('Feeder Spreads'!AR117:AR136),"")</f>
        <v>0</v>
      </c>
      <c r="FD117">
        <f>IFERROR(AVERAGE('Feeder Spreads'!AR117:AR136)-2*STDEV('Feeder Spreads'!AR117:AR136),"")</f>
        <v>0</v>
      </c>
      <c r="FE117" t="str">
        <f>IFERROR(('Feeder Spreads'!AR117-(AVERAGE('Feeder Spreads'!AR117:AR136)-2*STDEV('Feeder Spreads'!AR117:AR136)))/(4*STDEV('Feeder Spreads'!AR117:AR136)),"")</f>
        <v/>
      </c>
      <c r="FF117" t="str">
        <f>IFERROR(4*STDEV('Feeder Spreads'!AR117:AR136)/AVERAGE('Feeder Spreads'!AR117:AR136),"")</f>
        <v/>
      </c>
      <c r="FG117">
        <v>63.635599999999997</v>
      </c>
      <c r="FH117">
        <f>IFERROR(SQRT((SUMSQ('Feeder Spreads'!AR117:AR136)-2*SUMPRODUCT('Feeder Spreads'!AR117:AR136,'Feeder Spreads'!AR118:AR137)+SUMSQ('Feeder Spreads'!AR118:AR137)-('Feeder Spreads'!AR117-'Feeder Spreads'!AR137)^2/20)/19),"")</f>
        <v>0</v>
      </c>
      <c r="FJ117">
        <f>IFERROR('Fat Spreads'!AX117,"")</f>
        <v>0</v>
      </c>
      <c r="FK117">
        <f>IFERROR(('Fat Spreads'!AY117-AVERAGE('Fat Spreads'!$AY$3:$AY$4308))/STDEV('Fat Spreads'!$AY$3:$AY$4308),"")</f>
        <v>9.2057461789832332E-2</v>
      </c>
      <c r="FL117">
        <f>IFERROR('Fat Spreads'!AY117-'Fat Spreads'!AY122,"")</f>
        <v>0</v>
      </c>
      <c r="FM117">
        <f>IFERROR('Fat Spreads'!AY117-'Fat Spreads'!AY127,"")</f>
        <v>0</v>
      </c>
      <c r="FN117">
        <f>IFERROR(AVERAGE('Fat Spreads'!AY117:AY136)+2*STDEV('Fat Spreads'!AY117:AY136),"")</f>
        <v>0</v>
      </c>
      <c r="FO117">
        <f>IFERROR(AVERAGE('Fat Spreads'!AY117:AY136)-2*STDEV('Fat Spreads'!AY117:AY136),"")</f>
        <v>0</v>
      </c>
      <c r="FP117" t="str">
        <f>IFERROR(('Fat Spreads'!AY117-(AVERAGE('Fat Spreads'!AY117:AY136)-2*STDEV('Fat Spreads'!AY117:AY136)))/(4*STDEV('Fat Spreads'!AY117:AY136)),"")</f>
        <v/>
      </c>
      <c r="FQ117" t="str">
        <f>IFERROR(4*STDEV('Fat Spreads'!AY117:AY136)/AVERAGE('Fat Spreads'!AY117:AY136),"")</f>
        <v/>
      </c>
      <c r="FR117">
        <v>37.5503</v>
      </c>
      <c r="FS117">
        <f>IFERROR(SQRT((SUMSQ('Fat Spreads'!AY117:AY136)-2*SUMPRODUCT('Fat Spreads'!AY117:AY136,'Fat Spreads'!AY118:AY137)+SUMSQ('Fat Spreads'!AY118:AY137)-('Fat Spreads'!AY117-'Fat Spreads'!AY137)^2/20)/19),"")</f>
        <v>0</v>
      </c>
      <c r="FU117">
        <f>IFERROR('Fat Spreads'!BE117,"")</f>
        <v>0</v>
      </c>
      <c r="FV117">
        <f>IFERROR(('Fat Spreads'!BF117-AVERAGE('Fat Spreads'!$BF$3:$BF$4308))/STDEV('Fat Spreads'!$BF$3:$BF$4308),"")</f>
        <v>9.2057461789832332E-2</v>
      </c>
      <c r="FW117">
        <f>IFERROR('Fat Spreads'!BF117-'Fat Spreads'!BF122,"")</f>
        <v>0</v>
      </c>
      <c r="FX117">
        <f>IFERROR('Fat Spreads'!BF117-'Fat Spreads'!BF127,"")</f>
        <v>0</v>
      </c>
      <c r="FY117">
        <f>IFERROR(AVERAGE('Fat Spreads'!BF117:BF136)+2*STDEV('Fat Spreads'!BF117:BF136),"")</f>
        <v>0</v>
      </c>
      <c r="FZ117">
        <f>IFERROR(AVERAGE('Fat Spreads'!BF117:BF136)-2*STDEV('Fat Spreads'!BF117:BF136),"")</f>
        <v>0</v>
      </c>
      <c r="GA117" t="str">
        <f>IFERROR(('Fat Spreads'!BF117-(AVERAGE('Fat Spreads'!BF117:BF136)-2*STDEV('Fat Spreads'!BF117:BF136)))/(4*STDEV('Fat Spreads'!BF117:BF136)),"")</f>
        <v/>
      </c>
      <c r="GB117" t="str">
        <f>IFERROR(4*STDEV('Fat Spreads'!BF117:BF136)/AVERAGE('Fat Spreads'!BF117:BF136),"")</f>
        <v/>
      </c>
      <c r="GC117">
        <v>43.193399999999997</v>
      </c>
      <c r="GD117">
        <f>IFERROR(SQRT((SUMSQ('Fat Spreads'!BF117:BF136)-2*SUMPRODUCT('Fat Spreads'!BF117:BF136,'Fat Spreads'!BF118:BF137)+SUMSQ('Fat Spreads'!BF118:BF137)-('Fat Spreads'!BF117-'Fat Spreads'!BF137)^2/20)/19),"")</f>
        <v>0</v>
      </c>
    </row>
    <row r="118" spans="1:186" x14ac:dyDescent="0.25">
      <c r="A118">
        <f>IFERROR('Fat Spreads'!A118,"")</f>
        <v>0</v>
      </c>
      <c r="B118">
        <f>IFERROR(('Fat Spreads'!B118-AVERAGE('Fat Spreads'!$B$3:$B$4308))/STDEV('Fat Spreads'!$B$3:$B$4308),"")</f>
        <v>9.2057461789832346E-2</v>
      </c>
      <c r="C118">
        <f>IFERROR('Fat Spreads'!B118-'Fat Spreads'!B123,"")</f>
        <v>0</v>
      </c>
      <c r="D118">
        <f>IFERROR('Fat Spreads'!B118-'Fat Spreads'!B128,"")</f>
        <v>0</v>
      </c>
      <c r="E118">
        <f>IFERROR(AVERAGE('Fat Spreads'!B118:B137)+2*STDEV('Fat Spreads'!B118:B137),"")</f>
        <v>0</v>
      </c>
      <c r="F118">
        <f>IFERROR(AVERAGE('Fat Spreads'!B118:B137)-2*STDEV('Fat Spreads'!B118:B137),"")</f>
        <v>0</v>
      </c>
      <c r="G118" t="str">
        <f>IFERROR(('Fat Spreads'!B118-(AVERAGE('Fat Spreads'!B118:B137)-2*STDEV('Fat Spreads'!B118:B137)))/(4*STDEV('Fat Spreads'!B118:B137)),"")</f>
        <v/>
      </c>
      <c r="H118" t="str">
        <f>IFERROR(4*STDEV('Fat Spreads'!B118:B137)/AVERAGE('Fat Spreads'!B118:B137),"")</f>
        <v/>
      </c>
      <c r="I118">
        <v>45.341299999999997</v>
      </c>
      <c r="J118">
        <f>IFERROR(SQRT((SUMSQ('Fat Spreads'!B118:B137)-2*SUMPRODUCT('Fat Spreads'!B118:B137,'Fat Spreads'!B119:B138)+SUMSQ('Fat Spreads'!B119:B138)-('Fat Spreads'!B118-'Fat Spreads'!B138)^2/20)/19),"")</f>
        <v>0</v>
      </c>
      <c r="L118">
        <f>IFERROR('Fat Spreads'!H118,"")</f>
        <v>0</v>
      </c>
      <c r="M118">
        <f>IFERROR(('Fat Spreads'!I118-AVERAGE('Fat Spreads'!$I$3:$I$4308))/STDEV('Fat Spreads'!$I$3:$I$4308),"")</f>
        <v>-9.2057461789832332E-2</v>
      </c>
      <c r="N118">
        <f>IFERROR('Fat Spreads'!I118-'Fat Spreads'!I123,"")</f>
        <v>0</v>
      </c>
      <c r="O118">
        <f>IFERROR('Fat Spreads'!I118-'Fat Spreads'!I128,"")</f>
        <v>0</v>
      </c>
      <c r="P118">
        <f>IFERROR(AVERAGE('Fat Spreads'!I118:I137)+2*STDEV('Fat Spreads'!I118:I137),"")</f>
        <v>0</v>
      </c>
      <c r="Q118">
        <f>IFERROR(AVERAGE('Fat Spreads'!I118:I137)-2*STDEV('Fat Spreads'!I118:I137),"")</f>
        <v>0</v>
      </c>
      <c r="R118" t="str">
        <f>IFERROR(('Fat Spreads'!I118-(AVERAGE('Fat Spreads'!I118:I137)-2*STDEV('Fat Spreads'!I118:I137)))/(4*STDEV('Fat Spreads'!I118:I137)),"")</f>
        <v/>
      </c>
      <c r="S118" t="str">
        <f>IFERROR(4*STDEV('Fat Spreads'!I118:I137)/AVERAGE('Fat Spreads'!I118:I137),"")</f>
        <v/>
      </c>
      <c r="T118">
        <v>52.930500000000002</v>
      </c>
      <c r="U118">
        <f>IFERROR(SQRT((SUMSQ('Fat Spreads'!I118:I137)-2*SUMPRODUCT('Fat Spreads'!I118:I137,'Fat Spreads'!I119:I138)+SUMSQ('Fat Spreads'!I119:I138)-('Fat Spreads'!I118-'Fat Spreads'!I138)^2/20)/19),"")</f>
        <v>0</v>
      </c>
      <c r="W118">
        <f>IFERROR('Fat Spreads'!AQ118,"")</f>
        <v>0</v>
      </c>
      <c r="X118">
        <f>IFERROR(('Fat Spreads'!AR118-AVERAGE('Fat Spreads'!$AR$3:$AR$4308))/STDEV('Fat Spreads'!$AR$3:$AR$4308),"")</f>
        <v>-9.2057461789832346E-2</v>
      </c>
      <c r="Y118">
        <f>IFERROR('Fat Spreads'!AR118-'Fat Spreads'!AR123,"")</f>
        <v>0</v>
      </c>
      <c r="Z118">
        <f>IFERROR('Fat Spreads'!AR118-'Fat Spreads'!AR128,"")</f>
        <v>0</v>
      </c>
      <c r="AA118">
        <f>IFERROR(AVERAGE('Fat Spreads'!AR118:AR137)+2*STDEV('Fat Spreads'!AR118:AR137),"")</f>
        <v>0</v>
      </c>
      <c r="AB118">
        <f>IFERROR(AVERAGE('Fat Spreads'!AR118:AR137)-2*STDEV('Fat Spreads'!AR118:AR137),"")</f>
        <v>0</v>
      </c>
      <c r="AC118" t="str">
        <f>IFERROR(('Fat Spreads'!AR118-(AVERAGE('Fat Spreads'!AR118:AR137)-2*STDEV('Fat Spreads'!AR118:AR137)))/(4*STDEV('Fat Spreads'!AR118:AR137)),"")</f>
        <v/>
      </c>
      <c r="AD118" t="str">
        <f>IFERROR(4*STDEV('Fat Spreads'!AR118:AR137)/AVERAGE('Fat Spreads'!AR118:AR137),"")</f>
        <v/>
      </c>
      <c r="AE118">
        <v>56.97</v>
      </c>
      <c r="AF118">
        <f>IFERROR(SQRT((SUMSQ('Fat Spreads'!AR118:AR137)-2*SUMPRODUCT('Fat Spreads'!AR118:AR137,'Fat Spreads'!AR119:AR138)+SUMSQ('Fat Spreads'!AR119:AR138)-('Fat Spreads'!AR118-'Fat Spreads'!AR138)^2/20)/19),"")</f>
        <v>0</v>
      </c>
      <c r="AH118">
        <f>IFERROR('Fat Spreads'!O118,"")</f>
        <v>0</v>
      </c>
      <c r="AI118">
        <f>IFERROR(('Fat Spreads'!P118-AVERAGE('Fat Spreads'!$P$3:$P$4308))/STDEV('Fat Spreads'!$P$3:$P$4308),"")</f>
        <v>-9.2057461789832332E-2</v>
      </c>
      <c r="AJ118">
        <f>IFERROR('Fat Spreads'!P118-'Fat Spreads'!P123,"")</f>
        <v>0</v>
      </c>
      <c r="AK118">
        <f>IFERROR('Fat Spreads'!P118-'Fat Spreads'!P128,"")</f>
        <v>0</v>
      </c>
      <c r="AL118">
        <f>IFERROR(AVERAGE('Fat Spreads'!P118:P137)+2*STDEV('Fat Spreads'!P118:P137),"")</f>
        <v>0</v>
      </c>
      <c r="AM118">
        <f>IFERROR(AVERAGE('Fat Spreads'!P118:P137)-2*STDEV('Fat Spreads'!P118:P137),"")</f>
        <v>0</v>
      </c>
      <c r="AN118" t="str">
        <f>IFERROR(('Fat Spreads'!P118-(AVERAGE('Fat Spreads'!P118:P137)-2*STDEV('Fat Spreads'!P118:P137)))/(4*STDEV('Fat Spreads'!P118:P137)),"")</f>
        <v/>
      </c>
      <c r="AO118" t="str">
        <f>IFERROR(4*STDEV('Fat Spreads'!P118:P137)/AVERAGE('Fat Spreads'!P118:P137),"")</f>
        <v/>
      </c>
      <c r="AP118">
        <v>62.576900000000002</v>
      </c>
      <c r="AQ118">
        <f>IFERROR(SQRT((SUMSQ('Fat Spreads'!P118:P137)-2*SUMPRODUCT('Fat Spreads'!P118:P137,'Fat Spreads'!P119:P138)+SUMSQ('Fat Spreads'!P119:P138)-('Fat Spreads'!P118-'Fat Spreads'!P138)^2/20)/19),"")</f>
        <v>0</v>
      </c>
      <c r="AS118">
        <f>IFERROR('Fat Spreads'!AJ118,"")</f>
        <v>0</v>
      </c>
      <c r="AT118">
        <f>IFERROR(('Fat Spreads'!AK118-AVERAGE('Fat Spreads'!$AK$3:$AK$4308))/STDEV('Fat Spreads'!$AK$3:$AK$4308),"")</f>
        <v>-9.2057461789832332E-2</v>
      </c>
      <c r="AU118">
        <f>IFERROR('Fat Spreads'!AK118-'Fat Spreads'!AK123,"")</f>
        <v>0</v>
      </c>
      <c r="AV118">
        <f>IFERROR('Fat Spreads'!AK118-'Fat Spreads'!AK128,"")</f>
        <v>0</v>
      </c>
      <c r="AW118">
        <f>IFERROR(AVERAGE('Fat Spreads'!AK118:AK137)+2*STDEV('Fat Spreads'!AK118:AK137),"")</f>
        <v>0</v>
      </c>
      <c r="AX118">
        <f>IFERROR(AVERAGE('Fat Spreads'!AK118:AK137)-2*STDEV('Fat Spreads'!AK118:AK137),"")</f>
        <v>0</v>
      </c>
      <c r="AY118" t="str">
        <f>IFERROR(('Fat Spreads'!AK118-(AVERAGE('Fat Spreads'!AK118:AK137)-2*STDEV('Fat Spreads'!AK118:AK137)))/(4*STDEV('Fat Spreads'!AK118:AK137)),"")</f>
        <v/>
      </c>
      <c r="AZ118" t="str">
        <f>IFERROR(4*STDEV('Fat Spreads'!AK118:AK137)/AVERAGE('Fat Spreads'!AK118:AK137),"")</f>
        <v/>
      </c>
      <c r="BA118">
        <v>46.595300000000002</v>
      </c>
      <c r="BB118">
        <f>IFERROR(SQRT((SUMSQ('Fat Spreads'!AK118:AK137)-2*SUMPRODUCT('Fat Spreads'!AK118:AK137,'Fat Spreads'!AK119:AK138)+SUMSQ('Fat Spreads'!AK119:AK138)-('Fat Spreads'!AK118-'Fat Spreads'!AK138)^2/20)/19),"")</f>
        <v>0</v>
      </c>
      <c r="BD118">
        <f>IFERROR('Fat Spreads'!V118,"")</f>
        <v>0</v>
      </c>
      <c r="BE118">
        <f>IFERROR(('Fat Spreads'!W118-AVERAGE('Fat Spreads'!$W$3:$W$4308))/STDEV('Fat Spreads'!$W$3:$W$4308),"")</f>
        <v>-9.2057461789832332E-2</v>
      </c>
      <c r="BF118">
        <f>IFERROR('Fat Spreads'!W118-'Fat Spreads'!W123,"")</f>
        <v>0</v>
      </c>
      <c r="BG118">
        <f>IFERROR('Fat Spreads'!W118-'Fat Spreads'!W128,"")</f>
        <v>0</v>
      </c>
      <c r="BH118">
        <f>IFERROR(AVERAGE('Fat Spreads'!W118:W137)+2*STDEV('Fat Spreads'!W118:W137),"")</f>
        <v>0</v>
      </c>
      <c r="BI118">
        <f>IFERROR(AVERAGE('Fat Spreads'!W118:W137)-2*STDEV('Fat Spreads'!W118:W137),"")</f>
        <v>0</v>
      </c>
      <c r="BJ118" t="str">
        <f>IFERROR(('Fat Spreads'!W118-(AVERAGE('Fat Spreads'!W118:W137)-2*STDEV('Fat Spreads'!W118:W137)))/(4*STDEV('Fat Spreads'!W118:W137)),"")</f>
        <v/>
      </c>
      <c r="BK118" t="str">
        <f>IFERROR(4*STDEV('Fat Spreads'!W118:W137)/AVERAGE('Fat Spreads'!W118:W137),"")</f>
        <v/>
      </c>
      <c r="BL118">
        <v>40.542299999999997</v>
      </c>
      <c r="BM118">
        <f>IFERROR(SQRT((SUMSQ('Fat Spreads'!W118:W137)-2*SUMPRODUCT('Fat Spreads'!W118:W137,'Fat Spreads'!W119:W138)+SUMSQ('Fat Spreads'!W119:W138)-('Fat Spreads'!W118-'Fat Spreads'!W138)^2/20)/19),"")</f>
        <v>0</v>
      </c>
      <c r="BO118">
        <f>IFERROR('Fat Spreads'!AC118,"")</f>
        <v>0</v>
      </c>
      <c r="BP118">
        <f>IFERROR(('Fat Spreads'!AD118-AVERAGE('Fat Spreads'!$AD$3:$AD$4308))/STDEV('Fat Spreads'!$AD$3:$AD$4308),"")</f>
        <v>-9.2057461789832332E-2</v>
      </c>
      <c r="BQ118">
        <f>IFERROR('Fat Spreads'!AD118-'Fat Spreads'!AD123,"")</f>
        <v>0</v>
      </c>
      <c r="BR118">
        <f>IFERROR('Fat Spreads'!AD118-'Fat Spreads'!AD128,"")</f>
        <v>0</v>
      </c>
      <c r="BS118">
        <f>IFERROR(AVERAGE('Fat Spreads'!AD118:AD137)+2*STDEV('Fat Spreads'!AD118:AD137),"")</f>
        <v>0</v>
      </c>
      <c r="BT118">
        <f>IFERROR(AVERAGE('Fat Spreads'!AD118:AD137)-2*STDEV('Fat Spreads'!AD118:AD137),"")</f>
        <v>0</v>
      </c>
      <c r="BU118" t="str">
        <f>IFERROR(('Fat Spreads'!AD118-(AVERAGE('Fat Spreads'!AD118:AD137)-2*STDEV('Fat Spreads'!AD118:AD137)))/(4*STDEV('Fat Spreads'!AD118:AD137)),"")</f>
        <v/>
      </c>
      <c r="BV118" t="str">
        <f>IFERROR(4*STDEV('Fat Spreads'!AD118:AD137)/AVERAGE('Fat Spreads'!AD118:AD137),"")</f>
        <v/>
      </c>
      <c r="BW118">
        <v>42.341099999999997</v>
      </c>
      <c r="BX118">
        <f>IFERROR(SQRT((SUMSQ('Fat Spreads'!AD118:AD137)-2*SUMPRODUCT('Fat Spreads'!AD118:AD137,'Fat Spreads'!AD119:AD138)+SUMSQ('Fat Spreads'!AD119:AD138)-('Fat Spreads'!AD118-'Fat Spreads'!AD138)^2/20)/19),"")</f>
        <v>0</v>
      </c>
      <c r="BZ118">
        <f>IFERROR('Feeder Spreads'!A118,"")</f>
        <v>0</v>
      </c>
      <c r="CA118">
        <f>IFERROR(('Feeder Spreads'!B118-AVERAGE('Feeder Spreads'!$B$3:$B$4308))/STDEV('Feeder Spreads'!$B$3:$B$4308),"")</f>
        <v>-9.2057461789832346E-2</v>
      </c>
      <c r="CB118">
        <f>IFERROR('Feeder Spreads'!B118-'Feeder Spreads'!B123,"")</f>
        <v>0</v>
      </c>
      <c r="CC118">
        <f>IFERROR('Feeder Spreads'!B118-'Feeder Spreads'!B128,"")</f>
        <v>0</v>
      </c>
      <c r="CD118">
        <f>IFERROR(AVERAGE('Feeder Spreads'!B118:B137)+2*STDEV('Feeder Spreads'!B118:B137),"")</f>
        <v>0</v>
      </c>
      <c r="CE118">
        <f>IFERROR(AVERAGE('Feeder Spreads'!B118:B137)-2*STDEV('Feeder Spreads'!B118:B137),"")</f>
        <v>0</v>
      </c>
      <c r="CF118" t="str">
        <f>IFERROR(('Feeder Spreads'!B118-(AVERAGE('Feeder Spreads'!B118:B137)-2*STDEV('Feeder Spreads'!B118:B137)))/(4*STDEV('Feeder Spreads'!B118:B137)),"")</f>
        <v/>
      </c>
      <c r="CG118" t="str">
        <f>IFERROR(4*STDEV('Feeder Spreads'!B118:B137)/AVERAGE('Feeder Spreads'!B118:B137),"")</f>
        <v/>
      </c>
      <c r="CH118">
        <v>55.398800000000001</v>
      </c>
      <c r="CI118">
        <f>IFERROR(SQRT((SUMSQ('Feeder Spreads'!B118:B137)-2*SUMPRODUCT('Feeder Spreads'!B118:B137,'Feeder Spreads'!B119:B138)+SUMSQ('Feeder Spreads'!B119:B138)-('Feeder Spreads'!B118-'Feeder Spreads'!B138)^2/20)/19),"")</f>
        <v>0</v>
      </c>
      <c r="CK118">
        <f>IFERROR('Feeder Spreads'!AX118,"")</f>
        <v>0</v>
      </c>
      <c r="CL118">
        <f>IFERROR(('Feeder Spreads'!AY118-AVERAGE('Feeder Spreads'!$AY$3:$AY$4308))/STDEV('Feeder Spreads'!$AY$3:$AY$4308),"")</f>
        <v>-9.2057461789832346E-2</v>
      </c>
      <c r="CM118">
        <f>IFERROR('Feeder Spreads'!AY118-'Feeder Spreads'!AY123,"")</f>
        <v>0</v>
      </c>
      <c r="CN118">
        <f>IFERROR('Feeder Spreads'!AY118-'Feeder Spreads'!AY128,"")</f>
        <v>0</v>
      </c>
      <c r="CO118">
        <f>IFERROR(AVERAGE('Feeder Spreads'!AY118:AY137)+2*STDEV('Feeder Spreads'!AY118:AY137),"")</f>
        <v>0</v>
      </c>
      <c r="CP118">
        <f>IFERROR(AVERAGE('Feeder Spreads'!AY118:AY137)-2*STDEV('Feeder Spreads'!AY118:AY137),"")</f>
        <v>0</v>
      </c>
      <c r="CQ118" t="str">
        <f>IFERROR(('Feeder Spreads'!AY118-(AVERAGE('Feeder Spreads'!AY118:AY137)-2*STDEV('Feeder Spreads'!AY118:AY137)))/(4*STDEV('Feeder Spreads'!AY118:AY137)),"")</f>
        <v/>
      </c>
      <c r="CR118" t="str">
        <f>IFERROR(4*STDEV('Feeder Spreads'!AY118:AY137)/AVERAGE('Feeder Spreads'!AY118:AY137),"")</f>
        <v/>
      </c>
      <c r="CS118">
        <v>64.241</v>
      </c>
      <c r="CT118">
        <f>IFERROR(SQRT((SUMSQ('Feeder Spreads'!AY118:AY137)-2*SUMPRODUCT('Feeder Spreads'!AY118:AY137,'Feeder Spreads'!AY119:AY138)+SUMSQ('Feeder Spreads'!AY119:AY138)-('Feeder Spreads'!AY118-'Feeder Spreads'!AY138)^2/20)/19),"")</f>
        <v>0</v>
      </c>
      <c r="CV118">
        <f>IFERROR('Feeder Spreads'!H118,"")</f>
        <v>0</v>
      </c>
      <c r="CW118">
        <f>IFERROR(('Feeder Spreads'!I118-AVERAGE('Feeder Spreads'!$I$3:$I$4308))/STDEV('Feeder Spreads'!$I$3:$I$4308),"")</f>
        <v>-9.2057461789832332E-2</v>
      </c>
      <c r="CX118">
        <f>IFERROR('Feeder Spreads'!I118-'Feeder Spreads'!I123,"")</f>
        <v>0</v>
      </c>
      <c r="CY118">
        <f>IFERROR('Feeder Spreads'!I118-'Feeder Spreads'!I128,"")</f>
        <v>0</v>
      </c>
      <c r="CZ118">
        <f>IFERROR(AVERAGE('Feeder Spreads'!I118:I137)+2*STDEV('Feeder Spreads'!I118:I137),"")</f>
        <v>0</v>
      </c>
      <c r="DA118">
        <f>IFERROR(AVERAGE('Feeder Spreads'!I118:I137)-2*STDEV('Feeder Spreads'!I118:I137),"")</f>
        <v>0</v>
      </c>
      <c r="DB118" t="str">
        <f>IFERROR(('Feeder Spreads'!I118-(AVERAGE('Feeder Spreads'!I118:I137)-2*STDEV('Feeder Spreads'!I118:I137)))/(4*STDEV('Feeder Spreads'!I118:I137)),"")</f>
        <v/>
      </c>
      <c r="DC118" t="str">
        <f>IFERROR(4*STDEV('Feeder Spreads'!I118:I137)/AVERAGE('Feeder Spreads'!I118:I137),"")</f>
        <v/>
      </c>
      <c r="DD118">
        <v>55.3459</v>
      </c>
      <c r="DE118">
        <f>IFERROR(SQRT((SUMSQ('Feeder Spreads'!I118:I137)-2*SUMPRODUCT('Feeder Spreads'!I118:I137,'Feeder Spreads'!I119:I138)+SUMSQ('Feeder Spreads'!I119:I138)-('Feeder Spreads'!I118-'Feeder Spreads'!I138)^2/20)/19),"")</f>
        <v>0</v>
      </c>
      <c r="DG118">
        <f>IFERROR('Feeder Spreads'!O118,"")</f>
        <v>0</v>
      </c>
      <c r="DH118">
        <f>IFERROR(('Feeder Spreads'!P118-AVERAGE('Feeder Spreads'!$P$3:$P$4308))/STDEV('Feeder Spreads'!$P$3:$P$4308),"")</f>
        <v>-9.2057461789832346E-2</v>
      </c>
      <c r="DI118">
        <f>IFERROR('Feeder Spreads'!P118-'Feeder Spreads'!P123,"")</f>
        <v>0</v>
      </c>
      <c r="DJ118">
        <f>IFERROR('Feeder Spreads'!P118-'Feeder Spreads'!P128,"")</f>
        <v>0</v>
      </c>
      <c r="DK118">
        <f>IFERROR(AVERAGE('Feeder Spreads'!P118:P137)+2*STDEV('Feeder Spreads'!P118:P137),"")</f>
        <v>0</v>
      </c>
      <c r="DL118">
        <f>IFERROR(AVERAGE('Feeder Spreads'!P118:P137)-2*STDEV('Feeder Spreads'!P118:P137),"")</f>
        <v>0</v>
      </c>
      <c r="DM118" t="str">
        <f>IFERROR(('Feeder Spreads'!P118-(AVERAGE('Feeder Spreads'!P118:P137)-2*STDEV('Feeder Spreads'!P118:P137)))/(4*STDEV('Feeder Spreads'!P118:P137)),"")</f>
        <v/>
      </c>
      <c r="DN118" t="str">
        <f>IFERROR(4*STDEV('Feeder Spreads'!P118:P137)/AVERAGE('Feeder Spreads'!P118:P137),"")</f>
        <v/>
      </c>
      <c r="DO118">
        <v>23.784600000000001</v>
      </c>
      <c r="DP118">
        <f>IFERROR(SQRT((SUMSQ('Feeder Spreads'!P118:P137)-2*SUMPRODUCT('Feeder Spreads'!P118:P137,'Feeder Spreads'!P119:P138)+SUMSQ('Feeder Spreads'!P119:P138)-('Feeder Spreads'!P118-'Feeder Spreads'!P138)^2/20)/19),"")</f>
        <v>0</v>
      </c>
      <c r="DR118">
        <f>IFERROR('Feeder Spreads'!V118,"")</f>
        <v>0</v>
      </c>
      <c r="DS118">
        <f>IFERROR(('Feeder Spreads'!W118-AVERAGE('Feeder Spreads'!$W$3:$W$4308))/STDEV('Feeder Spreads'!$W$3:$W$4308),"")</f>
        <v>-9.2057461789832332E-2</v>
      </c>
      <c r="DT118">
        <f>IFERROR('Feeder Spreads'!W118-'Feeder Spreads'!W123,"")</f>
        <v>0</v>
      </c>
      <c r="DU118">
        <f>IFERROR('Feeder Spreads'!W118-'Feeder Spreads'!W128,"")</f>
        <v>0</v>
      </c>
      <c r="DV118">
        <f>IFERROR(AVERAGE('Feeder Spreads'!W118:W137)+2*STDEV('Feeder Spreads'!W118:W137),"")</f>
        <v>0</v>
      </c>
      <c r="DW118">
        <f>IFERROR(AVERAGE('Feeder Spreads'!W118:W137)-2*STDEV('Feeder Spreads'!W118:W137),"")</f>
        <v>0</v>
      </c>
      <c r="DX118" t="str">
        <f>IFERROR(('Feeder Spreads'!W118-(AVERAGE('Feeder Spreads'!W118:W137)-2*STDEV('Feeder Spreads'!W118:W137)))/(4*STDEV('Feeder Spreads'!W118:W137)),"")</f>
        <v/>
      </c>
      <c r="DY118" t="str">
        <f>IFERROR(4*STDEV('Feeder Spreads'!W118:W137)/AVERAGE('Feeder Spreads'!W118:W137),"")</f>
        <v/>
      </c>
      <c r="DZ118">
        <v>68.9953</v>
      </c>
      <c r="EA118">
        <f>IFERROR(SQRT((SUMSQ('Feeder Spreads'!W118:W137)-2*SUMPRODUCT('Feeder Spreads'!W118:W137,'Feeder Spreads'!W119:W138)+SUMSQ('Feeder Spreads'!W119:W138)-('Feeder Spreads'!W118-'Feeder Spreads'!W138)^2/20)/19),"")</f>
        <v>0</v>
      </c>
      <c r="EC118">
        <f>IFERROR('Feeder Spreads'!AC118,"")</f>
        <v>0</v>
      </c>
      <c r="ED118">
        <f>IFERROR(('Feeder Spreads'!AD118-AVERAGE('Feeder Spreads'!$AD$3:$AD$4308))/STDEV('Feeder Spreads'!$AD$3:$AD$4308),"")</f>
        <v>9.2057461789832318E-2</v>
      </c>
      <c r="EE118">
        <f>IFERROR('Feeder Spreads'!AD118-'Feeder Spreads'!AD123,"")</f>
        <v>0</v>
      </c>
      <c r="EF118">
        <f>IFERROR('Feeder Spreads'!AD118-'Feeder Spreads'!AD128,"")</f>
        <v>0</v>
      </c>
      <c r="EG118">
        <f>IFERROR(AVERAGE('Feeder Spreads'!AD118:AD137)+2*STDEV('Feeder Spreads'!AD118:AD137),"")</f>
        <v>0</v>
      </c>
      <c r="EH118">
        <f>IFERROR(AVERAGE('Feeder Spreads'!AD118:AD137)-2*STDEV('Feeder Spreads'!AD118:AD137),"")</f>
        <v>0</v>
      </c>
      <c r="EI118" t="str">
        <f>IFERROR(('Feeder Spreads'!AD118-(AVERAGE('Feeder Spreads'!AD118:AD137)-2*STDEV('Feeder Spreads'!AD118:AD137)))/(4*STDEV('Feeder Spreads'!AD118:AD137)),"")</f>
        <v/>
      </c>
      <c r="EJ118" t="str">
        <f>IFERROR(4*STDEV('Feeder Spreads'!AD118:AD137)/AVERAGE('Feeder Spreads'!AD118:AD137),"")</f>
        <v/>
      </c>
      <c r="EK118">
        <v>46.651299999999999</v>
      </c>
      <c r="EL118">
        <f>IFERROR(SQRT((SUMSQ('Feeder Spreads'!AD118:AD137)-2*SUMPRODUCT('Feeder Spreads'!AD118:AD137,'Feeder Spreads'!AD119:AD138)+SUMSQ('Feeder Spreads'!AD119:AD138)-('Feeder Spreads'!AD118-'Feeder Spreads'!AD138)^2/20)/19),"")</f>
        <v>0</v>
      </c>
      <c r="EN118">
        <f>IFERROR('Feeder Spreads'!AJ118,"")</f>
        <v>0</v>
      </c>
      <c r="EO118">
        <f>IFERROR(('Feeder Spreads'!AK118-AVERAGE('Feeder Spreads'!$AK$3:$AK$4308))/STDEV('Feeder Spreads'!$AK$3:$AK$4308),"")</f>
        <v>-9.2057461789832346E-2</v>
      </c>
      <c r="EP118">
        <f>IFERROR('Feeder Spreads'!AK118-'Feeder Spreads'!AK123,"")</f>
        <v>0</v>
      </c>
      <c r="EQ118">
        <f>IFERROR('Feeder Spreads'!AK118-'Feeder Spreads'!AK128,"")</f>
        <v>0</v>
      </c>
      <c r="ER118">
        <f>IFERROR(AVERAGE('Feeder Spreads'!AK118:AK137)+2*STDEV('Feeder Spreads'!AK118:AK137),"")</f>
        <v>0</v>
      </c>
      <c r="ES118">
        <f>IFERROR(AVERAGE('Feeder Spreads'!AK118:AK137)-2*STDEV('Feeder Spreads'!AK118:AK137),"")</f>
        <v>0</v>
      </c>
      <c r="ET118" t="str">
        <f>IFERROR(('Feeder Spreads'!AK118-(AVERAGE('Feeder Spreads'!AK118:AK137)-2*STDEV('Feeder Spreads'!AK118:AK137)))/(4*STDEV('Feeder Spreads'!AK118:AK137)),"")</f>
        <v/>
      </c>
      <c r="EU118" t="str">
        <f>IFERROR(4*STDEV('Feeder Spreads'!AK118:AK137)/AVERAGE('Feeder Spreads'!AK118:AK137),"")</f>
        <v/>
      </c>
      <c r="EV118">
        <v>63.581400000000002</v>
      </c>
      <c r="EW118">
        <f>IFERROR(SQRT((SUMSQ('Feeder Spreads'!AK118:AK137)-2*SUMPRODUCT('Feeder Spreads'!AK118:AK137,'Feeder Spreads'!AK119:AK138)+SUMSQ('Feeder Spreads'!AK119:AK138)-('Feeder Spreads'!AK118-'Feeder Spreads'!AK138)^2/20)/19),"")</f>
        <v>0</v>
      </c>
      <c r="EY118">
        <f>IFERROR('Feeder Spreads'!AQ118,"")</f>
        <v>0</v>
      </c>
      <c r="EZ118">
        <f>IFERROR(('Feeder Spreads'!AR118-AVERAGE('Feeder Spreads'!$AR$3:$AR$4308))/STDEV('Feeder Spreads'!$AR$3:$AR$4308),"")</f>
        <v>-9.2057461789832332E-2</v>
      </c>
      <c r="FA118">
        <f>IFERROR('Feeder Spreads'!AR118-'Feeder Spreads'!AR123,"")</f>
        <v>0</v>
      </c>
      <c r="FB118">
        <f>IFERROR('Feeder Spreads'!AR118-'Feeder Spreads'!AR128,"")</f>
        <v>0</v>
      </c>
      <c r="FC118">
        <f>IFERROR(AVERAGE('Feeder Spreads'!AR118:AR137)+2*STDEV('Feeder Spreads'!AR118:AR137),"")</f>
        <v>0</v>
      </c>
      <c r="FD118">
        <f>IFERROR(AVERAGE('Feeder Spreads'!AR118:AR137)-2*STDEV('Feeder Spreads'!AR118:AR137),"")</f>
        <v>0</v>
      </c>
      <c r="FE118" t="str">
        <f>IFERROR(('Feeder Spreads'!AR118-(AVERAGE('Feeder Spreads'!AR118:AR137)-2*STDEV('Feeder Spreads'!AR118:AR137)))/(4*STDEV('Feeder Spreads'!AR118:AR137)),"")</f>
        <v/>
      </c>
      <c r="FF118" t="str">
        <f>IFERROR(4*STDEV('Feeder Spreads'!AR118:AR137)/AVERAGE('Feeder Spreads'!AR118:AR137),"")</f>
        <v/>
      </c>
      <c r="FG118">
        <v>63.358199999999997</v>
      </c>
      <c r="FH118">
        <f>IFERROR(SQRT((SUMSQ('Feeder Spreads'!AR118:AR137)-2*SUMPRODUCT('Feeder Spreads'!AR118:AR137,'Feeder Spreads'!AR119:AR138)+SUMSQ('Feeder Spreads'!AR119:AR138)-('Feeder Spreads'!AR118-'Feeder Spreads'!AR138)^2/20)/19),"")</f>
        <v>0</v>
      </c>
      <c r="FJ118">
        <f>IFERROR('Fat Spreads'!AX118,"")</f>
        <v>0</v>
      </c>
      <c r="FK118">
        <f>IFERROR(('Fat Spreads'!AY118-AVERAGE('Fat Spreads'!$AY$3:$AY$4308))/STDEV('Fat Spreads'!$AY$3:$AY$4308),"")</f>
        <v>9.2057461789832332E-2</v>
      </c>
      <c r="FL118">
        <f>IFERROR('Fat Spreads'!AY118-'Fat Spreads'!AY123,"")</f>
        <v>0</v>
      </c>
      <c r="FM118">
        <f>IFERROR('Fat Spreads'!AY118-'Fat Spreads'!AY128,"")</f>
        <v>0</v>
      </c>
      <c r="FN118">
        <f>IFERROR(AVERAGE('Fat Spreads'!AY118:AY137)+2*STDEV('Fat Spreads'!AY118:AY137),"")</f>
        <v>0</v>
      </c>
      <c r="FO118">
        <f>IFERROR(AVERAGE('Fat Spreads'!AY118:AY137)-2*STDEV('Fat Spreads'!AY118:AY137),"")</f>
        <v>0</v>
      </c>
      <c r="FP118" t="str">
        <f>IFERROR(('Fat Spreads'!AY118-(AVERAGE('Fat Spreads'!AY118:AY137)-2*STDEV('Fat Spreads'!AY118:AY137)))/(4*STDEV('Fat Spreads'!AY118:AY137)),"")</f>
        <v/>
      </c>
      <c r="FQ118" t="str">
        <f>IFERROR(4*STDEV('Fat Spreads'!AY118:AY137)/AVERAGE('Fat Spreads'!AY118:AY137),"")</f>
        <v/>
      </c>
      <c r="FR118">
        <v>44.935600000000001</v>
      </c>
      <c r="FS118">
        <f>IFERROR(SQRT((SUMSQ('Fat Spreads'!AY118:AY137)-2*SUMPRODUCT('Fat Spreads'!AY118:AY137,'Fat Spreads'!AY119:AY138)+SUMSQ('Fat Spreads'!AY119:AY138)-('Fat Spreads'!AY118-'Fat Spreads'!AY138)^2/20)/19),"")</f>
        <v>0</v>
      </c>
      <c r="FU118">
        <f>IFERROR('Fat Spreads'!BE118,"")</f>
        <v>0</v>
      </c>
      <c r="FV118">
        <f>IFERROR(('Fat Spreads'!BF118-AVERAGE('Fat Spreads'!$BF$3:$BF$4308))/STDEV('Fat Spreads'!$BF$3:$BF$4308),"")</f>
        <v>9.2057461789832332E-2</v>
      </c>
      <c r="FW118">
        <f>IFERROR('Fat Spreads'!BF118-'Fat Spreads'!BF123,"")</f>
        <v>0</v>
      </c>
      <c r="FX118">
        <f>IFERROR('Fat Spreads'!BF118-'Fat Spreads'!BF128,"")</f>
        <v>0</v>
      </c>
      <c r="FY118">
        <f>IFERROR(AVERAGE('Fat Spreads'!BF118:BF137)+2*STDEV('Fat Spreads'!BF118:BF137),"")</f>
        <v>0</v>
      </c>
      <c r="FZ118">
        <f>IFERROR(AVERAGE('Fat Spreads'!BF118:BF137)-2*STDEV('Fat Spreads'!BF118:BF137),"")</f>
        <v>0</v>
      </c>
      <c r="GA118" t="str">
        <f>IFERROR(('Fat Spreads'!BF118-(AVERAGE('Fat Spreads'!BF118:BF137)-2*STDEV('Fat Spreads'!BF118:BF137)))/(4*STDEV('Fat Spreads'!BF118:BF137)),"")</f>
        <v/>
      </c>
      <c r="GB118" t="str">
        <f>IFERROR(4*STDEV('Fat Spreads'!BF118:BF137)/AVERAGE('Fat Spreads'!BF118:BF137),"")</f>
        <v/>
      </c>
      <c r="GC118">
        <v>48.881599999999999</v>
      </c>
      <c r="GD118">
        <f>IFERROR(SQRT((SUMSQ('Fat Spreads'!BF118:BF137)-2*SUMPRODUCT('Fat Spreads'!BF118:BF137,'Fat Spreads'!BF119:BF138)+SUMSQ('Fat Spreads'!BF119:BF138)-('Fat Spreads'!BF118-'Fat Spreads'!BF138)^2/20)/19),"")</f>
        <v>0</v>
      </c>
    </row>
    <row r="119" spans="1:186" x14ac:dyDescent="0.25">
      <c r="A119">
        <f>IFERROR('Fat Spreads'!A119,"")</f>
        <v>0</v>
      </c>
      <c r="B119">
        <f>IFERROR(('Fat Spreads'!B119-AVERAGE('Fat Spreads'!$B$3:$B$4308))/STDEV('Fat Spreads'!$B$3:$B$4308),"")</f>
        <v>9.2057461789832346E-2</v>
      </c>
      <c r="C119">
        <f>IFERROR('Fat Spreads'!B119-'Fat Spreads'!B124,"")</f>
        <v>0</v>
      </c>
      <c r="D119">
        <f>IFERROR('Fat Spreads'!B119-'Fat Spreads'!B129,"")</f>
        <v>0</v>
      </c>
      <c r="E119">
        <f>IFERROR(AVERAGE('Fat Spreads'!B119:B138)+2*STDEV('Fat Spreads'!B119:B138),"")</f>
        <v>0</v>
      </c>
      <c r="F119">
        <f>IFERROR(AVERAGE('Fat Spreads'!B119:B138)-2*STDEV('Fat Spreads'!B119:B138),"")</f>
        <v>0</v>
      </c>
      <c r="G119" t="str">
        <f>IFERROR(('Fat Spreads'!B119-(AVERAGE('Fat Spreads'!B119:B138)-2*STDEV('Fat Spreads'!B119:B138)))/(4*STDEV('Fat Spreads'!B119:B138)),"")</f>
        <v/>
      </c>
      <c r="H119" t="str">
        <f>IFERROR(4*STDEV('Fat Spreads'!B119:B138)/AVERAGE('Fat Spreads'!B119:B138),"")</f>
        <v/>
      </c>
      <c r="I119">
        <v>50.568100000000001</v>
      </c>
      <c r="J119">
        <f>IFERROR(SQRT((SUMSQ('Fat Spreads'!B119:B138)-2*SUMPRODUCT('Fat Spreads'!B119:B138,'Fat Spreads'!B120:B139)+SUMSQ('Fat Spreads'!B120:B139)-('Fat Spreads'!B119-'Fat Spreads'!B139)^2/20)/19),"")</f>
        <v>0</v>
      </c>
      <c r="L119">
        <f>IFERROR('Fat Spreads'!H119,"")</f>
        <v>0</v>
      </c>
      <c r="M119">
        <f>IFERROR(('Fat Spreads'!I119-AVERAGE('Fat Spreads'!$I$3:$I$4308))/STDEV('Fat Spreads'!$I$3:$I$4308),"")</f>
        <v>-9.2057461789832332E-2</v>
      </c>
      <c r="N119">
        <f>IFERROR('Fat Spreads'!I119-'Fat Spreads'!I124,"")</f>
        <v>0</v>
      </c>
      <c r="O119">
        <f>IFERROR('Fat Spreads'!I119-'Fat Spreads'!I129,"")</f>
        <v>0</v>
      </c>
      <c r="P119">
        <f>IFERROR(AVERAGE('Fat Spreads'!I119:I138)+2*STDEV('Fat Spreads'!I119:I138),"")</f>
        <v>0</v>
      </c>
      <c r="Q119">
        <f>IFERROR(AVERAGE('Fat Spreads'!I119:I138)-2*STDEV('Fat Spreads'!I119:I138),"")</f>
        <v>0</v>
      </c>
      <c r="R119" t="str">
        <f>IFERROR(('Fat Spreads'!I119-(AVERAGE('Fat Spreads'!I119:I138)-2*STDEV('Fat Spreads'!I119:I138)))/(4*STDEV('Fat Spreads'!I119:I138)),"")</f>
        <v/>
      </c>
      <c r="S119" t="str">
        <f>IFERROR(4*STDEV('Fat Spreads'!I119:I138)/AVERAGE('Fat Spreads'!I119:I138),"")</f>
        <v/>
      </c>
      <c r="T119">
        <v>57.49</v>
      </c>
      <c r="U119">
        <f>IFERROR(SQRT((SUMSQ('Fat Spreads'!I119:I138)-2*SUMPRODUCT('Fat Spreads'!I119:I138,'Fat Spreads'!I120:I139)+SUMSQ('Fat Spreads'!I120:I139)-('Fat Spreads'!I119-'Fat Spreads'!I139)^2/20)/19),"")</f>
        <v>0</v>
      </c>
      <c r="W119">
        <f>IFERROR('Fat Spreads'!AQ119,"")</f>
        <v>0</v>
      </c>
      <c r="X119">
        <f>IFERROR(('Fat Spreads'!AR119-AVERAGE('Fat Spreads'!$AR$3:$AR$4308))/STDEV('Fat Spreads'!$AR$3:$AR$4308),"")</f>
        <v>-9.2057461789832346E-2</v>
      </c>
      <c r="Y119">
        <f>IFERROR('Fat Spreads'!AR119-'Fat Spreads'!AR124,"")</f>
        <v>0</v>
      </c>
      <c r="Z119">
        <f>IFERROR('Fat Spreads'!AR119-'Fat Spreads'!AR129,"")</f>
        <v>0</v>
      </c>
      <c r="AA119">
        <f>IFERROR(AVERAGE('Fat Spreads'!AR119:AR138)+2*STDEV('Fat Spreads'!AR119:AR138),"")</f>
        <v>0</v>
      </c>
      <c r="AB119">
        <f>IFERROR(AVERAGE('Fat Spreads'!AR119:AR138)-2*STDEV('Fat Spreads'!AR119:AR138),"")</f>
        <v>0</v>
      </c>
      <c r="AC119" t="str">
        <f>IFERROR(('Fat Spreads'!AR119-(AVERAGE('Fat Spreads'!AR119:AR138)-2*STDEV('Fat Spreads'!AR119:AR138)))/(4*STDEV('Fat Spreads'!AR119:AR138)),"")</f>
        <v/>
      </c>
      <c r="AD119" t="str">
        <f>IFERROR(4*STDEV('Fat Spreads'!AR119:AR138)/AVERAGE('Fat Spreads'!AR119:AR138),"")</f>
        <v/>
      </c>
      <c r="AE119">
        <v>53.959699999999998</v>
      </c>
      <c r="AF119">
        <f>IFERROR(SQRT((SUMSQ('Fat Spreads'!AR119:AR138)-2*SUMPRODUCT('Fat Spreads'!AR119:AR138,'Fat Spreads'!AR120:AR139)+SUMSQ('Fat Spreads'!AR120:AR139)-('Fat Spreads'!AR119-'Fat Spreads'!AR139)^2/20)/19),"")</f>
        <v>0</v>
      </c>
      <c r="AH119">
        <f>IFERROR('Fat Spreads'!O119,"")</f>
        <v>0</v>
      </c>
      <c r="AI119">
        <f>IFERROR(('Fat Spreads'!P119-AVERAGE('Fat Spreads'!$P$3:$P$4308))/STDEV('Fat Spreads'!$P$3:$P$4308),"")</f>
        <v>-9.2057461789832332E-2</v>
      </c>
      <c r="AJ119">
        <f>IFERROR('Fat Spreads'!P119-'Fat Spreads'!P124,"")</f>
        <v>0</v>
      </c>
      <c r="AK119">
        <f>IFERROR('Fat Spreads'!P119-'Fat Spreads'!P129,"")</f>
        <v>0</v>
      </c>
      <c r="AL119">
        <f>IFERROR(AVERAGE('Fat Spreads'!P119:P138)+2*STDEV('Fat Spreads'!P119:P138),"")</f>
        <v>0</v>
      </c>
      <c r="AM119">
        <f>IFERROR(AVERAGE('Fat Spreads'!P119:P138)-2*STDEV('Fat Spreads'!P119:P138),"")</f>
        <v>0</v>
      </c>
      <c r="AN119" t="str">
        <f>IFERROR(('Fat Spreads'!P119-(AVERAGE('Fat Spreads'!P119:P138)-2*STDEV('Fat Spreads'!P119:P138)))/(4*STDEV('Fat Spreads'!P119:P138)),"")</f>
        <v/>
      </c>
      <c r="AO119" t="str">
        <f>IFERROR(4*STDEV('Fat Spreads'!P119:P138)/AVERAGE('Fat Spreads'!P119:P138),"")</f>
        <v/>
      </c>
      <c r="AP119">
        <v>62.93</v>
      </c>
      <c r="AQ119">
        <f>IFERROR(SQRT((SUMSQ('Fat Spreads'!P119:P138)-2*SUMPRODUCT('Fat Spreads'!P119:P138,'Fat Spreads'!P120:P139)+SUMSQ('Fat Spreads'!P120:P139)-('Fat Spreads'!P119-'Fat Spreads'!P139)^2/20)/19),"")</f>
        <v>0</v>
      </c>
      <c r="AS119">
        <f>IFERROR('Fat Spreads'!AJ119,"")</f>
        <v>0</v>
      </c>
      <c r="AT119">
        <f>IFERROR(('Fat Spreads'!AK119-AVERAGE('Fat Spreads'!$AK$3:$AK$4308))/STDEV('Fat Spreads'!$AK$3:$AK$4308),"")</f>
        <v>-9.2057461789832332E-2</v>
      </c>
      <c r="AU119">
        <f>IFERROR('Fat Spreads'!AK119-'Fat Spreads'!AK124,"")</f>
        <v>0</v>
      </c>
      <c r="AV119">
        <f>IFERROR('Fat Spreads'!AK119-'Fat Spreads'!AK129,"")</f>
        <v>0</v>
      </c>
      <c r="AW119">
        <f>IFERROR(AVERAGE('Fat Spreads'!AK119:AK138)+2*STDEV('Fat Spreads'!AK119:AK138),"")</f>
        <v>0</v>
      </c>
      <c r="AX119">
        <f>IFERROR(AVERAGE('Fat Spreads'!AK119:AK138)-2*STDEV('Fat Spreads'!AK119:AK138),"")</f>
        <v>0</v>
      </c>
      <c r="AY119" t="str">
        <f>IFERROR(('Fat Spreads'!AK119-(AVERAGE('Fat Spreads'!AK119:AK138)-2*STDEV('Fat Spreads'!AK119:AK138)))/(4*STDEV('Fat Spreads'!AK119:AK138)),"")</f>
        <v/>
      </c>
      <c r="AZ119" t="str">
        <f>IFERROR(4*STDEV('Fat Spreads'!AK119:AK138)/AVERAGE('Fat Spreads'!AK119:AK138),"")</f>
        <v/>
      </c>
      <c r="BA119">
        <v>46.595300000000002</v>
      </c>
      <c r="BB119">
        <f>IFERROR(SQRT((SUMSQ('Fat Spreads'!AK119:AK138)-2*SUMPRODUCT('Fat Spreads'!AK119:AK138,'Fat Spreads'!AK120:AK139)+SUMSQ('Fat Spreads'!AK120:AK139)-('Fat Spreads'!AK119-'Fat Spreads'!AK139)^2/20)/19),"")</f>
        <v>0</v>
      </c>
      <c r="BD119">
        <f>IFERROR('Fat Spreads'!V119,"")</f>
        <v>0</v>
      </c>
      <c r="BE119">
        <f>IFERROR(('Fat Spreads'!W119-AVERAGE('Fat Spreads'!$W$3:$W$4308))/STDEV('Fat Spreads'!$W$3:$W$4308),"")</f>
        <v>-9.2057461789832332E-2</v>
      </c>
      <c r="BF119">
        <f>IFERROR('Fat Spreads'!W119-'Fat Spreads'!W124,"")</f>
        <v>0</v>
      </c>
      <c r="BG119">
        <f>IFERROR('Fat Spreads'!W119-'Fat Spreads'!W129,"")</f>
        <v>0</v>
      </c>
      <c r="BH119">
        <f>IFERROR(AVERAGE('Fat Spreads'!W119:W138)+2*STDEV('Fat Spreads'!W119:W138),"")</f>
        <v>0</v>
      </c>
      <c r="BI119">
        <f>IFERROR(AVERAGE('Fat Spreads'!W119:W138)-2*STDEV('Fat Spreads'!W119:W138),"")</f>
        <v>0</v>
      </c>
      <c r="BJ119" t="str">
        <f>IFERROR(('Fat Spreads'!W119-(AVERAGE('Fat Spreads'!W119:W138)-2*STDEV('Fat Spreads'!W119:W138)))/(4*STDEV('Fat Spreads'!W119:W138)),"")</f>
        <v/>
      </c>
      <c r="BK119" t="str">
        <f>IFERROR(4*STDEV('Fat Spreads'!W119:W138)/AVERAGE('Fat Spreads'!W119:W138),"")</f>
        <v/>
      </c>
      <c r="BL119">
        <v>38.2483</v>
      </c>
      <c r="BM119">
        <f>IFERROR(SQRT((SUMSQ('Fat Spreads'!W119:W138)-2*SUMPRODUCT('Fat Spreads'!W119:W138,'Fat Spreads'!W120:W139)+SUMSQ('Fat Spreads'!W120:W139)-('Fat Spreads'!W119-'Fat Spreads'!W139)^2/20)/19),"")</f>
        <v>0</v>
      </c>
      <c r="BO119">
        <f>IFERROR('Fat Spreads'!AC119,"")</f>
        <v>0</v>
      </c>
      <c r="BP119">
        <f>IFERROR(('Fat Spreads'!AD119-AVERAGE('Fat Spreads'!$AD$3:$AD$4308))/STDEV('Fat Spreads'!$AD$3:$AD$4308),"")</f>
        <v>-9.2057461789832332E-2</v>
      </c>
      <c r="BQ119">
        <f>IFERROR('Fat Spreads'!AD119-'Fat Spreads'!AD124,"")</f>
        <v>0</v>
      </c>
      <c r="BR119">
        <f>IFERROR('Fat Spreads'!AD119-'Fat Spreads'!AD129,"")</f>
        <v>0</v>
      </c>
      <c r="BS119">
        <f>IFERROR(AVERAGE('Fat Spreads'!AD119:AD138)+2*STDEV('Fat Spreads'!AD119:AD138),"")</f>
        <v>0</v>
      </c>
      <c r="BT119">
        <f>IFERROR(AVERAGE('Fat Spreads'!AD119:AD138)-2*STDEV('Fat Spreads'!AD119:AD138),"")</f>
        <v>0</v>
      </c>
      <c r="BU119" t="str">
        <f>IFERROR(('Fat Spreads'!AD119-(AVERAGE('Fat Spreads'!AD119:AD138)-2*STDEV('Fat Spreads'!AD119:AD138)))/(4*STDEV('Fat Spreads'!AD119:AD138)),"")</f>
        <v/>
      </c>
      <c r="BV119" t="str">
        <f>IFERROR(4*STDEV('Fat Spreads'!AD119:AD138)/AVERAGE('Fat Spreads'!AD119:AD138),"")</f>
        <v/>
      </c>
      <c r="BW119">
        <v>43.291600000000003</v>
      </c>
      <c r="BX119">
        <f>IFERROR(SQRT((SUMSQ('Fat Spreads'!AD119:AD138)-2*SUMPRODUCT('Fat Spreads'!AD119:AD138,'Fat Spreads'!AD120:AD139)+SUMSQ('Fat Spreads'!AD120:AD139)-('Fat Spreads'!AD119-'Fat Spreads'!AD139)^2/20)/19),"")</f>
        <v>0</v>
      </c>
      <c r="BZ119">
        <f>IFERROR('Feeder Spreads'!A119,"")</f>
        <v>0</v>
      </c>
      <c r="CA119">
        <f>IFERROR(('Feeder Spreads'!B119-AVERAGE('Feeder Spreads'!$B$3:$B$4308))/STDEV('Feeder Spreads'!$B$3:$B$4308),"")</f>
        <v>-9.2057461789832346E-2</v>
      </c>
      <c r="CB119">
        <f>IFERROR('Feeder Spreads'!B119-'Feeder Spreads'!B124,"")</f>
        <v>0</v>
      </c>
      <c r="CC119">
        <f>IFERROR('Feeder Spreads'!B119-'Feeder Spreads'!B129,"")</f>
        <v>0</v>
      </c>
      <c r="CD119">
        <f>IFERROR(AVERAGE('Feeder Spreads'!B119:B138)+2*STDEV('Feeder Spreads'!B119:B138),"")</f>
        <v>0</v>
      </c>
      <c r="CE119">
        <f>IFERROR(AVERAGE('Feeder Spreads'!B119:B138)-2*STDEV('Feeder Spreads'!B119:B138),"")</f>
        <v>0</v>
      </c>
      <c r="CF119" t="str">
        <f>IFERROR(('Feeder Spreads'!B119-(AVERAGE('Feeder Spreads'!B119:B138)-2*STDEV('Feeder Spreads'!B119:B138)))/(4*STDEV('Feeder Spreads'!B119:B138)),"")</f>
        <v/>
      </c>
      <c r="CG119" t="str">
        <f>IFERROR(4*STDEV('Feeder Spreads'!B119:B138)/AVERAGE('Feeder Spreads'!B119:B138),"")</f>
        <v/>
      </c>
      <c r="CH119">
        <v>53.211199999999998</v>
      </c>
      <c r="CI119">
        <f>IFERROR(SQRT((SUMSQ('Feeder Spreads'!B119:B138)-2*SUMPRODUCT('Feeder Spreads'!B119:B138,'Feeder Spreads'!B120:B139)+SUMSQ('Feeder Spreads'!B120:B139)-('Feeder Spreads'!B119-'Feeder Spreads'!B139)^2/20)/19),"")</f>
        <v>0</v>
      </c>
      <c r="CK119">
        <f>IFERROR('Feeder Spreads'!AX119,"")</f>
        <v>0</v>
      </c>
      <c r="CL119">
        <f>IFERROR(('Feeder Spreads'!AY119-AVERAGE('Feeder Spreads'!$AY$3:$AY$4308))/STDEV('Feeder Spreads'!$AY$3:$AY$4308),"")</f>
        <v>-9.2057461789832346E-2</v>
      </c>
      <c r="CM119">
        <f>IFERROR('Feeder Spreads'!AY119-'Feeder Spreads'!AY124,"")</f>
        <v>0</v>
      </c>
      <c r="CN119">
        <f>IFERROR('Feeder Spreads'!AY119-'Feeder Spreads'!AY129,"")</f>
        <v>0</v>
      </c>
      <c r="CO119">
        <f>IFERROR(AVERAGE('Feeder Spreads'!AY119:AY138)+2*STDEV('Feeder Spreads'!AY119:AY138),"")</f>
        <v>0</v>
      </c>
      <c r="CP119">
        <f>IFERROR(AVERAGE('Feeder Spreads'!AY119:AY138)-2*STDEV('Feeder Spreads'!AY119:AY138),"")</f>
        <v>0</v>
      </c>
      <c r="CQ119" t="str">
        <f>IFERROR(('Feeder Spreads'!AY119-(AVERAGE('Feeder Spreads'!AY119:AY138)-2*STDEV('Feeder Spreads'!AY119:AY138)))/(4*STDEV('Feeder Spreads'!AY119:AY138)),"")</f>
        <v/>
      </c>
      <c r="CR119" t="str">
        <f>IFERROR(4*STDEV('Feeder Spreads'!AY119:AY138)/AVERAGE('Feeder Spreads'!AY119:AY138),"")</f>
        <v/>
      </c>
      <c r="CS119">
        <v>83.3874</v>
      </c>
      <c r="CT119">
        <f>IFERROR(SQRT((SUMSQ('Feeder Spreads'!AY119:AY138)-2*SUMPRODUCT('Feeder Spreads'!AY119:AY138,'Feeder Spreads'!AY120:AY139)+SUMSQ('Feeder Spreads'!AY120:AY139)-('Feeder Spreads'!AY119-'Feeder Spreads'!AY139)^2/20)/19),"")</f>
        <v>0</v>
      </c>
      <c r="CV119">
        <f>IFERROR('Feeder Spreads'!H119,"")</f>
        <v>0</v>
      </c>
      <c r="CW119">
        <f>IFERROR(('Feeder Spreads'!I119-AVERAGE('Feeder Spreads'!$I$3:$I$4308))/STDEV('Feeder Spreads'!$I$3:$I$4308),"")</f>
        <v>-9.2057461789832332E-2</v>
      </c>
      <c r="CX119">
        <f>IFERROR('Feeder Spreads'!I119-'Feeder Spreads'!I124,"")</f>
        <v>0</v>
      </c>
      <c r="CY119">
        <f>IFERROR('Feeder Spreads'!I119-'Feeder Spreads'!I129,"")</f>
        <v>0</v>
      </c>
      <c r="CZ119">
        <f>IFERROR(AVERAGE('Feeder Spreads'!I119:I138)+2*STDEV('Feeder Spreads'!I119:I138),"")</f>
        <v>0</v>
      </c>
      <c r="DA119">
        <f>IFERROR(AVERAGE('Feeder Spreads'!I119:I138)-2*STDEV('Feeder Spreads'!I119:I138),"")</f>
        <v>0</v>
      </c>
      <c r="DB119" t="str">
        <f>IFERROR(('Feeder Spreads'!I119-(AVERAGE('Feeder Spreads'!I119:I138)-2*STDEV('Feeder Spreads'!I119:I138)))/(4*STDEV('Feeder Spreads'!I119:I138)),"")</f>
        <v/>
      </c>
      <c r="DC119" t="str">
        <f>IFERROR(4*STDEV('Feeder Spreads'!I119:I138)/AVERAGE('Feeder Spreads'!I119:I138),"")</f>
        <v/>
      </c>
      <c r="DD119">
        <v>51.3857</v>
      </c>
      <c r="DE119">
        <f>IFERROR(SQRT((SUMSQ('Feeder Spreads'!I119:I138)-2*SUMPRODUCT('Feeder Spreads'!I119:I138,'Feeder Spreads'!I120:I139)+SUMSQ('Feeder Spreads'!I120:I139)-('Feeder Spreads'!I119-'Feeder Spreads'!I139)^2/20)/19),"")</f>
        <v>0</v>
      </c>
      <c r="DG119">
        <f>IFERROR('Feeder Spreads'!O119,"")</f>
        <v>0</v>
      </c>
      <c r="DH119">
        <f>IFERROR(('Feeder Spreads'!P119-AVERAGE('Feeder Spreads'!$P$3:$P$4308))/STDEV('Feeder Spreads'!$P$3:$P$4308),"")</f>
        <v>-9.2057461789832346E-2</v>
      </c>
      <c r="DI119">
        <f>IFERROR('Feeder Spreads'!P119-'Feeder Spreads'!P124,"")</f>
        <v>0</v>
      </c>
      <c r="DJ119">
        <f>IFERROR('Feeder Spreads'!P119-'Feeder Spreads'!P129,"")</f>
        <v>0</v>
      </c>
      <c r="DK119">
        <f>IFERROR(AVERAGE('Feeder Spreads'!P119:P138)+2*STDEV('Feeder Spreads'!P119:P138),"")</f>
        <v>0</v>
      </c>
      <c r="DL119">
        <f>IFERROR(AVERAGE('Feeder Spreads'!P119:P138)-2*STDEV('Feeder Spreads'!P119:P138),"")</f>
        <v>0</v>
      </c>
      <c r="DM119" t="str">
        <f>IFERROR(('Feeder Spreads'!P119-(AVERAGE('Feeder Spreads'!P119:P138)-2*STDEV('Feeder Spreads'!P119:P138)))/(4*STDEV('Feeder Spreads'!P119:P138)),"")</f>
        <v/>
      </c>
      <c r="DN119" t="str">
        <f>IFERROR(4*STDEV('Feeder Spreads'!P119:P138)/AVERAGE('Feeder Spreads'!P119:P138),"")</f>
        <v/>
      </c>
      <c r="DO119">
        <v>17.425799999999999</v>
      </c>
      <c r="DP119">
        <f>IFERROR(SQRT((SUMSQ('Feeder Spreads'!P119:P138)-2*SUMPRODUCT('Feeder Spreads'!P119:P138,'Feeder Spreads'!P120:P139)+SUMSQ('Feeder Spreads'!P120:P139)-('Feeder Spreads'!P119-'Feeder Spreads'!P139)^2/20)/19),"")</f>
        <v>0</v>
      </c>
      <c r="DR119">
        <f>IFERROR('Feeder Spreads'!V119,"")</f>
        <v>0</v>
      </c>
      <c r="DS119">
        <f>IFERROR(('Feeder Spreads'!W119-AVERAGE('Feeder Spreads'!$W$3:$W$4308))/STDEV('Feeder Spreads'!$W$3:$W$4308),"")</f>
        <v>-9.2057461789832332E-2</v>
      </c>
      <c r="DT119">
        <f>IFERROR('Feeder Spreads'!W119-'Feeder Spreads'!W124,"")</f>
        <v>0</v>
      </c>
      <c r="DU119">
        <f>IFERROR('Feeder Spreads'!W119-'Feeder Spreads'!W129,"")</f>
        <v>0</v>
      </c>
      <c r="DV119">
        <f>IFERROR(AVERAGE('Feeder Spreads'!W119:W138)+2*STDEV('Feeder Spreads'!W119:W138),"")</f>
        <v>0</v>
      </c>
      <c r="DW119">
        <f>IFERROR(AVERAGE('Feeder Spreads'!W119:W138)-2*STDEV('Feeder Spreads'!W119:W138),"")</f>
        <v>0</v>
      </c>
      <c r="DX119" t="str">
        <f>IFERROR(('Feeder Spreads'!W119-(AVERAGE('Feeder Spreads'!W119:W138)-2*STDEV('Feeder Spreads'!W119:W138)))/(4*STDEV('Feeder Spreads'!W119:W138)),"")</f>
        <v/>
      </c>
      <c r="DY119" t="str">
        <f>IFERROR(4*STDEV('Feeder Spreads'!W119:W138)/AVERAGE('Feeder Spreads'!W119:W138),"")</f>
        <v/>
      </c>
      <c r="DZ119">
        <v>74.103099999999998</v>
      </c>
      <c r="EA119">
        <f>IFERROR(SQRT((SUMSQ('Feeder Spreads'!W119:W138)-2*SUMPRODUCT('Feeder Spreads'!W119:W138,'Feeder Spreads'!W120:W139)+SUMSQ('Feeder Spreads'!W120:W139)-('Feeder Spreads'!W119-'Feeder Spreads'!W139)^2/20)/19),"")</f>
        <v>0</v>
      </c>
      <c r="EC119">
        <f>IFERROR('Feeder Spreads'!AC119,"")</f>
        <v>0</v>
      </c>
      <c r="ED119">
        <f>IFERROR(('Feeder Spreads'!AD119-AVERAGE('Feeder Spreads'!$AD$3:$AD$4308))/STDEV('Feeder Spreads'!$AD$3:$AD$4308),"")</f>
        <v>9.2057461789832318E-2</v>
      </c>
      <c r="EE119">
        <f>IFERROR('Feeder Spreads'!AD119-'Feeder Spreads'!AD124,"")</f>
        <v>0</v>
      </c>
      <c r="EF119">
        <f>IFERROR('Feeder Spreads'!AD119-'Feeder Spreads'!AD129,"")</f>
        <v>0</v>
      </c>
      <c r="EG119">
        <f>IFERROR(AVERAGE('Feeder Spreads'!AD119:AD138)+2*STDEV('Feeder Spreads'!AD119:AD138),"")</f>
        <v>0</v>
      </c>
      <c r="EH119">
        <f>IFERROR(AVERAGE('Feeder Spreads'!AD119:AD138)-2*STDEV('Feeder Spreads'!AD119:AD138),"")</f>
        <v>0</v>
      </c>
      <c r="EI119" t="str">
        <f>IFERROR(('Feeder Spreads'!AD119-(AVERAGE('Feeder Spreads'!AD119:AD138)-2*STDEV('Feeder Spreads'!AD119:AD138)))/(4*STDEV('Feeder Spreads'!AD119:AD138)),"")</f>
        <v/>
      </c>
      <c r="EJ119" t="str">
        <f>IFERROR(4*STDEV('Feeder Spreads'!AD119:AD138)/AVERAGE('Feeder Spreads'!AD119:AD138),"")</f>
        <v/>
      </c>
      <c r="EK119">
        <v>48.171900000000001</v>
      </c>
      <c r="EL119">
        <f>IFERROR(SQRT((SUMSQ('Feeder Spreads'!AD119:AD138)-2*SUMPRODUCT('Feeder Spreads'!AD119:AD138,'Feeder Spreads'!AD120:AD139)+SUMSQ('Feeder Spreads'!AD120:AD139)-('Feeder Spreads'!AD119-'Feeder Spreads'!AD139)^2/20)/19),"")</f>
        <v>0</v>
      </c>
      <c r="EN119">
        <f>IFERROR('Feeder Spreads'!AJ119,"")</f>
        <v>0</v>
      </c>
      <c r="EO119">
        <f>IFERROR(('Feeder Spreads'!AK119-AVERAGE('Feeder Spreads'!$AK$3:$AK$4308))/STDEV('Feeder Spreads'!$AK$3:$AK$4308),"")</f>
        <v>-9.2057461789832346E-2</v>
      </c>
      <c r="EP119">
        <f>IFERROR('Feeder Spreads'!AK119-'Feeder Spreads'!AK124,"")</f>
        <v>0</v>
      </c>
      <c r="EQ119">
        <f>IFERROR('Feeder Spreads'!AK119-'Feeder Spreads'!AK129,"")</f>
        <v>0</v>
      </c>
      <c r="ER119">
        <f>IFERROR(AVERAGE('Feeder Spreads'!AK119:AK138)+2*STDEV('Feeder Spreads'!AK119:AK138),"")</f>
        <v>0</v>
      </c>
      <c r="ES119">
        <f>IFERROR(AVERAGE('Feeder Spreads'!AK119:AK138)-2*STDEV('Feeder Spreads'!AK119:AK138),"")</f>
        <v>0</v>
      </c>
      <c r="ET119" t="str">
        <f>IFERROR(('Feeder Spreads'!AK119-(AVERAGE('Feeder Spreads'!AK119:AK138)-2*STDEV('Feeder Spreads'!AK119:AK138)))/(4*STDEV('Feeder Spreads'!AK119:AK138)),"")</f>
        <v/>
      </c>
      <c r="EU119" t="str">
        <f>IFERROR(4*STDEV('Feeder Spreads'!AK119:AK138)/AVERAGE('Feeder Spreads'!AK119:AK138),"")</f>
        <v/>
      </c>
      <c r="EV119">
        <v>63.581400000000002</v>
      </c>
      <c r="EW119">
        <f>IFERROR(SQRT((SUMSQ('Feeder Spreads'!AK119:AK138)-2*SUMPRODUCT('Feeder Spreads'!AK119:AK138,'Feeder Spreads'!AK120:AK139)+SUMSQ('Feeder Spreads'!AK120:AK139)-('Feeder Spreads'!AK119-'Feeder Spreads'!AK139)^2/20)/19),"")</f>
        <v>0</v>
      </c>
      <c r="EY119">
        <f>IFERROR('Feeder Spreads'!AQ119,"")</f>
        <v>0</v>
      </c>
      <c r="EZ119">
        <f>IFERROR(('Feeder Spreads'!AR119-AVERAGE('Feeder Spreads'!$AR$3:$AR$4308))/STDEV('Feeder Spreads'!$AR$3:$AR$4308),"")</f>
        <v>-9.2057461789832332E-2</v>
      </c>
      <c r="FA119">
        <f>IFERROR('Feeder Spreads'!AR119-'Feeder Spreads'!AR124,"")</f>
        <v>0</v>
      </c>
      <c r="FB119">
        <f>IFERROR('Feeder Spreads'!AR119-'Feeder Spreads'!AR129,"")</f>
        <v>0</v>
      </c>
      <c r="FC119">
        <f>IFERROR(AVERAGE('Feeder Spreads'!AR119:AR138)+2*STDEV('Feeder Spreads'!AR119:AR138),"")</f>
        <v>0</v>
      </c>
      <c r="FD119">
        <f>IFERROR(AVERAGE('Feeder Spreads'!AR119:AR138)-2*STDEV('Feeder Spreads'!AR119:AR138),"")</f>
        <v>0</v>
      </c>
      <c r="FE119" t="str">
        <f>IFERROR(('Feeder Spreads'!AR119-(AVERAGE('Feeder Spreads'!AR119:AR138)-2*STDEV('Feeder Spreads'!AR119:AR138)))/(4*STDEV('Feeder Spreads'!AR119:AR138)),"")</f>
        <v/>
      </c>
      <c r="FF119" t="str">
        <f>IFERROR(4*STDEV('Feeder Spreads'!AR119:AR138)/AVERAGE('Feeder Spreads'!AR119:AR138),"")</f>
        <v/>
      </c>
      <c r="FG119">
        <v>63.260599999999997</v>
      </c>
      <c r="FH119">
        <f>IFERROR(SQRT((SUMSQ('Feeder Spreads'!AR119:AR138)-2*SUMPRODUCT('Feeder Spreads'!AR119:AR138,'Feeder Spreads'!AR120:AR139)+SUMSQ('Feeder Spreads'!AR120:AR139)-('Feeder Spreads'!AR119-'Feeder Spreads'!AR139)^2/20)/19),"")</f>
        <v>0</v>
      </c>
      <c r="FJ119">
        <f>IFERROR('Fat Spreads'!AX119,"")</f>
        <v>0</v>
      </c>
      <c r="FK119">
        <f>IFERROR(('Fat Spreads'!AY119-AVERAGE('Fat Spreads'!$AY$3:$AY$4308))/STDEV('Fat Spreads'!$AY$3:$AY$4308),"")</f>
        <v>9.2057461789832332E-2</v>
      </c>
      <c r="FL119">
        <f>IFERROR('Fat Spreads'!AY119-'Fat Spreads'!AY124,"")</f>
        <v>0</v>
      </c>
      <c r="FM119">
        <f>IFERROR('Fat Spreads'!AY119-'Fat Spreads'!AY129,"")</f>
        <v>0</v>
      </c>
      <c r="FN119">
        <f>IFERROR(AVERAGE('Fat Spreads'!AY119:AY138)+2*STDEV('Fat Spreads'!AY119:AY138),"")</f>
        <v>0</v>
      </c>
      <c r="FO119">
        <f>IFERROR(AVERAGE('Fat Spreads'!AY119:AY138)-2*STDEV('Fat Spreads'!AY119:AY138),"")</f>
        <v>0</v>
      </c>
      <c r="FP119" t="str">
        <f>IFERROR(('Fat Spreads'!AY119-(AVERAGE('Fat Spreads'!AY119:AY138)-2*STDEV('Fat Spreads'!AY119:AY138)))/(4*STDEV('Fat Spreads'!AY119:AY138)),"")</f>
        <v/>
      </c>
      <c r="FQ119" t="str">
        <f>IFERROR(4*STDEV('Fat Spreads'!AY119:AY138)/AVERAGE('Fat Spreads'!AY119:AY138),"")</f>
        <v/>
      </c>
      <c r="FR119">
        <v>47.748600000000003</v>
      </c>
      <c r="FS119">
        <f>IFERROR(SQRT((SUMSQ('Fat Spreads'!AY119:AY138)-2*SUMPRODUCT('Fat Spreads'!AY119:AY138,'Fat Spreads'!AY120:AY139)+SUMSQ('Fat Spreads'!AY120:AY139)-('Fat Spreads'!AY119-'Fat Spreads'!AY139)^2/20)/19),"")</f>
        <v>0</v>
      </c>
      <c r="FU119">
        <f>IFERROR('Fat Spreads'!BE119,"")</f>
        <v>0</v>
      </c>
      <c r="FV119">
        <f>IFERROR(('Fat Spreads'!BF119-AVERAGE('Fat Spreads'!$BF$3:$BF$4308))/STDEV('Fat Spreads'!$BF$3:$BF$4308),"")</f>
        <v>9.2057461789832332E-2</v>
      </c>
      <c r="FW119">
        <f>IFERROR('Fat Spreads'!BF119-'Fat Spreads'!BF124,"")</f>
        <v>0</v>
      </c>
      <c r="FX119">
        <f>IFERROR('Fat Spreads'!BF119-'Fat Spreads'!BF129,"")</f>
        <v>0</v>
      </c>
      <c r="FY119">
        <f>IFERROR(AVERAGE('Fat Spreads'!BF119:BF138)+2*STDEV('Fat Spreads'!BF119:BF138),"")</f>
        <v>0</v>
      </c>
      <c r="FZ119">
        <f>IFERROR(AVERAGE('Fat Spreads'!BF119:BF138)-2*STDEV('Fat Spreads'!BF119:BF138),"")</f>
        <v>0</v>
      </c>
      <c r="GA119" t="str">
        <f>IFERROR(('Fat Spreads'!BF119-(AVERAGE('Fat Spreads'!BF119:BF138)-2*STDEV('Fat Spreads'!BF119:BF138)))/(4*STDEV('Fat Spreads'!BF119:BF138)),"")</f>
        <v/>
      </c>
      <c r="GB119" t="str">
        <f>IFERROR(4*STDEV('Fat Spreads'!BF119:BF138)/AVERAGE('Fat Spreads'!BF119:BF138),"")</f>
        <v/>
      </c>
      <c r="GC119">
        <v>54.252099999999999</v>
      </c>
      <c r="GD119">
        <f>IFERROR(SQRT((SUMSQ('Fat Spreads'!BF119:BF138)-2*SUMPRODUCT('Fat Spreads'!BF119:BF138,'Fat Spreads'!BF120:BF139)+SUMSQ('Fat Spreads'!BF120:BF139)-('Fat Spreads'!BF119-'Fat Spreads'!BF139)^2/20)/19),"")</f>
        <v>0</v>
      </c>
    </row>
    <row r="120" spans="1:186" x14ac:dyDescent="0.25">
      <c r="A120">
        <f>IFERROR('Fat Spreads'!A120,"")</f>
        <v>0</v>
      </c>
      <c r="B120">
        <f>IFERROR(('Fat Spreads'!B120-AVERAGE('Fat Spreads'!$B$3:$B$4308))/STDEV('Fat Spreads'!$B$3:$B$4308),"")</f>
        <v>9.2057461789832346E-2</v>
      </c>
      <c r="C120">
        <f>IFERROR('Fat Spreads'!B120-'Fat Spreads'!B125,"")</f>
        <v>0</v>
      </c>
      <c r="D120">
        <f>IFERROR('Fat Spreads'!B120-'Fat Spreads'!B130,"")</f>
        <v>0</v>
      </c>
      <c r="E120" t="str">
        <f>IFERROR(AVERAGE('Fat Spreads'!B120:B139)+2*STDEV('Fat Spreads'!B120:B139),"")</f>
        <v/>
      </c>
      <c r="F120" t="str">
        <f>IFERROR(AVERAGE('Fat Spreads'!B120:B139)-2*STDEV('Fat Spreads'!B120:B139),"")</f>
        <v/>
      </c>
      <c r="G120" t="str">
        <f>IFERROR(('Fat Spreads'!B120-(AVERAGE('Fat Spreads'!B120:B139)-2*STDEV('Fat Spreads'!B120:B139)))/(4*STDEV('Fat Spreads'!B120:B139)),"")</f>
        <v/>
      </c>
      <c r="H120" t="str">
        <f>IFERROR(4*STDEV('Fat Spreads'!B120:B139)/AVERAGE('Fat Spreads'!B120:B139),"")</f>
        <v/>
      </c>
      <c r="I120">
        <v>45.298299999999998</v>
      </c>
      <c r="J120">
        <f>IFERROR(SQRT((SUMSQ('Fat Spreads'!B120:B139)-2*SUMPRODUCT('Fat Spreads'!B120:B139,'Fat Spreads'!B121:B140)+SUMSQ('Fat Spreads'!B121:B140)-('Fat Spreads'!B120-'Fat Spreads'!B140)^2/20)/19),"")</f>
        <v>0</v>
      </c>
      <c r="L120">
        <f>IFERROR('Fat Spreads'!H120,"")</f>
        <v>0</v>
      </c>
      <c r="M120">
        <f>IFERROR(('Fat Spreads'!I120-AVERAGE('Fat Spreads'!$I$3:$I$4308))/STDEV('Fat Spreads'!$I$3:$I$4308),"")</f>
        <v>-9.2057461789832332E-2</v>
      </c>
      <c r="N120">
        <f>IFERROR('Fat Spreads'!I120-'Fat Spreads'!I125,"")</f>
        <v>0</v>
      </c>
      <c r="O120">
        <f>IFERROR('Fat Spreads'!I120-'Fat Spreads'!I130,"")</f>
        <v>0</v>
      </c>
      <c r="P120" t="str">
        <f>IFERROR(AVERAGE('Fat Spreads'!I120:I139)+2*STDEV('Fat Spreads'!I120:I139),"")</f>
        <v/>
      </c>
      <c r="Q120" t="str">
        <f>IFERROR(AVERAGE('Fat Spreads'!I120:I139)-2*STDEV('Fat Spreads'!I120:I139),"")</f>
        <v/>
      </c>
      <c r="R120" t="str">
        <f>IFERROR(('Fat Spreads'!I120-(AVERAGE('Fat Spreads'!I120:I139)-2*STDEV('Fat Spreads'!I120:I139)))/(4*STDEV('Fat Spreads'!I120:I139)),"")</f>
        <v/>
      </c>
      <c r="S120" t="str">
        <f>IFERROR(4*STDEV('Fat Spreads'!I120:I139)/AVERAGE('Fat Spreads'!I120:I139),"")</f>
        <v/>
      </c>
      <c r="T120">
        <v>52.617100000000001</v>
      </c>
      <c r="U120">
        <f>IFERROR(SQRT((SUMSQ('Fat Spreads'!I120:I139)-2*SUMPRODUCT('Fat Spreads'!I120:I139,'Fat Spreads'!I121:I140)+SUMSQ('Fat Spreads'!I121:I140)-('Fat Spreads'!I120-'Fat Spreads'!I140)^2/20)/19),"")</f>
        <v>0</v>
      </c>
      <c r="W120">
        <f>IFERROR('Fat Spreads'!AQ120,"")</f>
        <v>0</v>
      </c>
      <c r="X120">
        <f>IFERROR(('Fat Spreads'!AR120-AVERAGE('Fat Spreads'!$AR$3:$AR$4308))/STDEV('Fat Spreads'!$AR$3:$AR$4308),"")</f>
        <v>-9.2057461789832346E-2</v>
      </c>
      <c r="Y120">
        <f>IFERROR('Fat Spreads'!AR120-'Fat Spreads'!AR125,"")</f>
        <v>0</v>
      </c>
      <c r="Z120">
        <f>IFERROR('Fat Spreads'!AR120-'Fat Spreads'!AR130,"")</f>
        <v>0</v>
      </c>
      <c r="AA120" t="str">
        <f>IFERROR(AVERAGE('Fat Spreads'!AR120:AR139)+2*STDEV('Fat Spreads'!AR120:AR139),"")</f>
        <v/>
      </c>
      <c r="AB120" t="str">
        <f>IFERROR(AVERAGE('Fat Spreads'!AR120:AR139)-2*STDEV('Fat Spreads'!AR120:AR139),"")</f>
        <v/>
      </c>
      <c r="AC120" t="str">
        <f>IFERROR(('Fat Spreads'!AR120-(AVERAGE('Fat Spreads'!AR120:AR139)-2*STDEV('Fat Spreads'!AR120:AR139)))/(4*STDEV('Fat Spreads'!AR120:AR139)),"")</f>
        <v/>
      </c>
      <c r="AD120" t="str">
        <f>IFERROR(4*STDEV('Fat Spreads'!AR120:AR139)/AVERAGE('Fat Spreads'!AR120:AR139),"")</f>
        <v/>
      </c>
      <c r="AE120">
        <v>51.826000000000001</v>
      </c>
      <c r="AF120">
        <f>IFERROR(SQRT((SUMSQ('Fat Spreads'!AR120:AR139)-2*SUMPRODUCT('Fat Spreads'!AR120:AR139,'Fat Spreads'!AR121:AR140)+SUMSQ('Fat Spreads'!AR121:AR140)-('Fat Spreads'!AR120-'Fat Spreads'!AR140)^2/20)/19),"")</f>
        <v>0</v>
      </c>
      <c r="AH120">
        <f>IFERROR('Fat Spreads'!O120,"")</f>
        <v>0</v>
      </c>
      <c r="AI120">
        <f>IFERROR(('Fat Spreads'!P120-AVERAGE('Fat Spreads'!$P$3:$P$4308))/STDEV('Fat Spreads'!$P$3:$P$4308),"")</f>
        <v>-9.2057461789832332E-2</v>
      </c>
      <c r="AJ120">
        <f>IFERROR('Fat Spreads'!P120-'Fat Spreads'!P125,"")</f>
        <v>0</v>
      </c>
      <c r="AK120">
        <f>IFERROR('Fat Spreads'!P120-'Fat Spreads'!P130,"")</f>
        <v>0</v>
      </c>
      <c r="AL120" t="str">
        <f>IFERROR(AVERAGE('Fat Spreads'!P120:P139)+2*STDEV('Fat Spreads'!P120:P139),"")</f>
        <v/>
      </c>
      <c r="AM120" t="str">
        <f>IFERROR(AVERAGE('Fat Spreads'!P120:P139)-2*STDEV('Fat Spreads'!P120:P139),"")</f>
        <v/>
      </c>
      <c r="AN120" t="str">
        <f>IFERROR(('Fat Spreads'!P120-(AVERAGE('Fat Spreads'!P120:P139)-2*STDEV('Fat Spreads'!P120:P139)))/(4*STDEV('Fat Spreads'!P120:P139)),"")</f>
        <v/>
      </c>
      <c r="AO120" t="str">
        <f>IFERROR(4*STDEV('Fat Spreads'!P120:P139)/AVERAGE('Fat Spreads'!P120:P139),"")</f>
        <v/>
      </c>
      <c r="AP120">
        <v>62.685600000000001</v>
      </c>
      <c r="AQ120">
        <f>IFERROR(SQRT((SUMSQ('Fat Spreads'!P120:P139)-2*SUMPRODUCT('Fat Spreads'!P120:P139,'Fat Spreads'!P121:P140)+SUMSQ('Fat Spreads'!P121:P140)-('Fat Spreads'!P120-'Fat Spreads'!P140)^2/20)/19),"")</f>
        <v>0</v>
      </c>
      <c r="AS120">
        <f>IFERROR('Fat Spreads'!AJ120,"")</f>
        <v>0</v>
      </c>
      <c r="AT120">
        <f>IFERROR(('Fat Spreads'!AK120-AVERAGE('Fat Spreads'!$AK$3:$AK$4308))/STDEV('Fat Spreads'!$AK$3:$AK$4308),"")</f>
        <v>-9.2057461789832332E-2</v>
      </c>
      <c r="AU120">
        <f>IFERROR('Fat Spreads'!AK120-'Fat Spreads'!AK125,"")</f>
        <v>0</v>
      </c>
      <c r="AV120">
        <f>IFERROR('Fat Spreads'!AK120-'Fat Spreads'!AK130,"")</f>
        <v>0</v>
      </c>
      <c r="AW120" t="str">
        <f>IFERROR(AVERAGE('Fat Spreads'!AK120:AK139)+2*STDEV('Fat Spreads'!AK120:AK139),"")</f>
        <v/>
      </c>
      <c r="AX120" t="str">
        <f>IFERROR(AVERAGE('Fat Spreads'!AK120:AK139)-2*STDEV('Fat Spreads'!AK120:AK139),"")</f>
        <v/>
      </c>
      <c r="AY120" t="str">
        <f>IFERROR(('Fat Spreads'!AK120-(AVERAGE('Fat Spreads'!AK120:AK139)-2*STDEV('Fat Spreads'!AK120:AK139)))/(4*STDEV('Fat Spreads'!AK120:AK139)),"")</f>
        <v/>
      </c>
      <c r="AZ120" t="str">
        <f>IFERROR(4*STDEV('Fat Spreads'!AK120:AK139)/AVERAGE('Fat Spreads'!AK120:AK139),"")</f>
        <v/>
      </c>
      <c r="BA120">
        <v>53.172800000000002</v>
      </c>
      <c r="BB120">
        <f>IFERROR(SQRT((SUMSQ('Fat Spreads'!AK120:AK139)-2*SUMPRODUCT('Fat Spreads'!AK120:AK139,'Fat Spreads'!AK121:AK140)+SUMSQ('Fat Spreads'!AK121:AK140)-('Fat Spreads'!AK120-'Fat Spreads'!AK140)^2/20)/19),"")</f>
        <v>0</v>
      </c>
      <c r="BD120">
        <f>IFERROR('Fat Spreads'!V120,"")</f>
        <v>0</v>
      </c>
      <c r="BE120">
        <f>IFERROR(('Fat Spreads'!W120-AVERAGE('Fat Spreads'!$W$3:$W$4308))/STDEV('Fat Spreads'!$W$3:$W$4308),"")</f>
        <v>-9.2057461789832332E-2</v>
      </c>
      <c r="BF120">
        <f>IFERROR('Fat Spreads'!W120-'Fat Spreads'!W125,"")</f>
        <v>0</v>
      </c>
      <c r="BG120">
        <f>IFERROR('Fat Spreads'!W120-'Fat Spreads'!W130,"")</f>
        <v>0</v>
      </c>
      <c r="BH120" t="str">
        <f>IFERROR(AVERAGE('Fat Spreads'!W120:W139)+2*STDEV('Fat Spreads'!W120:W139),"")</f>
        <v/>
      </c>
      <c r="BI120" t="str">
        <f>IFERROR(AVERAGE('Fat Spreads'!W120:W139)-2*STDEV('Fat Spreads'!W120:W139),"")</f>
        <v/>
      </c>
      <c r="BJ120" t="str">
        <f>IFERROR(('Fat Spreads'!W120-(AVERAGE('Fat Spreads'!W120:W139)-2*STDEV('Fat Spreads'!W120:W139)))/(4*STDEV('Fat Spreads'!W120:W139)),"")</f>
        <v/>
      </c>
      <c r="BK120" t="str">
        <f>IFERROR(4*STDEV('Fat Spreads'!W120:W139)/AVERAGE('Fat Spreads'!W120:W139),"")</f>
        <v/>
      </c>
      <c r="BL120">
        <v>37.3855</v>
      </c>
      <c r="BM120">
        <f>IFERROR(SQRT((SUMSQ('Fat Spreads'!W120:W139)-2*SUMPRODUCT('Fat Spreads'!W120:W139,'Fat Spreads'!W121:W140)+SUMSQ('Fat Spreads'!W121:W140)-('Fat Spreads'!W120-'Fat Spreads'!W140)^2/20)/19),"")</f>
        <v>0</v>
      </c>
      <c r="BO120">
        <f>IFERROR('Fat Spreads'!AC120,"")</f>
        <v>0</v>
      </c>
      <c r="BP120">
        <f>IFERROR(('Fat Spreads'!AD120-AVERAGE('Fat Spreads'!$AD$3:$AD$4308))/STDEV('Fat Spreads'!$AD$3:$AD$4308),"")</f>
        <v>-9.2057461789832332E-2</v>
      </c>
      <c r="BQ120">
        <f>IFERROR('Fat Spreads'!AD120-'Fat Spreads'!AD125,"")</f>
        <v>0</v>
      </c>
      <c r="BR120">
        <f>IFERROR('Fat Spreads'!AD120-'Fat Spreads'!AD130,"")</f>
        <v>0</v>
      </c>
      <c r="BS120" t="str">
        <f>IFERROR(AVERAGE('Fat Spreads'!AD120:AD139)+2*STDEV('Fat Spreads'!AD120:AD139),"")</f>
        <v/>
      </c>
      <c r="BT120" t="str">
        <f>IFERROR(AVERAGE('Fat Spreads'!AD120:AD139)-2*STDEV('Fat Spreads'!AD120:AD139),"")</f>
        <v/>
      </c>
      <c r="BU120" t="str">
        <f>IFERROR(('Fat Spreads'!AD120-(AVERAGE('Fat Spreads'!AD120:AD139)-2*STDEV('Fat Spreads'!AD120:AD139)))/(4*STDEV('Fat Spreads'!AD120:AD139)),"")</f>
        <v/>
      </c>
      <c r="BV120" t="str">
        <f>IFERROR(4*STDEV('Fat Spreads'!AD120:AD139)/AVERAGE('Fat Spreads'!AD120:AD139),"")</f>
        <v/>
      </c>
      <c r="BW120">
        <v>46.593699999999998</v>
      </c>
      <c r="BX120">
        <f>IFERROR(SQRT((SUMSQ('Fat Spreads'!AD120:AD139)-2*SUMPRODUCT('Fat Spreads'!AD120:AD139,'Fat Spreads'!AD121:AD140)+SUMSQ('Fat Spreads'!AD121:AD140)-('Fat Spreads'!AD120-'Fat Spreads'!AD140)^2/20)/19),"")</f>
        <v>0</v>
      </c>
      <c r="BZ120">
        <f>IFERROR('Feeder Spreads'!A120,"")</f>
        <v>0</v>
      </c>
      <c r="CA120">
        <f>IFERROR(('Feeder Spreads'!B120-AVERAGE('Feeder Spreads'!$B$3:$B$4308))/STDEV('Feeder Spreads'!$B$3:$B$4308),"")</f>
        <v>-9.2057461789832346E-2</v>
      </c>
      <c r="CB120">
        <f>IFERROR('Feeder Spreads'!B120-'Feeder Spreads'!B125,"")</f>
        <v>0</v>
      </c>
      <c r="CC120">
        <f>IFERROR('Feeder Spreads'!B120-'Feeder Spreads'!B130,"")</f>
        <v>0</v>
      </c>
      <c r="CD120" t="str">
        <f>IFERROR(AVERAGE('Feeder Spreads'!B120:B139)+2*STDEV('Feeder Spreads'!B120:B139),"")</f>
        <v/>
      </c>
      <c r="CE120" t="str">
        <f>IFERROR(AVERAGE('Feeder Spreads'!B120:B139)-2*STDEV('Feeder Spreads'!B120:B139),"")</f>
        <v/>
      </c>
      <c r="CF120" t="str">
        <f>IFERROR(('Feeder Spreads'!B120-(AVERAGE('Feeder Spreads'!B120:B139)-2*STDEV('Feeder Spreads'!B120:B139)))/(4*STDEV('Feeder Spreads'!B120:B139)),"")</f>
        <v/>
      </c>
      <c r="CG120" t="str">
        <f>IFERROR(4*STDEV('Feeder Spreads'!B120:B139)/AVERAGE('Feeder Spreads'!B120:B139),"")</f>
        <v/>
      </c>
      <c r="CH120">
        <v>46.554000000000002</v>
      </c>
      <c r="CI120">
        <f>IFERROR(SQRT((SUMSQ('Feeder Spreads'!B120:B139)-2*SUMPRODUCT('Feeder Spreads'!B120:B139,'Feeder Spreads'!B121:B140)+SUMSQ('Feeder Spreads'!B121:B140)-('Feeder Spreads'!B120-'Feeder Spreads'!B140)^2/20)/19),"")</f>
        <v>0</v>
      </c>
      <c r="CK120">
        <f>IFERROR('Feeder Spreads'!AX120,"")</f>
        <v>0</v>
      </c>
      <c r="CL120">
        <f>IFERROR(('Feeder Spreads'!AY120-AVERAGE('Feeder Spreads'!$AY$3:$AY$4308))/STDEV('Feeder Spreads'!$AY$3:$AY$4308),"")</f>
        <v>-9.2057461789832346E-2</v>
      </c>
      <c r="CM120">
        <f>IFERROR('Feeder Spreads'!AY120-'Feeder Spreads'!AY125,"")</f>
        <v>0</v>
      </c>
      <c r="CN120">
        <f>IFERROR('Feeder Spreads'!AY120-'Feeder Spreads'!AY130,"")</f>
        <v>0</v>
      </c>
      <c r="CO120" t="str">
        <f>IFERROR(AVERAGE('Feeder Spreads'!AY120:AY139)+2*STDEV('Feeder Spreads'!AY120:AY139),"")</f>
        <v/>
      </c>
      <c r="CP120" t="str">
        <f>IFERROR(AVERAGE('Feeder Spreads'!AY120:AY139)-2*STDEV('Feeder Spreads'!AY120:AY139),"")</f>
        <v/>
      </c>
      <c r="CQ120" t="str">
        <f>IFERROR(('Feeder Spreads'!AY120-(AVERAGE('Feeder Spreads'!AY120:AY139)-2*STDEV('Feeder Spreads'!AY120:AY139)))/(4*STDEV('Feeder Spreads'!AY120:AY139)),"")</f>
        <v/>
      </c>
      <c r="CR120" t="str">
        <f>IFERROR(4*STDEV('Feeder Spreads'!AY120:AY139)/AVERAGE('Feeder Spreads'!AY120:AY139),"")</f>
        <v/>
      </c>
      <c r="CS120">
        <v>85.600200000000001</v>
      </c>
      <c r="CT120">
        <f>IFERROR(SQRT((SUMSQ('Feeder Spreads'!AY120:AY139)-2*SUMPRODUCT('Feeder Spreads'!AY120:AY139,'Feeder Spreads'!AY121:AY140)+SUMSQ('Feeder Spreads'!AY121:AY140)-('Feeder Spreads'!AY120-'Feeder Spreads'!AY140)^2/20)/19),"")</f>
        <v>0</v>
      </c>
      <c r="CV120">
        <f>IFERROR('Feeder Spreads'!H120,"")</f>
        <v>0</v>
      </c>
      <c r="CW120">
        <f>IFERROR(('Feeder Spreads'!I120-AVERAGE('Feeder Spreads'!$I$3:$I$4308))/STDEV('Feeder Spreads'!$I$3:$I$4308),"")</f>
        <v>-9.2057461789832332E-2</v>
      </c>
      <c r="CX120">
        <f>IFERROR('Feeder Spreads'!I120-'Feeder Spreads'!I125,"")</f>
        <v>0</v>
      </c>
      <c r="CY120">
        <f>IFERROR('Feeder Spreads'!I120-'Feeder Spreads'!I130,"")</f>
        <v>0</v>
      </c>
      <c r="CZ120" t="str">
        <f>IFERROR(AVERAGE('Feeder Spreads'!I120:I139)+2*STDEV('Feeder Spreads'!I120:I139),"")</f>
        <v/>
      </c>
      <c r="DA120" t="str">
        <f>IFERROR(AVERAGE('Feeder Spreads'!I120:I139)-2*STDEV('Feeder Spreads'!I120:I139),"")</f>
        <v/>
      </c>
      <c r="DB120" t="str">
        <f>IFERROR(('Feeder Spreads'!I120-(AVERAGE('Feeder Spreads'!I120:I139)-2*STDEV('Feeder Spreads'!I120:I139)))/(4*STDEV('Feeder Spreads'!I120:I139)),"")</f>
        <v/>
      </c>
      <c r="DC120" t="str">
        <f>IFERROR(4*STDEV('Feeder Spreads'!I120:I139)/AVERAGE('Feeder Spreads'!I120:I139),"")</f>
        <v/>
      </c>
      <c r="DD120">
        <v>55.009900000000002</v>
      </c>
      <c r="DE120">
        <f>IFERROR(SQRT((SUMSQ('Feeder Spreads'!I120:I139)-2*SUMPRODUCT('Feeder Spreads'!I120:I139,'Feeder Spreads'!I121:I140)+SUMSQ('Feeder Spreads'!I121:I140)-('Feeder Spreads'!I120-'Feeder Spreads'!I140)^2/20)/19),"")</f>
        <v>0</v>
      </c>
      <c r="DG120">
        <f>IFERROR('Feeder Spreads'!O120,"")</f>
        <v>0</v>
      </c>
      <c r="DH120">
        <f>IFERROR(('Feeder Spreads'!P120-AVERAGE('Feeder Spreads'!$P$3:$P$4308))/STDEV('Feeder Spreads'!$P$3:$P$4308),"")</f>
        <v>-9.2057461789832346E-2</v>
      </c>
      <c r="DI120">
        <f>IFERROR('Feeder Spreads'!P120-'Feeder Spreads'!P125,"")</f>
        <v>0</v>
      </c>
      <c r="DJ120">
        <f>IFERROR('Feeder Spreads'!P120-'Feeder Spreads'!P130,"")</f>
        <v>0</v>
      </c>
      <c r="DK120" t="str">
        <f>IFERROR(AVERAGE('Feeder Spreads'!P120:P139)+2*STDEV('Feeder Spreads'!P120:P139),"")</f>
        <v/>
      </c>
      <c r="DL120" t="str">
        <f>IFERROR(AVERAGE('Feeder Spreads'!P120:P139)-2*STDEV('Feeder Spreads'!P120:P139),"")</f>
        <v/>
      </c>
      <c r="DM120" t="str">
        <f>IFERROR(('Feeder Spreads'!P120-(AVERAGE('Feeder Spreads'!P120:P139)-2*STDEV('Feeder Spreads'!P120:P139)))/(4*STDEV('Feeder Spreads'!P120:P139)),"")</f>
        <v/>
      </c>
      <c r="DN120" t="str">
        <f>IFERROR(4*STDEV('Feeder Spreads'!P120:P139)/AVERAGE('Feeder Spreads'!P120:P139),"")</f>
        <v/>
      </c>
      <c r="DO120">
        <v>16.317499999999999</v>
      </c>
      <c r="DP120">
        <f>IFERROR(SQRT((SUMSQ('Feeder Spreads'!P120:P139)-2*SUMPRODUCT('Feeder Spreads'!P120:P139,'Feeder Spreads'!P121:P140)+SUMSQ('Feeder Spreads'!P121:P140)-('Feeder Spreads'!P120-'Feeder Spreads'!P140)^2/20)/19),"")</f>
        <v>0</v>
      </c>
      <c r="DR120">
        <f>IFERROR('Feeder Spreads'!V120,"")</f>
        <v>0</v>
      </c>
      <c r="DS120">
        <f>IFERROR(('Feeder Spreads'!W120-AVERAGE('Feeder Spreads'!$W$3:$W$4308))/STDEV('Feeder Spreads'!$W$3:$W$4308),"")</f>
        <v>-9.2057461789832332E-2</v>
      </c>
      <c r="DT120">
        <f>IFERROR('Feeder Spreads'!W120-'Feeder Spreads'!W125,"")</f>
        <v>0</v>
      </c>
      <c r="DU120">
        <f>IFERROR('Feeder Spreads'!W120-'Feeder Spreads'!W130,"")</f>
        <v>0</v>
      </c>
      <c r="DV120" t="str">
        <f>IFERROR(AVERAGE('Feeder Spreads'!W120:W139)+2*STDEV('Feeder Spreads'!W120:W139),"")</f>
        <v/>
      </c>
      <c r="DW120" t="str">
        <f>IFERROR(AVERAGE('Feeder Spreads'!W120:W139)-2*STDEV('Feeder Spreads'!W120:W139),"")</f>
        <v/>
      </c>
      <c r="DX120" t="str">
        <f>IFERROR(('Feeder Spreads'!W120-(AVERAGE('Feeder Spreads'!W120:W139)-2*STDEV('Feeder Spreads'!W120:W139)))/(4*STDEV('Feeder Spreads'!W120:W139)),"")</f>
        <v/>
      </c>
      <c r="DY120" t="str">
        <f>IFERROR(4*STDEV('Feeder Spreads'!W120:W139)/AVERAGE('Feeder Spreads'!W120:W139),"")</f>
        <v/>
      </c>
      <c r="DZ120">
        <v>74.103099999999998</v>
      </c>
      <c r="EA120">
        <f>IFERROR(SQRT((SUMSQ('Feeder Spreads'!W120:W139)-2*SUMPRODUCT('Feeder Spreads'!W120:W139,'Feeder Spreads'!W121:W140)+SUMSQ('Feeder Spreads'!W121:W140)-('Feeder Spreads'!W120-'Feeder Spreads'!W140)^2/20)/19),"")</f>
        <v>0</v>
      </c>
      <c r="EC120">
        <f>IFERROR('Feeder Spreads'!AC120,"")</f>
        <v>0</v>
      </c>
      <c r="ED120">
        <f>IFERROR(('Feeder Spreads'!AD120-AVERAGE('Feeder Spreads'!$AD$3:$AD$4308))/STDEV('Feeder Spreads'!$AD$3:$AD$4308),"")</f>
        <v>9.2057461789832318E-2</v>
      </c>
      <c r="EE120">
        <f>IFERROR('Feeder Spreads'!AD120-'Feeder Spreads'!AD125,"")</f>
        <v>0</v>
      </c>
      <c r="EF120">
        <f>IFERROR('Feeder Spreads'!AD120-'Feeder Spreads'!AD130,"")</f>
        <v>0</v>
      </c>
      <c r="EG120" t="str">
        <f>IFERROR(AVERAGE('Feeder Spreads'!AD120:AD139)+2*STDEV('Feeder Spreads'!AD120:AD139),"")</f>
        <v/>
      </c>
      <c r="EH120" t="str">
        <f>IFERROR(AVERAGE('Feeder Spreads'!AD120:AD139)-2*STDEV('Feeder Spreads'!AD120:AD139),"")</f>
        <v/>
      </c>
      <c r="EI120" t="str">
        <f>IFERROR(('Feeder Spreads'!AD120-(AVERAGE('Feeder Spreads'!AD120:AD139)-2*STDEV('Feeder Spreads'!AD120:AD139)))/(4*STDEV('Feeder Spreads'!AD120:AD139)),"")</f>
        <v/>
      </c>
      <c r="EJ120" t="str">
        <f>IFERROR(4*STDEV('Feeder Spreads'!AD120:AD139)/AVERAGE('Feeder Spreads'!AD120:AD139),"")</f>
        <v/>
      </c>
      <c r="EK120">
        <v>55.176400000000001</v>
      </c>
      <c r="EL120">
        <f>IFERROR(SQRT((SUMSQ('Feeder Spreads'!AD120:AD139)-2*SUMPRODUCT('Feeder Spreads'!AD120:AD139,'Feeder Spreads'!AD121:AD140)+SUMSQ('Feeder Spreads'!AD121:AD140)-('Feeder Spreads'!AD120-'Feeder Spreads'!AD140)^2/20)/19),"")</f>
        <v>0</v>
      </c>
      <c r="EN120">
        <f>IFERROR('Feeder Spreads'!AJ120,"")</f>
        <v>0</v>
      </c>
      <c r="EO120">
        <f>IFERROR(('Feeder Spreads'!AK120-AVERAGE('Feeder Spreads'!$AK$3:$AK$4308))/STDEV('Feeder Spreads'!$AK$3:$AK$4308),"")</f>
        <v>-9.2057461789832346E-2</v>
      </c>
      <c r="EP120">
        <f>IFERROR('Feeder Spreads'!AK120-'Feeder Spreads'!AK125,"")</f>
        <v>0</v>
      </c>
      <c r="EQ120">
        <f>IFERROR('Feeder Spreads'!AK120-'Feeder Spreads'!AK130,"")</f>
        <v>0</v>
      </c>
      <c r="ER120" t="str">
        <f>IFERROR(AVERAGE('Feeder Spreads'!AK120:AK139)+2*STDEV('Feeder Spreads'!AK120:AK139),"")</f>
        <v/>
      </c>
      <c r="ES120" t="str">
        <f>IFERROR(AVERAGE('Feeder Spreads'!AK120:AK139)-2*STDEV('Feeder Spreads'!AK120:AK139),"")</f>
        <v/>
      </c>
      <c r="ET120" t="str">
        <f>IFERROR(('Feeder Spreads'!AK120-(AVERAGE('Feeder Spreads'!AK120:AK139)-2*STDEV('Feeder Spreads'!AK120:AK139)))/(4*STDEV('Feeder Spreads'!AK120:AK139)),"")</f>
        <v/>
      </c>
      <c r="EU120" t="str">
        <f>IFERROR(4*STDEV('Feeder Spreads'!AK120:AK139)/AVERAGE('Feeder Spreads'!AK120:AK139),"")</f>
        <v/>
      </c>
      <c r="EV120">
        <v>62.336599999999997</v>
      </c>
      <c r="EW120">
        <f>IFERROR(SQRT((SUMSQ('Feeder Spreads'!AK120:AK139)-2*SUMPRODUCT('Feeder Spreads'!AK120:AK139,'Feeder Spreads'!AK121:AK140)+SUMSQ('Feeder Spreads'!AK121:AK140)-('Feeder Spreads'!AK120-'Feeder Spreads'!AK140)^2/20)/19),"")</f>
        <v>0</v>
      </c>
      <c r="EY120">
        <f>IFERROR('Feeder Spreads'!AQ120,"")</f>
        <v>0</v>
      </c>
      <c r="EZ120">
        <f>IFERROR(('Feeder Spreads'!AR120-AVERAGE('Feeder Spreads'!$AR$3:$AR$4308))/STDEV('Feeder Spreads'!$AR$3:$AR$4308),"")</f>
        <v>-9.2057461789832332E-2</v>
      </c>
      <c r="FA120">
        <f>IFERROR('Feeder Spreads'!AR120-'Feeder Spreads'!AR125,"")</f>
        <v>0</v>
      </c>
      <c r="FB120">
        <f>IFERROR('Feeder Spreads'!AR120-'Feeder Spreads'!AR130,"")</f>
        <v>0</v>
      </c>
      <c r="FC120" t="str">
        <f>IFERROR(AVERAGE('Feeder Spreads'!AR120:AR139)+2*STDEV('Feeder Spreads'!AR120:AR139),"")</f>
        <v/>
      </c>
      <c r="FD120" t="str">
        <f>IFERROR(AVERAGE('Feeder Spreads'!AR120:AR139)-2*STDEV('Feeder Spreads'!AR120:AR139),"")</f>
        <v/>
      </c>
      <c r="FE120" t="str">
        <f>IFERROR(('Feeder Spreads'!AR120-(AVERAGE('Feeder Spreads'!AR120:AR139)-2*STDEV('Feeder Spreads'!AR120:AR139)))/(4*STDEV('Feeder Spreads'!AR120:AR139)),"")</f>
        <v/>
      </c>
      <c r="FF120" t="str">
        <f>IFERROR(4*STDEV('Feeder Spreads'!AR120:AR139)/AVERAGE('Feeder Spreads'!AR120:AR139),"")</f>
        <v/>
      </c>
      <c r="FG120">
        <v>63.522399999999998</v>
      </c>
      <c r="FH120">
        <f>IFERROR(SQRT((SUMSQ('Feeder Spreads'!AR120:AR139)-2*SUMPRODUCT('Feeder Spreads'!AR120:AR139,'Feeder Spreads'!AR121:AR140)+SUMSQ('Feeder Spreads'!AR121:AR140)-('Feeder Spreads'!AR120-'Feeder Spreads'!AR140)^2/20)/19),"")</f>
        <v>0</v>
      </c>
      <c r="FJ120">
        <f>IFERROR('Fat Spreads'!AX120,"")</f>
        <v>0</v>
      </c>
      <c r="FK120">
        <f>IFERROR(('Fat Spreads'!AY120-AVERAGE('Fat Spreads'!$AY$3:$AY$4308))/STDEV('Fat Spreads'!$AY$3:$AY$4308),"")</f>
        <v>9.2057461789832332E-2</v>
      </c>
      <c r="FL120">
        <f>IFERROR('Fat Spreads'!AY120-'Fat Spreads'!AY125,"")</f>
        <v>0</v>
      </c>
      <c r="FM120">
        <f>IFERROR('Fat Spreads'!AY120-'Fat Spreads'!AY130,"")</f>
        <v>0</v>
      </c>
      <c r="FN120" t="str">
        <f>IFERROR(AVERAGE('Fat Spreads'!AY120:AY139)+2*STDEV('Fat Spreads'!AY120:AY139),"")</f>
        <v/>
      </c>
      <c r="FO120" t="str">
        <f>IFERROR(AVERAGE('Fat Spreads'!AY120:AY139)-2*STDEV('Fat Spreads'!AY120:AY139),"")</f>
        <v/>
      </c>
      <c r="FP120" t="str">
        <f>IFERROR(('Fat Spreads'!AY120-(AVERAGE('Fat Spreads'!AY120:AY139)-2*STDEV('Fat Spreads'!AY120:AY139)))/(4*STDEV('Fat Spreads'!AY120:AY139)),"")</f>
        <v/>
      </c>
      <c r="FQ120" t="str">
        <f>IFERROR(4*STDEV('Fat Spreads'!AY120:AY139)/AVERAGE('Fat Spreads'!AY120:AY139),"")</f>
        <v/>
      </c>
      <c r="FR120">
        <v>49.773899999999998</v>
      </c>
      <c r="FS120">
        <f>IFERROR(SQRT((SUMSQ('Fat Spreads'!AY120:AY139)-2*SUMPRODUCT('Fat Spreads'!AY120:AY139,'Fat Spreads'!AY121:AY140)+SUMSQ('Fat Spreads'!AY121:AY140)-('Fat Spreads'!AY120-'Fat Spreads'!AY140)^2/20)/19),"")</f>
        <v>0</v>
      </c>
      <c r="FU120">
        <f>IFERROR('Fat Spreads'!BE120,"")</f>
        <v>0</v>
      </c>
      <c r="FV120">
        <f>IFERROR(('Fat Spreads'!BF120-AVERAGE('Fat Spreads'!$BF$3:$BF$4308))/STDEV('Fat Spreads'!$BF$3:$BF$4308),"")</f>
        <v>9.2057461789832332E-2</v>
      </c>
      <c r="FW120">
        <f>IFERROR('Fat Spreads'!BF120-'Fat Spreads'!BF125,"")</f>
        <v>0</v>
      </c>
      <c r="FX120">
        <f>IFERROR('Fat Spreads'!BF120-'Fat Spreads'!BF130,"")</f>
        <v>0</v>
      </c>
      <c r="FY120" t="str">
        <f>IFERROR(AVERAGE('Fat Spreads'!BF120:BF139)+2*STDEV('Fat Spreads'!BF120:BF139),"")</f>
        <v/>
      </c>
      <c r="FZ120" t="str">
        <f>IFERROR(AVERAGE('Fat Spreads'!BF120:BF139)-2*STDEV('Fat Spreads'!BF120:BF139),"")</f>
        <v/>
      </c>
      <c r="GA120" t="str">
        <f>IFERROR(('Fat Spreads'!BF120-(AVERAGE('Fat Spreads'!BF120:BF139)-2*STDEV('Fat Spreads'!BF120:BF139)))/(4*STDEV('Fat Spreads'!BF120:BF139)),"")</f>
        <v/>
      </c>
      <c r="GB120" t="str">
        <f>IFERROR(4*STDEV('Fat Spreads'!BF120:BF139)/AVERAGE('Fat Spreads'!BF120:BF139),"")</f>
        <v/>
      </c>
      <c r="GC120">
        <v>48.7119</v>
      </c>
      <c r="GD120">
        <f>IFERROR(SQRT((SUMSQ('Fat Spreads'!BF120:BF139)-2*SUMPRODUCT('Fat Spreads'!BF120:BF139,'Fat Spreads'!BF121:BF140)+SUMSQ('Fat Spreads'!BF121:BF140)-('Fat Spreads'!BF120-'Fat Spreads'!BF140)^2/20)/19),"")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120"/>
  <sheetViews>
    <sheetView topLeftCell="A104" workbookViewId="0">
      <selection activeCell="B124" sqref="B124"/>
    </sheetView>
  </sheetViews>
  <sheetFormatPr defaultRowHeight="15" x14ac:dyDescent="0.25"/>
  <sheetData>
    <row r="1" spans="1:97" x14ac:dyDescent="0.25">
      <c r="A1" t="s">
        <v>0</v>
      </c>
      <c r="H1" t="s">
        <v>1</v>
      </c>
      <c r="O1" t="s">
        <v>2</v>
      </c>
      <c r="V1" t="s">
        <v>3</v>
      </c>
      <c r="AC1" t="s">
        <v>4</v>
      </c>
      <c r="AJ1" t="s">
        <v>5</v>
      </c>
      <c r="AQ1" t="s">
        <v>6</v>
      </c>
      <c r="AX1" t="s">
        <v>7</v>
      </c>
      <c r="BE1" t="s">
        <v>8</v>
      </c>
      <c r="BL1" t="s">
        <v>9</v>
      </c>
      <c r="BS1" t="s">
        <v>10</v>
      </c>
      <c r="BZ1" t="s">
        <v>11</v>
      </c>
      <c r="CG1" t="s">
        <v>12</v>
      </c>
      <c r="CN1" t="s">
        <v>13</v>
      </c>
    </row>
    <row r="2" spans="1:97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J2" t="s">
        <v>14</v>
      </c>
      <c r="AK2" t="s">
        <v>15</v>
      </c>
      <c r="AL2" t="s">
        <v>16</v>
      </c>
      <c r="AM2" t="s">
        <v>17</v>
      </c>
      <c r="AN2" t="s">
        <v>18</v>
      </c>
      <c r="AO2" t="s">
        <v>19</v>
      </c>
      <c r="AQ2" t="s">
        <v>14</v>
      </c>
      <c r="AR2" t="s">
        <v>15</v>
      </c>
      <c r="AS2" t="s">
        <v>16</v>
      </c>
      <c r="AT2" t="s">
        <v>17</v>
      </c>
      <c r="AU2" t="s">
        <v>18</v>
      </c>
      <c r="AV2" t="s">
        <v>19</v>
      </c>
      <c r="AX2" t="s">
        <v>14</v>
      </c>
      <c r="AY2" t="s">
        <v>15</v>
      </c>
      <c r="AZ2" t="s">
        <v>16</v>
      </c>
      <c r="BA2" t="s">
        <v>17</v>
      </c>
      <c r="BB2" t="s">
        <v>18</v>
      </c>
      <c r="BC2" t="s">
        <v>19</v>
      </c>
      <c r="BE2" t="s">
        <v>14</v>
      </c>
      <c r="BF2" t="s">
        <v>15</v>
      </c>
      <c r="BG2" t="s">
        <v>16</v>
      </c>
      <c r="BH2" t="s">
        <v>17</v>
      </c>
      <c r="BI2" t="s">
        <v>18</v>
      </c>
      <c r="BJ2" t="s">
        <v>19</v>
      </c>
      <c r="BL2" t="s">
        <v>14</v>
      </c>
      <c r="BM2" t="s">
        <v>15</v>
      </c>
      <c r="BN2" t="s">
        <v>16</v>
      </c>
      <c r="BO2" t="s">
        <v>17</v>
      </c>
      <c r="BP2" t="s">
        <v>18</v>
      </c>
      <c r="BQ2" t="s">
        <v>19</v>
      </c>
      <c r="BS2" t="s">
        <v>14</v>
      </c>
      <c r="BT2" t="s">
        <v>15</v>
      </c>
      <c r="BU2" t="s">
        <v>16</v>
      </c>
      <c r="BV2" t="s">
        <v>17</v>
      </c>
      <c r="BW2" t="s">
        <v>18</v>
      </c>
      <c r="BX2" t="s">
        <v>19</v>
      </c>
      <c r="BZ2" t="s">
        <v>14</v>
      </c>
      <c r="CA2" t="s">
        <v>15</v>
      </c>
      <c r="CB2" t="s">
        <v>16</v>
      </c>
      <c r="CC2" t="s">
        <v>17</v>
      </c>
      <c r="CD2" t="s">
        <v>18</v>
      </c>
      <c r="CE2" t="s">
        <v>19</v>
      </c>
      <c r="CG2" t="s">
        <v>14</v>
      </c>
      <c r="CH2" t="s">
        <v>15</v>
      </c>
      <c r="CI2" t="s">
        <v>16</v>
      </c>
      <c r="CJ2" t="s">
        <v>17</v>
      </c>
      <c r="CK2" t="s">
        <v>18</v>
      </c>
      <c r="CL2" t="s">
        <v>19</v>
      </c>
      <c r="CN2" t="s">
        <v>14</v>
      </c>
      <c r="CO2" t="s">
        <v>15</v>
      </c>
      <c r="CP2" t="s">
        <v>16</v>
      </c>
      <c r="CQ2" t="s">
        <v>17</v>
      </c>
      <c r="CR2" t="s">
        <v>18</v>
      </c>
      <c r="CS2" t="s">
        <v>19</v>
      </c>
    </row>
    <row r="3" spans="1:97" x14ac:dyDescent="0.25">
      <c r="A3">
        <f>IFERROR('Feeders Raw Data'!A3,"")</f>
        <v>46150</v>
      </c>
      <c r="B3">
        <f>IFERROR('Feeders Raw Data'!F3,"")</f>
        <v>0</v>
      </c>
      <c r="C3">
        <f>IFERROR('Feeders Raw Data'!H3-'Feeders Raw Data'!H4,"")</f>
        <v>0</v>
      </c>
      <c r="D3" t="str">
        <f>IFERROR(AVERAGE('Feeders Raw Data'!H3:H7),"")</f>
        <v/>
      </c>
      <c r="E3">
        <f>IFERROR(SUMPRODUCT('Feeders Raw Data'!B3:B22,'Feeders Raw Data'!G3:G22)/SUM('Feeders Raw Data'!G3:G22),"")</f>
        <v>350.65</v>
      </c>
      <c r="F3">
        <f>IFERROR(SQRT((SUMSQ('Feeders Raw Data'!B3:B22)-2*SUMPRODUCT('Feeders Raw Data'!B3:B22,'Feeders Raw Data'!B4:B23)+SUMSQ('Feeders Raw Data'!B4:B23)-('Feeders Raw Data'!B3-'Feeders Raw Data'!B23)^2/20)/19),"")</f>
        <v>78.407723631030123</v>
      </c>
      <c r="H3">
        <f>IFERROR('Feeders Raw Data'!K3,"")</f>
        <v>46150</v>
      </c>
      <c r="I3">
        <f>IFERROR('Feeders Raw Data'!P3,"")</f>
        <v>0</v>
      </c>
      <c r="J3">
        <f>IFERROR('Feeders Raw Data'!R3-'Feeders Raw Data'!R4,"")</f>
        <v>0</v>
      </c>
      <c r="K3" t="str">
        <f>IFERROR(AVERAGE('Feeders Raw Data'!R3:R7),"")</f>
        <v/>
      </c>
      <c r="L3">
        <f>IFERROR(SUMPRODUCT('Feeders Raw Data'!L3:L22,'Feeders Raw Data'!Q3:Q22)/SUM('Feeders Raw Data'!Q3:Q22),"")</f>
        <v>346.2</v>
      </c>
      <c r="M3">
        <f>IFERROR(SQRT((SUMSQ('Feeders Raw Data'!L3:L22)-2*SUMPRODUCT('Feeders Raw Data'!L3:L22,'Feeders Raw Data'!L4:L23)+SUMSQ('Feeders Raw Data'!L4:L23)-('Feeders Raw Data'!L3-'Feeders Raw Data'!L23)^2/20)/19),"")</f>
        <v>77.412673381042723</v>
      </c>
      <c r="O3">
        <f>IFERROR('Feeders Raw Data'!U3,"")</f>
        <v>46150</v>
      </c>
      <c r="P3">
        <f>IFERROR('Feeders Raw Data'!Z3,"")</f>
        <v>0</v>
      </c>
      <c r="Q3">
        <f>IFERROR('Feeders Raw Data'!AB3-'Feeders Raw Data'!AB4,"")</f>
        <v>0</v>
      </c>
      <c r="R3" t="str">
        <f>IFERROR(AVERAGE('Feeders Raw Data'!AB3:AB7),"")</f>
        <v/>
      </c>
      <c r="S3">
        <f>IFERROR(SUMPRODUCT('Feeders Raw Data'!V3:V22,'Feeders Raw Data'!AA3:AA22)/SUM('Feeders Raw Data'!AA3:AA22),"")</f>
        <v>344.52499999999998</v>
      </c>
      <c r="T3">
        <f>IFERROR(SQRT((SUMSQ('Feeders Raw Data'!V3:V22)-2*SUMPRODUCT('Feeders Raw Data'!V3:V22,'Feeders Raw Data'!V4:V23)+SUMSQ('Feeders Raw Data'!V4:V23)-('Feeders Raw Data'!V3-'Feeders Raw Data'!V23)^2/20)/19),"")</f>
        <v>77.038131994811494</v>
      </c>
      <c r="V3">
        <f>IFERROR('Feeders Raw Data'!AE3,"")</f>
        <v>46150</v>
      </c>
      <c r="W3">
        <f>IFERROR('Feeders Raw Data'!AJ3,"")</f>
        <v>0</v>
      </c>
      <c r="X3">
        <f>IFERROR('Feeders Raw Data'!AL3-'Feeders Raw Data'!AL4,"")</f>
        <v>0</v>
      </c>
      <c r="Y3" t="str">
        <f>IFERROR(AVERAGE('Feeders Raw Data'!AL3:AL7),"")</f>
        <v/>
      </c>
      <c r="Z3">
        <f>IFERROR(SUMPRODUCT('Feeders Raw Data'!AF3:AF22,'Feeders Raw Data'!AK3:AK22)/SUM('Feeders Raw Data'!AK3:AK22),"")</f>
        <v>367.375</v>
      </c>
      <c r="AA3">
        <f>IFERROR(SQRT((SUMSQ('Feeders Raw Data'!AF3:AF22)-2*SUMPRODUCT('Feeders Raw Data'!AF3:AF22,'Feeders Raw Data'!AF4:AF23)+SUMSQ('Feeders Raw Data'!AF4:AF23)-('Feeders Raw Data'!AF3-'Feeders Raw Data'!AF23)^2/20)/19),"")</f>
        <v>82.147547323398527</v>
      </c>
      <c r="AC3">
        <f>IFERROR('Feeders Raw Data'!AO3,"")</f>
        <v>46150</v>
      </c>
      <c r="AD3">
        <f>IFERROR('Feeders Raw Data'!AT3,"")</f>
        <v>0</v>
      </c>
      <c r="AE3">
        <f>IFERROR('Feeders Raw Data'!AV3-'Feeders Raw Data'!AV4,"")</f>
        <v>0</v>
      </c>
      <c r="AF3" t="str">
        <f>IFERROR(AVERAGE('Feeders Raw Data'!AV3:AV7),"")</f>
        <v/>
      </c>
      <c r="AG3">
        <f>IFERROR(SUMPRODUCT('Feeders Raw Data'!AP3:AP22,'Feeders Raw Data'!AU3:AU22)/SUM('Feeders Raw Data'!AU3:AU22),"")</f>
        <v>364.22500000000002</v>
      </c>
      <c r="AH3">
        <f>IFERROR(SQRT((SUMSQ('Feeders Raw Data'!AP3:AP22)-2*SUMPRODUCT('Feeders Raw Data'!AP3:AP22,'Feeders Raw Data'!AP4:AP23)+SUMSQ('Feeders Raw Data'!AP4:AP23)-('Feeders Raw Data'!AP3-'Feeders Raw Data'!AP23)^2/20)/19),"")</f>
        <v>81.443185910486093</v>
      </c>
      <c r="AJ3">
        <f>IFERROR('Feeders Raw Data'!AY3,"")</f>
        <v>46150</v>
      </c>
      <c r="AK3">
        <f>IFERROR('Feeders Raw Data'!BD3,"")</f>
        <v>0</v>
      </c>
      <c r="AL3">
        <f>IFERROR('Feeders Raw Data'!BF3-'Feeders Raw Data'!BF4,"")</f>
        <v>0</v>
      </c>
      <c r="AM3" t="str">
        <f>IFERROR(AVERAGE('Feeders Raw Data'!BF3:BF7),"")</f>
        <v/>
      </c>
      <c r="AN3">
        <f>IFERROR(SUMPRODUCT('Feeders Raw Data'!AZ3:AZ22,'Feeders Raw Data'!BE3:BE22)/SUM('Feeders Raw Data'!BE3:BE22),"")</f>
        <v>362.22500000000002</v>
      </c>
      <c r="AO3">
        <f>IFERROR(SQRT((SUMSQ('Feeders Raw Data'!AZ3:AZ22)-2*SUMPRODUCT('Feeders Raw Data'!AZ3:AZ22,'Feeders Raw Data'!AZ4:AZ23)+SUMSQ('Feeders Raw Data'!AZ4:AZ23)-('Feeders Raw Data'!AZ3-'Feeders Raw Data'!AZ23)^2/20)/19),"")</f>
        <v>80.995972314986147</v>
      </c>
      <c r="AQ3">
        <f>IFERROR('Feeders Raw Data'!BI3,"")</f>
        <v>46150</v>
      </c>
      <c r="AR3">
        <f>IFERROR('Feeders Raw Data'!BN3,"")</f>
        <v>0</v>
      </c>
      <c r="AS3">
        <f>IFERROR('Feeders Raw Data'!BP3-'Feeders Raw Data'!BP4,"")</f>
        <v>0</v>
      </c>
      <c r="AT3" t="str">
        <f>IFERROR(AVERAGE('Feeders Raw Data'!BP3:BP7),"")</f>
        <v/>
      </c>
      <c r="AU3">
        <f>IFERROR(SUMPRODUCT('Feeders Raw Data'!BJ3:BJ22,'Feeders Raw Data'!BO3:BO22)/SUM('Feeders Raw Data'!BO3:BO22),"")</f>
        <v>359.8</v>
      </c>
      <c r="AV3">
        <f>IFERROR(SQRT((SUMSQ('Feeders Raw Data'!BJ3:BJ22)-2*SUMPRODUCT('Feeders Raw Data'!BJ3:BJ22,'Feeders Raw Data'!BJ4:BJ23)+SUMSQ('Feeders Raw Data'!BJ4:BJ23)-('Feeders Raw Data'!BJ3-'Feeders Raw Data'!BJ23)^2/20)/19),"")</f>
        <v>80.453725830442437</v>
      </c>
      <c r="AX3">
        <f>IFERROR('Feeders Raw Data'!BS3,"")</f>
        <v>46150</v>
      </c>
      <c r="AY3">
        <f>IFERROR('Feeders Raw Data'!BX3,"")</f>
        <v>0</v>
      </c>
      <c r="AZ3">
        <f>IFERROR('Feeders Raw Data'!BZ3-'Feeders Raw Data'!BZ4,"")</f>
        <v>0</v>
      </c>
      <c r="BA3" t="str">
        <f>IFERROR(AVERAGE('Feeders Raw Data'!BZ3:BZ7),"")</f>
        <v/>
      </c>
      <c r="BB3">
        <f>IFERROR(SUMPRODUCT('Feeders Raw Data'!BT3:BT22,'Feeders Raw Data'!BY3:BY22)/SUM('Feeders Raw Data'!BY3:BY22),"")</f>
        <v>356.72500000000002</v>
      </c>
      <c r="BC3">
        <f>IFERROR(SQRT((SUMSQ('Feeders Raw Data'!BT3:BT22)-2*SUMPRODUCT('Feeders Raw Data'!BT3:BT22,'Feeders Raw Data'!BT4:BT23)+SUMSQ('Feeders Raw Data'!BT4:BT23)-('Feeders Raw Data'!BT3-'Feeders Raw Data'!BT23)^2/20)/19),"")</f>
        <v>79.76613492736125</v>
      </c>
      <c r="BE3">
        <f>IFERROR('Fats Raw Data'!A3,"")</f>
        <v>46150</v>
      </c>
      <c r="BF3">
        <f>IFERROR('Fats Raw Data'!F3,"")</f>
        <v>0</v>
      </c>
      <c r="BG3">
        <f>IFERROR('Fats Raw Data'!H3-'Fats Raw Data'!H4,"")</f>
        <v>0</v>
      </c>
      <c r="BH3" t="str">
        <f>IFERROR(AVERAGE('Fats Raw Data'!H3:H7),"")</f>
        <v/>
      </c>
      <c r="BI3">
        <f>IFERROR(SUMPRODUCT('Fats Raw Data'!B3:B22,'Fats Raw Data'!G3:G22)/SUM('Fats Raw Data'!G3:G22),"")</f>
        <v>237.45</v>
      </c>
      <c r="BJ3">
        <f>IFERROR(SQRT((SUMSQ('Fats Raw Data'!B3:B22)-2*SUMPRODUCT('Fats Raw Data'!B3:B22,'Fats Raw Data'!B4:B23)+SUMSQ('Fats Raw Data'!B4:B23)-('Fats Raw Data'!B3-'Fats Raw Data'!B23)^2/20)/19),"")</f>
        <v>53.09543412573251</v>
      </c>
      <c r="BL3">
        <f>IFERROR('Fats Raw Data'!K3,"")</f>
        <v>46150</v>
      </c>
      <c r="BM3">
        <f>IFERROR('Fats Raw Data'!P3,"")</f>
        <v>0</v>
      </c>
      <c r="BN3">
        <f>IFERROR('Fats Raw Data'!R3-'Fats Raw Data'!R4,"")</f>
        <v>0</v>
      </c>
      <c r="BO3" t="str">
        <f>IFERROR(AVERAGE('Fats Raw Data'!R3:R7),"")</f>
        <v/>
      </c>
      <c r="BP3">
        <f>IFERROR(SUMPRODUCT('Fats Raw Data'!L3:L22,'Fats Raw Data'!Q3:Q22)/SUM('Fats Raw Data'!Q3:Q22),"")</f>
        <v>236.82499999999996</v>
      </c>
      <c r="BQ3">
        <f>IFERROR(SQRT((SUMSQ('Fats Raw Data'!L3:L22)-2*SUMPRODUCT('Fats Raw Data'!L3:L22,'Fats Raw Data'!L4:L23)+SUMSQ('Fats Raw Data'!L4:L23)-('Fats Raw Data'!L3-'Fats Raw Data'!L23)^2/20)/19),"")</f>
        <v>52.95567987713877</v>
      </c>
      <c r="BS3">
        <f>IFERROR('Fats Raw Data'!U3,"")</f>
        <v>46150</v>
      </c>
      <c r="BT3">
        <f>IFERROR('Fats Raw Data'!Z3,"")</f>
        <v>0</v>
      </c>
      <c r="BU3">
        <f>IFERROR('Fats Raw Data'!AB3-'Fats Raw Data'!AB4,"")</f>
        <v>0</v>
      </c>
      <c r="BV3" t="str">
        <f>IFERROR(AVERAGE('Fats Raw Data'!AB3:AB7),"")</f>
        <v/>
      </c>
      <c r="BW3">
        <f>IFERROR(SUMPRODUCT('Fats Raw Data'!V3:V22,'Fats Raw Data'!AA3:AA22)/SUM('Fats Raw Data'!AA3:AA22),"")</f>
        <v>248.9</v>
      </c>
      <c r="BX3">
        <f>IFERROR(SQRT((SUMSQ('Fats Raw Data'!V3:V22)-2*SUMPRODUCT('Fats Raw Data'!V3:V22,'Fats Raw Data'!V4:V23)+SUMSQ('Fats Raw Data'!V4:V23)-('Fats Raw Data'!V3-'Fats Raw Data'!V23)^2/20)/19),"")</f>
        <v>55.655731959969771</v>
      </c>
      <c r="BZ3">
        <f>IFERROR('Fats Raw Data'!AE3,"")</f>
        <v>46150</v>
      </c>
      <c r="CA3">
        <f>IFERROR('Fats Raw Data'!AJ3,"")</f>
        <v>0</v>
      </c>
      <c r="CB3">
        <f>IFERROR('Fats Raw Data'!AL3-'Fats Raw Data'!AL4,"")</f>
        <v>0</v>
      </c>
      <c r="CC3" t="str">
        <f>IFERROR(AVERAGE('Fats Raw Data'!AL3:AL7),"")</f>
        <v/>
      </c>
      <c r="CD3">
        <f>IFERROR(SUMPRODUCT('Fats Raw Data'!AF3:AF22,'Fats Raw Data'!AK3:AK22)/SUM('Fats Raw Data'!AK3:AK22),"")</f>
        <v>244.1</v>
      </c>
      <c r="CE3">
        <f>IFERROR(SQRT((SUMSQ('Fats Raw Data'!AF3:AF22)-2*SUMPRODUCT('Fats Raw Data'!AF3:AF22,'Fats Raw Data'!AF4:AF23)+SUMSQ('Fats Raw Data'!AF4:AF23)-('Fats Raw Data'!AF3-'Fats Raw Data'!AF23)^2/20)/19),"")</f>
        <v>54.582419330769866</v>
      </c>
      <c r="CG3">
        <f>IFERROR('Fats Raw Data'!AO3,"")</f>
        <v>46150</v>
      </c>
      <c r="CH3">
        <f>IFERROR('Fats Raw Data'!AT3,"")</f>
        <v>0</v>
      </c>
      <c r="CI3">
        <f>IFERROR('Fats Raw Data'!AV3-'Fats Raw Data'!AV4,"")</f>
        <v>0</v>
      </c>
      <c r="CJ3" t="str">
        <f>IFERROR(AVERAGE('Fats Raw Data'!AV3:AV7),"")</f>
        <v/>
      </c>
      <c r="CK3">
        <f>IFERROR(SUMPRODUCT('Fats Raw Data'!AP3:AP22,'Fats Raw Data'!AU3:AU22)/SUM('Fats Raw Data'!AU3:AU22),"")</f>
        <v>238.3</v>
      </c>
      <c r="CL3">
        <f>IFERROR(SQRT((SUMSQ('Fats Raw Data'!AP3:AP22)-2*SUMPRODUCT('Fats Raw Data'!AP3:AP22,'Fats Raw Data'!AP4:AP23)+SUMSQ('Fats Raw Data'!AP4:AP23)-('Fats Raw Data'!AP3-'Fats Raw Data'!AP23)^2/20)/19),"")</f>
        <v>53.285499903819996</v>
      </c>
      <c r="CN3">
        <f>IFERROR('Fats Raw Data'!AY3,"")</f>
        <v>46150</v>
      </c>
      <c r="CO3">
        <f>IFERROR('Fats Raw Data'!BD3,"")</f>
        <v>0</v>
      </c>
      <c r="CP3">
        <f>IFERROR('Fats Raw Data'!BF3-'Fats Raw Data'!BF4,"")</f>
        <v>0</v>
      </c>
      <c r="CQ3" t="str">
        <f>IFERROR(AVERAGE('Fats Raw Data'!BF3:BF7),"")</f>
        <v/>
      </c>
      <c r="CR3">
        <f>IFERROR(SUMPRODUCT('Fats Raw Data'!AZ3:AZ22,'Fats Raw Data'!BE3:BE22)/SUM('Fats Raw Data'!BE3:BE22),"")</f>
        <v>237.52500000000001</v>
      </c>
      <c r="CS3">
        <f>IFERROR(SQRT((SUMSQ('Fats Raw Data'!AZ3:AZ22)-2*SUMPRODUCT('Fats Raw Data'!AZ3:AZ22,'Fats Raw Data'!AZ4:AZ23)+SUMSQ('Fats Raw Data'!AZ4:AZ23)-('Fats Raw Data'!AZ3-'Fats Raw Data'!AZ23)^2/20)/19),"")</f>
        <v>53.112204635563756</v>
      </c>
    </row>
    <row r="4" spans="1:97" x14ac:dyDescent="0.25">
      <c r="A4">
        <f>IFERROR('Feeders Raw Data'!A4,"")</f>
        <v>0</v>
      </c>
      <c r="B4">
        <f>IFERROR('Feeders Raw Data'!F4,"")</f>
        <v>0</v>
      </c>
      <c r="C4">
        <f>IFERROR('Feeders Raw Data'!H4-'Feeders Raw Data'!H5,"")</f>
        <v>0</v>
      </c>
      <c r="D4" t="str">
        <f>IFERROR(AVERAGE('Feeders Raw Data'!H4:H8),"")</f>
        <v/>
      </c>
      <c r="E4" t="str">
        <f>IFERROR(SUMPRODUCT('Feeders Raw Data'!B4:B23,'Feeders Raw Data'!G4:G23)/SUM('Feeders Raw Data'!G4:G23),"")</f>
        <v/>
      </c>
      <c r="F4">
        <f>IFERROR(SQRT((SUMSQ('Feeders Raw Data'!B4:B23)-2*SUMPRODUCT('Feeders Raw Data'!B4:B23,'Feeders Raw Data'!B5:B24)+SUMSQ('Feeders Raw Data'!B5:B24)-('Feeders Raw Data'!B4-'Feeders Raw Data'!B24)^2/20)/19),"")</f>
        <v>0</v>
      </c>
      <c r="H4">
        <f>IFERROR('Feeders Raw Data'!K4,"")</f>
        <v>0</v>
      </c>
      <c r="I4">
        <f>IFERROR('Feeders Raw Data'!P4,"")</f>
        <v>0</v>
      </c>
      <c r="J4">
        <f>IFERROR('Feeders Raw Data'!R4-'Feeders Raw Data'!R5,"")</f>
        <v>0</v>
      </c>
      <c r="K4" t="str">
        <f>IFERROR(AVERAGE('Feeders Raw Data'!R4:R8),"")</f>
        <v/>
      </c>
      <c r="L4" t="str">
        <f>IFERROR(SUMPRODUCT('Feeders Raw Data'!L4:L23,'Feeders Raw Data'!Q4:Q23)/SUM('Feeders Raw Data'!Q4:Q23),"")</f>
        <v/>
      </c>
      <c r="M4">
        <f>IFERROR(SQRT((SUMSQ('Feeders Raw Data'!L4:L23)-2*SUMPRODUCT('Feeders Raw Data'!L4:L23,'Feeders Raw Data'!L5:L24)+SUMSQ('Feeders Raw Data'!L5:L24)-('Feeders Raw Data'!L4-'Feeders Raw Data'!L24)^2/20)/19),"")</f>
        <v>0</v>
      </c>
      <c r="O4">
        <f>IFERROR('Feeders Raw Data'!U4,"")</f>
        <v>0</v>
      </c>
      <c r="P4">
        <f>IFERROR('Feeders Raw Data'!Z4,"")</f>
        <v>0</v>
      </c>
      <c r="Q4">
        <f>IFERROR('Feeders Raw Data'!AB4-'Feeders Raw Data'!AB5,"")</f>
        <v>0</v>
      </c>
      <c r="R4" t="str">
        <f>IFERROR(AVERAGE('Feeders Raw Data'!AB4:AB8),"")</f>
        <v/>
      </c>
      <c r="S4" t="str">
        <f>IFERROR(SUMPRODUCT('Feeders Raw Data'!V4:V23,'Feeders Raw Data'!AA4:AA23)/SUM('Feeders Raw Data'!AA4:AA23),"")</f>
        <v/>
      </c>
      <c r="T4">
        <f>IFERROR(SQRT((SUMSQ('Feeders Raw Data'!V4:V23)-2*SUMPRODUCT('Feeders Raw Data'!V4:V23,'Feeders Raw Data'!V5:V24)+SUMSQ('Feeders Raw Data'!V5:V24)-('Feeders Raw Data'!V4-'Feeders Raw Data'!V24)^2/20)/19),"")</f>
        <v>0</v>
      </c>
      <c r="V4">
        <f>IFERROR('Feeders Raw Data'!AE4,"")</f>
        <v>0</v>
      </c>
      <c r="W4">
        <f>IFERROR('Feeders Raw Data'!AJ4,"")</f>
        <v>0</v>
      </c>
      <c r="X4">
        <f>IFERROR('Feeders Raw Data'!AL4-'Feeders Raw Data'!AL5,"")</f>
        <v>0</v>
      </c>
      <c r="Y4" t="str">
        <f>IFERROR(AVERAGE('Feeders Raw Data'!AL4:AL8),"")</f>
        <v/>
      </c>
      <c r="Z4" t="str">
        <f>IFERROR(SUMPRODUCT('Feeders Raw Data'!AF4:AF23,'Feeders Raw Data'!AK4:AK23)/SUM('Feeders Raw Data'!AK4:AK23),"")</f>
        <v/>
      </c>
      <c r="AA4">
        <f>IFERROR(SQRT((SUMSQ('Feeders Raw Data'!AF4:AF23)-2*SUMPRODUCT('Feeders Raw Data'!AF4:AF23,'Feeders Raw Data'!AF5:AF24)+SUMSQ('Feeders Raw Data'!AF5:AF24)-('Feeders Raw Data'!AF4-'Feeders Raw Data'!AF24)^2/20)/19),"")</f>
        <v>0</v>
      </c>
      <c r="AC4">
        <f>IFERROR('Feeders Raw Data'!AO4,"")</f>
        <v>0</v>
      </c>
      <c r="AD4">
        <f>IFERROR('Feeders Raw Data'!AT4,"")</f>
        <v>0</v>
      </c>
      <c r="AE4">
        <f>IFERROR('Feeders Raw Data'!AV4-'Feeders Raw Data'!AV5,"")</f>
        <v>0</v>
      </c>
      <c r="AF4" t="str">
        <f>IFERROR(AVERAGE('Feeders Raw Data'!AV4:AV8),"")</f>
        <v/>
      </c>
      <c r="AG4" t="str">
        <f>IFERROR(SUMPRODUCT('Feeders Raw Data'!AP4:AP23,'Feeders Raw Data'!AU4:AU23)/SUM('Feeders Raw Data'!AU4:AU23),"")</f>
        <v/>
      </c>
      <c r="AH4">
        <f>IFERROR(SQRT((SUMSQ('Feeders Raw Data'!AP4:AP23)-2*SUMPRODUCT('Feeders Raw Data'!AP4:AP23,'Feeders Raw Data'!AP5:AP24)+SUMSQ('Feeders Raw Data'!AP5:AP24)-('Feeders Raw Data'!AP4-'Feeders Raw Data'!AP24)^2/20)/19),"")</f>
        <v>0</v>
      </c>
      <c r="AJ4">
        <f>IFERROR('Feeders Raw Data'!AY4,"")</f>
        <v>0</v>
      </c>
      <c r="AK4">
        <f>IFERROR('Feeders Raw Data'!BD4,"")</f>
        <v>0</v>
      </c>
      <c r="AL4">
        <f>IFERROR('Feeders Raw Data'!BF4-'Feeders Raw Data'!BF5,"")</f>
        <v>0</v>
      </c>
      <c r="AM4" t="str">
        <f>IFERROR(AVERAGE('Feeders Raw Data'!BF4:BF8),"")</f>
        <v/>
      </c>
      <c r="AN4" t="str">
        <f>IFERROR(SUMPRODUCT('Feeders Raw Data'!AZ4:AZ23,'Feeders Raw Data'!BE4:BE23)/SUM('Feeders Raw Data'!BE4:BE23),"")</f>
        <v/>
      </c>
      <c r="AO4">
        <f>IFERROR(SQRT((SUMSQ('Feeders Raw Data'!AZ4:AZ23)-2*SUMPRODUCT('Feeders Raw Data'!AZ4:AZ23,'Feeders Raw Data'!AZ5:AZ24)+SUMSQ('Feeders Raw Data'!AZ5:AZ24)-('Feeders Raw Data'!AZ4-'Feeders Raw Data'!AZ24)^2/20)/19),"")</f>
        <v>0</v>
      </c>
      <c r="AQ4">
        <f>IFERROR('Feeders Raw Data'!BI4,"")</f>
        <v>0</v>
      </c>
      <c r="AR4">
        <f>IFERROR('Feeders Raw Data'!BN4,"")</f>
        <v>0</v>
      </c>
      <c r="AS4">
        <f>IFERROR('Feeders Raw Data'!BP4-'Feeders Raw Data'!BP5,"")</f>
        <v>0</v>
      </c>
      <c r="AT4" t="str">
        <f>IFERROR(AVERAGE('Feeders Raw Data'!BP4:BP8),"")</f>
        <v/>
      </c>
      <c r="AU4" t="str">
        <f>IFERROR(SUMPRODUCT('Feeders Raw Data'!BJ4:BJ23,'Feeders Raw Data'!BO4:BO23)/SUM('Feeders Raw Data'!BO4:BO23),"")</f>
        <v/>
      </c>
      <c r="AV4">
        <f>IFERROR(SQRT((SUMSQ('Feeders Raw Data'!BJ4:BJ23)-2*SUMPRODUCT('Feeders Raw Data'!BJ4:BJ23,'Feeders Raw Data'!BJ5:BJ24)+SUMSQ('Feeders Raw Data'!BJ5:BJ24)-('Feeders Raw Data'!BJ4-'Feeders Raw Data'!BJ24)^2/20)/19),"")</f>
        <v>0</v>
      </c>
      <c r="AX4">
        <f>IFERROR('Feeders Raw Data'!BS4,"")</f>
        <v>0</v>
      </c>
      <c r="AY4">
        <f>IFERROR('Feeders Raw Data'!BX4,"")</f>
        <v>0</v>
      </c>
      <c r="AZ4">
        <f>IFERROR('Feeders Raw Data'!BZ4-'Feeders Raw Data'!BZ5,"")</f>
        <v>0</v>
      </c>
      <c r="BA4" t="str">
        <f>IFERROR(AVERAGE('Feeders Raw Data'!BZ4:BZ8),"")</f>
        <v/>
      </c>
      <c r="BB4" t="str">
        <f>IFERROR(SUMPRODUCT('Feeders Raw Data'!BT4:BT23,'Feeders Raw Data'!BY4:BY23)/SUM('Feeders Raw Data'!BY4:BY23),"")</f>
        <v/>
      </c>
      <c r="BC4">
        <f>IFERROR(SQRT((SUMSQ('Feeders Raw Data'!BT4:BT23)-2*SUMPRODUCT('Feeders Raw Data'!BT4:BT23,'Feeders Raw Data'!BT5:BT24)+SUMSQ('Feeders Raw Data'!BT5:BT24)-('Feeders Raw Data'!BT4-'Feeders Raw Data'!BT24)^2/20)/19),"")</f>
        <v>0</v>
      </c>
      <c r="BE4">
        <f>IFERROR('Fats Raw Data'!A4,"")</f>
        <v>0</v>
      </c>
      <c r="BF4">
        <f>IFERROR('Fats Raw Data'!F4,"")</f>
        <v>0</v>
      </c>
      <c r="BG4">
        <f>IFERROR('Fats Raw Data'!H4-'Fats Raw Data'!H5,"")</f>
        <v>0</v>
      </c>
      <c r="BH4" t="str">
        <f>IFERROR(AVERAGE('Fats Raw Data'!H4:H8),"")</f>
        <v/>
      </c>
      <c r="BI4" t="str">
        <f>IFERROR(SUMPRODUCT('Fats Raw Data'!B4:B23,'Fats Raw Data'!G4:G23)/SUM('Fats Raw Data'!G4:G23),"")</f>
        <v/>
      </c>
      <c r="BJ4">
        <f>IFERROR(SQRT((SUMSQ('Fats Raw Data'!B4:B23)-2*SUMPRODUCT('Fats Raw Data'!B4:B23,'Fats Raw Data'!B5:B24)+SUMSQ('Fats Raw Data'!B5:B24)-('Fats Raw Data'!B4-'Fats Raw Data'!B24)^2/20)/19),"")</f>
        <v>0</v>
      </c>
      <c r="BL4">
        <f>IFERROR('Fats Raw Data'!K4,"")</f>
        <v>0</v>
      </c>
      <c r="BM4">
        <f>IFERROR('Fats Raw Data'!P4,"")</f>
        <v>0</v>
      </c>
      <c r="BN4">
        <f>IFERROR('Fats Raw Data'!R4-'Fats Raw Data'!R5,"")</f>
        <v>0</v>
      </c>
      <c r="BO4" t="str">
        <f>IFERROR(AVERAGE('Fats Raw Data'!R4:R8),"")</f>
        <v/>
      </c>
      <c r="BP4" t="str">
        <f>IFERROR(SUMPRODUCT('Fats Raw Data'!L4:L23,'Fats Raw Data'!Q4:Q23)/SUM('Fats Raw Data'!Q4:Q23),"")</f>
        <v/>
      </c>
      <c r="BQ4">
        <f>IFERROR(SQRT((SUMSQ('Fats Raw Data'!L4:L23)-2*SUMPRODUCT('Fats Raw Data'!L4:L23,'Fats Raw Data'!L5:L24)+SUMSQ('Fats Raw Data'!L5:L24)-('Fats Raw Data'!L4-'Fats Raw Data'!L24)^2/20)/19),"")</f>
        <v>0</v>
      </c>
      <c r="BS4">
        <f>IFERROR('Fats Raw Data'!U4,"")</f>
        <v>0</v>
      </c>
      <c r="BT4">
        <f>IFERROR('Fats Raw Data'!Z4,"")</f>
        <v>0</v>
      </c>
      <c r="BU4">
        <f>IFERROR('Fats Raw Data'!AB4-'Fats Raw Data'!AB5,"")</f>
        <v>0</v>
      </c>
      <c r="BV4" t="str">
        <f>IFERROR(AVERAGE('Fats Raw Data'!AB4:AB8),"")</f>
        <v/>
      </c>
      <c r="BW4" t="str">
        <f>IFERROR(SUMPRODUCT('Fats Raw Data'!V4:V23,'Fats Raw Data'!AA4:AA23)/SUM('Fats Raw Data'!AA4:AA23),"")</f>
        <v/>
      </c>
      <c r="BX4">
        <f>IFERROR(SQRT((SUMSQ('Fats Raw Data'!V4:V23)-2*SUMPRODUCT('Fats Raw Data'!V4:V23,'Fats Raw Data'!V5:V24)+SUMSQ('Fats Raw Data'!V5:V24)-('Fats Raw Data'!V4-'Fats Raw Data'!V24)^2/20)/19),"")</f>
        <v>0</v>
      </c>
      <c r="BZ4">
        <f>IFERROR('Fats Raw Data'!AE4,"")</f>
        <v>0</v>
      </c>
      <c r="CA4">
        <f>IFERROR('Fats Raw Data'!AJ4,"")</f>
        <v>0</v>
      </c>
      <c r="CB4">
        <f>IFERROR('Fats Raw Data'!AL4-'Fats Raw Data'!AL5,"")</f>
        <v>0</v>
      </c>
      <c r="CC4" t="str">
        <f>IFERROR(AVERAGE('Fats Raw Data'!AL4:AL8),"")</f>
        <v/>
      </c>
      <c r="CD4" t="str">
        <f>IFERROR(SUMPRODUCT('Fats Raw Data'!AF4:AF23,'Fats Raw Data'!AK4:AK23)/SUM('Fats Raw Data'!AK4:AK23),"")</f>
        <v/>
      </c>
      <c r="CE4">
        <f>IFERROR(SQRT((SUMSQ('Fats Raw Data'!AF4:AF23)-2*SUMPRODUCT('Fats Raw Data'!AF4:AF23,'Fats Raw Data'!AF5:AF24)+SUMSQ('Fats Raw Data'!AF5:AF24)-('Fats Raw Data'!AF4-'Fats Raw Data'!AF24)^2/20)/19),"")</f>
        <v>0</v>
      </c>
      <c r="CG4">
        <f>IFERROR('Fats Raw Data'!AO4,"")</f>
        <v>0</v>
      </c>
      <c r="CH4">
        <f>IFERROR('Fats Raw Data'!AT4,"")</f>
        <v>0</v>
      </c>
      <c r="CI4">
        <f>IFERROR('Fats Raw Data'!AV4-'Fats Raw Data'!AV5,"")</f>
        <v>0</v>
      </c>
      <c r="CJ4" t="str">
        <f>IFERROR(AVERAGE('Fats Raw Data'!AV4:AV8),"")</f>
        <v/>
      </c>
      <c r="CK4" t="str">
        <f>IFERROR(SUMPRODUCT('Fats Raw Data'!AP4:AP23,'Fats Raw Data'!AU4:AU23)/SUM('Fats Raw Data'!AU4:AU23),"")</f>
        <v/>
      </c>
      <c r="CL4">
        <f>IFERROR(SQRT((SUMSQ('Fats Raw Data'!AP4:AP23)-2*SUMPRODUCT('Fats Raw Data'!AP4:AP23,'Fats Raw Data'!AP5:AP24)+SUMSQ('Fats Raw Data'!AP5:AP24)-('Fats Raw Data'!AP4-'Fats Raw Data'!AP24)^2/20)/19),"")</f>
        <v>0</v>
      </c>
      <c r="CN4">
        <f>IFERROR('Fats Raw Data'!AY4,"")</f>
        <v>0</v>
      </c>
      <c r="CO4">
        <f>IFERROR('Fats Raw Data'!BD4,"")</f>
        <v>0</v>
      </c>
      <c r="CP4">
        <f>IFERROR('Fats Raw Data'!BF4-'Fats Raw Data'!BF5,"")</f>
        <v>0</v>
      </c>
      <c r="CQ4" t="str">
        <f>IFERROR(AVERAGE('Fats Raw Data'!BF4:BF8),"")</f>
        <v/>
      </c>
      <c r="CR4" t="str">
        <f>IFERROR(SUMPRODUCT('Fats Raw Data'!AZ4:AZ23,'Fats Raw Data'!BE4:BE23)/SUM('Fats Raw Data'!BE4:BE23),"")</f>
        <v/>
      </c>
      <c r="CS4">
        <f>IFERROR(SQRT((SUMSQ('Fats Raw Data'!AZ4:AZ23)-2*SUMPRODUCT('Fats Raw Data'!AZ4:AZ23,'Fats Raw Data'!AZ5:AZ24)+SUMSQ('Fats Raw Data'!AZ5:AZ24)-('Fats Raw Data'!AZ4-'Fats Raw Data'!AZ24)^2/20)/19),"")</f>
        <v>0</v>
      </c>
    </row>
    <row r="5" spans="1:97" x14ac:dyDescent="0.25">
      <c r="A5">
        <f>IFERROR('Feeders Raw Data'!A5,"")</f>
        <v>0</v>
      </c>
      <c r="B5">
        <f>IFERROR('Feeders Raw Data'!F5,"")</f>
        <v>0</v>
      </c>
      <c r="C5">
        <f>IFERROR('Feeders Raw Data'!H5-'Feeders Raw Data'!H6,"")</f>
        <v>0</v>
      </c>
      <c r="D5" t="str">
        <f>IFERROR(AVERAGE('Feeders Raw Data'!H5:H9),"")</f>
        <v/>
      </c>
      <c r="E5" t="str">
        <f>IFERROR(SUMPRODUCT('Feeders Raw Data'!B5:B24,'Feeders Raw Data'!G5:G24)/SUM('Feeders Raw Data'!G5:G24),"")</f>
        <v/>
      </c>
      <c r="F5">
        <f>IFERROR(SQRT((SUMSQ('Feeders Raw Data'!B5:B24)-2*SUMPRODUCT('Feeders Raw Data'!B5:B24,'Feeders Raw Data'!B6:B25)+SUMSQ('Feeders Raw Data'!B6:B25)-('Feeders Raw Data'!B5-'Feeders Raw Data'!B25)^2/20)/19),"")</f>
        <v>0</v>
      </c>
      <c r="H5">
        <f>IFERROR('Feeders Raw Data'!K5,"")</f>
        <v>0</v>
      </c>
      <c r="I5">
        <f>IFERROR('Feeders Raw Data'!P5,"")</f>
        <v>0</v>
      </c>
      <c r="J5">
        <f>IFERROR('Feeders Raw Data'!R5-'Feeders Raw Data'!R6,"")</f>
        <v>0</v>
      </c>
      <c r="K5" t="str">
        <f>IFERROR(AVERAGE('Feeders Raw Data'!R5:R9),"")</f>
        <v/>
      </c>
      <c r="L5" t="str">
        <f>IFERROR(SUMPRODUCT('Feeders Raw Data'!L5:L24,'Feeders Raw Data'!Q5:Q24)/SUM('Feeders Raw Data'!Q5:Q24),"")</f>
        <v/>
      </c>
      <c r="M5">
        <f>IFERROR(SQRT((SUMSQ('Feeders Raw Data'!L5:L24)-2*SUMPRODUCT('Feeders Raw Data'!L5:L24,'Feeders Raw Data'!L6:L25)+SUMSQ('Feeders Raw Data'!L6:L25)-('Feeders Raw Data'!L5-'Feeders Raw Data'!L25)^2/20)/19),"")</f>
        <v>0</v>
      </c>
      <c r="O5">
        <f>IFERROR('Feeders Raw Data'!U5,"")</f>
        <v>0</v>
      </c>
      <c r="P5">
        <f>IFERROR('Feeders Raw Data'!Z5,"")</f>
        <v>0</v>
      </c>
      <c r="Q5">
        <f>IFERROR('Feeders Raw Data'!AB5-'Feeders Raw Data'!AB6,"")</f>
        <v>0</v>
      </c>
      <c r="R5" t="str">
        <f>IFERROR(AVERAGE('Feeders Raw Data'!AB5:AB9),"")</f>
        <v/>
      </c>
      <c r="S5" t="str">
        <f>IFERROR(SUMPRODUCT('Feeders Raw Data'!V5:V24,'Feeders Raw Data'!AA5:AA24)/SUM('Feeders Raw Data'!AA5:AA24),"")</f>
        <v/>
      </c>
      <c r="T5">
        <f>IFERROR(SQRT((SUMSQ('Feeders Raw Data'!V5:V24)-2*SUMPRODUCT('Feeders Raw Data'!V5:V24,'Feeders Raw Data'!V6:V25)+SUMSQ('Feeders Raw Data'!V6:V25)-('Feeders Raw Data'!V5-'Feeders Raw Data'!V25)^2/20)/19),"")</f>
        <v>0</v>
      </c>
      <c r="V5">
        <f>IFERROR('Feeders Raw Data'!AE5,"")</f>
        <v>0</v>
      </c>
      <c r="W5">
        <f>IFERROR('Feeders Raw Data'!AJ5,"")</f>
        <v>0</v>
      </c>
      <c r="X5">
        <f>IFERROR('Feeders Raw Data'!AL5-'Feeders Raw Data'!AL6,"")</f>
        <v>0</v>
      </c>
      <c r="Y5" t="str">
        <f>IFERROR(AVERAGE('Feeders Raw Data'!AL5:AL9),"")</f>
        <v/>
      </c>
      <c r="Z5" t="str">
        <f>IFERROR(SUMPRODUCT('Feeders Raw Data'!AF5:AF24,'Feeders Raw Data'!AK5:AK24)/SUM('Feeders Raw Data'!AK5:AK24),"")</f>
        <v/>
      </c>
      <c r="AA5">
        <f>IFERROR(SQRT((SUMSQ('Feeders Raw Data'!AF5:AF24)-2*SUMPRODUCT('Feeders Raw Data'!AF5:AF24,'Feeders Raw Data'!AF6:AF25)+SUMSQ('Feeders Raw Data'!AF6:AF25)-('Feeders Raw Data'!AF5-'Feeders Raw Data'!AF25)^2/20)/19),"")</f>
        <v>0</v>
      </c>
      <c r="AC5">
        <f>IFERROR('Feeders Raw Data'!AO5,"")</f>
        <v>0</v>
      </c>
      <c r="AD5">
        <f>IFERROR('Feeders Raw Data'!AT5,"")</f>
        <v>0</v>
      </c>
      <c r="AE5">
        <f>IFERROR('Feeders Raw Data'!AV5-'Feeders Raw Data'!AV6,"")</f>
        <v>0</v>
      </c>
      <c r="AF5" t="str">
        <f>IFERROR(AVERAGE('Feeders Raw Data'!AV5:AV9),"")</f>
        <v/>
      </c>
      <c r="AG5" t="str">
        <f>IFERROR(SUMPRODUCT('Feeders Raw Data'!AP5:AP24,'Feeders Raw Data'!AU5:AU24)/SUM('Feeders Raw Data'!AU5:AU24),"")</f>
        <v/>
      </c>
      <c r="AH5">
        <f>IFERROR(SQRT((SUMSQ('Feeders Raw Data'!AP5:AP24)-2*SUMPRODUCT('Feeders Raw Data'!AP5:AP24,'Feeders Raw Data'!AP6:AP25)+SUMSQ('Feeders Raw Data'!AP6:AP25)-('Feeders Raw Data'!AP5-'Feeders Raw Data'!AP25)^2/20)/19),"")</f>
        <v>0</v>
      </c>
      <c r="AJ5">
        <f>IFERROR('Feeders Raw Data'!AY5,"")</f>
        <v>0</v>
      </c>
      <c r="AK5">
        <f>IFERROR('Feeders Raw Data'!BD5,"")</f>
        <v>0</v>
      </c>
      <c r="AL5">
        <f>IFERROR('Feeders Raw Data'!BF5-'Feeders Raw Data'!BF6,"")</f>
        <v>0</v>
      </c>
      <c r="AM5" t="str">
        <f>IFERROR(AVERAGE('Feeders Raw Data'!BF5:BF9),"")</f>
        <v/>
      </c>
      <c r="AN5" t="str">
        <f>IFERROR(SUMPRODUCT('Feeders Raw Data'!AZ5:AZ24,'Feeders Raw Data'!BE5:BE24)/SUM('Feeders Raw Data'!BE5:BE24),"")</f>
        <v/>
      </c>
      <c r="AO5">
        <f>IFERROR(SQRT((SUMSQ('Feeders Raw Data'!AZ5:AZ24)-2*SUMPRODUCT('Feeders Raw Data'!AZ5:AZ24,'Feeders Raw Data'!AZ6:AZ25)+SUMSQ('Feeders Raw Data'!AZ6:AZ25)-('Feeders Raw Data'!AZ5-'Feeders Raw Data'!AZ25)^2/20)/19),"")</f>
        <v>0</v>
      </c>
      <c r="AQ5">
        <f>IFERROR('Feeders Raw Data'!BI5,"")</f>
        <v>0</v>
      </c>
      <c r="AR5">
        <f>IFERROR('Feeders Raw Data'!BN5,"")</f>
        <v>0</v>
      </c>
      <c r="AS5">
        <f>IFERROR('Feeders Raw Data'!BP5-'Feeders Raw Data'!BP6,"")</f>
        <v>0</v>
      </c>
      <c r="AT5" t="str">
        <f>IFERROR(AVERAGE('Feeders Raw Data'!BP5:BP9),"")</f>
        <v/>
      </c>
      <c r="AU5" t="str">
        <f>IFERROR(SUMPRODUCT('Feeders Raw Data'!BJ5:BJ24,'Feeders Raw Data'!BO5:BO24)/SUM('Feeders Raw Data'!BO5:BO24),"")</f>
        <v/>
      </c>
      <c r="AV5">
        <f>IFERROR(SQRT((SUMSQ('Feeders Raw Data'!BJ5:BJ24)-2*SUMPRODUCT('Feeders Raw Data'!BJ5:BJ24,'Feeders Raw Data'!BJ6:BJ25)+SUMSQ('Feeders Raw Data'!BJ6:BJ25)-('Feeders Raw Data'!BJ5-'Feeders Raw Data'!BJ25)^2/20)/19),"")</f>
        <v>0</v>
      </c>
      <c r="AX5">
        <f>IFERROR('Feeders Raw Data'!BS5,"")</f>
        <v>0</v>
      </c>
      <c r="AY5">
        <f>IFERROR('Feeders Raw Data'!BX5,"")</f>
        <v>0</v>
      </c>
      <c r="AZ5">
        <f>IFERROR('Feeders Raw Data'!BZ5-'Feeders Raw Data'!BZ6,"")</f>
        <v>0</v>
      </c>
      <c r="BA5" t="str">
        <f>IFERROR(AVERAGE('Feeders Raw Data'!BZ5:BZ9),"")</f>
        <v/>
      </c>
      <c r="BB5" t="str">
        <f>IFERROR(SUMPRODUCT('Feeders Raw Data'!BT5:BT24,'Feeders Raw Data'!BY5:BY24)/SUM('Feeders Raw Data'!BY5:BY24),"")</f>
        <v/>
      </c>
      <c r="BC5">
        <f>IFERROR(SQRT((SUMSQ('Feeders Raw Data'!BT5:BT24)-2*SUMPRODUCT('Feeders Raw Data'!BT5:BT24,'Feeders Raw Data'!BT6:BT25)+SUMSQ('Feeders Raw Data'!BT6:BT25)-('Feeders Raw Data'!BT5-'Feeders Raw Data'!BT25)^2/20)/19),"")</f>
        <v>0</v>
      </c>
      <c r="BE5">
        <f>IFERROR('Fats Raw Data'!A5,"")</f>
        <v>0</v>
      </c>
      <c r="BF5">
        <f>IFERROR('Fats Raw Data'!F5,"")</f>
        <v>0</v>
      </c>
      <c r="BG5">
        <f>IFERROR('Fats Raw Data'!H5-'Fats Raw Data'!H6,"")</f>
        <v>0</v>
      </c>
      <c r="BH5" t="str">
        <f>IFERROR(AVERAGE('Fats Raw Data'!H5:H9),"")</f>
        <v/>
      </c>
      <c r="BI5" t="str">
        <f>IFERROR(SUMPRODUCT('Fats Raw Data'!B5:B24,'Fats Raw Data'!G5:G24)/SUM('Fats Raw Data'!G5:G24),"")</f>
        <v/>
      </c>
      <c r="BJ5">
        <f>IFERROR(SQRT((SUMSQ('Fats Raw Data'!B5:B24)-2*SUMPRODUCT('Fats Raw Data'!B5:B24,'Fats Raw Data'!B6:B25)+SUMSQ('Fats Raw Data'!B6:B25)-('Fats Raw Data'!B5-'Fats Raw Data'!B25)^2/20)/19),"")</f>
        <v>0</v>
      </c>
      <c r="BL5">
        <f>IFERROR('Fats Raw Data'!K5,"")</f>
        <v>0</v>
      </c>
      <c r="BM5">
        <f>IFERROR('Fats Raw Data'!P5,"")</f>
        <v>0</v>
      </c>
      <c r="BN5">
        <f>IFERROR('Fats Raw Data'!R5-'Fats Raw Data'!R6,"")</f>
        <v>0</v>
      </c>
      <c r="BO5" t="str">
        <f>IFERROR(AVERAGE('Fats Raw Data'!R5:R9),"")</f>
        <v/>
      </c>
      <c r="BP5" t="str">
        <f>IFERROR(SUMPRODUCT('Fats Raw Data'!L5:L24,'Fats Raw Data'!Q5:Q24)/SUM('Fats Raw Data'!Q5:Q24),"")</f>
        <v/>
      </c>
      <c r="BQ5">
        <f>IFERROR(SQRT((SUMSQ('Fats Raw Data'!L5:L24)-2*SUMPRODUCT('Fats Raw Data'!L5:L24,'Fats Raw Data'!L6:L25)+SUMSQ('Fats Raw Data'!L6:L25)-('Fats Raw Data'!L5-'Fats Raw Data'!L25)^2/20)/19),"")</f>
        <v>0</v>
      </c>
      <c r="BS5">
        <f>IFERROR('Fats Raw Data'!U5,"")</f>
        <v>0</v>
      </c>
      <c r="BT5">
        <f>IFERROR('Fats Raw Data'!Z5,"")</f>
        <v>0</v>
      </c>
      <c r="BU5">
        <f>IFERROR('Fats Raw Data'!AB5-'Fats Raw Data'!AB6,"")</f>
        <v>0</v>
      </c>
      <c r="BV5" t="str">
        <f>IFERROR(AVERAGE('Fats Raw Data'!AB5:AB9),"")</f>
        <v/>
      </c>
      <c r="BW5" t="str">
        <f>IFERROR(SUMPRODUCT('Fats Raw Data'!V5:V24,'Fats Raw Data'!AA5:AA24)/SUM('Fats Raw Data'!AA5:AA24),"")</f>
        <v/>
      </c>
      <c r="BX5">
        <f>IFERROR(SQRT((SUMSQ('Fats Raw Data'!V5:V24)-2*SUMPRODUCT('Fats Raw Data'!V5:V24,'Fats Raw Data'!V6:V25)+SUMSQ('Fats Raw Data'!V6:V25)-('Fats Raw Data'!V5-'Fats Raw Data'!V25)^2/20)/19),"")</f>
        <v>0</v>
      </c>
      <c r="BZ5">
        <f>IFERROR('Fats Raw Data'!AE5,"")</f>
        <v>0</v>
      </c>
      <c r="CA5">
        <f>IFERROR('Fats Raw Data'!AJ5,"")</f>
        <v>0</v>
      </c>
      <c r="CB5">
        <f>IFERROR('Fats Raw Data'!AL5-'Fats Raw Data'!AL6,"")</f>
        <v>0</v>
      </c>
      <c r="CC5" t="str">
        <f>IFERROR(AVERAGE('Fats Raw Data'!AL5:AL9),"")</f>
        <v/>
      </c>
      <c r="CD5" t="str">
        <f>IFERROR(SUMPRODUCT('Fats Raw Data'!AF5:AF24,'Fats Raw Data'!AK5:AK24)/SUM('Fats Raw Data'!AK5:AK24),"")</f>
        <v/>
      </c>
      <c r="CE5">
        <f>IFERROR(SQRT((SUMSQ('Fats Raw Data'!AF5:AF24)-2*SUMPRODUCT('Fats Raw Data'!AF5:AF24,'Fats Raw Data'!AF6:AF25)+SUMSQ('Fats Raw Data'!AF6:AF25)-('Fats Raw Data'!AF5-'Fats Raw Data'!AF25)^2/20)/19),"")</f>
        <v>0</v>
      </c>
      <c r="CG5">
        <f>IFERROR('Fats Raw Data'!AO5,"")</f>
        <v>0</v>
      </c>
      <c r="CH5">
        <f>IFERROR('Fats Raw Data'!AT5,"")</f>
        <v>0</v>
      </c>
      <c r="CI5">
        <f>IFERROR('Fats Raw Data'!AV5-'Fats Raw Data'!AV6,"")</f>
        <v>0</v>
      </c>
      <c r="CJ5" t="str">
        <f>IFERROR(AVERAGE('Fats Raw Data'!AV5:AV9),"")</f>
        <v/>
      </c>
      <c r="CK5" t="str">
        <f>IFERROR(SUMPRODUCT('Fats Raw Data'!AP5:AP24,'Fats Raw Data'!AU5:AU24)/SUM('Fats Raw Data'!AU5:AU24),"")</f>
        <v/>
      </c>
      <c r="CL5">
        <f>IFERROR(SQRT((SUMSQ('Fats Raw Data'!AP5:AP24)-2*SUMPRODUCT('Fats Raw Data'!AP5:AP24,'Fats Raw Data'!AP6:AP25)+SUMSQ('Fats Raw Data'!AP6:AP25)-('Fats Raw Data'!AP5-'Fats Raw Data'!AP25)^2/20)/19),"")</f>
        <v>0</v>
      </c>
      <c r="CN5">
        <f>IFERROR('Fats Raw Data'!AY5,"")</f>
        <v>0</v>
      </c>
      <c r="CO5">
        <f>IFERROR('Fats Raw Data'!BD5,"")</f>
        <v>0</v>
      </c>
      <c r="CP5">
        <f>IFERROR('Fats Raw Data'!BF5-'Fats Raw Data'!BF6,"")</f>
        <v>0</v>
      </c>
      <c r="CQ5" t="str">
        <f>IFERROR(AVERAGE('Fats Raw Data'!BF5:BF9),"")</f>
        <v/>
      </c>
      <c r="CR5" t="str">
        <f>IFERROR(SUMPRODUCT('Fats Raw Data'!AZ5:AZ24,'Fats Raw Data'!BE5:BE24)/SUM('Fats Raw Data'!BE5:BE24),"")</f>
        <v/>
      </c>
      <c r="CS5">
        <f>IFERROR(SQRT((SUMSQ('Fats Raw Data'!AZ5:AZ24)-2*SUMPRODUCT('Fats Raw Data'!AZ5:AZ24,'Fats Raw Data'!AZ6:AZ25)+SUMSQ('Fats Raw Data'!AZ6:AZ25)-('Fats Raw Data'!AZ5-'Fats Raw Data'!AZ25)^2/20)/19),"")</f>
        <v>0</v>
      </c>
    </row>
    <row r="6" spans="1:97" x14ac:dyDescent="0.25">
      <c r="A6">
        <f>IFERROR('Feeders Raw Data'!A6,"")</f>
        <v>0</v>
      </c>
      <c r="B6">
        <f>IFERROR('Feeders Raw Data'!F6,"")</f>
        <v>0</v>
      </c>
      <c r="C6">
        <f>IFERROR('Feeders Raw Data'!H6-'Feeders Raw Data'!H7,"")</f>
        <v>0</v>
      </c>
      <c r="D6" t="str">
        <f>IFERROR(AVERAGE('Feeders Raw Data'!H6:H10),"")</f>
        <v/>
      </c>
      <c r="E6" t="str">
        <f>IFERROR(SUMPRODUCT('Feeders Raw Data'!B6:B25,'Feeders Raw Data'!G6:G25)/SUM('Feeders Raw Data'!G6:G25),"")</f>
        <v/>
      </c>
      <c r="F6">
        <f>IFERROR(SQRT((SUMSQ('Feeders Raw Data'!B6:B25)-2*SUMPRODUCT('Feeders Raw Data'!B6:B25,'Feeders Raw Data'!B7:B26)+SUMSQ('Feeders Raw Data'!B7:B26)-('Feeders Raw Data'!B6-'Feeders Raw Data'!B26)^2/20)/19),"")</f>
        <v>0</v>
      </c>
      <c r="H6">
        <f>IFERROR('Feeders Raw Data'!K6,"")</f>
        <v>0</v>
      </c>
      <c r="I6">
        <f>IFERROR('Feeders Raw Data'!P6,"")</f>
        <v>0</v>
      </c>
      <c r="J6">
        <f>IFERROR('Feeders Raw Data'!R6-'Feeders Raw Data'!R7,"")</f>
        <v>0</v>
      </c>
      <c r="K6" t="str">
        <f>IFERROR(AVERAGE('Feeders Raw Data'!R6:R10),"")</f>
        <v/>
      </c>
      <c r="L6" t="str">
        <f>IFERROR(SUMPRODUCT('Feeders Raw Data'!L6:L25,'Feeders Raw Data'!Q6:Q25)/SUM('Feeders Raw Data'!Q6:Q25),"")</f>
        <v/>
      </c>
      <c r="M6">
        <f>IFERROR(SQRT((SUMSQ('Feeders Raw Data'!L6:L25)-2*SUMPRODUCT('Feeders Raw Data'!L6:L25,'Feeders Raw Data'!L7:L26)+SUMSQ('Feeders Raw Data'!L7:L26)-('Feeders Raw Data'!L6-'Feeders Raw Data'!L26)^2/20)/19),"")</f>
        <v>0</v>
      </c>
      <c r="O6">
        <f>IFERROR('Feeders Raw Data'!U6,"")</f>
        <v>0</v>
      </c>
      <c r="P6">
        <f>IFERROR('Feeders Raw Data'!Z6,"")</f>
        <v>0</v>
      </c>
      <c r="Q6">
        <f>IFERROR('Feeders Raw Data'!AB6-'Feeders Raw Data'!AB7,"")</f>
        <v>0</v>
      </c>
      <c r="R6" t="str">
        <f>IFERROR(AVERAGE('Feeders Raw Data'!AB6:AB10),"")</f>
        <v/>
      </c>
      <c r="S6" t="str">
        <f>IFERROR(SUMPRODUCT('Feeders Raw Data'!V6:V25,'Feeders Raw Data'!AA6:AA25)/SUM('Feeders Raw Data'!AA6:AA25),"")</f>
        <v/>
      </c>
      <c r="T6">
        <f>IFERROR(SQRT((SUMSQ('Feeders Raw Data'!V6:V25)-2*SUMPRODUCT('Feeders Raw Data'!V6:V25,'Feeders Raw Data'!V7:V26)+SUMSQ('Feeders Raw Data'!V7:V26)-('Feeders Raw Data'!V6-'Feeders Raw Data'!V26)^2/20)/19),"")</f>
        <v>0</v>
      </c>
      <c r="V6">
        <f>IFERROR('Feeders Raw Data'!AE6,"")</f>
        <v>0</v>
      </c>
      <c r="W6">
        <f>IFERROR('Feeders Raw Data'!AJ6,"")</f>
        <v>0</v>
      </c>
      <c r="X6">
        <f>IFERROR('Feeders Raw Data'!AL6-'Feeders Raw Data'!AL7,"")</f>
        <v>0</v>
      </c>
      <c r="Y6" t="str">
        <f>IFERROR(AVERAGE('Feeders Raw Data'!AL6:AL10),"")</f>
        <v/>
      </c>
      <c r="Z6" t="str">
        <f>IFERROR(SUMPRODUCT('Feeders Raw Data'!AF6:AF25,'Feeders Raw Data'!AK6:AK25)/SUM('Feeders Raw Data'!AK6:AK25),"")</f>
        <v/>
      </c>
      <c r="AA6">
        <f>IFERROR(SQRT((SUMSQ('Feeders Raw Data'!AF6:AF25)-2*SUMPRODUCT('Feeders Raw Data'!AF6:AF25,'Feeders Raw Data'!AF7:AF26)+SUMSQ('Feeders Raw Data'!AF7:AF26)-('Feeders Raw Data'!AF6-'Feeders Raw Data'!AF26)^2/20)/19),"")</f>
        <v>0</v>
      </c>
      <c r="AC6">
        <f>IFERROR('Feeders Raw Data'!AO6,"")</f>
        <v>0</v>
      </c>
      <c r="AD6">
        <f>IFERROR('Feeders Raw Data'!AT6,"")</f>
        <v>0</v>
      </c>
      <c r="AE6">
        <f>IFERROR('Feeders Raw Data'!AV6-'Feeders Raw Data'!AV7,"")</f>
        <v>0</v>
      </c>
      <c r="AF6" t="str">
        <f>IFERROR(AVERAGE('Feeders Raw Data'!AV6:AV10),"")</f>
        <v/>
      </c>
      <c r="AG6" t="str">
        <f>IFERROR(SUMPRODUCT('Feeders Raw Data'!AP6:AP25,'Feeders Raw Data'!AU6:AU25)/SUM('Feeders Raw Data'!AU6:AU25),"")</f>
        <v/>
      </c>
      <c r="AH6">
        <f>IFERROR(SQRT((SUMSQ('Feeders Raw Data'!AP6:AP25)-2*SUMPRODUCT('Feeders Raw Data'!AP6:AP25,'Feeders Raw Data'!AP7:AP26)+SUMSQ('Feeders Raw Data'!AP7:AP26)-('Feeders Raw Data'!AP6-'Feeders Raw Data'!AP26)^2/20)/19),"")</f>
        <v>0</v>
      </c>
      <c r="AJ6">
        <f>IFERROR('Feeders Raw Data'!AY6,"")</f>
        <v>0</v>
      </c>
      <c r="AK6">
        <f>IFERROR('Feeders Raw Data'!BD6,"")</f>
        <v>0</v>
      </c>
      <c r="AL6">
        <f>IFERROR('Feeders Raw Data'!BF6-'Feeders Raw Data'!BF7,"")</f>
        <v>0</v>
      </c>
      <c r="AM6" t="str">
        <f>IFERROR(AVERAGE('Feeders Raw Data'!BF6:BF10),"")</f>
        <v/>
      </c>
      <c r="AN6" t="str">
        <f>IFERROR(SUMPRODUCT('Feeders Raw Data'!AZ6:AZ25,'Feeders Raw Data'!BE6:BE25)/SUM('Feeders Raw Data'!BE6:BE25),"")</f>
        <v/>
      </c>
      <c r="AO6">
        <f>IFERROR(SQRT((SUMSQ('Feeders Raw Data'!AZ6:AZ25)-2*SUMPRODUCT('Feeders Raw Data'!AZ6:AZ25,'Feeders Raw Data'!AZ7:AZ26)+SUMSQ('Feeders Raw Data'!AZ7:AZ26)-('Feeders Raw Data'!AZ6-'Feeders Raw Data'!AZ26)^2/20)/19),"")</f>
        <v>0</v>
      </c>
      <c r="AQ6">
        <f>IFERROR('Feeders Raw Data'!BI6,"")</f>
        <v>0</v>
      </c>
      <c r="AR6">
        <f>IFERROR('Feeders Raw Data'!BN6,"")</f>
        <v>0</v>
      </c>
      <c r="AS6">
        <f>IFERROR('Feeders Raw Data'!BP6-'Feeders Raw Data'!BP7,"")</f>
        <v>0</v>
      </c>
      <c r="AT6" t="str">
        <f>IFERROR(AVERAGE('Feeders Raw Data'!BP6:BP10),"")</f>
        <v/>
      </c>
      <c r="AU6" t="str">
        <f>IFERROR(SUMPRODUCT('Feeders Raw Data'!BJ6:BJ25,'Feeders Raw Data'!BO6:BO25)/SUM('Feeders Raw Data'!BO6:BO25),"")</f>
        <v/>
      </c>
      <c r="AV6">
        <f>IFERROR(SQRT((SUMSQ('Feeders Raw Data'!BJ6:BJ25)-2*SUMPRODUCT('Feeders Raw Data'!BJ6:BJ25,'Feeders Raw Data'!BJ7:BJ26)+SUMSQ('Feeders Raw Data'!BJ7:BJ26)-('Feeders Raw Data'!BJ6-'Feeders Raw Data'!BJ26)^2/20)/19),"")</f>
        <v>0</v>
      </c>
      <c r="AX6">
        <f>IFERROR('Feeders Raw Data'!BS6,"")</f>
        <v>0</v>
      </c>
      <c r="AY6">
        <f>IFERROR('Feeders Raw Data'!BX6,"")</f>
        <v>0</v>
      </c>
      <c r="AZ6">
        <f>IFERROR('Feeders Raw Data'!BZ6-'Feeders Raw Data'!BZ7,"")</f>
        <v>0</v>
      </c>
      <c r="BA6" t="str">
        <f>IFERROR(AVERAGE('Feeders Raw Data'!BZ6:BZ10),"")</f>
        <v/>
      </c>
      <c r="BB6" t="str">
        <f>IFERROR(SUMPRODUCT('Feeders Raw Data'!BT6:BT25,'Feeders Raw Data'!BY6:BY25)/SUM('Feeders Raw Data'!BY6:BY25),"")</f>
        <v/>
      </c>
      <c r="BC6">
        <f>IFERROR(SQRT((SUMSQ('Feeders Raw Data'!BT6:BT25)-2*SUMPRODUCT('Feeders Raw Data'!BT6:BT25,'Feeders Raw Data'!BT7:BT26)+SUMSQ('Feeders Raw Data'!BT7:BT26)-('Feeders Raw Data'!BT6-'Feeders Raw Data'!BT26)^2/20)/19),"")</f>
        <v>0</v>
      </c>
      <c r="BE6">
        <f>IFERROR('Fats Raw Data'!A6,"")</f>
        <v>0</v>
      </c>
      <c r="BF6">
        <f>IFERROR('Fats Raw Data'!F6,"")</f>
        <v>0</v>
      </c>
      <c r="BG6">
        <f>IFERROR('Fats Raw Data'!H6-'Fats Raw Data'!H7,"")</f>
        <v>0</v>
      </c>
      <c r="BH6" t="str">
        <f>IFERROR(AVERAGE('Fats Raw Data'!H6:H10),"")</f>
        <v/>
      </c>
      <c r="BI6" t="str">
        <f>IFERROR(SUMPRODUCT('Fats Raw Data'!B6:B25,'Fats Raw Data'!G6:G25)/SUM('Fats Raw Data'!G6:G25),"")</f>
        <v/>
      </c>
      <c r="BJ6">
        <f>IFERROR(SQRT((SUMSQ('Fats Raw Data'!B6:B25)-2*SUMPRODUCT('Fats Raw Data'!B6:B25,'Fats Raw Data'!B7:B26)+SUMSQ('Fats Raw Data'!B7:B26)-('Fats Raw Data'!B6-'Fats Raw Data'!B26)^2/20)/19),"")</f>
        <v>0</v>
      </c>
      <c r="BL6">
        <f>IFERROR('Fats Raw Data'!K6,"")</f>
        <v>0</v>
      </c>
      <c r="BM6">
        <f>IFERROR('Fats Raw Data'!P6,"")</f>
        <v>0</v>
      </c>
      <c r="BN6">
        <f>IFERROR('Fats Raw Data'!R6-'Fats Raw Data'!R7,"")</f>
        <v>0</v>
      </c>
      <c r="BO6" t="str">
        <f>IFERROR(AVERAGE('Fats Raw Data'!R6:R10),"")</f>
        <v/>
      </c>
      <c r="BP6" t="str">
        <f>IFERROR(SUMPRODUCT('Fats Raw Data'!L6:L25,'Fats Raw Data'!Q6:Q25)/SUM('Fats Raw Data'!Q6:Q25),"")</f>
        <v/>
      </c>
      <c r="BQ6">
        <f>IFERROR(SQRT((SUMSQ('Fats Raw Data'!L6:L25)-2*SUMPRODUCT('Fats Raw Data'!L6:L25,'Fats Raw Data'!L7:L26)+SUMSQ('Fats Raw Data'!L7:L26)-('Fats Raw Data'!L6-'Fats Raw Data'!L26)^2/20)/19),"")</f>
        <v>0</v>
      </c>
      <c r="BS6">
        <f>IFERROR('Fats Raw Data'!U6,"")</f>
        <v>0</v>
      </c>
      <c r="BT6">
        <f>IFERROR('Fats Raw Data'!Z6,"")</f>
        <v>0</v>
      </c>
      <c r="BU6">
        <f>IFERROR('Fats Raw Data'!AB6-'Fats Raw Data'!AB7,"")</f>
        <v>0</v>
      </c>
      <c r="BV6" t="str">
        <f>IFERROR(AVERAGE('Fats Raw Data'!AB6:AB10),"")</f>
        <v/>
      </c>
      <c r="BW6" t="str">
        <f>IFERROR(SUMPRODUCT('Fats Raw Data'!V6:V25,'Fats Raw Data'!AA6:AA25)/SUM('Fats Raw Data'!AA6:AA25),"")</f>
        <v/>
      </c>
      <c r="BX6">
        <f>IFERROR(SQRT((SUMSQ('Fats Raw Data'!V6:V25)-2*SUMPRODUCT('Fats Raw Data'!V6:V25,'Fats Raw Data'!V7:V26)+SUMSQ('Fats Raw Data'!V7:V26)-('Fats Raw Data'!V6-'Fats Raw Data'!V26)^2/20)/19),"")</f>
        <v>0</v>
      </c>
      <c r="BZ6">
        <f>IFERROR('Fats Raw Data'!AE6,"")</f>
        <v>0</v>
      </c>
      <c r="CA6">
        <f>IFERROR('Fats Raw Data'!AJ6,"")</f>
        <v>0</v>
      </c>
      <c r="CB6">
        <f>IFERROR('Fats Raw Data'!AL6-'Fats Raw Data'!AL7,"")</f>
        <v>0</v>
      </c>
      <c r="CC6" t="str">
        <f>IFERROR(AVERAGE('Fats Raw Data'!AL6:AL10),"")</f>
        <v/>
      </c>
      <c r="CD6" t="str">
        <f>IFERROR(SUMPRODUCT('Fats Raw Data'!AF6:AF25,'Fats Raw Data'!AK6:AK25)/SUM('Fats Raw Data'!AK6:AK25),"")</f>
        <v/>
      </c>
      <c r="CE6">
        <f>IFERROR(SQRT((SUMSQ('Fats Raw Data'!AF6:AF25)-2*SUMPRODUCT('Fats Raw Data'!AF6:AF25,'Fats Raw Data'!AF7:AF26)+SUMSQ('Fats Raw Data'!AF7:AF26)-('Fats Raw Data'!AF6-'Fats Raw Data'!AF26)^2/20)/19),"")</f>
        <v>0</v>
      </c>
      <c r="CG6">
        <f>IFERROR('Fats Raw Data'!AO6,"")</f>
        <v>0</v>
      </c>
      <c r="CH6">
        <f>IFERROR('Fats Raw Data'!AT6,"")</f>
        <v>0</v>
      </c>
      <c r="CI6">
        <f>IFERROR('Fats Raw Data'!AV6-'Fats Raw Data'!AV7,"")</f>
        <v>0</v>
      </c>
      <c r="CJ6" t="str">
        <f>IFERROR(AVERAGE('Fats Raw Data'!AV6:AV10),"")</f>
        <v/>
      </c>
      <c r="CK6" t="str">
        <f>IFERROR(SUMPRODUCT('Fats Raw Data'!AP6:AP25,'Fats Raw Data'!AU6:AU25)/SUM('Fats Raw Data'!AU6:AU25),"")</f>
        <v/>
      </c>
      <c r="CL6">
        <f>IFERROR(SQRT((SUMSQ('Fats Raw Data'!AP6:AP25)-2*SUMPRODUCT('Fats Raw Data'!AP6:AP25,'Fats Raw Data'!AP7:AP26)+SUMSQ('Fats Raw Data'!AP7:AP26)-('Fats Raw Data'!AP6-'Fats Raw Data'!AP26)^2/20)/19),"")</f>
        <v>0</v>
      </c>
      <c r="CN6">
        <f>IFERROR('Fats Raw Data'!AY6,"")</f>
        <v>0</v>
      </c>
      <c r="CO6">
        <f>IFERROR('Fats Raw Data'!BD6,"")</f>
        <v>0</v>
      </c>
      <c r="CP6">
        <f>IFERROR('Fats Raw Data'!BF6-'Fats Raw Data'!BF7,"")</f>
        <v>0</v>
      </c>
      <c r="CQ6" t="str">
        <f>IFERROR(AVERAGE('Fats Raw Data'!BF6:BF10),"")</f>
        <v/>
      </c>
      <c r="CR6" t="str">
        <f>IFERROR(SUMPRODUCT('Fats Raw Data'!AZ6:AZ25,'Fats Raw Data'!BE6:BE25)/SUM('Fats Raw Data'!BE6:BE25),"")</f>
        <v/>
      </c>
      <c r="CS6">
        <f>IFERROR(SQRT((SUMSQ('Fats Raw Data'!AZ6:AZ25)-2*SUMPRODUCT('Fats Raw Data'!AZ6:AZ25,'Fats Raw Data'!AZ7:AZ26)+SUMSQ('Fats Raw Data'!AZ7:AZ26)-('Fats Raw Data'!AZ6-'Fats Raw Data'!AZ26)^2/20)/19),"")</f>
        <v>0</v>
      </c>
    </row>
    <row r="7" spans="1:97" x14ac:dyDescent="0.25">
      <c r="A7">
        <f>IFERROR('Feeders Raw Data'!A7,"")</f>
        <v>0</v>
      </c>
      <c r="B7">
        <f>IFERROR('Feeders Raw Data'!F7,"")</f>
        <v>0</v>
      </c>
      <c r="C7">
        <f>IFERROR('Feeders Raw Data'!H7-'Feeders Raw Data'!H8,"")</f>
        <v>0</v>
      </c>
      <c r="D7" t="str">
        <f>IFERROR(AVERAGE('Feeders Raw Data'!H7:H11),"")</f>
        <v/>
      </c>
      <c r="E7" t="str">
        <f>IFERROR(SUMPRODUCT('Feeders Raw Data'!B7:B26,'Feeders Raw Data'!G7:G26)/SUM('Feeders Raw Data'!G7:G26),"")</f>
        <v/>
      </c>
      <c r="F7">
        <f>IFERROR(SQRT((SUMSQ('Feeders Raw Data'!B7:B26)-2*SUMPRODUCT('Feeders Raw Data'!B7:B26,'Feeders Raw Data'!B8:B27)+SUMSQ('Feeders Raw Data'!B8:B27)-('Feeders Raw Data'!B7-'Feeders Raw Data'!B27)^2/20)/19),"")</f>
        <v>0</v>
      </c>
      <c r="H7">
        <f>IFERROR('Feeders Raw Data'!K7,"")</f>
        <v>0</v>
      </c>
      <c r="I7">
        <f>IFERROR('Feeders Raw Data'!P7,"")</f>
        <v>0</v>
      </c>
      <c r="J7">
        <f>IFERROR('Feeders Raw Data'!R7-'Feeders Raw Data'!R8,"")</f>
        <v>0</v>
      </c>
      <c r="K7" t="str">
        <f>IFERROR(AVERAGE('Feeders Raw Data'!R7:R11),"")</f>
        <v/>
      </c>
      <c r="L7" t="str">
        <f>IFERROR(SUMPRODUCT('Feeders Raw Data'!L7:L26,'Feeders Raw Data'!Q7:Q26)/SUM('Feeders Raw Data'!Q7:Q26),"")</f>
        <v/>
      </c>
      <c r="M7">
        <f>IFERROR(SQRT((SUMSQ('Feeders Raw Data'!L7:L26)-2*SUMPRODUCT('Feeders Raw Data'!L7:L26,'Feeders Raw Data'!L8:L27)+SUMSQ('Feeders Raw Data'!L8:L27)-('Feeders Raw Data'!L7-'Feeders Raw Data'!L27)^2/20)/19),"")</f>
        <v>0</v>
      </c>
      <c r="O7">
        <f>IFERROR('Feeders Raw Data'!U7,"")</f>
        <v>0</v>
      </c>
      <c r="P7">
        <f>IFERROR('Feeders Raw Data'!Z7,"")</f>
        <v>0</v>
      </c>
      <c r="Q7">
        <f>IFERROR('Feeders Raw Data'!AB7-'Feeders Raw Data'!AB8,"")</f>
        <v>0</v>
      </c>
      <c r="R7" t="str">
        <f>IFERROR(AVERAGE('Feeders Raw Data'!AB7:AB11),"")</f>
        <v/>
      </c>
      <c r="S7" t="str">
        <f>IFERROR(SUMPRODUCT('Feeders Raw Data'!V7:V26,'Feeders Raw Data'!AA7:AA26)/SUM('Feeders Raw Data'!AA7:AA26),"")</f>
        <v/>
      </c>
      <c r="T7">
        <f>IFERROR(SQRT((SUMSQ('Feeders Raw Data'!V7:V26)-2*SUMPRODUCT('Feeders Raw Data'!V7:V26,'Feeders Raw Data'!V8:V27)+SUMSQ('Feeders Raw Data'!V8:V27)-('Feeders Raw Data'!V7-'Feeders Raw Data'!V27)^2/20)/19),"")</f>
        <v>0</v>
      </c>
      <c r="V7">
        <f>IFERROR('Feeders Raw Data'!AE7,"")</f>
        <v>0</v>
      </c>
      <c r="W7">
        <f>IFERROR('Feeders Raw Data'!AJ7,"")</f>
        <v>0</v>
      </c>
      <c r="X7">
        <f>IFERROR('Feeders Raw Data'!AL7-'Feeders Raw Data'!AL8,"")</f>
        <v>0</v>
      </c>
      <c r="Y7" t="str">
        <f>IFERROR(AVERAGE('Feeders Raw Data'!AL7:AL11),"")</f>
        <v/>
      </c>
      <c r="Z7" t="str">
        <f>IFERROR(SUMPRODUCT('Feeders Raw Data'!AF7:AF26,'Feeders Raw Data'!AK7:AK26)/SUM('Feeders Raw Data'!AK7:AK26),"")</f>
        <v/>
      </c>
      <c r="AA7">
        <f>IFERROR(SQRT((SUMSQ('Feeders Raw Data'!AF7:AF26)-2*SUMPRODUCT('Feeders Raw Data'!AF7:AF26,'Feeders Raw Data'!AF8:AF27)+SUMSQ('Feeders Raw Data'!AF8:AF27)-('Feeders Raw Data'!AF7-'Feeders Raw Data'!AF27)^2/20)/19),"")</f>
        <v>0</v>
      </c>
      <c r="AC7">
        <f>IFERROR('Feeders Raw Data'!AO7,"")</f>
        <v>0</v>
      </c>
      <c r="AD7">
        <f>IFERROR('Feeders Raw Data'!AT7,"")</f>
        <v>0</v>
      </c>
      <c r="AE7">
        <f>IFERROR('Feeders Raw Data'!AV7-'Feeders Raw Data'!AV8,"")</f>
        <v>0</v>
      </c>
      <c r="AF7" t="str">
        <f>IFERROR(AVERAGE('Feeders Raw Data'!AV7:AV11),"")</f>
        <v/>
      </c>
      <c r="AG7" t="str">
        <f>IFERROR(SUMPRODUCT('Feeders Raw Data'!AP7:AP26,'Feeders Raw Data'!AU7:AU26)/SUM('Feeders Raw Data'!AU7:AU26),"")</f>
        <v/>
      </c>
      <c r="AH7">
        <f>IFERROR(SQRT((SUMSQ('Feeders Raw Data'!AP7:AP26)-2*SUMPRODUCT('Feeders Raw Data'!AP7:AP26,'Feeders Raw Data'!AP8:AP27)+SUMSQ('Feeders Raw Data'!AP8:AP27)-('Feeders Raw Data'!AP7-'Feeders Raw Data'!AP27)^2/20)/19),"")</f>
        <v>0</v>
      </c>
      <c r="AJ7">
        <f>IFERROR('Feeders Raw Data'!AY7,"")</f>
        <v>0</v>
      </c>
      <c r="AK7">
        <f>IFERROR('Feeders Raw Data'!BD7,"")</f>
        <v>0</v>
      </c>
      <c r="AL7">
        <f>IFERROR('Feeders Raw Data'!BF7-'Feeders Raw Data'!BF8,"")</f>
        <v>0</v>
      </c>
      <c r="AM7" t="str">
        <f>IFERROR(AVERAGE('Feeders Raw Data'!BF7:BF11),"")</f>
        <v/>
      </c>
      <c r="AN7" t="str">
        <f>IFERROR(SUMPRODUCT('Feeders Raw Data'!AZ7:AZ26,'Feeders Raw Data'!BE7:BE26)/SUM('Feeders Raw Data'!BE7:BE26),"")</f>
        <v/>
      </c>
      <c r="AO7">
        <f>IFERROR(SQRT((SUMSQ('Feeders Raw Data'!AZ7:AZ26)-2*SUMPRODUCT('Feeders Raw Data'!AZ7:AZ26,'Feeders Raw Data'!AZ8:AZ27)+SUMSQ('Feeders Raw Data'!AZ8:AZ27)-('Feeders Raw Data'!AZ7-'Feeders Raw Data'!AZ27)^2/20)/19),"")</f>
        <v>0</v>
      </c>
      <c r="AQ7">
        <f>IFERROR('Feeders Raw Data'!BI7,"")</f>
        <v>0</v>
      </c>
      <c r="AR7">
        <f>IFERROR('Feeders Raw Data'!BN7,"")</f>
        <v>0</v>
      </c>
      <c r="AS7">
        <f>IFERROR('Feeders Raw Data'!BP7-'Feeders Raw Data'!BP8,"")</f>
        <v>0</v>
      </c>
      <c r="AT7" t="str">
        <f>IFERROR(AVERAGE('Feeders Raw Data'!BP7:BP11),"")</f>
        <v/>
      </c>
      <c r="AU7" t="str">
        <f>IFERROR(SUMPRODUCT('Feeders Raw Data'!BJ7:BJ26,'Feeders Raw Data'!BO7:BO26)/SUM('Feeders Raw Data'!BO7:BO26),"")</f>
        <v/>
      </c>
      <c r="AV7">
        <f>IFERROR(SQRT((SUMSQ('Feeders Raw Data'!BJ7:BJ26)-2*SUMPRODUCT('Feeders Raw Data'!BJ7:BJ26,'Feeders Raw Data'!BJ8:BJ27)+SUMSQ('Feeders Raw Data'!BJ8:BJ27)-('Feeders Raw Data'!BJ7-'Feeders Raw Data'!BJ27)^2/20)/19),"")</f>
        <v>0</v>
      </c>
      <c r="AX7">
        <f>IFERROR('Feeders Raw Data'!BS7,"")</f>
        <v>0</v>
      </c>
      <c r="AY7">
        <f>IFERROR('Feeders Raw Data'!BX7,"")</f>
        <v>0</v>
      </c>
      <c r="AZ7">
        <f>IFERROR('Feeders Raw Data'!BZ7-'Feeders Raw Data'!BZ8,"")</f>
        <v>0</v>
      </c>
      <c r="BA7" t="str">
        <f>IFERROR(AVERAGE('Feeders Raw Data'!BZ7:BZ11),"")</f>
        <v/>
      </c>
      <c r="BB7" t="str">
        <f>IFERROR(SUMPRODUCT('Feeders Raw Data'!BT7:BT26,'Feeders Raw Data'!BY7:BY26)/SUM('Feeders Raw Data'!BY7:BY26),"")</f>
        <v/>
      </c>
      <c r="BC7">
        <f>IFERROR(SQRT((SUMSQ('Feeders Raw Data'!BT7:BT26)-2*SUMPRODUCT('Feeders Raw Data'!BT7:BT26,'Feeders Raw Data'!BT8:BT27)+SUMSQ('Feeders Raw Data'!BT8:BT27)-('Feeders Raw Data'!BT7-'Feeders Raw Data'!BT27)^2/20)/19),"")</f>
        <v>0</v>
      </c>
      <c r="BE7">
        <f>IFERROR('Fats Raw Data'!A7,"")</f>
        <v>0</v>
      </c>
      <c r="BF7">
        <f>IFERROR('Fats Raw Data'!F7,"")</f>
        <v>0</v>
      </c>
      <c r="BG7">
        <f>IFERROR('Fats Raw Data'!H7-'Fats Raw Data'!H8,"")</f>
        <v>0</v>
      </c>
      <c r="BH7" t="str">
        <f>IFERROR(AVERAGE('Fats Raw Data'!H7:H11),"")</f>
        <v/>
      </c>
      <c r="BI7" t="str">
        <f>IFERROR(SUMPRODUCT('Fats Raw Data'!B7:B26,'Fats Raw Data'!G7:G26)/SUM('Fats Raw Data'!G7:G26),"")</f>
        <v/>
      </c>
      <c r="BJ7">
        <f>IFERROR(SQRT((SUMSQ('Fats Raw Data'!B7:B26)-2*SUMPRODUCT('Fats Raw Data'!B7:B26,'Fats Raw Data'!B8:B27)+SUMSQ('Fats Raw Data'!B8:B27)-('Fats Raw Data'!B7-'Fats Raw Data'!B27)^2/20)/19),"")</f>
        <v>0</v>
      </c>
      <c r="BL7">
        <f>IFERROR('Fats Raw Data'!K7,"")</f>
        <v>0</v>
      </c>
      <c r="BM7">
        <f>IFERROR('Fats Raw Data'!P7,"")</f>
        <v>0</v>
      </c>
      <c r="BN7">
        <f>IFERROR('Fats Raw Data'!R7-'Fats Raw Data'!R8,"")</f>
        <v>0</v>
      </c>
      <c r="BO7" t="str">
        <f>IFERROR(AVERAGE('Fats Raw Data'!R7:R11),"")</f>
        <v/>
      </c>
      <c r="BP7" t="str">
        <f>IFERROR(SUMPRODUCT('Fats Raw Data'!L7:L26,'Fats Raw Data'!Q7:Q26)/SUM('Fats Raw Data'!Q7:Q26),"")</f>
        <v/>
      </c>
      <c r="BQ7">
        <f>IFERROR(SQRT((SUMSQ('Fats Raw Data'!L7:L26)-2*SUMPRODUCT('Fats Raw Data'!L7:L26,'Fats Raw Data'!L8:L27)+SUMSQ('Fats Raw Data'!L8:L27)-('Fats Raw Data'!L7-'Fats Raw Data'!L27)^2/20)/19),"")</f>
        <v>0</v>
      </c>
      <c r="BS7">
        <f>IFERROR('Fats Raw Data'!U7,"")</f>
        <v>0</v>
      </c>
      <c r="BT7">
        <f>IFERROR('Fats Raw Data'!Z7,"")</f>
        <v>0</v>
      </c>
      <c r="BU7">
        <f>IFERROR('Fats Raw Data'!AB7-'Fats Raw Data'!AB8,"")</f>
        <v>0</v>
      </c>
      <c r="BV7" t="str">
        <f>IFERROR(AVERAGE('Fats Raw Data'!AB7:AB11),"")</f>
        <v/>
      </c>
      <c r="BW7" t="str">
        <f>IFERROR(SUMPRODUCT('Fats Raw Data'!V7:V26,'Fats Raw Data'!AA7:AA26)/SUM('Fats Raw Data'!AA7:AA26),"")</f>
        <v/>
      </c>
      <c r="BX7">
        <f>IFERROR(SQRT((SUMSQ('Fats Raw Data'!V7:V26)-2*SUMPRODUCT('Fats Raw Data'!V7:V26,'Fats Raw Data'!V8:V27)+SUMSQ('Fats Raw Data'!V8:V27)-('Fats Raw Data'!V7-'Fats Raw Data'!V27)^2/20)/19),"")</f>
        <v>0</v>
      </c>
      <c r="BZ7">
        <f>IFERROR('Fats Raw Data'!AE7,"")</f>
        <v>0</v>
      </c>
      <c r="CA7">
        <f>IFERROR('Fats Raw Data'!AJ7,"")</f>
        <v>0</v>
      </c>
      <c r="CB7">
        <f>IFERROR('Fats Raw Data'!AL7-'Fats Raw Data'!AL8,"")</f>
        <v>0</v>
      </c>
      <c r="CC7" t="str">
        <f>IFERROR(AVERAGE('Fats Raw Data'!AL7:AL11),"")</f>
        <v/>
      </c>
      <c r="CD7" t="str">
        <f>IFERROR(SUMPRODUCT('Fats Raw Data'!AF7:AF26,'Fats Raw Data'!AK7:AK26)/SUM('Fats Raw Data'!AK7:AK26),"")</f>
        <v/>
      </c>
      <c r="CE7">
        <f>IFERROR(SQRT((SUMSQ('Fats Raw Data'!AF7:AF26)-2*SUMPRODUCT('Fats Raw Data'!AF7:AF26,'Fats Raw Data'!AF8:AF27)+SUMSQ('Fats Raw Data'!AF8:AF27)-('Fats Raw Data'!AF7-'Fats Raw Data'!AF27)^2/20)/19),"")</f>
        <v>0</v>
      </c>
      <c r="CG7">
        <f>IFERROR('Fats Raw Data'!AO7,"")</f>
        <v>0</v>
      </c>
      <c r="CH7">
        <f>IFERROR('Fats Raw Data'!AT7,"")</f>
        <v>0</v>
      </c>
      <c r="CI7">
        <f>IFERROR('Fats Raw Data'!AV7-'Fats Raw Data'!AV8,"")</f>
        <v>0</v>
      </c>
      <c r="CJ7" t="str">
        <f>IFERROR(AVERAGE('Fats Raw Data'!AV7:AV11),"")</f>
        <v/>
      </c>
      <c r="CK7" t="str">
        <f>IFERROR(SUMPRODUCT('Fats Raw Data'!AP7:AP26,'Fats Raw Data'!AU7:AU26)/SUM('Fats Raw Data'!AU7:AU26),"")</f>
        <v/>
      </c>
      <c r="CL7">
        <f>IFERROR(SQRT((SUMSQ('Fats Raw Data'!AP7:AP26)-2*SUMPRODUCT('Fats Raw Data'!AP7:AP26,'Fats Raw Data'!AP8:AP27)+SUMSQ('Fats Raw Data'!AP8:AP27)-('Fats Raw Data'!AP7-'Fats Raw Data'!AP27)^2/20)/19),"")</f>
        <v>0</v>
      </c>
      <c r="CN7">
        <f>IFERROR('Fats Raw Data'!AY7,"")</f>
        <v>0</v>
      </c>
      <c r="CO7">
        <f>IFERROR('Fats Raw Data'!BD7,"")</f>
        <v>0</v>
      </c>
      <c r="CP7">
        <f>IFERROR('Fats Raw Data'!BF7-'Fats Raw Data'!BF8,"")</f>
        <v>0</v>
      </c>
      <c r="CQ7" t="str">
        <f>IFERROR(AVERAGE('Fats Raw Data'!BF7:BF11),"")</f>
        <v/>
      </c>
      <c r="CR7" t="str">
        <f>IFERROR(SUMPRODUCT('Fats Raw Data'!AZ7:AZ26,'Fats Raw Data'!BE7:BE26)/SUM('Fats Raw Data'!BE7:BE26),"")</f>
        <v/>
      </c>
      <c r="CS7">
        <f>IFERROR(SQRT((SUMSQ('Fats Raw Data'!AZ7:AZ26)-2*SUMPRODUCT('Fats Raw Data'!AZ7:AZ26,'Fats Raw Data'!AZ8:AZ27)+SUMSQ('Fats Raw Data'!AZ8:AZ27)-('Fats Raw Data'!AZ7-'Fats Raw Data'!AZ27)^2/20)/19),"")</f>
        <v>0</v>
      </c>
    </row>
    <row r="8" spans="1:97" x14ac:dyDescent="0.25">
      <c r="A8">
        <f>IFERROR('Feeders Raw Data'!A8,"")</f>
        <v>0</v>
      </c>
      <c r="B8">
        <f>IFERROR('Feeders Raw Data'!F8,"")</f>
        <v>0</v>
      </c>
      <c r="C8">
        <f>IFERROR('Feeders Raw Data'!H8-'Feeders Raw Data'!H9,"")</f>
        <v>0</v>
      </c>
      <c r="D8" t="str">
        <f>IFERROR(AVERAGE('Feeders Raw Data'!H8:H12),"")</f>
        <v/>
      </c>
      <c r="E8" t="str">
        <f>IFERROR(SUMPRODUCT('Feeders Raw Data'!B8:B27,'Feeders Raw Data'!G8:G27)/SUM('Feeders Raw Data'!G8:G27),"")</f>
        <v/>
      </c>
      <c r="F8">
        <f>IFERROR(SQRT((SUMSQ('Feeders Raw Data'!B8:B27)-2*SUMPRODUCT('Feeders Raw Data'!B8:B27,'Feeders Raw Data'!B9:B28)+SUMSQ('Feeders Raw Data'!B9:B28)-('Feeders Raw Data'!B8-'Feeders Raw Data'!B28)^2/20)/19),"")</f>
        <v>0</v>
      </c>
      <c r="H8">
        <f>IFERROR('Feeders Raw Data'!K8,"")</f>
        <v>0</v>
      </c>
      <c r="I8">
        <f>IFERROR('Feeders Raw Data'!P8,"")</f>
        <v>0</v>
      </c>
      <c r="J8">
        <f>IFERROR('Feeders Raw Data'!R8-'Feeders Raw Data'!R9,"")</f>
        <v>0</v>
      </c>
      <c r="K8" t="str">
        <f>IFERROR(AVERAGE('Feeders Raw Data'!R8:R12),"")</f>
        <v/>
      </c>
      <c r="L8" t="str">
        <f>IFERROR(SUMPRODUCT('Feeders Raw Data'!L8:L27,'Feeders Raw Data'!Q8:Q27)/SUM('Feeders Raw Data'!Q8:Q27),"")</f>
        <v/>
      </c>
      <c r="M8">
        <f>IFERROR(SQRT((SUMSQ('Feeders Raw Data'!L8:L27)-2*SUMPRODUCT('Feeders Raw Data'!L8:L27,'Feeders Raw Data'!L9:L28)+SUMSQ('Feeders Raw Data'!L9:L28)-('Feeders Raw Data'!L8-'Feeders Raw Data'!L28)^2/20)/19),"")</f>
        <v>0</v>
      </c>
      <c r="O8">
        <f>IFERROR('Feeders Raw Data'!U8,"")</f>
        <v>0</v>
      </c>
      <c r="P8">
        <f>IFERROR('Feeders Raw Data'!Z8,"")</f>
        <v>0</v>
      </c>
      <c r="Q8">
        <f>IFERROR('Feeders Raw Data'!AB8-'Feeders Raw Data'!AB9,"")</f>
        <v>0</v>
      </c>
      <c r="R8" t="str">
        <f>IFERROR(AVERAGE('Feeders Raw Data'!AB8:AB12),"")</f>
        <v/>
      </c>
      <c r="S8" t="str">
        <f>IFERROR(SUMPRODUCT('Feeders Raw Data'!V8:V27,'Feeders Raw Data'!AA8:AA27)/SUM('Feeders Raw Data'!AA8:AA27),"")</f>
        <v/>
      </c>
      <c r="T8">
        <f>IFERROR(SQRT((SUMSQ('Feeders Raw Data'!V8:V27)-2*SUMPRODUCT('Feeders Raw Data'!V8:V27,'Feeders Raw Data'!V9:V28)+SUMSQ('Feeders Raw Data'!V9:V28)-('Feeders Raw Data'!V8-'Feeders Raw Data'!V28)^2/20)/19),"")</f>
        <v>0</v>
      </c>
      <c r="V8">
        <f>IFERROR('Feeders Raw Data'!AE8,"")</f>
        <v>0</v>
      </c>
      <c r="W8">
        <f>IFERROR('Feeders Raw Data'!AJ8,"")</f>
        <v>0</v>
      </c>
      <c r="X8">
        <f>IFERROR('Feeders Raw Data'!AL8-'Feeders Raw Data'!AL9,"")</f>
        <v>0</v>
      </c>
      <c r="Y8" t="str">
        <f>IFERROR(AVERAGE('Feeders Raw Data'!AL8:AL12),"")</f>
        <v/>
      </c>
      <c r="Z8" t="str">
        <f>IFERROR(SUMPRODUCT('Feeders Raw Data'!AF8:AF27,'Feeders Raw Data'!AK8:AK27)/SUM('Feeders Raw Data'!AK8:AK27),"")</f>
        <v/>
      </c>
      <c r="AA8">
        <f>IFERROR(SQRT((SUMSQ('Feeders Raw Data'!AF8:AF27)-2*SUMPRODUCT('Feeders Raw Data'!AF8:AF27,'Feeders Raw Data'!AF9:AF28)+SUMSQ('Feeders Raw Data'!AF9:AF28)-('Feeders Raw Data'!AF8-'Feeders Raw Data'!AF28)^2/20)/19),"")</f>
        <v>0</v>
      </c>
      <c r="AC8">
        <f>IFERROR('Feeders Raw Data'!AO8,"")</f>
        <v>0</v>
      </c>
      <c r="AD8">
        <f>IFERROR('Feeders Raw Data'!AT8,"")</f>
        <v>0</v>
      </c>
      <c r="AE8">
        <f>IFERROR('Feeders Raw Data'!AV8-'Feeders Raw Data'!AV9,"")</f>
        <v>0</v>
      </c>
      <c r="AF8" t="str">
        <f>IFERROR(AVERAGE('Feeders Raw Data'!AV8:AV12),"")</f>
        <v/>
      </c>
      <c r="AG8" t="str">
        <f>IFERROR(SUMPRODUCT('Feeders Raw Data'!AP8:AP27,'Feeders Raw Data'!AU8:AU27)/SUM('Feeders Raw Data'!AU8:AU27),"")</f>
        <v/>
      </c>
      <c r="AH8">
        <f>IFERROR(SQRT((SUMSQ('Feeders Raw Data'!AP8:AP27)-2*SUMPRODUCT('Feeders Raw Data'!AP8:AP27,'Feeders Raw Data'!AP9:AP28)+SUMSQ('Feeders Raw Data'!AP9:AP28)-('Feeders Raw Data'!AP8-'Feeders Raw Data'!AP28)^2/20)/19),"")</f>
        <v>0</v>
      </c>
      <c r="AJ8">
        <f>IFERROR('Feeders Raw Data'!AY8,"")</f>
        <v>0</v>
      </c>
      <c r="AK8">
        <f>IFERROR('Feeders Raw Data'!BD8,"")</f>
        <v>0</v>
      </c>
      <c r="AL8">
        <f>IFERROR('Feeders Raw Data'!BF8-'Feeders Raw Data'!BF9,"")</f>
        <v>0</v>
      </c>
      <c r="AM8" t="str">
        <f>IFERROR(AVERAGE('Feeders Raw Data'!BF8:BF12),"")</f>
        <v/>
      </c>
      <c r="AN8" t="str">
        <f>IFERROR(SUMPRODUCT('Feeders Raw Data'!AZ8:AZ27,'Feeders Raw Data'!BE8:BE27)/SUM('Feeders Raw Data'!BE8:BE27),"")</f>
        <v/>
      </c>
      <c r="AO8">
        <f>IFERROR(SQRT((SUMSQ('Feeders Raw Data'!AZ8:AZ27)-2*SUMPRODUCT('Feeders Raw Data'!AZ8:AZ27,'Feeders Raw Data'!AZ9:AZ28)+SUMSQ('Feeders Raw Data'!AZ9:AZ28)-('Feeders Raw Data'!AZ8-'Feeders Raw Data'!AZ28)^2/20)/19),"")</f>
        <v>0</v>
      </c>
      <c r="AQ8">
        <f>IFERROR('Feeders Raw Data'!BI8,"")</f>
        <v>0</v>
      </c>
      <c r="AR8">
        <f>IFERROR('Feeders Raw Data'!BN8,"")</f>
        <v>0</v>
      </c>
      <c r="AS8">
        <f>IFERROR('Feeders Raw Data'!BP8-'Feeders Raw Data'!BP9,"")</f>
        <v>0</v>
      </c>
      <c r="AT8" t="str">
        <f>IFERROR(AVERAGE('Feeders Raw Data'!BP8:BP12),"")</f>
        <v/>
      </c>
      <c r="AU8" t="str">
        <f>IFERROR(SUMPRODUCT('Feeders Raw Data'!BJ8:BJ27,'Feeders Raw Data'!BO8:BO27)/SUM('Feeders Raw Data'!BO8:BO27),"")</f>
        <v/>
      </c>
      <c r="AV8">
        <f>IFERROR(SQRT((SUMSQ('Feeders Raw Data'!BJ8:BJ27)-2*SUMPRODUCT('Feeders Raw Data'!BJ8:BJ27,'Feeders Raw Data'!BJ9:BJ28)+SUMSQ('Feeders Raw Data'!BJ9:BJ28)-('Feeders Raw Data'!BJ8-'Feeders Raw Data'!BJ28)^2/20)/19),"")</f>
        <v>0</v>
      </c>
      <c r="AX8">
        <f>IFERROR('Feeders Raw Data'!BS8,"")</f>
        <v>0</v>
      </c>
      <c r="AY8">
        <f>IFERROR('Feeders Raw Data'!BX8,"")</f>
        <v>0</v>
      </c>
      <c r="AZ8">
        <f>IFERROR('Feeders Raw Data'!BZ8-'Feeders Raw Data'!BZ9,"")</f>
        <v>0</v>
      </c>
      <c r="BA8" t="str">
        <f>IFERROR(AVERAGE('Feeders Raw Data'!BZ8:BZ12),"")</f>
        <v/>
      </c>
      <c r="BB8" t="str">
        <f>IFERROR(SUMPRODUCT('Feeders Raw Data'!BT8:BT27,'Feeders Raw Data'!BY8:BY27)/SUM('Feeders Raw Data'!BY8:BY27),"")</f>
        <v/>
      </c>
      <c r="BC8">
        <f>IFERROR(SQRT((SUMSQ('Feeders Raw Data'!BT8:BT27)-2*SUMPRODUCT('Feeders Raw Data'!BT8:BT27,'Feeders Raw Data'!BT9:BT28)+SUMSQ('Feeders Raw Data'!BT9:BT28)-('Feeders Raw Data'!BT8-'Feeders Raw Data'!BT28)^2/20)/19),"")</f>
        <v>0</v>
      </c>
      <c r="BE8">
        <f>IFERROR('Fats Raw Data'!A8,"")</f>
        <v>0</v>
      </c>
      <c r="BF8">
        <f>IFERROR('Fats Raw Data'!F8,"")</f>
        <v>0</v>
      </c>
      <c r="BG8">
        <f>IFERROR('Fats Raw Data'!H8-'Fats Raw Data'!H9,"")</f>
        <v>0</v>
      </c>
      <c r="BH8" t="str">
        <f>IFERROR(AVERAGE('Fats Raw Data'!H8:H12),"")</f>
        <v/>
      </c>
      <c r="BI8" t="str">
        <f>IFERROR(SUMPRODUCT('Fats Raw Data'!B8:B27,'Fats Raw Data'!G8:G27)/SUM('Fats Raw Data'!G8:G27),"")</f>
        <v/>
      </c>
      <c r="BJ8">
        <f>IFERROR(SQRT((SUMSQ('Fats Raw Data'!B8:B27)-2*SUMPRODUCT('Fats Raw Data'!B8:B27,'Fats Raw Data'!B9:B28)+SUMSQ('Fats Raw Data'!B9:B28)-('Fats Raw Data'!B8-'Fats Raw Data'!B28)^2/20)/19),"")</f>
        <v>0</v>
      </c>
      <c r="BL8">
        <f>IFERROR('Fats Raw Data'!K8,"")</f>
        <v>0</v>
      </c>
      <c r="BM8">
        <f>IFERROR('Fats Raw Data'!P8,"")</f>
        <v>0</v>
      </c>
      <c r="BN8">
        <f>IFERROR('Fats Raw Data'!R8-'Fats Raw Data'!R9,"")</f>
        <v>0</v>
      </c>
      <c r="BO8" t="str">
        <f>IFERROR(AVERAGE('Fats Raw Data'!R8:R12),"")</f>
        <v/>
      </c>
      <c r="BP8" t="str">
        <f>IFERROR(SUMPRODUCT('Fats Raw Data'!L8:L27,'Fats Raw Data'!Q8:Q27)/SUM('Fats Raw Data'!Q8:Q27),"")</f>
        <v/>
      </c>
      <c r="BQ8">
        <f>IFERROR(SQRT((SUMSQ('Fats Raw Data'!L8:L27)-2*SUMPRODUCT('Fats Raw Data'!L8:L27,'Fats Raw Data'!L9:L28)+SUMSQ('Fats Raw Data'!L9:L28)-('Fats Raw Data'!L8-'Fats Raw Data'!L28)^2/20)/19),"")</f>
        <v>0</v>
      </c>
      <c r="BS8">
        <f>IFERROR('Fats Raw Data'!U8,"")</f>
        <v>0</v>
      </c>
      <c r="BT8">
        <f>IFERROR('Fats Raw Data'!Z8,"")</f>
        <v>0</v>
      </c>
      <c r="BU8">
        <f>IFERROR('Fats Raw Data'!AB8-'Fats Raw Data'!AB9,"")</f>
        <v>0</v>
      </c>
      <c r="BV8" t="str">
        <f>IFERROR(AVERAGE('Fats Raw Data'!AB8:AB12),"")</f>
        <v/>
      </c>
      <c r="BW8" t="str">
        <f>IFERROR(SUMPRODUCT('Fats Raw Data'!V8:V27,'Fats Raw Data'!AA8:AA27)/SUM('Fats Raw Data'!AA8:AA27),"")</f>
        <v/>
      </c>
      <c r="BX8">
        <f>IFERROR(SQRT((SUMSQ('Fats Raw Data'!V8:V27)-2*SUMPRODUCT('Fats Raw Data'!V8:V27,'Fats Raw Data'!V9:V28)+SUMSQ('Fats Raw Data'!V9:V28)-('Fats Raw Data'!V8-'Fats Raw Data'!V28)^2/20)/19),"")</f>
        <v>0</v>
      </c>
      <c r="BZ8">
        <f>IFERROR('Fats Raw Data'!AE8,"")</f>
        <v>0</v>
      </c>
      <c r="CA8">
        <f>IFERROR('Fats Raw Data'!AJ8,"")</f>
        <v>0</v>
      </c>
      <c r="CB8">
        <f>IFERROR('Fats Raw Data'!AL8-'Fats Raw Data'!AL9,"")</f>
        <v>0</v>
      </c>
      <c r="CC8" t="str">
        <f>IFERROR(AVERAGE('Fats Raw Data'!AL8:AL12),"")</f>
        <v/>
      </c>
      <c r="CD8" t="str">
        <f>IFERROR(SUMPRODUCT('Fats Raw Data'!AF8:AF27,'Fats Raw Data'!AK8:AK27)/SUM('Fats Raw Data'!AK8:AK27),"")</f>
        <v/>
      </c>
      <c r="CE8">
        <f>IFERROR(SQRT((SUMSQ('Fats Raw Data'!AF8:AF27)-2*SUMPRODUCT('Fats Raw Data'!AF8:AF27,'Fats Raw Data'!AF9:AF28)+SUMSQ('Fats Raw Data'!AF9:AF28)-('Fats Raw Data'!AF8-'Fats Raw Data'!AF28)^2/20)/19),"")</f>
        <v>0</v>
      </c>
      <c r="CG8">
        <f>IFERROR('Fats Raw Data'!AO8,"")</f>
        <v>0</v>
      </c>
      <c r="CH8">
        <f>IFERROR('Fats Raw Data'!AT8,"")</f>
        <v>0</v>
      </c>
      <c r="CI8">
        <f>IFERROR('Fats Raw Data'!AV8-'Fats Raw Data'!AV9,"")</f>
        <v>0</v>
      </c>
      <c r="CJ8" t="str">
        <f>IFERROR(AVERAGE('Fats Raw Data'!AV8:AV12),"")</f>
        <v/>
      </c>
      <c r="CK8" t="str">
        <f>IFERROR(SUMPRODUCT('Fats Raw Data'!AP8:AP27,'Fats Raw Data'!AU8:AU27)/SUM('Fats Raw Data'!AU8:AU27),"")</f>
        <v/>
      </c>
      <c r="CL8">
        <f>IFERROR(SQRT((SUMSQ('Fats Raw Data'!AP8:AP27)-2*SUMPRODUCT('Fats Raw Data'!AP8:AP27,'Fats Raw Data'!AP9:AP28)+SUMSQ('Fats Raw Data'!AP9:AP28)-('Fats Raw Data'!AP8-'Fats Raw Data'!AP28)^2/20)/19),"")</f>
        <v>0</v>
      </c>
      <c r="CN8">
        <f>IFERROR('Fats Raw Data'!AY8,"")</f>
        <v>0</v>
      </c>
      <c r="CO8">
        <f>IFERROR('Fats Raw Data'!BD8,"")</f>
        <v>0</v>
      </c>
      <c r="CP8">
        <f>IFERROR('Fats Raw Data'!BF8-'Fats Raw Data'!BF9,"")</f>
        <v>0</v>
      </c>
      <c r="CQ8" t="str">
        <f>IFERROR(AVERAGE('Fats Raw Data'!BF8:BF12),"")</f>
        <v/>
      </c>
      <c r="CR8" t="str">
        <f>IFERROR(SUMPRODUCT('Fats Raw Data'!AZ8:AZ27,'Fats Raw Data'!BE8:BE27)/SUM('Fats Raw Data'!BE8:BE27),"")</f>
        <v/>
      </c>
      <c r="CS8">
        <f>IFERROR(SQRT((SUMSQ('Fats Raw Data'!AZ8:AZ27)-2*SUMPRODUCT('Fats Raw Data'!AZ8:AZ27,'Fats Raw Data'!AZ9:AZ28)+SUMSQ('Fats Raw Data'!AZ9:AZ28)-('Fats Raw Data'!AZ8-'Fats Raw Data'!AZ28)^2/20)/19),"")</f>
        <v>0</v>
      </c>
    </row>
    <row r="9" spans="1:97" x14ac:dyDescent="0.25">
      <c r="A9">
        <f>IFERROR('Feeders Raw Data'!A9,"")</f>
        <v>0</v>
      </c>
      <c r="B9">
        <f>IFERROR('Feeders Raw Data'!F9,"")</f>
        <v>0</v>
      </c>
      <c r="C9">
        <f>IFERROR('Feeders Raw Data'!H9-'Feeders Raw Data'!H10,"")</f>
        <v>0</v>
      </c>
      <c r="D9" t="str">
        <f>IFERROR(AVERAGE('Feeders Raw Data'!H9:H13),"")</f>
        <v/>
      </c>
      <c r="E9" t="str">
        <f>IFERROR(SUMPRODUCT('Feeders Raw Data'!B9:B28,'Feeders Raw Data'!G9:G28)/SUM('Feeders Raw Data'!G9:G28),"")</f>
        <v/>
      </c>
      <c r="F9">
        <f>IFERROR(SQRT((SUMSQ('Feeders Raw Data'!B9:B28)-2*SUMPRODUCT('Feeders Raw Data'!B9:B28,'Feeders Raw Data'!B10:B29)+SUMSQ('Feeders Raw Data'!B10:B29)-('Feeders Raw Data'!B9-'Feeders Raw Data'!B29)^2/20)/19),"")</f>
        <v>0</v>
      </c>
      <c r="H9">
        <f>IFERROR('Feeders Raw Data'!K9,"")</f>
        <v>0</v>
      </c>
      <c r="I9">
        <f>IFERROR('Feeders Raw Data'!P9,"")</f>
        <v>0</v>
      </c>
      <c r="J9">
        <f>IFERROR('Feeders Raw Data'!R9-'Feeders Raw Data'!R10,"")</f>
        <v>0</v>
      </c>
      <c r="K9" t="str">
        <f>IFERROR(AVERAGE('Feeders Raw Data'!R9:R13),"")</f>
        <v/>
      </c>
      <c r="L9" t="str">
        <f>IFERROR(SUMPRODUCT('Feeders Raw Data'!L9:L28,'Feeders Raw Data'!Q9:Q28)/SUM('Feeders Raw Data'!Q9:Q28),"")</f>
        <v/>
      </c>
      <c r="M9">
        <f>IFERROR(SQRT((SUMSQ('Feeders Raw Data'!L9:L28)-2*SUMPRODUCT('Feeders Raw Data'!L9:L28,'Feeders Raw Data'!L10:L29)+SUMSQ('Feeders Raw Data'!L10:L29)-('Feeders Raw Data'!L9-'Feeders Raw Data'!L29)^2/20)/19),"")</f>
        <v>0</v>
      </c>
      <c r="O9">
        <f>IFERROR('Feeders Raw Data'!U9,"")</f>
        <v>0</v>
      </c>
      <c r="P9">
        <f>IFERROR('Feeders Raw Data'!Z9,"")</f>
        <v>0</v>
      </c>
      <c r="Q9">
        <f>IFERROR('Feeders Raw Data'!AB9-'Feeders Raw Data'!AB10,"")</f>
        <v>0</v>
      </c>
      <c r="R9" t="str">
        <f>IFERROR(AVERAGE('Feeders Raw Data'!AB9:AB13),"")</f>
        <v/>
      </c>
      <c r="S9" t="str">
        <f>IFERROR(SUMPRODUCT('Feeders Raw Data'!V9:V28,'Feeders Raw Data'!AA9:AA28)/SUM('Feeders Raw Data'!AA9:AA28),"")</f>
        <v/>
      </c>
      <c r="T9">
        <f>IFERROR(SQRT((SUMSQ('Feeders Raw Data'!V9:V28)-2*SUMPRODUCT('Feeders Raw Data'!V9:V28,'Feeders Raw Data'!V10:V29)+SUMSQ('Feeders Raw Data'!V10:V29)-('Feeders Raw Data'!V9-'Feeders Raw Data'!V29)^2/20)/19),"")</f>
        <v>0</v>
      </c>
      <c r="V9">
        <f>IFERROR('Feeders Raw Data'!AE9,"")</f>
        <v>0</v>
      </c>
      <c r="W9">
        <f>IFERROR('Feeders Raw Data'!AJ9,"")</f>
        <v>0</v>
      </c>
      <c r="X9">
        <f>IFERROR('Feeders Raw Data'!AL9-'Feeders Raw Data'!AL10,"")</f>
        <v>0</v>
      </c>
      <c r="Y9" t="str">
        <f>IFERROR(AVERAGE('Feeders Raw Data'!AL9:AL13),"")</f>
        <v/>
      </c>
      <c r="Z9" t="str">
        <f>IFERROR(SUMPRODUCT('Feeders Raw Data'!AF9:AF28,'Feeders Raw Data'!AK9:AK28)/SUM('Feeders Raw Data'!AK9:AK28),"")</f>
        <v/>
      </c>
      <c r="AA9">
        <f>IFERROR(SQRT((SUMSQ('Feeders Raw Data'!AF9:AF28)-2*SUMPRODUCT('Feeders Raw Data'!AF9:AF28,'Feeders Raw Data'!AF10:AF29)+SUMSQ('Feeders Raw Data'!AF10:AF29)-('Feeders Raw Data'!AF9-'Feeders Raw Data'!AF29)^2/20)/19),"")</f>
        <v>0</v>
      </c>
      <c r="AC9">
        <f>IFERROR('Feeders Raw Data'!AO9,"")</f>
        <v>0</v>
      </c>
      <c r="AD9">
        <f>IFERROR('Feeders Raw Data'!AT9,"")</f>
        <v>0</v>
      </c>
      <c r="AE9">
        <f>IFERROR('Feeders Raw Data'!AV9-'Feeders Raw Data'!AV10,"")</f>
        <v>0</v>
      </c>
      <c r="AF9" t="str">
        <f>IFERROR(AVERAGE('Feeders Raw Data'!AV9:AV13),"")</f>
        <v/>
      </c>
      <c r="AG9" t="str">
        <f>IFERROR(SUMPRODUCT('Feeders Raw Data'!AP9:AP28,'Feeders Raw Data'!AU9:AU28)/SUM('Feeders Raw Data'!AU9:AU28),"")</f>
        <v/>
      </c>
      <c r="AH9">
        <f>IFERROR(SQRT((SUMSQ('Feeders Raw Data'!AP9:AP28)-2*SUMPRODUCT('Feeders Raw Data'!AP9:AP28,'Feeders Raw Data'!AP10:AP29)+SUMSQ('Feeders Raw Data'!AP10:AP29)-('Feeders Raw Data'!AP9-'Feeders Raw Data'!AP29)^2/20)/19),"")</f>
        <v>0</v>
      </c>
      <c r="AJ9">
        <f>IFERROR('Feeders Raw Data'!AY9,"")</f>
        <v>0</v>
      </c>
      <c r="AK9">
        <f>IFERROR('Feeders Raw Data'!BD9,"")</f>
        <v>0</v>
      </c>
      <c r="AL9">
        <f>IFERROR('Feeders Raw Data'!BF9-'Feeders Raw Data'!BF10,"")</f>
        <v>0</v>
      </c>
      <c r="AM9" t="str">
        <f>IFERROR(AVERAGE('Feeders Raw Data'!BF9:BF13),"")</f>
        <v/>
      </c>
      <c r="AN9" t="str">
        <f>IFERROR(SUMPRODUCT('Feeders Raw Data'!AZ9:AZ28,'Feeders Raw Data'!BE9:BE28)/SUM('Feeders Raw Data'!BE9:BE28),"")</f>
        <v/>
      </c>
      <c r="AO9">
        <f>IFERROR(SQRT((SUMSQ('Feeders Raw Data'!AZ9:AZ28)-2*SUMPRODUCT('Feeders Raw Data'!AZ9:AZ28,'Feeders Raw Data'!AZ10:AZ29)+SUMSQ('Feeders Raw Data'!AZ10:AZ29)-('Feeders Raw Data'!AZ9-'Feeders Raw Data'!AZ29)^2/20)/19),"")</f>
        <v>0</v>
      </c>
      <c r="AQ9">
        <f>IFERROR('Feeders Raw Data'!BI9,"")</f>
        <v>0</v>
      </c>
      <c r="AR9">
        <f>IFERROR('Feeders Raw Data'!BN9,"")</f>
        <v>0</v>
      </c>
      <c r="AS9">
        <f>IFERROR('Feeders Raw Data'!BP9-'Feeders Raw Data'!BP10,"")</f>
        <v>0</v>
      </c>
      <c r="AT9" t="str">
        <f>IFERROR(AVERAGE('Feeders Raw Data'!BP9:BP13),"")</f>
        <v/>
      </c>
      <c r="AU9" t="str">
        <f>IFERROR(SUMPRODUCT('Feeders Raw Data'!BJ9:BJ28,'Feeders Raw Data'!BO9:BO28)/SUM('Feeders Raw Data'!BO9:BO28),"")</f>
        <v/>
      </c>
      <c r="AV9">
        <f>IFERROR(SQRT((SUMSQ('Feeders Raw Data'!BJ9:BJ28)-2*SUMPRODUCT('Feeders Raw Data'!BJ9:BJ28,'Feeders Raw Data'!BJ10:BJ29)+SUMSQ('Feeders Raw Data'!BJ10:BJ29)-('Feeders Raw Data'!BJ9-'Feeders Raw Data'!BJ29)^2/20)/19),"")</f>
        <v>0</v>
      </c>
      <c r="AX9">
        <f>IFERROR('Feeders Raw Data'!BS9,"")</f>
        <v>0</v>
      </c>
      <c r="AY9">
        <f>IFERROR('Feeders Raw Data'!BX9,"")</f>
        <v>0</v>
      </c>
      <c r="AZ9">
        <f>IFERROR('Feeders Raw Data'!BZ9-'Feeders Raw Data'!BZ10,"")</f>
        <v>0</v>
      </c>
      <c r="BA9" t="str">
        <f>IFERROR(AVERAGE('Feeders Raw Data'!BZ9:BZ13),"")</f>
        <v/>
      </c>
      <c r="BB9" t="str">
        <f>IFERROR(SUMPRODUCT('Feeders Raw Data'!BT9:BT28,'Feeders Raw Data'!BY9:BY28)/SUM('Feeders Raw Data'!BY9:BY28),"")</f>
        <v/>
      </c>
      <c r="BC9">
        <f>IFERROR(SQRT((SUMSQ('Feeders Raw Data'!BT9:BT28)-2*SUMPRODUCT('Feeders Raw Data'!BT9:BT28,'Feeders Raw Data'!BT10:BT29)+SUMSQ('Feeders Raw Data'!BT10:BT29)-('Feeders Raw Data'!BT9-'Feeders Raw Data'!BT29)^2/20)/19),"")</f>
        <v>0</v>
      </c>
      <c r="BE9">
        <f>IFERROR('Fats Raw Data'!A9,"")</f>
        <v>0</v>
      </c>
      <c r="BF9">
        <f>IFERROR('Fats Raw Data'!F9,"")</f>
        <v>0</v>
      </c>
      <c r="BG9">
        <f>IFERROR('Fats Raw Data'!H9-'Fats Raw Data'!H10,"")</f>
        <v>0</v>
      </c>
      <c r="BH9" t="str">
        <f>IFERROR(AVERAGE('Fats Raw Data'!H9:H13),"")</f>
        <v/>
      </c>
      <c r="BI9" t="str">
        <f>IFERROR(SUMPRODUCT('Fats Raw Data'!B9:B28,'Fats Raw Data'!G9:G28)/SUM('Fats Raw Data'!G9:G28),"")</f>
        <v/>
      </c>
      <c r="BJ9">
        <f>IFERROR(SQRT((SUMSQ('Fats Raw Data'!B9:B28)-2*SUMPRODUCT('Fats Raw Data'!B9:B28,'Fats Raw Data'!B10:B29)+SUMSQ('Fats Raw Data'!B10:B29)-('Fats Raw Data'!B9-'Fats Raw Data'!B29)^2/20)/19),"")</f>
        <v>0</v>
      </c>
      <c r="BL9">
        <f>IFERROR('Fats Raw Data'!K9,"")</f>
        <v>0</v>
      </c>
      <c r="BM9">
        <f>IFERROR('Fats Raw Data'!P9,"")</f>
        <v>0</v>
      </c>
      <c r="BN9">
        <f>IFERROR('Fats Raw Data'!R9-'Fats Raw Data'!R10,"")</f>
        <v>0</v>
      </c>
      <c r="BO9" t="str">
        <f>IFERROR(AVERAGE('Fats Raw Data'!R9:R13),"")</f>
        <v/>
      </c>
      <c r="BP9" t="str">
        <f>IFERROR(SUMPRODUCT('Fats Raw Data'!L9:L28,'Fats Raw Data'!Q9:Q28)/SUM('Fats Raw Data'!Q9:Q28),"")</f>
        <v/>
      </c>
      <c r="BQ9">
        <f>IFERROR(SQRT((SUMSQ('Fats Raw Data'!L9:L28)-2*SUMPRODUCT('Fats Raw Data'!L9:L28,'Fats Raw Data'!L10:L29)+SUMSQ('Fats Raw Data'!L10:L29)-('Fats Raw Data'!L9-'Fats Raw Data'!L29)^2/20)/19),"")</f>
        <v>0</v>
      </c>
      <c r="BS9">
        <f>IFERROR('Fats Raw Data'!U9,"")</f>
        <v>0</v>
      </c>
      <c r="BT9">
        <f>IFERROR('Fats Raw Data'!Z9,"")</f>
        <v>0</v>
      </c>
      <c r="BU9">
        <f>IFERROR('Fats Raw Data'!AB9-'Fats Raw Data'!AB10,"")</f>
        <v>0</v>
      </c>
      <c r="BV9" t="str">
        <f>IFERROR(AVERAGE('Fats Raw Data'!AB9:AB13),"")</f>
        <v/>
      </c>
      <c r="BW9" t="str">
        <f>IFERROR(SUMPRODUCT('Fats Raw Data'!V9:V28,'Fats Raw Data'!AA9:AA28)/SUM('Fats Raw Data'!AA9:AA28),"")</f>
        <v/>
      </c>
      <c r="BX9">
        <f>IFERROR(SQRT((SUMSQ('Fats Raw Data'!V9:V28)-2*SUMPRODUCT('Fats Raw Data'!V9:V28,'Fats Raw Data'!V10:V29)+SUMSQ('Fats Raw Data'!V10:V29)-('Fats Raw Data'!V9-'Fats Raw Data'!V29)^2/20)/19),"")</f>
        <v>0</v>
      </c>
      <c r="BZ9">
        <f>IFERROR('Fats Raw Data'!AE9,"")</f>
        <v>0</v>
      </c>
      <c r="CA9">
        <f>IFERROR('Fats Raw Data'!AJ9,"")</f>
        <v>0</v>
      </c>
      <c r="CB9">
        <f>IFERROR('Fats Raw Data'!AL9-'Fats Raw Data'!AL10,"")</f>
        <v>0</v>
      </c>
      <c r="CC9" t="str">
        <f>IFERROR(AVERAGE('Fats Raw Data'!AL9:AL13),"")</f>
        <v/>
      </c>
      <c r="CD9" t="str">
        <f>IFERROR(SUMPRODUCT('Fats Raw Data'!AF9:AF28,'Fats Raw Data'!AK9:AK28)/SUM('Fats Raw Data'!AK9:AK28),"")</f>
        <v/>
      </c>
      <c r="CE9">
        <f>IFERROR(SQRT((SUMSQ('Fats Raw Data'!AF9:AF28)-2*SUMPRODUCT('Fats Raw Data'!AF9:AF28,'Fats Raw Data'!AF10:AF29)+SUMSQ('Fats Raw Data'!AF10:AF29)-('Fats Raw Data'!AF9-'Fats Raw Data'!AF29)^2/20)/19),"")</f>
        <v>0</v>
      </c>
      <c r="CG9">
        <f>IFERROR('Fats Raw Data'!AO9,"")</f>
        <v>0</v>
      </c>
      <c r="CH9">
        <f>IFERROR('Fats Raw Data'!AT9,"")</f>
        <v>0</v>
      </c>
      <c r="CI9">
        <f>IFERROR('Fats Raw Data'!AV9-'Fats Raw Data'!AV10,"")</f>
        <v>0</v>
      </c>
      <c r="CJ9" t="str">
        <f>IFERROR(AVERAGE('Fats Raw Data'!AV9:AV13),"")</f>
        <v/>
      </c>
      <c r="CK9" t="str">
        <f>IFERROR(SUMPRODUCT('Fats Raw Data'!AP9:AP28,'Fats Raw Data'!AU9:AU28)/SUM('Fats Raw Data'!AU9:AU28),"")</f>
        <v/>
      </c>
      <c r="CL9">
        <f>IFERROR(SQRT((SUMSQ('Fats Raw Data'!AP9:AP28)-2*SUMPRODUCT('Fats Raw Data'!AP9:AP28,'Fats Raw Data'!AP10:AP29)+SUMSQ('Fats Raw Data'!AP10:AP29)-('Fats Raw Data'!AP9-'Fats Raw Data'!AP29)^2/20)/19),"")</f>
        <v>0</v>
      </c>
      <c r="CN9">
        <f>IFERROR('Fats Raw Data'!AY9,"")</f>
        <v>0</v>
      </c>
      <c r="CO9">
        <f>IFERROR('Fats Raw Data'!BD9,"")</f>
        <v>0</v>
      </c>
      <c r="CP9">
        <f>IFERROR('Fats Raw Data'!BF9-'Fats Raw Data'!BF10,"")</f>
        <v>0</v>
      </c>
      <c r="CQ9" t="str">
        <f>IFERROR(AVERAGE('Fats Raw Data'!BF9:BF13),"")</f>
        <v/>
      </c>
      <c r="CR9" t="str">
        <f>IFERROR(SUMPRODUCT('Fats Raw Data'!AZ9:AZ28,'Fats Raw Data'!BE9:BE28)/SUM('Fats Raw Data'!BE9:BE28),"")</f>
        <v/>
      </c>
      <c r="CS9">
        <f>IFERROR(SQRT((SUMSQ('Fats Raw Data'!AZ9:AZ28)-2*SUMPRODUCT('Fats Raw Data'!AZ9:AZ28,'Fats Raw Data'!AZ10:AZ29)+SUMSQ('Fats Raw Data'!AZ10:AZ29)-('Fats Raw Data'!AZ9-'Fats Raw Data'!AZ29)^2/20)/19),"")</f>
        <v>0</v>
      </c>
    </row>
    <row r="10" spans="1:97" x14ac:dyDescent="0.25">
      <c r="A10">
        <f>IFERROR('Feeders Raw Data'!A10,"")</f>
        <v>0</v>
      </c>
      <c r="B10">
        <f>IFERROR('Feeders Raw Data'!F10,"")</f>
        <v>0</v>
      </c>
      <c r="C10">
        <f>IFERROR('Feeders Raw Data'!H10-'Feeders Raw Data'!H11,"")</f>
        <v>0</v>
      </c>
      <c r="D10" t="str">
        <f>IFERROR(AVERAGE('Feeders Raw Data'!H10:H14),"")</f>
        <v/>
      </c>
      <c r="E10" t="str">
        <f>IFERROR(SUMPRODUCT('Feeders Raw Data'!B10:B29,'Feeders Raw Data'!G10:G29)/SUM('Feeders Raw Data'!G10:G29),"")</f>
        <v/>
      </c>
      <c r="F10">
        <f>IFERROR(SQRT((SUMSQ('Feeders Raw Data'!B10:B29)-2*SUMPRODUCT('Feeders Raw Data'!B10:B29,'Feeders Raw Data'!B11:B30)+SUMSQ('Feeders Raw Data'!B11:B30)-('Feeders Raw Data'!B10-'Feeders Raw Data'!B30)^2/20)/19),"")</f>
        <v>0</v>
      </c>
      <c r="H10">
        <f>IFERROR('Feeders Raw Data'!K10,"")</f>
        <v>0</v>
      </c>
      <c r="I10">
        <f>IFERROR('Feeders Raw Data'!P10,"")</f>
        <v>0</v>
      </c>
      <c r="J10">
        <f>IFERROR('Feeders Raw Data'!R10-'Feeders Raw Data'!R11,"")</f>
        <v>0</v>
      </c>
      <c r="K10" t="str">
        <f>IFERROR(AVERAGE('Feeders Raw Data'!R10:R14),"")</f>
        <v/>
      </c>
      <c r="L10" t="str">
        <f>IFERROR(SUMPRODUCT('Feeders Raw Data'!L10:L29,'Feeders Raw Data'!Q10:Q29)/SUM('Feeders Raw Data'!Q10:Q29),"")</f>
        <v/>
      </c>
      <c r="M10">
        <f>IFERROR(SQRT((SUMSQ('Feeders Raw Data'!L10:L29)-2*SUMPRODUCT('Feeders Raw Data'!L10:L29,'Feeders Raw Data'!L11:L30)+SUMSQ('Feeders Raw Data'!L11:L30)-('Feeders Raw Data'!L10-'Feeders Raw Data'!L30)^2/20)/19),"")</f>
        <v>0</v>
      </c>
      <c r="O10">
        <f>IFERROR('Feeders Raw Data'!U10,"")</f>
        <v>0</v>
      </c>
      <c r="P10">
        <f>IFERROR('Feeders Raw Data'!Z10,"")</f>
        <v>0</v>
      </c>
      <c r="Q10">
        <f>IFERROR('Feeders Raw Data'!AB10-'Feeders Raw Data'!AB11,"")</f>
        <v>0</v>
      </c>
      <c r="R10" t="str">
        <f>IFERROR(AVERAGE('Feeders Raw Data'!AB10:AB14),"")</f>
        <v/>
      </c>
      <c r="S10" t="str">
        <f>IFERROR(SUMPRODUCT('Feeders Raw Data'!V10:V29,'Feeders Raw Data'!AA10:AA29)/SUM('Feeders Raw Data'!AA10:AA29),"")</f>
        <v/>
      </c>
      <c r="T10">
        <f>IFERROR(SQRT((SUMSQ('Feeders Raw Data'!V10:V29)-2*SUMPRODUCT('Feeders Raw Data'!V10:V29,'Feeders Raw Data'!V11:V30)+SUMSQ('Feeders Raw Data'!V11:V30)-('Feeders Raw Data'!V10-'Feeders Raw Data'!V30)^2/20)/19),"")</f>
        <v>0</v>
      </c>
      <c r="V10">
        <f>IFERROR('Feeders Raw Data'!AE10,"")</f>
        <v>0</v>
      </c>
      <c r="W10">
        <f>IFERROR('Feeders Raw Data'!AJ10,"")</f>
        <v>0</v>
      </c>
      <c r="X10">
        <f>IFERROR('Feeders Raw Data'!AL10-'Feeders Raw Data'!AL11,"")</f>
        <v>0</v>
      </c>
      <c r="Y10" t="str">
        <f>IFERROR(AVERAGE('Feeders Raw Data'!AL10:AL14),"")</f>
        <v/>
      </c>
      <c r="Z10" t="str">
        <f>IFERROR(SUMPRODUCT('Feeders Raw Data'!AF10:AF29,'Feeders Raw Data'!AK10:AK29)/SUM('Feeders Raw Data'!AK10:AK29),"")</f>
        <v/>
      </c>
      <c r="AA10">
        <f>IFERROR(SQRT((SUMSQ('Feeders Raw Data'!AF10:AF29)-2*SUMPRODUCT('Feeders Raw Data'!AF10:AF29,'Feeders Raw Data'!AF11:AF30)+SUMSQ('Feeders Raw Data'!AF11:AF30)-('Feeders Raw Data'!AF10-'Feeders Raw Data'!AF30)^2/20)/19),"")</f>
        <v>0</v>
      </c>
      <c r="AC10">
        <f>IFERROR('Feeders Raw Data'!AO10,"")</f>
        <v>0</v>
      </c>
      <c r="AD10">
        <f>IFERROR('Feeders Raw Data'!AT10,"")</f>
        <v>0</v>
      </c>
      <c r="AE10">
        <f>IFERROR('Feeders Raw Data'!AV10-'Feeders Raw Data'!AV11,"")</f>
        <v>0</v>
      </c>
      <c r="AF10" t="str">
        <f>IFERROR(AVERAGE('Feeders Raw Data'!AV10:AV14),"")</f>
        <v/>
      </c>
      <c r="AG10" t="str">
        <f>IFERROR(SUMPRODUCT('Feeders Raw Data'!AP10:AP29,'Feeders Raw Data'!AU10:AU29)/SUM('Feeders Raw Data'!AU10:AU29),"")</f>
        <v/>
      </c>
      <c r="AH10">
        <f>IFERROR(SQRT((SUMSQ('Feeders Raw Data'!AP10:AP29)-2*SUMPRODUCT('Feeders Raw Data'!AP10:AP29,'Feeders Raw Data'!AP11:AP30)+SUMSQ('Feeders Raw Data'!AP11:AP30)-('Feeders Raw Data'!AP10-'Feeders Raw Data'!AP30)^2/20)/19),"")</f>
        <v>0</v>
      </c>
      <c r="AJ10">
        <f>IFERROR('Feeders Raw Data'!AY10,"")</f>
        <v>0</v>
      </c>
      <c r="AK10">
        <f>IFERROR('Feeders Raw Data'!BD10,"")</f>
        <v>0</v>
      </c>
      <c r="AL10">
        <f>IFERROR('Feeders Raw Data'!BF10-'Feeders Raw Data'!BF11,"")</f>
        <v>0</v>
      </c>
      <c r="AM10" t="str">
        <f>IFERROR(AVERAGE('Feeders Raw Data'!BF10:BF14),"")</f>
        <v/>
      </c>
      <c r="AN10" t="str">
        <f>IFERROR(SUMPRODUCT('Feeders Raw Data'!AZ10:AZ29,'Feeders Raw Data'!BE10:BE29)/SUM('Feeders Raw Data'!BE10:BE29),"")</f>
        <v/>
      </c>
      <c r="AO10">
        <f>IFERROR(SQRT((SUMSQ('Feeders Raw Data'!AZ10:AZ29)-2*SUMPRODUCT('Feeders Raw Data'!AZ10:AZ29,'Feeders Raw Data'!AZ11:AZ30)+SUMSQ('Feeders Raw Data'!AZ11:AZ30)-('Feeders Raw Data'!AZ10-'Feeders Raw Data'!AZ30)^2/20)/19),"")</f>
        <v>0</v>
      </c>
      <c r="AQ10">
        <f>IFERROR('Feeders Raw Data'!BI10,"")</f>
        <v>0</v>
      </c>
      <c r="AR10">
        <f>IFERROR('Feeders Raw Data'!BN10,"")</f>
        <v>0</v>
      </c>
      <c r="AS10">
        <f>IFERROR('Feeders Raw Data'!BP10-'Feeders Raw Data'!BP11,"")</f>
        <v>0</v>
      </c>
      <c r="AT10" t="str">
        <f>IFERROR(AVERAGE('Feeders Raw Data'!BP10:BP14),"")</f>
        <v/>
      </c>
      <c r="AU10" t="str">
        <f>IFERROR(SUMPRODUCT('Feeders Raw Data'!BJ10:BJ29,'Feeders Raw Data'!BO10:BO29)/SUM('Feeders Raw Data'!BO10:BO29),"")</f>
        <v/>
      </c>
      <c r="AV10">
        <f>IFERROR(SQRT((SUMSQ('Feeders Raw Data'!BJ10:BJ29)-2*SUMPRODUCT('Feeders Raw Data'!BJ10:BJ29,'Feeders Raw Data'!BJ11:BJ30)+SUMSQ('Feeders Raw Data'!BJ11:BJ30)-('Feeders Raw Data'!BJ10-'Feeders Raw Data'!BJ30)^2/20)/19),"")</f>
        <v>0</v>
      </c>
      <c r="AX10">
        <f>IFERROR('Feeders Raw Data'!BS10,"")</f>
        <v>0</v>
      </c>
      <c r="AY10">
        <f>IFERROR('Feeders Raw Data'!BX10,"")</f>
        <v>0</v>
      </c>
      <c r="AZ10">
        <f>IFERROR('Feeders Raw Data'!BZ10-'Feeders Raw Data'!BZ11,"")</f>
        <v>0</v>
      </c>
      <c r="BA10" t="str">
        <f>IFERROR(AVERAGE('Feeders Raw Data'!BZ10:BZ14),"")</f>
        <v/>
      </c>
      <c r="BB10" t="str">
        <f>IFERROR(SUMPRODUCT('Feeders Raw Data'!BT10:BT29,'Feeders Raw Data'!BY10:BY29)/SUM('Feeders Raw Data'!BY10:BY29),"")</f>
        <v/>
      </c>
      <c r="BC10">
        <f>IFERROR(SQRT((SUMSQ('Feeders Raw Data'!BT10:BT29)-2*SUMPRODUCT('Feeders Raw Data'!BT10:BT29,'Feeders Raw Data'!BT11:BT30)+SUMSQ('Feeders Raw Data'!BT11:BT30)-('Feeders Raw Data'!BT10-'Feeders Raw Data'!BT30)^2/20)/19),"")</f>
        <v>0</v>
      </c>
      <c r="BE10">
        <f>IFERROR('Fats Raw Data'!A10,"")</f>
        <v>0</v>
      </c>
      <c r="BF10">
        <f>IFERROR('Fats Raw Data'!F10,"")</f>
        <v>0</v>
      </c>
      <c r="BG10">
        <f>IFERROR('Fats Raw Data'!H10-'Fats Raw Data'!H11,"")</f>
        <v>0</v>
      </c>
      <c r="BH10" t="str">
        <f>IFERROR(AVERAGE('Fats Raw Data'!H10:H14),"")</f>
        <v/>
      </c>
      <c r="BI10" t="str">
        <f>IFERROR(SUMPRODUCT('Fats Raw Data'!B10:B29,'Fats Raw Data'!G10:G29)/SUM('Fats Raw Data'!G10:G29),"")</f>
        <v/>
      </c>
      <c r="BJ10">
        <f>IFERROR(SQRT((SUMSQ('Fats Raw Data'!B10:B29)-2*SUMPRODUCT('Fats Raw Data'!B10:B29,'Fats Raw Data'!B11:B30)+SUMSQ('Fats Raw Data'!B11:B30)-('Fats Raw Data'!B10-'Fats Raw Data'!B30)^2/20)/19),"")</f>
        <v>0</v>
      </c>
      <c r="BL10">
        <f>IFERROR('Fats Raw Data'!K10,"")</f>
        <v>0</v>
      </c>
      <c r="BM10">
        <f>IFERROR('Fats Raw Data'!P10,"")</f>
        <v>0</v>
      </c>
      <c r="BN10">
        <f>IFERROR('Fats Raw Data'!R10-'Fats Raw Data'!R11,"")</f>
        <v>0</v>
      </c>
      <c r="BO10" t="str">
        <f>IFERROR(AVERAGE('Fats Raw Data'!R10:R14),"")</f>
        <v/>
      </c>
      <c r="BP10" t="str">
        <f>IFERROR(SUMPRODUCT('Fats Raw Data'!L10:L29,'Fats Raw Data'!Q10:Q29)/SUM('Fats Raw Data'!Q10:Q29),"")</f>
        <v/>
      </c>
      <c r="BQ10">
        <f>IFERROR(SQRT((SUMSQ('Fats Raw Data'!L10:L29)-2*SUMPRODUCT('Fats Raw Data'!L10:L29,'Fats Raw Data'!L11:L30)+SUMSQ('Fats Raw Data'!L11:L30)-('Fats Raw Data'!L10-'Fats Raw Data'!L30)^2/20)/19),"")</f>
        <v>0</v>
      </c>
      <c r="BS10">
        <f>IFERROR('Fats Raw Data'!U10,"")</f>
        <v>0</v>
      </c>
      <c r="BT10">
        <f>IFERROR('Fats Raw Data'!Z10,"")</f>
        <v>0</v>
      </c>
      <c r="BU10">
        <f>IFERROR('Fats Raw Data'!AB10-'Fats Raw Data'!AB11,"")</f>
        <v>0</v>
      </c>
      <c r="BV10" t="str">
        <f>IFERROR(AVERAGE('Fats Raw Data'!AB10:AB14),"")</f>
        <v/>
      </c>
      <c r="BW10" t="str">
        <f>IFERROR(SUMPRODUCT('Fats Raw Data'!V10:V29,'Fats Raw Data'!AA10:AA29)/SUM('Fats Raw Data'!AA10:AA29),"")</f>
        <v/>
      </c>
      <c r="BX10">
        <f>IFERROR(SQRT((SUMSQ('Fats Raw Data'!V10:V29)-2*SUMPRODUCT('Fats Raw Data'!V10:V29,'Fats Raw Data'!V11:V30)+SUMSQ('Fats Raw Data'!V11:V30)-('Fats Raw Data'!V10-'Fats Raw Data'!V30)^2/20)/19),"")</f>
        <v>0</v>
      </c>
      <c r="BZ10">
        <f>IFERROR('Fats Raw Data'!AE10,"")</f>
        <v>0</v>
      </c>
      <c r="CA10">
        <f>IFERROR('Fats Raw Data'!AJ10,"")</f>
        <v>0</v>
      </c>
      <c r="CB10">
        <f>IFERROR('Fats Raw Data'!AL10-'Fats Raw Data'!AL11,"")</f>
        <v>0</v>
      </c>
      <c r="CC10" t="str">
        <f>IFERROR(AVERAGE('Fats Raw Data'!AL10:AL14),"")</f>
        <v/>
      </c>
      <c r="CD10" t="str">
        <f>IFERROR(SUMPRODUCT('Fats Raw Data'!AF10:AF29,'Fats Raw Data'!AK10:AK29)/SUM('Fats Raw Data'!AK10:AK29),"")</f>
        <v/>
      </c>
      <c r="CE10">
        <f>IFERROR(SQRT((SUMSQ('Fats Raw Data'!AF10:AF29)-2*SUMPRODUCT('Fats Raw Data'!AF10:AF29,'Fats Raw Data'!AF11:AF30)+SUMSQ('Fats Raw Data'!AF11:AF30)-('Fats Raw Data'!AF10-'Fats Raw Data'!AF30)^2/20)/19),"")</f>
        <v>0</v>
      </c>
      <c r="CG10">
        <f>IFERROR('Fats Raw Data'!AO10,"")</f>
        <v>0</v>
      </c>
      <c r="CH10">
        <f>IFERROR('Fats Raw Data'!AT10,"")</f>
        <v>0</v>
      </c>
      <c r="CI10">
        <f>IFERROR('Fats Raw Data'!AV10-'Fats Raw Data'!AV11,"")</f>
        <v>0</v>
      </c>
      <c r="CJ10" t="str">
        <f>IFERROR(AVERAGE('Fats Raw Data'!AV10:AV14),"")</f>
        <v/>
      </c>
      <c r="CK10" t="str">
        <f>IFERROR(SUMPRODUCT('Fats Raw Data'!AP10:AP29,'Fats Raw Data'!AU10:AU29)/SUM('Fats Raw Data'!AU10:AU29),"")</f>
        <v/>
      </c>
      <c r="CL10">
        <f>IFERROR(SQRT((SUMSQ('Fats Raw Data'!AP10:AP29)-2*SUMPRODUCT('Fats Raw Data'!AP10:AP29,'Fats Raw Data'!AP11:AP30)+SUMSQ('Fats Raw Data'!AP11:AP30)-('Fats Raw Data'!AP10-'Fats Raw Data'!AP30)^2/20)/19),"")</f>
        <v>0</v>
      </c>
      <c r="CN10">
        <f>IFERROR('Fats Raw Data'!AY10,"")</f>
        <v>0</v>
      </c>
      <c r="CO10">
        <f>IFERROR('Fats Raw Data'!BD10,"")</f>
        <v>0</v>
      </c>
      <c r="CP10">
        <f>IFERROR('Fats Raw Data'!BF10-'Fats Raw Data'!BF11,"")</f>
        <v>0</v>
      </c>
      <c r="CQ10" t="str">
        <f>IFERROR(AVERAGE('Fats Raw Data'!BF10:BF14),"")</f>
        <v/>
      </c>
      <c r="CR10" t="str">
        <f>IFERROR(SUMPRODUCT('Fats Raw Data'!AZ10:AZ29,'Fats Raw Data'!BE10:BE29)/SUM('Fats Raw Data'!BE10:BE29),"")</f>
        <v/>
      </c>
      <c r="CS10">
        <f>IFERROR(SQRT((SUMSQ('Fats Raw Data'!AZ10:AZ29)-2*SUMPRODUCT('Fats Raw Data'!AZ10:AZ29,'Fats Raw Data'!AZ11:AZ30)+SUMSQ('Fats Raw Data'!AZ11:AZ30)-('Fats Raw Data'!AZ10-'Fats Raw Data'!AZ30)^2/20)/19),"")</f>
        <v>0</v>
      </c>
    </row>
    <row r="11" spans="1:97" x14ac:dyDescent="0.25">
      <c r="A11">
        <f>IFERROR('Feeders Raw Data'!A11,"")</f>
        <v>0</v>
      </c>
      <c r="B11">
        <f>IFERROR('Feeders Raw Data'!F11,"")</f>
        <v>0</v>
      </c>
      <c r="C11">
        <f>IFERROR('Feeders Raw Data'!H11-'Feeders Raw Data'!H12,"")</f>
        <v>0</v>
      </c>
      <c r="D11" t="str">
        <f>IFERROR(AVERAGE('Feeders Raw Data'!H11:H15),"")</f>
        <v/>
      </c>
      <c r="E11" t="str">
        <f>IFERROR(SUMPRODUCT('Feeders Raw Data'!B11:B30,'Feeders Raw Data'!G11:G30)/SUM('Feeders Raw Data'!G11:G30),"")</f>
        <v/>
      </c>
      <c r="F11">
        <f>IFERROR(SQRT((SUMSQ('Feeders Raw Data'!B11:B30)-2*SUMPRODUCT('Feeders Raw Data'!B11:B30,'Feeders Raw Data'!B12:B31)+SUMSQ('Feeders Raw Data'!B12:B31)-('Feeders Raw Data'!B11-'Feeders Raw Data'!B31)^2/20)/19),"")</f>
        <v>0</v>
      </c>
      <c r="H11">
        <f>IFERROR('Feeders Raw Data'!K11,"")</f>
        <v>0</v>
      </c>
      <c r="I11">
        <f>IFERROR('Feeders Raw Data'!P11,"")</f>
        <v>0</v>
      </c>
      <c r="J11">
        <f>IFERROR('Feeders Raw Data'!R11-'Feeders Raw Data'!R12,"")</f>
        <v>0</v>
      </c>
      <c r="K11" t="str">
        <f>IFERROR(AVERAGE('Feeders Raw Data'!R11:R15),"")</f>
        <v/>
      </c>
      <c r="L11" t="str">
        <f>IFERROR(SUMPRODUCT('Feeders Raw Data'!L11:L30,'Feeders Raw Data'!Q11:Q30)/SUM('Feeders Raw Data'!Q11:Q30),"")</f>
        <v/>
      </c>
      <c r="M11">
        <f>IFERROR(SQRT((SUMSQ('Feeders Raw Data'!L11:L30)-2*SUMPRODUCT('Feeders Raw Data'!L11:L30,'Feeders Raw Data'!L12:L31)+SUMSQ('Feeders Raw Data'!L12:L31)-('Feeders Raw Data'!L11-'Feeders Raw Data'!L31)^2/20)/19),"")</f>
        <v>0</v>
      </c>
      <c r="O11">
        <f>IFERROR('Feeders Raw Data'!U11,"")</f>
        <v>0</v>
      </c>
      <c r="P11">
        <f>IFERROR('Feeders Raw Data'!Z11,"")</f>
        <v>0</v>
      </c>
      <c r="Q11">
        <f>IFERROR('Feeders Raw Data'!AB11-'Feeders Raw Data'!AB12,"")</f>
        <v>0</v>
      </c>
      <c r="R11" t="str">
        <f>IFERROR(AVERAGE('Feeders Raw Data'!AB11:AB15),"")</f>
        <v/>
      </c>
      <c r="S11" t="str">
        <f>IFERROR(SUMPRODUCT('Feeders Raw Data'!V11:V30,'Feeders Raw Data'!AA11:AA30)/SUM('Feeders Raw Data'!AA11:AA30),"")</f>
        <v/>
      </c>
      <c r="T11">
        <f>IFERROR(SQRT((SUMSQ('Feeders Raw Data'!V11:V30)-2*SUMPRODUCT('Feeders Raw Data'!V11:V30,'Feeders Raw Data'!V12:V31)+SUMSQ('Feeders Raw Data'!V12:V31)-('Feeders Raw Data'!V11-'Feeders Raw Data'!V31)^2/20)/19),"")</f>
        <v>0</v>
      </c>
      <c r="V11">
        <f>IFERROR('Feeders Raw Data'!AE11,"")</f>
        <v>0</v>
      </c>
      <c r="W11">
        <f>IFERROR('Feeders Raw Data'!AJ11,"")</f>
        <v>0</v>
      </c>
      <c r="X11">
        <f>IFERROR('Feeders Raw Data'!AL11-'Feeders Raw Data'!AL12,"")</f>
        <v>0</v>
      </c>
      <c r="Y11" t="str">
        <f>IFERROR(AVERAGE('Feeders Raw Data'!AL11:AL15),"")</f>
        <v/>
      </c>
      <c r="Z11" t="str">
        <f>IFERROR(SUMPRODUCT('Feeders Raw Data'!AF11:AF30,'Feeders Raw Data'!AK11:AK30)/SUM('Feeders Raw Data'!AK11:AK30),"")</f>
        <v/>
      </c>
      <c r="AA11">
        <f>IFERROR(SQRT((SUMSQ('Feeders Raw Data'!AF11:AF30)-2*SUMPRODUCT('Feeders Raw Data'!AF11:AF30,'Feeders Raw Data'!AF12:AF31)+SUMSQ('Feeders Raw Data'!AF12:AF31)-('Feeders Raw Data'!AF11-'Feeders Raw Data'!AF31)^2/20)/19),"")</f>
        <v>0</v>
      </c>
      <c r="AC11">
        <f>IFERROR('Feeders Raw Data'!AO11,"")</f>
        <v>0</v>
      </c>
      <c r="AD11">
        <f>IFERROR('Feeders Raw Data'!AT11,"")</f>
        <v>0</v>
      </c>
      <c r="AE11">
        <f>IFERROR('Feeders Raw Data'!AV11-'Feeders Raw Data'!AV12,"")</f>
        <v>0</v>
      </c>
      <c r="AF11" t="str">
        <f>IFERROR(AVERAGE('Feeders Raw Data'!AV11:AV15),"")</f>
        <v/>
      </c>
      <c r="AG11" t="str">
        <f>IFERROR(SUMPRODUCT('Feeders Raw Data'!AP11:AP30,'Feeders Raw Data'!AU11:AU30)/SUM('Feeders Raw Data'!AU11:AU30),"")</f>
        <v/>
      </c>
      <c r="AH11">
        <f>IFERROR(SQRT((SUMSQ('Feeders Raw Data'!AP11:AP30)-2*SUMPRODUCT('Feeders Raw Data'!AP11:AP30,'Feeders Raw Data'!AP12:AP31)+SUMSQ('Feeders Raw Data'!AP12:AP31)-('Feeders Raw Data'!AP11-'Feeders Raw Data'!AP31)^2/20)/19),"")</f>
        <v>0</v>
      </c>
      <c r="AJ11">
        <f>IFERROR('Feeders Raw Data'!AY11,"")</f>
        <v>0</v>
      </c>
      <c r="AK11">
        <f>IFERROR('Feeders Raw Data'!BD11,"")</f>
        <v>0</v>
      </c>
      <c r="AL11">
        <f>IFERROR('Feeders Raw Data'!BF11-'Feeders Raw Data'!BF12,"")</f>
        <v>0</v>
      </c>
      <c r="AM11" t="str">
        <f>IFERROR(AVERAGE('Feeders Raw Data'!BF11:BF15),"")</f>
        <v/>
      </c>
      <c r="AN11" t="str">
        <f>IFERROR(SUMPRODUCT('Feeders Raw Data'!AZ11:AZ30,'Feeders Raw Data'!BE11:BE30)/SUM('Feeders Raw Data'!BE11:BE30),"")</f>
        <v/>
      </c>
      <c r="AO11">
        <f>IFERROR(SQRT((SUMSQ('Feeders Raw Data'!AZ11:AZ30)-2*SUMPRODUCT('Feeders Raw Data'!AZ11:AZ30,'Feeders Raw Data'!AZ12:AZ31)+SUMSQ('Feeders Raw Data'!AZ12:AZ31)-('Feeders Raw Data'!AZ11-'Feeders Raw Data'!AZ31)^2/20)/19),"")</f>
        <v>0</v>
      </c>
      <c r="AQ11">
        <f>IFERROR('Feeders Raw Data'!BI11,"")</f>
        <v>0</v>
      </c>
      <c r="AR11">
        <f>IFERROR('Feeders Raw Data'!BN11,"")</f>
        <v>0</v>
      </c>
      <c r="AS11">
        <f>IFERROR('Feeders Raw Data'!BP11-'Feeders Raw Data'!BP12,"")</f>
        <v>0</v>
      </c>
      <c r="AT11" t="str">
        <f>IFERROR(AVERAGE('Feeders Raw Data'!BP11:BP15),"")</f>
        <v/>
      </c>
      <c r="AU11" t="str">
        <f>IFERROR(SUMPRODUCT('Feeders Raw Data'!BJ11:BJ30,'Feeders Raw Data'!BO11:BO30)/SUM('Feeders Raw Data'!BO11:BO30),"")</f>
        <v/>
      </c>
      <c r="AV11">
        <f>IFERROR(SQRT((SUMSQ('Feeders Raw Data'!BJ11:BJ30)-2*SUMPRODUCT('Feeders Raw Data'!BJ11:BJ30,'Feeders Raw Data'!BJ12:BJ31)+SUMSQ('Feeders Raw Data'!BJ12:BJ31)-('Feeders Raw Data'!BJ11-'Feeders Raw Data'!BJ31)^2/20)/19),"")</f>
        <v>0</v>
      </c>
      <c r="AX11">
        <f>IFERROR('Feeders Raw Data'!BS11,"")</f>
        <v>0</v>
      </c>
      <c r="AY11">
        <f>IFERROR('Feeders Raw Data'!BX11,"")</f>
        <v>0</v>
      </c>
      <c r="AZ11">
        <f>IFERROR('Feeders Raw Data'!BZ11-'Feeders Raw Data'!BZ12,"")</f>
        <v>0</v>
      </c>
      <c r="BA11" t="str">
        <f>IFERROR(AVERAGE('Feeders Raw Data'!BZ11:BZ15),"")</f>
        <v/>
      </c>
      <c r="BB11" t="str">
        <f>IFERROR(SUMPRODUCT('Feeders Raw Data'!BT11:BT30,'Feeders Raw Data'!BY11:BY30)/SUM('Feeders Raw Data'!BY11:BY30),"")</f>
        <v/>
      </c>
      <c r="BC11">
        <f>IFERROR(SQRT((SUMSQ('Feeders Raw Data'!BT11:BT30)-2*SUMPRODUCT('Feeders Raw Data'!BT11:BT30,'Feeders Raw Data'!BT12:BT31)+SUMSQ('Feeders Raw Data'!BT12:BT31)-('Feeders Raw Data'!BT11-'Feeders Raw Data'!BT31)^2/20)/19),"")</f>
        <v>0</v>
      </c>
      <c r="BE11">
        <f>IFERROR('Fats Raw Data'!A11,"")</f>
        <v>0</v>
      </c>
      <c r="BF11">
        <f>IFERROR('Fats Raw Data'!F11,"")</f>
        <v>0</v>
      </c>
      <c r="BG11">
        <f>IFERROR('Fats Raw Data'!H11-'Fats Raw Data'!H12,"")</f>
        <v>0</v>
      </c>
      <c r="BH11" t="str">
        <f>IFERROR(AVERAGE('Fats Raw Data'!H11:H15),"")</f>
        <v/>
      </c>
      <c r="BI11" t="str">
        <f>IFERROR(SUMPRODUCT('Fats Raw Data'!B11:B30,'Fats Raw Data'!G11:G30)/SUM('Fats Raw Data'!G11:G30),"")</f>
        <v/>
      </c>
      <c r="BJ11">
        <f>IFERROR(SQRT((SUMSQ('Fats Raw Data'!B11:B30)-2*SUMPRODUCT('Fats Raw Data'!B11:B30,'Fats Raw Data'!B12:B31)+SUMSQ('Fats Raw Data'!B12:B31)-('Fats Raw Data'!B11-'Fats Raw Data'!B31)^2/20)/19),"")</f>
        <v>0</v>
      </c>
      <c r="BL11">
        <f>IFERROR('Fats Raw Data'!K11,"")</f>
        <v>0</v>
      </c>
      <c r="BM11">
        <f>IFERROR('Fats Raw Data'!P11,"")</f>
        <v>0</v>
      </c>
      <c r="BN11">
        <f>IFERROR('Fats Raw Data'!R11-'Fats Raw Data'!R12,"")</f>
        <v>0</v>
      </c>
      <c r="BO11" t="str">
        <f>IFERROR(AVERAGE('Fats Raw Data'!R11:R15),"")</f>
        <v/>
      </c>
      <c r="BP11" t="str">
        <f>IFERROR(SUMPRODUCT('Fats Raw Data'!L11:L30,'Fats Raw Data'!Q11:Q30)/SUM('Fats Raw Data'!Q11:Q30),"")</f>
        <v/>
      </c>
      <c r="BQ11">
        <f>IFERROR(SQRT((SUMSQ('Fats Raw Data'!L11:L30)-2*SUMPRODUCT('Fats Raw Data'!L11:L30,'Fats Raw Data'!L12:L31)+SUMSQ('Fats Raw Data'!L12:L31)-('Fats Raw Data'!L11-'Fats Raw Data'!L31)^2/20)/19),"")</f>
        <v>0</v>
      </c>
      <c r="BS11">
        <f>IFERROR('Fats Raw Data'!U11,"")</f>
        <v>0</v>
      </c>
      <c r="BT11">
        <f>IFERROR('Fats Raw Data'!Z11,"")</f>
        <v>0</v>
      </c>
      <c r="BU11">
        <f>IFERROR('Fats Raw Data'!AB11-'Fats Raw Data'!AB12,"")</f>
        <v>0</v>
      </c>
      <c r="BV11" t="str">
        <f>IFERROR(AVERAGE('Fats Raw Data'!AB11:AB15),"")</f>
        <v/>
      </c>
      <c r="BW11" t="str">
        <f>IFERROR(SUMPRODUCT('Fats Raw Data'!V11:V30,'Fats Raw Data'!AA11:AA30)/SUM('Fats Raw Data'!AA11:AA30),"")</f>
        <v/>
      </c>
      <c r="BX11">
        <f>IFERROR(SQRT((SUMSQ('Fats Raw Data'!V11:V30)-2*SUMPRODUCT('Fats Raw Data'!V11:V30,'Fats Raw Data'!V12:V31)+SUMSQ('Fats Raw Data'!V12:V31)-('Fats Raw Data'!V11-'Fats Raw Data'!V31)^2/20)/19),"")</f>
        <v>0</v>
      </c>
      <c r="BZ11">
        <f>IFERROR('Fats Raw Data'!AE11,"")</f>
        <v>0</v>
      </c>
      <c r="CA11">
        <f>IFERROR('Fats Raw Data'!AJ11,"")</f>
        <v>0</v>
      </c>
      <c r="CB11">
        <f>IFERROR('Fats Raw Data'!AL11-'Fats Raw Data'!AL12,"")</f>
        <v>0</v>
      </c>
      <c r="CC11" t="str">
        <f>IFERROR(AVERAGE('Fats Raw Data'!AL11:AL15),"")</f>
        <v/>
      </c>
      <c r="CD11" t="str">
        <f>IFERROR(SUMPRODUCT('Fats Raw Data'!AF11:AF30,'Fats Raw Data'!AK11:AK30)/SUM('Fats Raw Data'!AK11:AK30),"")</f>
        <v/>
      </c>
      <c r="CE11">
        <f>IFERROR(SQRT((SUMSQ('Fats Raw Data'!AF11:AF30)-2*SUMPRODUCT('Fats Raw Data'!AF11:AF30,'Fats Raw Data'!AF12:AF31)+SUMSQ('Fats Raw Data'!AF12:AF31)-('Fats Raw Data'!AF11-'Fats Raw Data'!AF31)^2/20)/19),"")</f>
        <v>0</v>
      </c>
      <c r="CG11">
        <f>IFERROR('Fats Raw Data'!AO11,"")</f>
        <v>0</v>
      </c>
      <c r="CH11">
        <f>IFERROR('Fats Raw Data'!AT11,"")</f>
        <v>0</v>
      </c>
      <c r="CI11">
        <f>IFERROR('Fats Raw Data'!AV11-'Fats Raw Data'!AV12,"")</f>
        <v>0</v>
      </c>
      <c r="CJ11" t="str">
        <f>IFERROR(AVERAGE('Fats Raw Data'!AV11:AV15),"")</f>
        <v/>
      </c>
      <c r="CK11" t="str">
        <f>IFERROR(SUMPRODUCT('Fats Raw Data'!AP11:AP30,'Fats Raw Data'!AU11:AU30)/SUM('Fats Raw Data'!AU11:AU30),"")</f>
        <v/>
      </c>
      <c r="CL11">
        <f>IFERROR(SQRT((SUMSQ('Fats Raw Data'!AP11:AP30)-2*SUMPRODUCT('Fats Raw Data'!AP11:AP30,'Fats Raw Data'!AP12:AP31)+SUMSQ('Fats Raw Data'!AP12:AP31)-('Fats Raw Data'!AP11-'Fats Raw Data'!AP31)^2/20)/19),"")</f>
        <v>0</v>
      </c>
      <c r="CN11">
        <f>IFERROR('Fats Raw Data'!AY11,"")</f>
        <v>0</v>
      </c>
      <c r="CO11">
        <f>IFERROR('Fats Raw Data'!BD11,"")</f>
        <v>0</v>
      </c>
      <c r="CP11">
        <f>IFERROR('Fats Raw Data'!BF11-'Fats Raw Data'!BF12,"")</f>
        <v>0</v>
      </c>
      <c r="CQ11" t="str">
        <f>IFERROR(AVERAGE('Fats Raw Data'!BF11:BF15),"")</f>
        <v/>
      </c>
      <c r="CR11" t="str">
        <f>IFERROR(SUMPRODUCT('Fats Raw Data'!AZ11:AZ30,'Fats Raw Data'!BE11:BE30)/SUM('Fats Raw Data'!BE11:BE30),"")</f>
        <v/>
      </c>
      <c r="CS11">
        <f>IFERROR(SQRT((SUMSQ('Fats Raw Data'!AZ11:AZ30)-2*SUMPRODUCT('Fats Raw Data'!AZ11:AZ30,'Fats Raw Data'!AZ12:AZ31)+SUMSQ('Fats Raw Data'!AZ12:AZ31)-('Fats Raw Data'!AZ11-'Fats Raw Data'!AZ31)^2/20)/19),"")</f>
        <v>0</v>
      </c>
    </row>
    <row r="12" spans="1:97" x14ac:dyDescent="0.25">
      <c r="A12">
        <f>IFERROR('Feeders Raw Data'!A12,"")</f>
        <v>0</v>
      </c>
      <c r="B12">
        <f>IFERROR('Feeders Raw Data'!F12,"")</f>
        <v>0</v>
      </c>
      <c r="C12">
        <f>IFERROR('Feeders Raw Data'!H12-'Feeders Raw Data'!H13,"")</f>
        <v>0</v>
      </c>
      <c r="D12" t="str">
        <f>IFERROR(AVERAGE('Feeders Raw Data'!H12:H16),"")</f>
        <v/>
      </c>
      <c r="E12" t="str">
        <f>IFERROR(SUMPRODUCT('Feeders Raw Data'!B12:B31,'Feeders Raw Data'!G12:G31)/SUM('Feeders Raw Data'!G12:G31),"")</f>
        <v/>
      </c>
      <c r="F12">
        <f>IFERROR(SQRT((SUMSQ('Feeders Raw Data'!B12:B31)-2*SUMPRODUCT('Feeders Raw Data'!B12:B31,'Feeders Raw Data'!B13:B32)+SUMSQ('Feeders Raw Data'!B13:B32)-('Feeders Raw Data'!B12-'Feeders Raw Data'!B32)^2/20)/19),"")</f>
        <v>0</v>
      </c>
      <c r="H12">
        <f>IFERROR('Feeders Raw Data'!K12,"")</f>
        <v>0</v>
      </c>
      <c r="I12">
        <f>IFERROR('Feeders Raw Data'!P12,"")</f>
        <v>0</v>
      </c>
      <c r="J12">
        <f>IFERROR('Feeders Raw Data'!R12-'Feeders Raw Data'!R13,"")</f>
        <v>0</v>
      </c>
      <c r="K12" t="str">
        <f>IFERROR(AVERAGE('Feeders Raw Data'!R12:R16),"")</f>
        <v/>
      </c>
      <c r="L12" t="str">
        <f>IFERROR(SUMPRODUCT('Feeders Raw Data'!L12:L31,'Feeders Raw Data'!Q12:Q31)/SUM('Feeders Raw Data'!Q12:Q31),"")</f>
        <v/>
      </c>
      <c r="M12">
        <f>IFERROR(SQRT((SUMSQ('Feeders Raw Data'!L12:L31)-2*SUMPRODUCT('Feeders Raw Data'!L12:L31,'Feeders Raw Data'!L13:L32)+SUMSQ('Feeders Raw Data'!L13:L32)-('Feeders Raw Data'!L12-'Feeders Raw Data'!L32)^2/20)/19),"")</f>
        <v>0</v>
      </c>
      <c r="O12">
        <f>IFERROR('Feeders Raw Data'!U12,"")</f>
        <v>0</v>
      </c>
      <c r="P12">
        <f>IFERROR('Feeders Raw Data'!Z12,"")</f>
        <v>0</v>
      </c>
      <c r="Q12">
        <f>IFERROR('Feeders Raw Data'!AB12-'Feeders Raw Data'!AB13,"")</f>
        <v>0</v>
      </c>
      <c r="R12" t="str">
        <f>IFERROR(AVERAGE('Feeders Raw Data'!AB12:AB16),"")</f>
        <v/>
      </c>
      <c r="S12" t="str">
        <f>IFERROR(SUMPRODUCT('Feeders Raw Data'!V12:V31,'Feeders Raw Data'!AA12:AA31)/SUM('Feeders Raw Data'!AA12:AA31),"")</f>
        <v/>
      </c>
      <c r="T12">
        <f>IFERROR(SQRT((SUMSQ('Feeders Raw Data'!V12:V31)-2*SUMPRODUCT('Feeders Raw Data'!V12:V31,'Feeders Raw Data'!V13:V32)+SUMSQ('Feeders Raw Data'!V13:V32)-('Feeders Raw Data'!V12-'Feeders Raw Data'!V32)^2/20)/19),"")</f>
        <v>0</v>
      </c>
      <c r="V12">
        <f>IFERROR('Feeders Raw Data'!AE12,"")</f>
        <v>0</v>
      </c>
      <c r="W12">
        <f>IFERROR('Feeders Raw Data'!AJ12,"")</f>
        <v>0</v>
      </c>
      <c r="X12">
        <f>IFERROR('Feeders Raw Data'!AL12-'Feeders Raw Data'!AL13,"")</f>
        <v>0</v>
      </c>
      <c r="Y12" t="str">
        <f>IFERROR(AVERAGE('Feeders Raw Data'!AL12:AL16),"")</f>
        <v/>
      </c>
      <c r="Z12" t="str">
        <f>IFERROR(SUMPRODUCT('Feeders Raw Data'!AF12:AF31,'Feeders Raw Data'!AK12:AK31)/SUM('Feeders Raw Data'!AK12:AK31),"")</f>
        <v/>
      </c>
      <c r="AA12">
        <f>IFERROR(SQRT((SUMSQ('Feeders Raw Data'!AF12:AF31)-2*SUMPRODUCT('Feeders Raw Data'!AF12:AF31,'Feeders Raw Data'!AF13:AF32)+SUMSQ('Feeders Raw Data'!AF13:AF32)-('Feeders Raw Data'!AF12-'Feeders Raw Data'!AF32)^2/20)/19),"")</f>
        <v>0</v>
      </c>
      <c r="AC12">
        <f>IFERROR('Feeders Raw Data'!AO12,"")</f>
        <v>0</v>
      </c>
      <c r="AD12">
        <f>IFERROR('Feeders Raw Data'!AT12,"")</f>
        <v>0</v>
      </c>
      <c r="AE12">
        <f>IFERROR('Feeders Raw Data'!AV12-'Feeders Raw Data'!AV13,"")</f>
        <v>0</v>
      </c>
      <c r="AF12" t="str">
        <f>IFERROR(AVERAGE('Feeders Raw Data'!AV12:AV16),"")</f>
        <v/>
      </c>
      <c r="AG12" t="str">
        <f>IFERROR(SUMPRODUCT('Feeders Raw Data'!AP12:AP31,'Feeders Raw Data'!AU12:AU31)/SUM('Feeders Raw Data'!AU12:AU31),"")</f>
        <v/>
      </c>
      <c r="AH12">
        <f>IFERROR(SQRT((SUMSQ('Feeders Raw Data'!AP12:AP31)-2*SUMPRODUCT('Feeders Raw Data'!AP12:AP31,'Feeders Raw Data'!AP13:AP32)+SUMSQ('Feeders Raw Data'!AP13:AP32)-('Feeders Raw Data'!AP12-'Feeders Raw Data'!AP32)^2/20)/19),"")</f>
        <v>0</v>
      </c>
      <c r="AJ12">
        <f>IFERROR('Feeders Raw Data'!AY12,"")</f>
        <v>0</v>
      </c>
      <c r="AK12">
        <f>IFERROR('Feeders Raw Data'!BD12,"")</f>
        <v>0</v>
      </c>
      <c r="AL12">
        <f>IFERROR('Feeders Raw Data'!BF12-'Feeders Raw Data'!BF13,"")</f>
        <v>0</v>
      </c>
      <c r="AM12" t="str">
        <f>IFERROR(AVERAGE('Feeders Raw Data'!BF12:BF16),"")</f>
        <v/>
      </c>
      <c r="AN12" t="str">
        <f>IFERROR(SUMPRODUCT('Feeders Raw Data'!AZ12:AZ31,'Feeders Raw Data'!BE12:BE31)/SUM('Feeders Raw Data'!BE12:BE31),"")</f>
        <v/>
      </c>
      <c r="AO12">
        <f>IFERROR(SQRT((SUMSQ('Feeders Raw Data'!AZ12:AZ31)-2*SUMPRODUCT('Feeders Raw Data'!AZ12:AZ31,'Feeders Raw Data'!AZ13:AZ32)+SUMSQ('Feeders Raw Data'!AZ13:AZ32)-('Feeders Raw Data'!AZ12-'Feeders Raw Data'!AZ32)^2/20)/19),"")</f>
        <v>0</v>
      </c>
      <c r="AQ12">
        <f>IFERROR('Feeders Raw Data'!BI12,"")</f>
        <v>0</v>
      </c>
      <c r="AR12">
        <f>IFERROR('Feeders Raw Data'!BN12,"")</f>
        <v>0</v>
      </c>
      <c r="AS12">
        <f>IFERROR('Feeders Raw Data'!BP12-'Feeders Raw Data'!BP13,"")</f>
        <v>0</v>
      </c>
      <c r="AT12" t="str">
        <f>IFERROR(AVERAGE('Feeders Raw Data'!BP12:BP16),"")</f>
        <v/>
      </c>
      <c r="AU12" t="str">
        <f>IFERROR(SUMPRODUCT('Feeders Raw Data'!BJ12:BJ31,'Feeders Raw Data'!BO12:BO31)/SUM('Feeders Raw Data'!BO12:BO31),"")</f>
        <v/>
      </c>
      <c r="AV12">
        <f>IFERROR(SQRT((SUMSQ('Feeders Raw Data'!BJ12:BJ31)-2*SUMPRODUCT('Feeders Raw Data'!BJ12:BJ31,'Feeders Raw Data'!BJ13:BJ32)+SUMSQ('Feeders Raw Data'!BJ13:BJ32)-('Feeders Raw Data'!BJ12-'Feeders Raw Data'!BJ32)^2/20)/19),"")</f>
        <v>0</v>
      </c>
      <c r="AX12">
        <f>IFERROR('Feeders Raw Data'!BS12,"")</f>
        <v>0</v>
      </c>
      <c r="AY12">
        <f>IFERROR('Feeders Raw Data'!BX12,"")</f>
        <v>0</v>
      </c>
      <c r="AZ12">
        <f>IFERROR('Feeders Raw Data'!BZ12-'Feeders Raw Data'!BZ13,"")</f>
        <v>0</v>
      </c>
      <c r="BA12" t="str">
        <f>IFERROR(AVERAGE('Feeders Raw Data'!BZ12:BZ16),"")</f>
        <v/>
      </c>
      <c r="BB12" t="str">
        <f>IFERROR(SUMPRODUCT('Feeders Raw Data'!BT12:BT31,'Feeders Raw Data'!BY12:BY31)/SUM('Feeders Raw Data'!BY12:BY31),"")</f>
        <v/>
      </c>
      <c r="BC12">
        <f>IFERROR(SQRT((SUMSQ('Feeders Raw Data'!BT12:BT31)-2*SUMPRODUCT('Feeders Raw Data'!BT12:BT31,'Feeders Raw Data'!BT13:BT32)+SUMSQ('Feeders Raw Data'!BT13:BT32)-('Feeders Raw Data'!BT12-'Feeders Raw Data'!BT32)^2/20)/19),"")</f>
        <v>0</v>
      </c>
      <c r="BE12">
        <f>IFERROR('Fats Raw Data'!A12,"")</f>
        <v>0</v>
      </c>
      <c r="BF12">
        <f>IFERROR('Fats Raw Data'!F12,"")</f>
        <v>0</v>
      </c>
      <c r="BG12">
        <f>IFERROR('Fats Raw Data'!H12-'Fats Raw Data'!H13,"")</f>
        <v>0</v>
      </c>
      <c r="BH12" t="str">
        <f>IFERROR(AVERAGE('Fats Raw Data'!H12:H16),"")</f>
        <v/>
      </c>
      <c r="BI12" t="str">
        <f>IFERROR(SUMPRODUCT('Fats Raw Data'!B12:B31,'Fats Raw Data'!G12:G31)/SUM('Fats Raw Data'!G12:G31),"")</f>
        <v/>
      </c>
      <c r="BJ12">
        <f>IFERROR(SQRT((SUMSQ('Fats Raw Data'!B12:B31)-2*SUMPRODUCT('Fats Raw Data'!B12:B31,'Fats Raw Data'!B13:B32)+SUMSQ('Fats Raw Data'!B13:B32)-('Fats Raw Data'!B12-'Fats Raw Data'!B32)^2/20)/19),"")</f>
        <v>0</v>
      </c>
      <c r="BL12">
        <f>IFERROR('Fats Raw Data'!K12,"")</f>
        <v>0</v>
      </c>
      <c r="BM12">
        <f>IFERROR('Fats Raw Data'!P12,"")</f>
        <v>0</v>
      </c>
      <c r="BN12">
        <f>IFERROR('Fats Raw Data'!R12-'Fats Raw Data'!R13,"")</f>
        <v>0</v>
      </c>
      <c r="BO12" t="str">
        <f>IFERROR(AVERAGE('Fats Raw Data'!R12:R16),"")</f>
        <v/>
      </c>
      <c r="BP12" t="str">
        <f>IFERROR(SUMPRODUCT('Fats Raw Data'!L12:L31,'Fats Raw Data'!Q12:Q31)/SUM('Fats Raw Data'!Q12:Q31),"")</f>
        <v/>
      </c>
      <c r="BQ12">
        <f>IFERROR(SQRT((SUMSQ('Fats Raw Data'!L12:L31)-2*SUMPRODUCT('Fats Raw Data'!L12:L31,'Fats Raw Data'!L13:L32)+SUMSQ('Fats Raw Data'!L13:L32)-('Fats Raw Data'!L12-'Fats Raw Data'!L32)^2/20)/19),"")</f>
        <v>0</v>
      </c>
      <c r="BS12">
        <f>IFERROR('Fats Raw Data'!U12,"")</f>
        <v>0</v>
      </c>
      <c r="BT12">
        <f>IFERROR('Fats Raw Data'!Z12,"")</f>
        <v>0</v>
      </c>
      <c r="BU12">
        <f>IFERROR('Fats Raw Data'!AB12-'Fats Raw Data'!AB13,"")</f>
        <v>0</v>
      </c>
      <c r="BV12" t="str">
        <f>IFERROR(AVERAGE('Fats Raw Data'!AB12:AB16),"")</f>
        <v/>
      </c>
      <c r="BW12" t="str">
        <f>IFERROR(SUMPRODUCT('Fats Raw Data'!V12:V31,'Fats Raw Data'!AA12:AA31)/SUM('Fats Raw Data'!AA12:AA31),"")</f>
        <v/>
      </c>
      <c r="BX12">
        <f>IFERROR(SQRT((SUMSQ('Fats Raw Data'!V12:V31)-2*SUMPRODUCT('Fats Raw Data'!V12:V31,'Fats Raw Data'!V13:V32)+SUMSQ('Fats Raw Data'!V13:V32)-('Fats Raw Data'!V12-'Fats Raw Data'!V32)^2/20)/19),"")</f>
        <v>0</v>
      </c>
      <c r="BZ12">
        <f>IFERROR('Fats Raw Data'!AE12,"")</f>
        <v>0</v>
      </c>
      <c r="CA12">
        <f>IFERROR('Fats Raw Data'!AJ12,"")</f>
        <v>0</v>
      </c>
      <c r="CB12">
        <f>IFERROR('Fats Raw Data'!AL12-'Fats Raw Data'!AL13,"")</f>
        <v>0</v>
      </c>
      <c r="CC12" t="str">
        <f>IFERROR(AVERAGE('Fats Raw Data'!AL12:AL16),"")</f>
        <v/>
      </c>
      <c r="CD12" t="str">
        <f>IFERROR(SUMPRODUCT('Fats Raw Data'!AF12:AF31,'Fats Raw Data'!AK12:AK31)/SUM('Fats Raw Data'!AK12:AK31),"")</f>
        <v/>
      </c>
      <c r="CE12">
        <f>IFERROR(SQRT((SUMSQ('Fats Raw Data'!AF12:AF31)-2*SUMPRODUCT('Fats Raw Data'!AF12:AF31,'Fats Raw Data'!AF13:AF32)+SUMSQ('Fats Raw Data'!AF13:AF32)-('Fats Raw Data'!AF12-'Fats Raw Data'!AF32)^2/20)/19),"")</f>
        <v>0</v>
      </c>
      <c r="CG12">
        <f>IFERROR('Fats Raw Data'!AO12,"")</f>
        <v>0</v>
      </c>
      <c r="CH12">
        <f>IFERROR('Fats Raw Data'!AT12,"")</f>
        <v>0</v>
      </c>
      <c r="CI12">
        <f>IFERROR('Fats Raw Data'!AV12-'Fats Raw Data'!AV13,"")</f>
        <v>0</v>
      </c>
      <c r="CJ12" t="str">
        <f>IFERROR(AVERAGE('Fats Raw Data'!AV12:AV16),"")</f>
        <v/>
      </c>
      <c r="CK12" t="str">
        <f>IFERROR(SUMPRODUCT('Fats Raw Data'!AP12:AP31,'Fats Raw Data'!AU12:AU31)/SUM('Fats Raw Data'!AU12:AU31),"")</f>
        <v/>
      </c>
      <c r="CL12">
        <f>IFERROR(SQRT((SUMSQ('Fats Raw Data'!AP12:AP31)-2*SUMPRODUCT('Fats Raw Data'!AP12:AP31,'Fats Raw Data'!AP13:AP32)+SUMSQ('Fats Raw Data'!AP13:AP32)-('Fats Raw Data'!AP12-'Fats Raw Data'!AP32)^2/20)/19),"")</f>
        <v>0</v>
      </c>
      <c r="CN12">
        <f>IFERROR('Fats Raw Data'!AY12,"")</f>
        <v>0</v>
      </c>
      <c r="CO12">
        <f>IFERROR('Fats Raw Data'!BD12,"")</f>
        <v>0</v>
      </c>
      <c r="CP12">
        <f>IFERROR('Fats Raw Data'!BF12-'Fats Raw Data'!BF13,"")</f>
        <v>0</v>
      </c>
      <c r="CQ12" t="str">
        <f>IFERROR(AVERAGE('Fats Raw Data'!BF12:BF16),"")</f>
        <v/>
      </c>
      <c r="CR12" t="str">
        <f>IFERROR(SUMPRODUCT('Fats Raw Data'!AZ12:AZ31,'Fats Raw Data'!BE12:BE31)/SUM('Fats Raw Data'!BE12:BE31),"")</f>
        <v/>
      </c>
      <c r="CS12">
        <f>IFERROR(SQRT((SUMSQ('Fats Raw Data'!AZ12:AZ31)-2*SUMPRODUCT('Fats Raw Data'!AZ12:AZ31,'Fats Raw Data'!AZ13:AZ32)+SUMSQ('Fats Raw Data'!AZ13:AZ32)-('Fats Raw Data'!AZ12-'Fats Raw Data'!AZ32)^2/20)/19),"")</f>
        <v>0</v>
      </c>
    </row>
    <row r="13" spans="1:97" x14ac:dyDescent="0.25">
      <c r="A13">
        <f>IFERROR('Feeders Raw Data'!A13,"")</f>
        <v>0</v>
      </c>
      <c r="B13">
        <f>IFERROR('Feeders Raw Data'!F13,"")</f>
        <v>0</v>
      </c>
      <c r="C13">
        <f>IFERROR('Feeders Raw Data'!H13-'Feeders Raw Data'!H14,"")</f>
        <v>0</v>
      </c>
      <c r="D13" t="str">
        <f>IFERROR(AVERAGE('Feeders Raw Data'!H13:H17),"")</f>
        <v/>
      </c>
      <c r="E13" t="str">
        <f>IFERROR(SUMPRODUCT('Feeders Raw Data'!B13:B32,'Feeders Raw Data'!G13:G32)/SUM('Feeders Raw Data'!G13:G32),"")</f>
        <v/>
      </c>
      <c r="F13">
        <f>IFERROR(SQRT((SUMSQ('Feeders Raw Data'!B13:B32)-2*SUMPRODUCT('Feeders Raw Data'!B13:B32,'Feeders Raw Data'!B14:B33)+SUMSQ('Feeders Raw Data'!B14:B33)-('Feeders Raw Data'!B13-'Feeders Raw Data'!B33)^2/20)/19),"")</f>
        <v>0</v>
      </c>
      <c r="H13">
        <f>IFERROR('Feeders Raw Data'!K13,"")</f>
        <v>0</v>
      </c>
      <c r="I13">
        <f>IFERROR('Feeders Raw Data'!P13,"")</f>
        <v>0</v>
      </c>
      <c r="J13">
        <f>IFERROR('Feeders Raw Data'!R13-'Feeders Raw Data'!R14,"")</f>
        <v>0</v>
      </c>
      <c r="K13" t="str">
        <f>IFERROR(AVERAGE('Feeders Raw Data'!R13:R17),"")</f>
        <v/>
      </c>
      <c r="L13" t="str">
        <f>IFERROR(SUMPRODUCT('Feeders Raw Data'!L13:L32,'Feeders Raw Data'!Q13:Q32)/SUM('Feeders Raw Data'!Q13:Q32),"")</f>
        <v/>
      </c>
      <c r="M13">
        <f>IFERROR(SQRT((SUMSQ('Feeders Raw Data'!L13:L32)-2*SUMPRODUCT('Feeders Raw Data'!L13:L32,'Feeders Raw Data'!L14:L33)+SUMSQ('Feeders Raw Data'!L14:L33)-('Feeders Raw Data'!L13-'Feeders Raw Data'!L33)^2/20)/19),"")</f>
        <v>0</v>
      </c>
      <c r="O13">
        <f>IFERROR('Feeders Raw Data'!U13,"")</f>
        <v>0</v>
      </c>
      <c r="P13">
        <f>IFERROR('Feeders Raw Data'!Z13,"")</f>
        <v>0</v>
      </c>
      <c r="Q13">
        <f>IFERROR('Feeders Raw Data'!AB13-'Feeders Raw Data'!AB14,"")</f>
        <v>0</v>
      </c>
      <c r="R13" t="str">
        <f>IFERROR(AVERAGE('Feeders Raw Data'!AB13:AB17),"")</f>
        <v/>
      </c>
      <c r="S13" t="str">
        <f>IFERROR(SUMPRODUCT('Feeders Raw Data'!V13:V32,'Feeders Raw Data'!AA13:AA32)/SUM('Feeders Raw Data'!AA13:AA32),"")</f>
        <v/>
      </c>
      <c r="T13">
        <f>IFERROR(SQRT((SUMSQ('Feeders Raw Data'!V13:V32)-2*SUMPRODUCT('Feeders Raw Data'!V13:V32,'Feeders Raw Data'!V14:V33)+SUMSQ('Feeders Raw Data'!V14:V33)-('Feeders Raw Data'!V13-'Feeders Raw Data'!V33)^2/20)/19),"")</f>
        <v>0</v>
      </c>
      <c r="V13">
        <f>IFERROR('Feeders Raw Data'!AE13,"")</f>
        <v>0</v>
      </c>
      <c r="W13">
        <f>IFERROR('Feeders Raw Data'!AJ13,"")</f>
        <v>0</v>
      </c>
      <c r="X13">
        <f>IFERROR('Feeders Raw Data'!AL13-'Feeders Raw Data'!AL14,"")</f>
        <v>0</v>
      </c>
      <c r="Y13" t="str">
        <f>IFERROR(AVERAGE('Feeders Raw Data'!AL13:AL17),"")</f>
        <v/>
      </c>
      <c r="Z13" t="str">
        <f>IFERROR(SUMPRODUCT('Feeders Raw Data'!AF13:AF32,'Feeders Raw Data'!AK13:AK32)/SUM('Feeders Raw Data'!AK13:AK32),"")</f>
        <v/>
      </c>
      <c r="AA13">
        <f>IFERROR(SQRT((SUMSQ('Feeders Raw Data'!AF13:AF32)-2*SUMPRODUCT('Feeders Raw Data'!AF13:AF32,'Feeders Raw Data'!AF14:AF33)+SUMSQ('Feeders Raw Data'!AF14:AF33)-('Feeders Raw Data'!AF13-'Feeders Raw Data'!AF33)^2/20)/19),"")</f>
        <v>0</v>
      </c>
      <c r="AC13">
        <f>IFERROR('Feeders Raw Data'!AO13,"")</f>
        <v>0</v>
      </c>
      <c r="AD13">
        <f>IFERROR('Feeders Raw Data'!AT13,"")</f>
        <v>0</v>
      </c>
      <c r="AE13">
        <f>IFERROR('Feeders Raw Data'!AV13-'Feeders Raw Data'!AV14,"")</f>
        <v>0</v>
      </c>
      <c r="AF13" t="str">
        <f>IFERROR(AVERAGE('Feeders Raw Data'!AV13:AV17),"")</f>
        <v/>
      </c>
      <c r="AG13" t="str">
        <f>IFERROR(SUMPRODUCT('Feeders Raw Data'!AP13:AP32,'Feeders Raw Data'!AU13:AU32)/SUM('Feeders Raw Data'!AU13:AU32),"")</f>
        <v/>
      </c>
      <c r="AH13">
        <f>IFERROR(SQRT((SUMSQ('Feeders Raw Data'!AP13:AP32)-2*SUMPRODUCT('Feeders Raw Data'!AP13:AP32,'Feeders Raw Data'!AP14:AP33)+SUMSQ('Feeders Raw Data'!AP14:AP33)-('Feeders Raw Data'!AP13-'Feeders Raw Data'!AP33)^2/20)/19),"")</f>
        <v>0</v>
      </c>
      <c r="AJ13">
        <f>IFERROR('Feeders Raw Data'!AY13,"")</f>
        <v>0</v>
      </c>
      <c r="AK13">
        <f>IFERROR('Feeders Raw Data'!BD13,"")</f>
        <v>0</v>
      </c>
      <c r="AL13">
        <f>IFERROR('Feeders Raw Data'!BF13-'Feeders Raw Data'!BF14,"")</f>
        <v>0</v>
      </c>
      <c r="AM13" t="str">
        <f>IFERROR(AVERAGE('Feeders Raw Data'!BF13:BF17),"")</f>
        <v/>
      </c>
      <c r="AN13" t="str">
        <f>IFERROR(SUMPRODUCT('Feeders Raw Data'!AZ13:AZ32,'Feeders Raw Data'!BE13:BE32)/SUM('Feeders Raw Data'!BE13:BE32),"")</f>
        <v/>
      </c>
      <c r="AO13">
        <f>IFERROR(SQRT((SUMSQ('Feeders Raw Data'!AZ13:AZ32)-2*SUMPRODUCT('Feeders Raw Data'!AZ13:AZ32,'Feeders Raw Data'!AZ14:AZ33)+SUMSQ('Feeders Raw Data'!AZ14:AZ33)-('Feeders Raw Data'!AZ13-'Feeders Raw Data'!AZ33)^2/20)/19),"")</f>
        <v>0</v>
      </c>
      <c r="AQ13">
        <f>IFERROR('Feeders Raw Data'!BI13,"")</f>
        <v>0</v>
      </c>
      <c r="AR13">
        <f>IFERROR('Feeders Raw Data'!BN13,"")</f>
        <v>0</v>
      </c>
      <c r="AS13">
        <f>IFERROR('Feeders Raw Data'!BP13-'Feeders Raw Data'!BP14,"")</f>
        <v>0</v>
      </c>
      <c r="AT13" t="str">
        <f>IFERROR(AVERAGE('Feeders Raw Data'!BP13:BP17),"")</f>
        <v/>
      </c>
      <c r="AU13" t="str">
        <f>IFERROR(SUMPRODUCT('Feeders Raw Data'!BJ13:BJ32,'Feeders Raw Data'!BO13:BO32)/SUM('Feeders Raw Data'!BO13:BO32),"")</f>
        <v/>
      </c>
      <c r="AV13">
        <f>IFERROR(SQRT((SUMSQ('Feeders Raw Data'!BJ13:BJ32)-2*SUMPRODUCT('Feeders Raw Data'!BJ13:BJ32,'Feeders Raw Data'!BJ14:BJ33)+SUMSQ('Feeders Raw Data'!BJ14:BJ33)-('Feeders Raw Data'!BJ13-'Feeders Raw Data'!BJ33)^2/20)/19),"")</f>
        <v>0</v>
      </c>
      <c r="AX13">
        <f>IFERROR('Feeders Raw Data'!BS13,"")</f>
        <v>0</v>
      </c>
      <c r="AY13">
        <f>IFERROR('Feeders Raw Data'!BX13,"")</f>
        <v>0</v>
      </c>
      <c r="AZ13">
        <f>IFERROR('Feeders Raw Data'!BZ13-'Feeders Raw Data'!BZ14,"")</f>
        <v>0</v>
      </c>
      <c r="BA13" t="str">
        <f>IFERROR(AVERAGE('Feeders Raw Data'!BZ13:BZ17),"")</f>
        <v/>
      </c>
      <c r="BB13" t="str">
        <f>IFERROR(SUMPRODUCT('Feeders Raw Data'!BT13:BT32,'Feeders Raw Data'!BY13:BY32)/SUM('Feeders Raw Data'!BY13:BY32),"")</f>
        <v/>
      </c>
      <c r="BC13">
        <f>IFERROR(SQRT((SUMSQ('Feeders Raw Data'!BT13:BT32)-2*SUMPRODUCT('Feeders Raw Data'!BT13:BT32,'Feeders Raw Data'!BT14:BT33)+SUMSQ('Feeders Raw Data'!BT14:BT33)-('Feeders Raw Data'!BT13-'Feeders Raw Data'!BT33)^2/20)/19),"")</f>
        <v>0</v>
      </c>
      <c r="BE13">
        <f>IFERROR('Fats Raw Data'!A13,"")</f>
        <v>0</v>
      </c>
      <c r="BF13">
        <f>IFERROR('Fats Raw Data'!F13,"")</f>
        <v>0</v>
      </c>
      <c r="BG13">
        <f>IFERROR('Fats Raw Data'!H13-'Fats Raw Data'!H14,"")</f>
        <v>0</v>
      </c>
      <c r="BH13" t="str">
        <f>IFERROR(AVERAGE('Fats Raw Data'!H13:H17),"")</f>
        <v/>
      </c>
      <c r="BI13" t="str">
        <f>IFERROR(SUMPRODUCT('Fats Raw Data'!B13:B32,'Fats Raw Data'!G13:G32)/SUM('Fats Raw Data'!G13:G32),"")</f>
        <v/>
      </c>
      <c r="BJ13">
        <f>IFERROR(SQRT((SUMSQ('Fats Raw Data'!B13:B32)-2*SUMPRODUCT('Fats Raw Data'!B13:B32,'Fats Raw Data'!B14:B33)+SUMSQ('Fats Raw Data'!B14:B33)-('Fats Raw Data'!B13-'Fats Raw Data'!B33)^2/20)/19),"")</f>
        <v>0</v>
      </c>
      <c r="BL13">
        <f>IFERROR('Fats Raw Data'!K13,"")</f>
        <v>0</v>
      </c>
      <c r="BM13">
        <f>IFERROR('Fats Raw Data'!P13,"")</f>
        <v>0</v>
      </c>
      <c r="BN13">
        <f>IFERROR('Fats Raw Data'!R13-'Fats Raw Data'!R14,"")</f>
        <v>0</v>
      </c>
      <c r="BO13" t="str">
        <f>IFERROR(AVERAGE('Fats Raw Data'!R13:R17),"")</f>
        <v/>
      </c>
      <c r="BP13" t="str">
        <f>IFERROR(SUMPRODUCT('Fats Raw Data'!L13:L32,'Fats Raw Data'!Q13:Q32)/SUM('Fats Raw Data'!Q13:Q32),"")</f>
        <v/>
      </c>
      <c r="BQ13">
        <f>IFERROR(SQRT((SUMSQ('Fats Raw Data'!L13:L32)-2*SUMPRODUCT('Fats Raw Data'!L13:L32,'Fats Raw Data'!L14:L33)+SUMSQ('Fats Raw Data'!L14:L33)-('Fats Raw Data'!L13-'Fats Raw Data'!L33)^2/20)/19),"")</f>
        <v>0</v>
      </c>
      <c r="BS13">
        <f>IFERROR('Fats Raw Data'!U13,"")</f>
        <v>0</v>
      </c>
      <c r="BT13">
        <f>IFERROR('Fats Raw Data'!Z13,"")</f>
        <v>0</v>
      </c>
      <c r="BU13">
        <f>IFERROR('Fats Raw Data'!AB13-'Fats Raw Data'!AB14,"")</f>
        <v>0</v>
      </c>
      <c r="BV13" t="str">
        <f>IFERROR(AVERAGE('Fats Raw Data'!AB13:AB17),"")</f>
        <v/>
      </c>
      <c r="BW13" t="str">
        <f>IFERROR(SUMPRODUCT('Fats Raw Data'!V13:V32,'Fats Raw Data'!AA13:AA32)/SUM('Fats Raw Data'!AA13:AA32),"")</f>
        <v/>
      </c>
      <c r="BX13">
        <f>IFERROR(SQRT((SUMSQ('Fats Raw Data'!V13:V32)-2*SUMPRODUCT('Fats Raw Data'!V13:V32,'Fats Raw Data'!V14:V33)+SUMSQ('Fats Raw Data'!V14:V33)-('Fats Raw Data'!V13-'Fats Raw Data'!V33)^2/20)/19),"")</f>
        <v>0</v>
      </c>
      <c r="BZ13">
        <f>IFERROR('Fats Raw Data'!AE13,"")</f>
        <v>0</v>
      </c>
      <c r="CA13">
        <f>IFERROR('Fats Raw Data'!AJ13,"")</f>
        <v>0</v>
      </c>
      <c r="CB13">
        <f>IFERROR('Fats Raw Data'!AL13-'Fats Raw Data'!AL14,"")</f>
        <v>0</v>
      </c>
      <c r="CC13" t="str">
        <f>IFERROR(AVERAGE('Fats Raw Data'!AL13:AL17),"")</f>
        <v/>
      </c>
      <c r="CD13" t="str">
        <f>IFERROR(SUMPRODUCT('Fats Raw Data'!AF13:AF32,'Fats Raw Data'!AK13:AK32)/SUM('Fats Raw Data'!AK13:AK32),"")</f>
        <v/>
      </c>
      <c r="CE13">
        <f>IFERROR(SQRT((SUMSQ('Fats Raw Data'!AF13:AF32)-2*SUMPRODUCT('Fats Raw Data'!AF13:AF32,'Fats Raw Data'!AF14:AF33)+SUMSQ('Fats Raw Data'!AF14:AF33)-('Fats Raw Data'!AF13-'Fats Raw Data'!AF33)^2/20)/19),"")</f>
        <v>0</v>
      </c>
      <c r="CG13">
        <f>IFERROR('Fats Raw Data'!AO13,"")</f>
        <v>0</v>
      </c>
      <c r="CH13">
        <f>IFERROR('Fats Raw Data'!AT13,"")</f>
        <v>0</v>
      </c>
      <c r="CI13">
        <f>IFERROR('Fats Raw Data'!AV13-'Fats Raw Data'!AV14,"")</f>
        <v>0</v>
      </c>
      <c r="CJ13" t="str">
        <f>IFERROR(AVERAGE('Fats Raw Data'!AV13:AV17),"")</f>
        <v/>
      </c>
      <c r="CK13" t="str">
        <f>IFERROR(SUMPRODUCT('Fats Raw Data'!AP13:AP32,'Fats Raw Data'!AU13:AU32)/SUM('Fats Raw Data'!AU13:AU32),"")</f>
        <v/>
      </c>
      <c r="CL13">
        <f>IFERROR(SQRT((SUMSQ('Fats Raw Data'!AP13:AP32)-2*SUMPRODUCT('Fats Raw Data'!AP13:AP32,'Fats Raw Data'!AP14:AP33)+SUMSQ('Fats Raw Data'!AP14:AP33)-('Fats Raw Data'!AP13-'Fats Raw Data'!AP33)^2/20)/19),"")</f>
        <v>0</v>
      </c>
      <c r="CN13">
        <f>IFERROR('Fats Raw Data'!AY13,"")</f>
        <v>0</v>
      </c>
      <c r="CO13">
        <f>IFERROR('Fats Raw Data'!BD13,"")</f>
        <v>0</v>
      </c>
      <c r="CP13">
        <f>IFERROR('Fats Raw Data'!BF13-'Fats Raw Data'!BF14,"")</f>
        <v>0</v>
      </c>
      <c r="CQ13" t="str">
        <f>IFERROR(AVERAGE('Fats Raw Data'!BF13:BF17),"")</f>
        <v/>
      </c>
      <c r="CR13" t="str">
        <f>IFERROR(SUMPRODUCT('Fats Raw Data'!AZ13:AZ32,'Fats Raw Data'!BE13:BE32)/SUM('Fats Raw Data'!BE13:BE32),"")</f>
        <v/>
      </c>
      <c r="CS13">
        <f>IFERROR(SQRT((SUMSQ('Fats Raw Data'!AZ13:AZ32)-2*SUMPRODUCT('Fats Raw Data'!AZ13:AZ32,'Fats Raw Data'!AZ14:AZ33)+SUMSQ('Fats Raw Data'!AZ14:AZ33)-('Fats Raw Data'!AZ13-'Fats Raw Data'!AZ33)^2/20)/19),"")</f>
        <v>0</v>
      </c>
    </row>
    <row r="14" spans="1:97" x14ac:dyDescent="0.25">
      <c r="A14">
        <f>IFERROR('Feeders Raw Data'!A14,"")</f>
        <v>0</v>
      </c>
      <c r="B14">
        <f>IFERROR('Feeders Raw Data'!F14,"")</f>
        <v>0</v>
      </c>
      <c r="C14">
        <f>IFERROR('Feeders Raw Data'!H14-'Feeders Raw Data'!H15,"")</f>
        <v>0</v>
      </c>
      <c r="D14" t="str">
        <f>IFERROR(AVERAGE('Feeders Raw Data'!H14:H18),"")</f>
        <v/>
      </c>
      <c r="E14" t="str">
        <f>IFERROR(SUMPRODUCT('Feeders Raw Data'!B14:B33,'Feeders Raw Data'!G14:G33)/SUM('Feeders Raw Data'!G14:G33),"")</f>
        <v/>
      </c>
      <c r="F14">
        <f>IFERROR(SQRT((SUMSQ('Feeders Raw Data'!B14:B33)-2*SUMPRODUCT('Feeders Raw Data'!B14:B33,'Feeders Raw Data'!B15:B34)+SUMSQ('Feeders Raw Data'!B15:B34)-('Feeders Raw Data'!B14-'Feeders Raw Data'!B34)^2/20)/19),"")</f>
        <v>0</v>
      </c>
      <c r="H14">
        <f>IFERROR('Feeders Raw Data'!K14,"")</f>
        <v>0</v>
      </c>
      <c r="I14">
        <f>IFERROR('Feeders Raw Data'!P14,"")</f>
        <v>0</v>
      </c>
      <c r="J14">
        <f>IFERROR('Feeders Raw Data'!R14-'Feeders Raw Data'!R15,"")</f>
        <v>0</v>
      </c>
      <c r="K14" t="str">
        <f>IFERROR(AVERAGE('Feeders Raw Data'!R14:R18),"")</f>
        <v/>
      </c>
      <c r="L14" t="str">
        <f>IFERROR(SUMPRODUCT('Feeders Raw Data'!L14:L33,'Feeders Raw Data'!Q14:Q33)/SUM('Feeders Raw Data'!Q14:Q33),"")</f>
        <v/>
      </c>
      <c r="M14">
        <f>IFERROR(SQRT((SUMSQ('Feeders Raw Data'!L14:L33)-2*SUMPRODUCT('Feeders Raw Data'!L14:L33,'Feeders Raw Data'!L15:L34)+SUMSQ('Feeders Raw Data'!L15:L34)-('Feeders Raw Data'!L14-'Feeders Raw Data'!L34)^2/20)/19),"")</f>
        <v>0</v>
      </c>
      <c r="O14">
        <f>IFERROR('Feeders Raw Data'!U14,"")</f>
        <v>0</v>
      </c>
      <c r="P14">
        <f>IFERROR('Feeders Raw Data'!Z14,"")</f>
        <v>0</v>
      </c>
      <c r="Q14">
        <f>IFERROR('Feeders Raw Data'!AB14-'Feeders Raw Data'!AB15,"")</f>
        <v>0</v>
      </c>
      <c r="R14" t="str">
        <f>IFERROR(AVERAGE('Feeders Raw Data'!AB14:AB18),"")</f>
        <v/>
      </c>
      <c r="S14" t="str">
        <f>IFERROR(SUMPRODUCT('Feeders Raw Data'!V14:V33,'Feeders Raw Data'!AA14:AA33)/SUM('Feeders Raw Data'!AA14:AA33),"")</f>
        <v/>
      </c>
      <c r="T14">
        <f>IFERROR(SQRT((SUMSQ('Feeders Raw Data'!V14:V33)-2*SUMPRODUCT('Feeders Raw Data'!V14:V33,'Feeders Raw Data'!V15:V34)+SUMSQ('Feeders Raw Data'!V15:V34)-('Feeders Raw Data'!V14-'Feeders Raw Data'!V34)^2/20)/19),"")</f>
        <v>0</v>
      </c>
      <c r="V14">
        <f>IFERROR('Feeders Raw Data'!AE14,"")</f>
        <v>0</v>
      </c>
      <c r="W14">
        <f>IFERROR('Feeders Raw Data'!AJ14,"")</f>
        <v>0</v>
      </c>
      <c r="X14">
        <f>IFERROR('Feeders Raw Data'!AL14-'Feeders Raw Data'!AL15,"")</f>
        <v>0</v>
      </c>
      <c r="Y14" t="str">
        <f>IFERROR(AVERAGE('Feeders Raw Data'!AL14:AL18),"")</f>
        <v/>
      </c>
      <c r="Z14" t="str">
        <f>IFERROR(SUMPRODUCT('Feeders Raw Data'!AF14:AF33,'Feeders Raw Data'!AK14:AK33)/SUM('Feeders Raw Data'!AK14:AK33),"")</f>
        <v/>
      </c>
      <c r="AA14">
        <f>IFERROR(SQRT((SUMSQ('Feeders Raw Data'!AF14:AF33)-2*SUMPRODUCT('Feeders Raw Data'!AF14:AF33,'Feeders Raw Data'!AF15:AF34)+SUMSQ('Feeders Raw Data'!AF15:AF34)-('Feeders Raw Data'!AF14-'Feeders Raw Data'!AF34)^2/20)/19),"")</f>
        <v>0</v>
      </c>
      <c r="AC14">
        <f>IFERROR('Feeders Raw Data'!AO14,"")</f>
        <v>0</v>
      </c>
      <c r="AD14">
        <f>IFERROR('Feeders Raw Data'!AT14,"")</f>
        <v>0</v>
      </c>
      <c r="AE14">
        <f>IFERROR('Feeders Raw Data'!AV14-'Feeders Raw Data'!AV15,"")</f>
        <v>0</v>
      </c>
      <c r="AF14" t="str">
        <f>IFERROR(AVERAGE('Feeders Raw Data'!AV14:AV18),"")</f>
        <v/>
      </c>
      <c r="AG14" t="str">
        <f>IFERROR(SUMPRODUCT('Feeders Raw Data'!AP14:AP33,'Feeders Raw Data'!AU14:AU33)/SUM('Feeders Raw Data'!AU14:AU33),"")</f>
        <v/>
      </c>
      <c r="AH14">
        <f>IFERROR(SQRT((SUMSQ('Feeders Raw Data'!AP14:AP33)-2*SUMPRODUCT('Feeders Raw Data'!AP14:AP33,'Feeders Raw Data'!AP15:AP34)+SUMSQ('Feeders Raw Data'!AP15:AP34)-('Feeders Raw Data'!AP14-'Feeders Raw Data'!AP34)^2/20)/19),"")</f>
        <v>0</v>
      </c>
      <c r="AJ14">
        <f>IFERROR('Feeders Raw Data'!AY14,"")</f>
        <v>0</v>
      </c>
      <c r="AK14">
        <f>IFERROR('Feeders Raw Data'!BD14,"")</f>
        <v>0</v>
      </c>
      <c r="AL14">
        <f>IFERROR('Feeders Raw Data'!BF14-'Feeders Raw Data'!BF15,"")</f>
        <v>0</v>
      </c>
      <c r="AM14" t="str">
        <f>IFERROR(AVERAGE('Feeders Raw Data'!BF14:BF18),"")</f>
        <v/>
      </c>
      <c r="AN14" t="str">
        <f>IFERROR(SUMPRODUCT('Feeders Raw Data'!AZ14:AZ33,'Feeders Raw Data'!BE14:BE33)/SUM('Feeders Raw Data'!BE14:BE33),"")</f>
        <v/>
      </c>
      <c r="AO14">
        <f>IFERROR(SQRT((SUMSQ('Feeders Raw Data'!AZ14:AZ33)-2*SUMPRODUCT('Feeders Raw Data'!AZ14:AZ33,'Feeders Raw Data'!AZ15:AZ34)+SUMSQ('Feeders Raw Data'!AZ15:AZ34)-('Feeders Raw Data'!AZ14-'Feeders Raw Data'!AZ34)^2/20)/19),"")</f>
        <v>0</v>
      </c>
      <c r="AQ14">
        <f>IFERROR('Feeders Raw Data'!BI14,"")</f>
        <v>0</v>
      </c>
      <c r="AR14">
        <f>IFERROR('Feeders Raw Data'!BN14,"")</f>
        <v>0</v>
      </c>
      <c r="AS14">
        <f>IFERROR('Feeders Raw Data'!BP14-'Feeders Raw Data'!BP15,"")</f>
        <v>0</v>
      </c>
      <c r="AT14" t="str">
        <f>IFERROR(AVERAGE('Feeders Raw Data'!BP14:BP18),"")</f>
        <v/>
      </c>
      <c r="AU14" t="str">
        <f>IFERROR(SUMPRODUCT('Feeders Raw Data'!BJ14:BJ33,'Feeders Raw Data'!BO14:BO33)/SUM('Feeders Raw Data'!BO14:BO33),"")</f>
        <v/>
      </c>
      <c r="AV14">
        <f>IFERROR(SQRT((SUMSQ('Feeders Raw Data'!BJ14:BJ33)-2*SUMPRODUCT('Feeders Raw Data'!BJ14:BJ33,'Feeders Raw Data'!BJ15:BJ34)+SUMSQ('Feeders Raw Data'!BJ15:BJ34)-('Feeders Raw Data'!BJ14-'Feeders Raw Data'!BJ34)^2/20)/19),"")</f>
        <v>0</v>
      </c>
      <c r="AX14">
        <f>IFERROR('Feeders Raw Data'!BS14,"")</f>
        <v>0</v>
      </c>
      <c r="AY14">
        <f>IFERROR('Feeders Raw Data'!BX14,"")</f>
        <v>0</v>
      </c>
      <c r="AZ14">
        <f>IFERROR('Feeders Raw Data'!BZ14-'Feeders Raw Data'!BZ15,"")</f>
        <v>0</v>
      </c>
      <c r="BA14" t="str">
        <f>IFERROR(AVERAGE('Feeders Raw Data'!BZ14:BZ18),"")</f>
        <v/>
      </c>
      <c r="BB14" t="str">
        <f>IFERROR(SUMPRODUCT('Feeders Raw Data'!BT14:BT33,'Feeders Raw Data'!BY14:BY33)/SUM('Feeders Raw Data'!BY14:BY33),"")</f>
        <v/>
      </c>
      <c r="BC14">
        <f>IFERROR(SQRT((SUMSQ('Feeders Raw Data'!BT14:BT33)-2*SUMPRODUCT('Feeders Raw Data'!BT14:BT33,'Feeders Raw Data'!BT15:BT34)+SUMSQ('Feeders Raw Data'!BT15:BT34)-('Feeders Raw Data'!BT14-'Feeders Raw Data'!BT34)^2/20)/19),"")</f>
        <v>0</v>
      </c>
      <c r="BE14">
        <f>IFERROR('Fats Raw Data'!A14,"")</f>
        <v>0</v>
      </c>
      <c r="BF14">
        <f>IFERROR('Fats Raw Data'!F14,"")</f>
        <v>0</v>
      </c>
      <c r="BG14">
        <f>IFERROR('Fats Raw Data'!H14-'Fats Raw Data'!H15,"")</f>
        <v>0</v>
      </c>
      <c r="BH14" t="str">
        <f>IFERROR(AVERAGE('Fats Raw Data'!H14:H18),"")</f>
        <v/>
      </c>
      <c r="BI14" t="str">
        <f>IFERROR(SUMPRODUCT('Fats Raw Data'!B14:B33,'Fats Raw Data'!G14:G33)/SUM('Fats Raw Data'!G14:G33),"")</f>
        <v/>
      </c>
      <c r="BJ14">
        <f>IFERROR(SQRT((SUMSQ('Fats Raw Data'!B14:B33)-2*SUMPRODUCT('Fats Raw Data'!B14:B33,'Fats Raw Data'!B15:B34)+SUMSQ('Fats Raw Data'!B15:B34)-('Fats Raw Data'!B14-'Fats Raw Data'!B34)^2/20)/19),"")</f>
        <v>0</v>
      </c>
      <c r="BL14">
        <f>IFERROR('Fats Raw Data'!K14,"")</f>
        <v>0</v>
      </c>
      <c r="BM14">
        <f>IFERROR('Fats Raw Data'!P14,"")</f>
        <v>0</v>
      </c>
      <c r="BN14">
        <f>IFERROR('Fats Raw Data'!R14-'Fats Raw Data'!R15,"")</f>
        <v>0</v>
      </c>
      <c r="BO14" t="str">
        <f>IFERROR(AVERAGE('Fats Raw Data'!R14:R18),"")</f>
        <v/>
      </c>
      <c r="BP14" t="str">
        <f>IFERROR(SUMPRODUCT('Fats Raw Data'!L14:L33,'Fats Raw Data'!Q14:Q33)/SUM('Fats Raw Data'!Q14:Q33),"")</f>
        <v/>
      </c>
      <c r="BQ14">
        <f>IFERROR(SQRT((SUMSQ('Fats Raw Data'!L14:L33)-2*SUMPRODUCT('Fats Raw Data'!L14:L33,'Fats Raw Data'!L15:L34)+SUMSQ('Fats Raw Data'!L15:L34)-('Fats Raw Data'!L14-'Fats Raw Data'!L34)^2/20)/19),"")</f>
        <v>0</v>
      </c>
      <c r="BS14">
        <f>IFERROR('Fats Raw Data'!U14,"")</f>
        <v>0</v>
      </c>
      <c r="BT14">
        <f>IFERROR('Fats Raw Data'!Z14,"")</f>
        <v>0</v>
      </c>
      <c r="BU14">
        <f>IFERROR('Fats Raw Data'!AB14-'Fats Raw Data'!AB15,"")</f>
        <v>0</v>
      </c>
      <c r="BV14" t="str">
        <f>IFERROR(AVERAGE('Fats Raw Data'!AB14:AB18),"")</f>
        <v/>
      </c>
      <c r="BW14" t="str">
        <f>IFERROR(SUMPRODUCT('Fats Raw Data'!V14:V33,'Fats Raw Data'!AA14:AA33)/SUM('Fats Raw Data'!AA14:AA33),"")</f>
        <v/>
      </c>
      <c r="BX14">
        <f>IFERROR(SQRT((SUMSQ('Fats Raw Data'!V14:V33)-2*SUMPRODUCT('Fats Raw Data'!V14:V33,'Fats Raw Data'!V15:V34)+SUMSQ('Fats Raw Data'!V15:V34)-('Fats Raw Data'!V14-'Fats Raw Data'!V34)^2/20)/19),"")</f>
        <v>0</v>
      </c>
      <c r="BZ14">
        <f>IFERROR('Fats Raw Data'!AE14,"")</f>
        <v>0</v>
      </c>
      <c r="CA14">
        <f>IFERROR('Fats Raw Data'!AJ14,"")</f>
        <v>0</v>
      </c>
      <c r="CB14">
        <f>IFERROR('Fats Raw Data'!AL14-'Fats Raw Data'!AL15,"")</f>
        <v>0</v>
      </c>
      <c r="CC14" t="str">
        <f>IFERROR(AVERAGE('Fats Raw Data'!AL14:AL18),"")</f>
        <v/>
      </c>
      <c r="CD14" t="str">
        <f>IFERROR(SUMPRODUCT('Fats Raw Data'!AF14:AF33,'Fats Raw Data'!AK14:AK33)/SUM('Fats Raw Data'!AK14:AK33),"")</f>
        <v/>
      </c>
      <c r="CE14">
        <f>IFERROR(SQRT((SUMSQ('Fats Raw Data'!AF14:AF33)-2*SUMPRODUCT('Fats Raw Data'!AF14:AF33,'Fats Raw Data'!AF15:AF34)+SUMSQ('Fats Raw Data'!AF15:AF34)-('Fats Raw Data'!AF14-'Fats Raw Data'!AF34)^2/20)/19),"")</f>
        <v>0</v>
      </c>
      <c r="CG14">
        <f>IFERROR('Fats Raw Data'!AO14,"")</f>
        <v>0</v>
      </c>
      <c r="CH14">
        <f>IFERROR('Fats Raw Data'!AT14,"")</f>
        <v>0</v>
      </c>
      <c r="CI14">
        <f>IFERROR('Fats Raw Data'!AV14-'Fats Raw Data'!AV15,"")</f>
        <v>0</v>
      </c>
      <c r="CJ14" t="str">
        <f>IFERROR(AVERAGE('Fats Raw Data'!AV14:AV18),"")</f>
        <v/>
      </c>
      <c r="CK14" t="str">
        <f>IFERROR(SUMPRODUCT('Fats Raw Data'!AP14:AP33,'Fats Raw Data'!AU14:AU33)/SUM('Fats Raw Data'!AU14:AU33),"")</f>
        <v/>
      </c>
      <c r="CL14">
        <f>IFERROR(SQRT((SUMSQ('Fats Raw Data'!AP14:AP33)-2*SUMPRODUCT('Fats Raw Data'!AP14:AP33,'Fats Raw Data'!AP15:AP34)+SUMSQ('Fats Raw Data'!AP15:AP34)-('Fats Raw Data'!AP14-'Fats Raw Data'!AP34)^2/20)/19),"")</f>
        <v>0</v>
      </c>
      <c r="CN14">
        <f>IFERROR('Fats Raw Data'!AY14,"")</f>
        <v>0</v>
      </c>
      <c r="CO14">
        <f>IFERROR('Fats Raw Data'!BD14,"")</f>
        <v>0</v>
      </c>
      <c r="CP14">
        <f>IFERROR('Fats Raw Data'!BF14-'Fats Raw Data'!BF15,"")</f>
        <v>0</v>
      </c>
      <c r="CQ14" t="str">
        <f>IFERROR(AVERAGE('Fats Raw Data'!BF14:BF18),"")</f>
        <v/>
      </c>
      <c r="CR14" t="str">
        <f>IFERROR(SUMPRODUCT('Fats Raw Data'!AZ14:AZ33,'Fats Raw Data'!BE14:BE33)/SUM('Fats Raw Data'!BE14:BE33),"")</f>
        <v/>
      </c>
      <c r="CS14">
        <f>IFERROR(SQRT((SUMSQ('Fats Raw Data'!AZ14:AZ33)-2*SUMPRODUCT('Fats Raw Data'!AZ14:AZ33,'Fats Raw Data'!AZ15:AZ34)+SUMSQ('Fats Raw Data'!AZ15:AZ34)-('Fats Raw Data'!AZ14-'Fats Raw Data'!AZ34)^2/20)/19),"")</f>
        <v>0</v>
      </c>
    </row>
    <row r="15" spans="1:97" x14ac:dyDescent="0.25">
      <c r="A15">
        <f>IFERROR('Feeders Raw Data'!A15,"")</f>
        <v>0</v>
      </c>
      <c r="B15">
        <f>IFERROR('Feeders Raw Data'!F15,"")</f>
        <v>0</v>
      </c>
      <c r="C15">
        <f>IFERROR('Feeders Raw Data'!H15-'Feeders Raw Data'!H16,"")</f>
        <v>0</v>
      </c>
      <c r="D15" t="str">
        <f>IFERROR(AVERAGE('Feeders Raw Data'!H15:H19),"")</f>
        <v/>
      </c>
      <c r="E15" t="str">
        <f>IFERROR(SUMPRODUCT('Feeders Raw Data'!B15:B34,'Feeders Raw Data'!G15:G34)/SUM('Feeders Raw Data'!G15:G34),"")</f>
        <v/>
      </c>
      <c r="F15">
        <f>IFERROR(SQRT((SUMSQ('Feeders Raw Data'!B15:B34)-2*SUMPRODUCT('Feeders Raw Data'!B15:B34,'Feeders Raw Data'!B16:B35)+SUMSQ('Feeders Raw Data'!B16:B35)-('Feeders Raw Data'!B15-'Feeders Raw Data'!B35)^2/20)/19),"")</f>
        <v>0</v>
      </c>
      <c r="H15">
        <f>IFERROR('Feeders Raw Data'!K15,"")</f>
        <v>0</v>
      </c>
      <c r="I15">
        <f>IFERROR('Feeders Raw Data'!P15,"")</f>
        <v>0</v>
      </c>
      <c r="J15">
        <f>IFERROR('Feeders Raw Data'!R15-'Feeders Raw Data'!R16,"")</f>
        <v>0</v>
      </c>
      <c r="K15" t="str">
        <f>IFERROR(AVERAGE('Feeders Raw Data'!R15:R19),"")</f>
        <v/>
      </c>
      <c r="L15" t="str">
        <f>IFERROR(SUMPRODUCT('Feeders Raw Data'!L15:L34,'Feeders Raw Data'!Q15:Q34)/SUM('Feeders Raw Data'!Q15:Q34),"")</f>
        <v/>
      </c>
      <c r="M15">
        <f>IFERROR(SQRT((SUMSQ('Feeders Raw Data'!L15:L34)-2*SUMPRODUCT('Feeders Raw Data'!L15:L34,'Feeders Raw Data'!L16:L35)+SUMSQ('Feeders Raw Data'!L16:L35)-('Feeders Raw Data'!L15-'Feeders Raw Data'!L35)^2/20)/19),"")</f>
        <v>0</v>
      </c>
      <c r="O15">
        <f>IFERROR('Feeders Raw Data'!U15,"")</f>
        <v>0</v>
      </c>
      <c r="P15">
        <f>IFERROR('Feeders Raw Data'!Z15,"")</f>
        <v>0</v>
      </c>
      <c r="Q15">
        <f>IFERROR('Feeders Raw Data'!AB15-'Feeders Raw Data'!AB16,"")</f>
        <v>0</v>
      </c>
      <c r="R15" t="str">
        <f>IFERROR(AVERAGE('Feeders Raw Data'!AB15:AB19),"")</f>
        <v/>
      </c>
      <c r="S15" t="str">
        <f>IFERROR(SUMPRODUCT('Feeders Raw Data'!V15:V34,'Feeders Raw Data'!AA15:AA34)/SUM('Feeders Raw Data'!AA15:AA34),"")</f>
        <v/>
      </c>
      <c r="T15">
        <f>IFERROR(SQRT((SUMSQ('Feeders Raw Data'!V15:V34)-2*SUMPRODUCT('Feeders Raw Data'!V15:V34,'Feeders Raw Data'!V16:V35)+SUMSQ('Feeders Raw Data'!V16:V35)-('Feeders Raw Data'!V15-'Feeders Raw Data'!V35)^2/20)/19),"")</f>
        <v>0</v>
      </c>
      <c r="V15">
        <f>IFERROR('Feeders Raw Data'!AE15,"")</f>
        <v>0</v>
      </c>
      <c r="W15">
        <f>IFERROR('Feeders Raw Data'!AJ15,"")</f>
        <v>0</v>
      </c>
      <c r="X15">
        <f>IFERROR('Feeders Raw Data'!AL15-'Feeders Raw Data'!AL16,"")</f>
        <v>0</v>
      </c>
      <c r="Y15" t="str">
        <f>IFERROR(AVERAGE('Feeders Raw Data'!AL15:AL19),"")</f>
        <v/>
      </c>
      <c r="Z15" t="str">
        <f>IFERROR(SUMPRODUCT('Feeders Raw Data'!AF15:AF34,'Feeders Raw Data'!AK15:AK34)/SUM('Feeders Raw Data'!AK15:AK34),"")</f>
        <v/>
      </c>
      <c r="AA15">
        <f>IFERROR(SQRT((SUMSQ('Feeders Raw Data'!AF15:AF34)-2*SUMPRODUCT('Feeders Raw Data'!AF15:AF34,'Feeders Raw Data'!AF16:AF35)+SUMSQ('Feeders Raw Data'!AF16:AF35)-('Feeders Raw Data'!AF15-'Feeders Raw Data'!AF35)^2/20)/19),"")</f>
        <v>0</v>
      </c>
      <c r="AC15">
        <f>IFERROR('Feeders Raw Data'!AO15,"")</f>
        <v>0</v>
      </c>
      <c r="AD15">
        <f>IFERROR('Feeders Raw Data'!AT15,"")</f>
        <v>0</v>
      </c>
      <c r="AE15">
        <f>IFERROR('Feeders Raw Data'!AV15-'Feeders Raw Data'!AV16,"")</f>
        <v>0</v>
      </c>
      <c r="AF15" t="str">
        <f>IFERROR(AVERAGE('Feeders Raw Data'!AV15:AV19),"")</f>
        <v/>
      </c>
      <c r="AG15" t="str">
        <f>IFERROR(SUMPRODUCT('Feeders Raw Data'!AP15:AP34,'Feeders Raw Data'!AU15:AU34)/SUM('Feeders Raw Data'!AU15:AU34),"")</f>
        <v/>
      </c>
      <c r="AH15">
        <f>IFERROR(SQRT((SUMSQ('Feeders Raw Data'!AP15:AP34)-2*SUMPRODUCT('Feeders Raw Data'!AP15:AP34,'Feeders Raw Data'!AP16:AP35)+SUMSQ('Feeders Raw Data'!AP16:AP35)-('Feeders Raw Data'!AP15-'Feeders Raw Data'!AP35)^2/20)/19),"")</f>
        <v>0</v>
      </c>
      <c r="AJ15">
        <f>IFERROR('Feeders Raw Data'!AY15,"")</f>
        <v>0</v>
      </c>
      <c r="AK15">
        <f>IFERROR('Feeders Raw Data'!BD15,"")</f>
        <v>0</v>
      </c>
      <c r="AL15">
        <f>IFERROR('Feeders Raw Data'!BF15-'Feeders Raw Data'!BF16,"")</f>
        <v>0</v>
      </c>
      <c r="AM15" t="str">
        <f>IFERROR(AVERAGE('Feeders Raw Data'!BF15:BF19),"")</f>
        <v/>
      </c>
      <c r="AN15" t="str">
        <f>IFERROR(SUMPRODUCT('Feeders Raw Data'!AZ15:AZ34,'Feeders Raw Data'!BE15:BE34)/SUM('Feeders Raw Data'!BE15:BE34),"")</f>
        <v/>
      </c>
      <c r="AO15">
        <f>IFERROR(SQRT((SUMSQ('Feeders Raw Data'!AZ15:AZ34)-2*SUMPRODUCT('Feeders Raw Data'!AZ15:AZ34,'Feeders Raw Data'!AZ16:AZ35)+SUMSQ('Feeders Raw Data'!AZ16:AZ35)-('Feeders Raw Data'!AZ15-'Feeders Raw Data'!AZ35)^2/20)/19),"")</f>
        <v>0</v>
      </c>
      <c r="AQ15">
        <f>IFERROR('Feeders Raw Data'!BI15,"")</f>
        <v>0</v>
      </c>
      <c r="AR15">
        <f>IFERROR('Feeders Raw Data'!BN15,"")</f>
        <v>0</v>
      </c>
      <c r="AS15">
        <f>IFERROR('Feeders Raw Data'!BP15-'Feeders Raw Data'!BP16,"")</f>
        <v>0</v>
      </c>
      <c r="AT15" t="str">
        <f>IFERROR(AVERAGE('Feeders Raw Data'!BP15:BP19),"")</f>
        <v/>
      </c>
      <c r="AU15" t="str">
        <f>IFERROR(SUMPRODUCT('Feeders Raw Data'!BJ15:BJ34,'Feeders Raw Data'!BO15:BO34)/SUM('Feeders Raw Data'!BO15:BO34),"")</f>
        <v/>
      </c>
      <c r="AV15">
        <f>IFERROR(SQRT((SUMSQ('Feeders Raw Data'!BJ15:BJ34)-2*SUMPRODUCT('Feeders Raw Data'!BJ15:BJ34,'Feeders Raw Data'!BJ16:BJ35)+SUMSQ('Feeders Raw Data'!BJ16:BJ35)-('Feeders Raw Data'!BJ15-'Feeders Raw Data'!BJ35)^2/20)/19),"")</f>
        <v>0</v>
      </c>
      <c r="AX15">
        <f>IFERROR('Feeders Raw Data'!BS15,"")</f>
        <v>0</v>
      </c>
      <c r="AY15">
        <f>IFERROR('Feeders Raw Data'!BX15,"")</f>
        <v>0</v>
      </c>
      <c r="AZ15">
        <f>IFERROR('Feeders Raw Data'!BZ15-'Feeders Raw Data'!BZ16,"")</f>
        <v>0</v>
      </c>
      <c r="BA15" t="str">
        <f>IFERROR(AVERAGE('Feeders Raw Data'!BZ15:BZ19),"")</f>
        <v/>
      </c>
      <c r="BB15" t="str">
        <f>IFERROR(SUMPRODUCT('Feeders Raw Data'!BT15:BT34,'Feeders Raw Data'!BY15:BY34)/SUM('Feeders Raw Data'!BY15:BY34),"")</f>
        <v/>
      </c>
      <c r="BC15">
        <f>IFERROR(SQRT((SUMSQ('Feeders Raw Data'!BT15:BT34)-2*SUMPRODUCT('Feeders Raw Data'!BT15:BT34,'Feeders Raw Data'!BT16:BT35)+SUMSQ('Feeders Raw Data'!BT16:BT35)-('Feeders Raw Data'!BT15-'Feeders Raw Data'!BT35)^2/20)/19),"")</f>
        <v>0</v>
      </c>
      <c r="BE15">
        <f>IFERROR('Fats Raw Data'!A15,"")</f>
        <v>0</v>
      </c>
      <c r="BF15">
        <f>IFERROR('Fats Raw Data'!F15,"")</f>
        <v>0</v>
      </c>
      <c r="BG15">
        <f>IFERROR('Fats Raw Data'!H15-'Fats Raw Data'!H16,"")</f>
        <v>0</v>
      </c>
      <c r="BH15" t="str">
        <f>IFERROR(AVERAGE('Fats Raw Data'!H15:H19),"")</f>
        <v/>
      </c>
      <c r="BI15" t="str">
        <f>IFERROR(SUMPRODUCT('Fats Raw Data'!B15:B34,'Fats Raw Data'!G15:G34)/SUM('Fats Raw Data'!G15:G34),"")</f>
        <v/>
      </c>
      <c r="BJ15">
        <f>IFERROR(SQRT((SUMSQ('Fats Raw Data'!B15:B34)-2*SUMPRODUCT('Fats Raw Data'!B15:B34,'Fats Raw Data'!B16:B35)+SUMSQ('Fats Raw Data'!B16:B35)-('Fats Raw Data'!B15-'Fats Raw Data'!B35)^2/20)/19),"")</f>
        <v>0</v>
      </c>
      <c r="BL15">
        <f>IFERROR('Fats Raw Data'!K15,"")</f>
        <v>0</v>
      </c>
      <c r="BM15">
        <f>IFERROR('Fats Raw Data'!P15,"")</f>
        <v>0</v>
      </c>
      <c r="BN15">
        <f>IFERROR('Fats Raw Data'!R15-'Fats Raw Data'!R16,"")</f>
        <v>0</v>
      </c>
      <c r="BO15" t="str">
        <f>IFERROR(AVERAGE('Fats Raw Data'!R15:R19),"")</f>
        <v/>
      </c>
      <c r="BP15" t="str">
        <f>IFERROR(SUMPRODUCT('Fats Raw Data'!L15:L34,'Fats Raw Data'!Q15:Q34)/SUM('Fats Raw Data'!Q15:Q34),"")</f>
        <v/>
      </c>
      <c r="BQ15">
        <f>IFERROR(SQRT((SUMSQ('Fats Raw Data'!L15:L34)-2*SUMPRODUCT('Fats Raw Data'!L15:L34,'Fats Raw Data'!L16:L35)+SUMSQ('Fats Raw Data'!L16:L35)-('Fats Raw Data'!L15-'Fats Raw Data'!L35)^2/20)/19),"")</f>
        <v>0</v>
      </c>
      <c r="BS15">
        <f>IFERROR('Fats Raw Data'!U15,"")</f>
        <v>0</v>
      </c>
      <c r="BT15">
        <f>IFERROR('Fats Raw Data'!Z15,"")</f>
        <v>0</v>
      </c>
      <c r="BU15">
        <f>IFERROR('Fats Raw Data'!AB15-'Fats Raw Data'!AB16,"")</f>
        <v>0</v>
      </c>
      <c r="BV15" t="str">
        <f>IFERROR(AVERAGE('Fats Raw Data'!AB15:AB19),"")</f>
        <v/>
      </c>
      <c r="BW15" t="str">
        <f>IFERROR(SUMPRODUCT('Fats Raw Data'!V15:V34,'Fats Raw Data'!AA15:AA34)/SUM('Fats Raw Data'!AA15:AA34),"")</f>
        <v/>
      </c>
      <c r="BX15">
        <f>IFERROR(SQRT((SUMSQ('Fats Raw Data'!V15:V34)-2*SUMPRODUCT('Fats Raw Data'!V15:V34,'Fats Raw Data'!V16:V35)+SUMSQ('Fats Raw Data'!V16:V35)-('Fats Raw Data'!V15-'Fats Raw Data'!V35)^2/20)/19),"")</f>
        <v>0</v>
      </c>
      <c r="BZ15">
        <f>IFERROR('Fats Raw Data'!AE15,"")</f>
        <v>0</v>
      </c>
      <c r="CA15">
        <f>IFERROR('Fats Raw Data'!AJ15,"")</f>
        <v>0</v>
      </c>
      <c r="CB15">
        <f>IFERROR('Fats Raw Data'!AL15-'Fats Raw Data'!AL16,"")</f>
        <v>0</v>
      </c>
      <c r="CC15" t="str">
        <f>IFERROR(AVERAGE('Fats Raw Data'!AL15:AL19),"")</f>
        <v/>
      </c>
      <c r="CD15" t="str">
        <f>IFERROR(SUMPRODUCT('Fats Raw Data'!AF15:AF34,'Fats Raw Data'!AK15:AK34)/SUM('Fats Raw Data'!AK15:AK34),"")</f>
        <v/>
      </c>
      <c r="CE15">
        <f>IFERROR(SQRT((SUMSQ('Fats Raw Data'!AF15:AF34)-2*SUMPRODUCT('Fats Raw Data'!AF15:AF34,'Fats Raw Data'!AF16:AF35)+SUMSQ('Fats Raw Data'!AF16:AF35)-('Fats Raw Data'!AF15-'Fats Raw Data'!AF35)^2/20)/19),"")</f>
        <v>0</v>
      </c>
      <c r="CG15">
        <f>IFERROR('Fats Raw Data'!AO15,"")</f>
        <v>0</v>
      </c>
      <c r="CH15">
        <f>IFERROR('Fats Raw Data'!AT15,"")</f>
        <v>0</v>
      </c>
      <c r="CI15">
        <f>IFERROR('Fats Raw Data'!AV15-'Fats Raw Data'!AV16,"")</f>
        <v>0</v>
      </c>
      <c r="CJ15" t="str">
        <f>IFERROR(AVERAGE('Fats Raw Data'!AV15:AV19),"")</f>
        <v/>
      </c>
      <c r="CK15" t="str">
        <f>IFERROR(SUMPRODUCT('Fats Raw Data'!AP15:AP34,'Fats Raw Data'!AU15:AU34)/SUM('Fats Raw Data'!AU15:AU34),"")</f>
        <v/>
      </c>
      <c r="CL15">
        <f>IFERROR(SQRT((SUMSQ('Fats Raw Data'!AP15:AP34)-2*SUMPRODUCT('Fats Raw Data'!AP15:AP34,'Fats Raw Data'!AP16:AP35)+SUMSQ('Fats Raw Data'!AP16:AP35)-('Fats Raw Data'!AP15-'Fats Raw Data'!AP35)^2/20)/19),"")</f>
        <v>0</v>
      </c>
      <c r="CN15">
        <f>IFERROR('Fats Raw Data'!AY15,"")</f>
        <v>0</v>
      </c>
      <c r="CO15">
        <f>IFERROR('Fats Raw Data'!BD15,"")</f>
        <v>0</v>
      </c>
      <c r="CP15">
        <f>IFERROR('Fats Raw Data'!BF15-'Fats Raw Data'!BF16,"")</f>
        <v>0</v>
      </c>
      <c r="CQ15" t="str">
        <f>IFERROR(AVERAGE('Fats Raw Data'!BF15:BF19),"")</f>
        <v/>
      </c>
      <c r="CR15" t="str">
        <f>IFERROR(SUMPRODUCT('Fats Raw Data'!AZ15:AZ34,'Fats Raw Data'!BE15:BE34)/SUM('Fats Raw Data'!BE15:BE34),"")</f>
        <v/>
      </c>
      <c r="CS15">
        <f>IFERROR(SQRT((SUMSQ('Fats Raw Data'!AZ15:AZ34)-2*SUMPRODUCT('Fats Raw Data'!AZ15:AZ34,'Fats Raw Data'!AZ16:AZ35)+SUMSQ('Fats Raw Data'!AZ16:AZ35)-('Fats Raw Data'!AZ15-'Fats Raw Data'!AZ35)^2/20)/19),"")</f>
        <v>0</v>
      </c>
    </row>
    <row r="16" spans="1:97" x14ac:dyDescent="0.25">
      <c r="A16">
        <f>IFERROR('Feeders Raw Data'!A16,"")</f>
        <v>0</v>
      </c>
      <c r="B16">
        <f>IFERROR('Feeders Raw Data'!F16,"")</f>
        <v>0</v>
      </c>
      <c r="C16">
        <f>IFERROR('Feeders Raw Data'!H16-'Feeders Raw Data'!H17,"")</f>
        <v>0</v>
      </c>
      <c r="D16" t="str">
        <f>IFERROR(AVERAGE('Feeders Raw Data'!H16:H20),"")</f>
        <v/>
      </c>
      <c r="E16" t="str">
        <f>IFERROR(SUMPRODUCT('Feeders Raw Data'!B16:B35,'Feeders Raw Data'!G16:G35)/SUM('Feeders Raw Data'!G16:G35),"")</f>
        <v/>
      </c>
      <c r="F16">
        <f>IFERROR(SQRT((SUMSQ('Feeders Raw Data'!B16:B35)-2*SUMPRODUCT('Feeders Raw Data'!B16:B35,'Feeders Raw Data'!B17:B36)+SUMSQ('Feeders Raw Data'!B17:B36)-('Feeders Raw Data'!B16-'Feeders Raw Data'!B36)^2/20)/19),"")</f>
        <v>0</v>
      </c>
      <c r="H16">
        <f>IFERROR('Feeders Raw Data'!K16,"")</f>
        <v>0</v>
      </c>
      <c r="I16">
        <f>IFERROR('Feeders Raw Data'!P16,"")</f>
        <v>0</v>
      </c>
      <c r="J16">
        <f>IFERROR('Feeders Raw Data'!R16-'Feeders Raw Data'!R17,"")</f>
        <v>0</v>
      </c>
      <c r="K16" t="str">
        <f>IFERROR(AVERAGE('Feeders Raw Data'!R16:R20),"")</f>
        <v/>
      </c>
      <c r="L16" t="str">
        <f>IFERROR(SUMPRODUCT('Feeders Raw Data'!L16:L35,'Feeders Raw Data'!Q16:Q35)/SUM('Feeders Raw Data'!Q16:Q35),"")</f>
        <v/>
      </c>
      <c r="M16">
        <f>IFERROR(SQRT((SUMSQ('Feeders Raw Data'!L16:L35)-2*SUMPRODUCT('Feeders Raw Data'!L16:L35,'Feeders Raw Data'!L17:L36)+SUMSQ('Feeders Raw Data'!L17:L36)-('Feeders Raw Data'!L16-'Feeders Raw Data'!L36)^2/20)/19),"")</f>
        <v>0</v>
      </c>
      <c r="O16">
        <f>IFERROR('Feeders Raw Data'!U16,"")</f>
        <v>0</v>
      </c>
      <c r="P16">
        <f>IFERROR('Feeders Raw Data'!Z16,"")</f>
        <v>0</v>
      </c>
      <c r="Q16">
        <f>IFERROR('Feeders Raw Data'!AB16-'Feeders Raw Data'!AB17,"")</f>
        <v>0</v>
      </c>
      <c r="R16" t="str">
        <f>IFERROR(AVERAGE('Feeders Raw Data'!AB16:AB20),"")</f>
        <v/>
      </c>
      <c r="S16" t="str">
        <f>IFERROR(SUMPRODUCT('Feeders Raw Data'!V16:V35,'Feeders Raw Data'!AA16:AA35)/SUM('Feeders Raw Data'!AA16:AA35),"")</f>
        <v/>
      </c>
      <c r="T16">
        <f>IFERROR(SQRT((SUMSQ('Feeders Raw Data'!V16:V35)-2*SUMPRODUCT('Feeders Raw Data'!V16:V35,'Feeders Raw Data'!V17:V36)+SUMSQ('Feeders Raw Data'!V17:V36)-('Feeders Raw Data'!V16-'Feeders Raw Data'!V36)^2/20)/19),"")</f>
        <v>0</v>
      </c>
      <c r="V16">
        <f>IFERROR('Feeders Raw Data'!AE16,"")</f>
        <v>0</v>
      </c>
      <c r="W16">
        <f>IFERROR('Feeders Raw Data'!AJ16,"")</f>
        <v>0</v>
      </c>
      <c r="X16">
        <f>IFERROR('Feeders Raw Data'!AL16-'Feeders Raw Data'!AL17,"")</f>
        <v>0</v>
      </c>
      <c r="Y16" t="str">
        <f>IFERROR(AVERAGE('Feeders Raw Data'!AL16:AL20),"")</f>
        <v/>
      </c>
      <c r="Z16" t="str">
        <f>IFERROR(SUMPRODUCT('Feeders Raw Data'!AF16:AF35,'Feeders Raw Data'!AK16:AK35)/SUM('Feeders Raw Data'!AK16:AK35),"")</f>
        <v/>
      </c>
      <c r="AA16">
        <f>IFERROR(SQRT((SUMSQ('Feeders Raw Data'!AF16:AF35)-2*SUMPRODUCT('Feeders Raw Data'!AF16:AF35,'Feeders Raw Data'!AF17:AF36)+SUMSQ('Feeders Raw Data'!AF17:AF36)-('Feeders Raw Data'!AF16-'Feeders Raw Data'!AF36)^2/20)/19),"")</f>
        <v>0</v>
      </c>
      <c r="AC16">
        <f>IFERROR('Feeders Raw Data'!AO16,"")</f>
        <v>0</v>
      </c>
      <c r="AD16">
        <f>IFERROR('Feeders Raw Data'!AT16,"")</f>
        <v>0</v>
      </c>
      <c r="AE16">
        <f>IFERROR('Feeders Raw Data'!AV16-'Feeders Raw Data'!AV17,"")</f>
        <v>0</v>
      </c>
      <c r="AF16" t="str">
        <f>IFERROR(AVERAGE('Feeders Raw Data'!AV16:AV20),"")</f>
        <v/>
      </c>
      <c r="AG16" t="str">
        <f>IFERROR(SUMPRODUCT('Feeders Raw Data'!AP16:AP35,'Feeders Raw Data'!AU16:AU35)/SUM('Feeders Raw Data'!AU16:AU35),"")</f>
        <v/>
      </c>
      <c r="AH16">
        <f>IFERROR(SQRT((SUMSQ('Feeders Raw Data'!AP16:AP35)-2*SUMPRODUCT('Feeders Raw Data'!AP16:AP35,'Feeders Raw Data'!AP17:AP36)+SUMSQ('Feeders Raw Data'!AP17:AP36)-('Feeders Raw Data'!AP16-'Feeders Raw Data'!AP36)^2/20)/19),"")</f>
        <v>0</v>
      </c>
      <c r="AJ16">
        <f>IFERROR('Feeders Raw Data'!AY16,"")</f>
        <v>0</v>
      </c>
      <c r="AK16">
        <f>IFERROR('Feeders Raw Data'!BD16,"")</f>
        <v>0</v>
      </c>
      <c r="AL16">
        <f>IFERROR('Feeders Raw Data'!BF16-'Feeders Raw Data'!BF17,"")</f>
        <v>0</v>
      </c>
      <c r="AM16" t="str">
        <f>IFERROR(AVERAGE('Feeders Raw Data'!BF16:BF20),"")</f>
        <v/>
      </c>
      <c r="AN16" t="str">
        <f>IFERROR(SUMPRODUCT('Feeders Raw Data'!AZ16:AZ35,'Feeders Raw Data'!BE16:BE35)/SUM('Feeders Raw Data'!BE16:BE35),"")</f>
        <v/>
      </c>
      <c r="AO16">
        <f>IFERROR(SQRT((SUMSQ('Feeders Raw Data'!AZ16:AZ35)-2*SUMPRODUCT('Feeders Raw Data'!AZ16:AZ35,'Feeders Raw Data'!AZ17:AZ36)+SUMSQ('Feeders Raw Data'!AZ17:AZ36)-('Feeders Raw Data'!AZ16-'Feeders Raw Data'!AZ36)^2/20)/19),"")</f>
        <v>0</v>
      </c>
      <c r="AQ16">
        <f>IFERROR('Feeders Raw Data'!BI16,"")</f>
        <v>0</v>
      </c>
      <c r="AR16">
        <f>IFERROR('Feeders Raw Data'!BN16,"")</f>
        <v>0</v>
      </c>
      <c r="AS16">
        <f>IFERROR('Feeders Raw Data'!BP16-'Feeders Raw Data'!BP17,"")</f>
        <v>0</v>
      </c>
      <c r="AT16" t="str">
        <f>IFERROR(AVERAGE('Feeders Raw Data'!BP16:BP20),"")</f>
        <v/>
      </c>
      <c r="AU16" t="str">
        <f>IFERROR(SUMPRODUCT('Feeders Raw Data'!BJ16:BJ35,'Feeders Raw Data'!BO16:BO35)/SUM('Feeders Raw Data'!BO16:BO35),"")</f>
        <v/>
      </c>
      <c r="AV16">
        <f>IFERROR(SQRT((SUMSQ('Feeders Raw Data'!BJ16:BJ35)-2*SUMPRODUCT('Feeders Raw Data'!BJ16:BJ35,'Feeders Raw Data'!BJ17:BJ36)+SUMSQ('Feeders Raw Data'!BJ17:BJ36)-('Feeders Raw Data'!BJ16-'Feeders Raw Data'!BJ36)^2/20)/19),"")</f>
        <v>0</v>
      </c>
      <c r="AX16">
        <f>IFERROR('Feeders Raw Data'!BS16,"")</f>
        <v>0</v>
      </c>
      <c r="AY16">
        <f>IFERROR('Feeders Raw Data'!BX16,"")</f>
        <v>0</v>
      </c>
      <c r="AZ16">
        <f>IFERROR('Feeders Raw Data'!BZ16-'Feeders Raw Data'!BZ17,"")</f>
        <v>0</v>
      </c>
      <c r="BA16" t="str">
        <f>IFERROR(AVERAGE('Feeders Raw Data'!BZ16:BZ20),"")</f>
        <v/>
      </c>
      <c r="BB16" t="str">
        <f>IFERROR(SUMPRODUCT('Feeders Raw Data'!BT16:BT35,'Feeders Raw Data'!BY16:BY35)/SUM('Feeders Raw Data'!BY16:BY35),"")</f>
        <v/>
      </c>
      <c r="BC16">
        <f>IFERROR(SQRT((SUMSQ('Feeders Raw Data'!BT16:BT35)-2*SUMPRODUCT('Feeders Raw Data'!BT16:BT35,'Feeders Raw Data'!BT17:BT36)+SUMSQ('Feeders Raw Data'!BT17:BT36)-('Feeders Raw Data'!BT16-'Feeders Raw Data'!BT36)^2/20)/19),"")</f>
        <v>0</v>
      </c>
      <c r="BE16">
        <f>IFERROR('Fats Raw Data'!A16,"")</f>
        <v>0</v>
      </c>
      <c r="BF16">
        <f>IFERROR('Fats Raw Data'!F16,"")</f>
        <v>0</v>
      </c>
      <c r="BG16">
        <f>IFERROR('Fats Raw Data'!H16-'Fats Raw Data'!H17,"")</f>
        <v>0</v>
      </c>
      <c r="BH16" t="str">
        <f>IFERROR(AVERAGE('Fats Raw Data'!H16:H20),"")</f>
        <v/>
      </c>
      <c r="BI16" t="str">
        <f>IFERROR(SUMPRODUCT('Fats Raw Data'!B16:B35,'Fats Raw Data'!G16:G35)/SUM('Fats Raw Data'!G16:G35),"")</f>
        <v/>
      </c>
      <c r="BJ16">
        <f>IFERROR(SQRT((SUMSQ('Fats Raw Data'!B16:B35)-2*SUMPRODUCT('Fats Raw Data'!B16:B35,'Fats Raw Data'!B17:B36)+SUMSQ('Fats Raw Data'!B17:B36)-('Fats Raw Data'!B16-'Fats Raw Data'!B36)^2/20)/19),"")</f>
        <v>0</v>
      </c>
      <c r="BL16">
        <f>IFERROR('Fats Raw Data'!K16,"")</f>
        <v>0</v>
      </c>
      <c r="BM16">
        <f>IFERROR('Fats Raw Data'!P16,"")</f>
        <v>0</v>
      </c>
      <c r="BN16">
        <f>IFERROR('Fats Raw Data'!R16-'Fats Raw Data'!R17,"")</f>
        <v>0</v>
      </c>
      <c r="BO16" t="str">
        <f>IFERROR(AVERAGE('Fats Raw Data'!R16:R20),"")</f>
        <v/>
      </c>
      <c r="BP16" t="str">
        <f>IFERROR(SUMPRODUCT('Fats Raw Data'!L16:L35,'Fats Raw Data'!Q16:Q35)/SUM('Fats Raw Data'!Q16:Q35),"")</f>
        <v/>
      </c>
      <c r="BQ16">
        <f>IFERROR(SQRT((SUMSQ('Fats Raw Data'!L16:L35)-2*SUMPRODUCT('Fats Raw Data'!L16:L35,'Fats Raw Data'!L17:L36)+SUMSQ('Fats Raw Data'!L17:L36)-('Fats Raw Data'!L16-'Fats Raw Data'!L36)^2/20)/19),"")</f>
        <v>0</v>
      </c>
      <c r="BS16">
        <f>IFERROR('Fats Raw Data'!U16,"")</f>
        <v>0</v>
      </c>
      <c r="BT16">
        <f>IFERROR('Fats Raw Data'!Z16,"")</f>
        <v>0</v>
      </c>
      <c r="BU16">
        <f>IFERROR('Fats Raw Data'!AB16-'Fats Raw Data'!AB17,"")</f>
        <v>0</v>
      </c>
      <c r="BV16" t="str">
        <f>IFERROR(AVERAGE('Fats Raw Data'!AB16:AB20),"")</f>
        <v/>
      </c>
      <c r="BW16" t="str">
        <f>IFERROR(SUMPRODUCT('Fats Raw Data'!V16:V35,'Fats Raw Data'!AA16:AA35)/SUM('Fats Raw Data'!AA16:AA35),"")</f>
        <v/>
      </c>
      <c r="BX16">
        <f>IFERROR(SQRT((SUMSQ('Fats Raw Data'!V16:V35)-2*SUMPRODUCT('Fats Raw Data'!V16:V35,'Fats Raw Data'!V17:V36)+SUMSQ('Fats Raw Data'!V17:V36)-('Fats Raw Data'!V16-'Fats Raw Data'!V36)^2/20)/19),"")</f>
        <v>0</v>
      </c>
      <c r="BZ16">
        <f>IFERROR('Fats Raw Data'!AE16,"")</f>
        <v>0</v>
      </c>
      <c r="CA16">
        <f>IFERROR('Fats Raw Data'!AJ16,"")</f>
        <v>0</v>
      </c>
      <c r="CB16">
        <f>IFERROR('Fats Raw Data'!AL16-'Fats Raw Data'!AL17,"")</f>
        <v>0</v>
      </c>
      <c r="CC16" t="str">
        <f>IFERROR(AVERAGE('Fats Raw Data'!AL16:AL20),"")</f>
        <v/>
      </c>
      <c r="CD16" t="str">
        <f>IFERROR(SUMPRODUCT('Fats Raw Data'!AF16:AF35,'Fats Raw Data'!AK16:AK35)/SUM('Fats Raw Data'!AK16:AK35),"")</f>
        <v/>
      </c>
      <c r="CE16">
        <f>IFERROR(SQRT((SUMSQ('Fats Raw Data'!AF16:AF35)-2*SUMPRODUCT('Fats Raw Data'!AF16:AF35,'Fats Raw Data'!AF17:AF36)+SUMSQ('Fats Raw Data'!AF17:AF36)-('Fats Raw Data'!AF16-'Fats Raw Data'!AF36)^2/20)/19),"")</f>
        <v>0</v>
      </c>
      <c r="CG16">
        <f>IFERROR('Fats Raw Data'!AO16,"")</f>
        <v>0</v>
      </c>
      <c r="CH16">
        <f>IFERROR('Fats Raw Data'!AT16,"")</f>
        <v>0</v>
      </c>
      <c r="CI16">
        <f>IFERROR('Fats Raw Data'!AV16-'Fats Raw Data'!AV17,"")</f>
        <v>0</v>
      </c>
      <c r="CJ16" t="str">
        <f>IFERROR(AVERAGE('Fats Raw Data'!AV16:AV20),"")</f>
        <v/>
      </c>
      <c r="CK16" t="str">
        <f>IFERROR(SUMPRODUCT('Fats Raw Data'!AP16:AP35,'Fats Raw Data'!AU16:AU35)/SUM('Fats Raw Data'!AU16:AU35),"")</f>
        <v/>
      </c>
      <c r="CL16">
        <f>IFERROR(SQRT((SUMSQ('Fats Raw Data'!AP16:AP35)-2*SUMPRODUCT('Fats Raw Data'!AP16:AP35,'Fats Raw Data'!AP17:AP36)+SUMSQ('Fats Raw Data'!AP17:AP36)-('Fats Raw Data'!AP16-'Fats Raw Data'!AP36)^2/20)/19),"")</f>
        <v>0</v>
      </c>
      <c r="CN16">
        <f>IFERROR('Fats Raw Data'!AY16,"")</f>
        <v>0</v>
      </c>
      <c r="CO16">
        <f>IFERROR('Fats Raw Data'!BD16,"")</f>
        <v>0</v>
      </c>
      <c r="CP16">
        <f>IFERROR('Fats Raw Data'!BF16-'Fats Raw Data'!BF17,"")</f>
        <v>0</v>
      </c>
      <c r="CQ16" t="str">
        <f>IFERROR(AVERAGE('Fats Raw Data'!BF16:BF20),"")</f>
        <v/>
      </c>
      <c r="CR16" t="str">
        <f>IFERROR(SUMPRODUCT('Fats Raw Data'!AZ16:AZ35,'Fats Raw Data'!BE16:BE35)/SUM('Fats Raw Data'!BE16:BE35),"")</f>
        <v/>
      </c>
      <c r="CS16">
        <f>IFERROR(SQRT((SUMSQ('Fats Raw Data'!AZ16:AZ35)-2*SUMPRODUCT('Fats Raw Data'!AZ16:AZ35,'Fats Raw Data'!AZ17:AZ36)+SUMSQ('Fats Raw Data'!AZ17:AZ36)-('Fats Raw Data'!AZ16-'Fats Raw Data'!AZ36)^2/20)/19),"")</f>
        <v>0</v>
      </c>
    </row>
    <row r="17" spans="1:97" x14ac:dyDescent="0.25">
      <c r="A17">
        <f>IFERROR('Feeders Raw Data'!A17,"")</f>
        <v>0</v>
      </c>
      <c r="B17">
        <f>IFERROR('Feeders Raw Data'!F17,"")</f>
        <v>0</v>
      </c>
      <c r="C17">
        <f>IFERROR('Feeders Raw Data'!H17-'Feeders Raw Data'!H18,"")</f>
        <v>0</v>
      </c>
      <c r="D17" t="str">
        <f>IFERROR(AVERAGE('Feeders Raw Data'!H17:H21),"")</f>
        <v/>
      </c>
      <c r="E17" t="str">
        <f>IFERROR(SUMPRODUCT('Feeders Raw Data'!B17:B36,'Feeders Raw Data'!G17:G36)/SUM('Feeders Raw Data'!G17:G36),"")</f>
        <v/>
      </c>
      <c r="F17">
        <f>IFERROR(SQRT((SUMSQ('Feeders Raw Data'!B17:B36)-2*SUMPRODUCT('Feeders Raw Data'!B17:B36,'Feeders Raw Data'!B18:B37)+SUMSQ('Feeders Raw Data'!B18:B37)-('Feeders Raw Data'!B17-'Feeders Raw Data'!B37)^2/20)/19),"")</f>
        <v>0</v>
      </c>
      <c r="H17">
        <f>IFERROR('Feeders Raw Data'!K17,"")</f>
        <v>0</v>
      </c>
      <c r="I17">
        <f>IFERROR('Feeders Raw Data'!P17,"")</f>
        <v>0</v>
      </c>
      <c r="J17">
        <f>IFERROR('Feeders Raw Data'!R17-'Feeders Raw Data'!R18,"")</f>
        <v>0</v>
      </c>
      <c r="K17" t="str">
        <f>IFERROR(AVERAGE('Feeders Raw Data'!R17:R21),"")</f>
        <v/>
      </c>
      <c r="L17" t="str">
        <f>IFERROR(SUMPRODUCT('Feeders Raw Data'!L17:L36,'Feeders Raw Data'!Q17:Q36)/SUM('Feeders Raw Data'!Q17:Q36),"")</f>
        <v/>
      </c>
      <c r="M17">
        <f>IFERROR(SQRT((SUMSQ('Feeders Raw Data'!L17:L36)-2*SUMPRODUCT('Feeders Raw Data'!L17:L36,'Feeders Raw Data'!L18:L37)+SUMSQ('Feeders Raw Data'!L18:L37)-('Feeders Raw Data'!L17-'Feeders Raw Data'!L37)^2/20)/19),"")</f>
        <v>0</v>
      </c>
      <c r="O17">
        <f>IFERROR('Feeders Raw Data'!U17,"")</f>
        <v>0</v>
      </c>
      <c r="P17">
        <f>IFERROR('Feeders Raw Data'!Z17,"")</f>
        <v>0</v>
      </c>
      <c r="Q17">
        <f>IFERROR('Feeders Raw Data'!AB17-'Feeders Raw Data'!AB18,"")</f>
        <v>0</v>
      </c>
      <c r="R17" t="str">
        <f>IFERROR(AVERAGE('Feeders Raw Data'!AB17:AB21),"")</f>
        <v/>
      </c>
      <c r="S17" t="str">
        <f>IFERROR(SUMPRODUCT('Feeders Raw Data'!V17:V36,'Feeders Raw Data'!AA17:AA36)/SUM('Feeders Raw Data'!AA17:AA36),"")</f>
        <v/>
      </c>
      <c r="T17">
        <f>IFERROR(SQRT((SUMSQ('Feeders Raw Data'!V17:V36)-2*SUMPRODUCT('Feeders Raw Data'!V17:V36,'Feeders Raw Data'!V18:V37)+SUMSQ('Feeders Raw Data'!V18:V37)-('Feeders Raw Data'!V17-'Feeders Raw Data'!V37)^2/20)/19),"")</f>
        <v>0</v>
      </c>
      <c r="V17">
        <f>IFERROR('Feeders Raw Data'!AE17,"")</f>
        <v>0</v>
      </c>
      <c r="W17">
        <f>IFERROR('Feeders Raw Data'!AJ17,"")</f>
        <v>0</v>
      </c>
      <c r="X17">
        <f>IFERROR('Feeders Raw Data'!AL17-'Feeders Raw Data'!AL18,"")</f>
        <v>0</v>
      </c>
      <c r="Y17" t="str">
        <f>IFERROR(AVERAGE('Feeders Raw Data'!AL17:AL21),"")</f>
        <v/>
      </c>
      <c r="Z17" t="str">
        <f>IFERROR(SUMPRODUCT('Feeders Raw Data'!AF17:AF36,'Feeders Raw Data'!AK17:AK36)/SUM('Feeders Raw Data'!AK17:AK36),"")</f>
        <v/>
      </c>
      <c r="AA17">
        <f>IFERROR(SQRT((SUMSQ('Feeders Raw Data'!AF17:AF36)-2*SUMPRODUCT('Feeders Raw Data'!AF17:AF36,'Feeders Raw Data'!AF18:AF37)+SUMSQ('Feeders Raw Data'!AF18:AF37)-('Feeders Raw Data'!AF17-'Feeders Raw Data'!AF37)^2/20)/19),"")</f>
        <v>0</v>
      </c>
      <c r="AC17">
        <f>IFERROR('Feeders Raw Data'!AO17,"")</f>
        <v>0</v>
      </c>
      <c r="AD17">
        <f>IFERROR('Feeders Raw Data'!AT17,"")</f>
        <v>0</v>
      </c>
      <c r="AE17">
        <f>IFERROR('Feeders Raw Data'!AV17-'Feeders Raw Data'!AV18,"")</f>
        <v>0</v>
      </c>
      <c r="AF17" t="str">
        <f>IFERROR(AVERAGE('Feeders Raw Data'!AV17:AV21),"")</f>
        <v/>
      </c>
      <c r="AG17" t="str">
        <f>IFERROR(SUMPRODUCT('Feeders Raw Data'!AP17:AP36,'Feeders Raw Data'!AU17:AU36)/SUM('Feeders Raw Data'!AU17:AU36),"")</f>
        <v/>
      </c>
      <c r="AH17">
        <f>IFERROR(SQRT((SUMSQ('Feeders Raw Data'!AP17:AP36)-2*SUMPRODUCT('Feeders Raw Data'!AP17:AP36,'Feeders Raw Data'!AP18:AP37)+SUMSQ('Feeders Raw Data'!AP18:AP37)-('Feeders Raw Data'!AP17-'Feeders Raw Data'!AP37)^2/20)/19),"")</f>
        <v>0</v>
      </c>
      <c r="AJ17">
        <f>IFERROR('Feeders Raw Data'!AY17,"")</f>
        <v>0</v>
      </c>
      <c r="AK17">
        <f>IFERROR('Feeders Raw Data'!BD17,"")</f>
        <v>0</v>
      </c>
      <c r="AL17">
        <f>IFERROR('Feeders Raw Data'!BF17-'Feeders Raw Data'!BF18,"")</f>
        <v>0</v>
      </c>
      <c r="AM17" t="str">
        <f>IFERROR(AVERAGE('Feeders Raw Data'!BF17:BF21),"")</f>
        <v/>
      </c>
      <c r="AN17" t="str">
        <f>IFERROR(SUMPRODUCT('Feeders Raw Data'!AZ17:AZ36,'Feeders Raw Data'!BE17:BE36)/SUM('Feeders Raw Data'!BE17:BE36),"")</f>
        <v/>
      </c>
      <c r="AO17">
        <f>IFERROR(SQRT((SUMSQ('Feeders Raw Data'!AZ17:AZ36)-2*SUMPRODUCT('Feeders Raw Data'!AZ17:AZ36,'Feeders Raw Data'!AZ18:AZ37)+SUMSQ('Feeders Raw Data'!AZ18:AZ37)-('Feeders Raw Data'!AZ17-'Feeders Raw Data'!AZ37)^2/20)/19),"")</f>
        <v>0</v>
      </c>
      <c r="AQ17">
        <f>IFERROR('Feeders Raw Data'!BI17,"")</f>
        <v>0</v>
      </c>
      <c r="AR17">
        <f>IFERROR('Feeders Raw Data'!BN17,"")</f>
        <v>0</v>
      </c>
      <c r="AS17">
        <f>IFERROR('Feeders Raw Data'!BP17-'Feeders Raw Data'!BP18,"")</f>
        <v>0</v>
      </c>
      <c r="AT17" t="str">
        <f>IFERROR(AVERAGE('Feeders Raw Data'!BP17:BP21),"")</f>
        <v/>
      </c>
      <c r="AU17" t="str">
        <f>IFERROR(SUMPRODUCT('Feeders Raw Data'!BJ17:BJ36,'Feeders Raw Data'!BO17:BO36)/SUM('Feeders Raw Data'!BO17:BO36),"")</f>
        <v/>
      </c>
      <c r="AV17">
        <f>IFERROR(SQRT((SUMSQ('Feeders Raw Data'!BJ17:BJ36)-2*SUMPRODUCT('Feeders Raw Data'!BJ17:BJ36,'Feeders Raw Data'!BJ18:BJ37)+SUMSQ('Feeders Raw Data'!BJ18:BJ37)-('Feeders Raw Data'!BJ17-'Feeders Raw Data'!BJ37)^2/20)/19),"")</f>
        <v>0</v>
      </c>
      <c r="AX17">
        <f>IFERROR('Feeders Raw Data'!BS17,"")</f>
        <v>0</v>
      </c>
      <c r="AY17">
        <f>IFERROR('Feeders Raw Data'!BX17,"")</f>
        <v>0</v>
      </c>
      <c r="AZ17">
        <f>IFERROR('Feeders Raw Data'!BZ17-'Feeders Raw Data'!BZ18,"")</f>
        <v>0</v>
      </c>
      <c r="BA17" t="str">
        <f>IFERROR(AVERAGE('Feeders Raw Data'!BZ17:BZ21),"")</f>
        <v/>
      </c>
      <c r="BB17" t="str">
        <f>IFERROR(SUMPRODUCT('Feeders Raw Data'!BT17:BT36,'Feeders Raw Data'!BY17:BY36)/SUM('Feeders Raw Data'!BY17:BY36),"")</f>
        <v/>
      </c>
      <c r="BC17">
        <f>IFERROR(SQRT((SUMSQ('Feeders Raw Data'!BT17:BT36)-2*SUMPRODUCT('Feeders Raw Data'!BT17:BT36,'Feeders Raw Data'!BT18:BT37)+SUMSQ('Feeders Raw Data'!BT18:BT37)-('Feeders Raw Data'!BT17-'Feeders Raw Data'!BT37)^2/20)/19),"")</f>
        <v>0</v>
      </c>
      <c r="BE17">
        <f>IFERROR('Fats Raw Data'!A17,"")</f>
        <v>0</v>
      </c>
      <c r="BF17">
        <f>IFERROR('Fats Raw Data'!F17,"")</f>
        <v>0</v>
      </c>
      <c r="BG17">
        <f>IFERROR('Fats Raw Data'!H17-'Fats Raw Data'!H18,"")</f>
        <v>0</v>
      </c>
      <c r="BH17" t="str">
        <f>IFERROR(AVERAGE('Fats Raw Data'!H17:H21),"")</f>
        <v/>
      </c>
      <c r="BI17" t="str">
        <f>IFERROR(SUMPRODUCT('Fats Raw Data'!B17:B36,'Fats Raw Data'!G17:G36)/SUM('Fats Raw Data'!G17:G36),"")</f>
        <v/>
      </c>
      <c r="BJ17">
        <f>IFERROR(SQRT((SUMSQ('Fats Raw Data'!B17:B36)-2*SUMPRODUCT('Fats Raw Data'!B17:B36,'Fats Raw Data'!B18:B37)+SUMSQ('Fats Raw Data'!B18:B37)-('Fats Raw Data'!B17-'Fats Raw Data'!B37)^2/20)/19),"")</f>
        <v>0</v>
      </c>
      <c r="BL17">
        <f>IFERROR('Fats Raw Data'!K17,"")</f>
        <v>0</v>
      </c>
      <c r="BM17">
        <f>IFERROR('Fats Raw Data'!P17,"")</f>
        <v>0</v>
      </c>
      <c r="BN17">
        <f>IFERROR('Fats Raw Data'!R17-'Fats Raw Data'!R18,"")</f>
        <v>0</v>
      </c>
      <c r="BO17" t="str">
        <f>IFERROR(AVERAGE('Fats Raw Data'!R17:R21),"")</f>
        <v/>
      </c>
      <c r="BP17" t="str">
        <f>IFERROR(SUMPRODUCT('Fats Raw Data'!L17:L36,'Fats Raw Data'!Q17:Q36)/SUM('Fats Raw Data'!Q17:Q36),"")</f>
        <v/>
      </c>
      <c r="BQ17">
        <f>IFERROR(SQRT((SUMSQ('Fats Raw Data'!L17:L36)-2*SUMPRODUCT('Fats Raw Data'!L17:L36,'Fats Raw Data'!L18:L37)+SUMSQ('Fats Raw Data'!L18:L37)-('Fats Raw Data'!L17-'Fats Raw Data'!L37)^2/20)/19),"")</f>
        <v>0</v>
      </c>
      <c r="BS17">
        <f>IFERROR('Fats Raw Data'!U17,"")</f>
        <v>0</v>
      </c>
      <c r="BT17">
        <f>IFERROR('Fats Raw Data'!Z17,"")</f>
        <v>0</v>
      </c>
      <c r="BU17">
        <f>IFERROR('Fats Raw Data'!AB17-'Fats Raw Data'!AB18,"")</f>
        <v>0</v>
      </c>
      <c r="BV17" t="str">
        <f>IFERROR(AVERAGE('Fats Raw Data'!AB17:AB21),"")</f>
        <v/>
      </c>
      <c r="BW17" t="str">
        <f>IFERROR(SUMPRODUCT('Fats Raw Data'!V17:V36,'Fats Raw Data'!AA17:AA36)/SUM('Fats Raw Data'!AA17:AA36),"")</f>
        <v/>
      </c>
      <c r="BX17">
        <f>IFERROR(SQRT((SUMSQ('Fats Raw Data'!V17:V36)-2*SUMPRODUCT('Fats Raw Data'!V17:V36,'Fats Raw Data'!V18:V37)+SUMSQ('Fats Raw Data'!V18:V37)-('Fats Raw Data'!V17-'Fats Raw Data'!V37)^2/20)/19),"")</f>
        <v>0</v>
      </c>
      <c r="BZ17">
        <f>IFERROR('Fats Raw Data'!AE17,"")</f>
        <v>0</v>
      </c>
      <c r="CA17">
        <f>IFERROR('Fats Raw Data'!AJ17,"")</f>
        <v>0</v>
      </c>
      <c r="CB17">
        <f>IFERROR('Fats Raw Data'!AL17-'Fats Raw Data'!AL18,"")</f>
        <v>0</v>
      </c>
      <c r="CC17" t="str">
        <f>IFERROR(AVERAGE('Fats Raw Data'!AL17:AL21),"")</f>
        <v/>
      </c>
      <c r="CD17" t="str">
        <f>IFERROR(SUMPRODUCT('Fats Raw Data'!AF17:AF36,'Fats Raw Data'!AK17:AK36)/SUM('Fats Raw Data'!AK17:AK36),"")</f>
        <v/>
      </c>
      <c r="CE17">
        <f>IFERROR(SQRT((SUMSQ('Fats Raw Data'!AF17:AF36)-2*SUMPRODUCT('Fats Raw Data'!AF17:AF36,'Fats Raw Data'!AF18:AF37)+SUMSQ('Fats Raw Data'!AF18:AF37)-('Fats Raw Data'!AF17-'Fats Raw Data'!AF37)^2/20)/19),"")</f>
        <v>0</v>
      </c>
      <c r="CG17">
        <f>IFERROR('Fats Raw Data'!AO17,"")</f>
        <v>0</v>
      </c>
      <c r="CH17">
        <f>IFERROR('Fats Raw Data'!AT17,"")</f>
        <v>0</v>
      </c>
      <c r="CI17">
        <f>IFERROR('Fats Raw Data'!AV17-'Fats Raw Data'!AV18,"")</f>
        <v>0</v>
      </c>
      <c r="CJ17" t="str">
        <f>IFERROR(AVERAGE('Fats Raw Data'!AV17:AV21),"")</f>
        <v/>
      </c>
      <c r="CK17" t="str">
        <f>IFERROR(SUMPRODUCT('Fats Raw Data'!AP17:AP36,'Fats Raw Data'!AU17:AU36)/SUM('Fats Raw Data'!AU17:AU36),"")</f>
        <v/>
      </c>
      <c r="CL17">
        <f>IFERROR(SQRT((SUMSQ('Fats Raw Data'!AP17:AP36)-2*SUMPRODUCT('Fats Raw Data'!AP17:AP36,'Fats Raw Data'!AP18:AP37)+SUMSQ('Fats Raw Data'!AP18:AP37)-('Fats Raw Data'!AP17-'Fats Raw Data'!AP37)^2/20)/19),"")</f>
        <v>0</v>
      </c>
      <c r="CN17">
        <f>IFERROR('Fats Raw Data'!AY17,"")</f>
        <v>0</v>
      </c>
      <c r="CO17">
        <f>IFERROR('Fats Raw Data'!BD17,"")</f>
        <v>0</v>
      </c>
      <c r="CP17">
        <f>IFERROR('Fats Raw Data'!BF17-'Fats Raw Data'!BF18,"")</f>
        <v>0</v>
      </c>
      <c r="CQ17" t="str">
        <f>IFERROR(AVERAGE('Fats Raw Data'!BF17:BF21),"")</f>
        <v/>
      </c>
      <c r="CR17" t="str">
        <f>IFERROR(SUMPRODUCT('Fats Raw Data'!AZ17:AZ36,'Fats Raw Data'!BE17:BE36)/SUM('Fats Raw Data'!BE17:BE36),"")</f>
        <v/>
      </c>
      <c r="CS17">
        <f>IFERROR(SQRT((SUMSQ('Fats Raw Data'!AZ17:AZ36)-2*SUMPRODUCT('Fats Raw Data'!AZ17:AZ36,'Fats Raw Data'!AZ18:AZ37)+SUMSQ('Fats Raw Data'!AZ18:AZ37)-('Fats Raw Data'!AZ17-'Fats Raw Data'!AZ37)^2/20)/19),"")</f>
        <v>0</v>
      </c>
    </row>
    <row r="18" spans="1:97" x14ac:dyDescent="0.25">
      <c r="A18">
        <f>IFERROR('Feeders Raw Data'!A18,"")</f>
        <v>0</v>
      </c>
      <c r="B18">
        <f>IFERROR('Feeders Raw Data'!F18,"")</f>
        <v>0</v>
      </c>
      <c r="C18">
        <f>IFERROR('Feeders Raw Data'!H18-'Feeders Raw Data'!H19,"")</f>
        <v>0</v>
      </c>
      <c r="D18" t="str">
        <f>IFERROR(AVERAGE('Feeders Raw Data'!H18:H22),"")</f>
        <v/>
      </c>
      <c r="E18" t="str">
        <f>IFERROR(SUMPRODUCT('Feeders Raw Data'!B18:B37,'Feeders Raw Data'!G18:G37)/SUM('Feeders Raw Data'!G18:G37),"")</f>
        <v/>
      </c>
      <c r="F18">
        <f>IFERROR(SQRT((SUMSQ('Feeders Raw Data'!B18:B37)-2*SUMPRODUCT('Feeders Raw Data'!B18:B37,'Feeders Raw Data'!B19:B38)+SUMSQ('Feeders Raw Data'!B19:B38)-('Feeders Raw Data'!B18-'Feeders Raw Data'!B38)^2/20)/19),"")</f>
        <v>0</v>
      </c>
      <c r="H18">
        <f>IFERROR('Feeders Raw Data'!K18,"")</f>
        <v>0</v>
      </c>
      <c r="I18">
        <f>IFERROR('Feeders Raw Data'!P18,"")</f>
        <v>0</v>
      </c>
      <c r="J18">
        <f>IFERROR('Feeders Raw Data'!R18-'Feeders Raw Data'!R19,"")</f>
        <v>0</v>
      </c>
      <c r="K18" t="str">
        <f>IFERROR(AVERAGE('Feeders Raw Data'!R18:R22),"")</f>
        <v/>
      </c>
      <c r="L18" t="str">
        <f>IFERROR(SUMPRODUCT('Feeders Raw Data'!L18:L37,'Feeders Raw Data'!Q18:Q37)/SUM('Feeders Raw Data'!Q18:Q37),"")</f>
        <v/>
      </c>
      <c r="M18">
        <f>IFERROR(SQRT((SUMSQ('Feeders Raw Data'!L18:L37)-2*SUMPRODUCT('Feeders Raw Data'!L18:L37,'Feeders Raw Data'!L19:L38)+SUMSQ('Feeders Raw Data'!L19:L38)-('Feeders Raw Data'!L18-'Feeders Raw Data'!L38)^2/20)/19),"")</f>
        <v>0</v>
      </c>
      <c r="O18">
        <f>IFERROR('Feeders Raw Data'!U18,"")</f>
        <v>0</v>
      </c>
      <c r="P18">
        <f>IFERROR('Feeders Raw Data'!Z18,"")</f>
        <v>0</v>
      </c>
      <c r="Q18">
        <f>IFERROR('Feeders Raw Data'!AB18-'Feeders Raw Data'!AB19,"")</f>
        <v>0</v>
      </c>
      <c r="R18" t="str">
        <f>IFERROR(AVERAGE('Feeders Raw Data'!AB18:AB22),"")</f>
        <v/>
      </c>
      <c r="S18" t="str">
        <f>IFERROR(SUMPRODUCT('Feeders Raw Data'!V18:V37,'Feeders Raw Data'!AA18:AA37)/SUM('Feeders Raw Data'!AA18:AA37),"")</f>
        <v/>
      </c>
      <c r="T18">
        <f>IFERROR(SQRT((SUMSQ('Feeders Raw Data'!V18:V37)-2*SUMPRODUCT('Feeders Raw Data'!V18:V37,'Feeders Raw Data'!V19:V38)+SUMSQ('Feeders Raw Data'!V19:V38)-('Feeders Raw Data'!V18-'Feeders Raw Data'!V38)^2/20)/19),"")</f>
        <v>0</v>
      </c>
      <c r="V18">
        <f>IFERROR('Feeders Raw Data'!AE18,"")</f>
        <v>0</v>
      </c>
      <c r="W18">
        <f>IFERROR('Feeders Raw Data'!AJ18,"")</f>
        <v>0</v>
      </c>
      <c r="X18">
        <f>IFERROR('Feeders Raw Data'!AL18-'Feeders Raw Data'!AL19,"")</f>
        <v>0</v>
      </c>
      <c r="Y18" t="str">
        <f>IFERROR(AVERAGE('Feeders Raw Data'!AL18:AL22),"")</f>
        <v/>
      </c>
      <c r="Z18" t="str">
        <f>IFERROR(SUMPRODUCT('Feeders Raw Data'!AF18:AF37,'Feeders Raw Data'!AK18:AK37)/SUM('Feeders Raw Data'!AK18:AK37),"")</f>
        <v/>
      </c>
      <c r="AA18">
        <f>IFERROR(SQRT((SUMSQ('Feeders Raw Data'!AF18:AF37)-2*SUMPRODUCT('Feeders Raw Data'!AF18:AF37,'Feeders Raw Data'!AF19:AF38)+SUMSQ('Feeders Raw Data'!AF19:AF38)-('Feeders Raw Data'!AF18-'Feeders Raw Data'!AF38)^2/20)/19),"")</f>
        <v>0</v>
      </c>
      <c r="AC18">
        <f>IFERROR('Feeders Raw Data'!AO18,"")</f>
        <v>0</v>
      </c>
      <c r="AD18">
        <f>IFERROR('Feeders Raw Data'!AT18,"")</f>
        <v>0</v>
      </c>
      <c r="AE18">
        <f>IFERROR('Feeders Raw Data'!AV18-'Feeders Raw Data'!AV19,"")</f>
        <v>0</v>
      </c>
      <c r="AF18" t="str">
        <f>IFERROR(AVERAGE('Feeders Raw Data'!AV18:AV22),"")</f>
        <v/>
      </c>
      <c r="AG18" t="str">
        <f>IFERROR(SUMPRODUCT('Feeders Raw Data'!AP18:AP37,'Feeders Raw Data'!AU18:AU37)/SUM('Feeders Raw Data'!AU18:AU37),"")</f>
        <v/>
      </c>
      <c r="AH18">
        <f>IFERROR(SQRT((SUMSQ('Feeders Raw Data'!AP18:AP37)-2*SUMPRODUCT('Feeders Raw Data'!AP18:AP37,'Feeders Raw Data'!AP19:AP38)+SUMSQ('Feeders Raw Data'!AP19:AP38)-('Feeders Raw Data'!AP18-'Feeders Raw Data'!AP38)^2/20)/19),"")</f>
        <v>0</v>
      </c>
      <c r="AJ18">
        <f>IFERROR('Feeders Raw Data'!AY18,"")</f>
        <v>0</v>
      </c>
      <c r="AK18">
        <f>IFERROR('Feeders Raw Data'!BD18,"")</f>
        <v>0</v>
      </c>
      <c r="AL18">
        <f>IFERROR('Feeders Raw Data'!BF18-'Feeders Raw Data'!BF19,"")</f>
        <v>0</v>
      </c>
      <c r="AM18" t="str">
        <f>IFERROR(AVERAGE('Feeders Raw Data'!BF18:BF22),"")</f>
        <v/>
      </c>
      <c r="AN18" t="str">
        <f>IFERROR(SUMPRODUCT('Feeders Raw Data'!AZ18:AZ37,'Feeders Raw Data'!BE18:BE37)/SUM('Feeders Raw Data'!BE18:BE37),"")</f>
        <v/>
      </c>
      <c r="AO18">
        <f>IFERROR(SQRT((SUMSQ('Feeders Raw Data'!AZ18:AZ37)-2*SUMPRODUCT('Feeders Raw Data'!AZ18:AZ37,'Feeders Raw Data'!AZ19:AZ38)+SUMSQ('Feeders Raw Data'!AZ19:AZ38)-('Feeders Raw Data'!AZ18-'Feeders Raw Data'!AZ38)^2/20)/19),"")</f>
        <v>0</v>
      </c>
      <c r="AQ18">
        <f>IFERROR('Feeders Raw Data'!BI18,"")</f>
        <v>0</v>
      </c>
      <c r="AR18">
        <f>IFERROR('Feeders Raw Data'!BN18,"")</f>
        <v>0</v>
      </c>
      <c r="AS18">
        <f>IFERROR('Feeders Raw Data'!BP18-'Feeders Raw Data'!BP19,"")</f>
        <v>0</v>
      </c>
      <c r="AT18" t="str">
        <f>IFERROR(AVERAGE('Feeders Raw Data'!BP18:BP22),"")</f>
        <v/>
      </c>
      <c r="AU18" t="str">
        <f>IFERROR(SUMPRODUCT('Feeders Raw Data'!BJ18:BJ37,'Feeders Raw Data'!BO18:BO37)/SUM('Feeders Raw Data'!BO18:BO37),"")</f>
        <v/>
      </c>
      <c r="AV18">
        <f>IFERROR(SQRT((SUMSQ('Feeders Raw Data'!BJ18:BJ37)-2*SUMPRODUCT('Feeders Raw Data'!BJ18:BJ37,'Feeders Raw Data'!BJ19:BJ38)+SUMSQ('Feeders Raw Data'!BJ19:BJ38)-('Feeders Raw Data'!BJ18-'Feeders Raw Data'!BJ38)^2/20)/19),"")</f>
        <v>0</v>
      </c>
      <c r="AX18">
        <f>IFERROR('Feeders Raw Data'!BS18,"")</f>
        <v>0</v>
      </c>
      <c r="AY18">
        <f>IFERROR('Feeders Raw Data'!BX18,"")</f>
        <v>0</v>
      </c>
      <c r="AZ18">
        <f>IFERROR('Feeders Raw Data'!BZ18-'Feeders Raw Data'!BZ19,"")</f>
        <v>0</v>
      </c>
      <c r="BA18" t="str">
        <f>IFERROR(AVERAGE('Feeders Raw Data'!BZ18:BZ22),"")</f>
        <v/>
      </c>
      <c r="BB18" t="str">
        <f>IFERROR(SUMPRODUCT('Feeders Raw Data'!BT18:BT37,'Feeders Raw Data'!BY18:BY37)/SUM('Feeders Raw Data'!BY18:BY37),"")</f>
        <v/>
      </c>
      <c r="BC18">
        <f>IFERROR(SQRT((SUMSQ('Feeders Raw Data'!BT18:BT37)-2*SUMPRODUCT('Feeders Raw Data'!BT18:BT37,'Feeders Raw Data'!BT19:BT38)+SUMSQ('Feeders Raw Data'!BT19:BT38)-('Feeders Raw Data'!BT18-'Feeders Raw Data'!BT38)^2/20)/19),"")</f>
        <v>0</v>
      </c>
      <c r="BE18">
        <f>IFERROR('Fats Raw Data'!A18,"")</f>
        <v>0</v>
      </c>
      <c r="BF18">
        <f>IFERROR('Fats Raw Data'!F18,"")</f>
        <v>0</v>
      </c>
      <c r="BG18">
        <f>IFERROR('Fats Raw Data'!H18-'Fats Raw Data'!H19,"")</f>
        <v>0</v>
      </c>
      <c r="BH18" t="str">
        <f>IFERROR(AVERAGE('Fats Raw Data'!H18:H22),"")</f>
        <v/>
      </c>
      <c r="BI18" t="str">
        <f>IFERROR(SUMPRODUCT('Fats Raw Data'!B18:B37,'Fats Raw Data'!G18:G37)/SUM('Fats Raw Data'!G18:G37),"")</f>
        <v/>
      </c>
      <c r="BJ18">
        <f>IFERROR(SQRT((SUMSQ('Fats Raw Data'!B18:B37)-2*SUMPRODUCT('Fats Raw Data'!B18:B37,'Fats Raw Data'!B19:B38)+SUMSQ('Fats Raw Data'!B19:B38)-('Fats Raw Data'!B18-'Fats Raw Data'!B38)^2/20)/19),"")</f>
        <v>0</v>
      </c>
      <c r="BL18">
        <f>IFERROR('Fats Raw Data'!K18,"")</f>
        <v>0</v>
      </c>
      <c r="BM18">
        <f>IFERROR('Fats Raw Data'!P18,"")</f>
        <v>0</v>
      </c>
      <c r="BN18">
        <f>IFERROR('Fats Raw Data'!R18-'Fats Raw Data'!R19,"")</f>
        <v>0</v>
      </c>
      <c r="BO18" t="str">
        <f>IFERROR(AVERAGE('Fats Raw Data'!R18:R22),"")</f>
        <v/>
      </c>
      <c r="BP18" t="str">
        <f>IFERROR(SUMPRODUCT('Fats Raw Data'!L18:L37,'Fats Raw Data'!Q18:Q37)/SUM('Fats Raw Data'!Q18:Q37),"")</f>
        <v/>
      </c>
      <c r="BQ18">
        <f>IFERROR(SQRT((SUMSQ('Fats Raw Data'!L18:L37)-2*SUMPRODUCT('Fats Raw Data'!L18:L37,'Fats Raw Data'!L19:L38)+SUMSQ('Fats Raw Data'!L19:L38)-('Fats Raw Data'!L18-'Fats Raw Data'!L38)^2/20)/19),"")</f>
        <v>0</v>
      </c>
      <c r="BS18">
        <f>IFERROR('Fats Raw Data'!U18,"")</f>
        <v>0</v>
      </c>
      <c r="BT18">
        <f>IFERROR('Fats Raw Data'!Z18,"")</f>
        <v>0</v>
      </c>
      <c r="BU18">
        <f>IFERROR('Fats Raw Data'!AB18-'Fats Raw Data'!AB19,"")</f>
        <v>0</v>
      </c>
      <c r="BV18" t="str">
        <f>IFERROR(AVERAGE('Fats Raw Data'!AB18:AB22),"")</f>
        <v/>
      </c>
      <c r="BW18" t="str">
        <f>IFERROR(SUMPRODUCT('Fats Raw Data'!V18:V37,'Fats Raw Data'!AA18:AA37)/SUM('Fats Raw Data'!AA18:AA37),"")</f>
        <v/>
      </c>
      <c r="BX18">
        <f>IFERROR(SQRT((SUMSQ('Fats Raw Data'!V18:V37)-2*SUMPRODUCT('Fats Raw Data'!V18:V37,'Fats Raw Data'!V19:V38)+SUMSQ('Fats Raw Data'!V19:V38)-('Fats Raw Data'!V18-'Fats Raw Data'!V38)^2/20)/19),"")</f>
        <v>0</v>
      </c>
      <c r="BZ18">
        <f>IFERROR('Fats Raw Data'!AE18,"")</f>
        <v>0</v>
      </c>
      <c r="CA18">
        <f>IFERROR('Fats Raw Data'!AJ18,"")</f>
        <v>0</v>
      </c>
      <c r="CB18">
        <f>IFERROR('Fats Raw Data'!AL18-'Fats Raw Data'!AL19,"")</f>
        <v>0</v>
      </c>
      <c r="CC18" t="str">
        <f>IFERROR(AVERAGE('Fats Raw Data'!AL18:AL22),"")</f>
        <v/>
      </c>
      <c r="CD18" t="str">
        <f>IFERROR(SUMPRODUCT('Fats Raw Data'!AF18:AF37,'Fats Raw Data'!AK18:AK37)/SUM('Fats Raw Data'!AK18:AK37),"")</f>
        <v/>
      </c>
      <c r="CE18">
        <f>IFERROR(SQRT((SUMSQ('Fats Raw Data'!AF18:AF37)-2*SUMPRODUCT('Fats Raw Data'!AF18:AF37,'Fats Raw Data'!AF19:AF38)+SUMSQ('Fats Raw Data'!AF19:AF38)-('Fats Raw Data'!AF18-'Fats Raw Data'!AF38)^2/20)/19),"")</f>
        <v>0</v>
      </c>
      <c r="CG18">
        <f>IFERROR('Fats Raw Data'!AO18,"")</f>
        <v>0</v>
      </c>
      <c r="CH18">
        <f>IFERROR('Fats Raw Data'!AT18,"")</f>
        <v>0</v>
      </c>
      <c r="CI18">
        <f>IFERROR('Fats Raw Data'!AV18-'Fats Raw Data'!AV19,"")</f>
        <v>0</v>
      </c>
      <c r="CJ18" t="str">
        <f>IFERROR(AVERAGE('Fats Raw Data'!AV18:AV22),"")</f>
        <v/>
      </c>
      <c r="CK18" t="str">
        <f>IFERROR(SUMPRODUCT('Fats Raw Data'!AP18:AP37,'Fats Raw Data'!AU18:AU37)/SUM('Fats Raw Data'!AU18:AU37),"")</f>
        <v/>
      </c>
      <c r="CL18">
        <f>IFERROR(SQRT((SUMSQ('Fats Raw Data'!AP18:AP37)-2*SUMPRODUCT('Fats Raw Data'!AP18:AP37,'Fats Raw Data'!AP19:AP38)+SUMSQ('Fats Raw Data'!AP19:AP38)-('Fats Raw Data'!AP18-'Fats Raw Data'!AP38)^2/20)/19),"")</f>
        <v>0</v>
      </c>
      <c r="CN18">
        <f>IFERROR('Fats Raw Data'!AY18,"")</f>
        <v>0</v>
      </c>
      <c r="CO18">
        <f>IFERROR('Fats Raw Data'!BD18,"")</f>
        <v>0</v>
      </c>
      <c r="CP18">
        <f>IFERROR('Fats Raw Data'!BF18-'Fats Raw Data'!BF19,"")</f>
        <v>0</v>
      </c>
      <c r="CQ18" t="str">
        <f>IFERROR(AVERAGE('Fats Raw Data'!BF18:BF22),"")</f>
        <v/>
      </c>
      <c r="CR18" t="str">
        <f>IFERROR(SUMPRODUCT('Fats Raw Data'!AZ18:AZ37,'Fats Raw Data'!BE18:BE37)/SUM('Fats Raw Data'!BE18:BE37),"")</f>
        <v/>
      </c>
      <c r="CS18">
        <f>IFERROR(SQRT((SUMSQ('Fats Raw Data'!AZ18:AZ37)-2*SUMPRODUCT('Fats Raw Data'!AZ18:AZ37,'Fats Raw Data'!AZ19:AZ38)+SUMSQ('Fats Raw Data'!AZ19:AZ38)-('Fats Raw Data'!AZ18-'Fats Raw Data'!AZ38)^2/20)/19),"")</f>
        <v>0</v>
      </c>
    </row>
    <row r="19" spans="1:97" x14ac:dyDescent="0.25">
      <c r="A19">
        <f>IFERROR('Feeders Raw Data'!A19,"")</f>
        <v>0</v>
      </c>
      <c r="B19">
        <f>IFERROR('Feeders Raw Data'!F19,"")</f>
        <v>0</v>
      </c>
      <c r="C19">
        <f>IFERROR('Feeders Raw Data'!H19-'Feeders Raw Data'!H20,"")</f>
        <v>0</v>
      </c>
      <c r="D19" t="str">
        <f>IFERROR(AVERAGE('Feeders Raw Data'!H19:H23),"")</f>
        <v/>
      </c>
      <c r="E19" t="str">
        <f>IFERROR(SUMPRODUCT('Feeders Raw Data'!B19:B38,'Feeders Raw Data'!G19:G38)/SUM('Feeders Raw Data'!G19:G38),"")</f>
        <v/>
      </c>
      <c r="F19">
        <f>IFERROR(SQRT((SUMSQ('Feeders Raw Data'!B19:B38)-2*SUMPRODUCT('Feeders Raw Data'!B19:B38,'Feeders Raw Data'!B20:B39)+SUMSQ('Feeders Raw Data'!B20:B39)-('Feeders Raw Data'!B19-'Feeders Raw Data'!B39)^2/20)/19),"")</f>
        <v>0</v>
      </c>
      <c r="H19">
        <f>IFERROR('Feeders Raw Data'!K19,"")</f>
        <v>0</v>
      </c>
      <c r="I19">
        <f>IFERROR('Feeders Raw Data'!P19,"")</f>
        <v>0</v>
      </c>
      <c r="J19">
        <f>IFERROR('Feeders Raw Data'!R19-'Feeders Raw Data'!R20,"")</f>
        <v>0</v>
      </c>
      <c r="K19" t="str">
        <f>IFERROR(AVERAGE('Feeders Raw Data'!R19:R23),"")</f>
        <v/>
      </c>
      <c r="L19" t="str">
        <f>IFERROR(SUMPRODUCT('Feeders Raw Data'!L19:L38,'Feeders Raw Data'!Q19:Q38)/SUM('Feeders Raw Data'!Q19:Q38),"")</f>
        <v/>
      </c>
      <c r="M19">
        <f>IFERROR(SQRT((SUMSQ('Feeders Raw Data'!L19:L38)-2*SUMPRODUCT('Feeders Raw Data'!L19:L38,'Feeders Raw Data'!L20:L39)+SUMSQ('Feeders Raw Data'!L20:L39)-('Feeders Raw Data'!L19-'Feeders Raw Data'!L39)^2/20)/19),"")</f>
        <v>0</v>
      </c>
      <c r="O19">
        <f>IFERROR('Feeders Raw Data'!U19,"")</f>
        <v>0</v>
      </c>
      <c r="P19">
        <f>IFERROR('Feeders Raw Data'!Z19,"")</f>
        <v>0</v>
      </c>
      <c r="Q19">
        <f>IFERROR('Feeders Raw Data'!AB19-'Feeders Raw Data'!AB20,"")</f>
        <v>0</v>
      </c>
      <c r="R19" t="str">
        <f>IFERROR(AVERAGE('Feeders Raw Data'!AB19:AB23),"")</f>
        <v/>
      </c>
      <c r="S19" t="str">
        <f>IFERROR(SUMPRODUCT('Feeders Raw Data'!V19:V38,'Feeders Raw Data'!AA19:AA38)/SUM('Feeders Raw Data'!AA19:AA38),"")</f>
        <v/>
      </c>
      <c r="T19">
        <f>IFERROR(SQRT((SUMSQ('Feeders Raw Data'!V19:V38)-2*SUMPRODUCT('Feeders Raw Data'!V19:V38,'Feeders Raw Data'!V20:V39)+SUMSQ('Feeders Raw Data'!V20:V39)-('Feeders Raw Data'!V19-'Feeders Raw Data'!V39)^2/20)/19),"")</f>
        <v>0</v>
      </c>
      <c r="V19">
        <f>IFERROR('Feeders Raw Data'!AE19,"")</f>
        <v>0</v>
      </c>
      <c r="W19">
        <f>IFERROR('Feeders Raw Data'!AJ19,"")</f>
        <v>0</v>
      </c>
      <c r="X19">
        <f>IFERROR('Feeders Raw Data'!AL19-'Feeders Raw Data'!AL20,"")</f>
        <v>0</v>
      </c>
      <c r="Y19" t="str">
        <f>IFERROR(AVERAGE('Feeders Raw Data'!AL19:AL23),"")</f>
        <v/>
      </c>
      <c r="Z19" t="str">
        <f>IFERROR(SUMPRODUCT('Feeders Raw Data'!AF19:AF38,'Feeders Raw Data'!AK19:AK38)/SUM('Feeders Raw Data'!AK19:AK38),"")</f>
        <v/>
      </c>
      <c r="AA19">
        <f>IFERROR(SQRT((SUMSQ('Feeders Raw Data'!AF19:AF38)-2*SUMPRODUCT('Feeders Raw Data'!AF19:AF38,'Feeders Raw Data'!AF20:AF39)+SUMSQ('Feeders Raw Data'!AF20:AF39)-('Feeders Raw Data'!AF19-'Feeders Raw Data'!AF39)^2/20)/19),"")</f>
        <v>0</v>
      </c>
      <c r="AC19">
        <f>IFERROR('Feeders Raw Data'!AO19,"")</f>
        <v>0</v>
      </c>
      <c r="AD19">
        <f>IFERROR('Feeders Raw Data'!AT19,"")</f>
        <v>0</v>
      </c>
      <c r="AE19">
        <f>IFERROR('Feeders Raw Data'!AV19-'Feeders Raw Data'!AV20,"")</f>
        <v>0</v>
      </c>
      <c r="AF19" t="str">
        <f>IFERROR(AVERAGE('Feeders Raw Data'!AV19:AV23),"")</f>
        <v/>
      </c>
      <c r="AG19" t="str">
        <f>IFERROR(SUMPRODUCT('Feeders Raw Data'!AP19:AP38,'Feeders Raw Data'!AU19:AU38)/SUM('Feeders Raw Data'!AU19:AU38),"")</f>
        <v/>
      </c>
      <c r="AH19">
        <f>IFERROR(SQRT((SUMSQ('Feeders Raw Data'!AP19:AP38)-2*SUMPRODUCT('Feeders Raw Data'!AP19:AP38,'Feeders Raw Data'!AP20:AP39)+SUMSQ('Feeders Raw Data'!AP20:AP39)-('Feeders Raw Data'!AP19-'Feeders Raw Data'!AP39)^2/20)/19),"")</f>
        <v>0</v>
      </c>
      <c r="AJ19">
        <f>IFERROR('Feeders Raw Data'!AY19,"")</f>
        <v>0</v>
      </c>
      <c r="AK19">
        <f>IFERROR('Feeders Raw Data'!BD19,"")</f>
        <v>0</v>
      </c>
      <c r="AL19">
        <f>IFERROR('Feeders Raw Data'!BF19-'Feeders Raw Data'!BF20,"")</f>
        <v>0</v>
      </c>
      <c r="AM19" t="str">
        <f>IFERROR(AVERAGE('Feeders Raw Data'!BF19:BF23),"")</f>
        <v/>
      </c>
      <c r="AN19" t="str">
        <f>IFERROR(SUMPRODUCT('Feeders Raw Data'!AZ19:AZ38,'Feeders Raw Data'!BE19:BE38)/SUM('Feeders Raw Data'!BE19:BE38),"")</f>
        <v/>
      </c>
      <c r="AO19">
        <f>IFERROR(SQRT((SUMSQ('Feeders Raw Data'!AZ19:AZ38)-2*SUMPRODUCT('Feeders Raw Data'!AZ19:AZ38,'Feeders Raw Data'!AZ20:AZ39)+SUMSQ('Feeders Raw Data'!AZ20:AZ39)-('Feeders Raw Data'!AZ19-'Feeders Raw Data'!AZ39)^2/20)/19),"")</f>
        <v>0</v>
      </c>
      <c r="AQ19">
        <f>IFERROR('Feeders Raw Data'!BI19,"")</f>
        <v>0</v>
      </c>
      <c r="AR19">
        <f>IFERROR('Feeders Raw Data'!BN19,"")</f>
        <v>0</v>
      </c>
      <c r="AS19">
        <f>IFERROR('Feeders Raw Data'!BP19-'Feeders Raw Data'!BP20,"")</f>
        <v>0</v>
      </c>
      <c r="AT19" t="str">
        <f>IFERROR(AVERAGE('Feeders Raw Data'!BP19:BP23),"")</f>
        <v/>
      </c>
      <c r="AU19" t="str">
        <f>IFERROR(SUMPRODUCT('Feeders Raw Data'!BJ19:BJ38,'Feeders Raw Data'!BO19:BO38)/SUM('Feeders Raw Data'!BO19:BO38),"")</f>
        <v/>
      </c>
      <c r="AV19">
        <f>IFERROR(SQRT((SUMSQ('Feeders Raw Data'!BJ19:BJ38)-2*SUMPRODUCT('Feeders Raw Data'!BJ19:BJ38,'Feeders Raw Data'!BJ20:BJ39)+SUMSQ('Feeders Raw Data'!BJ20:BJ39)-('Feeders Raw Data'!BJ19-'Feeders Raw Data'!BJ39)^2/20)/19),"")</f>
        <v>0</v>
      </c>
      <c r="AX19">
        <f>IFERROR('Feeders Raw Data'!BS19,"")</f>
        <v>0</v>
      </c>
      <c r="AY19">
        <f>IFERROR('Feeders Raw Data'!BX19,"")</f>
        <v>0</v>
      </c>
      <c r="AZ19">
        <f>IFERROR('Feeders Raw Data'!BZ19-'Feeders Raw Data'!BZ20,"")</f>
        <v>0</v>
      </c>
      <c r="BA19" t="str">
        <f>IFERROR(AVERAGE('Feeders Raw Data'!BZ19:BZ23),"")</f>
        <v/>
      </c>
      <c r="BB19" t="str">
        <f>IFERROR(SUMPRODUCT('Feeders Raw Data'!BT19:BT38,'Feeders Raw Data'!BY19:BY38)/SUM('Feeders Raw Data'!BY19:BY38),"")</f>
        <v/>
      </c>
      <c r="BC19">
        <f>IFERROR(SQRT((SUMSQ('Feeders Raw Data'!BT19:BT38)-2*SUMPRODUCT('Feeders Raw Data'!BT19:BT38,'Feeders Raw Data'!BT20:BT39)+SUMSQ('Feeders Raw Data'!BT20:BT39)-('Feeders Raw Data'!BT19-'Feeders Raw Data'!BT39)^2/20)/19),"")</f>
        <v>0</v>
      </c>
      <c r="BE19">
        <f>IFERROR('Fats Raw Data'!A19,"")</f>
        <v>0</v>
      </c>
      <c r="BF19">
        <f>IFERROR('Fats Raw Data'!F19,"")</f>
        <v>0</v>
      </c>
      <c r="BG19">
        <f>IFERROR('Fats Raw Data'!H19-'Fats Raw Data'!H20,"")</f>
        <v>0</v>
      </c>
      <c r="BH19" t="str">
        <f>IFERROR(AVERAGE('Fats Raw Data'!H19:H23),"")</f>
        <v/>
      </c>
      <c r="BI19" t="str">
        <f>IFERROR(SUMPRODUCT('Fats Raw Data'!B19:B38,'Fats Raw Data'!G19:G38)/SUM('Fats Raw Data'!G19:G38),"")</f>
        <v/>
      </c>
      <c r="BJ19">
        <f>IFERROR(SQRT((SUMSQ('Fats Raw Data'!B19:B38)-2*SUMPRODUCT('Fats Raw Data'!B19:B38,'Fats Raw Data'!B20:B39)+SUMSQ('Fats Raw Data'!B20:B39)-('Fats Raw Data'!B19-'Fats Raw Data'!B39)^2/20)/19),"")</f>
        <v>0</v>
      </c>
      <c r="BL19">
        <f>IFERROR('Fats Raw Data'!K19,"")</f>
        <v>0</v>
      </c>
      <c r="BM19">
        <f>IFERROR('Fats Raw Data'!P19,"")</f>
        <v>0</v>
      </c>
      <c r="BN19">
        <f>IFERROR('Fats Raw Data'!R19-'Fats Raw Data'!R20,"")</f>
        <v>0</v>
      </c>
      <c r="BO19" t="str">
        <f>IFERROR(AVERAGE('Fats Raw Data'!R19:R23),"")</f>
        <v/>
      </c>
      <c r="BP19" t="str">
        <f>IFERROR(SUMPRODUCT('Fats Raw Data'!L19:L38,'Fats Raw Data'!Q19:Q38)/SUM('Fats Raw Data'!Q19:Q38),"")</f>
        <v/>
      </c>
      <c r="BQ19">
        <f>IFERROR(SQRT((SUMSQ('Fats Raw Data'!L19:L38)-2*SUMPRODUCT('Fats Raw Data'!L19:L38,'Fats Raw Data'!L20:L39)+SUMSQ('Fats Raw Data'!L20:L39)-('Fats Raw Data'!L19-'Fats Raw Data'!L39)^2/20)/19),"")</f>
        <v>0</v>
      </c>
      <c r="BS19">
        <f>IFERROR('Fats Raw Data'!U19,"")</f>
        <v>0</v>
      </c>
      <c r="BT19">
        <f>IFERROR('Fats Raw Data'!Z19,"")</f>
        <v>0</v>
      </c>
      <c r="BU19">
        <f>IFERROR('Fats Raw Data'!AB19-'Fats Raw Data'!AB20,"")</f>
        <v>0</v>
      </c>
      <c r="BV19" t="str">
        <f>IFERROR(AVERAGE('Fats Raw Data'!AB19:AB23),"")</f>
        <v/>
      </c>
      <c r="BW19" t="str">
        <f>IFERROR(SUMPRODUCT('Fats Raw Data'!V19:V38,'Fats Raw Data'!AA19:AA38)/SUM('Fats Raw Data'!AA19:AA38),"")</f>
        <v/>
      </c>
      <c r="BX19">
        <f>IFERROR(SQRT((SUMSQ('Fats Raw Data'!V19:V38)-2*SUMPRODUCT('Fats Raw Data'!V19:V38,'Fats Raw Data'!V20:V39)+SUMSQ('Fats Raw Data'!V20:V39)-('Fats Raw Data'!V19-'Fats Raw Data'!V39)^2/20)/19),"")</f>
        <v>0</v>
      </c>
      <c r="BZ19">
        <f>IFERROR('Fats Raw Data'!AE19,"")</f>
        <v>0</v>
      </c>
      <c r="CA19">
        <f>IFERROR('Fats Raw Data'!AJ19,"")</f>
        <v>0</v>
      </c>
      <c r="CB19">
        <f>IFERROR('Fats Raw Data'!AL19-'Fats Raw Data'!AL20,"")</f>
        <v>0</v>
      </c>
      <c r="CC19" t="str">
        <f>IFERROR(AVERAGE('Fats Raw Data'!AL19:AL23),"")</f>
        <v/>
      </c>
      <c r="CD19" t="str">
        <f>IFERROR(SUMPRODUCT('Fats Raw Data'!AF19:AF38,'Fats Raw Data'!AK19:AK38)/SUM('Fats Raw Data'!AK19:AK38),"")</f>
        <v/>
      </c>
      <c r="CE19">
        <f>IFERROR(SQRT((SUMSQ('Fats Raw Data'!AF19:AF38)-2*SUMPRODUCT('Fats Raw Data'!AF19:AF38,'Fats Raw Data'!AF20:AF39)+SUMSQ('Fats Raw Data'!AF20:AF39)-('Fats Raw Data'!AF19-'Fats Raw Data'!AF39)^2/20)/19),"")</f>
        <v>0</v>
      </c>
      <c r="CG19">
        <f>IFERROR('Fats Raw Data'!AO19,"")</f>
        <v>0</v>
      </c>
      <c r="CH19">
        <f>IFERROR('Fats Raw Data'!AT19,"")</f>
        <v>0</v>
      </c>
      <c r="CI19">
        <f>IFERROR('Fats Raw Data'!AV19-'Fats Raw Data'!AV20,"")</f>
        <v>0</v>
      </c>
      <c r="CJ19" t="str">
        <f>IFERROR(AVERAGE('Fats Raw Data'!AV19:AV23),"")</f>
        <v/>
      </c>
      <c r="CK19" t="str">
        <f>IFERROR(SUMPRODUCT('Fats Raw Data'!AP19:AP38,'Fats Raw Data'!AU19:AU38)/SUM('Fats Raw Data'!AU19:AU38),"")</f>
        <v/>
      </c>
      <c r="CL19">
        <f>IFERROR(SQRT((SUMSQ('Fats Raw Data'!AP19:AP38)-2*SUMPRODUCT('Fats Raw Data'!AP19:AP38,'Fats Raw Data'!AP20:AP39)+SUMSQ('Fats Raw Data'!AP20:AP39)-('Fats Raw Data'!AP19-'Fats Raw Data'!AP39)^2/20)/19),"")</f>
        <v>0</v>
      </c>
      <c r="CN19">
        <f>IFERROR('Fats Raw Data'!AY19,"")</f>
        <v>0</v>
      </c>
      <c r="CO19">
        <f>IFERROR('Fats Raw Data'!BD19,"")</f>
        <v>0</v>
      </c>
      <c r="CP19">
        <f>IFERROR('Fats Raw Data'!BF19-'Fats Raw Data'!BF20,"")</f>
        <v>0</v>
      </c>
      <c r="CQ19" t="str">
        <f>IFERROR(AVERAGE('Fats Raw Data'!BF19:BF23),"")</f>
        <v/>
      </c>
      <c r="CR19" t="str">
        <f>IFERROR(SUMPRODUCT('Fats Raw Data'!AZ19:AZ38,'Fats Raw Data'!BE19:BE38)/SUM('Fats Raw Data'!BE19:BE38),"")</f>
        <v/>
      </c>
      <c r="CS19">
        <f>IFERROR(SQRT((SUMSQ('Fats Raw Data'!AZ19:AZ38)-2*SUMPRODUCT('Fats Raw Data'!AZ19:AZ38,'Fats Raw Data'!AZ20:AZ39)+SUMSQ('Fats Raw Data'!AZ20:AZ39)-('Fats Raw Data'!AZ19-'Fats Raw Data'!AZ39)^2/20)/19),"")</f>
        <v>0</v>
      </c>
    </row>
    <row r="20" spans="1:97" x14ac:dyDescent="0.25">
      <c r="A20">
        <f>IFERROR('Feeders Raw Data'!A20,"")</f>
        <v>0</v>
      </c>
      <c r="B20">
        <f>IFERROR('Feeders Raw Data'!F20,"")</f>
        <v>0</v>
      </c>
      <c r="C20">
        <f>IFERROR('Feeders Raw Data'!H20-'Feeders Raw Data'!H21,"")</f>
        <v>0</v>
      </c>
      <c r="D20" t="str">
        <f>IFERROR(AVERAGE('Feeders Raw Data'!H20:H24),"")</f>
        <v/>
      </c>
      <c r="E20" t="str">
        <f>IFERROR(SUMPRODUCT('Feeders Raw Data'!B20:B39,'Feeders Raw Data'!G20:G39)/SUM('Feeders Raw Data'!G20:G39),"")</f>
        <v/>
      </c>
      <c r="F20">
        <f>IFERROR(SQRT((SUMSQ('Feeders Raw Data'!B20:B39)-2*SUMPRODUCT('Feeders Raw Data'!B20:B39,'Feeders Raw Data'!B21:B40)+SUMSQ('Feeders Raw Data'!B21:B40)-('Feeders Raw Data'!B20-'Feeders Raw Data'!B40)^2/20)/19),"")</f>
        <v>0</v>
      </c>
      <c r="H20">
        <f>IFERROR('Feeders Raw Data'!K20,"")</f>
        <v>0</v>
      </c>
      <c r="I20">
        <f>IFERROR('Feeders Raw Data'!P20,"")</f>
        <v>0</v>
      </c>
      <c r="J20">
        <f>IFERROR('Feeders Raw Data'!R20-'Feeders Raw Data'!R21,"")</f>
        <v>0</v>
      </c>
      <c r="K20" t="str">
        <f>IFERROR(AVERAGE('Feeders Raw Data'!R20:R24),"")</f>
        <v/>
      </c>
      <c r="L20" t="str">
        <f>IFERROR(SUMPRODUCT('Feeders Raw Data'!L20:L39,'Feeders Raw Data'!Q20:Q39)/SUM('Feeders Raw Data'!Q20:Q39),"")</f>
        <v/>
      </c>
      <c r="M20">
        <f>IFERROR(SQRT((SUMSQ('Feeders Raw Data'!L20:L39)-2*SUMPRODUCT('Feeders Raw Data'!L20:L39,'Feeders Raw Data'!L21:L40)+SUMSQ('Feeders Raw Data'!L21:L40)-('Feeders Raw Data'!L20-'Feeders Raw Data'!L40)^2/20)/19),"")</f>
        <v>0</v>
      </c>
      <c r="O20">
        <f>IFERROR('Feeders Raw Data'!U20,"")</f>
        <v>0</v>
      </c>
      <c r="P20">
        <f>IFERROR('Feeders Raw Data'!Z20,"")</f>
        <v>0</v>
      </c>
      <c r="Q20">
        <f>IFERROR('Feeders Raw Data'!AB20-'Feeders Raw Data'!AB21,"")</f>
        <v>0</v>
      </c>
      <c r="R20" t="str">
        <f>IFERROR(AVERAGE('Feeders Raw Data'!AB20:AB24),"")</f>
        <v/>
      </c>
      <c r="S20" t="str">
        <f>IFERROR(SUMPRODUCT('Feeders Raw Data'!V20:V39,'Feeders Raw Data'!AA20:AA39)/SUM('Feeders Raw Data'!AA20:AA39),"")</f>
        <v/>
      </c>
      <c r="T20">
        <f>IFERROR(SQRT((SUMSQ('Feeders Raw Data'!V20:V39)-2*SUMPRODUCT('Feeders Raw Data'!V20:V39,'Feeders Raw Data'!V21:V40)+SUMSQ('Feeders Raw Data'!V21:V40)-('Feeders Raw Data'!V20-'Feeders Raw Data'!V40)^2/20)/19),"")</f>
        <v>0</v>
      </c>
      <c r="V20">
        <f>IFERROR('Feeders Raw Data'!AE20,"")</f>
        <v>0</v>
      </c>
      <c r="W20">
        <f>IFERROR('Feeders Raw Data'!AJ20,"")</f>
        <v>0</v>
      </c>
      <c r="X20">
        <f>IFERROR('Feeders Raw Data'!AL20-'Feeders Raw Data'!AL21,"")</f>
        <v>0</v>
      </c>
      <c r="Y20" t="str">
        <f>IFERROR(AVERAGE('Feeders Raw Data'!AL20:AL24),"")</f>
        <v/>
      </c>
      <c r="Z20" t="str">
        <f>IFERROR(SUMPRODUCT('Feeders Raw Data'!AF20:AF39,'Feeders Raw Data'!AK20:AK39)/SUM('Feeders Raw Data'!AK20:AK39),"")</f>
        <v/>
      </c>
      <c r="AA20">
        <f>IFERROR(SQRT((SUMSQ('Feeders Raw Data'!AF20:AF39)-2*SUMPRODUCT('Feeders Raw Data'!AF20:AF39,'Feeders Raw Data'!AF21:AF40)+SUMSQ('Feeders Raw Data'!AF21:AF40)-('Feeders Raw Data'!AF20-'Feeders Raw Data'!AF40)^2/20)/19),"")</f>
        <v>0</v>
      </c>
      <c r="AC20">
        <f>IFERROR('Feeders Raw Data'!AO20,"")</f>
        <v>0</v>
      </c>
      <c r="AD20">
        <f>IFERROR('Feeders Raw Data'!AT20,"")</f>
        <v>0</v>
      </c>
      <c r="AE20">
        <f>IFERROR('Feeders Raw Data'!AV20-'Feeders Raw Data'!AV21,"")</f>
        <v>0</v>
      </c>
      <c r="AF20" t="str">
        <f>IFERROR(AVERAGE('Feeders Raw Data'!AV20:AV24),"")</f>
        <v/>
      </c>
      <c r="AG20" t="str">
        <f>IFERROR(SUMPRODUCT('Feeders Raw Data'!AP20:AP39,'Feeders Raw Data'!AU20:AU39)/SUM('Feeders Raw Data'!AU20:AU39),"")</f>
        <v/>
      </c>
      <c r="AH20">
        <f>IFERROR(SQRT((SUMSQ('Feeders Raw Data'!AP20:AP39)-2*SUMPRODUCT('Feeders Raw Data'!AP20:AP39,'Feeders Raw Data'!AP21:AP40)+SUMSQ('Feeders Raw Data'!AP21:AP40)-('Feeders Raw Data'!AP20-'Feeders Raw Data'!AP40)^2/20)/19),"")</f>
        <v>0</v>
      </c>
      <c r="AJ20">
        <f>IFERROR('Feeders Raw Data'!AY20,"")</f>
        <v>0</v>
      </c>
      <c r="AK20">
        <f>IFERROR('Feeders Raw Data'!BD20,"")</f>
        <v>0</v>
      </c>
      <c r="AL20">
        <f>IFERROR('Feeders Raw Data'!BF20-'Feeders Raw Data'!BF21,"")</f>
        <v>0</v>
      </c>
      <c r="AM20" t="str">
        <f>IFERROR(AVERAGE('Feeders Raw Data'!BF20:BF24),"")</f>
        <v/>
      </c>
      <c r="AN20" t="str">
        <f>IFERROR(SUMPRODUCT('Feeders Raw Data'!AZ20:AZ39,'Feeders Raw Data'!BE20:BE39)/SUM('Feeders Raw Data'!BE20:BE39),"")</f>
        <v/>
      </c>
      <c r="AO20">
        <f>IFERROR(SQRT((SUMSQ('Feeders Raw Data'!AZ20:AZ39)-2*SUMPRODUCT('Feeders Raw Data'!AZ20:AZ39,'Feeders Raw Data'!AZ21:AZ40)+SUMSQ('Feeders Raw Data'!AZ21:AZ40)-('Feeders Raw Data'!AZ20-'Feeders Raw Data'!AZ40)^2/20)/19),"")</f>
        <v>0</v>
      </c>
      <c r="AQ20">
        <f>IFERROR('Feeders Raw Data'!BI20,"")</f>
        <v>0</v>
      </c>
      <c r="AR20">
        <f>IFERROR('Feeders Raw Data'!BN20,"")</f>
        <v>0</v>
      </c>
      <c r="AS20">
        <f>IFERROR('Feeders Raw Data'!BP20-'Feeders Raw Data'!BP21,"")</f>
        <v>0</v>
      </c>
      <c r="AT20" t="str">
        <f>IFERROR(AVERAGE('Feeders Raw Data'!BP20:BP24),"")</f>
        <v/>
      </c>
      <c r="AU20" t="str">
        <f>IFERROR(SUMPRODUCT('Feeders Raw Data'!BJ20:BJ39,'Feeders Raw Data'!BO20:BO39)/SUM('Feeders Raw Data'!BO20:BO39),"")</f>
        <v/>
      </c>
      <c r="AV20">
        <f>IFERROR(SQRT((SUMSQ('Feeders Raw Data'!BJ20:BJ39)-2*SUMPRODUCT('Feeders Raw Data'!BJ20:BJ39,'Feeders Raw Data'!BJ21:BJ40)+SUMSQ('Feeders Raw Data'!BJ21:BJ40)-('Feeders Raw Data'!BJ20-'Feeders Raw Data'!BJ40)^2/20)/19),"")</f>
        <v>0</v>
      </c>
      <c r="AX20">
        <f>IFERROR('Feeders Raw Data'!BS20,"")</f>
        <v>0</v>
      </c>
      <c r="AY20">
        <f>IFERROR('Feeders Raw Data'!BX20,"")</f>
        <v>0</v>
      </c>
      <c r="AZ20">
        <f>IFERROR('Feeders Raw Data'!BZ20-'Feeders Raw Data'!BZ21,"")</f>
        <v>0</v>
      </c>
      <c r="BA20" t="str">
        <f>IFERROR(AVERAGE('Feeders Raw Data'!BZ20:BZ24),"")</f>
        <v/>
      </c>
      <c r="BB20" t="str">
        <f>IFERROR(SUMPRODUCT('Feeders Raw Data'!BT20:BT39,'Feeders Raw Data'!BY20:BY39)/SUM('Feeders Raw Data'!BY20:BY39),"")</f>
        <v/>
      </c>
      <c r="BC20">
        <f>IFERROR(SQRT((SUMSQ('Feeders Raw Data'!BT20:BT39)-2*SUMPRODUCT('Feeders Raw Data'!BT20:BT39,'Feeders Raw Data'!BT21:BT40)+SUMSQ('Feeders Raw Data'!BT21:BT40)-('Feeders Raw Data'!BT20-'Feeders Raw Data'!BT40)^2/20)/19),"")</f>
        <v>0</v>
      </c>
      <c r="BE20">
        <f>IFERROR('Fats Raw Data'!A20,"")</f>
        <v>0</v>
      </c>
      <c r="BF20">
        <f>IFERROR('Fats Raw Data'!F20,"")</f>
        <v>0</v>
      </c>
      <c r="BG20">
        <f>IFERROR('Fats Raw Data'!H20-'Fats Raw Data'!H21,"")</f>
        <v>0</v>
      </c>
      <c r="BH20" t="str">
        <f>IFERROR(AVERAGE('Fats Raw Data'!H20:H24),"")</f>
        <v/>
      </c>
      <c r="BI20" t="str">
        <f>IFERROR(SUMPRODUCT('Fats Raw Data'!B20:B39,'Fats Raw Data'!G20:G39)/SUM('Fats Raw Data'!G20:G39),"")</f>
        <v/>
      </c>
      <c r="BJ20">
        <f>IFERROR(SQRT((SUMSQ('Fats Raw Data'!B20:B39)-2*SUMPRODUCT('Fats Raw Data'!B20:B39,'Fats Raw Data'!B21:B40)+SUMSQ('Fats Raw Data'!B21:B40)-('Fats Raw Data'!B20-'Fats Raw Data'!B40)^2/20)/19),"")</f>
        <v>0</v>
      </c>
      <c r="BL20">
        <f>IFERROR('Fats Raw Data'!K20,"")</f>
        <v>0</v>
      </c>
      <c r="BM20">
        <f>IFERROR('Fats Raw Data'!P20,"")</f>
        <v>0</v>
      </c>
      <c r="BN20">
        <f>IFERROR('Fats Raw Data'!R20-'Fats Raw Data'!R21,"")</f>
        <v>0</v>
      </c>
      <c r="BO20" t="str">
        <f>IFERROR(AVERAGE('Fats Raw Data'!R20:R24),"")</f>
        <v/>
      </c>
      <c r="BP20" t="str">
        <f>IFERROR(SUMPRODUCT('Fats Raw Data'!L20:L39,'Fats Raw Data'!Q20:Q39)/SUM('Fats Raw Data'!Q20:Q39),"")</f>
        <v/>
      </c>
      <c r="BQ20">
        <f>IFERROR(SQRT((SUMSQ('Fats Raw Data'!L20:L39)-2*SUMPRODUCT('Fats Raw Data'!L20:L39,'Fats Raw Data'!L21:L40)+SUMSQ('Fats Raw Data'!L21:L40)-('Fats Raw Data'!L20-'Fats Raw Data'!L40)^2/20)/19),"")</f>
        <v>0</v>
      </c>
      <c r="BS20">
        <f>IFERROR('Fats Raw Data'!U20,"")</f>
        <v>0</v>
      </c>
      <c r="BT20">
        <f>IFERROR('Fats Raw Data'!Z20,"")</f>
        <v>0</v>
      </c>
      <c r="BU20">
        <f>IFERROR('Fats Raw Data'!AB20-'Fats Raw Data'!AB21,"")</f>
        <v>0</v>
      </c>
      <c r="BV20" t="str">
        <f>IFERROR(AVERAGE('Fats Raw Data'!AB20:AB24),"")</f>
        <v/>
      </c>
      <c r="BW20" t="str">
        <f>IFERROR(SUMPRODUCT('Fats Raw Data'!V20:V39,'Fats Raw Data'!AA20:AA39)/SUM('Fats Raw Data'!AA20:AA39),"")</f>
        <v/>
      </c>
      <c r="BX20">
        <f>IFERROR(SQRT((SUMSQ('Fats Raw Data'!V20:V39)-2*SUMPRODUCT('Fats Raw Data'!V20:V39,'Fats Raw Data'!V21:V40)+SUMSQ('Fats Raw Data'!V21:V40)-('Fats Raw Data'!V20-'Fats Raw Data'!V40)^2/20)/19),"")</f>
        <v>0</v>
      </c>
      <c r="BZ20">
        <f>IFERROR('Fats Raw Data'!AE20,"")</f>
        <v>0</v>
      </c>
      <c r="CA20">
        <f>IFERROR('Fats Raw Data'!AJ20,"")</f>
        <v>0</v>
      </c>
      <c r="CB20">
        <f>IFERROR('Fats Raw Data'!AL20-'Fats Raw Data'!AL21,"")</f>
        <v>0</v>
      </c>
      <c r="CC20" t="str">
        <f>IFERROR(AVERAGE('Fats Raw Data'!AL20:AL24),"")</f>
        <v/>
      </c>
      <c r="CD20" t="str">
        <f>IFERROR(SUMPRODUCT('Fats Raw Data'!AF20:AF39,'Fats Raw Data'!AK20:AK39)/SUM('Fats Raw Data'!AK20:AK39),"")</f>
        <v/>
      </c>
      <c r="CE20">
        <f>IFERROR(SQRT((SUMSQ('Fats Raw Data'!AF20:AF39)-2*SUMPRODUCT('Fats Raw Data'!AF20:AF39,'Fats Raw Data'!AF21:AF40)+SUMSQ('Fats Raw Data'!AF21:AF40)-('Fats Raw Data'!AF20-'Fats Raw Data'!AF40)^2/20)/19),"")</f>
        <v>0</v>
      </c>
      <c r="CG20">
        <f>IFERROR('Fats Raw Data'!AO20,"")</f>
        <v>0</v>
      </c>
      <c r="CH20">
        <f>IFERROR('Fats Raw Data'!AT20,"")</f>
        <v>0</v>
      </c>
      <c r="CI20">
        <f>IFERROR('Fats Raw Data'!AV20-'Fats Raw Data'!AV21,"")</f>
        <v>0</v>
      </c>
      <c r="CJ20" t="str">
        <f>IFERROR(AVERAGE('Fats Raw Data'!AV20:AV24),"")</f>
        <v/>
      </c>
      <c r="CK20" t="str">
        <f>IFERROR(SUMPRODUCT('Fats Raw Data'!AP20:AP39,'Fats Raw Data'!AU20:AU39)/SUM('Fats Raw Data'!AU20:AU39),"")</f>
        <v/>
      </c>
      <c r="CL20">
        <f>IFERROR(SQRT((SUMSQ('Fats Raw Data'!AP20:AP39)-2*SUMPRODUCT('Fats Raw Data'!AP20:AP39,'Fats Raw Data'!AP21:AP40)+SUMSQ('Fats Raw Data'!AP21:AP40)-('Fats Raw Data'!AP20-'Fats Raw Data'!AP40)^2/20)/19),"")</f>
        <v>0</v>
      </c>
      <c r="CN20">
        <f>IFERROR('Fats Raw Data'!AY20,"")</f>
        <v>0</v>
      </c>
      <c r="CO20">
        <f>IFERROR('Fats Raw Data'!BD20,"")</f>
        <v>0</v>
      </c>
      <c r="CP20">
        <f>IFERROR('Fats Raw Data'!BF20-'Fats Raw Data'!BF21,"")</f>
        <v>0</v>
      </c>
      <c r="CQ20" t="str">
        <f>IFERROR(AVERAGE('Fats Raw Data'!BF20:BF24),"")</f>
        <v/>
      </c>
      <c r="CR20" t="str">
        <f>IFERROR(SUMPRODUCT('Fats Raw Data'!AZ20:AZ39,'Fats Raw Data'!BE20:BE39)/SUM('Fats Raw Data'!BE20:BE39),"")</f>
        <v/>
      </c>
      <c r="CS20">
        <f>IFERROR(SQRT((SUMSQ('Fats Raw Data'!AZ20:AZ39)-2*SUMPRODUCT('Fats Raw Data'!AZ20:AZ39,'Fats Raw Data'!AZ21:AZ40)+SUMSQ('Fats Raw Data'!AZ21:AZ40)-('Fats Raw Data'!AZ20-'Fats Raw Data'!AZ40)^2/20)/19),"")</f>
        <v>0</v>
      </c>
    </row>
    <row r="21" spans="1:97" x14ac:dyDescent="0.25">
      <c r="A21">
        <f>IFERROR('Feeders Raw Data'!A21,"")</f>
        <v>0</v>
      </c>
      <c r="B21">
        <f>IFERROR('Feeders Raw Data'!F21,"")</f>
        <v>0</v>
      </c>
      <c r="C21">
        <f>IFERROR('Feeders Raw Data'!H21-'Feeders Raw Data'!H22,"")</f>
        <v>0</v>
      </c>
      <c r="D21" t="str">
        <f>IFERROR(AVERAGE('Feeders Raw Data'!H21:H25),"")</f>
        <v/>
      </c>
      <c r="E21" t="str">
        <f>IFERROR(SUMPRODUCT('Feeders Raw Data'!B21:B40,'Feeders Raw Data'!G21:G40)/SUM('Feeders Raw Data'!G21:G40),"")</f>
        <v/>
      </c>
      <c r="F21">
        <f>IFERROR(SQRT((SUMSQ('Feeders Raw Data'!B21:B40)-2*SUMPRODUCT('Feeders Raw Data'!B21:B40,'Feeders Raw Data'!B22:B41)+SUMSQ('Feeders Raw Data'!B22:B41)-('Feeders Raw Data'!B21-'Feeders Raw Data'!B41)^2/20)/19),"")</f>
        <v>0</v>
      </c>
      <c r="H21">
        <f>IFERROR('Feeders Raw Data'!K21,"")</f>
        <v>0</v>
      </c>
      <c r="I21">
        <f>IFERROR('Feeders Raw Data'!P21,"")</f>
        <v>0</v>
      </c>
      <c r="J21">
        <f>IFERROR('Feeders Raw Data'!R21-'Feeders Raw Data'!R22,"")</f>
        <v>0</v>
      </c>
      <c r="K21" t="str">
        <f>IFERROR(AVERAGE('Feeders Raw Data'!R21:R25),"")</f>
        <v/>
      </c>
      <c r="L21" t="str">
        <f>IFERROR(SUMPRODUCT('Feeders Raw Data'!L21:L40,'Feeders Raw Data'!Q21:Q40)/SUM('Feeders Raw Data'!Q21:Q40),"")</f>
        <v/>
      </c>
      <c r="M21">
        <f>IFERROR(SQRT((SUMSQ('Feeders Raw Data'!L21:L40)-2*SUMPRODUCT('Feeders Raw Data'!L21:L40,'Feeders Raw Data'!L22:L41)+SUMSQ('Feeders Raw Data'!L22:L41)-('Feeders Raw Data'!L21-'Feeders Raw Data'!L41)^2/20)/19),"")</f>
        <v>0</v>
      </c>
      <c r="O21">
        <f>IFERROR('Feeders Raw Data'!U21,"")</f>
        <v>0</v>
      </c>
      <c r="P21">
        <f>IFERROR('Feeders Raw Data'!Z21,"")</f>
        <v>0</v>
      </c>
      <c r="Q21">
        <f>IFERROR('Feeders Raw Data'!AB21-'Feeders Raw Data'!AB22,"")</f>
        <v>0</v>
      </c>
      <c r="R21" t="str">
        <f>IFERROR(AVERAGE('Feeders Raw Data'!AB21:AB25),"")</f>
        <v/>
      </c>
      <c r="S21" t="str">
        <f>IFERROR(SUMPRODUCT('Feeders Raw Data'!V21:V40,'Feeders Raw Data'!AA21:AA40)/SUM('Feeders Raw Data'!AA21:AA40),"")</f>
        <v/>
      </c>
      <c r="T21">
        <f>IFERROR(SQRT((SUMSQ('Feeders Raw Data'!V21:V40)-2*SUMPRODUCT('Feeders Raw Data'!V21:V40,'Feeders Raw Data'!V22:V41)+SUMSQ('Feeders Raw Data'!V22:V41)-('Feeders Raw Data'!V21-'Feeders Raw Data'!V41)^2/20)/19),"")</f>
        <v>0</v>
      </c>
      <c r="V21">
        <f>IFERROR('Feeders Raw Data'!AE21,"")</f>
        <v>0</v>
      </c>
      <c r="W21">
        <f>IFERROR('Feeders Raw Data'!AJ21,"")</f>
        <v>0</v>
      </c>
      <c r="X21">
        <f>IFERROR('Feeders Raw Data'!AL21-'Feeders Raw Data'!AL22,"")</f>
        <v>0</v>
      </c>
      <c r="Y21" t="str">
        <f>IFERROR(AVERAGE('Feeders Raw Data'!AL21:AL25),"")</f>
        <v/>
      </c>
      <c r="Z21" t="str">
        <f>IFERROR(SUMPRODUCT('Feeders Raw Data'!AF21:AF40,'Feeders Raw Data'!AK21:AK40)/SUM('Feeders Raw Data'!AK21:AK40),"")</f>
        <v/>
      </c>
      <c r="AA21">
        <f>IFERROR(SQRT((SUMSQ('Feeders Raw Data'!AF21:AF40)-2*SUMPRODUCT('Feeders Raw Data'!AF21:AF40,'Feeders Raw Data'!AF22:AF41)+SUMSQ('Feeders Raw Data'!AF22:AF41)-('Feeders Raw Data'!AF21-'Feeders Raw Data'!AF41)^2/20)/19),"")</f>
        <v>0</v>
      </c>
      <c r="AC21">
        <f>IFERROR('Feeders Raw Data'!AO21,"")</f>
        <v>0</v>
      </c>
      <c r="AD21">
        <f>IFERROR('Feeders Raw Data'!AT21,"")</f>
        <v>0</v>
      </c>
      <c r="AE21">
        <f>IFERROR('Feeders Raw Data'!AV21-'Feeders Raw Data'!AV22,"")</f>
        <v>0</v>
      </c>
      <c r="AF21" t="str">
        <f>IFERROR(AVERAGE('Feeders Raw Data'!AV21:AV25),"")</f>
        <v/>
      </c>
      <c r="AG21" t="str">
        <f>IFERROR(SUMPRODUCT('Feeders Raw Data'!AP21:AP40,'Feeders Raw Data'!AU21:AU40)/SUM('Feeders Raw Data'!AU21:AU40),"")</f>
        <v/>
      </c>
      <c r="AH21">
        <f>IFERROR(SQRT((SUMSQ('Feeders Raw Data'!AP21:AP40)-2*SUMPRODUCT('Feeders Raw Data'!AP21:AP40,'Feeders Raw Data'!AP22:AP41)+SUMSQ('Feeders Raw Data'!AP22:AP41)-('Feeders Raw Data'!AP21-'Feeders Raw Data'!AP41)^2/20)/19),"")</f>
        <v>0</v>
      </c>
      <c r="AJ21">
        <f>IFERROR('Feeders Raw Data'!AY21,"")</f>
        <v>0</v>
      </c>
      <c r="AK21">
        <f>IFERROR('Feeders Raw Data'!BD21,"")</f>
        <v>0</v>
      </c>
      <c r="AL21">
        <f>IFERROR('Feeders Raw Data'!BF21-'Feeders Raw Data'!BF22,"")</f>
        <v>0</v>
      </c>
      <c r="AM21" t="str">
        <f>IFERROR(AVERAGE('Feeders Raw Data'!BF21:BF25),"")</f>
        <v/>
      </c>
      <c r="AN21" t="str">
        <f>IFERROR(SUMPRODUCT('Feeders Raw Data'!AZ21:AZ40,'Feeders Raw Data'!BE21:BE40)/SUM('Feeders Raw Data'!BE21:BE40),"")</f>
        <v/>
      </c>
      <c r="AO21">
        <f>IFERROR(SQRT((SUMSQ('Feeders Raw Data'!AZ21:AZ40)-2*SUMPRODUCT('Feeders Raw Data'!AZ21:AZ40,'Feeders Raw Data'!AZ22:AZ41)+SUMSQ('Feeders Raw Data'!AZ22:AZ41)-('Feeders Raw Data'!AZ21-'Feeders Raw Data'!AZ41)^2/20)/19),"")</f>
        <v>0</v>
      </c>
      <c r="AQ21">
        <f>IFERROR('Feeders Raw Data'!BI21,"")</f>
        <v>0</v>
      </c>
      <c r="AR21">
        <f>IFERROR('Feeders Raw Data'!BN21,"")</f>
        <v>0</v>
      </c>
      <c r="AS21">
        <f>IFERROR('Feeders Raw Data'!BP21-'Feeders Raw Data'!BP22,"")</f>
        <v>0</v>
      </c>
      <c r="AT21" t="str">
        <f>IFERROR(AVERAGE('Feeders Raw Data'!BP21:BP25),"")</f>
        <v/>
      </c>
      <c r="AU21" t="str">
        <f>IFERROR(SUMPRODUCT('Feeders Raw Data'!BJ21:BJ40,'Feeders Raw Data'!BO21:BO40)/SUM('Feeders Raw Data'!BO21:BO40),"")</f>
        <v/>
      </c>
      <c r="AV21">
        <f>IFERROR(SQRT((SUMSQ('Feeders Raw Data'!BJ21:BJ40)-2*SUMPRODUCT('Feeders Raw Data'!BJ21:BJ40,'Feeders Raw Data'!BJ22:BJ41)+SUMSQ('Feeders Raw Data'!BJ22:BJ41)-('Feeders Raw Data'!BJ21-'Feeders Raw Data'!BJ41)^2/20)/19),"")</f>
        <v>0</v>
      </c>
      <c r="AX21">
        <f>IFERROR('Feeders Raw Data'!BS21,"")</f>
        <v>0</v>
      </c>
      <c r="AY21">
        <f>IFERROR('Feeders Raw Data'!BX21,"")</f>
        <v>0</v>
      </c>
      <c r="AZ21">
        <f>IFERROR('Feeders Raw Data'!BZ21-'Feeders Raw Data'!BZ22,"")</f>
        <v>0</v>
      </c>
      <c r="BA21" t="str">
        <f>IFERROR(AVERAGE('Feeders Raw Data'!BZ21:BZ25),"")</f>
        <v/>
      </c>
      <c r="BB21" t="str">
        <f>IFERROR(SUMPRODUCT('Feeders Raw Data'!BT21:BT40,'Feeders Raw Data'!BY21:BY40)/SUM('Feeders Raw Data'!BY21:BY40),"")</f>
        <v/>
      </c>
      <c r="BC21">
        <f>IFERROR(SQRT((SUMSQ('Feeders Raw Data'!BT21:BT40)-2*SUMPRODUCT('Feeders Raw Data'!BT21:BT40,'Feeders Raw Data'!BT22:BT41)+SUMSQ('Feeders Raw Data'!BT22:BT41)-('Feeders Raw Data'!BT21-'Feeders Raw Data'!BT41)^2/20)/19),"")</f>
        <v>0</v>
      </c>
      <c r="BE21">
        <f>IFERROR('Fats Raw Data'!A21,"")</f>
        <v>0</v>
      </c>
      <c r="BF21">
        <f>IFERROR('Fats Raw Data'!F21,"")</f>
        <v>0</v>
      </c>
      <c r="BG21">
        <f>IFERROR('Fats Raw Data'!H21-'Fats Raw Data'!H22,"")</f>
        <v>0</v>
      </c>
      <c r="BH21" t="str">
        <f>IFERROR(AVERAGE('Fats Raw Data'!H21:H25),"")</f>
        <v/>
      </c>
      <c r="BI21" t="str">
        <f>IFERROR(SUMPRODUCT('Fats Raw Data'!B21:B40,'Fats Raw Data'!G21:G40)/SUM('Fats Raw Data'!G21:G40),"")</f>
        <v/>
      </c>
      <c r="BJ21">
        <f>IFERROR(SQRT((SUMSQ('Fats Raw Data'!B21:B40)-2*SUMPRODUCT('Fats Raw Data'!B21:B40,'Fats Raw Data'!B22:B41)+SUMSQ('Fats Raw Data'!B22:B41)-('Fats Raw Data'!B21-'Fats Raw Data'!B41)^2/20)/19),"")</f>
        <v>0</v>
      </c>
      <c r="BL21">
        <f>IFERROR('Fats Raw Data'!K21,"")</f>
        <v>0</v>
      </c>
      <c r="BM21">
        <f>IFERROR('Fats Raw Data'!P21,"")</f>
        <v>0</v>
      </c>
      <c r="BN21">
        <f>IFERROR('Fats Raw Data'!R21-'Fats Raw Data'!R22,"")</f>
        <v>0</v>
      </c>
      <c r="BO21" t="str">
        <f>IFERROR(AVERAGE('Fats Raw Data'!R21:R25),"")</f>
        <v/>
      </c>
      <c r="BP21" t="str">
        <f>IFERROR(SUMPRODUCT('Fats Raw Data'!L21:L40,'Fats Raw Data'!Q21:Q40)/SUM('Fats Raw Data'!Q21:Q40),"")</f>
        <v/>
      </c>
      <c r="BQ21">
        <f>IFERROR(SQRT((SUMSQ('Fats Raw Data'!L21:L40)-2*SUMPRODUCT('Fats Raw Data'!L21:L40,'Fats Raw Data'!L22:L41)+SUMSQ('Fats Raw Data'!L22:L41)-('Fats Raw Data'!L21-'Fats Raw Data'!L41)^2/20)/19),"")</f>
        <v>0</v>
      </c>
      <c r="BS21">
        <f>IFERROR('Fats Raw Data'!U21,"")</f>
        <v>0</v>
      </c>
      <c r="BT21">
        <f>IFERROR('Fats Raw Data'!Z21,"")</f>
        <v>0</v>
      </c>
      <c r="BU21">
        <f>IFERROR('Fats Raw Data'!AB21-'Fats Raw Data'!AB22,"")</f>
        <v>0</v>
      </c>
      <c r="BV21" t="str">
        <f>IFERROR(AVERAGE('Fats Raw Data'!AB21:AB25),"")</f>
        <v/>
      </c>
      <c r="BW21" t="str">
        <f>IFERROR(SUMPRODUCT('Fats Raw Data'!V21:V40,'Fats Raw Data'!AA21:AA40)/SUM('Fats Raw Data'!AA21:AA40),"")</f>
        <v/>
      </c>
      <c r="BX21">
        <f>IFERROR(SQRT((SUMSQ('Fats Raw Data'!V21:V40)-2*SUMPRODUCT('Fats Raw Data'!V21:V40,'Fats Raw Data'!V22:V41)+SUMSQ('Fats Raw Data'!V22:V41)-('Fats Raw Data'!V21-'Fats Raw Data'!V41)^2/20)/19),"")</f>
        <v>0</v>
      </c>
      <c r="BZ21">
        <f>IFERROR('Fats Raw Data'!AE21,"")</f>
        <v>0</v>
      </c>
      <c r="CA21">
        <f>IFERROR('Fats Raw Data'!AJ21,"")</f>
        <v>0</v>
      </c>
      <c r="CB21">
        <f>IFERROR('Fats Raw Data'!AL21-'Fats Raw Data'!AL22,"")</f>
        <v>0</v>
      </c>
      <c r="CC21" t="str">
        <f>IFERROR(AVERAGE('Fats Raw Data'!AL21:AL25),"")</f>
        <v/>
      </c>
      <c r="CD21" t="str">
        <f>IFERROR(SUMPRODUCT('Fats Raw Data'!AF21:AF40,'Fats Raw Data'!AK21:AK40)/SUM('Fats Raw Data'!AK21:AK40),"")</f>
        <v/>
      </c>
      <c r="CE21">
        <f>IFERROR(SQRT((SUMSQ('Fats Raw Data'!AF21:AF40)-2*SUMPRODUCT('Fats Raw Data'!AF21:AF40,'Fats Raw Data'!AF22:AF41)+SUMSQ('Fats Raw Data'!AF22:AF41)-('Fats Raw Data'!AF21-'Fats Raw Data'!AF41)^2/20)/19),"")</f>
        <v>0</v>
      </c>
      <c r="CG21">
        <f>IFERROR('Fats Raw Data'!AO21,"")</f>
        <v>0</v>
      </c>
      <c r="CH21">
        <f>IFERROR('Fats Raw Data'!AT21,"")</f>
        <v>0</v>
      </c>
      <c r="CI21">
        <f>IFERROR('Fats Raw Data'!AV21-'Fats Raw Data'!AV22,"")</f>
        <v>0</v>
      </c>
      <c r="CJ21" t="str">
        <f>IFERROR(AVERAGE('Fats Raw Data'!AV21:AV25),"")</f>
        <v/>
      </c>
      <c r="CK21" t="str">
        <f>IFERROR(SUMPRODUCT('Fats Raw Data'!AP21:AP40,'Fats Raw Data'!AU21:AU40)/SUM('Fats Raw Data'!AU21:AU40),"")</f>
        <v/>
      </c>
      <c r="CL21">
        <f>IFERROR(SQRT((SUMSQ('Fats Raw Data'!AP21:AP40)-2*SUMPRODUCT('Fats Raw Data'!AP21:AP40,'Fats Raw Data'!AP22:AP41)+SUMSQ('Fats Raw Data'!AP22:AP41)-('Fats Raw Data'!AP21-'Fats Raw Data'!AP41)^2/20)/19),"")</f>
        <v>0</v>
      </c>
      <c r="CN21">
        <f>IFERROR('Fats Raw Data'!AY21,"")</f>
        <v>0</v>
      </c>
      <c r="CO21">
        <f>IFERROR('Fats Raw Data'!BD21,"")</f>
        <v>0</v>
      </c>
      <c r="CP21">
        <f>IFERROR('Fats Raw Data'!BF21-'Fats Raw Data'!BF22,"")</f>
        <v>0</v>
      </c>
      <c r="CQ21" t="str">
        <f>IFERROR(AVERAGE('Fats Raw Data'!BF21:BF25),"")</f>
        <v/>
      </c>
      <c r="CR21" t="str">
        <f>IFERROR(SUMPRODUCT('Fats Raw Data'!AZ21:AZ40,'Fats Raw Data'!BE21:BE40)/SUM('Fats Raw Data'!BE21:BE40),"")</f>
        <v/>
      </c>
      <c r="CS21">
        <f>IFERROR(SQRT((SUMSQ('Fats Raw Data'!AZ21:AZ40)-2*SUMPRODUCT('Fats Raw Data'!AZ21:AZ40,'Fats Raw Data'!AZ22:AZ41)+SUMSQ('Fats Raw Data'!AZ22:AZ41)-('Fats Raw Data'!AZ21-'Fats Raw Data'!AZ41)^2/20)/19),"")</f>
        <v>0</v>
      </c>
    </row>
    <row r="22" spans="1:97" x14ac:dyDescent="0.25">
      <c r="A22">
        <f>IFERROR('Feeders Raw Data'!A22,"")</f>
        <v>0</v>
      </c>
      <c r="B22">
        <f>IFERROR('Feeders Raw Data'!F22,"")</f>
        <v>0</v>
      </c>
      <c r="C22">
        <f>IFERROR('Feeders Raw Data'!H22-'Feeders Raw Data'!H23,"")</f>
        <v>0</v>
      </c>
      <c r="D22" t="str">
        <f>IFERROR(AVERAGE('Feeders Raw Data'!H22:H26),"")</f>
        <v/>
      </c>
      <c r="E22" t="str">
        <f>IFERROR(SUMPRODUCT('Feeders Raw Data'!B22:B41,'Feeders Raw Data'!G22:G41)/SUM('Feeders Raw Data'!G22:G41),"")</f>
        <v/>
      </c>
      <c r="F22">
        <f>IFERROR(SQRT((SUMSQ('Feeders Raw Data'!B22:B41)-2*SUMPRODUCT('Feeders Raw Data'!B22:B41,'Feeders Raw Data'!B23:B42)+SUMSQ('Feeders Raw Data'!B23:B42)-('Feeders Raw Data'!B22-'Feeders Raw Data'!B42)^2/20)/19),"")</f>
        <v>0</v>
      </c>
      <c r="H22">
        <f>IFERROR('Feeders Raw Data'!K22,"")</f>
        <v>0</v>
      </c>
      <c r="I22">
        <f>IFERROR('Feeders Raw Data'!P22,"")</f>
        <v>0</v>
      </c>
      <c r="J22">
        <f>IFERROR('Feeders Raw Data'!R22-'Feeders Raw Data'!R23,"")</f>
        <v>0</v>
      </c>
      <c r="K22" t="str">
        <f>IFERROR(AVERAGE('Feeders Raw Data'!R22:R26),"")</f>
        <v/>
      </c>
      <c r="L22" t="str">
        <f>IFERROR(SUMPRODUCT('Feeders Raw Data'!L22:L41,'Feeders Raw Data'!Q22:Q41)/SUM('Feeders Raw Data'!Q22:Q41),"")</f>
        <v/>
      </c>
      <c r="M22">
        <f>IFERROR(SQRT((SUMSQ('Feeders Raw Data'!L22:L41)-2*SUMPRODUCT('Feeders Raw Data'!L22:L41,'Feeders Raw Data'!L23:L42)+SUMSQ('Feeders Raw Data'!L23:L42)-('Feeders Raw Data'!L22-'Feeders Raw Data'!L42)^2/20)/19),"")</f>
        <v>0</v>
      </c>
      <c r="O22">
        <f>IFERROR('Feeders Raw Data'!U22,"")</f>
        <v>0</v>
      </c>
      <c r="P22">
        <f>IFERROR('Feeders Raw Data'!Z22,"")</f>
        <v>0</v>
      </c>
      <c r="Q22">
        <f>IFERROR('Feeders Raw Data'!AB22-'Feeders Raw Data'!AB23,"")</f>
        <v>0</v>
      </c>
      <c r="R22" t="str">
        <f>IFERROR(AVERAGE('Feeders Raw Data'!AB22:AB26),"")</f>
        <v/>
      </c>
      <c r="S22" t="str">
        <f>IFERROR(SUMPRODUCT('Feeders Raw Data'!V22:V41,'Feeders Raw Data'!AA22:AA41)/SUM('Feeders Raw Data'!AA22:AA41),"")</f>
        <v/>
      </c>
      <c r="T22">
        <f>IFERROR(SQRT((SUMSQ('Feeders Raw Data'!V22:V41)-2*SUMPRODUCT('Feeders Raw Data'!V22:V41,'Feeders Raw Data'!V23:V42)+SUMSQ('Feeders Raw Data'!V23:V42)-('Feeders Raw Data'!V22-'Feeders Raw Data'!V42)^2/20)/19),"")</f>
        <v>0</v>
      </c>
      <c r="V22">
        <f>IFERROR('Feeders Raw Data'!AE22,"")</f>
        <v>0</v>
      </c>
      <c r="W22">
        <f>IFERROR('Feeders Raw Data'!AJ22,"")</f>
        <v>0</v>
      </c>
      <c r="X22">
        <f>IFERROR('Feeders Raw Data'!AL22-'Feeders Raw Data'!AL23,"")</f>
        <v>0</v>
      </c>
      <c r="Y22" t="str">
        <f>IFERROR(AVERAGE('Feeders Raw Data'!AL22:AL26),"")</f>
        <v/>
      </c>
      <c r="Z22" t="str">
        <f>IFERROR(SUMPRODUCT('Feeders Raw Data'!AF22:AF41,'Feeders Raw Data'!AK22:AK41)/SUM('Feeders Raw Data'!AK22:AK41),"")</f>
        <v/>
      </c>
      <c r="AA22">
        <f>IFERROR(SQRT((SUMSQ('Feeders Raw Data'!AF22:AF41)-2*SUMPRODUCT('Feeders Raw Data'!AF22:AF41,'Feeders Raw Data'!AF23:AF42)+SUMSQ('Feeders Raw Data'!AF23:AF42)-('Feeders Raw Data'!AF22-'Feeders Raw Data'!AF42)^2/20)/19),"")</f>
        <v>0</v>
      </c>
      <c r="AC22">
        <f>IFERROR('Feeders Raw Data'!AO22,"")</f>
        <v>0</v>
      </c>
      <c r="AD22">
        <f>IFERROR('Feeders Raw Data'!AT22,"")</f>
        <v>0</v>
      </c>
      <c r="AE22">
        <f>IFERROR('Feeders Raw Data'!AV22-'Feeders Raw Data'!AV23,"")</f>
        <v>0</v>
      </c>
      <c r="AF22" t="str">
        <f>IFERROR(AVERAGE('Feeders Raw Data'!AV22:AV26),"")</f>
        <v/>
      </c>
      <c r="AG22" t="str">
        <f>IFERROR(SUMPRODUCT('Feeders Raw Data'!AP22:AP41,'Feeders Raw Data'!AU22:AU41)/SUM('Feeders Raw Data'!AU22:AU41),"")</f>
        <v/>
      </c>
      <c r="AH22">
        <f>IFERROR(SQRT((SUMSQ('Feeders Raw Data'!AP22:AP41)-2*SUMPRODUCT('Feeders Raw Data'!AP22:AP41,'Feeders Raw Data'!AP23:AP42)+SUMSQ('Feeders Raw Data'!AP23:AP42)-('Feeders Raw Data'!AP22-'Feeders Raw Data'!AP42)^2/20)/19),"")</f>
        <v>0</v>
      </c>
      <c r="AJ22">
        <f>IFERROR('Feeders Raw Data'!AY22,"")</f>
        <v>0</v>
      </c>
      <c r="AK22">
        <f>IFERROR('Feeders Raw Data'!BD22,"")</f>
        <v>0</v>
      </c>
      <c r="AL22">
        <f>IFERROR('Feeders Raw Data'!BF22-'Feeders Raw Data'!BF23,"")</f>
        <v>0</v>
      </c>
      <c r="AM22" t="str">
        <f>IFERROR(AVERAGE('Feeders Raw Data'!BF22:BF26),"")</f>
        <v/>
      </c>
      <c r="AN22" t="str">
        <f>IFERROR(SUMPRODUCT('Feeders Raw Data'!AZ22:AZ41,'Feeders Raw Data'!BE22:BE41)/SUM('Feeders Raw Data'!BE22:BE41),"")</f>
        <v/>
      </c>
      <c r="AO22">
        <f>IFERROR(SQRT((SUMSQ('Feeders Raw Data'!AZ22:AZ41)-2*SUMPRODUCT('Feeders Raw Data'!AZ22:AZ41,'Feeders Raw Data'!AZ23:AZ42)+SUMSQ('Feeders Raw Data'!AZ23:AZ42)-('Feeders Raw Data'!AZ22-'Feeders Raw Data'!AZ42)^2/20)/19),"")</f>
        <v>0</v>
      </c>
      <c r="AQ22">
        <f>IFERROR('Feeders Raw Data'!BI22,"")</f>
        <v>0</v>
      </c>
      <c r="AR22">
        <f>IFERROR('Feeders Raw Data'!BN22,"")</f>
        <v>0</v>
      </c>
      <c r="AS22">
        <f>IFERROR('Feeders Raw Data'!BP22-'Feeders Raw Data'!BP23,"")</f>
        <v>0</v>
      </c>
      <c r="AT22" t="str">
        <f>IFERROR(AVERAGE('Feeders Raw Data'!BP22:BP26),"")</f>
        <v/>
      </c>
      <c r="AU22" t="str">
        <f>IFERROR(SUMPRODUCT('Feeders Raw Data'!BJ22:BJ41,'Feeders Raw Data'!BO22:BO41)/SUM('Feeders Raw Data'!BO22:BO41),"")</f>
        <v/>
      </c>
      <c r="AV22">
        <f>IFERROR(SQRT((SUMSQ('Feeders Raw Data'!BJ22:BJ41)-2*SUMPRODUCT('Feeders Raw Data'!BJ22:BJ41,'Feeders Raw Data'!BJ23:BJ42)+SUMSQ('Feeders Raw Data'!BJ23:BJ42)-('Feeders Raw Data'!BJ22-'Feeders Raw Data'!BJ42)^2/20)/19),"")</f>
        <v>0</v>
      </c>
      <c r="AX22">
        <f>IFERROR('Feeders Raw Data'!BS22,"")</f>
        <v>0</v>
      </c>
      <c r="AY22">
        <f>IFERROR('Feeders Raw Data'!BX22,"")</f>
        <v>0</v>
      </c>
      <c r="AZ22">
        <f>IFERROR('Feeders Raw Data'!BZ22-'Feeders Raw Data'!BZ23,"")</f>
        <v>0</v>
      </c>
      <c r="BA22" t="str">
        <f>IFERROR(AVERAGE('Feeders Raw Data'!BZ22:BZ26),"")</f>
        <v/>
      </c>
      <c r="BB22" t="str">
        <f>IFERROR(SUMPRODUCT('Feeders Raw Data'!BT22:BT41,'Feeders Raw Data'!BY22:BY41)/SUM('Feeders Raw Data'!BY22:BY41),"")</f>
        <v/>
      </c>
      <c r="BC22">
        <f>IFERROR(SQRT((SUMSQ('Feeders Raw Data'!BT22:BT41)-2*SUMPRODUCT('Feeders Raw Data'!BT22:BT41,'Feeders Raw Data'!BT23:BT42)+SUMSQ('Feeders Raw Data'!BT23:BT42)-('Feeders Raw Data'!BT22-'Feeders Raw Data'!BT42)^2/20)/19),"")</f>
        <v>0</v>
      </c>
      <c r="BE22">
        <f>IFERROR('Fats Raw Data'!A22,"")</f>
        <v>0</v>
      </c>
      <c r="BF22">
        <f>IFERROR('Fats Raw Data'!F22,"")</f>
        <v>0</v>
      </c>
      <c r="BG22">
        <f>IFERROR('Fats Raw Data'!H22-'Fats Raw Data'!H23,"")</f>
        <v>0</v>
      </c>
      <c r="BH22" t="str">
        <f>IFERROR(AVERAGE('Fats Raw Data'!H22:H26),"")</f>
        <v/>
      </c>
      <c r="BI22" t="str">
        <f>IFERROR(SUMPRODUCT('Fats Raw Data'!B22:B41,'Fats Raw Data'!G22:G41)/SUM('Fats Raw Data'!G22:G41),"")</f>
        <v/>
      </c>
      <c r="BJ22">
        <f>IFERROR(SQRT((SUMSQ('Fats Raw Data'!B22:B41)-2*SUMPRODUCT('Fats Raw Data'!B22:B41,'Fats Raw Data'!B23:B42)+SUMSQ('Fats Raw Data'!B23:B42)-('Fats Raw Data'!B22-'Fats Raw Data'!B42)^2/20)/19),"")</f>
        <v>0</v>
      </c>
      <c r="BL22">
        <f>IFERROR('Fats Raw Data'!K22,"")</f>
        <v>0</v>
      </c>
      <c r="BM22">
        <f>IFERROR('Fats Raw Data'!P22,"")</f>
        <v>0</v>
      </c>
      <c r="BN22">
        <f>IFERROR('Fats Raw Data'!R22-'Fats Raw Data'!R23,"")</f>
        <v>0</v>
      </c>
      <c r="BO22" t="str">
        <f>IFERROR(AVERAGE('Fats Raw Data'!R22:R26),"")</f>
        <v/>
      </c>
      <c r="BP22" t="str">
        <f>IFERROR(SUMPRODUCT('Fats Raw Data'!L22:L41,'Fats Raw Data'!Q22:Q41)/SUM('Fats Raw Data'!Q22:Q41),"")</f>
        <v/>
      </c>
      <c r="BQ22">
        <f>IFERROR(SQRT((SUMSQ('Fats Raw Data'!L22:L41)-2*SUMPRODUCT('Fats Raw Data'!L22:L41,'Fats Raw Data'!L23:L42)+SUMSQ('Fats Raw Data'!L23:L42)-('Fats Raw Data'!L22-'Fats Raw Data'!L42)^2/20)/19),"")</f>
        <v>0</v>
      </c>
      <c r="BS22">
        <f>IFERROR('Fats Raw Data'!U22,"")</f>
        <v>0</v>
      </c>
      <c r="BT22">
        <f>IFERROR('Fats Raw Data'!Z22,"")</f>
        <v>0</v>
      </c>
      <c r="BU22">
        <f>IFERROR('Fats Raw Data'!AB22-'Fats Raw Data'!AB23,"")</f>
        <v>0</v>
      </c>
      <c r="BV22" t="str">
        <f>IFERROR(AVERAGE('Fats Raw Data'!AB22:AB26),"")</f>
        <v/>
      </c>
      <c r="BW22" t="str">
        <f>IFERROR(SUMPRODUCT('Fats Raw Data'!V22:V41,'Fats Raw Data'!AA22:AA41)/SUM('Fats Raw Data'!AA22:AA41),"")</f>
        <v/>
      </c>
      <c r="BX22">
        <f>IFERROR(SQRT((SUMSQ('Fats Raw Data'!V22:V41)-2*SUMPRODUCT('Fats Raw Data'!V22:V41,'Fats Raw Data'!V23:V42)+SUMSQ('Fats Raw Data'!V23:V42)-('Fats Raw Data'!V22-'Fats Raw Data'!V42)^2/20)/19),"")</f>
        <v>0</v>
      </c>
      <c r="BZ22">
        <f>IFERROR('Fats Raw Data'!AE22,"")</f>
        <v>0</v>
      </c>
      <c r="CA22">
        <f>IFERROR('Fats Raw Data'!AJ22,"")</f>
        <v>0</v>
      </c>
      <c r="CB22">
        <f>IFERROR('Fats Raw Data'!AL22-'Fats Raw Data'!AL23,"")</f>
        <v>0</v>
      </c>
      <c r="CC22" t="str">
        <f>IFERROR(AVERAGE('Fats Raw Data'!AL22:AL26),"")</f>
        <v/>
      </c>
      <c r="CD22" t="str">
        <f>IFERROR(SUMPRODUCT('Fats Raw Data'!AF22:AF41,'Fats Raw Data'!AK22:AK41)/SUM('Fats Raw Data'!AK22:AK41),"")</f>
        <v/>
      </c>
      <c r="CE22">
        <f>IFERROR(SQRT((SUMSQ('Fats Raw Data'!AF22:AF41)-2*SUMPRODUCT('Fats Raw Data'!AF22:AF41,'Fats Raw Data'!AF23:AF42)+SUMSQ('Fats Raw Data'!AF23:AF42)-('Fats Raw Data'!AF22-'Fats Raw Data'!AF42)^2/20)/19),"")</f>
        <v>0</v>
      </c>
      <c r="CG22">
        <f>IFERROR('Fats Raw Data'!AO22,"")</f>
        <v>0</v>
      </c>
      <c r="CH22">
        <f>IFERROR('Fats Raw Data'!AT22,"")</f>
        <v>0</v>
      </c>
      <c r="CI22">
        <f>IFERROR('Fats Raw Data'!AV22-'Fats Raw Data'!AV23,"")</f>
        <v>0</v>
      </c>
      <c r="CJ22" t="str">
        <f>IFERROR(AVERAGE('Fats Raw Data'!AV22:AV26),"")</f>
        <v/>
      </c>
      <c r="CK22" t="str">
        <f>IFERROR(SUMPRODUCT('Fats Raw Data'!AP22:AP41,'Fats Raw Data'!AU22:AU41)/SUM('Fats Raw Data'!AU22:AU41),"")</f>
        <v/>
      </c>
      <c r="CL22">
        <f>IFERROR(SQRT((SUMSQ('Fats Raw Data'!AP22:AP41)-2*SUMPRODUCT('Fats Raw Data'!AP22:AP41,'Fats Raw Data'!AP23:AP42)+SUMSQ('Fats Raw Data'!AP23:AP42)-('Fats Raw Data'!AP22-'Fats Raw Data'!AP42)^2/20)/19),"")</f>
        <v>0</v>
      </c>
      <c r="CN22">
        <f>IFERROR('Fats Raw Data'!AY22,"")</f>
        <v>0</v>
      </c>
      <c r="CO22">
        <f>IFERROR('Fats Raw Data'!BD22,"")</f>
        <v>0</v>
      </c>
      <c r="CP22">
        <f>IFERROR('Fats Raw Data'!BF22-'Fats Raw Data'!BF23,"")</f>
        <v>0</v>
      </c>
      <c r="CQ22" t="str">
        <f>IFERROR(AVERAGE('Fats Raw Data'!BF22:BF26),"")</f>
        <v/>
      </c>
      <c r="CR22" t="str">
        <f>IFERROR(SUMPRODUCT('Fats Raw Data'!AZ22:AZ41,'Fats Raw Data'!BE22:BE41)/SUM('Fats Raw Data'!BE22:BE41),"")</f>
        <v/>
      </c>
      <c r="CS22">
        <f>IFERROR(SQRT((SUMSQ('Fats Raw Data'!AZ22:AZ41)-2*SUMPRODUCT('Fats Raw Data'!AZ22:AZ41,'Fats Raw Data'!AZ23:AZ42)+SUMSQ('Fats Raw Data'!AZ23:AZ42)-('Fats Raw Data'!AZ22-'Fats Raw Data'!AZ42)^2/20)/19),"")</f>
        <v>0</v>
      </c>
    </row>
    <row r="23" spans="1:97" x14ac:dyDescent="0.25">
      <c r="A23">
        <f>IFERROR('Feeders Raw Data'!A23,"")</f>
        <v>0</v>
      </c>
      <c r="B23">
        <f>IFERROR('Feeders Raw Data'!F23,"")</f>
        <v>0</v>
      </c>
      <c r="C23">
        <f>IFERROR('Feeders Raw Data'!H23-'Feeders Raw Data'!H24,"")</f>
        <v>0</v>
      </c>
      <c r="D23" t="str">
        <f>IFERROR(AVERAGE('Feeders Raw Data'!H23:H27),"")</f>
        <v/>
      </c>
      <c r="E23" t="str">
        <f>IFERROR(SUMPRODUCT('Feeders Raw Data'!B23:B42,'Feeders Raw Data'!G23:G42)/SUM('Feeders Raw Data'!G23:G42),"")</f>
        <v/>
      </c>
      <c r="F23">
        <f>IFERROR(SQRT((SUMSQ('Feeders Raw Data'!B23:B42)-2*SUMPRODUCT('Feeders Raw Data'!B23:B42,'Feeders Raw Data'!B24:B43)+SUMSQ('Feeders Raw Data'!B24:B43)-('Feeders Raw Data'!B23-'Feeders Raw Data'!B43)^2/20)/19),"")</f>
        <v>0</v>
      </c>
      <c r="H23">
        <f>IFERROR('Feeders Raw Data'!K23,"")</f>
        <v>0</v>
      </c>
      <c r="I23">
        <f>IFERROR('Feeders Raw Data'!P23,"")</f>
        <v>0</v>
      </c>
      <c r="J23">
        <f>IFERROR('Feeders Raw Data'!R23-'Feeders Raw Data'!R24,"")</f>
        <v>0</v>
      </c>
      <c r="K23" t="str">
        <f>IFERROR(AVERAGE('Feeders Raw Data'!R23:R27),"")</f>
        <v/>
      </c>
      <c r="L23" t="str">
        <f>IFERROR(SUMPRODUCT('Feeders Raw Data'!L23:L42,'Feeders Raw Data'!Q23:Q42)/SUM('Feeders Raw Data'!Q23:Q42),"")</f>
        <v/>
      </c>
      <c r="M23">
        <f>IFERROR(SQRT((SUMSQ('Feeders Raw Data'!L23:L42)-2*SUMPRODUCT('Feeders Raw Data'!L23:L42,'Feeders Raw Data'!L24:L43)+SUMSQ('Feeders Raw Data'!L24:L43)-('Feeders Raw Data'!L23-'Feeders Raw Data'!L43)^2/20)/19),"")</f>
        <v>0</v>
      </c>
      <c r="O23">
        <f>IFERROR('Feeders Raw Data'!U23,"")</f>
        <v>0</v>
      </c>
      <c r="P23">
        <f>IFERROR('Feeders Raw Data'!Z23,"")</f>
        <v>0</v>
      </c>
      <c r="Q23">
        <f>IFERROR('Feeders Raw Data'!AB23-'Feeders Raw Data'!AB24,"")</f>
        <v>0</v>
      </c>
      <c r="R23" t="str">
        <f>IFERROR(AVERAGE('Feeders Raw Data'!AB23:AB27),"")</f>
        <v/>
      </c>
      <c r="S23" t="str">
        <f>IFERROR(SUMPRODUCT('Feeders Raw Data'!V23:V42,'Feeders Raw Data'!AA23:AA42)/SUM('Feeders Raw Data'!AA23:AA42),"")</f>
        <v/>
      </c>
      <c r="T23">
        <f>IFERROR(SQRT((SUMSQ('Feeders Raw Data'!V23:V42)-2*SUMPRODUCT('Feeders Raw Data'!V23:V42,'Feeders Raw Data'!V24:V43)+SUMSQ('Feeders Raw Data'!V24:V43)-('Feeders Raw Data'!V23-'Feeders Raw Data'!V43)^2/20)/19),"")</f>
        <v>0</v>
      </c>
      <c r="V23">
        <f>IFERROR('Feeders Raw Data'!AE23,"")</f>
        <v>0</v>
      </c>
      <c r="W23">
        <f>IFERROR('Feeders Raw Data'!AJ23,"")</f>
        <v>0</v>
      </c>
      <c r="X23">
        <f>IFERROR('Feeders Raw Data'!AL23-'Feeders Raw Data'!AL24,"")</f>
        <v>0</v>
      </c>
      <c r="Y23" t="str">
        <f>IFERROR(AVERAGE('Feeders Raw Data'!AL23:AL27),"")</f>
        <v/>
      </c>
      <c r="Z23" t="str">
        <f>IFERROR(SUMPRODUCT('Feeders Raw Data'!AF23:AF42,'Feeders Raw Data'!AK23:AK42)/SUM('Feeders Raw Data'!AK23:AK42),"")</f>
        <v/>
      </c>
      <c r="AA23">
        <f>IFERROR(SQRT((SUMSQ('Feeders Raw Data'!AF23:AF42)-2*SUMPRODUCT('Feeders Raw Data'!AF23:AF42,'Feeders Raw Data'!AF24:AF43)+SUMSQ('Feeders Raw Data'!AF24:AF43)-('Feeders Raw Data'!AF23-'Feeders Raw Data'!AF43)^2/20)/19),"")</f>
        <v>0</v>
      </c>
      <c r="AC23">
        <f>IFERROR('Feeders Raw Data'!AO23,"")</f>
        <v>0</v>
      </c>
      <c r="AD23">
        <f>IFERROR('Feeders Raw Data'!AT23,"")</f>
        <v>0</v>
      </c>
      <c r="AE23">
        <f>IFERROR('Feeders Raw Data'!AV23-'Feeders Raw Data'!AV24,"")</f>
        <v>0</v>
      </c>
      <c r="AF23" t="str">
        <f>IFERROR(AVERAGE('Feeders Raw Data'!AV23:AV27),"")</f>
        <v/>
      </c>
      <c r="AG23" t="str">
        <f>IFERROR(SUMPRODUCT('Feeders Raw Data'!AP23:AP42,'Feeders Raw Data'!AU23:AU42)/SUM('Feeders Raw Data'!AU23:AU42),"")</f>
        <v/>
      </c>
      <c r="AH23">
        <f>IFERROR(SQRT((SUMSQ('Feeders Raw Data'!AP23:AP42)-2*SUMPRODUCT('Feeders Raw Data'!AP23:AP42,'Feeders Raw Data'!AP24:AP43)+SUMSQ('Feeders Raw Data'!AP24:AP43)-('Feeders Raw Data'!AP23-'Feeders Raw Data'!AP43)^2/20)/19),"")</f>
        <v>0</v>
      </c>
      <c r="AJ23">
        <f>IFERROR('Feeders Raw Data'!AY23,"")</f>
        <v>0</v>
      </c>
      <c r="AK23">
        <f>IFERROR('Feeders Raw Data'!BD23,"")</f>
        <v>0</v>
      </c>
      <c r="AL23">
        <f>IFERROR('Feeders Raw Data'!BF23-'Feeders Raw Data'!BF24,"")</f>
        <v>0</v>
      </c>
      <c r="AM23" t="str">
        <f>IFERROR(AVERAGE('Feeders Raw Data'!BF23:BF27),"")</f>
        <v/>
      </c>
      <c r="AN23" t="str">
        <f>IFERROR(SUMPRODUCT('Feeders Raw Data'!AZ23:AZ42,'Feeders Raw Data'!BE23:BE42)/SUM('Feeders Raw Data'!BE23:BE42),"")</f>
        <v/>
      </c>
      <c r="AO23">
        <f>IFERROR(SQRT((SUMSQ('Feeders Raw Data'!AZ23:AZ42)-2*SUMPRODUCT('Feeders Raw Data'!AZ23:AZ42,'Feeders Raw Data'!AZ24:AZ43)+SUMSQ('Feeders Raw Data'!AZ24:AZ43)-('Feeders Raw Data'!AZ23-'Feeders Raw Data'!AZ43)^2/20)/19),"")</f>
        <v>0</v>
      </c>
      <c r="AQ23">
        <f>IFERROR('Feeders Raw Data'!BI23,"")</f>
        <v>0</v>
      </c>
      <c r="AR23">
        <f>IFERROR('Feeders Raw Data'!BN23,"")</f>
        <v>0</v>
      </c>
      <c r="AS23">
        <f>IFERROR('Feeders Raw Data'!BP23-'Feeders Raw Data'!BP24,"")</f>
        <v>0</v>
      </c>
      <c r="AT23" t="str">
        <f>IFERROR(AVERAGE('Feeders Raw Data'!BP23:BP27),"")</f>
        <v/>
      </c>
      <c r="AU23" t="str">
        <f>IFERROR(SUMPRODUCT('Feeders Raw Data'!BJ23:BJ42,'Feeders Raw Data'!BO23:BO42)/SUM('Feeders Raw Data'!BO23:BO42),"")</f>
        <v/>
      </c>
      <c r="AV23">
        <f>IFERROR(SQRT((SUMSQ('Feeders Raw Data'!BJ23:BJ42)-2*SUMPRODUCT('Feeders Raw Data'!BJ23:BJ42,'Feeders Raw Data'!BJ24:BJ43)+SUMSQ('Feeders Raw Data'!BJ24:BJ43)-('Feeders Raw Data'!BJ23-'Feeders Raw Data'!BJ43)^2/20)/19),"")</f>
        <v>0</v>
      </c>
      <c r="AX23">
        <f>IFERROR('Feeders Raw Data'!BS23,"")</f>
        <v>0</v>
      </c>
      <c r="AY23">
        <f>IFERROR('Feeders Raw Data'!BX23,"")</f>
        <v>0</v>
      </c>
      <c r="AZ23">
        <f>IFERROR('Feeders Raw Data'!BZ23-'Feeders Raw Data'!BZ24,"")</f>
        <v>0</v>
      </c>
      <c r="BA23" t="str">
        <f>IFERROR(AVERAGE('Feeders Raw Data'!BZ23:BZ27),"")</f>
        <v/>
      </c>
      <c r="BB23" t="str">
        <f>IFERROR(SUMPRODUCT('Feeders Raw Data'!BT23:BT42,'Feeders Raw Data'!BY23:BY42)/SUM('Feeders Raw Data'!BY23:BY42),"")</f>
        <v/>
      </c>
      <c r="BC23">
        <f>IFERROR(SQRT((SUMSQ('Feeders Raw Data'!BT23:BT42)-2*SUMPRODUCT('Feeders Raw Data'!BT23:BT42,'Feeders Raw Data'!BT24:BT43)+SUMSQ('Feeders Raw Data'!BT24:BT43)-('Feeders Raw Data'!BT23-'Feeders Raw Data'!BT43)^2/20)/19),"")</f>
        <v>0</v>
      </c>
      <c r="BE23">
        <f>IFERROR('Fats Raw Data'!A23,"")</f>
        <v>0</v>
      </c>
      <c r="BF23">
        <f>IFERROR('Fats Raw Data'!F23,"")</f>
        <v>0</v>
      </c>
      <c r="BG23">
        <f>IFERROR('Fats Raw Data'!H23-'Fats Raw Data'!H24,"")</f>
        <v>0</v>
      </c>
      <c r="BH23" t="str">
        <f>IFERROR(AVERAGE('Fats Raw Data'!H23:H27),"")</f>
        <v/>
      </c>
      <c r="BI23" t="str">
        <f>IFERROR(SUMPRODUCT('Fats Raw Data'!B23:B42,'Fats Raw Data'!G23:G42)/SUM('Fats Raw Data'!G23:G42),"")</f>
        <v/>
      </c>
      <c r="BJ23">
        <f>IFERROR(SQRT((SUMSQ('Fats Raw Data'!B23:B42)-2*SUMPRODUCT('Fats Raw Data'!B23:B42,'Fats Raw Data'!B24:B43)+SUMSQ('Fats Raw Data'!B24:B43)-('Fats Raw Data'!B23-'Fats Raw Data'!B43)^2/20)/19),"")</f>
        <v>0</v>
      </c>
      <c r="BL23">
        <f>IFERROR('Fats Raw Data'!K23,"")</f>
        <v>0</v>
      </c>
      <c r="BM23">
        <f>IFERROR('Fats Raw Data'!P23,"")</f>
        <v>0</v>
      </c>
      <c r="BN23">
        <f>IFERROR('Fats Raw Data'!R23-'Fats Raw Data'!R24,"")</f>
        <v>0</v>
      </c>
      <c r="BO23" t="str">
        <f>IFERROR(AVERAGE('Fats Raw Data'!R23:R27),"")</f>
        <v/>
      </c>
      <c r="BP23" t="str">
        <f>IFERROR(SUMPRODUCT('Fats Raw Data'!L23:L42,'Fats Raw Data'!Q23:Q42)/SUM('Fats Raw Data'!Q23:Q42),"")</f>
        <v/>
      </c>
      <c r="BQ23">
        <f>IFERROR(SQRT((SUMSQ('Fats Raw Data'!L23:L42)-2*SUMPRODUCT('Fats Raw Data'!L23:L42,'Fats Raw Data'!L24:L43)+SUMSQ('Fats Raw Data'!L24:L43)-('Fats Raw Data'!L23-'Fats Raw Data'!L43)^2/20)/19),"")</f>
        <v>0</v>
      </c>
      <c r="BS23">
        <f>IFERROR('Fats Raw Data'!U23,"")</f>
        <v>0</v>
      </c>
      <c r="BT23">
        <f>IFERROR('Fats Raw Data'!Z23,"")</f>
        <v>0</v>
      </c>
      <c r="BU23">
        <f>IFERROR('Fats Raw Data'!AB23-'Fats Raw Data'!AB24,"")</f>
        <v>0</v>
      </c>
      <c r="BV23" t="str">
        <f>IFERROR(AVERAGE('Fats Raw Data'!AB23:AB27),"")</f>
        <v/>
      </c>
      <c r="BW23" t="str">
        <f>IFERROR(SUMPRODUCT('Fats Raw Data'!V23:V42,'Fats Raw Data'!AA23:AA42)/SUM('Fats Raw Data'!AA23:AA42),"")</f>
        <v/>
      </c>
      <c r="BX23">
        <f>IFERROR(SQRT((SUMSQ('Fats Raw Data'!V23:V42)-2*SUMPRODUCT('Fats Raw Data'!V23:V42,'Fats Raw Data'!V24:V43)+SUMSQ('Fats Raw Data'!V24:V43)-('Fats Raw Data'!V23-'Fats Raw Data'!V43)^2/20)/19),"")</f>
        <v>0</v>
      </c>
      <c r="BZ23">
        <f>IFERROR('Fats Raw Data'!AE23,"")</f>
        <v>0</v>
      </c>
      <c r="CA23">
        <f>IFERROR('Fats Raw Data'!AJ23,"")</f>
        <v>0</v>
      </c>
      <c r="CB23">
        <f>IFERROR('Fats Raw Data'!AL23-'Fats Raw Data'!AL24,"")</f>
        <v>0</v>
      </c>
      <c r="CC23" t="str">
        <f>IFERROR(AVERAGE('Fats Raw Data'!AL23:AL27),"")</f>
        <v/>
      </c>
      <c r="CD23" t="str">
        <f>IFERROR(SUMPRODUCT('Fats Raw Data'!AF23:AF42,'Fats Raw Data'!AK23:AK42)/SUM('Fats Raw Data'!AK23:AK42),"")</f>
        <v/>
      </c>
      <c r="CE23">
        <f>IFERROR(SQRT((SUMSQ('Fats Raw Data'!AF23:AF42)-2*SUMPRODUCT('Fats Raw Data'!AF23:AF42,'Fats Raw Data'!AF24:AF43)+SUMSQ('Fats Raw Data'!AF24:AF43)-('Fats Raw Data'!AF23-'Fats Raw Data'!AF43)^2/20)/19),"")</f>
        <v>0</v>
      </c>
      <c r="CG23">
        <f>IFERROR('Fats Raw Data'!AO23,"")</f>
        <v>0</v>
      </c>
      <c r="CH23">
        <f>IFERROR('Fats Raw Data'!AT23,"")</f>
        <v>0</v>
      </c>
      <c r="CI23">
        <f>IFERROR('Fats Raw Data'!AV23-'Fats Raw Data'!AV24,"")</f>
        <v>0</v>
      </c>
      <c r="CJ23" t="str">
        <f>IFERROR(AVERAGE('Fats Raw Data'!AV23:AV27),"")</f>
        <v/>
      </c>
      <c r="CK23" t="str">
        <f>IFERROR(SUMPRODUCT('Fats Raw Data'!AP23:AP42,'Fats Raw Data'!AU23:AU42)/SUM('Fats Raw Data'!AU23:AU42),"")</f>
        <v/>
      </c>
      <c r="CL23">
        <f>IFERROR(SQRT((SUMSQ('Fats Raw Data'!AP23:AP42)-2*SUMPRODUCT('Fats Raw Data'!AP23:AP42,'Fats Raw Data'!AP24:AP43)+SUMSQ('Fats Raw Data'!AP24:AP43)-('Fats Raw Data'!AP23-'Fats Raw Data'!AP43)^2/20)/19),"")</f>
        <v>0</v>
      </c>
      <c r="CN23">
        <f>IFERROR('Fats Raw Data'!AY23,"")</f>
        <v>0</v>
      </c>
      <c r="CO23">
        <f>IFERROR('Fats Raw Data'!BD23,"")</f>
        <v>0</v>
      </c>
      <c r="CP23">
        <f>IFERROR('Fats Raw Data'!BF23-'Fats Raw Data'!BF24,"")</f>
        <v>0</v>
      </c>
      <c r="CQ23" t="str">
        <f>IFERROR(AVERAGE('Fats Raw Data'!BF23:BF27),"")</f>
        <v/>
      </c>
      <c r="CR23" t="str">
        <f>IFERROR(SUMPRODUCT('Fats Raw Data'!AZ23:AZ42,'Fats Raw Data'!BE23:BE42)/SUM('Fats Raw Data'!BE23:BE42),"")</f>
        <v/>
      </c>
      <c r="CS23">
        <f>IFERROR(SQRT((SUMSQ('Fats Raw Data'!AZ23:AZ42)-2*SUMPRODUCT('Fats Raw Data'!AZ23:AZ42,'Fats Raw Data'!AZ24:AZ43)+SUMSQ('Fats Raw Data'!AZ24:AZ43)-('Fats Raw Data'!AZ23-'Fats Raw Data'!AZ43)^2/20)/19),"")</f>
        <v>0</v>
      </c>
    </row>
    <row r="24" spans="1:97" x14ac:dyDescent="0.25">
      <c r="A24">
        <f>IFERROR('Feeders Raw Data'!A24,"")</f>
        <v>0</v>
      </c>
      <c r="B24">
        <f>IFERROR('Feeders Raw Data'!F24,"")</f>
        <v>0</v>
      </c>
      <c r="C24">
        <f>IFERROR('Feeders Raw Data'!H24-'Feeders Raw Data'!H25,"")</f>
        <v>0</v>
      </c>
      <c r="D24" t="str">
        <f>IFERROR(AVERAGE('Feeders Raw Data'!H24:H28),"")</f>
        <v/>
      </c>
      <c r="E24" t="str">
        <f>IFERROR(SUMPRODUCT('Feeders Raw Data'!B24:B43,'Feeders Raw Data'!G24:G43)/SUM('Feeders Raw Data'!G24:G43),"")</f>
        <v/>
      </c>
      <c r="F24">
        <f>IFERROR(SQRT((SUMSQ('Feeders Raw Data'!B24:B43)-2*SUMPRODUCT('Feeders Raw Data'!B24:B43,'Feeders Raw Data'!B25:B44)+SUMSQ('Feeders Raw Data'!B25:B44)-('Feeders Raw Data'!B24-'Feeders Raw Data'!B44)^2/20)/19),"")</f>
        <v>0</v>
      </c>
      <c r="H24">
        <f>IFERROR('Feeders Raw Data'!K24,"")</f>
        <v>0</v>
      </c>
      <c r="I24">
        <f>IFERROR('Feeders Raw Data'!P24,"")</f>
        <v>0</v>
      </c>
      <c r="J24">
        <f>IFERROR('Feeders Raw Data'!R24-'Feeders Raw Data'!R25,"")</f>
        <v>0</v>
      </c>
      <c r="K24" t="str">
        <f>IFERROR(AVERAGE('Feeders Raw Data'!R24:R28),"")</f>
        <v/>
      </c>
      <c r="L24" t="str">
        <f>IFERROR(SUMPRODUCT('Feeders Raw Data'!L24:L43,'Feeders Raw Data'!Q24:Q43)/SUM('Feeders Raw Data'!Q24:Q43),"")</f>
        <v/>
      </c>
      <c r="M24">
        <f>IFERROR(SQRT((SUMSQ('Feeders Raw Data'!L24:L43)-2*SUMPRODUCT('Feeders Raw Data'!L24:L43,'Feeders Raw Data'!L25:L44)+SUMSQ('Feeders Raw Data'!L25:L44)-('Feeders Raw Data'!L24-'Feeders Raw Data'!L44)^2/20)/19),"")</f>
        <v>0</v>
      </c>
      <c r="O24">
        <f>IFERROR('Feeders Raw Data'!U24,"")</f>
        <v>0</v>
      </c>
      <c r="P24">
        <f>IFERROR('Feeders Raw Data'!Z24,"")</f>
        <v>0</v>
      </c>
      <c r="Q24">
        <f>IFERROR('Feeders Raw Data'!AB24-'Feeders Raw Data'!AB25,"")</f>
        <v>0</v>
      </c>
      <c r="R24" t="str">
        <f>IFERROR(AVERAGE('Feeders Raw Data'!AB24:AB28),"")</f>
        <v/>
      </c>
      <c r="S24" t="str">
        <f>IFERROR(SUMPRODUCT('Feeders Raw Data'!V24:V43,'Feeders Raw Data'!AA24:AA43)/SUM('Feeders Raw Data'!AA24:AA43),"")</f>
        <v/>
      </c>
      <c r="T24">
        <f>IFERROR(SQRT((SUMSQ('Feeders Raw Data'!V24:V43)-2*SUMPRODUCT('Feeders Raw Data'!V24:V43,'Feeders Raw Data'!V25:V44)+SUMSQ('Feeders Raw Data'!V25:V44)-('Feeders Raw Data'!V24-'Feeders Raw Data'!V44)^2/20)/19),"")</f>
        <v>0</v>
      </c>
      <c r="V24">
        <f>IFERROR('Feeders Raw Data'!AE24,"")</f>
        <v>0</v>
      </c>
      <c r="W24">
        <f>IFERROR('Feeders Raw Data'!AJ24,"")</f>
        <v>0</v>
      </c>
      <c r="X24">
        <f>IFERROR('Feeders Raw Data'!AL24-'Feeders Raw Data'!AL25,"")</f>
        <v>0</v>
      </c>
      <c r="Y24" t="str">
        <f>IFERROR(AVERAGE('Feeders Raw Data'!AL24:AL28),"")</f>
        <v/>
      </c>
      <c r="Z24" t="str">
        <f>IFERROR(SUMPRODUCT('Feeders Raw Data'!AF24:AF43,'Feeders Raw Data'!AK24:AK43)/SUM('Feeders Raw Data'!AK24:AK43),"")</f>
        <v/>
      </c>
      <c r="AA24">
        <f>IFERROR(SQRT((SUMSQ('Feeders Raw Data'!AF24:AF43)-2*SUMPRODUCT('Feeders Raw Data'!AF24:AF43,'Feeders Raw Data'!AF25:AF44)+SUMSQ('Feeders Raw Data'!AF25:AF44)-('Feeders Raw Data'!AF24-'Feeders Raw Data'!AF44)^2/20)/19),"")</f>
        <v>0</v>
      </c>
      <c r="AC24">
        <f>IFERROR('Feeders Raw Data'!AO24,"")</f>
        <v>0</v>
      </c>
      <c r="AD24">
        <f>IFERROR('Feeders Raw Data'!AT24,"")</f>
        <v>0</v>
      </c>
      <c r="AE24">
        <f>IFERROR('Feeders Raw Data'!AV24-'Feeders Raw Data'!AV25,"")</f>
        <v>0</v>
      </c>
      <c r="AF24" t="str">
        <f>IFERROR(AVERAGE('Feeders Raw Data'!AV24:AV28),"")</f>
        <v/>
      </c>
      <c r="AG24" t="str">
        <f>IFERROR(SUMPRODUCT('Feeders Raw Data'!AP24:AP43,'Feeders Raw Data'!AU24:AU43)/SUM('Feeders Raw Data'!AU24:AU43),"")</f>
        <v/>
      </c>
      <c r="AH24">
        <f>IFERROR(SQRT((SUMSQ('Feeders Raw Data'!AP24:AP43)-2*SUMPRODUCT('Feeders Raw Data'!AP24:AP43,'Feeders Raw Data'!AP25:AP44)+SUMSQ('Feeders Raw Data'!AP25:AP44)-('Feeders Raw Data'!AP24-'Feeders Raw Data'!AP44)^2/20)/19),"")</f>
        <v>0</v>
      </c>
      <c r="AJ24">
        <f>IFERROR('Feeders Raw Data'!AY24,"")</f>
        <v>0</v>
      </c>
      <c r="AK24">
        <f>IFERROR('Feeders Raw Data'!BD24,"")</f>
        <v>0</v>
      </c>
      <c r="AL24">
        <f>IFERROR('Feeders Raw Data'!BF24-'Feeders Raw Data'!BF25,"")</f>
        <v>0</v>
      </c>
      <c r="AM24" t="str">
        <f>IFERROR(AVERAGE('Feeders Raw Data'!BF24:BF28),"")</f>
        <v/>
      </c>
      <c r="AN24" t="str">
        <f>IFERROR(SUMPRODUCT('Feeders Raw Data'!AZ24:AZ43,'Feeders Raw Data'!BE24:BE43)/SUM('Feeders Raw Data'!BE24:BE43),"")</f>
        <v/>
      </c>
      <c r="AO24">
        <f>IFERROR(SQRT((SUMSQ('Feeders Raw Data'!AZ24:AZ43)-2*SUMPRODUCT('Feeders Raw Data'!AZ24:AZ43,'Feeders Raw Data'!AZ25:AZ44)+SUMSQ('Feeders Raw Data'!AZ25:AZ44)-('Feeders Raw Data'!AZ24-'Feeders Raw Data'!AZ44)^2/20)/19),"")</f>
        <v>0</v>
      </c>
      <c r="AQ24">
        <f>IFERROR('Feeders Raw Data'!BI24,"")</f>
        <v>0</v>
      </c>
      <c r="AR24">
        <f>IFERROR('Feeders Raw Data'!BN24,"")</f>
        <v>0</v>
      </c>
      <c r="AS24">
        <f>IFERROR('Feeders Raw Data'!BP24-'Feeders Raw Data'!BP25,"")</f>
        <v>0</v>
      </c>
      <c r="AT24" t="str">
        <f>IFERROR(AVERAGE('Feeders Raw Data'!BP24:BP28),"")</f>
        <v/>
      </c>
      <c r="AU24" t="str">
        <f>IFERROR(SUMPRODUCT('Feeders Raw Data'!BJ24:BJ43,'Feeders Raw Data'!BO24:BO43)/SUM('Feeders Raw Data'!BO24:BO43),"")</f>
        <v/>
      </c>
      <c r="AV24">
        <f>IFERROR(SQRT((SUMSQ('Feeders Raw Data'!BJ24:BJ43)-2*SUMPRODUCT('Feeders Raw Data'!BJ24:BJ43,'Feeders Raw Data'!BJ25:BJ44)+SUMSQ('Feeders Raw Data'!BJ25:BJ44)-('Feeders Raw Data'!BJ24-'Feeders Raw Data'!BJ44)^2/20)/19),"")</f>
        <v>0</v>
      </c>
      <c r="AX24">
        <f>IFERROR('Feeders Raw Data'!BS24,"")</f>
        <v>0</v>
      </c>
      <c r="AY24">
        <f>IFERROR('Feeders Raw Data'!BX24,"")</f>
        <v>0</v>
      </c>
      <c r="AZ24">
        <f>IFERROR('Feeders Raw Data'!BZ24-'Feeders Raw Data'!BZ25,"")</f>
        <v>0</v>
      </c>
      <c r="BA24" t="str">
        <f>IFERROR(AVERAGE('Feeders Raw Data'!BZ24:BZ28),"")</f>
        <v/>
      </c>
      <c r="BB24" t="str">
        <f>IFERROR(SUMPRODUCT('Feeders Raw Data'!BT24:BT43,'Feeders Raw Data'!BY24:BY43)/SUM('Feeders Raw Data'!BY24:BY43),"")</f>
        <v/>
      </c>
      <c r="BC24">
        <f>IFERROR(SQRT((SUMSQ('Feeders Raw Data'!BT24:BT43)-2*SUMPRODUCT('Feeders Raw Data'!BT24:BT43,'Feeders Raw Data'!BT25:BT44)+SUMSQ('Feeders Raw Data'!BT25:BT44)-('Feeders Raw Data'!BT24-'Feeders Raw Data'!BT44)^2/20)/19),"")</f>
        <v>0</v>
      </c>
      <c r="BE24">
        <f>IFERROR('Fats Raw Data'!A24,"")</f>
        <v>0</v>
      </c>
      <c r="BF24">
        <f>IFERROR('Fats Raw Data'!F24,"")</f>
        <v>0</v>
      </c>
      <c r="BG24">
        <f>IFERROR('Fats Raw Data'!H24-'Fats Raw Data'!H25,"")</f>
        <v>0</v>
      </c>
      <c r="BH24" t="str">
        <f>IFERROR(AVERAGE('Fats Raw Data'!H24:H28),"")</f>
        <v/>
      </c>
      <c r="BI24" t="str">
        <f>IFERROR(SUMPRODUCT('Fats Raw Data'!B24:B43,'Fats Raw Data'!G24:G43)/SUM('Fats Raw Data'!G24:G43),"")</f>
        <v/>
      </c>
      <c r="BJ24">
        <f>IFERROR(SQRT((SUMSQ('Fats Raw Data'!B24:B43)-2*SUMPRODUCT('Fats Raw Data'!B24:B43,'Fats Raw Data'!B25:B44)+SUMSQ('Fats Raw Data'!B25:B44)-('Fats Raw Data'!B24-'Fats Raw Data'!B44)^2/20)/19),"")</f>
        <v>0</v>
      </c>
      <c r="BL24">
        <f>IFERROR('Fats Raw Data'!K24,"")</f>
        <v>0</v>
      </c>
      <c r="BM24">
        <f>IFERROR('Fats Raw Data'!P24,"")</f>
        <v>0</v>
      </c>
      <c r="BN24">
        <f>IFERROR('Fats Raw Data'!R24-'Fats Raw Data'!R25,"")</f>
        <v>0</v>
      </c>
      <c r="BO24" t="str">
        <f>IFERROR(AVERAGE('Fats Raw Data'!R24:R28),"")</f>
        <v/>
      </c>
      <c r="BP24" t="str">
        <f>IFERROR(SUMPRODUCT('Fats Raw Data'!L24:L43,'Fats Raw Data'!Q24:Q43)/SUM('Fats Raw Data'!Q24:Q43),"")</f>
        <v/>
      </c>
      <c r="BQ24">
        <f>IFERROR(SQRT((SUMSQ('Fats Raw Data'!L24:L43)-2*SUMPRODUCT('Fats Raw Data'!L24:L43,'Fats Raw Data'!L25:L44)+SUMSQ('Fats Raw Data'!L25:L44)-('Fats Raw Data'!L24-'Fats Raw Data'!L44)^2/20)/19),"")</f>
        <v>0</v>
      </c>
      <c r="BS24">
        <f>IFERROR('Fats Raw Data'!U24,"")</f>
        <v>0</v>
      </c>
      <c r="BT24">
        <f>IFERROR('Fats Raw Data'!Z24,"")</f>
        <v>0</v>
      </c>
      <c r="BU24">
        <f>IFERROR('Fats Raw Data'!AB24-'Fats Raw Data'!AB25,"")</f>
        <v>0</v>
      </c>
      <c r="BV24" t="str">
        <f>IFERROR(AVERAGE('Fats Raw Data'!AB24:AB28),"")</f>
        <v/>
      </c>
      <c r="BW24" t="str">
        <f>IFERROR(SUMPRODUCT('Fats Raw Data'!V24:V43,'Fats Raw Data'!AA24:AA43)/SUM('Fats Raw Data'!AA24:AA43),"")</f>
        <v/>
      </c>
      <c r="BX24">
        <f>IFERROR(SQRT((SUMSQ('Fats Raw Data'!V24:V43)-2*SUMPRODUCT('Fats Raw Data'!V24:V43,'Fats Raw Data'!V25:V44)+SUMSQ('Fats Raw Data'!V25:V44)-('Fats Raw Data'!V24-'Fats Raw Data'!V44)^2/20)/19),"")</f>
        <v>0</v>
      </c>
      <c r="BZ24">
        <f>IFERROR('Fats Raw Data'!AE24,"")</f>
        <v>0</v>
      </c>
      <c r="CA24">
        <f>IFERROR('Fats Raw Data'!AJ24,"")</f>
        <v>0</v>
      </c>
      <c r="CB24">
        <f>IFERROR('Fats Raw Data'!AL24-'Fats Raw Data'!AL25,"")</f>
        <v>0</v>
      </c>
      <c r="CC24" t="str">
        <f>IFERROR(AVERAGE('Fats Raw Data'!AL24:AL28),"")</f>
        <v/>
      </c>
      <c r="CD24" t="str">
        <f>IFERROR(SUMPRODUCT('Fats Raw Data'!AF24:AF43,'Fats Raw Data'!AK24:AK43)/SUM('Fats Raw Data'!AK24:AK43),"")</f>
        <v/>
      </c>
      <c r="CE24">
        <f>IFERROR(SQRT((SUMSQ('Fats Raw Data'!AF24:AF43)-2*SUMPRODUCT('Fats Raw Data'!AF24:AF43,'Fats Raw Data'!AF25:AF44)+SUMSQ('Fats Raw Data'!AF25:AF44)-('Fats Raw Data'!AF24-'Fats Raw Data'!AF44)^2/20)/19),"")</f>
        <v>0</v>
      </c>
      <c r="CG24">
        <f>IFERROR('Fats Raw Data'!AO24,"")</f>
        <v>0</v>
      </c>
      <c r="CH24">
        <f>IFERROR('Fats Raw Data'!AT24,"")</f>
        <v>0</v>
      </c>
      <c r="CI24">
        <f>IFERROR('Fats Raw Data'!AV24-'Fats Raw Data'!AV25,"")</f>
        <v>0</v>
      </c>
      <c r="CJ24" t="str">
        <f>IFERROR(AVERAGE('Fats Raw Data'!AV24:AV28),"")</f>
        <v/>
      </c>
      <c r="CK24" t="str">
        <f>IFERROR(SUMPRODUCT('Fats Raw Data'!AP24:AP43,'Fats Raw Data'!AU24:AU43)/SUM('Fats Raw Data'!AU24:AU43),"")</f>
        <v/>
      </c>
      <c r="CL24">
        <f>IFERROR(SQRT((SUMSQ('Fats Raw Data'!AP24:AP43)-2*SUMPRODUCT('Fats Raw Data'!AP24:AP43,'Fats Raw Data'!AP25:AP44)+SUMSQ('Fats Raw Data'!AP25:AP44)-('Fats Raw Data'!AP24-'Fats Raw Data'!AP44)^2/20)/19),"")</f>
        <v>0</v>
      </c>
      <c r="CN24">
        <f>IFERROR('Fats Raw Data'!AY24,"")</f>
        <v>0</v>
      </c>
      <c r="CO24">
        <f>IFERROR('Fats Raw Data'!BD24,"")</f>
        <v>0</v>
      </c>
      <c r="CP24">
        <f>IFERROR('Fats Raw Data'!BF24-'Fats Raw Data'!BF25,"")</f>
        <v>0</v>
      </c>
      <c r="CQ24" t="str">
        <f>IFERROR(AVERAGE('Fats Raw Data'!BF24:BF28),"")</f>
        <v/>
      </c>
      <c r="CR24" t="str">
        <f>IFERROR(SUMPRODUCT('Fats Raw Data'!AZ24:AZ43,'Fats Raw Data'!BE24:BE43)/SUM('Fats Raw Data'!BE24:BE43),"")</f>
        <v/>
      </c>
      <c r="CS24">
        <f>IFERROR(SQRT((SUMSQ('Fats Raw Data'!AZ24:AZ43)-2*SUMPRODUCT('Fats Raw Data'!AZ24:AZ43,'Fats Raw Data'!AZ25:AZ44)+SUMSQ('Fats Raw Data'!AZ25:AZ44)-('Fats Raw Data'!AZ24-'Fats Raw Data'!AZ44)^2/20)/19),"")</f>
        <v>0</v>
      </c>
    </row>
    <row r="25" spans="1:97" x14ac:dyDescent="0.25">
      <c r="A25">
        <f>IFERROR('Feeders Raw Data'!A25,"")</f>
        <v>0</v>
      </c>
      <c r="B25">
        <f>IFERROR('Feeders Raw Data'!F25,"")</f>
        <v>0</v>
      </c>
      <c r="C25">
        <f>IFERROR('Feeders Raw Data'!H25-'Feeders Raw Data'!H26,"")</f>
        <v>0</v>
      </c>
      <c r="D25" t="str">
        <f>IFERROR(AVERAGE('Feeders Raw Data'!H25:H29),"")</f>
        <v/>
      </c>
      <c r="E25" t="str">
        <f>IFERROR(SUMPRODUCT('Feeders Raw Data'!B25:B44,'Feeders Raw Data'!G25:G44)/SUM('Feeders Raw Data'!G25:G44),"")</f>
        <v/>
      </c>
      <c r="F25">
        <f>IFERROR(SQRT((SUMSQ('Feeders Raw Data'!B25:B44)-2*SUMPRODUCT('Feeders Raw Data'!B25:B44,'Feeders Raw Data'!B26:B45)+SUMSQ('Feeders Raw Data'!B26:B45)-('Feeders Raw Data'!B25-'Feeders Raw Data'!B45)^2/20)/19),"")</f>
        <v>0</v>
      </c>
      <c r="H25">
        <f>IFERROR('Feeders Raw Data'!K25,"")</f>
        <v>0</v>
      </c>
      <c r="I25">
        <f>IFERROR('Feeders Raw Data'!P25,"")</f>
        <v>0</v>
      </c>
      <c r="J25">
        <f>IFERROR('Feeders Raw Data'!R25-'Feeders Raw Data'!R26,"")</f>
        <v>0</v>
      </c>
      <c r="K25" t="str">
        <f>IFERROR(AVERAGE('Feeders Raw Data'!R25:R29),"")</f>
        <v/>
      </c>
      <c r="L25" t="str">
        <f>IFERROR(SUMPRODUCT('Feeders Raw Data'!L25:L44,'Feeders Raw Data'!Q25:Q44)/SUM('Feeders Raw Data'!Q25:Q44),"")</f>
        <v/>
      </c>
      <c r="M25">
        <f>IFERROR(SQRT((SUMSQ('Feeders Raw Data'!L25:L44)-2*SUMPRODUCT('Feeders Raw Data'!L25:L44,'Feeders Raw Data'!L26:L45)+SUMSQ('Feeders Raw Data'!L26:L45)-('Feeders Raw Data'!L25-'Feeders Raw Data'!L45)^2/20)/19),"")</f>
        <v>0</v>
      </c>
      <c r="O25">
        <f>IFERROR('Feeders Raw Data'!U25,"")</f>
        <v>0</v>
      </c>
      <c r="P25">
        <f>IFERROR('Feeders Raw Data'!Z25,"")</f>
        <v>0</v>
      </c>
      <c r="Q25">
        <f>IFERROR('Feeders Raw Data'!AB25-'Feeders Raw Data'!AB26,"")</f>
        <v>0</v>
      </c>
      <c r="R25" t="str">
        <f>IFERROR(AVERAGE('Feeders Raw Data'!AB25:AB29),"")</f>
        <v/>
      </c>
      <c r="S25" t="str">
        <f>IFERROR(SUMPRODUCT('Feeders Raw Data'!V25:V44,'Feeders Raw Data'!AA25:AA44)/SUM('Feeders Raw Data'!AA25:AA44),"")</f>
        <v/>
      </c>
      <c r="T25">
        <f>IFERROR(SQRT((SUMSQ('Feeders Raw Data'!V25:V44)-2*SUMPRODUCT('Feeders Raw Data'!V25:V44,'Feeders Raw Data'!V26:V45)+SUMSQ('Feeders Raw Data'!V26:V45)-('Feeders Raw Data'!V25-'Feeders Raw Data'!V45)^2/20)/19),"")</f>
        <v>0</v>
      </c>
      <c r="V25">
        <f>IFERROR('Feeders Raw Data'!AE25,"")</f>
        <v>0</v>
      </c>
      <c r="W25">
        <f>IFERROR('Feeders Raw Data'!AJ25,"")</f>
        <v>0</v>
      </c>
      <c r="X25">
        <f>IFERROR('Feeders Raw Data'!AL25-'Feeders Raw Data'!AL26,"")</f>
        <v>0</v>
      </c>
      <c r="Y25" t="str">
        <f>IFERROR(AVERAGE('Feeders Raw Data'!AL25:AL29),"")</f>
        <v/>
      </c>
      <c r="Z25" t="str">
        <f>IFERROR(SUMPRODUCT('Feeders Raw Data'!AF25:AF44,'Feeders Raw Data'!AK25:AK44)/SUM('Feeders Raw Data'!AK25:AK44),"")</f>
        <v/>
      </c>
      <c r="AA25">
        <f>IFERROR(SQRT((SUMSQ('Feeders Raw Data'!AF25:AF44)-2*SUMPRODUCT('Feeders Raw Data'!AF25:AF44,'Feeders Raw Data'!AF26:AF45)+SUMSQ('Feeders Raw Data'!AF26:AF45)-('Feeders Raw Data'!AF25-'Feeders Raw Data'!AF45)^2/20)/19),"")</f>
        <v>0</v>
      </c>
      <c r="AC25">
        <f>IFERROR('Feeders Raw Data'!AO25,"")</f>
        <v>0</v>
      </c>
      <c r="AD25">
        <f>IFERROR('Feeders Raw Data'!AT25,"")</f>
        <v>0</v>
      </c>
      <c r="AE25">
        <f>IFERROR('Feeders Raw Data'!AV25-'Feeders Raw Data'!AV26,"")</f>
        <v>0</v>
      </c>
      <c r="AF25" t="str">
        <f>IFERROR(AVERAGE('Feeders Raw Data'!AV25:AV29),"")</f>
        <v/>
      </c>
      <c r="AG25" t="str">
        <f>IFERROR(SUMPRODUCT('Feeders Raw Data'!AP25:AP44,'Feeders Raw Data'!AU25:AU44)/SUM('Feeders Raw Data'!AU25:AU44),"")</f>
        <v/>
      </c>
      <c r="AH25">
        <f>IFERROR(SQRT((SUMSQ('Feeders Raw Data'!AP25:AP44)-2*SUMPRODUCT('Feeders Raw Data'!AP25:AP44,'Feeders Raw Data'!AP26:AP45)+SUMSQ('Feeders Raw Data'!AP26:AP45)-('Feeders Raw Data'!AP25-'Feeders Raw Data'!AP45)^2/20)/19),"")</f>
        <v>0</v>
      </c>
      <c r="AJ25">
        <f>IFERROR('Feeders Raw Data'!AY25,"")</f>
        <v>0</v>
      </c>
      <c r="AK25">
        <f>IFERROR('Feeders Raw Data'!BD25,"")</f>
        <v>0</v>
      </c>
      <c r="AL25">
        <f>IFERROR('Feeders Raw Data'!BF25-'Feeders Raw Data'!BF26,"")</f>
        <v>0</v>
      </c>
      <c r="AM25" t="str">
        <f>IFERROR(AVERAGE('Feeders Raw Data'!BF25:BF29),"")</f>
        <v/>
      </c>
      <c r="AN25" t="str">
        <f>IFERROR(SUMPRODUCT('Feeders Raw Data'!AZ25:AZ44,'Feeders Raw Data'!BE25:BE44)/SUM('Feeders Raw Data'!BE25:BE44),"")</f>
        <v/>
      </c>
      <c r="AO25">
        <f>IFERROR(SQRT((SUMSQ('Feeders Raw Data'!AZ25:AZ44)-2*SUMPRODUCT('Feeders Raw Data'!AZ25:AZ44,'Feeders Raw Data'!AZ26:AZ45)+SUMSQ('Feeders Raw Data'!AZ26:AZ45)-('Feeders Raw Data'!AZ25-'Feeders Raw Data'!AZ45)^2/20)/19),"")</f>
        <v>0</v>
      </c>
      <c r="AQ25">
        <f>IFERROR('Feeders Raw Data'!BI25,"")</f>
        <v>0</v>
      </c>
      <c r="AR25">
        <f>IFERROR('Feeders Raw Data'!BN25,"")</f>
        <v>0</v>
      </c>
      <c r="AS25">
        <f>IFERROR('Feeders Raw Data'!BP25-'Feeders Raw Data'!BP26,"")</f>
        <v>0</v>
      </c>
      <c r="AT25" t="str">
        <f>IFERROR(AVERAGE('Feeders Raw Data'!BP25:BP29),"")</f>
        <v/>
      </c>
      <c r="AU25" t="str">
        <f>IFERROR(SUMPRODUCT('Feeders Raw Data'!BJ25:BJ44,'Feeders Raw Data'!BO25:BO44)/SUM('Feeders Raw Data'!BO25:BO44),"")</f>
        <v/>
      </c>
      <c r="AV25">
        <f>IFERROR(SQRT((SUMSQ('Feeders Raw Data'!BJ25:BJ44)-2*SUMPRODUCT('Feeders Raw Data'!BJ25:BJ44,'Feeders Raw Data'!BJ26:BJ45)+SUMSQ('Feeders Raw Data'!BJ26:BJ45)-('Feeders Raw Data'!BJ25-'Feeders Raw Data'!BJ45)^2/20)/19),"")</f>
        <v>0</v>
      </c>
      <c r="AX25">
        <f>IFERROR('Feeders Raw Data'!BS25,"")</f>
        <v>0</v>
      </c>
      <c r="AY25">
        <f>IFERROR('Feeders Raw Data'!BX25,"")</f>
        <v>0</v>
      </c>
      <c r="AZ25">
        <f>IFERROR('Feeders Raw Data'!BZ25-'Feeders Raw Data'!BZ26,"")</f>
        <v>0</v>
      </c>
      <c r="BA25" t="str">
        <f>IFERROR(AVERAGE('Feeders Raw Data'!BZ25:BZ29),"")</f>
        <v/>
      </c>
      <c r="BB25" t="str">
        <f>IFERROR(SUMPRODUCT('Feeders Raw Data'!BT25:BT44,'Feeders Raw Data'!BY25:BY44)/SUM('Feeders Raw Data'!BY25:BY44),"")</f>
        <v/>
      </c>
      <c r="BC25">
        <f>IFERROR(SQRT((SUMSQ('Feeders Raw Data'!BT25:BT44)-2*SUMPRODUCT('Feeders Raw Data'!BT25:BT44,'Feeders Raw Data'!BT26:BT45)+SUMSQ('Feeders Raw Data'!BT26:BT45)-('Feeders Raw Data'!BT25-'Feeders Raw Data'!BT45)^2/20)/19),"")</f>
        <v>0</v>
      </c>
      <c r="BE25">
        <f>IFERROR('Fats Raw Data'!A25,"")</f>
        <v>0</v>
      </c>
      <c r="BF25">
        <f>IFERROR('Fats Raw Data'!F25,"")</f>
        <v>0</v>
      </c>
      <c r="BG25">
        <f>IFERROR('Fats Raw Data'!H25-'Fats Raw Data'!H26,"")</f>
        <v>0</v>
      </c>
      <c r="BH25" t="str">
        <f>IFERROR(AVERAGE('Fats Raw Data'!H25:H29),"")</f>
        <v/>
      </c>
      <c r="BI25" t="str">
        <f>IFERROR(SUMPRODUCT('Fats Raw Data'!B25:B44,'Fats Raw Data'!G25:G44)/SUM('Fats Raw Data'!G25:G44),"")</f>
        <v/>
      </c>
      <c r="BJ25">
        <f>IFERROR(SQRT((SUMSQ('Fats Raw Data'!B25:B44)-2*SUMPRODUCT('Fats Raw Data'!B25:B44,'Fats Raw Data'!B26:B45)+SUMSQ('Fats Raw Data'!B26:B45)-('Fats Raw Data'!B25-'Fats Raw Data'!B45)^2/20)/19),"")</f>
        <v>0</v>
      </c>
      <c r="BL25">
        <f>IFERROR('Fats Raw Data'!K25,"")</f>
        <v>0</v>
      </c>
      <c r="BM25">
        <f>IFERROR('Fats Raw Data'!P25,"")</f>
        <v>0</v>
      </c>
      <c r="BN25">
        <f>IFERROR('Fats Raw Data'!R25-'Fats Raw Data'!R26,"")</f>
        <v>0</v>
      </c>
      <c r="BO25" t="str">
        <f>IFERROR(AVERAGE('Fats Raw Data'!R25:R29),"")</f>
        <v/>
      </c>
      <c r="BP25" t="str">
        <f>IFERROR(SUMPRODUCT('Fats Raw Data'!L25:L44,'Fats Raw Data'!Q25:Q44)/SUM('Fats Raw Data'!Q25:Q44),"")</f>
        <v/>
      </c>
      <c r="BQ25">
        <f>IFERROR(SQRT((SUMSQ('Fats Raw Data'!L25:L44)-2*SUMPRODUCT('Fats Raw Data'!L25:L44,'Fats Raw Data'!L26:L45)+SUMSQ('Fats Raw Data'!L26:L45)-('Fats Raw Data'!L25-'Fats Raw Data'!L45)^2/20)/19),"")</f>
        <v>0</v>
      </c>
      <c r="BS25">
        <f>IFERROR('Fats Raw Data'!U25,"")</f>
        <v>0</v>
      </c>
      <c r="BT25">
        <f>IFERROR('Fats Raw Data'!Z25,"")</f>
        <v>0</v>
      </c>
      <c r="BU25">
        <f>IFERROR('Fats Raw Data'!AB25-'Fats Raw Data'!AB26,"")</f>
        <v>0</v>
      </c>
      <c r="BV25" t="str">
        <f>IFERROR(AVERAGE('Fats Raw Data'!AB25:AB29),"")</f>
        <v/>
      </c>
      <c r="BW25" t="str">
        <f>IFERROR(SUMPRODUCT('Fats Raw Data'!V25:V44,'Fats Raw Data'!AA25:AA44)/SUM('Fats Raw Data'!AA25:AA44),"")</f>
        <v/>
      </c>
      <c r="BX25">
        <f>IFERROR(SQRT((SUMSQ('Fats Raw Data'!V25:V44)-2*SUMPRODUCT('Fats Raw Data'!V25:V44,'Fats Raw Data'!V26:V45)+SUMSQ('Fats Raw Data'!V26:V45)-('Fats Raw Data'!V25-'Fats Raw Data'!V45)^2/20)/19),"")</f>
        <v>0</v>
      </c>
      <c r="BZ25">
        <f>IFERROR('Fats Raw Data'!AE25,"")</f>
        <v>0</v>
      </c>
      <c r="CA25">
        <f>IFERROR('Fats Raw Data'!AJ25,"")</f>
        <v>0</v>
      </c>
      <c r="CB25">
        <f>IFERROR('Fats Raw Data'!AL25-'Fats Raw Data'!AL26,"")</f>
        <v>0</v>
      </c>
      <c r="CC25" t="str">
        <f>IFERROR(AVERAGE('Fats Raw Data'!AL25:AL29),"")</f>
        <v/>
      </c>
      <c r="CD25" t="str">
        <f>IFERROR(SUMPRODUCT('Fats Raw Data'!AF25:AF44,'Fats Raw Data'!AK25:AK44)/SUM('Fats Raw Data'!AK25:AK44),"")</f>
        <v/>
      </c>
      <c r="CE25">
        <f>IFERROR(SQRT((SUMSQ('Fats Raw Data'!AF25:AF44)-2*SUMPRODUCT('Fats Raw Data'!AF25:AF44,'Fats Raw Data'!AF26:AF45)+SUMSQ('Fats Raw Data'!AF26:AF45)-('Fats Raw Data'!AF25-'Fats Raw Data'!AF45)^2/20)/19),"")</f>
        <v>0</v>
      </c>
      <c r="CG25">
        <f>IFERROR('Fats Raw Data'!AO25,"")</f>
        <v>0</v>
      </c>
      <c r="CH25">
        <f>IFERROR('Fats Raw Data'!AT25,"")</f>
        <v>0</v>
      </c>
      <c r="CI25">
        <f>IFERROR('Fats Raw Data'!AV25-'Fats Raw Data'!AV26,"")</f>
        <v>0</v>
      </c>
      <c r="CJ25" t="str">
        <f>IFERROR(AVERAGE('Fats Raw Data'!AV25:AV29),"")</f>
        <v/>
      </c>
      <c r="CK25" t="str">
        <f>IFERROR(SUMPRODUCT('Fats Raw Data'!AP25:AP44,'Fats Raw Data'!AU25:AU44)/SUM('Fats Raw Data'!AU25:AU44),"")</f>
        <v/>
      </c>
      <c r="CL25">
        <f>IFERROR(SQRT((SUMSQ('Fats Raw Data'!AP25:AP44)-2*SUMPRODUCT('Fats Raw Data'!AP25:AP44,'Fats Raw Data'!AP26:AP45)+SUMSQ('Fats Raw Data'!AP26:AP45)-('Fats Raw Data'!AP25-'Fats Raw Data'!AP45)^2/20)/19),"")</f>
        <v>0</v>
      </c>
      <c r="CN25">
        <f>IFERROR('Fats Raw Data'!AY25,"")</f>
        <v>0</v>
      </c>
      <c r="CO25">
        <f>IFERROR('Fats Raw Data'!BD25,"")</f>
        <v>0</v>
      </c>
      <c r="CP25">
        <f>IFERROR('Fats Raw Data'!BF25-'Fats Raw Data'!BF26,"")</f>
        <v>0</v>
      </c>
      <c r="CQ25" t="str">
        <f>IFERROR(AVERAGE('Fats Raw Data'!BF25:BF29),"")</f>
        <v/>
      </c>
      <c r="CR25" t="str">
        <f>IFERROR(SUMPRODUCT('Fats Raw Data'!AZ25:AZ44,'Fats Raw Data'!BE25:BE44)/SUM('Fats Raw Data'!BE25:BE44),"")</f>
        <v/>
      </c>
      <c r="CS25">
        <f>IFERROR(SQRT((SUMSQ('Fats Raw Data'!AZ25:AZ44)-2*SUMPRODUCT('Fats Raw Data'!AZ25:AZ44,'Fats Raw Data'!AZ26:AZ45)+SUMSQ('Fats Raw Data'!AZ26:AZ45)-('Fats Raw Data'!AZ25-'Fats Raw Data'!AZ45)^2/20)/19),"")</f>
        <v>0</v>
      </c>
    </row>
    <row r="26" spans="1:97" x14ac:dyDescent="0.25">
      <c r="A26">
        <f>IFERROR('Feeders Raw Data'!A26,"")</f>
        <v>0</v>
      </c>
      <c r="B26">
        <f>IFERROR('Feeders Raw Data'!F26,"")</f>
        <v>0</v>
      </c>
      <c r="C26">
        <f>IFERROR('Feeders Raw Data'!H26-'Feeders Raw Data'!H27,"")</f>
        <v>0</v>
      </c>
      <c r="D26" t="str">
        <f>IFERROR(AVERAGE('Feeders Raw Data'!H26:H30),"")</f>
        <v/>
      </c>
      <c r="E26" t="str">
        <f>IFERROR(SUMPRODUCT('Feeders Raw Data'!B26:B45,'Feeders Raw Data'!G26:G45)/SUM('Feeders Raw Data'!G26:G45),"")</f>
        <v/>
      </c>
      <c r="F26">
        <f>IFERROR(SQRT((SUMSQ('Feeders Raw Data'!B26:B45)-2*SUMPRODUCT('Feeders Raw Data'!B26:B45,'Feeders Raw Data'!B27:B46)+SUMSQ('Feeders Raw Data'!B27:B46)-('Feeders Raw Data'!B26-'Feeders Raw Data'!B46)^2/20)/19),"")</f>
        <v>0</v>
      </c>
      <c r="H26">
        <f>IFERROR('Feeders Raw Data'!K26,"")</f>
        <v>0</v>
      </c>
      <c r="I26">
        <f>IFERROR('Feeders Raw Data'!P26,"")</f>
        <v>0</v>
      </c>
      <c r="J26">
        <f>IFERROR('Feeders Raw Data'!R26-'Feeders Raw Data'!R27,"")</f>
        <v>0</v>
      </c>
      <c r="K26" t="str">
        <f>IFERROR(AVERAGE('Feeders Raw Data'!R26:R30),"")</f>
        <v/>
      </c>
      <c r="L26" t="str">
        <f>IFERROR(SUMPRODUCT('Feeders Raw Data'!L26:L45,'Feeders Raw Data'!Q26:Q45)/SUM('Feeders Raw Data'!Q26:Q45),"")</f>
        <v/>
      </c>
      <c r="M26">
        <f>IFERROR(SQRT((SUMSQ('Feeders Raw Data'!L26:L45)-2*SUMPRODUCT('Feeders Raw Data'!L26:L45,'Feeders Raw Data'!L27:L46)+SUMSQ('Feeders Raw Data'!L27:L46)-('Feeders Raw Data'!L26-'Feeders Raw Data'!L46)^2/20)/19),"")</f>
        <v>0</v>
      </c>
      <c r="O26">
        <f>IFERROR('Feeders Raw Data'!U26,"")</f>
        <v>0</v>
      </c>
      <c r="P26">
        <f>IFERROR('Feeders Raw Data'!Z26,"")</f>
        <v>0</v>
      </c>
      <c r="Q26">
        <f>IFERROR('Feeders Raw Data'!AB26-'Feeders Raw Data'!AB27,"")</f>
        <v>0</v>
      </c>
      <c r="R26" t="str">
        <f>IFERROR(AVERAGE('Feeders Raw Data'!AB26:AB30),"")</f>
        <v/>
      </c>
      <c r="S26" t="str">
        <f>IFERROR(SUMPRODUCT('Feeders Raw Data'!V26:V45,'Feeders Raw Data'!AA26:AA45)/SUM('Feeders Raw Data'!AA26:AA45),"")</f>
        <v/>
      </c>
      <c r="T26">
        <f>IFERROR(SQRT((SUMSQ('Feeders Raw Data'!V26:V45)-2*SUMPRODUCT('Feeders Raw Data'!V26:V45,'Feeders Raw Data'!V27:V46)+SUMSQ('Feeders Raw Data'!V27:V46)-('Feeders Raw Data'!V26-'Feeders Raw Data'!V46)^2/20)/19),"")</f>
        <v>0</v>
      </c>
      <c r="V26">
        <f>IFERROR('Feeders Raw Data'!AE26,"")</f>
        <v>0</v>
      </c>
      <c r="W26">
        <f>IFERROR('Feeders Raw Data'!AJ26,"")</f>
        <v>0</v>
      </c>
      <c r="X26">
        <f>IFERROR('Feeders Raw Data'!AL26-'Feeders Raw Data'!AL27,"")</f>
        <v>0</v>
      </c>
      <c r="Y26" t="str">
        <f>IFERROR(AVERAGE('Feeders Raw Data'!AL26:AL30),"")</f>
        <v/>
      </c>
      <c r="Z26" t="str">
        <f>IFERROR(SUMPRODUCT('Feeders Raw Data'!AF26:AF45,'Feeders Raw Data'!AK26:AK45)/SUM('Feeders Raw Data'!AK26:AK45),"")</f>
        <v/>
      </c>
      <c r="AA26">
        <f>IFERROR(SQRT((SUMSQ('Feeders Raw Data'!AF26:AF45)-2*SUMPRODUCT('Feeders Raw Data'!AF26:AF45,'Feeders Raw Data'!AF27:AF46)+SUMSQ('Feeders Raw Data'!AF27:AF46)-('Feeders Raw Data'!AF26-'Feeders Raw Data'!AF46)^2/20)/19),"")</f>
        <v>0</v>
      </c>
      <c r="AC26">
        <f>IFERROR('Feeders Raw Data'!AO26,"")</f>
        <v>0</v>
      </c>
      <c r="AD26">
        <f>IFERROR('Feeders Raw Data'!AT26,"")</f>
        <v>0</v>
      </c>
      <c r="AE26">
        <f>IFERROR('Feeders Raw Data'!AV26-'Feeders Raw Data'!AV27,"")</f>
        <v>0</v>
      </c>
      <c r="AF26" t="str">
        <f>IFERROR(AVERAGE('Feeders Raw Data'!AV26:AV30),"")</f>
        <v/>
      </c>
      <c r="AG26" t="str">
        <f>IFERROR(SUMPRODUCT('Feeders Raw Data'!AP26:AP45,'Feeders Raw Data'!AU26:AU45)/SUM('Feeders Raw Data'!AU26:AU45),"")</f>
        <v/>
      </c>
      <c r="AH26">
        <f>IFERROR(SQRT((SUMSQ('Feeders Raw Data'!AP26:AP45)-2*SUMPRODUCT('Feeders Raw Data'!AP26:AP45,'Feeders Raw Data'!AP27:AP46)+SUMSQ('Feeders Raw Data'!AP27:AP46)-('Feeders Raw Data'!AP26-'Feeders Raw Data'!AP46)^2/20)/19),"")</f>
        <v>0</v>
      </c>
      <c r="AJ26">
        <f>IFERROR('Feeders Raw Data'!AY26,"")</f>
        <v>0</v>
      </c>
      <c r="AK26">
        <f>IFERROR('Feeders Raw Data'!BD26,"")</f>
        <v>0</v>
      </c>
      <c r="AL26">
        <f>IFERROR('Feeders Raw Data'!BF26-'Feeders Raw Data'!BF27,"")</f>
        <v>0</v>
      </c>
      <c r="AM26" t="str">
        <f>IFERROR(AVERAGE('Feeders Raw Data'!BF26:BF30),"")</f>
        <v/>
      </c>
      <c r="AN26" t="str">
        <f>IFERROR(SUMPRODUCT('Feeders Raw Data'!AZ26:AZ45,'Feeders Raw Data'!BE26:BE45)/SUM('Feeders Raw Data'!BE26:BE45),"")</f>
        <v/>
      </c>
      <c r="AO26">
        <f>IFERROR(SQRT((SUMSQ('Feeders Raw Data'!AZ26:AZ45)-2*SUMPRODUCT('Feeders Raw Data'!AZ26:AZ45,'Feeders Raw Data'!AZ27:AZ46)+SUMSQ('Feeders Raw Data'!AZ27:AZ46)-('Feeders Raw Data'!AZ26-'Feeders Raw Data'!AZ46)^2/20)/19),"")</f>
        <v>0</v>
      </c>
      <c r="AQ26">
        <f>IFERROR('Feeders Raw Data'!BI26,"")</f>
        <v>0</v>
      </c>
      <c r="AR26">
        <f>IFERROR('Feeders Raw Data'!BN26,"")</f>
        <v>0</v>
      </c>
      <c r="AS26">
        <f>IFERROR('Feeders Raw Data'!BP26-'Feeders Raw Data'!BP27,"")</f>
        <v>0</v>
      </c>
      <c r="AT26" t="str">
        <f>IFERROR(AVERAGE('Feeders Raw Data'!BP26:BP30),"")</f>
        <v/>
      </c>
      <c r="AU26" t="str">
        <f>IFERROR(SUMPRODUCT('Feeders Raw Data'!BJ26:BJ45,'Feeders Raw Data'!BO26:BO45)/SUM('Feeders Raw Data'!BO26:BO45),"")</f>
        <v/>
      </c>
      <c r="AV26">
        <f>IFERROR(SQRT((SUMSQ('Feeders Raw Data'!BJ26:BJ45)-2*SUMPRODUCT('Feeders Raw Data'!BJ26:BJ45,'Feeders Raw Data'!BJ27:BJ46)+SUMSQ('Feeders Raw Data'!BJ27:BJ46)-('Feeders Raw Data'!BJ26-'Feeders Raw Data'!BJ46)^2/20)/19),"")</f>
        <v>0</v>
      </c>
      <c r="AX26">
        <f>IFERROR('Feeders Raw Data'!BS26,"")</f>
        <v>0</v>
      </c>
      <c r="AY26">
        <f>IFERROR('Feeders Raw Data'!BX26,"")</f>
        <v>0</v>
      </c>
      <c r="AZ26">
        <f>IFERROR('Feeders Raw Data'!BZ26-'Feeders Raw Data'!BZ27,"")</f>
        <v>0</v>
      </c>
      <c r="BA26" t="str">
        <f>IFERROR(AVERAGE('Feeders Raw Data'!BZ26:BZ30),"")</f>
        <v/>
      </c>
      <c r="BB26" t="str">
        <f>IFERROR(SUMPRODUCT('Feeders Raw Data'!BT26:BT45,'Feeders Raw Data'!BY26:BY45)/SUM('Feeders Raw Data'!BY26:BY45),"")</f>
        <v/>
      </c>
      <c r="BC26">
        <f>IFERROR(SQRT((SUMSQ('Feeders Raw Data'!BT26:BT45)-2*SUMPRODUCT('Feeders Raw Data'!BT26:BT45,'Feeders Raw Data'!BT27:BT46)+SUMSQ('Feeders Raw Data'!BT27:BT46)-('Feeders Raw Data'!BT26-'Feeders Raw Data'!BT46)^2/20)/19),"")</f>
        <v>0</v>
      </c>
      <c r="BE26">
        <f>IFERROR('Fats Raw Data'!A26,"")</f>
        <v>0</v>
      </c>
      <c r="BF26">
        <f>IFERROR('Fats Raw Data'!F26,"")</f>
        <v>0</v>
      </c>
      <c r="BG26">
        <f>IFERROR('Fats Raw Data'!H26-'Fats Raw Data'!H27,"")</f>
        <v>0</v>
      </c>
      <c r="BH26" t="str">
        <f>IFERROR(AVERAGE('Fats Raw Data'!H26:H30),"")</f>
        <v/>
      </c>
      <c r="BI26" t="str">
        <f>IFERROR(SUMPRODUCT('Fats Raw Data'!B26:B45,'Fats Raw Data'!G26:G45)/SUM('Fats Raw Data'!G26:G45),"")</f>
        <v/>
      </c>
      <c r="BJ26">
        <f>IFERROR(SQRT((SUMSQ('Fats Raw Data'!B26:B45)-2*SUMPRODUCT('Fats Raw Data'!B26:B45,'Fats Raw Data'!B27:B46)+SUMSQ('Fats Raw Data'!B27:B46)-('Fats Raw Data'!B26-'Fats Raw Data'!B46)^2/20)/19),"")</f>
        <v>0</v>
      </c>
      <c r="BL26">
        <f>IFERROR('Fats Raw Data'!K26,"")</f>
        <v>0</v>
      </c>
      <c r="BM26">
        <f>IFERROR('Fats Raw Data'!P26,"")</f>
        <v>0</v>
      </c>
      <c r="BN26">
        <f>IFERROR('Fats Raw Data'!R26-'Fats Raw Data'!R27,"")</f>
        <v>0</v>
      </c>
      <c r="BO26" t="str">
        <f>IFERROR(AVERAGE('Fats Raw Data'!R26:R30),"")</f>
        <v/>
      </c>
      <c r="BP26" t="str">
        <f>IFERROR(SUMPRODUCT('Fats Raw Data'!L26:L45,'Fats Raw Data'!Q26:Q45)/SUM('Fats Raw Data'!Q26:Q45),"")</f>
        <v/>
      </c>
      <c r="BQ26">
        <f>IFERROR(SQRT((SUMSQ('Fats Raw Data'!L26:L45)-2*SUMPRODUCT('Fats Raw Data'!L26:L45,'Fats Raw Data'!L27:L46)+SUMSQ('Fats Raw Data'!L27:L46)-('Fats Raw Data'!L26-'Fats Raw Data'!L46)^2/20)/19),"")</f>
        <v>0</v>
      </c>
      <c r="BS26">
        <f>IFERROR('Fats Raw Data'!U26,"")</f>
        <v>0</v>
      </c>
      <c r="BT26">
        <f>IFERROR('Fats Raw Data'!Z26,"")</f>
        <v>0</v>
      </c>
      <c r="BU26">
        <f>IFERROR('Fats Raw Data'!AB26-'Fats Raw Data'!AB27,"")</f>
        <v>0</v>
      </c>
      <c r="BV26" t="str">
        <f>IFERROR(AVERAGE('Fats Raw Data'!AB26:AB30),"")</f>
        <v/>
      </c>
      <c r="BW26" t="str">
        <f>IFERROR(SUMPRODUCT('Fats Raw Data'!V26:V45,'Fats Raw Data'!AA26:AA45)/SUM('Fats Raw Data'!AA26:AA45),"")</f>
        <v/>
      </c>
      <c r="BX26">
        <f>IFERROR(SQRT((SUMSQ('Fats Raw Data'!V26:V45)-2*SUMPRODUCT('Fats Raw Data'!V26:V45,'Fats Raw Data'!V27:V46)+SUMSQ('Fats Raw Data'!V27:V46)-('Fats Raw Data'!V26-'Fats Raw Data'!V46)^2/20)/19),"")</f>
        <v>0</v>
      </c>
      <c r="BZ26">
        <f>IFERROR('Fats Raw Data'!AE26,"")</f>
        <v>0</v>
      </c>
      <c r="CA26">
        <f>IFERROR('Fats Raw Data'!AJ26,"")</f>
        <v>0</v>
      </c>
      <c r="CB26">
        <f>IFERROR('Fats Raw Data'!AL26-'Fats Raw Data'!AL27,"")</f>
        <v>0</v>
      </c>
      <c r="CC26" t="str">
        <f>IFERROR(AVERAGE('Fats Raw Data'!AL26:AL30),"")</f>
        <v/>
      </c>
      <c r="CD26" t="str">
        <f>IFERROR(SUMPRODUCT('Fats Raw Data'!AF26:AF45,'Fats Raw Data'!AK26:AK45)/SUM('Fats Raw Data'!AK26:AK45),"")</f>
        <v/>
      </c>
      <c r="CE26">
        <f>IFERROR(SQRT((SUMSQ('Fats Raw Data'!AF26:AF45)-2*SUMPRODUCT('Fats Raw Data'!AF26:AF45,'Fats Raw Data'!AF27:AF46)+SUMSQ('Fats Raw Data'!AF27:AF46)-('Fats Raw Data'!AF26-'Fats Raw Data'!AF46)^2/20)/19),"")</f>
        <v>0</v>
      </c>
      <c r="CG26">
        <f>IFERROR('Fats Raw Data'!AO26,"")</f>
        <v>0</v>
      </c>
      <c r="CH26">
        <f>IFERROR('Fats Raw Data'!AT26,"")</f>
        <v>0</v>
      </c>
      <c r="CI26">
        <f>IFERROR('Fats Raw Data'!AV26-'Fats Raw Data'!AV27,"")</f>
        <v>0</v>
      </c>
      <c r="CJ26" t="str">
        <f>IFERROR(AVERAGE('Fats Raw Data'!AV26:AV30),"")</f>
        <v/>
      </c>
      <c r="CK26" t="str">
        <f>IFERROR(SUMPRODUCT('Fats Raw Data'!AP26:AP45,'Fats Raw Data'!AU26:AU45)/SUM('Fats Raw Data'!AU26:AU45),"")</f>
        <v/>
      </c>
      <c r="CL26">
        <f>IFERROR(SQRT((SUMSQ('Fats Raw Data'!AP26:AP45)-2*SUMPRODUCT('Fats Raw Data'!AP26:AP45,'Fats Raw Data'!AP27:AP46)+SUMSQ('Fats Raw Data'!AP27:AP46)-('Fats Raw Data'!AP26-'Fats Raw Data'!AP46)^2/20)/19),"")</f>
        <v>0</v>
      </c>
      <c r="CN26">
        <f>IFERROR('Fats Raw Data'!AY26,"")</f>
        <v>0</v>
      </c>
      <c r="CO26">
        <f>IFERROR('Fats Raw Data'!BD26,"")</f>
        <v>0</v>
      </c>
      <c r="CP26">
        <f>IFERROR('Fats Raw Data'!BF26-'Fats Raw Data'!BF27,"")</f>
        <v>0</v>
      </c>
      <c r="CQ26" t="str">
        <f>IFERROR(AVERAGE('Fats Raw Data'!BF26:BF30),"")</f>
        <v/>
      </c>
      <c r="CR26" t="str">
        <f>IFERROR(SUMPRODUCT('Fats Raw Data'!AZ26:AZ45,'Fats Raw Data'!BE26:BE45)/SUM('Fats Raw Data'!BE26:BE45),"")</f>
        <v/>
      </c>
      <c r="CS26">
        <f>IFERROR(SQRT((SUMSQ('Fats Raw Data'!AZ26:AZ45)-2*SUMPRODUCT('Fats Raw Data'!AZ26:AZ45,'Fats Raw Data'!AZ27:AZ46)+SUMSQ('Fats Raw Data'!AZ27:AZ46)-('Fats Raw Data'!AZ26-'Fats Raw Data'!AZ46)^2/20)/19),"")</f>
        <v>0</v>
      </c>
    </row>
    <row r="27" spans="1:97" x14ac:dyDescent="0.25">
      <c r="A27">
        <f>IFERROR('Feeders Raw Data'!A27,"")</f>
        <v>0</v>
      </c>
      <c r="B27">
        <f>IFERROR('Feeders Raw Data'!F27,"")</f>
        <v>0</v>
      </c>
      <c r="C27">
        <f>IFERROR('Feeders Raw Data'!H27-'Feeders Raw Data'!H28,"")</f>
        <v>0</v>
      </c>
      <c r="D27" t="str">
        <f>IFERROR(AVERAGE('Feeders Raw Data'!H27:H31),"")</f>
        <v/>
      </c>
      <c r="E27" t="str">
        <f>IFERROR(SUMPRODUCT('Feeders Raw Data'!B27:B46,'Feeders Raw Data'!G27:G46)/SUM('Feeders Raw Data'!G27:G46),"")</f>
        <v/>
      </c>
      <c r="F27">
        <f>IFERROR(SQRT((SUMSQ('Feeders Raw Data'!B27:B46)-2*SUMPRODUCT('Feeders Raw Data'!B27:B46,'Feeders Raw Data'!B28:B47)+SUMSQ('Feeders Raw Data'!B28:B47)-('Feeders Raw Data'!B27-'Feeders Raw Data'!B47)^2/20)/19),"")</f>
        <v>0</v>
      </c>
      <c r="H27">
        <f>IFERROR('Feeders Raw Data'!K27,"")</f>
        <v>0</v>
      </c>
      <c r="I27">
        <f>IFERROR('Feeders Raw Data'!P27,"")</f>
        <v>0</v>
      </c>
      <c r="J27">
        <f>IFERROR('Feeders Raw Data'!R27-'Feeders Raw Data'!R28,"")</f>
        <v>0</v>
      </c>
      <c r="K27" t="str">
        <f>IFERROR(AVERAGE('Feeders Raw Data'!R27:R31),"")</f>
        <v/>
      </c>
      <c r="L27" t="str">
        <f>IFERROR(SUMPRODUCT('Feeders Raw Data'!L27:L46,'Feeders Raw Data'!Q27:Q46)/SUM('Feeders Raw Data'!Q27:Q46),"")</f>
        <v/>
      </c>
      <c r="M27">
        <f>IFERROR(SQRT((SUMSQ('Feeders Raw Data'!L27:L46)-2*SUMPRODUCT('Feeders Raw Data'!L27:L46,'Feeders Raw Data'!L28:L47)+SUMSQ('Feeders Raw Data'!L28:L47)-('Feeders Raw Data'!L27-'Feeders Raw Data'!L47)^2/20)/19),"")</f>
        <v>0</v>
      </c>
      <c r="O27">
        <f>IFERROR('Feeders Raw Data'!U27,"")</f>
        <v>0</v>
      </c>
      <c r="P27">
        <f>IFERROR('Feeders Raw Data'!Z27,"")</f>
        <v>0</v>
      </c>
      <c r="Q27">
        <f>IFERROR('Feeders Raw Data'!AB27-'Feeders Raw Data'!AB28,"")</f>
        <v>0</v>
      </c>
      <c r="R27" t="str">
        <f>IFERROR(AVERAGE('Feeders Raw Data'!AB27:AB31),"")</f>
        <v/>
      </c>
      <c r="S27" t="str">
        <f>IFERROR(SUMPRODUCT('Feeders Raw Data'!V27:V46,'Feeders Raw Data'!AA27:AA46)/SUM('Feeders Raw Data'!AA27:AA46),"")</f>
        <v/>
      </c>
      <c r="T27">
        <f>IFERROR(SQRT((SUMSQ('Feeders Raw Data'!V27:V46)-2*SUMPRODUCT('Feeders Raw Data'!V27:V46,'Feeders Raw Data'!V28:V47)+SUMSQ('Feeders Raw Data'!V28:V47)-('Feeders Raw Data'!V27-'Feeders Raw Data'!V47)^2/20)/19),"")</f>
        <v>0</v>
      </c>
      <c r="V27">
        <f>IFERROR('Feeders Raw Data'!AE27,"")</f>
        <v>0</v>
      </c>
      <c r="W27">
        <f>IFERROR('Feeders Raw Data'!AJ27,"")</f>
        <v>0</v>
      </c>
      <c r="X27">
        <f>IFERROR('Feeders Raw Data'!AL27-'Feeders Raw Data'!AL28,"")</f>
        <v>0</v>
      </c>
      <c r="Y27" t="str">
        <f>IFERROR(AVERAGE('Feeders Raw Data'!AL27:AL31),"")</f>
        <v/>
      </c>
      <c r="Z27" t="str">
        <f>IFERROR(SUMPRODUCT('Feeders Raw Data'!AF27:AF46,'Feeders Raw Data'!AK27:AK46)/SUM('Feeders Raw Data'!AK27:AK46),"")</f>
        <v/>
      </c>
      <c r="AA27">
        <f>IFERROR(SQRT((SUMSQ('Feeders Raw Data'!AF27:AF46)-2*SUMPRODUCT('Feeders Raw Data'!AF27:AF46,'Feeders Raw Data'!AF28:AF47)+SUMSQ('Feeders Raw Data'!AF28:AF47)-('Feeders Raw Data'!AF27-'Feeders Raw Data'!AF47)^2/20)/19),"")</f>
        <v>0</v>
      </c>
      <c r="AC27">
        <f>IFERROR('Feeders Raw Data'!AO27,"")</f>
        <v>0</v>
      </c>
      <c r="AD27">
        <f>IFERROR('Feeders Raw Data'!AT27,"")</f>
        <v>0</v>
      </c>
      <c r="AE27">
        <f>IFERROR('Feeders Raw Data'!AV27-'Feeders Raw Data'!AV28,"")</f>
        <v>0</v>
      </c>
      <c r="AF27" t="str">
        <f>IFERROR(AVERAGE('Feeders Raw Data'!AV27:AV31),"")</f>
        <v/>
      </c>
      <c r="AG27" t="str">
        <f>IFERROR(SUMPRODUCT('Feeders Raw Data'!AP27:AP46,'Feeders Raw Data'!AU27:AU46)/SUM('Feeders Raw Data'!AU27:AU46),"")</f>
        <v/>
      </c>
      <c r="AH27">
        <f>IFERROR(SQRT((SUMSQ('Feeders Raw Data'!AP27:AP46)-2*SUMPRODUCT('Feeders Raw Data'!AP27:AP46,'Feeders Raw Data'!AP28:AP47)+SUMSQ('Feeders Raw Data'!AP28:AP47)-('Feeders Raw Data'!AP27-'Feeders Raw Data'!AP47)^2/20)/19),"")</f>
        <v>0</v>
      </c>
      <c r="AJ27">
        <f>IFERROR('Feeders Raw Data'!AY27,"")</f>
        <v>0</v>
      </c>
      <c r="AK27">
        <f>IFERROR('Feeders Raw Data'!BD27,"")</f>
        <v>0</v>
      </c>
      <c r="AL27">
        <f>IFERROR('Feeders Raw Data'!BF27-'Feeders Raw Data'!BF28,"")</f>
        <v>0</v>
      </c>
      <c r="AM27" t="str">
        <f>IFERROR(AVERAGE('Feeders Raw Data'!BF27:BF31),"")</f>
        <v/>
      </c>
      <c r="AN27" t="str">
        <f>IFERROR(SUMPRODUCT('Feeders Raw Data'!AZ27:AZ46,'Feeders Raw Data'!BE27:BE46)/SUM('Feeders Raw Data'!BE27:BE46),"")</f>
        <v/>
      </c>
      <c r="AO27">
        <f>IFERROR(SQRT((SUMSQ('Feeders Raw Data'!AZ27:AZ46)-2*SUMPRODUCT('Feeders Raw Data'!AZ27:AZ46,'Feeders Raw Data'!AZ28:AZ47)+SUMSQ('Feeders Raw Data'!AZ28:AZ47)-('Feeders Raw Data'!AZ27-'Feeders Raw Data'!AZ47)^2/20)/19),"")</f>
        <v>0</v>
      </c>
      <c r="AQ27">
        <f>IFERROR('Feeders Raw Data'!BI27,"")</f>
        <v>0</v>
      </c>
      <c r="AR27">
        <f>IFERROR('Feeders Raw Data'!BN27,"")</f>
        <v>0</v>
      </c>
      <c r="AS27">
        <f>IFERROR('Feeders Raw Data'!BP27-'Feeders Raw Data'!BP28,"")</f>
        <v>0</v>
      </c>
      <c r="AT27" t="str">
        <f>IFERROR(AVERAGE('Feeders Raw Data'!BP27:BP31),"")</f>
        <v/>
      </c>
      <c r="AU27" t="str">
        <f>IFERROR(SUMPRODUCT('Feeders Raw Data'!BJ27:BJ46,'Feeders Raw Data'!BO27:BO46)/SUM('Feeders Raw Data'!BO27:BO46),"")</f>
        <v/>
      </c>
      <c r="AV27">
        <f>IFERROR(SQRT((SUMSQ('Feeders Raw Data'!BJ27:BJ46)-2*SUMPRODUCT('Feeders Raw Data'!BJ27:BJ46,'Feeders Raw Data'!BJ28:BJ47)+SUMSQ('Feeders Raw Data'!BJ28:BJ47)-('Feeders Raw Data'!BJ27-'Feeders Raw Data'!BJ47)^2/20)/19),"")</f>
        <v>0</v>
      </c>
      <c r="AX27">
        <f>IFERROR('Feeders Raw Data'!BS27,"")</f>
        <v>0</v>
      </c>
      <c r="AY27">
        <f>IFERROR('Feeders Raw Data'!BX27,"")</f>
        <v>0</v>
      </c>
      <c r="AZ27">
        <f>IFERROR('Feeders Raw Data'!BZ27-'Feeders Raw Data'!BZ28,"")</f>
        <v>0</v>
      </c>
      <c r="BA27" t="str">
        <f>IFERROR(AVERAGE('Feeders Raw Data'!BZ27:BZ31),"")</f>
        <v/>
      </c>
      <c r="BB27" t="str">
        <f>IFERROR(SUMPRODUCT('Feeders Raw Data'!BT27:BT46,'Feeders Raw Data'!BY27:BY46)/SUM('Feeders Raw Data'!BY27:BY46),"")</f>
        <v/>
      </c>
      <c r="BC27">
        <f>IFERROR(SQRT((SUMSQ('Feeders Raw Data'!BT27:BT46)-2*SUMPRODUCT('Feeders Raw Data'!BT27:BT46,'Feeders Raw Data'!BT28:BT47)+SUMSQ('Feeders Raw Data'!BT28:BT47)-('Feeders Raw Data'!BT27-'Feeders Raw Data'!BT47)^2/20)/19),"")</f>
        <v>0</v>
      </c>
      <c r="BE27">
        <f>IFERROR('Fats Raw Data'!A27,"")</f>
        <v>0</v>
      </c>
      <c r="BF27">
        <f>IFERROR('Fats Raw Data'!F27,"")</f>
        <v>0</v>
      </c>
      <c r="BG27">
        <f>IFERROR('Fats Raw Data'!H27-'Fats Raw Data'!H28,"")</f>
        <v>0</v>
      </c>
      <c r="BH27" t="str">
        <f>IFERROR(AVERAGE('Fats Raw Data'!H27:H31),"")</f>
        <v/>
      </c>
      <c r="BI27" t="str">
        <f>IFERROR(SUMPRODUCT('Fats Raw Data'!B27:B46,'Fats Raw Data'!G27:G46)/SUM('Fats Raw Data'!G27:G46),"")</f>
        <v/>
      </c>
      <c r="BJ27">
        <f>IFERROR(SQRT((SUMSQ('Fats Raw Data'!B27:B46)-2*SUMPRODUCT('Fats Raw Data'!B27:B46,'Fats Raw Data'!B28:B47)+SUMSQ('Fats Raw Data'!B28:B47)-('Fats Raw Data'!B27-'Fats Raw Data'!B47)^2/20)/19),"")</f>
        <v>0</v>
      </c>
      <c r="BL27">
        <f>IFERROR('Fats Raw Data'!K27,"")</f>
        <v>0</v>
      </c>
      <c r="BM27">
        <f>IFERROR('Fats Raw Data'!P27,"")</f>
        <v>0</v>
      </c>
      <c r="BN27">
        <f>IFERROR('Fats Raw Data'!R27-'Fats Raw Data'!R28,"")</f>
        <v>0</v>
      </c>
      <c r="BO27" t="str">
        <f>IFERROR(AVERAGE('Fats Raw Data'!R27:R31),"")</f>
        <v/>
      </c>
      <c r="BP27" t="str">
        <f>IFERROR(SUMPRODUCT('Fats Raw Data'!L27:L46,'Fats Raw Data'!Q27:Q46)/SUM('Fats Raw Data'!Q27:Q46),"")</f>
        <v/>
      </c>
      <c r="BQ27">
        <f>IFERROR(SQRT((SUMSQ('Fats Raw Data'!L27:L46)-2*SUMPRODUCT('Fats Raw Data'!L27:L46,'Fats Raw Data'!L28:L47)+SUMSQ('Fats Raw Data'!L28:L47)-('Fats Raw Data'!L27-'Fats Raw Data'!L47)^2/20)/19),"")</f>
        <v>0</v>
      </c>
      <c r="BS27">
        <f>IFERROR('Fats Raw Data'!U27,"")</f>
        <v>0</v>
      </c>
      <c r="BT27">
        <f>IFERROR('Fats Raw Data'!Z27,"")</f>
        <v>0</v>
      </c>
      <c r="BU27">
        <f>IFERROR('Fats Raw Data'!AB27-'Fats Raw Data'!AB28,"")</f>
        <v>0</v>
      </c>
      <c r="BV27" t="str">
        <f>IFERROR(AVERAGE('Fats Raw Data'!AB27:AB31),"")</f>
        <v/>
      </c>
      <c r="BW27" t="str">
        <f>IFERROR(SUMPRODUCT('Fats Raw Data'!V27:V46,'Fats Raw Data'!AA27:AA46)/SUM('Fats Raw Data'!AA27:AA46),"")</f>
        <v/>
      </c>
      <c r="BX27">
        <f>IFERROR(SQRT((SUMSQ('Fats Raw Data'!V27:V46)-2*SUMPRODUCT('Fats Raw Data'!V27:V46,'Fats Raw Data'!V28:V47)+SUMSQ('Fats Raw Data'!V28:V47)-('Fats Raw Data'!V27-'Fats Raw Data'!V47)^2/20)/19),"")</f>
        <v>0</v>
      </c>
      <c r="BZ27">
        <f>IFERROR('Fats Raw Data'!AE27,"")</f>
        <v>0</v>
      </c>
      <c r="CA27">
        <f>IFERROR('Fats Raw Data'!AJ27,"")</f>
        <v>0</v>
      </c>
      <c r="CB27">
        <f>IFERROR('Fats Raw Data'!AL27-'Fats Raw Data'!AL28,"")</f>
        <v>0</v>
      </c>
      <c r="CC27" t="str">
        <f>IFERROR(AVERAGE('Fats Raw Data'!AL27:AL31),"")</f>
        <v/>
      </c>
      <c r="CD27" t="str">
        <f>IFERROR(SUMPRODUCT('Fats Raw Data'!AF27:AF46,'Fats Raw Data'!AK27:AK46)/SUM('Fats Raw Data'!AK27:AK46),"")</f>
        <v/>
      </c>
      <c r="CE27">
        <f>IFERROR(SQRT((SUMSQ('Fats Raw Data'!AF27:AF46)-2*SUMPRODUCT('Fats Raw Data'!AF27:AF46,'Fats Raw Data'!AF28:AF47)+SUMSQ('Fats Raw Data'!AF28:AF47)-('Fats Raw Data'!AF27-'Fats Raw Data'!AF47)^2/20)/19),"")</f>
        <v>0</v>
      </c>
      <c r="CG27">
        <f>IFERROR('Fats Raw Data'!AO27,"")</f>
        <v>0</v>
      </c>
      <c r="CH27">
        <f>IFERROR('Fats Raw Data'!AT27,"")</f>
        <v>0</v>
      </c>
      <c r="CI27">
        <f>IFERROR('Fats Raw Data'!AV27-'Fats Raw Data'!AV28,"")</f>
        <v>0</v>
      </c>
      <c r="CJ27" t="str">
        <f>IFERROR(AVERAGE('Fats Raw Data'!AV27:AV31),"")</f>
        <v/>
      </c>
      <c r="CK27" t="str">
        <f>IFERROR(SUMPRODUCT('Fats Raw Data'!AP27:AP46,'Fats Raw Data'!AU27:AU46)/SUM('Fats Raw Data'!AU27:AU46),"")</f>
        <v/>
      </c>
      <c r="CL27">
        <f>IFERROR(SQRT((SUMSQ('Fats Raw Data'!AP27:AP46)-2*SUMPRODUCT('Fats Raw Data'!AP27:AP46,'Fats Raw Data'!AP28:AP47)+SUMSQ('Fats Raw Data'!AP28:AP47)-('Fats Raw Data'!AP27-'Fats Raw Data'!AP47)^2/20)/19),"")</f>
        <v>0</v>
      </c>
      <c r="CN27">
        <f>IFERROR('Fats Raw Data'!AY27,"")</f>
        <v>0</v>
      </c>
      <c r="CO27">
        <f>IFERROR('Fats Raw Data'!BD27,"")</f>
        <v>0</v>
      </c>
      <c r="CP27">
        <f>IFERROR('Fats Raw Data'!BF27-'Fats Raw Data'!BF28,"")</f>
        <v>0</v>
      </c>
      <c r="CQ27" t="str">
        <f>IFERROR(AVERAGE('Fats Raw Data'!BF27:BF31),"")</f>
        <v/>
      </c>
      <c r="CR27" t="str">
        <f>IFERROR(SUMPRODUCT('Fats Raw Data'!AZ27:AZ46,'Fats Raw Data'!BE27:BE46)/SUM('Fats Raw Data'!BE27:BE46),"")</f>
        <v/>
      </c>
      <c r="CS27">
        <f>IFERROR(SQRT((SUMSQ('Fats Raw Data'!AZ27:AZ46)-2*SUMPRODUCT('Fats Raw Data'!AZ27:AZ46,'Fats Raw Data'!AZ28:AZ47)+SUMSQ('Fats Raw Data'!AZ28:AZ47)-('Fats Raw Data'!AZ27-'Fats Raw Data'!AZ47)^2/20)/19),"")</f>
        <v>0</v>
      </c>
    </row>
    <row r="28" spans="1:97" x14ac:dyDescent="0.25">
      <c r="A28">
        <f>IFERROR('Feeders Raw Data'!A28,"")</f>
        <v>0</v>
      </c>
      <c r="B28">
        <f>IFERROR('Feeders Raw Data'!F28,"")</f>
        <v>0</v>
      </c>
      <c r="C28">
        <f>IFERROR('Feeders Raw Data'!H28-'Feeders Raw Data'!H29,"")</f>
        <v>0</v>
      </c>
      <c r="D28" t="str">
        <f>IFERROR(AVERAGE('Feeders Raw Data'!H28:H32),"")</f>
        <v/>
      </c>
      <c r="E28" t="str">
        <f>IFERROR(SUMPRODUCT('Feeders Raw Data'!B28:B47,'Feeders Raw Data'!G28:G47)/SUM('Feeders Raw Data'!G28:G47),"")</f>
        <v/>
      </c>
      <c r="F28">
        <f>IFERROR(SQRT((SUMSQ('Feeders Raw Data'!B28:B47)-2*SUMPRODUCT('Feeders Raw Data'!B28:B47,'Feeders Raw Data'!B29:B48)+SUMSQ('Feeders Raw Data'!B29:B48)-('Feeders Raw Data'!B28-'Feeders Raw Data'!B48)^2/20)/19),"")</f>
        <v>0</v>
      </c>
      <c r="H28">
        <f>IFERROR('Feeders Raw Data'!K28,"")</f>
        <v>0</v>
      </c>
      <c r="I28">
        <f>IFERROR('Feeders Raw Data'!P28,"")</f>
        <v>0</v>
      </c>
      <c r="J28">
        <f>IFERROR('Feeders Raw Data'!R28-'Feeders Raw Data'!R29,"")</f>
        <v>0</v>
      </c>
      <c r="K28" t="str">
        <f>IFERROR(AVERAGE('Feeders Raw Data'!R28:R32),"")</f>
        <v/>
      </c>
      <c r="L28" t="str">
        <f>IFERROR(SUMPRODUCT('Feeders Raw Data'!L28:L47,'Feeders Raw Data'!Q28:Q47)/SUM('Feeders Raw Data'!Q28:Q47),"")</f>
        <v/>
      </c>
      <c r="M28">
        <f>IFERROR(SQRT((SUMSQ('Feeders Raw Data'!L28:L47)-2*SUMPRODUCT('Feeders Raw Data'!L28:L47,'Feeders Raw Data'!L29:L48)+SUMSQ('Feeders Raw Data'!L29:L48)-('Feeders Raw Data'!L28-'Feeders Raw Data'!L48)^2/20)/19),"")</f>
        <v>0</v>
      </c>
      <c r="O28">
        <f>IFERROR('Feeders Raw Data'!U28,"")</f>
        <v>0</v>
      </c>
      <c r="P28">
        <f>IFERROR('Feeders Raw Data'!Z28,"")</f>
        <v>0</v>
      </c>
      <c r="Q28">
        <f>IFERROR('Feeders Raw Data'!AB28-'Feeders Raw Data'!AB29,"")</f>
        <v>0</v>
      </c>
      <c r="R28" t="str">
        <f>IFERROR(AVERAGE('Feeders Raw Data'!AB28:AB32),"")</f>
        <v/>
      </c>
      <c r="S28" t="str">
        <f>IFERROR(SUMPRODUCT('Feeders Raw Data'!V28:V47,'Feeders Raw Data'!AA28:AA47)/SUM('Feeders Raw Data'!AA28:AA47),"")</f>
        <v/>
      </c>
      <c r="T28">
        <f>IFERROR(SQRT((SUMSQ('Feeders Raw Data'!V28:V47)-2*SUMPRODUCT('Feeders Raw Data'!V28:V47,'Feeders Raw Data'!V29:V48)+SUMSQ('Feeders Raw Data'!V29:V48)-('Feeders Raw Data'!V28-'Feeders Raw Data'!V48)^2/20)/19),"")</f>
        <v>0</v>
      </c>
      <c r="V28">
        <f>IFERROR('Feeders Raw Data'!AE28,"")</f>
        <v>0</v>
      </c>
      <c r="W28">
        <f>IFERROR('Feeders Raw Data'!AJ28,"")</f>
        <v>0</v>
      </c>
      <c r="X28">
        <f>IFERROR('Feeders Raw Data'!AL28-'Feeders Raw Data'!AL29,"")</f>
        <v>0</v>
      </c>
      <c r="Y28" t="str">
        <f>IFERROR(AVERAGE('Feeders Raw Data'!AL28:AL32),"")</f>
        <v/>
      </c>
      <c r="Z28" t="str">
        <f>IFERROR(SUMPRODUCT('Feeders Raw Data'!AF28:AF47,'Feeders Raw Data'!AK28:AK47)/SUM('Feeders Raw Data'!AK28:AK47),"")</f>
        <v/>
      </c>
      <c r="AA28">
        <f>IFERROR(SQRT((SUMSQ('Feeders Raw Data'!AF28:AF47)-2*SUMPRODUCT('Feeders Raw Data'!AF28:AF47,'Feeders Raw Data'!AF29:AF48)+SUMSQ('Feeders Raw Data'!AF29:AF48)-('Feeders Raw Data'!AF28-'Feeders Raw Data'!AF48)^2/20)/19),"")</f>
        <v>0</v>
      </c>
      <c r="AC28">
        <f>IFERROR('Feeders Raw Data'!AO28,"")</f>
        <v>0</v>
      </c>
      <c r="AD28">
        <f>IFERROR('Feeders Raw Data'!AT28,"")</f>
        <v>0</v>
      </c>
      <c r="AE28">
        <f>IFERROR('Feeders Raw Data'!AV28-'Feeders Raw Data'!AV29,"")</f>
        <v>0</v>
      </c>
      <c r="AF28" t="str">
        <f>IFERROR(AVERAGE('Feeders Raw Data'!AV28:AV32),"")</f>
        <v/>
      </c>
      <c r="AG28" t="str">
        <f>IFERROR(SUMPRODUCT('Feeders Raw Data'!AP28:AP47,'Feeders Raw Data'!AU28:AU47)/SUM('Feeders Raw Data'!AU28:AU47),"")</f>
        <v/>
      </c>
      <c r="AH28">
        <f>IFERROR(SQRT((SUMSQ('Feeders Raw Data'!AP28:AP47)-2*SUMPRODUCT('Feeders Raw Data'!AP28:AP47,'Feeders Raw Data'!AP29:AP48)+SUMSQ('Feeders Raw Data'!AP29:AP48)-('Feeders Raw Data'!AP28-'Feeders Raw Data'!AP48)^2/20)/19),"")</f>
        <v>0</v>
      </c>
      <c r="AJ28">
        <f>IFERROR('Feeders Raw Data'!AY28,"")</f>
        <v>0</v>
      </c>
      <c r="AK28">
        <f>IFERROR('Feeders Raw Data'!BD28,"")</f>
        <v>0</v>
      </c>
      <c r="AL28">
        <f>IFERROR('Feeders Raw Data'!BF28-'Feeders Raw Data'!BF29,"")</f>
        <v>0</v>
      </c>
      <c r="AM28" t="str">
        <f>IFERROR(AVERAGE('Feeders Raw Data'!BF28:BF32),"")</f>
        <v/>
      </c>
      <c r="AN28" t="str">
        <f>IFERROR(SUMPRODUCT('Feeders Raw Data'!AZ28:AZ47,'Feeders Raw Data'!BE28:BE47)/SUM('Feeders Raw Data'!BE28:BE47),"")</f>
        <v/>
      </c>
      <c r="AO28">
        <f>IFERROR(SQRT((SUMSQ('Feeders Raw Data'!AZ28:AZ47)-2*SUMPRODUCT('Feeders Raw Data'!AZ28:AZ47,'Feeders Raw Data'!AZ29:AZ48)+SUMSQ('Feeders Raw Data'!AZ29:AZ48)-('Feeders Raw Data'!AZ28-'Feeders Raw Data'!AZ48)^2/20)/19),"")</f>
        <v>0</v>
      </c>
      <c r="AQ28">
        <f>IFERROR('Feeders Raw Data'!BI28,"")</f>
        <v>0</v>
      </c>
      <c r="AR28">
        <f>IFERROR('Feeders Raw Data'!BN28,"")</f>
        <v>0</v>
      </c>
      <c r="AS28">
        <f>IFERROR('Feeders Raw Data'!BP28-'Feeders Raw Data'!BP29,"")</f>
        <v>0</v>
      </c>
      <c r="AT28" t="str">
        <f>IFERROR(AVERAGE('Feeders Raw Data'!BP28:BP32),"")</f>
        <v/>
      </c>
      <c r="AU28" t="str">
        <f>IFERROR(SUMPRODUCT('Feeders Raw Data'!BJ28:BJ47,'Feeders Raw Data'!BO28:BO47)/SUM('Feeders Raw Data'!BO28:BO47),"")</f>
        <v/>
      </c>
      <c r="AV28">
        <f>IFERROR(SQRT((SUMSQ('Feeders Raw Data'!BJ28:BJ47)-2*SUMPRODUCT('Feeders Raw Data'!BJ28:BJ47,'Feeders Raw Data'!BJ29:BJ48)+SUMSQ('Feeders Raw Data'!BJ29:BJ48)-('Feeders Raw Data'!BJ28-'Feeders Raw Data'!BJ48)^2/20)/19),"")</f>
        <v>0</v>
      </c>
      <c r="AX28">
        <f>IFERROR('Feeders Raw Data'!BS28,"")</f>
        <v>0</v>
      </c>
      <c r="AY28">
        <f>IFERROR('Feeders Raw Data'!BX28,"")</f>
        <v>0</v>
      </c>
      <c r="AZ28">
        <f>IFERROR('Feeders Raw Data'!BZ28-'Feeders Raw Data'!BZ29,"")</f>
        <v>0</v>
      </c>
      <c r="BA28" t="str">
        <f>IFERROR(AVERAGE('Feeders Raw Data'!BZ28:BZ32),"")</f>
        <v/>
      </c>
      <c r="BB28" t="str">
        <f>IFERROR(SUMPRODUCT('Feeders Raw Data'!BT28:BT47,'Feeders Raw Data'!BY28:BY47)/SUM('Feeders Raw Data'!BY28:BY47),"")</f>
        <v/>
      </c>
      <c r="BC28">
        <f>IFERROR(SQRT((SUMSQ('Feeders Raw Data'!BT28:BT47)-2*SUMPRODUCT('Feeders Raw Data'!BT28:BT47,'Feeders Raw Data'!BT29:BT48)+SUMSQ('Feeders Raw Data'!BT29:BT48)-('Feeders Raw Data'!BT28-'Feeders Raw Data'!BT48)^2/20)/19),"")</f>
        <v>0</v>
      </c>
      <c r="BE28">
        <f>IFERROR('Fats Raw Data'!A28,"")</f>
        <v>0</v>
      </c>
      <c r="BF28">
        <f>IFERROR('Fats Raw Data'!F28,"")</f>
        <v>0</v>
      </c>
      <c r="BG28">
        <f>IFERROR('Fats Raw Data'!H28-'Fats Raw Data'!H29,"")</f>
        <v>0</v>
      </c>
      <c r="BH28" t="str">
        <f>IFERROR(AVERAGE('Fats Raw Data'!H28:H32),"")</f>
        <v/>
      </c>
      <c r="BI28" t="str">
        <f>IFERROR(SUMPRODUCT('Fats Raw Data'!B28:B47,'Fats Raw Data'!G28:G47)/SUM('Fats Raw Data'!G28:G47),"")</f>
        <v/>
      </c>
      <c r="BJ28">
        <f>IFERROR(SQRT((SUMSQ('Fats Raw Data'!B28:B47)-2*SUMPRODUCT('Fats Raw Data'!B28:B47,'Fats Raw Data'!B29:B48)+SUMSQ('Fats Raw Data'!B29:B48)-('Fats Raw Data'!B28-'Fats Raw Data'!B48)^2/20)/19),"")</f>
        <v>0</v>
      </c>
      <c r="BL28">
        <f>IFERROR('Fats Raw Data'!K28,"")</f>
        <v>0</v>
      </c>
      <c r="BM28">
        <f>IFERROR('Fats Raw Data'!P28,"")</f>
        <v>0</v>
      </c>
      <c r="BN28">
        <f>IFERROR('Fats Raw Data'!R28-'Fats Raw Data'!R29,"")</f>
        <v>0</v>
      </c>
      <c r="BO28" t="str">
        <f>IFERROR(AVERAGE('Fats Raw Data'!R28:R32),"")</f>
        <v/>
      </c>
      <c r="BP28" t="str">
        <f>IFERROR(SUMPRODUCT('Fats Raw Data'!L28:L47,'Fats Raw Data'!Q28:Q47)/SUM('Fats Raw Data'!Q28:Q47),"")</f>
        <v/>
      </c>
      <c r="BQ28">
        <f>IFERROR(SQRT((SUMSQ('Fats Raw Data'!L28:L47)-2*SUMPRODUCT('Fats Raw Data'!L28:L47,'Fats Raw Data'!L29:L48)+SUMSQ('Fats Raw Data'!L29:L48)-('Fats Raw Data'!L28-'Fats Raw Data'!L48)^2/20)/19),"")</f>
        <v>0</v>
      </c>
      <c r="BS28">
        <f>IFERROR('Fats Raw Data'!U28,"")</f>
        <v>0</v>
      </c>
      <c r="BT28">
        <f>IFERROR('Fats Raw Data'!Z28,"")</f>
        <v>0</v>
      </c>
      <c r="BU28">
        <f>IFERROR('Fats Raw Data'!AB28-'Fats Raw Data'!AB29,"")</f>
        <v>0</v>
      </c>
      <c r="BV28" t="str">
        <f>IFERROR(AVERAGE('Fats Raw Data'!AB28:AB32),"")</f>
        <v/>
      </c>
      <c r="BW28" t="str">
        <f>IFERROR(SUMPRODUCT('Fats Raw Data'!V28:V47,'Fats Raw Data'!AA28:AA47)/SUM('Fats Raw Data'!AA28:AA47),"")</f>
        <v/>
      </c>
      <c r="BX28">
        <f>IFERROR(SQRT((SUMSQ('Fats Raw Data'!V28:V47)-2*SUMPRODUCT('Fats Raw Data'!V28:V47,'Fats Raw Data'!V29:V48)+SUMSQ('Fats Raw Data'!V29:V48)-('Fats Raw Data'!V28-'Fats Raw Data'!V48)^2/20)/19),"")</f>
        <v>0</v>
      </c>
      <c r="BZ28">
        <f>IFERROR('Fats Raw Data'!AE28,"")</f>
        <v>0</v>
      </c>
      <c r="CA28">
        <f>IFERROR('Fats Raw Data'!AJ28,"")</f>
        <v>0</v>
      </c>
      <c r="CB28">
        <f>IFERROR('Fats Raw Data'!AL28-'Fats Raw Data'!AL29,"")</f>
        <v>0</v>
      </c>
      <c r="CC28" t="str">
        <f>IFERROR(AVERAGE('Fats Raw Data'!AL28:AL32),"")</f>
        <v/>
      </c>
      <c r="CD28" t="str">
        <f>IFERROR(SUMPRODUCT('Fats Raw Data'!AF28:AF47,'Fats Raw Data'!AK28:AK47)/SUM('Fats Raw Data'!AK28:AK47),"")</f>
        <v/>
      </c>
      <c r="CE28">
        <f>IFERROR(SQRT((SUMSQ('Fats Raw Data'!AF28:AF47)-2*SUMPRODUCT('Fats Raw Data'!AF28:AF47,'Fats Raw Data'!AF29:AF48)+SUMSQ('Fats Raw Data'!AF29:AF48)-('Fats Raw Data'!AF28-'Fats Raw Data'!AF48)^2/20)/19),"")</f>
        <v>0</v>
      </c>
      <c r="CG28">
        <f>IFERROR('Fats Raw Data'!AO28,"")</f>
        <v>0</v>
      </c>
      <c r="CH28">
        <f>IFERROR('Fats Raw Data'!AT28,"")</f>
        <v>0</v>
      </c>
      <c r="CI28">
        <f>IFERROR('Fats Raw Data'!AV28-'Fats Raw Data'!AV29,"")</f>
        <v>0</v>
      </c>
      <c r="CJ28" t="str">
        <f>IFERROR(AVERAGE('Fats Raw Data'!AV28:AV32),"")</f>
        <v/>
      </c>
      <c r="CK28" t="str">
        <f>IFERROR(SUMPRODUCT('Fats Raw Data'!AP28:AP47,'Fats Raw Data'!AU28:AU47)/SUM('Fats Raw Data'!AU28:AU47),"")</f>
        <v/>
      </c>
      <c r="CL28">
        <f>IFERROR(SQRT((SUMSQ('Fats Raw Data'!AP28:AP47)-2*SUMPRODUCT('Fats Raw Data'!AP28:AP47,'Fats Raw Data'!AP29:AP48)+SUMSQ('Fats Raw Data'!AP29:AP48)-('Fats Raw Data'!AP28-'Fats Raw Data'!AP48)^2/20)/19),"")</f>
        <v>0</v>
      </c>
      <c r="CN28">
        <f>IFERROR('Fats Raw Data'!AY28,"")</f>
        <v>0</v>
      </c>
      <c r="CO28">
        <f>IFERROR('Fats Raw Data'!BD28,"")</f>
        <v>0</v>
      </c>
      <c r="CP28">
        <f>IFERROR('Fats Raw Data'!BF28-'Fats Raw Data'!BF29,"")</f>
        <v>0</v>
      </c>
      <c r="CQ28" t="str">
        <f>IFERROR(AVERAGE('Fats Raw Data'!BF28:BF32),"")</f>
        <v/>
      </c>
      <c r="CR28" t="str">
        <f>IFERROR(SUMPRODUCT('Fats Raw Data'!AZ28:AZ47,'Fats Raw Data'!BE28:BE47)/SUM('Fats Raw Data'!BE28:BE47),"")</f>
        <v/>
      </c>
      <c r="CS28">
        <f>IFERROR(SQRT((SUMSQ('Fats Raw Data'!AZ28:AZ47)-2*SUMPRODUCT('Fats Raw Data'!AZ28:AZ47,'Fats Raw Data'!AZ29:AZ48)+SUMSQ('Fats Raw Data'!AZ29:AZ48)-('Fats Raw Data'!AZ28-'Fats Raw Data'!AZ48)^2/20)/19),"")</f>
        <v>0</v>
      </c>
    </row>
    <row r="29" spans="1:97" x14ac:dyDescent="0.25">
      <c r="A29">
        <f>IFERROR('Feeders Raw Data'!A29,"")</f>
        <v>0</v>
      </c>
      <c r="B29">
        <f>IFERROR('Feeders Raw Data'!F29,"")</f>
        <v>0</v>
      </c>
      <c r="C29">
        <f>IFERROR('Feeders Raw Data'!H29-'Feeders Raw Data'!H30,"")</f>
        <v>0</v>
      </c>
      <c r="D29" t="str">
        <f>IFERROR(AVERAGE('Feeders Raw Data'!H29:H33),"")</f>
        <v/>
      </c>
      <c r="E29" t="str">
        <f>IFERROR(SUMPRODUCT('Feeders Raw Data'!B29:B48,'Feeders Raw Data'!G29:G48)/SUM('Feeders Raw Data'!G29:G48),"")</f>
        <v/>
      </c>
      <c r="F29">
        <f>IFERROR(SQRT((SUMSQ('Feeders Raw Data'!B29:B48)-2*SUMPRODUCT('Feeders Raw Data'!B29:B48,'Feeders Raw Data'!B30:B49)+SUMSQ('Feeders Raw Data'!B30:B49)-('Feeders Raw Data'!B29-'Feeders Raw Data'!B49)^2/20)/19),"")</f>
        <v>0</v>
      </c>
      <c r="H29">
        <f>IFERROR('Feeders Raw Data'!K29,"")</f>
        <v>0</v>
      </c>
      <c r="I29">
        <f>IFERROR('Feeders Raw Data'!P29,"")</f>
        <v>0</v>
      </c>
      <c r="J29">
        <f>IFERROR('Feeders Raw Data'!R29-'Feeders Raw Data'!R30,"")</f>
        <v>0</v>
      </c>
      <c r="K29" t="str">
        <f>IFERROR(AVERAGE('Feeders Raw Data'!R29:R33),"")</f>
        <v/>
      </c>
      <c r="L29" t="str">
        <f>IFERROR(SUMPRODUCT('Feeders Raw Data'!L29:L48,'Feeders Raw Data'!Q29:Q48)/SUM('Feeders Raw Data'!Q29:Q48),"")</f>
        <v/>
      </c>
      <c r="M29">
        <f>IFERROR(SQRT((SUMSQ('Feeders Raw Data'!L29:L48)-2*SUMPRODUCT('Feeders Raw Data'!L29:L48,'Feeders Raw Data'!L30:L49)+SUMSQ('Feeders Raw Data'!L30:L49)-('Feeders Raw Data'!L29-'Feeders Raw Data'!L49)^2/20)/19),"")</f>
        <v>0</v>
      </c>
      <c r="O29">
        <f>IFERROR('Feeders Raw Data'!U29,"")</f>
        <v>0</v>
      </c>
      <c r="P29">
        <f>IFERROR('Feeders Raw Data'!Z29,"")</f>
        <v>0</v>
      </c>
      <c r="Q29">
        <f>IFERROR('Feeders Raw Data'!AB29-'Feeders Raw Data'!AB30,"")</f>
        <v>0</v>
      </c>
      <c r="R29" t="str">
        <f>IFERROR(AVERAGE('Feeders Raw Data'!AB29:AB33),"")</f>
        <v/>
      </c>
      <c r="S29" t="str">
        <f>IFERROR(SUMPRODUCT('Feeders Raw Data'!V29:V48,'Feeders Raw Data'!AA29:AA48)/SUM('Feeders Raw Data'!AA29:AA48),"")</f>
        <v/>
      </c>
      <c r="T29">
        <f>IFERROR(SQRT((SUMSQ('Feeders Raw Data'!V29:V48)-2*SUMPRODUCT('Feeders Raw Data'!V29:V48,'Feeders Raw Data'!V30:V49)+SUMSQ('Feeders Raw Data'!V30:V49)-('Feeders Raw Data'!V29-'Feeders Raw Data'!V49)^2/20)/19),"")</f>
        <v>0</v>
      </c>
      <c r="V29">
        <f>IFERROR('Feeders Raw Data'!AE29,"")</f>
        <v>0</v>
      </c>
      <c r="W29">
        <f>IFERROR('Feeders Raw Data'!AJ29,"")</f>
        <v>0</v>
      </c>
      <c r="X29">
        <f>IFERROR('Feeders Raw Data'!AL29-'Feeders Raw Data'!AL30,"")</f>
        <v>0</v>
      </c>
      <c r="Y29" t="str">
        <f>IFERROR(AVERAGE('Feeders Raw Data'!AL29:AL33),"")</f>
        <v/>
      </c>
      <c r="Z29" t="str">
        <f>IFERROR(SUMPRODUCT('Feeders Raw Data'!AF29:AF48,'Feeders Raw Data'!AK29:AK48)/SUM('Feeders Raw Data'!AK29:AK48),"")</f>
        <v/>
      </c>
      <c r="AA29">
        <f>IFERROR(SQRT((SUMSQ('Feeders Raw Data'!AF29:AF48)-2*SUMPRODUCT('Feeders Raw Data'!AF29:AF48,'Feeders Raw Data'!AF30:AF49)+SUMSQ('Feeders Raw Data'!AF30:AF49)-('Feeders Raw Data'!AF29-'Feeders Raw Data'!AF49)^2/20)/19),"")</f>
        <v>0</v>
      </c>
      <c r="AC29">
        <f>IFERROR('Feeders Raw Data'!AO29,"")</f>
        <v>0</v>
      </c>
      <c r="AD29">
        <f>IFERROR('Feeders Raw Data'!AT29,"")</f>
        <v>0</v>
      </c>
      <c r="AE29">
        <f>IFERROR('Feeders Raw Data'!AV29-'Feeders Raw Data'!AV30,"")</f>
        <v>0</v>
      </c>
      <c r="AF29" t="str">
        <f>IFERROR(AVERAGE('Feeders Raw Data'!AV29:AV33),"")</f>
        <v/>
      </c>
      <c r="AG29" t="str">
        <f>IFERROR(SUMPRODUCT('Feeders Raw Data'!AP29:AP48,'Feeders Raw Data'!AU29:AU48)/SUM('Feeders Raw Data'!AU29:AU48),"")</f>
        <v/>
      </c>
      <c r="AH29">
        <f>IFERROR(SQRT((SUMSQ('Feeders Raw Data'!AP29:AP48)-2*SUMPRODUCT('Feeders Raw Data'!AP29:AP48,'Feeders Raw Data'!AP30:AP49)+SUMSQ('Feeders Raw Data'!AP30:AP49)-('Feeders Raw Data'!AP29-'Feeders Raw Data'!AP49)^2/20)/19),"")</f>
        <v>0</v>
      </c>
      <c r="AJ29">
        <f>IFERROR('Feeders Raw Data'!AY29,"")</f>
        <v>0</v>
      </c>
      <c r="AK29">
        <f>IFERROR('Feeders Raw Data'!BD29,"")</f>
        <v>0</v>
      </c>
      <c r="AL29">
        <f>IFERROR('Feeders Raw Data'!BF29-'Feeders Raw Data'!BF30,"")</f>
        <v>0</v>
      </c>
      <c r="AM29" t="str">
        <f>IFERROR(AVERAGE('Feeders Raw Data'!BF29:BF33),"")</f>
        <v/>
      </c>
      <c r="AN29" t="str">
        <f>IFERROR(SUMPRODUCT('Feeders Raw Data'!AZ29:AZ48,'Feeders Raw Data'!BE29:BE48)/SUM('Feeders Raw Data'!BE29:BE48),"")</f>
        <v/>
      </c>
      <c r="AO29">
        <f>IFERROR(SQRT((SUMSQ('Feeders Raw Data'!AZ29:AZ48)-2*SUMPRODUCT('Feeders Raw Data'!AZ29:AZ48,'Feeders Raw Data'!AZ30:AZ49)+SUMSQ('Feeders Raw Data'!AZ30:AZ49)-('Feeders Raw Data'!AZ29-'Feeders Raw Data'!AZ49)^2/20)/19),"")</f>
        <v>0</v>
      </c>
      <c r="AQ29">
        <f>IFERROR('Feeders Raw Data'!BI29,"")</f>
        <v>0</v>
      </c>
      <c r="AR29">
        <f>IFERROR('Feeders Raw Data'!BN29,"")</f>
        <v>0</v>
      </c>
      <c r="AS29">
        <f>IFERROR('Feeders Raw Data'!BP29-'Feeders Raw Data'!BP30,"")</f>
        <v>0</v>
      </c>
      <c r="AT29" t="str">
        <f>IFERROR(AVERAGE('Feeders Raw Data'!BP29:BP33),"")</f>
        <v/>
      </c>
      <c r="AU29" t="str">
        <f>IFERROR(SUMPRODUCT('Feeders Raw Data'!BJ29:BJ48,'Feeders Raw Data'!BO29:BO48)/SUM('Feeders Raw Data'!BO29:BO48),"")</f>
        <v/>
      </c>
      <c r="AV29">
        <f>IFERROR(SQRT((SUMSQ('Feeders Raw Data'!BJ29:BJ48)-2*SUMPRODUCT('Feeders Raw Data'!BJ29:BJ48,'Feeders Raw Data'!BJ30:BJ49)+SUMSQ('Feeders Raw Data'!BJ30:BJ49)-('Feeders Raw Data'!BJ29-'Feeders Raw Data'!BJ49)^2/20)/19),"")</f>
        <v>0</v>
      </c>
      <c r="AX29">
        <f>IFERROR('Feeders Raw Data'!BS29,"")</f>
        <v>0</v>
      </c>
      <c r="AY29">
        <f>IFERROR('Feeders Raw Data'!BX29,"")</f>
        <v>0</v>
      </c>
      <c r="AZ29">
        <f>IFERROR('Feeders Raw Data'!BZ29-'Feeders Raw Data'!BZ30,"")</f>
        <v>0</v>
      </c>
      <c r="BA29" t="str">
        <f>IFERROR(AVERAGE('Feeders Raw Data'!BZ29:BZ33),"")</f>
        <v/>
      </c>
      <c r="BB29" t="str">
        <f>IFERROR(SUMPRODUCT('Feeders Raw Data'!BT29:BT48,'Feeders Raw Data'!BY29:BY48)/SUM('Feeders Raw Data'!BY29:BY48),"")</f>
        <v/>
      </c>
      <c r="BC29">
        <f>IFERROR(SQRT((SUMSQ('Feeders Raw Data'!BT29:BT48)-2*SUMPRODUCT('Feeders Raw Data'!BT29:BT48,'Feeders Raw Data'!BT30:BT49)+SUMSQ('Feeders Raw Data'!BT30:BT49)-('Feeders Raw Data'!BT29-'Feeders Raw Data'!BT49)^2/20)/19),"")</f>
        <v>0</v>
      </c>
      <c r="BE29">
        <f>IFERROR('Fats Raw Data'!A29,"")</f>
        <v>0</v>
      </c>
      <c r="BF29">
        <f>IFERROR('Fats Raw Data'!F29,"")</f>
        <v>0</v>
      </c>
      <c r="BG29">
        <f>IFERROR('Fats Raw Data'!H29-'Fats Raw Data'!H30,"")</f>
        <v>0</v>
      </c>
      <c r="BH29" t="str">
        <f>IFERROR(AVERAGE('Fats Raw Data'!H29:H33),"")</f>
        <v/>
      </c>
      <c r="BI29" t="str">
        <f>IFERROR(SUMPRODUCT('Fats Raw Data'!B29:B48,'Fats Raw Data'!G29:G48)/SUM('Fats Raw Data'!G29:G48),"")</f>
        <v/>
      </c>
      <c r="BJ29">
        <f>IFERROR(SQRT((SUMSQ('Fats Raw Data'!B29:B48)-2*SUMPRODUCT('Fats Raw Data'!B29:B48,'Fats Raw Data'!B30:B49)+SUMSQ('Fats Raw Data'!B30:B49)-('Fats Raw Data'!B29-'Fats Raw Data'!B49)^2/20)/19),"")</f>
        <v>0</v>
      </c>
      <c r="BL29">
        <f>IFERROR('Fats Raw Data'!K29,"")</f>
        <v>0</v>
      </c>
      <c r="BM29">
        <f>IFERROR('Fats Raw Data'!P29,"")</f>
        <v>0</v>
      </c>
      <c r="BN29">
        <f>IFERROR('Fats Raw Data'!R29-'Fats Raw Data'!R30,"")</f>
        <v>0</v>
      </c>
      <c r="BO29" t="str">
        <f>IFERROR(AVERAGE('Fats Raw Data'!R29:R33),"")</f>
        <v/>
      </c>
      <c r="BP29" t="str">
        <f>IFERROR(SUMPRODUCT('Fats Raw Data'!L29:L48,'Fats Raw Data'!Q29:Q48)/SUM('Fats Raw Data'!Q29:Q48),"")</f>
        <v/>
      </c>
      <c r="BQ29">
        <f>IFERROR(SQRT((SUMSQ('Fats Raw Data'!L29:L48)-2*SUMPRODUCT('Fats Raw Data'!L29:L48,'Fats Raw Data'!L30:L49)+SUMSQ('Fats Raw Data'!L30:L49)-('Fats Raw Data'!L29-'Fats Raw Data'!L49)^2/20)/19),"")</f>
        <v>0</v>
      </c>
      <c r="BS29">
        <f>IFERROR('Fats Raw Data'!U29,"")</f>
        <v>0</v>
      </c>
      <c r="BT29">
        <f>IFERROR('Fats Raw Data'!Z29,"")</f>
        <v>0</v>
      </c>
      <c r="BU29">
        <f>IFERROR('Fats Raw Data'!AB29-'Fats Raw Data'!AB30,"")</f>
        <v>0</v>
      </c>
      <c r="BV29" t="str">
        <f>IFERROR(AVERAGE('Fats Raw Data'!AB29:AB33),"")</f>
        <v/>
      </c>
      <c r="BW29" t="str">
        <f>IFERROR(SUMPRODUCT('Fats Raw Data'!V29:V48,'Fats Raw Data'!AA29:AA48)/SUM('Fats Raw Data'!AA29:AA48),"")</f>
        <v/>
      </c>
      <c r="BX29">
        <f>IFERROR(SQRT((SUMSQ('Fats Raw Data'!V29:V48)-2*SUMPRODUCT('Fats Raw Data'!V29:V48,'Fats Raw Data'!V30:V49)+SUMSQ('Fats Raw Data'!V30:V49)-('Fats Raw Data'!V29-'Fats Raw Data'!V49)^2/20)/19),"")</f>
        <v>0</v>
      </c>
      <c r="BZ29">
        <f>IFERROR('Fats Raw Data'!AE29,"")</f>
        <v>0</v>
      </c>
      <c r="CA29">
        <f>IFERROR('Fats Raw Data'!AJ29,"")</f>
        <v>0</v>
      </c>
      <c r="CB29">
        <f>IFERROR('Fats Raw Data'!AL29-'Fats Raw Data'!AL30,"")</f>
        <v>0</v>
      </c>
      <c r="CC29" t="str">
        <f>IFERROR(AVERAGE('Fats Raw Data'!AL29:AL33),"")</f>
        <v/>
      </c>
      <c r="CD29" t="str">
        <f>IFERROR(SUMPRODUCT('Fats Raw Data'!AF29:AF48,'Fats Raw Data'!AK29:AK48)/SUM('Fats Raw Data'!AK29:AK48),"")</f>
        <v/>
      </c>
      <c r="CE29">
        <f>IFERROR(SQRT((SUMSQ('Fats Raw Data'!AF29:AF48)-2*SUMPRODUCT('Fats Raw Data'!AF29:AF48,'Fats Raw Data'!AF30:AF49)+SUMSQ('Fats Raw Data'!AF30:AF49)-('Fats Raw Data'!AF29-'Fats Raw Data'!AF49)^2/20)/19),"")</f>
        <v>0</v>
      </c>
      <c r="CG29">
        <f>IFERROR('Fats Raw Data'!AO29,"")</f>
        <v>0</v>
      </c>
      <c r="CH29">
        <f>IFERROR('Fats Raw Data'!AT29,"")</f>
        <v>0</v>
      </c>
      <c r="CI29">
        <f>IFERROR('Fats Raw Data'!AV29-'Fats Raw Data'!AV30,"")</f>
        <v>0</v>
      </c>
      <c r="CJ29" t="str">
        <f>IFERROR(AVERAGE('Fats Raw Data'!AV29:AV33),"")</f>
        <v/>
      </c>
      <c r="CK29" t="str">
        <f>IFERROR(SUMPRODUCT('Fats Raw Data'!AP29:AP48,'Fats Raw Data'!AU29:AU48)/SUM('Fats Raw Data'!AU29:AU48),"")</f>
        <v/>
      </c>
      <c r="CL29">
        <f>IFERROR(SQRT((SUMSQ('Fats Raw Data'!AP29:AP48)-2*SUMPRODUCT('Fats Raw Data'!AP29:AP48,'Fats Raw Data'!AP30:AP49)+SUMSQ('Fats Raw Data'!AP30:AP49)-('Fats Raw Data'!AP29-'Fats Raw Data'!AP49)^2/20)/19),"")</f>
        <v>0</v>
      </c>
      <c r="CN29">
        <f>IFERROR('Fats Raw Data'!AY29,"")</f>
        <v>0</v>
      </c>
      <c r="CO29">
        <f>IFERROR('Fats Raw Data'!BD29,"")</f>
        <v>0</v>
      </c>
      <c r="CP29">
        <f>IFERROR('Fats Raw Data'!BF29-'Fats Raw Data'!BF30,"")</f>
        <v>0</v>
      </c>
      <c r="CQ29" t="str">
        <f>IFERROR(AVERAGE('Fats Raw Data'!BF29:BF33),"")</f>
        <v/>
      </c>
      <c r="CR29" t="str">
        <f>IFERROR(SUMPRODUCT('Fats Raw Data'!AZ29:AZ48,'Fats Raw Data'!BE29:BE48)/SUM('Fats Raw Data'!BE29:BE48),"")</f>
        <v/>
      </c>
      <c r="CS29">
        <f>IFERROR(SQRT((SUMSQ('Fats Raw Data'!AZ29:AZ48)-2*SUMPRODUCT('Fats Raw Data'!AZ29:AZ48,'Fats Raw Data'!AZ30:AZ49)+SUMSQ('Fats Raw Data'!AZ30:AZ49)-('Fats Raw Data'!AZ29-'Fats Raw Data'!AZ49)^2/20)/19),"")</f>
        <v>0</v>
      </c>
    </row>
    <row r="30" spans="1:97" x14ac:dyDescent="0.25">
      <c r="A30">
        <f>IFERROR('Feeders Raw Data'!A30,"")</f>
        <v>0</v>
      </c>
      <c r="B30">
        <f>IFERROR('Feeders Raw Data'!F30,"")</f>
        <v>0</v>
      </c>
      <c r="C30">
        <f>IFERROR('Feeders Raw Data'!H30-'Feeders Raw Data'!H31,"")</f>
        <v>0</v>
      </c>
      <c r="D30" t="str">
        <f>IFERROR(AVERAGE('Feeders Raw Data'!H30:H34),"")</f>
        <v/>
      </c>
      <c r="E30" t="str">
        <f>IFERROR(SUMPRODUCT('Feeders Raw Data'!B30:B49,'Feeders Raw Data'!G30:G49)/SUM('Feeders Raw Data'!G30:G49),"")</f>
        <v/>
      </c>
      <c r="F30">
        <f>IFERROR(SQRT((SUMSQ('Feeders Raw Data'!B30:B49)-2*SUMPRODUCT('Feeders Raw Data'!B30:B49,'Feeders Raw Data'!B31:B50)+SUMSQ('Feeders Raw Data'!B31:B50)-('Feeders Raw Data'!B30-'Feeders Raw Data'!B50)^2/20)/19),"")</f>
        <v>0</v>
      </c>
      <c r="H30">
        <f>IFERROR('Feeders Raw Data'!K30,"")</f>
        <v>0</v>
      </c>
      <c r="I30">
        <f>IFERROR('Feeders Raw Data'!P30,"")</f>
        <v>0</v>
      </c>
      <c r="J30">
        <f>IFERROR('Feeders Raw Data'!R30-'Feeders Raw Data'!R31,"")</f>
        <v>0</v>
      </c>
      <c r="K30" t="str">
        <f>IFERROR(AVERAGE('Feeders Raw Data'!R30:R34),"")</f>
        <v/>
      </c>
      <c r="L30" t="str">
        <f>IFERROR(SUMPRODUCT('Feeders Raw Data'!L30:L49,'Feeders Raw Data'!Q30:Q49)/SUM('Feeders Raw Data'!Q30:Q49),"")</f>
        <v/>
      </c>
      <c r="M30">
        <f>IFERROR(SQRT((SUMSQ('Feeders Raw Data'!L30:L49)-2*SUMPRODUCT('Feeders Raw Data'!L30:L49,'Feeders Raw Data'!L31:L50)+SUMSQ('Feeders Raw Data'!L31:L50)-('Feeders Raw Data'!L30-'Feeders Raw Data'!L50)^2/20)/19),"")</f>
        <v>0</v>
      </c>
      <c r="O30">
        <f>IFERROR('Feeders Raw Data'!U30,"")</f>
        <v>0</v>
      </c>
      <c r="P30">
        <f>IFERROR('Feeders Raw Data'!Z30,"")</f>
        <v>0</v>
      </c>
      <c r="Q30">
        <f>IFERROR('Feeders Raw Data'!AB30-'Feeders Raw Data'!AB31,"")</f>
        <v>0</v>
      </c>
      <c r="R30" t="str">
        <f>IFERROR(AVERAGE('Feeders Raw Data'!AB30:AB34),"")</f>
        <v/>
      </c>
      <c r="S30" t="str">
        <f>IFERROR(SUMPRODUCT('Feeders Raw Data'!V30:V49,'Feeders Raw Data'!AA30:AA49)/SUM('Feeders Raw Data'!AA30:AA49),"")</f>
        <v/>
      </c>
      <c r="T30">
        <f>IFERROR(SQRT((SUMSQ('Feeders Raw Data'!V30:V49)-2*SUMPRODUCT('Feeders Raw Data'!V30:V49,'Feeders Raw Data'!V31:V50)+SUMSQ('Feeders Raw Data'!V31:V50)-('Feeders Raw Data'!V30-'Feeders Raw Data'!V50)^2/20)/19),"")</f>
        <v>0</v>
      </c>
      <c r="V30">
        <f>IFERROR('Feeders Raw Data'!AE30,"")</f>
        <v>0</v>
      </c>
      <c r="W30">
        <f>IFERROR('Feeders Raw Data'!AJ30,"")</f>
        <v>0</v>
      </c>
      <c r="X30">
        <f>IFERROR('Feeders Raw Data'!AL30-'Feeders Raw Data'!AL31,"")</f>
        <v>0</v>
      </c>
      <c r="Y30" t="str">
        <f>IFERROR(AVERAGE('Feeders Raw Data'!AL30:AL34),"")</f>
        <v/>
      </c>
      <c r="Z30" t="str">
        <f>IFERROR(SUMPRODUCT('Feeders Raw Data'!AF30:AF49,'Feeders Raw Data'!AK30:AK49)/SUM('Feeders Raw Data'!AK30:AK49),"")</f>
        <v/>
      </c>
      <c r="AA30">
        <f>IFERROR(SQRT((SUMSQ('Feeders Raw Data'!AF30:AF49)-2*SUMPRODUCT('Feeders Raw Data'!AF30:AF49,'Feeders Raw Data'!AF31:AF50)+SUMSQ('Feeders Raw Data'!AF31:AF50)-('Feeders Raw Data'!AF30-'Feeders Raw Data'!AF50)^2/20)/19),"")</f>
        <v>0</v>
      </c>
      <c r="AC30">
        <f>IFERROR('Feeders Raw Data'!AO30,"")</f>
        <v>0</v>
      </c>
      <c r="AD30">
        <f>IFERROR('Feeders Raw Data'!AT30,"")</f>
        <v>0</v>
      </c>
      <c r="AE30">
        <f>IFERROR('Feeders Raw Data'!AV30-'Feeders Raw Data'!AV31,"")</f>
        <v>0</v>
      </c>
      <c r="AF30" t="str">
        <f>IFERROR(AVERAGE('Feeders Raw Data'!AV30:AV34),"")</f>
        <v/>
      </c>
      <c r="AG30" t="str">
        <f>IFERROR(SUMPRODUCT('Feeders Raw Data'!AP30:AP49,'Feeders Raw Data'!AU30:AU49)/SUM('Feeders Raw Data'!AU30:AU49),"")</f>
        <v/>
      </c>
      <c r="AH30">
        <f>IFERROR(SQRT((SUMSQ('Feeders Raw Data'!AP30:AP49)-2*SUMPRODUCT('Feeders Raw Data'!AP30:AP49,'Feeders Raw Data'!AP31:AP50)+SUMSQ('Feeders Raw Data'!AP31:AP50)-('Feeders Raw Data'!AP30-'Feeders Raw Data'!AP50)^2/20)/19),"")</f>
        <v>0</v>
      </c>
      <c r="AJ30">
        <f>IFERROR('Feeders Raw Data'!AY30,"")</f>
        <v>0</v>
      </c>
      <c r="AK30">
        <f>IFERROR('Feeders Raw Data'!BD30,"")</f>
        <v>0</v>
      </c>
      <c r="AL30">
        <f>IFERROR('Feeders Raw Data'!BF30-'Feeders Raw Data'!BF31,"")</f>
        <v>0</v>
      </c>
      <c r="AM30" t="str">
        <f>IFERROR(AVERAGE('Feeders Raw Data'!BF30:BF34),"")</f>
        <v/>
      </c>
      <c r="AN30" t="str">
        <f>IFERROR(SUMPRODUCT('Feeders Raw Data'!AZ30:AZ49,'Feeders Raw Data'!BE30:BE49)/SUM('Feeders Raw Data'!BE30:BE49),"")</f>
        <v/>
      </c>
      <c r="AO30">
        <f>IFERROR(SQRT((SUMSQ('Feeders Raw Data'!AZ30:AZ49)-2*SUMPRODUCT('Feeders Raw Data'!AZ30:AZ49,'Feeders Raw Data'!AZ31:AZ50)+SUMSQ('Feeders Raw Data'!AZ31:AZ50)-('Feeders Raw Data'!AZ30-'Feeders Raw Data'!AZ50)^2/20)/19),"")</f>
        <v>0</v>
      </c>
      <c r="AQ30">
        <f>IFERROR('Feeders Raw Data'!BI30,"")</f>
        <v>0</v>
      </c>
      <c r="AR30">
        <f>IFERROR('Feeders Raw Data'!BN30,"")</f>
        <v>0</v>
      </c>
      <c r="AS30">
        <f>IFERROR('Feeders Raw Data'!BP30-'Feeders Raw Data'!BP31,"")</f>
        <v>0</v>
      </c>
      <c r="AT30" t="str">
        <f>IFERROR(AVERAGE('Feeders Raw Data'!BP30:BP34),"")</f>
        <v/>
      </c>
      <c r="AU30" t="str">
        <f>IFERROR(SUMPRODUCT('Feeders Raw Data'!BJ30:BJ49,'Feeders Raw Data'!BO30:BO49)/SUM('Feeders Raw Data'!BO30:BO49),"")</f>
        <v/>
      </c>
      <c r="AV30">
        <f>IFERROR(SQRT((SUMSQ('Feeders Raw Data'!BJ30:BJ49)-2*SUMPRODUCT('Feeders Raw Data'!BJ30:BJ49,'Feeders Raw Data'!BJ31:BJ50)+SUMSQ('Feeders Raw Data'!BJ31:BJ50)-('Feeders Raw Data'!BJ30-'Feeders Raw Data'!BJ50)^2/20)/19),"")</f>
        <v>0</v>
      </c>
      <c r="AX30">
        <f>IFERROR('Feeders Raw Data'!BS30,"")</f>
        <v>0</v>
      </c>
      <c r="AY30">
        <f>IFERROR('Feeders Raw Data'!BX30,"")</f>
        <v>0</v>
      </c>
      <c r="AZ30">
        <f>IFERROR('Feeders Raw Data'!BZ30-'Feeders Raw Data'!BZ31,"")</f>
        <v>0</v>
      </c>
      <c r="BA30" t="str">
        <f>IFERROR(AVERAGE('Feeders Raw Data'!BZ30:BZ34),"")</f>
        <v/>
      </c>
      <c r="BB30" t="str">
        <f>IFERROR(SUMPRODUCT('Feeders Raw Data'!BT30:BT49,'Feeders Raw Data'!BY30:BY49)/SUM('Feeders Raw Data'!BY30:BY49),"")</f>
        <v/>
      </c>
      <c r="BC30">
        <f>IFERROR(SQRT((SUMSQ('Feeders Raw Data'!BT30:BT49)-2*SUMPRODUCT('Feeders Raw Data'!BT30:BT49,'Feeders Raw Data'!BT31:BT50)+SUMSQ('Feeders Raw Data'!BT31:BT50)-('Feeders Raw Data'!BT30-'Feeders Raw Data'!BT50)^2/20)/19),"")</f>
        <v>0</v>
      </c>
      <c r="BE30">
        <f>IFERROR('Fats Raw Data'!A30,"")</f>
        <v>0</v>
      </c>
      <c r="BF30">
        <f>IFERROR('Fats Raw Data'!F30,"")</f>
        <v>0</v>
      </c>
      <c r="BG30">
        <f>IFERROR('Fats Raw Data'!H30-'Fats Raw Data'!H31,"")</f>
        <v>0</v>
      </c>
      <c r="BH30" t="str">
        <f>IFERROR(AVERAGE('Fats Raw Data'!H30:H34),"")</f>
        <v/>
      </c>
      <c r="BI30" t="str">
        <f>IFERROR(SUMPRODUCT('Fats Raw Data'!B30:B49,'Fats Raw Data'!G30:G49)/SUM('Fats Raw Data'!G30:G49),"")</f>
        <v/>
      </c>
      <c r="BJ30">
        <f>IFERROR(SQRT((SUMSQ('Fats Raw Data'!B30:B49)-2*SUMPRODUCT('Fats Raw Data'!B30:B49,'Fats Raw Data'!B31:B50)+SUMSQ('Fats Raw Data'!B31:B50)-('Fats Raw Data'!B30-'Fats Raw Data'!B50)^2/20)/19),"")</f>
        <v>0</v>
      </c>
      <c r="BL30">
        <f>IFERROR('Fats Raw Data'!K30,"")</f>
        <v>0</v>
      </c>
      <c r="BM30">
        <f>IFERROR('Fats Raw Data'!P30,"")</f>
        <v>0</v>
      </c>
      <c r="BN30">
        <f>IFERROR('Fats Raw Data'!R30-'Fats Raw Data'!R31,"")</f>
        <v>0</v>
      </c>
      <c r="BO30" t="str">
        <f>IFERROR(AVERAGE('Fats Raw Data'!R30:R34),"")</f>
        <v/>
      </c>
      <c r="BP30" t="str">
        <f>IFERROR(SUMPRODUCT('Fats Raw Data'!L30:L49,'Fats Raw Data'!Q30:Q49)/SUM('Fats Raw Data'!Q30:Q49),"")</f>
        <v/>
      </c>
      <c r="BQ30">
        <f>IFERROR(SQRT((SUMSQ('Fats Raw Data'!L30:L49)-2*SUMPRODUCT('Fats Raw Data'!L30:L49,'Fats Raw Data'!L31:L50)+SUMSQ('Fats Raw Data'!L31:L50)-('Fats Raw Data'!L30-'Fats Raw Data'!L50)^2/20)/19),"")</f>
        <v>0</v>
      </c>
      <c r="BS30">
        <f>IFERROR('Fats Raw Data'!U30,"")</f>
        <v>0</v>
      </c>
      <c r="BT30">
        <f>IFERROR('Fats Raw Data'!Z30,"")</f>
        <v>0</v>
      </c>
      <c r="BU30">
        <f>IFERROR('Fats Raw Data'!AB30-'Fats Raw Data'!AB31,"")</f>
        <v>0</v>
      </c>
      <c r="BV30" t="str">
        <f>IFERROR(AVERAGE('Fats Raw Data'!AB30:AB34),"")</f>
        <v/>
      </c>
      <c r="BW30" t="str">
        <f>IFERROR(SUMPRODUCT('Fats Raw Data'!V30:V49,'Fats Raw Data'!AA30:AA49)/SUM('Fats Raw Data'!AA30:AA49),"")</f>
        <v/>
      </c>
      <c r="BX30">
        <f>IFERROR(SQRT((SUMSQ('Fats Raw Data'!V30:V49)-2*SUMPRODUCT('Fats Raw Data'!V30:V49,'Fats Raw Data'!V31:V50)+SUMSQ('Fats Raw Data'!V31:V50)-('Fats Raw Data'!V30-'Fats Raw Data'!V50)^2/20)/19),"")</f>
        <v>0</v>
      </c>
      <c r="BZ30">
        <f>IFERROR('Fats Raw Data'!AE30,"")</f>
        <v>0</v>
      </c>
      <c r="CA30">
        <f>IFERROR('Fats Raw Data'!AJ30,"")</f>
        <v>0</v>
      </c>
      <c r="CB30">
        <f>IFERROR('Fats Raw Data'!AL30-'Fats Raw Data'!AL31,"")</f>
        <v>0</v>
      </c>
      <c r="CC30" t="str">
        <f>IFERROR(AVERAGE('Fats Raw Data'!AL30:AL34),"")</f>
        <v/>
      </c>
      <c r="CD30" t="str">
        <f>IFERROR(SUMPRODUCT('Fats Raw Data'!AF30:AF49,'Fats Raw Data'!AK30:AK49)/SUM('Fats Raw Data'!AK30:AK49),"")</f>
        <v/>
      </c>
      <c r="CE30">
        <f>IFERROR(SQRT((SUMSQ('Fats Raw Data'!AF30:AF49)-2*SUMPRODUCT('Fats Raw Data'!AF30:AF49,'Fats Raw Data'!AF31:AF50)+SUMSQ('Fats Raw Data'!AF31:AF50)-('Fats Raw Data'!AF30-'Fats Raw Data'!AF50)^2/20)/19),"")</f>
        <v>0</v>
      </c>
      <c r="CG30">
        <f>IFERROR('Fats Raw Data'!AO30,"")</f>
        <v>0</v>
      </c>
      <c r="CH30">
        <f>IFERROR('Fats Raw Data'!AT30,"")</f>
        <v>0</v>
      </c>
      <c r="CI30">
        <f>IFERROR('Fats Raw Data'!AV30-'Fats Raw Data'!AV31,"")</f>
        <v>0</v>
      </c>
      <c r="CJ30" t="str">
        <f>IFERROR(AVERAGE('Fats Raw Data'!AV30:AV34),"")</f>
        <v/>
      </c>
      <c r="CK30" t="str">
        <f>IFERROR(SUMPRODUCT('Fats Raw Data'!AP30:AP49,'Fats Raw Data'!AU30:AU49)/SUM('Fats Raw Data'!AU30:AU49),"")</f>
        <v/>
      </c>
      <c r="CL30">
        <f>IFERROR(SQRT((SUMSQ('Fats Raw Data'!AP30:AP49)-2*SUMPRODUCT('Fats Raw Data'!AP30:AP49,'Fats Raw Data'!AP31:AP50)+SUMSQ('Fats Raw Data'!AP31:AP50)-('Fats Raw Data'!AP30-'Fats Raw Data'!AP50)^2/20)/19),"")</f>
        <v>0</v>
      </c>
      <c r="CN30">
        <f>IFERROR('Fats Raw Data'!AY30,"")</f>
        <v>0</v>
      </c>
      <c r="CO30">
        <f>IFERROR('Fats Raw Data'!BD30,"")</f>
        <v>0</v>
      </c>
      <c r="CP30">
        <f>IFERROR('Fats Raw Data'!BF30-'Fats Raw Data'!BF31,"")</f>
        <v>0</v>
      </c>
      <c r="CQ30" t="str">
        <f>IFERROR(AVERAGE('Fats Raw Data'!BF30:BF34),"")</f>
        <v/>
      </c>
      <c r="CR30" t="str">
        <f>IFERROR(SUMPRODUCT('Fats Raw Data'!AZ30:AZ49,'Fats Raw Data'!BE30:BE49)/SUM('Fats Raw Data'!BE30:BE49),"")</f>
        <v/>
      </c>
      <c r="CS30">
        <f>IFERROR(SQRT((SUMSQ('Fats Raw Data'!AZ30:AZ49)-2*SUMPRODUCT('Fats Raw Data'!AZ30:AZ49,'Fats Raw Data'!AZ31:AZ50)+SUMSQ('Fats Raw Data'!AZ31:AZ50)-('Fats Raw Data'!AZ30-'Fats Raw Data'!AZ50)^2/20)/19),"")</f>
        <v>0</v>
      </c>
    </row>
    <row r="31" spans="1:97" x14ac:dyDescent="0.25">
      <c r="A31">
        <f>IFERROR('Feeders Raw Data'!A31,"")</f>
        <v>0</v>
      </c>
      <c r="B31">
        <f>IFERROR('Feeders Raw Data'!F31,"")</f>
        <v>0</v>
      </c>
      <c r="C31">
        <f>IFERROR('Feeders Raw Data'!H31-'Feeders Raw Data'!H32,"")</f>
        <v>0</v>
      </c>
      <c r="D31" t="str">
        <f>IFERROR(AVERAGE('Feeders Raw Data'!H31:H35),"")</f>
        <v/>
      </c>
      <c r="E31" t="str">
        <f>IFERROR(SUMPRODUCT('Feeders Raw Data'!B31:B50,'Feeders Raw Data'!G31:G50)/SUM('Feeders Raw Data'!G31:G50),"")</f>
        <v/>
      </c>
      <c r="F31">
        <f>IFERROR(SQRT((SUMSQ('Feeders Raw Data'!B31:B50)-2*SUMPRODUCT('Feeders Raw Data'!B31:B50,'Feeders Raw Data'!B32:B51)+SUMSQ('Feeders Raw Data'!B32:B51)-('Feeders Raw Data'!B31-'Feeders Raw Data'!B51)^2/20)/19),"")</f>
        <v>0</v>
      </c>
      <c r="H31">
        <f>IFERROR('Feeders Raw Data'!K31,"")</f>
        <v>0</v>
      </c>
      <c r="I31">
        <f>IFERROR('Feeders Raw Data'!P31,"")</f>
        <v>0</v>
      </c>
      <c r="J31">
        <f>IFERROR('Feeders Raw Data'!R31-'Feeders Raw Data'!R32,"")</f>
        <v>0</v>
      </c>
      <c r="K31" t="str">
        <f>IFERROR(AVERAGE('Feeders Raw Data'!R31:R35),"")</f>
        <v/>
      </c>
      <c r="L31" t="str">
        <f>IFERROR(SUMPRODUCT('Feeders Raw Data'!L31:L50,'Feeders Raw Data'!Q31:Q50)/SUM('Feeders Raw Data'!Q31:Q50),"")</f>
        <v/>
      </c>
      <c r="M31">
        <f>IFERROR(SQRT((SUMSQ('Feeders Raw Data'!L31:L50)-2*SUMPRODUCT('Feeders Raw Data'!L31:L50,'Feeders Raw Data'!L32:L51)+SUMSQ('Feeders Raw Data'!L32:L51)-('Feeders Raw Data'!L31-'Feeders Raw Data'!L51)^2/20)/19),"")</f>
        <v>0</v>
      </c>
      <c r="O31">
        <f>IFERROR('Feeders Raw Data'!U31,"")</f>
        <v>0</v>
      </c>
      <c r="P31">
        <f>IFERROR('Feeders Raw Data'!Z31,"")</f>
        <v>0</v>
      </c>
      <c r="Q31">
        <f>IFERROR('Feeders Raw Data'!AB31-'Feeders Raw Data'!AB32,"")</f>
        <v>0</v>
      </c>
      <c r="R31" t="str">
        <f>IFERROR(AVERAGE('Feeders Raw Data'!AB31:AB35),"")</f>
        <v/>
      </c>
      <c r="S31" t="str">
        <f>IFERROR(SUMPRODUCT('Feeders Raw Data'!V31:V50,'Feeders Raw Data'!AA31:AA50)/SUM('Feeders Raw Data'!AA31:AA50),"")</f>
        <v/>
      </c>
      <c r="T31">
        <f>IFERROR(SQRT((SUMSQ('Feeders Raw Data'!V31:V50)-2*SUMPRODUCT('Feeders Raw Data'!V31:V50,'Feeders Raw Data'!V32:V51)+SUMSQ('Feeders Raw Data'!V32:V51)-('Feeders Raw Data'!V31-'Feeders Raw Data'!V51)^2/20)/19),"")</f>
        <v>0</v>
      </c>
      <c r="V31">
        <f>IFERROR('Feeders Raw Data'!AE31,"")</f>
        <v>0</v>
      </c>
      <c r="W31">
        <f>IFERROR('Feeders Raw Data'!AJ31,"")</f>
        <v>0</v>
      </c>
      <c r="X31">
        <f>IFERROR('Feeders Raw Data'!AL31-'Feeders Raw Data'!AL32,"")</f>
        <v>0</v>
      </c>
      <c r="Y31" t="str">
        <f>IFERROR(AVERAGE('Feeders Raw Data'!AL31:AL35),"")</f>
        <v/>
      </c>
      <c r="Z31" t="str">
        <f>IFERROR(SUMPRODUCT('Feeders Raw Data'!AF31:AF50,'Feeders Raw Data'!AK31:AK50)/SUM('Feeders Raw Data'!AK31:AK50),"")</f>
        <v/>
      </c>
      <c r="AA31">
        <f>IFERROR(SQRT((SUMSQ('Feeders Raw Data'!AF31:AF50)-2*SUMPRODUCT('Feeders Raw Data'!AF31:AF50,'Feeders Raw Data'!AF32:AF51)+SUMSQ('Feeders Raw Data'!AF32:AF51)-('Feeders Raw Data'!AF31-'Feeders Raw Data'!AF51)^2/20)/19),"")</f>
        <v>0</v>
      </c>
      <c r="AC31">
        <f>IFERROR('Feeders Raw Data'!AO31,"")</f>
        <v>0</v>
      </c>
      <c r="AD31">
        <f>IFERROR('Feeders Raw Data'!AT31,"")</f>
        <v>0</v>
      </c>
      <c r="AE31">
        <f>IFERROR('Feeders Raw Data'!AV31-'Feeders Raw Data'!AV32,"")</f>
        <v>0</v>
      </c>
      <c r="AF31" t="str">
        <f>IFERROR(AVERAGE('Feeders Raw Data'!AV31:AV35),"")</f>
        <v/>
      </c>
      <c r="AG31" t="str">
        <f>IFERROR(SUMPRODUCT('Feeders Raw Data'!AP31:AP50,'Feeders Raw Data'!AU31:AU50)/SUM('Feeders Raw Data'!AU31:AU50),"")</f>
        <v/>
      </c>
      <c r="AH31">
        <f>IFERROR(SQRT((SUMSQ('Feeders Raw Data'!AP31:AP50)-2*SUMPRODUCT('Feeders Raw Data'!AP31:AP50,'Feeders Raw Data'!AP32:AP51)+SUMSQ('Feeders Raw Data'!AP32:AP51)-('Feeders Raw Data'!AP31-'Feeders Raw Data'!AP51)^2/20)/19),"")</f>
        <v>0</v>
      </c>
      <c r="AJ31">
        <f>IFERROR('Feeders Raw Data'!AY31,"")</f>
        <v>0</v>
      </c>
      <c r="AK31">
        <f>IFERROR('Feeders Raw Data'!BD31,"")</f>
        <v>0</v>
      </c>
      <c r="AL31">
        <f>IFERROR('Feeders Raw Data'!BF31-'Feeders Raw Data'!BF32,"")</f>
        <v>0</v>
      </c>
      <c r="AM31" t="str">
        <f>IFERROR(AVERAGE('Feeders Raw Data'!BF31:BF35),"")</f>
        <v/>
      </c>
      <c r="AN31" t="str">
        <f>IFERROR(SUMPRODUCT('Feeders Raw Data'!AZ31:AZ50,'Feeders Raw Data'!BE31:BE50)/SUM('Feeders Raw Data'!BE31:BE50),"")</f>
        <v/>
      </c>
      <c r="AO31">
        <f>IFERROR(SQRT((SUMSQ('Feeders Raw Data'!AZ31:AZ50)-2*SUMPRODUCT('Feeders Raw Data'!AZ31:AZ50,'Feeders Raw Data'!AZ32:AZ51)+SUMSQ('Feeders Raw Data'!AZ32:AZ51)-('Feeders Raw Data'!AZ31-'Feeders Raw Data'!AZ51)^2/20)/19),"")</f>
        <v>0</v>
      </c>
      <c r="AQ31">
        <f>IFERROR('Feeders Raw Data'!BI31,"")</f>
        <v>0</v>
      </c>
      <c r="AR31">
        <f>IFERROR('Feeders Raw Data'!BN31,"")</f>
        <v>0</v>
      </c>
      <c r="AS31">
        <f>IFERROR('Feeders Raw Data'!BP31-'Feeders Raw Data'!BP32,"")</f>
        <v>0</v>
      </c>
      <c r="AT31" t="str">
        <f>IFERROR(AVERAGE('Feeders Raw Data'!BP31:BP35),"")</f>
        <v/>
      </c>
      <c r="AU31" t="str">
        <f>IFERROR(SUMPRODUCT('Feeders Raw Data'!BJ31:BJ50,'Feeders Raw Data'!BO31:BO50)/SUM('Feeders Raw Data'!BO31:BO50),"")</f>
        <v/>
      </c>
      <c r="AV31">
        <f>IFERROR(SQRT((SUMSQ('Feeders Raw Data'!BJ31:BJ50)-2*SUMPRODUCT('Feeders Raw Data'!BJ31:BJ50,'Feeders Raw Data'!BJ32:BJ51)+SUMSQ('Feeders Raw Data'!BJ32:BJ51)-('Feeders Raw Data'!BJ31-'Feeders Raw Data'!BJ51)^2/20)/19),"")</f>
        <v>0</v>
      </c>
      <c r="AX31">
        <f>IFERROR('Feeders Raw Data'!BS31,"")</f>
        <v>0</v>
      </c>
      <c r="AY31">
        <f>IFERROR('Feeders Raw Data'!BX31,"")</f>
        <v>0</v>
      </c>
      <c r="AZ31">
        <f>IFERROR('Feeders Raw Data'!BZ31-'Feeders Raw Data'!BZ32,"")</f>
        <v>0</v>
      </c>
      <c r="BA31" t="str">
        <f>IFERROR(AVERAGE('Feeders Raw Data'!BZ31:BZ35),"")</f>
        <v/>
      </c>
      <c r="BB31" t="str">
        <f>IFERROR(SUMPRODUCT('Feeders Raw Data'!BT31:BT50,'Feeders Raw Data'!BY31:BY50)/SUM('Feeders Raw Data'!BY31:BY50),"")</f>
        <v/>
      </c>
      <c r="BC31">
        <f>IFERROR(SQRT((SUMSQ('Feeders Raw Data'!BT31:BT50)-2*SUMPRODUCT('Feeders Raw Data'!BT31:BT50,'Feeders Raw Data'!BT32:BT51)+SUMSQ('Feeders Raw Data'!BT32:BT51)-('Feeders Raw Data'!BT31-'Feeders Raw Data'!BT51)^2/20)/19),"")</f>
        <v>0</v>
      </c>
      <c r="BE31">
        <f>IFERROR('Fats Raw Data'!A31,"")</f>
        <v>0</v>
      </c>
      <c r="BF31">
        <f>IFERROR('Fats Raw Data'!F31,"")</f>
        <v>0</v>
      </c>
      <c r="BG31">
        <f>IFERROR('Fats Raw Data'!H31-'Fats Raw Data'!H32,"")</f>
        <v>0</v>
      </c>
      <c r="BH31" t="str">
        <f>IFERROR(AVERAGE('Fats Raw Data'!H31:H35),"")</f>
        <v/>
      </c>
      <c r="BI31" t="str">
        <f>IFERROR(SUMPRODUCT('Fats Raw Data'!B31:B50,'Fats Raw Data'!G31:G50)/SUM('Fats Raw Data'!G31:G50),"")</f>
        <v/>
      </c>
      <c r="BJ31">
        <f>IFERROR(SQRT((SUMSQ('Fats Raw Data'!B31:B50)-2*SUMPRODUCT('Fats Raw Data'!B31:B50,'Fats Raw Data'!B32:B51)+SUMSQ('Fats Raw Data'!B32:B51)-('Fats Raw Data'!B31-'Fats Raw Data'!B51)^2/20)/19),"")</f>
        <v>0</v>
      </c>
      <c r="BL31">
        <f>IFERROR('Fats Raw Data'!K31,"")</f>
        <v>0</v>
      </c>
      <c r="BM31">
        <f>IFERROR('Fats Raw Data'!P31,"")</f>
        <v>0</v>
      </c>
      <c r="BN31">
        <f>IFERROR('Fats Raw Data'!R31-'Fats Raw Data'!R32,"")</f>
        <v>0</v>
      </c>
      <c r="BO31" t="str">
        <f>IFERROR(AVERAGE('Fats Raw Data'!R31:R35),"")</f>
        <v/>
      </c>
      <c r="BP31" t="str">
        <f>IFERROR(SUMPRODUCT('Fats Raw Data'!L31:L50,'Fats Raw Data'!Q31:Q50)/SUM('Fats Raw Data'!Q31:Q50),"")</f>
        <v/>
      </c>
      <c r="BQ31">
        <f>IFERROR(SQRT((SUMSQ('Fats Raw Data'!L31:L50)-2*SUMPRODUCT('Fats Raw Data'!L31:L50,'Fats Raw Data'!L32:L51)+SUMSQ('Fats Raw Data'!L32:L51)-('Fats Raw Data'!L31-'Fats Raw Data'!L51)^2/20)/19),"")</f>
        <v>0</v>
      </c>
      <c r="BS31">
        <f>IFERROR('Fats Raw Data'!U31,"")</f>
        <v>0</v>
      </c>
      <c r="BT31">
        <f>IFERROR('Fats Raw Data'!Z31,"")</f>
        <v>0</v>
      </c>
      <c r="BU31">
        <f>IFERROR('Fats Raw Data'!AB31-'Fats Raw Data'!AB32,"")</f>
        <v>0</v>
      </c>
      <c r="BV31" t="str">
        <f>IFERROR(AVERAGE('Fats Raw Data'!AB31:AB35),"")</f>
        <v/>
      </c>
      <c r="BW31" t="str">
        <f>IFERROR(SUMPRODUCT('Fats Raw Data'!V31:V50,'Fats Raw Data'!AA31:AA50)/SUM('Fats Raw Data'!AA31:AA50),"")</f>
        <v/>
      </c>
      <c r="BX31">
        <f>IFERROR(SQRT((SUMSQ('Fats Raw Data'!V31:V50)-2*SUMPRODUCT('Fats Raw Data'!V31:V50,'Fats Raw Data'!V32:V51)+SUMSQ('Fats Raw Data'!V32:V51)-('Fats Raw Data'!V31-'Fats Raw Data'!V51)^2/20)/19),"")</f>
        <v>0</v>
      </c>
      <c r="BZ31">
        <f>IFERROR('Fats Raw Data'!AE31,"")</f>
        <v>0</v>
      </c>
      <c r="CA31">
        <f>IFERROR('Fats Raw Data'!AJ31,"")</f>
        <v>0</v>
      </c>
      <c r="CB31">
        <f>IFERROR('Fats Raw Data'!AL31-'Fats Raw Data'!AL32,"")</f>
        <v>0</v>
      </c>
      <c r="CC31" t="str">
        <f>IFERROR(AVERAGE('Fats Raw Data'!AL31:AL35),"")</f>
        <v/>
      </c>
      <c r="CD31" t="str">
        <f>IFERROR(SUMPRODUCT('Fats Raw Data'!AF31:AF50,'Fats Raw Data'!AK31:AK50)/SUM('Fats Raw Data'!AK31:AK50),"")</f>
        <v/>
      </c>
      <c r="CE31">
        <f>IFERROR(SQRT((SUMSQ('Fats Raw Data'!AF31:AF50)-2*SUMPRODUCT('Fats Raw Data'!AF31:AF50,'Fats Raw Data'!AF32:AF51)+SUMSQ('Fats Raw Data'!AF32:AF51)-('Fats Raw Data'!AF31-'Fats Raw Data'!AF51)^2/20)/19),"")</f>
        <v>0</v>
      </c>
      <c r="CG31">
        <f>IFERROR('Fats Raw Data'!AO31,"")</f>
        <v>0</v>
      </c>
      <c r="CH31">
        <f>IFERROR('Fats Raw Data'!AT31,"")</f>
        <v>0</v>
      </c>
      <c r="CI31">
        <f>IFERROR('Fats Raw Data'!AV31-'Fats Raw Data'!AV32,"")</f>
        <v>0</v>
      </c>
      <c r="CJ31" t="str">
        <f>IFERROR(AVERAGE('Fats Raw Data'!AV31:AV35),"")</f>
        <v/>
      </c>
      <c r="CK31" t="str">
        <f>IFERROR(SUMPRODUCT('Fats Raw Data'!AP31:AP50,'Fats Raw Data'!AU31:AU50)/SUM('Fats Raw Data'!AU31:AU50),"")</f>
        <v/>
      </c>
      <c r="CL31">
        <f>IFERROR(SQRT((SUMSQ('Fats Raw Data'!AP31:AP50)-2*SUMPRODUCT('Fats Raw Data'!AP31:AP50,'Fats Raw Data'!AP32:AP51)+SUMSQ('Fats Raw Data'!AP32:AP51)-('Fats Raw Data'!AP31-'Fats Raw Data'!AP51)^2/20)/19),"")</f>
        <v>0</v>
      </c>
      <c r="CN31">
        <f>IFERROR('Fats Raw Data'!AY31,"")</f>
        <v>0</v>
      </c>
      <c r="CO31">
        <f>IFERROR('Fats Raw Data'!BD31,"")</f>
        <v>0</v>
      </c>
      <c r="CP31">
        <f>IFERROR('Fats Raw Data'!BF31-'Fats Raw Data'!BF32,"")</f>
        <v>0</v>
      </c>
      <c r="CQ31" t="str">
        <f>IFERROR(AVERAGE('Fats Raw Data'!BF31:BF35),"")</f>
        <v/>
      </c>
      <c r="CR31" t="str">
        <f>IFERROR(SUMPRODUCT('Fats Raw Data'!AZ31:AZ50,'Fats Raw Data'!BE31:BE50)/SUM('Fats Raw Data'!BE31:BE50),"")</f>
        <v/>
      </c>
      <c r="CS31">
        <f>IFERROR(SQRT((SUMSQ('Fats Raw Data'!AZ31:AZ50)-2*SUMPRODUCT('Fats Raw Data'!AZ31:AZ50,'Fats Raw Data'!AZ32:AZ51)+SUMSQ('Fats Raw Data'!AZ32:AZ51)-('Fats Raw Data'!AZ31-'Fats Raw Data'!AZ51)^2/20)/19),"")</f>
        <v>0</v>
      </c>
    </row>
    <row r="32" spans="1:97" x14ac:dyDescent="0.25">
      <c r="A32">
        <f>IFERROR('Feeders Raw Data'!A32,"")</f>
        <v>0</v>
      </c>
      <c r="B32">
        <f>IFERROR('Feeders Raw Data'!F32,"")</f>
        <v>0</v>
      </c>
      <c r="C32">
        <f>IFERROR('Feeders Raw Data'!H32-'Feeders Raw Data'!H33,"")</f>
        <v>0</v>
      </c>
      <c r="D32" t="str">
        <f>IFERROR(AVERAGE('Feeders Raw Data'!H32:H36),"")</f>
        <v/>
      </c>
      <c r="E32" t="str">
        <f>IFERROR(SUMPRODUCT('Feeders Raw Data'!B32:B51,'Feeders Raw Data'!G32:G51)/SUM('Feeders Raw Data'!G32:G51),"")</f>
        <v/>
      </c>
      <c r="F32">
        <f>IFERROR(SQRT((SUMSQ('Feeders Raw Data'!B32:B51)-2*SUMPRODUCT('Feeders Raw Data'!B32:B51,'Feeders Raw Data'!B33:B52)+SUMSQ('Feeders Raw Data'!B33:B52)-('Feeders Raw Data'!B32-'Feeders Raw Data'!B52)^2/20)/19),"")</f>
        <v>0</v>
      </c>
      <c r="H32">
        <f>IFERROR('Feeders Raw Data'!K32,"")</f>
        <v>0</v>
      </c>
      <c r="I32">
        <f>IFERROR('Feeders Raw Data'!P32,"")</f>
        <v>0</v>
      </c>
      <c r="J32">
        <f>IFERROR('Feeders Raw Data'!R32-'Feeders Raw Data'!R33,"")</f>
        <v>0</v>
      </c>
      <c r="K32" t="str">
        <f>IFERROR(AVERAGE('Feeders Raw Data'!R32:R36),"")</f>
        <v/>
      </c>
      <c r="L32" t="str">
        <f>IFERROR(SUMPRODUCT('Feeders Raw Data'!L32:L51,'Feeders Raw Data'!Q32:Q51)/SUM('Feeders Raw Data'!Q32:Q51),"")</f>
        <v/>
      </c>
      <c r="M32">
        <f>IFERROR(SQRT((SUMSQ('Feeders Raw Data'!L32:L51)-2*SUMPRODUCT('Feeders Raw Data'!L32:L51,'Feeders Raw Data'!L33:L52)+SUMSQ('Feeders Raw Data'!L33:L52)-('Feeders Raw Data'!L32-'Feeders Raw Data'!L52)^2/20)/19),"")</f>
        <v>0</v>
      </c>
      <c r="O32">
        <f>IFERROR('Feeders Raw Data'!U32,"")</f>
        <v>0</v>
      </c>
      <c r="P32">
        <f>IFERROR('Feeders Raw Data'!Z32,"")</f>
        <v>0</v>
      </c>
      <c r="Q32">
        <f>IFERROR('Feeders Raw Data'!AB32-'Feeders Raw Data'!AB33,"")</f>
        <v>0</v>
      </c>
      <c r="R32" t="str">
        <f>IFERROR(AVERAGE('Feeders Raw Data'!AB32:AB36),"")</f>
        <v/>
      </c>
      <c r="S32" t="str">
        <f>IFERROR(SUMPRODUCT('Feeders Raw Data'!V32:V51,'Feeders Raw Data'!AA32:AA51)/SUM('Feeders Raw Data'!AA32:AA51),"")</f>
        <v/>
      </c>
      <c r="T32">
        <f>IFERROR(SQRT((SUMSQ('Feeders Raw Data'!V32:V51)-2*SUMPRODUCT('Feeders Raw Data'!V32:V51,'Feeders Raw Data'!V33:V52)+SUMSQ('Feeders Raw Data'!V33:V52)-('Feeders Raw Data'!V32-'Feeders Raw Data'!V52)^2/20)/19),"")</f>
        <v>0</v>
      </c>
      <c r="V32">
        <f>IFERROR('Feeders Raw Data'!AE32,"")</f>
        <v>0</v>
      </c>
      <c r="W32">
        <f>IFERROR('Feeders Raw Data'!AJ32,"")</f>
        <v>0</v>
      </c>
      <c r="X32">
        <f>IFERROR('Feeders Raw Data'!AL32-'Feeders Raw Data'!AL33,"")</f>
        <v>0</v>
      </c>
      <c r="Y32" t="str">
        <f>IFERROR(AVERAGE('Feeders Raw Data'!AL32:AL36),"")</f>
        <v/>
      </c>
      <c r="Z32" t="str">
        <f>IFERROR(SUMPRODUCT('Feeders Raw Data'!AF32:AF51,'Feeders Raw Data'!AK32:AK51)/SUM('Feeders Raw Data'!AK32:AK51),"")</f>
        <v/>
      </c>
      <c r="AA32">
        <f>IFERROR(SQRT((SUMSQ('Feeders Raw Data'!AF32:AF51)-2*SUMPRODUCT('Feeders Raw Data'!AF32:AF51,'Feeders Raw Data'!AF33:AF52)+SUMSQ('Feeders Raw Data'!AF33:AF52)-('Feeders Raw Data'!AF32-'Feeders Raw Data'!AF52)^2/20)/19),"")</f>
        <v>0</v>
      </c>
      <c r="AC32">
        <f>IFERROR('Feeders Raw Data'!AO32,"")</f>
        <v>0</v>
      </c>
      <c r="AD32">
        <f>IFERROR('Feeders Raw Data'!AT32,"")</f>
        <v>0</v>
      </c>
      <c r="AE32">
        <f>IFERROR('Feeders Raw Data'!AV32-'Feeders Raw Data'!AV33,"")</f>
        <v>0</v>
      </c>
      <c r="AF32" t="str">
        <f>IFERROR(AVERAGE('Feeders Raw Data'!AV32:AV36),"")</f>
        <v/>
      </c>
      <c r="AG32" t="str">
        <f>IFERROR(SUMPRODUCT('Feeders Raw Data'!AP32:AP51,'Feeders Raw Data'!AU32:AU51)/SUM('Feeders Raw Data'!AU32:AU51),"")</f>
        <v/>
      </c>
      <c r="AH32">
        <f>IFERROR(SQRT((SUMSQ('Feeders Raw Data'!AP32:AP51)-2*SUMPRODUCT('Feeders Raw Data'!AP32:AP51,'Feeders Raw Data'!AP33:AP52)+SUMSQ('Feeders Raw Data'!AP33:AP52)-('Feeders Raw Data'!AP32-'Feeders Raw Data'!AP52)^2/20)/19),"")</f>
        <v>0</v>
      </c>
      <c r="AJ32">
        <f>IFERROR('Feeders Raw Data'!AY32,"")</f>
        <v>0</v>
      </c>
      <c r="AK32">
        <f>IFERROR('Feeders Raw Data'!BD32,"")</f>
        <v>0</v>
      </c>
      <c r="AL32">
        <f>IFERROR('Feeders Raw Data'!BF32-'Feeders Raw Data'!BF33,"")</f>
        <v>0</v>
      </c>
      <c r="AM32" t="str">
        <f>IFERROR(AVERAGE('Feeders Raw Data'!BF32:BF36),"")</f>
        <v/>
      </c>
      <c r="AN32" t="str">
        <f>IFERROR(SUMPRODUCT('Feeders Raw Data'!AZ32:AZ51,'Feeders Raw Data'!BE32:BE51)/SUM('Feeders Raw Data'!BE32:BE51),"")</f>
        <v/>
      </c>
      <c r="AO32">
        <f>IFERROR(SQRT((SUMSQ('Feeders Raw Data'!AZ32:AZ51)-2*SUMPRODUCT('Feeders Raw Data'!AZ32:AZ51,'Feeders Raw Data'!AZ33:AZ52)+SUMSQ('Feeders Raw Data'!AZ33:AZ52)-('Feeders Raw Data'!AZ32-'Feeders Raw Data'!AZ52)^2/20)/19),"")</f>
        <v>0</v>
      </c>
      <c r="AQ32">
        <f>IFERROR('Feeders Raw Data'!BI32,"")</f>
        <v>0</v>
      </c>
      <c r="AR32">
        <f>IFERROR('Feeders Raw Data'!BN32,"")</f>
        <v>0</v>
      </c>
      <c r="AS32">
        <f>IFERROR('Feeders Raw Data'!BP32-'Feeders Raw Data'!BP33,"")</f>
        <v>0</v>
      </c>
      <c r="AT32" t="str">
        <f>IFERROR(AVERAGE('Feeders Raw Data'!BP32:BP36),"")</f>
        <v/>
      </c>
      <c r="AU32" t="str">
        <f>IFERROR(SUMPRODUCT('Feeders Raw Data'!BJ32:BJ51,'Feeders Raw Data'!BO32:BO51)/SUM('Feeders Raw Data'!BO32:BO51),"")</f>
        <v/>
      </c>
      <c r="AV32">
        <f>IFERROR(SQRT((SUMSQ('Feeders Raw Data'!BJ32:BJ51)-2*SUMPRODUCT('Feeders Raw Data'!BJ32:BJ51,'Feeders Raw Data'!BJ33:BJ52)+SUMSQ('Feeders Raw Data'!BJ33:BJ52)-('Feeders Raw Data'!BJ32-'Feeders Raw Data'!BJ52)^2/20)/19),"")</f>
        <v>0</v>
      </c>
      <c r="AX32">
        <f>IFERROR('Feeders Raw Data'!BS32,"")</f>
        <v>0</v>
      </c>
      <c r="AY32">
        <f>IFERROR('Feeders Raw Data'!BX32,"")</f>
        <v>0</v>
      </c>
      <c r="AZ32">
        <f>IFERROR('Feeders Raw Data'!BZ32-'Feeders Raw Data'!BZ33,"")</f>
        <v>0</v>
      </c>
      <c r="BA32" t="str">
        <f>IFERROR(AVERAGE('Feeders Raw Data'!BZ32:BZ36),"")</f>
        <v/>
      </c>
      <c r="BB32" t="str">
        <f>IFERROR(SUMPRODUCT('Feeders Raw Data'!BT32:BT51,'Feeders Raw Data'!BY32:BY51)/SUM('Feeders Raw Data'!BY32:BY51),"")</f>
        <v/>
      </c>
      <c r="BC32">
        <f>IFERROR(SQRT((SUMSQ('Feeders Raw Data'!BT32:BT51)-2*SUMPRODUCT('Feeders Raw Data'!BT32:BT51,'Feeders Raw Data'!BT33:BT52)+SUMSQ('Feeders Raw Data'!BT33:BT52)-('Feeders Raw Data'!BT32-'Feeders Raw Data'!BT52)^2/20)/19),"")</f>
        <v>0</v>
      </c>
      <c r="BE32">
        <f>IFERROR('Fats Raw Data'!A32,"")</f>
        <v>0</v>
      </c>
      <c r="BF32">
        <f>IFERROR('Fats Raw Data'!F32,"")</f>
        <v>0</v>
      </c>
      <c r="BG32">
        <f>IFERROR('Fats Raw Data'!H32-'Fats Raw Data'!H33,"")</f>
        <v>0</v>
      </c>
      <c r="BH32" t="str">
        <f>IFERROR(AVERAGE('Fats Raw Data'!H32:H36),"")</f>
        <v/>
      </c>
      <c r="BI32" t="str">
        <f>IFERROR(SUMPRODUCT('Fats Raw Data'!B32:B51,'Fats Raw Data'!G32:G51)/SUM('Fats Raw Data'!G32:G51),"")</f>
        <v/>
      </c>
      <c r="BJ32">
        <f>IFERROR(SQRT((SUMSQ('Fats Raw Data'!B32:B51)-2*SUMPRODUCT('Fats Raw Data'!B32:B51,'Fats Raw Data'!B33:B52)+SUMSQ('Fats Raw Data'!B33:B52)-('Fats Raw Data'!B32-'Fats Raw Data'!B52)^2/20)/19),"")</f>
        <v>0</v>
      </c>
      <c r="BL32">
        <f>IFERROR('Fats Raw Data'!K32,"")</f>
        <v>0</v>
      </c>
      <c r="BM32">
        <f>IFERROR('Fats Raw Data'!P32,"")</f>
        <v>0</v>
      </c>
      <c r="BN32">
        <f>IFERROR('Fats Raw Data'!R32-'Fats Raw Data'!R33,"")</f>
        <v>0</v>
      </c>
      <c r="BO32" t="str">
        <f>IFERROR(AVERAGE('Fats Raw Data'!R32:R36),"")</f>
        <v/>
      </c>
      <c r="BP32" t="str">
        <f>IFERROR(SUMPRODUCT('Fats Raw Data'!L32:L51,'Fats Raw Data'!Q32:Q51)/SUM('Fats Raw Data'!Q32:Q51),"")</f>
        <v/>
      </c>
      <c r="BQ32">
        <f>IFERROR(SQRT((SUMSQ('Fats Raw Data'!L32:L51)-2*SUMPRODUCT('Fats Raw Data'!L32:L51,'Fats Raw Data'!L33:L52)+SUMSQ('Fats Raw Data'!L33:L52)-('Fats Raw Data'!L32-'Fats Raw Data'!L52)^2/20)/19),"")</f>
        <v>0</v>
      </c>
      <c r="BS32">
        <f>IFERROR('Fats Raw Data'!U32,"")</f>
        <v>0</v>
      </c>
      <c r="BT32">
        <f>IFERROR('Fats Raw Data'!Z32,"")</f>
        <v>0</v>
      </c>
      <c r="BU32">
        <f>IFERROR('Fats Raw Data'!AB32-'Fats Raw Data'!AB33,"")</f>
        <v>0</v>
      </c>
      <c r="BV32" t="str">
        <f>IFERROR(AVERAGE('Fats Raw Data'!AB32:AB36),"")</f>
        <v/>
      </c>
      <c r="BW32" t="str">
        <f>IFERROR(SUMPRODUCT('Fats Raw Data'!V32:V51,'Fats Raw Data'!AA32:AA51)/SUM('Fats Raw Data'!AA32:AA51),"")</f>
        <v/>
      </c>
      <c r="BX32">
        <f>IFERROR(SQRT((SUMSQ('Fats Raw Data'!V32:V51)-2*SUMPRODUCT('Fats Raw Data'!V32:V51,'Fats Raw Data'!V33:V52)+SUMSQ('Fats Raw Data'!V33:V52)-('Fats Raw Data'!V32-'Fats Raw Data'!V52)^2/20)/19),"")</f>
        <v>0</v>
      </c>
      <c r="BZ32">
        <f>IFERROR('Fats Raw Data'!AE32,"")</f>
        <v>0</v>
      </c>
      <c r="CA32">
        <f>IFERROR('Fats Raw Data'!AJ32,"")</f>
        <v>0</v>
      </c>
      <c r="CB32">
        <f>IFERROR('Fats Raw Data'!AL32-'Fats Raw Data'!AL33,"")</f>
        <v>0</v>
      </c>
      <c r="CC32" t="str">
        <f>IFERROR(AVERAGE('Fats Raw Data'!AL32:AL36),"")</f>
        <v/>
      </c>
      <c r="CD32" t="str">
        <f>IFERROR(SUMPRODUCT('Fats Raw Data'!AF32:AF51,'Fats Raw Data'!AK32:AK51)/SUM('Fats Raw Data'!AK32:AK51),"")</f>
        <v/>
      </c>
      <c r="CE32">
        <f>IFERROR(SQRT((SUMSQ('Fats Raw Data'!AF32:AF51)-2*SUMPRODUCT('Fats Raw Data'!AF32:AF51,'Fats Raw Data'!AF33:AF52)+SUMSQ('Fats Raw Data'!AF33:AF52)-('Fats Raw Data'!AF32-'Fats Raw Data'!AF52)^2/20)/19),"")</f>
        <v>0</v>
      </c>
      <c r="CG32">
        <f>IFERROR('Fats Raw Data'!AO32,"")</f>
        <v>0</v>
      </c>
      <c r="CH32">
        <f>IFERROR('Fats Raw Data'!AT32,"")</f>
        <v>0</v>
      </c>
      <c r="CI32">
        <f>IFERROR('Fats Raw Data'!AV32-'Fats Raw Data'!AV33,"")</f>
        <v>0</v>
      </c>
      <c r="CJ32" t="str">
        <f>IFERROR(AVERAGE('Fats Raw Data'!AV32:AV36),"")</f>
        <v/>
      </c>
      <c r="CK32" t="str">
        <f>IFERROR(SUMPRODUCT('Fats Raw Data'!AP32:AP51,'Fats Raw Data'!AU32:AU51)/SUM('Fats Raw Data'!AU32:AU51),"")</f>
        <v/>
      </c>
      <c r="CL32">
        <f>IFERROR(SQRT((SUMSQ('Fats Raw Data'!AP32:AP51)-2*SUMPRODUCT('Fats Raw Data'!AP32:AP51,'Fats Raw Data'!AP33:AP52)+SUMSQ('Fats Raw Data'!AP33:AP52)-('Fats Raw Data'!AP32-'Fats Raw Data'!AP52)^2/20)/19),"")</f>
        <v>0</v>
      </c>
      <c r="CN32">
        <f>IFERROR('Fats Raw Data'!AY32,"")</f>
        <v>0</v>
      </c>
      <c r="CO32">
        <f>IFERROR('Fats Raw Data'!BD32,"")</f>
        <v>0</v>
      </c>
      <c r="CP32">
        <f>IFERROR('Fats Raw Data'!BF32-'Fats Raw Data'!BF33,"")</f>
        <v>0</v>
      </c>
      <c r="CQ32" t="str">
        <f>IFERROR(AVERAGE('Fats Raw Data'!BF32:BF36),"")</f>
        <v/>
      </c>
      <c r="CR32" t="str">
        <f>IFERROR(SUMPRODUCT('Fats Raw Data'!AZ32:AZ51,'Fats Raw Data'!BE32:BE51)/SUM('Fats Raw Data'!BE32:BE51),"")</f>
        <v/>
      </c>
      <c r="CS32">
        <f>IFERROR(SQRT((SUMSQ('Fats Raw Data'!AZ32:AZ51)-2*SUMPRODUCT('Fats Raw Data'!AZ32:AZ51,'Fats Raw Data'!AZ33:AZ52)+SUMSQ('Fats Raw Data'!AZ33:AZ52)-('Fats Raw Data'!AZ32-'Fats Raw Data'!AZ52)^2/20)/19),"")</f>
        <v>0</v>
      </c>
    </row>
    <row r="33" spans="1:97" x14ac:dyDescent="0.25">
      <c r="A33">
        <f>IFERROR('Feeders Raw Data'!A33,"")</f>
        <v>0</v>
      </c>
      <c r="B33">
        <f>IFERROR('Feeders Raw Data'!F33,"")</f>
        <v>0</v>
      </c>
      <c r="C33">
        <f>IFERROR('Feeders Raw Data'!H33-'Feeders Raw Data'!H34,"")</f>
        <v>0</v>
      </c>
      <c r="D33" t="str">
        <f>IFERROR(AVERAGE('Feeders Raw Data'!H33:H37),"")</f>
        <v/>
      </c>
      <c r="E33" t="str">
        <f>IFERROR(SUMPRODUCT('Feeders Raw Data'!B33:B52,'Feeders Raw Data'!G33:G52)/SUM('Feeders Raw Data'!G33:G52),"")</f>
        <v/>
      </c>
      <c r="F33">
        <f>IFERROR(SQRT((SUMSQ('Feeders Raw Data'!B33:B52)-2*SUMPRODUCT('Feeders Raw Data'!B33:B52,'Feeders Raw Data'!B34:B53)+SUMSQ('Feeders Raw Data'!B34:B53)-('Feeders Raw Data'!B33-'Feeders Raw Data'!B53)^2/20)/19),"")</f>
        <v>0</v>
      </c>
      <c r="H33">
        <f>IFERROR('Feeders Raw Data'!K33,"")</f>
        <v>0</v>
      </c>
      <c r="I33">
        <f>IFERROR('Feeders Raw Data'!P33,"")</f>
        <v>0</v>
      </c>
      <c r="J33">
        <f>IFERROR('Feeders Raw Data'!R33-'Feeders Raw Data'!R34,"")</f>
        <v>0</v>
      </c>
      <c r="K33" t="str">
        <f>IFERROR(AVERAGE('Feeders Raw Data'!R33:R37),"")</f>
        <v/>
      </c>
      <c r="L33" t="str">
        <f>IFERROR(SUMPRODUCT('Feeders Raw Data'!L33:L52,'Feeders Raw Data'!Q33:Q52)/SUM('Feeders Raw Data'!Q33:Q52),"")</f>
        <v/>
      </c>
      <c r="M33">
        <f>IFERROR(SQRT((SUMSQ('Feeders Raw Data'!L33:L52)-2*SUMPRODUCT('Feeders Raw Data'!L33:L52,'Feeders Raw Data'!L34:L53)+SUMSQ('Feeders Raw Data'!L34:L53)-('Feeders Raw Data'!L33-'Feeders Raw Data'!L53)^2/20)/19),"")</f>
        <v>0</v>
      </c>
      <c r="O33">
        <f>IFERROR('Feeders Raw Data'!U33,"")</f>
        <v>0</v>
      </c>
      <c r="P33">
        <f>IFERROR('Feeders Raw Data'!Z33,"")</f>
        <v>0</v>
      </c>
      <c r="Q33">
        <f>IFERROR('Feeders Raw Data'!AB33-'Feeders Raw Data'!AB34,"")</f>
        <v>0</v>
      </c>
      <c r="R33" t="str">
        <f>IFERROR(AVERAGE('Feeders Raw Data'!AB33:AB37),"")</f>
        <v/>
      </c>
      <c r="S33" t="str">
        <f>IFERROR(SUMPRODUCT('Feeders Raw Data'!V33:V52,'Feeders Raw Data'!AA33:AA52)/SUM('Feeders Raw Data'!AA33:AA52),"")</f>
        <v/>
      </c>
      <c r="T33">
        <f>IFERROR(SQRT((SUMSQ('Feeders Raw Data'!V33:V52)-2*SUMPRODUCT('Feeders Raw Data'!V33:V52,'Feeders Raw Data'!V34:V53)+SUMSQ('Feeders Raw Data'!V34:V53)-('Feeders Raw Data'!V33-'Feeders Raw Data'!V53)^2/20)/19),"")</f>
        <v>0</v>
      </c>
      <c r="V33">
        <f>IFERROR('Feeders Raw Data'!AE33,"")</f>
        <v>0</v>
      </c>
      <c r="W33">
        <f>IFERROR('Feeders Raw Data'!AJ33,"")</f>
        <v>0</v>
      </c>
      <c r="X33">
        <f>IFERROR('Feeders Raw Data'!AL33-'Feeders Raw Data'!AL34,"")</f>
        <v>0</v>
      </c>
      <c r="Y33" t="str">
        <f>IFERROR(AVERAGE('Feeders Raw Data'!AL33:AL37),"")</f>
        <v/>
      </c>
      <c r="Z33" t="str">
        <f>IFERROR(SUMPRODUCT('Feeders Raw Data'!AF33:AF52,'Feeders Raw Data'!AK33:AK52)/SUM('Feeders Raw Data'!AK33:AK52),"")</f>
        <v/>
      </c>
      <c r="AA33">
        <f>IFERROR(SQRT((SUMSQ('Feeders Raw Data'!AF33:AF52)-2*SUMPRODUCT('Feeders Raw Data'!AF33:AF52,'Feeders Raw Data'!AF34:AF53)+SUMSQ('Feeders Raw Data'!AF34:AF53)-('Feeders Raw Data'!AF33-'Feeders Raw Data'!AF53)^2/20)/19),"")</f>
        <v>0</v>
      </c>
      <c r="AC33">
        <f>IFERROR('Feeders Raw Data'!AO33,"")</f>
        <v>0</v>
      </c>
      <c r="AD33">
        <f>IFERROR('Feeders Raw Data'!AT33,"")</f>
        <v>0</v>
      </c>
      <c r="AE33">
        <f>IFERROR('Feeders Raw Data'!AV33-'Feeders Raw Data'!AV34,"")</f>
        <v>0</v>
      </c>
      <c r="AF33" t="str">
        <f>IFERROR(AVERAGE('Feeders Raw Data'!AV33:AV37),"")</f>
        <v/>
      </c>
      <c r="AG33" t="str">
        <f>IFERROR(SUMPRODUCT('Feeders Raw Data'!AP33:AP52,'Feeders Raw Data'!AU33:AU52)/SUM('Feeders Raw Data'!AU33:AU52),"")</f>
        <v/>
      </c>
      <c r="AH33">
        <f>IFERROR(SQRT((SUMSQ('Feeders Raw Data'!AP33:AP52)-2*SUMPRODUCT('Feeders Raw Data'!AP33:AP52,'Feeders Raw Data'!AP34:AP53)+SUMSQ('Feeders Raw Data'!AP34:AP53)-('Feeders Raw Data'!AP33-'Feeders Raw Data'!AP53)^2/20)/19),"")</f>
        <v>0</v>
      </c>
      <c r="AJ33">
        <f>IFERROR('Feeders Raw Data'!AY33,"")</f>
        <v>0</v>
      </c>
      <c r="AK33">
        <f>IFERROR('Feeders Raw Data'!BD33,"")</f>
        <v>0</v>
      </c>
      <c r="AL33">
        <f>IFERROR('Feeders Raw Data'!BF33-'Feeders Raw Data'!BF34,"")</f>
        <v>0</v>
      </c>
      <c r="AM33" t="str">
        <f>IFERROR(AVERAGE('Feeders Raw Data'!BF33:BF37),"")</f>
        <v/>
      </c>
      <c r="AN33" t="str">
        <f>IFERROR(SUMPRODUCT('Feeders Raw Data'!AZ33:AZ52,'Feeders Raw Data'!BE33:BE52)/SUM('Feeders Raw Data'!BE33:BE52),"")</f>
        <v/>
      </c>
      <c r="AO33">
        <f>IFERROR(SQRT((SUMSQ('Feeders Raw Data'!AZ33:AZ52)-2*SUMPRODUCT('Feeders Raw Data'!AZ33:AZ52,'Feeders Raw Data'!AZ34:AZ53)+SUMSQ('Feeders Raw Data'!AZ34:AZ53)-('Feeders Raw Data'!AZ33-'Feeders Raw Data'!AZ53)^2/20)/19),"")</f>
        <v>0</v>
      </c>
      <c r="AQ33">
        <f>IFERROR('Feeders Raw Data'!BI33,"")</f>
        <v>0</v>
      </c>
      <c r="AR33">
        <f>IFERROR('Feeders Raw Data'!BN33,"")</f>
        <v>0</v>
      </c>
      <c r="AS33">
        <f>IFERROR('Feeders Raw Data'!BP33-'Feeders Raw Data'!BP34,"")</f>
        <v>0</v>
      </c>
      <c r="AT33" t="str">
        <f>IFERROR(AVERAGE('Feeders Raw Data'!BP33:BP37),"")</f>
        <v/>
      </c>
      <c r="AU33" t="str">
        <f>IFERROR(SUMPRODUCT('Feeders Raw Data'!BJ33:BJ52,'Feeders Raw Data'!BO33:BO52)/SUM('Feeders Raw Data'!BO33:BO52),"")</f>
        <v/>
      </c>
      <c r="AV33">
        <f>IFERROR(SQRT((SUMSQ('Feeders Raw Data'!BJ33:BJ52)-2*SUMPRODUCT('Feeders Raw Data'!BJ33:BJ52,'Feeders Raw Data'!BJ34:BJ53)+SUMSQ('Feeders Raw Data'!BJ34:BJ53)-('Feeders Raw Data'!BJ33-'Feeders Raw Data'!BJ53)^2/20)/19),"")</f>
        <v>0</v>
      </c>
      <c r="AX33">
        <f>IFERROR('Feeders Raw Data'!BS33,"")</f>
        <v>0</v>
      </c>
      <c r="AY33">
        <f>IFERROR('Feeders Raw Data'!BX33,"")</f>
        <v>0</v>
      </c>
      <c r="AZ33">
        <f>IFERROR('Feeders Raw Data'!BZ33-'Feeders Raw Data'!BZ34,"")</f>
        <v>0</v>
      </c>
      <c r="BA33" t="str">
        <f>IFERROR(AVERAGE('Feeders Raw Data'!BZ33:BZ37),"")</f>
        <v/>
      </c>
      <c r="BB33" t="str">
        <f>IFERROR(SUMPRODUCT('Feeders Raw Data'!BT33:BT52,'Feeders Raw Data'!BY33:BY52)/SUM('Feeders Raw Data'!BY33:BY52),"")</f>
        <v/>
      </c>
      <c r="BC33">
        <f>IFERROR(SQRT((SUMSQ('Feeders Raw Data'!BT33:BT52)-2*SUMPRODUCT('Feeders Raw Data'!BT33:BT52,'Feeders Raw Data'!BT34:BT53)+SUMSQ('Feeders Raw Data'!BT34:BT53)-('Feeders Raw Data'!BT33-'Feeders Raw Data'!BT53)^2/20)/19),"")</f>
        <v>0</v>
      </c>
      <c r="BE33">
        <f>IFERROR('Fats Raw Data'!A33,"")</f>
        <v>0</v>
      </c>
      <c r="BF33">
        <f>IFERROR('Fats Raw Data'!F33,"")</f>
        <v>0</v>
      </c>
      <c r="BG33">
        <f>IFERROR('Fats Raw Data'!H33-'Fats Raw Data'!H34,"")</f>
        <v>0</v>
      </c>
      <c r="BH33" t="str">
        <f>IFERROR(AVERAGE('Fats Raw Data'!H33:H37),"")</f>
        <v/>
      </c>
      <c r="BI33" t="str">
        <f>IFERROR(SUMPRODUCT('Fats Raw Data'!B33:B52,'Fats Raw Data'!G33:G52)/SUM('Fats Raw Data'!G33:G52),"")</f>
        <v/>
      </c>
      <c r="BJ33">
        <f>IFERROR(SQRT((SUMSQ('Fats Raw Data'!B33:B52)-2*SUMPRODUCT('Fats Raw Data'!B33:B52,'Fats Raw Data'!B34:B53)+SUMSQ('Fats Raw Data'!B34:B53)-('Fats Raw Data'!B33-'Fats Raw Data'!B53)^2/20)/19),"")</f>
        <v>0</v>
      </c>
      <c r="BL33">
        <f>IFERROR('Fats Raw Data'!K33,"")</f>
        <v>0</v>
      </c>
      <c r="BM33">
        <f>IFERROR('Fats Raw Data'!P33,"")</f>
        <v>0</v>
      </c>
      <c r="BN33">
        <f>IFERROR('Fats Raw Data'!R33-'Fats Raw Data'!R34,"")</f>
        <v>0</v>
      </c>
      <c r="BO33" t="str">
        <f>IFERROR(AVERAGE('Fats Raw Data'!R33:R37),"")</f>
        <v/>
      </c>
      <c r="BP33" t="str">
        <f>IFERROR(SUMPRODUCT('Fats Raw Data'!L33:L52,'Fats Raw Data'!Q33:Q52)/SUM('Fats Raw Data'!Q33:Q52),"")</f>
        <v/>
      </c>
      <c r="BQ33">
        <f>IFERROR(SQRT((SUMSQ('Fats Raw Data'!L33:L52)-2*SUMPRODUCT('Fats Raw Data'!L33:L52,'Fats Raw Data'!L34:L53)+SUMSQ('Fats Raw Data'!L34:L53)-('Fats Raw Data'!L33-'Fats Raw Data'!L53)^2/20)/19),"")</f>
        <v>0</v>
      </c>
      <c r="BS33">
        <f>IFERROR('Fats Raw Data'!U33,"")</f>
        <v>0</v>
      </c>
      <c r="BT33">
        <f>IFERROR('Fats Raw Data'!Z33,"")</f>
        <v>0</v>
      </c>
      <c r="BU33">
        <f>IFERROR('Fats Raw Data'!AB33-'Fats Raw Data'!AB34,"")</f>
        <v>0</v>
      </c>
      <c r="BV33" t="str">
        <f>IFERROR(AVERAGE('Fats Raw Data'!AB33:AB37),"")</f>
        <v/>
      </c>
      <c r="BW33" t="str">
        <f>IFERROR(SUMPRODUCT('Fats Raw Data'!V33:V52,'Fats Raw Data'!AA33:AA52)/SUM('Fats Raw Data'!AA33:AA52),"")</f>
        <v/>
      </c>
      <c r="BX33">
        <f>IFERROR(SQRT((SUMSQ('Fats Raw Data'!V33:V52)-2*SUMPRODUCT('Fats Raw Data'!V33:V52,'Fats Raw Data'!V34:V53)+SUMSQ('Fats Raw Data'!V34:V53)-('Fats Raw Data'!V33-'Fats Raw Data'!V53)^2/20)/19),"")</f>
        <v>0</v>
      </c>
      <c r="BZ33">
        <f>IFERROR('Fats Raw Data'!AE33,"")</f>
        <v>0</v>
      </c>
      <c r="CA33">
        <f>IFERROR('Fats Raw Data'!AJ33,"")</f>
        <v>0</v>
      </c>
      <c r="CB33">
        <f>IFERROR('Fats Raw Data'!AL33-'Fats Raw Data'!AL34,"")</f>
        <v>0</v>
      </c>
      <c r="CC33" t="str">
        <f>IFERROR(AVERAGE('Fats Raw Data'!AL33:AL37),"")</f>
        <v/>
      </c>
      <c r="CD33" t="str">
        <f>IFERROR(SUMPRODUCT('Fats Raw Data'!AF33:AF52,'Fats Raw Data'!AK33:AK52)/SUM('Fats Raw Data'!AK33:AK52),"")</f>
        <v/>
      </c>
      <c r="CE33">
        <f>IFERROR(SQRT((SUMSQ('Fats Raw Data'!AF33:AF52)-2*SUMPRODUCT('Fats Raw Data'!AF33:AF52,'Fats Raw Data'!AF34:AF53)+SUMSQ('Fats Raw Data'!AF34:AF53)-('Fats Raw Data'!AF33-'Fats Raw Data'!AF53)^2/20)/19),"")</f>
        <v>0</v>
      </c>
      <c r="CG33">
        <f>IFERROR('Fats Raw Data'!AO33,"")</f>
        <v>0</v>
      </c>
      <c r="CH33">
        <f>IFERROR('Fats Raw Data'!AT33,"")</f>
        <v>0</v>
      </c>
      <c r="CI33">
        <f>IFERROR('Fats Raw Data'!AV33-'Fats Raw Data'!AV34,"")</f>
        <v>0</v>
      </c>
      <c r="CJ33" t="str">
        <f>IFERROR(AVERAGE('Fats Raw Data'!AV33:AV37),"")</f>
        <v/>
      </c>
      <c r="CK33" t="str">
        <f>IFERROR(SUMPRODUCT('Fats Raw Data'!AP33:AP52,'Fats Raw Data'!AU33:AU52)/SUM('Fats Raw Data'!AU33:AU52),"")</f>
        <v/>
      </c>
      <c r="CL33">
        <f>IFERROR(SQRT((SUMSQ('Fats Raw Data'!AP33:AP52)-2*SUMPRODUCT('Fats Raw Data'!AP33:AP52,'Fats Raw Data'!AP34:AP53)+SUMSQ('Fats Raw Data'!AP34:AP53)-('Fats Raw Data'!AP33-'Fats Raw Data'!AP53)^2/20)/19),"")</f>
        <v>0</v>
      </c>
      <c r="CN33">
        <f>IFERROR('Fats Raw Data'!AY33,"")</f>
        <v>0</v>
      </c>
      <c r="CO33">
        <f>IFERROR('Fats Raw Data'!BD33,"")</f>
        <v>0</v>
      </c>
      <c r="CP33">
        <f>IFERROR('Fats Raw Data'!BF33-'Fats Raw Data'!BF34,"")</f>
        <v>0</v>
      </c>
      <c r="CQ33" t="str">
        <f>IFERROR(AVERAGE('Fats Raw Data'!BF33:BF37),"")</f>
        <v/>
      </c>
      <c r="CR33" t="str">
        <f>IFERROR(SUMPRODUCT('Fats Raw Data'!AZ33:AZ52,'Fats Raw Data'!BE33:BE52)/SUM('Fats Raw Data'!BE33:BE52),"")</f>
        <v/>
      </c>
      <c r="CS33">
        <f>IFERROR(SQRT((SUMSQ('Fats Raw Data'!AZ33:AZ52)-2*SUMPRODUCT('Fats Raw Data'!AZ33:AZ52,'Fats Raw Data'!AZ34:AZ53)+SUMSQ('Fats Raw Data'!AZ34:AZ53)-('Fats Raw Data'!AZ33-'Fats Raw Data'!AZ53)^2/20)/19),"")</f>
        <v>0</v>
      </c>
    </row>
    <row r="34" spans="1:97" x14ac:dyDescent="0.25">
      <c r="A34">
        <f>IFERROR('Feeders Raw Data'!A34,"")</f>
        <v>0</v>
      </c>
      <c r="B34">
        <f>IFERROR('Feeders Raw Data'!F34,"")</f>
        <v>0</v>
      </c>
      <c r="C34">
        <f>IFERROR('Feeders Raw Data'!H34-'Feeders Raw Data'!H35,"")</f>
        <v>0</v>
      </c>
      <c r="D34" t="str">
        <f>IFERROR(AVERAGE('Feeders Raw Data'!H34:H38),"")</f>
        <v/>
      </c>
      <c r="E34" t="str">
        <f>IFERROR(SUMPRODUCT('Feeders Raw Data'!B34:B53,'Feeders Raw Data'!G34:G53)/SUM('Feeders Raw Data'!G34:G53),"")</f>
        <v/>
      </c>
      <c r="F34">
        <f>IFERROR(SQRT((SUMSQ('Feeders Raw Data'!B34:B53)-2*SUMPRODUCT('Feeders Raw Data'!B34:B53,'Feeders Raw Data'!B35:B54)+SUMSQ('Feeders Raw Data'!B35:B54)-('Feeders Raw Data'!B34-'Feeders Raw Data'!B54)^2/20)/19),"")</f>
        <v>0</v>
      </c>
      <c r="H34">
        <f>IFERROR('Feeders Raw Data'!K34,"")</f>
        <v>0</v>
      </c>
      <c r="I34">
        <f>IFERROR('Feeders Raw Data'!P34,"")</f>
        <v>0</v>
      </c>
      <c r="J34">
        <f>IFERROR('Feeders Raw Data'!R34-'Feeders Raw Data'!R35,"")</f>
        <v>0</v>
      </c>
      <c r="K34" t="str">
        <f>IFERROR(AVERAGE('Feeders Raw Data'!R34:R38),"")</f>
        <v/>
      </c>
      <c r="L34" t="str">
        <f>IFERROR(SUMPRODUCT('Feeders Raw Data'!L34:L53,'Feeders Raw Data'!Q34:Q53)/SUM('Feeders Raw Data'!Q34:Q53),"")</f>
        <v/>
      </c>
      <c r="M34">
        <f>IFERROR(SQRT((SUMSQ('Feeders Raw Data'!L34:L53)-2*SUMPRODUCT('Feeders Raw Data'!L34:L53,'Feeders Raw Data'!L35:L54)+SUMSQ('Feeders Raw Data'!L35:L54)-('Feeders Raw Data'!L34-'Feeders Raw Data'!L54)^2/20)/19),"")</f>
        <v>0</v>
      </c>
      <c r="O34">
        <f>IFERROR('Feeders Raw Data'!U34,"")</f>
        <v>0</v>
      </c>
      <c r="P34">
        <f>IFERROR('Feeders Raw Data'!Z34,"")</f>
        <v>0</v>
      </c>
      <c r="Q34">
        <f>IFERROR('Feeders Raw Data'!AB34-'Feeders Raw Data'!AB35,"")</f>
        <v>0</v>
      </c>
      <c r="R34" t="str">
        <f>IFERROR(AVERAGE('Feeders Raw Data'!AB34:AB38),"")</f>
        <v/>
      </c>
      <c r="S34" t="str">
        <f>IFERROR(SUMPRODUCT('Feeders Raw Data'!V34:V53,'Feeders Raw Data'!AA34:AA53)/SUM('Feeders Raw Data'!AA34:AA53),"")</f>
        <v/>
      </c>
      <c r="T34">
        <f>IFERROR(SQRT((SUMSQ('Feeders Raw Data'!V34:V53)-2*SUMPRODUCT('Feeders Raw Data'!V34:V53,'Feeders Raw Data'!V35:V54)+SUMSQ('Feeders Raw Data'!V35:V54)-('Feeders Raw Data'!V34-'Feeders Raw Data'!V54)^2/20)/19),"")</f>
        <v>0</v>
      </c>
      <c r="V34">
        <f>IFERROR('Feeders Raw Data'!AE34,"")</f>
        <v>0</v>
      </c>
      <c r="W34">
        <f>IFERROR('Feeders Raw Data'!AJ34,"")</f>
        <v>0</v>
      </c>
      <c r="X34">
        <f>IFERROR('Feeders Raw Data'!AL34-'Feeders Raw Data'!AL35,"")</f>
        <v>0</v>
      </c>
      <c r="Y34" t="str">
        <f>IFERROR(AVERAGE('Feeders Raw Data'!AL34:AL38),"")</f>
        <v/>
      </c>
      <c r="Z34" t="str">
        <f>IFERROR(SUMPRODUCT('Feeders Raw Data'!AF34:AF53,'Feeders Raw Data'!AK34:AK53)/SUM('Feeders Raw Data'!AK34:AK53),"")</f>
        <v/>
      </c>
      <c r="AA34">
        <f>IFERROR(SQRT((SUMSQ('Feeders Raw Data'!AF34:AF53)-2*SUMPRODUCT('Feeders Raw Data'!AF34:AF53,'Feeders Raw Data'!AF35:AF54)+SUMSQ('Feeders Raw Data'!AF35:AF54)-('Feeders Raw Data'!AF34-'Feeders Raw Data'!AF54)^2/20)/19),"")</f>
        <v>0</v>
      </c>
      <c r="AC34">
        <f>IFERROR('Feeders Raw Data'!AO34,"")</f>
        <v>0</v>
      </c>
      <c r="AD34">
        <f>IFERROR('Feeders Raw Data'!AT34,"")</f>
        <v>0</v>
      </c>
      <c r="AE34">
        <f>IFERROR('Feeders Raw Data'!AV34-'Feeders Raw Data'!AV35,"")</f>
        <v>0</v>
      </c>
      <c r="AF34" t="str">
        <f>IFERROR(AVERAGE('Feeders Raw Data'!AV34:AV38),"")</f>
        <v/>
      </c>
      <c r="AG34" t="str">
        <f>IFERROR(SUMPRODUCT('Feeders Raw Data'!AP34:AP53,'Feeders Raw Data'!AU34:AU53)/SUM('Feeders Raw Data'!AU34:AU53),"")</f>
        <v/>
      </c>
      <c r="AH34">
        <f>IFERROR(SQRT((SUMSQ('Feeders Raw Data'!AP34:AP53)-2*SUMPRODUCT('Feeders Raw Data'!AP34:AP53,'Feeders Raw Data'!AP35:AP54)+SUMSQ('Feeders Raw Data'!AP35:AP54)-('Feeders Raw Data'!AP34-'Feeders Raw Data'!AP54)^2/20)/19),"")</f>
        <v>0</v>
      </c>
      <c r="AJ34">
        <f>IFERROR('Feeders Raw Data'!AY34,"")</f>
        <v>0</v>
      </c>
      <c r="AK34">
        <f>IFERROR('Feeders Raw Data'!BD34,"")</f>
        <v>0</v>
      </c>
      <c r="AL34">
        <f>IFERROR('Feeders Raw Data'!BF34-'Feeders Raw Data'!BF35,"")</f>
        <v>0</v>
      </c>
      <c r="AM34" t="str">
        <f>IFERROR(AVERAGE('Feeders Raw Data'!BF34:BF38),"")</f>
        <v/>
      </c>
      <c r="AN34" t="str">
        <f>IFERROR(SUMPRODUCT('Feeders Raw Data'!AZ34:AZ53,'Feeders Raw Data'!BE34:BE53)/SUM('Feeders Raw Data'!BE34:BE53),"")</f>
        <v/>
      </c>
      <c r="AO34">
        <f>IFERROR(SQRT((SUMSQ('Feeders Raw Data'!AZ34:AZ53)-2*SUMPRODUCT('Feeders Raw Data'!AZ34:AZ53,'Feeders Raw Data'!AZ35:AZ54)+SUMSQ('Feeders Raw Data'!AZ35:AZ54)-('Feeders Raw Data'!AZ34-'Feeders Raw Data'!AZ54)^2/20)/19),"")</f>
        <v>0</v>
      </c>
      <c r="AQ34">
        <f>IFERROR('Feeders Raw Data'!BI34,"")</f>
        <v>0</v>
      </c>
      <c r="AR34">
        <f>IFERROR('Feeders Raw Data'!BN34,"")</f>
        <v>0</v>
      </c>
      <c r="AS34">
        <f>IFERROR('Feeders Raw Data'!BP34-'Feeders Raw Data'!BP35,"")</f>
        <v>0</v>
      </c>
      <c r="AT34" t="str">
        <f>IFERROR(AVERAGE('Feeders Raw Data'!BP34:BP38),"")</f>
        <v/>
      </c>
      <c r="AU34" t="str">
        <f>IFERROR(SUMPRODUCT('Feeders Raw Data'!BJ34:BJ53,'Feeders Raw Data'!BO34:BO53)/SUM('Feeders Raw Data'!BO34:BO53),"")</f>
        <v/>
      </c>
      <c r="AV34">
        <f>IFERROR(SQRT((SUMSQ('Feeders Raw Data'!BJ34:BJ53)-2*SUMPRODUCT('Feeders Raw Data'!BJ34:BJ53,'Feeders Raw Data'!BJ35:BJ54)+SUMSQ('Feeders Raw Data'!BJ35:BJ54)-('Feeders Raw Data'!BJ34-'Feeders Raw Data'!BJ54)^2/20)/19),"")</f>
        <v>0</v>
      </c>
      <c r="AX34">
        <f>IFERROR('Feeders Raw Data'!BS34,"")</f>
        <v>0</v>
      </c>
      <c r="AY34">
        <f>IFERROR('Feeders Raw Data'!BX34,"")</f>
        <v>0</v>
      </c>
      <c r="AZ34">
        <f>IFERROR('Feeders Raw Data'!BZ34-'Feeders Raw Data'!BZ35,"")</f>
        <v>0</v>
      </c>
      <c r="BA34" t="str">
        <f>IFERROR(AVERAGE('Feeders Raw Data'!BZ34:BZ38),"")</f>
        <v/>
      </c>
      <c r="BB34" t="str">
        <f>IFERROR(SUMPRODUCT('Feeders Raw Data'!BT34:BT53,'Feeders Raw Data'!BY34:BY53)/SUM('Feeders Raw Data'!BY34:BY53),"")</f>
        <v/>
      </c>
      <c r="BC34">
        <f>IFERROR(SQRT((SUMSQ('Feeders Raw Data'!BT34:BT53)-2*SUMPRODUCT('Feeders Raw Data'!BT34:BT53,'Feeders Raw Data'!BT35:BT54)+SUMSQ('Feeders Raw Data'!BT35:BT54)-('Feeders Raw Data'!BT34-'Feeders Raw Data'!BT54)^2/20)/19),"")</f>
        <v>0</v>
      </c>
      <c r="BE34">
        <f>IFERROR('Fats Raw Data'!A34,"")</f>
        <v>0</v>
      </c>
      <c r="BF34">
        <f>IFERROR('Fats Raw Data'!F34,"")</f>
        <v>0</v>
      </c>
      <c r="BG34">
        <f>IFERROR('Fats Raw Data'!H34-'Fats Raw Data'!H35,"")</f>
        <v>0</v>
      </c>
      <c r="BH34" t="str">
        <f>IFERROR(AVERAGE('Fats Raw Data'!H34:H38),"")</f>
        <v/>
      </c>
      <c r="BI34" t="str">
        <f>IFERROR(SUMPRODUCT('Fats Raw Data'!B34:B53,'Fats Raw Data'!G34:G53)/SUM('Fats Raw Data'!G34:G53),"")</f>
        <v/>
      </c>
      <c r="BJ34">
        <f>IFERROR(SQRT((SUMSQ('Fats Raw Data'!B34:B53)-2*SUMPRODUCT('Fats Raw Data'!B34:B53,'Fats Raw Data'!B35:B54)+SUMSQ('Fats Raw Data'!B35:B54)-('Fats Raw Data'!B34-'Fats Raw Data'!B54)^2/20)/19),"")</f>
        <v>0</v>
      </c>
      <c r="BL34">
        <f>IFERROR('Fats Raw Data'!K34,"")</f>
        <v>0</v>
      </c>
      <c r="BM34">
        <f>IFERROR('Fats Raw Data'!P34,"")</f>
        <v>0</v>
      </c>
      <c r="BN34">
        <f>IFERROR('Fats Raw Data'!R34-'Fats Raw Data'!R35,"")</f>
        <v>0</v>
      </c>
      <c r="BO34" t="str">
        <f>IFERROR(AVERAGE('Fats Raw Data'!R34:R38),"")</f>
        <v/>
      </c>
      <c r="BP34" t="str">
        <f>IFERROR(SUMPRODUCT('Fats Raw Data'!L34:L53,'Fats Raw Data'!Q34:Q53)/SUM('Fats Raw Data'!Q34:Q53),"")</f>
        <v/>
      </c>
      <c r="BQ34">
        <f>IFERROR(SQRT((SUMSQ('Fats Raw Data'!L34:L53)-2*SUMPRODUCT('Fats Raw Data'!L34:L53,'Fats Raw Data'!L35:L54)+SUMSQ('Fats Raw Data'!L35:L54)-('Fats Raw Data'!L34-'Fats Raw Data'!L54)^2/20)/19),"")</f>
        <v>0</v>
      </c>
      <c r="BS34">
        <f>IFERROR('Fats Raw Data'!U34,"")</f>
        <v>0</v>
      </c>
      <c r="BT34">
        <f>IFERROR('Fats Raw Data'!Z34,"")</f>
        <v>0</v>
      </c>
      <c r="BU34">
        <f>IFERROR('Fats Raw Data'!AB34-'Fats Raw Data'!AB35,"")</f>
        <v>0</v>
      </c>
      <c r="BV34" t="str">
        <f>IFERROR(AVERAGE('Fats Raw Data'!AB34:AB38),"")</f>
        <v/>
      </c>
      <c r="BW34" t="str">
        <f>IFERROR(SUMPRODUCT('Fats Raw Data'!V34:V53,'Fats Raw Data'!AA34:AA53)/SUM('Fats Raw Data'!AA34:AA53),"")</f>
        <v/>
      </c>
      <c r="BX34">
        <f>IFERROR(SQRT((SUMSQ('Fats Raw Data'!V34:V53)-2*SUMPRODUCT('Fats Raw Data'!V34:V53,'Fats Raw Data'!V35:V54)+SUMSQ('Fats Raw Data'!V35:V54)-('Fats Raw Data'!V34-'Fats Raw Data'!V54)^2/20)/19),"")</f>
        <v>0</v>
      </c>
      <c r="BZ34">
        <f>IFERROR('Fats Raw Data'!AE34,"")</f>
        <v>0</v>
      </c>
      <c r="CA34">
        <f>IFERROR('Fats Raw Data'!AJ34,"")</f>
        <v>0</v>
      </c>
      <c r="CB34">
        <f>IFERROR('Fats Raw Data'!AL34-'Fats Raw Data'!AL35,"")</f>
        <v>0</v>
      </c>
      <c r="CC34" t="str">
        <f>IFERROR(AVERAGE('Fats Raw Data'!AL34:AL38),"")</f>
        <v/>
      </c>
      <c r="CD34" t="str">
        <f>IFERROR(SUMPRODUCT('Fats Raw Data'!AF34:AF53,'Fats Raw Data'!AK34:AK53)/SUM('Fats Raw Data'!AK34:AK53),"")</f>
        <v/>
      </c>
      <c r="CE34">
        <f>IFERROR(SQRT((SUMSQ('Fats Raw Data'!AF34:AF53)-2*SUMPRODUCT('Fats Raw Data'!AF34:AF53,'Fats Raw Data'!AF35:AF54)+SUMSQ('Fats Raw Data'!AF35:AF54)-('Fats Raw Data'!AF34-'Fats Raw Data'!AF54)^2/20)/19),"")</f>
        <v>0</v>
      </c>
      <c r="CG34">
        <f>IFERROR('Fats Raw Data'!AO34,"")</f>
        <v>0</v>
      </c>
      <c r="CH34">
        <f>IFERROR('Fats Raw Data'!AT34,"")</f>
        <v>0</v>
      </c>
      <c r="CI34">
        <f>IFERROR('Fats Raw Data'!AV34-'Fats Raw Data'!AV35,"")</f>
        <v>0</v>
      </c>
      <c r="CJ34" t="str">
        <f>IFERROR(AVERAGE('Fats Raw Data'!AV34:AV38),"")</f>
        <v/>
      </c>
      <c r="CK34" t="str">
        <f>IFERROR(SUMPRODUCT('Fats Raw Data'!AP34:AP53,'Fats Raw Data'!AU34:AU53)/SUM('Fats Raw Data'!AU34:AU53),"")</f>
        <v/>
      </c>
      <c r="CL34">
        <f>IFERROR(SQRT((SUMSQ('Fats Raw Data'!AP34:AP53)-2*SUMPRODUCT('Fats Raw Data'!AP34:AP53,'Fats Raw Data'!AP35:AP54)+SUMSQ('Fats Raw Data'!AP35:AP54)-('Fats Raw Data'!AP34-'Fats Raw Data'!AP54)^2/20)/19),"")</f>
        <v>0</v>
      </c>
      <c r="CN34">
        <f>IFERROR('Fats Raw Data'!AY34,"")</f>
        <v>0</v>
      </c>
      <c r="CO34">
        <f>IFERROR('Fats Raw Data'!BD34,"")</f>
        <v>0</v>
      </c>
      <c r="CP34">
        <f>IFERROR('Fats Raw Data'!BF34-'Fats Raw Data'!BF35,"")</f>
        <v>0</v>
      </c>
      <c r="CQ34" t="str">
        <f>IFERROR(AVERAGE('Fats Raw Data'!BF34:BF38),"")</f>
        <v/>
      </c>
      <c r="CR34" t="str">
        <f>IFERROR(SUMPRODUCT('Fats Raw Data'!AZ34:AZ53,'Fats Raw Data'!BE34:BE53)/SUM('Fats Raw Data'!BE34:BE53),"")</f>
        <v/>
      </c>
      <c r="CS34">
        <f>IFERROR(SQRT((SUMSQ('Fats Raw Data'!AZ34:AZ53)-2*SUMPRODUCT('Fats Raw Data'!AZ34:AZ53,'Fats Raw Data'!AZ35:AZ54)+SUMSQ('Fats Raw Data'!AZ35:AZ54)-('Fats Raw Data'!AZ34-'Fats Raw Data'!AZ54)^2/20)/19),"")</f>
        <v>0</v>
      </c>
    </row>
    <row r="35" spans="1:97" x14ac:dyDescent="0.25">
      <c r="A35">
        <f>IFERROR('Feeders Raw Data'!A35,"")</f>
        <v>0</v>
      </c>
      <c r="B35">
        <f>IFERROR('Feeders Raw Data'!F35,"")</f>
        <v>0</v>
      </c>
      <c r="C35">
        <f>IFERROR('Feeders Raw Data'!H35-'Feeders Raw Data'!H36,"")</f>
        <v>0</v>
      </c>
      <c r="D35" t="str">
        <f>IFERROR(AVERAGE('Feeders Raw Data'!H35:H39),"")</f>
        <v/>
      </c>
      <c r="E35" t="str">
        <f>IFERROR(SUMPRODUCT('Feeders Raw Data'!B35:B54,'Feeders Raw Data'!G35:G54)/SUM('Feeders Raw Data'!G35:G54),"")</f>
        <v/>
      </c>
      <c r="F35">
        <f>IFERROR(SQRT((SUMSQ('Feeders Raw Data'!B35:B54)-2*SUMPRODUCT('Feeders Raw Data'!B35:B54,'Feeders Raw Data'!B36:B55)+SUMSQ('Feeders Raw Data'!B36:B55)-('Feeders Raw Data'!B35-'Feeders Raw Data'!B55)^2/20)/19),"")</f>
        <v>0</v>
      </c>
      <c r="H35">
        <f>IFERROR('Feeders Raw Data'!K35,"")</f>
        <v>0</v>
      </c>
      <c r="I35">
        <f>IFERROR('Feeders Raw Data'!P35,"")</f>
        <v>0</v>
      </c>
      <c r="J35">
        <f>IFERROR('Feeders Raw Data'!R35-'Feeders Raw Data'!R36,"")</f>
        <v>0</v>
      </c>
      <c r="K35" t="str">
        <f>IFERROR(AVERAGE('Feeders Raw Data'!R35:R39),"")</f>
        <v/>
      </c>
      <c r="L35" t="str">
        <f>IFERROR(SUMPRODUCT('Feeders Raw Data'!L35:L54,'Feeders Raw Data'!Q35:Q54)/SUM('Feeders Raw Data'!Q35:Q54),"")</f>
        <v/>
      </c>
      <c r="M35">
        <f>IFERROR(SQRT((SUMSQ('Feeders Raw Data'!L35:L54)-2*SUMPRODUCT('Feeders Raw Data'!L35:L54,'Feeders Raw Data'!L36:L55)+SUMSQ('Feeders Raw Data'!L36:L55)-('Feeders Raw Data'!L35-'Feeders Raw Data'!L55)^2/20)/19),"")</f>
        <v>0</v>
      </c>
      <c r="O35">
        <f>IFERROR('Feeders Raw Data'!U35,"")</f>
        <v>0</v>
      </c>
      <c r="P35">
        <f>IFERROR('Feeders Raw Data'!Z35,"")</f>
        <v>0</v>
      </c>
      <c r="Q35">
        <f>IFERROR('Feeders Raw Data'!AB35-'Feeders Raw Data'!AB36,"")</f>
        <v>0</v>
      </c>
      <c r="R35" t="str">
        <f>IFERROR(AVERAGE('Feeders Raw Data'!AB35:AB39),"")</f>
        <v/>
      </c>
      <c r="S35" t="str">
        <f>IFERROR(SUMPRODUCT('Feeders Raw Data'!V35:V54,'Feeders Raw Data'!AA35:AA54)/SUM('Feeders Raw Data'!AA35:AA54),"")</f>
        <v/>
      </c>
      <c r="T35">
        <f>IFERROR(SQRT((SUMSQ('Feeders Raw Data'!V35:V54)-2*SUMPRODUCT('Feeders Raw Data'!V35:V54,'Feeders Raw Data'!V36:V55)+SUMSQ('Feeders Raw Data'!V36:V55)-('Feeders Raw Data'!V35-'Feeders Raw Data'!V55)^2/20)/19),"")</f>
        <v>0</v>
      </c>
      <c r="V35">
        <f>IFERROR('Feeders Raw Data'!AE35,"")</f>
        <v>0</v>
      </c>
      <c r="W35">
        <f>IFERROR('Feeders Raw Data'!AJ35,"")</f>
        <v>0</v>
      </c>
      <c r="X35">
        <f>IFERROR('Feeders Raw Data'!AL35-'Feeders Raw Data'!AL36,"")</f>
        <v>0</v>
      </c>
      <c r="Y35" t="str">
        <f>IFERROR(AVERAGE('Feeders Raw Data'!AL35:AL39),"")</f>
        <v/>
      </c>
      <c r="Z35" t="str">
        <f>IFERROR(SUMPRODUCT('Feeders Raw Data'!AF35:AF54,'Feeders Raw Data'!AK35:AK54)/SUM('Feeders Raw Data'!AK35:AK54),"")</f>
        <v/>
      </c>
      <c r="AA35">
        <f>IFERROR(SQRT((SUMSQ('Feeders Raw Data'!AF35:AF54)-2*SUMPRODUCT('Feeders Raw Data'!AF35:AF54,'Feeders Raw Data'!AF36:AF55)+SUMSQ('Feeders Raw Data'!AF36:AF55)-('Feeders Raw Data'!AF35-'Feeders Raw Data'!AF55)^2/20)/19),"")</f>
        <v>0</v>
      </c>
      <c r="AC35">
        <f>IFERROR('Feeders Raw Data'!AO35,"")</f>
        <v>0</v>
      </c>
      <c r="AD35">
        <f>IFERROR('Feeders Raw Data'!AT35,"")</f>
        <v>0</v>
      </c>
      <c r="AE35">
        <f>IFERROR('Feeders Raw Data'!AV35-'Feeders Raw Data'!AV36,"")</f>
        <v>0</v>
      </c>
      <c r="AF35" t="str">
        <f>IFERROR(AVERAGE('Feeders Raw Data'!AV35:AV39),"")</f>
        <v/>
      </c>
      <c r="AG35" t="str">
        <f>IFERROR(SUMPRODUCT('Feeders Raw Data'!AP35:AP54,'Feeders Raw Data'!AU35:AU54)/SUM('Feeders Raw Data'!AU35:AU54),"")</f>
        <v/>
      </c>
      <c r="AH35">
        <f>IFERROR(SQRT((SUMSQ('Feeders Raw Data'!AP35:AP54)-2*SUMPRODUCT('Feeders Raw Data'!AP35:AP54,'Feeders Raw Data'!AP36:AP55)+SUMSQ('Feeders Raw Data'!AP36:AP55)-('Feeders Raw Data'!AP35-'Feeders Raw Data'!AP55)^2/20)/19),"")</f>
        <v>0</v>
      </c>
      <c r="AJ35">
        <f>IFERROR('Feeders Raw Data'!AY35,"")</f>
        <v>0</v>
      </c>
      <c r="AK35">
        <f>IFERROR('Feeders Raw Data'!BD35,"")</f>
        <v>0</v>
      </c>
      <c r="AL35">
        <f>IFERROR('Feeders Raw Data'!BF35-'Feeders Raw Data'!BF36,"")</f>
        <v>0</v>
      </c>
      <c r="AM35" t="str">
        <f>IFERROR(AVERAGE('Feeders Raw Data'!BF35:BF39),"")</f>
        <v/>
      </c>
      <c r="AN35" t="str">
        <f>IFERROR(SUMPRODUCT('Feeders Raw Data'!AZ35:AZ54,'Feeders Raw Data'!BE35:BE54)/SUM('Feeders Raw Data'!BE35:BE54),"")</f>
        <v/>
      </c>
      <c r="AO35">
        <f>IFERROR(SQRT((SUMSQ('Feeders Raw Data'!AZ35:AZ54)-2*SUMPRODUCT('Feeders Raw Data'!AZ35:AZ54,'Feeders Raw Data'!AZ36:AZ55)+SUMSQ('Feeders Raw Data'!AZ36:AZ55)-('Feeders Raw Data'!AZ35-'Feeders Raw Data'!AZ55)^2/20)/19),"")</f>
        <v>0</v>
      </c>
      <c r="AQ35">
        <f>IFERROR('Feeders Raw Data'!BI35,"")</f>
        <v>0</v>
      </c>
      <c r="AR35">
        <f>IFERROR('Feeders Raw Data'!BN35,"")</f>
        <v>0</v>
      </c>
      <c r="AS35">
        <f>IFERROR('Feeders Raw Data'!BP35-'Feeders Raw Data'!BP36,"")</f>
        <v>0</v>
      </c>
      <c r="AT35" t="str">
        <f>IFERROR(AVERAGE('Feeders Raw Data'!BP35:BP39),"")</f>
        <v/>
      </c>
      <c r="AU35" t="str">
        <f>IFERROR(SUMPRODUCT('Feeders Raw Data'!BJ35:BJ54,'Feeders Raw Data'!BO35:BO54)/SUM('Feeders Raw Data'!BO35:BO54),"")</f>
        <v/>
      </c>
      <c r="AV35">
        <f>IFERROR(SQRT((SUMSQ('Feeders Raw Data'!BJ35:BJ54)-2*SUMPRODUCT('Feeders Raw Data'!BJ35:BJ54,'Feeders Raw Data'!BJ36:BJ55)+SUMSQ('Feeders Raw Data'!BJ36:BJ55)-('Feeders Raw Data'!BJ35-'Feeders Raw Data'!BJ55)^2/20)/19),"")</f>
        <v>0</v>
      </c>
      <c r="AX35">
        <f>IFERROR('Feeders Raw Data'!BS35,"")</f>
        <v>0</v>
      </c>
      <c r="AY35">
        <f>IFERROR('Feeders Raw Data'!BX35,"")</f>
        <v>0</v>
      </c>
      <c r="AZ35">
        <f>IFERROR('Feeders Raw Data'!BZ35-'Feeders Raw Data'!BZ36,"")</f>
        <v>0</v>
      </c>
      <c r="BA35" t="str">
        <f>IFERROR(AVERAGE('Feeders Raw Data'!BZ35:BZ39),"")</f>
        <v/>
      </c>
      <c r="BB35" t="str">
        <f>IFERROR(SUMPRODUCT('Feeders Raw Data'!BT35:BT54,'Feeders Raw Data'!BY35:BY54)/SUM('Feeders Raw Data'!BY35:BY54),"")</f>
        <v/>
      </c>
      <c r="BC35">
        <f>IFERROR(SQRT((SUMSQ('Feeders Raw Data'!BT35:BT54)-2*SUMPRODUCT('Feeders Raw Data'!BT35:BT54,'Feeders Raw Data'!BT36:BT55)+SUMSQ('Feeders Raw Data'!BT36:BT55)-('Feeders Raw Data'!BT35-'Feeders Raw Data'!BT55)^2/20)/19),"")</f>
        <v>0</v>
      </c>
      <c r="BE35">
        <f>IFERROR('Fats Raw Data'!A35,"")</f>
        <v>0</v>
      </c>
      <c r="BF35">
        <f>IFERROR('Fats Raw Data'!F35,"")</f>
        <v>0</v>
      </c>
      <c r="BG35">
        <f>IFERROR('Fats Raw Data'!H35-'Fats Raw Data'!H36,"")</f>
        <v>0</v>
      </c>
      <c r="BH35" t="str">
        <f>IFERROR(AVERAGE('Fats Raw Data'!H35:H39),"")</f>
        <v/>
      </c>
      <c r="BI35" t="str">
        <f>IFERROR(SUMPRODUCT('Fats Raw Data'!B35:B54,'Fats Raw Data'!G35:G54)/SUM('Fats Raw Data'!G35:G54),"")</f>
        <v/>
      </c>
      <c r="BJ35">
        <f>IFERROR(SQRT((SUMSQ('Fats Raw Data'!B35:B54)-2*SUMPRODUCT('Fats Raw Data'!B35:B54,'Fats Raw Data'!B36:B55)+SUMSQ('Fats Raw Data'!B36:B55)-('Fats Raw Data'!B35-'Fats Raw Data'!B55)^2/20)/19),"")</f>
        <v>0</v>
      </c>
      <c r="BL35">
        <f>IFERROR('Fats Raw Data'!K35,"")</f>
        <v>0</v>
      </c>
      <c r="BM35">
        <f>IFERROR('Fats Raw Data'!P35,"")</f>
        <v>0</v>
      </c>
      <c r="BN35">
        <f>IFERROR('Fats Raw Data'!R35-'Fats Raw Data'!R36,"")</f>
        <v>0</v>
      </c>
      <c r="BO35" t="str">
        <f>IFERROR(AVERAGE('Fats Raw Data'!R35:R39),"")</f>
        <v/>
      </c>
      <c r="BP35" t="str">
        <f>IFERROR(SUMPRODUCT('Fats Raw Data'!L35:L54,'Fats Raw Data'!Q35:Q54)/SUM('Fats Raw Data'!Q35:Q54),"")</f>
        <v/>
      </c>
      <c r="BQ35">
        <f>IFERROR(SQRT((SUMSQ('Fats Raw Data'!L35:L54)-2*SUMPRODUCT('Fats Raw Data'!L35:L54,'Fats Raw Data'!L36:L55)+SUMSQ('Fats Raw Data'!L36:L55)-('Fats Raw Data'!L35-'Fats Raw Data'!L55)^2/20)/19),"")</f>
        <v>0</v>
      </c>
      <c r="BS35">
        <f>IFERROR('Fats Raw Data'!U35,"")</f>
        <v>0</v>
      </c>
      <c r="BT35">
        <f>IFERROR('Fats Raw Data'!Z35,"")</f>
        <v>0</v>
      </c>
      <c r="BU35">
        <f>IFERROR('Fats Raw Data'!AB35-'Fats Raw Data'!AB36,"")</f>
        <v>0</v>
      </c>
      <c r="BV35" t="str">
        <f>IFERROR(AVERAGE('Fats Raw Data'!AB35:AB39),"")</f>
        <v/>
      </c>
      <c r="BW35" t="str">
        <f>IFERROR(SUMPRODUCT('Fats Raw Data'!V35:V54,'Fats Raw Data'!AA35:AA54)/SUM('Fats Raw Data'!AA35:AA54),"")</f>
        <v/>
      </c>
      <c r="BX35">
        <f>IFERROR(SQRT((SUMSQ('Fats Raw Data'!V35:V54)-2*SUMPRODUCT('Fats Raw Data'!V35:V54,'Fats Raw Data'!V36:V55)+SUMSQ('Fats Raw Data'!V36:V55)-('Fats Raw Data'!V35-'Fats Raw Data'!V55)^2/20)/19),"")</f>
        <v>0</v>
      </c>
      <c r="BZ35">
        <f>IFERROR('Fats Raw Data'!AE35,"")</f>
        <v>0</v>
      </c>
      <c r="CA35">
        <f>IFERROR('Fats Raw Data'!AJ35,"")</f>
        <v>0</v>
      </c>
      <c r="CB35">
        <f>IFERROR('Fats Raw Data'!AL35-'Fats Raw Data'!AL36,"")</f>
        <v>0</v>
      </c>
      <c r="CC35" t="str">
        <f>IFERROR(AVERAGE('Fats Raw Data'!AL35:AL39),"")</f>
        <v/>
      </c>
      <c r="CD35" t="str">
        <f>IFERROR(SUMPRODUCT('Fats Raw Data'!AF35:AF54,'Fats Raw Data'!AK35:AK54)/SUM('Fats Raw Data'!AK35:AK54),"")</f>
        <v/>
      </c>
      <c r="CE35">
        <f>IFERROR(SQRT((SUMSQ('Fats Raw Data'!AF35:AF54)-2*SUMPRODUCT('Fats Raw Data'!AF35:AF54,'Fats Raw Data'!AF36:AF55)+SUMSQ('Fats Raw Data'!AF36:AF55)-('Fats Raw Data'!AF35-'Fats Raw Data'!AF55)^2/20)/19),"")</f>
        <v>0</v>
      </c>
      <c r="CG35">
        <f>IFERROR('Fats Raw Data'!AO35,"")</f>
        <v>0</v>
      </c>
      <c r="CH35">
        <f>IFERROR('Fats Raw Data'!AT35,"")</f>
        <v>0</v>
      </c>
      <c r="CI35">
        <f>IFERROR('Fats Raw Data'!AV35-'Fats Raw Data'!AV36,"")</f>
        <v>0</v>
      </c>
      <c r="CJ35" t="str">
        <f>IFERROR(AVERAGE('Fats Raw Data'!AV35:AV39),"")</f>
        <v/>
      </c>
      <c r="CK35" t="str">
        <f>IFERROR(SUMPRODUCT('Fats Raw Data'!AP35:AP54,'Fats Raw Data'!AU35:AU54)/SUM('Fats Raw Data'!AU35:AU54),"")</f>
        <v/>
      </c>
      <c r="CL35">
        <f>IFERROR(SQRT((SUMSQ('Fats Raw Data'!AP35:AP54)-2*SUMPRODUCT('Fats Raw Data'!AP35:AP54,'Fats Raw Data'!AP36:AP55)+SUMSQ('Fats Raw Data'!AP36:AP55)-('Fats Raw Data'!AP35-'Fats Raw Data'!AP55)^2/20)/19),"")</f>
        <v>0</v>
      </c>
      <c r="CN35">
        <f>IFERROR('Fats Raw Data'!AY35,"")</f>
        <v>0</v>
      </c>
      <c r="CO35">
        <f>IFERROR('Fats Raw Data'!BD35,"")</f>
        <v>0</v>
      </c>
      <c r="CP35">
        <f>IFERROR('Fats Raw Data'!BF35-'Fats Raw Data'!BF36,"")</f>
        <v>0</v>
      </c>
      <c r="CQ35" t="str">
        <f>IFERROR(AVERAGE('Fats Raw Data'!BF35:BF39),"")</f>
        <v/>
      </c>
      <c r="CR35" t="str">
        <f>IFERROR(SUMPRODUCT('Fats Raw Data'!AZ35:AZ54,'Fats Raw Data'!BE35:BE54)/SUM('Fats Raw Data'!BE35:BE54),"")</f>
        <v/>
      </c>
      <c r="CS35">
        <f>IFERROR(SQRT((SUMSQ('Fats Raw Data'!AZ35:AZ54)-2*SUMPRODUCT('Fats Raw Data'!AZ35:AZ54,'Fats Raw Data'!AZ36:AZ55)+SUMSQ('Fats Raw Data'!AZ36:AZ55)-('Fats Raw Data'!AZ35-'Fats Raw Data'!AZ55)^2/20)/19),"")</f>
        <v>0</v>
      </c>
    </row>
    <row r="36" spans="1:97" x14ac:dyDescent="0.25">
      <c r="A36">
        <f>IFERROR('Feeders Raw Data'!A36,"")</f>
        <v>0</v>
      </c>
      <c r="B36">
        <f>IFERROR('Feeders Raw Data'!F36,"")</f>
        <v>0</v>
      </c>
      <c r="C36">
        <f>IFERROR('Feeders Raw Data'!H36-'Feeders Raw Data'!H37,"")</f>
        <v>0</v>
      </c>
      <c r="D36" t="str">
        <f>IFERROR(AVERAGE('Feeders Raw Data'!H36:H40),"")</f>
        <v/>
      </c>
      <c r="E36" t="str">
        <f>IFERROR(SUMPRODUCT('Feeders Raw Data'!B36:B55,'Feeders Raw Data'!G36:G55)/SUM('Feeders Raw Data'!G36:G55),"")</f>
        <v/>
      </c>
      <c r="F36">
        <f>IFERROR(SQRT((SUMSQ('Feeders Raw Data'!B36:B55)-2*SUMPRODUCT('Feeders Raw Data'!B36:B55,'Feeders Raw Data'!B37:B56)+SUMSQ('Feeders Raw Data'!B37:B56)-('Feeders Raw Data'!B36-'Feeders Raw Data'!B56)^2/20)/19),"")</f>
        <v>0</v>
      </c>
      <c r="H36">
        <f>IFERROR('Feeders Raw Data'!K36,"")</f>
        <v>0</v>
      </c>
      <c r="I36">
        <f>IFERROR('Feeders Raw Data'!P36,"")</f>
        <v>0</v>
      </c>
      <c r="J36">
        <f>IFERROR('Feeders Raw Data'!R36-'Feeders Raw Data'!R37,"")</f>
        <v>0</v>
      </c>
      <c r="K36" t="str">
        <f>IFERROR(AVERAGE('Feeders Raw Data'!R36:R40),"")</f>
        <v/>
      </c>
      <c r="L36" t="str">
        <f>IFERROR(SUMPRODUCT('Feeders Raw Data'!L36:L55,'Feeders Raw Data'!Q36:Q55)/SUM('Feeders Raw Data'!Q36:Q55),"")</f>
        <v/>
      </c>
      <c r="M36">
        <f>IFERROR(SQRT((SUMSQ('Feeders Raw Data'!L36:L55)-2*SUMPRODUCT('Feeders Raw Data'!L36:L55,'Feeders Raw Data'!L37:L56)+SUMSQ('Feeders Raw Data'!L37:L56)-('Feeders Raw Data'!L36-'Feeders Raw Data'!L56)^2/20)/19),"")</f>
        <v>0</v>
      </c>
      <c r="O36">
        <f>IFERROR('Feeders Raw Data'!U36,"")</f>
        <v>0</v>
      </c>
      <c r="P36">
        <f>IFERROR('Feeders Raw Data'!Z36,"")</f>
        <v>0</v>
      </c>
      <c r="Q36">
        <f>IFERROR('Feeders Raw Data'!AB36-'Feeders Raw Data'!AB37,"")</f>
        <v>0</v>
      </c>
      <c r="R36" t="str">
        <f>IFERROR(AVERAGE('Feeders Raw Data'!AB36:AB40),"")</f>
        <v/>
      </c>
      <c r="S36" t="str">
        <f>IFERROR(SUMPRODUCT('Feeders Raw Data'!V36:V55,'Feeders Raw Data'!AA36:AA55)/SUM('Feeders Raw Data'!AA36:AA55),"")</f>
        <v/>
      </c>
      <c r="T36">
        <f>IFERROR(SQRT((SUMSQ('Feeders Raw Data'!V36:V55)-2*SUMPRODUCT('Feeders Raw Data'!V36:V55,'Feeders Raw Data'!V37:V56)+SUMSQ('Feeders Raw Data'!V37:V56)-('Feeders Raw Data'!V36-'Feeders Raw Data'!V56)^2/20)/19),"")</f>
        <v>0</v>
      </c>
      <c r="V36">
        <f>IFERROR('Feeders Raw Data'!AE36,"")</f>
        <v>0</v>
      </c>
      <c r="W36">
        <f>IFERROR('Feeders Raw Data'!AJ36,"")</f>
        <v>0</v>
      </c>
      <c r="X36">
        <f>IFERROR('Feeders Raw Data'!AL36-'Feeders Raw Data'!AL37,"")</f>
        <v>0</v>
      </c>
      <c r="Y36" t="str">
        <f>IFERROR(AVERAGE('Feeders Raw Data'!AL36:AL40),"")</f>
        <v/>
      </c>
      <c r="Z36" t="str">
        <f>IFERROR(SUMPRODUCT('Feeders Raw Data'!AF36:AF55,'Feeders Raw Data'!AK36:AK55)/SUM('Feeders Raw Data'!AK36:AK55),"")</f>
        <v/>
      </c>
      <c r="AA36">
        <f>IFERROR(SQRT((SUMSQ('Feeders Raw Data'!AF36:AF55)-2*SUMPRODUCT('Feeders Raw Data'!AF36:AF55,'Feeders Raw Data'!AF37:AF56)+SUMSQ('Feeders Raw Data'!AF37:AF56)-('Feeders Raw Data'!AF36-'Feeders Raw Data'!AF56)^2/20)/19),"")</f>
        <v>0</v>
      </c>
      <c r="AC36">
        <f>IFERROR('Feeders Raw Data'!AO36,"")</f>
        <v>0</v>
      </c>
      <c r="AD36">
        <f>IFERROR('Feeders Raw Data'!AT36,"")</f>
        <v>0</v>
      </c>
      <c r="AE36">
        <f>IFERROR('Feeders Raw Data'!AV36-'Feeders Raw Data'!AV37,"")</f>
        <v>0</v>
      </c>
      <c r="AF36" t="str">
        <f>IFERROR(AVERAGE('Feeders Raw Data'!AV36:AV40),"")</f>
        <v/>
      </c>
      <c r="AG36" t="str">
        <f>IFERROR(SUMPRODUCT('Feeders Raw Data'!AP36:AP55,'Feeders Raw Data'!AU36:AU55)/SUM('Feeders Raw Data'!AU36:AU55),"")</f>
        <v/>
      </c>
      <c r="AH36">
        <f>IFERROR(SQRT((SUMSQ('Feeders Raw Data'!AP36:AP55)-2*SUMPRODUCT('Feeders Raw Data'!AP36:AP55,'Feeders Raw Data'!AP37:AP56)+SUMSQ('Feeders Raw Data'!AP37:AP56)-('Feeders Raw Data'!AP36-'Feeders Raw Data'!AP56)^2/20)/19),"")</f>
        <v>0</v>
      </c>
      <c r="AJ36">
        <f>IFERROR('Feeders Raw Data'!AY36,"")</f>
        <v>0</v>
      </c>
      <c r="AK36">
        <f>IFERROR('Feeders Raw Data'!BD36,"")</f>
        <v>0</v>
      </c>
      <c r="AL36">
        <f>IFERROR('Feeders Raw Data'!BF36-'Feeders Raw Data'!BF37,"")</f>
        <v>0</v>
      </c>
      <c r="AM36" t="str">
        <f>IFERROR(AVERAGE('Feeders Raw Data'!BF36:BF40),"")</f>
        <v/>
      </c>
      <c r="AN36" t="str">
        <f>IFERROR(SUMPRODUCT('Feeders Raw Data'!AZ36:AZ55,'Feeders Raw Data'!BE36:BE55)/SUM('Feeders Raw Data'!BE36:BE55),"")</f>
        <v/>
      </c>
      <c r="AO36">
        <f>IFERROR(SQRT((SUMSQ('Feeders Raw Data'!AZ36:AZ55)-2*SUMPRODUCT('Feeders Raw Data'!AZ36:AZ55,'Feeders Raw Data'!AZ37:AZ56)+SUMSQ('Feeders Raw Data'!AZ37:AZ56)-('Feeders Raw Data'!AZ36-'Feeders Raw Data'!AZ56)^2/20)/19),"")</f>
        <v>0</v>
      </c>
      <c r="AQ36">
        <f>IFERROR('Feeders Raw Data'!BI36,"")</f>
        <v>0</v>
      </c>
      <c r="AR36">
        <f>IFERROR('Feeders Raw Data'!BN36,"")</f>
        <v>0</v>
      </c>
      <c r="AS36">
        <f>IFERROR('Feeders Raw Data'!BP36-'Feeders Raw Data'!BP37,"")</f>
        <v>0</v>
      </c>
      <c r="AT36" t="str">
        <f>IFERROR(AVERAGE('Feeders Raw Data'!BP36:BP40),"")</f>
        <v/>
      </c>
      <c r="AU36" t="str">
        <f>IFERROR(SUMPRODUCT('Feeders Raw Data'!BJ36:BJ55,'Feeders Raw Data'!BO36:BO55)/SUM('Feeders Raw Data'!BO36:BO55),"")</f>
        <v/>
      </c>
      <c r="AV36">
        <f>IFERROR(SQRT((SUMSQ('Feeders Raw Data'!BJ36:BJ55)-2*SUMPRODUCT('Feeders Raw Data'!BJ36:BJ55,'Feeders Raw Data'!BJ37:BJ56)+SUMSQ('Feeders Raw Data'!BJ37:BJ56)-('Feeders Raw Data'!BJ36-'Feeders Raw Data'!BJ56)^2/20)/19),"")</f>
        <v>0</v>
      </c>
      <c r="AX36">
        <f>IFERROR('Feeders Raw Data'!BS36,"")</f>
        <v>0</v>
      </c>
      <c r="AY36">
        <f>IFERROR('Feeders Raw Data'!BX36,"")</f>
        <v>0</v>
      </c>
      <c r="AZ36">
        <f>IFERROR('Feeders Raw Data'!BZ36-'Feeders Raw Data'!BZ37,"")</f>
        <v>0</v>
      </c>
      <c r="BA36" t="str">
        <f>IFERROR(AVERAGE('Feeders Raw Data'!BZ36:BZ40),"")</f>
        <v/>
      </c>
      <c r="BB36" t="str">
        <f>IFERROR(SUMPRODUCT('Feeders Raw Data'!BT36:BT55,'Feeders Raw Data'!BY36:BY55)/SUM('Feeders Raw Data'!BY36:BY55),"")</f>
        <v/>
      </c>
      <c r="BC36">
        <f>IFERROR(SQRT((SUMSQ('Feeders Raw Data'!BT36:BT55)-2*SUMPRODUCT('Feeders Raw Data'!BT36:BT55,'Feeders Raw Data'!BT37:BT56)+SUMSQ('Feeders Raw Data'!BT37:BT56)-('Feeders Raw Data'!BT36-'Feeders Raw Data'!BT56)^2/20)/19),"")</f>
        <v>0</v>
      </c>
      <c r="BE36">
        <f>IFERROR('Fats Raw Data'!A36,"")</f>
        <v>0</v>
      </c>
      <c r="BF36">
        <f>IFERROR('Fats Raw Data'!F36,"")</f>
        <v>0</v>
      </c>
      <c r="BG36">
        <f>IFERROR('Fats Raw Data'!H36-'Fats Raw Data'!H37,"")</f>
        <v>0</v>
      </c>
      <c r="BH36" t="str">
        <f>IFERROR(AVERAGE('Fats Raw Data'!H36:H40),"")</f>
        <v/>
      </c>
      <c r="BI36" t="str">
        <f>IFERROR(SUMPRODUCT('Fats Raw Data'!B36:B55,'Fats Raw Data'!G36:G55)/SUM('Fats Raw Data'!G36:G55),"")</f>
        <v/>
      </c>
      <c r="BJ36">
        <f>IFERROR(SQRT((SUMSQ('Fats Raw Data'!B36:B55)-2*SUMPRODUCT('Fats Raw Data'!B36:B55,'Fats Raw Data'!B37:B56)+SUMSQ('Fats Raw Data'!B37:B56)-('Fats Raw Data'!B36-'Fats Raw Data'!B56)^2/20)/19),"")</f>
        <v>0</v>
      </c>
      <c r="BL36">
        <f>IFERROR('Fats Raw Data'!K36,"")</f>
        <v>0</v>
      </c>
      <c r="BM36">
        <f>IFERROR('Fats Raw Data'!P36,"")</f>
        <v>0</v>
      </c>
      <c r="BN36">
        <f>IFERROR('Fats Raw Data'!R36-'Fats Raw Data'!R37,"")</f>
        <v>0</v>
      </c>
      <c r="BO36" t="str">
        <f>IFERROR(AVERAGE('Fats Raw Data'!R36:R40),"")</f>
        <v/>
      </c>
      <c r="BP36" t="str">
        <f>IFERROR(SUMPRODUCT('Fats Raw Data'!L36:L55,'Fats Raw Data'!Q36:Q55)/SUM('Fats Raw Data'!Q36:Q55),"")</f>
        <v/>
      </c>
      <c r="BQ36">
        <f>IFERROR(SQRT((SUMSQ('Fats Raw Data'!L36:L55)-2*SUMPRODUCT('Fats Raw Data'!L36:L55,'Fats Raw Data'!L37:L56)+SUMSQ('Fats Raw Data'!L37:L56)-('Fats Raw Data'!L36-'Fats Raw Data'!L56)^2/20)/19),"")</f>
        <v>0</v>
      </c>
      <c r="BS36">
        <f>IFERROR('Fats Raw Data'!U36,"")</f>
        <v>0</v>
      </c>
      <c r="BT36">
        <f>IFERROR('Fats Raw Data'!Z36,"")</f>
        <v>0</v>
      </c>
      <c r="BU36">
        <f>IFERROR('Fats Raw Data'!AB36-'Fats Raw Data'!AB37,"")</f>
        <v>0</v>
      </c>
      <c r="BV36" t="str">
        <f>IFERROR(AVERAGE('Fats Raw Data'!AB36:AB40),"")</f>
        <v/>
      </c>
      <c r="BW36" t="str">
        <f>IFERROR(SUMPRODUCT('Fats Raw Data'!V36:V55,'Fats Raw Data'!AA36:AA55)/SUM('Fats Raw Data'!AA36:AA55),"")</f>
        <v/>
      </c>
      <c r="BX36">
        <f>IFERROR(SQRT((SUMSQ('Fats Raw Data'!V36:V55)-2*SUMPRODUCT('Fats Raw Data'!V36:V55,'Fats Raw Data'!V37:V56)+SUMSQ('Fats Raw Data'!V37:V56)-('Fats Raw Data'!V36-'Fats Raw Data'!V56)^2/20)/19),"")</f>
        <v>0</v>
      </c>
      <c r="BZ36">
        <f>IFERROR('Fats Raw Data'!AE36,"")</f>
        <v>0</v>
      </c>
      <c r="CA36">
        <f>IFERROR('Fats Raw Data'!AJ36,"")</f>
        <v>0</v>
      </c>
      <c r="CB36">
        <f>IFERROR('Fats Raw Data'!AL36-'Fats Raw Data'!AL37,"")</f>
        <v>0</v>
      </c>
      <c r="CC36" t="str">
        <f>IFERROR(AVERAGE('Fats Raw Data'!AL36:AL40),"")</f>
        <v/>
      </c>
      <c r="CD36" t="str">
        <f>IFERROR(SUMPRODUCT('Fats Raw Data'!AF36:AF55,'Fats Raw Data'!AK36:AK55)/SUM('Fats Raw Data'!AK36:AK55),"")</f>
        <v/>
      </c>
      <c r="CE36">
        <f>IFERROR(SQRT((SUMSQ('Fats Raw Data'!AF36:AF55)-2*SUMPRODUCT('Fats Raw Data'!AF36:AF55,'Fats Raw Data'!AF37:AF56)+SUMSQ('Fats Raw Data'!AF37:AF56)-('Fats Raw Data'!AF36-'Fats Raw Data'!AF56)^2/20)/19),"")</f>
        <v>0</v>
      </c>
      <c r="CG36">
        <f>IFERROR('Fats Raw Data'!AO36,"")</f>
        <v>0</v>
      </c>
      <c r="CH36">
        <f>IFERROR('Fats Raw Data'!AT36,"")</f>
        <v>0</v>
      </c>
      <c r="CI36">
        <f>IFERROR('Fats Raw Data'!AV36-'Fats Raw Data'!AV37,"")</f>
        <v>0</v>
      </c>
      <c r="CJ36" t="str">
        <f>IFERROR(AVERAGE('Fats Raw Data'!AV36:AV40),"")</f>
        <v/>
      </c>
      <c r="CK36" t="str">
        <f>IFERROR(SUMPRODUCT('Fats Raw Data'!AP36:AP55,'Fats Raw Data'!AU36:AU55)/SUM('Fats Raw Data'!AU36:AU55),"")</f>
        <v/>
      </c>
      <c r="CL36">
        <f>IFERROR(SQRT((SUMSQ('Fats Raw Data'!AP36:AP55)-2*SUMPRODUCT('Fats Raw Data'!AP36:AP55,'Fats Raw Data'!AP37:AP56)+SUMSQ('Fats Raw Data'!AP37:AP56)-('Fats Raw Data'!AP36-'Fats Raw Data'!AP56)^2/20)/19),"")</f>
        <v>0</v>
      </c>
      <c r="CN36">
        <f>IFERROR('Fats Raw Data'!AY36,"")</f>
        <v>0</v>
      </c>
      <c r="CO36">
        <f>IFERROR('Fats Raw Data'!BD36,"")</f>
        <v>0</v>
      </c>
      <c r="CP36">
        <f>IFERROR('Fats Raw Data'!BF36-'Fats Raw Data'!BF37,"")</f>
        <v>0</v>
      </c>
      <c r="CQ36" t="str">
        <f>IFERROR(AVERAGE('Fats Raw Data'!BF36:BF40),"")</f>
        <v/>
      </c>
      <c r="CR36" t="str">
        <f>IFERROR(SUMPRODUCT('Fats Raw Data'!AZ36:AZ55,'Fats Raw Data'!BE36:BE55)/SUM('Fats Raw Data'!BE36:BE55),"")</f>
        <v/>
      </c>
      <c r="CS36">
        <f>IFERROR(SQRT((SUMSQ('Fats Raw Data'!AZ36:AZ55)-2*SUMPRODUCT('Fats Raw Data'!AZ36:AZ55,'Fats Raw Data'!AZ37:AZ56)+SUMSQ('Fats Raw Data'!AZ37:AZ56)-('Fats Raw Data'!AZ36-'Fats Raw Data'!AZ56)^2/20)/19),"")</f>
        <v>0</v>
      </c>
    </row>
    <row r="37" spans="1:97" x14ac:dyDescent="0.25">
      <c r="A37">
        <f>IFERROR('Feeders Raw Data'!A37,"")</f>
        <v>0</v>
      </c>
      <c r="B37">
        <f>IFERROR('Feeders Raw Data'!F37,"")</f>
        <v>0</v>
      </c>
      <c r="C37">
        <f>IFERROR('Feeders Raw Data'!H37-'Feeders Raw Data'!H38,"")</f>
        <v>0</v>
      </c>
      <c r="D37" t="str">
        <f>IFERROR(AVERAGE('Feeders Raw Data'!H37:H41),"")</f>
        <v/>
      </c>
      <c r="E37" t="str">
        <f>IFERROR(SUMPRODUCT('Feeders Raw Data'!B37:B56,'Feeders Raw Data'!G37:G56)/SUM('Feeders Raw Data'!G37:G56),"")</f>
        <v/>
      </c>
      <c r="F37">
        <f>IFERROR(SQRT((SUMSQ('Feeders Raw Data'!B37:B56)-2*SUMPRODUCT('Feeders Raw Data'!B37:B56,'Feeders Raw Data'!B38:B57)+SUMSQ('Feeders Raw Data'!B38:B57)-('Feeders Raw Data'!B37-'Feeders Raw Data'!B57)^2/20)/19),"")</f>
        <v>0</v>
      </c>
      <c r="H37">
        <f>IFERROR('Feeders Raw Data'!K37,"")</f>
        <v>0</v>
      </c>
      <c r="I37">
        <f>IFERROR('Feeders Raw Data'!P37,"")</f>
        <v>0</v>
      </c>
      <c r="J37">
        <f>IFERROR('Feeders Raw Data'!R37-'Feeders Raw Data'!R38,"")</f>
        <v>0</v>
      </c>
      <c r="K37" t="str">
        <f>IFERROR(AVERAGE('Feeders Raw Data'!R37:R41),"")</f>
        <v/>
      </c>
      <c r="L37" t="str">
        <f>IFERROR(SUMPRODUCT('Feeders Raw Data'!L37:L56,'Feeders Raw Data'!Q37:Q56)/SUM('Feeders Raw Data'!Q37:Q56),"")</f>
        <v/>
      </c>
      <c r="M37">
        <f>IFERROR(SQRT((SUMSQ('Feeders Raw Data'!L37:L56)-2*SUMPRODUCT('Feeders Raw Data'!L37:L56,'Feeders Raw Data'!L38:L57)+SUMSQ('Feeders Raw Data'!L38:L57)-('Feeders Raw Data'!L37-'Feeders Raw Data'!L57)^2/20)/19),"")</f>
        <v>0</v>
      </c>
      <c r="O37">
        <f>IFERROR('Feeders Raw Data'!U37,"")</f>
        <v>0</v>
      </c>
      <c r="P37">
        <f>IFERROR('Feeders Raw Data'!Z37,"")</f>
        <v>0</v>
      </c>
      <c r="Q37">
        <f>IFERROR('Feeders Raw Data'!AB37-'Feeders Raw Data'!AB38,"")</f>
        <v>0</v>
      </c>
      <c r="R37" t="str">
        <f>IFERROR(AVERAGE('Feeders Raw Data'!AB37:AB41),"")</f>
        <v/>
      </c>
      <c r="S37" t="str">
        <f>IFERROR(SUMPRODUCT('Feeders Raw Data'!V37:V56,'Feeders Raw Data'!AA37:AA56)/SUM('Feeders Raw Data'!AA37:AA56),"")</f>
        <v/>
      </c>
      <c r="T37">
        <f>IFERROR(SQRT((SUMSQ('Feeders Raw Data'!V37:V56)-2*SUMPRODUCT('Feeders Raw Data'!V37:V56,'Feeders Raw Data'!V38:V57)+SUMSQ('Feeders Raw Data'!V38:V57)-('Feeders Raw Data'!V37-'Feeders Raw Data'!V57)^2/20)/19),"")</f>
        <v>0</v>
      </c>
      <c r="V37">
        <f>IFERROR('Feeders Raw Data'!AE37,"")</f>
        <v>0</v>
      </c>
      <c r="W37">
        <f>IFERROR('Feeders Raw Data'!AJ37,"")</f>
        <v>0</v>
      </c>
      <c r="X37">
        <f>IFERROR('Feeders Raw Data'!AL37-'Feeders Raw Data'!AL38,"")</f>
        <v>0</v>
      </c>
      <c r="Y37" t="str">
        <f>IFERROR(AVERAGE('Feeders Raw Data'!AL37:AL41),"")</f>
        <v/>
      </c>
      <c r="Z37" t="str">
        <f>IFERROR(SUMPRODUCT('Feeders Raw Data'!AF37:AF56,'Feeders Raw Data'!AK37:AK56)/SUM('Feeders Raw Data'!AK37:AK56),"")</f>
        <v/>
      </c>
      <c r="AA37">
        <f>IFERROR(SQRT((SUMSQ('Feeders Raw Data'!AF37:AF56)-2*SUMPRODUCT('Feeders Raw Data'!AF37:AF56,'Feeders Raw Data'!AF38:AF57)+SUMSQ('Feeders Raw Data'!AF38:AF57)-('Feeders Raw Data'!AF37-'Feeders Raw Data'!AF57)^2/20)/19),"")</f>
        <v>0</v>
      </c>
      <c r="AC37">
        <f>IFERROR('Feeders Raw Data'!AO37,"")</f>
        <v>0</v>
      </c>
      <c r="AD37">
        <f>IFERROR('Feeders Raw Data'!AT37,"")</f>
        <v>0</v>
      </c>
      <c r="AE37">
        <f>IFERROR('Feeders Raw Data'!AV37-'Feeders Raw Data'!AV38,"")</f>
        <v>0</v>
      </c>
      <c r="AF37" t="str">
        <f>IFERROR(AVERAGE('Feeders Raw Data'!AV37:AV41),"")</f>
        <v/>
      </c>
      <c r="AG37" t="str">
        <f>IFERROR(SUMPRODUCT('Feeders Raw Data'!AP37:AP56,'Feeders Raw Data'!AU37:AU56)/SUM('Feeders Raw Data'!AU37:AU56),"")</f>
        <v/>
      </c>
      <c r="AH37">
        <f>IFERROR(SQRT((SUMSQ('Feeders Raw Data'!AP37:AP56)-2*SUMPRODUCT('Feeders Raw Data'!AP37:AP56,'Feeders Raw Data'!AP38:AP57)+SUMSQ('Feeders Raw Data'!AP38:AP57)-('Feeders Raw Data'!AP37-'Feeders Raw Data'!AP57)^2/20)/19),"")</f>
        <v>0</v>
      </c>
      <c r="AJ37">
        <f>IFERROR('Feeders Raw Data'!AY37,"")</f>
        <v>0</v>
      </c>
      <c r="AK37">
        <f>IFERROR('Feeders Raw Data'!BD37,"")</f>
        <v>0</v>
      </c>
      <c r="AL37">
        <f>IFERROR('Feeders Raw Data'!BF37-'Feeders Raw Data'!BF38,"")</f>
        <v>0</v>
      </c>
      <c r="AM37" t="str">
        <f>IFERROR(AVERAGE('Feeders Raw Data'!BF37:BF41),"")</f>
        <v/>
      </c>
      <c r="AN37" t="str">
        <f>IFERROR(SUMPRODUCT('Feeders Raw Data'!AZ37:AZ56,'Feeders Raw Data'!BE37:BE56)/SUM('Feeders Raw Data'!BE37:BE56),"")</f>
        <v/>
      </c>
      <c r="AO37">
        <f>IFERROR(SQRT((SUMSQ('Feeders Raw Data'!AZ37:AZ56)-2*SUMPRODUCT('Feeders Raw Data'!AZ37:AZ56,'Feeders Raw Data'!AZ38:AZ57)+SUMSQ('Feeders Raw Data'!AZ38:AZ57)-('Feeders Raw Data'!AZ37-'Feeders Raw Data'!AZ57)^2/20)/19),"")</f>
        <v>0</v>
      </c>
      <c r="AQ37">
        <f>IFERROR('Feeders Raw Data'!BI37,"")</f>
        <v>0</v>
      </c>
      <c r="AR37">
        <f>IFERROR('Feeders Raw Data'!BN37,"")</f>
        <v>0</v>
      </c>
      <c r="AS37">
        <f>IFERROR('Feeders Raw Data'!BP37-'Feeders Raw Data'!BP38,"")</f>
        <v>0</v>
      </c>
      <c r="AT37" t="str">
        <f>IFERROR(AVERAGE('Feeders Raw Data'!BP37:BP41),"")</f>
        <v/>
      </c>
      <c r="AU37" t="str">
        <f>IFERROR(SUMPRODUCT('Feeders Raw Data'!BJ37:BJ56,'Feeders Raw Data'!BO37:BO56)/SUM('Feeders Raw Data'!BO37:BO56),"")</f>
        <v/>
      </c>
      <c r="AV37">
        <f>IFERROR(SQRT((SUMSQ('Feeders Raw Data'!BJ37:BJ56)-2*SUMPRODUCT('Feeders Raw Data'!BJ37:BJ56,'Feeders Raw Data'!BJ38:BJ57)+SUMSQ('Feeders Raw Data'!BJ38:BJ57)-('Feeders Raw Data'!BJ37-'Feeders Raw Data'!BJ57)^2/20)/19),"")</f>
        <v>0</v>
      </c>
      <c r="AX37">
        <f>IFERROR('Feeders Raw Data'!BS37,"")</f>
        <v>0</v>
      </c>
      <c r="AY37">
        <f>IFERROR('Feeders Raw Data'!BX37,"")</f>
        <v>0</v>
      </c>
      <c r="AZ37">
        <f>IFERROR('Feeders Raw Data'!BZ37-'Feeders Raw Data'!BZ38,"")</f>
        <v>0</v>
      </c>
      <c r="BA37" t="str">
        <f>IFERROR(AVERAGE('Feeders Raw Data'!BZ37:BZ41),"")</f>
        <v/>
      </c>
      <c r="BB37" t="str">
        <f>IFERROR(SUMPRODUCT('Feeders Raw Data'!BT37:BT56,'Feeders Raw Data'!BY37:BY56)/SUM('Feeders Raw Data'!BY37:BY56),"")</f>
        <v/>
      </c>
      <c r="BC37">
        <f>IFERROR(SQRT((SUMSQ('Feeders Raw Data'!BT37:BT56)-2*SUMPRODUCT('Feeders Raw Data'!BT37:BT56,'Feeders Raw Data'!BT38:BT57)+SUMSQ('Feeders Raw Data'!BT38:BT57)-('Feeders Raw Data'!BT37-'Feeders Raw Data'!BT57)^2/20)/19),"")</f>
        <v>0</v>
      </c>
      <c r="BE37">
        <f>IFERROR('Fats Raw Data'!A37,"")</f>
        <v>0</v>
      </c>
      <c r="BF37">
        <f>IFERROR('Fats Raw Data'!F37,"")</f>
        <v>0</v>
      </c>
      <c r="BG37">
        <f>IFERROR('Fats Raw Data'!H37-'Fats Raw Data'!H38,"")</f>
        <v>0</v>
      </c>
      <c r="BH37" t="str">
        <f>IFERROR(AVERAGE('Fats Raw Data'!H37:H41),"")</f>
        <v/>
      </c>
      <c r="BI37" t="str">
        <f>IFERROR(SUMPRODUCT('Fats Raw Data'!B37:B56,'Fats Raw Data'!G37:G56)/SUM('Fats Raw Data'!G37:G56),"")</f>
        <v/>
      </c>
      <c r="BJ37">
        <f>IFERROR(SQRT((SUMSQ('Fats Raw Data'!B37:B56)-2*SUMPRODUCT('Fats Raw Data'!B37:B56,'Fats Raw Data'!B38:B57)+SUMSQ('Fats Raw Data'!B38:B57)-('Fats Raw Data'!B37-'Fats Raw Data'!B57)^2/20)/19),"")</f>
        <v>0</v>
      </c>
      <c r="BL37">
        <f>IFERROR('Fats Raw Data'!K37,"")</f>
        <v>0</v>
      </c>
      <c r="BM37">
        <f>IFERROR('Fats Raw Data'!P37,"")</f>
        <v>0</v>
      </c>
      <c r="BN37">
        <f>IFERROR('Fats Raw Data'!R37-'Fats Raw Data'!R38,"")</f>
        <v>0</v>
      </c>
      <c r="BO37" t="str">
        <f>IFERROR(AVERAGE('Fats Raw Data'!R37:R41),"")</f>
        <v/>
      </c>
      <c r="BP37" t="str">
        <f>IFERROR(SUMPRODUCT('Fats Raw Data'!L37:L56,'Fats Raw Data'!Q37:Q56)/SUM('Fats Raw Data'!Q37:Q56),"")</f>
        <v/>
      </c>
      <c r="BQ37">
        <f>IFERROR(SQRT((SUMSQ('Fats Raw Data'!L37:L56)-2*SUMPRODUCT('Fats Raw Data'!L37:L56,'Fats Raw Data'!L38:L57)+SUMSQ('Fats Raw Data'!L38:L57)-('Fats Raw Data'!L37-'Fats Raw Data'!L57)^2/20)/19),"")</f>
        <v>0</v>
      </c>
      <c r="BS37">
        <f>IFERROR('Fats Raw Data'!U37,"")</f>
        <v>0</v>
      </c>
      <c r="BT37">
        <f>IFERROR('Fats Raw Data'!Z37,"")</f>
        <v>0</v>
      </c>
      <c r="BU37">
        <f>IFERROR('Fats Raw Data'!AB37-'Fats Raw Data'!AB38,"")</f>
        <v>0</v>
      </c>
      <c r="BV37" t="str">
        <f>IFERROR(AVERAGE('Fats Raw Data'!AB37:AB41),"")</f>
        <v/>
      </c>
      <c r="BW37" t="str">
        <f>IFERROR(SUMPRODUCT('Fats Raw Data'!V37:V56,'Fats Raw Data'!AA37:AA56)/SUM('Fats Raw Data'!AA37:AA56),"")</f>
        <v/>
      </c>
      <c r="BX37">
        <f>IFERROR(SQRT((SUMSQ('Fats Raw Data'!V37:V56)-2*SUMPRODUCT('Fats Raw Data'!V37:V56,'Fats Raw Data'!V38:V57)+SUMSQ('Fats Raw Data'!V38:V57)-('Fats Raw Data'!V37-'Fats Raw Data'!V57)^2/20)/19),"")</f>
        <v>0</v>
      </c>
      <c r="BZ37">
        <f>IFERROR('Fats Raw Data'!AE37,"")</f>
        <v>0</v>
      </c>
      <c r="CA37">
        <f>IFERROR('Fats Raw Data'!AJ37,"")</f>
        <v>0</v>
      </c>
      <c r="CB37">
        <f>IFERROR('Fats Raw Data'!AL37-'Fats Raw Data'!AL38,"")</f>
        <v>0</v>
      </c>
      <c r="CC37" t="str">
        <f>IFERROR(AVERAGE('Fats Raw Data'!AL37:AL41),"")</f>
        <v/>
      </c>
      <c r="CD37" t="str">
        <f>IFERROR(SUMPRODUCT('Fats Raw Data'!AF37:AF56,'Fats Raw Data'!AK37:AK56)/SUM('Fats Raw Data'!AK37:AK56),"")</f>
        <v/>
      </c>
      <c r="CE37">
        <f>IFERROR(SQRT((SUMSQ('Fats Raw Data'!AF37:AF56)-2*SUMPRODUCT('Fats Raw Data'!AF37:AF56,'Fats Raw Data'!AF38:AF57)+SUMSQ('Fats Raw Data'!AF38:AF57)-('Fats Raw Data'!AF37-'Fats Raw Data'!AF57)^2/20)/19),"")</f>
        <v>0</v>
      </c>
      <c r="CG37">
        <f>IFERROR('Fats Raw Data'!AO37,"")</f>
        <v>0</v>
      </c>
      <c r="CH37">
        <f>IFERROR('Fats Raw Data'!AT37,"")</f>
        <v>0</v>
      </c>
      <c r="CI37">
        <f>IFERROR('Fats Raw Data'!AV37-'Fats Raw Data'!AV38,"")</f>
        <v>0</v>
      </c>
      <c r="CJ37" t="str">
        <f>IFERROR(AVERAGE('Fats Raw Data'!AV37:AV41),"")</f>
        <v/>
      </c>
      <c r="CK37" t="str">
        <f>IFERROR(SUMPRODUCT('Fats Raw Data'!AP37:AP56,'Fats Raw Data'!AU37:AU56)/SUM('Fats Raw Data'!AU37:AU56),"")</f>
        <v/>
      </c>
      <c r="CL37">
        <f>IFERROR(SQRT((SUMSQ('Fats Raw Data'!AP37:AP56)-2*SUMPRODUCT('Fats Raw Data'!AP37:AP56,'Fats Raw Data'!AP38:AP57)+SUMSQ('Fats Raw Data'!AP38:AP57)-('Fats Raw Data'!AP37-'Fats Raw Data'!AP57)^2/20)/19),"")</f>
        <v>0</v>
      </c>
      <c r="CN37">
        <f>IFERROR('Fats Raw Data'!AY37,"")</f>
        <v>0</v>
      </c>
      <c r="CO37">
        <f>IFERROR('Fats Raw Data'!BD37,"")</f>
        <v>0</v>
      </c>
      <c r="CP37">
        <f>IFERROR('Fats Raw Data'!BF37-'Fats Raw Data'!BF38,"")</f>
        <v>0</v>
      </c>
      <c r="CQ37" t="str">
        <f>IFERROR(AVERAGE('Fats Raw Data'!BF37:BF41),"")</f>
        <v/>
      </c>
      <c r="CR37" t="str">
        <f>IFERROR(SUMPRODUCT('Fats Raw Data'!AZ37:AZ56,'Fats Raw Data'!BE37:BE56)/SUM('Fats Raw Data'!BE37:BE56),"")</f>
        <v/>
      </c>
      <c r="CS37">
        <f>IFERROR(SQRT((SUMSQ('Fats Raw Data'!AZ37:AZ56)-2*SUMPRODUCT('Fats Raw Data'!AZ37:AZ56,'Fats Raw Data'!AZ38:AZ57)+SUMSQ('Fats Raw Data'!AZ38:AZ57)-('Fats Raw Data'!AZ37-'Fats Raw Data'!AZ57)^2/20)/19),"")</f>
        <v>0</v>
      </c>
    </row>
    <row r="38" spans="1:97" x14ac:dyDescent="0.25">
      <c r="A38">
        <f>IFERROR('Feeders Raw Data'!A38,"")</f>
        <v>0</v>
      </c>
      <c r="B38">
        <f>IFERROR('Feeders Raw Data'!F38,"")</f>
        <v>0</v>
      </c>
      <c r="C38">
        <f>IFERROR('Feeders Raw Data'!H38-'Feeders Raw Data'!H39,"")</f>
        <v>0</v>
      </c>
      <c r="D38" t="str">
        <f>IFERROR(AVERAGE('Feeders Raw Data'!H38:H42),"")</f>
        <v/>
      </c>
      <c r="E38" t="str">
        <f>IFERROR(SUMPRODUCT('Feeders Raw Data'!B38:B57,'Feeders Raw Data'!G38:G57)/SUM('Feeders Raw Data'!G38:G57),"")</f>
        <v/>
      </c>
      <c r="F38">
        <f>IFERROR(SQRT((SUMSQ('Feeders Raw Data'!B38:B57)-2*SUMPRODUCT('Feeders Raw Data'!B38:B57,'Feeders Raw Data'!B39:B58)+SUMSQ('Feeders Raw Data'!B39:B58)-('Feeders Raw Data'!B38-'Feeders Raw Data'!B58)^2/20)/19),"")</f>
        <v>0</v>
      </c>
      <c r="H38">
        <f>IFERROR('Feeders Raw Data'!K38,"")</f>
        <v>0</v>
      </c>
      <c r="I38">
        <f>IFERROR('Feeders Raw Data'!P38,"")</f>
        <v>0</v>
      </c>
      <c r="J38">
        <f>IFERROR('Feeders Raw Data'!R38-'Feeders Raw Data'!R39,"")</f>
        <v>0</v>
      </c>
      <c r="K38" t="str">
        <f>IFERROR(AVERAGE('Feeders Raw Data'!R38:R42),"")</f>
        <v/>
      </c>
      <c r="L38" t="str">
        <f>IFERROR(SUMPRODUCT('Feeders Raw Data'!L38:L57,'Feeders Raw Data'!Q38:Q57)/SUM('Feeders Raw Data'!Q38:Q57),"")</f>
        <v/>
      </c>
      <c r="M38">
        <f>IFERROR(SQRT((SUMSQ('Feeders Raw Data'!L38:L57)-2*SUMPRODUCT('Feeders Raw Data'!L38:L57,'Feeders Raw Data'!L39:L58)+SUMSQ('Feeders Raw Data'!L39:L58)-('Feeders Raw Data'!L38-'Feeders Raw Data'!L58)^2/20)/19),"")</f>
        <v>0</v>
      </c>
      <c r="O38">
        <f>IFERROR('Feeders Raw Data'!U38,"")</f>
        <v>0</v>
      </c>
      <c r="P38">
        <f>IFERROR('Feeders Raw Data'!Z38,"")</f>
        <v>0</v>
      </c>
      <c r="Q38">
        <f>IFERROR('Feeders Raw Data'!AB38-'Feeders Raw Data'!AB39,"")</f>
        <v>0</v>
      </c>
      <c r="R38" t="str">
        <f>IFERROR(AVERAGE('Feeders Raw Data'!AB38:AB42),"")</f>
        <v/>
      </c>
      <c r="S38" t="str">
        <f>IFERROR(SUMPRODUCT('Feeders Raw Data'!V38:V57,'Feeders Raw Data'!AA38:AA57)/SUM('Feeders Raw Data'!AA38:AA57),"")</f>
        <v/>
      </c>
      <c r="T38">
        <f>IFERROR(SQRT((SUMSQ('Feeders Raw Data'!V38:V57)-2*SUMPRODUCT('Feeders Raw Data'!V38:V57,'Feeders Raw Data'!V39:V58)+SUMSQ('Feeders Raw Data'!V39:V58)-('Feeders Raw Data'!V38-'Feeders Raw Data'!V58)^2/20)/19),"")</f>
        <v>0</v>
      </c>
      <c r="V38">
        <f>IFERROR('Feeders Raw Data'!AE38,"")</f>
        <v>0</v>
      </c>
      <c r="W38">
        <f>IFERROR('Feeders Raw Data'!AJ38,"")</f>
        <v>0</v>
      </c>
      <c r="X38">
        <f>IFERROR('Feeders Raw Data'!AL38-'Feeders Raw Data'!AL39,"")</f>
        <v>0</v>
      </c>
      <c r="Y38" t="str">
        <f>IFERROR(AVERAGE('Feeders Raw Data'!AL38:AL42),"")</f>
        <v/>
      </c>
      <c r="Z38" t="str">
        <f>IFERROR(SUMPRODUCT('Feeders Raw Data'!AF38:AF57,'Feeders Raw Data'!AK38:AK57)/SUM('Feeders Raw Data'!AK38:AK57),"")</f>
        <v/>
      </c>
      <c r="AA38">
        <f>IFERROR(SQRT((SUMSQ('Feeders Raw Data'!AF38:AF57)-2*SUMPRODUCT('Feeders Raw Data'!AF38:AF57,'Feeders Raw Data'!AF39:AF58)+SUMSQ('Feeders Raw Data'!AF39:AF58)-('Feeders Raw Data'!AF38-'Feeders Raw Data'!AF58)^2/20)/19),"")</f>
        <v>0</v>
      </c>
      <c r="AC38">
        <f>IFERROR('Feeders Raw Data'!AO38,"")</f>
        <v>0</v>
      </c>
      <c r="AD38">
        <f>IFERROR('Feeders Raw Data'!AT38,"")</f>
        <v>0</v>
      </c>
      <c r="AE38">
        <f>IFERROR('Feeders Raw Data'!AV38-'Feeders Raw Data'!AV39,"")</f>
        <v>0</v>
      </c>
      <c r="AF38" t="str">
        <f>IFERROR(AVERAGE('Feeders Raw Data'!AV38:AV42),"")</f>
        <v/>
      </c>
      <c r="AG38" t="str">
        <f>IFERROR(SUMPRODUCT('Feeders Raw Data'!AP38:AP57,'Feeders Raw Data'!AU38:AU57)/SUM('Feeders Raw Data'!AU38:AU57),"")</f>
        <v/>
      </c>
      <c r="AH38">
        <f>IFERROR(SQRT((SUMSQ('Feeders Raw Data'!AP38:AP57)-2*SUMPRODUCT('Feeders Raw Data'!AP38:AP57,'Feeders Raw Data'!AP39:AP58)+SUMSQ('Feeders Raw Data'!AP39:AP58)-('Feeders Raw Data'!AP38-'Feeders Raw Data'!AP58)^2/20)/19),"")</f>
        <v>0</v>
      </c>
      <c r="AJ38">
        <f>IFERROR('Feeders Raw Data'!AY38,"")</f>
        <v>0</v>
      </c>
      <c r="AK38">
        <f>IFERROR('Feeders Raw Data'!BD38,"")</f>
        <v>0</v>
      </c>
      <c r="AL38">
        <f>IFERROR('Feeders Raw Data'!BF38-'Feeders Raw Data'!BF39,"")</f>
        <v>0</v>
      </c>
      <c r="AM38" t="str">
        <f>IFERROR(AVERAGE('Feeders Raw Data'!BF38:BF42),"")</f>
        <v/>
      </c>
      <c r="AN38" t="str">
        <f>IFERROR(SUMPRODUCT('Feeders Raw Data'!AZ38:AZ57,'Feeders Raw Data'!BE38:BE57)/SUM('Feeders Raw Data'!BE38:BE57),"")</f>
        <v/>
      </c>
      <c r="AO38">
        <f>IFERROR(SQRT((SUMSQ('Feeders Raw Data'!AZ38:AZ57)-2*SUMPRODUCT('Feeders Raw Data'!AZ38:AZ57,'Feeders Raw Data'!AZ39:AZ58)+SUMSQ('Feeders Raw Data'!AZ39:AZ58)-('Feeders Raw Data'!AZ38-'Feeders Raw Data'!AZ58)^2/20)/19),"")</f>
        <v>0</v>
      </c>
      <c r="AQ38">
        <f>IFERROR('Feeders Raw Data'!BI38,"")</f>
        <v>0</v>
      </c>
      <c r="AR38">
        <f>IFERROR('Feeders Raw Data'!BN38,"")</f>
        <v>0</v>
      </c>
      <c r="AS38">
        <f>IFERROR('Feeders Raw Data'!BP38-'Feeders Raw Data'!BP39,"")</f>
        <v>0</v>
      </c>
      <c r="AT38" t="str">
        <f>IFERROR(AVERAGE('Feeders Raw Data'!BP38:BP42),"")</f>
        <v/>
      </c>
      <c r="AU38" t="str">
        <f>IFERROR(SUMPRODUCT('Feeders Raw Data'!BJ38:BJ57,'Feeders Raw Data'!BO38:BO57)/SUM('Feeders Raw Data'!BO38:BO57),"")</f>
        <v/>
      </c>
      <c r="AV38">
        <f>IFERROR(SQRT((SUMSQ('Feeders Raw Data'!BJ38:BJ57)-2*SUMPRODUCT('Feeders Raw Data'!BJ38:BJ57,'Feeders Raw Data'!BJ39:BJ58)+SUMSQ('Feeders Raw Data'!BJ39:BJ58)-('Feeders Raw Data'!BJ38-'Feeders Raw Data'!BJ58)^2/20)/19),"")</f>
        <v>0</v>
      </c>
      <c r="AX38">
        <f>IFERROR('Feeders Raw Data'!BS38,"")</f>
        <v>0</v>
      </c>
      <c r="AY38">
        <f>IFERROR('Feeders Raw Data'!BX38,"")</f>
        <v>0</v>
      </c>
      <c r="AZ38">
        <f>IFERROR('Feeders Raw Data'!BZ38-'Feeders Raw Data'!BZ39,"")</f>
        <v>0</v>
      </c>
      <c r="BA38" t="str">
        <f>IFERROR(AVERAGE('Feeders Raw Data'!BZ38:BZ42),"")</f>
        <v/>
      </c>
      <c r="BB38" t="str">
        <f>IFERROR(SUMPRODUCT('Feeders Raw Data'!BT38:BT57,'Feeders Raw Data'!BY38:BY57)/SUM('Feeders Raw Data'!BY38:BY57),"")</f>
        <v/>
      </c>
      <c r="BC38">
        <f>IFERROR(SQRT((SUMSQ('Feeders Raw Data'!BT38:BT57)-2*SUMPRODUCT('Feeders Raw Data'!BT38:BT57,'Feeders Raw Data'!BT39:BT58)+SUMSQ('Feeders Raw Data'!BT39:BT58)-('Feeders Raw Data'!BT38-'Feeders Raw Data'!BT58)^2/20)/19),"")</f>
        <v>0</v>
      </c>
      <c r="BE38">
        <f>IFERROR('Fats Raw Data'!A38,"")</f>
        <v>0</v>
      </c>
      <c r="BF38">
        <f>IFERROR('Fats Raw Data'!F38,"")</f>
        <v>0</v>
      </c>
      <c r="BG38">
        <f>IFERROR('Fats Raw Data'!H38-'Fats Raw Data'!H39,"")</f>
        <v>0</v>
      </c>
      <c r="BH38" t="str">
        <f>IFERROR(AVERAGE('Fats Raw Data'!H38:H42),"")</f>
        <v/>
      </c>
      <c r="BI38" t="str">
        <f>IFERROR(SUMPRODUCT('Fats Raw Data'!B38:B57,'Fats Raw Data'!G38:G57)/SUM('Fats Raw Data'!G38:G57),"")</f>
        <v/>
      </c>
      <c r="BJ38">
        <f>IFERROR(SQRT((SUMSQ('Fats Raw Data'!B38:B57)-2*SUMPRODUCT('Fats Raw Data'!B38:B57,'Fats Raw Data'!B39:B58)+SUMSQ('Fats Raw Data'!B39:B58)-('Fats Raw Data'!B38-'Fats Raw Data'!B58)^2/20)/19),"")</f>
        <v>0</v>
      </c>
      <c r="BL38">
        <f>IFERROR('Fats Raw Data'!K38,"")</f>
        <v>0</v>
      </c>
      <c r="BM38">
        <f>IFERROR('Fats Raw Data'!P38,"")</f>
        <v>0</v>
      </c>
      <c r="BN38">
        <f>IFERROR('Fats Raw Data'!R38-'Fats Raw Data'!R39,"")</f>
        <v>0</v>
      </c>
      <c r="BO38" t="str">
        <f>IFERROR(AVERAGE('Fats Raw Data'!R38:R42),"")</f>
        <v/>
      </c>
      <c r="BP38" t="str">
        <f>IFERROR(SUMPRODUCT('Fats Raw Data'!L38:L57,'Fats Raw Data'!Q38:Q57)/SUM('Fats Raw Data'!Q38:Q57),"")</f>
        <v/>
      </c>
      <c r="BQ38">
        <f>IFERROR(SQRT((SUMSQ('Fats Raw Data'!L38:L57)-2*SUMPRODUCT('Fats Raw Data'!L38:L57,'Fats Raw Data'!L39:L58)+SUMSQ('Fats Raw Data'!L39:L58)-('Fats Raw Data'!L38-'Fats Raw Data'!L58)^2/20)/19),"")</f>
        <v>0</v>
      </c>
      <c r="BS38">
        <f>IFERROR('Fats Raw Data'!U38,"")</f>
        <v>0</v>
      </c>
      <c r="BT38">
        <f>IFERROR('Fats Raw Data'!Z38,"")</f>
        <v>0</v>
      </c>
      <c r="BU38">
        <f>IFERROR('Fats Raw Data'!AB38-'Fats Raw Data'!AB39,"")</f>
        <v>0</v>
      </c>
      <c r="BV38" t="str">
        <f>IFERROR(AVERAGE('Fats Raw Data'!AB38:AB42),"")</f>
        <v/>
      </c>
      <c r="BW38" t="str">
        <f>IFERROR(SUMPRODUCT('Fats Raw Data'!V38:V57,'Fats Raw Data'!AA38:AA57)/SUM('Fats Raw Data'!AA38:AA57),"")</f>
        <v/>
      </c>
      <c r="BX38">
        <f>IFERROR(SQRT((SUMSQ('Fats Raw Data'!V38:V57)-2*SUMPRODUCT('Fats Raw Data'!V38:V57,'Fats Raw Data'!V39:V58)+SUMSQ('Fats Raw Data'!V39:V58)-('Fats Raw Data'!V38-'Fats Raw Data'!V58)^2/20)/19),"")</f>
        <v>0</v>
      </c>
      <c r="BZ38">
        <f>IFERROR('Fats Raw Data'!AE38,"")</f>
        <v>0</v>
      </c>
      <c r="CA38">
        <f>IFERROR('Fats Raw Data'!AJ38,"")</f>
        <v>0</v>
      </c>
      <c r="CB38">
        <f>IFERROR('Fats Raw Data'!AL38-'Fats Raw Data'!AL39,"")</f>
        <v>0</v>
      </c>
      <c r="CC38" t="str">
        <f>IFERROR(AVERAGE('Fats Raw Data'!AL38:AL42),"")</f>
        <v/>
      </c>
      <c r="CD38" t="str">
        <f>IFERROR(SUMPRODUCT('Fats Raw Data'!AF38:AF57,'Fats Raw Data'!AK38:AK57)/SUM('Fats Raw Data'!AK38:AK57),"")</f>
        <v/>
      </c>
      <c r="CE38">
        <f>IFERROR(SQRT((SUMSQ('Fats Raw Data'!AF38:AF57)-2*SUMPRODUCT('Fats Raw Data'!AF38:AF57,'Fats Raw Data'!AF39:AF58)+SUMSQ('Fats Raw Data'!AF39:AF58)-('Fats Raw Data'!AF38-'Fats Raw Data'!AF58)^2/20)/19),"")</f>
        <v>0</v>
      </c>
      <c r="CG38">
        <f>IFERROR('Fats Raw Data'!AO38,"")</f>
        <v>0</v>
      </c>
      <c r="CH38">
        <f>IFERROR('Fats Raw Data'!AT38,"")</f>
        <v>0</v>
      </c>
      <c r="CI38">
        <f>IFERROR('Fats Raw Data'!AV38-'Fats Raw Data'!AV39,"")</f>
        <v>0</v>
      </c>
      <c r="CJ38" t="str">
        <f>IFERROR(AVERAGE('Fats Raw Data'!AV38:AV42),"")</f>
        <v/>
      </c>
      <c r="CK38" t="str">
        <f>IFERROR(SUMPRODUCT('Fats Raw Data'!AP38:AP57,'Fats Raw Data'!AU38:AU57)/SUM('Fats Raw Data'!AU38:AU57),"")</f>
        <v/>
      </c>
      <c r="CL38">
        <f>IFERROR(SQRT((SUMSQ('Fats Raw Data'!AP38:AP57)-2*SUMPRODUCT('Fats Raw Data'!AP38:AP57,'Fats Raw Data'!AP39:AP58)+SUMSQ('Fats Raw Data'!AP39:AP58)-('Fats Raw Data'!AP38-'Fats Raw Data'!AP58)^2/20)/19),"")</f>
        <v>0</v>
      </c>
      <c r="CN38">
        <f>IFERROR('Fats Raw Data'!AY38,"")</f>
        <v>0</v>
      </c>
      <c r="CO38">
        <f>IFERROR('Fats Raw Data'!BD38,"")</f>
        <v>0</v>
      </c>
      <c r="CP38">
        <f>IFERROR('Fats Raw Data'!BF38-'Fats Raw Data'!BF39,"")</f>
        <v>0</v>
      </c>
      <c r="CQ38" t="str">
        <f>IFERROR(AVERAGE('Fats Raw Data'!BF38:BF42),"")</f>
        <v/>
      </c>
      <c r="CR38" t="str">
        <f>IFERROR(SUMPRODUCT('Fats Raw Data'!AZ38:AZ57,'Fats Raw Data'!BE38:BE57)/SUM('Fats Raw Data'!BE38:BE57),"")</f>
        <v/>
      </c>
      <c r="CS38">
        <f>IFERROR(SQRT((SUMSQ('Fats Raw Data'!AZ38:AZ57)-2*SUMPRODUCT('Fats Raw Data'!AZ38:AZ57,'Fats Raw Data'!AZ39:AZ58)+SUMSQ('Fats Raw Data'!AZ39:AZ58)-('Fats Raw Data'!AZ38-'Fats Raw Data'!AZ58)^2/20)/19),"")</f>
        <v>0</v>
      </c>
    </row>
    <row r="39" spans="1:97" x14ac:dyDescent="0.25">
      <c r="A39">
        <f>IFERROR('Feeders Raw Data'!A39,"")</f>
        <v>0</v>
      </c>
      <c r="B39">
        <f>IFERROR('Feeders Raw Data'!F39,"")</f>
        <v>0</v>
      </c>
      <c r="C39">
        <f>IFERROR('Feeders Raw Data'!H39-'Feeders Raw Data'!H40,"")</f>
        <v>0</v>
      </c>
      <c r="D39" t="str">
        <f>IFERROR(AVERAGE('Feeders Raw Data'!H39:H43),"")</f>
        <v/>
      </c>
      <c r="E39" t="str">
        <f>IFERROR(SUMPRODUCT('Feeders Raw Data'!B39:B58,'Feeders Raw Data'!G39:G58)/SUM('Feeders Raw Data'!G39:G58),"")</f>
        <v/>
      </c>
      <c r="F39">
        <f>IFERROR(SQRT((SUMSQ('Feeders Raw Data'!B39:B58)-2*SUMPRODUCT('Feeders Raw Data'!B39:B58,'Feeders Raw Data'!B40:B59)+SUMSQ('Feeders Raw Data'!B40:B59)-('Feeders Raw Data'!B39-'Feeders Raw Data'!B59)^2/20)/19),"")</f>
        <v>0</v>
      </c>
      <c r="H39">
        <f>IFERROR('Feeders Raw Data'!K39,"")</f>
        <v>0</v>
      </c>
      <c r="I39">
        <f>IFERROR('Feeders Raw Data'!P39,"")</f>
        <v>0</v>
      </c>
      <c r="J39">
        <f>IFERROR('Feeders Raw Data'!R39-'Feeders Raw Data'!R40,"")</f>
        <v>0</v>
      </c>
      <c r="K39" t="str">
        <f>IFERROR(AVERAGE('Feeders Raw Data'!R39:R43),"")</f>
        <v/>
      </c>
      <c r="L39" t="str">
        <f>IFERROR(SUMPRODUCT('Feeders Raw Data'!L39:L58,'Feeders Raw Data'!Q39:Q58)/SUM('Feeders Raw Data'!Q39:Q58),"")</f>
        <v/>
      </c>
      <c r="M39">
        <f>IFERROR(SQRT((SUMSQ('Feeders Raw Data'!L39:L58)-2*SUMPRODUCT('Feeders Raw Data'!L39:L58,'Feeders Raw Data'!L40:L59)+SUMSQ('Feeders Raw Data'!L40:L59)-('Feeders Raw Data'!L39-'Feeders Raw Data'!L59)^2/20)/19),"")</f>
        <v>0</v>
      </c>
      <c r="O39">
        <f>IFERROR('Feeders Raw Data'!U39,"")</f>
        <v>0</v>
      </c>
      <c r="P39">
        <f>IFERROR('Feeders Raw Data'!Z39,"")</f>
        <v>0</v>
      </c>
      <c r="Q39">
        <f>IFERROR('Feeders Raw Data'!AB39-'Feeders Raw Data'!AB40,"")</f>
        <v>0</v>
      </c>
      <c r="R39" t="str">
        <f>IFERROR(AVERAGE('Feeders Raw Data'!AB39:AB43),"")</f>
        <v/>
      </c>
      <c r="S39" t="str">
        <f>IFERROR(SUMPRODUCT('Feeders Raw Data'!V39:V58,'Feeders Raw Data'!AA39:AA58)/SUM('Feeders Raw Data'!AA39:AA58),"")</f>
        <v/>
      </c>
      <c r="T39">
        <f>IFERROR(SQRT((SUMSQ('Feeders Raw Data'!V39:V58)-2*SUMPRODUCT('Feeders Raw Data'!V39:V58,'Feeders Raw Data'!V40:V59)+SUMSQ('Feeders Raw Data'!V40:V59)-('Feeders Raw Data'!V39-'Feeders Raw Data'!V59)^2/20)/19),"")</f>
        <v>0</v>
      </c>
      <c r="V39">
        <f>IFERROR('Feeders Raw Data'!AE39,"")</f>
        <v>0</v>
      </c>
      <c r="W39">
        <f>IFERROR('Feeders Raw Data'!AJ39,"")</f>
        <v>0</v>
      </c>
      <c r="X39">
        <f>IFERROR('Feeders Raw Data'!AL39-'Feeders Raw Data'!AL40,"")</f>
        <v>0</v>
      </c>
      <c r="Y39" t="str">
        <f>IFERROR(AVERAGE('Feeders Raw Data'!AL39:AL43),"")</f>
        <v/>
      </c>
      <c r="Z39" t="str">
        <f>IFERROR(SUMPRODUCT('Feeders Raw Data'!AF39:AF58,'Feeders Raw Data'!AK39:AK58)/SUM('Feeders Raw Data'!AK39:AK58),"")</f>
        <v/>
      </c>
      <c r="AA39">
        <f>IFERROR(SQRT((SUMSQ('Feeders Raw Data'!AF39:AF58)-2*SUMPRODUCT('Feeders Raw Data'!AF39:AF58,'Feeders Raw Data'!AF40:AF59)+SUMSQ('Feeders Raw Data'!AF40:AF59)-('Feeders Raw Data'!AF39-'Feeders Raw Data'!AF59)^2/20)/19),"")</f>
        <v>0</v>
      </c>
      <c r="AC39">
        <f>IFERROR('Feeders Raw Data'!AO39,"")</f>
        <v>0</v>
      </c>
      <c r="AD39">
        <f>IFERROR('Feeders Raw Data'!AT39,"")</f>
        <v>0</v>
      </c>
      <c r="AE39">
        <f>IFERROR('Feeders Raw Data'!AV39-'Feeders Raw Data'!AV40,"")</f>
        <v>0</v>
      </c>
      <c r="AF39" t="str">
        <f>IFERROR(AVERAGE('Feeders Raw Data'!AV39:AV43),"")</f>
        <v/>
      </c>
      <c r="AG39" t="str">
        <f>IFERROR(SUMPRODUCT('Feeders Raw Data'!AP39:AP58,'Feeders Raw Data'!AU39:AU58)/SUM('Feeders Raw Data'!AU39:AU58),"")</f>
        <v/>
      </c>
      <c r="AH39">
        <f>IFERROR(SQRT((SUMSQ('Feeders Raw Data'!AP39:AP58)-2*SUMPRODUCT('Feeders Raw Data'!AP39:AP58,'Feeders Raw Data'!AP40:AP59)+SUMSQ('Feeders Raw Data'!AP40:AP59)-('Feeders Raw Data'!AP39-'Feeders Raw Data'!AP59)^2/20)/19),"")</f>
        <v>0</v>
      </c>
      <c r="AJ39">
        <f>IFERROR('Feeders Raw Data'!AY39,"")</f>
        <v>0</v>
      </c>
      <c r="AK39">
        <f>IFERROR('Feeders Raw Data'!BD39,"")</f>
        <v>0</v>
      </c>
      <c r="AL39">
        <f>IFERROR('Feeders Raw Data'!BF39-'Feeders Raw Data'!BF40,"")</f>
        <v>0</v>
      </c>
      <c r="AM39" t="str">
        <f>IFERROR(AVERAGE('Feeders Raw Data'!BF39:BF43),"")</f>
        <v/>
      </c>
      <c r="AN39" t="str">
        <f>IFERROR(SUMPRODUCT('Feeders Raw Data'!AZ39:AZ58,'Feeders Raw Data'!BE39:BE58)/SUM('Feeders Raw Data'!BE39:BE58),"")</f>
        <v/>
      </c>
      <c r="AO39">
        <f>IFERROR(SQRT((SUMSQ('Feeders Raw Data'!AZ39:AZ58)-2*SUMPRODUCT('Feeders Raw Data'!AZ39:AZ58,'Feeders Raw Data'!AZ40:AZ59)+SUMSQ('Feeders Raw Data'!AZ40:AZ59)-('Feeders Raw Data'!AZ39-'Feeders Raw Data'!AZ59)^2/20)/19),"")</f>
        <v>0</v>
      </c>
      <c r="AQ39">
        <f>IFERROR('Feeders Raw Data'!BI39,"")</f>
        <v>0</v>
      </c>
      <c r="AR39">
        <f>IFERROR('Feeders Raw Data'!BN39,"")</f>
        <v>0</v>
      </c>
      <c r="AS39">
        <f>IFERROR('Feeders Raw Data'!BP39-'Feeders Raw Data'!BP40,"")</f>
        <v>0</v>
      </c>
      <c r="AT39" t="str">
        <f>IFERROR(AVERAGE('Feeders Raw Data'!BP39:BP43),"")</f>
        <v/>
      </c>
      <c r="AU39" t="str">
        <f>IFERROR(SUMPRODUCT('Feeders Raw Data'!BJ39:BJ58,'Feeders Raw Data'!BO39:BO58)/SUM('Feeders Raw Data'!BO39:BO58),"")</f>
        <v/>
      </c>
      <c r="AV39">
        <f>IFERROR(SQRT((SUMSQ('Feeders Raw Data'!BJ39:BJ58)-2*SUMPRODUCT('Feeders Raw Data'!BJ39:BJ58,'Feeders Raw Data'!BJ40:BJ59)+SUMSQ('Feeders Raw Data'!BJ40:BJ59)-('Feeders Raw Data'!BJ39-'Feeders Raw Data'!BJ59)^2/20)/19),"")</f>
        <v>0</v>
      </c>
      <c r="AX39">
        <f>IFERROR('Feeders Raw Data'!BS39,"")</f>
        <v>0</v>
      </c>
      <c r="AY39">
        <f>IFERROR('Feeders Raw Data'!BX39,"")</f>
        <v>0</v>
      </c>
      <c r="AZ39">
        <f>IFERROR('Feeders Raw Data'!BZ39-'Feeders Raw Data'!BZ40,"")</f>
        <v>0</v>
      </c>
      <c r="BA39" t="str">
        <f>IFERROR(AVERAGE('Feeders Raw Data'!BZ39:BZ43),"")</f>
        <v/>
      </c>
      <c r="BB39" t="str">
        <f>IFERROR(SUMPRODUCT('Feeders Raw Data'!BT39:BT58,'Feeders Raw Data'!BY39:BY58)/SUM('Feeders Raw Data'!BY39:BY58),"")</f>
        <v/>
      </c>
      <c r="BC39">
        <f>IFERROR(SQRT((SUMSQ('Feeders Raw Data'!BT39:BT58)-2*SUMPRODUCT('Feeders Raw Data'!BT39:BT58,'Feeders Raw Data'!BT40:BT59)+SUMSQ('Feeders Raw Data'!BT40:BT59)-('Feeders Raw Data'!BT39-'Feeders Raw Data'!BT59)^2/20)/19),"")</f>
        <v>0</v>
      </c>
      <c r="BE39">
        <f>IFERROR('Fats Raw Data'!A39,"")</f>
        <v>0</v>
      </c>
      <c r="BF39">
        <f>IFERROR('Fats Raw Data'!F39,"")</f>
        <v>0</v>
      </c>
      <c r="BG39">
        <f>IFERROR('Fats Raw Data'!H39-'Fats Raw Data'!H40,"")</f>
        <v>0</v>
      </c>
      <c r="BH39" t="str">
        <f>IFERROR(AVERAGE('Fats Raw Data'!H39:H43),"")</f>
        <v/>
      </c>
      <c r="BI39" t="str">
        <f>IFERROR(SUMPRODUCT('Fats Raw Data'!B39:B58,'Fats Raw Data'!G39:G58)/SUM('Fats Raw Data'!G39:G58),"")</f>
        <v/>
      </c>
      <c r="BJ39">
        <f>IFERROR(SQRT((SUMSQ('Fats Raw Data'!B39:B58)-2*SUMPRODUCT('Fats Raw Data'!B39:B58,'Fats Raw Data'!B40:B59)+SUMSQ('Fats Raw Data'!B40:B59)-('Fats Raw Data'!B39-'Fats Raw Data'!B59)^2/20)/19),"")</f>
        <v>0</v>
      </c>
      <c r="BL39">
        <f>IFERROR('Fats Raw Data'!K39,"")</f>
        <v>0</v>
      </c>
      <c r="BM39">
        <f>IFERROR('Fats Raw Data'!P39,"")</f>
        <v>0</v>
      </c>
      <c r="BN39">
        <f>IFERROR('Fats Raw Data'!R39-'Fats Raw Data'!R40,"")</f>
        <v>0</v>
      </c>
      <c r="BO39" t="str">
        <f>IFERROR(AVERAGE('Fats Raw Data'!R39:R43),"")</f>
        <v/>
      </c>
      <c r="BP39" t="str">
        <f>IFERROR(SUMPRODUCT('Fats Raw Data'!L39:L58,'Fats Raw Data'!Q39:Q58)/SUM('Fats Raw Data'!Q39:Q58),"")</f>
        <v/>
      </c>
      <c r="BQ39">
        <f>IFERROR(SQRT((SUMSQ('Fats Raw Data'!L39:L58)-2*SUMPRODUCT('Fats Raw Data'!L39:L58,'Fats Raw Data'!L40:L59)+SUMSQ('Fats Raw Data'!L40:L59)-('Fats Raw Data'!L39-'Fats Raw Data'!L59)^2/20)/19),"")</f>
        <v>0</v>
      </c>
      <c r="BS39">
        <f>IFERROR('Fats Raw Data'!U39,"")</f>
        <v>0</v>
      </c>
      <c r="BT39">
        <f>IFERROR('Fats Raw Data'!Z39,"")</f>
        <v>0</v>
      </c>
      <c r="BU39">
        <f>IFERROR('Fats Raw Data'!AB39-'Fats Raw Data'!AB40,"")</f>
        <v>0</v>
      </c>
      <c r="BV39" t="str">
        <f>IFERROR(AVERAGE('Fats Raw Data'!AB39:AB43),"")</f>
        <v/>
      </c>
      <c r="BW39" t="str">
        <f>IFERROR(SUMPRODUCT('Fats Raw Data'!V39:V58,'Fats Raw Data'!AA39:AA58)/SUM('Fats Raw Data'!AA39:AA58),"")</f>
        <v/>
      </c>
      <c r="BX39">
        <f>IFERROR(SQRT((SUMSQ('Fats Raw Data'!V39:V58)-2*SUMPRODUCT('Fats Raw Data'!V39:V58,'Fats Raw Data'!V40:V59)+SUMSQ('Fats Raw Data'!V40:V59)-('Fats Raw Data'!V39-'Fats Raw Data'!V59)^2/20)/19),"")</f>
        <v>0</v>
      </c>
      <c r="BZ39">
        <f>IFERROR('Fats Raw Data'!AE39,"")</f>
        <v>0</v>
      </c>
      <c r="CA39">
        <f>IFERROR('Fats Raw Data'!AJ39,"")</f>
        <v>0</v>
      </c>
      <c r="CB39">
        <f>IFERROR('Fats Raw Data'!AL39-'Fats Raw Data'!AL40,"")</f>
        <v>0</v>
      </c>
      <c r="CC39" t="str">
        <f>IFERROR(AVERAGE('Fats Raw Data'!AL39:AL43),"")</f>
        <v/>
      </c>
      <c r="CD39" t="str">
        <f>IFERROR(SUMPRODUCT('Fats Raw Data'!AF39:AF58,'Fats Raw Data'!AK39:AK58)/SUM('Fats Raw Data'!AK39:AK58),"")</f>
        <v/>
      </c>
      <c r="CE39">
        <f>IFERROR(SQRT((SUMSQ('Fats Raw Data'!AF39:AF58)-2*SUMPRODUCT('Fats Raw Data'!AF39:AF58,'Fats Raw Data'!AF40:AF59)+SUMSQ('Fats Raw Data'!AF40:AF59)-('Fats Raw Data'!AF39-'Fats Raw Data'!AF59)^2/20)/19),"")</f>
        <v>0</v>
      </c>
      <c r="CG39">
        <f>IFERROR('Fats Raw Data'!AO39,"")</f>
        <v>0</v>
      </c>
      <c r="CH39">
        <f>IFERROR('Fats Raw Data'!AT39,"")</f>
        <v>0</v>
      </c>
      <c r="CI39">
        <f>IFERROR('Fats Raw Data'!AV39-'Fats Raw Data'!AV40,"")</f>
        <v>0</v>
      </c>
      <c r="CJ39" t="str">
        <f>IFERROR(AVERAGE('Fats Raw Data'!AV39:AV43),"")</f>
        <v/>
      </c>
      <c r="CK39" t="str">
        <f>IFERROR(SUMPRODUCT('Fats Raw Data'!AP39:AP58,'Fats Raw Data'!AU39:AU58)/SUM('Fats Raw Data'!AU39:AU58),"")</f>
        <v/>
      </c>
      <c r="CL39">
        <f>IFERROR(SQRT((SUMSQ('Fats Raw Data'!AP39:AP58)-2*SUMPRODUCT('Fats Raw Data'!AP39:AP58,'Fats Raw Data'!AP40:AP59)+SUMSQ('Fats Raw Data'!AP40:AP59)-('Fats Raw Data'!AP39-'Fats Raw Data'!AP59)^2/20)/19),"")</f>
        <v>0</v>
      </c>
      <c r="CN39">
        <f>IFERROR('Fats Raw Data'!AY39,"")</f>
        <v>0</v>
      </c>
      <c r="CO39">
        <f>IFERROR('Fats Raw Data'!BD39,"")</f>
        <v>0</v>
      </c>
      <c r="CP39">
        <f>IFERROR('Fats Raw Data'!BF39-'Fats Raw Data'!BF40,"")</f>
        <v>0</v>
      </c>
      <c r="CQ39" t="str">
        <f>IFERROR(AVERAGE('Fats Raw Data'!BF39:BF43),"")</f>
        <v/>
      </c>
      <c r="CR39" t="str">
        <f>IFERROR(SUMPRODUCT('Fats Raw Data'!AZ39:AZ58,'Fats Raw Data'!BE39:BE58)/SUM('Fats Raw Data'!BE39:BE58),"")</f>
        <v/>
      </c>
      <c r="CS39">
        <f>IFERROR(SQRT((SUMSQ('Fats Raw Data'!AZ39:AZ58)-2*SUMPRODUCT('Fats Raw Data'!AZ39:AZ58,'Fats Raw Data'!AZ40:AZ59)+SUMSQ('Fats Raw Data'!AZ40:AZ59)-('Fats Raw Data'!AZ39-'Fats Raw Data'!AZ59)^2/20)/19),"")</f>
        <v>0</v>
      </c>
    </row>
    <row r="40" spans="1:97" x14ac:dyDescent="0.25">
      <c r="A40">
        <f>IFERROR('Feeders Raw Data'!A40,"")</f>
        <v>0</v>
      </c>
      <c r="B40">
        <f>IFERROR('Feeders Raw Data'!F40,"")</f>
        <v>0</v>
      </c>
      <c r="C40">
        <f>IFERROR('Feeders Raw Data'!H40-'Feeders Raw Data'!H41,"")</f>
        <v>0</v>
      </c>
      <c r="D40" t="str">
        <f>IFERROR(AVERAGE('Feeders Raw Data'!H40:H44),"")</f>
        <v/>
      </c>
      <c r="E40" t="str">
        <f>IFERROR(SUMPRODUCT('Feeders Raw Data'!B40:B59,'Feeders Raw Data'!G40:G59)/SUM('Feeders Raw Data'!G40:G59),"")</f>
        <v/>
      </c>
      <c r="F40">
        <f>IFERROR(SQRT((SUMSQ('Feeders Raw Data'!B40:B59)-2*SUMPRODUCT('Feeders Raw Data'!B40:B59,'Feeders Raw Data'!B41:B60)+SUMSQ('Feeders Raw Data'!B41:B60)-('Feeders Raw Data'!B40-'Feeders Raw Data'!B60)^2/20)/19),"")</f>
        <v>0</v>
      </c>
      <c r="H40">
        <f>IFERROR('Feeders Raw Data'!K40,"")</f>
        <v>0</v>
      </c>
      <c r="I40">
        <f>IFERROR('Feeders Raw Data'!P40,"")</f>
        <v>0</v>
      </c>
      <c r="J40">
        <f>IFERROR('Feeders Raw Data'!R40-'Feeders Raw Data'!R41,"")</f>
        <v>0</v>
      </c>
      <c r="K40" t="str">
        <f>IFERROR(AVERAGE('Feeders Raw Data'!R40:R44),"")</f>
        <v/>
      </c>
      <c r="L40" t="str">
        <f>IFERROR(SUMPRODUCT('Feeders Raw Data'!L40:L59,'Feeders Raw Data'!Q40:Q59)/SUM('Feeders Raw Data'!Q40:Q59),"")</f>
        <v/>
      </c>
      <c r="M40">
        <f>IFERROR(SQRT((SUMSQ('Feeders Raw Data'!L40:L59)-2*SUMPRODUCT('Feeders Raw Data'!L40:L59,'Feeders Raw Data'!L41:L60)+SUMSQ('Feeders Raw Data'!L41:L60)-('Feeders Raw Data'!L40-'Feeders Raw Data'!L60)^2/20)/19),"")</f>
        <v>0</v>
      </c>
      <c r="O40">
        <f>IFERROR('Feeders Raw Data'!U40,"")</f>
        <v>0</v>
      </c>
      <c r="P40">
        <f>IFERROR('Feeders Raw Data'!Z40,"")</f>
        <v>0</v>
      </c>
      <c r="Q40">
        <f>IFERROR('Feeders Raw Data'!AB40-'Feeders Raw Data'!AB41,"")</f>
        <v>0</v>
      </c>
      <c r="R40" t="str">
        <f>IFERROR(AVERAGE('Feeders Raw Data'!AB40:AB44),"")</f>
        <v/>
      </c>
      <c r="S40" t="str">
        <f>IFERROR(SUMPRODUCT('Feeders Raw Data'!V40:V59,'Feeders Raw Data'!AA40:AA59)/SUM('Feeders Raw Data'!AA40:AA59),"")</f>
        <v/>
      </c>
      <c r="T40">
        <f>IFERROR(SQRT((SUMSQ('Feeders Raw Data'!V40:V59)-2*SUMPRODUCT('Feeders Raw Data'!V40:V59,'Feeders Raw Data'!V41:V60)+SUMSQ('Feeders Raw Data'!V41:V60)-('Feeders Raw Data'!V40-'Feeders Raw Data'!V60)^2/20)/19),"")</f>
        <v>0</v>
      </c>
      <c r="V40">
        <f>IFERROR('Feeders Raw Data'!AE40,"")</f>
        <v>0</v>
      </c>
      <c r="W40">
        <f>IFERROR('Feeders Raw Data'!AJ40,"")</f>
        <v>0</v>
      </c>
      <c r="X40">
        <f>IFERROR('Feeders Raw Data'!AL40-'Feeders Raw Data'!AL41,"")</f>
        <v>0</v>
      </c>
      <c r="Y40" t="str">
        <f>IFERROR(AVERAGE('Feeders Raw Data'!AL40:AL44),"")</f>
        <v/>
      </c>
      <c r="Z40" t="str">
        <f>IFERROR(SUMPRODUCT('Feeders Raw Data'!AF40:AF59,'Feeders Raw Data'!AK40:AK59)/SUM('Feeders Raw Data'!AK40:AK59),"")</f>
        <v/>
      </c>
      <c r="AA40">
        <f>IFERROR(SQRT((SUMSQ('Feeders Raw Data'!AF40:AF59)-2*SUMPRODUCT('Feeders Raw Data'!AF40:AF59,'Feeders Raw Data'!AF41:AF60)+SUMSQ('Feeders Raw Data'!AF41:AF60)-('Feeders Raw Data'!AF40-'Feeders Raw Data'!AF60)^2/20)/19),"")</f>
        <v>0</v>
      </c>
      <c r="AC40">
        <f>IFERROR('Feeders Raw Data'!AO40,"")</f>
        <v>0</v>
      </c>
      <c r="AD40">
        <f>IFERROR('Feeders Raw Data'!AT40,"")</f>
        <v>0</v>
      </c>
      <c r="AE40">
        <f>IFERROR('Feeders Raw Data'!AV40-'Feeders Raw Data'!AV41,"")</f>
        <v>0</v>
      </c>
      <c r="AF40" t="str">
        <f>IFERROR(AVERAGE('Feeders Raw Data'!AV40:AV44),"")</f>
        <v/>
      </c>
      <c r="AG40" t="str">
        <f>IFERROR(SUMPRODUCT('Feeders Raw Data'!AP40:AP59,'Feeders Raw Data'!AU40:AU59)/SUM('Feeders Raw Data'!AU40:AU59),"")</f>
        <v/>
      </c>
      <c r="AH40">
        <f>IFERROR(SQRT((SUMSQ('Feeders Raw Data'!AP40:AP59)-2*SUMPRODUCT('Feeders Raw Data'!AP40:AP59,'Feeders Raw Data'!AP41:AP60)+SUMSQ('Feeders Raw Data'!AP41:AP60)-('Feeders Raw Data'!AP40-'Feeders Raw Data'!AP60)^2/20)/19),"")</f>
        <v>0</v>
      </c>
      <c r="AJ40">
        <f>IFERROR('Feeders Raw Data'!AY40,"")</f>
        <v>0</v>
      </c>
      <c r="AK40">
        <f>IFERROR('Feeders Raw Data'!BD40,"")</f>
        <v>0</v>
      </c>
      <c r="AL40">
        <f>IFERROR('Feeders Raw Data'!BF40-'Feeders Raw Data'!BF41,"")</f>
        <v>0</v>
      </c>
      <c r="AM40" t="str">
        <f>IFERROR(AVERAGE('Feeders Raw Data'!BF40:BF44),"")</f>
        <v/>
      </c>
      <c r="AN40" t="str">
        <f>IFERROR(SUMPRODUCT('Feeders Raw Data'!AZ40:AZ59,'Feeders Raw Data'!BE40:BE59)/SUM('Feeders Raw Data'!BE40:BE59),"")</f>
        <v/>
      </c>
      <c r="AO40">
        <f>IFERROR(SQRT((SUMSQ('Feeders Raw Data'!AZ40:AZ59)-2*SUMPRODUCT('Feeders Raw Data'!AZ40:AZ59,'Feeders Raw Data'!AZ41:AZ60)+SUMSQ('Feeders Raw Data'!AZ41:AZ60)-('Feeders Raw Data'!AZ40-'Feeders Raw Data'!AZ60)^2/20)/19),"")</f>
        <v>0</v>
      </c>
      <c r="AQ40">
        <f>IFERROR('Feeders Raw Data'!BI40,"")</f>
        <v>0</v>
      </c>
      <c r="AR40">
        <f>IFERROR('Feeders Raw Data'!BN40,"")</f>
        <v>0</v>
      </c>
      <c r="AS40">
        <f>IFERROR('Feeders Raw Data'!BP40-'Feeders Raw Data'!BP41,"")</f>
        <v>0</v>
      </c>
      <c r="AT40" t="str">
        <f>IFERROR(AVERAGE('Feeders Raw Data'!BP40:BP44),"")</f>
        <v/>
      </c>
      <c r="AU40" t="str">
        <f>IFERROR(SUMPRODUCT('Feeders Raw Data'!BJ40:BJ59,'Feeders Raw Data'!BO40:BO59)/SUM('Feeders Raw Data'!BO40:BO59),"")</f>
        <v/>
      </c>
      <c r="AV40">
        <f>IFERROR(SQRT((SUMSQ('Feeders Raw Data'!BJ40:BJ59)-2*SUMPRODUCT('Feeders Raw Data'!BJ40:BJ59,'Feeders Raw Data'!BJ41:BJ60)+SUMSQ('Feeders Raw Data'!BJ41:BJ60)-('Feeders Raw Data'!BJ40-'Feeders Raw Data'!BJ60)^2/20)/19),"")</f>
        <v>0</v>
      </c>
      <c r="AX40">
        <f>IFERROR('Feeders Raw Data'!BS40,"")</f>
        <v>0</v>
      </c>
      <c r="AY40">
        <f>IFERROR('Feeders Raw Data'!BX40,"")</f>
        <v>0</v>
      </c>
      <c r="AZ40">
        <f>IFERROR('Feeders Raw Data'!BZ40-'Feeders Raw Data'!BZ41,"")</f>
        <v>0</v>
      </c>
      <c r="BA40" t="str">
        <f>IFERROR(AVERAGE('Feeders Raw Data'!BZ40:BZ44),"")</f>
        <v/>
      </c>
      <c r="BB40" t="str">
        <f>IFERROR(SUMPRODUCT('Feeders Raw Data'!BT40:BT59,'Feeders Raw Data'!BY40:BY59)/SUM('Feeders Raw Data'!BY40:BY59),"")</f>
        <v/>
      </c>
      <c r="BC40">
        <f>IFERROR(SQRT((SUMSQ('Feeders Raw Data'!BT40:BT59)-2*SUMPRODUCT('Feeders Raw Data'!BT40:BT59,'Feeders Raw Data'!BT41:BT60)+SUMSQ('Feeders Raw Data'!BT41:BT60)-('Feeders Raw Data'!BT40-'Feeders Raw Data'!BT60)^2/20)/19),"")</f>
        <v>0</v>
      </c>
      <c r="BE40">
        <f>IFERROR('Fats Raw Data'!A40,"")</f>
        <v>0</v>
      </c>
      <c r="BF40">
        <f>IFERROR('Fats Raw Data'!F40,"")</f>
        <v>0</v>
      </c>
      <c r="BG40">
        <f>IFERROR('Fats Raw Data'!H40-'Fats Raw Data'!H41,"")</f>
        <v>0</v>
      </c>
      <c r="BH40" t="str">
        <f>IFERROR(AVERAGE('Fats Raw Data'!H40:H44),"")</f>
        <v/>
      </c>
      <c r="BI40" t="str">
        <f>IFERROR(SUMPRODUCT('Fats Raw Data'!B40:B59,'Fats Raw Data'!G40:G59)/SUM('Fats Raw Data'!G40:G59),"")</f>
        <v/>
      </c>
      <c r="BJ40">
        <f>IFERROR(SQRT((SUMSQ('Fats Raw Data'!B40:B59)-2*SUMPRODUCT('Fats Raw Data'!B40:B59,'Fats Raw Data'!B41:B60)+SUMSQ('Fats Raw Data'!B41:B60)-('Fats Raw Data'!B40-'Fats Raw Data'!B60)^2/20)/19),"")</f>
        <v>0</v>
      </c>
      <c r="BL40">
        <f>IFERROR('Fats Raw Data'!K40,"")</f>
        <v>0</v>
      </c>
      <c r="BM40">
        <f>IFERROR('Fats Raw Data'!P40,"")</f>
        <v>0</v>
      </c>
      <c r="BN40">
        <f>IFERROR('Fats Raw Data'!R40-'Fats Raw Data'!R41,"")</f>
        <v>0</v>
      </c>
      <c r="BO40" t="str">
        <f>IFERROR(AVERAGE('Fats Raw Data'!R40:R44),"")</f>
        <v/>
      </c>
      <c r="BP40" t="str">
        <f>IFERROR(SUMPRODUCT('Fats Raw Data'!L40:L59,'Fats Raw Data'!Q40:Q59)/SUM('Fats Raw Data'!Q40:Q59),"")</f>
        <v/>
      </c>
      <c r="BQ40">
        <f>IFERROR(SQRT((SUMSQ('Fats Raw Data'!L40:L59)-2*SUMPRODUCT('Fats Raw Data'!L40:L59,'Fats Raw Data'!L41:L60)+SUMSQ('Fats Raw Data'!L41:L60)-('Fats Raw Data'!L40-'Fats Raw Data'!L60)^2/20)/19),"")</f>
        <v>0</v>
      </c>
      <c r="BS40">
        <f>IFERROR('Fats Raw Data'!U40,"")</f>
        <v>0</v>
      </c>
      <c r="BT40">
        <f>IFERROR('Fats Raw Data'!Z40,"")</f>
        <v>0</v>
      </c>
      <c r="BU40">
        <f>IFERROR('Fats Raw Data'!AB40-'Fats Raw Data'!AB41,"")</f>
        <v>0</v>
      </c>
      <c r="BV40" t="str">
        <f>IFERROR(AVERAGE('Fats Raw Data'!AB40:AB44),"")</f>
        <v/>
      </c>
      <c r="BW40" t="str">
        <f>IFERROR(SUMPRODUCT('Fats Raw Data'!V40:V59,'Fats Raw Data'!AA40:AA59)/SUM('Fats Raw Data'!AA40:AA59),"")</f>
        <v/>
      </c>
      <c r="BX40">
        <f>IFERROR(SQRT((SUMSQ('Fats Raw Data'!V40:V59)-2*SUMPRODUCT('Fats Raw Data'!V40:V59,'Fats Raw Data'!V41:V60)+SUMSQ('Fats Raw Data'!V41:V60)-('Fats Raw Data'!V40-'Fats Raw Data'!V60)^2/20)/19),"")</f>
        <v>0</v>
      </c>
      <c r="BZ40">
        <f>IFERROR('Fats Raw Data'!AE40,"")</f>
        <v>0</v>
      </c>
      <c r="CA40">
        <f>IFERROR('Fats Raw Data'!AJ40,"")</f>
        <v>0</v>
      </c>
      <c r="CB40">
        <f>IFERROR('Fats Raw Data'!AL40-'Fats Raw Data'!AL41,"")</f>
        <v>0</v>
      </c>
      <c r="CC40" t="str">
        <f>IFERROR(AVERAGE('Fats Raw Data'!AL40:AL44),"")</f>
        <v/>
      </c>
      <c r="CD40" t="str">
        <f>IFERROR(SUMPRODUCT('Fats Raw Data'!AF40:AF59,'Fats Raw Data'!AK40:AK59)/SUM('Fats Raw Data'!AK40:AK59),"")</f>
        <v/>
      </c>
      <c r="CE40">
        <f>IFERROR(SQRT((SUMSQ('Fats Raw Data'!AF40:AF59)-2*SUMPRODUCT('Fats Raw Data'!AF40:AF59,'Fats Raw Data'!AF41:AF60)+SUMSQ('Fats Raw Data'!AF41:AF60)-('Fats Raw Data'!AF40-'Fats Raw Data'!AF60)^2/20)/19),"")</f>
        <v>0</v>
      </c>
      <c r="CG40">
        <f>IFERROR('Fats Raw Data'!AO40,"")</f>
        <v>0</v>
      </c>
      <c r="CH40">
        <f>IFERROR('Fats Raw Data'!AT40,"")</f>
        <v>0</v>
      </c>
      <c r="CI40">
        <f>IFERROR('Fats Raw Data'!AV40-'Fats Raw Data'!AV41,"")</f>
        <v>0</v>
      </c>
      <c r="CJ40" t="str">
        <f>IFERROR(AVERAGE('Fats Raw Data'!AV40:AV44),"")</f>
        <v/>
      </c>
      <c r="CK40" t="str">
        <f>IFERROR(SUMPRODUCT('Fats Raw Data'!AP40:AP59,'Fats Raw Data'!AU40:AU59)/SUM('Fats Raw Data'!AU40:AU59),"")</f>
        <v/>
      </c>
      <c r="CL40">
        <f>IFERROR(SQRT((SUMSQ('Fats Raw Data'!AP40:AP59)-2*SUMPRODUCT('Fats Raw Data'!AP40:AP59,'Fats Raw Data'!AP41:AP60)+SUMSQ('Fats Raw Data'!AP41:AP60)-('Fats Raw Data'!AP40-'Fats Raw Data'!AP60)^2/20)/19),"")</f>
        <v>0</v>
      </c>
      <c r="CN40">
        <f>IFERROR('Fats Raw Data'!AY40,"")</f>
        <v>0</v>
      </c>
      <c r="CO40">
        <f>IFERROR('Fats Raw Data'!BD40,"")</f>
        <v>0</v>
      </c>
      <c r="CP40">
        <f>IFERROR('Fats Raw Data'!BF40-'Fats Raw Data'!BF41,"")</f>
        <v>0</v>
      </c>
      <c r="CQ40" t="str">
        <f>IFERROR(AVERAGE('Fats Raw Data'!BF40:BF44),"")</f>
        <v/>
      </c>
      <c r="CR40" t="str">
        <f>IFERROR(SUMPRODUCT('Fats Raw Data'!AZ40:AZ59,'Fats Raw Data'!BE40:BE59)/SUM('Fats Raw Data'!BE40:BE59),"")</f>
        <v/>
      </c>
      <c r="CS40">
        <f>IFERROR(SQRT((SUMSQ('Fats Raw Data'!AZ40:AZ59)-2*SUMPRODUCT('Fats Raw Data'!AZ40:AZ59,'Fats Raw Data'!AZ41:AZ60)+SUMSQ('Fats Raw Data'!AZ41:AZ60)-('Fats Raw Data'!AZ40-'Fats Raw Data'!AZ60)^2/20)/19),"")</f>
        <v>0</v>
      </c>
    </row>
    <row r="41" spans="1:97" x14ac:dyDescent="0.25">
      <c r="A41">
        <f>IFERROR('Feeders Raw Data'!A41,"")</f>
        <v>0</v>
      </c>
      <c r="B41">
        <f>IFERROR('Feeders Raw Data'!F41,"")</f>
        <v>0</v>
      </c>
      <c r="C41">
        <f>IFERROR('Feeders Raw Data'!H41-'Feeders Raw Data'!H42,"")</f>
        <v>0</v>
      </c>
      <c r="D41" t="str">
        <f>IFERROR(AVERAGE('Feeders Raw Data'!H41:H45),"")</f>
        <v/>
      </c>
      <c r="E41" t="str">
        <f>IFERROR(SUMPRODUCT('Feeders Raw Data'!B41:B60,'Feeders Raw Data'!G41:G60)/SUM('Feeders Raw Data'!G41:G60),"")</f>
        <v/>
      </c>
      <c r="F41">
        <f>IFERROR(SQRT((SUMSQ('Feeders Raw Data'!B41:B60)-2*SUMPRODUCT('Feeders Raw Data'!B41:B60,'Feeders Raw Data'!B42:B61)+SUMSQ('Feeders Raw Data'!B42:B61)-('Feeders Raw Data'!B41-'Feeders Raw Data'!B61)^2/20)/19),"")</f>
        <v>0</v>
      </c>
      <c r="H41">
        <f>IFERROR('Feeders Raw Data'!K41,"")</f>
        <v>0</v>
      </c>
      <c r="I41">
        <f>IFERROR('Feeders Raw Data'!P41,"")</f>
        <v>0</v>
      </c>
      <c r="J41">
        <f>IFERROR('Feeders Raw Data'!R41-'Feeders Raw Data'!R42,"")</f>
        <v>0</v>
      </c>
      <c r="K41" t="str">
        <f>IFERROR(AVERAGE('Feeders Raw Data'!R41:R45),"")</f>
        <v/>
      </c>
      <c r="L41" t="str">
        <f>IFERROR(SUMPRODUCT('Feeders Raw Data'!L41:L60,'Feeders Raw Data'!Q41:Q60)/SUM('Feeders Raw Data'!Q41:Q60),"")</f>
        <v/>
      </c>
      <c r="M41">
        <f>IFERROR(SQRT((SUMSQ('Feeders Raw Data'!L41:L60)-2*SUMPRODUCT('Feeders Raw Data'!L41:L60,'Feeders Raw Data'!L42:L61)+SUMSQ('Feeders Raw Data'!L42:L61)-('Feeders Raw Data'!L41-'Feeders Raw Data'!L61)^2/20)/19),"")</f>
        <v>0</v>
      </c>
      <c r="O41">
        <f>IFERROR('Feeders Raw Data'!U41,"")</f>
        <v>0</v>
      </c>
      <c r="P41">
        <f>IFERROR('Feeders Raw Data'!Z41,"")</f>
        <v>0</v>
      </c>
      <c r="Q41">
        <f>IFERROR('Feeders Raw Data'!AB41-'Feeders Raw Data'!AB42,"")</f>
        <v>0</v>
      </c>
      <c r="R41" t="str">
        <f>IFERROR(AVERAGE('Feeders Raw Data'!AB41:AB45),"")</f>
        <v/>
      </c>
      <c r="S41" t="str">
        <f>IFERROR(SUMPRODUCT('Feeders Raw Data'!V41:V60,'Feeders Raw Data'!AA41:AA60)/SUM('Feeders Raw Data'!AA41:AA60),"")</f>
        <v/>
      </c>
      <c r="T41">
        <f>IFERROR(SQRT((SUMSQ('Feeders Raw Data'!V41:V60)-2*SUMPRODUCT('Feeders Raw Data'!V41:V60,'Feeders Raw Data'!V42:V61)+SUMSQ('Feeders Raw Data'!V42:V61)-('Feeders Raw Data'!V41-'Feeders Raw Data'!V61)^2/20)/19),"")</f>
        <v>0</v>
      </c>
      <c r="V41">
        <f>IFERROR('Feeders Raw Data'!AE41,"")</f>
        <v>0</v>
      </c>
      <c r="W41">
        <f>IFERROR('Feeders Raw Data'!AJ41,"")</f>
        <v>0</v>
      </c>
      <c r="X41">
        <f>IFERROR('Feeders Raw Data'!AL41-'Feeders Raw Data'!AL42,"")</f>
        <v>0</v>
      </c>
      <c r="Y41" t="str">
        <f>IFERROR(AVERAGE('Feeders Raw Data'!AL41:AL45),"")</f>
        <v/>
      </c>
      <c r="Z41" t="str">
        <f>IFERROR(SUMPRODUCT('Feeders Raw Data'!AF41:AF60,'Feeders Raw Data'!AK41:AK60)/SUM('Feeders Raw Data'!AK41:AK60),"")</f>
        <v/>
      </c>
      <c r="AA41">
        <f>IFERROR(SQRT((SUMSQ('Feeders Raw Data'!AF41:AF60)-2*SUMPRODUCT('Feeders Raw Data'!AF41:AF60,'Feeders Raw Data'!AF42:AF61)+SUMSQ('Feeders Raw Data'!AF42:AF61)-('Feeders Raw Data'!AF41-'Feeders Raw Data'!AF61)^2/20)/19),"")</f>
        <v>0</v>
      </c>
      <c r="AC41">
        <f>IFERROR('Feeders Raw Data'!AO41,"")</f>
        <v>0</v>
      </c>
      <c r="AD41">
        <f>IFERROR('Feeders Raw Data'!AT41,"")</f>
        <v>0</v>
      </c>
      <c r="AE41">
        <f>IFERROR('Feeders Raw Data'!AV41-'Feeders Raw Data'!AV42,"")</f>
        <v>0</v>
      </c>
      <c r="AF41" t="str">
        <f>IFERROR(AVERAGE('Feeders Raw Data'!AV41:AV45),"")</f>
        <v/>
      </c>
      <c r="AG41" t="str">
        <f>IFERROR(SUMPRODUCT('Feeders Raw Data'!AP41:AP60,'Feeders Raw Data'!AU41:AU60)/SUM('Feeders Raw Data'!AU41:AU60),"")</f>
        <v/>
      </c>
      <c r="AH41">
        <f>IFERROR(SQRT((SUMSQ('Feeders Raw Data'!AP41:AP60)-2*SUMPRODUCT('Feeders Raw Data'!AP41:AP60,'Feeders Raw Data'!AP42:AP61)+SUMSQ('Feeders Raw Data'!AP42:AP61)-('Feeders Raw Data'!AP41-'Feeders Raw Data'!AP61)^2/20)/19),"")</f>
        <v>0</v>
      </c>
      <c r="AJ41">
        <f>IFERROR('Feeders Raw Data'!AY41,"")</f>
        <v>0</v>
      </c>
      <c r="AK41">
        <f>IFERROR('Feeders Raw Data'!BD41,"")</f>
        <v>0</v>
      </c>
      <c r="AL41">
        <f>IFERROR('Feeders Raw Data'!BF41-'Feeders Raw Data'!BF42,"")</f>
        <v>0</v>
      </c>
      <c r="AM41" t="str">
        <f>IFERROR(AVERAGE('Feeders Raw Data'!BF41:BF45),"")</f>
        <v/>
      </c>
      <c r="AN41" t="str">
        <f>IFERROR(SUMPRODUCT('Feeders Raw Data'!AZ41:AZ60,'Feeders Raw Data'!BE41:BE60)/SUM('Feeders Raw Data'!BE41:BE60),"")</f>
        <v/>
      </c>
      <c r="AO41">
        <f>IFERROR(SQRT((SUMSQ('Feeders Raw Data'!AZ41:AZ60)-2*SUMPRODUCT('Feeders Raw Data'!AZ41:AZ60,'Feeders Raw Data'!AZ42:AZ61)+SUMSQ('Feeders Raw Data'!AZ42:AZ61)-('Feeders Raw Data'!AZ41-'Feeders Raw Data'!AZ61)^2/20)/19),"")</f>
        <v>0</v>
      </c>
      <c r="AQ41">
        <f>IFERROR('Feeders Raw Data'!BI41,"")</f>
        <v>0</v>
      </c>
      <c r="AR41">
        <f>IFERROR('Feeders Raw Data'!BN41,"")</f>
        <v>0</v>
      </c>
      <c r="AS41">
        <f>IFERROR('Feeders Raw Data'!BP41-'Feeders Raw Data'!BP42,"")</f>
        <v>0</v>
      </c>
      <c r="AT41" t="str">
        <f>IFERROR(AVERAGE('Feeders Raw Data'!BP41:BP45),"")</f>
        <v/>
      </c>
      <c r="AU41" t="str">
        <f>IFERROR(SUMPRODUCT('Feeders Raw Data'!BJ41:BJ60,'Feeders Raw Data'!BO41:BO60)/SUM('Feeders Raw Data'!BO41:BO60),"")</f>
        <v/>
      </c>
      <c r="AV41">
        <f>IFERROR(SQRT((SUMSQ('Feeders Raw Data'!BJ41:BJ60)-2*SUMPRODUCT('Feeders Raw Data'!BJ41:BJ60,'Feeders Raw Data'!BJ42:BJ61)+SUMSQ('Feeders Raw Data'!BJ42:BJ61)-('Feeders Raw Data'!BJ41-'Feeders Raw Data'!BJ61)^2/20)/19),"")</f>
        <v>0</v>
      </c>
      <c r="AX41">
        <f>IFERROR('Feeders Raw Data'!BS41,"")</f>
        <v>0</v>
      </c>
      <c r="AY41">
        <f>IFERROR('Feeders Raw Data'!BX41,"")</f>
        <v>0</v>
      </c>
      <c r="AZ41">
        <f>IFERROR('Feeders Raw Data'!BZ41-'Feeders Raw Data'!BZ42,"")</f>
        <v>0</v>
      </c>
      <c r="BA41" t="str">
        <f>IFERROR(AVERAGE('Feeders Raw Data'!BZ41:BZ45),"")</f>
        <v/>
      </c>
      <c r="BB41" t="str">
        <f>IFERROR(SUMPRODUCT('Feeders Raw Data'!BT41:BT60,'Feeders Raw Data'!BY41:BY60)/SUM('Feeders Raw Data'!BY41:BY60),"")</f>
        <v/>
      </c>
      <c r="BC41">
        <f>IFERROR(SQRT((SUMSQ('Feeders Raw Data'!BT41:BT60)-2*SUMPRODUCT('Feeders Raw Data'!BT41:BT60,'Feeders Raw Data'!BT42:BT61)+SUMSQ('Feeders Raw Data'!BT42:BT61)-('Feeders Raw Data'!BT41-'Feeders Raw Data'!BT61)^2/20)/19),"")</f>
        <v>0</v>
      </c>
      <c r="BE41">
        <f>IFERROR('Fats Raw Data'!A41,"")</f>
        <v>0</v>
      </c>
      <c r="BF41">
        <f>IFERROR('Fats Raw Data'!F41,"")</f>
        <v>0</v>
      </c>
      <c r="BG41">
        <f>IFERROR('Fats Raw Data'!H41-'Fats Raw Data'!H42,"")</f>
        <v>0</v>
      </c>
      <c r="BH41" t="str">
        <f>IFERROR(AVERAGE('Fats Raw Data'!H41:H45),"")</f>
        <v/>
      </c>
      <c r="BI41" t="str">
        <f>IFERROR(SUMPRODUCT('Fats Raw Data'!B41:B60,'Fats Raw Data'!G41:G60)/SUM('Fats Raw Data'!G41:G60),"")</f>
        <v/>
      </c>
      <c r="BJ41">
        <f>IFERROR(SQRT((SUMSQ('Fats Raw Data'!B41:B60)-2*SUMPRODUCT('Fats Raw Data'!B41:B60,'Fats Raw Data'!B42:B61)+SUMSQ('Fats Raw Data'!B42:B61)-('Fats Raw Data'!B41-'Fats Raw Data'!B61)^2/20)/19),"")</f>
        <v>0</v>
      </c>
      <c r="BL41">
        <f>IFERROR('Fats Raw Data'!K41,"")</f>
        <v>0</v>
      </c>
      <c r="BM41">
        <f>IFERROR('Fats Raw Data'!P41,"")</f>
        <v>0</v>
      </c>
      <c r="BN41">
        <f>IFERROR('Fats Raw Data'!R41-'Fats Raw Data'!R42,"")</f>
        <v>0</v>
      </c>
      <c r="BO41" t="str">
        <f>IFERROR(AVERAGE('Fats Raw Data'!R41:R45),"")</f>
        <v/>
      </c>
      <c r="BP41" t="str">
        <f>IFERROR(SUMPRODUCT('Fats Raw Data'!L41:L60,'Fats Raw Data'!Q41:Q60)/SUM('Fats Raw Data'!Q41:Q60),"")</f>
        <v/>
      </c>
      <c r="BQ41">
        <f>IFERROR(SQRT((SUMSQ('Fats Raw Data'!L41:L60)-2*SUMPRODUCT('Fats Raw Data'!L41:L60,'Fats Raw Data'!L42:L61)+SUMSQ('Fats Raw Data'!L42:L61)-('Fats Raw Data'!L41-'Fats Raw Data'!L61)^2/20)/19),"")</f>
        <v>0</v>
      </c>
      <c r="BS41">
        <f>IFERROR('Fats Raw Data'!U41,"")</f>
        <v>0</v>
      </c>
      <c r="BT41">
        <f>IFERROR('Fats Raw Data'!Z41,"")</f>
        <v>0</v>
      </c>
      <c r="BU41">
        <f>IFERROR('Fats Raw Data'!AB41-'Fats Raw Data'!AB42,"")</f>
        <v>0</v>
      </c>
      <c r="BV41" t="str">
        <f>IFERROR(AVERAGE('Fats Raw Data'!AB41:AB45),"")</f>
        <v/>
      </c>
      <c r="BW41" t="str">
        <f>IFERROR(SUMPRODUCT('Fats Raw Data'!V41:V60,'Fats Raw Data'!AA41:AA60)/SUM('Fats Raw Data'!AA41:AA60),"")</f>
        <v/>
      </c>
      <c r="BX41">
        <f>IFERROR(SQRT((SUMSQ('Fats Raw Data'!V41:V60)-2*SUMPRODUCT('Fats Raw Data'!V41:V60,'Fats Raw Data'!V42:V61)+SUMSQ('Fats Raw Data'!V42:V61)-('Fats Raw Data'!V41-'Fats Raw Data'!V61)^2/20)/19),"")</f>
        <v>0</v>
      </c>
      <c r="BZ41">
        <f>IFERROR('Fats Raw Data'!AE41,"")</f>
        <v>0</v>
      </c>
      <c r="CA41">
        <f>IFERROR('Fats Raw Data'!AJ41,"")</f>
        <v>0</v>
      </c>
      <c r="CB41">
        <f>IFERROR('Fats Raw Data'!AL41-'Fats Raw Data'!AL42,"")</f>
        <v>0</v>
      </c>
      <c r="CC41" t="str">
        <f>IFERROR(AVERAGE('Fats Raw Data'!AL41:AL45),"")</f>
        <v/>
      </c>
      <c r="CD41" t="str">
        <f>IFERROR(SUMPRODUCT('Fats Raw Data'!AF41:AF60,'Fats Raw Data'!AK41:AK60)/SUM('Fats Raw Data'!AK41:AK60),"")</f>
        <v/>
      </c>
      <c r="CE41">
        <f>IFERROR(SQRT((SUMSQ('Fats Raw Data'!AF41:AF60)-2*SUMPRODUCT('Fats Raw Data'!AF41:AF60,'Fats Raw Data'!AF42:AF61)+SUMSQ('Fats Raw Data'!AF42:AF61)-('Fats Raw Data'!AF41-'Fats Raw Data'!AF61)^2/20)/19),"")</f>
        <v>0</v>
      </c>
      <c r="CG41">
        <f>IFERROR('Fats Raw Data'!AO41,"")</f>
        <v>0</v>
      </c>
      <c r="CH41">
        <f>IFERROR('Fats Raw Data'!AT41,"")</f>
        <v>0</v>
      </c>
      <c r="CI41">
        <f>IFERROR('Fats Raw Data'!AV41-'Fats Raw Data'!AV42,"")</f>
        <v>0</v>
      </c>
      <c r="CJ41" t="str">
        <f>IFERROR(AVERAGE('Fats Raw Data'!AV41:AV45),"")</f>
        <v/>
      </c>
      <c r="CK41" t="str">
        <f>IFERROR(SUMPRODUCT('Fats Raw Data'!AP41:AP60,'Fats Raw Data'!AU41:AU60)/SUM('Fats Raw Data'!AU41:AU60),"")</f>
        <v/>
      </c>
      <c r="CL41">
        <f>IFERROR(SQRT((SUMSQ('Fats Raw Data'!AP41:AP60)-2*SUMPRODUCT('Fats Raw Data'!AP41:AP60,'Fats Raw Data'!AP42:AP61)+SUMSQ('Fats Raw Data'!AP42:AP61)-('Fats Raw Data'!AP41-'Fats Raw Data'!AP61)^2/20)/19),"")</f>
        <v>0</v>
      </c>
      <c r="CN41">
        <f>IFERROR('Fats Raw Data'!AY41,"")</f>
        <v>0</v>
      </c>
      <c r="CO41">
        <f>IFERROR('Fats Raw Data'!BD41,"")</f>
        <v>0</v>
      </c>
      <c r="CP41">
        <f>IFERROR('Fats Raw Data'!BF41-'Fats Raw Data'!BF42,"")</f>
        <v>0</v>
      </c>
      <c r="CQ41" t="str">
        <f>IFERROR(AVERAGE('Fats Raw Data'!BF41:BF45),"")</f>
        <v/>
      </c>
      <c r="CR41" t="str">
        <f>IFERROR(SUMPRODUCT('Fats Raw Data'!AZ41:AZ60,'Fats Raw Data'!BE41:BE60)/SUM('Fats Raw Data'!BE41:BE60),"")</f>
        <v/>
      </c>
      <c r="CS41">
        <f>IFERROR(SQRT((SUMSQ('Fats Raw Data'!AZ41:AZ60)-2*SUMPRODUCT('Fats Raw Data'!AZ41:AZ60,'Fats Raw Data'!AZ42:AZ61)+SUMSQ('Fats Raw Data'!AZ42:AZ61)-('Fats Raw Data'!AZ41-'Fats Raw Data'!AZ61)^2/20)/19),"")</f>
        <v>0</v>
      </c>
    </row>
    <row r="42" spans="1:97" x14ac:dyDescent="0.25">
      <c r="A42">
        <f>IFERROR('Feeders Raw Data'!A42,"")</f>
        <v>0</v>
      </c>
      <c r="B42">
        <f>IFERROR('Feeders Raw Data'!F42,"")</f>
        <v>0</v>
      </c>
      <c r="C42">
        <f>IFERROR('Feeders Raw Data'!H42-'Feeders Raw Data'!H43,"")</f>
        <v>0</v>
      </c>
      <c r="D42" t="str">
        <f>IFERROR(AVERAGE('Feeders Raw Data'!H42:H46),"")</f>
        <v/>
      </c>
      <c r="E42" t="str">
        <f>IFERROR(SUMPRODUCT('Feeders Raw Data'!B42:B61,'Feeders Raw Data'!G42:G61)/SUM('Feeders Raw Data'!G42:G61),"")</f>
        <v/>
      </c>
      <c r="F42">
        <f>IFERROR(SQRT((SUMSQ('Feeders Raw Data'!B42:B61)-2*SUMPRODUCT('Feeders Raw Data'!B42:B61,'Feeders Raw Data'!B43:B62)+SUMSQ('Feeders Raw Data'!B43:B62)-('Feeders Raw Data'!B42-'Feeders Raw Data'!B62)^2/20)/19),"")</f>
        <v>0</v>
      </c>
      <c r="H42">
        <f>IFERROR('Feeders Raw Data'!K42,"")</f>
        <v>0</v>
      </c>
      <c r="I42">
        <f>IFERROR('Feeders Raw Data'!P42,"")</f>
        <v>0</v>
      </c>
      <c r="J42">
        <f>IFERROR('Feeders Raw Data'!R42-'Feeders Raw Data'!R43,"")</f>
        <v>0</v>
      </c>
      <c r="K42" t="str">
        <f>IFERROR(AVERAGE('Feeders Raw Data'!R42:R46),"")</f>
        <v/>
      </c>
      <c r="L42" t="str">
        <f>IFERROR(SUMPRODUCT('Feeders Raw Data'!L42:L61,'Feeders Raw Data'!Q42:Q61)/SUM('Feeders Raw Data'!Q42:Q61),"")</f>
        <v/>
      </c>
      <c r="M42">
        <f>IFERROR(SQRT((SUMSQ('Feeders Raw Data'!L42:L61)-2*SUMPRODUCT('Feeders Raw Data'!L42:L61,'Feeders Raw Data'!L43:L62)+SUMSQ('Feeders Raw Data'!L43:L62)-('Feeders Raw Data'!L42-'Feeders Raw Data'!L62)^2/20)/19),"")</f>
        <v>0</v>
      </c>
      <c r="O42">
        <f>IFERROR('Feeders Raw Data'!U42,"")</f>
        <v>0</v>
      </c>
      <c r="P42">
        <f>IFERROR('Feeders Raw Data'!Z42,"")</f>
        <v>0</v>
      </c>
      <c r="Q42">
        <f>IFERROR('Feeders Raw Data'!AB42-'Feeders Raw Data'!AB43,"")</f>
        <v>0</v>
      </c>
      <c r="R42" t="str">
        <f>IFERROR(AVERAGE('Feeders Raw Data'!AB42:AB46),"")</f>
        <v/>
      </c>
      <c r="S42" t="str">
        <f>IFERROR(SUMPRODUCT('Feeders Raw Data'!V42:V61,'Feeders Raw Data'!AA42:AA61)/SUM('Feeders Raw Data'!AA42:AA61),"")</f>
        <v/>
      </c>
      <c r="T42">
        <f>IFERROR(SQRT((SUMSQ('Feeders Raw Data'!V42:V61)-2*SUMPRODUCT('Feeders Raw Data'!V42:V61,'Feeders Raw Data'!V43:V62)+SUMSQ('Feeders Raw Data'!V43:V62)-('Feeders Raw Data'!V42-'Feeders Raw Data'!V62)^2/20)/19),"")</f>
        <v>0</v>
      </c>
      <c r="V42">
        <f>IFERROR('Feeders Raw Data'!AE42,"")</f>
        <v>0</v>
      </c>
      <c r="W42">
        <f>IFERROR('Feeders Raw Data'!AJ42,"")</f>
        <v>0</v>
      </c>
      <c r="X42">
        <f>IFERROR('Feeders Raw Data'!AL42-'Feeders Raw Data'!AL43,"")</f>
        <v>0</v>
      </c>
      <c r="Y42" t="str">
        <f>IFERROR(AVERAGE('Feeders Raw Data'!AL42:AL46),"")</f>
        <v/>
      </c>
      <c r="Z42" t="str">
        <f>IFERROR(SUMPRODUCT('Feeders Raw Data'!AF42:AF61,'Feeders Raw Data'!AK42:AK61)/SUM('Feeders Raw Data'!AK42:AK61),"")</f>
        <v/>
      </c>
      <c r="AA42">
        <f>IFERROR(SQRT((SUMSQ('Feeders Raw Data'!AF42:AF61)-2*SUMPRODUCT('Feeders Raw Data'!AF42:AF61,'Feeders Raw Data'!AF43:AF62)+SUMSQ('Feeders Raw Data'!AF43:AF62)-('Feeders Raw Data'!AF42-'Feeders Raw Data'!AF62)^2/20)/19),"")</f>
        <v>0</v>
      </c>
      <c r="AC42">
        <f>IFERROR('Feeders Raw Data'!AO42,"")</f>
        <v>0</v>
      </c>
      <c r="AD42">
        <f>IFERROR('Feeders Raw Data'!AT42,"")</f>
        <v>0</v>
      </c>
      <c r="AE42">
        <f>IFERROR('Feeders Raw Data'!AV42-'Feeders Raw Data'!AV43,"")</f>
        <v>0</v>
      </c>
      <c r="AF42" t="str">
        <f>IFERROR(AVERAGE('Feeders Raw Data'!AV42:AV46),"")</f>
        <v/>
      </c>
      <c r="AG42" t="str">
        <f>IFERROR(SUMPRODUCT('Feeders Raw Data'!AP42:AP61,'Feeders Raw Data'!AU42:AU61)/SUM('Feeders Raw Data'!AU42:AU61),"")</f>
        <v/>
      </c>
      <c r="AH42">
        <f>IFERROR(SQRT((SUMSQ('Feeders Raw Data'!AP42:AP61)-2*SUMPRODUCT('Feeders Raw Data'!AP42:AP61,'Feeders Raw Data'!AP43:AP62)+SUMSQ('Feeders Raw Data'!AP43:AP62)-('Feeders Raw Data'!AP42-'Feeders Raw Data'!AP62)^2/20)/19),"")</f>
        <v>0</v>
      </c>
      <c r="AJ42">
        <f>IFERROR('Feeders Raw Data'!AY42,"")</f>
        <v>0</v>
      </c>
      <c r="AK42">
        <f>IFERROR('Feeders Raw Data'!BD42,"")</f>
        <v>0</v>
      </c>
      <c r="AL42">
        <f>IFERROR('Feeders Raw Data'!BF42-'Feeders Raw Data'!BF43,"")</f>
        <v>0</v>
      </c>
      <c r="AM42" t="str">
        <f>IFERROR(AVERAGE('Feeders Raw Data'!BF42:BF46),"")</f>
        <v/>
      </c>
      <c r="AN42" t="str">
        <f>IFERROR(SUMPRODUCT('Feeders Raw Data'!AZ42:AZ61,'Feeders Raw Data'!BE42:BE61)/SUM('Feeders Raw Data'!BE42:BE61),"")</f>
        <v/>
      </c>
      <c r="AO42">
        <f>IFERROR(SQRT((SUMSQ('Feeders Raw Data'!AZ42:AZ61)-2*SUMPRODUCT('Feeders Raw Data'!AZ42:AZ61,'Feeders Raw Data'!AZ43:AZ62)+SUMSQ('Feeders Raw Data'!AZ43:AZ62)-('Feeders Raw Data'!AZ42-'Feeders Raw Data'!AZ62)^2/20)/19),"")</f>
        <v>0</v>
      </c>
      <c r="AQ42">
        <f>IFERROR('Feeders Raw Data'!BI42,"")</f>
        <v>0</v>
      </c>
      <c r="AR42">
        <f>IFERROR('Feeders Raw Data'!BN42,"")</f>
        <v>0</v>
      </c>
      <c r="AS42">
        <f>IFERROR('Feeders Raw Data'!BP42-'Feeders Raw Data'!BP43,"")</f>
        <v>0</v>
      </c>
      <c r="AT42" t="str">
        <f>IFERROR(AVERAGE('Feeders Raw Data'!BP42:BP46),"")</f>
        <v/>
      </c>
      <c r="AU42" t="str">
        <f>IFERROR(SUMPRODUCT('Feeders Raw Data'!BJ42:BJ61,'Feeders Raw Data'!BO42:BO61)/SUM('Feeders Raw Data'!BO42:BO61),"")</f>
        <v/>
      </c>
      <c r="AV42">
        <f>IFERROR(SQRT((SUMSQ('Feeders Raw Data'!BJ42:BJ61)-2*SUMPRODUCT('Feeders Raw Data'!BJ42:BJ61,'Feeders Raw Data'!BJ43:BJ62)+SUMSQ('Feeders Raw Data'!BJ43:BJ62)-('Feeders Raw Data'!BJ42-'Feeders Raw Data'!BJ62)^2/20)/19),"")</f>
        <v>0</v>
      </c>
      <c r="AX42">
        <f>IFERROR('Feeders Raw Data'!BS42,"")</f>
        <v>0</v>
      </c>
      <c r="AY42">
        <f>IFERROR('Feeders Raw Data'!BX42,"")</f>
        <v>0</v>
      </c>
      <c r="AZ42">
        <f>IFERROR('Feeders Raw Data'!BZ42-'Feeders Raw Data'!BZ43,"")</f>
        <v>0</v>
      </c>
      <c r="BA42" t="str">
        <f>IFERROR(AVERAGE('Feeders Raw Data'!BZ42:BZ46),"")</f>
        <v/>
      </c>
      <c r="BB42" t="str">
        <f>IFERROR(SUMPRODUCT('Feeders Raw Data'!BT42:BT61,'Feeders Raw Data'!BY42:BY61)/SUM('Feeders Raw Data'!BY42:BY61),"")</f>
        <v/>
      </c>
      <c r="BC42">
        <f>IFERROR(SQRT((SUMSQ('Feeders Raw Data'!BT42:BT61)-2*SUMPRODUCT('Feeders Raw Data'!BT42:BT61,'Feeders Raw Data'!BT43:BT62)+SUMSQ('Feeders Raw Data'!BT43:BT62)-('Feeders Raw Data'!BT42-'Feeders Raw Data'!BT62)^2/20)/19),"")</f>
        <v>0</v>
      </c>
      <c r="BE42">
        <f>IFERROR('Fats Raw Data'!A42,"")</f>
        <v>0</v>
      </c>
      <c r="BF42">
        <f>IFERROR('Fats Raw Data'!F42,"")</f>
        <v>0</v>
      </c>
      <c r="BG42">
        <f>IFERROR('Fats Raw Data'!H42-'Fats Raw Data'!H43,"")</f>
        <v>0</v>
      </c>
      <c r="BH42" t="str">
        <f>IFERROR(AVERAGE('Fats Raw Data'!H42:H46),"")</f>
        <v/>
      </c>
      <c r="BI42" t="str">
        <f>IFERROR(SUMPRODUCT('Fats Raw Data'!B42:B61,'Fats Raw Data'!G42:G61)/SUM('Fats Raw Data'!G42:G61),"")</f>
        <v/>
      </c>
      <c r="BJ42">
        <f>IFERROR(SQRT((SUMSQ('Fats Raw Data'!B42:B61)-2*SUMPRODUCT('Fats Raw Data'!B42:B61,'Fats Raw Data'!B43:B62)+SUMSQ('Fats Raw Data'!B43:B62)-('Fats Raw Data'!B42-'Fats Raw Data'!B62)^2/20)/19),"")</f>
        <v>0</v>
      </c>
      <c r="BL42">
        <f>IFERROR('Fats Raw Data'!K42,"")</f>
        <v>0</v>
      </c>
      <c r="BM42">
        <f>IFERROR('Fats Raw Data'!P42,"")</f>
        <v>0</v>
      </c>
      <c r="BN42">
        <f>IFERROR('Fats Raw Data'!R42-'Fats Raw Data'!R43,"")</f>
        <v>0</v>
      </c>
      <c r="BO42" t="str">
        <f>IFERROR(AVERAGE('Fats Raw Data'!R42:R46),"")</f>
        <v/>
      </c>
      <c r="BP42" t="str">
        <f>IFERROR(SUMPRODUCT('Fats Raw Data'!L42:L61,'Fats Raw Data'!Q42:Q61)/SUM('Fats Raw Data'!Q42:Q61),"")</f>
        <v/>
      </c>
      <c r="BQ42">
        <f>IFERROR(SQRT((SUMSQ('Fats Raw Data'!L42:L61)-2*SUMPRODUCT('Fats Raw Data'!L42:L61,'Fats Raw Data'!L43:L62)+SUMSQ('Fats Raw Data'!L43:L62)-('Fats Raw Data'!L42-'Fats Raw Data'!L62)^2/20)/19),"")</f>
        <v>0</v>
      </c>
      <c r="BS42">
        <f>IFERROR('Fats Raw Data'!U42,"")</f>
        <v>0</v>
      </c>
      <c r="BT42">
        <f>IFERROR('Fats Raw Data'!Z42,"")</f>
        <v>0</v>
      </c>
      <c r="BU42">
        <f>IFERROR('Fats Raw Data'!AB42-'Fats Raw Data'!AB43,"")</f>
        <v>0</v>
      </c>
      <c r="BV42" t="str">
        <f>IFERROR(AVERAGE('Fats Raw Data'!AB42:AB46),"")</f>
        <v/>
      </c>
      <c r="BW42" t="str">
        <f>IFERROR(SUMPRODUCT('Fats Raw Data'!V42:V61,'Fats Raw Data'!AA42:AA61)/SUM('Fats Raw Data'!AA42:AA61),"")</f>
        <v/>
      </c>
      <c r="BX42">
        <f>IFERROR(SQRT((SUMSQ('Fats Raw Data'!V42:V61)-2*SUMPRODUCT('Fats Raw Data'!V42:V61,'Fats Raw Data'!V43:V62)+SUMSQ('Fats Raw Data'!V43:V62)-('Fats Raw Data'!V42-'Fats Raw Data'!V62)^2/20)/19),"")</f>
        <v>0</v>
      </c>
      <c r="BZ42">
        <f>IFERROR('Fats Raw Data'!AE42,"")</f>
        <v>0</v>
      </c>
      <c r="CA42">
        <f>IFERROR('Fats Raw Data'!AJ42,"")</f>
        <v>0</v>
      </c>
      <c r="CB42">
        <f>IFERROR('Fats Raw Data'!AL42-'Fats Raw Data'!AL43,"")</f>
        <v>0</v>
      </c>
      <c r="CC42" t="str">
        <f>IFERROR(AVERAGE('Fats Raw Data'!AL42:AL46),"")</f>
        <v/>
      </c>
      <c r="CD42" t="str">
        <f>IFERROR(SUMPRODUCT('Fats Raw Data'!AF42:AF61,'Fats Raw Data'!AK42:AK61)/SUM('Fats Raw Data'!AK42:AK61),"")</f>
        <v/>
      </c>
      <c r="CE42">
        <f>IFERROR(SQRT((SUMSQ('Fats Raw Data'!AF42:AF61)-2*SUMPRODUCT('Fats Raw Data'!AF42:AF61,'Fats Raw Data'!AF43:AF62)+SUMSQ('Fats Raw Data'!AF43:AF62)-('Fats Raw Data'!AF42-'Fats Raw Data'!AF62)^2/20)/19),"")</f>
        <v>0</v>
      </c>
      <c r="CG42">
        <f>IFERROR('Fats Raw Data'!AO42,"")</f>
        <v>0</v>
      </c>
      <c r="CH42">
        <f>IFERROR('Fats Raw Data'!AT42,"")</f>
        <v>0</v>
      </c>
      <c r="CI42">
        <f>IFERROR('Fats Raw Data'!AV42-'Fats Raw Data'!AV43,"")</f>
        <v>0</v>
      </c>
      <c r="CJ42" t="str">
        <f>IFERROR(AVERAGE('Fats Raw Data'!AV42:AV46),"")</f>
        <v/>
      </c>
      <c r="CK42" t="str">
        <f>IFERROR(SUMPRODUCT('Fats Raw Data'!AP42:AP61,'Fats Raw Data'!AU42:AU61)/SUM('Fats Raw Data'!AU42:AU61),"")</f>
        <v/>
      </c>
      <c r="CL42">
        <f>IFERROR(SQRT((SUMSQ('Fats Raw Data'!AP42:AP61)-2*SUMPRODUCT('Fats Raw Data'!AP42:AP61,'Fats Raw Data'!AP43:AP62)+SUMSQ('Fats Raw Data'!AP43:AP62)-('Fats Raw Data'!AP42-'Fats Raw Data'!AP62)^2/20)/19),"")</f>
        <v>0</v>
      </c>
      <c r="CN42">
        <f>IFERROR('Fats Raw Data'!AY42,"")</f>
        <v>0</v>
      </c>
      <c r="CO42">
        <f>IFERROR('Fats Raw Data'!BD42,"")</f>
        <v>0</v>
      </c>
      <c r="CP42">
        <f>IFERROR('Fats Raw Data'!BF42-'Fats Raw Data'!BF43,"")</f>
        <v>0</v>
      </c>
      <c r="CQ42" t="str">
        <f>IFERROR(AVERAGE('Fats Raw Data'!BF42:BF46),"")</f>
        <v/>
      </c>
      <c r="CR42" t="str">
        <f>IFERROR(SUMPRODUCT('Fats Raw Data'!AZ42:AZ61,'Fats Raw Data'!BE42:BE61)/SUM('Fats Raw Data'!BE42:BE61),"")</f>
        <v/>
      </c>
      <c r="CS42">
        <f>IFERROR(SQRT((SUMSQ('Fats Raw Data'!AZ42:AZ61)-2*SUMPRODUCT('Fats Raw Data'!AZ42:AZ61,'Fats Raw Data'!AZ43:AZ62)+SUMSQ('Fats Raw Data'!AZ43:AZ62)-('Fats Raw Data'!AZ42-'Fats Raw Data'!AZ62)^2/20)/19),"")</f>
        <v>0</v>
      </c>
    </row>
    <row r="43" spans="1:97" x14ac:dyDescent="0.25">
      <c r="A43">
        <f>IFERROR('Feeders Raw Data'!A43,"")</f>
        <v>0</v>
      </c>
      <c r="B43">
        <f>IFERROR('Feeders Raw Data'!F43,"")</f>
        <v>0</v>
      </c>
      <c r="C43">
        <f>IFERROR('Feeders Raw Data'!H43-'Feeders Raw Data'!H44,"")</f>
        <v>0</v>
      </c>
      <c r="D43" t="str">
        <f>IFERROR(AVERAGE('Feeders Raw Data'!H43:H47),"")</f>
        <v/>
      </c>
      <c r="E43" t="str">
        <f>IFERROR(SUMPRODUCT('Feeders Raw Data'!B43:B62,'Feeders Raw Data'!G43:G62)/SUM('Feeders Raw Data'!G43:G62),"")</f>
        <v/>
      </c>
      <c r="F43">
        <f>IFERROR(SQRT((SUMSQ('Feeders Raw Data'!B43:B62)-2*SUMPRODUCT('Feeders Raw Data'!B43:B62,'Feeders Raw Data'!B44:B63)+SUMSQ('Feeders Raw Data'!B44:B63)-('Feeders Raw Data'!B43-'Feeders Raw Data'!B63)^2/20)/19),"")</f>
        <v>0</v>
      </c>
      <c r="H43">
        <f>IFERROR('Feeders Raw Data'!K43,"")</f>
        <v>0</v>
      </c>
      <c r="I43">
        <f>IFERROR('Feeders Raw Data'!P43,"")</f>
        <v>0</v>
      </c>
      <c r="J43">
        <f>IFERROR('Feeders Raw Data'!R43-'Feeders Raw Data'!R44,"")</f>
        <v>0</v>
      </c>
      <c r="K43" t="str">
        <f>IFERROR(AVERAGE('Feeders Raw Data'!R43:R47),"")</f>
        <v/>
      </c>
      <c r="L43" t="str">
        <f>IFERROR(SUMPRODUCT('Feeders Raw Data'!L43:L62,'Feeders Raw Data'!Q43:Q62)/SUM('Feeders Raw Data'!Q43:Q62),"")</f>
        <v/>
      </c>
      <c r="M43">
        <f>IFERROR(SQRT((SUMSQ('Feeders Raw Data'!L43:L62)-2*SUMPRODUCT('Feeders Raw Data'!L43:L62,'Feeders Raw Data'!L44:L63)+SUMSQ('Feeders Raw Data'!L44:L63)-('Feeders Raw Data'!L43-'Feeders Raw Data'!L63)^2/20)/19),"")</f>
        <v>0</v>
      </c>
      <c r="O43">
        <f>IFERROR('Feeders Raw Data'!U43,"")</f>
        <v>0</v>
      </c>
      <c r="P43">
        <f>IFERROR('Feeders Raw Data'!Z43,"")</f>
        <v>0</v>
      </c>
      <c r="Q43">
        <f>IFERROR('Feeders Raw Data'!AB43-'Feeders Raw Data'!AB44,"")</f>
        <v>0</v>
      </c>
      <c r="R43" t="str">
        <f>IFERROR(AVERAGE('Feeders Raw Data'!AB43:AB47),"")</f>
        <v/>
      </c>
      <c r="S43" t="str">
        <f>IFERROR(SUMPRODUCT('Feeders Raw Data'!V43:V62,'Feeders Raw Data'!AA43:AA62)/SUM('Feeders Raw Data'!AA43:AA62),"")</f>
        <v/>
      </c>
      <c r="T43">
        <f>IFERROR(SQRT((SUMSQ('Feeders Raw Data'!V43:V62)-2*SUMPRODUCT('Feeders Raw Data'!V43:V62,'Feeders Raw Data'!V44:V63)+SUMSQ('Feeders Raw Data'!V44:V63)-('Feeders Raw Data'!V43-'Feeders Raw Data'!V63)^2/20)/19),"")</f>
        <v>0</v>
      </c>
      <c r="V43">
        <f>IFERROR('Feeders Raw Data'!AE43,"")</f>
        <v>0</v>
      </c>
      <c r="W43">
        <f>IFERROR('Feeders Raw Data'!AJ43,"")</f>
        <v>0</v>
      </c>
      <c r="X43">
        <f>IFERROR('Feeders Raw Data'!AL43-'Feeders Raw Data'!AL44,"")</f>
        <v>0</v>
      </c>
      <c r="Y43" t="str">
        <f>IFERROR(AVERAGE('Feeders Raw Data'!AL43:AL47),"")</f>
        <v/>
      </c>
      <c r="Z43" t="str">
        <f>IFERROR(SUMPRODUCT('Feeders Raw Data'!AF43:AF62,'Feeders Raw Data'!AK43:AK62)/SUM('Feeders Raw Data'!AK43:AK62),"")</f>
        <v/>
      </c>
      <c r="AA43">
        <f>IFERROR(SQRT((SUMSQ('Feeders Raw Data'!AF43:AF62)-2*SUMPRODUCT('Feeders Raw Data'!AF43:AF62,'Feeders Raw Data'!AF44:AF63)+SUMSQ('Feeders Raw Data'!AF44:AF63)-('Feeders Raw Data'!AF43-'Feeders Raw Data'!AF63)^2/20)/19),"")</f>
        <v>0</v>
      </c>
      <c r="AC43">
        <f>IFERROR('Feeders Raw Data'!AO43,"")</f>
        <v>0</v>
      </c>
      <c r="AD43">
        <f>IFERROR('Feeders Raw Data'!AT43,"")</f>
        <v>0</v>
      </c>
      <c r="AE43">
        <f>IFERROR('Feeders Raw Data'!AV43-'Feeders Raw Data'!AV44,"")</f>
        <v>0</v>
      </c>
      <c r="AF43" t="str">
        <f>IFERROR(AVERAGE('Feeders Raw Data'!AV43:AV47),"")</f>
        <v/>
      </c>
      <c r="AG43" t="str">
        <f>IFERROR(SUMPRODUCT('Feeders Raw Data'!AP43:AP62,'Feeders Raw Data'!AU43:AU62)/SUM('Feeders Raw Data'!AU43:AU62),"")</f>
        <v/>
      </c>
      <c r="AH43">
        <f>IFERROR(SQRT((SUMSQ('Feeders Raw Data'!AP43:AP62)-2*SUMPRODUCT('Feeders Raw Data'!AP43:AP62,'Feeders Raw Data'!AP44:AP63)+SUMSQ('Feeders Raw Data'!AP44:AP63)-('Feeders Raw Data'!AP43-'Feeders Raw Data'!AP63)^2/20)/19),"")</f>
        <v>0</v>
      </c>
      <c r="AJ43">
        <f>IFERROR('Feeders Raw Data'!AY43,"")</f>
        <v>0</v>
      </c>
      <c r="AK43">
        <f>IFERROR('Feeders Raw Data'!BD43,"")</f>
        <v>0</v>
      </c>
      <c r="AL43">
        <f>IFERROR('Feeders Raw Data'!BF43-'Feeders Raw Data'!BF44,"")</f>
        <v>0</v>
      </c>
      <c r="AM43" t="str">
        <f>IFERROR(AVERAGE('Feeders Raw Data'!BF43:BF47),"")</f>
        <v/>
      </c>
      <c r="AN43" t="str">
        <f>IFERROR(SUMPRODUCT('Feeders Raw Data'!AZ43:AZ62,'Feeders Raw Data'!BE43:BE62)/SUM('Feeders Raw Data'!BE43:BE62),"")</f>
        <v/>
      </c>
      <c r="AO43">
        <f>IFERROR(SQRT((SUMSQ('Feeders Raw Data'!AZ43:AZ62)-2*SUMPRODUCT('Feeders Raw Data'!AZ43:AZ62,'Feeders Raw Data'!AZ44:AZ63)+SUMSQ('Feeders Raw Data'!AZ44:AZ63)-('Feeders Raw Data'!AZ43-'Feeders Raw Data'!AZ63)^2/20)/19),"")</f>
        <v>0</v>
      </c>
      <c r="AQ43">
        <f>IFERROR('Feeders Raw Data'!BI43,"")</f>
        <v>0</v>
      </c>
      <c r="AR43">
        <f>IFERROR('Feeders Raw Data'!BN43,"")</f>
        <v>0</v>
      </c>
      <c r="AS43">
        <f>IFERROR('Feeders Raw Data'!BP43-'Feeders Raw Data'!BP44,"")</f>
        <v>0</v>
      </c>
      <c r="AT43" t="str">
        <f>IFERROR(AVERAGE('Feeders Raw Data'!BP43:BP47),"")</f>
        <v/>
      </c>
      <c r="AU43" t="str">
        <f>IFERROR(SUMPRODUCT('Feeders Raw Data'!BJ43:BJ62,'Feeders Raw Data'!BO43:BO62)/SUM('Feeders Raw Data'!BO43:BO62),"")</f>
        <v/>
      </c>
      <c r="AV43">
        <f>IFERROR(SQRT((SUMSQ('Feeders Raw Data'!BJ43:BJ62)-2*SUMPRODUCT('Feeders Raw Data'!BJ43:BJ62,'Feeders Raw Data'!BJ44:BJ63)+SUMSQ('Feeders Raw Data'!BJ44:BJ63)-('Feeders Raw Data'!BJ43-'Feeders Raw Data'!BJ63)^2/20)/19),"")</f>
        <v>0</v>
      </c>
      <c r="AX43">
        <f>IFERROR('Feeders Raw Data'!BS43,"")</f>
        <v>0</v>
      </c>
      <c r="AY43">
        <f>IFERROR('Feeders Raw Data'!BX43,"")</f>
        <v>0</v>
      </c>
      <c r="AZ43">
        <f>IFERROR('Feeders Raw Data'!BZ43-'Feeders Raw Data'!BZ44,"")</f>
        <v>0</v>
      </c>
      <c r="BA43" t="str">
        <f>IFERROR(AVERAGE('Feeders Raw Data'!BZ43:BZ47),"")</f>
        <v/>
      </c>
      <c r="BB43" t="str">
        <f>IFERROR(SUMPRODUCT('Feeders Raw Data'!BT43:BT62,'Feeders Raw Data'!BY43:BY62)/SUM('Feeders Raw Data'!BY43:BY62),"")</f>
        <v/>
      </c>
      <c r="BC43">
        <f>IFERROR(SQRT((SUMSQ('Feeders Raw Data'!BT43:BT62)-2*SUMPRODUCT('Feeders Raw Data'!BT43:BT62,'Feeders Raw Data'!BT44:BT63)+SUMSQ('Feeders Raw Data'!BT44:BT63)-('Feeders Raw Data'!BT43-'Feeders Raw Data'!BT63)^2/20)/19),"")</f>
        <v>0</v>
      </c>
      <c r="BE43">
        <f>IFERROR('Fats Raw Data'!A43,"")</f>
        <v>0</v>
      </c>
      <c r="BF43">
        <f>IFERROR('Fats Raw Data'!F43,"")</f>
        <v>0</v>
      </c>
      <c r="BG43">
        <f>IFERROR('Fats Raw Data'!H43-'Fats Raw Data'!H44,"")</f>
        <v>0</v>
      </c>
      <c r="BH43" t="str">
        <f>IFERROR(AVERAGE('Fats Raw Data'!H43:H47),"")</f>
        <v/>
      </c>
      <c r="BI43" t="str">
        <f>IFERROR(SUMPRODUCT('Fats Raw Data'!B43:B62,'Fats Raw Data'!G43:G62)/SUM('Fats Raw Data'!G43:G62),"")</f>
        <v/>
      </c>
      <c r="BJ43">
        <f>IFERROR(SQRT((SUMSQ('Fats Raw Data'!B43:B62)-2*SUMPRODUCT('Fats Raw Data'!B43:B62,'Fats Raw Data'!B44:B63)+SUMSQ('Fats Raw Data'!B44:B63)-('Fats Raw Data'!B43-'Fats Raw Data'!B63)^2/20)/19),"")</f>
        <v>0</v>
      </c>
      <c r="BL43">
        <f>IFERROR('Fats Raw Data'!K43,"")</f>
        <v>0</v>
      </c>
      <c r="BM43">
        <f>IFERROR('Fats Raw Data'!P43,"")</f>
        <v>0</v>
      </c>
      <c r="BN43">
        <f>IFERROR('Fats Raw Data'!R43-'Fats Raw Data'!R44,"")</f>
        <v>0</v>
      </c>
      <c r="BO43" t="str">
        <f>IFERROR(AVERAGE('Fats Raw Data'!R43:R47),"")</f>
        <v/>
      </c>
      <c r="BP43" t="str">
        <f>IFERROR(SUMPRODUCT('Fats Raw Data'!L43:L62,'Fats Raw Data'!Q43:Q62)/SUM('Fats Raw Data'!Q43:Q62),"")</f>
        <v/>
      </c>
      <c r="BQ43">
        <f>IFERROR(SQRT((SUMSQ('Fats Raw Data'!L43:L62)-2*SUMPRODUCT('Fats Raw Data'!L43:L62,'Fats Raw Data'!L44:L63)+SUMSQ('Fats Raw Data'!L44:L63)-('Fats Raw Data'!L43-'Fats Raw Data'!L63)^2/20)/19),"")</f>
        <v>0</v>
      </c>
      <c r="BS43">
        <f>IFERROR('Fats Raw Data'!U43,"")</f>
        <v>0</v>
      </c>
      <c r="BT43">
        <f>IFERROR('Fats Raw Data'!Z43,"")</f>
        <v>0</v>
      </c>
      <c r="BU43">
        <f>IFERROR('Fats Raw Data'!AB43-'Fats Raw Data'!AB44,"")</f>
        <v>0</v>
      </c>
      <c r="BV43" t="str">
        <f>IFERROR(AVERAGE('Fats Raw Data'!AB43:AB47),"")</f>
        <v/>
      </c>
      <c r="BW43" t="str">
        <f>IFERROR(SUMPRODUCT('Fats Raw Data'!V43:V62,'Fats Raw Data'!AA43:AA62)/SUM('Fats Raw Data'!AA43:AA62),"")</f>
        <v/>
      </c>
      <c r="BX43">
        <f>IFERROR(SQRT((SUMSQ('Fats Raw Data'!V43:V62)-2*SUMPRODUCT('Fats Raw Data'!V43:V62,'Fats Raw Data'!V44:V63)+SUMSQ('Fats Raw Data'!V44:V63)-('Fats Raw Data'!V43-'Fats Raw Data'!V63)^2/20)/19),"")</f>
        <v>0</v>
      </c>
      <c r="BZ43">
        <f>IFERROR('Fats Raw Data'!AE43,"")</f>
        <v>0</v>
      </c>
      <c r="CA43">
        <f>IFERROR('Fats Raw Data'!AJ43,"")</f>
        <v>0</v>
      </c>
      <c r="CB43">
        <f>IFERROR('Fats Raw Data'!AL43-'Fats Raw Data'!AL44,"")</f>
        <v>0</v>
      </c>
      <c r="CC43" t="str">
        <f>IFERROR(AVERAGE('Fats Raw Data'!AL43:AL47),"")</f>
        <v/>
      </c>
      <c r="CD43" t="str">
        <f>IFERROR(SUMPRODUCT('Fats Raw Data'!AF43:AF62,'Fats Raw Data'!AK43:AK62)/SUM('Fats Raw Data'!AK43:AK62),"")</f>
        <v/>
      </c>
      <c r="CE43">
        <f>IFERROR(SQRT((SUMSQ('Fats Raw Data'!AF43:AF62)-2*SUMPRODUCT('Fats Raw Data'!AF43:AF62,'Fats Raw Data'!AF44:AF63)+SUMSQ('Fats Raw Data'!AF44:AF63)-('Fats Raw Data'!AF43-'Fats Raw Data'!AF63)^2/20)/19),"")</f>
        <v>0</v>
      </c>
      <c r="CG43">
        <f>IFERROR('Fats Raw Data'!AO43,"")</f>
        <v>0</v>
      </c>
      <c r="CH43">
        <f>IFERROR('Fats Raw Data'!AT43,"")</f>
        <v>0</v>
      </c>
      <c r="CI43">
        <f>IFERROR('Fats Raw Data'!AV43-'Fats Raw Data'!AV44,"")</f>
        <v>0</v>
      </c>
      <c r="CJ43" t="str">
        <f>IFERROR(AVERAGE('Fats Raw Data'!AV43:AV47),"")</f>
        <v/>
      </c>
      <c r="CK43" t="str">
        <f>IFERROR(SUMPRODUCT('Fats Raw Data'!AP43:AP62,'Fats Raw Data'!AU43:AU62)/SUM('Fats Raw Data'!AU43:AU62),"")</f>
        <v/>
      </c>
      <c r="CL43">
        <f>IFERROR(SQRT((SUMSQ('Fats Raw Data'!AP43:AP62)-2*SUMPRODUCT('Fats Raw Data'!AP43:AP62,'Fats Raw Data'!AP44:AP63)+SUMSQ('Fats Raw Data'!AP44:AP63)-('Fats Raw Data'!AP43-'Fats Raw Data'!AP63)^2/20)/19),"")</f>
        <v>0</v>
      </c>
      <c r="CN43">
        <f>IFERROR('Fats Raw Data'!AY43,"")</f>
        <v>0</v>
      </c>
      <c r="CO43">
        <f>IFERROR('Fats Raw Data'!BD43,"")</f>
        <v>0</v>
      </c>
      <c r="CP43">
        <f>IFERROR('Fats Raw Data'!BF43-'Fats Raw Data'!BF44,"")</f>
        <v>0</v>
      </c>
      <c r="CQ43" t="str">
        <f>IFERROR(AVERAGE('Fats Raw Data'!BF43:BF47),"")</f>
        <v/>
      </c>
      <c r="CR43" t="str">
        <f>IFERROR(SUMPRODUCT('Fats Raw Data'!AZ43:AZ62,'Fats Raw Data'!BE43:BE62)/SUM('Fats Raw Data'!BE43:BE62),"")</f>
        <v/>
      </c>
      <c r="CS43">
        <f>IFERROR(SQRT((SUMSQ('Fats Raw Data'!AZ43:AZ62)-2*SUMPRODUCT('Fats Raw Data'!AZ43:AZ62,'Fats Raw Data'!AZ44:AZ63)+SUMSQ('Fats Raw Data'!AZ44:AZ63)-('Fats Raw Data'!AZ43-'Fats Raw Data'!AZ63)^2/20)/19),"")</f>
        <v>0</v>
      </c>
    </row>
    <row r="44" spans="1:97" x14ac:dyDescent="0.25">
      <c r="A44">
        <f>IFERROR('Feeders Raw Data'!A44,"")</f>
        <v>0</v>
      </c>
      <c r="B44">
        <f>IFERROR('Feeders Raw Data'!F44,"")</f>
        <v>0</v>
      </c>
      <c r="C44">
        <f>IFERROR('Feeders Raw Data'!H44-'Feeders Raw Data'!H45,"")</f>
        <v>0</v>
      </c>
      <c r="D44" t="str">
        <f>IFERROR(AVERAGE('Feeders Raw Data'!H44:H48),"")</f>
        <v/>
      </c>
      <c r="E44" t="str">
        <f>IFERROR(SUMPRODUCT('Feeders Raw Data'!B44:B63,'Feeders Raw Data'!G44:G63)/SUM('Feeders Raw Data'!G44:G63),"")</f>
        <v/>
      </c>
      <c r="F44">
        <f>IFERROR(SQRT((SUMSQ('Feeders Raw Data'!B44:B63)-2*SUMPRODUCT('Feeders Raw Data'!B44:B63,'Feeders Raw Data'!B45:B64)+SUMSQ('Feeders Raw Data'!B45:B64)-('Feeders Raw Data'!B44-'Feeders Raw Data'!B64)^2/20)/19),"")</f>
        <v>0</v>
      </c>
      <c r="H44">
        <f>IFERROR('Feeders Raw Data'!K44,"")</f>
        <v>0</v>
      </c>
      <c r="I44">
        <f>IFERROR('Feeders Raw Data'!P44,"")</f>
        <v>0</v>
      </c>
      <c r="J44">
        <f>IFERROR('Feeders Raw Data'!R44-'Feeders Raw Data'!R45,"")</f>
        <v>0</v>
      </c>
      <c r="K44" t="str">
        <f>IFERROR(AVERAGE('Feeders Raw Data'!R44:R48),"")</f>
        <v/>
      </c>
      <c r="L44" t="str">
        <f>IFERROR(SUMPRODUCT('Feeders Raw Data'!L44:L63,'Feeders Raw Data'!Q44:Q63)/SUM('Feeders Raw Data'!Q44:Q63),"")</f>
        <v/>
      </c>
      <c r="M44">
        <f>IFERROR(SQRT((SUMSQ('Feeders Raw Data'!L44:L63)-2*SUMPRODUCT('Feeders Raw Data'!L44:L63,'Feeders Raw Data'!L45:L64)+SUMSQ('Feeders Raw Data'!L45:L64)-('Feeders Raw Data'!L44-'Feeders Raw Data'!L64)^2/20)/19),"")</f>
        <v>0</v>
      </c>
      <c r="O44">
        <f>IFERROR('Feeders Raw Data'!U44,"")</f>
        <v>0</v>
      </c>
      <c r="P44">
        <f>IFERROR('Feeders Raw Data'!Z44,"")</f>
        <v>0</v>
      </c>
      <c r="Q44">
        <f>IFERROR('Feeders Raw Data'!AB44-'Feeders Raw Data'!AB45,"")</f>
        <v>0</v>
      </c>
      <c r="R44" t="str">
        <f>IFERROR(AVERAGE('Feeders Raw Data'!AB44:AB48),"")</f>
        <v/>
      </c>
      <c r="S44" t="str">
        <f>IFERROR(SUMPRODUCT('Feeders Raw Data'!V44:V63,'Feeders Raw Data'!AA44:AA63)/SUM('Feeders Raw Data'!AA44:AA63),"")</f>
        <v/>
      </c>
      <c r="T44">
        <f>IFERROR(SQRT((SUMSQ('Feeders Raw Data'!V44:V63)-2*SUMPRODUCT('Feeders Raw Data'!V44:V63,'Feeders Raw Data'!V45:V64)+SUMSQ('Feeders Raw Data'!V45:V64)-('Feeders Raw Data'!V44-'Feeders Raw Data'!V64)^2/20)/19),"")</f>
        <v>0</v>
      </c>
      <c r="V44">
        <f>IFERROR('Feeders Raw Data'!AE44,"")</f>
        <v>0</v>
      </c>
      <c r="W44">
        <f>IFERROR('Feeders Raw Data'!AJ44,"")</f>
        <v>0</v>
      </c>
      <c r="X44">
        <f>IFERROR('Feeders Raw Data'!AL44-'Feeders Raw Data'!AL45,"")</f>
        <v>0</v>
      </c>
      <c r="Y44" t="str">
        <f>IFERROR(AVERAGE('Feeders Raw Data'!AL44:AL48),"")</f>
        <v/>
      </c>
      <c r="Z44" t="str">
        <f>IFERROR(SUMPRODUCT('Feeders Raw Data'!AF44:AF63,'Feeders Raw Data'!AK44:AK63)/SUM('Feeders Raw Data'!AK44:AK63),"")</f>
        <v/>
      </c>
      <c r="AA44">
        <f>IFERROR(SQRT((SUMSQ('Feeders Raw Data'!AF44:AF63)-2*SUMPRODUCT('Feeders Raw Data'!AF44:AF63,'Feeders Raw Data'!AF45:AF64)+SUMSQ('Feeders Raw Data'!AF45:AF64)-('Feeders Raw Data'!AF44-'Feeders Raw Data'!AF64)^2/20)/19),"")</f>
        <v>0</v>
      </c>
      <c r="AC44">
        <f>IFERROR('Feeders Raw Data'!AO44,"")</f>
        <v>0</v>
      </c>
      <c r="AD44">
        <f>IFERROR('Feeders Raw Data'!AT44,"")</f>
        <v>0</v>
      </c>
      <c r="AE44">
        <f>IFERROR('Feeders Raw Data'!AV44-'Feeders Raw Data'!AV45,"")</f>
        <v>0</v>
      </c>
      <c r="AF44" t="str">
        <f>IFERROR(AVERAGE('Feeders Raw Data'!AV44:AV48),"")</f>
        <v/>
      </c>
      <c r="AG44" t="str">
        <f>IFERROR(SUMPRODUCT('Feeders Raw Data'!AP44:AP63,'Feeders Raw Data'!AU44:AU63)/SUM('Feeders Raw Data'!AU44:AU63),"")</f>
        <v/>
      </c>
      <c r="AH44">
        <f>IFERROR(SQRT((SUMSQ('Feeders Raw Data'!AP44:AP63)-2*SUMPRODUCT('Feeders Raw Data'!AP44:AP63,'Feeders Raw Data'!AP45:AP64)+SUMSQ('Feeders Raw Data'!AP45:AP64)-('Feeders Raw Data'!AP44-'Feeders Raw Data'!AP64)^2/20)/19),"")</f>
        <v>0</v>
      </c>
      <c r="AJ44">
        <f>IFERROR('Feeders Raw Data'!AY44,"")</f>
        <v>0</v>
      </c>
      <c r="AK44">
        <f>IFERROR('Feeders Raw Data'!BD44,"")</f>
        <v>0</v>
      </c>
      <c r="AL44">
        <f>IFERROR('Feeders Raw Data'!BF44-'Feeders Raw Data'!BF45,"")</f>
        <v>0</v>
      </c>
      <c r="AM44" t="str">
        <f>IFERROR(AVERAGE('Feeders Raw Data'!BF44:BF48),"")</f>
        <v/>
      </c>
      <c r="AN44" t="str">
        <f>IFERROR(SUMPRODUCT('Feeders Raw Data'!AZ44:AZ63,'Feeders Raw Data'!BE44:BE63)/SUM('Feeders Raw Data'!BE44:BE63),"")</f>
        <v/>
      </c>
      <c r="AO44">
        <f>IFERROR(SQRT((SUMSQ('Feeders Raw Data'!AZ44:AZ63)-2*SUMPRODUCT('Feeders Raw Data'!AZ44:AZ63,'Feeders Raw Data'!AZ45:AZ64)+SUMSQ('Feeders Raw Data'!AZ45:AZ64)-('Feeders Raw Data'!AZ44-'Feeders Raw Data'!AZ64)^2/20)/19),"")</f>
        <v>0</v>
      </c>
      <c r="AQ44">
        <f>IFERROR('Feeders Raw Data'!BI44,"")</f>
        <v>0</v>
      </c>
      <c r="AR44">
        <f>IFERROR('Feeders Raw Data'!BN44,"")</f>
        <v>0</v>
      </c>
      <c r="AS44">
        <f>IFERROR('Feeders Raw Data'!BP44-'Feeders Raw Data'!BP45,"")</f>
        <v>0</v>
      </c>
      <c r="AT44" t="str">
        <f>IFERROR(AVERAGE('Feeders Raw Data'!BP44:BP48),"")</f>
        <v/>
      </c>
      <c r="AU44" t="str">
        <f>IFERROR(SUMPRODUCT('Feeders Raw Data'!BJ44:BJ63,'Feeders Raw Data'!BO44:BO63)/SUM('Feeders Raw Data'!BO44:BO63),"")</f>
        <v/>
      </c>
      <c r="AV44">
        <f>IFERROR(SQRT((SUMSQ('Feeders Raw Data'!BJ44:BJ63)-2*SUMPRODUCT('Feeders Raw Data'!BJ44:BJ63,'Feeders Raw Data'!BJ45:BJ64)+SUMSQ('Feeders Raw Data'!BJ45:BJ64)-('Feeders Raw Data'!BJ44-'Feeders Raw Data'!BJ64)^2/20)/19),"")</f>
        <v>0</v>
      </c>
      <c r="AX44">
        <f>IFERROR('Feeders Raw Data'!BS44,"")</f>
        <v>0</v>
      </c>
      <c r="AY44">
        <f>IFERROR('Feeders Raw Data'!BX44,"")</f>
        <v>0</v>
      </c>
      <c r="AZ44">
        <f>IFERROR('Feeders Raw Data'!BZ44-'Feeders Raw Data'!BZ45,"")</f>
        <v>0</v>
      </c>
      <c r="BA44" t="str">
        <f>IFERROR(AVERAGE('Feeders Raw Data'!BZ44:BZ48),"")</f>
        <v/>
      </c>
      <c r="BB44" t="str">
        <f>IFERROR(SUMPRODUCT('Feeders Raw Data'!BT44:BT63,'Feeders Raw Data'!BY44:BY63)/SUM('Feeders Raw Data'!BY44:BY63),"")</f>
        <v/>
      </c>
      <c r="BC44">
        <f>IFERROR(SQRT((SUMSQ('Feeders Raw Data'!BT44:BT63)-2*SUMPRODUCT('Feeders Raw Data'!BT44:BT63,'Feeders Raw Data'!BT45:BT64)+SUMSQ('Feeders Raw Data'!BT45:BT64)-('Feeders Raw Data'!BT44-'Feeders Raw Data'!BT64)^2/20)/19),"")</f>
        <v>0</v>
      </c>
      <c r="BE44">
        <f>IFERROR('Fats Raw Data'!A44,"")</f>
        <v>0</v>
      </c>
      <c r="BF44">
        <f>IFERROR('Fats Raw Data'!F44,"")</f>
        <v>0</v>
      </c>
      <c r="BG44">
        <f>IFERROR('Fats Raw Data'!H44-'Fats Raw Data'!H45,"")</f>
        <v>0</v>
      </c>
      <c r="BH44" t="str">
        <f>IFERROR(AVERAGE('Fats Raw Data'!H44:H48),"")</f>
        <v/>
      </c>
      <c r="BI44" t="str">
        <f>IFERROR(SUMPRODUCT('Fats Raw Data'!B44:B63,'Fats Raw Data'!G44:G63)/SUM('Fats Raw Data'!G44:G63),"")</f>
        <v/>
      </c>
      <c r="BJ44">
        <f>IFERROR(SQRT((SUMSQ('Fats Raw Data'!B44:B63)-2*SUMPRODUCT('Fats Raw Data'!B44:B63,'Fats Raw Data'!B45:B64)+SUMSQ('Fats Raw Data'!B45:B64)-('Fats Raw Data'!B44-'Fats Raw Data'!B64)^2/20)/19),"")</f>
        <v>0</v>
      </c>
      <c r="BL44">
        <f>IFERROR('Fats Raw Data'!K44,"")</f>
        <v>0</v>
      </c>
      <c r="BM44">
        <f>IFERROR('Fats Raw Data'!P44,"")</f>
        <v>0</v>
      </c>
      <c r="BN44">
        <f>IFERROR('Fats Raw Data'!R44-'Fats Raw Data'!R45,"")</f>
        <v>0</v>
      </c>
      <c r="BO44" t="str">
        <f>IFERROR(AVERAGE('Fats Raw Data'!R44:R48),"")</f>
        <v/>
      </c>
      <c r="BP44" t="str">
        <f>IFERROR(SUMPRODUCT('Fats Raw Data'!L44:L63,'Fats Raw Data'!Q44:Q63)/SUM('Fats Raw Data'!Q44:Q63),"")</f>
        <v/>
      </c>
      <c r="BQ44">
        <f>IFERROR(SQRT((SUMSQ('Fats Raw Data'!L44:L63)-2*SUMPRODUCT('Fats Raw Data'!L44:L63,'Fats Raw Data'!L45:L64)+SUMSQ('Fats Raw Data'!L45:L64)-('Fats Raw Data'!L44-'Fats Raw Data'!L64)^2/20)/19),"")</f>
        <v>0</v>
      </c>
      <c r="BS44">
        <f>IFERROR('Fats Raw Data'!U44,"")</f>
        <v>0</v>
      </c>
      <c r="BT44">
        <f>IFERROR('Fats Raw Data'!Z44,"")</f>
        <v>0</v>
      </c>
      <c r="BU44">
        <f>IFERROR('Fats Raw Data'!AB44-'Fats Raw Data'!AB45,"")</f>
        <v>0</v>
      </c>
      <c r="BV44" t="str">
        <f>IFERROR(AVERAGE('Fats Raw Data'!AB44:AB48),"")</f>
        <v/>
      </c>
      <c r="BW44" t="str">
        <f>IFERROR(SUMPRODUCT('Fats Raw Data'!V44:V63,'Fats Raw Data'!AA44:AA63)/SUM('Fats Raw Data'!AA44:AA63),"")</f>
        <v/>
      </c>
      <c r="BX44">
        <f>IFERROR(SQRT((SUMSQ('Fats Raw Data'!V44:V63)-2*SUMPRODUCT('Fats Raw Data'!V44:V63,'Fats Raw Data'!V45:V64)+SUMSQ('Fats Raw Data'!V45:V64)-('Fats Raw Data'!V44-'Fats Raw Data'!V64)^2/20)/19),"")</f>
        <v>0</v>
      </c>
      <c r="BZ44">
        <f>IFERROR('Fats Raw Data'!AE44,"")</f>
        <v>0</v>
      </c>
      <c r="CA44">
        <f>IFERROR('Fats Raw Data'!AJ44,"")</f>
        <v>0</v>
      </c>
      <c r="CB44">
        <f>IFERROR('Fats Raw Data'!AL44-'Fats Raw Data'!AL45,"")</f>
        <v>0</v>
      </c>
      <c r="CC44" t="str">
        <f>IFERROR(AVERAGE('Fats Raw Data'!AL44:AL48),"")</f>
        <v/>
      </c>
      <c r="CD44" t="str">
        <f>IFERROR(SUMPRODUCT('Fats Raw Data'!AF44:AF63,'Fats Raw Data'!AK44:AK63)/SUM('Fats Raw Data'!AK44:AK63),"")</f>
        <v/>
      </c>
      <c r="CE44">
        <f>IFERROR(SQRT((SUMSQ('Fats Raw Data'!AF44:AF63)-2*SUMPRODUCT('Fats Raw Data'!AF44:AF63,'Fats Raw Data'!AF45:AF64)+SUMSQ('Fats Raw Data'!AF45:AF64)-('Fats Raw Data'!AF44-'Fats Raw Data'!AF64)^2/20)/19),"")</f>
        <v>0</v>
      </c>
      <c r="CG44">
        <f>IFERROR('Fats Raw Data'!AO44,"")</f>
        <v>0</v>
      </c>
      <c r="CH44">
        <f>IFERROR('Fats Raw Data'!AT44,"")</f>
        <v>0</v>
      </c>
      <c r="CI44">
        <f>IFERROR('Fats Raw Data'!AV44-'Fats Raw Data'!AV45,"")</f>
        <v>0</v>
      </c>
      <c r="CJ44" t="str">
        <f>IFERROR(AVERAGE('Fats Raw Data'!AV44:AV48),"")</f>
        <v/>
      </c>
      <c r="CK44" t="str">
        <f>IFERROR(SUMPRODUCT('Fats Raw Data'!AP44:AP63,'Fats Raw Data'!AU44:AU63)/SUM('Fats Raw Data'!AU44:AU63),"")</f>
        <v/>
      </c>
      <c r="CL44">
        <f>IFERROR(SQRT((SUMSQ('Fats Raw Data'!AP44:AP63)-2*SUMPRODUCT('Fats Raw Data'!AP44:AP63,'Fats Raw Data'!AP45:AP64)+SUMSQ('Fats Raw Data'!AP45:AP64)-('Fats Raw Data'!AP44-'Fats Raw Data'!AP64)^2/20)/19),"")</f>
        <v>0</v>
      </c>
      <c r="CN44">
        <f>IFERROR('Fats Raw Data'!AY44,"")</f>
        <v>0</v>
      </c>
      <c r="CO44">
        <f>IFERROR('Fats Raw Data'!BD44,"")</f>
        <v>0</v>
      </c>
      <c r="CP44">
        <f>IFERROR('Fats Raw Data'!BF44-'Fats Raw Data'!BF45,"")</f>
        <v>0</v>
      </c>
      <c r="CQ44" t="str">
        <f>IFERROR(AVERAGE('Fats Raw Data'!BF44:BF48),"")</f>
        <v/>
      </c>
      <c r="CR44" t="str">
        <f>IFERROR(SUMPRODUCT('Fats Raw Data'!AZ44:AZ63,'Fats Raw Data'!BE44:BE63)/SUM('Fats Raw Data'!BE44:BE63),"")</f>
        <v/>
      </c>
      <c r="CS44">
        <f>IFERROR(SQRT((SUMSQ('Fats Raw Data'!AZ44:AZ63)-2*SUMPRODUCT('Fats Raw Data'!AZ44:AZ63,'Fats Raw Data'!AZ45:AZ64)+SUMSQ('Fats Raw Data'!AZ45:AZ64)-('Fats Raw Data'!AZ44-'Fats Raw Data'!AZ64)^2/20)/19),"")</f>
        <v>0</v>
      </c>
    </row>
    <row r="45" spans="1:97" x14ac:dyDescent="0.25">
      <c r="A45">
        <f>IFERROR('Feeders Raw Data'!A45,"")</f>
        <v>0</v>
      </c>
      <c r="B45">
        <f>IFERROR('Feeders Raw Data'!F45,"")</f>
        <v>0</v>
      </c>
      <c r="C45">
        <f>IFERROR('Feeders Raw Data'!H45-'Feeders Raw Data'!H46,"")</f>
        <v>0</v>
      </c>
      <c r="D45" t="str">
        <f>IFERROR(AVERAGE('Feeders Raw Data'!H45:H49),"")</f>
        <v/>
      </c>
      <c r="E45" t="str">
        <f>IFERROR(SUMPRODUCT('Feeders Raw Data'!B45:B64,'Feeders Raw Data'!G45:G64)/SUM('Feeders Raw Data'!G45:G64),"")</f>
        <v/>
      </c>
      <c r="F45">
        <f>IFERROR(SQRT((SUMSQ('Feeders Raw Data'!B45:B64)-2*SUMPRODUCT('Feeders Raw Data'!B45:B64,'Feeders Raw Data'!B46:B65)+SUMSQ('Feeders Raw Data'!B46:B65)-('Feeders Raw Data'!B45-'Feeders Raw Data'!B65)^2/20)/19),"")</f>
        <v>0</v>
      </c>
      <c r="H45">
        <f>IFERROR('Feeders Raw Data'!K45,"")</f>
        <v>0</v>
      </c>
      <c r="I45">
        <f>IFERROR('Feeders Raw Data'!P45,"")</f>
        <v>0</v>
      </c>
      <c r="J45">
        <f>IFERROR('Feeders Raw Data'!R45-'Feeders Raw Data'!R46,"")</f>
        <v>0</v>
      </c>
      <c r="K45" t="str">
        <f>IFERROR(AVERAGE('Feeders Raw Data'!R45:R49),"")</f>
        <v/>
      </c>
      <c r="L45" t="str">
        <f>IFERROR(SUMPRODUCT('Feeders Raw Data'!L45:L64,'Feeders Raw Data'!Q45:Q64)/SUM('Feeders Raw Data'!Q45:Q64),"")</f>
        <v/>
      </c>
      <c r="M45">
        <f>IFERROR(SQRT((SUMSQ('Feeders Raw Data'!L45:L64)-2*SUMPRODUCT('Feeders Raw Data'!L45:L64,'Feeders Raw Data'!L46:L65)+SUMSQ('Feeders Raw Data'!L46:L65)-('Feeders Raw Data'!L45-'Feeders Raw Data'!L65)^2/20)/19),"")</f>
        <v>0</v>
      </c>
      <c r="O45">
        <f>IFERROR('Feeders Raw Data'!U45,"")</f>
        <v>0</v>
      </c>
      <c r="P45">
        <f>IFERROR('Feeders Raw Data'!Z45,"")</f>
        <v>0</v>
      </c>
      <c r="Q45">
        <f>IFERROR('Feeders Raw Data'!AB45-'Feeders Raw Data'!AB46,"")</f>
        <v>0</v>
      </c>
      <c r="R45" t="str">
        <f>IFERROR(AVERAGE('Feeders Raw Data'!AB45:AB49),"")</f>
        <v/>
      </c>
      <c r="S45" t="str">
        <f>IFERROR(SUMPRODUCT('Feeders Raw Data'!V45:V64,'Feeders Raw Data'!AA45:AA64)/SUM('Feeders Raw Data'!AA45:AA64),"")</f>
        <v/>
      </c>
      <c r="T45">
        <f>IFERROR(SQRT((SUMSQ('Feeders Raw Data'!V45:V64)-2*SUMPRODUCT('Feeders Raw Data'!V45:V64,'Feeders Raw Data'!V46:V65)+SUMSQ('Feeders Raw Data'!V46:V65)-('Feeders Raw Data'!V45-'Feeders Raw Data'!V65)^2/20)/19),"")</f>
        <v>0</v>
      </c>
      <c r="V45">
        <f>IFERROR('Feeders Raw Data'!AE45,"")</f>
        <v>0</v>
      </c>
      <c r="W45">
        <f>IFERROR('Feeders Raw Data'!AJ45,"")</f>
        <v>0</v>
      </c>
      <c r="X45">
        <f>IFERROR('Feeders Raw Data'!AL45-'Feeders Raw Data'!AL46,"")</f>
        <v>0</v>
      </c>
      <c r="Y45" t="str">
        <f>IFERROR(AVERAGE('Feeders Raw Data'!AL45:AL49),"")</f>
        <v/>
      </c>
      <c r="Z45" t="str">
        <f>IFERROR(SUMPRODUCT('Feeders Raw Data'!AF45:AF64,'Feeders Raw Data'!AK45:AK64)/SUM('Feeders Raw Data'!AK45:AK64),"")</f>
        <v/>
      </c>
      <c r="AA45">
        <f>IFERROR(SQRT((SUMSQ('Feeders Raw Data'!AF45:AF64)-2*SUMPRODUCT('Feeders Raw Data'!AF45:AF64,'Feeders Raw Data'!AF46:AF65)+SUMSQ('Feeders Raw Data'!AF46:AF65)-('Feeders Raw Data'!AF45-'Feeders Raw Data'!AF65)^2/20)/19),"")</f>
        <v>0</v>
      </c>
      <c r="AC45">
        <f>IFERROR('Feeders Raw Data'!AO45,"")</f>
        <v>0</v>
      </c>
      <c r="AD45">
        <f>IFERROR('Feeders Raw Data'!AT45,"")</f>
        <v>0</v>
      </c>
      <c r="AE45">
        <f>IFERROR('Feeders Raw Data'!AV45-'Feeders Raw Data'!AV46,"")</f>
        <v>0</v>
      </c>
      <c r="AF45" t="str">
        <f>IFERROR(AVERAGE('Feeders Raw Data'!AV45:AV49),"")</f>
        <v/>
      </c>
      <c r="AG45" t="str">
        <f>IFERROR(SUMPRODUCT('Feeders Raw Data'!AP45:AP64,'Feeders Raw Data'!AU45:AU64)/SUM('Feeders Raw Data'!AU45:AU64),"")</f>
        <v/>
      </c>
      <c r="AH45">
        <f>IFERROR(SQRT((SUMSQ('Feeders Raw Data'!AP45:AP64)-2*SUMPRODUCT('Feeders Raw Data'!AP45:AP64,'Feeders Raw Data'!AP46:AP65)+SUMSQ('Feeders Raw Data'!AP46:AP65)-('Feeders Raw Data'!AP45-'Feeders Raw Data'!AP65)^2/20)/19),"")</f>
        <v>0</v>
      </c>
      <c r="AJ45">
        <f>IFERROR('Feeders Raw Data'!AY45,"")</f>
        <v>0</v>
      </c>
      <c r="AK45">
        <f>IFERROR('Feeders Raw Data'!BD45,"")</f>
        <v>0</v>
      </c>
      <c r="AL45">
        <f>IFERROR('Feeders Raw Data'!BF45-'Feeders Raw Data'!BF46,"")</f>
        <v>0</v>
      </c>
      <c r="AM45" t="str">
        <f>IFERROR(AVERAGE('Feeders Raw Data'!BF45:BF49),"")</f>
        <v/>
      </c>
      <c r="AN45" t="str">
        <f>IFERROR(SUMPRODUCT('Feeders Raw Data'!AZ45:AZ64,'Feeders Raw Data'!BE45:BE64)/SUM('Feeders Raw Data'!BE45:BE64),"")</f>
        <v/>
      </c>
      <c r="AO45">
        <f>IFERROR(SQRT((SUMSQ('Feeders Raw Data'!AZ45:AZ64)-2*SUMPRODUCT('Feeders Raw Data'!AZ45:AZ64,'Feeders Raw Data'!AZ46:AZ65)+SUMSQ('Feeders Raw Data'!AZ46:AZ65)-('Feeders Raw Data'!AZ45-'Feeders Raw Data'!AZ65)^2/20)/19),"")</f>
        <v>0</v>
      </c>
      <c r="AQ45">
        <f>IFERROR('Feeders Raw Data'!BI45,"")</f>
        <v>0</v>
      </c>
      <c r="AR45">
        <f>IFERROR('Feeders Raw Data'!BN45,"")</f>
        <v>0</v>
      </c>
      <c r="AS45">
        <f>IFERROR('Feeders Raw Data'!BP45-'Feeders Raw Data'!BP46,"")</f>
        <v>0</v>
      </c>
      <c r="AT45" t="str">
        <f>IFERROR(AVERAGE('Feeders Raw Data'!BP45:BP49),"")</f>
        <v/>
      </c>
      <c r="AU45" t="str">
        <f>IFERROR(SUMPRODUCT('Feeders Raw Data'!BJ45:BJ64,'Feeders Raw Data'!BO45:BO64)/SUM('Feeders Raw Data'!BO45:BO64),"")</f>
        <v/>
      </c>
      <c r="AV45">
        <f>IFERROR(SQRT((SUMSQ('Feeders Raw Data'!BJ45:BJ64)-2*SUMPRODUCT('Feeders Raw Data'!BJ45:BJ64,'Feeders Raw Data'!BJ46:BJ65)+SUMSQ('Feeders Raw Data'!BJ46:BJ65)-('Feeders Raw Data'!BJ45-'Feeders Raw Data'!BJ65)^2/20)/19),"")</f>
        <v>0</v>
      </c>
      <c r="AX45">
        <f>IFERROR('Feeders Raw Data'!BS45,"")</f>
        <v>0</v>
      </c>
      <c r="AY45">
        <f>IFERROR('Feeders Raw Data'!BX45,"")</f>
        <v>0</v>
      </c>
      <c r="AZ45">
        <f>IFERROR('Feeders Raw Data'!BZ45-'Feeders Raw Data'!BZ46,"")</f>
        <v>0</v>
      </c>
      <c r="BA45" t="str">
        <f>IFERROR(AVERAGE('Feeders Raw Data'!BZ45:BZ49),"")</f>
        <v/>
      </c>
      <c r="BB45" t="str">
        <f>IFERROR(SUMPRODUCT('Feeders Raw Data'!BT45:BT64,'Feeders Raw Data'!BY45:BY64)/SUM('Feeders Raw Data'!BY45:BY64),"")</f>
        <v/>
      </c>
      <c r="BC45">
        <f>IFERROR(SQRT((SUMSQ('Feeders Raw Data'!BT45:BT64)-2*SUMPRODUCT('Feeders Raw Data'!BT45:BT64,'Feeders Raw Data'!BT46:BT65)+SUMSQ('Feeders Raw Data'!BT46:BT65)-('Feeders Raw Data'!BT45-'Feeders Raw Data'!BT65)^2/20)/19),"")</f>
        <v>0</v>
      </c>
      <c r="BE45">
        <f>IFERROR('Fats Raw Data'!A45,"")</f>
        <v>0</v>
      </c>
      <c r="BF45">
        <f>IFERROR('Fats Raw Data'!F45,"")</f>
        <v>0</v>
      </c>
      <c r="BG45">
        <f>IFERROR('Fats Raw Data'!H45-'Fats Raw Data'!H46,"")</f>
        <v>0</v>
      </c>
      <c r="BH45" t="str">
        <f>IFERROR(AVERAGE('Fats Raw Data'!H45:H49),"")</f>
        <v/>
      </c>
      <c r="BI45" t="str">
        <f>IFERROR(SUMPRODUCT('Fats Raw Data'!B45:B64,'Fats Raw Data'!G45:G64)/SUM('Fats Raw Data'!G45:G64),"")</f>
        <v/>
      </c>
      <c r="BJ45">
        <f>IFERROR(SQRT((SUMSQ('Fats Raw Data'!B45:B64)-2*SUMPRODUCT('Fats Raw Data'!B45:B64,'Fats Raw Data'!B46:B65)+SUMSQ('Fats Raw Data'!B46:B65)-('Fats Raw Data'!B45-'Fats Raw Data'!B65)^2/20)/19),"")</f>
        <v>0</v>
      </c>
      <c r="BL45">
        <f>IFERROR('Fats Raw Data'!K45,"")</f>
        <v>0</v>
      </c>
      <c r="BM45">
        <f>IFERROR('Fats Raw Data'!P45,"")</f>
        <v>0</v>
      </c>
      <c r="BN45">
        <f>IFERROR('Fats Raw Data'!R45-'Fats Raw Data'!R46,"")</f>
        <v>0</v>
      </c>
      <c r="BO45" t="str">
        <f>IFERROR(AVERAGE('Fats Raw Data'!R45:R49),"")</f>
        <v/>
      </c>
      <c r="BP45" t="str">
        <f>IFERROR(SUMPRODUCT('Fats Raw Data'!L45:L64,'Fats Raw Data'!Q45:Q64)/SUM('Fats Raw Data'!Q45:Q64),"")</f>
        <v/>
      </c>
      <c r="BQ45">
        <f>IFERROR(SQRT((SUMSQ('Fats Raw Data'!L45:L64)-2*SUMPRODUCT('Fats Raw Data'!L45:L64,'Fats Raw Data'!L46:L65)+SUMSQ('Fats Raw Data'!L46:L65)-('Fats Raw Data'!L45-'Fats Raw Data'!L65)^2/20)/19),"")</f>
        <v>0</v>
      </c>
      <c r="BS45">
        <f>IFERROR('Fats Raw Data'!U45,"")</f>
        <v>0</v>
      </c>
      <c r="BT45">
        <f>IFERROR('Fats Raw Data'!Z45,"")</f>
        <v>0</v>
      </c>
      <c r="BU45">
        <f>IFERROR('Fats Raw Data'!AB45-'Fats Raw Data'!AB46,"")</f>
        <v>0</v>
      </c>
      <c r="BV45" t="str">
        <f>IFERROR(AVERAGE('Fats Raw Data'!AB45:AB49),"")</f>
        <v/>
      </c>
      <c r="BW45" t="str">
        <f>IFERROR(SUMPRODUCT('Fats Raw Data'!V45:V64,'Fats Raw Data'!AA45:AA64)/SUM('Fats Raw Data'!AA45:AA64),"")</f>
        <v/>
      </c>
      <c r="BX45">
        <f>IFERROR(SQRT((SUMSQ('Fats Raw Data'!V45:V64)-2*SUMPRODUCT('Fats Raw Data'!V45:V64,'Fats Raw Data'!V46:V65)+SUMSQ('Fats Raw Data'!V46:V65)-('Fats Raw Data'!V45-'Fats Raw Data'!V65)^2/20)/19),"")</f>
        <v>0</v>
      </c>
      <c r="BZ45">
        <f>IFERROR('Fats Raw Data'!AE45,"")</f>
        <v>0</v>
      </c>
      <c r="CA45">
        <f>IFERROR('Fats Raw Data'!AJ45,"")</f>
        <v>0</v>
      </c>
      <c r="CB45">
        <f>IFERROR('Fats Raw Data'!AL45-'Fats Raw Data'!AL46,"")</f>
        <v>0</v>
      </c>
      <c r="CC45" t="str">
        <f>IFERROR(AVERAGE('Fats Raw Data'!AL45:AL49),"")</f>
        <v/>
      </c>
      <c r="CD45" t="str">
        <f>IFERROR(SUMPRODUCT('Fats Raw Data'!AF45:AF64,'Fats Raw Data'!AK45:AK64)/SUM('Fats Raw Data'!AK45:AK64),"")</f>
        <v/>
      </c>
      <c r="CE45">
        <f>IFERROR(SQRT((SUMSQ('Fats Raw Data'!AF45:AF64)-2*SUMPRODUCT('Fats Raw Data'!AF45:AF64,'Fats Raw Data'!AF46:AF65)+SUMSQ('Fats Raw Data'!AF46:AF65)-('Fats Raw Data'!AF45-'Fats Raw Data'!AF65)^2/20)/19),"")</f>
        <v>0</v>
      </c>
      <c r="CG45">
        <f>IFERROR('Fats Raw Data'!AO45,"")</f>
        <v>0</v>
      </c>
      <c r="CH45">
        <f>IFERROR('Fats Raw Data'!AT45,"")</f>
        <v>0</v>
      </c>
      <c r="CI45">
        <f>IFERROR('Fats Raw Data'!AV45-'Fats Raw Data'!AV46,"")</f>
        <v>0</v>
      </c>
      <c r="CJ45" t="str">
        <f>IFERROR(AVERAGE('Fats Raw Data'!AV45:AV49),"")</f>
        <v/>
      </c>
      <c r="CK45" t="str">
        <f>IFERROR(SUMPRODUCT('Fats Raw Data'!AP45:AP64,'Fats Raw Data'!AU45:AU64)/SUM('Fats Raw Data'!AU45:AU64),"")</f>
        <v/>
      </c>
      <c r="CL45">
        <f>IFERROR(SQRT((SUMSQ('Fats Raw Data'!AP45:AP64)-2*SUMPRODUCT('Fats Raw Data'!AP45:AP64,'Fats Raw Data'!AP46:AP65)+SUMSQ('Fats Raw Data'!AP46:AP65)-('Fats Raw Data'!AP45-'Fats Raw Data'!AP65)^2/20)/19),"")</f>
        <v>0</v>
      </c>
      <c r="CN45">
        <f>IFERROR('Fats Raw Data'!AY45,"")</f>
        <v>0</v>
      </c>
      <c r="CO45">
        <f>IFERROR('Fats Raw Data'!BD45,"")</f>
        <v>0</v>
      </c>
      <c r="CP45">
        <f>IFERROR('Fats Raw Data'!BF45-'Fats Raw Data'!BF46,"")</f>
        <v>0</v>
      </c>
      <c r="CQ45" t="str">
        <f>IFERROR(AVERAGE('Fats Raw Data'!BF45:BF49),"")</f>
        <v/>
      </c>
      <c r="CR45" t="str">
        <f>IFERROR(SUMPRODUCT('Fats Raw Data'!AZ45:AZ64,'Fats Raw Data'!BE45:BE64)/SUM('Fats Raw Data'!BE45:BE64),"")</f>
        <v/>
      </c>
      <c r="CS45">
        <f>IFERROR(SQRT((SUMSQ('Fats Raw Data'!AZ45:AZ64)-2*SUMPRODUCT('Fats Raw Data'!AZ45:AZ64,'Fats Raw Data'!AZ46:AZ65)+SUMSQ('Fats Raw Data'!AZ46:AZ65)-('Fats Raw Data'!AZ45-'Fats Raw Data'!AZ65)^2/20)/19),"")</f>
        <v>0</v>
      </c>
    </row>
    <row r="46" spans="1:97" x14ac:dyDescent="0.25">
      <c r="A46">
        <f>IFERROR('Feeders Raw Data'!A46,"")</f>
        <v>0</v>
      </c>
      <c r="B46">
        <f>IFERROR('Feeders Raw Data'!F46,"")</f>
        <v>0</v>
      </c>
      <c r="C46">
        <f>IFERROR('Feeders Raw Data'!H46-'Feeders Raw Data'!H47,"")</f>
        <v>0</v>
      </c>
      <c r="D46" t="str">
        <f>IFERROR(AVERAGE('Feeders Raw Data'!H46:H50),"")</f>
        <v/>
      </c>
      <c r="E46" t="str">
        <f>IFERROR(SUMPRODUCT('Feeders Raw Data'!B46:B65,'Feeders Raw Data'!G46:G65)/SUM('Feeders Raw Data'!G46:G65),"")</f>
        <v/>
      </c>
      <c r="F46">
        <f>IFERROR(SQRT((SUMSQ('Feeders Raw Data'!B46:B65)-2*SUMPRODUCT('Feeders Raw Data'!B46:B65,'Feeders Raw Data'!B47:B66)+SUMSQ('Feeders Raw Data'!B47:B66)-('Feeders Raw Data'!B46-'Feeders Raw Data'!B66)^2/20)/19),"")</f>
        <v>0</v>
      </c>
      <c r="H46">
        <f>IFERROR('Feeders Raw Data'!K46,"")</f>
        <v>0</v>
      </c>
      <c r="I46">
        <f>IFERROR('Feeders Raw Data'!P46,"")</f>
        <v>0</v>
      </c>
      <c r="J46">
        <f>IFERROR('Feeders Raw Data'!R46-'Feeders Raw Data'!R47,"")</f>
        <v>0</v>
      </c>
      <c r="K46" t="str">
        <f>IFERROR(AVERAGE('Feeders Raw Data'!R46:R50),"")</f>
        <v/>
      </c>
      <c r="L46" t="str">
        <f>IFERROR(SUMPRODUCT('Feeders Raw Data'!L46:L65,'Feeders Raw Data'!Q46:Q65)/SUM('Feeders Raw Data'!Q46:Q65),"")</f>
        <v/>
      </c>
      <c r="M46">
        <f>IFERROR(SQRT((SUMSQ('Feeders Raw Data'!L46:L65)-2*SUMPRODUCT('Feeders Raw Data'!L46:L65,'Feeders Raw Data'!L47:L66)+SUMSQ('Feeders Raw Data'!L47:L66)-('Feeders Raw Data'!L46-'Feeders Raw Data'!L66)^2/20)/19),"")</f>
        <v>0</v>
      </c>
      <c r="O46">
        <f>IFERROR('Feeders Raw Data'!U46,"")</f>
        <v>0</v>
      </c>
      <c r="P46">
        <f>IFERROR('Feeders Raw Data'!Z46,"")</f>
        <v>0</v>
      </c>
      <c r="Q46">
        <f>IFERROR('Feeders Raw Data'!AB46-'Feeders Raw Data'!AB47,"")</f>
        <v>0</v>
      </c>
      <c r="R46" t="str">
        <f>IFERROR(AVERAGE('Feeders Raw Data'!AB46:AB50),"")</f>
        <v/>
      </c>
      <c r="S46" t="str">
        <f>IFERROR(SUMPRODUCT('Feeders Raw Data'!V46:V65,'Feeders Raw Data'!AA46:AA65)/SUM('Feeders Raw Data'!AA46:AA65),"")</f>
        <v/>
      </c>
      <c r="T46">
        <f>IFERROR(SQRT((SUMSQ('Feeders Raw Data'!V46:V65)-2*SUMPRODUCT('Feeders Raw Data'!V46:V65,'Feeders Raw Data'!V47:V66)+SUMSQ('Feeders Raw Data'!V47:V66)-('Feeders Raw Data'!V46-'Feeders Raw Data'!V66)^2/20)/19),"")</f>
        <v>0</v>
      </c>
      <c r="V46">
        <f>IFERROR('Feeders Raw Data'!AE46,"")</f>
        <v>0</v>
      </c>
      <c r="W46">
        <f>IFERROR('Feeders Raw Data'!AJ46,"")</f>
        <v>0</v>
      </c>
      <c r="X46">
        <f>IFERROR('Feeders Raw Data'!AL46-'Feeders Raw Data'!AL47,"")</f>
        <v>0</v>
      </c>
      <c r="Y46" t="str">
        <f>IFERROR(AVERAGE('Feeders Raw Data'!AL46:AL50),"")</f>
        <v/>
      </c>
      <c r="Z46" t="str">
        <f>IFERROR(SUMPRODUCT('Feeders Raw Data'!AF46:AF65,'Feeders Raw Data'!AK46:AK65)/SUM('Feeders Raw Data'!AK46:AK65),"")</f>
        <v/>
      </c>
      <c r="AA46">
        <f>IFERROR(SQRT((SUMSQ('Feeders Raw Data'!AF46:AF65)-2*SUMPRODUCT('Feeders Raw Data'!AF46:AF65,'Feeders Raw Data'!AF47:AF66)+SUMSQ('Feeders Raw Data'!AF47:AF66)-('Feeders Raw Data'!AF46-'Feeders Raw Data'!AF66)^2/20)/19),"")</f>
        <v>0</v>
      </c>
      <c r="AC46">
        <f>IFERROR('Feeders Raw Data'!AO46,"")</f>
        <v>0</v>
      </c>
      <c r="AD46">
        <f>IFERROR('Feeders Raw Data'!AT46,"")</f>
        <v>0</v>
      </c>
      <c r="AE46">
        <f>IFERROR('Feeders Raw Data'!AV46-'Feeders Raw Data'!AV47,"")</f>
        <v>0</v>
      </c>
      <c r="AF46" t="str">
        <f>IFERROR(AVERAGE('Feeders Raw Data'!AV46:AV50),"")</f>
        <v/>
      </c>
      <c r="AG46" t="str">
        <f>IFERROR(SUMPRODUCT('Feeders Raw Data'!AP46:AP65,'Feeders Raw Data'!AU46:AU65)/SUM('Feeders Raw Data'!AU46:AU65),"")</f>
        <v/>
      </c>
      <c r="AH46">
        <f>IFERROR(SQRT((SUMSQ('Feeders Raw Data'!AP46:AP65)-2*SUMPRODUCT('Feeders Raw Data'!AP46:AP65,'Feeders Raw Data'!AP47:AP66)+SUMSQ('Feeders Raw Data'!AP47:AP66)-('Feeders Raw Data'!AP46-'Feeders Raw Data'!AP66)^2/20)/19),"")</f>
        <v>0</v>
      </c>
      <c r="AJ46">
        <f>IFERROR('Feeders Raw Data'!AY46,"")</f>
        <v>0</v>
      </c>
      <c r="AK46">
        <f>IFERROR('Feeders Raw Data'!BD46,"")</f>
        <v>0</v>
      </c>
      <c r="AL46">
        <f>IFERROR('Feeders Raw Data'!BF46-'Feeders Raw Data'!BF47,"")</f>
        <v>0</v>
      </c>
      <c r="AM46" t="str">
        <f>IFERROR(AVERAGE('Feeders Raw Data'!BF46:BF50),"")</f>
        <v/>
      </c>
      <c r="AN46" t="str">
        <f>IFERROR(SUMPRODUCT('Feeders Raw Data'!AZ46:AZ65,'Feeders Raw Data'!BE46:BE65)/SUM('Feeders Raw Data'!BE46:BE65),"")</f>
        <v/>
      </c>
      <c r="AO46">
        <f>IFERROR(SQRT((SUMSQ('Feeders Raw Data'!AZ46:AZ65)-2*SUMPRODUCT('Feeders Raw Data'!AZ46:AZ65,'Feeders Raw Data'!AZ47:AZ66)+SUMSQ('Feeders Raw Data'!AZ47:AZ66)-('Feeders Raw Data'!AZ46-'Feeders Raw Data'!AZ66)^2/20)/19),"")</f>
        <v>0</v>
      </c>
      <c r="AQ46">
        <f>IFERROR('Feeders Raw Data'!BI46,"")</f>
        <v>0</v>
      </c>
      <c r="AR46">
        <f>IFERROR('Feeders Raw Data'!BN46,"")</f>
        <v>0</v>
      </c>
      <c r="AS46">
        <f>IFERROR('Feeders Raw Data'!BP46-'Feeders Raw Data'!BP47,"")</f>
        <v>0</v>
      </c>
      <c r="AT46" t="str">
        <f>IFERROR(AVERAGE('Feeders Raw Data'!BP46:BP50),"")</f>
        <v/>
      </c>
      <c r="AU46" t="str">
        <f>IFERROR(SUMPRODUCT('Feeders Raw Data'!BJ46:BJ65,'Feeders Raw Data'!BO46:BO65)/SUM('Feeders Raw Data'!BO46:BO65),"")</f>
        <v/>
      </c>
      <c r="AV46">
        <f>IFERROR(SQRT((SUMSQ('Feeders Raw Data'!BJ46:BJ65)-2*SUMPRODUCT('Feeders Raw Data'!BJ46:BJ65,'Feeders Raw Data'!BJ47:BJ66)+SUMSQ('Feeders Raw Data'!BJ47:BJ66)-('Feeders Raw Data'!BJ46-'Feeders Raw Data'!BJ66)^2/20)/19),"")</f>
        <v>0</v>
      </c>
      <c r="AX46">
        <f>IFERROR('Feeders Raw Data'!BS46,"")</f>
        <v>0</v>
      </c>
      <c r="AY46">
        <f>IFERROR('Feeders Raw Data'!BX46,"")</f>
        <v>0</v>
      </c>
      <c r="AZ46">
        <f>IFERROR('Feeders Raw Data'!BZ46-'Feeders Raw Data'!BZ47,"")</f>
        <v>0</v>
      </c>
      <c r="BA46" t="str">
        <f>IFERROR(AVERAGE('Feeders Raw Data'!BZ46:BZ50),"")</f>
        <v/>
      </c>
      <c r="BB46" t="str">
        <f>IFERROR(SUMPRODUCT('Feeders Raw Data'!BT46:BT65,'Feeders Raw Data'!BY46:BY65)/SUM('Feeders Raw Data'!BY46:BY65),"")</f>
        <v/>
      </c>
      <c r="BC46">
        <f>IFERROR(SQRT((SUMSQ('Feeders Raw Data'!BT46:BT65)-2*SUMPRODUCT('Feeders Raw Data'!BT46:BT65,'Feeders Raw Data'!BT47:BT66)+SUMSQ('Feeders Raw Data'!BT47:BT66)-('Feeders Raw Data'!BT46-'Feeders Raw Data'!BT66)^2/20)/19),"")</f>
        <v>0</v>
      </c>
      <c r="BE46">
        <f>IFERROR('Fats Raw Data'!A46,"")</f>
        <v>0</v>
      </c>
      <c r="BF46">
        <f>IFERROR('Fats Raw Data'!F46,"")</f>
        <v>0</v>
      </c>
      <c r="BG46">
        <f>IFERROR('Fats Raw Data'!H46-'Fats Raw Data'!H47,"")</f>
        <v>0</v>
      </c>
      <c r="BH46" t="str">
        <f>IFERROR(AVERAGE('Fats Raw Data'!H46:H50),"")</f>
        <v/>
      </c>
      <c r="BI46" t="str">
        <f>IFERROR(SUMPRODUCT('Fats Raw Data'!B46:B65,'Fats Raw Data'!G46:G65)/SUM('Fats Raw Data'!G46:G65),"")</f>
        <v/>
      </c>
      <c r="BJ46">
        <f>IFERROR(SQRT((SUMSQ('Fats Raw Data'!B46:B65)-2*SUMPRODUCT('Fats Raw Data'!B46:B65,'Fats Raw Data'!B47:B66)+SUMSQ('Fats Raw Data'!B47:B66)-('Fats Raw Data'!B46-'Fats Raw Data'!B66)^2/20)/19),"")</f>
        <v>0</v>
      </c>
      <c r="BL46">
        <f>IFERROR('Fats Raw Data'!K46,"")</f>
        <v>0</v>
      </c>
      <c r="BM46">
        <f>IFERROR('Fats Raw Data'!P46,"")</f>
        <v>0</v>
      </c>
      <c r="BN46">
        <f>IFERROR('Fats Raw Data'!R46-'Fats Raw Data'!R47,"")</f>
        <v>0</v>
      </c>
      <c r="BO46" t="str">
        <f>IFERROR(AVERAGE('Fats Raw Data'!R46:R50),"")</f>
        <v/>
      </c>
      <c r="BP46" t="str">
        <f>IFERROR(SUMPRODUCT('Fats Raw Data'!L46:L65,'Fats Raw Data'!Q46:Q65)/SUM('Fats Raw Data'!Q46:Q65),"")</f>
        <v/>
      </c>
      <c r="BQ46">
        <f>IFERROR(SQRT((SUMSQ('Fats Raw Data'!L46:L65)-2*SUMPRODUCT('Fats Raw Data'!L46:L65,'Fats Raw Data'!L47:L66)+SUMSQ('Fats Raw Data'!L47:L66)-('Fats Raw Data'!L46-'Fats Raw Data'!L66)^2/20)/19),"")</f>
        <v>0</v>
      </c>
      <c r="BS46">
        <f>IFERROR('Fats Raw Data'!U46,"")</f>
        <v>0</v>
      </c>
      <c r="BT46">
        <f>IFERROR('Fats Raw Data'!Z46,"")</f>
        <v>0</v>
      </c>
      <c r="BU46">
        <f>IFERROR('Fats Raw Data'!AB46-'Fats Raw Data'!AB47,"")</f>
        <v>0</v>
      </c>
      <c r="BV46" t="str">
        <f>IFERROR(AVERAGE('Fats Raw Data'!AB46:AB50),"")</f>
        <v/>
      </c>
      <c r="BW46" t="str">
        <f>IFERROR(SUMPRODUCT('Fats Raw Data'!V46:V65,'Fats Raw Data'!AA46:AA65)/SUM('Fats Raw Data'!AA46:AA65),"")</f>
        <v/>
      </c>
      <c r="BX46">
        <f>IFERROR(SQRT((SUMSQ('Fats Raw Data'!V46:V65)-2*SUMPRODUCT('Fats Raw Data'!V46:V65,'Fats Raw Data'!V47:V66)+SUMSQ('Fats Raw Data'!V47:V66)-('Fats Raw Data'!V46-'Fats Raw Data'!V66)^2/20)/19),"")</f>
        <v>0</v>
      </c>
      <c r="BZ46">
        <f>IFERROR('Fats Raw Data'!AE46,"")</f>
        <v>0</v>
      </c>
      <c r="CA46">
        <f>IFERROR('Fats Raw Data'!AJ46,"")</f>
        <v>0</v>
      </c>
      <c r="CB46">
        <f>IFERROR('Fats Raw Data'!AL46-'Fats Raw Data'!AL47,"")</f>
        <v>0</v>
      </c>
      <c r="CC46" t="str">
        <f>IFERROR(AVERAGE('Fats Raw Data'!AL46:AL50),"")</f>
        <v/>
      </c>
      <c r="CD46" t="str">
        <f>IFERROR(SUMPRODUCT('Fats Raw Data'!AF46:AF65,'Fats Raw Data'!AK46:AK65)/SUM('Fats Raw Data'!AK46:AK65),"")</f>
        <v/>
      </c>
      <c r="CE46">
        <f>IFERROR(SQRT((SUMSQ('Fats Raw Data'!AF46:AF65)-2*SUMPRODUCT('Fats Raw Data'!AF46:AF65,'Fats Raw Data'!AF47:AF66)+SUMSQ('Fats Raw Data'!AF47:AF66)-('Fats Raw Data'!AF46-'Fats Raw Data'!AF66)^2/20)/19),"")</f>
        <v>0</v>
      </c>
      <c r="CG46">
        <f>IFERROR('Fats Raw Data'!AO46,"")</f>
        <v>0</v>
      </c>
      <c r="CH46">
        <f>IFERROR('Fats Raw Data'!AT46,"")</f>
        <v>0</v>
      </c>
      <c r="CI46">
        <f>IFERROR('Fats Raw Data'!AV46-'Fats Raw Data'!AV47,"")</f>
        <v>0</v>
      </c>
      <c r="CJ46" t="str">
        <f>IFERROR(AVERAGE('Fats Raw Data'!AV46:AV50),"")</f>
        <v/>
      </c>
      <c r="CK46" t="str">
        <f>IFERROR(SUMPRODUCT('Fats Raw Data'!AP46:AP65,'Fats Raw Data'!AU46:AU65)/SUM('Fats Raw Data'!AU46:AU65),"")</f>
        <v/>
      </c>
      <c r="CL46">
        <f>IFERROR(SQRT((SUMSQ('Fats Raw Data'!AP46:AP65)-2*SUMPRODUCT('Fats Raw Data'!AP46:AP65,'Fats Raw Data'!AP47:AP66)+SUMSQ('Fats Raw Data'!AP47:AP66)-('Fats Raw Data'!AP46-'Fats Raw Data'!AP66)^2/20)/19),"")</f>
        <v>0</v>
      </c>
      <c r="CN46">
        <f>IFERROR('Fats Raw Data'!AY46,"")</f>
        <v>0</v>
      </c>
      <c r="CO46">
        <f>IFERROR('Fats Raw Data'!BD46,"")</f>
        <v>0</v>
      </c>
      <c r="CP46">
        <f>IFERROR('Fats Raw Data'!BF46-'Fats Raw Data'!BF47,"")</f>
        <v>0</v>
      </c>
      <c r="CQ46" t="str">
        <f>IFERROR(AVERAGE('Fats Raw Data'!BF46:BF50),"")</f>
        <v/>
      </c>
      <c r="CR46" t="str">
        <f>IFERROR(SUMPRODUCT('Fats Raw Data'!AZ46:AZ65,'Fats Raw Data'!BE46:BE65)/SUM('Fats Raw Data'!BE46:BE65),"")</f>
        <v/>
      </c>
      <c r="CS46">
        <f>IFERROR(SQRT((SUMSQ('Fats Raw Data'!AZ46:AZ65)-2*SUMPRODUCT('Fats Raw Data'!AZ46:AZ65,'Fats Raw Data'!AZ47:AZ66)+SUMSQ('Fats Raw Data'!AZ47:AZ66)-('Fats Raw Data'!AZ46-'Fats Raw Data'!AZ66)^2/20)/19),"")</f>
        <v>0</v>
      </c>
    </row>
    <row r="47" spans="1:97" x14ac:dyDescent="0.25">
      <c r="A47">
        <f>IFERROR('Feeders Raw Data'!A47,"")</f>
        <v>0</v>
      </c>
      <c r="B47">
        <f>IFERROR('Feeders Raw Data'!F47,"")</f>
        <v>0</v>
      </c>
      <c r="C47">
        <f>IFERROR('Feeders Raw Data'!H47-'Feeders Raw Data'!H48,"")</f>
        <v>0</v>
      </c>
      <c r="D47" t="str">
        <f>IFERROR(AVERAGE('Feeders Raw Data'!H47:H51),"")</f>
        <v/>
      </c>
      <c r="E47" t="str">
        <f>IFERROR(SUMPRODUCT('Feeders Raw Data'!B47:B66,'Feeders Raw Data'!G47:G66)/SUM('Feeders Raw Data'!G47:G66),"")</f>
        <v/>
      </c>
      <c r="F47">
        <f>IFERROR(SQRT((SUMSQ('Feeders Raw Data'!B47:B66)-2*SUMPRODUCT('Feeders Raw Data'!B47:B66,'Feeders Raw Data'!B48:B67)+SUMSQ('Feeders Raw Data'!B48:B67)-('Feeders Raw Data'!B47-'Feeders Raw Data'!B67)^2/20)/19),"")</f>
        <v>0</v>
      </c>
      <c r="H47">
        <f>IFERROR('Feeders Raw Data'!K47,"")</f>
        <v>0</v>
      </c>
      <c r="I47">
        <f>IFERROR('Feeders Raw Data'!P47,"")</f>
        <v>0</v>
      </c>
      <c r="J47">
        <f>IFERROR('Feeders Raw Data'!R47-'Feeders Raw Data'!R48,"")</f>
        <v>0</v>
      </c>
      <c r="K47" t="str">
        <f>IFERROR(AVERAGE('Feeders Raw Data'!R47:R51),"")</f>
        <v/>
      </c>
      <c r="L47" t="str">
        <f>IFERROR(SUMPRODUCT('Feeders Raw Data'!L47:L66,'Feeders Raw Data'!Q47:Q66)/SUM('Feeders Raw Data'!Q47:Q66),"")</f>
        <v/>
      </c>
      <c r="M47">
        <f>IFERROR(SQRT((SUMSQ('Feeders Raw Data'!L47:L66)-2*SUMPRODUCT('Feeders Raw Data'!L47:L66,'Feeders Raw Data'!L48:L67)+SUMSQ('Feeders Raw Data'!L48:L67)-('Feeders Raw Data'!L47-'Feeders Raw Data'!L67)^2/20)/19),"")</f>
        <v>0</v>
      </c>
      <c r="O47">
        <f>IFERROR('Feeders Raw Data'!U47,"")</f>
        <v>0</v>
      </c>
      <c r="P47">
        <f>IFERROR('Feeders Raw Data'!Z47,"")</f>
        <v>0</v>
      </c>
      <c r="Q47">
        <f>IFERROR('Feeders Raw Data'!AB47-'Feeders Raw Data'!AB48,"")</f>
        <v>0</v>
      </c>
      <c r="R47" t="str">
        <f>IFERROR(AVERAGE('Feeders Raw Data'!AB47:AB51),"")</f>
        <v/>
      </c>
      <c r="S47" t="str">
        <f>IFERROR(SUMPRODUCT('Feeders Raw Data'!V47:V66,'Feeders Raw Data'!AA47:AA66)/SUM('Feeders Raw Data'!AA47:AA66),"")</f>
        <v/>
      </c>
      <c r="T47">
        <f>IFERROR(SQRT((SUMSQ('Feeders Raw Data'!V47:V66)-2*SUMPRODUCT('Feeders Raw Data'!V47:V66,'Feeders Raw Data'!V48:V67)+SUMSQ('Feeders Raw Data'!V48:V67)-('Feeders Raw Data'!V47-'Feeders Raw Data'!V67)^2/20)/19),"")</f>
        <v>0</v>
      </c>
      <c r="V47">
        <f>IFERROR('Feeders Raw Data'!AE47,"")</f>
        <v>0</v>
      </c>
      <c r="W47">
        <f>IFERROR('Feeders Raw Data'!AJ47,"")</f>
        <v>0</v>
      </c>
      <c r="X47">
        <f>IFERROR('Feeders Raw Data'!AL47-'Feeders Raw Data'!AL48,"")</f>
        <v>0</v>
      </c>
      <c r="Y47" t="str">
        <f>IFERROR(AVERAGE('Feeders Raw Data'!AL47:AL51),"")</f>
        <v/>
      </c>
      <c r="Z47" t="str">
        <f>IFERROR(SUMPRODUCT('Feeders Raw Data'!AF47:AF66,'Feeders Raw Data'!AK47:AK66)/SUM('Feeders Raw Data'!AK47:AK66),"")</f>
        <v/>
      </c>
      <c r="AA47">
        <f>IFERROR(SQRT((SUMSQ('Feeders Raw Data'!AF47:AF66)-2*SUMPRODUCT('Feeders Raw Data'!AF47:AF66,'Feeders Raw Data'!AF48:AF67)+SUMSQ('Feeders Raw Data'!AF48:AF67)-('Feeders Raw Data'!AF47-'Feeders Raw Data'!AF67)^2/20)/19),"")</f>
        <v>0</v>
      </c>
      <c r="AC47">
        <f>IFERROR('Feeders Raw Data'!AO47,"")</f>
        <v>0</v>
      </c>
      <c r="AD47">
        <f>IFERROR('Feeders Raw Data'!AT47,"")</f>
        <v>0</v>
      </c>
      <c r="AE47">
        <f>IFERROR('Feeders Raw Data'!AV47-'Feeders Raw Data'!AV48,"")</f>
        <v>0</v>
      </c>
      <c r="AF47" t="str">
        <f>IFERROR(AVERAGE('Feeders Raw Data'!AV47:AV51),"")</f>
        <v/>
      </c>
      <c r="AG47" t="str">
        <f>IFERROR(SUMPRODUCT('Feeders Raw Data'!AP47:AP66,'Feeders Raw Data'!AU47:AU66)/SUM('Feeders Raw Data'!AU47:AU66),"")</f>
        <v/>
      </c>
      <c r="AH47">
        <f>IFERROR(SQRT((SUMSQ('Feeders Raw Data'!AP47:AP66)-2*SUMPRODUCT('Feeders Raw Data'!AP47:AP66,'Feeders Raw Data'!AP48:AP67)+SUMSQ('Feeders Raw Data'!AP48:AP67)-('Feeders Raw Data'!AP47-'Feeders Raw Data'!AP67)^2/20)/19),"")</f>
        <v>0</v>
      </c>
      <c r="AJ47">
        <f>IFERROR('Feeders Raw Data'!AY47,"")</f>
        <v>0</v>
      </c>
      <c r="AK47">
        <f>IFERROR('Feeders Raw Data'!BD47,"")</f>
        <v>0</v>
      </c>
      <c r="AL47">
        <f>IFERROR('Feeders Raw Data'!BF47-'Feeders Raw Data'!BF48,"")</f>
        <v>0</v>
      </c>
      <c r="AM47" t="str">
        <f>IFERROR(AVERAGE('Feeders Raw Data'!BF47:BF51),"")</f>
        <v/>
      </c>
      <c r="AN47" t="str">
        <f>IFERROR(SUMPRODUCT('Feeders Raw Data'!AZ47:AZ66,'Feeders Raw Data'!BE47:BE66)/SUM('Feeders Raw Data'!BE47:BE66),"")</f>
        <v/>
      </c>
      <c r="AO47">
        <f>IFERROR(SQRT((SUMSQ('Feeders Raw Data'!AZ47:AZ66)-2*SUMPRODUCT('Feeders Raw Data'!AZ47:AZ66,'Feeders Raw Data'!AZ48:AZ67)+SUMSQ('Feeders Raw Data'!AZ48:AZ67)-('Feeders Raw Data'!AZ47-'Feeders Raw Data'!AZ67)^2/20)/19),"")</f>
        <v>0</v>
      </c>
      <c r="AQ47">
        <f>IFERROR('Feeders Raw Data'!BI47,"")</f>
        <v>0</v>
      </c>
      <c r="AR47">
        <f>IFERROR('Feeders Raw Data'!BN47,"")</f>
        <v>0</v>
      </c>
      <c r="AS47">
        <f>IFERROR('Feeders Raw Data'!BP47-'Feeders Raw Data'!BP48,"")</f>
        <v>0</v>
      </c>
      <c r="AT47" t="str">
        <f>IFERROR(AVERAGE('Feeders Raw Data'!BP47:BP51),"")</f>
        <v/>
      </c>
      <c r="AU47" t="str">
        <f>IFERROR(SUMPRODUCT('Feeders Raw Data'!BJ47:BJ66,'Feeders Raw Data'!BO47:BO66)/SUM('Feeders Raw Data'!BO47:BO66),"")</f>
        <v/>
      </c>
      <c r="AV47">
        <f>IFERROR(SQRT((SUMSQ('Feeders Raw Data'!BJ47:BJ66)-2*SUMPRODUCT('Feeders Raw Data'!BJ47:BJ66,'Feeders Raw Data'!BJ48:BJ67)+SUMSQ('Feeders Raw Data'!BJ48:BJ67)-('Feeders Raw Data'!BJ47-'Feeders Raw Data'!BJ67)^2/20)/19),"")</f>
        <v>0</v>
      </c>
      <c r="AX47">
        <f>IFERROR('Feeders Raw Data'!BS47,"")</f>
        <v>0</v>
      </c>
      <c r="AY47">
        <f>IFERROR('Feeders Raw Data'!BX47,"")</f>
        <v>0</v>
      </c>
      <c r="AZ47">
        <f>IFERROR('Feeders Raw Data'!BZ47-'Feeders Raw Data'!BZ48,"")</f>
        <v>0</v>
      </c>
      <c r="BA47" t="str">
        <f>IFERROR(AVERAGE('Feeders Raw Data'!BZ47:BZ51),"")</f>
        <v/>
      </c>
      <c r="BB47" t="str">
        <f>IFERROR(SUMPRODUCT('Feeders Raw Data'!BT47:BT66,'Feeders Raw Data'!BY47:BY66)/SUM('Feeders Raw Data'!BY47:BY66),"")</f>
        <v/>
      </c>
      <c r="BC47">
        <f>IFERROR(SQRT((SUMSQ('Feeders Raw Data'!BT47:BT66)-2*SUMPRODUCT('Feeders Raw Data'!BT47:BT66,'Feeders Raw Data'!BT48:BT67)+SUMSQ('Feeders Raw Data'!BT48:BT67)-('Feeders Raw Data'!BT47-'Feeders Raw Data'!BT67)^2/20)/19),"")</f>
        <v>0</v>
      </c>
      <c r="BE47">
        <f>IFERROR('Fats Raw Data'!A47,"")</f>
        <v>0</v>
      </c>
      <c r="BF47">
        <f>IFERROR('Fats Raw Data'!F47,"")</f>
        <v>0</v>
      </c>
      <c r="BG47">
        <f>IFERROR('Fats Raw Data'!H47-'Fats Raw Data'!H48,"")</f>
        <v>0</v>
      </c>
      <c r="BH47" t="str">
        <f>IFERROR(AVERAGE('Fats Raw Data'!H47:H51),"")</f>
        <v/>
      </c>
      <c r="BI47" t="str">
        <f>IFERROR(SUMPRODUCT('Fats Raw Data'!B47:B66,'Fats Raw Data'!G47:G66)/SUM('Fats Raw Data'!G47:G66),"")</f>
        <v/>
      </c>
      <c r="BJ47">
        <f>IFERROR(SQRT((SUMSQ('Fats Raw Data'!B47:B66)-2*SUMPRODUCT('Fats Raw Data'!B47:B66,'Fats Raw Data'!B48:B67)+SUMSQ('Fats Raw Data'!B48:B67)-('Fats Raw Data'!B47-'Fats Raw Data'!B67)^2/20)/19),"")</f>
        <v>0</v>
      </c>
      <c r="BL47">
        <f>IFERROR('Fats Raw Data'!K47,"")</f>
        <v>0</v>
      </c>
      <c r="BM47">
        <f>IFERROR('Fats Raw Data'!P47,"")</f>
        <v>0</v>
      </c>
      <c r="BN47">
        <f>IFERROR('Fats Raw Data'!R47-'Fats Raw Data'!R48,"")</f>
        <v>0</v>
      </c>
      <c r="BO47" t="str">
        <f>IFERROR(AVERAGE('Fats Raw Data'!R47:R51),"")</f>
        <v/>
      </c>
      <c r="BP47" t="str">
        <f>IFERROR(SUMPRODUCT('Fats Raw Data'!L47:L66,'Fats Raw Data'!Q47:Q66)/SUM('Fats Raw Data'!Q47:Q66),"")</f>
        <v/>
      </c>
      <c r="BQ47">
        <f>IFERROR(SQRT((SUMSQ('Fats Raw Data'!L47:L66)-2*SUMPRODUCT('Fats Raw Data'!L47:L66,'Fats Raw Data'!L48:L67)+SUMSQ('Fats Raw Data'!L48:L67)-('Fats Raw Data'!L47-'Fats Raw Data'!L67)^2/20)/19),"")</f>
        <v>0</v>
      </c>
      <c r="BS47">
        <f>IFERROR('Fats Raw Data'!U47,"")</f>
        <v>0</v>
      </c>
      <c r="BT47">
        <f>IFERROR('Fats Raw Data'!Z47,"")</f>
        <v>0</v>
      </c>
      <c r="BU47">
        <f>IFERROR('Fats Raw Data'!AB47-'Fats Raw Data'!AB48,"")</f>
        <v>0</v>
      </c>
      <c r="BV47" t="str">
        <f>IFERROR(AVERAGE('Fats Raw Data'!AB47:AB51),"")</f>
        <v/>
      </c>
      <c r="BW47" t="str">
        <f>IFERROR(SUMPRODUCT('Fats Raw Data'!V47:V66,'Fats Raw Data'!AA47:AA66)/SUM('Fats Raw Data'!AA47:AA66),"")</f>
        <v/>
      </c>
      <c r="BX47">
        <f>IFERROR(SQRT((SUMSQ('Fats Raw Data'!V47:V66)-2*SUMPRODUCT('Fats Raw Data'!V47:V66,'Fats Raw Data'!V48:V67)+SUMSQ('Fats Raw Data'!V48:V67)-('Fats Raw Data'!V47-'Fats Raw Data'!V67)^2/20)/19),"")</f>
        <v>0</v>
      </c>
      <c r="BZ47">
        <f>IFERROR('Fats Raw Data'!AE47,"")</f>
        <v>0</v>
      </c>
      <c r="CA47">
        <f>IFERROR('Fats Raw Data'!AJ47,"")</f>
        <v>0</v>
      </c>
      <c r="CB47">
        <f>IFERROR('Fats Raw Data'!AL47-'Fats Raw Data'!AL48,"")</f>
        <v>0</v>
      </c>
      <c r="CC47" t="str">
        <f>IFERROR(AVERAGE('Fats Raw Data'!AL47:AL51),"")</f>
        <v/>
      </c>
      <c r="CD47" t="str">
        <f>IFERROR(SUMPRODUCT('Fats Raw Data'!AF47:AF66,'Fats Raw Data'!AK47:AK66)/SUM('Fats Raw Data'!AK47:AK66),"")</f>
        <v/>
      </c>
      <c r="CE47">
        <f>IFERROR(SQRT((SUMSQ('Fats Raw Data'!AF47:AF66)-2*SUMPRODUCT('Fats Raw Data'!AF47:AF66,'Fats Raw Data'!AF48:AF67)+SUMSQ('Fats Raw Data'!AF48:AF67)-('Fats Raw Data'!AF47-'Fats Raw Data'!AF67)^2/20)/19),"")</f>
        <v>0</v>
      </c>
      <c r="CG47">
        <f>IFERROR('Fats Raw Data'!AO47,"")</f>
        <v>0</v>
      </c>
      <c r="CH47">
        <f>IFERROR('Fats Raw Data'!AT47,"")</f>
        <v>0</v>
      </c>
      <c r="CI47">
        <f>IFERROR('Fats Raw Data'!AV47-'Fats Raw Data'!AV48,"")</f>
        <v>0</v>
      </c>
      <c r="CJ47" t="str">
        <f>IFERROR(AVERAGE('Fats Raw Data'!AV47:AV51),"")</f>
        <v/>
      </c>
      <c r="CK47" t="str">
        <f>IFERROR(SUMPRODUCT('Fats Raw Data'!AP47:AP66,'Fats Raw Data'!AU47:AU66)/SUM('Fats Raw Data'!AU47:AU66),"")</f>
        <v/>
      </c>
      <c r="CL47">
        <f>IFERROR(SQRT((SUMSQ('Fats Raw Data'!AP47:AP66)-2*SUMPRODUCT('Fats Raw Data'!AP47:AP66,'Fats Raw Data'!AP48:AP67)+SUMSQ('Fats Raw Data'!AP48:AP67)-('Fats Raw Data'!AP47-'Fats Raw Data'!AP67)^2/20)/19),"")</f>
        <v>0</v>
      </c>
      <c r="CN47">
        <f>IFERROR('Fats Raw Data'!AY47,"")</f>
        <v>0</v>
      </c>
      <c r="CO47">
        <f>IFERROR('Fats Raw Data'!BD47,"")</f>
        <v>0</v>
      </c>
      <c r="CP47">
        <f>IFERROR('Fats Raw Data'!BF47-'Fats Raw Data'!BF48,"")</f>
        <v>0</v>
      </c>
      <c r="CQ47" t="str">
        <f>IFERROR(AVERAGE('Fats Raw Data'!BF47:BF51),"")</f>
        <v/>
      </c>
      <c r="CR47" t="str">
        <f>IFERROR(SUMPRODUCT('Fats Raw Data'!AZ47:AZ66,'Fats Raw Data'!BE47:BE66)/SUM('Fats Raw Data'!BE47:BE66),"")</f>
        <v/>
      </c>
      <c r="CS47">
        <f>IFERROR(SQRT((SUMSQ('Fats Raw Data'!AZ47:AZ66)-2*SUMPRODUCT('Fats Raw Data'!AZ47:AZ66,'Fats Raw Data'!AZ48:AZ67)+SUMSQ('Fats Raw Data'!AZ48:AZ67)-('Fats Raw Data'!AZ47-'Fats Raw Data'!AZ67)^2/20)/19),"")</f>
        <v>0</v>
      </c>
    </row>
    <row r="48" spans="1:97" x14ac:dyDescent="0.25">
      <c r="A48">
        <f>IFERROR('Feeders Raw Data'!A48,"")</f>
        <v>0</v>
      </c>
      <c r="B48">
        <f>IFERROR('Feeders Raw Data'!F48,"")</f>
        <v>0</v>
      </c>
      <c r="C48">
        <f>IFERROR('Feeders Raw Data'!H48-'Feeders Raw Data'!H49,"")</f>
        <v>0</v>
      </c>
      <c r="D48" t="str">
        <f>IFERROR(AVERAGE('Feeders Raw Data'!H48:H52),"")</f>
        <v/>
      </c>
      <c r="E48" t="str">
        <f>IFERROR(SUMPRODUCT('Feeders Raw Data'!B48:B67,'Feeders Raw Data'!G48:G67)/SUM('Feeders Raw Data'!G48:G67),"")</f>
        <v/>
      </c>
      <c r="F48">
        <f>IFERROR(SQRT((SUMSQ('Feeders Raw Data'!B48:B67)-2*SUMPRODUCT('Feeders Raw Data'!B48:B67,'Feeders Raw Data'!B49:B68)+SUMSQ('Feeders Raw Data'!B49:B68)-('Feeders Raw Data'!B48-'Feeders Raw Data'!B68)^2/20)/19),"")</f>
        <v>0</v>
      </c>
      <c r="H48">
        <f>IFERROR('Feeders Raw Data'!K48,"")</f>
        <v>0</v>
      </c>
      <c r="I48">
        <f>IFERROR('Feeders Raw Data'!P48,"")</f>
        <v>0</v>
      </c>
      <c r="J48">
        <f>IFERROR('Feeders Raw Data'!R48-'Feeders Raw Data'!R49,"")</f>
        <v>0</v>
      </c>
      <c r="K48" t="str">
        <f>IFERROR(AVERAGE('Feeders Raw Data'!R48:R52),"")</f>
        <v/>
      </c>
      <c r="L48" t="str">
        <f>IFERROR(SUMPRODUCT('Feeders Raw Data'!L48:L67,'Feeders Raw Data'!Q48:Q67)/SUM('Feeders Raw Data'!Q48:Q67),"")</f>
        <v/>
      </c>
      <c r="M48">
        <f>IFERROR(SQRT((SUMSQ('Feeders Raw Data'!L48:L67)-2*SUMPRODUCT('Feeders Raw Data'!L48:L67,'Feeders Raw Data'!L49:L68)+SUMSQ('Feeders Raw Data'!L49:L68)-('Feeders Raw Data'!L48-'Feeders Raw Data'!L68)^2/20)/19),"")</f>
        <v>0</v>
      </c>
      <c r="O48">
        <f>IFERROR('Feeders Raw Data'!U48,"")</f>
        <v>0</v>
      </c>
      <c r="P48">
        <f>IFERROR('Feeders Raw Data'!Z48,"")</f>
        <v>0</v>
      </c>
      <c r="Q48">
        <f>IFERROR('Feeders Raw Data'!AB48-'Feeders Raw Data'!AB49,"")</f>
        <v>0</v>
      </c>
      <c r="R48" t="str">
        <f>IFERROR(AVERAGE('Feeders Raw Data'!AB48:AB52),"")</f>
        <v/>
      </c>
      <c r="S48" t="str">
        <f>IFERROR(SUMPRODUCT('Feeders Raw Data'!V48:V67,'Feeders Raw Data'!AA48:AA67)/SUM('Feeders Raw Data'!AA48:AA67),"")</f>
        <v/>
      </c>
      <c r="T48">
        <f>IFERROR(SQRT((SUMSQ('Feeders Raw Data'!V48:V67)-2*SUMPRODUCT('Feeders Raw Data'!V48:V67,'Feeders Raw Data'!V49:V68)+SUMSQ('Feeders Raw Data'!V49:V68)-('Feeders Raw Data'!V48-'Feeders Raw Data'!V68)^2/20)/19),"")</f>
        <v>0</v>
      </c>
      <c r="V48">
        <f>IFERROR('Feeders Raw Data'!AE48,"")</f>
        <v>0</v>
      </c>
      <c r="W48">
        <f>IFERROR('Feeders Raw Data'!AJ48,"")</f>
        <v>0</v>
      </c>
      <c r="X48">
        <f>IFERROR('Feeders Raw Data'!AL48-'Feeders Raw Data'!AL49,"")</f>
        <v>0</v>
      </c>
      <c r="Y48" t="str">
        <f>IFERROR(AVERAGE('Feeders Raw Data'!AL48:AL52),"")</f>
        <v/>
      </c>
      <c r="Z48" t="str">
        <f>IFERROR(SUMPRODUCT('Feeders Raw Data'!AF48:AF67,'Feeders Raw Data'!AK48:AK67)/SUM('Feeders Raw Data'!AK48:AK67),"")</f>
        <v/>
      </c>
      <c r="AA48">
        <f>IFERROR(SQRT((SUMSQ('Feeders Raw Data'!AF48:AF67)-2*SUMPRODUCT('Feeders Raw Data'!AF48:AF67,'Feeders Raw Data'!AF49:AF68)+SUMSQ('Feeders Raw Data'!AF49:AF68)-('Feeders Raw Data'!AF48-'Feeders Raw Data'!AF68)^2/20)/19),"")</f>
        <v>0</v>
      </c>
      <c r="AC48">
        <f>IFERROR('Feeders Raw Data'!AO48,"")</f>
        <v>0</v>
      </c>
      <c r="AD48">
        <f>IFERROR('Feeders Raw Data'!AT48,"")</f>
        <v>0</v>
      </c>
      <c r="AE48">
        <f>IFERROR('Feeders Raw Data'!AV48-'Feeders Raw Data'!AV49,"")</f>
        <v>0</v>
      </c>
      <c r="AF48" t="str">
        <f>IFERROR(AVERAGE('Feeders Raw Data'!AV48:AV52),"")</f>
        <v/>
      </c>
      <c r="AG48" t="str">
        <f>IFERROR(SUMPRODUCT('Feeders Raw Data'!AP48:AP67,'Feeders Raw Data'!AU48:AU67)/SUM('Feeders Raw Data'!AU48:AU67),"")</f>
        <v/>
      </c>
      <c r="AH48">
        <f>IFERROR(SQRT((SUMSQ('Feeders Raw Data'!AP48:AP67)-2*SUMPRODUCT('Feeders Raw Data'!AP48:AP67,'Feeders Raw Data'!AP49:AP68)+SUMSQ('Feeders Raw Data'!AP49:AP68)-('Feeders Raw Data'!AP48-'Feeders Raw Data'!AP68)^2/20)/19),"")</f>
        <v>0</v>
      </c>
      <c r="AJ48">
        <f>IFERROR('Feeders Raw Data'!AY48,"")</f>
        <v>0</v>
      </c>
      <c r="AK48">
        <f>IFERROR('Feeders Raw Data'!BD48,"")</f>
        <v>0</v>
      </c>
      <c r="AL48">
        <f>IFERROR('Feeders Raw Data'!BF48-'Feeders Raw Data'!BF49,"")</f>
        <v>0</v>
      </c>
      <c r="AM48" t="str">
        <f>IFERROR(AVERAGE('Feeders Raw Data'!BF48:BF52),"")</f>
        <v/>
      </c>
      <c r="AN48" t="str">
        <f>IFERROR(SUMPRODUCT('Feeders Raw Data'!AZ48:AZ67,'Feeders Raw Data'!BE48:BE67)/SUM('Feeders Raw Data'!BE48:BE67),"")</f>
        <v/>
      </c>
      <c r="AO48">
        <f>IFERROR(SQRT((SUMSQ('Feeders Raw Data'!AZ48:AZ67)-2*SUMPRODUCT('Feeders Raw Data'!AZ48:AZ67,'Feeders Raw Data'!AZ49:AZ68)+SUMSQ('Feeders Raw Data'!AZ49:AZ68)-('Feeders Raw Data'!AZ48-'Feeders Raw Data'!AZ68)^2/20)/19),"")</f>
        <v>0</v>
      </c>
      <c r="AQ48">
        <f>IFERROR('Feeders Raw Data'!BI48,"")</f>
        <v>0</v>
      </c>
      <c r="AR48">
        <f>IFERROR('Feeders Raw Data'!BN48,"")</f>
        <v>0</v>
      </c>
      <c r="AS48">
        <f>IFERROR('Feeders Raw Data'!BP48-'Feeders Raw Data'!BP49,"")</f>
        <v>0</v>
      </c>
      <c r="AT48" t="str">
        <f>IFERROR(AVERAGE('Feeders Raw Data'!BP48:BP52),"")</f>
        <v/>
      </c>
      <c r="AU48" t="str">
        <f>IFERROR(SUMPRODUCT('Feeders Raw Data'!BJ48:BJ67,'Feeders Raw Data'!BO48:BO67)/SUM('Feeders Raw Data'!BO48:BO67),"")</f>
        <v/>
      </c>
      <c r="AV48">
        <f>IFERROR(SQRT((SUMSQ('Feeders Raw Data'!BJ48:BJ67)-2*SUMPRODUCT('Feeders Raw Data'!BJ48:BJ67,'Feeders Raw Data'!BJ49:BJ68)+SUMSQ('Feeders Raw Data'!BJ49:BJ68)-('Feeders Raw Data'!BJ48-'Feeders Raw Data'!BJ68)^2/20)/19),"")</f>
        <v>0</v>
      </c>
      <c r="AX48">
        <f>IFERROR('Feeders Raw Data'!BS48,"")</f>
        <v>0</v>
      </c>
      <c r="AY48">
        <f>IFERROR('Feeders Raw Data'!BX48,"")</f>
        <v>0</v>
      </c>
      <c r="AZ48">
        <f>IFERROR('Feeders Raw Data'!BZ48-'Feeders Raw Data'!BZ49,"")</f>
        <v>0</v>
      </c>
      <c r="BA48" t="str">
        <f>IFERROR(AVERAGE('Feeders Raw Data'!BZ48:BZ52),"")</f>
        <v/>
      </c>
      <c r="BB48" t="str">
        <f>IFERROR(SUMPRODUCT('Feeders Raw Data'!BT48:BT67,'Feeders Raw Data'!BY48:BY67)/SUM('Feeders Raw Data'!BY48:BY67),"")</f>
        <v/>
      </c>
      <c r="BC48">
        <f>IFERROR(SQRT((SUMSQ('Feeders Raw Data'!BT48:BT67)-2*SUMPRODUCT('Feeders Raw Data'!BT48:BT67,'Feeders Raw Data'!BT49:BT68)+SUMSQ('Feeders Raw Data'!BT49:BT68)-('Feeders Raw Data'!BT48-'Feeders Raw Data'!BT68)^2/20)/19),"")</f>
        <v>0</v>
      </c>
      <c r="BE48">
        <f>IFERROR('Fats Raw Data'!A48,"")</f>
        <v>0</v>
      </c>
      <c r="BF48">
        <f>IFERROR('Fats Raw Data'!F48,"")</f>
        <v>0</v>
      </c>
      <c r="BG48">
        <f>IFERROR('Fats Raw Data'!H48-'Fats Raw Data'!H49,"")</f>
        <v>0</v>
      </c>
      <c r="BH48" t="str">
        <f>IFERROR(AVERAGE('Fats Raw Data'!H48:H52),"")</f>
        <v/>
      </c>
      <c r="BI48" t="str">
        <f>IFERROR(SUMPRODUCT('Fats Raw Data'!B48:B67,'Fats Raw Data'!G48:G67)/SUM('Fats Raw Data'!G48:G67),"")</f>
        <v/>
      </c>
      <c r="BJ48">
        <f>IFERROR(SQRT((SUMSQ('Fats Raw Data'!B48:B67)-2*SUMPRODUCT('Fats Raw Data'!B48:B67,'Fats Raw Data'!B49:B68)+SUMSQ('Fats Raw Data'!B49:B68)-('Fats Raw Data'!B48-'Fats Raw Data'!B68)^2/20)/19),"")</f>
        <v>0</v>
      </c>
      <c r="BL48">
        <f>IFERROR('Fats Raw Data'!K48,"")</f>
        <v>0</v>
      </c>
      <c r="BM48">
        <f>IFERROR('Fats Raw Data'!P48,"")</f>
        <v>0</v>
      </c>
      <c r="BN48">
        <f>IFERROR('Fats Raw Data'!R48-'Fats Raw Data'!R49,"")</f>
        <v>0</v>
      </c>
      <c r="BO48" t="str">
        <f>IFERROR(AVERAGE('Fats Raw Data'!R48:R52),"")</f>
        <v/>
      </c>
      <c r="BP48" t="str">
        <f>IFERROR(SUMPRODUCT('Fats Raw Data'!L48:L67,'Fats Raw Data'!Q48:Q67)/SUM('Fats Raw Data'!Q48:Q67),"")</f>
        <v/>
      </c>
      <c r="BQ48">
        <f>IFERROR(SQRT((SUMSQ('Fats Raw Data'!L48:L67)-2*SUMPRODUCT('Fats Raw Data'!L48:L67,'Fats Raw Data'!L49:L68)+SUMSQ('Fats Raw Data'!L49:L68)-('Fats Raw Data'!L48-'Fats Raw Data'!L68)^2/20)/19),"")</f>
        <v>0</v>
      </c>
      <c r="BS48">
        <f>IFERROR('Fats Raw Data'!U48,"")</f>
        <v>0</v>
      </c>
      <c r="BT48">
        <f>IFERROR('Fats Raw Data'!Z48,"")</f>
        <v>0</v>
      </c>
      <c r="BU48">
        <f>IFERROR('Fats Raw Data'!AB48-'Fats Raw Data'!AB49,"")</f>
        <v>0</v>
      </c>
      <c r="BV48" t="str">
        <f>IFERROR(AVERAGE('Fats Raw Data'!AB48:AB52),"")</f>
        <v/>
      </c>
      <c r="BW48" t="str">
        <f>IFERROR(SUMPRODUCT('Fats Raw Data'!V48:V67,'Fats Raw Data'!AA48:AA67)/SUM('Fats Raw Data'!AA48:AA67),"")</f>
        <v/>
      </c>
      <c r="BX48">
        <f>IFERROR(SQRT((SUMSQ('Fats Raw Data'!V48:V67)-2*SUMPRODUCT('Fats Raw Data'!V48:V67,'Fats Raw Data'!V49:V68)+SUMSQ('Fats Raw Data'!V49:V68)-('Fats Raw Data'!V48-'Fats Raw Data'!V68)^2/20)/19),"")</f>
        <v>0</v>
      </c>
      <c r="BZ48">
        <f>IFERROR('Fats Raw Data'!AE48,"")</f>
        <v>0</v>
      </c>
      <c r="CA48">
        <f>IFERROR('Fats Raw Data'!AJ48,"")</f>
        <v>0</v>
      </c>
      <c r="CB48">
        <f>IFERROR('Fats Raw Data'!AL48-'Fats Raw Data'!AL49,"")</f>
        <v>0</v>
      </c>
      <c r="CC48" t="str">
        <f>IFERROR(AVERAGE('Fats Raw Data'!AL48:AL52),"")</f>
        <v/>
      </c>
      <c r="CD48" t="str">
        <f>IFERROR(SUMPRODUCT('Fats Raw Data'!AF48:AF67,'Fats Raw Data'!AK48:AK67)/SUM('Fats Raw Data'!AK48:AK67),"")</f>
        <v/>
      </c>
      <c r="CE48">
        <f>IFERROR(SQRT((SUMSQ('Fats Raw Data'!AF48:AF67)-2*SUMPRODUCT('Fats Raw Data'!AF48:AF67,'Fats Raw Data'!AF49:AF68)+SUMSQ('Fats Raw Data'!AF49:AF68)-('Fats Raw Data'!AF48-'Fats Raw Data'!AF68)^2/20)/19),"")</f>
        <v>0</v>
      </c>
      <c r="CG48">
        <f>IFERROR('Fats Raw Data'!AO48,"")</f>
        <v>0</v>
      </c>
      <c r="CH48">
        <f>IFERROR('Fats Raw Data'!AT48,"")</f>
        <v>0</v>
      </c>
      <c r="CI48">
        <f>IFERROR('Fats Raw Data'!AV48-'Fats Raw Data'!AV49,"")</f>
        <v>0</v>
      </c>
      <c r="CJ48" t="str">
        <f>IFERROR(AVERAGE('Fats Raw Data'!AV48:AV52),"")</f>
        <v/>
      </c>
      <c r="CK48" t="str">
        <f>IFERROR(SUMPRODUCT('Fats Raw Data'!AP48:AP67,'Fats Raw Data'!AU48:AU67)/SUM('Fats Raw Data'!AU48:AU67),"")</f>
        <v/>
      </c>
      <c r="CL48">
        <f>IFERROR(SQRT((SUMSQ('Fats Raw Data'!AP48:AP67)-2*SUMPRODUCT('Fats Raw Data'!AP48:AP67,'Fats Raw Data'!AP49:AP68)+SUMSQ('Fats Raw Data'!AP49:AP68)-('Fats Raw Data'!AP48-'Fats Raw Data'!AP68)^2/20)/19),"")</f>
        <v>0</v>
      </c>
      <c r="CN48">
        <f>IFERROR('Fats Raw Data'!AY48,"")</f>
        <v>0</v>
      </c>
      <c r="CO48">
        <f>IFERROR('Fats Raw Data'!BD48,"")</f>
        <v>0</v>
      </c>
      <c r="CP48">
        <f>IFERROR('Fats Raw Data'!BF48-'Fats Raw Data'!BF49,"")</f>
        <v>0</v>
      </c>
      <c r="CQ48" t="str">
        <f>IFERROR(AVERAGE('Fats Raw Data'!BF48:BF52),"")</f>
        <v/>
      </c>
      <c r="CR48" t="str">
        <f>IFERROR(SUMPRODUCT('Fats Raw Data'!AZ48:AZ67,'Fats Raw Data'!BE48:BE67)/SUM('Fats Raw Data'!BE48:BE67),"")</f>
        <v/>
      </c>
      <c r="CS48">
        <f>IFERROR(SQRT((SUMSQ('Fats Raw Data'!AZ48:AZ67)-2*SUMPRODUCT('Fats Raw Data'!AZ48:AZ67,'Fats Raw Data'!AZ49:AZ68)+SUMSQ('Fats Raw Data'!AZ49:AZ68)-('Fats Raw Data'!AZ48-'Fats Raw Data'!AZ68)^2/20)/19),"")</f>
        <v>0</v>
      </c>
    </row>
    <row r="49" spans="1:97" x14ac:dyDescent="0.25">
      <c r="A49">
        <f>IFERROR('Feeders Raw Data'!A49,"")</f>
        <v>0</v>
      </c>
      <c r="B49">
        <f>IFERROR('Feeders Raw Data'!F49,"")</f>
        <v>0</v>
      </c>
      <c r="C49">
        <f>IFERROR('Feeders Raw Data'!H49-'Feeders Raw Data'!H50,"")</f>
        <v>0</v>
      </c>
      <c r="D49" t="str">
        <f>IFERROR(AVERAGE('Feeders Raw Data'!H49:H53),"")</f>
        <v/>
      </c>
      <c r="E49" t="str">
        <f>IFERROR(SUMPRODUCT('Feeders Raw Data'!B49:B68,'Feeders Raw Data'!G49:G68)/SUM('Feeders Raw Data'!G49:G68),"")</f>
        <v/>
      </c>
      <c r="F49">
        <f>IFERROR(SQRT((SUMSQ('Feeders Raw Data'!B49:B68)-2*SUMPRODUCT('Feeders Raw Data'!B49:B68,'Feeders Raw Data'!B50:B69)+SUMSQ('Feeders Raw Data'!B50:B69)-('Feeders Raw Data'!B49-'Feeders Raw Data'!B69)^2/20)/19),"")</f>
        <v>0</v>
      </c>
      <c r="H49">
        <f>IFERROR('Feeders Raw Data'!K49,"")</f>
        <v>0</v>
      </c>
      <c r="I49">
        <f>IFERROR('Feeders Raw Data'!P49,"")</f>
        <v>0</v>
      </c>
      <c r="J49">
        <f>IFERROR('Feeders Raw Data'!R49-'Feeders Raw Data'!R50,"")</f>
        <v>0</v>
      </c>
      <c r="K49" t="str">
        <f>IFERROR(AVERAGE('Feeders Raw Data'!R49:R53),"")</f>
        <v/>
      </c>
      <c r="L49" t="str">
        <f>IFERROR(SUMPRODUCT('Feeders Raw Data'!L49:L68,'Feeders Raw Data'!Q49:Q68)/SUM('Feeders Raw Data'!Q49:Q68),"")</f>
        <v/>
      </c>
      <c r="M49">
        <f>IFERROR(SQRT((SUMSQ('Feeders Raw Data'!L49:L68)-2*SUMPRODUCT('Feeders Raw Data'!L49:L68,'Feeders Raw Data'!L50:L69)+SUMSQ('Feeders Raw Data'!L50:L69)-('Feeders Raw Data'!L49-'Feeders Raw Data'!L69)^2/20)/19),"")</f>
        <v>0</v>
      </c>
      <c r="O49">
        <f>IFERROR('Feeders Raw Data'!U49,"")</f>
        <v>0</v>
      </c>
      <c r="P49">
        <f>IFERROR('Feeders Raw Data'!Z49,"")</f>
        <v>0</v>
      </c>
      <c r="Q49">
        <f>IFERROR('Feeders Raw Data'!AB49-'Feeders Raw Data'!AB50,"")</f>
        <v>0</v>
      </c>
      <c r="R49" t="str">
        <f>IFERROR(AVERAGE('Feeders Raw Data'!AB49:AB53),"")</f>
        <v/>
      </c>
      <c r="S49" t="str">
        <f>IFERROR(SUMPRODUCT('Feeders Raw Data'!V49:V68,'Feeders Raw Data'!AA49:AA68)/SUM('Feeders Raw Data'!AA49:AA68),"")</f>
        <v/>
      </c>
      <c r="T49">
        <f>IFERROR(SQRT((SUMSQ('Feeders Raw Data'!V49:V68)-2*SUMPRODUCT('Feeders Raw Data'!V49:V68,'Feeders Raw Data'!V50:V69)+SUMSQ('Feeders Raw Data'!V50:V69)-('Feeders Raw Data'!V49-'Feeders Raw Data'!V69)^2/20)/19),"")</f>
        <v>0</v>
      </c>
      <c r="V49">
        <f>IFERROR('Feeders Raw Data'!AE49,"")</f>
        <v>0</v>
      </c>
      <c r="W49">
        <f>IFERROR('Feeders Raw Data'!AJ49,"")</f>
        <v>0</v>
      </c>
      <c r="X49">
        <f>IFERROR('Feeders Raw Data'!AL49-'Feeders Raw Data'!AL50,"")</f>
        <v>0</v>
      </c>
      <c r="Y49" t="str">
        <f>IFERROR(AVERAGE('Feeders Raw Data'!AL49:AL53),"")</f>
        <v/>
      </c>
      <c r="Z49" t="str">
        <f>IFERROR(SUMPRODUCT('Feeders Raw Data'!AF49:AF68,'Feeders Raw Data'!AK49:AK68)/SUM('Feeders Raw Data'!AK49:AK68),"")</f>
        <v/>
      </c>
      <c r="AA49">
        <f>IFERROR(SQRT((SUMSQ('Feeders Raw Data'!AF49:AF68)-2*SUMPRODUCT('Feeders Raw Data'!AF49:AF68,'Feeders Raw Data'!AF50:AF69)+SUMSQ('Feeders Raw Data'!AF50:AF69)-('Feeders Raw Data'!AF49-'Feeders Raw Data'!AF69)^2/20)/19),"")</f>
        <v>0</v>
      </c>
      <c r="AC49">
        <f>IFERROR('Feeders Raw Data'!AO49,"")</f>
        <v>0</v>
      </c>
      <c r="AD49">
        <f>IFERROR('Feeders Raw Data'!AT49,"")</f>
        <v>0</v>
      </c>
      <c r="AE49">
        <f>IFERROR('Feeders Raw Data'!AV49-'Feeders Raw Data'!AV50,"")</f>
        <v>0</v>
      </c>
      <c r="AF49" t="str">
        <f>IFERROR(AVERAGE('Feeders Raw Data'!AV49:AV53),"")</f>
        <v/>
      </c>
      <c r="AG49" t="str">
        <f>IFERROR(SUMPRODUCT('Feeders Raw Data'!AP49:AP68,'Feeders Raw Data'!AU49:AU68)/SUM('Feeders Raw Data'!AU49:AU68),"")</f>
        <v/>
      </c>
      <c r="AH49">
        <f>IFERROR(SQRT((SUMSQ('Feeders Raw Data'!AP49:AP68)-2*SUMPRODUCT('Feeders Raw Data'!AP49:AP68,'Feeders Raw Data'!AP50:AP69)+SUMSQ('Feeders Raw Data'!AP50:AP69)-('Feeders Raw Data'!AP49-'Feeders Raw Data'!AP69)^2/20)/19),"")</f>
        <v>0</v>
      </c>
      <c r="AJ49">
        <f>IFERROR('Feeders Raw Data'!AY49,"")</f>
        <v>0</v>
      </c>
      <c r="AK49">
        <f>IFERROR('Feeders Raw Data'!BD49,"")</f>
        <v>0</v>
      </c>
      <c r="AL49">
        <f>IFERROR('Feeders Raw Data'!BF49-'Feeders Raw Data'!BF50,"")</f>
        <v>0</v>
      </c>
      <c r="AM49" t="str">
        <f>IFERROR(AVERAGE('Feeders Raw Data'!BF49:BF53),"")</f>
        <v/>
      </c>
      <c r="AN49" t="str">
        <f>IFERROR(SUMPRODUCT('Feeders Raw Data'!AZ49:AZ68,'Feeders Raw Data'!BE49:BE68)/SUM('Feeders Raw Data'!BE49:BE68),"")</f>
        <v/>
      </c>
      <c r="AO49">
        <f>IFERROR(SQRT((SUMSQ('Feeders Raw Data'!AZ49:AZ68)-2*SUMPRODUCT('Feeders Raw Data'!AZ49:AZ68,'Feeders Raw Data'!AZ50:AZ69)+SUMSQ('Feeders Raw Data'!AZ50:AZ69)-('Feeders Raw Data'!AZ49-'Feeders Raw Data'!AZ69)^2/20)/19),"")</f>
        <v>0</v>
      </c>
      <c r="AQ49">
        <f>IFERROR('Feeders Raw Data'!BI49,"")</f>
        <v>0</v>
      </c>
      <c r="AR49">
        <f>IFERROR('Feeders Raw Data'!BN49,"")</f>
        <v>0</v>
      </c>
      <c r="AS49">
        <f>IFERROR('Feeders Raw Data'!BP49-'Feeders Raw Data'!BP50,"")</f>
        <v>0</v>
      </c>
      <c r="AT49" t="str">
        <f>IFERROR(AVERAGE('Feeders Raw Data'!BP49:BP53),"")</f>
        <v/>
      </c>
      <c r="AU49" t="str">
        <f>IFERROR(SUMPRODUCT('Feeders Raw Data'!BJ49:BJ68,'Feeders Raw Data'!BO49:BO68)/SUM('Feeders Raw Data'!BO49:BO68),"")</f>
        <v/>
      </c>
      <c r="AV49">
        <f>IFERROR(SQRT((SUMSQ('Feeders Raw Data'!BJ49:BJ68)-2*SUMPRODUCT('Feeders Raw Data'!BJ49:BJ68,'Feeders Raw Data'!BJ50:BJ69)+SUMSQ('Feeders Raw Data'!BJ50:BJ69)-('Feeders Raw Data'!BJ49-'Feeders Raw Data'!BJ69)^2/20)/19),"")</f>
        <v>0</v>
      </c>
      <c r="AX49">
        <f>IFERROR('Feeders Raw Data'!BS49,"")</f>
        <v>0</v>
      </c>
      <c r="AY49">
        <f>IFERROR('Feeders Raw Data'!BX49,"")</f>
        <v>0</v>
      </c>
      <c r="AZ49">
        <f>IFERROR('Feeders Raw Data'!BZ49-'Feeders Raw Data'!BZ50,"")</f>
        <v>0</v>
      </c>
      <c r="BA49" t="str">
        <f>IFERROR(AVERAGE('Feeders Raw Data'!BZ49:BZ53),"")</f>
        <v/>
      </c>
      <c r="BB49" t="str">
        <f>IFERROR(SUMPRODUCT('Feeders Raw Data'!BT49:BT68,'Feeders Raw Data'!BY49:BY68)/SUM('Feeders Raw Data'!BY49:BY68),"")</f>
        <v/>
      </c>
      <c r="BC49">
        <f>IFERROR(SQRT((SUMSQ('Feeders Raw Data'!BT49:BT68)-2*SUMPRODUCT('Feeders Raw Data'!BT49:BT68,'Feeders Raw Data'!BT50:BT69)+SUMSQ('Feeders Raw Data'!BT50:BT69)-('Feeders Raw Data'!BT49-'Feeders Raw Data'!BT69)^2/20)/19),"")</f>
        <v>0</v>
      </c>
      <c r="BE49">
        <f>IFERROR('Fats Raw Data'!A49,"")</f>
        <v>0</v>
      </c>
      <c r="BF49">
        <f>IFERROR('Fats Raw Data'!F49,"")</f>
        <v>0</v>
      </c>
      <c r="BG49">
        <f>IFERROR('Fats Raw Data'!H49-'Fats Raw Data'!H50,"")</f>
        <v>0</v>
      </c>
      <c r="BH49" t="str">
        <f>IFERROR(AVERAGE('Fats Raw Data'!H49:H53),"")</f>
        <v/>
      </c>
      <c r="BI49" t="str">
        <f>IFERROR(SUMPRODUCT('Fats Raw Data'!B49:B68,'Fats Raw Data'!G49:G68)/SUM('Fats Raw Data'!G49:G68),"")</f>
        <v/>
      </c>
      <c r="BJ49">
        <f>IFERROR(SQRT((SUMSQ('Fats Raw Data'!B49:B68)-2*SUMPRODUCT('Fats Raw Data'!B49:B68,'Fats Raw Data'!B50:B69)+SUMSQ('Fats Raw Data'!B50:B69)-('Fats Raw Data'!B49-'Fats Raw Data'!B69)^2/20)/19),"")</f>
        <v>0</v>
      </c>
      <c r="BL49">
        <f>IFERROR('Fats Raw Data'!K49,"")</f>
        <v>0</v>
      </c>
      <c r="BM49">
        <f>IFERROR('Fats Raw Data'!P49,"")</f>
        <v>0</v>
      </c>
      <c r="BN49">
        <f>IFERROR('Fats Raw Data'!R49-'Fats Raw Data'!R50,"")</f>
        <v>0</v>
      </c>
      <c r="BO49" t="str">
        <f>IFERROR(AVERAGE('Fats Raw Data'!R49:R53),"")</f>
        <v/>
      </c>
      <c r="BP49" t="str">
        <f>IFERROR(SUMPRODUCT('Fats Raw Data'!L49:L68,'Fats Raw Data'!Q49:Q68)/SUM('Fats Raw Data'!Q49:Q68),"")</f>
        <v/>
      </c>
      <c r="BQ49">
        <f>IFERROR(SQRT((SUMSQ('Fats Raw Data'!L49:L68)-2*SUMPRODUCT('Fats Raw Data'!L49:L68,'Fats Raw Data'!L50:L69)+SUMSQ('Fats Raw Data'!L50:L69)-('Fats Raw Data'!L49-'Fats Raw Data'!L69)^2/20)/19),"")</f>
        <v>0</v>
      </c>
      <c r="BS49">
        <f>IFERROR('Fats Raw Data'!U49,"")</f>
        <v>0</v>
      </c>
      <c r="BT49">
        <f>IFERROR('Fats Raw Data'!Z49,"")</f>
        <v>0</v>
      </c>
      <c r="BU49">
        <f>IFERROR('Fats Raw Data'!AB49-'Fats Raw Data'!AB50,"")</f>
        <v>0</v>
      </c>
      <c r="BV49" t="str">
        <f>IFERROR(AVERAGE('Fats Raw Data'!AB49:AB53),"")</f>
        <v/>
      </c>
      <c r="BW49" t="str">
        <f>IFERROR(SUMPRODUCT('Fats Raw Data'!V49:V68,'Fats Raw Data'!AA49:AA68)/SUM('Fats Raw Data'!AA49:AA68),"")</f>
        <v/>
      </c>
      <c r="BX49">
        <f>IFERROR(SQRT((SUMSQ('Fats Raw Data'!V49:V68)-2*SUMPRODUCT('Fats Raw Data'!V49:V68,'Fats Raw Data'!V50:V69)+SUMSQ('Fats Raw Data'!V50:V69)-('Fats Raw Data'!V49-'Fats Raw Data'!V69)^2/20)/19),"")</f>
        <v>0</v>
      </c>
      <c r="BZ49">
        <f>IFERROR('Fats Raw Data'!AE49,"")</f>
        <v>0</v>
      </c>
      <c r="CA49">
        <f>IFERROR('Fats Raw Data'!AJ49,"")</f>
        <v>0</v>
      </c>
      <c r="CB49">
        <f>IFERROR('Fats Raw Data'!AL49-'Fats Raw Data'!AL50,"")</f>
        <v>0</v>
      </c>
      <c r="CC49" t="str">
        <f>IFERROR(AVERAGE('Fats Raw Data'!AL49:AL53),"")</f>
        <v/>
      </c>
      <c r="CD49" t="str">
        <f>IFERROR(SUMPRODUCT('Fats Raw Data'!AF49:AF68,'Fats Raw Data'!AK49:AK68)/SUM('Fats Raw Data'!AK49:AK68),"")</f>
        <v/>
      </c>
      <c r="CE49">
        <f>IFERROR(SQRT((SUMSQ('Fats Raw Data'!AF49:AF68)-2*SUMPRODUCT('Fats Raw Data'!AF49:AF68,'Fats Raw Data'!AF50:AF69)+SUMSQ('Fats Raw Data'!AF50:AF69)-('Fats Raw Data'!AF49-'Fats Raw Data'!AF69)^2/20)/19),"")</f>
        <v>0</v>
      </c>
      <c r="CG49">
        <f>IFERROR('Fats Raw Data'!AO49,"")</f>
        <v>0</v>
      </c>
      <c r="CH49">
        <f>IFERROR('Fats Raw Data'!AT49,"")</f>
        <v>0</v>
      </c>
      <c r="CI49">
        <f>IFERROR('Fats Raw Data'!AV49-'Fats Raw Data'!AV50,"")</f>
        <v>0</v>
      </c>
      <c r="CJ49" t="str">
        <f>IFERROR(AVERAGE('Fats Raw Data'!AV49:AV53),"")</f>
        <v/>
      </c>
      <c r="CK49" t="str">
        <f>IFERROR(SUMPRODUCT('Fats Raw Data'!AP49:AP68,'Fats Raw Data'!AU49:AU68)/SUM('Fats Raw Data'!AU49:AU68),"")</f>
        <v/>
      </c>
      <c r="CL49">
        <f>IFERROR(SQRT((SUMSQ('Fats Raw Data'!AP49:AP68)-2*SUMPRODUCT('Fats Raw Data'!AP49:AP68,'Fats Raw Data'!AP50:AP69)+SUMSQ('Fats Raw Data'!AP50:AP69)-('Fats Raw Data'!AP49-'Fats Raw Data'!AP69)^2/20)/19),"")</f>
        <v>0</v>
      </c>
      <c r="CN49">
        <f>IFERROR('Fats Raw Data'!AY49,"")</f>
        <v>0</v>
      </c>
      <c r="CO49">
        <f>IFERROR('Fats Raw Data'!BD49,"")</f>
        <v>0</v>
      </c>
      <c r="CP49">
        <f>IFERROR('Fats Raw Data'!BF49-'Fats Raw Data'!BF50,"")</f>
        <v>0</v>
      </c>
      <c r="CQ49" t="str">
        <f>IFERROR(AVERAGE('Fats Raw Data'!BF49:BF53),"")</f>
        <v/>
      </c>
      <c r="CR49" t="str">
        <f>IFERROR(SUMPRODUCT('Fats Raw Data'!AZ49:AZ68,'Fats Raw Data'!BE49:BE68)/SUM('Fats Raw Data'!BE49:BE68),"")</f>
        <v/>
      </c>
      <c r="CS49">
        <f>IFERROR(SQRT((SUMSQ('Fats Raw Data'!AZ49:AZ68)-2*SUMPRODUCT('Fats Raw Data'!AZ49:AZ68,'Fats Raw Data'!AZ50:AZ69)+SUMSQ('Fats Raw Data'!AZ50:AZ69)-('Fats Raw Data'!AZ49-'Fats Raw Data'!AZ69)^2/20)/19),"")</f>
        <v>0</v>
      </c>
    </row>
    <row r="50" spans="1:97" x14ac:dyDescent="0.25">
      <c r="A50">
        <f>IFERROR('Feeders Raw Data'!A50,"")</f>
        <v>0</v>
      </c>
      <c r="B50">
        <f>IFERROR('Feeders Raw Data'!F50,"")</f>
        <v>0</v>
      </c>
      <c r="C50">
        <f>IFERROR('Feeders Raw Data'!H50-'Feeders Raw Data'!H51,"")</f>
        <v>0</v>
      </c>
      <c r="D50" t="str">
        <f>IFERROR(AVERAGE('Feeders Raw Data'!H50:H54),"")</f>
        <v/>
      </c>
      <c r="E50" t="str">
        <f>IFERROR(SUMPRODUCT('Feeders Raw Data'!B50:B69,'Feeders Raw Data'!G50:G69)/SUM('Feeders Raw Data'!G50:G69),"")</f>
        <v/>
      </c>
      <c r="F50">
        <f>IFERROR(SQRT((SUMSQ('Feeders Raw Data'!B50:B69)-2*SUMPRODUCT('Feeders Raw Data'!B50:B69,'Feeders Raw Data'!B51:B70)+SUMSQ('Feeders Raw Data'!B51:B70)-('Feeders Raw Data'!B50-'Feeders Raw Data'!B70)^2/20)/19),"")</f>
        <v>0</v>
      </c>
      <c r="H50">
        <f>IFERROR('Feeders Raw Data'!K50,"")</f>
        <v>0</v>
      </c>
      <c r="I50">
        <f>IFERROR('Feeders Raw Data'!P50,"")</f>
        <v>0</v>
      </c>
      <c r="J50">
        <f>IFERROR('Feeders Raw Data'!R50-'Feeders Raw Data'!R51,"")</f>
        <v>0</v>
      </c>
      <c r="K50" t="str">
        <f>IFERROR(AVERAGE('Feeders Raw Data'!R50:R54),"")</f>
        <v/>
      </c>
      <c r="L50" t="str">
        <f>IFERROR(SUMPRODUCT('Feeders Raw Data'!L50:L69,'Feeders Raw Data'!Q50:Q69)/SUM('Feeders Raw Data'!Q50:Q69),"")</f>
        <v/>
      </c>
      <c r="M50">
        <f>IFERROR(SQRT((SUMSQ('Feeders Raw Data'!L50:L69)-2*SUMPRODUCT('Feeders Raw Data'!L50:L69,'Feeders Raw Data'!L51:L70)+SUMSQ('Feeders Raw Data'!L51:L70)-('Feeders Raw Data'!L50-'Feeders Raw Data'!L70)^2/20)/19),"")</f>
        <v>0</v>
      </c>
      <c r="O50">
        <f>IFERROR('Feeders Raw Data'!U50,"")</f>
        <v>0</v>
      </c>
      <c r="P50">
        <f>IFERROR('Feeders Raw Data'!Z50,"")</f>
        <v>0</v>
      </c>
      <c r="Q50">
        <f>IFERROR('Feeders Raw Data'!AB50-'Feeders Raw Data'!AB51,"")</f>
        <v>0</v>
      </c>
      <c r="R50" t="str">
        <f>IFERROR(AVERAGE('Feeders Raw Data'!AB50:AB54),"")</f>
        <v/>
      </c>
      <c r="S50" t="str">
        <f>IFERROR(SUMPRODUCT('Feeders Raw Data'!V50:V69,'Feeders Raw Data'!AA50:AA69)/SUM('Feeders Raw Data'!AA50:AA69),"")</f>
        <v/>
      </c>
      <c r="T50">
        <f>IFERROR(SQRT((SUMSQ('Feeders Raw Data'!V50:V69)-2*SUMPRODUCT('Feeders Raw Data'!V50:V69,'Feeders Raw Data'!V51:V70)+SUMSQ('Feeders Raw Data'!V51:V70)-('Feeders Raw Data'!V50-'Feeders Raw Data'!V70)^2/20)/19),"")</f>
        <v>0</v>
      </c>
      <c r="V50">
        <f>IFERROR('Feeders Raw Data'!AE50,"")</f>
        <v>0</v>
      </c>
      <c r="W50">
        <f>IFERROR('Feeders Raw Data'!AJ50,"")</f>
        <v>0</v>
      </c>
      <c r="X50">
        <f>IFERROR('Feeders Raw Data'!AL50-'Feeders Raw Data'!AL51,"")</f>
        <v>0</v>
      </c>
      <c r="Y50" t="str">
        <f>IFERROR(AVERAGE('Feeders Raw Data'!AL50:AL54),"")</f>
        <v/>
      </c>
      <c r="Z50" t="str">
        <f>IFERROR(SUMPRODUCT('Feeders Raw Data'!AF50:AF69,'Feeders Raw Data'!AK50:AK69)/SUM('Feeders Raw Data'!AK50:AK69),"")</f>
        <v/>
      </c>
      <c r="AA50">
        <f>IFERROR(SQRT((SUMSQ('Feeders Raw Data'!AF50:AF69)-2*SUMPRODUCT('Feeders Raw Data'!AF50:AF69,'Feeders Raw Data'!AF51:AF70)+SUMSQ('Feeders Raw Data'!AF51:AF70)-('Feeders Raw Data'!AF50-'Feeders Raw Data'!AF70)^2/20)/19),"")</f>
        <v>0</v>
      </c>
      <c r="AC50">
        <f>IFERROR('Feeders Raw Data'!AO50,"")</f>
        <v>0</v>
      </c>
      <c r="AD50">
        <f>IFERROR('Feeders Raw Data'!AT50,"")</f>
        <v>0</v>
      </c>
      <c r="AE50">
        <f>IFERROR('Feeders Raw Data'!AV50-'Feeders Raw Data'!AV51,"")</f>
        <v>0</v>
      </c>
      <c r="AF50" t="str">
        <f>IFERROR(AVERAGE('Feeders Raw Data'!AV50:AV54),"")</f>
        <v/>
      </c>
      <c r="AG50" t="str">
        <f>IFERROR(SUMPRODUCT('Feeders Raw Data'!AP50:AP69,'Feeders Raw Data'!AU50:AU69)/SUM('Feeders Raw Data'!AU50:AU69),"")</f>
        <v/>
      </c>
      <c r="AH50">
        <f>IFERROR(SQRT((SUMSQ('Feeders Raw Data'!AP50:AP69)-2*SUMPRODUCT('Feeders Raw Data'!AP50:AP69,'Feeders Raw Data'!AP51:AP70)+SUMSQ('Feeders Raw Data'!AP51:AP70)-('Feeders Raw Data'!AP50-'Feeders Raw Data'!AP70)^2/20)/19),"")</f>
        <v>0</v>
      </c>
      <c r="AJ50">
        <f>IFERROR('Feeders Raw Data'!AY50,"")</f>
        <v>0</v>
      </c>
      <c r="AK50">
        <f>IFERROR('Feeders Raw Data'!BD50,"")</f>
        <v>0</v>
      </c>
      <c r="AL50">
        <f>IFERROR('Feeders Raw Data'!BF50-'Feeders Raw Data'!BF51,"")</f>
        <v>0</v>
      </c>
      <c r="AM50" t="str">
        <f>IFERROR(AVERAGE('Feeders Raw Data'!BF50:BF54),"")</f>
        <v/>
      </c>
      <c r="AN50" t="str">
        <f>IFERROR(SUMPRODUCT('Feeders Raw Data'!AZ50:AZ69,'Feeders Raw Data'!BE50:BE69)/SUM('Feeders Raw Data'!BE50:BE69),"")</f>
        <v/>
      </c>
      <c r="AO50">
        <f>IFERROR(SQRT((SUMSQ('Feeders Raw Data'!AZ50:AZ69)-2*SUMPRODUCT('Feeders Raw Data'!AZ50:AZ69,'Feeders Raw Data'!AZ51:AZ70)+SUMSQ('Feeders Raw Data'!AZ51:AZ70)-('Feeders Raw Data'!AZ50-'Feeders Raw Data'!AZ70)^2/20)/19),"")</f>
        <v>0</v>
      </c>
      <c r="AQ50">
        <f>IFERROR('Feeders Raw Data'!BI50,"")</f>
        <v>0</v>
      </c>
      <c r="AR50">
        <f>IFERROR('Feeders Raw Data'!BN50,"")</f>
        <v>0</v>
      </c>
      <c r="AS50">
        <f>IFERROR('Feeders Raw Data'!BP50-'Feeders Raw Data'!BP51,"")</f>
        <v>0</v>
      </c>
      <c r="AT50" t="str">
        <f>IFERROR(AVERAGE('Feeders Raw Data'!BP50:BP54),"")</f>
        <v/>
      </c>
      <c r="AU50" t="str">
        <f>IFERROR(SUMPRODUCT('Feeders Raw Data'!BJ50:BJ69,'Feeders Raw Data'!BO50:BO69)/SUM('Feeders Raw Data'!BO50:BO69),"")</f>
        <v/>
      </c>
      <c r="AV50">
        <f>IFERROR(SQRT((SUMSQ('Feeders Raw Data'!BJ50:BJ69)-2*SUMPRODUCT('Feeders Raw Data'!BJ50:BJ69,'Feeders Raw Data'!BJ51:BJ70)+SUMSQ('Feeders Raw Data'!BJ51:BJ70)-('Feeders Raw Data'!BJ50-'Feeders Raw Data'!BJ70)^2/20)/19),"")</f>
        <v>0</v>
      </c>
      <c r="AX50">
        <f>IFERROR('Feeders Raw Data'!BS50,"")</f>
        <v>0</v>
      </c>
      <c r="AY50">
        <f>IFERROR('Feeders Raw Data'!BX50,"")</f>
        <v>0</v>
      </c>
      <c r="AZ50">
        <f>IFERROR('Feeders Raw Data'!BZ50-'Feeders Raw Data'!BZ51,"")</f>
        <v>0</v>
      </c>
      <c r="BA50" t="str">
        <f>IFERROR(AVERAGE('Feeders Raw Data'!BZ50:BZ54),"")</f>
        <v/>
      </c>
      <c r="BB50" t="str">
        <f>IFERROR(SUMPRODUCT('Feeders Raw Data'!BT50:BT69,'Feeders Raw Data'!BY50:BY69)/SUM('Feeders Raw Data'!BY50:BY69),"")</f>
        <v/>
      </c>
      <c r="BC50">
        <f>IFERROR(SQRT((SUMSQ('Feeders Raw Data'!BT50:BT69)-2*SUMPRODUCT('Feeders Raw Data'!BT50:BT69,'Feeders Raw Data'!BT51:BT70)+SUMSQ('Feeders Raw Data'!BT51:BT70)-('Feeders Raw Data'!BT50-'Feeders Raw Data'!BT70)^2/20)/19),"")</f>
        <v>0</v>
      </c>
      <c r="BE50">
        <f>IFERROR('Fats Raw Data'!A50,"")</f>
        <v>0</v>
      </c>
      <c r="BF50">
        <f>IFERROR('Fats Raw Data'!F50,"")</f>
        <v>0</v>
      </c>
      <c r="BG50">
        <f>IFERROR('Fats Raw Data'!H50-'Fats Raw Data'!H51,"")</f>
        <v>0</v>
      </c>
      <c r="BH50" t="str">
        <f>IFERROR(AVERAGE('Fats Raw Data'!H50:H54),"")</f>
        <v/>
      </c>
      <c r="BI50" t="str">
        <f>IFERROR(SUMPRODUCT('Fats Raw Data'!B50:B69,'Fats Raw Data'!G50:G69)/SUM('Fats Raw Data'!G50:G69),"")</f>
        <v/>
      </c>
      <c r="BJ50">
        <f>IFERROR(SQRT((SUMSQ('Fats Raw Data'!B50:B69)-2*SUMPRODUCT('Fats Raw Data'!B50:B69,'Fats Raw Data'!B51:B70)+SUMSQ('Fats Raw Data'!B51:B70)-('Fats Raw Data'!B50-'Fats Raw Data'!B70)^2/20)/19),"")</f>
        <v>0</v>
      </c>
      <c r="BL50">
        <f>IFERROR('Fats Raw Data'!K50,"")</f>
        <v>0</v>
      </c>
      <c r="BM50">
        <f>IFERROR('Fats Raw Data'!P50,"")</f>
        <v>0</v>
      </c>
      <c r="BN50">
        <f>IFERROR('Fats Raw Data'!R50-'Fats Raw Data'!R51,"")</f>
        <v>0</v>
      </c>
      <c r="BO50" t="str">
        <f>IFERROR(AVERAGE('Fats Raw Data'!R50:R54),"")</f>
        <v/>
      </c>
      <c r="BP50" t="str">
        <f>IFERROR(SUMPRODUCT('Fats Raw Data'!L50:L69,'Fats Raw Data'!Q50:Q69)/SUM('Fats Raw Data'!Q50:Q69),"")</f>
        <v/>
      </c>
      <c r="BQ50">
        <f>IFERROR(SQRT((SUMSQ('Fats Raw Data'!L50:L69)-2*SUMPRODUCT('Fats Raw Data'!L50:L69,'Fats Raw Data'!L51:L70)+SUMSQ('Fats Raw Data'!L51:L70)-('Fats Raw Data'!L50-'Fats Raw Data'!L70)^2/20)/19),"")</f>
        <v>0</v>
      </c>
      <c r="BS50">
        <f>IFERROR('Fats Raw Data'!U50,"")</f>
        <v>0</v>
      </c>
      <c r="BT50">
        <f>IFERROR('Fats Raw Data'!Z50,"")</f>
        <v>0</v>
      </c>
      <c r="BU50">
        <f>IFERROR('Fats Raw Data'!AB50-'Fats Raw Data'!AB51,"")</f>
        <v>0</v>
      </c>
      <c r="BV50" t="str">
        <f>IFERROR(AVERAGE('Fats Raw Data'!AB50:AB54),"")</f>
        <v/>
      </c>
      <c r="BW50" t="str">
        <f>IFERROR(SUMPRODUCT('Fats Raw Data'!V50:V69,'Fats Raw Data'!AA50:AA69)/SUM('Fats Raw Data'!AA50:AA69),"")</f>
        <v/>
      </c>
      <c r="BX50">
        <f>IFERROR(SQRT((SUMSQ('Fats Raw Data'!V50:V69)-2*SUMPRODUCT('Fats Raw Data'!V50:V69,'Fats Raw Data'!V51:V70)+SUMSQ('Fats Raw Data'!V51:V70)-('Fats Raw Data'!V50-'Fats Raw Data'!V70)^2/20)/19),"")</f>
        <v>0</v>
      </c>
      <c r="BZ50">
        <f>IFERROR('Fats Raw Data'!AE50,"")</f>
        <v>0</v>
      </c>
      <c r="CA50">
        <f>IFERROR('Fats Raw Data'!AJ50,"")</f>
        <v>0</v>
      </c>
      <c r="CB50">
        <f>IFERROR('Fats Raw Data'!AL50-'Fats Raw Data'!AL51,"")</f>
        <v>0</v>
      </c>
      <c r="CC50" t="str">
        <f>IFERROR(AVERAGE('Fats Raw Data'!AL50:AL54),"")</f>
        <v/>
      </c>
      <c r="CD50" t="str">
        <f>IFERROR(SUMPRODUCT('Fats Raw Data'!AF50:AF69,'Fats Raw Data'!AK50:AK69)/SUM('Fats Raw Data'!AK50:AK69),"")</f>
        <v/>
      </c>
      <c r="CE50">
        <f>IFERROR(SQRT((SUMSQ('Fats Raw Data'!AF50:AF69)-2*SUMPRODUCT('Fats Raw Data'!AF50:AF69,'Fats Raw Data'!AF51:AF70)+SUMSQ('Fats Raw Data'!AF51:AF70)-('Fats Raw Data'!AF50-'Fats Raw Data'!AF70)^2/20)/19),"")</f>
        <v>0</v>
      </c>
      <c r="CG50">
        <f>IFERROR('Fats Raw Data'!AO50,"")</f>
        <v>0</v>
      </c>
      <c r="CH50">
        <f>IFERROR('Fats Raw Data'!AT50,"")</f>
        <v>0</v>
      </c>
      <c r="CI50">
        <f>IFERROR('Fats Raw Data'!AV50-'Fats Raw Data'!AV51,"")</f>
        <v>0</v>
      </c>
      <c r="CJ50" t="str">
        <f>IFERROR(AVERAGE('Fats Raw Data'!AV50:AV54),"")</f>
        <v/>
      </c>
      <c r="CK50" t="str">
        <f>IFERROR(SUMPRODUCT('Fats Raw Data'!AP50:AP69,'Fats Raw Data'!AU50:AU69)/SUM('Fats Raw Data'!AU50:AU69),"")</f>
        <v/>
      </c>
      <c r="CL50">
        <f>IFERROR(SQRT((SUMSQ('Fats Raw Data'!AP50:AP69)-2*SUMPRODUCT('Fats Raw Data'!AP50:AP69,'Fats Raw Data'!AP51:AP70)+SUMSQ('Fats Raw Data'!AP51:AP70)-('Fats Raw Data'!AP50-'Fats Raw Data'!AP70)^2/20)/19),"")</f>
        <v>0</v>
      </c>
      <c r="CN50">
        <f>IFERROR('Fats Raw Data'!AY50,"")</f>
        <v>0</v>
      </c>
      <c r="CO50">
        <f>IFERROR('Fats Raw Data'!BD50,"")</f>
        <v>0</v>
      </c>
      <c r="CP50">
        <f>IFERROR('Fats Raw Data'!BF50-'Fats Raw Data'!BF51,"")</f>
        <v>0</v>
      </c>
      <c r="CQ50" t="str">
        <f>IFERROR(AVERAGE('Fats Raw Data'!BF50:BF54),"")</f>
        <v/>
      </c>
      <c r="CR50" t="str">
        <f>IFERROR(SUMPRODUCT('Fats Raw Data'!AZ50:AZ69,'Fats Raw Data'!BE50:BE69)/SUM('Fats Raw Data'!BE50:BE69),"")</f>
        <v/>
      </c>
      <c r="CS50">
        <f>IFERROR(SQRT((SUMSQ('Fats Raw Data'!AZ50:AZ69)-2*SUMPRODUCT('Fats Raw Data'!AZ50:AZ69,'Fats Raw Data'!AZ51:AZ70)+SUMSQ('Fats Raw Data'!AZ51:AZ70)-('Fats Raw Data'!AZ50-'Fats Raw Data'!AZ70)^2/20)/19),"")</f>
        <v>0</v>
      </c>
    </row>
    <row r="51" spans="1:97" x14ac:dyDescent="0.25">
      <c r="A51">
        <f>IFERROR('Feeders Raw Data'!A51,"")</f>
        <v>0</v>
      </c>
      <c r="B51">
        <f>IFERROR('Feeders Raw Data'!F51,"")</f>
        <v>0</v>
      </c>
      <c r="C51">
        <f>IFERROR('Feeders Raw Data'!H51-'Feeders Raw Data'!H52,"")</f>
        <v>0</v>
      </c>
      <c r="D51" t="str">
        <f>IFERROR(AVERAGE('Feeders Raw Data'!H51:H55),"")</f>
        <v/>
      </c>
      <c r="E51" t="str">
        <f>IFERROR(SUMPRODUCT('Feeders Raw Data'!B51:B70,'Feeders Raw Data'!G51:G70)/SUM('Feeders Raw Data'!G51:G70),"")</f>
        <v/>
      </c>
      <c r="F51">
        <f>IFERROR(SQRT((SUMSQ('Feeders Raw Data'!B51:B70)-2*SUMPRODUCT('Feeders Raw Data'!B51:B70,'Feeders Raw Data'!B52:B71)+SUMSQ('Feeders Raw Data'!B52:B71)-('Feeders Raw Data'!B51-'Feeders Raw Data'!B71)^2/20)/19),"")</f>
        <v>0</v>
      </c>
      <c r="H51">
        <f>IFERROR('Feeders Raw Data'!K51,"")</f>
        <v>0</v>
      </c>
      <c r="I51">
        <f>IFERROR('Feeders Raw Data'!P51,"")</f>
        <v>0</v>
      </c>
      <c r="J51">
        <f>IFERROR('Feeders Raw Data'!R51-'Feeders Raw Data'!R52,"")</f>
        <v>0</v>
      </c>
      <c r="K51" t="str">
        <f>IFERROR(AVERAGE('Feeders Raw Data'!R51:R55),"")</f>
        <v/>
      </c>
      <c r="L51" t="str">
        <f>IFERROR(SUMPRODUCT('Feeders Raw Data'!L51:L70,'Feeders Raw Data'!Q51:Q70)/SUM('Feeders Raw Data'!Q51:Q70),"")</f>
        <v/>
      </c>
      <c r="M51">
        <f>IFERROR(SQRT((SUMSQ('Feeders Raw Data'!L51:L70)-2*SUMPRODUCT('Feeders Raw Data'!L51:L70,'Feeders Raw Data'!L52:L71)+SUMSQ('Feeders Raw Data'!L52:L71)-('Feeders Raw Data'!L51-'Feeders Raw Data'!L71)^2/20)/19),"")</f>
        <v>0</v>
      </c>
      <c r="O51">
        <f>IFERROR('Feeders Raw Data'!U51,"")</f>
        <v>0</v>
      </c>
      <c r="P51">
        <f>IFERROR('Feeders Raw Data'!Z51,"")</f>
        <v>0</v>
      </c>
      <c r="Q51">
        <f>IFERROR('Feeders Raw Data'!AB51-'Feeders Raw Data'!AB52,"")</f>
        <v>0</v>
      </c>
      <c r="R51" t="str">
        <f>IFERROR(AVERAGE('Feeders Raw Data'!AB51:AB55),"")</f>
        <v/>
      </c>
      <c r="S51" t="str">
        <f>IFERROR(SUMPRODUCT('Feeders Raw Data'!V51:V70,'Feeders Raw Data'!AA51:AA70)/SUM('Feeders Raw Data'!AA51:AA70),"")</f>
        <v/>
      </c>
      <c r="T51">
        <f>IFERROR(SQRT((SUMSQ('Feeders Raw Data'!V51:V70)-2*SUMPRODUCT('Feeders Raw Data'!V51:V70,'Feeders Raw Data'!V52:V71)+SUMSQ('Feeders Raw Data'!V52:V71)-('Feeders Raw Data'!V51-'Feeders Raw Data'!V71)^2/20)/19),"")</f>
        <v>0</v>
      </c>
      <c r="V51">
        <f>IFERROR('Feeders Raw Data'!AE51,"")</f>
        <v>0</v>
      </c>
      <c r="W51">
        <f>IFERROR('Feeders Raw Data'!AJ51,"")</f>
        <v>0</v>
      </c>
      <c r="X51">
        <f>IFERROR('Feeders Raw Data'!AL51-'Feeders Raw Data'!AL52,"")</f>
        <v>0</v>
      </c>
      <c r="Y51" t="str">
        <f>IFERROR(AVERAGE('Feeders Raw Data'!AL51:AL55),"")</f>
        <v/>
      </c>
      <c r="Z51" t="str">
        <f>IFERROR(SUMPRODUCT('Feeders Raw Data'!AF51:AF70,'Feeders Raw Data'!AK51:AK70)/SUM('Feeders Raw Data'!AK51:AK70),"")</f>
        <v/>
      </c>
      <c r="AA51">
        <f>IFERROR(SQRT((SUMSQ('Feeders Raw Data'!AF51:AF70)-2*SUMPRODUCT('Feeders Raw Data'!AF51:AF70,'Feeders Raw Data'!AF52:AF71)+SUMSQ('Feeders Raw Data'!AF52:AF71)-('Feeders Raw Data'!AF51-'Feeders Raw Data'!AF71)^2/20)/19),"")</f>
        <v>0</v>
      </c>
      <c r="AC51">
        <f>IFERROR('Feeders Raw Data'!AO51,"")</f>
        <v>0</v>
      </c>
      <c r="AD51">
        <f>IFERROR('Feeders Raw Data'!AT51,"")</f>
        <v>0</v>
      </c>
      <c r="AE51">
        <f>IFERROR('Feeders Raw Data'!AV51-'Feeders Raw Data'!AV52,"")</f>
        <v>0</v>
      </c>
      <c r="AF51" t="str">
        <f>IFERROR(AVERAGE('Feeders Raw Data'!AV51:AV55),"")</f>
        <v/>
      </c>
      <c r="AG51" t="str">
        <f>IFERROR(SUMPRODUCT('Feeders Raw Data'!AP51:AP70,'Feeders Raw Data'!AU51:AU70)/SUM('Feeders Raw Data'!AU51:AU70),"")</f>
        <v/>
      </c>
      <c r="AH51">
        <f>IFERROR(SQRT((SUMSQ('Feeders Raw Data'!AP51:AP70)-2*SUMPRODUCT('Feeders Raw Data'!AP51:AP70,'Feeders Raw Data'!AP52:AP71)+SUMSQ('Feeders Raw Data'!AP52:AP71)-('Feeders Raw Data'!AP51-'Feeders Raw Data'!AP71)^2/20)/19),"")</f>
        <v>0</v>
      </c>
      <c r="AJ51">
        <f>IFERROR('Feeders Raw Data'!AY51,"")</f>
        <v>0</v>
      </c>
      <c r="AK51">
        <f>IFERROR('Feeders Raw Data'!BD51,"")</f>
        <v>0</v>
      </c>
      <c r="AL51">
        <f>IFERROR('Feeders Raw Data'!BF51-'Feeders Raw Data'!BF52,"")</f>
        <v>0</v>
      </c>
      <c r="AM51" t="str">
        <f>IFERROR(AVERAGE('Feeders Raw Data'!BF51:BF55),"")</f>
        <v/>
      </c>
      <c r="AN51" t="str">
        <f>IFERROR(SUMPRODUCT('Feeders Raw Data'!AZ51:AZ70,'Feeders Raw Data'!BE51:BE70)/SUM('Feeders Raw Data'!BE51:BE70),"")</f>
        <v/>
      </c>
      <c r="AO51">
        <f>IFERROR(SQRT((SUMSQ('Feeders Raw Data'!AZ51:AZ70)-2*SUMPRODUCT('Feeders Raw Data'!AZ51:AZ70,'Feeders Raw Data'!AZ52:AZ71)+SUMSQ('Feeders Raw Data'!AZ52:AZ71)-('Feeders Raw Data'!AZ51-'Feeders Raw Data'!AZ71)^2/20)/19),"")</f>
        <v>0</v>
      </c>
      <c r="AQ51">
        <f>IFERROR('Feeders Raw Data'!BI51,"")</f>
        <v>0</v>
      </c>
      <c r="AR51">
        <f>IFERROR('Feeders Raw Data'!BN51,"")</f>
        <v>0</v>
      </c>
      <c r="AS51">
        <f>IFERROR('Feeders Raw Data'!BP51-'Feeders Raw Data'!BP52,"")</f>
        <v>0</v>
      </c>
      <c r="AT51" t="str">
        <f>IFERROR(AVERAGE('Feeders Raw Data'!BP51:BP55),"")</f>
        <v/>
      </c>
      <c r="AU51" t="str">
        <f>IFERROR(SUMPRODUCT('Feeders Raw Data'!BJ51:BJ70,'Feeders Raw Data'!BO51:BO70)/SUM('Feeders Raw Data'!BO51:BO70),"")</f>
        <v/>
      </c>
      <c r="AV51">
        <f>IFERROR(SQRT((SUMSQ('Feeders Raw Data'!BJ51:BJ70)-2*SUMPRODUCT('Feeders Raw Data'!BJ51:BJ70,'Feeders Raw Data'!BJ52:BJ71)+SUMSQ('Feeders Raw Data'!BJ52:BJ71)-('Feeders Raw Data'!BJ51-'Feeders Raw Data'!BJ71)^2/20)/19),"")</f>
        <v>0</v>
      </c>
      <c r="AX51">
        <f>IFERROR('Feeders Raw Data'!BS51,"")</f>
        <v>0</v>
      </c>
      <c r="AY51">
        <f>IFERROR('Feeders Raw Data'!BX51,"")</f>
        <v>0</v>
      </c>
      <c r="AZ51">
        <f>IFERROR('Feeders Raw Data'!BZ51-'Feeders Raw Data'!BZ52,"")</f>
        <v>0</v>
      </c>
      <c r="BA51" t="str">
        <f>IFERROR(AVERAGE('Feeders Raw Data'!BZ51:BZ55),"")</f>
        <v/>
      </c>
      <c r="BB51" t="str">
        <f>IFERROR(SUMPRODUCT('Feeders Raw Data'!BT51:BT70,'Feeders Raw Data'!BY51:BY70)/SUM('Feeders Raw Data'!BY51:BY70),"")</f>
        <v/>
      </c>
      <c r="BC51">
        <f>IFERROR(SQRT((SUMSQ('Feeders Raw Data'!BT51:BT70)-2*SUMPRODUCT('Feeders Raw Data'!BT51:BT70,'Feeders Raw Data'!BT52:BT71)+SUMSQ('Feeders Raw Data'!BT52:BT71)-('Feeders Raw Data'!BT51-'Feeders Raw Data'!BT71)^2/20)/19),"")</f>
        <v>0</v>
      </c>
      <c r="BE51">
        <f>IFERROR('Fats Raw Data'!A51,"")</f>
        <v>0</v>
      </c>
      <c r="BF51">
        <f>IFERROR('Fats Raw Data'!F51,"")</f>
        <v>0</v>
      </c>
      <c r="BG51">
        <f>IFERROR('Fats Raw Data'!H51-'Fats Raw Data'!H52,"")</f>
        <v>0</v>
      </c>
      <c r="BH51" t="str">
        <f>IFERROR(AVERAGE('Fats Raw Data'!H51:H55),"")</f>
        <v/>
      </c>
      <c r="BI51" t="str">
        <f>IFERROR(SUMPRODUCT('Fats Raw Data'!B51:B70,'Fats Raw Data'!G51:G70)/SUM('Fats Raw Data'!G51:G70),"")</f>
        <v/>
      </c>
      <c r="BJ51">
        <f>IFERROR(SQRT((SUMSQ('Fats Raw Data'!B51:B70)-2*SUMPRODUCT('Fats Raw Data'!B51:B70,'Fats Raw Data'!B52:B71)+SUMSQ('Fats Raw Data'!B52:B71)-('Fats Raw Data'!B51-'Fats Raw Data'!B71)^2/20)/19),"")</f>
        <v>0</v>
      </c>
      <c r="BL51">
        <f>IFERROR('Fats Raw Data'!K51,"")</f>
        <v>0</v>
      </c>
      <c r="BM51">
        <f>IFERROR('Fats Raw Data'!P51,"")</f>
        <v>0</v>
      </c>
      <c r="BN51">
        <f>IFERROR('Fats Raw Data'!R51-'Fats Raw Data'!R52,"")</f>
        <v>0</v>
      </c>
      <c r="BO51" t="str">
        <f>IFERROR(AVERAGE('Fats Raw Data'!R51:R55),"")</f>
        <v/>
      </c>
      <c r="BP51" t="str">
        <f>IFERROR(SUMPRODUCT('Fats Raw Data'!L51:L70,'Fats Raw Data'!Q51:Q70)/SUM('Fats Raw Data'!Q51:Q70),"")</f>
        <v/>
      </c>
      <c r="BQ51">
        <f>IFERROR(SQRT((SUMSQ('Fats Raw Data'!L51:L70)-2*SUMPRODUCT('Fats Raw Data'!L51:L70,'Fats Raw Data'!L52:L71)+SUMSQ('Fats Raw Data'!L52:L71)-('Fats Raw Data'!L51-'Fats Raw Data'!L71)^2/20)/19),"")</f>
        <v>0</v>
      </c>
      <c r="BS51">
        <f>IFERROR('Fats Raw Data'!U51,"")</f>
        <v>0</v>
      </c>
      <c r="BT51">
        <f>IFERROR('Fats Raw Data'!Z51,"")</f>
        <v>0</v>
      </c>
      <c r="BU51">
        <f>IFERROR('Fats Raw Data'!AB51-'Fats Raw Data'!AB52,"")</f>
        <v>0</v>
      </c>
      <c r="BV51" t="str">
        <f>IFERROR(AVERAGE('Fats Raw Data'!AB51:AB55),"")</f>
        <v/>
      </c>
      <c r="BW51" t="str">
        <f>IFERROR(SUMPRODUCT('Fats Raw Data'!V51:V70,'Fats Raw Data'!AA51:AA70)/SUM('Fats Raw Data'!AA51:AA70),"")</f>
        <v/>
      </c>
      <c r="BX51">
        <f>IFERROR(SQRT((SUMSQ('Fats Raw Data'!V51:V70)-2*SUMPRODUCT('Fats Raw Data'!V51:V70,'Fats Raw Data'!V52:V71)+SUMSQ('Fats Raw Data'!V52:V71)-('Fats Raw Data'!V51-'Fats Raw Data'!V71)^2/20)/19),"")</f>
        <v>0</v>
      </c>
      <c r="BZ51">
        <f>IFERROR('Fats Raw Data'!AE51,"")</f>
        <v>0</v>
      </c>
      <c r="CA51">
        <f>IFERROR('Fats Raw Data'!AJ51,"")</f>
        <v>0</v>
      </c>
      <c r="CB51">
        <f>IFERROR('Fats Raw Data'!AL51-'Fats Raw Data'!AL52,"")</f>
        <v>0</v>
      </c>
      <c r="CC51" t="str">
        <f>IFERROR(AVERAGE('Fats Raw Data'!AL51:AL55),"")</f>
        <v/>
      </c>
      <c r="CD51" t="str">
        <f>IFERROR(SUMPRODUCT('Fats Raw Data'!AF51:AF70,'Fats Raw Data'!AK51:AK70)/SUM('Fats Raw Data'!AK51:AK70),"")</f>
        <v/>
      </c>
      <c r="CE51">
        <f>IFERROR(SQRT((SUMSQ('Fats Raw Data'!AF51:AF70)-2*SUMPRODUCT('Fats Raw Data'!AF51:AF70,'Fats Raw Data'!AF52:AF71)+SUMSQ('Fats Raw Data'!AF52:AF71)-('Fats Raw Data'!AF51-'Fats Raw Data'!AF71)^2/20)/19),"")</f>
        <v>0</v>
      </c>
      <c r="CG51">
        <f>IFERROR('Fats Raw Data'!AO51,"")</f>
        <v>0</v>
      </c>
      <c r="CH51">
        <f>IFERROR('Fats Raw Data'!AT51,"")</f>
        <v>0</v>
      </c>
      <c r="CI51">
        <f>IFERROR('Fats Raw Data'!AV51-'Fats Raw Data'!AV52,"")</f>
        <v>0</v>
      </c>
      <c r="CJ51" t="str">
        <f>IFERROR(AVERAGE('Fats Raw Data'!AV51:AV55),"")</f>
        <v/>
      </c>
      <c r="CK51" t="str">
        <f>IFERROR(SUMPRODUCT('Fats Raw Data'!AP51:AP70,'Fats Raw Data'!AU51:AU70)/SUM('Fats Raw Data'!AU51:AU70),"")</f>
        <v/>
      </c>
      <c r="CL51">
        <f>IFERROR(SQRT((SUMSQ('Fats Raw Data'!AP51:AP70)-2*SUMPRODUCT('Fats Raw Data'!AP51:AP70,'Fats Raw Data'!AP52:AP71)+SUMSQ('Fats Raw Data'!AP52:AP71)-('Fats Raw Data'!AP51-'Fats Raw Data'!AP71)^2/20)/19),"")</f>
        <v>0</v>
      </c>
      <c r="CN51">
        <f>IFERROR('Fats Raw Data'!AY51,"")</f>
        <v>0</v>
      </c>
      <c r="CO51">
        <f>IFERROR('Fats Raw Data'!BD51,"")</f>
        <v>0</v>
      </c>
      <c r="CP51">
        <f>IFERROR('Fats Raw Data'!BF51-'Fats Raw Data'!BF52,"")</f>
        <v>0</v>
      </c>
      <c r="CQ51" t="str">
        <f>IFERROR(AVERAGE('Fats Raw Data'!BF51:BF55),"")</f>
        <v/>
      </c>
      <c r="CR51" t="str">
        <f>IFERROR(SUMPRODUCT('Fats Raw Data'!AZ51:AZ70,'Fats Raw Data'!BE51:BE70)/SUM('Fats Raw Data'!BE51:BE70),"")</f>
        <v/>
      </c>
      <c r="CS51">
        <f>IFERROR(SQRT((SUMSQ('Fats Raw Data'!AZ51:AZ70)-2*SUMPRODUCT('Fats Raw Data'!AZ51:AZ70,'Fats Raw Data'!AZ52:AZ71)+SUMSQ('Fats Raw Data'!AZ52:AZ71)-('Fats Raw Data'!AZ51-'Fats Raw Data'!AZ71)^2/20)/19),"")</f>
        <v>0</v>
      </c>
    </row>
    <row r="52" spans="1:97" x14ac:dyDescent="0.25">
      <c r="A52">
        <f>IFERROR('Feeders Raw Data'!A52,"")</f>
        <v>0</v>
      </c>
      <c r="B52">
        <f>IFERROR('Feeders Raw Data'!F52,"")</f>
        <v>0</v>
      </c>
      <c r="C52">
        <f>IFERROR('Feeders Raw Data'!H52-'Feeders Raw Data'!H53,"")</f>
        <v>0</v>
      </c>
      <c r="D52" t="str">
        <f>IFERROR(AVERAGE('Feeders Raw Data'!H52:H56),"")</f>
        <v/>
      </c>
      <c r="E52" t="str">
        <f>IFERROR(SUMPRODUCT('Feeders Raw Data'!B52:B71,'Feeders Raw Data'!G52:G71)/SUM('Feeders Raw Data'!G52:G71),"")</f>
        <v/>
      </c>
      <c r="F52">
        <f>IFERROR(SQRT((SUMSQ('Feeders Raw Data'!B52:B71)-2*SUMPRODUCT('Feeders Raw Data'!B52:B71,'Feeders Raw Data'!B53:B72)+SUMSQ('Feeders Raw Data'!B53:B72)-('Feeders Raw Data'!B52-'Feeders Raw Data'!B72)^2/20)/19),"")</f>
        <v>0</v>
      </c>
      <c r="H52">
        <f>IFERROR('Feeders Raw Data'!K52,"")</f>
        <v>0</v>
      </c>
      <c r="I52">
        <f>IFERROR('Feeders Raw Data'!P52,"")</f>
        <v>0</v>
      </c>
      <c r="J52">
        <f>IFERROR('Feeders Raw Data'!R52-'Feeders Raw Data'!R53,"")</f>
        <v>0</v>
      </c>
      <c r="K52" t="str">
        <f>IFERROR(AVERAGE('Feeders Raw Data'!R52:R56),"")</f>
        <v/>
      </c>
      <c r="L52" t="str">
        <f>IFERROR(SUMPRODUCT('Feeders Raw Data'!L52:L71,'Feeders Raw Data'!Q52:Q71)/SUM('Feeders Raw Data'!Q52:Q71),"")</f>
        <v/>
      </c>
      <c r="M52">
        <f>IFERROR(SQRT((SUMSQ('Feeders Raw Data'!L52:L71)-2*SUMPRODUCT('Feeders Raw Data'!L52:L71,'Feeders Raw Data'!L53:L72)+SUMSQ('Feeders Raw Data'!L53:L72)-('Feeders Raw Data'!L52-'Feeders Raw Data'!L72)^2/20)/19),"")</f>
        <v>0</v>
      </c>
      <c r="O52">
        <f>IFERROR('Feeders Raw Data'!U52,"")</f>
        <v>0</v>
      </c>
      <c r="P52">
        <f>IFERROR('Feeders Raw Data'!Z52,"")</f>
        <v>0</v>
      </c>
      <c r="Q52">
        <f>IFERROR('Feeders Raw Data'!AB52-'Feeders Raw Data'!AB53,"")</f>
        <v>0</v>
      </c>
      <c r="R52" t="str">
        <f>IFERROR(AVERAGE('Feeders Raw Data'!AB52:AB56),"")</f>
        <v/>
      </c>
      <c r="S52" t="str">
        <f>IFERROR(SUMPRODUCT('Feeders Raw Data'!V52:V71,'Feeders Raw Data'!AA52:AA71)/SUM('Feeders Raw Data'!AA52:AA71),"")</f>
        <v/>
      </c>
      <c r="T52">
        <f>IFERROR(SQRT((SUMSQ('Feeders Raw Data'!V52:V71)-2*SUMPRODUCT('Feeders Raw Data'!V52:V71,'Feeders Raw Data'!V53:V72)+SUMSQ('Feeders Raw Data'!V53:V72)-('Feeders Raw Data'!V52-'Feeders Raw Data'!V72)^2/20)/19),"")</f>
        <v>0</v>
      </c>
      <c r="V52">
        <f>IFERROR('Feeders Raw Data'!AE52,"")</f>
        <v>0</v>
      </c>
      <c r="W52">
        <f>IFERROR('Feeders Raw Data'!AJ52,"")</f>
        <v>0</v>
      </c>
      <c r="X52">
        <f>IFERROR('Feeders Raw Data'!AL52-'Feeders Raw Data'!AL53,"")</f>
        <v>0</v>
      </c>
      <c r="Y52" t="str">
        <f>IFERROR(AVERAGE('Feeders Raw Data'!AL52:AL56),"")</f>
        <v/>
      </c>
      <c r="Z52" t="str">
        <f>IFERROR(SUMPRODUCT('Feeders Raw Data'!AF52:AF71,'Feeders Raw Data'!AK52:AK71)/SUM('Feeders Raw Data'!AK52:AK71),"")</f>
        <v/>
      </c>
      <c r="AA52">
        <f>IFERROR(SQRT((SUMSQ('Feeders Raw Data'!AF52:AF71)-2*SUMPRODUCT('Feeders Raw Data'!AF52:AF71,'Feeders Raw Data'!AF53:AF72)+SUMSQ('Feeders Raw Data'!AF53:AF72)-('Feeders Raw Data'!AF52-'Feeders Raw Data'!AF72)^2/20)/19),"")</f>
        <v>0</v>
      </c>
      <c r="AC52">
        <f>IFERROR('Feeders Raw Data'!AO52,"")</f>
        <v>0</v>
      </c>
      <c r="AD52">
        <f>IFERROR('Feeders Raw Data'!AT52,"")</f>
        <v>0</v>
      </c>
      <c r="AE52">
        <f>IFERROR('Feeders Raw Data'!AV52-'Feeders Raw Data'!AV53,"")</f>
        <v>0</v>
      </c>
      <c r="AF52" t="str">
        <f>IFERROR(AVERAGE('Feeders Raw Data'!AV52:AV56),"")</f>
        <v/>
      </c>
      <c r="AG52" t="str">
        <f>IFERROR(SUMPRODUCT('Feeders Raw Data'!AP52:AP71,'Feeders Raw Data'!AU52:AU71)/SUM('Feeders Raw Data'!AU52:AU71),"")</f>
        <v/>
      </c>
      <c r="AH52">
        <f>IFERROR(SQRT((SUMSQ('Feeders Raw Data'!AP52:AP71)-2*SUMPRODUCT('Feeders Raw Data'!AP52:AP71,'Feeders Raw Data'!AP53:AP72)+SUMSQ('Feeders Raw Data'!AP53:AP72)-('Feeders Raw Data'!AP52-'Feeders Raw Data'!AP72)^2/20)/19),"")</f>
        <v>0</v>
      </c>
      <c r="AJ52">
        <f>IFERROR('Feeders Raw Data'!AY52,"")</f>
        <v>0</v>
      </c>
      <c r="AK52">
        <f>IFERROR('Feeders Raw Data'!BD52,"")</f>
        <v>0</v>
      </c>
      <c r="AL52">
        <f>IFERROR('Feeders Raw Data'!BF52-'Feeders Raw Data'!BF53,"")</f>
        <v>0</v>
      </c>
      <c r="AM52" t="str">
        <f>IFERROR(AVERAGE('Feeders Raw Data'!BF52:BF56),"")</f>
        <v/>
      </c>
      <c r="AN52" t="str">
        <f>IFERROR(SUMPRODUCT('Feeders Raw Data'!AZ52:AZ71,'Feeders Raw Data'!BE52:BE71)/SUM('Feeders Raw Data'!BE52:BE71),"")</f>
        <v/>
      </c>
      <c r="AO52">
        <f>IFERROR(SQRT((SUMSQ('Feeders Raw Data'!AZ52:AZ71)-2*SUMPRODUCT('Feeders Raw Data'!AZ52:AZ71,'Feeders Raw Data'!AZ53:AZ72)+SUMSQ('Feeders Raw Data'!AZ53:AZ72)-('Feeders Raw Data'!AZ52-'Feeders Raw Data'!AZ72)^2/20)/19),"")</f>
        <v>0</v>
      </c>
      <c r="AQ52">
        <f>IFERROR('Feeders Raw Data'!BI52,"")</f>
        <v>0</v>
      </c>
      <c r="AR52">
        <f>IFERROR('Feeders Raw Data'!BN52,"")</f>
        <v>0</v>
      </c>
      <c r="AS52">
        <f>IFERROR('Feeders Raw Data'!BP52-'Feeders Raw Data'!BP53,"")</f>
        <v>0</v>
      </c>
      <c r="AT52" t="str">
        <f>IFERROR(AVERAGE('Feeders Raw Data'!BP52:BP56),"")</f>
        <v/>
      </c>
      <c r="AU52" t="str">
        <f>IFERROR(SUMPRODUCT('Feeders Raw Data'!BJ52:BJ71,'Feeders Raw Data'!BO52:BO71)/SUM('Feeders Raw Data'!BO52:BO71),"")</f>
        <v/>
      </c>
      <c r="AV52">
        <f>IFERROR(SQRT((SUMSQ('Feeders Raw Data'!BJ52:BJ71)-2*SUMPRODUCT('Feeders Raw Data'!BJ52:BJ71,'Feeders Raw Data'!BJ53:BJ72)+SUMSQ('Feeders Raw Data'!BJ53:BJ72)-('Feeders Raw Data'!BJ52-'Feeders Raw Data'!BJ72)^2/20)/19),"")</f>
        <v>0</v>
      </c>
      <c r="AX52">
        <f>IFERROR('Feeders Raw Data'!BS52,"")</f>
        <v>0</v>
      </c>
      <c r="AY52">
        <f>IFERROR('Feeders Raw Data'!BX52,"")</f>
        <v>0</v>
      </c>
      <c r="AZ52">
        <f>IFERROR('Feeders Raw Data'!BZ52-'Feeders Raw Data'!BZ53,"")</f>
        <v>0</v>
      </c>
      <c r="BA52" t="str">
        <f>IFERROR(AVERAGE('Feeders Raw Data'!BZ52:BZ56),"")</f>
        <v/>
      </c>
      <c r="BB52" t="str">
        <f>IFERROR(SUMPRODUCT('Feeders Raw Data'!BT52:BT71,'Feeders Raw Data'!BY52:BY71)/SUM('Feeders Raw Data'!BY52:BY71),"")</f>
        <v/>
      </c>
      <c r="BC52">
        <f>IFERROR(SQRT((SUMSQ('Feeders Raw Data'!BT52:BT71)-2*SUMPRODUCT('Feeders Raw Data'!BT52:BT71,'Feeders Raw Data'!BT53:BT72)+SUMSQ('Feeders Raw Data'!BT53:BT72)-('Feeders Raw Data'!BT52-'Feeders Raw Data'!BT72)^2/20)/19),"")</f>
        <v>0</v>
      </c>
      <c r="BE52">
        <f>IFERROR('Fats Raw Data'!A52,"")</f>
        <v>0</v>
      </c>
      <c r="BF52">
        <f>IFERROR('Fats Raw Data'!F52,"")</f>
        <v>0</v>
      </c>
      <c r="BG52">
        <f>IFERROR('Fats Raw Data'!H52-'Fats Raw Data'!H53,"")</f>
        <v>0</v>
      </c>
      <c r="BH52" t="str">
        <f>IFERROR(AVERAGE('Fats Raw Data'!H52:H56),"")</f>
        <v/>
      </c>
      <c r="BI52" t="str">
        <f>IFERROR(SUMPRODUCT('Fats Raw Data'!B52:B71,'Fats Raw Data'!G52:G71)/SUM('Fats Raw Data'!G52:G71),"")</f>
        <v/>
      </c>
      <c r="BJ52">
        <f>IFERROR(SQRT((SUMSQ('Fats Raw Data'!B52:B71)-2*SUMPRODUCT('Fats Raw Data'!B52:B71,'Fats Raw Data'!B53:B72)+SUMSQ('Fats Raw Data'!B53:B72)-('Fats Raw Data'!B52-'Fats Raw Data'!B72)^2/20)/19),"")</f>
        <v>0</v>
      </c>
      <c r="BL52">
        <f>IFERROR('Fats Raw Data'!K52,"")</f>
        <v>0</v>
      </c>
      <c r="BM52">
        <f>IFERROR('Fats Raw Data'!P52,"")</f>
        <v>0</v>
      </c>
      <c r="BN52">
        <f>IFERROR('Fats Raw Data'!R52-'Fats Raw Data'!R53,"")</f>
        <v>0</v>
      </c>
      <c r="BO52" t="str">
        <f>IFERROR(AVERAGE('Fats Raw Data'!R52:R56),"")</f>
        <v/>
      </c>
      <c r="BP52" t="str">
        <f>IFERROR(SUMPRODUCT('Fats Raw Data'!L52:L71,'Fats Raw Data'!Q52:Q71)/SUM('Fats Raw Data'!Q52:Q71),"")</f>
        <v/>
      </c>
      <c r="BQ52">
        <f>IFERROR(SQRT((SUMSQ('Fats Raw Data'!L52:L71)-2*SUMPRODUCT('Fats Raw Data'!L52:L71,'Fats Raw Data'!L53:L72)+SUMSQ('Fats Raw Data'!L53:L72)-('Fats Raw Data'!L52-'Fats Raw Data'!L72)^2/20)/19),"")</f>
        <v>0</v>
      </c>
      <c r="BS52">
        <f>IFERROR('Fats Raw Data'!U52,"")</f>
        <v>0</v>
      </c>
      <c r="BT52">
        <f>IFERROR('Fats Raw Data'!Z52,"")</f>
        <v>0</v>
      </c>
      <c r="BU52">
        <f>IFERROR('Fats Raw Data'!AB52-'Fats Raw Data'!AB53,"")</f>
        <v>0</v>
      </c>
      <c r="BV52" t="str">
        <f>IFERROR(AVERAGE('Fats Raw Data'!AB52:AB56),"")</f>
        <v/>
      </c>
      <c r="BW52" t="str">
        <f>IFERROR(SUMPRODUCT('Fats Raw Data'!V52:V71,'Fats Raw Data'!AA52:AA71)/SUM('Fats Raw Data'!AA52:AA71),"")</f>
        <v/>
      </c>
      <c r="BX52">
        <f>IFERROR(SQRT((SUMSQ('Fats Raw Data'!V52:V71)-2*SUMPRODUCT('Fats Raw Data'!V52:V71,'Fats Raw Data'!V53:V72)+SUMSQ('Fats Raw Data'!V53:V72)-('Fats Raw Data'!V52-'Fats Raw Data'!V72)^2/20)/19),"")</f>
        <v>0</v>
      </c>
      <c r="BZ52">
        <f>IFERROR('Fats Raw Data'!AE52,"")</f>
        <v>0</v>
      </c>
      <c r="CA52">
        <f>IFERROR('Fats Raw Data'!AJ52,"")</f>
        <v>0</v>
      </c>
      <c r="CB52">
        <f>IFERROR('Fats Raw Data'!AL52-'Fats Raw Data'!AL53,"")</f>
        <v>0</v>
      </c>
      <c r="CC52" t="str">
        <f>IFERROR(AVERAGE('Fats Raw Data'!AL52:AL56),"")</f>
        <v/>
      </c>
      <c r="CD52" t="str">
        <f>IFERROR(SUMPRODUCT('Fats Raw Data'!AF52:AF71,'Fats Raw Data'!AK52:AK71)/SUM('Fats Raw Data'!AK52:AK71),"")</f>
        <v/>
      </c>
      <c r="CE52">
        <f>IFERROR(SQRT((SUMSQ('Fats Raw Data'!AF52:AF71)-2*SUMPRODUCT('Fats Raw Data'!AF52:AF71,'Fats Raw Data'!AF53:AF72)+SUMSQ('Fats Raw Data'!AF53:AF72)-('Fats Raw Data'!AF52-'Fats Raw Data'!AF72)^2/20)/19),"")</f>
        <v>0</v>
      </c>
      <c r="CG52">
        <f>IFERROR('Fats Raw Data'!AO52,"")</f>
        <v>0</v>
      </c>
      <c r="CH52">
        <f>IFERROR('Fats Raw Data'!AT52,"")</f>
        <v>0</v>
      </c>
      <c r="CI52">
        <f>IFERROR('Fats Raw Data'!AV52-'Fats Raw Data'!AV53,"")</f>
        <v>0</v>
      </c>
      <c r="CJ52" t="str">
        <f>IFERROR(AVERAGE('Fats Raw Data'!AV52:AV56),"")</f>
        <v/>
      </c>
      <c r="CK52" t="str">
        <f>IFERROR(SUMPRODUCT('Fats Raw Data'!AP52:AP71,'Fats Raw Data'!AU52:AU71)/SUM('Fats Raw Data'!AU52:AU71),"")</f>
        <v/>
      </c>
      <c r="CL52">
        <f>IFERROR(SQRT((SUMSQ('Fats Raw Data'!AP52:AP71)-2*SUMPRODUCT('Fats Raw Data'!AP52:AP71,'Fats Raw Data'!AP53:AP72)+SUMSQ('Fats Raw Data'!AP53:AP72)-('Fats Raw Data'!AP52-'Fats Raw Data'!AP72)^2/20)/19),"")</f>
        <v>0</v>
      </c>
      <c r="CN52">
        <f>IFERROR('Fats Raw Data'!AY52,"")</f>
        <v>0</v>
      </c>
      <c r="CO52">
        <f>IFERROR('Fats Raw Data'!BD52,"")</f>
        <v>0</v>
      </c>
      <c r="CP52">
        <f>IFERROR('Fats Raw Data'!BF52-'Fats Raw Data'!BF53,"")</f>
        <v>0</v>
      </c>
      <c r="CQ52" t="str">
        <f>IFERROR(AVERAGE('Fats Raw Data'!BF52:BF56),"")</f>
        <v/>
      </c>
      <c r="CR52" t="str">
        <f>IFERROR(SUMPRODUCT('Fats Raw Data'!AZ52:AZ71,'Fats Raw Data'!BE52:BE71)/SUM('Fats Raw Data'!BE52:BE71),"")</f>
        <v/>
      </c>
      <c r="CS52">
        <f>IFERROR(SQRT((SUMSQ('Fats Raw Data'!AZ52:AZ71)-2*SUMPRODUCT('Fats Raw Data'!AZ52:AZ71,'Fats Raw Data'!AZ53:AZ72)+SUMSQ('Fats Raw Data'!AZ53:AZ72)-('Fats Raw Data'!AZ52-'Fats Raw Data'!AZ72)^2/20)/19),"")</f>
        <v>0</v>
      </c>
    </row>
    <row r="53" spans="1:97" x14ac:dyDescent="0.25">
      <c r="A53">
        <f>IFERROR('Feeders Raw Data'!A53,"")</f>
        <v>0</v>
      </c>
      <c r="B53">
        <f>IFERROR('Feeders Raw Data'!F53,"")</f>
        <v>0</v>
      </c>
      <c r="C53">
        <f>IFERROR('Feeders Raw Data'!H53-'Feeders Raw Data'!H54,"")</f>
        <v>0</v>
      </c>
      <c r="D53" t="str">
        <f>IFERROR(AVERAGE('Feeders Raw Data'!H53:H57),"")</f>
        <v/>
      </c>
      <c r="E53" t="str">
        <f>IFERROR(SUMPRODUCT('Feeders Raw Data'!B53:B72,'Feeders Raw Data'!G53:G72)/SUM('Feeders Raw Data'!G53:G72),"")</f>
        <v/>
      </c>
      <c r="F53">
        <f>IFERROR(SQRT((SUMSQ('Feeders Raw Data'!B53:B72)-2*SUMPRODUCT('Feeders Raw Data'!B53:B72,'Feeders Raw Data'!B54:B73)+SUMSQ('Feeders Raw Data'!B54:B73)-('Feeders Raw Data'!B53-'Feeders Raw Data'!B73)^2/20)/19),"")</f>
        <v>0</v>
      </c>
      <c r="H53">
        <f>IFERROR('Feeders Raw Data'!K53,"")</f>
        <v>0</v>
      </c>
      <c r="I53">
        <f>IFERROR('Feeders Raw Data'!P53,"")</f>
        <v>0</v>
      </c>
      <c r="J53">
        <f>IFERROR('Feeders Raw Data'!R53-'Feeders Raw Data'!R54,"")</f>
        <v>0</v>
      </c>
      <c r="K53" t="str">
        <f>IFERROR(AVERAGE('Feeders Raw Data'!R53:R57),"")</f>
        <v/>
      </c>
      <c r="L53" t="str">
        <f>IFERROR(SUMPRODUCT('Feeders Raw Data'!L53:L72,'Feeders Raw Data'!Q53:Q72)/SUM('Feeders Raw Data'!Q53:Q72),"")</f>
        <v/>
      </c>
      <c r="M53">
        <f>IFERROR(SQRT((SUMSQ('Feeders Raw Data'!L53:L72)-2*SUMPRODUCT('Feeders Raw Data'!L53:L72,'Feeders Raw Data'!L54:L73)+SUMSQ('Feeders Raw Data'!L54:L73)-('Feeders Raw Data'!L53-'Feeders Raw Data'!L73)^2/20)/19),"")</f>
        <v>0</v>
      </c>
      <c r="O53">
        <f>IFERROR('Feeders Raw Data'!U53,"")</f>
        <v>0</v>
      </c>
      <c r="P53">
        <f>IFERROR('Feeders Raw Data'!Z53,"")</f>
        <v>0</v>
      </c>
      <c r="Q53">
        <f>IFERROR('Feeders Raw Data'!AB53-'Feeders Raw Data'!AB54,"")</f>
        <v>0</v>
      </c>
      <c r="R53" t="str">
        <f>IFERROR(AVERAGE('Feeders Raw Data'!AB53:AB57),"")</f>
        <v/>
      </c>
      <c r="S53" t="str">
        <f>IFERROR(SUMPRODUCT('Feeders Raw Data'!V53:V72,'Feeders Raw Data'!AA53:AA72)/SUM('Feeders Raw Data'!AA53:AA72),"")</f>
        <v/>
      </c>
      <c r="T53">
        <f>IFERROR(SQRT((SUMSQ('Feeders Raw Data'!V53:V72)-2*SUMPRODUCT('Feeders Raw Data'!V53:V72,'Feeders Raw Data'!V54:V73)+SUMSQ('Feeders Raw Data'!V54:V73)-('Feeders Raw Data'!V53-'Feeders Raw Data'!V73)^2/20)/19),"")</f>
        <v>0</v>
      </c>
      <c r="V53">
        <f>IFERROR('Feeders Raw Data'!AE53,"")</f>
        <v>0</v>
      </c>
      <c r="W53">
        <f>IFERROR('Feeders Raw Data'!AJ53,"")</f>
        <v>0</v>
      </c>
      <c r="X53">
        <f>IFERROR('Feeders Raw Data'!AL53-'Feeders Raw Data'!AL54,"")</f>
        <v>0</v>
      </c>
      <c r="Y53" t="str">
        <f>IFERROR(AVERAGE('Feeders Raw Data'!AL53:AL57),"")</f>
        <v/>
      </c>
      <c r="Z53" t="str">
        <f>IFERROR(SUMPRODUCT('Feeders Raw Data'!AF53:AF72,'Feeders Raw Data'!AK53:AK72)/SUM('Feeders Raw Data'!AK53:AK72),"")</f>
        <v/>
      </c>
      <c r="AA53">
        <f>IFERROR(SQRT((SUMSQ('Feeders Raw Data'!AF53:AF72)-2*SUMPRODUCT('Feeders Raw Data'!AF53:AF72,'Feeders Raw Data'!AF54:AF73)+SUMSQ('Feeders Raw Data'!AF54:AF73)-('Feeders Raw Data'!AF53-'Feeders Raw Data'!AF73)^2/20)/19),"")</f>
        <v>0</v>
      </c>
      <c r="AC53">
        <f>IFERROR('Feeders Raw Data'!AO53,"")</f>
        <v>0</v>
      </c>
      <c r="AD53">
        <f>IFERROR('Feeders Raw Data'!AT53,"")</f>
        <v>0</v>
      </c>
      <c r="AE53">
        <f>IFERROR('Feeders Raw Data'!AV53-'Feeders Raw Data'!AV54,"")</f>
        <v>0</v>
      </c>
      <c r="AF53" t="str">
        <f>IFERROR(AVERAGE('Feeders Raw Data'!AV53:AV57),"")</f>
        <v/>
      </c>
      <c r="AG53" t="str">
        <f>IFERROR(SUMPRODUCT('Feeders Raw Data'!AP53:AP72,'Feeders Raw Data'!AU53:AU72)/SUM('Feeders Raw Data'!AU53:AU72),"")</f>
        <v/>
      </c>
      <c r="AH53">
        <f>IFERROR(SQRT((SUMSQ('Feeders Raw Data'!AP53:AP72)-2*SUMPRODUCT('Feeders Raw Data'!AP53:AP72,'Feeders Raw Data'!AP54:AP73)+SUMSQ('Feeders Raw Data'!AP54:AP73)-('Feeders Raw Data'!AP53-'Feeders Raw Data'!AP73)^2/20)/19),"")</f>
        <v>0</v>
      </c>
      <c r="AJ53">
        <f>IFERROR('Feeders Raw Data'!AY53,"")</f>
        <v>0</v>
      </c>
      <c r="AK53">
        <f>IFERROR('Feeders Raw Data'!BD53,"")</f>
        <v>0</v>
      </c>
      <c r="AL53">
        <f>IFERROR('Feeders Raw Data'!BF53-'Feeders Raw Data'!BF54,"")</f>
        <v>0</v>
      </c>
      <c r="AM53" t="str">
        <f>IFERROR(AVERAGE('Feeders Raw Data'!BF53:BF57),"")</f>
        <v/>
      </c>
      <c r="AN53" t="str">
        <f>IFERROR(SUMPRODUCT('Feeders Raw Data'!AZ53:AZ72,'Feeders Raw Data'!BE53:BE72)/SUM('Feeders Raw Data'!BE53:BE72),"")</f>
        <v/>
      </c>
      <c r="AO53">
        <f>IFERROR(SQRT((SUMSQ('Feeders Raw Data'!AZ53:AZ72)-2*SUMPRODUCT('Feeders Raw Data'!AZ53:AZ72,'Feeders Raw Data'!AZ54:AZ73)+SUMSQ('Feeders Raw Data'!AZ54:AZ73)-('Feeders Raw Data'!AZ53-'Feeders Raw Data'!AZ73)^2/20)/19),"")</f>
        <v>0</v>
      </c>
      <c r="AQ53">
        <f>IFERROR('Feeders Raw Data'!BI53,"")</f>
        <v>0</v>
      </c>
      <c r="AR53">
        <f>IFERROR('Feeders Raw Data'!BN53,"")</f>
        <v>0</v>
      </c>
      <c r="AS53">
        <f>IFERROR('Feeders Raw Data'!BP53-'Feeders Raw Data'!BP54,"")</f>
        <v>0</v>
      </c>
      <c r="AT53" t="str">
        <f>IFERROR(AVERAGE('Feeders Raw Data'!BP53:BP57),"")</f>
        <v/>
      </c>
      <c r="AU53" t="str">
        <f>IFERROR(SUMPRODUCT('Feeders Raw Data'!BJ53:BJ72,'Feeders Raw Data'!BO53:BO72)/SUM('Feeders Raw Data'!BO53:BO72),"")</f>
        <v/>
      </c>
      <c r="AV53">
        <f>IFERROR(SQRT((SUMSQ('Feeders Raw Data'!BJ53:BJ72)-2*SUMPRODUCT('Feeders Raw Data'!BJ53:BJ72,'Feeders Raw Data'!BJ54:BJ73)+SUMSQ('Feeders Raw Data'!BJ54:BJ73)-('Feeders Raw Data'!BJ53-'Feeders Raw Data'!BJ73)^2/20)/19),"")</f>
        <v>0</v>
      </c>
      <c r="AX53">
        <f>IFERROR('Feeders Raw Data'!BS53,"")</f>
        <v>0</v>
      </c>
      <c r="AY53">
        <f>IFERROR('Feeders Raw Data'!BX53,"")</f>
        <v>0</v>
      </c>
      <c r="AZ53">
        <f>IFERROR('Feeders Raw Data'!BZ53-'Feeders Raw Data'!BZ54,"")</f>
        <v>0</v>
      </c>
      <c r="BA53" t="str">
        <f>IFERROR(AVERAGE('Feeders Raw Data'!BZ53:BZ57),"")</f>
        <v/>
      </c>
      <c r="BB53" t="str">
        <f>IFERROR(SUMPRODUCT('Feeders Raw Data'!BT53:BT72,'Feeders Raw Data'!BY53:BY72)/SUM('Feeders Raw Data'!BY53:BY72),"")</f>
        <v/>
      </c>
      <c r="BC53">
        <f>IFERROR(SQRT((SUMSQ('Feeders Raw Data'!BT53:BT72)-2*SUMPRODUCT('Feeders Raw Data'!BT53:BT72,'Feeders Raw Data'!BT54:BT73)+SUMSQ('Feeders Raw Data'!BT54:BT73)-('Feeders Raw Data'!BT53-'Feeders Raw Data'!BT73)^2/20)/19),"")</f>
        <v>0</v>
      </c>
      <c r="BE53">
        <f>IFERROR('Fats Raw Data'!A53,"")</f>
        <v>0</v>
      </c>
      <c r="BF53">
        <f>IFERROR('Fats Raw Data'!F53,"")</f>
        <v>0</v>
      </c>
      <c r="BG53">
        <f>IFERROR('Fats Raw Data'!H53-'Fats Raw Data'!H54,"")</f>
        <v>0</v>
      </c>
      <c r="BH53" t="str">
        <f>IFERROR(AVERAGE('Fats Raw Data'!H53:H57),"")</f>
        <v/>
      </c>
      <c r="BI53" t="str">
        <f>IFERROR(SUMPRODUCT('Fats Raw Data'!B53:B72,'Fats Raw Data'!G53:G72)/SUM('Fats Raw Data'!G53:G72),"")</f>
        <v/>
      </c>
      <c r="BJ53">
        <f>IFERROR(SQRT((SUMSQ('Fats Raw Data'!B53:B72)-2*SUMPRODUCT('Fats Raw Data'!B53:B72,'Fats Raw Data'!B54:B73)+SUMSQ('Fats Raw Data'!B54:B73)-('Fats Raw Data'!B53-'Fats Raw Data'!B73)^2/20)/19),"")</f>
        <v>0</v>
      </c>
      <c r="BL53">
        <f>IFERROR('Fats Raw Data'!K53,"")</f>
        <v>0</v>
      </c>
      <c r="BM53">
        <f>IFERROR('Fats Raw Data'!P53,"")</f>
        <v>0</v>
      </c>
      <c r="BN53">
        <f>IFERROR('Fats Raw Data'!R53-'Fats Raw Data'!R54,"")</f>
        <v>0</v>
      </c>
      <c r="BO53" t="str">
        <f>IFERROR(AVERAGE('Fats Raw Data'!R53:R57),"")</f>
        <v/>
      </c>
      <c r="BP53" t="str">
        <f>IFERROR(SUMPRODUCT('Fats Raw Data'!L53:L72,'Fats Raw Data'!Q53:Q72)/SUM('Fats Raw Data'!Q53:Q72),"")</f>
        <v/>
      </c>
      <c r="BQ53">
        <f>IFERROR(SQRT((SUMSQ('Fats Raw Data'!L53:L72)-2*SUMPRODUCT('Fats Raw Data'!L53:L72,'Fats Raw Data'!L54:L73)+SUMSQ('Fats Raw Data'!L54:L73)-('Fats Raw Data'!L53-'Fats Raw Data'!L73)^2/20)/19),"")</f>
        <v>0</v>
      </c>
      <c r="BS53">
        <f>IFERROR('Fats Raw Data'!U53,"")</f>
        <v>0</v>
      </c>
      <c r="BT53">
        <f>IFERROR('Fats Raw Data'!Z53,"")</f>
        <v>0</v>
      </c>
      <c r="BU53">
        <f>IFERROR('Fats Raw Data'!AB53-'Fats Raw Data'!AB54,"")</f>
        <v>0</v>
      </c>
      <c r="BV53" t="str">
        <f>IFERROR(AVERAGE('Fats Raw Data'!AB53:AB57),"")</f>
        <v/>
      </c>
      <c r="BW53" t="str">
        <f>IFERROR(SUMPRODUCT('Fats Raw Data'!V53:V72,'Fats Raw Data'!AA53:AA72)/SUM('Fats Raw Data'!AA53:AA72),"")</f>
        <v/>
      </c>
      <c r="BX53">
        <f>IFERROR(SQRT((SUMSQ('Fats Raw Data'!V53:V72)-2*SUMPRODUCT('Fats Raw Data'!V53:V72,'Fats Raw Data'!V54:V73)+SUMSQ('Fats Raw Data'!V54:V73)-('Fats Raw Data'!V53-'Fats Raw Data'!V73)^2/20)/19),"")</f>
        <v>0</v>
      </c>
      <c r="BZ53">
        <f>IFERROR('Fats Raw Data'!AE53,"")</f>
        <v>0</v>
      </c>
      <c r="CA53">
        <f>IFERROR('Fats Raw Data'!AJ53,"")</f>
        <v>0</v>
      </c>
      <c r="CB53">
        <f>IFERROR('Fats Raw Data'!AL53-'Fats Raw Data'!AL54,"")</f>
        <v>0</v>
      </c>
      <c r="CC53" t="str">
        <f>IFERROR(AVERAGE('Fats Raw Data'!AL53:AL57),"")</f>
        <v/>
      </c>
      <c r="CD53" t="str">
        <f>IFERROR(SUMPRODUCT('Fats Raw Data'!AF53:AF72,'Fats Raw Data'!AK53:AK72)/SUM('Fats Raw Data'!AK53:AK72),"")</f>
        <v/>
      </c>
      <c r="CE53">
        <f>IFERROR(SQRT((SUMSQ('Fats Raw Data'!AF53:AF72)-2*SUMPRODUCT('Fats Raw Data'!AF53:AF72,'Fats Raw Data'!AF54:AF73)+SUMSQ('Fats Raw Data'!AF54:AF73)-('Fats Raw Data'!AF53-'Fats Raw Data'!AF73)^2/20)/19),"")</f>
        <v>0</v>
      </c>
      <c r="CG53">
        <f>IFERROR('Fats Raw Data'!AO53,"")</f>
        <v>0</v>
      </c>
      <c r="CH53">
        <f>IFERROR('Fats Raw Data'!AT53,"")</f>
        <v>0</v>
      </c>
      <c r="CI53">
        <f>IFERROR('Fats Raw Data'!AV53-'Fats Raw Data'!AV54,"")</f>
        <v>0</v>
      </c>
      <c r="CJ53" t="str">
        <f>IFERROR(AVERAGE('Fats Raw Data'!AV53:AV57),"")</f>
        <v/>
      </c>
      <c r="CK53" t="str">
        <f>IFERROR(SUMPRODUCT('Fats Raw Data'!AP53:AP72,'Fats Raw Data'!AU53:AU72)/SUM('Fats Raw Data'!AU53:AU72),"")</f>
        <v/>
      </c>
      <c r="CL53">
        <f>IFERROR(SQRT((SUMSQ('Fats Raw Data'!AP53:AP72)-2*SUMPRODUCT('Fats Raw Data'!AP53:AP72,'Fats Raw Data'!AP54:AP73)+SUMSQ('Fats Raw Data'!AP54:AP73)-('Fats Raw Data'!AP53-'Fats Raw Data'!AP73)^2/20)/19),"")</f>
        <v>0</v>
      </c>
      <c r="CN53">
        <f>IFERROR('Fats Raw Data'!AY53,"")</f>
        <v>0</v>
      </c>
      <c r="CO53">
        <f>IFERROR('Fats Raw Data'!BD53,"")</f>
        <v>0</v>
      </c>
      <c r="CP53">
        <f>IFERROR('Fats Raw Data'!BF53-'Fats Raw Data'!BF54,"")</f>
        <v>0</v>
      </c>
      <c r="CQ53" t="str">
        <f>IFERROR(AVERAGE('Fats Raw Data'!BF53:BF57),"")</f>
        <v/>
      </c>
      <c r="CR53" t="str">
        <f>IFERROR(SUMPRODUCT('Fats Raw Data'!AZ53:AZ72,'Fats Raw Data'!BE53:BE72)/SUM('Fats Raw Data'!BE53:BE72),"")</f>
        <v/>
      </c>
      <c r="CS53">
        <f>IFERROR(SQRT((SUMSQ('Fats Raw Data'!AZ53:AZ72)-2*SUMPRODUCT('Fats Raw Data'!AZ53:AZ72,'Fats Raw Data'!AZ54:AZ73)+SUMSQ('Fats Raw Data'!AZ54:AZ73)-('Fats Raw Data'!AZ53-'Fats Raw Data'!AZ73)^2/20)/19),"")</f>
        <v>0</v>
      </c>
    </row>
    <row r="54" spans="1:97" x14ac:dyDescent="0.25">
      <c r="A54">
        <f>IFERROR('Feeders Raw Data'!A54,"")</f>
        <v>0</v>
      </c>
      <c r="B54">
        <f>IFERROR('Feeders Raw Data'!F54,"")</f>
        <v>0</v>
      </c>
      <c r="C54">
        <f>IFERROR('Feeders Raw Data'!H54-'Feeders Raw Data'!H55,"")</f>
        <v>0</v>
      </c>
      <c r="D54" t="str">
        <f>IFERROR(AVERAGE('Feeders Raw Data'!H54:H58),"")</f>
        <v/>
      </c>
      <c r="E54" t="str">
        <f>IFERROR(SUMPRODUCT('Feeders Raw Data'!B54:B73,'Feeders Raw Data'!G54:G73)/SUM('Feeders Raw Data'!G54:G73),"")</f>
        <v/>
      </c>
      <c r="F54">
        <f>IFERROR(SQRT((SUMSQ('Feeders Raw Data'!B54:B73)-2*SUMPRODUCT('Feeders Raw Data'!B54:B73,'Feeders Raw Data'!B55:B74)+SUMSQ('Feeders Raw Data'!B55:B74)-('Feeders Raw Data'!B54-'Feeders Raw Data'!B74)^2/20)/19),"")</f>
        <v>0</v>
      </c>
      <c r="H54">
        <f>IFERROR('Feeders Raw Data'!K54,"")</f>
        <v>0</v>
      </c>
      <c r="I54">
        <f>IFERROR('Feeders Raw Data'!P54,"")</f>
        <v>0</v>
      </c>
      <c r="J54">
        <f>IFERROR('Feeders Raw Data'!R54-'Feeders Raw Data'!R55,"")</f>
        <v>0</v>
      </c>
      <c r="K54" t="str">
        <f>IFERROR(AVERAGE('Feeders Raw Data'!R54:R58),"")</f>
        <v/>
      </c>
      <c r="L54" t="str">
        <f>IFERROR(SUMPRODUCT('Feeders Raw Data'!L54:L73,'Feeders Raw Data'!Q54:Q73)/SUM('Feeders Raw Data'!Q54:Q73),"")</f>
        <v/>
      </c>
      <c r="M54">
        <f>IFERROR(SQRT((SUMSQ('Feeders Raw Data'!L54:L73)-2*SUMPRODUCT('Feeders Raw Data'!L54:L73,'Feeders Raw Data'!L55:L74)+SUMSQ('Feeders Raw Data'!L55:L74)-('Feeders Raw Data'!L54-'Feeders Raw Data'!L74)^2/20)/19),"")</f>
        <v>0</v>
      </c>
      <c r="O54">
        <f>IFERROR('Feeders Raw Data'!U54,"")</f>
        <v>0</v>
      </c>
      <c r="P54">
        <f>IFERROR('Feeders Raw Data'!Z54,"")</f>
        <v>0</v>
      </c>
      <c r="Q54">
        <f>IFERROR('Feeders Raw Data'!AB54-'Feeders Raw Data'!AB55,"")</f>
        <v>0</v>
      </c>
      <c r="R54" t="str">
        <f>IFERROR(AVERAGE('Feeders Raw Data'!AB54:AB58),"")</f>
        <v/>
      </c>
      <c r="S54" t="str">
        <f>IFERROR(SUMPRODUCT('Feeders Raw Data'!V54:V73,'Feeders Raw Data'!AA54:AA73)/SUM('Feeders Raw Data'!AA54:AA73),"")</f>
        <v/>
      </c>
      <c r="T54">
        <f>IFERROR(SQRT((SUMSQ('Feeders Raw Data'!V54:V73)-2*SUMPRODUCT('Feeders Raw Data'!V54:V73,'Feeders Raw Data'!V55:V74)+SUMSQ('Feeders Raw Data'!V55:V74)-('Feeders Raw Data'!V54-'Feeders Raw Data'!V74)^2/20)/19),"")</f>
        <v>0</v>
      </c>
      <c r="V54">
        <f>IFERROR('Feeders Raw Data'!AE54,"")</f>
        <v>0</v>
      </c>
      <c r="W54">
        <f>IFERROR('Feeders Raw Data'!AJ54,"")</f>
        <v>0</v>
      </c>
      <c r="X54">
        <f>IFERROR('Feeders Raw Data'!AL54-'Feeders Raw Data'!AL55,"")</f>
        <v>0</v>
      </c>
      <c r="Y54" t="str">
        <f>IFERROR(AVERAGE('Feeders Raw Data'!AL54:AL58),"")</f>
        <v/>
      </c>
      <c r="Z54" t="str">
        <f>IFERROR(SUMPRODUCT('Feeders Raw Data'!AF54:AF73,'Feeders Raw Data'!AK54:AK73)/SUM('Feeders Raw Data'!AK54:AK73),"")</f>
        <v/>
      </c>
      <c r="AA54">
        <f>IFERROR(SQRT((SUMSQ('Feeders Raw Data'!AF54:AF73)-2*SUMPRODUCT('Feeders Raw Data'!AF54:AF73,'Feeders Raw Data'!AF55:AF74)+SUMSQ('Feeders Raw Data'!AF55:AF74)-('Feeders Raw Data'!AF54-'Feeders Raw Data'!AF74)^2/20)/19),"")</f>
        <v>0</v>
      </c>
      <c r="AC54">
        <f>IFERROR('Feeders Raw Data'!AO54,"")</f>
        <v>0</v>
      </c>
      <c r="AD54">
        <f>IFERROR('Feeders Raw Data'!AT54,"")</f>
        <v>0</v>
      </c>
      <c r="AE54">
        <f>IFERROR('Feeders Raw Data'!AV54-'Feeders Raw Data'!AV55,"")</f>
        <v>0</v>
      </c>
      <c r="AF54" t="str">
        <f>IFERROR(AVERAGE('Feeders Raw Data'!AV54:AV58),"")</f>
        <v/>
      </c>
      <c r="AG54" t="str">
        <f>IFERROR(SUMPRODUCT('Feeders Raw Data'!AP54:AP73,'Feeders Raw Data'!AU54:AU73)/SUM('Feeders Raw Data'!AU54:AU73),"")</f>
        <v/>
      </c>
      <c r="AH54">
        <f>IFERROR(SQRT((SUMSQ('Feeders Raw Data'!AP54:AP73)-2*SUMPRODUCT('Feeders Raw Data'!AP54:AP73,'Feeders Raw Data'!AP55:AP74)+SUMSQ('Feeders Raw Data'!AP55:AP74)-('Feeders Raw Data'!AP54-'Feeders Raw Data'!AP74)^2/20)/19),"")</f>
        <v>0</v>
      </c>
      <c r="AJ54">
        <f>IFERROR('Feeders Raw Data'!AY54,"")</f>
        <v>0</v>
      </c>
      <c r="AK54">
        <f>IFERROR('Feeders Raw Data'!BD54,"")</f>
        <v>0</v>
      </c>
      <c r="AL54">
        <f>IFERROR('Feeders Raw Data'!BF54-'Feeders Raw Data'!BF55,"")</f>
        <v>0</v>
      </c>
      <c r="AM54" t="str">
        <f>IFERROR(AVERAGE('Feeders Raw Data'!BF54:BF58),"")</f>
        <v/>
      </c>
      <c r="AN54" t="str">
        <f>IFERROR(SUMPRODUCT('Feeders Raw Data'!AZ54:AZ73,'Feeders Raw Data'!BE54:BE73)/SUM('Feeders Raw Data'!BE54:BE73),"")</f>
        <v/>
      </c>
      <c r="AO54">
        <f>IFERROR(SQRT((SUMSQ('Feeders Raw Data'!AZ54:AZ73)-2*SUMPRODUCT('Feeders Raw Data'!AZ54:AZ73,'Feeders Raw Data'!AZ55:AZ74)+SUMSQ('Feeders Raw Data'!AZ55:AZ74)-('Feeders Raw Data'!AZ54-'Feeders Raw Data'!AZ74)^2/20)/19),"")</f>
        <v>0</v>
      </c>
      <c r="AQ54">
        <f>IFERROR('Feeders Raw Data'!BI54,"")</f>
        <v>0</v>
      </c>
      <c r="AR54">
        <f>IFERROR('Feeders Raw Data'!BN54,"")</f>
        <v>0</v>
      </c>
      <c r="AS54">
        <f>IFERROR('Feeders Raw Data'!BP54-'Feeders Raw Data'!BP55,"")</f>
        <v>0</v>
      </c>
      <c r="AT54" t="str">
        <f>IFERROR(AVERAGE('Feeders Raw Data'!BP54:BP58),"")</f>
        <v/>
      </c>
      <c r="AU54" t="str">
        <f>IFERROR(SUMPRODUCT('Feeders Raw Data'!BJ54:BJ73,'Feeders Raw Data'!BO54:BO73)/SUM('Feeders Raw Data'!BO54:BO73),"")</f>
        <v/>
      </c>
      <c r="AV54">
        <f>IFERROR(SQRT((SUMSQ('Feeders Raw Data'!BJ54:BJ73)-2*SUMPRODUCT('Feeders Raw Data'!BJ54:BJ73,'Feeders Raw Data'!BJ55:BJ74)+SUMSQ('Feeders Raw Data'!BJ55:BJ74)-('Feeders Raw Data'!BJ54-'Feeders Raw Data'!BJ74)^2/20)/19),"")</f>
        <v>0</v>
      </c>
      <c r="AX54">
        <f>IFERROR('Feeders Raw Data'!BS54,"")</f>
        <v>0</v>
      </c>
      <c r="AY54">
        <f>IFERROR('Feeders Raw Data'!BX54,"")</f>
        <v>0</v>
      </c>
      <c r="AZ54">
        <f>IFERROR('Feeders Raw Data'!BZ54-'Feeders Raw Data'!BZ55,"")</f>
        <v>0</v>
      </c>
      <c r="BA54" t="str">
        <f>IFERROR(AVERAGE('Feeders Raw Data'!BZ54:BZ58),"")</f>
        <v/>
      </c>
      <c r="BB54" t="str">
        <f>IFERROR(SUMPRODUCT('Feeders Raw Data'!BT54:BT73,'Feeders Raw Data'!BY54:BY73)/SUM('Feeders Raw Data'!BY54:BY73),"")</f>
        <v/>
      </c>
      <c r="BC54">
        <f>IFERROR(SQRT((SUMSQ('Feeders Raw Data'!BT54:BT73)-2*SUMPRODUCT('Feeders Raw Data'!BT54:BT73,'Feeders Raw Data'!BT55:BT74)+SUMSQ('Feeders Raw Data'!BT55:BT74)-('Feeders Raw Data'!BT54-'Feeders Raw Data'!BT74)^2/20)/19),"")</f>
        <v>0</v>
      </c>
      <c r="BE54">
        <f>IFERROR('Fats Raw Data'!A54,"")</f>
        <v>0</v>
      </c>
      <c r="BF54">
        <f>IFERROR('Fats Raw Data'!F54,"")</f>
        <v>0</v>
      </c>
      <c r="BG54">
        <f>IFERROR('Fats Raw Data'!H54-'Fats Raw Data'!H55,"")</f>
        <v>0</v>
      </c>
      <c r="BH54" t="str">
        <f>IFERROR(AVERAGE('Fats Raw Data'!H54:H58),"")</f>
        <v/>
      </c>
      <c r="BI54" t="str">
        <f>IFERROR(SUMPRODUCT('Fats Raw Data'!B54:B73,'Fats Raw Data'!G54:G73)/SUM('Fats Raw Data'!G54:G73),"")</f>
        <v/>
      </c>
      <c r="BJ54">
        <f>IFERROR(SQRT((SUMSQ('Fats Raw Data'!B54:B73)-2*SUMPRODUCT('Fats Raw Data'!B54:B73,'Fats Raw Data'!B55:B74)+SUMSQ('Fats Raw Data'!B55:B74)-('Fats Raw Data'!B54-'Fats Raw Data'!B74)^2/20)/19),"")</f>
        <v>0</v>
      </c>
      <c r="BL54">
        <f>IFERROR('Fats Raw Data'!K54,"")</f>
        <v>0</v>
      </c>
      <c r="BM54">
        <f>IFERROR('Fats Raw Data'!P54,"")</f>
        <v>0</v>
      </c>
      <c r="BN54">
        <f>IFERROR('Fats Raw Data'!R54-'Fats Raw Data'!R55,"")</f>
        <v>0</v>
      </c>
      <c r="BO54" t="str">
        <f>IFERROR(AVERAGE('Fats Raw Data'!R54:R58),"")</f>
        <v/>
      </c>
      <c r="BP54" t="str">
        <f>IFERROR(SUMPRODUCT('Fats Raw Data'!L54:L73,'Fats Raw Data'!Q54:Q73)/SUM('Fats Raw Data'!Q54:Q73),"")</f>
        <v/>
      </c>
      <c r="BQ54">
        <f>IFERROR(SQRT((SUMSQ('Fats Raw Data'!L54:L73)-2*SUMPRODUCT('Fats Raw Data'!L54:L73,'Fats Raw Data'!L55:L74)+SUMSQ('Fats Raw Data'!L55:L74)-('Fats Raw Data'!L54-'Fats Raw Data'!L74)^2/20)/19),"")</f>
        <v>0</v>
      </c>
      <c r="BS54">
        <f>IFERROR('Fats Raw Data'!U54,"")</f>
        <v>0</v>
      </c>
      <c r="BT54">
        <f>IFERROR('Fats Raw Data'!Z54,"")</f>
        <v>0</v>
      </c>
      <c r="BU54">
        <f>IFERROR('Fats Raw Data'!AB54-'Fats Raw Data'!AB55,"")</f>
        <v>0</v>
      </c>
      <c r="BV54" t="str">
        <f>IFERROR(AVERAGE('Fats Raw Data'!AB54:AB58),"")</f>
        <v/>
      </c>
      <c r="BW54" t="str">
        <f>IFERROR(SUMPRODUCT('Fats Raw Data'!V54:V73,'Fats Raw Data'!AA54:AA73)/SUM('Fats Raw Data'!AA54:AA73),"")</f>
        <v/>
      </c>
      <c r="BX54">
        <f>IFERROR(SQRT((SUMSQ('Fats Raw Data'!V54:V73)-2*SUMPRODUCT('Fats Raw Data'!V54:V73,'Fats Raw Data'!V55:V74)+SUMSQ('Fats Raw Data'!V55:V74)-('Fats Raw Data'!V54-'Fats Raw Data'!V74)^2/20)/19),"")</f>
        <v>0</v>
      </c>
      <c r="BZ54">
        <f>IFERROR('Fats Raw Data'!AE54,"")</f>
        <v>0</v>
      </c>
      <c r="CA54">
        <f>IFERROR('Fats Raw Data'!AJ54,"")</f>
        <v>0</v>
      </c>
      <c r="CB54">
        <f>IFERROR('Fats Raw Data'!AL54-'Fats Raw Data'!AL55,"")</f>
        <v>0</v>
      </c>
      <c r="CC54" t="str">
        <f>IFERROR(AVERAGE('Fats Raw Data'!AL54:AL58),"")</f>
        <v/>
      </c>
      <c r="CD54" t="str">
        <f>IFERROR(SUMPRODUCT('Fats Raw Data'!AF54:AF73,'Fats Raw Data'!AK54:AK73)/SUM('Fats Raw Data'!AK54:AK73),"")</f>
        <v/>
      </c>
      <c r="CE54">
        <f>IFERROR(SQRT((SUMSQ('Fats Raw Data'!AF54:AF73)-2*SUMPRODUCT('Fats Raw Data'!AF54:AF73,'Fats Raw Data'!AF55:AF74)+SUMSQ('Fats Raw Data'!AF55:AF74)-('Fats Raw Data'!AF54-'Fats Raw Data'!AF74)^2/20)/19),"")</f>
        <v>0</v>
      </c>
      <c r="CG54">
        <f>IFERROR('Fats Raw Data'!AO54,"")</f>
        <v>0</v>
      </c>
      <c r="CH54">
        <f>IFERROR('Fats Raw Data'!AT54,"")</f>
        <v>0</v>
      </c>
      <c r="CI54">
        <f>IFERROR('Fats Raw Data'!AV54-'Fats Raw Data'!AV55,"")</f>
        <v>0</v>
      </c>
      <c r="CJ54" t="str">
        <f>IFERROR(AVERAGE('Fats Raw Data'!AV54:AV58),"")</f>
        <v/>
      </c>
      <c r="CK54" t="str">
        <f>IFERROR(SUMPRODUCT('Fats Raw Data'!AP54:AP73,'Fats Raw Data'!AU54:AU73)/SUM('Fats Raw Data'!AU54:AU73),"")</f>
        <v/>
      </c>
      <c r="CL54">
        <f>IFERROR(SQRT((SUMSQ('Fats Raw Data'!AP54:AP73)-2*SUMPRODUCT('Fats Raw Data'!AP54:AP73,'Fats Raw Data'!AP55:AP74)+SUMSQ('Fats Raw Data'!AP55:AP74)-('Fats Raw Data'!AP54-'Fats Raw Data'!AP74)^2/20)/19),"")</f>
        <v>0</v>
      </c>
      <c r="CN54">
        <f>IFERROR('Fats Raw Data'!AY54,"")</f>
        <v>0</v>
      </c>
      <c r="CO54">
        <f>IFERROR('Fats Raw Data'!BD54,"")</f>
        <v>0</v>
      </c>
      <c r="CP54">
        <f>IFERROR('Fats Raw Data'!BF54-'Fats Raw Data'!BF55,"")</f>
        <v>0</v>
      </c>
      <c r="CQ54" t="str">
        <f>IFERROR(AVERAGE('Fats Raw Data'!BF54:BF58),"")</f>
        <v/>
      </c>
      <c r="CR54" t="str">
        <f>IFERROR(SUMPRODUCT('Fats Raw Data'!AZ54:AZ73,'Fats Raw Data'!BE54:BE73)/SUM('Fats Raw Data'!BE54:BE73),"")</f>
        <v/>
      </c>
      <c r="CS54">
        <f>IFERROR(SQRT((SUMSQ('Fats Raw Data'!AZ54:AZ73)-2*SUMPRODUCT('Fats Raw Data'!AZ54:AZ73,'Fats Raw Data'!AZ55:AZ74)+SUMSQ('Fats Raw Data'!AZ55:AZ74)-('Fats Raw Data'!AZ54-'Fats Raw Data'!AZ74)^2/20)/19),"")</f>
        <v>0</v>
      </c>
    </row>
    <row r="55" spans="1:97" x14ac:dyDescent="0.25">
      <c r="A55">
        <f>IFERROR('Feeders Raw Data'!A55,"")</f>
        <v>0</v>
      </c>
      <c r="B55">
        <f>IFERROR('Feeders Raw Data'!F55,"")</f>
        <v>0</v>
      </c>
      <c r="C55">
        <f>IFERROR('Feeders Raw Data'!H55-'Feeders Raw Data'!H56,"")</f>
        <v>0</v>
      </c>
      <c r="D55" t="str">
        <f>IFERROR(AVERAGE('Feeders Raw Data'!H55:H59),"")</f>
        <v/>
      </c>
      <c r="E55" t="str">
        <f>IFERROR(SUMPRODUCT('Feeders Raw Data'!B55:B74,'Feeders Raw Data'!G55:G74)/SUM('Feeders Raw Data'!G55:G74),"")</f>
        <v/>
      </c>
      <c r="F55">
        <f>IFERROR(SQRT((SUMSQ('Feeders Raw Data'!B55:B74)-2*SUMPRODUCT('Feeders Raw Data'!B55:B74,'Feeders Raw Data'!B56:B75)+SUMSQ('Feeders Raw Data'!B56:B75)-('Feeders Raw Data'!B55-'Feeders Raw Data'!B75)^2/20)/19),"")</f>
        <v>0</v>
      </c>
      <c r="H55">
        <f>IFERROR('Feeders Raw Data'!K55,"")</f>
        <v>0</v>
      </c>
      <c r="I55">
        <f>IFERROR('Feeders Raw Data'!P55,"")</f>
        <v>0</v>
      </c>
      <c r="J55">
        <f>IFERROR('Feeders Raw Data'!R55-'Feeders Raw Data'!R56,"")</f>
        <v>0</v>
      </c>
      <c r="K55" t="str">
        <f>IFERROR(AVERAGE('Feeders Raw Data'!R55:R59),"")</f>
        <v/>
      </c>
      <c r="L55" t="str">
        <f>IFERROR(SUMPRODUCT('Feeders Raw Data'!L55:L74,'Feeders Raw Data'!Q55:Q74)/SUM('Feeders Raw Data'!Q55:Q74),"")</f>
        <v/>
      </c>
      <c r="M55">
        <f>IFERROR(SQRT((SUMSQ('Feeders Raw Data'!L55:L74)-2*SUMPRODUCT('Feeders Raw Data'!L55:L74,'Feeders Raw Data'!L56:L75)+SUMSQ('Feeders Raw Data'!L56:L75)-('Feeders Raw Data'!L55-'Feeders Raw Data'!L75)^2/20)/19),"")</f>
        <v>0</v>
      </c>
      <c r="O55">
        <f>IFERROR('Feeders Raw Data'!U55,"")</f>
        <v>0</v>
      </c>
      <c r="P55">
        <f>IFERROR('Feeders Raw Data'!Z55,"")</f>
        <v>0</v>
      </c>
      <c r="Q55">
        <f>IFERROR('Feeders Raw Data'!AB55-'Feeders Raw Data'!AB56,"")</f>
        <v>0</v>
      </c>
      <c r="R55" t="str">
        <f>IFERROR(AVERAGE('Feeders Raw Data'!AB55:AB59),"")</f>
        <v/>
      </c>
      <c r="S55" t="str">
        <f>IFERROR(SUMPRODUCT('Feeders Raw Data'!V55:V74,'Feeders Raw Data'!AA55:AA74)/SUM('Feeders Raw Data'!AA55:AA74),"")</f>
        <v/>
      </c>
      <c r="T55">
        <f>IFERROR(SQRT((SUMSQ('Feeders Raw Data'!V55:V74)-2*SUMPRODUCT('Feeders Raw Data'!V55:V74,'Feeders Raw Data'!V56:V75)+SUMSQ('Feeders Raw Data'!V56:V75)-('Feeders Raw Data'!V55-'Feeders Raw Data'!V75)^2/20)/19),"")</f>
        <v>0</v>
      </c>
      <c r="V55">
        <f>IFERROR('Feeders Raw Data'!AE55,"")</f>
        <v>0</v>
      </c>
      <c r="W55">
        <f>IFERROR('Feeders Raw Data'!AJ55,"")</f>
        <v>0</v>
      </c>
      <c r="X55">
        <f>IFERROR('Feeders Raw Data'!AL55-'Feeders Raw Data'!AL56,"")</f>
        <v>0</v>
      </c>
      <c r="Y55" t="str">
        <f>IFERROR(AVERAGE('Feeders Raw Data'!AL55:AL59),"")</f>
        <v/>
      </c>
      <c r="Z55" t="str">
        <f>IFERROR(SUMPRODUCT('Feeders Raw Data'!AF55:AF74,'Feeders Raw Data'!AK55:AK74)/SUM('Feeders Raw Data'!AK55:AK74),"")</f>
        <v/>
      </c>
      <c r="AA55">
        <f>IFERROR(SQRT((SUMSQ('Feeders Raw Data'!AF55:AF74)-2*SUMPRODUCT('Feeders Raw Data'!AF55:AF74,'Feeders Raw Data'!AF56:AF75)+SUMSQ('Feeders Raw Data'!AF56:AF75)-('Feeders Raw Data'!AF55-'Feeders Raw Data'!AF75)^2/20)/19),"")</f>
        <v>0</v>
      </c>
      <c r="AC55">
        <f>IFERROR('Feeders Raw Data'!AO55,"")</f>
        <v>0</v>
      </c>
      <c r="AD55">
        <f>IFERROR('Feeders Raw Data'!AT55,"")</f>
        <v>0</v>
      </c>
      <c r="AE55">
        <f>IFERROR('Feeders Raw Data'!AV55-'Feeders Raw Data'!AV56,"")</f>
        <v>0</v>
      </c>
      <c r="AF55" t="str">
        <f>IFERROR(AVERAGE('Feeders Raw Data'!AV55:AV59),"")</f>
        <v/>
      </c>
      <c r="AG55" t="str">
        <f>IFERROR(SUMPRODUCT('Feeders Raw Data'!AP55:AP74,'Feeders Raw Data'!AU55:AU74)/SUM('Feeders Raw Data'!AU55:AU74),"")</f>
        <v/>
      </c>
      <c r="AH55">
        <f>IFERROR(SQRT((SUMSQ('Feeders Raw Data'!AP55:AP74)-2*SUMPRODUCT('Feeders Raw Data'!AP55:AP74,'Feeders Raw Data'!AP56:AP75)+SUMSQ('Feeders Raw Data'!AP56:AP75)-('Feeders Raw Data'!AP55-'Feeders Raw Data'!AP75)^2/20)/19),"")</f>
        <v>0</v>
      </c>
      <c r="AJ55">
        <f>IFERROR('Feeders Raw Data'!AY55,"")</f>
        <v>0</v>
      </c>
      <c r="AK55">
        <f>IFERROR('Feeders Raw Data'!BD55,"")</f>
        <v>0</v>
      </c>
      <c r="AL55">
        <f>IFERROR('Feeders Raw Data'!BF55-'Feeders Raw Data'!BF56,"")</f>
        <v>0</v>
      </c>
      <c r="AM55" t="str">
        <f>IFERROR(AVERAGE('Feeders Raw Data'!BF55:BF59),"")</f>
        <v/>
      </c>
      <c r="AN55" t="str">
        <f>IFERROR(SUMPRODUCT('Feeders Raw Data'!AZ55:AZ74,'Feeders Raw Data'!BE55:BE74)/SUM('Feeders Raw Data'!BE55:BE74),"")</f>
        <v/>
      </c>
      <c r="AO55">
        <f>IFERROR(SQRT((SUMSQ('Feeders Raw Data'!AZ55:AZ74)-2*SUMPRODUCT('Feeders Raw Data'!AZ55:AZ74,'Feeders Raw Data'!AZ56:AZ75)+SUMSQ('Feeders Raw Data'!AZ56:AZ75)-('Feeders Raw Data'!AZ55-'Feeders Raw Data'!AZ75)^2/20)/19),"")</f>
        <v>0</v>
      </c>
      <c r="AQ55">
        <f>IFERROR('Feeders Raw Data'!BI55,"")</f>
        <v>0</v>
      </c>
      <c r="AR55">
        <f>IFERROR('Feeders Raw Data'!BN55,"")</f>
        <v>0</v>
      </c>
      <c r="AS55">
        <f>IFERROR('Feeders Raw Data'!BP55-'Feeders Raw Data'!BP56,"")</f>
        <v>0</v>
      </c>
      <c r="AT55" t="str">
        <f>IFERROR(AVERAGE('Feeders Raw Data'!BP55:BP59),"")</f>
        <v/>
      </c>
      <c r="AU55" t="str">
        <f>IFERROR(SUMPRODUCT('Feeders Raw Data'!BJ55:BJ74,'Feeders Raw Data'!BO55:BO74)/SUM('Feeders Raw Data'!BO55:BO74),"")</f>
        <v/>
      </c>
      <c r="AV55">
        <f>IFERROR(SQRT((SUMSQ('Feeders Raw Data'!BJ55:BJ74)-2*SUMPRODUCT('Feeders Raw Data'!BJ55:BJ74,'Feeders Raw Data'!BJ56:BJ75)+SUMSQ('Feeders Raw Data'!BJ56:BJ75)-('Feeders Raw Data'!BJ55-'Feeders Raw Data'!BJ75)^2/20)/19),"")</f>
        <v>0</v>
      </c>
      <c r="AX55">
        <f>IFERROR('Feeders Raw Data'!BS55,"")</f>
        <v>0</v>
      </c>
      <c r="AY55">
        <f>IFERROR('Feeders Raw Data'!BX55,"")</f>
        <v>0</v>
      </c>
      <c r="AZ55">
        <f>IFERROR('Feeders Raw Data'!BZ55-'Feeders Raw Data'!BZ56,"")</f>
        <v>0</v>
      </c>
      <c r="BA55" t="str">
        <f>IFERROR(AVERAGE('Feeders Raw Data'!BZ55:BZ59),"")</f>
        <v/>
      </c>
      <c r="BB55" t="str">
        <f>IFERROR(SUMPRODUCT('Feeders Raw Data'!BT55:BT74,'Feeders Raw Data'!BY55:BY74)/SUM('Feeders Raw Data'!BY55:BY74),"")</f>
        <v/>
      </c>
      <c r="BC55">
        <f>IFERROR(SQRT((SUMSQ('Feeders Raw Data'!BT55:BT74)-2*SUMPRODUCT('Feeders Raw Data'!BT55:BT74,'Feeders Raw Data'!BT56:BT75)+SUMSQ('Feeders Raw Data'!BT56:BT75)-('Feeders Raw Data'!BT55-'Feeders Raw Data'!BT75)^2/20)/19),"")</f>
        <v>0</v>
      </c>
      <c r="BE55">
        <f>IFERROR('Fats Raw Data'!A55,"")</f>
        <v>0</v>
      </c>
      <c r="BF55">
        <f>IFERROR('Fats Raw Data'!F55,"")</f>
        <v>0</v>
      </c>
      <c r="BG55">
        <f>IFERROR('Fats Raw Data'!H55-'Fats Raw Data'!H56,"")</f>
        <v>0</v>
      </c>
      <c r="BH55" t="str">
        <f>IFERROR(AVERAGE('Fats Raw Data'!H55:H59),"")</f>
        <v/>
      </c>
      <c r="BI55" t="str">
        <f>IFERROR(SUMPRODUCT('Fats Raw Data'!B55:B74,'Fats Raw Data'!G55:G74)/SUM('Fats Raw Data'!G55:G74),"")</f>
        <v/>
      </c>
      <c r="BJ55">
        <f>IFERROR(SQRT((SUMSQ('Fats Raw Data'!B55:B74)-2*SUMPRODUCT('Fats Raw Data'!B55:B74,'Fats Raw Data'!B56:B75)+SUMSQ('Fats Raw Data'!B56:B75)-('Fats Raw Data'!B55-'Fats Raw Data'!B75)^2/20)/19),"")</f>
        <v>0</v>
      </c>
      <c r="BL55">
        <f>IFERROR('Fats Raw Data'!K55,"")</f>
        <v>0</v>
      </c>
      <c r="BM55">
        <f>IFERROR('Fats Raw Data'!P55,"")</f>
        <v>0</v>
      </c>
      <c r="BN55">
        <f>IFERROR('Fats Raw Data'!R55-'Fats Raw Data'!R56,"")</f>
        <v>0</v>
      </c>
      <c r="BO55" t="str">
        <f>IFERROR(AVERAGE('Fats Raw Data'!R55:R59),"")</f>
        <v/>
      </c>
      <c r="BP55" t="str">
        <f>IFERROR(SUMPRODUCT('Fats Raw Data'!L55:L74,'Fats Raw Data'!Q55:Q74)/SUM('Fats Raw Data'!Q55:Q74),"")</f>
        <v/>
      </c>
      <c r="BQ55">
        <f>IFERROR(SQRT((SUMSQ('Fats Raw Data'!L55:L74)-2*SUMPRODUCT('Fats Raw Data'!L55:L74,'Fats Raw Data'!L56:L75)+SUMSQ('Fats Raw Data'!L56:L75)-('Fats Raw Data'!L55-'Fats Raw Data'!L75)^2/20)/19),"")</f>
        <v>0</v>
      </c>
      <c r="BS55">
        <f>IFERROR('Fats Raw Data'!U55,"")</f>
        <v>0</v>
      </c>
      <c r="BT55">
        <f>IFERROR('Fats Raw Data'!Z55,"")</f>
        <v>0</v>
      </c>
      <c r="BU55">
        <f>IFERROR('Fats Raw Data'!AB55-'Fats Raw Data'!AB56,"")</f>
        <v>0</v>
      </c>
      <c r="BV55" t="str">
        <f>IFERROR(AVERAGE('Fats Raw Data'!AB55:AB59),"")</f>
        <v/>
      </c>
      <c r="BW55" t="str">
        <f>IFERROR(SUMPRODUCT('Fats Raw Data'!V55:V74,'Fats Raw Data'!AA55:AA74)/SUM('Fats Raw Data'!AA55:AA74),"")</f>
        <v/>
      </c>
      <c r="BX55">
        <f>IFERROR(SQRT((SUMSQ('Fats Raw Data'!V55:V74)-2*SUMPRODUCT('Fats Raw Data'!V55:V74,'Fats Raw Data'!V56:V75)+SUMSQ('Fats Raw Data'!V56:V75)-('Fats Raw Data'!V55-'Fats Raw Data'!V75)^2/20)/19),"")</f>
        <v>0</v>
      </c>
      <c r="BZ55">
        <f>IFERROR('Fats Raw Data'!AE55,"")</f>
        <v>0</v>
      </c>
      <c r="CA55">
        <f>IFERROR('Fats Raw Data'!AJ55,"")</f>
        <v>0</v>
      </c>
      <c r="CB55">
        <f>IFERROR('Fats Raw Data'!AL55-'Fats Raw Data'!AL56,"")</f>
        <v>0</v>
      </c>
      <c r="CC55" t="str">
        <f>IFERROR(AVERAGE('Fats Raw Data'!AL55:AL59),"")</f>
        <v/>
      </c>
      <c r="CD55" t="str">
        <f>IFERROR(SUMPRODUCT('Fats Raw Data'!AF55:AF74,'Fats Raw Data'!AK55:AK74)/SUM('Fats Raw Data'!AK55:AK74),"")</f>
        <v/>
      </c>
      <c r="CE55">
        <f>IFERROR(SQRT((SUMSQ('Fats Raw Data'!AF55:AF74)-2*SUMPRODUCT('Fats Raw Data'!AF55:AF74,'Fats Raw Data'!AF56:AF75)+SUMSQ('Fats Raw Data'!AF56:AF75)-('Fats Raw Data'!AF55-'Fats Raw Data'!AF75)^2/20)/19),"")</f>
        <v>0</v>
      </c>
      <c r="CG55">
        <f>IFERROR('Fats Raw Data'!AO55,"")</f>
        <v>0</v>
      </c>
      <c r="CH55">
        <f>IFERROR('Fats Raw Data'!AT55,"")</f>
        <v>0</v>
      </c>
      <c r="CI55">
        <f>IFERROR('Fats Raw Data'!AV55-'Fats Raw Data'!AV56,"")</f>
        <v>0</v>
      </c>
      <c r="CJ55" t="str">
        <f>IFERROR(AVERAGE('Fats Raw Data'!AV55:AV59),"")</f>
        <v/>
      </c>
      <c r="CK55" t="str">
        <f>IFERROR(SUMPRODUCT('Fats Raw Data'!AP55:AP74,'Fats Raw Data'!AU55:AU74)/SUM('Fats Raw Data'!AU55:AU74),"")</f>
        <v/>
      </c>
      <c r="CL55">
        <f>IFERROR(SQRT((SUMSQ('Fats Raw Data'!AP55:AP74)-2*SUMPRODUCT('Fats Raw Data'!AP55:AP74,'Fats Raw Data'!AP56:AP75)+SUMSQ('Fats Raw Data'!AP56:AP75)-('Fats Raw Data'!AP55-'Fats Raw Data'!AP75)^2/20)/19),"")</f>
        <v>0</v>
      </c>
      <c r="CN55">
        <f>IFERROR('Fats Raw Data'!AY55,"")</f>
        <v>0</v>
      </c>
      <c r="CO55">
        <f>IFERROR('Fats Raw Data'!BD55,"")</f>
        <v>0</v>
      </c>
      <c r="CP55">
        <f>IFERROR('Fats Raw Data'!BF55-'Fats Raw Data'!BF56,"")</f>
        <v>0</v>
      </c>
      <c r="CQ55" t="str">
        <f>IFERROR(AVERAGE('Fats Raw Data'!BF55:BF59),"")</f>
        <v/>
      </c>
      <c r="CR55" t="str">
        <f>IFERROR(SUMPRODUCT('Fats Raw Data'!AZ55:AZ74,'Fats Raw Data'!BE55:BE74)/SUM('Fats Raw Data'!BE55:BE74),"")</f>
        <v/>
      </c>
      <c r="CS55">
        <f>IFERROR(SQRT((SUMSQ('Fats Raw Data'!AZ55:AZ74)-2*SUMPRODUCT('Fats Raw Data'!AZ55:AZ74,'Fats Raw Data'!AZ56:AZ75)+SUMSQ('Fats Raw Data'!AZ56:AZ75)-('Fats Raw Data'!AZ55-'Fats Raw Data'!AZ75)^2/20)/19),"")</f>
        <v>0</v>
      </c>
    </row>
    <row r="56" spans="1:97" x14ac:dyDescent="0.25">
      <c r="A56">
        <f>IFERROR('Feeders Raw Data'!A56,"")</f>
        <v>0</v>
      </c>
      <c r="B56">
        <f>IFERROR('Feeders Raw Data'!F56,"")</f>
        <v>0</v>
      </c>
      <c r="C56">
        <f>IFERROR('Feeders Raw Data'!H56-'Feeders Raw Data'!H57,"")</f>
        <v>0</v>
      </c>
      <c r="D56" t="str">
        <f>IFERROR(AVERAGE('Feeders Raw Data'!H56:H60),"")</f>
        <v/>
      </c>
      <c r="E56" t="str">
        <f>IFERROR(SUMPRODUCT('Feeders Raw Data'!B56:B75,'Feeders Raw Data'!G56:G75)/SUM('Feeders Raw Data'!G56:G75),"")</f>
        <v/>
      </c>
      <c r="F56">
        <f>IFERROR(SQRT((SUMSQ('Feeders Raw Data'!B56:B75)-2*SUMPRODUCT('Feeders Raw Data'!B56:B75,'Feeders Raw Data'!B57:B76)+SUMSQ('Feeders Raw Data'!B57:B76)-('Feeders Raw Data'!B56-'Feeders Raw Data'!B76)^2/20)/19),"")</f>
        <v>0</v>
      </c>
      <c r="H56">
        <f>IFERROR('Feeders Raw Data'!K56,"")</f>
        <v>0</v>
      </c>
      <c r="I56">
        <f>IFERROR('Feeders Raw Data'!P56,"")</f>
        <v>0</v>
      </c>
      <c r="J56">
        <f>IFERROR('Feeders Raw Data'!R56-'Feeders Raw Data'!R57,"")</f>
        <v>0</v>
      </c>
      <c r="K56" t="str">
        <f>IFERROR(AVERAGE('Feeders Raw Data'!R56:R60),"")</f>
        <v/>
      </c>
      <c r="L56" t="str">
        <f>IFERROR(SUMPRODUCT('Feeders Raw Data'!L56:L75,'Feeders Raw Data'!Q56:Q75)/SUM('Feeders Raw Data'!Q56:Q75),"")</f>
        <v/>
      </c>
      <c r="M56">
        <f>IFERROR(SQRT((SUMSQ('Feeders Raw Data'!L56:L75)-2*SUMPRODUCT('Feeders Raw Data'!L56:L75,'Feeders Raw Data'!L57:L76)+SUMSQ('Feeders Raw Data'!L57:L76)-('Feeders Raw Data'!L56-'Feeders Raw Data'!L76)^2/20)/19),"")</f>
        <v>0</v>
      </c>
      <c r="O56">
        <f>IFERROR('Feeders Raw Data'!U56,"")</f>
        <v>0</v>
      </c>
      <c r="P56">
        <f>IFERROR('Feeders Raw Data'!Z56,"")</f>
        <v>0</v>
      </c>
      <c r="Q56">
        <f>IFERROR('Feeders Raw Data'!AB56-'Feeders Raw Data'!AB57,"")</f>
        <v>0</v>
      </c>
      <c r="R56" t="str">
        <f>IFERROR(AVERAGE('Feeders Raw Data'!AB56:AB60),"")</f>
        <v/>
      </c>
      <c r="S56" t="str">
        <f>IFERROR(SUMPRODUCT('Feeders Raw Data'!V56:V75,'Feeders Raw Data'!AA56:AA75)/SUM('Feeders Raw Data'!AA56:AA75),"")</f>
        <v/>
      </c>
      <c r="T56">
        <f>IFERROR(SQRT((SUMSQ('Feeders Raw Data'!V56:V75)-2*SUMPRODUCT('Feeders Raw Data'!V56:V75,'Feeders Raw Data'!V57:V76)+SUMSQ('Feeders Raw Data'!V57:V76)-('Feeders Raw Data'!V56-'Feeders Raw Data'!V76)^2/20)/19),"")</f>
        <v>0</v>
      </c>
      <c r="V56">
        <f>IFERROR('Feeders Raw Data'!AE56,"")</f>
        <v>0</v>
      </c>
      <c r="W56">
        <f>IFERROR('Feeders Raw Data'!AJ56,"")</f>
        <v>0</v>
      </c>
      <c r="X56">
        <f>IFERROR('Feeders Raw Data'!AL56-'Feeders Raw Data'!AL57,"")</f>
        <v>0</v>
      </c>
      <c r="Y56" t="str">
        <f>IFERROR(AVERAGE('Feeders Raw Data'!AL56:AL60),"")</f>
        <v/>
      </c>
      <c r="Z56" t="str">
        <f>IFERROR(SUMPRODUCT('Feeders Raw Data'!AF56:AF75,'Feeders Raw Data'!AK56:AK75)/SUM('Feeders Raw Data'!AK56:AK75),"")</f>
        <v/>
      </c>
      <c r="AA56">
        <f>IFERROR(SQRT((SUMSQ('Feeders Raw Data'!AF56:AF75)-2*SUMPRODUCT('Feeders Raw Data'!AF56:AF75,'Feeders Raw Data'!AF57:AF76)+SUMSQ('Feeders Raw Data'!AF57:AF76)-('Feeders Raw Data'!AF56-'Feeders Raw Data'!AF76)^2/20)/19),"")</f>
        <v>0</v>
      </c>
      <c r="AC56">
        <f>IFERROR('Feeders Raw Data'!AO56,"")</f>
        <v>0</v>
      </c>
      <c r="AD56">
        <f>IFERROR('Feeders Raw Data'!AT56,"")</f>
        <v>0</v>
      </c>
      <c r="AE56">
        <f>IFERROR('Feeders Raw Data'!AV56-'Feeders Raw Data'!AV57,"")</f>
        <v>0</v>
      </c>
      <c r="AF56" t="str">
        <f>IFERROR(AVERAGE('Feeders Raw Data'!AV56:AV60),"")</f>
        <v/>
      </c>
      <c r="AG56" t="str">
        <f>IFERROR(SUMPRODUCT('Feeders Raw Data'!AP56:AP75,'Feeders Raw Data'!AU56:AU75)/SUM('Feeders Raw Data'!AU56:AU75),"")</f>
        <v/>
      </c>
      <c r="AH56">
        <f>IFERROR(SQRT((SUMSQ('Feeders Raw Data'!AP56:AP75)-2*SUMPRODUCT('Feeders Raw Data'!AP56:AP75,'Feeders Raw Data'!AP57:AP76)+SUMSQ('Feeders Raw Data'!AP57:AP76)-('Feeders Raw Data'!AP56-'Feeders Raw Data'!AP76)^2/20)/19),"")</f>
        <v>0</v>
      </c>
      <c r="AJ56">
        <f>IFERROR('Feeders Raw Data'!AY56,"")</f>
        <v>0</v>
      </c>
      <c r="AK56">
        <f>IFERROR('Feeders Raw Data'!BD56,"")</f>
        <v>0</v>
      </c>
      <c r="AL56">
        <f>IFERROR('Feeders Raw Data'!BF56-'Feeders Raw Data'!BF57,"")</f>
        <v>0</v>
      </c>
      <c r="AM56" t="str">
        <f>IFERROR(AVERAGE('Feeders Raw Data'!BF56:BF60),"")</f>
        <v/>
      </c>
      <c r="AN56" t="str">
        <f>IFERROR(SUMPRODUCT('Feeders Raw Data'!AZ56:AZ75,'Feeders Raw Data'!BE56:BE75)/SUM('Feeders Raw Data'!BE56:BE75),"")</f>
        <v/>
      </c>
      <c r="AO56">
        <f>IFERROR(SQRT((SUMSQ('Feeders Raw Data'!AZ56:AZ75)-2*SUMPRODUCT('Feeders Raw Data'!AZ56:AZ75,'Feeders Raw Data'!AZ57:AZ76)+SUMSQ('Feeders Raw Data'!AZ57:AZ76)-('Feeders Raw Data'!AZ56-'Feeders Raw Data'!AZ76)^2/20)/19),"")</f>
        <v>0</v>
      </c>
      <c r="AQ56">
        <f>IFERROR('Feeders Raw Data'!BI56,"")</f>
        <v>0</v>
      </c>
      <c r="AR56">
        <f>IFERROR('Feeders Raw Data'!BN56,"")</f>
        <v>0</v>
      </c>
      <c r="AS56">
        <f>IFERROR('Feeders Raw Data'!BP56-'Feeders Raw Data'!BP57,"")</f>
        <v>0</v>
      </c>
      <c r="AT56" t="str">
        <f>IFERROR(AVERAGE('Feeders Raw Data'!BP56:BP60),"")</f>
        <v/>
      </c>
      <c r="AU56" t="str">
        <f>IFERROR(SUMPRODUCT('Feeders Raw Data'!BJ56:BJ75,'Feeders Raw Data'!BO56:BO75)/SUM('Feeders Raw Data'!BO56:BO75),"")</f>
        <v/>
      </c>
      <c r="AV56">
        <f>IFERROR(SQRT((SUMSQ('Feeders Raw Data'!BJ56:BJ75)-2*SUMPRODUCT('Feeders Raw Data'!BJ56:BJ75,'Feeders Raw Data'!BJ57:BJ76)+SUMSQ('Feeders Raw Data'!BJ57:BJ76)-('Feeders Raw Data'!BJ56-'Feeders Raw Data'!BJ76)^2/20)/19),"")</f>
        <v>0</v>
      </c>
      <c r="AX56">
        <f>IFERROR('Feeders Raw Data'!BS56,"")</f>
        <v>0</v>
      </c>
      <c r="AY56">
        <f>IFERROR('Feeders Raw Data'!BX56,"")</f>
        <v>0</v>
      </c>
      <c r="AZ56">
        <f>IFERROR('Feeders Raw Data'!BZ56-'Feeders Raw Data'!BZ57,"")</f>
        <v>0</v>
      </c>
      <c r="BA56" t="str">
        <f>IFERROR(AVERAGE('Feeders Raw Data'!BZ56:BZ60),"")</f>
        <v/>
      </c>
      <c r="BB56" t="str">
        <f>IFERROR(SUMPRODUCT('Feeders Raw Data'!BT56:BT75,'Feeders Raw Data'!BY56:BY75)/SUM('Feeders Raw Data'!BY56:BY75),"")</f>
        <v/>
      </c>
      <c r="BC56">
        <f>IFERROR(SQRT((SUMSQ('Feeders Raw Data'!BT56:BT75)-2*SUMPRODUCT('Feeders Raw Data'!BT56:BT75,'Feeders Raw Data'!BT57:BT76)+SUMSQ('Feeders Raw Data'!BT57:BT76)-('Feeders Raw Data'!BT56-'Feeders Raw Data'!BT76)^2/20)/19),"")</f>
        <v>0</v>
      </c>
      <c r="BE56">
        <f>IFERROR('Fats Raw Data'!A56,"")</f>
        <v>0</v>
      </c>
      <c r="BF56">
        <f>IFERROR('Fats Raw Data'!F56,"")</f>
        <v>0</v>
      </c>
      <c r="BG56">
        <f>IFERROR('Fats Raw Data'!H56-'Fats Raw Data'!H57,"")</f>
        <v>0</v>
      </c>
      <c r="BH56" t="str">
        <f>IFERROR(AVERAGE('Fats Raw Data'!H56:H60),"")</f>
        <v/>
      </c>
      <c r="BI56" t="str">
        <f>IFERROR(SUMPRODUCT('Fats Raw Data'!B56:B75,'Fats Raw Data'!G56:G75)/SUM('Fats Raw Data'!G56:G75),"")</f>
        <v/>
      </c>
      <c r="BJ56">
        <f>IFERROR(SQRT((SUMSQ('Fats Raw Data'!B56:B75)-2*SUMPRODUCT('Fats Raw Data'!B56:B75,'Fats Raw Data'!B57:B76)+SUMSQ('Fats Raw Data'!B57:B76)-('Fats Raw Data'!B56-'Fats Raw Data'!B76)^2/20)/19),"")</f>
        <v>0</v>
      </c>
      <c r="BL56">
        <f>IFERROR('Fats Raw Data'!K56,"")</f>
        <v>0</v>
      </c>
      <c r="BM56">
        <f>IFERROR('Fats Raw Data'!P56,"")</f>
        <v>0</v>
      </c>
      <c r="BN56">
        <f>IFERROR('Fats Raw Data'!R56-'Fats Raw Data'!R57,"")</f>
        <v>0</v>
      </c>
      <c r="BO56" t="str">
        <f>IFERROR(AVERAGE('Fats Raw Data'!R56:R60),"")</f>
        <v/>
      </c>
      <c r="BP56" t="str">
        <f>IFERROR(SUMPRODUCT('Fats Raw Data'!L56:L75,'Fats Raw Data'!Q56:Q75)/SUM('Fats Raw Data'!Q56:Q75),"")</f>
        <v/>
      </c>
      <c r="BQ56">
        <f>IFERROR(SQRT((SUMSQ('Fats Raw Data'!L56:L75)-2*SUMPRODUCT('Fats Raw Data'!L56:L75,'Fats Raw Data'!L57:L76)+SUMSQ('Fats Raw Data'!L57:L76)-('Fats Raw Data'!L56-'Fats Raw Data'!L76)^2/20)/19),"")</f>
        <v>0</v>
      </c>
      <c r="BS56">
        <f>IFERROR('Fats Raw Data'!U56,"")</f>
        <v>0</v>
      </c>
      <c r="BT56">
        <f>IFERROR('Fats Raw Data'!Z56,"")</f>
        <v>0</v>
      </c>
      <c r="BU56">
        <f>IFERROR('Fats Raw Data'!AB56-'Fats Raw Data'!AB57,"")</f>
        <v>0</v>
      </c>
      <c r="BV56" t="str">
        <f>IFERROR(AVERAGE('Fats Raw Data'!AB56:AB60),"")</f>
        <v/>
      </c>
      <c r="BW56" t="str">
        <f>IFERROR(SUMPRODUCT('Fats Raw Data'!V56:V75,'Fats Raw Data'!AA56:AA75)/SUM('Fats Raw Data'!AA56:AA75),"")</f>
        <v/>
      </c>
      <c r="BX56">
        <f>IFERROR(SQRT((SUMSQ('Fats Raw Data'!V56:V75)-2*SUMPRODUCT('Fats Raw Data'!V56:V75,'Fats Raw Data'!V57:V76)+SUMSQ('Fats Raw Data'!V57:V76)-('Fats Raw Data'!V56-'Fats Raw Data'!V76)^2/20)/19),"")</f>
        <v>0</v>
      </c>
      <c r="BZ56">
        <f>IFERROR('Fats Raw Data'!AE56,"")</f>
        <v>0</v>
      </c>
      <c r="CA56">
        <f>IFERROR('Fats Raw Data'!AJ56,"")</f>
        <v>0</v>
      </c>
      <c r="CB56">
        <f>IFERROR('Fats Raw Data'!AL56-'Fats Raw Data'!AL57,"")</f>
        <v>0</v>
      </c>
      <c r="CC56" t="str">
        <f>IFERROR(AVERAGE('Fats Raw Data'!AL56:AL60),"")</f>
        <v/>
      </c>
      <c r="CD56" t="str">
        <f>IFERROR(SUMPRODUCT('Fats Raw Data'!AF56:AF75,'Fats Raw Data'!AK56:AK75)/SUM('Fats Raw Data'!AK56:AK75),"")</f>
        <v/>
      </c>
      <c r="CE56">
        <f>IFERROR(SQRT((SUMSQ('Fats Raw Data'!AF56:AF75)-2*SUMPRODUCT('Fats Raw Data'!AF56:AF75,'Fats Raw Data'!AF57:AF76)+SUMSQ('Fats Raw Data'!AF57:AF76)-('Fats Raw Data'!AF56-'Fats Raw Data'!AF76)^2/20)/19),"")</f>
        <v>0</v>
      </c>
      <c r="CG56">
        <f>IFERROR('Fats Raw Data'!AO56,"")</f>
        <v>0</v>
      </c>
      <c r="CH56">
        <f>IFERROR('Fats Raw Data'!AT56,"")</f>
        <v>0</v>
      </c>
      <c r="CI56">
        <f>IFERROR('Fats Raw Data'!AV56-'Fats Raw Data'!AV57,"")</f>
        <v>0</v>
      </c>
      <c r="CJ56" t="str">
        <f>IFERROR(AVERAGE('Fats Raw Data'!AV56:AV60),"")</f>
        <v/>
      </c>
      <c r="CK56" t="str">
        <f>IFERROR(SUMPRODUCT('Fats Raw Data'!AP56:AP75,'Fats Raw Data'!AU56:AU75)/SUM('Fats Raw Data'!AU56:AU75),"")</f>
        <v/>
      </c>
      <c r="CL56">
        <f>IFERROR(SQRT((SUMSQ('Fats Raw Data'!AP56:AP75)-2*SUMPRODUCT('Fats Raw Data'!AP56:AP75,'Fats Raw Data'!AP57:AP76)+SUMSQ('Fats Raw Data'!AP57:AP76)-('Fats Raw Data'!AP56-'Fats Raw Data'!AP76)^2/20)/19),"")</f>
        <v>0</v>
      </c>
      <c r="CN56">
        <f>IFERROR('Fats Raw Data'!AY56,"")</f>
        <v>0</v>
      </c>
      <c r="CO56">
        <f>IFERROR('Fats Raw Data'!BD56,"")</f>
        <v>0</v>
      </c>
      <c r="CP56">
        <f>IFERROR('Fats Raw Data'!BF56-'Fats Raw Data'!BF57,"")</f>
        <v>0</v>
      </c>
      <c r="CQ56" t="str">
        <f>IFERROR(AVERAGE('Fats Raw Data'!BF56:BF60),"")</f>
        <v/>
      </c>
      <c r="CR56" t="str">
        <f>IFERROR(SUMPRODUCT('Fats Raw Data'!AZ56:AZ75,'Fats Raw Data'!BE56:BE75)/SUM('Fats Raw Data'!BE56:BE75),"")</f>
        <v/>
      </c>
      <c r="CS56">
        <f>IFERROR(SQRT((SUMSQ('Fats Raw Data'!AZ56:AZ75)-2*SUMPRODUCT('Fats Raw Data'!AZ56:AZ75,'Fats Raw Data'!AZ57:AZ76)+SUMSQ('Fats Raw Data'!AZ57:AZ76)-('Fats Raw Data'!AZ56-'Fats Raw Data'!AZ76)^2/20)/19),"")</f>
        <v>0</v>
      </c>
    </row>
    <row r="57" spans="1:97" x14ac:dyDescent="0.25">
      <c r="A57">
        <f>IFERROR('Feeders Raw Data'!A57,"")</f>
        <v>0</v>
      </c>
      <c r="B57">
        <f>IFERROR('Feeders Raw Data'!F57,"")</f>
        <v>0</v>
      </c>
      <c r="C57">
        <f>IFERROR('Feeders Raw Data'!H57-'Feeders Raw Data'!H58,"")</f>
        <v>0</v>
      </c>
      <c r="D57" t="str">
        <f>IFERROR(AVERAGE('Feeders Raw Data'!H57:H61),"")</f>
        <v/>
      </c>
      <c r="E57" t="str">
        <f>IFERROR(SUMPRODUCT('Feeders Raw Data'!B57:B76,'Feeders Raw Data'!G57:G76)/SUM('Feeders Raw Data'!G57:G76),"")</f>
        <v/>
      </c>
      <c r="F57">
        <f>IFERROR(SQRT((SUMSQ('Feeders Raw Data'!B57:B76)-2*SUMPRODUCT('Feeders Raw Data'!B57:B76,'Feeders Raw Data'!B58:B77)+SUMSQ('Feeders Raw Data'!B58:B77)-('Feeders Raw Data'!B57-'Feeders Raw Data'!B77)^2/20)/19),"")</f>
        <v>0</v>
      </c>
      <c r="H57">
        <f>IFERROR('Feeders Raw Data'!K57,"")</f>
        <v>0</v>
      </c>
      <c r="I57">
        <f>IFERROR('Feeders Raw Data'!P57,"")</f>
        <v>0</v>
      </c>
      <c r="J57">
        <f>IFERROR('Feeders Raw Data'!R57-'Feeders Raw Data'!R58,"")</f>
        <v>0</v>
      </c>
      <c r="K57" t="str">
        <f>IFERROR(AVERAGE('Feeders Raw Data'!R57:R61),"")</f>
        <v/>
      </c>
      <c r="L57" t="str">
        <f>IFERROR(SUMPRODUCT('Feeders Raw Data'!L57:L76,'Feeders Raw Data'!Q57:Q76)/SUM('Feeders Raw Data'!Q57:Q76),"")</f>
        <v/>
      </c>
      <c r="M57">
        <f>IFERROR(SQRT((SUMSQ('Feeders Raw Data'!L57:L76)-2*SUMPRODUCT('Feeders Raw Data'!L57:L76,'Feeders Raw Data'!L58:L77)+SUMSQ('Feeders Raw Data'!L58:L77)-('Feeders Raw Data'!L57-'Feeders Raw Data'!L77)^2/20)/19),"")</f>
        <v>0</v>
      </c>
      <c r="O57">
        <f>IFERROR('Feeders Raw Data'!U57,"")</f>
        <v>0</v>
      </c>
      <c r="P57">
        <f>IFERROR('Feeders Raw Data'!Z57,"")</f>
        <v>0</v>
      </c>
      <c r="Q57">
        <f>IFERROR('Feeders Raw Data'!AB57-'Feeders Raw Data'!AB58,"")</f>
        <v>0</v>
      </c>
      <c r="R57" t="str">
        <f>IFERROR(AVERAGE('Feeders Raw Data'!AB57:AB61),"")</f>
        <v/>
      </c>
      <c r="S57" t="str">
        <f>IFERROR(SUMPRODUCT('Feeders Raw Data'!V57:V76,'Feeders Raw Data'!AA57:AA76)/SUM('Feeders Raw Data'!AA57:AA76),"")</f>
        <v/>
      </c>
      <c r="T57">
        <f>IFERROR(SQRT((SUMSQ('Feeders Raw Data'!V57:V76)-2*SUMPRODUCT('Feeders Raw Data'!V57:V76,'Feeders Raw Data'!V58:V77)+SUMSQ('Feeders Raw Data'!V58:V77)-('Feeders Raw Data'!V57-'Feeders Raw Data'!V77)^2/20)/19),"")</f>
        <v>0</v>
      </c>
      <c r="V57">
        <f>IFERROR('Feeders Raw Data'!AE57,"")</f>
        <v>0</v>
      </c>
      <c r="W57">
        <f>IFERROR('Feeders Raw Data'!AJ57,"")</f>
        <v>0</v>
      </c>
      <c r="X57">
        <f>IFERROR('Feeders Raw Data'!AL57-'Feeders Raw Data'!AL58,"")</f>
        <v>0</v>
      </c>
      <c r="Y57" t="str">
        <f>IFERROR(AVERAGE('Feeders Raw Data'!AL57:AL61),"")</f>
        <v/>
      </c>
      <c r="Z57" t="str">
        <f>IFERROR(SUMPRODUCT('Feeders Raw Data'!AF57:AF76,'Feeders Raw Data'!AK57:AK76)/SUM('Feeders Raw Data'!AK57:AK76),"")</f>
        <v/>
      </c>
      <c r="AA57">
        <f>IFERROR(SQRT((SUMSQ('Feeders Raw Data'!AF57:AF76)-2*SUMPRODUCT('Feeders Raw Data'!AF57:AF76,'Feeders Raw Data'!AF58:AF77)+SUMSQ('Feeders Raw Data'!AF58:AF77)-('Feeders Raw Data'!AF57-'Feeders Raw Data'!AF77)^2/20)/19),"")</f>
        <v>0</v>
      </c>
      <c r="AC57">
        <f>IFERROR('Feeders Raw Data'!AO57,"")</f>
        <v>0</v>
      </c>
      <c r="AD57">
        <f>IFERROR('Feeders Raw Data'!AT57,"")</f>
        <v>0</v>
      </c>
      <c r="AE57">
        <f>IFERROR('Feeders Raw Data'!AV57-'Feeders Raw Data'!AV58,"")</f>
        <v>0</v>
      </c>
      <c r="AF57" t="str">
        <f>IFERROR(AVERAGE('Feeders Raw Data'!AV57:AV61),"")</f>
        <v/>
      </c>
      <c r="AG57" t="str">
        <f>IFERROR(SUMPRODUCT('Feeders Raw Data'!AP57:AP76,'Feeders Raw Data'!AU57:AU76)/SUM('Feeders Raw Data'!AU57:AU76),"")</f>
        <v/>
      </c>
      <c r="AH57">
        <f>IFERROR(SQRT((SUMSQ('Feeders Raw Data'!AP57:AP76)-2*SUMPRODUCT('Feeders Raw Data'!AP57:AP76,'Feeders Raw Data'!AP58:AP77)+SUMSQ('Feeders Raw Data'!AP58:AP77)-('Feeders Raw Data'!AP57-'Feeders Raw Data'!AP77)^2/20)/19),"")</f>
        <v>0</v>
      </c>
      <c r="AJ57">
        <f>IFERROR('Feeders Raw Data'!AY57,"")</f>
        <v>0</v>
      </c>
      <c r="AK57">
        <f>IFERROR('Feeders Raw Data'!BD57,"")</f>
        <v>0</v>
      </c>
      <c r="AL57">
        <f>IFERROR('Feeders Raw Data'!BF57-'Feeders Raw Data'!BF58,"")</f>
        <v>0</v>
      </c>
      <c r="AM57" t="str">
        <f>IFERROR(AVERAGE('Feeders Raw Data'!BF57:BF61),"")</f>
        <v/>
      </c>
      <c r="AN57" t="str">
        <f>IFERROR(SUMPRODUCT('Feeders Raw Data'!AZ57:AZ76,'Feeders Raw Data'!BE57:BE76)/SUM('Feeders Raw Data'!BE57:BE76),"")</f>
        <v/>
      </c>
      <c r="AO57">
        <f>IFERROR(SQRT((SUMSQ('Feeders Raw Data'!AZ57:AZ76)-2*SUMPRODUCT('Feeders Raw Data'!AZ57:AZ76,'Feeders Raw Data'!AZ58:AZ77)+SUMSQ('Feeders Raw Data'!AZ58:AZ77)-('Feeders Raw Data'!AZ57-'Feeders Raw Data'!AZ77)^2/20)/19),"")</f>
        <v>0</v>
      </c>
      <c r="AQ57">
        <f>IFERROR('Feeders Raw Data'!BI57,"")</f>
        <v>0</v>
      </c>
      <c r="AR57">
        <f>IFERROR('Feeders Raw Data'!BN57,"")</f>
        <v>0</v>
      </c>
      <c r="AS57">
        <f>IFERROR('Feeders Raw Data'!BP57-'Feeders Raw Data'!BP58,"")</f>
        <v>0</v>
      </c>
      <c r="AT57" t="str">
        <f>IFERROR(AVERAGE('Feeders Raw Data'!BP57:BP61),"")</f>
        <v/>
      </c>
      <c r="AU57" t="str">
        <f>IFERROR(SUMPRODUCT('Feeders Raw Data'!BJ57:BJ76,'Feeders Raw Data'!BO57:BO76)/SUM('Feeders Raw Data'!BO57:BO76),"")</f>
        <v/>
      </c>
      <c r="AV57">
        <f>IFERROR(SQRT((SUMSQ('Feeders Raw Data'!BJ57:BJ76)-2*SUMPRODUCT('Feeders Raw Data'!BJ57:BJ76,'Feeders Raw Data'!BJ58:BJ77)+SUMSQ('Feeders Raw Data'!BJ58:BJ77)-('Feeders Raw Data'!BJ57-'Feeders Raw Data'!BJ77)^2/20)/19),"")</f>
        <v>0</v>
      </c>
      <c r="AX57">
        <f>IFERROR('Feeders Raw Data'!BS57,"")</f>
        <v>0</v>
      </c>
      <c r="AY57">
        <f>IFERROR('Feeders Raw Data'!BX57,"")</f>
        <v>0</v>
      </c>
      <c r="AZ57">
        <f>IFERROR('Feeders Raw Data'!BZ57-'Feeders Raw Data'!BZ58,"")</f>
        <v>0</v>
      </c>
      <c r="BA57" t="str">
        <f>IFERROR(AVERAGE('Feeders Raw Data'!BZ57:BZ61),"")</f>
        <v/>
      </c>
      <c r="BB57" t="str">
        <f>IFERROR(SUMPRODUCT('Feeders Raw Data'!BT57:BT76,'Feeders Raw Data'!BY57:BY76)/SUM('Feeders Raw Data'!BY57:BY76),"")</f>
        <v/>
      </c>
      <c r="BC57">
        <f>IFERROR(SQRT((SUMSQ('Feeders Raw Data'!BT57:BT76)-2*SUMPRODUCT('Feeders Raw Data'!BT57:BT76,'Feeders Raw Data'!BT58:BT77)+SUMSQ('Feeders Raw Data'!BT58:BT77)-('Feeders Raw Data'!BT57-'Feeders Raw Data'!BT77)^2/20)/19),"")</f>
        <v>0</v>
      </c>
      <c r="BE57">
        <f>IFERROR('Fats Raw Data'!A57,"")</f>
        <v>0</v>
      </c>
      <c r="BF57">
        <f>IFERROR('Fats Raw Data'!F57,"")</f>
        <v>0</v>
      </c>
      <c r="BG57">
        <f>IFERROR('Fats Raw Data'!H57-'Fats Raw Data'!H58,"")</f>
        <v>0</v>
      </c>
      <c r="BH57" t="str">
        <f>IFERROR(AVERAGE('Fats Raw Data'!H57:H61),"")</f>
        <v/>
      </c>
      <c r="BI57" t="str">
        <f>IFERROR(SUMPRODUCT('Fats Raw Data'!B57:B76,'Fats Raw Data'!G57:G76)/SUM('Fats Raw Data'!G57:G76),"")</f>
        <v/>
      </c>
      <c r="BJ57">
        <f>IFERROR(SQRT((SUMSQ('Fats Raw Data'!B57:B76)-2*SUMPRODUCT('Fats Raw Data'!B57:B76,'Fats Raw Data'!B58:B77)+SUMSQ('Fats Raw Data'!B58:B77)-('Fats Raw Data'!B57-'Fats Raw Data'!B77)^2/20)/19),"")</f>
        <v>0</v>
      </c>
      <c r="BL57">
        <f>IFERROR('Fats Raw Data'!K57,"")</f>
        <v>0</v>
      </c>
      <c r="BM57">
        <f>IFERROR('Fats Raw Data'!P57,"")</f>
        <v>0</v>
      </c>
      <c r="BN57">
        <f>IFERROR('Fats Raw Data'!R57-'Fats Raw Data'!R58,"")</f>
        <v>0</v>
      </c>
      <c r="BO57" t="str">
        <f>IFERROR(AVERAGE('Fats Raw Data'!R57:R61),"")</f>
        <v/>
      </c>
      <c r="BP57" t="str">
        <f>IFERROR(SUMPRODUCT('Fats Raw Data'!L57:L76,'Fats Raw Data'!Q57:Q76)/SUM('Fats Raw Data'!Q57:Q76),"")</f>
        <v/>
      </c>
      <c r="BQ57">
        <f>IFERROR(SQRT((SUMSQ('Fats Raw Data'!L57:L76)-2*SUMPRODUCT('Fats Raw Data'!L57:L76,'Fats Raw Data'!L58:L77)+SUMSQ('Fats Raw Data'!L58:L77)-('Fats Raw Data'!L57-'Fats Raw Data'!L77)^2/20)/19),"")</f>
        <v>0</v>
      </c>
      <c r="BS57">
        <f>IFERROR('Fats Raw Data'!U57,"")</f>
        <v>0</v>
      </c>
      <c r="BT57">
        <f>IFERROR('Fats Raw Data'!Z57,"")</f>
        <v>0</v>
      </c>
      <c r="BU57">
        <f>IFERROR('Fats Raw Data'!AB57-'Fats Raw Data'!AB58,"")</f>
        <v>0</v>
      </c>
      <c r="BV57" t="str">
        <f>IFERROR(AVERAGE('Fats Raw Data'!AB57:AB61),"")</f>
        <v/>
      </c>
      <c r="BW57" t="str">
        <f>IFERROR(SUMPRODUCT('Fats Raw Data'!V57:V76,'Fats Raw Data'!AA57:AA76)/SUM('Fats Raw Data'!AA57:AA76),"")</f>
        <v/>
      </c>
      <c r="BX57">
        <f>IFERROR(SQRT((SUMSQ('Fats Raw Data'!V57:V76)-2*SUMPRODUCT('Fats Raw Data'!V57:V76,'Fats Raw Data'!V58:V77)+SUMSQ('Fats Raw Data'!V58:V77)-('Fats Raw Data'!V57-'Fats Raw Data'!V77)^2/20)/19),"")</f>
        <v>0</v>
      </c>
      <c r="BZ57">
        <f>IFERROR('Fats Raw Data'!AE57,"")</f>
        <v>0</v>
      </c>
      <c r="CA57">
        <f>IFERROR('Fats Raw Data'!AJ57,"")</f>
        <v>0</v>
      </c>
      <c r="CB57">
        <f>IFERROR('Fats Raw Data'!AL57-'Fats Raw Data'!AL58,"")</f>
        <v>0</v>
      </c>
      <c r="CC57" t="str">
        <f>IFERROR(AVERAGE('Fats Raw Data'!AL57:AL61),"")</f>
        <v/>
      </c>
      <c r="CD57" t="str">
        <f>IFERROR(SUMPRODUCT('Fats Raw Data'!AF57:AF76,'Fats Raw Data'!AK57:AK76)/SUM('Fats Raw Data'!AK57:AK76),"")</f>
        <v/>
      </c>
      <c r="CE57">
        <f>IFERROR(SQRT((SUMSQ('Fats Raw Data'!AF57:AF76)-2*SUMPRODUCT('Fats Raw Data'!AF57:AF76,'Fats Raw Data'!AF58:AF77)+SUMSQ('Fats Raw Data'!AF58:AF77)-('Fats Raw Data'!AF57-'Fats Raw Data'!AF77)^2/20)/19),"")</f>
        <v>0</v>
      </c>
      <c r="CG57">
        <f>IFERROR('Fats Raw Data'!AO57,"")</f>
        <v>0</v>
      </c>
      <c r="CH57">
        <f>IFERROR('Fats Raw Data'!AT57,"")</f>
        <v>0</v>
      </c>
      <c r="CI57">
        <f>IFERROR('Fats Raw Data'!AV57-'Fats Raw Data'!AV58,"")</f>
        <v>0</v>
      </c>
      <c r="CJ57" t="str">
        <f>IFERROR(AVERAGE('Fats Raw Data'!AV57:AV61),"")</f>
        <v/>
      </c>
      <c r="CK57" t="str">
        <f>IFERROR(SUMPRODUCT('Fats Raw Data'!AP57:AP76,'Fats Raw Data'!AU57:AU76)/SUM('Fats Raw Data'!AU57:AU76),"")</f>
        <v/>
      </c>
      <c r="CL57">
        <f>IFERROR(SQRT((SUMSQ('Fats Raw Data'!AP57:AP76)-2*SUMPRODUCT('Fats Raw Data'!AP57:AP76,'Fats Raw Data'!AP58:AP77)+SUMSQ('Fats Raw Data'!AP58:AP77)-('Fats Raw Data'!AP57-'Fats Raw Data'!AP77)^2/20)/19),"")</f>
        <v>0</v>
      </c>
      <c r="CN57">
        <f>IFERROR('Fats Raw Data'!AY57,"")</f>
        <v>0</v>
      </c>
      <c r="CO57">
        <f>IFERROR('Fats Raw Data'!BD57,"")</f>
        <v>0</v>
      </c>
      <c r="CP57">
        <f>IFERROR('Fats Raw Data'!BF57-'Fats Raw Data'!BF58,"")</f>
        <v>0</v>
      </c>
      <c r="CQ57" t="str">
        <f>IFERROR(AVERAGE('Fats Raw Data'!BF57:BF61),"")</f>
        <v/>
      </c>
      <c r="CR57" t="str">
        <f>IFERROR(SUMPRODUCT('Fats Raw Data'!AZ57:AZ76,'Fats Raw Data'!BE57:BE76)/SUM('Fats Raw Data'!BE57:BE76),"")</f>
        <v/>
      </c>
      <c r="CS57">
        <f>IFERROR(SQRT((SUMSQ('Fats Raw Data'!AZ57:AZ76)-2*SUMPRODUCT('Fats Raw Data'!AZ57:AZ76,'Fats Raw Data'!AZ58:AZ77)+SUMSQ('Fats Raw Data'!AZ58:AZ77)-('Fats Raw Data'!AZ57-'Fats Raw Data'!AZ77)^2/20)/19),"")</f>
        <v>0</v>
      </c>
    </row>
    <row r="58" spans="1:97" x14ac:dyDescent="0.25">
      <c r="A58">
        <f>IFERROR('Feeders Raw Data'!A58,"")</f>
        <v>0</v>
      </c>
      <c r="B58">
        <f>IFERROR('Feeders Raw Data'!F58,"")</f>
        <v>0</v>
      </c>
      <c r="C58">
        <f>IFERROR('Feeders Raw Data'!H58-'Feeders Raw Data'!H59,"")</f>
        <v>0</v>
      </c>
      <c r="D58" t="str">
        <f>IFERROR(AVERAGE('Feeders Raw Data'!H58:H62),"")</f>
        <v/>
      </c>
      <c r="E58" t="str">
        <f>IFERROR(SUMPRODUCT('Feeders Raw Data'!B58:B77,'Feeders Raw Data'!G58:G77)/SUM('Feeders Raw Data'!G58:G77),"")</f>
        <v/>
      </c>
      <c r="F58">
        <f>IFERROR(SQRT((SUMSQ('Feeders Raw Data'!B58:B77)-2*SUMPRODUCT('Feeders Raw Data'!B58:B77,'Feeders Raw Data'!B59:B78)+SUMSQ('Feeders Raw Data'!B59:B78)-('Feeders Raw Data'!B58-'Feeders Raw Data'!B78)^2/20)/19),"")</f>
        <v>0</v>
      </c>
      <c r="H58">
        <f>IFERROR('Feeders Raw Data'!K58,"")</f>
        <v>0</v>
      </c>
      <c r="I58">
        <f>IFERROR('Feeders Raw Data'!P58,"")</f>
        <v>0</v>
      </c>
      <c r="J58">
        <f>IFERROR('Feeders Raw Data'!R58-'Feeders Raw Data'!R59,"")</f>
        <v>0</v>
      </c>
      <c r="K58" t="str">
        <f>IFERROR(AVERAGE('Feeders Raw Data'!R58:R62),"")</f>
        <v/>
      </c>
      <c r="L58" t="str">
        <f>IFERROR(SUMPRODUCT('Feeders Raw Data'!L58:L77,'Feeders Raw Data'!Q58:Q77)/SUM('Feeders Raw Data'!Q58:Q77),"")</f>
        <v/>
      </c>
      <c r="M58">
        <f>IFERROR(SQRT((SUMSQ('Feeders Raw Data'!L58:L77)-2*SUMPRODUCT('Feeders Raw Data'!L58:L77,'Feeders Raw Data'!L59:L78)+SUMSQ('Feeders Raw Data'!L59:L78)-('Feeders Raw Data'!L58-'Feeders Raw Data'!L78)^2/20)/19),"")</f>
        <v>0</v>
      </c>
      <c r="O58">
        <f>IFERROR('Feeders Raw Data'!U58,"")</f>
        <v>0</v>
      </c>
      <c r="P58">
        <f>IFERROR('Feeders Raw Data'!Z58,"")</f>
        <v>0</v>
      </c>
      <c r="Q58">
        <f>IFERROR('Feeders Raw Data'!AB58-'Feeders Raw Data'!AB59,"")</f>
        <v>0</v>
      </c>
      <c r="R58" t="str">
        <f>IFERROR(AVERAGE('Feeders Raw Data'!AB58:AB62),"")</f>
        <v/>
      </c>
      <c r="S58" t="str">
        <f>IFERROR(SUMPRODUCT('Feeders Raw Data'!V58:V77,'Feeders Raw Data'!AA58:AA77)/SUM('Feeders Raw Data'!AA58:AA77),"")</f>
        <v/>
      </c>
      <c r="T58">
        <f>IFERROR(SQRT((SUMSQ('Feeders Raw Data'!V58:V77)-2*SUMPRODUCT('Feeders Raw Data'!V58:V77,'Feeders Raw Data'!V59:V78)+SUMSQ('Feeders Raw Data'!V59:V78)-('Feeders Raw Data'!V58-'Feeders Raw Data'!V78)^2/20)/19),"")</f>
        <v>0</v>
      </c>
      <c r="V58">
        <f>IFERROR('Feeders Raw Data'!AE58,"")</f>
        <v>0</v>
      </c>
      <c r="W58">
        <f>IFERROR('Feeders Raw Data'!AJ58,"")</f>
        <v>0</v>
      </c>
      <c r="X58">
        <f>IFERROR('Feeders Raw Data'!AL58-'Feeders Raw Data'!AL59,"")</f>
        <v>0</v>
      </c>
      <c r="Y58" t="str">
        <f>IFERROR(AVERAGE('Feeders Raw Data'!AL58:AL62),"")</f>
        <v/>
      </c>
      <c r="Z58" t="str">
        <f>IFERROR(SUMPRODUCT('Feeders Raw Data'!AF58:AF77,'Feeders Raw Data'!AK58:AK77)/SUM('Feeders Raw Data'!AK58:AK77),"")</f>
        <v/>
      </c>
      <c r="AA58">
        <f>IFERROR(SQRT((SUMSQ('Feeders Raw Data'!AF58:AF77)-2*SUMPRODUCT('Feeders Raw Data'!AF58:AF77,'Feeders Raw Data'!AF59:AF78)+SUMSQ('Feeders Raw Data'!AF59:AF78)-('Feeders Raw Data'!AF58-'Feeders Raw Data'!AF78)^2/20)/19),"")</f>
        <v>0</v>
      </c>
      <c r="AC58">
        <f>IFERROR('Feeders Raw Data'!AO58,"")</f>
        <v>0</v>
      </c>
      <c r="AD58">
        <f>IFERROR('Feeders Raw Data'!AT58,"")</f>
        <v>0</v>
      </c>
      <c r="AE58">
        <f>IFERROR('Feeders Raw Data'!AV58-'Feeders Raw Data'!AV59,"")</f>
        <v>0</v>
      </c>
      <c r="AF58" t="str">
        <f>IFERROR(AVERAGE('Feeders Raw Data'!AV58:AV62),"")</f>
        <v/>
      </c>
      <c r="AG58" t="str">
        <f>IFERROR(SUMPRODUCT('Feeders Raw Data'!AP58:AP77,'Feeders Raw Data'!AU58:AU77)/SUM('Feeders Raw Data'!AU58:AU77),"")</f>
        <v/>
      </c>
      <c r="AH58">
        <f>IFERROR(SQRT((SUMSQ('Feeders Raw Data'!AP58:AP77)-2*SUMPRODUCT('Feeders Raw Data'!AP58:AP77,'Feeders Raw Data'!AP59:AP78)+SUMSQ('Feeders Raw Data'!AP59:AP78)-('Feeders Raw Data'!AP58-'Feeders Raw Data'!AP78)^2/20)/19),"")</f>
        <v>0</v>
      </c>
      <c r="AJ58">
        <f>IFERROR('Feeders Raw Data'!AY58,"")</f>
        <v>0</v>
      </c>
      <c r="AK58">
        <f>IFERROR('Feeders Raw Data'!BD58,"")</f>
        <v>0</v>
      </c>
      <c r="AL58">
        <f>IFERROR('Feeders Raw Data'!BF58-'Feeders Raw Data'!BF59,"")</f>
        <v>0</v>
      </c>
      <c r="AM58" t="str">
        <f>IFERROR(AVERAGE('Feeders Raw Data'!BF58:BF62),"")</f>
        <v/>
      </c>
      <c r="AN58" t="str">
        <f>IFERROR(SUMPRODUCT('Feeders Raw Data'!AZ58:AZ77,'Feeders Raw Data'!BE58:BE77)/SUM('Feeders Raw Data'!BE58:BE77),"")</f>
        <v/>
      </c>
      <c r="AO58">
        <f>IFERROR(SQRT((SUMSQ('Feeders Raw Data'!AZ58:AZ77)-2*SUMPRODUCT('Feeders Raw Data'!AZ58:AZ77,'Feeders Raw Data'!AZ59:AZ78)+SUMSQ('Feeders Raw Data'!AZ59:AZ78)-('Feeders Raw Data'!AZ58-'Feeders Raw Data'!AZ78)^2/20)/19),"")</f>
        <v>0</v>
      </c>
      <c r="AQ58">
        <f>IFERROR('Feeders Raw Data'!BI58,"")</f>
        <v>0</v>
      </c>
      <c r="AR58">
        <f>IFERROR('Feeders Raw Data'!BN58,"")</f>
        <v>0</v>
      </c>
      <c r="AS58">
        <f>IFERROR('Feeders Raw Data'!BP58-'Feeders Raw Data'!BP59,"")</f>
        <v>0</v>
      </c>
      <c r="AT58" t="str">
        <f>IFERROR(AVERAGE('Feeders Raw Data'!BP58:BP62),"")</f>
        <v/>
      </c>
      <c r="AU58" t="str">
        <f>IFERROR(SUMPRODUCT('Feeders Raw Data'!BJ58:BJ77,'Feeders Raw Data'!BO58:BO77)/SUM('Feeders Raw Data'!BO58:BO77),"")</f>
        <v/>
      </c>
      <c r="AV58">
        <f>IFERROR(SQRT((SUMSQ('Feeders Raw Data'!BJ58:BJ77)-2*SUMPRODUCT('Feeders Raw Data'!BJ58:BJ77,'Feeders Raw Data'!BJ59:BJ78)+SUMSQ('Feeders Raw Data'!BJ59:BJ78)-('Feeders Raw Data'!BJ58-'Feeders Raw Data'!BJ78)^2/20)/19),"")</f>
        <v>0</v>
      </c>
      <c r="AX58">
        <f>IFERROR('Feeders Raw Data'!BS58,"")</f>
        <v>0</v>
      </c>
      <c r="AY58">
        <f>IFERROR('Feeders Raw Data'!BX58,"")</f>
        <v>0</v>
      </c>
      <c r="AZ58">
        <f>IFERROR('Feeders Raw Data'!BZ58-'Feeders Raw Data'!BZ59,"")</f>
        <v>0</v>
      </c>
      <c r="BA58" t="str">
        <f>IFERROR(AVERAGE('Feeders Raw Data'!BZ58:BZ62),"")</f>
        <v/>
      </c>
      <c r="BB58" t="str">
        <f>IFERROR(SUMPRODUCT('Feeders Raw Data'!BT58:BT77,'Feeders Raw Data'!BY58:BY77)/SUM('Feeders Raw Data'!BY58:BY77),"")</f>
        <v/>
      </c>
      <c r="BC58">
        <f>IFERROR(SQRT((SUMSQ('Feeders Raw Data'!BT58:BT77)-2*SUMPRODUCT('Feeders Raw Data'!BT58:BT77,'Feeders Raw Data'!BT59:BT78)+SUMSQ('Feeders Raw Data'!BT59:BT78)-('Feeders Raw Data'!BT58-'Feeders Raw Data'!BT78)^2/20)/19),"")</f>
        <v>0</v>
      </c>
      <c r="BE58">
        <f>IFERROR('Fats Raw Data'!A58,"")</f>
        <v>0</v>
      </c>
      <c r="BF58">
        <f>IFERROR('Fats Raw Data'!F58,"")</f>
        <v>0</v>
      </c>
      <c r="BG58">
        <f>IFERROR('Fats Raw Data'!H58-'Fats Raw Data'!H59,"")</f>
        <v>0</v>
      </c>
      <c r="BH58" t="str">
        <f>IFERROR(AVERAGE('Fats Raw Data'!H58:H62),"")</f>
        <v/>
      </c>
      <c r="BI58" t="str">
        <f>IFERROR(SUMPRODUCT('Fats Raw Data'!B58:B77,'Fats Raw Data'!G58:G77)/SUM('Fats Raw Data'!G58:G77),"")</f>
        <v/>
      </c>
      <c r="BJ58">
        <f>IFERROR(SQRT((SUMSQ('Fats Raw Data'!B58:B77)-2*SUMPRODUCT('Fats Raw Data'!B58:B77,'Fats Raw Data'!B59:B78)+SUMSQ('Fats Raw Data'!B59:B78)-('Fats Raw Data'!B58-'Fats Raw Data'!B78)^2/20)/19),"")</f>
        <v>0</v>
      </c>
      <c r="BL58">
        <f>IFERROR('Fats Raw Data'!K58,"")</f>
        <v>0</v>
      </c>
      <c r="BM58">
        <f>IFERROR('Fats Raw Data'!P58,"")</f>
        <v>0</v>
      </c>
      <c r="BN58">
        <f>IFERROR('Fats Raw Data'!R58-'Fats Raw Data'!R59,"")</f>
        <v>0</v>
      </c>
      <c r="BO58" t="str">
        <f>IFERROR(AVERAGE('Fats Raw Data'!R58:R62),"")</f>
        <v/>
      </c>
      <c r="BP58" t="str">
        <f>IFERROR(SUMPRODUCT('Fats Raw Data'!L58:L77,'Fats Raw Data'!Q58:Q77)/SUM('Fats Raw Data'!Q58:Q77),"")</f>
        <v/>
      </c>
      <c r="BQ58">
        <f>IFERROR(SQRT((SUMSQ('Fats Raw Data'!L58:L77)-2*SUMPRODUCT('Fats Raw Data'!L58:L77,'Fats Raw Data'!L59:L78)+SUMSQ('Fats Raw Data'!L59:L78)-('Fats Raw Data'!L58-'Fats Raw Data'!L78)^2/20)/19),"")</f>
        <v>0</v>
      </c>
      <c r="BS58">
        <f>IFERROR('Fats Raw Data'!U58,"")</f>
        <v>0</v>
      </c>
      <c r="BT58">
        <f>IFERROR('Fats Raw Data'!Z58,"")</f>
        <v>0</v>
      </c>
      <c r="BU58">
        <f>IFERROR('Fats Raw Data'!AB58-'Fats Raw Data'!AB59,"")</f>
        <v>0</v>
      </c>
      <c r="BV58" t="str">
        <f>IFERROR(AVERAGE('Fats Raw Data'!AB58:AB62),"")</f>
        <v/>
      </c>
      <c r="BW58" t="str">
        <f>IFERROR(SUMPRODUCT('Fats Raw Data'!V58:V77,'Fats Raw Data'!AA58:AA77)/SUM('Fats Raw Data'!AA58:AA77),"")</f>
        <v/>
      </c>
      <c r="BX58">
        <f>IFERROR(SQRT((SUMSQ('Fats Raw Data'!V58:V77)-2*SUMPRODUCT('Fats Raw Data'!V58:V77,'Fats Raw Data'!V59:V78)+SUMSQ('Fats Raw Data'!V59:V78)-('Fats Raw Data'!V58-'Fats Raw Data'!V78)^2/20)/19),"")</f>
        <v>0</v>
      </c>
      <c r="BZ58">
        <f>IFERROR('Fats Raw Data'!AE58,"")</f>
        <v>0</v>
      </c>
      <c r="CA58">
        <f>IFERROR('Fats Raw Data'!AJ58,"")</f>
        <v>0</v>
      </c>
      <c r="CB58">
        <f>IFERROR('Fats Raw Data'!AL58-'Fats Raw Data'!AL59,"")</f>
        <v>0</v>
      </c>
      <c r="CC58" t="str">
        <f>IFERROR(AVERAGE('Fats Raw Data'!AL58:AL62),"")</f>
        <v/>
      </c>
      <c r="CD58" t="str">
        <f>IFERROR(SUMPRODUCT('Fats Raw Data'!AF58:AF77,'Fats Raw Data'!AK58:AK77)/SUM('Fats Raw Data'!AK58:AK77),"")</f>
        <v/>
      </c>
      <c r="CE58">
        <f>IFERROR(SQRT((SUMSQ('Fats Raw Data'!AF58:AF77)-2*SUMPRODUCT('Fats Raw Data'!AF58:AF77,'Fats Raw Data'!AF59:AF78)+SUMSQ('Fats Raw Data'!AF59:AF78)-('Fats Raw Data'!AF58-'Fats Raw Data'!AF78)^2/20)/19),"")</f>
        <v>0</v>
      </c>
      <c r="CG58">
        <f>IFERROR('Fats Raw Data'!AO58,"")</f>
        <v>0</v>
      </c>
      <c r="CH58">
        <f>IFERROR('Fats Raw Data'!AT58,"")</f>
        <v>0</v>
      </c>
      <c r="CI58">
        <f>IFERROR('Fats Raw Data'!AV58-'Fats Raw Data'!AV59,"")</f>
        <v>0</v>
      </c>
      <c r="CJ58" t="str">
        <f>IFERROR(AVERAGE('Fats Raw Data'!AV58:AV62),"")</f>
        <v/>
      </c>
      <c r="CK58" t="str">
        <f>IFERROR(SUMPRODUCT('Fats Raw Data'!AP58:AP77,'Fats Raw Data'!AU58:AU77)/SUM('Fats Raw Data'!AU58:AU77),"")</f>
        <v/>
      </c>
      <c r="CL58">
        <f>IFERROR(SQRT((SUMSQ('Fats Raw Data'!AP58:AP77)-2*SUMPRODUCT('Fats Raw Data'!AP58:AP77,'Fats Raw Data'!AP59:AP78)+SUMSQ('Fats Raw Data'!AP59:AP78)-('Fats Raw Data'!AP58-'Fats Raw Data'!AP78)^2/20)/19),"")</f>
        <v>0</v>
      </c>
      <c r="CN58">
        <f>IFERROR('Fats Raw Data'!AY58,"")</f>
        <v>0</v>
      </c>
      <c r="CO58">
        <f>IFERROR('Fats Raw Data'!BD58,"")</f>
        <v>0</v>
      </c>
      <c r="CP58">
        <f>IFERROR('Fats Raw Data'!BF58-'Fats Raw Data'!BF59,"")</f>
        <v>0</v>
      </c>
      <c r="CQ58" t="str">
        <f>IFERROR(AVERAGE('Fats Raw Data'!BF58:BF62),"")</f>
        <v/>
      </c>
      <c r="CR58" t="str">
        <f>IFERROR(SUMPRODUCT('Fats Raw Data'!AZ58:AZ77,'Fats Raw Data'!BE58:BE77)/SUM('Fats Raw Data'!BE58:BE77),"")</f>
        <v/>
      </c>
      <c r="CS58">
        <f>IFERROR(SQRT((SUMSQ('Fats Raw Data'!AZ58:AZ77)-2*SUMPRODUCT('Fats Raw Data'!AZ58:AZ77,'Fats Raw Data'!AZ59:AZ78)+SUMSQ('Fats Raw Data'!AZ59:AZ78)-('Fats Raw Data'!AZ58-'Fats Raw Data'!AZ78)^2/20)/19),"")</f>
        <v>0</v>
      </c>
    </row>
    <row r="59" spans="1:97" x14ac:dyDescent="0.25">
      <c r="A59">
        <f>IFERROR('Feeders Raw Data'!A59,"")</f>
        <v>0</v>
      </c>
      <c r="B59">
        <f>IFERROR('Feeders Raw Data'!F59,"")</f>
        <v>0</v>
      </c>
      <c r="C59">
        <f>IFERROR('Feeders Raw Data'!H59-'Feeders Raw Data'!H60,"")</f>
        <v>0</v>
      </c>
      <c r="D59" t="str">
        <f>IFERROR(AVERAGE('Feeders Raw Data'!H59:H63),"")</f>
        <v/>
      </c>
      <c r="E59" t="str">
        <f>IFERROR(SUMPRODUCT('Feeders Raw Data'!B59:B78,'Feeders Raw Data'!G59:G78)/SUM('Feeders Raw Data'!G59:G78),"")</f>
        <v/>
      </c>
      <c r="F59">
        <f>IFERROR(SQRT((SUMSQ('Feeders Raw Data'!B59:B78)-2*SUMPRODUCT('Feeders Raw Data'!B59:B78,'Feeders Raw Data'!B60:B79)+SUMSQ('Feeders Raw Data'!B60:B79)-('Feeders Raw Data'!B59-'Feeders Raw Data'!B79)^2/20)/19),"")</f>
        <v>0</v>
      </c>
      <c r="H59">
        <f>IFERROR('Feeders Raw Data'!K59,"")</f>
        <v>0</v>
      </c>
      <c r="I59">
        <f>IFERROR('Feeders Raw Data'!P59,"")</f>
        <v>0</v>
      </c>
      <c r="J59">
        <f>IFERROR('Feeders Raw Data'!R59-'Feeders Raw Data'!R60,"")</f>
        <v>0</v>
      </c>
      <c r="K59" t="str">
        <f>IFERROR(AVERAGE('Feeders Raw Data'!R59:R63),"")</f>
        <v/>
      </c>
      <c r="L59" t="str">
        <f>IFERROR(SUMPRODUCT('Feeders Raw Data'!L59:L78,'Feeders Raw Data'!Q59:Q78)/SUM('Feeders Raw Data'!Q59:Q78),"")</f>
        <v/>
      </c>
      <c r="M59">
        <f>IFERROR(SQRT((SUMSQ('Feeders Raw Data'!L59:L78)-2*SUMPRODUCT('Feeders Raw Data'!L59:L78,'Feeders Raw Data'!L60:L79)+SUMSQ('Feeders Raw Data'!L60:L79)-('Feeders Raw Data'!L59-'Feeders Raw Data'!L79)^2/20)/19),"")</f>
        <v>0</v>
      </c>
      <c r="O59">
        <f>IFERROR('Feeders Raw Data'!U59,"")</f>
        <v>0</v>
      </c>
      <c r="P59">
        <f>IFERROR('Feeders Raw Data'!Z59,"")</f>
        <v>0</v>
      </c>
      <c r="Q59">
        <f>IFERROR('Feeders Raw Data'!AB59-'Feeders Raw Data'!AB60,"")</f>
        <v>0</v>
      </c>
      <c r="R59" t="str">
        <f>IFERROR(AVERAGE('Feeders Raw Data'!AB59:AB63),"")</f>
        <v/>
      </c>
      <c r="S59" t="str">
        <f>IFERROR(SUMPRODUCT('Feeders Raw Data'!V59:V78,'Feeders Raw Data'!AA59:AA78)/SUM('Feeders Raw Data'!AA59:AA78),"")</f>
        <v/>
      </c>
      <c r="T59">
        <f>IFERROR(SQRT((SUMSQ('Feeders Raw Data'!V59:V78)-2*SUMPRODUCT('Feeders Raw Data'!V59:V78,'Feeders Raw Data'!V60:V79)+SUMSQ('Feeders Raw Data'!V60:V79)-('Feeders Raw Data'!V59-'Feeders Raw Data'!V79)^2/20)/19),"")</f>
        <v>0</v>
      </c>
      <c r="V59">
        <f>IFERROR('Feeders Raw Data'!AE59,"")</f>
        <v>0</v>
      </c>
      <c r="W59">
        <f>IFERROR('Feeders Raw Data'!AJ59,"")</f>
        <v>0</v>
      </c>
      <c r="X59">
        <f>IFERROR('Feeders Raw Data'!AL59-'Feeders Raw Data'!AL60,"")</f>
        <v>0</v>
      </c>
      <c r="Y59" t="str">
        <f>IFERROR(AVERAGE('Feeders Raw Data'!AL59:AL63),"")</f>
        <v/>
      </c>
      <c r="Z59" t="str">
        <f>IFERROR(SUMPRODUCT('Feeders Raw Data'!AF59:AF78,'Feeders Raw Data'!AK59:AK78)/SUM('Feeders Raw Data'!AK59:AK78),"")</f>
        <v/>
      </c>
      <c r="AA59">
        <f>IFERROR(SQRT((SUMSQ('Feeders Raw Data'!AF59:AF78)-2*SUMPRODUCT('Feeders Raw Data'!AF59:AF78,'Feeders Raw Data'!AF60:AF79)+SUMSQ('Feeders Raw Data'!AF60:AF79)-('Feeders Raw Data'!AF59-'Feeders Raw Data'!AF79)^2/20)/19),"")</f>
        <v>0</v>
      </c>
      <c r="AC59">
        <f>IFERROR('Feeders Raw Data'!AO59,"")</f>
        <v>0</v>
      </c>
      <c r="AD59">
        <f>IFERROR('Feeders Raw Data'!AT59,"")</f>
        <v>0</v>
      </c>
      <c r="AE59">
        <f>IFERROR('Feeders Raw Data'!AV59-'Feeders Raw Data'!AV60,"")</f>
        <v>0</v>
      </c>
      <c r="AF59" t="str">
        <f>IFERROR(AVERAGE('Feeders Raw Data'!AV59:AV63),"")</f>
        <v/>
      </c>
      <c r="AG59" t="str">
        <f>IFERROR(SUMPRODUCT('Feeders Raw Data'!AP59:AP78,'Feeders Raw Data'!AU59:AU78)/SUM('Feeders Raw Data'!AU59:AU78),"")</f>
        <v/>
      </c>
      <c r="AH59">
        <f>IFERROR(SQRT((SUMSQ('Feeders Raw Data'!AP59:AP78)-2*SUMPRODUCT('Feeders Raw Data'!AP59:AP78,'Feeders Raw Data'!AP60:AP79)+SUMSQ('Feeders Raw Data'!AP60:AP79)-('Feeders Raw Data'!AP59-'Feeders Raw Data'!AP79)^2/20)/19),"")</f>
        <v>0</v>
      </c>
      <c r="AJ59">
        <f>IFERROR('Feeders Raw Data'!AY59,"")</f>
        <v>0</v>
      </c>
      <c r="AK59">
        <f>IFERROR('Feeders Raw Data'!BD59,"")</f>
        <v>0</v>
      </c>
      <c r="AL59">
        <f>IFERROR('Feeders Raw Data'!BF59-'Feeders Raw Data'!BF60,"")</f>
        <v>0</v>
      </c>
      <c r="AM59" t="str">
        <f>IFERROR(AVERAGE('Feeders Raw Data'!BF59:BF63),"")</f>
        <v/>
      </c>
      <c r="AN59" t="str">
        <f>IFERROR(SUMPRODUCT('Feeders Raw Data'!AZ59:AZ78,'Feeders Raw Data'!BE59:BE78)/SUM('Feeders Raw Data'!BE59:BE78),"")</f>
        <v/>
      </c>
      <c r="AO59">
        <f>IFERROR(SQRT((SUMSQ('Feeders Raw Data'!AZ59:AZ78)-2*SUMPRODUCT('Feeders Raw Data'!AZ59:AZ78,'Feeders Raw Data'!AZ60:AZ79)+SUMSQ('Feeders Raw Data'!AZ60:AZ79)-('Feeders Raw Data'!AZ59-'Feeders Raw Data'!AZ79)^2/20)/19),"")</f>
        <v>0</v>
      </c>
      <c r="AQ59">
        <f>IFERROR('Feeders Raw Data'!BI59,"")</f>
        <v>0</v>
      </c>
      <c r="AR59">
        <f>IFERROR('Feeders Raw Data'!BN59,"")</f>
        <v>0</v>
      </c>
      <c r="AS59">
        <f>IFERROR('Feeders Raw Data'!BP59-'Feeders Raw Data'!BP60,"")</f>
        <v>0</v>
      </c>
      <c r="AT59" t="str">
        <f>IFERROR(AVERAGE('Feeders Raw Data'!BP59:BP63),"")</f>
        <v/>
      </c>
      <c r="AU59" t="str">
        <f>IFERROR(SUMPRODUCT('Feeders Raw Data'!BJ59:BJ78,'Feeders Raw Data'!BO59:BO78)/SUM('Feeders Raw Data'!BO59:BO78),"")</f>
        <v/>
      </c>
      <c r="AV59">
        <f>IFERROR(SQRT((SUMSQ('Feeders Raw Data'!BJ59:BJ78)-2*SUMPRODUCT('Feeders Raw Data'!BJ59:BJ78,'Feeders Raw Data'!BJ60:BJ79)+SUMSQ('Feeders Raw Data'!BJ60:BJ79)-('Feeders Raw Data'!BJ59-'Feeders Raw Data'!BJ79)^2/20)/19),"")</f>
        <v>0</v>
      </c>
      <c r="AX59">
        <f>IFERROR('Feeders Raw Data'!BS59,"")</f>
        <v>0</v>
      </c>
      <c r="AY59">
        <f>IFERROR('Feeders Raw Data'!BX59,"")</f>
        <v>0</v>
      </c>
      <c r="AZ59">
        <f>IFERROR('Feeders Raw Data'!BZ59-'Feeders Raw Data'!BZ60,"")</f>
        <v>0</v>
      </c>
      <c r="BA59" t="str">
        <f>IFERROR(AVERAGE('Feeders Raw Data'!BZ59:BZ63),"")</f>
        <v/>
      </c>
      <c r="BB59" t="str">
        <f>IFERROR(SUMPRODUCT('Feeders Raw Data'!BT59:BT78,'Feeders Raw Data'!BY59:BY78)/SUM('Feeders Raw Data'!BY59:BY78),"")</f>
        <v/>
      </c>
      <c r="BC59">
        <f>IFERROR(SQRT((SUMSQ('Feeders Raw Data'!BT59:BT78)-2*SUMPRODUCT('Feeders Raw Data'!BT59:BT78,'Feeders Raw Data'!BT60:BT79)+SUMSQ('Feeders Raw Data'!BT60:BT79)-('Feeders Raw Data'!BT59-'Feeders Raw Data'!BT79)^2/20)/19),"")</f>
        <v>0</v>
      </c>
      <c r="BE59">
        <f>IFERROR('Fats Raw Data'!A59,"")</f>
        <v>0</v>
      </c>
      <c r="BF59">
        <f>IFERROR('Fats Raw Data'!F59,"")</f>
        <v>0</v>
      </c>
      <c r="BG59">
        <f>IFERROR('Fats Raw Data'!H59-'Fats Raw Data'!H60,"")</f>
        <v>0</v>
      </c>
      <c r="BH59" t="str">
        <f>IFERROR(AVERAGE('Fats Raw Data'!H59:H63),"")</f>
        <v/>
      </c>
      <c r="BI59" t="str">
        <f>IFERROR(SUMPRODUCT('Fats Raw Data'!B59:B78,'Fats Raw Data'!G59:G78)/SUM('Fats Raw Data'!G59:G78),"")</f>
        <v/>
      </c>
      <c r="BJ59">
        <f>IFERROR(SQRT((SUMSQ('Fats Raw Data'!B59:B78)-2*SUMPRODUCT('Fats Raw Data'!B59:B78,'Fats Raw Data'!B60:B79)+SUMSQ('Fats Raw Data'!B60:B79)-('Fats Raw Data'!B59-'Fats Raw Data'!B79)^2/20)/19),"")</f>
        <v>0</v>
      </c>
      <c r="BL59">
        <f>IFERROR('Fats Raw Data'!K59,"")</f>
        <v>0</v>
      </c>
      <c r="BM59">
        <f>IFERROR('Fats Raw Data'!P59,"")</f>
        <v>0</v>
      </c>
      <c r="BN59">
        <f>IFERROR('Fats Raw Data'!R59-'Fats Raw Data'!R60,"")</f>
        <v>0</v>
      </c>
      <c r="BO59" t="str">
        <f>IFERROR(AVERAGE('Fats Raw Data'!R59:R63),"")</f>
        <v/>
      </c>
      <c r="BP59" t="str">
        <f>IFERROR(SUMPRODUCT('Fats Raw Data'!L59:L78,'Fats Raw Data'!Q59:Q78)/SUM('Fats Raw Data'!Q59:Q78),"")</f>
        <v/>
      </c>
      <c r="BQ59">
        <f>IFERROR(SQRT((SUMSQ('Fats Raw Data'!L59:L78)-2*SUMPRODUCT('Fats Raw Data'!L59:L78,'Fats Raw Data'!L60:L79)+SUMSQ('Fats Raw Data'!L60:L79)-('Fats Raw Data'!L59-'Fats Raw Data'!L79)^2/20)/19),"")</f>
        <v>0</v>
      </c>
      <c r="BS59">
        <f>IFERROR('Fats Raw Data'!U59,"")</f>
        <v>0</v>
      </c>
      <c r="BT59">
        <f>IFERROR('Fats Raw Data'!Z59,"")</f>
        <v>0</v>
      </c>
      <c r="BU59">
        <f>IFERROR('Fats Raw Data'!AB59-'Fats Raw Data'!AB60,"")</f>
        <v>0</v>
      </c>
      <c r="BV59" t="str">
        <f>IFERROR(AVERAGE('Fats Raw Data'!AB59:AB63),"")</f>
        <v/>
      </c>
      <c r="BW59" t="str">
        <f>IFERROR(SUMPRODUCT('Fats Raw Data'!V59:V78,'Fats Raw Data'!AA59:AA78)/SUM('Fats Raw Data'!AA59:AA78),"")</f>
        <v/>
      </c>
      <c r="BX59">
        <f>IFERROR(SQRT((SUMSQ('Fats Raw Data'!V59:V78)-2*SUMPRODUCT('Fats Raw Data'!V59:V78,'Fats Raw Data'!V60:V79)+SUMSQ('Fats Raw Data'!V60:V79)-('Fats Raw Data'!V59-'Fats Raw Data'!V79)^2/20)/19),"")</f>
        <v>0</v>
      </c>
      <c r="BZ59">
        <f>IFERROR('Fats Raw Data'!AE59,"")</f>
        <v>0</v>
      </c>
      <c r="CA59">
        <f>IFERROR('Fats Raw Data'!AJ59,"")</f>
        <v>0</v>
      </c>
      <c r="CB59">
        <f>IFERROR('Fats Raw Data'!AL59-'Fats Raw Data'!AL60,"")</f>
        <v>0</v>
      </c>
      <c r="CC59" t="str">
        <f>IFERROR(AVERAGE('Fats Raw Data'!AL59:AL63),"")</f>
        <v/>
      </c>
      <c r="CD59" t="str">
        <f>IFERROR(SUMPRODUCT('Fats Raw Data'!AF59:AF78,'Fats Raw Data'!AK59:AK78)/SUM('Fats Raw Data'!AK59:AK78),"")</f>
        <v/>
      </c>
      <c r="CE59">
        <f>IFERROR(SQRT((SUMSQ('Fats Raw Data'!AF59:AF78)-2*SUMPRODUCT('Fats Raw Data'!AF59:AF78,'Fats Raw Data'!AF60:AF79)+SUMSQ('Fats Raw Data'!AF60:AF79)-('Fats Raw Data'!AF59-'Fats Raw Data'!AF79)^2/20)/19),"")</f>
        <v>0</v>
      </c>
      <c r="CG59">
        <f>IFERROR('Fats Raw Data'!AO59,"")</f>
        <v>0</v>
      </c>
      <c r="CH59">
        <f>IFERROR('Fats Raw Data'!AT59,"")</f>
        <v>0</v>
      </c>
      <c r="CI59">
        <f>IFERROR('Fats Raw Data'!AV59-'Fats Raw Data'!AV60,"")</f>
        <v>0</v>
      </c>
      <c r="CJ59" t="str">
        <f>IFERROR(AVERAGE('Fats Raw Data'!AV59:AV63),"")</f>
        <v/>
      </c>
      <c r="CK59" t="str">
        <f>IFERROR(SUMPRODUCT('Fats Raw Data'!AP59:AP78,'Fats Raw Data'!AU59:AU78)/SUM('Fats Raw Data'!AU59:AU78),"")</f>
        <v/>
      </c>
      <c r="CL59">
        <f>IFERROR(SQRT((SUMSQ('Fats Raw Data'!AP59:AP78)-2*SUMPRODUCT('Fats Raw Data'!AP59:AP78,'Fats Raw Data'!AP60:AP79)+SUMSQ('Fats Raw Data'!AP60:AP79)-('Fats Raw Data'!AP59-'Fats Raw Data'!AP79)^2/20)/19),"")</f>
        <v>0</v>
      </c>
      <c r="CN59">
        <f>IFERROR('Fats Raw Data'!AY59,"")</f>
        <v>0</v>
      </c>
      <c r="CO59">
        <f>IFERROR('Fats Raw Data'!BD59,"")</f>
        <v>0</v>
      </c>
      <c r="CP59">
        <f>IFERROR('Fats Raw Data'!BF59-'Fats Raw Data'!BF60,"")</f>
        <v>0</v>
      </c>
      <c r="CQ59" t="str">
        <f>IFERROR(AVERAGE('Fats Raw Data'!BF59:BF63),"")</f>
        <v/>
      </c>
      <c r="CR59" t="str">
        <f>IFERROR(SUMPRODUCT('Fats Raw Data'!AZ59:AZ78,'Fats Raw Data'!BE59:BE78)/SUM('Fats Raw Data'!BE59:BE78),"")</f>
        <v/>
      </c>
      <c r="CS59">
        <f>IFERROR(SQRT((SUMSQ('Fats Raw Data'!AZ59:AZ78)-2*SUMPRODUCT('Fats Raw Data'!AZ59:AZ78,'Fats Raw Data'!AZ60:AZ79)+SUMSQ('Fats Raw Data'!AZ60:AZ79)-('Fats Raw Data'!AZ59-'Fats Raw Data'!AZ79)^2/20)/19),"")</f>
        <v>0</v>
      </c>
    </row>
    <row r="60" spans="1:97" x14ac:dyDescent="0.25">
      <c r="A60">
        <f>IFERROR('Feeders Raw Data'!A60,"")</f>
        <v>0</v>
      </c>
      <c r="B60">
        <f>IFERROR('Feeders Raw Data'!F60,"")</f>
        <v>0</v>
      </c>
      <c r="C60">
        <f>IFERROR('Feeders Raw Data'!H60-'Feeders Raw Data'!H61,"")</f>
        <v>0</v>
      </c>
      <c r="D60" t="str">
        <f>IFERROR(AVERAGE('Feeders Raw Data'!H60:H64),"")</f>
        <v/>
      </c>
      <c r="E60" t="str">
        <f>IFERROR(SUMPRODUCT('Feeders Raw Data'!B60:B79,'Feeders Raw Data'!G60:G79)/SUM('Feeders Raw Data'!G60:G79),"")</f>
        <v/>
      </c>
      <c r="F60">
        <f>IFERROR(SQRT((SUMSQ('Feeders Raw Data'!B60:B79)-2*SUMPRODUCT('Feeders Raw Data'!B60:B79,'Feeders Raw Data'!B61:B80)+SUMSQ('Feeders Raw Data'!B61:B80)-('Feeders Raw Data'!B60-'Feeders Raw Data'!B80)^2/20)/19),"")</f>
        <v>0</v>
      </c>
      <c r="H60">
        <f>IFERROR('Feeders Raw Data'!K60,"")</f>
        <v>0</v>
      </c>
      <c r="I60">
        <f>IFERROR('Feeders Raw Data'!P60,"")</f>
        <v>0</v>
      </c>
      <c r="J60">
        <f>IFERROR('Feeders Raw Data'!R60-'Feeders Raw Data'!R61,"")</f>
        <v>0</v>
      </c>
      <c r="K60" t="str">
        <f>IFERROR(AVERAGE('Feeders Raw Data'!R60:R64),"")</f>
        <v/>
      </c>
      <c r="L60" t="str">
        <f>IFERROR(SUMPRODUCT('Feeders Raw Data'!L60:L79,'Feeders Raw Data'!Q60:Q79)/SUM('Feeders Raw Data'!Q60:Q79),"")</f>
        <v/>
      </c>
      <c r="M60">
        <f>IFERROR(SQRT((SUMSQ('Feeders Raw Data'!L60:L79)-2*SUMPRODUCT('Feeders Raw Data'!L60:L79,'Feeders Raw Data'!L61:L80)+SUMSQ('Feeders Raw Data'!L61:L80)-('Feeders Raw Data'!L60-'Feeders Raw Data'!L80)^2/20)/19),"")</f>
        <v>0</v>
      </c>
      <c r="O60">
        <f>IFERROR('Feeders Raw Data'!U60,"")</f>
        <v>0</v>
      </c>
      <c r="P60">
        <f>IFERROR('Feeders Raw Data'!Z60,"")</f>
        <v>0</v>
      </c>
      <c r="Q60">
        <f>IFERROR('Feeders Raw Data'!AB60-'Feeders Raw Data'!AB61,"")</f>
        <v>0</v>
      </c>
      <c r="R60" t="str">
        <f>IFERROR(AVERAGE('Feeders Raw Data'!AB60:AB64),"")</f>
        <v/>
      </c>
      <c r="S60" t="str">
        <f>IFERROR(SUMPRODUCT('Feeders Raw Data'!V60:V79,'Feeders Raw Data'!AA60:AA79)/SUM('Feeders Raw Data'!AA60:AA79),"")</f>
        <v/>
      </c>
      <c r="T60">
        <f>IFERROR(SQRT((SUMSQ('Feeders Raw Data'!V60:V79)-2*SUMPRODUCT('Feeders Raw Data'!V60:V79,'Feeders Raw Data'!V61:V80)+SUMSQ('Feeders Raw Data'!V61:V80)-('Feeders Raw Data'!V60-'Feeders Raw Data'!V80)^2/20)/19),"")</f>
        <v>0</v>
      </c>
      <c r="V60">
        <f>IFERROR('Feeders Raw Data'!AE60,"")</f>
        <v>0</v>
      </c>
      <c r="W60">
        <f>IFERROR('Feeders Raw Data'!AJ60,"")</f>
        <v>0</v>
      </c>
      <c r="X60">
        <f>IFERROR('Feeders Raw Data'!AL60-'Feeders Raw Data'!AL61,"")</f>
        <v>0</v>
      </c>
      <c r="Y60" t="str">
        <f>IFERROR(AVERAGE('Feeders Raw Data'!AL60:AL64),"")</f>
        <v/>
      </c>
      <c r="Z60" t="str">
        <f>IFERROR(SUMPRODUCT('Feeders Raw Data'!AF60:AF79,'Feeders Raw Data'!AK60:AK79)/SUM('Feeders Raw Data'!AK60:AK79),"")</f>
        <v/>
      </c>
      <c r="AA60">
        <f>IFERROR(SQRT((SUMSQ('Feeders Raw Data'!AF60:AF79)-2*SUMPRODUCT('Feeders Raw Data'!AF60:AF79,'Feeders Raw Data'!AF61:AF80)+SUMSQ('Feeders Raw Data'!AF61:AF80)-('Feeders Raw Data'!AF60-'Feeders Raw Data'!AF80)^2/20)/19),"")</f>
        <v>0</v>
      </c>
      <c r="AC60">
        <f>IFERROR('Feeders Raw Data'!AO60,"")</f>
        <v>0</v>
      </c>
      <c r="AD60">
        <f>IFERROR('Feeders Raw Data'!AT60,"")</f>
        <v>0</v>
      </c>
      <c r="AE60">
        <f>IFERROR('Feeders Raw Data'!AV60-'Feeders Raw Data'!AV61,"")</f>
        <v>0</v>
      </c>
      <c r="AF60" t="str">
        <f>IFERROR(AVERAGE('Feeders Raw Data'!AV60:AV64),"")</f>
        <v/>
      </c>
      <c r="AG60" t="str">
        <f>IFERROR(SUMPRODUCT('Feeders Raw Data'!AP60:AP79,'Feeders Raw Data'!AU60:AU79)/SUM('Feeders Raw Data'!AU60:AU79),"")</f>
        <v/>
      </c>
      <c r="AH60">
        <f>IFERROR(SQRT((SUMSQ('Feeders Raw Data'!AP60:AP79)-2*SUMPRODUCT('Feeders Raw Data'!AP60:AP79,'Feeders Raw Data'!AP61:AP80)+SUMSQ('Feeders Raw Data'!AP61:AP80)-('Feeders Raw Data'!AP60-'Feeders Raw Data'!AP80)^2/20)/19),"")</f>
        <v>0</v>
      </c>
      <c r="AJ60">
        <f>IFERROR('Feeders Raw Data'!AY60,"")</f>
        <v>0</v>
      </c>
      <c r="AK60">
        <f>IFERROR('Feeders Raw Data'!BD60,"")</f>
        <v>0</v>
      </c>
      <c r="AL60">
        <f>IFERROR('Feeders Raw Data'!BF60-'Feeders Raw Data'!BF61,"")</f>
        <v>0</v>
      </c>
      <c r="AM60" t="str">
        <f>IFERROR(AVERAGE('Feeders Raw Data'!BF60:BF64),"")</f>
        <v/>
      </c>
      <c r="AN60" t="str">
        <f>IFERROR(SUMPRODUCT('Feeders Raw Data'!AZ60:AZ79,'Feeders Raw Data'!BE60:BE79)/SUM('Feeders Raw Data'!BE60:BE79),"")</f>
        <v/>
      </c>
      <c r="AO60">
        <f>IFERROR(SQRT((SUMSQ('Feeders Raw Data'!AZ60:AZ79)-2*SUMPRODUCT('Feeders Raw Data'!AZ60:AZ79,'Feeders Raw Data'!AZ61:AZ80)+SUMSQ('Feeders Raw Data'!AZ61:AZ80)-('Feeders Raw Data'!AZ60-'Feeders Raw Data'!AZ80)^2/20)/19),"")</f>
        <v>0</v>
      </c>
      <c r="AQ60">
        <f>IFERROR('Feeders Raw Data'!BI60,"")</f>
        <v>0</v>
      </c>
      <c r="AR60">
        <f>IFERROR('Feeders Raw Data'!BN60,"")</f>
        <v>0</v>
      </c>
      <c r="AS60">
        <f>IFERROR('Feeders Raw Data'!BP60-'Feeders Raw Data'!BP61,"")</f>
        <v>0</v>
      </c>
      <c r="AT60" t="str">
        <f>IFERROR(AVERAGE('Feeders Raw Data'!BP60:BP64),"")</f>
        <v/>
      </c>
      <c r="AU60" t="str">
        <f>IFERROR(SUMPRODUCT('Feeders Raw Data'!BJ60:BJ79,'Feeders Raw Data'!BO60:BO79)/SUM('Feeders Raw Data'!BO60:BO79),"")</f>
        <v/>
      </c>
      <c r="AV60">
        <f>IFERROR(SQRT((SUMSQ('Feeders Raw Data'!BJ60:BJ79)-2*SUMPRODUCT('Feeders Raw Data'!BJ60:BJ79,'Feeders Raw Data'!BJ61:BJ80)+SUMSQ('Feeders Raw Data'!BJ61:BJ80)-('Feeders Raw Data'!BJ60-'Feeders Raw Data'!BJ80)^2/20)/19),"")</f>
        <v>0</v>
      </c>
      <c r="AX60">
        <f>IFERROR('Feeders Raw Data'!BS60,"")</f>
        <v>0</v>
      </c>
      <c r="AY60">
        <f>IFERROR('Feeders Raw Data'!BX60,"")</f>
        <v>0</v>
      </c>
      <c r="AZ60">
        <f>IFERROR('Feeders Raw Data'!BZ60-'Feeders Raw Data'!BZ61,"")</f>
        <v>0</v>
      </c>
      <c r="BA60" t="str">
        <f>IFERROR(AVERAGE('Feeders Raw Data'!BZ60:BZ64),"")</f>
        <v/>
      </c>
      <c r="BB60" t="str">
        <f>IFERROR(SUMPRODUCT('Feeders Raw Data'!BT60:BT79,'Feeders Raw Data'!BY60:BY79)/SUM('Feeders Raw Data'!BY60:BY79),"")</f>
        <v/>
      </c>
      <c r="BC60">
        <f>IFERROR(SQRT((SUMSQ('Feeders Raw Data'!BT60:BT79)-2*SUMPRODUCT('Feeders Raw Data'!BT60:BT79,'Feeders Raw Data'!BT61:BT80)+SUMSQ('Feeders Raw Data'!BT61:BT80)-('Feeders Raw Data'!BT60-'Feeders Raw Data'!BT80)^2/20)/19),"")</f>
        <v>0</v>
      </c>
      <c r="BE60">
        <f>IFERROR('Fats Raw Data'!A60,"")</f>
        <v>0</v>
      </c>
      <c r="BF60">
        <f>IFERROR('Fats Raw Data'!F60,"")</f>
        <v>0</v>
      </c>
      <c r="BG60">
        <f>IFERROR('Fats Raw Data'!H60-'Fats Raw Data'!H61,"")</f>
        <v>0</v>
      </c>
      <c r="BH60" t="str">
        <f>IFERROR(AVERAGE('Fats Raw Data'!H60:H64),"")</f>
        <v/>
      </c>
      <c r="BI60" t="str">
        <f>IFERROR(SUMPRODUCT('Fats Raw Data'!B60:B79,'Fats Raw Data'!G60:G79)/SUM('Fats Raw Data'!G60:G79),"")</f>
        <v/>
      </c>
      <c r="BJ60">
        <f>IFERROR(SQRT((SUMSQ('Fats Raw Data'!B60:B79)-2*SUMPRODUCT('Fats Raw Data'!B60:B79,'Fats Raw Data'!B61:B80)+SUMSQ('Fats Raw Data'!B61:B80)-('Fats Raw Data'!B60-'Fats Raw Data'!B80)^2/20)/19),"")</f>
        <v>0</v>
      </c>
      <c r="BL60">
        <f>IFERROR('Fats Raw Data'!K60,"")</f>
        <v>0</v>
      </c>
      <c r="BM60">
        <f>IFERROR('Fats Raw Data'!P60,"")</f>
        <v>0</v>
      </c>
      <c r="BN60">
        <f>IFERROR('Fats Raw Data'!R60-'Fats Raw Data'!R61,"")</f>
        <v>0</v>
      </c>
      <c r="BO60" t="str">
        <f>IFERROR(AVERAGE('Fats Raw Data'!R60:R64),"")</f>
        <v/>
      </c>
      <c r="BP60" t="str">
        <f>IFERROR(SUMPRODUCT('Fats Raw Data'!L60:L79,'Fats Raw Data'!Q60:Q79)/SUM('Fats Raw Data'!Q60:Q79),"")</f>
        <v/>
      </c>
      <c r="BQ60">
        <f>IFERROR(SQRT((SUMSQ('Fats Raw Data'!L60:L79)-2*SUMPRODUCT('Fats Raw Data'!L60:L79,'Fats Raw Data'!L61:L80)+SUMSQ('Fats Raw Data'!L61:L80)-('Fats Raw Data'!L60-'Fats Raw Data'!L80)^2/20)/19),"")</f>
        <v>0</v>
      </c>
      <c r="BS60">
        <f>IFERROR('Fats Raw Data'!U60,"")</f>
        <v>0</v>
      </c>
      <c r="BT60">
        <f>IFERROR('Fats Raw Data'!Z60,"")</f>
        <v>0</v>
      </c>
      <c r="BU60">
        <f>IFERROR('Fats Raw Data'!AB60-'Fats Raw Data'!AB61,"")</f>
        <v>0</v>
      </c>
      <c r="BV60" t="str">
        <f>IFERROR(AVERAGE('Fats Raw Data'!AB60:AB64),"")</f>
        <v/>
      </c>
      <c r="BW60" t="str">
        <f>IFERROR(SUMPRODUCT('Fats Raw Data'!V60:V79,'Fats Raw Data'!AA60:AA79)/SUM('Fats Raw Data'!AA60:AA79),"")</f>
        <v/>
      </c>
      <c r="BX60">
        <f>IFERROR(SQRT((SUMSQ('Fats Raw Data'!V60:V79)-2*SUMPRODUCT('Fats Raw Data'!V60:V79,'Fats Raw Data'!V61:V80)+SUMSQ('Fats Raw Data'!V61:V80)-('Fats Raw Data'!V60-'Fats Raw Data'!V80)^2/20)/19),"")</f>
        <v>0</v>
      </c>
      <c r="BZ60">
        <f>IFERROR('Fats Raw Data'!AE60,"")</f>
        <v>0</v>
      </c>
      <c r="CA60">
        <f>IFERROR('Fats Raw Data'!AJ60,"")</f>
        <v>0</v>
      </c>
      <c r="CB60">
        <f>IFERROR('Fats Raw Data'!AL60-'Fats Raw Data'!AL61,"")</f>
        <v>0</v>
      </c>
      <c r="CC60" t="str">
        <f>IFERROR(AVERAGE('Fats Raw Data'!AL60:AL64),"")</f>
        <v/>
      </c>
      <c r="CD60" t="str">
        <f>IFERROR(SUMPRODUCT('Fats Raw Data'!AF60:AF79,'Fats Raw Data'!AK60:AK79)/SUM('Fats Raw Data'!AK60:AK79),"")</f>
        <v/>
      </c>
      <c r="CE60">
        <f>IFERROR(SQRT((SUMSQ('Fats Raw Data'!AF60:AF79)-2*SUMPRODUCT('Fats Raw Data'!AF60:AF79,'Fats Raw Data'!AF61:AF80)+SUMSQ('Fats Raw Data'!AF61:AF80)-('Fats Raw Data'!AF60-'Fats Raw Data'!AF80)^2/20)/19),"")</f>
        <v>0</v>
      </c>
      <c r="CG60">
        <f>IFERROR('Fats Raw Data'!AO60,"")</f>
        <v>0</v>
      </c>
      <c r="CH60">
        <f>IFERROR('Fats Raw Data'!AT60,"")</f>
        <v>0</v>
      </c>
      <c r="CI60">
        <f>IFERROR('Fats Raw Data'!AV60-'Fats Raw Data'!AV61,"")</f>
        <v>0</v>
      </c>
      <c r="CJ60" t="str">
        <f>IFERROR(AVERAGE('Fats Raw Data'!AV60:AV64),"")</f>
        <v/>
      </c>
      <c r="CK60" t="str">
        <f>IFERROR(SUMPRODUCT('Fats Raw Data'!AP60:AP79,'Fats Raw Data'!AU60:AU79)/SUM('Fats Raw Data'!AU60:AU79),"")</f>
        <v/>
      </c>
      <c r="CL60">
        <f>IFERROR(SQRT((SUMSQ('Fats Raw Data'!AP60:AP79)-2*SUMPRODUCT('Fats Raw Data'!AP60:AP79,'Fats Raw Data'!AP61:AP80)+SUMSQ('Fats Raw Data'!AP61:AP80)-('Fats Raw Data'!AP60-'Fats Raw Data'!AP80)^2/20)/19),"")</f>
        <v>0</v>
      </c>
      <c r="CN60">
        <f>IFERROR('Fats Raw Data'!AY60,"")</f>
        <v>0</v>
      </c>
      <c r="CO60">
        <f>IFERROR('Fats Raw Data'!BD60,"")</f>
        <v>0</v>
      </c>
      <c r="CP60">
        <f>IFERROR('Fats Raw Data'!BF60-'Fats Raw Data'!BF61,"")</f>
        <v>0</v>
      </c>
      <c r="CQ60" t="str">
        <f>IFERROR(AVERAGE('Fats Raw Data'!BF60:BF64),"")</f>
        <v/>
      </c>
      <c r="CR60" t="str">
        <f>IFERROR(SUMPRODUCT('Fats Raw Data'!AZ60:AZ79,'Fats Raw Data'!BE60:BE79)/SUM('Fats Raw Data'!BE60:BE79),"")</f>
        <v/>
      </c>
      <c r="CS60">
        <f>IFERROR(SQRT((SUMSQ('Fats Raw Data'!AZ60:AZ79)-2*SUMPRODUCT('Fats Raw Data'!AZ60:AZ79,'Fats Raw Data'!AZ61:AZ80)+SUMSQ('Fats Raw Data'!AZ61:AZ80)-('Fats Raw Data'!AZ60-'Fats Raw Data'!AZ80)^2/20)/19),"")</f>
        <v>0</v>
      </c>
    </row>
    <row r="61" spans="1:97" x14ac:dyDescent="0.25">
      <c r="A61">
        <f>IFERROR('Feeders Raw Data'!A61,"")</f>
        <v>0</v>
      </c>
      <c r="B61">
        <f>IFERROR('Feeders Raw Data'!F61,"")</f>
        <v>0</v>
      </c>
      <c r="C61">
        <f>IFERROR('Feeders Raw Data'!H61-'Feeders Raw Data'!H62,"")</f>
        <v>0</v>
      </c>
      <c r="D61" t="str">
        <f>IFERROR(AVERAGE('Feeders Raw Data'!H61:H65),"")</f>
        <v/>
      </c>
      <c r="E61" t="str">
        <f>IFERROR(SUMPRODUCT('Feeders Raw Data'!B61:B80,'Feeders Raw Data'!G61:G80)/SUM('Feeders Raw Data'!G61:G80),"")</f>
        <v/>
      </c>
      <c r="F61">
        <f>IFERROR(SQRT((SUMSQ('Feeders Raw Data'!B61:B80)-2*SUMPRODUCT('Feeders Raw Data'!B61:B80,'Feeders Raw Data'!B62:B81)+SUMSQ('Feeders Raw Data'!B62:B81)-('Feeders Raw Data'!B61-'Feeders Raw Data'!B81)^2/20)/19),"")</f>
        <v>0</v>
      </c>
      <c r="H61">
        <f>IFERROR('Feeders Raw Data'!K61,"")</f>
        <v>0</v>
      </c>
      <c r="I61">
        <f>IFERROR('Feeders Raw Data'!P61,"")</f>
        <v>0</v>
      </c>
      <c r="J61">
        <f>IFERROR('Feeders Raw Data'!R61-'Feeders Raw Data'!R62,"")</f>
        <v>0</v>
      </c>
      <c r="K61" t="str">
        <f>IFERROR(AVERAGE('Feeders Raw Data'!R61:R65),"")</f>
        <v/>
      </c>
      <c r="L61" t="str">
        <f>IFERROR(SUMPRODUCT('Feeders Raw Data'!L61:L80,'Feeders Raw Data'!Q61:Q80)/SUM('Feeders Raw Data'!Q61:Q80),"")</f>
        <v/>
      </c>
      <c r="M61">
        <f>IFERROR(SQRT((SUMSQ('Feeders Raw Data'!L61:L80)-2*SUMPRODUCT('Feeders Raw Data'!L61:L80,'Feeders Raw Data'!L62:L81)+SUMSQ('Feeders Raw Data'!L62:L81)-('Feeders Raw Data'!L61-'Feeders Raw Data'!L81)^2/20)/19),"")</f>
        <v>0</v>
      </c>
      <c r="O61">
        <f>IFERROR('Feeders Raw Data'!U61,"")</f>
        <v>0</v>
      </c>
      <c r="P61">
        <f>IFERROR('Feeders Raw Data'!Z61,"")</f>
        <v>0</v>
      </c>
      <c r="Q61">
        <f>IFERROR('Feeders Raw Data'!AB61-'Feeders Raw Data'!AB62,"")</f>
        <v>0</v>
      </c>
      <c r="R61" t="str">
        <f>IFERROR(AVERAGE('Feeders Raw Data'!AB61:AB65),"")</f>
        <v/>
      </c>
      <c r="S61" t="str">
        <f>IFERROR(SUMPRODUCT('Feeders Raw Data'!V61:V80,'Feeders Raw Data'!AA61:AA80)/SUM('Feeders Raw Data'!AA61:AA80),"")</f>
        <v/>
      </c>
      <c r="T61">
        <f>IFERROR(SQRT((SUMSQ('Feeders Raw Data'!V61:V80)-2*SUMPRODUCT('Feeders Raw Data'!V61:V80,'Feeders Raw Data'!V62:V81)+SUMSQ('Feeders Raw Data'!V62:V81)-('Feeders Raw Data'!V61-'Feeders Raw Data'!V81)^2/20)/19),"")</f>
        <v>0</v>
      </c>
      <c r="V61">
        <f>IFERROR('Feeders Raw Data'!AE61,"")</f>
        <v>0</v>
      </c>
      <c r="W61">
        <f>IFERROR('Feeders Raw Data'!AJ61,"")</f>
        <v>0</v>
      </c>
      <c r="X61">
        <f>IFERROR('Feeders Raw Data'!AL61-'Feeders Raw Data'!AL62,"")</f>
        <v>0</v>
      </c>
      <c r="Y61" t="str">
        <f>IFERROR(AVERAGE('Feeders Raw Data'!AL61:AL65),"")</f>
        <v/>
      </c>
      <c r="Z61" t="str">
        <f>IFERROR(SUMPRODUCT('Feeders Raw Data'!AF61:AF80,'Feeders Raw Data'!AK61:AK80)/SUM('Feeders Raw Data'!AK61:AK80),"")</f>
        <v/>
      </c>
      <c r="AA61">
        <f>IFERROR(SQRT((SUMSQ('Feeders Raw Data'!AF61:AF80)-2*SUMPRODUCT('Feeders Raw Data'!AF61:AF80,'Feeders Raw Data'!AF62:AF81)+SUMSQ('Feeders Raw Data'!AF62:AF81)-('Feeders Raw Data'!AF61-'Feeders Raw Data'!AF81)^2/20)/19),"")</f>
        <v>0</v>
      </c>
      <c r="AC61">
        <f>IFERROR('Feeders Raw Data'!AO61,"")</f>
        <v>0</v>
      </c>
      <c r="AD61">
        <f>IFERROR('Feeders Raw Data'!AT61,"")</f>
        <v>0</v>
      </c>
      <c r="AE61">
        <f>IFERROR('Feeders Raw Data'!AV61-'Feeders Raw Data'!AV62,"")</f>
        <v>0</v>
      </c>
      <c r="AF61" t="str">
        <f>IFERROR(AVERAGE('Feeders Raw Data'!AV61:AV65),"")</f>
        <v/>
      </c>
      <c r="AG61" t="str">
        <f>IFERROR(SUMPRODUCT('Feeders Raw Data'!AP61:AP80,'Feeders Raw Data'!AU61:AU80)/SUM('Feeders Raw Data'!AU61:AU80),"")</f>
        <v/>
      </c>
      <c r="AH61">
        <f>IFERROR(SQRT((SUMSQ('Feeders Raw Data'!AP61:AP80)-2*SUMPRODUCT('Feeders Raw Data'!AP61:AP80,'Feeders Raw Data'!AP62:AP81)+SUMSQ('Feeders Raw Data'!AP62:AP81)-('Feeders Raw Data'!AP61-'Feeders Raw Data'!AP81)^2/20)/19),"")</f>
        <v>0</v>
      </c>
      <c r="AJ61">
        <f>IFERROR('Feeders Raw Data'!AY61,"")</f>
        <v>0</v>
      </c>
      <c r="AK61">
        <f>IFERROR('Feeders Raw Data'!BD61,"")</f>
        <v>0</v>
      </c>
      <c r="AL61">
        <f>IFERROR('Feeders Raw Data'!BF61-'Feeders Raw Data'!BF62,"")</f>
        <v>0</v>
      </c>
      <c r="AM61" t="str">
        <f>IFERROR(AVERAGE('Feeders Raw Data'!BF61:BF65),"")</f>
        <v/>
      </c>
      <c r="AN61" t="str">
        <f>IFERROR(SUMPRODUCT('Feeders Raw Data'!AZ61:AZ80,'Feeders Raw Data'!BE61:BE80)/SUM('Feeders Raw Data'!BE61:BE80),"")</f>
        <v/>
      </c>
      <c r="AO61">
        <f>IFERROR(SQRT((SUMSQ('Feeders Raw Data'!AZ61:AZ80)-2*SUMPRODUCT('Feeders Raw Data'!AZ61:AZ80,'Feeders Raw Data'!AZ62:AZ81)+SUMSQ('Feeders Raw Data'!AZ62:AZ81)-('Feeders Raw Data'!AZ61-'Feeders Raw Data'!AZ81)^2/20)/19),"")</f>
        <v>0</v>
      </c>
      <c r="AQ61">
        <f>IFERROR('Feeders Raw Data'!BI61,"")</f>
        <v>0</v>
      </c>
      <c r="AR61">
        <f>IFERROR('Feeders Raw Data'!BN61,"")</f>
        <v>0</v>
      </c>
      <c r="AS61">
        <f>IFERROR('Feeders Raw Data'!BP61-'Feeders Raw Data'!BP62,"")</f>
        <v>0</v>
      </c>
      <c r="AT61" t="str">
        <f>IFERROR(AVERAGE('Feeders Raw Data'!BP61:BP65),"")</f>
        <v/>
      </c>
      <c r="AU61" t="str">
        <f>IFERROR(SUMPRODUCT('Feeders Raw Data'!BJ61:BJ80,'Feeders Raw Data'!BO61:BO80)/SUM('Feeders Raw Data'!BO61:BO80),"")</f>
        <v/>
      </c>
      <c r="AV61">
        <f>IFERROR(SQRT((SUMSQ('Feeders Raw Data'!BJ61:BJ80)-2*SUMPRODUCT('Feeders Raw Data'!BJ61:BJ80,'Feeders Raw Data'!BJ62:BJ81)+SUMSQ('Feeders Raw Data'!BJ62:BJ81)-('Feeders Raw Data'!BJ61-'Feeders Raw Data'!BJ81)^2/20)/19),"")</f>
        <v>0</v>
      </c>
      <c r="AX61">
        <f>IFERROR('Feeders Raw Data'!BS61,"")</f>
        <v>0</v>
      </c>
      <c r="AY61">
        <f>IFERROR('Feeders Raw Data'!BX61,"")</f>
        <v>0</v>
      </c>
      <c r="AZ61">
        <f>IFERROR('Feeders Raw Data'!BZ61-'Feeders Raw Data'!BZ62,"")</f>
        <v>0</v>
      </c>
      <c r="BA61" t="str">
        <f>IFERROR(AVERAGE('Feeders Raw Data'!BZ61:BZ65),"")</f>
        <v/>
      </c>
      <c r="BB61" t="str">
        <f>IFERROR(SUMPRODUCT('Feeders Raw Data'!BT61:BT80,'Feeders Raw Data'!BY61:BY80)/SUM('Feeders Raw Data'!BY61:BY80),"")</f>
        <v/>
      </c>
      <c r="BC61">
        <f>IFERROR(SQRT((SUMSQ('Feeders Raw Data'!BT61:BT80)-2*SUMPRODUCT('Feeders Raw Data'!BT61:BT80,'Feeders Raw Data'!BT62:BT81)+SUMSQ('Feeders Raw Data'!BT62:BT81)-('Feeders Raw Data'!BT61-'Feeders Raw Data'!BT81)^2/20)/19),"")</f>
        <v>0</v>
      </c>
      <c r="BE61">
        <f>IFERROR('Fats Raw Data'!A61,"")</f>
        <v>0</v>
      </c>
      <c r="BF61">
        <f>IFERROR('Fats Raw Data'!F61,"")</f>
        <v>0</v>
      </c>
      <c r="BG61">
        <f>IFERROR('Fats Raw Data'!H61-'Fats Raw Data'!H62,"")</f>
        <v>0</v>
      </c>
      <c r="BH61" t="str">
        <f>IFERROR(AVERAGE('Fats Raw Data'!H61:H65),"")</f>
        <v/>
      </c>
      <c r="BI61" t="str">
        <f>IFERROR(SUMPRODUCT('Fats Raw Data'!B61:B80,'Fats Raw Data'!G61:G80)/SUM('Fats Raw Data'!G61:G80),"")</f>
        <v/>
      </c>
      <c r="BJ61">
        <f>IFERROR(SQRT((SUMSQ('Fats Raw Data'!B61:B80)-2*SUMPRODUCT('Fats Raw Data'!B61:B80,'Fats Raw Data'!B62:B81)+SUMSQ('Fats Raw Data'!B62:B81)-('Fats Raw Data'!B61-'Fats Raw Data'!B81)^2/20)/19),"")</f>
        <v>0</v>
      </c>
      <c r="BL61">
        <f>IFERROR('Fats Raw Data'!K61,"")</f>
        <v>0</v>
      </c>
      <c r="BM61">
        <f>IFERROR('Fats Raw Data'!P61,"")</f>
        <v>0</v>
      </c>
      <c r="BN61">
        <f>IFERROR('Fats Raw Data'!R61-'Fats Raw Data'!R62,"")</f>
        <v>0</v>
      </c>
      <c r="BO61" t="str">
        <f>IFERROR(AVERAGE('Fats Raw Data'!R61:R65),"")</f>
        <v/>
      </c>
      <c r="BP61" t="str">
        <f>IFERROR(SUMPRODUCT('Fats Raw Data'!L61:L80,'Fats Raw Data'!Q61:Q80)/SUM('Fats Raw Data'!Q61:Q80),"")</f>
        <v/>
      </c>
      <c r="BQ61">
        <f>IFERROR(SQRT((SUMSQ('Fats Raw Data'!L61:L80)-2*SUMPRODUCT('Fats Raw Data'!L61:L80,'Fats Raw Data'!L62:L81)+SUMSQ('Fats Raw Data'!L62:L81)-('Fats Raw Data'!L61-'Fats Raw Data'!L81)^2/20)/19),"")</f>
        <v>0</v>
      </c>
      <c r="BS61">
        <f>IFERROR('Fats Raw Data'!U61,"")</f>
        <v>0</v>
      </c>
      <c r="BT61">
        <f>IFERROR('Fats Raw Data'!Z61,"")</f>
        <v>0</v>
      </c>
      <c r="BU61">
        <f>IFERROR('Fats Raw Data'!AB61-'Fats Raw Data'!AB62,"")</f>
        <v>0</v>
      </c>
      <c r="BV61" t="str">
        <f>IFERROR(AVERAGE('Fats Raw Data'!AB61:AB65),"")</f>
        <v/>
      </c>
      <c r="BW61" t="str">
        <f>IFERROR(SUMPRODUCT('Fats Raw Data'!V61:V80,'Fats Raw Data'!AA61:AA80)/SUM('Fats Raw Data'!AA61:AA80),"")</f>
        <v/>
      </c>
      <c r="BX61">
        <f>IFERROR(SQRT((SUMSQ('Fats Raw Data'!V61:V80)-2*SUMPRODUCT('Fats Raw Data'!V61:V80,'Fats Raw Data'!V62:V81)+SUMSQ('Fats Raw Data'!V62:V81)-('Fats Raw Data'!V61-'Fats Raw Data'!V81)^2/20)/19),"")</f>
        <v>0</v>
      </c>
      <c r="BZ61">
        <f>IFERROR('Fats Raw Data'!AE61,"")</f>
        <v>0</v>
      </c>
      <c r="CA61">
        <f>IFERROR('Fats Raw Data'!AJ61,"")</f>
        <v>0</v>
      </c>
      <c r="CB61">
        <f>IFERROR('Fats Raw Data'!AL61-'Fats Raw Data'!AL62,"")</f>
        <v>0</v>
      </c>
      <c r="CC61" t="str">
        <f>IFERROR(AVERAGE('Fats Raw Data'!AL61:AL65),"")</f>
        <v/>
      </c>
      <c r="CD61" t="str">
        <f>IFERROR(SUMPRODUCT('Fats Raw Data'!AF61:AF80,'Fats Raw Data'!AK61:AK80)/SUM('Fats Raw Data'!AK61:AK80),"")</f>
        <v/>
      </c>
      <c r="CE61">
        <f>IFERROR(SQRT((SUMSQ('Fats Raw Data'!AF61:AF80)-2*SUMPRODUCT('Fats Raw Data'!AF61:AF80,'Fats Raw Data'!AF62:AF81)+SUMSQ('Fats Raw Data'!AF62:AF81)-('Fats Raw Data'!AF61-'Fats Raw Data'!AF81)^2/20)/19),"")</f>
        <v>0</v>
      </c>
      <c r="CG61">
        <f>IFERROR('Fats Raw Data'!AO61,"")</f>
        <v>0</v>
      </c>
      <c r="CH61">
        <f>IFERROR('Fats Raw Data'!AT61,"")</f>
        <v>0</v>
      </c>
      <c r="CI61">
        <f>IFERROR('Fats Raw Data'!AV61-'Fats Raw Data'!AV62,"")</f>
        <v>0</v>
      </c>
      <c r="CJ61" t="str">
        <f>IFERROR(AVERAGE('Fats Raw Data'!AV61:AV65),"")</f>
        <v/>
      </c>
      <c r="CK61" t="str">
        <f>IFERROR(SUMPRODUCT('Fats Raw Data'!AP61:AP80,'Fats Raw Data'!AU61:AU80)/SUM('Fats Raw Data'!AU61:AU80),"")</f>
        <v/>
      </c>
      <c r="CL61">
        <f>IFERROR(SQRT((SUMSQ('Fats Raw Data'!AP61:AP80)-2*SUMPRODUCT('Fats Raw Data'!AP61:AP80,'Fats Raw Data'!AP62:AP81)+SUMSQ('Fats Raw Data'!AP62:AP81)-('Fats Raw Data'!AP61-'Fats Raw Data'!AP81)^2/20)/19),"")</f>
        <v>0</v>
      </c>
      <c r="CN61">
        <f>IFERROR('Fats Raw Data'!AY61,"")</f>
        <v>0</v>
      </c>
      <c r="CO61">
        <f>IFERROR('Fats Raw Data'!BD61,"")</f>
        <v>0</v>
      </c>
      <c r="CP61">
        <f>IFERROR('Fats Raw Data'!BF61-'Fats Raw Data'!BF62,"")</f>
        <v>0</v>
      </c>
      <c r="CQ61" t="str">
        <f>IFERROR(AVERAGE('Fats Raw Data'!BF61:BF65),"")</f>
        <v/>
      </c>
      <c r="CR61" t="str">
        <f>IFERROR(SUMPRODUCT('Fats Raw Data'!AZ61:AZ80,'Fats Raw Data'!BE61:BE80)/SUM('Fats Raw Data'!BE61:BE80),"")</f>
        <v/>
      </c>
      <c r="CS61">
        <f>IFERROR(SQRT((SUMSQ('Fats Raw Data'!AZ61:AZ80)-2*SUMPRODUCT('Fats Raw Data'!AZ61:AZ80,'Fats Raw Data'!AZ62:AZ81)+SUMSQ('Fats Raw Data'!AZ62:AZ81)-('Fats Raw Data'!AZ61-'Fats Raw Data'!AZ81)^2/20)/19),"")</f>
        <v>0</v>
      </c>
    </row>
    <row r="62" spans="1:97" x14ac:dyDescent="0.25">
      <c r="A62">
        <f>IFERROR('Feeders Raw Data'!A62,"")</f>
        <v>0</v>
      </c>
      <c r="B62">
        <f>IFERROR('Feeders Raw Data'!F62,"")</f>
        <v>0</v>
      </c>
      <c r="C62">
        <f>IFERROR('Feeders Raw Data'!H62-'Feeders Raw Data'!H63,"")</f>
        <v>0</v>
      </c>
      <c r="D62" t="str">
        <f>IFERROR(AVERAGE('Feeders Raw Data'!H62:H66),"")</f>
        <v/>
      </c>
      <c r="E62" t="str">
        <f>IFERROR(SUMPRODUCT('Feeders Raw Data'!B62:B81,'Feeders Raw Data'!G62:G81)/SUM('Feeders Raw Data'!G62:G81),"")</f>
        <v/>
      </c>
      <c r="F62">
        <f>IFERROR(SQRT((SUMSQ('Feeders Raw Data'!B62:B81)-2*SUMPRODUCT('Feeders Raw Data'!B62:B81,'Feeders Raw Data'!B63:B82)+SUMSQ('Feeders Raw Data'!B63:B82)-('Feeders Raw Data'!B62-'Feeders Raw Data'!B82)^2/20)/19),"")</f>
        <v>0</v>
      </c>
      <c r="H62">
        <f>IFERROR('Feeders Raw Data'!K62,"")</f>
        <v>0</v>
      </c>
      <c r="I62">
        <f>IFERROR('Feeders Raw Data'!P62,"")</f>
        <v>0</v>
      </c>
      <c r="J62">
        <f>IFERROR('Feeders Raw Data'!R62-'Feeders Raw Data'!R63,"")</f>
        <v>0</v>
      </c>
      <c r="K62" t="str">
        <f>IFERROR(AVERAGE('Feeders Raw Data'!R62:R66),"")</f>
        <v/>
      </c>
      <c r="L62" t="str">
        <f>IFERROR(SUMPRODUCT('Feeders Raw Data'!L62:L81,'Feeders Raw Data'!Q62:Q81)/SUM('Feeders Raw Data'!Q62:Q81),"")</f>
        <v/>
      </c>
      <c r="M62">
        <f>IFERROR(SQRT((SUMSQ('Feeders Raw Data'!L62:L81)-2*SUMPRODUCT('Feeders Raw Data'!L62:L81,'Feeders Raw Data'!L63:L82)+SUMSQ('Feeders Raw Data'!L63:L82)-('Feeders Raw Data'!L62-'Feeders Raw Data'!L82)^2/20)/19),"")</f>
        <v>0</v>
      </c>
      <c r="O62">
        <f>IFERROR('Feeders Raw Data'!U62,"")</f>
        <v>0</v>
      </c>
      <c r="P62">
        <f>IFERROR('Feeders Raw Data'!Z62,"")</f>
        <v>0</v>
      </c>
      <c r="Q62">
        <f>IFERROR('Feeders Raw Data'!AB62-'Feeders Raw Data'!AB63,"")</f>
        <v>0</v>
      </c>
      <c r="R62" t="str">
        <f>IFERROR(AVERAGE('Feeders Raw Data'!AB62:AB66),"")</f>
        <v/>
      </c>
      <c r="S62" t="str">
        <f>IFERROR(SUMPRODUCT('Feeders Raw Data'!V62:V81,'Feeders Raw Data'!AA62:AA81)/SUM('Feeders Raw Data'!AA62:AA81),"")</f>
        <v/>
      </c>
      <c r="T62">
        <f>IFERROR(SQRT((SUMSQ('Feeders Raw Data'!V62:V81)-2*SUMPRODUCT('Feeders Raw Data'!V62:V81,'Feeders Raw Data'!V63:V82)+SUMSQ('Feeders Raw Data'!V63:V82)-('Feeders Raw Data'!V62-'Feeders Raw Data'!V82)^2/20)/19),"")</f>
        <v>0</v>
      </c>
      <c r="V62">
        <f>IFERROR('Feeders Raw Data'!AE62,"")</f>
        <v>0</v>
      </c>
      <c r="W62">
        <f>IFERROR('Feeders Raw Data'!AJ62,"")</f>
        <v>0</v>
      </c>
      <c r="X62">
        <f>IFERROR('Feeders Raw Data'!AL62-'Feeders Raw Data'!AL63,"")</f>
        <v>0</v>
      </c>
      <c r="Y62" t="str">
        <f>IFERROR(AVERAGE('Feeders Raw Data'!AL62:AL66),"")</f>
        <v/>
      </c>
      <c r="Z62" t="str">
        <f>IFERROR(SUMPRODUCT('Feeders Raw Data'!AF62:AF81,'Feeders Raw Data'!AK62:AK81)/SUM('Feeders Raw Data'!AK62:AK81),"")</f>
        <v/>
      </c>
      <c r="AA62">
        <f>IFERROR(SQRT((SUMSQ('Feeders Raw Data'!AF62:AF81)-2*SUMPRODUCT('Feeders Raw Data'!AF62:AF81,'Feeders Raw Data'!AF63:AF82)+SUMSQ('Feeders Raw Data'!AF63:AF82)-('Feeders Raw Data'!AF62-'Feeders Raw Data'!AF82)^2/20)/19),"")</f>
        <v>0</v>
      </c>
      <c r="AC62">
        <f>IFERROR('Feeders Raw Data'!AO62,"")</f>
        <v>0</v>
      </c>
      <c r="AD62">
        <f>IFERROR('Feeders Raw Data'!AT62,"")</f>
        <v>0</v>
      </c>
      <c r="AE62">
        <f>IFERROR('Feeders Raw Data'!AV62-'Feeders Raw Data'!AV63,"")</f>
        <v>0</v>
      </c>
      <c r="AF62" t="str">
        <f>IFERROR(AVERAGE('Feeders Raw Data'!AV62:AV66),"")</f>
        <v/>
      </c>
      <c r="AG62" t="str">
        <f>IFERROR(SUMPRODUCT('Feeders Raw Data'!AP62:AP81,'Feeders Raw Data'!AU62:AU81)/SUM('Feeders Raw Data'!AU62:AU81),"")</f>
        <v/>
      </c>
      <c r="AH62">
        <f>IFERROR(SQRT((SUMSQ('Feeders Raw Data'!AP62:AP81)-2*SUMPRODUCT('Feeders Raw Data'!AP62:AP81,'Feeders Raw Data'!AP63:AP82)+SUMSQ('Feeders Raw Data'!AP63:AP82)-('Feeders Raw Data'!AP62-'Feeders Raw Data'!AP82)^2/20)/19),"")</f>
        <v>0</v>
      </c>
      <c r="AJ62">
        <f>IFERROR('Feeders Raw Data'!AY62,"")</f>
        <v>0</v>
      </c>
      <c r="AK62">
        <f>IFERROR('Feeders Raw Data'!BD62,"")</f>
        <v>0</v>
      </c>
      <c r="AL62">
        <f>IFERROR('Feeders Raw Data'!BF62-'Feeders Raw Data'!BF63,"")</f>
        <v>0</v>
      </c>
      <c r="AM62" t="str">
        <f>IFERROR(AVERAGE('Feeders Raw Data'!BF62:BF66),"")</f>
        <v/>
      </c>
      <c r="AN62" t="str">
        <f>IFERROR(SUMPRODUCT('Feeders Raw Data'!AZ62:AZ81,'Feeders Raw Data'!BE62:BE81)/SUM('Feeders Raw Data'!BE62:BE81),"")</f>
        <v/>
      </c>
      <c r="AO62">
        <f>IFERROR(SQRT((SUMSQ('Feeders Raw Data'!AZ62:AZ81)-2*SUMPRODUCT('Feeders Raw Data'!AZ62:AZ81,'Feeders Raw Data'!AZ63:AZ82)+SUMSQ('Feeders Raw Data'!AZ63:AZ82)-('Feeders Raw Data'!AZ62-'Feeders Raw Data'!AZ82)^2/20)/19),"")</f>
        <v>0</v>
      </c>
      <c r="AQ62">
        <f>IFERROR('Feeders Raw Data'!BI62,"")</f>
        <v>0</v>
      </c>
      <c r="AR62">
        <f>IFERROR('Feeders Raw Data'!BN62,"")</f>
        <v>0</v>
      </c>
      <c r="AS62">
        <f>IFERROR('Feeders Raw Data'!BP62-'Feeders Raw Data'!BP63,"")</f>
        <v>0</v>
      </c>
      <c r="AT62" t="str">
        <f>IFERROR(AVERAGE('Feeders Raw Data'!BP62:BP66),"")</f>
        <v/>
      </c>
      <c r="AU62" t="str">
        <f>IFERROR(SUMPRODUCT('Feeders Raw Data'!BJ62:BJ81,'Feeders Raw Data'!BO62:BO81)/SUM('Feeders Raw Data'!BO62:BO81),"")</f>
        <v/>
      </c>
      <c r="AV62">
        <f>IFERROR(SQRT((SUMSQ('Feeders Raw Data'!BJ62:BJ81)-2*SUMPRODUCT('Feeders Raw Data'!BJ62:BJ81,'Feeders Raw Data'!BJ63:BJ82)+SUMSQ('Feeders Raw Data'!BJ63:BJ82)-('Feeders Raw Data'!BJ62-'Feeders Raw Data'!BJ82)^2/20)/19),"")</f>
        <v>0</v>
      </c>
      <c r="AX62">
        <f>IFERROR('Feeders Raw Data'!BS62,"")</f>
        <v>0</v>
      </c>
      <c r="AY62">
        <f>IFERROR('Feeders Raw Data'!BX62,"")</f>
        <v>0</v>
      </c>
      <c r="AZ62">
        <f>IFERROR('Feeders Raw Data'!BZ62-'Feeders Raw Data'!BZ63,"")</f>
        <v>0</v>
      </c>
      <c r="BA62" t="str">
        <f>IFERROR(AVERAGE('Feeders Raw Data'!BZ62:BZ66),"")</f>
        <v/>
      </c>
      <c r="BB62" t="str">
        <f>IFERROR(SUMPRODUCT('Feeders Raw Data'!BT62:BT81,'Feeders Raw Data'!BY62:BY81)/SUM('Feeders Raw Data'!BY62:BY81),"")</f>
        <v/>
      </c>
      <c r="BC62">
        <f>IFERROR(SQRT((SUMSQ('Feeders Raw Data'!BT62:BT81)-2*SUMPRODUCT('Feeders Raw Data'!BT62:BT81,'Feeders Raw Data'!BT63:BT82)+SUMSQ('Feeders Raw Data'!BT63:BT82)-('Feeders Raw Data'!BT62-'Feeders Raw Data'!BT82)^2/20)/19),"")</f>
        <v>0</v>
      </c>
      <c r="BE62">
        <f>IFERROR('Fats Raw Data'!A62,"")</f>
        <v>0</v>
      </c>
      <c r="BF62">
        <f>IFERROR('Fats Raw Data'!F62,"")</f>
        <v>0</v>
      </c>
      <c r="BG62">
        <f>IFERROR('Fats Raw Data'!H62-'Fats Raw Data'!H63,"")</f>
        <v>0</v>
      </c>
      <c r="BH62" t="str">
        <f>IFERROR(AVERAGE('Fats Raw Data'!H62:H66),"")</f>
        <v/>
      </c>
      <c r="BI62" t="str">
        <f>IFERROR(SUMPRODUCT('Fats Raw Data'!B62:B81,'Fats Raw Data'!G62:G81)/SUM('Fats Raw Data'!G62:G81),"")</f>
        <v/>
      </c>
      <c r="BJ62">
        <f>IFERROR(SQRT((SUMSQ('Fats Raw Data'!B62:B81)-2*SUMPRODUCT('Fats Raw Data'!B62:B81,'Fats Raw Data'!B63:B82)+SUMSQ('Fats Raw Data'!B63:B82)-('Fats Raw Data'!B62-'Fats Raw Data'!B82)^2/20)/19),"")</f>
        <v>0</v>
      </c>
      <c r="BL62">
        <f>IFERROR('Fats Raw Data'!K62,"")</f>
        <v>0</v>
      </c>
      <c r="BM62">
        <f>IFERROR('Fats Raw Data'!P62,"")</f>
        <v>0</v>
      </c>
      <c r="BN62">
        <f>IFERROR('Fats Raw Data'!R62-'Fats Raw Data'!R63,"")</f>
        <v>0</v>
      </c>
      <c r="BO62" t="str">
        <f>IFERROR(AVERAGE('Fats Raw Data'!R62:R66),"")</f>
        <v/>
      </c>
      <c r="BP62" t="str">
        <f>IFERROR(SUMPRODUCT('Fats Raw Data'!L62:L81,'Fats Raw Data'!Q62:Q81)/SUM('Fats Raw Data'!Q62:Q81),"")</f>
        <v/>
      </c>
      <c r="BQ62">
        <f>IFERROR(SQRT((SUMSQ('Fats Raw Data'!L62:L81)-2*SUMPRODUCT('Fats Raw Data'!L62:L81,'Fats Raw Data'!L63:L82)+SUMSQ('Fats Raw Data'!L63:L82)-('Fats Raw Data'!L62-'Fats Raw Data'!L82)^2/20)/19),"")</f>
        <v>0</v>
      </c>
      <c r="BS62">
        <f>IFERROR('Fats Raw Data'!U62,"")</f>
        <v>0</v>
      </c>
      <c r="BT62">
        <f>IFERROR('Fats Raw Data'!Z62,"")</f>
        <v>0</v>
      </c>
      <c r="BU62">
        <f>IFERROR('Fats Raw Data'!AB62-'Fats Raw Data'!AB63,"")</f>
        <v>0</v>
      </c>
      <c r="BV62" t="str">
        <f>IFERROR(AVERAGE('Fats Raw Data'!AB62:AB66),"")</f>
        <v/>
      </c>
      <c r="BW62" t="str">
        <f>IFERROR(SUMPRODUCT('Fats Raw Data'!V62:V81,'Fats Raw Data'!AA62:AA81)/SUM('Fats Raw Data'!AA62:AA81),"")</f>
        <v/>
      </c>
      <c r="BX62">
        <f>IFERROR(SQRT((SUMSQ('Fats Raw Data'!V62:V81)-2*SUMPRODUCT('Fats Raw Data'!V62:V81,'Fats Raw Data'!V63:V82)+SUMSQ('Fats Raw Data'!V63:V82)-('Fats Raw Data'!V62-'Fats Raw Data'!V82)^2/20)/19),"")</f>
        <v>0</v>
      </c>
      <c r="BZ62">
        <f>IFERROR('Fats Raw Data'!AE62,"")</f>
        <v>0</v>
      </c>
      <c r="CA62">
        <f>IFERROR('Fats Raw Data'!AJ62,"")</f>
        <v>0</v>
      </c>
      <c r="CB62">
        <f>IFERROR('Fats Raw Data'!AL62-'Fats Raw Data'!AL63,"")</f>
        <v>0</v>
      </c>
      <c r="CC62" t="str">
        <f>IFERROR(AVERAGE('Fats Raw Data'!AL62:AL66),"")</f>
        <v/>
      </c>
      <c r="CD62" t="str">
        <f>IFERROR(SUMPRODUCT('Fats Raw Data'!AF62:AF81,'Fats Raw Data'!AK62:AK81)/SUM('Fats Raw Data'!AK62:AK81),"")</f>
        <v/>
      </c>
      <c r="CE62">
        <f>IFERROR(SQRT((SUMSQ('Fats Raw Data'!AF62:AF81)-2*SUMPRODUCT('Fats Raw Data'!AF62:AF81,'Fats Raw Data'!AF63:AF82)+SUMSQ('Fats Raw Data'!AF63:AF82)-('Fats Raw Data'!AF62-'Fats Raw Data'!AF82)^2/20)/19),"")</f>
        <v>0</v>
      </c>
      <c r="CG62">
        <f>IFERROR('Fats Raw Data'!AO62,"")</f>
        <v>0</v>
      </c>
      <c r="CH62">
        <f>IFERROR('Fats Raw Data'!AT62,"")</f>
        <v>0</v>
      </c>
      <c r="CI62">
        <f>IFERROR('Fats Raw Data'!AV62-'Fats Raw Data'!AV63,"")</f>
        <v>0</v>
      </c>
      <c r="CJ62" t="str">
        <f>IFERROR(AVERAGE('Fats Raw Data'!AV62:AV66),"")</f>
        <v/>
      </c>
      <c r="CK62" t="str">
        <f>IFERROR(SUMPRODUCT('Fats Raw Data'!AP62:AP81,'Fats Raw Data'!AU62:AU81)/SUM('Fats Raw Data'!AU62:AU81),"")</f>
        <v/>
      </c>
      <c r="CL62">
        <f>IFERROR(SQRT((SUMSQ('Fats Raw Data'!AP62:AP81)-2*SUMPRODUCT('Fats Raw Data'!AP62:AP81,'Fats Raw Data'!AP63:AP82)+SUMSQ('Fats Raw Data'!AP63:AP82)-('Fats Raw Data'!AP62-'Fats Raw Data'!AP82)^2/20)/19),"")</f>
        <v>0</v>
      </c>
      <c r="CN62">
        <f>IFERROR('Fats Raw Data'!AY62,"")</f>
        <v>0</v>
      </c>
      <c r="CO62">
        <f>IFERROR('Fats Raw Data'!BD62,"")</f>
        <v>0</v>
      </c>
      <c r="CP62">
        <f>IFERROR('Fats Raw Data'!BF62-'Fats Raw Data'!BF63,"")</f>
        <v>0</v>
      </c>
      <c r="CQ62" t="str">
        <f>IFERROR(AVERAGE('Fats Raw Data'!BF62:BF66),"")</f>
        <v/>
      </c>
      <c r="CR62" t="str">
        <f>IFERROR(SUMPRODUCT('Fats Raw Data'!AZ62:AZ81,'Fats Raw Data'!BE62:BE81)/SUM('Fats Raw Data'!BE62:BE81),"")</f>
        <v/>
      </c>
      <c r="CS62">
        <f>IFERROR(SQRT((SUMSQ('Fats Raw Data'!AZ62:AZ81)-2*SUMPRODUCT('Fats Raw Data'!AZ62:AZ81,'Fats Raw Data'!AZ63:AZ82)+SUMSQ('Fats Raw Data'!AZ63:AZ82)-('Fats Raw Data'!AZ62-'Fats Raw Data'!AZ82)^2/20)/19),"")</f>
        <v>0</v>
      </c>
    </row>
    <row r="63" spans="1:97" x14ac:dyDescent="0.25">
      <c r="A63">
        <f>IFERROR('Feeders Raw Data'!A63,"")</f>
        <v>0</v>
      </c>
      <c r="B63">
        <f>IFERROR('Feeders Raw Data'!F63,"")</f>
        <v>0</v>
      </c>
      <c r="C63">
        <f>IFERROR('Feeders Raw Data'!H63-'Feeders Raw Data'!H64,"")</f>
        <v>0</v>
      </c>
      <c r="D63" t="str">
        <f>IFERROR(AVERAGE('Feeders Raw Data'!H63:H67),"")</f>
        <v/>
      </c>
      <c r="E63" t="str">
        <f>IFERROR(SUMPRODUCT('Feeders Raw Data'!B63:B82,'Feeders Raw Data'!G63:G82)/SUM('Feeders Raw Data'!G63:G82),"")</f>
        <v/>
      </c>
      <c r="F63">
        <f>IFERROR(SQRT((SUMSQ('Feeders Raw Data'!B63:B82)-2*SUMPRODUCT('Feeders Raw Data'!B63:B82,'Feeders Raw Data'!B64:B83)+SUMSQ('Feeders Raw Data'!B64:B83)-('Feeders Raw Data'!B63-'Feeders Raw Data'!B83)^2/20)/19),"")</f>
        <v>0</v>
      </c>
      <c r="H63">
        <f>IFERROR('Feeders Raw Data'!K63,"")</f>
        <v>0</v>
      </c>
      <c r="I63">
        <f>IFERROR('Feeders Raw Data'!P63,"")</f>
        <v>0</v>
      </c>
      <c r="J63">
        <f>IFERROR('Feeders Raw Data'!R63-'Feeders Raw Data'!R64,"")</f>
        <v>0</v>
      </c>
      <c r="K63" t="str">
        <f>IFERROR(AVERAGE('Feeders Raw Data'!R63:R67),"")</f>
        <v/>
      </c>
      <c r="L63" t="str">
        <f>IFERROR(SUMPRODUCT('Feeders Raw Data'!L63:L82,'Feeders Raw Data'!Q63:Q82)/SUM('Feeders Raw Data'!Q63:Q82),"")</f>
        <v/>
      </c>
      <c r="M63">
        <f>IFERROR(SQRT((SUMSQ('Feeders Raw Data'!L63:L82)-2*SUMPRODUCT('Feeders Raw Data'!L63:L82,'Feeders Raw Data'!L64:L83)+SUMSQ('Feeders Raw Data'!L64:L83)-('Feeders Raw Data'!L63-'Feeders Raw Data'!L83)^2/20)/19),"")</f>
        <v>0</v>
      </c>
      <c r="O63">
        <f>IFERROR('Feeders Raw Data'!U63,"")</f>
        <v>0</v>
      </c>
      <c r="P63">
        <f>IFERROR('Feeders Raw Data'!Z63,"")</f>
        <v>0</v>
      </c>
      <c r="Q63">
        <f>IFERROR('Feeders Raw Data'!AB63-'Feeders Raw Data'!AB64,"")</f>
        <v>0</v>
      </c>
      <c r="R63" t="str">
        <f>IFERROR(AVERAGE('Feeders Raw Data'!AB63:AB67),"")</f>
        <v/>
      </c>
      <c r="S63" t="str">
        <f>IFERROR(SUMPRODUCT('Feeders Raw Data'!V63:V82,'Feeders Raw Data'!AA63:AA82)/SUM('Feeders Raw Data'!AA63:AA82),"")</f>
        <v/>
      </c>
      <c r="T63">
        <f>IFERROR(SQRT((SUMSQ('Feeders Raw Data'!V63:V82)-2*SUMPRODUCT('Feeders Raw Data'!V63:V82,'Feeders Raw Data'!V64:V83)+SUMSQ('Feeders Raw Data'!V64:V83)-('Feeders Raw Data'!V63-'Feeders Raw Data'!V83)^2/20)/19),"")</f>
        <v>0</v>
      </c>
      <c r="V63">
        <f>IFERROR('Feeders Raw Data'!AE63,"")</f>
        <v>0</v>
      </c>
      <c r="W63">
        <f>IFERROR('Feeders Raw Data'!AJ63,"")</f>
        <v>0</v>
      </c>
      <c r="X63">
        <f>IFERROR('Feeders Raw Data'!AL63-'Feeders Raw Data'!AL64,"")</f>
        <v>0</v>
      </c>
      <c r="Y63" t="str">
        <f>IFERROR(AVERAGE('Feeders Raw Data'!AL63:AL67),"")</f>
        <v/>
      </c>
      <c r="Z63" t="str">
        <f>IFERROR(SUMPRODUCT('Feeders Raw Data'!AF63:AF82,'Feeders Raw Data'!AK63:AK82)/SUM('Feeders Raw Data'!AK63:AK82),"")</f>
        <v/>
      </c>
      <c r="AA63">
        <f>IFERROR(SQRT((SUMSQ('Feeders Raw Data'!AF63:AF82)-2*SUMPRODUCT('Feeders Raw Data'!AF63:AF82,'Feeders Raw Data'!AF64:AF83)+SUMSQ('Feeders Raw Data'!AF64:AF83)-('Feeders Raw Data'!AF63-'Feeders Raw Data'!AF83)^2/20)/19),"")</f>
        <v>0</v>
      </c>
      <c r="AC63">
        <f>IFERROR('Feeders Raw Data'!AO63,"")</f>
        <v>0</v>
      </c>
      <c r="AD63">
        <f>IFERROR('Feeders Raw Data'!AT63,"")</f>
        <v>0</v>
      </c>
      <c r="AE63">
        <f>IFERROR('Feeders Raw Data'!AV63-'Feeders Raw Data'!AV64,"")</f>
        <v>0</v>
      </c>
      <c r="AF63" t="str">
        <f>IFERROR(AVERAGE('Feeders Raw Data'!AV63:AV67),"")</f>
        <v/>
      </c>
      <c r="AG63" t="str">
        <f>IFERROR(SUMPRODUCT('Feeders Raw Data'!AP63:AP82,'Feeders Raw Data'!AU63:AU82)/SUM('Feeders Raw Data'!AU63:AU82),"")</f>
        <v/>
      </c>
      <c r="AH63">
        <f>IFERROR(SQRT((SUMSQ('Feeders Raw Data'!AP63:AP82)-2*SUMPRODUCT('Feeders Raw Data'!AP63:AP82,'Feeders Raw Data'!AP64:AP83)+SUMSQ('Feeders Raw Data'!AP64:AP83)-('Feeders Raw Data'!AP63-'Feeders Raw Data'!AP83)^2/20)/19),"")</f>
        <v>0</v>
      </c>
      <c r="AJ63">
        <f>IFERROR('Feeders Raw Data'!AY63,"")</f>
        <v>0</v>
      </c>
      <c r="AK63">
        <f>IFERROR('Feeders Raw Data'!BD63,"")</f>
        <v>0</v>
      </c>
      <c r="AL63">
        <f>IFERROR('Feeders Raw Data'!BF63-'Feeders Raw Data'!BF64,"")</f>
        <v>0</v>
      </c>
      <c r="AM63" t="str">
        <f>IFERROR(AVERAGE('Feeders Raw Data'!BF63:BF67),"")</f>
        <v/>
      </c>
      <c r="AN63" t="str">
        <f>IFERROR(SUMPRODUCT('Feeders Raw Data'!AZ63:AZ82,'Feeders Raw Data'!BE63:BE82)/SUM('Feeders Raw Data'!BE63:BE82),"")</f>
        <v/>
      </c>
      <c r="AO63">
        <f>IFERROR(SQRT((SUMSQ('Feeders Raw Data'!AZ63:AZ82)-2*SUMPRODUCT('Feeders Raw Data'!AZ63:AZ82,'Feeders Raw Data'!AZ64:AZ83)+SUMSQ('Feeders Raw Data'!AZ64:AZ83)-('Feeders Raw Data'!AZ63-'Feeders Raw Data'!AZ83)^2/20)/19),"")</f>
        <v>0</v>
      </c>
      <c r="AQ63">
        <f>IFERROR('Feeders Raw Data'!BI63,"")</f>
        <v>0</v>
      </c>
      <c r="AR63">
        <f>IFERROR('Feeders Raw Data'!BN63,"")</f>
        <v>0</v>
      </c>
      <c r="AS63">
        <f>IFERROR('Feeders Raw Data'!BP63-'Feeders Raw Data'!BP64,"")</f>
        <v>0</v>
      </c>
      <c r="AT63" t="str">
        <f>IFERROR(AVERAGE('Feeders Raw Data'!BP63:BP67),"")</f>
        <v/>
      </c>
      <c r="AU63" t="str">
        <f>IFERROR(SUMPRODUCT('Feeders Raw Data'!BJ63:BJ82,'Feeders Raw Data'!BO63:BO82)/SUM('Feeders Raw Data'!BO63:BO82),"")</f>
        <v/>
      </c>
      <c r="AV63">
        <f>IFERROR(SQRT((SUMSQ('Feeders Raw Data'!BJ63:BJ82)-2*SUMPRODUCT('Feeders Raw Data'!BJ63:BJ82,'Feeders Raw Data'!BJ64:BJ83)+SUMSQ('Feeders Raw Data'!BJ64:BJ83)-('Feeders Raw Data'!BJ63-'Feeders Raw Data'!BJ83)^2/20)/19),"")</f>
        <v>0</v>
      </c>
      <c r="AX63">
        <f>IFERROR('Feeders Raw Data'!BS63,"")</f>
        <v>0</v>
      </c>
      <c r="AY63">
        <f>IFERROR('Feeders Raw Data'!BX63,"")</f>
        <v>0</v>
      </c>
      <c r="AZ63">
        <f>IFERROR('Feeders Raw Data'!BZ63-'Feeders Raw Data'!BZ64,"")</f>
        <v>0</v>
      </c>
      <c r="BA63" t="str">
        <f>IFERROR(AVERAGE('Feeders Raw Data'!BZ63:BZ67),"")</f>
        <v/>
      </c>
      <c r="BB63" t="str">
        <f>IFERROR(SUMPRODUCT('Feeders Raw Data'!BT63:BT82,'Feeders Raw Data'!BY63:BY82)/SUM('Feeders Raw Data'!BY63:BY82),"")</f>
        <v/>
      </c>
      <c r="BC63">
        <f>IFERROR(SQRT((SUMSQ('Feeders Raw Data'!BT63:BT82)-2*SUMPRODUCT('Feeders Raw Data'!BT63:BT82,'Feeders Raw Data'!BT64:BT83)+SUMSQ('Feeders Raw Data'!BT64:BT83)-('Feeders Raw Data'!BT63-'Feeders Raw Data'!BT83)^2/20)/19),"")</f>
        <v>0</v>
      </c>
      <c r="BE63">
        <f>IFERROR('Fats Raw Data'!A63,"")</f>
        <v>0</v>
      </c>
      <c r="BF63">
        <f>IFERROR('Fats Raw Data'!F63,"")</f>
        <v>0</v>
      </c>
      <c r="BG63">
        <f>IFERROR('Fats Raw Data'!H63-'Fats Raw Data'!H64,"")</f>
        <v>0</v>
      </c>
      <c r="BH63" t="str">
        <f>IFERROR(AVERAGE('Fats Raw Data'!H63:H67),"")</f>
        <v/>
      </c>
      <c r="BI63" t="str">
        <f>IFERROR(SUMPRODUCT('Fats Raw Data'!B63:B82,'Fats Raw Data'!G63:G82)/SUM('Fats Raw Data'!G63:G82),"")</f>
        <v/>
      </c>
      <c r="BJ63">
        <f>IFERROR(SQRT((SUMSQ('Fats Raw Data'!B63:B82)-2*SUMPRODUCT('Fats Raw Data'!B63:B82,'Fats Raw Data'!B64:B83)+SUMSQ('Fats Raw Data'!B64:B83)-('Fats Raw Data'!B63-'Fats Raw Data'!B83)^2/20)/19),"")</f>
        <v>0</v>
      </c>
      <c r="BL63">
        <f>IFERROR('Fats Raw Data'!K63,"")</f>
        <v>0</v>
      </c>
      <c r="BM63">
        <f>IFERROR('Fats Raw Data'!P63,"")</f>
        <v>0</v>
      </c>
      <c r="BN63">
        <f>IFERROR('Fats Raw Data'!R63-'Fats Raw Data'!R64,"")</f>
        <v>0</v>
      </c>
      <c r="BO63" t="str">
        <f>IFERROR(AVERAGE('Fats Raw Data'!R63:R67),"")</f>
        <v/>
      </c>
      <c r="BP63" t="str">
        <f>IFERROR(SUMPRODUCT('Fats Raw Data'!L63:L82,'Fats Raw Data'!Q63:Q82)/SUM('Fats Raw Data'!Q63:Q82),"")</f>
        <v/>
      </c>
      <c r="BQ63">
        <f>IFERROR(SQRT((SUMSQ('Fats Raw Data'!L63:L82)-2*SUMPRODUCT('Fats Raw Data'!L63:L82,'Fats Raw Data'!L64:L83)+SUMSQ('Fats Raw Data'!L64:L83)-('Fats Raw Data'!L63-'Fats Raw Data'!L83)^2/20)/19),"")</f>
        <v>0</v>
      </c>
      <c r="BS63">
        <f>IFERROR('Fats Raw Data'!U63,"")</f>
        <v>0</v>
      </c>
      <c r="BT63">
        <f>IFERROR('Fats Raw Data'!Z63,"")</f>
        <v>0</v>
      </c>
      <c r="BU63">
        <f>IFERROR('Fats Raw Data'!AB63-'Fats Raw Data'!AB64,"")</f>
        <v>0</v>
      </c>
      <c r="BV63" t="str">
        <f>IFERROR(AVERAGE('Fats Raw Data'!AB63:AB67),"")</f>
        <v/>
      </c>
      <c r="BW63" t="str">
        <f>IFERROR(SUMPRODUCT('Fats Raw Data'!V63:V82,'Fats Raw Data'!AA63:AA82)/SUM('Fats Raw Data'!AA63:AA82),"")</f>
        <v/>
      </c>
      <c r="BX63">
        <f>IFERROR(SQRT((SUMSQ('Fats Raw Data'!V63:V82)-2*SUMPRODUCT('Fats Raw Data'!V63:V82,'Fats Raw Data'!V64:V83)+SUMSQ('Fats Raw Data'!V64:V83)-('Fats Raw Data'!V63-'Fats Raw Data'!V83)^2/20)/19),"")</f>
        <v>0</v>
      </c>
      <c r="BZ63">
        <f>IFERROR('Fats Raw Data'!AE63,"")</f>
        <v>0</v>
      </c>
      <c r="CA63">
        <f>IFERROR('Fats Raw Data'!AJ63,"")</f>
        <v>0</v>
      </c>
      <c r="CB63">
        <f>IFERROR('Fats Raw Data'!AL63-'Fats Raw Data'!AL64,"")</f>
        <v>0</v>
      </c>
      <c r="CC63" t="str">
        <f>IFERROR(AVERAGE('Fats Raw Data'!AL63:AL67),"")</f>
        <v/>
      </c>
      <c r="CD63" t="str">
        <f>IFERROR(SUMPRODUCT('Fats Raw Data'!AF63:AF82,'Fats Raw Data'!AK63:AK82)/SUM('Fats Raw Data'!AK63:AK82),"")</f>
        <v/>
      </c>
      <c r="CE63">
        <f>IFERROR(SQRT((SUMSQ('Fats Raw Data'!AF63:AF82)-2*SUMPRODUCT('Fats Raw Data'!AF63:AF82,'Fats Raw Data'!AF64:AF83)+SUMSQ('Fats Raw Data'!AF64:AF83)-('Fats Raw Data'!AF63-'Fats Raw Data'!AF83)^2/20)/19),"")</f>
        <v>0</v>
      </c>
      <c r="CG63">
        <f>IFERROR('Fats Raw Data'!AO63,"")</f>
        <v>0</v>
      </c>
      <c r="CH63">
        <f>IFERROR('Fats Raw Data'!AT63,"")</f>
        <v>0</v>
      </c>
      <c r="CI63">
        <f>IFERROR('Fats Raw Data'!AV63-'Fats Raw Data'!AV64,"")</f>
        <v>0</v>
      </c>
      <c r="CJ63" t="str">
        <f>IFERROR(AVERAGE('Fats Raw Data'!AV63:AV67),"")</f>
        <v/>
      </c>
      <c r="CK63" t="str">
        <f>IFERROR(SUMPRODUCT('Fats Raw Data'!AP63:AP82,'Fats Raw Data'!AU63:AU82)/SUM('Fats Raw Data'!AU63:AU82),"")</f>
        <v/>
      </c>
      <c r="CL63">
        <f>IFERROR(SQRT((SUMSQ('Fats Raw Data'!AP63:AP82)-2*SUMPRODUCT('Fats Raw Data'!AP63:AP82,'Fats Raw Data'!AP64:AP83)+SUMSQ('Fats Raw Data'!AP64:AP83)-('Fats Raw Data'!AP63-'Fats Raw Data'!AP83)^2/20)/19),"")</f>
        <v>0</v>
      </c>
      <c r="CN63">
        <f>IFERROR('Fats Raw Data'!AY63,"")</f>
        <v>0</v>
      </c>
      <c r="CO63">
        <f>IFERROR('Fats Raw Data'!BD63,"")</f>
        <v>0</v>
      </c>
      <c r="CP63">
        <f>IFERROR('Fats Raw Data'!BF63-'Fats Raw Data'!BF64,"")</f>
        <v>0</v>
      </c>
      <c r="CQ63" t="str">
        <f>IFERROR(AVERAGE('Fats Raw Data'!BF63:BF67),"")</f>
        <v/>
      </c>
      <c r="CR63" t="str">
        <f>IFERROR(SUMPRODUCT('Fats Raw Data'!AZ63:AZ82,'Fats Raw Data'!BE63:BE82)/SUM('Fats Raw Data'!BE63:BE82),"")</f>
        <v/>
      </c>
      <c r="CS63">
        <f>IFERROR(SQRT((SUMSQ('Fats Raw Data'!AZ63:AZ82)-2*SUMPRODUCT('Fats Raw Data'!AZ63:AZ82,'Fats Raw Data'!AZ64:AZ83)+SUMSQ('Fats Raw Data'!AZ64:AZ83)-('Fats Raw Data'!AZ63-'Fats Raw Data'!AZ83)^2/20)/19),"")</f>
        <v>0</v>
      </c>
    </row>
    <row r="64" spans="1:97" x14ac:dyDescent="0.25">
      <c r="A64">
        <f>IFERROR('Feeders Raw Data'!A64,"")</f>
        <v>0</v>
      </c>
      <c r="B64">
        <f>IFERROR('Feeders Raw Data'!F64,"")</f>
        <v>0</v>
      </c>
      <c r="C64">
        <f>IFERROR('Feeders Raw Data'!H64-'Feeders Raw Data'!H65,"")</f>
        <v>0</v>
      </c>
      <c r="D64" t="str">
        <f>IFERROR(AVERAGE('Feeders Raw Data'!H64:H68),"")</f>
        <v/>
      </c>
      <c r="E64" t="str">
        <f>IFERROR(SUMPRODUCT('Feeders Raw Data'!B64:B83,'Feeders Raw Data'!G64:G83)/SUM('Feeders Raw Data'!G64:G83),"")</f>
        <v/>
      </c>
      <c r="F64">
        <f>IFERROR(SQRT((SUMSQ('Feeders Raw Data'!B64:B83)-2*SUMPRODUCT('Feeders Raw Data'!B64:B83,'Feeders Raw Data'!B65:B84)+SUMSQ('Feeders Raw Data'!B65:B84)-('Feeders Raw Data'!B64-'Feeders Raw Data'!B84)^2/20)/19),"")</f>
        <v>0</v>
      </c>
      <c r="H64">
        <f>IFERROR('Feeders Raw Data'!K64,"")</f>
        <v>0</v>
      </c>
      <c r="I64">
        <f>IFERROR('Feeders Raw Data'!P64,"")</f>
        <v>0</v>
      </c>
      <c r="J64">
        <f>IFERROR('Feeders Raw Data'!R64-'Feeders Raw Data'!R65,"")</f>
        <v>0</v>
      </c>
      <c r="K64" t="str">
        <f>IFERROR(AVERAGE('Feeders Raw Data'!R64:R68),"")</f>
        <v/>
      </c>
      <c r="L64" t="str">
        <f>IFERROR(SUMPRODUCT('Feeders Raw Data'!L64:L83,'Feeders Raw Data'!Q64:Q83)/SUM('Feeders Raw Data'!Q64:Q83),"")</f>
        <v/>
      </c>
      <c r="M64">
        <f>IFERROR(SQRT((SUMSQ('Feeders Raw Data'!L64:L83)-2*SUMPRODUCT('Feeders Raw Data'!L64:L83,'Feeders Raw Data'!L65:L84)+SUMSQ('Feeders Raw Data'!L65:L84)-('Feeders Raw Data'!L64-'Feeders Raw Data'!L84)^2/20)/19),"")</f>
        <v>0</v>
      </c>
      <c r="O64">
        <f>IFERROR('Feeders Raw Data'!U64,"")</f>
        <v>0</v>
      </c>
      <c r="P64">
        <f>IFERROR('Feeders Raw Data'!Z64,"")</f>
        <v>0</v>
      </c>
      <c r="Q64">
        <f>IFERROR('Feeders Raw Data'!AB64-'Feeders Raw Data'!AB65,"")</f>
        <v>0</v>
      </c>
      <c r="R64" t="str">
        <f>IFERROR(AVERAGE('Feeders Raw Data'!AB64:AB68),"")</f>
        <v/>
      </c>
      <c r="S64" t="str">
        <f>IFERROR(SUMPRODUCT('Feeders Raw Data'!V64:V83,'Feeders Raw Data'!AA64:AA83)/SUM('Feeders Raw Data'!AA64:AA83),"")</f>
        <v/>
      </c>
      <c r="T64">
        <f>IFERROR(SQRT((SUMSQ('Feeders Raw Data'!V64:V83)-2*SUMPRODUCT('Feeders Raw Data'!V64:V83,'Feeders Raw Data'!V65:V84)+SUMSQ('Feeders Raw Data'!V65:V84)-('Feeders Raw Data'!V64-'Feeders Raw Data'!V84)^2/20)/19),"")</f>
        <v>0</v>
      </c>
      <c r="V64">
        <f>IFERROR('Feeders Raw Data'!AE64,"")</f>
        <v>0</v>
      </c>
      <c r="W64">
        <f>IFERROR('Feeders Raw Data'!AJ64,"")</f>
        <v>0</v>
      </c>
      <c r="X64">
        <f>IFERROR('Feeders Raw Data'!AL64-'Feeders Raw Data'!AL65,"")</f>
        <v>0</v>
      </c>
      <c r="Y64" t="str">
        <f>IFERROR(AVERAGE('Feeders Raw Data'!AL64:AL68),"")</f>
        <v/>
      </c>
      <c r="Z64" t="str">
        <f>IFERROR(SUMPRODUCT('Feeders Raw Data'!AF64:AF83,'Feeders Raw Data'!AK64:AK83)/SUM('Feeders Raw Data'!AK64:AK83),"")</f>
        <v/>
      </c>
      <c r="AA64">
        <f>IFERROR(SQRT((SUMSQ('Feeders Raw Data'!AF64:AF83)-2*SUMPRODUCT('Feeders Raw Data'!AF64:AF83,'Feeders Raw Data'!AF65:AF84)+SUMSQ('Feeders Raw Data'!AF65:AF84)-('Feeders Raw Data'!AF64-'Feeders Raw Data'!AF84)^2/20)/19),"")</f>
        <v>0</v>
      </c>
      <c r="AC64">
        <f>IFERROR('Feeders Raw Data'!AO64,"")</f>
        <v>0</v>
      </c>
      <c r="AD64">
        <f>IFERROR('Feeders Raw Data'!AT64,"")</f>
        <v>0</v>
      </c>
      <c r="AE64">
        <f>IFERROR('Feeders Raw Data'!AV64-'Feeders Raw Data'!AV65,"")</f>
        <v>0</v>
      </c>
      <c r="AF64" t="str">
        <f>IFERROR(AVERAGE('Feeders Raw Data'!AV64:AV68),"")</f>
        <v/>
      </c>
      <c r="AG64" t="str">
        <f>IFERROR(SUMPRODUCT('Feeders Raw Data'!AP64:AP83,'Feeders Raw Data'!AU64:AU83)/SUM('Feeders Raw Data'!AU64:AU83),"")</f>
        <v/>
      </c>
      <c r="AH64">
        <f>IFERROR(SQRT((SUMSQ('Feeders Raw Data'!AP64:AP83)-2*SUMPRODUCT('Feeders Raw Data'!AP64:AP83,'Feeders Raw Data'!AP65:AP84)+SUMSQ('Feeders Raw Data'!AP65:AP84)-('Feeders Raw Data'!AP64-'Feeders Raw Data'!AP84)^2/20)/19),"")</f>
        <v>0</v>
      </c>
      <c r="AJ64">
        <f>IFERROR('Feeders Raw Data'!AY64,"")</f>
        <v>0</v>
      </c>
      <c r="AK64">
        <f>IFERROR('Feeders Raw Data'!BD64,"")</f>
        <v>0</v>
      </c>
      <c r="AL64">
        <f>IFERROR('Feeders Raw Data'!BF64-'Feeders Raw Data'!BF65,"")</f>
        <v>0</v>
      </c>
      <c r="AM64" t="str">
        <f>IFERROR(AVERAGE('Feeders Raw Data'!BF64:BF68),"")</f>
        <v/>
      </c>
      <c r="AN64" t="str">
        <f>IFERROR(SUMPRODUCT('Feeders Raw Data'!AZ64:AZ83,'Feeders Raw Data'!BE64:BE83)/SUM('Feeders Raw Data'!BE64:BE83),"")</f>
        <v/>
      </c>
      <c r="AO64">
        <f>IFERROR(SQRT((SUMSQ('Feeders Raw Data'!AZ64:AZ83)-2*SUMPRODUCT('Feeders Raw Data'!AZ64:AZ83,'Feeders Raw Data'!AZ65:AZ84)+SUMSQ('Feeders Raw Data'!AZ65:AZ84)-('Feeders Raw Data'!AZ64-'Feeders Raw Data'!AZ84)^2/20)/19),"")</f>
        <v>0</v>
      </c>
      <c r="AQ64">
        <f>IFERROR('Feeders Raw Data'!BI64,"")</f>
        <v>0</v>
      </c>
      <c r="AR64">
        <f>IFERROR('Feeders Raw Data'!BN64,"")</f>
        <v>0</v>
      </c>
      <c r="AS64">
        <f>IFERROR('Feeders Raw Data'!BP64-'Feeders Raw Data'!BP65,"")</f>
        <v>0</v>
      </c>
      <c r="AT64" t="str">
        <f>IFERROR(AVERAGE('Feeders Raw Data'!BP64:BP68),"")</f>
        <v/>
      </c>
      <c r="AU64" t="str">
        <f>IFERROR(SUMPRODUCT('Feeders Raw Data'!BJ64:BJ83,'Feeders Raw Data'!BO64:BO83)/SUM('Feeders Raw Data'!BO64:BO83),"")</f>
        <v/>
      </c>
      <c r="AV64">
        <f>IFERROR(SQRT((SUMSQ('Feeders Raw Data'!BJ64:BJ83)-2*SUMPRODUCT('Feeders Raw Data'!BJ64:BJ83,'Feeders Raw Data'!BJ65:BJ84)+SUMSQ('Feeders Raw Data'!BJ65:BJ84)-('Feeders Raw Data'!BJ64-'Feeders Raw Data'!BJ84)^2/20)/19),"")</f>
        <v>0</v>
      </c>
      <c r="AX64">
        <f>IFERROR('Feeders Raw Data'!BS64,"")</f>
        <v>0</v>
      </c>
      <c r="AY64">
        <f>IFERROR('Feeders Raw Data'!BX64,"")</f>
        <v>0</v>
      </c>
      <c r="AZ64">
        <f>IFERROR('Feeders Raw Data'!BZ64-'Feeders Raw Data'!BZ65,"")</f>
        <v>0</v>
      </c>
      <c r="BA64" t="str">
        <f>IFERROR(AVERAGE('Feeders Raw Data'!BZ64:BZ68),"")</f>
        <v/>
      </c>
      <c r="BB64" t="str">
        <f>IFERROR(SUMPRODUCT('Feeders Raw Data'!BT64:BT83,'Feeders Raw Data'!BY64:BY83)/SUM('Feeders Raw Data'!BY64:BY83),"")</f>
        <v/>
      </c>
      <c r="BC64">
        <f>IFERROR(SQRT((SUMSQ('Feeders Raw Data'!BT64:BT83)-2*SUMPRODUCT('Feeders Raw Data'!BT64:BT83,'Feeders Raw Data'!BT65:BT84)+SUMSQ('Feeders Raw Data'!BT65:BT84)-('Feeders Raw Data'!BT64-'Feeders Raw Data'!BT84)^2/20)/19),"")</f>
        <v>0</v>
      </c>
      <c r="BE64">
        <f>IFERROR('Fats Raw Data'!A64,"")</f>
        <v>0</v>
      </c>
      <c r="BF64">
        <f>IFERROR('Fats Raw Data'!F64,"")</f>
        <v>0</v>
      </c>
      <c r="BG64">
        <f>IFERROR('Fats Raw Data'!H64-'Fats Raw Data'!H65,"")</f>
        <v>0</v>
      </c>
      <c r="BH64" t="str">
        <f>IFERROR(AVERAGE('Fats Raw Data'!H64:H68),"")</f>
        <v/>
      </c>
      <c r="BI64" t="str">
        <f>IFERROR(SUMPRODUCT('Fats Raw Data'!B64:B83,'Fats Raw Data'!G64:G83)/SUM('Fats Raw Data'!G64:G83),"")</f>
        <v/>
      </c>
      <c r="BJ64">
        <f>IFERROR(SQRT((SUMSQ('Fats Raw Data'!B64:B83)-2*SUMPRODUCT('Fats Raw Data'!B64:B83,'Fats Raw Data'!B65:B84)+SUMSQ('Fats Raw Data'!B65:B84)-('Fats Raw Data'!B64-'Fats Raw Data'!B84)^2/20)/19),"")</f>
        <v>0</v>
      </c>
      <c r="BL64">
        <f>IFERROR('Fats Raw Data'!K64,"")</f>
        <v>0</v>
      </c>
      <c r="BM64">
        <f>IFERROR('Fats Raw Data'!P64,"")</f>
        <v>0</v>
      </c>
      <c r="BN64">
        <f>IFERROR('Fats Raw Data'!R64-'Fats Raw Data'!R65,"")</f>
        <v>0</v>
      </c>
      <c r="BO64" t="str">
        <f>IFERROR(AVERAGE('Fats Raw Data'!R64:R68),"")</f>
        <v/>
      </c>
      <c r="BP64" t="str">
        <f>IFERROR(SUMPRODUCT('Fats Raw Data'!L64:L83,'Fats Raw Data'!Q64:Q83)/SUM('Fats Raw Data'!Q64:Q83),"")</f>
        <v/>
      </c>
      <c r="BQ64">
        <f>IFERROR(SQRT((SUMSQ('Fats Raw Data'!L64:L83)-2*SUMPRODUCT('Fats Raw Data'!L64:L83,'Fats Raw Data'!L65:L84)+SUMSQ('Fats Raw Data'!L65:L84)-('Fats Raw Data'!L64-'Fats Raw Data'!L84)^2/20)/19),"")</f>
        <v>0</v>
      </c>
      <c r="BS64">
        <f>IFERROR('Fats Raw Data'!U64,"")</f>
        <v>0</v>
      </c>
      <c r="BT64">
        <f>IFERROR('Fats Raw Data'!Z64,"")</f>
        <v>0</v>
      </c>
      <c r="BU64">
        <f>IFERROR('Fats Raw Data'!AB64-'Fats Raw Data'!AB65,"")</f>
        <v>0</v>
      </c>
      <c r="BV64" t="str">
        <f>IFERROR(AVERAGE('Fats Raw Data'!AB64:AB68),"")</f>
        <v/>
      </c>
      <c r="BW64" t="str">
        <f>IFERROR(SUMPRODUCT('Fats Raw Data'!V64:V83,'Fats Raw Data'!AA64:AA83)/SUM('Fats Raw Data'!AA64:AA83),"")</f>
        <v/>
      </c>
      <c r="BX64">
        <f>IFERROR(SQRT((SUMSQ('Fats Raw Data'!V64:V83)-2*SUMPRODUCT('Fats Raw Data'!V64:V83,'Fats Raw Data'!V65:V84)+SUMSQ('Fats Raw Data'!V65:V84)-('Fats Raw Data'!V64-'Fats Raw Data'!V84)^2/20)/19),"")</f>
        <v>0</v>
      </c>
      <c r="BZ64">
        <f>IFERROR('Fats Raw Data'!AE64,"")</f>
        <v>0</v>
      </c>
      <c r="CA64">
        <f>IFERROR('Fats Raw Data'!AJ64,"")</f>
        <v>0</v>
      </c>
      <c r="CB64">
        <f>IFERROR('Fats Raw Data'!AL64-'Fats Raw Data'!AL65,"")</f>
        <v>0</v>
      </c>
      <c r="CC64" t="str">
        <f>IFERROR(AVERAGE('Fats Raw Data'!AL64:AL68),"")</f>
        <v/>
      </c>
      <c r="CD64" t="str">
        <f>IFERROR(SUMPRODUCT('Fats Raw Data'!AF64:AF83,'Fats Raw Data'!AK64:AK83)/SUM('Fats Raw Data'!AK64:AK83),"")</f>
        <v/>
      </c>
      <c r="CE64">
        <f>IFERROR(SQRT((SUMSQ('Fats Raw Data'!AF64:AF83)-2*SUMPRODUCT('Fats Raw Data'!AF64:AF83,'Fats Raw Data'!AF65:AF84)+SUMSQ('Fats Raw Data'!AF65:AF84)-('Fats Raw Data'!AF64-'Fats Raw Data'!AF84)^2/20)/19),"")</f>
        <v>0</v>
      </c>
      <c r="CG64">
        <f>IFERROR('Fats Raw Data'!AO64,"")</f>
        <v>0</v>
      </c>
      <c r="CH64">
        <f>IFERROR('Fats Raw Data'!AT64,"")</f>
        <v>0</v>
      </c>
      <c r="CI64">
        <f>IFERROR('Fats Raw Data'!AV64-'Fats Raw Data'!AV65,"")</f>
        <v>0</v>
      </c>
      <c r="CJ64" t="str">
        <f>IFERROR(AVERAGE('Fats Raw Data'!AV64:AV68),"")</f>
        <v/>
      </c>
      <c r="CK64" t="str">
        <f>IFERROR(SUMPRODUCT('Fats Raw Data'!AP64:AP83,'Fats Raw Data'!AU64:AU83)/SUM('Fats Raw Data'!AU64:AU83),"")</f>
        <v/>
      </c>
      <c r="CL64">
        <f>IFERROR(SQRT((SUMSQ('Fats Raw Data'!AP64:AP83)-2*SUMPRODUCT('Fats Raw Data'!AP64:AP83,'Fats Raw Data'!AP65:AP84)+SUMSQ('Fats Raw Data'!AP65:AP84)-('Fats Raw Data'!AP64-'Fats Raw Data'!AP84)^2/20)/19),"")</f>
        <v>0</v>
      </c>
      <c r="CN64">
        <f>IFERROR('Fats Raw Data'!AY64,"")</f>
        <v>0</v>
      </c>
      <c r="CO64">
        <f>IFERROR('Fats Raw Data'!BD64,"")</f>
        <v>0</v>
      </c>
      <c r="CP64">
        <f>IFERROR('Fats Raw Data'!BF64-'Fats Raw Data'!BF65,"")</f>
        <v>0</v>
      </c>
      <c r="CQ64" t="str">
        <f>IFERROR(AVERAGE('Fats Raw Data'!BF64:BF68),"")</f>
        <v/>
      </c>
      <c r="CR64" t="str">
        <f>IFERROR(SUMPRODUCT('Fats Raw Data'!AZ64:AZ83,'Fats Raw Data'!BE64:BE83)/SUM('Fats Raw Data'!BE64:BE83),"")</f>
        <v/>
      </c>
      <c r="CS64">
        <f>IFERROR(SQRT((SUMSQ('Fats Raw Data'!AZ64:AZ83)-2*SUMPRODUCT('Fats Raw Data'!AZ64:AZ83,'Fats Raw Data'!AZ65:AZ84)+SUMSQ('Fats Raw Data'!AZ65:AZ84)-('Fats Raw Data'!AZ64-'Fats Raw Data'!AZ84)^2/20)/19),"")</f>
        <v>0</v>
      </c>
    </row>
    <row r="65" spans="1:97" x14ac:dyDescent="0.25">
      <c r="A65">
        <f>IFERROR('Feeders Raw Data'!A65,"")</f>
        <v>0</v>
      </c>
      <c r="B65">
        <f>IFERROR('Feeders Raw Data'!F65,"")</f>
        <v>0</v>
      </c>
      <c r="C65">
        <f>IFERROR('Feeders Raw Data'!H65-'Feeders Raw Data'!H66,"")</f>
        <v>0</v>
      </c>
      <c r="D65" t="str">
        <f>IFERROR(AVERAGE('Feeders Raw Data'!H65:H69),"")</f>
        <v/>
      </c>
      <c r="E65" t="str">
        <f>IFERROR(SUMPRODUCT('Feeders Raw Data'!B65:B84,'Feeders Raw Data'!G65:G84)/SUM('Feeders Raw Data'!G65:G84),"")</f>
        <v/>
      </c>
      <c r="F65">
        <f>IFERROR(SQRT((SUMSQ('Feeders Raw Data'!B65:B84)-2*SUMPRODUCT('Feeders Raw Data'!B65:B84,'Feeders Raw Data'!B66:B85)+SUMSQ('Feeders Raw Data'!B66:B85)-('Feeders Raw Data'!B65-'Feeders Raw Data'!B85)^2/20)/19),"")</f>
        <v>0</v>
      </c>
      <c r="H65">
        <f>IFERROR('Feeders Raw Data'!K65,"")</f>
        <v>0</v>
      </c>
      <c r="I65">
        <f>IFERROR('Feeders Raw Data'!P65,"")</f>
        <v>0</v>
      </c>
      <c r="J65">
        <f>IFERROR('Feeders Raw Data'!R65-'Feeders Raw Data'!R66,"")</f>
        <v>0</v>
      </c>
      <c r="K65" t="str">
        <f>IFERROR(AVERAGE('Feeders Raw Data'!R65:R69),"")</f>
        <v/>
      </c>
      <c r="L65" t="str">
        <f>IFERROR(SUMPRODUCT('Feeders Raw Data'!L65:L84,'Feeders Raw Data'!Q65:Q84)/SUM('Feeders Raw Data'!Q65:Q84),"")</f>
        <v/>
      </c>
      <c r="M65">
        <f>IFERROR(SQRT((SUMSQ('Feeders Raw Data'!L65:L84)-2*SUMPRODUCT('Feeders Raw Data'!L65:L84,'Feeders Raw Data'!L66:L85)+SUMSQ('Feeders Raw Data'!L66:L85)-('Feeders Raw Data'!L65-'Feeders Raw Data'!L85)^2/20)/19),"")</f>
        <v>0</v>
      </c>
      <c r="O65">
        <f>IFERROR('Feeders Raw Data'!U65,"")</f>
        <v>0</v>
      </c>
      <c r="P65">
        <f>IFERROR('Feeders Raw Data'!Z65,"")</f>
        <v>0</v>
      </c>
      <c r="Q65">
        <f>IFERROR('Feeders Raw Data'!AB65-'Feeders Raw Data'!AB66,"")</f>
        <v>0</v>
      </c>
      <c r="R65" t="str">
        <f>IFERROR(AVERAGE('Feeders Raw Data'!AB65:AB69),"")</f>
        <v/>
      </c>
      <c r="S65" t="str">
        <f>IFERROR(SUMPRODUCT('Feeders Raw Data'!V65:V84,'Feeders Raw Data'!AA65:AA84)/SUM('Feeders Raw Data'!AA65:AA84),"")</f>
        <v/>
      </c>
      <c r="T65">
        <f>IFERROR(SQRT((SUMSQ('Feeders Raw Data'!V65:V84)-2*SUMPRODUCT('Feeders Raw Data'!V65:V84,'Feeders Raw Data'!V66:V85)+SUMSQ('Feeders Raw Data'!V66:V85)-('Feeders Raw Data'!V65-'Feeders Raw Data'!V85)^2/20)/19),"")</f>
        <v>0</v>
      </c>
      <c r="V65">
        <f>IFERROR('Feeders Raw Data'!AE65,"")</f>
        <v>0</v>
      </c>
      <c r="W65">
        <f>IFERROR('Feeders Raw Data'!AJ65,"")</f>
        <v>0</v>
      </c>
      <c r="X65">
        <f>IFERROR('Feeders Raw Data'!AL65-'Feeders Raw Data'!AL66,"")</f>
        <v>0</v>
      </c>
      <c r="Y65" t="str">
        <f>IFERROR(AVERAGE('Feeders Raw Data'!AL65:AL69),"")</f>
        <v/>
      </c>
      <c r="Z65" t="str">
        <f>IFERROR(SUMPRODUCT('Feeders Raw Data'!AF65:AF84,'Feeders Raw Data'!AK65:AK84)/SUM('Feeders Raw Data'!AK65:AK84),"")</f>
        <v/>
      </c>
      <c r="AA65">
        <f>IFERROR(SQRT((SUMSQ('Feeders Raw Data'!AF65:AF84)-2*SUMPRODUCT('Feeders Raw Data'!AF65:AF84,'Feeders Raw Data'!AF66:AF85)+SUMSQ('Feeders Raw Data'!AF66:AF85)-('Feeders Raw Data'!AF65-'Feeders Raw Data'!AF85)^2/20)/19),"")</f>
        <v>0</v>
      </c>
      <c r="AC65">
        <f>IFERROR('Feeders Raw Data'!AO65,"")</f>
        <v>0</v>
      </c>
      <c r="AD65">
        <f>IFERROR('Feeders Raw Data'!AT65,"")</f>
        <v>0</v>
      </c>
      <c r="AE65">
        <f>IFERROR('Feeders Raw Data'!AV65-'Feeders Raw Data'!AV66,"")</f>
        <v>0</v>
      </c>
      <c r="AF65" t="str">
        <f>IFERROR(AVERAGE('Feeders Raw Data'!AV65:AV69),"")</f>
        <v/>
      </c>
      <c r="AG65" t="str">
        <f>IFERROR(SUMPRODUCT('Feeders Raw Data'!AP65:AP84,'Feeders Raw Data'!AU65:AU84)/SUM('Feeders Raw Data'!AU65:AU84),"")</f>
        <v/>
      </c>
      <c r="AH65">
        <f>IFERROR(SQRT((SUMSQ('Feeders Raw Data'!AP65:AP84)-2*SUMPRODUCT('Feeders Raw Data'!AP65:AP84,'Feeders Raw Data'!AP66:AP85)+SUMSQ('Feeders Raw Data'!AP66:AP85)-('Feeders Raw Data'!AP65-'Feeders Raw Data'!AP85)^2/20)/19),"")</f>
        <v>0</v>
      </c>
      <c r="AJ65">
        <f>IFERROR('Feeders Raw Data'!AY65,"")</f>
        <v>0</v>
      </c>
      <c r="AK65">
        <f>IFERROR('Feeders Raw Data'!BD65,"")</f>
        <v>0</v>
      </c>
      <c r="AL65">
        <f>IFERROR('Feeders Raw Data'!BF65-'Feeders Raw Data'!BF66,"")</f>
        <v>0</v>
      </c>
      <c r="AM65" t="str">
        <f>IFERROR(AVERAGE('Feeders Raw Data'!BF65:BF69),"")</f>
        <v/>
      </c>
      <c r="AN65" t="str">
        <f>IFERROR(SUMPRODUCT('Feeders Raw Data'!AZ65:AZ84,'Feeders Raw Data'!BE65:BE84)/SUM('Feeders Raw Data'!BE65:BE84),"")</f>
        <v/>
      </c>
      <c r="AO65">
        <f>IFERROR(SQRT((SUMSQ('Feeders Raw Data'!AZ65:AZ84)-2*SUMPRODUCT('Feeders Raw Data'!AZ65:AZ84,'Feeders Raw Data'!AZ66:AZ85)+SUMSQ('Feeders Raw Data'!AZ66:AZ85)-('Feeders Raw Data'!AZ65-'Feeders Raw Data'!AZ85)^2/20)/19),"")</f>
        <v>0</v>
      </c>
      <c r="AQ65">
        <f>IFERROR('Feeders Raw Data'!BI65,"")</f>
        <v>0</v>
      </c>
      <c r="AR65">
        <f>IFERROR('Feeders Raw Data'!BN65,"")</f>
        <v>0</v>
      </c>
      <c r="AS65">
        <f>IFERROR('Feeders Raw Data'!BP65-'Feeders Raw Data'!BP66,"")</f>
        <v>0</v>
      </c>
      <c r="AT65" t="str">
        <f>IFERROR(AVERAGE('Feeders Raw Data'!BP65:BP69),"")</f>
        <v/>
      </c>
      <c r="AU65" t="str">
        <f>IFERROR(SUMPRODUCT('Feeders Raw Data'!BJ65:BJ84,'Feeders Raw Data'!BO65:BO84)/SUM('Feeders Raw Data'!BO65:BO84),"")</f>
        <v/>
      </c>
      <c r="AV65">
        <f>IFERROR(SQRT((SUMSQ('Feeders Raw Data'!BJ65:BJ84)-2*SUMPRODUCT('Feeders Raw Data'!BJ65:BJ84,'Feeders Raw Data'!BJ66:BJ85)+SUMSQ('Feeders Raw Data'!BJ66:BJ85)-('Feeders Raw Data'!BJ65-'Feeders Raw Data'!BJ85)^2/20)/19),"")</f>
        <v>0</v>
      </c>
      <c r="AX65">
        <f>IFERROR('Feeders Raw Data'!BS65,"")</f>
        <v>0</v>
      </c>
      <c r="AY65">
        <f>IFERROR('Feeders Raw Data'!BX65,"")</f>
        <v>0</v>
      </c>
      <c r="AZ65">
        <f>IFERROR('Feeders Raw Data'!BZ65-'Feeders Raw Data'!BZ66,"")</f>
        <v>0</v>
      </c>
      <c r="BA65" t="str">
        <f>IFERROR(AVERAGE('Feeders Raw Data'!BZ65:BZ69),"")</f>
        <v/>
      </c>
      <c r="BB65" t="str">
        <f>IFERROR(SUMPRODUCT('Feeders Raw Data'!BT65:BT84,'Feeders Raw Data'!BY65:BY84)/SUM('Feeders Raw Data'!BY65:BY84),"")</f>
        <v/>
      </c>
      <c r="BC65">
        <f>IFERROR(SQRT((SUMSQ('Feeders Raw Data'!BT65:BT84)-2*SUMPRODUCT('Feeders Raw Data'!BT65:BT84,'Feeders Raw Data'!BT66:BT85)+SUMSQ('Feeders Raw Data'!BT66:BT85)-('Feeders Raw Data'!BT65-'Feeders Raw Data'!BT85)^2/20)/19),"")</f>
        <v>0</v>
      </c>
      <c r="BE65">
        <f>IFERROR('Fats Raw Data'!A65,"")</f>
        <v>0</v>
      </c>
      <c r="BF65">
        <f>IFERROR('Fats Raw Data'!F65,"")</f>
        <v>0</v>
      </c>
      <c r="BG65">
        <f>IFERROR('Fats Raw Data'!H65-'Fats Raw Data'!H66,"")</f>
        <v>0</v>
      </c>
      <c r="BH65" t="str">
        <f>IFERROR(AVERAGE('Fats Raw Data'!H65:H69),"")</f>
        <v/>
      </c>
      <c r="BI65" t="str">
        <f>IFERROR(SUMPRODUCT('Fats Raw Data'!B65:B84,'Fats Raw Data'!G65:G84)/SUM('Fats Raw Data'!G65:G84),"")</f>
        <v/>
      </c>
      <c r="BJ65">
        <f>IFERROR(SQRT((SUMSQ('Fats Raw Data'!B65:B84)-2*SUMPRODUCT('Fats Raw Data'!B65:B84,'Fats Raw Data'!B66:B85)+SUMSQ('Fats Raw Data'!B66:B85)-('Fats Raw Data'!B65-'Fats Raw Data'!B85)^2/20)/19),"")</f>
        <v>0</v>
      </c>
      <c r="BL65">
        <f>IFERROR('Fats Raw Data'!K65,"")</f>
        <v>0</v>
      </c>
      <c r="BM65">
        <f>IFERROR('Fats Raw Data'!P65,"")</f>
        <v>0</v>
      </c>
      <c r="BN65">
        <f>IFERROR('Fats Raw Data'!R65-'Fats Raw Data'!R66,"")</f>
        <v>0</v>
      </c>
      <c r="BO65" t="str">
        <f>IFERROR(AVERAGE('Fats Raw Data'!R65:R69),"")</f>
        <v/>
      </c>
      <c r="BP65" t="str">
        <f>IFERROR(SUMPRODUCT('Fats Raw Data'!L65:L84,'Fats Raw Data'!Q65:Q84)/SUM('Fats Raw Data'!Q65:Q84),"")</f>
        <v/>
      </c>
      <c r="BQ65">
        <f>IFERROR(SQRT((SUMSQ('Fats Raw Data'!L65:L84)-2*SUMPRODUCT('Fats Raw Data'!L65:L84,'Fats Raw Data'!L66:L85)+SUMSQ('Fats Raw Data'!L66:L85)-('Fats Raw Data'!L65-'Fats Raw Data'!L85)^2/20)/19),"")</f>
        <v>0</v>
      </c>
      <c r="BS65">
        <f>IFERROR('Fats Raw Data'!U65,"")</f>
        <v>0</v>
      </c>
      <c r="BT65">
        <f>IFERROR('Fats Raw Data'!Z65,"")</f>
        <v>0</v>
      </c>
      <c r="BU65">
        <f>IFERROR('Fats Raw Data'!AB65-'Fats Raw Data'!AB66,"")</f>
        <v>0</v>
      </c>
      <c r="BV65" t="str">
        <f>IFERROR(AVERAGE('Fats Raw Data'!AB65:AB69),"")</f>
        <v/>
      </c>
      <c r="BW65" t="str">
        <f>IFERROR(SUMPRODUCT('Fats Raw Data'!V65:V84,'Fats Raw Data'!AA65:AA84)/SUM('Fats Raw Data'!AA65:AA84),"")</f>
        <v/>
      </c>
      <c r="BX65">
        <f>IFERROR(SQRT((SUMSQ('Fats Raw Data'!V65:V84)-2*SUMPRODUCT('Fats Raw Data'!V65:V84,'Fats Raw Data'!V66:V85)+SUMSQ('Fats Raw Data'!V66:V85)-('Fats Raw Data'!V65-'Fats Raw Data'!V85)^2/20)/19),"")</f>
        <v>0</v>
      </c>
      <c r="BZ65">
        <f>IFERROR('Fats Raw Data'!AE65,"")</f>
        <v>0</v>
      </c>
      <c r="CA65">
        <f>IFERROR('Fats Raw Data'!AJ65,"")</f>
        <v>0</v>
      </c>
      <c r="CB65">
        <f>IFERROR('Fats Raw Data'!AL65-'Fats Raw Data'!AL66,"")</f>
        <v>0</v>
      </c>
      <c r="CC65" t="str">
        <f>IFERROR(AVERAGE('Fats Raw Data'!AL65:AL69),"")</f>
        <v/>
      </c>
      <c r="CD65" t="str">
        <f>IFERROR(SUMPRODUCT('Fats Raw Data'!AF65:AF84,'Fats Raw Data'!AK65:AK84)/SUM('Fats Raw Data'!AK65:AK84),"")</f>
        <v/>
      </c>
      <c r="CE65">
        <f>IFERROR(SQRT((SUMSQ('Fats Raw Data'!AF65:AF84)-2*SUMPRODUCT('Fats Raw Data'!AF65:AF84,'Fats Raw Data'!AF66:AF85)+SUMSQ('Fats Raw Data'!AF66:AF85)-('Fats Raw Data'!AF65-'Fats Raw Data'!AF85)^2/20)/19),"")</f>
        <v>0</v>
      </c>
      <c r="CG65">
        <f>IFERROR('Fats Raw Data'!AO65,"")</f>
        <v>0</v>
      </c>
      <c r="CH65">
        <f>IFERROR('Fats Raw Data'!AT65,"")</f>
        <v>0</v>
      </c>
      <c r="CI65">
        <f>IFERROR('Fats Raw Data'!AV65-'Fats Raw Data'!AV66,"")</f>
        <v>0</v>
      </c>
      <c r="CJ65" t="str">
        <f>IFERROR(AVERAGE('Fats Raw Data'!AV65:AV69),"")</f>
        <v/>
      </c>
      <c r="CK65" t="str">
        <f>IFERROR(SUMPRODUCT('Fats Raw Data'!AP65:AP84,'Fats Raw Data'!AU65:AU84)/SUM('Fats Raw Data'!AU65:AU84),"")</f>
        <v/>
      </c>
      <c r="CL65">
        <f>IFERROR(SQRT((SUMSQ('Fats Raw Data'!AP65:AP84)-2*SUMPRODUCT('Fats Raw Data'!AP65:AP84,'Fats Raw Data'!AP66:AP85)+SUMSQ('Fats Raw Data'!AP66:AP85)-('Fats Raw Data'!AP65-'Fats Raw Data'!AP85)^2/20)/19),"")</f>
        <v>0</v>
      </c>
      <c r="CN65">
        <f>IFERROR('Fats Raw Data'!AY65,"")</f>
        <v>0</v>
      </c>
      <c r="CO65">
        <f>IFERROR('Fats Raw Data'!BD65,"")</f>
        <v>0</v>
      </c>
      <c r="CP65">
        <f>IFERROR('Fats Raw Data'!BF65-'Fats Raw Data'!BF66,"")</f>
        <v>0</v>
      </c>
      <c r="CQ65" t="str">
        <f>IFERROR(AVERAGE('Fats Raw Data'!BF65:BF69),"")</f>
        <v/>
      </c>
      <c r="CR65" t="str">
        <f>IFERROR(SUMPRODUCT('Fats Raw Data'!AZ65:AZ84,'Fats Raw Data'!BE65:BE84)/SUM('Fats Raw Data'!BE65:BE84),"")</f>
        <v/>
      </c>
      <c r="CS65">
        <f>IFERROR(SQRT((SUMSQ('Fats Raw Data'!AZ65:AZ84)-2*SUMPRODUCT('Fats Raw Data'!AZ65:AZ84,'Fats Raw Data'!AZ66:AZ85)+SUMSQ('Fats Raw Data'!AZ66:AZ85)-('Fats Raw Data'!AZ65-'Fats Raw Data'!AZ85)^2/20)/19),"")</f>
        <v>0</v>
      </c>
    </row>
    <row r="66" spans="1:97" x14ac:dyDescent="0.25">
      <c r="A66">
        <f>IFERROR('Feeders Raw Data'!A66,"")</f>
        <v>0</v>
      </c>
      <c r="B66">
        <f>IFERROR('Feeders Raw Data'!F66,"")</f>
        <v>0</v>
      </c>
      <c r="C66">
        <f>IFERROR('Feeders Raw Data'!H66-'Feeders Raw Data'!H67,"")</f>
        <v>0</v>
      </c>
      <c r="D66" t="str">
        <f>IFERROR(AVERAGE('Feeders Raw Data'!H66:H70),"")</f>
        <v/>
      </c>
      <c r="E66" t="str">
        <f>IFERROR(SUMPRODUCT('Feeders Raw Data'!B66:B85,'Feeders Raw Data'!G66:G85)/SUM('Feeders Raw Data'!G66:G85),"")</f>
        <v/>
      </c>
      <c r="F66">
        <f>IFERROR(SQRT((SUMSQ('Feeders Raw Data'!B66:B85)-2*SUMPRODUCT('Feeders Raw Data'!B66:B85,'Feeders Raw Data'!B67:B86)+SUMSQ('Feeders Raw Data'!B67:B86)-('Feeders Raw Data'!B66-'Feeders Raw Data'!B86)^2/20)/19),"")</f>
        <v>0</v>
      </c>
      <c r="H66">
        <f>IFERROR('Feeders Raw Data'!K66,"")</f>
        <v>0</v>
      </c>
      <c r="I66">
        <f>IFERROR('Feeders Raw Data'!P66,"")</f>
        <v>0</v>
      </c>
      <c r="J66">
        <f>IFERROR('Feeders Raw Data'!R66-'Feeders Raw Data'!R67,"")</f>
        <v>0</v>
      </c>
      <c r="K66" t="str">
        <f>IFERROR(AVERAGE('Feeders Raw Data'!R66:R70),"")</f>
        <v/>
      </c>
      <c r="L66" t="str">
        <f>IFERROR(SUMPRODUCT('Feeders Raw Data'!L66:L85,'Feeders Raw Data'!Q66:Q85)/SUM('Feeders Raw Data'!Q66:Q85),"")</f>
        <v/>
      </c>
      <c r="M66">
        <f>IFERROR(SQRT((SUMSQ('Feeders Raw Data'!L66:L85)-2*SUMPRODUCT('Feeders Raw Data'!L66:L85,'Feeders Raw Data'!L67:L86)+SUMSQ('Feeders Raw Data'!L67:L86)-('Feeders Raw Data'!L66-'Feeders Raw Data'!L86)^2/20)/19),"")</f>
        <v>0</v>
      </c>
      <c r="O66">
        <f>IFERROR('Feeders Raw Data'!U66,"")</f>
        <v>0</v>
      </c>
      <c r="P66">
        <f>IFERROR('Feeders Raw Data'!Z66,"")</f>
        <v>0</v>
      </c>
      <c r="Q66">
        <f>IFERROR('Feeders Raw Data'!AB66-'Feeders Raw Data'!AB67,"")</f>
        <v>0</v>
      </c>
      <c r="R66" t="str">
        <f>IFERROR(AVERAGE('Feeders Raw Data'!AB66:AB70),"")</f>
        <v/>
      </c>
      <c r="S66" t="str">
        <f>IFERROR(SUMPRODUCT('Feeders Raw Data'!V66:V85,'Feeders Raw Data'!AA66:AA85)/SUM('Feeders Raw Data'!AA66:AA85),"")</f>
        <v/>
      </c>
      <c r="T66">
        <f>IFERROR(SQRT((SUMSQ('Feeders Raw Data'!V66:V85)-2*SUMPRODUCT('Feeders Raw Data'!V66:V85,'Feeders Raw Data'!V67:V86)+SUMSQ('Feeders Raw Data'!V67:V86)-('Feeders Raw Data'!V66-'Feeders Raw Data'!V86)^2/20)/19),"")</f>
        <v>0</v>
      </c>
      <c r="V66">
        <f>IFERROR('Feeders Raw Data'!AE66,"")</f>
        <v>0</v>
      </c>
      <c r="W66">
        <f>IFERROR('Feeders Raw Data'!AJ66,"")</f>
        <v>0</v>
      </c>
      <c r="X66">
        <f>IFERROR('Feeders Raw Data'!AL66-'Feeders Raw Data'!AL67,"")</f>
        <v>0</v>
      </c>
      <c r="Y66" t="str">
        <f>IFERROR(AVERAGE('Feeders Raw Data'!AL66:AL70),"")</f>
        <v/>
      </c>
      <c r="Z66" t="str">
        <f>IFERROR(SUMPRODUCT('Feeders Raw Data'!AF66:AF85,'Feeders Raw Data'!AK66:AK85)/SUM('Feeders Raw Data'!AK66:AK85),"")</f>
        <v/>
      </c>
      <c r="AA66">
        <f>IFERROR(SQRT((SUMSQ('Feeders Raw Data'!AF66:AF85)-2*SUMPRODUCT('Feeders Raw Data'!AF66:AF85,'Feeders Raw Data'!AF67:AF86)+SUMSQ('Feeders Raw Data'!AF67:AF86)-('Feeders Raw Data'!AF66-'Feeders Raw Data'!AF86)^2/20)/19),"")</f>
        <v>0</v>
      </c>
      <c r="AC66">
        <f>IFERROR('Feeders Raw Data'!AO66,"")</f>
        <v>0</v>
      </c>
      <c r="AD66">
        <f>IFERROR('Feeders Raw Data'!AT66,"")</f>
        <v>0</v>
      </c>
      <c r="AE66">
        <f>IFERROR('Feeders Raw Data'!AV66-'Feeders Raw Data'!AV67,"")</f>
        <v>0</v>
      </c>
      <c r="AF66" t="str">
        <f>IFERROR(AVERAGE('Feeders Raw Data'!AV66:AV70),"")</f>
        <v/>
      </c>
      <c r="AG66" t="str">
        <f>IFERROR(SUMPRODUCT('Feeders Raw Data'!AP66:AP85,'Feeders Raw Data'!AU66:AU85)/SUM('Feeders Raw Data'!AU66:AU85),"")</f>
        <v/>
      </c>
      <c r="AH66">
        <f>IFERROR(SQRT((SUMSQ('Feeders Raw Data'!AP66:AP85)-2*SUMPRODUCT('Feeders Raw Data'!AP66:AP85,'Feeders Raw Data'!AP67:AP86)+SUMSQ('Feeders Raw Data'!AP67:AP86)-('Feeders Raw Data'!AP66-'Feeders Raw Data'!AP86)^2/20)/19),"")</f>
        <v>0</v>
      </c>
      <c r="AJ66">
        <f>IFERROR('Feeders Raw Data'!AY66,"")</f>
        <v>0</v>
      </c>
      <c r="AK66">
        <f>IFERROR('Feeders Raw Data'!BD66,"")</f>
        <v>0</v>
      </c>
      <c r="AL66">
        <f>IFERROR('Feeders Raw Data'!BF66-'Feeders Raw Data'!BF67,"")</f>
        <v>0</v>
      </c>
      <c r="AM66" t="str">
        <f>IFERROR(AVERAGE('Feeders Raw Data'!BF66:BF70),"")</f>
        <v/>
      </c>
      <c r="AN66" t="str">
        <f>IFERROR(SUMPRODUCT('Feeders Raw Data'!AZ66:AZ85,'Feeders Raw Data'!BE66:BE85)/SUM('Feeders Raw Data'!BE66:BE85),"")</f>
        <v/>
      </c>
      <c r="AO66">
        <f>IFERROR(SQRT((SUMSQ('Feeders Raw Data'!AZ66:AZ85)-2*SUMPRODUCT('Feeders Raw Data'!AZ66:AZ85,'Feeders Raw Data'!AZ67:AZ86)+SUMSQ('Feeders Raw Data'!AZ67:AZ86)-('Feeders Raw Data'!AZ66-'Feeders Raw Data'!AZ86)^2/20)/19),"")</f>
        <v>0</v>
      </c>
      <c r="AQ66">
        <f>IFERROR('Feeders Raw Data'!BI66,"")</f>
        <v>0</v>
      </c>
      <c r="AR66">
        <f>IFERROR('Feeders Raw Data'!BN66,"")</f>
        <v>0</v>
      </c>
      <c r="AS66">
        <f>IFERROR('Feeders Raw Data'!BP66-'Feeders Raw Data'!BP67,"")</f>
        <v>0</v>
      </c>
      <c r="AT66" t="str">
        <f>IFERROR(AVERAGE('Feeders Raw Data'!BP66:BP70),"")</f>
        <v/>
      </c>
      <c r="AU66" t="str">
        <f>IFERROR(SUMPRODUCT('Feeders Raw Data'!BJ66:BJ85,'Feeders Raw Data'!BO66:BO85)/SUM('Feeders Raw Data'!BO66:BO85),"")</f>
        <v/>
      </c>
      <c r="AV66">
        <f>IFERROR(SQRT((SUMSQ('Feeders Raw Data'!BJ66:BJ85)-2*SUMPRODUCT('Feeders Raw Data'!BJ66:BJ85,'Feeders Raw Data'!BJ67:BJ86)+SUMSQ('Feeders Raw Data'!BJ67:BJ86)-('Feeders Raw Data'!BJ66-'Feeders Raw Data'!BJ86)^2/20)/19),"")</f>
        <v>0</v>
      </c>
      <c r="AX66">
        <f>IFERROR('Feeders Raw Data'!BS66,"")</f>
        <v>0</v>
      </c>
      <c r="AY66">
        <f>IFERROR('Feeders Raw Data'!BX66,"")</f>
        <v>0</v>
      </c>
      <c r="AZ66">
        <f>IFERROR('Feeders Raw Data'!BZ66-'Feeders Raw Data'!BZ67,"")</f>
        <v>0</v>
      </c>
      <c r="BA66" t="str">
        <f>IFERROR(AVERAGE('Feeders Raw Data'!BZ66:BZ70),"")</f>
        <v/>
      </c>
      <c r="BB66" t="str">
        <f>IFERROR(SUMPRODUCT('Feeders Raw Data'!BT66:BT85,'Feeders Raw Data'!BY66:BY85)/SUM('Feeders Raw Data'!BY66:BY85),"")</f>
        <v/>
      </c>
      <c r="BC66">
        <f>IFERROR(SQRT((SUMSQ('Feeders Raw Data'!BT66:BT85)-2*SUMPRODUCT('Feeders Raw Data'!BT66:BT85,'Feeders Raw Data'!BT67:BT86)+SUMSQ('Feeders Raw Data'!BT67:BT86)-('Feeders Raw Data'!BT66-'Feeders Raw Data'!BT86)^2/20)/19),"")</f>
        <v>0</v>
      </c>
      <c r="BE66">
        <f>IFERROR('Fats Raw Data'!A66,"")</f>
        <v>0</v>
      </c>
      <c r="BF66">
        <f>IFERROR('Fats Raw Data'!F66,"")</f>
        <v>0</v>
      </c>
      <c r="BG66">
        <f>IFERROR('Fats Raw Data'!H66-'Fats Raw Data'!H67,"")</f>
        <v>0</v>
      </c>
      <c r="BH66" t="str">
        <f>IFERROR(AVERAGE('Fats Raw Data'!H66:H70),"")</f>
        <v/>
      </c>
      <c r="BI66" t="str">
        <f>IFERROR(SUMPRODUCT('Fats Raw Data'!B66:B85,'Fats Raw Data'!G66:G85)/SUM('Fats Raw Data'!G66:G85),"")</f>
        <v/>
      </c>
      <c r="BJ66">
        <f>IFERROR(SQRT((SUMSQ('Fats Raw Data'!B66:B85)-2*SUMPRODUCT('Fats Raw Data'!B66:B85,'Fats Raw Data'!B67:B86)+SUMSQ('Fats Raw Data'!B67:B86)-('Fats Raw Data'!B66-'Fats Raw Data'!B86)^2/20)/19),"")</f>
        <v>0</v>
      </c>
      <c r="BL66">
        <f>IFERROR('Fats Raw Data'!K66,"")</f>
        <v>0</v>
      </c>
      <c r="BM66">
        <f>IFERROR('Fats Raw Data'!P66,"")</f>
        <v>0</v>
      </c>
      <c r="BN66">
        <f>IFERROR('Fats Raw Data'!R66-'Fats Raw Data'!R67,"")</f>
        <v>0</v>
      </c>
      <c r="BO66" t="str">
        <f>IFERROR(AVERAGE('Fats Raw Data'!R66:R70),"")</f>
        <v/>
      </c>
      <c r="BP66" t="str">
        <f>IFERROR(SUMPRODUCT('Fats Raw Data'!L66:L85,'Fats Raw Data'!Q66:Q85)/SUM('Fats Raw Data'!Q66:Q85),"")</f>
        <v/>
      </c>
      <c r="BQ66">
        <f>IFERROR(SQRT((SUMSQ('Fats Raw Data'!L66:L85)-2*SUMPRODUCT('Fats Raw Data'!L66:L85,'Fats Raw Data'!L67:L86)+SUMSQ('Fats Raw Data'!L67:L86)-('Fats Raw Data'!L66-'Fats Raw Data'!L86)^2/20)/19),"")</f>
        <v>0</v>
      </c>
      <c r="BS66">
        <f>IFERROR('Fats Raw Data'!U66,"")</f>
        <v>0</v>
      </c>
      <c r="BT66">
        <f>IFERROR('Fats Raw Data'!Z66,"")</f>
        <v>0</v>
      </c>
      <c r="BU66">
        <f>IFERROR('Fats Raw Data'!AB66-'Fats Raw Data'!AB67,"")</f>
        <v>0</v>
      </c>
      <c r="BV66" t="str">
        <f>IFERROR(AVERAGE('Fats Raw Data'!AB66:AB70),"")</f>
        <v/>
      </c>
      <c r="BW66" t="str">
        <f>IFERROR(SUMPRODUCT('Fats Raw Data'!V66:V85,'Fats Raw Data'!AA66:AA85)/SUM('Fats Raw Data'!AA66:AA85),"")</f>
        <v/>
      </c>
      <c r="BX66">
        <f>IFERROR(SQRT((SUMSQ('Fats Raw Data'!V66:V85)-2*SUMPRODUCT('Fats Raw Data'!V66:V85,'Fats Raw Data'!V67:V86)+SUMSQ('Fats Raw Data'!V67:V86)-('Fats Raw Data'!V66-'Fats Raw Data'!V86)^2/20)/19),"")</f>
        <v>0</v>
      </c>
      <c r="BZ66">
        <f>IFERROR('Fats Raw Data'!AE66,"")</f>
        <v>0</v>
      </c>
      <c r="CA66">
        <f>IFERROR('Fats Raw Data'!AJ66,"")</f>
        <v>0</v>
      </c>
      <c r="CB66">
        <f>IFERROR('Fats Raw Data'!AL66-'Fats Raw Data'!AL67,"")</f>
        <v>0</v>
      </c>
      <c r="CC66" t="str">
        <f>IFERROR(AVERAGE('Fats Raw Data'!AL66:AL70),"")</f>
        <v/>
      </c>
      <c r="CD66" t="str">
        <f>IFERROR(SUMPRODUCT('Fats Raw Data'!AF66:AF85,'Fats Raw Data'!AK66:AK85)/SUM('Fats Raw Data'!AK66:AK85),"")</f>
        <v/>
      </c>
      <c r="CE66">
        <f>IFERROR(SQRT((SUMSQ('Fats Raw Data'!AF66:AF85)-2*SUMPRODUCT('Fats Raw Data'!AF66:AF85,'Fats Raw Data'!AF67:AF86)+SUMSQ('Fats Raw Data'!AF67:AF86)-('Fats Raw Data'!AF66-'Fats Raw Data'!AF86)^2/20)/19),"")</f>
        <v>0</v>
      </c>
      <c r="CG66">
        <f>IFERROR('Fats Raw Data'!AO66,"")</f>
        <v>0</v>
      </c>
      <c r="CH66">
        <f>IFERROR('Fats Raw Data'!AT66,"")</f>
        <v>0</v>
      </c>
      <c r="CI66">
        <f>IFERROR('Fats Raw Data'!AV66-'Fats Raw Data'!AV67,"")</f>
        <v>0</v>
      </c>
      <c r="CJ66" t="str">
        <f>IFERROR(AVERAGE('Fats Raw Data'!AV66:AV70),"")</f>
        <v/>
      </c>
      <c r="CK66" t="str">
        <f>IFERROR(SUMPRODUCT('Fats Raw Data'!AP66:AP85,'Fats Raw Data'!AU66:AU85)/SUM('Fats Raw Data'!AU66:AU85),"")</f>
        <v/>
      </c>
      <c r="CL66">
        <f>IFERROR(SQRT((SUMSQ('Fats Raw Data'!AP66:AP85)-2*SUMPRODUCT('Fats Raw Data'!AP66:AP85,'Fats Raw Data'!AP67:AP86)+SUMSQ('Fats Raw Data'!AP67:AP86)-('Fats Raw Data'!AP66-'Fats Raw Data'!AP86)^2/20)/19),"")</f>
        <v>0</v>
      </c>
      <c r="CN66">
        <f>IFERROR('Fats Raw Data'!AY66,"")</f>
        <v>0</v>
      </c>
      <c r="CO66">
        <f>IFERROR('Fats Raw Data'!BD66,"")</f>
        <v>0</v>
      </c>
      <c r="CP66">
        <f>IFERROR('Fats Raw Data'!BF66-'Fats Raw Data'!BF67,"")</f>
        <v>0</v>
      </c>
      <c r="CQ66" t="str">
        <f>IFERROR(AVERAGE('Fats Raw Data'!BF66:BF70),"")</f>
        <v/>
      </c>
      <c r="CR66" t="str">
        <f>IFERROR(SUMPRODUCT('Fats Raw Data'!AZ66:AZ85,'Fats Raw Data'!BE66:BE85)/SUM('Fats Raw Data'!BE66:BE85),"")</f>
        <v/>
      </c>
      <c r="CS66">
        <f>IFERROR(SQRT((SUMSQ('Fats Raw Data'!AZ66:AZ85)-2*SUMPRODUCT('Fats Raw Data'!AZ66:AZ85,'Fats Raw Data'!AZ67:AZ86)+SUMSQ('Fats Raw Data'!AZ67:AZ86)-('Fats Raw Data'!AZ66-'Fats Raw Data'!AZ86)^2/20)/19),"")</f>
        <v>0</v>
      </c>
    </row>
    <row r="67" spans="1:97" x14ac:dyDescent="0.25">
      <c r="A67">
        <f>IFERROR('Feeders Raw Data'!A67,"")</f>
        <v>0</v>
      </c>
      <c r="B67">
        <f>IFERROR('Feeders Raw Data'!F67,"")</f>
        <v>0</v>
      </c>
      <c r="C67">
        <f>IFERROR('Feeders Raw Data'!H67-'Feeders Raw Data'!H68,"")</f>
        <v>0</v>
      </c>
      <c r="D67" t="str">
        <f>IFERROR(AVERAGE('Feeders Raw Data'!H67:H71),"")</f>
        <v/>
      </c>
      <c r="E67" t="str">
        <f>IFERROR(SUMPRODUCT('Feeders Raw Data'!B67:B86,'Feeders Raw Data'!G67:G86)/SUM('Feeders Raw Data'!G67:G86),"")</f>
        <v/>
      </c>
      <c r="F67">
        <f>IFERROR(SQRT((SUMSQ('Feeders Raw Data'!B67:B86)-2*SUMPRODUCT('Feeders Raw Data'!B67:B86,'Feeders Raw Data'!B68:B87)+SUMSQ('Feeders Raw Data'!B68:B87)-('Feeders Raw Data'!B67-'Feeders Raw Data'!B87)^2/20)/19),"")</f>
        <v>0</v>
      </c>
      <c r="H67">
        <f>IFERROR('Feeders Raw Data'!K67,"")</f>
        <v>0</v>
      </c>
      <c r="I67">
        <f>IFERROR('Feeders Raw Data'!P67,"")</f>
        <v>0</v>
      </c>
      <c r="J67">
        <f>IFERROR('Feeders Raw Data'!R67-'Feeders Raw Data'!R68,"")</f>
        <v>0</v>
      </c>
      <c r="K67" t="str">
        <f>IFERROR(AVERAGE('Feeders Raw Data'!R67:R71),"")</f>
        <v/>
      </c>
      <c r="L67" t="str">
        <f>IFERROR(SUMPRODUCT('Feeders Raw Data'!L67:L86,'Feeders Raw Data'!Q67:Q86)/SUM('Feeders Raw Data'!Q67:Q86),"")</f>
        <v/>
      </c>
      <c r="M67">
        <f>IFERROR(SQRT((SUMSQ('Feeders Raw Data'!L67:L86)-2*SUMPRODUCT('Feeders Raw Data'!L67:L86,'Feeders Raw Data'!L68:L87)+SUMSQ('Feeders Raw Data'!L68:L87)-('Feeders Raw Data'!L67-'Feeders Raw Data'!L87)^2/20)/19),"")</f>
        <v>0</v>
      </c>
      <c r="O67">
        <f>IFERROR('Feeders Raw Data'!U67,"")</f>
        <v>0</v>
      </c>
      <c r="P67">
        <f>IFERROR('Feeders Raw Data'!Z67,"")</f>
        <v>0</v>
      </c>
      <c r="Q67">
        <f>IFERROR('Feeders Raw Data'!AB67-'Feeders Raw Data'!AB68,"")</f>
        <v>0</v>
      </c>
      <c r="R67" t="str">
        <f>IFERROR(AVERAGE('Feeders Raw Data'!AB67:AB71),"")</f>
        <v/>
      </c>
      <c r="S67" t="str">
        <f>IFERROR(SUMPRODUCT('Feeders Raw Data'!V67:V86,'Feeders Raw Data'!AA67:AA86)/SUM('Feeders Raw Data'!AA67:AA86),"")</f>
        <v/>
      </c>
      <c r="T67">
        <f>IFERROR(SQRT((SUMSQ('Feeders Raw Data'!V67:V86)-2*SUMPRODUCT('Feeders Raw Data'!V67:V86,'Feeders Raw Data'!V68:V87)+SUMSQ('Feeders Raw Data'!V68:V87)-('Feeders Raw Data'!V67-'Feeders Raw Data'!V87)^2/20)/19),"")</f>
        <v>0</v>
      </c>
      <c r="V67">
        <f>IFERROR('Feeders Raw Data'!AE67,"")</f>
        <v>0</v>
      </c>
      <c r="W67">
        <f>IFERROR('Feeders Raw Data'!AJ67,"")</f>
        <v>0</v>
      </c>
      <c r="X67">
        <f>IFERROR('Feeders Raw Data'!AL67-'Feeders Raw Data'!AL68,"")</f>
        <v>0</v>
      </c>
      <c r="Y67" t="str">
        <f>IFERROR(AVERAGE('Feeders Raw Data'!AL67:AL71),"")</f>
        <v/>
      </c>
      <c r="Z67" t="str">
        <f>IFERROR(SUMPRODUCT('Feeders Raw Data'!AF67:AF86,'Feeders Raw Data'!AK67:AK86)/SUM('Feeders Raw Data'!AK67:AK86),"")</f>
        <v/>
      </c>
      <c r="AA67">
        <f>IFERROR(SQRT((SUMSQ('Feeders Raw Data'!AF67:AF86)-2*SUMPRODUCT('Feeders Raw Data'!AF67:AF86,'Feeders Raw Data'!AF68:AF87)+SUMSQ('Feeders Raw Data'!AF68:AF87)-('Feeders Raw Data'!AF67-'Feeders Raw Data'!AF87)^2/20)/19),"")</f>
        <v>0</v>
      </c>
      <c r="AC67">
        <f>IFERROR('Feeders Raw Data'!AO67,"")</f>
        <v>0</v>
      </c>
      <c r="AD67">
        <f>IFERROR('Feeders Raw Data'!AT67,"")</f>
        <v>0</v>
      </c>
      <c r="AE67">
        <f>IFERROR('Feeders Raw Data'!AV67-'Feeders Raw Data'!AV68,"")</f>
        <v>0</v>
      </c>
      <c r="AF67" t="str">
        <f>IFERROR(AVERAGE('Feeders Raw Data'!AV67:AV71),"")</f>
        <v/>
      </c>
      <c r="AG67" t="str">
        <f>IFERROR(SUMPRODUCT('Feeders Raw Data'!AP67:AP86,'Feeders Raw Data'!AU67:AU86)/SUM('Feeders Raw Data'!AU67:AU86),"")</f>
        <v/>
      </c>
      <c r="AH67">
        <f>IFERROR(SQRT((SUMSQ('Feeders Raw Data'!AP67:AP86)-2*SUMPRODUCT('Feeders Raw Data'!AP67:AP86,'Feeders Raw Data'!AP68:AP87)+SUMSQ('Feeders Raw Data'!AP68:AP87)-('Feeders Raw Data'!AP67-'Feeders Raw Data'!AP87)^2/20)/19),"")</f>
        <v>0</v>
      </c>
      <c r="AJ67">
        <f>IFERROR('Feeders Raw Data'!AY67,"")</f>
        <v>0</v>
      </c>
      <c r="AK67">
        <f>IFERROR('Feeders Raw Data'!BD67,"")</f>
        <v>0</v>
      </c>
      <c r="AL67">
        <f>IFERROR('Feeders Raw Data'!BF67-'Feeders Raw Data'!BF68,"")</f>
        <v>0</v>
      </c>
      <c r="AM67" t="str">
        <f>IFERROR(AVERAGE('Feeders Raw Data'!BF67:BF71),"")</f>
        <v/>
      </c>
      <c r="AN67" t="str">
        <f>IFERROR(SUMPRODUCT('Feeders Raw Data'!AZ67:AZ86,'Feeders Raw Data'!BE67:BE86)/SUM('Feeders Raw Data'!BE67:BE86),"")</f>
        <v/>
      </c>
      <c r="AO67">
        <f>IFERROR(SQRT((SUMSQ('Feeders Raw Data'!AZ67:AZ86)-2*SUMPRODUCT('Feeders Raw Data'!AZ67:AZ86,'Feeders Raw Data'!AZ68:AZ87)+SUMSQ('Feeders Raw Data'!AZ68:AZ87)-('Feeders Raw Data'!AZ67-'Feeders Raw Data'!AZ87)^2/20)/19),"")</f>
        <v>0</v>
      </c>
      <c r="AQ67">
        <f>IFERROR('Feeders Raw Data'!BI67,"")</f>
        <v>0</v>
      </c>
      <c r="AR67">
        <f>IFERROR('Feeders Raw Data'!BN67,"")</f>
        <v>0</v>
      </c>
      <c r="AS67">
        <f>IFERROR('Feeders Raw Data'!BP67-'Feeders Raw Data'!BP68,"")</f>
        <v>0</v>
      </c>
      <c r="AT67" t="str">
        <f>IFERROR(AVERAGE('Feeders Raw Data'!BP67:BP71),"")</f>
        <v/>
      </c>
      <c r="AU67" t="str">
        <f>IFERROR(SUMPRODUCT('Feeders Raw Data'!BJ67:BJ86,'Feeders Raw Data'!BO67:BO86)/SUM('Feeders Raw Data'!BO67:BO86),"")</f>
        <v/>
      </c>
      <c r="AV67">
        <f>IFERROR(SQRT((SUMSQ('Feeders Raw Data'!BJ67:BJ86)-2*SUMPRODUCT('Feeders Raw Data'!BJ67:BJ86,'Feeders Raw Data'!BJ68:BJ87)+SUMSQ('Feeders Raw Data'!BJ68:BJ87)-('Feeders Raw Data'!BJ67-'Feeders Raw Data'!BJ87)^2/20)/19),"")</f>
        <v>0</v>
      </c>
      <c r="AX67">
        <f>IFERROR('Feeders Raw Data'!BS67,"")</f>
        <v>0</v>
      </c>
      <c r="AY67">
        <f>IFERROR('Feeders Raw Data'!BX67,"")</f>
        <v>0</v>
      </c>
      <c r="AZ67">
        <f>IFERROR('Feeders Raw Data'!BZ67-'Feeders Raw Data'!BZ68,"")</f>
        <v>0</v>
      </c>
      <c r="BA67" t="str">
        <f>IFERROR(AVERAGE('Feeders Raw Data'!BZ67:BZ71),"")</f>
        <v/>
      </c>
      <c r="BB67" t="str">
        <f>IFERROR(SUMPRODUCT('Feeders Raw Data'!BT67:BT86,'Feeders Raw Data'!BY67:BY86)/SUM('Feeders Raw Data'!BY67:BY86),"")</f>
        <v/>
      </c>
      <c r="BC67">
        <f>IFERROR(SQRT((SUMSQ('Feeders Raw Data'!BT67:BT86)-2*SUMPRODUCT('Feeders Raw Data'!BT67:BT86,'Feeders Raw Data'!BT68:BT87)+SUMSQ('Feeders Raw Data'!BT68:BT87)-('Feeders Raw Data'!BT67-'Feeders Raw Data'!BT87)^2/20)/19),"")</f>
        <v>0</v>
      </c>
      <c r="BE67">
        <f>IFERROR('Fats Raw Data'!A67,"")</f>
        <v>0</v>
      </c>
      <c r="BF67">
        <f>IFERROR('Fats Raw Data'!F67,"")</f>
        <v>0</v>
      </c>
      <c r="BG67">
        <f>IFERROR('Fats Raw Data'!H67-'Fats Raw Data'!H68,"")</f>
        <v>0</v>
      </c>
      <c r="BH67" t="str">
        <f>IFERROR(AVERAGE('Fats Raw Data'!H67:H71),"")</f>
        <v/>
      </c>
      <c r="BI67" t="str">
        <f>IFERROR(SUMPRODUCT('Fats Raw Data'!B67:B86,'Fats Raw Data'!G67:G86)/SUM('Fats Raw Data'!G67:G86),"")</f>
        <v/>
      </c>
      <c r="BJ67">
        <f>IFERROR(SQRT((SUMSQ('Fats Raw Data'!B67:B86)-2*SUMPRODUCT('Fats Raw Data'!B67:B86,'Fats Raw Data'!B68:B87)+SUMSQ('Fats Raw Data'!B68:B87)-('Fats Raw Data'!B67-'Fats Raw Data'!B87)^2/20)/19),"")</f>
        <v>0</v>
      </c>
      <c r="BL67">
        <f>IFERROR('Fats Raw Data'!K67,"")</f>
        <v>0</v>
      </c>
      <c r="BM67">
        <f>IFERROR('Fats Raw Data'!P67,"")</f>
        <v>0</v>
      </c>
      <c r="BN67">
        <f>IFERROR('Fats Raw Data'!R67-'Fats Raw Data'!R68,"")</f>
        <v>0</v>
      </c>
      <c r="BO67" t="str">
        <f>IFERROR(AVERAGE('Fats Raw Data'!R67:R71),"")</f>
        <v/>
      </c>
      <c r="BP67" t="str">
        <f>IFERROR(SUMPRODUCT('Fats Raw Data'!L67:L86,'Fats Raw Data'!Q67:Q86)/SUM('Fats Raw Data'!Q67:Q86),"")</f>
        <v/>
      </c>
      <c r="BQ67">
        <f>IFERROR(SQRT((SUMSQ('Fats Raw Data'!L67:L86)-2*SUMPRODUCT('Fats Raw Data'!L67:L86,'Fats Raw Data'!L68:L87)+SUMSQ('Fats Raw Data'!L68:L87)-('Fats Raw Data'!L67-'Fats Raw Data'!L87)^2/20)/19),"")</f>
        <v>0</v>
      </c>
      <c r="BS67">
        <f>IFERROR('Fats Raw Data'!U67,"")</f>
        <v>0</v>
      </c>
      <c r="BT67">
        <f>IFERROR('Fats Raw Data'!Z67,"")</f>
        <v>0</v>
      </c>
      <c r="BU67">
        <f>IFERROR('Fats Raw Data'!AB67-'Fats Raw Data'!AB68,"")</f>
        <v>0</v>
      </c>
      <c r="BV67" t="str">
        <f>IFERROR(AVERAGE('Fats Raw Data'!AB67:AB71),"")</f>
        <v/>
      </c>
      <c r="BW67" t="str">
        <f>IFERROR(SUMPRODUCT('Fats Raw Data'!V67:V86,'Fats Raw Data'!AA67:AA86)/SUM('Fats Raw Data'!AA67:AA86),"")</f>
        <v/>
      </c>
      <c r="BX67">
        <f>IFERROR(SQRT((SUMSQ('Fats Raw Data'!V67:V86)-2*SUMPRODUCT('Fats Raw Data'!V67:V86,'Fats Raw Data'!V68:V87)+SUMSQ('Fats Raw Data'!V68:V87)-('Fats Raw Data'!V67-'Fats Raw Data'!V87)^2/20)/19),"")</f>
        <v>0</v>
      </c>
      <c r="BZ67">
        <f>IFERROR('Fats Raw Data'!AE67,"")</f>
        <v>0</v>
      </c>
      <c r="CA67">
        <f>IFERROR('Fats Raw Data'!AJ67,"")</f>
        <v>0</v>
      </c>
      <c r="CB67">
        <f>IFERROR('Fats Raw Data'!AL67-'Fats Raw Data'!AL68,"")</f>
        <v>0</v>
      </c>
      <c r="CC67" t="str">
        <f>IFERROR(AVERAGE('Fats Raw Data'!AL67:AL71),"")</f>
        <v/>
      </c>
      <c r="CD67" t="str">
        <f>IFERROR(SUMPRODUCT('Fats Raw Data'!AF67:AF86,'Fats Raw Data'!AK67:AK86)/SUM('Fats Raw Data'!AK67:AK86),"")</f>
        <v/>
      </c>
      <c r="CE67">
        <f>IFERROR(SQRT((SUMSQ('Fats Raw Data'!AF67:AF86)-2*SUMPRODUCT('Fats Raw Data'!AF67:AF86,'Fats Raw Data'!AF68:AF87)+SUMSQ('Fats Raw Data'!AF68:AF87)-('Fats Raw Data'!AF67-'Fats Raw Data'!AF87)^2/20)/19),"")</f>
        <v>0</v>
      </c>
      <c r="CG67">
        <f>IFERROR('Fats Raw Data'!AO67,"")</f>
        <v>0</v>
      </c>
      <c r="CH67">
        <f>IFERROR('Fats Raw Data'!AT67,"")</f>
        <v>0</v>
      </c>
      <c r="CI67">
        <f>IFERROR('Fats Raw Data'!AV67-'Fats Raw Data'!AV68,"")</f>
        <v>0</v>
      </c>
      <c r="CJ67" t="str">
        <f>IFERROR(AVERAGE('Fats Raw Data'!AV67:AV71),"")</f>
        <v/>
      </c>
      <c r="CK67" t="str">
        <f>IFERROR(SUMPRODUCT('Fats Raw Data'!AP67:AP86,'Fats Raw Data'!AU67:AU86)/SUM('Fats Raw Data'!AU67:AU86),"")</f>
        <v/>
      </c>
      <c r="CL67">
        <f>IFERROR(SQRT((SUMSQ('Fats Raw Data'!AP67:AP86)-2*SUMPRODUCT('Fats Raw Data'!AP67:AP86,'Fats Raw Data'!AP68:AP87)+SUMSQ('Fats Raw Data'!AP68:AP87)-('Fats Raw Data'!AP67-'Fats Raw Data'!AP87)^2/20)/19),"")</f>
        <v>0</v>
      </c>
      <c r="CN67">
        <f>IFERROR('Fats Raw Data'!AY67,"")</f>
        <v>0</v>
      </c>
      <c r="CO67">
        <f>IFERROR('Fats Raw Data'!BD67,"")</f>
        <v>0</v>
      </c>
      <c r="CP67">
        <f>IFERROR('Fats Raw Data'!BF67-'Fats Raw Data'!BF68,"")</f>
        <v>0</v>
      </c>
      <c r="CQ67" t="str">
        <f>IFERROR(AVERAGE('Fats Raw Data'!BF67:BF71),"")</f>
        <v/>
      </c>
      <c r="CR67" t="str">
        <f>IFERROR(SUMPRODUCT('Fats Raw Data'!AZ67:AZ86,'Fats Raw Data'!BE67:BE86)/SUM('Fats Raw Data'!BE67:BE86),"")</f>
        <v/>
      </c>
      <c r="CS67">
        <f>IFERROR(SQRT((SUMSQ('Fats Raw Data'!AZ67:AZ86)-2*SUMPRODUCT('Fats Raw Data'!AZ67:AZ86,'Fats Raw Data'!AZ68:AZ87)+SUMSQ('Fats Raw Data'!AZ68:AZ87)-('Fats Raw Data'!AZ67-'Fats Raw Data'!AZ87)^2/20)/19),"")</f>
        <v>0</v>
      </c>
    </row>
    <row r="68" spans="1:97" x14ac:dyDescent="0.25">
      <c r="A68">
        <f>IFERROR('Feeders Raw Data'!A68,"")</f>
        <v>0</v>
      </c>
      <c r="B68">
        <f>IFERROR('Feeders Raw Data'!F68,"")</f>
        <v>0</v>
      </c>
      <c r="C68">
        <f>IFERROR('Feeders Raw Data'!H68-'Feeders Raw Data'!H69,"")</f>
        <v>0</v>
      </c>
      <c r="D68" t="str">
        <f>IFERROR(AVERAGE('Feeders Raw Data'!H68:H72),"")</f>
        <v/>
      </c>
      <c r="E68" t="str">
        <f>IFERROR(SUMPRODUCT('Feeders Raw Data'!B68:B87,'Feeders Raw Data'!G68:G87)/SUM('Feeders Raw Data'!G68:G87),"")</f>
        <v/>
      </c>
      <c r="F68">
        <f>IFERROR(SQRT((SUMSQ('Feeders Raw Data'!B68:B87)-2*SUMPRODUCT('Feeders Raw Data'!B68:B87,'Feeders Raw Data'!B69:B88)+SUMSQ('Feeders Raw Data'!B69:B88)-('Feeders Raw Data'!B68-'Feeders Raw Data'!B88)^2/20)/19),"")</f>
        <v>0</v>
      </c>
      <c r="H68">
        <f>IFERROR('Feeders Raw Data'!K68,"")</f>
        <v>0</v>
      </c>
      <c r="I68">
        <f>IFERROR('Feeders Raw Data'!P68,"")</f>
        <v>0</v>
      </c>
      <c r="J68">
        <f>IFERROR('Feeders Raw Data'!R68-'Feeders Raw Data'!R69,"")</f>
        <v>0</v>
      </c>
      <c r="K68" t="str">
        <f>IFERROR(AVERAGE('Feeders Raw Data'!R68:R72),"")</f>
        <v/>
      </c>
      <c r="L68" t="str">
        <f>IFERROR(SUMPRODUCT('Feeders Raw Data'!L68:L87,'Feeders Raw Data'!Q68:Q87)/SUM('Feeders Raw Data'!Q68:Q87),"")</f>
        <v/>
      </c>
      <c r="M68">
        <f>IFERROR(SQRT((SUMSQ('Feeders Raw Data'!L68:L87)-2*SUMPRODUCT('Feeders Raw Data'!L68:L87,'Feeders Raw Data'!L69:L88)+SUMSQ('Feeders Raw Data'!L69:L88)-('Feeders Raw Data'!L68-'Feeders Raw Data'!L88)^2/20)/19),"")</f>
        <v>0</v>
      </c>
      <c r="O68">
        <f>IFERROR('Feeders Raw Data'!U68,"")</f>
        <v>0</v>
      </c>
      <c r="P68">
        <f>IFERROR('Feeders Raw Data'!Z68,"")</f>
        <v>0</v>
      </c>
      <c r="Q68">
        <f>IFERROR('Feeders Raw Data'!AB68-'Feeders Raw Data'!AB69,"")</f>
        <v>0</v>
      </c>
      <c r="R68" t="str">
        <f>IFERROR(AVERAGE('Feeders Raw Data'!AB68:AB72),"")</f>
        <v/>
      </c>
      <c r="S68" t="str">
        <f>IFERROR(SUMPRODUCT('Feeders Raw Data'!V68:V87,'Feeders Raw Data'!AA68:AA87)/SUM('Feeders Raw Data'!AA68:AA87),"")</f>
        <v/>
      </c>
      <c r="T68">
        <f>IFERROR(SQRT((SUMSQ('Feeders Raw Data'!V68:V87)-2*SUMPRODUCT('Feeders Raw Data'!V68:V87,'Feeders Raw Data'!V69:V88)+SUMSQ('Feeders Raw Data'!V69:V88)-('Feeders Raw Data'!V68-'Feeders Raw Data'!V88)^2/20)/19),"")</f>
        <v>0</v>
      </c>
      <c r="V68">
        <f>IFERROR('Feeders Raw Data'!AE68,"")</f>
        <v>0</v>
      </c>
      <c r="W68">
        <f>IFERROR('Feeders Raw Data'!AJ68,"")</f>
        <v>0</v>
      </c>
      <c r="X68">
        <f>IFERROR('Feeders Raw Data'!AL68-'Feeders Raw Data'!AL69,"")</f>
        <v>0</v>
      </c>
      <c r="Y68" t="str">
        <f>IFERROR(AVERAGE('Feeders Raw Data'!AL68:AL72),"")</f>
        <v/>
      </c>
      <c r="Z68" t="str">
        <f>IFERROR(SUMPRODUCT('Feeders Raw Data'!AF68:AF87,'Feeders Raw Data'!AK68:AK87)/SUM('Feeders Raw Data'!AK68:AK87),"")</f>
        <v/>
      </c>
      <c r="AA68">
        <f>IFERROR(SQRT((SUMSQ('Feeders Raw Data'!AF68:AF87)-2*SUMPRODUCT('Feeders Raw Data'!AF68:AF87,'Feeders Raw Data'!AF69:AF88)+SUMSQ('Feeders Raw Data'!AF69:AF88)-('Feeders Raw Data'!AF68-'Feeders Raw Data'!AF88)^2/20)/19),"")</f>
        <v>0</v>
      </c>
      <c r="AC68">
        <f>IFERROR('Feeders Raw Data'!AO68,"")</f>
        <v>0</v>
      </c>
      <c r="AD68">
        <f>IFERROR('Feeders Raw Data'!AT68,"")</f>
        <v>0</v>
      </c>
      <c r="AE68">
        <f>IFERROR('Feeders Raw Data'!AV68-'Feeders Raw Data'!AV69,"")</f>
        <v>0</v>
      </c>
      <c r="AF68" t="str">
        <f>IFERROR(AVERAGE('Feeders Raw Data'!AV68:AV72),"")</f>
        <v/>
      </c>
      <c r="AG68" t="str">
        <f>IFERROR(SUMPRODUCT('Feeders Raw Data'!AP68:AP87,'Feeders Raw Data'!AU68:AU87)/SUM('Feeders Raw Data'!AU68:AU87),"")</f>
        <v/>
      </c>
      <c r="AH68">
        <f>IFERROR(SQRT((SUMSQ('Feeders Raw Data'!AP68:AP87)-2*SUMPRODUCT('Feeders Raw Data'!AP68:AP87,'Feeders Raw Data'!AP69:AP88)+SUMSQ('Feeders Raw Data'!AP69:AP88)-('Feeders Raw Data'!AP68-'Feeders Raw Data'!AP88)^2/20)/19),"")</f>
        <v>0</v>
      </c>
      <c r="AJ68">
        <f>IFERROR('Feeders Raw Data'!AY68,"")</f>
        <v>0</v>
      </c>
      <c r="AK68">
        <f>IFERROR('Feeders Raw Data'!BD68,"")</f>
        <v>0</v>
      </c>
      <c r="AL68">
        <f>IFERROR('Feeders Raw Data'!BF68-'Feeders Raw Data'!BF69,"")</f>
        <v>0</v>
      </c>
      <c r="AM68" t="str">
        <f>IFERROR(AVERAGE('Feeders Raw Data'!BF68:BF72),"")</f>
        <v/>
      </c>
      <c r="AN68" t="str">
        <f>IFERROR(SUMPRODUCT('Feeders Raw Data'!AZ68:AZ87,'Feeders Raw Data'!BE68:BE87)/SUM('Feeders Raw Data'!BE68:BE87),"")</f>
        <v/>
      </c>
      <c r="AO68">
        <f>IFERROR(SQRT((SUMSQ('Feeders Raw Data'!AZ68:AZ87)-2*SUMPRODUCT('Feeders Raw Data'!AZ68:AZ87,'Feeders Raw Data'!AZ69:AZ88)+SUMSQ('Feeders Raw Data'!AZ69:AZ88)-('Feeders Raw Data'!AZ68-'Feeders Raw Data'!AZ88)^2/20)/19),"")</f>
        <v>0</v>
      </c>
      <c r="AQ68">
        <f>IFERROR('Feeders Raw Data'!BI68,"")</f>
        <v>0</v>
      </c>
      <c r="AR68">
        <f>IFERROR('Feeders Raw Data'!BN68,"")</f>
        <v>0</v>
      </c>
      <c r="AS68">
        <f>IFERROR('Feeders Raw Data'!BP68-'Feeders Raw Data'!BP69,"")</f>
        <v>0</v>
      </c>
      <c r="AT68" t="str">
        <f>IFERROR(AVERAGE('Feeders Raw Data'!BP68:BP72),"")</f>
        <v/>
      </c>
      <c r="AU68" t="str">
        <f>IFERROR(SUMPRODUCT('Feeders Raw Data'!BJ68:BJ87,'Feeders Raw Data'!BO68:BO87)/SUM('Feeders Raw Data'!BO68:BO87),"")</f>
        <v/>
      </c>
      <c r="AV68">
        <f>IFERROR(SQRT((SUMSQ('Feeders Raw Data'!BJ68:BJ87)-2*SUMPRODUCT('Feeders Raw Data'!BJ68:BJ87,'Feeders Raw Data'!BJ69:BJ88)+SUMSQ('Feeders Raw Data'!BJ69:BJ88)-('Feeders Raw Data'!BJ68-'Feeders Raw Data'!BJ88)^2/20)/19),"")</f>
        <v>0</v>
      </c>
      <c r="AX68">
        <f>IFERROR('Feeders Raw Data'!BS68,"")</f>
        <v>0</v>
      </c>
      <c r="AY68">
        <f>IFERROR('Feeders Raw Data'!BX68,"")</f>
        <v>0</v>
      </c>
      <c r="AZ68">
        <f>IFERROR('Feeders Raw Data'!BZ68-'Feeders Raw Data'!BZ69,"")</f>
        <v>0</v>
      </c>
      <c r="BA68" t="str">
        <f>IFERROR(AVERAGE('Feeders Raw Data'!BZ68:BZ72),"")</f>
        <v/>
      </c>
      <c r="BB68" t="str">
        <f>IFERROR(SUMPRODUCT('Feeders Raw Data'!BT68:BT87,'Feeders Raw Data'!BY68:BY87)/SUM('Feeders Raw Data'!BY68:BY87),"")</f>
        <v/>
      </c>
      <c r="BC68">
        <f>IFERROR(SQRT((SUMSQ('Feeders Raw Data'!BT68:BT87)-2*SUMPRODUCT('Feeders Raw Data'!BT68:BT87,'Feeders Raw Data'!BT69:BT88)+SUMSQ('Feeders Raw Data'!BT69:BT88)-('Feeders Raw Data'!BT68-'Feeders Raw Data'!BT88)^2/20)/19),"")</f>
        <v>0</v>
      </c>
      <c r="BE68">
        <f>IFERROR('Fats Raw Data'!A68,"")</f>
        <v>0</v>
      </c>
      <c r="BF68">
        <f>IFERROR('Fats Raw Data'!F68,"")</f>
        <v>0</v>
      </c>
      <c r="BG68">
        <f>IFERROR('Fats Raw Data'!H68-'Fats Raw Data'!H69,"")</f>
        <v>0</v>
      </c>
      <c r="BH68" t="str">
        <f>IFERROR(AVERAGE('Fats Raw Data'!H68:H72),"")</f>
        <v/>
      </c>
      <c r="BI68" t="str">
        <f>IFERROR(SUMPRODUCT('Fats Raw Data'!B68:B87,'Fats Raw Data'!G68:G87)/SUM('Fats Raw Data'!G68:G87),"")</f>
        <v/>
      </c>
      <c r="BJ68">
        <f>IFERROR(SQRT((SUMSQ('Fats Raw Data'!B68:B87)-2*SUMPRODUCT('Fats Raw Data'!B68:B87,'Fats Raw Data'!B69:B88)+SUMSQ('Fats Raw Data'!B69:B88)-('Fats Raw Data'!B68-'Fats Raw Data'!B88)^2/20)/19),"")</f>
        <v>0</v>
      </c>
      <c r="BL68">
        <f>IFERROR('Fats Raw Data'!K68,"")</f>
        <v>0</v>
      </c>
      <c r="BM68">
        <f>IFERROR('Fats Raw Data'!P68,"")</f>
        <v>0</v>
      </c>
      <c r="BN68">
        <f>IFERROR('Fats Raw Data'!R68-'Fats Raw Data'!R69,"")</f>
        <v>0</v>
      </c>
      <c r="BO68" t="str">
        <f>IFERROR(AVERAGE('Fats Raw Data'!R68:R72),"")</f>
        <v/>
      </c>
      <c r="BP68" t="str">
        <f>IFERROR(SUMPRODUCT('Fats Raw Data'!L68:L87,'Fats Raw Data'!Q68:Q87)/SUM('Fats Raw Data'!Q68:Q87),"")</f>
        <v/>
      </c>
      <c r="BQ68">
        <f>IFERROR(SQRT((SUMSQ('Fats Raw Data'!L68:L87)-2*SUMPRODUCT('Fats Raw Data'!L68:L87,'Fats Raw Data'!L69:L88)+SUMSQ('Fats Raw Data'!L69:L88)-('Fats Raw Data'!L68-'Fats Raw Data'!L88)^2/20)/19),"")</f>
        <v>0</v>
      </c>
      <c r="BS68">
        <f>IFERROR('Fats Raw Data'!U68,"")</f>
        <v>0</v>
      </c>
      <c r="BT68">
        <f>IFERROR('Fats Raw Data'!Z68,"")</f>
        <v>0</v>
      </c>
      <c r="BU68">
        <f>IFERROR('Fats Raw Data'!AB68-'Fats Raw Data'!AB69,"")</f>
        <v>0</v>
      </c>
      <c r="BV68" t="str">
        <f>IFERROR(AVERAGE('Fats Raw Data'!AB68:AB72),"")</f>
        <v/>
      </c>
      <c r="BW68" t="str">
        <f>IFERROR(SUMPRODUCT('Fats Raw Data'!V68:V87,'Fats Raw Data'!AA68:AA87)/SUM('Fats Raw Data'!AA68:AA87),"")</f>
        <v/>
      </c>
      <c r="BX68">
        <f>IFERROR(SQRT((SUMSQ('Fats Raw Data'!V68:V87)-2*SUMPRODUCT('Fats Raw Data'!V68:V87,'Fats Raw Data'!V69:V88)+SUMSQ('Fats Raw Data'!V69:V88)-('Fats Raw Data'!V68-'Fats Raw Data'!V88)^2/20)/19),"")</f>
        <v>0</v>
      </c>
      <c r="BZ68">
        <f>IFERROR('Fats Raw Data'!AE68,"")</f>
        <v>0</v>
      </c>
      <c r="CA68">
        <f>IFERROR('Fats Raw Data'!AJ68,"")</f>
        <v>0</v>
      </c>
      <c r="CB68">
        <f>IFERROR('Fats Raw Data'!AL68-'Fats Raw Data'!AL69,"")</f>
        <v>0</v>
      </c>
      <c r="CC68" t="str">
        <f>IFERROR(AVERAGE('Fats Raw Data'!AL68:AL72),"")</f>
        <v/>
      </c>
      <c r="CD68" t="str">
        <f>IFERROR(SUMPRODUCT('Fats Raw Data'!AF68:AF87,'Fats Raw Data'!AK68:AK87)/SUM('Fats Raw Data'!AK68:AK87),"")</f>
        <v/>
      </c>
      <c r="CE68">
        <f>IFERROR(SQRT((SUMSQ('Fats Raw Data'!AF68:AF87)-2*SUMPRODUCT('Fats Raw Data'!AF68:AF87,'Fats Raw Data'!AF69:AF88)+SUMSQ('Fats Raw Data'!AF69:AF88)-('Fats Raw Data'!AF68-'Fats Raw Data'!AF88)^2/20)/19),"")</f>
        <v>0</v>
      </c>
      <c r="CG68">
        <f>IFERROR('Fats Raw Data'!AO68,"")</f>
        <v>0</v>
      </c>
      <c r="CH68">
        <f>IFERROR('Fats Raw Data'!AT68,"")</f>
        <v>0</v>
      </c>
      <c r="CI68">
        <f>IFERROR('Fats Raw Data'!AV68-'Fats Raw Data'!AV69,"")</f>
        <v>0</v>
      </c>
      <c r="CJ68" t="str">
        <f>IFERROR(AVERAGE('Fats Raw Data'!AV68:AV72),"")</f>
        <v/>
      </c>
      <c r="CK68" t="str">
        <f>IFERROR(SUMPRODUCT('Fats Raw Data'!AP68:AP87,'Fats Raw Data'!AU68:AU87)/SUM('Fats Raw Data'!AU68:AU87),"")</f>
        <v/>
      </c>
      <c r="CL68">
        <f>IFERROR(SQRT((SUMSQ('Fats Raw Data'!AP68:AP87)-2*SUMPRODUCT('Fats Raw Data'!AP68:AP87,'Fats Raw Data'!AP69:AP88)+SUMSQ('Fats Raw Data'!AP69:AP88)-('Fats Raw Data'!AP68-'Fats Raw Data'!AP88)^2/20)/19),"")</f>
        <v>0</v>
      </c>
      <c r="CN68">
        <f>IFERROR('Fats Raw Data'!AY68,"")</f>
        <v>0</v>
      </c>
      <c r="CO68">
        <f>IFERROR('Fats Raw Data'!BD68,"")</f>
        <v>0</v>
      </c>
      <c r="CP68">
        <f>IFERROR('Fats Raw Data'!BF68-'Fats Raw Data'!BF69,"")</f>
        <v>0</v>
      </c>
      <c r="CQ68" t="str">
        <f>IFERROR(AVERAGE('Fats Raw Data'!BF68:BF72),"")</f>
        <v/>
      </c>
      <c r="CR68" t="str">
        <f>IFERROR(SUMPRODUCT('Fats Raw Data'!AZ68:AZ87,'Fats Raw Data'!BE68:BE87)/SUM('Fats Raw Data'!BE68:BE87),"")</f>
        <v/>
      </c>
      <c r="CS68">
        <f>IFERROR(SQRT((SUMSQ('Fats Raw Data'!AZ68:AZ87)-2*SUMPRODUCT('Fats Raw Data'!AZ68:AZ87,'Fats Raw Data'!AZ69:AZ88)+SUMSQ('Fats Raw Data'!AZ69:AZ88)-('Fats Raw Data'!AZ68-'Fats Raw Data'!AZ88)^2/20)/19),"")</f>
        <v>0</v>
      </c>
    </row>
    <row r="69" spans="1:97" x14ac:dyDescent="0.25">
      <c r="A69">
        <f>IFERROR('Feeders Raw Data'!A69,"")</f>
        <v>0</v>
      </c>
      <c r="B69">
        <f>IFERROR('Feeders Raw Data'!F69,"")</f>
        <v>0</v>
      </c>
      <c r="C69">
        <f>IFERROR('Feeders Raw Data'!H69-'Feeders Raw Data'!H70,"")</f>
        <v>0</v>
      </c>
      <c r="D69" t="str">
        <f>IFERROR(AVERAGE('Feeders Raw Data'!H69:H73),"")</f>
        <v/>
      </c>
      <c r="E69" t="str">
        <f>IFERROR(SUMPRODUCT('Feeders Raw Data'!B69:B88,'Feeders Raw Data'!G69:G88)/SUM('Feeders Raw Data'!G69:G88),"")</f>
        <v/>
      </c>
      <c r="F69">
        <f>IFERROR(SQRT((SUMSQ('Feeders Raw Data'!B69:B88)-2*SUMPRODUCT('Feeders Raw Data'!B69:B88,'Feeders Raw Data'!B70:B89)+SUMSQ('Feeders Raw Data'!B70:B89)-('Feeders Raw Data'!B69-'Feeders Raw Data'!B89)^2/20)/19),"")</f>
        <v>0</v>
      </c>
      <c r="H69">
        <f>IFERROR('Feeders Raw Data'!K69,"")</f>
        <v>0</v>
      </c>
      <c r="I69">
        <f>IFERROR('Feeders Raw Data'!P69,"")</f>
        <v>0</v>
      </c>
      <c r="J69">
        <f>IFERROR('Feeders Raw Data'!R69-'Feeders Raw Data'!R70,"")</f>
        <v>0</v>
      </c>
      <c r="K69" t="str">
        <f>IFERROR(AVERAGE('Feeders Raw Data'!R69:R73),"")</f>
        <v/>
      </c>
      <c r="L69" t="str">
        <f>IFERROR(SUMPRODUCT('Feeders Raw Data'!L69:L88,'Feeders Raw Data'!Q69:Q88)/SUM('Feeders Raw Data'!Q69:Q88),"")</f>
        <v/>
      </c>
      <c r="M69">
        <f>IFERROR(SQRT((SUMSQ('Feeders Raw Data'!L69:L88)-2*SUMPRODUCT('Feeders Raw Data'!L69:L88,'Feeders Raw Data'!L70:L89)+SUMSQ('Feeders Raw Data'!L70:L89)-('Feeders Raw Data'!L69-'Feeders Raw Data'!L89)^2/20)/19),"")</f>
        <v>0</v>
      </c>
      <c r="O69">
        <f>IFERROR('Feeders Raw Data'!U69,"")</f>
        <v>0</v>
      </c>
      <c r="P69">
        <f>IFERROR('Feeders Raw Data'!Z69,"")</f>
        <v>0</v>
      </c>
      <c r="Q69">
        <f>IFERROR('Feeders Raw Data'!AB69-'Feeders Raw Data'!AB70,"")</f>
        <v>0</v>
      </c>
      <c r="R69" t="str">
        <f>IFERROR(AVERAGE('Feeders Raw Data'!AB69:AB73),"")</f>
        <v/>
      </c>
      <c r="S69" t="str">
        <f>IFERROR(SUMPRODUCT('Feeders Raw Data'!V69:V88,'Feeders Raw Data'!AA69:AA88)/SUM('Feeders Raw Data'!AA69:AA88),"")</f>
        <v/>
      </c>
      <c r="T69">
        <f>IFERROR(SQRT((SUMSQ('Feeders Raw Data'!V69:V88)-2*SUMPRODUCT('Feeders Raw Data'!V69:V88,'Feeders Raw Data'!V70:V89)+SUMSQ('Feeders Raw Data'!V70:V89)-('Feeders Raw Data'!V69-'Feeders Raw Data'!V89)^2/20)/19),"")</f>
        <v>0</v>
      </c>
      <c r="V69">
        <f>IFERROR('Feeders Raw Data'!AE69,"")</f>
        <v>0</v>
      </c>
      <c r="W69">
        <f>IFERROR('Feeders Raw Data'!AJ69,"")</f>
        <v>0</v>
      </c>
      <c r="X69">
        <f>IFERROR('Feeders Raw Data'!AL69-'Feeders Raw Data'!AL70,"")</f>
        <v>0</v>
      </c>
      <c r="Y69" t="str">
        <f>IFERROR(AVERAGE('Feeders Raw Data'!AL69:AL73),"")</f>
        <v/>
      </c>
      <c r="Z69" t="str">
        <f>IFERROR(SUMPRODUCT('Feeders Raw Data'!AF69:AF88,'Feeders Raw Data'!AK69:AK88)/SUM('Feeders Raw Data'!AK69:AK88),"")</f>
        <v/>
      </c>
      <c r="AA69">
        <f>IFERROR(SQRT((SUMSQ('Feeders Raw Data'!AF69:AF88)-2*SUMPRODUCT('Feeders Raw Data'!AF69:AF88,'Feeders Raw Data'!AF70:AF89)+SUMSQ('Feeders Raw Data'!AF70:AF89)-('Feeders Raw Data'!AF69-'Feeders Raw Data'!AF89)^2/20)/19),"")</f>
        <v>0</v>
      </c>
      <c r="AC69">
        <f>IFERROR('Feeders Raw Data'!AO69,"")</f>
        <v>0</v>
      </c>
      <c r="AD69">
        <f>IFERROR('Feeders Raw Data'!AT69,"")</f>
        <v>0</v>
      </c>
      <c r="AE69">
        <f>IFERROR('Feeders Raw Data'!AV69-'Feeders Raw Data'!AV70,"")</f>
        <v>0</v>
      </c>
      <c r="AF69" t="str">
        <f>IFERROR(AVERAGE('Feeders Raw Data'!AV69:AV73),"")</f>
        <v/>
      </c>
      <c r="AG69" t="str">
        <f>IFERROR(SUMPRODUCT('Feeders Raw Data'!AP69:AP88,'Feeders Raw Data'!AU69:AU88)/SUM('Feeders Raw Data'!AU69:AU88),"")</f>
        <v/>
      </c>
      <c r="AH69">
        <f>IFERROR(SQRT((SUMSQ('Feeders Raw Data'!AP69:AP88)-2*SUMPRODUCT('Feeders Raw Data'!AP69:AP88,'Feeders Raw Data'!AP70:AP89)+SUMSQ('Feeders Raw Data'!AP70:AP89)-('Feeders Raw Data'!AP69-'Feeders Raw Data'!AP89)^2/20)/19),"")</f>
        <v>0</v>
      </c>
      <c r="AJ69">
        <f>IFERROR('Feeders Raw Data'!AY69,"")</f>
        <v>0</v>
      </c>
      <c r="AK69">
        <f>IFERROR('Feeders Raw Data'!BD69,"")</f>
        <v>0</v>
      </c>
      <c r="AL69">
        <f>IFERROR('Feeders Raw Data'!BF69-'Feeders Raw Data'!BF70,"")</f>
        <v>0</v>
      </c>
      <c r="AM69" t="str">
        <f>IFERROR(AVERAGE('Feeders Raw Data'!BF69:BF73),"")</f>
        <v/>
      </c>
      <c r="AN69" t="str">
        <f>IFERROR(SUMPRODUCT('Feeders Raw Data'!AZ69:AZ88,'Feeders Raw Data'!BE69:BE88)/SUM('Feeders Raw Data'!BE69:BE88),"")</f>
        <v/>
      </c>
      <c r="AO69">
        <f>IFERROR(SQRT((SUMSQ('Feeders Raw Data'!AZ69:AZ88)-2*SUMPRODUCT('Feeders Raw Data'!AZ69:AZ88,'Feeders Raw Data'!AZ70:AZ89)+SUMSQ('Feeders Raw Data'!AZ70:AZ89)-('Feeders Raw Data'!AZ69-'Feeders Raw Data'!AZ89)^2/20)/19),"")</f>
        <v>0</v>
      </c>
      <c r="AQ69">
        <f>IFERROR('Feeders Raw Data'!BI69,"")</f>
        <v>0</v>
      </c>
      <c r="AR69">
        <f>IFERROR('Feeders Raw Data'!BN69,"")</f>
        <v>0</v>
      </c>
      <c r="AS69">
        <f>IFERROR('Feeders Raw Data'!BP69-'Feeders Raw Data'!BP70,"")</f>
        <v>0</v>
      </c>
      <c r="AT69" t="str">
        <f>IFERROR(AVERAGE('Feeders Raw Data'!BP69:BP73),"")</f>
        <v/>
      </c>
      <c r="AU69" t="str">
        <f>IFERROR(SUMPRODUCT('Feeders Raw Data'!BJ69:BJ88,'Feeders Raw Data'!BO69:BO88)/SUM('Feeders Raw Data'!BO69:BO88),"")</f>
        <v/>
      </c>
      <c r="AV69">
        <f>IFERROR(SQRT((SUMSQ('Feeders Raw Data'!BJ69:BJ88)-2*SUMPRODUCT('Feeders Raw Data'!BJ69:BJ88,'Feeders Raw Data'!BJ70:BJ89)+SUMSQ('Feeders Raw Data'!BJ70:BJ89)-('Feeders Raw Data'!BJ69-'Feeders Raw Data'!BJ89)^2/20)/19),"")</f>
        <v>0</v>
      </c>
      <c r="AX69">
        <f>IFERROR('Feeders Raw Data'!BS69,"")</f>
        <v>0</v>
      </c>
      <c r="AY69">
        <f>IFERROR('Feeders Raw Data'!BX69,"")</f>
        <v>0</v>
      </c>
      <c r="AZ69">
        <f>IFERROR('Feeders Raw Data'!BZ69-'Feeders Raw Data'!BZ70,"")</f>
        <v>0</v>
      </c>
      <c r="BA69" t="str">
        <f>IFERROR(AVERAGE('Feeders Raw Data'!BZ69:BZ73),"")</f>
        <v/>
      </c>
      <c r="BB69" t="str">
        <f>IFERROR(SUMPRODUCT('Feeders Raw Data'!BT69:BT88,'Feeders Raw Data'!BY69:BY88)/SUM('Feeders Raw Data'!BY69:BY88),"")</f>
        <v/>
      </c>
      <c r="BC69">
        <f>IFERROR(SQRT((SUMSQ('Feeders Raw Data'!BT69:BT88)-2*SUMPRODUCT('Feeders Raw Data'!BT69:BT88,'Feeders Raw Data'!BT70:BT89)+SUMSQ('Feeders Raw Data'!BT70:BT89)-('Feeders Raw Data'!BT69-'Feeders Raw Data'!BT89)^2/20)/19),"")</f>
        <v>0</v>
      </c>
      <c r="BE69">
        <f>IFERROR('Fats Raw Data'!A69,"")</f>
        <v>0</v>
      </c>
      <c r="BF69">
        <f>IFERROR('Fats Raw Data'!F69,"")</f>
        <v>0</v>
      </c>
      <c r="BG69">
        <f>IFERROR('Fats Raw Data'!H69-'Fats Raw Data'!H70,"")</f>
        <v>0</v>
      </c>
      <c r="BH69" t="str">
        <f>IFERROR(AVERAGE('Fats Raw Data'!H69:H73),"")</f>
        <v/>
      </c>
      <c r="BI69" t="str">
        <f>IFERROR(SUMPRODUCT('Fats Raw Data'!B69:B88,'Fats Raw Data'!G69:G88)/SUM('Fats Raw Data'!G69:G88),"")</f>
        <v/>
      </c>
      <c r="BJ69">
        <f>IFERROR(SQRT((SUMSQ('Fats Raw Data'!B69:B88)-2*SUMPRODUCT('Fats Raw Data'!B69:B88,'Fats Raw Data'!B70:B89)+SUMSQ('Fats Raw Data'!B70:B89)-('Fats Raw Data'!B69-'Fats Raw Data'!B89)^2/20)/19),"")</f>
        <v>0</v>
      </c>
      <c r="BL69">
        <f>IFERROR('Fats Raw Data'!K69,"")</f>
        <v>0</v>
      </c>
      <c r="BM69">
        <f>IFERROR('Fats Raw Data'!P69,"")</f>
        <v>0</v>
      </c>
      <c r="BN69">
        <f>IFERROR('Fats Raw Data'!R69-'Fats Raw Data'!R70,"")</f>
        <v>0</v>
      </c>
      <c r="BO69" t="str">
        <f>IFERROR(AVERAGE('Fats Raw Data'!R69:R73),"")</f>
        <v/>
      </c>
      <c r="BP69" t="str">
        <f>IFERROR(SUMPRODUCT('Fats Raw Data'!L69:L88,'Fats Raw Data'!Q69:Q88)/SUM('Fats Raw Data'!Q69:Q88),"")</f>
        <v/>
      </c>
      <c r="BQ69">
        <f>IFERROR(SQRT((SUMSQ('Fats Raw Data'!L69:L88)-2*SUMPRODUCT('Fats Raw Data'!L69:L88,'Fats Raw Data'!L70:L89)+SUMSQ('Fats Raw Data'!L70:L89)-('Fats Raw Data'!L69-'Fats Raw Data'!L89)^2/20)/19),"")</f>
        <v>0</v>
      </c>
      <c r="BS69">
        <f>IFERROR('Fats Raw Data'!U69,"")</f>
        <v>0</v>
      </c>
      <c r="BT69">
        <f>IFERROR('Fats Raw Data'!Z69,"")</f>
        <v>0</v>
      </c>
      <c r="BU69">
        <f>IFERROR('Fats Raw Data'!AB69-'Fats Raw Data'!AB70,"")</f>
        <v>0</v>
      </c>
      <c r="BV69" t="str">
        <f>IFERROR(AVERAGE('Fats Raw Data'!AB69:AB73),"")</f>
        <v/>
      </c>
      <c r="BW69" t="str">
        <f>IFERROR(SUMPRODUCT('Fats Raw Data'!V69:V88,'Fats Raw Data'!AA69:AA88)/SUM('Fats Raw Data'!AA69:AA88),"")</f>
        <v/>
      </c>
      <c r="BX69">
        <f>IFERROR(SQRT((SUMSQ('Fats Raw Data'!V69:V88)-2*SUMPRODUCT('Fats Raw Data'!V69:V88,'Fats Raw Data'!V70:V89)+SUMSQ('Fats Raw Data'!V70:V89)-('Fats Raw Data'!V69-'Fats Raw Data'!V89)^2/20)/19),"")</f>
        <v>0</v>
      </c>
      <c r="BZ69">
        <f>IFERROR('Fats Raw Data'!AE69,"")</f>
        <v>0</v>
      </c>
      <c r="CA69">
        <f>IFERROR('Fats Raw Data'!AJ69,"")</f>
        <v>0</v>
      </c>
      <c r="CB69">
        <f>IFERROR('Fats Raw Data'!AL69-'Fats Raw Data'!AL70,"")</f>
        <v>0</v>
      </c>
      <c r="CC69" t="str">
        <f>IFERROR(AVERAGE('Fats Raw Data'!AL69:AL73),"")</f>
        <v/>
      </c>
      <c r="CD69" t="str">
        <f>IFERROR(SUMPRODUCT('Fats Raw Data'!AF69:AF88,'Fats Raw Data'!AK69:AK88)/SUM('Fats Raw Data'!AK69:AK88),"")</f>
        <v/>
      </c>
      <c r="CE69">
        <f>IFERROR(SQRT((SUMSQ('Fats Raw Data'!AF69:AF88)-2*SUMPRODUCT('Fats Raw Data'!AF69:AF88,'Fats Raw Data'!AF70:AF89)+SUMSQ('Fats Raw Data'!AF70:AF89)-('Fats Raw Data'!AF69-'Fats Raw Data'!AF89)^2/20)/19),"")</f>
        <v>0</v>
      </c>
      <c r="CG69">
        <f>IFERROR('Fats Raw Data'!AO69,"")</f>
        <v>0</v>
      </c>
      <c r="CH69">
        <f>IFERROR('Fats Raw Data'!AT69,"")</f>
        <v>0</v>
      </c>
      <c r="CI69">
        <f>IFERROR('Fats Raw Data'!AV69-'Fats Raw Data'!AV70,"")</f>
        <v>0</v>
      </c>
      <c r="CJ69" t="str">
        <f>IFERROR(AVERAGE('Fats Raw Data'!AV69:AV73),"")</f>
        <v/>
      </c>
      <c r="CK69" t="str">
        <f>IFERROR(SUMPRODUCT('Fats Raw Data'!AP69:AP88,'Fats Raw Data'!AU69:AU88)/SUM('Fats Raw Data'!AU69:AU88),"")</f>
        <v/>
      </c>
      <c r="CL69">
        <f>IFERROR(SQRT((SUMSQ('Fats Raw Data'!AP69:AP88)-2*SUMPRODUCT('Fats Raw Data'!AP69:AP88,'Fats Raw Data'!AP70:AP89)+SUMSQ('Fats Raw Data'!AP70:AP89)-('Fats Raw Data'!AP69-'Fats Raw Data'!AP89)^2/20)/19),"")</f>
        <v>0</v>
      </c>
      <c r="CN69">
        <f>IFERROR('Fats Raw Data'!AY69,"")</f>
        <v>0</v>
      </c>
      <c r="CO69">
        <f>IFERROR('Fats Raw Data'!BD69,"")</f>
        <v>0</v>
      </c>
      <c r="CP69">
        <f>IFERROR('Fats Raw Data'!BF69-'Fats Raw Data'!BF70,"")</f>
        <v>0</v>
      </c>
      <c r="CQ69" t="str">
        <f>IFERROR(AVERAGE('Fats Raw Data'!BF69:BF73),"")</f>
        <v/>
      </c>
      <c r="CR69" t="str">
        <f>IFERROR(SUMPRODUCT('Fats Raw Data'!AZ69:AZ88,'Fats Raw Data'!BE69:BE88)/SUM('Fats Raw Data'!BE69:BE88),"")</f>
        <v/>
      </c>
      <c r="CS69">
        <f>IFERROR(SQRT((SUMSQ('Fats Raw Data'!AZ69:AZ88)-2*SUMPRODUCT('Fats Raw Data'!AZ69:AZ88,'Fats Raw Data'!AZ70:AZ89)+SUMSQ('Fats Raw Data'!AZ70:AZ89)-('Fats Raw Data'!AZ69-'Fats Raw Data'!AZ89)^2/20)/19),"")</f>
        <v>0</v>
      </c>
    </row>
    <row r="70" spans="1:97" x14ac:dyDescent="0.25">
      <c r="A70">
        <f>IFERROR('Feeders Raw Data'!A70,"")</f>
        <v>0</v>
      </c>
      <c r="B70">
        <f>IFERROR('Feeders Raw Data'!F70,"")</f>
        <v>0</v>
      </c>
      <c r="C70">
        <f>IFERROR('Feeders Raw Data'!H70-'Feeders Raw Data'!H71,"")</f>
        <v>0</v>
      </c>
      <c r="D70" t="str">
        <f>IFERROR(AVERAGE('Feeders Raw Data'!H70:H74),"")</f>
        <v/>
      </c>
      <c r="E70" t="str">
        <f>IFERROR(SUMPRODUCT('Feeders Raw Data'!B70:B89,'Feeders Raw Data'!G70:G89)/SUM('Feeders Raw Data'!G70:G89),"")</f>
        <v/>
      </c>
      <c r="F70">
        <f>IFERROR(SQRT((SUMSQ('Feeders Raw Data'!B70:B89)-2*SUMPRODUCT('Feeders Raw Data'!B70:B89,'Feeders Raw Data'!B71:B90)+SUMSQ('Feeders Raw Data'!B71:B90)-('Feeders Raw Data'!B70-'Feeders Raw Data'!B90)^2/20)/19),"")</f>
        <v>0</v>
      </c>
      <c r="H70">
        <f>IFERROR('Feeders Raw Data'!K70,"")</f>
        <v>0</v>
      </c>
      <c r="I70">
        <f>IFERROR('Feeders Raw Data'!P70,"")</f>
        <v>0</v>
      </c>
      <c r="J70">
        <f>IFERROR('Feeders Raw Data'!R70-'Feeders Raw Data'!R71,"")</f>
        <v>0</v>
      </c>
      <c r="K70" t="str">
        <f>IFERROR(AVERAGE('Feeders Raw Data'!R70:R74),"")</f>
        <v/>
      </c>
      <c r="L70" t="str">
        <f>IFERROR(SUMPRODUCT('Feeders Raw Data'!L70:L89,'Feeders Raw Data'!Q70:Q89)/SUM('Feeders Raw Data'!Q70:Q89),"")</f>
        <v/>
      </c>
      <c r="M70">
        <f>IFERROR(SQRT((SUMSQ('Feeders Raw Data'!L70:L89)-2*SUMPRODUCT('Feeders Raw Data'!L70:L89,'Feeders Raw Data'!L71:L90)+SUMSQ('Feeders Raw Data'!L71:L90)-('Feeders Raw Data'!L70-'Feeders Raw Data'!L90)^2/20)/19),"")</f>
        <v>0</v>
      </c>
      <c r="O70">
        <f>IFERROR('Feeders Raw Data'!U70,"")</f>
        <v>0</v>
      </c>
      <c r="P70">
        <f>IFERROR('Feeders Raw Data'!Z70,"")</f>
        <v>0</v>
      </c>
      <c r="Q70">
        <f>IFERROR('Feeders Raw Data'!AB70-'Feeders Raw Data'!AB71,"")</f>
        <v>0</v>
      </c>
      <c r="R70" t="str">
        <f>IFERROR(AVERAGE('Feeders Raw Data'!AB70:AB74),"")</f>
        <v/>
      </c>
      <c r="S70" t="str">
        <f>IFERROR(SUMPRODUCT('Feeders Raw Data'!V70:V89,'Feeders Raw Data'!AA70:AA89)/SUM('Feeders Raw Data'!AA70:AA89),"")</f>
        <v/>
      </c>
      <c r="T70">
        <f>IFERROR(SQRT((SUMSQ('Feeders Raw Data'!V70:V89)-2*SUMPRODUCT('Feeders Raw Data'!V70:V89,'Feeders Raw Data'!V71:V90)+SUMSQ('Feeders Raw Data'!V71:V90)-('Feeders Raw Data'!V70-'Feeders Raw Data'!V90)^2/20)/19),"")</f>
        <v>0</v>
      </c>
      <c r="V70">
        <f>IFERROR('Feeders Raw Data'!AE70,"")</f>
        <v>0</v>
      </c>
      <c r="W70">
        <f>IFERROR('Feeders Raw Data'!AJ70,"")</f>
        <v>0</v>
      </c>
      <c r="X70">
        <f>IFERROR('Feeders Raw Data'!AL70-'Feeders Raw Data'!AL71,"")</f>
        <v>0</v>
      </c>
      <c r="Y70" t="str">
        <f>IFERROR(AVERAGE('Feeders Raw Data'!AL70:AL74),"")</f>
        <v/>
      </c>
      <c r="Z70" t="str">
        <f>IFERROR(SUMPRODUCT('Feeders Raw Data'!AF70:AF89,'Feeders Raw Data'!AK70:AK89)/SUM('Feeders Raw Data'!AK70:AK89),"")</f>
        <v/>
      </c>
      <c r="AA70">
        <f>IFERROR(SQRT((SUMSQ('Feeders Raw Data'!AF70:AF89)-2*SUMPRODUCT('Feeders Raw Data'!AF70:AF89,'Feeders Raw Data'!AF71:AF90)+SUMSQ('Feeders Raw Data'!AF71:AF90)-('Feeders Raw Data'!AF70-'Feeders Raw Data'!AF90)^2/20)/19),"")</f>
        <v>0</v>
      </c>
      <c r="AC70">
        <f>IFERROR('Feeders Raw Data'!AO70,"")</f>
        <v>0</v>
      </c>
      <c r="AD70">
        <f>IFERROR('Feeders Raw Data'!AT70,"")</f>
        <v>0</v>
      </c>
      <c r="AE70">
        <f>IFERROR('Feeders Raw Data'!AV70-'Feeders Raw Data'!AV71,"")</f>
        <v>0</v>
      </c>
      <c r="AF70" t="str">
        <f>IFERROR(AVERAGE('Feeders Raw Data'!AV70:AV74),"")</f>
        <v/>
      </c>
      <c r="AG70" t="str">
        <f>IFERROR(SUMPRODUCT('Feeders Raw Data'!AP70:AP89,'Feeders Raw Data'!AU70:AU89)/SUM('Feeders Raw Data'!AU70:AU89),"")</f>
        <v/>
      </c>
      <c r="AH70">
        <f>IFERROR(SQRT((SUMSQ('Feeders Raw Data'!AP70:AP89)-2*SUMPRODUCT('Feeders Raw Data'!AP70:AP89,'Feeders Raw Data'!AP71:AP90)+SUMSQ('Feeders Raw Data'!AP71:AP90)-('Feeders Raw Data'!AP70-'Feeders Raw Data'!AP90)^2/20)/19),"")</f>
        <v>0</v>
      </c>
      <c r="AJ70">
        <f>IFERROR('Feeders Raw Data'!AY70,"")</f>
        <v>0</v>
      </c>
      <c r="AK70">
        <f>IFERROR('Feeders Raw Data'!BD70,"")</f>
        <v>0</v>
      </c>
      <c r="AL70">
        <f>IFERROR('Feeders Raw Data'!BF70-'Feeders Raw Data'!BF71,"")</f>
        <v>0</v>
      </c>
      <c r="AM70" t="str">
        <f>IFERROR(AVERAGE('Feeders Raw Data'!BF70:BF74),"")</f>
        <v/>
      </c>
      <c r="AN70" t="str">
        <f>IFERROR(SUMPRODUCT('Feeders Raw Data'!AZ70:AZ89,'Feeders Raw Data'!BE70:BE89)/SUM('Feeders Raw Data'!BE70:BE89),"")</f>
        <v/>
      </c>
      <c r="AO70">
        <f>IFERROR(SQRT((SUMSQ('Feeders Raw Data'!AZ70:AZ89)-2*SUMPRODUCT('Feeders Raw Data'!AZ70:AZ89,'Feeders Raw Data'!AZ71:AZ90)+SUMSQ('Feeders Raw Data'!AZ71:AZ90)-('Feeders Raw Data'!AZ70-'Feeders Raw Data'!AZ90)^2/20)/19),"")</f>
        <v>0</v>
      </c>
      <c r="AQ70">
        <f>IFERROR('Feeders Raw Data'!BI70,"")</f>
        <v>0</v>
      </c>
      <c r="AR70">
        <f>IFERROR('Feeders Raw Data'!BN70,"")</f>
        <v>0</v>
      </c>
      <c r="AS70">
        <f>IFERROR('Feeders Raw Data'!BP70-'Feeders Raw Data'!BP71,"")</f>
        <v>0</v>
      </c>
      <c r="AT70" t="str">
        <f>IFERROR(AVERAGE('Feeders Raw Data'!BP70:BP74),"")</f>
        <v/>
      </c>
      <c r="AU70" t="str">
        <f>IFERROR(SUMPRODUCT('Feeders Raw Data'!BJ70:BJ89,'Feeders Raw Data'!BO70:BO89)/SUM('Feeders Raw Data'!BO70:BO89),"")</f>
        <v/>
      </c>
      <c r="AV70">
        <f>IFERROR(SQRT((SUMSQ('Feeders Raw Data'!BJ70:BJ89)-2*SUMPRODUCT('Feeders Raw Data'!BJ70:BJ89,'Feeders Raw Data'!BJ71:BJ90)+SUMSQ('Feeders Raw Data'!BJ71:BJ90)-('Feeders Raw Data'!BJ70-'Feeders Raw Data'!BJ90)^2/20)/19),"")</f>
        <v>0</v>
      </c>
      <c r="AX70">
        <f>IFERROR('Feeders Raw Data'!BS70,"")</f>
        <v>0</v>
      </c>
      <c r="AY70">
        <f>IFERROR('Feeders Raw Data'!BX70,"")</f>
        <v>0</v>
      </c>
      <c r="AZ70">
        <f>IFERROR('Feeders Raw Data'!BZ70-'Feeders Raw Data'!BZ71,"")</f>
        <v>0</v>
      </c>
      <c r="BA70" t="str">
        <f>IFERROR(AVERAGE('Feeders Raw Data'!BZ70:BZ74),"")</f>
        <v/>
      </c>
      <c r="BB70" t="str">
        <f>IFERROR(SUMPRODUCT('Feeders Raw Data'!BT70:BT89,'Feeders Raw Data'!BY70:BY89)/SUM('Feeders Raw Data'!BY70:BY89),"")</f>
        <v/>
      </c>
      <c r="BC70">
        <f>IFERROR(SQRT((SUMSQ('Feeders Raw Data'!BT70:BT89)-2*SUMPRODUCT('Feeders Raw Data'!BT70:BT89,'Feeders Raw Data'!BT71:BT90)+SUMSQ('Feeders Raw Data'!BT71:BT90)-('Feeders Raw Data'!BT70-'Feeders Raw Data'!BT90)^2/20)/19),"")</f>
        <v>0</v>
      </c>
      <c r="BE70">
        <f>IFERROR('Fats Raw Data'!A70,"")</f>
        <v>0</v>
      </c>
      <c r="BF70">
        <f>IFERROR('Fats Raw Data'!F70,"")</f>
        <v>0</v>
      </c>
      <c r="BG70">
        <f>IFERROR('Fats Raw Data'!H70-'Fats Raw Data'!H71,"")</f>
        <v>0</v>
      </c>
      <c r="BH70" t="str">
        <f>IFERROR(AVERAGE('Fats Raw Data'!H70:H74),"")</f>
        <v/>
      </c>
      <c r="BI70" t="str">
        <f>IFERROR(SUMPRODUCT('Fats Raw Data'!B70:B89,'Fats Raw Data'!G70:G89)/SUM('Fats Raw Data'!G70:G89),"")</f>
        <v/>
      </c>
      <c r="BJ70">
        <f>IFERROR(SQRT((SUMSQ('Fats Raw Data'!B70:B89)-2*SUMPRODUCT('Fats Raw Data'!B70:B89,'Fats Raw Data'!B71:B90)+SUMSQ('Fats Raw Data'!B71:B90)-('Fats Raw Data'!B70-'Fats Raw Data'!B90)^2/20)/19),"")</f>
        <v>0</v>
      </c>
      <c r="BL70">
        <f>IFERROR('Fats Raw Data'!K70,"")</f>
        <v>0</v>
      </c>
      <c r="BM70">
        <f>IFERROR('Fats Raw Data'!P70,"")</f>
        <v>0</v>
      </c>
      <c r="BN70">
        <f>IFERROR('Fats Raw Data'!R70-'Fats Raw Data'!R71,"")</f>
        <v>0</v>
      </c>
      <c r="BO70" t="str">
        <f>IFERROR(AVERAGE('Fats Raw Data'!R70:R74),"")</f>
        <v/>
      </c>
      <c r="BP70" t="str">
        <f>IFERROR(SUMPRODUCT('Fats Raw Data'!L70:L89,'Fats Raw Data'!Q70:Q89)/SUM('Fats Raw Data'!Q70:Q89),"")</f>
        <v/>
      </c>
      <c r="BQ70">
        <f>IFERROR(SQRT((SUMSQ('Fats Raw Data'!L70:L89)-2*SUMPRODUCT('Fats Raw Data'!L70:L89,'Fats Raw Data'!L71:L90)+SUMSQ('Fats Raw Data'!L71:L90)-('Fats Raw Data'!L70-'Fats Raw Data'!L90)^2/20)/19),"")</f>
        <v>0</v>
      </c>
      <c r="BS70">
        <f>IFERROR('Fats Raw Data'!U70,"")</f>
        <v>0</v>
      </c>
      <c r="BT70">
        <f>IFERROR('Fats Raw Data'!Z70,"")</f>
        <v>0</v>
      </c>
      <c r="BU70">
        <f>IFERROR('Fats Raw Data'!AB70-'Fats Raw Data'!AB71,"")</f>
        <v>0</v>
      </c>
      <c r="BV70" t="str">
        <f>IFERROR(AVERAGE('Fats Raw Data'!AB70:AB74),"")</f>
        <v/>
      </c>
      <c r="BW70" t="str">
        <f>IFERROR(SUMPRODUCT('Fats Raw Data'!V70:V89,'Fats Raw Data'!AA70:AA89)/SUM('Fats Raw Data'!AA70:AA89),"")</f>
        <v/>
      </c>
      <c r="BX70">
        <f>IFERROR(SQRT((SUMSQ('Fats Raw Data'!V70:V89)-2*SUMPRODUCT('Fats Raw Data'!V70:V89,'Fats Raw Data'!V71:V90)+SUMSQ('Fats Raw Data'!V71:V90)-('Fats Raw Data'!V70-'Fats Raw Data'!V90)^2/20)/19),"")</f>
        <v>0</v>
      </c>
      <c r="BZ70">
        <f>IFERROR('Fats Raw Data'!AE70,"")</f>
        <v>0</v>
      </c>
      <c r="CA70">
        <f>IFERROR('Fats Raw Data'!AJ70,"")</f>
        <v>0</v>
      </c>
      <c r="CB70">
        <f>IFERROR('Fats Raw Data'!AL70-'Fats Raw Data'!AL71,"")</f>
        <v>0</v>
      </c>
      <c r="CC70" t="str">
        <f>IFERROR(AVERAGE('Fats Raw Data'!AL70:AL74),"")</f>
        <v/>
      </c>
      <c r="CD70" t="str">
        <f>IFERROR(SUMPRODUCT('Fats Raw Data'!AF70:AF89,'Fats Raw Data'!AK70:AK89)/SUM('Fats Raw Data'!AK70:AK89),"")</f>
        <v/>
      </c>
      <c r="CE70">
        <f>IFERROR(SQRT((SUMSQ('Fats Raw Data'!AF70:AF89)-2*SUMPRODUCT('Fats Raw Data'!AF70:AF89,'Fats Raw Data'!AF71:AF90)+SUMSQ('Fats Raw Data'!AF71:AF90)-('Fats Raw Data'!AF70-'Fats Raw Data'!AF90)^2/20)/19),"")</f>
        <v>0</v>
      </c>
      <c r="CG70">
        <f>IFERROR('Fats Raw Data'!AO70,"")</f>
        <v>0</v>
      </c>
      <c r="CH70">
        <f>IFERROR('Fats Raw Data'!AT70,"")</f>
        <v>0</v>
      </c>
      <c r="CI70">
        <f>IFERROR('Fats Raw Data'!AV70-'Fats Raw Data'!AV71,"")</f>
        <v>0</v>
      </c>
      <c r="CJ70" t="str">
        <f>IFERROR(AVERAGE('Fats Raw Data'!AV70:AV74),"")</f>
        <v/>
      </c>
      <c r="CK70" t="str">
        <f>IFERROR(SUMPRODUCT('Fats Raw Data'!AP70:AP89,'Fats Raw Data'!AU70:AU89)/SUM('Fats Raw Data'!AU70:AU89),"")</f>
        <v/>
      </c>
      <c r="CL70">
        <f>IFERROR(SQRT((SUMSQ('Fats Raw Data'!AP70:AP89)-2*SUMPRODUCT('Fats Raw Data'!AP70:AP89,'Fats Raw Data'!AP71:AP90)+SUMSQ('Fats Raw Data'!AP71:AP90)-('Fats Raw Data'!AP70-'Fats Raw Data'!AP90)^2/20)/19),"")</f>
        <v>0</v>
      </c>
      <c r="CN70">
        <f>IFERROR('Fats Raw Data'!AY70,"")</f>
        <v>0</v>
      </c>
      <c r="CO70">
        <f>IFERROR('Fats Raw Data'!BD70,"")</f>
        <v>0</v>
      </c>
      <c r="CP70">
        <f>IFERROR('Fats Raw Data'!BF70-'Fats Raw Data'!BF71,"")</f>
        <v>0</v>
      </c>
      <c r="CQ70" t="str">
        <f>IFERROR(AVERAGE('Fats Raw Data'!BF70:BF74),"")</f>
        <v/>
      </c>
      <c r="CR70" t="str">
        <f>IFERROR(SUMPRODUCT('Fats Raw Data'!AZ70:AZ89,'Fats Raw Data'!BE70:BE89)/SUM('Fats Raw Data'!BE70:BE89),"")</f>
        <v/>
      </c>
      <c r="CS70">
        <f>IFERROR(SQRT((SUMSQ('Fats Raw Data'!AZ70:AZ89)-2*SUMPRODUCT('Fats Raw Data'!AZ70:AZ89,'Fats Raw Data'!AZ71:AZ90)+SUMSQ('Fats Raw Data'!AZ71:AZ90)-('Fats Raw Data'!AZ70-'Fats Raw Data'!AZ90)^2/20)/19),"")</f>
        <v>0</v>
      </c>
    </row>
    <row r="71" spans="1:97" x14ac:dyDescent="0.25">
      <c r="A71">
        <f>IFERROR('Feeders Raw Data'!A71,"")</f>
        <v>0</v>
      </c>
      <c r="B71">
        <f>IFERROR('Feeders Raw Data'!F71,"")</f>
        <v>0</v>
      </c>
      <c r="C71">
        <f>IFERROR('Feeders Raw Data'!H71-'Feeders Raw Data'!H72,"")</f>
        <v>0</v>
      </c>
      <c r="D71" t="str">
        <f>IFERROR(AVERAGE('Feeders Raw Data'!H71:H75),"")</f>
        <v/>
      </c>
      <c r="E71" t="str">
        <f>IFERROR(SUMPRODUCT('Feeders Raw Data'!B71:B90,'Feeders Raw Data'!G71:G90)/SUM('Feeders Raw Data'!G71:G90),"")</f>
        <v/>
      </c>
      <c r="F71">
        <f>IFERROR(SQRT((SUMSQ('Feeders Raw Data'!B71:B90)-2*SUMPRODUCT('Feeders Raw Data'!B71:B90,'Feeders Raw Data'!B72:B91)+SUMSQ('Feeders Raw Data'!B72:B91)-('Feeders Raw Data'!B71-'Feeders Raw Data'!B91)^2/20)/19),"")</f>
        <v>0</v>
      </c>
      <c r="H71">
        <f>IFERROR('Feeders Raw Data'!K71,"")</f>
        <v>0</v>
      </c>
      <c r="I71">
        <f>IFERROR('Feeders Raw Data'!P71,"")</f>
        <v>0</v>
      </c>
      <c r="J71">
        <f>IFERROR('Feeders Raw Data'!R71-'Feeders Raw Data'!R72,"")</f>
        <v>0</v>
      </c>
      <c r="K71" t="str">
        <f>IFERROR(AVERAGE('Feeders Raw Data'!R71:R75),"")</f>
        <v/>
      </c>
      <c r="L71" t="str">
        <f>IFERROR(SUMPRODUCT('Feeders Raw Data'!L71:L90,'Feeders Raw Data'!Q71:Q90)/SUM('Feeders Raw Data'!Q71:Q90),"")</f>
        <v/>
      </c>
      <c r="M71">
        <f>IFERROR(SQRT((SUMSQ('Feeders Raw Data'!L71:L90)-2*SUMPRODUCT('Feeders Raw Data'!L71:L90,'Feeders Raw Data'!L72:L91)+SUMSQ('Feeders Raw Data'!L72:L91)-('Feeders Raw Data'!L71-'Feeders Raw Data'!L91)^2/20)/19),"")</f>
        <v>0</v>
      </c>
      <c r="O71">
        <f>IFERROR('Feeders Raw Data'!U71,"")</f>
        <v>0</v>
      </c>
      <c r="P71">
        <f>IFERROR('Feeders Raw Data'!Z71,"")</f>
        <v>0</v>
      </c>
      <c r="Q71">
        <f>IFERROR('Feeders Raw Data'!AB71-'Feeders Raw Data'!AB72,"")</f>
        <v>0</v>
      </c>
      <c r="R71" t="str">
        <f>IFERROR(AVERAGE('Feeders Raw Data'!AB71:AB75),"")</f>
        <v/>
      </c>
      <c r="S71" t="str">
        <f>IFERROR(SUMPRODUCT('Feeders Raw Data'!V71:V90,'Feeders Raw Data'!AA71:AA90)/SUM('Feeders Raw Data'!AA71:AA90),"")</f>
        <v/>
      </c>
      <c r="T71">
        <f>IFERROR(SQRT((SUMSQ('Feeders Raw Data'!V71:V90)-2*SUMPRODUCT('Feeders Raw Data'!V71:V90,'Feeders Raw Data'!V72:V91)+SUMSQ('Feeders Raw Data'!V72:V91)-('Feeders Raw Data'!V71-'Feeders Raw Data'!V91)^2/20)/19),"")</f>
        <v>0</v>
      </c>
      <c r="V71">
        <f>IFERROR('Feeders Raw Data'!AE71,"")</f>
        <v>0</v>
      </c>
      <c r="W71">
        <f>IFERROR('Feeders Raw Data'!AJ71,"")</f>
        <v>0</v>
      </c>
      <c r="X71">
        <f>IFERROR('Feeders Raw Data'!AL71-'Feeders Raw Data'!AL72,"")</f>
        <v>0</v>
      </c>
      <c r="Y71" t="str">
        <f>IFERROR(AVERAGE('Feeders Raw Data'!AL71:AL75),"")</f>
        <v/>
      </c>
      <c r="Z71" t="str">
        <f>IFERROR(SUMPRODUCT('Feeders Raw Data'!AF71:AF90,'Feeders Raw Data'!AK71:AK90)/SUM('Feeders Raw Data'!AK71:AK90),"")</f>
        <v/>
      </c>
      <c r="AA71">
        <f>IFERROR(SQRT((SUMSQ('Feeders Raw Data'!AF71:AF90)-2*SUMPRODUCT('Feeders Raw Data'!AF71:AF90,'Feeders Raw Data'!AF72:AF91)+SUMSQ('Feeders Raw Data'!AF72:AF91)-('Feeders Raw Data'!AF71-'Feeders Raw Data'!AF91)^2/20)/19),"")</f>
        <v>0</v>
      </c>
      <c r="AC71">
        <f>IFERROR('Feeders Raw Data'!AO71,"")</f>
        <v>0</v>
      </c>
      <c r="AD71">
        <f>IFERROR('Feeders Raw Data'!AT71,"")</f>
        <v>0</v>
      </c>
      <c r="AE71">
        <f>IFERROR('Feeders Raw Data'!AV71-'Feeders Raw Data'!AV72,"")</f>
        <v>0</v>
      </c>
      <c r="AF71" t="str">
        <f>IFERROR(AVERAGE('Feeders Raw Data'!AV71:AV75),"")</f>
        <v/>
      </c>
      <c r="AG71" t="str">
        <f>IFERROR(SUMPRODUCT('Feeders Raw Data'!AP71:AP90,'Feeders Raw Data'!AU71:AU90)/SUM('Feeders Raw Data'!AU71:AU90),"")</f>
        <v/>
      </c>
      <c r="AH71">
        <f>IFERROR(SQRT((SUMSQ('Feeders Raw Data'!AP71:AP90)-2*SUMPRODUCT('Feeders Raw Data'!AP71:AP90,'Feeders Raw Data'!AP72:AP91)+SUMSQ('Feeders Raw Data'!AP72:AP91)-('Feeders Raw Data'!AP71-'Feeders Raw Data'!AP91)^2/20)/19),"")</f>
        <v>0</v>
      </c>
      <c r="AJ71">
        <f>IFERROR('Feeders Raw Data'!AY71,"")</f>
        <v>0</v>
      </c>
      <c r="AK71">
        <f>IFERROR('Feeders Raw Data'!BD71,"")</f>
        <v>0</v>
      </c>
      <c r="AL71">
        <f>IFERROR('Feeders Raw Data'!BF71-'Feeders Raw Data'!BF72,"")</f>
        <v>0</v>
      </c>
      <c r="AM71" t="str">
        <f>IFERROR(AVERAGE('Feeders Raw Data'!BF71:BF75),"")</f>
        <v/>
      </c>
      <c r="AN71" t="str">
        <f>IFERROR(SUMPRODUCT('Feeders Raw Data'!AZ71:AZ90,'Feeders Raw Data'!BE71:BE90)/SUM('Feeders Raw Data'!BE71:BE90),"")</f>
        <v/>
      </c>
      <c r="AO71">
        <f>IFERROR(SQRT((SUMSQ('Feeders Raw Data'!AZ71:AZ90)-2*SUMPRODUCT('Feeders Raw Data'!AZ71:AZ90,'Feeders Raw Data'!AZ72:AZ91)+SUMSQ('Feeders Raw Data'!AZ72:AZ91)-('Feeders Raw Data'!AZ71-'Feeders Raw Data'!AZ91)^2/20)/19),"")</f>
        <v>0</v>
      </c>
      <c r="AQ71">
        <f>IFERROR('Feeders Raw Data'!BI71,"")</f>
        <v>0</v>
      </c>
      <c r="AR71">
        <f>IFERROR('Feeders Raw Data'!BN71,"")</f>
        <v>0</v>
      </c>
      <c r="AS71">
        <f>IFERROR('Feeders Raw Data'!BP71-'Feeders Raw Data'!BP72,"")</f>
        <v>0</v>
      </c>
      <c r="AT71" t="str">
        <f>IFERROR(AVERAGE('Feeders Raw Data'!BP71:BP75),"")</f>
        <v/>
      </c>
      <c r="AU71" t="str">
        <f>IFERROR(SUMPRODUCT('Feeders Raw Data'!BJ71:BJ90,'Feeders Raw Data'!BO71:BO90)/SUM('Feeders Raw Data'!BO71:BO90),"")</f>
        <v/>
      </c>
      <c r="AV71">
        <f>IFERROR(SQRT((SUMSQ('Feeders Raw Data'!BJ71:BJ90)-2*SUMPRODUCT('Feeders Raw Data'!BJ71:BJ90,'Feeders Raw Data'!BJ72:BJ91)+SUMSQ('Feeders Raw Data'!BJ72:BJ91)-('Feeders Raw Data'!BJ71-'Feeders Raw Data'!BJ91)^2/20)/19),"")</f>
        <v>0</v>
      </c>
      <c r="AX71">
        <f>IFERROR('Feeders Raw Data'!BS71,"")</f>
        <v>0</v>
      </c>
      <c r="AY71">
        <f>IFERROR('Feeders Raw Data'!BX71,"")</f>
        <v>0</v>
      </c>
      <c r="AZ71">
        <f>IFERROR('Feeders Raw Data'!BZ71-'Feeders Raw Data'!BZ72,"")</f>
        <v>0</v>
      </c>
      <c r="BA71" t="str">
        <f>IFERROR(AVERAGE('Feeders Raw Data'!BZ71:BZ75),"")</f>
        <v/>
      </c>
      <c r="BB71" t="str">
        <f>IFERROR(SUMPRODUCT('Feeders Raw Data'!BT71:BT90,'Feeders Raw Data'!BY71:BY90)/SUM('Feeders Raw Data'!BY71:BY90),"")</f>
        <v/>
      </c>
      <c r="BC71">
        <f>IFERROR(SQRT((SUMSQ('Feeders Raw Data'!BT71:BT90)-2*SUMPRODUCT('Feeders Raw Data'!BT71:BT90,'Feeders Raw Data'!BT72:BT91)+SUMSQ('Feeders Raw Data'!BT72:BT91)-('Feeders Raw Data'!BT71-'Feeders Raw Data'!BT91)^2/20)/19),"")</f>
        <v>0</v>
      </c>
      <c r="BE71">
        <f>IFERROR('Fats Raw Data'!A71,"")</f>
        <v>0</v>
      </c>
      <c r="BF71">
        <f>IFERROR('Fats Raw Data'!F71,"")</f>
        <v>0</v>
      </c>
      <c r="BG71">
        <f>IFERROR('Fats Raw Data'!H71-'Fats Raw Data'!H72,"")</f>
        <v>0</v>
      </c>
      <c r="BH71" t="str">
        <f>IFERROR(AVERAGE('Fats Raw Data'!H71:H75),"")</f>
        <v/>
      </c>
      <c r="BI71" t="str">
        <f>IFERROR(SUMPRODUCT('Fats Raw Data'!B71:B90,'Fats Raw Data'!G71:G90)/SUM('Fats Raw Data'!G71:G90),"")</f>
        <v/>
      </c>
      <c r="BJ71">
        <f>IFERROR(SQRT((SUMSQ('Fats Raw Data'!B71:B90)-2*SUMPRODUCT('Fats Raw Data'!B71:B90,'Fats Raw Data'!B72:B91)+SUMSQ('Fats Raw Data'!B72:B91)-('Fats Raw Data'!B71-'Fats Raw Data'!B91)^2/20)/19),"")</f>
        <v>0</v>
      </c>
      <c r="BL71">
        <f>IFERROR('Fats Raw Data'!K71,"")</f>
        <v>0</v>
      </c>
      <c r="BM71">
        <f>IFERROR('Fats Raw Data'!P71,"")</f>
        <v>0</v>
      </c>
      <c r="BN71">
        <f>IFERROR('Fats Raw Data'!R71-'Fats Raw Data'!R72,"")</f>
        <v>0</v>
      </c>
      <c r="BO71" t="str">
        <f>IFERROR(AVERAGE('Fats Raw Data'!R71:R75),"")</f>
        <v/>
      </c>
      <c r="BP71" t="str">
        <f>IFERROR(SUMPRODUCT('Fats Raw Data'!L71:L90,'Fats Raw Data'!Q71:Q90)/SUM('Fats Raw Data'!Q71:Q90),"")</f>
        <v/>
      </c>
      <c r="BQ71">
        <f>IFERROR(SQRT((SUMSQ('Fats Raw Data'!L71:L90)-2*SUMPRODUCT('Fats Raw Data'!L71:L90,'Fats Raw Data'!L72:L91)+SUMSQ('Fats Raw Data'!L72:L91)-('Fats Raw Data'!L71-'Fats Raw Data'!L91)^2/20)/19),"")</f>
        <v>0</v>
      </c>
      <c r="BS71">
        <f>IFERROR('Fats Raw Data'!U71,"")</f>
        <v>0</v>
      </c>
      <c r="BT71">
        <f>IFERROR('Fats Raw Data'!Z71,"")</f>
        <v>0</v>
      </c>
      <c r="BU71">
        <f>IFERROR('Fats Raw Data'!AB71-'Fats Raw Data'!AB72,"")</f>
        <v>0</v>
      </c>
      <c r="BV71" t="str">
        <f>IFERROR(AVERAGE('Fats Raw Data'!AB71:AB75),"")</f>
        <v/>
      </c>
      <c r="BW71" t="str">
        <f>IFERROR(SUMPRODUCT('Fats Raw Data'!V71:V90,'Fats Raw Data'!AA71:AA90)/SUM('Fats Raw Data'!AA71:AA90),"")</f>
        <v/>
      </c>
      <c r="BX71">
        <f>IFERROR(SQRT((SUMSQ('Fats Raw Data'!V71:V90)-2*SUMPRODUCT('Fats Raw Data'!V71:V90,'Fats Raw Data'!V72:V91)+SUMSQ('Fats Raw Data'!V72:V91)-('Fats Raw Data'!V71-'Fats Raw Data'!V91)^2/20)/19),"")</f>
        <v>0</v>
      </c>
      <c r="BZ71">
        <f>IFERROR('Fats Raw Data'!AE71,"")</f>
        <v>0</v>
      </c>
      <c r="CA71">
        <f>IFERROR('Fats Raw Data'!AJ71,"")</f>
        <v>0</v>
      </c>
      <c r="CB71">
        <f>IFERROR('Fats Raw Data'!AL71-'Fats Raw Data'!AL72,"")</f>
        <v>0</v>
      </c>
      <c r="CC71" t="str">
        <f>IFERROR(AVERAGE('Fats Raw Data'!AL71:AL75),"")</f>
        <v/>
      </c>
      <c r="CD71" t="str">
        <f>IFERROR(SUMPRODUCT('Fats Raw Data'!AF71:AF90,'Fats Raw Data'!AK71:AK90)/SUM('Fats Raw Data'!AK71:AK90),"")</f>
        <v/>
      </c>
      <c r="CE71">
        <f>IFERROR(SQRT((SUMSQ('Fats Raw Data'!AF71:AF90)-2*SUMPRODUCT('Fats Raw Data'!AF71:AF90,'Fats Raw Data'!AF72:AF91)+SUMSQ('Fats Raw Data'!AF72:AF91)-('Fats Raw Data'!AF71-'Fats Raw Data'!AF91)^2/20)/19),"")</f>
        <v>0</v>
      </c>
      <c r="CG71">
        <f>IFERROR('Fats Raw Data'!AO71,"")</f>
        <v>0</v>
      </c>
      <c r="CH71">
        <f>IFERROR('Fats Raw Data'!AT71,"")</f>
        <v>0</v>
      </c>
      <c r="CI71">
        <f>IFERROR('Fats Raw Data'!AV71-'Fats Raw Data'!AV72,"")</f>
        <v>0</v>
      </c>
      <c r="CJ71" t="str">
        <f>IFERROR(AVERAGE('Fats Raw Data'!AV71:AV75),"")</f>
        <v/>
      </c>
      <c r="CK71" t="str">
        <f>IFERROR(SUMPRODUCT('Fats Raw Data'!AP71:AP90,'Fats Raw Data'!AU71:AU90)/SUM('Fats Raw Data'!AU71:AU90),"")</f>
        <v/>
      </c>
      <c r="CL71">
        <f>IFERROR(SQRT((SUMSQ('Fats Raw Data'!AP71:AP90)-2*SUMPRODUCT('Fats Raw Data'!AP71:AP90,'Fats Raw Data'!AP72:AP91)+SUMSQ('Fats Raw Data'!AP72:AP91)-('Fats Raw Data'!AP71-'Fats Raw Data'!AP91)^2/20)/19),"")</f>
        <v>0</v>
      </c>
      <c r="CN71">
        <f>IFERROR('Fats Raw Data'!AY71,"")</f>
        <v>0</v>
      </c>
      <c r="CO71">
        <f>IFERROR('Fats Raw Data'!BD71,"")</f>
        <v>0</v>
      </c>
      <c r="CP71">
        <f>IFERROR('Fats Raw Data'!BF71-'Fats Raw Data'!BF72,"")</f>
        <v>0</v>
      </c>
      <c r="CQ71" t="str">
        <f>IFERROR(AVERAGE('Fats Raw Data'!BF71:BF75),"")</f>
        <v/>
      </c>
      <c r="CR71" t="str">
        <f>IFERROR(SUMPRODUCT('Fats Raw Data'!AZ71:AZ90,'Fats Raw Data'!BE71:BE90)/SUM('Fats Raw Data'!BE71:BE90),"")</f>
        <v/>
      </c>
      <c r="CS71">
        <f>IFERROR(SQRT((SUMSQ('Fats Raw Data'!AZ71:AZ90)-2*SUMPRODUCT('Fats Raw Data'!AZ71:AZ90,'Fats Raw Data'!AZ72:AZ91)+SUMSQ('Fats Raw Data'!AZ72:AZ91)-('Fats Raw Data'!AZ71-'Fats Raw Data'!AZ91)^2/20)/19),"")</f>
        <v>0</v>
      </c>
    </row>
    <row r="72" spans="1:97" x14ac:dyDescent="0.25">
      <c r="A72">
        <f>IFERROR('Feeders Raw Data'!A72,"")</f>
        <v>0</v>
      </c>
      <c r="B72">
        <f>IFERROR('Feeders Raw Data'!F72,"")</f>
        <v>0</v>
      </c>
      <c r="C72">
        <f>IFERROR('Feeders Raw Data'!H72-'Feeders Raw Data'!H73,"")</f>
        <v>0</v>
      </c>
      <c r="D72" t="str">
        <f>IFERROR(AVERAGE('Feeders Raw Data'!H72:H76),"")</f>
        <v/>
      </c>
      <c r="E72" t="str">
        <f>IFERROR(SUMPRODUCT('Feeders Raw Data'!B72:B91,'Feeders Raw Data'!G72:G91)/SUM('Feeders Raw Data'!G72:G91),"")</f>
        <v/>
      </c>
      <c r="F72">
        <f>IFERROR(SQRT((SUMSQ('Feeders Raw Data'!B72:B91)-2*SUMPRODUCT('Feeders Raw Data'!B72:B91,'Feeders Raw Data'!B73:B92)+SUMSQ('Feeders Raw Data'!B73:B92)-('Feeders Raw Data'!B72-'Feeders Raw Data'!B92)^2/20)/19),"")</f>
        <v>0</v>
      </c>
      <c r="H72">
        <f>IFERROR('Feeders Raw Data'!K72,"")</f>
        <v>0</v>
      </c>
      <c r="I72">
        <f>IFERROR('Feeders Raw Data'!P72,"")</f>
        <v>0</v>
      </c>
      <c r="J72">
        <f>IFERROR('Feeders Raw Data'!R72-'Feeders Raw Data'!R73,"")</f>
        <v>0</v>
      </c>
      <c r="K72" t="str">
        <f>IFERROR(AVERAGE('Feeders Raw Data'!R72:R76),"")</f>
        <v/>
      </c>
      <c r="L72" t="str">
        <f>IFERROR(SUMPRODUCT('Feeders Raw Data'!L72:L91,'Feeders Raw Data'!Q72:Q91)/SUM('Feeders Raw Data'!Q72:Q91),"")</f>
        <v/>
      </c>
      <c r="M72">
        <f>IFERROR(SQRT((SUMSQ('Feeders Raw Data'!L72:L91)-2*SUMPRODUCT('Feeders Raw Data'!L72:L91,'Feeders Raw Data'!L73:L92)+SUMSQ('Feeders Raw Data'!L73:L92)-('Feeders Raw Data'!L72-'Feeders Raw Data'!L92)^2/20)/19),"")</f>
        <v>0</v>
      </c>
      <c r="O72">
        <f>IFERROR('Feeders Raw Data'!U72,"")</f>
        <v>0</v>
      </c>
      <c r="P72">
        <f>IFERROR('Feeders Raw Data'!Z72,"")</f>
        <v>0</v>
      </c>
      <c r="Q72">
        <f>IFERROR('Feeders Raw Data'!AB72-'Feeders Raw Data'!AB73,"")</f>
        <v>0</v>
      </c>
      <c r="R72" t="str">
        <f>IFERROR(AVERAGE('Feeders Raw Data'!AB72:AB76),"")</f>
        <v/>
      </c>
      <c r="S72" t="str">
        <f>IFERROR(SUMPRODUCT('Feeders Raw Data'!V72:V91,'Feeders Raw Data'!AA72:AA91)/SUM('Feeders Raw Data'!AA72:AA91),"")</f>
        <v/>
      </c>
      <c r="T72">
        <f>IFERROR(SQRT((SUMSQ('Feeders Raw Data'!V72:V91)-2*SUMPRODUCT('Feeders Raw Data'!V72:V91,'Feeders Raw Data'!V73:V92)+SUMSQ('Feeders Raw Data'!V73:V92)-('Feeders Raw Data'!V72-'Feeders Raw Data'!V92)^2/20)/19),"")</f>
        <v>0</v>
      </c>
      <c r="V72">
        <f>IFERROR('Feeders Raw Data'!AE72,"")</f>
        <v>0</v>
      </c>
      <c r="W72">
        <f>IFERROR('Feeders Raw Data'!AJ72,"")</f>
        <v>0</v>
      </c>
      <c r="X72">
        <f>IFERROR('Feeders Raw Data'!AL72-'Feeders Raw Data'!AL73,"")</f>
        <v>0</v>
      </c>
      <c r="Y72" t="str">
        <f>IFERROR(AVERAGE('Feeders Raw Data'!AL72:AL76),"")</f>
        <v/>
      </c>
      <c r="Z72" t="str">
        <f>IFERROR(SUMPRODUCT('Feeders Raw Data'!AF72:AF91,'Feeders Raw Data'!AK72:AK91)/SUM('Feeders Raw Data'!AK72:AK91),"")</f>
        <v/>
      </c>
      <c r="AA72">
        <f>IFERROR(SQRT((SUMSQ('Feeders Raw Data'!AF72:AF91)-2*SUMPRODUCT('Feeders Raw Data'!AF72:AF91,'Feeders Raw Data'!AF73:AF92)+SUMSQ('Feeders Raw Data'!AF73:AF92)-('Feeders Raw Data'!AF72-'Feeders Raw Data'!AF92)^2/20)/19),"")</f>
        <v>0</v>
      </c>
      <c r="AC72">
        <f>IFERROR('Feeders Raw Data'!AO72,"")</f>
        <v>0</v>
      </c>
      <c r="AD72">
        <f>IFERROR('Feeders Raw Data'!AT72,"")</f>
        <v>0</v>
      </c>
      <c r="AE72">
        <f>IFERROR('Feeders Raw Data'!AV72-'Feeders Raw Data'!AV73,"")</f>
        <v>0</v>
      </c>
      <c r="AF72" t="str">
        <f>IFERROR(AVERAGE('Feeders Raw Data'!AV72:AV76),"")</f>
        <v/>
      </c>
      <c r="AG72" t="str">
        <f>IFERROR(SUMPRODUCT('Feeders Raw Data'!AP72:AP91,'Feeders Raw Data'!AU72:AU91)/SUM('Feeders Raw Data'!AU72:AU91),"")</f>
        <v/>
      </c>
      <c r="AH72">
        <f>IFERROR(SQRT((SUMSQ('Feeders Raw Data'!AP72:AP91)-2*SUMPRODUCT('Feeders Raw Data'!AP72:AP91,'Feeders Raw Data'!AP73:AP92)+SUMSQ('Feeders Raw Data'!AP73:AP92)-('Feeders Raw Data'!AP72-'Feeders Raw Data'!AP92)^2/20)/19),"")</f>
        <v>0</v>
      </c>
      <c r="AJ72">
        <f>IFERROR('Feeders Raw Data'!AY72,"")</f>
        <v>0</v>
      </c>
      <c r="AK72">
        <f>IFERROR('Feeders Raw Data'!BD72,"")</f>
        <v>0</v>
      </c>
      <c r="AL72">
        <f>IFERROR('Feeders Raw Data'!BF72-'Feeders Raw Data'!BF73,"")</f>
        <v>0</v>
      </c>
      <c r="AM72" t="str">
        <f>IFERROR(AVERAGE('Feeders Raw Data'!BF72:BF76),"")</f>
        <v/>
      </c>
      <c r="AN72" t="str">
        <f>IFERROR(SUMPRODUCT('Feeders Raw Data'!AZ72:AZ91,'Feeders Raw Data'!BE72:BE91)/SUM('Feeders Raw Data'!BE72:BE91),"")</f>
        <v/>
      </c>
      <c r="AO72">
        <f>IFERROR(SQRT((SUMSQ('Feeders Raw Data'!AZ72:AZ91)-2*SUMPRODUCT('Feeders Raw Data'!AZ72:AZ91,'Feeders Raw Data'!AZ73:AZ92)+SUMSQ('Feeders Raw Data'!AZ73:AZ92)-('Feeders Raw Data'!AZ72-'Feeders Raw Data'!AZ92)^2/20)/19),"")</f>
        <v>0</v>
      </c>
      <c r="AQ72">
        <f>IFERROR('Feeders Raw Data'!BI72,"")</f>
        <v>0</v>
      </c>
      <c r="AR72">
        <f>IFERROR('Feeders Raw Data'!BN72,"")</f>
        <v>0</v>
      </c>
      <c r="AS72">
        <f>IFERROR('Feeders Raw Data'!BP72-'Feeders Raw Data'!BP73,"")</f>
        <v>0</v>
      </c>
      <c r="AT72" t="str">
        <f>IFERROR(AVERAGE('Feeders Raw Data'!BP72:BP76),"")</f>
        <v/>
      </c>
      <c r="AU72" t="str">
        <f>IFERROR(SUMPRODUCT('Feeders Raw Data'!BJ72:BJ91,'Feeders Raw Data'!BO72:BO91)/SUM('Feeders Raw Data'!BO72:BO91),"")</f>
        <v/>
      </c>
      <c r="AV72">
        <f>IFERROR(SQRT((SUMSQ('Feeders Raw Data'!BJ72:BJ91)-2*SUMPRODUCT('Feeders Raw Data'!BJ72:BJ91,'Feeders Raw Data'!BJ73:BJ92)+SUMSQ('Feeders Raw Data'!BJ73:BJ92)-('Feeders Raw Data'!BJ72-'Feeders Raw Data'!BJ92)^2/20)/19),"")</f>
        <v>0</v>
      </c>
      <c r="AX72">
        <f>IFERROR('Feeders Raw Data'!BS72,"")</f>
        <v>0</v>
      </c>
      <c r="AY72">
        <f>IFERROR('Feeders Raw Data'!BX72,"")</f>
        <v>0</v>
      </c>
      <c r="AZ72">
        <f>IFERROR('Feeders Raw Data'!BZ72-'Feeders Raw Data'!BZ73,"")</f>
        <v>0</v>
      </c>
      <c r="BA72" t="str">
        <f>IFERROR(AVERAGE('Feeders Raw Data'!BZ72:BZ76),"")</f>
        <v/>
      </c>
      <c r="BB72" t="str">
        <f>IFERROR(SUMPRODUCT('Feeders Raw Data'!BT72:BT91,'Feeders Raw Data'!BY72:BY91)/SUM('Feeders Raw Data'!BY72:BY91),"")</f>
        <v/>
      </c>
      <c r="BC72">
        <f>IFERROR(SQRT((SUMSQ('Feeders Raw Data'!BT72:BT91)-2*SUMPRODUCT('Feeders Raw Data'!BT72:BT91,'Feeders Raw Data'!BT73:BT92)+SUMSQ('Feeders Raw Data'!BT73:BT92)-('Feeders Raw Data'!BT72-'Feeders Raw Data'!BT92)^2/20)/19),"")</f>
        <v>0</v>
      </c>
      <c r="BE72">
        <f>IFERROR('Fats Raw Data'!A72,"")</f>
        <v>0</v>
      </c>
      <c r="BF72">
        <f>IFERROR('Fats Raw Data'!F72,"")</f>
        <v>0</v>
      </c>
      <c r="BG72">
        <f>IFERROR('Fats Raw Data'!H72-'Fats Raw Data'!H73,"")</f>
        <v>0</v>
      </c>
      <c r="BH72" t="str">
        <f>IFERROR(AVERAGE('Fats Raw Data'!H72:H76),"")</f>
        <v/>
      </c>
      <c r="BI72" t="str">
        <f>IFERROR(SUMPRODUCT('Fats Raw Data'!B72:B91,'Fats Raw Data'!G72:G91)/SUM('Fats Raw Data'!G72:G91),"")</f>
        <v/>
      </c>
      <c r="BJ72">
        <f>IFERROR(SQRT((SUMSQ('Fats Raw Data'!B72:B91)-2*SUMPRODUCT('Fats Raw Data'!B72:B91,'Fats Raw Data'!B73:B92)+SUMSQ('Fats Raw Data'!B73:B92)-('Fats Raw Data'!B72-'Fats Raw Data'!B92)^2/20)/19),"")</f>
        <v>0</v>
      </c>
      <c r="BL72">
        <f>IFERROR('Fats Raw Data'!K72,"")</f>
        <v>0</v>
      </c>
      <c r="BM72">
        <f>IFERROR('Fats Raw Data'!P72,"")</f>
        <v>0</v>
      </c>
      <c r="BN72">
        <f>IFERROR('Fats Raw Data'!R72-'Fats Raw Data'!R73,"")</f>
        <v>0</v>
      </c>
      <c r="BO72" t="str">
        <f>IFERROR(AVERAGE('Fats Raw Data'!R72:R76),"")</f>
        <v/>
      </c>
      <c r="BP72" t="str">
        <f>IFERROR(SUMPRODUCT('Fats Raw Data'!L72:L91,'Fats Raw Data'!Q72:Q91)/SUM('Fats Raw Data'!Q72:Q91),"")</f>
        <v/>
      </c>
      <c r="BQ72">
        <f>IFERROR(SQRT((SUMSQ('Fats Raw Data'!L72:L91)-2*SUMPRODUCT('Fats Raw Data'!L72:L91,'Fats Raw Data'!L73:L92)+SUMSQ('Fats Raw Data'!L73:L92)-('Fats Raw Data'!L72-'Fats Raw Data'!L92)^2/20)/19),"")</f>
        <v>0</v>
      </c>
      <c r="BS72">
        <f>IFERROR('Fats Raw Data'!U72,"")</f>
        <v>0</v>
      </c>
      <c r="BT72">
        <f>IFERROR('Fats Raw Data'!Z72,"")</f>
        <v>0</v>
      </c>
      <c r="BU72">
        <f>IFERROR('Fats Raw Data'!AB72-'Fats Raw Data'!AB73,"")</f>
        <v>0</v>
      </c>
      <c r="BV72" t="str">
        <f>IFERROR(AVERAGE('Fats Raw Data'!AB72:AB76),"")</f>
        <v/>
      </c>
      <c r="BW72" t="str">
        <f>IFERROR(SUMPRODUCT('Fats Raw Data'!V72:V91,'Fats Raw Data'!AA72:AA91)/SUM('Fats Raw Data'!AA72:AA91),"")</f>
        <v/>
      </c>
      <c r="BX72">
        <f>IFERROR(SQRT((SUMSQ('Fats Raw Data'!V72:V91)-2*SUMPRODUCT('Fats Raw Data'!V72:V91,'Fats Raw Data'!V73:V92)+SUMSQ('Fats Raw Data'!V73:V92)-('Fats Raw Data'!V72-'Fats Raw Data'!V92)^2/20)/19),"")</f>
        <v>0</v>
      </c>
      <c r="BZ72">
        <f>IFERROR('Fats Raw Data'!AE72,"")</f>
        <v>0</v>
      </c>
      <c r="CA72">
        <f>IFERROR('Fats Raw Data'!AJ72,"")</f>
        <v>0</v>
      </c>
      <c r="CB72">
        <f>IFERROR('Fats Raw Data'!AL72-'Fats Raw Data'!AL73,"")</f>
        <v>0</v>
      </c>
      <c r="CC72" t="str">
        <f>IFERROR(AVERAGE('Fats Raw Data'!AL72:AL76),"")</f>
        <v/>
      </c>
      <c r="CD72" t="str">
        <f>IFERROR(SUMPRODUCT('Fats Raw Data'!AF72:AF91,'Fats Raw Data'!AK72:AK91)/SUM('Fats Raw Data'!AK72:AK91),"")</f>
        <v/>
      </c>
      <c r="CE72">
        <f>IFERROR(SQRT((SUMSQ('Fats Raw Data'!AF72:AF91)-2*SUMPRODUCT('Fats Raw Data'!AF72:AF91,'Fats Raw Data'!AF73:AF92)+SUMSQ('Fats Raw Data'!AF73:AF92)-('Fats Raw Data'!AF72-'Fats Raw Data'!AF92)^2/20)/19),"")</f>
        <v>0</v>
      </c>
      <c r="CG72">
        <f>IFERROR('Fats Raw Data'!AO72,"")</f>
        <v>0</v>
      </c>
      <c r="CH72">
        <f>IFERROR('Fats Raw Data'!AT72,"")</f>
        <v>0</v>
      </c>
      <c r="CI72">
        <f>IFERROR('Fats Raw Data'!AV72-'Fats Raw Data'!AV73,"")</f>
        <v>0</v>
      </c>
      <c r="CJ72" t="str">
        <f>IFERROR(AVERAGE('Fats Raw Data'!AV72:AV76),"")</f>
        <v/>
      </c>
      <c r="CK72" t="str">
        <f>IFERROR(SUMPRODUCT('Fats Raw Data'!AP72:AP91,'Fats Raw Data'!AU72:AU91)/SUM('Fats Raw Data'!AU72:AU91),"")</f>
        <v/>
      </c>
      <c r="CL72">
        <f>IFERROR(SQRT((SUMSQ('Fats Raw Data'!AP72:AP91)-2*SUMPRODUCT('Fats Raw Data'!AP72:AP91,'Fats Raw Data'!AP73:AP92)+SUMSQ('Fats Raw Data'!AP73:AP92)-('Fats Raw Data'!AP72-'Fats Raw Data'!AP92)^2/20)/19),"")</f>
        <v>0</v>
      </c>
      <c r="CN72">
        <f>IFERROR('Fats Raw Data'!AY72,"")</f>
        <v>0</v>
      </c>
      <c r="CO72">
        <f>IFERROR('Fats Raw Data'!BD72,"")</f>
        <v>0</v>
      </c>
      <c r="CP72">
        <f>IFERROR('Fats Raw Data'!BF72-'Fats Raw Data'!BF73,"")</f>
        <v>0</v>
      </c>
      <c r="CQ72" t="str">
        <f>IFERROR(AVERAGE('Fats Raw Data'!BF72:BF76),"")</f>
        <v/>
      </c>
      <c r="CR72" t="str">
        <f>IFERROR(SUMPRODUCT('Fats Raw Data'!AZ72:AZ91,'Fats Raw Data'!BE72:BE91)/SUM('Fats Raw Data'!BE72:BE91),"")</f>
        <v/>
      </c>
      <c r="CS72">
        <f>IFERROR(SQRT((SUMSQ('Fats Raw Data'!AZ72:AZ91)-2*SUMPRODUCT('Fats Raw Data'!AZ72:AZ91,'Fats Raw Data'!AZ73:AZ92)+SUMSQ('Fats Raw Data'!AZ73:AZ92)-('Fats Raw Data'!AZ72-'Fats Raw Data'!AZ92)^2/20)/19),"")</f>
        <v>0</v>
      </c>
    </row>
    <row r="73" spans="1:97" x14ac:dyDescent="0.25">
      <c r="A73">
        <f>IFERROR('Feeders Raw Data'!A73,"")</f>
        <v>0</v>
      </c>
      <c r="B73">
        <f>IFERROR('Feeders Raw Data'!F73,"")</f>
        <v>0</v>
      </c>
      <c r="C73">
        <f>IFERROR('Feeders Raw Data'!H73-'Feeders Raw Data'!H74,"")</f>
        <v>0</v>
      </c>
      <c r="D73" t="str">
        <f>IFERROR(AVERAGE('Feeders Raw Data'!H73:H77),"")</f>
        <v/>
      </c>
      <c r="E73" t="str">
        <f>IFERROR(SUMPRODUCT('Feeders Raw Data'!B73:B92,'Feeders Raw Data'!G73:G92)/SUM('Feeders Raw Data'!G73:G92),"")</f>
        <v/>
      </c>
      <c r="F73">
        <f>IFERROR(SQRT((SUMSQ('Feeders Raw Data'!B73:B92)-2*SUMPRODUCT('Feeders Raw Data'!B73:B92,'Feeders Raw Data'!B74:B93)+SUMSQ('Feeders Raw Data'!B74:B93)-('Feeders Raw Data'!B73-'Feeders Raw Data'!B93)^2/20)/19),"")</f>
        <v>0</v>
      </c>
      <c r="H73">
        <f>IFERROR('Feeders Raw Data'!K73,"")</f>
        <v>0</v>
      </c>
      <c r="I73">
        <f>IFERROR('Feeders Raw Data'!P73,"")</f>
        <v>0</v>
      </c>
      <c r="J73">
        <f>IFERROR('Feeders Raw Data'!R73-'Feeders Raw Data'!R74,"")</f>
        <v>0</v>
      </c>
      <c r="K73" t="str">
        <f>IFERROR(AVERAGE('Feeders Raw Data'!R73:R77),"")</f>
        <v/>
      </c>
      <c r="L73" t="str">
        <f>IFERROR(SUMPRODUCT('Feeders Raw Data'!L73:L92,'Feeders Raw Data'!Q73:Q92)/SUM('Feeders Raw Data'!Q73:Q92),"")</f>
        <v/>
      </c>
      <c r="M73">
        <f>IFERROR(SQRT((SUMSQ('Feeders Raw Data'!L73:L92)-2*SUMPRODUCT('Feeders Raw Data'!L73:L92,'Feeders Raw Data'!L74:L93)+SUMSQ('Feeders Raw Data'!L74:L93)-('Feeders Raw Data'!L73-'Feeders Raw Data'!L93)^2/20)/19),"")</f>
        <v>0</v>
      </c>
      <c r="O73">
        <f>IFERROR('Feeders Raw Data'!U73,"")</f>
        <v>0</v>
      </c>
      <c r="P73">
        <f>IFERROR('Feeders Raw Data'!Z73,"")</f>
        <v>0</v>
      </c>
      <c r="Q73">
        <f>IFERROR('Feeders Raw Data'!AB73-'Feeders Raw Data'!AB74,"")</f>
        <v>0</v>
      </c>
      <c r="R73" t="str">
        <f>IFERROR(AVERAGE('Feeders Raw Data'!AB73:AB77),"")</f>
        <v/>
      </c>
      <c r="S73" t="str">
        <f>IFERROR(SUMPRODUCT('Feeders Raw Data'!V73:V92,'Feeders Raw Data'!AA73:AA92)/SUM('Feeders Raw Data'!AA73:AA92),"")</f>
        <v/>
      </c>
      <c r="T73">
        <f>IFERROR(SQRT((SUMSQ('Feeders Raw Data'!V73:V92)-2*SUMPRODUCT('Feeders Raw Data'!V73:V92,'Feeders Raw Data'!V74:V93)+SUMSQ('Feeders Raw Data'!V74:V93)-('Feeders Raw Data'!V73-'Feeders Raw Data'!V93)^2/20)/19),"")</f>
        <v>0</v>
      </c>
      <c r="V73">
        <f>IFERROR('Feeders Raw Data'!AE73,"")</f>
        <v>0</v>
      </c>
      <c r="W73">
        <f>IFERROR('Feeders Raw Data'!AJ73,"")</f>
        <v>0</v>
      </c>
      <c r="X73">
        <f>IFERROR('Feeders Raw Data'!AL73-'Feeders Raw Data'!AL74,"")</f>
        <v>0</v>
      </c>
      <c r="Y73" t="str">
        <f>IFERROR(AVERAGE('Feeders Raw Data'!AL73:AL77),"")</f>
        <v/>
      </c>
      <c r="Z73" t="str">
        <f>IFERROR(SUMPRODUCT('Feeders Raw Data'!AF73:AF92,'Feeders Raw Data'!AK73:AK92)/SUM('Feeders Raw Data'!AK73:AK92),"")</f>
        <v/>
      </c>
      <c r="AA73">
        <f>IFERROR(SQRT((SUMSQ('Feeders Raw Data'!AF73:AF92)-2*SUMPRODUCT('Feeders Raw Data'!AF73:AF92,'Feeders Raw Data'!AF74:AF93)+SUMSQ('Feeders Raw Data'!AF74:AF93)-('Feeders Raw Data'!AF73-'Feeders Raw Data'!AF93)^2/20)/19),"")</f>
        <v>0</v>
      </c>
      <c r="AC73">
        <f>IFERROR('Feeders Raw Data'!AO73,"")</f>
        <v>0</v>
      </c>
      <c r="AD73">
        <f>IFERROR('Feeders Raw Data'!AT73,"")</f>
        <v>0</v>
      </c>
      <c r="AE73">
        <f>IFERROR('Feeders Raw Data'!AV73-'Feeders Raw Data'!AV74,"")</f>
        <v>0</v>
      </c>
      <c r="AF73" t="str">
        <f>IFERROR(AVERAGE('Feeders Raw Data'!AV73:AV77),"")</f>
        <v/>
      </c>
      <c r="AG73" t="str">
        <f>IFERROR(SUMPRODUCT('Feeders Raw Data'!AP73:AP92,'Feeders Raw Data'!AU73:AU92)/SUM('Feeders Raw Data'!AU73:AU92),"")</f>
        <v/>
      </c>
      <c r="AH73">
        <f>IFERROR(SQRT((SUMSQ('Feeders Raw Data'!AP73:AP92)-2*SUMPRODUCT('Feeders Raw Data'!AP73:AP92,'Feeders Raw Data'!AP74:AP93)+SUMSQ('Feeders Raw Data'!AP74:AP93)-('Feeders Raw Data'!AP73-'Feeders Raw Data'!AP93)^2/20)/19),"")</f>
        <v>0</v>
      </c>
      <c r="AJ73">
        <f>IFERROR('Feeders Raw Data'!AY73,"")</f>
        <v>0</v>
      </c>
      <c r="AK73">
        <f>IFERROR('Feeders Raw Data'!BD73,"")</f>
        <v>0</v>
      </c>
      <c r="AL73">
        <f>IFERROR('Feeders Raw Data'!BF73-'Feeders Raw Data'!BF74,"")</f>
        <v>0</v>
      </c>
      <c r="AM73" t="str">
        <f>IFERROR(AVERAGE('Feeders Raw Data'!BF73:BF77),"")</f>
        <v/>
      </c>
      <c r="AN73" t="str">
        <f>IFERROR(SUMPRODUCT('Feeders Raw Data'!AZ73:AZ92,'Feeders Raw Data'!BE73:BE92)/SUM('Feeders Raw Data'!BE73:BE92),"")</f>
        <v/>
      </c>
      <c r="AO73">
        <f>IFERROR(SQRT((SUMSQ('Feeders Raw Data'!AZ73:AZ92)-2*SUMPRODUCT('Feeders Raw Data'!AZ73:AZ92,'Feeders Raw Data'!AZ74:AZ93)+SUMSQ('Feeders Raw Data'!AZ74:AZ93)-('Feeders Raw Data'!AZ73-'Feeders Raw Data'!AZ93)^2/20)/19),"")</f>
        <v>0</v>
      </c>
      <c r="AQ73">
        <f>IFERROR('Feeders Raw Data'!BI73,"")</f>
        <v>0</v>
      </c>
      <c r="AR73">
        <f>IFERROR('Feeders Raw Data'!BN73,"")</f>
        <v>0</v>
      </c>
      <c r="AS73">
        <f>IFERROR('Feeders Raw Data'!BP73-'Feeders Raw Data'!BP74,"")</f>
        <v>0</v>
      </c>
      <c r="AT73" t="str">
        <f>IFERROR(AVERAGE('Feeders Raw Data'!BP73:BP77),"")</f>
        <v/>
      </c>
      <c r="AU73" t="str">
        <f>IFERROR(SUMPRODUCT('Feeders Raw Data'!BJ73:BJ92,'Feeders Raw Data'!BO73:BO92)/SUM('Feeders Raw Data'!BO73:BO92),"")</f>
        <v/>
      </c>
      <c r="AV73">
        <f>IFERROR(SQRT((SUMSQ('Feeders Raw Data'!BJ73:BJ92)-2*SUMPRODUCT('Feeders Raw Data'!BJ73:BJ92,'Feeders Raw Data'!BJ74:BJ93)+SUMSQ('Feeders Raw Data'!BJ74:BJ93)-('Feeders Raw Data'!BJ73-'Feeders Raw Data'!BJ93)^2/20)/19),"")</f>
        <v>0</v>
      </c>
      <c r="AX73">
        <f>IFERROR('Feeders Raw Data'!BS73,"")</f>
        <v>0</v>
      </c>
      <c r="AY73">
        <f>IFERROR('Feeders Raw Data'!BX73,"")</f>
        <v>0</v>
      </c>
      <c r="AZ73">
        <f>IFERROR('Feeders Raw Data'!BZ73-'Feeders Raw Data'!BZ74,"")</f>
        <v>0</v>
      </c>
      <c r="BA73" t="str">
        <f>IFERROR(AVERAGE('Feeders Raw Data'!BZ73:BZ77),"")</f>
        <v/>
      </c>
      <c r="BB73" t="str">
        <f>IFERROR(SUMPRODUCT('Feeders Raw Data'!BT73:BT92,'Feeders Raw Data'!BY73:BY92)/SUM('Feeders Raw Data'!BY73:BY92),"")</f>
        <v/>
      </c>
      <c r="BC73">
        <f>IFERROR(SQRT((SUMSQ('Feeders Raw Data'!BT73:BT92)-2*SUMPRODUCT('Feeders Raw Data'!BT73:BT92,'Feeders Raw Data'!BT74:BT93)+SUMSQ('Feeders Raw Data'!BT74:BT93)-('Feeders Raw Data'!BT73-'Feeders Raw Data'!BT93)^2/20)/19),"")</f>
        <v>0</v>
      </c>
      <c r="BE73">
        <f>IFERROR('Fats Raw Data'!A73,"")</f>
        <v>0</v>
      </c>
      <c r="BF73">
        <f>IFERROR('Fats Raw Data'!F73,"")</f>
        <v>0</v>
      </c>
      <c r="BG73">
        <f>IFERROR('Fats Raw Data'!H73-'Fats Raw Data'!H74,"")</f>
        <v>0</v>
      </c>
      <c r="BH73" t="str">
        <f>IFERROR(AVERAGE('Fats Raw Data'!H73:H77),"")</f>
        <v/>
      </c>
      <c r="BI73" t="str">
        <f>IFERROR(SUMPRODUCT('Fats Raw Data'!B73:B92,'Fats Raw Data'!G73:G92)/SUM('Fats Raw Data'!G73:G92),"")</f>
        <v/>
      </c>
      <c r="BJ73">
        <f>IFERROR(SQRT((SUMSQ('Fats Raw Data'!B73:B92)-2*SUMPRODUCT('Fats Raw Data'!B73:B92,'Fats Raw Data'!B74:B93)+SUMSQ('Fats Raw Data'!B74:B93)-('Fats Raw Data'!B73-'Fats Raw Data'!B93)^2/20)/19),"")</f>
        <v>0</v>
      </c>
      <c r="BL73">
        <f>IFERROR('Fats Raw Data'!K73,"")</f>
        <v>0</v>
      </c>
      <c r="BM73">
        <f>IFERROR('Fats Raw Data'!P73,"")</f>
        <v>0</v>
      </c>
      <c r="BN73">
        <f>IFERROR('Fats Raw Data'!R73-'Fats Raw Data'!R74,"")</f>
        <v>0</v>
      </c>
      <c r="BO73" t="str">
        <f>IFERROR(AVERAGE('Fats Raw Data'!R73:R77),"")</f>
        <v/>
      </c>
      <c r="BP73" t="str">
        <f>IFERROR(SUMPRODUCT('Fats Raw Data'!L73:L92,'Fats Raw Data'!Q73:Q92)/SUM('Fats Raw Data'!Q73:Q92),"")</f>
        <v/>
      </c>
      <c r="BQ73">
        <f>IFERROR(SQRT((SUMSQ('Fats Raw Data'!L73:L92)-2*SUMPRODUCT('Fats Raw Data'!L73:L92,'Fats Raw Data'!L74:L93)+SUMSQ('Fats Raw Data'!L74:L93)-('Fats Raw Data'!L73-'Fats Raw Data'!L93)^2/20)/19),"")</f>
        <v>0</v>
      </c>
      <c r="BS73">
        <f>IFERROR('Fats Raw Data'!U73,"")</f>
        <v>0</v>
      </c>
      <c r="BT73">
        <f>IFERROR('Fats Raw Data'!Z73,"")</f>
        <v>0</v>
      </c>
      <c r="BU73">
        <f>IFERROR('Fats Raw Data'!AB73-'Fats Raw Data'!AB74,"")</f>
        <v>0</v>
      </c>
      <c r="BV73" t="str">
        <f>IFERROR(AVERAGE('Fats Raw Data'!AB73:AB77),"")</f>
        <v/>
      </c>
      <c r="BW73" t="str">
        <f>IFERROR(SUMPRODUCT('Fats Raw Data'!V73:V92,'Fats Raw Data'!AA73:AA92)/SUM('Fats Raw Data'!AA73:AA92),"")</f>
        <v/>
      </c>
      <c r="BX73">
        <f>IFERROR(SQRT((SUMSQ('Fats Raw Data'!V73:V92)-2*SUMPRODUCT('Fats Raw Data'!V73:V92,'Fats Raw Data'!V74:V93)+SUMSQ('Fats Raw Data'!V74:V93)-('Fats Raw Data'!V73-'Fats Raw Data'!V93)^2/20)/19),"")</f>
        <v>0</v>
      </c>
      <c r="BZ73">
        <f>IFERROR('Fats Raw Data'!AE73,"")</f>
        <v>0</v>
      </c>
      <c r="CA73">
        <f>IFERROR('Fats Raw Data'!AJ73,"")</f>
        <v>0</v>
      </c>
      <c r="CB73">
        <f>IFERROR('Fats Raw Data'!AL73-'Fats Raw Data'!AL74,"")</f>
        <v>0</v>
      </c>
      <c r="CC73" t="str">
        <f>IFERROR(AVERAGE('Fats Raw Data'!AL73:AL77),"")</f>
        <v/>
      </c>
      <c r="CD73" t="str">
        <f>IFERROR(SUMPRODUCT('Fats Raw Data'!AF73:AF92,'Fats Raw Data'!AK73:AK92)/SUM('Fats Raw Data'!AK73:AK92),"")</f>
        <v/>
      </c>
      <c r="CE73">
        <f>IFERROR(SQRT((SUMSQ('Fats Raw Data'!AF73:AF92)-2*SUMPRODUCT('Fats Raw Data'!AF73:AF92,'Fats Raw Data'!AF74:AF93)+SUMSQ('Fats Raw Data'!AF74:AF93)-('Fats Raw Data'!AF73-'Fats Raw Data'!AF93)^2/20)/19),"")</f>
        <v>0</v>
      </c>
      <c r="CG73">
        <f>IFERROR('Fats Raw Data'!AO73,"")</f>
        <v>0</v>
      </c>
      <c r="CH73">
        <f>IFERROR('Fats Raw Data'!AT73,"")</f>
        <v>0</v>
      </c>
      <c r="CI73">
        <f>IFERROR('Fats Raw Data'!AV73-'Fats Raw Data'!AV74,"")</f>
        <v>0</v>
      </c>
      <c r="CJ73" t="str">
        <f>IFERROR(AVERAGE('Fats Raw Data'!AV73:AV77),"")</f>
        <v/>
      </c>
      <c r="CK73" t="str">
        <f>IFERROR(SUMPRODUCT('Fats Raw Data'!AP73:AP92,'Fats Raw Data'!AU73:AU92)/SUM('Fats Raw Data'!AU73:AU92),"")</f>
        <v/>
      </c>
      <c r="CL73">
        <f>IFERROR(SQRT((SUMSQ('Fats Raw Data'!AP73:AP92)-2*SUMPRODUCT('Fats Raw Data'!AP73:AP92,'Fats Raw Data'!AP74:AP93)+SUMSQ('Fats Raw Data'!AP74:AP93)-('Fats Raw Data'!AP73-'Fats Raw Data'!AP93)^2/20)/19),"")</f>
        <v>0</v>
      </c>
      <c r="CN73">
        <f>IFERROR('Fats Raw Data'!AY73,"")</f>
        <v>0</v>
      </c>
      <c r="CO73">
        <f>IFERROR('Fats Raw Data'!BD73,"")</f>
        <v>0</v>
      </c>
      <c r="CP73">
        <f>IFERROR('Fats Raw Data'!BF73-'Fats Raw Data'!BF74,"")</f>
        <v>0</v>
      </c>
      <c r="CQ73" t="str">
        <f>IFERROR(AVERAGE('Fats Raw Data'!BF73:BF77),"")</f>
        <v/>
      </c>
      <c r="CR73" t="str">
        <f>IFERROR(SUMPRODUCT('Fats Raw Data'!AZ73:AZ92,'Fats Raw Data'!BE73:BE92)/SUM('Fats Raw Data'!BE73:BE92),"")</f>
        <v/>
      </c>
      <c r="CS73">
        <f>IFERROR(SQRT((SUMSQ('Fats Raw Data'!AZ73:AZ92)-2*SUMPRODUCT('Fats Raw Data'!AZ73:AZ92,'Fats Raw Data'!AZ74:AZ93)+SUMSQ('Fats Raw Data'!AZ74:AZ93)-('Fats Raw Data'!AZ73-'Fats Raw Data'!AZ93)^2/20)/19),"")</f>
        <v>0</v>
      </c>
    </row>
    <row r="74" spans="1:97" x14ac:dyDescent="0.25">
      <c r="A74">
        <f>IFERROR('Feeders Raw Data'!A74,"")</f>
        <v>0</v>
      </c>
      <c r="B74">
        <f>IFERROR('Feeders Raw Data'!F74,"")</f>
        <v>0</v>
      </c>
      <c r="C74">
        <f>IFERROR('Feeders Raw Data'!H74-'Feeders Raw Data'!H75,"")</f>
        <v>0</v>
      </c>
      <c r="D74" t="str">
        <f>IFERROR(AVERAGE('Feeders Raw Data'!H74:H78),"")</f>
        <v/>
      </c>
      <c r="E74" t="str">
        <f>IFERROR(SUMPRODUCT('Feeders Raw Data'!B74:B93,'Feeders Raw Data'!G74:G93)/SUM('Feeders Raw Data'!G74:G93),"")</f>
        <v/>
      </c>
      <c r="F74">
        <f>IFERROR(SQRT((SUMSQ('Feeders Raw Data'!B74:B93)-2*SUMPRODUCT('Feeders Raw Data'!B74:B93,'Feeders Raw Data'!B75:B94)+SUMSQ('Feeders Raw Data'!B75:B94)-('Feeders Raw Data'!B74-'Feeders Raw Data'!B94)^2/20)/19),"")</f>
        <v>0</v>
      </c>
      <c r="H74">
        <f>IFERROR('Feeders Raw Data'!K74,"")</f>
        <v>0</v>
      </c>
      <c r="I74">
        <f>IFERROR('Feeders Raw Data'!P74,"")</f>
        <v>0</v>
      </c>
      <c r="J74">
        <f>IFERROR('Feeders Raw Data'!R74-'Feeders Raw Data'!R75,"")</f>
        <v>0</v>
      </c>
      <c r="K74" t="str">
        <f>IFERROR(AVERAGE('Feeders Raw Data'!R74:R78),"")</f>
        <v/>
      </c>
      <c r="L74" t="str">
        <f>IFERROR(SUMPRODUCT('Feeders Raw Data'!L74:L93,'Feeders Raw Data'!Q74:Q93)/SUM('Feeders Raw Data'!Q74:Q93),"")</f>
        <v/>
      </c>
      <c r="M74">
        <f>IFERROR(SQRT((SUMSQ('Feeders Raw Data'!L74:L93)-2*SUMPRODUCT('Feeders Raw Data'!L74:L93,'Feeders Raw Data'!L75:L94)+SUMSQ('Feeders Raw Data'!L75:L94)-('Feeders Raw Data'!L74-'Feeders Raw Data'!L94)^2/20)/19),"")</f>
        <v>0</v>
      </c>
      <c r="O74">
        <f>IFERROR('Feeders Raw Data'!U74,"")</f>
        <v>0</v>
      </c>
      <c r="P74">
        <f>IFERROR('Feeders Raw Data'!Z74,"")</f>
        <v>0</v>
      </c>
      <c r="Q74">
        <f>IFERROR('Feeders Raw Data'!AB74-'Feeders Raw Data'!AB75,"")</f>
        <v>0</v>
      </c>
      <c r="R74" t="str">
        <f>IFERROR(AVERAGE('Feeders Raw Data'!AB74:AB78),"")</f>
        <v/>
      </c>
      <c r="S74" t="str">
        <f>IFERROR(SUMPRODUCT('Feeders Raw Data'!V74:V93,'Feeders Raw Data'!AA74:AA93)/SUM('Feeders Raw Data'!AA74:AA93),"")</f>
        <v/>
      </c>
      <c r="T74">
        <f>IFERROR(SQRT((SUMSQ('Feeders Raw Data'!V74:V93)-2*SUMPRODUCT('Feeders Raw Data'!V74:V93,'Feeders Raw Data'!V75:V94)+SUMSQ('Feeders Raw Data'!V75:V94)-('Feeders Raw Data'!V74-'Feeders Raw Data'!V94)^2/20)/19),"")</f>
        <v>0</v>
      </c>
      <c r="V74">
        <f>IFERROR('Feeders Raw Data'!AE74,"")</f>
        <v>0</v>
      </c>
      <c r="W74">
        <f>IFERROR('Feeders Raw Data'!AJ74,"")</f>
        <v>0</v>
      </c>
      <c r="X74">
        <f>IFERROR('Feeders Raw Data'!AL74-'Feeders Raw Data'!AL75,"")</f>
        <v>0</v>
      </c>
      <c r="Y74" t="str">
        <f>IFERROR(AVERAGE('Feeders Raw Data'!AL74:AL78),"")</f>
        <v/>
      </c>
      <c r="Z74" t="str">
        <f>IFERROR(SUMPRODUCT('Feeders Raw Data'!AF74:AF93,'Feeders Raw Data'!AK74:AK93)/SUM('Feeders Raw Data'!AK74:AK93),"")</f>
        <v/>
      </c>
      <c r="AA74">
        <f>IFERROR(SQRT((SUMSQ('Feeders Raw Data'!AF74:AF93)-2*SUMPRODUCT('Feeders Raw Data'!AF74:AF93,'Feeders Raw Data'!AF75:AF94)+SUMSQ('Feeders Raw Data'!AF75:AF94)-('Feeders Raw Data'!AF74-'Feeders Raw Data'!AF94)^2/20)/19),"")</f>
        <v>0</v>
      </c>
      <c r="AC74">
        <f>IFERROR('Feeders Raw Data'!AO74,"")</f>
        <v>0</v>
      </c>
      <c r="AD74">
        <f>IFERROR('Feeders Raw Data'!AT74,"")</f>
        <v>0</v>
      </c>
      <c r="AE74">
        <f>IFERROR('Feeders Raw Data'!AV74-'Feeders Raw Data'!AV75,"")</f>
        <v>0</v>
      </c>
      <c r="AF74" t="str">
        <f>IFERROR(AVERAGE('Feeders Raw Data'!AV74:AV78),"")</f>
        <v/>
      </c>
      <c r="AG74" t="str">
        <f>IFERROR(SUMPRODUCT('Feeders Raw Data'!AP74:AP93,'Feeders Raw Data'!AU74:AU93)/SUM('Feeders Raw Data'!AU74:AU93),"")</f>
        <v/>
      </c>
      <c r="AH74">
        <f>IFERROR(SQRT((SUMSQ('Feeders Raw Data'!AP74:AP93)-2*SUMPRODUCT('Feeders Raw Data'!AP74:AP93,'Feeders Raw Data'!AP75:AP94)+SUMSQ('Feeders Raw Data'!AP75:AP94)-('Feeders Raw Data'!AP74-'Feeders Raw Data'!AP94)^2/20)/19),"")</f>
        <v>0</v>
      </c>
      <c r="AJ74">
        <f>IFERROR('Feeders Raw Data'!AY74,"")</f>
        <v>0</v>
      </c>
      <c r="AK74">
        <f>IFERROR('Feeders Raw Data'!BD74,"")</f>
        <v>0</v>
      </c>
      <c r="AL74">
        <f>IFERROR('Feeders Raw Data'!BF74-'Feeders Raw Data'!BF75,"")</f>
        <v>0</v>
      </c>
      <c r="AM74" t="str">
        <f>IFERROR(AVERAGE('Feeders Raw Data'!BF74:BF78),"")</f>
        <v/>
      </c>
      <c r="AN74" t="str">
        <f>IFERROR(SUMPRODUCT('Feeders Raw Data'!AZ74:AZ93,'Feeders Raw Data'!BE74:BE93)/SUM('Feeders Raw Data'!BE74:BE93),"")</f>
        <v/>
      </c>
      <c r="AO74">
        <f>IFERROR(SQRT((SUMSQ('Feeders Raw Data'!AZ74:AZ93)-2*SUMPRODUCT('Feeders Raw Data'!AZ74:AZ93,'Feeders Raw Data'!AZ75:AZ94)+SUMSQ('Feeders Raw Data'!AZ75:AZ94)-('Feeders Raw Data'!AZ74-'Feeders Raw Data'!AZ94)^2/20)/19),"")</f>
        <v>0</v>
      </c>
      <c r="AQ74">
        <f>IFERROR('Feeders Raw Data'!BI74,"")</f>
        <v>0</v>
      </c>
      <c r="AR74">
        <f>IFERROR('Feeders Raw Data'!BN74,"")</f>
        <v>0</v>
      </c>
      <c r="AS74">
        <f>IFERROR('Feeders Raw Data'!BP74-'Feeders Raw Data'!BP75,"")</f>
        <v>0</v>
      </c>
      <c r="AT74" t="str">
        <f>IFERROR(AVERAGE('Feeders Raw Data'!BP74:BP78),"")</f>
        <v/>
      </c>
      <c r="AU74" t="str">
        <f>IFERROR(SUMPRODUCT('Feeders Raw Data'!BJ74:BJ93,'Feeders Raw Data'!BO74:BO93)/SUM('Feeders Raw Data'!BO74:BO93),"")</f>
        <v/>
      </c>
      <c r="AV74">
        <f>IFERROR(SQRT((SUMSQ('Feeders Raw Data'!BJ74:BJ93)-2*SUMPRODUCT('Feeders Raw Data'!BJ74:BJ93,'Feeders Raw Data'!BJ75:BJ94)+SUMSQ('Feeders Raw Data'!BJ75:BJ94)-('Feeders Raw Data'!BJ74-'Feeders Raw Data'!BJ94)^2/20)/19),"")</f>
        <v>0</v>
      </c>
      <c r="AX74">
        <f>IFERROR('Feeders Raw Data'!BS74,"")</f>
        <v>0</v>
      </c>
      <c r="AY74">
        <f>IFERROR('Feeders Raw Data'!BX74,"")</f>
        <v>0</v>
      </c>
      <c r="AZ74">
        <f>IFERROR('Feeders Raw Data'!BZ74-'Feeders Raw Data'!BZ75,"")</f>
        <v>0</v>
      </c>
      <c r="BA74" t="str">
        <f>IFERROR(AVERAGE('Feeders Raw Data'!BZ74:BZ78),"")</f>
        <v/>
      </c>
      <c r="BB74" t="str">
        <f>IFERROR(SUMPRODUCT('Feeders Raw Data'!BT74:BT93,'Feeders Raw Data'!BY74:BY93)/SUM('Feeders Raw Data'!BY74:BY93),"")</f>
        <v/>
      </c>
      <c r="BC74">
        <f>IFERROR(SQRT((SUMSQ('Feeders Raw Data'!BT74:BT93)-2*SUMPRODUCT('Feeders Raw Data'!BT74:BT93,'Feeders Raw Data'!BT75:BT94)+SUMSQ('Feeders Raw Data'!BT75:BT94)-('Feeders Raw Data'!BT74-'Feeders Raw Data'!BT94)^2/20)/19),"")</f>
        <v>0</v>
      </c>
      <c r="BE74">
        <f>IFERROR('Fats Raw Data'!A74,"")</f>
        <v>0</v>
      </c>
      <c r="BF74">
        <f>IFERROR('Fats Raw Data'!F74,"")</f>
        <v>0</v>
      </c>
      <c r="BG74">
        <f>IFERROR('Fats Raw Data'!H74-'Fats Raw Data'!H75,"")</f>
        <v>0</v>
      </c>
      <c r="BH74" t="str">
        <f>IFERROR(AVERAGE('Fats Raw Data'!H74:H78),"")</f>
        <v/>
      </c>
      <c r="BI74" t="str">
        <f>IFERROR(SUMPRODUCT('Fats Raw Data'!B74:B93,'Fats Raw Data'!G74:G93)/SUM('Fats Raw Data'!G74:G93),"")</f>
        <v/>
      </c>
      <c r="BJ74">
        <f>IFERROR(SQRT((SUMSQ('Fats Raw Data'!B74:B93)-2*SUMPRODUCT('Fats Raw Data'!B74:B93,'Fats Raw Data'!B75:B94)+SUMSQ('Fats Raw Data'!B75:B94)-('Fats Raw Data'!B74-'Fats Raw Data'!B94)^2/20)/19),"")</f>
        <v>0</v>
      </c>
      <c r="BL74">
        <f>IFERROR('Fats Raw Data'!K74,"")</f>
        <v>0</v>
      </c>
      <c r="BM74">
        <f>IFERROR('Fats Raw Data'!P74,"")</f>
        <v>0</v>
      </c>
      <c r="BN74">
        <f>IFERROR('Fats Raw Data'!R74-'Fats Raw Data'!R75,"")</f>
        <v>0</v>
      </c>
      <c r="BO74" t="str">
        <f>IFERROR(AVERAGE('Fats Raw Data'!R74:R78),"")</f>
        <v/>
      </c>
      <c r="BP74" t="str">
        <f>IFERROR(SUMPRODUCT('Fats Raw Data'!L74:L93,'Fats Raw Data'!Q74:Q93)/SUM('Fats Raw Data'!Q74:Q93),"")</f>
        <v/>
      </c>
      <c r="BQ74">
        <f>IFERROR(SQRT((SUMSQ('Fats Raw Data'!L74:L93)-2*SUMPRODUCT('Fats Raw Data'!L74:L93,'Fats Raw Data'!L75:L94)+SUMSQ('Fats Raw Data'!L75:L94)-('Fats Raw Data'!L74-'Fats Raw Data'!L94)^2/20)/19),"")</f>
        <v>0</v>
      </c>
      <c r="BS74">
        <f>IFERROR('Fats Raw Data'!U74,"")</f>
        <v>0</v>
      </c>
      <c r="BT74">
        <f>IFERROR('Fats Raw Data'!Z74,"")</f>
        <v>0</v>
      </c>
      <c r="BU74">
        <f>IFERROR('Fats Raw Data'!AB74-'Fats Raw Data'!AB75,"")</f>
        <v>0</v>
      </c>
      <c r="BV74" t="str">
        <f>IFERROR(AVERAGE('Fats Raw Data'!AB74:AB78),"")</f>
        <v/>
      </c>
      <c r="BW74" t="str">
        <f>IFERROR(SUMPRODUCT('Fats Raw Data'!V74:V93,'Fats Raw Data'!AA74:AA93)/SUM('Fats Raw Data'!AA74:AA93),"")</f>
        <v/>
      </c>
      <c r="BX74">
        <f>IFERROR(SQRT((SUMSQ('Fats Raw Data'!V74:V93)-2*SUMPRODUCT('Fats Raw Data'!V74:V93,'Fats Raw Data'!V75:V94)+SUMSQ('Fats Raw Data'!V75:V94)-('Fats Raw Data'!V74-'Fats Raw Data'!V94)^2/20)/19),"")</f>
        <v>0</v>
      </c>
      <c r="BZ74">
        <f>IFERROR('Fats Raw Data'!AE74,"")</f>
        <v>0</v>
      </c>
      <c r="CA74">
        <f>IFERROR('Fats Raw Data'!AJ74,"")</f>
        <v>0</v>
      </c>
      <c r="CB74">
        <f>IFERROR('Fats Raw Data'!AL74-'Fats Raw Data'!AL75,"")</f>
        <v>0</v>
      </c>
      <c r="CC74" t="str">
        <f>IFERROR(AVERAGE('Fats Raw Data'!AL74:AL78),"")</f>
        <v/>
      </c>
      <c r="CD74" t="str">
        <f>IFERROR(SUMPRODUCT('Fats Raw Data'!AF74:AF93,'Fats Raw Data'!AK74:AK93)/SUM('Fats Raw Data'!AK74:AK93),"")</f>
        <v/>
      </c>
      <c r="CE74">
        <f>IFERROR(SQRT((SUMSQ('Fats Raw Data'!AF74:AF93)-2*SUMPRODUCT('Fats Raw Data'!AF74:AF93,'Fats Raw Data'!AF75:AF94)+SUMSQ('Fats Raw Data'!AF75:AF94)-('Fats Raw Data'!AF74-'Fats Raw Data'!AF94)^2/20)/19),"")</f>
        <v>0</v>
      </c>
      <c r="CG74">
        <f>IFERROR('Fats Raw Data'!AO74,"")</f>
        <v>0</v>
      </c>
      <c r="CH74">
        <f>IFERROR('Fats Raw Data'!AT74,"")</f>
        <v>0</v>
      </c>
      <c r="CI74">
        <f>IFERROR('Fats Raw Data'!AV74-'Fats Raw Data'!AV75,"")</f>
        <v>0</v>
      </c>
      <c r="CJ74" t="str">
        <f>IFERROR(AVERAGE('Fats Raw Data'!AV74:AV78),"")</f>
        <v/>
      </c>
      <c r="CK74" t="str">
        <f>IFERROR(SUMPRODUCT('Fats Raw Data'!AP74:AP93,'Fats Raw Data'!AU74:AU93)/SUM('Fats Raw Data'!AU74:AU93),"")</f>
        <v/>
      </c>
      <c r="CL74">
        <f>IFERROR(SQRT((SUMSQ('Fats Raw Data'!AP74:AP93)-2*SUMPRODUCT('Fats Raw Data'!AP74:AP93,'Fats Raw Data'!AP75:AP94)+SUMSQ('Fats Raw Data'!AP75:AP94)-('Fats Raw Data'!AP74-'Fats Raw Data'!AP94)^2/20)/19),"")</f>
        <v>0</v>
      </c>
      <c r="CN74">
        <f>IFERROR('Fats Raw Data'!AY74,"")</f>
        <v>0</v>
      </c>
      <c r="CO74">
        <f>IFERROR('Fats Raw Data'!BD74,"")</f>
        <v>0</v>
      </c>
      <c r="CP74">
        <f>IFERROR('Fats Raw Data'!BF74-'Fats Raw Data'!BF75,"")</f>
        <v>0</v>
      </c>
      <c r="CQ74" t="str">
        <f>IFERROR(AVERAGE('Fats Raw Data'!BF74:BF78),"")</f>
        <v/>
      </c>
      <c r="CR74" t="str">
        <f>IFERROR(SUMPRODUCT('Fats Raw Data'!AZ74:AZ93,'Fats Raw Data'!BE74:BE93)/SUM('Fats Raw Data'!BE74:BE93),"")</f>
        <v/>
      </c>
      <c r="CS74">
        <f>IFERROR(SQRT((SUMSQ('Fats Raw Data'!AZ74:AZ93)-2*SUMPRODUCT('Fats Raw Data'!AZ74:AZ93,'Fats Raw Data'!AZ75:AZ94)+SUMSQ('Fats Raw Data'!AZ75:AZ94)-('Fats Raw Data'!AZ74-'Fats Raw Data'!AZ94)^2/20)/19),"")</f>
        <v>0</v>
      </c>
    </row>
    <row r="75" spans="1:97" x14ac:dyDescent="0.25">
      <c r="A75">
        <f>IFERROR('Feeders Raw Data'!A75,"")</f>
        <v>0</v>
      </c>
      <c r="B75">
        <f>IFERROR('Feeders Raw Data'!F75,"")</f>
        <v>0</v>
      </c>
      <c r="C75">
        <f>IFERROR('Feeders Raw Data'!H75-'Feeders Raw Data'!H76,"")</f>
        <v>0</v>
      </c>
      <c r="D75" t="str">
        <f>IFERROR(AVERAGE('Feeders Raw Data'!H75:H79),"")</f>
        <v/>
      </c>
      <c r="E75" t="str">
        <f>IFERROR(SUMPRODUCT('Feeders Raw Data'!B75:B94,'Feeders Raw Data'!G75:G94)/SUM('Feeders Raw Data'!G75:G94),"")</f>
        <v/>
      </c>
      <c r="F75">
        <f>IFERROR(SQRT((SUMSQ('Feeders Raw Data'!B75:B94)-2*SUMPRODUCT('Feeders Raw Data'!B75:B94,'Feeders Raw Data'!B76:B95)+SUMSQ('Feeders Raw Data'!B76:B95)-('Feeders Raw Data'!B75-'Feeders Raw Data'!B95)^2/20)/19),"")</f>
        <v>0</v>
      </c>
      <c r="H75">
        <f>IFERROR('Feeders Raw Data'!K75,"")</f>
        <v>0</v>
      </c>
      <c r="I75">
        <f>IFERROR('Feeders Raw Data'!P75,"")</f>
        <v>0</v>
      </c>
      <c r="J75">
        <f>IFERROR('Feeders Raw Data'!R75-'Feeders Raw Data'!R76,"")</f>
        <v>0</v>
      </c>
      <c r="K75" t="str">
        <f>IFERROR(AVERAGE('Feeders Raw Data'!R75:R79),"")</f>
        <v/>
      </c>
      <c r="L75" t="str">
        <f>IFERROR(SUMPRODUCT('Feeders Raw Data'!L75:L94,'Feeders Raw Data'!Q75:Q94)/SUM('Feeders Raw Data'!Q75:Q94),"")</f>
        <v/>
      </c>
      <c r="M75">
        <f>IFERROR(SQRT((SUMSQ('Feeders Raw Data'!L75:L94)-2*SUMPRODUCT('Feeders Raw Data'!L75:L94,'Feeders Raw Data'!L76:L95)+SUMSQ('Feeders Raw Data'!L76:L95)-('Feeders Raw Data'!L75-'Feeders Raw Data'!L95)^2/20)/19),"")</f>
        <v>0</v>
      </c>
      <c r="O75">
        <f>IFERROR('Feeders Raw Data'!U75,"")</f>
        <v>0</v>
      </c>
      <c r="P75">
        <f>IFERROR('Feeders Raw Data'!Z75,"")</f>
        <v>0</v>
      </c>
      <c r="Q75">
        <f>IFERROR('Feeders Raw Data'!AB75-'Feeders Raw Data'!AB76,"")</f>
        <v>0</v>
      </c>
      <c r="R75" t="str">
        <f>IFERROR(AVERAGE('Feeders Raw Data'!AB75:AB79),"")</f>
        <v/>
      </c>
      <c r="S75" t="str">
        <f>IFERROR(SUMPRODUCT('Feeders Raw Data'!V75:V94,'Feeders Raw Data'!AA75:AA94)/SUM('Feeders Raw Data'!AA75:AA94),"")</f>
        <v/>
      </c>
      <c r="T75">
        <f>IFERROR(SQRT((SUMSQ('Feeders Raw Data'!V75:V94)-2*SUMPRODUCT('Feeders Raw Data'!V75:V94,'Feeders Raw Data'!V76:V95)+SUMSQ('Feeders Raw Data'!V76:V95)-('Feeders Raw Data'!V75-'Feeders Raw Data'!V95)^2/20)/19),"")</f>
        <v>0</v>
      </c>
      <c r="V75">
        <f>IFERROR('Feeders Raw Data'!AE75,"")</f>
        <v>0</v>
      </c>
      <c r="W75">
        <f>IFERROR('Feeders Raw Data'!AJ75,"")</f>
        <v>0</v>
      </c>
      <c r="X75">
        <f>IFERROR('Feeders Raw Data'!AL75-'Feeders Raw Data'!AL76,"")</f>
        <v>0</v>
      </c>
      <c r="Y75" t="str">
        <f>IFERROR(AVERAGE('Feeders Raw Data'!AL75:AL79),"")</f>
        <v/>
      </c>
      <c r="Z75" t="str">
        <f>IFERROR(SUMPRODUCT('Feeders Raw Data'!AF75:AF94,'Feeders Raw Data'!AK75:AK94)/SUM('Feeders Raw Data'!AK75:AK94),"")</f>
        <v/>
      </c>
      <c r="AA75">
        <f>IFERROR(SQRT((SUMSQ('Feeders Raw Data'!AF75:AF94)-2*SUMPRODUCT('Feeders Raw Data'!AF75:AF94,'Feeders Raw Data'!AF76:AF95)+SUMSQ('Feeders Raw Data'!AF76:AF95)-('Feeders Raw Data'!AF75-'Feeders Raw Data'!AF95)^2/20)/19),"")</f>
        <v>0</v>
      </c>
      <c r="AC75">
        <f>IFERROR('Feeders Raw Data'!AO75,"")</f>
        <v>0</v>
      </c>
      <c r="AD75">
        <f>IFERROR('Feeders Raw Data'!AT75,"")</f>
        <v>0</v>
      </c>
      <c r="AE75">
        <f>IFERROR('Feeders Raw Data'!AV75-'Feeders Raw Data'!AV76,"")</f>
        <v>0</v>
      </c>
      <c r="AF75" t="str">
        <f>IFERROR(AVERAGE('Feeders Raw Data'!AV75:AV79),"")</f>
        <v/>
      </c>
      <c r="AG75" t="str">
        <f>IFERROR(SUMPRODUCT('Feeders Raw Data'!AP75:AP94,'Feeders Raw Data'!AU75:AU94)/SUM('Feeders Raw Data'!AU75:AU94),"")</f>
        <v/>
      </c>
      <c r="AH75">
        <f>IFERROR(SQRT((SUMSQ('Feeders Raw Data'!AP75:AP94)-2*SUMPRODUCT('Feeders Raw Data'!AP75:AP94,'Feeders Raw Data'!AP76:AP95)+SUMSQ('Feeders Raw Data'!AP76:AP95)-('Feeders Raw Data'!AP75-'Feeders Raw Data'!AP95)^2/20)/19),"")</f>
        <v>0</v>
      </c>
      <c r="AJ75">
        <f>IFERROR('Feeders Raw Data'!AY75,"")</f>
        <v>0</v>
      </c>
      <c r="AK75">
        <f>IFERROR('Feeders Raw Data'!BD75,"")</f>
        <v>0</v>
      </c>
      <c r="AL75">
        <f>IFERROR('Feeders Raw Data'!BF75-'Feeders Raw Data'!BF76,"")</f>
        <v>0</v>
      </c>
      <c r="AM75" t="str">
        <f>IFERROR(AVERAGE('Feeders Raw Data'!BF75:BF79),"")</f>
        <v/>
      </c>
      <c r="AN75" t="str">
        <f>IFERROR(SUMPRODUCT('Feeders Raw Data'!AZ75:AZ94,'Feeders Raw Data'!BE75:BE94)/SUM('Feeders Raw Data'!BE75:BE94),"")</f>
        <v/>
      </c>
      <c r="AO75">
        <f>IFERROR(SQRT((SUMSQ('Feeders Raw Data'!AZ75:AZ94)-2*SUMPRODUCT('Feeders Raw Data'!AZ75:AZ94,'Feeders Raw Data'!AZ76:AZ95)+SUMSQ('Feeders Raw Data'!AZ76:AZ95)-('Feeders Raw Data'!AZ75-'Feeders Raw Data'!AZ95)^2/20)/19),"")</f>
        <v>0</v>
      </c>
      <c r="AQ75">
        <f>IFERROR('Feeders Raw Data'!BI75,"")</f>
        <v>0</v>
      </c>
      <c r="AR75">
        <f>IFERROR('Feeders Raw Data'!BN75,"")</f>
        <v>0</v>
      </c>
      <c r="AS75">
        <f>IFERROR('Feeders Raw Data'!BP75-'Feeders Raw Data'!BP76,"")</f>
        <v>0</v>
      </c>
      <c r="AT75" t="str">
        <f>IFERROR(AVERAGE('Feeders Raw Data'!BP75:BP79),"")</f>
        <v/>
      </c>
      <c r="AU75" t="str">
        <f>IFERROR(SUMPRODUCT('Feeders Raw Data'!BJ75:BJ94,'Feeders Raw Data'!BO75:BO94)/SUM('Feeders Raw Data'!BO75:BO94),"")</f>
        <v/>
      </c>
      <c r="AV75">
        <f>IFERROR(SQRT((SUMSQ('Feeders Raw Data'!BJ75:BJ94)-2*SUMPRODUCT('Feeders Raw Data'!BJ75:BJ94,'Feeders Raw Data'!BJ76:BJ95)+SUMSQ('Feeders Raw Data'!BJ76:BJ95)-('Feeders Raw Data'!BJ75-'Feeders Raw Data'!BJ95)^2/20)/19),"")</f>
        <v>0</v>
      </c>
      <c r="AX75">
        <f>IFERROR('Feeders Raw Data'!BS75,"")</f>
        <v>0</v>
      </c>
      <c r="AY75">
        <f>IFERROR('Feeders Raw Data'!BX75,"")</f>
        <v>0</v>
      </c>
      <c r="AZ75">
        <f>IFERROR('Feeders Raw Data'!BZ75-'Feeders Raw Data'!BZ76,"")</f>
        <v>0</v>
      </c>
      <c r="BA75" t="str">
        <f>IFERROR(AVERAGE('Feeders Raw Data'!BZ75:BZ79),"")</f>
        <v/>
      </c>
      <c r="BB75" t="str">
        <f>IFERROR(SUMPRODUCT('Feeders Raw Data'!BT75:BT94,'Feeders Raw Data'!BY75:BY94)/SUM('Feeders Raw Data'!BY75:BY94),"")</f>
        <v/>
      </c>
      <c r="BC75">
        <f>IFERROR(SQRT((SUMSQ('Feeders Raw Data'!BT75:BT94)-2*SUMPRODUCT('Feeders Raw Data'!BT75:BT94,'Feeders Raw Data'!BT76:BT95)+SUMSQ('Feeders Raw Data'!BT76:BT95)-('Feeders Raw Data'!BT75-'Feeders Raw Data'!BT95)^2/20)/19),"")</f>
        <v>0</v>
      </c>
      <c r="BE75">
        <f>IFERROR('Fats Raw Data'!A75,"")</f>
        <v>0</v>
      </c>
      <c r="BF75">
        <f>IFERROR('Fats Raw Data'!F75,"")</f>
        <v>0</v>
      </c>
      <c r="BG75">
        <f>IFERROR('Fats Raw Data'!H75-'Fats Raw Data'!H76,"")</f>
        <v>0</v>
      </c>
      <c r="BH75" t="str">
        <f>IFERROR(AVERAGE('Fats Raw Data'!H75:H79),"")</f>
        <v/>
      </c>
      <c r="BI75" t="str">
        <f>IFERROR(SUMPRODUCT('Fats Raw Data'!B75:B94,'Fats Raw Data'!G75:G94)/SUM('Fats Raw Data'!G75:G94),"")</f>
        <v/>
      </c>
      <c r="BJ75">
        <f>IFERROR(SQRT((SUMSQ('Fats Raw Data'!B75:B94)-2*SUMPRODUCT('Fats Raw Data'!B75:B94,'Fats Raw Data'!B76:B95)+SUMSQ('Fats Raw Data'!B76:B95)-('Fats Raw Data'!B75-'Fats Raw Data'!B95)^2/20)/19),"")</f>
        <v>0</v>
      </c>
      <c r="BL75">
        <f>IFERROR('Fats Raw Data'!K75,"")</f>
        <v>0</v>
      </c>
      <c r="BM75">
        <f>IFERROR('Fats Raw Data'!P75,"")</f>
        <v>0</v>
      </c>
      <c r="BN75">
        <f>IFERROR('Fats Raw Data'!R75-'Fats Raw Data'!R76,"")</f>
        <v>0</v>
      </c>
      <c r="BO75" t="str">
        <f>IFERROR(AVERAGE('Fats Raw Data'!R75:R79),"")</f>
        <v/>
      </c>
      <c r="BP75" t="str">
        <f>IFERROR(SUMPRODUCT('Fats Raw Data'!L75:L94,'Fats Raw Data'!Q75:Q94)/SUM('Fats Raw Data'!Q75:Q94),"")</f>
        <v/>
      </c>
      <c r="BQ75">
        <f>IFERROR(SQRT((SUMSQ('Fats Raw Data'!L75:L94)-2*SUMPRODUCT('Fats Raw Data'!L75:L94,'Fats Raw Data'!L76:L95)+SUMSQ('Fats Raw Data'!L76:L95)-('Fats Raw Data'!L75-'Fats Raw Data'!L95)^2/20)/19),"")</f>
        <v>0</v>
      </c>
      <c r="BS75">
        <f>IFERROR('Fats Raw Data'!U75,"")</f>
        <v>0</v>
      </c>
      <c r="BT75">
        <f>IFERROR('Fats Raw Data'!Z75,"")</f>
        <v>0</v>
      </c>
      <c r="BU75">
        <f>IFERROR('Fats Raw Data'!AB75-'Fats Raw Data'!AB76,"")</f>
        <v>0</v>
      </c>
      <c r="BV75" t="str">
        <f>IFERROR(AVERAGE('Fats Raw Data'!AB75:AB79),"")</f>
        <v/>
      </c>
      <c r="BW75" t="str">
        <f>IFERROR(SUMPRODUCT('Fats Raw Data'!V75:V94,'Fats Raw Data'!AA75:AA94)/SUM('Fats Raw Data'!AA75:AA94),"")</f>
        <v/>
      </c>
      <c r="BX75">
        <f>IFERROR(SQRT((SUMSQ('Fats Raw Data'!V75:V94)-2*SUMPRODUCT('Fats Raw Data'!V75:V94,'Fats Raw Data'!V76:V95)+SUMSQ('Fats Raw Data'!V76:V95)-('Fats Raw Data'!V75-'Fats Raw Data'!V95)^2/20)/19),"")</f>
        <v>0</v>
      </c>
      <c r="BZ75">
        <f>IFERROR('Fats Raw Data'!AE75,"")</f>
        <v>0</v>
      </c>
      <c r="CA75">
        <f>IFERROR('Fats Raw Data'!AJ75,"")</f>
        <v>0</v>
      </c>
      <c r="CB75">
        <f>IFERROR('Fats Raw Data'!AL75-'Fats Raw Data'!AL76,"")</f>
        <v>0</v>
      </c>
      <c r="CC75" t="str">
        <f>IFERROR(AVERAGE('Fats Raw Data'!AL75:AL79),"")</f>
        <v/>
      </c>
      <c r="CD75" t="str">
        <f>IFERROR(SUMPRODUCT('Fats Raw Data'!AF75:AF94,'Fats Raw Data'!AK75:AK94)/SUM('Fats Raw Data'!AK75:AK94),"")</f>
        <v/>
      </c>
      <c r="CE75">
        <f>IFERROR(SQRT((SUMSQ('Fats Raw Data'!AF75:AF94)-2*SUMPRODUCT('Fats Raw Data'!AF75:AF94,'Fats Raw Data'!AF76:AF95)+SUMSQ('Fats Raw Data'!AF76:AF95)-('Fats Raw Data'!AF75-'Fats Raw Data'!AF95)^2/20)/19),"")</f>
        <v>0</v>
      </c>
      <c r="CG75">
        <f>IFERROR('Fats Raw Data'!AO75,"")</f>
        <v>0</v>
      </c>
      <c r="CH75">
        <f>IFERROR('Fats Raw Data'!AT75,"")</f>
        <v>0</v>
      </c>
      <c r="CI75">
        <f>IFERROR('Fats Raw Data'!AV75-'Fats Raw Data'!AV76,"")</f>
        <v>0</v>
      </c>
      <c r="CJ75" t="str">
        <f>IFERROR(AVERAGE('Fats Raw Data'!AV75:AV79),"")</f>
        <v/>
      </c>
      <c r="CK75" t="str">
        <f>IFERROR(SUMPRODUCT('Fats Raw Data'!AP75:AP94,'Fats Raw Data'!AU75:AU94)/SUM('Fats Raw Data'!AU75:AU94),"")</f>
        <v/>
      </c>
      <c r="CL75">
        <f>IFERROR(SQRT((SUMSQ('Fats Raw Data'!AP75:AP94)-2*SUMPRODUCT('Fats Raw Data'!AP75:AP94,'Fats Raw Data'!AP76:AP95)+SUMSQ('Fats Raw Data'!AP76:AP95)-('Fats Raw Data'!AP75-'Fats Raw Data'!AP95)^2/20)/19),"")</f>
        <v>0</v>
      </c>
      <c r="CN75">
        <f>IFERROR('Fats Raw Data'!AY75,"")</f>
        <v>0</v>
      </c>
      <c r="CO75">
        <f>IFERROR('Fats Raw Data'!BD75,"")</f>
        <v>0</v>
      </c>
      <c r="CP75">
        <f>IFERROR('Fats Raw Data'!BF75-'Fats Raw Data'!BF76,"")</f>
        <v>0</v>
      </c>
      <c r="CQ75" t="str">
        <f>IFERROR(AVERAGE('Fats Raw Data'!BF75:BF79),"")</f>
        <v/>
      </c>
      <c r="CR75" t="str">
        <f>IFERROR(SUMPRODUCT('Fats Raw Data'!AZ75:AZ94,'Fats Raw Data'!BE75:BE94)/SUM('Fats Raw Data'!BE75:BE94),"")</f>
        <v/>
      </c>
      <c r="CS75">
        <f>IFERROR(SQRT((SUMSQ('Fats Raw Data'!AZ75:AZ94)-2*SUMPRODUCT('Fats Raw Data'!AZ75:AZ94,'Fats Raw Data'!AZ76:AZ95)+SUMSQ('Fats Raw Data'!AZ76:AZ95)-('Fats Raw Data'!AZ75-'Fats Raw Data'!AZ95)^2/20)/19),"")</f>
        <v>0</v>
      </c>
    </row>
    <row r="76" spans="1:97" x14ac:dyDescent="0.25">
      <c r="A76">
        <f>IFERROR('Feeders Raw Data'!A76,"")</f>
        <v>0</v>
      </c>
      <c r="B76">
        <f>IFERROR('Feeders Raw Data'!F76,"")</f>
        <v>0</v>
      </c>
      <c r="C76">
        <f>IFERROR('Feeders Raw Data'!H76-'Feeders Raw Data'!H77,"")</f>
        <v>0</v>
      </c>
      <c r="D76" t="str">
        <f>IFERROR(AVERAGE('Feeders Raw Data'!H76:H80),"")</f>
        <v/>
      </c>
      <c r="E76" t="str">
        <f>IFERROR(SUMPRODUCT('Feeders Raw Data'!B76:B95,'Feeders Raw Data'!G76:G95)/SUM('Feeders Raw Data'!G76:G95),"")</f>
        <v/>
      </c>
      <c r="F76">
        <f>IFERROR(SQRT((SUMSQ('Feeders Raw Data'!B76:B95)-2*SUMPRODUCT('Feeders Raw Data'!B76:B95,'Feeders Raw Data'!B77:B96)+SUMSQ('Feeders Raw Data'!B77:B96)-('Feeders Raw Data'!B76-'Feeders Raw Data'!B96)^2/20)/19),"")</f>
        <v>0</v>
      </c>
      <c r="H76">
        <f>IFERROR('Feeders Raw Data'!K76,"")</f>
        <v>0</v>
      </c>
      <c r="I76">
        <f>IFERROR('Feeders Raw Data'!P76,"")</f>
        <v>0</v>
      </c>
      <c r="J76">
        <f>IFERROR('Feeders Raw Data'!R76-'Feeders Raw Data'!R77,"")</f>
        <v>0</v>
      </c>
      <c r="K76" t="str">
        <f>IFERROR(AVERAGE('Feeders Raw Data'!R76:R80),"")</f>
        <v/>
      </c>
      <c r="L76" t="str">
        <f>IFERROR(SUMPRODUCT('Feeders Raw Data'!L76:L95,'Feeders Raw Data'!Q76:Q95)/SUM('Feeders Raw Data'!Q76:Q95),"")</f>
        <v/>
      </c>
      <c r="M76">
        <f>IFERROR(SQRT((SUMSQ('Feeders Raw Data'!L76:L95)-2*SUMPRODUCT('Feeders Raw Data'!L76:L95,'Feeders Raw Data'!L77:L96)+SUMSQ('Feeders Raw Data'!L77:L96)-('Feeders Raw Data'!L76-'Feeders Raw Data'!L96)^2/20)/19),"")</f>
        <v>0</v>
      </c>
      <c r="O76">
        <f>IFERROR('Feeders Raw Data'!U76,"")</f>
        <v>0</v>
      </c>
      <c r="P76">
        <f>IFERROR('Feeders Raw Data'!Z76,"")</f>
        <v>0</v>
      </c>
      <c r="Q76">
        <f>IFERROR('Feeders Raw Data'!AB76-'Feeders Raw Data'!AB77,"")</f>
        <v>0</v>
      </c>
      <c r="R76" t="str">
        <f>IFERROR(AVERAGE('Feeders Raw Data'!AB76:AB80),"")</f>
        <v/>
      </c>
      <c r="S76" t="str">
        <f>IFERROR(SUMPRODUCT('Feeders Raw Data'!V76:V95,'Feeders Raw Data'!AA76:AA95)/SUM('Feeders Raw Data'!AA76:AA95),"")</f>
        <v/>
      </c>
      <c r="T76">
        <f>IFERROR(SQRT((SUMSQ('Feeders Raw Data'!V76:V95)-2*SUMPRODUCT('Feeders Raw Data'!V76:V95,'Feeders Raw Data'!V77:V96)+SUMSQ('Feeders Raw Data'!V77:V96)-('Feeders Raw Data'!V76-'Feeders Raw Data'!V96)^2/20)/19),"")</f>
        <v>0</v>
      </c>
      <c r="V76">
        <f>IFERROR('Feeders Raw Data'!AE76,"")</f>
        <v>0</v>
      </c>
      <c r="W76">
        <f>IFERROR('Feeders Raw Data'!AJ76,"")</f>
        <v>0</v>
      </c>
      <c r="X76">
        <f>IFERROR('Feeders Raw Data'!AL76-'Feeders Raw Data'!AL77,"")</f>
        <v>0</v>
      </c>
      <c r="Y76" t="str">
        <f>IFERROR(AVERAGE('Feeders Raw Data'!AL76:AL80),"")</f>
        <v/>
      </c>
      <c r="Z76" t="str">
        <f>IFERROR(SUMPRODUCT('Feeders Raw Data'!AF76:AF95,'Feeders Raw Data'!AK76:AK95)/SUM('Feeders Raw Data'!AK76:AK95),"")</f>
        <v/>
      </c>
      <c r="AA76">
        <f>IFERROR(SQRT((SUMSQ('Feeders Raw Data'!AF76:AF95)-2*SUMPRODUCT('Feeders Raw Data'!AF76:AF95,'Feeders Raw Data'!AF77:AF96)+SUMSQ('Feeders Raw Data'!AF77:AF96)-('Feeders Raw Data'!AF76-'Feeders Raw Data'!AF96)^2/20)/19),"")</f>
        <v>0</v>
      </c>
      <c r="AC76">
        <f>IFERROR('Feeders Raw Data'!AO76,"")</f>
        <v>0</v>
      </c>
      <c r="AD76">
        <f>IFERROR('Feeders Raw Data'!AT76,"")</f>
        <v>0</v>
      </c>
      <c r="AE76">
        <f>IFERROR('Feeders Raw Data'!AV76-'Feeders Raw Data'!AV77,"")</f>
        <v>0</v>
      </c>
      <c r="AF76" t="str">
        <f>IFERROR(AVERAGE('Feeders Raw Data'!AV76:AV80),"")</f>
        <v/>
      </c>
      <c r="AG76" t="str">
        <f>IFERROR(SUMPRODUCT('Feeders Raw Data'!AP76:AP95,'Feeders Raw Data'!AU76:AU95)/SUM('Feeders Raw Data'!AU76:AU95),"")</f>
        <v/>
      </c>
      <c r="AH76">
        <f>IFERROR(SQRT((SUMSQ('Feeders Raw Data'!AP76:AP95)-2*SUMPRODUCT('Feeders Raw Data'!AP76:AP95,'Feeders Raw Data'!AP77:AP96)+SUMSQ('Feeders Raw Data'!AP77:AP96)-('Feeders Raw Data'!AP76-'Feeders Raw Data'!AP96)^2/20)/19),"")</f>
        <v>0</v>
      </c>
      <c r="AJ76">
        <f>IFERROR('Feeders Raw Data'!AY76,"")</f>
        <v>0</v>
      </c>
      <c r="AK76">
        <f>IFERROR('Feeders Raw Data'!BD76,"")</f>
        <v>0</v>
      </c>
      <c r="AL76">
        <f>IFERROR('Feeders Raw Data'!BF76-'Feeders Raw Data'!BF77,"")</f>
        <v>0</v>
      </c>
      <c r="AM76" t="str">
        <f>IFERROR(AVERAGE('Feeders Raw Data'!BF76:BF80),"")</f>
        <v/>
      </c>
      <c r="AN76" t="str">
        <f>IFERROR(SUMPRODUCT('Feeders Raw Data'!AZ76:AZ95,'Feeders Raw Data'!BE76:BE95)/SUM('Feeders Raw Data'!BE76:BE95),"")</f>
        <v/>
      </c>
      <c r="AO76">
        <f>IFERROR(SQRT((SUMSQ('Feeders Raw Data'!AZ76:AZ95)-2*SUMPRODUCT('Feeders Raw Data'!AZ76:AZ95,'Feeders Raw Data'!AZ77:AZ96)+SUMSQ('Feeders Raw Data'!AZ77:AZ96)-('Feeders Raw Data'!AZ76-'Feeders Raw Data'!AZ96)^2/20)/19),"")</f>
        <v>0</v>
      </c>
      <c r="AQ76">
        <f>IFERROR('Feeders Raw Data'!BI76,"")</f>
        <v>0</v>
      </c>
      <c r="AR76">
        <f>IFERROR('Feeders Raw Data'!BN76,"")</f>
        <v>0</v>
      </c>
      <c r="AS76">
        <f>IFERROR('Feeders Raw Data'!BP76-'Feeders Raw Data'!BP77,"")</f>
        <v>0</v>
      </c>
      <c r="AT76" t="str">
        <f>IFERROR(AVERAGE('Feeders Raw Data'!BP76:BP80),"")</f>
        <v/>
      </c>
      <c r="AU76" t="str">
        <f>IFERROR(SUMPRODUCT('Feeders Raw Data'!BJ76:BJ95,'Feeders Raw Data'!BO76:BO95)/SUM('Feeders Raw Data'!BO76:BO95),"")</f>
        <v/>
      </c>
      <c r="AV76">
        <f>IFERROR(SQRT((SUMSQ('Feeders Raw Data'!BJ76:BJ95)-2*SUMPRODUCT('Feeders Raw Data'!BJ76:BJ95,'Feeders Raw Data'!BJ77:BJ96)+SUMSQ('Feeders Raw Data'!BJ77:BJ96)-('Feeders Raw Data'!BJ76-'Feeders Raw Data'!BJ96)^2/20)/19),"")</f>
        <v>0</v>
      </c>
      <c r="AX76">
        <f>IFERROR('Feeders Raw Data'!BS76,"")</f>
        <v>0</v>
      </c>
      <c r="AY76">
        <f>IFERROR('Feeders Raw Data'!BX76,"")</f>
        <v>0</v>
      </c>
      <c r="AZ76">
        <f>IFERROR('Feeders Raw Data'!BZ76-'Feeders Raw Data'!BZ77,"")</f>
        <v>0</v>
      </c>
      <c r="BA76" t="str">
        <f>IFERROR(AVERAGE('Feeders Raw Data'!BZ76:BZ80),"")</f>
        <v/>
      </c>
      <c r="BB76" t="str">
        <f>IFERROR(SUMPRODUCT('Feeders Raw Data'!BT76:BT95,'Feeders Raw Data'!BY76:BY95)/SUM('Feeders Raw Data'!BY76:BY95),"")</f>
        <v/>
      </c>
      <c r="BC76">
        <f>IFERROR(SQRT((SUMSQ('Feeders Raw Data'!BT76:BT95)-2*SUMPRODUCT('Feeders Raw Data'!BT76:BT95,'Feeders Raw Data'!BT77:BT96)+SUMSQ('Feeders Raw Data'!BT77:BT96)-('Feeders Raw Data'!BT76-'Feeders Raw Data'!BT96)^2/20)/19),"")</f>
        <v>0</v>
      </c>
      <c r="BE76">
        <f>IFERROR('Fats Raw Data'!A76,"")</f>
        <v>0</v>
      </c>
      <c r="BF76">
        <f>IFERROR('Fats Raw Data'!F76,"")</f>
        <v>0</v>
      </c>
      <c r="BG76">
        <f>IFERROR('Fats Raw Data'!H76-'Fats Raw Data'!H77,"")</f>
        <v>0</v>
      </c>
      <c r="BH76" t="str">
        <f>IFERROR(AVERAGE('Fats Raw Data'!H76:H80),"")</f>
        <v/>
      </c>
      <c r="BI76" t="str">
        <f>IFERROR(SUMPRODUCT('Fats Raw Data'!B76:B95,'Fats Raw Data'!G76:G95)/SUM('Fats Raw Data'!G76:G95),"")</f>
        <v/>
      </c>
      <c r="BJ76">
        <f>IFERROR(SQRT((SUMSQ('Fats Raw Data'!B76:B95)-2*SUMPRODUCT('Fats Raw Data'!B76:B95,'Fats Raw Data'!B77:B96)+SUMSQ('Fats Raw Data'!B77:B96)-('Fats Raw Data'!B76-'Fats Raw Data'!B96)^2/20)/19),"")</f>
        <v>0</v>
      </c>
      <c r="BL76">
        <f>IFERROR('Fats Raw Data'!K76,"")</f>
        <v>0</v>
      </c>
      <c r="BM76">
        <f>IFERROR('Fats Raw Data'!P76,"")</f>
        <v>0</v>
      </c>
      <c r="BN76">
        <f>IFERROR('Fats Raw Data'!R76-'Fats Raw Data'!R77,"")</f>
        <v>0</v>
      </c>
      <c r="BO76" t="str">
        <f>IFERROR(AVERAGE('Fats Raw Data'!R76:R80),"")</f>
        <v/>
      </c>
      <c r="BP76" t="str">
        <f>IFERROR(SUMPRODUCT('Fats Raw Data'!L76:L95,'Fats Raw Data'!Q76:Q95)/SUM('Fats Raw Data'!Q76:Q95),"")</f>
        <v/>
      </c>
      <c r="BQ76">
        <f>IFERROR(SQRT((SUMSQ('Fats Raw Data'!L76:L95)-2*SUMPRODUCT('Fats Raw Data'!L76:L95,'Fats Raw Data'!L77:L96)+SUMSQ('Fats Raw Data'!L77:L96)-('Fats Raw Data'!L76-'Fats Raw Data'!L96)^2/20)/19),"")</f>
        <v>0</v>
      </c>
      <c r="BS76">
        <f>IFERROR('Fats Raw Data'!U76,"")</f>
        <v>0</v>
      </c>
      <c r="BT76">
        <f>IFERROR('Fats Raw Data'!Z76,"")</f>
        <v>0</v>
      </c>
      <c r="BU76">
        <f>IFERROR('Fats Raw Data'!AB76-'Fats Raw Data'!AB77,"")</f>
        <v>0</v>
      </c>
      <c r="BV76" t="str">
        <f>IFERROR(AVERAGE('Fats Raw Data'!AB76:AB80),"")</f>
        <v/>
      </c>
      <c r="BW76" t="str">
        <f>IFERROR(SUMPRODUCT('Fats Raw Data'!V76:V95,'Fats Raw Data'!AA76:AA95)/SUM('Fats Raw Data'!AA76:AA95),"")</f>
        <v/>
      </c>
      <c r="BX76">
        <f>IFERROR(SQRT((SUMSQ('Fats Raw Data'!V76:V95)-2*SUMPRODUCT('Fats Raw Data'!V76:V95,'Fats Raw Data'!V77:V96)+SUMSQ('Fats Raw Data'!V77:V96)-('Fats Raw Data'!V76-'Fats Raw Data'!V96)^2/20)/19),"")</f>
        <v>0</v>
      </c>
      <c r="BZ76">
        <f>IFERROR('Fats Raw Data'!AE76,"")</f>
        <v>0</v>
      </c>
      <c r="CA76">
        <f>IFERROR('Fats Raw Data'!AJ76,"")</f>
        <v>0</v>
      </c>
      <c r="CB76">
        <f>IFERROR('Fats Raw Data'!AL76-'Fats Raw Data'!AL77,"")</f>
        <v>0</v>
      </c>
      <c r="CC76" t="str">
        <f>IFERROR(AVERAGE('Fats Raw Data'!AL76:AL80),"")</f>
        <v/>
      </c>
      <c r="CD76" t="str">
        <f>IFERROR(SUMPRODUCT('Fats Raw Data'!AF76:AF95,'Fats Raw Data'!AK76:AK95)/SUM('Fats Raw Data'!AK76:AK95),"")</f>
        <v/>
      </c>
      <c r="CE76">
        <f>IFERROR(SQRT((SUMSQ('Fats Raw Data'!AF76:AF95)-2*SUMPRODUCT('Fats Raw Data'!AF76:AF95,'Fats Raw Data'!AF77:AF96)+SUMSQ('Fats Raw Data'!AF77:AF96)-('Fats Raw Data'!AF76-'Fats Raw Data'!AF96)^2/20)/19),"")</f>
        <v>0</v>
      </c>
      <c r="CG76">
        <f>IFERROR('Fats Raw Data'!AO76,"")</f>
        <v>0</v>
      </c>
      <c r="CH76">
        <f>IFERROR('Fats Raw Data'!AT76,"")</f>
        <v>0</v>
      </c>
      <c r="CI76">
        <f>IFERROR('Fats Raw Data'!AV76-'Fats Raw Data'!AV77,"")</f>
        <v>0</v>
      </c>
      <c r="CJ76" t="str">
        <f>IFERROR(AVERAGE('Fats Raw Data'!AV76:AV80),"")</f>
        <v/>
      </c>
      <c r="CK76" t="str">
        <f>IFERROR(SUMPRODUCT('Fats Raw Data'!AP76:AP95,'Fats Raw Data'!AU76:AU95)/SUM('Fats Raw Data'!AU76:AU95),"")</f>
        <v/>
      </c>
      <c r="CL76">
        <f>IFERROR(SQRT((SUMSQ('Fats Raw Data'!AP76:AP95)-2*SUMPRODUCT('Fats Raw Data'!AP76:AP95,'Fats Raw Data'!AP77:AP96)+SUMSQ('Fats Raw Data'!AP77:AP96)-('Fats Raw Data'!AP76-'Fats Raw Data'!AP96)^2/20)/19),"")</f>
        <v>0</v>
      </c>
      <c r="CN76">
        <f>IFERROR('Fats Raw Data'!AY76,"")</f>
        <v>0</v>
      </c>
      <c r="CO76">
        <f>IFERROR('Fats Raw Data'!BD76,"")</f>
        <v>0</v>
      </c>
      <c r="CP76">
        <f>IFERROR('Fats Raw Data'!BF76-'Fats Raw Data'!BF77,"")</f>
        <v>0</v>
      </c>
      <c r="CQ76" t="str">
        <f>IFERROR(AVERAGE('Fats Raw Data'!BF76:BF80),"")</f>
        <v/>
      </c>
      <c r="CR76" t="str">
        <f>IFERROR(SUMPRODUCT('Fats Raw Data'!AZ76:AZ95,'Fats Raw Data'!BE76:BE95)/SUM('Fats Raw Data'!BE76:BE95),"")</f>
        <v/>
      </c>
      <c r="CS76">
        <f>IFERROR(SQRT((SUMSQ('Fats Raw Data'!AZ76:AZ95)-2*SUMPRODUCT('Fats Raw Data'!AZ76:AZ95,'Fats Raw Data'!AZ77:AZ96)+SUMSQ('Fats Raw Data'!AZ77:AZ96)-('Fats Raw Data'!AZ76-'Fats Raw Data'!AZ96)^2/20)/19),"")</f>
        <v>0</v>
      </c>
    </row>
    <row r="77" spans="1:97" x14ac:dyDescent="0.25">
      <c r="A77">
        <f>IFERROR('Feeders Raw Data'!A77,"")</f>
        <v>0</v>
      </c>
      <c r="B77">
        <f>IFERROR('Feeders Raw Data'!F77,"")</f>
        <v>0</v>
      </c>
      <c r="C77">
        <f>IFERROR('Feeders Raw Data'!H77-'Feeders Raw Data'!H78,"")</f>
        <v>0</v>
      </c>
      <c r="D77" t="str">
        <f>IFERROR(AVERAGE('Feeders Raw Data'!H77:H81),"")</f>
        <v/>
      </c>
      <c r="E77" t="str">
        <f>IFERROR(SUMPRODUCT('Feeders Raw Data'!B77:B96,'Feeders Raw Data'!G77:G96)/SUM('Feeders Raw Data'!G77:G96),"")</f>
        <v/>
      </c>
      <c r="F77">
        <f>IFERROR(SQRT((SUMSQ('Feeders Raw Data'!B77:B96)-2*SUMPRODUCT('Feeders Raw Data'!B77:B96,'Feeders Raw Data'!B78:B97)+SUMSQ('Feeders Raw Data'!B78:B97)-('Feeders Raw Data'!B77-'Feeders Raw Data'!B97)^2/20)/19),"")</f>
        <v>0</v>
      </c>
      <c r="H77">
        <f>IFERROR('Feeders Raw Data'!K77,"")</f>
        <v>0</v>
      </c>
      <c r="I77">
        <f>IFERROR('Feeders Raw Data'!P77,"")</f>
        <v>0</v>
      </c>
      <c r="J77">
        <f>IFERROR('Feeders Raw Data'!R77-'Feeders Raw Data'!R78,"")</f>
        <v>0</v>
      </c>
      <c r="K77" t="str">
        <f>IFERROR(AVERAGE('Feeders Raw Data'!R77:R81),"")</f>
        <v/>
      </c>
      <c r="L77" t="str">
        <f>IFERROR(SUMPRODUCT('Feeders Raw Data'!L77:L96,'Feeders Raw Data'!Q77:Q96)/SUM('Feeders Raw Data'!Q77:Q96),"")</f>
        <v/>
      </c>
      <c r="M77">
        <f>IFERROR(SQRT((SUMSQ('Feeders Raw Data'!L77:L96)-2*SUMPRODUCT('Feeders Raw Data'!L77:L96,'Feeders Raw Data'!L78:L97)+SUMSQ('Feeders Raw Data'!L78:L97)-('Feeders Raw Data'!L77-'Feeders Raw Data'!L97)^2/20)/19),"")</f>
        <v>0</v>
      </c>
      <c r="O77">
        <f>IFERROR('Feeders Raw Data'!U77,"")</f>
        <v>0</v>
      </c>
      <c r="P77">
        <f>IFERROR('Feeders Raw Data'!Z77,"")</f>
        <v>0</v>
      </c>
      <c r="Q77">
        <f>IFERROR('Feeders Raw Data'!AB77-'Feeders Raw Data'!AB78,"")</f>
        <v>0</v>
      </c>
      <c r="R77" t="str">
        <f>IFERROR(AVERAGE('Feeders Raw Data'!AB77:AB81),"")</f>
        <v/>
      </c>
      <c r="S77" t="str">
        <f>IFERROR(SUMPRODUCT('Feeders Raw Data'!V77:V96,'Feeders Raw Data'!AA77:AA96)/SUM('Feeders Raw Data'!AA77:AA96),"")</f>
        <v/>
      </c>
      <c r="T77">
        <f>IFERROR(SQRT((SUMSQ('Feeders Raw Data'!V77:V96)-2*SUMPRODUCT('Feeders Raw Data'!V77:V96,'Feeders Raw Data'!V78:V97)+SUMSQ('Feeders Raw Data'!V78:V97)-('Feeders Raw Data'!V77-'Feeders Raw Data'!V97)^2/20)/19),"")</f>
        <v>0</v>
      </c>
      <c r="V77">
        <f>IFERROR('Feeders Raw Data'!AE77,"")</f>
        <v>0</v>
      </c>
      <c r="W77">
        <f>IFERROR('Feeders Raw Data'!AJ77,"")</f>
        <v>0</v>
      </c>
      <c r="X77">
        <f>IFERROR('Feeders Raw Data'!AL77-'Feeders Raw Data'!AL78,"")</f>
        <v>0</v>
      </c>
      <c r="Y77" t="str">
        <f>IFERROR(AVERAGE('Feeders Raw Data'!AL77:AL81),"")</f>
        <v/>
      </c>
      <c r="Z77" t="str">
        <f>IFERROR(SUMPRODUCT('Feeders Raw Data'!AF77:AF96,'Feeders Raw Data'!AK77:AK96)/SUM('Feeders Raw Data'!AK77:AK96),"")</f>
        <v/>
      </c>
      <c r="AA77">
        <f>IFERROR(SQRT((SUMSQ('Feeders Raw Data'!AF77:AF96)-2*SUMPRODUCT('Feeders Raw Data'!AF77:AF96,'Feeders Raw Data'!AF78:AF97)+SUMSQ('Feeders Raw Data'!AF78:AF97)-('Feeders Raw Data'!AF77-'Feeders Raw Data'!AF97)^2/20)/19),"")</f>
        <v>0</v>
      </c>
      <c r="AC77">
        <f>IFERROR('Feeders Raw Data'!AO77,"")</f>
        <v>0</v>
      </c>
      <c r="AD77">
        <f>IFERROR('Feeders Raw Data'!AT77,"")</f>
        <v>0</v>
      </c>
      <c r="AE77">
        <f>IFERROR('Feeders Raw Data'!AV77-'Feeders Raw Data'!AV78,"")</f>
        <v>0</v>
      </c>
      <c r="AF77" t="str">
        <f>IFERROR(AVERAGE('Feeders Raw Data'!AV77:AV81),"")</f>
        <v/>
      </c>
      <c r="AG77" t="str">
        <f>IFERROR(SUMPRODUCT('Feeders Raw Data'!AP77:AP96,'Feeders Raw Data'!AU77:AU96)/SUM('Feeders Raw Data'!AU77:AU96),"")</f>
        <v/>
      </c>
      <c r="AH77">
        <f>IFERROR(SQRT((SUMSQ('Feeders Raw Data'!AP77:AP96)-2*SUMPRODUCT('Feeders Raw Data'!AP77:AP96,'Feeders Raw Data'!AP78:AP97)+SUMSQ('Feeders Raw Data'!AP78:AP97)-('Feeders Raw Data'!AP77-'Feeders Raw Data'!AP97)^2/20)/19),"")</f>
        <v>0</v>
      </c>
      <c r="AJ77">
        <f>IFERROR('Feeders Raw Data'!AY77,"")</f>
        <v>0</v>
      </c>
      <c r="AK77">
        <f>IFERROR('Feeders Raw Data'!BD77,"")</f>
        <v>0</v>
      </c>
      <c r="AL77">
        <f>IFERROR('Feeders Raw Data'!BF77-'Feeders Raw Data'!BF78,"")</f>
        <v>0</v>
      </c>
      <c r="AM77" t="str">
        <f>IFERROR(AVERAGE('Feeders Raw Data'!BF77:BF81),"")</f>
        <v/>
      </c>
      <c r="AN77" t="str">
        <f>IFERROR(SUMPRODUCT('Feeders Raw Data'!AZ77:AZ96,'Feeders Raw Data'!BE77:BE96)/SUM('Feeders Raw Data'!BE77:BE96),"")</f>
        <v/>
      </c>
      <c r="AO77">
        <f>IFERROR(SQRT((SUMSQ('Feeders Raw Data'!AZ77:AZ96)-2*SUMPRODUCT('Feeders Raw Data'!AZ77:AZ96,'Feeders Raw Data'!AZ78:AZ97)+SUMSQ('Feeders Raw Data'!AZ78:AZ97)-('Feeders Raw Data'!AZ77-'Feeders Raw Data'!AZ97)^2/20)/19),"")</f>
        <v>0</v>
      </c>
      <c r="AQ77">
        <f>IFERROR('Feeders Raw Data'!BI77,"")</f>
        <v>0</v>
      </c>
      <c r="AR77">
        <f>IFERROR('Feeders Raw Data'!BN77,"")</f>
        <v>0</v>
      </c>
      <c r="AS77">
        <f>IFERROR('Feeders Raw Data'!BP77-'Feeders Raw Data'!BP78,"")</f>
        <v>0</v>
      </c>
      <c r="AT77" t="str">
        <f>IFERROR(AVERAGE('Feeders Raw Data'!BP77:BP81),"")</f>
        <v/>
      </c>
      <c r="AU77" t="str">
        <f>IFERROR(SUMPRODUCT('Feeders Raw Data'!BJ77:BJ96,'Feeders Raw Data'!BO77:BO96)/SUM('Feeders Raw Data'!BO77:BO96),"")</f>
        <v/>
      </c>
      <c r="AV77">
        <f>IFERROR(SQRT((SUMSQ('Feeders Raw Data'!BJ77:BJ96)-2*SUMPRODUCT('Feeders Raw Data'!BJ77:BJ96,'Feeders Raw Data'!BJ78:BJ97)+SUMSQ('Feeders Raw Data'!BJ78:BJ97)-('Feeders Raw Data'!BJ77-'Feeders Raw Data'!BJ97)^2/20)/19),"")</f>
        <v>0</v>
      </c>
      <c r="AX77">
        <f>IFERROR('Feeders Raw Data'!BS77,"")</f>
        <v>0</v>
      </c>
      <c r="AY77">
        <f>IFERROR('Feeders Raw Data'!BX77,"")</f>
        <v>0</v>
      </c>
      <c r="AZ77">
        <f>IFERROR('Feeders Raw Data'!BZ77-'Feeders Raw Data'!BZ78,"")</f>
        <v>0</v>
      </c>
      <c r="BA77" t="str">
        <f>IFERROR(AVERAGE('Feeders Raw Data'!BZ77:BZ81),"")</f>
        <v/>
      </c>
      <c r="BB77" t="str">
        <f>IFERROR(SUMPRODUCT('Feeders Raw Data'!BT77:BT96,'Feeders Raw Data'!BY77:BY96)/SUM('Feeders Raw Data'!BY77:BY96),"")</f>
        <v/>
      </c>
      <c r="BC77">
        <f>IFERROR(SQRT((SUMSQ('Feeders Raw Data'!BT77:BT96)-2*SUMPRODUCT('Feeders Raw Data'!BT77:BT96,'Feeders Raw Data'!BT78:BT97)+SUMSQ('Feeders Raw Data'!BT78:BT97)-('Feeders Raw Data'!BT77-'Feeders Raw Data'!BT97)^2/20)/19),"")</f>
        <v>0</v>
      </c>
      <c r="BE77">
        <f>IFERROR('Fats Raw Data'!A77,"")</f>
        <v>0</v>
      </c>
      <c r="BF77">
        <f>IFERROR('Fats Raw Data'!F77,"")</f>
        <v>0</v>
      </c>
      <c r="BG77">
        <f>IFERROR('Fats Raw Data'!H77-'Fats Raw Data'!H78,"")</f>
        <v>0</v>
      </c>
      <c r="BH77" t="str">
        <f>IFERROR(AVERAGE('Fats Raw Data'!H77:H81),"")</f>
        <v/>
      </c>
      <c r="BI77" t="str">
        <f>IFERROR(SUMPRODUCT('Fats Raw Data'!B77:B96,'Fats Raw Data'!G77:G96)/SUM('Fats Raw Data'!G77:G96),"")</f>
        <v/>
      </c>
      <c r="BJ77">
        <f>IFERROR(SQRT((SUMSQ('Fats Raw Data'!B77:B96)-2*SUMPRODUCT('Fats Raw Data'!B77:B96,'Fats Raw Data'!B78:B97)+SUMSQ('Fats Raw Data'!B78:B97)-('Fats Raw Data'!B77-'Fats Raw Data'!B97)^2/20)/19),"")</f>
        <v>0</v>
      </c>
      <c r="BL77">
        <f>IFERROR('Fats Raw Data'!K77,"")</f>
        <v>0</v>
      </c>
      <c r="BM77">
        <f>IFERROR('Fats Raw Data'!P77,"")</f>
        <v>0</v>
      </c>
      <c r="BN77">
        <f>IFERROR('Fats Raw Data'!R77-'Fats Raw Data'!R78,"")</f>
        <v>0</v>
      </c>
      <c r="BO77" t="str">
        <f>IFERROR(AVERAGE('Fats Raw Data'!R77:R81),"")</f>
        <v/>
      </c>
      <c r="BP77" t="str">
        <f>IFERROR(SUMPRODUCT('Fats Raw Data'!L77:L96,'Fats Raw Data'!Q77:Q96)/SUM('Fats Raw Data'!Q77:Q96),"")</f>
        <v/>
      </c>
      <c r="BQ77">
        <f>IFERROR(SQRT((SUMSQ('Fats Raw Data'!L77:L96)-2*SUMPRODUCT('Fats Raw Data'!L77:L96,'Fats Raw Data'!L78:L97)+SUMSQ('Fats Raw Data'!L78:L97)-('Fats Raw Data'!L77-'Fats Raw Data'!L97)^2/20)/19),"")</f>
        <v>0</v>
      </c>
      <c r="BS77">
        <f>IFERROR('Fats Raw Data'!U77,"")</f>
        <v>0</v>
      </c>
      <c r="BT77">
        <f>IFERROR('Fats Raw Data'!Z77,"")</f>
        <v>0</v>
      </c>
      <c r="BU77">
        <f>IFERROR('Fats Raw Data'!AB77-'Fats Raw Data'!AB78,"")</f>
        <v>0</v>
      </c>
      <c r="BV77" t="str">
        <f>IFERROR(AVERAGE('Fats Raw Data'!AB77:AB81),"")</f>
        <v/>
      </c>
      <c r="BW77" t="str">
        <f>IFERROR(SUMPRODUCT('Fats Raw Data'!V77:V96,'Fats Raw Data'!AA77:AA96)/SUM('Fats Raw Data'!AA77:AA96),"")</f>
        <v/>
      </c>
      <c r="BX77">
        <f>IFERROR(SQRT((SUMSQ('Fats Raw Data'!V77:V96)-2*SUMPRODUCT('Fats Raw Data'!V77:V96,'Fats Raw Data'!V78:V97)+SUMSQ('Fats Raw Data'!V78:V97)-('Fats Raw Data'!V77-'Fats Raw Data'!V97)^2/20)/19),"")</f>
        <v>0</v>
      </c>
      <c r="BZ77">
        <f>IFERROR('Fats Raw Data'!AE77,"")</f>
        <v>0</v>
      </c>
      <c r="CA77">
        <f>IFERROR('Fats Raw Data'!AJ77,"")</f>
        <v>0</v>
      </c>
      <c r="CB77">
        <f>IFERROR('Fats Raw Data'!AL77-'Fats Raw Data'!AL78,"")</f>
        <v>0</v>
      </c>
      <c r="CC77" t="str">
        <f>IFERROR(AVERAGE('Fats Raw Data'!AL77:AL81),"")</f>
        <v/>
      </c>
      <c r="CD77" t="str">
        <f>IFERROR(SUMPRODUCT('Fats Raw Data'!AF77:AF96,'Fats Raw Data'!AK77:AK96)/SUM('Fats Raw Data'!AK77:AK96),"")</f>
        <v/>
      </c>
      <c r="CE77">
        <f>IFERROR(SQRT((SUMSQ('Fats Raw Data'!AF77:AF96)-2*SUMPRODUCT('Fats Raw Data'!AF77:AF96,'Fats Raw Data'!AF78:AF97)+SUMSQ('Fats Raw Data'!AF78:AF97)-('Fats Raw Data'!AF77-'Fats Raw Data'!AF97)^2/20)/19),"")</f>
        <v>0</v>
      </c>
      <c r="CG77">
        <f>IFERROR('Fats Raw Data'!AO77,"")</f>
        <v>0</v>
      </c>
      <c r="CH77">
        <f>IFERROR('Fats Raw Data'!AT77,"")</f>
        <v>0</v>
      </c>
      <c r="CI77">
        <f>IFERROR('Fats Raw Data'!AV77-'Fats Raw Data'!AV78,"")</f>
        <v>0</v>
      </c>
      <c r="CJ77" t="str">
        <f>IFERROR(AVERAGE('Fats Raw Data'!AV77:AV81),"")</f>
        <v/>
      </c>
      <c r="CK77" t="str">
        <f>IFERROR(SUMPRODUCT('Fats Raw Data'!AP77:AP96,'Fats Raw Data'!AU77:AU96)/SUM('Fats Raw Data'!AU77:AU96),"")</f>
        <v/>
      </c>
      <c r="CL77">
        <f>IFERROR(SQRT((SUMSQ('Fats Raw Data'!AP77:AP96)-2*SUMPRODUCT('Fats Raw Data'!AP77:AP96,'Fats Raw Data'!AP78:AP97)+SUMSQ('Fats Raw Data'!AP78:AP97)-('Fats Raw Data'!AP77-'Fats Raw Data'!AP97)^2/20)/19),"")</f>
        <v>0</v>
      </c>
      <c r="CN77">
        <f>IFERROR('Fats Raw Data'!AY77,"")</f>
        <v>0</v>
      </c>
      <c r="CO77">
        <f>IFERROR('Fats Raw Data'!BD77,"")</f>
        <v>0</v>
      </c>
      <c r="CP77">
        <f>IFERROR('Fats Raw Data'!BF77-'Fats Raw Data'!BF78,"")</f>
        <v>0</v>
      </c>
      <c r="CQ77" t="str">
        <f>IFERROR(AVERAGE('Fats Raw Data'!BF77:BF81),"")</f>
        <v/>
      </c>
      <c r="CR77" t="str">
        <f>IFERROR(SUMPRODUCT('Fats Raw Data'!AZ77:AZ96,'Fats Raw Data'!BE77:BE96)/SUM('Fats Raw Data'!BE77:BE96),"")</f>
        <v/>
      </c>
      <c r="CS77">
        <f>IFERROR(SQRT((SUMSQ('Fats Raw Data'!AZ77:AZ96)-2*SUMPRODUCT('Fats Raw Data'!AZ77:AZ96,'Fats Raw Data'!AZ78:AZ97)+SUMSQ('Fats Raw Data'!AZ78:AZ97)-('Fats Raw Data'!AZ77-'Fats Raw Data'!AZ97)^2/20)/19),"")</f>
        <v>0</v>
      </c>
    </row>
    <row r="78" spans="1:97" x14ac:dyDescent="0.25">
      <c r="A78">
        <f>IFERROR('Feeders Raw Data'!A78,"")</f>
        <v>0</v>
      </c>
      <c r="B78">
        <f>IFERROR('Feeders Raw Data'!F78,"")</f>
        <v>0</v>
      </c>
      <c r="C78">
        <f>IFERROR('Feeders Raw Data'!H78-'Feeders Raw Data'!H79,"")</f>
        <v>0</v>
      </c>
      <c r="D78" t="str">
        <f>IFERROR(AVERAGE('Feeders Raw Data'!H78:H82),"")</f>
        <v/>
      </c>
      <c r="E78" t="str">
        <f>IFERROR(SUMPRODUCT('Feeders Raw Data'!B78:B97,'Feeders Raw Data'!G78:G97)/SUM('Feeders Raw Data'!G78:G97),"")</f>
        <v/>
      </c>
      <c r="F78">
        <f>IFERROR(SQRT((SUMSQ('Feeders Raw Data'!B78:B97)-2*SUMPRODUCT('Feeders Raw Data'!B78:B97,'Feeders Raw Data'!B79:B98)+SUMSQ('Feeders Raw Data'!B79:B98)-('Feeders Raw Data'!B78-'Feeders Raw Data'!B98)^2/20)/19),"")</f>
        <v>0</v>
      </c>
      <c r="H78">
        <f>IFERROR('Feeders Raw Data'!K78,"")</f>
        <v>0</v>
      </c>
      <c r="I78">
        <f>IFERROR('Feeders Raw Data'!P78,"")</f>
        <v>0</v>
      </c>
      <c r="J78">
        <f>IFERROR('Feeders Raw Data'!R78-'Feeders Raw Data'!R79,"")</f>
        <v>0</v>
      </c>
      <c r="K78" t="str">
        <f>IFERROR(AVERAGE('Feeders Raw Data'!R78:R82),"")</f>
        <v/>
      </c>
      <c r="L78" t="str">
        <f>IFERROR(SUMPRODUCT('Feeders Raw Data'!L78:L97,'Feeders Raw Data'!Q78:Q97)/SUM('Feeders Raw Data'!Q78:Q97),"")</f>
        <v/>
      </c>
      <c r="M78">
        <f>IFERROR(SQRT((SUMSQ('Feeders Raw Data'!L78:L97)-2*SUMPRODUCT('Feeders Raw Data'!L78:L97,'Feeders Raw Data'!L79:L98)+SUMSQ('Feeders Raw Data'!L79:L98)-('Feeders Raw Data'!L78-'Feeders Raw Data'!L98)^2/20)/19),"")</f>
        <v>0</v>
      </c>
      <c r="O78">
        <f>IFERROR('Feeders Raw Data'!U78,"")</f>
        <v>0</v>
      </c>
      <c r="P78">
        <f>IFERROR('Feeders Raw Data'!Z78,"")</f>
        <v>0</v>
      </c>
      <c r="Q78">
        <f>IFERROR('Feeders Raw Data'!AB78-'Feeders Raw Data'!AB79,"")</f>
        <v>0</v>
      </c>
      <c r="R78" t="str">
        <f>IFERROR(AVERAGE('Feeders Raw Data'!AB78:AB82),"")</f>
        <v/>
      </c>
      <c r="S78" t="str">
        <f>IFERROR(SUMPRODUCT('Feeders Raw Data'!V78:V97,'Feeders Raw Data'!AA78:AA97)/SUM('Feeders Raw Data'!AA78:AA97),"")</f>
        <v/>
      </c>
      <c r="T78">
        <f>IFERROR(SQRT((SUMSQ('Feeders Raw Data'!V78:V97)-2*SUMPRODUCT('Feeders Raw Data'!V78:V97,'Feeders Raw Data'!V79:V98)+SUMSQ('Feeders Raw Data'!V79:V98)-('Feeders Raw Data'!V78-'Feeders Raw Data'!V98)^2/20)/19),"")</f>
        <v>0</v>
      </c>
      <c r="V78">
        <f>IFERROR('Feeders Raw Data'!AE78,"")</f>
        <v>0</v>
      </c>
      <c r="W78">
        <f>IFERROR('Feeders Raw Data'!AJ78,"")</f>
        <v>0</v>
      </c>
      <c r="X78">
        <f>IFERROR('Feeders Raw Data'!AL78-'Feeders Raw Data'!AL79,"")</f>
        <v>0</v>
      </c>
      <c r="Y78" t="str">
        <f>IFERROR(AVERAGE('Feeders Raw Data'!AL78:AL82),"")</f>
        <v/>
      </c>
      <c r="Z78" t="str">
        <f>IFERROR(SUMPRODUCT('Feeders Raw Data'!AF78:AF97,'Feeders Raw Data'!AK78:AK97)/SUM('Feeders Raw Data'!AK78:AK97),"")</f>
        <v/>
      </c>
      <c r="AA78">
        <f>IFERROR(SQRT((SUMSQ('Feeders Raw Data'!AF78:AF97)-2*SUMPRODUCT('Feeders Raw Data'!AF78:AF97,'Feeders Raw Data'!AF79:AF98)+SUMSQ('Feeders Raw Data'!AF79:AF98)-('Feeders Raw Data'!AF78-'Feeders Raw Data'!AF98)^2/20)/19),"")</f>
        <v>0</v>
      </c>
      <c r="AC78">
        <f>IFERROR('Feeders Raw Data'!AO78,"")</f>
        <v>0</v>
      </c>
      <c r="AD78">
        <f>IFERROR('Feeders Raw Data'!AT78,"")</f>
        <v>0</v>
      </c>
      <c r="AE78">
        <f>IFERROR('Feeders Raw Data'!AV78-'Feeders Raw Data'!AV79,"")</f>
        <v>0</v>
      </c>
      <c r="AF78" t="str">
        <f>IFERROR(AVERAGE('Feeders Raw Data'!AV78:AV82),"")</f>
        <v/>
      </c>
      <c r="AG78" t="str">
        <f>IFERROR(SUMPRODUCT('Feeders Raw Data'!AP78:AP97,'Feeders Raw Data'!AU78:AU97)/SUM('Feeders Raw Data'!AU78:AU97),"")</f>
        <v/>
      </c>
      <c r="AH78">
        <f>IFERROR(SQRT((SUMSQ('Feeders Raw Data'!AP78:AP97)-2*SUMPRODUCT('Feeders Raw Data'!AP78:AP97,'Feeders Raw Data'!AP79:AP98)+SUMSQ('Feeders Raw Data'!AP79:AP98)-('Feeders Raw Data'!AP78-'Feeders Raw Data'!AP98)^2/20)/19),"")</f>
        <v>0</v>
      </c>
      <c r="AJ78">
        <f>IFERROR('Feeders Raw Data'!AY78,"")</f>
        <v>0</v>
      </c>
      <c r="AK78">
        <f>IFERROR('Feeders Raw Data'!BD78,"")</f>
        <v>0</v>
      </c>
      <c r="AL78">
        <f>IFERROR('Feeders Raw Data'!BF78-'Feeders Raw Data'!BF79,"")</f>
        <v>0</v>
      </c>
      <c r="AM78" t="str">
        <f>IFERROR(AVERAGE('Feeders Raw Data'!BF78:BF82),"")</f>
        <v/>
      </c>
      <c r="AN78" t="str">
        <f>IFERROR(SUMPRODUCT('Feeders Raw Data'!AZ78:AZ97,'Feeders Raw Data'!BE78:BE97)/SUM('Feeders Raw Data'!BE78:BE97),"")</f>
        <v/>
      </c>
      <c r="AO78">
        <f>IFERROR(SQRT((SUMSQ('Feeders Raw Data'!AZ78:AZ97)-2*SUMPRODUCT('Feeders Raw Data'!AZ78:AZ97,'Feeders Raw Data'!AZ79:AZ98)+SUMSQ('Feeders Raw Data'!AZ79:AZ98)-('Feeders Raw Data'!AZ78-'Feeders Raw Data'!AZ98)^2/20)/19),"")</f>
        <v>0</v>
      </c>
      <c r="AQ78">
        <f>IFERROR('Feeders Raw Data'!BI78,"")</f>
        <v>0</v>
      </c>
      <c r="AR78">
        <f>IFERROR('Feeders Raw Data'!BN78,"")</f>
        <v>0</v>
      </c>
      <c r="AS78">
        <f>IFERROR('Feeders Raw Data'!BP78-'Feeders Raw Data'!BP79,"")</f>
        <v>0</v>
      </c>
      <c r="AT78" t="str">
        <f>IFERROR(AVERAGE('Feeders Raw Data'!BP78:BP82),"")</f>
        <v/>
      </c>
      <c r="AU78" t="str">
        <f>IFERROR(SUMPRODUCT('Feeders Raw Data'!BJ78:BJ97,'Feeders Raw Data'!BO78:BO97)/SUM('Feeders Raw Data'!BO78:BO97),"")</f>
        <v/>
      </c>
      <c r="AV78">
        <f>IFERROR(SQRT((SUMSQ('Feeders Raw Data'!BJ78:BJ97)-2*SUMPRODUCT('Feeders Raw Data'!BJ78:BJ97,'Feeders Raw Data'!BJ79:BJ98)+SUMSQ('Feeders Raw Data'!BJ79:BJ98)-('Feeders Raw Data'!BJ78-'Feeders Raw Data'!BJ98)^2/20)/19),"")</f>
        <v>0</v>
      </c>
      <c r="AX78">
        <f>IFERROR('Feeders Raw Data'!BS78,"")</f>
        <v>0</v>
      </c>
      <c r="AY78">
        <f>IFERROR('Feeders Raw Data'!BX78,"")</f>
        <v>0</v>
      </c>
      <c r="AZ78">
        <f>IFERROR('Feeders Raw Data'!BZ78-'Feeders Raw Data'!BZ79,"")</f>
        <v>0</v>
      </c>
      <c r="BA78" t="str">
        <f>IFERROR(AVERAGE('Feeders Raw Data'!BZ78:BZ82),"")</f>
        <v/>
      </c>
      <c r="BB78" t="str">
        <f>IFERROR(SUMPRODUCT('Feeders Raw Data'!BT78:BT97,'Feeders Raw Data'!BY78:BY97)/SUM('Feeders Raw Data'!BY78:BY97),"")</f>
        <v/>
      </c>
      <c r="BC78">
        <f>IFERROR(SQRT((SUMSQ('Feeders Raw Data'!BT78:BT97)-2*SUMPRODUCT('Feeders Raw Data'!BT78:BT97,'Feeders Raw Data'!BT79:BT98)+SUMSQ('Feeders Raw Data'!BT79:BT98)-('Feeders Raw Data'!BT78-'Feeders Raw Data'!BT98)^2/20)/19),"")</f>
        <v>0</v>
      </c>
      <c r="BE78">
        <f>IFERROR('Fats Raw Data'!A78,"")</f>
        <v>0</v>
      </c>
      <c r="BF78">
        <f>IFERROR('Fats Raw Data'!F78,"")</f>
        <v>0</v>
      </c>
      <c r="BG78">
        <f>IFERROR('Fats Raw Data'!H78-'Fats Raw Data'!H79,"")</f>
        <v>0</v>
      </c>
      <c r="BH78" t="str">
        <f>IFERROR(AVERAGE('Fats Raw Data'!H78:H82),"")</f>
        <v/>
      </c>
      <c r="BI78" t="str">
        <f>IFERROR(SUMPRODUCT('Fats Raw Data'!B78:B97,'Fats Raw Data'!G78:G97)/SUM('Fats Raw Data'!G78:G97),"")</f>
        <v/>
      </c>
      <c r="BJ78">
        <f>IFERROR(SQRT((SUMSQ('Fats Raw Data'!B78:B97)-2*SUMPRODUCT('Fats Raw Data'!B78:B97,'Fats Raw Data'!B79:B98)+SUMSQ('Fats Raw Data'!B79:B98)-('Fats Raw Data'!B78-'Fats Raw Data'!B98)^2/20)/19),"")</f>
        <v>0</v>
      </c>
      <c r="BL78">
        <f>IFERROR('Fats Raw Data'!K78,"")</f>
        <v>0</v>
      </c>
      <c r="BM78">
        <f>IFERROR('Fats Raw Data'!P78,"")</f>
        <v>0</v>
      </c>
      <c r="BN78">
        <f>IFERROR('Fats Raw Data'!R78-'Fats Raw Data'!R79,"")</f>
        <v>0</v>
      </c>
      <c r="BO78" t="str">
        <f>IFERROR(AVERAGE('Fats Raw Data'!R78:R82),"")</f>
        <v/>
      </c>
      <c r="BP78" t="str">
        <f>IFERROR(SUMPRODUCT('Fats Raw Data'!L78:L97,'Fats Raw Data'!Q78:Q97)/SUM('Fats Raw Data'!Q78:Q97),"")</f>
        <v/>
      </c>
      <c r="BQ78">
        <f>IFERROR(SQRT((SUMSQ('Fats Raw Data'!L78:L97)-2*SUMPRODUCT('Fats Raw Data'!L78:L97,'Fats Raw Data'!L79:L98)+SUMSQ('Fats Raw Data'!L79:L98)-('Fats Raw Data'!L78-'Fats Raw Data'!L98)^2/20)/19),"")</f>
        <v>0</v>
      </c>
      <c r="BS78">
        <f>IFERROR('Fats Raw Data'!U78,"")</f>
        <v>0</v>
      </c>
      <c r="BT78">
        <f>IFERROR('Fats Raw Data'!Z78,"")</f>
        <v>0</v>
      </c>
      <c r="BU78">
        <f>IFERROR('Fats Raw Data'!AB78-'Fats Raw Data'!AB79,"")</f>
        <v>0</v>
      </c>
      <c r="BV78" t="str">
        <f>IFERROR(AVERAGE('Fats Raw Data'!AB78:AB82),"")</f>
        <v/>
      </c>
      <c r="BW78" t="str">
        <f>IFERROR(SUMPRODUCT('Fats Raw Data'!V78:V97,'Fats Raw Data'!AA78:AA97)/SUM('Fats Raw Data'!AA78:AA97),"")</f>
        <v/>
      </c>
      <c r="BX78">
        <f>IFERROR(SQRT((SUMSQ('Fats Raw Data'!V78:V97)-2*SUMPRODUCT('Fats Raw Data'!V78:V97,'Fats Raw Data'!V79:V98)+SUMSQ('Fats Raw Data'!V79:V98)-('Fats Raw Data'!V78-'Fats Raw Data'!V98)^2/20)/19),"")</f>
        <v>0</v>
      </c>
      <c r="BZ78">
        <f>IFERROR('Fats Raw Data'!AE78,"")</f>
        <v>0</v>
      </c>
      <c r="CA78">
        <f>IFERROR('Fats Raw Data'!AJ78,"")</f>
        <v>0</v>
      </c>
      <c r="CB78">
        <f>IFERROR('Fats Raw Data'!AL78-'Fats Raw Data'!AL79,"")</f>
        <v>0</v>
      </c>
      <c r="CC78" t="str">
        <f>IFERROR(AVERAGE('Fats Raw Data'!AL78:AL82),"")</f>
        <v/>
      </c>
      <c r="CD78" t="str">
        <f>IFERROR(SUMPRODUCT('Fats Raw Data'!AF78:AF97,'Fats Raw Data'!AK78:AK97)/SUM('Fats Raw Data'!AK78:AK97),"")</f>
        <v/>
      </c>
      <c r="CE78">
        <f>IFERROR(SQRT((SUMSQ('Fats Raw Data'!AF78:AF97)-2*SUMPRODUCT('Fats Raw Data'!AF78:AF97,'Fats Raw Data'!AF79:AF98)+SUMSQ('Fats Raw Data'!AF79:AF98)-('Fats Raw Data'!AF78-'Fats Raw Data'!AF98)^2/20)/19),"")</f>
        <v>0</v>
      </c>
      <c r="CG78">
        <f>IFERROR('Fats Raw Data'!AO78,"")</f>
        <v>0</v>
      </c>
      <c r="CH78">
        <f>IFERROR('Fats Raw Data'!AT78,"")</f>
        <v>0</v>
      </c>
      <c r="CI78">
        <f>IFERROR('Fats Raw Data'!AV78-'Fats Raw Data'!AV79,"")</f>
        <v>0</v>
      </c>
      <c r="CJ78" t="str">
        <f>IFERROR(AVERAGE('Fats Raw Data'!AV78:AV82),"")</f>
        <v/>
      </c>
      <c r="CK78" t="str">
        <f>IFERROR(SUMPRODUCT('Fats Raw Data'!AP78:AP97,'Fats Raw Data'!AU78:AU97)/SUM('Fats Raw Data'!AU78:AU97),"")</f>
        <v/>
      </c>
      <c r="CL78">
        <f>IFERROR(SQRT((SUMSQ('Fats Raw Data'!AP78:AP97)-2*SUMPRODUCT('Fats Raw Data'!AP78:AP97,'Fats Raw Data'!AP79:AP98)+SUMSQ('Fats Raw Data'!AP79:AP98)-('Fats Raw Data'!AP78-'Fats Raw Data'!AP98)^2/20)/19),"")</f>
        <v>0</v>
      </c>
      <c r="CN78">
        <f>IFERROR('Fats Raw Data'!AY78,"")</f>
        <v>0</v>
      </c>
      <c r="CO78">
        <f>IFERROR('Fats Raw Data'!BD78,"")</f>
        <v>0</v>
      </c>
      <c r="CP78">
        <f>IFERROR('Fats Raw Data'!BF78-'Fats Raw Data'!BF79,"")</f>
        <v>0</v>
      </c>
      <c r="CQ78" t="str">
        <f>IFERROR(AVERAGE('Fats Raw Data'!BF78:BF82),"")</f>
        <v/>
      </c>
      <c r="CR78" t="str">
        <f>IFERROR(SUMPRODUCT('Fats Raw Data'!AZ78:AZ97,'Fats Raw Data'!BE78:BE97)/SUM('Fats Raw Data'!BE78:BE97),"")</f>
        <v/>
      </c>
      <c r="CS78">
        <f>IFERROR(SQRT((SUMSQ('Fats Raw Data'!AZ78:AZ97)-2*SUMPRODUCT('Fats Raw Data'!AZ78:AZ97,'Fats Raw Data'!AZ79:AZ98)+SUMSQ('Fats Raw Data'!AZ79:AZ98)-('Fats Raw Data'!AZ78-'Fats Raw Data'!AZ98)^2/20)/19),"")</f>
        <v>0</v>
      </c>
    </row>
    <row r="79" spans="1:97" x14ac:dyDescent="0.25">
      <c r="A79">
        <f>IFERROR('Feeders Raw Data'!A79,"")</f>
        <v>0</v>
      </c>
      <c r="B79">
        <f>IFERROR('Feeders Raw Data'!F79,"")</f>
        <v>0</v>
      </c>
      <c r="C79">
        <f>IFERROR('Feeders Raw Data'!H79-'Feeders Raw Data'!H80,"")</f>
        <v>0</v>
      </c>
      <c r="D79" t="str">
        <f>IFERROR(AVERAGE('Feeders Raw Data'!H79:H83),"")</f>
        <v/>
      </c>
      <c r="E79" t="str">
        <f>IFERROR(SUMPRODUCT('Feeders Raw Data'!B79:B98,'Feeders Raw Data'!G79:G98)/SUM('Feeders Raw Data'!G79:G98),"")</f>
        <v/>
      </c>
      <c r="F79">
        <f>IFERROR(SQRT((SUMSQ('Feeders Raw Data'!B79:B98)-2*SUMPRODUCT('Feeders Raw Data'!B79:B98,'Feeders Raw Data'!B80:B99)+SUMSQ('Feeders Raw Data'!B80:B99)-('Feeders Raw Data'!B79-'Feeders Raw Data'!B99)^2/20)/19),"")</f>
        <v>0</v>
      </c>
      <c r="H79">
        <f>IFERROR('Feeders Raw Data'!K79,"")</f>
        <v>0</v>
      </c>
      <c r="I79">
        <f>IFERROR('Feeders Raw Data'!P79,"")</f>
        <v>0</v>
      </c>
      <c r="J79">
        <f>IFERROR('Feeders Raw Data'!R79-'Feeders Raw Data'!R80,"")</f>
        <v>0</v>
      </c>
      <c r="K79" t="str">
        <f>IFERROR(AVERAGE('Feeders Raw Data'!R79:R83),"")</f>
        <v/>
      </c>
      <c r="L79" t="str">
        <f>IFERROR(SUMPRODUCT('Feeders Raw Data'!L79:L98,'Feeders Raw Data'!Q79:Q98)/SUM('Feeders Raw Data'!Q79:Q98),"")</f>
        <v/>
      </c>
      <c r="M79">
        <f>IFERROR(SQRT((SUMSQ('Feeders Raw Data'!L79:L98)-2*SUMPRODUCT('Feeders Raw Data'!L79:L98,'Feeders Raw Data'!L80:L99)+SUMSQ('Feeders Raw Data'!L80:L99)-('Feeders Raw Data'!L79-'Feeders Raw Data'!L99)^2/20)/19),"")</f>
        <v>0</v>
      </c>
      <c r="O79">
        <f>IFERROR('Feeders Raw Data'!U79,"")</f>
        <v>0</v>
      </c>
      <c r="P79">
        <f>IFERROR('Feeders Raw Data'!Z79,"")</f>
        <v>0</v>
      </c>
      <c r="Q79">
        <f>IFERROR('Feeders Raw Data'!AB79-'Feeders Raw Data'!AB80,"")</f>
        <v>0</v>
      </c>
      <c r="R79" t="str">
        <f>IFERROR(AVERAGE('Feeders Raw Data'!AB79:AB83),"")</f>
        <v/>
      </c>
      <c r="S79" t="str">
        <f>IFERROR(SUMPRODUCT('Feeders Raw Data'!V79:V98,'Feeders Raw Data'!AA79:AA98)/SUM('Feeders Raw Data'!AA79:AA98),"")</f>
        <v/>
      </c>
      <c r="T79">
        <f>IFERROR(SQRT((SUMSQ('Feeders Raw Data'!V79:V98)-2*SUMPRODUCT('Feeders Raw Data'!V79:V98,'Feeders Raw Data'!V80:V99)+SUMSQ('Feeders Raw Data'!V80:V99)-('Feeders Raw Data'!V79-'Feeders Raw Data'!V99)^2/20)/19),"")</f>
        <v>0</v>
      </c>
      <c r="V79">
        <f>IFERROR('Feeders Raw Data'!AE79,"")</f>
        <v>0</v>
      </c>
      <c r="W79">
        <f>IFERROR('Feeders Raw Data'!AJ79,"")</f>
        <v>0</v>
      </c>
      <c r="X79">
        <f>IFERROR('Feeders Raw Data'!AL79-'Feeders Raw Data'!AL80,"")</f>
        <v>0</v>
      </c>
      <c r="Y79" t="str">
        <f>IFERROR(AVERAGE('Feeders Raw Data'!AL79:AL83),"")</f>
        <v/>
      </c>
      <c r="Z79" t="str">
        <f>IFERROR(SUMPRODUCT('Feeders Raw Data'!AF79:AF98,'Feeders Raw Data'!AK79:AK98)/SUM('Feeders Raw Data'!AK79:AK98),"")</f>
        <v/>
      </c>
      <c r="AA79">
        <f>IFERROR(SQRT((SUMSQ('Feeders Raw Data'!AF79:AF98)-2*SUMPRODUCT('Feeders Raw Data'!AF79:AF98,'Feeders Raw Data'!AF80:AF99)+SUMSQ('Feeders Raw Data'!AF80:AF99)-('Feeders Raw Data'!AF79-'Feeders Raw Data'!AF99)^2/20)/19),"")</f>
        <v>0</v>
      </c>
      <c r="AC79">
        <f>IFERROR('Feeders Raw Data'!AO79,"")</f>
        <v>0</v>
      </c>
      <c r="AD79">
        <f>IFERROR('Feeders Raw Data'!AT79,"")</f>
        <v>0</v>
      </c>
      <c r="AE79">
        <f>IFERROR('Feeders Raw Data'!AV79-'Feeders Raw Data'!AV80,"")</f>
        <v>0</v>
      </c>
      <c r="AF79" t="str">
        <f>IFERROR(AVERAGE('Feeders Raw Data'!AV79:AV83),"")</f>
        <v/>
      </c>
      <c r="AG79" t="str">
        <f>IFERROR(SUMPRODUCT('Feeders Raw Data'!AP79:AP98,'Feeders Raw Data'!AU79:AU98)/SUM('Feeders Raw Data'!AU79:AU98),"")</f>
        <v/>
      </c>
      <c r="AH79">
        <f>IFERROR(SQRT((SUMSQ('Feeders Raw Data'!AP79:AP98)-2*SUMPRODUCT('Feeders Raw Data'!AP79:AP98,'Feeders Raw Data'!AP80:AP99)+SUMSQ('Feeders Raw Data'!AP80:AP99)-('Feeders Raw Data'!AP79-'Feeders Raw Data'!AP99)^2/20)/19),"")</f>
        <v>0</v>
      </c>
      <c r="AJ79">
        <f>IFERROR('Feeders Raw Data'!AY79,"")</f>
        <v>0</v>
      </c>
      <c r="AK79">
        <f>IFERROR('Feeders Raw Data'!BD79,"")</f>
        <v>0</v>
      </c>
      <c r="AL79">
        <f>IFERROR('Feeders Raw Data'!BF79-'Feeders Raw Data'!BF80,"")</f>
        <v>0</v>
      </c>
      <c r="AM79" t="str">
        <f>IFERROR(AVERAGE('Feeders Raw Data'!BF79:BF83),"")</f>
        <v/>
      </c>
      <c r="AN79" t="str">
        <f>IFERROR(SUMPRODUCT('Feeders Raw Data'!AZ79:AZ98,'Feeders Raw Data'!BE79:BE98)/SUM('Feeders Raw Data'!BE79:BE98),"")</f>
        <v/>
      </c>
      <c r="AO79">
        <f>IFERROR(SQRT((SUMSQ('Feeders Raw Data'!AZ79:AZ98)-2*SUMPRODUCT('Feeders Raw Data'!AZ79:AZ98,'Feeders Raw Data'!AZ80:AZ99)+SUMSQ('Feeders Raw Data'!AZ80:AZ99)-('Feeders Raw Data'!AZ79-'Feeders Raw Data'!AZ99)^2/20)/19),"")</f>
        <v>0</v>
      </c>
      <c r="AQ79">
        <f>IFERROR('Feeders Raw Data'!BI79,"")</f>
        <v>0</v>
      </c>
      <c r="AR79">
        <f>IFERROR('Feeders Raw Data'!BN79,"")</f>
        <v>0</v>
      </c>
      <c r="AS79">
        <f>IFERROR('Feeders Raw Data'!BP79-'Feeders Raw Data'!BP80,"")</f>
        <v>0</v>
      </c>
      <c r="AT79" t="str">
        <f>IFERROR(AVERAGE('Feeders Raw Data'!BP79:BP83),"")</f>
        <v/>
      </c>
      <c r="AU79" t="str">
        <f>IFERROR(SUMPRODUCT('Feeders Raw Data'!BJ79:BJ98,'Feeders Raw Data'!BO79:BO98)/SUM('Feeders Raw Data'!BO79:BO98),"")</f>
        <v/>
      </c>
      <c r="AV79">
        <f>IFERROR(SQRT((SUMSQ('Feeders Raw Data'!BJ79:BJ98)-2*SUMPRODUCT('Feeders Raw Data'!BJ79:BJ98,'Feeders Raw Data'!BJ80:BJ99)+SUMSQ('Feeders Raw Data'!BJ80:BJ99)-('Feeders Raw Data'!BJ79-'Feeders Raw Data'!BJ99)^2/20)/19),"")</f>
        <v>0</v>
      </c>
      <c r="AX79">
        <f>IFERROR('Feeders Raw Data'!BS79,"")</f>
        <v>0</v>
      </c>
      <c r="AY79">
        <f>IFERROR('Feeders Raw Data'!BX79,"")</f>
        <v>0</v>
      </c>
      <c r="AZ79">
        <f>IFERROR('Feeders Raw Data'!BZ79-'Feeders Raw Data'!BZ80,"")</f>
        <v>0</v>
      </c>
      <c r="BA79" t="str">
        <f>IFERROR(AVERAGE('Feeders Raw Data'!BZ79:BZ83),"")</f>
        <v/>
      </c>
      <c r="BB79" t="str">
        <f>IFERROR(SUMPRODUCT('Feeders Raw Data'!BT79:BT98,'Feeders Raw Data'!BY79:BY98)/SUM('Feeders Raw Data'!BY79:BY98),"")</f>
        <v/>
      </c>
      <c r="BC79">
        <f>IFERROR(SQRT((SUMSQ('Feeders Raw Data'!BT79:BT98)-2*SUMPRODUCT('Feeders Raw Data'!BT79:BT98,'Feeders Raw Data'!BT80:BT99)+SUMSQ('Feeders Raw Data'!BT80:BT99)-('Feeders Raw Data'!BT79-'Feeders Raw Data'!BT99)^2/20)/19),"")</f>
        <v>0</v>
      </c>
      <c r="BE79">
        <f>IFERROR('Fats Raw Data'!A79,"")</f>
        <v>0</v>
      </c>
      <c r="BF79">
        <f>IFERROR('Fats Raw Data'!F79,"")</f>
        <v>0</v>
      </c>
      <c r="BG79">
        <f>IFERROR('Fats Raw Data'!H79-'Fats Raw Data'!H80,"")</f>
        <v>0</v>
      </c>
      <c r="BH79" t="str">
        <f>IFERROR(AVERAGE('Fats Raw Data'!H79:H83),"")</f>
        <v/>
      </c>
      <c r="BI79" t="str">
        <f>IFERROR(SUMPRODUCT('Fats Raw Data'!B79:B98,'Fats Raw Data'!G79:G98)/SUM('Fats Raw Data'!G79:G98),"")</f>
        <v/>
      </c>
      <c r="BJ79">
        <f>IFERROR(SQRT((SUMSQ('Fats Raw Data'!B79:B98)-2*SUMPRODUCT('Fats Raw Data'!B79:B98,'Fats Raw Data'!B80:B99)+SUMSQ('Fats Raw Data'!B80:B99)-('Fats Raw Data'!B79-'Fats Raw Data'!B99)^2/20)/19),"")</f>
        <v>0</v>
      </c>
      <c r="BL79">
        <f>IFERROR('Fats Raw Data'!K79,"")</f>
        <v>0</v>
      </c>
      <c r="BM79">
        <f>IFERROR('Fats Raw Data'!P79,"")</f>
        <v>0</v>
      </c>
      <c r="BN79">
        <f>IFERROR('Fats Raw Data'!R79-'Fats Raw Data'!R80,"")</f>
        <v>0</v>
      </c>
      <c r="BO79" t="str">
        <f>IFERROR(AVERAGE('Fats Raw Data'!R79:R83),"")</f>
        <v/>
      </c>
      <c r="BP79" t="str">
        <f>IFERROR(SUMPRODUCT('Fats Raw Data'!L79:L98,'Fats Raw Data'!Q79:Q98)/SUM('Fats Raw Data'!Q79:Q98),"")</f>
        <v/>
      </c>
      <c r="BQ79">
        <f>IFERROR(SQRT((SUMSQ('Fats Raw Data'!L79:L98)-2*SUMPRODUCT('Fats Raw Data'!L79:L98,'Fats Raw Data'!L80:L99)+SUMSQ('Fats Raw Data'!L80:L99)-('Fats Raw Data'!L79-'Fats Raw Data'!L99)^2/20)/19),"")</f>
        <v>0</v>
      </c>
      <c r="BS79">
        <f>IFERROR('Fats Raw Data'!U79,"")</f>
        <v>0</v>
      </c>
      <c r="BT79">
        <f>IFERROR('Fats Raw Data'!Z79,"")</f>
        <v>0</v>
      </c>
      <c r="BU79">
        <f>IFERROR('Fats Raw Data'!AB79-'Fats Raw Data'!AB80,"")</f>
        <v>0</v>
      </c>
      <c r="BV79" t="str">
        <f>IFERROR(AVERAGE('Fats Raw Data'!AB79:AB83),"")</f>
        <v/>
      </c>
      <c r="BW79" t="str">
        <f>IFERROR(SUMPRODUCT('Fats Raw Data'!V79:V98,'Fats Raw Data'!AA79:AA98)/SUM('Fats Raw Data'!AA79:AA98),"")</f>
        <v/>
      </c>
      <c r="BX79">
        <f>IFERROR(SQRT((SUMSQ('Fats Raw Data'!V79:V98)-2*SUMPRODUCT('Fats Raw Data'!V79:V98,'Fats Raw Data'!V80:V99)+SUMSQ('Fats Raw Data'!V80:V99)-('Fats Raw Data'!V79-'Fats Raw Data'!V99)^2/20)/19),"")</f>
        <v>0</v>
      </c>
      <c r="BZ79">
        <f>IFERROR('Fats Raw Data'!AE79,"")</f>
        <v>0</v>
      </c>
      <c r="CA79">
        <f>IFERROR('Fats Raw Data'!AJ79,"")</f>
        <v>0</v>
      </c>
      <c r="CB79">
        <f>IFERROR('Fats Raw Data'!AL79-'Fats Raw Data'!AL80,"")</f>
        <v>0</v>
      </c>
      <c r="CC79" t="str">
        <f>IFERROR(AVERAGE('Fats Raw Data'!AL79:AL83),"")</f>
        <v/>
      </c>
      <c r="CD79" t="str">
        <f>IFERROR(SUMPRODUCT('Fats Raw Data'!AF79:AF98,'Fats Raw Data'!AK79:AK98)/SUM('Fats Raw Data'!AK79:AK98),"")</f>
        <v/>
      </c>
      <c r="CE79">
        <f>IFERROR(SQRT((SUMSQ('Fats Raw Data'!AF79:AF98)-2*SUMPRODUCT('Fats Raw Data'!AF79:AF98,'Fats Raw Data'!AF80:AF99)+SUMSQ('Fats Raw Data'!AF80:AF99)-('Fats Raw Data'!AF79-'Fats Raw Data'!AF99)^2/20)/19),"")</f>
        <v>0</v>
      </c>
      <c r="CG79">
        <f>IFERROR('Fats Raw Data'!AO79,"")</f>
        <v>0</v>
      </c>
      <c r="CH79">
        <f>IFERROR('Fats Raw Data'!AT79,"")</f>
        <v>0</v>
      </c>
      <c r="CI79">
        <f>IFERROR('Fats Raw Data'!AV79-'Fats Raw Data'!AV80,"")</f>
        <v>0</v>
      </c>
      <c r="CJ79" t="str">
        <f>IFERROR(AVERAGE('Fats Raw Data'!AV79:AV83),"")</f>
        <v/>
      </c>
      <c r="CK79" t="str">
        <f>IFERROR(SUMPRODUCT('Fats Raw Data'!AP79:AP98,'Fats Raw Data'!AU79:AU98)/SUM('Fats Raw Data'!AU79:AU98),"")</f>
        <v/>
      </c>
      <c r="CL79">
        <f>IFERROR(SQRT((SUMSQ('Fats Raw Data'!AP79:AP98)-2*SUMPRODUCT('Fats Raw Data'!AP79:AP98,'Fats Raw Data'!AP80:AP99)+SUMSQ('Fats Raw Data'!AP80:AP99)-('Fats Raw Data'!AP79-'Fats Raw Data'!AP99)^2/20)/19),"")</f>
        <v>0</v>
      </c>
      <c r="CN79">
        <f>IFERROR('Fats Raw Data'!AY79,"")</f>
        <v>0</v>
      </c>
      <c r="CO79">
        <f>IFERROR('Fats Raw Data'!BD79,"")</f>
        <v>0</v>
      </c>
      <c r="CP79">
        <f>IFERROR('Fats Raw Data'!BF79-'Fats Raw Data'!BF80,"")</f>
        <v>0</v>
      </c>
      <c r="CQ79" t="str">
        <f>IFERROR(AVERAGE('Fats Raw Data'!BF79:BF83),"")</f>
        <v/>
      </c>
      <c r="CR79" t="str">
        <f>IFERROR(SUMPRODUCT('Fats Raw Data'!AZ79:AZ98,'Fats Raw Data'!BE79:BE98)/SUM('Fats Raw Data'!BE79:BE98),"")</f>
        <v/>
      </c>
      <c r="CS79">
        <f>IFERROR(SQRT((SUMSQ('Fats Raw Data'!AZ79:AZ98)-2*SUMPRODUCT('Fats Raw Data'!AZ79:AZ98,'Fats Raw Data'!AZ80:AZ99)+SUMSQ('Fats Raw Data'!AZ80:AZ99)-('Fats Raw Data'!AZ79-'Fats Raw Data'!AZ99)^2/20)/19),"")</f>
        <v>0</v>
      </c>
    </row>
    <row r="80" spans="1:97" x14ac:dyDescent="0.25">
      <c r="A80">
        <f>IFERROR('Feeders Raw Data'!A80,"")</f>
        <v>0</v>
      </c>
      <c r="B80">
        <f>IFERROR('Feeders Raw Data'!F80,"")</f>
        <v>0</v>
      </c>
      <c r="C80">
        <f>IFERROR('Feeders Raw Data'!H80-'Feeders Raw Data'!H81,"")</f>
        <v>0</v>
      </c>
      <c r="D80" t="str">
        <f>IFERROR(AVERAGE('Feeders Raw Data'!H80:H84),"")</f>
        <v/>
      </c>
      <c r="E80" t="str">
        <f>IFERROR(SUMPRODUCT('Feeders Raw Data'!B80:B99,'Feeders Raw Data'!G80:G99)/SUM('Feeders Raw Data'!G80:G99),"")</f>
        <v/>
      </c>
      <c r="F80">
        <f>IFERROR(SQRT((SUMSQ('Feeders Raw Data'!B80:B99)-2*SUMPRODUCT('Feeders Raw Data'!B80:B99,'Feeders Raw Data'!B81:B100)+SUMSQ('Feeders Raw Data'!B81:B100)-('Feeders Raw Data'!B80-'Feeders Raw Data'!B100)^2/20)/19),"")</f>
        <v>0</v>
      </c>
      <c r="H80">
        <f>IFERROR('Feeders Raw Data'!K80,"")</f>
        <v>0</v>
      </c>
      <c r="I80">
        <f>IFERROR('Feeders Raw Data'!P80,"")</f>
        <v>0</v>
      </c>
      <c r="J80">
        <f>IFERROR('Feeders Raw Data'!R80-'Feeders Raw Data'!R81,"")</f>
        <v>0</v>
      </c>
      <c r="K80" t="str">
        <f>IFERROR(AVERAGE('Feeders Raw Data'!R80:R84),"")</f>
        <v/>
      </c>
      <c r="L80" t="str">
        <f>IFERROR(SUMPRODUCT('Feeders Raw Data'!L80:L99,'Feeders Raw Data'!Q80:Q99)/SUM('Feeders Raw Data'!Q80:Q99),"")</f>
        <v/>
      </c>
      <c r="M80">
        <f>IFERROR(SQRT((SUMSQ('Feeders Raw Data'!L80:L99)-2*SUMPRODUCT('Feeders Raw Data'!L80:L99,'Feeders Raw Data'!L81:L100)+SUMSQ('Feeders Raw Data'!L81:L100)-('Feeders Raw Data'!L80-'Feeders Raw Data'!L100)^2/20)/19),"")</f>
        <v>0</v>
      </c>
      <c r="O80">
        <f>IFERROR('Feeders Raw Data'!U80,"")</f>
        <v>0</v>
      </c>
      <c r="P80">
        <f>IFERROR('Feeders Raw Data'!Z80,"")</f>
        <v>0</v>
      </c>
      <c r="Q80">
        <f>IFERROR('Feeders Raw Data'!AB80-'Feeders Raw Data'!AB81,"")</f>
        <v>0</v>
      </c>
      <c r="R80" t="str">
        <f>IFERROR(AVERAGE('Feeders Raw Data'!AB80:AB84),"")</f>
        <v/>
      </c>
      <c r="S80" t="str">
        <f>IFERROR(SUMPRODUCT('Feeders Raw Data'!V80:V99,'Feeders Raw Data'!AA80:AA99)/SUM('Feeders Raw Data'!AA80:AA99),"")</f>
        <v/>
      </c>
      <c r="T80">
        <f>IFERROR(SQRT((SUMSQ('Feeders Raw Data'!V80:V99)-2*SUMPRODUCT('Feeders Raw Data'!V80:V99,'Feeders Raw Data'!V81:V100)+SUMSQ('Feeders Raw Data'!V81:V100)-('Feeders Raw Data'!V80-'Feeders Raw Data'!V100)^2/20)/19),"")</f>
        <v>0</v>
      </c>
      <c r="V80">
        <f>IFERROR('Feeders Raw Data'!AE80,"")</f>
        <v>0</v>
      </c>
      <c r="W80">
        <f>IFERROR('Feeders Raw Data'!AJ80,"")</f>
        <v>0</v>
      </c>
      <c r="X80">
        <f>IFERROR('Feeders Raw Data'!AL80-'Feeders Raw Data'!AL81,"")</f>
        <v>0</v>
      </c>
      <c r="Y80" t="str">
        <f>IFERROR(AVERAGE('Feeders Raw Data'!AL80:AL84),"")</f>
        <v/>
      </c>
      <c r="Z80" t="str">
        <f>IFERROR(SUMPRODUCT('Feeders Raw Data'!AF80:AF99,'Feeders Raw Data'!AK80:AK99)/SUM('Feeders Raw Data'!AK80:AK99),"")</f>
        <v/>
      </c>
      <c r="AA80">
        <f>IFERROR(SQRT((SUMSQ('Feeders Raw Data'!AF80:AF99)-2*SUMPRODUCT('Feeders Raw Data'!AF80:AF99,'Feeders Raw Data'!AF81:AF100)+SUMSQ('Feeders Raw Data'!AF81:AF100)-('Feeders Raw Data'!AF80-'Feeders Raw Data'!AF100)^2/20)/19),"")</f>
        <v>0</v>
      </c>
      <c r="AC80">
        <f>IFERROR('Feeders Raw Data'!AO80,"")</f>
        <v>0</v>
      </c>
      <c r="AD80">
        <f>IFERROR('Feeders Raw Data'!AT80,"")</f>
        <v>0</v>
      </c>
      <c r="AE80">
        <f>IFERROR('Feeders Raw Data'!AV80-'Feeders Raw Data'!AV81,"")</f>
        <v>0</v>
      </c>
      <c r="AF80" t="str">
        <f>IFERROR(AVERAGE('Feeders Raw Data'!AV80:AV84),"")</f>
        <v/>
      </c>
      <c r="AG80" t="str">
        <f>IFERROR(SUMPRODUCT('Feeders Raw Data'!AP80:AP99,'Feeders Raw Data'!AU80:AU99)/SUM('Feeders Raw Data'!AU80:AU99),"")</f>
        <v/>
      </c>
      <c r="AH80">
        <f>IFERROR(SQRT((SUMSQ('Feeders Raw Data'!AP80:AP99)-2*SUMPRODUCT('Feeders Raw Data'!AP80:AP99,'Feeders Raw Data'!AP81:AP100)+SUMSQ('Feeders Raw Data'!AP81:AP100)-('Feeders Raw Data'!AP80-'Feeders Raw Data'!AP100)^2/20)/19),"")</f>
        <v>0</v>
      </c>
      <c r="AJ80">
        <f>IFERROR('Feeders Raw Data'!AY80,"")</f>
        <v>0</v>
      </c>
      <c r="AK80">
        <f>IFERROR('Feeders Raw Data'!BD80,"")</f>
        <v>0</v>
      </c>
      <c r="AL80">
        <f>IFERROR('Feeders Raw Data'!BF80-'Feeders Raw Data'!BF81,"")</f>
        <v>0</v>
      </c>
      <c r="AM80" t="str">
        <f>IFERROR(AVERAGE('Feeders Raw Data'!BF80:BF84),"")</f>
        <v/>
      </c>
      <c r="AN80" t="str">
        <f>IFERROR(SUMPRODUCT('Feeders Raw Data'!AZ80:AZ99,'Feeders Raw Data'!BE80:BE99)/SUM('Feeders Raw Data'!BE80:BE99),"")</f>
        <v/>
      </c>
      <c r="AO80">
        <f>IFERROR(SQRT((SUMSQ('Feeders Raw Data'!AZ80:AZ99)-2*SUMPRODUCT('Feeders Raw Data'!AZ80:AZ99,'Feeders Raw Data'!AZ81:AZ100)+SUMSQ('Feeders Raw Data'!AZ81:AZ100)-('Feeders Raw Data'!AZ80-'Feeders Raw Data'!AZ100)^2/20)/19),"")</f>
        <v>0</v>
      </c>
      <c r="AQ80">
        <f>IFERROR('Feeders Raw Data'!BI80,"")</f>
        <v>0</v>
      </c>
      <c r="AR80">
        <f>IFERROR('Feeders Raw Data'!BN80,"")</f>
        <v>0</v>
      </c>
      <c r="AS80">
        <f>IFERROR('Feeders Raw Data'!BP80-'Feeders Raw Data'!BP81,"")</f>
        <v>0</v>
      </c>
      <c r="AT80" t="str">
        <f>IFERROR(AVERAGE('Feeders Raw Data'!BP80:BP84),"")</f>
        <v/>
      </c>
      <c r="AU80" t="str">
        <f>IFERROR(SUMPRODUCT('Feeders Raw Data'!BJ80:BJ99,'Feeders Raw Data'!BO80:BO99)/SUM('Feeders Raw Data'!BO80:BO99),"")</f>
        <v/>
      </c>
      <c r="AV80">
        <f>IFERROR(SQRT((SUMSQ('Feeders Raw Data'!BJ80:BJ99)-2*SUMPRODUCT('Feeders Raw Data'!BJ80:BJ99,'Feeders Raw Data'!BJ81:BJ100)+SUMSQ('Feeders Raw Data'!BJ81:BJ100)-('Feeders Raw Data'!BJ80-'Feeders Raw Data'!BJ100)^2/20)/19),"")</f>
        <v>0</v>
      </c>
      <c r="AX80">
        <f>IFERROR('Feeders Raw Data'!BS80,"")</f>
        <v>0</v>
      </c>
      <c r="AY80">
        <f>IFERROR('Feeders Raw Data'!BX80,"")</f>
        <v>0</v>
      </c>
      <c r="AZ80">
        <f>IFERROR('Feeders Raw Data'!BZ80-'Feeders Raw Data'!BZ81,"")</f>
        <v>0</v>
      </c>
      <c r="BA80" t="str">
        <f>IFERROR(AVERAGE('Feeders Raw Data'!BZ80:BZ84),"")</f>
        <v/>
      </c>
      <c r="BB80" t="str">
        <f>IFERROR(SUMPRODUCT('Feeders Raw Data'!BT80:BT99,'Feeders Raw Data'!BY80:BY99)/SUM('Feeders Raw Data'!BY80:BY99),"")</f>
        <v/>
      </c>
      <c r="BC80">
        <f>IFERROR(SQRT((SUMSQ('Feeders Raw Data'!BT80:BT99)-2*SUMPRODUCT('Feeders Raw Data'!BT80:BT99,'Feeders Raw Data'!BT81:BT100)+SUMSQ('Feeders Raw Data'!BT81:BT100)-('Feeders Raw Data'!BT80-'Feeders Raw Data'!BT100)^2/20)/19),"")</f>
        <v>0</v>
      </c>
      <c r="BE80">
        <f>IFERROR('Fats Raw Data'!A80,"")</f>
        <v>0</v>
      </c>
      <c r="BF80">
        <f>IFERROR('Fats Raw Data'!F80,"")</f>
        <v>0</v>
      </c>
      <c r="BG80">
        <f>IFERROR('Fats Raw Data'!H80-'Fats Raw Data'!H81,"")</f>
        <v>0</v>
      </c>
      <c r="BH80" t="str">
        <f>IFERROR(AVERAGE('Fats Raw Data'!H80:H84),"")</f>
        <v/>
      </c>
      <c r="BI80" t="str">
        <f>IFERROR(SUMPRODUCT('Fats Raw Data'!B80:B99,'Fats Raw Data'!G80:G99)/SUM('Fats Raw Data'!G80:G99),"")</f>
        <v/>
      </c>
      <c r="BJ80">
        <f>IFERROR(SQRT((SUMSQ('Fats Raw Data'!B80:B99)-2*SUMPRODUCT('Fats Raw Data'!B80:B99,'Fats Raw Data'!B81:B100)+SUMSQ('Fats Raw Data'!B81:B100)-('Fats Raw Data'!B80-'Fats Raw Data'!B100)^2/20)/19),"")</f>
        <v>0</v>
      </c>
      <c r="BL80">
        <f>IFERROR('Fats Raw Data'!K80,"")</f>
        <v>0</v>
      </c>
      <c r="BM80">
        <f>IFERROR('Fats Raw Data'!P80,"")</f>
        <v>0</v>
      </c>
      <c r="BN80">
        <f>IFERROR('Fats Raw Data'!R80-'Fats Raw Data'!R81,"")</f>
        <v>0</v>
      </c>
      <c r="BO80" t="str">
        <f>IFERROR(AVERAGE('Fats Raw Data'!R80:R84),"")</f>
        <v/>
      </c>
      <c r="BP80" t="str">
        <f>IFERROR(SUMPRODUCT('Fats Raw Data'!L80:L99,'Fats Raw Data'!Q80:Q99)/SUM('Fats Raw Data'!Q80:Q99),"")</f>
        <v/>
      </c>
      <c r="BQ80">
        <f>IFERROR(SQRT((SUMSQ('Fats Raw Data'!L80:L99)-2*SUMPRODUCT('Fats Raw Data'!L80:L99,'Fats Raw Data'!L81:L100)+SUMSQ('Fats Raw Data'!L81:L100)-('Fats Raw Data'!L80-'Fats Raw Data'!L100)^2/20)/19),"")</f>
        <v>0</v>
      </c>
      <c r="BS80">
        <f>IFERROR('Fats Raw Data'!U80,"")</f>
        <v>0</v>
      </c>
      <c r="BT80">
        <f>IFERROR('Fats Raw Data'!Z80,"")</f>
        <v>0</v>
      </c>
      <c r="BU80">
        <f>IFERROR('Fats Raw Data'!AB80-'Fats Raw Data'!AB81,"")</f>
        <v>0</v>
      </c>
      <c r="BV80" t="str">
        <f>IFERROR(AVERAGE('Fats Raw Data'!AB80:AB84),"")</f>
        <v/>
      </c>
      <c r="BW80" t="str">
        <f>IFERROR(SUMPRODUCT('Fats Raw Data'!V80:V99,'Fats Raw Data'!AA80:AA99)/SUM('Fats Raw Data'!AA80:AA99),"")</f>
        <v/>
      </c>
      <c r="BX80">
        <f>IFERROR(SQRT((SUMSQ('Fats Raw Data'!V80:V99)-2*SUMPRODUCT('Fats Raw Data'!V80:V99,'Fats Raw Data'!V81:V100)+SUMSQ('Fats Raw Data'!V81:V100)-('Fats Raw Data'!V80-'Fats Raw Data'!V100)^2/20)/19),"")</f>
        <v>0</v>
      </c>
      <c r="BZ80">
        <f>IFERROR('Fats Raw Data'!AE80,"")</f>
        <v>0</v>
      </c>
      <c r="CA80">
        <f>IFERROR('Fats Raw Data'!AJ80,"")</f>
        <v>0</v>
      </c>
      <c r="CB80">
        <f>IFERROR('Fats Raw Data'!AL80-'Fats Raw Data'!AL81,"")</f>
        <v>0</v>
      </c>
      <c r="CC80" t="str">
        <f>IFERROR(AVERAGE('Fats Raw Data'!AL80:AL84),"")</f>
        <v/>
      </c>
      <c r="CD80" t="str">
        <f>IFERROR(SUMPRODUCT('Fats Raw Data'!AF80:AF99,'Fats Raw Data'!AK80:AK99)/SUM('Fats Raw Data'!AK80:AK99),"")</f>
        <v/>
      </c>
      <c r="CE80">
        <f>IFERROR(SQRT((SUMSQ('Fats Raw Data'!AF80:AF99)-2*SUMPRODUCT('Fats Raw Data'!AF80:AF99,'Fats Raw Data'!AF81:AF100)+SUMSQ('Fats Raw Data'!AF81:AF100)-('Fats Raw Data'!AF80-'Fats Raw Data'!AF100)^2/20)/19),"")</f>
        <v>0</v>
      </c>
      <c r="CG80">
        <f>IFERROR('Fats Raw Data'!AO80,"")</f>
        <v>0</v>
      </c>
      <c r="CH80">
        <f>IFERROR('Fats Raw Data'!AT80,"")</f>
        <v>0</v>
      </c>
      <c r="CI80">
        <f>IFERROR('Fats Raw Data'!AV80-'Fats Raw Data'!AV81,"")</f>
        <v>0</v>
      </c>
      <c r="CJ80" t="str">
        <f>IFERROR(AVERAGE('Fats Raw Data'!AV80:AV84),"")</f>
        <v/>
      </c>
      <c r="CK80" t="str">
        <f>IFERROR(SUMPRODUCT('Fats Raw Data'!AP80:AP99,'Fats Raw Data'!AU80:AU99)/SUM('Fats Raw Data'!AU80:AU99),"")</f>
        <v/>
      </c>
      <c r="CL80">
        <f>IFERROR(SQRT((SUMSQ('Fats Raw Data'!AP80:AP99)-2*SUMPRODUCT('Fats Raw Data'!AP80:AP99,'Fats Raw Data'!AP81:AP100)+SUMSQ('Fats Raw Data'!AP81:AP100)-('Fats Raw Data'!AP80-'Fats Raw Data'!AP100)^2/20)/19),"")</f>
        <v>0</v>
      </c>
      <c r="CN80">
        <f>IFERROR('Fats Raw Data'!AY80,"")</f>
        <v>0</v>
      </c>
      <c r="CO80">
        <f>IFERROR('Fats Raw Data'!BD80,"")</f>
        <v>0</v>
      </c>
      <c r="CP80">
        <f>IFERROR('Fats Raw Data'!BF80-'Fats Raw Data'!BF81,"")</f>
        <v>0</v>
      </c>
      <c r="CQ80" t="str">
        <f>IFERROR(AVERAGE('Fats Raw Data'!BF80:BF84),"")</f>
        <v/>
      </c>
      <c r="CR80" t="str">
        <f>IFERROR(SUMPRODUCT('Fats Raw Data'!AZ80:AZ99,'Fats Raw Data'!BE80:BE99)/SUM('Fats Raw Data'!BE80:BE99),"")</f>
        <v/>
      </c>
      <c r="CS80">
        <f>IFERROR(SQRT((SUMSQ('Fats Raw Data'!AZ80:AZ99)-2*SUMPRODUCT('Fats Raw Data'!AZ80:AZ99,'Fats Raw Data'!AZ81:AZ100)+SUMSQ('Fats Raw Data'!AZ81:AZ100)-('Fats Raw Data'!AZ80-'Fats Raw Data'!AZ100)^2/20)/19),"")</f>
        <v>0</v>
      </c>
    </row>
    <row r="81" spans="1:97" x14ac:dyDescent="0.25">
      <c r="A81">
        <f>IFERROR('Feeders Raw Data'!A81,"")</f>
        <v>0</v>
      </c>
      <c r="B81">
        <f>IFERROR('Feeders Raw Data'!F81,"")</f>
        <v>0</v>
      </c>
      <c r="C81">
        <f>IFERROR('Feeders Raw Data'!H81-'Feeders Raw Data'!H82,"")</f>
        <v>0</v>
      </c>
      <c r="D81" t="str">
        <f>IFERROR(AVERAGE('Feeders Raw Data'!H81:H85),"")</f>
        <v/>
      </c>
      <c r="E81" t="str">
        <f>IFERROR(SUMPRODUCT('Feeders Raw Data'!B81:B100,'Feeders Raw Data'!G81:G100)/SUM('Feeders Raw Data'!G81:G100),"")</f>
        <v/>
      </c>
      <c r="F81">
        <f>IFERROR(SQRT((SUMSQ('Feeders Raw Data'!B81:B100)-2*SUMPRODUCT('Feeders Raw Data'!B81:B100,'Feeders Raw Data'!B82:B101)+SUMSQ('Feeders Raw Data'!B82:B101)-('Feeders Raw Data'!B81-'Feeders Raw Data'!B101)^2/20)/19),"")</f>
        <v>0</v>
      </c>
      <c r="H81">
        <f>IFERROR('Feeders Raw Data'!K81,"")</f>
        <v>0</v>
      </c>
      <c r="I81">
        <f>IFERROR('Feeders Raw Data'!P81,"")</f>
        <v>0</v>
      </c>
      <c r="J81">
        <f>IFERROR('Feeders Raw Data'!R81-'Feeders Raw Data'!R82,"")</f>
        <v>0</v>
      </c>
      <c r="K81" t="str">
        <f>IFERROR(AVERAGE('Feeders Raw Data'!R81:R85),"")</f>
        <v/>
      </c>
      <c r="L81" t="str">
        <f>IFERROR(SUMPRODUCT('Feeders Raw Data'!L81:L100,'Feeders Raw Data'!Q81:Q100)/SUM('Feeders Raw Data'!Q81:Q100),"")</f>
        <v/>
      </c>
      <c r="M81">
        <f>IFERROR(SQRT((SUMSQ('Feeders Raw Data'!L81:L100)-2*SUMPRODUCT('Feeders Raw Data'!L81:L100,'Feeders Raw Data'!L82:L101)+SUMSQ('Feeders Raw Data'!L82:L101)-('Feeders Raw Data'!L81-'Feeders Raw Data'!L101)^2/20)/19),"")</f>
        <v>0</v>
      </c>
      <c r="O81">
        <f>IFERROR('Feeders Raw Data'!U81,"")</f>
        <v>0</v>
      </c>
      <c r="P81">
        <f>IFERROR('Feeders Raw Data'!Z81,"")</f>
        <v>0</v>
      </c>
      <c r="Q81">
        <f>IFERROR('Feeders Raw Data'!AB81-'Feeders Raw Data'!AB82,"")</f>
        <v>0</v>
      </c>
      <c r="R81" t="str">
        <f>IFERROR(AVERAGE('Feeders Raw Data'!AB81:AB85),"")</f>
        <v/>
      </c>
      <c r="S81" t="str">
        <f>IFERROR(SUMPRODUCT('Feeders Raw Data'!V81:V100,'Feeders Raw Data'!AA81:AA100)/SUM('Feeders Raw Data'!AA81:AA100),"")</f>
        <v/>
      </c>
      <c r="T81">
        <f>IFERROR(SQRT((SUMSQ('Feeders Raw Data'!V81:V100)-2*SUMPRODUCT('Feeders Raw Data'!V81:V100,'Feeders Raw Data'!V82:V101)+SUMSQ('Feeders Raw Data'!V82:V101)-('Feeders Raw Data'!V81-'Feeders Raw Data'!V101)^2/20)/19),"")</f>
        <v>0</v>
      </c>
      <c r="V81">
        <f>IFERROR('Feeders Raw Data'!AE81,"")</f>
        <v>0</v>
      </c>
      <c r="W81">
        <f>IFERROR('Feeders Raw Data'!AJ81,"")</f>
        <v>0</v>
      </c>
      <c r="X81">
        <f>IFERROR('Feeders Raw Data'!AL81-'Feeders Raw Data'!AL82,"")</f>
        <v>0</v>
      </c>
      <c r="Y81" t="str">
        <f>IFERROR(AVERAGE('Feeders Raw Data'!AL81:AL85),"")</f>
        <v/>
      </c>
      <c r="Z81" t="str">
        <f>IFERROR(SUMPRODUCT('Feeders Raw Data'!AF81:AF100,'Feeders Raw Data'!AK81:AK100)/SUM('Feeders Raw Data'!AK81:AK100),"")</f>
        <v/>
      </c>
      <c r="AA81">
        <f>IFERROR(SQRT((SUMSQ('Feeders Raw Data'!AF81:AF100)-2*SUMPRODUCT('Feeders Raw Data'!AF81:AF100,'Feeders Raw Data'!AF82:AF101)+SUMSQ('Feeders Raw Data'!AF82:AF101)-('Feeders Raw Data'!AF81-'Feeders Raw Data'!AF101)^2/20)/19),"")</f>
        <v>0</v>
      </c>
      <c r="AC81">
        <f>IFERROR('Feeders Raw Data'!AO81,"")</f>
        <v>0</v>
      </c>
      <c r="AD81">
        <f>IFERROR('Feeders Raw Data'!AT81,"")</f>
        <v>0</v>
      </c>
      <c r="AE81">
        <f>IFERROR('Feeders Raw Data'!AV81-'Feeders Raw Data'!AV82,"")</f>
        <v>0</v>
      </c>
      <c r="AF81" t="str">
        <f>IFERROR(AVERAGE('Feeders Raw Data'!AV81:AV85),"")</f>
        <v/>
      </c>
      <c r="AG81" t="str">
        <f>IFERROR(SUMPRODUCT('Feeders Raw Data'!AP81:AP100,'Feeders Raw Data'!AU81:AU100)/SUM('Feeders Raw Data'!AU81:AU100),"")</f>
        <v/>
      </c>
      <c r="AH81">
        <f>IFERROR(SQRT((SUMSQ('Feeders Raw Data'!AP81:AP100)-2*SUMPRODUCT('Feeders Raw Data'!AP81:AP100,'Feeders Raw Data'!AP82:AP101)+SUMSQ('Feeders Raw Data'!AP82:AP101)-('Feeders Raw Data'!AP81-'Feeders Raw Data'!AP101)^2/20)/19),"")</f>
        <v>0</v>
      </c>
      <c r="AJ81">
        <f>IFERROR('Feeders Raw Data'!AY81,"")</f>
        <v>0</v>
      </c>
      <c r="AK81">
        <f>IFERROR('Feeders Raw Data'!BD81,"")</f>
        <v>0</v>
      </c>
      <c r="AL81">
        <f>IFERROR('Feeders Raw Data'!BF81-'Feeders Raw Data'!BF82,"")</f>
        <v>0</v>
      </c>
      <c r="AM81" t="str">
        <f>IFERROR(AVERAGE('Feeders Raw Data'!BF81:BF85),"")</f>
        <v/>
      </c>
      <c r="AN81" t="str">
        <f>IFERROR(SUMPRODUCT('Feeders Raw Data'!AZ81:AZ100,'Feeders Raw Data'!BE81:BE100)/SUM('Feeders Raw Data'!BE81:BE100),"")</f>
        <v/>
      </c>
      <c r="AO81">
        <f>IFERROR(SQRT((SUMSQ('Feeders Raw Data'!AZ81:AZ100)-2*SUMPRODUCT('Feeders Raw Data'!AZ81:AZ100,'Feeders Raw Data'!AZ82:AZ101)+SUMSQ('Feeders Raw Data'!AZ82:AZ101)-('Feeders Raw Data'!AZ81-'Feeders Raw Data'!AZ101)^2/20)/19),"")</f>
        <v>0</v>
      </c>
      <c r="AQ81">
        <f>IFERROR('Feeders Raw Data'!BI81,"")</f>
        <v>0</v>
      </c>
      <c r="AR81">
        <f>IFERROR('Feeders Raw Data'!BN81,"")</f>
        <v>0</v>
      </c>
      <c r="AS81">
        <f>IFERROR('Feeders Raw Data'!BP81-'Feeders Raw Data'!BP82,"")</f>
        <v>0</v>
      </c>
      <c r="AT81" t="str">
        <f>IFERROR(AVERAGE('Feeders Raw Data'!BP81:BP85),"")</f>
        <v/>
      </c>
      <c r="AU81" t="str">
        <f>IFERROR(SUMPRODUCT('Feeders Raw Data'!BJ81:BJ100,'Feeders Raw Data'!BO81:BO100)/SUM('Feeders Raw Data'!BO81:BO100),"")</f>
        <v/>
      </c>
      <c r="AV81">
        <f>IFERROR(SQRT((SUMSQ('Feeders Raw Data'!BJ81:BJ100)-2*SUMPRODUCT('Feeders Raw Data'!BJ81:BJ100,'Feeders Raw Data'!BJ82:BJ101)+SUMSQ('Feeders Raw Data'!BJ82:BJ101)-('Feeders Raw Data'!BJ81-'Feeders Raw Data'!BJ101)^2/20)/19),"")</f>
        <v>0</v>
      </c>
      <c r="AX81">
        <f>IFERROR('Feeders Raw Data'!BS81,"")</f>
        <v>0</v>
      </c>
      <c r="AY81">
        <f>IFERROR('Feeders Raw Data'!BX81,"")</f>
        <v>0</v>
      </c>
      <c r="AZ81">
        <f>IFERROR('Feeders Raw Data'!BZ81-'Feeders Raw Data'!BZ82,"")</f>
        <v>0</v>
      </c>
      <c r="BA81" t="str">
        <f>IFERROR(AVERAGE('Feeders Raw Data'!BZ81:BZ85),"")</f>
        <v/>
      </c>
      <c r="BB81" t="str">
        <f>IFERROR(SUMPRODUCT('Feeders Raw Data'!BT81:BT100,'Feeders Raw Data'!BY81:BY100)/SUM('Feeders Raw Data'!BY81:BY100),"")</f>
        <v/>
      </c>
      <c r="BC81">
        <f>IFERROR(SQRT((SUMSQ('Feeders Raw Data'!BT81:BT100)-2*SUMPRODUCT('Feeders Raw Data'!BT81:BT100,'Feeders Raw Data'!BT82:BT101)+SUMSQ('Feeders Raw Data'!BT82:BT101)-('Feeders Raw Data'!BT81-'Feeders Raw Data'!BT101)^2/20)/19),"")</f>
        <v>0</v>
      </c>
      <c r="BE81">
        <f>IFERROR('Fats Raw Data'!A81,"")</f>
        <v>0</v>
      </c>
      <c r="BF81">
        <f>IFERROR('Fats Raw Data'!F81,"")</f>
        <v>0</v>
      </c>
      <c r="BG81">
        <f>IFERROR('Fats Raw Data'!H81-'Fats Raw Data'!H82,"")</f>
        <v>0</v>
      </c>
      <c r="BH81" t="str">
        <f>IFERROR(AVERAGE('Fats Raw Data'!H81:H85),"")</f>
        <v/>
      </c>
      <c r="BI81" t="str">
        <f>IFERROR(SUMPRODUCT('Fats Raw Data'!B81:B100,'Fats Raw Data'!G81:G100)/SUM('Fats Raw Data'!G81:G100),"")</f>
        <v/>
      </c>
      <c r="BJ81">
        <f>IFERROR(SQRT((SUMSQ('Fats Raw Data'!B81:B100)-2*SUMPRODUCT('Fats Raw Data'!B81:B100,'Fats Raw Data'!B82:B101)+SUMSQ('Fats Raw Data'!B82:B101)-('Fats Raw Data'!B81-'Fats Raw Data'!B101)^2/20)/19),"")</f>
        <v>0</v>
      </c>
      <c r="BL81">
        <f>IFERROR('Fats Raw Data'!K81,"")</f>
        <v>0</v>
      </c>
      <c r="BM81">
        <f>IFERROR('Fats Raw Data'!P81,"")</f>
        <v>0</v>
      </c>
      <c r="BN81">
        <f>IFERROR('Fats Raw Data'!R81-'Fats Raw Data'!R82,"")</f>
        <v>0</v>
      </c>
      <c r="BO81" t="str">
        <f>IFERROR(AVERAGE('Fats Raw Data'!R81:R85),"")</f>
        <v/>
      </c>
      <c r="BP81" t="str">
        <f>IFERROR(SUMPRODUCT('Fats Raw Data'!L81:L100,'Fats Raw Data'!Q81:Q100)/SUM('Fats Raw Data'!Q81:Q100),"")</f>
        <v/>
      </c>
      <c r="BQ81">
        <f>IFERROR(SQRT((SUMSQ('Fats Raw Data'!L81:L100)-2*SUMPRODUCT('Fats Raw Data'!L81:L100,'Fats Raw Data'!L82:L101)+SUMSQ('Fats Raw Data'!L82:L101)-('Fats Raw Data'!L81-'Fats Raw Data'!L101)^2/20)/19),"")</f>
        <v>0</v>
      </c>
      <c r="BS81">
        <f>IFERROR('Fats Raw Data'!U81,"")</f>
        <v>0</v>
      </c>
      <c r="BT81">
        <f>IFERROR('Fats Raw Data'!Z81,"")</f>
        <v>0</v>
      </c>
      <c r="BU81">
        <f>IFERROR('Fats Raw Data'!AB81-'Fats Raw Data'!AB82,"")</f>
        <v>0</v>
      </c>
      <c r="BV81" t="str">
        <f>IFERROR(AVERAGE('Fats Raw Data'!AB81:AB85),"")</f>
        <v/>
      </c>
      <c r="BW81" t="str">
        <f>IFERROR(SUMPRODUCT('Fats Raw Data'!V81:V100,'Fats Raw Data'!AA81:AA100)/SUM('Fats Raw Data'!AA81:AA100),"")</f>
        <v/>
      </c>
      <c r="BX81">
        <f>IFERROR(SQRT((SUMSQ('Fats Raw Data'!V81:V100)-2*SUMPRODUCT('Fats Raw Data'!V81:V100,'Fats Raw Data'!V82:V101)+SUMSQ('Fats Raw Data'!V82:V101)-('Fats Raw Data'!V81-'Fats Raw Data'!V101)^2/20)/19),"")</f>
        <v>0</v>
      </c>
      <c r="BZ81">
        <f>IFERROR('Fats Raw Data'!AE81,"")</f>
        <v>0</v>
      </c>
      <c r="CA81">
        <f>IFERROR('Fats Raw Data'!AJ81,"")</f>
        <v>0</v>
      </c>
      <c r="CB81">
        <f>IFERROR('Fats Raw Data'!AL81-'Fats Raw Data'!AL82,"")</f>
        <v>0</v>
      </c>
      <c r="CC81" t="str">
        <f>IFERROR(AVERAGE('Fats Raw Data'!AL81:AL85),"")</f>
        <v/>
      </c>
      <c r="CD81" t="str">
        <f>IFERROR(SUMPRODUCT('Fats Raw Data'!AF81:AF100,'Fats Raw Data'!AK81:AK100)/SUM('Fats Raw Data'!AK81:AK100),"")</f>
        <v/>
      </c>
      <c r="CE81">
        <f>IFERROR(SQRT((SUMSQ('Fats Raw Data'!AF81:AF100)-2*SUMPRODUCT('Fats Raw Data'!AF81:AF100,'Fats Raw Data'!AF82:AF101)+SUMSQ('Fats Raw Data'!AF82:AF101)-('Fats Raw Data'!AF81-'Fats Raw Data'!AF101)^2/20)/19),"")</f>
        <v>0</v>
      </c>
      <c r="CG81">
        <f>IFERROR('Fats Raw Data'!AO81,"")</f>
        <v>0</v>
      </c>
      <c r="CH81">
        <f>IFERROR('Fats Raw Data'!AT81,"")</f>
        <v>0</v>
      </c>
      <c r="CI81">
        <f>IFERROR('Fats Raw Data'!AV81-'Fats Raw Data'!AV82,"")</f>
        <v>0</v>
      </c>
      <c r="CJ81" t="str">
        <f>IFERROR(AVERAGE('Fats Raw Data'!AV81:AV85),"")</f>
        <v/>
      </c>
      <c r="CK81" t="str">
        <f>IFERROR(SUMPRODUCT('Fats Raw Data'!AP81:AP100,'Fats Raw Data'!AU81:AU100)/SUM('Fats Raw Data'!AU81:AU100),"")</f>
        <v/>
      </c>
      <c r="CL81">
        <f>IFERROR(SQRT((SUMSQ('Fats Raw Data'!AP81:AP100)-2*SUMPRODUCT('Fats Raw Data'!AP81:AP100,'Fats Raw Data'!AP82:AP101)+SUMSQ('Fats Raw Data'!AP82:AP101)-('Fats Raw Data'!AP81-'Fats Raw Data'!AP101)^2/20)/19),"")</f>
        <v>0</v>
      </c>
      <c r="CN81">
        <f>IFERROR('Fats Raw Data'!AY81,"")</f>
        <v>0</v>
      </c>
      <c r="CO81">
        <f>IFERROR('Fats Raw Data'!BD81,"")</f>
        <v>0</v>
      </c>
      <c r="CP81">
        <f>IFERROR('Fats Raw Data'!BF81-'Fats Raw Data'!BF82,"")</f>
        <v>0</v>
      </c>
      <c r="CQ81" t="str">
        <f>IFERROR(AVERAGE('Fats Raw Data'!BF81:BF85),"")</f>
        <v/>
      </c>
      <c r="CR81" t="str">
        <f>IFERROR(SUMPRODUCT('Fats Raw Data'!AZ81:AZ100,'Fats Raw Data'!BE81:BE100)/SUM('Fats Raw Data'!BE81:BE100),"")</f>
        <v/>
      </c>
      <c r="CS81">
        <f>IFERROR(SQRT((SUMSQ('Fats Raw Data'!AZ81:AZ100)-2*SUMPRODUCT('Fats Raw Data'!AZ81:AZ100,'Fats Raw Data'!AZ82:AZ101)+SUMSQ('Fats Raw Data'!AZ82:AZ101)-('Fats Raw Data'!AZ81-'Fats Raw Data'!AZ101)^2/20)/19),"")</f>
        <v>0</v>
      </c>
    </row>
    <row r="82" spans="1:97" x14ac:dyDescent="0.25">
      <c r="A82">
        <f>IFERROR('Feeders Raw Data'!A82,"")</f>
        <v>0</v>
      </c>
      <c r="B82">
        <f>IFERROR('Feeders Raw Data'!F82,"")</f>
        <v>0</v>
      </c>
      <c r="C82">
        <f>IFERROR('Feeders Raw Data'!H82-'Feeders Raw Data'!H83,"")</f>
        <v>0</v>
      </c>
      <c r="D82" t="str">
        <f>IFERROR(AVERAGE('Feeders Raw Data'!H82:H86),"")</f>
        <v/>
      </c>
      <c r="E82" t="str">
        <f>IFERROR(SUMPRODUCT('Feeders Raw Data'!B82:B101,'Feeders Raw Data'!G82:G101)/SUM('Feeders Raw Data'!G82:G101),"")</f>
        <v/>
      </c>
      <c r="F82">
        <f>IFERROR(SQRT((SUMSQ('Feeders Raw Data'!B82:B101)-2*SUMPRODUCT('Feeders Raw Data'!B82:B101,'Feeders Raw Data'!B83:B102)+SUMSQ('Feeders Raw Data'!B83:B102)-('Feeders Raw Data'!B82-'Feeders Raw Data'!B102)^2/20)/19),"")</f>
        <v>0</v>
      </c>
      <c r="H82">
        <f>IFERROR('Feeders Raw Data'!K82,"")</f>
        <v>0</v>
      </c>
      <c r="I82">
        <f>IFERROR('Feeders Raw Data'!P82,"")</f>
        <v>0</v>
      </c>
      <c r="J82">
        <f>IFERROR('Feeders Raw Data'!R82-'Feeders Raw Data'!R83,"")</f>
        <v>0</v>
      </c>
      <c r="K82" t="str">
        <f>IFERROR(AVERAGE('Feeders Raw Data'!R82:R86),"")</f>
        <v/>
      </c>
      <c r="L82" t="str">
        <f>IFERROR(SUMPRODUCT('Feeders Raw Data'!L82:L101,'Feeders Raw Data'!Q82:Q101)/SUM('Feeders Raw Data'!Q82:Q101),"")</f>
        <v/>
      </c>
      <c r="M82">
        <f>IFERROR(SQRT((SUMSQ('Feeders Raw Data'!L82:L101)-2*SUMPRODUCT('Feeders Raw Data'!L82:L101,'Feeders Raw Data'!L83:L102)+SUMSQ('Feeders Raw Data'!L83:L102)-('Feeders Raw Data'!L82-'Feeders Raw Data'!L102)^2/20)/19),"")</f>
        <v>0</v>
      </c>
      <c r="O82">
        <f>IFERROR('Feeders Raw Data'!U82,"")</f>
        <v>0</v>
      </c>
      <c r="P82">
        <f>IFERROR('Feeders Raw Data'!Z82,"")</f>
        <v>0</v>
      </c>
      <c r="Q82">
        <f>IFERROR('Feeders Raw Data'!AB82-'Feeders Raw Data'!AB83,"")</f>
        <v>0</v>
      </c>
      <c r="R82" t="str">
        <f>IFERROR(AVERAGE('Feeders Raw Data'!AB82:AB86),"")</f>
        <v/>
      </c>
      <c r="S82" t="str">
        <f>IFERROR(SUMPRODUCT('Feeders Raw Data'!V82:V101,'Feeders Raw Data'!AA82:AA101)/SUM('Feeders Raw Data'!AA82:AA101),"")</f>
        <v/>
      </c>
      <c r="T82">
        <f>IFERROR(SQRT((SUMSQ('Feeders Raw Data'!V82:V101)-2*SUMPRODUCT('Feeders Raw Data'!V82:V101,'Feeders Raw Data'!V83:V102)+SUMSQ('Feeders Raw Data'!V83:V102)-('Feeders Raw Data'!V82-'Feeders Raw Data'!V102)^2/20)/19),"")</f>
        <v>0</v>
      </c>
      <c r="V82">
        <f>IFERROR('Feeders Raw Data'!AE82,"")</f>
        <v>0</v>
      </c>
      <c r="W82">
        <f>IFERROR('Feeders Raw Data'!AJ82,"")</f>
        <v>0</v>
      </c>
      <c r="X82">
        <f>IFERROR('Feeders Raw Data'!AL82-'Feeders Raw Data'!AL83,"")</f>
        <v>0</v>
      </c>
      <c r="Y82" t="str">
        <f>IFERROR(AVERAGE('Feeders Raw Data'!AL82:AL86),"")</f>
        <v/>
      </c>
      <c r="Z82" t="str">
        <f>IFERROR(SUMPRODUCT('Feeders Raw Data'!AF82:AF101,'Feeders Raw Data'!AK82:AK101)/SUM('Feeders Raw Data'!AK82:AK101),"")</f>
        <v/>
      </c>
      <c r="AA82">
        <f>IFERROR(SQRT((SUMSQ('Feeders Raw Data'!AF82:AF101)-2*SUMPRODUCT('Feeders Raw Data'!AF82:AF101,'Feeders Raw Data'!AF83:AF102)+SUMSQ('Feeders Raw Data'!AF83:AF102)-('Feeders Raw Data'!AF82-'Feeders Raw Data'!AF102)^2/20)/19),"")</f>
        <v>0</v>
      </c>
      <c r="AC82">
        <f>IFERROR('Feeders Raw Data'!AO82,"")</f>
        <v>0</v>
      </c>
      <c r="AD82">
        <f>IFERROR('Feeders Raw Data'!AT82,"")</f>
        <v>0</v>
      </c>
      <c r="AE82">
        <f>IFERROR('Feeders Raw Data'!AV82-'Feeders Raw Data'!AV83,"")</f>
        <v>0</v>
      </c>
      <c r="AF82" t="str">
        <f>IFERROR(AVERAGE('Feeders Raw Data'!AV82:AV86),"")</f>
        <v/>
      </c>
      <c r="AG82" t="str">
        <f>IFERROR(SUMPRODUCT('Feeders Raw Data'!AP82:AP101,'Feeders Raw Data'!AU82:AU101)/SUM('Feeders Raw Data'!AU82:AU101),"")</f>
        <v/>
      </c>
      <c r="AH82">
        <f>IFERROR(SQRT((SUMSQ('Feeders Raw Data'!AP82:AP101)-2*SUMPRODUCT('Feeders Raw Data'!AP82:AP101,'Feeders Raw Data'!AP83:AP102)+SUMSQ('Feeders Raw Data'!AP83:AP102)-('Feeders Raw Data'!AP82-'Feeders Raw Data'!AP102)^2/20)/19),"")</f>
        <v>0</v>
      </c>
      <c r="AJ82">
        <f>IFERROR('Feeders Raw Data'!AY82,"")</f>
        <v>0</v>
      </c>
      <c r="AK82">
        <f>IFERROR('Feeders Raw Data'!BD82,"")</f>
        <v>0</v>
      </c>
      <c r="AL82">
        <f>IFERROR('Feeders Raw Data'!BF82-'Feeders Raw Data'!BF83,"")</f>
        <v>0</v>
      </c>
      <c r="AM82" t="str">
        <f>IFERROR(AVERAGE('Feeders Raw Data'!BF82:BF86),"")</f>
        <v/>
      </c>
      <c r="AN82" t="str">
        <f>IFERROR(SUMPRODUCT('Feeders Raw Data'!AZ82:AZ101,'Feeders Raw Data'!BE82:BE101)/SUM('Feeders Raw Data'!BE82:BE101),"")</f>
        <v/>
      </c>
      <c r="AO82">
        <f>IFERROR(SQRT((SUMSQ('Feeders Raw Data'!AZ82:AZ101)-2*SUMPRODUCT('Feeders Raw Data'!AZ82:AZ101,'Feeders Raw Data'!AZ83:AZ102)+SUMSQ('Feeders Raw Data'!AZ83:AZ102)-('Feeders Raw Data'!AZ82-'Feeders Raw Data'!AZ102)^2/20)/19),"")</f>
        <v>0</v>
      </c>
      <c r="AQ82">
        <f>IFERROR('Feeders Raw Data'!BI82,"")</f>
        <v>0</v>
      </c>
      <c r="AR82">
        <f>IFERROR('Feeders Raw Data'!BN82,"")</f>
        <v>0</v>
      </c>
      <c r="AS82">
        <f>IFERROR('Feeders Raw Data'!BP82-'Feeders Raw Data'!BP83,"")</f>
        <v>0</v>
      </c>
      <c r="AT82" t="str">
        <f>IFERROR(AVERAGE('Feeders Raw Data'!BP82:BP86),"")</f>
        <v/>
      </c>
      <c r="AU82" t="str">
        <f>IFERROR(SUMPRODUCT('Feeders Raw Data'!BJ82:BJ101,'Feeders Raw Data'!BO82:BO101)/SUM('Feeders Raw Data'!BO82:BO101),"")</f>
        <v/>
      </c>
      <c r="AV82">
        <f>IFERROR(SQRT((SUMSQ('Feeders Raw Data'!BJ82:BJ101)-2*SUMPRODUCT('Feeders Raw Data'!BJ82:BJ101,'Feeders Raw Data'!BJ83:BJ102)+SUMSQ('Feeders Raw Data'!BJ83:BJ102)-('Feeders Raw Data'!BJ82-'Feeders Raw Data'!BJ102)^2/20)/19),"")</f>
        <v>0</v>
      </c>
      <c r="AX82">
        <f>IFERROR('Feeders Raw Data'!BS82,"")</f>
        <v>0</v>
      </c>
      <c r="AY82">
        <f>IFERROR('Feeders Raw Data'!BX82,"")</f>
        <v>0</v>
      </c>
      <c r="AZ82">
        <f>IFERROR('Feeders Raw Data'!BZ82-'Feeders Raw Data'!BZ83,"")</f>
        <v>0</v>
      </c>
      <c r="BA82" t="str">
        <f>IFERROR(AVERAGE('Feeders Raw Data'!BZ82:BZ86),"")</f>
        <v/>
      </c>
      <c r="BB82" t="str">
        <f>IFERROR(SUMPRODUCT('Feeders Raw Data'!BT82:BT101,'Feeders Raw Data'!BY82:BY101)/SUM('Feeders Raw Data'!BY82:BY101),"")</f>
        <v/>
      </c>
      <c r="BC82">
        <f>IFERROR(SQRT((SUMSQ('Feeders Raw Data'!BT82:BT101)-2*SUMPRODUCT('Feeders Raw Data'!BT82:BT101,'Feeders Raw Data'!BT83:BT102)+SUMSQ('Feeders Raw Data'!BT83:BT102)-('Feeders Raw Data'!BT82-'Feeders Raw Data'!BT102)^2/20)/19),"")</f>
        <v>0</v>
      </c>
      <c r="BE82">
        <f>IFERROR('Fats Raw Data'!A82,"")</f>
        <v>0</v>
      </c>
      <c r="BF82">
        <f>IFERROR('Fats Raw Data'!F82,"")</f>
        <v>0</v>
      </c>
      <c r="BG82">
        <f>IFERROR('Fats Raw Data'!H82-'Fats Raw Data'!H83,"")</f>
        <v>0</v>
      </c>
      <c r="BH82" t="str">
        <f>IFERROR(AVERAGE('Fats Raw Data'!H82:H86),"")</f>
        <v/>
      </c>
      <c r="BI82" t="str">
        <f>IFERROR(SUMPRODUCT('Fats Raw Data'!B82:B101,'Fats Raw Data'!G82:G101)/SUM('Fats Raw Data'!G82:G101),"")</f>
        <v/>
      </c>
      <c r="BJ82">
        <f>IFERROR(SQRT((SUMSQ('Fats Raw Data'!B82:B101)-2*SUMPRODUCT('Fats Raw Data'!B82:B101,'Fats Raw Data'!B83:B102)+SUMSQ('Fats Raw Data'!B83:B102)-('Fats Raw Data'!B82-'Fats Raw Data'!B102)^2/20)/19),"")</f>
        <v>0</v>
      </c>
      <c r="BL82">
        <f>IFERROR('Fats Raw Data'!K82,"")</f>
        <v>0</v>
      </c>
      <c r="BM82">
        <f>IFERROR('Fats Raw Data'!P82,"")</f>
        <v>0</v>
      </c>
      <c r="BN82">
        <f>IFERROR('Fats Raw Data'!R82-'Fats Raw Data'!R83,"")</f>
        <v>0</v>
      </c>
      <c r="BO82" t="str">
        <f>IFERROR(AVERAGE('Fats Raw Data'!R82:R86),"")</f>
        <v/>
      </c>
      <c r="BP82" t="str">
        <f>IFERROR(SUMPRODUCT('Fats Raw Data'!L82:L101,'Fats Raw Data'!Q82:Q101)/SUM('Fats Raw Data'!Q82:Q101),"")</f>
        <v/>
      </c>
      <c r="BQ82">
        <f>IFERROR(SQRT((SUMSQ('Fats Raw Data'!L82:L101)-2*SUMPRODUCT('Fats Raw Data'!L82:L101,'Fats Raw Data'!L83:L102)+SUMSQ('Fats Raw Data'!L83:L102)-('Fats Raw Data'!L82-'Fats Raw Data'!L102)^2/20)/19),"")</f>
        <v>0</v>
      </c>
      <c r="BS82">
        <f>IFERROR('Fats Raw Data'!U82,"")</f>
        <v>0</v>
      </c>
      <c r="BT82">
        <f>IFERROR('Fats Raw Data'!Z82,"")</f>
        <v>0</v>
      </c>
      <c r="BU82">
        <f>IFERROR('Fats Raw Data'!AB82-'Fats Raw Data'!AB83,"")</f>
        <v>0</v>
      </c>
      <c r="BV82" t="str">
        <f>IFERROR(AVERAGE('Fats Raw Data'!AB82:AB86),"")</f>
        <v/>
      </c>
      <c r="BW82" t="str">
        <f>IFERROR(SUMPRODUCT('Fats Raw Data'!V82:V101,'Fats Raw Data'!AA82:AA101)/SUM('Fats Raw Data'!AA82:AA101),"")</f>
        <v/>
      </c>
      <c r="BX82">
        <f>IFERROR(SQRT((SUMSQ('Fats Raw Data'!V82:V101)-2*SUMPRODUCT('Fats Raw Data'!V82:V101,'Fats Raw Data'!V83:V102)+SUMSQ('Fats Raw Data'!V83:V102)-('Fats Raw Data'!V82-'Fats Raw Data'!V102)^2/20)/19),"")</f>
        <v>0</v>
      </c>
      <c r="BZ82">
        <f>IFERROR('Fats Raw Data'!AE82,"")</f>
        <v>0</v>
      </c>
      <c r="CA82">
        <f>IFERROR('Fats Raw Data'!AJ82,"")</f>
        <v>0</v>
      </c>
      <c r="CB82">
        <f>IFERROR('Fats Raw Data'!AL82-'Fats Raw Data'!AL83,"")</f>
        <v>0</v>
      </c>
      <c r="CC82" t="str">
        <f>IFERROR(AVERAGE('Fats Raw Data'!AL82:AL86),"")</f>
        <v/>
      </c>
      <c r="CD82" t="str">
        <f>IFERROR(SUMPRODUCT('Fats Raw Data'!AF82:AF101,'Fats Raw Data'!AK82:AK101)/SUM('Fats Raw Data'!AK82:AK101),"")</f>
        <v/>
      </c>
      <c r="CE82">
        <f>IFERROR(SQRT((SUMSQ('Fats Raw Data'!AF82:AF101)-2*SUMPRODUCT('Fats Raw Data'!AF82:AF101,'Fats Raw Data'!AF83:AF102)+SUMSQ('Fats Raw Data'!AF83:AF102)-('Fats Raw Data'!AF82-'Fats Raw Data'!AF102)^2/20)/19),"")</f>
        <v>0</v>
      </c>
      <c r="CG82">
        <f>IFERROR('Fats Raw Data'!AO82,"")</f>
        <v>0</v>
      </c>
      <c r="CH82">
        <f>IFERROR('Fats Raw Data'!AT82,"")</f>
        <v>0</v>
      </c>
      <c r="CI82">
        <f>IFERROR('Fats Raw Data'!AV82-'Fats Raw Data'!AV83,"")</f>
        <v>0</v>
      </c>
      <c r="CJ82" t="str">
        <f>IFERROR(AVERAGE('Fats Raw Data'!AV82:AV86),"")</f>
        <v/>
      </c>
      <c r="CK82" t="str">
        <f>IFERROR(SUMPRODUCT('Fats Raw Data'!AP82:AP101,'Fats Raw Data'!AU82:AU101)/SUM('Fats Raw Data'!AU82:AU101),"")</f>
        <v/>
      </c>
      <c r="CL82">
        <f>IFERROR(SQRT((SUMSQ('Fats Raw Data'!AP82:AP101)-2*SUMPRODUCT('Fats Raw Data'!AP82:AP101,'Fats Raw Data'!AP83:AP102)+SUMSQ('Fats Raw Data'!AP83:AP102)-('Fats Raw Data'!AP82-'Fats Raw Data'!AP102)^2/20)/19),"")</f>
        <v>0</v>
      </c>
      <c r="CN82">
        <f>IFERROR('Fats Raw Data'!AY82,"")</f>
        <v>0</v>
      </c>
      <c r="CO82">
        <f>IFERROR('Fats Raw Data'!BD82,"")</f>
        <v>0</v>
      </c>
      <c r="CP82">
        <f>IFERROR('Fats Raw Data'!BF82-'Fats Raw Data'!BF83,"")</f>
        <v>0</v>
      </c>
      <c r="CQ82" t="str">
        <f>IFERROR(AVERAGE('Fats Raw Data'!BF82:BF86),"")</f>
        <v/>
      </c>
      <c r="CR82" t="str">
        <f>IFERROR(SUMPRODUCT('Fats Raw Data'!AZ82:AZ101,'Fats Raw Data'!BE82:BE101)/SUM('Fats Raw Data'!BE82:BE101),"")</f>
        <v/>
      </c>
      <c r="CS82">
        <f>IFERROR(SQRT((SUMSQ('Fats Raw Data'!AZ82:AZ101)-2*SUMPRODUCT('Fats Raw Data'!AZ82:AZ101,'Fats Raw Data'!AZ83:AZ102)+SUMSQ('Fats Raw Data'!AZ83:AZ102)-('Fats Raw Data'!AZ82-'Fats Raw Data'!AZ102)^2/20)/19),"")</f>
        <v>0</v>
      </c>
    </row>
    <row r="83" spans="1:97" x14ac:dyDescent="0.25">
      <c r="A83">
        <f>IFERROR('Feeders Raw Data'!A83,"")</f>
        <v>0</v>
      </c>
      <c r="B83">
        <f>IFERROR('Feeders Raw Data'!F83,"")</f>
        <v>0</v>
      </c>
      <c r="C83">
        <f>IFERROR('Feeders Raw Data'!H83-'Feeders Raw Data'!H84,"")</f>
        <v>0</v>
      </c>
      <c r="D83" t="str">
        <f>IFERROR(AVERAGE('Feeders Raw Data'!H83:H87),"")</f>
        <v/>
      </c>
      <c r="E83" t="str">
        <f>IFERROR(SUMPRODUCT('Feeders Raw Data'!B83:B102,'Feeders Raw Data'!G83:G102)/SUM('Feeders Raw Data'!G83:G102),"")</f>
        <v/>
      </c>
      <c r="F83">
        <f>IFERROR(SQRT((SUMSQ('Feeders Raw Data'!B83:B102)-2*SUMPRODUCT('Feeders Raw Data'!B83:B102,'Feeders Raw Data'!B84:B103)+SUMSQ('Feeders Raw Data'!B84:B103)-('Feeders Raw Data'!B83-'Feeders Raw Data'!B103)^2/20)/19),"")</f>
        <v>0</v>
      </c>
      <c r="H83">
        <f>IFERROR('Feeders Raw Data'!K83,"")</f>
        <v>0</v>
      </c>
      <c r="I83">
        <f>IFERROR('Feeders Raw Data'!P83,"")</f>
        <v>0</v>
      </c>
      <c r="J83">
        <f>IFERROR('Feeders Raw Data'!R83-'Feeders Raw Data'!R84,"")</f>
        <v>0</v>
      </c>
      <c r="K83" t="str">
        <f>IFERROR(AVERAGE('Feeders Raw Data'!R83:R87),"")</f>
        <v/>
      </c>
      <c r="L83" t="str">
        <f>IFERROR(SUMPRODUCT('Feeders Raw Data'!L83:L102,'Feeders Raw Data'!Q83:Q102)/SUM('Feeders Raw Data'!Q83:Q102),"")</f>
        <v/>
      </c>
      <c r="M83">
        <f>IFERROR(SQRT((SUMSQ('Feeders Raw Data'!L83:L102)-2*SUMPRODUCT('Feeders Raw Data'!L83:L102,'Feeders Raw Data'!L84:L103)+SUMSQ('Feeders Raw Data'!L84:L103)-('Feeders Raw Data'!L83-'Feeders Raw Data'!L103)^2/20)/19),"")</f>
        <v>0</v>
      </c>
      <c r="O83">
        <f>IFERROR('Feeders Raw Data'!U83,"")</f>
        <v>0</v>
      </c>
      <c r="P83">
        <f>IFERROR('Feeders Raw Data'!Z83,"")</f>
        <v>0</v>
      </c>
      <c r="Q83">
        <f>IFERROR('Feeders Raw Data'!AB83-'Feeders Raw Data'!AB84,"")</f>
        <v>0</v>
      </c>
      <c r="R83" t="str">
        <f>IFERROR(AVERAGE('Feeders Raw Data'!AB83:AB87),"")</f>
        <v/>
      </c>
      <c r="S83" t="str">
        <f>IFERROR(SUMPRODUCT('Feeders Raw Data'!V83:V102,'Feeders Raw Data'!AA83:AA102)/SUM('Feeders Raw Data'!AA83:AA102),"")</f>
        <v/>
      </c>
      <c r="T83">
        <f>IFERROR(SQRT((SUMSQ('Feeders Raw Data'!V83:V102)-2*SUMPRODUCT('Feeders Raw Data'!V83:V102,'Feeders Raw Data'!V84:V103)+SUMSQ('Feeders Raw Data'!V84:V103)-('Feeders Raw Data'!V83-'Feeders Raw Data'!V103)^2/20)/19),"")</f>
        <v>0</v>
      </c>
      <c r="V83">
        <f>IFERROR('Feeders Raw Data'!AE83,"")</f>
        <v>0</v>
      </c>
      <c r="W83">
        <f>IFERROR('Feeders Raw Data'!AJ83,"")</f>
        <v>0</v>
      </c>
      <c r="X83">
        <f>IFERROR('Feeders Raw Data'!AL83-'Feeders Raw Data'!AL84,"")</f>
        <v>0</v>
      </c>
      <c r="Y83" t="str">
        <f>IFERROR(AVERAGE('Feeders Raw Data'!AL83:AL87),"")</f>
        <v/>
      </c>
      <c r="Z83" t="str">
        <f>IFERROR(SUMPRODUCT('Feeders Raw Data'!AF83:AF102,'Feeders Raw Data'!AK83:AK102)/SUM('Feeders Raw Data'!AK83:AK102),"")</f>
        <v/>
      </c>
      <c r="AA83">
        <f>IFERROR(SQRT((SUMSQ('Feeders Raw Data'!AF83:AF102)-2*SUMPRODUCT('Feeders Raw Data'!AF83:AF102,'Feeders Raw Data'!AF84:AF103)+SUMSQ('Feeders Raw Data'!AF84:AF103)-('Feeders Raw Data'!AF83-'Feeders Raw Data'!AF103)^2/20)/19),"")</f>
        <v>0</v>
      </c>
      <c r="AC83">
        <f>IFERROR('Feeders Raw Data'!AO83,"")</f>
        <v>0</v>
      </c>
      <c r="AD83">
        <f>IFERROR('Feeders Raw Data'!AT83,"")</f>
        <v>0</v>
      </c>
      <c r="AE83">
        <f>IFERROR('Feeders Raw Data'!AV83-'Feeders Raw Data'!AV84,"")</f>
        <v>0</v>
      </c>
      <c r="AF83" t="str">
        <f>IFERROR(AVERAGE('Feeders Raw Data'!AV83:AV87),"")</f>
        <v/>
      </c>
      <c r="AG83" t="str">
        <f>IFERROR(SUMPRODUCT('Feeders Raw Data'!AP83:AP102,'Feeders Raw Data'!AU83:AU102)/SUM('Feeders Raw Data'!AU83:AU102),"")</f>
        <v/>
      </c>
      <c r="AH83">
        <f>IFERROR(SQRT((SUMSQ('Feeders Raw Data'!AP83:AP102)-2*SUMPRODUCT('Feeders Raw Data'!AP83:AP102,'Feeders Raw Data'!AP84:AP103)+SUMSQ('Feeders Raw Data'!AP84:AP103)-('Feeders Raw Data'!AP83-'Feeders Raw Data'!AP103)^2/20)/19),"")</f>
        <v>0</v>
      </c>
      <c r="AJ83">
        <f>IFERROR('Feeders Raw Data'!AY83,"")</f>
        <v>0</v>
      </c>
      <c r="AK83">
        <f>IFERROR('Feeders Raw Data'!BD83,"")</f>
        <v>0</v>
      </c>
      <c r="AL83">
        <f>IFERROR('Feeders Raw Data'!BF83-'Feeders Raw Data'!BF84,"")</f>
        <v>0</v>
      </c>
      <c r="AM83" t="str">
        <f>IFERROR(AVERAGE('Feeders Raw Data'!BF83:BF87),"")</f>
        <v/>
      </c>
      <c r="AN83" t="str">
        <f>IFERROR(SUMPRODUCT('Feeders Raw Data'!AZ83:AZ102,'Feeders Raw Data'!BE83:BE102)/SUM('Feeders Raw Data'!BE83:BE102),"")</f>
        <v/>
      </c>
      <c r="AO83">
        <f>IFERROR(SQRT((SUMSQ('Feeders Raw Data'!AZ83:AZ102)-2*SUMPRODUCT('Feeders Raw Data'!AZ83:AZ102,'Feeders Raw Data'!AZ84:AZ103)+SUMSQ('Feeders Raw Data'!AZ84:AZ103)-('Feeders Raw Data'!AZ83-'Feeders Raw Data'!AZ103)^2/20)/19),"")</f>
        <v>0</v>
      </c>
      <c r="AQ83">
        <f>IFERROR('Feeders Raw Data'!BI83,"")</f>
        <v>0</v>
      </c>
      <c r="AR83">
        <f>IFERROR('Feeders Raw Data'!BN83,"")</f>
        <v>0</v>
      </c>
      <c r="AS83">
        <f>IFERROR('Feeders Raw Data'!BP83-'Feeders Raw Data'!BP84,"")</f>
        <v>0</v>
      </c>
      <c r="AT83" t="str">
        <f>IFERROR(AVERAGE('Feeders Raw Data'!BP83:BP87),"")</f>
        <v/>
      </c>
      <c r="AU83" t="str">
        <f>IFERROR(SUMPRODUCT('Feeders Raw Data'!BJ83:BJ102,'Feeders Raw Data'!BO83:BO102)/SUM('Feeders Raw Data'!BO83:BO102),"")</f>
        <v/>
      </c>
      <c r="AV83">
        <f>IFERROR(SQRT((SUMSQ('Feeders Raw Data'!BJ83:BJ102)-2*SUMPRODUCT('Feeders Raw Data'!BJ83:BJ102,'Feeders Raw Data'!BJ84:BJ103)+SUMSQ('Feeders Raw Data'!BJ84:BJ103)-('Feeders Raw Data'!BJ83-'Feeders Raw Data'!BJ103)^2/20)/19),"")</f>
        <v>0</v>
      </c>
      <c r="AX83">
        <f>IFERROR('Feeders Raw Data'!BS83,"")</f>
        <v>0</v>
      </c>
      <c r="AY83">
        <f>IFERROR('Feeders Raw Data'!BX83,"")</f>
        <v>0</v>
      </c>
      <c r="AZ83">
        <f>IFERROR('Feeders Raw Data'!BZ83-'Feeders Raw Data'!BZ84,"")</f>
        <v>0</v>
      </c>
      <c r="BA83" t="str">
        <f>IFERROR(AVERAGE('Feeders Raw Data'!BZ83:BZ87),"")</f>
        <v/>
      </c>
      <c r="BB83" t="str">
        <f>IFERROR(SUMPRODUCT('Feeders Raw Data'!BT83:BT102,'Feeders Raw Data'!BY83:BY102)/SUM('Feeders Raw Data'!BY83:BY102),"")</f>
        <v/>
      </c>
      <c r="BC83">
        <f>IFERROR(SQRT((SUMSQ('Feeders Raw Data'!BT83:BT102)-2*SUMPRODUCT('Feeders Raw Data'!BT83:BT102,'Feeders Raw Data'!BT84:BT103)+SUMSQ('Feeders Raw Data'!BT84:BT103)-('Feeders Raw Data'!BT83-'Feeders Raw Data'!BT103)^2/20)/19),"")</f>
        <v>0</v>
      </c>
      <c r="BE83">
        <f>IFERROR('Fats Raw Data'!A83,"")</f>
        <v>0</v>
      </c>
      <c r="BF83">
        <f>IFERROR('Fats Raw Data'!F83,"")</f>
        <v>0</v>
      </c>
      <c r="BG83">
        <f>IFERROR('Fats Raw Data'!H83-'Fats Raw Data'!H84,"")</f>
        <v>0</v>
      </c>
      <c r="BH83" t="str">
        <f>IFERROR(AVERAGE('Fats Raw Data'!H83:H87),"")</f>
        <v/>
      </c>
      <c r="BI83" t="str">
        <f>IFERROR(SUMPRODUCT('Fats Raw Data'!B83:B102,'Fats Raw Data'!G83:G102)/SUM('Fats Raw Data'!G83:G102),"")</f>
        <v/>
      </c>
      <c r="BJ83">
        <f>IFERROR(SQRT((SUMSQ('Fats Raw Data'!B83:B102)-2*SUMPRODUCT('Fats Raw Data'!B83:B102,'Fats Raw Data'!B84:B103)+SUMSQ('Fats Raw Data'!B84:B103)-('Fats Raw Data'!B83-'Fats Raw Data'!B103)^2/20)/19),"")</f>
        <v>0</v>
      </c>
      <c r="BL83">
        <f>IFERROR('Fats Raw Data'!K83,"")</f>
        <v>0</v>
      </c>
      <c r="BM83">
        <f>IFERROR('Fats Raw Data'!P83,"")</f>
        <v>0</v>
      </c>
      <c r="BN83">
        <f>IFERROR('Fats Raw Data'!R83-'Fats Raw Data'!R84,"")</f>
        <v>0</v>
      </c>
      <c r="BO83" t="str">
        <f>IFERROR(AVERAGE('Fats Raw Data'!R83:R87),"")</f>
        <v/>
      </c>
      <c r="BP83" t="str">
        <f>IFERROR(SUMPRODUCT('Fats Raw Data'!L83:L102,'Fats Raw Data'!Q83:Q102)/SUM('Fats Raw Data'!Q83:Q102),"")</f>
        <v/>
      </c>
      <c r="BQ83">
        <f>IFERROR(SQRT((SUMSQ('Fats Raw Data'!L83:L102)-2*SUMPRODUCT('Fats Raw Data'!L83:L102,'Fats Raw Data'!L84:L103)+SUMSQ('Fats Raw Data'!L84:L103)-('Fats Raw Data'!L83-'Fats Raw Data'!L103)^2/20)/19),"")</f>
        <v>0</v>
      </c>
      <c r="BS83">
        <f>IFERROR('Fats Raw Data'!U83,"")</f>
        <v>0</v>
      </c>
      <c r="BT83">
        <f>IFERROR('Fats Raw Data'!Z83,"")</f>
        <v>0</v>
      </c>
      <c r="BU83">
        <f>IFERROR('Fats Raw Data'!AB83-'Fats Raw Data'!AB84,"")</f>
        <v>0</v>
      </c>
      <c r="BV83" t="str">
        <f>IFERROR(AVERAGE('Fats Raw Data'!AB83:AB87),"")</f>
        <v/>
      </c>
      <c r="BW83" t="str">
        <f>IFERROR(SUMPRODUCT('Fats Raw Data'!V83:V102,'Fats Raw Data'!AA83:AA102)/SUM('Fats Raw Data'!AA83:AA102),"")</f>
        <v/>
      </c>
      <c r="BX83">
        <f>IFERROR(SQRT((SUMSQ('Fats Raw Data'!V83:V102)-2*SUMPRODUCT('Fats Raw Data'!V83:V102,'Fats Raw Data'!V84:V103)+SUMSQ('Fats Raw Data'!V84:V103)-('Fats Raw Data'!V83-'Fats Raw Data'!V103)^2/20)/19),"")</f>
        <v>0</v>
      </c>
      <c r="BZ83">
        <f>IFERROR('Fats Raw Data'!AE83,"")</f>
        <v>0</v>
      </c>
      <c r="CA83">
        <f>IFERROR('Fats Raw Data'!AJ83,"")</f>
        <v>0</v>
      </c>
      <c r="CB83">
        <f>IFERROR('Fats Raw Data'!AL83-'Fats Raw Data'!AL84,"")</f>
        <v>0</v>
      </c>
      <c r="CC83" t="str">
        <f>IFERROR(AVERAGE('Fats Raw Data'!AL83:AL87),"")</f>
        <v/>
      </c>
      <c r="CD83" t="str">
        <f>IFERROR(SUMPRODUCT('Fats Raw Data'!AF83:AF102,'Fats Raw Data'!AK83:AK102)/SUM('Fats Raw Data'!AK83:AK102),"")</f>
        <v/>
      </c>
      <c r="CE83">
        <f>IFERROR(SQRT((SUMSQ('Fats Raw Data'!AF83:AF102)-2*SUMPRODUCT('Fats Raw Data'!AF83:AF102,'Fats Raw Data'!AF84:AF103)+SUMSQ('Fats Raw Data'!AF84:AF103)-('Fats Raw Data'!AF83-'Fats Raw Data'!AF103)^2/20)/19),"")</f>
        <v>0</v>
      </c>
      <c r="CG83">
        <f>IFERROR('Fats Raw Data'!AO83,"")</f>
        <v>0</v>
      </c>
      <c r="CH83">
        <f>IFERROR('Fats Raw Data'!AT83,"")</f>
        <v>0</v>
      </c>
      <c r="CI83">
        <f>IFERROR('Fats Raw Data'!AV83-'Fats Raw Data'!AV84,"")</f>
        <v>0</v>
      </c>
      <c r="CJ83" t="str">
        <f>IFERROR(AVERAGE('Fats Raw Data'!AV83:AV87),"")</f>
        <v/>
      </c>
      <c r="CK83" t="str">
        <f>IFERROR(SUMPRODUCT('Fats Raw Data'!AP83:AP102,'Fats Raw Data'!AU83:AU102)/SUM('Fats Raw Data'!AU83:AU102),"")</f>
        <v/>
      </c>
      <c r="CL83">
        <f>IFERROR(SQRT((SUMSQ('Fats Raw Data'!AP83:AP102)-2*SUMPRODUCT('Fats Raw Data'!AP83:AP102,'Fats Raw Data'!AP84:AP103)+SUMSQ('Fats Raw Data'!AP84:AP103)-('Fats Raw Data'!AP83-'Fats Raw Data'!AP103)^2/20)/19),"")</f>
        <v>0</v>
      </c>
      <c r="CN83">
        <f>IFERROR('Fats Raw Data'!AY83,"")</f>
        <v>0</v>
      </c>
      <c r="CO83">
        <f>IFERROR('Fats Raw Data'!BD83,"")</f>
        <v>0</v>
      </c>
      <c r="CP83">
        <f>IFERROR('Fats Raw Data'!BF83-'Fats Raw Data'!BF84,"")</f>
        <v>0</v>
      </c>
      <c r="CQ83" t="str">
        <f>IFERROR(AVERAGE('Fats Raw Data'!BF83:BF87),"")</f>
        <v/>
      </c>
      <c r="CR83" t="str">
        <f>IFERROR(SUMPRODUCT('Fats Raw Data'!AZ83:AZ102,'Fats Raw Data'!BE83:BE102)/SUM('Fats Raw Data'!BE83:BE102),"")</f>
        <v/>
      </c>
      <c r="CS83">
        <f>IFERROR(SQRT((SUMSQ('Fats Raw Data'!AZ83:AZ102)-2*SUMPRODUCT('Fats Raw Data'!AZ83:AZ102,'Fats Raw Data'!AZ84:AZ103)+SUMSQ('Fats Raw Data'!AZ84:AZ103)-('Fats Raw Data'!AZ83-'Fats Raw Data'!AZ103)^2/20)/19),"")</f>
        <v>0</v>
      </c>
    </row>
    <row r="84" spans="1:97" x14ac:dyDescent="0.25">
      <c r="A84">
        <f>IFERROR('Feeders Raw Data'!A84,"")</f>
        <v>0</v>
      </c>
      <c r="B84">
        <f>IFERROR('Feeders Raw Data'!F84,"")</f>
        <v>0</v>
      </c>
      <c r="C84">
        <f>IFERROR('Feeders Raw Data'!H84-'Feeders Raw Data'!H85,"")</f>
        <v>0</v>
      </c>
      <c r="D84" t="str">
        <f>IFERROR(AVERAGE('Feeders Raw Data'!H84:H88),"")</f>
        <v/>
      </c>
      <c r="E84" t="str">
        <f>IFERROR(SUMPRODUCT('Feeders Raw Data'!B84:B103,'Feeders Raw Data'!G84:G103)/SUM('Feeders Raw Data'!G84:G103),"")</f>
        <v/>
      </c>
      <c r="F84">
        <f>IFERROR(SQRT((SUMSQ('Feeders Raw Data'!B84:B103)-2*SUMPRODUCT('Feeders Raw Data'!B84:B103,'Feeders Raw Data'!B85:B104)+SUMSQ('Feeders Raw Data'!B85:B104)-('Feeders Raw Data'!B84-'Feeders Raw Data'!B104)^2/20)/19),"")</f>
        <v>0</v>
      </c>
      <c r="H84">
        <f>IFERROR('Feeders Raw Data'!K84,"")</f>
        <v>0</v>
      </c>
      <c r="I84">
        <f>IFERROR('Feeders Raw Data'!P84,"")</f>
        <v>0</v>
      </c>
      <c r="J84">
        <f>IFERROR('Feeders Raw Data'!R84-'Feeders Raw Data'!R85,"")</f>
        <v>0</v>
      </c>
      <c r="K84" t="str">
        <f>IFERROR(AVERAGE('Feeders Raw Data'!R84:R88),"")</f>
        <v/>
      </c>
      <c r="L84" t="str">
        <f>IFERROR(SUMPRODUCT('Feeders Raw Data'!L84:L103,'Feeders Raw Data'!Q84:Q103)/SUM('Feeders Raw Data'!Q84:Q103),"")</f>
        <v/>
      </c>
      <c r="M84">
        <f>IFERROR(SQRT((SUMSQ('Feeders Raw Data'!L84:L103)-2*SUMPRODUCT('Feeders Raw Data'!L84:L103,'Feeders Raw Data'!L85:L104)+SUMSQ('Feeders Raw Data'!L85:L104)-('Feeders Raw Data'!L84-'Feeders Raw Data'!L104)^2/20)/19),"")</f>
        <v>0</v>
      </c>
      <c r="O84">
        <f>IFERROR('Feeders Raw Data'!U84,"")</f>
        <v>0</v>
      </c>
      <c r="P84">
        <f>IFERROR('Feeders Raw Data'!Z84,"")</f>
        <v>0</v>
      </c>
      <c r="Q84">
        <f>IFERROR('Feeders Raw Data'!AB84-'Feeders Raw Data'!AB85,"")</f>
        <v>0</v>
      </c>
      <c r="R84" t="str">
        <f>IFERROR(AVERAGE('Feeders Raw Data'!AB84:AB88),"")</f>
        <v/>
      </c>
      <c r="S84" t="str">
        <f>IFERROR(SUMPRODUCT('Feeders Raw Data'!V84:V103,'Feeders Raw Data'!AA84:AA103)/SUM('Feeders Raw Data'!AA84:AA103),"")</f>
        <v/>
      </c>
      <c r="T84">
        <f>IFERROR(SQRT((SUMSQ('Feeders Raw Data'!V84:V103)-2*SUMPRODUCT('Feeders Raw Data'!V84:V103,'Feeders Raw Data'!V85:V104)+SUMSQ('Feeders Raw Data'!V85:V104)-('Feeders Raw Data'!V84-'Feeders Raw Data'!V104)^2/20)/19),"")</f>
        <v>0</v>
      </c>
      <c r="V84">
        <f>IFERROR('Feeders Raw Data'!AE84,"")</f>
        <v>0</v>
      </c>
      <c r="W84">
        <f>IFERROR('Feeders Raw Data'!AJ84,"")</f>
        <v>0</v>
      </c>
      <c r="X84">
        <f>IFERROR('Feeders Raw Data'!AL84-'Feeders Raw Data'!AL85,"")</f>
        <v>0</v>
      </c>
      <c r="Y84" t="str">
        <f>IFERROR(AVERAGE('Feeders Raw Data'!AL84:AL88),"")</f>
        <v/>
      </c>
      <c r="Z84" t="str">
        <f>IFERROR(SUMPRODUCT('Feeders Raw Data'!AF84:AF103,'Feeders Raw Data'!AK84:AK103)/SUM('Feeders Raw Data'!AK84:AK103),"")</f>
        <v/>
      </c>
      <c r="AA84">
        <f>IFERROR(SQRT((SUMSQ('Feeders Raw Data'!AF84:AF103)-2*SUMPRODUCT('Feeders Raw Data'!AF84:AF103,'Feeders Raw Data'!AF85:AF104)+SUMSQ('Feeders Raw Data'!AF85:AF104)-('Feeders Raw Data'!AF84-'Feeders Raw Data'!AF104)^2/20)/19),"")</f>
        <v>0</v>
      </c>
      <c r="AC84">
        <f>IFERROR('Feeders Raw Data'!AO84,"")</f>
        <v>0</v>
      </c>
      <c r="AD84">
        <f>IFERROR('Feeders Raw Data'!AT84,"")</f>
        <v>0</v>
      </c>
      <c r="AE84">
        <f>IFERROR('Feeders Raw Data'!AV84-'Feeders Raw Data'!AV85,"")</f>
        <v>0</v>
      </c>
      <c r="AF84" t="str">
        <f>IFERROR(AVERAGE('Feeders Raw Data'!AV84:AV88),"")</f>
        <v/>
      </c>
      <c r="AG84" t="str">
        <f>IFERROR(SUMPRODUCT('Feeders Raw Data'!AP84:AP103,'Feeders Raw Data'!AU84:AU103)/SUM('Feeders Raw Data'!AU84:AU103),"")</f>
        <v/>
      </c>
      <c r="AH84">
        <f>IFERROR(SQRT((SUMSQ('Feeders Raw Data'!AP84:AP103)-2*SUMPRODUCT('Feeders Raw Data'!AP84:AP103,'Feeders Raw Data'!AP85:AP104)+SUMSQ('Feeders Raw Data'!AP85:AP104)-('Feeders Raw Data'!AP84-'Feeders Raw Data'!AP104)^2/20)/19),"")</f>
        <v>0</v>
      </c>
      <c r="AJ84">
        <f>IFERROR('Feeders Raw Data'!AY84,"")</f>
        <v>0</v>
      </c>
      <c r="AK84">
        <f>IFERROR('Feeders Raw Data'!BD84,"")</f>
        <v>0</v>
      </c>
      <c r="AL84">
        <f>IFERROR('Feeders Raw Data'!BF84-'Feeders Raw Data'!BF85,"")</f>
        <v>0</v>
      </c>
      <c r="AM84" t="str">
        <f>IFERROR(AVERAGE('Feeders Raw Data'!BF84:BF88),"")</f>
        <v/>
      </c>
      <c r="AN84" t="str">
        <f>IFERROR(SUMPRODUCT('Feeders Raw Data'!AZ84:AZ103,'Feeders Raw Data'!BE84:BE103)/SUM('Feeders Raw Data'!BE84:BE103),"")</f>
        <v/>
      </c>
      <c r="AO84">
        <f>IFERROR(SQRT((SUMSQ('Feeders Raw Data'!AZ84:AZ103)-2*SUMPRODUCT('Feeders Raw Data'!AZ84:AZ103,'Feeders Raw Data'!AZ85:AZ104)+SUMSQ('Feeders Raw Data'!AZ85:AZ104)-('Feeders Raw Data'!AZ84-'Feeders Raw Data'!AZ104)^2/20)/19),"")</f>
        <v>0</v>
      </c>
      <c r="AQ84">
        <f>IFERROR('Feeders Raw Data'!BI84,"")</f>
        <v>0</v>
      </c>
      <c r="AR84">
        <f>IFERROR('Feeders Raw Data'!BN84,"")</f>
        <v>0</v>
      </c>
      <c r="AS84">
        <f>IFERROR('Feeders Raw Data'!BP84-'Feeders Raw Data'!BP85,"")</f>
        <v>0</v>
      </c>
      <c r="AT84" t="str">
        <f>IFERROR(AVERAGE('Feeders Raw Data'!BP84:BP88),"")</f>
        <v/>
      </c>
      <c r="AU84" t="str">
        <f>IFERROR(SUMPRODUCT('Feeders Raw Data'!BJ84:BJ103,'Feeders Raw Data'!BO84:BO103)/SUM('Feeders Raw Data'!BO84:BO103),"")</f>
        <v/>
      </c>
      <c r="AV84">
        <f>IFERROR(SQRT((SUMSQ('Feeders Raw Data'!BJ84:BJ103)-2*SUMPRODUCT('Feeders Raw Data'!BJ84:BJ103,'Feeders Raw Data'!BJ85:BJ104)+SUMSQ('Feeders Raw Data'!BJ85:BJ104)-('Feeders Raw Data'!BJ84-'Feeders Raw Data'!BJ104)^2/20)/19),"")</f>
        <v>0</v>
      </c>
      <c r="AX84">
        <f>IFERROR('Feeders Raw Data'!BS84,"")</f>
        <v>0</v>
      </c>
      <c r="AY84">
        <f>IFERROR('Feeders Raw Data'!BX84,"")</f>
        <v>0</v>
      </c>
      <c r="AZ84">
        <f>IFERROR('Feeders Raw Data'!BZ84-'Feeders Raw Data'!BZ85,"")</f>
        <v>0</v>
      </c>
      <c r="BA84" t="str">
        <f>IFERROR(AVERAGE('Feeders Raw Data'!BZ84:BZ88),"")</f>
        <v/>
      </c>
      <c r="BB84" t="str">
        <f>IFERROR(SUMPRODUCT('Feeders Raw Data'!BT84:BT103,'Feeders Raw Data'!BY84:BY103)/SUM('Feeders Raw Data'!BY84:BY103),"")</f>
        <v/>
      </c>
      <c r="BC84">
        <f>IFERROR(SQRT((SUMSQ('Feeders Raw Data'!BT84:BT103)-2*SUMPRODUCT('Feeders Raw Data'!BT84:BT103,'Feeders Raw Data'!BT85:BT104)+SUMSQ('Feeders Raw Data'!BT85:BT104)-('Feeders Raw Data'!BT84-'Feeders Raw Data'!BT104)^2/20)/19),"")</f>
        <v>0</v>
      </c>
      <c r="BE84">
        <f>IFERROR('Fats Raw Data'!A84,"")</f>
        <v>0</v>
      </c>
      <c r="BF84">
        <f>IFERROR('Fats Raw Data'!F84,"")</f>
        <v>0</v>
      </c>
      <c r="BG84">
        <f>IFERROR('Fats Raw Data'!H84-'Fats Raw Data'!H85,"")</f>
        <v>0</v>
      </c>
      <c r="BH84" t="str">
        <f>IFERROR(AVERAGE('Fats Raw Data'!H84:H88),"")</f>
        <v/>
      </c>
      <c r="BI84" t="str">
        <f>IFERROR(SUMPRODUCT('Fats Raw Data'!B84:B103,'Fats Raw Data'!G84:G103)/SUM('Fats Raw Data'!G84:G103),"")</f>
        <v/>
      </c>
      <c r="BJ84">
        <f>IFERROR(SQRT((SUMSQ('Fats Raw Data'!B84:B103)-2*SUMPRODUCT('Fats Raw Data'!B84:B103,'Fats Raw Data'!B85:B104)+SUMSQ('Fats Raw Data'!B85:B104)-('Fats Raw Data'!B84-'Fats Raw Data'!B104)^2/20)/19),"")</f>
        <v>0</v>
      </c>
      <c r="BL84">
        <f>IFERROR('Fats Raw Data'!K84,"")</f>
        <v>0</v>
      </c>
      <c r="BM84">
        <f>IFERROR('Fats Raw Data'!P84,"")</f>
        <v>0</v>
      </c>
      <c r="BN84">
        <f>IFERROR('Fats Raw Data'!R84-'Fats Raw Data'!R85,"")</f>
        <v>0</v>
      </c>
      <c r="BO84" t="str">
        <f>IFERROR(AVERAGE('Fats Raw Data'!R84:R88),"")</f>
        <v/>
      </c>
      <c r="BP84" t="str">
        <f>IFERROR(SUMPRODUCT('Fats Raw Data'!L84:L103,'Fats Raw Data'!Q84:Q103)/SUM('Fats Raw Data'!Q84:Q103),"")</f>
        <v/>
      </c>
      <c r="BQ84">
        <f>IFERROR(SQRT((SUMSQ('Fats Raw Data'!L84:L103)-2*SUMPRODUCT('Fats Raw Data'!L84:L103,'Fats Raw Data'!L85:L104)+SUMSQ('Fats Raw Data'!L85:L104)-('Fats Raw Data'!L84-'Fats Raw Data'!L104)^2/20)/19),"")</f>
        <v>0</v>
      </c>
      <c r="BS84">
        <f>IFERROR('Fats Raw Data'!U84,"")</f>
        <v>0</v>
      </c>
      <c r="BT84">
        <f>IFERROR('Fats Raw Data'!Z84,"")</f>
        <v>0</v>
      </c>
      <c r="BU84">
        <f>IFERROR('Fats Raw Data'!AB84-'Fats Raw Data'!AB85,"")</f>
        <v>0</v>
      </c>
      <c r="BV84" t="str">
        <f>IFERROR(AVERAGE('Fats Raw Data'!AB84:AB88),"")</f>
        <v/>
      </c>
      <c r="BW84" t="str">
        <f>IFERROR(SUMPRODUCT('Fats Raw Data'!V84:V103,'Fats Raw Data'!AA84:AA103)/SUM('Fats Raw Data'!AA84:AA103),"")</f>
        <v/>
      </c>
      <c r="BX84">
        <f>IFERROR(SQRT((SUMSQ('Fats Raw Data'!V84:V103)-2*SUMPRODUCT('Fats Raw Data'!V84:V103,'Fats Raw Data'!V85:V104)+SUMSQ('Fats Raw Data'!V85:V104)-('Fats Raw Data'!V84-'Fats Raw Data'!V104)^2/20)/19),"")</f>
        <v>0</v>
      </c>
      <c r="BZ84">
        <f>IFERROR('Fats Raw Data'!AE84,"")</f>
        <v>0</v>
      </c>
      <c r="CA84">
        <f>IFERROR('Fats Raw Data'!AJ84,"")</f>
        <v>0</v>
      </c>
      <c r="CB84">
        <f>IFERROR('Fats Raw Data'!AL84-'Fats Raw Data'!AL85,"")</f>
        <v>0</v>
      </c>
      <c r="CC84" t="str">
        <f>IFERROR(AVERAGE('Fats Raw Data'!AL84:AL88),"")</f>
        <v/>
      </c>
      <c r="CD84" t="str">
        <f>IFERROR(SUMPRODUCT('Fats Raw Data'!AF84:AF103,'Fats Raw Data'!AK84:AK103)/SUM('Fats Raw Data'!AK84:AK103),"")</f>
        <v/>
      </c>
      <c r="CE84">
        <f>IFERROR(SQRT((SUMSQ('Fats Raw Data'!AF84:AF103)-2*SUMPRODUCT('Fats Raw Data'!AF84:AF103,'Fats Raw Data'!AF85:AF104)+SUMSQ('Fats Raw Data'!AF85:AF104)-('Fats Raw Data'!AF84-'Fats Raw Data'!AF104)^2/20)/19),"")</f>
        <v>0</v>
      </c>
      <c r="CG84">
        <f>IFERROR('Fats Raw Data'!AO84,"")</f>
        <v>0</v>
      </c>
      <c r="CH84">
        <f>IFERROR('Fats Raw Data'!AT84,"")</f>
        <v>0</v>
      </c>
      <c r="CI84">
        <f>IFERROR('Fats Raw Data'!AV84-'Fats Raw Data'!AV85,"")</f>
        <v>0</v>
      </c>
      <c r="CJ84" t="str">
        <f>IFERROR(AVERAGE('Fats Raw Data'!AV84:AV88),"")</f>
        <v/>
      </c>
      <c r="CK84" t="str">
        <f>IFERROR(SUMPRODUCT('Fats Raw Data'!AP84:AP103,'Fats Raw Data'!AU84:AU103)/SUM('Fats Raw Data'!AU84:AU103),"")</f>
        <v/>
      </c>
      <c r="CL84">
        <f>IFERROR(SQRT((SUMSQ('Fats Raw Data'!AP84:AP103)-2*SUMPRODUCT('Fats Raw Data'!AP84:AP103,'Fats Raw Data'!AP85:AP104)+SUMSQ('Fats Raw Data'!AP85:AP104)-('Fats Raw Data'!AP84-'Fats Raw Data'!AP104)^2/20)/19),"")</f>
        <v>0</v>
      </c>
      <c r="CN84">
        <f>IFERROR('Fats Raw Data'!AY84,"")</f>
        <v>0</v>
      </c>
      <c r="CO84">
        <f>IFERROR('Fats Raw Data'!BD84,"")</f>
        <v>0</v>
      </c>
      <c r="CP84">
        <f>IFERROR('Fats Raw Data'!BF84-'Fats Raw Data'!BF85,"")</f>
        <v>0</v>
      </c>
      <c r="CQ84" t="str">
        <f>IFERROR(AVERAGE('Fats Raw Data'!BF84:BF88),"")</f>
        <v/>
      </c>
      <c r="CR84" t="str">
        <f>IFERROR(SUMPRODUCT('Fats Raw Data'!AZ84:AZ103,'Fats Raw Data'!BE84:BE103)/SUM('Fats Raw Data'!BE84:BE103),"")</f>
        <v/>
      </c>
      <c r="CS84">
        <f>IFERROR(SQRT((SUMSQ('Fats Raw Data'!AZ84:AZ103)-2*SUMPRODUCT('Fats Raw Data'!AZ84:AZ103,'Fats Raw Data'!AZ85:AZ104)+SUMSQ('Fats Raw Data'!AZ85:AZ104)-('Fats Raw Data'!AZ84-'Fats Raw Data'!AZ104)^2/20)/19),"")</f>
        <v>0</v>
      </c>
    </row>
    <row r="85" spans="1:97" x14ac:dyDescent="0.25">
      <c r="A85">
        <f>IFERROR('Feeders Raw Data'!A85,"")</f>
        <v>0</v>
      </c>
      <c r="B85">
        <f>IFERROR('Feeders Raw Data'!F85,"")</f>
        <v>0</v>
      </c>
      <c r="C85">
        <f>IFERROR('Feeders Raw Data'!H85-'Feeders Raw Data'!H86,"")</f>
        <v>0</v>
      </c>
      <c r="D85" t="str">
        <f>IFERROR(AVERAGE('Feeders Raw Data'!H85:H89),"")</f>
        <v/>
      </c>
      <c r="E85" t="str">
        <f>IFERROR(SUMPRODUCT('Feeders Raw Data'!B85:B104,'Feeders Raw Data'!G85:G104)/SUM('Feeders Raw Data'!G85:G104),"")</f>
        <v/>
      </c>
      <c r="F85">
        <f>IFERROR(SQRT((SUMSQ('Feeders Raw Data'!B85:B104)-2*SUMPRODUCT('Feeders Raw Data'!B85:B104,'Feeders Raw Data'!B86:B105)+SUMSQ('Feeders Raw Data'!B86:B105)-('Feeders Raw Data'!B85-'Feeders Raw Data'!B105)^2/20)/19),"")</f>
        <v>0</v>
      </c>
      <c r="H85">
        <f>IFERROR('Feeders Raw Data'!K85,"")</f>
        <v>0</v>
      </c>
      <c r="I85">
        <f>IFERROR('Feeders Raw Data'!P85,"")</f>
        <v>0</v>
      </c>
      <c r="J85">
        <f>IFERROR('Feeders Raw Data'!R85-'Feeders Raw Data'!R86,"")</f>
        <v>0</v>
      </c>
      <c r="K85" t="str">
        <f>IFERROR(AVERAGE('Feeders Raw Data'!R85:R89),"")</f>
        <v/>
      </c>
      <c r="L85" t="str">
        <f>IFERROR(SUMPRODUCT('Feeders Raw Data'!L85:L104,'Feeders Raw Data'!Q85:Q104)/SUM('Feeders Raw Data'!Q85:Q104),"")</f>
        <v/>
      </c>
      <c r="M85">
        <f>IFERROR(SQRT((SUMSQ('Feeders Raw Data'!L85:L104)-2*SUMPRODUCT('Feeders Raw Data'!L85:L104,'Feeders Raw Data'!L86:L105)+SUMSQ('Feeders Raw Data'!L86:L105)-('Feeders Raw Data'!L85-'Feeders Raw Data'!L105)^2/20)/19),"")</f>
        <v>0</v>
      </c>
      <c r="O85">
        <f>IFERROR('Feeders Raw Data'!U85,"")</f>
        <v>0</v>
      </c>
      <c r="P85">
        <f>IFERROR('Feeders Raw Data'!Z85,"")</f>
        <v>0</v>
      </c>
      <c r="Q85">
        <f>IFERROR('Feeders Raw Data'!AB85-'Feeders Raw Data'!AB86,"")</f>
        <v>0</v>
      </c>
      <c r="R85" t="str">
        <f>IFERROR(AVERAGE('Feeders Raw Data'!AB85:AB89),"")</f>
        <v/>
      </c>
      <c r="S85" t="str">
        <f>IFERROR(SUMPRODUCT('Feeders Raw Data'!V85:V104,'Feeders Raw Data'!AA85:AA104)/SUM('Feeders Raw Data'!AA85:AA104),"")</f>
        <v/>
      </c>
      <c r="T85">
        <f>IFERROR(SQRT((SUMSQ('Feeders Raw Data'!V85:V104)-2*SUMPRODUCT('Feeders Raw Data'!V85:V104,'Feeders Raw Data'!V86:V105)+SUMSQ('Feeders Raw Data'!V86:V105)-('Feeders Raw Data'!V85-'Feeders Raw Data'!V105)^2/20)/19),"")</f>
        <v>0</v>
      </c>
      <c r="V85">
        <f>IFERROR('Feeders Raw Data'!AE85,"")</f>
        <v>0</v>
      </c>
      <c r="W85">
        <f>IFERROR('Feeders Raw Data'!AJ85,"")</f>
        <v>0</v>
      </c>
      <c r="X85">
        <f>IFERROR('Feeders Raw Data'!AL85-'Feeders Raw Data'!AL86,"")</f>
        <v>0</v>
      </c>
      <c r="Y85" t="str">
        <f>IFERROR(AVERAGE('Feeders Raw Data'!AL85:AL89),"")</f>
        <v/>
      </c>
      <c r="Z85" t="str">
        <f>IFERROR(SUMPRODUCT('Feeders Raw Data'!AF85:AF104,'Feeders Raw Data'!AK85:AK104)/SUM('Feeders Raw Data'!AK85:AK104),"")</f>
        <v/>
      </c>
      <c r="AA85">
        <f>IFERROR(SQRT((SUMSQ('Feeders Raw Data'!AF85:AF104)-2*SUMPRODUCT('Feeders Raw Data'!AF85:AF104,'Feeders Raw Data'!AF86:AF105)+SUMSQ('Feeders Raw Data'!AF86:AF105)-('Feeders Raw Data'!AF85-'Feeders Raw Data'!AF105)^2/20)/19),"")</f>
        <v>0</v>
      </c>
      <c r="AC85">
        <f>IFERROR('Feeders Raw Data'!AO85,"")</f>
        <v>0</v>
      </c>
      <c r="AD85">
        <f>IFERROR('Feeders Raw Data'!AT85,"")</f>
        <v>0</v>
      </c>
      <c r="AE85">
        <f>IFERROR('Feeders Raw Data'!AV85-'Feeders Raw Data'!AV86,"")</f>
        <v>0</v>
      </c>
      <c r="AF85" t="str">
        <f>IFERROR(AVERAGE('Feeders Raw Data'!AV85:AV89),"")</f>
        <v/>
      </c>
      <c r="AG85" t="str">
        <f>IFERROR(SUMPRODUCT('Feeders Raw Data'!AP85:AP104,'Feeders Raw Data'!AU85:AU104)/SUM('Feeders Raw Data'!AU85:AU104),"")</f>
        <v/>
      </c>
      <c r="AH85">
        <f>IFERROR(SQRT((SUMSQ('Feeders Raw Data'!AP85:AP104)-2*SUMPRODUCT('Feeders Raw Data'!AP85:AP104,'Feeders Raw Data'!AP86:AP105)+SUMSQ('Feeders Raw Data'!AP86:AP105)-('Feeders Raw Data'!AP85-'Feeders Raw Data'!AP105)^2/20)/19),"")</f>
        <v>0</v>
      </c>
      <c r="AJ85">
        <f>IFERROR('Feeders Raw Data'!AY85,"")</f>
        <v>0</v>
      </c>
      <c r="AK85">
        <f>IFERROR('Feeders Raw Data'!BD85,"")</f>
        <v>0</v>
      </c>
      <c r="AL85">
        <f>IFERROR('Feeders Raw Data'!BF85-'Feeders Raw Data'!BF86,"")</f>
        <v>0</v>
      </c>
      <c r="AM85" t="str">
        <f>IFERROR(AVERAGE('Feeders Raw Data'!BF85:BF89),"")</f>
        <v/>
      </c>
      <c r="AN85" t="str">
        <f>IFERROR(SUMPRODUCT('Feeders Raw Data'!AZ85:AZ104,'Feeders Raw Data'!BE85:BE104)/SUM('Feeders Raw Data'!BE85:BE104),"")</f>
        <v/>
      </c>
      <c r="AO85">
        <f>IFERROR(SQRT((SUMSQ('Feeders Raw Data'!AZ85:AZ104)-2*SUMPRODUCT('Feeders Raw Data'!AZ85:AZ104,'Feeders Raw Data'!AZ86:AZ105)+SUMSQ('Feeders Raw Data'!AZ86:AZ105)-('Feeders Raw Data'!AZ85-'Feeders Raw Data'!AZ105)^2/20)/19),"")</f>
        <v>0</v>
      </c>
      <c r="AQ85">
        <f>IFERROR('Feeders Raw Data'!BI85,"")</f>
        <v>0</v>
      </c>
      <c r="AR85">
        <f>IFERROR('Feeders Raw Data'!BN85,"")</f>
        <v>0</v>
      </c>
      <c r="AS85">
        <f>IFERROR('Feeders Raw Data'!BP85-'Feeders Raw Data'!BP86,"")</f>
        <v>0</v>
      </c>
      <c r="AT85" t="str">
        <f>IFERROR(AVERAGE('Feeders Raw Data'!BP85:BP89),"")</f>
        <v/>
      </c>
      <c r="AU85" t="str">
        <f>IFERROR(SUMPRODUCT('Feeders Raw Data'!BJ85:BJ104,'Feeders Raw Data'!BO85:BO104)/SUM('Feeders Raw Data'!BO85:BO104),"")</f>
        <v/>
      </c>
      <c r="AV85">
        <f>IFERROR(SQRT((SUMSQ('Feeders Raw Data'!BJ85:BJ104)-2*SUMPRODUCT('Feeders Raw Data'!BJ85:BJ104,'Feeders Raw Data'!BJ86:BJ105)+SUMSQ('Feeders Raw Data'!BJ86:BJ105)-('Feeders Raw Data'!BJ85-'Feeders Raw Data'!BJ105)^2/20)/19),"")</f>
        <v>0</v>
      </c>
      <c r="AX85">
        <f>IFERROR('Feeders Raw Data'!BS85,"")</f>
        <v>0</v>
      </c>
      <c r="AY85">
        <f>IFERROR('Feeders Raw Data'!BX85,"")</f>
        <v>0</v>
      </c>
      <c r="AZ85">
        <f>IFERROR('Feeders Raw Data'!BZ85-'Feeders Raw Data'!BZ86,"")</f>
        <v>0</v>
      </c>
      <c r="BA85" t="str">
        <f>IFERROR(AVERAGE('Feeders Raw Data'!BZ85:BZ89),"")</f>
        <v/>
      </c>
      <c r="BB85" t="str">
        <f>IFERROR(SUMPRODUCT('Feeders Raw Data'!BT85:BT104,'Feeders Raw Data'!BY85:BY104)/SUM('Feeders Raw Data'!BY85:BY104),"")</f>
        <v/>
      </c>
      <c r="BC85">
        <f>IFERROR(SQRT((SUMSQ('Feeders Raw Data'!BT85:BT104)-2*SUMPRODUCT('Feeders Raw Data'!BT85:BT104,'Feeders Raw Data'!BT86:BT105)+SUMSQ('Feeders Raw Data'!BT86:BT105)-('Feeders Raw Data'!BT85-'Feeders Raw Data'!BT105)^2/20)/19),"")</f>
        <v>0</v>
      </c>
      <c r="BE85">
        <f>IFERROR('Fats Raw Data'!A85,"")</f>
        <v>0</v>
      </c>
      <c r="BF85">
        <f>IFERROR('Fats Raw Data'!F85,"")</f>
        <v>0</v>
      </c>
      <c r="BG85">
        <f>IFERROR('Fats Raw Data'!H85-'Fats Raw Data'!H86,"")</f>
        <v>0</v>
      </c>
      <c r="BH85" t="str">
        <f>IFERROR(AVERAGE('Fats Raw Data'!H85:H89),"")</f>
        <v/>
      </c>
      <c r="BI85" t="str">
        <f>IFERROR(SUMPRODUCT('Fats Raw Data'!B85:B104,'Fats Raw Data'!G85:G104)/SUM('Fats Raw Data'!G85:G104),"")</f>
        <v/>
      </c>
      <c r="BJ85">
        <f>IFERROR(SQRT((SUMSQ('Fats Raw Data'!B85:B104)-2*SUMPRODUCT('Fats Raw Data'!B85:B104,'Fats Raw Data'!B86:B105)+SUMSQ('Fats Raw Data'!B86:B105)-('Fats Raw Data'!B85-'Fats Raw Data'!B105)^2/20)/19),"")</f>
        <v>0</v>
      </c>
      <c r="BL85">
        <f>IFERROR('Fats Raw Data'!K85,"")</f>
        <v>0</v>
      </c>
      <c r="BM85">
        <f>IFERROR('Fats Raw Data'!P85,"")</f>
        <v>0</v>
      </c>
      <c r="BN85">
        <f>IFERROR('Fats Raw Data'!R85-'Fats Raw Data'!R86,"")</f>
        <v>0</v>
      </c>
      <c r="BO85" t="str">
        <f>IFERROR(AVERAGE('Fats Raw Data'!R85:R89),"")</f>
        <v/>
      </c>
      <c r="BP85" t="str">
        <f>IFERROR(SUMPRODUCT('Fats Raw Data'!L85:L104,'Fats Raw Data'!Q85:Q104)/SUM('Fats Raw Data'!Q85:Q104),"")</f>
        <v/>
      </c>
      <c r="BQ85">
        <f>IFERROR(SQRT((SUMSQ('Fats Raw Data'!L85:L104)-2*SUMPRODUCT('Fats Raw Data'!L85:L104,'Fats Raw Data'!L86:L105)+SUMSQ('Fats Raw Data'!L86:L105)-('Fats Raw Data'!L85-'Fats Raw Data'!L105)^2/20)/19),"")</f>
        <v>0</v>
      </c>
      <c r="BS85">
        <f>IFERROR('Fats Raw Data'!U85,"")</f>
        <v>0</v>
      </c>
      <c r="BT85">
        <f>IFERROR('Fats Raw Data'!Z85,"")</f>
        <v>0</v>
      </c>
      <c r="BU85">
        <f>IFERROR('Fats Raw Data'!AB85-'Fats Raw Data'!AB86,"")</f>
        <v>0</v>
      </c>
      <c r="BV85" t="str">
        <f>IFERROR(AVERAGE('Fats Raw Data'!AB85:AB89),"")</f>
        <v/>
      </c>
      <c r="BW85" t="str">
        <f>IFERROR(SUMPRODUCT('Fats Raw Data'!V85:V104,'Fats Raw Data'!AA85:AA104)/SUM('Fats Raw Data'!AA85:AA104),"")</f>
        <v/>
      </c>
      <c r="BX85">
        <f>IFERROR(SQRT((SUMSQ('Fats Raw Data'!V85:V104)-2*SUMPRODUCT('Fats Raw Data'!V85:V104,'Fats Raw Data'!V86:V105)+SUMSQ('Fats Raw Data'!V86:V105)-('Fats Raw Data'!V85-'Fats Raw Data'!V105)^2/20)/19),"")</f>
        <v>0</v>
      </c>
      <c r="BZ85">
        <f>IFERROR('Fats Raw Data'!AE85,"")</f>
        <v>0</v>
      </c>
      <c r="CA85">
        <f>IFERROR('Fats Raw Data'!AJ85,"")</f>
        <v>0</v>
      </c>
      <c r="CB85">
        <f>IFERROR('Fats Raw Data'!AL85-'Fats Raw Data'!AL86,"")</f>
        <v>0</v>
      </c>
      <c r="CC85" t="str">
        <f>IFERROR(AVERAGE('Fats Raw Data'!AL85:AL89),"")</f>
        <v/>
      </c>
      <c r="CD85" t="str">
        <f>IFERROR(SUMPRODUCT('Fats Raw Data'!AF85:AF104,'Fats Raw Data'!AK85:AK104)/SUM('Fats Raw Data'!AK85:AK104),"")</f>
        <v/>
      </c>
      <c r="CE85">
        <f>IFERROR(SQRT((SUMSQ('Fats Raw Data'!AF85:AF104)-2*SUMPRODUCT('Fats Raw Data'!AF85:AF104,'Fats Raw Data'!AF86:AF105)+SUMSQ('Fats Raw Data'!AF86:AF105)-('Fats Raw Data'!AF85-'Fats Raw Data'!AF105)^2/20)/19),"")</f>
        <v>0</v>
      </c>
      <c r="CG85">
        <f>IFERROR('Fats Raw Data'!AO85,"")</f>
        <v>0</v>
      </c>
      <c r="CH85">
        <f>IFERROR('Fats Raw Data'!AT85,"")</f>
        <v>0</v>
      </c>
      <c r="CI85">
        <f>IFERROR('Fats Raw Data'!AV85-'Fats Raw Data'!AV86,"")</f>
        <v>0</v>
      </c>
      <c r="CJ85" t="str">
        <f>IFERROR(AVERAGE('Fats Raw Data'!AV85:AV89),"")</f>
        <v/>
      </c>
      <c r="CK85" t="str">
        <f>IFERROR(SUMPRODUCT('Fats Raw Data'!AP85:AP104,'Fats Raw Data'!AU85:AU104)/SUM('Fats Raw Data'!AU85:AU104),"")</f>
        <v/>
      </c>
      <c r="CL85">
        <f>IFERROR(SQRT((SUMSQ('Fats Raw Data'!AP85:AP104)-2*SUMPRODUCT('Fats Raw Data'!AP85:AP104,'Fats Raw Data'!AP86:AP105)+SUMSQ('Fats Raw Data'!AP86:AP105)-('Fats Raw Data'!AP85-'Fats Raw Data'!AP105)^2/20)/19),"")</f>
        <v>0</v>
      </c>
      <c r="CN85">
        <f>IFERROR('Fats Raw Data'!AY85,"")</f>
        <v>0</v>
      </c>
      <c r="CO85">
        <f>IFERROR('Fats Raw Data'!BD85,"")</f>
        <v>0</v>
      </c>
      <c r="CP85">
        <f>IFERROR('Fats Raw Data'!BF85-'Fats Raw Data'!BF86,"")</f>
        <v>0</v>
      </c>
      <c r="CQ85" t="str">
        <f>IFERROR(AVERAGE('Fats Raw Data'!BF85:BF89),"")</f>
        <v/>
      </c>
      <c r="CR85" t="str">
        <f>IFERROR(SUMPRODUCT('Fats Raw Data'!AZ85:AZ104,'Fats Raw Data'!BE85:BE104)/SUM('Fats Raw Data'!BE85:BE104),"")</f>
        <v/>
      </c>
      <c r="CS85">
        <f>IFERROR(SQRT((SUMSQ('Fats Raw Data'!AZ85:AZ104)-2*SUMPRODUCT('Fats Raw Data'!AZ85:AZ104,'Fats Raw Data'!AZ86:AZ105)+SUMSQ('Fats Raw Data'!AZ86:AZ105)-('Fats Raw Data'!AZ85-'Fats Raw Data'!AZ105)^2/20)/19),"")</f>
        <v>0</v>
      </c>
    </row>
    <row r="86" spans="1:97" x14ac:dyDescent="0.25">
      <c r="A86">
        <f>IFERROR('Feeders Raw Data'!A86,"")</f>
        <v>0</v>
      </c>
      <c r="B86">
        <f>IFERROR('Feeders Raw Data'!F86,"")</f>
        <v>0</v>
      </c>
      <c r="C86">
        <f>IFERROR('Feeders Raw Data'!H86-'Feeders Raw Data'!H87,"")</f>
        <v>0</v>
      </c>
      <c r="D86" t="str">
        <f>IFERROR(AVERAGE('Feeders Raw Data'!H86:H90),"")</f>
        <v/>
      </c>
      <c r="E86" t="str">
        <f>IFERROR(SUMPRODUCT('Feeders Raw Data'!B86:B105,'Feeders Raw Data'!G86:G105)/SUM('Feeders Raw Data'!G86:G105),"")</f>
        <v/>
      </c>
      <c r="F86">
        <f>IFERROR(SQRT((SUMSQ('Feeders Raw Data'!B86:B105)-2*SUMPRODUCT('Feeders Raw Data'!B86:B105,'Feeders Raw Data'!B87:B106)+SUMSQ('Feeders Raw Data'!B87:B106)-('Feeders Raw Data'!B86-'Feeders Raw Data'!B106)^2/20)/19),"")</f>
        <v>0</v>
      </c>
      <c r="H86">
        <f>IFERROR('Feeders Raw Data'!K86,"")</f>
        <v>0</v>
      </c>
      <c r="I86">
        <f>IFERROR('Feeders Raw Data'!P86,"")</f>
        <v>0</v>
      </c>
      <c r="J86">
        <f>IFERROR('Feeders Raw Data'!R86-'Feeders Raw Data'!R87,"")</f>
        <v>0</v>
      </c>
      <c r="K86" t="str">
        <f>IFERROR(AVERAGE('Feeders Raw Data'!R86:R90),"")</f>
        <v/>
      </c>
      <c r="L86" t="str">
        <f>IFERROR(SUMPRODUCT('Feeders Raw Data'!L86:L105,'Feeders Raw Data'!Q86:Q105)/SUM('Feeders Raw Data'!Q86:Q105),"")</f>
        <v/>
      </c>
      <c r="M86">
        <f>IFERROR(SQRT((SUMSQ('Feeders Raw Data'!L86:L105)-2*SUMPRODUCT('Feeders Raw Data'!L86:L105,'Feeders Raw Data'!L87:L106)+SUMSQ('Feeders Raw Data'!L87:L106)-('Feeders Raw Data'!L86-'Feeders Raw Data'!L106)^2/20)/19),"")</f>
        <v>0</v>
      </c>
      <c r="O86">
        <f>IFERROR('Feeders Raw Data'!U86,"")</f>
        <v>0</v>
      </c>
      <c r="P86">
        <f>IFERROR('Feeders Raw Data'!Z86,"")</f>
        <v>0</v>
      </c>
      <c r="Q86">
        <f>IFERROR('Feeders Raw Data'!AB86-'Feeders Raw Data'!AB87,"")</f>
        <v>0</v>
      </c>
      <c r="R86" t="str">
        <f>IFERROR(AVERAGE('Feeders Raw Data'!AB86:AB90),"")</f>
        <v/>
      </c>
      <c r="S86" t="str">
        <f>IFERROR(SUMPRODUCT('Feeders Raw Data'!V86:V105,'Feeders Raw Data'!AA86:AA105)/SUM('Feeders Raw Data'!AA86:AA105),"")</f>
        <v/>
      </c>
      <c r="T86">
        <f>IFERROR(SQRT((SUMSQ('Feeders Raw Data'!V86:V105)-2*SUMPRODUCT('Feeders Raw Data'!V86:V105,'Feeders Raw Data'!V87:V106)+SUMSQ('Feeders Raw Data'!V87:V106)-('Feeders Raw Data'!V86-'Feeders Raw Data'!V106)^2/20)/19),"")</f>
        <v>0</v>
      </c>
      <c r="V86">
        <f>IFERROR('Feeders Raw Data'!AE86,"")</f>
        <v>0</v>
      </c>
      <c r="W86">
        <f>IFERROR('Feeders Raw Data'!AJ86,"")</f>
        <v>0</v>
      </c>
      <c r="X86">
        <f>IFERROR('Feeders Raw Data'!AL86-'Feeders Raw Data'!AL87,"")</f>
        <v>0</v>
      </c>
      <c r="Y86" t="str">
        <f>IFERROR(AVERAGE('Feeders Raw Data'!AL86:AL90),"")</f>
        <v/>
      </c>
      <c r="Z86" t="str">
        <f>IFERROR(SUMPRODUCT('Feeders Raw Data'!AF86:AF105,'Feeders Raw Data'!AK86:AK105)/SUM('Feeders Raw Data'!AK86:AK105),"")</f>
        <v/>
      </c>
      <c r="AA86">
        <f>IFERROR(SQRT((SUMSQ('Feeders Raw Data'!AF86:AF105)-2*SUMPRODUCT('Feeders Raw Data'!AF86:AF105,'Feeders Raw Data'!AF87:AF106)+SUMSQ('Feeders Raw Data'!AF87:AF106)-('Feeders Raw Data'!AF86-'Feeders Raw Data'!AF106)^2/20)/19),"")</f>
        <v>0</v>
      </c>
      <c r="AC86">
        <f>IFERROR('Feeders Raw Data'!AO86,"")</f>
        <v>0</v>
      </c>
      <c r="AD86">
        <f>IFERROR('Feeders Raw Data'!AT86,"")</f>
        <v>0</v>
      </c>
      <c r="AE86">
        <f>IFERROR('Feeders Raw Data'!AV86-'Feeders Raw Data'!AV87,"")</f>
        <v>0</v>
      </c>
      <c r="AF86" t="str">
        <f>IFERROR(AVERAGE('Feeders Raw Data'!AV86:AV90),"")</f>
        <v/>
      </c>
      <c r="AG86" t="str">
        <f>IFERROR(SUMPRODUCT('Feeders Raw Data'!AP86:AP105,'Feeders Raw Data'!AU86:AU105)/SUM('Feeders Raw Data'!AU86:AU105),"")</f>
        <v/>
      </c>
      <c r="AH86">
        <f>IFERROR(SQRT((SUMSQ('Feeders Raw Data'!AP86:AP105)-2*SUMPRODUCT('Feeders Raw Data'!AP86:AP105,'Feeders Raw Data'!AP87:AP106)+SUMSQ('Feeders Raw Data'!AP87:AP106)-('Feeders Raw Data'!AP86-'Feeders Raw Data'!AP106)^2/20)/19),"")</f>
        <v>0</v>
      </c>
      <c r="AJ86">
        <f>IFERROR('Feeders Raw Data'!AY86,"")</f>
        <v>0</v>
      </c>
      <c r="AK86">
        <f>IFERROR('Feeders Raw Data'!BD86,"")</f>
        <v>0</v>
      </c>
      <c r="AL86">
        <f>IFERROR('Feeders Raw Data'!BF86-'Feeders Raw Data'!BF87,"")</f>
        <v>0</v>
      </c>
      <c r="AM86" t="str">
        <f>IFERROR(AVERAGE('Feeders Raw Data'!BF86:BF90),"")</f>
        <v/>
      </c>
      <c r="AN86" t="str">
        <f>IFERROR(SUMPRODUCT('Feeders Raw Data'!AZ86:AZ105,'Feeders Raw Data'!BE86:BE105)/SUM('Feeders Raw Data'!BE86:BE105),"")</f>
        <v/>
      </c>
      <c r="AO86">
        <f>IFERROR(SQRT((SUMSQ('Feeders Raw Data'!AZ86:AZ105)-2*SUMPRODUCT('Feeders Raw Data'!AZ86:AZ105,'Feeders Raw Data'!AZ87:AZ106)+SUMSQ('Feeders Raw Data'!AZ87:AZ106)-('Feeders Raw Data'!AZ86-'Feeders Raw Data'!AZ106)^2/20)/19),"")</f>
        <v>0</v>
      </c>
      <c r="AQ86">
        <f>IFERROR('Feeders Raw Data'!BI86,"")</f>
        <v>0</v>
      </c>
      <c r="AR86">
        <f>IFERROR('Feeders Raw Data'!BN86,"")</f>
        <v>0</v>
      </c>
      <c r="AS86">
        <f>IFERROR('Feeders Raw Data'!BP86-'Feeders Raw Data'!BP87,"")</f>
        <v>0</v>
      </c>
      <c r="AT86" t="str">
        <f>IFERROR(AVERAGE('Feeders Raw Data'!BP86:BP90),"")</f>
        <v/>
      </c>
      <c r="AU86" t="str">
        <f>IFERROR(SUMPRODUCT('Feeders Raw Data'!BJ86:BJ105,'Feeders Raw Data'!BO86:BO105)/SUM('Feeders Raw Data'!BO86:BO105),"")</f>
        <v/>
      </c>
      <c r="AV86">
        <f>IFERROR(SQRT((SUMSQ('Feeders Raw Data'!BJ86:BJ105)-2*SUMPRODUCT('Feeders Raw Data'!BJ86:BJ105,'Feeders Raw Data'!BJ87:BJ106)+SUMSQ('Feeders Raw Data'!BJ87:BJ106)-('Feeders Raw Data'!BJ86-'Feeders Raw Data'!BJ106)^2/20)/19),"")</f>
        <v>0</v>
      </c>
      <c r="AX86">
        <f>IFERROR('Feeders Raw Data'!BS86,"")</f>
        <v>0</v>
      </c>
      <c r="AY86">
        <f>IFERROR('Feeders Raw Data'!BX86,"")</f>
        <v>0</v>
      </c>
      <c r="AZ86">
        <f>IFERROR('Feeders Raw Data'!BZ86-'Feeders Raw Data'!BZ87,"")</f>
        <v>0</v>
      </c>
      <c r="BA86" t="str">
        <f>IFERROR(AVERAGE('Feeders Raw Data'!BZ86:BZ90),"")</f>
        <v/>
      </c>
      <c r="BB86" t="str">
        <f>IFERROR(SUMPRODUCT('Feeders Raw Data'!BT86:BT105,'Feeders Raw Data'!BY86:BY105)/SUM('Feeders Raw Data'!BY86:BY105),"")</f>
        <v/>
      </c>
      <c r="BC86">
        <f>IFERROR(SQRT((SUMSQ('Feeders Raw Data'!BT86:BT105)-2*SUMPRODUCT('Feeders Raw Data'!BT86:BT105,'Feeders Raw Data'!BT87:BT106)+SUMSQ('Feeders Raw Data'!BT87:BT106)-('Feeders Raw Data'!BT86-'Feeders Raw Data'!BT106)^2/20)/19),"")</f>
        <v>0</v>
      </c>
      <c r="BE86">
        <f>IFERROR('Fats Raw Data'!A86,"")</f>
        <v>0</v>
      </c>
      <c r="BF86">
        <f>IFERROR('Fats Raw Data'!F86,"")</f>
        <v>0</v>
      </c>
      <c r="BG86">
        <f>IFERROR('Fats Raw Data'!H86-'Fats Raw Data'!H87,"")</f>
        <v>0</v>
      </c>
      <c r="BH86" t="str">
        <f>IFERROR(AVERAGE('Fats Raw Data'!H86:H90),"")</f>
        <v/>
      </c>
      <c r="BI86" t="str">
        <f>IFERROR(SUMPRODUCT('Fats Raw Data'!B86:B105,'Fats Raw Data'!G86:G105)/SUM('Fats Raw Data'!G86:G105),"")</f>
        <v/>
      </c>
      <c r="BJ86">
        <f>IFERROR(SQRT((SUMSQ('Fats Raw Data'!B86:B105)-2*SUMPRODUCT('Fats Raw Data'!B86:B105,'Fats Raw Data'!B87:B106)+SUMSQ('Fats Raw Data'!B87:B106)-('Fats Raw Data'!B86-'Fats Raw Data'!B106)^2/20)/19),"")</f>
        <v>0</v>
      </c>
      <c r="BL86">
        <f>IFERROR('Fats Raw Data'!K86,"")</f>
        <v>0</v>
      </c>
      <c r="BM86">
        <f>IFERROR('Fats Raw Data'!P86,"")</f>
        <v>0</v>
      </c>
      <c r="BN86">
        <f>IFERROR('Fats Raw Data'!R86-'Fats Raw Data'!R87,"")</f>
        <v>0</v>
      </c>
      <c r="BO86" t="str">
        <f>IFERROR(AVERAGE('Fats Raw Data'!R86:R90),"")</f>
        <v/>
      </c>
      <c r="BP86" t="str">
        <f>IFERROR(SUMPRODUCT('Fats Raw Data'!L86:L105,'Fats Raw Data'!Q86:Q105)/SUM('Fats Raw Data'!Q86:Q105),"")</f>
        <v/>
      </c>
      <c r="BQ86">
        <f>IFERROR(SQRT((SUMSQ('Fats Raw Data'!L86:L105)-2*SUMPRODUCT('Fats Raw Data'!L86:L105,'Fats Raw Data'!L87:L106)+SUMSQ('Fats Raw Data'!L87:L106)-('Fats Raw Data'!L86-'Fats Raw Data'!L106)^2/20)/19),"")</f>
        <v>0</v>
      </c>
      <c r="BS86">
        <f>IFERROR('Fats Raw Data'!U86,"")</f>
        <v>0</v>
      </c>
      <c r="BT86">
        <f>IFERROR('Fats Raw Data'!Z86,"")</f>
        <v>0</v>
      </c>
      <c r="BU86">
        <f>IFERROR('Fats Raw Data'!AB86-'Fats Raw Data'!AB87,"")</f>
        <v>0</v>
      </c>
      <c r="BV86" t="str">
        <f>IFERROR(AVERAGE('Fats Raw Data'!AB86:AB90),"")</f>
        <v/>
      </c>
      <c r="BW86" t="str">
        <f>IFERROR(SUMPRODUCT('Fats Raw Data'!V86:V105,'Fats Raw Data'!AA86:AA105)/SUM('Fats Raw Data'!AA86:AA105),"")</f>
        <v/>
      </c>
      <c r="BX86">
        <f>IFERROR(SQRT((SUMSQ('Fats Raw Data'!V86:V105)-2*SUMPRODUCT('Fats Raw Data'!V86:V105,'Fats Raw Data'!V87:V106)+SUMSQ('Fats Raw Data'!V87:V106)-('Fats Raw Data'!V86-'Fats Raw Data'!V106)^2/20)/19),"")</f>
        <v>0</v>
      </c>
      <c r="BZ86">
        <f>IFERROR('Fats Raw Data'!AE86,"")</f>
        <v>0</v>
      </c>
      <c r="CA86">
        <f>IFERROR('Fats Raw Data'!AJ86,"")</f>
        <v>0</v>
      </c>
      <c r="CB86">
        <f>IFERROR('Fats Raw Data'!AL86-'Fats Raw Data'!AL87,"")</f>
        <v>0</v>
      </c>
      <c r="CC86" t="str">
        <f>IFERROR(AVERAGE('Fats Raw Data'!AL86:AL90),"")</f>
        <v/>
      </c>
      <c r="CD86" t="str">
        <f>IFERROR(SUMPRODUCT('Fats Raw Data'!AF86:AF105,'Fats Raw Data'!AK86:AK105)/SUM('Fats Raw Data'!AK86:AK105),"")</f>
        <v/>
      </c>
      <c r="CE86">
        <f>IFERROR(SQRT((SUMSQ('Fats Raw Data'!AF86:AF105)-2*SUMPRODUCT('Fats Raw Data'!AF86:AF105,'Fats Raw Data'!AF87:AF106)+SUMSQ('Fats Raw Data'!AF87:AF106)-('Fats Raw Data'!AF86-'Fats Raw Data'!AF106)^2/20)/19),"")</f>
        <v>0</v>
      </c>
      <c r="CG86">
        <f>IFERROR('Fats Raw Data'!AO86,"")</f>
        <v>0</v>
      </c>
      <c r="CH86">
        <f>IFERROR('Fats Raw Data'!AT86,"")</f>
        <v>0</v>
      </c>
      <c r="CI86">
        <f>IFERROR('Fats Raw Data'!AV86-'Fats Raw Data'!AV87,"")</f>
        <v>0</v>
      </c>
      <c r="CJ86" t="str">
        <f>IFERROR(AVERAGE('Fats Raw Data'!AV86:AV90),"")</f>
        <v/>
      </c>
      <c r="CK86" t="str">
        <f>IFERROR(SUMPRODUCT('Fats Raw Data'!AP86:AP105,'Fats Raw Data'!AU86:AU105)/SUM('Fats Raw Data'!AU86:AU105),"")</f>
        <v/>
      </c>
      <c r="CL86">
        <f>IFERROR(SQRT((SUMSQ('Fats Raw Data'!AP86:AP105)-2*SUMPRODUCT('Fats Raw Data'!AP86:AP105,'Fats Raw Data'!AP87:AP106)+SUMSQ('Fats Raw Data'!AP87:AP106)-('Fats Raw Data'!AP86-'Fats Raw Data'!AP106)^2/20)/19),"")</f>
        <v>0</v>
      </c>
      <c r="CN86">
        <f>IFERROR('Fats Raw Data'!AY86,"")</f>
        <v>0</v>
      </c>
      <c r="CO86">
        <f>IFERROR('Fats Raw Data'!BD86,"")</f>
        <v>0</v>
      </c>
      <c r="CP86">
        <f>IFERROR('Fats Raw Data'!BF86-'Fats Raw Data'!BF87,"")</f>
        <v>0</v>
      </c>
      <c r="CQ86" t="str">
        <f>IFERROR(AVERAGE('Fats Raw Data'!BF86:BF90),"")</f>
        <v/>
      </c>
      <c r="CR86" t="str">
        <f>IFERROR(SUMPRODUCT('Fats Raw Data'!AZ86:AZ105,'Fats Raw Data'!BE86:BE105)/SUM('Fats Raw Data'!BE86:BE105),"")</f>
        <v/>
      </c>
      <c r="CS86">
        <f>IFERROR(SQRT((SUMSQ('Fats Raw Data'!AZ86:AZ105)-2*SUMPRODUCT('Fats Raw Data'!AZ86:AZ105,'Fats Raw Data'!AZ87:AZ106)+SUMSQ('Fats Raw Data'!AZ87:AZ106)-('Fats Raw Data'!AZ86-'Fats Raw Data'!AZ106)^2/20)/19),"")</f>
        <v>0</v>
      </c>
    </row>
    <row r="87" spans="1:97" x14ac:dyDescent="0.25">
      <c r="A87">
        <f>IFERROR('Feeders Raw Data'!A87,"")</f>
        <v>0</v>
      </c>
      <c r="B87">
        <f>IFERROR('Feeders Raw Data'!F87,"")</f>
        <v>0</v>
      </c>
      <c r="C87">
        <f>IFERROR('Feeders Raw Data'!H87-'Feeders Raw Data'!H88,"")</f>
        <v>0</v>
      </c>
      <c r="D87" t="str">
        <f>IFERROR(AVERAGE('Feeders Raw Data'!H87:H91),"")</f>
        <v/>
      </c>
      <c r="E87" t="str">
        <f>IFERROR(SUMPRODUCT('Feeders Raw Data'!B87:B106,'Feeders Raw Data'!G87:G106)/SUM('Feeders Raw Data'!G87:G106),"")</f>
        <v/>
      </c>
      <c r="F87">
        <f>IFERROR(SQRT((SUMSQ('Feeders Raw Data'!B87:B106)-2*SUMPRODUCT('Feeders Raw Data'!B87:B106,'Feeders Raw Data'!B88:B107)+SUMSQ('Feeders Raw Data'!B88:B107)-('Feeders Raw Data'!B87-'Feeders Raw Data'!B107)^2/20)/19),"")</f>
        <v>0</v>
      </c>
      <c r="H87">
        <f>IFERROR('Feeders Raw Data'!K87,"")</f>
        <v>0</v>
      </c>
      <c r="I87">
        <f>IFERROR('Feeders Raw Data'!P87,"")</f>
        <v>0</v>
      </c>
      <c r="J87">
        <f>IFERROR('Feeders Raw Data'!R87-'Feeders Raw Data'!R88,"")</f>
        <v>0</v>
      </c>
      <c r="K87" t="str">
        <f>IFERROR(AVERAGE('Feeders Raw Data'!R87:R91),"")</f>
        <v/>
      </c>
      <c r="L87" t="str">
        <f>IFERROR(SUMPRODUCT('Feeders Raw Data'!L87:L106,'Feeders Raw Data'!Q87:Q106)/SUM('Feeders Raw Data'!Q87:Q106),"")</f>
        <v/>
      </c>
      <c r="M87">
        <f>IFERROR(SQRT((SUMSQ('Feeders Raw Data'!L87:L106)-2*SUMPRODUCT('Feeders Raw Data'!L87:L106,'Feeders Raw Data'!L88:L107)+SUMSQ('Feeders Raw Data'!L88:L107)-('Feeders Raw Data'!L87-'Feeders Raw Data'!L107)^2/20)/19),"")</f>
        <v>0</v>
      </c>
      <c r="O87">
        <f>IFERROR('Feeders Raw Data'!U87,"")</f>
        <v>0</v>
      </c>
      <c r="P87">
        <f>IFERROR('Feeders Raw Data'!Z87,"")</f>
        <v>0</v>
      </c>
      <c r="Q87">
        <f>IFERROR('Feeders Raw Data'!AB87-'Feeders Raw Data'!AB88,"")</f>
        <v>0</v>
      </c>
      <c r="R87" t="str">
        <f>IFERROR(AVERAGE('Feeders Raw Data'!AB87:AB91),"")</f>
        <v/>
      </c>
      <c r="S87" t="str">
        <f>IFERROR(SUMPRODUCT('Feeders Raw Data'!V87:V106,'Feeders Raw Data'!AA87:AA106)/SUM('Feeders Raw Data'!AA87:AA106),"")</f>
        <v/>
      </c>
      <c r="T87">
        <f>IFERROR(SQRT((SUMSQ('Feeders Raw Data'!V87:V106)-2*SUMPRODUCT('Feeders Raw Data'!V87:V106,'Feeders Raw Data'!V88:V107)+SUMSQ('Feeders Raw Data'!V88:V107)-('Feeders Raw Data'!V87-'Feeders Raw Data'!V107)^2/20)/19),"")</f>
        <v>0</v>
      </c>
      <c r="V87">
        <f>IFERROR('Feeders Raw Data'!AE87,"")</f>
        <v>0</v>
      </c>
      <c r="W87">
        <f>IFERROR('Feeders Raw Data'!AJ87,"")</f>
        <v>0</v>
      </c>
      <c r="X87">
        <f>IFERROR('Feeders Raw Data'!AL87-'Feeders Raw Data'!AL88,"")</f>
        <v>0</v>
      </c>
      <c r="Y87" t="str">
        <f>IFERROR(AVERAGE('Feeders Raw Data'!AL87:AL91),"")</f>
        <v/>
      </c>
      <c r="Z87" t="str">
        <f>IFERROR(SUMPRODUCT('Feeders Raw Data'!AF87:AF106,'Feeders Raw Data'!AK87:AK106)/SUM('Feeders Raw Data'!AK87:AK106),"")</f>
        <v/>
      </c>
      <c r="AA87">
        <f>IFERROR(SQRT((SUMSQ('Feeders Raw Data'!AF87:AF106)-2*SUMPRODUCT('Feeders Raw Data'!AF87:AF106,'Feeders Raw Data'!AF88:AF107)+SUMSQ('Feeders Raw Data'!AF88:AF107)-('Feeders Raw Data'!AF87-'Feeders Raw Data'!AF107)^2/20)/19),"")</f>
        <v>0</v>
      </c>
      <c r="AC87">
        <f>IFERROR('Feeders Raw Data'!AO87,"")</f>
        <v>0</v>
      </c>
      <c r="AD87">
        <f>IFERROR('Feeders Raw Data'!AT87,"")</f>
        <v>0</v>
      </c>
      <c r="AE87">
        <f>IFERROR('Feeders Raw Data'!AV87-'Feeders Raw Data'!AV88,"")</f>
        <v>0</v>
      </c>
      <c r="AF87" t="str">
        <f>IFERROR(AVERAGE('Feeders Raw Data'!AV87:AV91),"")</f>
        <v/>
      </c>
      <c r="AG87" t="str">
        <f>IFERROR(SUMPRODUCT('Feeders Raw Data'!AP87:AP106,'Feeders Raw Data'!AU87:AU106)/SUM('Feeders Raw Data'!AU87:AU106),"")</f>
        <v/>
      </c>
      <c r="AH87">
        <f>IFERROR(SQRT((SUMSQ('Feeders Raw Data'!AP87:AP106)-2*SUMPRODUCT('Feeders Raw Data'!AP87:AP106,'Feeders Raw Data'!AP88:AP107)+SUMSQ('Feeders Raw Data'!AP88:AP107)-('Feeders Raw Data'!AP87-'Feeders Raw Data'!AP107)^2/20)/19),"")</f>
        <v>0</v>
      </c>
      <c r="AJ87">
        <f>IFERROR('Feeders Raw Data'!AY87,"")</f>
        <v>0</v>
      </c>
      <c r="AK87">
        <f>IFERROR('Feeders Raw Data'!BD87,"")</f>
        <v>0</v>
      </c>
      <c r="AL87">
        <f>IFERROR('Feeders Raw Data'!BF87-'Feeders Raw Data'!BF88,"")</f>
        <v>0</v>
      </c>
      <c r="AM87" t="str">
        <f>IFERROR(AVERAGE('Feeders Raw Data'!BF87:BF91),"")</f>
        <v/>
      </c>
      <c r="AN87" t="str">
        <f>IFERROR(SUMPRODUCT('Feeders Raw Data'!AZ87:AZ106,'Feeders Raw Data'!BE87:BE106)/SUM('Feeders Raw Data'!BE87:BE106),"")</f>
        <v/>
      </c>
      <c r="AO87">
        <f>IFERROR(SQRT((SUMSQ('Feeders Raw Data'!AZ87:AZ106)-2*SUMPRODUCT('Feeders Raw Data'!AZ87:AZ106,'Feeders Raw Data'!AZ88:AZ107)+SUMSQ('Feeders Raw Data'!AZ88:AZ107)-('Feeders Raw Data'!AZ87-'Feeders Raw Data'!AZ107)^2/20)/19),"")</f>
        <v>0</v>
      </c>
      <c r="AQ87">
        <f>IFERROR('Feeders Raw Data'!BI87,"")</f>
        <v>0</v>
      </c>
      <c r="AR87">
        <f>IFERROR('Feeders Raw Data'!BN87,"")</f>
        <v>0</v>
      </c>
      <c r="AS87">
        <f>IFERROR('Feeders Raw Data'!BP87-'Feeders Raw Data'!BP88,"")</f>
        <v>0</v>
      </c>
      <c r="AT87" t="str">
        <f>IFERROR(AVERAGE('Feeders Raw Data'!BP87:BP91),"")</f>
        <v/>
      </c>
      <c r="AU87" t="str">
        <f>IFERROR(SUMPRODUCT('Feeders Raw Data'!BJ87:BJ106,'Feeders Raw Data'!BO87:BO106)/SUM('Feeders Raw Data'!BO87:BO106),"")</f>
        <v/>
      </c>
      <c r="AV87">
        <f>IFERROR(SQRT((SUMSQ('Feeders Raw Data'!BJ87:BJ106)-2*SUMPRODUCT('Feeders Raw Data'!BJ87:BJ106,'Feeders Raw Data'!BJ88:BJ107)+SUMSQ('Feeders Raw Data'!BJ88:BJ107)-('Feeders Raw Data'!BJ87-'Feeders Raw Data'!BJ107)^2/20)/19),"")</f>
        <v>0</v>
      </c>
      <c r="AX87">
        <f>IFERROR('Feeders Raw Data'!BS87,"")</f>
        <v>0</v>
      </c>
      <c r="AY87">
        <f>IFERROR('Feeders Raw Data'!BX87,"")</f>
        <v>0</v>
      </c>
      <c r="AZ87">
        <f>IFERROR('Feeders Raw Data'!BZ87-'Feeders Raw Data'!BZ88,"")</f>
        <v>0</v>
      </c>
      <c r="BA87" t="str">
        <f>IFERROR(AVERAGE('Feeders Raw Data'!BZ87:BZ91),"")</f>
        <v/>
      </c>
      <c r="BB87" t="str">
        <f>IFERROR(SUMPRODUCT('Feeders Raw Data'!BT87:BT106,'Feeders Raw Data'!BY87:BY106)/SUM('Feeders Raw Data'!BY87:BY106),"")</f>
        <v/>
      </c>
      <c r="BC87">
        <f>IFERROR(SQRT((SUMSQ('Feeders Raw Data'!BT87:BT106)-2*SUMPRODUCT('Feeders Raw Data'!BT87:BT106,'Feeders Raw Data'!BT88:BT107)+SUMSQ('Feeders Raw Data'!BT88:BT107)-('Feeders Raw Data'!BT87-'Feeders Raw Data'!BT107)^2/20)/19),"")</f>
        <v>0</v>
      </c>
      <c r="BE87">
        <f>IFERROR('Fats Raw Data'!A87,"")</f>
        <v>0</v>
      </c>
      <c r="BF87">
        <f>IFERROR('Fats Raw Data'!F87,"")</f>
        <v>0</v>
      </c>
      <c r="BG87">
        <f>IFERROR('Fats Raw Data'!H87-'Fats Raw Data'!H88,"")</f>
        <v>0</v>
      </c>
      <c r="BH87" t="str">
        <f>IFERROR(AVERAGE('Fats Raw Data'!H87:H91),"")</f>
        <v/>
      </c>
      <c r="BI87" t="str">
        <f>IFERROR(SUMPRODUCT('Fats Raw Data'!B87:B106,'Fats Raw Data'!G87:G106)/SUM('Fats Raw Data'!G87:G106),"")</f>
        <v/>
      </c>
      <c r="BJ87">
        <f>IFERROR(SQRT((SUMSQ('Fats Raw Data'!B87:B106)-2*SUMPRODUCT('Fats Raw Data'!B87:B106,'Fats Raw Data'!B88:B107)+SUMSQ('Fats Raw Data'!B88:B107)-('Fats Raw Data'!B87-'Fats Raw Data'!B107)^2/20)/19),"")</f>
        <v>0</v>
      </c>
      <c r="BL87">
        <f>IFERROR('Fats Raw Data'!K87,"")</f>
        <v>0</v>
      </c>
      <c r="BM87">
        <f>IFERROR('Fats Raw Data'!P87,"")</f>
        <v>0</v>
      </c>
      <c r="BN87">
        <f>IFERROR('Fats Raw Data'!R87-'Fats Raw Data'!R88,"")</f>
        <v>0</v>
      </c>
      <c r="BO87" t="str">
        <f>IFERROR(AVERAGE('Fats Raw Data'!R87:R91),"")</f>
        <v/>
      </c>
      <c r="BP87" t="str">
        <f>IFERROR(SUMPRODUCT('Fats Raw Data'!L87:L106,'Fats Raw Data'!Q87:Q106)/SUM('Fats Raw Data'!Q87:Q106),"")</f>
        <v/>
      </c>
      <c r="BQ87">
        <f>IFERROR(SQRT((SUMSQ('Fats Raw Data'!L87:L106)-2*SUMPRODUCT('Fats Raw Data'!L87:L106,'Fats Raw Data'!L88:L107)+SUMSQ('Fats Raw Data'!L88:L107)-('Fats Raw Data'!L87-'Fats Raw Data'!L107)^2/20)/19),"")</f>
        <v>0</v>
      </c>
      <c r="BS87">
        <f>IFERROR('Fats Raw Data'!U87,"")</f>
        <v>0</v>
      </c>
      <c r="BT87">
        <f>IFERROR('Fats Raw Data'!Z87,"")</f>
        <v>0</v>
      </c>
      <c r="BU87">
        <f>IFERROR('Fats Raw Data'!AB87-'Fats Raw Data'!AB88,"")</f>
        <v>0</v>
      </c>
      <c r="BV87" t="str">
        <f>IFERROR(AVERAGE('Fats Raw Data'!AB87:AB91),"")</f>
        <v/>
      </c>
      <c r="BW87" t="str">
        <f>IFERROR(SUMPRODUCT('Fats Raw Data'!V87:V106,'Fats Raw Data'!AA87:AA106)/SUM('Fats Raw Data'!AA87:AA106),"")</f>
        <v/>
      </c>
      <c r="BX87">
        <f>IFERROR(SQRT((SUMSQ('Fats Raw Data'!V87:V106)-2*SUMPRODUCT('Fats Raw Data'!V87:V106,'Fats Raw Data'!V88:V107)+SUMSQ('Fats Raw Data'!V88:V107)-('Fats Raw Data'!V87-'Fats Raw Data'!V107)^2/20)/19),"")</f>
        <v>0</v>
      </c>
      <c r="BZ87">
        <f>IFERROR('Fats Raw Data'!AE87,"")</f>
        <v>0</v>
      </c>
      <c r="CA87">
        <f>IFERROR('Fats Raw Data'!AJ87,"")</f>
        <v>0</v>
      </c>
      <c r="CB87">
        <f>IFERROR('Fats Raw Data'!AL87-'Fats Raw Data'!AL88,"")</f>
        <v>0</v>
      </c>
      <c r="CC87" t="str">
        <f>IFERROR(AVERAGE('Fats Raw Data'!AL87:AL91),"")</f>
        <v/>
      </c>
      <c r="CD87" t="str">
        <f>IFERROR(SUMPRODUCT('Fats Raw Data'!AF87:AF106,'Fats Raw Data'!AK87:AK106)/SUM('Fats Raw Data'!AK87:AK106),"")</f>
        <v/>
      </c>
      <c r="CE87">
        <f>IFERROR(SQRT((SUMSQ('Fats Raw Data'!AF87:AF106)-2*SUMPRODUCT('Fats Raw Data'!AF87:AF106,'Fats Raw Data'!AF88:AF107)+SUMSQ('Fats Raw Data'!AF88:AF107)-('Fats Raw Data'!AF87-'Fats Raw Data'!AF107)^2/20)/19),"")</f>
        <v>0</v>
      </c>
      <c r="CG87">
        <f>IFERROR('Fats Raw Data'!AO87,"")</f>
        <v>0</v>
      </c>
      <c r="CH87">
        <f>IFERROR('Fats Raw Data'!AT87,"")</f>
        <v>0</v>
      </c>
      <c r="CI87">
        <f>IFERROR('Fats Raw Data'!AV87-'Fats Raw Data'!AV88,"")</f>
        <v>0</v>
      </c>
      <c r="CJ87" t="str">
        <f>IFERROR(AVERAGE('Fats Raw Data'!AV87:AV91),"")</f>
        <v/>
      </c>
      <c r="CK87" t="str">
        <f>IFERROR(SUMPRODUCT('Fats Raw Data'!AP87:AP106,'Fats Raw Data'!AU87:AU106)/SUM('Fats Raw Data'!AU87:AU106),"")</f>
        <v/>
      </c>
      <c r="CL87">
        <f>IFERROR(SQRT((SUMSQ('Fats Raw Data'!AP87:AP106)-2*SUMPRODUCT('Fats Raw Data'!AP87:AP106,'Fats Raw Data'!AP88:AP107)+SUMSQ('Fats Raw Data'!AP88:AP107)-('Fats Raw Data'!AP87-'Fats Raw Data'!AP107)^2/20)/19),"")</f>
        <v>0</v>
      </c>
      <c r="CN87">
        <f>IFERROR('Fats Raw Data'!AY87,"")</f>
        <v>0</v>
      </c>
      <c r="CO87">
        <f>IFERROR('Fats Raw Data'!BD87,"")</f>
        <v>0</v>
      </c>
      <c r="CP87">
        <f>IFERROR('Fats Raw Data'!BF87-'Fats Raw Data'!BF88,"")</f>
        <v>0</v>
      </c>
      <c r="CQ87" t="str">
        <f>IFERROR(AVERAGE('Fats Raw Data'!BF87:BF91),"")</f>
        <v/>
      </c>
      <c r="CR87" t="str">
        <f>IFERROR(SUMPRODUCT('Fats Raw Data'!AZ87:AZ106,'Fats Raw Data'!BE87:BE106)/SUM('Fats Raw Data'!BE87:BE106),"")</f>
        <v/>
      </c>
      <c r="CS87">
        <f>IFERROR(SQRT((SUMSQ('Fats Raw Data'!AZ87:AZ106)-2*SUMPRODUCT('Fats Raw Data'!AZ87:AZ106,'Fats Raw Data'!AZ88:AZ107)+SUMSQ('Fats Raw Data'!AZ88:AZ107)-('Fats Raw Data'!AZ87-'Fats Raw Data'!AZ107)^2/20)/19),"")</f>
        <v>0</v>
      </c>
    </row>
    <row r="88" spans="1:97" x14ac:dyDescent="0.25">
      <c r="A88">
        <f>IFERROR('Feeders Raw Data'!A88,"")</f>
        <v>0</v>
      </c>
      <c r="B88">
        <f>IFERROR('Feeders Raw Data'!F88,"")</f>
        <v>0</v>
      </c>
      <c r="C88">
        <f>IFERROR('Feeders Raw Data'!H88-'Feeders Raw Data'!H89,"")</f>
        <v>0</v>
      </c>
      <c r="D88" t="str">
        <f>IFERROR(AVERAGE('Feeders Raw Data'!H88:H92),"")</f>
        <v/>
      </c>
      <c r="E88" t="str">
        <f>IFERROR(SUMPRODUCT('Feeders Raw Data'!B88:B107,'Feeders Raw Data'!G88:G107)/SUM('Feeders Raw Data'!G88:G107),"")</f>
        <v/>
      </c>
      <c r="F88">
        <f>IFERROR(SQRT((SUMSQ('Feeders Raw Data'!B88:B107)-2*SUMPRODUCT('Feeders Raw Data'!B88:B107,'Feeders Raw Data'!B89:B108)+SUMSQ('Feeders Raw Data'!B89:B108)-('Feeders Raw Data'!B88-'Feeders Raw Data'!B108)^2/20)/19),"")</f>
        <v>0</v>
      </c>
      <c r="H88">
        <f>IFERROR('Feeders Raw Data'!K88,"")</f>
        <v>0</v>
      </c>
      <c r="I88">
        <f>IFERROR('Feeders Raw Data'!P88,"")</f>
        <v>0</v>
      </c>
      <c r="J88">
        <f>IFERROR('Feeders Raw Data'!R88-'Feeders Raw Data'!R89,"")</f>
        <v>0</v>
      </c>
      <c r="K88" t="str">
        <f>IFERROR(AVERAGE('Feeders Raw Data'!R88:R92),"")</f>
        <v/>
      </c>
      <c r="L88" t="str">
        <f>IFERROR(SUMPRODUCT('Feeders Raw Data'!L88:L107,'Feeders Raw Data'!Q88:Q107)/SUM('Feeders Raw Data'!Q88:Q107),"")</f>
        <v/>
      </c>
      <c r="M88">
        <f>IFERROR(SQRT((SUMSQ('Feeders Raw Data'!L88:L107)-2*SUMPRODUCT('Feeders Raw Data'!L88:L107,'Feeders Raw Data'!L89:L108)+SUMSQ('Feeders Raw Data'!L89:L108)-('Feeders Raw Data'!L88-'Feeders Raw Data'!L108)^2/20)/19),"")</f>
        <v>0</v>
      </c>
      <c r="O88">
        <f>IFERROR('Feeders Raw Data'!U88,"")</f>
        <v>0</v>
      </c>
      <c r="P88">
        <f>IFERROR('Feeders Raw Data'!Z88,"")</f>
        <v>0</v>
      </c>
      <c r="Q88">
        <f>IFERROR('Feeders Raw Data'!AB88-'Feeders Raw Data'!AB89,"")</f>
        <v>0</v>
      </c>
      <c r="R88" t="str">
        <f>IFERROR(AVERAGE('Feeders Raw Data'!AB88:AB92),"")</f>
        <v/>
      </c>
      <c r="S88" t="str">
        <f>IFERROR(SUMPRODUCT('Feeders Raw Data'!V88:V107,'Feeders Raw Data'!AA88:AA107)/SUM('Feeders Raw Data'!AA88:AA107),"")</f>
        <v/>
      </c>
      <c r="T88">
        <f>IFERROR(SQRT((SUMSQ('Feeders Raw Data'!V88:V107)-2*SUMPRODUCT('Feeders Raw Data'!V88:V107,'Feeders Raw Data'!V89:V108)+SUMSQ('Feeders Raw Data'!V89:V108)-('Feeders Raw Data'!V88-'Feeders Raw Data'!V108)^2/20)/19),"")</f>
        <v>0</v>
      </c>
      <c r="V88">
        <f>IFERROR('Feeders Raw Data'!AE88,"")</f>
        <v>0</v>
      </c>
      <c r="W88">
        <f>IFERROR('Feeders Raw Data'!AJ88,"")</f>
        <v>0</v>
      </c>
      <c r="X88">
        <f>IFERROR('Feeders Raw Data'!AL88-'Feeders Raw Data'!AL89,"")</f>
        <v>0</v>
      </c>
      <c r="Y88" t="str">
        <f>IFERROR(AVERAGE('Feeders Raw Data'!AL88:AL92),"")</f>
        <v/>
      </c>
      <c r="Z88" t="str">
        <f>IFERROR(SUMPRODUCT('Feeders Raw Data'!AF88:AF107,'Feeders Raw Data'!AK88:AK107)/SUM('Feeders Raw Data'!AK88:AK107),"")</f>
        <v/>
      </c>
      <c r="AA88">
        <f>IFERROR(SQRT((SUMSQ('Feeders Raw Data'!AF88:AF107)-2*SUMPRODUCT('Feeders Raw Data'!AF88:AF107,'Feeders Raw Data'!AF89:AF108)+SUMSQ('Feeders Raw Data'!AF89:AF108)-('Feeders Raw Data'!AF88-'Feeders Raw Data'!AF108)^2/20)/19),"")</f>
        <v>0</v>
      </c>
      <c r="AC88">
        <f>IFERROR('Feeders Raw Data'!AO88,"")</f>
        <v>0</v>
      </c>
      <c r="AD88">
        <f>IFERROR('Feeders Raw Data'!AT88,"")</f>
        <v>0</v>
      </c>
      <c r="AE88">
        <f>IFERROR('Feeders Raw Data'!AV88-'Feeders Raw Data'!AV89,"")</f>
        <v>0</v>
      </c>
      <c r="AF88" t="str">
        <f>IFERROR(AVERAGE('Feeders Raw Data'!AV88:AV92),"")</f>
        <v/>
      </c>
      <c r="AG88" t="str">
        <f>IFERROR(SUMPRODUCT('Feeders Raw Data'!AP88:AP107,'Feeders Raw Data'!AU88:AU107)/SUM('Feeders Raw Data'!AU88:AU107),"")</f>
        <v/>
      </c>
      <c r="AH88">
        <f>IFERROR(SQRT((SUMSQ('Feeders Raw Data'!AP88:AP107)-2*SUMPRODUCT('Feeders Raw Data'!AP88:AP107,'Feeders Raw Data'!AP89:AP108)+SUMSQ('Feeders Raw Data'!AP89:AP108)-('Feeders Raw Data'!AP88-'Feeders Raw Data'!AP108)^2/20)/19),"")</f>
        <v>0</v>
      </c>
      <c r="AJ88">
        <f>IFERROR('Feeders Raw Data'!AY88,"")</f>
        <v>0</v>
      </c>
      <c r="AK88">
        <f>IFERROR('Feeders Raw Data'!BD88,"")</f>
        <v>0</v>
      </c>
      <c r="AL88">
        <f>IFERROR('Feeders Raw Data'!BF88-'Feeders Raw Data'!BF89,"")</f>
        <v>0</v>
      </c>
      <c r="AM88" t="str">
        <f>IFERROR(AVERAGE('Feeders Raw Data'!BF88:BF92),"")</f>
        <v/>
      </c>
      <c r="AN88" t="str">
        <f>IFERROR(SUMPRODUCT('Feeders Raw Data'!AZ88:AZ107,'Feeders Raw Data'!BE88:BE107)/SUM('Feeders Raw Data'!BE88:BE107),"")</f>
        <v/>
      </c>
      <c r="AO88">
        <f>IFERROR(SQRT((SUMSQ('Feeders Raw Data'!AZ88:AZ107)-2*SUMPRODUCT('Feeders Raw Data'!AZ88:AZ107,'Feeders Raw Data'!AZ89:AZ108)+SUMSQ('Feeders Raw Data'!AZ89:AZ108)-('Feeders Raw Data'!AZ88-'Feeders Raw Data'!AZ108)^2/20)/19),"")</f>
        <v>0</v>
      </c>
      <c r="AQ88">
        <f>IFERROR('Feeders Raw Data'!BI88,"")</f>
        <v>0</v>
      </c>
      <c r="AR88">
        <f>IFERROR('Feeders Raw Data'!BN88,"")</f>
        <v>0</v>
      </c>
      <c r="AS88">
        <f>IFERROR('Feeders Raw Data'!BP88-'Feeders Raw Data'!BP89,"")</f>
        <v>0</v>
      </c>
      <c r="AT88" t="str">
        <f>IFERROR(AVERAGE('Feeders Raw Data'!BP88:BP92),"")</f>
        <v/>
      </c>
      <c r="AU88" t="str">
        <f>IFERROR(SUMPRODUCT('Feeders Raw Data'!BJ88:BJ107,'Feeders Raw Data'!BO88:BO107)/SUM('Feeders Raw Data'!BO88:BO107),"")</f>
        <v/>
      </c>
      <c r="AV88">
        <f>IFERROR(SQRT((SUMSQ('Feeders Raw Data'!BJ88:BJ107)-2*SUMPRODUCT('Feeders Raw Data'!BJ88:BJ107,'Feeders Raw Data'!BJ89:BJ108)+SUMSQ('Feeders Raw Data'!BJ89:BJ108)-('Feeders Raw Data'!BJ88-'Feeders Raw Data'!BJ108)^2/20)/19),"")</f>
        <v>0</v>
      </c>
      <c r="AX88">
        <f>IFERROR('Feeders Raw Data'!BS88,"")</f>
        <v>0</v>
      </c>
      <c r="AY88">
        <f>IFERROR('Feeders Raw Data'!BX88,"")</f>
        <v>0</v>
      </c>
      <c r="AZ88">
        <f>IFERROR('Feeders Raw Data'!BZ88-'Feeders Raw Data'!BZ89,"")</f>
        <v>0</v>
      </c>
      <c r="BA88" t="str">
        <f>IFERROR(AVERAGE('Feeders Raw Data'!BZ88:BZ92),"")</f>
        <v/>
      </c>
      <c r="BB88" t="str">
        <f>IFERROR(SUMPRODUCT('Feeders Raw Data'!BT88:BT107,'Feeders Raw Data'!BY88:BY107)/SUM('Feeders Raw Data'!BY88:BY107),"")</f>
        <v/>
      </c>
      <c r="BC88">
        <f>IFERROR(SQRT((SUMSQ('Feeders Raw Data'!BT88:BT107)-2*SUMPRODUCT('Feeders Raw Data'!BT88:BT107,'Feeders Raw Data'!BT89:BT108)+SUMSQ('Feeders Raw Data'!BT89:BT108)-('Feeders Raw Data'!BT88-'Feeders Raw Data'!BT108)^2/20)/19),"")</f>
        <v>0</v>
      </c>
      <c r="BE88">
        <f>IFERROR('Fats Raw Data'!A88,"")</f>
        <v>0</v>
      </c>
      <c r="BF88">
        <f>IFERROR('Fats Raw Data'!F88,"")</f>
        <v>0</v>
      </c>
      <c r="BG88">
        <f>IFERROR('Fats Raw Data'!H88-'Fats Raw Data'!H89,"")</f>
        <v>0</v>
      </c>
      <c r="BH88" t="str">
        <f>IFERROR(AVERAGE('Fats Raw Data'!H88:H92),"")</f>
        <v/>
      </c>
      <c r="BI88" t="str">
        <f>IFERROR(SUMPRODUCT('Fats Raw Data'!B88:B107,'Fats Raw Data'!G88:G107)/SUM('Fats Raw Data'!G88:G107),"")</f>
        <v/>
      </c>
      <c r="BJ88">
        <f>IFERROR(SQRT((SUMSQ('Fats Raw Data'!B88:B107)-2*SUMPRODUCT('Fats Raw Data'!B88:B107,'Fats Raw Data'!B89:B108)+SUMSQ('Fats Raw Data'!B89:B108)-('Fats Raw Data'!B88-'Fats Raw Data'!B108)^2/20)/19),"")</f>
        <v>0</v>
      </c>
      <c r="BL88">
        <f>IFERROR('Fats Raw Data'!K88,"")</f>
        <v>0</v>
      </c>
      <c r="BM88">
        <f>IFERROR('Fats Raw Data'!P88,"")</f>
        <v>0</v>
      </c>
      <c r="BN88">
        <f>IFERROR('Fats Raw Data'!R88-'Fats Raw Data'!R89,"")</f>
        <v>0</v>
      </c>
      <c r="BO88" t="str">
        <f>IFERROR(AVERAGE('Fats Raw Data'!R88:R92),"")</f>
        <v/>
      </c>
      <c r="BP88" t="str">
        <f>IFERROR(SUMPRODUCT('Fats Raw Data'!L88:L107,'Fats Raw Data'!Q88:Q107)/SUM('Fats Raw Data'!Q88:Q107),"")</f>
        <v/>
      </c>
      <c r="BQ88">
        <f>IFERROR(SQRT((SUMSQ('Fats Raw Data'!L88:L107)-2*SUMPRODUCT('Fats Raw Data'!L88:L107,'Fats Raw Data'!L89:L108)+SUMSQ('Fats Raw Data'!L89:L108)-('Fats Raw Data'!L88-'Fats Raw Data'!L108)^2/20)/19),"")</f>
        <v>0</v>
      </c>
      <c r="BS88">
        <f>IFERROR('Fats Raw Data'!U88,"")</f>
        <v>0</v>
      </c>
      <c r="BT88">
        <f>IFERROR('Fats Raw Data'!Z88,"")</f>
        <v>0</v>
      </c>
      <c r="BU88">
        <f>IFERROR('Fats Raw Data'!AB88-'Fats Raw Data'!AB89,"")</f>
        <v>0</v>
      </c>
      <c r="BV88" t="str">
        <f>IFERROR(AVERAGE('Fats Raw Data'!AB88:AB92),"")</f>
        <v/>
      </c>
      <c r="BW88" t="str">
        <f>IFERROR(SUMPRODUCT('Fats Raw Data'!V88:V107,'Fats Raw Data'!AA88:AA107)/SUM('Fats Raw Data'!AA88:AA107),"")</f>
        <v/>
      </c>
      <c r="BX88">
        <f>IFERROR(SQRT((SUMSQ('Fats Raw Data'!V88:V107)-2*SUMPRODUCT('Fats Raw Data'!V88:V107,'Fats Raw Data'!V89:V108)+SUMSQ('Fats Raw Data'!V89:V108)-('Fats Raw Data'!V88-'Fats Raw Data'!V108)^2/20)/19),"")</f>
        <v>0</v>
      </c>
      <c r="BZ88">
        <f>IFERROR('Fats Raw Data'!AE88,"")</f>
        <v>0</v>
      </c>
      <c r="CA88">
        <f>IFERROR('Fats Raw Data'!AJ88,"")</f>
        <v>0</v>
      </c>
      <c r="CB88">
        <f>IFERROR('Fats Raw Data'!AL88-'Fats Raw Data'!AL89,"")</f>
        <v>0</v>
      </c>
      <c r="CC88" t="str">
        <f>IFERROR(AVERAGE('Fats Raw Data'!AL88:AL92),"")</f>
        <v/>
      </c>
      <c r="CD88" t="str">
        <f>IFERROR(SUMPRODUCT('Fats Raw Data'!AF88:AF107,'Fats Raw Data'!AK88:AK107)/SUM('Fats Raw Data'!AK88:AK107),"")</f>
        <v/>
      </c>
      <c r="CE88">
        <f>IFERROR(SQRT((SUMSQ('Fats Raw Data'!AF88:AF107)-2*SUMPRODUCT('Fats Raw Data'!AF88:AF107,'Fats Raw Data'!AF89:AF108)+SUMSQ('Fats Raw Data'!AF89:AF108)-('Fats Raw Data'!AF88-'Fats Raw Data'!AF108)^2/20)/19),"")</f>
        <v>0</v>
      </c>
      <c r="CG88">
        <f>IFERROR('Fats Raw Data'!AO88,"")</f>
        <v>0</v>
      </c>
      <c r="CH88">
        <f>IFERROR('Fats Raw Data'!AT88,"")</f>
        <v>0</v>
      </c>
      <c r="CI88">
        <f>IFERROR('Fats Raw Data'!AV88-'Fats Raw Data'!AV89,"")</f>
        <v>0</v>
      </c>
      <c r="CJ88" t="str">
        <f>IFERROR(AVERAGE('Fats Raw Data'!AV88:AV92),"")</f>
        <v/>
      </c>
      <c r="CK88" t="str">
        <f>IFERROR(SUMPRODUCT('Fats Raw Data'!AP88:AP107,'Fats Raw Data'!AU88:AU107)/SUM('Fats Raw Data'!AU88:AU107),"")</f>
        <v/>
      </c>
      <c r="CL88">
        <f>IFERROR(SQRT((SUMSQ('Fats Raw Data'!AP88:AP107)-2*SUMPRODUCT('Fats Raw Data'!AP88:AP107,'Fats Raw Data'!AP89:AP108)+SUMSQ('Fats Raw Data'!AP89:AP108)-('Fats Raw Data'!AP88-'Fats Raw Data'!AP108)^2/20)/19),"")</f>
        <v>0</v>
      </c>
      <c r="CN88">
        <f>IFERROR('Fats Raw Data'!AY88,"")</f>
        <v>0</v>
      </c>
      <c r="CO88">
        <f>IFERROR('Fats Raw Data'!BD88,"")</f>
        <v>0</v>
      </c>
      <c r="CP88">
        <f>IFERROR('Fats Raw Data'!BF88-'Fats Raw Data'!BF89,"")</f>
        <v>0</v>
      </c>
      <c r="CQ88" t="str">
        <f>IFERROR(AVERAGE('Fats Raw Data'!BF88:BF92),"")</f>
        <v/>
      </c>
      <c r="CR88" t="str">
        <f>IFERROR(SUMPRODUCT('Fats Raw Data'!AZ88:AZ107,'Fats Raw Data'!BE88:BE107)/SUM('Fats Raw Data'!BE88:BE107),"")</f>
        <v/>
      </c>
      <c r="CS88">
        <f>IFERROR(SQRT((SUMSQ('Fats Raw Data'!AZ88:AZ107)-2*SUMPRODUCT('Fats Raw Data'!AZ88:AZ107,'Fats Raw Data'!AZ89:AZ108)+SUMSQ('Fats Raw Data'!AZ89:AZ108)-('Fats Raw Data'!AZ88-'Fats Raw Data'!AZ108)^2/20)/19),"")</f>
        <v>0</v>
      </c>
    </row>
    <row r="89" spans="1:97" x14ac:dyDescent="0.25">
      <c r="A89">
        <f>IFERROR('Feeders Raw Data'!A89,"")</f>
        <v>0</v>
      </c>
      <c r="B89">
        <f>IFERROR('Feeders Raw Data'!F89,"")</f>
        <v>0</v>
      </c>
      <c r="C89">
        <f>IFERROR('Feeders Raw Data'!H89-'Feeders Raw Data'!H90,"")</f>
        <v>0</v>
      </c>
      <c r="D89" t="str">
        <f>IFERROR(AVERAGE('Feeders Raw Data'!H89:H93),"")</f>
        <v/>
      </c>
      <c r="E89" t="str">
        <f>IFERROR(SUMPRODUCT('Feeders Raw Data'!B89:B108,'Feeders Raw Data'!G89:G108)/SUM('Feeders Raw Data'!G89:G108),"")</f>
        <v/>
      </c>
      <c r="F89">
        <f>IFERROR(SQRT((SUMSQ('Feeders Raw Data'!B89:B108)-2*SUMPRODUCT('Feeders Raw Data'!B89:B108,'Feeders Raw Data'!B90:B109)+SUMSQ('Feeders Raw Data'!B90:B109)-('Feeders Raw Data'!B89-'Feeders Raw Data'!B109)^2/20)/19),"")</f>
        <v>0</v>
      </c>
      <c r="H89">
        <f>IFERROR('Feeders Raw Data'!K89,"")</f>
        <v>0</v>
      </c>
      <c r="I89">
        <f>IFERROR('Feeders Raw Data'!P89,"")</f>
        <v>0</v>
      </c>
      <c r="J89">
        <f>IFERROR('Feeders Raw Data'!R89-'Feeders Raw Data'!R90,"")</f>
        <v>0</v>
      </c>
      <c r="K89" t="str">
        <f>IFERROR(AVERAGE('Feeders Raw Data'!R89:R93),"")</f>
        <v/>
      </c>
      <c r="L89" t="str">
        <f>IFERROR(SUMPRODUCT('Feeders Raw Data'!L89:L108,'Feeders Raw Data'!Q89:Q108)/SUM('Feeders Raw Data'!Q89:Q108),"")</f>
        <v/>
      </c>
      <c r="M89">
        <f>IFERROR(SQRT((SUMSQ('Feeders Raw Data'!L89:L108)-2*SUMPRODUCT('Feeders Raw Data'!L89:L108,'Feeders Raw Data'!L90:L109)+SUMSQ('Feeders Raw Data'!L90:L109)-('Feeders Raw Data'!L89-'Feeders Raw Data'!L109)^2/20)/19),"")</f>
        <v>0</v>
      </c>
      <c r="O89">
        <f>IFERROR('Feeders Raw Data'!U89,"")</f>
        <v>0</v>
      </c>
      <c r="P89">
        <f>IFERROR('Feeders Raw Data'!Z89,"")</f>
        <v>0</v>
      </c>
      <c r="Q89">
        <f>IFERROR('Feeders Raw Data'!AB89-'Feeders Raw Data'!AB90,"")</f>
        <v>0</v>
      </c>
      <c r="R89" t="str">
        <f>IFERROR(AVERAGE('Feeders Raw Data'!AB89:AB93),"")</f>
        <v/>
      </c>
      <c r="S89" t="str">
        <f>IFERROR(SUMPRODUCT('Feeders Raw Data'!V89:V108,'Feeders Raw Data'!AA89:AA108)/SUM('Feeders Raw Data'!AA89:AA108),"")</f>
        <v/>
      </c>
      <c r="T89">
        <f>IFERROR(SQRT((SUMSQ('Feeders Raw Data'!V89:V108)-2*SUMPRODUCT('Feeders Raw Data'!V89:V108,'Feeders Raw Data'!V90:V109)+SUMSQ('Feeders Raw Data'!V90:V109)-('Feeders Raw Data'!V89-'Feeders Raw Data'!V109)^2/20)/19),"")</f>
        <v>0</v>
      </c>
      <c r="V89">
        <f>IFERROR('Feeders Raw Data'!AE89,"")</f>
        <v>0</v>
      </c>
      <c r="W89">
        <f>IFERROR('Feeders Raw Data'!AJ89,"")</f>
        <v>0</v>
      </c>
      <c r="X89">
        <f>IFERROR('Feeders Raw Data'!AL89-'Feeders Raw Data'!AL90,"")</f>
        <v>0</v>
      </c>
      <c r="Y89" t="str">
        <f>IFERROR(AVERAGE('Feeders Raw Data'!AL89:AL93),"")</f>
        <v/>
      </c>
      <c r="Z89" t="str">
        <f>IFERROR(SUMPRODUCT('Feeders Raw Data'!AF89:AF108,'Feeders Raw Data'!AK89:AK108)/SUM('Feeders Raw Data'!AK89:AK108),"")</f>
        <v/>
      </c>
      <c r="AA89">
        <f>IFERROR(SQRT((SUMSQ('Feeders Raw Data'!AF89:AF108)-2*SUMPRODUCT('Feeders Raw Data'!AF89:AF108,'Feeders Raw Data'!AF90:AF109)+SUMSQ('Feeders Raw Data'!AF90:AF109)-('Feeders Raw Data'!AF89-'Feeders Raw Data'!AF109)^2/20)/19),"")</f>
        <v>0</v>
      </c>
      <c r="AC89">
        <f>IFERROR('Feeders Raw Data'!AO89,"")</f>
        <v>0</v>
      </c>
      <c r="AD89">
        <f>IFERROR('Feeders Raw Data'!AT89,"")</f>
        <v>0</v>
      </c>
      <c r="AE89">
        <f>IFERROR('Feeders Raw Data'!AV89-'Feeders Raw Data'!AV90,"")</f>
        <v>0</v>
      </c>
      <c r="AF89" t="str">
        <f>IFERROR(AVERAGE('Feeders Raw Data'!AV89:AV93),"")</f>
        <v/>
      </c>
      <c r="AG89" t="str">
        <f>IFERROR(SUMPRODUCT('Feeders Raw Data'!AP89:AP108,'Feeders Raw Data'!AU89:AU108)/SUM('Feeders Raw Data'!AU89:AU108),"")</f>
        <v/>
      </c>
      <c r="AH89">
        <f>IFERROR(SQRT((SUMSQ('Feeders Raw Data'!AP89:AP108)-2*SUMPRODUCT('Feeders Raw Data'!AP89:AP108,'Feeders Raw Data'!AP90:AP109)+SUMSQ('Feeders Raw Data'!AP90:AP109)-('Feeders Raw Data'!AP89-'Feeders Raw Data'!AP109)^2/20)/19),"")</f>
        <v>0</v>
      </c>
      <c r="AJ89">
        <f>IFERROR('Feeders Raw Data'!AY89,"")</f>
        <v>0</v>
      </c>
      <c r="AK89">
        <f>IFERROR('Feeders Raw Data'!BD89,"")</f>
        <v>0</v>
      </c>
      <c r="AL89">
        <f>IFERROR('Feeders Raw Data'!BF89-'Feeders Raw Data'!BF90,"")</f>
        <v>0</v>
      </c>
      <c r="AM89" t="str">
        <f>IFERROR(AVERAGE('Feeders Raw Data'!BF89:BF93),"")</f>
        <v/>
      </c>
      <c r="AN89" t="str">
        <f>IFERROR(SUMPRODUCT('Feeders Raw Data'!AZ89:AZ108,'Feeders Raw Data'!BE89:BE108)/SUM('Feeders Raw Data'!BE89:BE108),"")</f>
        <v/>
      </c>
      <c r="AO89">
        <f>IFERROR(SQRT((SUMSQ('Feeders Raw Data'!AZ89:AZ108)-2*SUMPRODUCT('Feeders Raw Data'!AZ89:AZ108,'Feeders Raw Data'!AZ90:AZ109)+SUMSQ('Feeders Raw Data'!AZ90:AZ109)-('Feeders Raw Data'!AZ89-'Feeders Raw Data'!AZ109)^2/20)/19),"")</f>
        <v>0</v>
      </c>
      <c r="AQ89">
        <f>IFERROR('Feeders Raw Data'!BI89,"")</f>
        <v>0</v>
      </c>
      <c r="AR89">
        <f>IFERROR('Feeders Raw Data'!BN89,"")</f>
        <v>0</v>
      </c>
      <c r="AS89">
        <f>IFERROR('Feeders Raw Data'!BP89-'Feeders Raw Data'!BP90,"")</f>
        <v>0</v>
      </c>
      <c r="AT89" t="str">
        <f>IFERROR(AVERAGE('Feeders Raw Data'!BP89:BP93),"")</f>
        <v/>
      </c>
      <c r="AU89" t="str">
        <f>IFERROR(SUMPRODUCT('Feeders Raw Data'!BJ89:BJ108,'Feeders Raw Data'!BO89:BO108)/SUM('Feeders Raw Data'!BO89:BO108),"")</f>
        <v/>
      </c>
      <c r="AV89">
        <f>IFERROR(SQRT((SUMSQ('Feeders Raw Data'!BJ89:BJ108)-2*SUMPRODUCT('Feeders Raw Data'!BJ89:BJ108,'Feeders Raw Data'!BJ90:BJ109)+SUMSQ('Feeders Raw Data'!BJ90:BJ109)-('Feeders Raw Data'!BJ89-'Feeders Raw Data'!BJ109)^2/20)/19),"")</f>
        <v>0</v>
      </c>
      <c r="AX89">
        <f>IFERROR('Feeders Raw Data'!BS89,"")</f>
        <v>0</v>
      </c>
      <c r="AY89">
        <f>IFERROR('Feeders Raw Data'!BX89,"")</f>
        <v>0</v>
      </c>
      <c r="AZ89">
        <f>IFERROR('Feeders Raw Data'!BZ89-'Feeders Raw Data'!BZ90,"")</f>
        <v>0</v>
      </c>
      <c r="BA89" t="str">
        <f>IFERROR(AVERAGE('Feeders Raw Data'!BZ89:BZ93),"")</f>
        <v/>
      </c>
      <c r="BB89" t="str">
        <f>IFERROR(SUMPRODUCT('Feeders Raw Data'!BT89:BT108,'Feeders Raw Data'!BY89:BY108)/SUM('Feeders Raw Data'!BY89:BY108),"")</f>
        <v/>
      </c>
      <c r="BC89">
        <f>IFERROR(SQRT((SUMSQ('Feeders Raw Data'!BT89:BT108)-2*SUMPRODUCT('Feeders Raw Data'!BT89:BT108,'Feeders Raw Data'!BT90:BT109)+SUMSQ('Feeders Raw Data'!BT90:BT109)-('Feeders Raw Data'!BT89-'Feeders Raw Data'!BT109)^2/20)/19),"")</f>
        <v>0</v>
      </c>
      <c r="BE89">
        <f>IFERROR('Fats Raw Data'!A89,"")</f>
        <v>0</v>
      </c>
      <c r="BF89">
        <f>IFERROR('Fats Raw Data'!F89,"")</f>
        <v>0</v>
      </c>
      <c r="BG89">
        <f>IFERROR('Fats Raw Data'!H89-'Fats Raw Data'!H90,"")</f>
        <v>0</v>
      </c>
      <c r="BH89" t="str">
        <f>IFERROR(AVERAGE('Fats Raw Data'!H89:H93),"")</f>
        <v/>
      </c>
      <c r="BI89" t="str">
        <f>IFERROR(SUMPRODUCT('Fats Raw Data'!B89:B108,'Fats Raw Data'!G89:G108)/SUM('Fats Raw Data'!G89:G108),"")</f>
        <v/>
      </c>
      <c r="BJ89">
        <f>IFERROR(SQRT((SUMSQ('Fats Raw Data'!B89:B108)-2*SUMPRODUCT('Fats Raw Data'!B89:B108,'Fats Raw Data'!B90:B109)+SUMSQ('Fats Raw Data'!B90:B109)-('Fats Raw Data'!B89-'Fats Raw Data'!B109)^2/20)/19),"")</f>
        <v>0</v>
      </c>
      <c r="BL89">
        <f>IFERROR('Fats Raw Data'!K89,"")</f>
        <v>0</v>
      </c>
      <c r="BM89">
        <f>IFERROR('Fats Raw Data'!P89,"")</f>
        <v>0</v>
      </c>
      <c r="BN89">
        <f>IFERROR('Fats Raw Data'!R89-'Fats Raw Data'!R90,"")</f>
        <v>0</v>
      </c>
      <c r="BO89" t="str">
        <f>IFERROR(AVERAGE('Fats Raw Data'!R89:R93),"")</f>
        <v/>
      </c>
      <c r="BP89" t="str">
        <f>IFERROR(SUMPRODUCT('Fats Raw Data'!L89:L108,'Fats Raw Data'!Q89:Q108)/SUM('Fats Raw Data'!Q89:Q108),"")</f>
        <v/>
      </c>
      <c r="BQ89">
        <f>IFERROR(SQRT((SUMSQ('Fats Raw Data'!L89:L108)-2*SUMPRODUCT('Fats Raw Data'!L89:L108,'Fats Raw Data'!L90:L109)+SUMSQ('Fats Raw Data'!L90:L109)-('Fats Raw Data'!L89-'Fats Raw Data'!L109)^2/20)/19),"")</f>
        <v>0</v>
      </c>
      <c r="BS89">
        <f>IFERROR('Fats Raw Data'!U89,"")</f>
        <v>0</v>
      </c>
      <c r="BT89">
        <f>IFERROR('Fats Raw Data'!Z89,"")</f>
        <v>0</v>
      </c>
      <c r="BU89">
        <f>IFERROR('Fats Raw Data'!AB89-'Fats Raw Data'!AB90,"")</f>
        <v>0</v>
      </c>
      <c r="BV89" t="str">
        <f>IFERROR(AVERAGE('Fats Raw Data'!AB89:AB93),"")</f>
        <v/>
      </c>
      <c r="BW89" t="str">
        <f>IFERROR(SUMPRODUCT('Fats Raw Data'!V89:V108,'Fats Raw Data'!AA89:AA108)/SUM('Fats Raw Data'!AA89:AA108),"")</f>
        <v/>
      </c>
      <c r="BX89">
        <f>IFERROR(SQRT((SUMSQ('Fats Raw Data'!V89:V108)-2*SUMPRODUCT('Fats Raw Data'!V89:V108,'Fats Raw Data'!V90:V109)+SUMSQ('Fats Raw Data'!V90:V109)-('Fats Raw Data'!V89-'Fats Raw Data'!V109)^2/20)/19),"")</f>
        <v>0</v>
      </c>
      <c r="BZ89">
        <f>IFERROR('Fats Raw Data'!AE89,"")</f>
        <v>0</v>
      </c>
      <c r="CA89">
        <f>IFERROR('Fats Raw Data'!AJ89,"")</f>
        <v>0</v>
      </c>
      <c r="CB89">
        <f>IFERROR('Fats Raw Data'!AL89-'Fats Raw Data'!AL90,"")</f>
        <v>0</v>
      </c>
      <c r="CC89" t="str">
        <f>IFERROR(AVERAGE('Fats Raw Data'!AL89:AL93),"")</f>
        <v/>
      </c>
      <c r="CD89" t="str">
        <f>IFERROR(SUMPRODUCT('Fats Raw Data'!AF89:AF108,'Fats Raw Data'!AK89:AK108)/SUM('Fats Raw Data'!AK89:AK108),"")</f>
        <v/>
      </c>
      <c r="CE89">
        <f>IFERROR(SQRT((SUMSQ('Fats Raw Data'!AF89:AF108)-2*SUMPRODUCT('Fats Raw Data'!AF89:AF108,'Fats Raw Data'!AF90:AF109)+SUMSQ('Fats Raw Data'!AF90:AF109)-('Fats Raw Data'!AF89-'Fats Raw Data'!AF109)^2/20)/19),"")</f>
        <v>0</v>
      </c>
      <c r="CG89">
        <f>IFERROR('Fats Raw Data'!AO89,"")</f>
        <v>0</v>
      </c>
      <c r="CH89">
        <f>IFERROR('Fats Raw Data'!AT89,"")</f>
        <v>0</v>
      </c>
      <c r="CI89">
        <f>IFERROR('Fats Raw Data'!AV89-'Fats Raw Data'!AV90,"")</f>
        <v>0</v>
      </c>
      <c r="CJ89" t="str">
        <f>IFERROR(AVERAGE('Fats Raw Data'!AV89:AV93),"")</f>
        <v/>
      </c>
      <c r="CK89" t="str">
        <f>IFERROR(SUMPRODUCT('Fats Raw Data'!AP89:AP108,'Fats Raw Data'!AU89:AU108)/SUM('Fats Raw Data'!AU89:AU108),"")</f>
        <v/>
      </c>
      <c r="CL89">
        <f>IFERROR(SQRT((SUMSQ('Fats Raw Data'!AP89:AP108)-2*SUMPRODUCT('Fats Raw Data'!AP89:AP108,'Fats Raw Data'!AP90:AP109)+SUMSQ('Fats Raw Data'!AP90:AP109)-('Fats Raw Data'!AP89-'Fats Raw Data'!AP109)^2/20)/19),"")</f>
        <v>0</v>
      </c>
      <c r="CN89">
        <f>IFERROR('Fats Raw Data'!AY89,"")</f>
        <v>0</v>
      </c>
      <c r="CO89">
        <f>IFERROR('Fats Raw Data'!BD89,"")</f>
        <v>0</v>
      </c>
      <c r="CP89">
        <f>IFERROR('Fats Raw Data'!BF89-'Fats Raw Data'!BF90,"")</f>
        <v>0</v>
      </c>
      <c r="CQ89" t="str">
        <f>IFERROR(AVERAGE('Fats Raw Data'!BF89:BF93),"")</f>
        <v/>
      </c>
      <c r="CR89" t="str">
        <f>IFERROR(SUMPRODUCT('Fats Raw Data'!AZ89:AZ108,'Fats Raw Data'!BE89:BE108)/SUM('Fats Raw Data'!BE89:BE108),"")</f>
        <v/>
      </c>
      <c r="CS89">
        <f>IFERROR(SQRT((SUMSQ('Fats Raw Data'!AZ89:AZ108)-2*SUMPRODUCT('Fats Raw Data'!AZ89:AZ108,'Fats Raw Data'!AZ90:AZ109)+SUMSQ('Fats Raw Data'!AZ90:AZ109)-('Fats Raw Data'!AZ89-'Fats Raw Data'!AZ109)^2/20)/19),"")</f>
        <v>0</v>
      </c>
    </row>
    <row r="90" spans="1:97" x14ac:dyDescent="0.25">
      <c r="A90">
        <f>IFERROR('Feeders Raw Data'!A90,"")</f>
        <v>0</v>
      </c>
      <c r="B90">
        <f>IFERROR('Feeders Raw Data'!F90,"")</f>
        <v>0</v>
      </c>
      <c r="C90">
        <f>IFERROR('Feeders Raw Data'!H90-'Feeders Raw Data'!H91,"")</f>
        <v>0</v>
      </c>
      <c r="D90" t="str">
        <f>IFERROR(AVERAGE('Feeders Raw Data'!H90:H94),"")</f>
        <v/>
      </c>
      <c r="E90" t="str">
        <f>IFERROR(SUMPRODUCT('Feeders Raw Data'!B90:B109,'Feeders Raw Data'!G90:G109)/SUM('Feeders Raw Data'!G90:G109),"")</f>
        <v/>
      </c>
      <c r="F90">
        <f>IFERROR(SQRT((SUMSQ('Feeders Raw Data'!B90:B109)-2*SUMPRODUCT('Feeders Raw Data'!B90:B109,'Feeders Raw Data'!B91:B110)+SUMSQ('Feeders Raw Data'!B91:B110)-('Feeders Raw Data'!B90-'Feeders Raw Data'!B110)^2/20)/19),"")</f>
        <v>0</v>
      </c>
      <c r="H90">
        <f>IFERROR('Feeders Raw Data'!K90,"")</f>
        <v>0</v>
      </c>
      <c r="I90">
        <f>IFERROR('Feeders Raw Data'!P90,"")</f>
        <v>0</v>
      </c>
      <c r="J90">
        <f>IFERROR('Feeders Raw Data'!R90-'Feeders Raw Data'!R91,"")</f>
        <v>0</v>
      </c>
      <c r="K90" t="str">
        <f>IFERROR(AVERAGE('Feeders Raw Data'!R90:R94),"")</f>
        <v/>
      </c>
      <c r="L90" t="str">
        <f>IFERROR(SUMPRODUCT('Feeders Raw Data'!L90:L109,'Feeders Raw Data'!Q90:Q109)/SUM('Feeders Raw Data'!Q90:Q109),"")</f>
        <v/>
      </c>
      <c r="M90">
        <f>IFERROR(SQRT((SUMSQ('Feeders Raw Data'!L90:L109)-2*SUMPRODUCT('Feeders Raw Data'!L90:L109,'Feeders Raw Data'!L91:L110)+SUMSQ('Feeders Raw Data'!L91:L110)-('Feeders Raw Data'!L90-'Feeders Raw Data'!L110)^2/20)/19),"")</f>
        <v>0</v>
      </c>
      <c r="O90">
        <f>IFERROR('Feeders Raw Data'!U90,"")</f>
        <v>0</v>
      </c>
      <c r="P90">
        <f>IFERROR('Feeders Raw Data'!Z90,"")</f>
        <v>0</v>
      </c>
      <c r="Q90">
        <f>IFERROR('Feeders Raw Data'!AB90-'Feeders Raw Data'!AB91,"")</f>
        <v>0</v>
      </c>
      <c r="R90" t="str">
        <f>IFERROR(AVERAGE('Feeders Raw Data'!AB90:AB94),"")</f>
        <v/>
      </c>
      <c r="S90" t="str">
        <f>IFERROR(SUMPRODUCT('Feeders Raw Data'!V90:V109,'Feeders Raw Data'!AA90:AA109)/SUM('Feeders Raw Data'!AA90:AA109),"")</f>
        <v/>
      </c>
      <c r="T90">
        <f>IFERROR(SQRT((SUMSQ('Feeders Raw Data'!V90:V109)-2*SUMPRODUCT('Feeders Raw Data'!V90:V109,'Feeders Raw Data'!V91:V110)+SUMSQ('Feeders Raw Data'!V91:V110)-('Feeders Raw Data'!V90-'Feeders Raw Data'!V110)^2/20)/19),"")</f>
        <v>0</v>
      </c>
      <c r="V90">
        <f>IFERROR('Feeders Raw Data'!AE90,"")</f>
        <v>0</v>
      </c>
      <c r="W90">
        <f>IFERROR('Feeders Raw Data'!AJ90,"")</f>
        <v>0</v>
      </c>
      <c r="X90">
        <f>IFERROR('Feeders Raw Data'!AL90-'Feeders Raw Data'!AL91,"")</f>
        <v>0</v>
      </c>
      <c r="Y90" t="str">
        <f>IFERROR(AVERAGE('Feeders Raw Data'!AL90:AL94),"")</f>
        <v/>
      </c>
      <c r="Z90" t="str">
        <f>IFERROR(SUMPRODUCT('Feeders Raw Data'!AF90:AF109,'Feeders Raw Data'!AK90:AK109)/SUM('Feeders Raw Data'!AK90:AK109),"")</f>
        <v/>
      </c>
      <c r="AA90">
        <f>IFERROR(SQRT((SUMSQ('Feeders Raw Data'!AF90:AF109)-2*SUMPRODUCT('Feeders Raw Data'!AF90:AF109,'Feeders Raw Data'!AF91:AF110)+SUMSQ('Feeders Raw Data'!AF91:AF110)-('Feeders Raw Data'!AF90-'Feeders Raw Data'!AF110)^2/20)/19),"")</f>
        <v>0</v>
      </c>
      <c r="AC90">
        <f>IFERROR('Feeders Raw Data'!AO90,"")</f>
        <v>0</v>
      </c>
      <c r="AD90">
        <f>IFERROR('Feeders Raw Data'!AT90,"")</f>
        <v>0</v>
      </c>
      <c r="AE90">
        <f>IFERROR('Feeders Raw Data'!AV90-'Feeders Raw Data'!AV91,"")</f>
        <v>0</v>
      </c>
      <c r="AF90" t="str">
        <f>IFERROR(AVERAGE('Feeders Raw Data'!AV90:AV94),"")</f>
        <v/>
      </c>
      <c r="AG90" t="str">
        <f>IFERROR(SUMPRODUCT('Feeders Raw Data'!AP90:AP109,'Feeders Raw Data'!AU90:AU109)/SUM('Feeders Raw Data'!AU90:AU109),"")</f>
        <v/>
      </c>
      <c r="AH90">
        <f>IFERROR(SQRT((SUMSQ('Feeders Raw Data'!AP90:AP109)-2*SUMPRODUCT('Feeders Raw Data'!AP90:AP109,'Feeders Raw Data'!AP91:AP110)+SUMSQ('Feeders Raw Data'!AP91:AP110)-('Feeders Raw Data'!AP90-'Feeders Raw Data'!AP110)^2/20)/19),"")</f>
        <v>0</v>
      </c>
      <c r="AJ90">
        <f>IFERROR('Feeders Raw Data'!AY90,"")</f>
        <v>0</v>
      </c>
      <c r="AK90">
        <f>IFERROR('Feeders Raw Data'!BD90,"")</f>
        <v>0</v>
      </c>
      <c r="AL90">
        <f>IFERROR('Feeders Raw Data'!BF90-'Feeders Raw Data'!BF91,"")</f>
        <v>0</v>
      </c>
      <c r="AM90" t="str">
        <f>IFERROR(AVERAGE('Feeders Raw Data'!BF90:BF94),"")</f>
        <v/>
      </c>
      <c r="AN90" t="str">
        <f>IFERROR(SUMPRODUCT('Feeders Raw Data'!AZ90:AZ109,'Feeders Raw Data'!BE90:BE109)/SUM('Feeders Raw Data'!BE90:BE109),"")</f>
        <v/>
      </c>
      <c r="AO90">
        <f>IFERROR(SQRT((SUMSQ('Feeders Raw Data'!AZ90:AZ109)-2*SUMPRODUCT('Feeders Raw Data'!AZ90:AZ109,'Feeders Raw Data'!AZ91:AZ110)+SUMSQ('Feeders Raw Data'!AZ91:AZ110)-('Feeders Raw Data'!AZ90-'Feeders Raw Data'!AZ110)^2/20)/19),"")</f>
        <v>0</v>
      </c>
      <c r="AQ90">
        <f>IFERROR('Feeders Raw Data'!BI90,"")</f>
        <v>0</v>
      </c>
      <c r="AR90">
        <f>IFERROR('Feeders Raw Data'!BN90,"")</f>
        <v>0</v>
      </c>
      <c r="AS90">
        <f>IFERROR('Feeders Raw Data'!BP90-'Feeders Raw Data'!BP91,"")</f>
        <v>0</v>
      </c>
      <c r="AT90" t="str">
        <f>IFERROR(AVERAGE('Feeders Raw Data'!BP90:BP94),"")</f>
        <v/>
      </c>
      <c r="AU90" t="str">
        <f>IFERROR(SUMPRODUCT('Feeders Raw Data'!BJ90:BJ109,'Feeders Raw Data'!BO90:BO109)/SUM('Feeders Raw Data'!BO90:BO109),"")</f>
        <v/>
      </c>
      <c r="AV90">
        <f>IFERROR(SQRT((SUMSQ('Feeders Raw Data'!BJ90:BJ109)-2*SUMPRODUCT('Feeders Raw Data'!BJ90:BJ109,'Feeders Raw Data'!BJ91:BJ110)+SUMSQ('Feeders Raw Data'!BJ91:BJ110)-('Feeders Raw Data'!BJ90-'Feeders Raw Data'!BJ110)^2/20)/19),"")</f>
        <v>0</v>
      </c>
      <c r="AX90">
        <f>IFERROR('Feeders Raw Data'!BS90,"")</f>
        <v>0</v>
      </c>
      <c r="AY90">
        <f>IFERROR('Feeders Raw Data'!BX90,"")</f>
        <v>0</v>
      </c>
      <c r="AZ90">
        <f>IFERROR('Feeders Raw Data'!BZ90-'Feeders Raw Data'!BZ91,"")</f>
        <v>0</v>
      </c>
      <c r="BA90" t="str">
        <f>IFERROR(AVERAGE('Feeders Raw Data'!BZ90:BZ94),"")</f>
        <v/>
      </c>
      <c r="BB90" t="str">
        <f>IFERROR(SUMPRODUCT('Feeders Raw Data'!BT90:BT109,'Feeders Raw Data'!BY90:BY109)/SUM('Feeders Raw Data'!BY90:BY109),"")</f>
        <v/>
      </c>
      <c r="BC90">
        <f>IFERROR(SQRT((SUMSQ('Feeders Raw Data'!BT90:BT109)-2*SUMPRODUCT('Feeders Raw Data'!BT90:BT109,'Feeders Raw Data'!BT91:BT110)+SUMSQ('Feeders Raw Data'!BT91:BT110)-('Feeders Raw Data'!BT90-'Feeders Raw Data'!BT110)^2/20)/19),"")</f>
        <v>0</v>
      </c>
      <c r="BE90">
        <f>IFERROR('Fats Raw Data'!A90,"")</f>
        <v>0</v>
      </c>
      <c r="BF90">
        <f>IFERROR('Fats Raw Data'!F90,"")</f>
        <v>0</v>
      </c>
      <c r="BG90">
        <f>IFERROR('Fats Raw Data'!H90-'Fats Raw Data'!H91,"")</f>
        <v>0</v>
      </c>
      <c r="BH90" t="str">
        <f>IFERROR(AVERAGE('Fats Raw Data'!H90:H94),"")</f>
        <v/>
      </c>
      <c r="BI90" t="str">
        <f>IFERROR(SUMPRODUCT('Fats Raw Data'!B90:B109,'Fats Raw Data'!G90:G109)/SUM('Fats Raw Data'!G90:G109),"")</f>
        <v/>
      </c>
      <c r="BJ90">
        <f>IFERROR(SQRT((SUMSQ('Fats Raw Data'!B90:B109)-2*SUMPRODUCT('Fats Raw Data'!B90:B109,'Fats Raw Data'!B91:B110)+SUMSQ('Fats Raw Data'!B91:B110)-('Fats Raw Data'!B90-'Fats Raw Data'!B110)^2/20)/19),"")</f>
        <v>0</v>
      </c>
      <c r="BL90">
        <f>IFERROR('Fats Raw Data'!K90,"")</f>
        <v>0</v>
      </c>
      <c r="BM90">
        <f>IFERROR('Fats Raw Data'!P90,"")</f>
        <v>0</v>
      </c>
      <c r="BN90">
        <f>IFERROR('Fats Raw Data'!R90-'Fats Raw Data'!R91,"")</f>
        <v>0</v>
      </c>
      <c r="BO90" t="str">
        <f>IFERROR(AVERAGE('Fats Raw Data'!R90:R94),"")</f>
        <v/>
      </c>
      <c r="BP90" t="str">
        <f>IFERROR(SUMPRODUCT('Fats Raw Data'!L90:L109,'Fats Raw Data'!Q90:Q109)/SUM('Fats Raw Data'!Q90:Q109),"")</f>
        <v/>
      </c>
      <c r="BQ90">
        <f>IFERROR(SQRT((SUMSQ('Fats Raw Data'!L90:L109)-2*SUMPRODUCT('Fats Raw Data'!L90:L109,'Fats Raw Data'!L91:L110)+SUMSQ('Fats Raw Data'!L91:L110)-('Fats Raw Data'!L90-'Fats Raw Data'!L110)^2/20)/19),"")</f>
        <v>0</v>
      </c>
      <c r="BS90">
        <f>IFERROR('Fats Raw Data'!U90,"")</f>
        <v>0</v>
      </c>
      <c r="BT90">
        <f>IFERROR('Fats Raw Data'!Z90,"")</f>
        <v>0</v>
      </c>
      <c r="BU90">
        <f>IFERROR('Fats Raw Data'!AB90-'Fats Raw Data'!AB91,"")</f>
        <v>0</v>
      </c>
      <c r="BV90" t="str">
        <f>IFERROR(AVERAGE('Fats Raw Data'!AB90:AB94),"")</f>
        <v/>
      </c>
      <c r="BW90" t="str">
        <f>IFERROR(SUMPRODUCT('Fats Raw Data'!V90:V109,'Fats Raw Data'!AA90:AA109)/SUM('Fats Raw Data'!AA90:AA109),"")</f>
        <v/>
      </c>
      <c r="BX90">
        <f>IFERROR(SQRT((SUMSQ('Fats Raw Data'!V90:V109)-2*SUMPRODUCT('Fats Raw Data'!V90:V109,'Fats Raw Data'!V91:V110)+SUMSQ('Fats Raw Data'!V91:V110)-('Fats Raw Data'!V90-'Fats Raw Data'!V110)^2/20)/19),"")</f>
        <v>0</v>
      </c>
      <c r="BZ90">
        <f>IFERROR('Fats Raw Data'!AE90,"")</f>
        <v>0</v>
      </c>
      <c r="CA90">
        <f>IFERROR('Fats Raw Data'!AJ90,"")</f>
        <v>0</v>
      </c>
      <c r="CB90">
        <f>IFERROR('Fats Raw Data'!AL90-'Fats Raw Data'!AL91,"")</f>
        <v>0</v>
      </c>
      <c r="CC90" t="str">
        <f>IFERROR(AVERAGE('Fats Raw Data'!AL90:AL94),"")</f>
        <v/>
      </c>
      <c r="CD90" t="str">
        <f>IFERROR(SUMPRODUCT('Fats Raw Data'!AF90:AF109,'Fats Raw Data'!AK90:AK109)/SUM('Fats Raw Data'!AK90:AK109),"")</f>
        <v/>
      </c>
      <c r="CE90">
        <f>IFERROR(SQRT((SUMSQ('Fats Raw Data'!AF90:AF109)-2*SUMPRODUCT('Fats Raw Data'!AF90:AF109,'Fats Raw Data'!AF91:AF110)+SUMSQ('Fats Raw Data'!AF91:AF110)-('Fats Raw Data'!AF90-'Fats Raw Data'!AF110)^2/20)/19),"")</f>
        <v>0</v>
      </c>
      <c r="CG90">
        <f>IFERROR('Fats Raw Data'!AO90,"")</f>
        <v>0</v>
      </c>
      <c r="CH90">
        <f>IFERROR('Fats Raw Data'!AT90,"")</f>
        <v>0</v>
      </c>
      <c r="CI90">
        <f>IFERROR('Fats Raw Data'!AV90-'Fats Raw Data'!AV91,"")</f>
        <v>0</v>
      </c>
      <c r="CJ90" t="str">
        <f>IFERROR(AVERAGE('Fats Raw Data'!AV90:AV94),"")</f>
        <v/>
      </c>
      <c r="CK90" t="str">
        <f>IFERROR(SUMPRODUCT('Fats Raw Data'!AP90:AP109,'Fats Raw Data'!AU90:AU109)/SUM('Fats Raw Data'!AU90:AU109),"")</f>
        <v/>
      </c>
      <c r="CL90">
        <f>IFERROR(SQRT((SUMSQ('Fats Raw Data'!AP90:AP109)-2*SUMPRODUCT('Fats Raw Data'!AP90:AP109,'Fats Raw Data'!AP91:AP110)+SUMSQ('Fats Raw Data'!AP91:AP110)-('Fats Raw Data'!AP90-'Fats Raw Data'!AP110)^2/20)/19),"")</f>
        <v>0</v>
      </c>
      <c r="CN90">
        <f>IFERROR('Fats Raw Data'!AY90,"")</f>
        <v>0</v>
      </c>
      <c r="CO90">
        <f>IFERROR('Fats Raw Data'!BD90,"")</f>
        <v>0</v>
      </c>
      <c r="CP90">
        <f>IFERROR('Fats Raw Data'!BF90-'Fats Raw Data'!BF91,"")</f>
        <v>0</v>
      </c>
      <c r="CQ90" t="str">
        <f>IFERROR(AVERAGE('Fats Raw Data'!BF90:BF94),"")</f>
        <v/>
      </c>
      <c r="CR90" t="str">
        <f>IFERROR(SUMPRODUCT('Fats Raw Data'!AZ90:AZ109,'Fats Raw Data'!BE90:BE109)/SUM('Fats Raw Data'!BE90:BE109),"")</f>
        <v/>
      </c>
      <c r="CS90">
        <f>IFERROR(SQRT((SUMSQ('Fats Raw Data'!AZ90:AZ109)-2*SUMPRODUCT('Fats Raw Data'!AZ90:AZ109,'Fats Raw Data'!AZ91:AZ110)+SUMSQ('Fats Raw Data'!AZ91:AZ110)-('Fats Raw Data'!AZ90-'Fats Raw Data'!AZ110)^2/20)/19),"")</f>
        <v>0</v>
      </c>
    </row>
    <row r="91" spans="1:97" x14ac:dyDescent="0.25">
      <c r="A91">
        <f>IFERROR('Feeders Raw Data'!A91,"")</f>
        <v>0</v>
      </c>
      <c r="B91">
        <f>IFERROR('Feeders Raw Data'!F91,"")</f>
        <v>0</v>
      </c>
      <c r="C91">
        <f>IFERROR('Feeders Raw Data'!H91-'Feeders Raw Data'!H92,"")</f>
        <v>0</v>
      </c>
      <c r="D91" t="str">
        <f>IFERROR(AVERAGE('Feeders Raw Data'!H91:H95),"")</f>
        <v/>
      </c>
      <c r="E91" t="str">
        <f>IFERROR(SUMPRODUCT('Feeders Raw Data'!B91:B110,'Feeders Raw Data'!G91:G110)/SUM('Feeders Raw Data'!G91:G110),"")</f>
        <v/>
      </c>
      <c r="F91">
        <f>IFERROR(SQRT((SUMSQ('Feeders Raw Data'!B91:B110)-2*SUMPRODUCT('Feeders Raw Data'!B91:B110,'Feeders Raw Data'!B92:B111)+SUMSQ('Feeders Raw Data'!B92:B111)-('Feeders Raw Data'!B91-'Feeders Raw Data'!B111)^2/20)/19),"")</f>
        <v>0</v>
      </c>
      <c r="H91">
        <f>IFERROR('Feeders Raw Data'!K91,"")</f>
        <v>0</v>
      </c>
      <c r="I91">
        <f>IFERROR('Feeders Raw Data'!P91,"")</f>
        <v>0</v>
      </c>
      <c r="J91">
        <f>IFERROR('Feeders Raw Data'!R91-'Feeders Raw Data'!R92,"")</f>
        <v>0</v>
      </c>
      <c r="K91" t="str">
        <f>IFERROR(AVERAGE('Feeders Raw Data'!R91:R95),"")</f>
        <v/>
      </c>
      <c r="L91" t="str">
        <f>IFERROR(SUMPRODUCT('Feeders Raw Data'!L91:L110,'Feeders Raw Data'!Q91:Q110)/SUM('Feeders Raw Data'!Q91:Q110),"")</f>
        <v/>
      </c>
      <c r="M91">
        <f>IFERROR(SQRT((SUMSQ('Feeders Raw Data'!L91:L110)-2*SUMPRODUCT('Feeders Raw Data'!L91:L110,'Feeders Raw Data'!L92:L111)+SUMSQ('Feeders Raw Data'!L92:L111)-('Feeders Raw Data'!L91-'Feeders Raw Data'!L111)^2/20)/19),"")</f>
        <v>0</v>
      </c>
      <c r="O91">
        <f>IFERROR('Feeders Raw Data'!U91,"")</f>
        <v>0</v>
      </c>
      <c r="P91">
        <f>IFERROR('Feeders Raw Data'!Z91,"")</f>
        <v>0</v>
      </c>
      <c r="Q91">
        <f>IFERROR('Feeders Raw Data'!AB91-'Feeders Raw Data'!AB92,"")</f>
        <v>0</v>
      </c>
      <c r="R91" t="str">
        <f>IFERROR(AVERAGE('Feeders Raw Data'!AB91:AB95),"")</f>
        <v/>
      </c>
      <c r="S91" t="str">
        <f>IFERROR(SUMPRODUCT('Feeders Raw Data'!V91:V110,'Feeders Raw Data'!AA91:AA110)/SUM('Feeders Raw Data'!AA91:AA110),"")</f>
        <v/>
      </c>
      <c r="T91">
        <f>IFERROR(SQRT((SUMSQ('Feeders Raw Data'!V91:V110)-2*SUMPRODUCT('Feeders Raw Data'!V91:V110,'Feeders Raw Data'!V92:V111)+SUMSQ('Feeders Raw Data'!V92:V111)-('Feeders Raw Data'!V91-'Feeders Raw Data'!V111)^2/20)/19),"")</f>
        <v>0</v>
      </c>
      <c r="V91">
        <f>IFERROR('Feeders Raw Data'!AE91,"")</f>
        <v>0</v>
      </c>
      <c r="W91">
        <f>IFERROR('Feeders Raw Data'!AJ91,"")</f>
        <v>0</v>
      </c>
      <c r="X91">
        <f>IFERROR('Feeders Raw Data'!AL91-'Feeders Raw Data'!AL92,"")</f>
        <v>0</v>
      </c>
      <c r="Y91" t="str">
        <f>IFERROR(AVERAGE('Feeders Raw Data'!AL91:AL95),"")</f>
        <v/>
      </c>
      <c r="Z91" t="str">
        <f>IFERROR(SUMPRODUCT('Feeders Raw Data'!AF91:AF110,'Feeders Raw Data'!AK91:AK110)/SUM('Feeders Raw Data'!AK91:AK110),"")</f>
        <v/>
      </c>
      <c r="AA91">
        <f>IFERROR(SQRT((SUMSQ('Feeders Raw Data'!AF91:AF110)-2*SUMPRODUCT('Feeders Raw Data'!AF91:AF110,'Feeders Raw Data'!AF92:AF111)+SUMSQ('Feeders Raw Data'!AF92:AF111)-('Feeders Raw Data'!AF91-'Feeders Raw Data'!AF111)^2/20)/19),"")</f>
        <v>0</v>
      </c>
      <c r="AC91">
        <f>IFERROR('Feeders Raw Data'!AO91,"")</f>
        <v>0</v>
      </c>
      <c r="AD91">
        <f>IFERROR('Feeders Raw Data'!AT91,"")</f>
        <v>0</v>
      </c>
      <c r="AE91">
        <f>IFERROR('Feeders Raw Data'!AV91-'Feeders Raw Data'!AV92,"")</f>
        <v>0</v>
      </c>
      <c r="AF91" t="str">
        <f>IFERROR(AVERAGE('Feeders Raw Data'!AV91:AV95),"")</f>
        <v/>
      </c>
      <c r="AG91" t="str">
        <f>IFERROR(SUMPRODUCT('Feeders Raw Data'!AP91:AP110,'Feeders Raw Data'!AU91:AU110)/SUM('Feeders Raw Data'!AU91:AU110),"")</f>
        <v/>
      </c>
      <c r="AH91">
        <f>IFERROR(SQRT((SUMSQ('Feeders Raw Data'!AP91:AP110)-2*SUMPRODUCT('Feeders Raw Data'!AP91:AP110,'Feeders Raw Data'!AP92:AP111)+SUMSQ('Feeders Raw Data'!AP92:AP111)-('Feeders Raw Data'!AP91-'Feeders Raw Data'!AP111)^2/20)/19),"")</f>
        <v>0</v>
      </c>
      <c r="AJ91">
        <f>IFERROR('Feeders Raw Data'!AY91,"")</f>
        <v>0</v>
      </c>
      <c r="AK91">
        <f>IFERROR('Feeders Raw Data'!BD91,"")</f>
        <v>0</v>
      </c>
      <c r="AL91">
        <f>IFERROR('Feeders Raw Data'!BF91-'Feeders Raw Data'!BF92,"")</f>
        <v>0</v>
      </c>
      <c r="AM91" t="str">
        <f>IFERROR(AVERAGE('Feeders Raw Data'!BF91:BF95),"")</f>
        <v/>
      </c>
      <c r="AN91" t="str">
        <f>IFERROR(SUMPRODUCT('Feeders Raw Data'!AZ91:AZ110,'Feeders Raw Data'!BE91:BE110)/SUM('Feeders Raw Data'!BE91:BE110),"")</f>
        <v/>
      </c>
      <c r="AO91">
        <f>IFERROR(SQRT((SUMSQ('Feeders Raw Data'!AZ91:AZ110)-2*SUMPRODUCT('Feeders Raw Data'!AZ91:AZ110,'Feeders Raw Data'!AZ92:AZ111)+SUMSQ('Feeders Raw Data'!AZ92:AZ111)-('Feeders Raw Data'!AZ91-'Feeders Raw Data'!AZ111)^2/20)/19),"")</f>
        <v>0</v>
      </c>
      <c r="AQ91">
        <f>IFERROR('Feeders Raw Data'!BI91,"")</f>
        <v>0</v>
      </c>
      <c r="AR91">
        <f>IFERROR('Feeders Raw Data'!BN91,"")</f>
        <v>0</v>
      </c>
      <c r="AS91">
        <f>IFERROR('Feeders Raw Data'!BP91-'Feeders Raw Data'!BP92,"")</f>
        <v>0</v>
      </c>
      <c r="AT91" t="str">
        <f>IFERROR(AVERAGE('Feeders Raw Data'!BP91:BP95),"")</f>
        <v/>
      </c>
      <c r="AU91" t="str">
        <f>IFERROR(SUMPRODUCT('Feeders Raw Data'!BJ91:BJ110,'Feeders Raw Data'!BO91:BO110)/SUM('Feeders Raw Data'!BO91:BO110),"")</f>
        <v/>
      </c>
      <c r="AV91">
        <f>IFERROR(SQRT((SUMSQ('Feeders Raw Data'!BJ91:BJ110)-2*SUMPRODUCT('Feeders Raw Data'!BJ91:BJ110,'Feeders Raw Data'!BJ92:BJ111)+SUMSQ('Feeders Raw Data'!BJ92:BJ111)-('Feeders Raw Data'!BJ91-'Feeders Raw Data'!BJ111)^2/20)/19),"")</f>
        <v>0</v>
      </c>
      <c r="AX91">
        <f>IFERROR('Feeders Raw Data'!BS91,"")</f>
        <v>0</v>
      </c>
      <c r="AY91">
        <f>IFERROR('Feeders Raw Data'!BX91,"")</f>
        <v>0</v>
      </c>
      <c r="AZ91">
        <f>IFERROR('Feeders Raw Data'!BZ91-'Feeders Raw Data'!BZ92,"")</f>
        <v>0</v>
      </c>
      <c r="BA91" t="str">
        <f>IFERROR(AVERAGE('Feeders Raw Data'!BZ91:BZ95),"")</f>
        <v/>
      </c>
      <c r="BB91" t="str">
        <f>IFERROR(SUMPRODUCT('Feeders Raw Data'!BT91:BT110,'Feeders Raw Data'!BY91:BY110)/SUM('Feeders Raw Data'!BY91:BY110),"")</f>
        <v/>
      </c>
      <c r="BC91">
        <f>IFERROR(SQRT((SUMSQ('Feeders Raw Data'!BT91:BT110)-2*SUMPRODUCT('Feeders Raw Data'!BT91:BT110,'Feeders Raw Data'!BT92:BT111)+SUMSQ('Feeders Raw Data'!BT92:BT111)-('Feeders Raw Data'!BT91-'Feeders Raw Data'!BT111)^2/20)/19),"")</f>
        <v>0</v>
      </c>
      <c r="BE91">
        <f>IFERROR('Fats Raw Data'!A91,"")</f>
        <v>0</v>
      </c>
      <c r="BF91">
        <f>IFERROR('Fats Raw Data'!F91,"")</f>
        <v>0</v>
      </c>
      <c r="BG91">
        <f>IFERROR('Fats Raw Data'!H91-'Fats Raw Data'!H92,"")</f>
        <v>0</v>
      </c>
      <c r="BH91" t="str">
        <f>IFERROR(AVERAGE('Fats Raw Data'!H91:H95),"")</f>
        <v/>
      </c>
      <c r="BI91" t="str">
        <f>IFERROR(SUMPRODUCT('Fats Raw Data'!B91:B110,'Fats Raw Data'!G91:G110)/SUM('Fats Raw Data'!G91:G110),"")</f>
        <v/>
      </c>
      <c r="BJ91">
        <f>IFERROR(SQRT((SUMSQ('Fats Raw Data'!B91:B110)-2*SUMPRODUCT('Fats Raw Data'!B91:B110,'Fats Raw Data'!B92:B111)+SUMSQ('Fats Raw Data'!B92:B111)-('Fats Raw Data'!B91-'Fats Raw Data'!B111)^2/20)/19),"")</f>
        <v>0</v>
      </c>
      <c r="BL91">
        <f>IFERROR('Fats Raw Data'!K91,"")</f>
        <v>0</v>
      </c>
      <c r="BM91">
        <f>IFERROR('Fats Raw Data'!P91,"")</f>
        <v>0</v>
      </c>
      <c r="BN91">
        <f>IFERROR('Fats Raw Data'!R91-'Fats Raw Data'!R92,"")</f>
        <v>0</v>
      </c>
      <c r="BO91" t="str">
        <f>IFERROR(AVERAGE('Fats Raw Data'!R91:R95),"")</f>
        <v/>
      </c>
      <c r="BP91" t="str">
        <f>IFERROR(SUMPRODUCT('Fats Raw Data'!L91:L110,'Fats Raw Data'!Q91:Q110)/SUM('Fats Raw Data'!Q91:Q110),"")</f>
        <v/>
      </c>
      <c r="BQ91">
        <f>IFERROR(SQRT((SUMSQ('Fats Raw Data'!L91:L110)-2*SUMPRODUCT('Fats Raw Data'!L91:L110,'Fats Raw Data'!L92:L111)+SUMSQ('Fats Raw Data'!L92:L111)-('Fats Raw Data'!L91-'Fats Raw Data'!L111)^2/20)/19),"")</f>
        <v>0</v>
      </c>
      <c r="BS91">
        <f>IFERROR('Fats Raw Data'!U91,"")</f>
        <v>0</v>
      </c>
      <c r="BT91">
        <f>IFERROR('Fats Raw Data'!Z91,"")</f>
        <v>0</v>
      </c>
      <c r="BU91">
        <f>IFERROR('Fats Raw Data'!AB91-'Fats Raw Data'!AB92,"")</f>
        <v>0</v>
      </c>
      <c r="BV91" t="str">
        <f>IFERROR(AVERAGE('Fats Raw Data'!AB91:AB95),"")</f>
        <v/>
      </c>
      <c r="BW91" t="str">
        <f>IFERROR(SUMPRODUCT('Fats Raw Data'!V91:V110,'Fats Raw Data'!AA91:AA110)/SUM('Fats Raw Data'!AA91:AA110),"")</f>
        <v/>
      </c>
      <c r="BX91">
        <f>IFERROR(SQRT((SUMSQ('Fats Raw Data'!V91:V110)-2*SUMPRODUCT('Fats Raw Data'!V91:V110,'Fats Raw Data'!V92:V111)+SUMSQ('Fats Raw Data'!V92:V111)-('Fats Raw Data'!V91-'Fats Raw Data'!V111)^2/20)/19),"")</f>
        <v>0</v>
      </c>
      <c r="BZ91">
        <f>IFERROR('Fats Raw Data'!AE91,"")</f>
        <v>0</v>
      </c>
      <c r="CA91">
        <f>IFERROR('Fats Raw Data'!AJ91,"")</f>
        <v>0</v>
      </c>
      <c r="CB91">
        <f>IFERROR('Fats Raw Data'!AL91-'Fats Raw Data'!AL92,"")</f>
        <v>0</v>
      </c>
      <c r="CC91" t="str">
        <f>IFERROR(AVERAGE('Fats Raw Data'!AL91:AL95),"")</f>
        <v/>
      </c>
      <c r="CD91" t="str">
        <f>IFERROR(SUMPRODUCT('Fats Raw Data'!AF91:AF110,'Fats Raw Data'!AK91:AK110)/SUM('Fats Raw Data'!AK91:AK110),"")</f>
        <v/>
      </c>
      <c r="CE91">
        <f>IFERROR(SQRT((SUMSQ('Fats Raw Data'!AF91:AF110)-2*SUMPRODUCT('Fats Raw Data'!AF91:AF110,'Fats Raw Data'!AF92:AF111)+SUMSQ('Fats Raw Data'!AF92:AF111)-('Fats Raw Data'!AF91-'Fats Raw Data'!AF111)^2/20)/19),"")</f>
        <v>0</v>
      </c>
      <c r="CG91">
        <f>IFERROR('Fats Raw Data'!AO91,"")</f>
        <v>0</v>
      </c>
      <c r="CH91">
        <f>IFERROR('Fats Raw Data'!AT91,"")</f>
        <v>0</v>
      </c>
      <c r="CI91">
        <f>IFERROR('Fats Raw Data'!AV91-'Fats Raw Data'!AV92,"")</f>
        <v>0</v>
      </c>
      <c r="CJ91" t="str">
        <f>IFERROR(AVERAGE('Fats Raw Data'!AV91:AV95),"")</f>
        <v/>
      </c>
      <c r="CK91" t="str">
        <f>IFERROR(SUMPRODUCT('Fats Raw Data'!AP91:AP110,'Fats Raw Data'!AU91:AU110)/SUM('Fats Raw Data'!AU91:AU110),"")</f>
        <v/>
      </c>
      <c r="CL91">
        <f>IFERROR(SQRT((SUMSQ('Fats Raw Data'!AP91:AP110)-2*SUMPRODUCT('Fats Raw Data'!AP91:AP110,'Fats Raw Data'!AP92:AP111)+SUMSQ('Fats Raw Data'!AP92:AP111)-('Fats Raw Data'!AP91-'Fats Raw Data'!AP111)^2/20)/19),"")</f>
        <v>0</v>
      </c>
      <c r="CN91">
        <f>IFERROR('Fats Raw Data'!AY91,"")</f>
        <v>0</v>
      </c>
      <c r="CO91">
        <f>IFERROR('Fats Raw Data'!BD91,"")</f>
        <v>0</v>
      </c>
      <c r="CP91">
        <f>IFERROR('Fats Raw Data'!BF91-'Fats Raw Data'!BF92,"")</f>
        <v>0</v>
      </c>
      <c r="CQ91" t="str">
        <f>IFERROR(AVERAGE('Fats Raw Data'!BF91:BF95),"")</f>
        <v/>
      </c>
      <c r="CR91" t="str">
        <f>IFERROR(SUMPRODUCT('Fats Raw Data'!AZ91:AZ110,'Fats Raw Data'!BE91:BE110)/SUM('Fats Raw Data'!BE91:BE110),"")</f>
        <v/>
      </c>
      <c r="CS91">
        <f>IFERROR(SQRT((SUMSQ('Fats Raw Data'!AZ91:AZ110)-2*SUMPRODUCT('Fats Raw Data'!AZ91:AZ110,'Fats Raw Data'!AZ92:AZ111)+SUMSQ('Fats Raw Data'!AZ92:AZ111)-('Fats Raw Data'!AZ91-'Fats Raw Data'!AZ111)^2/20)/19),"")</f>
        <v>0</v>
      </c>
    </row>
    <row r="92" spans="1:97" x14ac:dyDescent="0.25">
      <c r="A92">
        <f>IFERROR('Feeders Raw Data'!A92,"")</f>
        <v>0</v>
      </c>
      <c r="B92">
        <f>IFERROR('Feeders Raw Data'!F92,"")</f>
        <v>0</v>
      </c>
      <c r="C92">
        <f>IFERROR('Feeders Raw Data'!H92-'Feeders Raw Data'!H93,"")</f>
        <v>0</v>
      </c>
      <c r="D92" t="str">
        <f>IFERROR(AVERAGE('Feeders Raw Data'!H92:H96),"")</f>
        <v/>
      </c>
      <c r="E92" t="str">
        <f>IFERROR(SUMPRODUCT('Feeders Raw Data'!B92:B111,'Feeders Raw Data'!G92:G111)/SUM('Feeders Raw Data'!G92:G111),"")</f>
        <v/>
      </c>
      <c r="F92">
        <f>IFERROR(SQRT((SUMSQ('Feeders Raw Data'!B92:B111)-2*SUMPRODUCT('Feeders Raw Data'!B92:B111,'Feeders Raw Data'!B93:B112)+SUMSQ('Feeders Raw Data'!B93:B112)-('Feeders Raw Data'!B92-'Feeders Raw Data'!B112)^2/20)/19),"")</f>
        <v>0</v>
      </c>
      <c r="H92">
        <f>IFERROR('Feeders Raw Data'!K92,"")</f>
        <v>0</v>
      </c>
      <c r="I92">
        <f>IFERROR('Feeders Raw Data'!P92,"")</f>
        <v>0</v>
      </c>
      <c r="J92">
        <f>IFERROR('Feeders Raw Data'!R92-'Feeders Raw Data'!R93,"")</f>
        <v>0</v>
      </c>
      <c r="K92" t="str">
        <f>IFERROR(AVERAGE('Feeders Raw Data'!R92:R96),"")</f>
        <v/>
      </c>
      <c r="L92" t="str">
        <f>IFERROR(SUMPRODUCT('Feeders Raw Data'!L92:L111,'Feeders Raw Data'!Q92:Q111)/SUM('Feeders Raw Data'!Q92:Q111),"")</f>
        <v/>
      </c>
      <c r="M92">
        <f>IFERROR(SQRT((SUMSQ('Feeders Raw Data'!L92:L111)-2*SUMPRODUCT('Feeders Raw Data'!L92:L111,'Feeders Raw Data'!L93:L112)+SUMSQ('Feeders Raw Data'!L93:L112)-('Feeders Raw Data'!L92-'Feeders Raw Data'!L112)^2/20)/19),"")</f>
        <v>0</v>
      </c>
      <c r="O92">
        <f>IFERROR('Feeders Raw Data'!U92,"")</f>
        <v>0</v>
      </c>
      <c r="P92">
        <f>IFERROR('Feeders Raw Data'!Z92,"")</f>
        <v>0</v>
      </c>
      <c r="Q92">
        <f>IFERROR('Feeders Raw Data'!AB92-'Feeders Raw Data'!AB93,"")</f>
        <v>0</v>
      </c>
      <c r="R92" t="str">
        <f>IFERROR(AVERAGE('Feeders Raw Data'!AB92:AB96),"")</f>
        <v/>
      </c>
      <c r="S92" t="str">
        <f>IFERROR(SUMPRODUCT('Feeders Raw Data'!V92:V111,'Feeders Raw Data'!AA92:AA111)/SUM('Feeders Raw Data'!AA92:AA111),"")</f>
        <v/>
      </c>
      <c r="T92">
        <f>IFERROR(SQRT((SUMSQ('Feeders Raw Data'!V92:V111)-2*SUMPRODUCT('Feeders Raw Data'!V92:V111,'Feeders Raw Data'!V93:V112)+SUMSQ('Feeders Raw Data'!V93:V112)-('Feeders Raw Data'!V92-'Feeders Raw Data'!V112)^2/20)/19),"")</f>
        <v>0</v>
      </c>
      <c r="V92">
        <f>IFERROR('Feeders Raw Data'!AE92,"")</f>
        <v>0</v>
      </c>
      <c r="W92">
        <f>IFERROR('Feeders Raw Data'!AJ92,"")</f>
        <v>0</v>
      </c>
      <c r="X92">
        <f>IFERROR('Feeders Raw Data'!AL92-'Feeders Raw Data'!AL93,"")</f>
        <v>0</v>
      </c>
      <c r="Y92" t="str">
        <f>IFERROR(AVERAGE('Feeders Raw Data'!AL92:AL96),"")</f>
        <v/>
      </c>
      <c r="Z92" t="str">
        <f>IFERROR(SUMPRODUCT('Feeders Raw Data'!AF92:AF111,'Feeders Raw Data'!AK92:AK111)/SUM('Feeders Raw Data'!AK92:AK111),"")</f>
        <v/>
      </c>
      <c r="AA92">
        <f>IFERROR(SQRT((SUMSQ('Feeders Raw Data'!AF92:AF111)-2*SUMPRODUCT('Feeders Raw Data'!AF92:AF111,'Feeders Raw Data'!AF93:AF112)+SUMSQ('Feeders Raw Data'!AF93:AF112)-('Feeders Raw Data'!AF92-'Feeders Raw Data'!AF112)^2/20)/19),"")</f>
        <v>0</v>
      </c>
      <c r="AC92">
        <f>IFERROR('Feeders Raw Data'!AO92,"")</f>
        <v>0</v>
      </c>
      <c r="AD92">
        <f>IFERROR('Feeders Raw Data'!AT92,"")</f>
        <v>0</v>
      </c>
      <c r="AE92">
        <f>IFERROR('Feeders Raw Data'!AV92-'Feeders Raw Data'!AV93,"")</f>
        <v>0</v>
      </c>
      <c r="AF92" t="str">
        <f>IFERROR(AVERAGE('Feeders Raw Data'!AV92:AV96),"")</f>
        <v/>
      </c>
      <c r="AG92" t="str">
        <f>IFERROR(SUMPRODUCT('Feeders Raw Data'!AP92:AP111,'Feeders Raw Data'!AU92:AU111)/SUM('Feeders Raw Data'!AU92:AU111),"")</f>
        <v/>
      </c>
      <c r="AH92">
        <f>IFERROR(SQRT((SUMSQ('Feeders Raw Data'!AP92:AP111)-2*SUMPRODUCT('Feeders Raw Data'!AP92:AP111,'Feeders Raw Data'!AP93:AP112)+SUMSQ('Feeders Raw Data'!AP93:AP112)-('Feeders Raw Data'!AP92-'Feeders Raw Data'!AP112)^2/20)/19),"")</f>
        <v>0</v>
      </c>
      <c r="AJ92">
        <f>IFERROR('Feeders Raw Data'!AY92,"")</f>
        <v>0</v>
      </c>
      <c r="AK92">
        <f>IFERROR('Feeders Raw Data'!BD92,"")</f>
        <v>0</v>
      </c>
      <c r="AL92">
        <f>IFERROR('Feeders Raw Data'!BF92-'Feeders Raw Data'!BF93,"")</f>
        <v>0</v>
      </c>
      <c r="AM92" t="str">
        <f>IFERROR(AVERAGE('Feeders Raw Data'!BF92:BF96),"")</f>
        <v/>
      </c>
      <c r="AN92" t="str">
        <f>IFERROR(SUMPRODUCT('Feeders Raw Data'!AZ92:AZ111,'Feeders Raw Data'!BE92:BE111)/SUM('Feeders Raw Data'!BE92:BE111),"")</f>
        <v/>
      </c>
      <c r="AO92">
        <f>IFERROR(SQRT((SUMSQ('Feeders Raw Data'!AZ92:AZ111)-2*SUMPRODUCT('Feeders Raw Data'!AZ92:AZ111,'Feeders Raw Data'!AZ93:AZ112)+SUMSQ('Feeders Raw Data'!AZ93:AZ112)-('Feeders Raw Data'!AZ92-'Feeders Raw Data'!AZ112)^2/20)/19),"")</f>
        <v>0</v>
      </c>
      <c r="AQ92">
        <f>IFERROR('Feeders Raw Data'!BI92,"")</f>
        <v>0</v>
      </c>
      <c r="AR92">
        <f>IFERROR('Feeders Raw Data'!BN92,"")</f>
        <v>0</v>
      </c>
      <c r="AS92">
        <f>IFERROR('Feeders Raw Data'!BP92-'Feeders Raw Data'!BP93,"")</f>
        <v>0</v>
      </c>
      <c r="AT92" t="str">
        <f>IFERROR(AVERAGE('Feeders Raw Data'!BP92:BP96),"")</f>
        <v/>
      </c>
      <c r="AU92" t="str">
        <f>IFERROR(SUMPRODUCT('Feeders Raw Data'!BJ92:BJ111,'Feeders Raw Data'!BO92:BO111)/SUM('Feeders Raw Data'!BO92:BO111),"")</f>
        <v/>
      </c>
      <c r="AV92">
        <f>IFERROR(SQRT((SUMSQ('Feeders Raw Data'!BJ92:BJ111)-2*SUMPRODUCT('Feeders Raw Data'!BJ92:BJ111,'Feeders Raw Data'!BJ93:BJ112)+SUMSQ('Feeders Raw Data'!BJ93:BJ112)-('Feeders Raw Data'!BJ92-'Feeders Raw Data'!BJ112)^2/20)/19),"")</f>
        <v>0</v>
      </c>
      <c r="AX92">
        <f>IFERROR('Feeders Raw Data'!BS92,"")</f>
        <v>0</v>
      </c>
      <c r="AY92">
        <f>IFERROR('Feeders Raw Data'!BX92,"")</f>
        <v>0</v>
      </c>
      <c r="AZ92">
        <f>IFERROR('Feeders Raw Data'!BZ92-'Feeders Raw Data'!BZ93,"")</f>
        <v>0</v>
      </c>
      <c r="BA92" t="str">
        <f>IFERROR(AVERAGE('Feeders Raw Data'!BZ92:BZ96),"")</f>
        <v/>
      </c>
      <c r="BB92" t="str">
        <f>IFERROR(SUMPRODUCT('Feeders Raw Data'!BT92:BT111,'Feeders Raw Data'!BY92:BY111)/SUM('Feeders Raw Data'!BY92:BY111),"")</f>
        <v/>
      </c>
      <c r="BC92">
        <f>IFERROR(SQRT((SUMSQ('Feeders Raw Data'!BT92:BT111)-2*SUMPRODUCT('Feeders Raw Data'!BT92:BT111,'Feeders Raw Data'!BT93:BT112)+SUMSQ('Feeders Raw Data'!BT93:BT112)-('Feeders Raw Data'!BT92-'Feeders Raw Data'!BT112)^2/20)/19),"")</f>
        <v>0</v>
      </c>
      <c r="BE92">
        <f>IFERROR('Fats Raw Data'!A92,"")</f>
        <v>0</v>
      </c>
      <c r="BF92">
        <f>IFERROR('Fats Raw Data'!F92,"")</f>
        <v>0</v>
      </c>
      <c r="BG92">
        <f>IFERROR('Fats Raw Data'!H92-'Fats Raw Data'!H93,"")</f>
        <v>0</v>
      </c>
      <c r="BH92" t="str">
        <f>IFERROR(AVERAGE('Fats Raw Data'!H92:H96),"")</f>
        <v/>
      </c>
      <c r="BI92" t="str">
        <f>IFERROR(SUMPRODUCT('Fats Raw Data'!B92:B111,'Fats Raw Data'!G92:G111)/SUM('Fats Raw Data'!G92:G111),"")</f>
        <v/>
      </c>
      <c r="BJ92">
        <f>IFERROR(SQRT((SUMSQ('Fats Raw Data'!B92:B111)-2*SUMPRODUCT('Fats Raw Data'!B92:B111,'Fats Raw Data'!B93:B112)+SUMSQ('Fats Raw Data'!B93:B112)-('Fats Raw Data'!B92-'Fats Raw Data'!B112)^2/20)/19),"")</f>
        <v>0</v>
      </c>
      <c r="BL92">
        <f>IFERROR('Fats Raw Data'!K92,"")</f>
        <v>0</v>
      </c>
      <c r="BM92">
        <f>IFERROR('Fats Raw Data'!P92,"")</f>
        <v>0</v>
      </c>
      <c r="BN92">
        <f>IFERROR('Fats Raw Data'!R92-'Fats Raw Data'!R93,"")</f>
        <v>0</v>
      </c>
      <c r="BO92" t="str">
        <f>IFERROR(AVERAGE('Fats Raw Data'!R92:R96),"")</f>
        <v/>
      </c>
      <c r="BP92" t="str">
        <f>IFERROR(SUMPRODUCT('Fats Raw Data'!L92:L111,'Fats Raw Data'!Q92:Q111)/SUM('Fats Raw Data'!Q92:Q111),"")</f>
        <v/>
      </c>
      <c r="BQ92">
        <f>IFERROR(SQRT((SUMSQ('Fats Raw Data'!L92:L111)-2*SUMPRODUCT('Fats Raw Data'!L92:L111,'Fats Raw Data'!L93:L112)+SUMSQ('Fats Raw Data'!L93:L112)-('Fats Raw Data'!L92-'Fats Raw Data'!L112)^2/20)/19),"")</f>
        <v>0</v>
      </c>
      <c r="BS92">
        <f>IFERROR('Fats Raw Data'!U92,"")</f>
        <v>0</v>
      </c>
      <c r="BT92">
        <f>IFERROR('Fats Raw Data'!Z92,"")</f>
        <v>0</v>
      </c>
      <c r="BU92">
        <f>IFERROR('Fats Raw Data'!AB92-'Fats Raw Data'!AB93,"")</f>
        <v>0</v>
      </c>
      <c r="BV92" t="str">
        <f>IFERROR(AVERAGE('Fats Raw Data'!AB92:AB96),"")</f>
        <v/>
      </c>
      <c r="BW92" t="str">
        <f>IFERROR(SUMPRODUCT('Fats Raw Data'!V92:V111,'Fats Raw Data'!AA92:AA111)/SUM('Fats Raw Data'!AA92:AA111),"")</f>
        <v/>
      </c>
      <c r="BX92">
        <f>IFERROR(SQRT((SUMSQ('Fats Raw Data'!V92:V111)-2*SUMPRODUCT('Fats Raw Data'!V92:V111,'Fats Raw Data'!V93:V112)+SUMSQ('Fats Raw Data'!V93:V112)-('Fats Raw Data'!V92-'Fats Raw Data'!V112)^2/20)/19),"")</f>
        <v>0</v>
      </c>
      <c r="BZ92">
        <f>IFERROR('Fats Raw Data'!AE92,"")</f>
        <v>0</v>
      </c>
      <c r="CA92">
        <f>IFERROR('Fats Raw Data'!AJ92,"")</f>
        <v>0</v>
      </c>
      <c r="CB92">
        <f>IFERROR('Fats Raw Data'!AL92-'Fats Raw Data'!AL93,"")</f>
        <v>0</v>
      </c>
      <c r="CC92" t="str">
        <f>IFERROR(AVERAGE('Fats Raw Data'!AL92:AL96),"")</f>
        <v/>
      </c>
      <c r="CD92" t="str">
        <f>IFERROR(SUMPRODUCT('Fats Raw Data'!AF92:AF111,'Fats Raw Data'!AK92:AK111)/SUM('Fats Raw Data'!AK92:AK111),"")</f>
        <v/>
      </c>
      <c r="CE92">
        <f>IFERROR(SQRT((SUMSQ('Fats Raw Data'!AF92:AF111)-2*SUMPRODUCT('Fats Raw Data'!AF92:AF111,'Fats Raw Data'!AF93:AF112)+SUMSQ('Fats Raw Data'!AF93:AF112)-('Fats Raw Data'!AF92-'Fats Raw Data'!AF112)^2/20)/19),"")</f>
        <v>0</v>
      </c>
      <c r="CG92">
        <f>IFERROR('Fats Raw Data'!AO92,"")</f>
        <v>0</v>
      </c>
      <c r="CH92">
        <f>IFERROR('Fats Raw Data'!AT92,"")</f>
        <v>0</v>
      </c>
      <c r="CI92">
        <f>IFERROR('Fats Raw Data'!AV92-'Fats Raw Data'!AV93,"")</f>
        <v>0</v>
      </c>
      <c r="CJ92" t="str">
        <f>IFERROR(AVERAGE('Fats Raw Data'!AV92:AV96),"")</f>
        <v/>
      </c>
      <c r="CK92" t="str">
        <f>IFERROR(SUMPRODUCT('Fats Raw Data'!AP92:AP111,'Fats Raw Data'!AU92:AU111)/SUM('Fats Raw Data'!AU92:AU111),"")</f>
        <v/>
      </c>
      <c r="CL92">
        <f>IFERROR(SQRT((SUMSQ('Fats Raw Data'!AP92:AP111)-2*SUMPRODUCT('Fats Raw Data'!AP92:AP111,'Fats Raw Data'!AP93:AP112)+SUMSQ('Fats Raw Data'!AP93:AP112)-('Fats Raw Data'!AP92-'Fats Raw Data'!AP112)^2/20)/19),"")</f>
        <v>0</v>
      </c>
      <c r="CN92">
        <f>IFERROR('Fats Raw Data'!AY92,"")</f>
        <v>0</v>
      </c>
      <c r="CO92">
        <f>IFERROR('Fats Raw Data'!BD92,"")</f>
        <v>0</v>
      </c>
      <c r="CP92">
        <f>IFERROR('Fats Raw Data'!BF92-'Fats Raw Data'!BF93,"")</f>
        <v>0</v>
      </c>
      <c r="CQ92" t="str">
        <f>IFERROR(AVERAGE('Fats Raw Data'!BF92:BF96),"")</f>
        <v/>
      </c>
      <c r="CR92" t="str">
        <f>IFERROR(SUMPRODUCT('Fats Raw Data'!AZ92:AZ111,'Fats Raw Data'!BE92:BE111)/SUM('Fats Raw Data'!BE92:BE111),"")</f>
        <v/>
      </c>
      <c r="CS92">
        <f>IFERROR(SQRT((SUMSQ('Fats Raw Data'!AZ92:AZ111)-2*SUMPRODUCT('Fats Raw Data'!AZ92:AZ111,'Fats Raw Data'!AZ93:AZ112)+SUMSQ('Fats Raw Data'!AZ93:AZ112)-('Fats Raw Data'!AZ92-'Fats Raw Data'!AZ112)^2/20)/19),"")</f>
        <v>0</v>
      </c>
    </row>
    <row r="93" spans="1:97" x14ac:dyDescent="0.25">
      <c r="A93">
        <f>IFERROR('Feeders Raw Data'!A93,"")</f>
        <v>0</v>
      </c>
      <c r="B93">
        <f>IFERROR('Feeders Raw Data'!F93,"")</f>
        <v>0</v>
      </c>
      <c r="C93">
        <f>IFERROR('Feeders Raw Data'!H93-'Feeders Raw Data'!H94,"")</f>
        <v>0</v>
      </c>
      <c r="D93" t="str">
        <f>IFERROR(AVERAGE('Feeders Raw Data'!H93:H97),"")</f>
        <v/>
      </c>
      <c r="E93" t="str">
        <f>IFERROR(SUMPRODUCT('Feeders Raw Data'!B93:B112,'Feeders Raw Data'!G93:G112)/SUM('Feeders Raw Data'!G93:G112),"")</f>
        <v/>
      </c>
      <c r="F93">
        <f>IFERROR(SQRT((SUMSQ('Feeders Raw Data'!B93:B112)-2*SUMPRODUCT('Feeders Raw Data'!B93:B112,'Feeders Raw Data'!B94:B113)+SUMSQ('Feeders Raw Data'!B94:B113)-('Feeders Raw Data'!B93-'Feeders Raw Data'!B113)^2/20)/19),"")</f>
        <v>0</v>
      </c>
      <c r="H93">
        <f>IFERROR('Feeders Raw Data'!K93,"")</f>
        <v>0</v>
      </c>
      <c r="I93">
        <f>IFERROR('Feeders Raw Data'!P93,"")</f>
        <v>0</v>
      </c>
      <c r="J93">
        <f>IFERROR('Feeders Raw Data'!R93-'Feeders Raw Data'!R94,"")</f>
        <v>0</v>
      </c>
      <c r="K93" t="str">
        <f>IFERROR(AVERAGE('Feeders Raw Data'!R93:R97),"")</f>
        <v/>
      </c>
      <c r="L93" t="str">
        <f>IFERROR(SUMPRODUCT('Feeders Raw Data'!L93:L112,'Feeders Raw Data'!Q93:Q112)/SUM('Feeders Raw Data'!Q93:Q112),"")</f>
        <v/>
      </c>
      <c r="M93">
        <f>IFERROR(SQRT((SUMSQ('Feeders Raw Data'!L93:L112)-2*SUMPRODUCT('Feeders Raw Data'!L93:L112,'Feeders Raw Data'!L94:L113)+SUMSQ('Feeders Raw Data'!L94:L113)-('Feeders Raw Data'!L93-'Feeders Raw Data'!L113)^2/20)/19),"")</f>
        <v>0</v>
      </c>
      <c r="O93">
        <f>IFERROR('Feeders Raw Data'!U93,"")</f>
        <v>0</v>
      </c>
      <c r="P93">
        <f>IFERROR('Feeders Raw Data'!Z93,"")</f>
        <v>0</v>
      </c>
      <c r="Q93">
        <f>IFERROR('Feeders Raw Data'!AB93-'Feeders Raw Data'!AB94,"")</f>
        <v>0</v>
      </c>
      <c r="R93" t="str">
        <f>IFERROR(AVERAGE('Feeders Raw Data'!AB93:AB97),"")</f>
        <v/>
      </c>
      <c r="S93" t="str">
        <f>IFERROR(SUMPRODUCT('Feeders Raw Data'!V93:V112,'Feeders Raw Data'!AA93:AA112)/SUM('Feeders Raw Data'!AA93:AA112),"")</f>
        <v/>
      </c>
      <c r="T93">
        <f>IFERROR(SQRT((SUMSQ('Feeders Raw Data'!V93:V112)-2*SUMPRODUCT('Feeders Raw Data'!V93:V112,'Feeders Raw Data'!V94:V113)+SUMSQ('Feeders Raw Data'!V94:V113)-('Feeders Raw Data'!V93-'Feeders Raw Data'!V113)^2/20)/19),"")</f>
        <v>0</v>
      </c>
      <c r="V93">
        <f>IFERROR('Feeders Raw Data'!AE93,"")</f>
        <v>0</v>
      </c>
      <c r="W93">
        <f>IFERROR('Feeders Raw Data'!AJ93,"")</f>
        <v>0</v>
      </c>
      <c r="X93">
        <f>IFERROR('Feeders Raw Data'!AL93-'Feeders Raw Data'!AL94,"")</f>
        <v>0</v>
      </c>
      <c r="Y93" t="str">
        <f>IFERROR(AVERAGE('Feeders Raw Data'!AL93:AL97),"")</f>
        <v/>
      </c>
      <c r="Z93" t="str">
        <f>IFERROR(SUMPRODUCT('Feeders Raw Data'!AF93:AF112,'Feeders Raw Data'!AK93:AK112)/SUM('Feeders Raw Data'!AK93:AK112),"")</f>
        <v/>
      </c>
      <c r="AA93">
        <f>IFERROR(SQRT((SUMSQ('Feeders Raw Data'!AF93:AF112)-2*SUMPRODUCT('Feeders Raw Data'!AF93:AF112,'Feeders Raw Data'!AF94:AF113)+SUMSQ('Feeders Raw Data'!AF94:AF113)-('Feeders Raw Data'!AF93-'Feeders Raw Data'!AF113)^2/20)/19),"")</f>
        <v>0</v>
      </c>
      <c r="AC93">
        <f>IFERROR('Feeders Raw Data'!AO93,"")</f>
        <v>0</v>
      </c>
      <c r="AD93">
        <f>IFERROR('Feeders Raw Data'!AT93,"")</f>
        <v>0</v>
      </c>
      <c r="AE93">
        <f>IFERROR('Feeders Raw Data'!AV93-'Feeders Raw Data'!AV94,"")</f>
        <v>0</v>
      </c>
      <c r="AF93" t="str">
        <f>IFERROR(AVERAGE('Feeders Raw Data'!AV93:AV97),"")</f>
        <v/>
      </c>
      <c r="AG93" t="str">
        <f>IFERROR(SUMPRODUCT('Feeders Raw Data'!AP93:AP112,'Feeders Raw Data'!AU93:AU112)/SUM('Feeders Raw Data'!AU93:AU112),"")</f>
        <v/>
      </c>
      <c r="AH93">
        <f>IFERROR(SQRT((SUMSQ('Feeders Raw Data'!AP93:AP112)-2*SUMPRODUCT('Feeders Raw Data'!AP93:AP112,'Feeders Raw Data'!AP94:AP113)+SUMSQ('Feeders Raw Data'!AP94:AP113)-('Feeders Raw Data'!AP93-'Feeders Raw Data'!AP113)^2/20)/19),"")</f>
        <v>0</v>
      </c>
      <c r="AJ93">
        <f>IFERROR('Feeders Raw Data'!AY93,"")</f>
        <v>0</v>
      </c>
      <c r="AK93">
        <f>IFERROR('Feeders Raw Data'!BD93,"")</f>
        <v>0</v>
      </c>
      <c r="AL93">
        <f>IFERROR('Feeders Raw Data'!BF93-'Feeders Raw Data'!BF94,"")</f>
        <v>0</v>
      </c>
      <c r="AM93" t="str">
        <f>IFERROR(AVERAGE('Feeders Raw Data'!BF93:BF97),"")</f>
        <v/>
      </c>
      <c r="AN93" t="str">
        <f>IFERROR(SUMPRODUCT('Feeders Raw Data'!AZ93:AZ112,'Feeders Raw Data'!BE93:BE112)/SUM('Feeders Raw Data'!BE93:BE112),"")</f>
        <v/>
      </c>
      <c r="AO93">
        <f>IFERROR(SQRT((SUMSQ('Feeders Raw Data'!AZ93:AZ112)-2*SUMPRODUCT('Feeders Raw Data'!AZ93:AZ112,'Feeders Raw Data'!AZ94:AZ113)+SUMSQ('Feeders Raw Data'!AZ94:AZ113)-('Feeders Raw Data'!AZ93-'Feeders Raw Data'!AZ113)^2/20)/19),"")</f>
        <v>0</v>
      </c>
      <c r="AQ93">
        <f>IFERROR('Feeders Raw Data'!BI93,"")</f>
        <v>0</v>
      </c>
      <c r="AR93">
        <f>IFERROR('Feeders Raw Data'!BN93,"")</f>
        <v>0</v>
      </c>
      <c r="AS93">
        <f>IFERROR('Feeders Raw Data'!BP93-'Feeders Raw Data'!BP94,"")</f>
        <v>0</v>
      </c>
      <c r="AT93" t="str">
        <f>IFERROR(AVERAGE('Feeders Raw Data'!BP93:BP97),"")</f>
        <v/>
      </c>
      <c r="AU93" t="str">
        <f>IFERROR(SUMPRODUCT('Feeders Raw Data'!BJ93:BJ112,'Feeders Raw Data'!BO93:BO112)/SUM('Feeders Raw Data'!BO93:BO112),"")</f>
        <v/>
      </c>
      <c r="AV93">
        <f>IFERROR(SQRT((SUMSQ('Feeders Raw Data'!BJ93:BJ112)-2*SUMPRODUCT('Feeders Raw Data'!BJ93:BJ112,'Feeders Raw Data'!BJ94:BJ113)+SUMSQ('Feeders Raw Data'!BJ94:BJ113)-('Feeders Raw Data'!BJ93-'Feeders Raw Data'!BJ113)^2/20)/19),"")</f>
        <v>0</v>
      </c>
      <c r="AX93">
        <f>IFERROR('Feeders Raw Data'!BS93,"")</f>
        <v>0</v>
      </c>
      <c r="AY93">
        <f>IFERROR('Feeders Raw Data'!BX93,"")</f>
        <v>0</v>
      </c>
      <c r="AZ93">
        <f>IFERROR('Feeders Raw Data'!BZ93-'Feeders Raw Data'!BZ94,"")</f>
        <v>0</v>
      </c>
      <c r="BA93" t="str">
        <f>IFERROR(AVERAGE('Feeders Raw Data'!BZ93:BZ97),"")</f>
        <v/>
      </c>
      <c r="BB93" t="str">
        <f>IFERROR(SUMPRODUCT('Feeders Raw Data'!BT93:BT112,'Feeders Raw Data'!BY93:BY112)/SUM('Feeders Raw Data'!BY93:BY112),"")</f>
        <v/>
      </c>
      <c r="BC93">
        <f>IFERROR(SQRT((SUMSQ('Feeders Raw Data'!BT93:BT112)-2*SUMPRODUCT('Feeders Raw Data'!BT93:BT112,'Feeders Raw Data'!BT94:BT113)+SUMSQ('Feeders Raw Data'!BT94:BT113)-('Feeders Raw Data'!BT93-'Feeders Raw Data'!BT113)^2/20)/19),"")</f>
        <v>0</v>
      </c>
      <c r="BE93">
        <f>IFERROR('Fats Raw Data'!A93,"")</f>
        <v>0</v>
      </c>
      <c r="BF93">
        <f>IFERROR('Fats Raw Data'!F93,"")</f>
        <v>0</v>
      </c>
      <c r="BG93">
        <f>IFERROR('Fats Raw Data'!H93-'Fats Raw Data'!H94,"")</f>
        <v>0</v>
      </c>
      <c r="BH93" t="str">
        <f>IFERROR(AVERAGE('Fats Raw Data'!H93:H97),"")</f>
        <v/>
      </c>
      <c r="BI93" t="str">
        <f>IFERROR(SUMPRODUCT('Fats Raw Data'!B93:B112,'Fats Raw Data'!G93:G112)/SUM('Fats Raw Data'!G93:G112),"")</f>
        <v/>
      </c>
      <c r="BJ93">
        <f>IFERROR(SQRT((SUMSQ('Fats Raw Data'!B93:B112)-2*SUMPRODUCT('Fats Raw Data'!B93:B112,'Fats Raw Data'!B94:B113)+SUMSQ('Fats Raw Data'!B94:B113)-('Fats Raw Data'!B93-'Fats Raw Data'!B113)^2/20)/19),"")</f>
        <v>0</v>
      </c>
      <c r="BL93">
        <f>IFERROR('Fats Raw Data'!K93,"")</f>
        <v>0</v>
      </c>
      <c r="BM93">
        <f>IFERROR('Fats Raw Data'!P93,"")</f>
        <v>0</v>
      </c>
      <c r="BN93">
        <f>IFERROR('Fats Raw Data'!R93-'Fats Raw Data'!R94,"")</f>
        <v>0</v>
      </c>
      <c r="BO93" t="str">
        <f>IFERROR(AVERAGE('Fats Raw Data'!R93:R97),"")</f>
        <v/>
      </c>
      <c r="BP93" t="str">
        <f>IFERROR(SUMPRODUCT('Fats Raw Data'!L93:L112,'Fats Raw Data'!Q93:Q112)/SUM('Fats Raw Data'!Q93:Q112),"")</f>
        <v/>
      </c>
      <c r="BQ93">
        <f>IFERROR(SQRT((SUMSQ('Fats Raw Data'!L93:L112)-2*SUMPRODUCT('Fats Raw Data'!L93:L112,'Fats Raw Data'!L94:L113)+SUMSQ('Fats Raw Data'!L94:L113)-('Fats Raw Data'!L93-'Fats Raw Data'!L113)^2/20)/19),"")</f>
        <v>0</v>
      </c>
      <c r="BS93">
        <f>IFERROR('Fats Raw Data'!U93,"")</f>
        <v>0</v>
      </c>
      <c r="BT93">
        <f>IFERROR('Fats Raw Data'!Z93,"")</f>
        <v>0</v>
      </c>
      <c r="BU93">
        <f>IFERROR('Fats Raw Data'!AB93-'Fats Raw Data'!AB94,"")</f>
        <v>0</v>
      </c>
      <c r="BV93" t="str">
        <f>IFERROR(AVERAGE('Fats Raw Data'!AB93:AB97),"")</f>
        <v/>
      </c>
      <c r="BW93" t="str">
        <f>IFERROR(SUMPRODUCT('Fats Raw Data'!V93:V112,'Fats Raw Data'!AA93:AA112)/SUM('Fats Raw Data'!AA93:AA112),"")</f>
        <v/>
      </c>
      <c r="BX93">
        <f>IFERROR(SQRT((SUMSQ('Fats Raw Data'!V93:V112)-2*SUMPRODUCT('Fats Raw Data'!V93:V112,'Fats Raw Data'!V94:V113)+SUMSQ('Fats Raw Data'!V94:V113)-('Fats Raw Data'!V93-'Fats Raw Data'!V113)^2/20)/19),"")</f>
        <v>0</v>
      </c>
      <c r="BZ93">
        <f>IFERROR('Fats Raw Data'!AE93,"")</f>
        <v>0</v>
      </c>
      <c r="CA93">
        <f>IFERROR('Fats Raw Data'!AJ93,"")</f>
        <v>0</v>
      </c>
      <c r="CB93">
        <f>IFERROR('Fats Raw Data'!AL93-'Fats Raw Data'!AL94,"")</f>
        <v>0</v>
      </c>
      <c r="CC93" t="str">
        <f>IFERROR(AVERAGE('Fats Raw Data'!AL93:AL97),"")</f>
        <v/>
      </c>
      <c r="CD93" t="str">
        <f>IFERROR(SUMPRODUCT('Fats Raw Data'!AF93:AF112,'Fats Raw Data'!AK93:AK112)/SUM('Fats Raw Data'!AK93:AK112),"")</f>
        <v/>
      </c>
      <c r="CE93">
        <f>IFERROR(SQRT((SUMSQ('Fats Raw Data'!AF93:AF112)-2*SUMPRODUCT('Fats Raw Data'!AF93:AF112,'Fats Raw Data'!AF94:AF113)+SUMSQ('Fats Raw Data'!AF94:AF113)-('Fats Raw Data'!AF93-'Fats Raw Data'!AF113)^2/20)/19),"")</f>
        <v>0</v>
      </c>
      <c r="CG93">
        <f>IFERROR('Fats Raw Data'!AO93,"")</f>
        <v>0</v>
      </c>
      <c r="CH93">
        <f>IFERROR('Fats Raw Data'!AT93,"")</f>
        <v>0</v>
      </c>
      <c r="CI93">
        <f>IFERROR('Fats Raw Data'!AV93-'Fats Raw Data'!AV94,"")</f>
        <v>0</v>
      </c>
      <c r="CJ93" t="str">
        <f>IFERROR(AVERAGE('Fats Raw Data'!AV93:AV97),"")</f>
        <v/>
      </c>
      <c r="CK93" t="str">
        <f>IFERROR(SUMPRODUCT('Fats Raw Data'!AP93:AP112,'Fats Raw Data'!AU93:AU112)/SUM('Fats Raw Data'!AU93:AU112),"")</f>
        <v/>
      </c>
      <c r="CL93">
        <f>IFERROR(SQRT((SUMSQ('Fats Raw Data'!AP93:AP112)-2*SUMPRODUCT('Fats Raw Data'!AP93:AP112,'Fats Raw Data'!AP94:AP113)+SUMSQ('Fats Raw Data'!AP94:AP113)-('Fats Raw Data'!AP93-'Fats Raw Data'!AP113)^2/20)/19),"")</f>
        <v>0</v>
      </c>
      <c r="CN93">
        <f>IFERROR('Fats Raw Data'!AY93,"")</f>
        <v>0</v>
      </c>
      <c r="CO93">
        <f>IFERROR('Fats Raw Data'!BD93,"")</f>
        <v>0</v>
      </c>
      <c r="CP93">
        <f>IFERROR('Fats Raw Data'!BF93-'Fats Raw Data'!BF94,"")</f>
        <v>0</v>
      </c>
      <c r="CQ93" t="str">
        <f>IFERROR(AVERAGE('Fats Raw Data'!BF93:BF97),"")</f>
        <v/>
      </c>
      <c r="CR93" t="str">
        <f>IFERROR(SUMPRODUCT('Fats Raw Data'!AZ93:AZ112,'Fats Raw Data'!BE93:BE112)/SUM('Fats Raw Data'!BE93:BE112),"")</f>
        <v/>
      </c>
      <c r="CS93">
        <f>IFERROR(SQRT((SUMSQ('Fats Raw Data'!AZ93:AZ112)-2*SUMPRODUCT('Fats Raw Data'!AZ93:AZ112,'Fats Raw Data'!AZ94:AZ113)+SUMSQ('Fats Raw Data'!AZ94:AZ113)-('Fats Raw Data'!AZ93-'Fats Raw Data'!AZ113)^2/20)/19),"")</f>
        <v>0</v>
      </c>
    </row>
    <row r="94" spans="1:97" x14ac:dyDescent="0.25">
      <c r="A94">
        <f>IFERROR('Feeders Raw Data'!A94,"")</f>
        <v>0</v>
      </c>
      <c r="B94">
        <f>IFERROR('Feeders Raw Data'!F94,"")</f>
        <v>0</v>
      </c>
      <c r="C94">
        <f>IFERROR('Feeders Raw Data'!H94-'Feeders Raw Data'!H95,"")</f>
        <v>0</v>
      </c>
      <c r="D94" t="str">
        <f>IFERROR(AVERAGE('Feeders Raw Data'!H94:H98),"")</f>
        <v/>
      </c>
      <c r="E94" t="str">
        <f>IFERROR(SUMPRODUCT('Feeders Raw Data'!B94:B113,'Feeders Raw Data'!G94:G113)/SUM('Feeders Raw Data'!G94:G113),"")</f>
        <v/>
      </c>
      <c r="F94">
        <f>IFERROR(SQRT((SUMSQ('Feeders Raw Data'!B94:B113)-2*SUMPRODUCT('Feeders Raw Data'!B94:B113,'Feeders Raw Data'!B95:B114)+SUMSQ('Feeders Raw Data'!B95:B114)-('Feeders Raw Data'!B94-'Feeders Raw Data'!B114)^2/20)/19),"")</f>
        <v>0</v>
      </c>
      <c r="H94">
        <f>IFERROR('Feeders Raw Data'!K94,"")</f>
        <v>0</v>
      </c>
      <c r="I94">
        <f>IFERROR('Feeders Raw Data'!P94,"")</f>
        <v>0</v>
      </c>
      <c r="J94">
        <f>IFERROR('Feeders Raw Data'!R94-'Feeders Raw Data'!R95,"")</f>
        <v>0</v>
      </c>
      <c r="K94" t="str">
        <f>IFERROR(AVERAGE('Feeders Raw Data'!R94:R98),"")</f>
        <v/>
      </c>
      <c r="L94" t="str">
        <f>IFERROR(SUMPRODUCT('Feeders Raw Data'!L94:L113,'Feeders Raw Data'!Q94:Q113)/SUM('Feeders Raw Data'!Q94:Q113),"")</f>
        <v/>
      </c>
      <c r="M94">
        <f>IFERROR(SQRT((SUMSQ('Feeders Raw Data'!L94:L113)-2*SUMPRODUCT('Feeders Raw Data'!L94:L113,'Feeders Raw Data'!L95:L114)+SUMSQ('Feeders Raw Data'!L95:L114)-('Feeders Raw Data'!L94-'Feeders Raw Data'!L114)^2/20)/19),"")</f>
        <v>0</v>
      </c>
      <c r="O94">
        <f>IFERROR('Feeders Raw Data'!U94,"")</f>
        <v>0</v>
      </c>
      <c r="P94">
        <f>IFERROR('Feeders Raw Data'!Z94,"")</f>
        <v>0</v>
      </c>
      <c r="Q94">
        <f>IFERROR('Feeders Raw Data'!AB94-'Feeders Raw Data'!AB95,"")</f>
        <v>0</v>
      </c>
      <c r="R94" t="str">
        <f>IFERROR(AVERAGE('Feeders Raw Data'!AB94:AB98),"")</f>
        <v/>
      </c>
      <c r="S94" t="str">
        <f>IFERROR(SUMPRODUCT('Feeders Raw Data'!V94:V113,'Feeders Raw Data'!AA94:AA113)/SUM('Feeders Raw Data'!AA94:AA113),"")</f>
        <v/>
      </c>
      <c r="T94">
        <f>IFERROR(SQRT((SUMSQ('Feeders Raw Data'!V94:V113)-2*SUMPRODUCT('Feeders Raw Data'!V94:V113,'Feeders Raw Data'!V95:V114)+SUMSQ('Feeders Raw Data'!V95:V114)-('Feeders Raw Data'!V94-'Feeders Raw Data'!V114)^2/20)/19),"")</f>
        <v>0</v>
      </c>
      <c r="V94">
        <f>IFERROR('Feeders Raw Data'!AE94,"")</f>
        <v>0</v>
      </c>
      <c r="W94">
        <f>IFERROR('Feeders Raw Data'!AJ94,"")</f>
        <v>0</v>
      </c>
      <c r="X94">
        <f>IFERROR('Feeders Raw Data'!AL94-'Feeders Raw Data'!AL95,"")</f>
        <v>0</v>
      </c>
      <c r="Y94" t="str">
        <f>IFERROR(AVERAGE('Feeders Raw Data'!AL94:AL98),"")</f>
        <v/>
      </c>
      <c r="Z94" t="str">
        <f>IFERROR(SUMPRODUCT('Feeders Raw Data'!AF94:AF113,'Feeders Raw Data'!AK94:AK113)/SUM('Feeders Raw Data'!AK94:AK113),"")</f>
        <v/>
      </c>
      <c r="AA94">
        <f>IFERROR(SQRT((SUMSQ('Feeders Raw Data'!AF94:AF113)-2*SUMPRODUCT('Feeders Raw Data'!AF94:AF113,'Feeders Raw Data'!AF95:AF114)+SUMSQ('Feeders Raw Data'!AF95:AF114)-('Feeders Raw Data'!AF94-'Feeders Raw Data'!AF114)^2/20)/19),"")</f>
        <v>0</v>
      </c>
      <c r="AC94">
        <f>IFERROR('Feeders Raw Data'!AO94,"")</f>
        <v>0</v>
      </c>
      <c r="AD94">
        <f>IFERROR('Feeders Raw Data'!AT94,"")</f>
        <v>0</v>
      </c>
      <c r="AE94">
        <f>IFERROR('Feeders Raw Data'!AV94-'Feeders Raw Data'!AV95,"")</f>
        <v>0</v>
      </c>
      <c r="AF94" t="str">
        <f>IFERROR(AVERAGE('Feeders Raw Data'!AV94:AV98),"")</f>
        <v/>
      </c>
      <c r="AG94" t="str">
        <f>IFERROR(SUMPRODUCT('Feeders Raw Data'!AP94:AP113,'Feeders Raw Data'!AU94:AU113)/SUM('Feeders Raw Data'!AU94:AU113),"")</f>
        <v/>
      </c>
      <c r="AH94">
        <f>IFERROR(SQRT((SUMSQ('Feeders Raw Data'!AP94:AP113)-2*SUMPRODUCT('Feeders Raw Data'!AP94:AP113,'Feeders Raw Data'!AP95:AP114)+SUMSQ('Feeders Raw Data'!AP95:AP114)-('Feeders Raw Data'!AP94-'Feeders Raw Data'!AP114)^2/20)/19),"")</f>
        <v>0</v>
      </c>
      <c r="AJ94">
        <f>IFERROR('Feeders Raw Data'!AY94,"")</f>
        <v>0</v>
      </c>
      <c r="AK94">
        <f>IFERROR('Feeders Raw Data'!BD94,"")</f>
        <v>0</v>
      </c>
      <c r="AL94">
        <f>IFERROR('Feeders Raw Data'!BF94-'Feeders Raw Data'!BF95,"")</f>
        <v>0</v>
      </c>
      <c r="AM94" t="str">
        <f>IFERROR(AVERAGE('Feeders Raw Data'!BF94:BF98),"")</f>
        <v/>
      </c>
      <c r="AN94" t="str">
        <f>IFERROR(SUMPRODUCT('Feeders Raw Data'!AZ94:AZ113,'Feeders Raw Data'!BE94:BE113)/SUM('Feeders Raw Data'!BE94:BE113),"")</f>
        <v/>
      </c>
      <c r="AO94">
        <f>IFERROR(SQRT((SUMSQ('Feeders Raw Data'!AZ94:AZ113)-2*SUMPRODUCT('Feeders Raw Data'!AZ94:AZ113,'Feeders Raw Data'!AZ95:AZ114)+SUMSQ('Feeders Raw Data'!AZ95:AZ114)-('Feeders Raw Data'!AZ94-'Feeders Raw Data'!AZ114)^2/20)/19),"")</f>
        <v>0</v>
      </c>
      <c r="AQ94">
        <f>IFERROR('Feeders Raw Data'!BI94,"")</f>
        <v>0</v>
      </c>
      <c r="AR94">
        <f>IFERROR('Feeders Raw Data'!BN94,"")</f>
        <v>0</v>
      </c>
      <c r="AS94">
        <f>IFERROR('Feeders Raw Data'!BP94-'Feeders Raw Data'!BP95,"")</f>
        <v>0</v>
      </c>
      <c r="AT94" t="str">
        <f>IFERROR(AVERAGE('Feeders Raw Data'!BP94:BP98),"")</f>
        <v/>
      </c>
      <c r="AU94" t="str">
        <f>IFERROR(SUMPRODUCT('Feeders Raw Data'!BJ94:BJ113,'Feeders Raw Data'!BO94:BO113)/SUM('Feeders Raw Data'!BO94:BO113),"")</f>
        <v/>
      </c>
      <c r="AV94">
        <f>IFERROR(SQRT((SUMSQ('Feeders Raw Data'!BJ94:BJ113)-2*SUMPRODUCT('Feeders Raw Data'!BJ94:BJ113,'Feeders Raw Data'!BJ95:BJ114)+SUMSQ('Feeders Raw Data'!BJ95:BJ114)-('Feeders Raw Data'!BJ94-'Feeders Raw Data'!BJ114)^2/20)/19),"")</f>
        <v>0</v>
      </c>
      <c r="AX94">
        <f>IFERROR('Feeders Raw Data'!BS94,"")</f>
        <v>0</v>
      </c>
      <c r="AY94">
        <f>IFERROR('Feeders Raw Data'!BX94,"")</f>
        <v>0</v>
      </c>
      <c r="AZ94">
        <f>IFERROR('Feeders Raw Data'!BZ94-'Feeders Raw Data'!BZ95,"")</f>
        <v>0</v>
      </c>
      <c r="BA94" t="str">
        <f>IFERROR(AVERAGE('Feeders Raw Data'!BZ94:BZ98),"")</f>
        <v/>
      </c>
      <c r="BB94" t="str">
        <f>IFERROR(SUMPRODUCT('Feeders Raw Data'!BT94:BT113,'Feeders Raw Data'!BY94:BY113)/SUM('Feeders Raw Data'!BY94:BY113),"")</f>
        <v/>
      </c>
      <c r="BC94">
        <f>IFERROR(SQRT((SUMSQ('Feeders Raw Data'!BT94:BT113)-2*SUMPRODUCT('Feeders Raw Data'!BT94:BT113,'Feeders Raw Data'!BT95:BT114)+SUMSQ('Feeders Raw Data'!BT95:BT114)-('Feeders Raw Data'!BT94-'Feeders Raw Data'!BT114)^2/20)/19),"")</f>
        <v>0</v>
      </c>
      <c r="BE94">
        <f>IFERROR('Fats Raw Data'!A94,"")</f>
        <v>0</v>
      </c>
      <c r="BF94">
        <f>IFERROR('Fats Raw Data'!F94,"")</f>
        <v>0</v>
      </c>
      <c r="BG94">
        <f>IFERROR('Fats Raw Data'!H94-'Fats Raw Data'!H95,"")</f>
        <v>0</v>
      </c>
      <c r="BH94" t="str">
        <f>IFERROR(AVERAGE('Fats Raw Data'!H94:H98),"")</f>
        <v/>
      </c>
      <c r="BI94" t="str">
        <f>IFERROR(SUMPRODUCT('Fats Raw Data'!B94:B113,'Fats Raw Data'!G94:G113)/SUM('Fats Raw Data'!G94:G113),"")</f>
        <v/>
      </c>
      <c r="BJ94">
        <f>IFERROR(SQRT((SUMSQ('Fats Raw Data'!B94:B113)-2*SUMPRODUCT('Fats Raw Data'!B94:B113,'Fats Raw Data'!B95:B114)+SUMSQ('Fats Raw Data'!B95:B114)-('Fats Raw Data'!B94-'Fats Raw Data'!B114)^2/20)/19),"")</f>
        <v>0</v>
      </c>
      <c r="BL94">
        <f>IFERROR('Fats Raw Data'!K94,"")</f>
        <v>0</v>
      </c>
      <c r="BM94">
        <f>IFERROR('Fats Raw Data'!P94,"")</f>
        <v>0</v>
      </c>
      <c r="BN94">
        <f>IFERROR('Fats Raw Data'!R94-'Fats Raw Data'!R95,"")</f>
        <v>0</v>
      </c>
      <c r="BO94" t="str">
        <f>IFERROR(AVERAGE('Fats Raw Data'!R94:R98),"")</f>
        <v/>
      </c>
      <c r="BP94" t="str">
        <f>IFERROR(SUMPRODUCT('Fats Raw Data'!L94:L113,'Fats Raw Data'!Q94:Q113)/SUM('Fats Raw Data'!Q94:Q113),"")</f>
        <v/>
      </c>
      <c r="BQ94">
        <f>IFERROR(SQRT((SUMSQ('Fats Raw Data'!L94:L113)-2*SUMPRODUCT('Fats Raw Data'!L94:L113,'Fats Raw Data'!L95:L114)+SUMSQ('Fats Raw Data'!L95:L114)-('Fats Raw Data'!L94-'Fats Raw Data'!L114)^2/20)/19),"")</f>
        <v>0</v>
      </c>
      <c r="BS94">
        <f>IFERROR('Fats Raw Data'!U94,"")</f>
        <v>0</v>
      </c>
      <c r="BT94">
        <f>IFERROR('Fats Raw Data'!Z94,"")</f>
        <v>0</v>
      </c>
      <c r="BU94">
        <f>IFERROR('Fats Raw Data'!AB94-'Fats Raw Data'!AB95,"")</f>
        <v>0</v>
      </c>
      <c r="BV94" t="str">
        <f>IFERROR(AVERAGE('Fats Raw Data'!AB94:AB98),"")</f>
        <v/>
      </c>
      <c r="BW94" t="str">
        <f>IFERROR(SUMPRODUCT('Fats Raw Data'!V94:V113,'Fats Raw Data'!AA94:AA113)/SUM('Fats Raw Data'!AA94:AA113),"")</f>
        <v/>
      </c>
      <c r="BX94">
        <f>IFERROR(SQRT((SUMSQ('Fats Raw Data'!V94:V113)-2*SUMPRODUCT('Fats Raw Data'!V94:V113,'Fats Raw Data'!V95:V114)+SUMSQ('Fats Raw Data'!V95:V114)-('Fats Raw Data'!V94-'Fats Raw Data'!V114)^2/20)/19),"")</f>
        <v>0</v>
      </c>
      <c r="BZ94">
        <f>IFERROR('Fats Raw Data'!AE94,"")</f>
        <v>0</v>
      </c>
      <c r="CA94">
        <f>IFERROR('Fats Raw Data'!AJ94,"")</f>
        <v>0</v>
      </c>
      <c r="CB94">
        <f>IFERROR('Fats Raw Data'!AL94-'Fats Raw Data'!AL95,"")</f>
        <v>0</v>
      </c>
      <c r="CC94" t="str">
        <f>IFERROR(AVERAGE('Fats Raw Data'!AL94:AL98),"")</f>
        <v/>
      </c>
      <c r="CD94" t="str">
        <f>IFERROR(SUMPRODUCT('Fats Raw Data'!AF94:AF113,'Fats Raw Data'!AK94:AK113)/SUM('Fats Raw Data'!AK94:AK113),"")</f>
        <v/>
      </c>
      <c r="CE94">
        <f>IFERROR(SQRT((SUMSQ('Fats Raw Data'!AF94:AF113)-2*SUMPRODUCT('Fats Raw Data'!AF94:AF113,'Fats Raw Data'!AF95:AF114)+SUMSQ('Fats Raw Data'!AF95:AF114)-('Fats Raw Data'!AF94-'Fats Raw Data'!AF114)^2/20)/19),"")</f>
        <v>0</v>
      </c>
      <c r="CG94">
        <f>IFERROR('Fats Raw Data'!AO94,"")</f>
        <v>0</v>
      </c>
      <c r="CH94">
        <f>IFERROR('Fats Raw Data'!AT94,"")</f>
        <v>0</v>
      </c>
      <c r="CI94">
        <f>IFERROR('Fats Raw Data'!AV94-'Fats Raw Data'!AV95,"")</f>
        <v>0</v>
      </c>
      <c r="CJ94" t="str">
        <f>IFERROR(AVERAGE('Fats Raw Data'!AV94:AV98),"")</f>
        <v/>
      </c>
      <c r="CK94" t="str">
        <f>IFERROR(SUMPRODUCT('Fats Raw Data'!AP94:AP113,'Fats Raw Data'!AU94:AU113)/SUM('Fats Raw Data'!AU94:AU113),"")</f>
        <v/>
      </c>
      <c r="CL94">
        <f>IFERROR(SQRT((SUMSQ('Fats Raw Data'!AP94:AP113)-2*SUMPRODUCT('Fats Raw Data'!AP94:AP113,'Fats Raw Data'!AP95:AP114)+SUMSQ('Fats Raw Data'!AP95:AP114)-('Fats Raw Data'!AP94-'Fats Raw Data'!AP114)^2/20)/19),"")</f>
        <v>0</v>
      </c>
      <c r="CN94">
        <f>IFERROR('Fats Raw Data'!AY94,"")</f>
        <v>0</v>
      </c>
      <c r="CO94">
        <f>IFERROR('Fats Raw Data'!BD94,"")</f>
        <v>0</v>
      </c>
      <c r="CP94">
        <f>IFERROR('Fats Raw Data'!BF94-'Fats Raw Data'!BF95,"")</f>
        <v>0</v>
      </c>
      <c r="CQ94" t="str">
        <f>IFERROR(AVERAGE('Fats Raw Data'!BF94:BF98),"")</f>
        <v/>
      </c>
      <c r="CR94" t="str">
        <f>IFERROR(SUMPRODUCT('Fats Raw Data'!AZ94:AZ113,'Fats Raw Data'!BE94:BE113)/SUM('Fats Raw Data'!BE94:BE113),"")</f>
        <v/>
      </c>
      <c r="CS94">
        <f>IFERROR(SQRT((SUMSQ('Fats Raw Data'!AZ94:AZ113)-2*SUMPRODUCT('Fats Raw Data'!AZ94:AZ113,'Fats Raw Data'!AZ95:AZ114)+SUMSQ('Fats Raw Data'!AZ95:AZ114)-('Fats Raw Data'!AZ94-'Fats Raw Data'!AZ114)^2/20)/19),"")</f>
        <v>0</v>
      </c>
    </row>
    <row r="95" spans="1:97" x14ac:dyDescent="0.25">
      <c r="A95">
        <f>IFERROR('Feeders Raw Data'!A95,"")</f>
        <v>0</v>
      </c>
      <c r="B95">
        <f>IFERROR('Feeders Raw Data'!F95,"")</f>
        <v>0</v>
      </c>
      <c r="C95">
        <f>IFERROR('Feeders Raw Data'!H95-'Feeders Raw Data'!H96,"")</f>
        <v>0</v>
      </c>
      <c r="D95" t="str">
        <f>IFERROR(AVERAGE('Feeders Raw Data'!H95:H99),"")</f>
        <v/>
      </c>
      <c r="E95" t="str">
        <f>IFERROR(SUMPRODUCT('Feeders Raw Data'!B95:B114,'Feeders Raw Data'!G95:G114)/SUM('Feeders Raw Data'!G95:G114),"")</f>
        <v/>
      </c>
      <c r="F95">
        <f>IFERROR(SQRT((SUMSQ('Feeders Raw Data'!B95:B114)-2*SUMPRODUCT('Feeders Raw Data'!B95:B114,'Feeders Raw Data'!B96:B115)+SUMSQ('Feeders Raw Data'!B96:B115)-('Feeders Raw Data'!B95-'Feeders Raw Data'!B115)^2/20)/19),"")</f>
        <v>0</v>
      </c>
      <c r="H95">
        <f>IFERROR('Feeders Raw Data'!K95,"")</f>
        <v>0</v>
      </c>
      <c r="I95">
        <f>IFERROR('Feeders Raw Data'!P95,"")</f>
        <v>0</v>
      </c>
      <c r="J95">
        <f>IFERROR('Feeders Raw Data'!R95-'Feeders Raw Data'!R96,"")</f>
        <v>0</v>
      </c>
      <c r="K95" t="str">
        <f>IFERROR(AVERAGE('Feeders Raw Data'!R95:R99),"")</f>
        <v/>
      </c>
      <c r="L95" t="str">
        <f>IFERROR(SUMPRODUCT('Feeders Raw Data'!L95:L114,'Feeders Raw Data'!Q95:Q114)/SUM('Feeders Raw Data'!Q95:Q114),"")</f>
        <v/>
      </c>
      <c r="M95">
        <f>IFERROR(SQRT((SUMSQ('Feeders Raw Data'!L95:L114)-2*SUMPRODUCT('Feeders Raw Data'!L95:L114,'Feeders Raw Data'!L96:L115)+SUMSQ('Feeders Raw Data'!L96:L115)-('Feeders Raw Data'!L95-'Feeders Raw Data'!L115)^2/20)/19),"")</f>
        <v>0</v>
      </c>
      <c r="O95">
        <f>IFERROR('Feeders Raw Data'!U95,"")</f>
        <v>0</v>
      </c>
      <c r="P95">
        <f>IFERROR('Feeders Raw Data'!Z95,"")</f>
        <v>0</v>
      </c>
      <c r="Q95">
        <f>IFERROR('Feeders Raw Data'!AB95-'Feeders Raw Data'!AB96,"")</f>
        <v>0</v>
      </c>
      <c r="R95" t="str">
        <f>IFERROR(AVERAGE('Feeders Raw Data'!AB95:AB99),"")</f>
        <v/>
      </c>
      <c r="S95" t="str">
        <f>IFERROR(SUMPRODUCT('Feeders Raw Data'!V95:V114,'Feeders Raw Data'!AA95:AA114)/SUM('Feeders Raw Data'!AA95:AA114),"")</f>
        <v/>
      </c>
      <c r="T95">
        <f>IFERROR(SQRT((SUMSQ('Feeders Raw Data'!V95:V114)-2*SUMPRODUCT('Feeders Raw Data'!V95:V114,'Feeders Raw Data'!V96:V115)+SUMSQ('Feeders Raw Data'!V96:V115)-('Feeders Raw Data'!V95-'Feeders Raw Data'!V115)^2/20)/19),"")</f>
        <v>0</v>
      </c>
      <c r="V95">
        <f>IFERROR('Feeders Raw Data'!AE95,"")</f>
        <v>0</v>
      </c>
      <c r="W95">
        <f>IFERROR('Feeders Raw Data'!AJ95,"")</f>
        <v>0</v>
      </c>
      <c r="X95">
        <f>IFERROR('Feeders Raw Data'!AL95-'Feeders Raw Data'!AL96,"")</f>
        <v>0</v>
      </c>
      <c r="Y95" t="str">
        <f>IFERROR(AVERAGE('Feeders Raw Data'!AL95:AL99),"")</f>
        <v/>
      </c>
      <c r="Z95" t="str">
        <f>IFERROR(SUMPRODUCT('Feeders Raw Data'!AF95:AF114,'Feeders Raw Data'!AK95:AK114)/SUM('Feeders Raw Data'!AK95:AK114),"")</f>
        <v/>
      </c>
      <c r="AA95">
        <f>IFERROR(SQRT((SUMSQ('Feeders Raw Data'!AF95:AF114)-2*SUMPRODUCT('Feeders Raw Data'!AF95:AF114,'Feeders Raw Data'!AF96:AF115)+SUMSQ('Feeders Raw Data'!AF96:AF115)-('Feeders Raw Data'!AF95-'Feeders Raw Data'!AF115)^2/20)/19),"")</f>
        <v>0</v>
      </c>
      <c r="AC95">
        <f>IFERROR('Feeders Raw Data'!AO95,"")</f>
        <v>0</v>
      </c>
      <c r="AD95">
        <f>IFERROR('Feeders Raw Data'!AT95,"")</f>
        <v>0</v>
      </c>
      <c r="AE95">
        <f>IFERROR('Feeders Raw Data'!AV95-'Feeders Raw Data'!AV96,"")</f>
        <v>0</v>
      </c>
      <c r="AF95" t="str">
        <f>IFERROR(AVERAGE('Feeders Raw Data'!AV95:AV99),"")</f>
        <v/>
      </c>
      <c r="AG95" t="str">
        <f>IFERROR(SUMPRODUCT('Feeders Raw Data'!AP95:AP114,'Feeders Raw Data'!AU95:AU114)/SUM('Feeders Raw Data'!AU95:AU114),"")</f>
        <v/>
      </c>
      <c r="AH95">
        <f>IFERROR(SQRT((SUMSQ('Feeders Raw Data'!AP95:AP114)-2*SUMPRODUCT('Feeders Raw Data'!AP95:AP114,'Feeders Raw Data'!AP96:AP115)+SUMSQ('Feeders Raw Data'!AP96:AP115)-('Feeders Raw Data'!AP95-'Feeders Raw Data'!AP115)^2/20)/19),"")</f>
        <v>0</v>
      </c>
      <c r="AJ95">
        <f>IFERROR('Feeders Raw Data'!AY95,"")</f>
        <v>0</v>
      </c>
      <c r="AK95">
        <f>IFERROR('Feeders Raw Data'!BD95,"")</f>
        <v>0</v>
      </c>
      <c r="AL95">
        <f>IFERROR('Feeders Raw Data'!BF95-'Feeders Raw Data'!BF96,"")</f>
        <v>0</v>
      </c>
      <c r="AM95" t="str">
        <f>IFERROR(AVERAGE('Feeders Raw Data'!BF95:BF99),"")</f>
        <v/>
      </c>
      <c r="AN95" t="str">
        <f>IFERROR(SUMPRODUCT('Feeders Raw Data'!AZ95:AZ114,'Feeders Raw Data'!BE95:BE114)/SUM('Feeders Raw Data'!BE95:BE114),"")</f>
        <v/>
      </c>
      <c r="AO95">
        <f>IFERROR(SQRT((SUMSQ('Feeders Raw Data'!AZ95:AZ114)-2*SUMPRODUCT('Feeders Raw Data'!AZ95:AZ114,'Feeders Raw Data'!AZ96:AZ115)+SUMSQ('Feeders Raw Data'!AZ96:AZ115)-('Feeders Raw Data'!AZ95-'Feeders Raw Data'!AZ115)^2/20)/19),"")</f>
        <v>0</v>
      </c>
      <c r="AQ95">
        <f>IFERROR('Feeders Raw Data'!BI95,"")</f>
        <v>0</v>
      </c>
      <c r="AR95">
        <f>IFERROR('Feeders Raw Data'!BN95,"")</f>
        <v>0</v>
      </c>
      <c r="AS95">
        <f>IFERROR('Feeders Raw Data'!BP95-'Feeders Raw Data'!BP96,"")</f>
        <v>0</v>
      </c>
      <c r="AT95" t="str">
        <f>IFERROR(AVERAGE('Feeders Raw Data'!BP95:BP99),"")</f>
        <v/>
      </c>
      <c r="AU95" t="str">
        <f>IFERROR(SUMPRODUCT('Feeders Raw Data'!BJ95:BJ114,'Feeders Raw Data'!BO95:BO114)/SUM('Feeders Raw Data'!BO95:BO114),"")</f>
        <v/>
      </c>
      <c r="AV95">
        <f>IFERROR(SQRT((SUMSQ('Feeders Raw Data'!BJ95:BJ114)-2*SUMPRODUCT('Feeders Raw Data'!BJ95:BJ114,'Feeders Raw Data'!BJ96:BJ115)+SUMSQ('Feeders Raw Data'!BJ96:BJ115)-('Feeders Raw Data'!BJ95-'Feeders Raw Data'!BJ115)^2/20)/19),"")</f>
        <v>0</v>
      </c>
      <c r="AX95">
        <f>IFERROR('Feeders Raw Data'!BS95,"")</f>
        <v>0</v>
      </c>
      <c r="AY95">
        <f>IFERROR('Feeders Raw Data'!BX95,"")</f>
        <v>0</v>
      </c>
      <c r="AZ95">
        <f>IFERROR('Feeders Raw Data'!BZ95-'Feeders Raw Data'!BZ96,"")</f>
        <v>0</v>
      </c>
      <c r="BA95" t="str">
        <f>IFERROR(AVERAGE('Feeders Raw Data'!BZ95:BZ99),"")</f>
        <v/>
      </c>
      <c r="BB95" t="str">
        <f>IFERROR(SUMPRODUCT('Feeders Raw Data'!BT95:BT114,'Feeders Raw Data'!BY95:BY114)/SUM('Feeders Raw Data'!BY95:BY114),"")</f>
        <v/>
      </c>
      <c r="BC95">
        <f>IFERROR(SQRT((SUMSQ('Feeders Raw Data'!BT95:BT114)-2*SUMPRODUCT('Feeders Raw Data'!BT95:BT114,'Feeders Raw Data'!BT96:BT115)+SUMSQ('Feeders Raw Data'!BT96:BT115)-('Feeders Raw Data'!BT95-'Feeders Raw Data'!BT115)^2/20)/19),"")</f>
        <v>0</v>
      </c>
      <c r="BE95">
        <f>IFERROR('Fats Raw Data'!A95,"")</f>
        <v>0</v>
      </c>
      <c r="BF95">
        <f>IFERROR('Fats Raw Data'!F95,"")</f>
        <v>0</v>
      </c>
      <c r="BG95">
        <f>IFERROR('Fats Raw Data'!H95-'Fats Raw Data'!H96,"")</f>
        <v>0</v>
      </c>
      <c r="BH95" t="str">
        <f>IFERROR(AVERAGE('Fats Raw Data'!H95:H99),"")</f>
        <v/>
      </c>
      <c r="BI95" t="str">
        <f>IFERROR(SUMPRODUCT('Fats Raw Data'!B95:B114,'Fats Raw Data'!G95:G114)/SUM('Fats Raw Data'!G95:G114),"")</f>
        <v/>
      </c>
      <c r="BJ95">
        <f>IFERROR(SQRT((SUMSQ('Fats Raw Data'!B95:B114)-2*SUMPRODUCT('Fats Raw Data'!B95:B114,'Fats Raw Data'!B96:B115)+SUMSQ('Fats Raw Data'!B96:B115)-('Fats Raw Data'!B95-'Fats Raw Data'!B115)^2/20)/19),"")</f>
        <v>0</v>
      </c>
      <c r="BL95">
        <f>IFERROR('Fats Raw Data'!K95,"")</f>
        <v>0</v>
      </c>
      <c r="BM95">
        <f>IFERROR('Fats Raw Data'!P95,"")</f>
        <v>0</v>
      </c>
      <c r="BN95">
        <f>IFERROR('Fats Raw Data'!R95-'Fats Raw Data'!R96,"")</f>
        <v>0</v>
      </c>
      <c r="BO95" t="str">
        <f>IFERROR(AVERAGE('Fats Raw Data'!R95:R99),"")</f>
        <v/>
      </c>
      <c r="BP95" t="str">
        <f>IFERROR(SUMPRODUCT('Fats Raw Data'!L95:L114,'Fats Raw Data'!Q95:Q114)/SUM('Fats Raw Data'!Q95:Q114),"")</f>
        <v/>
      </c>
      <c r="BQ95">
        <f>IFERROR(SQRT((SUMSQ('Fats Raw Data'!L95:L114)-2*SUMPRODUCT('Fats Raw Data'!L95:L114,'Fats Raw Data'!L96:L115)+SUMSQ('Fats Raw Data'!L96:L115)-('Fats Raw Data'!L95-'Fats Raw Data'!L115)^2/20)/19),"")</f>
        <v>0</v>
      </c>
      <c r="BS95">
        <f>IFERROR('Fats Raw Data'!U95,"")</f>
        <v>0</v>
      </c>
      <c r="BT95">
        <f>IFERROR('Fats Raw Data'!Z95,"")</f>
        <v>0</v>
      </c>
      <c r="BU95">
        <f>IFERROR('Fats Raw Data'!AB95-'Fats Raw Data'!AB96,"")</f>
        <v>0</v>
      </c>
      <c r="BV95" t="str">
        <f>IFERROR(AVERAGE('Fats Raw Data'!AB95:AB99),"")</f>
        <v/>
      </c>
      <c r="BW95" t="str">
        <f>IFERROR(SUMPRODUCT('Fats Raw Data'!V95:V114,'Fats Raw Data'!AA95:AA114)/SUM('Fats Raw Data'!AA95:AA114),"")</f>
        <v/>
      </c>
      <c r="BX95">
        <f>IFERROR(SQRT((SUMSQ('Fats Raw Data'!V95:V114)-2*SUMPRODUCT('Fats Raw Data'!V95:V114,'Fats Raw Data'!V96:V115)+SUMSQ('Fats Raw Data'!V96:V115)-('Fats Raw Data'!V95-'Fats Raw Data'!V115)^2/20)/19),"")</f>
        <v>0</v>
      </c>
      <c r="BZ95">
        <f>IFERROR('Fats Raw Data'!AE95,"")</f>
        <v>0</v>
      </c>
      <c r="CA95">
        <f>IFERROR('Fats Raw Data'!AJ95,"")</f>
        <v>0</v>
      </c>
      <c r="CB95">
        <f>IFERROR('Fats Raw Data'!AL95-'Fats Raw Data'!AL96,"")</f>
        <v>0</v>
      </c>
      <c r="CC95" t="str">
        <f>IFERROR(AVERAGE('Fats Raw Data'!AL95:AL99),"")</f>
        <v/>
      </c>
      <c r="CD95" t="str">
        <f>IFERROR(SUMPRODUCT('Fats Raw Data'!AF95:AF114,'Fats Raw Data'!AK95:AK114)/SUM('Fats Raw Data'!AK95:AK114),"")</f>
        <v/>
      </c>
      <c r="CE95">
        <f>IFERROR(SQRT((SUMSQ('Fats Raw Data'!AF95:AF114)-2*SUMPRODUCT('Fats Raw Data'!AF95:AF114,'Fats Raw Data'!AF96:AF115)+SUMSQ('Fats Raw Data'!AF96:AF115)-('Fats Raw Data'!AF95-'Fats Raw Data'!AF115)^2/20)/19),"")</f>
        <v>0</v>
      </c>
      <c r="CG95">
        <f>IFERROR('Fats Raw Data'!AO95,"")</f>
        <v>0</v>
      </c>
      <c r="CH95">
        <f>IFERROR('Fats Raw Data'!AT95,"")</f>
        <v>0</v>
      </c>
      <c r="CI95">
        <f>IFERROR('Fats Raw Data'!AV95-'Fats Raw Data'!AV96,"")</f>
        <v>0</v>
      </c>
      <c r="CJ95" t="str">
        <f>IFERROR(AVERAGE('Fats Raw Data'!AV95:AV99),"")</f>
        <v/>
      </c>
      <c r="CK95" t="str">
        <f>IFERROR(SUMPRODUCT('Fats Raw Data'!AP95:AP114,'Fats Raw Data'!AU95:AU114)/SUM('Fats Raw Data'!AU95:AU114),"")</f>
        <v/>
      </c>
      <c r="CL95">
        <f>IFERROR(SQRT((SUMSQ('Fats Raw Data'!AP95:AP114)-2*SUMPRODUCT('Fats Raw Data'!AP95:AP114,'Fats Raw Data'!AP96:AP115)+SUMSQ('Fats Raw Data'!AP96:AP115)-('Fats Raw Data'!AP95-'Fats Raw Data'!AP115)^2/20)/19),"")</f>
        <v>0</v>
      </c>
      <c r="CN95">
        <f>IFERROR('Fats Raw Data'!AY95,"")</f>
        <v>0</v>
      </c>
      <c r="CO95">
        <f>IFERROR('Fats Raw Data'!BD95,"")</f>
        <v>0</v>
      </c>
      <c r="CP95">
        <f>IFERROR('Fats Raw Data'!BF95-'Fats Raw Data'!BF96,"")</f>
        <v>0</v>
      </c>
      <c r="CQ95" t="str">
        <f>IFERROR(AVERAGE('Fats Raw Data'!BF95:BF99),"")</f>
        <v/>
      </c>
      <c r="CR95" t="str">
        <f>IFERROR(SUMPRODUCT('Fats Raw Data'!AZ95:AZ114,'Fats Raw Data'!BE95:BE114)/SUM('Fats Raw Data'!BE95:BE114),"")</f>
        <v/>
      </c>
      <c r="CS95">
        <f>IFERROR(SQRT((SUMSQ('Fats Raw Data'!AZ95:AZ114)-2*SUMPRODUCT('Fats Raw Data'!AZ95:AZ114,'Fats Raw Data'!AZ96:AZ115)+SUMSQ('Fats Raw Data'!AZ96:AZ115)-('Fats Raw Data'!AZ95-'Fats Raw Data'!AZ115)^2/20)/19),"")</f>
        <v>0</v>
      </c>
    </row>
    <row r="96" spans="1:97" x14ac:dyDescent="0.25">
      <c r="A96">
        <f>IFERROR('Feeders Raw Data'!A96,"")</f>
        <v>0</v>
      </c>
      <c r="B96">
        <f>IFERROR('Feeders Raw Data'!F96,"")</f>
        <v>0</v>
      </c>
      <c r="C96">
        <f>IFERROR('Feeders Raw Data'!H96-'Feeders Raw Data'!H97,"")</f>
        <v>0</v>
      </c>
      <c r="D96" t="str">
        <f>IFERROR(AVERAGE('Feeders Raw Data'!H96:H100),"")</f>
        <v/>
      </c>
      <c r="E96" t="str">
        <f>IFERROR(SUMPRODUCT('Feeders Raw Data'!B96:B115,'Feeders Raw Data'!G96:G115)/SUM('Feeders Raw Data'!G96:G115),"")</f>
        <v/>
      </c>
      <c r="F96">
        <f>IFERROR(SQRT((SUMSQ('Feeders Raw Data'!B96:B115)-2*SUMPRODUCT('Feeders Raw Data'!B96:B115,'Feeders Raw Data'!B97:B116)+SUMSQ('Feeders Raw Data'!B97:B116)-('Feeders Raw Data'!B96-'Feeders Raw Data'!B116)^2/20)/19),"")</f>
        <v>0</v>
      </c>
      <c r="H96">
        <f>IFERROR('Feeders Raw Data'!K96,"")</f>
        <v>0</v>
      </c>
      <c r="I96">
        <f>IFERROR('Feeders Raw Data'!P96,"")</f>
        <v>0</v>
      </c>
      <c r="J96">
        <f>IFERROR('Feeders Raw Data'!R96-'Feeders Raw Data'!R97,"")</f>
        <v>0</v>
      </c>
      <c r="K96" t="str">
        <f>IFERROR(AVERAGE('Feeders Raw Data'!R96:R100),"")</f>
        <v/>
      </c>
      <c r="L96" t="str">
        <f>IFERROR(SUMPRODUCT('Feeders Raw Data'!L96:L115,'Feeders Raw Data'!Q96:Q115)/SUM('Feeders Raw Data'!Q96:Q115),"")</f>
        <v/>
      </c>
      <c r="M96">
        <f>IFERROR(SQRT((SUMSQ('Feeders Raw Data'!L96:L115)-2*SUMPRODUCT('Feeders Raw Data'!L96:L115,'Feeders Raw Data'!L97:L116)+SUMSQ('Feeders Raw Data'!L97:L116)-('Feeders Raw Data'!L96-'Feeders Raw Data'!L116)^2/20)/19),"")</f>
        <v>0</v>
      </c>
      <c r="O96">
        <f>IFERROR('Feeders Raw Data'!U96,"")</f>
        <v>0</v>
      </c>
      <c r="P96">
        <f>IFERROR('Feeders Raw Data'!Z96,"")</f>
        <v>0</v>
      </c>
      <c r="Q96">
        <f>IFERROR('Feeders Raw Data'!AB96-'Feeders Raw Data'!AB97,"")</f>
        <v>0</v>
      </c>
      <c r="R96" t="str">
        <f>IFERROR(AVERAGE('Feeders Raw Data'!AB96:AB100),"")</f>
        <v/>
      </c>
      <c r="S96" t="str">
        <f>IFERROR(SUMPRODUCT('Feeders Raw Data'!V96:V115,'Feeders Raw Data'!AA96:AA115)/SUM('Feeders Raw Data'!AA96:AA115),"")</f>
        <v/>
      </c>
      <c r="T96">
        <f>IFERROR(SQRT((SUMSQ('Feeders Raw Data'!V96:V115)-2*SUMPRODUCT('Feeders Raw Data'!V96:V115,'Feeders Raw Data'!V97:V116)+SUMSQ('Feeders Raw Data'!V97:V116)-('Feeders Raw Data'!V96-'Feeders Raw Data'!V116)^2/20)/19),"")</f>
        <v>0</v>
      </c>
      <c r="V96">
        <f>IFERROR('Feeders Raw Data'!AE96,"")</f>
        <v>0</v>
      </c>
      <c r="W96">
        <f>IFERROR('Feeders Raw Data'!AJ96,"")</f>
        <v>0</v>
      </c>
      <c r="X96">
        <f>IFERROR('Feeders Raw Data'!AL96-'Feeders Raw Data'!AL97,"")</f>
        <v>0</v>
      </c>
      <c r="Y96" t="str">
        <f>IFERROR(AVERAGE('Feeders Raw Data'!AL96:AL100),"")</f>
        <v/>
      </c>
      <c r="Z96" t="str">
        <f>IFERROR(SUMPRODUCT('Feeders Raw Data'!AF96:AF115,'Feeders Raw Data'!AK96:AK115)/SUM('Feeders Raw Data'!AK96:AK115),"")</f>
        <v/>
      </c>
      <c r="AA96">
        <f>IFERROR(SQRT((SUMSQ('Feeders Raw Data'!AF96:AF115)-2*SUMPRODUCT('Feeders Raw Data'!AF96:AF115,'Feeders Raw Data'!AF97:AF116)+SUMSQ('Feeders Raw Data'!AF97:AF116)-('Feeders Raw Data'!AF96-'Feeders Raw Data'!AF116)^2/20)/19),"")</f>
        <v>0</v>
      </c>
      <c r="AC96">
        <f>IFERROR('Feeders Raw Data'!AO96,"")</f>
        <v>0</v>
      </c>
      <c r="AD96">
        <f>IFERROR('Feeders Raw Data'!AT96,"")</f>
        <v>0</v>
      </c>
      <c r="AE96">
        <f>IFERROR('Feeders Raw Data'!AV96-'Feeders Raw Data'!AV97,"")</f>
        <v>0</v>
      </c>
      <c r="AF96" t="str">
        <f>IFERROR(AVERAGE('Feeders Raw Data'!AV96:AV100),"")</f>
        <v/>
      </c>
      <c r="AG96" t="str">
        <f>IFERROR(SUMPRODUCT('Feeders Raw Data'!AP96:AP115,'Feeders Raw Data'!AU96:AU115)/SUM('Feeders Raw Data'!AU96:AU115),"")</f>
        <v/>
      </c>
      <c r="AH96">
        <f>IFERROR(SQRT((SUMSQ('Feeders Raw Data'!AP96:AP115)-2*SUMPRODUCT('Feeders Raw Data'!AP96:AP115,'Feeders Raw Data'!AP97:AP116)+SUMSQ('Feeders Raw Data'!AP97:AP116)-('Feeders Raw Data'!AP96-'Feeders Raw Data'!AP116)^2/20)/19),"")</f>
        <v>0</v>
      </c>
      <c r="AJ96">
        <f>IFERROR('Feeders Raw Data'!AY96,"")</f>
        <v>0</v>
      </c>
      <c r="AK96">
        <f>IFERROR('Feeders Raw Data'!BD96,"")</f>
        <v>0</v>
      </c>
      <c r="AL96">
        <f>IFERROR('Feeders Raw Data'!BF96-'Feeders Raw Data'!BF97,"")</f>
        <v>0</v>
      </c>
      <c r="AM96" t="str">
        <f>IFERROR(AVERAGE('Feeders Raw Data'!BF96:BF100),"")</f>
        <v/>
      </c>
      <c r="AN96" t="str">
        <f>IFERROR(SUMPRODUCT('Feeders Raw Data'!AZ96:AZ115,'Feeders Raw Data'!BE96:BE115)/SUM('Feeders Raw Data'!BE96:BE115),"")</f>
        <v/>
      </c>
      <c r="AO96">
        <f>IFERROR(SQRT((SUMSQ('Feeders Raw Data'!AZ96:AZ115)-2*SUMPRODUCT('Feeders Raw Data'!AZ96:AZ115,'Feeders Raw Data'!AZ97:AZ116)+SUMSQ('Feeders Raw Data'!AZ97:AZ116)-('Feeders Raw Data'!AZ96-'Feeders Raw Data'!AZ116)^2/20)/19),"")</f>
        <v>0</v>
      </c>
      <c r="AQ96">
        <f>IFERROR('Feeders Raw Data'!BI96,"")</f>
        <v>0</v>
      </c>
      <c r="AR96">
        <f>IFERROR('Feeders Raw Data'!BN96,"")</f>
        <v>0</v>
      </c>
      <c r="AS96">
        <f>IFERROR('Feeders Raw Data'!BP96-'Feeders Raw Data'!BP97,"")</f>
        <v>0</v>
      </c>
      <c r="AT96" t="str">
        <f>IFERROR(AVERAGE('Feeders Raw Data'!BP96:BP100),"")</f>
        <v/>
      </c>
      <c r="AU96" t="str">
        <f>IFERROR(SUMPRODUCT('Feeders Raw Data'!BJ96:BJ115,'Feeders Raw Data'!BO96:BO115)/SUM('Feeders Raw Data'!BO96:BO115),"")</f>
        <v/>
      </c>
      <c r="AV96">
        <f>IFERROR(SQRT((SUMSQ('Feeders Raw Data'!BJ96:BJ115)-2*SUMPRODUCT('Feeders Raw Data'!BJ96:BJ115,'Feeders Raw Data'!BJ97:BJ116)+SUMSQ('Feeders Raw Data'!BJ97:BJ116)-('Feeders Raw Data'!BJ96-'Feeders Raw Data'!BJ116)^2/20)/19),"")</f>
        <v>0</v>
      </c>
      <c r="AX96">
        <f>IFERROR('Feeders Raw Data'!BS96,"")</f>
        <v>0</v>
      </c>
      <c r="AY96">
        <f>IFERROR('Feeders Raw Data'!BX96,"")</f>
        <v>0</v>
      </c>
      <c r="AZ96">
        <f>IFERROR('Feeders Raw Data'!BZ96-'Feeders Raw Data'!BZ97,"")</f>
        <v>0</v>
      </c>
      <c r="BA96" t="str">
        <f>IFERROR(AVERAGE('Feeders Raw Data'!BZ96:BZ100),"")</f>
        <v/>
      </c>
      <c r="BB96" t="str">
        <f>IFERROR(SUMPRODUCT('Feeders Raw Data'!BT96:BT115,'Feeders Raw Data'!BY96:BY115)/SUM('Feeders Raw Data'!BY96:BY115),"")</f>
        <v/>
      </c>
      <c r="BC96">
        <f>IFERROR(SQRT((SUMSQ('Feeders Raw Data'!BT96:BT115)-2*SUMPRODUCT('Feeders Raw Data'!BT96:BT115,'Feeders Raw Data'!BT97:BT116)+SUMSQ('Feeders Raw Data'!BT97:BT116)-('Feeders Raw Data'!BT96-'Feeders Raw Data'!BT116)^2/20)/19),"")</f>
        <v>0</v>
      </c>
      <c r="BE96">
        <f>IFERROR('Fats Raw Data'!A96,"")</f>
        <v>0</v>
      </c>
      <c r="BF96">
        <f>IFERROR('Fats Raw Data'!F96,"")</f>
        <v>0</v>
      </c>
      <c r="BG96">
        <f>IFERROR('Fats Raw Data'!H96-'Fats Raw Data'!H97,"")</f>
        <v>0</v>
      </c>
      <c r="BH96" t="str">
        <f>IFERROR(AVERAGE('Fats Raw Data'!H96:H100),"")</f>
        <v/>
      </c>
      <c r="BI96" t="str">
        <f>IFERROR(SUMPRODUCT('Fats Raw Data'!B96:B115,'Fats Raw Data'!G96:G115)/SUM('Fats Raw Data'!G96:G115),"")</f>
        <v/>
      </c>
      <c r="BJ96">
        <f>IFERROR(SQRT((SUMSQ('Fats Raw Data'!B96:B115)-2*SUMPRODUCT('Fats Raw Data'!B96:B115,'Fats Raw Data'!B97:B116)+SUMSQ('Fats Raw Data'!B97:B116)-('Fats Raw Data'!B96-'Fats Raw Data'!B116)^2/20)/19),"")</f>
        <v>0</v>
      </c>
      <c r="BL96">
        <f>IFERROR('Fats Raw Data'!K96,"")</f>
        <v>0</v>
      </c>
      <c r="BM96">
        <f>IFERROR('Fats Raw Data'!P96,"")</f>
        <v>0</v>
      </c>
      <c r="BN96">
        <f>IFERROR('Fats Raw Data'!R96-'Fats Raw Data'!R97,"")</f>
        <v>0</v>
      </c>
      <c r="BO96" t="str">
        <f>IFERROR(AVERAGE('Fats Raw Data'!R96:R100),"")</f>
        <v/>
      </c>
      <c r="BP96" t="str">
        <f>IFERROR(SUMPRODUCT('Fats Raw Data'!L96:L115,'Fats Raw Data'!Q96:Q115)/SUM('Fats Raw Data'!Q96:Q115),"")</f>
        <v/>
      </c>
      <c r="BQ96">
        <f>IFERROR(SQRT((SUMSQ('Fats Raw Data'!L96:L115)-2*SUMPRODUCT('Fats Raw Data'!L96:L115,'Fats Raw Data'!L97:L116)+SUMSQ('Fats Raw Data'!L97:L116)-('Fats Raw Data'!L96-'Fats Raw Data'!L116)^2/20)/19),"")</f>
        <v>0</v>
      </c>
      <c r="BS96">
        <f>IFERROR('Fats Raw Data'!U96,"")</f>
        <v>0</v>
      </c>
      <c r="BT96">
        <f>IFERROR('Fats Raw Data'!Z96,"")</f>
        <v>0</v>
      </c>
      <c r="BU96">
        <f>IFERROR('Fats Raw Data'!AB96-'Fats Raw Data'!AB97,"")</f>
        <v>0</v>
      </c>
      <c r="BV96" t="str">
        <f>IFERROR(AVERAGE('Fats Raw Data'!AB96:AB100),"")</f>
        <v/>
      </c>
      <c r="BW96" t="str">
        <f>IFERROR(SUMPRODUCT('Fats Raw Data'!V96:V115,'Fats Raw Data'!AA96:AA115)/SUM('Fats Raw Data'!AA96:AA115),"")</f>
        <v/>
      </c>
      <c r="BX96">
        <f>IFERROR(SQRT((SUMSQ('Fats Raw Data'!V96:V115)-2*SUMPRODUCT('Fats Raw Data'!V96:V115,'Fats Raw Data'!V97:V116)+SUMSQ('Fats Raw Data'!V97:V116)-('Fats Raw Data'!V96-'Fats Raw Data'!V116)^2/20)/19),"")</f>
        <v>0</v>
      </c>
      <c r="BZ96">
        <f>IFERROR('Fats Raw Data'!AE96,"")</f>
        <v>0</v>
      </c>
      <c r="CA96">
        <f>IFERROR('Fats Raw Data'!AJ96,"")</f>
        <v>0</v>
      </c>
      <c r="CB96">
        <f>IFERROR('Fats Raw Data'!AL96-'Fats Raw Data'!AL97,"")</f>
        <v>0</v>
      </c>
      <c r="CC96" t="str">
        <f>IFERROR(AVERAGE('Fats Raw Data'!AL96:AL100),"")</f>
        <v/>
      </c>
      <c r="CD96" t="str">
        <f>IFERROR(SUMPRODUCT('Fats Raw Data'!AF96:AF115,'Fats Raw Data'!AK96:AK115)/SUM('Fats Raw Data'!AK96:AK115),"")</f>
        <v/>
      </c>
      <c r="CE96">
        <f>IFERROR(SQRT((SUMSQ('Fats Raw Data'!AF96:AF115)-2*SUMPRODUCT('Fats Raw Data'!AF96:AF115,'Fats Raw Data'!AF97:AF116)+SUMSQ('Fats Raw Data'!AF97:AF116)-('Fats Raw Data'!AF96-'Fats Raw Data'!AF116)^2/20)/19),"")</f>
        <v>0</v>
      </c>
      <c r="CG96">
        <f>IFERROR('Fats Raw Data'!AO96,"")</f>
        <v>0</v>
      </c>
      <c r="CH96">
        <f>IFERROR('Fats Raw Data'!AT96,"")</f>
        <v>0</v>
      </c>
      <c r="CI96">
        <f>IFERROR('Fats Raw Data'!AV96-'Fats Raw Data'!AV97,"")</f>
        <v>0</v>
      </c>
      <c r="CJ96" t="str">
        <f>IFERROR(AVERAGE('Fats Raw Data'!AV96:AV100),"")</f>
        <v/>
      </c>
      <c r="CK96" t="str">
        <f>IFERROR(SUMPRODUCT('Fats Raw Data'!AP96:AP115,'Fats Raw Data'!AU96:AU115)/SUM('Fats Raw Data'!AU96:AU115),"")</f>
        <v/>
      </c>
      <c r="CL96">
        <f>IFERROR(SQRT((SUMSQ('Fats Raw Data'!AP96:AP115)-2*SUMPRODUCT('Fats Raw Data'!AP96:AP115,'Fats Raw Data'!AP97:AP116)+SUMSQ('Fats Raw Data'!AP97:AP116)-('Fats Raw Data'!AP96-'Fats Raw Data'!AP116)^2/20)/19),"")</f>
        <v>0</v>
      </c>
      <c r="CN96">
        <f>IFERROR('Fats Raw Data'!AY96,"")</f>
        <v>0</v>
      </c>
      <c r="CO96">
        <f>IFERROR('Fats Raw Data'!BD96,"")</f>
        <v>0</v>
      </c>
      <c r="CP96">
        <f>IFERROR('Fats Raw Data'!BF96-'Fats Raw Data'!BF97,"")</f>
        <v>0</v>
      </c>
      <c r="CQ96" t="str">
        <f>IFERROR(AVERAGE('Fats Raw Data'!BF96:BF100),"")</f>
        <v/>
      </c>
      <c r="CR96" t="str">
        <f>IFERROR(SUMPRODUCT('Fats Raw Data'!AZ96:AZ115,'Fats Raw Data'!BE96:BE115)/SUM('Fats Raw Data'!BE96:BE115),"")</f>
        <v/>
      </c>
      <c r="CS96">
        <f>IFERROR(SQRT((SUMSQ('Fats Raw Data'!AZ96:AZ115)-2*SUMPRODUCT('Fats Raw Data'!AZ96:AZ115,'Fats Raw Data'!AZ97:AZ116)+SUMSQ('Fats Raw Data'!AZ97:AZ116)-('Fats Raw Data'!AZ96-'Fats Raw Data'!AZ116)^2/20)/19),"")</f>
        <v>0</v>
      </c>
    </row>
    <row r="97" spans="1:97" x14ac:dyDescent="0.25">
      <c r="A97">
        <f>IFERROR('Feeders Raw Data'!A97,"")</f>
        <v>0</v>
      </c>
      <c r="B97">
        <f>IFERROR('Feeders Raw Data'!F97,"")</f>
        <v>0</v>
      </c>
      <c r="C97">
        <f>IFERROR('Feeders Raw Data'!H97-'Feeders Raw Data'!H98,"")</f>
        <v>0</v>
      </c>
      <c r="D97" t="str">
        <f>IFERROR(AVERAGE('Feeders Raw Data'!H97:H101),"")</f>
        <v/>
      </c>
      <c r="E97" t="str">
        <f>IFERROR(SUMPRODUCT('Feeders Raw Data'!B97:B116,'Feeders Raw Data'!G97:G116)/SUM('Feeders Raw Data'!G97:G116),"")</f>
        <v/>
      </c>
      <c r="F97">
        <f>IFERROR(SQRT((SUMSQ('Feeders Raw Data'!B97:B116)-2*SUMPRODUCT('Feeders Raw Data'!B97:B116,'Feeders Raw Data'!B98:B117)+SUMSQ('Feeders Raw Data'!B98:B117)-('Feeders Raw Data'!B97-'Feeders Raw Data'!B117)^2/20)/19),"")</f>
        <v>0</v>
      </c>
      <c r="H97">
        <f>IFERROR('Feeders Raw Data'!K97,"")</f>
        <v>0</v>
      </c>
      <c r="I97">
        <f>IFERROR('Feeders Raw Data'!P97,"")</f>
        <v>0</v>
      </c>
      <c r="J97">
        <f>IFERROR('Feeders Raw Data'!R97-'Feeders Raw Data'!R98,"")</f>
        <v>0</v>
      </c>
      <c r="K97" t="str">
        <f>IFERROR(AVERAGE('Feeders Raw Data'!R97:R101),"")</f>
        <v/>
      </c>
      <c r="L97" t="str">
        <f>IFERROR(SUMPRODUCT('Feeders Raw Data'!L97:L116,'Feeders Raw Data'!Q97:Q116)/SUM('Feeders Raw Data'!Q97:Q116),"")</f>
        <v/>
      </c>
      <c r="M97">
        <f>IFERROR(SQRT((SUMSQ('Feeders Raw Data'!L97:L116)-2*SUMPRODUCT('Feeders Raw Data'!L97:L116,'Feeders Raw Data'!L98:L117)+SUMSQ('Feeders Raw Data'!L98:L117)-('Feeders Raw Data'!L97-'Feeders Raw Data'!L117)^2/20)/19),"")</f>
        <v>0</v>
      </c>
      <c r="O97">
        <f>IFERROR('Feeders Raw Data'!U97,"")</f>
        <v>0</v>
      </c>
      <c r="P97">
        <f>IFERROR('Feeders Raw Data'!Z97,"")</f>
        <v>0</v>
      </c>
      <c r="Q97">
        <f>IFERROR('Feeders Raw Data'!AB97-'Feeders Raw Data'!AB98,"")</f>
        <v>0</v>
      </c>
      <c r="R97" t="str">
        <f>IFERROR(AVERAGE('Feeders Raw Data'!AB97:AB101),"")</f>
        <v/>
      </c>
      <c r="S97" t="str">
        <f>IFERROR(SUMPRODUCT('Feeders Raw Data'!V97:V116,'Feeders Raw Data'!AA97:AA116)/SUM('Feeders Raw Data'!AA97:AA116),"")</f>
        <v/>
      </c>
      <c r="T97">
        <f>IFERROR(SQRT((SUMSQ('Feeders Raw Data'!V97:V116)-2*SUMPRODUCT('Feeders Raw Data'!V97:V116,'Feeders Raw Data'!V98:V117)+SUMSQ('Feeders Raw Data'!V98:V117)-('Feeders Raw Data'!V97-'Feeders Raw Data'!V117)^2/20)/19),"")</f>
        <v>0</v>
      </c>
      <c r="V97">
        <f>IFERROR('Feeders Raw Data'!AE97,"")</f>
        <v>0</v>
      </c>
      <c r="W97">
        <f>IFERROR('Feeders Raw Data'!AJ97,"")</f>
        <v>0</v>
      </c>
      <c r="X97">
        <f>IFERROR('Feeders Raw Data'!AL97-'Feeders Raw Data'!AL98,"")</f>
        <v>0</v>
      </c>
      <c r="Y97" t="str">
        <f>IFERROR(AVERAGE('Feeders Raw Data'!AL97:AL101),"")</f>
        <v/>
      </c>
      <c r="Z97" t="str">
        <f>IFERROR(SUMPRODUCT('Feeders Raw Data'!AF97:AF116,'Feeders Raw Data'!AK97:AK116)/SUM('Feeders Raw Data'!AK97:AK116),"")</f>
        <v/>
      </c>
      <c r="AA97">
        <f>IFERROR(SQRT((SUMSQ('Feeders Raw Data'!AF97:AF116)-2*SUMPRODUCT('Feeders Raw Data'!AF97:AF116,'Feeders Raw Data'!AF98:AF117)+SUMSQ('Feeders Raw Data'!AF98:AF117)-('Feeders Raw Data'!AF97-'Feeders Raw Data'!AF117)^2/20)/19),"")</f>
        <v>0</v>
      </c>
      <c r="AC97">
        <f>IFERROR('Feeders Raw Data'!AO97,"")</f>
        <v>0</v>
      </c>
      <c r="AD97">
        <f>IFERROR('Feeders Raw Data'!AT97,"")</f>
        <v>0</v>
      </c>
      <c r="AE97">
        <f>IFERROR('Feeders Raw Data'!AV97-'Feeders Raw Data'!AV98,"")</f>
        <v>0</v>
      </c>
      <c r="AF97" t="str">
        <f>IFERROR(AVERAGE('Feeders Raw Data'!AV97:AV101),"")</f>
        <v/>
      </c>
      <c r="AG97" t="str">
        <f>IFERROR(SUMPRODUCT('Feeders Raw Data'!AP97:AP116,'Feeders Raw Data'!AU97:AU116)/SUM('Feeders Raw Data'!AU97:AU116),"")</f>
        <v/>
      </c>
      <c r="AH97">
        <f>IFERROR(SQRT((SUMSQ('Feeders Raw Data'!AP97:AP116)-2*SUMPRODUCT('Feeders Raw Data'!AP97:AP116,'Feeders Raw Data'!AP98:AP117)+SUMSQ('Feeders Raw Data'!AP98:AP117)-('Feeders Raw Data'!AP97-'Feeders Raw Data'!AP117)^2/20)/19),"")</f>
        <v>0</v>
      </c>
      <c r="AJ97">
        <f>IFERROR('Feeders Raw Data'!AY97,"")</f>
        <v>0</v>
      </c>
      <c r="AK97">
        <f>IFERROR('Feeders Raw Data'!BD97,"")</f>
        <v>0</v>
      </c>
      <c r="AL97">
        <f>IFERROR('Feeders Raw Data'!BF97-'Feeders Raw Data'!BF98,"")</f>
        <v>0</v>
      </c>
      <c r="AM97" t="str">
        <f>IFERROR(AVERAGE('Feeders Raw Data'!BF97:BF101),"")</f>
        <v/>
      </c>
      <c r="AN97" t="str">
        <f>IFERROR(SUMPRODUCT('Feeders Raw Data'!AZ97:AZ116,'Feeders Raw Data'!BE97:BE116)/SUM('Feeders Raw Data'!BE97:BE116),"")</f>
        <v/>
      </c>
      <c r="AO97">
        <f>IFERROR(SQRT((SUMSQ('Feeders Raw Data'!AZ97:AZ116)-2*SUMPRODUCT('Feeders Raw Data'!AZ97:AZ116,'Feeders Raw Data'!AZ98:AZ117)+SUMSQ('Feeders Raw Data'!AZ98:AZ117)-('Feeders Raw Data'!AZ97-'Feeders Raw Data'!AZ117)^2/20)/19),"")</f>
        <v>0</v>
      </c>
      <c r="AQ97">
        <f>IFERROR('Feeders Raw Data'!BI97,"")</f>
        <v>0</v>
      </c>
      <c r="AR97">
        <f>IFERROR('Feeders Raw Data'!BN97,"")</f>
        <v>0</v>
      </c>
      <c r="AS97">
        <f>IFERROR('Feeders Raw Data'!BP97-'Feeders Raw Data'!BP98,"")</f>
        <v>0</v>
      </c>
      <c r="AT97" t="str">
        <f>IFERROR(AVERAGE('Feeders Raw Data'!BP97:BP101),"")</f>
        <v/>
      </c>
      <c r="AU97" t="str">
        <f>IFERROR(SUMPRODUCT('Feeders Raw Data'!BJ97:BJ116,'Feeders Raw Data'!BO97:BO116)/SUM('Feeders Raw Data'!BO97:BO116),"")</f>
        <v/>
      </c>
      <c r="AV97">
        <f>IFERROR(SQRT((SUMSQ('Feeders Raw Data'!BJ97:BJ116)-2*SUMPRODUCT('Feeders Raw Data'!BJ97:BJ116,'Feeders Raw Data'!BJ98:BJ117)+SUMSQ('Feeders Raw Data'!BJ98:BJ117)-('Feeders Raw Data'!BJ97-'Feeders Raw Data'!BJ117)^2/20)/19),"")</f>
        <v>0</v>
      </c>
      <c r="AX97">
        <f>IFERROR('Feeders Raw Data'!BS97,"")</f>
        <v>0</v>
      </c>
      <c r="AY97">
        <f>IFERROR('Feeders Raw Data'!BX97,"")</f>
        <v>0</v>
      </c>
      <c r="AZ97">
        <f>IFERROR('Feeders Raw Data'!BZ97-'Feeders Raw Data'!BZ98,"")</f>
        <v>0</v>
      </c>
      <c r="BA97" t="str">
        <f>IFERROR(AVERAGE('Feeders Raw Data'!BZ97:BZ101),"")</f>
        <v/>
      </c>
      <c r="BB97" t="str">
        <f>IFERROR(SUMPRODUCT('Feeders Raw Data'!BT97:BT116,'Feeders Raw Data'!BY97:BY116)/SUM('Feeders Raw Data'!BY97:BY116),"")</f>
        <v/>
      </c>
      <c r="BC97">
        <f>IFERROR(SQRT((SUMSQ('Feeders Raw Data'!BT97:BT116)-2*SUMPRODUCT('Feeders Raw Data'!BT97:BT116,'Feeders Raw Data'!BT98:BT117)+SUMSQ('Feeders Raw Data'!BT98:BT117)-('Feeders Raw Data'!BT97-'Feeders Raw Data'!BT117)^2/20)/19),"")</f>
        <v>0</v>
      </c>
      <c r="BE97">
        <f>IFERROR('Fats Raw Data'!A97,"")</f>
        <v>0</v>
      </c>
      <c r="BF97">
        <f>IFERROR('Fats Raw Data'!F97,"")</f>
        <v>0</v>
      </c>
      <c r="BG97">
        <f>IFERROR('Fats Raw Data'!H97-'Fats Raw Data'!H98,"")</f>
        <v>0</v>
      </c>
      <c r="BH97" t="str">
        <f>IFERROR(AVERAGE('Fats Raw Data'!H97:H101),"")</f>
        <v/>
      </c>
      <c r="BI97" t="str">
        <f>IFERROR(SUMPRODUCT('Fats Raw Data'!B97:B116,'Fats Raw Data'!G97:G116)/SUM('Fats Raw Data'!G97:G116),"")</f>
        <v/>
      </c>
      <c r="BJ97">
        <f>IFERROR(SQRT((SUMSQ('Fats Raw Data'!B97:B116)-2*SUMPRODUCT('Fats Raw Data'!B97:B116,'Fats Raw Data'!B98:B117)+SUMSQ('Fats Raw Data'!B98:B117)-('Fats Raw Data'!B97-'Fats Raw Data'!B117)^2/20)/19),"")</f>
        <v>0</v>
      </c>
      <c r="BL97">
        <f>IFERROR('Fats Raw Data'!K97,"")</f>
        <v>0</v>
      </c>
      <c r="BM97">
        <f>IFERROR('Fats Raw Data'!P97,"")</f>
        <v>0</v>
      </c>
      <c r="BN97">
        <f>IFERROR('Fats Raw Data'!R97-'Fats Raw Data'!R98,"")</f>
        <v>0</v>
      </c>
      <c r="BO97" t="str">
        <f>IFERROR(AVERAGE('Fats Raw Data'!R97:R101),"")</f>
        <v/>
      </c>
      <c r="BP97" t="str">
        <f>IFERROR(SUMPRODUCT('Fats Raw Data'!L97:L116,'Fats Raw Data'!Q97:Q116)/SUM('Fats Raw Data'!Q97:Q116),"")</f>
        <v/>
      </c>
      <c r="BQ97">
        <f>IFERROR(SQRT((SUMSQ('Fats Raw Data'!L97:L116)-2*SUMPRODUCT('Fats Raw Data'!L97:L116,'Fats Raw Data'!L98:L117)+SUMSQ('Fats Raw Data'!L98:L117)-('Fats Raw Data'!L97-'Fats Raw Data'!L117)^2/20)/19),"")</f>
        <v>0</v>
      </c>
      <c r="BS97">
        <f>IFERROR('Fats Raw Data'!U97,"")</f>
        <v>0</v>
      </c>
      <c r="BT97">
        <f>IFERROR('Fats Raw Data'!Z97,"")</f>
        <v>0</v>
      </c>
      <c r="BU97">
        <f>IFERROR('Fats Raw Data'!AB97-'Fats Raw Data'!AB98,"")</f>
        <v>0</v>
      </c>
      <c r="BV97" t="str">
        <f>IFERROR(AVERAGE('Fats Raw Data'!AB97:AB101),"")</f>
        <v/>
      </c>
      <c r="BW97" t="str">
        <f>IFERROR(SUMPRODUCT('Fats Raw Data'!V97:V116,'Fats Raw Data'!AA97:AA116)/SUM('Fats Raw Data'!AA97:AA116),"")</f>
        <v/>
      </c>
      <c r="BX97">
        <f>IFERROR(SQRT((SUMSQ('Fats Raw Data'!V97:V116)-2*SUMPRODUCT('Fats Raw Data'!V97:V116,'Fats Raw Data'!V98:V117)+SUMSQ('Fats Raw Data'!V98:V117)-('Fats Raw Data'!V97-'Fats Raw Data'!V117)^2/20)/19),"")</f>
        <v>0</v>
      </c>
      <c r="BZ97">
        <f>IFERROR('Fats Raw Data'!AE97,"")</f>
        <v>0</v>
      </c>
      <c r="CA97">
        <f>IFERROR('Fats Raw Data'!AJ97,"")</f>
        <v>0</v>
      </c>
      <c r="CB97">
        <f>IFERROR('Fats Raw Data'!AL97-'Fats Raw Data'!AL98,"")</f>
        <v>0</v>
      </c>
      <c r="CC97" t="str">
        <f>IFERROR(AVERAGE('Fats Raw Data'!AL97:AL101),"")</f>
        <v/>
      </c>
      <c r="CD97" t="str">
        <f>IFERROR(SUMPRODUCT('Fats Raw Data'!AF97:AF116,'Fats Raw Data'!AK97:AK116)/SUM('Fats Raw Data'!AK97:AK116),"")</f>
        <v/>
      </c>
      <c r="CE97">
        <f>IFERROR(SQRT((SUMSQ('Fats Raw Data'!AF97:AF116)-2*SUMPRODUCT('Fats Raw Data'!AF97:AF116,'Fats Raw Data'!AF98:AF117)+SUMSQ('Fats Raw Data'!AF98:AF117)-('Fats Raw Data'!AF97-'Fats Raw Data'!AF117)^2/20)/19),"")</f>
        <v>0</v>
      </c>
      <c r="CG97">
        <f>IFERROR('Fats Raw Data'!AO97,"")</f>
        <v>0</v>
      </c>
      <c r="CH97">
        <f>IFERROR('Fats Raw Data'!AT97,"")</f>
        <v>0</v>
      </c>
      <c r="CI97">
        <f>IFERROR('Fats Raw Data'!AV97-'Fats Raw Data'!AV98,"")</f>
        <v>0</v>
      </c>
      <c r="CJ97" t="str">
        <f>IFERROR(AVERAGE('Fats Raw Data'!AV97:AV101),"")</f>
        <v/>
      </c>
      <c r="CK97" t="str">
        <f>IFERROR(SUMPRODUCT('Fats Raw Data'!AP97:AP116,'Fats Raw Data'!AU97:AU116)/SUM('Fats Raw Data'!AU97:AU116),"")</f>
        <v/>
      </c>
      <c r="CL97">
        <f>IFERROR(SQRT((SUMSQ('Fats Raw Data'!AP97:AP116)-2*SUMPRODUCT('Fats Raw Data'!AP97:AP116,'Fats Raw Data'!AP98:AP117)+SUMSQ('Fats Raw Data'!AP98:AP117)-('Fats Raw Data'!AP97-'Fats Raw Data'!AP117)^2/20)/19),"")</f>
        <v>0</v>
      </c>
      <c r="CN97">
        <f>IFERROR('Fats Raw Data'!AY97,"")</f>
        <v>0</v>
      </c>
      <c r="CO97">
        <f>IFERROR('Fats Raw Data'!BD97,"")</f>
        <v>0</v>
      </c>
      <c r="CP97">
        <f>IFERROR('Fats Raw Data'!BF97-'Fats Raw Data'!BF98,"")</f>
        <v>0</v>
      </c>
      <c r="CQ97" t="str">
        <f>IFERROR(AVERAGE('Fats Raw Data'!BF97:BF101),"")</f>
        <v/>
      </c>
      <c r="CR97" t="str">
        <f>IFERROR(SUMPRODUCT('Fats Raw Data'!AZ97:AZ116,'Fats Raw Data'!BE97:BE116)/SUM('Fats Raw Data'!BE97:BE116),"")</f>
        <v/>
      </c>
      <c r="CS97">
        <f>IFERROR(SQRT((SUMSQ('Fats Raw Data'!AZ97:AZ116)-2*SUMPRODUCT('Fats Raw Data'!AZ97:AZ116,'Fats Raw Data'!AZ98:AZ117)+SUMSQ('Fats Raw Data'!AZ98:AZ117)-('Fats Raw Data'!AZ97-'Fats Raw Data'!AZ117)^2/20)/19),"")</f>
        <v>0</v>
      </c>
    </row>
    <row r="98" spans="1:97" x14ac:dyDescent="0.25">
      <c r="A98">
        <f>IFERROR('Feeders Raw Data'!A98,"")</f>
        <v>0</v>
      </c>
      <c r="B98">
        <f>IFERROR('Feeders Raw Data'!F98,"")</f>
        <v>0</v>
      </c>
      <c r="C98">
        <f>IFERROR('Feeders Raw Data'!H98-'Feeders Raw Data'!H99,"")</f>
        <v>0</v>
      </c>
      <c r="D98" t="str">
        <f>IFERROR(AVERAGE('Feeders Raw Data'!H98:H102),"")</f>
        <v/>
      </c>
      <c r="E98" t="str">
        <f>IFERROR(SUMPRODUCT('Feeders Raw Data'!B98:B117,'Feeders Raw Data'!G98:G117)/SUM('Feeders Raw Data'!G98:G117),"")</f>
        <v/>
      </c>
      <c r="F98">
        <f>IFERROR(SQRT((SUMSQ('Feeders Raw Data'!B98:B117)-2*SUMPRODUCT('Feeders Raw Data'!B98:B117,'Feeders Raw Data'!B99:B118)+SUMSQ('Feeders Raw Data'!B99:B118)-('Feeders Raw Data'!B98-'Feeders Raw Data'!B118)^2/20)/19),"")</f>
        <v>0</v>
      </c>
      <c r="H98">
        <f>IFERROR('Feeders Raw Data'!K98,"")</f>
        <v>0</v>
      </c>
      <c r="I98">
        <f>IFERROR('Feeders Raw Data'!P98,"")</f>
        <v>0</v>
      </c>
      <c r="J98">
        <f>IFERROR('Feeders Raw Data'!R98-'Feeders Raw Data'!R99,"")</f>
        <v>0</v>
      </c>
      <c r="K98" t="str">
        <f>IFERROR(AVERAGE('Feeders Raw Data'!R98:R102),"")</f>
        <v/>
      </c>
      <c r="L98" t="str">
        <f>IFERROR(SUMPRODUCT('Feeders Raw Data'!L98:L117,'Feeders Raw Data'!Q98:Q117)/SUM('Feeders Raw Data'!Q98:Q117),"")</f>
        <v/>
      </c>
      <c r="M98">
        <f>IFERROR(SQRT((SUMSQ('Feeders Raw Data'!L98:L117)-2*SUMPRODUCT('Feeders Raw Data'!L98:L117,'Feeders Raw Data'!L99:L118)+SUMSQ('Feeders Raw Data'!L99:L118)-('Feeders Raw Data'!L98-'Feeders Raw Data'!L118)^2/20)/19),"")</f>
        <v>0</v>
      </c>
      <c r="O98">
        <f>IFERROR('Feeders Raw Data'!U98,"")</f>
        <v>0</v>
      </c>
      <c r="P98">
        <f>IFERROR('Feeders Raw Data'!Z98,"")</f>
        <v>0</v>
      </c>
      <c r="Q98">
        <f>IFERROR('Feeders Raw Data'!AB98-'Feeders Raw Data'!AB99,"")</f>
        <v>0</v>
      </c>
      <c r="R98" t="str">
        <f>IFERROR(AVERAGE('Feeders Raw Data'!AB98:AB102),"")</f>
        <v/>
      </c>
      <c r="S98" t="str">
        <f>IFERROR(SUMPRODUCT('Feeders Raw Data'!V98:V117,'Feeders Raw Data'!AA98:AA117)/SUM('Feeders Raw Data'!AA98:AA117),"")</f>
        <v/>
      </c>
      <c r="T98">
        <f>IFERROR(SQRT((SUMSQ('Feeders Raw Data'!V98:V117)-2*SUMPRODUCT('Feeders Raw Data'!V98:V117,'Feeders Raw Data'!V99:V118)+SUMSQ('Feeders Raw Data'!V99:V118)-('Feeders Raw Data'!V98-'Feeders Raw Data'!V118)^2/20)/19),"")</f>
        <v>0</v>
      </c>
      <c r="V98">
        <f>IFERROR('Feeders Raw Data'!AE98,"")</f>
        <v>0</v>
      </c>
      <c r="W98">
        <f>IFERROR('Feeders Raw Data'!AJ98,"")</f>
        <v>0</v>
      </c>
      <c r="X98">
        <f>IFERROR('Feeders Raw Data'!AL98-'Feeders Raw Data'!AL99,"")</f>
        <v>0</v>
      </c>
      <c r="Y98" t="str">
        <f>IFERROR(AVERAGE('Feeders Raw Data'!AL98:AL102),"")</f>
        <v/>
      </c>
      <c r="Z98" t="str">
        <f>IFERROR(SUMPRODUCT('Feeders Raw Data'!AF98:AF117,'Feeders Raw Data'!AK98:AK117)/SUM('Feeders Raw Data'!AK98:AK117),"")</f>
        <v/>
      </c>
      <c r="AA98">
        <f>IFERROR(SQRT((SUMSQ('Feeders Raw Data'!AF98:AF117)-2*SUMPRODUCT('Feeders Raw Data'!AF98:AF117,'Feeders Raw Data'!AF99:AF118)+SUMSQ('Feeders Raw Data'!AF99:AF118)-('Feeders Raw Data'!AF98-'Feeders Raw Data'!AF118)^2/20)/19),"")</f>
        <v>0</v>
      </c>
      <c r="AC98">
        <f>IFERROR('Feeders Raw Data'!AO98,"")</f>
        <v>0</v>
      </c>
      <c r="AD98">
        <f>IFERROR('Feeders Raw Data'!AT98,"")</f>
        <v>0</v>
      </c>
      <c r="AE98">
        <f>IFERROR('Feeders Raw Data'!AV98-'Feeders Raw Data'!AV99,"")</f>
        <v>0</v>
      </c>
      <c r="AF98" t="str">
        <f>IFERROR(AVERAGE('Feeders Raw Data'!AV98:AV102),"")</f>
        <v/>
      </c>
      <c r="AG98" t="str">
        <f>IFERROR(SUMPRODUCT('Feeders Raw Data'!AP98:AP117,'Feeders Raw Data'!AU98:AU117)/SUM('Feeders Raw Data'!AU98:AU117),"")</f>
        <v/>
      </c>
      <c r="AH98">
        <f>IFERROR(SQRT((SUMSQ('Feeders Raw Data'!AP98:AP117)-2*SUMPRODUCT('Feeders Raw Data'!AP98:AP117,'Feeders Raw Data'!AP99:AP118)+SUMSQ('Feeders Raw Data'!AP99:AP118)-('Feeders Raw Data'!AP98-'Feeders Raw Data'!AP118)^2/20)/19),"")</f>
        <v>0</v>
      </c>
      <c r="AJ98">
        <f>IFERROR('Feeders Raw Data'!AY98,"")</f>
        <v>0</v>
      </c>
      <c r="AK98">
        <f>IFERROR('Feeders Raw Data'!BD98,"")</f>
        <v>0</v>
      </c>
      <c r="AL98">
        <f>IFERROR('Feeders Raw Data'!BF98-'Feeders Raw Data'!BF99,"")</f>
        <v>0</v>
      </c>
      <c r="AM98" t="str">
        <f>IFERROR(AVERAGE('Feeders Raw Data'!BF98:BF102),"")</f>
        <v/>
      </c>
      <c r="AN98" t="str">
        <f>IFERROR(SUMPRODUCT('Feeders Raw Data'!AZ98:AZ117,'Feeders Raw Data'!BE98:BE117)/SUM('Feeders Raw Data'!BE98:BE117),"")</f>
        <v/>
      </c>
      <c r="AO98">
        <f>IFERROR(SQRT((SUMSQ('Feeders Raw Data'!AZ98:AZ117)-2*SUMPRODUCT('Feeders Raw Data'!AZ98:AZ117,'Feeders Raw Data'!AZ99:AZ118)+SUMSQ('Feeders Raw Data'!AZ99:AZ118)-('Feeders Raw Data'!AZ98-'Feeders Raw Data'!AZ118)^2/20)/19),"")</f>
        <v>0</v>
      </c>
      <c r="AQ98">
        <f>IFERROR('Feeders Raw Data'!BI98,"")</f>
        <v>0</v>
      </c>
      <c r="AR98">
        <f>IFERROR('Feeders Raw Data'!BN98,"")</f>
        <v>0</v>
      </c>
      <c r="AS98">
        <f>IFERROR('Feeders Raw Data'!BP98-'Feeders Raw Data'!BP99,"")</f>
        <v>0</v>
      </c>
      <c r="AT98" t="str">
        <f>IFERROR(AVERAGE('Feeders Raw Data'!BP98:BP102),"")</f>
        <v/>
      </c>
      <c r="AU98" t="str">
        <f>IFERROR(SUMPRODUCT('Feeders Raw Data'!BJ98:BJ117,'Feeders Raw Data'!BO98:BO117)/SUM('Feeders Raw Data'!BO98:BO117),"")</f>
        <v/>
      </c>
      <c r="AV98">
        <f>IFERROR(SQRT((SUMSQ('Feeders Raw Data'!BJ98:BJ117)-2*SUMPRODUCT('Feeders Raw Data'!BJ98:BJ117,'Feeders Raw Data'!BJ99:BJ118)+SUMSQ('Feeders Raw Data'!BJ99:BJ118)-('Feeders Raw Data'!BJ98-'Feeders Raw Data'!BJ118)^2/20)/19),"")</f>
        <v>0</v>
      </c>
      <c r="AX98">
        <f>IFERROR('Feeders Raw Data'!BS98,"")</f>
        <v>0</v>
      </c>
      <c r="AY98">
        <f>IFERROR('Feeders Raw Data'!BX98,"")</f>
        <v>0</v>
      </c>
      <c r="AZ98">
        <f>IFERROR('Feeders Raw Data'!BZ98-'Feeders Raw Data'!BZ99,"")</f>
        <v>0</v>
      </c>
      <c r="BA98" t="str">
        <f>IFERROR(AVERAGE('Feeders Raw Data'!BZ98:BZ102),"")</f>
        <v/>
      </c>
      <c r="BB98" t="str">
        <f>IFERROR(SUMPRODUCT('Feeders Raw Data'!BT98:BT117,'Feeders Raw Data'!BY98:BY117)/SUM('Feeders Raw Data'!BY98:BY117),"")</f>
        <v/>
      </c>
      <c r="BC98">
        <f>IFERROR(SQRT((SUMSQ('Feeders Raw Data'!BT98:BT117)-2*SUMPRODUCT('Feeders Raw Data'!BT98:BT117,'Feeders Raw Data'!BT99:BT118)+SUMSQ('Feeders Raw Data'!BT99:BT118)-('Feeders Raw Data'!BT98-'Feeders Raw Data'!BT118)^2/20)/19),"")</f>
        <v>0</v>
      </c>
      <c r="BE98">
        <f>IFERROR('Fats Raw Data'!A98,"")</f>
        <v>0</v>
      </c>
      <c r="BF98">
        <f>IFERROR('Fats Raw Data'!F98,"")</f>
        <v>0</v>
      </c>
      <c r="BG98">
        <f>IFERROR('Fats Raw Data'!H98-'Fats Raw Data'!H99,"")</f>
        <v>0</v>
      </c>
      <c r="BH98" t="str">
        <f>IFERROR(AVERAGE('Fats Raw Data'!H98:H102),"")</f>
        <v/>
      </c>
      <c r="BI98" t="str">
        <f>IFERROR(SUMPRODUCT('Fats Raw Data'!B98:B117,'Fats Raw Data'!G98:G117)/SUM('Fats Raw Data'!G98:G117),"")</f>
        <v/>
      </c>
      <c r="BJ98">
        <f>IFERROR(SQRT((SUMSQ('Fats Raw Data'!B98:B117)-2*SUMPRODUCT('Fats Raw Data'!B98:B117,'Fats Raw Data'!B99:B118)+SUMSQ('Fats Raw Data'!B99:B118)-('Fats Raw Data'!B98-'Fats Raw Data'!B118)^2/20)/19),"")</f>
        <v>0</v>
      </c>
      <c r="BL98">
        <f>IFERROR('Fats Raw Data'!K98,"")</f>
        <v>0</v>
      </c>
      <c r="BM98">
        <f>IFERROR('Fats Raw Data'!P98,"")</f>
        <v>0</v>
      </c>
      <c r="BN98">
        <f>IFERROR('Fats Raw Data'!R98-'Fats Raw Data'!R99,"")</f>
        <v>0</v>
      </c>
      <c r="BO98" t="str">
        <f>IFERROR(AVERAGE('Fats Raw Data'!R98:R102),"")</f>
        <v/>
      </c>
      <c r="BP98" t="str">
        <f>IFERROR(SUMPRODUCT('Fats Raw Data'!L98:L117,'Fats Raw Data'!Q98:Q117)/SUM('Fats Raw Data'!Q98:Q117),"")</f>
        <v/>
      </c>
      <c r="BQ98">
        <f>IFERROR(SQRT((SUMSQ('Fats Raw Data'!L98:L117)-2*SUMPRODUCT('Fats Raw Data'!L98:L117,'Fats Raw Data'!L99:L118)+SUMSQ('Fats Raw Data'!L99:L118)-('Fats Raw Data'!L98-'Fats Raw Data'!L118)^2/20)/19),"")</f>
        <v>0</v>
      </c>
      <c r="BS98">
        <f>IFERROR('Fats Raw Data'!U98,"")</f>
        <v>0</v>
      </c>
      <c r="BT98">
        <f>IFERROR('Fats Raw Data'!Z98,"")</f>
        <v>0</v>
      </c>
      <c r="BU98">
        <f>IFERROR('Fats Raw Data'!AB98-'Fats Raw Data'!AB99,"")</f>
        <v>0</v>
      </c>
      <c r="BV98" t="str">
        <f>IFERROR(AVERAGE('Fats Raw Data'!AB98:AB102),"")</f>
        <v/>
      </c>
      <c r="BW98" t="str">
        <f>IFERROR(SUMPRODUCT('Fats Raw Data'!V98:V117,'Fats Raw Data'!AA98:AA117)/SUM('Fats Raw Data'!AA98:AA117),"")</f>
        <v/>
      </c>
      <c r="BX98">
        <f>IFERROR(SQRT((SUMSQ('Fats Raw Data'!V98:V117)-2*SUMPRODUCT('Fats Raw Data'!V98:V117,'Fats Raw Data'!V99:V118)+SUMSQ('Fats Raw Data'!V99:V118)-('Fats Raw Data'!V98-'Fats Raw Data'!V118)^2/20)/19),"")</f>
        <v>0</v>
      </c>
      <c r="BZ98">
        <f>IFERROR('Fats Raw Data'!AE98,"")</f>
        <v>0</v>
      </c>
      <c r="CA98">
        <f>IFERROR('Fats Raw Data'!AJ98,"")</f>
        <v>0</v>
      </c>
      <c r="CB98">
        <f>IFERROR('Fats Raw Data'!AL98-'Fats Raw Data'!AL99,"")</f>
        <v>0</v>
      </c>
      <c r="CC98" t="str">
        <f>IFERROR(AVERAGE('Fats Raw Data'!AL98:AL102),"")</f>
        <v/>
      </c>
      <c r="CD98" t="str">
        <f>IFERROR(SUMPRODUCT('Fats Raw Data'!AF98:AF117,'Fats Raw Data'!AK98:AK117)/SUM('Fats Raw Data'!AK98:AK117),"")</f>
        <v/>
      </c>
      <c r="CE98">
        <f>IFERROR(SQRT((SUMSQ('Fats Raw Data'!AF98:AF117)-2*SUMPRODUCT('Fats Raw Data'!AF98:AF117,'Fats Raw Data'!AF99:AF118)+SUMSQ('Fats Raw Data'!AF99:AF118)-('Fats Raw Data'!AF98-'Fats Raw Data'!AF118)^2/20)/19),"")</f>
        <v>0</v>
      </c>
      <c r="CG98">
        <f>IFERROR('Fats Raw Data'!AO98,"")</f>
        <v>0</v>
      </c>
      <c r="CH98">
        <f>IFERROR('Fats Raw Data'!AT98,"")</f>
        <v>0</v>
      </c>
      <c r="CI98">
        <f>IFERROR('Fats Raw Data'!AV98-'Fats Raw Data'!AV99,"")</f>
        <v>0</v>
      </c>
      <c r="CJ98" t="str">
        <f>IFERROR(AVERAGE('Fats Raw Data'!AV98:AV102),"")</f>
        <v/>
      </c>
      <c r="CK98" t="str">
        <f>IFERROR(SUMPRODUCT('Fats Raw Data'!AP98:AP117,'Fats Raw Data'!AU98:AU117)/SUM('Fats Raw Data'!AU98:AU117),"")</f>
        <v/>
      </c>
      <c r="CL98">
        <f>IFERROR(SQRT((SUMSQ('Fats Raw Data'!AP98:AP117)-2*SUMPRODUCT('Fats Raw Data'!AP98:AP117,'Fats Raw Data'!AP99:AP118)+SUMSQ('Fats Raw Data'!AP99:AP118)-('Fats Raw Data'!AP98-'Fats Raw Data'!AP118)^2/20)/19),"")</f>
        <v>0</v>
      </c>
      <c r="CN98">
        <f>IFERROR('Fats Raw Data'!AY98,"")</f>
        <v>0</v>
      </c>
      <c r="CO98">
        <f>IFERROR('Fats Raw Data'!BD98,"")</f>
        <v>0</v>
      </c>
      <c r="CP98">
        <f>IFERROR('Fats Raw Data'!BF98-'Fats Raw Data'!BF99,"")</f>
        <v>0</v>
      </c>
      <c r="CQ98" t="str">
        <f>IFERROR(AVERAGE('Fats Raw Data'!BF98:BF102),"")</f>
        <v/>
      </c>
      <c r="CR98" t="str">
        <f>IFERROR(SUMPRODUCT('Fats Raw Data'!AZ98:AZ117,'Fats Raw Data'!BE98:BE117)/SUM('Fats Raw Data'!BE98:BE117),"")</f>
        <v/>
      </c>
      <c r="CS98">
        <f>IFERROR(SQRT((SUMSQ('Fats Raw Data'!AZ98:AZ117)-2*SUMPRODUCT('Fats Raw Data'!AZ98:AZ117,'Fats Raw Data'!AZ99:AZ118)+SUMSQ('Fats Raw Data'!AZ99:AZ118)-('Fats Raw Data'!AZ98-'Fats Raw Data'!AZ118)^2/20)/19),"")</f>
        <v>0</v>
      </c>
    </row>
    <row r="99" spans="1:97" x14ac:dyDescent="0.25">
      <c r="A99">
        <f>IFERROR('Feeders Raw Data'!A99,"")</f>
        <v>0</v>
      </c>
      <c r="B99">
        <f>IFERROR('Feeders Raw Data'!F99,"")</f>
        <v>0</v>
      </c>
      <c r="C99">
        <f>IFERROR('Feeders Raw Data'!H99-'Feeders Raw Data'!H100,"")</f>
        <v>0</v>
      </c>
      <c r="D99" t="str">
        <f>IFERROR(AVERAGE('Feeders Raw Data'!H99:H103),"")</f>
        <v/>
      </c>
      <c r="E99" t="str">
        <f>IFERROR(SUMPRODUCT('Feeders Raw Data'!B99:B118,'Feeders Raw Data'!G99:G118)/SUM('Feeders Raw Data'!G99:G118),"")</f>
        <v/>
      </c>
      <c r="F99">
        <f>IFERROR(SQRT((SUMSQ('Feeders Raw Data'!B99:B118)-2*SUMPRODUCT('Feeders Raw Data'!B99:B118,'Feeders Raw Data'!B100:B119)+SUMSQ('Feeders Raw Data'!B100:B119)-('Feeders Raw Data'!B99-'Feeders Raw Data'!B119)^2/20)/19),"")</f>
        <v>0</v>
      </c>
      <c r="H99">
        <f>IFERROR('Feeders Raw Data'!K99,"")</f>
        <v>0</v>
      </c>
      <c r="I99">
        <f>IFERROR('Feeders Raw Data'!P99,"")</f>
        <v>0</v>
      </c>
      <c r="J99">
        <f>IFERROR('Feeders Raw Data'!R99-'Feeders Raw Data'!R100,"")</f>
        <v>0</v>
      </c>
      <c r="K99" t="str">
        <f>IFERROR(AVERAGE('Feeders Raw Data'!R99:R103),"")</f>
        <v/>
      </c>
      <c r="L99" t="str">
        <f>IFERROR(SUMPRODUCT('Feeders Raw Data'!L99:L118,'Feeders Raw Data'!Q99:Q118)/SUM('Feeders Raw Data'!Q99:Q118),"")</f>
        <v/>
      </c>
      <c r="M99">
        <f>IFERROR(SQRT((SUMSQ('Feeders Raw Data'!L99:L118)-2*SUMPRODUCT('Feeders Raw Data'!L99:L118,'Feeders Raw Data'!L100:L119)+SUMSQ('Feeders Raw Data'!L100:L119)-('Feeders Raw Data'!L99-'Feeders Raw Data'!L119)^2/20)/19),"")</f>
        <v>0</v>
      </c>
      <c r="O99">
        <f>IFERROR('Feeders Raw Data'!U99,"")</f>
        <v>0</v>
      </c>
      <c r="P99">
        <f>IFERROR('Feeders Raw Data'!Z99,"")</f>
        <v>0</v>
      </c>
      <c r="Q99">
        <f>IFERROR('Feeders Raw Data'!AB99-'Feeders Raw Data'!AB100,"")</f>
        <v>0</v>
      </c>
      <c r="R99" t="str">
        <f>IFERROR(AVERAGE('Feeders Raw Data'!AB99:AB103),"")</f>
        <v/>
      </c>
      <c r="S99" t="str">
        <f>IFERROR(SUMPRODUCT('Feeders Raw Data'!V99:V118,'Feeders Raw Data'!AA99:AA118)/SUM('Feeders Raw Data'!AA99:AA118),"")</f>
        <v/>
      </c>
      <c r="T99">
        <f>IFERROR(SQRT((SUMSQ('Feeders Raw Data'!V99:V118)-2*SUMPRODUCT('Feeders Raw Data'!V99:V118,'Feeders Raw Data'!V100:V119)+SUMSQ('Feeders Raw Data'!V100:V119)-('Feeders Raw Data'!V99-'Feeders Raw Data'!V119)^2/20)/19),"")</f>
        <v>0</v>
      </c>
      <c r="V99">
        <f>IFERROR('Feeders Raw Data'!AE99,"")</f>
        <v>0</v>
      </c>
      <c r="W99">
        <f>IFERROR('Feeders Raw Data'!AJ99,"")</f>
        <v>0</v>
      </c>
      <c r="X99">
        <f>IFERROR('Feeders Raw Data'!AL99-'Feeders Raw Data'!AL100,"")</f>
        <v>0</v>
      </c>
      <c r="Y99" t="str">
        <f>IFERROR(AVERAGE('Feeders Raw Data'!AL99:AL103),"")</f>
        <v/>
      </c>
      <c r="Z99" t="str">
        <f>IFERROR(SUMPRODUCT('Feeders Raw Data'!AF99:AF118,'Feeders Raw Data'!AK99:AK118)/SUM('Feeders Raw Data'!AK99:AK118),"")</f>
        <v/>
      </c>
      <c r="AA99">
        <f>IFERROR(SQRT((SUMSQ('Feeders Raw Data'!AF99:AF118)-2*SUMPRODUCT('Feeders Raw Data'!AF99:AF118,'Feeders Raw Data'!AF100:AF119)+SUMSQ('Feeders Raw Data'!AF100:AF119)-('Feeders Raw Data'!AF99-'Feeders Raw Data'!AF119)^2/20)/19),"")</f>
        <v>0</v>
      </c>
      <c r="AC99">
        <f>IFERROR('Feeders Raw Data'!AO99,"")</f>
        <v>0</v>
      </c>
      <c r="AD99">
        <f>IFERROR('Feeders Raw Data'!AT99,"")</f>
        <v>0</v>
      </c>
      <c r="AE99">
        <f>IFERROR('Feeders Raw Data'!AV99-'Feeders Raw Data'!AV100,"")</f>
        <v>0</v>
      </c>
      <c r="AF99" t="str">
        <f>IFERROR(AVERAGE('Feeders Raw Data'!AV99:AV103),"")</f>
        <v/>
      </c>
      <c r="AG99" t="str">
        <f>IFERROR(SUMPRODUCT('Feeders Raw Data'!AP99:AP118,'Feeders Raw Data'!AU99:AU118)/SUM('Feeders Raw Data'!AU99:AU118),"")</f>
        <v/>
      </c>
      <c r="AH99">
        <f>IFERROR(SQRT((SUMSQ('Feeders Raw Data'!AP99:AP118)-2*SUMPRODUCT('Feeders Raw Data'!AP99:AP118,'Feeders Raw Data'!AP100:AP119)+SUMSQ('Feeders Raw Data'!AP100:AP119)-('Feeders Raw Data'!AP99-'Feeders Raw Data'!AP119)^2/20)/19),"")</f>
        <v>0</v>
      </c>
      <c r="AJ99">
        <f>IFERROR('Feeders Raw Data'!AY99,"")</f>
        <v>0</v>
      </c>
      <c r="AK99">
        <f>IFERROR('Feeders Raw Data'!BD99,"")</f>
        <v>0</v>
      </c>
      <c r="AL99">
        <f>IFERROR('Feeders Raw Data'!BF99-'Feeders Raw Data'!BF100,"")</f>
        <v>0</v>
      </c>
      <c r="AM99" t="str">
        <f>IFERROR(AVERAGE('Feeders Raw Data'!BF99:BF103),"")</f>
        <v/>
      </c>
      <c r="AN99" t="str">
        <f>IFERROR(SUMPRODUCT('Feeders Raw Data'!AZ99:AZ118,'Feeders Raw Data'!BE99:BE118)/SUM('Feeders Raw Data'!BE99:BE118),"")</f>
        <v/>
      </c>
      <c r="AO99">
        <f>IFERROR(SQRT((SUMSQ('Feeders Raw Data'!AZ99:AZ118)-2*SUMPRODUCT('Feeders Raw Data'!AZ99:AZ118,'Feeders Raw Data'!AZ100:AZ119)+SUMSQ('Feeders Raw Data'!AZ100:AZ119)-('Feeders Raw Data'!AZ99-'Feeders Raw Data'!AZ119)^2/20)/19),"")</f>
        <v>0</v>
      </c>
      <c r="AQ99">
        <f>IFERROR('Feeders Raw Data'!BI99,"")</f>
        <v>0</v>
      </c>
      <c r="AR99">
        <f>IFERROR('Feeders Raw Data'!BN99,"")</f>
        <v>0</v>
      </c>
      <c r="AS99">
        <f>IFERROR('Feeders Raw Data'!BP99-'Feeders Raw Data'!BP100,"")</f>
        <v>0</v>
      </c>
      <c r="AT99" t="str">
        <f>IFERROR(AVERAGE('Feeders Raw Data'!BP99:BP103),"")</f>
        <v/>
      </c>
      <c r="AU99" t="str">
        <f>IFERROR(SUMPRODUCT('Feeders Raw Data'!BJ99:BJ118,'Feeders Raw Data'!BO99:BO118)/SUM('Feeders Raw Data'!BO99:BO118),"")</f>
        <v/>
      </c>
      <c r="AV99">
        <f>IFERROR(SQRT((SUMSQ('Feeders Raw Data'!BJ99:BJ118)-2*SUMPRODUCT('Feeders Raw Data'!BJ99:BJ118,'Feeders Raw Data'!BJ100:BJ119)+SUMSQ('Feeders Raw Data'!BJ100:BJ119)-('Feeders Raw Data'!BJ99-'Feeders Raw Data'!BJ119)^2/20)/19),"")</f>
        <v>0</v>
      </c>
      <c r="AX99">
        <f>IFERROR('Feeders Raw Data'!BS99,"")</f>
        <v>0</v>
      </c>
      <c r="AY99">
        <f>IFERROR('Feeders Raw Data'!BX99,"")</f>
        <v>0</v>
      </c>
      <c r="AZ99">
        <f>IFERROR('Feeders Raw Data'!BZ99-'Feeders Raw Data'!BZ100,"")</f>
        <v>0</v>
      </c>
      <c r="BA99" t="str">
        <f>IFERROR(AVERAGE('Feeders Raw Data'!BZ99:BZ103),"")</f>
        <v/>
      </c>
      <c r="BB99" t="str">
        <f>IFERROR(SUMPRODUCT('Feeders Raw Data'!BT99:BT118,'Feeders Raw Data'!BY99:BY118)/SUM('Feeders Raw Data'!BY99:BY118),"")</f>
        <v/>
      </c>
      <c r="BC99">
        <f>IFERROR(SQRT((SUMSQ('Feeders Raw Data'!BT99:BT118)-2*SUMPRODUCT('Feeders Raw Data'!BT99:BT118,'Feeders Raw Data'!BT100:BT119)+SUMSQ('Feeders Raw Data'!BT100:BT119)-('Feeders Raw Data'!BT99-'Feeders Raw Data'!BT119)^2/20)/19),"")</f>
        <v>0</v>
      </c>
      <c r="BE99">
        <f>IFERROR('Fats Raw Data'!A99,"")</f>
        <v>0</v>
      </c>
      <c r="BF99">
        <f>IFERROR('Fats Raw Data'!F99,"")</f>
        <v>0</v>
      </c>
      <c r="BG99">
        <f>IFERROR('Fats Raw Data'!H99-'Fats Raw Data'!H100,"")</f>
        <v>0</v>
      </c>
      <c r="BH99" t="str">
        <f>IFERROR(AVERAGE('Fats Raw Data'!H99:H103),"")</f>
        <v/>
      </c>
      <c r="BI99" t="str">
        <f>IFERROR(SUMPRODUCT('Fats Raw Data'!B99:B118,'Fats Raw Data'!G99:G118)/SUM('Fats Raw Data'!G99:G118),"")</f>
        <v/>
      </c>
      <c r="BJ99">
        <f>IFERROR(SQRT((SUMSQ('Fats Raw Data'!B99:B118)-2*SUMPRODUCT('Fats Raw Data'!B99:B118,'Fats Raw Data'!B100:B119)+SUMSQ('Fats Raw Data'!B100:B119)-('Fats Raw Data'!B99-'Fats Raw Data'!B119)^2/20)/19),"")</f>
        <v>0</v>
      </c>
      <c r="BL99">
        <f>IFERROR('Fats Raw Data'!K99,"")</f>
        <v>0</v>
      </c>
      <c r="BM99">
        <f>IFERROR('Fats Raw Data'!P99,"")</f>
        <v>0</v>
      </c>
      <c r="BN99">
        <f>IFERROR('Fats Raw Data'!R99-'Fats Raw Data'!R100,"")</f>
        <v>0</v>
      </c>
      <c r="BO99" t="str">
        <f>IFERROR(AVERAGE('Fats Raw Data'!R99:R103),"")</f>
        <v/>
      </c>
      <c r="BP99" t="str">
        <f>IFERROR(SUMPRODUCT('Fats Raw Data'!L99:L118,'Fats Raw Data'!Q99:Q118)/SUM('Fats Raw Data'!Q99:Q118),"")</f>
        <v/>
      </c>
      <c r="BQ99">
        <f>IFERROR(SQRT((SUMSQ('Fats Raw Data'!L99:L118)-2*SUMPRODUCT('Fats Raw Data'!L99:L118,'Fats Raw Data'!L100:L119)+SUMSQ('Fats Raw Data'!L100:L119)-('Fats Raw Data'!L99-'Fats Raw Data'!L119)^2/20)/19),"")</f>
        <v>0</v>
      </c>
      <c r="BS99">
        <f>IFERROR('Fats Raw Data'!U99,"")</f>
        <v>0</v>
      </c>
      <c r="BT99">
        <f>IFERROR('Fats Raw Data'!Z99,"")</f>
        <v>0</v>
      </c>
      <c r="BU99">
        <f>IFERROR('Fats Raw Data'!AB99-'Fats Raw Data'!AB100,"")</f>
        <v>0</v>
      </c>
      <c r="BV99" t="str">
        <f>IFERROR(AVERAGE('Fats Raw Data'!AB99:AB103),"")</f>
        <v/>
      </c>
      <c r="BW99" t="str">
        <f>IFERROR(SUMPRODUCT('Fats Raw Data'!V99:V118,'Fats Raw Data'!AA99:AA118)/SUM('Fats Raw Data'!AA99:AA118),"")</f>
        <v/>
      </c>
      <c r="BX99">
        <f>IFERROR(SQRT((SUMSQ('Fats Raw Data'!V99:V118)-2*SUMPRODUCT('Fats Raw Data'!V99:V118,'Fats Raw Data'!V100:V119)+SUMSQ('Fats Raw Data'!V100:V119)-('Fats Raw Data'!V99-'Fats Raw Data'!V119)^2/20)/19),"")</f>
        <v>0</v>
      </c>
      <c r="BZ99">
        <f>IFERROR('Fats Raw Data'!AE99,"")</f>
        <v>0</v>
      </c>
      <c r="CA99">
        <f>IFERROR('Fats Raw Data'!AJ99,"")</f>
        <v>0</v>
      </c>
      <c r="CB99">
        <f>IFERROR('Fats Raw Data'!AL99-'Fats Raw Data'!AL100,"")</f>
        <v>0</v>
      </c>
      <c r="CC99" t="str">
        <f>IFERROR(AVERAGE('Fats Raw Data'!AL99:AL103),"")</f>
        <v/>
      </c>
      <c r="CD99" t="str">
        <f>IFERROR(SUMPRODUCT('Fats Raw Data'!AF99:AF118,'Fats Raw Data'!AK99:AK118)/SUM('Fats Raw Data'!AK99:AK118),"")</f>
        <v/>
      </c>
      <c r="CE99">
        <f>IFERROR(SQRT((SUMSQ('Fats Raw Data'!AF99:AF118)-2*SUMPRODUCT('Fats Raw Data'!AF99:AF118,'Fats Raw Data'!AF100:AF119)+SUMSQ('Fats Raw Data'!AF100:AF119)-('Fats Raw Data'!AF99-'Fats Raw Data'!AF119)^2/20)/19),"")</f>
        <v>0</v>
      </c>
      <c r="CG99">
        <f>IFERROR('Fats Raw Data'!AO99,"")</f>
        <v>0</v>
      </c>
      <c r="CH99">
        <f>IFERROR('Fats Raw Data'!AT99,"")</f>
        <v>0</v>
      </c>
      <c r="CI99">
        <f>IFERROR('Fats Raw Data'!AV99-'Fats Raw Data'!AV100,"")</f>
        <v>0</v>
      </c>
      <c r="CJ99" t="str">
        <f>IFERROR(AVERAGE('Fats Raw Data'!AV99:AV103),"")</f>
        <v/>
      </c>
      <c r="CK99" t="str">
        <f>IFERROR(SUMPRODUCT('Fats Raw Data'!AP99:AP118,'Fats Raw Data'!AU99:AU118)/SUM('Fats Raw Data'!AU99:AU118),"")</f>
        <v/>
      </c>
      <c r="CL99">
        <f>IFERROR(SQRT((SUMSQ('Fats Raw Data'!AP99:AP118)-2*SUMPRODUCT('Fats Raw Data'!AP99:AP118,'Fats Raw Data'!AP100:AP119)+SUMSQ('Fats Raw Data'!AP100:AP119)-('Fats Raw Data'!AP99-'Fats Raw Data'!AP119)^2/20)/19),"")</f>
        <v>0</v>
      </c>
      <c r="CN99">
        <f>IFERROR('Fats Raw Data'!AY99,"")</f>
        <v>0</v>
      </c>
      <c r="CO99">
        <f>IFERROR('Fats Raw Data'!BD99,"")</f>
        <v>0</v>
      </c>
      <c r="CP99">
        <f>IFERROR('Fats Raw Data'!BF99-'Fats Raw Data'!BF100,"")</f>
        <v>0</v>
      </c>
      <c r="CQ99" t="str">
        <f>IFERROR(AVERAGE('Fats Raw Data'!BF99:BF103),"")</f>
        <v/>
      </c>
      <c r="CR99" t="str">
        <f>IFERROR(SUMPRODUCT('Fats Raw Data'!AZ99:AZ118,'Fats Raw Data'!BE99:BE118)/SUM('Fats Raw Data'!BE99:BE118),"")</f>
        <v/>
      </c>
      <c r="CS99">
        <f>IFERROR(SQRT((SUMSQ('Fats Raw Data'!AZ99:AZ118)-2*SUMPRODUCT('Fats Raw Data'!AZ99:AZ118,'Fats Raw Data'!AZ100:AZ119)+SUMSQ('Fats Raw Data'!AZ100:AZ119)-('Fats Raw Data'!AZ99-'Fats Raw Data'!AZ119)^2/20)/19),"")</f>
        <v>0</v>
      </c>
    </row>
    <row r="100" spans="1:97" x14ac:dyDescent="0.25">
      <c r="A100">
        <f>IFERROR('Feeders Raw Data'!A100,"")</f>
        <v>0</v>
      </c>
      <c r="B100">
        <f>IFERROR('Feeders Raw Data'!F100,"")</f>
        <v>0</v>
      </c>
      <c r="C100">
        <f>IFERROR('Feeders Raw Data'!H100-'Feeders Raw Data'!H101,"")</f>
        <v>0</v>
      </c>
      <c r="D100" t="str">
        <f>IFERROR(AVERAGE('Feeders Raw Data'!H100:H104),"")</f>
        <v/>
      </c>
      <c r="E100" t="str">
        <f>IFERROR(SUMPRODUCT('Feeders Raw Data'!B100:B119,'Feeders Raw Data'!G100:G119)/SUM('Feeders Raw Data'!G100:G119),"")</f>
        <v/>
      </c>
      <c r="F100">
        <f>IFERROR(SQRT((SUMSQ('Feeders Raw Data'!B100:B119)-2*SUMPRODUCT('Feeders Raw Data'!B100:B119,'Feeders Raw Data'!B101:B120)+SUMSQ('Feeders Raw Data'!B101:B120)-('Feeders Raw Data'!B100-'Feeders Raw Data'!B120)^2/20)/19),"")</f>
        <v>0</v>
      </c>
      <c r="H100">
        <f>IFERROR('Feeders Raw Data'!K100,"")</f>
        <v>0</v>
      </c>
      <c r="I100">
        <f>IFERROR('Feeders Raw Data'!P100,"")</f>
        <v>0</v>
      </c>
      <c r="J100">
        <f>IFERROR('Feeders Raw Data'!R100-'Feeders Raw Data'!R101,"")</f>
        <v>0</v>
      </c>
      <c r="K100" t="str">
        <f>IFERROR(AVERAGE('Feeders Raw Data'!R100:R104),"")</f>
        <v/>
      </c>
      <c r="L100" t="str">
        <f>IFERROR(SUMPRODUCT('Feeders Raw Data'!L100:L119,'Feeders Raw Data'!Q100:Q119)/SUM('Feeders Raw Data'!Q100:Q119),"")</f>
        <v/>
      </c>
      <c r="M100">
        <f>IFERROR(SQRT((SUMSQ('Feeders Raw Data'!L100:L119)-2*SUMPRODUCT('Feeders Raw Data'!L100:L119,'Feeders Raw Data'!L101:L120)+SUMSQ('Feeders Raw Data'!L101:L120)-('Feeders Raw Data'!L100-'Feeders Raw Data'!L120)^2/20)/19),"")</f>
        <v>0</v>
      </c>
      <c r="O100">
        <f>IFERROR('Feeders Raw Data'!U100,"")</f>
        <v>0</v>
      </c>
      <c r="P100">
        <f>IFERROR('Feeders Raw Data'!Z100,"")</f>
        <v>0</v>
      </c>
      <c r="Q100">
        <f>IFERROR('Feeders Raw Data'!AB100-'Feeders Raw Data'!AB101,"")</f>
        <v>0</v>
      </c>
      <c r="R100" t="str">
        <f>IFERROR(AVERAGE('Feeders Raw Data'!AB100:AB104),"")</f>
        <v/>
      </c>
      <c r="S100" t="str">
        <f>IFERROR(SUMPRODUCT('Feeders Raw Data'!V100:V119,'Feeders Raw Data'!AA100:AA119)/SUM('Feeders Raw Data'!AA100:AA119),"")</f>
        <v/>
      </c>
      <c r="T100">
        <f>IFERROR(SQRT((SUMSQ('Feeders Raw Data'!V100:V119)-2*SUMPRODUCT('Feeders Raw Data'!V100:V119,'Feeders Raw Data'!V101:V120)+SUMSQ('Feeders Raw Data'!V101:V120)-('Feeders Raw Data'!V100-'Feeders Raw Data'!V120)^2/20)/19),"")</f>
        <v>0</v>
      </c>
      <c r="V100">
        <f>IFERROR('Feeders Raw Data'!AE100,"")</f>
        <v>0</v>
      </c>
      <c r="W100">
        <f>IFERROR('Feeders Raw Data'!AJ100,"")</f>
        <v>0</v>
      </c>
      <c r="X100">
        <f>IFERROR('Feeders Raw Data'!AL100-'Feeders Raw Data'!AL101,"")</f>
        <v>0</v>
      </c>
      <c r="Y100" t="str">
        <f>IFERROR(AVERAGE('Feeders Raw Data'!AL100:AL104),"")</f>
        <v/>
      </c>
      <c r="Z100" t="str">
        <f>IFERROR(SUMPRODUCT('Feeders Raw Data'!AF100:AF119,'Feeders Raw Data'!AK100:AK119)/SUM('Feeders Raw Data'!AK100:AK119),"")</f>
        <v/>
      </c>
      <c r="AA100">
        <f>IFERROR(SQRT((SUMSQ('Feeders Raw Data'!AF100:AF119)-2*SUMPRODUCT('Feeders Raw Data'!AF100:AF119,'Feeders Raw Data'!AF101:AF120)+SUMSQ('Feeders Raw Data'!AF101:AF120)-('Feeders Raw Data'!AF100-'Feeders Raw Data'!AF120)^2/20)/19),"")</f>
        <v>0</v>
      </c>
      <c r="AC100">
        <f>IFERROR('Feeders Raw Data'!AO100,"")</f>
        <v>0</v>
      </c>
      <c r="AD100">
        <f>IFERROR('Feeders Raw Data'!AT100,"")</f>
        <v>0</v>
      </c>
      <c r="AE100">
        <f>IFERROR('Feeders Raw Data'!AV100-'Feeders Raw Data'!AV101,"")</f>
        <v>0</v>
      </c>
      <c r="AF100" t="str">
        <f>IFERROR(AVERAGE('Feeders Raw Data'!AV100:AV104),"")</f>
        <v/>
      </c>
      <c r="AG100" t="str">
        <f>IFERROR(SUMPRODUCT('Feeders Raw Data'!AP100:AP119,'Feeders Raw Data'!AU100:AU119)/SUM('Feeders Raw Data'!AU100:AU119),"")</f>
        <v/>
      </c>
      <c r="AH100">
        <f>IFERROR(SQRT((SUMSQ('Feeders Raw Data'!AP100:AP119)-2*SUMPRODUCT('Feeders Raw Data'!AP100:AP119,'Feeders Raw Data'!AP101:AP120)+SUMSQ('Feeders Raw Data'!AP101:AP120)-('Feeders Raw Data'!AP100-'Feeders Raw Data'!AP120)^2/20)/19),"")</f>
        <v>0</v>
      </c>
      <c r="AJ100">
        <f>IFERROR('Feeders Raw Data'!AY100,"")</f>
        <v>0</v>
      </c>
      <c r="AK100">
        <f>IFERROR('Feeders Raw Data'!BD100,"")</f>
        <v>0</v>
      </c>
      <c r="AL100">
        <f>IFERROR('Feeders Raw Data'!BF100-'Feeders Raw Data'!BF101,"")</f>
        <v>0</v>
      </c>
      <c r="AM100" t="str">
        <f>IFERROR(AVERAGE('Feeders Raw Data'!BF100:BF104),"")</f>
        <v/>
      </c>
      <c r="AN100" t="str">
        <f>IFERROR(SUMPRODUCT('Feeders Raw Data'!AZ100:AZ119,'Feeders Raw Data'!BE100:BE119)/SUM('Feeders Raw Data'!BE100:BE119),"")</f>
        <v/>
      </c>
      <c r="AO100">
        <f>IFERROR(SQRT((SUMSQ('Feeders Raw Data'!AZ100:AZ119)-2*SUMPRODUCT('Feeders Raw Data'!AZ100:AZ119,'Feeders Raw Data'!AZ101:AZ120)+SUMSQ('Feeders Raw Data'!AZ101:AZ120)-('Feeders Raw Data'!AZ100-'Feeders Raw Data'!AZ120)^2/20)/19),"")</f>
        <v>0</v>
      </c>
      <c r="AQ100">
        <f>IFERROR('Feeders Raw Data'!BI100,"")</f>
        <v>0</v>
      </c>
      <c r="AR100">
        <f>IFERROR('Feeders Raw Data'!BN100,"")</f>
        <v>0</v>
      </c>
      <c r="AS100">
        <f>IFERROR('Feeders Raw Data'!BP100-'Feeders Raw Data'!BP101,"")</f>
        <v>0</v>
      </c>
      <c r="AT100" t="str">
        <f>IFERROR(AVERAGE('Feeders Raw Data'!BP100:BP104),"")</f>
        <v/>
      </c>
      <c r="AU100" t="str">
        <f>IFERROR(SUMPRODUCT('Feeders Raw Data'!BJ100:BJ119,'Feeders Raw Data'!BO100:BO119)/SUM('Feeders Raw Data'!BO100:BO119),"")</f>
        <v/>
      </c>
      <c r="AV100">
        <f>IFERROR(SQRT((SUMSQ('Feeders Raw Data'!BJ100:BJ119)-2*SUMPRODUCT('Feeders Raw Data'!BJ100:BJ119,'Feeders Raw Data'!BJ101:BJ120)+SUMSQ('Feeders Raw Data'!BJ101:BJ120)-('Feeders Raw Data'!BJ100-'Feeders Raw Data'!BJ120)^2/20)/19),"")</f>
        <v>0</v>
      </c>
      <c r="AX100">
        <f>IFERROR('Feeders Raw Data'!BS100,"")</f>
        <v>0</v>
      </c>
      <c r="AY100">
        <f>IFERROR('Feeders Raw Data'!BX100,"")</f>
        <v>0</v>
      </c>
      <c r="AZ100">
        <f>IFERROR('Feeders Raw Data'!BZ100-'Feeders Raw Data'!BZ101,"")</f>
        <v>0</v>
      </c>
      <c r="BA100" t="str">
        <f>IFERROR(AVERAGE('Feeders Raw Data'!BZ100:BZ104),"")</f>
        <v/>
      </c>
      <c r="BB100" t="str">
        <f>IFERROR(SUMPRODUCT('Feeders Raw Data'!BT100:BT119,'Feeders Raw Data'!BY100:BY119)/SUM('Feeders Raw Data'!BY100:BY119),"")</f>
        <v/>
      </c>
      <c r="BC100">
        <f>IFERROR(SQRT((SUMSQ('Feeders Raw Data'!BT100:BT119)-2*SUMPRODUCT('Feeders Raw Data'!BT100:BT119,'Feeders Raw Data'!BT101:BT120)+SUMSQ('Feeders Raw Data'!BT101:BT120)-('Feeders Raw Data'!BT100-'Feeders Raw Data'!BT120)^2/20)/19),"")</f>
        <v>0</v>
      </c>
      <c r="BE100">
        <f>IFERROR('Fats Raw Data'!A100,"")</f>
        <v>0</v>
      </c>
      <c r="BF100">
        <f>IFERROR('Fats Raw Data'!F100,"")</f>
        <v>0</v>
      </c>
      <c r="BG100">
        <f>IFERROR('Fats Raw Data'!H100-'Fats Raw Data'!H101,"")</f>
        <v>0</v>
      </c>
      <c r="BH100" t="str">
        <f>IFERROR(AVERAGE('Fats Raw Data'!H100:H104),"")</f>
        <v/>
      </c>
      <c r="BI100" t="str">
        <f>IFERROR(SUMPRODUCT('Fats Raw Data'!B100:B119,'Fats Raw Data'!G100:G119)/SUM('Fats Raw Data'!G100:G119),"")</f>
        <v/>
      </c>
      <c r="BJ100">
        <f>IFERROR(SQRT((SUMSQ('Fats Raw Data'!B100:B119)-2*SUMPRODUCT('Fats Raw Data'!B100:B119,'Fats Raw Data'!B101:B120)+SUMSQ('Fats Raw Data'!B101:B120)-('Fats Raw Data'!B100-'Fats Raw Data'!B120)^2/20)/19),"")</f>
        <v>0</v>
      </c>
      <c r="BL100">
        <f>IFERROR('Fats Raw Data'!K100,"")</f>
        <v>0</v>
      </c>
      <c r="BM100">
        <f>IFERROR('Fats Raw Data'!P100,"")</f>
        <v>0</v>
      </c>
      <c r="BN100">
        <f>IFERROR('Fats Raw Data'!R100-'Fats Raw Data'!R101,"")</f>
        <v>0</v>
      </c>
      <c r="BO100" t="str">
        <f>IFERROR(AVERAGE('Fats Raw Data'!R100:R104),"")</f>
        <v/>
      </c>
      <c r="BP100" t="str">
        <f>IFERROR(SUMPRODUCT('Fats Raw Data'!L100:L119,'Fats Raw Data'!Q100:Q119)/SUM('Fats Raw Data'!Q100:Q119),"")</f>
        <v/>
      </c>
      <c r="BQ100">
        <f>IFERROR(SQRT((SUMSQ('Fats Raw Data'!L100:L119)-2*SUMPRODUCT('Fats Raw Data'!L100:L119,'Fats Raw Data'!L101:L120)+SUMSQ('Fats Raw Data'!L101:L120)-('Fats Raw Data'!L100-'Fats Raw Data'!L120)^2/20)/19),"")</f>
        <v>0</v>
      </c>
      <c r="BS100">
        <f>IFERROR('Fats Raw Data'!U100,"")</f>
        <v>0</v>
      </c>
      <c r="BT100">
        <f>IFERROR('Fats Raw Data'!Z100,"")</f>
        <v>0</v>
      </c>
      <c r="BU100">
        <f>IFERROR('Fats Raw Data'!AB100-'Fats Raw Data'!AB101,"")</f>
        <v>0</v>
      </c>
      <c r="BV100" t="str">
        <f>IFERROR(AVERAGE('Fats Raw Data'!AB100:AB104),"")</f>
        <v/>
      </c>
      <c r="BW100" t="str">
        <f>IFERROR(SUMPRODUCT('Fats Raw Data'!V100:V119,'Fats Raw Data'!AA100:AA119)/SUM('Fats Raw Data'!AA100:AA119),"")</f>
        <v/>
      </c>
      <c r="BX100">
        <f>IFERROR(SQRT((SUMSQ('Fats Raw Data'!V100:V119)-2*SUMPRODUCT('Fats Raw Data'!V100:V119,'Fats Raw Data'!V101:V120)+SUMSQ('Fats Raw Data'!V101:V120)-('Fats Raw Data'!V100-'Fats Raw Data'!V120)^2/20)/19),"")</f>
        <v>0</v>
      </c>
      <c r="BZ100">
        <f>IFERROR('Fats Raw Data'!AE100,"")</f>
        <v>0</v>
      </c>
      <c r="CA100">
        <f>IFERROR('Fats Raw Data'!AJ100,"")</f>
        <v>0</v>
      </c>
      <c r="CB100">
        <f>IFERROR('Fats Raw Data'!AL100-'Fats Raw Data'!AL101,"")</f>
        <v>0</v>
      </c>
      <c r="CC100" t="str">
        <f>IFERROR(AVERAGE('Fats Raw Data'!AL100:AL104),"")</f>
        <v/>
      </c>
      <c r="CD100" t="str">
        <f>IFERROR(SUMPRODUCT('Fats Raw Data'!AF100:AF119,'Fats Raw Data'!AK100:AK119)/SUM('Fats Raw Data'!AK100:AK119),"")</f>
        <v/>
      </c>
      <c r="CE100">
        <f>IFERROR(SQRT((SUMSQ('Fats Raw Data'!AF100:AF119)-2*SUMPRODUCT('Fats Raw Data'!AF100:AF119,'Fats Raw Data'!AF101:AF120)+SUMSQ('Fats Raw Data'!AF101:AF120)-('Fats Raw Data'!AF100-'Fats Raw Data'!AF120)^2/20)/19),"")</f>
        <v>0</v>
      </c>
      <c r="CG100">
        <f>IFERROR('Fats Raw Data'!AO100,"")</f>
        <v>0</v>
      </c>
      <c r="CH100">
        <f>IFERROR('Fats Raw Data'!AT100,"")</f>
        <v>0</v>
      </c>
      <c r="CI100">
        <f>IFERROR('Fats Raw Data'!AV100-'Fats Raw Data'!AV101,"")</f>
        <v>0</v>
      </c>
      <c r="CJ100" t="str">
        <f>IFERROR(AVERAGE('Fats Raw Data'!AV100:AV104),"")</f>
        <v/>
      </c>
      <c r="CK100" t="str">
        <f>IFERROR(SUMPRODUCT('Fats Raw Data'!AP100:AP119,'Fats Raw Data'!AU100:AU119)/SUM('Fats Raw Data'!AU100:AU119),"")</f>
        <v/>
      </c>
      <c r="CL100">
        <f>IFERROR(SQRT((SUMSQ('Fats Raw Data'!AP100:AP119)-2*SUMPRODUCT('Fats Raw Data'!AP100:AP119,'Fats Raw Data'!AP101:AP120)+SUMSQ('Fats Raw Data'!AP101:AP120)-('Fats Raw Data'!AP100-'Fats Raw Data'!AP120)^2/20)/19),"")</f>
        <v>0</v>
      </c>
      <c r="CN100">
        <f>IFERROR('Fats Raw Data'!AY100,"")</f>
        <v>0</v>
      </c>
      <c r="CO100">
        <f>IFERROR('Fats Raw Data'!BD100,"")</f>
        <v>0</v>
      </c>
      <c r="CP100">
        <f>IFERROR('Fats Raw Data'!BF100-'Fats Raw Data'!BF101,"")</f>
        <v>0</v>
      </c>
      <c r="CQ100" t="str">
        <f>IFERROR(AVERAGE('Fats Raw Data'!BF100:BF104),"")</f>
        <v/>
      </c>
      <c r="CR100" t="str">
        <f>IFERROR(SUMPRODUCT('Fats Raw Data'!AZ100:AZ119,'Fats Raw Data'!BE100:BE119)/SUM('Fats Raw Data'!BE100:BE119),"")</f>
        <v/>
      </c>
      <c r="CS100">
        <f>IFERROR(SQRT((SUMSQ('Fats Raw Data'!AZ100:AZ119)-2*SUMPRODUCT('Fats Raw Data'!AZ100:AZ119,'Fats Raw Data'!AZ101:AZ120)+SUMSQ('Fats Raw Data'!AZ101:AZ120)-('Fats Raw Data'!AZ100-'Fats Raw Data'!AZ120)^2/20)/19),"")</f>
        <v>0</v>
      </c>
    </row>
    <row r="101" spans="1:97" x14ac:dyDescent="0.25">
      <c r="A101">
        <f>IFERROR('Feeders Raw Data'!A101,"")</f>
        <v>0</v>
      </c>
      <c r="B101">
        <f>IFERROR('Feeders Raw Data'!F101,"")</f>
        <v>0</v>
      </c>
      <c r="C101">
        <f>IFERROR('Feeders Raw Data'!H101-'Feeders Raw Data'!H102,"")</f>
        <v>0</v>
      </c>
      <c r="D101" t="str">
        <f>IFERROR(AVERAGE('Feeders Raw Data'!H101:H105),"")</f>
        <v/>
      </c>
      <c r="E101" t="str">
        <f>IFERROR(SUMPRODUCT('Feeders Raw Data'!B101:B120,'Feeders Raw Data'!G101:G120)/SUM('Feeders Raw Data'!G101:G120),"")</f>
        <v/>
      </c>
      <c r="F101">
        <f>IFERROR(SQRT((SUMSQ('Feeders Raw Data'!B101:B120)-2*SUMPRODUCT('Feeders Raw Data'!B101:B120,'Feeders Raw Data'!B102:B121)+SUMSQ('Feeders Raw Data'!B102:B121)-('Feeders Raw Data'!B101-'Feeders Raw Data'!B121)^2/20)/19),"")</f>
        <v>0</v>
      </c>
      <c r="H101">
        <f>IFERROR('Feeders Raw Data'!K101,"")</f>
        <v>0</v>
      </c>
      <c r="I101">
        <f>IFERROR('Feeders Raw Data'!P101,"")</f>
        <v>0</v>
      </c>
      <c r="J101">
        <f>IFERROR('Feeders Raw Data'!R101-'Feeders Raw Data'!R102,"")</f>
        <v>0</v>
      </c>
      <c r="K101" t="str">
        <f>IFERROR(AVERAGE('Feeders Raw Data'!R101:R105),"")</f>
        <v/>
      </c>
      <c r="L101" t="str">
        <f>IFERROR(SUMPRODUCT('Feeders Raw Data'!L101:L120,'Feeders Raw Data'!Q101:Q120)/SUM('Feeders Raw Data'!Q101:Q120),"")</f>
        <v/>
      </c>
      <c r="M101">
        <f>IFERROR(SQRT((SUMSQ('Feeders Raw Data'!L101:L120)-2*SUMPRODUCT('Feeders Raw Data'!L101:L120,'Feeders Raw Data'!L102:L121)+SUMSQ('Feeders Raw Data'!L102:L121)-('Feeders Raw Data'!L101-'Feeders Raw Data'!L121)^2/20)/19),"")</f>
        <v>0</v>
      </c>
      <c r="O101">
        <f>IFERROR('Feeders Raw Data'!U101,"")</f>
        <v>0</v>
      </c>
      <c r="P101">
        <f>IFERROR('Feeders Raw Data'!Z101,"")</f>
        <v>0</v>
      </c>
      <c r="Q101">
        <f>IFERROR('Feeders Raw Data'!AB101-'Feeders Raw Data'!AB102,"")</f>
        <v>0</v>
      </c>
      <c r="R101" t="str">
        <f>IFERROR(AVERAGE('Feeders Raw Data'!AB101:AB105),"")</f>
        <v/>
      </c>
      <c r="S101" t="str">
        <f>IFERROR(SUMPRODUCT('Feeders Raw Data'!V101:V120,'Feeders Raw Data'!AA101:AA120)/SUM('Feeders Raw Data'!AA101:AA120),"")</f>
        <v/>
      </c>
      <c r="T101">
        <f>IFERROR(SQRT((SUMSQ('Feeders Raw Data'!V101:V120)-2*SUMPRODUCT('Feeders Raw Data'!V101:V120,'Feeders Raw Data'!V102:V121)+SUMSQ('Feeders Raw Data'!V102:V121)-('Feeders Raw Data'!V101-'Feeders Raw Data'!V121)^2/20)/19),"")</f>
        <v>0</v>
      </c>
      <c r="V101">
        <f>IFERROR('Feeders Raw Data'!AE101,"")</f>
        <v>0</v>
      </c>
      <c r="W101">
        <f>IFERROR('Feeders Raw Data'!AJ101,"")</f>
        <v>0</v>
      </c>
      <c r="X101">
        <f>IFERROR('Feeders Raw Data'!AL101-'Feeders Raw Data'!AL102,"")</f>
        <v>0</v>
      </c>
      <c r="Y101" t="str">
        <f>IFERROR(AVERAGE('Feeders Raw Data'!AL101:AL105),"")</f>
        <v/>
      </c>
      <c r="Z101" t="str">
        <f>IFERROR(SUMPRODUCT('Feeders Raw Data'!AF101:AF120,'Feeders Raw Data'!AK101:AK120)/SUM('Feeders Raw Data'!AK101:AK120),"")</f>
        <v/>
      </c>
      <c r="AA101">
        <f>IFERROR(SQRT((SUMSQ('Feeders Raw Data'!AF101:AF120)-2*SUMPRODUCT('Feeders Raw Data'!AF101:AF120,'Feeders Raw Data'!AF102:AF121)+SUMSQ('Feeders Raw Data'!AF102:AF121)-('Feeders Raw Data'!AF101-'Feeders Raw Data'!AF121)^2/20)/19),"")</f>
        <v>0</v>
      </c>
      <c r="AC101">
        <f>IFERROR('Feeders Raw Data'!AO101,"")</f>
        <v>0</v>
      </c>
      <c r="AD101">
        <f>IFERROR('Feeders Raw Data'!AT101,"")</f>
        <v>0</v>
      </c>
      <c r="AE101">
        <f>IFERROR('Feeders Raw Data'!AV101-'Feeders Raw Data'!AV102,"")</f>
        <v>0</v>
      </c>
      <c r="AF101" t="str">
        <f>IFERROR(AVERAGE('Feeders Raw Data'!AV101:AV105),"")</f>
        <v/>
      </c>
      <c r="AG101" t="str">
        <f>IFERROR(SUMPRODUCT('Feeders Raw Data'!AP101:AP120,'Feeders Raw Data'!AU101:AU120)/SUM('Feeders Raw Data'!AU101:AU120),"")</f>
        <v/>
      </c>
      <c r="AH101">
        <f>IFERROR(SQRT((SUMSQ('Feeders Raw Data'!AP101:AP120)-2*SUMPRODUCT('Feeders Raw Data'!AP101:AP120,'Feeders Raw Data'!AP102:AP121)+SUMSQ('Feeders Raw Data'!AP102:AP121)-('Feeders Raw Data'!AP101-'Feeders Raw Data'!AP121)^2/20)/19),"")</f>
        <v>0</v>
      </c>
      <c r="AJ101">
        <f>IFERROR('Feeders Raw Data'!AY101,"")</f>
        <v>0</v>
      </c>
      <c r="AK101">
        <f>IFERROR('Feeders Raw Data'!BD101,"")</f>
        <v>0</v>
      </c>
      <c r="AL101">
        <f>IFERROR('Feeders Raw Data'!BF101-'Feeders Raw Data'!BF102,"")</f>
        <v>0</v>
      </c>
      <c r="AM101" t="str">
        <f>IFERROR(AVERAGE('Feeders Raw Data'!BF101:BF105),"")</f>
        <v/>
      </c>
      <c r="AN101" t="str">
        <f>IFERROR(SUMPRODUCT('Feeders Raw Data'!AZ101:AZ120,'Feeders Raw Data'!BE101:BE120)/SUM('Feeders Raw Data'!BE101:BE120),"")</f>
        <v/>
      </c>
      <c r="AO101">
        <f>IFERROR(SQRT((SUMSQ('Feeders Raw Data'!AZ101:AZ120)-2*SUMPRODUCT('Feeders Raw Data'!AZ101:AZ120,'Feeders Raw Data'!AZ102:AZ121)+SUMSQ('Feeders Raw Data'!AZ102:AZ121)-('Feeders Raw Data'!AZ101-'Feeders Raw Data'!AZ121)^2/20)/19),"")</f>
        <v>0</v>
      </c>
      <c r="AQ101">
        <f>IFERROR('Feeders Raw Data'!BI101,"")</f>
        <v>0</v>
      </c>
      <c r="AR101">
        <f>IFERROR('Feeders Raw Data'!BN101,"")</f>
        <v>0</v>
      </c>
      <c r="AS101">
        <f>IFERROR('Feeders Raw Data'!BP101-'Feeders Raw Data'!BP102,"")</f>
        <v>0</v>
      </c>
      <c r="AT101" t="str">
        <f>IFERROR(AVERAGE('Feeders Raw Data'!BP101:BP105),"")</f>
        <v/>
      </c>
      <c r="AU101" t="str">
        <f>IFERROR(SUMPRODUCT('Feeders Raw Data'!BJ101:BJ120,'Feeders Raw Data'!BO101:BO120)/SUM('Feeders Raw Data'!BO101:BO120),"")</f>
        <v/>
      </c>
      <c r="AV101">
        <f>IFERROR(SQRT((SUMSQ('Feeders Raw Data'!BJ101:BJ120)-2*SUMPRODUCT('Feeders Raw Data'!BJ101:BJ120,'Feeders Raw Data'!BJ102:BJ121)+SUMSQ('Feeders Raw Data'!BJ102:BJ121)-('Feeders Raw Data'!BJ101-'Feeders Raw Data'!BJ121)^2/20)/19),"")</f>
        <v>0</v>
      </c>
      <c r="AX101">
        <f>IFERROR('Feeders Raw Data'!BS101,"")</f>
        <v>0</v>
      </c>
      <c r="AY101">
        <f>IFERROR('Feeders Raw Data'!BX101,"")</f>
        <v>0</v>
      </c>
      <c r="AZ101">
        <f>IFERROR('Feeders Raw Data'!BZ101-'Feeders Raw Data'!BZ102,"")</f>
        <v>0</v>
      </c>
      <c r="BA101" t="str">
        <f>IFERROR(AVERAGE('Feeders Raw Data'!BZ101:BZ105),"")</f>
        <v/>
      </c>
      <c r="BB101" t="str">
        <f>IFERROR(SUMPRODUCT('Feeders Raw Data'!BT101:BT120,'Feeders Raw Data'!BY101:BY120)/SUM('Feeders Raw Data'!BY101:BY120),"")</f>
        <v/>
      </c>
      <c r="BC101">
        <f>IFERROR(SQRT((SUMSQ('Feeders Raw Data'!BT101:BT120)-2*SUMPRODUCT('Feeders Raw Data'!BT101:BT120,'Feeders Raw Data'!BT102:BT121)+SUMSQ('Feeders Raw Data'!BT102:BT121)-('Feeders Raw Data'!BT101-'Feeders Raw Data'!BT121)^2/20)/19),"")</f>
        <v>0</v>
      </c>
      <c r="BE101">
        <f>IFERROR('Fats Raw Data'!A101,"")</f>
        <v>0</v>
      </c>
      <c r="BF101">
        <f>IFERROR('Fats Raw Data'!F101,"")</f>
        <v>0</v>
      </c>
      <c r="BG101">
        <f>IFERROR('Fats Raw Data'!H101-'Fats Raw Data'!H102,"")</f>
        <v>0</v>
      </c>
      <c r="BH101" t="str">
        <f>IFERROR(AVERAGE('Fats Raw Data'!H101:H105),"")</f>
        <v/>
      </c>
      <c r="BI101" t="str">
        <f>IFERROR(SUMPRODUCT('Fats Raw Data'!B101:B120,'Fats Raw Data'!G101:G120)/SUM('Fats Raw Data'!G101:G120),"")</f>
        <v/>
      </c>
      <c r="BJ101">
        <f>IFERROR(SQRT((SUMSQ('Fats Raw Data'!B101:B120)-2*SUMPRODUCT('Fats Raw Data'!B101:B120,'Fats Raw Data'!B102:B121)+SUMSQ('Fats Raw Data'!B102:B121)-('Fats Raw Data'!B101-'Fats Raw Data'!B121)^2/20)/19),"")</f>
        <v>0</v>
      </c>
      <c r="BL101">
        <f>IFERROR('Fats Raw Data'!K101,"")</f>
        <v>0</v>
      </c>
      <c r="BM101">
        <f>IFERROR('Fats Raw Data'!P101,"")</f>
        <v>0</v>
      </c>
      <c r="BN101">
        <f>IFERROR('Fats Raw Data'!R101-'Fats Raw Data'!R102,"")</f>
        <v>0</v>
      </c>
      <c r="BO101" t="str">
        <f>IFERROR(AVERAGE('Fats Raw Data'!R101:R105),"")</f>
        <v/>
      </c>
      <c r="BP101" t="str">
        <f>IFERROR(SUMPRODUCT('Fats Raw Data'!L101:L120,'Fats Raw Data'!Q101:Q120)/SUM('Fats Raw Data'!Q101:Q120),"")</f>
        <v/>
      </c>
      <c r="BQ101">
        <f>IFERROR(SQRT((SUMSQ('Fats Raw Data'!L101:L120)-2*SUMPRODUCT('Fats Raw Data'!L101:L120,'Fats Raw Data'!L102:L121)+SUMSQ('Fats Raw Data'!L102:L121)-('Fats Raw Data'!L101-'Fats Raw Data'!L121)^2/20)/19),"")</f>
        <v>0</v>
      </c>
      <c r="BS101">
        <f>IFERROR('Fats Raw Data'!U101,"")</f>
        <v>0</v>
      </c>
      <c r="BT101">
        <f>IFERROR('Fats Raw Data'!Z101,"")</f>
        <v>0</v>
      </c>
      <c r="BU101">
        <f>IFERROR('Fats Raw Data'!AB101-'Fats Raw Data'!AB102,"")</f>
        <v>0</v>
      </c>
      <c r="BV101" t="str">
        <f>IFERROR(AVERAGE('Fats Raw Data'!AB101:AB105),"")</f>
        <v/>
      </c>
      <c r="BW101" t="str">
        <f>IFERROR(SUMPRODUCT('Fats Raw Data'!V101:V120,'Fats Raw Data'!AA101:AA120)/SUM('Fats Raw Data'!AA101:AA120),"")</f>
        <v/>
      </c>
      <c r="BX101">
        <f>IFERROR(SQRT((SUMSQ('Fats Raw Data'!V101:V120)-2*SUMPRODUCT('Fats Raw Data'!V101:V120,'Fats Raw Data'!V102:V121)+SUMSQ('Fats Raw Data'!V102:V121)-('Fats Raw Data'!V101-'Fats Raw Data'!V121)^2/20)/19),"")</f>
        <v>0</v>
      </c>
      <c r="BZ101">
        <f>IFERROR('Fats Raw Data'!AE101,"")</f>
        <v>0</v>
      </c>
      <c r="CA101">
        <f>IFERROR('Fats Raw Data'!AJ101,"")</f>
        <v>0</v>
      </c>
      <c r="CB101">
        <f>IFERROR('Fats Raw Data'!AL101-'Fats Raw Data'!AL102,"")</f>
        <v>0</v>
      </c>
      <c r="CC101" t="str">
        <f>IFERROR(AVERAGE('Fats Raw Data'!AL101:AL105),"")</f>
        <v/>
      </c>
      <c r="CD101" t="str">
        <f>IFERROR(SUMPRODUCT('Fats Raw Data'!AF101:AF120,'Fats Raw Data'!AK101:AK120)/SUM('Fats Raw Data'!AK101:AK120),"")</f>
        <v/>
      </c>
      <c r="CE101">
        <f>IFERROR(SQRT((SUMSQ('Fats Raw Data'!AF101:AF120)-2*SUMPRODUCT('Fats Raw Data'!AF101:AF120,'Fats Raw Data'!AF102:AF121)+SUMSQ('Fats Raw Data'!AF102:AF121)-('Fats Raw Data'!AF101-'Fats Raw Data'!AF121)^2/20)/19),"")</f>
        <v>0</v>
      </c>
      <c r="CG101">
        <f>IFERROR('Fats Raw Data'!AO101,"")</f>
        <v>0</v>
      </c>
      <c r="CH101">
        <f>IFERROR('Fats Raw Data'!AT101,"")</f>
        <v>0</v>
      </c>
      <c r="CI101">
        <f>IFERROR('Fats Raw Data'!AV101-'Fats Raw Data'!AV102,"")</f>
        <v>0</v>
      </c>
      <c r="CJ101" t="str">
        <f>IFERROR(AVERAGE('Fats Raw Data'!AV101:AV105),"")</f>
        <v/>
      </c>
      <c r="CK101" t="str">
        <f>IFERROR(SUMPRODUCT('Fats Raw Data'!AP101:AP120,'Fats Raw Data'!AU101:AU120)/SUM('Fats Raw Data'!AU101:AU120),"")</f>
        <v/>
      </c>
      <c r="CL101">
        <f>IFERROR(SQRT((SUMSQ('Fats Raw Data'!AP101:AP120)-2*SUMPRODUCT('Fats Raw Data'!AP101:AP120,'Fats Raw Data'!AP102:AP121)+SUMSQ('Fats Raw Data'!AP102:AP121)-('Fats Raw Data'!AP101-'Fats Raw Data'!AP121)^2/20)/19),"")</f>
        <v>0</v>
      </c>
      <c r="CN101">
        <f>IFERROR('Fats Raw Data'!AY101,"")</f>
        <v>0</v>
      </c>
      <c r="CO101">
        <f>IFERROR('Fats Raw Data'!BD101,"")</f>
        <v>0</v>
      </c>
      <c r="CP101">
        <f>IFERROR('Fats Raw Data'!BF101-'Fats Raw Data'!BF102,"")</f>
        <v>0</v>
      </c>
      <c r="CQ101" t="str">
        <f>IFERROR(AVERAGE('Fats Raw Data'!BF101:BF105),"")</f>
        <v/>
      </c>
      <c r="CR101" t="str">
        <f>IFERROR(SUMPRODUCT('Fats Raw Data'!AZ101:AZ120,'Fats Raw Data'!BE101:BE120)/SUM('Fats Raw Data'!BE101:BE120),"")</f>
        <v/>
      </c>
      <c r="CS101">
        <f>IFERROR(SQRT((SUMSQ('Fats Raw Data'!AZ101:AZ120)-2*SUMPRODUCT('Fats Raw Data'!AZ101:AZ120,'Fats Raw Data'!AZ102:AZ121)+SUMSQ('Fats Raw Data'!AZ102:AZ121)-('Fats Raw Data'!AZ101-'Fats Raw Data'!AZ121)^2/20)/19),"")</f>
        <v>0</v>
      </c>
    </row>
    <row r="102" spans="1:97" x14ac:dyDescent="0.25">
      <c r="A102">
        <f>IFERROR('Feeders Raw Data'!A102,"")</f>
        <v>0</v>
      </c>
      <c r="B102">
        <f>IFERROR('Feeders Raw Data'!F102,"")</f>
        <v>0</v>
      </c>
      <c r="C102">
        <f>IFERROR('Feeders Raw Data'!H102-'Feeders Raw Data'!H103,"")</f>
        <v>0</v>
      </c>
      <c r="D102" t="str">
        <f>IFERROR(AVERAGE('Feeders Raw Data'!H102:H106),"")</f>
        <v/>
      </c>
      <c r="E102" t="str">
        <f>IFERROR(SUMPRODUCT('Feeders Raw Data'!B102:B121,'Feeders Raw Data'!G102:G121)/SUM('Feeders Raw Data'!G102:G121),"")</f>
        <v/>
      </c>
      <c r="F102">
        <f>IFERROR(SQRT((SUMSQ('Feeders Raw Data'!B102:B121)-2*SUMPRODUCT('Feeders Raw Data'!B102:B121,'Feeders Raw Data'!B103:B122)+SUMSQ('Feeders Raw Data'!B103:B122)-('Feeders Raw Data'!B102-'Feeders Raw Data'!B122)^2/20)/19),"")</f>
        <v>0</v>
      </c>
      <c r="H102">
        <f>IFERROR('Feeders Raw Data'!K102,"")</f>
        <v>0</v>
      </c>
      <c r="I102">
        <f>IFERROR('Feeders Raw Data'!P102,"")</f>
        <v>0</v>
      </c>
      <c r="J102">
        <f>IFERROR('Feeders Raw Data'!R102-'Feeders Raw Data'!R103,"")</f>
        <v>0</v>
      </c>
      <c r="K102" t="str">
        <f>IFERROR(AVERAGE('Feeders Raw Data'!R102:R106),"")</f>
        <v/>
      </c>
      <c r="L102" t="str">
        <f>IFERROR(SUMPRODUCT('Feeders Raw Data'!L102:L121,'Feeders Raw Data'!Q102:Q121)/SUM('Feeders Raw Data'!Q102:Q121),"")</f>
        <v/>
      </c>
      <c r="M102">
        <f>IFERROR(SQRT((SUMSQ('Feeders Raw Data'!L102:L121)-2*SUMPRODUCT('Feeders Raw Data'!L102:L121,'Feeders Raw Data'!L103:L122)+SUMSQ('Feeders Raw Data'!L103:L122)-('Feeders Raw Data'!L102-'Feeders Raw Data'!L122)^2/20)/19),"")</f>
        <v>0</v>
      </c>
      <c r="O102">
        <f>IFERROR('Feeders Raw Data'!U102,"")</f>
        <v>0</v>
      </c>
      <c r="P102">
        <f>IFERROR('Feeders Raw Data'!Z102,"")</f>
        <v>0</v>
      </c>
      <c r="Q102">
        <f>IFERROR('Feeders Raw Data'!AB102-'Feeders Raw Data'!AB103,"")</f>
        <v>0</v>
      </c>
      <c r="R102" t="str">
        <f>IFERROR(AVERAGE('Feeders Raw Data'!AB102:AB106),"")</f>
        <v/>
      </c>
      <c r="S102" t="str">
        <f>IFERROR(SUMPRODUCT('Feeders Raw Data'!V102:V121,'Feeders Raw Data'!AA102:AA121)/SUM('Feeders Raw Data'!AA102:AA121),"")</f>
        <v/>
      </c>
      <c r="T102">
        <f>IFERROR(SQRT((SUMSQ('Feeders Raw Data'!V102:V121)-2*SUMPRODUCT('Feeders Raw Data'!V102:V121,'Feeders Raw Data'!V103:V122)+SUMSQ('Feeders Raw Data'!V103:V122)-('Feeders Raw Data'!V102-'Feeders Raw Data'!V122)^2/20)/19),"")</f>
        <v>0</v>
      </c>
      <c r="V102">
        <f>IFERROR('Feeders Raw Data'!AE102,"")</f>
        <v>0</v>
      </c>
      <c r="W102">
        <f>IFERROR('Feeders Raw Data'!AJ102,"")</f>
        <v>0</v>
      </c>
      <c r="X102">
        <f>IFERROR('Feeders Raw Data'!AL102-'Feeders Raw Data'!AL103,"")</f>
        <v>0</v>
      </c>
      <c r="Y102" t="str">
        <f>IFERROR(AVERAGE('Feeders Raw Data'!AL102:AL106),"")</f>
        <v/>
      </c>
      <c r="Z102" t="str">
        <f>IFERROR(SUMPRODUCT('Feeders Raw Data'!AF102:AF121,'Feeders Raw Data'!AK102:AK121)/SUM('Feeders Raw Data'!AK102:AK121),"")</f>
        <v/>
      </c>
      <c r="AA102">
        <f>IFERROR(SQRT((SUMSQ('Feeders Raw Data'!AF102:AF121)-2*SUMPRODUCT('Feeders Raw Data'!AF102:AF121,'Feeders Raw Data'!AF103:AF122)+SUMSQ('Feeders Raw Data'!AF103:AF122)-('Feeders Raw Data'!AF102-'Feeders Raw Data'!AF122)^2/20)/19),"")</f>
        <v>0</v>
      </c>
      <c r="AC102">
        <f>IFERROR('Feeders Raw Data'!AO102,"")</f>
        <v>0</v>
      </c>
      <c r="AD102">
        <f>IFERROR('Feeders Raw Data'!AT102,"")</f>
        <v>0</v>
      </c>
      <c r="AE102">
        <f>IFERROR('Feeders Raw Data'!AV102-'Feeders Raw Data'!AV103,"")</f>
        <v>0</v>
      </c>
      <c r="AF102" t="str">
        <f>IFERROR(AVERAGE('Feeders Raw Data'!AV102:AV106),"")</f>
        <v/>
      </c>
      <c r="AG102" t="str">
        <f>IFERROR(SUMPRODUCT('Feeders Raw Data'!AP102:AP121,'Feeders Raw Data'!AU102:AU121)/SUM('Feeders Raw Data'!AU102:AU121),"")</f>
        <v/>
      </c>
      <c r="AH102">
        <f>IFERROR(SQRT((SUMSQ('Feeders Raw Data'!AP102:AP121)-2*SUMPRODUCT('Feeders Raw Data'!AP102:AP121,'Feeders Raw Data'!AP103:AP122)+SUMSQ('Feeders Raw Data'!AP103:AP122)-('Feeders Raw Data'!AP102-'Feeders Raw Data'!AP122)^2/20)/19),"")</f>
        <v>0</v>
      </c>
      <c r="AJ102">
        <f>IFERROR('Feeders Raw Data'!AY102,"")</f>
        <v>0</v>
      </c>
      <c r="AK102">
        <f>IFERROR('Feeders Raw Data'!BD102,"")</f>
        <v>0</v>
      </c>
      <c r="AL102">
        <f>IFERROR('Feeders Raw Data'!BF102-'Feeders Raw Data'!BF103,"")</f>
        <v>0</v>
      </c>
      <c r="AM102" t="str">
        <f>IFERROR(AVERAGE('Feeders Raw Data'!BF102:BF106),"")</f>
        <v/>
      </c>
      <c r="AN102" t="str">
        <f>IFERROR(SUMPRODUCT('Feeders Raw Data'!AZ102:AZ121,'Feeders Raw Data'!BE102:BE121)/SUM('Feeders Raw Data'!BE102:BE121),"")</f>
        <v/>
      </c>
      <c r="AO102">
        <f>IFERROR(SQRT((SUMSQ('Feeders Raw Data'!AZ102:AZ121)-2*SUMPRODUCT('Feeders Raw Data'!AZ102:AZ121,'Feeders Raw Data'!AZ103:AZ122)+SUMSQ('Feeders Raw Data'!AZ103:AZ122)-('Feeders Raw Data'!AZ102-'Feeders Raw Data'!AZ122)^2/20)/19),"")</f>
        <v>0</v>
      </c>
      <c r="AQ102">
        <f>IFERROR('Feeders Raw Data'!BI102,"")</f>
        <v>0</v>
      </c>
      <c r="AR102">
        <f>IFERROR('Feeders Raw Data'!BN102,"")</f>
        <v>0</v>
      </c>
      <c r="AS102">
        <f>IFERROR('Feeders Raw Data'!BP102-'Feeders Raw Data'!BP103,"")</f>
        <v>0</v>
      </c>
      <c r="AT102" t="str">
        <f>IFERROR(AVERAGE('Feeders Raw Data'!BP102:BP106),"")</f>
        <v/>
      </c>
      <c r="AU102" t="str">
        <f>IFERROR(SUMPRODUCT('Feeders Raw Data'!BJ102:BJ121,'Feeders Raw Data'!BO102:BO121)/SUM('Feeders Raw Data'!BO102:BO121),"")</f>
        <v/>
      </c>
      <c r="AV102">
        <f>IFERROR(SQRT((SUMSQ('Feeders Raw Data'!BJ102:BJ121)-2*SUMPRODUCT('Feeders Raw Data'!BJ102:BJ121,'Feeders Raw Data'!BJ103:BJ122)+SUMSQ('Feeders Raw Data'!BJ103:BJ122)-('Feeders Raw Data'!BJ102-'Feeders Raw Data'!BJ122)^2/20)/19),"")</f>
        <v>0</v>
      </c>
      <c r="AX102">
        <f>IFERROR('Feeders Raw Data'!BS102,"")</f>
        <v>0</v>
      </c>
      <c r="AY102">
        <f>IFERROR('Feeders Raw Data'!BX102,"")</f>
        <v>0</v>
      </c>
      <c r="AZ102">
        <f>IFERROR('Feeders Raw Data'!BZ102-'Feeders Raw Data'!BZ103,"")</f>
        <v>0</v>
      </c>
      <c r="BA102" t="str">
        <f>IFERROR(AVERAGE('Feeders Raw Data'!BZ102:BZ106),"")</f>
        <v/>
      </c>
      <c r="BB102" t="str">
        <f>IFERROR(SUMPRODUCT('Feeders Raw Data'!BT102:BT121,'Feeders Raw Data'!BY102:BY121)/SUM('Feeders Raw Data'!BY102:BY121),"")</f>
        <v/>
      </c>
      <c r="BC102">
        <f>IFERROR(SQRT((SUMSQ('Feeders Raw Data'!BT102:BT121)-2*SUMPRODUCT('Feeders Raw Data'!BT102:BT121,'Feeders Raw Data'!BT103:BT122)+SUMSQ('Feeders Raw Data'!BT103:BT122)-('Feeders Raw Data'!BT102-'Feeders Raw Data'!BT122)^2/20)/19),"")</f>
        <v>0</v>
      </c>
      <c r="BE102">
        <f>IFERROR('Fats Raw Data'!A102,"")</f>
        <v>0</v>
      </c>
      <c r="BF102">
        <f>IFERROR('Fats Raw Data'!F102,"")</f>
        <v>0</v>
      </c>
      <c r="BG102">
        <f>IFERROR('Fats Raw Data'!H102-'Fats Raw Data'!H103,"")</f>
        <v>0</v>
      </c>
      <c r="BH102" t="str">
        <f>IFERROR(AVERAGE('Fats Raw Data'!H102:H106),"")</f>
        <v/>
      </c>
      <c r="BI102" t="str">
        <f>IFERROR(SUMPRODUCT('Fats Raw Data'!B102:B121,'Fats Raw Data'!G102:G121)/SUM('Fats Raw Data'!G102:G121),"")</f>
        <v/>
      </c>
      <c r="BJ102">
        <f>IFERROR(SQRT((SUMSQ('Fats Raw Data'!B102:B121)-2*SUMPRODUCT('Fats Raw Data'!B102:B121,'Fats Raw Data'!B103:B122)+SUMSQ('Fats Raw Data'!B103:B122)-('Fats Raw Data'!B102-'Fats Raw Data'!B122)^2/20)/19),"")</f>
        <v>0</v>
      </c>
      <c r="BL102">
        <f>IFERROR('Fats Raw Data'!K102,"")</f>
        <v>0</v>
      </c>
      <c r="BM102">
        <f>IFERROR('Fats Raw Data'!P102,"")</f>
        <v>0</v>
      </c>
      <c r="BN102">
        <f>IFERROR('Fats Raw Data'!R102-'Fats Raw Data'!R103,"")</f>
        <v>0</v>
      </c>
      <c r="BO102" t="str">
        <f>IFERROR(AVERAGE('Fats Raw Data'!R102:R106),"")</f>
        <v/>
      </c>
      <c r="BP102" t="str">
        <f>IFERROR(SUMPRODUCT('Fats Raw Data'!L102:L121,'Fats Raw Data'!Q102:Q121)/SUM('Fats Raw Data'!Q102:Q121),"")</f>
        <v/>
      </c>
      <c r="BQ102">
        <f>IFERROR(SQRT((SUMSQ('Fats Raw Data'!L102:L121)-2*SUMPRODUCT('Fats Raw Data'!L102:L121,'Fats Raw Data'!L103:L122)+SUMSQ('Fats Raw Data'!L103:L122)-('Fats Raw Data'!L102-'Fats Raw Data'!L122)^2/20)/19),"")</f>
        <v>0</v>
      </c>
      <c r="BS102">
        <f>IFERROR('Fats Raw Data'!U102,"")</f>
        <v>0</v>
      </c>
      <c r="BT102">
        <f>IFERROR('Fats Raw Data'!Z102,"")</f>
        <v>0</v>
      </c>
      <c r="BU102">
        <f>IFERROR('Fats Raw Data'!AB102-'Fats Raw Data'!AB103,"")</f>
        <v>0</v>
      </c>
      <c r="BV102" t="str">
        <f>IFERROR(AVERAGE('Fats Raw Data'!AB102:AB106),"")</f>
        <v/>
      </c>
      <c r="BW102" t="str">
        <f>IFERROR(SUMPRODUCT('Fats Raw Data'!V102:V121,'Fats Raw Data'!AA102:AA121)/SUM('Fats Raw Data'!AA102:AA121),"")</f>
        <v/>
      </c>
      <c r="BX102">
        <f>IFERROR(SQRT((SUMSQ('Fats Raw Data'!V102:V121)-2*SUMPRODUCT('Fats Raw Data'!V102:V121,'Fats Raw Data'!V103:V122)+SUMSQ('Fats Raw Data'!V103:V122)-('Fats Raw Data'!V102-'Fats Raw Data'!V122)^2/20)/19),"")</f>
        <v>0</v>
      </c>
      <c r="BZ102">
        <f>IFERROR('Fats Raw Data'!AE102,"")</f>
        <v>0</v>
      </c>
      <c r="CA102">
        <f>IFERROR('Fats Raw Data'!AJ102,"")</f>
        <v>0</v>
      </c>
      <c r="CB102">
        <f>IFERROR('Fats Raw Data'!AL102-'Fats Raw Data'!AL103,"")</f>
        <v>0</v>
      </c>
      <c r="CC102" t="str">
        <f>IFERROR(AVERAGE('Fats Raw Data'!AL102:AL106),"")</f>
        <v/>
      </c>
      <c r="CD102" t="str">
        <f>IFERROR(SUMPRODUCT('Fats Raw Data'!AF102:AF121,'Fats Raw Data'!AK102:AK121)/SUM('Fats Raw Data'!AK102:AK121),"")</f>
        <v/>
      </c>
      <c r="CE102">
        <f>IFERROR(SQRT((SUMSQ('Fats Raw Data'!AF102:AF121)-2*SUMPRODUCT('Fats Raw Data'!AF102:AF121,'Fats Raw Data'!AF103:AF122)+SUMSQ('Fats Raw Data'!AF103:AF122)-('Fats Raw Data'!AF102-'Fats Raw Data'!AF122)^2/20)/19),"")</f>
        <v>0</v>
      </c>
      <c r="CG102">
        <f>IFERROR('Fats Raw Data'!AO102,"")</f>
        <v>0</v>
      </c>
      <c r="CH102">
        <f>IFERROR('Fats Raw Data'!AT102,"")</f>
        <v>0</v>
      </c>
      <c r="CI102">
        <f>IFERROR('Fats Raw Data'!AV102-'Fats Raw Data'!AV103,"")</f>
        <v>0</v>
      </c>
      <c r="CJ102" t="str">
        <f>IFERROR(AVERAGE('Fats Raw Data'!AV102:AV106),"")</f>
        <v/>
      </c>
      <c r="CK102" t="str">
        <f>IFERROR(SUMPRODUCT('Fats Raw Data'!AP102:AP121,'Fats Raw Data'!AU102:AU121)/SUM('Fats Raw Data'!AU102:AU121),"")</f>
        <v/>
      </c>
      <c r="CL102">
        <f>IFERROR(SQRT((SUMSQ('Fats Raw Data'!AP102:AP121)-2*SUMPRODUCT('Fats Raw Data'!AP102:AP121,'Fats Raw Data'!AP103:AP122)+SUMSQ('Fats Raw Data'!AP103:AP122)-('Fats Raw Data'!AP102-'Fats Raw Data'!AP122)^2/20)/19),"")</f>
        <v>0</v>
      </c>
      <c r="CN102">
        <f>IFERROR('Fats Raw Data'!AY102,"")</f>
        <v>0</v>
      </c>
      <c r="CO102">
        <f>IFERROR('Fats Raw Data'!BD102,"")</f>
        <v>0</v>
      </c>
      <c r="CP102">
        <f>IFERROR('Fats Raw Data'!BF102-'Fats Raw Data'!BF103,"")</f>
        <v>0</v>
      </c>
      <c r="CQ102" t="str">
        <f>IFERROR(AVERAGE('Fats Raw Data'!BF102:BF106),"")</f>
        <v/>
      </c>
      <c r="CR102" t="str">
        <f>IFERROR(SUMPRODUCT('Fats Raw Data'!AZ102:AZ121,'Fats Raw Data'!BE102:BE121)/SUM('Fats Raw Data'!BE102:BE121),"")</f>
        <v/>
      </c>
      <c r="CS102">
        <f>IFERROR(SQRT((SUMSQ('Fats Raw Data'!AZ102:AZ121)-2*SUMPRODUCT('Fats Raw Data'!AZ102:AZ121,'Fats Raw Data'!AZ103:AZ122)+SUMSQ('Fats Raw Data'!AZ103:AZ122)-('Fats Raw Data'!AZ102-'Fats Raw Data'!AZ122)^2/20)/19),"")</f>
        <v>0</v>
      </c>
    </row>
    <row r="103" spans="1:97" x14ac:dyDescent="0.25">
      <c r="A103">
        <f>IFERROR('Feeders Raw Data'!A103,"")</f>
        <v>0</v>
      </c>
      <c r="B103">
        <f>IFERROR('Feeders Raw Data'!F103,"")</f>
        <v>0</v>
      </c>
      <c r="C103">
        <f>IFERROR('Feeders Raw Data'!H103-'Feeders Raw Data'!H104,"")</f>
        <v>0</v>
      </c>
      <c r="D103" t="str">
        <f>IFERROR(AVERAGE('Feeders Raw Data'!H103:H107),"")</f>
        <v/>
      </c>
      <c r="E103" t="str">
        <f>IFERROR(SUMPRODUCT('Feeders Raw Data'!B103:B122,'Feeders Raw Data'!G103:G122)/SUM('Feeders Raw Data'!G103:G122),"")</f>
        <v/>
      </c>
      <c r="F103">
        <f>IFERROR(SQRT((SUMSQ('Feeders Raw Data'!B103:B122)-2*SUMPRODUCT('Feeders Raw Data'!B103:B122,'Feeders Raw Data'!B104:B123)+SUMSQ('Feeders Raw Data'!B104:B123)-('Feeders Raw Data'!B103-'Feeders Raw Data'!B123)^2/20)/19),"")</f>
        <v>0</v>
      </c>
      <c r="H103">
        <f>IFERROR('Feeders Raw Data'!K103,"")</f>
        <v>0</v>
      </c>
      <c r="I103">
        <f>IFERROR('Feeders Raw Data'!P103,"")</f>
        <v>0</v>
      </c>
      <c r="J103">
        <f>IFERROR('Feeders Raw Data'!R103-'Feeders Raw Data'!R104,"")</f>
        <v>0</v>
      </c>
      <c r="K103" t="str">
        <f>IFERROR(AVERAGE('Feeders Raw Data'!R103:R107),"")</f>
        <v/>
      </c>
      <c r="L103" t="str">
        <f>IFERROR(SUMPRODUCT('Feeders Raw Data'!L103:L122,'Feeders Raw Data'!Q103:Q122)/SUM('Feeders Raw Data'!Q103:Q122),"")</f>
        <v/>
      </c>
      <c r="M103">
        <f>IFERROR(SQRT((SUMSQ('Feeders Raw Data'!L103:L122)-2*SUMPRODUCT('Feeders Raw Data'!L103:L122,'Feeders Raw Data'!L104:L123)+SUMSQ('Feeders Raw Data'!L104:L123)-('Feeders Raw Data'!L103-'Feeders Raw Data'!L123)^2/20)/19),"")</f>
        <v>0</v>
      </c>
      <c r="O103">
        <f>IFERROR('Feeders Raw Data'!U103,"")</f>
        <v>0</v>
      </c>
      <c r="P103">
        <f>IFERROR('Feeders Raw Data'!Z103,"")</f>
        <v>0</v>
      </c>
      <c r="Q103">
        <f>IFERROR('Feeders Raw Data'!AB103-'Feeders Raw Data'!AB104,"")</f>
        <v>0</v>
      </c>
      <c r="R103" t="str">
        <f>IFERROR(AVERAGE('Feeders Raw Data'!AB103:AB107),"")</f>
        <v/>
      </c>
      <c r="S103" t="str">
        <f>IFERROR(SUMPRODUCT('Feeders Raw Data'!V103:V122,'Feeders Raw Data'!AA103:AA122)/SUM('Feeders Raw Data'!AA103:AA122),"")</f>
        <v/>
      </c>
      <c r="T103">
        <f>IFERROR(SQRT((SUMSQ('Feeders Raw Data'!V103:V122)-2*SUMPRODUCT('Feeders Raw Data'!V103:V122,'Feeders Raw Data'!V104:V123)+SUMSQ('Feeders Raw Data'!V104:V123)-('Feeders Raw Data'!V103-'Feeders Raw Data'!V123)^2/20)/19),"")</f>
        <v>0</v>
      </c>
      <c r="V103">
        <f>IFERROR('Feeders Raw Data'!AE103,"")</f>
        <v>0</v>
      </c>
      <c r="W103">
        <f>IFERROR('Feeders Raw Data'!AJ103,"")</f>
        <v>0</v>
      </c>
      <c r="X103">
        <f>IFERROR('Feeders Raw Data'!AL103-'Feeders Raw Data'!AL104,"")</f>
        <v>0</v>
      </c>
      <c r="Y103" t="str">
        <f>IFERROR(AVERAGE('Feeders Raw Data'!AL103:AL107),"")</f>
        <v/>
      </c>
      <c r="Z103" t="str">
        <f>IFERROR(SUMPRODUCT('Feeders Raw Data'!AF103:AF122,'Feeders Raw Data'!AK103:AK122)/SUM('Feeders Raw Data'!AK103:AK122),"")</f>
        <v/>
      </c>
      <c r="AA103">
        <f>IFERROR(SQRT((SUMSQ('Feeders Raw Data'!AF103:AF122)-2*SUMPRODUCT('Feeders Raw Data'!AF103:AF122,'Feeders Raw Data'!AF104:AF123)+SUMSQ('Feeders Raw Data'!AF104:AF123)-('Feeders Raw Data'!AF103-'Feeders Raw Data'!AF123)^2/20)/19),"")</f>
        <v>0</v>
      </c>
      <c r="AC103">
        <f>IFERROR('Feeders Raw Data'!AO103,"")</f>
        <v>0</v>
      </c>
      <c r="AD103">
        <f>IFERROR('Feeders Raw Data'!AT103,"")</f>
        <v>0</v>
      </c>
      <c r="AE103">
        <f>IFERROR('Feeders Raw Data'!AV103-'Feeders Raw Data'!AV104,"")</f>
        <v>0</v>
      </c>
      <c r="AF103" t="str">
        <f>IFERROR(AVERAGE('Feeders Raw Data'!AV103:AV107),"")</f>
        <v/>
      </c>
      <c r="AG103" t="str">
        <f>IFERROR(SUMPRODUCT('Feeders Raw Data'!AP103:AP122,'Feeders Raw Data'!AU103:AU122)/SUM('Feeders Raw Data'!AU103:AU122),"")</f>
        <v/>
      </c>
      <c r="AH103">
        <f>IFERROR(SQRT((SUMSQ('Feeders Raw Data'!AP103:AP122)-2*SUMPRODUCT('Feeders Raw Data'!AP103:AP122,'Feeders Raw Data'!AP104:AP123)+SUMSQ('Feeders Raw Data'!AP104:AP123)-('Feeders Raw Data'!AP103-'Feeders Raw Data'!AP123)^2/20)/19),"")</f>
        <v>0</v>
      </c>
      <c r="AJ103">
        <f>IFERROR('Feeders Raw Data'!AY103,"")</f>
        <v>0</v>
      </c>
      <c r="AK103">
        <f>IFERROR('Feeders Raw Data'!BD103,"")</f>
        <v>0</v>
      </c>
      <c r="AL103">
        <f>IFERROR('Feeders Raw Data'!BF103-'Feeders Raw Data'!BF104,"")</f>
        <v>0</v>
      </c>
      <c r="AM103" t="str">
        <f>IFERROR(AVERAGE('Feeders Raw Data'!BF103:BF107),"")</f>
        <v/>
      </c>
      <c r="AN103" t="str">
        <f>IFERROR(SUMPRODUCT('Feeders Raw Data'!AZ103:AZ122,'Feeders Raw Data'!BE103:BE122)/SUM('Feeders Raw Data'!BE103:BE122),"")</f>
        <v/>
      </c>
      <c r="AO103">
        <f>IFERROR(SQRT((SUMSQ('Feeders Raw Data'!AZ103:AZ122)-2*SUMPRODUCT('Feeders Raw Data'!AZ103:AZ122,'Feeders Raw Data'!AZ104:AZ123)+SUMSQ('Feeders Raw Data'!AZ104:AZ123)-('Feeders Raw Data'!AZ103-'Feeders Raw Data'!AZ123)^2/20)/19),"")</f>
        <v>0</v>
      </c>
      <c r="AQ103">
        <f>IFERROR('Feeders Raw Data'!BI103,"")</f>
        <v>0</v>
      </c>
      <c r="AR103">
        <f>IFERROR('Feeders Raw Data'!BN103,"")</f>
        <v>0</v>
      </c>
      <c r="AS103">
        <f>IFERROR('Feeders Raw Data'!BP103-'Feeders Raw Data'!BP104,"")</f>
        <v>0</v>
      </c>
      <c r="AT103" t="str">
        <f>IFERROR(AVERAGE('Feeders Raw Data'!BP103:BP107),"")</f>
        <v/>
      </c>
      <c r="AU103" t="str">
        <f>IFERROR(SUMPRODUCT('Feeders Raw Data'!BJ103:BJ122,'Feeders Raw Data'!BO103:BO122)/SUM('Feeders Raw Data'!BO103:BO122),"")</f>
        <v/>
      </c>
      <c r="AV103">
        <f>IFERROR(SQRT((SUMSQ('Feeders Raw Data'!BJ103:BJ122)-2*SUMPRODUCT('Feeders Raw Data'!BJ103:BJ122,'Feeders Raw Data'!BJ104:BJ123)+SUMSQ('Feeders Raw Data'!BJ104:BJ123)-('Feeders Raw Data'!BJ103-'Feeders Raw Data'!BJ123)^2/20)/19),"")</f>
        <v>0</v>
      </c>
      <c r="AX103">
        <f>IFERROR('Feeders Raw Data'!BS103,"")</f>
        <v>0</v>
      </c>
      <c r="AY103">
        <f>IFERROR('Feeders Raw Data'!BX103,"")</f>
        <v>0</v>
      </c>
      <c r="AZ103">
        <f>IFERROR('Feeders Raw Data'!BZ103-'Feeders Raw Data'!BZ104,"")</f>
        <v>0</v>
      </c>
      <c r="BA103" t="str">
        <f>IFERROR(AVERAGE('Feeders Raw Data'!BZ103:BZ107),"")</f>
        <v/>
      </c>
      <c r="BB103" t="str">
        <f>IFERROR(SUMPRODUCT('Feeders Raw Data'!BT103:BT122,'Feeders Raw Data'!BY103:BY122)/SUM('Feeders Raw Data'!BY103:BY122),"")</f>
        <v/>
      </c>
      <c r="BC103">
        <f>IFERROR(SQRT((SUMSQ('Feeders Raw Data'!BT103:BT122)-2*SUMPRODUCT('Feeders Raw Data'!BT103:BT122,'Feeders Raw Data'!BT104:BT123)+SUMSQ('Feeders Raw Data'!BT104:BT123)-('Feeders Raw Data'!BT103-'Feeders Raw Data'!BT123)^2/20)/19),"")</f>
        <v>0</v>
      </c>
      <c r="BE103">
        <f>IFERROR('Fats Raw Data'!A103,"")</f>
        <v>0</v>
      </c>
      <c r="BF103">
        <f>IFERROR('Fats Raw Data'!F103,"")</f>
        <v>0</v>
      </c>
      <c r="BG103">
        <f>IFERROR('Fats Raw Data'!H103-'Fats Raw Data'!H104,"")</f>
        <v>0</v>
      </c>
      <c r="BH103" t="str">
        <f>IFERROR(AVERAGE('Fats Raw Data'!H103:H107),"")</f>
        <v/>
      </c>
      <c r="BI103" t="str">
        <f>IFERROR(SUMPRODUCT('Fats Raw Data'!B103:B122,'Fats Raw Data'!G103:G122)/SUM('Fats Raw Data'!G103:G122),"")</f>
        <v/>
      </c>
      <c r="BJ103">
        <f>IFERROR(SQRT((SUMSQ('Fats Raw Data'!B103:B122)-2*SUMPRODUCT('Fats Raw Data'!B103:B122,'Fats Raw Data'!B104:B123)+SUMSQ('Fats Raw Data'!B104:B123)-('Fats Raw Data'!B103-'Fats Raw Data'!B123)^2/20)/19),"")</f>
        <v>0</v>
      </c>
      <c r="BL103">
        <f>IFERROR('Fats Raw Data'!K103,"")</f>
        <v>0</v>
      </c>
      <c r="BM103">
        <f>IFERROR('Fats Raw Data'!P103,"")</f>
        <v>0</v>
      </c>
      <c r="BN103">
        <f>IFERROR('Fats Raw Data'!R103-'Fats Raw Data'!R104,"")</f>
        <v>0</v>
      </c>
      <c r="BO103" t="str">
        <f>IFERROR(AVERAGE('Fats Raw Data'!R103:R107),"")</f>
        <v/>
      </c>
      <c r="BP103" t="str">
        <f>IFERROR(SUMPRODUCT('Fats Raw Data'!L103:L122,'Fats Raw Data'!Q103:Q122)/SUM('Fats Raw Data'!Q103:Q122),"")</f>
        <v/>
      </c>
      <c r="BQ103">
        <f>IFERROR(SQRT((SUMSQ('Fats Raw Data'!L103:L122)-2*SUMPRODUCT('Fats Raw Data'!L103:L122,'Fats Raw Data'!L104:L123)+SUMSQ('Fats Raw Data'!L104:L123)-('Fats Raw Data'!L103-'Fats Raw Data'!L123)^2/20)/19),"")</f>
        <v>0</v>
      </c>
      <c r="BS103">
        <f>IFERROR('Fats Raw Data'!U103,"")</f>
        <v>0</v>
      </c>
      <c r="BT103">
        <f>IFERROR('Fats Raw Data'!Z103,"")</f>
        <v>0</v>
      </c>
      <c r="BU103">
        <f>IFERROR('Fats Raw Data'!AB103-'Fats Raw Data'!AB104,"")</f>
        <v>0</v>
      </c>
      <c r="BV103" t="str">
        <f>IFERROR(AVERAGE('Fats Raw Data'!AB103:AB107),"")</f>
        <v/>
      </c>
      <c r="BW103" t="str">
        <f>IFERROR(SUMPRODUCT('Fats Raw Data'!V103:V122,'Fats Raw Data'!AA103:AA122)/SUM('Fats Raw Data'!AA103:AA122),"")</f>
        <v/>
      </c>
      <c r="BX103">
        <f>IFERROR(SQRT((SUMSQ('Fats Raw Data'!V103:V122)-2*SUMPRODUCT('Fats Raw Data'!V103:V122,'Fats Raw Data'!V104:V123)+SUMSQ('Fats Raw Data'!V104:V123)-('Fats Raw Data'!V103-'Fats Raw Data'!V123)^2/20)/19),"")</f>
        <v>0</v>
      </c>
      <c r="BZ103">
        <f>IFERROR('Fats Raw Data'!AE103,"")</f>
        <v>0</v>
      </c>
      <c r="CA103">
        <f>IFERROR('Fats Raw Data'!AJ103,"")</f>
        <v>0</v>
      </c>
      <c r="CB103">
        <f>IFERROR('Fats Raw Data'!AL103-'Fats Raw Data'!AL104,"")</f>
        <v>0</v>
      </c>
      <c r="CC103" t="str">
        <f>IFERROR(AVERAGE('Fats Raw Data'!AL103:AL107),"")</f>
        <v/>
      </c>
      <c r="CD103" t="str">
        <f>IFERROR(SUMPRODUCT('Fats Raw Data'!AF103:AF122,'Fats Raw Data'!AK103:AK122)/SUM('Fats Raw Data'!AK103:AK122),"")</f>
        <v/>
      </c>
      <c r="CE103">
        <f>IFERROR(SQRT((SUMSQ('Fats Raw Data'!AF103:AF122)-2*SUMPRODUCT('Fats Raw Data'!AF103:AF122,'Fats Raw Data'!AF104:AF123)+SUMSQ('Fats Raw Data'!AF104:AF123)-('Fats Raw Data'!AF103-'Fats Raw Data'!AF123)^2/20)/19),"")</f>
        <v>0</v>
      </c>
      <c r="CG103">
        <f>IFERROR('Fats Raw Data'!AO103,"")</f>
        <v>0</v>
      </c>
      <c r="CH103">
        <f>IFERROR('Fats Raw Data'!AT103,"")</f>
        <v>0</v>
      </c>
      <c r="CI103">
        <f>IFERROR('Fats Raw Data'!AV103-'Fats Raw Data'!AV104,"")</f>
        <v>0</v>
      </c>
      <c r="CJ103" t="str">
        <f>IFERROR(AVERAGE('Fats Raw Data'!AV103:AV107),"")</f>
        <v/>
      </c>
      <c r="CK103" t="str">
        <f>IFERROR(SUMPRODUCT('Fats Raw Data'!AP103:AP122,'Fats Raw Data'!AU103:AU122)/SUM('Fats Raw Data'!AU103:AU122),"")</f>
        <v/>
      </c>
      <c r="CL103">
        <f>IFERROR(SQRT((SUMSQ('Fats Raw Data'!AP103:AP122)-2*SUMPRODUCT('Fats Raw Data'!AP103:AP122,'Fats Raw Data'!AP104:AP123)+SUMSQ('Fats Raw Data'!AP104:AP123)-('Fats Raw Data'!AP103-'Fats Raw Data'!AP123)^2/20)/19),"")</f>
        <v>0</v>
      </c>
      <c r="CN103">
        <f>IFERROR('Fats Raw Data'!AY103,"")</f>
        <v>0</v>
      </c>
      <c r="CO103">
        <f>IFERROR('Fats Raw Data'!BD103,"")</f>
        <v>0</v>
      </c>
      <c r="CP103">
        <f>IFERROR('Fats Raw Data'!BF103-'Fats Raw Data'!BF104,"")</f>
        <v>0</v>
      </c>
      <c r="CQ103" t="str">
        <f>IFERROR(AVERAGE('Fats Raw Data'!BF103:BF107),"")</f>
        <v/>
      </c>
      <c r="CR103" t="str">
        <f>IFERROR(SUMPRODUCT('Fats Raw Data'!AZ103:AZ122,'Fats Raw Data'!BE103:BE122)/SUM('Fats Raw Data'!BE103:BE122),"")</f>
        <v/>
      </c>
      <c r="CS103">
        <f>IFERROR(SQRT((SUMSQ('Fats Raw Data'!AZ103:AZ122)-2*SUMPRODUCT('Fats Raw Data'!AZ103:AZ122,'Fats Raw Data'!AZ104:AZ123)+SUMSQ('Fats Raw Data'!AZ104:AZ123)-('Fats Raw Data'!AZ103-'Fats Raw Data'!AZ123)^2/20)/19),"")</f>
        <v>0</v>
      </c>
    </row>
    <row r="104" spans="1:97" x14ac:dyDescent="0.25">
      <c r="A104">
        <f>IFERROR('Feeders Raw Data'!A104,"")</f>
        <v>0</v>
      </c>
      <c r="B104">
        <f>IFERROR('Feeders Raw Data'!F104,"")</f>
        <v>0</v>
      </c>
      <c r="C104">
        <f>IFERROR('Feeders Raw Data'!H104-'Feeders Raw Data'!H105,"")</f>
        <v>0</v>
      </c>
      <c r="D104" t="str">
        <f>IFERROR(AVERAGE('Feeders Raw Data'!H104:H108),"")</f>
        <v/>
      </c>
      <c r="E104" t="str">
        <f>IFERROR(SUMPRODUCT('Feeders Raw Data'!B104:B123,'Feeders Raw Data'!G104:G123)/SUM('Feeders Raw Data'!G104:G123),"")</f>
        <v/>
      </c>
      <c r="F104">
        <f>IFERROR(SQRT((SUMSQ('Feeders Raw Data'!B104:B123)-2*SUMPRODUCT('Feeders Raw Data'!B104:B123,'Feeders Raw Data'!B105:B124)+SUMSQ('Feeders Raw Data'!B105:B124)-('Feeders Raw Data'!B104-'Feeders Raw Data'!B124)^2/20)/19),"")</f>
        <v>0</v>
      </c>
      <c r="H104">
        <f>IFERROR('Feeders Raw Data'!K104,"")</f>
        <v>0</v>
      </c>
      <c r="I104">
        <f>IFERROR('Feeders Raw Data'!P104,"")</f>
        <v>0</v>
      </c>
      <c r="J104">
        <f>IFERROR('Feeders Raw Data'!R104-'Feeders Raw Data'!R105,"")</f>
        <v>0</v>
      </c>
      <c r="K104" t="str">
        <f>IFERROR(AVERAGE('Feeders Raw Data'!R104:R108),"")</f>
        <v/>
      </c>
      <c r="L104" t="str">
        <f>IFERROR(SUMPRODUCT('Feeders Raw Data'!L104:L123,'Feeders Raw Data'!Q104:Q123)/SUM('Feeders Raw Data'!Q104:Q123),"")</f>
        <v/>
      </c>
      <c r="M104">
        <f>IFERROR(SQRT((SUMSQ('Feeders Raw Data'!L104:L123)-2*SUMPRODUCT('Feeders Raw Data'!L104:L123,'Feeders Raw Data'!L105:L124)+SUMSQ('Feeders Raw Data'!L105:L124)-('Feeders Raw Data'!L104-'Feeders Raw Data'!L124)^2/20)/19),"")</f>
        <v>0</v>
      </c>
      <c r="O104">
        <f>IFERROR('Feeders Raw Data'!U104,"")</f>
        <v>0</v>
      </c>
      <c r="P104">
        <f>IFERROR('Feeders Raw Data'!Z104,"")</f>
        <v>0</v>
      </c>
      <c r="Q104">
        <f>IFERROR('Feeders Raw Data'!AB104-'Feeders Raw Data'!AB105,"")</f>
        <v>0</v>
      </c>
      <c r="R104" t="str">
        <f>IFERROR(AVERAGE('Feeders Raw Data'!AB104:AB108),"")</f>
        <v/>
      </c>
      <c r="S104" t="str">
        <f>IFERROR(SUMPRODUCT('Feeders Raw Data'!V104:V123,'Feeders Raw Data'!AA104:AA123)/SUM('Feeders Raw Data'!AA104:AA123),"")</f>
        <v/>
      </c>
      <c r="T104">
        <f>IFERROR(SQRT((SUMSQ('Feeders Raw Data'!V104:V123)-2*SUMPRODUCT('Feeders Raw Data'!V104:V123,'Feeders Raw Data'!V105:V124)+SUMSQ('Feeders Raw Data'!V105:V124)-('Feeders Raw Data'!V104-'Feeders Raw Data'!V124)^2/20)/19),"")</f>
        <v>0</v>
      </c>
      <c r="V104">
        <f>IFERROR('Feeders Raw Data'!AE104,"")</f>
        <v>0</v>
      </c>
      <c r="W104">
        <f>IFERROR('Feeders Raw Data'!AJ104,"")</f>
        <v>0</v>
      </c>
      <c r="X104">
        <f>IFERROR('Feeders Raw Data'!AL104-'Feeders Raw Data'!AL105,"")</f>
        <v>0</v>
      </c>
      <c r="Y104" t="str">
        <f>IFERROR(AVERAGE('Feeders Raw Data'!AL104:AL108),"")</f>
        <v/>
      </c>
      <c r="Z104" t="str">
        <f>IFERROR(SUMPRODUCT('Feeders Raw Data'!AF104:AF123,'Feeders Raw Data'!AK104:AK123)/SUM('Feeders Raw Data'!AK104:AK123),"")</f>
        <v/>
      </c>
      <c r="AA104">
        <f>IFERROR(SQRT((SUMSQ('Feeders Raw Data'!AF104:AF123)-2*SUMPRODUCT('Feeders Raw Data'!AF104:AF123,'Feeders Raw Data'!AF105:AF124)+SUMSQ('Feeders Raw Data'!AF105:AF124)-('Feeders Raw Data'!AF104-'Feeders Raw Data'!AF124)^2/20)/19),"")</f>
        <v>0</v>
      </c>
      <c r="AC104">
        <f>IFERROR('Feeders Raw Data'!AO104,"")</f>
        <v>0</v>
      </c>
      <c r="AD104">
        <f>IFERROR('Feeders Raw Data'!AT104,"")</f>
        <v>0</v>
      </c>
      <c r="AE104">
        <f>IFERROR('Feeders Raw Data'!AV104-'Feeders Raw Data'!AV105,"")</f>
        <v>0</v>
      </c>
      <c r="AF104" t="str">
        <f>IFERROR(AVERAGE('Feeders Raw Data'!AV104:AV108),"")</f>
        <v/>
      </c>
      <c r="AG104" t="str">
        <f>IFERROR(SUMPRODUCT('Feeders Raw Data'!AP104:AP123,'Feeders Raw Data'!AU104:AU123)/SUM('Feeders Raw Data'!AU104:AU123),"")</f>
        <v/>
      </c>
      <c r="AH104">
        <f>IFERROR(SQRT((SUMSQ('Feeders Raw Data'!AP104:AP123)-2*SUMPRODUCT('Feeders Raw Data'!AP104:AP123,'Feeders Raw Data'!AP105:AP124)+SUMSQ('Feeders Raw Data'!AP105:AP124)-('Feeders Raw Data'!AP104-'Feeders Raw Data'!AP124)^2/20)/19),"")</f>
        <v>0</v>
      </c>
      <c r="AJ104">
        <f>IFERROR('Feeders Raw Data'!AY104,"")</f>
        <v>0</v>
      </c>
      <c r="AK104">
        <f>IFERROR('Feeders Raw Data'!BD104,"")</f>
        <v>0</v>
      </c>
      <c r="AL104">
        <f>IFERROR('Feeders Raw Data'!BF104-'Feeders Raw Data'!BF105,"")</f>
        <v>0</v>
      </c>
      <c r="AM104" t="str">
        <f>IFERROR(AVERAGE('Feeders Raw Data'!BF104:BF108),"")</f>
        <v/>
      </c>
      <c r="AN104" t="str">
        <f>IFERROR(SUMPRODUCT('Feeders Raw Data'!AZ104:AZ123,'Feeders Raw Data'!BE104:BE123)/SUM('Feeders Raw Data'!BE104:BE123),"")</f>
        <v/>
      </c>
      <c r="AO104">
        <f>IFERROR(SQRT((SUMSQ('Feeders Raw Data'!AZ104:AZ123)-2*SUMPRODUCT('Feeders Raw Data'!AZ104:AZ123,'Feeders Raw Data'!AZ105:AZ124)+SUMSQ('Feeders Raw Data'!AZ105:AZ124)-('Feeders Raw Data'!AZ104-'Feeders Raw Data'!AZ124)^2/20)/19),"")</f>
        <v>0</v>
      </c>
      <c r="AQ104">
        <f>IFERROR('Feeders Raw Data'!BI104,"")</f>
        <v>0</v>
      </c>
      <c r="AR104">
        <f>IFERROR('Feeders Raw Data'!BN104,"")</f>
        <v>0</v>
      </c>
      <c r="AS104">
        <f>IFERROR('Feeders Raw Data'!BP104-'Feeders Raw Data'!BP105,"")</f>
        <v>0</v>
      </c>
      <c r="AT104" t="str">
        <f>IFERROR(AVERAGE('Feeders Raw Data'!BP104:BP108),"")</f>
        <v/>
      </c>
      <c r="AU104" t="str">
        <f>IFERROR(SUMPRODUCT('Feeders Raw Data'!BJ104:BJ123,'Feeders Raw Data'!BO104:BO123)/SUM('Feeders Raw Data'!BO104:BO123),"")</f>
        <v/>
      </c>
      <c r="AV104">
        <f>IFERROR(SQRT((SUMSQ('Feeders Raw Data'!BJ104:BJ123)-2*SUMPRODUCT('Feeders Raw Data'!BJ104:BJ123,'Feeders Raw Data'!BJ105:BJ124)+SUMSQ('Feeders Raw Data'!BJ105:BJ124)-('Feeders Raw Data'!BJ104-'Feeders Raw Data'!BJ124)^2/20)/19),"")</f>
        <v>0</v>
      </c>
      <c r="AX104">
        <f>IFERROR('Feeders Raw Data'!BS104,"")</f>
        <v>0</v>
      </c>
      <c r="AY104">
        <f>IFERROR('Feeders Raw Data'!BX104,"")</f>
        <v>0</v>
      </c>
      <c r="AZ104">
        <f>IFERROR('Feeders Raw Data'!BZ104-'Feeders Raw Data'!BZ105,"")</f>
        <v>0</v>
      </c>
      <c r="BA104" t="str">
        <f>IFERROR(AVERAGE('Feeders Raw Data'!BZ104:BZ108),"")</f>
        <v/>
      </c>
      <c r="BB104" t="str">
        <f>IFERROR(SUMPRODUCT('Feeders Raw Data'!BT104:BT123,'Feeders Raw Data'!BY104:BY123)/SUM('Feeders Raw Data'!BY104:BY123),"")</f>
        <v/>
      </c>
      <c r="BC104">
        <f>IFERROR(SQRT((SUMSQ('Feeders Raw Data'!BT104:BT123)-2*SUMPRODUCT('Feeders Raw Data'!BT104:BT123,'Feeders Raw Data'!BT105:BT124)+SUMSQ('Feeders Raw Data'!BT105:BT124)-('Feeders Raw Data'!BT104-'Feeders Raw Data'!BT124)^2/20)/19),"")</f>
        <v>0</v>
      </c>
      <c r="BE104">
        <f>IFERROR('Fats Raw Data'!A104,"")</f>
        <v>0</v>
      </c>
      <c r="BF104">
        <f>IFERROR('Fats Raw Data'!F104,"")</f>
        <v>0</v>
      </c>
      <c r="BG104">
        <f>IFERROR('Fats Raw Data'!H104-'Fats Raw Data'!H105,"")</f>
        <v>0</v>
      </c>
      <c r="BH104" t="str">
        <f>IFERROR(AVERAGE('Fats Raw Data'!H104:H108),"")</f>
        <v/>
      </c>
      <c r="BI104" t="str">
        <f>IFERROR(SUMPRODUCT('Fats Raw Data'!B104:B123,'Fats Raw Data'!G104:G123)/SUM('Fats Raw Data'!G104:G123),"")</f>
        <v/>
      </c>
      <c r="BJ104">
        <f>IFERROR(SQRT((SUMSQ('Fats Raw Data'!B104:B123)-2*SUMPRODUCT('Fats Raw Data'!B104:B123,'Fats Raw Data'!B105:B124)+SUMSQ('Fats Raw Data'!B105:B124)-('Fats Raw Data'!B104-'Fats Raw Data'!B124)^2/20)/19),"")</f>
        <v>0</v>
      </c>
      <c r="BL104">
        <f>IFERROR('Fats Raw Data'!K104,"")</f>
        <v>0</v>
      </c>
      <c r="BM104">
        <f>IFERROR('Fats Raw Data'!P104,"")</f>
        <v>0</v>
      </c>
      <c r="BN104">
        <f>IFERROR('Fats Raw Data'!R104-'Fats Raw Data'!R105,"")</f>
        <v>0</v>
      </c>
      <c r="BO104" t="str">
        <f>IFERROR(AVERAGE('Fats Raw Data'!R104:R108),"")</f>
        <v/>
      </c>
      <c r="BP104" t="str">
        <f>IFERROR(SUMPRODUCT('Fats Raw Data'!L104:L123,'Fats Raw Data'!Q104:Q123)/SUM('Fats Raw Data'!Q104:Q123),"")</f>
        <v/>
      </c>
      <c r="BQ104">
        <f>IFERROR(SQRT((SUMSQ('Fats Raw Data'!L104:L123)-2*SUMPRODUCT('Fats Raw Data'!L104:L123,'Fats Raw Data'!L105:L124)+SUMSQ('Fats Raw Data'!L105:L124)-('Fats Raw Data'!L104-'Fats Raw Data'!L124)^2/20)/19),"")</f>
        <v>0</v>
      </c>
      <c r="BS104">
        <f>IFERROR('Fats Raw Data'!U104,"")</f>
        <v>0</v>
      </c>
      <c r="BT104">
        <f>IFERROR('Fats Raw Data'!Z104,"")</f>
        <v>0</v>
      </c>
      <c r="BU104">
        <f>IFERROR('Fats Raw Data'!AB104-'Fats Raw Data'!AB105,"")</f>
        <v>0</v>
      </c>
      <c r="BV104" t="str">
        <f>IFERROR(AVERAGE('Fats Raw Data'!AB104:AB108),"")</f>
        <v/>
      </c>
      <c r="BW104" t="str">
        <f>IFERROR(SUMPRODUCT('Fats Raw Data'!V104:V123,'Fats Raw Data'!AA104:AA123)/SUM('Fats Raw Data'!AA104:AA123),"")</f>
        <v/>
      </c>
      <c r="BX104">
        <f>IFERROR(SQRT((SUMSQ('Fats Raw Data'!V104:V123)-2*SUMPRODUCT('Fats Raw Data'!V104:V123,'Fats Raw Data'!V105:V124)+SUMSQ('Fats Raw Data'!V105:V124)-('Fats Raw Data'!V104-'Fats Raw Data'!V124)^2/20)/19),"")</f>
        <v>0</v>
      </c>
      <c r="BZ104">
        <f>IFERROR('Fats Raw Data'!AE104,"")</f>
        <v>0</v>
      </c>
      <c r="CA104">
        <f>IFERROR('Fats Raw Data'!AJ104,"")</f>
        <v>0</v>
      </c>
      <c r="CB104">
        <f>IFERROR('Fats Raw Data'!AL104-'Fats Raw Data'!AL105,"")</f>
        <v>0</v>
      </c>
      <c r="CC104" t="str">
        <f>IFERROR(AVERAGE('Fats Raw Data'!AL104:AL108),"")</f>
        <v/>
      </c>
      <c r="CD104" t="str">
        <f>IFERROR(SUMPRODUCT('Fats Raw Data'!AF104:AF123,'Fats Raw Data'!AK104:AK123)/SUM('Fats Raw Data'!AK104:AK123),"")</f>
        <v/>
      </c>
      <c r="CE104">
        <f>IFERROR(SQRT((SUMSQ('Fats Raw Data'!AF104:AF123)-2*SUMPRODUCT('Fats Raw Data'!AF104:AF123,'Fats Raw Data'!AF105:AF124)+SUMSQ('Fats Raw Data'!AF105:AF124)-('Fats Raw Data'!AF104-'Fats Raw Data'!AF124)^2/20)/19),"")</f>
        <v>0</v>
      </c>
      <c r="CG104">
        <f>IFERROR('Fats Raw Data'!AO104,"")</f>
        <v>0</v>
      </c>
      <c r="CH104">
        <f>IFERROR('Fats Raw Data'!AT104,"")</f>
        <v>0</v>
      </c>
      <c r="CI104">
        <f>IFERROR('Fats Raw Data'!AV104-'Fats Raw Data'!AV105,"")</f>
        <v>0</v>
      </c>
      <c r="CJ104" t="str">
        <f>IFERROR(AVERAGE('Fats Raw Data'!AV104:AV108),"")</f>
        <v/>
      </c>
      <c r="CK104" t="str">
        <f>IFERROR(SUMPRODUCT('Fats Raw Data'!AP104:AP123,'Fats Raw Data'!AU104:AU123)/SUM('Fats Raw Data'!AU104:AU123),"")</f>
        <v/>
      </c>
      <c r="CL104">
        <f>IFERROR(SQRT((SUMSQ('Fats Raw Data'!AP104:AP123)-2*SUMPRODUCT('Fats Raw Data'!AP104:AP123,'Fats Raw Data'!AP105:AP124)+SUMSQ('Fats Raw Data'!AP105:AP124)-('Fats Raw Data'!AP104-'Fats Raw Data'!AP124)^2/20)/19),"")</f>
        <v>0</v>
      </c>
      <c r="CN104">
        <f>IFERROR('Fats Raw Data'!AY104,"")</f>
        <v>0</v>
      </c>
      <c r="CO104">
        <f>IFERROR('Fats Raw Data'!BD104,"")</f>
        <v>0</v>
      </c>
      <c r="CP104">
        <f>IFERROR('Fats Raw Data'!BF104-'Fats Raw Data'!BF105,"")</f>
        <v>0</v>
      </c>
      <c r="CQ104" t="str">
        <f>IFERROR(AVERAGE('Fats Raw Data'!BF104:BF108),"")</f>
        <v/>
      </c>
      <c r="CR104" t="str">
        <f>IFERROR(SUMPRODUCT('Fats Raw Data'!AZ104:AZ123,'Fats Raw Data'!BE104:BE123)/SUM('Fats Raw Data'!BE104:BE123),"")</f>
        <v/>
      </c>
      <c r="CS104">
        <f>IFERROR(SQRT((SUMSQ('Fats Raw Data'!AZ104:AZ123)-2*SUMPRODUCT('Fats Raw Data'!AZ104:AZ123,'Fats Raw Data'!AZ105:AZ124)+SUMSQ('Fats Raw Data'!AZ105:AZ124)-('Fats Raw Data'!AZ104-'Fats Raw Data'!AZ124)^2/20)/19),"")</f>
        <v>0</v>
      </c>
    </row>
    <row r="105" spans="1:97" x14ac:dyDescent="0.25">
      <c r="A105">
        <f>IFERROR('Feeders Raw Data'!A105,"")</f>
        <v>0</v>
      </c>
      <c r="B105">
        <f>IFERROR('Feeders Raw Data'!F105,"")</f>
        <v>0</v>
      </c>
      <c r="C105">
        <f>IFERROR('Feeders Raw Data'!H105-'Feeders Raw Data'!H106,"")</f>
        <v>0</v>
      </c>
      <c r="D105" t="str">
        <f>IFERROR(AVERAGE('Feeders Raw Data'!H105:H109),"")</f>
        <v/>
      </c>
      <c r="E105" t="str">
        <f>IFERROR(SUMPRODUCT('Feeders Raw Data'!B105:B124,'Feeders Raw Data'!G105:G124)/SUM('Feeders Raw Data'!G105:G124),"")</f>
        <v/>
      </c>
      <c r="F105">
        <f>IFERROR(SQRT((SUMSQ('Feeders Raw Data'!B105:B124)-2*SUMPRODUCT('Feeders Raw Data'!B105:B124,'Feeders Raw Data'!B106:B125)+SUMSQ('Feeders Raw Data'!B106:B125)-('Feeders Raw Data'!B105-'Feeders Raw Data'!B125)^2/20)/19),"")</f>
        <v>0</v>
      </c>
      <c r="H105">
        <f>IFERROR('Feeders Raw Data'!K105,"")</f>
        <v>0</v>
      </c>
      <c r="I105">
        <f>IFERROR('Feeders Raw Data'!P105,"")</f>
        <v>0</v>
      </c>
      <c r="J105">
        <f>IFERROR('Feeders Raw Data'!R105-'Feeders Raw Data'!R106,"")</f>
        <v>0</v>
      </c>
      <c r="K105" t="str">
        <f>IFERROR(AVERAGE('Feeders Raw Data'!R105:R109),"")</f>
        <v/>
      </c>
      <c r="L105" t="str">
        <f>IFERROR(SUMPRODUCT('Feeders Raw Data'!L105:L124,'Feeders Raw Data'!Q105:Q124)/SUM('Feeders Raw Data'!Q105:Q124),"")</f>
        <v/>
      </c>
      <c r="M105">
        <f>IFERROR(SQRT((SUMSQ('Feeders Raw Data'!L105:L124)-2*SUMPRODUCT('Feeders Raw Data'!L105:L124,'Feeders Raw Data'!L106:L125)+SUMSQ('Feeders Raw Data'!L106:L125)-('Feeders Raw Data'!L105-'Feeders Raw Data'!L125)^2/20)/19),"")</f>
        <v>0</v>
      </c>
      <c r="O105">
        <f>IFERROR('Feeders Raw Data'!U105,"")</f>
        <v>0</v>
      </c>
      <c r="P105">
        <f>IFERROR('Feeders Raw Data'!Z105,"")</f>
        <v>0</v>
      </c>
      <c r="Q105">
        <f>IFERROR('Feeders Raw Data'!AB105-'Feeders Raw Data'!AB106,"")</f>
        <v>0</v>
      </c>
      <c r="R105" t="str">
        <f>IFERROR(AVERAGE('Feeders Raw Data'!AB105:AB109),"")</f>
        <v/>
      </c>
      <c r="S105" t="str">
        <f>IFERROR(SUMPRODUCT('Feeders Raw Data'!V105:V124,'Feeders Raw Data'!AA105:AA124)/SUM('Feeders Raw Data'!AA105:AA124),"")</f>
        <v/>
      </c>
      <c r="T105">
        <f>IFERROR(SQRT((SUMSQ('Feeders Raw Data'!V105:V124)-2*SUMPRODUCT('Feeders Raw Data'!V105:V124,'Feeders Raw Data'!V106:V125)+SUMSQ('Feeders Raw Data'!V106:V125)-('Feeders Raw Data'!V105-'Feeders Raw Data'!V125)^2/20)/19),"")</f>
        <v>0</v>
      </c>
      <c r="V105">
        <f>IFERROR('Feeders Raw Data'!AE105,"")</f>
        <v>0</v>
      </c>
      <c r="W105">
        <f>IFERROR('Feeders Raw Data'!AJ105,"")</f>
        <v>0</v>
      </c>
      <c r="X105">
        <f>IFERROR('Feeders Raw Data'!AL105-'Feeders Raw Data'!AL106,"")</f>
        <v>0</v>
      </c>
      <c r="Y105" t="str">
        <f>IFERROR(AVERAGE('Feeders Raw Data'!AL105:AL109),"")</f>
        <v/>
      </c>
      <c r="Z105" t="str">
        <f>IFERROR(SUMPRODUCT('Feeders Raw Data'!AF105:AF124,'Feeders Raw Data'!AK105:AK124)/SUM('Feeders Raw Data'!AK105:AK124),"")</f>
        <v/>
      </c>
      <c r="AA105">
        <f>IFERROR(SQRT((SUMSQ('Feeders Raw Data'!AF105:AF124)-2*SUMPRODUCT('Feeders Raw Data'!AF105:AF124,'Feeders Raw Data'!AF106:AF125)+SUMSQ('Feeders Raw Data'!AF106:AF125)-('Feeders Raw Data'!AF105-'Feeders Raw Data'!AF125)^2/20)/19),"")</f>
        <v>0</v>
      </c>
      <c r="AC105">
        <f>IFERROR('Feeders Raw Data'!AO105,"")</f>
        <v>0</v>
      </c>
      <c r="AD105">
        <f>IFERROR('Feeders Raw Data'!AT105,"")</f>
        <v>0</v>
      </c>
      <c r="AE105">
        <f>IFERROR('Feeders Raw Data'!AV105-'Feeders Raw Data'!AV106,"")</f>
        <v>0</v>
      </c>
      <c r="AF105" t="str">
        <f>IFERROR(AVERAGE('Feeders Raw Data'!AV105:AV109),"")</f>
        <v/>
      </c>
      <c r="AG105" t="str">
        <f>IFERROR(SUMPRODUCT('Feeders Raw Data'!AP105:AP124,'Feeders Raw Data'!AU105:AU124)/SUM('Feeders Raw Data'!AU105:AU124),"")</f>
        <v/>
      </c>
      <c r="AH105">
        <f>IFERROR(SQRT((SUMSQ('Feeders Raw Data'!AP105:AP124)-2*SUMPRODUCT('Feeders Raw Data'!AP105:AP124,'Feeders Raw Data'!AP106:AP125)+SUMSQ('Feeders Raw Data'!AP106:AP125)-('Feeders Raw Data'!AP105-'Feeders Raw Data'!AP125)^2/20)/19),"")</f>
        <v>0</v>
      </c>
      <c r="AJ105">
        <f>IFERROR('Feeders Raw Data'!AY105,"")</f>
        <v>0</v>
      </c>
      <c r="AK105">
        <f>IFERROR('Feeders Raw Data'!BD105,"")</f>
        <v>0</v>
      </c>
      <c r="AL105">
        <f>IFERROR('Feeders Raw Data'!BF105-'Feeders Raw Data'!BF106,"")</f>
        <v>0</v>
      </c>
      <c r="AM105" t="str">
        <f>IFERROR(AVERAGE('Feeders Raw Data'!BF105:BF109),"")</f>
        <v/>
      </c>
      <c r="AN105" t="str">
        <f>IFERROR(SUMPRODUCT('Feeders Raw Data'!AZ105:AZ124,'Feeders Raw Data'!BE105:BE124)/SUM('Feeders Raw Data'!BE105:BE124),"")</f>
        <v/>
      </c>
      <c r="AO105">
        <f>IFERROR(SQRT((SUMSQ('Feeders Raw Data'!AZ105:AZ124)-2*SUMPRODUCT('Feeders Raw Data'!AZ105:AZ124,'Feeders Raw Data'!AZ106:AZ125)+SUMSQ('Feeders Raw Data'!AZ106:AZ125)-('Feeders Raw Data'!AZ105-'Feeders Raw Data'!AZ125)^2/20)/19),"")</f>
        <v>0</v>
      </c>
      <c r="AQ105">
        <f>IFERROR('Feeders Raw Data'!BI105,"")</f>
        <v>0</v>
      </c>
      <c r="AR105">
        <f>IFERROR('Feeders Raw Data'!BN105,"")</f>
        <v>0</v>
      </c>
      <c r="AS105">
        <f>IFERROR('Feeders Raw Data'!BP105-'Feeders Raw Data'!BP106,"")</f>
        <v>0</v>
      </c>
      <c r="AT105" t="str">
        <f>IFERROR(AVERAGE('Feeders Raw Data'!BP105:BP109),"")</f>
        <v/>
      </c>
      <c r="AU105" t="str">
        <f>IFERROR(SUMPRODUCT('Feeders Raw Data'!BJ105:BJ124,'Feeders Raw Data'!BO105:BO124)/SUM('Feeders Raw Data'!BO105:BO124),"")</f>
        <v/>
      </c>
      <c r="AV105">
        <f>IFERROR(SQRT((SUMSQ('Feeders Raw Data'!BJ105:BJ124)-2*SUMPRODUCT('Feeders Raw Data'!BJ105:BJ124,'Feeders Raw Data'!BJ106:BJ125)+SUMSQ('Feeders Raw Data'!BJ106:BJ125)-('Feeders Raw Data'!BJ105-'Feeders Raw Data'!BJ125)^2/20)/19),"")</f>
        <v>0</v>
      </c>
      <c r="AX105">
        <f>IFERROR('Feeders Raw Data'!BS105,"")</f>
        <v>0</v>
      </c>
      <c r="AY105">
        <f>IFERROR('Feeders Raw Data'!BX105,"")</f>
        <v>0</v>
      </c>
      <c r="AZ105">
        <f>IFERROR('Feeders Raw Data'!BZ105-'Feeders Raw Data'!BZ106,"")</f>
        <v>0</v>
      </c>
      <c r="BA105" t="str">
        <f>IFERROR(AVERAGE('Feeders Raw Data'!BZ105:BZ109),"")</f>
        <v/>
      </c>
      <c r="BB105" t="str">
        <f>IFERROR(SUMPRODUCT('Feeders Raw Data'!BT105:BT124,'Feeders Raw Data'!BY105:BY124)/SUM('Feeders Raw Data'!BY105:BY124),"")</f>
        <v/>
      </c>
      <c r="BC105">
        <f>IFERROR(SQRT((SUMSQ('Feeders Raw Data'!BT105:BT124)-2*SUMPRODUCT('Feeders Raw Data'!BT105:BT124,'Feeders Raw Data'!BT106:BT125)+SUMSQ('Feeders Raw Data'!BT106:BT125)-('Feeders Raw Data'!BT105-'Feeders Raw Data'!BT125)^2/20)/19),"")</f>
        <v>0</v>
      </c>
      <c r="BE105">
        <f>IFERROR('Fats Raw Data'!A105,"")</f>
        <v>0</v>
      </c>
      <c r="BF105">
        <f>IFERROR('Fats Raw Data'!F105,"")</f>
        <v>0</v>
      </c>
      <c r="BG105">
        <f>IFERROR('Fats Raw Data'!H105-'Fats Raw Data'!H106,"")</f>
        <v>0</v>
      </c>
      <c r="BH105" t="str">
        <f>IFERROR(AVERAGE('Fats Raw Data'!H105:H109),"")</f>
        <v/>
      </c>
      <c r="BI105" t="str">
        <f>IFERROR(SUMPRODUCT('Fats Raw Data'!B105:B124,'Fats Raw Data'!G105:G124)/SUM('Fats Raw Data'!G105:G124),"")</f>
        <v/>
      </c>
      <c r="BJ105">
        <f>IFERROR(SQRT((SUMSQ('Fats Raw Data'!B105:B124)-2*SUMPRODUCT('Fats Raw Data'!B105:B124,'Fats Raw Data'!B106:B125)+SUMSQ('Fats Raw Data'!B106:B125)-('Fats Raw Data'!B105-'Fats Raw Data'!B125)^2/20)/19),"")</f>
        <v>0</v>
      </c>
      <c r="BL105">
        <f>IFERROR('Fats Raw Data'!K105,"")</f>
        <v>0</v>
      </c>
      <c r="BM105">
        <f>IFERROR('Fats Raw Data'!P105,"")</f>
        <v>0</v>
      </c>
      <c r="BN105">
        <f>IFERROR('Fats Raw Data'!R105-'Fats Raw Data'!R106,"")</f>
        <v>0</v>
      </c>
      <c r="BO105" t="str">
        <f>IFERROR(AVERAGE('Fats Raw Data'!R105:R109),"")</f>
        <v/>
      </c>
      <c r="BP105" t="str">
        <f>IFERROR(SUMPRODUCT('Fats Raw Data'!L105:L124,'Fats Raw Data'!Q105:Q124)/SUM('Fats Raw Data'!Q105:Q124),"")</f>
        <v/>
      </c>
      <c r="BQ105">
        <f>IFERROR(SQRT((SUMSQ('Fats Raw Data'!L105:L124)-2*SUMPRODUCT('Fats Raw Data'!L105:L124,'Fats Raw Data'!L106:L125)+SUMSQ('Fats Raw Data'!L106:L125)-('Fats Raw Data'!L105-'Fats Raw Data'!L125)^2/20)/19),"")</f>
        <v>0</v>
      </c>
      <c r="BS105">
        <f>IFERROR('Fats Raw Data'!U105,"")</f>
        <v>0</v>
      </c>
      <c r="BT105">
        <f>IFERROR('Fats Raw Data'!Z105,"")</f>
        <v>0</v>
      </c>
      <c r="BU105">
        <f>IFERROR('Fats Raw Data'!AB105-'Fats Raw Data'!AB106,"")</f>
        <v>0</v>
      </c>
      <c r="BV105" t="str">
        <f>IFERROR(AVERAGE('Fats Raw Data'!AB105:AB109),"")</f>
        <v/>
      </c>
      <c r="BW105" t="str">
        <f>IFERROR(SUMPRODUCT('Fats Raw Data'!V105:V124,'Fats Raw Data'!AA105:AA124)/SUM('Fats Raw Data'!AA105:AA124),"")</f>
        <v/>
      </c>
      <c r="BX105">
        <f>IFERROR(SQRT((SUMSQ('Fats Raw Data'!V105:V124)-2*SUMPRODUCT('Fats Raw Data'!V105:V124,'Fats Raw Data'!V106:V125)+SUMSQ('Fats Raw Data'!V106:V125)-('Fats Raw Data'!V105-'Fats Raw Data'!V125)^2/20)/19),"")</f>
        <v>0</v>
      </c>
      <c r="BZ105">
        <f>IFERROR('Fats Raw Data'!AE105,"")</f>
        <v>0</v>
      </c>
      <c r="CA105">
        <f>IFERROR('Fats Raw Data'!AJ105,"")</f>
        <v>0</v>
      </c>
      <c r="CB105">
        <f>IFERROR('Fats Raw Data'!AL105-'Fats Raw Data'!AL106,"")</f>
        <v>0</v>
      </c>
      <c r="CC105" t="str">
        <f>IFERROR(AVERAGE('Fats Raw Data'!AL105:AL109),"")</f>
        <v/>
      </c>
      <c r="CD105" t="str">
        <f>IFERROR(SUMPRODUCT('Fats Raw Data'!AF105:AF124,'Fats Raw Data'!AK105:AK124)/SUM('Fats Raw Data'!AK105:AK124),"")</f>
        <v/>
      </c>
      <c r="CE105">
        <f>IFERROR(SQRT((SUMSQ('Fats Raw Data'!AF105:AF124)-2*SUMPRODUCT('Fats Raw Data'!AF105:AF124,'Fats Raw Data'!AF106:AF125)+SUMSQ('Fats Raw Data'!AF106:AF125)-('Fats Raw Data'!AF105-'Fats Raw Data'!AF125)^2/20)/19),"")</f>
        <v>0</v>
      </c>
      <c r="CG105">
        <f>IFERROR('Fats Raw Data'!AO105,"")</f>
        <v>0</v>
      </c>
      <c r="CH105">
        <f>IFERROR('Fats Raw Data'!AT105,"")</f>
        <v>0</v>
      </c>
      <c r="CI105">
        <f>IFERROR('Fats Raw Data'!AV105-'Fats Raw Data'!AV106,"")</f>
        <v>0</v>
      </c>
      <c r="CJ105" t="str">
        <f>IFERROR(AVERAGE('Fats Raw Data'!AV105:AV109),"")</f>
        <v/>
      </c>
      <c r="CK105" t="str">
        <f>IFERROR(SUMPRODUCT('Fats Raw Data'!AP105:AP124,'Fats Raw Data'!AU105:AU124)/SUM('Fats Raw Data'!AU105:AU124),"")</f>
        <v/>
      </c>
      <c r="CL105">
        <f>IFERROR(SQRT((SUMSQ('Fats Raw Data'!AP105:AP124)-2*SUMPRODUCT('Fats Raw Data'!AP105:AP124,'Fats Raw Data'!AP106:AP125)+SUMSQ('Fats Raw Data'!AP106:AP125)-('Fats Raw Data'!AP105-'Fats Raw Data'!AP125)^2/20)/19),"")</f>
        <v>0</v>
      </c>
      <c r="CN105">
        <f>IFERROR('Fats Raw Data'!AY105,"")</f>
        <v>0</v>
      </c>
      <c r="CO105">
        <f>IFERROR('Fats Raw Data'!BD105,"")</f>
        <v>0</v>
      </c>
      <c r="CP105">
        <f>IFERROR('Fats Raw Data'!BF105-'Fats Raw Data'!BF106,"")</f>
        <v>0</v>
      </c>
      <c r="CQ105" t="str">
        <f>IFERROR(AVERAGE('Fats Raw Data'!BF105:BF109),"")</f>
        <v/>
      </c>
      <c r="CR105" t="str">
        <f>IFERROR(SUMPRODUCT('Fats Raw Data'!AZ105:AZ124,'Fats Raw Data'!BE105:BE124)/SUM('Fats Raw Data'!BE105:BE124),"")</f>
        <v/>
      </c>
      <c r="CS105">
        <f>IFERROR(SQRT((SUMSQ('Fats Raw Data'!AZ105:AZ124)-2*SUMPRODUCT('Fats Raw Data'!AZ105:AZ124,'Fats Raw Data'!AZ106:AZ125)+SUMSQ('Fats Raw Data'!AZ106:AZ125)-('Fats Raw Data'!AZ105-'Fats Raw Data'!AZ125)^2/20)/19),"")</f>
        <v>0</v>
      </c>
    </row>
    <row r="106" spans="1:97" x14ac:dyDescent="0.25">
      <c r="A106">
        <f>IFERROR('Feeders Raw Data'!A106,"")</f>
        <v>0</v>
      </c>
      <c r="B106">
        <f>IFERROR('Feeders Raw Data'!F106,"")</f>
        <v>0</v>
      </c>
      <c r="C106">
        <f>IFERROR('Feeders Raw Data'!H106-'Feeders Raw Data'!H107,"")</f>
        <v>0</v>
      </c>
      <c r="D106" t="str">
        <f>IFERROR(AVERAGE('Feeders Raw Data'!H106:H110),"")</f>
        <v/>
      </c>
      <c r="E106" t="str">
        <f>IFERROR(SUMPRODUCT('Feeders Raw Data'!B106:B125,'Feeders Raw Data'!G106:G125)/SUM('Feeders Raw Data'!G106:G125),"")</f>
        <v/>
      </c>
      <c r="F106">
        <f>IFERROR(SQRT((SUMSQ('Feeders Raw Data'!B106:B125)-2*SUMPRODUCT('Feeders Raw Data'!B106:B125,'Feeders Raw Data'!B107:B126)+SUMSQ('Feeders Raw Data'!B107:B126)-('Feeders Raw Data'!B106-'Feeders Raw Data'!B126)^2/20)/19),"")</f>
        <v>0</v>
      </c>
      <c r="H106">
        <f>IFERROR('Feeders Raw Data'!K106,"")</f>
        <v>0</v>
      </c>
      <c r="I106">
        <f>IFERROR('Feeders Raw Data'!P106,"")</f>
        <v>0</v>
      </c>
      <c r="J106">
        <f>IFERROR('Feeders Raw Data'!R106-'Feeders Raw Data'!R107,"")</f>
        <v>0</v>
      </c>
      <c r="K106" t="str">
        <f>IFERROR(AVERAGE('Feeders Raw Data'!R106:R110),"")</f>
        <v/>
      </c>
      <c r="L106" t="str">
        <f>IFERROR(SUMPRODUCT('Feeders Raw Data'!L106:L125,'Feeders Raw Data'!Q106:Q125)/SUM('Feeders Raw Data'!Q106:Q125),"")</f>
        <v/>
      </c>
      <c r="M106">
        <f>IFERROR(SQRT((SUMSQ('Feeders Raw Data'!L106:L125)-2*SUMPRODUCT('Feeders Raw Data'!L106:L125,'Feeders Raw Data'!L107:L126)+SUMSQ('Feeders Raw Data'!L107:L126)-('Feeders Raw Data'!L106-'Feeders Raw Data'!L126)^2/20)/19),"")</f>
        <v>0</v>
      </c>
      <c r="O106">
        <f>IFERROR('Feeders Raw Data'!U106,"")</f>
        <v>0</v>
      </c>
      <c r="P106">
        <f>IFERROR('Feeders Raw Data'!Z106,"")</f>
        <v>0</v>
      </c>
      <c r="Q106">
        <f>IFERROR('Feeders Raw Data'!AB106-'Feeders Raw Data'!AB107,"")</f>
        <v>0</v>
      </c>
      <c r="R106" t="str">
        <f>IFERROR(AVERAGE('Feeders Raw Data'!AB106:AB110),"")</f>
        <v/>
      </c>
      <c r="S106" t="str">
        <f>IFERROR(SUMPRODUCT('Feeders Raw Data'!V106:V125,'Feeders Raw Data'!AA106:AA125)/SUM('Feeders Raw Data'!AA106:AA125),"")</f>
        <v/>
      </c>
      <c r="T106">
        <f>IFERROR(SQRT((SUMSQ('Feeders Raw Data'!V106:V125)-2*SUMPRODUCT('Feeders Raw Data'!V106:V125,'Feeders Raw Data'!V107:V126)+SUMSQ('Feeders Raw Data'!V107:V126)-('Feeders Raw Data'!V106-'Feeders Raw Data'!V126)^2/20)/19),"")</f>
        <v>0</v>
      </c>
      <c r="V106">
        <f>IFERROR('Feeders Raw Data'!AE106,"")</f>
        <v>0</v>
      </c>
      <c r="W106">
        <f>IFERROR('Feeders Raw Data'!AJ106,"")</f>
        <v>0</v>
      </c>
      <c r="X106">
        <f>IFERROR('Feeders Raw Data'!AL106-'Feeders Raw Data'!AL107,"")</f>
        <v>0</v>
      </c>
      <c r="Y106" t="str">
        <f>IFERROR(AVERAGE('Feeders Raw Data'!AL106:AL110),"")</f>
        <v/>
      </c>
      <c r="Z106" t="str">
        <f>IFERROR(SUMPRODUCT('Feeders Raw Data'!AF106:AF125,'Feeders Raw Data'!AK106:AK125)/SUM('Feeders Raw Data'!AK106:AK125),"")</f>
        <v/>
      </c>
      <c r="AA106">
        <f>IFERROR(SQRT((SUMSQ('Feeders Raw Data'!AF106:AF125)-2*SUMPRODUCT('Feeders Raw Data'!AF106:AF125,'Feeders Raw Data'!AF107:AF126)+SUMSQ('Feeders Raw Data'!AF107:AF126)-('Feeders Raw Data'!AF106-'Feeders Raw Data'!AF126)^2/20)/19),"")</f>
        <v>0</v>
      </c>
      <c r="AC106">
        <f>IFERROR('Feeders Raw Data'!AO106,"")</f>
        <v>0</v>
      </c>
      <c r="AD106">
        <f>IFERROR('Feeders Raw Data'!AT106,"")</f>
        <v>0</v>
      </c>
      <c r="AE106">
        <f>IFERROR('Feeders Raw Data'!AV106-'Feeders Raw Data'!AV107,"")</f>
        <v>0</v>
      </c>
      <c r="AF106" t="str">
        <f>IFERROR(AVERAGE('Feeders Raw Data'!AV106:AV110),"")</f>
        <v/>
      </c>
      <c r="AG106" t="str">
        <f>IFERROR(SUMPRODUCT('Feeders Raw Data'!AP106:AP125,'Feeders Raw Data'!AU106:AU125)/SUM('Feeders Raw Data'!AU106:AU125),"")</f>
        <v/>
      </c>
      <c r="AH106">
        <f>IFERROR(SQRT((SUMSQ('Feeders Raw Data'!AP106:AP125)-2*SUMPRODUCT('Feeders Raw Data'!AP106:AP125,'Feeders Raw Data'!AP107:AP126)+SUMSQ('Feeders Raw Data'!AP107:AP126)-('Feeders Raw Data'!AP106-'Feeders Raw Data'!AP126)^2/20)/19),"")</f>
        <v>0</v>
      </c>
      <c r="AJ106">
        <f>IFERROR('Feeders Raw Data'!AY106,"")</f>
        <v>0</v>
      </c>
      <c r="AK106">
        <f>IFERROR('Feeders Raw Data'!BD106,"")</f>
        <v>0</v>
      </c>
      <c r="AL106">
        <f>IFERROR('Feeders Raw Data'!BF106-'Feeders Raw Data'!BF107,"")</f>
        <v>0</v>
      </c>
      <c r="AM106" t="str">
        <f>IFERROR(AVERAGE('Feeders Raw Data'!BF106:BF110),"")</f>
        <v/>
      </c>
      <c r="AN106" t="str">
        <f>IFERROR(SUMPRODUCT('Feeders Raw Data'!AZ106:AZ125,'Feeders Raw Data'!BE106:BE125)/SUM('Feeders Raw Data'!BE106:BE125),"")</f>
        <v/>
      </c>
      <c r="AO106">
        <f>IFERROR(SQRT((SUMSQ('Feeders Raw Data'!AZ106:AZ125)-2*SUMPRODUCT('Feeders Raw Data'!AZ106:AZ125,'Feeders Raw Data'!AZ107:AZ126)+SUMSQ('Feeders Raw Data'!AZ107:AZ126)-('Feeders Raw Data'!AZ106-'Feeders Raw Data'!AZ126)^2/20)/19),"")</f>
        <v>0</v>
      </c>
      <c r="AQ106">
        <f>IFERROR('Feeders Raw Data'!BI106,"")</f>
        <v>0</v>
      </c>
      <c r="AR106">
        <f>IFERROR('Feeders Raw Data'!BN106,"")</f>
        <v>0</v>
      </c>
      <c r="AS106">
        <f>IFERROR('Feeders Raw Data'!BP106-'Feeders Raw Data'!BP107,"")</f>
        <v>0</v>
      </c>
      <c r="AT106" t="str">
        <f>IFERROR(AVERAGE('Feeders Raw Data'!BP106:BP110),"")</f>
        <v/>
      </c>
      <c r="AU106" t="str">
        <f>IFERROR(SUMPRODUCT('Feeders Raw Data'!BJ106:BJ125,'Feeders Raw Data'!BO106:BO125)/SUM('Feeders Raw Data'!BO106:BO125),"")</f>
        <v/>
      </c>
      <c r="AV106">
        <f>IFERROR(SQRT((SUMSQ('Feeders Raw Data'!BJ106:BJ125)-2*SUMPRODUCT('Feeders Raw Data'!BJ106:BJ125,'Feeders Raw Data'!BJ107:BJ126)+SUMSQ('Feeders Raw Data'!BJ107:BJ126)-('Feeders Raw Data'!BJ106-'Feeders Raw Data'!BJ126)^2/20)/19),"")</f>
        <v>0</v>
      </c>
      <c r="AX106">
        <f>IFERROR('Feeders Raw Data'!BS106,"")</f>
        <v>0</v>
      </c>
      <c r="AY106">
        <f>IFERROR('Feeders Raw Data'!BX106,"")</f>
        <v>0</v>
      </c>
      <c r="AZ106">
        <f>IFERROR('Feeders Raw Data'!BZ106-'Feeders Raw Data'!BZ107,"")</f>
        <v>0</v>
      </c>
      <c r="BA106" t="str">
        <f>IFERROR(AVERAGE('Feeders Raw Data'!BZ106:BZ110),"")</f>
        <v/>
      </c>
      <c r="BB106" t="str">
        <f>IFERROR(SUMPRODUCT('Feeders Raw Data'!BT106:BT125,'Feeders Raw Data'!BY106:BY125)/SUM('Feeders Raw Data'!BY106:BY125),"")</f>
        <v/>
      </c>
      <c r="BC106">
        <f>IFERROR(SQRT((SUMSQ('Feeders Raw Data'!BT106:BT125)-2*SUMPRODUCT('Feeders Raw Data'!BT106:BT125,'Feeders Raw Data'!BT107:BT126)+SUMSQ('Feeders Raw Data'!BT107:BT126)-('Feeders Raw Data'!BT106-'Feeders Raw Data'!BT126)^2/20)/19),"")</f>
        <v>0</v>
      </c>
      <c r="BE106">
        <f>IFERROR('Fats Raw Data'!A106,"")</f>
        <v>0</v>
      </c>
      <c r="BF106">
        <f>IFERROR('Fats Raw Data'!F106,"")</f>
        <v>0</v>
      </c>
      <c r="BG106">
        <f>IFERROR('Fats Raw Data'!H106-'Fats Raw Data'!H107,"")</f>
        <v>0</v>
      </c>
      <c r="BH106" t="str">
        <f>IFERROR(AVERAGE('Fats Raw Data'!H106:H110),"")</f>
        <v/>
      </c>
      <c r="BI106" t="str">
        <f>IFERROR(SUMPRODUCT('Fats Raw Data'!B106:B125,'Fats Raw Data'!G106:G125)/SUM('Fats Raw Data'!G106:G125),"")</f>
        <v/>
      </c>
      <c r="BJ106">
        <f>IFERROR(SQRT((SUMSQ('Fats Raw Data'!B106:B125)-2*SUMPRODUCT('Fats Raw Data'!B106:B125,'Fats Raw Data'!B107:B126)+SUMSQ('Fats Raw Data'!B107:B126)-('Fats Raw Data'!B106-'Fats Raw Data'!B126)^2/20)/19),"")</f>
        <v>0</v>
      </c>
      <c r="BL106">
        <f>IFERROR('Fats Raw Data'!K106,"")</f>
        <v>0</v>
      </c>
      <c r="BM106">
        <f>IFERROR('Fats Raw Data'!P106,"")</f>
        <v>0</v>
      </c>
      <c r="BN106">
        <f>IFERROR('Fats Raw Data'!R106-'Fats Raw Data'!R107,"")</f>
        <v>0</v>
      </c>
      <c r="BO106" t="str">
        <f>IFERROR(AVERAGE('Fats Raw Data'!R106:R110),"")</f>
        <v/>
      </c>
      <c r="BP106" t="str">
        <f>IFERROR(SUMPRODUCT('Fats Raw Data'!L106:L125,'Fats Raw Data'!Q106:Q125)/SUM('Fats Raw Data'!Q106:Q125),"")</f>
        <v/>
      </c>
      <c r="BQ106">
        <f>IFERROR(SQRT((SUMSQ('Fats Raw Data'!L106:L125)-2*SUMPRODUCT('Fats Raw Data'!L106:L125,'Fats Raw Data'!L107:L126)+SUMSQ('Fats Raw Data'!L107:L126)-('Fats Raw Data'!L106-'Fats Raw Data'!L126)^2/20)/19),"")</f>
        <v>0</v>
      </c>
      <c r="BS106">
        <f>IFERROR('Fats Raw Data'!U106,"")</f>
        <v>0</v>
      </c>
      <c r="BT106">
        <f>IFERROR('Fats Raw Data'!Z106,"")</f>
        <v>0</v>
      </c>
      <c r="BU106">
        <f>IFERROR('Fats Raw Data'!AB106-'Fats Raw Data'!AB107,"")</f>
        <v>0</v>
      </c>
      <c r="BV106" t="str">
        <f>IFERROR(AVERAGE('Fats Raw Data'!AB106:AB110),"")</f>
        <v/>
      </c>
      <c r="BW106" t="str">
        <f>IFERROR(SUMPRODUCT('Fats Raw Data'!V106:V125,'Fats Raw Data'!AA106:AA125)/SUM('Fats Raw Data'!AA106:AA125),"")</f>
        <v/>
      </c>
      <c r="BX106">
        <f>IFERROR(SQRT((SUMSQ('Fats Raw Data'!V106:V125)-2*SUMPRODUCT('Fats Raw Data'!V106:V125,'Fats Raw Data'!V107:V126)+SUMSQ('Fats Raw Data'!V107:V126)-('Fats Raw Data'!V106-'Fats Raw Data'!V126)^2/20)/19),"")</f>
        <v>0</v>
      </c>
      <c r="BZ106">
        <f>IFERROR('Fats Raw Data'!AE106,"")</f>
        <v>0</v>
      </c>
      <c r="CA106">
        <f>IFERROR('Fats Raw Data'!AJ106,"")</f>
        <v>0</v>
      </c>
      <c r="CB106">
        <f>IFERROR('Fats Raw Data'!AL106-'Fats Raw Data'!AL107,"")</f>
        <v>0</v>
      </c>
      <c r="CC106" t="str">
        <f>IFERROR(AVERAGE('Fats Raw Data'!AL106:AL110),"")</f>
        <v/>
      </c>
      <c r="CD106" t="str">
        <f>IFERROR(SUMPRODUCT('Fats Raw Data'!AF106:AF125,'Fats Raw Data'!AK106:AK125)/SUM('Fats Raw Data'!AK106:AK125),"")</f>
        <v/>
      </c>
      <c r="CE106">
        <f>IFERROR(SQRT((SUMSQ('Fats Raw Data'!AF106:AF125)-2*SUMPRODUCT('Fats Raw Data'!AF106:AF125,'Fats Raw Data'!AF107:AF126)+SUMSQ('Fats Raw Data'!AF107:AF126)-('Fats Raw Data'!AF106-'Fats Raw Data'!AF126)^2/20)/19),"")</f>
        <v>0</v>
      </c>
      <c r="CG106">
        <f>IFERROR('Fats Raw Data'!AO106,"")</f>
        <v>0</v>
      </c>
      <c r="CH106">
        <f>IFERROR('Fats Raw Data'!AT106,"")</f>
        <v>0</v>
      </c>
      <c r="CI106">
        <f>IFERROR('Fats Raw Data'!AV106-'Fats Raw Data'!AV107,"")</f>
        <v>0</v>
      </c>
      <c r="CJ106" t="str">
        <f>IFERROR(AVERAGE('Fats Raw Data'!AV106:AV110),"")</f>
        <v/>
      </c>
      <c r="CK106" t="str">
        <f>IFERROR(SUMPRODUCT('Fats Raw Data'!AP106:AP125,'Fats Raw Data'!AU106:AU125)/SUM('Fats Raw Data'!AU106:AU125),"")</f>
        <v/>
      </c>
      <c r="CL106">
        <f>IFERROR(SQRT((SUMSQ('Fats Raw Data'!AP106:AP125)-2*SUMPRODUCT('Fats Raw Data'!AP106:AP125,'Fats Raw Data'!AP107:AP126)+SUMSQ('Fats Raw Data'!AP107:AP126)-('Fats Raw Data'!AP106-'Fats Raw Data'!AP126)^2/20)/19),"")</f>
        <v>0</v>
      </c>
      <c r="CN106">
        <f>IFERROR('Fats Raw Data'!AY106,"")</f>
        <v>0</v>
      </c>
      <c r="CO106">
        <f>IFERROR('Fats Raw Data'!BD106,"")</f>
        <v>0</v>
      </c>
      <c r="CP106">
        <f>IFERROR('Fats Raw Data'!BF106-'Fats Raw Data'!BF107,"")</f>
        <v>0</v>
      </c>
      <c r="CQ106" t="str">
        <f>IFERROR(AVERAGE('Fats Raw Data'!BF106:BF110),"")</f>
        <v/>
      </c>
      <c r="CR106" t="str">
        <f>IFERROR(SUMPRODUCT('Fats Raw Data'!AZ106:AZ125,'Fats Raw Data'!BE106:BE125)/SUM('Fats Raw Data'!BE106:BE125),"")</f>
        <v/>
      </c>
      <c r="CS106">
        <f>IFERROR(SQRT((SUMSQ('Fats Raw Data'!AZ106:AZ125)-2*SUMPRODUCT('Fats Raw Data'!AZ106:AZ125,'Fats Raw Data'!AZ107:AZ126)+SUMSQ('Fats Raw Data'!AZ107:AZ126)-('Fats Raw Data'!AZ106-'Fats Raw Data'!AZ126)^2/20)/19),"")</f>
        <v>0</v>
      </c>
    </row>
    <row r="107" spans="1:97" x14ac:dyDescent="0.25">
      <c r="A107">
        <f>IFERROR('Feeders Raw Data'!A107,"")</f>
        <v>0</v>
      </c>
      <c r="B107">
        <f>IFERROR('Feeders Raw Data'!F107,"")</f>
        <v>0</v>
      </c>
      <c r="C107">
        <f>IFERROR('Feeders Raw Data'!H107-'Feeders Raw Data'!H108,"")</f>
        <v>0</v>
      </c>
      <c r="D107" t="str">
        <f>IFERROR(AVERAGE('Feeders Raw Data'!H107:H111),"")</f>
        <v/>
      </c>
      <c r="E107" t="str">
        <f>IFERROR(SUMPRODUCT('Feeders Raw Data'!B107:B126,'Feeders Raw Data'!G107:G126)/SUM('Feeders Raw Data'!G107:G126),"")</f>
        <v/>
      </c>
      <c r="F107">
        <f>IFERROR(SQRT((SUMSQ('Feeders Raw Data'!B107:B126)-2*SUMPRODUCT('Feeders Raw Data'!B107:B126,'Feeders Raw Data'!B108:B127)+SUMSQ('Feeders Raw Data'!B108:B127)-('Feeders Raw Data'!B107-'Feeders Raw Data'!B127)^2/20)/19),"")</f>
        <v>0</v>
      </c>
      <c r="H107">
        <f>IFERROR('Feeders Raw Data'!K107,"")</f>
        <v>0</v>
      </c>
      <c r="I107">
        <f>IFERROR('Feeders Raw Data'!P107,"")</f>
        <v>0</v>
      </c>
      <c r="J107">
        <f>IFERROR('Feeders Raw Data'!R107-'Feeders Raw Data'!R108,"")</f>
        <v>0</v>
      </c>
      <c r="K107" t="str">
        <f>IFERROR(AVERAGE('Feeders Raw Data'!R107:R111),"")</f>
        <v/>
      </c>
      <c r="L107" t="str">
        <f>IFERROR(SUMPRODUCT('Feeders Raw Data'!L107:L126,'Feeders Raw Data'!Q107:Q126)/SUM('Feeders Raw Data'!Q107:Q126),"")</f>
        <v/>
      </c>
      <c r="M107">
        <f>IFERROR(SQRT((SUMSQ('Feeders Raw Data'!L107:L126)-2*SUMPRODUCT('Feeders Raw Data'!L107:L126,'Feeders Raw Data'!L108:L127)+SUMSQ('Feeders Raw Data'!L108:L127)-('Feeders Raw Data'!L107-'Feeders Raw Data'!L127)^2/20)/19),"")</f>
        <v>0</v>
      </c>
      <c r="O107">
        <f>IFERROR('Feeders Raw Data'!U107,"")</f>
        <v>0</v>
      </c>
      <c r="P107">
        <f>IFERROR('Feeders Raw Data'!Z107,"")</f>
        <v>0</v>
      </c>
      <c r="Q107">
        <f>IFERROR('Feeders Raw Data'!AB107-'Feeders Raw Data'!AB108,"")</f>
        <v>0</v>
      </c>
      <c r="R107" t="str">
        <f>IFERROR(AVERAGE('Feeders Raw Data'!AB107:AB111),"")</f>
        <v/>
      </c>
      <c r="S107" t="str">
        <f>IFERROR(SUMPRODUCT('Feeders Raw Data'!V107:V126,'Feeders Raw Data'!AA107:AA126)/SUM('Feeders Raw Data'!AA107:AA126),"")</f>
        <v/>
      </c>
      <c r="T107">
        <f>IFERROR(SQRT((SUMSQ('Feeders Raw Data'!V107:V126)-2*SUMPRODUCT('Feeders Raw Data'!V107:V126,'Feeders Raw Data'!V108:V127)+SUMSQ('Feeders Raw Data'!V108:V127)-('Feeders Raw Data'!V107-'Feeders Raw Data'!V127)^2/20)/19),"")</f>
        <v>0</v>
      </c>
      <c r="V107">
        <f>IFERROR('Feeders Raw Data'!AE107,"")</f>
        <v>0</v>
      </c>
      <c r="W107">
        <f>IFERROR('Feeders Raw Data'!AJ107,"")</f>
        <v>0</v>
      </c>
      <c r="X107">
        <f>IFERROR('Feeders Raw Data'!AL107-'Feeders Raw Data'!AL108,"")</f>
        <v>0</v>
      </c>
      <c r="Y107" t="str">
        <f>IFERROR(AVERAGE('Feeders Raw Data'!AL107:AL111),"")</f>
        <v/>
      </c>
      <c r="Z107" t="str">
        <f>IFERROR(SUMPRODUCT('Feeders Raw Data'!AF107:AF126,'Feeders Raw Data'!AK107:AK126)/SUM('Feeders Raw Data'!AK107:AK126),"")</f>
        <v/>
      </c>
      <c r="AA107">
        <f>IFERROR(SQRT((SUMSQ('Feeders Raw Data'!AF107:AF126)-2*SUMPRODUCT('Feeders Raw Data'!AF107:AF126,'Feeders Raw Data'!AF108:AF127)+SUMSQ('Feeders Raw Data'!AF108:AF127)-('Feeders Raw Data'!AF107-'Feeders Raw Data'!AF127)^2/20)/19),"")</f>
        <v>0</v>
      </c>
      <c r="AC107">
        <f>IFERROR('Feeders Raw Data'!AO107,"")</f>
        <v>0</v>
      </c>
      <c r="AD107">
        <f>IFERROR('Feeders Raw Data'!AT107,"")</f>
        <v>0</v>
      </c>
      <c r="AE107">
        <f>IFERROR('Feeders Raw Data'!AV107-'Feeders Raw Data'!AV108,"")</f>
        <v>0</v>
      </c>
      <c r="AF107" t="str">
        <f>IFERROR(AVERAGE('Feeders Raw Data'!AV107:AV111),"")</f>
        <v/>
      </c>
      <c r="AG107" t="str">
        <f>IFERROR(SUMPRODUCT('Feeders Raw Data'!AP107:AP126,'Feeders Raw Data'!AU107:AU126)/SUM('Feeders Raw Data'!AU107:AU126),"")</f>
        <v/>
      </c>
      <c r="AH107">
        <f>IFERROR(SQRT((SUMSQ('Feeders Raw Data'!AP107:AP126)-2*SUMPRODUCT('Feeders Raw Data'!AP107:AP126,'Feeders Raw Data'!AP108:AP127)+SUMSQ('Feeders Raw Data'!AP108:AP127)-('Feeders Raw Data'!AP107-'Feeders Raw Data'!AP127)^2/20)/19),"")</f>
        <v>0</v>
      </c>
      <c r="AJ107">
        <f>IFERROR('Feeders Raw Data'!AY107,"")</f>
        <v>0</v>
      </c>
      <c r="AK107">
        <f>IFERROR('Feeders Raw Data'!BD107,"")</f>
        <v>0</v>
      </c>
      <c r="AL107">
        <f>IFERROR('Feeders Raw Data'!BF107-'Feeders Raw Data'!BF108,"")</f>
        <v>0</v>
      </c>
      <c r="AM107" t="str">
        <f>IFERROR(AVERAGE('Feeders Raw Data'!BF107:BF111),"")</f>
        <v/>
      </c>
      <c r="AN107" t="str">
        <f>IFERROR(SUMPRODUCT('Feeders Raw Data'!AZ107:AZ126,'Feeders Raw Data'!BE107:BE126)/SUM('Feeders Raw Data'!BE107:BE126),"")</f>
        <v/>
      </c>
      <c r="AO107">
        <f>IFERROR(SQRT((SUMSQ('Feeders Raw Data'!AZ107:AZ126)-2*SUMPRODUCT('Feeders Raw Data'!AZ107:AZ126,'Feeders Raw Data'!AZ108:AZ127)+SUMSQ('Feeders Raw Data'!AZ108:AZ127)-('Feeders Raw Data'!AZ107-'Feeders Raw Data'!AZ127)^2/20)/19),"")</f>
        <v>0</v>
      </c>
      <c r="AQ107">
        <f>IFERROR('Feeders Raw Data'!BI107,"")</f>
        <v>0</v>
      </c>
      <c r="AR107">
        <f>IFERROR('Feeders Raw Data'!BN107,"")</f>
        <v>0</v>
      </c>
      <c r="AS107">
        <f>IFERROR('Feeders Raw Data'!BP107-'Feeders Raw Data'!BP108,"")</f>
        <v>0</v>
      </c>
      <c r="AT107" t="str">
        <f>IFERROR(AVERAGE('Feeders Raw Data'!BP107:BP111),"")</f>
        <v/>
      </c>
      <c r="AU107" t="str">
        <f>IFERROR(SUMPRODUCT('Feeders Raw Data'!BJ107:BJ126,'Feeders Raw Data'!BO107:BO126)/SUM('Feeders Raw Data'!BO107:BO126),"")</f>
        <v/>
      </c>
      <c r="AV107">
        <f>IFERROR(SQRT((SUMSQ('Feeders Raw Data'!BJ107:BJ126)-2*SUMPRODUCT('Feeders Raw Data'!BJ107:BJ126,'Feeders Raw Data'!BJ108:BJ127)+SUMSQ('Feeders Raw Data'!BJ108:BJ127)-('Feeders Raw Data'!BJ107-'Feeders Raw Data'!BJ127)^2/20)/19),"")</f>
        <v>0</v>
      </c>
      <c r="AX107">
        <f>IFERROR('Feeders Raw Data'!BS107,"")</f>
        <v>0</v>
      </c>
      <c r="AY107">
        <f>IFERROR('Feeders Raw Data'!BX107,"")</f>
        <v>0</v>
      </c>
      <c r="AZ107">
        <f>IFERROR('Feeders Raw Data'!BZ107-'Feeders Raw Data'!BZ108,"")</f>
        <v>0</v>
      </c>
      <c r="BA107" t="str">
        <f>IFERROR(AVERAGE('Feeders Raw Data'!BZ107:BZ111),"")</f>
        <v/>
      </c>
      <c r="BB107" t="str">
        <f>IFERROR(SUMPRODUCT('Feeders Raw Data'!BT107:BT126,'Feeders Raw Data'!BY107:BY126)/SUM('Feeders Raw Data'!BY107:BY126),"")</f>
        <v/>
      </c>
      <c r="BC107">
        <f>IFERROR(SQRT((SUMSQ('Feeders Raw Data'!BT107:BT126)-2*SUMPRODUCT('Feeders Raw Data'!BT107:BT126,'Feeders Raw Data'!BT108:BT127)+SUMSQ('Feeders Raw Data'!BT108:BT127)-('Feeders Raw Data'!BT107-'Feeders Raw Data'!BT127)^2/20)/19),"")</f>
        <v>0</v>
      </c>
      <c r="BE107">
        <f>IFERROR('Fats Raw Data'!A107,"")</f>
        <v>0</v>
      </c>
      <c r="BF107">
        <f>IFERROR('Fats Raw Data'!F107,"")</f>
        <v>0</v>
      </c>
      <c r="BG107">
        <f>IFERROR('Fats Raw Data'!H107-'Fats Raw Data'!H108,"")</f>
        <v>0</v>
      </c>
      <c r="BH107" t="str">
        <f>IFERROR(AVERAGE('Fats Raw Data'!H107:H111),"")</f>
        <v/>
      </c>
      <c r="BI107" t="str">
        <f>IFERROR(SUMPRODUCT('Fats Raw Data'!B107:B126,'Fats Raw Data'!G107:G126)/SUM('Fats Raw Data'!G107:G126),"")</f>
        <v/>
      </c>
      <c r="BJ107">
        <f>IFERROR(SQRT((SUMSQ('Fats Raw Data'!B107:B126)-2*SUMPRODUCT('Fats Raw Data'!B107:B126,'Fats Raw Data'!B108:B127)+SUMSQ('Fats Raw Data'!B108:B127)-('Fats Raw Data'!B107-'Fats Raw Data'!B127)^2/20)/19),"")</f>
        <v>0</v>
      </c>
      <c r="BL107">
        <f>IFERROR('Fats Raw Data'!K107,"")</f>
        <v>0</v>
      </c>
      <c r="BM107">
        <f>IFERROR('Fats Raw Data'!P107,"")</f>
        <v>0</v>
      </c>
      <c r="BN107">
        <f>IFERROR('Fats Raw Data'!R107-'Fats Raw Data'!R108,"")</f>
        <v>0</v>
      </c>
      <c r="BO107" t="str">
        <f>IFERROR(AVERAGE('Fats Raw Data'!R107:R111),"")</f>
        <v/>
      </c>
      <c r="BP107" t="str">
        <f>IFERROR(SUMPRODUCT('Fats Raw Data'!L107:L126,'Fats Raw Data'!Q107:Q126)/SUM('Fats Raw Data'!Q107:Q126),"")</f>
        <v/>
      </c>
      <c r="BQ107">
        <f>IFERROR(SQRT((SUMSQ('Fats Raw Data'!L107:L126)-2*SUMPRODUCT('Fats Raw Data'!L107:L126,'Fats Raw Data'!L108:L127)+SUMSQ('Fats Raw Data'!L108:L127)-('Fats Raw Data'!L107-'Fats Raw Data'!L127)^2/20)/19),"")</f>
        <v>0</v>
      </c>
      <c r="BS107">
        <f>IFERROR('Fats Raw Data'!U107,"")</f>
        <v>0</v>
      </c>
      <c r="BT107">
        <f>IFERROR('Fats Raw Data'!Z107,"")</f>
        <v>0</v>
      </c>
      <c r="BU107">
        <f>IFERROR('Fats Raw Data'!AB107-'Fats Raw Data'!AB108,"")</f>
        <v>0</v>
      </c>
      <c r="BV107" t="str">
        <f>IFERROR(AVERAGE('Fats Raw Data'!AB107:AB111),"")</f>
        <v/>
      </c>
      <c r="BW107" t="str">
        <f>IFERROR(SUMPRODUCT('Fats Raw Data'!V107:V126,'Fats Raw Data'!AA107:AA126)/SUM('Fats Raw Data'!AA107:AA126),"")</f>
        <v/>
      </c>
      <c r="BX107">
        <f>IFERROR(SQRT((SUMSQ('Fats Raw Data'!V107:V126)-2*SUMPRODUCT('Fats Raw Data'!V107:V126,'Fats Raw Data'!V108:V127)+SUMSQ('Fats Raw Data'!V108:V127)-('Fats Raw Data'!V107-'Fats Raw Data'!V127)^2/20)/19),"")</f>
        <v>0</v>
      </c>
      <c r="BZ107">
        <f>IFERROR('Fats Raw Data'!AE107,"")</f>
        <v>0</v>
      </c>
      <c r="CA107">
        <f>IFERROR('Fats Raw Data'!AJ107,"")</f>
        <v>0</v>
      </c>
      <c r="CB107">
        <f>IFERROR('Fats Raw Data'!AL107-'Fats Raw Data'!AL108,"")</f>
        <v>0</v>
      </c>
      <c r="CC107" t="str">
        <f>IFERROR(AVERAGE('Fats Raw Data'!AL107:AL111),"")</f>
        <v/>
      </c>
      <c r="CD107" t="str">
        <f>IFERROR(SUMPRODUCT('Fats Raw Data'!AF107:AF126,'Fats Raw Data'!AK107:AK126)/SUM('Fats Raw Data'!AK107:AK126),"")</f>
        <v/>
      </c>
      <c r="CE107">
        <f>IFERROR(SQRT((SUMSQ('Fats Raw Data'!AF107:AF126)-2*SUMPRODUCT('Fats Raw Data'!AF107:AF126,'Fats Raw Data'!AF108:AF127)+SUMSQ('Fats Raw Data'!AF108:AF127)-('Fats Raw Data'!AF107-'Fats Raw Data'!AF127)^2/20)/19),"")</f>
        <v>0</v>
      </c>
      <c r="CG107">
        <f>IFERROR('Fats Raw Data'!AO107,"")</f>
        <v>0</v>
      </c>
      <c r="CH107">
        <f>IFERROR('Fats Raw Data'!AT107,"")</f>
        <v>0</v>
      </c>
      <c r="CI107">
        <f>IFERROR('Fats Raw Data'!AV107-'Fats Raw Data'!AV108,"")</f>
        <v>0</v>
      </c>
      <c r="CJ107" t="str">
        <f>IFERROR(AVERAGE('Fats Raw Data'!AV107:AV111),"")</f>
        <v/>
      </c>
      <c r="CK107" t="str">
        <f>IFERROR(SUMPRODUCT('Fats Raw Data'!AP107:AP126,'Fats Raw Data'!AU107:AU126)/SUM('Fats Raw Data'!AU107:AU126),"")</f>
        <v/>
      </c>
      <c r="CL107">
        <f>IFERROR(SQRT((SUMSQ('Fats Raw Data'!AP107:AP126)-2*SUMPRODUCT('Fats Raw Data'!AP107:AP126,'Fats Raw Data'!AP108:AP127)+SUMSQ('Fats Raw Data'!AP108:AP127)-('Fats Raw Data'!AP107-'Fats Raw Data'!AP127)^2/20)/19),"")</f>
        <v>0</v>
      </c>
      <c r="CN107">
        <f>IFERROR('Fats Raw Data'!AY107,"")</f>
        <v>0</v>
      </c>
      <c r="CO107">
        <f>IFERROR('Fats Raw Data'!BD107,"")</f>
        <v>0</v>
      </c>
      <c r="CP107">
        <f>IFERROR('Fats Raw Data'!BF107-'Fats Raw Data'!BF108,"")</f>
        <v>0</v>
      </c>
      <c r="CQ107" t="str">
        <f>IFERROR(AVERAGE('Fats Raw Data'!BF107:BF111),"")</f>
        <v/>
      </c>
      <c r="CR107" t="str">
        <f>IFERROR(SUMPRODUCT('Fats Raw Data'!AZ107:AZ126,'Fats Raw Data'!BE107:BE126)/SUM('Fats Raw Data'!BE107:BE126),"")</f>
        <v/>
      </c>
      <c r="CS107">
        <f>IFERROR(SQRT((SUMSQ('Fats Raw Data'!AZ107:AZ126)-2*SUMPRODUCT('Fats Raw Data'!AZ107:AZ126,'Fats Raw Data'!AZ108:AZ127)+SUMSQ('Fats Raw Data'!AZ108:AZ127)-('Fats Raw Data'!AZ107-'Fats Raw Data'!AZ127)^2/20)/19),"")</f>
        <v>0</v>
      </c>
    </row>
    <row r="108" spans="1:97" x14ac:dyDescent="0.25">
      <c r="A108">
        <f>IFERROR('Feeders Raw Data'!A108,"")</f>
        <v>0</v>
      </c>
      <c r="B108">
        <f>IFERROR('Feeders Raw Data'!F108,"")</f>
        <v>0</v>
      </c>
      <c r="C108">
        <f>IFERROR('Feeders Raw Data'!H108-'Feeders Raw Data'!H109,"")</f>
        <v>0</v>
      </c>
      <c r="D108" t="str">
        <f>IFERROR(AVERAGE('Feeders Raw Data'!H108:H112),"")</f>
        <v/>
      </c>
      <c r="E108" t="str">
        <f>IFERROR(SUMPRODUCT('Feeders Raw Data'!B108:B127,'Feeders Raw Data'!G108:G127)/SUM('Feeders Raw Data'!G108:G127),"")</f>
        <v/>
      </c>
      <c r="F108">
        <f>IFERROR(SQRT((SUMSQ('Feeders Raw Data'!B108:B127)-2*SUMPRODUCT('Feeders Raw Data'!B108:B127,'Feeders Raw Data'!B109:B128)+SUMSQ('Feeders Raw Data'!B109:B128)-('Feeders Raw Data'!B108-'Feeders Raw Data'!B128)^2/20)/19),"")</f>
        <v>0</v>
      </c>
      <c r="H108">
        <f>IFERROR('Feeders Raw Data'!K108,"")</f>
        <v>0</v>
      </c>
      <c r="I108">
        <f>IFERROR('Feeders Raw Data'!P108,"")</f>
        <v>0</v>
      </c>
      <c r="J108">
        <f>IFERROR('Feeders Raw Data'!R108-'Feeders Raw Data'!R109,"")</f>
        <v>0</v>
      </c>
      <c r="K108" t="str">
        <f>IFERROR(AVERAGE('Feeders Raw Data'!R108:R112),"")</f>
        <v/>
      </c>
      <c r="L108" t="str">
        <f>IFERROR(SUMPRODUCT('Feeders Raw Data'!L108:L127,'Feeders Raw Data'!Q108:Q127)/SUM('Feeders Raw Data'!Q108:Q127),"")</f>
        <v/>
      </c>
      <c r="M108">
        <f>IFERROR(SQRT((SUMSQ('Feeders Raw Data'!L108:L127)-2*SUMPRODUCT('Feeders Raw Data'!L108:L127,'Feeders Raw Data'!L109:L128)+SUMSQ('Feeders Raw Data'!L109:L128)-('Feeders Raw Data'!L108-'Feeders Raw Data'!L128)^2/20)/19),"")</f>
        <v>0</v>
      </c>
      <c r="O108">
        <f>IFERROR('Feeders Raw Data'!U108,"")</f>
        <v>0</v>
      </c>
      <c r="P108">
        <f>IFERROR('Feeders Raw Data'!Z108,"")</f>
        <v>0</v>
      </c>
      <c r="Q108">
        <f>IFERROR('Feeders Raw Data'!AB108-'Feeders Raw Data'!AB109,"")</f>
        <v>0</v>
      </c>
      <c r="R108" t="str">
        <f>IFERROR(AVERAGE('Feeders Raw Data'!AB108:AB112),"")</f>
        <v/>
      </c>
      <c r="S108" t="str">
        <f>IFERROR(SUMPRODUCT('Feeders Raw Data'!V108:V127,'Feeders Raw Data'!AA108:AA127)/SUM('Feeders Raw Data'!AA108:AA127),"")</f>
        <v/>
      </c>
      <c r="T108">
        <f>IFERROR(SQRT((SUMSQ('Feeders Raw Data'!V108:V127)-2*SUMPRODUCT('Feeders Raw Data'!V108:V127,'Feeders Raw Data'!V109:V128)+SUMSQ('Feeders Raw Data'!V109:V128)-('Feeders Raw Data'!V108-'Feeders Raw Data'!V128)^2/20)/19),"")</f>
        <v>0</v>
      </c>
      <c r="V108">
        <f>IFERROR('Feeders Raw Data'!AE108,"")</f>
        <v>0</v>
      </c>
      <c r="W108">
        <f>IFERROR('Feeders Raw Data'!AJ108,"")</f>
        <v>0</v>
      </c>
      <c r="X108">
        <f>IFERROR('Feeders Raw Data'!AL108-'Feeders Raw Data'!AL109,"")</f>
        <v>0</v>
      </c>
      <c r="Y108" t="str">
        <f>IFERROR(AVERAGE('Feeders Raw Data'!AL108:AL112),"")</f>
        <v/>
      </c>
      <c r="Z108" t="str">
        <f>IFERROR(SUMPRODUCT('Feeders Raw Data'!AF108:AF127,'Feeders Raw Data'!AK108:AK127)/SUM('Feeders Raw Data'!AK108:AK127),"")</f>
        <v/>
      </c>
      <c r="AA108">
        <f>IFERROR(SQRT((SUMSQ('Feeders Raw Data'!AF108:AF127)-2*SUMPRODUCT('Feeders Raw Data'!AF108:AF127,'Feeders Raw Data'!AF109:AF128)+SUMSQ('Feeders Raw Data'!AF109:AF128)-('Feeders Raw Data'!AF108-'Feeders Raw Data'!AF128)^2/20)/19),"")</f>
        <v>0</v>
      </c>
      <c r="AC108">
        <f>IFERROR('Feeders Raw Data'!AO108,"")</f>
        <v>0</v>
      </c>
      <c r="AD108">
        <f>IFERROR('Feeders Raw Data'!AT108,"")</f>
        <v>0</v>
      </c>
      <c r="AE108">
        <f>IFERROR('Feeders Raw Data'!AV108-'Feeders Raw Data'!AV109,"")</f>
        <v>0</v>
      </c>
      <c r="AF108" t="str">
        <f>IFERROR(AVERAGE('Feeders Raw Data'!AV108:AV112),"")</f>
        <v/>
      </c>
      <c r="AG108" t="str">
        <f>IFERROR(SUMPRODUCT('Feeders Raw Data'!AP108:AP127,'Feeders Raw Data'!AU108:AU127)/SUM('Feeders Raw Data'!AU108:AU127),"")</f>
        <v/>
      </c>
      <c r="AH108">
        <f>IFERROR(SQRT((SUMSQ('Feeders Raw Data'!AP108:AP127)-2*SUMPRODUCT('Feeders Raw Data'!AP108:AP127,'Feeders Raw Data'!AP109:AP128)+SUMSQ('Feeders Raw Data'!AP109:AP128)-('Feeders Raw Data'!AP108-'Feeders Raw Data'!AP128)^2/20)/19),"")</f>
        <v>0</v>
      </c>
      <c r="AJ108">
        <f>IFERROR('Feeders Raw Data'!AY108,"")</f>
        <v>0</v>
      </c>
      <c r="AK108">
        <f>IFERROR('Feeders Raw Data'!BD108,"")</f>
        <v>0</v>
      </c>
      <c r="AL108">
        <f>IFERROR('Feeders Raw Data'!BF108-'Feeders Raw Data'!BF109,"")</f>
        <v>0</v>
      </c>
      <c r="AM108" t="str">
        <f>IFERROR(AVERAGE('Feeders Raw Data'!BF108:BF112),"")</f>
        <v/>
      </c>
      <c r="AN108" t="str">
        <f>IFERROR(SUMPRODUCT('Feeders Raw Data'!AZ108:AZ127,'Feeders Raw Data'!BE108:BE127)/SUM('Feeders Raw Data'!BE108:BE127),"")</f>
        <v/>
      </c>
      <c r="AO108">
        <f>IFERROR(SQRT((SUMSQ('Feeders Raw Data'!AZ108:AZ127)-2*SUMPRODUCT('Feeders Raw Data'!AZ108:AZ127,'Feeders Raw Data'!AZ109:AZ128)+SUMSQ('Feeders Raw Data'!AZ109:AZ128)-('Feeders Raw Data'!AZ108-'Feeders Raw Data'!AZ128)^2/20)/19),"")</f>
        <v>0</v>
      </c>
      <c r="AQ108">
        <f>IFERROR('Feeders Raw Data'!BI108,"")</f>
        <v>0</v>
      </c>
      <c r="AR108">
        <f>IFERROR('Feeders Raw Data'!BN108,"")</f>
        <v>0</v>
      </c>
      <c r="AS108">
        <f>IFERROR('Feeders Raw Data'!BP108-'Feeders Raw Data'!BP109,"")</f>
        <v>0</v>
      </c>
      <c r="AT108" t="str">
        <f>IFERROR(AVERAGE('Feeders Raw Data'!BP108:BP112),"")</f>
        <v/>
      </c>
      <c r="AU108" t="str">
        <f>IFERROR(SUMPRODUCT('Feeders Raw Data'!BJ108:BJ127,'Feeders Raw Data'!BO108:BO127)/SUM('Feeders Raw Data'!BO108:BO127),"")</f>
        <v/>
      </c>
      <c r="AV108">
        <f>IFERROR(SQRT((SUMSQ('Feeders Raw Data'!BJ108:BJ127)-2*SUMPRODUCT('Feeders Raw Data'!BJ108:BJ127,'Feeders Raw Data'!BJ109:BJ128)+SUMSQ('Feeders Raw Data'!BJ109:BJ128)-('Feeders Raw Data'!BJ108-'Feeders Raw Data'!BJ128)^2/20)/19),"")</f>
        <v>0</v>
      </c>
      <c r="AX108">
        <f>IFERROR('Feeders Raw Data'!BS108,"")</f>
        <v>0</v>
      </c>
      <c r="AY108">
        <f>IFERROR('Feeders Raw Data'!BX108,"")</f>
        <v>0</v>
      </c>
      <c r="AZ108">
        <f>IFERROR('Feeders Raw Data'!BZ108-'Feeders Raw Data'!BZ109,"")</f>
        <v>0</v>
      </c>
      <c r="BA108" t="str">
        <f>IFERROR(AVERAGE('Feeders Raw Data'!BZ108:BZ112),"")</f>
        <v/>
      </c>
      <c r="BB108" t="str">
        <f>IFERROR(SUMPRODUCT('Feeders Raw Data'!BT108:BT127,'Feeders Raw Data'!BY108:BY127)/SUM('Feeders Raw Data'!BY108:BY127),"")</f>
        <v/>
      </c>
      <c r="BC108">
        <f>IFERROR(SQRT((SUMSQ('Feeders Raw Data'!BT108:BT127)-2*SUMPRODUCT('Feeders Raw Data'!BT108:BT127,'Feeders Raw Data'!BT109:BT128)+SUMSQ('Feeders Raw Data'!BT109:BT128)-('Feeders Raw Data'!BT108-'Feeders Raw Data'!BT128)^2/20)/19),"")</f>
        <v>0</v>
      </c>
      <c r="BE108">
        <f>IFERROR('Fats Raw Data'!A108,"")</f>
        <v>0</v>
      </c>
      <c r="BF108">
        <f>IFERROR('Fats Raw Data'!F108,"")</f>
        <v>0</v>
      </c>
      <c r="BG108">
        <f>IFERROR('Fats Raw Data'!H108-'Fats Raw Data'!H109,"")</f>
        <v>0</v>
      </c>
      <c r="BH108" t="str">
        <f>IFERROR(AVERAGE('Fats Raw Data'!H108:H112),"")</f>
        <v/>
      </c>
      <c r="BI108" t="str">
        <f>IFERROR(SUMPRODUCT('Fats Raw Data'!B108:B127,'Fats Raw Data'!G108:G127)/SUM('Fats Raw Data'!G108:G127),"")</f>
        <v/>
      </c>
      <c r="BJ108">
        <f>IFERROR(SQRT((SUMSQ('Fats Raw Data'!B108:B127)-2*SUMPRODUCT('Fats Raw Data'!B108:B127,'Fats Raw Data'!B109:B128)+SUMSQ('Fats Raw Data'!B109:B128)-('Fats Raw Data'!B108-'Fats Raw Data'!B128)^2/20)/19),"")</f>
        <v>0</v>
      </c>
      <c r="BL108">
        <f>IFERROR('Fats Raw Data'!K108,"")</f>
        <v>0</v>
      </c>
      <c r="BM108">
        <f>IFERROR('Fats Raw Data'!P108,"")</f>
        <v>0</v>
      </c>
      <c r="BN108">
        <f>IFERROR('Fats Raw Data'!R108-'Fats Raw Data'!R109,"")</f>
        <v>0</v>
      </c>
      <c r="BO108" t="str">
        <f>IFERROR(AVERAGE('Fats Raw Data'!R108:R112),"")</f>
        <v/>
      </c>
      <c r="BP108" t="str">
        <f>IFERROR(SUMPRODUCT('Fats Raw Data'!L108:L127,'Fats Raw Data'!Q108:Q127)/SUM('Fats Raw Data'!Q108:Q127),"")</f>
        <v/>
      </c>
      <c r="BQ108">
        <f>IFERROR(SQRT((SUMSQ('Fats Raw Data'!L108:L127)-2*SUMPRODUCT('Fats Raw Data'!L108:L127,'Fats Raw Data'!L109:L128)+SUMSQ('Fats Raw Data'!L109:L128)-('Fats Raw Data'!L108-'Fats Raw Data'!L128)^2/20)/19),"")</f>
        <v>0</v>
      </c>
      <c r="BS108">
        <f>IFERROR('Fats Raw Data'!U108,"")</f>
        <v>0</v>
      </c>
      <c r="BT108">
        <f>IFERROR('Fats Raw Data'!Z108,"")</f>
        <v>0</v>
      </c>
      <c r="BU108">
        <f>IFERROR('Fats Raw Data'!AB108-'Fats Raw Data'!AB109,"")</f>
        <v>0</v>
      </c>
      <c r="BV108" t="str">
        <f>IFERROR(AVERAGE('Fats Raw Data'!AB108:AB112),"")</f>
        <v/>
      </c>
      <c r="BW108" t="str">
        <f>IFERROR(SUMPRODUCT('Fats Raw Data'!V108:V127,'Fats Raw Data'!AA108:AA127)/SUM('Fats Raw Data'!AA108:AA127),"")</f>
        <v/>
      </c>
      <c r="BX108">
        <f>IFERROR(SQRT((SUMSQ('Fats Raw Data'!V108:V127)-2*SUMPRODUCT('Fats Raw Data'!V108:V127,'Fats Raw Data'!V109:V128)+SUMSQ('Fats Raw Data'!V109:V128)-('Fats Raw Data'!V108-'Fats Raw Data'!V128)^2/20)/19),"")</f>
        <v>0</v>
      </c>
      <c r="BZ108">
        <f>IFERROR('Fats Raw Data'!AE108,"")</f>
        <v>0</v>
      </c>
      <c r="CA108">
        <f>IFERROR('Fats Raw Data'!AJ108,"")</f>
        <v>0</v>
      </c>
      <c r="CB108">
        <f>IFERROR('Fats Raw Data'!AL108-'Fats Raw Data'!AL109,"")</f>
        <v>0</v>
      </c>
      <c r="CC108" t="str">
        <f>IFERROR(AVERAGE('Fats Raw Data'!AL108:AL112),"")</f>
        <v/>
      </c>
      <c r="CD108" t="str">
        <f>IFERROR(SUMPRODUCT('Fats Raw Data'!AF108:AF127,'Fats Raw Data'!AK108:AK127)/SUM('Fats Raw Data'!AK108:AK127),"")</f>
        <v/>
      </c>
      <c r="CE108">
        <f>IFERROR(SQRT((SUMSQ('Fats Raw Data'!AF108:AF127)-2*SUMPRODUCT('Fats Raw Data'!AF108:AF127,'Fats Raw Data'!AF109:AF128)+SUMSQ('Fats Raw Data'!AF109:AF128)-('Fats Raw Data'!AF108-'Fats Raw Data'!AF128)^2/20)/19),"")</f>
        <v>0</v>
      </c>
      <c r="CG108">
        <f>IFERROR('Fats Raw Data'!AO108,"")</f>
        <v>0</v>
      </c>
      <c r="CH108">
        <f>IFERROR('Fats Raw Data'!AT108,"")</f>
        <v>0</v>
      </c>
      <c r="CI108">
        <f>IFERROR('Fats Raw Data'!AV108-'Fats Raw Data'!AV109,"")</f>
        <v>0</v>
      </c>
      <c r="CJ108" t="str">
        <f>IFERROR(AVERAGE('Fats Raw Data'!AV108:AV112),"")</f>
        <v/>
      </c>
      <c r="CK108" t="str">
        <f>IFERROR(SUMPRODUCT('Fats Raw Data'!AP108:AP127,'Fats Raw Data'!AU108:AU127)/SUM('Fats Raw Data'!AU108:AU127),"")</f>
        <v/>
      </c>
      <c r="CL108">
        <f>IFERROR(SQRT((SUMSQ('Fats Raw Data'!AP108:AP127)-2*SUMPRODUCT('Fats Raw Data'!AP108:AP127,'Fats Raw Data'!AP109:AP128)+SUMSQ('Fats Raw Data'!AP109:AP128)-('Fats Raw Data'!AP108-'Fats Raw Data'!AP128)^2/20)/19),"")</f>
        <v>0</v>
      </c>
      <c r="CN108">
        <f>IFERROR('Fats Raw Data'!AY108,"")</f>
        <v>0</v>
      </c>
      <c r="CO108">
        <f>IFERROR('Fats Raw Data'!BD108,"")</f>
        <v>0</v>
      </c>
      <c r="CP108">
        <f>IFERROR('Fats Raw Data'!BF108-'Fats Raw Data'!BF109,"")</f>
        <v>0</v>
      </c>
      <c r="CQ108" t="str">
        <f>IFERROR(AVERAGE('Fats Raw Data'!BF108:BF112),"")</f>
        <v/>
      </c>
      <c r="CR108" t="str">
        <f>IFERROR(SUMPRODUCT('Fats Raw Data'!AZ108:AZ127,'Fats Raw Data'!BE108:BE127)/SUM('Fats Raw Data'!BE108:BE127),"")</f>
        <v/>
      </c>
      <c r="CS108">
        <f>IFERROR(SQRT((SUMSQ('Fats Raw Data'!AZ108:AZ127)-2*SUMPRODUCT('Fats Raw Data'!AZ108:AZ127,'Fats Raw Data'!AZ109:AZ128)+SUMSQ('Fats Raw Data'!AZ109:AZ128)-('Fats Raw Data'!AZ108-'Fats Raw Data'!AZ128)^2/20)/19),"")</f>
        <v>0</v>
      </c>
    </row>
    <row r="109" spans="1:97" x14ac:dyDescent="0.25">
      <c r="A109">
        <f>IFERROR('Feeders Raw Data'!A109,"")</f>
        <v>0</v>
      </c>
      <c r="B109">
        <f>IFERROR('Feeders Raw Data'!F109,"")</f>
        <v>0</v>
      </c>
      <c r="C109">
        <f>IFERROR('Feeders Raw Data'!H109-'Feeders Raw Data'!H110,"")</f>
        <v>0</v>
      </c>
      <c r="D109" t="str">
        <f>IFERROR(AVERAGE('Feeders Raw Data'!H109:H113),"")</f>
        <v/>
      </c>
      <c r="E109" t="str">
        <f>IFERROR(SUMPRODUCT('Feeders Raw Data'!B109:B128,'Feeders Raw Data'!G109:G128)/SUM('Feeders Raw Data'!G109:G128),"")</f>
        <v/>
      </c>
      <c r="F109">
        <f>IFERROR(SQRT((SUMSQ('Feeders Raw Data'!B109:B128)-2*SUMPRODUCT('Feeders Raw Data'!B109:B128,'Feeders Raw Data'!B110:B129)+SUMSQ('Feeders Raw Data'!B110:B129)-('Feeders Raw Data'!B109-'Feeders Raw Data'!B129)^2/20)/19),"")</f>
        <v>0</v>
      </c>
      <c r="H109">
        <f>IFERROR('Feeders Raw Data'!K109,"")</f>
        <v>0</v>
      </c>
      <c r="I109">
        <f>IFERROR('Feeders Raw Data'!P109,"")</f>
        <v>0</v>
      </c>
      <c r="J109">
        <f>IFERROR('Feeders Raw Data'!R109-'Feeders Raw Data'!R110,"")</f>
        <v>0</v>
      </c>
      <c r="K109" t="str">
        <f>IFERROR(AVERAGE('Feeders Raw Data'!R109:R113),"")</f>
        <v/>
      </c>
      <c r="L109" t="str">
        <f>IFERROR(SUMPRODUCT('Feeders Raw Data'!L109:L128,'Feeders Raw Data'!Q109:Q128)/SUM('Feeders Raw Data'!Q109:Q128),"")</f>
        <v/>
      </c>
      <c r="M109">
        <f>IFERROR(SQRT((SUMSQ('Feeders Raw Data'!L109:L128)-2*SUMPRODUCT('Feeders Raw Data'!L109:L128,'Feeders Raw Data'!L110:L129)+SUMSQ('Feeders Raw Data'!L110:L129)-('Feeders Raw Data'!L109-'Feeders Raw Data'!L129)^2/20)/19),"")</f>
        <v>0</v>
      </c>
      <c r="O109">
        <f>IFERROR('Feeders Raw Data'!U109,"")</f>
        <v>0</v>
      </c>
      <c r="P109">
        <f>IFERROR('Feeders Raw Data'!Z109,"")</f>
        <v>0</v>
      </c>
      <c r="Q109">
        <f>IFERROR('Feeders Raw Data'!AB109-'Feeders Raw Data'!AB110,"")</f>
        <v>0</v>
      </c>
      <c r="R109" t="str">
        <f>IFERROR(AVERAGE('Feeders Raw Data'!AB109:AB113),"")</f>
        <v/>
      </c>
      <c r="S109" t="str">
        <f>IFERROR(SUMPRODUCT('Feeders Raw Data'!V109:V128,'Feeders Raw Data'!AA109:AA128)/SUM('Feeders Raw Data'!AA109:AA128),"")</f>
        <v/>
      </c>
      <c r="T109">
        <f>IFERROR(SQRT((SUMSQ('Feeders Raw Data'!V109:V128)-2*SUMPRODUCT('Feeders Raw Data'!V109:V128,'Feeders Raw Data'!V110:V129)+SUMSQ('Feeders Raw Data'!V110:V129)-('Feeders Raw Data'!V109-'Feeders Raw Data'!V129)^2/20)/19),"")</f>
        <v>0</v>
      </c>
      <c r="V109">
        <f>IFERROR('Feeders Raw Data'!AE109,"")</f>
        <v>0</v>
      </c>
      <c r="W109">
        <f>IFERROR('Feeders Raw Data'!AJ109,"")</f>
        <v>0</v>
      </c>
      <c r="X109">
        <f>IFERROR('Feeders Raw Data'!AL109-'Feeders Raw Data'!AL110,"")</f>
        <v>0</v>
      </c>
      <c r="Y109" t="str">
        <f>IFERROR(AVERAGE('Feeders Raw Data'!AL109:AL113),"")</f>
        <v/>
      </c>
      <c r="Z109" t="str">
        <f>IFERROR(SUMPRODUCT('Feeders Raw Data'!AF109:AF128,'Feeders Raw Data'!AK109:AK128)/SUM('Feeders Raw Data'!AK109:AK128),"")</f>
        <v/>
      </c>
      <c r="AA109">
        <f>IFERROR(SQRT((SUMSQ('Feeders Raw Data'!AF109:AF128)-2*SUMPRODUCT('Feeders Raw Data'!AF109:AF128,'Feeders Raw Data'!AF110:AF129)+SUMSQ('Feeders Raw Data'!AF110:AF129)-('Feeders Raw Data'!AF109-'Feeders Raw Data'!AF129)^2/20)/19),"")</f>
        <v>0</v>
      </c>
      <c r="AC109">
        <f>IFERROR('Feeders Raw Data'!AO109,"")</f>
        <v>0</v>
      </c>
      <c r="AD109">
        <f>IFERROR('Feeders Raw Data'!AT109,"")</f>
        <v>0</v>
      </c>
      <c r="AE109">
        <f>IFERROR('Feeders Raw Data'!AV109-'Feeders Raw Data'!AV110,"")</f>
        <v>0</v>
      </c>
      <c r="AF109" t="str">
        <f>IFERROR(AVERAGE('Feeders Raw Data'!AV109:AV113),"")</f>
        <v/>
      </c>
      <c r="AG109" t="str">
        <f>IFERROR(SUMPRODUCT('Feeders Raw Data'!AP109:AP128,'Feeders Raw Data'!AU109:AU128)/SUM('Feeders Raw Data'!AU109:AU128),"")</f>
        <v/>
      </c>
      <c r="AH109">
        <f>IFERROR(SQRT((SUMSQ('Feeders Raw Data'!AP109:AP128)-2*SUMPRODUCT('Feeders Raw Data'!AP109:AP128,'Feeders Raw Data'!AP110:AP129)+SUMSQ('Feeders Raw Data'!AP110:AP129)-('Feeders Raw Data'!AP109-'Feeders Raw Data'!AP129)^2/20)/19),"")</f>
        <v>0</v>
      </c>
      <c r="AJ109">
        <f>IFERROR('Feeders Raw Data'!AY109,"")</f>
        <v>0</v>
      </c>
      <c r="AK109">
        <f>IFERROR('Feeders Raw Data'!BD109,"")</f>
        <v>0</v>
      </c>
      <c r="AL109">
        <f>IFERROR('Feeders Raw Data'!BF109-'Feeders Raw Data'!BF110,"")</f>
        <v>0</v>
      </c>
      <c r="AM109" t="str">
        <f>IFERROR(AVERAGE('Feeders Raw Data'!BF109:BF113),"")</f>
        <v/>
      </c>
      <c r="AN109" t="str">
        <f>IFERROR(SUMPRODUCT('Feeders Raw Data'!AZ109:AZ128,'Feeders Raw Data'!BE109:BE128)/SUM('Feeders Raw Data'!BE109:BE128),"")</f>
        <v/>
      </c>
      <c r="AO109">
        <f>IFERROR(SQRT((SUMSQ('Feeders Raw Data'!AZ109:AZ128)-2*SUMPRODUCT('Feeders Raw Data'!AZ109:AZ128,'Feeders Raw Data'!AZ110:AZ129)+SUMSQ('Feeders Raw Data'!AZ110:AZ129)-('Feeders Raw Data'!AZ109-'Feeders Raw Data'!AZ129)^2/20)/19),"")</f>
        <v>0</v>
      </c>
      <c r="AQ109">
        <f>IFERROR('Feeders Raw Data'!BI109,"")</f>
        <v>0</v>
      </c>
      <c r="AR109">
        <f>IFERROR('Feeders Raw Data'!BN109,"")</f>
        <v>0</v>
      </c>
      <c r="AS109">
        <f>IFERROR('Feeders Raw Data'!BP109-'Feeders Raw Data'!BP110,"")</f>
        <v>0</v>
      </c>
      <c r="AT109" t="str">
        <f>IFERROR(AVERAGE('Feeders Raw Data'!BP109:BP113),"")</f>
        <v/>
      </c>
      <c r="AU109" t="str">
        <f>IFERROR(SUMPRODUCT('Feeders Raw Data'!BJ109:BJ128,'Feeders Raw Data'!BO109:BO128)/SUM('Feeders Raw Data'!BO109:BO128),"")</f>
        <v/>
      </c>
      <c r="AV109">
        <f>IFERROR(SQRT((SUMSQ('Feeders Raw Data'!BJ109:BJ128)-2*SUMPRODUCT('Feeders Raw Data'!BJ109:BJ128,'Feeders Raw Data'!BJ110:BJ129)+SUMSQ('Feeders Raw Data'!BJ110:BJ129)-('Feeders Raw Data'!BJ109-'Feeders Raw Data'!BJ129)^2/20)/19),"")</f>
        <v>0</v>
      </c>
      <c r="AX109">
        <f>IFERROR('Feeders Raw Data'!BS109,"")</f>
        <v>0</v>
      </c>
      <c r="AY109">
        <f>IFERROR('Feeders Raw Data'!BX109,"")</f>
        <v>0</v>
      </c>
      <c r="AZ109">
        <f>IFERROR('Feeders Raw Data'!BZ109-'Feeders Raw Data'!BZ110,"")</f>
        <v>0</v>
      </c>
      <c r="BA109" t="str">
        <f>IFERROR(AVERAGE('Feeders Raw Data'!BZ109:BZ113),"")</f>
        <v/>
      </c>
      <c r="BB109" t="str">
        <f>IFERROR(SUMPRODUCT('Feeders Raw Data'!BT109:BT128,'Feeders Raw Data'!BY109:BY128)/SUM('Feeders Raw Data'!BY109:BY128),"")</f>
        <v/>
      </c>
      <c r="BC109">
        <f>IFERROR(SQRT((SUMSQ('Feeders Raw Data'!BT109:BT128)-2*SUMPRODUCT('Feeders Raw Data'!BT109:BT128,'Feeders Raw Data'!BT110:BT129)+SUMSQ('Feeders Raw Data'!BT110:BT129)-('Feeders Raw Data'!BT109-'Feeders Raw Data'!BT129)^2/20)/19),"")</f>
        <v>0</v>
      </c>
      <c r="BE109">
        <f>IFERROR('Fats Raw Data'!A109,"")</f>
        <v>0</v>
      </c>
      <c r="BF109">
        <f>IFERROR('Fats Raw Data'!F109,"")</f>
        <v>0</v>
      </c>
      <c r="BG109">
        <f>IFERROR('Fats Raw Data'!H109-'Fats Raw Data'!H110,"")</f>
        <v>0</v>
      </c>
      <c r="BH109" t="str">
        <f>IFERROR(AVERAGE('Fats Raw Data'!H109:H113),"")</f>
        <v/>
      </c>
      <c r="BI109" t="str">
        <f>IFERROR(SUMPRODUCT('Fats Raw Data'!B109:B128,'Fats Raw Data'!G109:G128)/SUM('Fats Raw Data'!G109:G128),"")</f>
        <v/>
      </c>
      <c r="BJ109">
        <f>IFERROR(SQRT((SUMSQ('Fats Raw Data'!B109:B128)-2*SUMPRODUCT('Fats Raw Data'!B109:B128,'Fats Raw Data'!B110:B129)+SUMSQ('Fats Raw Data'!B110:B129)-('Fats Raw Data'!B109-'Fats Raw Data'!B129)^2/20)/19),"")</f>
        <v>0</v>
      </c>
      <c r="BL109">
        <f>IFERROR('Fats Raw Data'!K109,"")</f>
        <v>0</v>
      </c>
      <c r="BM109">
        <f>IFERROR('Fats Raw Data'!P109,"")</f>
        <v>0</v>
      </c>
      <c r="BN109">
        <f>IFERROR('Fats Raw Data'!R109-'Fats Raw Data'!R110,"")</f>
        <v>0</v>
      </c>
      <c r="BO109" t="str">
        <f>IFERROR(AVERAGE('Fats Raw Data'!R109:R113),"")</f>
        <v/>
      </c>
      <c r="BP109" t="str">
        <f>IFERROR(SUMPRODUCT('Fats Raw Data'!L109:L128,'Fats Raw Data'!Q109:Q128)/SUM('Fats Raw Data'!Q109:Q128),"")</f>
        <v/>
      </c>
      <c r="BQ109">
        <f>IFERROR(SQRT((SUMSQ('Fats Raw Data'!L109:L128)-2*SUMPRODUCT('Fats Raw Data'!L109:L128,'Fats Raw Data'!L110:L129)+SUMSQ('Fats Raw Data'!L110:L129)-('Fats Raw Data'!L109-'Fats Raw Data'!L129)^2/20)/19),"")</f>
        <v>0</v>
      </c>
      <c r="BS109">
        <f>IFERROR('Fats Raw Data'!U109,"")</f>
        <v>0</v>
      </c>
      <c r="BT109">
        <f>IFERROR('Fats Raw Data'!Z109,"")</f>
        <v>0</v>
      </c>
      <c r="BU109">
        <f>IFERROR('Fats Raw Data'!AB109-'Fats Raw Data'!AB110,"")</f>
        <v>0</v>
      </c>
      <c r="BV109" t="str">
        <f>IFERROR(AVERAGE('Fats Raw Data'!AB109:AB113),"")</f>
        <v/>
      </c>
      <c r="BW109" t="str">
        <f>IFERROR(SUMPRODUCT('Fats Raw Data'!V109:V128,'Fats Raw Data'!AA109:AA128)/SUM('Fats Raw Data'!AA109:AA128),"")</f>
        <v/>
      </c>
      <c r="BX109">
        <f>IFERROR(SQRT((SUMSQ('Fats Raw Data'!V109:V128)-2*SUMPRODUCT('Fats Raw Data'!V109:V128,'Fats Raw Data'!V110:V129)+SUMSQ('Fats Raw Data'!V110:V129)-('Fats Raw Data'!V109-'Fats Raw Data'!V129)^2/20)/19),"")</f>
        <v>0</v>
      </c>
      <c r="BZ109">
        <f>IFERROR('Fats Raw Data'!AE109,"")</f>
        <v>0</v>
      </c>
      <c r="CA109">
        <f>IFERROR('Fats Raw Data'!AJ109,"")</f>
        <v>0</v>
      </c>
      <c r="CB109">
        <f>IFERROR('Fats Raw Data'!AL109-'Fats Raw Data'!AL110,"")</f>
        <v>0</v>
      </c>
      <c r="CC109" t="str">
        <f>IFERROR(AVERAGE('Fats Raw Data'!AL109:AL113),"")</f>
        <v/>
      </c>
      <c r="CD109" t="str">
        <f>IFERROR(SUMPRODUCT('Fats Raw Data'!AF109:AF128,'Fats Raw Data'!AK109:AK128)/SUM('Fats Raw Data'!AK109:AK128),"")</f>
        <v/>
      </c>
      <c r="CE109">
        <f>IFERROR(SQRT((SUMSQ('Fats Raw Data'!AF109:AF128)-2*SUMPRODUCT('Fats Raw Data'!AF109:AF128,'Fats Raw Data'!AF110:AF129)+SUMSQ('Fats Raw Data'!AF110:AF129)-('Fats Raw Data'!AF109-'Fats Raw Data'!AF129)^2/20)/19),"")</f>
        <v>0</v>
      </c>
      <c r="CG109">
        <f>IFERROR('Fats Raw Data'!AO109,"")</f>
        <v>0</v>
      </c>
      <c r="CH109">
        <f>IFERROR('Fats Raw Data'!AT109,"")</f>
        <v>0</v>
      </c>
      <c r="CI109">
        <f>IFERROR('Fats Raw Data'!AV109-'Fats Raw Data'!AV110,"")</f>
        <v>0</v>
      </c>
      <c r="CJ109" t="str">
        <f>IFERROR(AVERAGE('Fats Raw Data'!AV109:AV113),"")</f>
        <v/>
      </c>
      <c r="CK109" t="str">
        <f>IFERROR(SUMPRODUCT('Fats Raw Data'!AP109:AP128,'Fats Raw Data'!AU109:AU128)/SUM('Fats Raw Data'!AU109:AU128),"")</f>
        <v/>
      </c>
      <c r="CL109">
        <f>IFERROR(SQRT((SUMSQ('Fats Raw Data'!AP109:AP128)-2*SUMPRODUCT('Fats Raw Data'!AP109:AP128,'Fats Raw Data'!AP110:AP129)+SUMSQ('Fats Raw Data'!AP110:AP129)-('Fats Raw Data'!AP109-'Fats Raw Data'!AP129)^2/20)/19),"")</f>
        <v>0</v>
      </c>
      <c r="CN109">
        <f>IFERROR('Fats Raw Data'!AY109,"")</f>
        <v>0</v>
      </c>
      <c r="CO109">
        <f>IFERROR('Fats Raw Data'!BD109,"")</f>
        <v>0</v>
      </c>
      <c r="CP109">
        <f>IFERROR('Fats Raw Data'!BF109-'Fats Raw Data'!BF110,"")</f>
        <v>0</v>
      </c>
      <c r="CQ109" t="str">
        <f>IFERROR(AVERAGE('Fats Raw Data'!BF109:BF113),"")</f>
        <v/>
      </c>
      <c r="CR109" t="str">
        <f>IFERROR(SUMPRODUCT('Fats Raw Data'!AZ109:AZ128,'Fats Raw Data'!BE109:BE128)/SUM('Fats Raw Data'!BE109:BE128),"")</f>
        <v/>
      </c>
      <c r="CS109">
        <f>IFERROR(SQRT((SUMSQ('Fats Raw Data'!AZ109:AZ128)-2*SUMPRODUCT('Fats Raw Data'!AZ109:AZ128,'Fats Raw Data'!AZ110:AZ129)+SUMSQ('Fats Raw Data'!AZ110:AZ129)-('Fats Raw Data'!AZ109-'Fats Raw Data'!AZ129)^2/20)/19),"")</f>
        <v>0</v>
      </c>
    </row>
    <row r="110" spans="1:97" x14ac:dyDescent="0.25">
      <c r="A110">
        <f>IFERROR('Feeders Raw Data'!A110,"")</f>
        <v>0</v>
      </c>
      <c r="B110">
        <f>IFERROR('Feeders Raw Data'!F110,"")</f>
        <v>0</v>
      </c>
      <c r="C110">
        <f>IFERROR('Feeders Raw Data'!H110-'Feeders Raw Data'!H111,"")</f>
        <v>0</v>
      </c>
      <c r="D110" t="str">
        <f>IFERROR(AVERAGE('Feeders Raw Data'!H110:H114),"")</f>
        <v/>
      </c>
      <c r="E110" t="str">
        <f>IFERROR(SUMPRODUCT('Feeders Raw Data'!B110:B129,'Feeders Raw Data'!G110:G129)/SUM('Feeders Raw Data'!G110:G129),"")</f>
        <v/>
      </c>
      <c r="F110">
        <f>IFERROR(SQRT((SUMSQ('Feeders Raw Data'!B110:B129)-2*SUMPRODUCT('Feeders Raw Data'!B110:B129,'Feeders Raw Data'!B111:B130)+SUMSQ('Feeders Raw Data'!B111:B130)-('Feeders Raw Data'!B110-'Feeders Raw Data'!B130)^2/20)/19),"")</f>
        <v>0</v>
      </c>
      <c r="H110">
        <f>IFERROR('Feeders Raw Data'!K110,"")</f>
        <v>0</v>
      </c>
      <c r="I110">
        <f>IFERROR('Feeders Raw Data'!P110,"")</f>
        <v>0</v>
      </c>
      <c r="J110">
        <f>IFERROR('Feeders Raw Data'!R110-'Feeders Raw Data'!R111,"")</f>
        <v>0</v>
      </c>
      <c r="K110" t="str">
        <f>IFERROR(AVERAGE('Feeders Raw Data'!R110:R114),"")</f>
        <v/>
      </c>
      <c r="L110" t="str">
        <f>IFERROR(SUMPRODUCT('Feeders Raw Data'!L110:L129,'Feeders Raw Data'!Q110:Q129)/SUM('Feeders Raw Data'!Q110:Q129),"")</f>
        <v/>
      </c>
      <c r="M110">
        <f>IFERROR(SQRT((SUMSQ('Feeders Raw Data'!L110:L129)-2*SUMPRODUCT('Feeders Raw Data'!L110:L129,'Feeders Raw Data'!L111:L130)+SUMSQ('Feeders Raw Data'!L111:L130)-('Feeders Raw Data'!L110-'Feeders Raw Data'!L130)^2/20)/19),"")</f>
        <v>0</v>
      </c>
      <c r="O110">
        <f>IFERROR('Feeders Raw Data'!U110,"")</f>
        <v>0</v>
      </c>
      <c r="P110">
        <f>IFERROR('Feeders Raw Data'!Z110,"")</f>
        <v>0</v>
      </c>
      <c r="Q110">
        <f>IFERROR('Feeders Raw Data'!AB110-'Feeders Raw Data'!AB111,"")</f>
        <v>0</v>
      </c>
      <c r="R110" t="str">
        <f>IFERROR(AVERAGE('Feeders Raw Data'!AB110:AB114),"")</f>
        <v/>
      </c>
      <c r="S110" t="str">
        <f>IFERROR(SUMPRODUCT('Feeders Raw Data'!V110:V129,'Feeders Raw Data'!AA110:AA129)/SUM('Feeders Raw Data'!AA110:AA129),"")</f>
        <v/>
      </c>
      <c r="T110">
        <f>IFERROR(SQRT((SUMSQ('Feeders Raw Data'!V110:V129)-2*SUMPRODUCT('Feeders Raw Data'!V110:V129,'Feeders Raw Data'!V111:V130)+SUMSQ('Feeders Raw Data'!V111:V130)-('Feeders Raw Data'!V110-'Feeders Raw Data'!V130)^2/20)/19),"")</f>
        <v>0</v>
      </c>
      <c r="V110">
        <f>IFERROR('Feeders Raw Data'!AE110,"")</f>
        <v>0</v>
      </c>
      <c r="W110">
        <f>IFERROR('Feeders Raw Data'!AJ110,"")</f>
        <v>0</v>
      </c>
      <c r="X110">
        <f>IFERROR('Feeders Raw Data'!AL110-'Feeders Raw Data'!AL111,"")</f>
        <v>0</v>
      </c>
      <c r="Y110" t="str">
        <f>IFERROR(AVERAGE('Feeders Raw Data'!AL110:AL114),"")</f>
        <v/>
      </c>
      <c r="Z110" t="str">
        <f>IFERROR(SUMPRODUCT('Feeders Raw Data'!AF110:AF129,'Feeders Raw Data'!AK110:AK129)/SUM('Feeders Raw Data'!AK110:AK129),"")</f>
        <v/>
      </c>
      <c r="AA110">
        <f>IFERROR(SQRT((SUMSQ('Feeders Raw Data'!AF110:AF129)-2*SUMPRODUCT('Feeders Raw Data'!AF110:AF129,'Feeders Raw Data'!AF111:AF130)+SUMSQ('Feeders Raw Data'!AF111:AF130)-('Feeders Raw Data'!AF110-'Feeders Raw Data'!AF130)^2/20)/19),"")</f>
        <v>0</v>
      </c>
      <c r="AC110">
        <f>IFERROR('Feeders Raw Data'!AO110,"")</f>
        <v>0</v>
      </c>
      <c r="AD110">
        <f>IFERROR('Feeders Raw Data'!AT110,"")</f>
        <v>0</v>
      </c>
      <c r="AE110">
        <f>IFERROR('Feeders Raw Data'!AV110-'Feeders Raw Data'!AV111,"")</f>
        <v>0</v>
      </c>
      <c r="AF110" t="str">
        <f>IFERROR(AVERAGE('Feeders Raw Data'!AV110:AV114),"")</f>
        <v/>
      </c>
      <c r="AG110" t="str">
        <f>IFERROR(SUMPRODUCT('Feeders Raw Data'!AP110:AP129,'Feeders Raw Data'!AU110:AU129)/SUM('Feeders Raw Data'!AU110:AU129),"")</f>
        <v/>
      </c>
      <c r="AH110">
        <f>IFERROR(SQRT((SUMSQ('Feeders Raw Data'!AP110:AP129)-2*SUMPRODUCT('Feeders Raw Data'!AP110:AP129,'Feeders Raw Data'!AP111:AP130)+SUMSQ('Feeders Raw Data'!AP111:AP130)-('Feeders Raw Data'!AP110-'Feeders Raw Data'!AP130)^2/20)/19),"")</f>
        <v>0</v>
      </c>
      <c r="AJ110">
        <f>IFERROR('Feeders Raw Data'!AY110,"")</f>
        <v>0</v>
      </c>
      <c r="AK110">
        <f>IFERROR('Feeders Raw Data'!BD110,"")</f>
        <v>0</v>
      </c>
      <c r="AL110">
        <f>IFERROR('Feeders Raw Data'!BF110-'Feeders Raw Data'!BF111,"")</f>
        <v>0</v>
      </c>
      <c r="AM110" t="str">
        <f>IFERROR(AVERAGE('Feeders Raw Data'!BF110:BF114),"")</f>
        <v/>
      </c>
      <c r="AN110" t="str">
        <f>IFERROR(SUMPRODUCT('Feeders Raw Data'!AZ110:AZ129,'Feeders Raw Data'!BE110:BE129)/SUM('Feeders Raw Data'!BE110:BE129),"")</f>
        <v/>
      </c>
      <c r="AO110">
        <f>IFERROR(SQRT((SUMSQ('Feeders Raw Data'!AZ110:AZ129)-2*SUMPRODUCT('Feeders Raw Data'!AZ110:AZ129,'Feeders Raw Data'!AZ111:AZ130)+SUMSQ('Feeders Raw Data'!AZ111:AZ130)-('Feeders Raw Data'!AZ110-'Feeders Raw Data'!AZ130)^2/20)/19),"")</f>
        <v>0</v>
      </c>
      <c r="AQ110">
        <f>IFERROR('Feeders Raw Data'!BI110,"")</f>
        <v>0</v>
      </c>
      <c r="AR110">
        <f>IFERROR('Feeders Raw Data'!BN110,"")</f>
        <v>0</v>
      </c>
      <c r="AS110">
        <f>IFERROR('Feeders Raw Data'!BP110-'Feeders Raw Data'!BP111,"")</f>
        <v>0</v>
      </c>
      <c r="AT110" t="str">
        <f>IFERROR(AVERAGE('Feeders Raw Data'!BP110:BP114),"")</f>
        <v/>
      </c>
      <c r="AU110" t="str">
        <f>IFERROR(SUMPRODUCT('Feeders Raw Data'!BJ110:BJ129,'Feeders Raw Data'!BO110:BO129)/SUM('Feeders Raw Data'!BO110:BO129),"")</f>
        <v/>
      </c>
      <c r="AV110">
        <f>IFERROR(SQRT((SUMSQ('Feeders Raw Data'!BJ110:BJ129)-2*SUMPRODUCT('Feeders Raw Data'!BJ110:BJ129,'Feeders Raw Data'!BJ111:BJ130)+SUMSQ('Feeders Raw Data'!BJ111:BJ130)-('Feeders Raw Data'!BJ110-'Feeders Raw Data'!BJ130)^2/20)/19),"")</f>
        <v>0</v>
      </c>
      <c r="AX110">
        <f>IFERROR('Feeders Raw Data'!BS110,"")</f>
        <v>0</v>
      </c>
      <c r="AY110">
        <f>IFERROR('Feeders Raw Data'!BX110,"")</f>
        <v>0</v>
      </c>
      <c r="AZ110">
        <f>IFERROR('Feeders Raw Data'!BZ110-'Feeders Raw Data'!BZ111,"")</f>
        <v>0</v>
      </c>
      <c r="BA110" t="str">
        <f>IFERROR(AVERAGE('Feeders Raw Data'!BZ110:BZ114),"")</f>
        <v/>
      </c>
      <c r="BB110" t="str">
        <f>IFERROR(SUMPRODUCT('Feeders Raw Data'!BT110:BT129,'Feeders Raw Data'!BY110:BY129)/SUM('Feeders Raw Data'!BY110:BY129),"")</f>
        <v/>
      </c>
      <c r="BC110">
        <f>IFERROR(SQRT((SUMSQ('Feeders Raw Data'!BT110:BT129)-2*SUMPRODUCT('Feeders Raw Data'!BT110:BT129,'Feeders Raw Data'!BT111:BT130)+SUMSQ('Feeders Raw Data'!BT111:BT130)-('Feeders Raw Data'!BT110-'Feeders Raw Data'!BT130)^2/20)/19),"")</f>
        <v>0</v>
      </c>
      <c r="BE110">
        <f>IFERROR('Fats Raw Data'!A110,"")</f>
        <v>0</v>
      </c>
      <c r="BF110">
        <f>IFERROR('Fats Raw Data'!F110,"")</f>
        <v>0</v>
      </c>
      <c r="BG110">
        <f>IFERROR('Fats Raw Data'!H110-'Fats Raw Data'!H111,"")</f>
        <v>0</v>
      </c>
      <c r="BH110" t="str">
        <f>IFERROR(AVERAGE('Fats Raw Data'!H110:H114),"")</f>
        <v/>
      </c>
      <c r="BI110" t="str">
        <f>IFERROR(SUMPRODUCT('Fats Raw Data'!B110:B129,'Fats Raw Data'!G110:G129)/SUM('Fats Raw Data'!G110:G129),"")</f>
        <v/>
      </c>
      <c r="BJ110">
        <f>IFERROR(SQRT((SUMSQ('Fats Raw Data'!B110:B129)-2*SUMPRODUCT('Fats Raw Data'!B110:B129,'Fats Raw Data'!B111:B130)+SUMSQ('Fats Raw Data'!B111:B130)-('Fats Raw Data'!B110-'Fats Raw Data'!B130)^2/20)/19),"")</f>
        <v>0</v>
      </c>
      <c r="BL110">
        <f>IFERROR('Fats Raw Data'!K110,"")</f>
        <v>0</v>
      </c>
      <c r="BM110">
        <f>IFERROR('Fats Raw Data'!P110,"")</f>
        <v>0</v>
      </c>
      <c r="BN110">
        <f>IFERROR('Fats Raw Data'!R110-'Fats Raw Data'!R111,"")</f>
        <v>0</v>
      </c>
      <c r="BO110" t="str">
        <f>IFERROR(AVERAGE('Fats Raw Data'!R110:R114),"")</f>
        <v/>
      </c>
      <c r="BP110" t="str">
        <f>IFERROR(SUMPRODUCT('Fats Raw Data'!L110:L129,'Fats Raw Data'!Q110:Q129)/SUM('Fats Raw Data'!Q110:Q129),"")</f>
        <v/>
      </c>
      <c r="BQ110">
        <f>IFERROR(SQRT((SUMSQ('Fats Raw Data'!L110:L129)-2*SUMPRODUCT('Fats Raw Data'!L110:L129,'Fats Raw Data'!L111:L130)+SUMSQ('Fats Raw Data'!L111:L130)-('Fats Raw Data'!L110-'Fats Raw Data'!L130)^2/20)/19),"")</f>
        <v>0</v>
      </c>
      <c r="BS110">
        <f>IFERROR('Fats Raw Data'!U110,"")</f>
        <v>0</v>
      </c>
      <c r="BT110">
        <f>IFERROR('Fats Raw Data'!Z110,"")</f>
        <v>0</v>
      </c>
      <c r="BU110">
        <f>IFERROR('Fats Raw Data'!AB110-'Fats Raw Data'!AB111,"")</f>
        <v>0</v>
      </c>
      <c r="BV110" t="str">
        <f>IFERROR(AVERAGE('Fats Raw Data'!AB110:AB114),"")</f>
        <v/>
      </c>
      <c r="BW110" t="str">
        <f>IFERROR(SUMPRODUCT('Fats Raw Data'!V110:V129,'Fats Raw Data'!AA110:AA129)/SUM('Fats Raw Data'!AA110:AA129),"")</f>
        <v/>
      </c>
      <c r="BX110">
        <f>IFERROR(SQRT((SUMSQ('Fats Raw Data'!V110:V129)-2*SUMPRODUCT('Fats Raw Data'!V110:V129,'Fats Raw Data'!V111:V130)+SUMSQ('Fats Raw Data'!V111:V130)-('Fats Raw Data'!V110-'Fats Raw Data'!V130)^2/20)/19),"")</f>
        <v>0</v>
      </c>
      <c r="BZ110">
        <f>IFERROR('Fats Raw Data'!AE110,"")</f>
        <v>0</v>
      </c>
      <c r="CA110">
        <f>IFERROR('Fats Raw Data'!AJ110,"")</f>
        <v>0</v>
      </c>
      <c r="CB110">
        <f>IFERROR('Fats Raw Data'!AL110-'Fats Raw Data'!AL111,"")</f>
        <v>0</v>
      </c>
      <c r="CC110" t="str">
        <f>IFERROR(AVERAGE('Fats Raw Data'!AL110:AL114),"")</f>
        <v/>
      </c>
      <c r="CD110" t="str">
        <f>IFERROR(SUMPRODUCT('Fats Raw Data'!AF110:AF129,'Fats Raw Data'!AK110:AK129)/SUM('Fats Raw Data'!AK110:AK129),"")</f>
        <v/>
      </c>
      <c r="CE110">
        <f>IFERROR(SQRT((SUMSQ('Fats Raw Data'!AF110:AF129)-2*SUMPRODUCT('Fats Raw Data'!AF110:AF129,'Fats Raw Data'!AF111:AF130)+SUMSQ('Fats Raw Data'!AF111:AF130)-('Fats Raw Data'!AF110-'Fats Raw Data'!AF130)^2/20)/19),"")</f>
        <v>0</v>
      </c>
      <c r="CG110">
        <f>IFERROR('Fats Raw Data'!AO110,"")</f>
        <v>0</v>
      </c>
      <c r="CH110">
        <f>IFERROR('Fats Raw Data'!AT110,"")</f>
        <v>0</v>
      </c>
      <c r="CI110">
        <f>IFERROR('Fats Raw Data'!AV110-'Fats Raw Data'!AV111,"")</f>
        <v>0</v>
      </c>
      <c r="CJ110" t="str">
        <f>IFERROR(AVERAGE('Fats Raw Data'!AV110:AV114),"")</f>
        <v/>
      </c>
      <c r="CK110" t="str">
        <f>IFERROR(SUMPRODUCT('Fats Raw Data'!AP110:AP129,'Fats Raw Data'!AU110:AU129)/SUM('Fats Raw Data'!AU110:AU129),"")</f>
        <v/>
      </c>
      <c r="CL110">
        <f>IFERROR(SQRT((SUMSQ('Fats Raw Data'!AP110:AP129)-2*SUMPRODUCT('Fats Raw Data'!AP110:AP129,'Fats Raw Data'!AP111:AP130)+SUMSQ('Fats Raw Data'!AP111:AP130)-('Fats Raw Data'!AP110-'Fats Raw Data'!AP130)^2/20)/19),"")</f>
        <v>0</v>
      </c>
      <c r="CN110">
        <f>IFERROR('Fats Raw Data'!AY110,"")</f>
        <v>0</v>
      </c>
      <c r="CO110">
        <f>IFERROR('Fats Raw Data'!BD110,"")</f>
        <v>0</v>
      </c>
      <c r="CP110">
        <f>IFERROR('Fats Raw Data'!BF110-'Fats Raw Data'!BF111,"")</f>
        <v>0</v>
      </c>
      <c r="CQ110" t="str">
        <f>IFERROR(AVERAGE('Fats Raw Data'!BF110:BF114),"")</f>
        <v/>
      </c>
      <c r="CR110" t="str">
        <f>IFERROR(SUMPRODUCT('Fats Raw Data'!AZ110:AZ129,'Fats Raw Data'!BE110:BE129)/SUM('Fats Raw Data'!BE110:BE129),"")</f>
        <v/>
      </c>
      <c r="CS110">
        <f>IFERROR(SQRT((SUMSQ('Fats Raw Data'!AZ110:AZ129)-2*SUMPRODUCT('Fats Raw Data'!AZ110:AZ129,'Fats Raw Data'!AZ111:AZ130)+SUMSQ('Fats Raw Data'!AZ111:AZ130)-('Fats Raw Data'!AZ110-'Fats Raw Data'!AZ130)^2/20)/19),"")</f>
        <v>0</v>
      </c>
    </row>
    <row r="111" spans="1:97" x14ac:dyDescent="0.25">
      <c r="A111">
        <f>IFERROR('Feeders Raw Data'!A111,"")</f>
        <v>0</v>
      </c>
      <c r="B111">
        <f>IFERROR('Feeders Raw Data'!F111,"")</f>
        <v>0</v>
      </c>
      <c r="C111">
        <f>IFERROR('Feeders Raw Data'!H111-'Feeders Raw Data'!H112,"")</f>
        <v>0</v>
      </c>
      <c r="D111" t="str">
        <f>IFERROR(AVERAGE('Feeders Raw Data'!H111:H115),"")</f>
        <v/>
      </c>
      <c r="E111" t="str">
        <f>IFERROR(SUMPRODUCT('Feeders Raw Data'!B111:B130,'Feeders Raw Data'!G111:G130)/SUM('Feeders Raw Data'!G111:G130),"")</f>
        <v/>
      </c>
      <c r="F111">
        <f>IFERROR(SQRT((SUMSQ('Feeders Raw Data'!B111:B130)-2*SUMPRODUCT('Feeders Raw Data'!B111:B130,'Feeders Raw Data'!B112:B131)+SUMSQ('Feeders Raw Data'!B112:B131)-('Feeders Raw Data'!B111-'Feeders Raw Data'!B131)^2/20)/19),"")</f>
        <v>0</v>
      </c>
      <c r="H111">
        <f>IFERROR('Feeders Raw Data'!K111,"")</f>
        <v>0</v>
      </c>
      <c r="I111">
        <f>IFERROR('Feeders Raw Data'!P111,"")</f>
        <v>0</v>
      </c>
      <c r="J111">
        <f>IFERROR('Feeders Raw Data'!R111-'Feeders Raw Data'!R112,"")</f>
        <v>0</v>
      </c>
      <c r="K111" t="str">
        <f>IFERROR(AVERAGE('Feeders Raw Data'!R111:R115),"")</f>
        <v/>
      </c>
      <c r="L111" t="str">
        <f>IFERROR(SUMPRODUCT('Feeders Raw Data'!L111:L130,'Feeders Raw Data'!Q111:Q130)/SUM('Feeders Raw Data'!Q111:Q130),"")</f>
        <v/>
      </c>
      <c r="M111">
        <f>IFERROR(SQRT((SUMSQ('Feeders Raw Data'!L111:L130)-2*SUMPRODUCT('Feeders Raw Data'!L111:L130,'Feeders Raw Data'!L112:L131)+SUMSQ('Feeders Raw Data'!L112:L131)-('Feeders Raw Data'!L111-'Feeders Raw Data'!L131)^2/20)/19),"")</f>
        <v>0</v>
      </c>
      <c r="O111">
        <f>IFERROR('Feeders Raw Data'!U111,"")</f>
        <v>0</v>
      </c>
      <c r="P111">
        <f>IFERROR('Feeders Raw Data'!Z111,"")</f>
        <v>0</v>
      </c>
      <c r="Q111">
        <f>IFERROR('Feeders Raw Data'!AB111-'Feeders Raw Data'!AB112,"")</f>
        <v>0</v>
      </c>
      <c r="R111" t="str">
        <f>IFERROR(AVERAGE('Feeders Raw Data'!AB111:AB115),"")</f>
        <v/>
      </c>
      <c r="S111" t="str">
        <f>IFERROR(SUMPRODUCT('Feeders Raw Data'!V111:V130,'Feeders Raw Data'!AA111:AA130)/SUM('Feeders Raw Data'!AA111:AA130),"")</f>
        <v/>
      </c>
      <c r="T111">
        <f>IFERROR(SQRT((SUMSQ('Feeders Raw Data'!V111:V130)-2*SUMPRODUCT('Feeders Raw Data'!V111:V130,'Feeders Raw Data'!V112:V131)+SUMSQ('Feeders Raw Data'!V112:V131)-('Feeders Raw Data'!V111-'Feeders Raw Data'!V131)^2/20)/19),"")</f>
        <v>0</v>
      </c>
      <c r="V111">
        <f>IFERROR('Feeders Raw Data'!AE111,"")</f>
        <v>0</v>
      </c>
      <c r="W111">
        <f>IFERROR('Feeders Raw Data'!AJ111,"")</f>
        <v>0</v>
      </c>
      <c r="X111">
        <f>IFERROR('Feeders Raw Data'!AL111-'Feeders Raw Data'!AL112,"")</f>
        <v>0</v>
      </c>
      <c r="Y111" t="str">
        <f>IFERROR(AVERAGE('Feeders Raw Data'!AL111:AL115),"")</f>
        <v/>
      </c>
      <c r="Z111" t="str">
        <f>IFERROR(SUMPRODUCT('Feeders Raw Data'!AF111:AF130,'Feeders Raw Data'!AK111:AK130)/SUM('Feeders Raw Data'!AK111:AK130),"")</f>
        <v/>
      </c>
      <c r="AA111">
        <f>IFERROR(SQRT((SUMSQ('Feeders Raw Data'!AF111:AF130)-2*SUMPRODUCT('Feeders Raw Data'!AF111:AF130,'Feeders Raw Data'!AF112:AF131)+SUMSQ('Feeders Raw Data'!AF112:AF131)-('Feeders Raw Data'!AF111-'Feeders Raw Data'!AF131)^2/20)/19),"")</f>
        <v>0</v>
      </c>
      <c r="AC111">
        <f>IFERROR('Feeders Raw Data'!AO111,"")</f>
        <v>0</v>
      </c>
      <c r="AD111">
        <f>IFERROR('Feeders Raw Data'!AT111,"")</f>
        <v>0</v>
      </c>
      <c r="AE111">
        <f>IFERROR('Feeders Raw Data'!AV111-'Feeders Raw Data'!AV112,"")</f>
        <v>0</v>
      </c>
      <c r="AF111" t="str">
        <f>IFERROR(AVERAGE('Feeders Raw Data'!AV111:AV115),"")</f>
        <v/>
      </c>
      <c r="AG111" t="str">
        <f>IFERROR(SUMPRODUCT('Feeders Raw Data'!AP111:AP130,'Feeders Raw Data'!AU111:AU130)/SUM('Feeders Raw Data'!AU111:AU130),"")</f>
        <v/>
      </c>
      <c r="AH111">
        <f>IFERROR(SQRT((SUMSQ('Feeders Raw Data'!AP111:AP130)-2*SUMPRODUCT('Feeders Raw Data'!AP111:AP130,'Feeders Raw Data'!AP112:AP131)+SUMSQ('Feeders Raw Data'!AP112:AP131)-('Feeders Raw Data'!AP111-'Feeders Raw Data'!AP131)^2/20)/19),"")</f>
        <v>0</v>
      </c>
      <c r="AJ111">
        <f>IFERROR('Feeders Raw Data'!AY111,"")</f>
        <v>0</v>
      </c>
      <c r="AK111">
        <f>IFERROR('Feeders Raw Data'!BD111,"")</f>
        <v>0</v>
      </c>
      <c r="AL111">
        <f>IFERROR('Feeders Raw Data'!BF111-'Feeders Raw Data'!BF112,"")</f>
        <v>0</v>
      </c>
      <c r="AM111" t="str">
        <f>IFERROR(AVERAGE('Feeders Raw Data'!BF111:BF115),"")</f>
        <v/>
      </c>
      <c r="AN111" t="str">
        <f>IFERROR(SUMPRODUCT('Feeders Raw Data'!AZ111:AZ130,'Feeders Raw Data'!BE111:BE130)/SUM('Feeders Raw Data'!BE111:BE130),"")</f>
        <v/>
      </c>
      <c r="AO111">
        <f>IFERROR(SQRT((SUMSQ('Feeders Raw Data'!AZ111:AZ130)-2*SUMPRODUCT('Feeders Raw Data'!AZ111:AZ130,'Feeders Raw Data'!AZ112:AZ131)+SUMSQ('Feeders Raw Data'!AZ112:AZ131)-('Feeders Raw Data'!AZ111-'Feeders Raw Data'!AZ131)^2/20)/19),"")</f>
        <v>0</v>
      </c>
      <c r="AQ111">
        <f>IFERROR('Feeders Raw Data'!BI111,"")</f>
        <v>0</v>
      </c>
      <c r="AR111">
        <f>IFERROR('Feeders Raw Data'!BN111,"")</f>
        <v>0</v>
      </c>
      <c r="AS111">
        <f>IFERROR('Feeders Raw Data'!BP111-'Feeders Raw Data'!BP112,"")</f>
        <v>0</v>
      </c>
      <c r="AT111" t="str">
        <f>IFERROR(AVERAGE('Feeders Raw Data'!BP111:BP115),"")</f>
        <v/>
      </c>
      <c r="AU111" t="str">
        <f>IFERROR(SUMPRODUCT('Feeders Raw Data'!BJ111:BJ130,'Feeders Raw Data'!BO111:BO130)/SUM('Feeders Raw Data'!BO111:BO130),"")</f>
        <v/>
      </c>
      <c r="AV111">
        <f>IFERROR(SQRT((SUMSQ('Feeders Raw Data'!BJ111:BJ130)-2*SUMPRODUCT('Feeders Raw Data'!BJ111:BJ130,'Feeders Raw Data'!BJ112:BJ131)+SUMSQ('Feeders Raw Data'!BJ112:BJ131)-('Feeders Raw Data'!BJ111-'Feeders Raw Data'!BJ131)^2/20)/19),"")</f>
        <v>0</v>
      </c>
      <c r="AX111">
        <f>IFERROR('Feeders Raw Data'!BS111,"")</f>
        <v>0</v>
      </c>
      <c r="AY111">
        <f>IFERROR('Feeders Raw Data'!BX111,"")</f>
        <v>0</v>
      </c>
      <c r="AZ111">
        <f>IFERROR('Feeders Raw Data'!BZ111-'Feeders Raw Data'!BZ112,"")</f>
        <v>0</v>
      </c>
      <c r="BA111" t="str">
        <f>IFERROR(AVERAGE('Feeders Raw Data'!BZ111:BZ115),"")</f>
        <v/>
      </c>
      <c r="BB111" t="str">
        <f>IFERROR(SUMPRODUCT('Feeders Raw Data'!BT111:BT130,'Feeders Raw Data'!BY111:BY130)/SUM('Feeders Raw Data'!BY111:BY130),"")</f>
        <v/>
      </c>
      <c r="BC111">
        <f>IFERROR(SQRT((SUMSQ('Feeders Raw Data'!BT111:BT130)-2*SUMPRODUCT('Feeders Raw Data'!BT111:BT130,'Feeders Raw Data'!BT112:BT131)+SUMSQ('Feeders Raw Data'!BT112:BT131)-('Feeders Raw Data'!BT111-'Feeders Raw Data'!BT131)^2/20)/19),"")</f>
        <v>0</v>
      </c>
      <c r="BE111">
        <f>IFERROR('Fats Raw Data'!A111,"")</f>
        <v>0</v>
      </c>
      <c r="BF111">
        <f>IFERROR('Fats Raw Data'!F111,"")</f>
        <v>0</v>
      </c>
      <c r="BG111">
        <f>IFERROR('Fats Raw Data'!H111-'Fats Raw Data'!H112,"")</f>
        <v>0</v>
      </c>
      <c r="BH111" t="str">
        <f>IFERROR(AVERAGE('Fats Raw Data'!H111:H115),"")</f>
        <v/>
      </c>
      <c r="BI111" t="str">
        <f>IFERROR(SUMPRODUCT('Fats Raw Data'!B111:B130,'Fats Raw Data'!G111:G130)/SUM('Fats Raw Data'!G111:G130),"")</f>
        <v/>
      </c>
      <c r="BJ111">
        <f>IFERROR(SQRT((SUMSQ('Fats Raw Data'!B111:B130)-2*SUMPRODUCT('Fats Raw Data'!B111:B130,'Fats Raw Data'!B112:B131)+SUMSQ('Fats Raw Data'!B112:B131)-('Fats Raw Data'!B111-'Fats Raw Data'!B131)^2/20)/19),"")</f>
        <v>0</v>
      </c>
      <c r="BL111">
        <f>IFERROR('Fats Raw Data'!K111,"")</f>
        <v>0</v>
      </c>
      <c r="BM111">
        <f>IFERROR('Fats Raw Data'!P111,"")</f>
        <v>0</v>
      </c>
      <c r="BN111">
        <f>IFERROR('Fats Raw Data'!R111-'Fats Raw Data'!R112,"")</f>
        <v>0</v>
      </c>
      <c r="BO111" t="str">
        <f>IFERROR(AVERAGE('Fats Raw Data'!R111:R115),"")</f>
        <v/>
      </c>
      <c r="BP111" t="str">
        <f>IFERROR(SUMPRODUCT('Fats Raw Data'!L111:L130,'Fats Raw Data'!Q111:Q130)/SUM('Fats Raw Data'!Q111:Q130),"")</f>
        <v/>
      </c>
      <c r="BQ111">
        <f>IFERROR(SQRT((SUMSQ('Fats Raw Data'!L111:L130)-2*SUMPRODUCT('Fats Raw Data'!L111:L130,'Fats Raw Data'!L112:L131)+SUMSQ('Fats Raw Data'!L112:L131)-('Fats Raw Data'!L111-'Fats Raw Data'!L131)^2/20)/19),"")</f>
        <v>0</v>
      </c>
      <c r="BS111">
        <f>IFERROR('Fats Raw Data'!U111,"")</f>
        <v>0</v>
      </c>
      <c r="BT111">
        <f>IFERROR('Fats Raw Data'!Z111,"")</f>
        <v>0</v>
      </c>
      <c r="BU111">
        <f>IFERROR('Fats Raw Data'!AB111-'Fats Raw Data'!AB112,"")</f>
        <v>0</v>
      </c>
      <c r="BV111" t="str">
        <f>IFERROR(AVERAGE('Fats Raw Data'!AB111:AB115),"")</f>
        <v/>
      </c>
      <c r="BW111" t="str">
        <f>IFERROR(SUMPRODUCT('Fats Raw Data'!V111:V130,'Fats Raw Data'!AA111:AA130)/SUM('Fats Raw Data'!AA111:AA130),"")</f>
        <v/>
      </c>
      <c r="BX111">
        <f>IFERROR(SQRT((SUMSQ('Fats Raw Data'!V111:V130)-2*SUMPRODUCT('Fats Raw Data'!V111:V130,'Fats Raw Data'!V112:V131)+SUMSQ('Fats Raw Data'!V112:V131)-('Fats Raw Data'!V111-'Fats Raw Data'!V131)^2/20)/19),"")</f>
        <v>0</v>
      </c>
      <c r="BZ111">
        <f>IFERROR('Fats Raw Data'!AE111,"")</f>
        <v>0</v>
      </c>
      <c r="CA111">
        <f>IFERROR('Fats Raw Data'!AJ111,"")</f>
        <v>0</v>
      </c>
      <c r="CB111">
        <f>IFERROR('Fats Raw Data'!AL111-'Fats Raw Data'!AL112,"")</f>
        <v>0</v>
      </c>
      <c r="CC111" t="str">
        <f>IFERROR(AVERAGE('Fats Raw Data'!AL111:AL115),"")</f>
        <v/>
      </c>
      <c r="CD111" t="str">
        <f>IFERROR(SUMPRODUCT('Fats Raw Data'!AF111:AF130,'Fats Raw Data'!AK111:AK130)/SUM('Fats Raw Data'!AK111:AK130),"")</f>
        <v/>
      </c>
      <c r="CE111">
        <f>IFERROR(SQRT((SUMSQ('Fats Raw Data'!AF111:AF130)-2*SUMPRODUCT('Fats Raw Data'!AF111:AF130,'Fats Raw Data'!AF112:AF131)+SUMSQ('Fats Raw Data'!AF112:AF131)-('Fats Raw Data'!AF111-'Fats Raw Data'!AF131)^2/20)/19),"")</f>
        <v>0</v>
      </c>
      <c r="CG111">
        <f>IFERROR('Fats Raw Data'!AO111,"")</f>
        <v>0</v>
      </c>
      <c r="CH111">
        <f>IFERROR('Fats Raw Data'!AT111,"")</f>
        <v>0</v>
      </c>
      <c r="CI111">
        <f>IFERROR('Fats Raw Data'!AV111-'Fats Raw Data'!AV112,"")</f>
        <v>0</v>
      </c>
      <c r="CJ111" t="str">
        <f>IFERROR(AVERAGE('Fats Raw Data'!AV111:AV115),"")</f>
        <v/>
      </c>
      <c r="CK111" t="str">
        <f>IFERROR(SUMPRODUCT('Fats Raw Data'!AP111:AP130,'Fats Raw Data'!AU111:AU130)/SUM('Fats Raw Data'!AU111:AU130),"")</f>
        <v/>
      </c>
      <c r="CL111">
        <f>IFERROR(SQRT((SUMSQ('Fats Raw Data'!AP111:AP130)-2*SUMPRODUCT('Fats Raw Data'!AP111:AP130,'Fats Raw Data'!AP112:AP131)+SUMSQ('Fats Raw Data'!AP112:AP131)-('Fats Raw Data'!AP111-'Fats Raw Data'!AP131)^2/20)/19),"")</f>
        <v>0</v>
      </c>
      <c r="CN111">
        <f>IFERROR('Fats Raw Data'!AY111,"")</f>
        <v>0</v>
      </c>
      <c r="CO111">
        <f>IFERROR('Fats Raw Data'!BD111,"")</f>
        <v>0</v>
      </c>
      <c r="CP111">
        <f>IFERROR('Fats Raw Data'!BF111-'Fats Raw Data'!BF112,"")</f>
        <v>0</v>
      </c>
      <c r="CQ111" t="str">
        <f>IFERROR(AVERAGE('Fats Raw Data'!BF111:BF115),"")</f>
        <v/>
      </c>
      <c r="CR111" t="str">
        <f>IFERROR(SUMPRODUCT('Fats Raw Data'!AZ111:AZ130,'Fats Raw Data'!BE111:BE130)/SUM('Fats Raw Data'!BE111:BE130),"")</f>
        <v/>
      </c>
      <c r="CS111">
        <f>IFERROR(SQRT((SUMSQ('Fats Raw Data'!AZ111:AZ130)-2*SUMPRODUCT('Fats Raw Data'!AZ111:AZ130,'Fats Raw Data'!AZ112:AZ131)+SUMSQ('Fats Raw Data'!AZ112:AZ131)-('Fats Raw Data'!AZ111-'Fats Raw Data'!AZ131)^2/20)/19),"")</f>
        <v>0</v>
      </c>
    </row>
    <row r="112" spans="1:97" x14ac:dyDescent="0.25">
      <c r="A112">
        <f>IFERROR('Feeders Raw Data'!A112,"")</f>
        <v>0</v>
      </c>
      <c r="B112">
        <f>IFERROR('Feeders Raw Data'!F112,"")</f>
        <v>0</v>
      </c>
      <c r="C112">
        <f>IFERROR('Feeders Raw Data'!H112-'Feeders Raw Data'!H113,"")</f>
        <v>0</v>
      </c>
      <c r="D112" t="str">
        <f>IFERROR(AVERAGE('Feeders Raw Data'!H112:H116),"")</f>
        <v/>
      </c>
      <c r="E112" t="str">
        <f>IFERROR(SUMPRODUCT('Feeders Raw Data'!B112:B131,'Feeders Raw Data'!G112:G131)/SUM('Feeders Raw Data'!G112:G131),"")</f>
        <v/>
      </c>
      <c r="F112">
        <f>IFERROR(SQRT((SUMSQ('Feeders Raw Data'!B112:B131)-2*SUMPRODUCT('Feeders Raw Data'!B112:B131,'Feeders Raw Data'!B113:B132)+SUMSQ('Feeders Raw Data'!B113:B132)-('Feeders Raw Data'!B112-'Feeders Raw Data'!B132)^2/20)/19),"")</f>
        <v>0</v>
      </c>
      <c r="H112">
        <f>IFERROR('Feeders Raw Data'!K112,"")</f>
        <v>0</v>
      </c>
      <c r="I112">
        <f>IFERROR('Feeders Raw Data'!P112,"")</f>
        <v>0</v>
      </c>
      <c r="J112">
        <f>IFERROR('Feeders Raw Data'!R112-'Feeders Raw Data'!R113,"")</f>
        <v>0</v>
      </c>
      <c r="K112" t="str">
        <f>IFERROR(AVERAGE('Feeders Raw Data'!R112:R116),"")</f>
        <v/>
      </c>
      <c r="L112" t="str">
        <f>IFERROR(SUMPRODUCT('Feeders Raw Data'!L112:L131,'Feeders Raw Data'!Q112:Q131)/SUM('Feeders Raw Data'!Q112:Q131),"")</f>
        <v/>
      </c>
      <c r="M112">
        <f>IFERROR(SQRT((SUMSQ('Feeders Raw Data'!L112:L131)-2*SUMPRODUCT('Feeders Raw Data'!L112:L131,'Feeders Raw Data'!L113:L132)+SUMSQ('Feeders Raw Data'!L113:L132)-('Feeders Raw Data'!L112-'Feeders Raw Data'!L132)^2/20)/19),"")</f>
        <v>0</v>
      </c>
      <c r="O112">
        <f>IFERROR('Feeders Raw Data'!U112,"")</f>
        <v>0</v>
      </c>
      <c r="P112">
        <f>IFERROR('Feeders Raw Data'!Z112,"")</f>
        <v>0</v>
      </c>
      <c r="Q112">
        <f>IFERROR('Feeders Raw Data'!AB112-'Feeders Raw Data'!AB113,"")</f>
        <v>0</v>
      </c>
      <c r="R112" t="str">
        <f>IFERROR(AVERAGE('Feeders Raw Data'!AB112:AB116),"")</f>
        <v/>
      </c>
      <c r="S112" t="str">
        <f>IFERROR(SUMPRODUCT('Feeders Raw Data'!V112:V131,'Feeders Raw Data'!AA112:AA131)/SUM('Feeders Raw Data'!AA112:AA131),"")</f>
        <v/>
      </c>
      <c r="T112">
        <f>IFERROR(SQRT((SUMSQ('Feeders Raw Data'!V112:V131)-2*SUMPRODUCT('Feeders Raw Data'!V112:V131,'Feeders Raw Data'!V113:V132)+SUMSQ('Feeders Raw Data'!V113:V132)-('Feeders Raw Data'!V112-'Feeders Raw Data'!V132)^2/20)/19),"")</f>
        <v>0</v>
      </c>
      <c r="V112">
        <f>IFERROR('Feeders Raw Data'!AE112,"")</f>
        <v>0</v>
      </c>
      <c r="W112">
        <f>IFERROR('Feeders Raw Data'!AJ112,"")</f>
        <v>0</v>
      </c>
      <c r="X112">
        <f>IFERROR('Feeders Raw Data'!AL112-'Feeders Raw Data'!AL113,"")</f>
        <v>0</v>
      </c>
      <c r="Y112" t="str">
        <f>IFERROR(AVERAGE('Feeders Raw Data'!AL112:AL116),"")</f>
        <v/>
      </c>
      <c r="Z112" t="str">
        <f>IFERROR(SUMPRODUCT('Feeders Raw Data'!AF112:AF131,'Feeders Raw Data'!AK112:AK131)/SUM('Feeders Raw Data'!AK112:AK131),"")</f>
        <v/>
      </c>
      <c r="AA112">
        <f>IFERROR(SQRT((SUMSQ('Feeders Raw Data'!AF112:AF131)-2*SUMPRODUCT('Feeders Raw Data'!AF112:AF131,'Feeders Raw Data'!AF113:AF132)+SUMSQ('Feeders Raw Data'!AF113:AF132)-('Feeders Raw Data'!AF112-'Feeders Raw Data'!AF132)^2/20)/19),"")</f>
        <v>0</v>
      </c>
      <c r="AC112">
        <f>IFERROR('Feeders Raw Data'!AO112,"")</f>
        <v>0</v>
      </c>
      <c r="AD112">
        <f>IFERROR('Feeders Raw Data'!AT112,"")</f>
        <v>0</v>
      </c>
      <c r="AE112">
        <f>IFERROR('Feeders Raw Data'!AV112-'Feeders Raw Data'!AV113,"")</f>
        <v>0</v>
      </c>
      <c r="AF112" t="str">
        <f>IFERROR(AVERAGE('Feeders Raw Data'!AV112:AV116),"")</f>
        <v/>
      </c>
      <c r="AG112" t="str">
        <f>IFERROR(SUMPRODUCT('Feeders Raw Data'!AP112:AP131,'Feeders Raw Data'!AU112:AU131)/SUM('Feeders Raw Data'!AU112:AU131),"")</f>
        <v/>
      </c>
      <c r="AH112">
        <f>IFERROR(SQRT((SUMSQ('Feeders Raw Data'!AP112:AP131)-2*SUMPRODUCT('Feeders Raw Data'!AP112:AP131,'Feeders Raw Data'!AP113:AP132)+SUMSQ('Feeders Raw Data'!AP113:AP132)-('Feeders Raw Data'!AP112-'Feeders Raw Data'!AP132)^2/20)/19),"")</f>
        <v>0</v>
      </c>
      <c r="AJ112">
        <f>IFERROR('Feeders Raw Data'!AY112,"")</f>
        <v>0</v>
      </c>
      <c r="AK112">
        <f>IFERROR('Feeders Raw Data'!BD112,"")</f>
        <v>0</v>
      </c>
      <c r="AL112">
        <f>IFERROR('Feeders Raw Data'!BF112-'Feeders Raw Data'!BF113,"")</f>
        <v>0</v>
      </c>
      <c r="AM112" t="str">
        <f>IFERROR(AVERAGE('Feeders Raw Data'!BF112:BF116),"")</f>
        <v/>
      </c>
      <c r="AN112" t="str">
        <f>IFERROR(SUMPRODUCT('Feeders Raw Data'!AZ112:AZ131,'Feeders Raw Data'!BE112:BE131)/SUM('Feeders Raw Data'!BE112:BE131),"")</f>
        <v/>
      </c>
      <c r="AO112">
        <f>IFERROR(SQRT((SUMSQ('Feeders Raw Data'!AZ112:AZ131)-2*SUMPRODUCT('Feeders Raw Data'!AZ112:AZ131,'Feeders Raw Data'!AZ113:AZ132)+SUMSQ('Feeders Raw Data'!AZ113:AZ132)-('Feeders Raw Data'!AZ112-'Feeders Raw Data'!AZ132)^2/20)/19),"")</f>
        <v>0</v>
      </c>
      <c r="AQ112">
        <f>IFERROR('Feeders Raw Data'!BI112,"")</f>
        <v>0</v>
      </c>
      <c r="AR112">
        <f>IFERROR('Feeders Raw Data'!BN112,"")</f>
        <v>0</v>
      </c>
      <c r="AS112">
        <f>IFERROR('Feeders Raw Data'!BP112-'Feeders Raw Data'!BP113,"")</f>
        <v>0</v>
      </c>
      <c r="AT112" t="str">
        <f>IFERROR(AVERAGE('Feeders Raw Data'!BP112:BP116),"")</f>
        <v/>
      </c>
      <c r="AU112" t="str">
        <f>IFERROR(SUMPRODUCT('Feeders Raw Data'!BJ112:BJ131,'Feeders Raw Data'!BO112:BO131)/SUM('Feeders Raw Data'!BO112:BO131),"")</f>
        <v/>
      </c>
      <c r="AV112">
        <f>IFERROR(SQRT((SUMSQ('Feeders Raw Data'!BJ112:BJ131)-2*SUMPRODUCT('Feeders Raw Data'!BJ112:BJ131,'Feeders Raw Data'!BJ113:BJ132)+SUMSQ('Feeders Raw Data'!BJ113:BJ132)-('Feeders Raw Data'!BJ112-'Feeders Raw Data'!BJ132)^2/20)/19),"")</f>
        <v>0</v>
      </c>
      <c r="AX112">
        <f>IFERROR('Feeders Raw Data'!BS112,"")</f>
        <v>0</v>
      </c>
      <c r="AY112">
        <f>IFERROR('Feeders Raw Data'!BX112,"")</f>
        <v>0</v>
      </c>
      <c r="AZ112">
        <f>IFERROR('Feeders Raw Data'!BZ112-'Feeders Raw Data'!BZ113,"")</f>
        <v>0</v>
      </c>
      <c r="BA112" t="str">
        <f>IFERROR(AVERAGE('Feeders Raw Data'!BZ112:BZ116),"")</f>
        <v/>
      </c>
      <c r="BB112" t="str">
        <f>IFERROR(SUMPRODUCT('Feeders Raw Data'!BT112:BT131,'Feeders Raw Data'!BY112:BY131)/SUM('Feeders Raw Data'!BY112:BY131),"")</f>
        <v/>
      </c>
      <c r="BC112">
        <f>IFERROR(SQRT((SUMSQ('Feeders Raw Data'!BT112:BT131)-2*SUMPRODUCT('Feeders Raw Data'!BT112:BT131,'Feeders Raw Data'!BT113:BT132)+SUMSQ('Feeders Raw Data'!BT113:BT132)-('Feeders Raw Data'!BT112-'Feeders Raw Data'!BT132)^2/20)/19),"")</f>
        <v>0</v>
      </c>
      <c r="BE112">
        <f>IFERROR('Fats Raw Data'!A112,"")</f>
        <v>0</v>
      </c>
      <c r="BF112">
        <f>IFERROR('Fats Raw Data'!F112,"")</f>
        <v>0</v>
      </c>
      <c r="BG112">
        <f>IFERROR('Fats Raw Data'!H112-'Fats Raw Data'!H113,"")</f>
        <v>0</v>
      </c>
      <c r="BH112" t="str">
        <f>IFERROR(AVERAGE('Fats Raw Data'!H112:H116),"")</f>
        <v/>
      </c>
      <c r="BI112" t="str">
        <f>IFERROR(SUMPRODUCT('Fats Raw Data'!B112:B131,'Fats Raw Data'!G112:G131)/SUM('Fats Raw Data'!G112:G131),"")</f>
        <v/>
      </c>
      <c r="BJ112">
        <f>IFERROR(SQRT((SUMSQ('Fats Raw Data'!B112:B131)-2*SUMPRODUCT('Fats Raw Data'!B112:B131,'Fats Raw Data'!B113:B132)+SUMSQ('Fats Raw Data'!B113:B132)-('Fats Raw Data'!B112-'Fats Raw Data'!B132)^2/20)/19),"")</f>
        <v>0</v>
      </c>
      <c r="BL112">
        <f>IFERROR('Fats Raw Data'!K112,"")</f>
        <v>0</v>
      </c>
      <c r="BM112">
        <f>IFERROR('Fats Raw Data'!P112,"")</f>
        <v>0</v>
      </c>
      <c r="BN112">
        <f>IFERROR('Fats Raw Data'!R112-'Fats Raw Data'!R113,"")</f>
        <v>0</v>
      </c>
      <c r="BO112" t="str">
        <f>IFERROR(AVERAGE('Fats Raw Data'!R112:R116),"")</f>
        <v/>
      </c>
      <c r="BP112" t="str">
        <f>IFERROR(SUMPRODUCT('Fats Raw Data'!L112:L131,'Fats Raw Data'!Q112:Q131)/SUM('Fats Raw Data'!Q112:Q131),"")</f>
        <v/>
      </c>
      <c r="BQ112">
        <f>IFERROR(SQRT((SUMSQ('Fats Raw Data'!L112:L131)-2*SUMPRODUCT('Fats Raw Data'!L112:L131,'Fats Raw Data'!L113:L132)+SUMSQ('Fats Raw Data'!L113:L132)-('Fats Raw Data'!L112-'Fats Raw Data'!L132)^2/20)/19),"")</f>
        <v>0</v>
      </c>
      <c r="BS112">
        <f>IFERROR('Fats Raw Data'!U112,"")</f>
        <v>0</v>
      </c>
      <c r="BT112">
        <f>IFERROR('Fats Raw Data'!Z112,"")</f>
        <v>0</v>
      </c>
      <c r="BU112">
        <f>IFERROR('Fats Raw Data'!AB112-'Fats Raw Data'!AB113,"")</f>
        <v>0</v>
      </c>
      <c r="BV112" t="str">
        <f>IFERROR(AVERAGE('Fats Raw Data'!AB112:AB116),"")</f>
        <v/>
      </c>
      <c r="BW112" t="str">
        <f>IFERROR(SUMPRODUCT('Fats Raw Data'!V112:V131,'Fats Raw Data'!AA112:AA131)/SUM('Fats Raw Data'!AA112:AA131),"")</f>
        <v/>
      </c>
      <c r="BX112">
        <f>IFERROR(SQRT((SUMSQ('Fats Raw Data'!V112:V131)-2*SUMPRODUCT('Fats Raw Data'!V112:V131,'Fats Raw Data'!V113:V132)+SUMSQ('Fats Raw Data'!V113:V132)-('Fats Raw Data'!V112-'Fats Raw Data'!V132)^2/20)/19),"")</f>
        <v>0</v>
      </c>
      <c r="BZ112">
        <f>IFERROR('Fats Raw Data'!AE112,"")</f>
        <v>0</v>
      </c>
      <c r="CA112">
        <f>IFERROR('Fats Raw Data'!AJ112,"")</f>
        <v>0</v>
      </c>
      <c r="CB112">
        <f>IFERROR('Fats Raw Data'!AL112-'Fats Raw Data'!AL113,"")</f>
        <v>0</v>
      </c>
      <c r="CC112" t="str">
        <f>IFERROR(AVERAGE('Fats Raw Data'!AL112:AL116),"")</f>
        <v/>
      </c>
      <c r="CD112" t="str">
        <f>IFERROR(SUMPRODUCT('Fats Raw Data'!AF112:AF131,'Fats Raw Data'!AK112:AK131)/SUM('Fats Raw Data'!AK112:AK131),"")</f>
        <v/>
      </c>
      <c r="CE112">
        <f>IFERROR(SQRT((SUMSQ('Fats Raw Data'!AF112:AF131)-2*SUMPRODUCT('Fats Raw Data'!AF112:AF131,'Fats Raw Data'!AF113:AF132)+SUMSQ('Fats Raw Data'!AF113:AF132)-('Fats Raw Data'!AF112-'Fats Raw Data'!AF132)^2/20)/19),"")</f>
        <v>0</v>
      </c>
      <c r="CG112">
        <f>IFERROR('Fats Raw Data'!AO112,"")</f>
        <v>0</v>
      </c>
      <c r="CH112">
        <f>IFERROR('Fats Raw Data'!AT112,"")</f>
        <v>0</v>
      </c>
      <c r="CI112">
        <f>IFERROR('Fats Raw Data'!AV112-'Fats Raw Data'!AV113,"")</f>
        <v>0</v>
      </c>
      <c r="CJ112" t="str">
        <f>IFERROR(AVERAGE('Fats Raw Data'!AV112:AV116),"")</f>
        <v/>
      </c>
      <c r="CK112" t="str">
        <f>IFERROR(SUMPRODUCT('Fats Raw Data'!AP112:AP131,'Fats Raw Data'!AU112:AU131)/SUM('Fats Raw Data'!AU112:AU131),"")</f>
        <v/>
      </c>
      <c r="CL112">
        <f>IFERROR(SQRT((SUMSQ('Fats Raw Data'!AP112:AP131)-2*SUMPRODUCT('Fats Raw Data'!AP112:AP131,'Fats Raw Data'!AP113:AP132)+SUMSQ('Fats Raw Data'!AP113:AP132)-('Fats Raw Data'!AP112-'Fats Raw Data'!AP132)^2/20)/19),"")</f>
        <v>0</v>
      </c>
      <c r="CN112">
        <f>IFERROR('Fats Raw Data'!AY112,"")</f>
        <v>0</v>
      </c>
      <c r="CO112">
        <f>IFERROR('Fats Raw Data'!BD112,"")</f>
        <v>0</v>
      </c>
      <c r="CP112">
        <f>IFERROR('Fats Raw Data'!BF112-'Fats Raw Data'!BF113,"")</f>
        <v>0</v>
      </c>
      <c r="CQ112" t="str">
        <f>IFERROR(AVERAGE('Fats Raw Data'!BF112:BF116),"")</f>
        <v/>
      </c>
      <c r="CR112" t="str">
        <f>IFERROR(SUMPRODUCT('Fats Raw Data'!AZ112:AZ131,'Fats Raw Data'!BE112:BE131)/SUM('Fats Raw Data'!BE112:BE131),"")</f>
        <v/>
      </c>
      <c r="CS112">
        <f>IFERROR(SQRT((SUMSQ('Fats Raw Data'!AZ112:AZ131)-2*SUMPRODUCT('Fats Raw Data'!AZ112:AZ131,'Fats Raw Data'!AZ113:AZ132)+SUMSQ('Fats Raw Data'!AZ113:AZ132)-('Fats Raw Data'!AZ112-'Fats Raw Data'!AZ132)^2/20)/19),"")</f>
        <v>0</v>
      </c>
    </row>
    <row r="113" spans="1:97" x14ac:dyDescent="0.25">
      <c r="A113">
        <f>IFERROR('Feeders Raw Data'!A113,"")</f>
        <v>0</v>
      </c>
      <c r="B113">
        <f>IFERROR('Feeders Raw Data'!F113,"")</f>
        <v>0</v>
      </c>
      <c r="C113">
        <f>IFERROR('Feeders Raw Data'!H113-'Feeders Raw Data'!H114,"")</f>
        <v>0</v>
      </c>
      <c r="D113" t="str">
        <f>IFERROR(AVERAGE('Feeders Raw Data'!H113:H117),"")</f>
        <v/>
      </c>
      <c r="E113" t="str">
        <f>IFERROR(SUMPRODUCT('Feeders Raw Data'!B113:B132,'Feeders Raw Data'!G113:G132)/SUM('Feeders Raw Data'!G113:G132),"")</f>
        <v/>
      </c>
      <c r="F113">
        <f>IFERROR(SQRT((SUMSQ('Feeders Raw Data'!B113:B132)-2*SUMPRODUCT('Feeders Raw Data'!B113:B132,'Feeders Raw Data'!B114:B133)+SUMSQ('Feeders Raw Data'!B114:B133)-('Feeders Raw Data'!B113-'Feeders Raw Data'!B133)^2/20)/19),"")</f>
        <v>0</v>
      </c>
      <c r="H113">
        <f>IFERROR('Feeders Raw Data'!K113,"")</f>
        <v>0</v>
      </c>
      <c r="I113">
        <f>IFERROR('Feeders Raw Data'!P113,"")</f>
        <v>0</v>
      </c>
      <c r="J113">
        <f>IFERROR('Feeders Raw Data'!R113-'Feeders Raw Data'!R114,"")</f>
        <v>0</v>
      </c>
      <c r="K113" t="str">
        <f>IFERROR(AVERAGE('Feeders Raw Data'!R113:R117),"")</f>
        <v/>
      </c>
      <c r="L113" t="str">
        <f>IFERROR(SUMPRODUCT('Feeders Raw Data'!L113:L132,'Feeders Raw Data'!Q113:Q132)/SUM('Feeders Raw Data'!Q113:Q132),"")</f>
        <v/>
      </c>
      <c r="M113">
        <f>IFERROR(SQRT((SUMSQ('Feeders Raw Data'!L113:L132)-2*SUMPRODUCT('Feeders Raw Data'!L113:L132,'Feeders Raw Data'!L114:L133)+SUMSQ('Feeders Raw Data'!L114:L133)-('Feeders Raw Data'!L113-'Feeders Raw Data'!L133)^2/20)/19),"")</f>
        <v>0</v>
      </c>
      <c r="O113">
        <f>IFERROR('Feeders Raw Data'!U113,"")</f>
        <v>0</v>
      </c>
      <c r="P113">
        <f>IFERROR('Feeders Raw Data'!Z113,"")</f>
        <v>0</v>
      </c>
      <c r="Q113">
        <f>IFERROR('Feeders Raw Data'!AB113-'Feeders Raw Data'!AB114,"")</f>
        <v>0</v>
      </c>
      <c r="R113" t="str">
        <f>IFERROR(AVERAGE('Feeders Raw Data'!AB113:AB117),"")</f>
        <v/>
      </c>
      <c r="S113" t="str">
        <f>IFERROR(SUMPRODUCT('Feeders Raw Data'!V113:V132,'Feeders Raw Data'!AA113:AA132)/SUM('Feeders Raw Data'!AA113:AA132),"")</f>
        <v/>
      </c>
      <c r="T113">
        <f>IFERROR(SQRT((SUMSQ('Feeders Raw Data'!V113:V132)-2*SUMPRODUCT('Feeders Raw Data'!V113:V132,'Feeders Raw Data'!V114:V133)+SUMSQ('Feeders Raw Data'!V114:V133)-('Feeders Raw Data'!V113-'Feeders Raw Data'!V133)^2/20)/19),"")</f>
        <v>0</v>
      </c>
      <c r="V113">
        <f>IFERROR('Feeders Raw Data'!AE113,"")</f>
        <v>0</v>
      </c>
      <c r="W113">
        <f>IFERROR('Feeders Raw Data'!AJ113,"")</f>
        <v>0</v>
      </c>
      <c r="X113">
        <f>IFERROR('Feeders Raw Data'!AL113-'Feeders Raw Data'!AL114,"")</f>
        <v>0</v>
      </c>
      <c r="Y113" t="str">
        <f>IFERROR(AVERAGE('Feeders Raw Data'!AL113:AL117),"")</f>
        <v/>
      </c>
      <c r="Z113" t="str">
        <f>IFERROR(SUMPRODUCT('Feeders Raw Data'!AF113:AF132,'Feeders Raw Data'!AK113:AK132)/SUM('Feeders Raw Data'!AK113:AK132),"")</f>
        <v/>
      </c>
      <c r="AA113">
        <f>IFERROR(SQRT((SUMSQ('Feeders Raw Data'!AF113:AF132)-2*SUMPRODUCT('Feeders Raw Data'!AF113:AF132,'Feeders Raw Data'!AF114:AF133)+SUMSQ('Feeders Raw Data'!AF114:AF133)-('Feeders Raw Data'!AF113-'Feeders Raw Data'!AF133)^2/20)/19),"")</f>
        <v>0</v>
      </c>
      <c r="AC113">
        <f>IFERROR('Feeders Raw Data'!AO113,"")</f>
        <v>0</v>
      </c>
      <c r="AD113">
        <f>IFERROR('Feeders Raw Data'!AT113,"")</f>
        <v>0</v>
      </c>
      <c r="AE113">
        <f>IFERROR('Feeders Raw Data'!AV113-'Feeders Raw Data'!AV114,"")</f>
        <v>0</v>
      </c>
      <c r="AF113" t="str">
        <f>IFERROR(AVERAGE('Feeders Raw Data'!AV113:AV117),"")</f>
        <v/>
      </c>
      <c r="AG113" t="str">
        <f>IFERROR(SUMPRODUCT('Feeders Raw Data'!AP113:AP132,'Feeders Raw Data'!AU113:AU132)/SUM('Feeders Raw Data'!AU113:AU132),"")</f>
        <v/>
      </c>
      <c r="AH113">
        <f>IFERROR(SQRT((SUMSQ('Feeders Raw Data'!AP113:AP132)-2*SUMPRODUCT('Feeders Raw Data'!AP113:AP132,'Feeders Raw Data'!AP114:AP133)+SUMSQ('Feeders Raw Data'!AP114:AP133)-('Feeders Raw Data'!AP113-'Feeders Raw Data'!AP133)^2/20)/19),"")</f>
        <v>0</v>
      </c>
      <c r="AJ113">
        <f>IFERROR('Feeders Raw Data'!AY113,"")</f>
        <v>0</v>
      </c>
      <c r="AK113">
        <f>IFERROR('Feeders Raw Data'!BD113,"")</f>
        <v>0</v>
      </c>
      <c r="AL113">
        <f>IFERROR('Feeders Raw Data'!BF113-'Feeders Raw Data'!BF114,"")</f>
        <v>0</v>
      </c>
      <c r="AM113" t="str">
        <f>IFERROR(AVERAGE('Feeders Raw Data'!BF113:BF117),"")</f>
        <v/>
      </c>
      <c r="AN113" t="str">
        <f>IFERROR(SUMPRODUCT('Feeders Raw Data'!AZ113:AZ132,'Feeders Raw Data'!BE113:BE132)/SUM('Feeders Raw Data'!BE113:BE132),"")</f>
        <v/>
      </c>
      <c r="AO113">
        <f>IFERROR(SQRT((SUMSQ('Feeders Raw Data'!AZ113:AZ132)-2*SUMPRODUCT('Feeders Raw Data'!AZ113:AZ132,'Feeders Raw Data'!AZ114:AZ133)+SUMSQ('Feeders Raw Data'!AZ114:AZ133)-('Feeders Raw Data'!AZ113-'Feeders Raw Data'!AZ133)^2/20)/19),"")</f>
        <v>0</v>
      </c>
      <c r="AQ113">
        <f>IFERROR('Feeders Raw Data'!BI113,"")</f>
        <v>0</v>
      </c>
      <c r="AR113">
        <f>IFERROR('Feeders Raw Data'!BN113,"")</f>
        <v>0</v>
      </c>
      <c r="AS113">
        <f>IFERROR('Feeders Raw Data'!BP113-'Feeders Raw Data'!BP114,"")</f>
        <v>0</v>
      </c>
      <c r="AT113" t="str">
        <f>IFERROR(AVERAGE('Feeders Raw Data'!BP113:BP117),"")</f>
        <v/>
      </c>
      <c r="AU113" t="str">
        <f>IFERROR(SUMPRODUCT('Feeders Raw Data'!BJ113:BJ132,'Feeders Raw Data'!BO113:BO132)/SUM('Feeders Raw Data'!BO113:BO132),"")</f>
        <v/>
      </c>
      <c r="AV113">
        <f>IFERROR(SQRT((SUMSQ('Feeders Raw Data'!BJ113:BJ132)-2*SUMPRODUCT('Feeders Raw Data'!BJ113:BJ132,'Feeders Raw Data'!BJ114:BJ133)+SUMSQ('Feeders Raw Data'!BJ114:BJ133)-('Feeders Raw Data'!BJ113-'Feeders Raw Data'!BJ133)^2/20)/19),"")</f>
        <v>0</v>
      </c>
      <c r="AX113">
        <f>IFERROR('Feeders Raw Data'!BS113,"")</f>
        <v>0</v>
      </c>
      <c r="AY113">
        <f>IFERROR('Feeders Raw Data'!BX113,"")</f>
        <v>0</v>
      </c>
      <c r="AZ113">
        <f>IFERROR('Feeders Raw Data'!BZ113-'Feeders Raw Data'!BZ114,"")</f>
        <v>0</v>
      </c>
      <c r="BA113" t="str">
        <f>IFERROR(AVERAGE('Feeders Raw Data'!BZ113:BZ117),"")</f>
        <v/>
      </c>
      <c r="BB113" t="str">
        <f>IFERROR(SUMPRODUCT('Feeders Raw Data'!BT113:BT132,'Feeders Raw Data'!BY113:BY132)/SUM('Feeders Raw Data'!BY113:BY132),"")</f>
        <v/>
      </c>
      <c r="BC113">
        <f>IFERROR(SQRT((SUMSQ('Feeders Raw Data'!BT113:BT132)-2*SUMPRODUCT('Feeders Raw Data'!BT113:BT132,'Feeders Raw Data'!BT114:BT133)+SUMSQ('Feeders Raw Data'!BT114:BT133)-('Feeders Raw Data'!BT113-'Feeders Raw Data'!BT133)^2/20)/19),"")</f>
        <v>0</v>
      </c>
      <c r="BE113">
        <f>IFERROR('Fats Raw Data'!A113,"")</f>
        <v>0</v>
      </c>
      <c r="BF113">
        <f>IFERROR('Fats Raw Data'!F113,"")</f>
        <v>0</v>
      </c>
      <c r="BG113">
        <f>IFERROR('Fats Raw Data'!H113-'Fats Raw Data'!H114,"")</f>
        <v>0</v>
      </c>
      <c r="BH113" t="str">
        <f>IFERROR(AVERAGE('Fats Raw Data'!H113:H117),"")</f>
        <v/>
      </c>
      <c r="BI113" t="str">
        <f>IFERROR(SUMPRODUCT('Fats Raw Data'!B113:B132,'Fats Raw Data'!G113:G132)/SUM('Fats Raw Data'!G113:G132),"")</f>
        <v/>
      </c>
      <c r="BJ113">
        <f>IFERROR(SQRT((SUMSQ('Fats Raw Data'!B113:B132)-2*SUMPRODUCT('Fats Raw Data'!B113:B132,'Fats Raw Data'!B114:B133)+SUMSQ('Fats Raw Data'!B114:B133)-('Fats Raw Data'!B113-'Fats Raw Data'!B133)^2/20)/19),"")</f>
        <v>0</v>
      </c>
      <c r="BL113">
        <f>IFERROR('Fats Raw Data'!K113,"")</f>
        <v>0</v>
      </c>
      <c r="BM113">
        <f>IFERROR('Fats Raw Data'!P113,"")</f>
        <v>0</v>
      </c>
      <c r="BN113">
        <f>IFERROR('Fats Raw Data'!R113-'Fats Raw Data'!R114,"")</f>
        <v>0</v>
      </c>
      <c r="BO113" t="str">
        <f>IFERROR(AVERAGE('Fats Raw Data'!R113:R117),"")</f>
        <v/>
      </c>
      <c r="BP113" t="str">
        <f>IFERROR(SUMPRODUCT('Fats Raw Data'!L113:L132,'Fats Raw Data'!Q113:Q132)/SUM('Fats Raw Data'!Q113:Q132),"")</f>
        <v/>
      </c>
      <c r="BQ113">
        <f>IFERROR(SQRT((SUMSQ('Fats Raw Data'!L113:L132)-2*SUMPRODUCT('Fats Raw Data'!L113:L132,'Fats Raw Data'!L114:L133)+SUMSQ('Fats Raw Data'!L114:L133)-('Fats Raw Data'!L113-'Fats Raw Data'!L133)^2/20)/19),"")</f>
        <v>0</v>
      </c>
      <c r="BS113">
        <f>IFERROR('Fats Raw Data'!U113,"")</f>
        <v>0</v>
      </c>
      <c r="BT113">
        <f>IFERROR('Fats Raw Data'!Z113,"")</f>
        <v>0</v>
      </c>
      <c r="BU113">
        <f>IFERROR('Fats Raw Data'!AB113-'Fats Raw Data'!AB114,"")</f>
        <v>0</v>
      </c>
      <c r="BV113" t="str">
        <f>IFERROR(AVERAGE('Fats Raw Data'!AB113:AB117),"")</f>
        <v/>
      </c>
      <c r="BW113" t="str">
        <f>IFERROR(SUMPRODUCT('Fats Raw Data'!V113:V132,'Fats Raw Data'!AA113:AA132)/SUM('Fats Raw Data'!AA113:AA132),"")</f>
        <v/>
      </c>
      <c r="BX113">
        <f>IFERROR(SQRT((SUMSQ('Fats Raw Data'!V113:V132)-2*SUMPRODUCT('Fats Raw Data'!V113:V132,'Fats Raw Data'!V114:V133)+SUMSQ('Fats Raw Data'!V114:V133)-('Fats Raw Data'!V113-'Fats Raw Data'!V133)^2/20)/19),"")</f>
        <v>0</v>
      </c>
      <c r="BZ113">
        <f>IFERROR('Fats Raw Data'!AE113,"")</f>
        <v>0</v>
      </c>
      <c r="CA113">
        <f>IFERROR('Fats Raw Data'!AJ113,"")</f>
        <v>0</v>
      </c>
      <c r="CB113">
        <f>IFERROR('Fats Raw Data'!AL113-'Fats Raw Data'!AL114,"")</f>
        <v>0</v>
      </c>
      <c r="CC113" t="str">
        <f>IFERROR(AVERAGE('Fats Raw Data'!AL113:AL117),"")</f>
        <v/>
      </c>
      <c r="CD113" t="str">
        <f>IFERROR(SUMPRODUCT('Fats Raw Data'!AF113:AF132,'Fats Raw Data'!AK113:AK132)/SUM('Fats Raw Data'!AK113:AK132),"")</f>
        <v/>
      </c>
      <c r="CE113">
        <f>IFERROR(SQRT((SUMSQ('Fats Raw Data'!AF113:AF132)-2*SUMPRODUCT('Fats Raw Data'!AF113:AF132,'Fats Raw Data'!AF114:AF133)+SUMSQ('Fats Raw Data'!AF114:AF133)-('Fats Raw Data'!AF113-'Fats Raw Data'!AF133)^2/20)/19),"")</f>
        <v>0</v>
      </c>
      <c r="CG113">
        <f>IFERROR('Fats Raw Data'!AO113,"")</f>
        <v>0</v>
      </c>
      <c r="CH113">
        <f>IFERROR('Fats Raw Data'!AT113,"")</f>
        <v>0</v>
      </c>
      <c r="CI113">
        <f>IFERROR('Fats Raw Data'!AV113-'Fats Raw Data'!AV114,"")</f>
        <v>0</v>
      </c>
      <c r="CJ113" t="str">
        <f>IFERROR(AVERAGE('Fats Raw Data'!AV113:AV117),"")</f>
        <v/>
      </c>
      <c r="CK113" t="str">
        <f>IFERROR(SUMPRODUCT('Fats Raw Data'!AP113:AP132,'Fats Raw Data'!AU113:AU132)/SUM('Fats Raw Data'!AU113:AU132),"")</f>
        <v/>
      </c>
      <c r="CL113">
        <f>IFERROR(SQRT((SUMSQ('Fats Raw Data'!AP113:AP132)-2*SUMPRODUCT('Fats Raw Data'!AP113:AP132,'Fats Raw Data'!AP114:AP133)+SUMSQ('Fats Raw Data'!AP114:AP133)-('Fats Raw Data'!AP113-'Fats Raw Data'!AP133)^2/20)/19),"")</f>
        <v>0</v>
      </c>
      <c r="CN113">
        <f>IFERROR('Fats Raw Data'!AY113,"")</f>
        <v>0</v>
      </c>
      <c r="CO113">
        <f>IFERROR('Fats Raw Data'!BD113,"")</f>
        <v>0</v>
      </c>
      <c r="CP113">
        <f>IFERROR('Fats Raw Data'!BF113-'Fats Raw Data'!BF114,"")</f>
        <v>0</v>
      </c>
      <c r="CQ113" t="str">
        <f>IFERROR(AVERAGE('Fats Raw Data'!BF113:BF117),"")</f>
        <v/>
      </c>
      <c r="CR113" t="str">
        <f>IFERROR(SUMPRODUCT('Fats Raw Data'!AZ113:AZ132,'Fats Raw Data'!BE113:BE132)/SUM('Fats Raw Data'!BE113:BE132),"")</f>
        <v/>
      </c>
      <c r="CS113">
        <f>IFERROR(SQRT((SUMSQ('Fats Raw Data'!AZ113:AZ132)-2*SUMPRODUCT('Fats Raw Data'!AZ113:AZ132,'Fats Raw Data'!AZ114:AZ133)+SUMSQ('Fats Raw Data'!AZ114:AZ133)-('Fats Raw Data'!AZ113-'Fats Raw Data'!AZ133)^2/20)/19),"")</f>
        <v>0</v>
      </c>
    </row>
    <row r="114" spans="1:97" x14ac:dyDescent="0.25">
      <c r="A114">
        <f>IFERROR('Feeders Raw Data'!A114,"")</f>
        <v>0</v>
      </c>
      <c r="B114">
        <f>IFERROR('Feeders Raw Data'!F114,"")</f>
        <v>0</v>
      </c>
      <c r="C114">
        <f>IFERROR('Feeders Raw Data'!H114-'Feeders Raw Data'!H115,"")</f>
        <v>0</v>
      </c>
      <c r="D114" t="str">
        <f>IFERROR(AVERAGE('Feeders Raw Data'!H114:H118),"")</f>
        <v/>
      </c>
      <c r="E114" t="str">
        <f>IFERROR(SUMPRODUCT('Feeders Raw Data'!B114:B133,'Feeders Raw Data'!G114:G133)/SUM('Feeders Raw Data'!G114:G133),"")</f>
        <v/>
      </c>
      <c r="F114">
        <f>IFERROR(SQRT((SUMSQ('Feeders Raw Data'!B114:B133)-2*SUMPRODUCT('Feeders Raw Data'!B114:B133,'Feeders Raw Data'!B115:B134)+SUMSQ('Feeders Raw Data'!B115:B134)-('Feeders Raw Data'!B114-'Feeders Raw Data'!B134)^2/20)/19),"")</f>
        <v>0</v>
      </c>
      <c r="H114">
        <f>IFERROR('Feeders Raw Data'!K114,"")</f>
        <v>0</v>
      </c>
      <c r="I114">
        <f>IFERROR('Feeders Raw Data'!P114,"")</f>
        <v>0</v>
      </c>
      <c r="J114">
        <f>IFERROR('Feeders Raw Data'!R114-'Feeders Raw Data'!R115,"")</f>
        <v>0</v>
      </c>
      <c r="K114" t="str">
        <f>IFERROR(AVERAGE('Feeders Raw Data'!R114:R118),"")</f>
        <v/>
      </c>
      <c r="L114" t="str">
        <f>IFERROR(SUMPRODUCT('Feeders Raw Data'!L114:L133,'Feeders Raw Data'!Q114:Q133)/SUM('Feeders Raw Data'!Q114:Q133),"")</f>
        <v/>
      </c>
      <c r="M114">
        <f>IFERROR(SQRT((SUMSQ('Feeders Raw Data'!L114:L133)-2*SUMPRODUCT('Feeders Raw Data'!L114:L133,'Feeders Raw Data'!L115:L134)+SUMSQ('Feeders Raw Data'!L115:L134)-('Feeders Raw Data'!L114-'Feeders Raw Data'!L134)^2/20)/19),"")</f>
        <v>0</v>
      </c>
      <c r="O114">
        <f>IFERROR('Feeders Raw Data'!U114,"")</f>
        <v>0</v>
      </c>
      <c r="P114">
        <f>IFERROR('Feeders Raw Data'!Z114,"")</f>
        <v>0</v>
      </c>
      <c r="Q114">
        <f>IFERROR('Feeders Raw Data'!AB114-'Feeders Raw Data'!AB115,"")</f>
        <v>0</v>
      </c>
      <c r="R114" t="str">
        <f>IFERROR(AVERAGE('Feeders Raw Data'!AB114:AB118),"")</f>
        <v/>
      </c>
      <c r="S114" t="str">
        <f>IFERROR(SUMPRODUCT('Feeders Raw Data'!V114:V133,'Feeders Raw Data'!AA114:AA133)/SUM('Feeders Raw Data'!AA114:AA133),"")</f>
        <v/>
      </c>
      <c r="T114">
        <f>IFERROR(SQRT((SUMSQ('Feeders Raw Data'!V114:V133)-2*SUMPRODUCT('Feeders Raw Data'!V114:V133,'Feeders Raw Data'!V115:V134)+SUMSQ('Feeders Raw Data'!V115:V134)-('Feeders Raw Data'!V114-'Feeders Raw Data'!V134)^2/20)/19),"")</f>
        <v>0</v>
      </c>
      <c r="V114">
        <f>IFERROR('Feeders Raw Data'!AE114,"")</f>
        <v>0</v>
      </c>
      <c r="W114">
        <f>IFERROR('Feeders Raw Data'!AJ114,"")</f>
        <v>0</v>
      </c>
      <c r="X114">
        <f>IFERROR('Feeders Raw Data'!AL114-'Feeders Raw Data'!AL115,"")</f>
        <v>0</v>
      </c>
      <c r="Y114" t="str">
        <f>IFERROR(AVERAGE('Feeders Raw Data'!AL114:AL118),"")</f>
        <v/>
      </c>
      <c r="Z114" t="str">
        <f>IFERROR(SUMPRODUCT('Feeders Raw Data'!AF114:AF133,'Feeders Raw Data'!AK114:AK133)/SUM('Feeders Raw Data'!AK114:AK133),"")</f>
        <v/>
      </c>
      <c r="AA114">
        <f>IFERROR(SQRT((SUMSQ('Feeders Raw Data'!AF114:AF133)-2*SUMPRODUCT('Feeders Raw Data'!AF114:AF133,'Feeders Raw Data'!AF115:AF134)+SUMSQ('Feeders Raw Data'!AF115:AF134)-('Feeders Raw Data'!AF114-'Feeders Raw Data'!AF134)^2/20)/19),"")</f>
        <v>0</v>
      </c>
      <c r="AC114">
        <f>IFERROR('Feeders Raw Data'!AO114,"")</f>
        <v>0</v>
      </c>
      <c r="AD114">
        <f>IFERROR('Feeders Raw Data'!AT114,"")</f>
        <v>0</v>
      </c>
      <c r="AE114">
        <f>IFERROR('Feeders Raw Data'!AV114-'Feeders Raw Data'!AV115,"")</f>
        <v>0</v>
      </c>
      <c r="AF114" t="str">
        <f>IFERROR(AVERAGE('Feeders Raw Data'!AV114:AV118),"")</f>
        <v/>
      </c>
      <c r="AG114" t="str">
        <f>IFERROR(SUMPRODUCT('Feeders Raw Data'!AP114:AP133,'Feeders Raw Data'!AU114:AU133)/SUM('Feeders Raw Data'!AU114:AU133),"")</f>
        <v/>
      </c>
      <c r="AH114">
        <f>IFERROR(SQRT((SUMSQ('Feeders Raw Data'!AP114:AP133)-2*SUMPRODUCT('Feeders Raw Data'!AP114:AP133,'Feeders Raw Data'!AP115:AP134)+SUMSQ('Feeders Raw Data'!AP115:AP134)-('Feeders Raw Data'!AP114-'Feeders Raw Data'!AP134)^2/20)/19),"")</f>
        <v>0</v>
      </c>
      <c r="AJ114">
        <f>IFERROR('Feeders Raw Data'!AY114,"")</f>
        <v>0</v>
      </c>
      <c r="AK114">
        <f>IFERROR('Feeders Raw Data'!BD114,"")</f>
        <v>0</v>
      </c>
      <c r="AL114">
        <f>IFERROR('Feeders Raw Data'!BF114-'Feeders Raw Data'!BF115,"")</f>
        <v>0</v>
      </c>
      <c r="AM114" t="str">
        <f>IFERROR(AVERAGE('Feeders Raw Data'!BF114:BF118),"")</f>
        <v/>
      </c>
      <c r="AN114" t="str">
        <f>IFERROR(SUMPRODUCT('Feeders Raw Data'!AZ114:AZ133,'Feeders Raw Data'!BE114:BE133)/SUM('Feeders Raw Data'!BE114:BE133),"")</f>
        <v/>
      </c>
      <c r="AO114">
        <f>IFERROR(SQRT((SUMSQ('Feeders Raw Data'!AZ114:AZ133)-2*SUMPRODUCT('Feeders Raw Data'!AZ114:AZ133,'Feeders Raw Data'!AZ115:AZ134)+SUMSQ('Feeders Raw Data'!AZ115:AZ134)-('Feeders Raw Data'!AZ114-'Feeders Raw Data'!AZ134)^2/20)/19),"")</f>
        <v>0</v>
      </c>
      <c r="AQ114">
        <f>IFERROR('Feeders Raw Data'!BI114,"")</f>
        <v>0</v>
      </c>
      <c r="AR114">
        <f>IFERROR('Feeders Raw Data'!BN114,"")</f>
        <v>0</v>
      </c>
      <c r="AS114">
        <f>IFERROR('Feeders Raw Data'!BP114-'Feeders Raw Data'!BP115,"")</f>
        <v>0</v>
      </c>
      <c r="AT114" t="str">
        <f>IFERROR(AVERAGE('Feeders Raw Data'!BP114:BP118),"")</f>
        <v/>
      </c>
      <c r="AU114" t="str">
        <f>IFERROR(SUMPRODUCT('Feeders Raw Data'!BJ114:BJ133,'Feeders Raw Data'!BO114:BO133)/SUM('Feeders Raw Data'!BO114:BO133),"")</f>
        <v/>
      </c>
      <c r="AV114">
        <f>IFERROR(SQRT((SUMSQ('Feeders Raw Data'!BJ114:BJ133)-2*SUMPRODUCT('Feeders Raw Data'!BJ114:BJ133,'Feeders Raw Data'!BJ115:BJ134)+SUMSQ('Feeders Raw Data'!BJ115:BJ134)-('Feeders Raw Data'!BJ114-'Feeders Raw Data'!BJ134)^2/20)/19),"")</f>
        <v>0</v>
      </c>
      <c r="AX114">
        <f>IFERROR('Feeders Raw Data'!BS114,"")</f>
        <v>0</v>
      </c>
      <c r="AY114">
        <f>IFERROR('Feeders Raw Data'!BX114,"")</f>
        <v>0</v>
      </c>
      <c r="AZ114">
        <f>IFERROR('Feeders Raw Data'!BZ114-'Feeders Raw Data'!BZ115,"")</f>
        <v>0</v>
      </c>
      <c r="BA114" t="str">
        <f>IFERROR(AVERAGE('Feeders Raw Data'!BZ114:BZ118),"")</f>
        <v/>
      </c>
      <c r="BB114" t="str">
        <f>IFERROR(SUMPRODUCT('Feeders Raw Data'!BT114:BT133,'Feeders Raw Data'!BY114:BY133)/SUM('Feeders Raw Data'!BY114:BY133),"")</f>
        <v/>
      </c>
      <c r="BC114">
        <f>IFERROR(SQRT((SUMSQ('Feeders Raw Data'!BT114:BT133)-2*SUMPRODUCT('Feeders Raw Data'!BT114:BT133,'Feeders Raw Data'!BT115:BT134)+SUMSQ('Feeders Raw Data'!BT115:BT134)-('Feeders Raw Data'!BT114-'Feeders Raw Data'!BT134)^2/20)/19),"")</f>
        <v>0</v>
      </c>
      <c r="BE114">
        <f>IFERROR('Fats Raw Data'!A114,"")</f>
        <v>0</v>
      </c>
      <c r="BF114">
        <f>IFERROR('Fats Raw Data'!F114,"")</f>
        <v>0</v>
      </c>
      <c r="BG114">
        <f>IFERROR('Fats Raw Data'!H114-'Fats Raw Data'!H115,"")</f>
        <v>0</v>
      </c>
      <c r="BH114" t="str">
        <f>IFERROR(AVERAGE('Fats Raw Data'!H114:H118),"")</f>
        <v/>
      </c>
      <c r="BI114" t="str">
        <f>IFERROR(SUMPRODUCT('Fats Raw Data'!B114:B133,'Fats Raw Data'!G114:G133)/SUM('Fats Raw Data'!G114:G133),"")</f>
        <v/>
      </c>
      <c r="BJ114">
        <f>IFERROR(SQRT((SUMSQ('Fats Raw Data'!B114:B133)-2*SUMPRODUCT('Fats Raw Data'!B114:B133,'Fats Raw Data'!B115:B134)+SUMSQ('Fats Raw Data'!B115:B134)-('Fats Raw Data'!B114-'Fats Raw Data'!B134)^2/20)/19),"")</f>
        <v>0</v>
      </c>
      <c r="BL114">
        <f>IFERROR('Fats Raw Data'!K114,"")</f>
        <v>0</v>
      </c>
      <c r="BM114">
        <f>IFERROR('Fats Raw Data'!P114,"")</f>
        <v>0</v>
      </c>
      <c r="BN114">
        <f>IFERROR('Fats Raw Data'!R114-'Fats Raw Data'!R115,"")</f>
        <v>0</v>
      </c>
      <c r="BO114" t="str">
        <f>IFERROR(AVERAGE('Fats Raw Data'!R114:R118),"")</f>
        <v/>
      </c>
      <c r="BP114" t="str">
        <f>IFERROR(SUMPRODUCT('Fats Raw Data'!L114:L133,'Fats Raw Data'!Q114:Q133)/SUM('Fats Raw Data'!Q114:Q133),"")</f>
        <v/>
      </c>
      <c r="BQ114">
        <f>IFERROR(SQRT((SUMSQ('Fats Raw Data'!L114:L133)-2*SUMPRODUCT('Fats Raw Data'!L114:L133,'Fats Raw Data'!L115:L134)+SUMSQ('Fats Raw Data'!L115:L134)-('Fats Raw Data'!L114-'Fats Raw Data'!L134)^2/20)/19),"")</f>
        <v>0</v>
      </c>
      <c r="BS114">
        <f>IFERROR('Fats Raw Data'!U114,"")</f>
        <v>0</v>
      </c>
      <c r="BT114">
        <f>IFERROR('Fats Raw Data'!Z114,"")</f>
        <v>0</v>
      </c>
      <c r="BU114">
        <f>IFERROR('Fats Raw Data'!AB114-'Fats Raw Data'!AB115,"")</f>
        <v>0</v>
      </c>
      <c r="BV114" t="str">
        <f>IFERROR(AVERAGE('Fats Raw Data'!AB114:AB118),"")</f>
        <v/>
      </c>
      <c r="BW114" t="str">
        <f>IFERROR(SUMPRODUCT('Fats Raw Data'!V114:V133,'Fats Raw Data'!AA114:AA133)/SUM('Fats Raw Data'!AA114:AA133),"")</f>
        <v/>
      </c>
      <c r="BX114">
        <f>IFERROR(SQRT((SUMSQ('Fats Raw Data'!V114:V133)-2*SUMPRODUCT('Fats Raw Data'!V114:V133,'Fats Raw Data'!V115:V134)+SUMSQ('Fats Raw Data'!V115:V134)-('Fats Raw Data'!V114-'Fats Raw Data'!V134)^2/20)/19),"")</f>
        <v>0</v>
      </c>
      <c r="BZ114">
        <f>IFERROR('Fats Raw Data'!AE114,"")</f>
        <v>0</v>
      </c>
      <c r="CA114">
        <f>IFERROR('Fats Raw Data'!AJ114,"")</f>
        <v>0</v>
      </c>
      <c r="CB114">
        <f>IFERROR('Fats Raw Data'!AL114-'Fats Raw Data'!AL115,"")</f>
        <v>0</v>
      </c>
      <c r="CC114" t="str">
        <f>IFERROR(AVERAGE('Fats Raw Data'!AL114:AL118),"")</f>
        <v/>
      </c>
      <c r="CD114" t="str">
        <f>IFERROR(SUMPRODUCT('Fats Raw Data'!AF114:AF133,'Fats Raw Data'!AK114:AK133)/SUM('Fats Raw Data'!AK114:AK133),"")</f>
        <v/>
      </c>
      <c r="CE114">
        <f>IFERROR(SQRT((SUMSQ('Fats Raw Data'!AF114:AF133)-2*SUMPRODUCT('Fats Raw Data'!AF114:AF133,'Fats Raw Data'!AF115:AF134)+SUMSQ('Fats Raw Data'!AF115:AF134)-('Fats Raw Data'!AF114-'Fats Raw Data'!AF134)^2/20)/19),"")</f>
        <v>0</v>
      </c>
      <c r="CG114">
        <f>IFERROR('Fats Raw Data'!AO114,"")</f>
        <v>0</v>
      </c>
      <c r="CH114">
        <f>IFERROR('Fats Raw Data'!AT114,"")</f>
        <v>0</v>
      </c>
      <c r="CI114">
        <f>IFERROR('Fats Raw Data'!AV114-'Fats Raw Data'!AV115,"")</f>
        <v>0</v>
      </c>
      <c r="CJ114" t="str">
        <f>IFERROR(AVERAGE('Fats Raw Data'!AV114:AV118),"")</f>
        <v/>
      </c>
      <c r="CK114" t="str">
        <f>IFERROR(SUMPRODUCT('Fats Raw Data'!AP114:AP133,'Fats Raw Data'!AU114:AU133)/SUM('Fats Raw Data'!AU114:AU133),"")</f>
        <v/>
      </c>
      <c r="CL114">
        <f>IFERROR(SQRT((SUMSQ('Fats Raw Data'!AP114:AP133)-2*SUMPRODUCT('Fats Raw Data'!AP114:AP133,'Fats Raw Data'!AP115:AP134)+SUMSQ('Fats Raw Data'!AP115:AP134)-('Fats Raw Data'!AP114-'Fats Raw Data'!AP134)^2/20)/19),"")</f>
        <v>0</v>
      </c>
      <c r="CN114">
        <f>IFERROR('Fats Raw Data'!AY114,"")</f>
        <v>0</v>
      </c>
      <c r="CO114">
        <f>IFERROR('Fats Raw Data'!BD114,"")</f>
        <v>0</v>
      </c>
      <c r="CP114">
        <f>IFERROR('Fats Raw Data'!BF114-'Fats Raw Data'!BF115,"")</f>
        <v>0</v>
      </c>
      <c r="CQ114" t="str">
        <f>IFERROR(AVERAGE('Fats Raw Data'!BF114:BF118),"")</f>
        <v/>
      </c>
      <c r="CR114" t="str">
        <f>IFERROR(SUMPRODUCT('Fats Raw Data'!AZ114:AZ133,'Fats Raw Data'!BE114:BE133)/SUM('Fats Raw Data'!BE114:BE133),"")</f>
        <v/>
      </c>
      <c r="CS114">
        <f>IFERROR(SQRT((SUMSQ('Fats Raw Data'!AZ114:AZ133)-2*SUMPRODUCT('Fats Raw Data'!AZ114:AZ133,'Fats Raw Data'!AZ115:AZ134)+SUMSQ('Fats Raw Data'!AZ115:AZ134)-('Fats Raw Data'!AZ114-'Fats Raw Data'!AZ134)^2/20)/19),"")</f>
        <v>0</v>
      </c>
    </row>
    <row r="115" spans="1:97" x14ac:dyDescent="0.25">
      <c r="A115">
        <f>IFERROR('Feeders Raw Data'!A115,"")</f>
        <v>0</v>
      </c>
      <c r="B115">
        <f>IFERROR('Feeders Raw Data'!F115,"")</f>
        <v>0</v>
      </c>
      <c r="C115">
        <f>IFERROR('Feeders Raw Data'!H115-'Feeders Raw Data'!H116,"")</f>
        <v>0</v>
      </c>
      <c r="D115" t="str">
        <f>IFERROR(AVERAGE('Feeders Raw Data'!H115:H119),"")</f>
        <v/>
      </c>
      <c r="E115" t="str">
        <f>IFERROR(SUMPRODUCT('Feeders Raw Data'!B115:B134,'Feeders Raw Data'!G115:G134)/SUM('Feeders Raw Data'!G115:G134),"")</f>
        <v/>
      </c>
      <c r="F115">
        <f>IFERROR(SQRT((SUMSQ('Feeders Raw Data'!B115:B134)-2*SUMPRODUCT('Feeders Raw Data'!B115:B134,'Feeders Raw Data'!B116:B135)+SUMSQ('Feeders Raw Data'!B116:B135)-('Feeders Raw Data'!B115-'Feeders Raw Data'!B135)^2/20)/19),"")</f>
        <v>0</v>
      </c>
      <c r="H115">
        <f>IFERROR('Feeders Raw Data'!K115,"")</f>
        <v>0</v>
      </c>
      <c r="I115">
        <f>IFERROR('Feeders Raw Data'!P115,"")</f>
        <v>0</v>
      </c>
      <c r="J115">
        <f>IFERROR('Feeders Raw Data'!R115-'Feeders Raw Data'!R116,"")</f>
        <v>0</v>
      </c>
      <c r="K115" t="str">
        <f>IFERROR(AVERAGE('Feeders Raw Data'!R115:R119),"")</f>
        <v/>
      </c>
      <c r="L115" t="str">
        <f>IFERROR(SUMPRODUCT('Feeders Raw Data'!L115:L134,'Feeders Raw Data'!Q115:Q134)/SUM('Feeders Raw Data'!Q115:Q134),"")</f>
        <v/>
      </c>
      <c r="M115">
        <f>IFERROR(SQRT((SUMSQ('Feeders Raw Data'!L115:L134)-2*SUMPRODUCT('Feeders Raw Data'!L115:L134,'Feeders Raw Data'!L116:L135)+SUMSQ('Feeders Raw Data'!L116:L135)-('Feeders Raw Data'!L115-'Feeders Raw Data'!L135)^2/20)/19),"")</f>
        <v>0</v>
      </c>
      <c r="O115">
        <f>IFERROR('Feeders Raw Data'!U115,"")</f>
        <v>0</v>
      </c>
      <c r="P115">
        <f>IFERROR('Feeders Raw Data'!Z115,"")</f>
        <v>0</v>
      </c>
      <c r="Q115">
        <f>IFERROR('Feeders Raw Data'!AB115-'Feeders Raw Data'!AB116,"")</f>
        <v>0</v>
      </c>
      <c r="R115" t="str">
        <f>IFERROR(AVERAGE('Feeders Raw Data'!AB115:AB119),"")</f>
        <v/>
      </c>
      <c r="S115" t="str">
        <f>IFERROR(SUMPRODUCT('Feeders Raw Data'!V115:V134,'Feeders Raw Data'!AA115:AA134)/SUM('Feeders Raw Data'!AA115:AA134),"")</f>
        <v/>
      </c>
      <c r="T115">
        <f>IFERROR(SQRT((SUMSQ('Feeders Raw Data'!V115:V134)-2*SUMPRODUCT('Feeders Raw Data'!V115:V134,'Feeders Raw Data'!V116:V135)+SUMSQ('Feeders Raw Data'!V116:V135)-('Feeders Raw Data'!V115-'Feeders Raw Data'!V135)^2/20)/19),"")</f>
        <v>0</v>
      </c>
      <c r="V115">
        <f>IFERROR('Feeders Raw Data'!AE115,"")</f>
        <v>0</v>
      </c>
      <c r="W115">
        <f>IFERROR('Feeders Raw Data'!AJ115,"")</f>
        <v>0</v>
      </c>
      <c r="X115">
        <f>IFERROR('Feeders Raw Data'!AL115-'Feeders Raw Data'!AL116,"")</f>
        <v>0</v>
      </c>
      <c r="Y115" t="str">
        <f>IFERROR(AVERAGE('Feeders Raw Data'!AL115:AL119),"")</f>
        <v/>
      </c>
      <c r="Z115" t="str">
        <f>IFERROR(SUMPRODUCT('Feeders Raw Data'!AF115:AF134,'Feeders Raw Data'!AK115:AK134)/SUM('Feeders Raw Data'!AK115:AK134),"")</f>
        <v/>
      </c>
      <c r="AA115">
        <f>IFERROR(SQRT((SUMSQ('Feeders Raw Data'!AF115:AF134)-2*SUMPRODUCT('Feeders Raw Data'!AF115:AF134,'Feeders Raw Data'!AF116:AF135)+SUMSQ('Feeders Raw Data'!AF116:AF135)-('Feeders Raw Data'!AF115-'Feeders Raw Data'!AF135)^2/20)/19),"")</f>
        <v>0</v>
      </c>
      <c r="AC115">
        <f>IFERROR('Feeders Raw Data'!AO115,"")</f>
        <v>0</v>
      </c>
      <c r="AD115">
        <f>IFERROR('Feeders Raw Data'!AT115,"")</f>
        <v>0</v>
      </c>
      <c r="AE115">
        <f>IFERROR('Feeders Raw Data'!AV115-'Feeders Raw Data'!AV116,"")</f>
        <v>0</v>
      </c>
      <c r="AF115" t="str">
        <f>IFERROR(AVERAGE('Feeders Raw Data'!AV115:AV119),"")</f>
        <v/>
      </c>
      <c r="AG115" t="str">
        <f>IFERROR(SUMPRODUCT('Feeders Raw Data'!AP115:AP134,'Feeders Raw Data'!AU115:AU134)/SUM('Feeders Raw Data'!AU115:AU134),"")</f>
        <v/>
      </c>
      <c r="AH115">
        <f>IFERROR(SQRT((SUMSQ('Feeders Raw Data'!AP115:AP134)-2*SUMPRODUCT('Feeders Raw Data'!AP115:AP134,'Feeders Raw Data'!AP116:AP135)+SUMSQ('Feeders Raw Data'!AP116:AP135)-('Feeders Raw Data'!AP115-'Feeders Raw Data'!AP135)^2/20)/19),"")</f>
        <v>0</v>
      </c>
      <c r="AJ115">
        <f>IFERROR('Feeders Raw Data'!AY115,"")</f>
        <v>0</v>
      </c>
      <c r="AK115">
        <f>IFERROR('Feeders Raw Data'!BD115,"")</f>
        <v>0</v>
      </c>
      <c r="AL115">
        <f>IFERROR('Feeders Raw Data'!BF115-'Feeders Raw Data'!BF116,"")</f>
        <v>0</v>
      </c>
      <c r="AM115" t="str">
        <f>IFERROR(AVERAGE('Feeders Raw Data'!BF115:BF119),"")</f>
        <v/>
      </c>
      <c r="AN115" t="str">
        <f>IFERROR(SUMPRODUCT('Feeders Raw Data'!AZ115:AZ134,'Feeders Raw Data'!BE115:BE134)/SUM('Feeders Raw Data'!BE115:BE134),"")</f>
        <v/>
      </c>
      <c r="AO115">
        <f>IFERROR(SQRT((SUMSQ('Feeders Raw Data'!AZ115:AZ134)-2*SUMPRODUCT('Feeders Raw Data'!AZ115:AZ134,'Feeders Raw Data'!AZ116:AZ135)+SUMSQ('Feeders Raw Data'!AZ116:AZ135)-('Feeders Raw Data'!AZ115-'Feeders Raw Data'!AZ135)^2/20)/19),"")</f>
        <v>0</v>
      </c>
      <c r="AQ115">
        <f>IFERROR('Feeders Raw Data'!BI115,"")</f>
        <v>0</v>
      </c>
      <c r="AR115">
        <f>IFERROR('Feeders Raw Data'!BN115,"")</f>
        <v>0</v>
      </c>
      <c r="AS115">
        <f>IFERROR('Feeders Raw Data'!BP115-'Feeders Raw Data'!BP116,"")</f>
        <v>0</v>
      </c>
      <c r="AT115" t="str">
        <f>IFERROR(AVERAGE('Feeders Raw Data'!BP115:BP119),"")</f>
        <v/>
      </c>
      <c r="AU115" t="str">
        <f>IFERROR(SUMPRODUCT('Feeders Raw Data'!BJ115:BJ134,'Feeders Raw Data'!BO115:BO134)/SUM('Feeders Raw Data'!BO115:BO134),"")</f>
        <v/>
      </c>
      <c r="AV115">
        <f>IFERROR(SQRT((SUMSQ('Feeders Raw Data'!BJ115:BJ134)-2*SUMPRODUCT('Feeders Raw Data'!BJ115:BJ134,'Feeders Raw Data'!BJ116:BJ135)+SUMSQ('Feeders Raw Data'!BJ116:BJ135)-('Feeders Raw Data'!BJ115-'Feeders Raw Data'!BJ135)^2/20)/19),"")</f>
        <v>0</v>
      </c>
      <c r="AX115">
        <f>IFERROR('Feeders Raw Data'!BS115,"")</f>
        <v>0</v>
      </c>
      <c r="AY115">
        <f>IFERROR('Feeders Raw Data'!BX115,"")</f>
        <v>0</v>
      </c>
      <c r="AZ115">
        <f>IFERROR('Feeders Raw Data'!BZ115-'Feeders Raw Data'!BZ116,"")</f>
        <v>0</v>
      </c>
      <c r="BA115" t="str">
        <f>IFERROR(AVERAGE('Feeders Raw Data'!BZ115:BZ119),"")</f>
        <v/>
      </c>
      <c r="BB115" t="str">
        <f>IFERROR(SUMPRODUCT('Feeders Raw Data'!BT115:BT134,'Feeders Raw Data'!BY115:BY134)/SUM('Feeders Raw Data'!BY115:BY134),"")</f>
        <v/>
      </c>
      <c r="BC115">
        <f>IFERROR(SQRT((SUMSQ('Feeders Raw Data'!BT115:BT134)-2*SUMPRODUCT('Feeders Raw Data'!BT115:BT134,'Feeders Raw Data'!BT116:BT135)+SUMSQ('Feeders Raw Data'!BT116:BT135)-('Feeders Raw Data'!BT115-'Feeders Raw Data'!BT135)^2/20)/19),"")</f>
        <v>0</v>
      </c>
      <c r="BE115">
        <f>IFERROR('Fats Raw Data'!A115,"")</f>
        <v>0</v>
      </c>
      <c r="BF115">
        <f>IFERROR('Fats Raw Data'!F115,"")</f>
        <v>0</v>
      </c>
      <c r="BG115">
        <f>IFERROR('Fats Raw Data'!H115-'Fats Raw Data'!H116,"")</f>
        <v>0</v>
      </c>
      <c r="BH115" t="str">
        <f>IFERROR(AVERAGE('Fats Raw Data'!H115:H119),"")</f>
        <v/>
      </c>
      <c r="BI115" t="str">
        <f>IFERROR(SUMPRODUCT('Fats Raw Data'!B115:B134,'Fats Raw Data'!G115:G134)/SUM('Fats Raw Data'!G115:G134),"")</f>
        <v/>
      </c>
      <c r="BJ115">
        <f>IFERROR(SQRT((SUMSQ('Fats Raw Data'!B115:B134)-2*SUMPRODUCT('Fats Raw Data'!B115:B134,'Fats Raw Data'!B116:B135)+SUMSQ('Fats Raw Data'!B116:B135)-('Fats Raw Data'!B115-'Fats Raw Data'!B135)^2/20)/19),"")</f>
        <v>0</v>
      </c>
      <c r="BL115">
        <f>IFERROR('Fats Raw Data'!K115,"")</f>
        <v>0</v>
      </c>
      <c r="BM115">
        <f>IFERROR('Fats Raw Data'!P115,"")</f>
        <v>0</v>
      </c>
      <c r="BN115">
        <f>IFERROR('Fats Raw Data'!R115-'Fats Raw Data'!R116,"")</f>
        <v>0</v>
      </c>
      <c r="BO115" t="str">
        <f>IFERROR(AVERAGE('Fats Raw Data'!R115:R119),"")</f>
        <v/>
      </c>
      <c r="BP115" t="str">
        <f>IFERROR(SUMPRODUCT('Fats Raw Data'!L115:L134,'Fats Raw Data'!Q115:Q134)/SUM('Fats Raw Data'!Q115:Q134),"")</f>
        <v/>
      </c>
      <c r="BQ115">
        <f>IFERROR(SQRT((SUMSQ('Fats Raw Data'!L115:L134)-2*SUMPRODUCT('Fats Raw Data'!L115:L134,'Fats Raw Data'!L116:L135)+SUMSQ('Fats Raw Data'!L116:L135)-('Fats Raw Data'!L115-'Fats Raw Data'!L135)^2/20)/19),"")</f>
        <v>0</v>
      </c>
      <c r="BS115">
        <f>IFERROR('Fats Raw Data'!U115,"")</f>
        <v>0</v>
      </c>
      <c r="BT115">
        <f>IFERROR('Fats Raw Data'!Z115,"")</f>
        <v>0</v>
      </c>
      <c r="BU115">
        <f>IFERROR('Fats Raw Data'!AB115-'Fats Raw Data'!AB116,"")</f>
        <v>0</v>
      </c>
      <c r="BV115" t="str">
        <f>IFERROR(AVERAGE('Fats Raw Data'!AB115:AB119),"")</f>
        <v/>
      </c>
      <c r="BW115" t="str">
        <f>IFERROR(SUMPRODUCT('Fats Raw Data'!V115:V134,'Fats Raw Data'!AA115:AA134)/SUM('Fats Raw Data'!AA115:AA134),"")</f>
        <v/>
      </c>
      <c r="BX115">
        <f>IFERROR(SQRT((SUMSQ('Fats Raw Data'!V115:V134)-2*SUMPRODUCT('Fats Raw Data'!V115:V134,'Fats Raw Data'!V116:V135)+SUMSQ('Fats Raw Data'!V116:V135)-('Fats Raw Data'!V115-'Fats Raw Data'!V135)^2/20)/19),"")</f>
        <v>0</v>
      </c>
      <c r="BZ115">
        <f>IFERROR('Fats Raw Data'!AE115,"")</f>
        <v>0</v>
      </c>
      <c r="CA115">
        <f>IFERROR('Fats Raw Data'!AJ115,"")</f>
        <v>0</v>
      </c>
      <c r="CB115">
        <f>IFERROR('Fats Raw Data'!AL115-'Fats Raw Data'!AL116,"")</f>
        <v>0</v>
      </c>
      <c r="CC115" t="str">
        <f>IFERROR(AVERAGE('Fats Raw Data'!AL115:AL119),"")</f>
        <v/>
      </c>
      <c r="CD115" t="str">
        <f>IFERROR(SUMPRODUCT('Fats Raw Data'!AF115:AF134,'Fats Raw Data'!AK115:AK134)/SUM('Fats Raw Data'!AK115:AK134),"")</f>
        <v/>
      </c>
      <c r="CE115">
        <f>IFERROR(SQRT((SUMSQ('Fats Raw Data'!AF115:AF134)-2*SUMPRODUCT('Fats Raw Data'!AF115:AF134,'Fats Raw Data'!AF116:AF135)+SUMSQ('Fats Raw Data'!AF116:AF135)-('Fats Raw Data'!AF115-'Fats Raw Data'!AF135)^2/20)/19),"")</f>
        <v>0</v>
      </c>
      <c r="CG115">
        <f>IFERROR('Fats Raw Data'!AO115,"")</f>
        <v>0</v>
      </c>
      <c r="CH115">
        <f>IFERROR('Fats Raw Data'!AT115,"")</f>
        <v>0</v>
      </c>
      <c r="CI115">
        <f>IFERROR('Fats Raw Data'!AV115-'Fats Raw Data'!AV116,"")</f>
        <v>0</v>
      </c>
      <c r="CJ115" t="str">
        <f>IFERROR(AVERAGE('Fats Raw Data'!AV115:AV119),"")</f>
        <v/>
      </c>
      <c r="CK115" t="str">
        <f>IFERROR(SUMPRODUCT('Fats Raw Data'!AP115:AP134,'Fats Raw Data'!AU115:AU134)/SUM('Fats Raw Data'!AU115:AU134),"")</f>
        <v/>
      </c>
      <c r="CL115">
        <f>IFERROR(SQRT((SUMSQ('Fats Raw Data'!AP115:AP134)-2*SUMPRODUCT('Fats Raw Data'!AP115:AP134,'Fats Raw Data'!AP116:AP135)+SUMSQ('Fats Raw Data'!AP116:AP135)-('Fats Raw Data'!AP115-'Fats Raw Data'!AP135)^2/20)/19),"")</f>
        <v>0</v>
      </c>
      <c r="CN115">
        <f>IFERROR('Fats Raw Data'!AY115,"")</f>
        <v>0</v>
      </c>
      <c r="CO115">
        <f>IFERROR('Fats Raw Data'!BD115,"")</f>
        <v>0</v>
      </c>
      <c r="CP115">
        <f>IFERROR('Fats Raw Data'!BF115-'Fats Raw Data'!BF116,"")</f>
        <v>0</v>
      </c>
      <c r="CQ115" t="str">
        <f>IFERROR(AVERAGE('Fats Raw Data'!BF115:BF119),"")</f>
        <v/>
      </c>
      <c r="CR115" t="str">
        <f>IFERROR(SUMPRODUCT('Fats Raw Data'!AZ115:AZ134,'Fats Raw Data'!BE115:BE134)/SUM('Fats Raw Data'!BE115:BE134),"")</f>
        <v/>
      </c>
      <c r="CS115">
        <f>IFERROR(SQRT((SUMSQ('Fats Raw Data'!AZ115:AZ134)-2*SUMPRODUCT('Fats Raw Data'!AZ115:AZ134,'Fats Raw Data'!AZ116:AZ135)+SUMSQ('Fats Raw Data'!AZ116:AZ135)-('Fats Raw Data'!AZ115-'Fats Raw Data'!AZ135)^2/20)/19),"")</f>
        <v>0</v>
      </c>
    </row>
    <row r="116" spans="1:97" x14ac:dyDescent="0.25">
      <c r="A116">
        <f>IFERROR('Feeders Raw Data'!A116,"")</f>
        <v>0</v>
      </c>
      <c r="B116">
        <f>IFERROR('Feeders Raw Data'!F116,"")</f>
        <v>0</v>
      </c>
      <c r="C116">
        <f>IFERROR('Feeders Raw Data'!H116-'Feeders Raw Data'!H117,"")</f>
        <v>0</v>
      </c>
      <c r="D116" t="str">
        <f>IFERROR(AVERAGE('Feeders Raw Data'!H116:H120),"")</f>
        <v/>
      </c>
      <c r="E116" t="str">
        <f>IFERROR(SUMPRODUCT('Feeders Raw Data'!B116:B135,'Feeders Raw Data'!G116:G135)/SUM('Feeders Raw Data'!G116:G135),"")</f>
        <v/>
      </c>
      <c r="F116">
        <f>IFERROR(SQRT((SUMSQ('Feeders Raw Data'!B116:B135)-2*SUMPRODUCT('Feeders Raw Data'!B116:B135,'Feeders Raw Data'!B117:B136)+SUMSQ('Feeders Raw Data'!B117:B136)-('Feeders Raw Data'!B116-'Feeders Raw Data'!B136)^2/20)/19),"")</f>
        <v>0</v>
      </c>
      <c r="H116">
        <f>IFERROR('Feeders Raw Data'!K116,"")</f>
        <v>0</v>
      </c>
      <c r="I116">
        <f>IFERROR('Feeders Raw Data'!P116,"")</f>
        <v>0</v>
      </c>
      <c r="J116">
        <f>IFERROR('Feeders Raw Data'!R116-'Feeders Raw Data'!R117,"")</f>
        <v>0</v>
      </c>
      <c r="K116" t="str">
        <f>IFERROR(AVERAGE('Feeders Raw Data'!R116:R120),"")</f>
        <v/>
      </c>
      <c r="L116" t="str">
        <f>IFERROR(SUMPRODUCT('Feeders Raw Data'!L116:L135,'Feeders Raw Data'!Q116:Q135)/SUM('Feeders Raw Data'!Q116:Q135),"")</f>
        <v/>
      </c>
      <c r="M116">
        <f>IFERROR(SQRT((SUMSQ('Feeders Raw Data'!L116:L135)-2*SUMPRODUCT('Feeders Raw Data'!L116:L135,'Feeders Raw Data'!L117:L136)+SUMSQ('Feeders Raw Data'!L117:L136)-('Feeders Raw Data'!L116-'Feeders Raw Data'!L136)^2/20)/19),"")</f>
        <v>0</v>
      </c>
      <c r="O116">
        <f>IFERROR('Feeders Raw Data'!U116,"")</f>
        <v>0</v>
      </c>
      <c r="P116">
        <f>IFERROR('Feeders Raw Data'!Z116,"")</f>
        <v>0</v>
      </c>
      <c r="Q116">
        <f>IFERROR('Feeders Raw Data'!AB116-'Feeders Raw Data'!AB117,"")</f>
        <v>0</v>
      </c>
      <c r="R116" t="str">
        <f>IFERROR(AVERAGE('Feeders Raw Data'!AB116:AB120),"")</f>
        <v/>
      </c>
      <c r="S116" t="str">
        <f>IFERROR(SUMPRODUCT('Feeders Raw Data'!V116:V135,'Feeders Raw Data'!AA116:AA135)/SUM('Feeders Raw Data'!AA116:AA135),"")</f>
        <v/>
      </c>
      <c r="T116">
        <f>IFERROR(SQRT((SUMSQ('Feeders Raw Data'!V116:V135)-2*SUMPRODUCT('Feeders Raw Data'!V116:V135,'Feeders Raw Data'!V117:V136)+SUMSQ('Feeders Raw Data'!V117:V136)-('Feeders Raw Data'!V116-'Feeders Raw Data'!V136)^2/20)/19),"")</f>
        <v>0</v>
      </c>
      <c r="V116">
        <f>IFERROR('Feeders Raw Data'!AE116,"")</f>
        <v>0</v>
      </c>
      <c r="W116">
        <f>IFERROR('Feeders Raw Data'!AJ116,"")</f>
        <v>0</v>
      </c>
      <c r="X116">
        <f>IFERROR('Feeders Raw Data'!AL116-'Feeders Raw Data'!AL117,"")</f>
        <v>0</v>
      </c>
      <c r="Y116" t="str">
        <f>IFERROR(AVERAGE('Feeders Raw Data'!AL116:AL120),"")</f>
        <v/>
      </c>
      <c r="Z116" t="str">
        <f>IFERROR(SUMPRODUCT('Feeders Raw Data'!AF116:AF135,'Feeders Raw Data'!AK116:AK135)/SUM('Feeders Raw Data'!AK116:AK135),"")</f>
        <v/>
      </c>
      <c r="AA116">
        <f>IFERROR(SQRT((SUMSQ('Feeders Raw Data'!AF116:AF135)-2*SUMPRODUCT('Feeders Raw Data'!AF116:AF135,'Feeders Raw Data'!AF117:AF136)+SUMSQ('Feeders Raw Data'!AF117:AF136)-('Feeders Raw Data'!AF116-'Feeders Raw Data'!AF136)^2/20)/19),"")</f>
        <v>0</v>
      </c>
      <c r="AC116">
        <f>IFERROR('Feeders Raw Data'!AO116,"")</f>
        <v>0</v>
      </c>
      <c r="AD116">
        <f>IFERROR('Feeders Raw Data'!AT116,"")</f>
        <v>0</v>
      </c>
      <c r="AE116">
        <f>IFERROR('Feeders Raw Data'!AV116-'Feeders Raw Data'!AV117,"")</f>
        <v>0</v>
      </c>
      <c r="AF116" t="str">
        <f>IFERROR(AVERAGE('Feeders Raw Data'!AV116:AV120),"")</f>
        <v/>
      </c>
      <c r="AG116" t="str">
        <f>IFERROR(SUMPRODUCT('Feeders Raw Data'!AP116:AP135,'Feeders Raw Data'!AU116:AU135)/SUM('Feeders Raw Data'!AU116:AU135),"")</f>
        <v/>
      </c>
      <c r="AH116">
        <f>IFERROR(SQRT((SUMSQ('Feeders Raw Data'!AP116:AP135)-2*SUMPRODUCT('Feeders Raw Data'!AP116:AP135,'Feeders Raw Data'!AP117:AP136)+SUMSQ('Feeders Raw Data'!AP117:AP136)-('Feeders Raw Data'!AP116-'Feeders Raw Data'!AP136)^2/20)/19),"")</f>
        <v>0</v>
      </c>
      <c r="AJ116">
        <f>IFERROR('Feeders Raw Data'!AY116,"")</f>
        <v>0</v>
      </c>
      <c r="AK116">
        <f>IFERROR('Feeders Raw Data'!BD116,"")</f>
        <v>0</v>
      </c>
      <c r="AL116">
        <f>IFERROR('Feeders Raw Data'!BF116-'Feeders Raw Data'!BF117,"")</f>
        <v>0</v>
      </c>
      <c r="AM116" t="str">
        <f>IFERROR(AVERAGE('Feeders Raw Data'!BF116:BF120),"")</f>
        <v/>
      </c>
      <c r="AN116" t="str">
        <f>IFERROR(SUMPRODUCT('Feeders Raw Data'!AZ116:AZ135,'Feeders Raw Data'!BE116:BE135)/SUM('Feeders Raw Data'!BE116:BE135),"")</f>
        <v/>
      </c>
      <c r="AO116">
        <f>IFERROR(SQRT((SUMSQ('Feeders Raw Data'!AZ116:AZ135)-2*SUMPRODUCT('Feeders Raw Data'!AZ116:AZ135,'Feeders Raw Data'!AZ117:AZ136)+SUMSQ('Feeders Raw Data'!AZ117:AZ136)-('Feeders Raw Data'!AZ116-'Feeders Raw Data'!AZ136)^2/20)/19),"")</f>
        <v>0</v>
      </c>
      <c r="AQ116">
        <f>IFERROR('Feeders Raw Data'!BI116,"")</f>
        <v>0</v>
      </c>
      <c r="AR116">
        <f>IFERROR('Feeders Raw Data'!BN116,"")</f>
        <v>0</v>
      </c>
      <c r="AS116">
        <f>IFERROR('Feeders Raw Data'!BP116-'Feeders Raw Data'!BP117,"")</f>
        <v>0</v>
      </c>
      <c r="AT116" t="str">
        <f>IFERROR(AVERAGE('Feeders Raw Data'!BP116:BP120),"")</f>
        <v/>
      </c>
      <c r="AU116" t="str">
        <f>IFERROR(SUMPRODUCT('Feeders Raw Data'!BJ116:BJ135,'Feeders Raw Data'!BO116:BO135)/SUM('Feeders Raw Data'!BO116:BO135),"")</f>
        <v/>
      </c>
      <c r="AV116">
        <f>IFERROR(SQRT((SUMSQ('Feeders Raw Data'!BJ116:BJ135)-2*SUMPRODUCT('Feeders Raw Data'!BJ116:BJ135,'Feeders Raw Data'!BJ117:BJ136)+SUMSQ('Feeders Raw Data'!BJ117:BJ136)-('Feeders Raw Data'!BJ116-'Feeders Raw Data'!BJ136)^2/20)/19),"")</f>
        <v>0</v>
      </c>
      <c r="AX116">
        <f>IFERROR('Feeders Raw Data'!BS116,"")</f>
        <v>0</v>
      </c>
      <c r="AY116">
        <f>IFERROR('Feeders Raw Data'!BX116,"")</f>
        <v>0</v>
      </c>
      <c r="AZ116">
        <f>IFERROR('Feeders Raw Data'!BZ116-'Feeders Raw Data'!BZ117,"")</f>
        <v>0</v>
      </c>
      <c r="BA116" t="str">
        <f>IFERROR(AVERAGE('Feeders Raw Data'!BZ116:BZ120),"")</f>
        <v/>
      </c>
      <c r="BB116" t="str">
        <f>IFERROR(SUMPRODUCT('Feeders Raw Data'!BT116:BT135,'Feeders Raw Data'!BY116:BY135)/SUM('Feeders Raw Data'!BY116:BY135),"")</f>
        <v/>
      </c>
      <c r="BC116">
        <f>IFERROR(SQRT((SUMSQ('Feeders Raw Data'!BT116:BT135)-2*SUMPRODUCT('Feeders Raw Data'!BT116:BT135,'Feeders Raw Data'!BT117:BT136)+SUMSQ('Feeders Raw Data'!BT117:BT136)-('Feeders Raw Data'!BT116-'Feeders Raw Data'!BT136)^2/20)/19),"")</f>
        <v>0</v>
      </c>
      <c r="BE116">
        <f>IFERROR('Fats Raw Data'!A116,"")</f>
        <v>0</v>
      </c>
      <c r="BF116">
        <f>IFERROR('Fats Raw Data'!F116,"")</f>
        <v>0</v>
      </c>
      <c r="BG116">
        <f>IFERROR('Fats Raw Data'!H116-'Fats Raw Data'!H117,"")</f>
        <v>0</v>
      </c>
      <c r="BH116" t="str">
        <f>IFERROR(AVERAGE('Fats Raw Data'!H116:H120),"")</f>
        <v/>
      </c>
      <c r="BI116" t="str">
        <f>IFERROR(SUMPRODUCT('Fats Raw Data'!B116:B135,'Fats Raw Data'!G116:G135)/SUM('Fats Raw Data'!G116:G135),"")</f>
        <v/>
      </c>
      <c r="BJ116">
        <f>IFERROR(SQRT((SUMSQ('Fats Raw Data'!B116:B135)-2*SUMPRODUCT('Fats Raw Data'!B116:B135,'Fats Raw Data'!B117:B136)+SUMSQ('Fats Raw Data'!B117:B136)-('Fats Raw Data'!B116-'Fats Raw Data'!B136)^2/20)/19),"")</f>
        <v>0</v>
      </c>
      <c r="BL116">
        <f>IFERROR('Fats Raw Data'!K116,"")</f>
        <v>0</v>
      </c>
      <c r="BM116">
        <f>IFERROR('Fats Raw Data'!P116,"")</f>
        <v>0</v>
      </c>
      <c r="BN116">
        <f>IFERROR('Fats Raw Data'!R116-'Fats Raw Data'!R117,"")</f>
        <v>0</v>
      </c>
      <c r="BO116" t="str">
        <f>IFERROR(AVERAGE('Fats Raw Data'!R116:R120),"")</f>
        <v/>
      </c>
      <c r="BP116" t="str">
        <f>IFERROR(SUMPRODUCT('Fats Raw Data'!L116:L135,'Fats Raw Data'!Q116:Q135)/SUM('Fats Raw Data'!Q116:Q135),"")</f>
        <v/>
      </c>
      <c r="BQ116">
        <f>IFERROR(SQRT((SUMSQ('Fats Raw Data'!L116:L135)-2*SUMPRODUCT('Fats Raw Data'!L116:L135,'Fats Raw Data'!L117:L136)+SUMSQ('Fats Raw Data'!L117:L136)-('Fats Raw Data'!L116-'Fats Raw Data'!L136)^2/20)/19),"")</f>
        <v>0</v>
      </c>
      <c r="BS116">
        <f>IFERROR('Fats Raw Data'!U116,"")</f>
        <v>0</v>
      </c>
      <c r="BT116">
        <f>IFERROR('Fats Raw Data'!Z116,"")</f>
        <v>0</v>
      </c>
      <c r="BU116">
        <f>IFERROR('Fats Raw Data'!AB116-'Fats Raw Data'!AB117,"")</f>
        <v>0</v>
      </c>
      <c r="BV116" t="str">
        <f>IFERROR(AVERAGE('Fats Raw Data'!AB116:AB120),"")</f>
        <v/>
      </c>
      <c r="BW116" t="str">
        <f>IFERROR(SUMPRODUCT('Fats Raw Data'!V116:V135,'Fats Raw Data'!AA116:AA135)/SUM('Fats Raw Data'!AA116:AA135),"")</f>
        <v/>
      </c>
      <c r="BX116">
        <f>IFERROR(SQRT((SUMSQ('Fats Raw Data'!V116:V135)-2*SUMPRODUCT('Fats Raw Data'!V116:V135,'Fats Raw Data'!V117:V136)+SUMSQ('Fats Raw Data'!V117:V136)-('Fats Raw Data'!V116-'Fats Raw Data'!V136)^2/20)/19),"")</f>
        <v>0</v>
      </c>
      <c r="BZ116">
        <f>IFERROR('Fats Raw Data'!AE116,"")</f>
        <v>0</v>
      </c>
      <c r="CA116">
        <f>IFERROR('Fats Raw Data'!AJ116,"")</f>
        <v>0</v>
      </c>
      <c r="CB116">
        <f>IFERROR('Fats Raw Data'!AL116-'Fats Raw Data'!AL117,"")</f>
        <v>0</v>
      </c>
      <c r="CC116" t="str">
        <f>IFERROR(AVERAGE('Fats Raw Data'!AL116:AL120),"")</f>
        <v/>
      </c>
      <c r="CD116" t="str">
        <f>IFERROR(SUMPRODUCT('Fats Raw Data'!AF116:AF135,'Fats Raw Data'!AK116:AK135)/SUM('Fats Raw Data'!AK116:AK135),"")</f>
        <v/>
      </c>
      <c r="CE116">
        <f>IFERROR(SQRT((SUMSQ('Fats Raw Data'!AF116:AF135)-2*SUMPRODUCT('Fats Raw Data'!AF116:AF135,'Fats Raw Data'!AF117:AF136)+SUMSQ('Fats Raw Data'!AF117:AF136)-('Fats Raw Data'!AF116-'Fats Raw Data'!AF136)^2/20)/19),"")</f>
        <v>0</v>
      </c>
      <c r="CG116">
        <f>IFERROR('Fats Raw Data'!AO116,"")</f>
        <v>0</v>
      </c>
      <c r="CH116">
        <f>IFERROR('Fats Raw Data'!AT116,"")</f>
        <v>0</v>
      </c>
      <c r="CI116">
        <f>IFERROR('Fats Raw Data'!AV116-'Fats Raw Data'!AV117,"")</f>
        <v>0</v>
      </c>
      <c r="CJ116" t="str">
        <f>IFERROR(AVERAGE('Fats Raw Data'!AV116:AV120),"")</f>
        <v/>
      </c>
      <c r="CK116" t="str">
        <f>IFERROR(SUMPRODUCT('Fats Raw Data'!AP116:AP135,'Fats Raw Data'!AU116:AU135)/SUM('Fats Raw Data'!AU116:AU135),"")</f>
        <v/>
      </c>
      <c r="CL116">
        <f>IFERROR(SQRT((SUMSQ('Fats Raw Data'!AP116:AP135)-2*SUMPRODUCT('Fats Raw Data'!AP116:AP135,'Fats Raw Data'!AP117:AP136)+SUMSQ('Fats Raw Data'!AP117:AP136)-('Fats Raw Data'!AP116-'Fats Raw Data'!AP136)^2/20)/19),"")</f>
        <v>0</v>
      </c>
      <c r="CN116">
        <f>IFERROR('Fats Raw Data'!AY116,"")</f>
        <v>0</v>
      </c>
      <c r="CO116">
        <f>IFERROR('Fats Raw Data'!BD116,"")</f>
        <v>0</v>
      </c>
      <c r="CP116">
        <f>IFERROR('Fats Raw Data'!BF116-'Fats Raw Data'!BF117,"")</f>
        <v>0</v>
      </c>
      <c r="CQ116" t="str">
        <f>IFERROR(AVERAGE('Fats Raw Data'!BF116:BF120),"")</f>
        <v/>
      </c>
      <c r="CR116" t="str">
        <f>IFERROR(SUMPRODUCT('Fats Raw Data'!AZ116:AZ135,'Fats Raw Data'!BE116:BE135)/SUM('Fats Raw Data'!BE116:BE135),"")</f>
        <v/>
      </c>
      <c r="CS116">
        <f>IFERROR(SQRT((SUMSQ('Fats Raw Data'!AZ116:AZ135)-2*SUMPRODUCT('Fats Raw Data'!AZ116:AZ135,'Fats Raw Data'!AZ117:AZ136)+SUMSQ('Fats Raw Data'!AZ117:AZ136)-('Fats Raw Data'!AZ116-'Fats Raw Data'!AZ136)^2/20)/19),"")</f>
        <v>0</v>
      </c>
    </row>
    <row r="117" spans="1:97" x14ac:dyDescent="0.25">
      <c r="A117">
        <f>IFERROR('Feeders Raw Data'!A117,"")</f>
        <v>0</v>
      </c>
      <c r="B117">
        <f>IFERROR('Feeders Raw Data'!F117,"")</f>
        <v>0</v>
      </c>
      <c r="C117">
        <f>IFERROR('Feeders Raw Data'!H117-'Feeders Raw Data'!H118,"")</f>
        <v>0</v>
      </c>
      <c r="D117" t="str">
        <f>IFERROR(AVERAGE('Feeders Raw Data'!H117:H121),"")</f>
        <v/>
      </c>
      <c r="E117" t="str">
        <f>IFERROR(SUMPRODUCT('Feeders Raw Data'!B117:B136,'Feeders Raw Data'!G117:G136)/SUM('Feeders Raw Data'!G117:G136),"")</f>
        <v/>
      </c>
      <c r="F117">
        <f>IFERROR(SQRT((SUMSQ('Feeders Raw Data'!B117:B136)-2*SUMPRODUCT('Feeders Raw Data'!B117:B136,'Feeders Raw Data'!B118:B137)+SUMSQ('Feeders Raw Data'!B118:B137)-('Feeders Raw Data'!B117-'Feeders Raw Data'!B137)^2/20)/19),"")</f>
        <v>0</v>
      </c>
      <c r="H117">
        <f>IFERROR('Feeders Raw Data'!K117,"")</f>
        <v>0</v>
      </c>
      <c r="I117">
        <f>IFERROR('Feeders Raw Data'!P117,"")</f>
        <v>0</v>
      </c>
      <c r="J117">
        <f>IFERROR('Feeders Raw Data'!R117-'Feeders Raw Data'!R118,"")</f>
        <v>0</v>
      </c>
      <c r="K117" t="str">
        <f>IFERROR(AVERAGE('Feeders Raw Data'!R117:R121),"")</f>
        <v/>
      </c>
      <c r="L117" t="str">
        <f>IFERROR(SUMPRODUCT('Feeders Raw Data'!L117:L136,'Feeders Raw Data'!Q117:Q136)/SUM('Feeders Raw Data'!Q117:Q136),"")</f>
        <v/>
      </c>
      <c r="M117">
        <f>IFERROR(SQRT((SUMSQ('Feeders Raw Data'!L117:L136)-2*SUMPRODUCT('Feeders Raw Data'!L117:L136,'Feeders Raw Data'!L118:L137)+SUMSQ('Feeders Raw Data'!L118:L137)-('Feeders Raw Data'!L117-'Feeders Raw Data'!L137)^2/20)/19),"")</f>
        <v>0</v>
      </c>
      <c r="O117">
        <f>IFERROR('Feeders Raw Data'!U117,"")</f>
        <v>0</v>
      </c>
      <c r="P117">
        <f>IFERROR('Feeders Raw Data'!Z117,"")</f>
        <v>0</v>
      </c>
      <c r="Q117">
        <f>IFERROR('Feeders Raw Data'!AB117-'Feeders Raw Data'!AB118,"")</f>
        <v>0</v>
      </c>
      <c r="R117" t="str">
        <f>IFERROR(AVERAGE('Feeders Raw Data'!AB117:AB121),"")</f>
        <v/>
      </c>
      <c r="S117" t="str">
        <f>IFERROR(SUMPRODUCT('Feeders Raw Data'!V117:V136,'Feeders Raw Data'!AA117:AA136)/SUM('Feeders Raw Data'!AA117:AA136),"")</f>
        <v/>
      </c>
      <c r="T117">
        <f>IFERROR(SQRT((SUMSQ('Feeders Raw Data'!V117:V136)-2*SUMPRODUCT('Feeders Raw Data'!V117:V136,'Feeders Raw Data'!V118:V137)+SUMSQ('Feeders Raw Data'!V118:V137)-('Feeders Raw Data'!V117-'Feeders Raw Data'!V137)^2/20)/19),"")</f>
        <v>0</v>
      </c>
      <c r="V117">
        <f>IFERROR('Feeders Raw Data'!AE117,"")</f>
        <v>0</v>
      </c>
      <c r="W117">
        <f>IFERROR('Feeders Raw Data'!AJ117,"")</f>
        <v>0</v>
      </c>
      <c r="X117">
        <f>IFERROR('Feeders Raw Data'!AL117-'Feeders Raw Data'!AL118,"")</f>
        <v>0</v>
      </c>
      <c r="Y117" t="str">
        <f>IFERROR(AVERAGE('Feeders Raw Data'!AL117:AL121),"")</f>
        <v/>
      </c>
      <c r="Z117" t="str">
        <f>IFERROR(SUMPRODUCT('Feeders Raw Data'!AF117:AF136,'Feeders Raw Data'!AK117:AK136)/SUM('Feeders Raw Data'!AK117:AK136),"")</f>
        <v/>
      </c>
      <c r="AA117">
        <f>IFERROR(SQRT((SUMSQ('Feeders Raw Data'!AF117:AF136)-2*SUMPRODUCT('Feeders Raw Data'!AF117:AF136,'Feeders Raw Data'!AF118:AF137)+SUMSQ('Feeders Raw Data'!AF118:AF137)-('Feeders Raw Data'!AF117-'Feeders Raw Data'!AF137)^2/20)/19),"")</f>
        <v>0</v>
      </c>
      <c r="AC117">
        <f>IFERROR('Feeders Raw Data'!AO117,"")</f>
        <v>0</v>
      </c>
      <c r="AD117">
        <f>IFERROR('Feeders Raw Data'!AT117,"")</f>
        <v>0</v>
      </c>
      <c r="AE117">
        <f>IFERROR('Feeders Raw Data'!AV117-'Feeders Raw Data'!AV118,"")</f>
        <v>0</v>
      </c>
      <c r="AF117" t="str">
        <f>IFERROR(AVERAGE('Feeders Raw Data'!AV117:AV121),"")</f>
        <v/>
      </c>
      <c r="AG117" t="str">
        <f>IFERROR(SUMPRODUCT('Feeders Raw Data'!AP117:AP136,'Feeders Raw Data'!AU117:AU136)/SUM('Feeders Raw Data'!AU117:AU136),"")</f>
        <v/>
      </c>
      <c r="AH117">
        <f>IFERROR(SQRT((SUMSQ('Feeders Raw Data'!AP117:AP136)-2*SUMPRODUCT('Feeders Raw Data'!AP117:AP136,'Feeders Raw Data'!AP118:AP137)+SUMSQ('Feeders Raw Data'!AP118:AP137)-('Feeders Raw Data'!AP117-'Feeders Raw Data'!AP137)^2/20)/19),"")</f>
        <v>0</v>
      </c>
      <c r="AJ117">
        <f>IFERROR('Feeders Raw Data'!AY117,"")</f>
        <v>0</v>
      </c>
      <c r="AK117">
        <f>IFERROR('Feeders Raw Data'!BD117,"")</f>
        <v>0</v>
      </c>
      <c r="AL117">
        <f>IFERROR('Feeders Raw Data'!BF117-'Feeders Raw Data'!BF118,"")</f>
        <v>0</v>
      </c>
      <c r="AM117" t="str">
        <f>IFERROR(AVERAGE('Feeders Raw Data'!BF117:BF121),"")</f>
        <v/>
      </c>
      <c r="AN117" t="str">
        <f>IFERROR(SUMPRODUCT('Feeders Raw Data'!AZ117:AZ136,'Feeders Raw Data'!BE117:BE136)/SUM('Feeders Raw Data'!BE117:BE136),"")</f>
        <v/>
      </c>
      <c r="AO117">
        <f>IFERROR(SQRT((SUMSQ('Feeders Raw Data'!AZ117:AZ136)-2*SUMPRODUCT('Feeders Raw Data'!AZ117:AZ136,'Feeders Raw Data'!AZ118:AZ137)+SUMSQ('Feeders Raw Data'!AZ118:AZ137)-('Feeders Raw Data'!AZ117-'Feeders Raw Data'!AZ137)^2/20)/19),"")</f>
        <v>0</v>
      </c>
      <c r="AQ117">
        <f>IFERROR('Feeders Raw Data'!BI117,"")</f>
        <v>0</v>
      </c>
      <c r="AR117">
        <f>IFERROR('Feeders Raw Data'!BN117,"")</f>
        <v>0</v>
      </c>
      <c r="AS117">
        <f>IFERROR('Feeders Raw Data'!BP117-'Feeders Raw Data'!BP118,"")</f>
        <v>0</v>
      </c>
      <c r="AT117" t="str">
        <f>IFERROR(AVERAGE('Feeders Raw Data'!BP117:BP121),"")</f>
        <v/>
      </c>
      <c r="AU117" t="str">
        <f>IFERROR(SUMPRODUCT('Feeders Raw Data'!BJ117:BJ136,'Feeders Raw Data'!BO117:BO136)/SUM('Feeders Raw Data'!BO117:BO136),"")</f>
        <v/>
      </c>
      <c r="AV117">
        <f>IFERROR(SQRT((SUMSQ('Feeders Raw Data'!BJ117:BJ136)-2*SUMPRODUCT('Feeders Raw Data'!BJ117:BJ136,'Feeders Raw Data'!BJ118:BJ137)+SUMSQ('Feeders Raw Data'!BJ118:BJ137)-('Feeders Raw Data'!BJ117-'Feeders Raw Data'!BJ137)^2/20)/19),"")</f>
        <v>0</v>
      </c>
      <c r="AX117">
        <f>IFERROR('Feeders Raw Data'!BS117,"")</f>
        <v>0</v>
      </c>
      <c r="AY117">
        <f>IFERROR('Feeders Raw Data'!BX117,"")</f>
        <v>0</v>
      </c>
      <c r="AZ117">
        <f>IFERROR('Feeders Raw Data'!BZ117-'Feeders Raw Data'!BZ118,"")</f>
        <v>0</v>
      </c>
      <c r="BA117" t="str">
        <f>IFERROR(AVERAGE('Feeders Raw Data'!BZ117:BZ121),"")</f>
        <v/>
      </c>
      <c r="BB117" t="str">
        <f>IFERROR(SUMPRODUCT('Feeders Raw Data'!BT117:BT136,'Feeders Raw Data'!BY117:BY136)/SUM('Feeders Raw Data'!BY117:BY136),"")</f>
        <v/>
      </c>
      <c r="BC117">
        <f>IFERROR(SQRT((SUMSQ('Feeders Raw Data'!BT117:BT136)-2*SUMPRODUCT('Feeders Raw Data'!BT117:BT136,'Feeders Raw Data'!BT118:BT137)+SUMSQ('Feeders Raw Data'!BT118:BT137)-('Feeders Raw Data'!BT117-'Feeders Raw Data'!BT137)^2/20)/19),"")</f>
        <v>0</v>
      </c>
      <c r="BE117">
        <f>IFERROR('Fats Raw Data'!A117,"")</f>
        <v>0</v>
      </c>
      <c r="BF117">
        <f>IFERROR('Fats Raw Data'!F117,"")</f>
        <v>0</v>
      </c>
      <c r="BG117">
        <f>IFERROR('Fats Raw Data'!H117-'Fats Raw Data'!H118,"")</f>
        <v>0</v>
      </c>
      <c r="BH117" t="str">
        <f>IFERROR(AVERAGE('Fats Raw Data'!H117:H121),"")</f>
        <v/>
      </c>
      <c r="BI117" t="str">
        <f>IFERROR(SUMPRODUCT('Fats Raw Data'!B117:B136,'Fats Raw Data'!G117:G136)/SUM('Fats Raw Data'!G117:G136),"")</f>
        <v/>
      </c>
      <c r="BJ117">
        <f>IFERROR(SQRT((SUMSQ('Fats Raw Data'!B117:B136)-2*SUMPRODUCT('Fats Raw Data'!B117:B136,'Fats Raw Data'!B118:B137)+SUMSQ('Fats Raw Data'!B118:B137)-('Fats Raw Data'!B117-'Fats Raw Data'!B137)^2/20)/19),"")</f>
        <v>0</v>
      </c>
      <c r="BL117">
        <f>IFERROR('Fats Raw Data'!K117,"")</f>
        <v>0</v>
      </c>
      <c r="BM117">
        <f>IFERROR('Fats Raw Data'!P117,"")</f>
        <v>0</v>
      </c>
      <c r="BN117">
        <f>IFERROR('Fats Raw Data'!R117-'Fats Raw Data'!R118,"")</f>
        <v>0</v>
      </c>
      <c r="BO117" t="str">
        <f>IFERROR(AVERAGE('Fats Raw Data'!R117:R121),"")</f>
        <v/>
      </c>
      <c r="BP117" t="str">
        <f>IFERROR(SUMPRODUCT('Fats Raw Data'!L117:L136,'Fats Raw Data'!Q117:Q136)/SUM('Fats Raw Data'!Q117:Q136),"")</f>
        <v/>
      </c>
      <c r="BQ117">
        <f>IFERROR(SQRT((SUMSQ('Fats Raw Data'!L117:L136)-2*SUMPRODUCT('Fats Raw Data'!L117:L136,'Fats Raw Data'!L118:L137)+SUMSQ('Fats Raw Data'!L118:L137)-('Fats Raw Data'!L117-'Fats Raw Data'!L137)^2/20)/19),"")</f>
        <v>0</v>
      </c>
      <c r="BS117">
        <f>IFERROR('Fats Raw Data'!U117,"")</f>
        <v>0</v>
      </c>
      <c r="BT117">
        <f>IFERROR('Fats Raw Data'!Z117,"")</f>
        <v>0</v>
      </c>
      <c r="BU117">
        <f>IFERROR('Fats Raw Data'!AB117-'Fats Raw Data'!AB118,"")</f>
        <v>0</v>
      </c>
      <c r="BV117" t="str">
        <f>IFERROR(AVERAGE('Fats Raw Data'!AB117:AB121),"")</f>
        <v/>
      </c>
      <c r="BW117" t="str">
        <f>IFERROR(SUMPRODUCT('Fats Raw Data'!V117:V136,'Fats Raw Data'!AA117:AA136)/SUM('Fats Raw Data'!AA117:AA136),"")</f>
        <v/>
      </c>
      <c r="BX117">
        <f>IFERROR(SQRT((SUMSQ('Fats Raw Data'!V117:V136)-2*SUMPRODUCT('Fats Raw Data'!V117:V136,'Fats Raw Data'!V118:V137)+SUMSQ('Fats Raw Data'!V118:V137)-('Fats Raw Data'!V117-'Fats Raw Data'!V137)^2/20)/19),"")</f>
        <v>0</v>
      </c>
      <c r="BZ117">
        <f>IFERROR('Fats Raw Data'!AE117,"")</f>
        <v>0</v>
      </c>
      <c r="CA117">
        <f>IFERROR('Fats Raw Data'!AJ117,"")</f>
        <v>0</v>
      </c>
      <c r="CB117">
        <f>IFERROR('Fats Raw Data'!AL117-'Fats Raw Data'!AL118,"")</f>
        <v>0</v>
      </c>
      <c r="CC117" t="str">
        <f>IFERROR(AVERAGE('Fats Raw Data'!AL117:AL121),"")</f>
        <v/>
      </c>
      <c r="CD117" t="str">
        <f>IFERROR(SUMPRODUCT('Fats Raw Data'!AF117:AF136,'Fats Raw Data'!AK117:AK136)/SUM('Fats Raw Data'!AK117:AK136),"")</f>
        <v/>
      </c>
      <c r="CE117">
        <f>IFERROR(SQRT((SUMSQ('Fats Raw Data'!AF117:AF136)-2*SUMPRODUCT('Fats Raw Data'!AF117:AF136,'Fats Raw Data'!AF118:AF137)+SUMSQ('Fats Raw Data'!AF118:AF137)-('Fats Raw Data'!AF117-'Fats Raw Data'!AF137)^2/20)/19),"")</f>
        <v>0</v>
      </c>
      <c r="CG117">
        <f>IFERROR('Fats Raw Data'!AO117,"")</f>
        <v>0</v>
      </c>
      <c r="CH117">
        <f>IFERROR('Fats Raw Data'!AT117,"")</f>
        <v>0</v>
      </c>
      <c r="CI117">
        <f>IFERROR('Fats Raw Data'!AV117-'Fats Raw Data'!AV118,"")</f>
        <v>0</v>
      </c>
      <c r="CJ117" t="str">
        <f>IFERROR(AVERAGE('Fats Raw Data'!AV117:AV121),"")</f>
        <v/>
      </c>
      <c r="CK117" t="str">
        <f>IFERROR(SUMPRODUCT('Fats Raw Data'!AP117:AP136,'Fats Raw Data'!AU117:AU136)/SUM('Fats Raw Data'!AU117:AU136),"")</f>
        <v/>
      </c>
      <c r="CL117">
        <f>IFERROR(SQRT((SUMSQ('Fats Raw Data'!AP117:AP136)-2*SUMPRODUCT('Fats Raw Data'!AP117:AP136,'Fats Raw Data'!AP118:AP137)+SUMSQ('Fats Raw Data'!AP118:AP137)-('Fats Raw Data'!AP117-'Fats Raw Data'!AP137)^2/20)/19),"")</f>
        <v>0</v>
      </c>
      <c r="CN117">
        <f>IFERROR('Fats Raw Data'!AY117,"")</f>
        <v>0</v>
      </c>
      <c r="CO117">
        <f>IFERROR('Fats Raw Data'!BD117,"")</f>
        <v>0</v>
      </c>
      <c r="CP117">
        <f>IFERROR('Fats Raw Data'!BF117-'Fats Raw Data'!BF118,"")</f>
        <v>0</v>
      </c>
      <c r="CQ117" t="str">
        <f>IFERROR(AVERAGE('Fats Raw Data'!BF117:BF121),"")</f>
        <v/>
      </c>
      <c r="CR117" t="str">
        <f>IFERROR(SUMPRODUCT('Fats Raw Data'!AZ117:AZ136,'Fats Raw Data'!BE117:BE136)/SUM('Fats Raw Data'!BE117:BE136),"")</f>
        <v/>
      </c>
      <c r="CS117">
        <f>IFERROR(SQRT((SUMSQ('Fats Raw Data'!AZ117:AZ136)-2*SUMPRODUCT('Fats Raw Data'!AZ117:AZ136,'Fats Raw Data'!AZ118:AZ137)+SUMSQ('Fats Raw Data'!AZ118:AZ137)-('Fats Raw Data'!AZ117-'Fats Raw Data'!AZ137)^2/20)/19),"")</f>
        <v>0</v>
      </c>
    </row>
    <row r="118" spans="1:97" x14ac:dyDescent="0.25">
      <c r="A118">
        <f>IFERROR('Feeders Raw Data'!A118,"")</f>
        <v>0</v>
      </c>
      <c r="B118">
        <f>IFERROR('Feeders Raw Data'!F118,"")</f>
        <v>0</v>
      </c>
      <c r="C118">
        <f>IFERROR('Feeders Raw Data'!H118-'Feeders Raw Data'!H119,"")</f>
        <v>0</v>
      </c>
      <c r="D118" t="str">
        <f>IFERROR(AVERAGE('Feeders Raw Data'!H118:H122),"")</f>
        <v/>
      </c>
      <c r="E118" t="str">
        <f>IFERROR(SUMPRODUCT('Feeders Raw Data'!B118:B137,'Feeders Raw Data'!G118:G137)/SUM('Feeders Raw Data'!G118:G137),"")</f>
        <v/>
      </c>
      <c r="F118">
        <f>IFERROR(SQRT((SUMSQ('Feeders Raw Data'!B118:B137)-2*SUMPRODUCT('Feeders Raw Data'!B118:B137,'Feeders Raw Data'!B119:B138)+SUMSQ('Feeders Raw Data'!B119:B138)-('Feeders Raw Data'!B118-'Feeders Raw Data'!B138)^2/20)/19),"")</f>
        <v>0</v>
      </c>
      <c r="H118">
        <f>IFERROR('Feeders Raw Data'!K118,"")</f>
        <v>0</v>
      </c>
      <c r="I118">
        <f>IFERROR('Feeders Raw Data'!P118,"")</f>
        <v>0</v>
      </c>
      <c r="J118">
        <f>IFERROR('Feeders Raw Data'!R118-'Feeders Raw Data'!R119,"")</f>
        <v>0</v>
      </c>
      <c r="K118" t="str">
        <f>IFERROR(AVERAGE('Feeders Raw Data'!R118:R122),"")</f>
        <v/>
      </c>
      <c r="L118" t="str">
        <f>IFERROR(SUMPRODUCT('Feeders Raw Data'!L118:L137,'Feeders Raw Data'!Q118:Q137)/SUM('Feeders Raw Data'!Q118:Q137),"")</f>
        <v/>
      </c>
      <c r="M118">
        <f>IFERROR(SQRT((SUMSQ('Feeders Raw Data'!L118:L137)-2*SUMPRODUCT('Feeders Raw Data'!L118:L137,'Feeders Raw Data'!L119:L138)+SUMSQ('Feeders Raw Data'!L119:L138)-('Feeders Raw Data'!L118-'Feeders Raw Data'!L138)^2/20)/19),"")</f>
        <v>0</v>
      </c>
      <c r="O118">
        <f>IFERROR('Feeders Raw Data'!U118,"")</f>
        <v>0</v>
      </c>
      <c r="P118">
        <f>IFERROR('Feeders Raw Data'!Z118,"")</f>
        <v>0</v>
      </c>
      <c r="Q118">
        <f>IFERROR('Feeders Raw Data'!AB118-'Feeders Raw Data'!AB119,"")</f>
        <v>0</v>
      </c>
      <c r="R118" t="str">
        <f>IFERROR(AVERAGE('Feeders Raw Data'!AB118:AB122),"")</f>
        <v/>
      </c>
      <c r="S118" t="str">
        <f>IFERROR(SUMPRODUCT('Feeders Raw Data'!V118:V137,'Feeders Raw Data'!AA118:AA137)/SUM('Feeders Raw Data'!AA118:AA137),"")</f>
        <v/>
      </c>
      <c r="T118">
        <f>IFERROR(SQRT((SUMSQ('Feeders Raw Data'!V118:V137)-2*SUMPRODUCT('Feeders Raw Data'!V118:V137,'Feeders Raw Data'!V119:V138)+SUMSQ('Feeders Raw Data'!V119:V138)-('Feeders Raw Data'!V118-'Feeders Raw Data'!V138)^2/20)/19),"")</f>
        <v>0</v>
      </c>
      <c r="V118">
        <f>IFERROR('Feeders Raw Data'!AE118,"")</f>
        <v>0</v>
      </c>
      <c r="W118">
        <f>IFERROR('Feeders Raw Data'!AJ118,"")</f>
        <v>0</v>
      </c>
      <c r="X118">
        <f>IFERROR('Feeders Raw Data'!AL118-'Feeders Raw Data'!AL119,"")</f>
        <v>0</v>
      </c>
      <c r="Y118" t="str">
        <f>IFERROR(AVERAGE('Feeders Raw Data'!AL118:AL122),"")</f>
        <v/>
      </c>
      <c r="Z118" t="str">
        <f>IFERROR(SUMPRODUCT('Feeders Raw Data'!AF118:AF137,'Feeders Raw Data'!AK118:AK137)/SUM('Feeders Raw Data'!AK118:AK137),"")</f>
        <v/>
      </c>
      <c r="AA118">
        <f>IFERROR(SQRT((SUMSQ('Feeders Raw Data'!AF118:AF137)-2*SUMPRODUCT('Feeders Raw Data'!AF118:AF137,'Feeders Raw Data'!AF119:AF138)+SUMSQ('Feeders Raw Data'!AF119:AF138)-('Feeders Raw Data'!AF118-'Feeders Raw Data'!AF138)^2/20)/19),"")</f>
        <v>0</v>
      </c>
      <c r="AC118">
        <f>IFERROR('Feeders Raw Data'!AO118,"")</f>
        <v>0</v>
      </c>
      <c r="AD118">
        <f>IFERROR('Feeders Raw Data'!AT118,"")</f>
        <v>0</v>
      </c>
      <c r="AE118">
        <f>IFERROR('Feeders Raw Data'!AV118-'Feeders Raw Data'!AV119,"")</f>
        <v>0</v>
      </c>
      <c r="AF118" t="str">
        <f>IFERROR(AVERAGE('Feeders Raw Data'!AV118:AV122),"")</f>
        <v/>
      </c>
      <c r="AG118" t="str">
        <f>IFERROR(SUMPRODUCT('Feeders Raw Data'!AP118:AP137,'Feeders Raw Data'!AU118:AU137)/SUM('Feeders Raw Data'!AU118:AU137),"")</f>
        <v/>
      </c>
      <c r="AH118">
        <f>IFERROR(SQRT((SUMSQ('Feeders Raw Data'!AP118:AP137)-2*SUMPRODUCT('Feeders Raw Data'!AP118:AP137,'Feeders Raw Data'!AP119:AP138)+SUMSQ('Feeders Raw Data'!AP119:AP138)-('Feeders Raw Data'!AP118-'Feeders Raw Data'!AP138)^2/20)/19),"")</f>
        <v>0</v>
      </c>
      <c r="AJ118">
        <f>IFERROR('Feeders Raw Data'!AY118,"")</f>
        <v>0</v>
      </c>
      <c r="AK118">
        <f>IFERROR('Feeders Raw Data'!BD118,"")</f>
        <v>0</v>
      </c>
      <c r="AL118">
        <f>IFERROR('Feeders Raw Data'!BF118-'Feeders Raw Data'!BF119,"")</f>
        <v>0</v>
      </c>
      <c r="AM118" t="str">
        <f>IFERROR(AVERAGE('Feeders Raw Data'!BF118:BF122),"")</f>
        <v/>
      </c>
      <c r="AN118" t="str">
        <f>IFERROR(SUMPRODUCT('Feeders Raw Data'!AZ118:AZ137,'Feeders Raw Data'!BE118:BE137)/SUM('Feeders Raw Data'!BE118:BE137),"")</f>
        <v/>
      </c>
      <c r="AO118">
        <f>IFERROR(SQRT((SUMSQ('Feeders Raw Data'!AZ118:AZ137)-2*SUMPRODUCT('Feeders Raw Data'!AZ118:AZ137,'Feeders Raw Data'!AZ119:AZ138)+SUMSQ('Feeders Raw Data'!AZ119:AZ138)-('Feeders Raw Data'!AZ118-'Feeders Raw Data'!AZ138)^2/20)/19),"")</f>
        <v>0</v>
      </c>
      <c r="AQ118">
        <f>IFERROR('Feeders Raw Data'!BI118,"")</f>
        <v>0</v>
      </c>
      <c r="AR118">
        <f>IFERROR('Feeders Raw Data'!BN118,"")</f>
        <v>0</v>
      </c>
      <c r="AS118">
        <f>IFERROR('Feeders Raw Data'!BP118-'Feeders Raw Data'!BP119,"")</f>
        <v>0</v>
      </c>
      <c r="AT118" t="str">
        <f>IFERROR(AVERAGE('Feeders Raw Data'!BP118:BP122),"")</f>
        <v/>
      </c>
      <c r="AU118" t="str">
        <f>IFERROR(SUMPRODUCT('Feeders Raw Data'!BJ118:BJ137,'Feeders Raw Data'!BO118:BO137)/SUM('Feeders Raw Data'!BO118:BO137),"")</f>
        <v/>
      </c>
      <c r="AV118">
        <f>IFERROR(SQRT((SUMSQ('Feeders Raw Data'!BJ118:BJ137)-2*SUMPRODUCT('Feeders Raw Data'!BJ118:BJ137,'Feeders Raw Data'!BJ119:BJ138)+SUMSQ('Feeders Raw Data'!BJ119:BJ138)-('Feeders Raw Data'!BJ118-'Feeders Raw Data'!BJ138)^2/20)/19),"")</f>
        <v>0</v>
      </c>
      <c r="AX118">
        <f>IFERROR('Feeders Raw Data'!BS118,"")</f>
        <v>0</v>
      </c>
      <c r="AY118">
        <f>IFERROR('Feeders Raw Data'!BX118,"")</f>
        <v>0</v>
      </c>
      <c r="AZ118">
        <f>IFERROR('Feeders Raw Data'!BZ118-'Feeders Raw Data'!BZ119,"")</f>
        <v>0</v>
      </c>
      <c r="BA118" t="str">
        <f>IFERROR(AVERAGE('Feeders Raw Data'!BZ118:BZ122),"")</f>
        <v/>
      </c>
      <c r="BB118" t="str">
        <f>IFERROR(SUMPRODUCT('Feeders Raw Data'!BT118:BT137,'Feeders Raw Data'!BY118:BY137)/SUM('Feeders Raw Data'!BY118:BY137),"")</f>
        <v/>
      </c>
      <c r="BC118">
        <f>IFERROR(SQRT((SUMSQ('Feeders Raw Data'!BT118:BT137)-2*SUMPRODUCT('Feeders Raw Data'!BT118:BT137,'Feeders Raw Data'!BT119:BT138)+SUMSQ('Feeders Raw Data'!BT119:BT138)-('Feeders Raw Data'!BT118-'Feeders Raw Data'!BT138)^2/20)/19),"")</f>
        <v>0</v>
      </c>
      <c r="BE118">
        <f>IFERROR('Fats Raw Data'!A118,"")</f>
        <v>0</v>
      </c>
      <c r="BF118">
        <f>IFERROR('Fats Raw Data'!F118,"")</f>
        <v>0</v>
      </c>
      <c r="BG118">
        <f>IFERROR('Fats Raw Data'!H118-'Fats Raw Data'!H119,"")</f>
        <v>0</v>
      </c>
      <c r="BH118" t="str">
        <f>IFERROR(AVERAGE('Fats Raw Data'!H118:H122),"")</f>
        <v/>
      </c>
      <c r="BI118" t="str">
        <f>IFERROR(SUMPRODUCT('Fats Raw Data'!B118:B137,'Fats Raw Data'!G118:G137)/SUM('Fats Raw Data'!G118:G137),"")</f>
        <v/>
      </c>
      <c r="BJ118">
        <f>IFERROR(SQRT((SUMSQ('Fats Raw Data'!B118:B137)-2*SUMPRODUCT('Fats Raw Data'!B118:B137,'Fats Raw Data'!B119:B138)+SUMSQ('Fats Raw Data'!B119:B138)-('Fats Raw Data'!B118-'Fats Raw Data'!B138)^2/20)/19),"")</f>
        <v>0</v>
      </c>
      <c r="BL118">
        <f>IFERROR('Fats Raw Data'!K118,"")</f>
        <v>0</v>
      </c>
      <c r="BM118">
        <f>IFERROR('Fats Raw Data'!P118,"")</f>
        <v>0</v>
      </c>
      <c r="BN118">
        <f>IFERROR('Fats Raw Data'!R118-'Fats Raw Data'!R119,"")</f>
        <v>0</v>
      </c>
      <c r="BO118" t="str">
        <f>IFERROR(AVERAGE('Fats Raw Data'!R118:R122),"")</f>
        <v/>
      </c>
      <c r="BP118" t="str">
        <f>IFERROR(SUMPRODUCT('Fats Raw Data'!L118:L137,'Fats Raw Data'!Q118:Q137)/SUM('Fats Raw Data'!Q118:Q137),"")</f>
        <v/>
      </c>
      <c r="BQ118">
        <f>IFERROR(SQRT((SUMSQ('Fats Raw Data'!L118:L137)-2*SUMPRODUCT('Fats Raw Data'!L118:L137,'Fats Raw Data'!L119:L138)+SUMSQ('Fats Raw Data'!L119:L138)-('Fats Raw Data'!L118-'Fats Raw Data'!L138)^2/20)/19),"")</f>
        <v>0</v>
      </c>
      <c r="BS118">
        <f>IFERROR('Fats Raw Data'!U118,"")</f>
        <v>0</v>
      </c>
      <c r="BT118">
        <f>IFERROR('Fats Raw Data'!Z118,"")</f>
        <v>0</v>
      </c>
      <c r="BU118">
        <f>IFERROR('Fats Raw Data'!AB118-'Fats Raw Data'!AB119,"")</f>
        <v>0</v>
      </c>
      <c r="BV118" t="str">
        <f>IFERROR(AVERAGE('Fats Raw Data'!AB118:AB122),"")</f>
        <v/>
      </c>
      <c r="BW118" t="str">
        <f>IFERROR(SUMPRODUCT('Fats Raw Data'!V118:V137,'Fats Raw Data'!AA118:AA137)/SUM('Fats Raw Data'!AA118:AA137),"")</f>
        <v/>
      </c>
      <c r="BX118">
        <f>IFERROR(SQRT((SUMSQ('Fats Raw Data'!V118:V137)-2*SUMPRODUCT('Fats Raw Data'!V118:V137,'Fats Raw Data'!V119:V138)+SUMSQ('Fats Raw Data'!V119:V138)-('Fats Raw Data'!V118-'Fats Raw Data'!V138)^2/20)/19),"")</f>
        <v>0</v>
      </c>
      <c r="BZ118">
        <f>IFERROR('Fats Raw Data'!AE118,"")</f>
        <v>0</v>
      </c>
      <c r="CA118">
        <f>IFERROR('Fats Raw Data'!AJ118,"")</f>
        <v>0</v>
      </c>
      <c r="CB118">
        <f>IFERROR('Fats Raw Data'!AL118-'Fats Raw Data'!AL119,"")</f>
        <v>0</v>
      </c>
      <c r="CC118" t="str">
        <f>IFERROR(AVERAGE('Fats Raw Data'!AL118:AL122),"")</f>
        <v/>
      </c>
      <c r="CD118" t="str">
        <f>IFERROR(SUMPRODUCT('Fats Raw Data'!AF118:AF137,'Fats Raw Data'!AK118:AK137)/SUM('Fats Raw Data'!AK118:AK137),"")</f>
        <v/>
      </c>
      <c r="CE118">
        <f>IFERROR(SQRT((SUMSQ('Fats Raw Data'!AF118:AF137)-2*SUMPRODUCT('Fats Raw Data'!AF118:AF137,'Fats Raw Data'!AF119:AF138)+SUMSQ('Fats Raw Data'!AF119:AF138)-('Fats Raw Data'!AF118-'Fats Raw Data'!AF138)^2/20)/19),"")</f>
        <v>0</v>
      </c>
      <c r="CG118">
        <f>IFERROR('Fats Raw Data'!AO118,"")</f>
        <v>0</v>
      </c>
      <c r="CH118">
        <f>IFERROR('Fats Raw Data'!AT118,"")</f>
        <v>0</v>
      </c>
      <c r="CI118">
        <f>IFERROR('Fats Raw Data'!AV118-'Fats Raw Data'!AV119,"")</f>
        <v>0</v>
      </c>
      <c r="CJ118" t="str">
        <f>IFERROR(AVERAGE('Fats Raw Data'!AV118:AV122),"")</f>
        <v/>
      </c>
      <c r="CK118" t="str">
        <f>IFERROR(SUMPRODUCT('Fats Raw Data'!AP118:AP137,'Fats Raw Data'!AU118:AU137)/SUM('Fats Raw Data'!AU118:AU137),"")</f>
        <v/>
      </c>
      <c r="CL118">
        <f>IFERROR(SQRT((SUMSQ('Fats Raw Data'!AP118:AP137)-2*SUMPRODUCT('Fats Raw Data'!AP118:AP137,'Fats Raw Data'!AP119:AP138)+SUMSQ('Fats Raw Data'!AP119:AP138)-('Fats Raw Data'!AP118-'Fats Raw Data'!AP138)^2/20)/19),"")</f>
        <v>0</v>
      </c>
      <c r="CN118">
        <f>IFERROR('Fats Raw Data'!AY118,"")</f>
        <v>0</v>
      </c>
      <c r="CO118">
        <f>IFERROR('Fats Raw Data'!BD118,"")</f>
        <v>0</v>
      </c>
      <c r="CP118">
        <f>IFERROR('Fats Raw Data'!BF118-'Fats Raw Data'!BF119,"")</f>
        <v>0</v>
      </c>
      <c r="CQ118" t="str">
        <f>IFERROR(AVERAGE('Fats Raw Data'!BF118:BF122),"")</f>
        <v/>
      </c>
      <c r="CR118" t="str">
        <f>IFERROR(SUMPRODUCT('Fats Raw Data'!AZ118:AZ137,'Fats Raw Data'!BE118:BE137)/SUM('Fats Raw Data'!BE118:BE137),"")</f>
        <v/>
      </c>
      <c r="CS118">
        <f>IFERROR(SQRT((SUMSQ('Fats Raw Data'!AZ118:AZ137)-2*SUMPRODUCT('Fats Raw Data'!AZ118:AZ137,'Fats Raw Data'!AZ119:AZ138)+SUMSQ('Fats Raw Data'!AZ119:AZ138)-('Fats Raw Data'!AZ118-'Fats Raw Data'!AZ138)^2/20)/19),"")</f>
        <v>0</v>
      </c>
    </row>
    <row r="119" spans="1:97" x14ac:dyDescent="0.25">
      <c r="A119">
        <f>IFERROR('Feeders Raw Data'!A119,"")</f>
        <v>0</v>
      </c>
      <c r="B119">
        <f>IFERROR('Feeders Raw Data'!F119,"")</f>
        <v>0</v>
      </c>
      <c r="C119">
        <f>IFERROR('Feeders Raw Data'!H119-'Feeders Raw Data'!H120,"")</f>
        <v>0</v>
      </c>
      <c r="D119" t="str">
        <f>IFERROR(AVERAGE('Feeders Raw Data'!H119:H123),"")</f>
        <v/>
      </c>
      <c r="E119" t="str">
        <f>IFERROR(SUMPRODUCT('Feeders Raw Data'!B119:B138,'Feeders Raw Data'!G119:G138)/SUM('Feeders Raw Data'!G119:G138),"")</f>
        <v/>
      </c>
      <c r="F119">
        <f>IFERROR(SQRT((SUMSQ('Feeders Raw Data'!B119:B138)-2*SUMPRODUCT('Feeders Raw Data'!B119:B138,'Feeders Raw Data'!B120:B139)+SUMSQ('Feeders Raw Data'!B120:B139)-('Feeders Raw Data'!B119-'Feeders Raw Data'!B139)^2/20)/19),"")</f>
        <v>0</v>
      </c>
      <c r="H119">
        <f>IFERROR('Feeders Raw Data'!K119,"")</f>
        <v>0</v>
      </c>
      <c r="I119">
        <f>IFERROR('Feeders Raw Data'!P119,"")</f>
        <v>0</v>
      </c>
      <c r="J119">
        <f>IFERROR('Feeders Raw Data'!R119-'Feeders Raw Data'!R120,"")</f>
        <v>0</v>
      </c>
      <c r="K119" t="str">
        <f>IFERROR(AVERAGE('Feeders Raw Data'!R119:R123),"")</f>
        <v/>
      </c>
      <c r="L119" t="str">
        <f>IFERROR(SUMPRODUCT('Feeders Raw Data'!L119:L138,'Feeders Raw Data'!Q119:Q138)/SUM('Feeders Raw Data'!Q119:Q138),"")</f>
        <v/>
      </c>
      <c r="M119">
        <f>IFERROR(SQRT((SUMSQ('Feeders Raw Data'!L119:L138)-2*SUMPRODUCT('Feeders Raw Data'!L119:L138,'Feeders Raw Data'!L120:L139)+SUMSQ('Feeders Raw Data'!L120:L139)-('Feeders Raw Data'!L119-'Feeders Raw Data'!L139)^2/20)/19),"")</f>
        <v>0</v>
      </c>
      <c r="O119">
        <f>IFERROR('Feeders Raw Data'!U119,"")</f>
        <v>0</v>
      </c>
      <c r="P119">
        <f>IFERROR('Feeders Raw Data'!Z119,"")</f>
        <v>0</v>
      </c>
      <c r="Q119">
        <f>IFERROR('Feeders Raw Data'!AB119-'Feeders Raw Data'!AB120,"")</f>
        <v>0</v>
      </c>
      <c r="R119" t="str">
        <f>IFERROR(AVERAGE('Feeders Raw Data'!AB119:AB123),"")</f>
        <v/>
      </c>
      <c r="S119" t="str">
        <f>IFERROR(SUMPRODUCT('Feeders Raw Data'!V119:V138,'Feeders Raw Data'!AA119:AA138)/SUM('Feeders Raw Data'!AA119:AA138),"")</f>
        <v/>
      </c>
      <c r="T119">
        <f>IFERROR(SQRT((SUMSQ('Feeders Raw Data'!V119:V138)-2*SUMPRODUCT('Feeders Raw Data'!V119:V138,'Feeders Raw Data'!V120:V139)+SUMSQ('Feeders Raw Data'!V120:V139)-('Feeders Raw Data'!V119-'Feeders Raw Data'!V139)^2/20)/19),"")</f>
        <v>0</v>
      </c>
      <c r="V119">
        <f>IFERROR('Feeders Raw Data'!AE119,"")</f>
        <v>0</v>
      </c>
      <c r="W119">
        <f>IFERROR('Feeders Raw Data'!AJ119,"")</f>
        <v>0</v>
      </c>
      <c r="X119">
        <f>IFERROR('Feeders Raw Data'!AL119-'Feeders Raw Data'!AL120,"")</f>
        <v>0</v>
      </c>
      <c r="Y119" t="str">
        <f>IFERROR(AVERAGE('Feeders Raw Data'!AL119:AL123),"")</f>
        <v/>
      </c>
      <c r="Z119" t="str">
        <f>IFERROR(SUMPRODUCT('Feeders Raw Data'!AF119:AF138,'Feeders Raw Data'!AK119:AK138)/SUM('Feeders Raw Data'!AK119:AK138),"")</f>
        <v/>
      </c>
      <c r="AA119">
        <f>IFERROR(SQRT((SUMSQ('Feeders Raw Data'!AF119:AF138)-2*SUMPRODUCT('Feeders Raw Data'!AF119:AF138,'Feeders Raw Data'!AF120:AF139)+SUMSQ('Feeders Raw Data'!AF120:AF139)-('Feeders Raw Data'!AF119-'Feeders Raw Data'!AF139)^2/20)/19),"")</f>
        <v>0</v>
      </c>
      <c r="AC119">
        <f>IFERROR('Feeders Raw Data'!AO119,"")</f>
        <v>0</v>
      </c>
      <c r="AD119">
        <f>IFERROR('Feeders Raw Data'!AT119,"")</f>
        <v>0</v>
      </c>
      <c r="AE119">
        <f>IFERROR('Feeders Raw Data'!AV119-'Feeders Raw Data'!AV120,"")</f>
        <v>0</v>
      </c>
      <c r="AF119" t="str">
        <f>IFERROR(AVERAGE('Feeders Raw Data'!AV119:AV123),"")</f>
        <v/>
      </c>
      <c r="AG119" t="str">
        <f>IFERROR(SUMPRODUCT('Feeders Raw Data'!AP119:AP138,'Feeders Raw Data'!AU119:AU138)/SUM('Feeders Raw Data'!AU119:AU138),"")</f>
        <v/>
      </c>
      <c r="AH119">
        <f>IFERROR(SQRT((SUMSQ('Feeders Raw Data'!AP119:AP138)-2*SUMPRODUCT('Feeders Raw Data'!AP119:AP138,'Feeders Raw Data'!AP120:AP139)+SUMSQ('Feeders Raw Data'!AP120:AP139)-('Feeders Raw Data'!AP119-'Feeders Raw Data'!AP139)^2/20)/19),"")</f>
        <v>0</v>
      </c>
      <c r="AJ119">
        <f>IFERROR('Feeders Raw Data'!AY119,"")</f>
        <v>0</v>
      </c>
      <c r="AK119">
        <f>IFERROR('Feeders Raw Data'!BD119,"")</f>
        <v>0</v>
      </c>
      <c r="AL119">
        <f>IFERROR('Feeders Raw Data'!BF119-'Feeders Raw Data'!BF120,"")</f>
        <v>0</v>
      </c>
      <c r="AM119" t="str">
        <f>IFERROR(AVERAGE('Feeders Raw Data'!BF119:BF123),"")</f>
        <v/>
      </c>
      <c r="AN119" t="str">
        <f>IFERROR(SUMPRODUCT('Feeders Raw Data'!AZ119:AZ138,'Feeders Raw Data'!BE119:BE138)/SUM('Feeders Raw Data'!BE119:BE138),"")</f>
        <v/>
      </c>
      <c r="AO119">
        <f>IFERROR(SQRT((SUMSQ('Feeders Raw Data'!AZ119:AZ138)-2*SUMPRODUCT('Feeders Raw Data'!AZ119:AZ138,'Feeders Raw Data'!AZ120:AZ139)+SUMSQ('Feeders Raw Data'!AZ120:AZ139)-('Feeders Raw Data'!AZ119-'Feeders Raw Data'!AZ139)^2/20)/19),"")</f>
        <v>0</v>
      </c>
      <c r="AQ119">
        <f>IFERROR('Feeders Raw Data'!BI119,"")</f>
        <v>0</v>
      </c>
      <c r="AR119">
        <f>IFERROR('Feeders Raw Data'!BN119,"")</f>
        <v>0</v>
      </c>
      <c r="AS119">
        <f>IFERROR('Feeders Raw Data'!BP119-'Feeders Raw Data'!BP120,"")</f>
        <v>0</v>
      </c>
      <c r="AT119" t="str">
        <f>IFERROR(AVERAGE('Feeders Raw Data'!BP119:BP123),"")</f>
        <v/>
      </c>
      <c r="AU119" t="str">
        <f>IFERROR(SUMPRODUCT('Feeders Raw Data'!BJ119:BJ138,'Feeders Raw Data'!BO119:BO138)/SUM('Feeders Raw Data'!BO119:BO138),"")</f>
        <v/>
      </c>
      <c r="AV119">
        <f>IFERROR(SQRT((SUMSQ('Feeders Raw Data'!BJ119:BJ138)-2*SUMPRODUCT('Feeders Raw Data'!BJ119:BJ138,'Feeders Raw Data'!BJ120:BJ139)+SUMSQ('Feeders Raw Data'!BJ120:BJ139)-('Feeders Raw Data'!BJ119-'Feeders Raw Data'!BJ139)^2/20)/19),"")</f>
        <v>0</v>
      </c>
      <c r="AX119">
        <f>IFERROR('Feeders Raw Data'!BS119,"")</f>
        <v>0</v>
      </c>
      <c r="AY119">
        <f>IFERROR('Feeders Raw Data'!BX119,"")</f>
        <v>0</v>
      </c>
      <c r="AZ119">
        <f>IFERROR('Feeders Raw Data'!BZ119-'Feeders Raw Data'!BZ120,"")</f>
        <v>0</v>
      </c>
      <c r="BA119" t="str">
        <f>IFERROR(AVERAGE('Feeders Raw Data'!BZ119:BZ123),"")</f>
        <v/>
      </c>
      <c r="BB119" t="str">
        <f>IFERROR(SUMPRODUCT('Feeders Raw Data'!BT119:BT138,'Feeders Raw Data'!BY119:BY138)/SUM('Feeders Raw Data'!BY119:BY138),"")</f>
        <v/>
      </c>
      <c r="BC119">
        <f>IFERROR(SQRT((SUMSQ('Feeders Raw Data'!BT119:BT138)-2*SUMPRODUCT('Feeders Raw Data'!BT119:BT138,'Feeders Raw Data'!BT120:BT139)+SUMSQ('Feeders Raw Data'!BT120:BT139)-('Feeders Raw Data'!BT119-'Feeders Raw Data'!BT139)^2/20)/19),"")</f>
        <v>0</v>
      </c>
      <c r="BE119">
        <f>IFERROR('Fats Raw Data'!A119,"")</f>
        <v>0</v>
      </c>
      <c r="BF119">
        <f>IFERROR('Fats Raw Data'!F119,"")</f>
        <v>0</v>
      </c>
      <c r="BG119">
        <f>IFERROR('Fats Raw Data'!H119-'Fats Raw Data'!H120,"")</f>
        <v>0</v>
      </c>
      <c r="BH119" t="str">
        <f>IFERROR(AVERAGE('Fats Raw Data'!H119:H123),"")</f>
        <v/>
      </c>
      <c r="BI119" t="str">
        <f>IFERROR(SUMPRODUCT('Fats Raw Data'!B119:B138,'Fats Raw Data'!G119:G138)/SUM('Fats Raw Data'!G119:G138),"")</f>
        <v/>
      </c>
      <c r="BJ119">
        <f>IFERROR(SQRT((SUMSQ('Fats Raw Data'!B119:B138)-2*SUMPRODUCT('Fats Raw Data'!B119:B138,'Fats Raw Data'!B120:B139)+SUMSQ('Fats Raw Data'!B120:B139)-('Fats Raw Data'!B119-'Fats Raw Data'!B139)^2/20)/19),"")</f>
        <v>0</v>
      </c>
      <c r="BL119">
        <f>IFERROR('Fats Raw Data'!K119,"")</f>
        <v>0</v>
      </c>
      <c r="BM119">
        <f>IFERROR('Fats Raw Data'!P119,"")</f>
        <v>0</v>
      </c>
      <c r="BN119">
        <f>IFERROR('Fats Raw Data'!R119-'Fats Raw Data'!R120,"")</f>
        <v>0</v>
      </c>
      <c r="BO119" t="str">
        <f>IFERROR(AVERAGE('Fats Raw Data'!R119:R123),"")</f>
        <v/>
      </c>
      <c r="BP119" t="str">
        <f>IFERROR(SUMPRODUCT('Fats Raw Data'!L119:L138,'Fats Raw Data'!Q119:Q138)/SUM('Fats Raw Data'!Q119:Q138),"")</f>
        <v/>
      </c>
      <c r="BQ119">
        <f>IFERROR(SQRT((SUMSQ('Fats Raw Data'!L119:L138)-2*SUMPRODUCT('Fats Raw Data'!L119:L138,'Fats Raw Data'!L120:L139)+SUMSQ('Fats Raw Data'!L120:L139)-('Fats Raw Data'!L119-'Fats Raw Data'!L139)^2/20)/19),"")</f>
        <v>0</v>
      </c>
      <c r="BS119">
        <f>IFERROR('Fats Raw Data'!U119,"")</f>
        <v>0</v>
      </c>
      <c r="BT119">
        <f>IFERROR('Fats Raw Data'!Z119,"")</f>
        <v>0</v>
      </c>
      <c r="BU119">
        <f>IFERROR('Fats Raw Data'!AB119-'Fats Raw Data'!AB120,"")</f>
        <v>0</v>
      </c>
      <c r="BV119" t="str">
        <f>IFERROR(AVERAGE('Fats Raw Data'!AB119:AB123),"")</f>
        <v/>
      </c>
      <c r="BW119" t="str">
        <f>IFERROR(SUMPRODUCT('Fats Raw Data'!V119:V138,'Fats Raw Data'!AA119:AA138)/SUM('Fats Raw Data'!AA119:AA138),"")</f>
        <v/>
      </c>
      <c r="BX119">
        <f>IFERROR(SQRT((SUMSQ('Fats Raw Data'!V119:V138)-2*SUMPRODUCT('Fats Raw Data'!V119:V138,'Fats Raw Data'!V120:V139)+SUMSQ('Fats Raw Data'!V120:V139)-('Fats Raw Data'!V119-'Fats Raw Data'!V139)^2/20)/19),"")</f>
        <v>0</v>
      </c>
      <c r="BZ119">
        <f>IFERROR('Fats Raw Data'!AE119,"")</f>
        <v>0</v>
      </c>
      <c r="CA119">
        <f>IFERROR('Fats Raw Data'!AJ119,"")</f>
        <v>0</v>
      </c>
      <c r="CB119">
        <f>IFERROR('Fats Raw Data'!AL119-'Fats Raw Data'!AL120,"")</f>
        <v>0</v>
      </c>
      <c r="CC119" t="str">
        <f>IFERROR(AVERAGE('Fats Raw Data'!AL119:AL123),"")</f>
        <v/>
      </c>
      <c r="CD119" t="str">
        <f>IFERROR(SUMPRODUCT('Fats Raw Data'!AF119:AF138,'Fats Raw Data'!AK119:AK138)/SUM('Fats Raw Data'!AK119:AK138),"")</f>
        <v/>
      </c>
      <c r="CE119">
        <f>IFERROR(SQRT((SUMSQ('Fats Raw Data'!AF119:AF138)-2*SUMPRODUCT('Fats Raw Data'!AF119:AF138,'Fats Raw Data'!AF120:AF139)+SUMSQ('Fats Raw Data'!AF120:AF139)-('Fats Raw Data'!AF119-'Fats Raw Data'!AF139)^2/20)/19),"")</f>
        <v>0</v>
      </c>
      <c r="CG119">
        <f>IFERROR('Fats Raw Data'!AO119,"")</f>
        <v>0</v>
      </c>
      <c r="CH119">
        <f>IFERROR('Fats Raw Data'!AT119,"")</f>
        <v>0</v>
      </c>
      <c r="CI119">
        <f>IFERROR('Fats Raw Data'!AV119-'Fats Raw Data'!AV120,"")</f>
        <v>0</v>
      </c>
      <c r="CJ119" t="str">
        <f>IFERROR(AVERAGE('Fats Raw Data'!AV119:AV123),"")</f>
        <v/>
      </c>
      <c r="CK119" t="str">
        <f>IFERROR(SUMPRODUCT('Fats Raw Data'!AP119:AP138,'Fats Raw Data'!AU119:AU138)/SUM('Fats Raw Data'!AU119:AU138),"")</f>
        <v/>
      </c>
      <c r="CL119">
        <f>IFERROR(SQRT((SUMSQ('Fats Raw Data'!AP119:AP138)-2*SUMPRODUCT('Fats Raw Data'!AP119:AP138,'Fats Raw Data'!AP120:AP139)+SUMSQ('Fats Raw Data'!AP120:AP139)-('Fats Raw Data'!AP119-'Fats Raw Data'!AP139)^2/20)/19),"")</f>
        <v>0</v>
      </c>
      <c r="CN119">
        <f>IFERROR('Fats Raw Data'!AY119,"")</f>
        <v>0</v>
      </c>
      <c r="CO119">
        <f>IFERROR('Fats Raw Data'!BD119,"")</f>
        <v>0</v>
      </c>
      <c r="CP119">
        <f>IFERROR('Fats Raw Data'!BF119-'Fats Raw Data'!BF120,"")</f>
        <v>0</v>
      </c>
      <c r="CQ119" t="str">
        <f>IFERROR(AVERAGE('Fats Raw Data'!BF119:BF123),"")</f>
        <v/>
      </c>
      <c r="CR119" t="str">
        <f>IFERROR(SUMPRODUCT('Fats Raw Data'!AZ119:AZ138,'Fats Raw Data'!BE119:BE138)/SUM('Fats Raw Data'!BE119:BE138),"")</f>
        <v/>
      </c>
      <c r="CS119">
        <f>IFERROR(SQRT((SUMSQ('Fats Raw Data'!AZ119:AZ138)-2*SUMPRODUCT('Fats Raw Data'!AZ119:AZ138,'Fats Raw Data'!AZ120:AZ139)+SUMSQ('Fats Raw Data'!AZ120:AZ139)-('Fats Raw Data'!AZ119-'Fats Raw Data'!AZ139)^2/20)/19),"")</f>
        <v>0</v>
      </c>
    </row>
    <row r="120" spans="1:97" x14ac:dyDescent="0.25">
      <c r="A120">
        <f>IFERROR('Feeders Raw Data'!A120,"")</f>
        <v>0</v>
      </c>
      <c r="B120">
        <f>IFERROR('Feeders Raw Data'!F120,"")</f>
        <v>0</v>
      </c>
      <c r="C120">
        <f>IFERROR('Feeders Raw Data'!H120-'Feeders Raw Data'!H121,"")</f>
        <v>0</v>
      </c>
      <c r="D120" t="str">
        <f>IFERROR(AVERAGE('Feeders Raw Data'!H120:H124),"")</f>
        <v/>
      </c>
      <c r="E120" t="str">
        <f>IFERROR(SUMPRODUCT('Feeders Raw Data'!B120:B139,'Feeders Raw Data'!G120:G139)/SUM('Feeders Raw Data'!G120:G139),"")</f>
        <v/>
      </c>
      <c r="F120">
        <f>IFERROR(SQRT((SUMSQ('Feeders Raw Data'!B120:B139)-2*SUMPRODUCT('Feeders Raw Data'!B120:B139,'Feeders Raw Data'!B121:B140)+SUMSQ('Feeders Raw Data'!B121:B140)-('Feeders Raw Data'!B120-'Feeders Raw Data'!B140)^2/20)/19),"")</f>
        <v>0</v>
      </c>
      <c r="H120">
        <f>IFERROR('Feeders Raw Data'!K120,"")</f>
        <v>0</v>
      </c>
      <c r="I120">
        <f>IFERROR('Feeders Raw Data'!P120,"")</f>
        <v>0</v>
      </c>
      <c r="J120">
        <f>IFERROR('Feeders Raw Data'!R120-'Feeders Raw Data'!R121,"")</f>
        <v>0</v>
      </c>
      <c r="K120" t="str">
        <f>IFERROR(AVERAGE('Feeders Raw Data'!R120:R124),"")</f>
        <v/>
      </c>
      <c r="L120" t="str">
        <f>IFERROR(SUMPRODUCT('Feeders Raw Data'!L120:L139,'Feeders Raw Data'!Q120:Q139)/SUM('Feeders Raw Data'!Q120:Q139),"")</f>
        <v/>
      </c>
      <c r="M120">
        <f>IFERROR(SQRT((SUMSQ('Feeders Raw Data'!L120:L139)-2*SUMPRODUCT('Feeders Raw Data'!L120:L139,'Feeders Raw Data'!L121:L140)+SUMSQ('Feeders Raw Data'!L121:L140)-('Feeders Raw Data'!L120-'Feeders Raw Data'!L140)^2/20)/19),"")</f>
        <v>0</v>
      </c>
      <c r="O120">
        <f>IFERROR('Feeders Raw Data'!U120,"")</f>
        <v>0</v>
      </c>
      <c r="P120">
        <f>IFERROR('Feeders Raw Data'!Z120,"")</f>
        <v>0</v>
      </c>
      <c r="Q120">
        <f>IFERROR('Feeders Raw Data'!AB120-'Feeders Raw Data'!AB121,"")</f>
        <v>0</v>
      </c>
      <c r="R120" t="str">
        <f>IFERROR(AVERAGE('Feeders Raw Data'!AB120:AB124),"")</f>
        <v/>
      </c>
      <c r="S120" t="str">
        <f>IFERROR(SUMPRODUCT('Feeders Raw Data'!V120:V139,'Feeders Raw Data'!AA120:AA139)/SUM('Feeders Raw Data'!AA120:AA139),"")</f>
        <v/>
      </c>
      <c r="T120">
        <f>IFERROR(SQRT((SUMSQ('Feeders Raw Data'!V120:V139)-2*SUMPRODUCT('Feeders Raw Data'!V120:V139,'Feeders Raw Data'!V121:V140)+SUMSQ('Feeders Raw Data'!V121:V140)-('Feeders Raw Data'!V120-'Feeders Raw Data'!V140)^2/20)/19),"")</f>
        <v>0</v>
      </c>
      <c r="V120">
        <f>IFERROR('Feeders Raw Data'!AE120,"")</f>
        <v>0</v>
      </c>
      <c r="W120">
        <f>IFERROR('Feeders Raw Data'!AJ120,"")</f>
        <v>0</v>
      </c>
      <c r="X120">
        <f>IFERROR('Feeders Raw Data'!AL120-'Feeders Raw Data'!AL121,"")</f>
        <v>0</v>
      </c>
      <c r="Y120" t="str">
        <f>IFERROR(AVERAGE('Feeders Raw Data'!AL120:AL124),"")</f>
        <v/>
      </c>
      <c r="Z120" t="str">
        <f>IFERROR(SUMPRODUCT('Feeders Raw Data'!AF120:AF139,'Feeders Raw Data'!AK120:AK139)/SUM('Feeders Raw Data'!AK120:AK139),"")</f>
        <v/>
      </c>
      <c r="AA120">
        <f>IFERROR(SQRT((SUMSQ('Feeders Raw Data'!AF120:AF139)-2*SUMPRODUCT('Feeders Raw Data'!AF120:AF139,'Feeders Raw Data'!AF121:AF140)+SUMSQ('Feeders Raw Data'!AF121:AF140)-('Feeders Raw Data'!AF120-'Feeders Raw Data'!AF140)^2/20)/19),"")</f>
        <v>0</v>
      </c>
      <c r="AC120">
        <f>IFERROR('Feeders Raw Data'!AO120,"")</f>
        <v>0</v>
      </c>
      <c r="AD120">
        <f>IFERROR('Feeders Raw Data'!AT120,"")</f>
        <v>0</v>
      </c>
      <c r="AE120">
        <f>IFERROR('Feeders Raw Data'!AV120-'Feeders Raw Data'!AV121,"")</f>
        <v>0</v>
      </c>
      <c r="AF120" t="str">
        <f>IFERROR(AVERAGE('Feeders Raw Data'!AV120:AV124),"")</f>
        <v/>
      </c>
      <c r="AG120" t="str">
        <f>IFERROR(SUMPRODUCT('Feeders Raw Data'!AP120:AP139,'Feeders Raw Data'!AU120:AU139)/SUM('Feeders Raw Data'!AU120:AU139),"")</f>
        <v/>
      </c>
      <c r="AH120">
        <f>IFERROR(SQRT((SUMSQ('Feeders Raw Data'!AP120:AP139)-2*SUMPRODUCT('Feeders Raw Data'!AP120:AP139,'Feeders Raw Data'!AP121:AP140)+SUMSQ('Feeders Raw Data'!AP121:AP140)-('Feeders Raw Data'!AP120-'Feeders Raw Data'!AP140)^2/20)/19),"")</f>
        <v>0</v>
      </c>
      <c r="AJ120">
        <f>IFERROR('Feeders Raw Data'!AY120,"")</f>
        <v>0</v>
      </c>
      <c r="AK120">
        <f>IFERROR('Feeders Raw Data'!BD120,"")</f>
        <v>0</v>
      </c>
      <c r="AL120">
        <f>IFERROR('Feeders Raw Data'!BF120-'Feeders Raw Data'!BF121,"")</f>
        <v>0</v>
      </c>
      <c r="AM120" t="str">
        <f>IFERROR(AVERAGE('Feeders Raw Data'!BF120:BF124),"")</f>
        <v/>
      </c>
      <c r="AN120" t="str">
        <f>IFERROR(SUMPRODUCT('Feeders Raw Data'!AZ120:AZ139,'Feeders Raw Data'!BE120:BE139)/SUM('Feeders Raw Data'!BE120:BE139),"")</f>
        <v/>
      </c>
      <c r="AO120">
        <f>IFERROR(SQRT((SUMSQ('Feeders Raw Data'!AZ120:AZ139)-2*SUMPRODUCT('Feeders Raw Data'!AZ120:AZ139,'Feeders Raw Data'!AZ121:AZ140)+SUMSQ('Feeders Raw Data'!AZ121:AZ140)-('Feeders Raw Data'!AZ120-'Feeders Raw Data'!AZ140)^2/20)/19),"")</f>
        <v>0</v>
      </c>
      <c r="AQ120">
        <f>IFERROR('Feeders Raw Data'!BI120,"")</f>
        <v>0</v>
      </c>
      <c r="AR120">
        <f>IFERROR('Feeders Raw Data'!BN120,"")</f>
        <v>0</v>
      </c>
      <c r="AS120">
        <f>IFERROR('Feeders Raw Data'!BP120-'Feeders Raw Data'!BP121,"")</f>
        <v>0</v>
      </c>
      <c r="AT120" t="str">
        <f>IFERROR(AVERAGE('Feeders Raw Data'!BP120:BP124),"")</f>
        <v/>
      </c>
      <c r="AU120" t="str">
        <f>IFERROR(SUMPRODUCT('Feeders Raw Data'!BJ120:BJ139,'Feeders Raw Data'!BO120:BO139)/SUM('Feeders Raw Data'!BO120:BO139),"")</f>
        <v/>
      </c>
      <c r="AV120">
        <f>IFERROR(SQRT((SUMSQ('Feeders Raw Data'!BJ120:BJ139)-2*SUMPRODUCT('Feeders Raw Data'!BJ120:BJ139,'Feeders Raw Data'!BJ121:BJ140)+SUMSQ('Feeders Raw Data'!BJ121:BJ140)-('Feeders Raw Data'!BJ120-'Feeders Raw Data'!BJ140)^2/20)/19),"")</f>
        <v>0</v>
      </c>
      <c r="AX120">
        <f>IFERROR('Feeders Raw Data'!BS120,"")</f>
        <v>0</v>
      </c>
      <c r="AY120">
        <f>IFERROR('Feeders Raw Data'!BX120,"")</f>
        <v>0</v>
      </c>
      <c r="AZ120">
        <f>IFERROR('Feeders Raw Data'!BZ120-'Feeders Raw Data'!BZ121,"")</f>
        <v>0</v>
      </c>
      <c r="BA120" t="str">
        <f>IFERROR(AVERAGE('Feeders Raw Data'!BZ120:BZ124),"")</f>
        <v/>
      </c>
      <c r="BB120" t="str">
        <f>IFERROR(SUMPRODUCT('Feeders Raw Data'!BT120:BT139,'Feeders Raw Data'!BY120:BY139)/SUM('Feeders Raw Data'!BY120:BY139),"")</f>
        <v/>
      </c>
      <c r="BC120">
        <f>IFERROR(SQRT((SUMSQ('Feeders Raw Data'!BT120:BT139)-2*SUMPRODUCT('Feeders Raw Data'!BT120:BT139,'Feeders Raw Data'!BT121:BT140)+SUMSQ('Feeders Raw Data'!BT121:BT140)-('Feeders Raw Data'!BT120-'Feeders Raw Data'!BT140)^2/20)/19),"")</f>
        <v>0</v>
      </c>
      <c r="BE120">
        <f>IFERROR('Fats Raw Data'!A120,"")</f>
        <v>0</v>
      </c>
      <c r="BF120">
        <f>IFERROR('Fats Raw Data'!F120,"")</f>
        <v>0</v>
      </c>
      <c r="BG120">
        <f>IFERROR('Fats Raw Data'!H120-'Fats Raw Data'!H121,"")</f>
        <v>0</v>
      </c>
      <c r="BH120" t="str">
        <f>IFERROR(AVERAGE('Fats Raw Data'!H120:H124),"")</f>
        <v/>
      </c>
      <c r="BI120" t="str">
        <f>IFERROR(SUMPRODUCT('Fats Raw Data'!B120:B139,'Fats Raw Data'!G120:G139)/SUM('Fats Raw Data'!G120:G139),"")</f>
        <v/>
      </c>
      <c r="BJ120">
        <f>IFERROR(SQRT((SUMSQ('Fats Raw Data'!B120:B139)-2*SUMPRODUCT('Fats Raw Data'!B120:B139,'Fats Raw Data'!B121:B140)+SUMSQ('Fats Raw Data'!B121:B140)-('Fats Raw Data'!B120-'Fats Raw Data'!B140)^2/20)/19),"")</f>
        <v>0</v>
      </c>
      <c r="BL120">
        <f>IFERROR('Fats Raw Data'!K120,"")</f>
        <v>0</v>
      </c>
      <c r="BM120">
        <f>IFERROR('Fats Raw Data'!P120,"")</f>
        <v>0</v>
      </c>
      <c r="BN120">
        <f>IFERROR('Fats Raw Data'!R120-'Fats Raw Data'!R121,"")</f>
        <v>0</v>
      </c>
      <c r="BO120" t="str">
        <f>IFERROR(AVERAGE('Fats Raw Data'!R120:R124),"")</f>
        <v/>
      </c>
      <c r="BP120" t="str">
        <f>IFERROR(SUMPRODUCT('Fats Raw Data'!L120:L139,'Fats Raw Data'!Q120:Q139)/SUM('Fats Raw Data'!Q120:Q139),"")</f>
        <v/>
      </c>
      <c r="BQ120">
        <f>IFERROR(SQRT((SUMSQ('Fats Raw Data'!L120:L139)-2*SUMPRODUCT('Fats Raw Data'!L120:L139,'Fats Raw Data'!L121:L140)+SUMSQ('Fats Raw Data'!L121:L140)-('Fats Raw Data'!L120-'Fats Raw Data'!L140)^2/20)/19),"")</f>
        <v>0</v>
      </c>
      <c r="BS120">
        <f>IFERROR('Fats Raw Data'!U120,"")</f>
        <v>0</v>
      </c>
      <c r="BT120">
        <f>IFERROR('Fats Raw Data'!Z120,"")</f>
        <v>0</v>
      </c>
      <c r="BU120">
        <f>IFERROR('Fats Raw Data'!AB120-'Fats Raw Data'!AB121,"")</f>
        <v>0</v>
      </c>
      <c r="BV120" t="str">
        <f>IFERROR(AVERAGE('Fats Raw Data'!AB120:AB124),"")</f>
        <v/>
      </c>
      <c r="BW120" t="str">
        <f>IFERROR(SUMPRODUCT('Fats Raw Data'!V120:V139,'Fats Raw Data'!AA120:AA139)/SUM('Fats Raw Data'!AA120:AA139),"")</f>
        <v/>
      </c>
      <c r="BX120">
        <f>IFERROR(SQRT((SUMSQ('Fats Raw Data'!V120:V139)-2*SUMPRODUCT('Fats Raw Data'!V120:V139,'Fats Raw Data'!V121:V140)+SUMSQ('Fats Raw Data'!V121:V140)-('Fats Raw Data'!V120-'Fats Raw Data'!V140)^2/20)/19),"")</f>
        <v>0</v>
      </c>
      <c r="BZ120">
        <f>IFERROR('Fats Raw Data'!AE120,"")</f>
        <v>0</v>
      </c>
      <c r="CA120">
        <f>IFERROR('Fats Raw Data'!AJ120,"")</f>
        <v>0</v>
      </c>
      <c r="CB120">
        <f>IFERROR('Fats Raw Data'!AL120-'Fats Raw Data'!AL121,"")</f>
        <v>0</v>
      </c>
      <c r="CC120" t="str">
        <f>IFERROR(AVERAGE('Fats Raw Data'!AL120:AL124),"")</f>
        <v/>
      </c>
      <c r="CD120" t="str">
        <f>IFERROR(SUMPRODUCT('Fats Raw Data'!AF120:AF139,'Fats Raw Data'!AK120:AK139)/SUM('Fats Raw Data'!AK120:AK139),"")</f>
        <v/>
      </c>
      <c r="CE120">
        <f>IFERROR(SQRT((SUMSQ('Fats Raw Data'!AF120:AF139)-2*SUMPRODUCT('Fats Raw Data'!AF120:AF139,'Fats Raw Data'!AF121:AF140)+SUMSQ('Fats Raw Data'!AF121:AF140)-('Fats Raw Data'!AF120-'Fats Raw Data'!AF140)^2/20)/19),"")</f>
        <v>0</v>
      </c>
      <c r="CG120">
        <f>IFERROR('Fats Raw Data'!AO120,"")</f>
        <v>0</v>
      </c>
      <c r="CH120">
        <f>IFERROR('Fats Raw Data'!AT120,"")</f>
        <v>0</v>
      </c>
      <c r="CI120">
        <f>IFERROR('Fats Raw Data'!AV120-'Fats Raw Data'!AV121,"")</f>
        <v>0</v>
      </c>
      <c r="CJ120" t="str">
        <f>IFERROR(AVERAGE('Fats Raw Data'!AV120:AV124),"")</f>
        <v/>
      </c>
      <c r="CK120" t="str">
        <f>IFERROR(SUMPRODUCT('Fats Raw Data'!AP120:AP139,'Fats Raw Data'!AU120:AU139)/SUM('Fats Raw Data'!AU120:AU139),"")</f>
        <v/>
      </c>
      <c r="CL120">
        <f>IFERROR(SQRT((SUMSQ('Fats Raw Data'!AP120:AP139)-2*SUMPRODUCT('Fats Raw Data'!AP120:AP139,'Fats Raw Data'!AP121:AP140)+SUMSQ('Fats Raw Data'!AP121:AP140)-('Fats Raw Data'!AP120-'Fats Raw Data'!AP140)^2/20)/19),"")</f>
        <v>0</v>
      </c>
      <c r="CN120">
        <f>IFERROR('Fats Raw Data'!AY120,"")</f>
        <v>0</v>
      </c>
      <c r="CO120">
        <f>IFERROR('Fats Raw Data'!BD120,"")</f>
        <v>0</v>
      </c>
      <c r="CP120">
        <f>IFERROR('Fats Raw Data'!BF120-'Fats Raw Data'!BF121,"")</f>
        <v>0</v>
      </c>
      <c r="CQ120" t="str">
        <f>IFERROR(AVERAGE('Fats Raw Data'!BF120:BF124),"")</f>
        <v/>
      </c>
      <c r="CR120" t="str">
        <f>IFERROR(SUMPRODUCT('Fats Raw Data'!AZ120:AZ139,'Fats Raw Data'!BE120:BE139)/SUM('Fats Raw Data'!BE120:BE139),"")</f>
        <v/>
      </c>
      <c r="CS120">
        <f>IFERROR(SQRT((SUMSQ('Fats Raw Data'!AZ120:AZ139)-2*SUMPRODUCT('Fats Raw Data'!AZ120:AZ139,'Fats Raw Data'!AZ121:AZ140)+SUMSQ('Fats Raw Data'!AZ121:AZ140)-('Fats Raw Data'!AZ120-'Fats Raw Data'!AZ140)^2/20)/19),"")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Fats Raw Data</vt:lpstr>
      <vt:lpstr>Feeders Raw Data</vt:lpstr>
      <vt:lpstr>Fat Spreads</vt:lpstr>
      <vt:lpstr>Feeder Spreads</vt:lpstr>
      <vt:lpstr>Spread Context.Signal</vt:lpstr>
      <vt:lpstr>Spread Calcs</vt:lpstr>
      <vt:lpstr>Contract 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Majewski</dc:creator>
  <cp:lastModifiedBy>Sam Majewski</cp:lastModifiedBy>
  <dcterms:created xsi:type="dcterms:W3CDTF">2026-04-24T15:35:48Z</dcterms:created>
  <dcterms:modified xsi:type="dcterms:W3CDTF">2026-05-10T21:32:28Z</dcterms:modified>
</cp:coreProperties>
</file>